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2630" activeTab="3"/>
  </bookViews>
  <sheets>
    <sheet name="预留库存" sheetId="1" r:id="rId1"/>
    <sheet name="库龄" sheetId="2" r:id="rId2"/>
    <sheet name="管理亚马逊库存" sheetId="3" r:id="rId3"/>
    <sheet name="数据处理" sheetId="4" r:id="rId4"/>
  </sheets>
  <definedNames>
    <definedName name="_xlnm._FilterDatabase" localSheetId="3" hidden="1">数据处理!$A$1:$N$3240</definedName>
    <definedName name="_xlnm._FilterDatabase" localSheetId="2" hidden="1">管理亚马逊库存!#REF!</definedName>
    <definedName name="_xlnm._FilterDatabase" localSheetId="1" hidden="1">库龄!$A$1:$AH$8228</definedName>
    <definedName name="_xlnm._FilterDatabase" localSheetId="0" hidden="1">预留库存!$A$1:$I$637</definedName>
  </definedNames>
  <calcPr calcId="144525" concurrentCalc="0"/>
</workbook>
</file>

<file path=xl/sharedStrings.xml><?xml version="1.0" encoding="utf-8"?>
<sst xmlns="http://schemas.openxmlformats.org/spreadsheetml/2006/main" count="5553">
  <si>
    <t>sku</t>
  </si>
  <si>
    <t>fnsku</t>
  </si>
  <si>
    <t>asin</t>
  </si>
  <si>
    <t>product-name</t>
  </si>
  <si>
    <t>condition</t>
  </si>
  <si>
    <t>your-price</t>
  </si>
  <si>
    <t>mfn-listing-exists</t>
  </si>
  <si>
    <t>mfn-fulfillable-quantity</t>
  </si>
  <si>
    <t>afn-listing-exists</t>
  </si>
  <si>
    <t>afn-warehouse-quantity</t>
  </si>
  <si>
    <t>afn-fulfillable-quantity</t>
  </si>
  <si>
    <t>afn-unsellable-quantity</t>
  </si>
  <si>
    <t>afn-reserved-quantity</t>
  </si>
  <si>
    <t>afn-total-quantity</t>
  </si>
  <si>
    <t>per-unit-volume</t>
  </si>
  <si>
    <t>afn-inbound-working-quantity</t>
  </si>
  <si>
    <t>afn-inbound-shipped-quantity</t>
  </si>
  <si>
    <t>afn-inbound-receiving-quantity</t>
  </si>
  <si>
    <t>B07515LVGV</t>
  </si>
  <si>
    <t>X001T2RY4T</t>
  </si>
  <si>
    <t>Unknown</t>
  </si>
  <si>
    <t>CA084-H1-L</t>
  </si>
  <si>
    <t>B07216G9G4</t>
  </si>
  <si>
    <t>CA084-H1-M</t>
  </si>
  <si>
    <t>B072K1SLX8</t>
  </si>
  <si>
    <t>CA084-H1-S</t>
  </si>
  <si>
    <t>B071WRDPXY</t>
  </si>
  <si>
    <t>CA084-H1-XL</t>
  </si>
  <si>
    <t>B072MM1513</t>
  </si>
  <si>
    <t>CA084-H1-XXL</t>
  </si>
  <si>
    <t>B072MML4VB</t>
  </si>
  <si>
    <t>CA084-H10-L</t>
  </si>
  <si>
    <t>B06XPD9Q3H</t>
  </si>
  <si>
    <t>CA084-H10-M</t>
  </si>
  <si>
    <t>B06XPVW75N</t>
  </si>
  <si>
    <t>CA084-H10-S</t>
  </si>
  <si>
    <t>B06XPV79C5</t>
  </si>
  <si>
    <t>CA084-H10-XL</t>
  </si>
  <si>
    <t>B06XPY2C9Q</t>
  </si>
  <si>
    <t>CA084-H10-XXL</t>
  </si>
  <si>
    <t>B06XPQSTPS</t>
  </si>
  <si>
    <t>CA084-H12-L</t>
  </si>
  <si>
    <t>B06XPF63MF</t>
  </si>
  <si>
    <t>CA084-H12-M</t>
  </si>
  <si>
    <t>B06XPXR992</t>
  </si>
  <si>
    <t>CA084-H12-S</t>
  </si>
  <si>
    <t>B06XPTLB92</t>
  </si>
  <si>
    <t>CA084-H12-XL</t>
  </si>
  <si>
    <t>B06XPTRM9L</t>
  </si>
  <si>
    <t>CA084-H12-XXL</t>
  </si>
  <si>
    <t>B06XPDYHH7</t>
  </si>
  <si>
    <t>CA084-H15-L</t>
  </si>
  <si>
    <t>B06XPBMYD7</t>
  </si>
  <si>
    <t>CA084-H15-M</t>
  </si>
  <si>
    <t>B06XPBRHK4</t>
  </si>
  <si>
    <t>CA084-H15-S</t>
  </si>
  <si>
    <t>B06XPWLNQP</t>
  </si>
  <si>
    <t>CA084-H15-XL</t>
  </si>
  <si>
    <t>B06XPVWPJV</t>
  </si>
  <si>
    <t>CA084-H15-XXL</t>
  </si>
  <si>
    <t>B06XPWWWTB</t>
  </si>
  <si>
    <t>CA084-H16-L</t>
  </si>
  <si>
    <t>B06XYK4HHR</t>
  </si>
  <si>
    <t>CA084-H16-M</t>
  </si>
  <si>
    <t>B06XYHWH3G</t>
  </si>
  <si>
    <t>CA084-H16-S</t>
  </si>
  <si>
    <t>B06XYLG2DN</t>
  </si>
  <si>
    <t>CA084-H16-XL</t>
  </si>
  <si>
    <t>B06XYHPM34</t>
  </si>
  <si>
    <t>CA084-H16-XXL</t>
  </si>
  <si>
    <t>B0793MK73F</t>
  </si>
  <si>
    <t>CA084-H2-L</t>
  </si>
  <si>
    <t>B06XPW817S</t>
  </si>
  <si>
    <t>CA084-H2-M</t>
  </si>
  <si>
    <t>B06XPCX29X</t>
  </si>
  <si>
    <t>CA084-H2-S</t>
  </si>
  <si>
    <t>B06XPTR7CR</t>
  </si>
  <si>
    <t>CA084-H2-XL</t>
  </si>
  <si>
    <t>B06XPX3S3M</t>
  </si>
  <si>
    <t>CA084-H2-XXL</t>
  </si>
  <si>
    <t>B06XPMVT3R</t>
  </si>
  <si>
    <t>CA084-H3-L</t>
  </si>
  <si>
    <t>B06XQW58X4</t>
  </si>
  <si>
    <t>CA084-H3-M</t>
  </si>
  <si>
    <t>B06XQWZJBB</t>
  </si>
  <si>
    <t>CA084-H3-S</t>
  </si>
  <si>
    <t>B06XQG6LKS</t>
  </si>
  <si>
    <t>CA084-H3-XL</t>
  </si>
  <si>
    <t>B06XQXLNQL</t>
  </si>
  <si>
    <t>CA084-H3-XXL</t>
  </si>
  <si>
    <t>B06XQVY2DZ</t>
  </si>
  <si>
    <t>CA084-H4-L</t>
  </si>
  <si>
    <t>B06XQX3XLN</t>
  </si>
  <si>
    <t>CA084-H4-M</t>
  </si>
  <si>
    <t>B06XQVX7D9</t>
  </si>
  <si>
    <t>CA084-H4-S</t>
  </si>
  <si>
    <t>B06XQG3WN3</t>
  </si>
  <si>
    <t>CA084-H4-XL</t>
  </si>
  <si>
    <t>B06XQT1QRW</t>
  </si>
  <si>
    <t>CA084-H4-XXL</t>
  </si>
  <si>
    <t>B06XQG8ZCG</t>
  </si>
  <si>
    <t>CA084-H6-L</t>
  </si>
  <si>
    <t>B06XQG7RR2</t>
  </si>
  <si>
    <t>CA084-H6-M</t>
  </si>
  <si>
    <t>B06XQVCJ44</t>
  </si>
  <si>
    <t>CA084-H6-S</t>
  </si>
  <si>
    <t>B06XQPLY5J</t>
  </si>
  <si>
    <t>CA084-H6-XXL</t>
  </si>
  <si>
    <t>B06XQG8ZCL</t>
  </si>
  <si>
    <t>CA171-G912-L</t>
  </si>
  <si>
    <t>B073PQDCYM</t>
  </si>
  <si>
    <t>CA171-G912-M</t>
  </si>
  <si>
    <t>B073PPMXD1</t>
  </si>
  <si>
    <t>CA171-G912-S</t>
  </si>
  <si>
    <t>B073PP2Q5W</t>
  </si>
  <si>
    <t>CA171-G912-XL</t>
  </si>
  <si>
    <t>B073PQ12R6</t>
  </si>
  <si>
    <t>CA171-G912-XXL</t>
  </si>
  <si>
    <t>B073PQ77BX</t>
  </si>
  <si>
    <t>Men's Oxford Long Sleeve Button Down Dress Shirt With Pocket,Green,XX-Large</t>
  </si>
  <si>
    <t>New</t>
  </si>
  <si>
    <t>No</t>
  </si>
  <si>
    <t>Yes</t>
  </si>
  <si>
    <t>CA171-LB916-L</t>
  </si>
  <si>
    <t>B073PQ7JKT</t>
  </si>
  <si>
    <t>CA171-LB916-M</t>
  </si>
  <si>
    <t>B073PPWDT7</t>
  </si>
  <si>
    <t>CA171-LB916-S</t>
  </si>
  <si>
    <t>B073PQ6BZ4</t>
  </si>
  <si>
    <t>CA171-LB916-XL</t>
  </si>
  <si>
    <t>B073PPTRYB</t>
  </si>
  <si>
    <t>CA171-LB916-XXL</t>
  </si>
  <si>
    <t>B073PPFLNM</t>
  </si>
  <si>
    <t>CA171-LG907-L</t>
  </si>
  <si>
    <t>B073PPT6XM</t>
  </si>
  <si>
    <t>CA171-LG907-M</t>
  </si>
  <si>
    <t>B073PQ8R7W</t>
  </si>
  <si>
    <t>CA171-LG907-S</t>
  </si>
  <si>
    <t>B073PPT3Z6</t>
  </si>
  <si>
    <t>CA171-LG907-XL</t>
  </si>
  <si>
    <t>B073PQ8R84</t>
  </si>
  <si>
    <t>CA171-LG907-XXL</t>
  </si>
  <si>
    <t>B073PQ29HF</t>
  </si>
  <si>
    <t>CA171-PI908-L</t>
  </si>
  <si>
    <t>B073PPNNFC</t>
  </si>
  <si>
    <t>CA171-PI908-M</t>
  </si>
  <si>
    <t>B073PPNMZS</t>
  </si>
  <si>
    <t>CA171-PI908-S</t>
  </si>
  <si>
    <t>B073PQ7M22</t>
  </si>
  <si>
    <t>CA171-PI908-XL</t>
  </si>
  <si>
    <t>B073PPHK1P</t>
  </si>
  <si>
    <t>CA171-PI908-XXL</t>
  </si>
  <si>
    <t>B073PPLZTG</t>
  </si>
  <si>
    <t>CA171-Sa911-L</t>
  </si>
  <si>
    <t>B073PQLFVZ</t>
  </si>
  <si>
    <t>CA171-Sa911-M</t>
  </si>
  <si>
    <t>B073PQD5PP</t>
  </si>
  <si>
    <t>CA171-Sa911-S</t>
  </si>
  <si>
    <t>B073PQXDQX</t>
  </si>
  <si>
    <t>CA171-Sa911-XL</t>
  </si>
  <si>
    <t>B073PPGD16</t>
  </si>
  <si>
    <t>CA171-Sa911-XXL</t>
  </si>
  <si>
    <t>B073PPXNXD</t>
  </si>
  <si>
    <t>CA171-W902-L</t>
  </si>
  <si>
    <t>B073PQLSS5</t>
  </si>
  <si>
    <t>CA171-W902-M</t>
  </si>
  <si>
    <t>B073PPH3QV</t>
  </si>
  <si>
    <t>CA171-W902-XL</t>
  </si>
  <si>
    <t>B073PPNYCZ</t>
  </si>
  <si>
    <t>CA171-W902-XXL</t>
  </si>
  <si>
    <t>B073PPPB39</t>
  </si>
  <si>
    <t>CA171-WR917-M</t>
  </si>
  <si>
    <t>B073PPM5K5</t>
  </si>
  <si>
    <t>CA171-WR917-S</t>
  </si>
  <si>
    <t>B073PQ2K9M</t>
  </si>
  <si>
    <t>CA171-WR917-XL</t>
  </si>
  <si>
    <t>B073PQ3DVN</t>
  </si>
  <si>
    <t>CA171-WR917-XXL</t>
  </si>
  <si>
    <t>B073PQ61JH</t>
  </si>
  <si>
    <t>CA171-ZL918-L</t>
  </si>
  <si>
    <t>B073PPB8RP</t>
  </si>
  <si>
    <t>CA171-ZL918-M</t>
  </si>
  <si>
    <t>B073PPHGGQ</t>
  </si>
  <si>
    <t>CA171-ZL918-S</t>
  </si>
  <si>
    <t>B073PP7W37</t>
  </si>
  <si>
    <t>CA171-ZL918-XXL</t>
  </si>
  <si>
    <t>B073PPR41M</t>
  </si>
  <si>
    <t>CFY-M1798-BK-S</t>
  </si>
  <si>
    <t>B076STX89V</t>
  </si>
  <si>
    <t>MOCOTONO Men's Waterproof Rain Jacket Fleece Snow Ski Winter Coat Black 2 Small</t>
  </si>
  <si>
    <t>CFY-M1798-BK-XL</t>
  </si>
  <si>
    <t>B076T6LXHL</t>
  </si>
  <si>
    <t>MOCOTONO Men's Waterproof Rain Jacket Fleece Snow Ski Winter Coat Black 2 X-Large</t>
  </si>
  <si>
    <t>CFY-M1798-BK-XXL</t>
  </si>
  <si>
    <t>B076SR28L3</t>
  </si>
  <si>
    <t>MOCOTONO Men's Waterproof Rain Jacket Fleece Snow Ski Winter Coat Black 2 XX-Large</t>
  </si>
  <si>
    <t>CFY-M1798-BL-L</t>
  </si>
  <si>
    <t>B076SSZ3YW</t>
  </si>
  <si>
    <t>MOCOTONO Men's Waterproof Rain Jacket Fleece Snow Ski Winter Coat Blue 2 Large</t>
  </si>
  <si>
    <t>CFY-M1798-BL-M</t>
  </si>
  <si>
    <t>B076STBB7P</t>
  </si>
  <si>
    <t>MOCOTONO Men's Waterproof Rain Jacket Fleece Snow Ski Winter Coat Blue 2 Medium</t>
  </si>
  <si>
    <t>CFY-M1798-BL-S</t>
  </si>
  <si>
    <t>B076T626JT</t>
  </si>
  <si>
    <t>MOCOTONO Men's Waterproof Rain Jacket Fleece Snow Ski Winter Coat Blue 2 Small</t>
  </si>
  <si>
    <t>CFY-M1798-BL-XL</t>
  </si>
  <si>
    <t>B076SSWHP8</t>
  </si>
  <si>
    <t>MOCOTONO Men's Waterproof Rain Jacket Fleece Snow Ski Winter Coat Blue 2 X-Large</t>
  </si>
  <si>
    <t>CFY-M1798-BL-XXL</t>
  </si>
  <si>
    <t>B076T626JS</t>
  </si>
  <si>
    <t>MOCOTONO Men's Waterproof Rain Jacket Fleece Snow Ski Winter Coat Blue 2 XX-Large</t>
  </si>
  <si>
    <t>CFY-M1798-RD-L</t>
  </si>
  <si>
    <t>B076SLVQ2Q</t>
  </si>
  <si>
    <t>MOCOTONO Women's Waterproof Rain Jacket Fleece Snow Ski Winter Coat (Large, Red 3)</t>
  </si>
  <si>
    <t>CFY-M1798-RD-M</t>
  </si>
  <si>
    <t>B076SR2N5S</t>
  </si>
  <si>
    <t>MOCOTONO Women's Waterproof Rain Jacket Fleece Snow Ski Winter Coat Red 2 Medium</t>
  </si>
  <si>
    <t>CFY-M1798-RD-S</t>
  </si>
  <si>
    <t>B076STWKGB</t>
  </si>
  <si>
    <t>MOCOTONO Women's Waterproof Rain Jacket Fleece Snow Ski Winter Coat Red 2 Small</t>
  </si>
  <si>
    <t>CFY-M1830-AG-M</t>
  </si>
  <si>
    <t>B076TZ1VLJ</t>
  </si>
  <si>
    <t>MOCOTONO Men's Rain Waterproof Winter Jacket Sports Snow Ski Outdoor Coat Army Green Medium</t>
  </si>
  <si>
    <t>CFY-M1830-BL-L</t>
  </si>
  <si>
    <t>B076V4L7ZD</t>
  </si>
  <si>
    <t>MOCOTONO Men's Rain Waterproof Winter Jacket Sports Snow Ski Outdoor Coat Blue Large</t>
  </si>
  <si>
    <t>CFY-M1830-BL-M</t>
  </si>
  <si>
    <t>B076V6DZHX</t>
  </si>
  <si>
    <t>MOCOTONO Men's Rain Waterproof Winter Jacket Sports Snow Ski Outdoor Coat Blue Medium</t>
  </si>
  <si>
    <t>CFY-M1830-LB-M</t>
  </si>
  <si>
    <t>B076TZ3LSZ</t>
  </si>
  <si>
    <t>MOCOTONO Women's Rain Waterproof Winter Jacket Sports Snow Ski Outdoor Coat Light Blue Medium</t>
  </si>
  <si>
    <t>CFY-M1830-LB-XXL</t>
  </si>
  <si>
    <t>B076V5RGFN</t>
  </si>
  <si>
    <t>MOCOTONO Women's Rain Waterproof Winter Jacket Sports Snow Ski Outdoor Coat Light Blue XX-Large</t>
  </si>
  <si>
    <t>CFY-M1830-RD-L</t>
  </si>
  <si>
    <t>B076V38YVK</t>
  </si>
  <si>
    <t>MOCOTONO Women's Waterproof Rain Jacket Fleece Snow Ski Winter Coat (Large, Red)</t>
  </si>
  <si>
    <t>CFY-M1830-RD-M</t>
  </si>
  <si>
    <t>B076V1DD4V</t>
  </si>
  <si>
    <t>MOCOTONO Women's Waterproof Rain Jacket Fleece Snow Ski Winter Coat (Medium, Red)</t>
  </si>
  <si>
    <t>CFY-M1830-RD-S</t>
  </si>
  <si>
    <t>B076V493NG</t>
  </si>
  <si>
    <t>MOCOTONO Women's Rain Waterproof Winter Jacket Sports Snow Ski Outdoor Coat Red Small</t>
  </si>
  <si>
    <t>CFY-M1830-RD-XL</t>
  </si>
  <si>
    <t>B076V2MVLC</t>
  </si>
  <si>
    <t>CFY-W1798-BK-XL</t>
  </si>
  <si>
    <t>B076HPZWYZ</t>
  </si>
  <si>
    <t>MOCOTONO Women's Waterproof Rain Jacket Fleece Snow Ski Winter Coat Black X-Large</t>
  </si>
  <si>
    <t>CFY-W1798-BL-XL</t>
  </si>
  <si>
    <t>B076HQV34J</t>
  </si>
  <si>
    <t>MOCOTONO Women's Waterproof Rain Jacket Fleece Snow Ski Winter Coat Blue X-Large</t>
  </si>
  <si>
    <t>CFY-W1798-RD-L</t>
  </si>
  <si>
    <t>B076HQYLYJ</t>
  </si>
  <si>
    <t>MOCOTONO Women's Waterproof Rain Jacket Fleece Snow Ski Winter Coat Red Large</t>
  </si>
  <si>
    <t>CFY-W1798-RD-XL</t>
  </si>
  <si>
    <t>B076HMGS4Q</t>
  </si>
  <si>
    <t>MOCOTONO Women's Waterproof Rain Jacket Fleece Snow Ski Winter Coat Red X-Large</t>
  </si>
  <si>
    <t>CFY-W1798-RR-L</t>
  </si>
  <si>
    <t>B076HPCMMQ</t>
  </si>
  <si>
    <t>MOCOTONO Women's Waterproof Rain Jacket Fleece Snow Ski Winter Coat Pink Large</t>
  </si>
  <si>
    <t>CFY-W1798-RR-S</t>
  </si>
  <si>
    <t>B076HPC6YW</t>
  </si>
  <si>
    <t>MOCOTONO Women's Waterproof Rain Jacket Fleece Snow Ski Winter Coat Pink Small</t>
  </si>
  <si>
    <t>CFY-W1798-RR-XL</t>
  </si>
  <si>
    <t>B076HP8HN2</t>
  </si>
  <si>
    <t>MOCOTONO Women's Waterproof Rain Jacket Fleece Snow Ski Winter Coat Pink X-Large</t>
  </si>
  <si>
    <t>CFY-W1830-BK-XL</t>
  </si>
  <si>
    <t>B076HLTT59</t>
  </si>
  <si>
    <t>MOCOTONO Women's Rain Waterproof Winter Jacket Sports Snow Ski Outdoor Coat Black X-Large</t>
  </si>
  <si>
    <t>CFY-W1830-BL-XL</t>
  </si>
  <si>
    <t>B076HP119S</t>
  </si>
  <si>
    <t>MOCOTONO Women's Rain Waterproof Winter Jacket Sports Snow Ski Outdoor Coat Blue X-Large</t>
  </si>
  <si>
    <t>CFY-W1830-PP-L</t>
  </si>
  <si>
    <t>B076HPXXBT</t>
  </si>
  <si>
    <t>MOCOTONO Women's Rain Waterproof Winter Jacket Sports Snow Ski Outdoor Coat Purple Large</t>
  </si>
  <si>
    <t>CFY-W1830-PP-S</t>
  </si>
  <si>
    <t>B076HPWVWT</t>
  </si>
  <si>
    <t>MOCOTONO Women's Rain Waterproof Winter Jacket Sports Snow Ski Outdoor Coat Purple Small</t>
  </si>
  <si>
    <t>CFY-W1830-PP-XL</t>
  </si>
  <si>
    <t>B076HPQCCS</t>
  </si>
  <si>
    <t>MOCOTONO Women's Rain Waterproof Winter Jacket Sports Snow Ski Outdoor Coat Purple X-Large</t>
  </si>
  <si>
    <t>CFY-W1830-RD-L</t>
  </si>
  <si>
    <t>B076HPVG3H</t>
  </si>
  <si>
    <t>MOCOTONO Women's Rain Waterproof Winter Jacket Sports Snow Ski Outdoor Coat Red Large</t>
  </si>
  <si>
    <t>CFY-W1830-RD-M</t>
  </si>
  <si>
    <t>B076HPPN5P</t>
  </si>
  <si>
    <t>MOCOTONO Women's Rain Waterproof Winter Jacket Sports Snow Ski Outdoor Coat Red Medium</t>
  </si>
  <si>
    <t>CFY-W1830-RD-XL</t>
  </si>
  <si>
    <t>B076HR9JQB</t>
  </si>
  <si>
    <t>MOCOTONO Women's Rain Waterproof Winter Jacket Sports Snow Ski Outdoor Coat Red X-Large</t>
  </si>
  <si>
    <t>CFY-W1830-RR-L</t>
  </si>
  <si>
    <t>B076HPT8P1</t>
  </si>
  <si>
    <t>MOCOTONO Women's Rain Waterproof Winter Jacket Sports Snow Ski Outdoor Coat Pink Large</t>
  </si>
  <si>
    <t>CFY-W1830-RR-S</t>
  </si>
  <si>
    <t>B076HPQ2ZR</t>
  </si>
  <si>
    <t>MOCOTONO Women's Rain Waterproof Winter Jacket Sports Snow Ski Outdoor Coat Pink Small</t>
  </si>
  <si>
    <t>CS-BBS003-B0-XL</t>
  </si>
  <si>
    <t>B078JJDS4Z</t>
  </si>
  <si>
    <t>CS-BBS003-B0-XXL</t>
  </si>
  <si>
    <t>B078JM6YCM</t>
  </si>
  <si>
    <t>CS-BBS003-BK-L</t>
  </si>
  <si>
    <t>B078JD6XLB</t>
  </si>
  <si>
    <t>CS-BBS003-BK-M</t>
  </si>
  <si>
    <t>B078JNP4BD</t>
  </si>
  <si>
    <t>CS-BBS003-BK-XL</t>
  </si>
  <si>
    <t>B078JNMVTJ</t>
  </si>
  <si>
    <t>CS-BBS003-BK-XXL</t>
  </si>
  <si>
    <t>B078JFBBFQ</t>
  </si>
  <si>
    <t>CS-BBS003-LB-L</t>
  </si>
  <si>
    <t>B078JFBBFF</t>
  </si>
  <si>
    <t>CS-BBS003-LB-M</t>
  </si>
  <si>
    <t>B078JBBY1F</t>
  </si>
  <si>
    <t>CS-BBS003-LB-S</t>
  </si>
  <si>
    <t>B078JFH21B</t>
  </si>
  <si>
    <t>MOCOTONO Men's Long Sleeve Denim Double-Pocket Shirt Light Blue Small</t>
  </si>
  <si>
    <t>CS-BBS003-LB-XL</t>
  </si>
  <si>
    <t>B078JBLCB7</t>
  </si>
  <si>
    <t>CS-BBS003-LB-XXL</t>
  </si>
  <si>
    <t>B078JFKHPP</t>
  </si>
  <si>
    <t>CS-BBS003-NB-L</t>
  </si>
  <si>
    <t>B078JD9MJD</t>
  </si>
  <si>
    <t>CS-BBS003-NB-M</t>
  </si>
  <si>
    <t>B078J8H664</t>
  </si>
  <si>
    <t>CS-BBS003-NB-XL</t>
  </si>
  <si>
    <t>B078JNL9TC</t>
  </si>
  <si>
    <t>CS-BBS003-NB-XXL</t>
  </si>
  <si>
    <t>B078JSKYT9</t>
  </si>
  <si>
    <t>CS-BBS006-GN-L</t>
  </si>
  <si>
    <t>B07CGLZ9CD</t>
  </si>
  <si>
    <t>MOCOTONO Men's Long Sleeve Standard Fit Plaid Checked Button up Casual Shirts Green Medium</t>
  </si>
  <si>
    <t>CS-BBS016-B0-L</t>
  </si>
  <si>
    <t>B078JHYKHC</t>
  </si>
  <si>
    <t>CS-BBS016-B0-M</t>
  </si>
  <si>
    <t>B078JBLCPB</t>
  </si>
  <si>
    <t>CS-BBS016-B0-XL</t>
  </si>
  <si>
    <t>B078J8JN33</t>
  </si>
  <si>
    <t>CS-BBS016-B0-XXL</t>
  </si>
  <si>
    <t>B078JKXVLL</t>
  </si>
  <si>
    <t>CS-BBS016-BK-L</t>
  </si>
  <si>
    <t>B078JKPPFR</t>
  </si>
  <si>
    <t>CS-BBS016-BK-M</t>
  </si>
  <si>
    <t>B078JN2MHB</t>
  </si>
  <si>
    <t>CS-BBS016-BK-XL</t>
  </si>
  <si>
    <t>B078JD9KD8</t>
  </si>
  <si>
    <t>Men's Long Sleeve Denim Double-Pocket Shirt Black X-Large</t>
  </si>
  <si>
    <t>CS-BBS016-LB-L</t>
  </si>
  <si>
    <t>B078JNL9TB</t>
  </si>
  <si>
    <t>MOCOTONO Men's Long Sleeve Denim Double-Pocket Shirt Light Blue Large</t>
  </si>
  <si>
    <t>CS-BBS016-LB-M</t>
  </si>
  <si>
    <t>B078JBJ2V2</t>
  </si>
  <si>
    <t>CS-BBS016-LB-S</t>
  </si>
  <si>
    <t>B078JL1QLH</t>
  </si>
  <si>
    <t>CS-BBS016-LB-XL</t>
  </si>
  <si>
    <t>B078JFKHPW</t>
  </si>
  <si>
    <t>CS-BBS016-LB-XXL</t>
  </si>
  <si>
    <t>B078JMZGT6</t>
  </si>
  <si>
    <t>CS-BBS016-NB-L</t>
  </si>
  <si>
    <t>B078J8FKC9</t>
  </si>
  <si>
    <t>CS-BBS016-NB-M</t>
  </si>
  <si>
    <t>B078JKJHTG</t>
  </si>
  <si>
    <t>CS-BBS016-NB-XL</t>
  </si>
  <si>
    <t>B078JD6WT8</t>
  </si>
  <si>
    <t>CS-BBS016-NB-XXL</t>
  </si>
  <si>
    <t>B078JFH8KP</t>
  </si>
  <si>
    <t>CS-BBS030-BK-L</t>
  </si>
  <si>
    <t>X001THOR03</t>
  </si>
  <si>
    <t>B071W24T1L</t>
  </si>
  <si>
    <t>Men's Short Sleeve Oxford Button Down Casual Shirt Black Large</t>
  </si>
  <si>
    <t>CS-BBS030-BK-M</t>
  </si>
  <si>
    <t>X001SSNYKH</t>
  </si>
  <si>
    <t>B078W1DC69</t>
  </si>
  <si>
    <t>Mocotono Men's Short Sleeve Oxford Button Down Casual Shirt, Black, Medium</t>
  </si>
  <si>
    <t>CS-BBS030-BK-S</t>
  </si>
  <si>
    <t>X001SSMTUD</t>
  </si>
  <si>
    <t>B078W1XLVS</t>
  </si>
  <si>
    <t>Mocotono Men's Short Sleeve Oxford Button Down Casual Shirt, Black, Small</t>
  </si>
  <si>
    <t>CS-BBS030-BK-XL</t>
  </si>
  <si>
    <t>X001STI74T</t>
  </si>
  <si>
    <t>B078W1K5YJ</t>
  </si>
  <si>
    <t>Mocotono Men's Short Sleeve Oxford Button Down Casual Shirt, Black, X-Large</t>
  </si>
  <si>
    <t>CS-BBS030-BK-XXL</t>
  </si>
  <si>
    <t>X001SSMTUN</t>
  </si>
  <si>
    <t>B078VZH3PS</t>
  </si>
  <si>
    <t>Men's Short Sleeve Oxford Button Down Casual Shirt Black XX-Large</t>
  </si>
  <si>
    <t>CS-BBS030-BL-L</t>
  </si>
  <si>
    <t>X001SSO285</t>
  </si>
  <si>
    <t>B078W1C8KL</t>
  </si>
  <si>
    <t>Mocotono Men's Short Sleeve Oxford Button Down Casual Shirt, Sky Blue, Large</t>
  </si>
  <si>
    <t>CS-BBS030-BL-M</t>
  </si>
  <si>
    <t>X001SSNEIJ</t>
  </si>
  <si>
    <t>B078VZKK67</t>
  </si>
  <si>
    <t>Mocotono Men's Short Sleeve Oxford Button Down Casual Shirt, Sky Blue, Medium</t>
  </si>
  <si>
    <t>CS-BBS030-BL-S</t>
  </si>
  <si>
    <t>X001SSO6WR</t>
  </si>
  <si>
    <t>B078VZHXDQ</t>
  </si>
  <si>
    <t>Mocotono Men's Short Sleeve Oxford Button Down Casual Shirt, Sky Blue, Small</t>
  </si>
  <si>
    <t>CS-BBS030-BL-XL</t>
  </si>
  <si>
    <t>X001SSMHLJ</t>
  </si>
  <si>
    <t>B078W1MBSF</t>
  </si>
  <si>
    <t>Mocotono Men's Short Sleeve Oxford Button Down Casual Shirt, Sky Blue, X-Large</t>
  </si>
  <si>
    <t>CS-BBS030-BL-XXL</t>
  </si>
  <si>
    <t>X001SSPMOX</t>
  </si>
  <si>
    <t>B078VZB69X</t>
  </si>
  <si>
    <t>Mocotono Men's Short Sleeve Oxford Button Down Casual Shirt, Sky Blue, XX-Large</t>
  </si>
  <si>
    <t>CS-BBS030-GR-L</t>
  </si>
  <si>
    <t>X001SSNYK7</t>
  </si>
  <si>
    <t>B078W1JJNK</t>
  </si>
  <si>
    <t>Mocotono Men's Short Sleeve Oxford Button Down Casual Shirt, Gray, Large</t>
  </si>
  <si>
    <t>CS-BBS030-GR-M</t>
  </si>
  <si>
    <t>X001SSO1QD</t>
  </si>
  <si>
    <t>B078W1NBSR</t>
  </si>
  <si>
    <t>Mocotono Men's Short Sleeve Oxford Button Down Casual Shirt, Gray, Medium</t>
  </si>
  <si>
    <t>CS-BBS030-GR-S</t>
  </si>
  <si>
    <t>X001SSNR4F</t>
  </si>
  <si>
    <t>B078W1D7HX</t>
  </si>
  <si>
    <t>Mocotono Men's Short Sleeve Oxford Button Down Casual Shirt, Gray, Small</t>
  </si>
  <si>
    <t>CS-BBS030-GR-XL</t>
  </si>
  <si>
    <t>X001SSMWOL</t>
  </si>
  <si>
    <t>B078W1C6NX</t>
  </si>
  <si>
    <t>Mocotono Men's Short Sleeve Oxford Button Down Casual Shirt, Gray, X-Large</t>
  </si>
  <si>
    <t>CS-BBS030-GR-XXL</t>
  </si>
  <si>
    <t>X001SSNR4P</t>
  </si>
  <si>
    <t>B078W18MW3</t>
  </si>
  <si>
    <t>CS-BBS030-WT-L</t>
  </si>
  <si>
    <t>X001SSMTP3</t>
  </si>
  <si>
    <t>B078W1ZVMK</t>
  </si>
  <si>
    <t>Mocotono Men's Short Sleeve Oxford Button Down Casual Shirt, Light White, Large</t>
  </si>
  <si>
    <t>CS-BBS030-WT-M</t>
  </si>
  <si>
    <t>X001SSO5GT</t>
  </si>
  <si>
    <t>B078W1RK6T</t>
  </si>
  <si>
    <t>Mocotono Men's Short Sleeve Oxford Button Down Casual Shirt, Light White, Medium</t>
  </si>
  <si>
    <t>CS-BBS030-WT-S</t>
  </si>
  <si>
    <t>X001STI753</t>
  </si>
  <si>
    <t>B078VZD77Q</t>
  </si>
  <si>
    <t>Mocotono Men's Short Sleeve Oxford Button Down Casual Shirt, Light White, Small</t>
  </si>
  <si>
    <t>CS-BBS030-WT-XL</t>
  </si>
  <si>
    <t>X001SSMXO5</t>
  </si>
  <si>
    <t>B078W14T3V</t>
  </si>
  <si>
    <t>Mocotono Men's Short Sleeve Oxford Button Down Casual Shirt, Light White, X-Large</t>
  </si>
  <si>
    <t>CS-BBS030-WT-XXL</t>
  </si>
  <si>
    <t>X001SSMTOT</t>
  </si>
  <si>
    <t>B078W13X4N</t>
  </si>
  <si>
    <t>Mocotono Men's Short Sleeve Oxford Button Down Casual Shirt, Light White, XX-Large</t>
  </si>
  <si>
    <t>CS-BBS030-YL-L</t>
  </si>
  <si>
    <t>X001SSMF8J</t>
  </si>
  <si>
    <t>B078W14YQ1</t>
  </si>
  <si>
    <t>Mocotono Men's Short Sleeve Oxford Button Down Casual Shirt, Yellow, Large</t>
  </si>
  <si>
    <t>CS-BBS030-YL-M</t>
  </si>
  <si>
    <t>X001SSMWOV</t>
  </si>
  <si>
    <t>B078W1415D</t>
  </si>
  <si>
    <t>Mocotono Men's Short Sleeve Oxford Button Down Casual Shirt, Yellow, Medium</t>
  </si>
  <si>
    <t>CS-BBS030-YL-S</t>
  </si>
  <si>
    <t>X001SSMTPD</t>
  </si>
  <si>
    <t>B078W1DC66</t>
  </si>
  <si>
    <t>Mocotono Men's Short Sleeve Oxford Button Down Casual Shirt, Yellow, Small</t>
  </si>
  <si>
    <t>CS-BBS030-YL-XL</t>
  </si>
  <si>
    <t>X001SSN7IL</t>
  </si>
  <si>
    <t>B078VZCF7R</t>
  </si>
  <si>
    <t>Men's Short Sleeve Oxford Button Down Casual Shirt, Yellow, X-Large</t>
  </si>
  <si>
    <t>CS-BBS030-YL-XXL</t>
  </si>
  <si>
    <t>X001SSNYJ3</t>
  </si>
  <si>
    <t>B078VYBW2P</t>
  </si>
  <si>
    <t>CS-BS003-B0-XL</t>
  </si>
  <si>
    <t>MOCOTONO Men's Long Sleeve Denim Double-Pocket Shirt Blue X-Large</t>
  </si>
  <si>
    <t>CS-BS003-B0-XXL</t>
  </si>
  <si>
    <t>MOCOTONO Men's Long Sleeve Denim Double-Pocket Shirt Blue XX-Large</t>
  </si>
  <si>
    <t>CS-BS003-BK-L</t>
  </si>
  <si>
    <t>MOCOTONO Men's Long Sleeve Denim Double-Pocket Shirt Black Large</t>
  </si>
  <si>
    <t>CS-BS003-BK-M</t>
  </si>
  <si>
    <t>MOCOTONO Men's Long Sleeve Denim Solid Double-Pocket Shirt Black Medium</t>
  </si>
  <si>
    <t>CS-BS003-BK-XL</t>
  </si>
  <si>
    <t>MOCOTONO Men's Long Sleeve Denim Double-Pocket Shirt Black X-Large</t>
  </si>
  <si>
    <t>CS-BS003-BK-XXL</t>
  </si>
  <si>
    <t>MOCOTONO Men's Long Sleeve Denim Double-Pocket Shirt Black XX-Large</t>
  </si>
  <si>
    <t>CS-BS003-LB-L</t>
  </si>
  <si>
    <t>CS-BS003-LB-M</t>
  </si>
  <si>
    <t>MOCOTONO Men's Long Sleeve Denim Double-Pocket Shirt Light Blue Medium</t>
  </si>
  <si>
    <t>CS-BS003-LB-S</t>
  </si>
  <si>
    <t>CS-BS003-LB-XL</t>
  </si>
  <si>
    <t>MOCOTONO Men's Long Sleeve Denim Double-Pocket Shirt Light Blue X-Large</t>
  </si>
  <si>
    <t>CS-BS003-LB-XXL</t>
  </si>
  <si>
    <t>MOCOTONO Men's Long Sleeve Denim Double-Pocket Shirt Light Blue XX-Large</t>
  </si>
  <si>
    <t>CS-BS003-NB-L</t>
  </si>
  <si>
    <t>MOCOTONO Men's Long Sleeve Denim Double-Pocket Shirt Navy Blue Large</t>
  </si>
  <si>
    <t>CS-BS003-NB-M</t>
  </si>
  <si>
    <t>MOCOTONO Men's Long Sleeve Denim Solid Double-Pocket Shirt Navy Blue Medium</t>
  </si>
  <si>
    <t>CS-BS003-NB-XL</t>
  </si>
  <si>
    <t>MOCOTONO Men's Long Sleeve Denim Double-Pocket Shirt Navy Blue X-Large</t>
  </si>
  <si>
    <t>CS-BS003-NB-XXL</t>
  </si>
  <si>
    <t>MOCOTONO Men's Long Sleeve Denim Double-Pocket Shirt Navy Blue XX-Large</t>
  </si>
  <si>
    <t>CS-BS016-B0-L</t>
  </si>
  <si>
    <t>MOCOTONO Men's Long Sleeve Denim Double-Pocket Shirt Blue Large</t>
  </si>
  <si>
    <t>CS-BS016-B0-M</t>
  </si>
  <si>
    <t>MOCOTONO Men's Long Sleeve Denim Double-Pocket Shirt Blue Medium</t>
  </si>
  <si>
    <t>CS-BS016-B0-XL</t>
  </si>
  <si>
    <t>CS-BS016-B0-XXL</t>
  </si>
  <si>
    <t>CS-BS016-BK-L</t>
  </si>
  <si>
    <t>CS-BS016-BK-M</t>
  </si>
  <si>
    <t>MOCOTONO Men's Long Sleeve Denim Double-Pocket Shirt Black Medium</t>
  </si>
  <si>
    <t>CS-BS016-BK-XL</t>
  </si>
  <si>
    <t>CS-BS016-LB-L</t>
  </si>
  <si>
    <t>CS-BS016-LB-M</t>
  </si>
  <si>
    <t>CS-BS016-LB-S</t>
  </si>
  <si>
    <t>CS-BS016-LB-XL</t>
  </si>
  <si>
    <t>CS-BS016-LB-XXL</t>
  </si>
  <si>
    <t>CS-BS016-NB-L</t>
  </si>
  <si>
    <t>CS-BS016-NB-M</t>
  </si>
  <si>
    <t>MOCOTONO Men's Long Sleeve Denim Double-Pocket Shirt Navy Blue Medium</t>
  </si>
  <si>
    <t>CS-BS016-NB-XL</t>
  </si>
  <si>
    <t>CS-BS016-NB-XXL</t>
  </si>
  <si>
    <t>CS-BS030-BK-L</t>
  </si>
  <si>
    <t>CS-BS032-BL-L</t>
  </si>
  <si>
    <t>X001SHLPGX</t>
  </si>
  <si>
    <t>B07C3PPB63</t>
  </si>
  <si>
    <t>CS-BS032-BL-M</t>
  </si>
  <si>
    <t>X001SHY74Z</t>
  </si>
  <si>
    <t>B07CC3XJ81</t>
  </si>
  <si>
    <t>CS-BS032-BL-S</t>
  </si>
  <si>
    <t>X001SINZLP</t>
  </si>
  <si>
    <t>B07CC5Z3YB</t>
  </si>
  <si>
    <t>CS-BS032-BL-XL</t>
  </si>
  <si>
    <t>X001SIPKZJ</t>
  </si>
  <si>
    <t>B07C3Z3M7K</t>
  </si>
  <si>
    <t>CS-BS032-BL-XXL</t>
  </si>
  <si>
    <t>B07C3W1166</t>
  </si>
  <si>
    <t>CS-BS032-GN1-L</t>
  </si>
  <si>
    <t>B07C3PGX21</t>
  </si>
  <si>
    <t>CS-BS032-GN1-M</t>
  </si>
  <si>
    <t>B07C3QD123</t>
  </si>
  <si>
    <t>CS-BS032-GN1-S</t>
  </si>
  <si>
    <t>B07CC3X9WJ</t>
  </si>
  <si>
    <t>CS-BS032-GN1-XL</t>
  </si>
  <si>
    <t>B07C3RHLYS</t>
  </si>
  <si>
    <t>CS-BS032-GN1-XXL</t>
  </si>
  <si>
    <t>B07C3W2JY6</t>
  </si>
  <si>
    <t>CS-BS032-GN2-L</t>
  </si>
  <si>
    <t>B07C3Z8HJY</t>
  </si>
  <si>
    <t>CS-BS032-GN2-M</t>
  </si>
  <si>
    <t>B07C3W2BLZ</t>
  </si>
  <si>
    <t>CS-BS032-GN2-S</t>
  </si>
  <si>
    <t>X001SHY7JZ</t>
  </si>
  <si>
    <t>B07C41Q6CQ</t>
  </si>
  <si>
    <t>CS-BS032-GN2-XL</t>
  </si>
  <si>
    <t>X001SIPYCN</t>
  </si>
  <si>
    <t>B07C3Z12F3</t>
  </si>
  <si>
    <t>CS-BS032-GN2-XXL</t>
  </si>
  <si>
    <t>B07C3PLGYD</t>
  </si>
  <si>
    <t>CS-BS032-NB-L</t>
  </si>
  <si>
    <t>B07C3Q43WW</t>
  </si>
  <si>
    <t>CS-BS032-NB-M</t>
  </si>
  <si>
    <t>X001SIQ2LP</t>
  </si>
  <si>
    <t>B07C3PGX1T</t>
  </si>
  <si>
    <t>CS-BS032-NB-S</t>
  </si>
  <si>
    <t>B07C3WZSPL</t>
  </si>
  <si>
    <t>CS-BS032-NB-XL</t>
  </si>
  <si>
    <t>B07C3SF9MQ</t>
  </si>
  <si>
    <t>CS-BS032-NB-XXL</t>
  </si>
  <si>
    <t>B07C3W73C5</t>
  </si>
  <si>
    <t>CS-BS032-RD-L</t>
  </si>
  <si>
    <t>X001SHGOSH</t>
  </si>
  <si>
    <t>B07C3YBYX7</t>
  </si>
  <si>
    <t>CS-BS032-RD-M</t>
  </si>
  <si>
    <t>X001SHGNSD</t>
  </si>
  <si>
    <t>B07C3ZH25J</t>
  </si>
  <si>
    <t>CS-BS032-RD-S</t>
  </si>
  <si>
    <t>B07C3VYLS7</t>
  </si>
  <si>
    <t>CS-BS032-RD-XL</t>
  </si>
  <si>
    <t>B07C3PCPDD</t>
  </si>
  <si>
    <t>CS-BS032-RD-XXL</t>
  </si>
  <si>
    <t>B07CC3WQPP</t>
  </si>
  <si>
    <t>CS-BS032-YL-L</t>
  </si>
  <si>
    <t>X001SIRHY1</t>
  </si>
  <si>
    <t>B07C3TJYQH</t>
  </si>
  <si>
    <t>CS-BS032-YL-M</t>
  </si>
  <si>
    <t>X001SIQ2LZ</t>
  </si>
  <si>
    <t>B07C3T8GXY</t>
  </si>
  <si>
    <t>CS-BS032-YL-S</t>
  </si>
  <si>
    <t>X001SIQ1W5</t>
  </si>
  <si>
    <t>B07C3R4C6Z</t>
  </si>
  <si>
    <t>CS-BS032-YL-XL</t>
  </si>
  <si>
    <t>B07C3RFRDP</t>
  </si>
  <si>
    <t>CS-BS032-YL-XXL</t>
  </si>
  <si>
    <t>X001SIPYCX</t>
  </si>
  <si>
    <t>B07C3Q56RF</t>
  </si>
  <si>
    <t>CS-BULHY032-NB-XXL</t>
  </si>
  <si>
    <t>X001SXSF2J</t>
  </si>
  <si>
    <t>B07D6J2QZJ</t>
  </si>
  <si>
    <t>MOCOTONO Men's Short Sleeve Floral Print Button Down Casual Shirt Navy XX-Large</t>
  </si>
  <si>
    <t>CS-BUSB031-GN1-L</t>
  </si>
  <si>
    <t>B078VZWD4W</t>
  </si>
  <si>
    <t>MOCOTONO Men's Long Sleeve Flannel Plaid Checkered Button Down Casual Dress Shirts Green1 Large</t>
  </si>
  <si>
    <t>CS-BUSB031-GN1-M</t>
  </si>
  <si>
    <t>B078W17Y8B</t>
  </si>
  <si>
    <t>MOCOTONO Men's Long Sleeve Flannel Plaid Checkered Button Down Casual Dress Shirts Green1 Medium</t>
  </si>
  <si>
    <t>CS-BUSB031-GN1-S</t>
  </si>
  <si>
    <t>B078VZ8HXT</t>
  </si>
  <si>
    <t>MOCOTONO Men's Long Sleeve Flannel Plaid Checkered Button Down Casual Dress Shirts Green1 Small</t>
  </si>
  <si>
    <t>CS-BUSB031-GN1-XL</t>
  </si>
  <si>
    <t>B078VYGB63</t>
  </si>
  <si>
    <t>MOCOTONO Men's Long Sleeve Flannel Plaid Checkered Button Down Casual Dress Shirts Green1 X-Large</t>
  </si>
  <si>
    <t>CS-BUSB031-GN1-XXL</t>
  </si>
  <si>
    <t>B078VYVGV2</t>
  </si>
  <si>
    <t>MOCOTONO Men's Long Sleeve Flannel Plaid Checkered Button Down Casual Dress Shirts Green1 XX-Large</t>
  </si>
  <si>
    <t>CS-BUSB031-GN2-L</t>
  </si>
  <si>
    <t>B078VZV97W</t>
  </si>
  <si>
    <t>MOCOTONO Men's Long Sleeve Flannel Plaid Checkered Button Down Casual Dress Shirts Green2 Large</t>
  </si>
  <si>
    <t>CS-BUSB031-GN2-M</t>
  </si>
  <si>
    <t>B078VZ1HKP</t>
  </si>
  <si>
    <t>MOCOTONO Men's Long Sleeve Flannel Plaid Checkered Button Down Casual Dress Shirts Green2 Medium</t>
  </si>
  <si>
    <t>CS-BUSB031-GN2-S</t>
  </si>
  <si>
    <t>B078VZRGFC</t>
  </si>
  <si>
    <t>MOCOTONO Men's Long Sleeve Flannel Plaid Checkered Button Down Casual Dress Shirts Green2 Small</t>
  </si>
  <si>
    <t>CS-BUSB031-GN2-XL</t>
  </si>
  <si>
    <t>B078VZ27TC</t>
  </si>
  <si>
    <t>MOCOTONO Men's Long Sleeve Flannel Plaid Checkered Button Down Casual Dress Shirts Green2 X-Large</t>
  </si>
  <si>
    <t>CS-BUSB031-GN2-XXL</t>
  </si>
  <si>
    <t>B078VZ2JPL</t>
  </si>
  <si>
    <t>MOCOTONO Men's Long Sleeve Flannel Plaid Checkered Button Down Casual Dress Shirts Green2 XX-Large</t>
  </si>
  <si>
    <t>CS-BUSB031-GN3-L</t>
  </si>
  <si>
    <t>B078VYGB2L</t>
  </si>
  <si>
    <t>MOCOTONO Men's Long Sleeve Flannel Plaid Checkered Button Down Casual Dress Shirts Green3 Large</t>
  </si>
  <si>
    <t>CS-BUSB031-GN3-M</t>
  </si>
  <si>
    <t>B078W251Y6</t>
  </si>
  <si>
    <t>MOCOTONO Men's Long Sleeve Flannel Plaid Checkered Button Down Casual Dress Shirts Green3 Medium</t>
  </si>
  <si>
    <t>CS-BUSB031-GN3-S</t>
  </si>
  <si>
    <t>B078VZN6N3</t>
  </si>
  <si>
    <t>MOCOTONO Men's Long Sleeve Flannel Plaid Checkered Button Down Casual Dress Shirts Green3 Small</t>
  </si>
  <si>
    <t>CS-BUSB031-GN3-XL</t>
  </si>
  <si>
    <t>B078VZTNHM</t>
  </si>
  <si>
    <t>MOCOTONO Men's Long Sleeve Flannel Plaid Checkered Button Down Casual Dress Shirts Green3 X-Large</t>
  </si>
  <si>
    <t>CS-BUSB031-GN3-XXL</t>
  </si>
  <si>
    <t>B078W16WSC</t>
  </si>
  <si>
    <t>MOCOTONO Men's Long Sleeve Flannel Plaid Checkered Button Down Casual Dress Shirts Green3 XX-Large</t>
  </si>
  <si>
    <t>CS-BUSB031-RD1-L</t>
  </si>
  <si>
    <t>B078W17Y87</t>
  </si>
  <si>
    <t>MOCOTONO Men's Long Sleeve Flannel Plaid Checkered Button Down Casual Dress Shirts Red1 Large</t>
  </si>
  <si>
    <t>CS-BUSB031-RD1-M</t>
  </si>
  <si>
    <t>B078VYGCF1</t>
  </si>
  <si>
    <t>MOCOTONO Men's Long Sleeve Flannel Plaid Checkered Button Down Casual Dress Shirts Red1 Medium</t>
  </si>
  <si>
    <t>CS-BUSB031-RD1-S</t>
  </si>
  <si>
    <t>B078W13P74</t>
  </si>
  <si>
    <t>MOCOTONO Men's Long Sleeve Flannel Plaid Checkered Button Down Casual Dress Shirts Red1 Small</t>
  </si>
  <si>
    <t>CS-BUSB031-RD1-XL</t>
  </si>
  <si>
    <t>B078VYLFD9</t>
  </si>
  <si>
    <t>MOCOTONO Men's Long Sleeve Flannel Plaid Checkered Button Down Casual Dress Shirts Red1 X-Large</t>
  </si>
  <si>
    <t>CS-BUSB031-RD1-XXL</t>
  </si>
  <si>
    <t>B078VYD4YX</t>
  </si>
  <si>
    <t>MOCOTONO Men's Long Sleeve Flannel Plaid Checkered Button Down Casual Dress Shirts Red1 XX-Large</t>
  </si>
  <si>
    <t>CS-BUSB031-RD2-L</t>
  </si>
  <si>
    <t>B078VYG846</t>
  </si>
  <si>
    <t>MOCOTONO Men's Long Sleeve Flannel Plaid Checkered Button Down Casual Dress Shirts Red2 Large</t>
  </si>
  <si>
    <t>CS-BUSB031-RD2-M</t>
  </si>
  <si>
    <t>B078W16WSF</t>
  </si>
  <si>
    <t>MOCOTONO Men's Long Sleeve Flannel Plaid Checkered Button Down Casual Dress Shirts Red2 Medium</t>
  </si>
  <si>
    <t>CS-BUSB031-RD2-S</t>
  </si>
  <si>
    <t>B078W14ZXN</t>
  </si>
  <si>
    <t>MOCOTONO Men's Long Sleeve Flannel Plaid Checkered Button Down Casual Dress Shirts Red2 Small</t>
  </si>
  <si>
    <t>CS-BUSB031-RD2-XL</t>
  </si>
  <si>
    <t>B078VZHKR7</t>
  </si>
  <si>
    <t>MOCOTONO Men's Long Sleeve Flannel Plaid Checkered Button Down Casual Dress Shirts Red2 X-Large</t>
  </si>
  <si>
    <t>CS-BUSB031-RD2-XXL</t>
  </si>
  <si>
    <t>B078VZVBTM</t>
  </si>
  <si>
    <t>MOCOTONO Men's Long Sleeve Flannel Plaid Checkered Button Down Casual Dress Shirts Red2 XX-Large</t>
  </si>
  <si>
    <t>CS-BUSB031-YL1-L</t>
  </si>
  <si>
    <t>B078W1DFNY</t>
  </si>
  <si>
    <t>MOCOTONO Men's Long Sleeve Flannel Plaid Checkered Button Down Casual Dress Shirts Yellow1 Large</t>
  </si>
  <si>
    <t>CS-BUSB031-YL1-M</t>
  </si>
  <si>
    <t>B078W2HYY3</t>
  </si>
  <si>
    <t>MOCOTONO Men's Long Sleeve Flannel Plaid Checkered Button Down Casual Dress Shirts Yellow1 Medium</t>
  </si>
  <si>
    <t>CS-BUSB031-YL1-S</t>
  </si>
  <si>
    <t>B078W166G7</t>
  </si>
  <si>
    <t>MOCOTONO Men's Long Sleeve Flannel Plaid Checkered Button Down Casual Dress Shirts Yellow1 Small</t>
  </si>
  <si>
    <t>CS-BUSB031-YL1-XL</t>
  </si>
  <si>
    <t>B078VYLWMR</t>
  </si>
  <si>
    <t>MOCOTONO Men's Long Sleeve Flannel Plaid Checkered Button Down Casual Dress Shirts Yellow1 X-Large</t>
  </si>
  <si>
    <t>CS-BUSB031-YL1-XXL</t>
  </si>
  <si>
    <t>B078VZHFNC</t>
  </si>
  <si>
    <t>MOCOTONO Men's Long Sleeve Flannel Plaid Checkered Button Down Casual Dress Shirts Yellow1 XX-Large</t>
  </si>
  <si>
    <t>CS-BUSB031-YL2-L</t>
  </si>
  <si>
    <t>B078VYTV9R</t>
  </si>
  <si>
    <t>MOCOTONO Men's Long Sleeve Flannel Plaid Checkered Button Down Casual Dress Shirts Yellow2 Large</t>
  </si>
  <si>
    <t>CS-BUSB031-YL2-M</t>
  </si>
  <si>
    <t>B078VZ7M52</t>
  </si>
  <si>
    <t>MOCOTONO Men's Long Sleeve Flannel Plaid Checkered Button Down Casual Dress Shirts Yellow2 Medium</t>
  </si>
  <si>
    <t>CS-BUSB031-YL2-S</t>
  </si>
  <si>
    <t>B078VZT8ZR</t>
  </si>
  <si>
    <t>MOCOTONO Men's Long Sleeve Flannel Plaid Checkered Button Down Casual Dress Shirts Yellow2 Small</t>
  </si>
  <si>
    <t>CS-BUSB031-YL2-XL</t>
  </si>
  <si>
    <t>B078W1DMDJ</t>
  </si>
  <si>
    <t>MOCOTONO Men's Long Sleeve Flannel Plaid Checkered Button Down Casual Dress Shirts Yellow2 X-Large</t>
  </si>
  <si>
    <t>CS-BUSB031-YL2-XXL</t>
  </si>
  <si>
    <t>B078W2LNH4</t>
  </si>
  <si>
    <t>MOCOTONO Men's Long Sleeve Flannel Plaid Checkered Button Down Casual Dress Shirts Yellow2 XX-Large</t>
  </si>
  <si>
    <t>CS-BUSB031LHY-GN1-L</t>
  </si>
  <si>
    <t>X001STT3QF</t>
  </si>
  <si>
    <t>CS-BUSB031LHY-GN1-M</t>
  </si>
  <si>
    <t>X001STXQ13</t>
  </si>
  <si>
    <t>CS-BUSB031LHY-GN1-S</t>
  </si>
  <si>
    <t>X001STT3HJ</t>
  </si>
  <si>
    <t>CS-BUSB031LHY-GN1-XL</t>
  </si>
  <si>
    <t>X001STT3I3</t>
  </si>
  <si>
    <t>CS-BUSB031LHY-GN1-XXL</t>
  </si>
  <si>
    <t>X001SUEWIX</t>
  </si>
  <si>
    <t>CS-BUSB031LHY-GN2-L</t>
  </si>
  <si>
    <t>X001STXRV7</t>
  </si>
  <si>
    <t>CS-BUSB031LHY-GN2-M</t>
  </si>
  <si>
    <t>X001STSZ2N</t>
  </si>
  <si>
    <t>CS-BUSB031LHY-GN2-S</t>
  </si>
  <si>
    <t>X001SUEZ3P</t>
  </si>
  <si>
    <t>CS-BUSB031LHY-GN2-XL</t>
  </si>
  <si>
    <t>X001SUDN2J</t>
  </si>
  <si>
    <t>CS-BUSB031LHY-GN2-XXL</t>
  </si>
  <si>
    <t>X001SUAJZ3</t>
  </si>
  <si>
    <t>CS-BUSB031LHY-GN3-L</t>
  </si>
  <si>
    <t>X001STXRVR</t>
  </si>
  <si>
    <t>CS-BUSB031LHY-GN3-M</t>
  </si>
  <si>
    <t>X001STSZ23</t>
  </si>
  <si>
    <t>CS-BUSB031LHY-GN3-S</t>
  </si>
  <si>
    <t>X001SUAE1H</t>
  </si>
  <si>
    <t>CS-BUSB031LHY-GN3-XL</t>
  </si>
  <si>
    <t>X001STXQ1N</t>
  </si>
  <si>
    <t>CS-BUSB031LHY-GN3-XXL</t>
  </si>
  <si>
    <t>X001STXETH</t>
  </si>
  <si>
    <t>CS-BUSB031LHY-RD1-L</t>
  </si>
  <si>
    <t>X001STT3Q5</t>
  </si>
  <si>
    <t>CS-BUSB031LHY-RD1-M</t>
  </si>
  <si>
    <t>X001STXRVH</t>
  </si>
  <si>
    <t>CS-BUSB031LHY-RD1-S</t>
  </si>
  <si>
    <t>X001STXDLV</t>
  </si>
  <si>
    <t>CS-BUSB031LHY-RD1-XL</t>
  </si>
  <si>
    <t>X001SUAJYT</t>
  </si>
  <si>
    <t>CS-BUSB031LHY-RD1-XXL</t>
  </si>
  <si>
    <t>X001STXQ1D</t>
  </si>
  <si>
    <t>CS-BUSB031LHY-RD2-L</t>
  </si>
  <si>
    <t>X001STSZ1T</t>
  </si>
  <si>
    <t>CS-BUSB031LHY-RD2-M</t>
  </si>
  <si>
    <t>X001STXDM5</t>
  </si>
  <si>
    <t>CS-BUSB031LHY-RD2-S</t>
  </si>
  <si>
    <t>X001STXQ1X</t>
  </si>
  <si>
    <t>CS-BUSB031LHY-RD2-XL</t>
  </si>
  <si>
    <t>X001STXETR</t>
  </si>
  <si>
    <t>CS-BUSB031LHY-RD2-XXL</t>
  </si>
  <si>
    <t>X001STXESX</t>
  </si>
  <si>
    <t>CS-BUSB031LHY-YL1-L</t>
  </si>
  <si>
    <t>X001SUEWJ7</t>
  </si>
  <si>
    <t>CS-BUSB031LHY-YL1-M</t>
  </si>
  <si>
    <t>X001SUADOP</t>
  </si>
  <si>
    <t>CS-BUSB031LHY-YL1-S</t>
  </si>
  <si>
    <t>X001SLXGBV</t>
  </si>
  <si>
    <t>B07DDFF3SS</t>
  </si>
  <si>
    <t>CS-BUSB031LHY-YL1-XL</t>
  </si>
  <si>
    <t>X001SUEZ35</t>
  </si>
  <si>
    <t>CS-BUSB031LHY-YL1-XXL</t>
  </si>
  <si>
    <t>X001STXDLB</t>
  </si>
  <si>
    <t>CS-BUSB031LHY-YL2-L</t>
  </si>
  <si>
    <t>X001STT3HT</t>
  </si>
  <si>
    <t>CS-BUSB031LHY-YL2-M</t>
  </si>
  <si>
    <t>X001STXDLL</t>
  </si>
  <si>
    <t>CS-BUSB031LHY-YL2-S</t>
  </si>
  <si>
    <t>X001STXRW1</t>
  </si>
  <si>
    <t>CS-BUSB031LHY-YL2-XL</t>
  </si>
  <si>
    <t>X001SUEZ3F</t>
  </si>
  <si>
    <t>CS-BUSB031LHY-YL2-XXL</t>
  </si>
  <si>
    <t>X001STSZ2D</t>
  </si>
  <si>
    <t>CS-BUSB032-BL-L</t>
  </si>
  <si>
    <t>MOCOTONO Men's Short Sleeve Floral Print Button Down Casual Shirt Blue Large</t>
  </si>
  <si>
    <t>CS-BUSB032-BL-M</t>
  </si>
  <si>
    <t>MOCOTONO Men's Short Sleeve Floral Print Button Down Casual Shirt Blue Medium</t>
  </si>
  <si>
    <t>CS-BUSB032-BL-S</t>
  </si>
  <si>
    <t>MOCOTONO Men's Short Sleeve Floral Print Button Down Casual Shirt Blue Small</t>
  </si>
  <si>
    <t>CS-BUSB032-BL-XL</t>
  </si>
  <si>
    <t>MOCOTONO Men's Short Sleeve Floral Print Button Down Casual Shirt Blue X-Large</t>
  </si>
  <si>
    <t>CS-BUSB032-BL-XXL</t>
  </si>
  <si>
    <t>MOCOTONO Men's Short Sleeve Floral Print Button Down Casual Shirt Blue XX-Large</t>
  </si>
  <si>
    <t>CS-BUSB032-GN1-L</t>
  </si>
  <si>
    <t>MOCOTONO Men's Short Sleeve Floral Print Button Down Casual Shirt Green 1 Large</t>
  </si>
  <si>
    <t>CS-BUSB032-GN1-M</t>
  </si>
  <si>
    <t>MOCOTONO Men's Short Sleeve Floral Print Button Down Casual Shirt Green 1 Medium</t>
  </si>
  <si>
    <t>CS-BUSB032-GN1-S</t>
  </si>
  <si>
    <t>MOCOTONO Men's Short Sleeve Floral Print Button Down Casual Shirt Green 1 Small</t>
  </si>
  <si>
    <t>CS-BUSB032-GN1-XL</t>
  </si>
  <si>
    <t>MOCOTONO Men's Short Sleeve Floral Print Button Down Casual Shirt Green 1 X-Large</t>
  </si>
  <si>
    <t>CS-BUSB032-GN1-XXL</t>
  </si>
  <si>
    <t>MOCOTONO Men's Short Sleeve Floral Print Button Down Casual Shirt Green 1 XX-Large</t>
  </si>
  <si>
    <t>CS-BUSB032-GN2-L</t>
  </si>
  <si>
    <t>MOCOTONO Men's Short Sleeve Floral Print Button Down Casual Shirt Green 2 Large</t>
  </si>
  <si>
    <t>CS-BUSB032-GN2-M</t>
  </si>
  <si>
    <t>MOCOTONO Men's Short Sleeve Floral Print Button Down Casual Shirt Green 2 Medium</t>
  </si>
  <si>
    <t>CS-BUSB032-GN2-S</t>
  </si>
  <si>
    <t>MOCOTONO Men's Short Sleeve Floral Print Button Down Casual Shirt Green 2 Small</t>
  </si>
  <si>
    <t>CS-BUSB032-GN2-XL</t>
  </si>
  <si>
    <t>MOCOTONO Men's Short Sleeve Floral Print Button Down Casual Shirt Green 2 X-Large</t>
  </si>
  <si>
    <t>CS-BUSB032-GN2-XXL</t>
  </si>
  <si>
    <t>MOCOTONO Men's Short Sleeve Floral Print Button Down Casual Shirt Green 2 XX-Large</t>
  </si>
  <si>
    <t>CS-BUSB032-NB-L</t>
  </si>
  <si>
    <t>MOCOTONO Men's Short Sleeve Floral Print Button Down Casual Shirt Navy Large</t>
  </si>
  <si>
    <t>CS-BUSB032-NB-M</t>
  </si>
  <si>
    <t>MOCOTONO Men's Short Sleeve Floral Print Button Down Casual Shirt Navy Medium</t>
  </si>
  <si>
    <t>CS-BUSB032-NB-S</t>
  </si>
  <si>
    <t>MOCOTONO Men's Short Sleeve Floral Print Button Down Casual Shirt Navy Small</t>
  </si>
  <si>
    <t>CS-BUSB032-NB-XL</t>
  </si>
  <si>
    <t>MOCOTONO Men's Short Sleeve Floral Print Button Down Casual Shirt Navy X-Large</t>
  </si>
  <si>
    <t>CS-BUSB032-NB-XXL</t>
  </si>
  <si>
    <t>CS-BUSB032-RD-L</t>
  </si>
  <si>
    <t>MOCOTONO Men's Short Sleeve Floral Print Button Down Casual Shirt Red Large</t>
  </si>
  <si>
    <t>CS-BUSB032-RD-M</t>
  </si>
  <si>
    <t>MOCOTONO Men's Short Sleeve Floral Print Button Down Casual Shirt Red Medium</t>
  </si>
  <si>
    <t>CS-BUSB032-RD-S</t>
  </si>
  <si>
    <t>MOCOTONO Men's Short Sleeve Floral Print Button Down Casual Shirt Red Small</t>
  </si>
  <si>
    <t>CS-BUSB032-RD-XL</t>
  </si>
  <si>
    <t>MOCOTONO Men's Short Sleeve Floral Print Button Down Casual Shirt Red X-Large</t>
  </si>
  <si>
    <t>CS-BUSB032-RD-XXL</t>
  </si>
  <si>
    <t>MOCOTONO Men's Short Sleeve Floral Print Button Down Casual Shirt Red XX-Large</t>
  </si>
  <si>
    <t>CS-BUSB032-YL-L</t>
  </si>
  <si>
    <t>MOCOTONO Men's Short Sleeve Floral Print Button Down Casual Shirt Yellow Large</t>
  </si>
  <si>
    <t>CS-BUSB032-YL-M</t>
  </si>
  <si>
    <t>MOCOTONO Men's Short Sleeve Floral Print Button Down Casual Shirt Yellow Medium</t>
  </si>
  <si>
    <t>CS-BUSB032-YL-S</t>
  </si>
  <si>
    <t>MOCOTONO Men's Short Sleeve Floral Print Button Down Casual Shirt Yellow Small</t>
  </si>
  <si>
    <t>CS-BUSB032-YL-XL</t>
  </si>
  <si>
    <t>MOCOTONO Men's Short Sleeve Floral Print Button Down Casual Shirt Yellow X-Large</t>
  </si>
  <si>
    <t>CS-BUSB032-YL-XXL</t>
  </si>
  <si>
    <t>MOCOTONO Men's Short Sleeve Floral Print Button Down Casual Shirt Yellow XX-Large</t>
  </si>
  <si>
    <t>CS-CA170-G912-L</t>
  </si>
  <si>
    <t>X001OUNPCV</t>
  </si>
  <si>
    <t>B079GRX2TH</t>
  </si>
  <si>
    <t>CS-CA170-G912-M</t>
  </si>
  <si>
    <t>X001OUNPR1</t>
  </si>
  <si>
    <t>B079GR6VNP</t>
  </si>
  <si>
    <t>CS-CA170-G912-S</t>
  </si>
  <si>
    <t>X001OUNTRR</t>
  </si>
  <si>
    <t>B079GS6Y3H</t>
  </si>
  <si>
    <t>CS-CA170-G912-XL</t>
  </si>
  <si>
    <t>X001OUNKRV</t>
  </si>
  <si>
    <t>B079GPN39K</t>
  </si>
  <si>
    <t>CS-CA170-G912-XXL</t>
  </si>
  <si>
    <t>X001OUNKRB</t>
  </si>
  <si>
    <t>B079GQNGDL</t>
  </si>
  <si>
    <t>CS-CA170-LB916-L</t>
  </si>
  <si>
    <t>X001OUNTQX</t>
  </si>
  <si>
    <t>B079GR976S</t>
  </si>
  <si>
    <t>CS-CA170-LB916-M</t>
  </si>
  <si>
    <t>X001OTUHDH</t>
  </si>
  <si>
    <t>B079GVSPL3</t>
  </si>
  <si>
    <t>CS-CA170-LB916-S</t>
  </si>
  <si>
    <t>X001OT0BQ5</t>
  </si>
  <si>
    <t>B079GST22H</t>
  </si>
  <si>
    <t>CS-CA170-LB916-XL</t>
  </si>
  <si>
    <t>X001OTUHE1</t>
  </si>
  <si>
    <t>B079GSKHJJ</t>
  </si>
  <si>
    <t>CS-CA170-LB916-XXL</t>
  </si>
  <si>
    <t>X001OTUHMD</t>
  </si>
  <si>
    <t>B079GQYB4Y</t>
  </si>
  <si>
    <t>CS-CA170-LG907-L</t>
  </si>
  <si>
    <t>X001OTUHRD</t>
  </si>
  <si>
    <t>B079GRM97W</t>
  </si>
  <si>
    <t>CS-CA170-LG907-M</t>
  </si>
  <si>
    <t>X001OUHUEZ</t>
  </si>
  <si>
    <t>B079GV2D62</t>
  </si>
  <si>
    <t>CS-CA170-LG907-S</t>
  </si>
  <si>
    <t>X001OT0BQF</t>
  </si>
  <si>
    <t>B079GQVG2T</t>
  </si>
  <si>
    <t>CS-CA170-LG907-XL</t>
  </si>
  <si>
    <t>X001OTUHMN</t>
  </si>
  <si>
    <t>B079GSTC7J</t>
  </si>
  <si>
    <t>CS-CA170-LG907-XXL</t>
  </si>
  <si>
    <t>X001OTUHKF</t>
  </si>
  <si>
    <t>B079GSC1H8</t>
  </si>
  <si>
    <t>CS-CA170-PI908-L</t>
  </si>
  <si>
    <t>X001OTUHK5</t>
  </si>
  <si>
    <t>B079GTJQYX</t>
  </si>
  <si>
    <t>CS-CA170-PI908-M</t>
  </si>
  <si>
    <t>X001OT0BPV</t>
  </si>
  <si>
    <t>B079GT4GG4</t>
  </si>
  <si>
    <t>CS-CA170-PI908-S</t>
  </si>
  <si>
    <t>X001OTUHR3</t>
  </si>
  <si>
    <t>B079GT383K</t>
  </si>
  <si>
    <t>CS-CA170-PI908-XL</t>
  </si>
  <si>
    <t>X001OUHUEP</t>
  </si>
  <si>
    <t>B079GRGKFH</t>
  </si>
  <si>
    <t>CS-CA170-PI908-XXL</t>
  </si>
  <si>
    <t>X001OUNPD5</t>
  </si>
  <si>
    <t>B079GQD76C</t>
  </si>
  <si>
    <t>CS-CA170-Sa911-L</t>
  </si>
  <si>
    <t>X001OT04GR</t>
  </si>
  <si>
    <t>B079GQMN8N</t>
  </si>
  <si>
    <t>CS-CA170-Sa911-M</t>
  </si>
  <si>
    <t>X001OUNTX1</t>
  </si>
  <si>
    <t>B079GSCTMQ</t>
  </si>
  <si>
    <t>CS-CA170-Sa911-S</t>
  </si>
  <si>
    <t>X001OT04G7</t>
  </si>
  <si>
    <t>B079GST3FD</t>
  </si>
  <si>
    <t>CS-CA170-Sa911-XL</t>
  </si>
  <si>
    <t>X001OUNKR1</t>
  </si>
  <si>
    <t>B079GSTC7R</t>
  </si>
  <si>
    <t>CS-CA170-Sa911-XXL</t>
  </si>
  <si>
    <t>X001OUNTSB</t>
  </si>
  <si>
    <t>B079GQWKTP</t>
  </si>
  <si>
    <t>CS-CA170-W902-L</t>
  </si>
  <si>
    <t>X001OUHTWN</t>
  </si>
  <si>
    <t>B079GRTM5Y</t>
  </si>
  <si>
    <t>CS-CA170-W902-M</t>
  </si>
  <si>
    <t>X001OTUHDR</t>
  </si>
  <si>
    <t>B079GTF36C</t>
  </si>
  <si>
    <t>CS-CA170-W902-S</t>
  </si>
  <si>
    <t>X001OUNTS1</t>
  </si>
  <si>
    <t>B079GS925N</t>
  </si>
  <si>
    <t>CS-CA170-W902-XL</t>
  </si>
  <si>
    <t>X001OTUHKP</t>
  </si>
  <si>
    <t>B079GRPTTG</t>
  </si>
  <si>
    <t>CS-CA170-W902-XXL</t>
  </si>
  <si>
    <t>X001OUNTRH</t>
  </si>
  <si>
    <t>B079GV27GQ</t>
  </si>
  <si>
    <t>CS-CA170-WR917-L</t>
  </si>
  <si>
    <t>X001OT04FX</t>
  </si>
  <si>
    <t>B079GS5411</t>
  </si>
  <si>
    <t>CS-CA170-WR917-M</t>
  </si>
  <si>
    <t>X001OT04GH</t>
  </si>
  <si>
    <t>B079GQTV7Z</t>
  </si>
  <si>
    <t>CS-CA170-WR917-S</t>
  </si>
  <si>
    <t>X001OUPO1B</t>
  </si>
  <si>
    <t>B079GSDF9Q</t>
  </si>
  <si>
    <t>CS-CA170-WR917-XL</t>
  </si>
  <si>
    <t>X001OT0BFB</t>
  </si>
  <si>
    <t>B079GTZPCH</t>
  </si>
  <si>
    <t>CS-CA170-WR917-XXL</t>
  </si>
  <si>
    <t>X001OT0BF1</t>
  </si>
  <si>
    <t>B079GT61H8</t>
  </si>
  <si>
    <t>CS-CA170-ZL918-L</t>
  </si>
  <si>
    <t>X001OTUHJV</t>
  </si>
  <si>
    <t>B079GSYBPV</t>
  </si>
  <si>
    <t>CS-CA170-ZL918-M</t>
  </si>
  <si>
    <t>X001OT0BDN</t>
  </si>
  <si>
    <t>B079GTJNW6</t>
  </si>
  <si>
    <t>CS-CA170-ZL918-S</t>
  </si>
  <si>
    <t>X001OTUHRN</t>
  </si>
  <si>
    <t>B079GRTJX5</t>
  </si>
  <si>
    <t>CS-CA170-ZL918-XL</t>
  </si>
  <si>
    <t>X001OUNTR7</t>
  </si>
  <si>
    <t>B079GRVVCT</t>
  </si>
  <si>
    <t>CS-CA170-ZL918-XXL</t>
  </si>
  <si>
    <t>X001OUNKRL</t>
  </si>
  <si>
    <t>B079GSSR2M</t>
  </si>
  <si>
    <t>CS-CA181-G912-L</t>
  </si>
  <si>
    <t>X001OSWMFT</t>
  </si>
  <si>
    <t>B079GT6D99</t>
  </si>
  <si>
    <t>CS-CA181-G912-M</t>
  </si>
  <si>
    <t>X001OUOR9B</t>
  </si>
  <si>
    <t>B079GT1HFY</t>
  </si>
  <si>
    <t>CS-CA181-G912-XL</t>
  </si>
  <si>
    <t>X001OTV2UT</t>
  </si>
  <si>
    <t>B079GQSC7F</t>
  </si>
  <si>
    <t>CS-CA181-G912-XXL</t>
  </si>
  <si>
    <t>X001OUO8G3</t>
  </si>
  <si>
    <t>B079GRNHGQ</t>
  </si>
  <si>
    <t>CS-CA181-LG907-L</t>
  </si>
  <si>
    <t>X001OSWMQ3</t>
  </si>
  <si>
    <t>B079GR823H</t>
  </si>
  <si>
    <t>CS-CA181-LG907-M</t>
  </si>
  <si>
    <t>X001OSWMFJ</t>
  </si>
  <si>
    <t>B079GS275Z</t>
  </si>
  <si>
    <t>CS-CA181-LG907-S</t>
  </si>
  <si>
    <t>X001OT0UDJ</t>
  </si>
  <si>
    <t>B079GQJ9RT</t>
  </si>
  <si>
    <t>CS-CA181-LG907-XL</t>
  </si>
  <si>
    <t>X001OUOR9L</t>
  </si>
  <si>
    <t>B079GT5G3X</t>
  </si>
  <si>
    <t>CS-CA181-LG907-XXL</t>
  </si>
  <si>
    <t>X001OTV2RR</t>
  </si>
  <si>
    <t>B079GTRY2Q</t>
  </si>
  <si>
    <t>CS-CA181-W902-L</t>
  </si>
  <si>
    <t>X001OTV2UJ</t>
  </si>
  <si>
    <t>B079GQSZP8</t>
  </si>
  <si>
    <t>CS-CA181-W902-M</t>
  </si>
  <si>
    <t>X001OT0UDT</t>
  </si>
  <si>
    <t>B079GRHQ5F</t>
  </si>
  <si>
    <t>CS-CA181-W902-S</t>
  </si>
  <si>
    <t>X001OUIKQH</t>
  </si>
  <si>
    <t>B079GS3VMB</t>
  </si>
  <si>
    <t>CS-CA181-W902-XL</t>
  </si>
  <si>
    <t>X001OUIKRB</t>
  </si>
  <si>
    <t>B079GSMM6S</t>
  </si>
  <si>
    <t>CS-CA181-W902-XXL</t>
  </si>
  <si>
    <t>X001OSWXKN</t>
  </si>
  <si>
    <t>B079GSRC4F</t>
  </si>
  <si>
    <t>CS-CA181-WR917-L</t>
  </si>
  <si>
    <t>X001OTV2RH</t>
  </si>
  <si>
    <t>B079GV283Q</t>
  </si>
  <si>
    <t>CS-CA181-WR917-XL</t>
  </si>
  <si>
    <t>X001OT0UE3</t>
  </si>
  <si>
    <t>B079GSXSXS</t>
  </si>
  <si>
    <t>CS-CA181-WR917-XXL</t>
  </si>
  <si>
    <t>X001OSWMF9</t>
  </si>
  <si>
    <t>B079GRKTBJ</t>
  </si>
  <si>
    <t>CS-CA181-ZL918-L</t>
  </si>
  <si>
    <t>X001OSWMQD</t>
  </si>
  <si>
    <t>B079GVSYLV</t>
  </si>
  <si>
    <t>CS-CA181-ZL918-M</t>
  </si>
  <si>
    <t>X001OT0UG1</t>
  </si>
  <si>
    <t>B079GS2764</t>
  </si>
  <si>
    <t>CS-CA181-ZL918-S</t>
  </si>
  <si>
    <t>X001OTV2V3</t>
  </si>
  <si>
    <t>B079GV283S</t>
  </si>
  <si>
    <t>CS-CA181-ZL918-XL</t>
  </si>
  <si>
    <t>X001OUO8M7</t>
  </si>
  <si>
    <t>B079GSJQ9H</t>
  </si>
  <si>
    <t>CS-CA181-ZL918-XXL</t>
  </si>
  <si>
    <t>X001OSWMEP</t>
  </si>
  <si>
    <t>B079GT5HZL</t>
  </si>
  <si>
    <t>CS-LHY003-BK-L</t>
  </si>
  <si>
    <t>X001THCGVZ</t>
  </si>
  <si>
    <t>CS-LHY003-BK-M</t>
  </si>
  <si>
    <t>X001THCGW9</t>
  </si>
  <si>
    <t>CS-LHY003-BK-S</t>
  </si>
  <si>
    <t>X001THM3A9</t>
  </si>
  <si>
    <t>B0776VDDPW</t>
  </si>
  <si>
    <t>MOCOTONO Men's Long Sleeve Denim Solid Double-Pocket Shirt Black Small</t>
  </si>
  <si>
    <t>CS-LHY003-BK-XL</t>
  </si>
  <si>
    <t>X001TGTPAB</t>
  </si>
  <si>
    <t>CS-LHY003-BK-XXL</t>
  </si>
  <si>
    <t>X001TGTXDP</t>
  </si>
  <si>
    <t>B0776T1WP3</t>
  </si>
  <si>
    <t>MOCOTONO Men's Long Sleeve Denim Solid Double-Pocket Shirt Black XX-Large</t>
  </si>
  <si>
    <t>CS-LHY003-LB-L</t>
  </si>
  <si>
    <t>X001THN9UH</t>
  </si>
  <si>
    <t>CS-LHY003-LB-M</t>
  </si>
  <si>
    <t>X001THN9UR</t>
  </si>
  <si>
    <t>CS-LHY003-LB-S</t>
  </si>
  <si>
    <t>X001THCG01</t>
  </si>
  <si>
    <t>B07511R3CB</t>
  </si>
  <si>
    <t>MOCOTONO Men's Long Sleeve Denim Solid Double-Pocket Shirt Light Blue Small</t>
  </si>
  <si>
    <t>CS-LHY003-LB-XL</t>
  </si>
  <si>
    <t>X001THN9U7</t>
  </si>
  <si>
    <t>CS-LHY009-BK-L</t>
  </si>
  <si>
    <t>X001T32NEJ</t>
  </si>
  <si>
    <t>B07DNQMXPN</t>
  </si>
  <si>
    <t>MOCOTONO Men's Short Sleeve Plaid Checkered Button Down Casual Shirts Black Large</t>
  </si>
  <si>
    <t>CS-LHY009-BK-M</t>
  </si>
  <si>
    <t>X001T2RY53</t>
  </si>
  <si>
    <t>B07514NV93</t>
  </si>
  <si>
    <t>MOCOTONO Men's Short Sleeve Plaid Checkered Button Down Casual Shirts Black Medium</t>
  </si>
  <si>
    <t>CS-LHY009-BK-S</t>
  </si>
  <si>
    <t>X001T2RZA7</t>
  </si>
  <si>
    <t>B07516K3PY</t>
  </si>
  <si>
    <t>MOCOTONO Men's Short Sleeve Plaid Checkered Button Down Casual Shirts Black Small</t>
  </si>
  <si>
    <t>CS-LHY009-BK-XL</t>
  </si>
  <si>
    <t>X001T2RYCL</t>
  </si>
  <si>
    <t>B07516WWNF</t>
  </si>
  <si>
    <t>MOCOTONO Men's Short Sleeve Plaid Checkered Button Down Casual Shirts Black X-Large</t>
  </si>
  <si>
    <t>CS-LHY009-BK-XXL</t>
  </si>
  <si>
    <t>X001T33AJ1</t>
  </si>
  <si>
    <t>B07518CGWW</t>
  </si>
  <si>
    <t>MOCOTONO Men's Short Sleeve Plaid Checkered Button Down Casual Shirts Black XX-Large</t>
  </si>
  <si>
    <t>CS-LHY009-BL-L</t>
  </si>
  <si>
    <t>X001T1S89Z</t>
  </si>
  <si>
    <t>B07516JWHJ</t>
  </si>
  <si>
    <t>MOCOTONO Men's Short Sleeve Plaid Checkered Button Down Casual Shirts Blue Large</t>
  </si>
  <si>
    <t>CS-LHY009-BL-M</t>
  </si>
  <si>
    <t>X001T32T4X</t>
  </si>
  <si>
    <t>B07516HP51</t>
  </si>
  <si>
    <t>MOCOTONO Men's Short Sleeve Plaid Checkered Button Down Casual Shirts Blue Medium</t>
  </si>
  <si>
    <t>CS-LHY009-BL-S</t>
  </si>
  <si>
    <t>X001T32CKT</t>
  </si>
  <si>
    <t>B07514LH9K</t>
  </si>
  <si>
    <t>MOCOTONO Men's Short Sleeve Plaid Checkered Button Down Casual Shirts Blue Small</t>
  </si>
  <si>
    <t>CS-LHY009-BL-XL</t>
  </si>
  <si>
    <t>X001T33AI7</t>
  </si>
  <si>
    <t>B07512J697</t>
  </si>
  <si>
    <t>MOCOTONO Men's Short Sleeve Plaid Checkered Button Down Casual Shirts Blue X-Large</t>
  </si>
  <si>
    <t>CS-LHY009-BL-XXL</t>
  </si>
  <si>
    <t>X001T338Z7</t>
  </si>
  <si>
    <t>B07515RB6G</t>
  </si>
  <si>
    <t>MOCOTONO Men's Short Sleeve Plaid Checkered Button Down Casual Shirts Blue XX-Large</t>
  </si>
  <si>
    <t>CS-LHY009-CF-L</t>
  </si>
  <si>
    <t>X001T2RYCV</t>
  </si>
  <si>
    <t>B075171TNX</t>
  </si>
  <si>
    <t>MOCOTONO Men's Short Sleeve Plaid Checkered Button Down Casual Shirts Coffee Large</t>
  </si>
  <si>
    <t>CS-LHY009-CF-M</t>
  </si>
  <si>
    <t>X001T34MK7</t>
  </si>
  <si>
    <t>B07511Q71N</t>
  </si>
  <si>
    <t>MOCOTONO Men's Short Sleeve Plaid Checkered Button Down Casual Shirts Coffee Medium</t>
  </si>
  <si>
    <t>CS-LHY009-CF-S</t>
  </si>
  <si>
    <t>X001T33BHR</t>
  </si>
  <si>
    <t>B07516DD7N</t>
  </si>
  <si>
    <t>MOCOTONO Men's Short Sleeve Plaid Checkered Button Down Casual Shirts Coffee Small</t>
  </si>
  <si>
    <t>CS-LHY009-CF-XL</t>
  </si>
  <si>
    <t>X001T2RYDF</t>
  </si>
  <si>
    <t>B07519TQN3</t>
  </si>
  <si>
    <t>MOCOTONO Men's Short Sleeve Plaid Checkered Button Down Casual Shirts Coffee X-Large</t>
  </si>
  <si>
    <t>CS-LHY009-CF-XXL</t>
  </si>
  <si>
    <t>X001T1QLY9</t>
  </si>
  <si>
    <t>B07DNRMJQJ</t>
  </si>
  <si>
    <t>MOCOTONO Men's Short Sleeve Plaid Checkered Button Down Casual Shirts Coffee XX-Large</t>
  </si>
  <si>
    <t>CS-LHY009-GN-L</t>
  </si>
  <si>
    <t>X001T34MJX</t>
  </si>
  <si>
    <t>B07515PMRM</t>
  </si>
  <si>
    <t>MOCOTONO Men's Short Sleeve Plaid Checkered Button Down Casual Shirts Green Large</t>
  </si>
  <si>
    <t>CS-LHY009-GN-M</t>
  </si>
  <si>
    <t>X001T2RZ9X</t>
  </si>
  <si>
    <t>B075155VLL</t>
  </si>
  <si>
    <t>MOCOTONO Men's Short Sleeve Plaid Checkered Button Down Casual Shirts Green Medium</t>
  </si>
  <si>
    <t>CS-LHY009-GN-S</t>
  </si>
  <si>
    <t>X001T33BH7</t>
  </si>
  <si>
    <t>B07519GSMX</t>
  </si>
  <si>
    <t>MOCOTONO Men's Short Sleeve Plaid Checkered Button Down Casual Shirts Green Small</t>
  </si>
  <si>
    <t>CS-LHY009-GN-XL</t>
  </si>
  <si>
    <t>X001T205RR</t>
  </si>
  <si>
    <t>B07513ZMT5</t>
  </si>
  <si>
    <t>MOCOTONO Men's Short Sleeve Plaid Checkered Button Down Casual Shirts Green X-Large</t>
  </si>
  <si>
    <t>CS-LHY009-GN-XXL</t>
  </si>
  <si>
    <t>X001T2RYWL</t>
  </si>
  <si>
    <t>B07513C7Z5</t>
  </si>
  <si>
    <t>MOCOTONO Men's Short Sleeve Plaid Checkered Button Down Casual Shirts Green XX-Large</t>
  </si>
  <si>
    <t>CS-LHY009-LB-L</t>
  </si>
  <si>
    <t>X001T2RYD5</t>
  </si>
  <si>
    <t>B07515HL3R</t>
  </si>
  <si>
    <t>MOCOTONO Men's Short Sleeve Plaid Checkered Button Down Casual Shirts Light Blue Large</t>
  </si>
  <si>
    <t>CS-LHY009-LB-M</t>
  </si>
  <si>
    <t>X001T32CLD</t>
  </si>
  <si>
    <t>B07514T5J6</t>
  </si>
  <si>
    <t>MOCOTONO Men's Short Sleeve Plaid Checkered Button Down Casual Shirts Light Blue Medium</t>
  </si>
  <si>
    <t>CS-LHY009-LB-S</t>
  </si>
  <si>
    <t>X001T331OP</t>
  </si>
  <si>
    <t>B07516WWN4</t>
  </si>
  <si>
    <t>MOCOTONO Men's Short Sleeve Plaid Checkered Button Down Casual Shirts Light Blue Small</t>
  </si>
  <si>
    <t>CS-LHY009-LB-XL</t>
  </si>
  <si>
    <t>X001T32CL3</t>
  </si>
  <si>
    <t>B07512TNSM</t>
  </si>
  <si>
    <t>MOCOTONO Men's Short Sleeve Plaid Checkered Button Down Casual Shirts Light Blue X-Large</t>
  </si>
  <si>
    <t>CS-LHY009-LB-XXL</t>
  </si>
  <si>
    <t>X001T33BHH</t>
  </si>
  <si>
    <t>B075169H56</t>
  </si>
  <si>
    <t>MOCOTONO Men's Short Sleeve Plaid Checkered Button Down Casual Shirts Light Blue XX-Large</t>
  </si>
  <si>
    <t>CS-LHY009-LB1-L</t>
  </si>
  <si>
    <t>X001T1S89P</t>
  </si>
  <si>
    <t>B07518JBB9</t>
  </si>
  <si>
    <t>MOCOTONO Men's Short Sleeve Plaid Checkered Button Down Casual Shirts Blue &amp; Navy Large</t>
  </si>
  <si>
    <t>CS-LHY009-LB1-M</t>
  </si>
  <si>
    <t>X001T32T4N</t>
  </si>
  <si>
    <t>B07515NL7P</t>
  </si>
  <si>
    <t>MOCOTONO Men's Short Sleeve Plaid Checkered Button Down Casual Shirts Blue &amp; Navy Medium</t>
  </si>
  <si>
    <t>CS-LHY009-LB1-S</t>
  </si>
  <si>
    <t>X001T34BK3</t>
  </si>
  <si>
    <t>CS-LHY009-LB1-XL</t>
  </si>
  <si>
    <t>X001T34MJN</t>
  </si>
  <si>
    <t>B074ZY4X2Q</t>
  </si>
  <si>
    <t>MOCOTONO Men's Short Sleeve Plaid Checkered Button Down Casual Shirts Blue &amp; Navy X-Large</t>
  </si>
  <si>
    <t>CS-LHY009-LB1-XXL</t>
  </si>
  <si>
    <t>X001T205RH</t>
  </si>
  <si>
    <t>B07512JL48</t>
  </si>
  <si>
    <t>MOCOTONO Men's Short Sleeve Plaid Checkered Button Down Casual Shirts Blue &amp; Navy XX-Large</t>
  </si>
  <si>
    <t>CS-LHY009-RD-L</t>
  </si>
  <si>
    <t>X001T2RZ9D</t>
  </si>
  <si>
    <t>B07514KZFR</t>
  </si>
  <si>
    <t>MOCOTONO Men's Short Sleeve Plaid Checkered Button Down Casual Shirts Red Large</t>
  </si>
  <si>
    <t>CS-LHY009-RD-M</t>
  </si>
  <si>
    <t>X001T32T57</t>
  </si>
  <si>
    <t>B07518TGGL</t>
  </si>
  <si>
    <t>MOCOTONO Men's Short Sleeve Plaid Checkered Button Down Casual Shirts Red Medium</t>
  </si>
  <si>
    <t>CS-LHY009-RD-S</t>
  </si>
  <si>
    <t>X001T338YX</t>
  </si>
  <si>
    <t>B07512LVFK</t>
  </si>
  <si>
    <t>MOCOTONO Men's Short Sleeve Plaid Checkered Button Down Casual Shirts Red Small</t>
  </si>
  <si>
    <t>CS-LHY009-RD-XL</t>
  </si>
  <si>
    <t>X001T2RYWB</t>
  </si>
  <si>
    <t>B0751797BH</t>
  </si>
  <si>
    <t>MOCOTONO Men's Short Sleeve Plaid Checkered Button Down Casual Shirts Red X-Large</t>
  </si>
  <si>
    <t>CS-LHY009-RD-XXL</t>
  </si>
  <si>
    <t>X001T205SB</t>
  </si>
  <si>
    <t>B074ZXXLP5</t>
  </si>
  <si>
    <t>MOCOTONO Men's Short Sleeve Plaid Checkered Button Down Casual Shirts Red XX-Large</t>
  </si>
  <si>
    <t>CS-LHY009-RDNY-L</t>
  </si>
  <si>
    <t>X001T338YN</t>
  </si>
  <si>
    <t>B0751785W7</t>
  </si>
  <si>
    <t>MOCOTONO Men's Short Sleeve Plaid Checkered Button Down Casual Shirts Red &amp; Navy Large</t>
  </si>
  <si>
    <t>CS-LHY009-RDNY-M</t>
  </si>
  <si>
    <t>X001T34SL5</t>
  </si>
  <si>
    <t>MOCOTONO Men's Short Sleeve Plaid Checkered Button Down Casual Shirts Red &amp; Navy Medium</t>
  </si>
  <si>
    <t>CS-LHY009-RDNY-S</t>
  </si>
  <si>
    <t>X001T32T5H</t>
  </si>
  <si>
    <t>B075154XYS</t>
  </si>
  <si>
    <t>MOCOTONO Men's Short Sleeve Plaid Checkered Button Down Casual Shirts Red &amp; Navy Small</t>
  </si>
  <si>
    <t>CS-LHY009-RDNY-XL</t>
  </si>
  <si>
    <t>X001T32R2H</t>
  </si>
  <si>
    <t>B07DNQRP1J</t>
  </si>
  <si>
    <t>MOCOTONO Men's Short Sleeve Plaid Checkered Button Down Casual Shirts Red &amp; Navy X-Large</t>
  </si>
  <si>
    <t>CS-LHY009-RDNY-XXL</t>
  </si>
  <si>
    <t>X001T34MKH</t>
  </si>
  <si>
    <t>B075145KMT</t>
  </si>
  <si>
    <t>MOCOTONO Men's Short Sleeve Plaid Checkered Button Down Casual Shirts Red &amp; Navy XX-Large</t>
  </si>
  <si>
    <t>CS-LHY009-YL-L</t>
  </si>
  <si>
    <t>X001T33AIH</t>
  </si>
  <si>
    <t>B07515DW7Z</t>
  </si>
  <si>
    <t>MOCOTONO Men's Short Sleeve Plaid Checkered Button Down Casual Shirts Yellow Large</t>
  </si>
  <si>
    <t>CS-LHY009-YL-M</t>
  </si>
  <si>
    <t>X001T33AIR</t>
  </si>
  <si>
    <t>B07518Q4Z1</t>
  </si>
  <si>
    <t>MOCOTONO Men's Short Sleeve Plaid Checkered Button Down Casual Shirts Yellow Medium</t>
  </si>
  <si>
    <t>CS-LHY009-YL-S</t>
  </si>
  <si>
    <t>X001T2RYCB</t>
  </si>
  <si>
    <t>B07516DD8B</t>
  </si>
  <si>
    <t>MOCOTONO Men's Short Sleeve Plaid Checkered Button Down Casual Shirts Yellow Small</t>
  </si>
  <si>
    <t>CS-LHY009-YL-XL</t>
  </si>
  <si>
    <t>X001T331OZ</t>
  </si>
  <si>
    <t>B075132NT4</t>
  </si>
  <si>
    <t>MOCOTONO Men's Short Sleeve Plaid Checkered Button Down Casual Shirts Yellow X-Large</t>
  </si>
  <si>
    <t>CS-LHY009-YL-XXL</t>
  </si>
  <si>
    <t>X001T2RZ9N</t>
  </si>
  <si>
    <t>B07519XDJ8</t>
  </si>
  <si>
    <t>MOCOTONO Men's Short Sleeve Plaid Checkered Button Down Casual Shirts Yellow XX-Large</t>
  </si>
  <si>
    <t>CS-LHY016-LB-L</t>
  </si>
  <si>
    <t>X001THO3JD</t>
  </si>
  <si>
    <t>CS-LHY016-LB-M</t>
  </si>
  <si>
    <t>X001THMBW9</t>
  </si>
  <si>
    <t>CS-LHY016-LB-S</t>
  </si>
  <si>
    <t>X001THCFS9</t>
  </si>
  <si>
    <t>CS-LHY016-LB-XL</t>
  </si>
  <si>
    <t>X001THM39Z</t>
  </si>
  <si>
    <t>CS-LHY016-LB-XXL</t>
  </si>
  <si>
    <t>X001TGTPAL</t>
  </si>
  <si>
    <t>CS-LHY030-BK-XXL</t>
  </si>
  <si>
    <t>X001TNBT5D</t>
  </si>
  <si>
    <t>B07DXQ4V2V</t>
  </si>
  <si>
    <t>CS-LHY030-GR-XXL</t>
  </si>
  <si>
    <t>X001TN57MJ</t>
  </si>
  <si>
    <t>B07F2Z983G</t>
  </si>
  <si>
    <t>Men's Short Sleeve Oxford Button Down Casual Shirt Gray XX-Large</t>
  </si>
  <si>
    <t>CS-LHY030-YL-XXL</t>
  </si>
  <si>
    <t>X001THQ7JR</t>
  </si>
  <si>
    <t>B07DXMSQ3R</t>
  </si>
  <si>
    <t>Men's Short Sleeve Oxford Button Down Casual Shirt Yellow XX-Large</t>
  </si>
  <si>
    <t>CS-LHY032-BL-L</t>
  </si>
  <si>
    <t>X001T60RHL</t>
  </si>
  <si>
    <t>CS-LHY032-BL-M</t>
  </si>
  <si>
    <t>X001T4SC0H</t>
  </si>
  <si>
    <t>CS-LHY032-BL-S</t>
  </si>
  <si>
    <t>X001T615MH</t>
  </si>
  <si>
    <t>CS-LHY032-BL-XL</t>
  </si>
  <si>
    <t>X001T54CT1</t>
  </si>
  <si>
    <t>CS-LHY032-BL-XXL</t>
  </si>
  <si>
    <t>X001T5UWK9</t>
  </si>
  <si>
    <t>CS-LHY032-GN1-L</t>
  </si>
  <si>
    <t>X001T54CN7</t>
  </si>
  <si>
    <t>CS-LHY032-GN1-M</t>
  </si>
  <si>
    <t>X001T4SMTN</t>
  </si>
  <si>
    <t>CS-LHY032-GN1-S</t>
  </si>
  <si>
    <t>X001T54CTV</t>
  </si>
  <si>
    <t>CS-LHY032-GN1-XL</t>
  </si>
  <si>
    <t>X001T4SMYD</t>
  </si>
  <si>
    <t>CS-LHY032-GN1-XXL</t>
  </si>
  <si>
    <t>X001T615MR</t>
  </si>
  <si>
    <t>CS-LHY032-GN2-L</t>
  </si>
  <si>
    <t>X001T5477X</t>
  </si>
  <si>
    <t>CS-LHY032-GN2-M</t>
  </si>
  <si>
    <t>X001T54CMX</t>
  </si>
  <si>
    <t>CS-LHY032-GN2-S</t>
  </si>
  <si>
    <t>X001T54CU5</t>
  </si>
  <si>
    <t>CS-LHY032-GN2-XL</t>
  </si>
  <si>
    <t>X001T615N1</t>
  </si>
  <si>
    <t>CS-LHY032-GN2-XXL</t>
  </si>
  <si>
    <t>X001T62D7X</t>
  </si>
  <si>
    <t>CS-LHY032-NB-L</t>
  </si>
  <si>
    <t>X001T54CTL</t>
  </si>
  <si>
    <t>CS-LHY032-NB-M</t>
  </si>
  <si>
    <t>X001T5UWKJ</t>
  </si>
  <si>
    <t>CS-LHY032-NB-S</t>
  </si>
  <si>
    <t>X001T4KPKR</t>
  </si>
  <si>
    <t>CS-LHY032-NB-XL</t>
  </si>
  <si>
    <t>X001T5TV29</t>
  </si>
  <si>
    <t>CS-LHY032-NB-XXL</t>
  </si>
  <si>
    <t>X001T5TBFB</t>
  </si>
  <si>
    <t>CS-LHY032-RD-L</t>
  </si>
  <si>
    <t>X001T4KPKH</t>
  </si>
  <si>
    <t>CS-LHY032-RD-M</t>
  </si>
  <si>
    <t>X001T615NB</t>
  </si>
  <si>
    <t>CS-LHY032-RD-S</t>
  </si>
  <si>
    <t>X001T5TBFL</t>
  </si>
  <si>
    <t>CS-LHY032-RD-XL</t>
  </si>
  <si>
    <t>X001T54CTB</t>
  </si>
  <si>
    <t>CS-LHY032-RD-XXL</t>
  </si>
  <si>
    <t>X001T4KLXX</t>
  </si>
  <si>
    <t>CS-LHY032-YL-L</t>
  </si>
  <si>
    <t>X001T4KPK7</t>
  </si>
  <si>
    <t>CS-LHY032-YL-M</t>
  </si>
  <si>
    <t>X001T4KM2D</t>
  </si>
  <si>
    <t>CS-LHY032-YL-S</t>
  </si>
  <si>
    <t>X001T615M7</t>
  </si>
  <si>
    <t>CS-LHY032-YL-XL</t>
  </si>
  <si>
    <t>X001T4SMTD</t>
  </si>
  <si>
    <t>CS-LHY032-YL-XXL</t>
  </si>
  <si>
    <t>X001T5UWJZ</t>
  </si>
  <si>
    <t>CS-LHY170-BLK-L</t>
  </si>
  <si>
    <t>X001TQSHRN</t>
  </si>
  <si>
    <t>B07F69KM8V</t>
  </si>
  <si>
    <t>CS-LHY170-BLK-M</t>
  </si>
  <si>
    <t>X001TQVU13</t>
  </si>
  <si>
    <t>B07F6D252X</t>
  </si>
  <si>
    <t>Men's Short Sleeve Oxford Button Down Casual Shirt Light Black Medium</t>
  </si>
  <si>
    <t>CS-LHY170-BLK-S</t>
  </si>
  <si>
    <t>X001TQWBMF</t>
  </si>
  <si>
    <t>B07F6FX7XZ</t>
  </si>
  <si>
    <t>Men's Short Sleeve Oxford Button Down Casual Shirt Black Small</t>
  </si>
  <si>
    <t>CS-LHY170-BLK-XL</t>
  </si>
  <si>
    <t>X001TQVMWZ</t>
  </si>
  <si>
    <t>B07F6G3P3K</t>
  </si>
  <si>
    <t>Men's Short Sleeve Oxford Button Down Casual Shirt Black X-Large</t>
  </si>
  <si>
    <t>CS-LHY170-BLK-XXL</t>
  </si>
  <si>
    <t>X001TQVU1D</t>
  </si>
  <si>
    <t>B07F68GL7J</t>
  </si>
  <si>
    <t>Men's Short Sleeve Oxford Button Down Casual Shirt Light Blue XX-Large</t>
  </si>
  <si>
    <t>CS-LHY170-G912-L</t>
  </si>
  <si>
    <t>X001TGWLHZ</t>
  </si>
  <si>
    <t>B0788NH1LR</t>
  </si>
  <si>
    <t>Men's Short Sleeve Oxford Button Down Casual Shirt Green Large</t>
  </si>
  <si>
    <t>CS-LHY170-G912-XL</t>
  </si>
  <si>
    <t>X001TGYZQZ</t>
  </si>
  <si>
    <t>B0788K7BBT</t>
  </si>
  <si>
    <t>Men's Short Sleeve Oxford Button Down Casual Shirt Green X-Large</t>
  </si>
  <si>
    <t>CS-LHY170-G912-XXL</t>
  </si>
  <si>
    <t>X001THQ8G9</t>
  </si>
  <si>
    <t>B0788L3WMC</t>
  </si>
  <si>
    <t>Men's Short Sleeve Oxford Button Down Casual Shirt Green XX-Large</t>
  </si>
  <si>
    <t>CS-LHY170-LB916-L</t>
  </si>
  <si>
    <t>X001TGKJ0L</t>
  </si>
  <si>
    <t>B0788K28NT</t>
  </si>
  <si>
    <t>Men's Short Sleeve Oxford Button Down Casual Shirt Light Blue Large</t>
  </si>
  <si>
    <t>CS-LHY170-LB916-M</t>
  </si>
  <si>
    <t>X001TGKIRZ</t>
  </si>
  <si>
    <t>B0788L6MCP</t>
  </si>
  <si>
    <t>Men's Short Sleeve Oxford Button Down Casual Shirt Light Blue Medium</t>
  </si>
  <si>
    <t>CS-LHY170-LB916-S</t>
  </si>
  <si>
    <t>X001TJNG8P</t>
  </si>
  <si>
    <t>B07893KL3N</t>
  </si>
  <si>
    <t>Men's Short Sleeve Oxford Button Down Casual Shirt Light Blue Small</t>
  </si>
  <si>
    <t>CS-LHY170-LB916-XL</t>
  </si>
  <si>
    <t>X001TGKIRP</t>
  </si>
  <si>
    <t>B0788J8BPY</t>
  </si>
  <si>
    <t>Men's Short Sleeve Oxford Button Down Casual Shirt Light Blue X-Large</t>
  </si>
  <si>
    <t>CS-LHY170-LB916-XXL</t>
  </si>
  <si>
    <t>X001THQAGR</t>
  </si>
  <si>
    <t>B0788KFGJY</t>
  </si>
  <si>
    <t>CS-LHY170-LG907-L</t>
  </si>
  <si>
    <t>X001TGKJ7J</t>
  </si>
  <si>
    <t>B0788KNR69</t>
  </si>
  <si>
    <t>Mocotono Men's Short Sleeve Oxford Button Down Casual Shirt, Light Gray, Large</t>
  </si>
  <si>
    <t>CS-LHY170-LG907-M</t>
  </si>
  <si>
    <t>X001THPXPV</t>
  </si>
  <si>
    <t>B0788LCKVR</t>
  </si>
  <si>
    <t>Men's Short Sleeve Oxford Button Down Casual Shirt Light Gray Medium</t>
  </si>
  <si>
    <t>CS-LHY170-LG907-XL</t>
  </si>
  <si>
    <t>X001THQJLD</t>
  </si>
  <si>
    <t>B0788JG8QZ</t>
  </si>
  <si>
    <t>Mocotono Men's Short Sleeve Oxford Button Down Casual Shirt, Light Gray, X-Large</t>
  </si>
  <si>
    <t>CS-LHY170-LG907-XXL</t>
  </si>
  <si>
    <t>X001TGKILL</t>
  </si>
  <si>
    <t>B0788L9M7W</t>
  </si>
  <si>
    <t>Men's Short Sleeve Oxford Button Down Casual Shirt Light Gray XX-Large</t>
  </si>
  <si>
    <t>CS-LHY170-PI908-L</t>
  </si>
  <si>
    <t>X001TJMKKF</t>
  </si>
  <si>
    <t>B07F124YV4</t>
  </si>
  <si>
    <t>Men's Short Sleeve Oxford Button Down Casual Shirt Pink Large</t>
  </si>
  <si>
    <t>CS-LHY170-PI908-M</t>
  </si>
  <si>
    <t>X001THPXQZ</t>
  </si>
  <si>
    <t>B0788MSVZ1</t>
  </si>
  <si>
    <t>Men's Short Sleeve Oxford Button Down Casual Shirt Pink Medium</t>
  </si>
  <si>
    <t>CS-LHY170-PI908-XL</t>
  </si>
  <si>
    <t>X001THPXQF</t>
  </si>
  <si>
    <t>B0788HF2PK</t>
  </si>
  <si>
    <t>Men's Short Sleeve Oxford Button Down Casual Shirt Pink X-Large</t>
  </si>
  <si>
    <t>CS-LHY170-PI908-XXL</t>
  </si>
  <si>
    <t>X001TGKJ79</t>
  </si>
  <si>
    <t>B0788J3G9C</t>
  </si>
  <si>
    <t>Men's Short Sleeve Oxford Button Down Casual Shirt XX-Large</t>
  </si>
  <si>
    <t>CS-LHY170-Sa911-L</t>
  </si>
  <si>
    <t>X001TGKHLR</t>
  </si>
  <si>
    <t>B0788NY1L5</t>
  </si>
  <si>
    <t>Men's Short Sleeve Oxford Button Down Casual Shirt Sapphire Large</t>
  </si>
  <si>
    <t>CS-LHY170-Sa911-M</t>
  </si>
  <si>
    <t>X001THPXQP</t>
  </si>
  <si>
    <t>B0788KB8S4</t>
  </si>
  <si>
    <t>Men's Short Sleeve Oxford Button Down Casual Shirt Sapphire Medium</t>
  </si>
  <si>
    <t>CS-LHY170-Sa911-S</t>
  </si>
  <si>
    <t>X001THPXQ5</t>
  </si>
  <si>
    <t>B0788KKY5L</t>
  </si>
  <si>
    <t>Men's Short Sleeve Oxford Button Down Casual Shirt Sapphire Small</t>
  </si>
  <si>
    <t>CS-LHY170-Sa911-XL</t>
  </si>
  <si>
    <t>X001TGKILV</t>
  </si>
  <si>
    <t>B0788MX8HG</t>
  </si>
  <si>
    <t>Men's Short Sleeve Oxford Button Down Casual Shirt Sapphire X-Large</t>
  </si>
  <si>
    <t>CS-LHY170-Sa911-XXL</t>
  </si>
  <si>
    <t>X001TGKIM5</t>
  </si>
  <si>
    <t>B0788K95NG</t>
  </si>
  <si>
    <t>Men's Short Sleeve Oxford Button Down Casual Shirt Sapphire XX-Large</t>
  </si>
  <si>
    <t>CS-LHY170-W902-L</t>
  </si>
  <si>
    <t>X001TGYZ7T</t>
  </si>
  <si>
    <t>B0788MPWXH</t>
  </si>
  <si>
    <t>Mocotono Men's Short Sleeve Oxford Button Down Casual Shirt, White, Large</t>
  </si>
  <si>
    <t>CS-LHY170-W902-M</t>
  </si>
  <si>
    <t>X001TGYZIX</t>
  </si>
  <si>
    <t>B0788KD864</t>
  </si>
  <si>
    <t>Men's Short Sleeve Oxford Button Down Casual Shirt White Medium</t>
  </si>
  <si>
    <t>CS-LHY170-W902-S</t>
  </si>
  <si>
    <t>X001THPS8D</t>
  </si>
  <si>
    <t>B0788JN51X</t>
  </si>
  <si>
    <t>Men's Short Sleeve Oxford Button Down Casual Shirt White Small</t>
  </si>
  <si>
    <t>CS-LHY170-W902-XL</t>
  </si>
  <si>
    <t>X001THQ7JH</t>
  </si>
  <si>
    <t>B0788LH3L3</t>
  </si>
  <si>
    <t>Mocotono Men's Short Sleeve Oxford Button Down Casual Shirt, White, X-Large</t>
  </si>
  <si>
    <t>CS-LHY170-W902-XXL</t>
  </si>
  <si>
    <t>X001THQJLN</t>
  </si>
  <si>
    <t>B0788NVVCB</t>
  </si>
  <si>
    <t>Mocotono Men's Short Sleeve Oxford Button Down Casual Shirt, White, XX-Large</t>
  </si>
  <si>
    <t>CS-LHY170-WR917-L</t>
  </si>
  <si>
    <t>X001TGYZD3</t>
  </si>
  <si>
    <t>B0788L573R</t>
  </si>
  <si>
    <t>Mocotono Men's Short Sleeve Oxford Button Down Casual Shirt, Maroon, Large</t>
  </si>
  <si>
    <t>CS-LHY170-WR917-M</t>
  </si>
  <si>
    <t>X001THE6WH</t>
  </si>
  <si>
    <t>B0788KYP6Y</t>
  </si>
  <si>
    <t>Mocotono Men's Short Sleeve Oxford Button Down Casual Shirt, Maroon, Medium</t>
  </si>
  <si>
    <t>CS-LHY170-WR917-XL</t>
  </si>
  <si>
    <t>X001TGKJ0V</t>
  </si>
  <si>
    <t>B073PPP5ZG</t>
  </si>
  <si>
    <t>Mocotono Men's Short Sleeve Oxford Button Down Casual Shirt, Maroon, X-Large</t>
  </si>
  <si>
    <t>CS-LHY170-WR917-XXL</t>
  </si>
  <si>
    <t>X001TGKJDN</t>
  </si>
  <si>
    <t>B0788JCP1X</t>
  </si>
  <si>
    <t>Mocotono Men's Short Sleeve Oxford Button Down Casual Shirt, Maroon, XX-Large</t>
  </si>
  <si>
    <t>CS-LHY170-ZL918-L</t>
  </si>
  <si>
    <t>X001THQNPZ</t>
  </si>
  <si>
    <t>B0788KMQJK</t>
  </si>
  <si>
    <t>Mocotono Men's Short Sleeve Oxford Button Down Casual Shirt, Navy, Large</t>
  </si>
  <si>
    <t>CS-LHY170-ZL918-M</t>
  </si>
  <si>
    <t>X001TGYZCT</t>
  </si>
  <si>
    <t>B0788K4MHV</t>
  </si>
  <si>
    <t>Mocotono Men's Short Sleeve Oxford Button Down Casual Shirt, Navy, Medium</t>
  </si>
  <si>
    <t>CS-LHY170-ZL918-S</t>
  </si>
  <si>
    <t>X001THQ7PV</t>
  </si>
  <si>
    <t>B0788LH11M</t>
  </si>
  <si>
    <t>Men's Short Sleeve Oxford Button Down Casual Shirt Navy Blue Small</t>
  </si>
  <si>
    <t>CS-LHY170-ZL918-XL</t>
  </si>
  <si>
    <t>X001THQ7Q5</t>
  </si>
  <si>
    <t>B0788MSV7Q</t>
  </si>
  <si>
    <t>Mocotono Men's Short Sleeve Oxford Button Down Casual Shirt, Navy, X-Large</t>
  </si>
  <si>
    <t>CS-LHY170-ZL918-XXL</t>
  </si>
  <si>
    <t>X001TJLO0R</t>
  </si>
  <si>
    <t>B07DZS3N52</t>
  </si>
  <si>
    <t>Men's Short Sleeve Oxford Button Down Casual Shirt Navy Blue XX-Large</t>
  </si>
  <si>
    <t>CS-LHY170X-LB916-XXL</t>
  </si>
  <si>
    <t>X001TJ5NJZ</t>
  </si>
  <si>
    <t>B07DZRCHPG</t>
  </si>
  <si>
    <t>CS-LHY171-ZL918-XL</t>
  </si>
  <si>
    <t>B07CZW3MW1</t>
  </si>
  <si>
    <t>Men's Long Sleeve Oxford Regular Fit Button Down Casual Shirt Navy Blue X-Large</t>
  </si>
  <si>
    <t>CS-LY082-G0-M</t>
  </si>
  <si>
    <t>B06XRTCGL9</t>
  </si>
  <si>
    <t>CS-LY082-G0-XXL</t>
  </si>
  <si>
    <t>B06XRMZFZ2</t>
  </si>
  <si>
    <t>CS-LY082-R0-S</t>
  </si>
  <si>
    <t>B06XYNCHQB</t>
  </si>
  <si>
    <t>CS-LY084-H1-L</t>
  </si>
  <si>
    <t>MOCOTONO Men's Long Sleeve Plaid Button Down Cotton Casual Shirts Coffee/Grass Green Large</t>
  </si>
  <si>
    <t>CS-LY084-H1-M</t>
  </si>
  <si>
    <t>MOCOTONO Men's Long Sleeve Plaid Button Down Cotton Casual Shirts Coffee/Grass Green Medium</t>
  </si>
  <si>
    <t>CS-LY084-H1-S</t>
  </si>
  <si>
    <t>MOCOTONO Men's Long Sleeve Plaid Button Down Cotton Casual Shirts Coffee/Grass Green Small</t>
  </si>
  <si>
    <t>CS-LY084-H1-XL</t>
  </si>
  <si>
    <t>MOCOTONO Men's Long Sleeve Plaid Button Down Cotton Casual Shirts Coffee/Grass Green X-Large</t>
  </si>
  <si>
    <t>CS-LY084-H1-XXL</t>
  </si>
  <si>
    <t>MOCOTONO Men's Long Sleeve Plaid Button Down Cotton Casual Shirts Coffee/Grass Green XX-Large</t>
  </si>
  <si>
    <t>CS-LY084-H10-L</t>
  </si>
  <si>
    <t>MOCOTONO Men's Long Sleeve Plaid Button Down Cotton Casual Shirts White and Red Large</t>
  </si>
  <si>
    <t>CS-LY084-H10-M</t>
  </si>
  <si>
    <t>MOCOTONO Men's Long Sleeve Plaid Button Down Cotton Casual Shirts White and Red Medium</t>
  </si>
  <si>
    <t>CS-LY084-H10-S</t>
  </si>
  <si>
    <t>MOCOTONO Men's Long Sleeve Plaid Button Down Cotton Casual Shirts White and Red Small</t>
  </si>
  <si>
    <t>CS-LY084-H10-XL</t>
  </si>
  <si>
    <t>MOCOTONO Men's Long Sleeve Plaid Button Down Cotton Casual Shirts White and Red X-Large</t>
  </si>
  <si>
    <t>CS-LY084-H10-XXL</t>
  </si>
  <si>
    <t>MOCOTONO Men's Long Sleeve Plaid Button Down Cotton Casual Shirts White and Red XX-Large</t>
  </si>
  <si>
    <t>CS-LY084-H12-L</t>
  </si>
  <si>
    <t>MOCOTONO Men's Long Sleeve Plaid Button Down Cotton Casual Shirts White and Black Large</t>
  </si>
  <si>
    <t>CS-LY084-H12-M</t>
  </si>
  <si>
    <t>MOCOTONO Men's Long Sleeve Plaid Button Down Cotton Casual Shirts White and Black Medium</t>
  </si>
  <si>
    <t>CS-LY084-H12-S</t>
  </si>
  <si>
    <t>MOCOTONO Men's Long Sleeve Plaid Button Down Cotton Casual Shirts White and Black Small</t>
  </si>
  <si>
    <t>CS-LY084-H12-XL</t>
  </si>
  <si>
    <t>MOCOTONO Men's Long Sleeve Plaid Button Down Cotton Casual Shirts White and Black X-Large</t>
  </si>
  <si>
    <t>CS-LY084-H12-XXL</t>
  </si>
  <si>
    <t>MOCOTONO Men's Long Sleeve Plaid Button Down Cotton Casual Shirts White and Black XX-Large</t>
  </si>
  <si>
    <t>CS-LY084-H15-L</t>
  </si>
  <si>
    <t>MOCOTONO Men's Long Sleeve Plaid Button Down Cotton Casual Shirts Muti Plaid Large</t>
  </si>
  <si>
    <t>CS-LY084-H15-M</t>
  </si>
  <si>
    <t>MOCOTONO Men's Long Sleeve Plaid Button Down Cotton Casual Shirts Muti Plaid Medium</t>
  </si>
  <si>
    <t>CS-LY084-H15-S</t>
  </si>
  <si>
    <t>MOCOTONO Men's Long Sleeve Plaid Button Down Cotton Casual Shirts Muti Plaid Small</t>
  </si>
  <si>
    <t>CS-LY084-H15-XL</t>
  </si>
  <si>
    <t>MOCOTONO Men's Long Sleeve Plaid Button Down Cotton Casual Shirts Muti Plaid X-Large</t>
  </si>
  <si>
    <t>CS-LY084-H15-XXL</t>
  </si>
  <si>
    <t>MOCOTONO Men's Long Sleeve Plaid Button Down Cotton Casual Shirts Muti Plaid XX-Large</t>
  </si>
  <si>
    <t>CS-LY084-H16-L</t>
  </si>
  <si>
    <t>MOCOTONO Men's Long Sleeve Plaid Button Down Cotton Casual Shirts Muti Plaid 16 Large</t>
  </si>
  <si>
    <t>CS-LY084-H16-M</t>
  </si>
  <si>
    <t>MOCOTONO Men's Long Sleeve Plaid Button Down Cotton Casual Shirts Muti Plaid 16 Medium</t>
  </si>
  <si>
    <t>CS-LY084-H16-S</t>
  </si>
  <si>
    <t>MOCOTONO Men's Long Sleeve Plaid Button Down Cotton Casual Shirts Muti Plaid 16 Small</t>
  </si>
  <si>
    <t>CS-LY084-H16-XL</t>
  </si>
  <si>
    <t>MOCOTONO Men's Long Sleeve Plaid Button Down Cotton Casual Shirts Muti Plaid 16 X-Large</t>
  </si>
  <si>
    <t>CS-LY084-H2-L</t>
  </si>
  <si>
    <t>MOCOTONO Men's Long Sleeve Plaid Button Down Cotton Casual Shirts Coffee and Grass Green Large</t>
  </si>
  <si>
    <t>CS-LY084-H2-M</t>
  </si>
  <si>
    <t>MOCOTONO Men's Long Sleeve Plaid Button Down Cotton Casual Shirts Coffee and Grass Green Medium</t>
  </si>
  <si>
    <t>CS-LY084-H2-S</t>
  </si>
  <si>
    <t>MOCOTONO Men's Long Sleeve Plaid Button Down Cotton Casual Shirts Coffee and Grass Green Small</t>
  </si>
  <si>
    <t>CS-LY084-H2-XL</t>
  </si>
  <si>
    <t>MOCOTONO Men's Long Sleeve Plaid Button Down Cotton Casual Shirts Coffee and Grass Green X-Large</t>
  </si>
  <si>
    <t>CS-LY084-H2-XXL</t>
  </si>
  <si>
    <t>MOCOTONO Men's Long Sleeve Plaid Button Down Cotton Casual Shirts Coffee and Grass Green XX-Large</t>
  </si>
  <si>
    <t>CS-LY084-H3-L</t>
  </si>
  <si>
    <t>MOCOTONO Men's Long Sleeve Plaid Button Down Cotton Casual Shirts Navy and Coffee Large</t>
  </si>
  <si>
    <t>CS-LY084-H3-M</t>
  </si>
  <si>
    <t>MOCOTONO Men's Long Sleeve Plaid Button Down Cotton Casual Shirts Navy and Coffee Medium</t>
  </si>
  <si>
    <t>CS-LY084-H3-S</t>
  </si>
  <si>
    <t>MOCOTONO Men's Long Sleeve Plaid Button Down Cotton Casual Shirts Navy and Coffee Small</t>
  </si>
  <si>
    <t>CS-LY084-H3-XL</t>
  </si>
  <si>
    <t>MOCOTONO Men's Long Sleeve Plaid Button Down Cotton Casual Shirts Navy and Coffee X-Large</t>
  </si>
  <si>
    <t>CS-LY084-H3-XXL</t>
  </si>
  <si>
    <t>MOCOTONO Men's Long Sleeve Plaid Button Down Cotton Casual Shirts Navy and Coffee XX-Large</t>
  </si>
  <si>
    <t>CS-LY084-H4-L</t>
  </si>
  <si>
    <t>MOCOTONO Men's Long Sleeve Plaid Button Down Cotton Casual Shirts Red and White Large</t>
  </si>
  <si>
    <t>CS-LY084-H4-M</t>
  </si>
  <si>
    <t>MOCOTONO Men's Long Sleeve Plaid Button Down Cotton Casual Shirts Red and White Medium</t>
  </si>
  <si>
    <t>CS-LY084-H4-S</t>
  </si>
  <si>
    <t>MOCOTONO Men's Long Sleeve Plaid Button Down Cotton Casual Shirts Red and White Small</t>
  </si>
  <si>
    <t>CS-LY084-H4-XL</t>
  </si>
  <si>
    <t>MOCOTONO Men's Long Sleeve Plaid Button Down Cotton Casual Shirts Red and White X-Large</t>
  </si>
  <si>
    <t>CS-LY084-H4-XXL</t>
  </si>
  <si>
    <t>MOCOTONO Men's Long Sleeve Plaid Button Down Cotton Casual Shirts Red and White XX-Large</t>
  </si>
  <si>
    <t>CS-LY084-H6-L</t>
  </si>
  <si>
    <t>MOCOTONO Men's Long Sleeve Plaid Button Down Cotton Casual Shirts Black and White Large</t>
  </si>
  <si>
    <t>CS-LY084-H6-M</t>
  </si>
  <si>
    <t>MOCOTONO Men's Long Sleeve Plaid Button Down Cotton Casual Shirts Black and White Medium</t>
  </si>
  <si>
    <t>CS-LY084-H6-S</t>
  </si>
  <si>
    <t>MOCOTONO Men's Long Sleeve Plaid Button Down Cotton Casual Shirts Black and White Small</t>
  </si>
  <si>
    <t>CS-LY084-H6-XXL</t>
  </si>
  <si>
    <t>MOCOTONO Men's Long Sleeve Plaid Button Down Cotton Casual Shirts Black and White XX-Large</t>
  </si>
  <si>
    <t>CS-LY085-G912-M</t>
  </si>
  <si>
    <t>B06XYNCLQ7</t>
  </si>
  <si>
    <t>Men's Solid Color Oxford Long Sleeve Button Down Casual Shirt Green Medium</t>
  </si>
  <si>
    <t>CS-LY085-G912-S</t>
  </si>
  <si>
    <t>B06XYZW1W4</t>
  </si>
  <si>
    <t>Men's Solid Color Oxford Long Sleeve Button Down Casual Shirt Green Small</t>
  </si>
  <si>
    <t>CS-LY085-G912-XL</t>
  </si>
  <si>
    <t>B06XYZ71JF</t>
  </si>
  <si>
    <t>CS-LY085-G912-XXL</t>
  </si>
  <si>
    <t>B06XYYLL91</t>
  </si>
  <si>
    <t>Men's Solid Color Oxford Long Sleeve Button Down Casual Shirt Green XX-Large</t>
  </si>
  <si>
    <t>CS-LY085-LB916-L</t>
  </si>
  <si>
    <t>B06XYNCJV4</t>
  </si>
  <si>
    <t>Men's Solid Color Oxford Long Sleeve Button Down Casual Shirt Light Blue Large</t>
  </si>
  <si>
    <t>CS-LY085-LB916-M</t>
  </si>
  <si>
    <t>B06XYZHW8G</t>
  </si>
  <si>
    <t>Men's Solid Color Oxford Long Sleeve Button Down Casual Shirt Light Blue Medium</t>
  </si>
  <si>
    <t>CS-LY085-LB916-XL</t>
  </si>
  <si>
    <t>B06XYYGLT1</t>
  </si>
  <si>
    <t>Men's Solid Color Oxford Long Sleeve Button Down Casual Shirt Light Blue X-Large</t>
  </si>
  <si>
    <t>CS-LY085-LB916-XXL</t>
  </si>
  <si>
    <t>B06XYZGNQP</t>
  </si>
  <si>
    <t>Men's Solid Color Oxford Long Sleeve Button Down Casual Shirt Light Blue XX-Large</t>
  </si>
  <si>
    <t>CS-LY085-LG907-L</t>
  </si>
  <si>
    <t>B06XZ1S7LJ</t>
  </si>
  <si>
    <t>Men's Solid Color Oxford Long Sleeve Button Down Casual Shirt Light Gray Large</t>
  </si>
  <si>
    <t>CS-LY085-LG907-M</t>
  </si>
  <si>
    <t>B06XYL6KXB</t>
  </si>
  <si>
    <t>Men's Solid Color Oxford Long Sleeve Button Down Casual Shirt Light Gray Medium</t>
  </si>
  <si>
    <t>CS-LY085-LG907-S</t>
  </si>
  <si>
    <t>B06XYZPBV7</t>
  </si>
  <si>
    <t>Men's Solid Color Oxford Long Sleeve Button Down Casual Shirt Light Gray Small</t>
  </si>
  <si>
    <t>CS-LY085-LG907-XL</t>
  </si>
  <si>
    <t>B06XYTL5SD</t>
  </si>
  <si>
    <t>Men's Solid Color Oxford Long Sleeve Button Down Casual Shirt Light Gray X-Large</t>
  </si>
  <si>
    <t>CS-LY085-LG907-XXL</t>
  </si>
  <si>
    <t>B06XYL584W</t>
  </si>
  <si>
    <t>Men's Solid Color Oxford Long Sleeve Button Down Casual Shirt Light Gray XX-Large</t>
  </si>
  <si>
    <t>CS-LY085-PI908-L</t>
  </si>
  <si>
    <t>B06XYL6LJH</t>
  </si>
  <si>
    <t>Men's Solid Color Oxford Long Sleeve Button Down Casual Shirt Pink Large</t>
  </si>
  <si>
    <t>CS-LY085-PI908-M</t>
  </si>
  <si>
    <t>B06XZ1KL82</t>
  </si>
  <si>
    <t>Men's Solid Color Oxford Long Sleeve Button Down Casual Shirt Pink Medium</t>
  </si>
  <si>
    <t>CS-LY085-PI908-S</t>
  </si>
  <si>
    <t>B06XYZZB9L</t>
  </si>
  <si>
    <t>Men's Solid Color Oxford Long Sleeve Button Down Casual Shirt Pink Small</t>
  </si>
  <si>
    <t>CS-LY085-PI908-XL</t>
  </si>
  <si>
    <t>B06XZ157NV</t>
  </si>
  <si>
    <t>Men's Solid Color Oxford Long Sleeve Button Down Casual Shirt Pink X-Large</t>
  </si>
  <si>
    <t>CS-LY085-PI908-XXL</t>
  </si>
  <si>
    <t>B06XZ12WB5</t>
  </si>
  <si>
    <t>Men's Solid Color Oxford Long Sleeve Button Down Casual Shirt XX-Large</t>
  </si>
  <si>
    <t>CS-LY085-R901-L</t>
  </si>
  <si>
    <t>B06XYYYP97</t>
  </si>
  <si>
    <t>Men's Solid Color Oxford Long Sleeve Button Down Casual Shirt Light Pink Large</t>
  </si>
  <si>
    <t>CS-LY085-R901-M</t>
  </si>
  <si>
    <t>B06XYZW1W2</t>
  </si>
  <si>
    <t>Men's Solid Color Oxford Long Sleeve Button Down Casual Shirt Light Pink Medium</t>
  </si>
  <si>
    <t>CS-LY085-R901-S</t>
  </si>
  <si>
    <t>B06XZ2NHTS</t>
  </si>
  <si>
    <t>Men's Solid Color Oxford Long Sleeve Button Down Casual Shirt Light Pink Small</t>
  </si>
  <si>
    <t>CS-LY085-R901-XL</t>
  </si>
  <si>
    <t>B06XYYF2K2</t>
  </si>
  <si>
    <t>Men's Solid Color Oxford Long Sleeve Button Down Casual Shirt Light Pink X-Large</t>
  </si>
  <si>
    <t>CS-LY085-R901-XXL</t>
  </si>
  <si>
    <t>B06XYWZVMM</t>
  </si>
  <si>
    <t>Men's Solid Color Oxford Long Sleeve Button Down Casual Shirt Light Pink XX-Large</t>
  </si>
  <si>
    <t>CS-LY085-Sa911-L</t>
  </si>
  <si>
    <t>B06XYNCJV2</t>
  </si>
  <si>
    <t>Men's Solid Color Oxford Long Sleeve Button Down Casual Shirt Sapphire Large</t>
  </si>
  <si>
    <t>CS-LY085-Sa911-M</t>
  </si>
  <si>
    <t>B06Y1Y8Q6M</t>
  </si>
  <si>
    <t>Men's Solid Color Oxford Long Sleeve Button Down Casual Shirt Sapphire Medium</t>
  </si>
  <si>
    <t>CS-LY085-Sa911-S</t>
  </si>
  <si>
    <t>B06Y1WDC12</t>
  </si>
  <si>
    <t>Men's Solid Color Oxford Long Sleeve Button Down Casual Shirt Sapphire Small</t>
  </si>
  <si>
    <t>CS-LY085-Sa911-XL</t>
  </si>
  <si>
    <t>B06XYTL6PG</t>
  </si>
  <si>
    <t>Men's Solid Color Oxford Long Sleeve Button Down Casual Shirt Sapphire X-Large</t>
  </si>
  <si>
    <t>CS-LY085-Sa911-XXL</t>
  </si>
  <si>
    <t>B06XYYDVWW</t>
  </si>
  <si>
    <t>Men's Solid Color Oxford Long Sleeve Button Down Casual Shirt Sapphire XX-Large</t>
  </si>
  <si>
    <t>CS-LY085-W902-L</t>
  </si>
  <si>
    <t>B06XYZLGBC</t>
  </si>
  <si>
    <t>Men's Solid Color Oxford Long Sleeve Button Down Casual Shirt White Large</t>
  </si>
  <si>
    <t>CS-LY085-W902-M</t>
  </si>
  <si>
    <t>B06XYWTJPL</t>
  </si>
  <si>
    <t>Men's Solid Color Oxford Long Sleeve Button Down Casual Shirt White Medium</t>
  </si>
  <si>
    <t>CS-LY085-W902-S</t>
  </si>
  <si>
    <t>B06XYL56KD</t>
  </si>
  <si>
    <t>Men's Solid Color Oxford Long Sleeve Button Down Casual Shirt White Small</t>
  </si>
  <si>
    <t>CS-LY085-W902-XL</t>
  </si>
  <si>
    <t>B06XYZKJKJ</t>
  </si>
  <si>
    <t>Men's Solid Color Oxford Long Sleeve Button Down Casual Shirt White X-Large</t>
  </si>
  <si>
    <t>CS-LY085-W902-XXL</t>
  </si>
  <si>
    <t>B06XYZRF7J</t>
  </si>
  <si>
    <t>Men's Solid Color Oxford Long Sleeve Button Down Casual Shirt White XX-Large</t>
  </si>
  <si>
    <t>CS-LY085-WR917-L</t>
  </si>
  <si>
    <t>B06XYZ789N</t>
  </si>
  <si>
    <t>CS-LY085-WR917-M</t>
  </si>
  <si>
    <t>B06XYZBB55</t>
  </si>
  <si>
    <t>Men's Solid Color Oxford Long Sleeve Button Down Casual Shirt Wine Red Medium</t>
  </si>
  <si>
    <t>CS-LY085-WR917-S</t>
  </si>
  <si>
    <t>B06XYZKJKL</t>
  </si>
  <si>
    <t>Men's Solid Color Oxford Long Sleeve Button Down Casual Shirt Wine Red Small</t>
  </si>
  <si>
    <t>CS-LY085-WR917-XL</t>
  </si>
  <si>
    <t>B06XYL6HVV</t>
  </si>
  <si>
    <t>CS-LY085-WR917-XXL</t>
  </si>
  <si>
    <t>B06XYZR9HK</t>
  </si>
  <si>
    <t>Men's Solid Color Oxford Long Sleeve Button Down Casual Shirt Wine Red XX-Large</t>
  </si>
  <si>
    <t>CS-LY085-ZL918-L</t>
  </si>
  <si>
    <t>B06XZ15HGZ</t>
  </si>
  <si>
    <t>CS-LY085-ZL918-M</t>
  </si>
  <si>
    <t>B06XZ1KL3X</t>
  </si>
  <si>
    <t>Men's Solid Color Oxford Long Sleeve Button Down Casual Shirt Navy Blue Medium</t>
  </si>
  <si>
    <t>CS-LY085-ZL918-S</t>
  </si>
  <si>
    <t>B06XZ1D6S1</t>
  </si>
  <si>
    <t>Men's Solid Color Oxford Long Sleeve Button Down Casual Shirt Navy Blue Small</t>
  </si>
  <si>
    <t>CS-LY085-ZL918-XS</t>
  </si>
  <si>
    <t>B071F739V1</t>
  </si>
  <si>
    <t>CS-LY085-ZL918-XXL</t>
  </si>
  <si>
    <t>B06Y229TP7</t>
  </si>
  <si>
    <t>CS-LY086-B0-L</t>
  </si>
  <si>
    <t>B06XPSH74T</t>
  </si>
  <si>
    <t>MOCOTONO Men's Denim Long Sleeve Pocket Casual Dress Shirt Denim Blue Tag Asian L/US M</t>
  </si>
  <si>
    <t>CS-LY086-B0-M</t>
  </si>
  <si>
    <t>B06XPWGJCB</t>
  </si>
  <si>
    <t>Men's Denim Long Sleeve Pocket Casual Dress Shirt Denim Blue Medium (Slim Fit)</t>
  </si>
  <si>
    <t>CS-LY086-B0-S</t>
  </si>
  <si>
    <t>B06XPQSSVX</t>
  </si>
  <si>
    <t>CS-LY086-B0-XL</t>
  </si>
  <si>
    <t>B06XPMVRFF</t>
  </si>
  <si>
    <t>MOCOTONO Men's Denim Long Sleeve Pocket Casual Dress Shirt Denim Blue Tag Asian XL/US L</t>
  </si>
  <si>
    <t>CS-LY086-LB-L</t>
  </si>
  <si>
    <t>B06XPQSMQY</t>
  </si>
  <si>
    <t>MOCOTONO Men's Denim Long Sleeve Slim Fit Casual Shirt (Tag Asian L/US M, Light Blue)</t>
  </si>
  <si>
    <t>CS-LY086-LB-M</t>
  </si>
  <si>
    <t>B06XPXSC2J</t>
  </si>
  <si>
    <t>MOCOTONO Men's Denim Long Sleeve Pocket Casual Dress Shirt Light Blue Tag Asian M/US S</t>
  </si>
  <si>
    <t>CS-LY086-LB-S</t>
  </si>
  <si>
    <t>B06XPDYJ5H</t>
  </si>
  <si>
    <t>MOCOTONO Men's Denim Long Sleeve Pocket Casual Dress Shirt Light Blue Tag Asian S/US XS</t>
  </si>
  <si>
    <t>CS-LY086-LB-XXL</t>
  </si>
  <si>
    <t>B06XPVRGLK</t>
  </si>
  <si>
    <t>CS-LY086-N0-L</t>
  </si>
  <si>
    <t>B06XPBPVFL</t>
  </si>
  <si>
    <t>MOCOTONO Men's Denim Long Sleeve Pocket Casual Dress Shirt Navy Blue Large</t>
  </si>
  <si>
    <t>CS-LY086-N0-M</t>
  </si>
  <si>
    <t>B06XPWS8YL</t>
  </si>
  <si>
    <t>MOCOTONO Men's Denim Long Sleeve Pocket Casual Dress Shirt Navy Blue Medium</t>
  </si>
  <si>
    <t>CS-LY086-N0-S</t>
  </si>
  <si>
    <t>B06XPCX59X</t>
  </si>
  <si>
    <t>MOCOTONO Men's Denim Long Sleeve Pocket Casual Dress Shirt Navy Blue Small</t>
  </si>
  <si>
    <t>CS-LY086-N0-XL</t>
  </si>
  <si>
    <t>B06XPQSWSR</t>
  </si>
  <si>
    <t>MOCOTONO Men's Denim Long Sleeve Pocket Casual Dress Shirt Navy Blue X-Large</t>
  </si>
  <si>
    <t>CS-LY086-N0-XXL</t>
  </si>
  <si>
    <t>B06XQW95T6</t>
  </si>
  <si>
    <t>MOCOTONO Men's Denim Long Sleeve Pocket Casual Dress Shirt Navy Blue XX-Large</t>
  </si>
  <si>
    <t>CS-LY122-B0-L</t>
  </si>
  <si>
    <t>B06Y2V6TRP</t>
  </si>
  <si>
    <t>CS-LY122-N0-L</t>
  </si>
  <si>
    <t>B06Y2SSH21</t>
  </si>
  <si>
    <t>MOCOTONO Men's 100% Cotton Long Sleeve Plaid Slim Fit Button Down Dress Shirt Navy Large</t>
  </si>
  <si>
    <t>CS-LY122-N0-M</t>
  </si>
  <si>
    <t>B06Y2KCX5W</t>
  </si>
  <si>
    <t>CS-LY122-N0-XS</t>
  </si>
  <si>
    <t>B06Y2JMJMW</t>
  </si>
  <si>
    <t>CS-LY122-WR-L</t>
  </si>
  <si>
    <t>B06Y2MT2H7</t>
  </si>
  <si>
    <t>MOCOTONO Men's 100% Cotton Long Sleeve Plaid Slim Fit Button Down Dress Shirt Wine Red Large</t>
  </si>
  <si>
    <t>CS-LY122-WR-M</t>
  </si>
  <si>
    <t>B06Y2NN9GZ</t>
  </si>
  <si>
    <t>Men's 100% Cotton Long Sleeve Plaid Slim Fit Button Down Dress Shirt Wine Red Medium</t>
  </si>
  <si>
    <t>CS-LY122-WR-XS</t>
  </si>
  <si>
    <t>B06Y2RZ12R</t>
  </si>
  <si>
    <t>Men's Short Sleeve Oxford Button Down Casual Shirt</t>
  </si>
  <si>
    <t>CS-LY154-W0-XS</t>
  </si>
  <si>
    <t>B072M73934</t>
  </si>
  <si>
    <t>CS-LY166-B28-1-L</t>
  </si>
  <si>
    <t>B0719P8HYH</t>
  </si>
  <si>
    <t>MOCOTONO Men's Long Sleeve Flannel Plaid Dress Shirt Western Button Down Shirts Muti Plaid Large</t>
  </si>
  <si>
    <t>CS-LY166-B28-1-M</t>
  </si>
  <si>
    <t>B072FFTC6J</t>
  </si>
  <si>
    <t>MOCOTONO Men's Long Sleeve Flannel Plaid Dress Shirt Western Button Down Shirts Muti Plaid Medium</t>
  </si>
  <si>
    <t>CS-LY166-B28-1-S</t>
  </si>
  <si>
    <t>B0711Q8WDR</t>
  </si>
  <si>
    <t>MOCOTONO Men's Long Sleeve Flannel Plaid Dress Shirt Western Button Down Shirts Muti Plaid Small</t>
  </si>
  <si>
    <t>CS-LY166-B28-1-XL</t>
  </si>
  <si>
    <t>B072PR4741</t>
  </si>
  <si>
    <t>MOCOTONO Men's Long Sleeve Flannel Plaid Dress Shirt Western Button Down Shirts Muti Plaid X-Large</t>
  </si>
  <si>
    <t>CS-LY166-B28-1-XXL</t>
  </si>
  <si>
    <t>B071VYBRWZ</t>
  </si>
  <si>
    <t>MOCOTONO Men's Long Sleeve Flannel Plaid Dress Shirt Western Button Down Shirts Muti Plaid XX-Large</t>
  </si>
  <si>
    <t>CS-LY166-B28-3-L</t>
  </si>
  <si>
    <t>B072LTDBVG</t>
  </si>
  <si>
    <t>CS-LY166-B28-3-M</t>
  </si>
  <si>
    <t>B072PR393B</t>
  </si>
  <si>
    <t>MOCOTONO Men's Long Sleeve Flannel Plaid Dress Shirt Western Button Down Shirts Navy Medium</t>
  </si>
  <si>
    <t>CS-LY166-B28-3-S</t>
  </si>
  <si>
    <t>B072J7K92Q</t>
  </si>
  <si>
    <t>Men's Long Sleeve Flannel Plaid Dress Shirt Western Button Down Shirts Navy Small</t>
  </si>
  <si>
    <t>CS-LY166-B28-3-XL</t>
  </si>
  <si>
    <t>B072FMY4VJ</t>
  </si>
  <si>
    <t>MOCOTONO Men's Long Sleeve Flannel Plaid Dress Shirt Western Button Down Shirts Navy X-Large</t>
  </si>
  <si>
    <t>CS-LY166-B28-3-XL-GM</t>
  </si>
  <si>
    <t>CS-LY166-B28-3-XXL</t>
  </si>
  <si>
    <t>B072FMY4JZ</t>
  </si>
  <si>
    <t>Men's Long Sleeve Flannel Plaid Dress Shirt Western Button Down Shirts Navy XX-Large</t>
  </si>
  <si>
    <t>CS-LY166-B28-4-M</t>
  </si>
  <si>
    <t>B07916VJSL</t>
  </si>
  <si>
    <t>MOCOTONO Men's Long Sleeve Flannel Plaid Dress Shirt Western Button Down Shirts Yellow Medium</t>
  </si>
  <si>
    <t>CS-LY166-B28-4-S</t>
  </si>
  <si>
    <t>B072J7L6PX</t>
  </si>
  <si>
    <t>MOCOTONO Men's Long Sleeve Flannel Plaid Dress Shirt Western Button Down Shirts Yellow Small</t>
  </si>
  <si>
    <t>CS-LY166-B28-4-XL</t>
  </si>
  <si>
    <t>B072PRCFFJ</t>
  </si>
  <si>
    <t>MOCOTONO Men's Long Sleeve Flannel Plaid Dress Shirt Western Button Down Shirts Yellow X-Large</t>
  </si>
  <si>
    <t>CS-LY166-B28-4-XXL</t>
  </si>
  <si>
    <t>B0719P8LD3</t>
  </si>
  <si>
    <t>MOCOTONO Men's Long Sleeve Flannel Plaid Dress Shirt Western Button Down Shirts Yellow XX-Large</t>
  </si>
  <si>
    <t>CS-LY166-B28-5-L</t>
  </si>
  <si>
    <t>B071P6G6FV</t>
  </si>
  <si>
    <t>MOCOTONO Men's Long Sleeve Flannel Plaid Dress Shirt Western Button Down Shirts Khaki Large</t>
  </si>
  <si>
    <t>CS-LY166-B28-5-S</t>
  </si>
  <si>
    <t>B0711XBDP2</t>
  </si>
  <si>
    <t>CS-LY166-B28-5-XL</t>
  </si>
  <si>
    <t>B072LT99LL</t>
  </si>
  <si>
    <t>CS-LY166-B28-5-XXL</t>
  </si>
  <si>
    <t>B072J7L4LR</t>
  </si>
  <si>
    <t>MOCOTONO Men's Long Sleeve Flannel Plaid Dress Shirt Western Button Down Shirts Khaki XX-Large</t>
  </si>
  <si>
    <t>CS-LY166-K33-1-M</t>
  </si>
  <si>
    <t>B071VYBRWK</t>
  </si>
  <si>
    <t>CS-LY166-K33-1-S</t>
  </si>
  <si>
    <t>B0711XBBFZ</t>
  </si>
  <si>
    <t>MOCOTONO Men's Long Sleeve Flannel Plaid Dress Shirt Western Button Down Shirts Red and Navy Small</t>
  </si>
  <si>
    <t>CS-LY166-K33-1-XL</t>
  </si>
  <si>
    <t>B072PQ6GGL</t>
  </si>
  <si>
    <t>MOCOTONO Men's Long Sleeve Flannel Plaid Dress Shirt Western Button Down Shirts Red and Navy X-Large</t>
  </si>
  <si>
    <t>CS-LY166-K33-1-XXL</t>
  </si>
  <si>
    <t>B072J7L582</t>
  </si>
  <si>
    <t>MOCOTONO Men's Long Sleeve Flannel Plaid Dress Shirt Western Button Down Shirts Red and Navy XX-Large</t>
  </si>
  <si>
    <t>CS-LY166-K33-2-L</t>
  </si>
  <si>
    <t>B071VYBSVW</t>
  </si>
  <si>
    <t>MOCOTONO Men's Long Sleeve Flannel Plaid Dress Shirt Western Button Down Shirts Green Large</t>
  </si>
  <si>
    <t>CS-LY166-K33-2-M</t>
  </si>
  <si>
    <t>B071P6FSX1</t>
  </si>
  <si>
    <t>MOCOTONO Men's Long Sleeve Flannel Plaid Dress Shirt Western Button Down Shirts Green Medium</t>
  </si>
  <si>
    <t>CS-LY166-K33-2-S</t>
  </si>
  <si>
    <t>B071ZDJT12</t>
  </si>
  <si>
    <t>CS-LY166-K33-2-XL</t>
  </si>
  <si>
    <t>B072PPK2DL</t>
  </si>
  <si>
    <t>CS-LY166-K33-2-XXL</t>
  </si>
  <si>
    <t>B072LTDH7Q</t>
  </si>
  <si>
    <t>CS-LY166-K33-4-M</t>
  </si>
  <si>
    <t>B0711XBC78</t>
  </si>
  <si>
    <t>MOCOTONO Men's Long Sleeve Flannel Plaid Dress Shirt Western Button Down Shirts White and Navy Medium</t>
  </si>
  <si>
    <t>CS-LY166-K33-4-S</t>
  </si>
  <si>
    <t>B07173Q2FN</t>
  </si>
  <si>
    <t>Men's Long Sleeve Flannel Plaid Dress Shirt Western Button Down Shirts White and Navy Small</t>
  </si>
  <si>
    <t>CS-LY166-K33-4-XL</t>
  </si>
  <si>
    <t>B071Z63KQ2</t>
  </si>
  <si>
    <t>Men's Long Sleeve Flannel Plaid Dress Shirt Western Button Down Shirts White and Navy X-Large</t>
  </si>
  <si>
    <t>CS-LY166-K33-4-XXL</t>
  </si>
  <si>
    <t>B071LDNH24</t>
  </si>
  <si>
    <t>MOCOTONO Men's Long Sleeve Flannel Plaid Dress Shirt Western Button Down Shirts White and Navy XX-Large</t>
  </si>
  <si>
    <t>CS-LY166-K73-1-M</t>
  </si>
  <si>
    <t>B07149VLDC</t>
  </si>
  <si>
    <t>MOCOTONO Men's Long Sleeve Flannel Plaid Dress Shirt Western Button Down Shirts Red Medium</t>
  </si>
  <si>
    <t>CS-LY166-K73-1-S</t>
  </si>
  <si>
    <t>B07149VKWX</t>
  </si>
  <si>
    <t>MOCOTONO Men's Long Sleeve Flannel Plaid Dress Shirt Western Button Down Shirts Red Small</t>
  </si>
  <si>
    <t>CS-LY166-K73-1-XL</t>
  </si>
  <si>
    <t>B071Z6DSH7</t>
  </si>
  <si>
    <t>MOCOTONO Men's Long Sleeve Flannel Plaid Dress Shirt Western Button Down Shirts Red X-Large</t>
  </si>
  <si>
    <t>CS-LY166-K73-1-XXL</t>
  </si>
  <si>
    <t>B072BV4Y8W</t>
  </si>
  <si>
    <t>MOCOTONO Men's Long Sleeve Flannel Plaid Dress Shirt Western Button Down Shirts Red XX-Large</t>
  </si>
  <si>
    <t>CS-LY166-K73-2-L</t>
  </si>
  <si>
    <t>B0725VLGKV</t>
  </si>
  <si>
    <t>MOCOTONO Men's Long Sleeve Flannel Plaid Dress Shirt Western Button Down Shirts Black Large</t>
  </si>
  <si>
    <t>CS-LY166-K73-2-M</t>
  </si>
  <si>
    <t>B0714HXSNL</t>
  </si>
  <si>
    <t>MOCOTONO Men's Long Sleeve Flannel Plaid Dress Shirt Western Button Down Shirts Black Medium</t>
  </si>
  <si>
    <t>CS-LY166-K73-2-S</t>
  </si>
  <si>
    <t>B072LM9VCD</t>
  </si>
  <si>
    <t>MOCOTONO Men's Long Sleeve Flannel Plaid Dress Shirt Western Button Down Shirts Black Small</t>
  </si>
  <si>
    <t>CS-LY166-K73-2-XL</t>
  </si>
  <si>
    <t>B072LTDQRC</t>
  </si>
  <si>
    <t>CS-LY166-K73-2-XXL</t>
  </si>
  <si>
    <t>B072LTDN7F</t>
  </si>
  <si>
    <t>MOCOTONO Men's Long Sleeve Flannel Plaid Dress Shirt Western Button Down Shirts Black XX-Large</t>
  </si>
  <si>
    <t>CS-LY167-N0-S</t>
  </si>
  <si>
    <t>B071VYKCR7</t>
  </si>
  <si>
    <t>MOCOTONO Men's Plaid Cotton Long Sleeve Button Down Casual Shirts Navy Small</t>
  </si>
  <si>
    <t>CS-LY167-R0-XXL</t>
  </si>
  <si>
    <t>B071J1C6H7</t>
  </si>
  <si>
    <t>CS-LY167-W0-M</t>
  </si>
  <si>
    <t>B0711XJKGY</t>
  </si>
  <si>
    <t>MOCOTONO Men's Plaid Cotton Long Sleeve Button Down Casual Shirts White Medium</t>
  </si>
  <si>
    <t>CS-LY167-W0-XL</t>
  </si>
  <si>
    <t>B07173XJ79</t>
  </si>
  <si>
    <t>CS-LY170-G912-L</t>
  </si>
  <si>
    <t>B073PNS6VG</t>
  </si>
  <si>
    <t>Mocotono Men's Short Sleeve Oxford Button Down Casual Shirt, Green, Large</t>
  </si>
  <si>
    <t>CS-LY170-G912-M</t>
  </si>
  <si>
    <t>B073PPNNCM</t>
  </si>
  <si>
    <t>Mocotono Men's Short Sleeve Oxford Button Down Casual Shirt, Green, Medium</t>
  </si>
  <si>
    <t>CS-LY170-G912-S</t>
  </si>
  <si>
    <t>B073PPVWW3</t>
  </si>
  <si>
    <t>Mocotono Men's Short Sleeve Oxford Button Down Casual Shirt, Green, Small</t>
  </si>
  <si>
    <t>CS-LY170-G912-XL</t>
  </si>
  <si>
    <t>B073PPRLVC</t>
  </si>
  <si>
    <t>Mocotono Men's Short Sleeve Oxford Button Down Casual Shirt, Green, X-Large</t>
  </si>
  <si>
    <t>CS-LY170-G912-XXL</t>
  </si>
  <si>
    <t>B073PPRP1F</t>
  </si>
  <si>
    <t>Mocotono Men's Short Sleeve Oxford Button Down Casual Shirt, Green, XX-Large</t>
  </si>
  <si>
    <t>CS-LY170-LB916-L</t>
  </si>
  <si>
    <t>B073PPTS8L</t>
  </si>
  <si>
    <t>Mocotono Men's Short Sleeve Oxford Button Down Casual Shirt, Light Blue, Large</t>
  </si>
  <si>
    <t>CS-LY170-LB916-M</t>
  </si>
  <si>
    <t>B073PQ752P</t>
  </si>
  <si>
    <t>Mocotono Men's Short Sleeve Oxford Button Down Casual Shirt, Light Blue, Medium</t>
  </si>
  <si>
    <t>CS-LY170-LB916-S</t>
  </si>
  <si>
    <t>B073PPS7FM</t>
  </si>
  <si>
    <t>Mocotono Men's Short Sleeve Oxford Button Down Casual Shirt, Light Blue, Small</t>
  </si>
  <si>
    <t>CS-LY170-LB916-XL</t>
  </si>
  <si>
    <t>B073PP3ZWD</t>
  </si>
  <si>
    <t>CS-LY170-LB916-XXL</t>
  </si>
  <si>
    <t>B073PQKB9N</t>
  </si>
  <si>
    <t>Mocotono Men's Short Sleeve Oxford Button Down Casual Shirt, Light Blue, XX-Large</t>
  </si>
  <si>
    <t>CS-LY170-LG907-L</t>
  </si>
  <si>
    <t>CS-LY170-LG907-M</t>
  </si>
  <si>
    <t>B073PP2K9L</t>
  </si>
  <si>
    <t>Mocotono Men's Short Sleeve Oxford Button Down Casual Shirt, Light Gray, Medium</t>
  </si>
  <si>
    <t>CS-LY170-LG907-S</t>
  </si>
  <si>
    <t>B073PPSG6W</t>
  </si>
  <si>
    <t>Mocotono Men's Short Sleeve Oxford Button Down Casual Shirt, Light Gray, Small</t>
  </si>
  <si>
    <t>CS-LY170-LG907-XXL</t>
  </si>
  <si>
    <t>B073PQFZ61</t>
  </si>
  <si>
    <t>Mocotono Men's Short Sleeve Oxford Button Down Casual Shirt, Light Gray, XX-Large</t>
  </si>
  <si>
    <t>CS-LY170-PI908-L</t>
  </si>
  <si>
    <t>B073PPM5HW</t>
  </si>
  <si>
    <t>Mocotono Men's Short Sleeve Oxford Button Down Casual Shirt, Pink, Large</t>
  </si>
  <si>
    <t>CS-LY170-PI908-M</t>
  </si>
  <si>
    <t>B073PQ115V</t>
  </si>
  <si>
    <t>Mocotono Men's Short Sleeve Oxford Button Down Casual Shirt, Pink, Medium</t>
  </si>
  <si>
    <t>CS-LY170-PI908-S</t>
  </si>
  <si>
    <t>B073PQMGW1</t>
  </si>
  <si>
    <t>Mocotono Men's Short Sleeve Oxford Button Down Casual Shirt, Pink, Small</t>
  </si>
  <si>
    <t>CS-LY170-PI908-XL</t>
  </si>
  <si>
    <t>B073PPHGFF</t>
  </si>
  <si>
    <t>CS-LY170-PI908-XXL</t>
  </si>
  <si>
    <t>B073PPMWTH</t>
  </si>
  <si>
    <t>CS-LY170-Sa911-M</t>
  </si>
  <si>
    <t>B073PPT2TW</t>
  </si>
  <si>
    <t>Mocotono Men's Short Sleeve Oxford Button Down Casual Shirt, Blue, Medium</t>
  </si>
  <si>
    <t>CS-LY170-Sa911-S</t>
  </si>
  <si>
    <t>B073PPY7H7</t>
  </si>
  <si>
    <t>Mocotono Men's Short Sleeve Oxford Button Down Casual Shirt, Blue, Small</t>
  </si>
  <si>
    <t>CS-LY170-Sa911-XXL</t>
  </si>
  <si>
    <t>B073PPT4YQ</t>
  </si>
  <si>
    <t>Mocotono Men's Short Sleeve Oxford Button Down Casual Shirt, Blue, XX-Large</t>
  </si>
  <si>
    <t>CS-LY170-W902-L</t>
  </si>
  <si>
    <t>CS-LY170-W902-M</t>
  </si>
  <si>
    <t>B073PQ4WFY</t>
  </si>
  <si>
    <t>Mocotono Men's Short Sleeve Oxford Button Down Casual Shirt, White, Medium</t>
  </si>
  <si>
    <t>CS-LY170-W902-S</t>
  </si>
  <si>
    <t>B073PQ7X4Y</t>
  </si>
  <si>
    <t>Mocotono Men's Short Sleeve Oxford Button Down Casual Shirt, White, Small</t>
  </si>
  <si>
    <t>CS-LY170-W902-XL</t>
  </si>
  <si>
    <t>B073PPWMDR</t>
  </si>
  <si>
    <t>Mocotono Men's Short Sleeve Oxford Button Down Casual Shirt, White, XX-Small</t>
  </si>
  <si>
    <t>CS-LY170-W902-XXL</t>
  </si>
  <si>
    <t>B073PQQCK8</t>
  </si>
  <si>
    <t>CS-LY170-WR917-L</t>
  </si>
  <si>
    <t>B073PPT6WC</t>
  </si>
  <si>
    <t>Men's Short Sleeve Oxford Button Down Casual Shirt Wine Red Large</t>
  </si>
  <si>
    <t>CS-LY170-WR917-M</t>
  </si>
  <si>
    <t>B073PPJ57C</t>
  </si>
  <si>
    <t>Men's Short Sleeve Oxford Button Down Casual Shirt Wine Red Medium</t>
  </si>
  <si>
    <t>CS-LY170-WR917-S</t>
  </si>
  <si>
    <t>B073PQ59J8</t>
  </si>
  <si>
    <t>Mocotono Men's Short Sleeve Oxford Button Down Casual Shirt, Maroon, Small</t>
  </si>
  <si>
    <t>CS-LY170-WR917-XL</t>
  </si>
  <si>
    <t>CS-LY170-WR917-XXL</t>
  </si>
  <si>
    <t>B073PPZDDJ</t>
  </si>
  <si>
    <t>CS-LY170-ZL918-L</t>
  </si>
  <si>
    <t>B073PQ7KG6</t>
  </si>
  <si>
    <t>Men's Short Sleeve Oxford Button Down Casual Shirt Navy Blue Large</t>
  </si>
  <si>
    <t>CS-LY170-ZL918-M</t>
  </si>
  <si>
    <t>B073PPP5ZQ</t>
  </si>
  <si>
    <t>Men's Short Sleeve Oxford Button Down Casual Shirt Navy Blue Medium</t>
  </si>
  <si>
    <t>CS-LY170-ZL918-S</t>
  </si>
  <si>
    <t>B073PPTRXC</t>
  </si>
  <si>
    <t>Mocotono Men's Short Sleeve Oxford Button Down Casual Shirt, Navy, Small</t>
  </si>
  <si>
    <t>CS-LY170-ZL918-XL</t>
  </si>
  <si>
    <t>B073PQRR85</t>
  </si>
  <si>
    <t>MOCOTONO Short Sleeve Shirt</t>
  </si>
  <si>
    <t>CS-LY171-G912-L</t>
  </si>
  <si>
    <t>Men's Oxford Long Sleeve Button Down Dress Shirt With Pocket,Green,Large</t>
  </si>
  <si>
    <t>CS-LY171-G912-M</t>
  </si>
  <si>
    <t>Men's Oxford Long Sleeve Button Down Dress Shirt With Pocket,Green,Medium</t>
  </si>
  <si>
    <t>CS-LY171-G912-S</t>
  </si>
  <si>
    <t>Men's Oxford Long Sleeve Button Down Dress Shirt With Pocket,Green,Small</t>
  </si>
  <si>
    <t>CS-LY171-G912-XL</t>
  </si>
  <si>
    <t>Men's Oxford Long Sleeve Button Down Dress Shirt With Pocket,Green,X-Large</t>
  </si>
  <si>
    <t>CS-LY171-G912-XXL</t>
  </si>
  <si>
    <t>CS-LY171-LB916-L</t>
  </si>
  <si>
    <t>Men's Oxford Long Sleeve Button Down Dress Shirt With Pocket,Light Blue,Large</t>
  </si>
  <si>
    <t>CS-LY171-LB916-M</t>
  </si>
  <si>
    <t>Men's Oxford Long Sleeve Button Down Dress Shirt With Pocket,Light Blue,Medium</t>
  </si>
  <si>
    <t>CS-LY171-LB916-S</t>
  </si>
  <si>
    <t>Men's Oxford Long Sleeve Button Down Dress Shirt With Pocket,Light Blue,Small</t>
  </si>
  <si>
    <t>CS-LY171-LB916-XL</t>
  </si>
  <si>
    <t>Men's Oxford Long Sleeve Button Down Dress Shirt With Pocket,Light Blue,X-Large</t>
  </si>
  <si>
    <t>CS-LY171-LB916-XXL</t>
  </si>
  <si>
    <t>Men's Oxford Long Sleeve Button Down Dress Shirt With Pocket,Light Blue,XX-Large</t>
  </si>
  <si>
    <t>CS-LY171-LG907-L</t>
  </si>
  <si>
    <t>Men's Oxford Long Sleeve Button Down Dress Shirt With Pocket,Light Gray,Large</t>
  </si>
  <si>
    <t>CS-LY171-LG907-M</t>
  </si>
  <si>
    <t>Men's Oxford Long Sleeve Button Down Dress Shirt With Pocket,Light Gray,Medium</t>
  </si>
  <si>
    <t>CS-LY171-LG907-S</t>
  </si>
  <si>
    <t>Men's Oxford Long Sleeve Button Down Dress Shirt With Pocket,Light Gray,Small</t>
  </si>
  <si>
    <t>CS-LY171-LG907-XL</t>
  </si>
  <si>
    <t>Men's Oxford Long Sleeve Button Down Dress Shirt With Pocket,Light Gray,X-Large</t>
  </si>
  <si>
    <t>CS-LY171-LG907-XXL</t>
  </si>
  <si>
    <t>Men's Oxford Long Sleeve Button Down Dress Shirt With Pocket,Light Gray,XX-Large</t>
  </si>
  <si>
    <t>CS-LY171-PI908-L</t>
  </si>
  <si>
    <t>Men's Oxford Long Sleeve Button Down Dress Shirt With Pocket,Pink,Large</t>
  </si>
  <si>
    <t>CS-LY171-PI908-M</t>
  </si>
  <si>
    <t>Men's Oxford Long Sleeve Button Down Dress Shirt With Pocket,Pink,Medium</t>
  </si>
  <si>
    <t>CS-LY171-PI908-S</t>
  </si>
  <si>
    <t>Men's Oxford Long Sleeve Button Down Dress Shirt With Pocket,Pink,Small</t>
  </si>
  <si>
    <t>CS-LY171-PI908-XL</t>
  </si>
  <si>
    <t>Men's Oxford Long Sleeve Button Down Dress Shirt With Pocket,Pink,X-Large</t>
  </si>
  <si>
    <t>CS-LY171-PI908-XXL</t>
  </si>
  <si>
    <t>Men's Oxford Long Sleeve Button Down Dress Shirt With Pocket,XX-Large</t>
  </si>
  <si>
    <t>CS-LY171-Sa911-L</t>
  </si>
  <si>
    <t>Men's Oxford Long Sleeve Button Down Dress Shirt With Pocket,Sapphire,Large</t>
  </si>
  <si>
    <t>CS-LY171-Sa911-M</t>
  </si>
  <si>
    <t>Men's Oxford Long Sleeve Button Down Dress Shirt With Pocket,Sapphire,Medium</t>
  </si>
  <si>
    <t>CS-LY171-Sa911-S</t>
  </si>
  <si>
    <t>Men's Oxford Long Sleeve Button Down Dress Shirt With Pocket,Sapphire,Small</t>
  </si>
  <si>
    <t>CS-LY171-Sa911-XL</t>
  </si>
  <si>
    <t>Men's Oxford Long Sleeve Button Down Dress Shirt With Pocket,Sapphire,X-Large</t>
  </si>
  <si>
    <t>CS-LY171-Sa911-XXL</t>
  </si>
  <si>
    <t>Men's Oxford Long Sleeve Button Down Dress Shirt With Pocket,Sapphire,XX-Large</t>
  </si>
  <si>
    <t>CS-LY171-W902-L</t>
  </si>
  <si>
    <t>CS-LY171-W902-M</t>
  </si>
  <si>
    <t>CS-LY171-W902-XL</t>
  </si>
  <si>
    <t>Men's Oxford Long Sleeve Button Down Dress Shirt With Pocket,White,X-Large</t>
  </si>
  <si>
    <t>CS-LY171-W902-XXL</t>
  </si>
  <si>
    <t>CS-LY171-WR917-M</t>
  </si>
  <si>
    <t>CS-LY171-WR917-S</t>
  </si>
  <si>
    <t>Men's Oxford Long Sleeve Button Down Dress Shirt With Pocket,Wine Red,Small</t>
  </si>
  <si>
    <t>CS-LY171-WR917-XL</t>
  </si>
  <si>
    <t>CS-LY171-WR917-XXL</t>
  </si>
  <si>
    <t>Men's Oxford Long Sleeve Button Down Dress Shirt With Pocket,Wine Red,XX-Large</t>
  </si>
  <si>
    <t>CS-LY171-ZL918-L</t>
  </si>
  <si>
    <t>CS-LY171-ZL918-M</t>
  </si>
  <si>
    <t>Men's Oxford Long Sleeve Button Down Dress Shirt With Pocket,Navy Blue,Medium</t>
  </si>
  <si>
    <t>CS-LY171-ZL918-S</t>
  </si>
  <si>
    <t>Men's Oxford Long Sleeve Button Down Dress Shirt With Pocket,Navy Blue,Small</t>
  </si>
  <si>
    <t>CS-LY171-ZL918-XXL</t>
  </si>
  <si>
    <t>CS-LY181-G912-L</t>
  </si>
  <si>
    <t>B073PPLXB3</t>
  </si>
  <si>
    <t>CS-LY181-G912-M</t>
  </si>
  <si>
    <t>B073PQ7KRK</t>
  </si>
  <si>
    <t>Men's Oxford Long Sleeve Button Down Casual Dress Shirt,Green,Medium</t>
  </si>
  <si>
    <t>CS-LY181-G912-S</t>
  </si>
  <si>
    <t>B073PQMWY8</t>
  </si>
  <si>
    <t>Men's Oxford Long Sleeve Button Down Casual Dress Shirt,Green,Small</t>
  </si>
  <si>
    <t>CS-LY181-G912-XL</t>
  </si>
  <si>
    <t>B073PQ5QTR</t>
  </si>
  <si>
    <t>CS-LY181-G912-XXL</t>
  </si>
  <si>
    <t>B073PPXSX4</t>
  </si>
  <si>
    <t>Men's Oxford Long Sleeve Button Down Casual Dress Shirt,Green,XX-Large</t>
  </si>
  <si>
    <t>CS-LY181-LB916-L</t>
  </si>
  <si>
    <t>B073PQDRHR</t>
  </si>
  <si>
    <t>Men's Oxford Long Sleeve Button Down Casual Dress Shirt,Light Blue,Large</t>
  </si>
  <si>
    <t>CS-LY181-LB916-M</t>
  </si>
  <si>
    <t>B073PQ7Z9P</t>
  </si>
  <si>
    <t>Men's Oxford Long Sleeve Button Down Casual Dress Shirt,Light Blue,Medium</t>
  </si>
  <si>
    <t>CS-LY181-LB916-S</t>
  </si>
  <si>
    <t>B073PQKJBY</t>
  </si>
  <si>
    <t>Men's Oxford Long Sleeve Button Down Casual Dress Shirt,Light Blue,Small</t>
  </si>
  <si>
    <t>CS-LY181-LB916-XL</t>
  </si>
  <si>
    <t>B073PQJN96</t>
  </si>
  <si>
    <t>Men's Oxford Long Sleeve Button Down Casual Dress Shirt,Light Blue,X-Large</t>
  </si>
  <si>
    <t>CS-LY181-LB916-XXL</t>
  </si>
  <si>
    <t>B073PPR1JW</t>
  </si>
  <si>
    <t>Men's Oxford Long Sleeve Button Down Casual Dress Shirt,Light Blue,XX-Large</t>
  </si>
  <si>
    <t>CS-LY181-LG-M</t>
  </si>
  <si>
    <t>B073PQ5WVC</t>
  </si>
  <si>
    <t>MOCOTONO Men's Oxford Long Sleeve Button Down Casual Dress Shirt,Light Gray,Medium</t>
  </si>
  <si>
    <t>CS-LY181-LG907-L</t>
  </si>
  <si>
    <t>B073PPMPVQ</t>
  </si>
  <si>
    <t>CS-LY181-LG907-M</t>
  </si>
  <si>
    <t>CS-LY181-LG907-S</t>
  </si>
  <si>
    <t>B073PQ12FL</t>
  </si>
  <si>
    <t>Men's Oxford Long Sleeve Button Down Casual Dress Shirt,Light Gray,Small</t>
  </si>
  <si>
    <t>CS-LY181-LG907-XL</t>
  </si>
  <si>
    <t>B073PPZ2GJ</t>
  </si>
  <si>
    <t>Men's Oxford Long Sleeve Button Down Casual Dress Shirt,Light Gray,X-Large</t>
  </si>
  <si>
    <t>CS-LY181-LG907-XXL</t>
  </si>
  <si>
    <t>B073PQ4PHF</t>
  </si>
  <si>
    <t>Men's Oxford Long Sleeve Button Down Casual Dress Shirt,Light Gray,XX-Large</t>
  </si>
  <si>
    <t>CS-LY181-PI908-L</t>
  </si>
  <si>
    <t>B073PQGWNJ</t>
  </si>
  <si>
    <t>Men's Oxford Long Sleeve Button Down Casual Dress Shirt,Pink,Large</t>
  </si>
  <si>
    <t>CS-LY181-PI908-M</t>
  </si>
  <si>
    <t>B073PQHBRH</t>
  </si>
  <si>
    <t>Men's Oxford Long Sleeve Button Down Casual Dress Shirt,Pink,Medium</t>
  </si>
  <si>
    <t>CS-LY181-PI908-S</t>
  </si>
  <si>
    <t>B073PQQ4QW</t>
  </si>
  <si>
    <t>Men's Oxford Long Sleeve Button Down Casual Dress Shirt,Pink,Small</t>
  </si>
  <si>
    <t>CS-LY181-PI908-XL</t>
  </si>
  <si>
    <t>B073PQ9M5T</t>
  </si>
  <si>
    <t>Men's Oxford Long Sleeve Button Down Casual Dress Shirt,Pink,X-Large</t>
  </si>
  <si>
    <t>CS-LY181-PI908-XXL</t>
  </si>
  <si>
    <t>B073PPPDK9</t>
  </si>
  <si>
    <t>Men's Oxford Long Sleeve Button Down Casual Dress Shirt,XX-Large</t>
  </si>
  <si>
    <t>CS-LY181-Sa911-L</t>
  </si>
  <si>
    <t>B073PQFWZP</t>
  </si>
  <si>
    <t>Men's Oxford Long Sleeve Button Down Casual Dress Shirt,Sapphire,Large</t>
  </si>
  <si>
    <t>CS-LY181-Sa911-M</t>
  </si>
  <si>
    <t>B073PPQQSP</t>
  </si>
  <si>
    <t>Men's Oxford Long Sleeve Button Down Casual Dress Shirt,Sapphire,Medium</t>
  </si>
  <si>
    <t>CS-LY181-Sa911-S</t>
  </si>
  <si>
    <t>B073PQW6NB</t>
  </si>
  <si>
    <t>Men's Oxford Long Sleeve Button Down Casual Dress Shirt,Sapphire,Small</t>
  </si>
  <si>
    <t>CS-LY181-Sa911-XL</t>
  </si>
  <si>
    <t>B073PQFQFT</t>
  </si>
  <si>
    <t>Men's Oxford Long Sleeve Button Down Casual Dress Shirt,Sapphire,X-Large</t>
  </si>
  <si>
    <t>CS-LY181-Sa911-XXL</t>
  </si>
  <si>
    <t>B073PPWPH1</t>
  </si>
  <si>
    <t>Men's Oxford Long Sleeve Button Down Casual Dress Shirt,Sapphire,XX-Large</t>
  </si>
  <si>
    <t>CS-LY181-W902-L</t>
  </si>
  <si>
    <t>B073PQF1C1</t>
  </si>
  <si>
    <t>Men's Oxford Long Sleeve Button Down Casual Dress Shirt,White,Large</t>
  </si>
  <si>
    <t>CS-LY181-W902-M</t>
  </si>
  <si>
    <t>B073PPT38S</t>
  </si>
  <si>
    <t>Men's Oxford Long Sleeve Button Down Casual Dress Shirt,White,Medium</t>
  </si>
  <si>
    <t>CS-LY181-W902-S</t>
  </si>
  <si>
    <t>B073PQMVC9</t>
  </si>
  <si>
    <t>Men's Oxford Long Sleeve Button Down Casual Dress Shirt,White,Small</t>
  </si>
  <si>
    <t>CS-LY181-W902-XL</t>
  </si>
  <si>
    <t>B073PPT8R9</t>
  </si>
  <si>
    <t>Men's Oxford Long Sleeve Button Down Casual Dress Shirt,White,X-Large</t>
  </si>
  <si>
    <t>CS-LY181-W902-XXL</t>
  </si>
  <si>
    <t>B073PPFMBV</t>
  </si>
  <si>
    <t>Men's Oxford Long Sleeve Button Down Casual Dress Shirt,White,XX-Large</t>
  </si>
  <si>
    <t>CS-LY181-WR917-L</t>
  </si>
  <si>
    <t>B073PQ3N1Q</t>
  </si>
  <si>
    <t>Men's Oxford Long Sleeve Button Down Casual Dress Shirt,Wine Red,Large</t>
  </si>
  <si>
    <t>CS-LY181-WR917-M</t>
  </si>
  <si>
    <t>B073PPHCN1</t>
  </si>
  <si>
    <t>CS-LY181-WR917-S</t>
  </si>
  <si>
    <t>B073PQP9C9</t>
  </si>
  <si>
    <t>CS-LY181-WR917-XL</t>
  </si>
  <si>
    <t>B073PPBXGT</t>
  </si>
  <si>
    <t>CS-LY181-WR917-XXL</t>
  </si>
  <si>
    <t>B073PQDNZN</t>
  </si>
  <si>
    <t>Men's Oxford Long Sleeve Button Down Casual Dress Shirt,Wine Red,XX-Large</t>
  </si>
  <si>
    <t>CS-LY181-ZL-XL</t>
  </si>
  <si>
    <t>B073PPXYRX</t>
  </si>
  <si>
    <t>CS-LY181-ZL918-L</t>
  </si>
  <si>
    <t>B073PQ3NDG</t>
  </si>
  <si>
    <t>Men's Oxford Long Sleeve Button Down Casual Dress Shirt,Navy Blue,Large</t>
  </si>
  <si>
    <t>CS-LY181-ZL918-M</t>
  </si>
  <si>
    <t>B073PPT396</t>
  </si>
  <si>
    <t>Men's Oxford Long Sleeve Button Down Casual Dress Shirt,Navy Blue,Medium</t>
  </si>
  <si>
    <t>CS-LY181-ZL918-S</t>
  </si>
  <si>
    <t>B073PQRF5N</t>
  </si>
  <si>
    <t>Men's Oxford Long Sleeve Button Down Casual Dress Shirt,Navy Blue,Small</t>
  </si>
  <si>
    <t>CS-LY181-ZL918-XL</t>
  </si>
  <si>
    <t>CS-LY181-ZL918-XXL</t>
  </si>
  <si>
    <t>B073PQ1CH8</t>
  </si>
  <si>
    <t>Men's Oxford Long Sleeve Button Down Casual Dress Shirt,Navy Blue,XX-Large</t>
  </si>
  <si>
    <t>CS-SB002-BK-2XL</t>
  </si>
  <si>
    <t>B074DTG73Y</t>
  </si>
  <si>
    <t>MOCOTONO Men's Long Sleeve Regular Fit Plaid Button Down Casual Shirts Black XX-Large</t>
  </si>
  <si>
    <t>CS-SB002-BK-L</t>
  </si>
  <si>
    <t>B074DV9RC7</t>
  </si>
  <si>
    <t>MOCOTONO Men's Long Sleeve Regular Fit Plaid Button Down Casual Shirts Black Large</t>
  </si>
  <si>
    <t>CS-SB002-BK-M</t>
  </si>
  <si>
    <t>B074DVC8L4</t>
  </si>
  <si>
    <t>MOCOTONO Men's Long Sleeve Regular Fit Plaid Button Down Casual Shirts Black Medium</t>
  </si>
  <si>
    <t>CS-SB002-BK-S</t>
  </si>
  <si>
    <t>B074DTNWTF</t>
  </si>
  <si>
    <t>MOCOTONO Men's Long Sleeve Regular Fit Plaid Button Down Casual Shirts Black Small</t>
  </si>
  <si>
    <t>CS-SB002-BK-XL</t>
  </si>
  <si>
    <t>B074DTRY1X</t>
  </si>
  <si>
    <t>MOCOTONO Men's Long Sleeve Regular Fit Plaid Button Down Casual Shirts Black X-Large</t>
  </si>
  <si>
    <t>CS-SB002-BL-L</t>
  </si>
  <si>
    <t>B074DTNJCS</t>
  </si>
  <si>
    <t>MOCOTONO Men's Long Sleeve Regular Fit Plaid Button Down Casual Shirts Blue Large</t>
  </si>
  <si>
    <t>CS-SB002-BL-M</t>
  </si>
  <si>
    <t>B074DT9YV9</t>
  </si>
  <si>
    <t>MOCOTONO Men's Long Sleeve Regular Fit Plaid Button Down Casual Shirts Blue Medium</t>
  </si>
  <si>
    <t>CS-SB002-BL-S</t>
  </si>
  <si>
    <t>B074DTFDVC</t>
  </si>
  <si>
    <t>MOCOTONO Men's Long Sleeve Regular Fit Plaid Button Down Casual Shirts Blue Small</t>
  </si>
  <si>
    <t>CS-SB002-BL-XL</t>
  </si>
  <si>
    <t>B074DT8ZS1</t>
  </si>
  <si>
    <t>MOCOTONO Men's Long Sleeve Regular Fit Plaid Button Down Casual Shirts Blue X-Large</t>
  </si>
  <si>
    <t>CS-SB002-BL-XXL</t>
  </si>
  <si>
    <t>B074DTC4MR</t>
  </si>
  <si>
    <t>MOCOTONO Men's Long Sleeve Regular Fit Plaid Button Down Casual Shirts Blue XX-Large</t>
  </si>
  <si>
    <t>CS-SB002-BLNGN-2XL</t>
  </si>
  <si>
    <t>B074DTJ285</t>
  </si>
  <si>
    <t>MOCOTONO Men's Long Sleeve Regular Fit Plaid Button Down Casual Shirts Blue &amp; Green XX-Large</t>
  </si>
  <si>
    <t>CS-SB002-BLNGN-L</t>
  </si>
  <si>
    <t>B074DTYBNJ</t>
  </si>
  <si>
    <t>MOCOTONO Men's Long Sleeve Regular Fit Plaid Button Down Casual Shirts Blue &amp; Green Large</t>
  </si>
  <si>
    <t>CS-SB002-BLNGN-M</t>
  </si>
  <si>
    <t>B074DTM896</t>
  </si>
  <si>
    <t>MOCOTONO Men's Long Sleeve Regular Fit Plaid Button Down Casual Shirts Blue &amp; Green Medium</t>
  </si>
  <si>
    <t>CS-SB002-BLNGN-S</t>
  </si>
  <si>
    <t>B074DV2S3R</t>
  </si>
  <si>
    <t>MOCOTONO Men's Long Sleeve Regular Fit Plaid Button Down Casual Shirts Blue &amp; Green Small</t>
  </si>
  <si>
    <t>CS-SB002-BLNGN-XL</t>
  </si>
  <si>
    <t>B074DTPMLP</t>
  </si>
  <si>
    <t>MOCOTONO Men's Long Sleeve Regular Fit Plaid Button Down Casual Shirts Blue &amp; Green X-Large</t>
  </si>
  <si>
    <t>CS-SB002-CF-L</t>
  </si>
  <si>
    <t>B074DT4Z95</t>
  </si>
  <si>
    <t>MOCOTONO Men's Long Sleeve Regular Fit Plaid Button Down Casual Shirts Coffee Large</t>
  </si>
  <si>
    <t>CS-SB002-CF-M</t>
  </si>
  <si>
    <t>B074DSWFS2</t>
  </si>
  <si>
    <t>MOCOTONO Men's Long Sleeve Regular Fit Plaid Button Down Casual Shirts Coffee Medium</t>
  </si>
  <si>
    <t>CS-SB002-CF-S</t>
  </si>
  <si>
    <t>B074DV8WZF</t>
  </si>
  <si>
    <t>MOCOTONO Men's Long Sleeve Regular Fit Plaid Button Down Casual Shirts Coffee Small</t>
  </si>
  <si>
    <t>CS-SB002-CF-XL</t>
  </si>
  <si>
    <t>B074DTNB3C</t>
  </si>
  <si>
    <t>MOCOTONO Men's Long Sleeve Regular Fit Plaid Button Down Casual Shirts Coffee X-Large</t>
  </si>
  <si>
    <t>CS-SB002-CF-XXL</t>
  </si>
  <si>
    <t>B07BLLSVKD</t>
  </si>
  <si>
    <t>MOCOTONO Men's Long Sleeve Regular Fit Plaid Button Down Casual Shirts Coffee XX-Large</t>
  </si>
  <si>
    <t>CS-SB002-LB-2XL</t>
  </si>
  <si>
    <t>B074DV9LG9</t>
  </si>
  <si>
    <t>MOCOTONO Men's Long Sleeve Regular Fit Plaid Button Down Casual Shirts Light Blue XX-Large</t>
  </si>
  <si>
    <t>CS-SB002-LB-L</t>
  </si>
  <si>
    <t>B074DVG38W</t>
  </si>
  <si>
    <t>MOCOTONO Men's Long Sleeve Regular Fit Plaid Button Down Casual Shirts Light Blue Large</t>
  </si>
  <si>
    <t>CS-SB002-LB-M</t>
  </si>
  <si>
    <t>B074DTM89F</t>
  </si>
  <si>
    <t>MOCOTONO Men's Long Sleeve Regular Fit Plaid Button Down Casual Shirts Light Blue Medium</t>
  </si>
  <si>
    <t>CS-SB002-LB-S</t>
  </si>
  <si>
    <t>B074DTNDQ9</t>
  </si>
  <si>
    <t>MOCOTONO Men's Long Sleeve Regular Fit Plaid Button Down Casual Shirts Light Blue Small</t>
  </si>
  <si>
    <t>CS-SB002-LB-XL</t>
  </si>
  <si>
    <t>B074DTQM6Q</t>
  </si>
  <si>
    <t>MOCOTONO Men's Long Sleeve Regular Fit Plaid Button Down Casual Shirts Light Blue X-Large</t>
  </si>
  <si>
    <t>CS-SB002-RD-2XL</t>
  </si>
  <si>
    <t>B074DTDP52</t>
  </si>
  <si>
    <t>MOCOTONO Men's Long Sleeve Regular Fit Plaid Button Down Casual Shirts Red XX-Large</t>
  </si>
  <si>
    <t>CS-SB002-RD-L</t>
  </si>
  <si>
    <t>B074DV3L9Z</t>
  </si>
  <si>
    <t>MOCOTONO Men's Long Sleeve Regular Fit Plaid Button Down Casual Shirts Red Large</t>
  </si>
  <si>
    <t>CS-SB002-RD-M</t>
  </si>
  <si>
    <t>B074DTZ2B4</t>
  </si>
  <si>
    <t>MOCOTONO Men's Long Sleeve Regular Fit Plaid Button Down Casual Shirts Red Medium</t>
  </si>
  <si>
    <t>CS-SB002-RD-S</t>
  </si>
  <si>
    <t>B074DVCMNY</t>
  </si>
  <si>
    <t>MOCOTONO Men's Long Sleeve Regular Fit Plaid Button Down Casual Shirts Red Small</t>
  </si>
  <si>
    <t>CS-SB002-RD-XL</t>
  </si>
  <si>
    <t>B074DVD7QH</t>
  </si>
  <si>
    <t>MOCOTONO Men's Long Sleeve Regular Fit Plaid Button Down Casual Shirts Red X-Large</t>
  </si>
  <si>
    <t>CS-SB002-RNBL-2XL</t>
  </si>
  <si>
    <t>B074DV3V6N</t>
  </si>
  <si>
    <t>MOCOTONO Men's Long Sleeve Regular Fit Plaid Button Down Casual Shirts Red &amp; Navy XX-Large</t>
  </si>
  <si>
    <t>CS-SB002-RNBL-L</t>
  </si>
  <si>
    <t>B074DTHLQK</t>
  </si>
  <si>
    <t>MOCOTONO Men's Long Sleeve Regular Fit Plaid Button Down Casual Shirts Red &amp; Navy Large</t>
  </si>
  <si>
    <t>CS-SB002-RNBL-M</t>
  </si>
  <si>
    <t>B074DVG24T</t>
  </si>
  <si>
    <t>MOCOTONO Men's Long Sleeve Regular Fit Plaid Button Down Casual Shirts Red &amp; Navy Medium</t>
  </si>
  <si>
    <t>CS-SB002-RNBL-S</t>
  </si>
  <si>
    <t>B074DTPJW4</t>
  </si>
  <si>
    <t>MOCOTONO Men's Long Sleeve Regular Fit Plaid Button Down Casual Shirts Red &amp; Navy Small</t>
  </si>
  <si>
    <t>CS-SB002-RNBL-XL</t>
  </si>
  <si>
    <t>B074DTS7HX</t>
  </si>
  <si>
    <t>MOCOTONO Men's Long Sleeve Regular Fit Plaid Button Down Casual Shirts Red &amp; Navy X-Large</t>
  </si>
  <si>
    <t>CS-SB003-B0-L</t>
  </si>
  <si>
    <t>B074PN8TB2</t>
  </si>
  <si>
    <t>Men's Long Sleeve Denim Solid Double-Pocket Shirt Blue Large</t>
  </si>
  <si>
    <t>CS-SB003-B0-M</t>
  </si>
  <si>
    <t>B074PNMQVK</t>
  </si>
  <si>
    <t>Men's Long Sleeve Denim Solid Double-Pocket Shirt Blue Medium</t>
  </si>
  <si>
    <t>CS-SB003-B0-S</t>
  </si>
  <si>
    <t>B074PPW6NK</t>
  </si>
  <si>
    <t>Mocotono Men's Long Sleeve Denim Solid Double-Pocket Shirt Blue Small</t>
  </si>
  <si>
    <t>CS-SB003-B0-XL</t>
  </si>
  <si>
    <t>B074PP6TL2</t>
  </si>
  <si>
    <t>MOCOTONO Men's Long Sleeve Denim Solid Double-Pocket Shirt Blue X-Large</t>
  </si>
  <si>
    <t>CS-SB003-B0-XXL</t>
  </si>
  <si>
    <t>B07512L44P</t>
  </si>
  <si>
    <t>CS-SB003-BK-M</t>
  </si>
  <si>
    <t>B0776RBWGZ</t>
  </si>
  <si>
    <t>Men's Long Sleeve Denim Solid Double-Pocket Shirt Black Medium</t>
  </si>
  <si>
    <t>CS-SB003-BK-S</t>
  </si>
  <si>
    <t>CS-SB003-BK-XXL</t>
  </si>
  <si>
    <t>CS-SB003-LB-M</t>
  </si>
  <si>
    <t>B07517DLPW</t>
  </si>
  <si>
    <t>Men's Long Sleeve Denim Solid Double-Pocket Shirt Light Blue Medium</t>
  </si>
  <si>
    <t>CS-SB003-LB-S</t>
  </si>
  <si>
    <t>CS-SB003-LB-XL</t>
  </si>
  <si>
    <t>B074PPL8KW</t>
  </si>
  <si>
    <t>CS-SB003-NB-L</t>
  </si>
  <si>
    <t>B075112589</t>
  </si>
  <si>
    <t>Mocotono Men's Long Sleeve Denim Solid Double-Pocket Shirt Navy Blue Large</t>
  </si>
  <si>
    <t>CS-SB003-NB-M</t>
  </si>
  <si>
    <t>B07512GCPL</t>
  </si>
  <si>
    <t>Men's Long Sleeve Denim Solid Double-Pocket Shirt Navy Blue Medium</t>
  </si>
  <si>
    <t>CS-SB003-NB-S</t>
  </si>
  <si>
    <t>B075157GBJ</t>
  </si>
  <si>
    <t>Mocotono Men's Long Sleeve Denim Solid Double-Pocket Shirt Navy Blue Small</t>
  </si>
  <si>
    <t>CS-SB003-NB-XL</t>
  </si>
  <si>
    <t>B07511VGHB</t>
  </si>
  <si>
    <t>Men's Long Sleeve Denim Solid Double-Pocket Shirt Navy Blue X-Large</t>
  </si>
  <si>
    <t>CS-SB003-NB-XXL</t>
  </si>
  <si>
    <t>B074ZX6K53</t>
  </si>
  <si>
    <t>Mocotono Men's Long Sleeve Denim Solid Double-Pocket Shirt Navy Blue XX-Large</t>
  </si>
  <si>
    <t>CS-SB005-BK-2XL</t>
  </si>
  <si>
    <t>B074NQWD4N</t>
  </si>
  <si>
    <t>MOCOTONO Men's Long Sleeve Cotton Plaid Button Down Casual Shirts Black XX-Large</t>
  </si>
  <si>
    <t>CS-SB005-BK-L</t>
  </si>
  <si>
    <t>B074P1FJYS</t>
  </si>
  <si>
    <t>MOCOTONO Men's Long Sleeve Cotton Plaid Button Down Casual Shirts Black Large</t>
  </si>
  <si>
    <t>CS-SB005-BK-M</t>
  </si>
  <si>
    <t>B074NXTZG9</t>
  </si>
  <si>
    <t>MOCOTONO Men's Long Sleeve Cotton Plaid Button Down Casual Shirts Black Medium</t>
  </si>
  <si>
    <t>CS-SB005-BK-S</t>
  </si>
  <si>
    <t>B074P3WK1B</t>
  </si>
  <si>
    <t>MOCOTONO Men's Long Sleeve Cotton Plaid Button Down Casual Shirts Black Small</t>
  </si>
  <si>
    <t>CS-SB005-BK-XL</t>
  </si>
  <si>
    <t>B074NZKQBC</t>
  </si>
  <si>
    <t>MOCOTONO Men's Long Sleeve Cotton Plaid Button Down Casual Shirts Black X-Large</t>
  </si>
  <si>
    <t>CS-SB005-BL1-2XL</t>
  </si>
  <si>
    <t>B074P2L5MB</t>
  </si>
  <si>
    <t>MOCOTONO Men's Long Sleeve Cotton Plaid Button Down Casual Shirts Blue XX-Large</t>
  </si>
  <si>
    <t>CS-SB005-BL1-L</t>
  </si>
  <si>
    <t>B074NWD9JL</t>
  </si>
  <si>
    <t>MOCOTONO Men's Long Sleeve Cotton Plaid Button Down Casual Shirts Blue Large</t>
  </si>
  <si>
    <t>CS-SB005-BL1-M</t>
  </si>
  <si>
    <t>B074P1VP1B</t>
  </si>
  <si>
    <t>MOCOTONO Men's Long Sleeve Cotton Plaid Button Down Casual Shirts Blue Medium</t>
  </si>
  <si>
    <t>CS-SB005-BL1-S</t>
  </si>
  <si>
    <t>B074P3B9JN</t>
  </si>
  <si>
    <t>MOCOTONO Men's Long Sleeve Cotton Plaid Button Down Casual Shirts Blue Small</t>
  </si>
  <si>
    <t>CS-SB005-BL1-XL</t>
  </si>
  <si>
    <t>B074P36NC6</t>
  </si>
  <si>
    <t>MOCOTONO Men's Long Sleeve Cotton Plaid Button Down Casual Shirts Blue X-Large</t>
  </si>
  <si>
    <t>CS-SB005-BL2-2XL</t>
  </si>
  <si>
    <t>B074P61RHZ</t>
  </si>
  <si>
    <t>MOCOTONO Men's Long Sleeve Cotton Plaid Button Down Casual Shirts Sapphire XX-Large</t>
  </si>
  <si>
    <t>CS-SB005-BL2-L</t>
  </si>
  <si>
    <t>B074P2STD5</t>
  </si>
  <si>
    <t>MOCOTONO Men's Long Sleeve Cotton Plaid Button Down Casual Shirts Sapphire Large</t>
  </si>
  <si>
    <t>CS-SB005-BL2-M</t>
  </si>
  <si>
    <t>B074P5N47J</t>
  </si>
  <si>
    <t>MOCOTONO Men's Long Sleeve Cotton Plaid Button Down Casual Shirts Sapphire Medium</t>
  </si>
  <si>
    <t>CS-SB005-BL2-S</t>
  </si>
  <si>
    <t>B074P5N47H</t>
  </si>
  <si>
    <t>MOCOTONO Men's Long Sleeve Cotton Plaid Button Down Casual Shirts Sapphire Small</t>
  </si>
  <si>
    <t>CS-SB005-BL2-XL</t>
  </si>
  <si>
    <t>B074NSCYWN</t>
  </si>
  <si>
    <t>MOCOTONO Men's Long Sleeve Cotton Plaid Button Down Casual Shirts Sapphire X-Large</t>
  </si>
  <si>
    <t>CS-SB005-GN-2XL</t>
  </si>
  <si>
    <t>B074P29LFB</t>
  </si>
  <si>
    <t>MOCOTONO Men's Long Sleeve Cotton Plaid Button Down Casual Shirts Green XX-Large</t>
  </si>
  <si>
    <t>CS-SB005-GN-L</t>
  </si>
  <si>
    <t>B074NZM7MK</t>
  </si>
  <si>
    <t>MOCOTONO Men's Long Sleeve Cotton Plaid Button Down Casual Shirts Green Large</t>
  </si>
  <si>
    <t>CS-SB005-GN-M</t>
  </si>
  <si>
    <t>B074P378C6</t>
  </si>
  <si>
    <t>MOCOTONO Men's Long Sleeve Cotton Plaid Button Down Casual Shirts Green Medium</t>
  </si>
  <si>
    <t>CS-SB005-GN-S</t>
  </si>
  <si>
    <t>B074NZHLJW</t>
  </si>
  <si>
    <t>MOCOTONO Men's Long Sleeve Cotton Plaid Button Down Casual Shirts Green Small</t>
  </si>
  <si>
    <t>CS-SB005-GN-XL</t>
  </si>
  <si>
    <t>B074P437N4</t>
  </si>
  <si>
    <t>MOCOTONO Men's Long Sleeve Cotton Plaid Button Down Casual Shirts Green X-Large</t>
  </si>
  <si>
    <t>CS-SB005-RD-2XL</t>
  </si>
  <si>
    <t>B074NYS413</t>
  </si>
  <si>
    <t>MOCOTONO Men's Long Sleeve Cotton Plaid Button Down Casual Shirts Red XX-Large</t>
  </si>
  <si>
    <t>CS-SB005-RD-L</t>
  </si>
  <si>
    <t>B074NY5LW3</t>
  </si>
  <si>
    <t>MOCOTONO Men's Long Sleeve Cotton Plaid Button Down Casual Shirts Red Large</t>
  </si>
  <si>
    <t>CS-SB005-RD-M</t>
  </si>
  <si>
    <t>B074P1NXR5</t>
  </si>
  <si>
    <t>MOCOTONO Men's Long Sleeve Cotton Plaid Button Down Casual Shirts Red Medium</t>
  </si>
  <si>
    <t>CS-SB005-RD-S</t>
  </si>
  <si>
    <t>B074P34K32</t>
  </si>
  <si>
    <t>MOCOTONO Men's Long Sleeve Cotton Plaid Button Down Casual Shirts Red Small</t>
  </si>
  <si>
    <t>CS-SB005-RD-XL</t>
  </si>
  <si>
    <t>B074NX161X</t>
  </si>
  <si>
    <t>MOCOTONO Men's Long Sleeve Cotton Plaid Button Down Casual Shirts Red X-Large</t>
  </si>
  <si>
    <t>CS-SB005-RD1-2XL</t>
  </si>
  <si>
    <t>B074P33P2H</t>
  </si>
  <si>
    <t>MOCOTONO Men's Long Sleeve Cotton Plaid Button Down Casual Shirts Scarlet XX-Large</t>
  </si>
  <si>
    <t>CS-SB005-RD1-L</t>
  </si>
  <si>
    <t>B074P25C71</t>
  </si>
  <si>
    <t>MOCOTONO Men's Long Sleeve Cotton Plaid Button Down Casual Shirts Scarlet Large</t>
  </si>
  <si>
    <t>CS-SB005-RD1-M</t>
  </si>
  <si>
    <t>B074NRHJQL</t>
  </si>
  <si>
    <t>MOCOTONO Men's Long Sleeve Cotton Plaid Button Down Casual Shirts Scarlet Medium</t>
  </si>
  <si>
    <t>CS-SB005-RD1-S</t>
  </si>
  <si>
    <t>B074NWPZS3</t>
  </si>
  <si>
    <t>MOCOTONO Men's Long Sleeve Cotton Plaid Button Down Casual Shirts Scarlet Small</t>
  </si>
  <si>
    <t>CS-SB005-RD1-XL</t>
  </si>
  <si>
    <t>B074NYCNPN</t>
  </si>
  <si>
    <t>MOCOTONO Men's Long Sleeve Cotton Plaid Button Down Casual Shirts Scarlet X-Large</t>
  </si>
  <si>
    <t>CS-SB005-YL-2XL</t>
  </si>
  <si>
    <t>B074P2T462</t>
  </si>
  <si>
    <t>MOCOTONO Men's Long Sleeve Cotton Plaid Button Down Casual Shirts Yellow XX-Large</t>
  </si>
  <si>
    <t>CS-SB005-YL-L</t>
  </si>
  <si>
    <t>B074NY9FXX</t>
  </si>
  <si>
    <t>MOCOTONO Men's Long Sleeve Cotton Plaid Button Down Casual Shirts Yellow Large</t>
  </si>
  <si>
    <t>CS-SB005-YL-M</t>
  </si>
  <si>
    <t>B074P2V5FF</t>
  </si>
  <si>
    <t>MOCOTONO Men's Long Sleeve Cotton Plaid Button Down Casual Shirts Yellow Medium</t>
  </si>
  <si>
    <t>CS-SB005-YL-S</t>
  </si>
  <si>
    <t>B074P18P6F</t>
  </si>
  <si>
    <t>MOCOTONO Men's Long Sleeve Cotton Plaid Button Down Casual Shirts Yellow Small</t>
  </si>
  <si>
    <t>CS-SB005-YL-XL</t>
  </si>
  <si>
    <t>B074NYLRYY</t>
  </si>
  <si>
    <t>MOCOTONO Men's Long Sleeve Cotton Plaid Button Down Casual Shirts Yellow X-Large</t>
  </si>
  <si>
    <t>CS-SB006-BK-2XL</t>
  </si>
  <si>
    <t>B074P2L5MQ</t>
  </si>
  <si>
    <t>MOCOTONO Men's Long Sleeve Standard Fit Plaid Checked Button up Casual Shirts Black XX-Large</t>
  </si>
  <si>
    <t>CS-SB006-BK-L</t>
  </si>
  <si>
    <t>B074P5BZWP</t>
  </si>
  <si>
    <t>MOCOTONO Men's Long Sleeve Standard Fit Plaid Checked Button up Casual Shirts Black Large</t>
  </si>
  <si>
    <t>CS-SB006-BK-M</t>
  </si>
  <si>
    <t>B074P44HT5</t>
  </si>
  <si>
    <t>MOCOTONO Men's Long Sleeve Standard Fit Plaid Checked Button up Casual Shirts Black Medium</t>
  </si>
  <si>
    <t>CS-SB006-BK-S</t>
  </si>
  <si>
    <t>B074P485M2</t>
  </si>
  <si>
    <t>MOCOTONO Men's Long Sleeve Standard Fit Plaid Checked Button up Casual Shirts Black Small</t>
  </si>
  <si>
    <t>CS-SB006-BK-XL</t>
  </si>
  <si>
    <t>B074NVHR58</t>
  </si>
  <si>
    <t>MOCOTONO Men's Long Sleeve Standard Fit Plaid Checked Button up Casual Shirts Black X-Large</t>
  </si>
  <si>
    <t>CS-SB006-BL-2XL</t>
  </si>
  <si>
    <t>B074P2RP7K</t>
  </si>
  <si>
    <t>MOCOTONO Men's Long Sleeve Standard Fit Plaid Checked Button up Casual Shirts Blue XX-Large</t>
  </si>
  <si>
    <t>CS-SB006-BL-L</t>
  </si>
  <si>
    <t>B074P3ZZHG</t>
  </si>
  <si>
    <t>Men's Long Sleeve Standard Fit Plaid Checked Button up Casual Shirts Blue Large</t>
  </si>
  <si>
    <t>CS-SB006-BL-M</t>
  </si>
  <si>
    <t>B074NZMXCP</t>
  </si>
  <si>
    <t>MOCOTONO Men's Long Sleeve Standard Fit Plaid Checked Button up Casual Shirts Blue Medium</t>
  </si>
  <si>
    <t>CS-SB006-BL-S</t>
  </si>
  <si>
    <t>B074P2B6M8</t>
  </si>
  <si>
    <t>MOCOTONO Men's Long Sleeve Standard Fit Plaid Checked Button up Casual Shirts Blue Small</t>
  </si>
  <si>
    <t>CS-SB006-BL-XL</t>
  </si>
  <si>
    <t>B074P61GW5</t>
  </si>
  <si>
    <t>MOCOTONO Men's Long Sleeve Standard Fit Plaid Checked Button up Casual Shirts Blue X-Large</t>
  </si>
  <si>
    <t>CS-SB006-BL2-2XL</t>
  </si>
  <si>
    <t>B074P1GKWX</t>
  </si>
  <si>
    <t>MOCOTONO Men's Long Sleeve Standard Fit Plaid Checked Button up Casual Shirts Sapphire XX-Large</t>
  </si>
  <si>
    <t>CS-SB006-BL2-L</t>
  </si>
  <si>
    <t>B074NVGXCD</t>
  </si>
  <si>
    <t>MOCOTONO Men's Long Sleeve Standard Fit Plaid Checked Button up Casual Shirts Sapphire Large</t>
  </si>
  <si>
    <t>CS-SB006-BL2-M</t>
  </si>
  <si>
    <t>B074NY5LWP</t>
  </si>
  <si>
    <t>MOCOTONO Men's Long Sleeve Standard Fit Plaid Checked Button up Casual Shirts Sapphire Medium</t>
  </si>
  <si>
    <t>CS-SB006-BL2-S</t>
  </si>
  <si>
    <t>B074NVH8G2</t>
  </si>
  <si>
    <t>MOCOTONO Men's Long Sleeve Standard Fit Plaid Checked Button up Casual Shirts Sapphire Small</t>
  </si>
  <si>
    <t>CS-SB006-BL2-XL</t>
  </si>
  <si>
    <t>B074P1TN5R</t>
  </si>
  <si>
    <t>MOCOTONO Men's Long Sleeve Standard Fit Plaid Checked Button up Casual Shirts Sapphire X-Large</t>
  </si>
  <si>
    <t>CS-SB006-CF-2XL</t>
  </si>
  <si>
    <t>B074P3BM2D</t>
  </si>
  <si>
    <t>MOCOTONO Men's Long Sleeve Standard Fit Plaid Checked Button up Casual Shirts Coffee XX-Large</t>
  </si>
  <si>
    <t>CS-SB006-CF-L</t>
  </si>
  <si>
    <t>B074P1B8ZM</t>
  </si>
  <si>
    <t>Men's Long Sleeve Standard Fit Plaid Checked Button up Casual Shirts Coffee Large</t>
  </si>
  <si>
    <t>CS-SB006-CF-M</t>
  </si>
  <si>
    <t>B074P1DYRF</t>
  </si>
  <si>
    <t>MOCOTONO Men's Long Sleeve Standard Fit Plaid Checked Button up Casual Shirts Coffee Medium</t>
  </si>
  <si>
    <t>CS-SB006-CF-S</t>
  </si>
  <si>
    <t>B074NQZMVQ</t>
  </si>
  <si>
    <t>MOCOTONO Men's Long Sleeve Standard Fit Plaid Checked Button up Casual Shirts Coffee Small</t>
  </si>
  <si>
    <t>CS-SB006-CF-XL</t>
  </si>
  <si>
    <t>B074NVTZ48</t>
  </si>
  <si>
    <t>MOCOTONO Men's Long Sleeve Standard Fit Plaid Checked Button up Casual Shirts Coffee X-Large</t>
  </si>
  <si>
    <t>CS-SB006-GN-2XL</t>
  </si>
  <si>
    <t>B074NWGDJG</t>
  </si>
  <si>
    <t>MOCOTONO Men's Long Sleeve Standard Fit Plaid Checked Button up Casual Shirts Green XX-Large</t>
  </si>
  <si>
    <t>CS-SB006-GN-L</t>
  </si>
  <si>
    <t>B074NYHWDL</t>
  </si>
  <si>
    <t>Men's Plaid Long Sleeve Button up Casual Dress Shirts Green Large</t>
  </si>
  <si>
    <t>CS-SB006-GN-M</t>
  </si>
  <si>
    <t>B074NZX79C</t>
  </si>
  <si>
    <t>CS-SB006-GN-S</t>
  </si>
  <si>
    <t>B074P1LKV2</t>
  </si>
  <si>
    <t>MOCOTONO Men's Long Sleeve Standard Fit Plaid Checked Button up Casual Shirts Green Small</t>
  </si>
  <si>
    <t>CS-SB006-GN-XL</t>
  </si>
  <si>
    <t>B074P1H1B1</t>
  </si>
  <si>
    <t>MOCOTONO Men's Long Sleeve Standard Fit Plaid Checked Button up Casual Shirts Green X-Large</t>
  </si>
  <si>
    <t>CS-SB006-RD1-2XL</t>
  </si>
  <si>
    <t>B074NWFV4Y</t>
  </si>
  <si>
    <t>MOCOTONO Men's Long Sleeve Standard Fit Plaid Checked Button up Casual Shirts Red XX-Large</t>
  </si>
  <si>
    <t>CS-SB006-RD1-L</t>
  </si>
  <si>
    <t>B074NZVFT4</t>
  </si>
  <si>
    <t>MOCOTONO Men's Long Sleeve Standard Fit Plaid Checked Button up Casual Shirts Red Large</t>
  </si>
  <si>
    <t>CS-SB006-RD1-M</t>
  </si>
  <si>
    <t>B074P1N7FP</t>
  </si>
  <si>
    <t>MOCOTONO Men's Long Sleeve Standard Fit Plaid Checked Button up Casual Shirts Red Medium</t>
  </si>
  <si>
    <t>CS-SB006-RD1-S</t>
  </si>
  <si>
    <t>B074P5J7Y8</t>
  </si>
  <si>
    <t>MOCOTONO Men's Long Sleeve Standard Fit Plaid Checked Button up Casual Shirts Red Small</t>
  </si>
  <si>
    <t>CS-SB006-RD1-XL</t>
  </si>
  <si>
    <t>B074P174SV</t>
  </si>
  <si>
    <t>MOCOTONO Men's Long Sleeve Standard Fit Plaid Checked Button up Casual Shirts Red X-Large</t>
  </si>
  <si>
    <t>CS-SB006-RD2-2XL</t>
  </si>
  <si>
    <t>B074P3P5F3</t>
  </si>
  <si>
    <t>Men's Long Sleeve Standard Fit Plaid Checked Button up Casual Shirts Scarlet XX-Large</t>
  </si>
  <si>
    <t>CS-SB006-RD2-L</t>
  </si>
  <si>
    <t>B074NR4672</t>
  </si>
  <si>
    <t>Men's Long Sleeve Standard Fit Plaid Checked Button up Casual Shirts Scarlet Large</t>
  </si>
  <si>
    <t>CS-SB006-RD2-M</t>
  </si>
  <si>
    <t>B074P174T6</t>
  </si>
  <si>
    <t>MOCOTONO Men's Long Sleeve Standard Fit Plaid Checked Button up Casual Shirts Scarlet Medium</t>
  </si>
  <si>
    <t>CS-SB006-RD2-S</t>
  </si>
  <si>
    <t>B074NP2N3H</t>
  </si>
  <si>
    <t>MOCOTONO Men's Long Sleeve Standard Fit Plaid Checked Button up Casual Shirts Scarlet Small</t>
  </si>
  <si>
    <t>CS-SB006-RD2-XL</t>
  </si>
  <si>
    <t>B074P6BFX9</t>
  </si>
  <si>
    <t>MOCOTONO Men's Long Sleeve Standard Fit Plaid Checked Button up Casual Shirts Scarlet X-Large</t>
  </si>
  <si>
    <t>CS-SB007-BL-L</t>
  </si>
  <si>
    <t>B0751B9WCV</t>
  </si>
  <si>
    <t>MOCOTONO Mens Oxford Long Sleeve Solid Standard Fit Button Down Casual Dress Shirts Blue Large</t>
  </si>
  <si>
    <t>CS-SB007-BL-M</t>
  </si>
  <si>
    <t>B075132JDL</t>
  </si>
  <si>
    <t>MOCOTONO Mens Oxford Long Sleeve Solid Standard Fit Button Down Casual Dress Shirts Blue Medium</t>
  </si>
  <si>
    <t>CS-SB007-BL-S</t>
  </si>
  <si>
    <t>B075185LMR</t>
  </si>
  <si>
    <t>MOCOTONO Mens Oxford Long Sleeve Solid Standard Fit Button Down Casual Dress Shirts Blue Small</t>
  </si>
  <si>
    <t>CS-SB007-BL-XL</t>
  </si>
  <si>
    <t>B075132L1Q</t>
  </si>
  <si>
    <t>MOCOTONO Mens Oxford Long Sleeve Solid Standard Fit Button Down Casual Dress Shirts Blue X-Large</t>
  </si>
  <si>
    <t>CS-SB007-BL-XXL</t>
  </si>
  <si>
    <t>B0751368L2</t>
  </si>
  <si>
    <t>MOCOTONO Mens Oxford Long Sleeve Solid Standard Fit Button Down Casual Dress Shirts Blue XX-Large</t>
  </si>
  <si>
    <t>CS-SB007-GR-L</t>
  </si>
  <si>
    <t>B07514NWBK</t>
  </si>
  <si>
    <t>MOCOTONO Mens Oxford Long Sleeve Solid Standard Fit Button Down Casual Dress Shirts Gray Large</t>
  </si>
  <si>
    <t>CS-SB007-GR-M</t>
  </si>
  <si>
    <t>B0751BKQR9</t>
  </si>
  <si>
    <t>MOCOTONO Mens Oxford Long Sleeve Solid Standard Fit Button Down Casual Dress Shirts Gray Medium</t>
  </si>
  <si>
    <t>CS-SB007-GR-S</t>
  </si>
  <si>
    <t>B075181XPC</t>
  </si>
  <si>
    <t>MOCOTONO Mens Oxford Long Sleeve Solid Standard Fit Button Down Casual Dress Shirts Gray Small</t>
  </si>
  <si>
    <t>CS-SB007-GR-XL</t>
  </si>
  <si>
    <t>B07518NSC3</t>
  </si>
  <si>
    <t>MOCOTONO Mens Oxford Long Sleeve Solid Standard Fit Button Down Casual Dress Shirts Gray X-Large</t>
  </si>
  <si>
    <t>CS-SB007-GR-XXL</t>
  </si>
  <si>
    <t>B075168BJM</t>
  </si>
  <si>
    <t>MOCOTONO Mens Oxford Long Sleeve Solid Standard Fit Button Down Casual Dress Shirts Gray XX-Large</t>
  </si>
  <si>
    <t>CS-SB007-LB-L</t>
  </si>
  <si>
    <t>B07517T6R9</t>
  </si>
  <si>
    <t>MOCOTONO Mens Oxford Long Sleeve Solid Standard Fit Button Down Casual Dress Shirts Light Blue Large</t>
  </si>
  <si>
    <t>CS-SB007-LB-M</t>
  </si>
  <si>
    <t>B07514LQM7</t>
  </si>
  <si>
    <t>MOCOTONO Mens Oxford Long Sleeve Solid Standard Fit Button Down Casual Dress Shirts Light Blue Medium</t>
  </si>
  <si>
    <t>CS-SB007-LB-S</t>
  </si>
  <si>
    <t>B07512JPLR</t>
  </si>
  <si>
    <t>MOCOTONO Mens Oxford Long Sleeve Solid Standard Fit Button Down Casual Dress Shirts Light Blue Small</t>
  </si>
  <si>
    <t>CS-SB007-LB-XL</t>
  </si>
  <si>
    <t>B075146M52</t>
  </si>
  <si>
    <t>MOCOTONO Mens Oxford Long Sleeve Solid Standard Fit Button Down Casual Dress Shirts Light Blue X-Large</t>
  </si>
  <si>
    <t>CS-SB007-LB-XXL</t>
  </si>
  <si>
    <t>B07519Q1DZ</t>
  </si>
  <si>
    <t>MOCOTONO Mens Oxford Long Sleeve Solid Standard Fit Button Down Casual Dress Shirts Light Blue XX-Large</t>
  </si>
  <si>
    <t>CS-SB007-LG-M</t>
  </si>
  <si>
    <t>B07511TPGK</t>
  </si>
  <si>
    <t>MOCOTONO Mens Oxford Long Sleeve Solid Standard Fit Button Down Casual Dress Shirts Light Green Medium</t>
  </si>
  <si>
    <t>CS-SB007-LG-S</t>
  </si>
  <si>
    <t>B07513F8HB</t>
  </si>
  <si>
    <t>MOCOTONO Mens Oxford Long Sleeve Solid Standard Fit Button Down Casual Dress Shirts Light Green Small</t>
  </si>
  <si>
    <t>CS-SB007-LG-XL</t>
  </si>
  <si>
    <t>B075133HRC</t>
  </si>
  <si>
    <t>MOCOTONO Mens Oxford Long Sleeve Solid Standard Fit Button Down Casual Dress Shirts Light Green X-Large</t>
  </si>
  <si>
    <t>CS-SB007-LG-XXL</t>
  </si>
  <si>
    <t>B0751BCTDL</t>
  </si>
  <si>
    <t>MOCOTONO Mens Oxford Long Sleeve Solid Standard Fit Button Down Casual Dress Shirts Light Green XX-Large</t>
  </si>
  <si>
    <t>CS-SB007-LP-L</t>
  </si>
  <si>
    <t>B07514NWB4</t>
  </si>
  <si>
    <t>MOCOTONO Mens Oxford Long Sleeve Solid Standard Fit Button Down Casual Dress Shirts Light Pink Large</t>
  </si>
  <si>
    <t>CS-SB007-LP-M</t>
  </si>
  <si>
    <t>B07512LRVL</t>
  </si>
  <si>
    <t>MOCOTONO Mens Oxford Long Sleeve Solid Standard Fit Button Down Casual Dress Shirts Light Pink Medium</t>
  </si>
  <si>
    <t>CS-SB007-LP-S</t>
  </si>
  <si>
    <t>B075145FFS</t>
  </si>
  <si>
    <t>MOCOTONO Mens Oxford Long Sleeve Solid Standard Fit Button Down Casual Dress Shirts Light Pink Small</t>
  </si>
  <si>
    <t>CS-SB007-LP-XL</t>
  </si>
  <si>
    <t>B07512KQBF</t>
  </si>
  <si>
    <t>MOCOTONO Mens Oxford Long Sleeve Solid Standard Fit Button Down Casual Dress Shirts Light Pink X-Large</t>
  </si>
  <si>
    <t>CS-SB007-LP-XXL</t>
  </si>
  <si>
    <t>B075189FCS</t>
  </si>
  <si>
    <t>MOCOTONO Mens Oxford Long Sleeve Solid Standard Fit Button Down Casual Dress Shirts Light Pink XX-Large</t>
  </si>
  <si>
    <t>CS-SB007-PP-L</t>
  </si>
  <si>
    <t>B07519P3CB</t>
  </si>
  <si>
    <t>MOCOTONO Mens Oxford Long Sleeve Solid Standard Fit Button Down Casual Dress Shirts Purple Large</t>
  </si>
  <si>
    <t>CS-SB007-PP-M</t>
  </si>
  <si>
    <t>B07514MZYY</t>
  </si>
  <si>
    <t>MOCOTONO Mens Oxford Long Sleeve Solid Standard Fit Button Down Casual Dress Shirts Purple Medium</t>
  </si>
  <si>
    <t>CS-SB007-PP-S</t>
  </si>
  <si>
    <t>B07513151T</t>
  </si>
  <si>
    <t>MOCOTONO Mens Oxford Long Sleeve Solid Standard Fit Button Down Casual Dress Shirts Purple Small</t>
  </si>
  <si>
    <t>CS-SB007-PP-XL</t>
  </si>
  <si>
    <t>B0751385MS</t>
  </si>
  <si>
    <t>MOCOTONO Mens Oxford Long Sleeve Solid Standard Fit Button Down Casual Dress Shirts Purple X-Large</t>
  </si>
  <si>
    <t>CS-SB007-PP-XXL</t>
  </si>
  <si>
    <t>B07519P3CD</t>
  </si>
  <si>
    <t>MOCOTONO Mens Oxford Long Sleeve Solid Standard Fit Button Down Casual Dress Shirts Purple XX-Large</t>
  </si>
  <si>
    <t>CS-SB008-WR-L</t>
  </si>
  <si>
    <t>B07518SDWD</t>
  </si>
  <si>
    <t>CS-SB008-WR-M</t>
  </si>
  <si>
    <t>B07515PLB7</t>
  </si>
  <si>
    <t>CS-SB008-ZL-L</t>
  </si>
  <si>
    <t>B07518MPTQ</t>
  </si>
  <si>
    <t>CS-SB008-ZL-M</t>
  </si>
  <si>
    <t>B07513ZMT8</t>
  </si>
  <si>
    <t>CS-SB009-BK-L</t>
  </si>
  <si>
    <t>B07515SYYK</t>
  </si>
  <si>
    <t>CS-SB009-BK-M</t>
  </si>
  <si>
    <t>CS-SB009-BK-S</t>
  </si>
  <si>
    <t>CS-SB009-BK-XL</t>
  </si>
  <si>
    <t>CS-SB009-BK-XXL</t>
  </si>
  <si>
    <t>CS-SB009-BL-L</t>
  </si>
  <si>
    <t>CS-SB009-BL-M</t>
  </si>
  <si>
    <t>CS-SB009-BL-S</t>
  </si>
  <si>
    <t>CS-SB009-BL-XL</t>
  </si>
  <si>
    <t>CS-SB009-BL-XXL</t>
  </si>
  <si>
    <t>CS-SB009-BL1-S</t>
  </si>
  <si>
    <t>B075131VPH</t>
  </si>
  <si>
    <t>CS-SB009-BL2-M</t>
  </si>
  <si>
    <t>CS-SB009-BL3-L</t>
  </si>
  <si>
    <t>CS-SB009-BL4-XL</t>
  </si>
  <si>
    <t>CS-SB009-BL5-XXL</t>
  </si>
  <si>
    <t>CS-SB009-CF-L</t>
  </si>
  <si>
    <t>CS-SB009-CF-M</t>
  </si>
  <si>
    <t>CS-SB009-CF-S</t>
  </si>
  <si>
    <t>CS-SB009-CF-XL</t>
  </si>
  <si>
    <t>CS-SB009-CF-XXL</t>
  </si>
  <si>
    <t>B075157KTJ</t>
  </si>
  <si>
    <t>CS-SB009-GN-L</t>
  </si>
  <si>
    <t>CS-SB009-GN-M</t>
  </si>
  <si>
    <t>CS-SB009-GN-S</t>
  </si>
  <si>
    <t>CS-SB009-GN-XL</t>
  </si>
  <si>
    <t>CS-SB009-GN-XXL</t>
  </si>
  <si>
    <t>CS-SB009-LB-L</t>
  </si>
  <si>
    <t>CS-SB009-LB-M</t>
  </si>
  <si>
    <t>CS-SB009-LB-S</t>
  </si>
  <si>
    <t>CS-SB009-LB-XL</t>
  </si>
  <si>
    <t>CS-SB009-LB-XXL</t>
  </si>
  <si>
    <t>CS-SB009-LB1-L</t>
  </si>
  <si>
    <t>CS-SB009-LB1-M</t>
  </si>
  <si>
    <t>CS-SB009-LB1-S</t>
  </si>
  <si>
    <t>MOCOTONO Men's Short Sleeve Plaid Checkered Button Down Casual Shirts Blue &amp; Navy Small</t>
  </si>
  <si>
    <t>CS-SB009-LB1-XL</t>
  </si>
  <si>
    <t>CS-SB009-LB1-XXL</t>
  </si>
  <si>
    <t>CS-SB009-RD-L</t>
  </si>
  <si>
    <t>CS-SB009-RD-M</t>
  </si>
  <si>
    <t>CS-SB009-RD-S</t>
  </si>
  <si>
    <t>CS-SB009-RD-XL</t>
  </si>
  <si>
    <t>CS-SB009-RD-XXL</t>
  </si>
  <si>
    <t>CS-SB009-RDNY-L</t>
  </si>
  <si>
    <t>CS-SB009-RDNY-M</t>
  </si>
  <si>
    <t>CS-SB009-RDNY-S</t>
  </si>
  <si>
    <t>CS-SB009-RDNY-XL</t>
  </si>
  <si>
    <t>B074ZY4X45</t>
  </si>
  <si>
    <t>CS-SB009-RDNY-XXL</t>
  </si>
  <si>
    <t>CS-SB009-YL-L</t>
  </si>
  <si>
    <t>CS-SB009-YL-M</t>
  </si>
  <si>
    <t>CS-SB009-YL-S</t>
  </si>
  <si>
    <t>CS-SB009-YL-XL</t>
  </si>
  <si>
    <t>CS-SB009-YL-XXL</t>
  </si>
  <si>
    <t>CS-SB010-WT-1</t>
  </si>
  <si>
    <t>B07559157L</t>
  </si>
  <si>
    <t>MOCOTONO Men's Non Iron Formal Business Tuxedo Dress Shirt White S 14" Neck, 31.25" Sleeve</t>
  </si>
  <si>
    <t>CS-SB010-WT-2</t>
  </si>
  <si>
    <t>B0755C5MTD</t>
  </si>
  <si>
    <t>CS-SB010-WT-3</t>
  </si>
  <si>
    <t>B075591F93</t>
  </si>
  <si>
    <t>MOCOTONO Men's Non Iron Formal Business Tuxedo Dress Shirt White M 15" Neck, 32" Sleeve</t>
  </si>
  <si>
    <t>CS-SB010-WT-4</t>
  </si>
  <si>
    <t>B075556QB8</t>
  </si>
  <si>
    <t>MOCOTONO Men's Non Iron Formal Business Tuxedo Dress Shirt White M 15.5" Neck, 33" Sleeve</t>
  </si>
  <si>
    <t>CS-SB010-WT-5</t>
  </si>
  <si>
    <t>B07555L3KW</t>
  </si>
  <si>
    <t>MOCOTONO Men's Non Iron Formal Business Tuxedo Dress Shirt White L 16" Neck, 33.75" Sleeve</t>
  </si>
  <si>
    <t>CS-SB010-WT-6</t>
  </si>
  <si>
    <t>B0755CGZ1Q</t>
  </si>
  <si>
    <t>Mocotono Men's Non Iron Formal Business Dress Shirt White L 16.5" Neck, 34.5" Sleeve</t>
  </si>
  <si>
    <t>CS-SB010-WT-7</t>
  </si>
  <si>
    <t>B075584M2W</t>
  </si>
  <si>
    <t>MOCOTONO Men's Non Iron Formal Business Tuxedo Dress Shirt White XL 17" Neck, 35" Sleeve</t>
  </si>
  <si>
    <t>CS-SB010-WT-8</t>
  </si>
  <si>
    <t>B07556LCKF</t>
  </si>
  <si>
    <t>MOCOTONO Men's Non Iron Formal Business Tuxedo Dress Shirt White XL 17.5" Neck, 35.75" Sleeve</t>
  </si>
  <si>
    <t>CS-SB010-WT-9</t>
  </si>
  <si>
    <t>B0755CB8JY</t>
  </si>
  <si>
    <t>MOCOTONO Men's Non Iron Formal Business Tuxedo Dress Shirt White XXL 18" Neck, 36.25" Sleeve</t>
  </si>
  <si>
    <t>CS-SB016-B0-L</t>
  </si>
  <si>
    <t>B077XMGXVF</t>
  </si>
  <si>
    <t>CS-SB016-B0-M</t>
  </si>
  <si>
    <t>B077XMLJHY</t>
  </si>
  <si>
    <t>Mocotono Men's Long Sleeve Thick Denim Shirt Blue (Thick) Medium</t>
  </si>
  <si>
    <t>CS-SB016-B0-S</t>
  </si>
  <si>
    <t>B077XMGSS1</t>
  </si>
  <si>
    <t>Mocotono Men's Long Sleeve Thick Denim Shirt Blue (Thick) Small</t>
  </si>
  <si>
    <t>CS-SB016-B0-XL</t>
  </si>
  <si>
    <t>B077XRTTYL</t>
  </si>
  <si>
    <t>Mocotono Men's Long Sleeve Thick Denim Shirt Blue (Thick) X-Large</t>
  </si>
  <si>
    <t>CS-SB016-B0-XXL</t>
  </si>
  <si>
    <t>B077XP4WLY</t>
  </si>
  <si>
    <t>Men's Long Sleeve Denim Solid Double-Pocket Shirt Blue XX-Large</t>
  </si>
  <si>
    <t>CS-SB016-BK-L</t>
  </si>
  <si>
    <t>B077XR57XS</t>
  </si>
  <si>
    <t>Mocotono Men's Long Sleeve Thick Denim Shirt Black (Thick) Large</t>
  </si>
  <si>
    <t>CS-SB016-BK-M</t>
  </si>
  <si>
    <t>B0785JHWJF</t>
  </si>
  <si>
    <t>Mocotono Men's Long Sleeve Thick Denim Shirt Black (Thick) Medium</t>
  </si>
  <si>
    <t>CS-SB016-BK-S</t>
  </si>
  <si>
    <t>B077XP6VN9</t>
  </si>
  <si>
    <t>MOCOTONO Men's Long Sleeve Denim Solid Flap Pockets Shirt Black Small</t>
  </si>
  <si>
    <t>CS-SB016-BK-XL</t>
  </si>
  <si>
    <t>B077XT6WM4</t>
  </si>
  <si>
    <t>Men's Long Sleeve Denim Solid Double-Pocket Shirt Black X-Large</t>
  </si>
  <si>
    <t>CS-SB016-BK-XXL</t>
  </si>
  <si>
    <t>B0785KBCS1</t>
  </si>
  <si>
    <t>Men's Long Sleeve Denim Solid Double-Pocket Shirt Black XX-Large</t>
  </si>
  <si>
    <t>CS-SB016-LB-L</t>
  </si>
  <si>
    <t>B077XT4444</t>
  </si>
  <si>
    <t>MOCOTONO Men's Long Sleeve Denim Solid Double-Pocket Shirt Light Blue Large</t>
  </si>
  <si>
    <t>CS-SB016-LB-M</t>
  </si>
  <si>
    <t>B077XP91JG</t>
  </si>
  <si>
    <t>MOCOTONO Men's Long Sleeve Denim Solid Double-Pocket Shirt Light Blue Medium</t>
  </si>
  <si>
    <t>CS-SB016-LB-S</t>
  </si>
  <si>
    <t>B077XT473H</t>
  </si>
  <si>
    <t>Men's Long Sleeve Denim Solid Double-Pocket Shirt Light Blue Small</t>
  </si>
  <si>
    <t>CS-SB016-LB-XL</t>
  </si>
  <si>
    <t>B077XRMVQX</t>
  </si>
  <si>
    <t>MOCOTONO Men's Long Sleeve Denim Solid Double-Pocket Shirt Light Blue X-Large</t>
  </si>
  <si>
    <t>CS-SB016-LB-XXL</t>
  </si>
  <si>
    <t>B0785JXC3Z</t>
  </si>
  <si>
    <t>MOCOTONO Men's Long Sleeve Denim Solid Double-Pocket Shirt Light Blue XX-Large</t>
  </si>
  <si>
    <t>CS-SB016-NB-L</t>
  </si>
  <si>
    <t>B077XQXW8V</t>
  </si>
  <si>
    <t>Mocotono Men's Long Sleeve Thick Denim Shirt Light Blue (Thick) Large</t>
  </si>
  <si>
    <t>CS-SB016-NB-M</t>
  </si>
  <si>
    <t>B077XT6S1V</t>
  </si>
  <si>
    <t>CS-SB016-NB-S</t>
  </si>
  <si>
    <t>B077XRK1S3</t>
  </si>
  <si>
    <t>MOCOTONO Men's Long Sleeve Denim Solid Double-Pocket Shirt Navy Blue Small</t>
  </si>
  <si>
    <t>CS-SB016-NB-XL</t>
  </si>
  <si>
    <t>B077XT48SV</t>
  </si>
  <si>
    <t>Mocotono Men's Long Sleeve Thick Denim Shirt Light Blue (Thick) X-Large</t>
  </si>
  <si>
    <t>CS-SB016-NB-XXL</t>
  </si>
  <si>
    <t>B077XP95HD</t>
  </si>
  <si>
    <t>Mocotono Men's Long Sleeve Thick Denim Shirt Light Blue (Thick) XX-Large</t>
  </si>
  <si>
    <t>CS-SB030-BK-L</t>
  </si>
  <si>
    <t>B078W1FF7Y</t>
  </si>
  <si>
    <t>CS-SB030-BK-M</t>
  </si>
  <si>
    <t>CS-SB030-BK-S</t>
  </si>
  <si>
    <t>CS-SB030-BK-XL</t>
  </si>
  <si>
    <t>CS-SB030-BK-XXL</t>
  </si>
  <si>
    <t>CS-SB030-BL-L</t>
  </si>
  <si>
    <t>CS-SB030-BL-M</t>
  </si>
  <si>
    <t>CS-SB030-BL-S</t>
  </si>
  <si>
    <t>CS-SB030-BL-XL</t>
  </si>
  <si>
    <t>CS-SB030-BL-XXL</t>
  </si>
  <si>
    <t>CS-SB030-GR-L</t>
  </si>
  <si>
    <t>CS-SB030-GR-M</t>
  </si>
  <si>
    <t>CS-SB030-GR-S</t>
  </si>
  <si>
    <t>CS-SB030-GR-XL</t>
  </si>
  <si>
    <t>CS-SB030-GR-XXL</t>
  </si>
  <si>
    <t>Mocotono Men's Short Sleeve Oxford Button Down Casual Shirt, Gray, XX-Large</t>
  </si>
  <si>
    <t>CS-SB030-NY-L</t>
  </si>
  <si>
    <t>X001SPBZY7</t>
  </si>
  <si>
    <t>B07DG2ZYCD</t>
  </si>
  <si>
    <t>CS-SB030-NY-M</t>
  </si>
  <si>
    <t>X001SOGGGF</t>
  </si>
  <si>
    <t>B07DG2SX37</t>
  </si>
  <si>
    <t>CS-SB030-NY-S</t>
  </si>
  <si>
    <t>X001SOGGG5</t>
  </si>
  <si>
    <t>B07DG35NXZ</t>
  </si>
  <si>
    <t>CS-SB030-NY-XL</t>
  </si>
  <si>
    <t>X001SPBZYH</t>
  </si>
  <si>
    <t>B07DG2DFH9</t>
  </si>
  <si>
    <t>CS-SB030-NY-XXL</t>
  </si>
  <si>
    <t>X001SPBM2H</t>
  </si>
  <si>
    <t>B07DG3FV9J</t>
  </si>
  <si>
    <t>CS-SB030-WR-L</t>
  </si>
  <si>
    <t>X001SPAR19</t>
  </si>
  <si>
    <t>B07DG2J87N</t>
  </si>
  <si>
    <t>CS-SB030-WR-M</t>
  </si>
  <si>
    <t>X001SPBCU9</t>
  </si>
  <si>
    <t>B07DG2ZPMN</t>
  </si>
  <si>
    <t>CS-SB030-WR-S</t>
  </si>
  <si>
    <t>X001SPBZYR</t>
  </si>
  <si>
    <t>B07DG4W15X</t>
  </si>
  <si>
    <t>CS-SB030-WR-XL</t>
  </si>
  <si>
    <t>X001SPBCUJ</t>
  </si>
  <si>
    <t>B07DG31F9Q</t>
  </si>
  <si>
    <t>CS-SB030-WR-XXL</t>
  </si>
  <si>
    <t>X001SOET6T</t>
  </si>
  <si>
    <t>B07DG33RXF</t>
  </si>
  <si>
    <t>CS-SB030-WT-L</t>
  </si>
  <si>
    <t>CS-SB030-WT-M</t>
  </si>
  <si>
    <t>CS-SB030-WT-S</t>
  </si>
  <si>
    <t>CS-SB030-WT-XL</t>
  </si>
  <si>
    <t>CS-SB030-WT-XXL</t>
  </si>
  <si>
    <t>CS-SB030-YL-L</t>
  </si>
  <si>
    <t>CS-SB030-YL-M</t>
  </si>
  <si>
    <t>CS-SB030-YL-S</t>
  </si>
  <si>
    <t>CS-SB030-YL-XL</t>
  </si>
  <si>
    <t>CS-SB030-YL-XXL</t>
  </si>
  <si>
    <t>CS-SB032-BL-L</t>
  </si>
  <si>
    <t>CS-SB032-BL-M</t>
  </si>
  <si>
    <t>CS-SB032-BL-S</t>
  </si>
  <si>
    <t>CS-SB032-BL-XL</t>
  </si>
  <si>
    <t>CS-SB032-BL-XXL</t>
  </si>
  <si>
    <t>CS-SB032-GN1-L</t>
  </si>
  <si>
    <t>CS-SB032-GN1-M</t>
  </si>
  <si>
    <t>CS-SB032-GN1-S</t>
  </si>
  <si>
    <t>CS-SB032-GN1-XL</t>
  </si>
  <si>
    <t>CS-SB032-GN1-XXL</t>
  </si>
  <si>
    <t>CS-SB032-GN2-L</t>
  </si>
  <si>
    <t>CS-SB032-GN2-M</t>
  </si>
  <si>
    <t>CS-SB032-GN2-S</t>
  </si>
  <si>
    <t>CS-SB032-GN2-XL</t>
  </si>
  <si>
    <t>CS-SB032-GN2-XXL</t>
  </si>
  <si>
    <t>CS-SB032-NB-L</t>
  </si>
  <si>
    <t>CS-SB032-NB-M</t>
  </si>
  <si>
    <t>CS-SB032-NB-S</t>
  </si>
  <si>
    <t>CS-SB032-NB-XL</t>
  </si>
  <si>
    <t>CS-SB032-NB-XXL</t>
  </si>
  <si>
    <t>CS-SB032-RD-L</t>
  </si>
  <si>
    <t>CS-SB032-RD-M</t>
  </si>
  <si>
    <t>CS-SB032-RD-S</t>
  </si>
  <si>
    <t>CS-SB032-RD-XL</t>
  </si>
  <si>
    <t>CS-SB032-RD-XXL</t>
  </si>
  <si>
    <t>CS-SB032-YL-L</t>
  </si>
  <si>
    <t>CS-SB032-YL-M</t>
  </si>
  <si>
    <t>CS-SB032-YL-S</t>
  </si>
  <si>
    <t>CS-SB032-YL-XL</t>
  </si>
  <si>
    <t>CS-SB032-YL-XXL</t>
  </si>
  <si>
    <t>CS-SB084-H10-M</t>
  </si>
  <si>
    <t>B07D7PFNCN</t>
  </si>
  <si>
    <t>CS-SB084-H15-XXL</t>
  </si>
  <si>
    <t>X001OSFT9F</t>
  </si>
  <si>
    <t>B079DK99DZ</t>
  </si>
  <si>
    <t>CS-SB084-H16-XXL</t>
  </si>
  <si>
    <t>MOCOTONO Men's Long Sleeve Plaid Button Down Cotton Casual Shirts Muti Plaid 16 XX-Large</t>
  </si>
  <si>
    <t>CS-SB084-H6-XL</t>
  </si>
  <si>
    <t>B07D7MW4W4</t>
  </si>
  <si>
    <t>MOCOTONO Men's Long Sleeve Plaid Button Down Cotton Casual Shirts Black and White X-Large</t>
  </si>
  <si>
    <t>CS-SB086-B0-L</t>
  </si>
  <si>
    <t>B0787HQ14H</t>
  </si>
  <si>
    <t>MOCOTONO Men's Long Sleeve Denim Western Work Shirt Denim Blue Large</t>
  </si>
  <si>
    <t>CS-SB086-B0-XL</t>
  </si>
  <si>
    <t>B07876THBW</t>
  </si>
  <si>
    <t>Mocotono Men's Long Sleeve Denim Western Work Shirt Denim Blue X-Large</t>
  </si>
  <si>
    <t>CS-SB086-LB-L</t>
  </si>
  <si>
    <t>B078771D18</t>
  </si>
  <si>
    <t>MOCOTONO Men's Long Sleeve Denim Western Work Shirt Light Blue Large</t>
  </si>
  <si>
    <t>CS-SB086-LB-M</t>
  </si>
  <si>
    <t>B078771NLD</t>
  </si>
  <si>
    <t>MOCOTONO Men's Long Sleeve Denim Western Work Shirt Light Blue Medium</t>
  </si>
  <si>
    <t>CS-SB086-LB-XL</t>
  </si>
  <si>
    <t>B0787VBR2P</t>
  </si>
  <si>
    <t>MOCOTONO Men's Long Sleeve Denim Western Work Shirt Light Blue X-Large</t>
  </si>
  <si>
    <t>CS-SB086-LB-XXL</t>
  </si>
  <si>
    <t>B07876L59W</t>
  </si>
  <si>
    <t>MOCOTONO Men's Long Sleeve Denim Western Work Shirt Light Blue XX-Large</t>
  </si>
  <si>
    <t>CS-SB166-B28-1-L</t>
  </si>
  <si>
    <t>B07916B4RM</t>
  </si>
  <si>
    <t>CS-SB166-B28-1-M</t>
  </si>
  <si>
    <t>B07916B356</t>
  </si>
  <si>
    <t>CS-SB166-B28-1-S</t>
  </si>
  <si>
    <t>B07916QHCT</t>
  </si>
  <si>
    <t>CS-SB166-B28-1-XL</t>
  </si>
  <si>
    <t>CS-SB166-B28-1-XXL</t>
  </si>
  <si>
    <t>B07916RXLG</t>
  </si>
  <si>
    <t>Men's Long Sleeve Flannel Plaid Dress Shirt Western Button Down Shirts Muti Plaid XX-Large</t>
  </si>
  <si>
    <t>CS-SB166-B28-3-L</t>
  </si>
  <si>
    <t>B07916DKL8</t>
  </si>
  <si>
    <t>Men's Long Sleeve Flannel Plaid Dress Shirt Western Button Down Shirts Navy Large</t>
  </si>
  <si>
    <t>CS-SB166-B28-3-M</t>
  </si>
  <si>
    <t>B07915X9K1</t>
  </si>
  <si>
    <t>CS-SB166-B28-3-XL</t>
  </si>
  <si>
    <t>B07916MXSB</t>
  </si>
  <si>
    <t>CS-SB166-B28-4-L</t>
  </si>
  <si>
    <t>B07916H4PV</t>
  </si>
  <si>
    <t>MOCOTONO Men's Long Sleeve Flannel Plaid Dress Shirt Western Button Down Shirts Yellow Large</t>
  </si>
  <si>
    <t>CS-SB166-B28-4-M</t>
  </si>
  <si>
    <t>CS-SB166-B28-4-XL</t>
  </si>
  <si>
    <t>B07916PZPF</t>
  </si>
  <si>
    <t>CS-SB166-B28-4-XXL</t>
  </si>
  <si>
    <t>B07916XJ82</t>
  </si>
  <si>
    <t>CS-SB166-B28-5-L</t>
  </si>
  <si>
    <t>CS-SB166-B28-5-M</t>
  </si>
  <si>
    <t>B07916G9YZ</t>
  </si>
  <si>
    <t>MOCOTONO Men's Long Sleeve Flannel Plaid Dress Shirt Western Button Down Shirts Khaki Medium</t>
  </si>
  <si>
    <t>CS-SB166-B28-5-S</t>
  </si>
  <si>
    <t>B07916NJN8</t>
  </si>
  <si>
    <t>MOCOTONO Men's Long Sleeve Flannel Plaid Dress Shirt Western Button Down Shirts Khaki Small</t>
  </si>
  <si>
    <t>CS-SB166-B28-5-XL</t>
  </si>
  <si>
    <t>B079172CJ6</t>
  </si>
  <si>
    <t>MOCOTONO Men's Long Sleeve Flannel Plaid Dress Shirt Western Button Down Shirts Khaki X-Large</t>
  </si>
  <si>
    <t>CS-SB166-B28-5-XXL</t>
  </si>
  <si>
    <t>B079168BFT</t>
  </si>
  <si>
    <t>CS-SB166-K33-1-L</t>
  </si>
  <si>
    <t>B07916FH2Q</t>
  </si>
  <si>
    <t>MOCOTONO Men's Long Sleeve Flannel Plaid Dress Shirt Western Button Down Shirts Red and Navy Large</t>
  </si>
  <si>
    <t>CS-SB166-K33-1-M</t>
  </si>
  <si>
    <t>MOCOTONO Men's Long Sleeve Flannel Plaid Dress Shirt Western Button Down Shirts Red and Navy Medium</t>
  </si>
  <si>
    <t>CS-SB166-K33-1-S</t>
  </si>
  <si>
    <t>CS-SB166-K33-1-XL</t>
  </si>
  <si>
    <t>CS-SB166-K33-1-XXL</t>
  </si>
  <si>
    <t>CS-SB166-K33-2-L</t>
  </si>
  <si>
    <t>CS-SB166-K33-2-M</t>
  </si>
  <si>
    <t>B079165SZW</t>
  </si>
  <si>
    <t>CS-SB166-K33-2-S</t>
  </si>
  <si>
    <t>B07916G773</t>
  </si>
  <si>
    <t>MOCOTONO Men's Long Sleeve Flannel Plaid Dress Shirt Western Button Down Shirts Green Small</t>
  </si>
  <si>
    <t>CS-SB166-K33-2-XL</t>
  </si>
  <si>
    <t>B07916L9KB</t>
  </si>
  <si>
    <t>MOCOTONO Men's Long Sleeve Flannel Plaid Dress Shirt Western Button Down Shirts Green X-Large</t>
  </si>
  <si>
    <t>CS-SB166-K33-2-XXL</t>
  </si>
  <si>
    <t>B079168DXM</t>
  </si>
  <si>
    <t>MOCOTONO Men's Long Sleeve Flannel Plaid Dress Shirt Western Button Down Shirts Green XX-Large</t>
  </si>
  <si>
    <t>CS-SB166-K33-4-L</t>
  </si>
  <si>
    <t>B079162HRM</t>
  </si>
  <si>
    <t>MOCOTONO Men's Long Sleeve Flannel Plaid Dress Shirt Western Button Down Shirts White and Navy Large</t>
  </si>
  <si>
    <t>CS-SB166-K33-4-M</t>
  </si>
  <si>
    <t>B07915TV8G</t>
  </si>
  <si>
    <t>CS-SB166-K33-4-XXL</t>
  </si>
  <si>
    <t>B07916P7ZH</t>
  </si>
  <si>
    <t>CS-SB166-K73-1-L</t>
  </si>
  <si>
    <t>B0791686VX</t>
  </si>
  <si>
    <t>MOCOTONO Men's Long Sleeve Flannel Plaid Dress Shirt Western Button Down Shirts Red Large</t>
  </si>
  <si>
    <t>CS-SB166-K73-1-M</t>
  </si>
  <si>
    <t>B07916WPF8</t>
  </si>
  <si>
    <t>CS-SB166-K73-1-XXL</t>
  </si>
  <si>
    <t>B07916W6G7</t>
  </si>
  <si>
    <t>CS-SB166-K73-2-L</t>
  </si>
  <si>
    <t>B07916L66S</t>
  </si>
  <si>
    <t>CS-SB166-K73-2-M</t>
  </si>
  <si>
    <t>B079169XFD</t>
  </si>
  <si>
    <t>Men's Long Sleeve Flannel Plaid Dress Shirt Western Button Down Shirts Black Medium</t>
  </si>
  <si>
    <t>CS-SB166-K73-2-XL</t>
  </si>
  <si>
    <t>B078XQK3N4</t>
  </si>
  <si>
    <t>MOCOTONO Men's Long Sleeve Flannel Plaid Dress Shirt Western Button Down Shirts Black X-Large</t>
  </si>
  <si>
    <t>CS-SB166-K73-2-XXL</t>
  </si>
  <si>
    <t>B07916B357</t>
  </si>
  <si>
    <t>CS-SB166-YL-M</t>
  </si>
  <si>
    <t>X001OPSHJ7</t>
  </si>
  <si>
    <t>CS-SB170-G912-L</t>
  </si>
  <si>
    <t>CS-SB170-G912-M</t>
  </si>
  <si>
    <t>B0788LBJSB</t>
  </si>
  <si>
    <t>Men's Short Sleeve Oxford Button Down Casual Shirt Green Medium</t>
  </si>
  <si>
    <t>CS-SB170-G912-S</t>
  </si>
  <si>
    <t>B0788HQDK5</t>
  </si>
  <si>
    <t>Men's Short Sleeve Oxford Button Down Casual Shirt Green Small</t>
  </si>
  <si>
    <t>CS-SB170-G912-XL</t>
  </si>
  <si>
    <t>CS-SB170-G912-XXL</t>
  </si>
  <si>
    <t>CS-SB170-LB916-L</t>
  </si>
  <si>
    <t>CS-SB170-LB916-M</t>
  </si>
  <si>
    <t>CS-SB170-LB916-S</t>
  </si>
  <si>
    <t>CS-SB170-LB916-XL</t>
  </si>
  <si>
    <t>CS-SB170-LB916-XXL</t>
  </si>
  <si>
    <t>CS-SB170-LG907-L</t>
  </si>
  <si>
    <t>CS-SB170-LG907-M</t>
  </si>
  <si>
    <t>CS-SB170-LG907-S</t>
  </si>
  <si>
    <t>B0788NVMQS</t>
  </si>
  <si>
    <t>Men's Short Sleeve Oxford Button Down Casual Shirt Light Gray Small</t>
  </si>
  <si>
    <t>CS-SB170-LG907-XL</t>
  </si>
  <si>
    <t>CS-SB170-LG907-XXL</t>
  </si>
  <si>
    <t>CS-SB170-PI908-L</t>
  </si>
  <si>
    <t>B0788JN2XB</t>
  </si>
  <si>
    <t>CS-SB170-PI908-M</t>
  </si>
  <si>
    <t>CS-SB170-PI908-S</t>
  </si>
  <si>
    <t>B0788KZFTN</t>
  </si>
  <si>
    <t>Men's Short Sleeve Oxford Button Down Casual Shirt Pink Small</t>
  </si>
  <si>
    <t>CS-SB170-PI908-XL</t>
  </si>
  <si>
    <t>CS-SB170-PI908-XXL</t>
  </si>
  <si>
    <t>CS-SB170-Sa911-L</t>
  </si>
  <si>
    <t>CS-SB170-Sa911-M</t>
  </si>
  <si>
    <t>CS-SB170-Sa911-S</t>
  </si>
  <si>
    <t>CS-SB170-Sa911-XL</t>
  </si>
  <si>
    <t>CS-SB170-Sa911-XXL</t>
  </si>
  <si>
    <t>CS-SB170-W902-L</t>
  </si>
  <si>
    <t>CS-SB170-W902-M</t>
  </si>
  <si>
    <t>CS-SB170-W902-S</t>
  </si>
  <si>
    <t>CS-SB170-W902-XL</t>
  </si>
  <si>
    <t>CS-SB170-W902-XXL</t>
  </si>
  <si>
    <t>CS-SB170-WR-XL</t>
  </si>
  <si>
    <t>X001QZNLSH</t>
  </si>
  <si>
    <t>CS-SB170-WR917-L</t>
  </si>
  <si>
    <t>CS-SB170-WR917-M</t>
  </si>
  <si>
    <t>CS-SB170-WR917-S</t>
  </si>
  <si>
    <t>B0788FRMZ3</t>
  </si>
  <si>
    <t>Men's Short Sleeve Oxford Button Down Casual Shirt Maroon Small</t>
  </si>
  <si>
    <t>CS-SB170-WR917-XL</t>
  </si>
  <si>
    <t>CS-SB170-WR917-XXL</t>
  </si>
  <si>
    <t>CS-SB170-ZL918-L</t>
  </si>
  <si>
    <t>CS-SB170-ZL918-M</t>
  </si>
  <si>
    <t>CS-SB170-ZL918-S</t>
  </si>
  <si>
    <t>CS-SB170-ZL918-XL</t>
  </si>
  <si>
    <t>CS-SB170-ZL918-XXL</t>
  </si>
  <si>
    <t>B0788KLC8Q</t>
  </si>
  <si>
    <t>Mocotono Men's Short Sleeve Oxford Button Down Casual Shirt, Navy, XX-Large</t>
  </si>
  <si>
    <t>CS-SB171-LG907-L</t>
  </si>
  <si>
    <t>B0788LX4R2</t>
  </si>
  <si>
    <t>MOCOTONO Men's Long Sleeve Oxford Regular Fit Button Down Casual Shirt Light Gray Large</t>
  </si>
  <si>
    <t>CS-SB171-LG907-XL</t>
  </si>
  <si>
    <t>B0788MSMMV</t>
  </si>
  <si>
    <t>MOCOTONO Men's Long Sleeve Oxford Regular Fit Button Down Casual Shirt Light Gray X-Large</t>
  </si>
  <si>
    <t>CS-SB171-PI908-L</t>
  </si>
  <si>
    <t>B0788LSVF4</t>
  </si>
  <si>
    <t>Men's Long Sleeve Oxford Regular Fit Button Down Casual Shirt Pink Large</t>
  </si>
  <si>
    <t>CS-SB171-PI908-M</t>
  </si>
  <si>
    <t>B0788LFWBW</t>
  </si>
  <si>
    <t>Men's Long Sleeve Oxford Regular Fit Button Down Casual Shirt Pink Medium</t>
  </si>
  <si>
    <t>CS-SB171-PI908-S</t>
  </si>
  <si>
    <t>B0788KSD6T</t>
  </si>
  <si>
    <t>Men's Long Sleeve Oxford Regular Fit Button Down Casual Shirt Pink Small</t>
  </si>
  <si>
    <t>CS-SB171-PI908-XL</t>
  </si>
  <si>
    <t>B0788LNB86</t>
  </si>
  <si>
    <t>Men's Long Sleeve Oxford Regular Fit Button Down Casual Shirt Pink X-Large</t>
  </si>
  <si>
    <t>CS-SB171-PI908-XXL</t>
  </si>
  <si>
    <t>B0788KMQXD</t>
  </si>
  <si>
    <t>Men's Long Sleeve Oxford Regular Fit Button Down Casual Shirt XX-Large</t>
  </si>
  <si>
    <t>CS-SB171-W902-L</t>
  </si>
  <si>
    <t>B0788R2MXR</t>
  </si>
  <si>
    <t>MOCOTONO Men's Long Sleeve Oxford Regular Fit Button Down Casual Shirt White Large</t>
  </si>
  <si>
    <t>CS-SB171-W902-M</t>
  </si>
  <si>
    <t>B0788LGPCS</t>
  </si>
  <si>
    <t>MOCOTONO Men's Long Sleeve Oxford Regular Fit Button Down Casual Shirt White Medium</t>
  </si>
  <si>
    <t>CS-SB171-W902-S</t>
  </si>
  <si>
    <t>B0789FYTW3</t>
  </si>
  <si>
    <t>MOCOTONO Men's Long Sleeve Oxford Regular Fit Button Down Casual Shirt White Small</t>
  </si>
  <si>
    <t>CS-SB171-W902-XL</t>
  </si>
  <si>
    <t>B0788N1TMH</t>
  </si>
  <si>
    <t>MOCOTONO Men's Long Sleeve Oxford Regular Fit Button Down Casual Shirt White X-Large</t>
  </si>
  <si>
    <t>CS-SB171-W902-XXL</t>
  </si>
  <si>
    <t>B0788N1Z2R</t>
  </si>
  <si>
    <t>MOCOTONO Men's Long Sleeve Oxford Regular Fit Button Down Casual Shirt White XX-Large</t>
  </si>
  <si>
    <t>CS-SB171-WR917-L</t>
  </si>
  <si>
    <t>B0788LK4M5</t>
  </si>
  <si>
    <t>MOCOTONO Men's Long Sleeve Oxford Regular Fit Button Down Casual Shirt Maroon Large</t>
  </si>
  <si>
    <t>CS-SB171-WR917-M</t>
  </si>
  <si>
    <t>B07893HPBG</t>
  </si>
  <si>
    <t>MOCOTONO Men's Long Sleeve Oxford Regular Fit Button Down Casual Shirt Maroon Medium</t>
  </si>
  <si>
    <t>CS-SB171-WR917-S</t>
  </si>
  <si>
    <t>B0788LQ7VL</t>
  </si>
  <si>
    <t>Men's Long Sleeve Oxford Regular Fit Button Down Casual Shirt Maroon Small</t>
  </si>
  <si>
    <t>CS-SB171-WR917-XL</t>
  </si>
  <si>
    <t>B0788MM9FZ</t>
  </si>
  <si>
    <t>MOCOTONO Men's Long Sleeve Oxford Regular Fit Button Down Casual Shirt Maroon X-Large</t>
  </si>
  <si>
    <t>CS-SB171-WR917-XXL</t>
  </si>
  <si>
    <t>B0788LBRVB</t>
  </si>
  <si>
    <t>MOCOTONO Men's Long Sleeve Oxford Regular Fit Button Down Casual Shirt Maroon XX-Large</t>
  </si>
  <si>
    <t>CS-SB171-ZL918-L</t>
  </si>
  <si>
    <t>B0788N1XXM</t>
  </si>
  <si>
    <t>MOCOTONO Men's Long Sleeve Oxford Regular Fit Button Down Casual Shirt Navy Blue Large</t>
  </si>
  <si>
    <t>CS-SB171-ZL918-M</t>
  </si>
  <si>
    <t>B0788KQPVW</t>
  </si>
  <si>
    <t>MOCOTONO Men's Long Sleeve Oxford Regular Fit Button Down Casual Shirt Navy Blue Medium</t>
  </si>
  <si>
    <t>CS-SB171-ZL918-XL</t>
  </si>
  <si>
    <t>B0788KFQ7J</t>
  </si>
  <si>
    <t>MOCOTONO Men's Long Sleeve Oxford Regular Fit Button Down Casual Shirt Navy Blue X-Large</t>
  </si>
  <si>
    <t>CS-SB171-ZL918-XXL</t>
  </si>
  <si>
    <t>B0788NS23T</t>
  </si>
  <si>
    <t>MOCOTONO Men's Long Sleeve Oxford Regular Fit Button Down Casual Shirt Navy Blue XX-Large</t>
  </si>
  <si>
    <t>CS-SB181-G912-L</t>
  </si>
  <si>
    <t>B0789CHCY1</t>
  </si>
  <si>
    <t>Men's Oxford Long Sleeve Button Down Casual Dress Shirt,Green,Large</t>
  </si>
  <si>
    <t>CS-SB181-G912-M</t>
  </si>
  <si>
    <t>B0789DBL4N</t>
  </si>
  <si>
    <t>CS-SB181-G912-XL</t>
  </si>
  <si>
    <t>B0789C39QK</t>
  </si>
  <si>
    <t>Men's Oxford Long Sleeve Button Down Casual Dress Shirt,Green,X-Large</t>
  </si>
  <si>
    <t>CS-SB181-G912-XXL</t>
  </si>
  <si>
    <t>B07899BNCB</t>
  </si>
  <si>
    <t>CS-SB181-LB916-XXL</t>
  </si>
  <si>
    <t>B0789BD4M4</t>
  </si>
  <si>
    <t>MOCOTONO Men's Oxford Long Sleeve Button Down Casual Dress Shirt,Light Blue,XX-Large</t>
  </si>
  <si>
    <t>CS-SB181-LG907-L</t>
  </si>
  <si>
    <t>B07899ZPHF</t>
  </si>
  <si>
    <t>MOCOTONO Men's Oxford Long Sleeve Button Down Casual Dress Shirt,Light Gray,Large</t>
  </si>
  <si>
    <t>CS-SB181-LG907-XL</t>
  </si>
  <si>
    <t>B0789C7SK6</t>
  </si>
  <si>
    <t>MOCOTONO Men's Oxford Long Sleeve Button Down Casual Dress Shirt,Light Gray,X-Large</t>
  </si>
  <si>
    <t>CS-SB181-LG907-XXL</t>
  </si>
  <si>
    <t>B0789C4JV1</t>
  </si>
  <si>
    <t>MOCOTONO Men's Oxford Long Sleeve Button Down Casual Dress Shirt,Light Gray,XX-Large</t>
  </si>
  <si>
    <t>CS-SB181-PI908-L</t>
  </si>
  <si>
    <t>B0789DFWJP</t>
  </si>
  <si>
    <t>MOCOTONO Men's Oxford Long Sleeve Button Down Casual Dress Shirt,Pink,Large</t>
  </si>
  <si>
    <t>CS-SB181-Sa911-XXL</t>
  </si>
  <si>
    <t>B0789DBL55</t>
  </si>
  <si>
    <t>MOCOTONO Men's Oxford Long Sleeve Button Down Casual Dress Shirt,Sapphire,XX-Large</t>
  </si>
  <si>
    <t>CS-SB181-W902-L</t>
  </si>
  <si>
    <t>B0789CR6SN</t>
  </si>
  <si>
    <t>MOCOTONO Men's Oxford Long Sleeve Button Down Casual Dress Shirt,White,Large</t>
  </si>
  <si>
    <t>CS-SB181-W902-M</t>
  </si>
  <si>
    <t>B0789C7H42</t>
  </si>
  <si>
    <t>MOCOTONO Men's Oxford Long Sleeve Button Down Casual Dress Shirt,White,Medium</t>
  </si>
  <si>
    <t>CS-SB181-W902-XL</t>
  </si>
  <si>
    <t>B0789CDSYR</t>
  </si>
  <si>
    <t>CS-SB181-WR917-L</t>
  </si>
  <si>
    <t>B0789CYL9S</t>
  </si>
  <si>
    <t>MOCOTONO Men's Oxford Long Sleeve Button Down Casual Dress Shirt,Wine Red,Large</t>
  </si>
  <si>
    <t>CS-SB181-WR917-M</t>
  </si>
  <si>
    <t>B0789BVM4L</t>
  </si>
  <si>
    <t>MOCOTONO Men's Oxford Long Sleeve Button Down Casual Dress Shirt,Wine Red,Medium</t>
  </si>
  <si>
    <t>CS-SB181-WR917-XL</t>
  </si>
  <si>
    <t>B0789C9VYH</t>
  </si>
  <si>
    <t>MOCOTONO Men's Oxford Long Sleeve Button Down Casual Dress Shirt,Wine Red,X-Large</t>
  </si>
  <si>
    <t>CS-SB181-WR917-XXL</t>
  </si>
  <si>
    <t>B0789FBLZS</t>
  </si>
  <si>
    <t>MOCOTONO Men's Oxford Long Sleeve Button Down Casual Dress Shirt,Wine Red,XX-Large</t>
  </si>
  <si>
    <t>CS-SB181-ZL918-L</t>
  </si>
  <si>
    <t>B0789Z4KR8</t>
  </si>
  <si>
    <t>MOCOTONO Men's Oxford Long Sleeve Button Down Casual Dress Shirt,Navy Blue,Large</t>
  </si>
  <si>
    <t>CS-SB181-ZL918-XL</t>
  </si>
  <si>
    <t>B0789KX4J2</t>
  </si>
  <si>
    <t>MOCOTONO Men's Oxford Long Sleeve Button Down Casual Dress Shirt,Navy Blue,X-Large</t>
  </si>
  <si>
    <t>CS-SB181-ZL918-XXL</t>
  </si>
  <si>
    <t>B0789CBLZK</t>
  </si>
  <si>
    <t>MOCOTONO Men's Oxford Long Sleeve Button Down Casual Dress Shirt,Navy Blue,XX-Large</t>
  </si>
  <si>
    <t>DK-LY-K157-AG-40</t>
  </si>
  <si>
    <t>B073Q1977L</t>
  </si>
  <si>
    <t>MOCOTONO Men's Casual Slim Fit Cotton Multi-Pocket Twill Cargo Shorts Army Green Tag 40/US 38</t>
  </si>
  <si>
    <t>DK-LY-K157-B0-32</t>
  </si>
  <si>
    <t>B073Q1437J</t>
  </si>
  <si>
    <t>MOCOTONO Men's Casual Slim Fit Cotton Multi-Pocket Twill Cargo Shorts Sapphire Blue Tag 32/US 30</t>
  </si>
  <si>
    <t>DK-LY-K157-B0-40</t>
  </si>
  <si>
    <t>B073PZKLGR</t>
  </si>
  <si>
    <t>MOCOTONO Men's Casual Slim Fit Cotton Multi-Pocket Twill Cargo Shorts Sapphire Blue Tag 40/US 38</t>
  </si>
  <si>
    <t>DK-LY-K157-B0-42</t>
  </si>
  <si>
    <t>B073PZC3WT</t>
  </si>
  <si>
    <t>MOCOTONO Men's Casual Slim Fit Cotton Multi-Pocket Twill Cargo Shorts Sapphire Blue Tag 42/US 40</t>
  </si>
  <si>
    <t>DK-LY-K157-B0-44</t>
  </si>
  <si>
    <t>B073PZ9VFP</t>
  </si>
  <si>
    <t>MOCOTONO Men's Casual Slim Fit Cotton Multi-Pocket Twill Cargo Shorts Sapphire Blue Tag 44/US 42</t>
  </si>
  <si>
    <t>DK-LY-K157-KQ-32</t>
  </si>
  <si>
    <t>B073PZDYM9</t>
  </si>
  <si>
    <t>MOCOTONO Men's Casual Slim Fit Cotton Multi-Pocket Twill Cargo Shorts Khaki 1 Tag 32/US 30</t>
  </si>
  <si>
    <t>DK-LY-K157-KQ-36</t>
  </si>
  <si>
    <t>B073Q13NMP</t>
  </si>
  <si>
    <t>MOCOTONO Men's Casual Slim Fit Cotton Multi-Pocket Twill Cargo Shorts Khaki 1 Tag 36/US 34</t>
  </si>
  <si>
    <t>DK-LY-K157-KQ-40</t>
  </si>
  <si>
    <t>B073PZD6X2</t>
  </si>
  <si>
    <t>MOCOTONO Men's Casual Slim Fit Cotton Multi-Pocket Twill Cargo Shorts Khaki 1 Tag 40/US 38</t>
  </si>
  <si>
    <t>DK-LY-K157-KQ-42</t>
  </si>
  <si>
    <t>B073PYR86R</t>
  </si>
  <si>
    <t>MOCOTONO Men's Casual Slim Fit Cotton Multi-Pocket Twill Cargo Shorts Khaki 1 Tag 42/US 40</t>
  </si>
  <si>
    <t>DK-LY-K157-KQ-44</t>
  </si>
  <si>
    <t>B073PZ4B1D</t>
  </si>
  <si>
    <t>MOCOTONO Men's Casual Slim Fit Cotton Multi-Pocket Twill Cargo Shorts Khaki 1 Tag 44/US 42</t>
  </si>
  <si>
    <t>DK-LY-K157-OR-34</t>
  </si>
  <si>
    <t>B073PZ9XDB</t>
  </si>
  <si>
    <t>MOCOTONO Men's Casual Slim Fit Cotton Multi-Pocket Twill Cargo Shorts Orange 1 Tag 34/US 32</t>
  </si>
  <si>
    <t>DK-LY-K157-OR-42</t>
  </si>
  <si>
    <t>B073PYVGPP</t>
  </si>
  <si>
    <t>MOCOTONO Men's Casual Slim Fit Cotton Multi-Pocket Twill Cargo Shorts Orange 1 Tag 42/US 40</t>
  </si>
  <si>
    <t>DK-LY-K518-B0-32</t>
  </si>
  <si>
    <t>B073PZNR28</t>
  </si>
  <si>
    <t>MOCOTONO Slim Fit Cotton Multi-Pocket Twill Cargo Shorts for Men Navy Tag 32/US 30</t>
  </si>
  <si>
    <t>DK-LY-K518-B0-40</t>
  </si>
  <si>
    <t>B073PZB2K2</t>
  </si>
  <si>
    <t>MOCOTONO Slim Fit Cotton Multi-Pocket Twill Cargo Shorts for Men Navy Tag 40/US 38</t>
  </si>
  <si>
    <t>DK-LY-K518-B0-42</t>
  </si>
  <si>
    <t>B073PZQ835</t>
  </si>
  <si>
    <t>MOCOTONO Slim Fit Cotton Multi-Pocket Twill Cargo Shorts for Men Navy Tag 42/US 40</t>
  </si>
  <si>
    <t>DK-LY-K518-B0-44</t>
  </si>
  <si>
    <t>B073PZV417</t>
  </si>
  <si>
    <t>MOCOTONO Slim Fit Cotton Multi-Pocket Twill Cargo Shorts for Men Navy Tag 44/US 42</t>
  </si>
  <si>
    <t>DK-LY-K518-G0-36</t>
  </si>
  <si>
    <t>B073XF62NQ</t>
  </si>
  <si>
    <t>MOCOTONO Slim Fit Cotton Multi-Pocket Twill Cargo Shorts for Men Grass Green Tag 36/US 34</t>
  </si>
  <si>
    <t>DK-LY-K518-G0-42</t>
  </si>
  <si>
    <t>B073XDMPRF</t>
  </si>
  <si>
    <t>MOCOTONO Slim Fit Cotton Multi-Pocket Twill Cargo Shorts for Men Grass Green Tag 42/US 40</t>
  </si>
  <si>
    <t>DK-LY-K518-K0-38</t>
  </si>
  <si>
    <t>B073PZM1XY</t>
  </si>
  <si>
    <t>MOCOTONO Slim Fit Cotton Multi-Pocket Twill Cargo Shorts for Men Black 3 Tag 38/US 36</t>
  </si>
  <si>
    <t>DK-LY-K518-K0-40</t>
  </si>
  <si>
    <t>B073PZH77B</t>
  </si>
  <si>
    <t>MOCOTONO Slim Fit Cotton Multi-Pocket Twill Cargo Shorts for Men Black 3 Tag 40/US 38</t>
  </si>
  <si>
    <t>DK-LY-K518-K0-42</t>
  </si>
  <si>
    <t>B073Q1C827</t>
  </si>
  <si>
    <t>MOCOTONO Slim Fit Cotton Multi-Pocket Twill Cargo Shorts for Men Black 3 Tag 42/US 40</t>
  </si>
  <si>
    <t>DK-LY-K518-K0-44</t>
  </si>
  <si>
    <t>B073PZBDTJ</t>
  </si>
  <si>
    <t>MOCOTONO Slim Fit Cotton Multi-Pocket Twill Cargo Shorts for Men Black 3 Tag 44/US 42</t>
  </si>
  <si>
    <t>DK-LY-K518-KQ-32</t>
  </si>
  <si>
    <t>B073PYRKGR</t>
  </si>
  <si>
    <t>MOCOTONO Slim Fit Cotton Multi-Pocket Twill Cargo Shorts for Men Khaki 3 Tag 32/US 30</t>
  </si>
  <si>
    <t>DK-LY-K518-KQ-34</t>
  </si>
  <si>
    <t>B073PZH7FR</t>
  </si>
  <si>
    <t>MOCOTONO Slim Fit Cotton Multi-Pocket Twill Cargo Shorts for Men Khaki 3 Tag 34/US 32</t>
  </si>
  <si>
    <t>DK-LY-K518-KQ-38</t>
  </si>
  <si>
    <t>B073PZL9KW</t>
  </si>
  <si>
    <t>MOCOTONO Slim Fit Cotton Multi-Pocket Twill Cargo Shorts for Men Khaki 3 Tag 38/US 36</t>
  </si>
  <si>
    <t>DK-LY-K518-KQ-40</t>
  </si>
  <si>
    <t>B073PZSYNS</t>
  </si>
  <si>
    <t>MOCOTONO Slim Fit Cotton Multi-Pocket Twill Cargo Shorts for Men Khaki 3 Tag 40/US 38</t>
  </si>
  <si>
    <t>DK-LY-K518-KQ-42</t>
  </si>
  <si>
    <t>B073PZGGY8</t>
  </si>
  <si>
    <t>MOCOTONO Slim Fit Cotton Multi-Pocket Twill Cargo Shorts for Men Khaki 3 Tag 42/US 40</t>
  </si>
  <si>
    <t>DK-LY-K518-KQ-44</t>
  </si>
  <si>
    <t>B073PZ594R</t>
  </si>
  <si>
    <t>MOCOTONO Slim Fit Cotton Multi-Pocket Twill Cargo Shorts for Men Khaki 3 Tag 44/US 42</t>
  </si>
  <si>
    <t>DK-LY-K518-OR-38</t>
  </si>
  <si>
    <t>B073PZBW3Z</t>
  </si>
  <si>
    <t>Slim Fit Cotton Multi-Pocket Twill Cargo Shorts for Men Orange 3 Tag 38/US 36</t>
  </si>
  <si>
    <t>DK-LY-K518-OR-42</t>
  </si>
  <si>
    <t>B073PZL9ZR</t>
  </si>
  <si>
    <t>Slim Fit Cotton Multi-Pocket Twill Cargo Shorts for Men Orange 3 Tag 42/US 40</t>
  </si>
  <si>
    <t>DK-LY-K518-OR-44</t>
  </si>
  <si>
    <t>B073PZGGP2</t>
  </si>
  <si>
    <t>Slim Fit Cotton Multi-Pocket Twill Cargo Shorts for Men Orange 3 Tag 44/US 42</t>
  </si>
  <si>
    <t>DK-LY-K559-KQ-44</t>
  </si>
  <si>
    <t>B073QH2KWY</t>
  </si>
  <si>
    <t>Mens Twill Cargo Shorts Slim Fit Short Pants Khaki 2 Tag 44/US 42</t>
  </si>
  <si>
    <t>DK-LY-K559-OR-42</t>
  </si>
  <si>
    <t>B073QHDKZ5</t>
  </si>
  <si>
    <t>Mens Twill Cargo Shorts Slim Fit Short Pants Orange 2 Tag 42/US 40</t>
  </si>
  <si>
    <t>JK-SB015-DG-L</t>
  </si>
  <si>
    <t>B075T84P3R</t>
  </si>
  <si>
    <t>JK-SB016-BK-L</t>
  </si>
  <si>
    <t>KZ-LHY001-BLK-L</t>
  </si>
  <si>
    <t>X001SLFEKR</t>
  </si>
  <si>
    <t>B073XM44QG</t>
  </si>
  <si>
    <t>KZ-LHY001-BLK-M</t>
  </si>
  <si>
    <t>X001SLE8CH</t>
  </si>
  <si>
    <t>B0725CDCCN</t>
  </si>
  <si>
    <t>MOCOTONO Women's Plus Size Elastic Waist Wide Leg Linen Cropped Pants Black Medium</t>
  </si>
  <si>
    <t>KZ-LHY001-BLK-XL</t>
  </si>
  <si>
    <t>X001SRZUDR</t>
  </si>
  <si>
    <t>B07DHDXBXW</t>
  </si>
  <si>
    <t>MOCOTONO Women's Plus Size Elastic Waist Wide Leg Linen Cropped Pants Black X-Large</t>
  </si>
  <si>
    <t>KZ-LHY001-GRY-L</t>
  </si>
  <si>
    <t>X001SKJGYX</t>
  </si>
  <si>
    <t>B073XLK4G5</t>
  </si>
  <si>
    <t>KZ-LHY001-GRY-M</t>
  </si>
  <si>
    <t>X001SK4EY5</t>
  </si>
  <si>
    <t>B071VFYY2V</t>
  </si>
  <si>
    <t>MOCOTONO Women's Plus Size Elastic Waist Wide Leg Linen Cropped Pants Grey Medium</t>
  </si>
  <si>
    <t>KZ-LHY001-GRY-XL</t>
  </si>
  <si>
    <t>X001SQWM7Z</t>
  </si>
  <si>
    <t>B07DHFBB7D</t>
  </si>
  <si>
    <t>MOCOTONO Women's Plus Size Elastic Waist Wide Leg Linen Cropped Pants Grey X-Large</t>
  </si>
  <si>
    <t>KZ-LHY001-RED-L</t>
  </si>
  <si>
    <t>X001SQUA8N</t>
  </si>
  <si>
    <t>B07DHFSP5S</t>
  </si>
  <si>
    <t>MOCOTONO Women's Plus Size Elastic Waist Wide Leg Linen Cropped Pants Red Large</t>
  </si>
  <si>
    <t>KZ-LHY001-RED-M</t>
  </si>
  <si>
    <t>X001SLEXJF</t>
  </si>
  <si>
    <t>B071NP2X5N</t>
  </si>
  <si>
    <t>MOCOTONO Women's Plus Size Elastic Waist Wide Leg Linen Cropped Pants Red Medium</t>
  </si>
  <si>
    <t>KZ-LHY001-RED-XL</t>
  </si>
  <si>
    <t>X001SQZCYP</t>
  </si>
  <si>
    <t>B07DHFF5YQ</t>
  </si>
  <si>
    <t>MOCOTONO Women's Plus Size Elastic Waist Wide Leg Linen Cropped Pants Red X-Large</t>
  </si>
  <si>
    <t>KZ-LHY001-WHT-L</t>
  </si>
  <si>
    <t>X001SKJHFV</t>
  </si>
  <si>
    <t>B073XMFYWX</t>
  </si>
  <si>
    <t>KZ-LHY001-WHT-M</t>
  </si>
  <si>
    <t>X001SLFHQN</t>
  </si>
  <si>
    <t>B0716LH9B7</t>
  </si>
  <si>
    <t>MOCOTONO Women's Plus Size Elastic Waist Wide Leg Linen Cropped Pants White Medium</t>
  </si>
  <si>
    <t>KZ-LHY001-WHT-XL</t>
  </si>
  <si>
    <t>X001SS0FCH</t>
  </si>
  <si>
    <t>B07DHDJ8XK</t>
  </si>
  <si>
    <t>MOCOTONO Women's White Linen Pants Casual Loose Linen Cropped Wide Leg Pants White X-Large</t>
  </si>
  <si>
    <t>KZ-LHY001-YLW-L</t>
  </si>
  <si>
    <t>X001SRZUE1</t>
  </si>
  <si>
    <t>B07DHFYGVY</t>
  </si>
  <si>
    <t>MOCOTONO Women's Plus Size Elastic Waist Wide Leg Linen Cropped Pants Yellow Large</t>
  </si>
  <si>
    <t>KZ-LHY001-YLW-M</t>
  </si>
  <si>
    <t>X001SKJGYN</t>
  </si>
  <si>
    <t>B071HHSJ1R</t>
  </si>
  <si>
    <t>MOCOTONO Women's Plus Size Elastic Waist Wide Leg Linen Cropped Pants Yellow Medium</t>
  </si>
  <si>
    <t>KZ-LHY001-YLW-XL</t>
  </si>
  <si>
    <t>X001SQWLYJ</t>
  </si>
  <si>
    <t>B07DHFNS63</t>
  </si>
  <si>
    <t>MOCOTONO Women's Plus Size Elastic Waist Wide Leg Linen Cropped Pants Yellow X-Large</t>
  </si>
  <si>
    <t>KZ-LHY002-BLKTREE-L</t>
  </si>
  <si>
    <t>X001TNEDHT</t>
  </si>
  <si>
    <t>B0777M87ZJ</t>
  </si>
  <si>
    <t>SiYang YoGa Women's Tree Of Life Leggings (L)</t>
  </si>
  <si>
    <t>KZ-LHY002-BLKTREE-M</t>
  </si>
  <si>
    <t>X001TNEAJP</t>
  </si>
  <si>
    <t>B01MU5D6DJ</t>
  </si>
  <si>
    <t>SiYang YoGa Women's Tree Of Life Leggings(L)</t>
  </si>
  <si>
    <t>KZ-LHY002-BLKTREE-S</t>
  </si>
  <si>
    <t>X001TNFPV7</t>
  </si>
  <si>
    <t>B01N6LLAEF</t>
  </si>
  <si>
    <t>SiYang YoGa Women's Tree of Life Leggings (S)</t>
  </si>
  <si>
    <t>KZ-LHY002-BUTTERFLY-L</t>
  </si>
  <si>
    <t>X001TNFDYV</t>
  </si>
  <si>
    <t>B01MY2YM1G</t>
  </si>
  <si>
    <t>SiYang YoGa Butterfly 3D Printing Yoga Pants Women Running Fitness Sportswear Dance Pants(Pants,L)</t>
  </si>
  <si>
    <t>KZ-LHY002-BUTTERFLY-M</t>
  </si>
  <si>
    <t>X001TNFDZ5</t>
  </si>
  <si>
    <t>B01MU5D7SA</t>
  </si>
  <si>
    <t>Butterfly 3D Printing Yoga Pants Women Running Fitness Sportswear Dance Pants(Pants,M)</t>
  </si>
  <si>
    <t>KZ-LHY002-BUTTERFLY-S</t>
  </si>
  <si>
    <t>X001TNED83</t>
  </si>
  <si>
    <t>B01NH0QNOS</t>
  </si>
  <si>
    <t>SiYang YoGa Butterfly 3D Printing Yoga Pants Women Running Fitness Sportswear Dance Pants(Pants,S)</t>
  </si>
  <si>
    <t>KZ-LHY002-CAT-2XL</t>
  </si>
  <si>
    <t>X001TNED7T</t>
  </si>
  <si>
    <t>B0776QVRRT</t>
  </si>
  <si>
    <t>SiYang YoGa Space Cat 3D Printing Fashion Fitness Pants Yoga Sports Trousers High Stretch Fast Dry Pants For Women(Pants,2XL)</t>
  </si>
  <si>
    <t>KZ-LHY002-CAT-3XL</t>
  </si>
  <si>
    <t>X001TN3POL</t>
  </si>
  <si>
    <t>B0776Q3PVM</t>
  </si>
  <si>
    <t>SiYang YoGa Space Cat 3D Printing Fashion Fitness Pants Yoga Sports Trousers High Stretch Fast Dry Pants For Women(Pants,3XL)</t>
  </si>
  <si>
    <t>KZ-LHY002-CAT-L</t>
  </si>
  <si>
    <t>X001TN78HV</t>
  </si>
  <si>
    <t>B01N6LLBPH</t>
  </si>
  <si>
    <t>SiYang YoGa Space Cat 3D Printing Fashion Fitness Pants Yoga Sports Trousers High Stretch Fast Dry Pants For Women(Pants,L)</t>
  </si>
  <si>
    <t>KZ-LHY002-CAT-M</t>
  </si>
  <si>
    <t>X001TNFPVH</t>
  </si>
  <si>
    <t>B01MT3TAJ5</t>
  </si>
  <si>
    <t>SiYang YoGa Space Cat 3D Printing Fashion Fitness Pants Yoga Sports Trousers High Stretch Fast Dry Pants For Women(Pants,M)</t>
  </si>
  <si>
    <t>KZ-LHY002-CAT-S</t>
  </si>
  <si>
    <t>X001TN3NIJ</t>
  </si>
  <si>
    <t>B01N5K685I</t>
  </si>
  <si>
    <t>SiYang YoGa Space Cat 3D Printing Fashion Fitness Pants Yoga Sports Trousers High Stretch Fast Dry Pants For Women(Pants,S)</t>
  </si>
  <si>
    <t>KZ-LHY002-CAT-XL</t>
  </si>
  <si>
    <t>X001TNEDHJ</t>
  </si>
  <si>
    <t>B0776SM4GN</t>
  </si>
  <si>
    <t>Space Cat 3D Printing Fashion Fitness Pants Yoga Sports Trousers High Stretch Fast Dry Pants For Women(Pants,XL)</t>
  </si>
  <si>
    <t>KZ-LHY002-FISH-L</t>
  </si>
  <si>
    <t>X001TNF8Z5</t>
  </si>
  <si>
    <t>B01N11KD8V</t>
  </si>
  <si>
    <t>Color Gradient Fish Scale Printed Yoga Pants Female Hip Tights (Pants,L)</t>
  </si>
  <si>
    <t>KZ-LHYX001-BLK-L</t>
  </si>
  <si>
    <t>X001SS2BK1</t>
  </si>
  <si>
    <t>B07DHF9D3T</t>
  </si>
  <si>
    <t>MOCOTONO Women's Plus Size Elastic Waist Wide Leg Linen Cropped Pants Black Large</t>
  </si>
  <si>
    <t>KZ-LHYX001-GRY-L</t>
  </si>
  <si>
    <t>X001SR0CUD</t>
  </si>
  <si>
    <t>B07DHDJKYV</t>
  </si>
  <si>
    <t>MOCOTONO Women's Plus Size Elastic Waist Wide Leg Linen Cropped Pants Grey Large</t>
  </si>
  <si>
    <t>KZ-LHYX001-WHT-L</t>
  </si>
  <si>
    <t>X001TKG2DZ</t>
  </si>
  <si>
    <t>B07F1FPHG7</t>
  </si>
  <si>
    <t>MOCOTONO Women's White Linen Pants Casual Loose Linen Cropped Wide Leg Pants White L</t>
  </si>
  <si>
    <t>MY-021-GR-XL</t>
  </si>
  <si>
    <t>B07C4PDQWL</t>
  </si>
  <si>
    <t>MOCOTONO Men's V-Neck Long Sleeve Pullover Casual Sweater Light Gray X-Large</t>
  </si>
  <si>
    <t>MY-BBS011-BK-L</t>
  </si>
  <si>
    <t>X001T34BCL</t>
  </si>
  <si>
    <t>B0758YWG89</t>
  </si>
  <si>
    <t>MOCOTONO Men's V Neck Pullover Sweater Long Sleeve Cotton Casual Sweat Dress,Black,Medium</t>
  </si>
  <si>
    <t>MY-BBS011-BK-M</t>
  </si>
  <si>
    <t>X001T2RWZP</t>
  </si>
  <si>
    <t>B0759679WX</t>
  </si>
  <si>
    <t>MOCOTONO Men's V Neck Pullover Sweater Long Sleeve Cotton Casual Sweat Dress,Black,Small</t>
  </si>
  <si>
    <t>MY-BBS011-BK-S</t>
  </si>
  <si>
    <t>X001T32CEP</t>
  </si>
  <si>
    <t>B075954D4Z</t>
  </si>
  <si>
    <t>MOCOTONO Men's V Neck Pullover Sweater Long Sleeve Cotton Casual Sweat Dress</t>
  </si>
  <si>
    <t>MY-BBS011-BK-XL</t>
  </si>
  <si>
    <t>X001T32FN3</t>
  </si>
  <si>
    <t>B07591S5WZ</t>
  </si>
  <si>
    <t>MOCOTONO Men's V Neck Pullover Sweater Long Sleeve Cotton Casual Sweat Dress,Black,Large</t>
  </si>
  <si>
    <t>MY-BBS011-BL-L</t>
  </si>
  <si>
    <t>X001T331HH</t>
  </si>
  <si>
    <t>B0759BR6JX</t>
  </si>
  <si>
    <t>MOCOTONO Men's V Neck Pullover Sweater Long Sleeve Cotton Casual Sweat Dress,Blue,Medium</t>
  </si>
  <si>
    <t>MY-BBS011-BL-M</t>
  </si>
  <si>
    <t>X001T2RMRD</t>
  </si>
  <si>
    <t>B0758Z97V3</t>
  </si>
  <si>
    <t>MOCOTONO Men's V Neck Pullover Sweater Long Sleeve Cotton Casual Sweat Dress,Blue,Small</t>
  </si>
  <si>
    <t>MY-BBS011-BL-S</t>
  </si>
  <si>
    <t>X001T2RMRN</t>
  </si>
  <si>
    <t>B07598FH1T</t>
  </si>
  <si>
    <t>MOCOTONO Men's V Neck Pullover Sweater Long Sleeve Cotton Casual Sweat Dress,Purple,X-Large</t>
  </si>
  <si>
    <t>MY-BBS011-BL-XL</t>
  </si>
  <si>
    <t>X001T33ABJ</t>
  </si>
  <si>
    <t>B075914FTD</t>
  </si>
  <si>
    <t>MOCOTONO Men's V Neck Pullover Sweater Long Sleeve Cotton Casual Sweat Dress,Blue,Large</t>
  </si>
  <si>
    <t>MY-BBS011-CF-L</t>
  </si>
  <si>
    <t>X001T2RUUR</t>
  </si>
  <si>
    <t>B075951N98</t>
  </si>
  <si>
    <t>MOCOTONO Men's V Neck Pullover Sweater Long Sleeve Cotton Casual Sweat Dress,Coffee,Medium</t>
  </si>
  <si>
    <t>MY-BBS011-CF-M</t>
  </si>
  <si>
    <t>X001T2RMS7</t>
  </si>
  <si>
    <t>B0759695WR</t>
  </si>
  <si>
    <t>MOCOTONO Men's V Neck Pullover Sweater Long Sleeve Cotton Casual Sweat Dress,Coffee,Small</t>
  </si>
  <si>
    <t>MY-BBS011-CF-S</t>
  </si>
  <si>
    <t>X001T2RXWR</t>
  </si>
  <si>
    <t>B07595DG67</t>
  </si>
  <si>
    <t>MOCOTONO Men's V Neck Pullover Sweater Long Sleeve Cotton Casual Sweat Dress,Red,X-Large</t>
  </si>
  <si>
    <t>MY-BBS011-CF-XL</t>
  </si>
  <si>
    <t>X001T2RMSH</t>
  </si>
  <si>
    <t>B0758ZXGPH</t>
  </si>
  <si>
    <t>MOCOTONO Men's V Neck Pullover Sweater Long Sleeve Cotton Casual Sweat Dress,Coffee,Large</t>
  </si>
  <si>
    <t>MY-BBS011-DG-L</t>
  </si>
  <si>
    <t>X001T332GR</t>
  </si>
  <si>
    <t>B07CMRJSK1</t>
  </si>
  <si>
    <t>MOCOTONO Men's V Neck Pullover Sweater Long Sleeve Cotton Casual Sweat Dress,Dark Gray,Medium</t>
  </si>
  <si>
    <t>MY-BBS011-DG-M</t>
  </si>
  <si>
    <t>X001T334Z1</t>
  </si>
  <si>
    <t>B0759142J9</t>
  </si>
  <si>
    <t>MOCOTONO Men's V Neck Pullover Sweater Long Sleeve Cotton Casual Sweat Dress,Dark Gray,Small</t>
  </si>
  <si>
    <t>MY-BBS011-DG-S</t>
  </si>
  <si>
    <t>X001T32FMJ</t>
  </si>
  <si>
    <t>B07592H6KH</t>
  </si>
  <si>
    <t>MOCOTONO Men's V Neck Pullover Sweater Long Sleeve Cotton Casual Sweat Dress,Light Gray,X-Large</t>
  </si>
  <si>
    <t>MY-BBS011-DG-XL</t>
  </si>
  <si>
    <t>X001T2RXVX</t>
  </si>
  <si>
    <t>B0758WGQVQ</t>
  </si>
  <si>
    <t>MOCOTONO Men's V Neck Pullover Sweater Long Sleeve Cotton Casual Sweat Dress,Dark Gray,Large</t>
  </si>
  <si>
    <t>MY-BBS011-LG-L</t>
  </si>
  <si>
    <t>X001T32CDB</t>
  </si>
  <si>
    <t>B0758SR1C5</t>
  </si>
  <si>
    <t>MOCOTONO Men's V Neck Pullover Sweater Long Sleeve Cotton Casual Sweat Dress,Light Gray,Medium</t>
  </si>
  <si>
    <t>MY-BBS011-LG-M</t>
  </si>
  <si>
    <t>X001T338JX</t>
  </si>
  <si>
    <t>B07597GLMK</t>
  </si>
  <si>
    <t>MOCOTONO Men's V Neck Pullover Sweater Long Sleeve Cotton Casual Sweat Dress,Light Gray,Small</t>
  </si>
  <si>
    <t>MY-BBS011-LG-S</t>
  </si>
  <si>
    <t>X001T331IL</t>
  </si>
  <si>
    <t>B0758SSJQY</t>
  </si>
  <si>
    <t>MOCOTONO Men's V Neck Pullover Sweater Long Sleeve Cotton Casual Sweat Dress,White,X-Large</t>
  </si>
  <si>
    <t>MY-BBS011-LG-XL</t>
  </si>
  <si>
    <t>X001T334YR</t>
  </si>
  <si>
    <t>B075997SDV</t>
  </si>
  <si>
    <t>MOCOTONO Men's V Neck Pullover Sweater Long Sleeve Cotton Casual Sweat Dress,Light Gray,Large</t>
  </si>
  <si>
    <t>MY-BBS011-NY-L</t>
  </si>
  <si>
    <t>X001T2RXXB</t>
  </si>
  <si>
    <t>B0758YTFV7</t>
  </si>
  <si>
    <t>MOCOTONO Men's V Neck Pullover Sweater Long Sleeve Cotton Casual Sweat Dress,Navy Blue,Medium</t>
  </si>
  <si>
    <t>MY-BBS011-NY-M</t>
  </si>
  <si>
    <t>X001T2RMRX</t>
  </si>
  <si>
    <t>B07599MVN2</t>
  </si>
  <si>
    <t>MOCOTONO Men's V Neck Pullover Sweater Long Sleeve Cotton Casual Sweat Dress,Navy Blue,Small</t>
  </si>
  <si>
    <t>MY-BBS011-NY-S</t>
  </si>
  <si>
    <t>X001T34ME3</t>
  </si>
  <si>
    <t>B0758SR1CB</t>
  </si>
  <si>
    <t>MOCOTONO Men's V Neck Pullover Sweater Long Sleeve Cotton Casual Sweat Dress,Dark Gray,X-Large</t>
  </si>
  <si>
    <t>MY-BBS011-NY-XL</t>
  </si>
  <si>
    <t>X001T332H1</t>
  </si>
  <si>
    <t>B07597RF3K</t>
  </si>
  <si>
    <t>MOCOTONO Men's V Neck Pullover Sweater Long Sleeve Cotton Casual Sweat Dress,Navy Blue,Large</t>
  </si>
  <si>
    <t>MY-BBS011-PP-L</t>
  </si>
  <si>
    <t>X001T33AAP</t>
  </si>
  <si>
    <t>B075914M1S</t>
  </si>
  <si>
    <t>MOCOTONO Men's V Neck Pullover Sweater Long Sleeve Cotton Casual Sweat Dress,Purple,Medium</t>
  </si>
  <si>
    <t>MY-BBS011-PP-M</t>
  </si>
  <si>
    <t>X001T332G7</t>
  </si>
  <si>
    <t>B0758VP5KS</t>
  </si>
  <si>
    <t>MOCOTONO Men's V Neck Pullover Sweater Long Sleeve Cotton Casual Sweat Dress,Purple,Small</t>
  </si>
  <si>
    <t>MY-BBS011-PP-S</t>
  </si>
  <si>
    <t>X001T33ABT</t>
  </si>
  <si>
    <t>B075995G27</t>
  </si>
  <si>
    <t>MOCOTONO Men's V Neck Pullover Sweater Long Sleeve Cotton Casual Sweat Dress,Navy Blue,X-Large</t>
  </si>
  <si>
    <t>MY-BBS011-PP-XL</t>
  </si>
  <si>
    <t>X001T2RXW7</t>
  </si>
  <si>
    <t>B07595PWSV</t>
  </si>
  <si>
    <t>MOCOTONO Men's V Neck Pullover Sweater Long Sleeve Cotton Casual Sweat Dress,Purple,Large</t>
  </si>
  <si>
    <t>MY-BBS011-RD-L</t>
  </si>
  <si>
    <t>X001T33AAZ</t>
  </si>
  <si>
    <t>B07597T6BM</t>
  </si>
  <si>
    <t>MOCOTONO Men's V Neck Pullover Sweater Long Sleeve Cotton Casual Sweat Dress,Red,Medium</t>
  </si>
  <si>
    <t>MY-BBS011-RD-M</t>
  </si>
  <si>
    <t>X001T2RMR3</t>
  </si>
  <si>
    <t>B0758ZN6DM</t>
  </si>
  <si>
    <t>MOCOTONO Men's V Neck Pullover Sweater Long Sleeve Cotton Casual Sweat Dress,Red,Small</t>
  </si>
  <si>
    <t>MY-BBS011-RD-S</t>
  </si>
  <si>
    <t>X001T32FND</t>
  </si>
  <si>
    <t>B0758RNYSD</t>
  </si>
  <si>
    <t>MOCOTONO Men's V Neck Pullover Sweater Long Sleeve Cotton Casual Sweat Dress,Blue,X-Large</t>
  </si>
  <si>
    <t>MY-BBS011-RD-XL</t>
  </si>
  <si>
    <t>X001T34MD9</t>
  </si>
  <si>
    <t>B07597GBT2</t>
  </si>
  <si>
    <t>MOCOTONO Men's V Neck Pullover Sweater Long Sleeve Cotton Casual Sweat Dress,Red,Large</t>
  </si>
  <si>
    <t>MY-BBS011-WT-L</t>
  </si>
  <si>
    <t>X001T32FMT</t>
  </si>
  <si>
    <t>B0758SG9K8</t>
  </si>
  <si>
    <t>MOCOTONO Men's V Neck Pullover Sweater Long Sleeve Cotton Casual Sweat Dress,White,Medium</t>
  </si>
  <si>
    <t>MY-BBS011-WT-M</t>
  </si>
  <si>
    <t>X001T332FN</t>
  </si>
  <si>
    <t>B07CMMGJGG</t>
  </si>
  <si>
    <t>MOCOTONO Men's V Neck Pullover Sweater Long Sleeve Cotton Casual Sweat Dress,White,Small</t>
  </si>
  <si>
    <t>MY-BBS011-WT-S</t>
  </si>
  <si>
    <t>X001T33BB3</t>
  </si>
  <si>
    <t>B075992BXS</t>
  </si>
  <si>
    <t>MOCOTONO Men's V Neck Pullover Sweater Long Sleeve Cotton Casual Sweat Dress,Black,X-Large</t>
  </si>
  <si>
    <t>MY-BBS011-WT-XL</t>
  </si>
  <si>
    <t>X001T332FX</t>
  </si>
  <si>
    <t>B07599FBJK</t>
  </si>
  <si>
    <t>MOCOTONO Men's V Neck Pullover Sweater Long Sleeve Cotton Casual Sweat Dress,White,Large</t>
  </si>
  <si>
    <t>MY-BBS011JR-BK-L</t>
  </si>
  <si>
    <t>X001T34BC1</t>
  </si>
  <si>
    <t>B0786WFYHF</t>
  </si>
  <si>
    <t>MOCOTONO Men's V Neck Pullover Fleece Lined Cotton Sweater Black Medium</t>
  </si>
  <si>
    <t>MY-BBS011JR-BK-M</t>
  </si>
  <si>
    <t>X001T34MDT</t>
  </si>
  <si>
    <t>B0786X7VSX</t>
  </si>
  <si>
    <t>MOCOTONO Men's V Neck Pullover Fleece Lined Cotton Sweater Black Small</t>
  </si>
  <si>
    <t>MY-BBS011JR-BK-S</t>
  </si>
  <si>
    <t>X001T32CE5</t>
  </si>
  <si>
    <t>B078F1J1G6</t>
  </si>
  <si>
    <t>MOCOTONO Men's V Neck Pullover Sweater Long Sleeve Cotton Casual Sweat Dress,Coffee,X-Large</t>
  </si>
  <si>
    <t>MY-BBS011JR-BK-XL</t>
  </si>
  <si>
    <t>X001T331HR</t>
  </si>
  <si>
    <t>B078F1DXQV</t>
  </si>
  <si>
    <t>MOCOTONO Men's V Neck Pullover Fleece Lined Cotton Sweater Black Large</t>
  </si>
  <si>
    <t>MY-BBS011JR-BL-L</t>
  </si>
  <si>
    <t>X001T33AB9</t>
  </si>
  <si>
    <t>B0786WNCWS</t>
  </si>
  <si>
    <t>MOCOTONO Men's V Neck Pullover Fleece Lined Cotton Sweater Blue Medium</t>
  </si>
  <si>
    <t>MY-BBS011JR-BL-M</t>
  </si>
  <si>
    <t>X001T338K7</t>
  </si>
  <si>
    <t>B0786WYJML</t>
  </si>
  <si>
    <t>MOCOTONO Men's V Neck Pullover Fleece Lined Cotton Sweater Blue Small</t>
  </si>
  <si>
    <t>MY-BBS011JR-BL-S</t>
  </si>
  <si>
    <t>X001T334XX</t>
  </si>
  <si>
    <t>B0786XSHXR</t>
  </si>
  <si>
    <t>MOCOTONO Men's V Neck Pullover Fleece Lined Cotton Sweater Purple X-Large</t>
  </si>
  <si>
    <t>MY-BBS011JR-BL-XL</t>
  </si>
  <si>
    <t>X001T2RXWH</t>
  </si>
  <si>
    <t>B078737482</t>
  </si>
  <si>
    <t>MOCOTONO Men's V Neck Pullover Fleece Lined Cotton Sweater Blue Large</t>
  </si>
  <si>
    <t>MY-BBS011JR-CF-L</t>
  </si>
  <si>
    <t>X001T338KR</t>
  </si>
  <si>
    <t>B0786XYSJ2</t>
  </si>
  <si>
    <t>MOCOTONO Men's V Neck Pullover Fleece Lined Cotton Sweater Coffee Medium</t>
  </si>
  <si>
    <t>MY-BBS011JR-CF-M</t>
  </si>
  <si>
    <t>X001T32FLZ</t>
  </si>
  <si>
    <t>B0786TBV4B</t>
  </si>
  <si>
    <t>MOCOTONO Men's V Neck Pullover Fleece Lined Cotton Sweater Coffee Small</t>
  </si>
  <si>
    <t>MY-BBS011JR-CF-S</t>
  </si>
  <si>
    <t>X001T331I1</t>
  </si>
  <si>
    <t>B078734Z2Q</t>
  </si>
  <si>
    <t>MOCOTONO Men's V Neck Pullover Fleece Lined Cotton Sweater Red X-Large</t>
  </si>
  <si>
    <t>MY-BBS011JR-CF-XL</t>
  </si>
  <si>
    <t>X001T34MCP</t>
  </si>
  <si>
    <t>B0786WHKTF</t>
  </si>
  <si>
    <t>MOCOTONO Men's V Neck Pullover Fleece Lined Cotton Sweater Coffee Large</t>
  </si>
  <si>
    <t>MY-BBS011JR-DG-L</t>
  </si>
  <si>
    <t>X001T34MCZ</t>
  </si>
  <si>
    <t>B0786XVK6X</t>
  </si>
  <si>
    <t>MOCOTONO Men's V Neck Pullover Fleece Lined Cotton Sweater Dark Gray Medium</t>
  </si>
  <si>
    <t>MY-BBS011JR-DG-M</t>
  </si>
  <si>
    <t>X001T2RWZ5</t>
  </si>
  <si>
    <t>B0786W99GH</t>
  </si>
  <si>
    <t>MOCOTONO Men's V Neck Pullover Fleece Lined Cotton Sweater Dark Gray Small</t>
  </si>
  <si>
    <t>MY-BBS011JR-DG-S</t>
  </si>
  <si>
    <t>X001T33BBN</t>
  </si>
  <si>
    <t>B0786VZLFS</t>
  </si>
  <si>
    <t>MOCOTONO Men's V Neck Pullover Fleece Lined Cotton Sweater Light Gray X-Large</t>
  </si>
  <si>
    <t>MY-BBS011JR-DG-XL</t>
  </si>
  <si>
    <t>X001T331IB</t>
  </si>
  <si>
    <t>B0786XHZM3</t>
  </si>
  <si>
    <t>MOCOTONO Men's V Neck Pullover Fleece Lined Cotton Sweater Dark Gray Large</t>
  </si>
  <si>
    <t>MY-BBS011JR-LG-L</t>
  </si>
  <si>
    <t>X001T33BAT</t>
  </si>
  <si>
    <t>B07871RT3F</t>
  </si>
  <si>
    <t>MOCOTONO Men's V Neck Pullover Fleece Lined Cotton Sweater Light Gray Medium</t>
  </si>
  <si>
    <t>MY-BBS011JR-LG-M</t>
  </si>
  <si>
    <t>X001T2RXX1</t>
  </si>
  <si>
    <t>B0786YYNJK</t>
  </si>
  <si>
    <t>MOCOTONO Men's V Neck Pullover Fleece Lined Cotton Sweater Light Gray Small</t>
  </si>
  <si>
    <t>MY-BBS011JR-LG-S</t>
  </si>
  <si>
    <t>X001T32CDL</t>
  </si>
  <si>
    <t>B0786WY2TL</t>
  </si>
  <si>
    <t>MOCOTONO Men's V Neck Pullover Fleece Lined Cotton Sweater White X-Large</t>
  </si>
  <si>
    <t>MY-BBS011JR-LG-XL</t>
  </si>
  <si>
    <t>X001T34BD5</t>
  </si>
  <si>
    <t>B0786YGKHV</t>
  </si>
  <si>
    <t>MOCOTONO Men's V Neck Pullover Fleece Lined Cotton Sweater Light Gray Large</t>
  </si>
  <si>
    <t>MY-BBS011JR-NY-L</t>
  </si>
  <si>
    <t>X001T2RXXL</t>
  </si>
  <si>
    <t>B0786WPCG7</t>
  </si>
  <si>
    <t>MOCOTONO Men's V Neck Pullover Fleece Lined Cotton Sweater Navy Blue Medium</t>
  </si>
  <si>
    <t>MY-BBS011JR-NY-M</t>
  </si>
  <si>
    <t>X001T334Y7</t>
  </si>
  <si>
    <t>B0786Y6WC1</t>
  </si>
  <si>
    <t>MOCOTONO Men's V Neck Pullover Fleece Lined Cotton Sweater Navy Blue Small</t>
  </si>
  <si>
    <t>MY-BBS011JR-NY-S</t>
  </si>
  <si>
    <t>X001T33AAF</t>
  </si>
  <si>
    <t>B0786ZM5QC</t>
  </si>
  <si>
    <t>MOCOTONO Men's V Neck Pullover Fleece Lined Cotton Sweater Dark Gray X-Large</t>
  </si>
  <si>
    <t>MY-BBS011JR-NY-XL</t>
  </si>
  <si>
    <t>X001T2RUV1</t>
  </si>
  <si>
    <t>B0786XSD8T</t>
  </si>
  <si>
    <t>MOCOTONO Men's V Neck Pullover Fleece Lined Cotton Sweater Navy Blue Large</t>
  </si>
  <si>
    <t>MY-BBS011JR-PP-L</t>
  </si>
  <si>
    <t>X001T32FM9</t>
  </si>
  <si>
    <t>B0786YNV4M</t>
  </si>
  <si>
    <t>MOCOTONO Men's V Neck Pullover Fleece Lined Cotton Sweater Purple Medium</t>
  </si>
  <si>
    <t>MY-BBS011JR-PP-M</t>
  </si>
  <si>
    <t>X001T32CEF</t>
  </si>
  <si>
    <t>B0786WNCV1</t>
  </si>
  <si>
    <t>MOCOTONO Men's V Neck Pullover Fleece Lined Cotton Sweater Purple Small</t>
  </si>
  <si>
    <t>MY-BBS011JR-PP-S</t>
  </si>
  <si>
    <t>X001T2RUVB</t>
  </si>
  <si>
    <t>B0786XVFPK</t>
  </si>
  <si>
    <t>MOCOTONO Men's V Neck Pullover Fleece Lined Cotton Sweater Navy Blue X-Large</t>
  </si>
  <si>
    <t>MY-BBS011JR-PP-XL</t>
  </si>
  <si>
    <t>X001T34MCF</t>
  </si>
  <si>
    <t>B0786YLCHF</t>
  </si>
  <si>
    <t>MOCOTONO Men's V Neck Pullover Fleece Lined Cotton Sweater Purple Large</t>
  </si>
  <si>
    <t>MY-BBS011JR-RD-L</t>
  </si>
  <si>
    <t>X001T338JN</t>
  </si>
  <si>
    <t>B07871BT6P</t>
  </si>
  <si>
    <t>MOCOTONO Men's V Neck Pullover Fleece Lined Cotton Sweater Red Medium</t>
  </si>
  <si>
    <t>MY-BBS011JR-RD-M</t>
  </si>
  <si>
    <t>X001T34BCB</t>
  </si>
  <si>
    <t>B0786VB6R8</t>
  </si>
  <si>
    <t>MOCOTONO Men's V Neck Pullover Fleece Lined Cotton Sweater Red Small</t>
  </si>
  <si>
    <t>MY-BBS011JR-RD-S</t>
  </si>
  <si>
    <t>X001T2RUVL</t>
  </si>
  <si>
    <t>B0786WNZGF</t>
  </si>
  <si>
    <t>MOCOTONO Men's V Neck Pullover Fleece Lined Cotton Sweater Blue X-Large</t>
  </si>
  <si>
    <t>MY-BBS011JR-RD-XL</t>
  </si>
  <si>
    <t>X001T33AA5</t>
  </si>
  <si>
    <t>B0786WCNBD</t>
  </si>
  <si>
    <t>MOCOTONO Men's V Neck Pullover Fleece Lined Cotton Sweater Red Large</t>
  </si>
  <si>
    <t>MY-BBS011JR-WT-L</t>
  </si>
  <si>
    <t>X001T338JD</t>
  </si>
  <si>
    <t>B0787NFF9M</t>
  </si>
  <si>
    <t>MOCOTONO Men's V Neck Pullover Fleece Lined Cotton Sweater White Medium</t>
  </si>
  <si>
    <t>MY-BBS011JR-WT-M</t>
  </si>
  <si>
    <t>X001T34MDJ</t>
  </si>
  <si>
    <t>B078F196VW</t>
  </si>
  <si>
    <t>MOCOTONO Men's V Neck Pullover Fleece Lined Cotton Sweater White Small</t>
  </si>
  <si>
    <t>MY-BBS011JR-WT-S</t>
  </si>
  <si>
    <t>X001T334XN</t>
  </si>
  <si>
    <t>B0786YNHFQ</t>
  </si>
  <si>
    <t>MOCOTONO Men's V Neck Pullover Fleece Lined Cotton Sweater Black X-Large</t>
  </si>
  <si>
    <t>MY-BBS011JR-WT-XL</t>
  </si>
  <si>
    <t>X001T32CDV</t>
  </si>
  <si>
    <t>B0786Y94VY</t>
  </si>
  <si>
    <t>MOCOTONO Men's V Neck Pullover Fleece Lined Cotton Sweater White Large</t>
  </si>
  <si>
    <t>MY-BS011-DG-L</t>
  </si>
  <si>
    <t>MY-BS011-WT-M</t>
  </si>
  <si>
    <t>MY-BS018-BK-L</t>
  </si>
  <si>
    <t>X001T3B0L1</t>
  </si>
  <si>
    <t>B077XD99NR</t>
  </si>
  <si>
    <t>MOCOTONO Men's Button up Pullover Regular Fit Casual Sweater Black L</t>
  </si>
  <si>
    <t>MY-BS018-BK-M</t>
  </si>
  <si>
    <t>X001T3CLQJ</t>
  </si>
  <si>
    <t>B077XBL8B9</t>
  </si>
  <si>
    <t>MOCOTONO Men's Button up Pullover Regular Fit Casual Sweater Black M</t>
  </si>
  <si>
    <t>MY-BS018-BK-S</t>
  </si>
  <si>
    <t>X001T1WLED</t>
  </si>
  <si>
    <t>B077XG578S</t>
  </si>
  <si>
    <t>MOCOTONO Men's Button up Pullover Regular Fit Casual Sweater Black S</t>
  </si>
  <si>
    <t>MY-BS018-BK-XL</t>
  </si>
  <si>
    <t>X001T2YYSN</t>
  </si>
  <si>
    <t>B0785F4FS5</t>
  </si>
  <si>
    <t>MOCOTONO Men's Button up Pullover Regular Fit Casual Sweater Black XL</t>
  </si>
  <si>
    <t>MY-BS018-CF-L</t>
  </si>
  <si>
    <t>X001T3CLQT</t>
  </si>
  <si>
    <t>B077XCRFMJ</t>
  </si>
  <si>
    <t>MOCOTONO Men's Button up Pullover Regular Fit Casual Sweater Brown L</t>
  </si>
  <si>
    <t>MY-BS018-CF-M</t>
  </si>
  <si>
    <t>X001T2F85B</t>
  </si>
  <si>
    <t>B0785FH15T</t>
  </si>
  <si>
    <t>MOCOTONO Men's Button up Pullover Regular Fit Casual Sweater Brown M</t>
  </si>
  <si>
    <t>MY-BS018-CF-S</t>
  </si>
  <si>
    <t>X001T2F88X</t>
  </si>
  <si>
    <t>B0785F2ZGB</t>
  </si>
  <si>
    <t>MOCOTONO Men's Button up Pullover Regular Fit Casual Sweater Brown S</t>
  </si>
  <si>
    <t>MY-BS018-CF-XL</t>
  </si>
  <si>
    <t>X001T2EX9D</t>
  </si>
  <si>
    <t>B0785FSWDB</t>
  </si>
  <si>
    <t>MOCOTONO Men's Button up Pullover Regular Fit Casual Sweater Brown XL</t>
  </si>
  <si>
    <t>MY-BS018-DG-L</t>
  </si>
  <si>
    <t>X001T2F7QL</t>
  </si>
  <si>
    <t>B077XD97NQ</t>
  </si>
  <si>
    <t>MOCOTONO Men's Button up Pullover Regular Fit Casual Sweater Dark Gray L</t>
  </si>
  <si>
    <t>MY-BS018-DG-M</t>
  </si>
  <si>
    <t>X001T2F85L</t>
  </si>
  <si>
    <t>B077XJ78J8</t>
  </si>
  <si>
    <t>MOCOTONO Men's Button up Pullover Regular Fit Casual Sweater Dark Gray M</t>
  </si>
  <si>
    <t>MY-BS018-DG-S</t>
  </si>
  <si>
    <t>X001T1WLE3</t>
  </si>
  <si>
    <t>B077XCRF7X</t>
  </si>
  <si>
    <t>MOCOTONO Men's Button up Pullover Regular Fit Casual Sweater Dark Gray S</t>
  </si>
  <si>
    <t>MY-BS018-DG-XL</t>
  </si>
  <si>
    <t>X001T2YYSX</t>
  </si>
  <si>
    <t>B0785FJWSJ</t>
  </si>
  <si>
    <t>MOCOTONO Men's Button up Pullover Regular Fit Casual Sweater Dark Gray XL</t>
  </si>
  <si>
    <t>MY-BS018-LG-L</t>
  </si>
  <si>
    <t>X001T1WLEN</t>
  </si>
  <si>
    <t>B077XDCY1F</t>
  </si>
  <si>
    <t>MOCOTONO Men's Button up Pullover Regular Fit Casual Sweater Light Gray L</t>
  </si>
  <si>
    <t>MY-BS018-LG-M</t>
  </si>
  <si>
    <t>X001T2YXN9</t>
  </si>
  <si>
    <t>B077XJ7BKS</t>
  </si>
  <si>
    <t>MOCOTONO Men's Button up Pullover Regular Fit Casual Sweater Light Gray M</t>
  </si>
  <si>
    <t>MY-BS018-LG-S</t>
  </si>
  <si>
    <t>X001T2EX9N</t>
  </si>
  <si>
    <t>B077XJ56LQ</t>
  </si>
  <si>
    <t>MOCOTONO Men's Button up Pullover Regular Fit Casual Sweater Light Gray S</t>
  </si>
  <si>
    <t>MY-BS018-LG-XL</t>
  </si>
  <si>
    <t>X001T1WARV</t>
  </si>
  <si>
    <t>B077XBL2SY</t>
  </si>
  <si>
    <t>MOCOTONO Men's Button up Pullover Regular Fit Casual Sweater Light Gray XL</t>
  </si>
  <si>
    <t>MY-BS018-NY-L</t>
  </si>
  <si>
    <t>X001T25NIX</t>
  </si>
  <si>
    <t>B077XBMPTG</t>
  </si>
  <si>
    <t>MOCOTONO Men's Button up Pullover Regular Fit Casual Sweater Dark Blue L</t>
  </si>
  <si>
    <t>MY-BS018-NY-M</t>
  </si>
  <si>
    <t>X001T2YWCB</t>
  </si>
  <si>
    <t>B077XFN2JM</t>
  </si>
  <si>
    <t>MOCOTONO Men's Button up Pullover Regular Fit Casual Sweater Dark Blue M</t>
  </si>
  <si>
    <t>MY-BS018-NY-S</t>
  </si>
  <si>
    <t>X001T3B3BN</t>
  </si>
  <si>
    <t>B0785F63VK</t>
  </si>
  <si>
    <t>MOCOTONO Men's Button up Pullover Regular Fit Casual Sweater Dark Blue S</t>
  </si>
  <si>
    <t>MY-BS018-NY-XL</t>
  </si>
  <si>
    <t>X001T3B0KR</t>
  </si>
  <si>
    <t>B077XH2XK2</t>
  </si>
  <si>
    <t>MY-BS018-RD-L</t>
  </si>
  <si>
    <t>X001T3C6HD</t>
  </si>
  <si>
    <t>B077XG4WJB</t>
  </si>
  <si>
    <t>MOCOTONO Men's Button up Pullover Regular Fit Casual Sweater Red L</t>
  </si>
  <si>
    <t>MY-BS018-RD-M</t>
  </si>
  <si>
    <t>X001T2F85V</t>
  </si>
  <si>
    <t>B077XHJ75P</t>
  </si>
  <si>
    <t>MOCOTONO Men's Button up Pullover Regular Fit Casual Sweater Red M</t>
  </si>
  <si>
    <t>MY-BS018-RD-S</t>
  </si>
  <si>
    <t>X001T3B3BX</t>
  </si>
  <si>
    <t>B077XDKYXS</t>
  </si>
  <si>
    <t>MOCOTONO Men's Button up Pullover Regular Fit Casual Sweater Red S</t>
  </si>
  <si>
    <t>MY-BS018-RD-XL</t>
  </si>
  <si>
    <t>X001T3C6H3</t>
  </si>
  <si>
    <t>B0785GCLXY</t>
  </si>
  <si>
    <t>MOCOTONO Men's Button up Pullover Regular Fit Casual Sweater Red XL</t>
  </si>
  <si>
    <t>MY-BS019-BK-L</t>
  </si>
  <si>
    <t>X001T3AUF3</t>
  </si>
  <si>
    <t>B077XCVN16</t>
  </si>
  <si>
    <t>MOCOTONO Men's Cotton V Neck Sweater Regular Fit Pullover Knitwear Black L</t>
  </si>
  <si>
    <t>MY-BS019-BK-M</t>
  </si>
  <si>
    <t>X001T3AUET</t>
  </si>
  <si>
    <t>B077XDZT5K</t>
  </si>
  <si>
    <t>MOCOTONO Men's Cotton V Neck Sweater Regular Fit Pullover Knitwear Black M</t>
  </si>
  <si>
    <t>MY-BS019-BK-S</t>
  </si>
  <si>
    <t>X001T3ARPB</t>
  </si>
  <si>
    <t>B077XDQ2X8</t>
  </si>
  <si>
    <t>MOCOTONO Men's Cotton V Neck Sweater Regular Fit Pullover Knitwear Black S</t>
  </si>
  <si>
    <t>MY-BS019-BK-XL</t>
  </si>
  <si>
    <t>X001T3AYBX</t>
  </si>
  <si>
    <t>B077XF2RP9</t>
  </si>
  <si>
    <t>MOCOTONO Men's Cotton V Neck Sweater Regular Fit Pullover Knitwear Black XL</t>
  </si>
  <si>
    <t>MY-BS019-BL-L</t>
  </si>
  <si>
    <t>X001T3AYMR</t>
  </si>
  <si>
    <t>B077XFW386</t>
  </si>
  <si>
    <t>MOCOTONO Men's Cotton V Neck Sweater Regular Fit Pullover Knitwear Blue L</t>
  </si>
  <si>
    <t>MY-BS019-BL-M</t>
  </si>
  <si>
    <t>X001T2E99H</t>
  </si>
  <si>
    <t>B0785FT29B</t>
  </si>
  <si>
    <t>MOCOTONO Men's Cotton V Neck Sweater Regular Fit Pullover Knitwear Blue M</t>
  </si>
  <si>
    <t>MY-BS019-BL-S</t>
  </si>
  <si>
    <t>X001T2YSMP</t>
  </si>
  <si>
    <t>B077XGL33J</t>
  </si>
  <si>
    <t>MOCOTONO Men's Cotton V Neck Sweater Regular Fit Pullover Knitwear Blue S</t>
  </si>
  <si>
    <t>MY-BS019-BL-XL</t>
  </si>
  <si>
    <t>X001T2YSLV</t>
  </si>
  <si>
    <t>B077XGWRKM</t>
  </si>
  <si>
    <t>MOCOTONO Men's Cotton V Neck Sweater Regular Fit Pullover Knitwear Blue XL</t>
  </si>
  <si>
    <t>MY-BS019-DG-L</t>
  </si>
  <si>
    <t>X001T2YSWP</t>
  </si>
  <si>
    <t>B077XH38B9</t>
  </si>
  <si>
    <t>MOCOTONO Men's Cotton V Neck Sweater Regular Fit Pullover Knitwear Dark Gray L</t>
  </si>
  <si>
    <t>MY-BS019-DG-M</t>
  </si>
  <si>
    <t>X001T3B061</t>
  </si>
  <si>
    <t>B077XD73VG</t>
  </si>
  <si>
    <t>MOCOTONO Men's Cotton V Neck Sweater Regular Fit Pullover Knitwear Dark Gray M</t>
  </si>
  <si>
    <t>MY-BS019-DG-S</t>
  </si>
  <si>
    <t>X001T1V90P</t>
  </si>
  <si>
    <t>B077XFL97Z</t>
  </si>
  <si>
    <t>MOCOTONO Men's Cotton V Neck Sweater Regular Fit Pullover Knitwear Dark Gray S</t>
  </si>
  <si>
    <t>MY-BS019-DG-XL</t>
  </si>
  <si>
    <t>X001T3AYC7</t>
  </si>
  <si>
    <t>B077XF2ZRG</t>
  </si>
  <si>
    <t>MOCOTONO Men's Cotton V Neck Sweater Regular Fit Pullover Knitwear Dark Gray XL</t>
  </si>
  <si>
    <t>MY-BS019-LG-L</t>
  </si>
  <si>
    <t>X001T3AI9B</t>
  </si>
  <si>
    <t>B0785FH16F</t>
  </si>
  <si>
    <t>MOCOTONO Men's Cotton V Neck Sweater Regular Fit Pullover Knitwear Light Gray L</t>
  </si>
  <si>
    <t>MY-BS019-LG-M</t>
  </si>
  <si>
    <t>X001T3AP5N</t>
  </si>
  <si>
    <t>B077XGKMY5</t>
  </si>
  <si>
    <t>MOCOTONO Men's Cotton V Neck Sweater Regular Fit Pullover Knitwear Light Gray M</t>
  </si>
  <si>
    <t>MY-BS019-LG-S</t>
  </si>
  <si>
    <t>X001T3ALE3</t>
  </si>
  <si>
    <t>B077XG4XDR</t>
  </si>
  <si>
    <t>MOCOTONO Men's Cotton V Neck Sweater Regular Fit Pullover Knitwear Light Gray S</t>
  </si>
  <si>
    <t>MY-BS019-LG-XL</t>
  </si>
  <si>
    <t>X001T3AUEJ</t>
  </si>
  <si>
    <t>B077XGHCKG</t>
  </si>
  <si>
    <t>MOCOTONO Men's Cotton V Neck Sweater Regular Fit Pullover Knitwear Light Gray XL</t>
  </si>
  <si>
    <t>MY-BS019-RD-L</t>
  </si>
  <si>
    <t>X001T3AYMH</t>
  </si>
  <si>
    <t>B077XHM6BN</t>
  </si>
  <si>
    <t>MOCOTONO Men's Cotton V Neck Sweater Regular Fit Pullover Knitwear Red L</t>
  </si>
  <si>
    <t>MY-BS019-RD-M</t>
  </si>
  <si>
    <t>X001T1VHMF</t>
  </si>
  <si>
    <t>B077XCDSJ4</t>
  </si>
  <si>
    <t>MOCOTONO Men's Cotton V Neck Sweater Regular Fit Pullover Knitwear Red M</t>
  </si>
  <si>
    <t>MY-BS019-RD-S</t>
  </si>
  <si>
    <t>X001T3ARPV</t>
  </si>
  <si>
    <t>B077XG52GV</t>
  </si>
  <si>
    <t>MOCOTONO Men's Cotton V Neck Sweater Regular Fit Pullover Knitwear Red S</t>
  </si>
  <si>
    <t>MY-BS019-RD-XL</t>
  </si>
  <si>
    <t>X001T2YSX9</t>
  </si>
  <si>
    <t>B077XGQHSM</t>
  </si>
  <si>
    <t>MOCOTONO Men's Cotton V Neck Sweater Regular Fit Pullover Knitwear Red XL</t>
  </si>
  <si>
    <t>MY-BS020-BK-L</t>
  </si>
  <si>
    <t>X001T3B06B</t>
  </si>
  <si>
    <t>B077XFWLF4</t>
  </si>
  <si>
    <t>MOCOTONO Men's V Neck Stripe Pullover Cotton Sweater Black L</t>
  </si>
  <si>
    <t>MY-BS020-BK-M</t>
  </si>
  <si>
    <t>X001T3B1GP</t>
  </si>
  <si>
    <t>B0785DTBTL</t>
  </si>
  <si>
    <t>MOCOTONO Men's V Neck Stripe Pullover Cotton Sweater Black M</t>
  </si>
  <si>
    <t>MY-BS020-BK-S</t>
  </si>
  <si>
    <t>X001T2E997</t>
  </si>
  <si>
    <t>B077XG17CP</t>
  </si>
  <si>
    <t>MOCOTONO Men's V Neck Stripe Pullover Cotton Sweater Black S</t>
  </si>
  <si>
    <t>MY-BS020-BK-XL</t>
  </si>
  <si>
    <t>X001T2YOV5</t>
  </si>
  <si>
    <t>B077XGFT5B</t>
  </si>
  <si>
    <t>MOCOTONO Men's V Neck Stripe Pullover Cotton Sweater Black XL</t>
  </si>
  <si>
    <t>MY-BS020-BL-L</t>
  </si>
  <si>
    <t>X001T3AYCH</t>
  </si>
  <si>
    <t>B077XD9DHW</t>
  </si>
  <si>
    <t>MOCOTONO Men's V Neck Stripe Pullover Cotton Sweater Blue L</t>
  </si>
  <si>
    <t>MY-BS020-BL-M</t>
  </si>
  <si>
    <t>X001T3ALED</t>
  </si>
  <si>
    <t>B077XG2KV7</t>
  </si>
  <si>
    <t>MOCOTONO Men's V Neck Stripe Pullover Cotton Sweater Blue M</t>
  </si>
  <si>
    <t>MY-BS020-BL-S</t>
  </si>
  <si>
    <t>X001T1V90Z</t>
  </si>
  <si>
    <t>B077XD9CYP</t>
  </si>
  <si>
    <t>MOCOTONO Men's V Neck Stripe Pullover Cotton Sweater Blue S</t>
  </si>
  <si>
    <t>MY-BS020-BL-XL</t>
  </si>
  <si>
    <t>X001T3AZQH</t>
  </si>
  <si>
    <t>B077XFVSPR</t>
  </si>
  <si>
    <t>MOCOTONO Men's V Neck Stripe Pullover Cotton Sweater Blue XL</t>
  </si>
  <si>
    <t>MY-BS020-DG-L</t>
  </si>
  <si>
    <t>X001T2YSMF</t>
  </si>
  <si>
    <t>B077XG4ZL6</t>
  </si>
  <si>
    <t>MOCOTONO Men's V Neck Stripe Pullover Cotton Sweater Dark Gray L</t>
  </si>
  <si>
    <t>MY-BS020-DG-M</t>
  </si>
  <si>
    <t>X001T2YOUV</t>
  </si>
  <si>
    <t>B077XBDKM4</t>
  </si>
  <si>
    <t>MOCOTONO Men's V Neck Stripe Pullover Cotton Sweater Dark Gray M</t>
  </si>
  <si>
    <t>MY-BS020-DG-S</t>
  </si>
  <si>
    <t>X001T2YSM5</t>
  </si>
  <si>
    <t>B077XD94WC</t>
  </si>
  <si>
    <t>MOCOTONO Men's V Neck Stripe Pullover Cotton Sweater Dark Gray S</t>
  </si>
  <si>
    <t>MY-BS020-DG-XL</t>
  </si>
  <si>
    <t>X001T3ARPL</t>
  </si>
  <si>
    <t>B077XG567X</t>
  </si>
  <si>
    <t>MOCOTONO Men's V Neck Stripe Pullover Cotton Sweater Dark Gray XL</t>
  </si>
  <si>
    <t>MY-BS020-LG-L</t>
  </si>
  <si>
    <t>X001T2YTER</t>
  </si>
  <si>
    <t>B077XH3599</t>
  </si>
  <si>
    <t>MOCOTONO Men's V Neck Stripe Pullover Cotton Sweater Light Gray L</t>
  </si>
  <si>
    <t>MY-BS020-LG-M</t>
  </si>
  <si>
    <t>X001T3B06V</t>
  </si>
  <si>
    <t>B0785F4TC5</t>
  </si>
  <si>
    <t>MOCOTONO Men's V Neck Stripe Pullover Cotton Sweater Light Gray M</t>
  </si>
  <si>
    <t>MY-BS020-LG-S</t>
  </si>
  <si>
    <t>X001T2YSXJ</t>
  </si>
  <si>
    <t>B077XCWPHC</t>
  </si>
  <si>
    <t>MOCOTONO Men's V Neck Stripe Pullover Cotton Sweater Light Gray S</t>
  </si>
  <si>
    <t>MY-BS020-LG-XL</t>
  </si>
  <si>
    <t>X001T3AYN1</t>
  </si>
  <si>
    <t>B077XDL1TK</t>
  </si>
  <si>
    <t>MOCOTONO Men's V Neck Stripe Pullover Cotton Sweater Light Gray XL</t>
  </si>
  <si>
    <t>MY-BS020-RD-L</t>
  </si>
  <si>
    <t>X001T1VHM5</t>
  </si>
  <si>
    <t>B0785HWNTV</t>
  </si>
  <si>
    <t>MOCOTONO Men's V Neck Stripe Pullover Cotton Sweater Red L</t>
  </si>
  <si>
    <t>MY-BS020-RD-M</t>
  </si>
  <si>
    <t>X001T3AYM7</t>
  </si>
  <si>
    <t>B0785FSNYS</t>
  </si>
  <si>
    <t>MOCOTONO Men's V Neck Stripe Pullover Cotton Sweater Red M</t>
  </si>
  <si>
    <t>MY-BS020-RD-S</t>
  </si>
  <si>
    <t>X001T2YSWZ</t>
  </si>
  <si>
    <t>B077XHPZHR</t>
  </si>
  <si>
    <t>MOCOTONO Men's V Neck Stripe Pullover Cotton Sweater Red S</t>
  </si>
  <si>
    <t>MY-BS020-RD-XL</t>
  </si>
  <si>
    <t>X001T3AI91</t>
  </si>
  <si>
    <t>B077XG58HN</t>
  </si>
  <si>
    <t>MOCOTONO Men's V Neck Stripe Pullover Cotton Sweater Red XL</t>
  </si>
  <si>
    <t>MY-BS026-BK-L</t>
  </si>
  <si>
    <t>X001SV2JLT</t>
  </si>
  <si>
    <t>B078SLKRM3</t>
  </si>
  <si>
    <t>MOCOTONO Mens Long Sleeve Turtle Neck Zip Pullover Sweater Black Large</t>
  </si>
  <si>
    <t>MY-BS026-BK-M</t>
  </si>
  <si>
    <t>X001SVVG3B</t>
  </si>
  <si>
    <t>B078SLHWWD</t>
  </si>
  <si>
    <t>MOCOTONO Mens Long Sleeve Turtle Neck Zip Pullover Sweater Black Medium</t>
  </si>
  <si>
    <t>MY-BS026-BK-S</t>
  </si>
  <si>
    <t>X001SW0JSD</t>
  </si>
  <si>
    <t>B078SGRXPF</t>
  </si>
  <si>
    <t>MOCOTONO Mens Long Sleeve Turtle Neck Zip up Pullover Sweater Black Small</t>
  </si>
  <si>
    <t>MY-BS026-BK-XL</t>
  </si>
  <si>
    <t>X001SVZCFT</t>
  </si>
  <si>
    <t>B078SM9WX3</t>
  </si>
  <si>
    <t>MOCOTONO Mens Long Sleeve Turtle Neck Zip Pullover Sweater Black X-Large</t>
  </si>
  <si>
    <t>MY-BS026-DG-L</t>
  </si>
  <si>
    <t>X001SVSK0X</t>
  </si>
  <si>
    <t>B078SLKRLZ</t>
  </si>
  <si>
    <t>MOCOTONO Mens Long Sleeve Turtle Neck Zip Pullover Sweater Dark Gray Large</t>
  </si>
  <si>
    <t>MY-BS026-DG-M</t>
  </si>
  <si>
    <t>X001SV2JM3</t>
  </si>
  <si>
    <t>B078SGNKN8</t>
  </si>
  <si>
    <t>MOCOTONO Mens Long Sleeve Turtle Neck Zip Pullover Sweater Dark Gray Medium</t>
  </si>
  <si>
    <t>MY-BS026-DG-S</t>
  </si>
  <si>
    <t>X001SVXW97</t>
  </si>
  <si>
    <t>B078SGT2PY</t>
  </si>
  <si>
    <t>MOCOTONO Mens Long Sleeve Turtle Neck Zip Pullover Sweater Dark Gray Small</t>
  </si>
  <si>
    <t>MY-BS026-DG-XL</t>
  </si>
  <si>
    <t>X001SVYOJJ</t>
  </si>
  <si>
    <t>B078SL9SLV</t>
  </si>
  <si>
    <t>MOCOTONO Mens Long Sleeve Turtle Neck Zip Pullover Sweater Dark Gray X-Large</t>
  </si>
  <si>
    <t>MY-BS026-GN-L</t>
  </si>
  <si>
    <t>X001SVVG31</t>
  </si>
  <si>
    <t>B078SLZFC9</t>
  </si>
  <si>
    <t>MOCOTONO Mens Long Sleeve Turtle Neck Zip Pullover Sweater Green Large</t>
  </si>
  <si>
    <t>MY-BS026-GN-M</t>
  </si>
  <si>
    <t>X001SVVG2R</t>
  </si>
  <si>
    <t>B078SKLKRM</t>
  </si>
  <si>
    <t>MOCOTONO Mens Long Sleeve Turtle Neck Zip Pullover Sweater Green Medium</t>
  </si>
  <si>
    <t>MY-BS026-GN-S</t>
  </si>
  <si>
    <t>X001SVSK0N</t>
  </si>
  <si>
    <t>B078SKFCPC</t>
  </si>
  <si>
    <t>MOCOTONO Mens Long Sleeve Turtle Neck Zip Pullover Sweater Green Small</t>
  </si>
  <si>
    <t>MY-BS026-GN-XL</t>
  </si>
  <si>
    <t>X001SV94NF</t>
  </si>
  <si>
    <t>B078SNCQ64</t>
  </si>
  <si>
    <t>MOCOTONO Mens Long Sleeve Turtle Neck Zip Pullover Sweater Green X-Large</t>
  </si>
  <si>
    <t>MY-BS026-KK-L</t>
  </si>
  <si>
    <t>X001SVSK03</t>
  </si>
  <si>
    <t>B078SLNJFQ</t>
  </si>
  <si>
    <t>MOCOTONO Mens Long Sleeve Turtle Neck Zip Pullover Sweater Khaki Large</t>
  </si>
  <si>
    <t>MY-BS026-KK-M</t>
  </si>
  <si>
    <t>X001SVSK17</t>
  </si>
  <si>
    <t>B078SK82ZF</t>
  </si>
  <si>
    <t>MOCOTONO Mens Long Sleeve Turtle Neck Zip Pullover Sweater Khaki Medium</t>
  </si>
  <si>
    <t>MY-BS026-KK-S</t>
  </si>
  <si>
    <t>X001SV2JL9</t>
  </si>
  <si>
    <t>B078SKK34P</t>
  </si>
  <si>
    <t>MOCOTONO Mens Long Sleeve Turtle Neck Zip Pullover Sweater Khaki Small</t>
  </si>
  <si>
    <t>MY-BS026-KK-XL</t>
  </si>
  <si>
    <t>X001SVZCGD</t>
  </si>
  <si>
    <t>B078SLXQDC</t>
  </si>
  <si>
    <t>MOCOTONO Mens Long Sleeve Turtle Neck Zip Pullover Sweater Khaki X-Large</t>
  </si>
  <si>
    <t>MY-BS026-LG-L</t>
  </si>
  <si>
    <t>X001SVXXHD</t>
  </si>
  <si>
    <t>B078SKZDVM</t>
  </si>
  <si>
    <t>MOCOTONO Mens Long Sleeve Turtle Neck Zip Pullover Sweater Light Grey Large</t>
  </si>
  <si>
    <t>MY-BS026-LG-M</t>
  </si>
  <si>
    <t>X001SVY5VB</t>
  </si>
  <si>
    <t>B078SGQ8B9</t>
  </si>
  <si>
    <t>MOCOTONO Mens Long Sleeve Turtle Neck Zip Pullover Sweater Light Grey Medium</t>
  </si>
  <si>
    <t>MY-BS026-LG-S</t>
  </si>
  <si>
    <t>X001SVXWZ1</t>
  </si>
  <si>
    <t>B078SKHDF2</t>
  </si>
  <si>
    <t>MOCOTONO Mens Long Sleeve Turtle Neck Zip Pullover Sweater Light Grey Small</t>
  </si>
  <si>
    <t>MY-BS026-LG-XL</t>
  </si>
  <si>
    <t>X001SV7OEV</t>
  </si>
  <si>
    <t>B078SK82ZD</t>
  </si>
  <si>
    <t>MOCOTONO Mens Long Sleeve Turtle Neck Zip Pullover Sweater Light Grey X-Large</t>
  </si>
  <si>
    <t>MY-BS026-NY-L</t>
  </si>
  <si>
    <t>X001SVXW8N</t>
  </si>
  <si>
    <t>B078SGRTXK</t>
  </si>
  <si>
    <t>MOCOTONO Mens Long Sleeve Turtle Neck Zip Pullover Sweater Navy Blue Large</t>
  </si>
  <si>
    <t>MY-BS026-NY-M</t>
  </si>
  <si>
    <t>X001SVZCGN</t>
  </si>
  <si>
    <t>B078SL2X34</t>
  </si>
  <si>
    <t>MOCOTONO Mens Long Sleeve Turtle Neck Zip Pullover Sweater Navy Blue Medium</t>
  </si>
  <si>
    <t>MY-BS026-NY-S</t>
  </si>
  <si>
    <t>X001SVYOJ9</t>
  </si>
  <si>
    <t>B078SLSTXR</t>
  </si>
  <si>
    <t>MOCOTONO Mens Long Sleeve Turtle Neck Zip Pullover Sweater Navy Blue Small</t>
  </si>
  <si>
    <t>MY-BS026-NY-XL</t>
  </si>
  <si>
    <t>X001SVY5Z7</t>
  </si>
  <si>
    <t>B078SKQ8YP</t>
  </si>
  <si>
    <t>MOCOTONO Mens Long Sleeve Turtle Neck Zip Pullover Sweater Navy Blue X-Large</t>
  </si>
  <si>
    <t>MY-BS026-RD-L</t>
  </si>
  <si>
    <t>X001SV7OEB</t>
  </si>
  <si>
    <t>B078SKTQ7J</t>
  </si>
  <si>
    <t>MOCOTONO Mens Long Sleeve Turtle Neck Zip Pullover Sweater Red Large</t>
  </si>
  <si>
    <t>MY-BS026-RD-M</t>
  </si>
  <si>
    <t>X001SV7OEL</t>
  </si>
  <si>
    <t>B078SLZD7B</t>
  </si>
  <si>
    <t>MOCOTONO Mens Long Sleeve Turtle Neck Zip Pullover Sweater Red Medium</t>
  </si>
  <si>
    <t>MY-BS026-RD-S</t>
  </si>
  <si>
    <t>X001SVSK67</t>
  </si>
  <si>
    <t>B078SLH2V1</t>
  </si>
  <si>
    <t>MOCOTONO Mens Long Sleeve Turtle Neck Zip Pullover Sweater Red Small</t>
  </si>
  <si>
    <t>MY-BS026-RD-XL</t>
  </si>
  <si>
    <t>X001SVY5VL</t>
  </si>
  <si>
    <t>B078SMF4BF</t>
  </si>
  <si>
    <t>MOCOTONO Mens Long Sleeve Turtle Neck Zip Pullover Sweater Red X-Large</t>
  </si>
  <si>
    <t>MY-BS027-BK-L</t>
  </si>
  <si>
    <t>X001SV7RTD</t>
  </si>
  <si>
    <t>B078T9CXWY</t>
  </si>
  <si>
    <t>MOCOTONO Men's V-Neck Cotton Sleeveless Sweater Casual Vest Black Large</t>
  </si>
  <si>
    <t>MY-BS027-BK-M</t>
  </si>
  <si>
    <t>X001SV7OF5</t>
  </si>
  <si>
    <t>B078T794FQ</t>
  </si>
  <si>
    <t>MOCOTONO Men's V-Neck Cotton Sleeveless Sweater Casual Vest Black Medium</t>
  </si>
  <si>
    <t>MY-BS027-BK-S</t>
  </si>
  <si>
    <t>X001SVSK0D</t>
  </si>
  <si>
    <t>B078TCGH2D</t>
  </si>
  <si>
    <t>MOCOTONO Men's V-Neck Cotton Sleeveless Sweater Casual Vest Black Small</t>
  </si>
  <si>
    <t>MY-BS027-BK-XL</t>
  </si>
  <si>
    <t>X001SVSKC1</t>
  </si>
  <si>
    <t>B078TCD4ZX</t>
  </si>
  <si>
    <t>MOCOTONO Men's V-Neck Cotton Sleeveless Sweater Casual Vest Black X-Large</t>
  </si>
  <si>
    <t>MY-BS027-BL-L</t>
  </si>
  <si>
    <t>X001SV9A3T</t>
  </si>
  <si>
    <t>B078TBH767</t>
  </si>
  <si>
    <t>MOCOTONO Men's V-Neck Cotton Sleeveless Sweater Casual Vest Blue Large</t>
  </si>
  <si>
    <t>MY-BS027-BL-M</t>
  </si>
  <si>
    <t>X001SVXW8X</t>
  </si>
  <si>
    <t>B078TC9G8J</t>
  </si>
  <si>
    <t>MOCOTONO Men's V-Neck Cotton Sleeveless Sweater Casual Vest Blue Medium</t>
  </si>
  <si>
    <t>MY-BS027-BL-S</t>
  </si>
  <si>
    <t>X001SVSKBR</t>
  </si>
  <si>
    <t>B078TBLHR7</t>
  </si>
  <si>
    <t>MOCOTONO Men's V-Neck Cotton Sleeveless Sweater Casual Vest Blue Small</t>
  </si>
  <si>
    <t>MY-BS027-BL-XL</t>
  </si>
  <si>
    <t>X001SVSKCB</t>
  </si>
  <si>
    <t>B078TC2XBX</t>
  </si>
  <si>
    <t>MOCOTONO Men's V-Neck Cotton Sleeveless Sweater Casual Vest Blue X-Large</t>
  </si>
  <si>
    <t>MY-BS027-DG-L</t>
  </si>
  <si>
    <t>X001SVZCG3</t>
  </si>
  <si>
    <t>B078TBRRY1</t>
  </si>
  <si>
    <t>MOCOTONO Men's V-Neck Cotton Sleeveless Sweater Casual Vest Dark Gray Large</t>
  </si>
  <si>
    <t>MY-BS027-DG-M</t>
  </si>
  <si>
    <t>X001SVXXHN</t>
  </si>
  <si>
    <t>B078TCFLP4</t>
  </si>
  <si>
    <t>MOCOTONO Men's V-Neck Cotton Sleeveless Sweater Casual Vest Dark Gray Medium</t>
  </si>
  <si>
    <t>MY-BS027-DG-S</t>
  </si>
  <si>
    <t>X001SV9A3J</t>
  </si>
  <si>
    <t>B078TBQBCB</t>
  </si>
  <si>
    <t>MOCOTONO Men's V-Neck Cotton Sleeveless Sweater Casual Vest Dark Gray Small</t>
  </si>
  <si>
    <t>MY-BS027-DG-XL</t>
  </si>
  <si>
    <t>X001SVSKBH</t>
  </si>
  <si>
    <t>B078TD4NL1</t>
  </si>
  <si>
    <t>MOCOTONO Men's V-Neck Cotton Sleeveless Sweater Casual Vest Dark Gray X-Large</t>
  </si>
  <si>
    <t>MY-BS027-GN-L</t>
  </si>
  <si>
    <t>X001SVY5ZH</t>
  </si>
  <si>
    <t>B078TBVZBM</t>
  </si>
  <si>
    <t>MOCOTONO Men's V-Neck Cotton Sleeveless Sweater Casual Vest Green Large</t>
  </si>
  <si>
    <t>MY-BS027-GN-M</t>
  </si>
  <si>
    <t>X001SV9A93</t>
  </si>
  <si>
    <t>B078TB9KGM</t>
  </si>
  <si>
    <t>MOCOTONO Men's V-Neck Cotton Sleeveless Sweater Casual Vest Green Medium</t>
  </si>
  <si>
    <t>MY-BS027-GN-S</t>
  </si>
  <si>
    <t>X001SVXXHX</t>
  </si>
  <si>
    <t>B078TBRKRH</t>
  </si>
  <si>
    <t>MOCOTONO Men's V-Neck Cotton Sleeveless Sweater Casual Vest Green Small</t>
  </si>
  <si>
    <t>MY-BS027-GN-XL</t>
  </si>
  <si>
    <t>X001SV94NP</t>
  </si>
  <si>
    <t>B078TC2XC1</t>
  </si>
  <si>
    <t>MOCOTONO Men's V-Neck Cotton Sleeveless Sweater Casual Vest Green X-Large</t>
  </si>
  <si>
    <t>MY-BS027-KK-L</t>
  </si>
  <si>
    <t>X001SVVG2H</t>
  </si>
  <si>
    <t>B078TC3BK9</t>
  </si>
  <si>
    <t>MOCOTONO Men's V-Neck Cotton Sleeveless Sweater Casual Vest Khaki/Brown Large</t>
  </si>
  <si>
    <t>MY-BS027-KK-M</t>
  </si>
  <si>
    <t>X001SV94O9</t>
  </si>
  <si>
    <t>B078TD4DD1</t>
  </si>
  <si>
    <t>MOCOTONO Men's V-Neck Cotton Sleeveless Sweater Casual Vest Khaki/Brown Medium</t>
  </si>
  <si>
    <t>MY-BS027-KK-S</t>
  </si>
  <si>
    <t>X001SVYOIP</t>
  </si>
  <si>
    <t>B078TBBBTL</t>
  </si>
  <si>
    <t>MOCOTONO Men's V-Neck Cotton Sleeveless Sweater Casual Vest Khaki/Brown Small</t>
  </si>
  <si>
    <t>MY-BS027-KK-XL</t>
  </si>
  <si>
    <t>X001SV94NZ</t>
  </si>
  <si>
    <t>B078TC4SWY</t>
  </si>
  <si>
    <t>MOCOTONO Men's V-Neck Cotton Sleeveless Sweater Casual Vest Khaki/Brown X-Large</t>
  </si>
  <si>
    <t>MY-BS027-LG-L</t>
  </si>
  <si>
    <t>X001SVYOIZ</t>
  </si>
  <si>
    <t>B078TFDY2P</t>
  </si>
  <si>
    <t>MOCOTONO Men's V-Neck Cotton Sleeveless Sweater Casual Vest Light Grey Large</t>
  </si>
  <si>
    <t>MY-BS027-LG-M</t>
  </si>
  <si>
    <t>X001SVSK5X</t>
  </si>
  <si>
    <t>B078T792KP</t>
  </si>
  <si>
    <t>MOCOTONO Men's V-Neck Cotton Sleeveless Sweater Casual Vest Light Grey Medium</t>
  </si>
  <si>
    <t>MY-BS027-LG-S</t>
  </si>
  <si>
    <t>X001SVSK6H</t>
  </si>
  <si>
    <t>B078TD5RK6</t>
  </si>
  <si>
    <t>MOCOTONO Men's V-Neck Cotton Sleeveless Sweater Casual Vest Light Grey Small</t>
  </si>
  <si>
    <t>MY-BS027-LG-XL</t>
  </si>
  <si>
    <t>X001SV94OJ</t>
  </si>
  <si>
    <t>B078TCG9L1</t>
  </si>
  <si>
    <t>MOCOTONO Men's V-Neck Cotton Sleeveless Sweater Casual Vest Light Grey X-Large</t>
  </si>
  <si>
    <t>MY-BS027-NY-L</t>
  </si>
  <si>
    <t>X001SVSKCL</t>
  </si>
  <si>
    <t>B078T9ZQGV</t>
  </si>
  <si>
    <t>MOCOTONO Men's V-Neck Cotton Sleeveless Sweater Casual Vest Navy Large</t>
  </si>
  <si>
    <t>MY-BS027-NY-M</t>
  </si>
  <si>
    <t>X001SVYOJT</t>
  </si>
  <si>
    <t>B078TBS2S1</t>
  </si>
  <si>
    <t>MOCOTONO Men's V-Neck Cotton Sleeveless Sweater Casual Vest Navy Medium</t>
  </si>
  <si>
    <t>MY-BS027-NY-S</t>
  </si>
  <si>
    <t>X001SVSSC3</t>
  </si>
  <si>
    <t>B078TBPN1H</t>
  </si>
  <si>
    <t>MOCOTONO Men's V-Neck Cotton Sleeveless Sweater Casual Vest Navy Small</t>
  </si>
  <si>
    <t>MY-BS027-NY-XL</t>
  </si>
  <si>
    <t>X001SV2JLJ</t>
  </si>
  <si>
    <t>B078TC5MC1</t>
  </si>
  <si>
    <t>MOCOTONO Men's V-Neck Cotton Sleeveless Sweater Casual Vest Navy X-Large</t>
  </si>
  <si>
    <t>MY-LYHigh303-GR-M</t>
  </si>
  <si>
    <t>B073XJKBF6</t>
  </si>
  <si>
    <t>MiCotton Men's Casual Regular Fit Pullover High-Neck Sweater Cotton Knitwear Gray Medium</t>
  </si>
  <si>
    <t>MY-LYHigh303-GR-XL</t>
  </si>
  <si>
    <t>B073XKDN4J</t>
  </si>
  <si>
    <t>MiCotton Men's Casual Regular Fit Pullover High-Neck Sweater Cotton Knitwear Gray X-Large</t>
  </si>
  <si>
    <t>MY-LYHigh303-K0-M</t>
  </si>
  <si>
    <t>B073XK15PC</t>
  </si>
  <si>
    <t>MY-LYHigh303-K0-S1</t>
  </si>
  <si>
    <t>B073ZCP21C</t>
  </si>
  <si>
    <t>MY-LYHigh303-KQ-S</t>
  </si>
  <si>
    <t>B073XKLNRW</t>
  </si>
  <si>
    <t>MY-LYHigh303-KQ-XL</t>
  </si>
  <si>
    <t>B073XJVCLZ</t>
  </si>
  <si>
    <t>MY-LYHigh303-OR-S</t>
  </si>
  <si>
    <t>B073XJHHKT</t>
  </si>
  <si>
    <t>MiCotton Men's Casual Regular Fit Pullover High-Neck Sweater Cotton Knitwear Orange Small</t>
  </si>
  <si>
    <t>MY-LYHigh303-OR-XL</t>
  </si>
  <si>
    <t>B073XK7SN6</t>
  </si>
  <si>
    <t>MY-LYHigh303-W0-L</t>
  </si>
  <si>
    <t>B073XJVWGY</t>
  </si>
  <si>
    <t>MY-LYHigh303-W0-M</t>
  </si>
  <si>
    <t>B073XJQ3NH</t>
  </si>
  <si>
    <t>MiCotton Men's Casual Regular Fit Pullover High-Neck Sweater Cotton Knitwear White Medium</t>
  </si>
  <si>
    <t>MY-LYHigh303-W0-S</t>
  </si>
  <si>
    <t>B073XK88LW</t>
  </si>
  <si>
    <t>MiCotton Men's Casual Regular Fit Pullover High-Neck Sweater Cotton Knitwear White Small</t>
  </si>
  <si>
    <t>MY-LYHigh303-WR-M</t>
  </si>
  <si>
    <t>B073XKJMSR</t>
  </si>
  <si>
    <t>MY-LYHigh303-WR-XL</t>
  </si>
  <si>
    <t>B073XKKW37</t>
  </si>
  <si>
    <t>MY-LYPoint021-BL-L</t>
  </si>
  <si>
    <t>B0788DYWCT</t>
  </si>
  <si>
    <t>MOCOTONO Men's V-Neck Long Sleeve Regular Fit Pullover Casual Sweater Blue Large Blue Large</t>
  </si>
  <si>
    <t>MY-LYPoint021-BL-S</t>
  </si>
  <si>
    <t>B0788HYWJ7</t>
  </si>
  <si>
    <t>MOCOTONO Men's V-Neck Long Sleeve Regular Fit Pullover Casual Sweater Blue Small Blue Small</t>
  </si>
  <si>
    <t>MY-LYPoint021-BL-XL</t>
  </si>
  <si>
    <t>B0788DV39D</t>
  </si>
  <si>
    <t>MOCOTONO Men's V-Neck Long Sleeve Regular Fit Pullover Casual Sweater Blue X-Large Blue X-Large</t>
  </si>
  <si>
    <t>MY-LYPoint021-DG-L</t>
  </si>
  <si>
    <t>B073XL4P5D</t>
  </si>
  <si>
    <t>MOCOTONO Men's V-Neck Long Sleeve Pullover Casual Sweater Dark Green Large</t>
  </si>
  <si>
    <t>MY-LYPoint021-DG-M</t>
  </si>
  <si>
    <t>B073XL4P5B</t>
  </si>
  <si>
    <t>MY-LYPoint021-DG-S</t>
  </si>
  <si>
    <t>B073XJP7H2</t>
  </si>
  <si>
    <t>MOCOTONO Men's V-Neck Long Sleeve Pullover Casual Sweater Dark Green Small</t>
  </si>
  <si>
    <t>MY-LYPoint021-DG-XL</t>
  </si>
  <si>
    <t>B073XK66CZ</t>
  </si>
  <si>
    <t>MOCOTONO Men's V-Neck Long Sleeve Pullover Casual Sweater Dark Green X-Large</t>
  </si>
  <si>
    <t>MY-LYPoint021-GN-L</t>
  </si>
  <si>
    <t>B078FBGQ2X</t>
  </si>
  <si>
    <t>MOCOTONO Men's V-Neck Long Sleeve Pullover Casual Sweater Green Large</t>
  </si>
  <si>
    <t>MY-LYPoint021-GN-M</t>
  </si>
  <si>
    <t>B0788G6985</t>
  </si>
  <si>
    <t>MOCOTONO Men's V-Neck Long Sleeve Pullover Casual Sweater Green Medium</t>
  </si>
  <si>
    <t>MY-LYPoint021-GN-S</t>
  </si>
  <si>
    <t>B0788B5BWD</t>
  </si>
  <si>
    <t>MOCOTONO Men's V-Neck Long Sleeve Pullover Casual Sweater Green Small</t>
  </si>
  <si>
    <t>MY-LYPoint021-GR-L</t>
  </si>
  <si>
    <t>B073XL4P7Q</t>
  </si>
  <si>
    <t>MOCOTONO Men's V-Neck Long Sleeve Pullover Casual Sweater Light Gray Large</t>
  </si>
  <si>
    <t>MY-LYPoint021-GR-M</t>
  </si>
  <si>
    <t>B073XJLTJW</t>
  </si>
  <si>
    <t>MOCOTONO Men's V-Neck Long Sleeve Pullover Casual Sweater Light Gray Medium</t>
  </si>
  <si>
    <t>MY-LYPoint021-GR-S</t>
  </si>
  <si>
    <t>B073XK5LBM</t>
  </si>
  <si>
    <t>MOCOTONO Men's V-Neck Long Sleeve Pullover Casual Sweater Light Gray Small</t>
  </si>
  <si>
    <t>MY-LYPoint021-GR-XL</t>
  </si>
  <si>
    <t>B073XJV446</t>
  </si>
  <si>
    <t>MOCOTONO Men's V-Neck Long Sleeve Pullover Casual Sweater Green X-Large</t>
  </si>
  <si>
    <t>MY-LYPoint021-K0-L</t>
  </si>
  <si>
    <t>B073XJFSC8</t>
  </si>
  <si>
    <t>MOCOTONO Men's V-Neck Long Sleeve Pullover Casual Sweater Black Large</t>
  </si>
  <si>
    <t>MY-LYPoint021-K0-M</t>
  </si>
  <si>
    <t>B073XK1K4N</t>
  </si>
  <si>
    <t>MOCOTONO Men's V-Neck Long Sleeve Pullover Casual Sweater Black Medium</t>
  </si>
  <si>
    <t>MY-LYPoint021-K0-XL</t>
  </si>
  <si>
    <t>B073XK7RVB</t>
  </si>
  <si>
    <t>MOCOTONO Men's V-Neck Long Sleeve Pullover Casual Sweater Black X-Large</t>
  </si>
  <si>
    <t>MY-LYPoint021-KQ-L</t>
  </si>
  <si>
    <t>B073XJGNVS</t>
  </si>
  <si>
    <t>MOCOTONO Men's V-Neck Long Sleeve Pullover Casual Sweater Khaki Large</t>
  </si>
  <si>
    <t>MY-LYPoint021-KQ-M</t>
  </si>
  <si>
    <t>B073XJXF5D</t>
  </si>
  <si>
    <t>MY-LYPoint021-KQ-S</t>
  </si>
  <si>
    <t>B073XJZ4MB</t>
  </si>
  <si>
    <t>MOCOTONO Men's V-Neck Long Sleeve Pullover Casual Sweater Khaki Small</t>
  </si>
  <si>
    <t>MY-LYPoint021-KQ-XL</t>
  </si>
  <si>
    <t>B073XKK5LR</t>
  </si>
  <si>
    <t>MOCOTONO Men's V-Neck Long Sleeve Pullover Casual Sweater Khaki X-Large</t>
  </si>
  <si>
    <t>MY-LYPoint021-LB-L</t>
  </si>
  <si>
    <t>B073XK5M3Y</t>
  </si>
  <si>
    <t>Mocotono Men's V-Neck Long Sleeve Regular Fit Pullover Cotton Casual Sweater Light Blue Large</t>
  </si>
  <si>
    <t>MY-LYPoint021-LB-M</t>
  </si>
  <si>
    <t>B073XKLNR2</t>
  </si>
  <si>
    <t>MOCOTONO Men's V-Neck Long Sleeve Pullover Casual Sweater Light Blue Medium</t>
  </si>
  <si>
    <t>MY-LYPoint021-LB-S</t>
  </si>
  <si>
    <t>B073XJK1SP</t>
  </si>
  <si>
    <t>MOCOTONO Men's V-Neck Long Sleeve Pullover Casual Sweater Light Blue Small</t>
  </si>
  <si>
    <t>MY-LYPoint021-LB-XL</t>
  </si>
  <si>
    <t>B073XKSK51</t>
  </si>
  <si>
    <t>MOCOTONO Men's V-Neck Long Sleeve Pullover Casual Sweater Light Blue X-Large</t>
  </si>
  <si>
    <t>MY-LYPoint021-NY-L</t>
  </si>
  <si>
    <t>B0788F4HMX</t>
  </si>
  <si>
    <t>MOCOTONO Men's V-Neck Long Sleeve Pullover Casual Sweater Navy Large</t>
  </si>
  <si>
    <t>MY-LYPoint021-NY-M</t>
  </si>
  <si>
    <t>B0788F8PXB</t>
  </si>
  <si>
    <t>MOCOTONO Men's V-Neck Long Sleeve Pullover Casual Sweater Navy Medium</t>
  </si>
  <si>
    <t>MY-LYPoint021-NY-S</t>
  </si>
  <si>
    <t>B0788CCG33</t>
  </si>
  <si>
    <t>MOCOTONO Men's V-Neck Long Sleeve Pullover Casual Sweater Navy Small</t>
  </si>
  <si>
    <t>MY-LYPoint021-NY-XL</t>
  </si>
  <si>
    <t>B0788CHJ3V</t>
  </si>
  <si>
    <t>MOCOTONO Men's V-Neck Long Sleeve Pullover Casual Sweater Navy X-Large</t>
  </si>
  <si>
    <t>MY-LYPoint021-OR-L</t>
  </si>
  <si>
    <t>B073XK88MS</t>
  </si>
  <si>
    <t>MY-LYPoint021-OR-M</t>
  </si>
  <si>
    <t>B073XK9KDM</t>
  </si>
  <si>
    <t>MY-LYPoint021-OR-S</t>
  </si>
  <si>
    <t>B073XKHM55</t>
  </si>
  <si>
    <t>MOCOTONO Men's V-Neck Long Sleeve Pullover Casual Sweater Orange Small</t>
  </si>
  <si>
    <t>MY-LYPoint021-OR-XL</t>
  </si>
  <si>
    <t>B073XKSK6M</t>
  </si>
  <si>
    <t>MY-LYPoint021-W0-L</t>
  </si>
  <si>
    <t>B073XKD3LL</t>
  </si>
  <si>
    <t>MOCOTONO Men's V-Neck Long Sleeve Pullover Casual Sweater White Large</t>
  </si>
  <si>
    <t>MY-LYPoint021-W0-M</t>
  </si>
  <si>
    <t>B073XJLB1W</t>
  </si>
  <si>
    <t>MOCOTONO Men's V-Neck Long Sleeve Pullover Casual Sweater White Medium</t>
  </si>
  <si>
    <t>MY-LYPoint021-W0-S</t>
  </si>
  <si>
    <t>B073XK7Y6B</t>
  </si>
  <si>
    <t>MOCOTONO Men's V-Neck Long Sleeve Pullover Casual Sweater White Small</t>
  </si>
  <si>
    <t>MY-LYPoint021-W0-XL</t>
  </si>
  <si>
    <t>B073XJMSN7</t>
  </si>
  <si>
    <t>MOCOTONO Men's V-Neck Long Sleeve Pullover Casual Sweater White X-Large</t>
  </si>
  <si>
    <t>MY-LYPoint021-WR-L</t>
  </si>
  <si>
    <t>B073XKPZWF</t>
  </si>
  <si>
    <t>MOCOTONO Men's V-Neck Long Sleeve Pullover Casual Sweater Wine Red Large</t>
  </si>
  <si>
    <t>MY-LYPoint021-WR-M</t>
  </si>
  <si>
    <t>B073XJVVGR</t>
  </si>
  <si>
    <t>MOCOTONO Men's V-Neck Long Sleeve Pullover Casual Sweater Wine Red Medium</t>
  </si>
  <si>
    <t>MY-LYPoint021-WR-S</t>
  </si>
  <si>
    <t>B073XKV78C</t>
  </si>
  <si>
    <t>MOCOTONO Men's V-Neck Long Sleeve Pullover Casual Sweater Wine Red Small</t>
  </si>
  <si>
    <t>MY-LYPoint021-WR-XL</t>
  </si>
  <si>
    <t>B073XJW69Y</t>
  </si>
  <si>
    <t>MOCOTONO Men's V-Neck Long Sleeve Pullover Casual Sweater Wine Red X-Large</t>
  </si>
  <si>
    <t>MY-LYRound020-BL-L</t>
  </si>
  <si>
    <t>B0788CMJ2W</t>
  </si>
  <si>
    <t>MOCOTONO Men's Long Sleeve Crew Neck Pullover Knit Sweater Blue Large</t>
  </si>
  <si>
    <t>MY-LYRound020-BL-M</t>
  </si>
  <si>
    <t>B0788FV16R</t>
  </si>
  <si>
    <t>MOCOTONO Men's Long Sleeve Crew Neck Pullover Knit Sweater Blue Medium</t>
  </si>
  <si>
    <t>MY-LYRound020-BL-S</t>
  </si>
  <si>
    <t>B07889CR96</t>
  </si>
  <si>
    <t>MOCOTONO Men's Long Sleeve Crew Neck Pullover Knit Sweater Blue Small</t>
  </si>
  <si>
    <t>MY-LYRound020-BL-XL</t>
  </si>
  <si>
    <t>B0788C9SJY</t>
  </si>
  <si>
    <t>MOCOTONO Men's Long Sleeve Crew Neck Pullover Knit Sweater Blue X-Large</t>
  </si>
  <si>
    <t>MY-LYRound020-DG-L</t>
  </si>
  <si>
    <t>B073XJW6BF</t>
  </si>
  <si>
    <t>MOCOTONO Men's Long Sleeve Crew Neck Pullover Knit Sweater Dark Green Large</t>
  </si>
  <si>
    <t>MY-LYRound020-DG-M</t>
  </si>
  <si>
    <t>B073XKV6RW</t>
  </si>
  <si>
    <t>MOCOTONO Men's Long Sleeve Crew Neck Pullover Knit Sweater Dark Green Medium</t>
  </si>
  <si>
    <t>MY-LYRound020-DG-S</t>
  </si>
  <si>
    <t>B073XJYHF5</t>
  </si>
  <si>
    <t>MOCOTONO Men's Long Sleeve Crew Neck Pullover Knit Sweater Dark Green Small</t>
  </si>
  <si>
    <t>MY-LYRound020-DG-XL</t>
  </si>
  <si>
    <t>B073XK53WW</t>
  </si>
  <si>
    <t>MOCOTONO Men's Long Sleeve Crew Neck Pullover Knit Sweater Dark Green X-Large</t>
  </si>
  <si>
    <t>MY-LYRound020-GN-L</t>
  </si>
  <si>
    <t>B0788FG1LY</t>
  </si>
  <si>
    <t>MOCOTONO Men's Long Sleeve Crew Neck Pullover Knit Sweater Green Large</t>
  </si>
  <si>
    <t>MY-LYRound020-GN-M</t>
  </si>
  <si>
    <t>B0788CCG37</t>
  </si>
  <si>
    <t>MOCOTONO Men's Long Sleeve Crew Neck Pullover Knit Sweater Green Medium</t>
  </si>
  <si>
    <t>MY-LYRound020-GN-S</t>
  </si>
  <si>
    <t>B0788FCF71</t>
  </si>
  <si>
    <t>MOCOTONO Men's Long Sleeve Crew Neck Pullover Knit Sweater Green Small</t>
  </si>
  <si>
    <t>MY-LYRound020-GN-XL</t>
  </si>
  <si>
    <t>B0788FJLYT</t>
  </si>
  <si>
    <t>MOCOTONO Men's Long Sleeve Crew Neck Pullover Knit Sweater Green X-Large</t>
  </si>
  <si>
    <t>MY-LYRound020-GR-L</t>
  </si>
  <si>
    <t>B073XK4LR3</t>
  </si>
  <si>
    <t>MOCOTONO Men's Long Sleeve Crew Neck Pullover Knit Sweater Gray Large</t>
  </si>
  <si>
    <t>MY-LYRound020-GR-M</t>
  </si>
  <si>
    <t>B073XJW9GC</t>
  </si>
  <si>
    <t>MOCOTONO Men's Long Sleeve Crew Neck Pullover Knit Sweater Gray Medium</t>
  </si>
  <si>
    <t>MY-LYRound020-GR-S</t>
  </si>
  <si>
    <t>B073XKL2LF</t>
  </si>
  <si>
    <t>MOCOTONO Men's Long Sleeve Crew Neck Pullover Knit Sweater Gray Small</t>
  </si>
  <si>
    <t>MY-LYRound020-GR-XL</t>
  </si>
  <si>
    <t>B073XJXDRJ</t>
  </si>
  <si>
    <t>MOCOTONO Men's Long Sleeve Crew Neck Pullover Knit Sweater Gray X-Large</t>
  </si>
  <si>
    <t>MY-LYRound020-K0-L</t>
  </si>
  <si>
    <t>B073XJW2V6</t>
  </si>
  <si>
    <t>MOCOTONO Men's Long Sleeve Crew Neck Pullover Knit Sweater Black Large</t>
  </si>
  <si>
    <t>MY-LYRound020-K0-M</t>
  </si>
  <si>
    <t>B073XJL8XK</t>
  </si>
  <si>
    <t>MOCOTONO Men's Long Sleeve Crew Neck Pullover Knit Sweater Black Medium</t>
  </si>
  <si>
    <t>MY-LYRound020-K0-S</t>
  </si>
  <si>
    <t>B073XJZ6XV</t>
  </si>
  <si>
    <t>MOCOTONO Men's Long Sleeve Crew Neck Pullover Knit Sweater Black Small</t>
  </si>
  <si>
    <t>MY-LYRound020-K0-XL</t>
  </si>
  <si>
    <t>B073XKG8VD</t>
  </si>
  <si>
    <t>MOCOTONO Men's Long Sleeve Crew Neck Pullover Knit Sweater Black X-Large</t>
  </si>
  <si>
    <t>MY-LYRound020-KQ-L</t>
  </si>
  <si>
    <t>B073XJFXTR</t>
  </si>
  <si>
    <t>MOCOTONO Men's Long Sleeve Crew Neck Pullover Knit Sweater Khaki Large</t>
  </si>
  <si>
    <t>MY-LYRound020-KQ-M</t>
  </si>
  <si>
    <t>B073XJSM26</t>
  </si>
  <si>
    <t>MOCOTONO Men's Long Sleeve Crew Neck Pullover Knit Sweater Khaki Medium</t>
  </si>
  <si>
    <t>MY-LYRound020-KQ-S</t>
  </si>
  <si>
    <t>B073XJD6WD</t>
  </si>
  <si>
    <t>MOCOTONO Men's Long Sleeve Crew Neck Pullover Knit Sweater Khaki Small</t>
  </si>
  <si>
    <t>MY-LYRound020-KQ-XL</t>
  </si>
  <si>
    <t>B073XJYHF3</t>
  </si>
  <si>
    <t>MOCOTONO Men's Long Sleeve Crew Neck Pullover Knit Sweater Khaki X-Large</t>
  </si>
  <si>
    <t>MY-LYRound020-LB-L</t>
  </si>
  <si>
    <t>B073XJW2WJ</t>
  </si>
  <si>
    <t>MOCOTONO Men's Long Sleeve Crew Neck Pullover Knit Sweater Light Blue Large</t>
  </si>
  <si>
    <t>MY-LYRound020-LB-M</t>
  </si>
  <si>
    <t>B073XK4DWT</t>
  </si>
  <si>
    <t>MOCOTONO Men's Long Sleeve Crew Neck Pullover Knit Sweater Light Blue Medium</t>
  </si>
  <si>
    <t>MY-LYRound020-LB-S</t>
  </si>
  <si>
    <t>B073XLCLNN</t>
  </si>
  <si>
    <t>MOCOTONO Men's Long Sleeve Crew Neck Pullover Knit Sweater Light Blue Small</t>
  </si>
  <si>
    <t>MY-LYRound020-LB-XL</t>
  </si>
  <si>
    <t>B073XJQR6K</t>
  </si>
  <si>
    <t>MOCOTONO Men's Long Sleeve Crew Neck Pullover Knit Sweater Light Blue X-Large</t>
  </si>
  <si>
    <t>MY-LYRound020-NY-L</t>
  </si>
  <si>
    <t>B0788GDKGJ</t>
  </si>
  <si>
    <t>MOCOTONO Men's Long Sleeve Crew Neck Pullover Knit Sweater Navy Large</t>
  </si>
  <si>
    <t>MY-LYRound020-NY-M</t>
  </si>
  <si>
    <t>B0788GD6MN</t>
  </si>
  <si>
    <t>MOCOTONO Men's Long Sleeve Crew Neck Pullover Knit Sweater Navy Medium</t>
  </si>
  <si>
    <t>MY-LYRound020-NY-S</t>
  </si>
  <si>
    <t>B07887XX7H</t>
  </si>
  <si>
    <t>MOCOTONO Men's Long Sleeve Crew Neck Pullover Knit Sweater Navy Small</t>
  </si>
  <si>
    <t>MY-LYRound020-OR-L</t>
  </si>
  <si>
    <t>B073XJ44RR</t>
  </si>
  <si>
    <t>MOCOTONO Men's Long Sleeve Crew Neck Pullover Knit Sweater Orange Large</t>
  </si>
  <si>
    <t>MY-LYRound020-OR-M</t>
  </si>
  <si>
    <t>B073XJ3KM5</t>
  </si>
  <si>
    <t>MOCOTONO Men's Long Sleeve Crew Neck Pullover Knit Sweater Orange Medium</t>
  </si>
  <si>
    <t>MY-LYRound020-OR-S</t>
  </si>
  <si>
    <t>B073XKLNR1</t>
  </si>
  <si>
    <t>MOCOTONO Men's Long Sleeve Crew Neck Pullover Knit Sweater Orange Small</t>
  </si>
  <si>
    <t>MY-LYRound020-OR-XL</t>
  </si>
  <si>
    <t>B073XJCNJ1</t>
  </si>
  <si>
    <t>MOCOTONO Men's Long Sleeve Crew Neck Pullover Knit Sweater Orange X-Large</t>
  </si>
  <si>
    <t>MY-LYRound020-W0-L</t>
  </si>
  <si>
    <t>B073XJW7BP</t>
  </si>
  <si>
    <t>MOCOTONO Men's Long Sleeve Crew Neck Pullover Knit Sweater White Large</t>
  </si>
  <si>
    <t>MY-LYRound020-W0-M</t>
  </si>
  <si>
    <t>B073XK4Y1J</t>
  </si>
  <si>
    <t>MOCOTONO Men's Long Sleeve Crew Neck Pullover Knit Sweater White Medium</t>
  </si>
  <si>
    <t>MY-LYRound020-W0-S</t>
  </si>
  <si>
    <t>B073XJYLRX</t>
  </si>
  <si>
    <t>MOCOTONO Men's Long Sleeve Crew Neck Pullover Knit Sweater White Small</t>
  </si>
  <si>
    <t>MY-LYRound020-W0-XL</t>
  </si>
  <si>
    <t>B073XJQR5H</t>
  </si>
  <si>
    <t>MOCOTONO Men's Long Sleeve Crew Neck Pullover Knit Sweater White X-Large</t>
  </si>
  <si>
    <t>MY-LYRound020-WR-L</t>
  </si>
  <si>
    <t>B073XK9BD8</t>
  </si>
  <si>
    <t>MOCOTONO Men's Long Sleeve Crew Neck Pullover Knit Sweater Wine Red Large</t>
  </si>
  <si>
    <t>MY-LYRound020-WR-M</t>
  </si>
  <si>
    <t>B073XK31PD</t>
  </si>
  <si>
    <t>MOCOTONO Men's Long Sleeve Crew Neck Pullover Knit Sweater Wine Red Medium</t>
  </si>
  <si>
    <t>MY-LYRound020-WR-S</t>
  </si>
  <si>
    <t>B073XJYBS9</t>
  </si>
  <si>
    <t>MOCOTONO Men's Long Sleeve Crew Neck Pullover Knit Sweater Wine Red Small</t>
  </si>
  <si>
    <t>MY-LYRound020-WR-XL</t>
  </si>
  <si>
    <t>B073XJ1PM4</t>
  </si>
  <si>
    <t>MOCOTONO Men's Long Sleeve Crew Neck Pullover Knit Sweater Wine Red X-Large</t>
  </si>
  <si>
    <t>MY-SB-DG-M</t>
  </si>
  <si>
    <t>B07C4V5DH6</t>
  </si>
  <si>
    <t>MOCOTONO Men's V-Neck Long Sleeve Pullover Casual Sweater Dark Green Medium</t>
  </si>
  <si>
    <t>MY-SB011-BK-L</t>
  </si>
  <si>
    <t>MY-SB011-BK-M</t>
  </si>
  <si>
    <t>MY-SB011-BK-S</t>
  </si>
  <si>
    <t>MY-SB011-BK-XL</t>
  </si>
  <si>
    <t>MY-SB011-BL-L</t>
  </si>
  <si>
    <t>MY-SB011-BL-M</t>
  </si>
  <si>
    <t>MY-SB011-BL-S</t>
  </si>
  <si>
    <t>MY-SB011-BL-XL</t>
  </si>
  <si>
    <t>MY-SB011-CF-L</t>
  </si>
  <si>
    <t>MY-SB011-CF-M</t>
  </si>
  <si>
    <t>MY-SB011-CF-S</t>
  </si>
  <si>
    <t>MY-SB011-CF-XL</t>
  </si>
  <si>
    <t>MY-SB011-DG-L</t>
  </si>
  <si>
    <t>B07599MVMW</t>
  </si>
  <si>
    <t>MY-SB011-DG-M</t>
  </si>
  <si>
    <t>MY-SB011-DG-S</t>
  </si>
  <si>
    <t>MY-SB011-DG-XL</t>
  </si>
  <si>
    <t>MY-SB011-LG-L</t>
  </si>
  <si>
    <t>MY-SB011-LG-M</t>
  </si>
  <si>
    <t>MY-SB011-LG-XL</t>
  </si>
  <si>
    <t>MY-SB011-NY-L</t>
  </si>
  <si>
    <t>MY-SB011-NY-M</t>
  </si>
  <si>
    <t>MY-SB011-NY-S</t>
  </si>
  <si>
    <t>MY-SB011-NY-XL</t>
  </si>
  <si>
    <t>MY-SB011-PP-L</t>
  </si>
  <si>
    <t>MY-SB011-PP-M</t>
  </si>
  <si>
    <t>MY-SB011-PP-XL</t>
  </si>
  <si>
    <t>MY-SB011-RD-L</t>
  </si>
  <si>
    <t>MY-SB011-RD-M</t>
  </si>
  <si>
    <t>MY-SB011-RD-S</t>
  </si>
  <si>
    <t>MY-SB011-RD-XL</t>
  </si>
  <si>
    <t>MY-SB011-WT-L</t>
  </si>
  <si>
    <t>MY-SB011-WT-M</t>
  </si>
  <si>
    <t>B0759BPK2K</t>
  </si>
  <si>
    <t>MY-SB011-WT-S</t>
  </si>
  <si>
    <t>MY-SB011-WT-XL</t>
  </si>
  <si>
    <t>MY-SB011JR-BK-L</t>
  </si>
  <si>
    <t>MY-SB011JR-BK-M</t>
  </si>
  <si>
    <t>MY-SB011JR-BK-S</t>
  </si>
  <si>
    <t>MY-SB011JR-BK-XL</t>
  </si>
  <si>
    <t>MY-SB011JR-BL-L</t>
  </si>
  <si>
    <t>MY-SB011JR-BL-M</t>
  </si>
  <si>
    <t>MY-SB011JR-BL-S</t>
  </si>
  <si>
    <t>MY-SB011JR-BL-XL</t>
  </si>
  <si>
    <t>MY-SB011JR-CF-L</t>
  </si>
  <si>
    <t>MY-SB011JR-CF-M</t>
  </si>
  <si>
    <t>MY-SB011JR-CF-S</t>
  </si>
  <si>
    <t>MY-SB011JR-CF-XL</t>
  </si>
  <si>
    <t>MY-SB011JR-DG-L</t>
  </si>
  <si>
    <t>MY-SB011JR-DG-M</t>
  </si>
  <si>
    <t>MY-SB011JR-DG-S</t>
  </si>
  <si>
    <t>MY-SB011JR-DG-XL</t>
  </si>
  <si>
    <t>MY-SB011JR-LG-L</t>
  </si>
  <si>
    <t>MY-SB011JR-LG-M</t>
  </si>
  <si>
    <t>MY-SB011JR-LG-S</t>
  </si>
  <si>
    <t>MY-SB011JR-LG-XL</t>
  </si>
  <si>
    <t>MY-SB011JR-NY-L</t>
  </si>
  <si>
    <t>MY-SB011JR-NY-M</t>
  </si>
  <si>
    <t>MY-SB011JR-NY-S</t>
  </si>
  <si>
    <t>MY-SB011JR-NY-XL</t>
  </si>
  <si>
    <t>MY-SB011JR-PP-L</t>
  </si>
  <si>
    <t>MY-SB011JR-PP-M</t>
  </si>
  <si>
    <t>MY-SB011JR-PP-S</t>
  </si>
  <si>
    <t>MY-SB011JR-PP-XL</t>
  </si>
  <si>
    <t>MY-SB011JR-RD-L</t>
  </si>
  <si>
    <t>MY-SB011JR-RD-M</t>
  </si>
  <si>
    <t>MY-SB011JR-RD-S</t>
  </si>
  <si>
    <t>MY-SB011JR-RD-XL</t>
  </si>
  <si>
    <t>MY-SB013-AG-L</t>
  </si>
  <si>
    <t>B0761KSS9G</t>
  </si>
  <si>
    <t>MY-SB013-AG-XS</t>
  </si>
  <si>
    <t>B0761KJDW7</t>
  </si>
  <si>
    <t>MY-SB013-BO-XS</t>
  </si>
  <si>
    <t>B076186DXC</t>
  </si>
  <si>
    <t>MOCOTONO Men's Turtleneck Long Sleeve Pullover Knit Cotton Sweater Blue Tag Asian L/US XS</t>
  </si>
  <si>
    <t>MY-SB013-DG-L</t>
  </si>
  <si>
    <t>B0761MWRZ9</t>
  </si>
  <si>
    <t>MY-SB013-KK-M</t>
  </si>
  <si>
    <t>B0761GY7GR</t>
  </si>
  <si>
    <t>Men's Turtleneck Long Sleeve Pullover Knit Cotton Sweater Khaki/Brown Tag Asian 2XL/US M</t>
  </si>
  <si>
    <t>MY-SB013-KK-S</t>
  </si>
  <si>
    <t>B0761K51HR</t>
  </si>
  <si>
    <t>MY-SB015-BL-S</t>
  </si>
  <si>
    <t>B076J8NQXH</t>
  </si>
  <si>
    <t>MOCOTONO Men's Crew Neck Long Sleeve Pullover Knit Sweater Blue Small</t>
  </si>
  <si>
    <t>MY-SB015-BL-XL</t>
  </si>
  <si>
    <t>B076J6DPN5</t>
  </si>
  <si>
    <t>MY-SB015-LG-M</t>
  </si>
  <si>
    <t>B076J7PRNW</t>
  </si>
  <si>
    <t>MOCOTONO Men's Crew Neck Long Sleeve Pullover Knit Sweater Light Green Medium</t>
  </si>
  <si>
    <t>MY-SB015-LG-S</t>
  </si>
  <si>
    <t>B076J4WVXC</t>
  </si>
  <si>
    <t>MOCOTONO Men's Crew Neck Long Sleeve Pullover Knit Sweater Light Green Small</t>
  </si>
  <si>
    <t>MY-SB015-LG-XL</t>
  </si>
  <si>
    <t>B076J75677</t>
  </si>
  <si>
    <t>MOCOTONO Men's Crew Neck Long Sleeve Pullover Knit Sweater Light Green X-Large</t>
  </si>
  <si>
    <t>MY-SB015-PP-L</t>
  </si>
  <si>
    <t>B076J72R2D</t>
  </si>
  <si>
    <t>Men's Crew Neck Long Sleeve Pullover Knit Sweater Purple Large</t>
  </si>
  <si>
    <t>MY-SB015-PP-M</t>
  </si>
  <si>
    <t>B076J8LC7Q</t>
  </si>
  <si>
    <t>Men's Crew Neck Long Sleeve Pullover Knit Sweater Purple Medium</t>
  </si>
  <si>
    <t>MY-SB015-PP-XL</t>
  </si>
  <si>
    <t>B076J75C78</t>
  </si>
  <si>
    <t>MOCOTONO Men's Crew Neck Long Sleeve Pullover Knit Sweater Purple X-Large</t>
  </si>
  <si>
    <t>MY-SB015-WR-L</t>
  </si>
  <si>
    <t>B076J68QZT</t>
  </si>
  <si>
    <t>MOCOTONO Men's Crew Neck Long Sleeve Pullover Knit Sweater Maroon (Wine Red) Large</t>
  </si>
  <si>
    <t>MY-SB015-WR-S</t>
  </si>
  <si>
    <t>B076J6991H</t>
  </si>
  <si>
    <t>Men's Crew Neck Long Sleeve Pullover Knit Sweater Maroon (Wine Red) Small</t>
  </si>
  <si>
    <t>MY-SB015-WR-XL</t>
  </si>
  <si>
    <t>B076J8YS3F</t>
  </si>
  <si>
    <t>MOCOTONO Men's Crew Neck Long Sleeve Pullover Knit Sweater Maroon (Wine Red) X-Large</t>
  </si>
  <si>
    <t>MY-SB018-BK-M</t>
  </si>
  <si>
    <t>MY-SB018-BK-XL</t>
  </si>
  <si>
    <t>MY-SB018-DG-M</t>
  </si>
  <si>
    <t>MY-SB018-DG-XL</t>
  </si>
  <si>
    <t>MY-SB018-LG-L</t>
  </si>
  <si>
    <t>MY-SB018-LG-M</t>
  </si>
  <si>
    <t>MY-SB018-LG-S</t>
  </si>
  <si>
    <t>MY-SB018-LG-XL</t>
  </si>
  <si>
    <t>MY-SB018-NY-L</t>
  </si>
  <si>
    <t>MY-SB018-NY-M</t>
  </si>
  <si>
    <t>MY-SB018-RD-L</t>
  </si>
  <si>
    <t>MY-SB018-RD-M</t>
  </si>
  <si>
    <t>MY-SB018-RD-S</t>
  </si>
  <si>
    <t>MY-SB018-RD-XL</t>
  </si>
  <si>
    <t>MY-SB019-BK-L</t>
  </si>
  <si>
    <t>MY-SB019-BK-M</t>
  </si>
  <si>
    <t>MY-SB019-BK-S</t>
  </si>
  <si>
    <t>MY-SB019-BK-XL</t>
  </si>
  <si>
    <t>MY-SB019-BL-L</t>
  </si>
  <si>
    <t>MY-SB019-BL-M</t>
  </si>
  <si>
    <t>MY-SB019-BL-S</t>
  </si>
  <si>
    <t>MY-SB019-BL-XL</t>
  </si>
  <si>
    <t>MY-SB019-DG-L</t>
  </si>
  <si>
    <t>MY-SB019-DG-M</t>
  </si>
  <si>
    <t>MY-SB019-DG-S</t>
  </si>
  <si>
    <t>MY-SB019-DG-XL</t>
  </si>
  <si>
    <t>MY-SB019-LG-L</t>
  </si>
  <si>
    <t>MY-SB019-LG-M</t>
  </si>
  <si>
    <t>MY-SB019-LG-S</t>
  </si>
  <si>
    <t>MY-SB019-LG-XL</t>
  </si>
  <si>
    <t>MY-SB019-RD-L</t>
  </si>
  <si>
    <t>MY-SB019-RD-M</t>
  </si>
  <si>
    <t>MY-SB019-RD-S</t>
  </si>
  <si>
    <t>MY-SB019-RD-XL</t>
  </si>
  <si>
    <t>MY-SB020-BK-L</t>
  </si>
  <si>
    <t>MY-SB020-BK-M</t>
  </si>
  <si>
    <t>MY-SB020-BK-S</t>
  </si>
  <si>
    <t>MY-SB020-BK-XL</t>
  </si>
  <si>
    <t>MY-SB020-BL-XL</t>
  </si>
  <si>
    <t>MY-SB020-DG-L</t>
  </si>
  <si>
    <t>MY-SB020-DG-M</t>
  </si>
  <si>
    <t>MY-SB020-DG-XL</t>
  </si>
  <si>
    <t>MY-SB020-NY-XL</t>
  </si>
  <si>
    <t>B07C4RDLSK</t>
  </si>
  <si>
    <t>MOCOTONO Men's Long Sleeve Crew Neck Pullover Knit Sweater Navy X-Large</t>
  </si>
  <si>
    <t>MY-SB021-BK-S</t>
  </si>
  <si>
    <t>B07C4Y6YRQ</t>
  </si>
  <si>
    <t>MOCOTONO Men's V-Neck Long Sleeve Pullover Casual Sweater Black Small</t>
  </si>
  <si>
    <t>MY-SB021-BL-M</t>
  </si>
  <si>
    <t>B07C4GBN6N</t>
  </si>
  <si>
    <t>MOCOTONO Men's V-Neck Long Sleeve Regular Fit Pullover Casual Sweater Blue Medium Blue Medium</t>
  </si>
  <si>
    <t>MY-SB021-GR-XL</t>
  </si>
  <si>
    <t>B078WJNZ4T</t>
  </si>
  <si>
    <t>MY-SB021-KK-M</t>
  </si>
  <si>
    <t>B07C4PRQ85</t>
  </si>
  <si>
    <t>MOCOTONO Men's V-Neck Long Sleeve Pullover Casual Sweater Khaki Medium</t>
  </si>
  <si>
    <t>MY-SB021-LB-L</t>
  </si>
  <si>
    <t>B07C4WBNZJ</t>
  </si>
  <si>
    <t>MOCOTONO Men's V-Neck Long Sleeve Pullover Casual Sweater Light Blue Large</t>
  </si>
  <si>
    <t>MY-SB026-BK-L</t>
  </si>
  <si>
    <t>MY-SB026-BK-M</t>
  </si>
  <si>
    <t>MY-SB026-BK-S</t>
  </si>
  <si>
    <t>MY-SB026-BK-XL</t>
  </si>
  <si>
    <t>MY-SB026-DG-L</t>
  </si>
  <si>
    <t>MY-SB026-DG-M</t>
  </si>
  <si>
    <t>MY-SB026-DG-S</t>
  </si>
  <si>
    <t>MY-SB026-DG-XL</t>
  </si>
  <si>
    <t>MY-SB026-GN-L</t>
  </si>
  <si>
    <t>MY-SB026-GN-S</t>
  </si>
  <si>
    <t>MY-SB026-KK-S</t>
  </si>
  <si>
    <t>MY-SB026-KK-XL</t>
  </si>
  <si>
    <t>MY-SB026-LG-L</t>
  </si>
  <si>
    <t>MY-SB026-LG-M</t>
  </si>
  <si>
    <t>MY-SB026-LG-S</t>
  </si>
  <si>
    <t>MY-SB026-LG-XL</t>
  </si>
  <si>
    <t>MY-SB026-NY-L</t>
  </si>
  <si>
    <t>MY-SB026-NY-M</t>
  </si>
  <si>
    <t>MY-SB026-NY-S</t>
  </si>
  <si>
    <t>MY-SB026-NY-XL</t>
  </si>
  <si>
    <t>MY-SB026-RD-L</t>
  </si>
  <si>
    <t>MY-SB026-RD-M</t>
  </si>
  <si>
    <t>MY-SB026-RD-S</t>
  </si>
  <si>
    <t>MY-SB026-RD-XL</t>
  </si>
  <si>
    <t>MY-SB027-BK-L</t>
  </si>
  <si>
    <t>MY-SB027-BK-M</t>
  </si>
  <si>
    <t>MY-SB027-BK-S</t>
  </si>
  <si>
    <t>MY-SB027-BK-XL</t>
  </si>
  <si>
    <t>MY-SB027-BL-L</t>
  </si>
  <si>
    <t>MY-SB027-BL-M</t>
  </si>
  <si>
    <t>MY-SB027-BL-S</t>
  </si>
  <si>
    <t>MY-SB027-BL-XL</t>
  </si>
  <si>
    <t>MY-SB027-DG-L</t>
  </si>
  <si>
    <t>MY-SB027-DG-M</t>
  </si>
  <si>
    <t>MY-SB027-DG-S</t>
  </si>
  <si>
    <t>MY-SB027-DG-XL</t>
  </si>
  <si>
    <t>MY-SB027-GN-L</t>
  </si>
  <si>
    <t>MY-SB027-GN-M</t>
  </si>
  <si>
    <t>MY-SB027-GN-S</t>
  </si>
  <si>
    <t>MY-SB027-GN-XL</t>
  </si>
  <si>
    <t>MY-SB027-KK-L</t>
  </si>
  <si>
    <t>MY-SB027-KK-M</t>
  </si>
  <si>
    <t>MY-SB027-KK-S</t>
  </si>
  <si>
    <t>MY-SB027-KK-XL</t>
  </si>
  <si>
    <t>MY-SB027-LG-L</t>
  </si>
  <si>
    <t>MY-SB027-LG-M</t>
  </si>
  <si>
    <t>MY-SB027-LG-S</t>
  </si>
  <si>
    <t>MY-SB027-LG-XL</t>
  </si>
  <si>
    <t>MY-SB027-NY-L</t>
  </si>
  <si>
    <t>MY-SB027-NY-M</t>
  </si>
  <si>
    <t>MY-SB027-NY-S</t>
  </si>
  <si>
    <t>MY-SB027-NY-XL</t>
  </si>
  <si>
    <t>MY-SBPoint021-BK-L</t>
  </si>
  <si>
    <t>X001SW0627</t>
  </si>
  <si>
    <t>MY-SBPoint021-BK-M</t>
  </si>
  <si>
    <t>X001SW06RH</t>
  </si>
  <si>
    <t>MY-SBPoint021-BK-S</t>
  </si>
  <si>
    <t>X001SV49PX</t>
  </si>
  <si>
    <t>MY-SBPoint021-BK-XL</t>
  </si>
  <si>
    <t>X001SW2MF1</t>
  </si>
  <si>
    <t>MY-SBPoint021-BL-L</t>
  </si>
  <si>
    <t>X001SW2ME7</t>
  </si>
  <si>
    <t>MY-SBPoint021-BL-M</t>
  </si>
  <si>
    <t>X001SVUG69</t>
  </si>
  <si>
    <t>MY-SBPoint021-BL-S</t>
  </si>
  <si>
    <t>X001SVULX7</t>
  </si>
  <si>
    <t>MY-SBPoint021-BL-XL</t>
  </si>
  <si>
    <t>X001SW06QX</t>
  </si>
  <si>
    <t>MY-SBPoint021-DG-L</t>
  </si>
  <si>
    <t>X001SVULWX</t>
  </si>
  <si>
    <t>MY-SBPoint021-DG-M</t>
  </si>
  <si>
    <t>X001SW061N</t>
  </si>
  <si>
    <t>MY-SBPoint021-DG-S</t>
  </si>
  <si>
    <t>X001SV49PD</t>
  </si>
  <si>
    <t>MY-SBPoint021-DG-XL</t>
  </si>
  <si>
    <t>X001SV95I9</t>
  </si>
  <si>
    <t>MY-SBPoint021-GN-L</t>
  </si>
  <si>
    <t>X001SW06H7</t>
  </si>
  <si>
    <t>MY-SBPoint021-GN-M</t>
  </si>
  <si>
    <t>X001SW2MFL</t>
  </si>
  <si>
    <t>MY-SBPoint021-GN-S</t>
  </si>
  <si>
    <t>X001SVZQ73</t>
  </si>
  <si>
    <t>MY-SBPoint021-GN-XL</t>
  </si>
  <si>
    <t>X001SVULEV</t>
  </si>
  <si>
    <t>MY-SBPoint021-GR-L</t>
  </si>
  <si>
    <t>X001SVULPF</t>
  </si>
  <si>
    <t>MY-SBPoint021-GR-M</t>
  </si>
  <si>
    <t>X001SVULT1</t>
  </si>
  <si>
    <t>MY-SBPoint021-GR-S</t>
  </si>
  <si>
    <t>X001SW2MEH</t>
  </si>
  <si>
    <t>MY-SBPoint021-GR-XL</t>
  </si>
  <si>
    <t>X001SV3WFV</t>
  </si>
  <si>
    <t>MY-SBPoint021-KK-L</t>
  </si>
  <si>
    <t>X001SVUG5Z</t>
  </si>
  <si>
    <t>MY-SBPoint021-KK-M</t>
  </si>
  <si>
    <t>X001SW06S1</t>
  </si>
  <si>
    <t>MY-SBPoint021-KK-S</t>
  </si>
  <si>
    <t>X001SW06GX</t>
  </si>
  <si>
    <t>MY-SBPoint021-KK-XL</t>
  </si>
  <si>
    <t>X001SVULEL</t>
  </si>
  <si>
    <t>MY-SBPoint021-LB-L</t>
  </si>
  <si>
    <t>X001SVULFF</t>
  </si>
  <si>
    <t>MY-SBPoint021-LB-M</t>
  </si>
  <si>
    <t>X001SV9VOR</t>
  </si>
  <si>
    <t>MY-SBPoint021-LB-S</t>
  </si>
  <si>
    <t>X001SVBFDH</t>
  </si>
  <si>
    <t>MY-SBPoint021-LB-XL</t>
  </si>
  <si>
    <t>X001SVULXR</t>
  </si>
  <si>
    <t>MY-SBPoint021-NY-L</t>
  </si>
  <si>
    <t>X001SV95HZ</t>
  </si>
  <si>
    <t>MY-SBPoint021-NY-M</t>
  </si>
  <si>
    <t>X001SV95HP</t>
  </si>
  <si>
    <t>MY-SBPoint021-NY-S</t>
  </si>
  <si>
    <t>X001SW06RR</t>
  </si>
  <si>
    <t>MY-SBPoint021-NY-XL</t>
  </si>
  <si>
    <t>X001SW2MFV</t>
  </si>
  <si>
    <t>MY-SBPoint021-OR-L</t>
  </si>
  <si>
    <t>X001SV93P9</t>
  </si>
  <si>
    <t>MOCOTONO Men's V-Neck Long Sleeve Pullover Casual Sweater Orange Large</t>
  </si>
  <si>
    <t>MY-SBPoint021-OR-M</t>
  </si>
  <si>
    <t>X001SV9VPB</t>
  </si>
  <si>
    <t>MOCOTONO Men's V-Neck Long Sleeve Pullover Casual Sweater Orange Medium</t>
  </si>
  <si>
    <t>MY-SBPoint021-OR-S</t>
  </si>
  <si>
    <t>X001SW06QN</t>
  </si>
  <si>
    <t>MY-SBPoint021-OR-XL</t>
  </si>
  <si>
    <t>X001SW2MFB</t>
  </si>
  <si>
    <t>MOCOTONO Men's V-Neck Long Sleeve Pullover Casual Sweater Orange X-Large</t>
  </si>
  <si>
    <t>MY-SBPoint021-WR-L</t>
  </si>
  <si>
    <t>X001SVULPP</t>
  </si>
  <si>
    <t>MY-SBPoint021-WR-M</t>
  </si>
  <si>
    <t>X001SW2MER</t>
  </si>
  <si>
    <t>MY-SBPoint021-WR-S</t>
  </si>
  <si>
    <t>X001SVULQT</t>
  </si>
  <si>
    <t>MY-SBPoint021-WR-XL</t>
  </si>
  <si>
    <t>X001SVULQ9</t>
  </si>
  <si>
    <t>MY-SBPoint021-WT-L</t>
  </si>
  <si>
    <t>X001SW2MDX</t>
  </si>
  <si>
    <t>MY-SBPoint021-WT-M</t>
  </si>
  <si>
    <t>X001SVULF5</t>
  </si>
  <si>
    <t>MY-SBPoint021-WT-S</t>
  </si>
  <si>
    <t>X001SVBBLX</t>
  </si>
  <si>
    <t>MY-SBPoint021-WT-XL</t>
  </si>
  <si>
    <t>X001SVULFP</t>
  </si>
  <si>
    <t>MY-SBRound020-BK-L</t>
  </si>
  <si>
    <t>X001SW06QD</t>
  </si>
  <si>
    <t>MY-SBRound020-BK-M</t>
  </si>
  <si>
    <t>X001SVUG6T</t>
  </si>
  <si>
    <t>MY-SBRound020-BK-S</t>
  </si>
  <si>
    <t>X001SVULPZ</t>
  </si>
  <si>
    <t>MY-SBRound020-BK-XL</t>
  </si>
  <si>
    <t>X001SV9VO7</t>
  </si>
  <si>
    <t>MY-SBRound020-BL-L</t>
  </si>
  <si>
    <t>X001SVULSR</t>
  </si>
  <si>
    <t>MY-SBRound020-BL-M</t>
  </si>
  <si>
    <t>X001SV3WFB</t>
  </si>
  <si>
    <t>MY-SBRound020-BL-S</t>
  </si>
  <si>
    <t>X001SVULTB</t>
  </si>
  <si>
    <t>MY-SBRound020-BL-XL</t>
  </si>
  <si>
    <t>X001SVZQ7D</t>
  </si>
  <si>
    <t>MY-SBRound020-DG-L</t>
  </si>
  <si>
    <t>X001SVUG73</t>
  </si>
  <si>
    <t>MY-SBRound020-DG-M</t>
  </si>
  <si>
    <t>X001SVUG6J</t>
  </si>
  <si>
    <t>MY-SBRound020-DG-S</t>
  </si>
  <si>
    <t>X001SW062H</t>
  </si>
  <si>
    <t>MY-SBRound020-DG-XL</t>
  </si>
  <si>
    <t>X001SV45S9</t>
  </si>
  <si>
    <t>MY-SBRound020-GN-L</t>
  </si>
  <si>
    <t>X001SVBBM7</t>
  </si>
  <si>
    <t>MY-SBRound020-GN-M</t>
  </si>
  <si>
    <t>X001SV3WFL</t>
  </si>
  <si>
    <t>MY-SBRound020-GN-S</t>
  </si>
  <si>
    <t>X001SV3WG5</t>
  </si>
  <si>
    <t>MY-SBRound020-GN-XL</t>
  </si>
  <si>
    <t>X001SW061X</t>
  </si>
  <si>
    <t>MY-SBRound020-GR-L</t>
  </si>
  <si>
    <t>X001SVULY1</t>
  </si>
  <si>
    <t>MY-SBRound020-GR-M</t>
  </si>
  <si>
    <t>X001SV45RZ</t>
  </si>
  <si>
    <t>MY-SBRound020-GR-S</t>
  </si>
  <si>
    <t>X001SW06HH</t>
  </si>
  <si>
    <t>MY-SBRound020-GR-XL</t>
  </si>
  <si>
    <t>X001SV3MWJ</t>
  </si>
  <si>
    <t>MY-SBRound020-KK-L</t>
  </si>
  <si>
    <t>X001SVUGLJ</t>
  </si>
  <si>
    <t>MY-SBRound020-KK-M</t>
  </si>
  <si>
    <t>X001SVULTL</t>
  </si>
  <si>
    <t>MY-SBRound020-KK-S</t>
  </si>
  <si>
    <t>X001SVULXH</t>
  </si>
  <si>
    <t>MY-SBRound020-KK-XL</t>
  </si>
  <si>
    <t>X001SV93OP</t>
  </si>
  <si>
    <t>MY-SBRound020-LB-L</t>
  </si>
  <si>
    <t>X001SVBBLN</t>
  </si>
  <si>
    <t>MY-SBRound020-LB-M</t>
  </si>
  <si>
    <t>X001SV9VNX</t>
  </si>
  <si>
    <t>MY-SBRound020-LB-S</t>
  </si>
  <si>
    <t>X001SVULYB</t>
  </si>
  <si>
    <t>MY-SBRound020-LB-XL</t>
  </si>
  <si>
    <t>X001SVZQ6T</t>
  </si>
  <si>
    <t>MY-SBRound020-NY-L</t>
  </si>
  <si>
    <t>X001SV3MWT</t>
  </si>
  <si>
    <t>MY-SBRound020-NY-M</t>
  </si>
  <si>
    <t>X001SV9VP1</t>
  </si>
  <si>
    <t>MY-SBRound020-NY-S</t>
  </si>
  <si>
    <t>X001SVULQJ</t>
  </si>
  <si>
    <t>MY-SBRound020-NY-XL</t>
  </si>
  <si>
    <t>X001SW06R7</t>
  </si>
  <si>
    <t>MY-SBRound020-OR-L</t>
  </si>
  <si>
    <t>X001SV49PN</t>
  </si>
  <si>
    <t>MY-SBRound020-OR-M</t>
  </si>
  <si>
    <t>X001SV3MX3</t>
  </si>
  <si>
    <t>MY-SBRound020-OR-S</t>
  </si>
  <si>
    <t>X001SW06IB</t>
  </si>
  <si>
    <t>MY-SBRound020-OR-XL</t>
  </si>
  <si>
    <t>X001SVZPMJ</t>
  </si>
  <si>
    <t>MY-SBRound020-WR-L</t>
  </si>
  <si>
    <t>X001SW06HR</t>
  </si>
  <si>
    <t>MY-SBRound020-WR-M</t>
  </si>
  <si>
    <t>X001SW06GN</t>
  </si>
  <si>
    <t>MY-SBRound020-WR-S</t>
  </si>
  <si>
    <t>X001SVULSH</t>
  </si>
  <si>
    <t>MY-SBRound020-WR-XL</t>
  </si>
  <si>
    <t>X001SV9VOH</t>
  </si>
  <si>
    <t>MY-SBRound020-WT-L</t>
  </si>
  <si>
    <t>X001SV93OZ</t>
  </si>
  <si>
    <t>MY-SBRound020-WT-M</t>
  </si>
  <si>
    <t>X001SW06I1</t>
  </si>
  <si>
    <t>MY-SBRound020-WT-S</t>
  </si>
  <si>
    <t>X001SV95IJ</t>
  </si>
  <si>
    <t>MY-SBRound020-WT-XL</t>
  </si>
  <si>
    <t>X001SV49IF</t>
  </si>
  <si>
    <t>POLO-1503-BK-2XL</t>
  </si>
  <si>
    <t>B0788JMBWN</t>
  </si>
  <si>
    <t>POLO-1503-BK-L</t>
  </si>
  <si>
    <t>B0788K43ZX</t>
  </si>
  <si>
    <t>POLO-1503-BK-M</t>
  </si>
  <si>
    <t>B0788L5FHK</t>
  </si>
  <si>
    <t>POLO-1503-BK-S</t>
  </si>
  <si>
    <t>B0788MSNZ9</t>
  </si>
  <si>
    <t>POLO-1503-BK-XL</t>
  </si>
  <si>
    <t>B0788M9Z9R</t>
  </si>
  <si>
    <t>MOCOTONO Men's Long Sleeve Casual Collared Polo Shirt Top Black XL</t>
  </si>
  <si>
    <t>POLO-1503-GR-2XL</t>
  </si>
  <si>
    <t>B0788K4417</t>
  </si>
  <si>
    <t>POLO-1503-GR-L</t>
  </si>
  <si>
    <t>B0788JGZ5J</t>
  </si>
  <si>
    <t>POLO-1503-GR-M</t>
  </si>
  <si>
    <t>B0788LXZHN</t>
  </si>
  <si>
    <t>POLO-1503-GR-S</t>
  </si>
  <si>
    <t>B0788KFZ7Y</t>
  </si>
  <si>
    <t>POLO-1503-GR-XL</t>
  </si>
  <si>
    <t>B0788KZ4NT</t>
  </si>
  <si>
    <t>POLO-1503-NY-2XL</t>
  </si>
  <si>
    <t>B078HXK3S1</t>
  </si>
  <si>
    <t>MOCOTONO Men's Long Sleeve Casual Collared Polo Shirt Top Navy Blue XXL</t>
  </si>
  <si>
    <t>POLO-1503-NY-L</t>
  </si>
  <si>
    <t>B078HS362X</t>
  </si>
  <si>
    <t>MOCOTONO Men's Long Sleeve Casual Collared Polo Shirt Top Navy Blue L</t>
  </si>
  <si>
    <t>POLO-1503-NY-M</t>
  </si>
  <si>
    <t>B078HZDBW2</t>
  </si>
  <si>
    <t>MOCOTONO Men's Long Sleeve Casual Collared Polo Shirt Top Navy Blue M</t>
  </si>
  <si>
    <t>POLO-1503-NY-S</t>
  </si>
  <si>
    <t>B078HZ3731</t>
  </si>
  <si>
    <t>MOCOTONO Men's Long Sleeve Casual Collared Polo Shirt Top Navy Blue S</t>
  </si>
  <si>
    <t>POLO-1503-NY-XL</t>
  </si>
  <si>
    <t>B078J1S9YQ</t>
  </si>
  <si>
    <t>MOCOTONO Men's Long Sleeve Casual Collared Polo Shirt Top Navy Blue XL</t>
  </si>
  <si>
    <t>POLO-1503-RD-2XL</t>
  </si>
  <si>
    <t>B0788QHJLM</t>
  </si>
  <si>
    <t>POLO-1503-RD-L</t>
  </si>
  <si>
    <t>B0788KNNJ7</t>
  </si>
  <si>
    <t>POLO-1503-RD-M</t>
  </si>
  <si>
    <t>B0788LK2N3</t>
  </si>
  <si>
    <t>POLO-1503-RD-S</t>
  </si>
  <si>
    <t>B0788MQ753</t>
  </si>
  <si>
    <t>POLO-1503-RD-XL</t>
  </si>
  <si>
    <t>B0788L4FX6</t>
  </si>
  <si>
    <t>POLO-1503-WT-2XL</t>
  </si>
  <si>
    <t>B0788MSRBP</t>
  </si>
  <si>
    <t>POLO-1503-WT-L</t>
  </si>
  <si>
    <t>B0788GKNWC</t>
  </si>
  <si>
    <t>POLO-1503-WT-M</t>
  </si>
  <si>
    <t>B0788N79K3</t>
  </si>
  <si>
    <t>POLO-1503-WT-S</t>
  </si>
  <si>
    <t>B0788NZKVF</t>
  </si>
  <si>
    <t>POLO-1503-WT-XL</t>
  </si>
  <si>
    <t>B0788LHPGK</t>
  </si>
  <si>
    <t>POLO-SB014-BK-L</t>
  </si>
  <si>
    <t>B076DM4SWY</t>
  </si>
  <si>
    <t>MOCOTONO Men's Long Sleeve Casual Golf Polo Shirt Black Large</t>
  </si>
  <si>
    <t>POLO-SB014-BK-M</t>
  </si>
  <si>
    <t>B076CW4H4L</t>
  </si>
  <si>
    <t>MOCOTONO Men's Long Sleeve Casual Golf Polo Shirt Black Medium</t>
  </si>
  <si>
    <t>POLO-SB014-BK-S</t>
  </si>
  <si>
    <t>B076DK4G2Q</t>
  </si>
  <si>
    <t>MOCOTONO Men's Long Sleeve Casual Golf Polo Shirt Black Small</t>
  </si>
  <si>
    <t>POLO-SB014-BK-XL</t>
  </si>
  <si>
    <t>B076D3C3YM</t>
  </si>
  <si>
    <t>POLO-SB014-GN-L</t>
  </si>
  <si>
    <t>B076DK458M</t>
  </si>
  <si>
    <t>MOCOTONO Men's Long Sleeve Casual Golf Polo Shirt Green Medium</t>
  </si>
  <si>
    <t>POLO-SB014-GN-M</t>
  </si>
  <si>
    <t>B076D1NFQ1</t>
  </si>
  <si>
    <t>POLO-SB014-GN-S</t>
  </si>
  <si>
    <t>B076CX8TL2</t>
  </si>
  <si>
    <t>MOCOTONO Men's Long Sleeve Casual Golf Polo Shirt Green Small</t>
  </si>
  <si>
    <t>POLO-SB014-GN-XL</t>
  </si>
  <si>
    <t>B076DF9XV2</t>
  </si>
  <si>
    <t>MOCOTONO Men's Long Sleeve Casual Golf Polo Shirt Green Large</t>
  </si>
  <si>
    <t>POLO-SB014-GR-L</t>
  </si>
  <si>
    <t>B076D242XK</t>
  </si>
  <si>
    <t>MOCOTONO Men's Long Sleeve Casual Golf Polo Shirt Grey Large</t>
  </si>
  <si>
    <t>POLO-SB014-GR-M</t>
  </si>
  <si>
    <t>B076CZ1K61</t>
  </si>
  <si>
    <t>MOCOTONO Men's Long Sleeve Casual Golf Polo Shirt Grey Medium</t>
  </si>
  <si>
    <t>POLO-SB014-GR-S</t>
  </si>
  <si>
    <t>B076D2YGFS</t>
  </si>
  <si>
    <t>MOCOTONO Men's Long Sleeve Casual Golf Polo Shirt Grey Small</t>
  </si>
  <si>
    <t>POLO-SB014-GR-XL</t>
  </si>
  <si>
    <t>B076D158MN</t>
  </si>
  <si>
    <t>POLO-SB014-NY-L</t>
  </si>
  <si>
    <t>B076D13MD3</t>
  </si>
  <si>
    <t>Mocotono Men's Long Sleeve Casual Golf Polo Shirt Navy Blue Large</t>
  </si>
  <si>
    <t>POLO-SB014-NY-M</t>
  </si>
  <si>
    <t>B076DMLG4Y</t>
  </si>
  <si>
    <t>MOCOTONO Men's Long Sleeve Casual Golf Polo Shirt Navy Blue Small</t>
  </si>
  <si>
    <t>POLO-SB014-NY-S</t>
  </si>
  <si>
    <t>B076CZ1HNN</t>
  </si>
  <si>
    <t>POLO-SB014-RD-L</t>
  </si>
  <si>
    <t>B076D1RPF1</t>
  </si>
  <si>
    <t>MOCOTONO Men's Long Sleeve Casual Golf Polo Shirt Red (Maroon) Medium</t>
  </si>
  <si>
    <t>POLO-SB014-RD-M</t>
  </si>
  <si>
    <t>B076DCMMN5</t>
  </si>
  <si>
    <t>POLO-SB014-RD-S</t>
  </si>
  <si>
    <t>B076DGZV76</t>
  </si>
  <si>
    <t>MOCOTONO Men's Long Sleeve Casual Golf Polo Shirt Red (Maroon) Small</t>
  </si>
  <si>
    <t>POLO-SB014-RD-XL</t>
  </si>
  <si>
    <t>B076CYPXY8</t>
  </si>
  <si>
    <t>MOCOTONO Men's Long Sleeve Casual Golf Polo Shirt Red (Maroon) Large</t>
  </si>
  <si>
    <t>POLO-SB014-YL-L</t>
  </si>
  <si>
    <t>B076D4JLH8</t>
  </si>
  <si>
    <t>MOCOTONO Men's Long Sleeve Casual Golf Polo Shirt Yellow (Brown) Medium</t>
  </si>
  <si>
    <t>POLO-SB014-YL-M</t>
  </si>
  <si>
    <t>B076D38VYN</t>
  </si>
  <si>
    <t>POLO-SB014-YL-S</t>
  </si>
  <si>
    <t>B076D4JLHB</t>
  </si>
  <si>
    <t>MOCOTONO Men's Long Sleeve Casual Golf Polo Shirt Yellow (Brown) Small</t>
  </si>
  <si>
    <t>POLO-SB014-YL-XL</t>
  </si>
  <si>
    <t>B076D4JCLQ</t>
  </si>
  <si>
    <t>MOCOTONO Men's Long Sleeve Casual Golf Polo Shirt Yellow (Brown) X-Large</t>
  </si>
  <si>
    <t>POLO-SB1503-BK-2XL</t>
  </si>
  <si>
    <t>X001T1TA7J</t>
  </si>
  <si>
    <t>MOCOTONO Men's Long Sleeve Casual Collared Polo Shirt Top Black XXL</t>
  </si>
  <si>
    <t>POLO-SB1503-BK-L</t>
  </si>
  <si>
    <t>X001T33YAB</t>
  </si>
  <si>
    <t>MOCOTONO Men's Long Sleeve Casual Collared Polo Shirt Top Black L</t>
  </si>
  <si>
    <t>POLO-SB1503-BK-M</t>
  </si>
  <si>
    <t>X001T2R62T</t>
  </si>
  <si>
    <t>MOCOTONO Men's Long Sleeve Casual Collared Polo Shirt Top Black M</t>
  </si>
  <si>
    <t>POLO-SB1503-BK-S</t>
  </si>
  <si>
    <t>X001T34Z1D</t>
  </si>
  <si>
    <t>MOCOTONO Men's Long Sleeve Casual Collared Polo Shirt Top Black S</t>
  </si>
  <si>
    <t>POLO-SB1503-BK-XL</t>
  </si>
  <si>
    <t>X001T23MTP</t>
  </si>
  <si>
    <t>POLO-SB1503-GR-2XL</t>
  </si>
  <si>
    <t>X001T248RP</t>
  </si>
  <si>
    <t>MOCOTONO Men's Long Sleeve Casual Collared Polo Shirt Top Grey XXL</t>
  </si>
  <si>
    <t>POLO-SB1503-GR-L</t>
  </si>
  <si>
    <t>X001T1N9IF</t>
  </si>
  <si>
    <t>MOCOTONO Men's Long Sleeve Casual Collared Polo Shirt Top Grey L</t>
  </si>
  <si>
    <t>POLO-SB1503-GR-M</t>
  </si>
  <si>
    <t>X001T248RZ</t>
  </si>
  <si>
    <t>MOCOTONO Men's Long Sleeve Casual Collared Polo Shirt Top Grey M</t>
  </si>
  <si>
    <t>POLO-SB1503-GR-S</t>
  </si>
  <si>
    <t>X001T2WSY5</t>
  </si>
  <si>
    <t>MOCOTONO Men's Long Sleeve Casual Collared Polo Shirt Top Grey S</t>
  </si>
  <si>
    <t>POLO-SB1503-GR-XL</t>
  </si>
  <si>
    <t>X001T23QVJ</t>
  </si>
  <si>
    <t>MOCOTONO Men's Long Sleeve Casual Collared Polo Shirt Top Grey XL</t>
  </si>
  <si>
    <t>POLO-SB1503-NY-2XL</t>
  </si>
  <si>
    <t>X001T248S9</t>
  </si>
  <si>
    <t>POLO-SB1503-NY-L</t>
  </si>
  <si>
    <t>X001T328K3</t>
  </si>
  <si>
    <t>POLO-SB1503-NY-M</t>
  </si>
  <si>
    <t>X001T3DL6X</t>
  </si>
  <si>
    <t>B0728K5VXT</t>
  </si>
  <si>
    <t>POLO-SB1503-NY-S</t>
  </si>
  <si>
    <t>X001T23QVT</t>
  </si>
  <si>
    <t>POLO-SB1503-NY-XL</t>
  </si>
  <si>
    <t>X001T1N9IP</t>
  </si>
  <si>
    <t>POLO-SB1503-RD-2XL</t>
  </si>
  <si>
    <t>X001T1N9I5</t>
  </si>
  <si>
    <t>MOCOTONO Men's Long Sleeve Casual Collared Polo Shirt Top Red XXL</t>
  </si>
  <si>
    <t>POLO-SB1503-RD-L</t>
  </si>
  <si>
    <t>X001T328JT</t>
  </si>
  <si>
    <t>MOCOTONO Men's Long Sleeve Casual Collared Polo Shirt Top Red L</t>
  </si>
  <si>
    <t>POLO-SB1503-RD-M</t>
  </si>
  <si>
    <t>X001T328JJ</t>
  </si>
  <si>
    <t>MOCOTONO Men's Long Sleeve Casual Collared Polo Shirt Top Red M</t>
  </si>
  <si>
    <t>POLO-SB1503-RD-S</t>
  </si>
  <si>
    <t>X001T34Z1N</t>
  </si>
  <si>
    <t>MOCOTONO Men's Long Sleeve Casual Collared Polo Shirt Top Red S</t>
  </si>
  <si>
    <t>POLO-SB1503-RD-XL</t>
  </si>
  <si>
    <t>X001T23MTZ</t>
  </si>
  <si>
    <t>MOCOTONO Men's Long Sleeve Casual Collared Polo Shirt Top Red XL</t>
  </si>
  <si>
    <t>POLO-SB1503-WT-2XL</t>
  </si>
  <si>
    <t>X001T1TA79</t>
  </si>
  <si>
    <t>MOCOTONO Men's Long Sleeve Casual Collared Polo Shirt Top White XXL</t>
  </si>
  <si>
    <t>POLO-SB1503-WT-L</t>
  </si>
  <si>
    <t>X001T23QWD</t>
  </si>
  <si>
    <t>MOCOTONO Men's Long Sleeve Casual Collared Polo Shirt Top White L</t>
  </si>
  <si>
    <t>POLO-SB1503-WT-M</t>
  </si>
  <si>
    <t>X001T248RF</t>
  </si>
  <si>
    <t>MOCOTONO Men's Long Sleeve Casual Collared Polo Shirt Top White M</t>
  </si>
  <si>
    <t>POLO-SB1503-WT-S</t>
  </si>
  <si>
    <t>X001T23QW3</t>
  </si>
  <si>
    <t>MOCOTONO Men's Long Sleeve Casual Collared Polo Shirt Top White S</t>
  </si>
  <si>
    <t>POLO-SB1503-WT-XL</t>
  </si>
  <si>
    <t>X001T1NA3J</t>
  </si>
  <si>
    <t>MOCOTONO Men's Long Sleeve Casual Collared Polo Shirt Top White XL</t>
  </si>
  <si>
    <t>SB-YL001-DWA30</t>
  </si>
  <si>
    <t>B0776WGGWD</t>
  </si>
  <si>
    <t>All Metal Spinning Fish Reel Double Bearing Structure 13+1 for Freshwater Saltwater Silver 3000</t>
  </si>
  <si>
    <t>SB-YL001-DWA40</t>
  </si>
  <si>
    <t>B0776SLHLT</t>
  </si>
  <si>
    <t>All Metal Spinning Fish Reel Double Bearing Structure 13+1 for Freshwater Saltwater Silver 4000</t>
  </si>
  <si>
    <t>SB-YL001-DWA50</t>
  </si>
  <si>
    <t>B0776VP9PY</t>
  </si>
  <si>
    <t>TiaNara All Metal Spinning Fish Reel Double Bearing Structure 13+1 for Freshwater Saltwater Silver 5000</t>
  </si>
  <si>
    <t>SB-YL001-DWA60</t>
  </si>
  <si>
    <t>B0776VRGDC</t>
  </si>
  <si>
    <t>TiaNara All Metal Spinning Fish Reel Double Bearing Structure 13+1 for Freshwater Saltwater Silver 6000</t>
  </si>
  <si>
    <t>SB-YL001-DWA70</t>
  </si>
  <si>
    <t>B0776W45VK</t>
  </si>
  <si>
    <t>All Metal Spinning Fish Reel Double Bearing Structure 13+1 for Freshwater Saltwater Silver 7000</t>
  </si>
  <si>
    <t>SB-YL002-KCN100BNR</t>
  </si>
  <si>
    <t>B0776WJLXL</t>
  </si>
  <si>
    <t>TiaNara Large Trolling Fishing Reel 12+1 BB Metal Spool Light Weight for Freshwater Saltwater Black KCN10000</t>
  </si>
  <si>
    <t>SB-YL002-KCN100S</t>
  </si>
  <si>
    <t>B0776W7JGT</t>
  </si>
  <si>
    <t>TiaNara Large Trolling Fishing Reel 12+1 BB Metal Spool Light Weight for Freshwater Saltwater Silver KCN10000</t>
  </si>
  <si>
    <t>SB-YL002-KCN120S</t>
  </si>
  <si>
    <t>B0776W29SX</t>
  </si>
  <si>
    <t>TiaNara Large Trolling Fishing Reel 12+1 BB Metal Spool Light Weight for Freshwater Saltwater Silver KCN12000</t>
  </si>
  <si>
    <t>SB-YL002-KCN80BNR</t>
  </si>
  <si>
    <t>B0776WJDHZ</t>
  </si>
  <si>
    <t>TiaNara Large Trolling Fishing Reel 12+1 BB Metal Spool Light Weight for Freshwater Saltwater Black KCN8000</t>
  </si>
  <si>
    <t>SB-YL002-KCN80S</t>
  </si>
  <si>
    <t>B0776WQYCR</t>
  </si>
  <si>
    <t>TiaNara Large Trolling Fishing Reel 12+1 BB Metal Spool Light Weight for Freshwater Saltwater Silver KCN8000</t>
  </si>
  <si>
    <t>SB-YL003-GH60</t>
  </si>
  <si>
    <t>B0776NPYHG</t>
  </si>
  <si>
    <t>TiaNara Trolling Fishing Reel with Metal Spool 13+1 BB Light Weight Ultra Smooth Black GH6000</t>
  </si>
  <si>
    <t>SB-YL003-GH70</t>
  </si>
  <si>
    <t>B0776PBN3N</t>
  </si>
  <si>
    <t>TiaNara Trolling Fishing Reel with Metal Spool 13+1 BB Light Weight Ultra Smooth Black GH7000</t>
  </si>
  <si>
    <t>SB-YL003-GH80</t>
  </si>
  <si>
    <t>B0776P5RMV</t>
  </si>
  <si>
    <t>TiaNara Trolling Fishing Reel with Metal Spool 13+1 BB Light Weight Ultra Smooth Black GH8000</t>
  </si>
  <si>
    <t>SB-YL004-FD10</t>
  </si>
  <si>
    <t>B0776N31DR</t>
  </si>
  <si>
    <t>TiaNara Spinning Fishing Reel 12+1 BB Light Weight for Freshwater Saltwater Silver FD1000</t>
  </si>
  <si>
    <t>SB-YL004-FD20</t>
  </si>
  <si>
    <t>B0776NX9CK</t>
  </si>
  <si>
    <t>TiaNara Spinning Fishing Reel 12+1 BB Light Weight for Freshwater Saltwater Silver FD2000</t>
  </si>
  <si>
    <t>SB-YL004-FD30</t>
  </si>
  <si>
    <t>B0776NYDKH</t>
  </si>
  <si>
    <t>TiaNara Spinning Fishing Reel 12+1 BB Light Weight for Freshwater Saltwater Silver FD3000</t>
  </si>
  <si>
    <t>SB-YL004-FD40</t>
  </si>
  <si>
    <t>B0776NNRBJ</t>
  </si>
  <si>
    <t>TiaNara Spinning Fishing Reel 12+1 BB Light Weight for Freshwater Saltwater Silver FD4000</t>
  </si>
  <si>
    <t>SB-YL004-FD50</t>
  </si>
  <si>
    <t>B0776NT9P7</t>
  </si>
  <si>
    <t>TiaNara Spinning Fishing Reel 12+1 BB Light Weight for Freshwater Saltwater Silver FD5000</t>
  </si>
  <si>
    <t>SB-YL004-FD60</t>
  </si>
  <si>
    <t>B0776L7Y4R</t>
  </si>
  <si>
    <t>TiaNara Spinning Fishing Reel 12+1 BB Light Weight for Freshwater Saltwater Silver FD6000</t>
  </si>
  <si>
    <t>SB-YL005-KS40</t>
  </si>
  <si>
    <t>B0776NVP3V</t>
  </si>
  <si>
    <t>TiaNara Spinning Carp Fishing Reel for Saltwater Freshwater with 9+1 Ball Bearings Interchangeable Handle Silver KS4000</t>
  </si>
  <si>
    <t>SB-YL005-KS60</t>
  </si>
  <si>
    <t>B0776NZB22</t>
  </si>
  <si>
    <t>Spinning Carp Fishing Reel for Saltwater Freshwater with 9+1 Ball Bearings Interchangeable Handle Silver KS6000</t>
  </si>
  <si>
    <t>SB-YL005-KS70</t>
  </si>
  <si>
    <t>B0776PDLH2</t>
  </si>
  <si>
    <t>TiaNara Spinning Carp Fishing Reel for Saltwater Freshwater with 9+1 Ball Bearings Interchangeable Handle Silver KS7000</t>
  </si>
  <si>
    <t>SB-YL005-KS80</t>
  </si>
  <si>
    <t>B0776P6SZP</t>
  </si>
  <si>
    <t>TiaNara Spinning Carp Fishing Reel for Saltwater Freshwater with 9+1 Ball Bearings Interchangeable Handle Silver KS8000</t>
  </si>
  <si>
    <t>SHIRT-SB002-BK-2XL</t>
  </si>
  <si>
    <t>SHIRT-SB002-BK-L</t>
  </si>
  <si>
    <t>SHIRT-SB002-BK-M</t>
  </si>
  <si>
    <t>SHIRT-SB002-BK-S</t>
  </si>
  <si>
    <t>SHIRT-SB002-BK-XL</t>
  </si>
  <si>
    <t>SHIRT-SB002-BLNGN-2XL</t>
  </si>
  <si>
    <t>SHIRT-SB002-BLNGN-L</t>
  </si>
  <si>
    <t>SHIRT-SB002-BLNGN-M</t>
  </si>
  <si>
    <t>SHIRT-SB002-BLNGN-S</t>
  </si>
  <si>
    <t>SHIRT-SB002-BLNGN-XL</t>
  </si>
  <si>
    <t>SHIRT-SB002-CF-L</t>
  </si>
  <si>
    <t>SHIRT-SB002-CF-M</t>
  </si>
  <si>
    <t>SHIRT-SB002-CF-S</t>
  </si>
  <si>
    <t>SHIRT-SB002-CF-XL</t>
  </si>
  <si>
    <t>SHIRT-SB002-LB-2XL</t>
  </si>
  <si>
    <t>SHIRT-SB002-LB-L</t>
  </si>
  <si>
    <t>SHIRT-SB002-LB-M</t>
  </si>
  <si>
    <t>SHIRT-SB002-LB-S</t>
  </si>
  <si>
    <t>SHIRT-SB002-LB-XL</t>
  </si>
  <si>
    <t>SHIRT-SB002-RD-2XL</t>
  </si>
  <si>
    <t>SHIRT-SB002-RD-L</t>
  </si>
  <si>
    <t>SHIRT-SB002-RD-M</t>
  </si>
  <si>
    <t>SHIRT-SB002-RD-S</t>
  </si>
  <si>
    <t>SHIRT-SB002-RD-XL</t>
  </si>
  <si>
    <t>SHIRT-SB002-RNBL-2XL</t>
  </si>
  <si>
    <t>SHIRT-SB002-RNBL-L</t>
  </si>
  <si>
    <t>SHIRT-SB002-RNBL-M</t>
  </si>
  <si>
    <t>SHIRT-SB002-RNBL-S</t>
  </si>
  <si>
    <t>SHIRT-SB002-RNBL-XL</t>
  </si>
  <si>
    <t>SHIRTS-SB002-BL-L</t>
  </si>
  <si>
    <t>SHIRTS-SB002-BL-M</t>
  </si>
  <si>
    <t>SHIRTS-SB002-BL-S</t>
  </si>
  <si>
    <t>SHIRTS-SB002-BL-XL</t>
  </si>
  <si>
    <t>SHIRTS-SB002-BL-XXL</t>
  </si>
  <si>
    <t>SK-LY168-311-4H-XL</t>
  </si>
  <si>
    <t>B071LPLL8B</t>
  </si>
  <si>
    <t>SK-LY168-311-76D-L</t>
  </si>
  <si>
    <t>B071213ZRS</t>
  </si>
  <si>
    <t>SK-LY168-HSJK-168A-L</t>
  </si>
  <si>
    <t>B071FJ3PRD</t>
  </si>
  <si>
    <t>SK-LY168-HSJK-168C-XL</t>
  </si>
  <si>
    <t>B071W8D3S2</t>
  </si>
  <si>
    <t>SK-LY168-K77-1-XL</t>
  </si>
  <si>
    <t>SK-LY168-K77-2-L</t>
  </si>
  <si>
    <t>B072JBD987</t>
  </si>
  <si>
    <t>SK-LY168-K77-2-M</t>
  </si>
  <si>
    <t>B072JBD985</t>
  </si>
  <si>
    <t>Men's Long Sleeve Oxford Button Down Casual Shirt, Dark Green, Medium</t>
  </si>
  <si>
    <t>SK-LY168-K77-4-L</t>
  </si>
  <si>
    <t>B071FQCM4B</t>
  </si>
  <si>
    <t>SK-LY168-K77-4-M</t>
  </si>
  <si>
    <t>B071ZPGBTK</t>
  </si>
  <si>
    <t>WQS-BN-1503-GR-2XL</t>
  </si>
  <si>
    <t>WQS-BN-1503-GR-L</t>
  </si>
  <si>
    <t>WQS-BN-1503-GR-M</t>
  </si>
  <si>
    <t>WQS-BN-1503-GR-S</t>
  </si>
  <si>
    <t>WQS-BN-1503-GR-XL</t>
  </si>
  <si>
    <t>WQS-BN-1503-KO-2XL</t>
  </si>
  <si>
    <t>WQS-BN-1503-KO-L</t>
  </si>
  <si>
    <t>WQS-BN-1503-KO-M</t>
  </si>
  <si>
    <t>WQS-BN-1503-KO-S</t>
  </si>
  <si>
    <t>WQS-BN-1503-KO-XL</t>
  </si>
  <si>
    <t>WQS-BN-1503-RO-2XL</t>
  </si>
  <si>
    <t>WQS-BN-1503-RO-L</t>
  </si>
  <si>
    <t>WQS-BN-1503-RO-M</t>
  </si>
  <si>
    <t>WQS-BN-1503-RO-S</t>
  </si>
  <si>
    <t>WQS-BN-1503-RO-XL</t>
  </si>
  <si>
    <t>WQS-BN-1503-WO-2XL</t>
  </si>
  <si>
    <t>WQS-BN-1503-WO-L</t>
  </si>
  <si>
    <t>WQS-BN-1503-WO-M</t>
  </si>
  <si>
    <t>WQS-BN-1503-WO-S</t>
  </si>
  <si>
    <t>WQS-BN-1503-WO-XL</t>
  </si>
  <si>
    <t>WY-SB017-BK-L</t>
  </si>
  <si>
    <t>B078NC5QP5</t>
  </si>
  <si>
    <t>MOCOTONO Men's Pullover Hoodies Fleece Hooded Sweatshirt Black Large</t>
  </si>
  <si>
    <t>WY-SB017-BK-M</t>
  </si>
  <si>
    <t>B078NNDRK2</t>
  </si>
  <si>
    <t>Men's Pullover Hoodies Fleece Hooded Sweatshirt Black Medium</t>
  </si>
  <si>
    <t>WY-SB017-BK-S</t>
  </si>
  <si>
    <t>B078NMB32N</t>
  </si>
  <si>
    <t>MOCOTONO Men's Pullover Hoodies Fleece Hooded Sweatshirt Black Small</t>
  </si>
  <si>
    <t>WY-SB017-BK-XL</t>
  </si>
  <si>
    <t>B078NLT26Q</t>
  </si>
  <si>
    <t>MOCOTONO Men's Pullover Hoodies Fleece Hooded Sweatshirt Black X-Large</t>
  </si>
  <si>
    <t>WY-SB017-BK-XXL</t>
  </si>
  <si>
    <t>B078NC65SZ</t>
  </si>
  <si>
    <t>MOCOTONO Men's Pullover Hoodies Fleece Hooded Sweatshirt Black XX-Large</t>
  </si>
  <si>
    <t>WY-SB017-DG-L</t>
  </si>
  <si>
    <t>B078NMDLP2</t>
  </si>
  <si>
    <t>MOCOTONO Men's Pullover Hoodies Fleece Hooded Sweatshirt Dark Grey Large</t>
  </si>
  <si>
    <t>WY-SB017-DG-M</t>
  </si>
  <si>
    <t>B078NMJKLD</t>
  </si>
  <si>
    <t>MOCOTONO Men's Pullover Hoodies Fleece Hooded Sweatshirt Dark Grey Medium</t>
  </si>
  <si>
    <t>WY-SB017-DG-S</t>
  </si>
  <si>
    <t>B078NNHC7V</t>
  </si>
  <si>
    <t>MOCOTONO Men's Pullover Hoodies Fleece Hooded Sweatshirt Dark Grey Small</t>
  </si>
  <si>
    <t>WY-SB017-DG-XL</t>
  </si>
  <si>
    <t>B078NMTQCQ</t>
  </si>
  <si>
    <t>MOCOTONO Men's Pullover Hoodies Fleece Hooded Sweatshirt Dark Grey X-Large</t>
  </si>
  <si>
    <t>WY-SB017-DG-XXL</t>
  </si>
  <si>
    <t>B078NK4T2F</t>
  </si>
  <si>
    <t>MOCOTONO Men's Pullover Hoodies Fleece Hooded Sweatshirt Dark Grey XX-Large</t>
  </si>
  <si>
    <t>WY-SB017-LG-L</t>
  </si>
  <si>
    <t>B078NPFZQ8</t>
  </si>
  <si>
    <t>MOCOTONO Men's Pullover Hoodies Fleece Hooded Sweatshirt Light Grey Large</t>
  </si>
  <si>
    <t>WY-SB017-LG-M</t>
  </si>
  <si>
    <t>B078NMZ3FJ</t>
  </si>
  <si>
    <t>MOCOTONO Men's Pullover Hoodies Fleece Hooded Sweatshirt Light Grey Medium</t>
  </si>
  <si>
    <t>WY-SB017-LG-S</t>
  </si>
  <si>
    <t>B078NL91J7</t>
  </si>
  <si>
    <t>MOCOTONO Men's Pullover Hoodies Fleece Hooded Sweatshirt Light Grey Small</t>
  </si>
  <si>
    <t>WY-SB017-LG-XL</t>
  </si>
  <si>
    <t>B078NLT7K4</t>
  </si>
  <si>
    <t>MOCOTONO Men's Pullover Hoodies Fleece Hooded Sweatshirt Light Grey X-Large</t>
  </si>
  <si>
    <t>WY-SB017-LG-XXL</t>
  </si>
  <si>
    <t>B078NPGK7L</t>
  </si>
  <si>
    <t>MOCOTONO Men's Pullover Hoodies Fleece Hooded Sweatshirt Light Grey XX-Large</t>
  </si>
  <si>
    <t>WY-SB017-NY-L</t>
  </si>
  <si>
    <t>B078NQ3LVG</t>
  </si>
  <si>
    <t>MOCOTONO Men's Pullover Hoodies Fleece Hooded Sweatshirt Dark Blue Large</t>
  </si>
  <si>
    <t>WY-SB017-NY-M</t>
  </si>
  <si>
    <t>B078NK4CN7</t>
  </si>
  <si>
    <t>MOCOTONO Men's Pullover Hoodies Fleece Hooded Sweatshirt Dark Blue Medium</t>
  </si>
  <si>
    <t>WY-SB017-NY-S</t>
  </si>
  <si>
    <t>B078NK4W3P</t>
  </si>
  <si>
    <t>MOCOTONO Men's Pullover Hoodies Fleece Hooded Sweatshirt Dark Blue Small</t>
  </si>
  <si>
    <t>WY-SB017-NY-XL</t>
  </si>
  <si>
    <t>B078NL99VZ</t>
  </si>
  <si>
    <t>Men's Pullover Hoodies Fleece Hooded Sweatshirt Dark Blue X-Large</t>
  </si>
  <si>
    <t>WY-SB017-NY-XXL</t>
  </si>
  <si>
    <t>B078NC5YWP</t>
  </si>
  <si>
    <t>MOCOTONO Men's Pullover Hoodies Fleece Hooded Sweatshirt Dark Blue XX-Large</t>
  </si>
  <si>
    <t>WY-SB017-PK-L</t>
  </si>
  <si>
    <t>B078NNGB3G</t>
  </si>
  <si>
    <t>WY-SB017-PK-M</t>
  </si>
  <si>
    <t>B078NPY3QQ</t>
  </si>
  <si>
    <t>MOCOTONO Men's Pullover Hoodies Fleece Hooded Sweatshirt Pink Medium</t>
  </si>
  <si>
    <t>WY-SB017-PK-XL</t>
  </si>
  <si>
    <t>B078NL9L3B</t>
  </si>
  <si>
    <t>MOCOTONO Men's Pullover Hoodies Fleece Hooded Sweatshirt Pink X-Large</t>
  </si>
  <si>
    <t>WY-SB017-PK-XXL</t>
  </si>
  <si>
    <t>B078NLVLNP</t>
  </si>
  <si>
    <t>MOCOTONO Men's Pullover Hoodies Fleece Hooded Sweatshirt Pink XX-Large</t>
  </si>
  <si>
    <t>WY-SB017-RD-L</t>
  </si>
  <si>
    <t>B078NL9CDP</t>
  </si>
  <si>
    <t>MOCOTONO Men's Pullover Hoodies Fleece Hooded Sweatshirt Red Large</t>
  </si>
  <si>
    <t>WY-SB017-RD-M</t>
  </si>
  <si>
    <t>B078NJJ4H7</t>
  </si>
  <si>
    <t>Men's Pullover Hoodies Fleece Hooded Sweatshirt Red Medium</t>
  </si>
  <si>
    <t>WY-SB017-RD-S</t>
  </si>
  <si>
    <t>B078NL55Z2</t>
  </si>
  <si>
    <t>MOCOTONO Men's Pullover Hoodies Fleece Hooded Sweatshirt Red Small</t>
  </si>
  <si>
    <t>WY-SB017-RD-XL</t>
  </si>
  <si>
    <t>B078NC5RZM</t>
  </si>
  <si>
    <t>MOCOTONO Men's Pullover Hoodies Fleece Hooded Sweatshirt Red X-Large</t>
  </si>
  <si>
    <t>WY-SB017-RD-XXL</t>
  </si>
  <si>
    <t>B078NK51Q6</t>
  </si>
  <si>
    <t>MOCOTONO Men's Pullover Hoodies Fleece Hooded Sweatshirt Red XX-Large</t>
  </si>
  <si>
    <t>WZ-LY153-B069</t>
  </si>
  <si>
    <t>B072C9F9BS</t>
  </si>
  <si>
    <t>snapshot-date</t>
  </si>
  <si>
    <t>avaliable-quantity(sellable)</t>
  </si>
  <si>
    <t>qty-with-removals-in-progress</t>
  </si>
  <si>
    <t>inv-age-0-to-90-days</t>
  </si>
  <si>
    <t>inv-age-91-to-180-days</t>
  </si>
  <si>
    <t>inv-age-181-to-270-days</t>
  </si>
  <si>
    <t>inv-age-271-to-365-days</t>
  </si>
  <si>
    <t>inv-age-365-plus-days</t>
  </si>
  <si>
    <t>currency</t>
  </si>
  <si>
    <t>qty-to-be-charged-ltsf-6-mo</t>
  </si>
  <si>
    <t>projected-ltsf-6-mo</t>
  </si>
  <si>
    <t>qty-to-be-charged-ltsf-12-mo</t>
  </si>
  <si>
    <t>projected-ltsf-12-mo</t>
  </si>
  <si>
    <t>units-shipped-last-7-days</t>
  </si>
  <si>
    <t>units-shipped-last-30-days</t>
  </si>
  <si>
    <t>units-shipped-last-60-days</t>
  </si>
  <si>
    <t>units-shipped-last-90-days</t>
  </si>
  <si>
    <t>alert</t>
  </si>
  <si>
    <t>sales_price</t>
  </si>
  <si>
    <t>lowest_price_new</t>
  </si>
  <si>
    <t>lowest_price_used</t>
  </si>
  <si>
    <t>Recommended action</t>
  </si>
  <si>
    <t>Healthy Inventory Level</t>
  </si>
  <si>
    <t>Recommended sales price</t>
  </si>
  <si>
    <t>Recommended sale duration (days)</t>
  </si>
  <si>
    <t>Recommended Removal Quantity</t>
  </si>
  <si>
    <t>Estimated cost savings of removal</t>
  </si>
  <si>
    <t>sell-through</t>
  </si>
  <si>
    <t>cubic-feet</t>
  </si>
  <si>
    <t>storage-type</t>
  </si>
  <si>
    <t>USD</t>
  </si>
  <si>
    <t>Low traffic</t>
  </si>
  <si>
    <t>Advertise listing</t>
  </si>
  <si>
    <t>0.943488 cuft</t>
  </si>
  <si>
    <t>Apparel</t>
  </si>
  <si>
    <t>Improve recommendations</t>
  </si>
  <si>
    <t>0.061012 cuft</t>
  </si>
  <si>
    <t>0.090488 cuft</t>
  </si>
  <si>
    <t>0.083563 cuft</t>
  </si>
  <si>
    <t>Low conversion</t>
  </si>
  <si>
    <t>Create Sale</t>
  </si>
  <si>
    <t>0.115281 cuft</t>
  </si>
  <si>
    <t>0.198435 cuft</t>
  </si>
  <si>
    <t>0.079607 cuft</t>
  </si>
  <si>
    <t>0.170996 cuft</t>
  </si>
  <si>
    <t>0.213218 cuft</t>
  </si>
  <si>
    <t>Lower price</t>
  </si>
  <si>
    <t>0.105 cuft</t>
  </si>
  <si>
    <t>0.045529 cuft</t>
  </si>
  <si>
    <t>0.213503 cuft</t>
  </si>
  <si>
    <t>0.149693 cuft</t>
  </si>
  <si>
    <t>0.117545 cuft</t>
  </si>
  <si>
    <t>0.145901 cuft</t>
  </si>
  <si>
    <t>0.173655 cuft</t>
  </si>
  <si>
    <t>Standard</t>
  </si>
  <si>
    <t>0.092004 cuft</t>
  </si>
  <si>
    <t>Edit listing</t>
  </si>
  <si>
    <t>0.205085 cuft</t>
  </si>
  <si>
    <t>0.084 cuft</t>
  </si>
  <si>
    <t>Create removal order</t>
  </si>
  <si>
    <t>0.281276 cuft</t>
  </si>
  <si>
    <t>0.132326 cuft</t>
  </si>
  <si>
    <t>0.16907 cuft</t>
  </si>
  <si>
    <t>0.019097 cuft</t>
  </si>
  <si>
    <t>0.123974 cuft</t>
  </si>
  <si>
    <t>0.130243 cuft</t>
  </si>
  <si>
    <t>0.164938 cuft</t>
  </si>
  <si>
    <t>0.20215 cuft</t>
  </si>
  <si>
    <t>0.13335 cuft</t>
  </si>
  <si>
    <t>0.066725 cuft</t>
  </si>
  <si>
    <t>0.167542 cuft</t>
  </si>
  <si>
    <t>0.240535 cuft</t>
  </si>
  <si>
    <t>0.138102 cuft</t>
  </si>
  <si>
    <t>0.070046 cuft</t>
  </si>
  <si>
    <t>0.137251 cuft</t>
  </si>
  <si>
    <t>0.088233 cuft</t>
  </si>
  <si>
    <t>0.154458 cuft</t>
  </si>
  <si>
    <t>0.031622 cuft</t>
  </si>
  <si>
    <t>0.144792 cuft</t>
  </si>
  <si>
    <t>0.055556 cuft</t>
  </si>
  <si>
    <t>0.147462 cuft</t>
  </si>
  <si>
    <t>0.114792 cuft</t>
  </si>
  <si>
    <t>0.166277 cuft</t>
  </si>
  <si>
    <t>0.135332 cuft</t>
  </si>
  <si>
    <t>0.163014 cuft</t>
  </si>
  <si>
    <t>0.147792 cuft</t>
  </si>
  <si>
    <t>0.110329 cuft</t>
  </si>
  <si>
    <t>0.124372 cuft</t>
  </si>
  <si>
    <t>MOCOTONO Men's Rain Waterproof Winter Jacket Sports Snow Ski Outdoor Coat Red X-Large</t>
  </si>
  <si>
    <t>0.686641 cuft</t>
  </si>
  <si>
    <t>0.114547 cuft</t>
  </si>
  <si>
    <t>0.108981 cuft</t>
  </si>
  <si>
    <t>0.181806 cuft</t>
  </si>
  <si>
    <t>0.246389 cuft</t>
  </si>
  <si>
    <t>0.70484 cuft</t>
  </si>
  <si>
    <t>0.20495 cuft</t>
  </si>
  <si>
    <t>0.165278 cuft</t>
  </si>
  <si>
    <t>0.087712 cuft</t>
  </si>
  <si>
    <t>0.124082 cuft</t>
  </si>
  <si>
    <t>0.163196 cuft</t>
  </si>
  <si>
    <t>0.105645 cuft</t>
  </si>
  <si>
    <t>0.040249 cuft</t>
  </si>
  <si>
    <t>0.206115 cuft</t>
  </si>
  <si>
    <t>0.133578 cuft</t>
  </si>
  <si>
    <t>0.172523 cuft</t>
  </si>
  <si>
    <t>0.111727 cuft</t>
  </si>
  <si>
    <t>0.050528 cuft</t>
  </si>
  <si>
    <t>0.266997 cuft</t>
  </si>
  <si>
    <t>0.171385 cuft</t>
  </si>
  <si>
    <t>0.111063 cuft</t>
  </si>
  <si>
    <t>0.08786 cuft</t>
  </si>
  <si>
    <t>0.118939 cuft</t>
  </si>
  <si>
    <t>0.1484 cuft</t>
  </si>
  <si>
    <t>0.113008 cuft</t>
  </si>
  <si>
    <t>0.321019 cuft</t>
  </si>
  <si>
    <t>0.0629 cuft</t>
  </si>
  <si>
    <t>0.116964 cuft</t>
  </si>
  <si>
    <t>0.236098 cuft</t>
  </si>
  <si>
    <t>0.118819 cuft</t>
  </si>
  <si>
    <t>0.105379 cuft</t>
  </si>
  <si>
    <t>0.082794 cuft</t>
  </si>
  <si>
    <t>0.462523 cuft</t>
  </si>
  <si>
    <t>0.170147 cuft</t>
  </si>
  <si>
    <t>0.162512 cuft</t>
  </si>
  <si>
    <t>0.083013 cuft</t>
  </si>
  <si>
    <t>0.100971 cuft</t>
  </si>
  <si>
    <t>0.049342 cuft</t>
  </si>
  <si>
    <t>0.099889 cuft</t>
  </si>
  <si>
    <t>0.187153 cuft</t>
  </si>
  <si>
    <t>0.082085 cuft</t>
  </si>
  <si>
    <t>0.130925 cuft</t>
  </si>
  <si>
    <t>0.1 cuft</t>
  </si>
  <si>
    <t>0.209896 cuft</t>
  </si>
  <si>
    <t>0.104431 cuft</t>
  </si>
  <si>
    <t>0.065448 cuft</t>
  </si>
  <si>
    <t>0.170636 cuft</t>
  </si>
  <si>
    <t>0.020833 cuft</t>
  </si>
  <si>
    <t>0.114022 cuft</t>
  </si>
  <si>
    <t>0.105486 cuft</t>
  </si>
  <si>
    <t>0.086275 cuft</t>
  </si>
  <si>
    <t>0.28847 cuft</t>
  </si>
  <si>
    <t>0.138667 cuft</t>
  </si>
  <si>
    <t>0.169351 cuft</t>
  </si>
  <si>
    <t>0.116324 cuft</t>
  </si>
  <si>
    <t>0.115578 cuft</t>
  </si>
  <si>
    <t>0.104742 cuft</t>
  </si>
  <si>
    <t>0.363912 cuft</t>
  </si>
  <si>
    <t>0.076494 cuft</t>
  </si>
  <si>
    <t>Mocotono Men's Non Iron Formal Business Dress Shirt White S 14.5" Neck, 31.5" Sleeve</t>
  </si>
  <si>
    <t>0.144466 cuft</t>
  </si>
  <si>
    <t>0.098153 cuft</t>
  </si>
  <si>
    <t>0.104311 cuft</t>
  </si>
  <si>
    <t>0.675021 cuft</t>
  </si>
  <si>
    <t>0.130496 cuft</t>
  </si>
  <si>
    <t>0.028646 cuft</t>
  </si>
  <si>
    <t>0.487963 cuft</t>
  </si>
  <si>
    <t>0.270022 cuft</t>
  </si>
  <si>
    <t>0.079345 cuft</t>
  </si>
  <si>
    <t>0.29099 cuft</t>
  </si>
  <si>
    <t>0.110095 cuft</t>
  </si>
  <si>
    <t>0.077729 cuft</t>
  </si>
  <si>
    <t>0.094792 cuft</t>
  </si>
  <si>
    <t>0.136105 cuft</t>
  </si>
  <si>
    <t>0.276754 cuft</t>
  </si>
  <si>
    <t>0.121833 cuft</t>
  </si>
  <si>
    <t>0.092301 cuft</t>
  </si>
  <si>
    <t>0.165322 cuft</t>
  </si>
  <si>
    <t>0.151137 cuft</t>
  </si>
  <si>
    <t>0.161086 cuft</t>
  </si>
  <si>
    <t>0.089811 cuft</t>
  </si>
  <si>
    <t>0.083912 cuft</t>
  </si>
  <si>
    <t>0.186893 cuft</t>
  </si>
  <si>
    <t>0.11392 cuft</t>
  </si>
  <si>
    <t>0.116521 cuft</t>
  </si>
  <si>
    <t>0.066522 cuft</t>
  </si>
  <si>
    <t>0.125417 cuft</t>
  </si>
  <si>
    <t>0.194564 cuft</t>
  </si>
  <si>
    <t>0.149289 cuft</t>
  </si>
  <si>
    <t>0.074276 cuft</t>
  </si>
  <si>
    <t>0.272625 cuft</t>
  </si>
  <si>
    <t>0.0825 cuft</t>
  </si>
  <si>
    <t>0.124147 cuft</t>
  </si>
  <si>
    <t>0.149045 cuft</t>
  </si>
  <si>
    <t>0.119229 cuft</t>
  </si>
  <si>
    <t>0.115917 cuft</t>
  </si>
  <si>
    <t>0.582685 cuft</t>
  </si>
  <si>
    <t>0.441646 cuft</t>
  </si>
  <si>
    <t>0.140236 cuft</t>
  </si>
  <si>
    <t>0.116493 cuft</t>
  </si>
  <si>
    <t>0.215417 cuft</t>
  </si>
  <si>
    <t>MOCOTONO Men's Long Sleeve Casual Golf Polo Shirt Green X-Large</t>
  </si>
  <si>
    <t>0.07059 cuft</t>
  </si>
  <si>
    <t>0.177568 cuft</t>
  </si>
  <si>
    <t>0.20927 cuft</t>
  </si>
  <si>
    <t>0.115636 cuft</t>
  </si>
  <si>
    <t>0.123818 cuft</t>
  </si>
  <si>
    <t>0.630285 cuft</t>
  </si>
  <si>
    <t>0.728444 cuft</t>
  </si>
  <si>
    <t>0.093913 cuft</t>
  </si>
  <si>
    <t>0.102629 cuft</t>
  </si>
  <si>
    <t>0.130347 cuft</t>
  </si>
  <si>
    <t>0.0675 cuft</t>
  </si>
  <si>
    <t>0.106491 cuft</t>
  </si>
  <si>
    <t>0.546875 cuft</t>
  </si>
  <si>
    <t>Men's Oxford Long Sleeve Button Down Dress Shirt With Pocket,Navy Blue,Large</t>
  </si>
  <si>
    <t>0.155322 cuft</t>
  </si>
  <si>
    <t>0.077265 cuft</t>
  </si>
  <si>
    <t>0.27605 cuft</t>
  </si>
  <si>
    <t>0.147382 cuft</t>
  </si>
  <si>
    <t>0.28073 cuft</t>
  </si>
  <si>
    <t>0.592693 cuft</t>
  </si>
  <si>
    <t>0.295526 cuft</t>
  </si>
  <si>
    <t>0.068 cuft</t>
  </si>
  <si>
    <t>Men's Denim Long Sleeve Pocket Casual Dress Shirt Light Blue XX-Large (Slim Fit)</t>
  </si>
  <si>
    <t>0.184499 cuft</t>
  </si>
  <si>
    <t>0.078993 cuft</t>
  </si>
  <si>
    <t>0.038958 cuft</t>
  </si>
  <si>
    <t>0.175071 cuft</t>
  </si>
  <si>
    <t>0.080573 cuft</t>
  </si>
  <si>
    <t>0.048611 cuft</t>
  </si>
  <si>
    <t>0.112667 cuft</t>
  </si>
  <si>
    <t>0.199681 cuft</t>
  </si>
  <si>
    <t>0.185574 cuft</t>
  </si>
  <si>
    <t>0.222446 cuft</t>
  </si>
  <si>
    <t>Men's Flannel Long Sleeve Plaid Button Down Western Shirts Navy Large</t>
  </si>
  <si>
    <t>0.255792 cuft</t>
  </si>
  <si>
    <t>0.197141 cuft</t>
  </si>
  <si>
    <t>0.097682 cuft</t>
  </si>
  <si>
    <t>0.086063 cuft</t>
  </si>
  <si>
    <t>0.108184 cuft</t>
  </si>
  <si>
    <t>0.315212 cuft</t>
  </si>
  <si>
    <t>0.064625 cuft</t>
  </si>
  <si>
    <t>0.11853 cuft</t>
  </si>
  <si>
    <t>0.706795 cuft</t>
  </si>
  <si>
    <t>0.077778 cuft</t>
  </si>
  <si>
    <t>0.076356 cuft</t>
  </si>
  <si>
    <t>0.148345 cuft</t>
  </si>
  <si>
    <t>0.098774 cuft</t>
  </si>
  <si>
    <t>0.274261 cuft</t>
  </si>
  <si>
    <t>0.114779 cuft</t>
  </si>
  <si>
    <t>0.100714 cuft</t>
  </si>
  <si>
    <t>0.192969 cuft</t>
  </si>
  <si>
    <t>0.092678 cuft</t>
  </si>
  <si>
    <t>0.122444 cuft</t>
  </si>
  <si>
    <t>0.396741 cuft</t>
  </si>
  <si>
    <t>0.152326 cuft</t>
  </si>
  <si>
    <t>0.025703 cuft</t>
  </si>
  <si>
    <t>0.105556 cuft</t>
  </si>
  <si>
    <t>0.078603 cuft</t>
  </si>
  <si>
    <t>0.17942 cuft</t>
  </si>
  <si>
    <t>0.103568 cuft</t>
  </si>
  <si>
    <t>0.063956 cuft</t>
  </si>
  <si>
    <t>0.098723 cuft</t>
  </si>
  <si>
    <t>0.099531 cuft</t>
  </si>
  <si>
    <t>0.094063 cuft</t>
  </si>
  <si>
    <t>0.304074 cuft</t>
  </si>
  <si>
    <t>0.20484 cuft</t>
  </si>
  <si>
    <t>0.177884 cuft</t>
  </si>
  <si>
    <t>0.125041 cuft</t>
  </si>
  <si>
    <t>0.132292 cuft</t>
  </si>
  <si>
    <t>0.106667 cuft</t>
  </si>
  <si>
    <t>0.115901 cuft</t>
  </si>
  <si>
    <t>0.109728 cuft</t>
  </si>
  <si>
    <t>0.069745 cuft</t>
  </si>
  <si>
    <t>0.088472 cuft</t>
  </si>
  <si>
    <t>0.061148 cuft</t>
  </si>
  <si>
    <t>Mocotono Men's Long Sleeve Denim Solid Double-Pocket Shirt Blue XX-Large</t>
  </si>
  <si>
    <t>0.196008 cuft</t>
  </si>
  <si>
    <t>0.094589 cuft</t>
  </si>
  <si>
    <t>0.074806 cuft</t>
  </si>
  <si>
    <t>0.185451 cuft</t>
  </si>
  <si>
    <t>0.051563 cuft</t>
  </si>
  <si>
    <t>0.149452 cuft</t>
  </si>
  <si>
    <t>0.101063 cuft</t>
  </si>
  <si>
    <t>0.114583 cuft</t>
  </si>
  <si>
    <t>0.113798 cuft</t>
  </si>
  <si>
    <t>Mocotono Men's Short Sleeve Oxford Button Down Casual Shirt, Black, XX-Large</t>
  </si>
  <si>
    <t>0.04251 cuft</t>
  </si>
  <si>
    <t>0.103914 cuft</t>
  </si>
  <si>
    <t>0.111979 cuft</t>
  </si>
  <si>
    <t>0.050345 cuft</t>
  </si>
  <si>
    <t>0.127416 cuft</t>
  </si>
  <si>
    <t>0.129669 cuft</t>
  </si>
  <si>
    <t>Men's Oxford Long Sleeve Button Down Casual Dress Shirt,Light Gray,Large</t>
  </si>
  <si>
    <t>0.156767 cuft</t>
  </si>
  <si>
    <t>Mocotono Men's Short Sleeve Oxford Button Down Casual Shirt, Light Blue, X-Large</t>
  </si>
  <si>
    <t>0.139286 cuft</t>
  </si>
  <si>
    <t>0.067055 cuft</t>
  </si>
  <si>
    <t>Mocotono Men's Short Sleeve Oxford Button Down Casual Shirt, Yellow, XX-Large</t>
  </si>
  <si>
    <t>0.139849 cuft</t>
  </si>
  <si>
    <t>0.268969 cuft</t>
  </si>
  <si>
    <t>0.094052 cuft</t>
  </si>
  <si>
    <t>0.194355 cuft</t>
  </si>
  <si>
    <t>0.15986 cuft</t>
  </si>
  <si>
    <t>0.831549 cuft</t>
  </si>
  <si>
    <t>0.076089 cuft</t>
  </si>
  <si>
    <t>0.089132 cuft</t>
  </si>
  <si>
    <t>0.106219 cuft</t>
  </si>
  <si>
    <t>0.30497 cuft</t>
  </si>
  <si>
    <t>0.085568 cuft</t>
  </si>
  <si>
    <t>0.079725 cuft</t>
  </si>
  <si>
    <t>0.186229 cuft</t>
  </si>
  <si>
    <t>0.12602 cuft</t>
  </si>
  <si>
    <t>0.531528 cuft</t>
  </si>
  <si>
    <t>0.542062 cuft</t>
  </si>
  <si>
    <t>0.161736 cuft</t>
  </si>
  <si>
    <t>0.125563 cuft</t>
  </si>
  <si>
    <t>0.273773 cuft</t>
  </si>
  <si>
    <t>0.256065 cuft</t>
  </si>
  <si>
    <t>0.102691 cuft</t>
  </si>
  <si>
    <t>0.734935 cuft</t>
  </si>
  <si>
    <t>0.003077 cuft</t>
  </si>
  <si>
    <t>0.051734 cuft</t>
  </si>
  <si>
    <t>0.268707 cuft</t>
  </si>
  <si>
    <t>0.125845 cuft</t>
  </si>
  <si>
    <t>0.140944 cuft</t>
  </si>
  <si>
    <t>0.060648 cuft</t>
  </si>
  <si>
    <t>0.230682 cuft</t>
  </si>
  <si>
    <t>0.099662 cuft</t>
  </si>
  <si>
    <t>0.124775 cuft</t>
  </si>
  <si>
    <t>0.230719 cuft</t>
  </si>
  <si>
    <t>0.213813 cuft</t>
  </si>
  <si>
    <t>0.224609 cuft</t>
  </si>
  <si>
    <t>0.108975 cuft</t>
  </si>
  <si>
    <t>MOCOTONO Men's Long Sleeve Casual Golf Polo Shirt Navy Blue Medium</t>
  </si>
  <si>
    <t>0.075332 cuft</t>
  </si>
  <si>
    <t>0.1425 cuft</t>
  </si>
  <si>
    <t>0.110859 cuft</t>
  </si>
  <si>
    <t>0.093848 cuft</t>
  </si>
  <si>
    <t>0.061111 cuft</t>
  </si>
  <si>
    <t>0.147544 cuft</t>
  </si>
  <si>
    <t>Men's Denim Long Sleeve Pocket Casual Dress Shirt Denim Blue Small (Slim Fit)</t>
  </si>
  <si>
    <t>0.146303 cuft</t>
  </si>
  <si>
    <t>0.121135 cuft</t>
  </si>
  <si>
    <t>0.110761 cuft</t>
  </si>
  <si>
    <t>0.043954 cuft</t>
  </si>
  <si>
    <t>0.204178 cuft</t>
  </si>
  <si>
    <t>0.14899 cuft</t>
  </si>
  <si>
    <t>0.132173 cuft</t>
  </si>
  <si>
    <t>0.04058 cuft</t>
  </si>
  <si>
    <t>0.041823 cuft</t>
  </si>
  <si>
    <t>0.11375 cuft</t>
  </si>
  <si>
    <t>0.174858 cuft</t>
  </si>
  <si>
    <t>0.251681 cuft</t>
  </si>
  <si>
    <t>0.168229 cuft</t>
  </si>
  <si>
    <t>0.119132 cuft</t>
  </si>
  <si>
    <t>0.777021 cuft</t>
  </si>
  <si>
    <t>0.137464 cuft</t>
  </si>
  <si>
    <t>0.141682 cuft</t>
  </si>
  <si>
    <t>0.091218 cuft</t>
  </si>
  <si>
    <t>0.252503 cuft</t>
  </si>
  <si>
    <t>0.182162 cuft</t>
  </si>
  <si>
    <t>Men's Flannel Long Sleeve Plaid Button Down Western Shirts Khaki Small</t>
  </si>
  <si>
    <t>0.059583 cuft</t>
  </si>
  <si>
    <t>0.054896 cuft</t>
  </si>
  <si>
    <t>可售库存</t>
  </si>
  <si>
    <t>不可售库存</t>
  </si>
  <si>
    <t>已发货未签收库存</t>
  </si>
  <si>
    <t>已签收未处理库存</t>
  </si>
  <si>
    <t>待入库库存</t>
  </si>
  <si>
    <t>reserved_fc-transfers</t>
  </si>
  <si>
    <t>reserved_fc-processing</t>
  </si>
  <si>
    <t>reserved_customerorders</t>
  </si>
  <si>
    <t>库龄大于90天库存</t>
  </si>
  <si>
    <t>合计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</si>
</sst>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</numFmts>
  <fonts count="21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theme="1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9C6500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EB9C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15" fillId="19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0" fillId="15" borderId="3" applyNumberFormat="0" applyFont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5" fillId="0" borderId="2" applyNumberFormat="0" applyFill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8" fillId="0" borderId="5" applyNumberFormat="0" applyFill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16" fillId="5" borderId="6" applyNumberFormat="0" applyAlignment="0" applyProtection="0">
      <alignment vertical="center"/>
    </xf>
    <xf numFmtId="0" fontId="3" fillId="5" borderId="1" applyNumberFormat="0" applyAlignment="0" applyProtection="0">
      <alignment vertical="center"/>
    </xf>
    <xf numFmtId="0" fontId="18" fillId="26" borderId="7" applyNumberFormat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20" fillId="33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</cellStyleXfs>
  <cellXfs count="7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Fill="1" applyAlignment="1">
      <alignment vertical="center"/>
    </xf>
    <xf numFmtId="0" fontId="0" fillId="0" borderId="0" xfId="0" applyFill="1" applyAlignment="1">
      <alignment vertical="center"/>
    </xf>
    <xf numFmtId="14" fontId="0" fillId="0" borderId="0" xfId="0" applyNumberFormat="1" applyFill="1" applyAlignment="1">
      <alignment vertical="center"/>
    </xf>
    <xf numFmtId="14" fontId="0" fillId="0" borderId="0" xfId="0" applyNumberForma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0</xdr:row>
          <xdr:rowOff>47625</xdr:rowOff>
        </xdr:from>
        <xdr:to>
          <xdr:col>21</xdr:col>
          <xdr:colOff>184785</xdr:colOff>
          <xdr:row>2</xdr:row>
          <xdr:rowOff>19050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19535775" y="47625"/>
              <a:ext cx="1527810" cy="3333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676275</xdr:colOff>
          <xdr:row>2</xdr:row>
          <xdr:rowOff>0</xdr:rowOff>
        </xdr:from>
        <xdr:to>
          <xdr:col>16</xdr:col>
          <xdr:colOff>9525</xdr:colOff>
          <xdr:row>4</xdr:row>
          <xdr:rowOff>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9463385" y="361950"/>
              <a:ext cx="704850" cy="361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R2053"/>
  <sheetViews>
    <sheetView workbookViewId="0">
      <selection activeCell="A1" sqref="A1:R2053"/>
    </sheetView>
  </sheetViews>
  <sheetFormatPr defaultColWidth="9" defaultRowHeight="14.25"/>
  <cols>
    <col min="1" max="1" width="25.425" customWidth="1"/>
    <col min="2" max="2" width="17" customWidth="1"/>
    <col min="5" max="5" width="16.7166666666667" customWidth="1"/>
    <col min="6" max="6" width="24.7166666666667" customWidth="1"/>
    <col min="7" max="7" width="21.7166666666667" customWidth="1"/>
    <col min="8" max="8" width="22.5666666666667" customWidth="1"/>
    <col min="9" max="9" width="19.8583333333333" customWidth="1"/>
  </cols>
  <sheetData>
    <row r="1" spans="1:18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</row>
    <row r="2" spans="1:18">
      <c r="A2" s="3" t="s">
        <v>18</v>
      </c>
      <c r="B2" s="3" t="s">
        <v>19</v>
      </c>
      <c r="C2" s="3" t="s">
        <v>18</v>
      </c>
      <c r="D2" s="3"/>
      <c r="E2" s="3" t="s">
        <v>20</v>
      </c>
      <c r="F2" s="3"/>
      <c r="G2" s="3"/>
      <c r="H2" s="3"/>
      <c r="I2" s="3"/>
      <c r="J2" s="3">
        <v>0</v>
      </c>
      <c r="K2" s="3">
        <v>0</v>
      </c>
      <c r="L2" s="3">
        <v>0</v>
      </c>
      <c r="M2" s="3">
        <v>0</v>
      </c>
      <c r="N2" s="3">
        <v>0</v>
      </c>
      <c r="O2" s="3"/>
      <c r="P2" s="3">
        <v>0</v>
      </c>
      <c r="Q2" s="3">
        <v>0</v>
      </c>
      <c r="R2" s="3">
        <v>0</v>
      </c>
    </row>
    <row r="3" spans="1:18">
      <c r="A3" s="3" t="s">
        <v>21</v>
      </c>
      <c r="B3" s="3" t="s">
        <v>22</v>
      </c>
      <c r="C3" s="3" t="s">
        <v>22</v>
      </c>
      <c r="D3" s="3"/>
      <c r="E3" s="3" t="s">
        <v>20</v>
      </c>
      <c r="F3" s="3"/>
      <c r="G3" s="3"/>
      <c r="H3" s="3"/>
      <c r="I3" s="3"/>
      <c r="J3" s="3">
        <v>13</v>
      </c>
      <c r="K3" s="3">
        <v>13</v>
      </c>
      <c r="L3" s="3">
        <v>0</v>
      </c>
      <c r="M3" s="3">
        <v>0</v>
      </c>
      <c r="N3" s="3">
        <v>13</v>
      </c>
      <c r="O3" s="3"/>
      <c r="P3" s="3">
        <v>0</v>
      </c>
      <c r="Q3" s="3">
        <v>0</v>
      </c>
      <c r="R3" s="3">
        <v>0</v>
      </c>
    </row>
    <row r="4" spans="1:18">
      <c r="A4" s="3" t="s">
        <v>23</v>
      </c>
      <c r="B4" s="3" t="s">
        <v>24</v>
      </c>
      <c r="C4" s="3" t="s">
        <v>24</v>
      </c>
      <c r="D4" s="3"/>
      <c r="E4" s="3" t="s">
        <v>20</v>
      </c>
      <c r="F4" s="3"/>
      <c r="G4" s="3"/>
      <c r="H4" s="3"/>
      <c r="I4" s="3"/>
      <c r="J4" s="3">
        <v>46</v>
      </c>
      <c r="K4" s="3">
        <v>45</v>
      </c>
      <c r="L4" s="3">
        <v>0</v>
      </c>
      <c r="M4" s="3">
        <v>1</v>
      </c>
      <c r="N4" s="3">
        <v>46</v>
      </c>
      <c r="O4" s="3"/>
      <c r="P4" s="3">
        <v>0</v>
      </c>
      <c r="Q4" s="3">
        <v>0</v>
      </c>
      <c r="R4" s="3">
        <v>0</v>
      </c>
    </row>
    <row r="5" spans="1:18">
      <c r="A5" s="3" t="s">
        <v>25</v>
      </c>
      <c r="B5" s="3" t="s">
        <v>26</v>
      </c>
      <c r="C5" s="3" t="s">
        <v>26</v>
      </c>
      <c r="D5" s="3"/>
      <c r="E5" s="3" t="s">
        <v>20</v>
      </c>
      <c r="F5" s="3"/>
      <c r="G5" s="3"/>
      <c r="H5" s="3"/>
      <c r="I5" s="3"/>
      <c r="J5" s="3">
        <v>9</v>
      </c>
      <c r="K5" s="3">
        <v>8</v>
      </c>
      <c r="L5" s="3">
        <v>0</v>
      </c>
      <c r="M5" s="3">
        <v>1</v>
      </c>
      <c r="N5" s="3">
        <v>9</v>
      </c>
      <c r="O5" s="3"/>
      <c r="P5" s="3">
        <v>0</v>
      </c>
      <c r="Q5" s="3">
        <v>0</v>
      </c>
      <c r="R5" s="3">
        <v>0</v>
      </c>
    </row>
    <row r="6" spans="1:18">
      <c r="A6" s="3" t="s">
        <v>27</v>
      </c>
      <c r="B6" s="3" t="s">
        <v>28</v>
      </c>
      <c r="C6" s="3" t="s">
        <v>28</v>
      </c>
      <c r="D6" s="3"/>
      <c r="E6" s="3" t="s">
        <v>20</v>
      </c>
      <c r="F6" s="3"/>
      <c r="G6" s="3"/>
      <c r="H6" s="3"/>
      <c r="I6" s="3"/>
      <c r="J6" s="3">
        <v>23</v>
      </c>
      <c r="K6" s="3">
        <v>22</v>
      </c>
      <c r="L6" s="3">
        <v>0</v>
      </c>
      <c r="M6" s="3">
        <v>1</v>
      </c>
      <c r="N6" s="3">
        <v>23</v>
      </c>
      <c r="O6" s="3"/>
      <c r="P6" s="3">
        <v>0</v>
      </c>
      <c r="Q6" s="3">
        <v>0</v>
      </c>
      <c r="R6" s="3">
        <v>0</v>
      </c>
    </row>
    <row r="7" spans="1:18">
      <c r="A7" s="3" t="s">
        <v>29</v>
      </c>
      <c r="B7" s="3" t="s">
        <v>30</v>
      </c>
      <c r="C7" s="3" t="s">
        <v>30</v>
      </c>
      <c r="D7" s="3"/>
      <c r="E7" s="3" t="s">
        <v>20</v>
      </c>
      <c r="F7" s="3"/>
      <c r="G7" s="3"/>
      <c r="H7" s="3"/>
      <c r="I7" s="3"/>
      <c r="J7" s="3">
        <v>14</v>
      </c>
      <c r="K7" s="3">
        <v>14</v>
      </c>
      <c r="L7" s="3">
        <v>0</v>
      </c>
      <c r="M7" s="3">
        <v>0</v>
      </c>
      <c r="N7" s="3">
        <v>14</v>
      </c>
      <c r="O7" s="3"/>
      <c r="P7" s="3">
        <v>0</v>
      </c>
      <c r="Q7" s="3">
        <v>0</v>
      </c>
      <c r="R7" s="3">
        <v>0</v>
      </c>
    </row>
    <row r="8" spans="1:18">
      <c r="A8" s="3" t="s">
        <v>31</v>
      </c>
      <c r="B8" s="3" t="s">
        <v>32</v>
      </c>
      <c r="C8" s="3" t="s">
        <v>32</v>
      </c>
      <c r="D8" s="3"/>
      <c r="E8" s="3" t="s">
        <v>20</v>
      </c>
      <c r="F8" s="3"/>
      <c r="G8" s="3"/>
      <c r="H8" s="3"/>
      <c r="I8" s="3"/>
      <c r="J8" s="3">
        <v>27</v>
      </c>
      <c r="K8" s="3">
        <v>27</v>
      </c>
      <c r="L8" s="3">
        <v>0</v>
      </c>
      <c r="M8" s="3">
        <v>0</v>
      </c>
      <c r="N8" s="3">
        <v>27</v>
      </c>
      <c r="O8" s="3"/>
      <c r="P8" s="3">
        <v>0</v>
      </c>
      <c r="Q8" s="3">
        <v>0</v>
      </c>
      <c r="R8" s="3">
        <v>0</v>
      </c>
    </row>
    <row r="9" spans="1:18">
      <c r="A9" s="3" t="s">
        <v>33</v>
      </c>
      <c r="B9" s="3" t="s">
        <v>34</v>
      </c>
      <c r="C9" s="3" t="s">
        <v>34</v>
      </c>
      <c r="D9" s="3"/>
      <c r="E9" s="3" t="s">
        <v>20</v>
      </c>
      <c r="F9" s="3"/>
      <c r="G9" s="3"/>
      <c r="H9" s="3"/>
      <c r="I9" s="3"/>
      <c r="J9" s="3">
        <v>3</v>
      </c>
      <c r="K9" s="3">
        <v>3</v>
      </c>
      <c r="L9" s="3">
        <v>0</v>
      </c>
      <c r="M9" s="3">
        <v>0</v>
      </c>
      <c r="N9" s="3">
        <v>3</v>
      </c>
      <c r="O9" s="3"/>
      <c r="P9" s="3">
        <v>0</v>
      </c>
      <c r="Q9" s="3">
        <v>0</v>
      </c>
      <c r="R9" s="3">
        <v>0</v>
      </c>
    </row>
    <row r="10" spans="1:18">
      <c r="A10" s="3" t="s">
        <v>35</v>
      </c>
      <c r="B10" s="3" t="s">
        <v>36</v>
      </c>
      <c r="C10" s="3" t="s">
        <v>36</v>
      </c>
      <c r="D10" s="3"/>
      <c r="E10" s="3" t="s">
        <v>20</v>
      </c>
      <c r="F10" s="3"/>
      <c r="G10" s="3"/>
      <c r="H10" s="3"/>
      <c r="I10" s="3"/>
      <c r="J10" s="3">
        <v>9</v>
      </c>
      <c r="K10" s="3">
        <v>9</v>
      </c>
      <c r="L10" s="3">
        <v>0</v>
      </c>
      <c r="M10" s="3">
        <v>0</v>
      </c>
      <c r="N10" s="3">
        <v>9</v>
      </c>
      <c r="O10" s="3"/>
      <c r="P10" s="3">
        <v>0</v>
      </c>
      <c r="Q10" s="3">
        <v>0</v>
      </c>
      <c r="R10" s="3">
        <v>0</v>
      </c>
    </row>
    <row r="11" spans="1:18">
      <c r="A11" s="3" t="s">
        <v>37</v>
      </c>
      <c r="B11" s="3" t="s">
        <v>38</v>
      </c>
      <c r="C11" s="3" t="s">
        <v>38</v>
      </c>
      <c r="D11" s="3"/>
      <c r="E11" s="3" t="s">
        <v>20</v>
      </c>
      <c r="F11" s="3"/>
      <c r="G11" s="3"/>
      <c r="H11" s="3"/>
      <c r="I11" s="3"/>
      <c r="J11" s="3">
        <v>22</v>
      </c>
      <c r="K11" s="3">
        <v>22</v>
      </c>
      <c r="L11" s="3">
        <v>0</v>
      </c>
      <c r="M11" s="3">
        <v>0</v>
      </c>
      <c r="N11" s="3">
        <v>22</v>
      </c>
      <c r="O11" s="3"/>
      <c r="P11" s="3">
        <v>0</v>
      </c>
      <c r="Q11" s="3">
        <v>0</v>
      </c>
      <c r="R11" s="3">
        <v>0</v>
      </c>
    </row>
    <row r="12" spans="1:18">
      <c r="A12" s="3" t="s">
        <v>39</v>
      </c>
      <c r="B12" s="3" t="s">
        <v>40</v>
      </c>
      <c r="C12" s="3" t="s">
        <v>40</v>
      </c>
      <c r="D12" s="3"/>
      <c r="E12" s="3" t="s">
        <v>20</v>
      </c>
      <c r="F12" s="3"/>
      <c r="G12" s="3"/>
      <c r="H12" s="3"/>
      <c r="I12" s="3"/>
      <c r="J12" s="3">
        <v>14</v>
      </c>
      <c r="K12" s="3">
        <v>14</v>
      </c>
      <c r="L12" s="3">
        <v>0</v>
      </c>
      <c r="M12" s="3">
        <v>0</v>
      </c>
      <c r="N12" s="3">
        <v>14</v>
      </c>
      <c r="O12" s="3"/>
      <c r="P12" s="3">
        <v>0</v>
      </c>
      <c r="Q12" s="3">
        <v>0</v>
      </c>
      <c r="R12" s="3">
        <v>0</v>
      </c>
    </row>
    <row r="13" spans="1:18">
      <c r="A13" s="3" t="s">
        <v>41</v>
      </c>
      <c r="B13" s="3" t="s">
        <v>42</v>
      </c>
      <c r="C13" s="3" t="s">
        <v>42</v>
      </c>
      <c r="D13" s="3"/>
      <c r="E13" s="3" t="s">
        <v>20</v>
      </c>
      <c r="F13" s="3"/>
      <c r="G13" s="3"/>
      <c r="H13" s="3"/>
      <c r="I13" s="3"/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/>
      <c r="P13" s="3">
        <v>0</v>
      </c>
      <c r="Q13" s="3">
        <v>0</v>
      </c>
      <c r="R13" s="3">
        <v>0</v>
      </c>
    </row>
    <row r="14" spans="1:18">
      <c r="A14" s="3" t="s">
        <v>43</v>
      </c>
      <c r="B14" s="3" t="s">
        <v>44</v>
      </c>
      <c r="C14" s="3" t="s">
        <v>44</v>
      </c>
      <c r="D14" s="3"/>
      <c r="E14" s="3" t="s">
        <v>20</v>
      </c>
      <c r="F14" s="3"/>
      <c r="G14" s="3"/>
      <c r="H14" s="3"/>
      <c r="I14" s="3"/>
      <c r="J14" s="3">
        <v>12</v>
      </c>
      <c r="K14" s="3">
        <v>12</v>
      </c>
      <c r="L14" s="3">
        <v>0</v>
      </c>
      <c r="M14" s="3">
        <v>0</v>
      </c>
      <c r="N14" s="3">
        <v>12</v>
      </c>
      <c r="O14" s="3"/>
      <c r="P14" s="3">
        <v>0</v>
      </c>
      <c r="Q14" s="3">
        <v>0</v>
      </c>
      <c r="R14" s="3">
        <v>0</v>
      </c>
    </row>
    <row r="15" spans="1:18">
      <c r="A15" s="3" t="s">
        <v>45</v>
      </c>
      <c r="B15" s="3" t="s">
        <v>46</v>
      </c>
      <c r="C15" s="3" t="s">
        <v>46</v>
      </c>
      <c r="D15" s="3"/>
      <c r="E15" s="3" t="s">
        <v>20</v>
      </c>
      <c r="F15" s="3"/>
      <c r="G15" s="3"/>
      <c r="H15" s="3"/>
      <c r="I15" s="3"/>
      <c r="J15" s="3">
        <v>0</v>
      </c>
      <c r="K15" s="3">
        <v>0</v>
      </c>
      <c r="L15" s="3">
        <v>0</v>
      </c>
      <c r="M15" s="3">
        <v>0</v>
      </c>
      <c r="N15" s="3">
        <v>0</v>
      </c>
      <c r="O15" s="3"/>
      <c r="P15" s="3">
        <v>0</v>
      </c>
      <c r="Q15" s="3">
        <v>0</v>
      </c>
      <c r="R15" s="3">
        <v>0</v>
      </c>
    </row>
    <row r="16" spans="1:18">
      <c r="A16" s="3" t="s">
        <v>47</v>
      </c>
      <c r="B16" s="3" t="s">
        <v>48</v>
      </c>
      <c r="C16" s="3" t="s">
        <v>48</v>
      </c>
      <c r="D16" s="3"/>
      <c r="E16" s="3" t="s">
        <v>20</v>
      </c>
      <c r="F16" s="3"/>
      <c r="G16" s="3"/>
      <c r="H16" s="3"/>
      <c r="I16" s="3"/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/>
      <c r="P16" s="3">
        <v>0</v>
      </c>
      <c r="Q16" s="3">
        <v>0</v>
      </c>
      <c r="R16" s="3">
        <v>0</v>
      </c>
    </row>
    <row r="17" spans="1:18">
      <c r="A17" s="3" t="s">
        <v>49</v>
      </c>
      <c r="B17" s="3" t="s">
        <v>50</v>
      </c>
      <c r="C17" s="3" t="s">
        <v>50</v>
      </c>
      <c r="D17" s="3"/>
      <c r="E17" s="3" t="s">
        <v>20</v>
      </c>
      <c r="F17" s="3"/>
      <c r="G17" s="3"/>
      <c r="H17" s="3"/>
      <c r="I17" s="3"/>
      <c r="J17" s="3">
        <v>12</v>
      </c>
      <c r="K17" s="3">
        <v>12</v>
      </c>
      <c r="L17" s="3">
        <v>0</v>
      </c>
      <c r="M17" s="3">
        <v>0</v>
      </c>
      <c r="N17" s="3">
        <v>12</v>
      </c>
      <c r="O17" s="3"/>
      <c r="P17" s="3">
        <v>0</v>
      </c>
      <c r="Q17" s="3">
        <v>0</v>
      </c>
      <c r="R17" s="3">
        <v>0</v>
      </c>
    </row>
    <row r="18" spans="1:18">
      <c r="A18" s="3" t="s">
        <v>51</v>
      </c>
      <c r="B18" s="3" t="s">
        <v>52</v>
      </c>
      <c r="C18" s="3" t="s">
        <v>52</v>
      </c>
      <c r="D18" s="3"/>
      <c r="E18" s="3" t="s">
        <v>20</v>
      </c>
      <c r="F18" s="3"/>
      <c r="G18" s="3"/>
      <c r="H18" s="3"/>
      <c r="I18" s="3"/>
      <c r="J18" s="3">
        <v>30</v>
      </c>
      <c r="K18" s="3">
        <v>29</v>
      </c>
      <c r="L18" s="3">
        <v>0</v>
      </c>
      <c r="M18" s="3">
        <v>1</v>
      </c>
      <c r="N18" s="3">
        <v>30</v>
      </c>
      <c r="O18" s="3"/>
      <c r="P18" s="3">
        <v>0</v>
      </c>
      <c r="Q18" s="3">
        <v>0</v>
      </c>
      <c r="R18" s="3">
        <v>0</v>
      </c>
    </row>
    <row r="19" spans="1:18">
      <c r="A19" s="3" t="s">
        <v>53</v>
      </c>
      <c r="B19" s="3" t="s">
        <v>54</v>
      </c>
      <c r="C19" s="3" t="s">
        <v>54</v>
      </c>
      <c r="D19" s="3"/>
      <c r="E19" s="3" t="s">
        <v>20</v>
      </c>
      <c r="F19" s="3"/>
      <c r="G19" s="3"/>
      <c r="H19" s="3"/>
      <c r="I19" s="3"/>
      <c r="J19" s="3">
        <v>33</v>
      </c>
      <c r="K19" s="3">
        <v>33</v>
      </c>
      <c r="L19" s="3">
        <v>0</v>
      </c>
      <c r="M19" s="3">
        <v>0</v>
      </c>
      <c r="N19" s="3">
        <v>33</v>
      </c>
      <c r="O19" s="3"/>
      <c r="P19" s="3">
        <v>0</v>
      </c>
      <c r="Q19" s="3">
        <v>0</v>
      </c>
      <c r="R19" s="3">
        <v>0</v>
      </c>
    </row>
    <row r="20" spans="1:18">
      <c r="A20" s="3" t="s">
        <v>55</v>
      </c>
      <c r="B20" s="3" t="s">
        <v>56</v>
      </c>
      <c r="C20" s="3" t="s">
        <v>56</v>
      </c>
      <c r="D20" s="3"/>
      <c r="E20" s="3" t="s">
        <v>20</v>
      </c>
      <c r="F20" s="3"/>
      <c r="G20" s="3"/>
      <c r="H20" s="3"/>
      <c r="I20" s="3"/>
      <c r="J20" s="3">
        <v>39</v>
      </c>
      <c r="K20" s="3">
        <v>38</v>
      </c>
      <c r="L20" s="3">
        <v>0</v>
      </c>
      <c r="M20" s="3">
        <v>1</v>
      </c>
      <c r="N20" s="3">
        <v>39</v>
      </c>
      <c r="O20" s="3"/>
      <c r="P20" s="3">
        <v>0</v>
      </c>
      <c r="Q20" s="3">
        <v>0</v>
      </c>
      <c r="R20" s="3">
        <v>0</v>
      </c>
    </row>
    <row r="21" spans="1:18">
      <c r="A21" s="3" t="s">
        <v>57</v>
      </c>
      <c r="B21" s="3" t="s">
        <v>58</v>
      </c>
      <c r="C21" s="3" t="s">
        <v>58</v>
      </c>
      <c r="D21" s="3"/>
      <c r="E21" s="3" t="s">
        <v>20</v>
      </c>
      <c r="F21" s="3"/>
      <c r="G21" s="3"/>
      <c r="H21" s="3"/>
      <c r="I21" s="3"/>
      <c r="J21" s="3">
        <v>89</v>
      </c>
      <c r="K21" s="3">
        <v>87</v>
      </c>
      <c r="L21" s="3">
        <v>0</v>
      </c>
      <c r="M21" s="3">
        <v>2</v>
      </c>
      <c r="N21" s="3">
        <v>89</v>
      </c>
      <c r="O21" s="3"/>
      <c r="P21" s="3">
        <v>0</v>
      </c>
      <c r="Q21" s="3">
        <v>0</v>
      </c>
      <c r="R21" s="3">
        <v>0</v>
      </c>
    </row>
    <row r="22" spans="1:18">
      <c r="A22" s="3" t="s">
        <v>59</v>
      </c>
      <c r="B22" s="3" t="s">
        <v>60</v>
      </c>
      <c r="C22" s="3" t="s">
        <v>60</v>
      </c>
      <c r="D22" s="3"/>
      <c r="E22" s="3" t="s">
        <v>20</v>
      </c>
      <c r="F22" s="3"/>
      <c r="G22" s="3"/>
      <c r="H22" s="3"/>
      <c r="I22" s="3"/>
      <c r="J22" s="3">
        <v>31</v>
      </c>
      <c r="K22" s="3">
        <v>31</v>
      </c>
      <c r="L22" s="3">
        <v>0</v>
      </c>
      <c r="M22" s="3">
        <v>0</v>
      </c>
      <c r="N22" s="3">
        <v>31</v>
      </c>
      <c r="O22" s="3"/>
      <c r="P22" s="3">
        <v>0</v>
      </c>
      <c r="Q22" s="3">
        <v>0</v>
      </c>
      <c r="R22" s="3">
        <v>0</v>
      </c>
    </row>
    <row r="23" spans="1:18">
      <c r="A23" s="3" t="s">
        <v>61</v>
      </c>
      <c r="B23" s="3" t="s">
        <v>62</v>
      </c>
      <c r="C23" s="3" t="s">
        <v>62</v>
      </c>
      <c r="D23" s="3"/>
      <c r="E23" s="3" t="s">
        <v>20</v>
      </c>
      <c r="F23" s="3"/>
      <c r="G23" s="3"/>
      <c r="H23" s="3"/>
      <c r="I23" s="3"/>
      <c r="J23" s="3">
        <v>42</v>
      </c>
      <c r="K23" s="3">
        <v>42</v>
      </c>
      <c r="L23" s="3">
        <v>0</v>
      </c>
      <c r="M23" s="3">
        <v>0</v>
      </c>
      <c r="N23" s="3">
        <v>42</v>
      </c>
      <c r="O23" s="3"/>
      <c r="P23" s="3">
        <v>0</v>
      </c>
      <c r="Q23" s="3">
        <v>0</v>
      </c>
      <c r="R23" s="3">
        <v>0</v>
      </c>
    </row>
    <row r="24" spans="1:18">
      <c r="A24" s="3" t="s">
        <v>63</v>
      </c>
      <c r="B24" s="3" t="s">
        <v>64</v>
      </c>
      <c r="C24" s="3" t="s">
        <v>64</v>
      </c>
      <c r="D24" s="3"/>
      <c r="E24" s="3" t="s">
        <v>20</v>
      </c>
      <c r="F24" s="3"/>
      <c r="G24" s="3"/>
      <c r="H24" s="3"/>
      <c r="I24" s="3"/>
      <c r="J24" s="3">
        <v>18</v>
      </c>
      <c r="K24" s="3">
        <v>18</v>
      </c>
      <c r="L24" s="3">
        <v>0</v>
      </c>
      <c r="M24" s="3">
        <v>0</v>
      </c>
      <c r="N24" s="3">
        <v>18</v>
      </c>
      <c r="O24" s="3"/>
      <c r="P24" s="3">
        <v>0</v>
      </c>
      <c r="Q24" s="3">
        <v>0</v>
      </c>
      <c r="R24" s="3">
        <v>0</v>
      </c>
    </row>
    <row r="25" spans="1:18">
      <c r="A25" s="3" t="s">
        <v>65</v>
      </c>
      <c r="B25" s="3" t="s">
        <v>66</v>
      </c>
      <c r="C25" s="3" t="s">
        <v>66</v>
      </c>
      <c r="D25" s="3"/>
      <c r="E25" s="3" t="s">
        <v>20</v>
      </c>
      <c r="F25" s="3"/>
      <c r="G25" s="3"/>
      <c r="H25" s="3"/>
      <c r="I25" s="3"/>
      <c r="J25" s="3">
        <v>8</v>
      </c>
      <c r="K25" s="3">
        <v>8</v>
      </c>
      <c r="L25" s="3">
        <v>0</v>
      </c>
      <c r="M25" s="3">
        <v>0</v>
      </c>
      <c r="N25" s="3">
        <v>8</v>
      </c>
      <c r="O25" s="3"/>
      <c r="P25" s="3">
        <v>0</v>
      </c>
      <c r="Q25" s="3">
        <v>0</v>
      </c>
      <c r="R25" s="3">
        <v>0</v>
      </c>
    </row>
    <row r="26" spans="1:18">
      <c r="A26" s="3" t="s">
        <v>67</v>
      </c>
      <c r="B26" s="3" t="s">
        <v>68</v>
      </c>
      <c r="C26" s="3" t="s">
        <v>68</v>
      </c>
      <c r="D26" s="3"/>
      <c r="E26" s="3" t="s">
        <v>20</v>
      </c>
      <c r="F26" s="3"/>
      <c r="G26" s="3"/>
      <c r="H26" s="3"/>
      <c r="I26" s="3"/>
      <c r="J26" s="3">
        <v>43</v>
      </c>
      <c r="K26" s="3">
        <v>43</v>
      </c>
      <c r="L26" s="3">
        <v>0</v>
      </c>
      <c r="M26" s="3">
        <v>0</v>
      </c>
      <c r="N26" s="3">
        <v>43</v>
      </c>
      <c r="O26" s="3"/>
      <c r="P26" s="3">
        <v>0</v>
      </c>
      <c r="Q26" s="3">
        <v>0</v>
      </c>
      <c r="R26" s="3">
        <v>0</v>
      </c>
    </row>
    <row r="27" spans="1:18">
      <c r="A27" s="3" t="s">
        <v>69</v>
      </c>
      <c r="B27" s="3" t="s">
        <v>70</v>
      </c>
      <c r="C27" s="3" t="s">
        <v>70</v>
      </c>
      <c r="D27" s="3"/>
      <c r="E27" s="3" t="s">
        <v>20</v>
      </c>
      <c r="F27" s="3"/>
      <c r="G27" s="3"/>
      <c r="H27" s="3"/>
      <c r="I27" s="3"/>
      <c r="J27" s="3">
        <v>51</v>
      </c>
      <c r="K27" s="3">
        <v>51</v>
      </c>
      <c r="L27" s="3">
        <v>0</v>
      </c>
      <c r="M27" s="3">
        <v>0</v>
      </c>
      <c r="N27" s="3">
        <v>51</v>
      </c>
      <c r="O27" s="3"/>
      <c r="P27" s="3">
        <v>0</v>
      </c>
      <c r="Q27" s="3">
        <v>0</v>
      </c>
      <c r="R27" s="3">
        <v>0</v>
      </c>
    </row>
    <row r="28" spans="1:18">
      <c r="A28" s="3" t="s">
        <v>71</v>
      </c>
      <c r="B28" s="3" t="s">
        <v>72</v>
      </c>
      <c r="C28" s="3" t="s">
        <v>72</v>
      </c>
      <c r="D28" s="3"/>
      <c r="E28" s="3" t="s">
        <v>20</v>
      </c>
      <c r="F28" s="3"/>
      <c r="G28" s="3"/>
      <c r="H28" s="3"/>
      <c r="I28" s="3"/>
      <c r="J28" s="3">
        <v>12</v>
      </c>
      <c r="K28" s="3">
        <v>12</v>
      </c>
      <c r="L28" s="3">
        <v>0</v>
      </c>
      <c r="M28" s="3">
        <v>0</v>
      </c>
      <c r="N28" s="3">
        <v>12</v>
      </c>
      <c r="O28" s="3"/>
      <c r="P28" s="3">
        <v>0</v>
      </c>
      <c r="Q28" s="3">
        <v>0</v>
      </c>
      <c r="R28" s="3">
        <v>0</v>
      </c>
    </row>
    <row r="29" spans="1:18">
      <c r="A29" s="3" t="s">
        <v>73</v>
      </c>
      <c r="B29" s="3" t="s">
        <v>74</v>
      </c>
      <c r="C29" s="3" t="s">
        <v>74</v>
      </c>
      <c r="D29" s="3"/>
      <c r="E29" s="3" t="s">
        <v>20</v>
      </c>
      <c r="F29" s="3"/>
      <c r="G29" s="3"/>
      <c r="H29" s="3"/>
      <c r="I29" s="3"/>
      <c r="J29" s="3">
        <v>26</v>
      </c>
      <c r="K29" s="3">
        <v>26</v>
      </c>
      <c r="L29" s="3">
        <v>0</v>
      </c>
      <c r="M29" s="3">
        <v>0</v>
      </c>
      <c r="N29" s="3">
        <v>26</v>
      </c>
      <c r="O29" s="3"/>
      <c r="P29" s="3">
        <v>0</v>
      </c>
      <c r="Q29" s="3">
        <v>0</v>
      </c>
      <c r="R29" s="3">
        <v>0</v>
      </c>
    </row>
    <row r="30" spans="1:18">
      <c r="A30" s="3" t="s">
        <v>75</v>
      </c>
      <c r="B30" s="3" t="s">
        <v>76</v>
      </c>
      <c r="C30" s="3" t="s">
        <v>76</v>
      </c>
      <c r="D30" s="3"/>
      <c r="E30" s="3" t="s">
        <v>20</v>
      </c>
      <c r="F30" s="3"/>
      <c r="G30" s="3"/>
      <c r="H30" s="3"/>
      <c r="I30" s="3"/>
      <c r="J30" s="3">
        <v>11</v>
      </c>
      <c r="K30" s="3">
        <v>11</v>
      </c>
      <c r="L30" s="3">
        <v>0</v>
      </c>
      <c r="M30" s="3">
        <v>0</v>
      </c>
      <c r="N30" s="3">
        <v>11</v>
      </c>
      <c r="O30" s="3"/>
      <c r="P30" s="3">
        <v>0</v>
      </c>
      <c r="Q30" s="3">
        <v>0</v>
      </c>
      <c r="R30" s="3">
        <v>0</v>
      </c>
    </row>
    <row r="31" spans="1:18">
      <c r="A31" s="3" t="s">
        <v>77</v>
      </c>
      <c r="B31" s="3" t="s">
        <v>78</v>
      </c>
      <c r="C31" s="3" t="s">
        <v>78</v>
      </c>
      <c r="D31" s="3"/>
      <c r="E31" s="3" t="s">
        <v>20</v>
      </c>
      <c r="F31" s="3"/>
      <c r="G31" s="3"/>
      <c r="H31" s="3"/>
      <c r="I31" s="3"/>
      <c r="J31" s="3">
        <v>33</v>
      </c>
      <c r="K31" s="3">
        <v>33</v>
      </c>
      <c r="L31" s="3">
        <v>0</v>
      </c>
      <c r="M31" s="3">
        <v>0</v>
      </c>
      <c r="N31" s="3">
        <v>33</v>
      </c>
      <c r="O31" s="3"/>
      <c r="P31" s="3">
        <v>0</v>
      </c>
      <c r="Q31" s="3">
        <v>0</v>
      </c>
      <c r="R31" s="3">
        <v>0</v>
      </c>
    </row>
    <row r="32" spans="1:18">
      <c r="A32" s="3" t="s">
        <v>79</v>
      </c>
      <c r="B32" s="3" t="s">
        <v>80</v>
      </c>
      <c r="C32" s="3" t="s">
        <v>80</v>
      </c>
      <c r="D32" s="3"/>
      <c r="E32" s="3" t="s">
        <v>20</v>
      </c>
      <c r="F32" s="3"/>
      <c r="G32" s="3"/>
      <c r="H32" s="3"/>
      <c r="I32" s="3"/>
      <c r="J32" s="3">
        <v>18</v>
      </c>
      <c r="K32" s="3">
        <v>18</v>
      </c>
      <c r="L32" s="3">
        <v>0</v>
      </c>
      <c r="M32" s="3">
        <v>0</v>
      </c>
      <c r="N32" s="3">
        <v>18</v>
      </c>
      <c r="O32" s="3"/>
      <c r="P32" s="3">
        <v>0</v>
      </c>
      <c r="Q32" s="3">
        <v>0</v>
      </c>
      <c r="R32" s="3">
        <v>0</v>
      </c>
    </row>
    <row r="33" spans="1:18">
      <c r="A33" s="3" t="s">
        <v>81</v>
      </c>
      <c r="B33" s="3" t="s">
        <v>82</v>
      </c>
      <c r="C33" s="3" t="s">
        <v>82</v>
      </c>
      <c r="D33" s="3"/>
      <c r="E33" s="3" t="s">
        <v>20</v>
      </c>
      <c r="F33" s="3"/>
      <c r="G33" s="3"/>
      <c r="H33" s="3"/>
      <c r="I33" s="3"/>
      <c r="J33" s="3">
        <v>33</v>
      </c>
      <c r="K33" s="3">
        <v>33</v>
      </c>
      <c r="L33" s="3">
        <v>0</v>
      </c>
      <c r="M33" s="3">
        <v>0</v>
      </c>
      <c r="N33" s="3">
        <v>33</v>
      </c>
      <c r="O33" s="3"/>
      <c r="P33" s="3">
        <v>0</v>
      </c>
      <c r="Q33" s="3">
        <v>0</v>
      </c>
      <c r="R33" s="3">
        <v>0</v>
      </c>
    </row>
    <row r="34" spans="1:18">
      <c r="A34" s="3" t="s">
        <v>83</v>
      </c>
      <c r="B34" s="3" t="s">
        <v>84</v>
      </c>
      <c r="C34" s="3" t="s">
        <v>84</v>
      </c>
      <c r="D34" s="3"/>
      <c r="E34" s="3" t="s">
        <v>20</v>
      </c>
      <c r="F34" s="3"/>
      <c r="G34" s="3"/>
      <c r="H34" s="3"/>
      <c r="I34" s="3"/>
      <c r="J34" s="3">
        <v>31</v>
      </c>
      <c r="K34" s="3">
        <v>31</v>
      </c>
      <c r="L34" s="3">
        <v>0</v>
      </c>
      <c r="M34" s="3">
        <v>0</v>
      </c>
      <c r="N34" s="3">
        <v>31</v>
      </c>
      <c r="O34" s="3"/>
      <c r="P34" s="3">
        <v>0</v>
      </c>
      <c r="Q34" s="3">
        <v>0</v>
      </c>
      <c r="R34" s="3">
        <v>0</v>
      </c>
    </row>
    <row r="35" spans="1:18">
      <c r="A35" s="3" t="s">
        <v>85</v>
      </c>
      <c r="B35" s="3" t="s">
        <v>86</v>
      </c>
      <c r="C35" s="3" t="s">
        <v>86</v>
      </c>
      <c r="D35" s="3"/>
      <c r="E35" s="3" t="s">
        <v>20</v>
      </c>
      <c r="F35" s="3"/>
      <c r="G35" s="3"/>
      <c r="H35" s="3"/>
      <c r="I35" s="3"/>
      <c r="J35" s="3">
        <v>11</v>
      </c>
      <c r="K35" s="3">
        <v>11</v>
      </c>
      <c r="L35" s="3">
        <v>0</v>
      </c>
      <c r="M35" s="3">
        <v>0</v>
      </c>
      <c r="N35" s="3">
        <v>11</v>
      </c>
      <c r="O35" s="3"/>
      <c r="P35" s="3">
        <v>0</v>
      </c>
      <c r="Q35" s="3">
        <v>0</v>
      </c>
      <c r="R35" s="3">
        <v>0</v>
      </c>
    </row>
    <row r="36" spans="1:18">
      <c r="A36" s="3" t="s">
        <v>87</v>
      </c>
      <c r="B36" s="3" t="s">
        <v>88</v>
      </c>
      <c r="C36" s="3" t="s">
        <v>88</v>
      </c>
      <c r="D36" s="3"/>
      <c r="E36" s="3" t="s">
        <v>20</v>
      </c>
      <c r="F36" s="3"/>
      <c r="G36" s="3"/>
      <c r="H36" s="3"/>
      <c r="I36" s="3"/>
      <c r="J36" s="3">
        <v>4</v>
      </c>
      <c r="K36" s="3">
        <v>3</v>
      </c>
      <c r="L36" s="3">
        <v>0</v>
      </c>
      <c r="M36" s="3">
        <v>1</v>
      </c>
      <c r="N36" s="3">
        <v>4</v>
      </c>
      <c r="O36" s="3"/>
      <c r="P36" s="3">
        <v>0</v>
      </c>
      <c r="Q36" s="3">
        <v>0</v>
      </c>
      <c r="R36" s="3">
        <v>0</v>
      </c>
    </row>
    <row r="37" spans="1:18">
      <c r="A37" s="3" t="s">
        <v>89</v>
      </c>
      <c r="B37" s="3" t="s">
        <v>90</v>
      </c>
      <c r="C37" s="3" t="s">
        <v>90</v>
      </c>
      <c r="D37" s="3"/>
      <c r="E37" s="3" t="s">
        <v>20</v>
      </c>
      <c r="F37" s="3"/>
      <c r="G37" s="3"/>
      <c r="H37" s="3"/>
      <c r="I37" s="3"/>
      <c r="J37" s="3">
        <v>8</v>
      </c>
      <c r="K37" s="3">
        <v>8</v>
      </c>
      <c r="L37" s="3">
        <v>0</v>
      </c>
      <c r="M37" s="3">
        <v>0</v>
      </c>
      <c r="N37" s="3">
        <v>8</v>
      </c>
      <c r="O37" s="3"/>
      <c r="P37" s="3">
        <v>0</v>
      </c>
      <c r="Q37" s="3">
        <v>0</v>
      </c>
      <c r="R37" s="3">
        <v>0</v>
      </c>
    </row>
    <row r="38" spans="1:18">
      <c r="A38" s="3" t="s">
        <v>91</v>
      </c>
      <c r="B38" s="3" t="s">
        <v>92</v>
      </c>
      <c r="C38" s="3" t="s">
        <v>92</v>
      </c>
      <c r="D38" s="3"/>
      <c r="E38" s="3" t="s">
        <v>20</v>
      </c>
      <c r="F38" s="3"/>
      <c r="G38" s="3"/>
      <c r="H38" s="3"/>
      <c r="I38" s="3"/>
      <c r="J38" s="3">
        <v>50</v>
      </c>
      <c r="K38" s="3">
        <v>48</v>
      </c>
      <c r="L38" s="3">
        <v>0</v>
      </c>
      <c r="M38" s="3">
        <v>2</v>
      </c>
      <c r="N38" s="3">
        <v>50</v>
      </c>
      <c r="O38" s="3"/>
      <c r="P38" s="3">
        <v>0</v>
      </c>
      <c r="Q38" s="3">
        <v>0</v>
      </c>
      <c r="R38" s="3">
        <v>0</v>
      </c>
    </row>
    <row r="39" spans="1:18">
      <c r="A39" s="3" t="s">
        <v>93</v>
      </c>
      <c r="B39" s="3" t="s">
        <v>94</v>
      </c>
      <c r="C39" s="3" t="s">
        <v>94</v>
      </c>
      <c r="D39" s="3"/>
      <c r="E39" s="3" t="s">
        <v>20</v>
      </c>
      <c r="F39" s="3"/>
      <c r="G39" s="3"/>
      <c r="H39" s="3"/>
      <c r="I39" s="3"/>
      <c r="J39" s="3">
        <v>29</v>
      </c>
      <c r="K39" s="3">
        <v>29</v>
      </c>
      <c r="L39" s="3">
        <v>0</v>
      </c>
      <c r="M39" s="3">
        <v>0</v>
      </c>
      <c r="N39" s="3">
        <v>29</v>
      </c>
      <c r="O39" s="3"/>
      <c r="P39" s="3">
        <v>0</v>
      </c>
      <c r="Q39" s="3">
        <v>0</v>
      </c>
      <c r="R39" s="3">
        <v>0</v>
      </c>
    </row>
    <row r="40" spans="1:18">
      <c r="A40" s="3" t="s">
        <v>95</v>
      </c>
      <c r="B40" s="3" t="s">
        <v>96</v>
      </c>
      <c r="C40" s="3" t="s">
        <v>96</v>
      </c>
      <c r="D40" s="3"/>
      <c r="E40" s="3" t="s">
        <v>20</v>
      </c>
      <c r="F40" s="3"/>
      <c r="G40" s="3"/>
      <c r="H40" s="3"/>
      <c r="I40" s="3"/>
      <c r="J40" s="3">
        <v>0</v>
      </c>
      <c r="K40" s="3">
        <v>0</v>
      </c>
      <c r="L40" s="3">
        <v>0</v>
      </c>
      <c r="M40" s="3">
        <v>0</v>
      </c>
      <c r="N40" s="3">
        <v>0</v>
      </c>
      <c r="O40" s="3"/>
      <c r="P40" s="3">
        <v>0</v>
      </c>
      <c r="Q40" s="3">
        <v>0</v>
      </c>
      <c r="R40" s="3">
        <v>0</v>
      </c>
    </row>
    <row r="41" spans="1:18">
      <c r="A41" s="3" t="s">
        <v>97</v>
      </c>
      <c r="B41" s="3" t="s">
        <v>98</v>
      </c>
      <c r="C41" s="3" t="s">
        <v>98</v>
      </c>
      <c r="D41" s="3"/>
      <c r="E41" s="3" t="s">
        <v>20</v>
      </c>
      <c r="F41" s="3"/>
      <c r="G41" s="3"/>
      <c r="H41" s="3"/>
      <c r="I41" s="3"/>
      <c r="J41" s="3">
        <v>42</v>
      </c>
      <c r="K41" s="3">
        <v>42</v>
      </c>
      <c r="L41" s="3">
        <v>0</v>
      </c>
      <c r="M41" s="3">
        <v>0</v>
      </c>
      <c r="N41" s="3">
        <v>42</v>
      </c>
      <c r="O41" s="3"/>
      <c r="P41" s="3">
        <v>0</v>
      </c>
      <c r="Q41" s="3">
        <v>0</v>
      </c>
      <c r="R41" s="3">
        <v>0</v>
      </c>
    </row>
    <row r="42" spans="1:18">
      <c r="A42" s="3" t="s">
        <v>99</v>
      </c>
      <c r="B42" s="3" t="s">
        <v>100</v>
      </c>
      <c r="C42" s="3" t="s">
        <v>100</v>
      </c>
      <c r="D42" s="3"/>
      <c r="E42" s="3" t="s">
        <v>20</v>
      </c>
      <c r="F42" s="3"/>
      <c r="G42" s="3"/>
      <c r="H42" s="3"/>
      <c r="I42" s="3"/>
      <c r="J42" s="3">
        <v>47</v>
      </c>
      <c r="K42" s="3">
        <v>47</v>
      </c>
      <c r="L42" s="3">
        <v>0</v>
      </c>
      <c r="M42" s="3">
        <v>0</v>
      </c>
      <c r="N42" s="3">
        <v>47</v>
      </c>
      <c r="O42" s="3"/>
      <c r="P42" s="3">
        <v>0</v>
      </c>
      <c r="Q42" s="3">
        <v>0</v>
      </c>
      <c r="R42" s="3">
        <v>0</v>
      </c>
    </row>
    <row r="43" spans="1:18">
      <c r="A43" s="3" t="s">
        <v>101</v>
      </c>
      <c r="B43" s="3" t="s">
        <v>102</v>
      </c>
      <c r="C43" s="3" t="s">
        <v>102</v>
      </c>
      <c r="D43" s="3"/>
      <c r="E43" s="3" t="s">
        <v>20</v>
      </c>
      <c r="F43" s="3"/>
      <c r="G43" s="3"/>
      <c r="H43" s="3"/>
      <c r="I43" s="3"/>
      <c r="J43" s="3">
        <v>0</v>
      </c>
      <c r="K43" s="3">
        <v>0</v>
      </c>
      <c r="L43" s="3">
        <v>0</v>
      </c>
      <c r="M43" s="3">
        <v>0</v>
      </c>
      <c r="N43" s="3">
        <v>0</v>
      </c>
      <c r="O43" s="3"/>
      <c r="P43" s="3">
        <v>0</v>
      </c>
      <c r="Q43" s="3">
        <v>0</v>
      </c>
      <c r="R43" s="3">
        <v>0</v>
      </c>
    </row>
    <row r="44" spans="1:18">
      <c r="A44" s="3" t="s">
        <v>103</v>
      </c>
      <c r="B44" s="3" t="s">
        <v>104</v>
      </c>
      <c r="C44" s="3" t="s">
        <v>104</v>
      </c>
      <c r="D44" s="3"/>
      <c r="E44" s="3" t="s">
        <v>20</v>
      </c>
      <c r="F44" s="3"/>
      <c r="G44" s="3"/>
      <c r="H44" s="3"/>
      <c r="I44" s="3"/>
      <c r="J44" s="3">
        <v>5</v>
      </c>
      <c r="K44" s="3">
        <v>5</v>
      </c>
      <c r="L44" s="3">
        <v>0</v>
      </c>
      <c r="M44" s="3">
        <v>0</v>
      </c>
      <c r="N44" s="3">
        <v>5</v>
      </c>
      <c r="O44" s="3"/>
      <c r="P44" s="3">
        <v>0</v>
      </c>
      <c r="Q44" s="3">
        <v>0</v>
      </c>
      <c r="R44" s="3">
        <v>0</v>
      </c>
    </row>
    <row r="45" spans="1:18">
      <c r="A45" s="3" t="s">
        <v>105</v>
      </c>
      <c r="B45" s="3" t="s">
        <v>106</v>
      </c>
      <c r="C45" s="3" t="s">
        <v>106</v>
      </c>
      <c r="D45" s="3"/>
      <c r="E45" s="3" t="s">
        <v>20</v>
      </c>
      <c r="F45" s="3"/>
      <c r="G45" s="3"/>
      <c r="H45" s="3"/>
      <c r="I45" s="3"/>
      <c r="J45" s="3">
        <v>2</v>
      </c>
      <c r="K45" s="3">
        <v>2</v>
      </c>
      <c r="L45" s="3">
        <v>0</v>
      </c>
      <c r="M45" s="3">
        <v>0</v>
      </c>
      <c r="N45" s="3">
        <v>2</v>
      </c>
      <c r="O45" s="3"/>
      <c r="P45" s="3">
        <v>0</v>
      </c>
      <c r="Q45" s="3">
        <v>0</v>
      </c>
      <c r="R45" s="3">
        <v>0</v>
      </c>
    </row>
    <row r="46" spans="1:18">
      <c r="A46" s="3" t="s">
        <v>107</v>
      </c>
      <c r="B46" s="3" t="s">
        <v>108</v>
      </c>
      <c r="C46" s="3" t="s">
        <v>108</v>
      </c>
      <c r="D46" s="3"/>
      <c r="E46" s="3" t="s">
        <v>20</v>
      </c>
      <c r="F46" s="3"/>
      <c r="G46" s="3"/>
      <c r="H46" s="3"/>
      <c r="I46" s="3"/>
      <c r="J46" s="3">
        <v>9</v>
      </c>
      <c r="K46" s="3">
        <v>9</v>
      </c>
      <c r="L46" s="3">
        <v>0</v>
      </c>
      <c r="M46" s="3">
        <v>0</v>
      </c>
      <c r="N46" s="3">
        <v>9</v>
      </c>
      <c r="O46" s="3"/>
      <c r="P46" s="3">
        <v>0</v>
      </c>
      <c r="Q46" s="3">
        <v>0</v>
      </c>
      <c r="R46" s="3">
        <v>0</v>
      </c>
    </row>
    <row r="47" spans="1:18">
      <c r="A47" s="3" t="s">
        <v>109</v>
      </c>
      <c r="B47" s="3" t="s">
        <v>110</v>
      </c>
      <c r="C47" s="3" t="s">
        <v>110</v>
      </c>
      <c r="D47" s="3"/>
      <c r="E47" s="3" t="s">
        <v>20</v>
      </c>
      <c r="F47" s="3"/>
      <c r="G47" s="3"/>
      <c r="H47" s="3"/>
      <c r="I47" s="3"/>
      <c r="J47" s="3">
        <v>42</v>
      </c>
      <c r="K47" s="3">
        <v>42</v>
      </c>
      <c r="L47" s="3">
        <v>0</v>
      </c>
      <c r="M47" s="3">
        <v>0</v>
      </c>
      <c r="N47" s="3">
        <v>42</v>
      </c>
      <c r="O47" s="3"/>
      <c r="P47" s="3">
        <v>0</v>
      </c>
      <c r="Q47" s="3">
        <v>0</v>
      </c>
      <c r="R47" s="3">
        <v>0</v>
      </c>
    </row>
    <row r="48" spans="1:18">
      <c r="A48" s="3" t="s">
        <v>111</v>
      </c>
      <c r="B48" s="3" t="s">
        <v>112</v>
      </c>
      <c r="C48" s="3" t="s">
        <v>112</v>
      </c>
      <c r="D48" s="3"/>
      <c r="E48" s="3" t="s">
        <v>20</v>
      </c>
      <c r="F48" s="3"/>
      <c r="G48" s="3"/>
      <c r="H48" s="3"/>
      <c r="I48" s="3"/>
      <c r="J48" s="3">
        <v>37</v>
      </c>
      <c r="K48" s="3">
        <v>36</v>
      </c>
      <c r="L48" s="3">
        <v>0</v>
      </c>
      <c r="M48" s="3">
        <v>1</v>
      </c>
      <c r="N48" s="3">
        <v>37</v>
      </c>
      <c r="O48" s="3"/>
      <c r="P48" s="3">
        <v>0</v>
      </c>
      <c r="Q48" s="3">
        <v>0</v>
      </c>
      <c r="R48" s="3">
        <v>0</v>
      </c>
    </row>
    <row r="49" spans="1:18">
      <c r="A49" s="3" t="s">
        <v>113</v>
      </c>
      <c r="B49" s="3" t="s">
        <v>114</v>
      </c>
      <c r="C49" s="3" t="s">
        <v>114</v>
      </c>
      <c r="D49" s="3"/>
      <c r="E49" s="3" t="s">
        <v>20</v>
      </c>
      <c r="F49" s="3"/>
      <c r="G49" s="3"/>
      <c r="H49" s="3"/>
      <c r="I49" s="3"/>
      <c r="J49" s="3">
        <v>39</v>
      </c>
      <c r="K49" s="3">
        <v>39</v>
      </c>
      <c r="L49" s="3">
        <v>0</v>
      </c>
      <c r="M49" s="3">
        <v>0</v>
      </c>
      <c r="N49" s="3">
        <v>39</v>
      </c>
      <c r="O49" s="3"/>
      <c r="P49" s="3">
        <v>0</v>
      </c>
      <c r="Q49" s="3">
        <v>0</v>
      </c>
      <c r="R49" s="3">
        <v>0</v>
      </c>
    </row>
    <row r="50" spans="1:18">
      <c r="A50" s="3" t="s">
        <v>115</v>
      </c>
      <c r="B50" s="3" t="s">
        <v>116</v>
      </c>
      <c r="C50" s="3" t="s">
        <v>116</v>
      </c>
      <c r="D50" s="3"/>
      <c r="E50" s="3" t="s">
        <v>20</v>
      </c>
      <c r="F50" s="3"/>
      <c r="G50" s="3"/>
      <c r="H50" s="3"/>
      <c r="I50" s="3"/>
      <c r="J50" s="3">
        <v>23</v>
      </c>
      <c r="K50" s="3">
        <v>23</v>
      </c>
      <c r="L50" s="3">
        <v>0</v>
      </c>
      <c r="M50" s="3">
        <v>0</v>
      </c>
      <c r="N50" s="3">
        <v>23</v>
      </c>
      <c r="O50" s="3"/>
      <c r="P50" s="3">
        <v>0</v>
      </c>
      <c r="Q50" s="3">
        <v>0</v>
      </c>
      <c r="R50" s="3">
        <v>0</v>
      </c>
    </row>
    <row r="51" spans="1:18">
      <c r="A51" s="3" t="s">
        <v>117</v>
      </c>
      <c r="B51" s="3" t="s">
        <v>118</v>
      </c>
      <c r="C51" s="3" t="s">
        <v>118</v>
      </c>
      <c r="D51" s="3" t="s">
        <v>119</v>
      </c>
      <c r="E51" s="3" t="s">
        <v>120</v>
      </c>
      <c r="F51" s="3">
        <v>22.98</v>
      </c>
      <c r="G51" s="3" t="s">
        <v>121</v>
      </c>
      <c r="H51" s="3"/>
      <c r="I51" s="3" t="s">
        <v>122</v>
      </c>
      <c r="J51" s="3">
        <v>15</v>
      </c>
      <c r="K51" s="3">
        <v>15</v>
      </c>
      <c r="L51" s="3">
        <v>0</v>
      </c>
      <c r="M51" s="3">
        <v>0</v>
      </c>
      <c r="N51" s="3">
        <v>15</v>
      </c>
      <c r="O51" s="3">
        <v>0.17</v>
      </c>
      <c r="P51" s="3">
        <v>0</v>
      </c>
      <c r="Q51" s="3">
        <v>0</v>
      </c>
      <c r="R51" s="3">
        <v>0</v>
      </c>
    </row>
    <row r="52" spans="1:18">
      <c r="A52" s="3" t="s">
        <v>123</v>
      </c>
      <c r="B52" s="3" t="s">
        <v>124</v>
      </c>
      <c r="C52" s="3" t="s">
        <v>124</v>
      </c>
      <c r="D52" s="3"/>
      <c r="E52" s="3" t="s">
        <v>20</v>
      </c>
      <c r="F52" s="3"/>
      <c r="G52" s="3"/>
      <c r="H52" s="3"/>
      <c r="I52" s="3"/>
      <c r="J52" s="3">
        <v>27</v>
      </c>
      <c r="K52" s="3">
        <v>25</v>
      </c>
      <c r="L52" s="3">
        <v>0</v>
      </c>
      <c r="M52" s="3">
        <v>2</v>
      </c>
      <c r="N52" s="3">
        <v>27</v>
      </c>
      <c r="O52" s="3"/>
      <c r="P52" s="3">
        <v>0</v>
      </c>
      <c r="Q52" s="3">
        <v>0</v>
      </c>
      <c r="R52" s="3">
        <v>0</v>
      </c>
    </row>
    <row r="53" spans="1:18">
      <c r="A53" s="3" t="s">
        <v>125</v>
      </c>
      <c r="B53" s="3" t="s">
        <v>126</v>
      </c>
      <c r="C53" s="3" t="s">
        <v>126</v>
      </c>
      <c r="D53" s="3"/>
      <c r="E53" s="3" t="s">
        <v>20</v>
      </c>
      <c r="F53" s="3"/>
      <c r="G53" s="3"/>
      <c r="H53" s="3"/>
      <c r="I53" s="3"/>
      <c r="J53" s="3">
        <v>47</v>
      </c>
      <c r="K53" s="3">
        <v>47</v>
      </c>
      <c r="L53" s="3">
        <v>0</v>
      </c>
      <c r="M53" s="3">
        <v>0</v>
      </c>
      <c r="N53" s="3">
        <v>47</v>
      </c>
      <c r="O53" s="3"/>
      <c r="P53" s="3">
        <v>0</v>
      </c>
      <c r="Q53" s="3">
        <v>0</v>
      </c>
      <c r="R53" s="3">
        <v>0</v>
      </c>
    </row>
    <row r="54" spans="1:18">
      <c r="A54" s="3" t="s">
        <v>127</v>
      </c>
      <c r="B54" s="3" t="s">
        <v>128</v>
      </c>
      <c r="C54" s="3" t="s">
        <v>128</v>
      </c>
      <c r="D54" s="3"/>
      <c r="E54" s="3" t="s">
        <v>20</v>
      </c>
      <c r="F54" s="3"/>
      <c r="G54" s="3"/>
      <c r="H54" s="3"/>
      <c r="I54" s="3"/>
      <c r="J54" s="3">
        <v>51</v>
      </c>
      <c r="K54" s="3">
        <v>51</v>
      </c>
      <c r="L54" s="3">
        <v>0</v>
      </c>
      <c r="M54" s="3">
        <v>0</v>
      </c>
      <c r="N54" s="3">
        <v>51</v>
      </c>
      <c r="O54" s="3"/>
      <c r="P54" s="3">
        <v>0</v>
      </c>
      <c r="Q54" s="3">
        <v>0</v>
      </c>
      <c r="R54" s="3">
        <v>0</v>
      </c>
    </row>
    <row r="55" spans="1:18">
      <c r="A55" s="3" t="s">
        <v>129</v>
      </c>
      <c r="B55" s="3" t="s">
        <v>130</v>
      </c>
      <c r="C55" s="3" t="s">
        <v>130</v>
      </c>
      <c r="D55" s="3"/>
      <c r="E55" s="3" t="s">
        <v>20</v>
      </c>
      <c r="F55" s="3"/>
      <c r="G55" s="3"/>
      <c r="H55" s="3"/>
      <c r="I55" s="3"/>
      <c r="J55" s="3">
        <v>42</v>
      </c>
      <c r="K55" s="3">
        <v>42</v>
      </c>
      <c r="L55" s="3">
        <v>0</v>
      </c>
      <c r="M55" s="3">
        <v>0</v>
      </c>
      <c r="N55" s="3">
        <v>42</v>
      </c>
      <c r="O55" s="3"/>
      <c r="P55" s="3">
        <v>0</v>
      </c>
      <c r="Q55" s="3">
        <v>0</v>
      </c>
      <c r="R55" s="3">
        <v>0</v>
      </c>
    </row>
    <row r="56" spans="1:18">
      <c r="A56" s="3" t="s">
        <v>131</v>
      </c>
      <c r="B56" s="3" t="s">
        <v>132</v>
      </c>
      <c r="C56" s="3" t="s">
        <v>132</v>
      </c>
      <c r="D56" s="3"/>
      <c r="E56" s="3" t="s">
        <v>20</v>
      </c>
      <c r="F56" s="3"/>
      <c r="G56" s="3"/>
      <c r="H56" s="3"/>
      <c r="I56" s="3"/>
      <c r="J56" s="3">
        <v>58</v>
      </c>
      <c r="K56" s="3">
        <v>58</v>
      </c>
      <c r="L56" s="3">
        <v>0</v>
      </c>
      <c r="M56" s="3">
        <v>0</v>
      </c>
      <c r="N56" s="3">
        <v>58</v>
      </c>
      <c r="O56" s="3"/>
      <c r="P56" s="3">
        <v>0</v>
      </c>
      <c r="Q56" s="3">
        <v>0</v>
      </c>
      <c r="R56" s="3">
        <v>0</v>
      </c>
    </row>
    <row r="57" spans="1:18">
      <c r="A57" s="3" t="s">
        <v>133</v>
      </c>
      <c r="B57" s="3" t="s">
        <v>134</v>
      </c>
      <c r="C57" s="3" t="s">
        <v>134</v>
      </c>
      <c r="D57" s="3"/>
      <c r="E57" s="3" t="s">
        <v>20</v>
      </c>
      <c r="F57" s="3"/>
      <c r="G57" s="3"/>
      <c r="H57" s="3"/>
      <c r="I57" s="3"/>
      <c r="J57" s="3">
        <v>1</v>
      </c>
      <c r="K57" s="3">
        <v>1</v>
      </c>
      <c r="L57" s="3">
        <v>0</v>
      </c>
      <c r="M57" s="3">
        <v>0</v>
      </c>
      <c r="N57" s="3">
        <v>1</v>
      </c>
      <c r="O57" s="3"/>
      <c r="P57" s="3">
        <v>0</v>
      </c>
      <c r="Q57" s="3">
        <v>0</v>
      </c>
      <c r="R57" s="3">
        <v>0</v>
      </c>
    </row>
    <row r="58" spans="1:18">
      <c r="A58" s="3" t="s">
        <v>135</v>
      </c>
      <c r="B58" s="3" t="s">
        <v>136</v>
      </c>
      <c r="C58" s="3" t="s">
        <v>136</v>
      </c>
      <c r="D58" s="3"/>
      <c r="E58" s="3" t="s">
        <v>20</v>
      </c>
      <c r="F58" s="3"/>
      <c r="G58" s="3"/>
      <c r="H58" s="3"/>
      <c r="I58" s="3"/>
      <c r="J58" s="3">
        <v>25</v>
      </c>
      <c r="K58" s="3">
        <v>25</v>
      </c>
      <c r="L58" s="3">
        <v>0</v>
      </c>
      <c r="M58" s="3">
        <v>0</v>
      </c>
      <c r="N58" s="3">
        <v>25</v>
      </c>
      <c r="O58" s="3"/>
      <c r="P58" s="3">
        <v>0</v>
      </c>
      <c r="Q58" s="3">
        <v>0</v>
      </c>
      <c r="R58" s="3">
        <v>0</v>
      </c>
    </row>
    <row r="59" spans="1:18">
      <c r="A59" s="3" t="s">
        <v>137</v>
      </c>
      <c r="B59" s="3" t="s">
        <v>138</v>
      </c>
      <c r="C59" s="3" t="s">
        <v>138</v>
      </c>
      <c r="D59" s="3"/>
      <c r="E59" s="3" t="s">
        <v>20</v>
      </c>
      <c r="F59" s="3"/>
      <c r="G59" s="3"/>
      <c r="H59" s="3"/>
      <c r="I59" s="3"/>
      <c r="J59" s="3">
        <v>11</v>
      </c>
      <c r="K59" s="3">
        <v>10</v>
      </c>
      <c r="L59" s="3">
        <v>0</v>
      </c>
      <c r="M59" s="3">
        <v>1</v>
      </c>
      <c r="N59" s="3">
        <v>11</v>
      </c>
      <c r="O59" s="3"/>
      <c r="P59" s="3">
        <v>0</v>
      </c>
      <c r="Q59" s="3">
        <v>0</v>
      </c>
      <c r="R59" s="3">
        <v>0</v>
      </c>
    </row>
    <row r="60" spans="1:18">
      <c r="A60" s="3" t="s">
        <v>139</v>
      </c>
      <c r="B60" s="3" t="s">
        <v>140</v>
      </c>
      <c r="C60" s="3" t="s">
        <v>140</v>
      </c>
      <c r="D60" s="3"/>
      <c r="E60" s="3" t="s">
        <v>20</v>
      </c>
      <c r="F60" s="3"/>
      <c r="G60" s="3"/>
      <c r="H60" s="3"/>
      <c r="I60" s="3"/>
      <c r="J60" s="3">
        <v>16</v>
      </c>
      <c r="K60" s="3">
        <v>16</v>
      </c>
      <c r="L60" s="3">
        <v>0</v>
      </c>
      <c r="M60" s="3">
        <v>0</v>
      </c>
      <c r="N60" s="3">
        <v>16</v>
      </c>
      <c r="O60" s="3"/>
      <c r="P60" s="3">
        <v>0</v>
      </c>
      <c r="Q60" s="3">
        <v>0</v>
      </c>
      <c r="R60" s="3">
        <v>0</v>
      </c>
    </row>
    <row r="61" spans="1:18">
      <c r="A61" s="3" t="s">
        <v>141</v>
      </c>
      <c r="B61" s="3" t="s">
        <v>142</v>
      </c>
      <c r="C61" s="3" t="s">
        <v>142</v>
      </c>
      <c r="D61" s="3"/>
      <c r="E61" s="3" t="s">
        <v>20</v>
      </c>
      <c r="F61" s="3"/>
      <c r="G61" s="3"/>
      <c r="H61" s="3"/>
      <c r="I61" s="3"/>
      <c r="J61" s="3">
        <v>12</v>
      </c>
      <c r="K61" s="3">
        <v>12</v>
      </c>
      <c r="L61" s="3">
        <v>0</v>
      </c>
      <c r="M61" s="3">
        <v>0</v>
      </c>
      <c r="N61" s="3">
        <v>12</v>
      </c>
      <c r="O61" s="3"/>
      <c r="P61" s="3">
        <v>0</v>
      </c>
      <c r="Q61" s="3">
        <v>0</v>
      </c>
      <c r="R61" s="3">
        <v>0</v>
      </c>
    </row>
    <row r="62" spans="1:18">
      <c r="A62" s="3" t="s">
        <v>143</v>
      </c>
      <c r="B62" s="3" t="s">
        <v>144</v>
      </c>
      <c r="C62" s="3" t="s">
        <v>144</v>
      </c>
      <c r="D62" s="3"/>
      <c r="E62" s="3" t="s">
        <v>20</v>
      </c>
      <c r="F62" s="3"/>
      <c r="G62" s="3"/>
      <c r="H62" s="3"/>
      <c r="I62" s="3"/>
      <c r="J62" s="3">
        <v>0</v>
      </c>
      <c r="K62" s="3">
        <v>0</v>
      </c>
      <c r="L62" s="3">
        <v>0</v>
      </c>
      <c r="M62" s="3">
        <v>0</v>
      </c>
      <c r="N62" s="3">
        <v>0</v>
      </c>
      <c r="O62" s="3"/>
      <c r="P62" s="3">
        <v>0</v>
      </c>
      <c r="Q62" s="3">
        <v>0</v>
      </c>
      <c r="R62" s="3">
        <v>0</v>
      </c>
    </row>
    <row r="63" spans="1:18">
      <c r="A63" s="3" t="s">
        <v>145</v>
      </c>
      <c r="B63" s="3" t="s">
        <v>146</v>
      </c>
      <c r="C63" s="3" t="s">
        <v>146</v>
      </c>
      <c r="D63" s="3"/>
      <c r="E63" s="3" t="s">
        <v>20</v>
      </c>
      <c r="F63" s="3"/>
      <c r="G63" s="3"/>
      <c r="H63" s="3"/>
      <c r="I63" s="3"/>
      <c r="J63" s="3">
        <v>11</v>
      </c>
      <c r="K63" s="3">
        <v>11</v>
      </c>
      <c r="L63" s="3">
        <v>0</v>
      </c>
      <c r="M63" s="3">
        <v>0</v>
      </c>
      <c r="N63" s="3">
        <v>11</v>
      </c>
      <c r="O63" s="3"/>
      <c r="P63" s="3">
        <v>0</v>
      </c>
      <c r="Q63" s="3">
        <v>0</v>
      </c>
      <c r="R63" s="3">
        <v>0</v>
      </c>
    </row>
    <row r="64" spans="1:18">
      <c r="A64" s="3" t="s">
        <v>147</v>
      </c>
      <c r="B64" s="3" t="s">
        <v>148</v>
      </c>
      <c r="C64" s="3" t="s">
        <v>148</v>
      </c>
      <c r="D64" s="3"/>
      <c r="E64" s="3" t="s">
        <v>20</v>
      </c>
      <c r="F64" s="3"/>
      <c r="G64" s="3"/>
      <c r="H64" s="3"/>
      <c r="I64" s="3"/>
      <c r="J64" s="3">
        <v>4</v>
      </c>
      <c r="K64" s="3">
        <v>4</v>
      </c>
      <c r="L64" s="3">
        <v>0</v>
      </c>
      <c r="M64" s="3">
        <v>0</v>
      </c>
      <c r="N64" s="3">
        <v>4</v>
      </c>
      <c r="O64" s="3"/>
      <c r="P64" s="3">
        <v>0</v>
      </c>
      <c r="Q64" s="3">
        <v>0</v>
      </c>
      <c r="R64" s="3">
        <v>0</v>
      </c>
    </row>
    <row r="65" spans="1:18">
      <c r="A65" s="3" t="s">
        <v>149</v>
      </c>
      <c r="B65" s="3" t="s">
        <v>150</v>
      </c>
      <c r="C65" s="3" t="s">
        <v>150</v>
      </c>
      <c r="D65" s="3"/>
      <c r="E65" s="3" t="s">
        <v>20</v>
      </c>
      <c r="F65" s="3"/>
      <c r="G65" s="3"/>
      <c r="H65" s="3"/>
      <c r="I65" s="3"/>
      <c r="J65" s="3">
        <v>7</v>
      </c>
      <c r="K65" s="3">
        <v>7</v>
      </c>
      <c r="L65" s="3">
        <v>0</v>
      </c>
      <c r="M65" s="3">
        <v>0</v>
      </c>
      <c r="N65" s="3">
        <v>7</v>
      </c>
      <c r="O65" s="3"/>
      <c r="P65" s="3">
        <v>0</v>
      </c>
      <c r="Q65" s="3">
        <v>0</v>
      </c>
      <c r="R65" s="3">
        <v>0</v>
      </c>
    </row>
    <row r="66" spans="1:18">
      <c r="A66" s="3" t="s">
        <v>151</v>
      </c>
      <c r="B66" s="3" t="s">
        <v>152</v>
      </c>
      <c r="C66" s="3" t="s">
        <v>152</v>
      </c>
      <c r="D66" s="3"/>
      <c r="E66" s="3" t="s">
        <v>20</v>
      </c>
      <c r="F66" s="3"/>
      <c r="G66" s="3"/>
      <c r="H66" s="3"/>
      <c r="I66" s="3"/>
      <c r="J66" s="3">
        <v>9</v>
      </c>
      <c r="K66" s="3">
        <v>9</v>
      </c>
      <c r="L66" s="3">
        <v>0</v>
      </c>
      <c r="M66" s="3">
        <v>0</v>
      </c>
      <c r="N66" s="3">
        <v>9</v>
      </c>
      <c r="O66" s="3"/>
      <c r="P66" s="3">
        <v>0</v>
      </c>
      <c r="Q66" s="3">
        <v>0</v>
      </c>
      <c r="R66" s="3">
        <v>0</v>
      </c>
    </row>
    <row r="67" spans="1:18">
      <c r="A67" s="3" t="s">
        <v>153</v>
      </c>
      <c r="B67" s="3" t="s">
        <v>154</v>
      </c>
      <c r="C67" s="3" t="s">
        <v>154</v>
      </c>
      <c r="D67" s="3"/>
      <c r="E67" s="3" t="s">
        <v>20</v>
      </c>
      <c r="F67" s="3"/>
      <c r="G67" s="3"/>
      <c r="H67" s="3"/>
      <c r="I67" s="3"/>
      <c r="J67" s="3">
        <v>45</v>
      </c>
      <c r="K67" s="3">
        <v>45</v>
      </c>
      <c r="L67" s="3">
        <v>0</v>
      </c>
      <c r="M67" s="3">
        <v>0</v>
      </c>
      <c r="N67" s="3">
        <v>45</v>
      </c>
      <c r="O67" s="3"/>
      <c r="P67" s="3">
        <v>0</v>
      </c>
      <c r="Q67" s="3">
        <v>0</v>
      </c>
      <c r="R67" s="3">
        <v>0</v>
      </c>
    </row>
    <row r="68" spans="1:18">
      <c r="A68" s="3" t="s">
        <v>155</v>
      </c>
      <c r="B68" s="3" t="s">
        <v>156</v>
      </c>
      <c r="C68" s="3" t="s">
        <v>156</v>
      </c>
      <c r="D68" s="3"/>
      <c r="E68" s="3" t="s">
        <v>20</v>
      </c>
      <c r="F68" s="3"/>
      <c r="G68" s="3"/>
      <c r="H68" s="3"/>
      <c r="I68" s="3"/>
      <c r="J68" s="3">
        <v>57</v>
      </c>
      <c r="K68" s="3">
        <v>56</v>
      </c>
      <c r="L68" s="3">
        <v>1</v>
      </c>
      <c r="M68" s="3">
        <v>0</v>
      </c>
      <c r="N68" s="3">
        <v>57</v>
      </c>
      <c r="O68" s="3"/>
      <c r="P68" s="3">
        <v>0</v>
      </c>
      <c r="Q68" s="3">
        <v>0</v>
      </c>
      <c r="R68" s="3">
        <v>0</v>
      </c>
    </row>
    <row r="69" spans="1:18">
      <c r="A69" s="3" t="s">
        <v>157</v>
      </c>
      <c r="B69" s="3" t="s">
        <v>158</v>
      </c>
      <c r="C69" s="3" t="s">
        <v>158</v>
      </c>
      <c r="D69" s="3"/>
      <c r="E69" s="3" t="s">
        <v>20</v>
      </c>
      <c r="F69" s="3"/>
      <c r="G69" s="3"/>
      <c r="H69" s="3"/>
      <c r="I69" s="3"/>
      <c r="J69" s="3">
        <v>8</v>
      </c>
      <c r="K69" s="3">
        <v>7</v>
      </c>
      <c r="L69" s="3">
        <v>1</v>
      </c>
      <c r="M69" s="3">
        <v>0</v>
      </c>
      <c r="N69" s="3">
        <v>8</v>
      </c>
      <c r="O69" s="3"/>
      <c r="P69" s="3">
        <v>0</v>
      </c>
      <c r="Q69" s="3">
        <v>0</v>
      </c>
      <c r="R69" s="3">
        <v>0</v>
      </c>
    </row>
    <row r="70" spans="1:18">
      <c r="A70" s="3" t="s">
        <v>159</v>
      </c>
      <c r="B70" s="3" t="s">
        <v>160</v>
      </c>
      <c r="C70" s="3" t="s">
        <v>160</v>
      </c>
      <c r="D70" s="3"/>
      <c r="E70" s="3" t="s">
        <v>20</v>
      </c>
      <c r="F70" s="3"/>
      <c r="G70" s="3"/>
      <c r="H70" s="3"/>
      <c r="I70" s="3"/>
      <c r="J70" s="3">
        <v>45</v>
      </c>
      <c r="K70" s="3">
        <v>45</v>
      </c>
      <c r="L70" s="3">
        <v>0</v>
      </c>
      <c r="M70" s="3">
        <v>0</v>
      </c>
      <c r="N70" s="3">
        <v>45</v>
      </c>
      <c r="O70" s="3"/>
      <c r="P70" s="3">
        <v>0</v>
      </c>
      <c r="Q70" s="3">
        <v>0</v>
      </c>
      <c r="R70" s="3">
        <v>0</v>
      </c>
    </row>
    <row r="71" spans="1:18">
      <c r="A71" s="3" t="s">
        <v>161</v>
      </c>
      <c r="B71" s="3" t="s">
        <v>162</v>
      </c>
      <c r="C71" s="3" t="s">
        <v>162</v>
      </c>
      <c r="D71" s="3"/>
      <c r="E71" s="3" t="s">
        <v>20</v>
      </c>
      <c r="F71" s="3"/>
      <c r="G71" s="3"/>
      <c r="H71" s="3"/>
      <c r="I71" s="3"/>
      <c r="J71" s="3">
        <v>52</v>
      </c>
      <c r="K71" s="3">
        <v>52</v>
      </c>
      <c r="L71" s="3">
        <v>0</v>
      </c>
      <c r="M71" s="3">
        <v>0</v>
      </c>
      <c r="N71" s="3">
        <v>52</v>
      </c>
      <c r="O71" s="3"/>
      <c r="P71" s="3">
        <v>0</v>
      </c>
      <c r="Q71" s="3">
        <v>0</v>
      </c>
      <c r="R71" s="3">
        <v>0</v>
      </c>
    </row>
    <row r="72" spans="1:18">
      <c r="A72" s="3" t="s">
        <v>163</v>
      </c>
      <c r="B72" s="3" t="s">
        <v>164</v>
      </c>
      <c r="C72" s="3" t="s">
        <v>164</v>
      </c>
      <c r="D72" s="3"/>
      <c r="E72" s="3" t="s">
        <v>20</v>
      </c>
      <c r="F72" s="3"/>
      <c r="G72" s="3"/>
      <c r="H72" s="3"/>
      <c r="I72" s="3"/>
      <c r="J72" s="3">
        <v>0</v>
      </c>
      <c r="K72" s="3">
        <v>0</v>
      </c>
      <c r="L72" s="3">
        <v>0</v>
      </c>
      <c r="M72" s="3">
        <v>0</v>
      </c>
      <c r="N72" s="3">
        <v>0</v>
      </c>
      <c r="O72" s="3"/>
      <c r="P72" s="3">
        <v>0</v>
      </c>
      <c r="Q72" s="3">
        <v>0</v>
      </c>
      <c r="R72" s="3">
        <v>0</v>
      </c>
    </row>
    <row r="73" spans="1:18">
      <c r="A73" s="3" t="s">
        <v>165</v>
      </c>
      <c r="B73" s="3" t="s">
        <v>166</v>
      </c>
      <c r="C73" s="3" t="s">
        <v>166</v>
      </c>
      <c r="D73" s="3"/>
      <c r="E73" s="3" t="s">
        <v>20</v>
      </c>
      <c r="F73" s="3"/>
      <c r="G73" s="3"/>
      <c r="H73" s="3"/>
      <c r="I73" s="3"/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/>
      <c r="P73" s="3">
        <v>0</v>
      </c>
      <c r="Q73" s="3">
        <v>0</v>
      </c>
      <c r="R73" s="3">
        <v>0</v>
      </c>
    </row>
    <row r="74" spans="1:18">
      <c r="A74" s="3" t="s">
        <v>167</v>
      </c>
      <c r="B74" s="3" t="s">
        <v>168</v>
      </c>
      <c r="C74" s="3" t="s">
        <v>168</v>
      </c>
      <c r="D74" s="3"/>
      <c r="E74" s="3" t="s">
        <v>20</v>
      </c>
      <c r="F74" s="3"/>
      <c r="G74" s="3"/>
      <c r="H74" s="3"/>
      <c r="I74" s="3"/>
      <c r="J74" s="3">
        <v>0</v>
      </c>
      <c r="K74" s="3">
        <v>0</v>
      </c>
      <c r="L74" s="3">
        <v>0</v>
      </c>
      <c r="M74" s="3">
        <v>0</v>
      </c>
      <c r="N74" s="3">
        <v>0</v>
      </c>
      <c r="O74" s="3"/>
      <c r="P74" s="3">
        <v>0</v>
      </c>
      <c r="Q74" s="3">
        <v>0</v>
      </c>
      <c r="R74" s="3">
        <v>0</v>
      </c>
    </row>
    <row r="75" spans="1:18">
      <c r="A75" s="3" t="s">
        <v>169</v>
      </c>
      <c r="B75" s="3" t="s">
        <v>170</v>
      </c>
      <c r="C75" s="3" t="s">
        <v>170</v>
      </c>
      <c r="D75" s="3"/>
      <c r="E75" s="3" t="s">
        <v>20</v>
      </c>
      <c r="F75" s="3"/>
      <c r="G75" s="3"/>
      <c r="H75" s="3"/>
      <c r="I75" s="3"/>
      <c r="J75" s="3">
        <v>0</v>
      </c>
      <c r="K75" s="3">
        <v>0</v>
      </c>
      <c r="L75" s="3">
        <v>0</v>
      </c>
      <c r="M75" s="3">
        <v>0</v>
      </c>
      <c r="N75" s="3">
        <v>0</v>
      </c>
      <c r="O75" s="3"/>
      <c r="P75" s="3">
        <v>0</v>
      </c>
      <c r="Q75" s="3">
        <v>0</v>
      </c>
      <c r="R75" s="3">
        <v>0</v>
      </c>
    </row>
    <row r="76" spans="1:18">
      <c r="A76" s="3" t="s">
        <v>171</v>
      </c>
      <c r="B76" s="3" t="s">
        <v>172</v>
      </c>
      <c r="C76" s="3" t="s">
        <v>172</v>
      </c>
      <c r="D76" s="3"/>
      <c r="E76" s="3" t="s">
        <v>20</v>
      </c>
      <c r="F76" s="3"/>
      <c r="G76" s="3"/>
      <c r="H76" s="3"/>
      <c r="I76" s="3"/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/>
      <c r="P76" s="3">
        <v>0</v>
      </c>
      <c r="Q76" s="3">
        <v>0</v>
      </c>
      <c r="R76" s="3">
        <v>0</v>
      </c>
    </row>
    <row r="77" spans="1:18">
      <c r="A77" s="3" t="s">
        <v>173</v>
      </c>
      <c r="B77" s="3" t="s">
        <v>174</v>
      </c>
      <c r="C77" s="3" t="s">
        <v>174</v>
      </c>
      <c r="D77" s="3"/>
      <c r="E77" s="3" t="s">
        <v>20</v>
      </c>
      <c r="F77" s="3"/>
      <c r="G77" s="3"/>
      <c r="H77" s="3"/>
      <c r="I77" s="3"/>
      <c r="J77" s="3">
        <v>7</v>
      </c>
      <c r="K77" s="3">
        <v>7</v>
      </c>
      <c r="L77" s="3">
        <v>0</v>
      </c>
      <c r="M77" s="3">
        <v>0</v>
      </c>
      <c r="N77" s="3">
        <v>7</v>
      </c>
      <c r="O77" s="3"/>
      <c r="P77" s="3">
        <v>0</v>
      </c>
      <c r="Q77" s="3">
        <v>0</v>
      </c>
      <c r="R77" s="3">
        <v>0</v>
      </c>
    </row>
    <row r="78" spans="1:18">
      <c r="A78" s="3" t="s">
        <v>175</v>
      </c>
      <c r="B78" s="3" t="s">
        <v>176</v>
      </c>
      <c r="C78" s="3" t="s">
        <v>176</v>
      </c>
      <c r="D78" s="3"/>
      <c r="E78" s="3" t="s">
        <v>20</v>
      </c>
      <c r="F78" s="3"/>
      <c r="G78" s="3"/>
      <c r="H78" s="3"/>
      <c r="I78" s="3"/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/>
      <c r="P78" s="3">
        <v>0</v>
      </c>
      <c r="Q78" s="3">
        <v>0</v>
      </c>
      <c r="R78" s="3">
        <v>0</v>
      </c>
    </row>
    <row r="79" spans="1:18">
      <c r="A79" s="3" t="s">
        <v>177</v>
      </c>
      <c r="B79" s="3" t="s">
        <v>178</v>
      </c>
      <c r="C79" s="3" t="s">
        <v>178</v>
      </c>
      <c r="D79" s="3"/>
      <c r="E79" s="3" t="s">
        <v>20</v>
      </c>
      <c r="F79" s="3"/>
      <c r="G79" s="3"/>
      <c r="H79" s="3"/>
      <c r="I79" s="3"/>
      <c r="J79" s="3">
        <v>0</v>
      </c>
      <c r="K79" s="3">
        <v>0</v>
      </c>
      <c r="L79" s="3">
        <v>0</v>
      </c>
      <c r="M79" s="3">
        <v>0</v>
      </c>
      <c r="N79" s="3">
        <v>0</v>
      </c>
      <c r="O79" s="3"/>
      <c r="P79" s="3">
        <v>0</v>
      </c>
      <c r="Q79" s="3">
        <v>0</v>
      </c>
      <c r="R79" s="3">
        <v>0</v>
      </c>
    </row>
    <row r="80" spans="1:18">
      <c r="A80" s="3" t="s">
        <v>179</v>
      </c>
      <c r="B80" s="3" t="s">
        <v>180</v>
      </c>
      <c r="C80" s="3" t="s">
        <v>180</v>
      </c>
      <c r="D80" s="3"/>
      <c r="E80" s="3" t="s">
        <v>20</v>
      </c>
      <c r="F80" s="3"/>
      <c r="G80" s="3"/>
      <c r="H80" s="3"/>
      <c r="I80" s="3"/>
      <c r="J80" s="3">
        <v>5</v>
      </c>
      <c r="K80" s="3">
        <v>5</v>
      </c>
      <c r="L80" s="3">
        <v>0</v>
      </c>
      <c r="M80" s="3">
        <v>0</v>
      </c>
      <c r="N80" s="3">
        <v>5</v>
      </c>
      <c r="O80" s="3"/>
      <c r="P80" s="3">
        <v>0</v>
      </c>
      <c r="Q80" s="3">
        <v>0</v>
      </c>
      <c r="R80" s="3">
        <v>0</v>
      </c>
    </row>
    <row r="81" spans="1:18">
      <c r="A81" s="3" t="s">
        <v>181</v>
      </c>
      <c r="B81" s="3" t="s">
        <v>182</v>
      </c>
      <c r="C81" s="3" t="s">
        <v>182</v>
      </c>
      <c r="D81" s="3"/>
      <c r="E81" s="3" t="s">
        <v>20</v>
      </c>
      <c r="F81" s="3"/>
      <c r="G81" s="3"/>
      <c r="H81" s="3"/>
      <c r="I81" s="3"/>
      <c r="J81" s="3">
        <v>32</v>
      </c>
      <c r="K81" s="3">
        <v>31</v>
      </c>
      <c r="L81" s="3">
        <v>1</v>
      </c>
      <c r="M81" s="3">
        <v>0</v>
      </c>
      <c r="N81" s="3">
        <v>32</v>
      </c>
      <c r="O81" s="3"/>
      <c r="P81" s="3">
        <v>0</v>
      </c>
      <c r="Q81" s="3">
        <v>0</v>
      </c>
      <c r="R81" s="3">
        <v>0</v>
      </c>
    </row>
    <row r="82" spans="1:18">
      <c r="A82" s="3" t="s">
        <v>183</v>
      </c>
      <c r="B82" s="3" t="s">
        <v>184</v>
      </c>
      <c r="C82" s="3" t="s">
        <v>184</v>
      </c>
      <c r="D82" s="3"/>
      <c r="E82" s="3" t="s">
        <v>20</v>
      </c>
      <c r="F82" s="3"/>
      <c r="G82" s="3"/>
      <c r="H82" s="3"/>
      <c r="I82" s="3"/>
      <c r="J82" s="3">
        <v>31</v>
      </c>
      <c r="K82" s="3">
        <v>31</v>
      </c>
      <c r="L82" s="3">
        <v>0</v>
      </c>
      <c r="M82" s="3">
        <v>0</v>
      </c>
      <c r="N82" s="3">
        <v>31</v>
      </c>
      <c r="O82" s="3"/>
      <c r="P82" s="3">
        <v>0</v>
      </c>
      <c r="Q82" s="3">
        <v>0</v>
      </c>
      <c r="R82" s="3">
        <v>0</v>
      </c>
    </row>
    <row r="83" spans="1:18">
      <c r="A83" s="3" t="s">
        <v>185</v>
      </c>
      <c r="B83" s="3" t="s">
        <v>186</v>
      </c>
      <c r="C83" s="3" t="s">
        <v>186</v>
      </c>
      <c r="D83" s="3"/>
      <c r="E83" s="3" t="s">
        <v>20</v>
      </c>
      <c r="F83" s="3"/>
      <c r="G83" s="3"/>
      <c r="H83" s="3"/>
      <c r="I83" s="3"/>
      <c r="J83" s="3">
        <v>0</v>
      </c>
      <c r="K83" s="3">
        <v>0</v>
      </c>
      <c r="L83" s="3">
        <v>0</v>
      </c>
      <c r="M83" s="3">
        <v>0</v>
      </c>
      <c r="N83" s="3">
        <v>0</v>
      </c>
      <c r="O83" s="3"/>
      <c r="P83" s="3">
        <v>0</v>
      </c>
      <c r="Q83" s="3">
        <v>0</v>
      </c>
      <c r="R83" s="3">
        <v>0</v>
      </c>
    </row>
    <row r="84" spans="1:18">
      <c r="A84" s="3" t="s">
        <v>187</v>
      </c>
      <c r="B84" s="3" t="s">
        <v>188</v>
      </c>
      <c r="C84" s="3" t="s">
        <v>188</v>
      </c>
      <c r="D84" s="3" t="s">
        <v>189</v>
      </c>
      <c r="E84" s="3" t="s">
        <v>120</v>
      </c>
      <c r="F84" s="3">
        <v>179</v>
      </c>
      <c r="G84" s="3" t="s">
        <v>121</v>
      </c>
      <c r="H84" s="3"/>
      <c r="I84" s="3" t="s">
        <v>122</v>
      </c>
      <c r="J84" s="3">
        <v>0</v>
      </c>
      <c r="K84" s="3">
        <v>0</v>
      </c>
      <c r="L84" s="3">
        <v>0</v>
      </c>
      <c r="M84" s="3">
        <v>0</v>
      </c>
      <c r="N84" s="3">
        <v>0</v>
      </c>
      <c r="O84" s="3">
        <v>0.52</v>
      </c>
      <c r="P84" s="3">
        <v>0</v>
      </c>
      <c r="Q84" s="3">
        <v>0</v>
      </c>
      <c r="R84" s="3">
        <v>0</v>
      </c>
    </row>
    <row r="85" spans="1:18">
      <c r="A85" s="3" t="s">
        <v>190</v>
      </c>
      <c r="B85" s="3" t="s">
        <v>191</v>
      </c>
      <c r="C85" s="3" t="s">
        <v>191</v>
      </c>
      <c r="D85" s="3" t="s">
        <v>192</v>
      </c>
      <c r="E85" s="3" t="s">
        <v>120</v>
      </c>
      <c r="F85" s="3">
        <v>179</v>
      </c>
      <c r="G85" s="3" t="s">
        <v>121</v>
      </c>
      <c r="H85" s="3"/>
      <c r="I85" s="3" t="s">
        <v>122</v>
      </c>
      <c r="J85" s="3">
        <v>1</v>
      </c>
      <c r="K85" s="3">
        <v>1</v>
      </c>
      <c r="L85" s="3">
        <v>0</v>
      </c>
      <c r="M85" s="3">
        <v>0</v>
      </c>
      <c r="N85" s="3">
        <v>1</v>
      </c>
      <c r="O85" s="3">
        <v>0.71</v>
      </c>
      <c r="P85" s="3">
        <v>0</v>
      </c>
      <c r="Q85" s="3">
        <v>0</v>
      </c>
      <c r="R85" s="3">
        <v>0</v>
      </c>
    </row>
    <row r="86" spans="1:18">
      <c r="A86" s="3" t="s">
        <v>193</v>
      </c>
      <c r="B86" s="3" t="s">
        <v>194</v>
      </c>
      <c r="C86" s="3" t="s">
        <v>194</v>
      </c>
      <c r="D86" s="3" t="s">
        <v>195</v>
      </c>
      <c r="E86" s="3" t="s">
        <v>120</v>
      </c>
      <c r="F86" s="3">
        <v>179</v>
      </c>
      <c r="G86" s="3" t="s">
        <v>121</v>
      </c>
      <c r="H86" s="3"/>
      <c r="I86" s="3" t="s">
        <v>122</v>
      </c>
      <c r="J86" s="3">
        <v>1</v>
      </c>
      <c r="K86" s="3">
        <v>1</v>
      </c>
      <c r="L86" s="3">
        <v>0</v>
      </c>
      <c r="M86" s="3">
        <v>0</v>
      </c>
      <c r="N86" s="3">
        <v>1</v>
      </c>
      <c r="O86" s="3">
        <v>0.53</v>
      </c>
      <c r="P86" s="3">
        <v>0</v>
      </c>
      <c r="Q86" s="3">
        <v>0</v>
      </c>
      <c r="R86" s="3">
        <v>0</v>
      </c>
    </row>
    <row r="87" spans="1:18">
      <c r="A87" s="3" t="s">
        <v>196</v>
      </c>
      <c r="B87" s="3" t="s">
        <v>197</v>
      </c>
      <c r="C87" s="3" t="s">
        <v>197</v>
      </c>
      <c r="D87" s="3" t="s">
        <v>198</v>
      </c>
      <c r="E87" s="3" t="s">
        <v>120</v>
      </c>
      <c r="F87" s="3">
        <v>179</v>
      </c>
      <c r="G87" s="3" t="s">
        <v>121</v>
      </c>
      <c r="H87" s="3"/>
      <c r="I87" s="3" t="s">
        <v>122</v>
      </c>
      <c r="J87" s="3">
        <v>1</v>
      </c>
      <c r="K87" s="3">
        <v>1</v>
      </c>
      <c r="L87" s="3">
        <v>0</v>
      </c>
      <c r="M87" s="3">
        <v>0</v>
      </c>
      <c r="N87" s="3">
        <v>1</v>
      </c>
      <c r="O87" s="3">
        <v>0.68</v>
      </c>
      <c r="P87" s="3">
        <v>0</v>
      </c>
      <c r="Q87" s="3">
        <v>0</v>
      </c>
      <c r="R87" s="3">
        <v>0</v>
      </c>
    </row>
    <row r="88" spans="1:18">
      <c r="A88" s="3" t="s">
        <v>199</v>
      </c>
      <c r="B88" s="3" t="s">
        <v>200</v>
      </c>
      <c r="C88" s="3" t="s">
        <v>200</v>
      </c>
      <c r="D88" s="3" t="s">
        <v>201</v>
      </c>
      <c r="E88" s="3" t="s">
        <v>120</v>
      </c>
      <c r="F88" s="3">
        <v>179</v>
      </c>
      <c r="G88" s="3" t="s">
        <v>121</v>
      </c>
      <c r="H88" s="3"/>
      <c r="I88" s="3" t="s">
        <v>122</v>
      </c>
      <c r="J88" s="3">
        <v>1</v>
      </c>
      <c r="K88" s="3">
        <v>1</v>
      </c>
      <c r="L88" s="3">
        <v>0</v>
      </c>
      <c r="M88" s="3">
        <v>0</v>
      </c>
      <c r="N88" s="3">
        <v>1</v>
      </c>
      <c r="O88" s="3">
        <v>0.59</v>
      </c>
      <c r="P88" s="3">
        <v>0</v>
      </c>
      <c r="Q88" s="3">
        <v>0</v>
      </c>
      <c r="R88" s="3">
        <v>0</v>
      </c>
    </row>
    <row r="89" spans="1:18">
      <c r="A89" s="3" t="s">
        <v>202</v>
      </c>
      <c r="B89" s="3" t="s">
        <v>203</v>
      </c>
      <c r="C89" s="3" t="s">
        <v>203</v>
      </c>
      <c r="D89" s="3" t="s">
        <v>204</v>
      </c>
      <c r="E89" s="3" t="s">
        <v>120</v>
      </c>
      <c r="F89" s="3">
        <v>179</v>
      </c>
      <c r="G89" s="3" t="s">
        <v>121</v>
      </c>
      <c r="H89" s="3"/>
      <c r="I89" s="3" t="s">
        <v>122</v>
      </c>
      <c r="J89" s="3">
        <v>1</v>
      </c>
      <c r="K89" s="3">
        <v>1</v>
      </c>
      <c r="L89" s="3">
        <v>0</v>
      </c>
      <c r="M89" s="3">
        <v>0</v>
      </c>
      <c r="N89" s="3">
        <v>1</v>
      </c>
      <c r="O89" s="3">
        <v>0.46</v>
      </c>
      <c r="P89" s="3">
        <v>0</v>
      </c>
      <c r="Q89" s="3">
        <v>0</v>
      </c>
      <c r="R89" s="3">
        <v>0</v>
      </c>
    </row>
    <row r="90" spans="1:18">
      <c r="A90" s="3" t="s">
        <v>205</v>
      </c>
      <c r="B90" s="3" t="s">
        <v>206</v>
      </c>
      <c r="C90" s="3" t="s">
        <v>206</v>
      </c>
      <c r="D90" s="3" t="s">
        <v>207</v>
      </c>
      <c r="E90" s="3" t="s">
        <v>120</v>
      </c>
      <c r="F90" s="3">
        <v>179</v>
      </c>
      <c r="G90" s="3" t="s">
        <v>121</v>
      </c>
      <c r="H90" s="3"/>
      <c r="I90" s="3" t="s">
        <v>122</v>
      </c>
      <c r="J90" s="3">
        <v>0</v>
      </c>
      <c r="K90" s="3">
        <v>0</v>
      </c>
      <c r="L90" s="3">
        <v>0</v>
      </c>
      <c r="M90" s="3">
        <v>0</v>
      </c>
      <c r="N90" s="3">
        <v>0</v>
      </c>
      <c r="O90" s="3">
        <v>0.38</v>
      </c>
      <c r="P90" s="3">
        <v>0</v>
      </c>
      <c r="Q90" s="3">
        <v>0</v>
      </c>
      <c r="R90" s="3">
        <v>0</v>
      </c>
    </row>
    <row r="91" spans="1:18">
      <c r="A91" s="3" t="s">
        <v>208</v>
      </c>
      <c r="B91" s="3" t="s">
        <v>209</v>
      </c>
      <c r="C91" s="3" t="s">
        <v>209</v>
      </c>
      <c r="D91" s="3" t="s">
        <v>210</v>
      </c>
      <c r="E91" s="3" t="s">
        <v>120</v>
      </c>
      <c r="F91" s="3">
        <v>179</v>
      </c>
      <c r="G91" s="3" t="s">
        <v>121</v>
      </c>
      <c r="H91" s="3"/>
      <c r="I91" s="3" t="s">
        <v>122</v>
      </c>
      <c r="J91" s="3">
        <v>1</v>
      </c>
      <c r="K91" s="3">
        <v>1</v>
      </c>
      <c r="L91" s="3">
        <v>0</v>
      </c>
      <c r="M91" s="3">
        <v>0</v>
      </c>
      <c r="N91" s="3">
        <v>1</v>
      </c>
      <c r="O91" s="3">
        <v>0.68</v>
      </c>
      <c r="P91" s="3">
        <v>0</v>
      </c>
      <c r="Q91" s="3">
        <v>0</v>
      </c>
      <c r="R91" s="3">
        <v>0</v>
      </c>
    </row>
    <row r="92" spans="1:18">
      <c r="A92" s="3" t="s">
        <v>211</v>
      </c>
      <c r="B92" s="3" t="s">
        <v>212</v>
      </c>
      <c r="C92" s="3" t="s">
        <v>212</v>
      </c>
      <c r="D92" s="3" t="s">
        <v>213</v>
      </c>
      <c r="E92" s="3" t="s">
        <v>120</v>
      </c>
      <c r="F92" s="3">
        <v>65.98</v>
      </c>
      <c r="G92" s="3" t="s">
        <v>121</v>
      </c>
      <c r="H92" s="3"/>
      <c r="I92" s="3" t="s">
        <v>122</v>
      </c>
      <c r="J92" s="3">
        <v>1</v>
      </c>
      <c r="K92" s="3">
        <v>1</v>
      </c>
      <c r="L92" s="3">
        <v>0</v>
      </c>
      <c r="M92" s="3">
        <v>0</v>
      </c>
      <c r="N92" s="3">
        <v>1</v>
      </c>
      <c r="O92" s="3">
        <v>0.68</v>
      </c>
      <c r="P92" s="3">
        <v>0</v>
      </c>
      <c r="Q92" s="3">
        <v>0</v>
      </c>
      <c r="R92" s="3">
        <v>0</v>
      </c>
    </row>
    <row r="93" spans="1:18">
      <c r="A93" s="3" t="s">
        <v>214</v>
      </c>
      <c r="B93" s="3" t="s">
        <v>215</v>
      </c>
      <c r="C93" s="3" t="s">
        <v>215</v>
      </c>
      <c r="D93" s="3" t="s">
        <v>216</v>
      </c>
      <c r="E93" s="3" t="s">
        <v>120</v>
      </c>
      <c r="F93" s="3">
        <v>60.98</v>
      </c>
      <c r="G93" s="3" t="s">
        <v>121</v>
      </c>
      <c r="H93" s="3"/>
      <c r="I93" s="3" t="s">
        <v>122</v>
      </c>
      <c r="J93" s="3">
        <v>1</v>
      </c>
      <c r="K93" s="3">
        <v>1</v>
      </c>
      <c r="L93" s="3">
        <v>0</v>
      </c>
      <c r="M93" s="3">
        <v>0</v>
      </c>
      <c r="N93" s="3">
        <v>1</v>
      </c>
      <c r="O93" s="3">
        <v>0.68</v>
      </c>
      <c r="P93" s="3">
        <v>0</v>
      </c>
      <c r="Q93" s="3">
        <v>0</v>
      </c>
      <c r="R93" s="3">
        <v>0</v>
      </c>
    </row>
    <row r="94" spans="1:18">
      <c r="A94" s="3" t="s">
        <v>217</v>
      </c>
      <c r="B94" s="3" t="s">
        <v>218</v>
      </c>
      <c r="C94" s="3" t="s">
        <v>218</v>
      </c>
      <c r="D94" s="3" t="s">
        <v>219</v>
      </c>
      <c r="E94" s="3" t="s">
        <v>120</v>
      </c>
      <c r="F94" s="3">
        <v>60.98</v>
      </c>
      <c r="G94" s="3" t="s">
        <v>121</v>
      </c>
      <c r="H94" s="3"/>
      <c r="I94" s="3" t="s">
        <v>122</v>
      </c>
      <c r="J94" s="3">
        <v>1</v>
      </c>
      <c r="K94" s="3">
        <v>1</v>
      </c>
      <c r="L94" s="3">
        <v>0</v>
      </c>
      <c r="M94" s="3">
        <v>0</v>
      </c>
      <c r="N94" s="3">
        <v>1</v>
      </c>
      <c r="O94" s="3">
        <v>0.4</v>
      </c>
      <c r="P94" s="3">
        <v>0</v>
      </c>
      <c r="Q94" s="3">
        <v>0</v>
      </c>
      <c r="R94" s="3">
        <v>0</v>
      </c>
    </row>
    <row r="95" spans="1:18">
      <c r="A95" s="3" t="s">
        <v>220</v>
      </c>
      <c r="B95" s="3" t="s">
        <v>221</v>
      </c>
      <c r="C95" s="3" t="s">
        <v>221</v>
      </c>
      <c r="D95" s="3" t="s">
        <v>222</v>
      </c>
      <c r="E95" s="3" t="s">
        <v>120</v>
      </c>
      <c r="F95" s="3">
        <v>179</v>
      </c>
      <c r="G95" s="3" t="s">
        <v>121</v>
      </c>
      <c r="H95" s="3"/>
      <c r="I95" s="3" t="s">
        <v>122</v>
      </c>
      <c r="J95" s="3">
        <v>5</v>
      </c>
      <c r="K95" s="3">
        <v>5</v>
      </c>
      <c r="L95" s="3">
        <v>0</v>
      </c>
      <c r="M95" s="3">
        <v>0</v>
      </c>
      <c r="N95" s="3">
        <v>5</v>
      </c>
      <c r="O95" s="3">
        <v>0.73</v>
      </c>
      <c r="P95" s="3">
        <v>0</v>
      </c>
      <c r="Q95" s="3">
        <v>0</v>
      </c>
      <c r="R95" s="3">
        <v>0</v>
      </c>
    </row>
    <row r="96" spans="1:18">
      <c r="A96" s="3" t="s">
        <v>223</v>
      </c>
      <c r="B96" s="3" t="s">
        <v>224</v>
      </c>
      <c r="C96" s="3" t="s">
        <v>224</v>
      </c>
      <c r="D96" s="3" t="s">
        <v>225</v>
      </c>
      <c r="E96" s="3" t="s">
        <v>120</v>
      </c>
      <c r="F96" s="3">
        <v>179</v>
      </c>
      <c r="G96" s="3" t="s">
        <v>121</v>
      </c>
      <c r="H96" s="3"/>
      <c r="I96" s="3" t="s">
        <v>122</v>
      </c>
      <c r="J96" s="3">
        <v>1</v>
      </c>
      <c r="K96" s="3">
        <v>1</v>
      </c>
      <c r="L96" s="3">
        <v>0</v>
      </c>
      <c r="M96" s="3">
        <v>0</v>
      </c>
      <c r="N96" s="3">
        <v>1</v>
      </c>
      <c r="O96" s="3">
        <v>0.78</v>
      </c>
      <c r="P96" s="3">
        <v>0</v>
      </c>
      <c r="Q96" s="3">
        <v>0</v>
      </c>
      <c r="R96" s="3">
        <v>0</v>
      </c>
    </row>
    <row r="97" spans="1:18">
      <c r="A97" s="3" t="s">
        <v>226</v>
      </c>
      <c r="B97" s="3" t="s">
        <v>227</v>
      </c>
      <c r="C97" s="3" t="s">
        <v>227</v>
      </c>
      <c r="D97" s="3" t="s">
        <v>228</v>
      </c>
      <c r="E97" s="3" t="s">
        <v>120</v>
      </c>
      <c r="F97" s="3">
        <v>179</v>
      </c>
      <c r="G97" s="3" t="s">
        <v>121</v>
      </c>
      <c r="H97" s="3"/>
      <c r="I97" s="3" t="s">
        <v>122</v>
      </c>
      <c r="J97" s="3">
        <v>1</v>
      </c>
      <c r="K97" s="3">
        <v>1</v>
      </c>
      <c r="L97" s="3">
        <v>0</v>
      </c>
      <c r="M97" s="3">
        <v>0</v>
      </c>
      <c r="N97" s="3">
        <v>1</v>
      </c>
      <c r="O97" s="3">
        <v>0.83</v>
      </c>
      <c r="P97" s="3">
        <v>0</v>
      </c>
      <c r="Q97" s="3">
        <v>0</v>
      </c>
      <c r="R97" s="3">
        <v>0</v>
      </c>
    </row>
    <row r="98" spans="1:18">
      <c r="A98" s="3" t="s">
        <v>229</v>
      </c>
      <c r="B98" s="3" t="s">
        <v>230</v>
      </c>
      <c r="C98" s="3" t="s">
        <v>230</v>
      </c>
      <c r="D98" s="3" t="s">
        <v>231</v>
      </c>
      <c r="E98" s="3" t="s">
        <v>120</v>
      </c>
      <c r="F98" s="3">
        <v>65.98</v>
      </c>
      <c r="G98" s="3" t="s">
        <v>121</v>
      </c>
      <c r="H98" s="3"/>
      <c r="I98" s="3" t="s">
        <v>122</v>
      </c>
      <c r="J98" s="3">
        <v>0</v>
      </c>
      <c r="K98" s="3">
        <v>0</v>
      </c>
      <c r="L98" s="3">
        <v>0</v>
      </c>
      <c r="M98" s="3">
        <v>0</v>
      </c>
      <c r="N98" s="3">
        <v>0</v>
      </c>
      <c r="O98" s="3">
        <v>0.46</v>
      </c>
      <c r="P98" s="3">
        <v>0</v>
      </c>
      <c r="Q98" s="3">
        <v>0</v>
      </c>
      <c r="R98" s="3">
        <v>0</v>
      </c>
    </row>
    <row r="99" spans="1:18">
      <c r="A99" s="3" t="s">
        <v>232</v>
      </c>
      <c r="B99" s="3" t="s">
        <v>233</v>
      </c>
      <c r="C99" s="3" t="s">
        <v>233</v>
      </c>
      <c r="D99" s="3" t="s">
        <v>234</v>
      </c>
      <c r="E99" s="3" t="s">
        <v>120</v>
      </c>
      <c r="F99" s="3">
        <v>65.98</v>
      </c>
      <c r="G99" s="3" t="s">
        <v>121</v>
      </c>
      <c r="H99" s="3"/>
      <c r="I99" s="3" t="s">
        <v>122</v>
      </c>
      <c r="J99" s="3">
        <v>1</v>
      </c>
      <c r="K99" s="3">
        <v>1</v>
      </c>
      <c r="L99" s="3">
        <v>0</v>
      </c>
      <c r="M99" s="3">
        <v>0</v>
      </c>
      <c r="N99" s="3">
        <v>1</v>
      </c>
      <c r="O99" s="3">
        <v>0.94</v>
      </c>
      <c r="P99" s="3">
        <v>0</v>
      </c>
      <c r="Q99" s="3">
        <v>0</v>
      </c>
      <c r="R99" s="3">
        <v>0</v>
      </c>
    </row>
    <row r="100" spans="1:18">
      <c r="A100" s="3" t="s">
        <v>235</v>
      </c>
      <c r="B100" s="3" t="s">
        <v>236</v>
      </c>
      <c r="C100" s="3" t="s">
        <v>236</v>
      </c>
      <c r="D100" s="3" t="s">
        <v>237</v>
      </c>
      <c r="E100" s="3" t="s">
        <v>120</v>
      </c>
      <c r="F100" s="3">
        <v>65.98</v>
      </c>
      <c r="G100" s="3" t="s">
        <v>121</v>
      </c>
      <c r="H100" s="3"/>
      <c r="I100" s="3" t="s">
        <v>122</v>
      </c>
      <c r="J100" s="3">
        <v>1</v>
      </c>
      <c r="K100" s="3">
        <v>1</v>
      </c>
      <c r="L100" s="3">
        <v>0</v>
      </c>
      <c r="M100" s="3">
        <v>0</v>
      </c>
      <c r="N100" s="3">
        <v>1</v>
      </c>
      <c r="O100" s="3">
        <v>0.58</v>
      </c>
      <c r="P100" s="3">
        <v>0</v>
      </c>
      <c r="Q100" s="3">
        <v>0</v>
      </c>
      <c r="R100" s="3">
        <v>0</v>
      </c>
    </row>
    <row r="101" spans="1:18">
      <c r="A101" s="3" t="s">
        <v>238</v>
      </c>
      <c r="B101" s="3" t="s">
        <v>239</v>
      </c>
      <c r="C101" s="3" t="s">
        <v>239</v>
      </c>
      <c r="D101" s="3" t="s">
        <v>240</v>
      </c>
      <c r="E101" s="3" t="s">
        <v>120</v>
      </c>
      <c r="F101" s="3">
        <v>65.98</v>
      </c>
      <c r="G101" s="3" t="s">
        <v>121</v>
      </c>
      <c r="H101" s="3"/>
      <c r="I101" s="3" t="s">
        <v>122</v>
      </c>
      <c r="J101" s="3">
        <v>1</v>
      </c>
      <c r="K101" s="3">
        <v>1</v>
      </c>
      <c r="L101" s="3">
        <v>0</v>
      </c>
      <c r="M101" s="3">
        <v>0</v>
      </c>
      <c r="N101" s="3">
        <v>1</v>
      </c>
      <c r="O101" s="3">
        <v>0.54</v>
      </c>
      <c r="P101" s="3">
        <v>0</v>
      </c>
      <c r="Q101" s="3">
        <v>0</v>
      </c>
      <c r="R101" s="3">
        <v>0</v>
      </c>
    </row>
    <row r="102" spans="1:18">
      <c r="A102" s="3" t="s">
        <v>241</v>
      </c>
      <c r="B102" s="3" t="s">
        <v>242</v>
      </c>
      <c r="C102" s="3" t="s">
        <v>242</v>
      </c>
      <c r="D102" s="3" t="s">
        <v>243</v>
      </c>
      <c r="E102" s="3" t="s">
        <v>120</v>
      </c>
      <c r="F102" s="3">
        <v>62.98</v>
      </c>
      <c r="G102" s="3" t="s">
        <v>121</v>
      </c>
      <c r="H102" s="3"/>
      <c r="I102" s="3" t="s">
        <v>122</v>
      </c>
      <c r="J102" s="3">
        <v>1</v>
      </c>
      <c r="K102" s="3">
        <v>1</v>
      </c>
      <c r="L102" s="3">
        <v>0</v>
      </c>
      <c r="M102" s="3">
        <v>0</v>
      </c>
      <c r="N102" s="3">
        <v>1</v>
      </c>
      <c r="O102" s="3">
        <v>0.44</v>
      </c>
      <c r="P102" s="3">
        <v>0</v>
      </c>
      <c r="Q102" s="3">
        <v>0</v>
      </c>
      <c r="R102" s="3">
        <v>0</v>
      </c>
    </row>
    <row r="103" spans="1:18">
      <c r="A103" s="3" t="s">
        <v>244</v>
      </c>
      <c r="B103" s="3" t="s">
        <v>245</v>
      </c>
      <c r="C103" s="3" t="s">
        <v>245</v>
      </c>
      <c r="D103" s="3"/>
      <c r="E103" s="3" t="s">
        <v>20</v>
      </c>
      <c r="F103" s="3"/>
      <c r="G103" s="3"/>
      <c r="H103" s="3"/>
      <c r="I103" s="3"/>
      <c r="J103" s="3">
        <v>1</v>
      </c>
      <c r="K103" s="3">
        <v>1</v>
      </c>
      <c r="L103" s="3">
        <v>0</v>
      </c>
      <c r="M103" s="3">
        <v>0</v>
      </c>
      <c r="N103" s="3">
        <v>1</v>
      </c>
      <c r="O103" s="3"/>
      <c r="P103" s="3">
        <v>0</v>
      </c>
      <c r="Q103" s="3">
        <v>0</v>
      </c>
      <c r="R103" s="3">
        <v>0</v>
      </c>
    </row>
    <row r="104" spans="1:18">
      <c r="A104" s="3" t="s">
        <v>246</v>
      </c>
      <c r="B104" s="3" t="s">
        <v>247</v>
      </c>
      <c r="C104" s="3" t="s">
        <v>247</v>
      </c>
      <c r="D104" s="3" t="s">
        <v>248</v>
      </c>
      <c r="E104" s="3" t="s">
        <v>120</v>
      </c>
      <c r="F104" s="3">
        <v>65.98</v>
      </c>
      <c r="G104" s="3" t="s">
        <v>121</v>
      </c>
      <c r="H104" s="3"/>
      <c r="I104" s="3" t="s">
        <v>122</v>
      </c>
      <c r="J104" s="3">
        <v>0</v>
      </c>
      <c r="K104" s="3">
        <v>0</v>
      </c>
      <c r="L104" s="3">
        <v>0</v>
      </c>
      <c r="M104" s="3">
        <v>0</v>
      </c>
      <c r="N104" s="3">
        <v>0</v>
      </c>
      <c r="O104" s="3">
        <v>0.84</v>
      </c>
      <c r="P104" s="3">
        <v>0</v>
      </c>
      <c r="Q104" s="3">
        <v>0</v>
      </c>
      <c r="R104" s="3">
        <v>0</v>
      </c>
    </row>
    <row r="105" spans="1:18">
      <c r="A105" s="3" t="s">
        <v>249</v>
      </c>
      <c r="B105" s="3" t="s">
        <v>250</v>
      </c>
      <c r="C105" s="3" t="s">
        <v>250</v>
      </c>
      <c r="D105" s="3" t="s">
        <v>251</v>
      </c>
      <c r="E105" s="3" t="s">
        <v>120</v>
      </c>
      <c r="F105" s="3">
        <v>65.98</v>
      </c>
      <c r="G105" s="3" t="s">
        <v>121</v>
      </c>
      <c r="H105" s="3"/>
      <c r="I105" s="3" t="s">
        <v>122</v>
      </c>
      <c r="J105" s="3">
        <v>2</v>
      </c>
      <c r="K105" s="3">
        <v>1</v>
      </c>
      <c r="L105" s="3">
        <v>0</v>
      </c>
      <c r="M105" s="3">
        <v>1</v>
      </c>
      <c r="N105" s="3">
        <v>2</v>
      </c>
      <c r="O105" s="3">
        <v>0.73</v>
      </c>
      <c r="P105" s="3">
        <v>0</v>
      </c>
      <c r="Q105" s="3">
        <v>0</v>
      </c>
      <c r="R105" s="3">
        <v>0</v>
      </c>
    </row>
    <row r="106" spans="1:18">
      <c r="A106" s="3" t="s">
        <v>252</v>
      </c>
      <c r="B106" s="3" t="s">
        <v>253</v>
      </c>
      <c r="C106" s="3" t="s">
        <v>253</v>
      </c>
      <c r="D106" s="3" t="s">
        <v>254</v>
      </c>
      <c r="E106" s="3" t="s">
        <v>120</v>
      </c>
      <c r="F106" s="3">
        <v>65.98</v>
      </c>
      <c r="G106" s="3" t="s">
        <v>121</v>
      </c>
      <c r="H106" s="3"/>
      <c r="I106" s="3" t="s">
        <v>122</v>
      </c>
      <c r="J106" s="3">
        <v>0</v>
      </c>
      <c r="K106" s="3">
        <v>0</v>
      </c>
      <c r="L106" s="3">
        <v>0</v>
      </c>
      <c r="M106" s="3">
        <v>0</v>
      </c>
      <c r="N106" s="3">
        <v>0</v>
      </c>
      <c r="O106" s="3">
        <v>0.51</v>
      </c>
      <c r="P106" s="3">
        <v>0</v>
      </c>
      <c r="Q106" s="3">
        <v>0</v>
      </c>
      <c r="R106" s="3">
        <v>0</v>
      </c>
    </row>
    <row r="107" spans="1:18">
      <c r="A107" s="3" t="s">
        <v>255</v>
      </c>
      <c r="B107" s="3" t="s">
        <v>256</v>
      </c>
      <c r="C107" s="3" t="s">
        <v>256</v>
      </c>
      <c r="D107" s="3" t="s">
        <v>257</v>
      </c>
      <c r="E107" s="3" t="s">
        <v>120</v>
      </c>
      <c r="F107" s="3">
        <v>65.98</v>
      </c>
      <c r="G107" s="3" t="s">
        <v>121</v>
      </c>
      <c r="H107" s="3"/>
      <c r="I107" s="3" t="s">
        <v>122</v>
      </c>
      <c r="J107" s="3">
        <v>1</v>
      </c>
      <c r="K107" s="3">
        <v>1</v>
      </c>
      <c r="L107" s="3">
        <v>0</v>
      </c>
      <c r="M107" s="3">
        <v>0</v>
      </c>
      <c r="N107" s="3">
        <v>1</v>
      </c>
      <c r="O107" s="3">
        <v>0.55</v>
      </c>
      <c r="P107" s="3">
        <v>0</v>
      </c>
      <c r="Q107" s="3">
        <v>0</v>
      </c>
      <c r="R107" s="3">
        <v>0</v>
      </c>
    </row>
    <row r="108" spans="1:18">
      <c r="A108" s="3" t="s">
        <v>258</v>
      </c>
      <c r="B108" s="3" t="s">
        <v>259</v>
      </c>
      <c r="C108" s="3" t="s">
        <v>259</v>
      </c>
      <c r="D108" s="3" t="s">
        <v>260</v>
      </c>
      <c r="E108" s="3" t="s">
        <v>120</v>
      </c>
      <c r="F108" s="3">
        <v>65.98</v>
      </c>
      <c r="G108" s="3" t="s">
        <v>121</v>
      </c>
      <c r="H108" s="3"/>
      <c r="I108" s="3" t="s">
        <v>122</v>
      </c>
      <c r="J108" s="3">
        <v>0</v>
      </c>
      <c r="K108" s="3">
        <v>0</v>
      </c>
      <c r="L108" s="3">
        <v>0</v>
      </c>
      <c r="M108" s="3">
        <v>0</v>
      </c>
      <c r="N108" s="3">
        <v>0</v>
      </c>
      <c r="O108" s="3">
        <v>0.9</v>
      </c>
      <c r="P108" s="3">
        <v>0</v>
      </c>
      <c r="Q108" s="3">
        <v>0</v>
      </c>
      <c r="R108" s="3">
        <v>0</v>
      </c>
    </row>
    <row r="109" spans="1:18">
      <c r="A109" s="3" t="s">
        <v>261</v>
      </c>
      <c r="B109" s="3" t="s">
        <v>262</v>
      </c>
      <c r="C109" s="3" t="s">
        <v>262</v>
      </c>
      <c r="D109" s="3" t="s">
        <v>263</v>
      </c>
      <c r="E109" s="3" t="s">
        <v>120</v>
      </c>
      <c r="F109" s="3">
        <v>65.98</v>
      </c>
      <c r="G109" s="3" t="s">
        <v>121</v>
      </c>
      <c r="H109" s="3"/>
      <c r="I109" s="3" t="s">
        <v>122</v>
      </c>
      <c r="J109" s="3">
        <v>2</v>
      </c>
      <c r="K109" s="3">
        <v>2</v>
      </c>
      <c r="L109" s="3">
        <v>0</v>
      </c>
      <c r="M109" s="3">
        <v>0</v>
      </c>
      <c r="N109" s="3">
        <v>2</v>
      </c>
      <c r="O109" s="3">
        <v>0.49</v>
      </c>
      <c r="P109" s="3">
        <v>0</v>
      </c>
      <c r="Q109" s="3">
        <v>0</v>
      </c>
      <c r="R109" s="3">
        <v>0</v>
      </c>
    </row>
    <row r="110" spans="1:18">
      <c r="A110" s="3" t="s">
        <v>264</v>
      </c>
      <c r="B110" s="3" t="s">
        <v>265</v>
      </c>
      <c r="C110" s="3" t="s">
        <v>265</v>
      </c>
      <c r="D110" s="3" t="s">
        <v>266</v>
      </c>
      <c r="E110" s="3" t="s">
        <v>120</v>
      </c>
      <c r="F110" s="3">
        <v>65.98</v>
      </c>
      <c r="G110" s="3" t="s">
        <v>121</v>
      </c>
      <c r="H110" s="3"/>
      <c r="I110" s="3" t="s">
        <v>122</v>
      </c>
      <c r="J110" s="3">
        <v>1</v>
      </c>
      <c r="K110" s="3">
        <v>1</v>
      </c>
      <c r="L110" s="3">
        <v>0</v>
      </c>
      <c r="M110" s="3">
        <v>0</v>
      </c>
      <c r="N110" s="3">
        <v>1</v>
      </c>
      <c r="O110" s="3">
        <v>0.63</v>
      </c>
      <c r="P110" s="3">
        <v>0</v>
      </c>
      <c r="Q110" s="3">
        <v>0</v>
      </c>
      <c r="R110" s="3">
        <v>0</v>
      </c>
    </row>
    <row r="111" spans="1:18">
      <c r="A111" s="3" t="s">
        <v>267</v>
      </c>
      <c r="B111" s="3" t="s">
        <v>268</v>
      </c>
      <c r="C111" s="3" t="s">
        <v>268</v>
      </c>
      <c r="D111" s="3" t="s">
        <v>269</v>
      </c>
      <c r="E111" s="3" t="s">
        <v>120</v>
      </c>
      <c r="F111" s="3">
        <v>65.98</v>
      </c>
      <c r="G111" s="3" t="s">
        <v>121</v>
      </c>
      <c r="H111" s="3"/>
      <c r="I111" s="3" t="s">
        <v>122</v>
      </c>
      <c r="J111" s="3">
        <v>0</v>
      </c>
      <c r="K111" s="3">
        <v>0</v>
      </c>
      <c r="L111" s="3">
        <v>0</v>
      </c>
      <c r="M111" s="3">
        <v>0</v>
      </c>
      <c r="N111" s="3">
        <v>0</v>
      </c>
      <c r="O111" s="3">
        <v>1.03</v>
      </c>
      <c r="P111" s="3">
        <v>0</v>
      </c>
      <c r="Q111" s="3">
        <v>0</v>
      </c>
      <c r="R111" s="3">
        <v>0</v>
      </c>
    </row>
    <row r="112" spans="1:18">
      <c r="A112" s="3" t="s">
        <v>270</v>
      </c>
      <c r="B112" s="3" t="s">
        <v>271</v>
      </c>
      <c r="C112" s="3" t="s">
        <v>271</v>
      </c>
      <c r="D112" s="3" t="s">
        <v>272</v>
      </c>
      <c r="E112" s="3" t="s">
        <v>120</v>
      </c>
      <c r="F112" s="3">
        <v>64.98</v>
      </c>
      <c r="G112" s="3" t="s">
        <v>121</v>
      </c>
      <c r="H112" s="3"/>
      <c r="I112" s="3" t="s">
        <v>122</v>
      </c>
      <c r="J112" s="3">
        <v>2</v>
      </c>
      <c r="K112" s="3">
        <v>2</v>
      </c>
      <c r="L112" s="3">
        <v>0</v>
      </c>
      <c r="M112" s="3">
        <v>0</v>
      </c>
      <c r="N112" s="3">
        <v>2</v>
      </c>
      <c r="O112" s="3">
        <v>0.7</v>
      </c>
      <c r="P112" s="3">
        <v>0</v>
      </c>
      <c r="Q112" s="3">
        <v>0</v>
      </c>
      <c r="R112" s="3">
        <v>0</v>
      </c>
    </row>
    <row r="113" spans="1:18">
      <c r="A113" s="3" t="s">
        <v>273</v>
      </c>
      <c r="B113" s="3" t="s">
        <v>274</v>
      </c>
      <c r="C113" s="3" t="s">
        <v>274</v>
      </c>
      <c r="D113" s="3" t="s">
        <v>275</v>
      </c>
      <c r="E113" s="3" t="s">
        <v>120</v>
      </c>
      <c r="F113" s="3">
        <v>64.98</v>
      </c>
      <c r="G113" s="3" t="s">
        <v>121</v>
      </c>
      <c r="H113" s="3"/>
      <c r="I113" s="3" t="s">
        <v>122</v>
      </c>
      <c r="J113" s="3">
        <v>0</v>
      </c>
      <c r="K113" s="3">
        <v>0</v>
      </c>
      <c r="L113" s="3">
        <v>0</v>
      </c>
      <c r="M113" s="3">
        <v>0</v>
      </c>
      <c r="N113" s="3">
        <v>0</v>
      </c>
      <c r="O113" s="3">
        <v>0.7</v>
      </c>
      <c r="P113" s="3">
        <v>0</v>
      </c>
      <c r="Q113" s="3">
        <v>0</v>
      </c>
      <c r="R113" s="3">
        <v>0</v>
      </c>
    </row>
    <row r="114" spans="1:18">
      <c r="A114" s="3" t="s">
        <v>276</v>
      </c>
      <c r="B114" s="3" t="s">
        <v>277</v>
      </c>
      <c r="C114" s="3" t="s">
        <v>277</v>
      </c>
      <c r="D114" s="3" t="s">
        <v>278</v>
      </c>
      <c r="E114" s="3" t="s">
        <v>120</v>
      </c>
      <c r="F114" s="3">
        <v>64.98</v>
      </c>
      <c r="G114" s="3" t="s">
        <v>121</v>
      </c>
      <c r="H114" s="3"/>
      <c r="I114" s="3" t="s">
        <v>122</v>
      </c>
      <c r="J114" s="3">
        <v>1</v>
      </c>
      <c r="K114" s="3">
        <v>1</v>
      </c>
      <c r="L114" s="3">
        <v>0</v>
      </c>
      <c r="M114" s="3">
        <v>0</v>
      </c>
      <c r="N114" s="3">
        <v>1</v>
      </c>
      <c r="O114" s="3">
        <v>0.7</v>
      </c>
      <c r="P114" s="3">
        <v>0</v>
      </c>
      <c r="Q114" s="3">
        <v>0</v>
      </c>
      <c r="R114" s="3">
        <v>0</v>
      </c>
    </row>
    <row r="115" spans="1:18">
      <c r="A115" s="3" t="s">
        <v>279</v>
      </c>
      <c r="B115" s="3" t="s">
        <v>280</v>
      </c>
      <c r="C115" s="3" t="s">
        <v>280</v>
      </c>
      <c r="D115" s="3" t="s">
        <v>281</v>
      </c>
      <c r="E115" s="3" t="s">
        <v>120</v>
      </c>
      <c r="F115" s="3">
        <v>64.98</v>
      </c>
      <c r="G115" s="3" t="s">
        <v>121</v>
      </c>
      <c r="H115" s="3"/>
      <c r="I115" s="3" t="s">
        <v>122</v>
      </c>
      <c r="J115" s="3">
        <v>0</v>
      </c>
      <c r="K115" s="3">
        <v>0</v>
      </c>
      <c r="L115" s="3">
        <v>0</v>
      </c>
      <c r="M115" s="3">
        <v>0</v>
      </c>
      <c r="N115" s="3">
        <v>0</v>
      </c>
      <c r="O115" s="3">
        <v>0.34</v>
      </c>
      <c r="P115" s="3">
        <v>0</v>
      </c>
      <c r="Q115" s="3">
        <v>0</v>
      </c>
      <c r="R115" s="3">
        <v>0</v>
      </c>
    </row>
    <row r="116" spans="1:18">
      <c r="A116" s="3" t="s">
        <v>282</v>
      </c>
      <c r="B116" s="3" t="s">
        <v>283</v>
      </c>
      <c r="C116" s="3" t="s">
        <v>283</v>
      </c>
      <c r="D116" s="3" t="s">
        <v>284</v>
      </c>
      <c r="E116" s="3" t="s">
        <v>120</v>
      </c>
      <c r="F116" s="3">
        <v>64.98</v>
      </c>
      <c r="G116" s="3" t="s">
        <v>121</v>
      </c>
      <c r="H116" s="3"/>
      <c r="I116" s="3" t="s">
        <v>122</v>
      </c>
      <c r="J116" s="3">
        <v>0</v>
      </c>
      <c r="K116" s="3">
        <v>0</v>
      </c>
      <c r="L116" s="3">
        <v>0</v>
      </c>
      <c r="M116" s="3">
        <v>0</v>
      </c>
      <c r="N116" s="3">
        <v>0</v>
      </c>
      <c r="O116" s="3">
        <v>0.7</v>
      </c>
      <c r="P116" s="3">
        <v>0</v>
      </c>
      <c r="Q116" s="3">
        <v>0</v>
      </c>
      <c r="R116" s="3">
        <v>0</v>
      </c>
    </row>
    <row r="117" spans="1:18">
      <c r="A117" s="3" t="s">
        <v>285</v>
      </c>
      <c r="B117" s="3" t="s">
        <v>286</v>
      </c>
      <c r="C117" s="3" t="s">
        <v>286</v>
      </c>
      <c r="D117" s="3" t="s">
        <v>287</v>
      </c>
      <c r="E117" s="3" t="s">
        <v>120</v>
      </c>
      <c r="F117" s="3">
        <v>64.98</v>
      </c>
      <c r="G117" s="3" t="s">
        <v>121</v>
      </c>
      <c r="H117" s="3"/>
      <c r="I117" s="3" t="s">
        <v>122</v>
      </c>
      <c r="J117" s="3">
        <v>1</v>
      </c>
      <c r="K117" s="3">
        <v>1</v>
      </c>
      <c r="L117" s="3">
        <v>0</v>
      </c>
      <c r="M117" s="3">
        <v>0</v>
      </c>
      <c r="N117" s="3">
        <v>1</v>
      </c>
      <c r="O117" s="3">
        <v>0.7</v>
      </c>
      <c r="P117" s="3">
        <v>0</v>
      </c>
      <c r="Q117" s="3">
        <v>0</v>
      </c>
      <c r="R117" s="3">
        <v>0</v>
      </c>
    </row>
    <row r="118" spans="1:18">
      <c r="A118" s="3" t="s">
        <v>288</v>
      </c>
      <c r="B118" s="3" t="s">
        <v>289</v>
      </c>
      <c r="C118" s="3" t="s">
        <v>289</v>
      </c>
      <c r="D118" s="3" t="s">
        <v>290</v>
      </c>
      <c r="E118" s="3" t="s">
        <v>120</v>
      </c>
      <c r="F118" s="3">
        <v>64.98</v>
      </c>
      <c r="G118" s="3" t="s">
        <v>121</v>
      </c>
      <c r="H118" s="3"/>
      <c r="I118" s="3" t="s">
        <v>122</v>
      </c>
      <c r="J118" s="3">
        <v>1</v>
      </c>
      <c r="K118" s="3">
        <v>1</v>
      </c>
      <c r="L118" s="3">
        <v>0</v>
      </c>
      <c r="M118" s="3">
        <v>0</v>
      </c>
      <c r="N118" s="3">
        <v>1</v>
      </c>
      <c r="O118" s="3">
        <v>0.7</v>
      </c>
      <c r="P118" s="3">
        <v>0</v>
      </c>
      <c r="Q118" s="3">
        <v>0</v>
      </c>
      <c r="R118" s="3">
        <v>0</v>
      </c>
    </row>
    <row r="119" spans="1:18">
      <c r="A119" s="3" t="s">
        <v>291</v>
      </c>
      <c r="B119" s="3" t="s">
        <v>292</v>
      </c>
      <c r="C119" s="3" t="s">
        <v>292</v>
      </c>
      <c r="D119" s="3" t="s">
        <v>293</v>
      </c>
      <c r="E119" s="3" t="s">
        <v>120</v>
      </c>
      <c r="F119" s="3">
        <v>64.98</v>
      </c>
      <c r="G119" s="3" t="s">
        <v>121</v>
      </c>
      <c r="H119" s="3"/>
      <c r="I119" s="3" t="s">
        <v>122</v>
      </c>
      <c r="J119" s="3">
        <v>1</v>
      </c>
      <c r="K119" s="3">
        <v>1</v>
      </c>
      <c r="L119" s="3">
        <v>0</v>
      </c>
      <c r="M119" s="3">
        <v>0</v>
      </c>
      <c r="N119" s="3">
        <v>1</v>
      </c>
      <c r="O119" s="3">
        <v>0.7</v>
      </c>
      <c r="P119" s="3">
        <v>0</v>
      </c>
      <c r="Q119" s="3">
        <v>0</v>
      </c>
      <c r="R119" s="3">
        <v>0</v>
      </c>
    </row>
    <row r="120" spans="1:18">
      <c r="A120" s="3" t="s">
        <v>294</v>
      </c>
      <c r="B120" s="3" t="s">
        <v>295</v>
      </c>
      <c r="C120" s="3" t="s">
        <v>295</v>
      </c>
      <c r="D120" s="3" t="s">
        <v>296</v>
      </c>
      <c r="E120" s="3" t="s">
        <v>120</v>
      </c>
      <c r="F120" s="3">
        <v>64.98</v>
      </c>
      <c r="G120" s="3" t="s">
        <v>121</v>
      </c>
      <c r="H120" s="3"/>
      <c r="I120" s="3" t="s">
        <v>122</v>
      </c>
      <c r="J120" s="3">
        <v>1</v>
      </c>
      <c r="K120" s="3">
        <v>1</v>
      </c>
      <c r="L120" s="3">
        <v>0</v>
      </c>
      <c r="M120" s="3">
        <v>0</v>
      </c>
      <c r="N120" s="3">
        <v>1</v>
      </c>
      <c r="O120" s="3">
        <v>0.7</v>
      </c>
      <c r="P120" s="3">
        <v>0</v>
      </c>
      <c r="Q120" s="3">
        <v>0</v>
      </c>
      <c r="R120" s="3">
        <v>0</v>
      </c>
    </row>
    <row r="121" spans="1:18">
      <c r="A121" s="3" t="s">
        <v>297</v>
      </c>
      <c r="B121" s="3" t="s">
        <v>298</v>
      </c>
      <c r="C121" s="3" t="s">
        <v>298</v>
      </c>
      <c r="D121" s="3"/>
      <c r="E121" s="3" t="s">
        <v>20</v>
      </c>
      <c r="F121" s="3"/>
      <c r="G121" s="3"/>
      <c r="H121" s="3"/>
      <c r="I121" s="3"/>
      <c r="J121" s="3">
        <v>29</v>
      </c>
      <c r="K121" s="3">
        <v>29</v>
      </c>
      <c r="L121" s="3">
        <v>0</v>
      </c>
      <c r="M121" s="3">
        <v>0</v>
      </c>
      <c r="N121" s="3">
        <v>29</v>
      </c>
      <c r="O121" s="3"/>
      <c r="P121" s="3">
        <v>0</v>
      </c>
      <c r="Q121" s="3">
        <v>0</v>
      </c>
      <c r="R121" s="3">
        <v>0</v>
      </c>
    </row>
    <row r="122" spans="1:18">
      <c r="A122" s="3" t="s">
        <v>299</v>
      </c>
      <c r="B122" s="3" t="s">
        <v>300</v>
      </c>
      <c r="C122" s="3" t="s">
        <v>300</v>
      </c>
      <c r="D122" s="3"/>
      <c r="E122" s="3" t="s">
        <v>20</v>
      </c>
      <c r="F122" s="3"/>
      <c r="G122" s="3"/>
      <c r="H122" s="3"/>
      <c r="I122" s="3"/>
      <c r="J122" s="3">
        <v>11</v>
      </c>
      <c r="K122" s="3">
        <v>10</v>
      </c>
      <c r="L122" s="3">
        <v>0</v>
      </c>
      <c r="M122" s="3">
        <v>1</v>
      </c>
      <c r="N122" s="3">
        <v>11</v>
      </c>
      <c r="O122" s="3"/>
      <c r="P122" s="3">
        <v>0</v>
      </c>
      <c r="Q122" s="3">
        <v>0</v>
      </c>
      <c r="R122" s="3">
        <v>0</v>
      </c>
    </row>
    <row r="123" spans="1:18">
      <c r="A123" s="3" t="s">
        <v>301</v>
      </c>
      <c r="B123" s="3" t="s">
        <v>302</v>
      </c>
      <c r="C123" s="3" t="s">
        <v>302</v>
      </c>
      <c r="D123" s="3"/>
      <c r="E123" s="3" t="s">
        <v>20</v>
      </c>
      <c r="F123" s="3"/>
      <c r="G123" s="3"/>
      <c r="H123" s="3"/>
      <c r="I123" s="3"/>
      <c r="J123" s="3">
        <v>27</v>
      </c>
      <c r="K123" s="3">
        <v>27</v>
      </c>
      <c r="L123" s="3">
        <v>0</v>
      </c>
      <c r="M123" s="3">
        <v>0</v>
      </c>
      <c r="N123" s="3">
        <v>27</v>
      </c>
      <c r="O123" s="3"/>
      <c r="P123" s="3">
        <v>0</v>
      </c>
      <c r="Q123" s="3">
        <v>0</v>
      </c>
      <c r="R123" s="3">
        <v>0</v>
      </c>
    </row>
    <row r="124" spans="1:18">
      <c r="A124" s="3" t="s">
        <v>303</v>
      </c>
      <c r="B124" s="3" t="s">
        <v>304</v>
      </c>
      <c r="C124" s="3" t="s">
        <v>304</v>
      </c>
      <c r="D124" s="3"/>
      <c r="E124" s="3" t="s">
        <v>20</v>
      </c>
      <c r="F124" s="3"/>
      <c r="G124" s="3"/>
      <c r="H124" s="3"/>
      <c r="I124" s="3"/>
      <c r="J124" s="3">
        <v>20</v>
      </c>
      <c r="K124" s="3">
        <v>20</v>
      </c>
      <c r="L124" s="3">
        <v>0</v>
      </c>
      <c r="M124" s="3">
        <v>0</v>
      </c>
      <c r="N124" s="3">
        <v>20</v>
      </c>
      <c r="O124" s="3"/>
      <c r="P124" s="3">
        <v>0</v>
      </c>
      <c r="Q124" s="3">
        <v>0</v>
      </c>
      <c r="R124" s="3">
        <v>0</v>
      </c>
    </row>
    <row r="125" spans="1:18">
      <c r="A125" s="3" t="s">
        <v>305</v>
      </c>
      <c r="B125" s="3" t="s">
        <v>306</v>
      </c>
      <c r="C125" s="3" t="s">
        <v>306</v>
      </c>
      <c r="D125" s="3"/>
      <c r="E125" s="3" t="s">
        <v>20</v>
      </c>
      <c r="F125" s="3"/>
      <c r="G125" s="3"/>
      <c r="H125" s="3"/>
      <c r="I125" s="3"/>
      <c r="J125" s="3">
        <v>16</v>
      </c>
      <c r="K125" s="3">
        <v>16</v>
      </c>
      <c r="L125" s="3">
        <v>0</v>
      </c>
      <c r="M125" s="3">
        <v>0</v>
      </c>
      <c r="N125" s="3">
        <v>16</v>
      </c>
      <c r="O125" s="3"/>
      <c r="P125" s="3">
        <v>0</v>
      </c>
      <c r="Q125" s="3">
        <v>0</v>
      </c>
      <c r="R125" s="3">
        <v>0</v>
      </c>
    </row>
    <row r="126" spans="1:18">
      <c r="A126" s="3" t="s">
        <v>307</v>
      </c>
      <c r="B126" s="3" t="s">
        <v>308</v>
      </c>
      <c r="C126" s="3" t="s">
        <v>308</v>
      </c>
      <c r="D126" s="3"/>
      <c r="E126" s="3" t="s">
        <v>20</v>
      </c>
      <c r="F126" s="3"/>
      <c r="G126" s="3"/>
      <c r="H126" s="3"/>
      <c r="I126" s="3"/>
      <c r="J126" s="3">
        <v>23</v>
      </c>
      <c r="K126" s="3">
        <v>23</v>
      </c>
      <c r="L126" s="3">
        <v>0</v>
      </c>
      <c r="M126" s="3">
        <v>0</v>
      </c>
      <c r="N126" s="3">
        <v>23</v>
      </c>
      <c r="O126" s="3"/>
      <c r="P126" s="3">
        <v>0</v>
      </c>
      <c r="Q126" s="3">
        <v>0</v>
      </c>
      <c r="R126" s="3">
        <v>0</v>
      </c>
    </row>
    <row r="127" spans="1:18">
      <c r="A127" s="3" t="s">
        <v>309</v>
      </c>
      <c r="B127" s="3" t="s">
        <v>310</v>
      </c>
      <c r="C127" s="3" t="s">
        <v>310</v>
      </c>
      <c r="D127" s="3"/>
      <c r="E127" s="3" t="s">
        <v>20</v>
      </c>
      <c r="F127" s="3"/>
      <c r="G127" s="3"/>
      <c r="H127" s="3"/>
      <c r="I127" s="3"/>
      <c r="J127" s="3">
        <v>26</v>
      </c>
      <c r="K127" s="3">
        <v>24</v>
      </c>
      <c r="L127" s="3">
        <v>0</v>
      </c>
      <c r="M127" s="3">
        <v>2</v>
      </c>
      <c r="N127" s="3">
        <v>36</v>
      </c>
      <c r="O127" s="3"/>
      <c r="P127" s="3">
        <v>0</v>
      </c>
      <c r="Q127" s="3">
        <v>0</v>
      </c>
      <c r="R127" s="3">
        <v>10</v>
      </c>
    </row>
    <row r="128" spans="1:18">
      <c r="A128" s="3" t="s">
        <v>311</v>
      </c>
      <c r="B128" s="3" t="s">
        <v>312</v>
      </c>
      <c r="C128" s="3" t="s">
        <v>312</v>
      </c>
      <c r="D128" s="3"/>
      <c r="E128" s="3" t="s">
        <v>20</v>
      </c>
      <c r="F128" s="3"/>
      <c r="G128" s="3"/>
      <c r="H128" s="3"/>
      <c r="I128" s="3"/>
      <c r="J128" s="3">
        <v>19</v>
      </c>
      <c r="K128" s="3">
        <v>17</v>
      </c>
      <c r="L128" s="3">
        <v>0</v>
      </c>
      <c r="M128" s="3">
        <v>2</v>
      </c>
      <c r="N128" s="3">
        <v>19</v>
      </c>
      <c r="O128" s="3"/>
      <c r="P128" s="3">
        <v>0</v>
      </c>
      <c r="Q128" s="3">
        <v>0</v>
      </c>
      <c r="R128" s="3">
        <v>0</v>
      </c>
    </row>
    <row r="129" spans="1:18">
      <c r="A129" s="3" t="s">
        <v>313</v>
      </c>
      <c r="B129" s="3" t="s">
        <v>314</v>
      </c>
      <c r="C129" s="3" t="s">
        <v>314</v>
      </c>
      <c r="D129" s="3" t="s">
        <v>315</v>
      </c>
      <c r="E129" s="3" t="s">
        <v>120</v>
      </c>
      <c r="F129" s="3">
        <v>24.98</v>
      </c>
      <c r="G129" s="3" t="s">
        <v>121</v>
      </c>
      <c r="H129" s="3"/>
      <c r="I129" s="3" t="s">
        <v>122</v>
      </c>
      <c r="J129" s="3">
        <v>7</v>
      </c>
      <c r="K129" s="3">
        <v>7</v>
      </c>
      <c r="L129" s="3">
        <v>0</v>
      </c>
      <c r="M129" s="3">
        <v>0</v>
      </c>
      <c r="N129" s="3">
        <v>7</v>
      </c>
      <c r="O129" s="3">
        <v>0.06</v>
      </c>
      <c r="P129" s="3">
        <v>0</v>
      </c>
      <c r="Q129" s="3">
        <v>0</v>
      </c>
      <c r="R129" s="3">
        <v>0</v>
      </c>
    </row>
    <row r="130" spans="1:18">
      <c r="A130" s="3" t="s">
        <v>316</v>
      </c>
      <c r="B130" s="3" t="s">
        <v>317</v>
      </c>
      <c r="C130" s="3" t="s">
        <v>317</v>
      </c>
      <c r="D130" s="3"/>
      <c r="E130" s="3" t="s">
        <v>20</v>
      </c>
      <c r="F130" s="3"/>
      <c r="G130" s="3"/>
      <c r="H130" s="3"/>
      <c r="I130" s="3"/>
      <c r="J130" s="3">
        <v>0</v>
      </c>
      <c r="K130" s="3">
        <v>0</v>
      </c>
      <c r="L130" s="3">
        <v>0</v>
      </c>
      <c r="M130" s="3">
        <v>0</v>
      </c>
      <c r="N130" s="3">
        <v>0</v>
      </c>
      <c r="O130" s="3"/>
      <c r="P130" s="3">
        <v>0</v>
      </c>
      <c r="Q130" s="3">
        <v>0</v>
      </c>
      <c r="R130" s="3">
        <v>0</v>
      </c>
    </row>
    <row r="131" spans="1:18">
      <c r="A131" s="3" t="s">
        <v>318</v>
      </c>
      <c r="B131" s="3" t="s">
        <v>319</v>
      </c>
      <c r="C131" s="3" t="s">
        <v>319</v>
      </c>
      <c r="D131" s="3"/>
      <c r="E131" s="3" t="s">
        <v>20</v>
      </c>
      <c r="F131" s="3"/>
      <c r="G131" s="3"/>
      <c r="H131" s="3"/>
      <c r="I131" s="3"/>
      <c r="J131" s="3">
        <v>20</v>
      </c>
      <c r="K131" s="3">
        <v>19</v>
      </c>
      <c r="L131" s="3">
        <v>0</v>
      </c>
      <c r="M131" s="3">
        <v>1</v>
      </c>
      <c r="N131" s="3">
        <v>20</v>
      </c>
      <c r="O131" s="3"/>
      <c r="P131" s="3">
        <v>0</v>
      </c>
      <c r="Q131" s="3">
        <v>0</v>
      </c>
      <c r="R131" s="3">
        <v>0</v>
      </c>
    </row>
    <row r="132" spans="1:18">
      <c r="A132" s="3" t="s">
        <v>320</v>
      </c>
      <c r="B132" s="3" t="s">
        <v>321</v>
      </c>
      <c r="C132" s="3" t="s">
        <v>321</v>
      </c>
      <c r="D132" s="3"/>
      <c r="E132" s="3" t="s">
        <v>20</v>
      </c>
      <c r="F132" s="3"/>
      <c r="G132" s="3"/>
      <c r="H132" s="3"/>
      <c r="I132" s="3"/>
      <c r="J132" s="3">
        <v>3</v>
      </c>
      <c r="K132" s="3">
        <v>3</v>
      </c>
      <c r="L132" s="3">
        <v>0</v>
      </c>
      <c r="M132" s="3">
        <v>0</v>
      </c>
      <c r="N132" s="3">
        <v>3</v>
      </c>
      <c r="O132" s="3"/>
      <c r="P132" s="3">
        <v>0</v>
      </c>
      <c r="Q132" s="3">
        <v>0</v>
      </c>
      <c r="R132" s="3">
        <v>0</v>
      </c>
    </row>
    <row r="133" spans="1:18">
      <c r="A133" s="3" t="s">
        <v>322</v>
      </c>
      <c r="B133" s="3" t="s">
        <v>323</v>
      </c>
      <c r="C133" s="3" t="s">
        <v>323</v>
      </c>
      <c r="D133" s="3"/>
      <c r="E133" s="3" t="s">
        <v>20</v>
      </c>
      <c r="F133" s="3"/>
      <c r="G133" s="3"/>
      <c r="H133" s="3"/>
      <c r="I133" s="3"/>
      <c r="J133" s="3">
        <v>16</v>
      </c>
      <c r="K133" s="3">
        <v>16</v>
      </c>
      <c r="L133" s="3">
        <v>0</v>
      </c>
      <c r="M133" s="3">
        <v>0</v>
      </c>
      <c r="N133" s="3">
        <v>16</v>
      </c>
      <c r="O133" s="3"/>
      <c r="P133" s="3">
        <v>0</v>
      </c>
      <c r="Q133" s="3">
        <v>0</v>
      </c>
      <c r="R133" s="3">
        <v>0</v>
      </c>
    </row>
    <row r="134" spans="1:18">
      <c r="A134" s="3" t="s">
        <v>324</v>
      </c>
      <c r="B134" s="3" t="s">
        <v>325</v>
      </c>
      <c r="C134" s="3" t="s">
        <v>325</v>
      </c>
      <c r="D134" s="3"/>
      <c r="E134" s="3" t="s">
        <v>20</v>
      </c>
      <c r="F134" s="3"/>
      <c r="G134" s="3"/>
      <c r="H134" s="3"/>
      <c r="I134" s="3"/>
      <c r="J134" s="3">
        <v>34</v>
      </c>
      <c r="K134" s="3">
        <v>34</v>
      </c>
      <c r="L134" s="3">
        <v>0</v>
      </c>
      <c r="M134" s="3">
        <v>0</v>
      </c>
      <c r="N134" s="3">
        <v>34</v>
      </c>
      <c r="O134" s="3"/>
      <c r="P134" s="3">
        <v>0</v>
      </c>
      <c r="Q134" s="3">
        <v>0</v>
      </c>
      <c r="R134" s="3">
        <v>0</v>
      </c>
    </row>
    <row r="135" spans="1:18">
      <c r="A135" s="3" t="s">
        <v>326</v>
      </c>
      <c r="B135" s="3" t="s">
        <v>327</v>
      </c>
      <c r="C135" s="3" t="s">
        <v>327</v>
      </c>
      <c r="D135" s="3"/>
      <c r="E135" s="3" t="s">
        <v>20</v>
      </c>
      <c r="F135" s="3"/>
      <c r="G135" s="3"/>
      <c r="H135" s="3"/>
      <c r="I135" s="3"/>
      <c r="J135" s="3">
        <v>23</v>
      </c>
      <c r="K135" s="3">
        <v>23</v>
      </c>
      <c r="L135" s="3">
        <v>0</v>
      </c>
      <c r="M135" s="3">
        <v>0</v>
      </c>
      <c r="N135" s="3">
        <v>23</v>
      </c>
      <c r="O135" s="3"/>
      <c r="P135" s="3">
        <v>0</v>
      </c>
      <c r="Q135" s="3">
        <v>0</v>
      </c>
      <c r="R135" s="3">
        <v>0</v>
      </c>
    </row>
    <row r="136" spans="1:18">
      <c r="A136" s="3" t="s">
        <v>328</v>
      </c>
      <c r="B136" s="3" t="s">
        <v>329</v>
      </c>
      <c r="C136" s="3" t="s">
        <v>329</v>
      </c>
      <c r="D136" s="3" t="s">
        <v>330</v>
      </c>
      <c r="E136" s="3" t="s">
        <v>120</v>
      </c>
      <c r="F136" s="3">
        <v>22.98</v>
      </c>
      <c r="G136" s="3" t="s">
        <v>121</v>
      </c>
      <c r="H136" s="3"/>
      <c r="I136" s="3" t="s">
        <v>122</v>
      </c>
      <c r="J136" s="3">
        <v>32</v>
      </c>
      <c r="K136" s="3">
        <v>32</v>
      </c>
      <c r="L136" s="3">
        <v>0</v>
      </c>
      <c r="M136" s="3">
        <v>0</v>
      </c>
      <c r="N136" s="3">
        <v>32</v>
      </c>
      <c r="O136" s="3">
        <v>0.15</v>
      </c>
      <c r="P136" s="3">
        <v>0</v>
      </c>
      <c r="Q136" s="3">
        <v>0</v>
      </c>
      <c r="R136" s="3">
        <v>0</v>
      </c>
    </row>
    <row r="137" spans="1:18">
      <c r="A137" s="3" t="s">
        <v>331</v>
      </c>
      <c r="B137" s="3" t="s">
        <v>332</v>
      </c>
      <c r="C137" s="3" t="s">
        <v>332</v>
      </c>
      <c r="D137" s="3"/>
      <c r="E137" s="3" t="s">
        <v>20</v>
      </c>
      <c r="F137" s="3"/>
      <c r="G137" s="3"/>
      <c r="H137" s="3"/>
      <c r="I137" s="3"/>
      <c r="J137" s="3">
        <v>6</v>
      </c>
      <c r="K137" s="3">
        <v>6</v>
      </c>
      <c r="L137" s="3">
        <v>0</v>
      </c>
      <c r="M137" s="3">
        <v>0</v>
      </c>
      <c r="N137" s="3">
        <v>6</v>
      </c>
      <c r="O137" s="3"/>
      <c r="P137" s="3">
        <v>0</v>
      </c>
      <c r="Q137" s="3">
        <v>0</v>
      </c>
      <c r="R137" s="3">
        <v>0</v>
      </c>
    </row>
    <row r="138" spans="1:18">
      <c r="A138" s="3" t="s">
        <v>333</v>
      </c>
      <c r="B138" s="3" t="s">
        <v>334</v>
      </c>
      <c r="C138" s="3" t="s">
        <v>334</v>
      </c>
      <c r="D138" s="3"/>
      <c r="E138" s="3" t="s">
        <v>20</v>
      </c>
      <c r="F138" s="3"/>
      <c r="G138" s="3"/>
      <c r="H138" s="3"/>
      <c r="I138" s="3"/>
      <c r="J138" s="3">
        <v>2</v>
      </c>
      <c r="K138" s="3">
        <v>2</v>
      </c>
      <c r="L138" s="3">
        <v>0</v>
      </c>
      <c r="M138" s="3">
        <v>0</v>
      </c>
      <c r="N138" s="3">
        <v>2</v>
      </c>
      <c r="O138" s="3"/>
      <c r="P138" s="3">
        <v>0</v>
      </c>
      <c r="Q138" s="3">
        <v>0</v>
      </c>
      <c r="R138" s="3">
        <v>0</v>
      </c>
    </row>
    <row r="139" spans="1:18">
      <c r="A139" s="3" t="s">
        <v>335</v>
      </c>
      <c r="B139" s="3" t="s">
        <v>336</v>
      </c>
      <c r="C139" s="3" t="s">
        <v>336</v>
      </c>
      <c r="D139" s="3"/>
      <c r="E139" s="3" t="s">
        <v>20</v>
      </c>
      <c r="F139" s="3"/>
      <c r="G139" s="3"/>
      <c r="H139" s="3"/>
      <c r="I139" s="3"/>
      <c r="J139" s="3">
        <v>3</v>
      </c>
      <c r="K139" s="3">
        <v>3</v>
      </c>
      <c r="L139" s="3">
        <v>0</v>
      </c>
      <c r="M139" s="3">
        <v>0</v>
      </c>
      <c r="N139" s="3">
        <v>3</v>
      </c>
      <c r="O139" s="3"/>
      <c r="P139" s="3">
        <v>0</v>
      </c>
      <c r="Q139" s="3">
        <v>0</v>
      </c>
      <c r="R139" s="3">
        <v>0</v>
      </c>
    </row>
    <row r="140" spans="1:18">
      <c r="A140" s="3" t="s">
        <v>337</v>
      </c>
      <c r="B140" s="3" t="s">
        <v>338</v>
      </c>
      <c r="C140" s="3" t="s">
        <v>338</v>
      </c>
      <c r="D140" s="3"/>
      <c r="E140" s="3" t="s">
        <v>20</v>
      </c>
      <c r="F140" s="3"/>
      <c r="G140" s="3"/>
      <c r="H140" s="3"/>
      <c r="I140" s="3"/>
      <c r="J140" s="3">
        <v>0</v>
      </c>
      <c r="K140" s="3">
        <v>0</v>
      </c>
      <c r="L140" s="3">
        <v>0</v>
      </c>
      <c r="M140" s="3">
        <v>0</v>
      </c>
      <c r="N140" s="3">
        <v>0</v>
      </c>
      <c r="O140" s="3"/>
      <c r="P140" s="3">
        <v>0</v>
      </c>
      <c r="Q140" s="3">
        <v>0</v>
      </c>
      <c r="R140" s="3">
        <v>0</v>
      </c>
    </row>
    <row r="141" spans="1:18">
      <c r="A141" s="3" t="s">
        <v>339</v>
      </c>
      <c r="B141" s="3" t="s">
        <v>340</v>
      </c>
      <c r="C141" s="3" t="s">
        <v>340</v>
      </c>
      <c r="D141" s="3"/>
      <c r="E141" s="3" t="s">
        <v>20</v>
      </c>
      <c r="F141" s="3"/>
      <c r="G141" s="3"/>
      <c r="H141" s="3"/>
      <c r="I141" s="3"/>
      <c r="J141" s="3">
        <v>8</v>
      </c>
      <c r="K141" s="3">
        <v>8</v>
      </c>
      <c r="L141" s="3">
        <v>0</v>
      </c>
      <c r="M141" s="3">
        <v>0</v>
      </c>
      <c r="N141" s="3">
        <v>8</v>
      </c>
      <c r="O141" s="3"/>
      <c r="P141" s="3">
        <v>0</v>
      </c>
      <c r="Q141" s="3">
        <v>0</v>
      </c>
      <c r="R141" s="3">
        <v>0</v>
      </c>
    </row>
    <row r="142" spans="1:18">
      <c r="A142" s="3" t="s">
        <v>341</v>
      </c>
      <c r="B142" s="3" t="s">
        <v>342</v>
      </c>
      <c r="C142" s="3" t="s">
        <v>342</v>
      </c>
      <c r="D142" s="3"/>
      <c r="E142" s="3" t="s">
        <v>20</v>
      </c>
      <c r="F142" s="3"/>
      <c r="G142" s="3"/>
      <c r="H142" s="3"/>
      <c r="I142" s="3"/>
      <c r="J142" s="3">
        <v>3</v>
      </c>
      <c r="K142" s="3">
        <v>3</v>
      </c>
      <c r="L142" s="3">
        <v>0</v>
      </c>
      <c r="M142" s="3">
        <v>0</v>
      </c>
      <c r="N142" s="3">
        <v>3</v>
      </c>
      <c r="O142" s="3"/>
      <c r="P142" s="3">
        <v>0</v>
      </c>
      <c r="Q142" s="3">
        <v>0</v>
      </c>
      <c r="R142" s="3">
        <v>0</v>
      </c>
    </row>
    <row r="143" spans="1:18">
      <c r="A143" s="3" t="s">
        <v>343</v>
      </c>
      <c r="B143" s="3" t="s">
        <v>344</v>
      </c>
      <c r="C143" s="3" t="s">
        <v>344</v>
      </c>
      <c r="D143" s="3" t="s">
        <v>345</v>
      </c>
      <c r="E143" s="3" t="s">
        <v>120</v>
      </c>
      <c r="F143" s="3">
        <v>26.98</v>
      </c>
      <c r="G143" s="3" t="s">
        <v>121</v>
      </c>
      <c r="H143" s="3"/>
      <c r="I143" s="3" t="s">
        <v>122</v>
      </c>
      <c r="J143" s="3">
        <v>18</v>
      </c>
      <c r="K143" s="3">
        <v>18</v>
      </c>
      <c r="L143" s="3">
        <v>0</v>
      </c>
      <c r="M143" s="3">
        <v>0</v>
      </c>
      <c r="N143" s="3">
        <v>18</v>
      </c>
      <c r="O143" s="3">
        <v>0.06</v>
      </c>
      <c r="P143" s="3">
        <v>0</v>
      </c>
      <c r="Q143" s="3">
        <v>0</v>
      </c>
      <c r="R143" s="3">
        <v>0</v>
      </c>
    </row>
    <row r="144" spans="1:18">
      <c r="A144" s="3" t="s">
        <v>346</v>
      </c>
      <c r="B144" s="3" t="s">
        <v>347</v>
      </c>
      <c r="C144" s="3" t="s">
        <v>347</v>
      </c>
      <c r="D144" s="3" t="s">
        <v>348</v>
      </c>
      <c r="E144" s="3" t="s">
        <v>120</v>
      </c>
      <c r="F144" s="3">
        <v>26.98</v>
      </c>
      <c r="G144" s="3" t="s">
        <v>121</v>
      </c>
      <c r="H144" s="3"/>
      <c r="I144" s="3" t="s">
        <v>122</v>
      </c>
      <c r="J144" s="3">
        <v>0</v>
      </c>
      <c r="K144" s="3">
        <v>0</v>
      </c>
      <c r="L144" s="3">
        <v>0</v>
      </c>
      <c r="M144" s="3">
        <v>0</v>
      </c>
      <c r="N144" s="3">
        <v>0</v>
      </c>
      <c r="O144" s="3">
        <v>0.06</v>
      </c>
      <c r="P144" s="3">
        <v>0</v>
      </c>
      <c r="Q144" s="3">
        <v>0</v>
      </c>
      <c r="R144" s="3">
        <v>0</v>
      </c>
    </row>
    <row r="145" spans="1:18">
      <c r="A145" s="3" t="s">
        <v>349</v>
      </c>
      <c r="B145" s="3" t="s">
        <v>350</v>
      </c>
      <c r="C145" s="3" t="s">
        <v>350</v>
      </c>
      <c r="D145" s="3"/>
      <c r="E145" s="3" t="s">
        <v>20</v>
      </c>
      <c r="F145" s="3"/>
      <c r="G145" s="3"/>
      <c r="H145" s="3"/>
      <c r="I145" s="3"/>
      <c r="J145" s="3">
        <v>11</v>
      </c>
      <c r="K145" s="3">
        <v>11</v>
      </c>
      <c r="L145" s="3">
        <v>0</v>
      </c>
      <c r="M145" s="3">
        <v>0</v>
      </c>
      <c r="N145" s="3">
        <v>11</v>
      </c>
      <c r="O145" s="3"/>
      <c r="P145" s="3">
        <v>0</v>
      </c>
      <c r="Q145" s="3">
        <v>0</v>
      </c>
      <c r="R145" s="3">
        <v>0</v>
      </c>
    </row>
    <row r="146" spans="1:18">
      <c r="A146" s="3" t="s">
        <v>351</v>
      </c>
      <c r="B146" s="3" t="s">
        <v>352</v>
      </c>
      <c r="C146" s="3" t="s">
        <v>352</v>
      </c>
      <c r="D146" s="3"/>
      <c r="E146" s="3" t="s">
        <v>20</v>
      </c>
      <c r="F146" s="3"/>
      <c r="G146" s="3"/>
      <c r="H146" s="3"/>
      <c r="I146" s="3"/>
      <c r="J146" s="3">
        <v>2</v>
      </c>
      <c r="K146" s="3">
        <v>2</v>
      </c>
      <c r="L146" s="3">
        <v>0</v>
      </c>
      <c r="M146" s="3">
        <v>0</v>
      </c>
      <c r="N146" s="3">
        <v>2</v>
      </c>
      <c r="O146" s="3"/>
      <c r="P146" s="3">
        <v>0</v>
      </c>
      <c r="Q146" s="3">
        <v>0</v>
      </c>
      <c r="R146" s="3">
        <v>0</v>
      </c>
    </row>
    <row r="147" spans="1:18">
      <c r="A147" s="3" t="s">
        <v>353</v>
      </c>
      <c r="B147" s="3" t="s">
        <v>354</v>
      </c>
      <c r="C147" s="3" t="s">
        <v>354</v>
      </c>
      <c r="D147" s="3"/>
      <c r="E147" s="3" t="s">
        <v>20</v>
      </c>
      <c r="F147" s="3"/>
      <c r="G147" s="3"/>
      <c r="H147" s="3"/>
      <c r="I147" s="3"/>
      <c r="J147" s="3">
        <v>10</v>
      </c>
      <c r="K147" s="3">
        <v>10</v>
      </c>
      <c r="L147" s="3">
        <v>0</v>
      </c>
      <c r="M147" s="3">
        <v>0</v>
      </c>
      <c r="N147" s="3">
        <v>10</v>
      </c>
      <c r="O147" s="3"/>
      <c r="P147" s="3">
        <v>0</v>
      </c>
      <c r="Q147" s="3">
        <v>0</v>
      </c>
      <c r="R147" s="3">
        <v>0</v>
      </c>
    </row>
    <row r="148" spans="1:18">
      <c r="A148" s="3" t="s">
        <v>355</v>
      </c>
      <c r="B148" s="3" t="s">
        <v>356</v>
      </c>
      <c r="C148" s="3" t="s">
        <v>356</v>
      </c>
      <c r="D148" s="3"/>
      <c r="E148" s="3" t="s">
        <v>20</v>
      </c>
      <c r="F148" s="3"/>
      <c r="G148" s="3"/>
      <c r="H148" s="3"/>
      <c r="I148" s="3"/>
      <c r="J148" s="3">
        <v>6</v>
      </c>
      <c r="K148" s="3">
        <v>6</v>
      </c>
      <c r="L148" s="3">
        <v>0</v>
      </c>
      <c r="M148" s="3">
        <v>0</v>
      </c>
      <c r="N148" s="3">
        <v>6</v>
      </c>
      <c r="O148" s="3"/>
      <c r="P148" s="3">
        <v>0</v>
      </c>
      <c r="Q148" s="3">
        <v>0</v>
      </c>
      <c r="R148" s="3">
        <v>0</v>
      </c>
    </row>
    <row r="149" spans="1:18">
      <c r="A149" s="3" t="s">
        <v>357</v>
      </c>
      <c r="B149" s="3" t="s">
        <v>358</v>
      </c>
      <c r="C149" s="3" t="s">
        <v>358</v>
      </c>
      <c r="D149" s="3"/>
      <c r="E149" s="3" t="s">
        <v>20</v>
      </c>
      <c r="F149" s="3"/>
      <c r="G149" s="3"/>
      <c r="H149" s="3"/>
      <c r="I149" s="3"/>
      <c r="J149" s="3">
        <v>8</v>
      </c>
      <c r="K149" s="3">
        <v>8</v>
      </c>
      <c r="L149" s="3">
        <v>0</v>
      </c>
      <c r="M149" s="3">
        <v>0</v>
      </c>
      <c r="N149" s="3">
        <v>8</v>
      </c>
      <c r="O149" s="3"/>
      <c r="P149" s="3">
        <v>0</v>
      </c>
      <c r="Q149" s="3">
        <v>0</v>
      </c>
      <c r="R149" s="3">
        <v>0</v>
      </c>
    </row>
    <row r="150" spans="1:18">
      <c r="A150" s="3" t="s">
        <v>359</v>
      </c>
      <c r="B150" s="3" t="s">
        <v>360</v>
      </c>
      <c r="C150" s="3" t="s">
        <v>360</v>
      </c>
      <c r="D150" s="3"/>
      <c r="E150" s="3" t="s">
        <v>20</v>
      </c>
      <c r="F150" s="3"/>
      <c r="G150" s="3"/>
      <c r="H150" s="3"/>
      <c r="I150" s="3"/>
      <c r="J150" s="3">
        <v>9</v>
      </c>
      <c r="K150" s="3">
        <v>9</v>
      </c>
      <c r="L150" s="3">
        <v>0</v>
      </c>
      <c r="M150" s="3">
        <v>0</v>
      </c>
      <c r="N150" s="3">
        <v>9</v>
      </c>
      <c r="O150" s="3"/>
      <c r="P150" s="3">
        <v>0</v>
      </c>
      <c r="Q150" s="3">
        <v>0</v>
      </c>
      <c r="R150" s="3">
        <v>0</v>
      </c>
    </row>
    <row r="151" spans="1:18">
      <c r="A151" s="3" t="s">
        <v>361</v>
      </c>
      <c r="B151" s="3" t="s">
        <v>362</v>
      </c>
      <c r="C151" s="3" t="s">
        <v>362</v>
      </c>
      <c r="D151" s="3"/>
      <c r="E151" s="3" t="s">
        <v>20</v>
      </c>
      <c r="F151" s="3"/>
      <c r="G151" s="3"/>
      <c r="H151" s="3"/>
      <c r="I151" s="3"/>
      <c r="J151" s="3">
        <v>9</v>
      </c>
      <c r="K151" s="3">
        <v>9</v>
      </c>
      <c r="L151" s="3">
        <v>0</v>
      </c>
      <c r="M151" s="3">
        <v>0</v>
      </c>
      <c r="N151" s="3">
        <v>9</v>
      </c>
      <c r="O151" s="3"/>
      <c r="P151" s="3">
        <v>0</v>
      </c>
      <c r="Q151" s="3">
        <v>0</v>
      </c>
      <c r="R151" s="3">
        <v>0</v>
      </c>
    </row>
    <row r="152" spans="1:18">
      <c r="A152" s="3" t="s">
        <v>363</v>
      </c>
      <c r="B152" s="3" t="s">
        <v>364</v>
      </c>
      <c r="C152" s="3" t="s">
        <v>364</v>
      </c>
      <c r="D152" s="3"/>
      <c r="E152" s="3" t="s">
        <v>20</v>
      </c>
      <c r="F152" s="3"/>
      <c r="G152" s="3"/>
      <c r="H152" s="3"/>
      <c r="I152" s="3"/>
      <c r="J152" s="3">
        <v>0</v>
      </c>
      <c r="K152" s="3">
        <v>0</v>
      </c>
      <c r="L152" s="3">
        <v>0</v>
      </c>
      <c r="M152" s="3">
        <v>0</v>
      </c>
      <c r="N152" s="3">
        <v>0</v>
      </c>
      <c r="O152" s="3"/>
      <c r="P152" s="3">
        <v>0</v>
      </c>
      <c r="Q152" s="3">
        <v>0</v>
      </c>
      <c r="R152" s="3">
        <v>0</v>
      </c>
    </row>
    <row r="153" spans="1:18">
      <c r="A153" s="3" t="s">
        <v>365</v>
      </c>
      <c r="B153" s="3" t="s">
        <v>366</v>
      </c>
      <c r="C153" s="3" t="s">
        <v>367</v>
      </c>
      <c r="D153" s="3" t="s">
        <v>368</v>
      </c>
      <c r="E153" s="3" t="s">
        <v>120</v>
      </c>
      <c r="F153" s="3">
        <v>22.98</v>
      </c>
      <c r="G153" s="3" t="s">
        <v>121</v>
      </c>
      <c r="H153" s="3"/>
      <c r="I153" s="3" t="s">
        <v>122</v>
      </c>
      <c r="J153" s="3">
        <v>23</v>
      </c>
      <c r="K153" s="3">
        <v>19</v>
      </c>
      <c r="L153" s="3">
        <v>0</v>
      </c>
      <c r="M153" s="3">
        <v>4</v>
      </c>
      <c r="N153" s="3">
        <v>63</v>
      </c>
      <c r="O153" s="3">
        <v>0.04</v>
      </c>
      <c r="P153" s="3">
        <v>0</v>
      </c>
      <c r="Q153" s="3">
        <v>40</v>
      </c>
      <c r="R153" s="3">
        <v>0</v>
      </c>
    </row>
    <row r="154" spans="1:18">
      <c r="A154" s="3" t="s">
        <v>369</v>
      </c>
      <c r="B154" s="3" t="s">
        <v>370</v>
      </c>
      <c r="C154" s="3" t="s">
        <v>371</v>
      </c>
      <c r="D154" s="3" t="s">
        <v>372</v>
      </c>
      <c r="E154" s="3" t="s">
        <v>120</v>
      </c>
      <c r="F154" s="3">
        <v>22.98</v>
      </c>
      <c r="G154" s="3" t="s">
        <v>121</v>
      </c>
      <c r="H154" s="3"/>
      <c r="I154" s="3" t="s">
        <v>122</v>
      </c>
      <c r="J154" s="3">
        <v>30</v>
      </c>
      <c r="K154" s="3">
        <v>27</v>
      </c>
      <c r="L154" s="3">
        <v>0</v>
      </c>
      <c r="M154" s="3">
        <v>3</v>
      </c>
      <c r="N154" s="3">
        <v>50</v>
      </c>
      <c r="O154" s="3">
        <v>0.04</v>
      </c>
      <c r="P154" s="3">
        <v>0</v>
      </c>
      <c r="Q154" s="3">
        <v>20</v>
      </c>
      <c r="R154" s="3">
        <v>0</v>
      </c>
    </row>
    <row r="155" spans="1:18">
      <c r="A155" s="3" t="s">
        <v>373</v>
      </c>
      <c r="B155" s="3" t="s">
        <v>374</v>
      </c>
      <c r="C155" s="3" t="s">
        <v>375</v>
      </c>
      <c r="D155" s="3" t="s">
        <v>376</v>
      </c>
      <c r="E155" s="3" t="s">
        <v>120</v>
      </c>
      <c r="F155" s="3">
        <v>22.98</v>
      </c>
      <c r="G155" s="3" t="s">
        <v>121</v>
      </c>
      <c r="H155" s="3"/>
      <c r="I155" s="3" t="s">
        <v>122</v>
      </c>
      <c r="J155" s="3">
        <v>0</v>
      </c>
      <c r="K155" s="3">
        <v>0</v>
      </c>
      <c r="L155" s="3">
        <v>0</v>
      </c>
      <c r="M155" s="3">
        <v>0</v>
      </c>
      <c r="N155" s="3">
        <v>0</v>
      </c>
      <c r="O155" s="3">
        <v>0.04</v>
      </c>
      <c r="P155" s="3">
        <v>0</v>
      </c>
      <c r="Q155" s="3">
        <v>0</v>
      </c>
      <c r="R155" s="3">
        <v>0</v>
      </c>
    </row>
    <row r="156" spans="1:18">
      <c r="A156" s="3" t="s">
        <v>377</v>
      </c>
      <c r="B156" s="3" t="s">
        <v>378</v>
      </c>
      <c r="C156" s="3" t="s">
        <v>379</v>
      </c>
      <c r="D156" s="3" t="s">
        <v>380</v>
      </c>
      <c r="E156" s="3" t="s">
        <v>120</v>
      </c>
      <c r="F156" s="3">
        <v>23.98</v>
      </c>
      <c r="G156" s="3" t="s">
        <v>121</v>
      </c>
      <c r="H156" s="3"/>
      <c r="I156" s="3" t="s">
        <v>122</v>
      </c>
      <c r="J156" s="3">
        <v>30</v>
      </c>
      <c r="K156" s="3">
        <v>22</v>
      </c>
      <c r="L156" s="3">
        <v>0</v>
      </c>
      <c r="M156" s="3">
        <v>8</v>
      </c>
      <c r="N156" s="3">
        <v>70</v>
      </c>
      <c r="O156" s="3">
        <v>0.07</v>
      </c>
      <c r="P156" s="3">
        <v>0</v>
      </c>
      <c r="Q156" s="3">
        <v>40</v>
      </c>
      <c r="R156" s="3">
        <v>0</v>
      </c>
    </row>
    <row r="157" spans="1:18">
      <c r="A157" s="3" t="s">
        <v>381</v>
      </c>
      <c r="B157" s="3" t="s">
        <v>382</v>
      </c>
      <c r="C157" s="3" t="s">
        <v>383</v>
      </c>
      <c r="D157" s="3" t="s">
        <v>384</v>
      </c>
      <c r="E157" s="3" t="s">
        <v>120</v>
      </c>
      <c r="F157" s="3">
        <v>23.98</v>
      </c>
      <c r="G157" s="3" t="s">
        <v>121</v>
      </c>
      <c r="H157" s="3"/>
      <c r="I157" s="3" t="s">
        <v>122</v>
      </c>
      <c r="J157" s="3">
        <v>0</v>
      </c>
      <c r="K157" s="3">
        <v>0</v>
      </c>
      <c r="L157" s="3">
        <v>0</v>
      </c>
      <c r="M157" s="3">
        <v>0</v>
      </c>
      <c r="N157" s="3">
        <v>0</v>
      </c>
      <c r="O157" s="3">
        <v>0.05</v>
      </c>
      <c r="P157" s="3">
        <v>0</v>
      </c>
      <c r="Q157" s="3">
        <v>0</v>
      </c>
      <c r="R157" s="3">
        <v>0</v>
      </c>
    </row>
    <row r="158" spans="1:18">
      <c r="A158" s="3" t="s">
        <v>385</v>
      </c>
      <c r="B158" s="3" t="s">
        <v>386</v>
      </c>
      <c r="C158" s="3" t="s">
        <v>387</v>
      </c>
      <c r="D158" s="3" t="s">
        <v>388</v>
      </c>
      <c r="E158" s="3" t="s">
        <v>120</v>
      </c>
      <c r="F158" s="3">
        <v>22.98</v>
      </c>
      <c r="G158" s="3" t="s">
        <v>121</v>
      </c>
      <c r="H158" s="3"/>
      <c r="I158" s="3" t="s">
        <v>122</v>
      </c>
      <c r="J158" s="3">
        <v>23</v>
      </c>
      <c r="K158" s="3">
        <v>18</v>
      </c>
      <c r="L158" s="3">
        <v>0</v>
      </c>
      <c r="M158" s="3">
        <v>5</v>
      </c>
      <c r="N158" s="3">
        <v>63</v>
      </c>
      <c r="O158" s="3">
        <v>0.07</v>
      </c>
      <c r="P158" s="3">
        <v>0</v>
      </c>
      <c r="Q158" s="3">
        <v>40</v>
      </c>
      <c r="R158" s="3">
        <v>0</v>
      </c>
    </row>
    <row r="159" spans="1:18">
      <c r="A159" s="3" t="s">
        <v>389</v>
      </c>
      <c r="B159" s="3" t="s">
        <v>390</v>
      </c>
      <c r="C159" s="3" t="s">
        <v>391</v>
      </c>
      <c r="D159" s="3" t="s">
        <v>392</v>
      </c>
      <c r="E159" s="3" t="s">
        <v>120</v>
      </c>
      <c r="F159" s="3">
        <v>22.98</v>
      </c>
      <c r="G159" s="3" t="s">
        <v>121</v>
      </c>
      <c r="H159" s="3"/>
      <c r="I159" s="3" t="s">
        <v>122</v>
      </c>
      <c r="J159" s="3">
        <v>15</v>
      </c>
      <c r="K159" s="3">
        <v>15</v>
      </c>
      <c r="L159" s="3">
        <v>0</v>
      </c>
      <c r="M159" s="3">
        <v>0</v>
      </c>
      <c r="N159" s="3">
        <v>55</v>
      </c>
      <c r="O159" s="3">
        <v>0.07</v>
      </c>
      <c r="P159" s="3">
        <v>0</v>
      </c>
      <c r="Q159" s="3">
        <v>40</v>
      </c>
      <c r="R159" s="3">
        <v>0</v>
      </c>
    </row>
    <row r="160" spans="1:18">
      <c r="A160" s="3" t="s">
        <v>393</v>
      </c>
      <c r="B160" s="3" t="s">
        <v>394</v>
      </c>
      <c r="C160" s="3" t="s">
        <v>395</v>
      </c>
      <c r="D160" s="3" t="s">
        <v>396</v>
      </c>
      <c r="E160" s="3" t="s">
        <v>120</v>
      </c>
      <c r="F160" s="3">
        <v>22.98</v>
      </c>
      <c r="G160" s="3" t="s">
        <v>121</v>
      </c>
      <c r="H160" s="3"/>
      <c r="I160" s="3" t="s">
        <v>122</v>
      </c>
      <c r="J160" s="3">
        <v>0</v>
      </c>
      <c r="K160" s="3">
        <v>0</v>
      </c>
      <c r="L160" s="3">
        <v>0</v>
      </c>
      <c r="M160" s="3">
        <v>0</v>
      </c>
      <c r="N160" s="3">
        <v>0</v>
      </c>
      <c r="O160" s="3">
        <v>0.07</v>
      </c>
      <c r="P160" s="3">
        <v>0</v>
      </c>
      <c r="Q160" s="3">
        <v>0</v>
      </c>
      <c r="R160" s="3">
        <v>0</v>
      </c>
    </row>
    <row r="161" spans="1:18">
      <c r="A161" s="3" t="s">
        <v>397</v>
      </c>
      <c r="B161" s="3" t="s">
        <v>398</v>
      </c>
      <c r="C161" s="3" t="s">
        <v>399</v>
      </c>
      <c r="D161" s="3" t="s">
        <v>400</v>
      </c>
      <c r="E161" s="3" t="s">
        <v>120</v>
      </c>
      <c r="F161" s="3">
        <v>23.98</v>
      </c>
      <c r="G161" s="3" t="s">
        <v>121</v>
      </c>
      <c r="H161" s="3"/>
      <c r="I161" s="3" t="s">
        <v>122</v>
      </c>
      <c r="J161" s="3">
        <v>27</v>
      </c>
      <c r="K161" s="3">
        <v>23</v>
      </c>
      <c r="L161" s="3">
        <v>0</v>
      </c>
      <c r="M161" s="3">
        <v>4</v>
      </c>
      <c r="N161" s="3">
        <v>67</v>
      </c>
      <c r="O161" s="3">
        <v>0.07</v>
      </c>
      <c r="P161" s="3">
        <v>0</v>
      </c>
      <c r="Q161" s="3">
        <v>40</v>
      </c>
      <c r="R161" s="3">
        <v>0</v>
      </c>
    </row>
    <row r="162" spans="1:18">
      <c r="A162" s="3" t="s">
        <v>401</v>
      </c>
      <c r="B162" s="3" t="s">
        <v>402</v>
      </c>
      <c r="C162" s="3" t="s">
        <v>403</v>
      </c>
      <c r="D162" s="3" t="s">
        <v>404</v>
      </c>
      <c r="E162" s="3" t="s">
        <v>120</v>
      </c>
      <c r="F162" s="3">
        <v>23.98</v>
      </c>
      <c r="G162" s="3" t="s">
        <v>121</v>
      </c>
      <c r="H162" s="3"/>
      <c r="I162" s="3" t="s">
        <v>122</v>
      </c>
      <c r="J162" s="3">
        <v>18</v>
      </c>
      <c r="K162" s="3">
        <v>17</v>
      </c>
      <c r="L162" s="3">
        <v>0</v>
      </c>
      <c r="M162" s="3">
        <v>1</v>
      </c>
      <c r="N162" s="3">
        <v>58</v>
      </c>
      <c r="O162" s="3">
        <v>0.07</v>
      </c>
      <c r="P162" s="3">
        <v>0</v>
      </c>
      <c r="Q162" s="3">
        <v>40</v>
      </c>
      <c r="R162" s="3">
        <v>0</v>
      </c>
    </row>
    <row r="163" spans="1:18">
      <c r="A163" s="3" t="s">
        <v>405</v>
      </c>
      <c r="B163" s="3" t="s">
        <v>406</v>
      </c>
      <c r="C163" s="3" t="s">
        <v>407</v>
      </c>
      <c r="D163" s="3" t="s">
        <v>408</v>
      </c>
      <c r="E163" s="3" t="s">
        <v>120</v>
      </c>
      <c r="F163" s="3">
        <v>22.98</v>
      </c>
      <c r="G163" s="3" t="s">
        <v>121</v>
      </c>
      <c r="H163" s="3"/>
      <c r="I163" s="3" t="s">
        <v>122</v>
      </c>
      <c r="J163" s="3">
        <v>38</v>
      </c>
      <c r="K163" s="3">
        <v>30</v>
      </c>
      <c r="L163" s="3">
        <v>0</v>
      </c>
      <c r="M163" s="3">
        <v>8</v>
      </c>
      <c r="N163" s="3">
        <v>118</v>
      </c>
      <c r="O163" s="3">
        <v>0.07</v>
      </c>
      <c r="P163" s="3">
        <v>0</v>
      </c>
      <c r="Q163" s="3">
        <v>80</v>
      </c>
      <c r="R163" s="3">
        <v>0</v>
      </c>
    </row>
    <row r="164" spans="1:18">
      <c r="A164" s="3" t="s">
        <v>409</v>
      </c>
      <c r="B164" s="3" t="s">
        <v>410</v>
      </c>
      <c r="C164" s="3" t="s">
        <v>411</v>
      </c>
      <c r="D164" s="3" t="s">
        <v>412</v>
      </c>
      <c r="E164" s="3" t="s">
        <v>120</v>
      </c>
      <c r="F164" s="3">
        <v>22.98</v>
      </c>
      <c r="G164" s="3" t="s">
        <v>121</v>
      </c>
      <c r="H164" s="3"/>
      <c r="I164" s="3" t="s">
        <v>122</v>
      </c>
      <c r="J164" s="3">
        <v>0</v>
      </c>
      <c r="K164" s="3">
        <v>0</v>
      </c>
      <c r="L164" s="3">
        <v>0</v>
      </c>
      <c r="M164" s="3">
        <v>0</v>
      </c>
      <c r="N164" s="3">
        <v>20</v>
      </c>
      <c r="O164" s="3">
        <v>0.07</v>
      </c>
      <c r="P164" s="3">
        <v>0</v>
      </c>
      <c r="Q164" s="3">
        <v>20</v>
      </c>
      <c r="R164" s="3">
        <v>0</v>
      </c>
    </row>
    <row r="165" spans="1:18">
      <c r="A165" s="3" t="s">
        <v>413</v>
      </c>
      <c r="B165" s="3" t="s">
        <v>414</v>
      </c>
      <c r="C165" s="3" t="s">
        <v>415</v>
      </c>
      <c r="D165" s="3" t="s">
        <v>416</v>
      </c>
      <c r="E165" s="3" t="s">
        <v>120</v>
      </c>
      <c r="F165" s="3">
        <v>22.98</v>
      </c>
      <c r="G165" s="3" t="s">
        <v>121</v>
      </c>
      <c r="H165" s="3"/>
      <c r="I165" s="3" t="s">
        <v>122</v>
      </c>
      <c r="J165" s="3">
        <v>0</v>
      </c>
      <c r="K165" s="3">
        <v>0</v>
      </c>
      <c r="L165" s="3">
        <v>0</v>
      </c>
      <c r="M165" s="3">
        <v>0</v>
      </c>
      <c r="N165" s="3">
        <v>0</v>
      </c>
      <c r="O165" s="3">
        <v>0.05</v>
      </c>
      <c r="P165" s="3">
        <v>0</v>
      </c>
      <c r="Q165" s="3">
        <v>0</v>
      </c>
      <c r="R165" s="3">
        <v>0</v>
      </c>
    </row>
    <row r="166" spans="1:18">
      <c r="A166" s="3" t="s">
        <v>417</v>
      </c>
      <c r="B166" s="3" t="s">
        <v>418</v>
      </c>
      <c r="C166" s="3" t="s">
        <v>419</v>
      </c>
      <c r="D166" s="3" t="s">
        <v>420</v>
      </c>
      <c r="E166" s="3" t="s">
        <v>120</v>
      </c>
      <c r="F166" s="3">
        <v>23.98</v>
      </c>
      <c r="G166" s="3" t="s">
        <v>121</v>
      </c>
      <c r="H166" s="3"/>
      <c r="I166" s="3" t="s">
        <v>122</v>
      </c>
      <c r="J166" s="3">
        <v>16</v>
      </c>
      <c r="K166" s="3">
        <v>15</v>
      </c>
      <c r="L166" s="3">
        <v>0</v>
      </c>
      <c r="M166" s="3">
        <v>1</v>
      </c>
      <c r="N166" s="3">
        <v>56</v>
      </c>
      <c r="O166" s="3">
        <v>0.07</v>
      </c>
      <c r="P166" s="3">
        <v>0</v>
      </c>
      <c r="Q166" s="3">
        <v>40</v>
      </c>
      <c r="R166" s="3">
        <v>0</v>
      </c>
    </row>
    <row r="167" spans="1:18">
      <c r="A167" s="3" t="s">
        <v>421</v>
      </c>
      <c r="B167" s="3" t="s">
        <v>422</v>
      </c>
      <c r="C167" s="3" t="s">
        <v>423</v>
      </c>
      <c r="D167" s="3"/>
      <c r="E167" s="3" t="s">
        <v>20</v>
      </c>
      <c r="F167" s="3"/>
      <c r="G167" s="3"/>
      <c r="H167" s="3"/>
      <c r="I167" s="3"/>
      <c r="J167" s="3">
        <v>0</v>
      </c>
      <c r="K167" s="3">
        <v>0</v>
      </c>
      <c r="L167" s="3">
        <v>0</v>
      </c>
      <c r="M167" s="3">
        <v>0</v>
      </c>
      <c r="N167" s="3">
        <v>0</v>
      </c>
      <c r="O167" s="3"/>
      <c r="P167" s="3">
        <v>0</v>
      </c>
      <c r="Q167" s="3">
        <v>0</v>
      </c>
      <c r="R167" s="3">
        <v>0</v>
      </c>
    </row>
    <row r="168" spans="1:18">
      <c r="A168" s="3" t="s">
        <v>424</v>
      </c>
      <c r="B168" s="3" t="s">
        <v>425</v>
      </c>
      <c r="C168" s="3" t="s">
        <v>426</v>
      </c>
      <c r="D168" s="3" t="s">
        <v>427</v>
      </c>
      <c r="E168" s="3" t="s">
        <v>120</v>
      </c>
      <c r="F168" s="3">
        <v>22.98</v>
      </c>
      <c r="G168" s="3" t="s">
        <v>121</v>
      </c>
      <c r="H168" s="3"/>
      <c r="I168" s="3" t="s">
        <v>122</v>
      </c>
      <c r="J168" s="3">
        <v>17</v>
      </c>
      <c r="K168" s="3">
        <v>16</v>
      </c>
      <c r="L168" s="3">
        <v>0</v>
      </c>
      <c r="M168" s="3">
        <v>1</v>
      </c>
      <c r="N168" s="3">
        <v>57</v>
      </c>
      <c r="O168" s="3">
        <v>0.07</v>
      </c>
      <c r="P168" s="3">
        <v>0</v>
      </c>
      <c r="Q168" s="3">
        <v>40</v>
      </c>
      <c r="R168" s="3">
        <v>0</v>
      </c>
    </row>
    <row r="169" spans="1:18">
      <c r="A169" s="3" t="s">
        <v>428</v>
      </c>
      <c r="B169" s="3" t="s">
        <v>429</v>
      </c>
      <c r="C169" s="3" t="s">
        <v>430</v>
      </c>
      <c r="D169" s="3" t="s">
        <v>431</v>
      </c>
      <c r="E169" s="3" t="s">
        <v>120</v>
      </c>
      <c r="F169" s="3">
        <v>22.98</v>
      </c>
      <c r="G169" s="3" t="s">
        <v>121</v>
      </c>
      <c r="H169" s="3"/>
      <c r="I169" s="3" t="s">
        <v>122</v>
      </c>
      <c r="J169" s="3">
        <v>22</v>
      </c>
      <c r="K169" s="3">
        <v>22</v>
      </c>
      <c r="L169" s="3">
        <v>0</v>
      </c>
      <c r="M169" s="3">
        <v>0</v>
      </c>
      <c r="N169" s="3">
        <v>62</v>
      </c>
      <c r="O169" s="3">
        <v>0.07</v>
      </c>
      <c r="P169" s="3">
        <v>0</v>
      </c>
      <c r="Q169" s="3">
        <v>40</v>
      </c>
      <c r="R169" s="3">
        <v>0</v>
      </c>
    </row>
    <row r="170" spans="1:18">
      <c r="A170" s="3" t="s">
        <v>432</v>
      </c>
      <c r="B170" s="3" t="s">
        <v>433</v>
      </c>
      <c r="C170" s="3" t="s">
        <v>434</v>
      </c>
      <c r="D170" s="3" t="s">
        <v>435</v>
      </c>
      <c r="E170" s="3" t="s">
        <v>120</v>
      </c>
      <c r="F170" s="3">
        <v>22.98</v>
      </c>
      <c r="G170" s="3" t="s">
        <v>121</v>
      </c>
      <c r="H170" s="3"/>
      <c r="I170" s="3" t="s">
        <v>122</v>
      </c>
      <c r="J170" s="3">
        <v>0</v>
      </c>
      <c r="K170" s="3">
        <v>0</v>
      </c>
      <c r="L170" s="3">
        <v>0</v>
      </c>
      <c r="M170" s="3">
        <v>0</v>
      </c>
      <c r="N170" s="3">
        <v>0</v>
      </c>
      <c r="O170" s="3">
        <v>0.07</v>
      </c>
      <c r="P170" s="3">
        <v>0</v>
      </c>
      <c r="Q170" s="3">
        <v>0</v>
      </c>
      <c r="R170" s="3">
        <v>0</v>
      </c>
    </row>
    <row r="171" spans="1:18">
      <c r="A171" s="3" t="s">
        <v>436</v>
      </c>
      <c r="B171" s="3" t="s">
        <v>437</v>
      </c>
      <c r="C171" s="3" t="s">
        <v>438</v>
      </c>
      <c r="D171" s="3" t="s">
        <v>439</v>
      </c>
      <c r="E171" s="3" t="s">
        <v>120</v>
      </c>
      <c r="F171" s="3">
        <v>23.98</v>
      </c>
      <c r="G171" s="3" t="s">
        <v>121</v>
      </c>
      <c r="H171" s="3"/>
      <c r="I171" s="3" t="s">
        <v>122</v>
      </c>
      <c r="J171" s="3">
        <v>8</v>
      </c>
      <c r="K171" s="3">
        <v>7</v>
      </c>
      <c r="L171" s="3">
        <v>0</v>
      </c>
      <c r="M171" s="3">
        <v>1</v>
      </c>
      <c r="N171" s="3">
        <v>48</v>
      </c>
      <c r="O171" s="3">
        <v>0.07</v>
      </c>
      <c r="P171" s="3">
        <v>0</v>
      </c>
      <c r="Q171" s="3">
        <v>40</v>
      </c>
      <c r="R171" s="3">
        <v>0</v>
      </c>
    </row>
    <row r="172" spans="1:18">
      <c r="A172" s="3" t="s">
        <v>440</v>
      </c>
      <c r="B172" s="3" t="s">
        <v>441</v>
      </c>
      <c r="C172" s="3" t="s">
        <v>442</v>
      </c>
      <c r="D172" s="3" t="s">
        <v>443</v>
      </c>
      <c r="E172" s="3" t="s">
        <v>120</v>
      </c>
      <c r="F172" s="3">
        <v>23.98</v>
      </c>
      <c r="G172" s="3" t="s">
        <v>121</v>
      </c>
      <c r="H172" s="3"/>
      <c r="I172" s="3" t="s">
        <v>122</v>
      </c>
      <c r="J172" s="3">
        <v>5</v>
      </c>
      <c r="K172" s="3">
        <v>5</v>
      </c>
      <c r="L172" s="3">
        <v>0</v>
      </c>
      <c r="M172" s="3">
        <v>0</v>
      </c>
      <c r="N172" s="3">
        <v>15</v>
      </c>
      <c r="O172" s="3">
        <v>0.07</v>
      </c>
      <c r="P172" s="3">
        <v>0</v>
      </c>
      <c r="Q172" s="3">
        <v>10</v>
      </c>
      <c r="R172" s="3">
        <v>0</v>
      </c>
    </row>
    <row r="173" spans="1:18">
      <c r="A173" s="3" t="s">
        <v>444</v>
      </c>
      <c r="B173" s="3" t="s">
        <v>445</v>
      </c>
      <c r="C173" s="3" t="s">
        <v>446</v>
      </c>
      <c r="D173" s="3" t="s">
        <v>447</v>
      </c>
      <c r="E173" s="3" t="s">
        <v>120</v>
      </c>
      <c r="F173" s="3">
        <v>22.98</v>
      </c>
      <c r="G173" s="3" t="s">
        <v>121</v>
      </c>
      <c r="H173" s="3"/>
      <c r="I173" s="3" t="s">
        <v>122</v>
      </c>
      <c r="J173" s="3">
        <v>0</v>
      </c>
      <c r="K173" s="3">
        <v>0</v>
      </c>
      <c r="L173" s="3">
        <v>0</v>
      </c>
      <c r="M173" s="3">
        <v>0</v>
      </c>
      <c r="N173" s="3">
        <v>0</v>
      </c>
      <c r="O173" s="3">
        <v>0.07</v>
      </c>
      <c r="P173" s="3">
        <v>0</v>
      </c>
      <c r="Q173" s="3">
        <v>0</v>
      </c>
      <c r="R173" s="3">
        <v>0</v>
      </c>
    </row>
    <row r="174" spans="1:18">
      <c r="A174" s="3" t="s">
        <v>448</v>
      </c>
      <c r="B174" s="3" t="s">
        <v>449</v>
      </c>
      <c r="C174" s="3" t="s">
        <v>450</v>
      </c>
      <c r="D174" s="3" t="s">
        <v>451</v>
      </c>
      <c r="E174" s="3" t="s">
        <v>120</v>
      </c>
      <c r="F174" s="3">
        <v>22.98</v>
      </c>
      <c r="G174" s="3" t="s">
        <v>121</v>
      </c>
      <c r="H174" s="3"/>
      <c r="I174" s="3" t="s">
        <v>122</v>
      </c>
      <c r="J174" s="3">
        <v>0</v>
      </c>
      <c r="K174" s="3">
        <v>0</v>
      </c>
      <c r="L174" s="3">
        <v>0</v>
      </c>
      <c r="M174" s="3">
        <v>0</v>
      </c>
      <c r="N174" s="3">
        <v>0</v>
      </c>
      <c r="O174" s="3">
        <v>0.07</v>
      </c>
      <c r="P174" s="3">
        <v>0</v>
      </c>
      <c r="Q174" s="3">
        <v>0</v>
      </c>
      <c r="R174" s="3">
        <v>0</v>
      </c>
    </row>
    <row r="175" spans="1:18">
      <c r="A175" s="3" t="s">
        <v>452</v>
      </c>
      <c r="B175" s="3" t="s">
        <v>453</v>
      </c>
      <c r="C175" s="3" t="s">
        <v>454</v>
      </c>
      <c r="D175" s="3" t="s">
        <v>455</v>
      </c>
      <c r="E175" s="3" t="s">
        <v>120</v>
      </c>
      <c r="F175" s="3">
        <v>22.98</v>
      </c>
      <c r="G175" s="3" t="s">
        <v>121</v>
      </c>
      <c r="H175" s="3"/>
      <c r="I175" s="3" t="s">
        <v>122</v>
      </c>
      <c r="J175" s="3">
        <v>0</v>
      </c>
      <c r="K175" s="3">
        <v>0</v>
      </c>
      <c r="L175" s="3">
        <v>0</v>
      </c>
      <c r="M175" s="3">
        <v>0</v>
      </c>
      <c r="N175" s="3">
        <v>0</v>
      </c>
      <c r="O175" s="3">
        <v>0.07</v>
      </c>
      <c r="P175" s="3">
        <v>0</v>
      </c>
      <c r="Q175" s="3">
        <v>0</v>
      </c>
      <c r="R175" s="3">
        <v>0</v>
      </c>
    </row>
    <row r="176" spans="1:18">
      <c r="A176" s="3" t="s">
        <v>456</v>
      </c>
      <c r="B176" s="3" t="s">
        <v>457</v>
      </c>
      <c r="C176" s="3" t="s">
        <v>458</v>
      </c>
      <c r="D176" s="3" t="s">
        <v>459</v>
      </c>
      <c r="E176" s="3" t="s">
        <v>120</v>
      </c>
      <c r="F176" s="3">
        <v>23.98</v>
      </c>
      <c r="G176" s="3" t="s">
        <v>121</v>
      </c>
      <c r="H176" s="3"/>
      <c r="I176" s="3" t="s">
        <v>122</v>
      </c>
      <c r="J176" s="3">
        <v>0</v>
      </c>
      <c r="K176" s="3">
        <v>0</v>
      </c>
      <c r="L176" s="3">
        <v>0</v>
      </c>
      <c r="M176" s="3">
        <v>0</v>
      </c>
      <c r="N176" s="3">
        <v>0</v>
      </c>
      <c r="O176" s="3">
        <v>0.07</v>
      </c>
      <c r="P176" s="3">
        <v>0</v>
      </c>
      <c r="Q176" s="3">
        <v>0</v>
      </c>
      <c r="R176" s="3">
        <v>0</v>
      </c>
    </row>
    <row r="177" spans="1:18">
      <c r="A177" s="3" t="s">
        <v>460</v>
      </c>
      <c r="B177" s="3" t="s">
        <v>461</v>
      </c>
      <c r="C177" s="3" t="s">
        <v>462</v>
      </c>
      <c r="D177" s="3"/>
      <c r="E177" s="3" t="s">
        <v>20</v>
      </c>
      <c r="F177" s="3"/>
      <c r="G177" s="3"/>
      <c r="H177" s="3"/>
      <c r="I177" s="3"/>
      <c r="J177" s="3">
        <v>0</v>
      </c>
      <c r="K177" s="3">
        <v>0</v>
      </c>
      <c r="L177" s="3">
        <v>0</v>
      </c>
      <c r="M177" s="3">
        <v>0</v>
      </c>
      <c r="N177" s="3">
        <v>0</v>
      </c>
      <c r="O177" s="3"/>
      <c r="P177" s="3">
        <v>0</v>
      </c>
      <c r="Q177" s="3">
        <v>0</v>
      </c>
      <c r="R177" s="3">
        <v>0</v>
      </c>
    </row>
    <row r="178" spans="1:18">
      <c r="A178" s="3" t="s">
        <v>463</v>
      </c>
      <c r="B178" s="3" t="s">
        <v>298</v>
      </c>
      <c r="C178" s="3" t="s">
        <v>298</v>
      </c>
      <c r="D178" s="3" t="s">
        <v>464</v>
      </c>
      <c r="E178" s="3" t="s">
        <v>120</v>
      </c>
      <c r="F178" s="3">
        <v>39.98</v>
      </c>
      <c r="G178" s="3" t="s">
        <v>121</v>
      </c>
      <c r="H178" s="3"/>
      <c r="I178" s="3" t="s">
        <v>122</v>
      </c>
      <c r="J178" s="3">
        <v>29</v>
      </c>
      <c r="K178" s="3">
        <v>29</v>
      </c>
      <c r="L178" s="3">
        <v>0</v>
      </c>
      <c r="M178" s="3">
        <v>0</v>
      </c>
      <c r="N178" s="3">
        <v>29</v>
      </c>
      <c r="O178" s="3">
        <v>0.06</v>
      </c>
      <c r="P178" s="3">
        <v>0</v>
      </c>
      <c r="Q178" s="3">
        <v>0</v>
      </c>
      <c r="R178" s="3">
        <v>0</v>
      </c>
    </row>
    <row r="179" spans="1:18">
      <c r="A179" s="3" t="s">
        <v>465</v>
      </c>
      <c r="B179" s="3" t="s">
        <v>300</v>
      </c>
      <c r="C179" s="3" t="s">
        <v>300</v>
      </c>
      <c r="D179" s="3" t="s">
        <v>466</v>
      </c>
      <c r="E179" s="3" t="s">
        <v>120</v>
      </c>
      <c r="F179" s="3">
        <v>24.98</v>
      </c>
      <c r="G179" s="3" t="s">
        <v>121</v>
      </c>
      <c r="H179" s="3"/>
      <c r="I179" s="3" t="s">
        <v>122</v>
      </c>
      <c r="J179" s="3">
        <v>11</v>
      </c>
      <c r="K179" s="3">
        <v>10</v>
      </c>
      <c r="L179" s="3">
        <v>0</v>
      </c>
      <c r="M179" s="3">
        <v>1</v>
      </c>
      <c r="N179" s="3">
        <v>11</v>
      </c>
      <c r="O179" s="3">
        <v>0.06</v>
      </c>
      <c r="P179" s="3">
        <v>0</v>
      </c>
      <c r="Q179" s="3">
        <v>0</v>
      </c>
      <c r="R179" s="3">
        <v>0</v>
      </c>
    </row>
    <row r="180" spans="1:18">
      <c r="A180" s="3" t="s">
        <v>467</v>
      </c>
      <c r="B180" s="3" t="s">
        <v>302</v>
      </c>
      <c r="C180" s="3" t="s">
        <v>302</v>
      </c>
      <c r="D180" s="3" t="s">
        <v>468</v>
      </c>
      <c r="E180" s="3" t="s">
        <v>120</v>
      </c>
      <c r="F180" s="3">
        <v>39.98</v>
      </c>
      <c r="G180" s="3" t="s">
        <v>121</v>
      </c>
      <c r="H180" s="3"/>
      <c r="I180" s="3" t="s">
        <v>122</v>
      </c>
      <c r="J180" s="3">
        <v>27</v>
      </c>
      <c r="K180" s="3">
        <v>27</v>
      </c>
      <c r="L180" s="3">
        <v>0</v>
      </c>
      <c r="M180" s="3">
        <v>0</v>
      </c>
      <c r="N180" s="3">
        <v>27</v>
      </c>
      <c r="O180" s="3">
        <v>0.06</v>
      </c>
      <c r="P180" s="3">
        <v>0</v>
      </c>
      <c r="Q180" s="3">
        <v>0</v>
      </c>
      <c r="R180" s="3">
        <v>0</v>
      </c>
    </row>
    <row r="181" spans="1:18">
      <c r="A181" s="3" t="s">
        <v>469</v>
      </c>
      <c r="B181" s="3" t="s">
        <v>304</v>
      </c>
      <c r="C181" s="3" t="s">
        <v>304</v>
      </c>
      <c r="D181" s="3" t="s">
        <v>470</v>
      </c>
      <c r="E181" s="3" t="s">
        <v>120</v>
      </c>
      <c r="F181" s="3">
        <v>24.98</v>
      </c>
      <c r="G181" s="3" t="s">
        <v>121</v>
      </c>
      <c r="H181" s="3"/>
      <c r="I181" s="3" t="s">
        <v>122</v>
      </c>
      <c r="J181" s="3">
        <v>20</v>
      </c>
      <c r="K181" s="3">
        <v>20</v>
      </c>
      <c r="L181" s="3">
        <v>0</v>
      </c>
      <c r="M181" s="3">
        <v>0</v>
      </c>
      <c r="N181" s="3">
        <v>20</v>
      </c>
      <c r="O181" s="3">
        <v>0.06</v>
      </c>
      <c r="P181" s="3">
        <v>0</v>
      </c>
      <c r="Q181" s="3">
        <v>0</v>
      </c>
      <c r="R181" s="3">
        <v>0</v>
      </c>
    </row>
    <row r="182" spans="1:18">
      <c r="A182" s="3" t="s">
        <v>471</v>
      </c>
      <c r="B182" s="3" t="s">
        <v>306</v>
      </c>
      <c r="C182" s="3" t="s">
        <v>306</v>
      </c>
      <c r="D182" s="3" t="s">
        <v>472</v>
      </c>
      <c r="E182" s="3" t="s">
        <v>120</v>
      </c>
      <c r="F182" s="3">
        <v>39.98</v>
      </c>
      <c r="G182" s="3" t="s">
        <v>121</v>
      </c>
      <c r="H182" s="3"/>
      <c r="I182" s="3" t="s">
        <v>122</v>
      </c>
      <c r="J182" s="3">
        <v>16</v>
      </c>
      <c r="K182" s="3">
        <v>16</v>
      </c>
      <c r="L182" s="3">
        <v>0</v>
      </c>
      <c r="M182" s="3">
        <v>0</v>
      </c>
      <c r="N182" s="3">
        <v>16</v>
      </c>
      <c r="O182" s="3">
        <v>0.06</v>
      </c>
      <c r="P182" s="3">
        <v>0</v>
      </c>
      <c r="Q182" s="3">
        <v>0</v>
      </c>
      <c r="R182" s="3">
        <v>0</v>
      </c>
    </row>
    <row r="183" spans="1:18">
      <c r="A183" s="3" t="s">
        <v>473</v>
      </c>
      <c r="B183" s="3" t="s">
        <v>308</v>
      </c>
      <c r="C183" s="3" t="s">
        <v>308</v>
      </c>
      <c r="D183" s="3" t="s">
        <v>474</v>
      </c>
      <c r="E183" s="3" t="s">
        <v>120</v>
      </c>
      <c r="F183" s="3">
        <v>24.98</v>
      </c>
      <c r="G183" s="3" t="s">
        <v>121</v>
      </c>
      <c r="H183" s="3"/>
      <c r="I183" s="3" t="s">
        <v>122</v>
      </c>
      <c r="J183" s="3">
        <v>23</v>
      </c>
      <c r="K183" s="3">
        <v>23</v>
      </c>
      <c r="L183" s="3">
        <v>0</v>
      </c>
      <c r="M183" s="3">
        <v>0</v>
      </c>
      <c r="N183" s="3">
        <v>23</v>
      </c>
      <c r="O183" s="3">
        <v>0.06</v>
      </c>
      <c r="P183" s="3">
        <v>0</v>
      </c>
      <c r="Q183" s="3">
        <v>0</v>
      </c>
      <c r="R183" s="3">
        <v>0</v>
      </c>
    </row>
    <row r="184" spans="1:18">
      <c r="A184" s="3" t="s">
        <v>475</v>
      </c>
      <c r="B184" s="3" t="s">
        <v>310</v>
      </c>
      <c r="C184" s="3" t="s">
        <v>310</v>
      </c>
      <c r="D184" s="3" t="s">
        <v>348</v>
      </c>
      <c r="E184" s="3" t="s">
        <v>120</v>
      </c>
      <c r="F184" s="3">
        <v>39.98</v>
      </c>
      <c r="G184" s="3" t="s">
        <v>121</v>
      </c>
      <c r="H184" s="3"/>
      <c r="I184" s="3" t="s">
        <v>122</v>
      </c>
      <c r="J184" s="3">
        <v>26</v>
      </c>
      <c r="K184" s="3">
        <v>24</v>
      </c>
      <c r="L184" s="3">
        <v>0</v>
      </c>
      <c r="M184" s="3">
        <v>2</v>
      </c>
      <c r="N184" s="3">
        <v>36</v>
      </c>
      <c r="O184" s="3">
        <v>0.06</v>
      </c>
      <c r="P184" s="3">
        <v>0</v>
      </c>
      <c r="Q184" s="3">
        <v>0</v>
      </c>
      <c r="R184" s="3">
        <v>10</v>
      </c>
    </row>
    <row r="185" spans="1:18">
      <c r="A185" s="3" t="s">
        <v>476</v>
      </c>
      <c r="B185" s="3" t="s">
        <v>312</v>
      </c>
      <c r="C185" s="3" t="s">
        <v>312</v>
      </c>
      <c r="D185" s="3" t="s">
        <v>477</v>
      </c>
      <c r="E185" s="3" t="s">
        <v>120</v>
      </c>
      <c r="F185" s="3">
        <v>24.98</v>
      </c>
      <c r="G185" s="3" t="s">
        <v>121</v>
      </c>
      <c r="H185" s="3"/>
      <c r="I185" s="3" t="s">
        <v>122</v>
      </c>
      <c r="J185" s="3">
        <v>19</v>
      </c>
      <c r="K185" s="3">
        <v>17</v>
      </c>
      <c r="L185" s="3">
        <v>0</v>
      </c>
      <c r="M185" s="3">
        <v>2</v>
      </c>
      <c r="N185" s="3">
        <v>19</v>
      </c>
      <c r="O185" s="3">
        <v>0.21</v>
      </c>
      <c r="P185" s="3">
        <v>0</v>
      </c>
      <c r="Q185" s="3">
        <v>0</v>
      </c>
      <c r="R185" s="3">
        <v>0</v>
      </c>
    </row>
    <row r="186" spans="1:18">
      <c r="A186" s="3" t="s">
        <v>478</v>
      </c>
      <c r="B186" s="3" t="s">
        <v>314</v>
      </c>
      <c r="C186" s="3" t="s">
        <v>314</v>
      </c>
      <c r="D186" s="3"/>
      <c r="E186" s="3" t="s">
        <v>20</v>
      </c>
      <c r="F186" s="3"/>
      <c r="G186" s="3"/>
      <c r="H186" s="3"/>
      <c r="I186" s="3"/>
      <c r="J186" s="3">
        <v>7</v>
      </c>
      <c r="K186" s="3">
        <v>7</v>
      </c>
      <c r="L186" s="3">
        <v>0</v>
      </c>
      <c r="M186" s="3">
        <v>0</v>
      </c>
      <c r="N186" s="3">
        <v>7</v>
      </c>
      <c r="O186" s="3"/>
      <c r="P186" s="3">
        <v>0</v>
      </c>
      <c r="Q186" s="3">
        <v>0</v>
      </c>
      <c r="R186" s="3">
        <v>0</v>
      </c>
    </row>
    <row r="187" spans="1:18">
      <c r="A187" s="3" t="s">
        <v>479</v>
      </c>
      <c r="B187" s="3" t="s">
        <v>317</v>
      </c>
      <c r="C187" s="3" t="s">
        <v>317</v>
      </c>
      <c r="D187" s="3" t="s">
        <v>480</v>
      </c>
      <c r="E187" s="3" t="s">
        <v>120</v>
      </c>
      <c r="F187" s="3">
        <v>39.98</v>
      </c>
      <c r="G187" s="3" t="s">
        <v>121</v>
      </c>
      <c r="H187" s="3"/>
      <c r="I187" s="3" t="s">
        <v>122</v>
      </c>
      <c r="J187" s="3">
        <v>0</v>
      </c>
      <c r="K187" s="3">
        <v>0</v>
      </c>
      <c r="L187" s="3">
        <v>0</v>
      </c>
      <c r="M187" s="3">
        <v>0</v>
      </c>
      <c r="N187" s="3">
        <v>0</v>
      </c>
      <c r="O187" s="3">
        <v>0.06</v>
      </c>
      <c r="P187" s="3">
        <v>0</v>
      </c>
      <c r="Q187" s="3">
        <v>0</v>
      </c>
      <c r="R187" s="3">
        <v>0</v>
      </c>
    </row>
    <row r="188" spans="1:18">
      <c r="A188" s="3" t="s">
        <v>481</v>
      </c>
      <c r="B188" s="3" t="s">
        <v>319</v>
      </c>
      <c r="C188" s="3" t="s">
        <v>319</v>
      </c>
      <c r="D188" s="3" t="s">
        <v>482</v>
      </c>
      <c r="E188" s="3" t="s">
        <v>120</v>
      </c>
      <c r="F188" s="3">
        <v>39.98</v>
      </c>
      <c r="G188" s="3" t="s">
        <v>121</v>
      </c>
      <c r="H188" s="3"/>
      <c r="I188" s="3" t="s">
        <v>122</v>
      </c>
      <c r="J188" s="3">
        <v>20</v>
      </c>
      <c r="K188" s="3">
        <v>19</v>
      </c>
      <c r="L188" s="3">
        <v>0</v>
      </c>
      <c r="M188" s="3">
        <v>1</v>
      </c>
      <c r="N188" s="3">
        <v>20</v>
      </c>
      <c r="O188" s="3">
        <v>0.06</v>
      </c>
      <c r="P188" s="3">
        <v>0</v>
      </c>
      <c r="Q188" s="3">
        <v>0</v>
      </c>
      <c r="R188" s="3">
        <v>0</v>
      </c>
    </row>
    <row r="189" spans="1:18">
      <c r="A189" s="3" t="s">
        <v>483</v>
      </c>
      <c r="B189" s="3" t="s">
        <v>321</v>
      </c>
      <c r="C189" s="3" t="s">
        <v>321</v>
      </c>
      <c r="D189" s="3" t="s">
        <v>484</v>
      </c>
      <c r="E189" s="3" t="s">
        <v>120</v>
      </c>
      <c r="F189" s="3">
        <v>39.98</v>
      </c>
      <c r="G189" s="3" t="s">
        <v>121</v>
      </c>
      <c r="H189" s="3"/>
      <c r="I189" s="3" t="s">
        <v>122</v>
      </c>
      <c r="J189" s="3">
        <v>3</v>
      </c>
      <c r="K189" s="3">
        <v>3</v>
      </c>
      <c r="L189" s="3">
        <v>0</v>
      </c>
      <c r="M189" s="3">
        <v>0</v>
      </c>
      <c r="N189" s="3">
        <v>3</v>
      </c>
      <c r="O189" s="3">
        <v>0.06</v>
      </c>
      <c r="P189" s="3">
        <v>0</v>
      </c>
      <c r="Q189" s="3">
        <v>0</v>
      </c>
      <c r="R189" s="3">
        <v>0</v>
      </c>
    </row>
    <row r="190" spans="1:18">
      <c r="A190" s="3" t="s">
        <v>485</v>
      </c>
      <c r="B190" s="3" t="s">
        <v>323</v>
      </c>
      <c r="C190" s="3" t="s">
        <v>323</v>
      </c>
      <c r="D190" s="3" t="s">
        <v>486</v>
      </c>
      <c r="E190" s="3" t="s">
        <v>120</v>
      </c>
      <c r="F190" s="3">
        <v>24.98</v>
      </c>
      <c r="G190" s="3" t="s">
        <v>121</v>
      </c>
      <c r="H190" s="3"/>
      <c r="I190" s="3" t="s">
        <v>122</v>
      </c>
      <c r="J190" s="3">
        <v>16</v>
      </c>
      <c r="K190" s="3">
        <v>16</v>
      </c>
      <c r="L190" s="3">
        <v>0</v>
      </c>
      <c r="M190" s="3">
        <v>0</v>
      </c>
      <c r="N190" s="3">
        <v>16</v>
      </c>
      <c r="O190" s="3">
        <v>0.06</v>
      </c>
      <c r="P190" s="3">
        <v>0</v>
      </c>
      <c r="Q190" s="3">
        <v>0</v>
      </c>
      <c r="R190" s="3">
        <v>0</v>
      </c>
    </row>
    <row r="191" spans="1:18">
      <c r="A191" s="3" t="s">
        <v>487</v>
      </c>
      <c r="B191" s="3" t="s">
        <v>325</v>
      </c>
      <c r="C191" s="3" t="s">
        <v>325</v>
      </c>
      <c r="D191" s="3" t="s">
        <v>488</v>
      </c>
      <c r="E191" s="3" t="s">
        <v>120</v>
      </c>
      <c r="F191" s="3">
        <v>39.98</v>
      </c>
      <c r="G191" s="3" t="s">
        <v>121</v>
      </c>
      <c r="H191" s="3"/>
      <c r="I191" s="3" t="s">
        <v>122</v>
      </c>
      <c r="J191" s="3">
        <v>34</v>
      </c>
      <c r="K191" s="3">
        <v>34</v>
      </c>
      <c r="L191" s="3">
        <v>0</v>
      </c>
      <c r="M191" s="3">
        <v>0</v>
      </c>
      <c r="N191" s="3">
        <v>34</v>
      </c>
      <c r="O191" s="3">
        <v>0.06</v>
      </c>
      <c r="P191" s="3">
        <v>0</v>
      </c>
      <c r="Q191" s="3">
        <v>0</v>
      </c>
      <c r="R191" s="3">
        <v>0</v>
      </c>
    </row>
    <row r="192" spans="1:18">
      <c r="A192" s="3" t="s">
        <v>489</v>
      </c>
      <c r="B192" s="3" t="s">
        <v>327</v>
      </c>
      <c r="C192" s="3" t="s">
        <v>327</v>
      </c>
      <c r="D192" s="3" t="s">
        <v>490</v>
      </c>
      <c r="E192" s="3" t="s">
        <v>120</v>
      </c>
      <c r="F192" s="3">
        <v>24.98</v>
      </c>
      <c r="G192" s="3" t="s">
        <v>121</v>
      </c>
      <c r="H192" s="3"/>
      <c r="I192" s="3" t="s">
        <v>122</v>
      </c>
      <c r="J192" s="3">
        <v>23</v>
      </c>
      <c r="K192" s="3">
        <v>23</v>
      </c>
      <c r="L192" s="3">
        <v>0</v>
      </c>
      <c r="M192" s="3">
        <v>0</v>
      </c>
      <c r="N192" s="3">
        <v>23</v>
      </c>
      <c r="O192" s="3">
        <v>0.06</v>
      </c>
      <c r="P192" s="3">
        <v>0</v>
      </c>
      <c r="Q192" s="3">
        <v>0</v>
      </c>
      <c r="R192" s="3">
        <v>0</v>
      </c>
    </row>
    <row r="193" spans="1:18">
      <c r="A193" s="3" t="s">
        <v>491</v>
      </c>
      <c r="B193" s="3" t="s">
        <v>332</v>
      </c>
      <c r="C193" s="3" t="s">
        <v>332</v>
      </c>
      <c r="D193" s="3" t="s">
        <v>492</v>
      </c>
      <c r="E193" s="3" t="s">
        <v>120</v>
      </c>
      <c r="F193" s="3">
        <v>49.98</v>
      </c>
      <c r="G193" s="3" t="s">
        <v>121</v>
      </c>
      <c r="H193" s="3"/>
      <c r="I193" s="3" t="s">
        <v>122</v>
      </c>
      <c r="J193" s="3">
        <v>6</v>
      </c>
      <c r="K193" s="3">
        <v>6</v>
      </c>
      <c r="L193" s="3">
        <v>0</v>
      </c>
      <c r="M193" s="3">
        <v>0</v>
      </c>
      <c r="N193" s="3">
        <v>6</v>
      </c>
      <c r="O193" s="3">
        <v>0.06</v>
      </c>
      <c r="P193" s="3">
        <v>0</v>
      </c>
      <c r="Q193" s="3">
        <v>0</v>
      </c>
      <c r="R193" s="3">
        <v>0</v>
      </c>
    </row>
    <row r="194" spans="1:18">
      <c r="A194" s="3" t="s">
        <v>493</v>
      </c>
      <c r="B194" s="3" t="s">
        <v>334</v>
      </c>
      <c r="C194" s="3" t="s">
        <v>334</v>
      </c>
      <c r="D194" s="3" t="s">
        <v>494</v>
      </c>
      <c r="E194" s="3" t="s">
        <v>120</v>
      </c>
      <c r="F194" s="3">
        <v>49.98</v>
      </c>
      <c r="G194" s="3" t="s">
        <v>121</v>
      </c>
      <c r="H194" s="3"/>
      <c r="I194" s="3" t="s">
        <v>122</v>
      </c>
      <c r="J194" s="3">
        <v>2</v>
      </c>
      <c r="K194" s="3">
        <v>2</v>
      </c>
      <c r="L194" s="3">
        <v>0</v>
      </c>
      <c r="M194" s="3">
        <v>0</v>
      </c>
      <c r="N194" s="3">
        <v>2</v>
      </c>
      <c r="O194" s="3">
        <v>0.06</v>
      </c>
      <c r="P194" s="3">
        <v>0</v>
      </c>
      <c r="Q194" s="3">
        <v>0</v>
      </c>
      <c r="R194" s="3">
        <v>0</v>
      </c>
    </row>
    <row r="195" spans="1:18">
      <c r="A195" s="3" t="s">
        <v>495</v>
      </c>
      <c r="B195" s="3" t="s">
        <v>336</v>
      </c>
      <c r="C195" s="3" t="s">
        <v>336</v>
      </c>
      <c r="D195" s="3" t="s">
        <v>464</v>
      </c>
      <c r="E195" s="3" t="s">
        <v>120</v>
      </c>
      <c r="F195" s="3">
        <v>49.98</v>
      </c>
      <c r="G195" s="3" t="s">
        <v>121</v>
      </c>
      <c r="H195" s="3"/>
      <c r="I195" s="3" t="s">
        <v>122</v>
      </c>
      <c r="J195" s="3">
        <v>3</v>
      </c>
      <c r="K195" s="3">
        <v>3</v>
      </c>
      <c r="L195" s="3">
        <v>0</v>
      </c>
      <c r="M195" s="3">
        <v>0</v>
      </c>
      <c r="N195" s="3">
        <v>3</v>
      </c>
      <c r="O195" s="3">
        <v>0.06</v>
      </c>
      <c r="P195" s="3">
        <v>0</v>
      </c>
      <c r="Q195" s="3">
        <v>0</v>
      </c>
      <c r="R195" s="3">
        <v>0</v>
      </c>
    </row>
    <row r="196" spans="1:18">
      <c r="A196" s="3" t="s">
        <v>496</v>
      </c>
      <c r="B196" s="3" t="s">
        <v>338</v>
      </c>
      <c r="C196" s="3" t="s">
        <v>338</v>
      </c>
      <c r="D196" s="3" t="s">
        <v>466</v>
      </c>
      <c r="E196" s="3" t="s">
        <v>120</v>
      </c>
      <c r="F196" s="3">
        <v>49.98</v>
      </c>
      <c r="G196" s="3" t="s">
        <v>121</v>
      </c>
      <c r="H196" s="3"/>
      <c r="I196" s="3" t="s">
        <v>122</v>
      </c>
      <c r="J196" s="3">
        <v>0</v>
      </c>
      <c r="K196" s="3">
        <v>0</v>
      </c>
      <c r="L196" s="3">
        <v>0</v>
      </c>
      <c r="M196" s="3">
        <v>0</v>
      </c>
      <c r="N196" s="3">
        <v>0</v>
      </c>
      <c r="O196" s="3">
        <v>0.06</v>
      </c>
      <c r="P196" s="3">
        <v>0</v>
      </c>
      <c r="Q196" s="3">
        <v>0</v>
      </c>
      <c r="R196" s="3">
        <v>0</v>
      </c>
    </row>
    <row r="197" spans="1:18">
      <c r="A197" s="3" t="s">
        <v>497</v>
      </c>
      <c r="B197" s="3" t="s">
        <v>340</v>
      </c>
      <c r="C197" s="3" t="s">
        <v>340</v>
      </c>
      <c r="D197" s="3" t="s">
        <v>468</v>
      </c>
      <c r="E197" s="3" t="s">
        <v>120</v>
      </c>
      <c r="F197" s="3">
        <v>26.98</v>
      </c>
      <c r="G197" s="3" t="s">
        <v>121</v>
      </c>
      <c r="H197" s="3"/>
      <c r="I197" s="3" t="s">
        <v>122</v>
      </c>
      <c r="J197" s="3">
        <v>8</v>
      </c>
      <c r="K197" s="3">
        <v>8</v>
      </c>
      <c r="L197" s="3">
        <v>0</v>
      </c>
      <c r="M197" s="3">
        <v>0</v>
      </c>
      <c r="N197" s="3">
        <v>8</v>
      </c>
      <c r="O197" s="3">
        <v>0.06</v>
      </c>
      <c r="P197" s="3">
        <v>0</v>
      </c>
      <c r="Q197" s="3">
        <v>0</v>
      </c>
      <c r="R197" s="3">
        <v>0</v>
      </c>
    </row>
    <row r="198" spans="1:18">
      <c r="A198" s="3" t="s">
        <v>498</v>
      </c>
      <c r="B198" s="3" t="s">
        <v>342</v>
      </c>
      <c r="C198" s="3" t="s">
        <v>342</v>
      </c>
      <c r="D198" s="3" t="s">
        <v>499</v>
      </c>
      <c r="E198" s="3" t="s">
        <v>120</v>
      </c>
      <c r="F198" s="3">
        <v>26.98</v>
      </c>
      <c r="G198" s="3" t="s">
        <v>121</v>
      </c>
      <c r="H198" s="3"/>
      <c r="I198" s="3" t="s">
        <v>122</v>
      </c>
      <c r="J198" s="3">
        <v>3</v>
      </c>
      <c r="K198" s="3">
        <v>3</v>
      </c>
      <c r="L198" s="3">
        <v>0</v>
      </c>
      <c r="M198" s="3">
        <v>0</v>
      </c>
      <c r="N198" s="3">
        <v>3</v>
      </c>
      <c r="O198" s="3">
        <v>0.06</v>
      </c>
      <c r="P198" s="3">
        <v>0</v>
      </c>
      <c r="Q198" s="3">
        <v>0</v>
      </c>
      <c r="R198" s="3">
        <v>0</v>
      </c>
    </row>
    <row r="199" spans="1:18">
      <c r="A199" s="3" t="s">
        <v>500</v>
      </c>
      <c r="B199" s="3" t="s">
        <v>344</v>
      </c>
      <c r="C199" s="3" t="s">
        <v>344</v>
      </c>
      <c r="D199" s="3"/>
      <c r="E199" s="3" t="s">
        <v>20</v>
      </c>
      <c r="F199" s="3"/>
      <c r="G199" s="3"/>
      <c r="H199" s="3"/>
      <c r="I199" s="3"/>
      <c r="J199" s="3">
        <v>18</v>
      </c>
      <c r="K199" s="3">
        <v>18</v>
      </c>
      <c r="L199" s="3">
        <v>0</v>
      </c>
      <c r="M199" s="3">
        <v>0</v>
      </c>
      <c r="N199" s="3">
        <v>18</v>
      </c>
      <c r="O199" s="3"/>
      <c r="P199" s="3">
        <v>0</v>
      </c>
      <c r="Q199" s="3">
        <v>0</v>
      </c>
      <c r="R199" s="3">
        <v>0</v>
      </c>
    </row>
    <row r="200" spans="1:18">
      <c r="A200" s="3" t="s">
        <v>501</v>
      </c>
      <c r="B200" s="3" t="s">
        <v>347</v>
      </c>
      <c r="C200" s="3" t="s">
        <v>347</v>
      </c>
      <c r="D200" s="3" t="s">
        <v>348</v>
      </c>
      <c r="E200" s="3" t="s">
        <v>120</v>
      </c>
      <c r="F200" s="3">
        <v>26.98</v>
      </c>
      <c r="G200" s="3" t="s">
        <v>121</v>
      </c>
      <c r="H200" s="3"/>
      <c r="I200" s="3" t="s">
        <v>122</v>
      </c>
      <c r="J200" s="3">
        <v>0</v>
      </c>
      <c r="K200" s="3">
        <v>0</v>
      </c>
      <c r="L200" s="3">
        <v>0</v>
      </c>
      <c r="M200" s="3">
        <v>0</v>
      </c>
      <c r="N200" s="3">
        <v>0</v>
      </c>
      <c r="O200" s="3">
        <v>0.06</v>
      </c>
      <c r="P200" s="3">
        <v>0</v>
      </c>
      <c r="Q200" s="3">
        <v>0</v>
      </c>
      <c r="R200" s="3">
        <v>0</v>
      </c>
    </row>
    <row r="201" spans="1:18">
      <c r="A201" s="3" t="s">
        <v>502</v>
      </c>
      <c r="B201" s="3" t="s">
        <v>350</v>
      </c>
      <c r="C201" s="3" t="s">
        <v>350</v>
      </c>
      <c r="D201" s="3" t="s">
        <v>477</v>
      </c>
      <c r="E201" s="3" t="s">
        <v>120</v>
      </c>
      <c r="F201" s="3">
        <v>26.98</v>
      </c>
      <c r="G201" s="3" t="s">
        <v>121</v>
      </c>
      <c r="H201" s="3"/>
      <c r="I201" s="3" t="s">
        <v>122</v>
      </c>
      <c r="J201" s="3">
        <v>11</v>
      </c>
      <c r="K201" s="3">
        <v>11</v>
      </c>
      <c r="L201" s="3">
        <v>0</v>
      </c>
      <c r="M201" s="3">
        <v>0</v>
      </c>
      <c r="N201" s="3">
        <v>11</v>
      </c>
      <c r="O201" s="3">
        <v>0.06</v>
      </c>
      <c r="P201" s="3">
        <v>0</v>
      </c>
      <c r="Q201" s="3">
        <v>0</v>
      </c>
      <c r="R201" s="3">
        <v>0</v>
      </c>
    </row>
    <row r="202" spans="1:18">
      <c r="A202" s="3" t="s">
        <v>503</v>
      </c>
      <c r="B202" s="3" t="s">
        <v>352</v>
      </c>
      <c r="C202" s="3" t="s">
        <v>352</v>
      </c>
      <c r="D202" s="3" t="s">
        <v>315</v>
      </c>
      <c r="E202" s="3" t="s">
        <v>120</v>
      </c>
      <c r="F202" s="3">
        <v>26.98</v>
      </c>
      <c r="G202" s="3" t="s">
        <v>121</v>
      </c>
      <c r="H202" s="3"/>
      <c r="I202" s="3" t="s">
        <v>122</v>
      </c>
      <c r="J202" s="3">
        <v>2</v>
      </c>
      <c r="K202" s="3">
        <v>2</v>
      </c>
      <c r="L202" s="3">
        <v>0</v>
      </c>
      <c r="M202" s="3">
        <v>0</v>
      </c>
      <c r="N202" s="3">
        <v>2</v>
      </c>
      <c r="O202" s="3">
        <v>0.06</v>
      </c>
      <c r="P202" s="3">
        <v>0</v>
      </c>
      <c r="Q202" s="3">
        <v>0</v>
      </c>
      <c r="R202" s="3">
        <v>0</v>
      </c>
    </row>
    <row r="203" spans="1:18">
      <c r="A203" s="3" t="s">
        <v>504</v>
      </c>
      <c r="B203" s="3" t="s">
        <v>354</v>
      </c>
      <c r="C203" s="3" t="s">
        <v>354</v>
      </c>
      <c r="D203" s="3" t="s">
        <v>480</v>
      </c>
      <c r="E203" s="3" t="s">
        <v>120</v>
      </c>
      <c r="F203" s="3">
        <v>26.98</v>
      </c>
      <c r="G203" s="3" t="s">
        <v>121</v>
      </c>
      <c r="H203" s="3"/>
      <c r="I203" s="3" t="s">
        <v>122</v>
      </c>
      <c r="J203" s="3">
        <v>10</v>
      </c>
      <c r="K203" s="3">
        <v>10</v>
      </c>
      <c r="L203" s="3">
        <v>0</v>
      </c>
      <c r="M203" s="3">
        <v>0</v>
      </c>
      <c r="N203" s="3">
        <v>10</v>
      </c>
      <c r="O203" s="3">
        <v>0.06</v>
      </c>
      <c r="P203" s="3">
        <v>0</v>
      </c>
      <c r="Q203" s="3">
        <v>0</v>
      </c>
      <c r="R203" s="3">
        <v>0</v>
      </c>
    </row>
    <row r="204" spans="1:18">
      <c r="A204" s="3" t="s">
        <v>505</v>
      </c>
      <c r="B204" s="3" t="s">
        <v>356</v>
      </c>
      <c r="C204" s="3" t="s">
        <v>356</v>
      </c>
      <c r="D204" s="3" t="s">
        <v>482</v>
      </c>
      <c r="E204" s="3" t="s">
        <v>120</v>
      </c>
      <c r="F204" s="3">
        <v>26.98</v>
      </c>
      <c r="G204" s="3" t="s">
        <v>121</v>
      </c>
      <c r="H204" s="3"/>
      <c r="I204" s="3" t="s">
        <v>122</v>
      </c>
      <c r="J204" s="3">
        <v>6</v>
      </c>
      <c r="K204" s="3">
        <v>6</v>
      </c>
      <c r="L204" s="3">
        <v>0</v>
      </c>
      <c r="M204" s="3">
        <v>0</v>
      </c>
      <c r="N204" s="3">
        <v>6</v>
      </c>
      <c r="O204" s="3">
        <v>0.06</v>
      </c>
      <c r="P204" s="3">
        <v>0</v>
      </c>
      <c r="Q204" s="3">
        <v>0</v>
      </c>
      <c r="R204" s="3">
        <v>0</v>
      </c>
    </row>
    <row r="205" spans="1:18">
      <c r="A205" s="3" t="s">
        <v>506</v>
      </c>
      <c r="B205" s="3" t="s">
        <v>358</v>
      </c>
      <c r="C205" s="3" t="s">
        <v>358</v>
      </c>
      <c r="D205" s="3" t="s">
        <v>484</v>
      </c>
      <c r="E205" s="3" t="s">
        <v>120</v>
      </c>
      <c r="F205" s="3">
        <v>26.98</v>
      </c>
      <c r="G205" s="3" t="s">
        <v>121</v>
      </c>
      <c r="H205" s="3"/>
      <c r="I205" s="3" t="s">
        <v>122</v>
      </c>
      <c r="J205" s="3">
        <v>8</v>
      </c>
      <c r="K205" s="3">
        <v>8</v>
      </c>
      <c r="L205" s="3">
        <v>0</v>
      </c>
      <c r="M205" s="3">
        <v>0</v>
      </c>
      <c r="N205" s="3">
        <v>8</v>
      </c>
      <c r="O205" s="3">
        <v>0.06</v>
      </c>
      <c r="P205" s="3">
        <v>0</v>
      </c>
      <c r="Q205" s="3">
        <v>0</v>
      </c>
      <c r="R205" s="3">
        <v>0</v>
      </c>
    </row>
    <row r="206" spans="1:18">
      <c r="A206" s="3" t="s">
        <v>507</v>
      </c>
      <c r="B206" s="3" t="s">
        <v>360</v>
      </c>
      <c r="C206" s="3" t="s">
        <v>360</v>
      </c>
      <c r="D206" s="3" t="s">
        <v>508</v>
      </c>
      <c r="E206" s="3" t="s">
        <v>120</v>
      </c>
      <c r="F206" s="3">
        <v>26.98</v>
      </c>
      <c r="G206" s="3" t="s">
        <v>121</v>
      </c>
      <c r="H206" s="3"/>
      <c r="I206" s="3" t="s">
        <v>122</v>
      </c>
      <c r="J206" s="3">
        <v>9</v>
      </c>
      <c r="K206" s="3">
        <v>9</v>
      </c>
      <c r="L206" s="3">
        <v>0</v>
      </c>
      <c r="M206" s="3">
        <v>0</v>
      </c>
      <c r="N206" s="3">
        <v>9</v>
      </c>
      <c r="O206" s="3">
        <v>0.06</v>
      </c>
      <c r="P206" s="3">
        <v>0</v>
      </c>
      <c r="Q206" s="3">
        <v>0</v>
      </c>
      <c r="R206" s="3">
        <v>0</v>
      </c>
    </row>
    <row r="207" spans="1:18">
      <c r="A207" s="3" t="s">
        <v>509</v>
      </c>
      <c r="B207" s="3" t="s">
        <v>362</v>
      </c>
      <c r="C207" s="3" t="s">
        <v>362</v>
      </c>
      <c r="D207" s="3" t="s">
        <v>488</v>
      </c>
      <c r="E207" s="3" t="s">
        <v>120</v>
      </c>
      <c r="F207" s="3">
        <v>26.98</v>
      </c>
      <c r="G207" s="3" t="s">
        <v>121</v>
      </c>
      <c r="H207" s="3"/>
      <c r="I207" s="3" t="s">
        <v>122</v>
      </c>
      <c r="J207" s="3">
        <v>9</v>
      </c>
      <c r="K207" s="3">
        <v>9</v>
      </c>
      <c r="L207" s="3">
        <v>0</v>
      </c>
      <c r="M207" s="3">
        <v>0</v>
      </c>
      <c r="N207" s="3">
        <v>9</v>
      </c>
      <c r="O207" s="3">
        <v>0.06</v>
      </c>
      <c r="P207" s="3">
        <v>0</v>
      </c>
      <c r="Q207" s="3">
        <v>0</v>
      </c>
      <c r="R207" s="3">
        <v>0</v>
      </c>
    </row>
    <row r="208" spans="1:18">
      <c r="A208" s="3" t="s">
        <v>510</v>
      </c>
      <c r="B208" s="3" t="s">
        <v>364</v>
      </c>
      <c r="C208" s="3" t="s">
        <v>364</v>
      </c>
      <c r="D208" s="3" t="s">
        <v>490</v>
      </c>
      <c r="E208" s="3" t="s">
        <v>120</v>
      </c>
      <c r="F208" s="3">
        <v>26.98</v>
      </c>
      <c r="G208" s="3" t="s">
        <v>121</v>
      </c>
      <c r="H208" s="3"/>
      <c r="I208" s="3" t="s">
        <v>122</v>
      </c>
      <c r="J208" s="3">
        <v>0</v>
      </c>
      <c r="K208" s="3">
        <v>0</v>
      </c>
      <c r="L208" s="3">
        <v>0</v>
      </c>
      <c r="M208" s="3">
        <v>0</v>
      </c>
      <c r="N208" s="3">
        <v>0</v>
      </c>
      <c r="O208" s="3">
        <v>0.06</v>
      </c>
      <c r="P208" s="3">
        <v>0</v>
      </c>
      <c r="Q208" s="3">
        <v>0</v>
      </c>
      <c r="R208" s="3">
        <v>0</v>
      </c>
    </row>
    <row r="209" spans="1:18">
      <c r="A209" s="3" t="s">
        <v>511</v>
      </c>
      <c r="B209" s="3" t="s">
        <v>367</v>
      </c>
      <c r="C209" s="3" t="s">
        <v>367</v>
      </c>
      <c r="D209" s="3" t="s">
        <v>368</v>
      </c>
      <c r="E209" s="3" t="s">
        <v>120</v>
      </c>
      <c r="F209" s="3">
        <v>23.98</v>
      </c>
      <c r="G209" s="3" t="s">
        <v>121</v>
      </c>
      <c r="H209" s="3"/>
      <c r="I209" s="3" t="s">
        <v>122</v>
      </c>
      <c r="J209" s="3">
        <v>4</v>
      </c>
      <c r="K209" s="3">
        <v>1</v>
      </c>
      <c r="L209" s="3">
        <v>0</v>
      </c>
      <c r="M209" s="3">
        <v>3</v>
      </c>
      <c r="N209" s="3">
        <v>4</v>
      </c>
      <c r="O209" s="3">
        <v>0.04</v>
      </c>
      <c r="P209" s="3">
        <v>0</v>
      </c>
      <c r="Q209" s="3">
        <v>0</v>
      </c>
      <c r="R209" s="3">
        <v>0</v>
      </c>
    </row>
    <row r="210" spans="1:18">
      <c r="A210" s="3" t="s">
        <v>512</v>
      </c>
      <c r="B210" s="3" t="s">
        <v>513</v>
      </c>
      <c r="C210" s="3" t="s">
        <v>514</v>
      </c>
      <c r="D210" s="3"/>
      <c r="E210" s="3" t="s">
        <v>20</v>
      </c>
      <c r="F210" s="3"/>
      <c r="G210" s="3"/>
      <c r="H210" s="3"/>
      <c r="I210" s="3"/>
      <c r="J210" s="3">
        <v>0</v>
      </c>
      <c r="K210" s="3">
        <v>0</v>
      </c>
      <c r="L210" s="3">
        <v>0</v>
      </c>
      <c r="M210" s="3">
        <v>0</v>
      </c>
      <c r="N210" s="3">
        <v>0</v>
      </c>
      <c r="O210" s="3"/>
      <c r="P210" s="3">
        <v>0</v>
      </c>
      <c r="Q210" s="3">
        <v>0</v>
      </c>
      <c r="R210" s="3">
        <v>0</v>
      </c>
    </row>
    <row r="211" spans="1:18">
      <c r="A211" s="3" t="s">
        <v>515</v>
      </c>
      <c r="B211" s="3" t="s">
        <v>516</v>
      </c>
      <c r="C211" s="3" t="s">
        <v>517</v>
      </c>
      <c r="D211" s="3"/>
      <c r="E211" s="3" t="s">
        <v>20</v>
      </c>
      <c r="F211" s="3"/>
      <c r="G211" s="3"/>
      <c r="H211" s="3"/>
      <c r="I211" s="3"/>
      <c r="J211" s="3">
        <v>0</v>
      </c>
      <c r="K211" s="3">
        <v>0</v>
      </c>
      <c r="L211" s="3">
        <v>0</v>
      </c>
      <c r="M211" s="3">
        <v>0</v>
      </c>
      <c r="N211" s="3">
        <v>0</v>
      </c>
      <c r="O211" s="3"/>
      <c r="P211" s="3">
        <v>0</v>
      </c>
      <c r="Q211" s="3">
        <v>0</v>
      </c>
      <c r="R211" s="3">
        <v>0</v>
      </c>
    </row>
    <row r="212" spans="1:18">
      <c r="A212" s="3" t="s">
        <v>518</v>
      </c>
      <c r="B212" s="3" t="s">
        <v>519</v>
      </c>
      <c r="C212" s="3" t="s">
        <v>520</v>
      </c>
      <c r="D212" s="3"/>
      <c r="E212" s="3" t="s">
        <v>20</v>
      </c>
      <c r="F212" s="3"/>
      <c r="G212" s="3"/>
      <c r="H212" s="3"/>
      <c r="I212" s="3"/>
      <c r="J212" s="3">
        <v>0</v>
      </c>
      <c r="K212" s="3">
        <v>0</v>
      </c>
      <c r="L212" s="3">
        <v>0</v>
      </c>
      <c r="M212" s="3">
        <v>0</v>
      </c>
      <c r="N212" s="3">
        <v>0</v>
      </c>
      <c r="O212" s="3"/>
      <c r="P212" s="3">
        <v>0</v>
      </c>
      <c r="Q212" s="3">
        <v>0</v>
      </c>
      <c r="R212" s="3">
        <v>0</v>
      </c>
    </row>
    <row r="213" spans="1:18">
      <c r="A213" s="3" t="s">
        <v>521</v>
      </c>
      <c r="B213" s="3" t="s">
        <v>522</v>
      </c>
      <c r="C213" s="3" t="s">
        <v>523</v>
      </c>
      <c r="D213" s="3"/>
      <c r="E213" s="3" t="s">
        <v>20</v>
      </c>
      <c r="F213" s="3"/>
      <c r="G213" s="3"/>
      <c r="H213" s="3"/>
      <c r="I213" s="3"/>
      <c r="J213" s="3">
        <v>0</v>
      </c>
      <c r="K213" s="3">
        <v>0</v>
      </c>
      <c r="L213" s="3">
        <v>0</v>
      </c>
      <c r="M213" s="3">
        <v>0</v>
      </c>
      <c r="N213" s="3">
        <v>0</v>
      </c>
      <c r="O213" s="3"/>
      <c r="P213" s="3">
        <v>0</v>
      </c>
      <c r="Q213" s="3">
        <v>0</v>
      </c>
      <c r="R213" s="3">
        <v>0</v>
      </c>
    </row>
    <row r="214" spans="1:18">
      <c r="A214" s="3" t="s">
        <v>524</v>
      </c>
      <c r="B214" s="3" t="s">
        <v>525</v>
      </c>
      <c r="C214" s="3" t="s">
        <v>525</v>
      </c>
      <c r="D214" s="3"/>
      <c r="E214" s="3" t="s">
        <v>20</v>
      </c>
      <c r="F214" s="3"/>
      <c r="G214" s="3"/>
      <c r="H214" s="3"/>
      <c r="I214" s="3"/>
      <c r="J214" s="3">
        <v>0</v>
      </c>
      <c r="K214" s="3">
        <v>0</v>
      </c>
      <c r="L214" s="3">
        <v>0</v>
      </c>
      <c r="M214" s="3">
        <v>0</v>
      </c>
      <c r="N214" s="3">
        <v>0</v>
      </c>
      <c r="O214" s="3"/>
      <c r="P214" s="3">
        <v>0</v>
      </c>
      <c r="Q214" s="3">
        <v>0</v>
      </c>
      <c r="R214" s="3">
        <v>0</v>
      </c>
    </row>
    <row r="215" spans="1:18">
      <c r="A215" s="3" t="s">
        <v>526</v>
      </c>
      <c r="B215" s="3" t="s">
        <v>527</v>
      </c>
      <c r="C215" s="3" t="s">
        <v>527</v>
      </c>
      <c r="D215" s="3"/>
      <c r="E215" s="3" t="s">
        <v>20</v>
      </c>
      <c r="F215" s="3"/>
      <c r="G215" s="3"/>
      <c r="H215" s="3"/>
      <c r="I215" s="3"/>
      <c r="J215" s="3">
        <v>5</v>
      </c>
      <c r="K215" s="3">
        <v>5</v>
      </c>
      <c r="L215" s="3">
        <v>0</v>
      </c>
      <c r="M215" s="3">
        <v>0</v>
      </c>
      <c r="N215" s="3">
        <v>5</v>
      </c>
      <c r="O215" s="3"/>
      <c r="P215" s="3">
        <v>0</v>
      </c>
      <c r="Q215" s="3">
        <v>0</v>
      </c>
      <c r="R215" s="3">
        <v>0</v>
      </c>
    </row>
    <row r="216" spans="1:18">
      <c r="A216" s="3" t="s">
        <v>528</v>
      </c>
      <c r="B216" s="3" t="s">
        <v>529</v>
      </c>
      <c r="C216" s="3" t="s">
        <v>529</v>
      </c>
      <c r="D216" s="3"/>
      <c r="E216" s="3" t="s">
        <v>20</v>
      </c>
      <c r="F216" s="3"/>
      <c r="G216" s="3"/>
      <c r="H216" s="3"/>
      <c r="I216" s="3"/>
      <c r="J216" s="3">
        <v>3</v>
      </c>
      <c r="K216" s="3">
        <v>3</v>
      </c>
      <c r="L216" s="3">
        <v>0</v>
      </c>
      <c r="M216" s="3">
        <v>0</v>
      </c>
      <c r="N216" s="3">
        <v>3</v>
      </c>
      <c r="O216" s="3"/>
      <c r="P216" s="3">
        <v>0</v>
      </c>
      <c r="Q216" s="3">
        <v>0</v>
      </c>
      <c r="R216" s="3">
        <v>0</v>
      </c>
    </row>
    <row r="217" spans="1:18">
      <c r="A217" s="3" t="s">
        <v>530</v>
      </c>
      <c r="B217" s="3" t="s">
        <v>531</v>
      </c>
      <c r="C217" s="3" t="s">
        <v>531</v>
      </c>
      <c r="D217" s="3"/>
      <c r="E217" s="3" t="s">
        <v>20</v>
      </c>
      <c r="F217" s="3"/>
      <c r="G217" s="3"/>
      <c r="H217" s="3"/>
      <c r="I217" s="3"/>
      <c r="J217" s="3">
        <v>0</v>
      </c>
      <c r="K217" s="3">
        <v>0</v>
      </c>
      <c r="L217" s="3">
        <v>0</v>
      </c>
      <c r="M217" s="3">
        <v>0</v>
      </c>
      <c r="N217" s="3">
        <v>0</v>
      </c>
      <c r="O217" s="3"/>
      <c r="P217" s="3">
        <v>0</v>
      </c>
      <c r="Q217" s="3">
        <v>0</v>
      </c>
      <c r="R217" s="3">
        <v>0</v>
      </c>
    </row>
    <row r="218" spans="1:18">
      <c r="A218" s="3" t="s">
        <v>532</v>
      </c>
      <c r="B218" s="3" t="s">
        <v>533</v>
      </c>
      <c r="C218" s="3" t="s">
        <v>533</v>
      </c>
      <c r="D218" s="3"/>
      <c r="E218" s="3" t="s">
        <v>20</v>
      </c>
      <c r="F218" s="3"/>
      <c r="G218" s="3"/>
      <c r="H218" s="3"/>
      <c r="I218" s="3"/>
      <c r="J218" s="3">
        <v>4</v>
      </c>
      <c r="K218" s="3">
        <v>4</v>
      </c>
      <c r="L218" s="3">
        <v>0</v>
      </c>
      <c r="M218" s="3">
        <v>0</v>
      </c>
      <c r="N218" s="3">
        <v>4</v>
      </c>
      <c r="O218" s="3"/>
      <c r="P218" s="3">
        <v>0</v>
      </c>
      <c r="Q218" s="3">
        <v>0</v>
      </c>
      <c r="R218" s="3">
        <v>0</v>
      </c>
    </row>
    <row r="219" spans="1:18">
      <c r="A219" s="3" t="s">
        <v>534</v>
      </c>
      <c r="B219" s="3" t="s">
        <v>535</v>
      </c>
      <c r="C219" s="3" t="s">
        <v>535</v>
      </c>
      <c r="D219" s="3"/>
      <c r="E219" s="3" t="s">
        <v>20</v>
      </c>
      <c r="F219" s="3"/>
      <c r="G219" s="3"/>
      <c r="H219" s="3"/>
      <c r="I219" s="3"/>
      <c r="J219" s="3">
        <v>2</v>
      </c>
      <c r="K219" s="3">
        <v>2</v>
      </c>
      <c r="L219" s="3">
        <v>0</v>
      </c>
      <c r="M219" s="3">
        <v>0</v>
      </c>
      <c r="N219" s="3">
        <v>2</v>
      </c>
      <c r="O219" s="3"/>
      <c r="P219" s="3">
        <v>0</v>
      </c>
      <c r="Q219" s="3">
        <v>0</v>
      </c>
      <c r="R219" s="3">
        <v>0</v>
      </c>
    </row>
    <row r="220" spans="1:18">
      <c r="A220" s="3" t="s">
        <v>536</v>
      </c>
      <c r="B220" s="3" t="s">
        <v>537</v>
      </c>
      <c r="C220" s="3" t="s">
        <v>537</v>
      </c>
      <c r="D220" s="3"/>
      <c r="E220" s="3" t="s">
        <v>20</v>
      </c>
      <c r="F220" s="3"/>
      <c r="G220" s="3"/>
      <c r="H220" s="3"/>
      <c r="I220" s="3"/>
      <c r="J220" s="3">
        <v>7</v>
      </c>
      <c r="K220" s="3">
        <v>7</v>
      </c>
      <c r="L220" s="3">
        <v>0</v>
      </c>
      <c r="M220" s="3">
        <v>0</v>
      </c>
      <c r="N220" s="3">
        <v>7</v>
      </c>
      <c r="O220" s="3"/>
      <c r="P220" s="3">
        <v>0</v>
      </c>
      <c r="Q220" s="3">
        <v>0</v>
      </c>
      <c r="R220" s="3">
        <v>0</v>
      </c>
    </row>
    <row r="221" spans="1:18">
      <c r="A221" s="3" t="s">
        <v>538</v>
      </c>
      <c r="B221" s="3" t="s">
        <v>539</v>
      </c>
      <c r="C221" s="3" t="s">
        <v>539</v>
      </c>
      <c r="D221" s="3"/>
      <c r="E221" s="3" t="s">
        <v>20</v>
      </c>
      <c r="F221" s="3"/>
      <c r="G221" s="3"/>
      <c r="H221" s="3"/>
      <c r="I221" s="3"/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/>
      <c r="P221" s="3">
        <v>0</v>
      </c>
      <c r="Q221" s="3">
        <v>0</v>
      </c>
      <c r="R221" s="3">
        <v>0</v>
      </c>
    </row>
    <row r="222" spans="1:18">
      <c r="A222" s="3" t="s">
        <v>540</v>
      </c>
      <c r="B222" s="3" t="s">
        <v>541</v>
      </c>
      <c r="C222" s="3" t="s">
        <v>542</v>
      </c>
      <c r="D222" s="3"/>
      <c r="E222" s="3" t="s">
        <v>20</v>
      </c>
      <c r="F222" s="3"/>
      <c r="G222" s="3"/>
      <c r="H222" s="3"/>
      <c r="I222" s="3"/>
      <c r="J222" s="3">
        <v>0</v>
      </c>
      <c r="K222" s="3">
        <v>0</v>
      </c>
      <c r="L222" s="3">
        <v>0</v>
      </c>
      <c r="M222" s="3">
        <v>0</v>
      </c>
      <c r="N222" s="3">
        <v>0</v>
      </c>
      <c r="O222" s="3"/>
      <c r="P222" s="3">
        <v>0</v>
      </c>
      <c r="Q222" s="3">
        <v>0</v>
      </c>
      <c r="R222" s="3">
        <v>0</v>
      </c>
    </row>
    <row r="223" spans="1:18">
      <c r="A223" s="3" t="s">
        <v>543</v>
      </c>
      <c r="B223" s="3" t="s">
        <v>544</v>
      </c>
      <c r="C223" s="3" t="s">
        <v>545</v>
      </c>
      <c r="D223" s="3"/>
      <c r="E223" s="3" t="s">
        <v>20</v>
      </c>
      <c r="F223" s="3"/>
      <c r="G223" s="3"/>
      <c r="H223" s="3"/>
      <c r="I223" s="3"/>
      <c r="J223" s="3">
        <v>0</v>
      </c>
      <c r="K223" s="3">
        <v>0</v>
      </c>
      <c r="L223" s="3">
        <v>0</v>
      </c>
      <c r="M223" s="3">
        <v>0</v>
      </c>
      <c r="N223" s="3">
        <v>0</v>
      </c>
      <c r="O223" s="3"/>
      <c r="P223" s="3">
        <v>0</v>
      </c>
      <c r="Q223" s="3">
        <v>0</v>
      </c>
      <c r="R223" s="3">
        <v>0</v>
      </c>
    </row>
    <row r="224" spans="1:18">
      <c r="A224" s="3" t="s">
        <v>546</v>
      </c>
      <c r="B224" s="3" t="s">
        <v>547</v>
      </c>
      <c r="C224" s="3" t="s">
        <v>547</v>
      </c>
      <c r="D224" s="3"/>
      <c r="E224" s="3" t="s">
        <v>20</v>
      </c>
      <c r="F224" s="3"/>
      <c r="G224" s="3"/>
      <c r="H224" s="3"/>
      <c r="I224" s="3"/>
      <c r="J224" s="3">
        <v>4</v>
      </c>
      <c r="K224" s="3">
        <v>4</v>
      </c>
      <c r="L224" s="3">
        <v>0</v>
      </c>
      <c r="M224" s="3">
        <v>0</v>
      </c>
      <c r="N224" s="3">
        <v>4</v>
      </c>
      <c r="O224" s="3"/>
      <c r="P224" s="3">
        <v>0</v>
      </c>
      <c r="Q224" s="3">
        <v>0</v>
      </c>
      <c r="R224" s="3">
        <v>0</v>
      </c>
    </row>
    <row r="225" spans="1:18">
      <c r="A225" s="3" t="s">
        <v>548</v>
      </c>
      <c r="B225" s="3" t="s">
        <v>549</v>
      </c>
      <c r="C225" s="3" t="s">
        <v>549</v>
      </c>
      <c r="D225" s="3"/>
      <c r="E225" s="3" t="s">
        <v>20</v>
      </c>
      <c r="F225" s="3"/>
      <c r="G225" s="3"/>
      <c r="H225" s="3"/>
      <c r="I225" s="3"/>
      <c r="J225" s="3">
        <v>5</v>
      </c>
      <c r="K225" s="3">
        <v>5</v>
      </c>
      <c r="L225" s="3">
        <v>0</v>
      </c>
      <c r="M225" s="3">
        <v>0</v>
      </c>
      <c r="N225" s="3">
        <v>5</v>
      </c>
      <c r="O225" s="3"/>
      <c r="P225" s="3">
        <v>0</v>
      </c>
      <c r="Q225" s="3">
        <v>0</v>
      </c>
      <c r="R225" s="3">
        <v>0</v>
      </c>
    </row>
    <row r="226" spans="1:18">
      <c r="A226" s="3" t="s">
        <v>550</v>
      </c>
      <c r="B226" s="3" t="s">
        <v>551</v>
      </c>
      <c r="C226" s="3" t="s">
        <v>552</v>
      </c>
      <c r="D226" s="3"/>
      <c r="E226" s="3" t="s">
        <v>20</v>
      </c>
      <c r="F226" s="3"/>
      <c r="G226" s="3"/>
      <c r="H226" s="3"/>
      <c r="I226" s="3"/>
      <c r="J226" s="3">
        <v>0</v>
      </c>
      <c r="K226" s="3">
        <v>0</v>
      </c>
      <c r="L226" s="3">
        <v>0</v>
      </c>
      <c r="M226" s="3">
        <v>0</v>
      </c>
      <c r="N226" s="3">
        <v>0</v>
      </c>
      <c r="O226" s="3"/>
      <c r="P226" s="3">
        <v>0</v>
      </c>
      <c r="Q226" s="3">
        <v>0</v>
      </c>
      <c r="R226" s="3">
        <v>0</v>
      </c>
    </row>
    <row r="227" spans="1:18">
      <c r="A227" s="3" t="s">
        <v>553</v>
      </c>
      <c r="B227" s="3" t="s">
        <v>554</v>
      </c>
      <c r="C227" s="3" t="s">
        <v>554</v>
      </c>
      <c r="D227" s="3"/>
      <c r="E227" s="3" t="s">
        <v>20</v>
      </c>
      <c r="F227" s="3"/>
      <c r="G227" s="3"/>
      <c r="H227" s="3"/>
      <c r="I227" s="3"/>
      <c r="J227" s="3">
        <v>0</v>
      </c>
      <c r="K227" s="3">
        <v>0</v>
      </c>
      <c r="L227" s="3">
        <v>0</v>
      </c>
      <c r="M227" s="3">
        <v>0</v>
      </c>
      <c r="N227" s="3">
        <v>0</v>
      </c>
      <c r="O227" s="3"/>
      <c r="P227" s="3">
        <v>0</v>
      </c>
      <c r="Q227" s="3">
        <v>0</v>
      </c>
      <c r="R227" s="3">
        <v>0</v>
      </c>
    </row>
    <row r="228" spans="1:18">
      <c r="A228" s="3" t="s">
        <v>555</v>
      </c>
      <c r="B228" s="3" t="s">
        <v>556</v>
      </c>
      <c r="C228" s="3" t="s">
        <v>556</v>
      </c>
      <c r="D228" s="3"/>
      <c r="E228" s="3" t="s">
        <v>20</v>
      </c>
      <c r="F228" s="3"/>
      <c r="G228" s="3"/>
      <c r="H228" s="3"/>
      <c r="I228" s="3"/>
      <c r="J228" s="3">
        <v>10</v>
      </c>
      <c r="K228" s="3">
        <v>10</v>
      </c>
      <c r="L228" s="3">
        <v>0</v>
      </c>
      <c r="M228" s="3">
        <v>0</v>
      </c>
      <c r="N228" s="3">
        <v>10</v>
      </c>
      <c r="O228" s="3"/>
      <c r="P228" s="3">
        <v>0</v>
      </c>
      <c r="Q228" s="3">
        <v>0</v>
      </c>
      <c r="R228" s="3">
        <v>0</v>
      </c>
    </row>
    <row r="229" spans="1:18">
      <c r="A229" s="3" t="s">
        <v>557</v>
      </c>
      <c r="B229" s="3" t="s">
        <v>558</v>
      </c>
      <c r="C229" s="3" t="s">
        <v>558</v>
      </c>
      <c r="D229" s="3"/>
      <c r="E229" s="3" t="s">
        <v>20</v>
      </c>
      <c r="F229" s="3"/>
      <c r="G229" s="3"/>
      <c r="H229" s="3"/>
      <c r="I229" s="3"/>
      <c r="J229" s="3">
        <v>6</v>
      </c>
      <c r="K229" s="3">
        <v>6</v>
      </c>
      <c r="L229" s="3">
        <v>0</v>
      </c>
      <c r="M229" s="3">
        <v>0</v>
      </c>
      <c r="N229" s="3">
        <v>6</v>
      </c>
      <c r="O229" s="3"/>
      <c r="P229" s="3">
        <v>0</v>
      </c>
      <c r="Q229" s="3">
        <v>0</v>
      </c>
      <c r="R229" s="3">
        <v>0</v>
      </c>
    </row>
    <row r="230" spans="1:18">
      <c r="A230" s="3" t="s">
        <v>559</v>
      </c>
      <c r="B230" s="3" t="s">
        <v>560</v>
      </c>
      <c r="C230" s="3" t="s">
        <v>561</v>
      </c>
      <c r="D230" s="3"/>
      <c r="E230" s="3" t="s">
        <v>20</v>
      </c>
      <c r="F230" s="3"/>
      <c r="G230" s="3"/>
      <c r="H230" s="3"/>
      <c r="I230" s="3"/>
      <c r="J230" s="3">
        <v>0</v>
      </c>
      <c r="K230" s="3">
        <v>0</v>
      </c>
      <c r="L230" s="3">
        <v>0</v>
      </c>
      <c r="M230" s="3">
        <v>0</v>
      </c>
      <c r="N230" s="3">
        <v>0</v>
      </c>
      <c r="O230" s="3"/>
      <c r="P230" s="3">
        <v>0</v>
      </c>
      <c r="Q230" s="3">
        <v>0</v>
      </c>
      <c r="R230" s="3">
        <v>0</v>
      </c>
    </row>
    <row r="231" spans="1:18">
      <c r="A231" s="3" t="s">
        <v>562</v>
      </c>
      <c r="B231" s="3" t="s">
        <v>563</v>
      </c>
      <c r="C231" s="3" t="s">
        <v>564</v>
      </c>
      <c r="D231" s="3"/>
      <c r="E231" s="3" t="s">
        <v>20</v>
      </c>
      <c r="F231" s="3"/>
      <c r="G231" s="3"/>
      <c r="H231" s="3"/>
      <c r="I231" s="3"/>
      <c r="J231" s="3">
        <v>0</v>
      </c>
      <c r="K231" s="3">
        <v>0</v>
      </c>
      <c r="L231" s="3">
        <v>0</v>
      </c>
      <c r="M231" s="3">
        <v>0</v>
      </c>
      <c r="N231" s="3">
        <v>0</v>
      </c>
      <c r="O231" s="3"/>
      <c r="P231" s="3">
        <v>0</v>
      </c>
      <c r="Q231" s="3">
        <v>0</v>
      </c>
      <c r="R231" s="3">
        <v>0</v>
      </c>
    </row>
    <row r="232" spans="1:18">
      <c r="A232" s="3" t="s">
        <v>565</v>
      </c>
      <c r="B232" s="3" t="s">
        <v>566</v>
      </c>
      <c r="C232" s="3" t="s">
        <v>566</v>
      </c>
      <c r="D232" s="3"/>
      <c r="E232" s="3" t="s">
        <v>20</v>
      </c>
      <c r="F232" s="3"/>
      <c r="G232" s="3"/>
      <c r="H232" s="3"/>
      <c r="I232" s="3"/>
      <c r="J232" s="3">
        <v>1</v>
      </c>
      <c r="K232" s="3">
        <v>1</v>
      </c>
      <c r="L232" s="3">
        <v>0</v>
      </c>
      <c r="M232" s="3">
        <v>0</v>
      </c>
      <c r="N232" s="3">
        <v>1</v>
      </c>
      <c r="O232" s="3"/>
      <c r="P232" s="3">
        <v>0</v>
      </c>
      <c r="Q232" s="3">
        <v>0</v>
      </c>
      <c r="R232" s="3">
        <v>0</v>
      </c>
    </row>
    <row r="233" spans="1:18">
      <c r="A233" s="3" t="s">
        <v>567</v>
      </c>
      <c r="B233" s="3" t="s">
        <v>568</v>
      </c>
      <c r="C233" s="3" t="s">
        <v>568</v>
      </c>
      <c r="D233" s="3"/>
      <c r="E233" s="3" t="s">
        <v>20</v>
      </c>
      <c r="F233" s="3"/>
      <c r="G233" s="3"/>
      <c r="H233" s="3"/>
      <c r="I233" s="3"/>
      <c r="J233" s="3">
        <v>6</v>
      </c>
      <c r="K233" s="3">
        <v>6</v>
      </c>
      <c r="L233" s="3">
        <v>0</v>
      </c>
      <c r="M233" s="3">
        <v>0</v>
      </c>
      <c r="N233" s="3">
        <v>6</v>
      </c>
      <c r="O233" s="3"/>
      <c r="P233" s="3">
        <v>0</v>
      </c>
      <c r="Q233" s="3">
        <v>0</v>
      </c>
      <c r="R233" s="3">
        <v>0</v>
      </c>
    </row>
    <row r="234" spans="1:18">
      <c r="A234" s="3" t="s">
        <v>569</v>
      </c>
      <c r="B234" s="3" t="s">
        <v>570</v>
      </c>
      <c r="C234" s="3" t="s">
        <v>570</v>
      </c>
      <c r="D234" s="3"/>
      <c r="E234" s="3" t="s">
        <v>20</v>
      </c>
      <c r="F234" s="3"/>
      <c r="G234" s="3"/>
      <c r="H234" s="3"/>
      <c r="I234" s="3"/>
      <c r="J234" s="3">
        <v>6</v>
      </c>
      <c r="K234" s="3">
        <v>6</v>
      </c>
      <c r="L234" s="3">
        <v>0</v>
      </c>
      <c r="M234" s="3">
        <v>0</v>
      </c>
      <c r="N234" s="3">
        <v>6</v>
      </c>
      <c r="O234" s="3"/>
      <c r="P234" s="3">
        <v>0</v>
      </c>
      <c r="Q234" s="3">
        <v>0</v>
      </c>
      <c r="R234" s="3">
        <v>0</v>
      </c>
    </row>
    <row r="235" spans="1:18">
      <c r="A235" s="3" t="s">
        <v>571</v>
      </c>
      <c r="B235" s="3" t="s">
        <v>572</v>
      </c>
      <c r="C235" s="3" t="s">
        <v>573</v>
      </c>
      <c r="D235" s="3"/>
      <c r="E235" s="3" t="s">
        <v>20</v>
      </c>
      <c r="F235" s="3"/>
      <c r="G235" s="3"/>
      <c r="H235" s="3"/>
      <c r="I235" s="3"/>
      <c r="J235" s="3">
        <v>0</v>
      </c>
      <c r="K235" s="3">
        <v>0</v>
      </c>
      <c r="L235" s="3">
        <v>0</v>
      </c>
      <c r="M235" s="3">
        <v>0</v>
      </c>
      <c r="N235" s="3">
        <v>0</v>
      </c>
      <c r="O235" s="3"/>
      <c r="P235" s="3">
        <v>0</v>
      </c>
      <c r="Q235" s="3">
        <v>0</v>
      </c>
      <c r="R235" s="3">
        <v>0</v>
      </c>
    </row>
    <row r="236" spans="1:18">
      <c r="A236" s="3" t="s">
        <v>574</v>
      </c>
      <c r="B236" s="3" t="s">
        <v>575</v>
      </c>
      <c r="C236" s="3" t="s">
        <v>576</v>
      </c>
      <c r="D236" s="3"/>
      <c r="E236" s="3" t="s">
        <v>20</v>
      </c>
      <c r="F236" s="3"/>
      <c r="G236" s="3"/>
      <c r="H236" s="3"/>
      <c r="I236" s="3"/>
      <c r="J236" s="3">
        <v>0</v>
      </c>
      <c r="K236" s="3">
        <v>0</v>
      </c>
      <c r="L236" s="3">
        <v>0</v>
      </c>
      <c r="M236" s="3">
        <v>0</v>
      </c>
      <c r="N236" s="3">
        <v>0</v>
      </c>
      <c r="O236" s="3"/>
      <c r="P236" s="3">
        <v>0</v>
      </c>
      <c r="Q236" s="3">
        <v>0</v>
      </c>
      <c r="R236" s="3">
        <v>0</v>
      </c>
    </row>
    <row r="237" spans="1:18">
      <c r="A237" s="3" t="s">
        <v>577</v>
      </c>
      <c r="B237" s="3" t="s">
        <v>578</v>
      </c>
      <c r="C237" s="3" t="s">
        <v>579</v>
      </c>
      <c r="D237" s="3"/>
      <c r="E237" s="3" t="s">
        <v>20</v>
      </c>
      <c r="F237" s="3"/>
      <c r="G237" s="3"/>
      <c r="H237" s="3"/>
      <c r="I237" s="3"/>
      <c r="J237" s="3">
        <v>0</v>
      </c>
      <c r="K237" s="3">
        <v>0</v>
      </c>
      <c r="L237" s="3">
        <v>0</v>
      </c>
      <c r="M237" s="3">
        <v>0</v>
      </c>
      <c r="N237" s="3">
        <v>0</v>
      </c>
      <c r="O237" s="3"/>
      <c r="P237" s="3">
        <v>0</v>
      </c>
      <c r="Q237" s="3">
        <v>0</v>
      </c>
      <c r="R237" s="3">
        <v>0</v>
      </c>
    </row>
    <row r="238" spans="1:18">
      <c r="A238" s="3" t="s">
        <v>580</v>
      </c>
      <c r="B238" s="3" t="s">
        <v>581</v>
      </c>
      <c r="C238" s="3" t="s">
        <v>581</v>
      </c>
      <c r="D238" s="3"/>
      <c r="E238" s="3" t="s">
        <v>20</v>
      </c>
      <c r="F238" s="3"/>
      <c r="G238" s="3"/>
      <c r="H238" s="3"/>
      <c r="I238" s="3"/>
      <c r="J238" s="3">
        <v>2</v>
      </c>
      <c r="K238" s="3">
        <v>2</v>
      </c>
      <c r="L238" s="3">
        <v>0</v>
      </c>
      <c r="M238" s="3">
        <v>0</v>
      </c>
      <c r="N238" s="3">
        <v>2</v>
      </c>
      <c r="O238" s="3"/>
      <c r="P238" s="3">
        <v>0</v>
      </c>
      <c r="Q238" s="3">
        <v>0</v>
      </c>
      <c r="R238" s="3">
        <v>0</v>
      </c>
    </row>
    <row r="239" spans="1:18">
      <c r="A239" s="3" t="s">
        <v>582</v>
      </c>
      <c r="B239" s="3" t="s">
        <v>583</v>
      </c>
      <c r="C239" s="3" t="s">
        <v>584</v>
      </c>
      <c r="D239" s="3"/>
      <c r="E239" s="3" t="s">
        <v>20</v>
      </c>
      <c r="F239" s="3"/>
      <c r="G239" s="3"/>
      <c r="H239" s="3"/>
      <c r="I239" s="3"/>
      <c r="J239" s="3">
        <v>0</v>
      </c>
      <c r="K239" s="3">
        <v>0</v>
      </c>
      <c r="L239" s="3">
        <v>0</v>
      </c>
      <c r="M239" s="3">
        <v>0</v>
      </c>
      <c r="N239" s="3">
        <v>0</v>
      </c>
      <c r="O239" s="3"/>
      <c r="P239" s="3">
        <v>0</v>
      </c>
      <c r="Q239" s="3">
        <v>0</v>
      </c>
      <c r="R239" s="3">
        <v>0</v>
      </c>
    </row>
    <row r="240" spans="1:18">
      <c r="A240" s="3" t="s">
        <v>585</v>
      </c>
      <c r="B240" s="3" t="s">
        <v>586</v>
      </c>
      <c r="C240" s="3" t="s">
        <v>587</v>
      </c>
      <c r="D240" s="3" t="s">
        <v>588</v>
      </c>
      <c r="E240" s="3" t="s">
        <v>120</v>
      </c>
      <c r="F240" s="3">
        <v>39.98</v>
      </c>
      <c r="G240" s="3" t="s">
        <v>122</v>
      </c>
      <c r="H240" s="3">
        <v>6</v>
      </c>
      <c r="I240" s="3" t="s">
        <v>121</v>
      </c>
      <c r="J240" s="3">
        <v>0</v>
      </c>
      <c r="K240" s="3">
        <v>0</v>
      </c>
      <c r="L240" s="3">
        <v>0</v>
      </c>
      <c r="M240" s="3">
        <v>0</v>
      </c>
      <c r="N240" s="3">
        <v>0</v>
      </c>
      <c r="O240" s="3">
        <v>0.09</v>
      </c>
      <c r="P240" s="3">
        <v>0</v>
      </c>
      <c r="Q240" s="3">
        <v>0</v>
      </c>
      <c r="R240" s="3">
        <v>0</v>
      </c>
    </row>
    <row r="241" spans="1:18">
      <c r="A241" s="3" t="s">
        <v>589</v>
      </c>
      <c r="B241" s="3" t="s">
        <v>590</v>
      </c>
      <c r="C241" s="3" t="s">
        <v>590</v>
      </c>
      <c r="D241" s="3" t="s">
        <v>591</v>
      </c>
      <c r="E241" s="3" t="s">
        <v>120</v>
      </c>
      <c r="F241" s="3">
        <v>24.98</v>
      </c>
      <c r="G241" s="3" t="s">
        <v>121</v>
      </c>
      <c r="H241" s="3"/>
      <c r="I241" s="3" t="s">
        <v>122</v>
      </c>
      <c r="J241" s="3">
        <v>10</v>
      </c>
      <c r="K241" s="3">
        <v>10</v>
      </c>
      <c r="L241" s="3">
        <v>0</v>
      </c>
      <c r="M241" s="3">
        <v>0</v>
      </c>
      <c r="N241" s="3">
        <v>10</v>
      </c>
      <c r="O241" s="3">
        <v>0.17</v>
      </c>
      <c r="P241" s="3">
        <v>0</v>
      </c>
      <c r="Q241" s="3">
        <v>0</v>
      </c>
      <c r="R241" s="3">
        <v>0</v>
      </c>
    </row>
    <row r="242" spans="1:18">
      <c r="A242" s="3" t="s">
        <v>592</v>
      </c>
      <c r="B242" s="3" t="s">
        <v>593</v>
      </c>
      <c r="C242" s="3" t="s">
        <v>593</v>
      </c>
      <c r="D242" s="3" t="s">
        <v>594</v>
      </c>
      <c r="E242" s="3" t="s">
        <v>120</v>
      </c>
      <c r="F242" s="3">
        <v>24.98</v>
      </c>
      <c r="G242" s="3" t="s">
        <v>121</v>
      </c>
      <c r="H242" s="3"/>
      <c r="I242" s="3" t="s">
        <v>122</v>
      </c>
      <c r="J242" s="3">
        <v>10</v>
      </c>
      <c r="K242" s="3">
        <v>10</v>
      </c>
      <c r="L242" s="3">
        <v>0</v>
      </c>
      <c r="M242" s="3">
        <v>0</v>
      </c>
      <c r="N242" s="3">
        <v>10</v>
      </c>
      <c r="O242" s="3">
        <v>0.17</v>
      </c>
      <c r="P242" s="3">
        <v>0</v>
      </c>
      <c r="Q242" s="3">
        <v>0</v>
      </c>
      <c r="R242" s="3">
        <v>0</v>
      </c>
    </row>
    <row r="243" spans="1:18">
      <c r="A243" s="3" t="s">
        <v>595</v>
      </c>
      <c r="B243" s="3" t="s">
        <v>596</v>
      </c>
      <c r="C243" s="3" t="s">
        <v>596</v>
      </c>
      <c r="D243" s="3" t="s">
        <v>597</v>
      </c>
      <c r="E243" s="3" t="s">
        <v>120</v>
      </c>
      <c r="F243" s="3">
        <v>24.98</v>
      </c>
      <c r="G243" s="3" t="s">
        <v>121</v>
      </c>
      <c r="H243" s="3"/>
      <c r="I243" s="3" t="s">
        <v>122</v>
      </c>
      <c r="J243" s="3">
        <v>10</v>
      </c>
      <c r="K243" s="3">
        <v>10</v>
      </c>
      <c r="L243" s="3">
        <v>0</v>
      </c>
      <c r="M243" s="3">
        <v>0</v>
      </c>
      <c r="N243" s="3">
        <v>10</v>
      </c>
      <c r="O243" s="3">
        <v>0.17</v>
      </c>
      <c r="P243" s="3">
        <v>0</v>
      </c>
      <c r="Q243" s="3">
        <v>0</v>
      </c>
      <c r="R243" s="3">
        <v>0</v>
      </c>
    </row>
    <row r="244" spans="1:18">
      <c r="A244" s="3" t="s">
        <v>598</v>
      </c>
      <c r="B244" s="3" t="s">
        <v>599</v>
      </c>
      <c r="C244" s="3" t="s">
        <v>599</v>
      </c>
      <c r="D244" s="3" t="s">
        <v>600</v>
      </c>
      <c r="E244" s="3" t="s">
        <v>120</v>
      </c>
      <c r="F244" s="3">
        <v>24.98</v>
      </c>
      <c r="G244" s="3" t="s">
        <v>121</v>
      </c>
      <c r="H244" s="3"/>
      <c r="I244" s="3" t="s">
        <v>122</v>
      </c>
      <c r="J244" s="3">
        <v>5</v>
      </c>
      <c r="K244" s="3">
        <v>5</v>
      </c>
      <c r="L244" s="3">
        <v>0</v>
      </c>
      <c r="M244" s="3">
        <v>0</v>
      </c>
      <c r="N244" s="3">
        <v>5</v>
      </c>
      <c r="O244" s="3">
        <v>0.17</v>
      </c>
      <c r="P244" s="3">
        <v>0</v>
      </c>
      <c r="Q244" s="3">
        <v>0</v>
      </c>
      <c r="R244" s="3">
        <v>0</v>
      </c>
    </row>
    <row r="245" spans="1:18">
      <c r="A245" s="3" t="s">
        <v>601</v>
      </c>
      <c r="B245" s="3" t="s">
        <v>602</v>
      </c>
      <c r="C245" s="3" t="s">
        <v>602</v>
      </c>
      <c r="D245" s="3" t="s">
        <v>603</v>
      </c>
      <c r="E245" s="3" t="s">
        <v>120</v>
      </c>
      <c r="F245" s="3">
        <v>24.98</v>
      </c>
      <c r="G245" s="3" t="s">
        <v>121</v>
      </c>
      <c r="H245" s="3"/>
      <c r="I245" s="3" t="s">
        <v>122</v>
      </c>
      <c r="J245" s="3">
        <v>1</v>
      </c>
      <c r="K245" s="3">
        <v>1</v>
      </c>
      <c r="L245" s="3">
        <v>0</v>
      </c>
      <c r="M245" s="3">
        <v>0</v>
      </c>
      <c r="N245" s="3">
        <v>1</v>
      </c>
      <c r="O245" s="3">
        <v>0.17</v>
      </c>
      <c r="P245" s="3">
        <v>0</v>
      </c>
      <c r="Q245" s="3">
        <v>0</v>
      </c>
      <c r="R245" s="3">
        <v>0</v>
      </c>
    </row>
    <row r="246" spans="1:18">
      <c r="A246" s="3" t="s">
        <v>604</v>
      </c>
      <c r="B246" s="3" t="s">
        <v>605</v>
      </c>
      <c r="C246" s="3" t="s">
        <v>605</v>
      </c>
      <c r="D246" s="3" t="s">
        <v>606</v>
      </c>
      <c r="E246" s="3" t="s">
        <v>120</v>
      </c>
      <c r="F246" s="3">
        <v>24.98</v>
      </c>
      <c r="G246" s="3" t="s">
        <v>121</v>
      </c>
      <c r="H246" s="3"/>
      <c r="I246" s="3" t="s">
        <v>122</v>
      </c>
      <c r="J246" s="3">
        <v>1</v>
      </c>
      <c r="K246" s="3">
        <v>0</v>
      </c>
      <c r="L246" s="3">
        <v>0</v>
      </c>
      <c r="M246" s="3">
        <v>1</v>
      </c>
      <c r="N246" s="3">
        <v>1</v>
      </c>
      <c r="O246" s="3">
        <v>0.17</v>
      </c>
      <c r="P246" s="3">
        <v>0</v>
      </c>
      <c r="Q246" s="3">
        <v>0</v>
      </c>
      <c r="R246" s="3">
        <v>0</v>
      </c>
    </row>
    <row r="247" spans="1:18">
      <c r="A247" s="3" t="s">
        <v>607</v>
      </c>
      <c r="B247" s="3" t="s">
        <v>608</v>
      </c>
      <c r="C247" s="3" t="s">
        <v>608</v>
      </c>
      <c r="D247" s="3" t="s">
        <v>609</v>
      </c>
      <c r="E247" s="3" t="s">
        <v>120</v>
      </c>
      <c r="F247" s="3">
        <v>24.98</v>
      </c>
      <c r="G247" s="3" t="s">
        <v>121</v>
      </c>
      <c r="H247" s="3"/>
      <c r="I247" s="3" t="s">
        <v>122</v>
      </c>
      <c r="J247" s="3">
        <v>7</v>
      </c>
      <c r="K247" s="3">
        <v>7</v>
      </c>
      <c r="L247" s="3">
        <v>0</v>
      </c>
      <c r="M247" s="3">
        <v>0</v>
      </c>
      <c r="N247" s="3">
        <v>7</v>
      </c>
      <c r="O247" s="3">
        <v>0.17</v>
      </c>
      <c r="P247" s="3">
        <v>0</v>
      </c>
      <c r="Q247" s="3">
        <v>0</v>
      </c>
      <c r="R247" s="3">
        <v>0</v>
      </c>
    </row>
    <row r="248" spans="1:18">
      <c r="A248" s="3" t="s">
        <v>610</v>
      </c>
      <c r="B248" s="3" t="s">
        <v>611</v>
      </c>
      <c r="C248" s="3" t="s">
        <v>611</v>
      </c>
      <c r="D248" s="3" t="s">
        <v>612</v>
      </c>
      <c r="E248" s="3" t="s">
        <v>120</v>
      </c>
      <c r="F248" s="3">
        <v>24.98</v>
      </c>
      <c r="G248" s="3" t="s">
        <v>121</v>
      </c>
      <c r="H248" s="3"/>
      <c r="I248" s="3" t="s">
        <v>122</v>
      </c>
      <c r="J248" s="3">
        <v>6</v>
      </c>
      <c r="K248" s="3">
        <v>6</v>
      </c>
      <c r="L248" s="3">
        <v>0</v>
      </c>
      <c r="M248" s="3">
        <v>0</v>
      </c>
      <c r="N248" s="3">
        <v>6</v>
      </c>
      <c r="O248" s="3">
        <v>0.17</v>
      </c>
      <c r="P248" s="3">
        <v>0</v>
      </c>
      <c r="Q248" s="3">
        <v>0</v>
      </c>
      <c r="R248" s="3">
        <v>0</v>
      </c>
    </row>
    <row r="249" spans="1:18">
      <c r="A249" s="3" t="s">
        <v>613</v>
      </c>
      <c r="B249" s="3" t="s">
        <v>614</v>
      </c>
      <c r="C249" s="3" t="s">
        <v>614</v>
      </c>
      <c r="D249" s="3" t="s">
        <v>615</v>
      </c>
      <c r="E249" s="3" t="s">
        <v>120</v>
      </c>
      <c r="F249" s="3">
        <v>24.98</v>
      </c>
      <c r="G249" s="3" t="s">
        <v>121</v>
      </c>
      <c r="H249" s="3"/>
      <c r="I249" s="3" t="s">
        <v>122</v>
      </c>
      <c r="J249" s="3">
        <v>9</v>
      </c>
      <c r="K249" s="3">
        <v>9</v>
      </c>
      <c r="L249" s="3">
        <v>0</v>
      </c>
      <c r="M249" s="3">
        <v>0</v>
      </c>
      <c r="N249" s="3">
        <v>9</v>
      </c>
      <c r="O249" s="3">
        <v>0.17</v>
      </c>
      <c r="P249" s="3">
        <v>0</v>
      </c>
      <c r="Q249" s="3">
        <v>0</v>
      </c>
      <c r="R249" s="3">
        <v>0</v>
      </c>
    </row>
    <row r="250" spans="1:18">
      <c r="A250" s="3" t="s">
        <v>616</v>
      </c>
      <c r="B250" s="3" t="s">
        <v>617</v>
      </c>
      <c r="C250" s="3" t="s">
        <v>617</v>
      </c>
      <c r="D250" s="3" t="s">
        <v>618</v>
      </c>
      <c r="E250" s="3" t="s">
        <v>120</v>
      </c>
      <c r="F250" s="3">
        <v>24.98</v>
      </c>
      <c r="G250" s="3" t="s">
        <v>121</v>
      </c>
      <c r="H250" s="3"/>
      <c r="I250" s="3" t="s">
        <v>122</v>
      </c>
      <c r="J250" s="3">
        <v>8</v>
      </c>
      <c r="K250" s="3">
        <v>8</v>
      </c>
      <c r="L250" s="3">
        <v>0</v>
      </c>
      <c r="M250" s="3">
        <v>0</v>
      </c>
      <c r="N250" s="3">
        <v>8</v>
      </c>
      <c r="O250" s="3">
        <v>0.17</v>
      </c>
      <c r="P250" s="3">
        <v>0</v>
      </c>
      <c r="Q250" s="3">
        <v>0</v>
      </c>
      <c r="R250" s="3">
        <v>0</v>
      </c>
    </row>
    <row r="251" spans="1:18">
      <c r="A251" s="3" t="s">
        <v>619</v>
      </c>
      <c r="B251" s="3" t="s">
        <v>620</v>
      </c>
      <c r="C251" s="3" t="s">
        <v>620</v>
      </c>
      <c r="D251" s="3" t="s">
        <v>621</v>
      </c>
      <c r="E251" s="3" t="s">
        <v>120</v>
      </c>
      <c r="F251" s="3">
        <v>24.98</v>
      </c>
      <c r="G251" s="3" t="s">
        <v>121</v>
      </c>
      <c r="H251" s="3"/>
      <c r="I251" s="3" t="s">
        <v>122</v>
      </c>
      <c r="J251" s="3">
        <v>10</v>
      </c>
      <c r="K251" s="3">
        <v>10</v>
      </c>
      <c r="L251" s="3">
        <v>0</v>
      </c>
      <c r="M251" s="3">
        <v>0</v>
      </c>
      <c r="N251" s="3">
        <v>10</v>
      </c>
      <c r="O251" s="3">
        <v>0.17</v>
      </c>
      <c r="P251" s="3">
        <v>0</v>
      </c>
      <c r="Q251" s="3">
        <v>0</v>
      </c>
      <c r="R251" s="3">
        <v>0</v>
      </c>
    </row>
    <row r="252" spans="1:18">
      <c r="A252" s="3" t="s">
        <v>622</v>
      </c>
      <c r="B252" s="3" t="s">
        <v>623</v>
      </c>
      <c r="C252" s="3" t="s">
        <v>623</v>
      </c>
      <c r="D252" s="3" t="s">
        <v>624</v>
      </c>
      <c r="E252" s="3" t="s">
        <v>120</v>
      </c>
      <c r="F252" s="3">
        <v>24.98</v>
      </c>
      <c r="G252" s="3" t="s">
        <v>121</v>
      </c>
      <c r="H252" s="3"/>
      <c r="I252" s="3" t="s">
        <v>122</v>
      </c>
      <c r="J252" s="3">
        <v>10</v>
      </c>
      <c r="K252" s="3">
        <v>10</v>
      </c>
      <c r="L252" s="3">
        <v>0</v>
      </c>
      <c r="M252" s="3">
        <v>0</v>
      </c>
      <c r="N252" s="3">
        <v>10</v>
      </c>
      <c r="O252" s="3">
        <v>0.17</v>
      </c>
      <c r="P252" s="3">
        <v>0</v>
      </c>
      <c r="Q252" s="3">
        <v>0</v>
      </c>
      <c r="R252" s="3">
        <v>0</v>
      </c>
    </row>
    <row r="253" spans="1:18">
      <c r="A253" s="3" t="s">
        <v>625</v>
      </c>
      <c r="B253" s="3" t="s">
        <v>626</v>
      </c>
      <c r="C253" s="3" t="s">
        <v>626</v>
      </c>
      <c r="D253" s="3" t="s">
        <v>627</v>
      </c>
      <c r="E253" s="3" t="s">
        <v>120</v>
      </c>
      <c r="F253" s="3">
        <v>24.98</v>
      </c>
      <c r="G253" s="3" t="s">
        <v>121</v>
      </c>
      <c r="H253" s="3"/>
      <c r="I253" s="3" t="s">
        <v>122</v>
      </c>
      <c r="J253" s="3">
        <v>10</v>
      </c>
      <c r="K253" s="3">
        <v>10</v>
      </c>
      <c r="L253" s="3">
        <v>0</v>
      </c>
      <c r="M253" s="3">
        <v>0</v>
      </c>
      <c r="N253" s="3">
        <v>10</v>
      </c>
      <c r="O253" s="3">
        <v>0.17</v>
      </c>
      <c r="P253" s="3">
        <v>0</v>
      </c>
      <c r="Q253" s="3">
        <v>0</v>
      </c>
      <c r="R253" s="3">
        <v>0</v>
      </c>
    </row>
    <row r="254" spans="1:18">
      <c r="A254" s="3" t="s">
        <v>628</v>
      </c>
      <c r="B254" s="3" t="s">
        <v>629</v>
      </c>
      <c r="C254" s="3" t="s">
        <v>629</v>
      </c>
      <c r="D254" s="3" t="s">
        <v>630</v>
      </c>
      <c r="E254" s="3" t="s">
        <v>120</v>
      </c>
      <c r="F254" s="3">
        <v>24.98</v>
      </c>
      <c r="G254" s="3" t="s">
        <v>121</v>
      </c>
      <c r="H254" s="3"/>
      <c r="I254" s="3" t="s">
        <v>122</v>
      </c>
      <c r="J254" s="3">
        <v>10</v>
      </c>
      <c r="K254" s="3">
        <v>10</v>
      </c>
      <c r="L254" s="3">
        <v>0</v>
      </c>
      <c r="M254" s="3">
        <v>0</v>
      </c>
      <c r="N254" s="3">
        <v>10</v>
      </c>
      <c r="O254" s="3">
        <v>0.17</v>
      </c>
      <c r="P254" s="3">
        <v>0</v>
      </c>
      <c r="Q254" s="3">
        <v>0</v>
      </c>
      <c r="R254" s="3">
        <v>0</v>
      </c>
    </row>
    <row r="255" spans="1:18">
      <c r="A255" s="3" t="s">
        <v>631</v>
      </c>
      <c r="B255" s="3" t="s">
        <v>632</v>
      </c>
      <c r="C255" s="3" t="s">
        <v>632</v>
      </c>
      <c r="D255" s="3" t="s">
        <v>633</v>
      </c>
      <c r="E255" s="3" t="s">
        <v>120</v>
      </c>
      <c r="F255" s="3">
        <v>24.98</v>
      </c>
      <c r="G255" s="3" t="s">
        <v>121</v>
      </c>
      <c r="H255" s="3"/>
      <c r="I255" s="3" t="s">
        <v>122</v>
      </c>
      <c r="J255" s="3">
        <v>10</v>
      </c>
      <c r="K255" s="3">
        <v>10</v>
      </c>
      <c r="L255" s="3">
        <v>0</v>
      </c>
      <c r="M255" s="3">
        <v>0</v>
      </c>
      <c r="N255" s="3">
        <v>10</v>
      </c>
      <c r="O255" s="3">
        <v>0.17</v>
      </c>
      <c r="P255" s="3">
        <v>0</v>
      </c>
      <c r="Q255" s="3">
        <v>0</v>
      </c>
      <c r="R255" s="3">
        <v>0</v>
      </c>
    </row>
    <row r="256" spans="1:18">
      <c r="A256" s="3" t="s">
        <v>634</v>
      </c>
      <c r="B256" s="3" t="s">
        <v>635</v>
      </c>
      <c r="C256" s="3" t="s">
        <v>635</v>
      </c>
      <c r="D256" s="3" t="s">
        <v>636</v>
      </c>
      <c r="E256" s="3" t="s">
        <v>120</v>
      </c>
      <c r="F256" s="3">
        <v>24.98</v>
      </c>
      <c r="G256" s="3" t="s">
        <v>121</v>
      </c>
      <c r="H256" s="3"/>
      <c r="I256" s="3" t="s">
        <v>122</v>
      </c>
      <c r="J256" s="3">
        <v>4</v>
      </c>
      <c r="K256" s="3">
        <v>4</v>
      </c>
      <c r="L256" s="3">
        <v>0</v>
      </c>
      <c r="M256" s="3">
        <v>0</v>
      </c>
      <c r="N256" s="3">
        <v>4</v>
      </c>
      <c r="O256" s="3">
        <v>0.17</v>
      </c>
      <c r="P256" s="3">
        <v>0</v>
      </c>
      <c r="Q256" s="3">
        <v>0</v>
      </c>
      <c r="R256" s="3">
        <v>0</v>
      </c>
    </row>
    <row r="257" spans="1:18">
      <c r="A257" s="3" t="s">
        <v>637</v>
      </c>
      <c r="B257" s="3" t="s">
        <v>638</v>
      </c>
      <c r="C257" s="3" t="s">
        <v>638</v>
      </c>
      <c r="D257" s="3" t="s">
        <v>639</v>
      </c>
      <c r="E257" s="3" t="s">
        <v>120</v>
      </c>
      <c r="F257" s="3">
        <v>24.98</v>
      </c>
      <c r="G257" s="3" t="s">
        <v>121</v>
      </c>
      <c r="H257" s="3"/>
      <c r="I257" s="3" t="s">
        <v>122</v>
      </c>
      <c r="J257" s="3">
        <v>10</v>
      </c>
      <c r="K257" s="3">
        <v>10</v>
      </c>
      <c r="L257" s="3">
        <v>0</v>
      </c>
      <c r="M257" s="3">
        <v>0</v>
      </c>
      <c r="N257" s="3">
        <v>10</v>
      </c>
      <c r="O257" s="3">
        <v>0.17</v>
      </c>
      <c r="P257" s="3">
        <v>0</v>
      </c>
      <c r="Q257" s="3">
        <v>0</v>
      </c>
      <c r="R257" s="3">
        <v>0</v>
      </c>
    </row>
    <row r="258" spans="1:18">
      <c r="A258" s="3" t="s">
        <v>640</v>
      </c>
      <c r="B258" s="3" t="s">
        <v>641</v>
      </c>
      <c r="C258" s="3" t="s">
        <v>641</v>
      </c>
      <c r="D258" s="3" t="s">
        <v>642</v>
      </c>
      <c r="E258" s="3" t="s">
        <v>120</v>
      </c>
      <c r="F258" s="3">
        <v>24.98</v>
      </c>
      <c r="G258" s="3" t="s">
        <v>121</v>
      </c>
      <c r="H258" s="3"/>
      <c r="I258" s="3" t="s">
        <v>122</v>
      </c>
      <c r="J258" s="3">
        <v>10</v>
      </c>
      <c r="K258" s="3">
        <v>10</v>
      </c>
      <c r="L258" s="3">
        <v>0</v>
      </c>
      <c r="M258" s="3">
        <v>0</v>
      </c>
      <c r="N258" s="3">
        <v>10</v>
      </c>
      <c r="O258" s="3">
        <v>0.17</v>
      </c>
      <c r="P258" s="3">
        <v>0</v>
      </c>
      <c r="Q258" s="3">
        <v>0</v>
      </c>
      <c r="R258" s="3">
        <v>0</v>
      </c>
    </row>
    <row r="259" spans="1:18">
      <c r="A259" s="3" t="s">
        <v>643</v>
      </c>
      <c r="B259" s="3" t="s">
        <v>644</v>
      </c>
      <c r="C259" s="3" t="s">
        <v>644</v>
      </c>
      <c r="D259" s="3" t="s">
        <v>645</v>
      </c>
      <c r="E259" s="3" t="s">
        <v>120</v>
      </c>
      <c r="F259" s="3">
        <v>24.98</v>
      </c>
      <c r="G259" s="3" t="s">
        <v>121</v>
      </c>
      <c r="H259" s="3"/>
      <c r="I259" s="3" t="s">
        <v>122</v>
      </c>
      <c r="J259" s="3">
        <v>11</v>
      </c>
      <c r="K259" s="3">
        <v>11</v>
      </c>
      <c r="L259" s="3">
        <v>0</v>
      </c>
      <c r="M259" s="3">
        <v>0</v>
      </c>
      <c r="N259" s="3">
        <v>11</v>
      </c>
      <c r="O259" s="3">
        <v>0.17</v>
      </c>
      <c r="P259" s="3">
        <v>0</v>
      </c>
      <c r="Q259" s="3">
        <v>0</v>
      </c>
      <c r="R259" s="3">
        <v>0</v>
      </c>
    </row>
    <row r="260" spans="1:18">
      <c r="A260" s="3" t="s">
        <v>646</v>
      </c>
      <c r="B260" s="3" t="s">
        <v>647</v>
      </c>
      <c r="C260" s="3" t="s">
        <v>647</v>
      </c>
      <c r="D260" s="3" t="s">
        <v>648</v>
      </c>
      <c r="E260" s="3" t="s">
        <v>120</v>
      </c>
      <c r="F260" s="3">
        <v>24.98</v>
      </c>
      <c r="G260" s="3" t="s">
        <v>121</v>
      </c>
      <c r="H260" s="3"/>
      <c r="I260" s="3" t="s">
        <v>122</v>
      </c>
      <c r="J260" s="3">
        <v>7</v>
      </c>
      <c r="K260" s="3">
        <v>7</v>
      </c>
      <c r="L260" s="3">
        <v>0</v>
      </c>
      <c r="M260" s="3">
        <v>0</v>
      </c>
      <c r="N260" s="3">
        <v>7</v>
      </c>
      <c r="O260" s="3">
        <v>0.17</v>
      </c>
      <c r="P260" s="3">
        <v>0</v>
      </c>
      <c r="Q260" s="3">
        <v>0</v>
      </c>
      <c r="R260" s="3">
        <v>0</v>
      </c>
    </row>
    <row r="261" spans="1:18">
      <c r="A261" s="3" t="s">
        <v>649</v>
      </c>
      <c r="B261" s="3" t="s">
        <v>650</v>
      </c>
      <c r="C261" s="3" t="s">
        <v>650</v>
      </c>
      <c r="D261" s="3" t="s">
        <v>651</v>
      </c>
      <c r="E261" s="3" t="s">
        <v>120</v>
      </c>
      <c r="F261" s="3">
        <v>24.98</v>
      </c>
      <c r="G261" s="3" t="s">
        <v>121</v>
      </c>
      <c r="H261" s="3"/>
      <c r="I261" s="3" t="s">
        <v>122</v>
      </c>
      <c r="J261" s="3">
        <v>10</v>
      </c>
      <c r="K261" s="3">
        <v>10</v>
      </c>
      <c r="L261" s="3">
        <v>0</v>
      </c>
      <c r="M261" s="3">
        <v>0</v>
      </c>
      <c r="N261" s="3">
        <v>10</v>
      </c>
      <c r="O261" s="3">
        <v>0.17</v>
      </c>
      <c r="P261" s="3">
        <v>0</v>
      </c>
      <c r="Q261" s="3">
        <v>0</v>
      </c>
      <c r="R261" s="3">
        <v>0</v>
      </c>
    </row>
    <row r="262" spans="1:18">
      <c r="A262" s="3" t="s">
        <v>652</v>
      </c>
      <c r="B262" s="3" t="s">
        <v>653</v>
      </c>
      <c r="C262" s="3" t="s">
        <v>653</v>
      </c>
      <c r="D262" s="3" t="s">
        <v>654</v>
      </c>
      <c r="E262" s="3" t="s">
        <v>120</v>
      </c>
      <c r="F262" s="3">
        <v>24.98</v>
      </c>
      <c r="G262" s="3" t="s">
        <v>121</v>
      </c>
      <c r="H262" s="3"/>
      <c r="I262" s="3" t="s">
        <v>122</v>
      </c>
      <c r="J262" s="3">
        <v>11</v>
      </c>
      <c r="K262" s="3">
        <v>11</v>
      </c>
      <c r="L262" s="3">
        <v>0</v>
      </c>
      <c r="M262" s="3">
        <v>0</v>
      </c>
      <c r="N262" s="3">
        <v>11</v>
      </c>
      <c r="O262" s="3">
        <v>0.17</v>
      </c>
      <c r="P262" s="3">
        <v>0</v>
      </c>
      <c r="Q262" s="3">
        <v>0</v>
      </c>
      <c r="R262" s="3">
        <v>0</v>
      </c>
    </row>
    <row r="263" spans="1:18">
      <c r="A263" s="3" t="s">
        <v>655</v>
      </c>
      <c r="B263" s="3" t="s">
        <v>656</v>
      </c>
      <c r="C263" s="3" t="s">
        <v>656</v>
      </c>
      <c r="D263" s="3" t="s">
        <v>657</v>
      </c>
      <c r="E263" s="3" t="s">
        <v>120</v>
      </c>
      <c r="F263" s="3">
        <v>24.98</v>
      </c>
      <c r="G263" s="3" t="s">
        <v>121</v>
      </c>
      <c r="H263" s="3"/>
      <c r="I263" s="3" t="s">
        <v>122</v>
      </c>
      <c r="J263" s="3">
        <v>10</v>
      </c>
      <c r="K263" s="3">
        <v>10</v>
      </c>
      <c r="L263" s="3">
        <v>0</v>
      </c>
      <c r="M263" s="3">
        <v>0</v>
      </c>
      <c r="N263" s="3">
        <v>10</v>
      </c>
      <c r="O263" s="3">
        <v>0.17</v>
      </c>
      <c r="P263" s="3">
        <v>0</v>
      </c>
      <c r="Q263" s="3">
        <v>0</v>
      </c>
      <c r="R263" s="3">
        <v>0</v>
      </c>
    </row>
    <row r="264" spans="1:18">
      <c r="A264" s="3" t="s">
        <v>658</v>
      </c>
      <c r="B264" s="3" t="s">
        <v>659</v>
      </c>
      <c r="C264" s="3" t="s">
        <v>659</v>
      </c>
      <c r="D264" s="3" t="s">
        <v>660</v>
      </c>
      <c r="E264" s="3" t="s">
        <v>120</v>
      </c>
      <c r="F264" s="3">
        <v>24.98</v>
      </c>
      <c r="G264" s="3" t="s">
        <v>121</v>
      </c>
      <c r="H264" s="3"/>
      <c r="I264" s="3" t="s">
        <v>122</v>
      </c>
      <c r="J264" s="3">
        <v>8</v>
      </c>
      <c r="K264" s="3">
        <v>8</v>
      </c>
      <c r="L264" s="3">
        <v>0</v>
      </c>
      <c r="M264" s="3">
        <v>0</v>
      </c>
      <c r="N264" s="3">
        <v>8</v>
      </c>
      <c r="O264" s="3">
        <v>0.17</v>
      </c>
      <c r="P264" s="3">
        <v>0</v>
      </c>
      <c r="Q264" s="3">
        <v>0</v>
      </c>
      <c r="R264" s="3">
        <v>0</v>
      </c>
    </row>
    <row r="265" spans="1:18">
      <c r="A265" s="3" t="s">
        <v>661</v>
      </c>
      <c r="B265" s="3" t="s">
        <v>662</v>
      </c>
      <c r="C265" s="3" t="s">
        <v>662</v>
      </c>
      <c r="D265" s="3" t="s">
        <v>663</v>
      </c>
      <c r="E265" s="3" t="s">
        <v>120</v>
      </c>
      <c r="F265" s="3">
        <v>24.98</v>
      </c>
      <c r="G265" s="3" t="s">
        <v>121</v>
      </c>
      <c r="H265" s="3"/>
      <c r="I265" s="3" t="s">
        <v>122</v>
      </c>
      <c r="J265" s="3">
        <v>10</v>
      </c>
      <c r="K265" s="3">
        <v>10</v>
      </c>
      <c r="L265" s="3">
        <v>0</v>
      </c>
      <c r="M265" s="3">
        <v>0</v>
      </c>
      <c r="N265" s="3">
        <v>10</v>
      </c>
      <c r="O265" s="3">
        <v>0.17</v>
      </c>
      <c r="P265" s="3">
        <v>0</v>
      </c>
      <c r="Q265" s="3">
        <v>0</v>
      </c>
      <c r="R265" s="3">
        <v>0</v>
      </c>
    </row>
    <row r="266" spans="1:18">
      <c r="A266" s="3" t="s">
        <v>664</v>
      </c>
      <c r="B266" s="3" t="s">
        <v>665</v>
      </c>
      <c r="C266" s="3" t="s">
        <v>665</v>
      </c>
      <c r="D266" s="3" t="s">
        <v>666</v>
      </c>
      <c r="E266" s="3" t="s">
        <v>120</v>
      </c>
      <c r="F266" s="3">
        <v>24.98</v>
      </c>
      <c r="G266" s="3" t="s">
        <v>121</v>
      </c>
      <c r="H266" s="3"/>
      <c r="I266" s="3" t="s">
        <v>122</v>
      </c>
      <c r="J266" s="3">
        <v>3</v>
      </c>
      <c r="K266" s="3">
        <v>3</v>
      </c>
      <c r="L266" s="3">
        <v>0</v>
      </c>
      <c r="M266" s="3">
        <v>0</v>
      </c>
      <c r="N266" s="3">
        <v>3</v>
      </c>
      <c r="O266" s="3">
        <v>0.17</v>
      </c>
      <c r="P266" s="3">
        <v>0</v>
      </c>
      <c r="Q266" s="3">
        <v>0</v>
      </c>
      <c r="R266" s="3">
        <v>0</v>
      </c>
    </row>
    <row r="267" spans="1:18">
      <c r="A267" s="3" t="s">
        <v>667</v>
      </c>
      <c r="B267" s="3" t="s">
        <v>668</v>
      </c>
      <c r="C267" s="3" t="s">
        <v>668</v>
      </c>
      <c r="D267" s="3" t="s">
        <v>669</v>
      </c>
      <c r="E267" s="3" t="s">
        <v>120</v>
      </c>
      <c r="F267" s="3">
        <v>24.98</v>
      </c>
      <c r="G267" s="3" t="s">
        <v>121</v>
      </c>
      <c r="H267" s="3"/>
      <c r="I267" s="3" t="s">
        <v>122</v>
      </c>
      <c r="J267" s="3">
        <v>6</v>
      </c>
      <c r="K267" s="3">
        <v>6</v>
      </c>
      <c r="L267" s="3">
        <v>0</v>
      </c>
      <c r="M267" s="3">
        <v>0</v>
      </c>
      <c r="N267" s="3">
        <v>6</v>
      </c>
      <c r="O267" s="3">
        <v>0.17</v>
      </c>
      <c r="P267" s="3">
        <v>0</v>
      </c>
      <c r="Q267" s="3">
        <v>0</v>
      </c>
      <c r="R267" s="3">
        <v>0</v>
      </c>
    </row>
    <row r="268" spans="1:18">
      <c r="A268" s="3" t="s">
        <v>670</v>
      </c>
      <c r="B268" s="3" t="s">
        <v>671</v>
      </c>
      <c r="C268" s="3" t="s">
        <v>671</v>
      </c>
      <c r="D268" s="3" t="s">
        <v>672</v>
      </c>
      <c r="E268" s="3" t="s">
        <v>120</v>
      </c>
      <c r="F268" s="3">
        <v>24.98</v>
      </c>
      <c r="G268" s="3" t="s">
        <v>121</v>
      </c>
      <c r="H268" s="3"/>
      <c r="I268" s="3" t="s">
        <v>122</v>
      </c>
      <c r="J268" s="3">
        <v>0</v>
      </c>
      <c r="K268" s="3">
        <v>0</v>
      </c>
      <c r="L268" s="3">
        <v>0</v>
      </c>
      <c r="M268" s="3">
        <v>0</v>
      </c>
      <c r="N268" s="3">
        <v>0</v>
      </c>
      <c r="O268" s="3">
        <v>0.17</v>
      </c>
      <c r="P268" s="3">
        <v>0</v>
      </c>
      <c r="Q268" s="3">
        <v>0</v>
      </c>
      <c r="R268" s="3">
        <v>0</v>
      </c>
    </row>
    <row r="269" spans="1:18">
      <c r="A269" s="3" t="s">
        <v>673</v>
      </c>
      <c r="B269" s="3" t="s">
        <v>674</v>
      </c>
      <c r="C269" s="3" t="s">
        <v>674</v>
      </c>
      <c r="D269" s="3" t="s">
        <v>675</v>
      </c>
      <c r="E269" s="3" t="s">
        <v>120</v>
      </c>
      <c r="F269" s="3">
        <v>24.98</v>
      </c>
      <c r="G269" s="3" t="s">
        <v>121</v>
      </c>
      <c r="H269" s="3"/>
      <c r="I269" s="3" t="s">
        <v>122</v>
      </c>
      <c r="J269" s="3">
        <v>0</v>
      </c>
      <c r="K269" s="3">
        <v>0</v>
      </c>
      <c r="L269" s="3">
        <v>0</v>
      </c>
      <c r="M269" s="3">
        <v>0</v>
      </c>
      <c r="N269" s="3">
        <v>0</v>
      </c>
      <c r="O269" s="3">
        <v>0.17</v>
      </c>
      <c r="P269" s="3">
        <v>0</v>
      </c>
      <c r="Q269" s="3">
        <v>0</v>
      </c>
      <c r="R269" s="3">
        <v>0</v>
      </c>
    </row>
    <row r="270" spans="1:18">
      <c r="A270" s="3" t="s">
        <v>676</v>
      </c>
      <c r="B270" s="3" t="s">
        <v>677</v>
      </c>
      <c r="C270" s="3" t="s">
        <v>677</v>
      </c>
      <c r="D270" s="3" t="s">
        <v>678</v>
      </c>
      <c r="E270" s="3" t="s">
        <v>120</v>
      </c>
      <c r="F270" s="3">
        <v>24.98</v>
      </c>
      <c r="G270" s="3" t="s">
        <v>121</v>
      </c>
      <c r="H270" s="3"/>
      <c r="I270" s="3" t="s">
        <v>122</v>
      </c>
      <c r="J270" s="3">
        <v>2</v>
      </c>
      <c r="K270" s="3">
        <v>2</v>
      </c>
      <c r="L270" s="3">
        <v>0</v>
      </c>
      <c r="M270" s="3">
        <v>0</v>
      </c>
      <c r="N270" s="3">
        <v>2</v>
      </c>
      <c r="O270" s="3">
        <v>0.17</v>
      </c>
      <c r="P270" s="3">
        <v>0</v>
      </c>
      <c r="Q270" s="3">
        <v>0</v>
      </c>
      <c r="R270" s="3">
        <v>0</v>
      </c>
    </row>
    <row r="271" spans="1:18">
      <c r="A271" s="3" t="s">
        <v>679</v>
      </c>
      <c r="B271" s="3" t="s">
        <v>680</v>
      </c>
      <c r="C271" s="3" t="s">
        <v>680</v>
      </c>
      <c r="D271" s="3" t="s">
        <v>681</v>
      </c>
      <c r="E271" s="3" t="s">
        <v>120</v>
      </c>
      <c r="F271" s="3">
        <v>24.98</v>
      </c>
      <c r="G271" s="3" t="s">
        <v>121</v>
      </c>
      <c r="H271" s="3"/>
      <c r="I271" s="3" t="s">
        <v>122</v>
      </c>
      <c r="J271" s="3">
        <v>10</v>
      </c>
      <c r="K271" s="3">
        <v>10</v>
      </c>
      <c r="L271" s="3">
        <v>0</v>
      </c>
      <c r="M271" s="3">
        <v>0</v>
      </c>
      <c r="N271" s="3">
        <v>10</v>
      </c>
      <c r="O271" s="3">
        <v>0.17</v>
      </c>
      <c r="P271" s="3">
        <v>0</v>
      </c>
      <c r="Q271" s="3">
        <v>0</v>
      </c>
      <c r="R271" s="3">
        <v>0</v>
      </c>
    </row>
    <row r="272" spans="1:18">
      <c r="A272" s="3" t="s">
        <v>682</v>
      </c>
      <c r="B272" s="3" t="s">
        <v>683</v>
      </c>
      <c r="C272" s="3" t="s">
        <v>683</v>
      </c>
      <c r="D272" s="3" t="s">
        <v>684</v>
      </c>
      <c r="E272" s="3" t="s">
        <v>120</v>
      </c>
      <c r="F272" s="3">
        <v>24.98</v>
      </c>
      <c r="G272" s="3" t="s">
        <v>121</v>
      </c>
      <c r="H272" s="3"/>
      <c r="I272" s="3" t="s">
        <v>122</v>
      </c>
      <c r="J272" s="3">
        <v>9</v>
      </c>
      <c r="K272" s="3">
        <v>9</v>
      </c>
      <c r="L272" s="3">
        <v>0</v>
      </c>
      <c r="M272" s="3">
        <v>0</v>
      </c>
      <c r="N272" s="3">
        <v>9</v>
      </c>
      <c r="O272" s="3">
        <v>0.17</v>
      </c>
      <c r="P272" s="3">
        <v>0</v>
      </c>
      <c r="Q272" s="3">
        <v>0</v>
      </c>
      <c r="R272" s="3">
        <v>0</v>
      </c>
    </row>
    <row r="273" spans="1:18">
      <c r="A273" s="3" t="s">
        <v>685</v>
      </c>
      <c r="B273" s="3" t="s">
        <v>686</v>
      </c>
      <c r="C273" s="3" t="s">
        <v>686</v>
      </c>
      <c r="D273" s="3" t="s">
        <v>687</v>
      </c>
      <c r="E273" s="3" t="s">
        <v>120</v>
      </c>
      <c r="F273" s="3">
        <v>24.98</v>
      </c>
      <c r="G273" s="3" t="s">
        <v>121</v>
      </c>
      <c r="H273" s="3"/>
      <c r="I273" s="3" t="s">
        <v>122</v>
      </c>
      <c r="J273" s="3">
        <v>9</v>
      </c>
      <c r="K273" s="3">
        <v>9</v>
      </c>
      <c r="L273" s="3">
        <v>0</v>
      </c>
      <c r="M273" s="3">
        <v>0</v>
      </c>
      <c r="N273" s="3">
        <v>9</v>
      </c>
      <c r="O273" s="3">
        <v>0.17</v>
      </c>
      <c r="P273" s="3">
        <v>0</v>
      </c>
      <c r="Q273" s="3">
        <v>0</v>
      </c>
      <c r="R273" s="3">
        <v>0</v>
      </c>
    </row>
    <row r="274" spans="1:18">
      <c r="A274" s="3" t="s">
        <v>688</v>
      </c>
      <c r="B274" s="3" t="s">
        <v>689</v>
      </c>
      <c r="C274" s="3" t="s">
        <v>689</v>
      </c>
      <c r="D274" s="3" t="s">
        <v>690</v>
      </c>
      <c r="E274" s="3" t="s">
        <v>120</v>
      </c>
      <c r="F274" s="3">
        <v>24.98</v>
      </c>
      <c r="G274" s="3" t="s">
        <v>121</v>
      </c>
      <c r="H274" s="3"/>
      <c r="I274" s="3" t="s">
        <v>122</v>
      </c>
      <c r="J274" s="3">
        <v>10</v>
      </c>
      <c r="K274" s="3">
        <v>10</v>
      </c>
      <c r="L274" s="3">
        <v>0</v>
      </c>
      <c r="M274" s="3">
        <v>0</v>
      </c>
      <c r="N274" s="3">
        <v>10</v>
      </c>
      <c r="O274" s="3">
        <v>0.17</v>
      </c>
      <c r="P274" s="3">
        <v>0</v>
      </c>
      <c r="Q274" s="3">
        <v>0</v>
      </c>
      <c r="R274" s="3">
        <v>0</v>
      </c>
    </row>
    <row r="275" spans="1:18">
      <c r="A275" s="3" t="s">
        <v>691</v>
      </c>
      <c r="B275" s="3" t="s">
        <v>692</v>
      </c>
      <c r="C275" s="3" t="s">
        <v>692</v>
      </c>
      <c r="D275" s="3" t="s">
        <v>693</v>
      </c>
      <c r="E275" s="3" t="s">
        <v>120</v>
      </c>
      <c r="F275" s="3">
        <v>24.98</v>
      </c>
      <c r="G275" s="3" t="s">
        <v>121</v>
      </c>
      <c r="H275" s="3"/>
      <c r="I275" s="3" t="s">
        <v>122</v>
      </c>
      <c r="J275" s="3">
        <v>3</v>
      </c>
      <c r="K275" s="3">
        <v>3</v>
      </c>
      <c r="L275" s="3">
        <v>0</v>
      </c>
      <c r="M275" s="3">
        <v>0</v>
      </c>
      <c r="N275" s="3">
        <v>3</v>
      </c>
      <c r="O275" s="3">
        <v>0.17</v>
      </c>
      <c r="P275" s="3">
        <v>0</v>
      </c>
      <c r="Q275" s="3">
        <v>0</v>
      </c>
      <c r="R275" s="3">
        <v>0</v>
      </c>
    </row>
    <row r="276" spans="1:18">
      <c r="A276" s="3" t="s">
        <v>694</v>
      </c>
      <c r="B276" s="3" t="s">
        <v>695</v>
      </c>
      <c r="C276" s="3" t="s">
        <v>590</v>
      </c>
      <c r="D276" s="3" t="s">
        <v>591</v>
      </c>
      <c r="E276" s="3" t="s">
        <v>120</v>
      </c>
      <c r="F276" s="3">
        <v>24.98</v>
      </c>
      <c r="G276" s="3" t="s">
        <v>121</v>
      </c>
      <c r="H276" s="3"/>
      <c r="I276" s="3" t="s">
        <v>122</v>
      </c>
      <c r="J276" s="3">
        <v>0</v>
      </c>
      <c r="K276" s="3">
        <v>0</v>
      </c>
      <c r="L276" s="3">
        <v>0</v>
      </c>
      <c r="M276" s="3">
        <v>0</v>
      </c>
      <c r="N276" s="3">
        <v>0</v>
      </c>
      <c r="O276" s="3">
        <v>0.17</v>
      </c>
      <c r="P276" s="3">
        <v>0</v>
      </c>
      <c r="Q276" s="3">
        <v>0</v>
      </c>
      <c r="R276" s="3">
        <v>0</v>
      </c>
    </row>
    <row r="277" spans="1:18">
      <c r="A277" s="3" t="s">
        <v>696</v>
      </c>
      <c r="B277" s="3" t="s">
        <v>697</v>
      </c>
      <c r="C277" s="3" t="s">
        <v>593</v>
      </c>
      <c r="D277" s="3" t="s">
        <v>594</v>
      </c>
      <c r="E277" s="3" t="s">
        <v>120</v>
      </c>
      <c r="F277" s="3">
        <v>24.98</v>
      </c>
      <c r="G277" s="3" t="s">
        <v>121</v>
      </c>
      <c r="H277" s="3"/>
      <c r="I277" s="3" t="s">
        <v>122</v>
      </c>
      <c r="J277" s="3">
        <v>0</v>
      </c>
      <c r="K277" s="3">
        <v>0</v>
      </c>
      <c r="L277" s="3">
        <v>0</v>
      </c>
      <c r="M277" s="3">
        <v>0</v>
      </c>
      <c r="N277" s="3">
        <v>0</v>
      </c>
      <c r="O277" s="3">
        <v>0.17</v>
      </c>
      <c r="P277" s="3">
        <v>0</v>
      </c>
      <c r="Q277" s="3">
        <v>0</v>
      </c>
      <c r="R277" s="3">
        <v>0</v>
      </c>
    </row>
    <row r="278" spans="1:18">
      <c r="A278" s="3" t="s">
        <v>698</v>
      </c>
      <c r="B278" s="3" t="s">
        <v>699</v>
      </c>
      <c r="C278" s="3" t="s">
        <v>596</v>
      </c>
      <c r="D278" s="3" t="s">
        <v>597</v>
      </c>
      <c r="E278" s="3" t="s">
        <v>120</v>
      </c>
      <c r="F278" s="3">
        <v>24.98</v>
      </c>
      <c r="G278" s="3" t="s">
        <v>121</v>
      </c>
      <c r="H278" s="3"/>
      <c r="I278" s="3" t="s">
        <v>122</v>
      </c>
      <c r="J278" s="3">
        <v>0</v>
      </c>
      <c r="K278" s="3">
        <v>0</v>
      </c>
      <c r="L278" s="3">
        <v>0</v>
      </c>
      <c r="M278" s="3">
        <v>0</v>
      </c>
      <c r="N278" s="3">
        <v>0</v>
      </c>
      <c r="O278" s="3">
        <v>0.17</v>
      </c>
      <c r="P278" s="3">
        <v>0</v>
      </c>
      <c r="Q278" s="3">
        <v>0</v>
      </c>
      <c r="R278" s="3">
        <v>0</v>
      </c>
    </row>
    <row r="279" spans="1:18">
      <c r="A279" s="3" t="s">
        <v>700</v>
      </c>
      <c r="B279" s="3" t="s">
        <v>701</v>
      </c>
      <c r="C279" s="3" t="s">
        <v>599</v>
      </c>
      <c r="D279" s="3" t="s">
        <v>600</v>
      </c>
      <c r="E279" s="3" t="s">
        <v>120</v>
      </c>
      <c r="F279" s="3">
        <v>24.98</v>
      </c>
      <c r="G279" s="3" t="s">
        <v>121</v>
      </c>
      <c r="H279" s="3"/>
      <c r="I279" s="3" t="s">
        <v>122</v>
      </c>
      <c r="J279" s="3">
        <v>0</v>
      </c>
      <c r="K279" s="3">
        <v>0</v>
      </c>
      <c r="L279" s="3">
        <v>0</v>
      </c>
      <c r="M279" s="3">
        <v>0</v>
      </c>
      <c r="N279" s="3">
        <v>0</v>
      </c>
      <c r="O279" s="3">
        <v>0.17</v>
      </c>
      <c r="P279" s="3">
        <v>0</v>
      </c>
      <c r="Q279" s="3">
        <v>0</v>
      </c>
      <c r="R279" s="3">
        <v>0</v>
      </c>
    </row>
    <row r="280" spans="1:18">
      <c r="A280" s="3" t="s">
        <v>702</v>
      </c>
      <c r="B280" s="3" t="s">
        <v>703</v>
      </c>
      <c r="C280" s="3" t="s">
        <v>602</v>
      </c>
      <c r="D280" s="3" t="s">
        <v>603</v>
      </c>
      <c r="E280" s="3" t="s">
        <v>120</v>
      </c>
      <c r="F280" s="3">
        <v>24.98</v>
      </c>
      <c r="G280" s="3" t="s">
        <v>121</v>
      </c>
      <c r="H280" s="3"/>
      <c r="I280" s="3" t="s">
        <v>122</v>
      </c>
      <c r="J280" s="3">
        <v>0</v>
      </c>
      <c r="K280" s="3">
        <v>0</v>
      </c>
      <c r="L280" s="3">
        <v>0</v>
      </c>
      <c r="M280" s="3">
        <v>0</v>
      </c>
      <c r="N280" s="3">
        <v>0</v>
      </c>
      <c r="O280" s="3">
        <v>0.17</v>
      </c>
      <c r="P280" s="3">
        <v>0</v>
      </c>
      <c r="Q280" s="3">
        <v>0</v>
      </c>
      <c r="R280" s="3">
        <v>0</v>
      </c>
    </row>
    <row r="281" spans="1:18">
      <c r="A281" s="3" t="s">
        <v>704</v>
      </c>
      <c r="B281" s="3" t="s">
        <v>705</v>
      </c>
      <c r="C281" s="3" t="s">
        <v>605</v>
      </c>
      <c r="D281" s="3" t="s">
        <v>606</v>
      </c>
      <c r="E281" s="3" t="s">
        <v>120</v>
      </c>
      <c r="F281" s="3">
        <v>24.98</v>
      </c>
      <c r="G281" s="3" t="s">
        <v>121</v>
      </c>
      <c r="H281" s="3"/>
      <c r="I281" s="3" t="s">
        <v>122</v>
      </c>
      <c r="J281" s="3">
        <v>0</v>
      </c>
      <c r="K281" s="3">
        <v>0</v>
      </c>
      <c r="L281" s="3">
        <v>0</v>
      </c>
      <c r="M281" s="3">
        <v>0</v>
      </c>
      <c r="N281" s="3">
        <v>0</v>
      </c>
      <c r="O281" s="3">
        <v>0.17</v>
      </c>
      <c r="P281" s="3">
        <v>0</v>
      </c>
      <c r="Q281" s="3">
        <v>0</v>
      </c>
      <c r="R281" s="3">
        <v>0</v>
      </c>
    </row>
    <row r="282" spans="1:18">
      <c r="A282" s="3" t="s">
        <v>706</v>
      </c>
      <c r="B282" s="3" t="s">
        <v>707</v>
      </c>
      <c r="C282" s="3" t="s">
        <v>608</v>
      </c>
      <c r="D282" s="3" t="s">
        <v>609</v>
      </c>
      <c r="E282" s="3" t="s">
        <v>120</v>
      </c>
      <c r="F282" s="3">
        <v>24.98</v>
      </c>
      <c r="G282" s="3" t="s">
        <v>121</v>
      </c>
      <c r="H282" s="3"/>
      <c r="I282" s="3" t="s">
        <v>122</v>
      </c>
      <c r="J282" s="3">
        <v>0</v>
      </c>
      <c r="K282" s="3">
        <v>0</v>
      </c>
      <c r="L282" s="3">
        <v>0</v>
      </c>
      <c r="M282" s="3">
        <v>0</v>
      </c>
      <c r="N282" s="3">
        <v>0</v>
      </c>
      <c r="O282" s="3">
        <v>0.17</v>
      </c>
      <c r="P282" s="3">
        <v>0</v>
      </c>
      <c r="Q282" s="3">
        <v>0</v>
      </c>
      <c r="R282" s="3">
        <v>0</v>
      </c>
    </row>
    <row r="283" spans="1:18">
      <c r="A283" s="3" t="s">
        <v>708</v>
      </c>
      <c r="B283" s="3" t="s">
        <v>709</v>
      </c>
      <c r="C283" s="3" t="s">
        <v>611</v>
      </c>
      <c r="D283" s="3" t="s">
        <v>612</v>
      </c>
      <c r="E283" s="3" t="s">
        <v>120</v>
      </c>
      <c r="F283" s="3">
        <v>24.98</v>
      </c>
      <c r="G283" s="3" t="s">
        <v>121</v>
      </c>
      <c r="H283" s="3"/>
      <c r="I283" s="3" t="s">
        <v>122</v>
      </c>
      <c r="J283" s="3">
        <v>0</v>
      </c>
      <c r="K283" s="3">
        <v>0</v>
      </c>
      <c r="L283" s="3">
        <v>0</v>
      </c>
      <c r="M283" s="3">
        <v>0</v>
      </c>
      <c r="N283" s="3">
        <v>0</v>
      </c>
      <c r="O283" s="3">
        <v>0.17</v>
      </c>
      <c r="P283" s="3">
        <v>0</v>
      </c>
      <c r="Q283" s="3">
        <v>0</v>
      </c>
      <c r="R283" s="3">
        <v>0</v>
      </c>
    </row>
    <row r="284" spans="1:18">
      <c r="A284" s="3" t="s">
        <v>710</v>
      </c>
      <c r="B284" s="3" t="s">
        <v>711</v>
      </c>
      <c r="C284" s="3" t="s">
        <v>614</v>
      </c>
      <c r="D284" s="3" t="s">
        <v>615</v>
      </c>
      <c r="E284" s="3" t="s">
        <v>120</v>
      </c>
      <c r="F284" s="3">
        <v>24.98</v>
      </c>
      <c r="G284" s="3" t="s">
        <v>121</v>
      </c>
      <c r="H284" s="3"/>
      <c r="I284" s="3" t="s">
        <v>122</v>
      </c>
      <c r="J284" s="3">
        <v>5</v>
      </c>
      <c r="K284" s="3">
        <v>5</v>
      </c>
      <c r="L284" s="3">
        <v>0</v>
      </c>
      <c r="M284" s="3">
        <v>0</v>
      </c>
      <c r="N284" s="3">
        <v>5</v>
      </c>
      <c r="O284" s="3">
        <v>0.17</v>
      </c>
      <c r="P284" s="3">
        <v>0</v>
      </c>
      <c r="Q284" s="3">
        <v>0</v>
      </c>
      <c r="R284" s="3">
        <v>0</v>
      </c>
    </row>
    <row r="285" spans="1:18">
      <c r="A285" s="3" t="s">
        <v>712</v>
      </c>
      <c r="B285" s="3" t="s">
        <v>713</v>
      </c>
      <c r="C285" s="3" t="s">
        <v>617</v>
      </c>
      <c r="D285" s="3" t="s">
        <v>618</v>
      </c>
      <c r="E285" s="3" t="s">
        <v>120</v>
      </c>
      <c r="F285" s="3">
        <v>24.98</v>
      </c>
      <c r="G285" s="3" t="s">
        <v>121</v>
      </c>
      <c r="H285" s="3"/>
      <c r="I285" s="3" t="s">
        <v>122</v>
      </c>
      <c r="J285" s="3">
        <v>5</v>
      </c>
      <c r="K285" s="3">
        <v>5</v>
      </c>
      <c r="L285" s="3">
        <v>0</v>
      </c>
      <c r="M285" s="3">
        <v>0</v>
      </c>
      <c r="N285" s="3">
        <v>5</v>
      </c>
      <c r="O285" s="3">
        <v>0.17</v>
      </c>
      <c r="P285" s="3">
        <v>0</v>
      </c>
      <c r="Q285" s="3">
        <v>0</v>
      </c>
      <c r="R285" s="3">
        <v>0</v>
      </c>
    </row>
    <row r="286" spans="1:18">
      <c r="A286" s="3" t="s">
        <v>714</v>
      </c>
      <c r="B286" s="3" t="s">
        <v>715</v>
      </c>
      <c r="C286" s="3" t="s">
        <v>620</v>
      </c>
      <c r="D286" s="3" t="s">
        <v>621</v>
      </c>
      <c r="E286" s="3" t="s">
        <v>120</v>
      </c>
      <c r="F286" s="3">
        <v>24.98</v>
      </c>
      <c r="G286" s="3" t="s">
        <v>121</v>
      </c>
      <c r="H286" s="3"/>
      <c r="I286" s="3" t="s">
        <v>122</v>
      </c>
      <c r="J286" s="3">
        <v>0</v>
      </c>
      <c r="K286" s="3">
        <v>0</v>
      </c>
      <c r="L286" s="3">
        <v>0</v>
      </c>
      <c r="M286" s="3">
        <v>0</v>
      </c>
      <c r="N286" s="3">
        <v>0</v>
      </c>
      <c r="O286" s="3">
        <v>0.17</v>
      </c>
      <c r="P286" s="3">
        <v>0</v>
      </c>
      <c r="Q286" s="3">
        <v>0</v>
      </c>
      <c r="R286" s="3">
        <v>0</v>
      </c>
    </row>
    <row r="287" spans="1:18">
      <c r="A287" s="3" t="s">
        <v>716</v>
      </c>
      <c r="B287" s="3" t="s">
        <v>717</v>
      </c>
      <c r="C287" s="3" t="s">
        <v>623</v>
      </c>
      <c r="D287" s="3" t="s">
        <v>624</v>
      </c>
      <c r="E287" s="3" t="s">
        <v>120</v>
      </c>
      <c r="F287" s="3">
        <v>24.98</v>
      </c>
      <c r="G287" s="3" t="s">
        <v>121</v>
      </c>
      <c r="H287" s="3"/>
      <c r="I287" s="3" t="s">
        <v>122</v>
      </c>
      <c r="J287" s="3">
        <v>0</v>
      </c>
      <c r="K287" s="3">
        <v>0</v>
      </c>
      <c r="L287" s="3">
        <v>0</v>
      </c>
      <c r="M287" s="3">
        <v>0</v>
      </c>
      <c r="N287" s="3">
        <v>0</v>
      </c>
      <c r="O287" s="3">
        <v>0.17</v>
      </c>
      <c r="P287" s="3">
        <v>0</v>
      </c>
      <c r="Q287" s="3">
        <v>0</v>
      </c>
      <c r="R287" s="3">
        <v>0</v>
      </c>
    </row>
    <row r="288" spans="1:18">
      <c r="A288" s="3" t="s">
        <v>718</v>
      </c>
      <c r="B288" s="3" t="s">
        <v>719</v>
      </c>
      <c r="C288" s="3" t="s">
        <v>626</v>
      </c>
      <c r="D288" s="3" t="s">
        <v>627</v>
      </c>
      <c r="E288" s="3" t="s">
        <v>120</v>
      </c>
      <c r="F288" s="3">
        <v>24.98</v>
      </c>
      <c r="G288" s="3" t="s">
        <v>121</v>
      </c>
      <c r="H288" s="3"/>
      <c r="I288" s="3" t="s">
        <v>122</v>
      </c>
      <c r="J288" s="3">
        <v>0</v>
      </c>
      <c r="K288" s="3">
        <v>0</v>
      </c>
      <c r="L288" s="3">
        <v>0</v>
      </c>
      <c r="M288" s="3">
        <v>0</v>
      </c>
      <c r="N288" s="3">
        <v>0</v>
      </c>
      <c r="O288" s="3">
        <v>0.17</v>
      </c>
      <c r="P288" s="3">
        <v>0</v>
      </c>
      <c r="Q288" s="3">
        <v>0</v>
      </c>
      <c r="R288" s="3">
        <v>0</v>
      </c>
    </row>
    <row r="289" spans="1:18">
      <c r="A289" s="3" t="s">
        <v>720</v>
      </c>
      <c r="B289" s="3" t="s">
        <v>721</v>
      </c>
      <c r="C289" s="3" t="s">
        <v>629</v>
      </c>
      <c r="D289" s="3" t="s">
        <v>630</v>
      </c>
      <c r="E289" s="3" t="s">
        <v>120</v>
      </c>
      <c r="F289" s="3">
        <v>24.98</v>
      </c>
      <c r="G289" s="3" t="s">
        <v>121</v>
      </c>
      <c r="H289" s="3"/>
      <c r="I289" s="3" t="s">
        <v>122</v>
      </c>
      <c r="J289" s="3">
        <v>0</v>
      </c>
      <c r="K289" s="3">
        <v>0</v>
      </c>
      <c r="L289" s="3">
        <v>0</v>
      </c>
      <c r="M289" s="3">
        <v>0</v>
      </c>
      <c r="N289" s="3">
        <v>0</v>
      </c>
      <c r="O289" s="3">
        <v>0.17</v>
      </c>
      <c r="P289" s="3">
        <v>0</v>
      </c>
      <c r="Q289" s="3">
        <v>0</v>
      </c>
      <c r="R289" s="3">
        <v>0</v>
      </c>
    </row>
    <row r="290" spans="1:18">
      <c r="A290" s="3" t="s">
        <v>722</v>
      </c>
      <c r="B290" s="3" t="s">
        <v>723</v>
      </c>
      <c r="C290" s="3" t="s">
        <v>632</v>
      </c>
      <c r="D290" s="3" t="s">
        <v>633</v>
      </c>
      <c r="E290" s="3" t="s">
        <v>120</v>
      </c>
      <c r="F290" s="3">
        <v>24.98</v>
      </c>
      <c r="G290" s="3" t="s">
        <v>121</v>
      </c>
      <c r="H290" s="3"/>
      <c r="I290" s="3" t="s">
        <v>122</v>
      </c>
      <c r="J290" s="3">
        <v>0</v>
      </c>
      <c r="K290" s="3">
        <v>0</v>
      </c>
      <c r="L290" s="3">
        <v>0</v>
      </c>
      <c r="M290" s="3">
        <v>0</v>
      </c>
      <c r="N290" s="3">
        <v>0</v>
      </c>
      <c r="O290" s="3">
        <v>0.17</v>
      </c>
      <c r="P290" s="3">
        <v>0</v>
      </c>
      <c r="Q290" s="3">
        <v>0</v>
      </c>
      <c r="R290" s="3">
        <v>0</v>
      </c>
    </row>
    <row r="291" spans="1:18">
      <c r="A291" s="3" t="s">
        <v>724</v>
      </c>
      <c r="B291" s="3" t="s">
        <v>725</v>
      </c>
      <c r="C291" s="3" t="s">
        <v>635</v>
      </c>
      <c r="D291" s="3" t="s">
        <v>636</v>
      </c>
      <c r="E291" s="3" t="s">
        <v>120</v>
      </c>
      <c r="F291" s="3">
        <v>24.98</v>
      </c>
      <c r="G291" s="3" t="s">
        <v>121</v>
      </c>
      <c r="H291" s="3"/>
      <c r="I291" s="3" t="s">
        <v>122</v>
      </c>
      <c r="J291" s="3">
        <v>0</v>
      </c>
      <c r="K291" s="3">
        <v>0</v>
      </c>
      <c r="L291" s="3">
        <v>0</v>
      </c>
      <c r="M291" s="3">
        <v>0</v>
      </c>
      <c r="N291" s="3">
        <v>0</v>
      </c>
      <c r="O291" s="3">
        <v>0.17</v>
      </c>
      <c r="P291" s="3">
        <v>0</v>
      </c>
      <c r="Q291" s="3">
        <v>0</v>
      </c>
      <c r="R291" s="3">
        <v>0</v>
      </c>
    </row>
    <row r="292" spans="1:18">
      <c r="A292" s="3" t="s">
        <v>726</v>
      </c>
      <c r="B292" s="3" t="s">
        <v>727</v>
      </c>
      <c r="C292" s="3" t="s">
        <v>638</v>
      </c>
      <c r="D292" s="3" t="s">
        <v>639</v>
      </c>
      <c r="E292" s="3" t="s">
        <v>120</v>
      </c>
      <c r="F292" s="3">
        <v>24.98</v>
      </c>
      <c r="G292" s="3" t="s">
        <v>121</v>
      </c>
      <c r="H292" s="3"/>
      <c r="I292" s="3" t="s">
        <v>122</v>
      </c>
      <c r="J292" s="3">
        <v>0</v>
      </c>
      <c r="K292" s="3">
        <v>0</v>
      </c>
      <c r="L292" s="3">
        <v>0</v>
      </c>
      <c r="M292" s="3">
        <v>0</v>
      </c>
      <c r="N292" s="3">
        <v>0</v>
      </c>
      <c r="O292" s="3">
        <v>0.17</v>
      </c>
      <c r="P292" s="3">
        <v>0</v>
      </c>
      <c r="Q292" s="3">
        <v>0</v>
      </c>
      <c r="R292" s="3">
        <v>0</v>
      </c>
    </row>
    <row r="293" spans="1:18">
      <c r="A293" s="3" t="s">
        <v>728</v>
      </c>
      <c r="B293" s="3" t="s">
        <v>729</v>
      </c>
      <c r="C293" s="3" t="s">
        <v>641</v>
      </c>
      <c r="D293" s="3" t="s">
        <v>642</v>
      </c>
      <c r="E293" s="3" t="s">
        <v>120</v>
      </c>
      <c r="F293" s="3">
        <v>24.98</v>
      </c>
      <c r="G293" s="3" t="s">
        <v>121</v>
      </c>
      <c r="H293" s="3"/>
      <c r="I293" s="3" t="s">
        <v>122</v>
      </c>
      <c r="J293" s="3">
        <v>0</v>
      </c>
      <c r="K293" s="3">
        <v>0</v>
      </c>
      <c r="L293" s="3">
        <v>0</v>
      </c>
      <c r="M293" s="3">
        <v>0</v>
      </c>
      <c r="N293" s="3">
        <v>0</v>
      </c>
      <c r="O293" s="3">
        <v>0.17</v>
      </c>
      <c r="P293" s="3">
        <v>0</v>
      </c>
      <c r="Q293" s="3">
        <v>0</v>
      </c>
      <c r="R293" s="3">
        <v>0</v>
      </c>
    </row>
    <row r="294" spans="1:18">
      <c r="A294" s="3" t="s">
        <v>730</v>
      </c>
      <c r="B294" s="3" t="s">
        <v>731</v>
      </c>
      <c r="C294" s="3" t="s">
        <v>644</v>
      </c>
      <c r="D294" s="3" t="s">
        <v>645</v>
      </c>
      <c r="E294" s="3" t="s">
        <v>120</v>
      </c>
      <c r="F294" s="3">
        <v>24.98</v>
      </c>
      <c r="G294" s="3" t="s">
        <v>121</v>
      </c>
      <c r="H294" s="3"/>
      <c r="I294" s="3" t="s">
        <v>122</v>
      </c>
      <c r="J294" s="3">
        <v>0</v>
      </c>
      <c r="K294" s="3">
        <v>0</v>
      </c>
      <c r="L294" s="3">
        <v>0</v>
      </c>
      <c r="M294" s="3">
        <v>0</v>
      </c>
      <c r="N294" s="3">
        <v>0</v>
      </c>
      <c r="O294" s="3">
        <v>0.17</v>
      </c>
      <c r="P294" s="3">
        <v>0</v>
      </c>
      <c r="Q294" s="3">
        <v>0</v>
      </c>
      <c r="R294" s="3">
        <v>0</v>
      </c>
    </row>
    <row r="295" spans="1:18">
      <c r="A295" s="3" t="s">
        <v>732</v>
      </c>
      <c r="B295" s="3" t="s">
        <v>733</v>
      </c>
      <c r="C295" s="3" t="s">
        <v>647</v>
      </c>
      <c r="D295" s="3" t="s">
        <v>648</v>
      </c>
      <c r="E295" s="3" t="s">
        <v>120</v>
      </c>
      <c r="F295" s="3">
        <v>24.98</v>
      </c>
      <c r="G295" s="3" t="s">
        <v>121</v>
      </c>
      <c r="H295" s="3"/>
      <c r="I295" s="3" t="s">
        <v>122</v>
      </c>
      <c r="J295" s="3">
        <v>0</v>
      </c>
      <c r="K295" s="3">
        <v>0</v>
      </c>
      <c r="L295" s="3">
        <v>0</v>
      </c>
      <c r="M295" s="3">
        <v>0</v>
      </c>
      <c r="N295" s="3">
        <v>0</v>
      </c>
      <c r="O295" s="3">
        <v>0.17</v>
      </c>
      <c r="P295" s="3">
        <v>0</v>
      </c>
      <c r="Q295" s="3">
        <v>0</v>
      </c>
      <c r="R295" s="3">
        <v>0</v>
      </c>
    </row>
    <row r="296" spans="1:18">
      <c r="A296" s="3" t="s">
        <v>734</v>
      </c>
      <c r="B296" s="3" t="s">
        <v>735</v>
      </c>
      <c r="C296" s="3" t="s">
        <v>650</v>
      </c>
      <c r="D296" s="3" t="s">
        <v>651</v>
      </c>
      <c r="E296" s="3" t="s">
        <v>120</v>
      </c>
      <c r="F296" s="3">
        <v>24.98</v>
      </c>
      <c r="G296" s="3" t="s">
        <v>121</v>
      </c>
      <c r="H296" s="3"/>
      <c r="I296" s="3" t="s">
        <v>122</v>
      </c>
      <c r="J296" s="3">
        <v>0</v>
      </c>
      <c r="K296" s="3">
        <v>0</v>
      </c>
      <c r="L296" s="3">
        <v>0</v>
      </c>
      <c r="M296" s="3">
        <v>0</v>
      </c>
      <c r="N296" s="3">
        <v>0</v>
      </c>
      <c r="O296" s="3">
        <v>0.17</v>
      </c>
      <c r="P296" s="3">
        <v>0</v>
      </c>
      <c r="Q296" s="3">
        <v>0</v>
      </c>
      <c r="R296" s="3">
        <v>0</v>
      </c>
    </row>
    <row r="297" spans="1:18">
      <c r="A297" s="3" t="s">
        <v>736</v>
      </c>
      <c r="B297" s="3" t="s">
        <v>737</v>
      </c>
      <c r="C297" s="3" t="s">
        <v>653</v>
      </c>
      <c r="D297" s="3" t="s">
        <v>654</v>
      </c>
      <c r="E297" s="3" t="s">
        <v>120</v>
      </c>
      <c r="F297" s="3">
        <v>24.98</v>
      </c>
      <c r="G297" s="3" t="s">
        <v>121</v>
      </c>
      <c r="H297" s="3"/>
      <c r="I297" s="3" t="s">
        <v>122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0.17</v>
      </c>
      <c r="P297" s="3">
        <v>0</v>
      </c>
      <c r="Q297" s="3">
        <v>0</v>
      </c>
      <c r="R297" s="3">
        <v>0</v>
      </c>
    </row>
    <row r="298" spans="1:18">
      <c r="A298" s="3" t="s">
        <v>738</v>
      </c>
      <c r="B298" s="3" t="s">
        <v>739</v>
      </c>
      <c r="C298" s="3" t="s">
        <v>656</v>
      </c>
      <c r="D298" s="3" t="s">
        <v>657</v>
      </c>
      <c r="E298" s="3" t="s">
        <v>120</v>
      </c>
      <c r="F298" s="3">
        <v>24.98</v>
      </c>
      <c r="G298" s="3" t="s">
        <v>121</v>
      </c>
      <c r="H298" s="3"/>
      <c r="I298" s="3" t="s">
        <v>122</v>
      </c>
      <c r="J298" s="3">
        <v>0</v>
      </c>
      <c r="K298" s="3">
        <v>0</v>
      </c>
      <c r="L298" s="3">
        <v>0</v>
      </c>
      <c r="M298" s="3">
        <v>0</v>
      </c>
      <c r="N298" s="3">
        <v>0</v>
      </c>
      <c r="O298" s="3">
        <v>0.17</v>
      </c>
      <c r="P298" s="3">
        <v>0</v>
      </c>
      <c r="Q298" s="3">
        <v>0</v>
      </c>
      <c r="R298" s="3">
        <v>0</v>
      </c>
    </row>
    <row r="299" spans="1:18">
      <c r="A299" s="3" t="s">
        <v>740</v>
      </c>
      <c r="B299" s="3" t="s">
        <v>741</v>
      </c>
      <c r="C299" s="3" t="s">
        <v>659</v>
      </c>
      <c r="D299" s="3" t="s">
        <v>660</v>
      </c>
      <c r="E299" s="3" t="s">
        <v>120</v>
      </c>
      <c r="F299" s="3">
        <v>24.98</v>
      </c>
      <c r="G299" s="3" t="s">
        <v>121</v>
      </c>
      <c r="H299" s="3"/>
      <c r="I299" s="3" t="s">
        <v>122</v>
      </c>
      <c r="J299" s="3">
        <v>0</v>
      </c>
      <c r="K299" s="3">
        <v>0</v>
      </c>
      <c r="L299" s="3">
        <v>0</v>
      </c>
      <c r="M299" s="3">
        <v>0</v>
      </c>
      <c r="N299" s="3">
        <v>0</v>
      </c>
      <c r="O299" s="3">
        <v>0.17</v>
      </c>
      <c r="P299" s="3">
        <v>0</v>
      </c>
      <c r="Q299" s="3">
        <v>0</v>
      </c>
      <c r="R299" s="3">
        <v>0</v>
      </c>
    </row>
    <row r="300" spans="1:18">
      <c r="A300" s="3" t="s">
        <v>742</v>
      </c>
      <c r="B300" s="3" t="s">
        <v>743</v>
      </c>
      <c r="C300" s="3" t="s">
        <v>662</v>
      </c>
      <c r="D300" s="3" t="s">
        <v>663</v>
      </c>
      <c r="E300" s="3" t="s">
        <v>120</v>
      </c>
      <c r="F300" s="3">
        <v>24.98</v>
      </c>
      <c r="G300" s="3" t="s">
        <v>121</v>
      </c>
      <c r="H300" s="3"/>
      <c r="I300" s="3" t="s">
        <v>122</v>
      </c>
      <c r="J300" s="3">
        <v>0</v>
      </c>
      <c r="K300" s="3">
        <v>0</v>
      </c>
      <c r="L300" s="3">
        <v>0</v>
      </c>
      <c r="M300" s="3">
        <v>0</v>
      </c>
      <c r="N300" s="3">
        <v>0</v>
      </c>
      <c r="O300" s="3">
        <v>0.17</v>
      </c>
      <c r="P300" s="3">
        <v>0</v>
      </c>
      <c r="Q300" s="3">
        <v>0</v>
      </c>
      <c r="R300" s="3">
        <v>0</v>
      </c>
    </row>
    <row r="301" spans="1:18">
      <c r="A301" s="3" t="s">
        <v>744</v>
      </c>
      <c r="B301" s="3" t="s">
        <v>745</v>
      </c>
      <c r="C301" s="3" t="s">
        <v>665</v>
      </c>
      <c r="D301" s="3" t="s">
        <v>666</v>
      </c>
      <c r="E301" s="3" t="s">
        <v>120</v>
      </c>
      <c r="F301" s="3">
        <v>24.98</v>
      </c>
      <c r="G301" s="3" t="s">
        <v>121</v>
      </c>
      <c r="H301" s="3"/>
      <c r="I301" s="3" t="s">
        <v>122</v>
      </c>
      <c r="J301" s="3">
        <v>5</v>
      </c>
      <c r="K301" s="3">
        <v>5</v>
      </c>
      <c r="L301" s="3">
        <v>0</v>
      </c>
      <c r="M301" s="3">
        <v>0</v>
      </c>
      <c r="N301" s="3">
        <v>5</v>
      </c>
      <c r="O301" s="3">
        <v>0.17</v>
      </c>
      <c r="P301" s="3">
        <v>0</v>
      </c>
      <c r="Q301" s="3">
        <v>0</v>
      </c>
      <c r="R301" s="3">
        <v>0</v>
      </c>
    </row>
    <row r="302" spans="1:18">
      <c r="A302" s="3" t="s">
        <v>746</v>
      </c>
      <c r="B302" s="3" t="s">
        <v>747</v>
      </c>
      <c r="C302" s="3" t="s">
        <v>668</v>
      </c>
      <c r="D302" s="3" t="s">
        <v>669</v>
      </c>
      <c r="E302" s="3" t="s">
        <v>120</v>
      </c>
      <c r="F302" s="3">
        <v>24.98</v>
      </c>
      <c r="G302" s="3" t="s">
        <v>121</v>
      </c>
      <c r="H302" s="3"/>
      <c r="I302" s="3" t="s">
        <v>122</v>
      </c>
      <c r="J302" s="3">
        <v>6</v>
      </c>
      <c r="K302" s="3">
        <v>6</v>
      </c>
      <c r="L302" s="3">
        <v>0</v>
      </c>
      <c r="M302" s="3">
        <v>0</v>
      </c>
      <c r="N302" s="3">
        <v>6</v>
      </c>
      <c r="O302" s="3">
        <v>0.17</v>
      </c>
      <c r="P302" s="3">
        <v>0</v>
      </c>
      <c r="Q302" s="3">
        <v>0</v>
      </c>
      <c r="R302" s="3">
        <v>0</v>
      </c>
    </row>
    <row r="303" spans="1:18">
      <c r="A303" s="3" t="s">
        <v>748</v>
      </c>
      <c r="B303" s="3" t="s">
        <v>749</v>
      </c>
      <c r="C303" s="3" t="s">
        <v>750</v>
      </c>
      <c r="D303" s="3" t="s">
        <v>672</v>
      </c>
      <c r="E303" s="3" t="s">
        <v>120</v>
      </c>
      <c r="F303" s="3">
        <v>24.98</v>
      </c>
      <c r="G303" s="3" t="s">
        <v>121</v>
      </c>
      <c r="H303" s="3"/>
      <c r="I303" s="3" t="s">
        <v>122</v>
      </c>
      <c r="J303" s="3">
        <v>0</v>
      </c>
      <c r="K303" s="3">
        <v>0</v>
      </c>
      <c r="L303" s="3">
        <v>0</v>
      </c>
      <c r="M303" s="3">
        <v>0</v>
      </c>
      <c r="N303" s="3">
        <v>0</v>
      </c>
      <c r="O303" s="3">
        <v>0</v>
      </c>
      <c r="P303" s="3">
        <v>0</v>
      </c>
      <c r="Q303" s="3">
        <v>0</v>
      </c>
      <c r="R303" s="3">
        <v>0</v>
      </c>
    </row>
    <row r="304" spans="1:18">
      <c r="A304" s="3" t="s">
        <v>751</v>
      </c>
      <c r="B304" s="3" t="s">
        <v>752</v>
      </c>
      <c r="C304" s="3" t="s">
        <v>674</v>
      </c>
      <c r="D304" s="3" t="s">
        <v>675</v>
      </c>
      <c r="E304" s="3" t="s">
        <v>120</v>
      </c>
      <c r="F304" s="3">
        <v>24.98</v>
      </c>
      <c r="G304" s="3" t="s">
        <v>121</v>
      </c>
      <c r="H304" s="3"/>
      <c r="I304" s="3" t="s">
        <v>122</v>
      </c>
      <c r="J304" s="3">
        <v>28</v>
      </c>
      <c r="K304" s="3">
        <v>28</v>
      </c>
      <c r="L304" s="3">
        <v>0</v>
      </c>
      <c r="M304" s="3">
        <v>0</v>
      </c>
      <c r="N304" s="3">
        <v>28</v>
      </c>
      <c r="O304" s="3">
        <v>0.17</v>
      </c>
      <c r="P304" s="3">
        <v>0</v>
      </c>
      <c r="Q304" s="3">
        <v>0</v>
      </c>
      <c r="R304" s="3">
        <v>0</v>
      </c>
    </row>
    <row r="305" spans="1:18">
      <c r="A305" s="3" t="s">
        <v>753</v>
      </c>
      <c r="B305" s="3" t="s">
        <v>754</v>
      </c>
      <c r="C305" s="3" t="s">
        <v>677</v>
      </c>
      <c r="D305" s="3" t="s">
        <v>678</v>
      </c>
      <c r="E305" s="3" t="s">
        <v>120</v>
      </c>
      <c r="F305" s="3">
        <v>24.98</v>
      </c>
      <c r="G305" s="3" t="s">
        <v>121</v>
      </c>
      <c r="H305" s="3"/>
      <c r="I305" s="3" t="s">
        <v>122</v>
      </c>
      <c r="J305" s="3">
        <v>10</v>
      </c>
      <c r="K305" s="3">
        <v>10</v>
      </c>
      <c r="L305" s="3">
        <v>0</v>
      </c>
      <c r="M305" s="3">
        <v>0</v>
      </c>
      <c r="N305" s="3">
        <v>10</v>
      </c>
      <c r="O305" s="3">
        <v>0.17</v>
      </c>
      <c r="P305" s="3">
        <v>0</v>
      </c>
      <c r="Q305" s="3">
        <v>0</v>
      </c>
      <c r="R305" s="3">
        <v>0</v>
      </c>
    </row>
    <row r="306" spans="1:18">
      <c r="A306" s="3" t="s">
        <v>755</v>
      </c>
      <c r="B306" s="3" t="s">
        <v>756</v>
      </c>
      <c r="C306" s="3" t="s">
        <v>680</v>
      </c>
      <c r="D306" s="3" t="s">
        <v>681</v>
      </c>
      <c r="E306" s="3" t="s">
        <v>120</v>
      </c>
      <c r="F306" s="3">
        <v>24.98</v>
      </c>
      <c r="G306" s="3" t="s">
        <v>121</v>
      </c>
      <c r="H306" s="3"/>
      <c r="I306" s="3" t="s">
        <v>122</v>
      </c>
      <c r="J306" s="3">
        <v>0</v>
      </c>
      <c r="K306" s="3">
        <v>0</v>
      </c>
      <c r="L306" s="3">
        <v>0</v>
      </c>
      <c r="M306" s="3">
        <v>0</v>
      </c>
      <c r="N306" s="3">
        <v>0</v>
      </c>
      <c r="O306" s="3">
        <v>0.17</v>
      </c>
      <c r="P306" s="3">
        <v>0</v>
      </c>
      <c r="Q306" s="3">
        <v>0</v>
      </c>
      <c r="R306" s="3">
        <v>0</v>
      </c>
    </row>
    <row r="307" spans="1:18">
      <c r="A307" s="3" t="s">
        <v>757</v>
      </c>
      <c r="B307" s="3" t="s">
        <v>758</v>
      </c>
      <c r="C307" s="3" t="s">
        <v>683</v>
      </c>
      <c r="D307" s="3" t="s">
        <v>684</v>
      </c>
      <c r="E307" s="3" t="s">
        <v>120</v>
      </c>
      <c r="F307" s="3">
        <v>24.98</v>
      </c>
      <c r="G307" s="3" t="s">
        <v>121</v>
      </c>
      <c r="H307" s="3"/>
      <c r="I307" s="3" t="s">
        <v>122</v>
      </c>
      <c r="J307" s="3">
        <v>0</v>
      </c>
      <c r="K307" s="3">
        <v>0</v>
      </c>
      <c r="L307" s="3">
        <v>0</v>
      </c>
      <c r="M307" s="3">
        <v>0</v>
      </c>
      <c r="N307" s="3">
        <v>0</v>
      </c>
      <c r="O307" s="3">
        <v>0.17</v>
      </c>
      <c r="P307" s="3">
        <v>0</v>
      </c>
      <c r="Q307" s="3">
        <v>0</v>
      </c>
      <c r="R307" s="3">
        <v>0</v>
      </c>
    </row>
    <row r="308" spans="1:18">
      <c r="A308" s="3" t="s">
        <v>759</v>
      </c>
      <c r="B308" s="3" t="s">
        <v>760</v>
      </c>
      <c r="C308" s="3" t="s">
        <v>686</v>
      </c>
      <c r="D308" s="3" t="s">
        <v>687</v>
      </c>
      <c r="E308" s="3" t="s">
        <v>120</v>
      </c>
      <c r="F308" s="3">
        <v>24.98</v>
      </c>
      <c r="G308" s="3" t="s">
        <v>121</v>
      </c>
      <c r="H308" s="3"/>
      <c r="I308" s="3" t="s">
        <v>122</v>
      </c>
      <c r="J308" s="3">
        <v>0</v>
      </c>
      <c r="K308" s="3">
        <v>0</v>
      </c>
      <c r="L308" s="3">
        <v>0</v>
      </c>
      <c r="M308" s="3">
        <v>0</v>
      </c>
      <c r="N308" s="3">
        <v>0</v>
      </c>
      <c r="O308" s="3">
        <v>0.17</v>
      </c>
      <c r="P308" s="3">
        <v>0</v>
      </c>
      <c r="Q308" s="3">
        <v>0</v>
      </c>
      <c r="R308" s="3">
        <v>0</v>
      </c>
    </row>
    <row r="309" spans="1:18">
      <c r="A309" s="3" t="s">
        <v>761</v>
      </c>
      <c r="B309" s="3" t="s">
        <v>762</v>
      </c>
      <c r="C309" s="3" t="s">
        <v>689</v>
      </c>
      <c r="D309" s="3" t="s">
        <v>690</v>
      </c>
      <c r="E309" s="3" t="s">
        <v>120</v>
      </c>
      <c r="F309" s="3">
        <v>24.98</v>
      </c>
      <c r="G309" s="3" t="s">
        <v>121</v>
      </c>
      <c r="H309" s="3"/>
      <c r="I309" s="3" t="s">
        <v>122</v>
      </c>
      <c r="J309" s="3">
        <v>0</v>
      </c>
      <c r="K309" s="3">
        <v>0</v>
      </c>
      <c r="L309" s="3">
        <v>0</v>
      </c>
      <c r="M309" s="3">
        <v>0</v>
      </c>
      <c r="N309" s="3">
        <v>0</v>
      </c>
      <c r="O309" s="3">
        <v>0.17</v>
      </c>
      <c r="P309" s="3">
        <v>0</v>
      </c>
      <c r="Q309" s="3">
        <v>0</v>
      </c>
      <c r="R309" s="3">
        <v>0</v>
      </c>
    </row>
    <row r="310" spans="1:18">
      <c r="A310" s="3" t="s">
        <v>763</v>
      </c>
      <c r="B310" s="3" t="s">
        <v>764</v>
      </c>
      <c r="C310" s="3" t="s">
        <v>692</v>
      </c>
      <c r="D310" s="3" t="s">
        <v>693</v>
      </c>
      <c r="E310" s="3" t="s">
        <v>120</v>
      </c>
      <c r="F310" s="3">
        <v>24.98</v>
      </c>
      <c r="G310" s="3" t="s">
        <v>121</v>
      </c>
      <c r="H310" s="3"/>
      <c r="I310" s="3" t="s">
        <v>122</v>
      </c>
      <c r="J310" s="3">
        <v>0</v>
      </c>
      <c r="K310" s="3">
        <v>0</v>
      </c>
      <c r="L310" s="3">
        <v>0</v>
      </c>
      <c r="M310" s="3">
        <v>0</v>
      </c>
      <c r="N310" s="3">
        <v>0</v>
      </c>
      <c r="O310" s="3">
        <v>0.17</v>
      </c>
      <c r="P310" s="3">
        <v>0</v>
      </c>
      <c r="Q310" s="3">
        <v>0</v>
      </c>
      <c r="R310" s="3">
        <v>0</v>
      </c>
    </row>
    <row r="311" spans="1:18">
      <c r="A311" s="3" t="s">
        <v>765</v>
      </c>
      <c r="B311" s="3" t="s">
        <v>514</v>
      </c>
      <c r="C311" s="3" t="s">
        <v>514</v>
      </c>
      <c r="D311" s="3" t="s">
        <v>766</v>
      </c>
      <c r="E311" s="3" t="s">
        <v>120</v>
      </c>
      <c r="F311" s="3">
        <v>39.98</v>
      </c>
      <c r="G311" s="3" t="s">
        <v>121</v>
      </c>
      <c r="H311" s="3"/>
      <c r="I311" s="3" t="s">
        <v>122</v>
      </c>
      <c r="J311" s="3">
        <v>0</v>
      </c>
      <c r="K311" s="3">
        <v>0</v>
      </c>
      <c r="L311" s="3">
        <v>0</v>
      </c>
      <c r="M311" s="3">
        <v>0</v>
      </c>
      <c r="N311" s="3">
        <v>0</v>
      </c>
      <c r="O311" s="3">
        <v>0.09</v>
      </c>
      <c r="P311" s="3">
        <v>0</v>
      </c>
      <c r="Q311" s="3">
        <v>0</v>
      </c>
      <c r="R311" s="3">
        <v>0</v>
      </c>
    </row>
    <row r="312" spans="1:18">
      <c r="A312" s="3" t="s">
        <v>767</v>
      </c>
      <c r="B312" s="3" t="s">
        <v>517</v>
      </c>
      <c r="C312" s="3" t="s">
        <v>517</v>
      </c>
      <c r="D312" s="3" t="s">
        <v>768</v>
      </c>
      <c r="E312" s="3" t="s">
        <v>120</v>
      </c>
      <c r="F312" s="3">
        <v>39.98</v>
      </c>
      <c r="G312" s="3" t="s">
        <v>121</v>
      </c>
      <c r="H312" s="3"/>
      <c r="I312" s="3" t="s">
        <v>122</v>
      </c>
      <c r="J312" s="3">
        <v>1</v>
      </c>
      <c r="K312" s="3">
        <v>0</v>
      </c>
      <c r="L312" s="3">
        <v>0</v>
      </c>
      <c r="M312" s="3">
        <v>1</v>
      </c>
      <c r="N312" s="3">
        <v>1</v>
      </c>
      <c r="O312" s="3">
        <v>0.09</v>
      </c>
      <c r="P312" s="3">
        <v>0</v>
      </c>
      <c r="Q312" s="3">
        <v>0</v>
      </c>
      <c r="R312" s="3">
        <v>0</v>
      </c>
    </row>
    <row r="313" spans="1:18">
      <c r="A313" s="3" t="s">
        <v>769</v>
      </c>
      <c r="B313" s="3" t="s">
        <v>520</v>
      </c>
      <c r="C313" s="3" t="s">
        <v>520</v>
      </c>
      <c r="D313" s="3" t="s">
        <v>770</v>
      </c>
      <c r="E313" s="3" t="s">
        <v>120</v>
      </c>
      <c r="F313" s="3">
        <v>39.98</v>
      </c>
      <c r="G313" s="3" t="s">
        <v>121</v>
      </c>
      <c r="H313" s="3"/>
      <c r="I313" s="3" t="s">
        <v>122</v>
      </c>
      <c r="J313" s="3">
        <v>1</v>
      </c>
      <c r="K313" s="3">
        <v>1</v>
      </c>
      <c r="L313" s="3">
        <v>0</v>
      </c>
      <c r="M313" s="3">
        <v>0</v>
      </c>
      <c r="N313" s="3">
        <v>1</v>
      </c>
      <c r="O313" s="3">
        <v>0.09</v>
      </c>
      <c r="P313" s="3">
        <v>0</v>
      </c>
      <c r="Q313" s="3">
        <v>0</v>
      </c>
      <c r="R313" s="3">
        <v>0</v>
      </c>
    </row>
    <row r="314" spans="1:18">
      <c r="A314" s="3" t="s">
        <v>771</v>
      </c>
      <c r="B314" s="3" t="s">
        <v>523</v>
      </c>
      <c r="C314" s="3" t="s">
        <v>523</v>
      </c>
      <c r="D314" s="3" t="s">
        <v>772</v>
      </c>
      <c r="E314" s="3" t="s">
        <v>120</v>
      </c>
      <c r="F314" s="3">
        <v>39.98</v>
      </c>
      <c r="G314" s="3" t="s">
        <v>121</v>
      </c>
      <c r="H314" s="3"/>
      <c r="I314" s="3" t="s">
        <v>122</v>
      </c>
      <c r="J314" s="3">
        <v>4</v>
      </c>
      <c r="K314" s="3">
        <v>4</v>
      </c>
      <c r="L314" s="3">
        <v>0</v>
      </c>
      <c r="M314" s="3">
        <v>0</v>
      </c>
      <c r="N314" s="3">
        <v>4</v>
      </c>
      <c r="O314" s="3">
        <v>0.09</v>
      </c>
      <c r="P314" s="3">
        <v>0</v>
      </c>
      <c r="Q314" s="3">
        <v>0</v>
      </c>
      <c r="R314" s="3">
        <v>0</v>
      </c>
    </row>
    <row r="315" spans="1:18">
      <c r="A315" s="3" t="s">
        <v>773</v>
      </c>
      <c r="B315" s="3" t="s">
        <v>525</v>
      </c>
      <c r="C315" s="3" t="s">
        <v>525</v>
      </c>
      <c r="D315" s="3" t="s">
        <v>774</v>
      </c>
      <c r="E315" s="3" t="s">
        <v>120</v>
      </c>
      <c r="F315" s="3">
        <v>39.98</v>
      </c>
      <c r="G315" s="3" t="s">
        <v>121</v>
      </c>
      <c r="H315" s="3"/>
      <c r="I315" s="3" t="s">
        <v>122</v>
      </c>
      <c r="J315" s="3">
        <v>0</v>
      </c>
      <c r="K315" s="3">
        <v>0</v>
      </c>
      <c r="L315" s="3">
        <v>0</v>
      </c>
      <c r="M315" s="3">
        <v>0</v>
      </c>
      <c r="N315" s="3">
        <v>0</v>
      </c>
      <c r="O315" s="3">
        <v>0.09</v>
      </c>
      <c r="P315" s="3">
        <v>0</v>
      </c>
      <c r="Q315" s="3">
        <v>0</v>
      </c>
      <c r="R315" s="3">
        <v>0</v>
      </c>
    </row>
    <row r="316" spans="1:18">
      <c r="A316" s="3" t="s">
        <v>775</v>
      </c>
      <c r="B316" s="3" t="s">
        <v>527</v>
      </c>
      <c r="C316" s="3" t="s">
        <v>527</v>
      </c>
      <c r="D316" s="3" t="s">
        <v>776</v>
      </c>
      <c r="E316" s="3" t="s">
        <v>120</v>
      </c>
      <c r="F316" s="3">
        <v>39.98</v>
      </c>
      <c r="G316" s="3" t="s">
        <v>121</v>
      </c>
      <c r="H316" s="3"/>
      <c r="I316" s="3" t="s">
        <v>122</v>
      </c>
      <c r="J316" s="3">
        <v>5</v>
      </c>
      <c r="K316" s="3">
        <v>5</v>
      </c>
      <c r="L316" s="3">
        <v>0</v>
      </c>
      <c r="M316" s="3">
        <v>0</v>
      </c>
      <c r="N316" s="3">
        <v>5</v>
      </c>
      <c r="O316" s="3">
        <v>0.09</v>
      </c>
      <c r="P316" s="3">
        <v>0</v>
      </c>
      <c r="Q316" s="3">
        <v>0</v>
      </c>
      <c r="R316" s="3">
        <v>0</v>
      </c>
    </row>
    <row r="317" spans="1:18">
      <c r="A317" s="3" t="s">
        <v>777</v>
      </c>
      <c r="B317" s="3" t="s">
        <v>529</v>
      </c>
      <c r="C317" s="3" t="s">
        <v>529</v>
      </c>
      <c r="D317" s="3" t="s">
        <v>778</v>
      </c>
      <c r="E317" s="3" t="s">
        <v>120</v>
      </c>
      <c r="F317" s="3">
        <v>39.98</v>
      </c>
      <c r="G317" s="3" t="s">
        <v>121</v>
      </c>
      <c r="H317" s="3"/>
      <c r="I317" s="3" t="s">
        <v>122</v>
      </c>
      <c r="J317" s="3">
        <v>3</v>
      </c>
      <c r="K317" s="3">
        <v>3</v>
      </c>
      <c r="L317" s="3">
        <v>0</v>
      </c>
      <c r="M317" s="3">
        <v>0</v>
      </c>
      <c r="N317" s="3">
        <v>3</v>
      </c>
      <c r="O317" s="3">
        <v>0.09</v>
      </c>
      <c r="P317" s="3">
        <v>0</v>
      </c>
      <c r="Q317" s="3">
        <v>0</v>
      </c>
      <c r="R317" s="3">
        <v>0</v>
      </c>
    </row>
    <row r="318" spans="1:18">
      <c r="A318" s="3" t="s">
        <v>779</v>
      </c>
      <c r="B318" s="3" t="s">
        <v>531</v>
      </c>
      <c r="C318" s="3" t="s">
        <v>531</v>
      </c>
      <c r="D318" s="3" t="s">
        <v>780</v>
      </c>
      <c r="E318" s="3" t="s">
        <v>120</v>
      </c>
      <c r="F318" s="3">
        <v>39.98</v>
      </c>
      <c r="G318" s="3" t="s">
        <v>121</v>
      </c>
      <c r="H318" s="3"/>
      <c r="I318" s="3" t="s">
        <v>122</v>
      </c>
      <c r="J318" s="3">
        <v>0</v>
      </c>
      <c r="K318" s="3">
        <v>0</v>
      </c>
      <c r="L318" s="3">
        <v>0</v>
      </c>
      <c r="M318" s="3">
        <v>0</v>
      </c>
      <c r="N318" s="3">
        <v>0</v>
      </c>
      <c r="O318" s="3">
        <v>0.09</v>
      </c>
      <c r="P318" s="3">
        <v>0</v>
      </c>
      <c r="Q318" s="3">
        <v>0</v>
      </c>
      <c r="R318" s="3">
        <v>0</v>
      </c>
    </row>
    <row r="319" spans="1:18">
      <c r="A319" s="3" t="s">
        <v>781</v>
      </c>
      <c r="B319" s="3" t="s">
        <v>533</v>
      </c>
      <c r="C319" s="3" t="s">
        <v>533</v>
      </c>
      <c r="D319" s="3" t="s">
        <v>782</v>
      </c>
      <c r="E319" s="3" t="s">
        <v>120</v>
      </c>
      <c r="F319" s="3">
        <v>39.98</v>
      </c>
      <c r="G319" s="3" t="s">
        <v>121</v>
      </c>
      <c r="H319" s="3"/>
      <c r="I319" s="3" t="s">
        <v>122</v>
      </c>
      <c r="J319" s="3">
        <v>4</v>
      </c>
      <c r="K319" s="3">
        <v>4</v>
      </c>
      <c r="L319" s="3">
        <v>0</v>
      </c>
      <c r="M319" s="3">
        <v>0</v>
      </c>
      <c r="N319" s="3">
        <v>4</v>
      </c>
      <c r="O319" s="3">
        <v>0.09</v>
      </c>
      <c r="P319" s="3">
        <v>0</v>
      </c>
      <c r="Q319" s="3">
        <v>0</v>
      </c>
      <c r="R319" s="3">
        <v>0</v>
      </c>
    </row>
    <row r="320" spans="1:18">
      <c r="A320" s="3" t="s">
        <v>783</v>
      </c>
      <c r="B320" s="3" t="s">
        <v>535</v>
      </c>
      <c r="C320" s="3" t="s">
        <v>535</v>
      </c>
      <c r="D320" s="3" t="s">
        <v>784</v>
      </c>
      <c r="E320" s="3" t="s">
        <v>120</v>
      </c>
      <c r="F320" s="3">
        <v>39.98</v>
      </c>
      <c r="G320" s="3" t="s">
        <v>121</v>
      </c>
      <c r="H320" s="3"/>
      <c r="I320" s="3" t="s">
        <v>122</v>
      </c>
      <c r="J320" s="3">
        <v>2</v>
      </c>
      <c r="K320" s="3">
        <v>2</v>
      </c>
      <c r="L320" s="3">
        <v>0</v>
      </c>
      <c r="M320" s="3">
        <v>0</v>
      </c>
      <c r="N320" s="3">
        <v>2</v>
      </c>
      <c r="O320" s="3">
        <v>0.09</v>
      </c>
      <c r="P320" s="3">
        <v>0</v>
      </c>
      <c r="Q320" s="3">
        <v>0</v>
      </c>
      <c r="R320" s="3">
        <v>0</v>
      </c>
    </row>
    <row r="321" spans="1:18">
      <c r="A321" s="3" t="s">
        <v>785</v>
      </c>
      <c r="B321" s="3" t="s">
        <v>537</v>
      </c>
      <c r="C321" s="3" t="s">
        <v>537</v>
      </c>
      <c r="D321" s="3" t="s">
        <v>786</v>
      </c>
      <c r="E321" s="3" t="s">
        <v>120</v>
      </c>
      <c r="F321" s="3">
        <v>39.98</v>
      </c>
      <c r="G321" s="3" t="s">
        <v>121</v>
      </c>
      <c r="H321" s="3"/>
      <c r="I321" s="3" t="s">
        <v>122</v>
      </c>
      <c r="J321" s="3">
        <v>7</v>
      </c>
      <c r="K321" s="3">
        <v>7</v>
      </c>
      <c r="L321" s="3">
        <v>0</v>
      </c>
      <c r="M321" s="3">
        <v>0</v>
      </c>
      <c r="N321" s="3">
        <v>7</v>
      </c>
      <c r="O321" s="3">
        <v>0.09</v>
      </c>
      <c r="P321" s="3">
        <v>0</v>
      </c>
      <c r="Q321" s="3">
        <v>0</v>
      </c>
      <c r="R321" s="3">
        <v>0</v>
      </c>
    </row>
    <row r="322" spans="1:18">
      <c r="A322" s="3" t="s">
        <v>787</v>
      </c>
      <c r="B322" s="3" t="s">
        <v>539</v>
      </c>
      <c r="C322" s="3" t="s">
        <v>539</v>
      </c>
      <c r="D322" s="3" t="s">
        <v>788</v>
      </c>
      <c r="E322" s="3" t="s">
        <v>120</v>
      </c>
      <c r="F322" s="3">
        <v>39.98</v>
      </c>
      <c r="G322" s="3" t="s">
        <v>121</v>
      </c>
      <c r="H322" s="3"/>
      <c r="I322" s="3" t="s">
        <v>122</v>
      </c>
      <c r="J322" s="3">
        <v>0</v>
      </c>
      <c r="K322" s="3">
        <v>0</v>
      </c>
      <c r="L322" s="3">
        <v>0</v>
      </c>
      <c r="M322" s="3">
        <v>0</v>
      </c>
      <c r="N322" s="3">
        <v>0</v>
      </c>
      <c r="O322" s="3">
        <v>0.09</v>
      </c>
      <c r="P322" s="3">
        <v>0</v>
      </c>
      <c r="Q322" s="3">
        <v>0</v>
      </c>
      <c r="R322" s="3">
        <v>0</v>
      </c>
    </row>
    <row r="323" spans="1:18">
      <c r="A323" s="3" t="s">
        <v>789</v>
      </c>
      <c r="B323" s="3" t="s">
        <v>542</v>
      </c>
      <c r="C323" s="3" t="s">
        <v>542</v>
      </c>
      <c r="D323" s="3" t="s">
        <v>790</v>
      </c>
      <c r="E323" s="3" t="s">
        <v>120</v>
      </c>
      <c r="F323" s="3">
        <v>39.98</v>
      </c>
      <c r="G323" s="3" t="s">
        <v>121</v>
      </c>
      <c r="H323" s="3"/>
      <c r="I323" s="3" t="s">
        <v>122</v>
      </c>
      <c r="J323" s="3">
        <v>0</v>
      </c>
      <c r="K323" s="3">
        <v>0</v>
      </c>
      <c r="L323" s="3">
        <v>0</v>
      </c>
      <c r="M323" s="3">
        <v>0</v>
      </c>
      <c r="N323" s="3">
        <v>0</v>
      </c>
      <c r="O323" s="3">
        <v>0.09</v>
      </c>
      <c r="P323" s="3">
        <v>0</v>
      </c>
      <c r="Q323" s="3">
        <v>0</v>
      </c>
      <c r="R323" s="3">
        <v>0</v>
      </c>
    </row>
    <row r="324" spans="1:18">
      <c r="A324" s="3" t="s">
        <v>791</v>
      </c>
      <c r="B324" s="3" t="s">
        <v>545</v>
      </c>
      <c r="C324" s="3" t="s">
        <v>545</v>
      </c>
      <c r="D324" s="3" t="s">
        <v>792</v>
      </c>
      <c r="E324" s="3" t="s">
        <v>120</v>
      </c>
      <c r="F324" s="3">
        <v>39.98</v>
      </c>
      <c r="G324" s="3" t="s">
        <v>121</v>
      </c>
      <c r="H324" s="3"/>
      <c r="I324" s="3" t="s">
        <v>122</v>
      </c>
      <c r="J324" s="3">
        <v>2</v>
      </c>
      <c r="K324" s="3">
        <v>2</v>
      </c>
      <c r="L324" s="3">
        <v>0</v>
      </c>
      <c r="M324" s="3">
        <v>0</v>
      </c>
      <c r="N324" s="3">
        <v>2</v>
      </c>
      <c r="O324" s="3">
        <v>0.09</v>
      </c>
      <c r="P324" s="3">
        <v>0</v>
      </c>
      <c r="Q324" s="3">
        <v>0</v>
      </c>
      <c r="R324" s="3">
        <v>0</v>
      </c>
    </row>
    <row r="325" spans="1:18">
      <c r="A325" s="3" t="s">
        <v>793</v>
      </c>
      <c r="B325" s="3" t="s">
        <v>547</v>
      </c>
      <c r="C325" s="3" t="s">
        <v>547</v>
      </c>
      <c r="D325" s="3" t="s">
        <v>794</v>
      </c>
      <c r="E325" s="3" t="s">
        <v>120</v>
      </c>
      <c r="F325" s="3">
        <v>39.98</v>
      </c>
      <c r="G325" s="3" t="s">
        <v>121</v>
      </c>
      <c r="H325" s="3"/>
      <c r="I325" s="3" t="s">
        <v>122</v>
      </c>
      <c r="J325" s="3">
        <v>4</v>
      </c>
      <c r="K325" s="3">
        <v>4</v>
      </c>
      <c r="L325" s="3">
        <v>0</v>
      </c>
      <c r="M325" s="3">
        <v>0</v>
      </c>
      <c r="N325" s="3">
        <v>4</v>
      </c>
      <c r="O325" s="3">
        <v>0.09</v>
      </c>
      <c r="P325" s="3">
        <v>0</v>
      </c>
      <c r="Q325" s="3">
        <v>0</v>
      </c>
      <c r="R325" s="3">
        <v>0</v>
      </c>
    </row>
    <row r="326" spans="1:18">
      <c r="A326" s="3" t="s">
        <v>795</v>
      </c>
      <c r="B326" s="3" t="s">
        <v>549</v>
      </c>
      <c r="C326" s="3" t="s">
        <v>549</v>
      </c>
      <c r="D326" s="3" t="s">
        <v>796</v>
      </c>
      <c r="E326" s="3" t="s">
        <v>120</v>
      </c>
      <c r="F326" s="3">
        <v>39.98</v>
      </c>
      <c r="G326" s="3" t="s">
        <v>121</v>
      </c>
      <c r="H326" s="3"/>
      <c r="I326" s="3" t="s">
        <v>122</v>
      </c>
      <c r="J326" s="3">
        <v>5</v>
      </c>
      <c r="K326" s="3">
        <v>5</v>
      </c>
      <c r="L326" s="3">
        <v>0</v>
      </c>
      <c r="M326" s="3">
        <v>0</v>
      </c>
      <c r="N326" s="3">
        <v>5</v>
      </c>
      <c r="O326" s="3">
        <v>0.09</v>
      </c>
      <c r="P326" s="3">
        <v>0</v>
      </c>
      <c r="Q326" s="3">
        <v>0</v>
      </c>
      <c r="R326" s="3">
        <v>0</v>
      </c>
    </row>
    <row r="327" spans="1:18">
      <c r="A327" s="3" t="s">
        <v>797</v>
      </c>
      <c r="B327" s="3" t="s">
        <v>552</v>
      </c>
      <c r="C327" s="3" t="s">
        <v>552</v>
      </c>
      <c r="D327" s="3" t="s">
        <v>798</v>
      </c>
      <c r="E327" s="3" t="s">
        <v>120</v>
      </c>
      <c r="F327" s="3">
        <v>39.98</v>
      </c>
      <c r="G327" s="3" t="s">
        <v>121</v>
      </c>
      <c r="H327" s="3"/>
      <c r="I327" s="3" t="s">
        <v>122</v>
      </c>
      <c r="J327" s="3">
        <v>0</v>
      </c>
      <c r="K327" s="3">
        <v>0</v>
      </c>
      <c r="L327" s="3">
        <v>0</v>
      </c>
      <c r="M327" s="3">
        <v>0</v>
      </c>
      <c r="N327" s="3">
        <v>0</v>
      </c>
      <c r="O327" s="3">
        <v>0.09</v>
      </c>
      <c r="P327" s="3">
        <v>0</v>
      </c>
      <c r="Q327" s="3">
        <v>0</v>
      </c>
      <c r="R327" s="3">
        <v>0</v>
      </c>
    </row>
    <row r="328" spans="1:18">
      <c r="A328" s="3" t="s">
        <v>799</v>
      </c>
      <c r="B328" s="3" t="s">
        <v>554</v>
      </c>
      <c r="C328" s="3" t="s">
        <v>554</v>
      </c>
      <c r="D328" s="3" t="s">
        <v>800</v>
      </c>
      <c r="E328" s="3" t="s">
        <v>120</v>
      </c>
      <c r="F328" s="3">
        <v>39.98</v>
      </c>
      <c r="G328" s="3" t="s">
        <v>121</v>
      </c>
      <c r="H328" s="3"/>
      <c r="I328" s="3" t="s">
        <v>122</v>
      </c>
      <c r="J328" s="3">
        <v>0</v>
      </c>
      <c r="K328" s="3">
        <v>0</v>
      </c>
      <c r="L328" s="3">
        <v>0</v>
      </c>
      <c r="M328" s="3">
        <v>0</v>
      </c>
      <c r="N328" s="3">
        <v>0</v>
      </c>
      <c r="O328" s="3">
        <v>0.09</v>
      </c>
      <c r="P328" s="3">
        <v>0</v>
      </c>
      <c r="Q328" s="3">
        <v>0</v>
      </c>
      <c r="R328" s="3">
        <v>0</v>
      </c>
    </row>
    <row r="329" spans="1:18">
      <c r="A329" s="3" t="s">
        <v>801</v>
      </c>
      <c r="B329" s="3" t="s">
        <v>556</v>
      </c>
      <c r="C329" s="3" t="s">
        <v>556</v>
      </c>
      <c r="D329" s="3" t="s">
        <v>802</v>
      </c>
      <c r="E329" s="3" t="s">
        <v>120</v>
      </c>
      <c r="F329" s="3">
        <v>39.98</v>
      </c>
      <c r="G329" s="3" t="s">
        <v>121</v>
      </c>
      <c r="H329" s="3"/>
      <c r="I329" s="3" t="s">
        <v>122</v>
      </c>
      <c r="J329" s="3">
        <v>10</v>
      </c>
      <c r="K329" s="3">
        <v>10</v>
      </c>
      <c r="L329" s="3">
        <v>0</v>
      </c>
      <c r="M329" s="3">
        <v>0</v>
      </c>
      <c r="N329" s="3">
        <v>10</v>
      </c>
      <c r="O329" s="3">
        <v>0.09</v>
      </c>
      <c r="P329" s="3">
        <v>0</v>
      </c>
      <c r="Q329" s="3">
        <v>0</v>
      </c>
      <c r="R329" s="3">
        <v>0</v>
      </c>
    </row>
    <row r="330" spans="1:18">
      <c r="A330" s="3" t="s">
        <v>803</v>
      </c>
      <c r="B330" s="3" t="s">
        <v>558</v>
      </c>
      <c r="C330" s="3" t="s">
        <v>558</v>
      </c>
      <c r="D330" s="3" t="s">
        <v>588</v>
      </c>
      <c r="E330" s="3" t="s">
        <v>120</v>
      </c>
      <c r="F330" s="3">
        <v>22.98</v>
      </c>
      <c r="G330" s="3" t="s">
        <v>121</v>
      </c>
      <c r="H330" s="3"/>
      <c r="I330" s="3" t="s">
        <v>122</v>
      </c>
      <c r="J330" s="3">
        <v>6</v>
      </c>
      <c r="K330" s="3">
        <v>6</v>
      </c>
      <c r="L330" s="3">
        <v>0</v>
      </c>
      <c r="M330" s="3">
        <v>0</v>
      </c>
      <c r="N330" s="3">
        <v>6</v>
      </c>
      <c r="O330" s="3">
        <v>0.09</v>
      </c>
      <c r="P330" s="3">
        <v>0</v>
      </c>
      <c r="Q330" s="3">
        <v>0</v>
      </c>
      <c r="R330" s="3">
        <v>0</v>
      </c>
    </row>
    <row r="331" spans="1:18">
      <c r="A331" s="3" t="s">
        <v>804</v>
      </c>
      <c r="B331" s="3" t="s">
        <v>561</v>
      </c>
      <c r="C331" s="3" t="s">
        <v>561</v>
      </c>
      <c r="D331" s="3" t="s">
        <v>805</v>
      </c>
      <c r="E331" s="3" t="s">
        <v>120</v>
      </c>
      <c r="F331" s="3">
        <v>39.98</v>
      </c>
      <c r="G331" s="3" t="s">
        <v>121</v>
      </c>
      <c r="H331" s="3"/>
      <c r="I331" s="3" t="s">
        <v>122</v>
      </c>
      <c r="J331" s="3">
        <v>4</v>
      </c>
      <c r="K331" s="3">
        <v>4</v>
      </c>
      <c r="L331" s="3">
        <v>0</v>
      </c>
      <c r="M331" s="3">
        <v>0</v>
      </c>
      <c r="N331" s="3">
        <v>4</v>
      </c>
      <c r="O331" s="3">
        <v>0.09</v>
      </c>
      <c r="P331" s="3">
        <v>0</v>
      </c>
      <c r="Q331" s="3">
        <v>0</v>
      </c>
      <c r="R331" s="3">
        <v>0</v>
      </c>
    </row>
    <row r="332" spans="1:18">
      <c r="A332" s="3" t="s">
        <v>806</v>
      </c>
      <c r="B332" s="3" t="s">
        <v>564</v>
      </c>
      <c r="C332" s="3" t="s">
        <v>564</v>
      </c>
      <c r="D332" s="3" t="s">
        <v>807</v>
      </c>
      <c r="E332" s="3" t="s">
        <v>120</v>
      </c>
      <c r="F332" s="3">
        <v>39.98</v>
      </c>
      <c r="G332" s="3" t="s">
        <v>121</v>
      </c>
      <c r="H332" s="3"/>
      <c r="I332" s="3" t="s">
        <v>122</v>
      </c>
      <c r="J332" s="3">
        <v>2</v>
      </c>
      <c r="K332" s="3">
        <v>2</v>
      </c>
      <c r="L332" s="3">
        <v>0</v>
      </c>
      <c r="M332" s="3">
        <v>0</v>
      </c>
      <c r="N332" s="3">
        <v>2</v>
      </c>
      <c r="O332" s="3">
        <v>0.09</v>
      </c>
      <c r="P332" s="3">
        <v>0</v>
      </c>
      <c r="Q332" s="3">
        <v>0</v>
      </c>
      <c r="R332" s="3">
        <v>0</v>
      </c>
    </row>
    <row r="333" spans="1:18">
      <c r="A333" s="3" t="s">
        <v>808</v>
      </c>
      <c r="B333" s="3" t="s">
        <v>566</v>
      </c>
      <c r="C333" s="3" t="s">
        <v>566</v>
      </c>
      <c r="D333" s="3" t="s">
        <v>809</v>
      </c>
      <c r="E333" s="3" t="s">
        <v>120</v>
      </c>
      <c r="F333" s="3">
        <v>39.98</v>
      </c>
      <c r="G333" s="3" t="s">
        <v>121</v>
      </c>
      <c r="H333" s="3"/>
      <c r="I333" s="3" t="s">
        <v>122</v>
      </c>
      <c r="J333" s="3">
        <v>1</v>
      </c>
      <c r="K333" s="3">
        <v>1</v>
      </c>
      <c r="L333" s="3">
        <v>0</v>
      </c>
      <c r="M333" s="3">
        <v>0</v>
      </c>
      <c r="N333" s="3">
        <v>1</v>
      </c>
      <c r="O333" s="3">
        <v>0.09</v>
      </c>
      <c r="P333" s="3">
        <v>0</v>
      </c>
      <c r="Q333" s="3">
        <v>0</v>
      </c>
      <c r="R333" s="3">
        <v>0</v>
      </c>
    </row>
    <row r="334" spans="1:18">
      <c r="A334" s="3" t="s">
        <v>810</v>
      </c>
      <c r="B334" s="3" t="s">
        <v>568</v>
      </c>
      <c r="C334" s="3" t="s">
        <v>568</v>
      </c>
      <c r="D334" s="3" t="s">
        <v>811</v>
      </c>
      <c r="E334" s="3" t="s">
        <v>120</v>
      </c>
      <c r="F334" s="3">
        <v>39.98</v>
      </c>
      <c r="G334" s="3" t="s">
        <v>121</v>
      </c>
      <c r="H334" s="3"/>
      <c r="I334" s="3" t="s">
        <v>122</v>
      </c>
      <c r="J334" s="3">
        <v>6</v>
      </c>
      <c r="K334" s="3">
        <v>6</v>
      </c>
      <c r="L334" s="3">
        <v>0</v>
      </c>
      <c r="M334" s="3">
        <v>0</v>
      </c>
      <c r="N334" s="3">
        <v>6</v>
      </c>
      <c r="O334" s="3">
        <v>0.09</v>
      </c>
      <c r="P334" s="3">
        <v>0</v>
      </c>
      <c r="Q334" s="3">
        <v>0</v>
      </c>
      <c r="R334" s="3">
        <v>0</v>
      </c>
    </row>
    <row r="335" spans="1:18">
      <c r="A335" s="3" t="s">
        <v>812</v>
      </c>
      <c r="B335" s="3" t="s">
        <v>570</v>
      </c>
      <c r="C335" s="3" t="s">
        <v>570</v>
      </c>
      <c r="D335" s="3" t="s">
        <v>813</v>
      </c>
      <c r="E335" s="3" t="s">
        <v>120</v>
      </c>
      <c r="F335" s="3">
        <v>39.98</v>
      </c>
      <c r="G335" s="3" t="s">
        <v>121</v>
      </c>
      <c r="H335" s="3"/>
      <c r="I335" s="3" t="s">
        <v>122</v>
      </c>
      <c r="J335" s="3">
        <v>6</v>
      </c>
      <c r="K335" s="3">
        <v>6</v>
      </c>
      <c r="L335" s="3">
        <v>0</v>
      </c>
      <c r="M335" s="3">
        <v>0</v>
      </c>
      <c r="N335" s="3">
        <v>6</v>
      </c>
      <c r="O335" s="3">
        <v>0.09</v>
      </c>
      <c r="P335" s="3">
        <v>0</v>
      </c>
      <c r="Q335" s="3">
        <v>0</v>
      </c>
      <c r="R335" s="3">
        <v>0</v>
      </c>
    </row>
    <row r="336" spans="1:18">
      <c r="A336" s="3" t="s">
        <v>814</v>
      </c>
      <c r="B336" s="3" t="s">
        <v>573</v>
      </c>
      <c r="C336" s="3" t="s">
        <v>573</v>
      </c>
      <c r="D336" s="3" t="s">
        <v>815</v>
      </c>
      <c r="E336" s="3" t="s">
        <v>120</v>
      </c>
      <c r="F336" s="3">
        <v>39.98</v>
      </c>
      <c r="G336" s="3" t="s">
        <v>121</v>
      </c>
      <c r="H336" s="3"/>
      <c r="I336" s="3" t="s">
        <v>122</v>
      </c>
      <c r="J336" s="3">
        <v>4</v>
      </c>
      <c r="K336" s="3">
        <v>4</v>
      </c>
      <c r="L336" s="3">
        <v>0</v>
      </c>
      <c r="M336" s="3">
        <v>0</v>
      </c>
      <c r="N336" s="3">
        <v>4</v>
      </c>
      <c r="O336" s="3">
        <v>0.09</v>
      </c>
      <c r="P336" s="3">
        <v>0</v>
      </c>
      <c r="Q336" s="3">
        <v>0</v>
      </c>
      <c r="R336" s="3">
        <v>0</v>
      </c>
    </row>
    <row r="337" spans="1:18">
      <c r="A337" s="3" t="s">
        <v>816</v>
      </c>
      <c r="B337" s="3" t="s">
        <v>576</v>
      </c>
      <c r="C337" s="3" t="s">
        <v>576</v>
      </c>
      <c r="D337" s="3" t="s">
        <v>817</v>
      </c>
      <c r="E337" s="3" t="s">
        <v>120</v>
      </c>
      <c r="F337" s="3">
        <v>39.98</v>
      </c>
      <c r="G337" s="3" t="s">
        <v>121</v>
      </c>
      <c r="H337" s="3"/>
      <c r="I337" s="3" t="s">
        <v>122</v>
      </c>
      <c r="J337" s="3">
        <v>1</v>
      </c>
      <c r="K337" s="3">
        <v>1</v>
      </c>
      <c r="L337" s="3">
        <v>0</v>
      </c>
      <c r="M337" s="3">
        <v>0</v>
      </c>
      <c r="N337" s="3">
        <v>1</v>
      </c>
      <c r="O337" s="3">
        <v>0.09</v>
      </c>
      <c r="P337" s="3">
        <v>0</v>
      </c>
      <c r="Q337" s="3">
        <v>0</v>
      </c>
      <c r="R337" s="3">
        <v>0</v>
      </c>
    </row>
    <row r="338" spans="1:18">
      <c r="A338" s="3" t="s">
        <v>818</v>
      </c>
      <c r="B338" s="3" t="s">
        <v>579</v>
      </c>
      <c r="C338" s="3" t="s">
        <v>579</v>
      </c>
      <c r="D338" s="3" t="s">
        <v>819</v>
      </c>
      <c r="E338" s="3" t="s">
        <v>120</v>
      </c>
      <c r="F338" s="3">
        <v>39.98</v>
      </c>
      <c r="G338" s="3" t="s">
        <v>121</v>
      </c>
      <c r="H338" s="3"/>
      <c r="I338" s="3" t="s">
        <v>122</v>
      </c>
      <c r="J338" s="3">
        <v>1</v>
      </c>
      <c r="K338" s="3">
        <v>1</v>
      </c>
      <c r="L338" s="3">
        <v>0</v>
      </c>
      <c r="M338" s="3">
        <v>0</v>
      </c>
      <c r="N338" s="3">
        <v>1</v>
      </c>
      <c r="O338" s="3">
        <v>0.09</v>
      </c>
      <c r="P338" s="3">
        <v>0</v>
      </c>
      <c r="Q338" s="3">
        <v>0</v>
      </c>
      <c r="R338" s="3">
        <v>0</v>
      </c>
    </row>
    <row r="339" spans="1:18">
      <c r="A339" s="3" t="s">
        <v>820</v>
      </c>
      <c r="B339" s="3" t="s">
        <v>581</v>
      </c>
      <c r="C339" s="3" t="s">
        <v>581</v>
      </c>
      <c r="D339" s="3" t="s">
        <v>821</v>
      </c>
      <c r="E339" s="3" t="s">
        <v>120</v>
      </c>
      <c r="F339" s="3">
        <v>39.98</v>
      </c>
      <c r="G339" s="3" t="s">
        <v>121</v>
      </c>
      <c r="H339" s="3"/>
      <c r="I339" s="3" t="s">
        <v>122</v>
      </c>
      <c r="J339" s="3">
        <v>2</v>
      </c>
      <c r="K339" s="3">
        <v>2</v>
      </c>
      <c r="L339" s="3">
        <v>0</v>
      </c>
      <c r="M339" s="3">
        <v>0</v>
      </c>
      <c r="N339" s="3">
        <v>2</v>
      </c>
      <c r="O339" s="3">
        <v>0.09</v>
      </c>
      <c r="P339" s="3">
        <v>0</v>
      </c>
      <c r="Q339" s="3">
        <v>0</v>
      </c>
      <c r="R339" s="3">
        <v>0</v>
      </c>
    </row>
    <row r="340" spans="1:18">
      <c r="A340" s="3" t="s">
        <v>822</v>
      </c>
      <c r="B340" s="3" t="s">
        <v>584</v>
      </c>
      <c r="C340" s="3" t="s">
        <v>584</v>
      </c>
      <c r="D340" s="3" t="s">
        <v>823</v>
      </c>
      <c r="E340" s="3" t="s">
        <v>120</v>
      </c>
      <c r="F340" s="3">
        <v>39.98</v>
      </c>
      <c r="G340" s="3" t="s">
        <v>121</v>
      </c>
      <c r="H340" s="3"/>
      <c r="I340" s="3" t="s">
        <v>122</v>
      </c>
      <c r="J340" s="3">
        <v>2</v>
      </c>
      <c r="K340" s="3">
        <v>0</v>
      </c>
      <c r="L340" s="3">
        <v>0</v>
      </c>
      <c r="M340" s="3">
        <v>2</v>
      </c>
      <c r="N340" s="3">
        <v>2</v>
      </c>
      <c r="O340" s="3">
        <v>0.09</v>
      </c>
      <c r="P340" s="3">
        <v>0</v>
      </c>
      <c r="Q340" s="3">
        <v>0</v>
      </c>
      <c r="R340" s="3">
        <v>0</v>
      </c>
    </row>
    <row r="341" spans="1:18">
      <c r="A341" s="3" t="s">
        <v>824</v>
      </c>
      <c r="B341" s="3" t="s">
        <v>825</v>
      </c>
      <c r="C341" s="3" t="s">
        <v>826</v>
      </c>
      <c r="D341" s="3"/>
      <c r="E341" s="3" t="s">
        <v>20</v>
      </c>
      <c r="F341" s="3"/>
      <c r="G341" s="3"/>
      <c r="H341" s="3"/>
      <c r="I341" s="3"/>
      <c r="J341" s="3">
        <v>0</v>
      </c>
      <c r="K341" s="3">
        <v>0</v>
      </c>
      <c r="L341" s="3">
        <v>0</v>
      </c>
      <c r="M341" s="3">
        <v>0</v>
      </c>
      <c r="N341" s="3">
        <v>0</v>
      </c>
      <c r="O341" s="3"/>
      <c r="P341" s="3">
        <v>0</v>
      </c>
      <c r="Q341" s="3">
        <v>0</v>
      </c>
      <c r="R341" s="3">
        <v>0</v>
      </c>
    </row>
    <row r="342" spans="1:18">
      <c r="A342" s="3" t="s">
        <v>827</v>
      </c>
      <c r="B342" s="3" t="s">
        <v>828</v>
      </c>
      <c r="C342" s="3" t="s">
        <v>829</v>
      </c>
      <c r="D342" s="3"/>
      <c r="E342" s="3" t="s">
        <v>20</v>
      </c>
      <c r="F342" s="3"/>
      <c r="G342" s="3"/>
      <c r="H342" s="3"/>
      <c r="I342" s="3"/>
      <c r="J342" s="3">
        <v>0</v>
      </c>
      <c r="K342" s="3">
        <v>0</v>
      </c>
      <c r="L342" s="3">
        <v>0</v>
      </c>
      <c r="M342" s="3">
        <v>0</v>
      </c>
      <c r="N342" s="3">
        <v>0</v>
      </c>
      <c r="O342" s="3"/>
      <c r="P342" s="3">
        <v>0</v>
      </c>
      <c r="Q342" s="3">
        <v>0</v>
      </c>
      <c r="R342" s="3">
        <v>0</v>
      </c>
    </row>
    <row r="343" spans="1:18">
      <c r="A343" s="3" t="s">
        <v>830</v>
      </c>
      <c r="B343" s="3" t="s">
        <v>831</v>
      </c>
      <c r="C343" s="3" t="s">
        <v>832</v>
      </c>
      <c r="D343" s="3"/>
      <c r="E343" s="3" t="s">
        <v>20</v>
      </c>
      <c r="F343" s="3"/>
      <c r="G343" s="3"/>
      <c r="H343" s="3"/>
      <c r="I343" s="3"/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/>
      <c r="P343" s="3">
        <v>0</v>
      </c>
      <c r="Q343" s="3">
        <v>0</v>
      </c>
      <c r="R343" s="3">
        <v>0</v>
      </c>
    </row>
    <row r="344" spans="1:18">
      <c r="A344" s="3" t="s">
        <v>833</v>
      </c>
      <c r="B344" s="3" t="s">
        <v>834</v>
      </c>
      <c r="C344" s="3" t="s">
        <v>835</v>
      </c>
      <c r="D344" s="3"/>
      <c r="E344" s="3" t="s">
        <v>20</v>
      </c>
      <c r="F344" s="3"/>
      <c r="G344" s="3"/>
      <c r="H344" s="3"/>
      <c r="I344" s="3"/>
      <c r="J344" s="3">
        <v>0</v>
      </c>
      <c r="K344" s="3">
        <v>0</v>
      </c>
      <c r="L344" s="3">
        <v>0</v>
      </c>
      <c r="M344" s="3">
        <v>0</v>
      </c>
      <c r="N344" s="3">
        <v>0</v>
      </c>
      <c r="O344" s="3"/>
      <c r="P344" s="3">
        <v>0</v>
      </c>
      <c r="Q344" s="3">
        <v>0</v>
      </c>
      <c r="R344" s="3">
        <v>0</v>
      </c>
    </row>
    <row r="345" spans="1:18">
      <c r="A345" s="3" t="s">
        <v>836</v>
      </c>
      <c r="B345" s="3" t="s">
        <v>837</v>
      </c>
      <c r="C345" s="3" t="s">
        <v>838</v>
      </c>
      <c r="D345" s="3"/>
      <c r="E345" s="3" t="s">
        <v>20</v>
      </c>
      <c r="F345" s="3"/>
      <c r="G345" s="3"/>
      <c r="H345" s="3"/>
      <c r="I345" s="3"/>
      <c r="J345" s="3">
        <v>0</v>
      </c>
      <c r="K345" s="3">
        <v>0</v>
      </c>
      <c r="L345" s="3">
        <v>0</v>
      </c>
      <c r="M345" s="3">
        <v>0</v>
      </c>
      <c r="N345" s="3">
        <v>0</v>
      </c>
      <c r="O345" s="3"/>
      <c r="P345" s="3">
        <v>0</v>
      </c>
      <c r="Q345" s="3">
        <v>0</v>
      </c>
      <c r="R345" s="3">
        <v>0</v>
      </c>
    </row>
    <row r="346" spans="1:18">
      <c r="A346" s="3" t="s">
        <v>839</v>
      </c>
      <c r="B346" s="3" t="s">
        <v>840</v>
      </c>
      <c r="C346" s="3" t="s">
        <v>841</v>
      </c>
      <c r="D346" s="3"/>
      <c r="E346" s="3" t="s">
        <v>20</v>
      </c>
      <c r="F346" s="3"/>
      <c r="G346" s="3"/>
      <c r="H346" s="3"/>
      <c r="I346" s="3"/>
      <c r="J346" s="3">
        <v>0</v>
      </c>
      <c r="K346" s="3">
        <v>0</v>
      </c>
      <c r="L346" s="3">
        <v>0</v>
      </c>
      <c r="M346" s="3">
        <v>0</v>
      </c>
      <c r="N346" s="3">
        <v>0</v>
      </c>
      <c r="O346" s="3"/>
      <c r="P346" s="3">
        <v>0</v>
      </c>
      <c r="Q346" s="3">
        <v>0</v>
      </c>
      <c r="R346" s="3">
        <v>0</v>
      </c>
    </row>
    <row r="347" spans="1:18">
      <c r="A347" s="3" t="s">
        <v>842</v>
      </c>
      <c r="B347" s="3" t="s">
        <v>843</v>
      </c>
      <c r="C347" s="3" t="s">
        <v>844</v>
      </c>
      <c r="D347" s="3"/>
      <c r="E347" s="3" t="s">
        <v>20</v>
      </c>
      <c r="F347" s="3"/>
      <c r="G347" s="3"/>
      <c r="H347" s="3"/>
      <c r="I347" s="3"/>
      <c r="J347" s="3">
        <v>0</v>
      </c>
      <c r="K347" s="3">
        <v>0</v>
      </c>
      <c r="L347" s="3">
        <v>0</v>
      </c>
      <c r="M347" s="3">
        <v>0</v>
      </c>
      <c r="N347" s="3">
        <v>0</v>
      </c>
      <c r="O347" s="3"/>
      <c r="P347" s="3">
        <v>0</v>
      </c>
      <c r="Q347" s="3">
        <v>0</v>
      </c>
      <c r="R347" s="3">
        <v>0</v>
      </c>
    </row>
    <row r="348" spans="1:18">
      <c r="A348" s="3" t="s">
        <v>845</v>
      </c>
      <c r="B348" s="3" t="s">
        <v>846</v>
      </c>
      <c r="C348" s="3" t="s">
        <v>847</v>
      </c>
      <c r="D348" s="3"/>
      <c r="E348" s="3" t="s">
        <v>20</v>
      </c>
      <c r="F348" s="3"/>
      <c r="G348" s="3"/>
      <c r="H348" s="3"/>
      <c r="I348" s="3"/>
      <c r="J348" s="3">
        <v>0</v>
      </c>
      <c r="K348" s="3">
        <v>0</v>
      </c>
      <c r="L348" s="3">
        <v>0</v>
      </c>
      <c r="M348" s="3">
        <v>0</v>
      </c>
      <c r="N348" s="3">
        <v>0</v>
      </c>
      <c r="O348" s="3"/>
      <c r="P348" s="3">
        <v>0</v>
      </c>
      <c r="Q348" s="3">
        <v>0</v>
      </c>
      <c r="R348" s="3">
        <v>0</v>
      </c>
    </row>
    <row r="349" spans="1:18">
      <c r="A349" s="3" t="s">
        <v>848</v>
      </c>
      <c r="B349" s="3" t="s">
        <v>849</v>
      </c>
      <c r="C349" s="3" t="s">
        <v>850</v>
      </c>
      <c r="D349" s="3"/>
      <c r="E349" s="3" t="s">
        <v>20</v>
      </c>
      <c r="F349" s="3"/>
      <c r="G349" s="3"/>
      <c r="H349" s="3"/>
      <c r="I349" s="3"/>
      <c r="J349" s="3">
        <v>0</v>
      </c>
      <c r="K349" s="3">
        <v>0</v>
      </c>
      <c r="L349" s="3">
        <v>0</v>
      </c>
      <c r="M349" s="3">
        <v>0</v>
      </c>
      <c r="N349" s="3">
        <v>0</v>
      </c>
      <c r="O349" s="3"/>
      <c r="P349" s="3">
        <v>0</v>
      </c>
      <c r="Q349" s="3">
        <v>0</v>
      </c>
      <c r="R349" s="3">
        <v>0</v>
      </c>
    </row>
    <row r="350" spans="1:18">
      <c r="A350" s="3" t="s">
        <v>851</v>
      </c>
      <c r="B350" s="3" t="s">
        <v>852</v>
      </c>
      <c r="C350" s="3" t="s">
        <v>853</v>
      </c>
      <c r="D350" s="3"/>
      <c r="E350" s="3" t="s">
        <v>20</v>
      </c>
      <c r="F350" s="3"/>
      <c r="G350" s="3"/>
      <c r="H350" s="3"/>
      <c r="I350" s="3"/>
      <c r="J350" s="3">
        <v>0</v>
      </c>
      <c r="K350" s="3">
        <v>0</v>
      </c>
      <c r="L350" s="3">
        <v>0</v>
      </c>
      <c r="M350" s="3">
        <v>0</v>
      </c>
      <c r="N350" s="3">
        <v>0</v>
      </c>
      <c r="O350" s="3"/>
      <c r="P350" s="3">
        <v>0</v>
      </c>
      <c r="Q350" s="3">
        <v>0</v>
      </c>
      <c r="R350" s="3">
        <v>0</v>
      </c>
    </row>
    <row r="351" spans="1:18">
      <c r="A351" s="3" t="s">
        <v>854</v>
      </c>
      <c r="B351" s="3" t="s">
        <v>855</v>
      </c>
      <c r="C351" s="3" t="s">
        <v>856</v>
      </c>
      <c r="D351" s="3"/>
      <c r="E351" s="3" t="s">
        <v>20</v>
      </c>
      <c r="F351" s="3"/>
      <c r="G351" s="3"/>
      <c r="H351" s="3"/>
      <c r="I351" s="3"/>
      <c r="J351" s="3">
        <v>0</v>
      </c>
      <c r="K351" s="3">
        <v>0</v>
      </c>
      <c r="L351" s="3">
        <v>0</v>
      </c>
      <c r="M351" s="3">
        <v>0</v>
      </c>
      <c r="N351" s="3">
        <v>0</v>
      </c>
      <c r="O351" s="3"/>
      <c r="P351" s="3">
        <v>0</v>
      </c>
      <c r="Q351" s="3">
        <v>0</v>
      </c>
      <c r="R351" s="3">
        <v>0</v>
      </c>
    </row>
    <row r="352" spans="1:18">
      <c r="A352" s="3" t="s">
        <v>857</v>
      </c>
      <c r="B352" s="3" t="s">
        <v>858</v>
      </c>
      <c r="C352" s="3" t="s">
        <v>859</v>
      </c>
      <c r="D352" s="3"/>
      <c r="E352" s="3" t="s">
        <v>20</v>
      </c>
      <c r="F352" s="3"/>
      <c r="G352" s="3"/>
      <c r="H352" s="3"/>
      <c r="I352" s="3"/>
      <c r="J352" s="3">
        <v>0</v>
      </c>
      <c r="K352" s="3">
        <v>0</v>
      </c>
      <c r="L352" s="3">
        <v>0</v>
      </c>
      <c r="M352" s="3">
        <v>0</v>
      </c>
      <c r="N352" s="3">
        <v>0</v>
      </c>
      <c r="O352" s="3"/>
      <c r="P352" s="3">
        <v>0</v>
      </c>
      <c r="Q352" s="3">
        <v>0</v>
      </c>
      <c r="R352" s="3">
        <v>0</v>
      </c>
    </row>
    <row r="353" spans="1:18">
      <c r="A353" s="3" t="s">
        <v>860</v>
      </c>
      <c r="B353" s="3" t="s">
        <v>861</v>
      </c>
      <c r="C353" s="3" t="s">
        <v>862</v>
      </c>
      <c r="D353" s="3"/>
      <c r="E353" s="3" t="s">
        <v>20</v>
      </c>
      <c r="F353" s="3"/>
      <c r="G353" s="3"/>
      <c r="H353" s="3"/>
      <c r="I353" s="3"/>
      <c r="J353" s="3">
        <v>0</v>
      </c>
      <c r="K353" s="3">
        <v>0</v>
      </c>
      <c r="L353" s="3">
        <v>0</v>
      </c>
      <c r="M353" s="3">
        <v>0</v>
      </c>
      <c r="N353" s="3">
        <v>0</v>
      </c>
      <c r="O353" s="3"/>
      <c r="P353" s="3">
        <v>0</v>
      </c>
      <c r="Q353" s="3">
        <v>0</v>
      </c>
      <c r="R353" s="3">
        <v>0</v>
      </c>
    </row>
    <row r="354" spans="1:18">
      <c r="A354" s="3" t="s">
        <v>863</v>
      </c>
      <c r="B354" s="3" t="s">
        <v>864</v>
      </c>
      <c r="C354" s="3" t="s">
        <v>865</v>
      </c>
      <c r="D354" s="3"/>
      <c r="E354" s="3" t="s">
        <v>20</v>
      </c>
      <c r="F354" s="3"/>
      <c r="G354" s="3"/>
      <c r="H354" s="3"/>
      <c r="I354" s="3"/>
      <c r="J354" s="3">
        <v>0</v>
      </c>
      <c r="K354" s="3">
        <v>0</v>
      </c>
      <c r="L354" s="3">
        <v>0</v>
      </c>
      <c r="M354" s="3">
        <v>0</v>
      </c>
      <c r="N354" s="3">
        <v>0</v>
      </c>
      <c r="O354" s="3"/>
      <c r="P354" s="3">
        <v>0</v>
      </c>
      <c r="Q354" s="3">
        <v>0</v>
      </c>
      <c r="R354" s="3">
        <v>0</v>
      </c>
    </row>
    <row r="355" spans="1:18">
      <c r="A355" s="3" t="s">
        <v>866</v>
      </c>
      <c r="B355" s="3" t="s">
        <v>867</v>
      </c>
      <c r="C355" s="3" t="s">
        <v>868</v>
      </c>
      <c r="D355" s="3"/>
      <c r="E355" s="3" t="s">
        <v>20</v>
      </c>
      <c r="F355" s="3"/>
      <c r="G355" s="3"/>
      <c r="H355" s="3"/>
      <c r="I355" s="3"/>
      <c r="J355" s="3">
        <v>0</v>
      </c>
      <c r="K355" s="3">
        <v>0</v>
      </c>
      <c r="L355" s="3">
        <v>0</v>
      </c>
      <c r="M355" s="3">
        <v>0</v>
      </c>
      <c r="N355" s="3">
        <v>0</v>
      </c>
      <c r="O355" s="3"/>
      <c r="P355" s="3">
        <v>0</v>
      </c>
      <c r="Q355" s="3">
        <v>0</v>
      </c>
      <c r="R355" s="3">
        <v>0</v>
      </c>
    </row>
    <row r="356" spans="1:18">
      <c r="A356" s="3" t="s">
        <v>869</v>
      </c>
      <c r="B356" s="3" t="s">
        <v>870</v>
      </c>
      <c r="C356" s="3" t="s">
        <v>871</v>
      </c>
      <c r="D356" s="3"/>
      <c r="E356" s="3" t="s">
        <v>20</v>
      </c>
      <c r="F356" s="3"/>
      <c r="G356" s="3"/>
      <c r="H356" s="3"/>
      <c r="I356" s="3"/>
      <c r="J356" s="3">
        <v>0</v>
      </c>
      <c r="K356" s="3">
        <v>0</v>
      </c>
      <c r="L356" s="3">
        <v>0</v>
      </c>
      <c r="M356" s="3">
        <v>0</v>
      </c>
      <c r="N356" s="3">
        <v>0</v>
      </c>
      <c r="O356" s="3"/>
      <c r="P356" s="3">
        <v>0</v>
      </c>
      <c r="Q356" s="3">
        <v>0</v>
      </c>
      <c r="R356" s="3">
        <v>0</v>
      </c>
    </row>
    <row r="357" spans="1:18">
      <c r="A357" s="3" t="s">
        <v>872</v>
      </c>
      <c r="B357" s="3" t="s">
        <v>873</v>
      </c>
      <c r="C357" s="3" t="s">
        <v>874</v>
      </c>
      <c r="D357" s="3"/>
      <c r="E357" s="3" t="s">
        <v>20</v>
      </c>
      <c r="F357" s="3"/>
      <c r="G357" s="3"/>
      <c r="H357" s="3"/>
      <c r="I357" s="3"/>
      <c r="J357" s="3">
        <v>0</v>
      </c>
      <c r="K357" s="3">
        <v>0</v>
      </c>
      <c r="L357" s="3">
        <v>0</v>
      </c>
      <c r="M357" s="3">
        <v>0</v>
      </c>
      <c r="N357" s="3">
        <v>0</v>
      </c>
      <c r="O357" s="3"/>
      <c r="P357" s="3">
        <v>0</v>
      </c>
      <c r="Q357" s="3">
        <v>0</v>
      </c>
      <c r="R357" s="3">
        <v>0</v>
      </c>
    </row>
    <row r="358" spans="1:18">
      <c r="A358" s="3" t="s">
        <v>875</v>
      </c>
      <c r="B358" s="3" t="s">
        <v>876</v>
      </c>
      <c r="C358" s="3" t="s">
        <v>877</v>
      </c>
      <c r="D358" s="3"/>
      <c r="E358" s="3" t="s">
        <v>20</v>
      </c>
      <c r="F358" s="3"/>
      <c r="G358" s="3"/>
      <c r="H358" s="3"/>
      <c r="I358" s="3"/>
      <c r="J358" s="3">
        <v>0</v>
      </c>
      <c r="K358" s="3">
        <v>0</v>
      </c>
      <c r="L358" s="3">
        <v>0</v>
      </c>
      <c r="M358" s="3">
        <v>0</v>
      </c>
      <c r="N358" s="3">
        <v>0</v>
      </c>
      <c r="O358" s="3"/>
      <c r="P358" s="3">
        <v>0</v>
      </c>
      <c r="Q358" s="3">
        <v>0</v>
      </c>
      <c r="R358" s="3">
        <v>0</v>
      </c>
    </row>
    <row r="359" spans="1:18">
      <c r="A359" s="3" t="s">
        <v>878</v>
      </c>
      <c r="B359" s="3" t="s">
        <v>879</v>
      </c>
      <c r="C359" s="3" t="s">
        <v>880</v>
      </c>
      <c r="D359" s="3"/>
      <c r="E359" s="3" t="s">
        <v>20</v>
      </c>
      <c r="F359" s="3"/>
      <c r="G359" s="3"/>
      <c r="H359" s="3"/>
      <c r="I359" s="3"/>
      <c r="J359" s="3">
        <v>0</v>
      </c>
      <c r="K359" s="3">
        <v>0</v>
      </c>
      <c r="L359" s="3">
        <v>0</v>
      </c>
      <c r="M359" s="3">
        <v>0</v>
      </c>
      <c r="N359" s="3">
        <v>0</v>
      </c>
      <c r="O359" s="3"/>
      <c r="P359" s="3">
        <v>0</v>
      </c>
      <c r="Q359" s="3">
        <v>0</v>
      </c>
      <c r="R359" s="3">
        <v>0</v>
      </c>
    </row>
    <row r="360" spans="1:18">
      <c r="A360" s="3" t="s">
        <v>881</v>
      </c>
      <c r="B360" s="3" t="s">
        <v>882</v>
      </c>
      <c r="C360" s="3" t="s">
        <v>883</v>
      </c>
      <c r="D360" s="3"/>
      <c r="E360" s="3" t="s">
        <v>20</v>
      </c>
      <c r="F360" s="3"/>
      <c r="G360" s="3"/>
      <c r="H360" s="3"/>
      <c r="I360" s="3"/>
      <c r="J360" s="3">
        <v>0</v>
      </c>
      <c r="K360" s="3">
        <v>0</v>
      </c>
      <c r="L360" s="3">
        <v>0</v>
      </c>
      <c r="M360" s="3">
        <v>0</v>
      </c>
      <c r="N360" s="3">
        <v>0</v>
      </c>
      <c r="O360" s="3"/>
      <c r="P360" s="3">
        <v>0</v>
      </c>
      <c r="Q360" s="3">
        <v>0</v>
      </c>
      <c r="R360" s="3">
        <v>0</v>
      </c>
    </row>
    <row r="361" spans="1:18">
      <c r="A361" s="3" t="s">
        <v>884</v>
      </c>
      <c r="B361" s="3" t="s">
        <v>885</v>
      </c>
      <c r="C361" s="3" t="s">
        <v>886</v>
      </c>
      <c r="D361" s="3"/>
      <c r="E361" s="3" t="s">
        <v>20</v>
      </c>
      <c r="F361" s="3"/>
      <c r="G361" s="3"/>
      <c r="H361" s="3"/>
      <c r="I361" s="3"/>
      <c r="J361" s="3">
        <v>0</v>
      </c>
      <c r="K361" s="3">
        <v>0</v>
      </c>
      <c r="L361" s="3">
        <v>0</v>
      </c>
      <c r="M361" s="3">
        <v>0</v>
      </c>
      <c r="N361" s="3">
        <v>0</v>
      </c>
      <c r="O361" s="3"/>
      <c r="P361" s="3">
        <v>0</v>
      </c>
      <c r="Q361" s="3">
        <v>0</v>
      </c>
      <c r="R361" s="3">
        <v>0</v>
      </c>
    </row>
    <row r="362" spans="1:18">
      <c r="A362" s="3" t="s">
        <v>887</v>
      </c>
      <c r="B362" s="3" t="s">
        <v>888</v>
      </c>
      <c r="C362" s="3" t="s">
        <v>889</v>
      </c>
      <c r="D362" s="3"/>
      <c r="E362" s="3" t="s">
        <v>20</v>
      </c>
      <c r="F362" s="3"/>
      <c r="G362" s="3"/>
      <c r="H362" s="3"/>
      <c r="I362" s="3"/>
      <c r="J362" s="3">
        <v>0</v>
      </c>
      <c r="K362" s="3">
        <v>0</v>
      </c>
      <c r="L362" s="3">
        <v>0</v>
      </c>
      <c r="M362" s="3">
        <v>0</v>
      </c>
      <c r="N362" s="3">
        <v>0</v>
      </c>
      <c r="O362" s="3"/>
      <c r="P362" s="3">
        <v>0</v>
      </c>
      <c r="Q362" s="3">
        <v>0</v>
      </c>
      <c r="R362" s="3">
        <v>0</v>
      </c>
    </row>
    <row r="363" spans="1:18">
      <c r="A363" s="3" t="s">
        <v>890</v>
      </c>
      <c r="B363" s="3" t="s">
        <v>891</v>
      </c>
      <c r="C363" s="3" t="s">
        <v>892</v>
      </c>
      <c r="D363" s="3"/>
      <c r="E363" s="3" t="s">
        <v>20</v>
      </c>
      <c r="F363" s="3"/>
      <c r="G363" s="3"/>
      <c r="H363" s="3"/>
      <c r="I363" s="3"/>
      <c r="J363" s="3">
        <v>0</v>
      </c>
      <c r="K363" s="3">
        <v>0</v>
      </c>
      <c r="L363" s="3">
        <v>0</v>
      </c>
      <c r="M363" s="3">
        <v>0</v>
      </c>
      <c r="N363" s="3">
        <v>0</v>
      </c>
      <c r="O363" s="3"/>
      <c r="P363" s="3">
        <v>0</v>
      </c>
      <c r="Q363" s="3">
        <v>0</v>
      </c>
      <c r="R363" s="3">
        <v>0</v>
      </c>
    </row>
    <row r="364" spans="1:18">
      <c r="A364" s="3" t="s">
        <v>893</v>
      </c>
      <c r="B364" s="3" t="s">
        <v>894</v>
      </c>
      <c r="C364" s="3" t="s">
        <v>895</v>
      </c>
      <c r="D364" s="3"/>
      <c r="E364" s="3" t="s">
        <v>20</v>
      </c>
      <c r="F364" s="3"/>
      <c r="G364" s="3"/>
      <c r="H364" s="3"/>
      <c r="I364" s="3"/>
      <c r="J364" s="3">
        <v>0</v>
      </c>
      <c r="K364" s="3">
        <v>0</v>
      </c>
      <c r="L364" s="3">
        <v>0</v>
      </c>
      <c r="M364" s="3">
        <v>0</v>
      </c>
      <c r="N364" s="3">
        <v>0</v>
      </c>
      <c r="O364" s="3"/>
      <c r="P364" s="3">
        <v>0</v>
      </c>
      <c r="Q364" s="3">
        <v>0</v>
      </c>
      <c r="R364" s="3">
        <v>0</v>
      </c>
    </row>
    <row r="365" spans="1:18">
      <c r="A365" s="3" t="s">
        <v>896</v>
      </c>
      <c r="B365" s="3" t="s">
        <v>897</v>
      </c>
      <c r="C365" s="3" t="s">
        <v>898</v>
      </c>
      <c r="D365" s="3"/>
      <c r="E365" s="3" t="s">
        <v>20</v>
      </c>
      <c r="F365" s="3"/>
      <c r="G365" s="3"/>
      <c r="H365" s="3"/>
      <c r="I365" s="3"/>
      <c r="J365" s="3">
        <v>0</v>
      </c>
      <c r="K365" s="3">
        <v>0</v>
      </c>
      <c r="L365" s="3">
        <v>0</v>
      </c>
      <c r="M365" s="3">
        <v>0</v>
      </c>
      <c r="N365" s="3">
        <v>0</v>
      </c>
      <c r="O365" s="3"/>
      <c r="P365" s="3">
        <v>0</v>
      </c>
      <c r="Q365" s="3">
        <v>0</v>
      </c>
      <c r="R365" s="3">
        <v>0</v>
      </c>
    </row>
    <row r="366" spans="1:18">
      <c r="A366" s="3" t="s">
        <v>899</v>
      </c>
      <c r="B366" s="3" t="s">
        <v>900</v>
      </c>
      <c r="C366" s="3" t="s">
        <v>901</v>
      </c>
      <c r="D366" s="3"/>
      <c r="E366" s="3" t="s">
        <v>20</v>
      </c>
      <c r="F366" s="3"/>
      <c r="G366" s="3"/>
      <c r="H366" s="3"/>
      <c r="I366" s="3"/>
      <c r="J366" s="3">
        <v>0</v>
      </c>
      <c r="K366" s="3">
        <v>0</v>
      </c>
      <c r="L366" s="3">
        <v>0</v>
      </c>
      <c r="M366" s="3">
        <v>0</v>
      </c>
      <c r="N366" s="3">
        <v>0</v>
      </c>
      <c r="O366" s="3"/>
      <c r="P366" s="3">
        <v>0</v>
      </c>
      <c r="Q366" s="3">
        <v>0</v>
      </c>
      <c r="R366" s="3">
        <v>0</v>
      </c>
    </row>
    <row r="367" spans="1:18">
      <c r="A367" s="3" t="s">
        <v>902</v>
      </c>
      <c r="B367" s="3" t="s">
        <v>903</v>
      </c>
      <c r="C367" s="3" t="s">
        <v>904</v>
      </c>
      <c r="D367" s="3"/>
      <c r="E367" s="3" t="s">
        <v>20</v>
      </c>
      <c r="F367" s="3"/>
      <c r="G367" s="3"/>
      <c r="H367" s="3"/>
      <c r="I367" s="3"/>
      <c r="J367" s="3">
        <v>0</v>
      </c>
      <c r="K367" s="3">
        <v>0</v>
      </c>
      <c r="L367" s="3">
        <v>0</v>
      </c>
      <c r="M367" s="3">
        <v>0</v>
      </c>
      <c r="N367" s="3">
        <v>0</v>
      </c>
      <c r="O367" s="3"/>
      <c r="P367" s="3">
        <v>0</v>
      </c>
      <c r="Q367" s="3">
        <v>0</v>
      </c>
      <c r="R367" s="3">
        <v>0</v>
      </c>
    </row>
    <row r="368" spans="1:18">
      <c r="A368" s="3" t="s">
        <v>905</v>
      </c>
      <c r="B368" s="3" t="s">
        <v>906</v>
      </c>
      <c r="C368" s="3" t="s">
        <v>907</v>
      </c>
      <c r="D368" s="3"/>
      <c r="E368" s="3" t="s">
        <v>20</v>
      </c>
      <c r="F368" s="3"/>
      <c r="G368" s="3"/>
      <c r="H368" s="3"/>
      <c r="I368" s="3"/>
      <c r="J368" s="3">
        <v>0</v>
      </c>
      <c r="K368" s="3">
        <v>0</v>
      </c>
      <c r="L368" s="3">
        <v>0</v>
      </c>
      <c r="M368" s="3">
        <v>0</v>
      </c>
      <c r="N368" s="3">
        <v>0</v>
      </c>
      <c r="O368" s="3"/>
      <c r="P368" s="3">
        <v>0</v>
      </c>
      <c r="Q368" s="3">
        <v>0</v>
      </c>
      <c r="R368" s="3">
        <v>0</v>
      </c>
    </row>
    <row r="369" spans="1:18">
      <c r="A369" s="3" t="s">
        <v>908</v>
      </c>
      <c r="B369" s="3" t="s">
        <v>909</v>
      </c>
      <c r="C369" s="3" t="s">
        <v>910</v>
      </c>
      <c r="D369" s="3"/>
      <c r="E369" s="3" t="s">
        <v>20</v>
      </c>
      <c r="F369" s="3"/>
      <c r="G369" s="3"/>
      <c r="H369" s="3"/>
      <c r="I369" s="3"/>
      <c r="J369" s="3">
        <v>0</v>
      </c>
      <c r="K369" s="3">
        <v>0</v>
      </c>
      <c r="L369" s="3">
        <v>0</v>
      </c>
      <c r="M369" s="3">
        <v>0</v>
      </c>
      <c r="N369" s="3">
        <v>0</v>
      </c>
      <c r="O369" s="3"/>
      <c r="P369" s="3">
        <v>0</v>
      </c>
      <c r="Q369" s="3">
        <v>0</v>
      </c>
      <c r="R369" s="3">
        <v>0</v>
      </c>
    </row>
    <row r="370" spans="1:18">
      <c r="A370" s="3" t="s">
        <v>911</v>
      </c>
      <c r="B370" s="3" t="s">
        <v>912</v>
      </c>
      <c r="C370" s="3" t="s">
        <v>913</v>
      </c>
      <c r="D370" s="3"/>
      <c r="E370" s="3" t="s">
        <v>20</v>
      </c>
      <c r="F370" s="3"/>
      <c r="G370" s="3"/>
      <c r="H370" s="3"/>
      <c r="I370" s="3"/>
      <c r="J370" s="3">
        <v>0</v>
      </c>
      <c r="K370" s="3">
        <v>0</v>
      </c>
      <c r="L370" s="3">
        <v>0</v>
      </c>
      <c r="M370" s="3">
        <v>0</v>
      </c>
      <c r="N370" s="3">
        <v>0</v>
      </c>
      <c r="O370" s="3"/>
      <c r="P370" s="3">
        <v>0</v>
      </c>
      <c r="Q370" s="3">
        <v>0</v>
      </c>
      <c r="R370" s="3">
        <v>0</v>
      </c>
    </row>
    <row r="371" spans="1:18">
      <c r="A371" s="3" t="s">
        <v>914</v>
      </c>
      <c r="B371" s="3" t="s">
        <v>915</v>
      </c>
      <c r="C371" s="3" t="s">
        <v>916</v>
      </c>
      <c r="D371" s="3"/>
      <c r="E371" s="3" t="s">
        <v>20</v>
      </c>
      <c r="F371" s="3"/>
      <c r="G371" s="3"/>
      <c r="H371" s="3"/>
      <c r="I371" s="3"/>
      <c r="J371" s="3">
        <v>0</v>
      </c>
      <c r="K371" s="3">
        <v>0</v>
      </c>
      <c r="L371" s="3">
        <v>0</v>
      </c>
      <c r="M371" s="3">
        <v>0</v>
      </c>
      <c r="N371" s="3">
        <v>0</v>
      </c>
      <c r="O371" s="3"/>
      <c r="P371" s="3">
        <v>0</v>
      </c>
      <c r="Q371" s="3">
        <v>0</v>
      </c>
      <c r="R371" s="3">
        <v>0</v>
      </c>
    </row>
    <row r="372" spans="1:18">
      <c r="A372" s="3" t="s">
        <v>917</v>
      </c>
      <c r="B372" s="3" t="s">
        <v>918</v>
      </c>
      <c r="C372" s="3" t="s">
        <v>919</v>
      </c>
      <c r="D372" s="3"/>
      <c r="E372" s="3" t="s">
        <v>20</v>
      </c>
      <c r="F372" s="3"/>
      <c r="G372" s="3"/>
      <c r="H372" s="3"/>
      <c r="I372" s="3"/>
      <c r="J372" s="3">
        <v>0</v>
      </c>
      <c r="K372" s="3">
        <v>0</v>
      </c>
      <c r="L372" s="3">
        <v>0</v>
      </c>
      <c r="M372" s="3">
        <v>0</v>
      </c>
      <c r="N372" s="3">
        <v>0</v>
      </c>
      <c r="O372" s="3"/>
      <c r="P372" s="3">
        <v>0</v>
      </c>
      <c r="Q372" s="3">
        <v>0</v>
      </c>
      <c r="R372" s="3">
        <v>0</v>
      </c>
    </row>
    <row r="373" spans="1:18">
      <c r="A373" s="3" t="s">
        <v>920</v>
      </c>
      <c r="B373" s="3" t="s">
        <v>921</v>
      </c>
      <c r="C373" s="3" t="s">
        <v>922</v>
      </c>
      <c r="D373" s="3"/>
      <c r="E373" s="3" t="s">
        <v>20</v>
      </c>
      <c r="F373" s="3"/>
      <c r="G373" s="3"/>
      <c r="H373" s="3"/>
      <c r="I373" s="3"/>
      <c r="J373" s="3">
        <v>0</v>
      </c>
      <c r="K373" s="3">
        <v>0</v>
      </c>
      <c r="L373" s="3">
        <v>0</v>
      </c>
      <c r="M373" s="3">
        <v>0</v>
      </c>
      <c r="N373" s="3">
        <v>0</v>
      </c>
      <c r="O373" s="3"/>
      <c r="P373" s="3">
        <v>0</v>
      </c>
      <c r="Q373" s="3">
        <v>0</v>
      </c>
      <c r="R373" s="3">
        <v>0</v>
      </c>
    </row>
    <row r="374" spans="1:18">
      <c r="A374" s="3" t="s">
        <v>923</v>
      </c>
      <c r="B374" s="3" t="s">
        <v>924</v>
      </c>
      <c r="C374" s="3" t="s">
        <v>925</v>
      </c>
      <c r="D374" s="3"/>
      <c r="E374" s="3" t="s">
        <v>20</v>
      </c>
      <c r="F374" s="3"/>
      <c r="G374" s="3"/>
      <c r="H374" s="3"/>
      <c r="I374" s="3"/>
      <c r="J374" s="3">
        <v>0</v>
      </c>
      <c r="K374" s="3">
        <v>0</v>
      </c>
      <c r="L374" s="3">
        <v>0</v>
      </c>
      <c r="M374" s="3">
        <v>0</v>
      </c>
      <c r="N374" s="3">
        <v>0</v>
      </c>
      <c r="O374" s="3"/>
      <c r="P374" s="3">
        <v>0</v>
      </c>
      <c r="Q374" s="3">
        <v>0</v>
      </c>
      <c r="R374" s="3">
        <v>0</v>
      </c>
    </row>
    <row r="375" spans="1:18">
      <c r="A375" s="3" t="s">
        <v>926</v>
      </c>
      <c r="B375" s="3" t="s">
        <v>927</v>
      </c>
      <c r="C375" s="3" t="s">
        <v>928</v>
      </c>
      <c r="D375" s="3"/>
      <c r="E375" s="3" t="s">
        <v>20</v>
      </c>
      <c r="F375" s="3"/>
      <c r="G375" s="3"/>
      <c r="H375" s="3"/>
      <c r="I375" s="3"/>
      <c r="J375" s="3">
        <v>0</v>
      </c>
      <c r="K375" s="3">
        <v>0</v>
      </c>
      <c r="L375" s="3">
        <v>0</v>
      </c>
      <c r="M375" s="3">
        <v>0</v>
      </c>
      <c r="N375" s="3">
        <v>0</v>
      </c>
      <c r="O375" s="3"/>
      <c r="P375" s="3">
        <v>0</v>
      </c>
      <c r="Q375" s="3">
        <v>0</v>
      </c>
      <c r="R375" s="3">
        <v>0</v>
      </c>
    </row>
    <row r="376" spans="1:18">
      <c r="A376" s="3" t="s">
        <v>929</v>
      </c>
      <c r="B376" s="3" t="s">
        <v>930</v>
      </c>
      <c r="C376" s="3" t="s">
        <v>931</v>
      </c>
      <c r="D376" s="3"/>
      <c r="E376" s="3" t="s">
        <v>20</v>
      </c>
      <c r="F376" s="3"/>
      <c r="G376" s="3"/>
      <c r="H376" s="3"/>
      <c r="I376" s="3"/>
      <c r="J376" s="3">
        <v>0</v>
      </c>
      <c r="K376" s="3">
        <v>0</v>
      </c>
      <c r="L376" s="3">
        <v>0</v>
      </c>
      <c r="M376" s="3">
        <v>0</v>
      </c>
      <c r="N376" s="3">
        <v>0</v>
      </c>
      <c r="O376" s="3"/>
      <c r="P376" s="3">
        <v>0</v>
      </c>
      <c r="Q376" s="3">
        <v>0</v>
      </c>
      <c r="R376" s="3">
        <v>0</v>
      </c>
    </row>
    <row r="377" spans="1:18">
      <c r="A377" s="3" t="s">
        <v>932</v>
      </c>
      <c r="B377" s="3" t="s">
        <v>933</v>
      </c>
      <c r="C377" s="3" t="s">
        <v>934</v>
      </c>
      <c r="D377" s="3"/>
      <c r="E377" s="3" t="s">
        <v>20</v>
      </c>
      <c r="F377" s="3"/>
      <c r="G377" s="3"/>
      <c r="H377" s="3"/>
      <c r="I377" s="3"/>
      <c r="J377" s="3">
        <v>0</v>
      </c>
      <c r="K377" s="3">
        <v>0</v>
      </c>
      <c r="L377" s="3">
        <v>0</v>
      </c>
      <c r="M377" s="3">
        <v>0</v>
      </c>
      <c r="N377" s="3">
        <v>0</v>
      </c>
      <c r="O377" s="3"/>
      <c r="P377" s="3">
        <v>0</v>
      </c>
      <c r="Q377" s="3">
        <v>0</v>
      </c>
      <c r="R377" s="3">
        <v>0</v>
      </c>
    </row>
    <row r="378" spans="1:18">
      <c r="A378" s="3" t="s">
        <v>935</v>
      </c>
      <c r="B378" s="3" t="s">
        <v>936</v>
      </c>
      <c r="C378" s="3" t="s">
        <v>937</v>
      </c>
      <c r="D378" s="3"/>
      <c r="E378" s="3" t="s">
        <v>20</v>
      </c>
      <c r="F378" s="3"/>
      <c r="G378" s="3"/>
      <c r="H378" s="3"/>
      <c r="I378" s="3"/>
      <c r="J378" s="3">
        <v>0</v>
      </c>
      <c r="K378" s="3">
        <v>0</v>
      </c>
      <c r="L378" s="3">
        <v>0</v>
      </c>
      <c r="M378" s="3">
        <v>0</v>
      </c>
      <c r="N378" s="3">
        <v>0</v>
      </c>
      <c r="O378" s="3"/>
      <c r="P378" s="3">
        <v>0</v>
      </c>
      <c r="Q378" s="3">
        <v>0</v>
      </c>
      <c r="R378" s="3">
        <v>0</v>
      </c>
    </row>
    <row r="379" spans="1:18">
      <c r="A379" s="3" t="s">
        <v>938</v>
      </c>
      <c r="B379" s="3" t="s">
        <v>939</v>
      </c>
      <c r="C379" s="3" t="s">
        <v>940</v>
      </c>
      <c r="D379" s="3"/>
      <c r="E379" s="3" t="s">
        <v>20</v>
      </c>
      <c r="F379" s="3"/>
      <c r="G379" s="3"/>
      <c r="H379" s="3"/>
      <c r="I379" s="3"/>
      <c r="J379" s="3">
        <v>0</v>
      </c>
      <c r="K379" s="3">
        <v>0</v>
      </c>
      <c r="L379" s="3">
        <v>0</v>
      </c>
      <c r="M379" s="3">
        <v>0</v>
      </c>
      <c r="N379" s="3">
        <v>0</v>
      </c>
      <c r="O379" s="3"/>
      <c r="P379" s="3">
        <v>0</v>
      </c>
      <c r="Q379" s="3">
        <v>0</v>
      </c>
      <c r="R379" s="3">
        <v>0</v>
      </c>
    </row>
    <row r="380" spans="1:18">
      <c r="A380" s="3" t="s">
        <v>941</v>
      </c>
      <c r="B380" s="3" t="s">
        <v>942</v>
      </c>
      <c r="C380" s="3" t="s">
        <v>943</v>
      </c>
      <c r="D380" s="3"/>
      <c r="E380" s="3" t="s">
        <v>20</v>
      </c>
      <c r="F380" s="3"/>
      <c r="G380" s="3"/>
      <c r="H380" s="3"/>
      <c r="I380" s="3"/>
      <c r="J380" s="3">
        <v>0</v>
      </c>
      <c r="K380" s="3">
        <v>0</v>
      </c>
      <c r="L380" s="3">
        <v>0</v>
      </c>
      <c r="M380" s="3">
        <v>0</v>
      </c>
      <c r="N380" s="3">
        <v>0</v>
      </c>
      <c r="O380" s="3"/>
      <c r="P380" s="3">
        <v>0</v>
      </c>
      <c r="Q380" s="3">
        <v>0</v>
      </c>
      <c r="R380" s="3">
        <v>0</v>
      </c>
    </row>
    <row r="381" spans="1:18">
      <c r="A381" s="3" t="s">
        <v>944</v>
      </c>
      <c r="B381" s="3" t="s">
        <v>945</v>
      </c>
      <c r="C381" s="3" t="s">
        <v>946</v>
      </c>
      <c r="D381" s="3"/>
      <c r="E381" s="3" t="s">
        <v>20</v>
      </c>
      <c r="F381" s="3"/>
      <c r="G381" s="3"/>
      <c r="H381" s="3"/>
      <c r="I381" s="3"/>
      <c r="J381" s="3">
        <v>0</v>
      </c>
      <c r="K381" s="3">
        <v>0</v>
      </c>
      <c r="L381" s="3">
        <v>0</v>
      </c>
      <c r="M381" s="3">
        <v>0</v>
      </c>
      <c r="N381" s="3">
        <v>0</v>
      </c>
      <c r="O381" s="3"/>
      <c r="P381" s="3">
        <v>0</v>
      </c>
      <c r="Q381" s="3">
        <v>0</v>
      </c>
      <c r="R381" s="3">
        <v>0</v>
      </c>
    </row>
    <row r="382" spans="1:18">
      <c r="A382" s="3" t="s">
        <v>947</v>
      </c>
      <c r="B382" s="3" t="s">
        <v>948</v>
      </c>
      <c r="C382" s="3" t="s">
        <v>949</v>
      </c>
      <c r="D382" s="3"/>
      <c r="E382" s="3" t="s">
        <v>20</v>
      </c>
      <c r="F382" s="3"/>
      <c r="G382" s="3"/>
      <c r="H382" s="3"/>
      <c r="I382" s="3"/>
      <c r="J382" s="3">
        <v>0</v>
      </c>
      <c r="K382" s="3">
        <v>0</v>
      </c>
      <c r="L382" s="3">
        <v>0</v>
      </c>
      <c r="M382" s="3">
        <v>0</v>
      </c>
      <c r="N382" s="3">
        <v>0</v>
      </c>
      <c r="O382" s="3"/>
      <c r="P382" s="3">
        <v>0</v>
      </c>
      <c r="Q382" s="3">
        <v>0</v>
      </c>
      <c r="R382" s="3">
        <v>0</v>
      </c>
    </row>
    <row r="383" spans="1:18">
      <c r="A383" s="3" t="s">
        <v>950</v>
      </c>
      <c r="B383" s="3" t="s">
        <v>951</v>
      </c>
      <c r="C383" s="3" t="s">
        <v>952</v>
      </c>
      <c r="D383" s="3"/>
      <c r="E383" s="3" t="s">
        <v>20</v>
      </c>
      <c r="F383" s="3"/>
      <c r="G383" s="3"/>
      <c r="H383" s="3"/>
      <c r="I383" s="3"/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/>
      <c r="P383" s="3">
        <v>0</v>
      </c>
      <c r="Q383" s="3">
        <v>0</v>
      </c>
      <c r="R383" s="3">
        <v>0</v>
      </c>
    </row>
    <row r="384" spans="1:18">
      <c r="A384" s="3" t="s">
        <v>953</v>
      </c>
      <c r="B384" s="3" t="s">
        <v>954</v>
      </c>
      <c r="C384" s="3" t="s">
        <v>955</v>
      </c>
      <c r="D384" s="3"/>
      <c r="E384" s="3" t="s">
        <v>20</v>
      </c>
      <c r="F384" s="3"/>
      <c r="G384" s="3"/>
      <c r="H384" s="3"/>
      <c r="I384" s="3"/>
      <c r="J384" s="3">
        <v>0</v>
      </c>
      <c r="K384" s="3">
        <v>0</v>
      </c>
      <c r="L384" s="3">
        <v>0</v>
      </c>
      <c r="M384" s="3">
        <v>0</v>
      </c>
      <c r="N384" s="3">
        <v>0</v>
      </c>
      <c r="O384" s="3"/>
      <c r="P384" s="3">
        <v>0</v>
      </c>
      <c r="Q384" s="3">
        <v>0</v>
      </c>
      <c r="R384" s="3">
        <v>0</v>
      </c>
    </row>
    <row r="385" spans="1:18">
      <c r="A385" s="3" t="s">
        <v>956</v>
      </c>
      <c r="B385" s="3" t="s">
        <v>957</v>
      </c>
      <c r="C385" s="3" t="s">
        <v>958</v>
      </c>
      <c r="D385" s="3"/>
      <c r="E385" s="3" t="s">
        <v>20</v>
      </c>
      <c r="F385" s="3"/>
      <c r="G385" s="3"/>
      <c r="H385" s="3"/>
      <c r="I385" s="3"/>
      <c r="J385" s="3">
        <v>0</v>
      </c>
      <c r="K385" s="3">
        <v>0</v>
      </c>
      <c r="L385" s="3">
        <v>0</v>
      </c>
      <c r="M385" s="3">
        <v>0</v>
      </c>
      <c r="N385" s="3">
        <v>0</v>
      </c>
      <c r="O385" s="3"/>
      <c r="P385" s="3">
        <v>0</v>
      </c>
      <c r="Q385" s="3">
        <v>0</v>
      </c>
      <c r="R385" s="3">
        <v>0</v>
      </c>
    </row>
    <row r="386" spans="1:18">
      <c r="A386" s="3" t="s">
        <v>959</v>
      </c>
      <c r="B386" s="3" t="s">
        <v>960</v>
      </c>
      <c r="C386" s="3" t="s">
        <v>961</v>
      </c>
      <c r="D386" s="3"/>
      <c r="E386" s="3" t="s">
        <v>20</v>
      </c>
      <c r="F386" s="3"/>
      <c r="G386" s="3"/>
      <c r="H386" s="3"/>
      <c r="I386" s="3"/>
      <c r="J386" s="3">
        <v>0</v>
      </c>
      <c r="K386" s="3">
        <v>0</v>
      </c>
      <c r="L386" s="3">
        <v>0</v>
      </c>
      <c r="M386" s="3">
        <v>0</v>
      </c>
      <c r="N386" s="3">
        <v>0</v>
      </c>
      <c r="O386" s="3"/>
      <c r="P386" s="3">
        <v>0</v>
      </c>
      <c r="Q386" s="3">
        <v>0</v>
      </c>
      <c r="R386" s="3">
        <v>0</v>
      </c>
    </row>
    <row r="387" spans="1:18">
      <c r="A387" s="3" t="s">
        <v>962</v>
      </c>
      <c r="B387" s="3" t="s">
        <v>963</v>
      </c>
      <c r="C387" s="3" t="s">
        <v>964</v>
      </c>
      <c r="D387" s="3"/>
      <c r="E387" s="3" t="s">
        <v>20</v>
      </c>
      <c r="F387" s="3"/>
      <c r="G387" s="3"/>
      <c r="H387" s="3"/>
      <c r="I387" s="3"/>
      <c r="J387" s="3">
        <v>0</v>
      </c>
      <c r="K387" s="3">
        <v>0</v>
      </c>
      <c r="L387" s="3">
        <v>0</v>
      </c>
      <c r="M387" s="3">
        <v>0</v>
      </c>
      <c r="N387" s="3">
        <v>0</v>
      </c>
      <c r="O387" s="3"/>
      <c r="P387" s="3">
        <v>0</v>
      </c>
      <c r="Q387" s="3">
        <v>0</v>
      </c>
      <c r="R387" s="3">
        <v>0</v>
      </c>
    </row>
    <row r="388" spans="1:18">
      <c r="A388" s="3" t="s">
        <v>965</v>
      </c>
      <c r="B388" s="3" t="s">
        <v>966</v>
      </c>
      <c r="C388" s="3" t="s">
        <v>967</v>
      </c>
      <c r="D388" s="3"/>
      <c r="E388" s="3" t="s">
        <v>20</v>
      </c>
      <c r="F388" s="3"/>
      <c r="G388" s="3"/>
      <c r="H388" s="3"/>
      <c r="I388" s="3"/>
      <c r="J388" s="3">
        <v>0</v>
      </c>
      <c r="K388" s="3">
        <v>0</v>
      </c>
      <c r="L388" s="3">
        <v>0</v>
      </c>
      <c r="M388" s="3">
        <v>0</v>
      </c>
      <c r="N388" s="3">
        <v>0</v>
      </c>
      <c r="O388" s="3"/>
      <c r="P388" s="3">
        <v>0</v>
      </c>
      <c r="Q388" s="3">
        <v>0</v>
      </c>
      <c r="R388" s="3">
        <v>0</v>
      </c>
    </row>
    <row r="389" spans="1:18">
      <c r="A389" s="3" t="s">
        <v>968</v>
      </c>
      <c r="B389" s="3" t="s">
        <v>969</v>
      </c>
      <c r="C389" s="3" t="s">
        <v>970</v>
      </c>
      <c r="D389" s="3"/>
      <c r="E389" s="3" t="s">
        <v>20</v>
      </c>
      <c r="F389" s="3"/>
      <c r="G389" s="3"/>
      <c r="H389" s="3"/>
      <c r="I389" s="3"/>
      <c r="J389" s="3">
        <v>0</v>
      </c>
      <c r="K389" s="3">
        <v>0</v>
      </c>
      <c r="L389" s="3">
        <v>0</v>
      </c>
      <c r="M389" s="3">
        <v>0</v>
      </c>
      <c r="N389" s="3">
        <v>0</v>
      </c>
      <c r="O389" s="3"/>
      <c r="P389" s="3">
        <v>0</v>
      </c>
      <c r="Q389" s="3">
        <v>0</v>
      </c>
      <c r="R389" s="3">
        <v>0</v>
      </c>
    </row>
    <row r="390" spans="1:18">
      <c r="A390" s="3" t="s">
        <v>971</v>
      </c>
      <c r="B390" s="3" t="s">
        <v>972</v>
      </c>
      <c r="C390" s="3" t="s">
        <v>973</v>
      </c>
      <c r="D390" s="3"/>
      <c r="E390" s="3" t="s">
        <v>20</v>
      </c>
      <c r="F390" s="3"/>
      <c r="G390" s="3"/>
      <c r="H390" s="3"/>
      <c r="I390" s="3"/>
      <c r="J390" s="3">
        <v>0</v>
      </c>
      <c r="K390" s="3">
        <v>0</v>
      </c>
      <c r="L390" s="3">
        <v>0</v>
      </c>
      <c r="M390" s="3">
        <v>0</v>
      </c>
      <c r="N390" s="3">
        <v>0</v>
      </c>
      <c r="O390" s="3"/>
      <c r="P390" s="3">
        <v>0</v>
      </c>
      <c r="Q390" s="3">
        <v>0</v>
      </c>
      <c r="R390" s="3">
        <v>0</v>
      </c>
    </row>
    <row r="391" spans="1:18">
      <c r="A391" s="3" t="s">
        <v>974</v>
      </c>
      <c r="B391" s="3" t="s">
        <v>975</v>
      </c>
      <c r="C391" s="3" t="s">
        <v>976</v>
      </c>
      <c r="D391" s="3"/>
      <c r="E391" s="3" t="s">
        <v>20</v>
      </c>
      <c r="F391" s="3"/>
      <c r="G391" s="3"/>
      <c r="H391" s="3"/>
      <c r="I391" s="3"/>
      <c r="J391" s="3">
        <v>0</v>
      </c>
      <c r="K391" s="3">
        <v>0</v>
      </c>
      <c r="L391" s="3">
        <v>0</v>
      </c>
      <c r="M391" s="3">
        <v>0</v>
      </c>
      <c r="N391" s="3">
        <v>0</v>
      </c>
      <c r="O391" s="3"/>
      <c r="P391" s="3">
        <v>0</v>
      </c>
      <c r="Q391" s="3">
        <v>0</v>
      </c>
      <c r="R391" s="3">
        <v>0</v>
      </c>
    </row>
    <row r="392" spans="1:18">
      <c r="A392" s="3" t="s">
        <v>977</v>
      </c>
      <c r="B392" s="3" t="s">
        <v>978</v>
      </c>
      <c r="C392" s="3" t="s">
        <v>979</v>
      </c>
      <c r="D392" s="3"/>
      <c r="E392" s="3" t="s">
        <v>20</v>
      </c>
      <c r="F392" s="3"/>
      <c r="G392" s="3"/>
      <c r="H392" s="3"/>
      <c r="I392" s="3"/>
      <c r="J392" s="3">
        <v>0</v>
      </c>
      <c r="K392" s="3">
        <v>0</v>
      </c>
      <c r="L392" s="3">
        <v>0</v>
      </c>
      <c r="M392" s="3">
        <v>0</v>
      </c>
      <c r="N392" s="3">
        <v>0</v>
      </c>
      <c r="O392" s="3"/>
      <c r="P392" s="3">
        <v>0</v>
      </c>
      <c r="Q392" s="3">
        <v>0</v>
      </c>
      <c r="R392" s="3">
        <v>0</v>
      </c>
    </row>
    <row r="393" spans="1:18">
      <c r="A393" s="3" t="s">
        <v>980</v>
      </c>
      <c r="B393" s="3" t="s">
        <v>981</v>
      </c>
      <c r="C393" s="3" t="s">
        <v>982</v>
      </c>
      <c r="D393" s="3"/>
      <c r="E393" s="3" t="s">
        <v>20</v>
      </c>
      <c r="F393" s="3"/>
      <c r="G393" s="3"/>
      <c r="H393" s="3"/>
      <c r="I393" s="3"/>
      <c r="J393" s="3">
        <v>0</v>
      </c>
      <c r="K393" s="3">
        <v>0</v>
      </c>
      <c r="L393" s="3">
        <v>0</v>
      </c>
      <c r="M393" s="3">
        <v>0</v>
      </c>
      <c r="N393" s="3">
        <v>0</v>
      </c>
      <c r="O393" s="3"/>
      <c r="P393" s="3">
        <v>0</v>
      </c>
      <c r="Q393" s="3">
        <v>0</v>
      </c>
      <c r="R393" s="3">
        <v>0</v>
      </c>
    </row>
    <row r="394" spans="1:18">
      <c r="A394" s="3" t="s">
        <v>983</v>
      </c>
      <c r="B394" s="3" t="s">
        <v>984</v>
      </c>
      <c r="C394" s="3" t="s">
        <v>985</v>
      </c>
      <c r="D394" s="3"/>
      <c r="E394" s="3" t="s">
        <v>20</v>
      </c>
      <c r="F394" s="3"/>
      <c r="G394" s="3"/>
      <c r="H394" s="3"/>
      <c r="I394" s="3"/>
      <c r="J394" s="3">
        <v>0</v>
      </c>
      <c r="K394" s="3">
        <v>0</v>
      </c>
      <c r="L394" s="3">
        <v>0</v>
      </c>
      <c r="M394" s="3">
        <v>0</v>
      </c>
      <c r="N394" s="3">
        <v>0</v>
      </c>
      <c r="O394" s="3"/>
      <c r="P394" s="3">
        <v>0</v>
      </c>
      <c r="Q394" s="3">
        <v>0</v>
      </c>
      <c r="R394" s="3">
        <v>0</v>
      </c>
    </row>
    <row r="395" spans="1:18">
      <c r="A395" s="3" t="s">
        <v>986</v>
      </c>
      <c r="B395" s="3" t="s">
        <v>987</v>
      </c>
      <c r="C395" s="3" t="s">
        <v>988</v>
      </c>
      <c r="D395" s="3"/>
      <c r="E395" s="3" t="s">
        <v>20</v>
      </c>
      <c r="F395" s="3"/>
      <c r="G395" s="3"/>
      <c r="H395" s="3"/>
      <c r="I395" s="3"/>
      <c r="J395" s="3">
        <v>0</v>
      </c>
      <c r="K395" s="3">
        <v>0</v>
      </c>
      <c r="L395" s="3">
        <v>0</v>
      </c>
      <c r="M395" s="3">
        <v>0</v>
      </c>
      <c r="N395" s="3">
        <v>0</v>
      </c>
      <c r="O395" s="3"/>
      <c r="P395" s="3">
        <v>0</v>
      </c>
      <c r="Q395" s="3">
        <v>0</v>
      </c>
      <c r="R395" s="3">
        <v>0</v>
      </c>
    </row>
    <row r="396" spans="1:18">
      <c r="A396" s="3" t="s">
        <v>989</v>
      </c>
      <c r="B396" s="3" t="s">
        <v>990</v>
      </c>
      <c r="C396" s="3" t="s">
        <v>991</v>
      </c>
      <c r="D396" s="3"/>
      <c r="E396" s="3" t="s">
        <v>20</v>
      </c>
      <c r="F396" s="3"/>
      <c r="G396" s="3"/>
      <c r="H396" s="3"/>
      <c r="I396" s="3"/>
      <c r="J396" s="3">
        <v>0</v>
      </c>
      <c r="K396" s="3">
        <v>0</v>
      </c>
      <c r="L396" s="3">
        <v>0</v>
      </c>
      <c r="M396" s="3">
        <v>0</v>
      </c>
      <c r="N396" s="3">
        <v>0</v>
      </c>
      <c r="O396" s="3"/>
      <c r="P396" s="3">
        <v>0</v>
      </c>
      <c r="Q396" s="3">
        <v>0</v>
      </c>
      <c r="R396" s="3">
        <v>0</v>
      </c>
    </row>
    <row r="397" spans="1:18">
      <c r="A397" s="3" t="s">
        <v>992</v>
      </c>
      <c r="B397" s="3" t="s">
        <v>993</v>
      </c>
      <c r="C397" s="3" t="s">
        <v>994</v>
      </c>
      <c r="D397" s="3"/>
      <c r="E397" s="3" t="s">
        <v>20</v>
      </c>
      <c r="F397" s="3"/>
      <c r="G397" s="3"/>
      <c r="H397" s="3"/>
      <c r="I397" s="3"/>
      <c r="J397" s="3">
        <v>0</v>
      </c>
      <c r="K397" s="3">
        <v>0</v>
      </c>
      <c r="L397" s="3">
        <v>0</v>
      </c>
      <c r="M397" s="3">
        <v>0</v>
      </c>
      <c r="N397" s="3">
        <v>0</v>
      </c>
      <c r="O397" s="3"/>
      <c r="P397" s="3">
        <v>0</v>
      </c>
      <c r="Q397" s="3">
        <v>0</v>
      </c>
      <c r="R397" s="3">
        <v>0</v>
      </c>
    </row>
    <row r="398" spans="1:18">
      <c r="A398" s="3" t="s">
        <v>995</v>
      </c>
      <c r="B398" s="3" t="s">
        <v>996</v>
      </c>
      <c r="C398" s="3" t="s">
        <v>997</v>
      </c>
      <c r="D398" s="3"/>
      <c r="E398" s="3" t="s">
        <v>20</v>
      </c>
      <c r="F398" s="3"/>
      <c r="G398" s="3"/>
      <c r="H398" s="3"/>
      <c r="I398" s="3"/>
      <c r="J398" s="3">
        <v>0</v>
      </c>
      <c r="K398" s="3">
        <v>0</v>
      </c>
      <c r="L398" s="3">
        <v>0</v>
      </c>
      <c r="M398" s="3">
        <v>0</v>
      </c>
      <c r="N398" s="3">
        <v>0</v>
      </c>
      <c r="O398" s="3"/>
      <c r="P398" s="3">
        <v>0</v>
      </c>
      <c r="Q398" s="3">
        <v>0</v>
      </c>
      <c r="R398" s="3">
        <v>0</v>
      </c>
    </row>
    <row r="399" spans="1:18">
      <c r="A399" s="3" t="s">
        <v>998</v>
      </c>
      <c r="B399" s="3" t="s">
        <v>999</v>
      </c>
      <c r="C399" s="3" t="s">
        <v>1000</v>
      </c>
      <c r="D399" s="3"/>
      <c r="E399" s="3" t="s">
        <v>20</v>
      </c>
      <c r="F399" s="3"/>
      <c r="G399" s="3"/>
      <c r="H399" s="3"/>
      <c r="I399" s="3"/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/>
      <c r="P399" s="3">
        <v>0</v>
      </c>
      <c r="Q399" s="3">
        <v>0</v>
      </c>
      <c r="R399" s="3">
        <v>0</v>
      </c>
    </row>
    <row r="400" spans="1:18">
      <c r="A400" s="3" t="s">
        <v>1001</v>
      </c>
      <c r="B400" s="3" t="s">
        <v>1002</v>
      </c>
      <c r="C400" s="3" t="s">
        <v>1003</v>
      </c>
      <c r="D400" s="3"/>
      <c r="E400" s="3" t="s">
        <v>20</v>
      </c>
      <c r="F400" s="3"/>
      <c r="G400" s="3"/>
      <c r="H400" s="3"/>
      <c r="I400" s="3"/>
      <c r="J400" s="3">
        <v>0</v>
      </c>
      <c r="K400" s="3">
        <v>0</v>
      </c>
      <c r="L400" s="3">
        <v>0</v>
      </c>
      <c r="M400" s="3">
        <v>0</v>
      </c>
      <c r="N400" s="3">
        <v>0</v>
      </c>
      <c r="O400" s="3"/>
      <c r="P400" s="3">
        <v>0</v>
      </c>
      <c r="Q400" s="3">
        <v>0</v>
      </c>
      <c r="R400" s="3">
        <v>0</v>
      </c>
    </row>
    <row r="401" spans="1:18">
      <c r="A401" s="3" t="s">
        <v>1004</v>
      </c>
      <c r="B401" s="3" t="s">
        <v>1005</v>
      </c>
      <c r="C401" s="3" t="s">
        <v>1006</v>
      </c>
      <c r="D401" s="3"/>
      <c r="E401" s="3" t="s">
        <v>20</v>
      </c>
      <c r="F401" s="3"/>
      <c r="G401" s="3"/>
      <c r="H401" s="3"/>
      <c r="I401" s="3"/>
      <c r="J401" s="3">
        <v>0</v>
      </c>
      <c r="K401" s="3">
        <v>0</v>
      </c>
      <c r="L401" s="3">
        <v>0</v>
      </c>
      <c r="M401" s="3">
        <v>0</v>
      </c>
      <c r="N401" s="3">
        <v>0</v>
      </c>
      <c r="O401" s="3"/>
      <c r="P401" s="3">
        <v>0</v>
      </c>
      <c r="Q401" s="3">
        <v>0</v>
      </c>
      <c r="R401" s="3">
        <v>0</v>
      </c>
    </row>
    <row r="402" spans="1:18">
      <c r="A402" s="3" t="s">
        <v>1007</v>
      </c>
      <c r="B402" s="3" t="s">
        <v>1008</v>
      </c>
      <c r="C402" s="3" t="s">
        <v>1009</v>
      </c>
      <c r="D402" s="3"/>
      <c r="E402" s="3" t="s">
        <v>20</v>
      </c>
      <c r="F402" s="3"/>
      <c r="G402" s="3"/>
      <c r="H402" s="3"/>
      <c r="I402" s="3"/>
      <c r="J402" s="3">
        <v>0</v>
      </c>
      <c r="K402" s="3">
        <v>0</v>
      </c>
      <c r="L402" s="3">
        <v>0</v>
      </c>
      <c r="M402" s="3">
        <v>0</v>
      </c>
      <c r="N402" s="3">
        <v>0</v>
      </c>
      <c r="O402" s="3"/>
      <c r="P402" s="3">
        <v>0</v>
      </c>
      <c r="Q402" s="3">
        <v>0</v>
      </c>
      <c r="R402" s="3">
        <v>0</v>
      </c>
    </row>
    <row r="403" spans="1:18">
      <c r="A403" s="3" t="s">
        <v>1010</v>
      </c>
      <c r="B403" s="3" t="s">
        <v>1011</v>
      </c>
      <c r="C403" s="3" t="s">
        <v>302</v>
      </c>
      <c r="D403" s="3" t="s">
        <v>468</v>
      </c>
      <c r="E403" s="3" t="s">
        <v>120</v>
      </c>
      <c r="F403" s="3">
        <v>24.98</v>
      </c>
      <c r="G403" s="3" t="s">
        <v>121</v>
      </c>
      <c r="H403" s="3"/>
      <c r="I403" s="3" t="s">
        <v>122</v>
      </c>
      <c r="J403" s="3">
        <v>23</v>
      </c>
      <c r="K403" s="3">
        <v>23</v>
      </c>
      <c r="L403" s="3">
        <v>0</v>
      </c>
      <c r="M403" s="3">
        <v>0</v>
      </c>
      <c r="N403" s="3">
        <v>23</v>
      </c>
      <c r="O403" s="3">
        <v>0.06</v>
      </c>
      <c r="P403" s="3">
        <v>0</v>
      </c>
      <c r="Q403" s="3">
        <v>0</v>
      </c>
      <c r="R403" s="3">
        <v>0</v>
      </c>
    </row>
    <row r="404" spans="1:18">
      <c r="A404" s="3" t="s">
        <v>1012</v>
      </c>
      <c r="B404" s="3" t="s">
        <v>1013</v>
      </c>
      <c r="C404" s="3" t="s">
        <v>304</v>
      </c>
      <c r="D404" s="3" t="s">
        <v>470</v>
      </c>
      <c r="E404" s="3" t="s">
        <v>120</v>
      </c>
      <c r="F404" s="3">
        <v>24.98</v>
      </c>
      <c r="G404" s="3" t="s">
        <v>121</v>
      </c>
      <c r="H404" s="3"/>
      <c r="I404" s="3" t="s">
        <v>122</v>
      </c>
      <c r="J404" s="3">
        <v>20</v>
      </c>
      <c r="K404" s="3">
        <v>20</v>
      </c>
      <c r="L404" s="3">
        <v>0</v>
      </c>
      <c r="M404" s="3">
        <v>0</v>
      </c>
      <c r="N404" s="3">
        <v>20</v>
      </c>
      <c r="O404" s="3">
        <v>0.06</v>
      </c>
      <c r="P404" s="3">
        <v>0</v>
      </c>
      <c r="Q404" s="3">
        <v>0</v>
      </c>
      <c r="R404" s="3">
        <v>0</v>
      </c>
    </row>
    <row r="405" spans="1:18">
      <c r="A405" s="3" t="s">
        <v>1014</v>
      </c>
      <c r="B405" s="3" t="s">
        <v>1015</v>
      </c>
      <c r="C405" s="3" t="s">
        <v>1016</v>
      </c>
      <c r="D405" s="3" t="s">
        <v>1017</v>
      </c>
      <c r="E405" s="3" t="s">
        <v>120</v>
      </c>
      <c r="F405" s="3">
        <v>24.98</v>
      </c>
      <c r="G405" s="3" t="s">
        <v>121</v>
      </c>
      <c r="H405" s="3"/>
      <c r="I405" s="3" t="s">
        <v>122</v>
      </c>
      <c r="J405" s="3">
        <v>10</v>
      </c>
      <c r="K405" s="3">
        <v>10</v>
      </c>
      <c r="L405" s="3">
        <v>0</v>
      </c>
      <c r="M405" s="3">
        <v>0</v>
      </c>
      <c r="N405" s="3">
        <v>10</v>
      </c>
      <c r="O405" s="3">
        <v>0.12</v>
      </c>
      <c r="P405" s="3">
        <v>0</v>
      </c>
      <c r="Q405" s="3">
        <v>0</v>
      </c>
      <c r="R405" s="3">
        <v>0</v>
      </c>
    </row>
    <row r="406" spans="1:18">
      <c r="A406" s="3" t="s">
        <v>1018</v>
      </c>
      <c r="B406" s="3" t="s">
        <v>1019</v>
      </c>
      <c r="C406" s="3" t="s">
        <v>306</v>
      </c>
      <c r="D406" s="3" t="s">
        <v>472</v>
      </c>
      <c r="E406" s="3" t="s">
        <v>120</v>
      </c>
      <c r="F406" s="3">
        <v>24.98</v>
      </c>
      <c r="G406" s="3" t="s">
        <v>121</v>
      </c>
      <c r="H406" s="3"/>
      <c r="I406" s="3" t="s">
        <v>122</v>
      </c>
      <c r="J406" s="3">
        <v>23</v>
      </c>
      <c r="K406" s="3">
        <v>23</v>
      </c>
      <c r="L406" s="3">
        <v>0</v>
      </c>
      <c r="M406" s="3">
        <v>0</v>
      </c>
      <c r="N406" s="3">
        <v>23</v>
      </c>
      <c r="O406" s="3">
        <v>0.06</v>
      </c>
      <c r="P406" s="3">
        <v>0</v>
      </c>
      <c r="Q406" s="3">
        <v>0</v>
      </c>
      <c r="R406" s="3">
        <v>0</v>
      </c>
    </row>
    <row r="407" spans="1:18">
      <c r="A407" s="3" t="s">
        <v>1020</v>
      </c>
      <c r="B407" s="3" t="s">
        <v>1021</v>
      </c>
      <c r="C407" s="3" t="s">
        <v>1022</v>
      </c>
      <c r="D407" s="3" t="s">
        <v>1023</v>
      </c>
      <c r="E407" s="3" t="s">
        <v>120</v>
      </c>
      <c r="F407" s="3">
        <v>24.98</v>
      </c>
      <c r="G407" s="3" t="s">
        <v>121</v>
      </c>
      <c r="H407" s="3"/>
      <c r="I407" s="3" t="s">
        <v>122</v>
      </c>
      <c r="J407" s="3">
        <v>23</v>
      </c>
      <c r="K407" s="3">
        <v>23</v>
      </c>
      <c r="L407" s="3">
        <v>0</v>
      </c>
      <c r="M407" s="3">
        <v>0</v>
      </c>
      <c r="N407" s="3">
        <v>23</v>
      </c>
      <c r="O407" s="3">
        <v>0.1</v>
      </c>
      <c r="P407" s="3">
        <v>0</v>
      </c>
      <c r="Q407" s="3">
        <v>0</v>
      </c>
      <c r="R407" s="3">
        <v>0</v>
      </c>
    </row>
    <row r="408" spans="1:18">
      <c r="A408" s="3" t="s">
        <v>1024</v>
      </c>
      <c r="B408" s="3" t="s">
        <v>1025</v>
      </c>
      <c r="C408" s="3" t="s">
        <v>310</v>
      </c>
      <c r="D408" s="3" t="s">
        <v>348</v>
      </c>
      <c r="E408" s="3" t="s">
        <v>120</v>
      </c>
      <c r="F408" s="3">
        <v>24.98</v>
      </c>
      <c r="G408" s="3" t="s">
        <v>121</v>
      </c>
      <c r="H408" s="3"/>
      <c r="I408" s="3" t="s">
        <v>122</v>
      </c>
      <c r="J408" s="3">
        <v>0</v>
      </c>
      <c r="K408" s="3">
        <v>0</v>
      </c>
      <c r="L408" s="3">
        <v>0</v>
      </c>
      <c r="M408" s="3">
        <v>0</v>
      </c>
      <c r="N408" s="3">
        <v>0</v>
      </c>
      <c r="O408" s="3">
        <v>0.06</v>
      </c>
      <c r="P408" s="3">
        <v>0</v>
      </c>
      <c r="Q408" s="3">
        <v>0</v>
      </c>
      <c r="R408" s="3">
        <v>0</v>
      </c>
    </row>
    <row r="409" spans="1:18">
      <c r="A409" s="3" t="s">
        <v>1026</v>
      </c>
      <c r="B409" s="3" t="s">
        <v>1027</v>
      </c>
      <c r="C409" s="3" t="s">
        <v>312</v>
      </c>
      <c r="D409" s="3" t="s">
        <v>477</v>
      </c>
      <c r="E409" s="3" t="s">
        <v>120</v>
      </c>
      <c r="F409" s="3">
        <v>24.98</v>
      </c>
      <c r="G409" s="3" t="s">
        <v>121</v>
      </c>
      <c r="H409" s="3"/>
      <c r="I409" s="3" t="s">
        <v>122</v>
      </c>
      <c r="J409" s="3">
        <v>29</v>
      </c>
      <c r="K409" s="3">
        <v>29</v>
      </c>
      <c r="L409" s="3">
        <v>0</v>
      </c>
      <c r="M409" s="3">
        <v>0</v>
      </c>
      <c r="N409" s="3">
        <v>39</v>
      </c>
      <c r="O409" s="3">
        <v>0.21</v>
      </c>
      <c r="P409" s="3">
        <v>0</v>
      </c>
      <c r="Q409" s="3">
        <v>0</v>
      </c>
      <c r="R409" s="3">
        <v>10</v>
      </c>
    </row>
    <row r="410" spans="1:18">
      <c r="A410" s="3" t="s">
        <v>1028</v>
      </c>
      <c r="B410" s="3" t="s">
        <v>1029</v>
      </c>
      <c r="C410" s="3" t="s">
        <v>1030</v>
      </c>
      <c r="D410" s="3" t="s">
        <v>1031</v>
      </c>
      <c r="E410" s="3" t="s">
        <v>120</v>
      </c>
      <c r="F410" s="3">
        <v>24.98</v>
      </c>
      <c r="G410" s="3" t="s">
        <v>121</v>
      </c>
      <c r="H410" s="3"/>
      <c r="I410" s="3" t="s">
        <v>122</v>
      </c>
      <c r="J410" s="3">
        <v>0</v>
      </c>
      <c r="K410" s="3">
        <v>0</v>
      </c>
      <c r="L410" s="3">
        <v>0</v>
      </c>
      <c r="M410" s="3">
        <v>0</v>
      </c>
      <c r="N410" s="3">
        <v>0</v>
      </c>
      <c r="O410" s="3">
        <v>0.1</v>
      </c>
      <c r="P410" s="3">
        <v>0</v>
      </c>
      <c r="Q410" s="3">
        <v>0</v>
      </c>
      <c r="R410" s="3">
        <v>0</v>
      </c>
    </row>
    <row r="411" spans="1:18">
      <c r="A411" s="3" t="s">
        <v>1032</v>
      </c>
      <c r="B411" s="3" t="s">
        <v>1033</v>
      </c>
      <c r="C411" s="3" t="s">
        <v>317</v>
      </c>
      <c r="D411" s="3" t="s">
        <v>480</v>
      </c>
      <c r="E411" s="3" t="s">
        <v>120</v>
      </c>
      <c r="F411" s="3">
        <v>24.98</v>
      </c>
      <c r="G411" s="3" t="s">
        <v>121</v>
      </c>
      <c r="H411" s="3"/>
      <c r="I411" s="3" t="s">
        <v>122</v>
      </c>
      <c r="J411" s="3">
        <v>30</v>
      </c>
      <c r="K411" s="3">
        <v>30</v>
      </c>
      <c r="L411" s="3">
        <v>0</v>
      </c>
      <c r="M411" s="3">
        <v>0</v>
      </c>
      <c r="N411" s="3">
        <v>30</v>
      </c>
      <c r="O411" s="3">
        <v>0.06</v>
      </c>
      <c r="P411" s="3">
        <v>0</v>
      </c>
      <c r="Q411" s="3">
        <v>0</v>
      </c>
      <c r="R411" s="3">
        <v>0</v>
      </c>
    </row>
    <row r="412" spans="1:18">
      <c r="A412" s="3" t="s">
        <v>1034</v>
      </c>
      <c r="B412" s="3" t="s">
        <v>1035</v>
      </c>
      <c r="C412" s="3" t="s">
        <v>1036</v>
      </c>
      <c r="D412" s="3" t="s">
        <v>1037</v>
      </c>
      <c r="E412" s="3" t="s">
        <v>120</v>
      </c>
      <c r="F412" s="3">
        <v>35.98</v>
      </c>
      <c r="G412" s="3" t="s">
        <v>121</v>
      </c>
      <c r="H412" s="3"/>
      <c r="I412" s="3" t="s">
        <v>122</v>
      </c>
      <c r="J412" s="3">
        <v>20</v>
      </c>
      <c r="K412" s="3">
        <v>20</v>
      </c>
      <c r="L412" s="3">
        <v>0</v>
      </c>
      <c r="M412" s="3">
        <v>0</v>
      </c>
      <c r="N412" s="3">
        <v>20</v>
      </c>
      <c r="O412" s="3">
        <v>0.07</v>
      </c>
      <c r="P412" s="3">
        <v>0</v>
      </c>
      <c r="Q412" s="3">
        <v>0</v>
      </c>
      <c r="R412" s="3">
        <v>0</v>
      </c>
    </row>
    <row r="413" spans="1:18">
      <c r="A413" s="3" t="s">
        <v>1038</v>
      </c>
      <c r="B413" s="3" t="s">
        <v>1039</v>
      </c>
      <c r="C413" s="3" t="s">
        <v>1040</v>
      </c>
      <c r="D413" s="3" t="s">
        <v>1041</v>
      </c>
      <c r="E413" s="3" t="s">
        <v>120</v>
      </c>
      <c r="F413" s="3">
        <v>35.98</v>
      </c>
      <c r="G413" s="3" t="s">
        <v>121</v>
      </c>
      <c r="H413" s="3"/>
      <c r="I413" s="3" t="s">
        <v>122</v>
      </c>
      <c r="J413" s="3">
        <v>23</v>
      </c>
      <c r="K413" s="3">
        <v>23</v>
      </c>
      <c r="L413" s="3">
        <v>0</v>
      </c>
      <c r="M413" s="3">
        <v>0</v>
      </c>
      <c r="N413" s="3">
        <v>23</v>
      </c>
      <c r="O413" s="3">
        <v>0.15</v>
      </c>
      <c r="P413" s="3">
        <v>0</v>
      </c>
      <c r="Q413" s="3">
        <v>0</v>
      </c>
      <c r="R413" s="3">
        <v>0</v>
      </c>
    </row>
    <row r="414" spans="1:18">
      <c r="A414" s="3" t="s">
        <v>1042</v>
      </c>
      <c r="B414" s="3" t="s">
        <v>1043</v>
      </c>
      <c r="C414" s="3" t="s">
        <v>1044</v>
      </c>
      <c r="D414" s="3" t="s">
        <v>1045</v>
      </c>
      <c r="E414" s="3" t="s">
        <v>120</v>
      </c>
      <c r="F414" s="3">
        <v>35.98</v>
      </c>
      <c r="G414" s="3" t="s">
        <v>121</v>
      </c>
      <c r="H414" s="3"/>
      <c r="I414" s="3" t="s">
        <v>122</v>
      </c>
      <c r="J414" s="3">
        <v>0</v>
      </c>
      <c r="K414" s="3">
        <v>0</v>
      </c>
      <c r="L414" s="3">
        <v>0</v>
      </c>
      <c r="M414" s="3">
        <v>0</v>
      </c>
      <c r="N414" s="3">
        <v>0</v>
      </c>
      <c r="O414" s="3">
        <v>0.15</v>
      </c>
      <c r="P414" s="3">
        <v>0</v>
      </c>
      <c r="Q414" s="3">
        <v>0</v>
      </c>
      <c r="R414" s="3">
        <v>0</v>
      </c>
    </row>
    <row r="415" spans="1:18">
      <c r="A415" s="3" t="s">
        <v>1046</v>
      </c>
      <c r="B415" s="3" t="s">
        <v>1047</v>
      </c>
      <c r="C415" s="3" t="s">
        <v>1048</v>
      </c>
      <c r="D415" s="3" t="s">
        <v>1049</v>
      </c>
      <c r="E415" s="3" t="s">
        <v>120</v>
      </c>
      <c r="F415" s="3">
        <v>35.98</v>
      </c>
      <c r="G415" s="3" t="s">
        <v>121</v>
      </c>
      <c r="H415" s="3"/>
      <c r="I415" s="3" t="s">
        <v>122</v>
      </c>
      <c r="J415" s="3">
        <v>0</v>
      </c>
      <c r="K415" s="3">
        <v>0</v>
      </c>
      <c r="L415" s="3">
        <v>0</v>
      </c>
      <c r="M415" s="3">
        <v>0</v>
      </c>
      <c r="N415" s="3">
        <v>0</v>
      </c>
      <c r="O415" s="3">
        <v>0.15</v>
      </c>
      <c r="P415" s="3">
        <v>0</v>
      </c>
      <c r="Q415" s="3">
        <v>0</v>
      </c>
      <c r="R415" s="3">
        <v>0</v>
      </c>
    </row>
    <row r="416" spans="1:18">
      <c r="A416" s="3" t="s">
        <v>1050</v>
      </c>
      <c r="B416" s="3" t="s">
        <v>1051</v>
      </c>
      <c r="C416" s="3" t="s">
        <v>1052</v>
      </c>
      <c r="D416" s="3" t="s">
        <v>1053</v>
      </c>
      <c r="E416" s="3" t="s">
        <v>120</v>
      </c>
      <c r="F416" s="3">
        <v>35.98</v>
      </c>
      <c r="G416" s="3" t="s">
        <v>121</v>
      </c>
      <c r="H416" s="3"/>
      <c r="I416" s="3" t="s">
        <v>122</v>
      </c>
      <c r="J416" s="3">
        <v>46</v>
      </c>
      <c r="K416" s="3">
        <v>46</v>
      </c>
      <c r="L416" s="3">
        <v>0</v>
      </c>
      <c r="M416" s="3">
        <v>0</v>
      </c>
      <c r="N416" s="3">
        <v>46</v>
      </c>
      <c r="O416" s="3">
        <v>0.15</v>
      </c>
      <c r="P416" s="3">
        <v>0</v>
      </c>
      <c r="Q416" s="3">
        <v>0</v>
      </c>
      <c r="R416" s="3">
        <v>0</v>
      </c>
    </row>
    <row r="417" spans="1:18">
      <c r="A417" s="3" t="s">
        <v>1054</v>
      </c>
      <c r="B417" s="3" t="s">
        <v>1055</v>
      </c>
      <c r="C417" s="3" t="s">
        <v>1056</v>
      </c>
      <c r="D417" s="3" t="s">
        <v>1057</v>
      </c>
      <c r="E417" s="3" t="s">
        <v>120</v>
      </c>
      <c r="F417" s="3">
        <v>35.98</v>
      </c>
      <c r="G417" s="3" t="s">
        <v>121</v>
      </c>
      <c r="H417" s="3"/>
      <c r="I417" s="3" t="s">
        <v>122</v>
      </c>
      <c r="J417" s="3">
        <v>15</v>
      </c>
      <c r="K417" s="3">
        <v>15</v>
      </c>
      <c r="L417" s="3">
        <v>0</v>
      </c>
      <c r="M417" s="3">
        <v>0</v>
      </c>
      <c r="N417" s="3">
        <v>15</v>
      </c>
      <c r="O417" s="3">
        <v>0.12</v>
      </c>
      <c r="P417" s="3">
        <v>0</v>
      </c>
      <c r="Q417" s="3">
        <v>0</v>
      </c>
      <c r="R417" s="3">
        <v>0</v>
      </c>
    </row>
    <row r="418" spans="1:18">
      <c r="A418" s="3" t="s">
        <v>1058</v>
      </c>
      <c r="B418" s="3" t="s">
        <v>1059</v>
      </c>
      <c r="C418" s="3" t="s">
        <v>1060</v>
      </c>
      <c r="D418" s="3" t="s">
        <v>1061</v>
      </c>
      <c r="E418" s="3" t="s">
        <v>120</v>
      </c>
      <c r="F418" s="3">
        <v>35.98</v>
      </c>
      <c r="G418" s="3" t="s">
        <v>121</v>
      </c>
      <c r="H418" s="3"/>
      <c r="I418" s="3" t="s">
        <v>122</v>
      </c>
      <c r="J418" s="3">
        <v>0</v>
      </c>
      <c r="K418" s="3">
        <v>0</v>
      </c>
      <c r="L418" s="3">
        <v>0</v>
      </c>
      <c r="M418" s="3">
        <v>0</v>
      </c>
      <c r="N418" s="3">
        <v>0</v>
      </c>
      <c r="O418" s="3">
        <v>0.15</v>
      </c>
      <c r="P418" s="3">
        <v>0</v>
      </c>
      <c r="Q418" s="3">
        <v>0</v>
      </c>
      <c r="R418" s="3">
        <v>0</v>
      </c>
    </row>
    <row r="419" spans="1:18">
      <c r="A419" s="3" t="s">
        <v>1062</v>
      </c>
      <c r="B419" s="3" t="s">
        <v>1063</v>
      </c>
      <c r="C419" s="3" t="s">
        <v>1064</v>
      </c>
      <c r="D419" s="3" t="s">
        <v>1065</v>
      </c>
      <c r="E419" s="3" t="s">
        <v>120</v>
      </c>
      <c r="F419" s="3">
        <v>35.98</v>
      </c>
      <c r="G419" s="3" t="s">
        <v>121</v>
      </c>
      <c r="H419" s="3"/>
      <c r="I419" s="3" t="s">
        <v>122</v>
      </c>
      <c r="J419" s="3">
        <v>0</v>
      </c>
      <c r="K419" s="3">
        <v>0</v>
      </c>
      <c r="L419" s="3">
        <v>0</v>
      </c>
      <c r="M419" s="3">
        <v>0</v>
      </c>
      <c r="N419" s="3">
        <v>0</v>
      </c>
      <c r="O419" s="3">
        <v>0.15</v>
      </c>
      <c r="P419" s="3">
        <v>0</v>
      </c>
      <c r="Q419" s="3">
        <v>0</v>
      </c>
      <c r="R419" s="3">
        <v>0</v>
      </c>
    </row>
    <row r="420" spans="1:18">
      <c r="A420" s="3" t="s">
        <v>1066</v>
      </c>
      <c r="B420" s="3" t="s">
        <v>1067</v>
      </c>
      <c r="C420" s="3" t="s">
        <v>1068</v>
      </c>
      <c r="D420" s="3" t="s">
        <v>1069</v>
      </c>
      <c r="E420" s="3" t="s">
        <v>120</v>
      </c>
      <c r="F420" s="3">
        <v>35.98</v>
      </c>
      <c r="G420" s="3" t="s">
        <v>121</v>
      </c>
      <c r="H420" s="3"/>
      <c r="I420" s="3" t="s">
        <v>122</v>
      </c>
      <c r="J420" s="3">
        <v>0</v>
      </c>
      <c r="K420" s="3">
        <v>0</v>
      </c>
      <c r="L420" s="3">
        <v>0</v>
      </c>
      <c r="M420" s="3">
        <v>0</v>
      </c>
      <c r="N420" s="3">
        <v>0</v>
      </c>
      <c r="O420" s="3">
        <v>0.15</v>
      </c>
      <c r="P420" s="3">
        <v>0</v>
      </c>
      <c r="Q420" s="3">
        <v>0</v>
      </c>
      <c r="R420" s="3">
        <v>0</v>
      </c>
    </row>
    <row r="421" spans="1:18">
      <c r="A421" s="3" t="s">
        <v>1070</v>
      </c>
      <c r="B421" s="3" t="s">
        <v>1071</v>
      </c>
      <c r="C421" s="3" t="s">
        <v>1072</v>
      </c>
      <c r="D421" s="3" t="s">
        <v>1073</v>
      </c>
      <c r="E421" s="3" t="s">
        <v>120</v>
      </c>
      <c r="F421" s="3">
        <v>35.98</v>
      </c>
      <c r="G421" s="3" t="s">
        <v>121</v>
      </c>
      <c r="H421" s="3"/>
      <c r="I421" s="3" t="s">
        <v>122</v>
      </c>
      <c r="J421" s="3">
        <v>0</v>
      </c>
      <c r="K421" s="3">
        <v>0</v>
      </c>
      <c r="L421" s="3">
        <v>0</v>
      </c>
      <c r="M421" s="3">
        <v>0</v>
      </c>
      <c r="N421" s="3">
        <v>0</v>
      </c>
      <c r="O421" s="3">
        <v>0.15</v>
      </c>
      <c r="P421" s="3">
        <v>0</v>
      </c>
      <c r="Q421" s="3">
        <v>0</v>
      </c>
      <c r="R421" s="3">
        <v>0</v>
      </c>
    </row>
    <row r="422" spans="1:18">
      <c r="A422" s="3" t="s">
        <v>1074</v>
      </c>
      <c r="B422" s="3" t="s">
        <v>1075</v>
      </c>
      <c r="C422" s="3" t="s">
        <v>1076</v>
      </c>
      <c r="D422" s="3" t="s">
        <v>1077</v>
      </c>
      <c r="E422" s="3" t="s">
        <v>120</v>
      </c>
      <c r="F422" s="3">
        <v>35.98</v>
      </c>
      <c r="G422" s="3" t="s">
        <v>121</v>
      </c>
      <c r="H422" s="3"/>
      <c r="I422" s="3" t="s">
        <v>122</v>
      </c>
      <c r="J422" s="3">
        <v>14</v>
      </c>
      <c r="K422" s="3">
        <v>14</v>
      </c>
      <c r="L422" s="3">
        <v>0</v>
      </c>
      <c r="M422" s="3">
        <v>0</v>
      </c>
      <c r="N422" s="3">
        <v>14</v>
      </c>
      <c r="O422" s="3">
        <v>0.15</v>
      </c>
      <c r="P422" s="3">
        <v>0</v>
      </c>
      <c r="Q422" s="3">
        <v>0</v>
      </c>
      <c r="R422" s="3">
        <v>0</v>
      </c>
    </row>
    <row r="423" spans="1:18">
      <c r="A423" s="3" t="s">
        <v>1078</v>
      </c>
      <c r="B423" s="3" t="s">
        <v>1079</v>
      </c>
      <c r="C423" s="3" t="s">
        <v>1080</v>
      </c>
      <c r="D423" s="3" t="s">
        <v>1081</v>
      </c>
      <c r="E423" s="3" t="s">
        <v>120</v>
      </c>
      <c r="F423" s="3">
        <v>35.98</v>
      </c>
      <c r="G423" s="3" t="s">
        <v>121</v>
      </c>
      <c r="H423" s="3"/>
      <c r="I423" s="3" t="s">
        <v>122</v>
      </c>
      <c r="J423" s="3">
        <v>0</v>
      </c>
      <c r="K423" s="3">
        <v>0</v>
      </c>
      <c r="L423" s="3">
        <v>0</v>
      </c>
      <c r="M423" s="3">
        <v>0</v>
      </c>
      <c r="N423" s="3">
        <v>0</v>
      </c>
      <c r="O423" s="3">
        <v>0.15</v>
      </c>
      <c r="P423" s="3">
        <v>0</v>
      </c>
      <c r="Q423" s="3">
        <v>0</v>
      </c>
      <c r="R423" s="3">
        <v>0</v>
      </c>
    </row>
    <row r="424" spans="1:18">
      <c r="A424" s="3" t="s">
        <v>1082</v>
      </c>
      <c r="B424" s="3" t="s">
        <v>1083</v>
      </c>
      <c r="C424" s="3" t="s">
        <v>1084</v>
      </c>
      <c r="D424" s="3" t="s">
        <v>1085</v>
      </c>
      <c r="E424" s="3" t="s">
        <v>120</v>
      </c>
      <c r="F424" s="3">
        <v>35.98</v>
      </c>
      <c r="G424" s="3" t="s">
        <v>121</v>
      </c>
      <c r="H424" s="3"/>
      <c r="I424" s="3" t="s">
        <v>122</v>
      </c>
      <c r="J424" s="3">
        <v>0</v>
      </c>
      <c r="K424" s="3">
        <v>0</v>
      </c>
      <c r="L424" s="3">
        <v>0</v>
      </c>
      <c r="M424" s="3">
        <v>0</v>
      </c>
      <c r="N424" s="3">
        <v>0</v>
      </c>
      <c r="O424" s="3">
        <v>0.15</v>
      </c>
      <c r="P424" s="3">
        <v>0</v>
      </c>
      <c r="Q424" s="3">
        <v>0</v>
      </c>
      <c r="R424" s="3">
        <v>0</v>
      </c>
    </row>
    <row r="425" spans="1:18">
      <c r="A425" s="3" t="s">
        <v>1086</v>
      </c>
      <c r="B425" s="3" t="s">
        <v>1087</v>
      </c>
      <c r="C425" s="3" t="s">
        <v>1088</v>
      </c>
      <c r="D425" s="3" t="s">
        <v>1089</v>
      </c>
      <c r="E425" s="3" t="s">
        <v>120</v>
      </c>
      <c r="F425" s="3">
        <v>35.98</v>
      </c>
      <c r="G425" s="3" t="s">
        <v>121</v>
      </c>
      <c r="H425" s="3"/>
      <c r="I425" s="3" t="s">
        <v>122</v>
      </c>
      <c r="J425" s="3">
        <v>7</v>
      </c>
      <c r="K425" s="3">
        <v>7</v>
      </c>
      <c r="L425" s="3">
        <v>0</v>
      </c>
      <c r="M425" s="3">
        <v>0</v>
      </c>
      <c r="N425" s="3">
        <v>7</v>
      </c>
      <c r="O425" s="3">
        <v>0.15</v>
      </c>
      <c r="P425" s="3">
        <v>0</v>
      </c>
      <c r="Q425" s="3">
        <v>0</v>
      </c>
      <c r="R425" s="3">
        <v>0</v>
      </c>
    </row>
    <row r="426" spans="1:18">
      <c r="A426" s="3" t="s">
        <v>1090</v>
      </c>
      <c r="B426" s="3" t="s">
        <v>1091</v>
      </c>
      <c r="C426" s="3" t="s">
        <v>1092</v>
      </c>
      <c r="D426" s="3" t="s">
        <v>1093</v>
      </c>
      <c r="E426" s="3" t="s">
        <v>120</v>
      </c>
      <c r="F426" s="3">
        <v>35.98</v>
      </c>
      <c r="G426" s="3" t="s">
        <v>121</v>
      </c>
      <c r="H426" s="3"/>
      <c r="I426" s="3" t="s">
        <v>122</v>
      </c>
      <c r="J426" s="3">
        <v>10</v>
      </c>
      <c r="K426" s="3">
        <v>10</v>
      </c>
      <c r="L426" s="3">
        <v>0</v>
      </c>
      <c r="M426" s="3">
        <v>0</v>
      </c>
      <c r="N426" s="3">
        <v>10</v>
      </c>
      <c r="O426" s="3">
        <v>0.07</v>
      </c>
      <c r="P426" s="3">
        <v>0</v>
      </c>
      <c r="Q426" s="3">
        <v>0</v>
      </c>
      <c r="R426" s="3">
        <v>0</v>
      </c>
    </row>
    <row r="427" spans="1:18">
      <c r="A427" s="3" t="s">
        <v>1094</v>
      </c>
      <c r="B427" s="3" t="s">
        <v>1095</v>
      </c>
      <c r="C427" s="3" t="s">
        <v>1096</v>
      </c>
      <c r="D427" s="3" t="s">
        <v>1097</v>
      </c>
      <c r="E427" s="3" t="s">
        <v>120</v>
      </c>
      <c r="F427" s="3">
        <v>35.98</v>
      </c>
      <c r="G427" s="3" t="s">
        <v>121</v>
      </c>
      <c r="H427" s="3"/>
      <c r="I427" s="3" t="s">
        <v>122</v>
      </c>
      <c r="J427" s="3">
        <v>38</v>
      </c>
      <c r="K427" s="3">
        <v>37</v>
      </c>
      <c r="L427" s="3">
        <v>0</v>
      </c>
      <c r="M427" s="3">
        <v>1</v>
      </c>
      <c r="N427" s="3">
        <v>38</v>
      </c>
      <c r="O427" s="3">
        <v>0.12</v>
      </c>
      <c r="P427" s="3">
        <v>0</v>
      </c>
      <c r="Q427" s="3">
        <v>0</v>
      </c>
      <c r="R427" s="3">
        <v>0</v>
      </c>
    </row>
    <row r="428" spans="1:18">
      <c r="A428" s="3" t="s">
        <v>1098</v>
      </c>
      <c r="B428" s="3" t="s">
        <v>1099</v>
      </c>
      <c r="C428" s="3" t="s">
        <v>1100</v>
      </c>
      <c r="D428" s="3" t="s">
        <v>1101</v>
      </c>
      <c r="E428" s="3" t="s">
        <v>120</v>
      </c>
      <c r="F428" s="3">
        <v>35.98</v>
      </c>
      <c r="G428" s="3" t="s">
        <v>121</v>
      </c>
      <c r="H428" s="3"/>
      <c r="I428" s="3" t="s">
        <v>122</v>
      </c>
      <c r="J428" s="3">
        <v>23</v>
      </c>
      <c r="K428" s="3">
        <v>23</v>
      </c>
      <c r="L428" s="3">
        <v>0</v>
      </c>
      <c r="M428" s="3">
        <v>0</v>
      </c>
      <c r="N428" s="3">
        <v>23</v>
      </c>
      <c r="O428" s="3">
        <v>0.15</v>
      </c>
      <c r="P428" s="3">
        <v>0</v>
      </c>
      <c r="Q428" s="3">
        <v>0</v>
      </c>
      <c r="R428" s="3">
        <v>0</v>
      </c>
    </row>
    <row r="429" spans="1:18">
      <c r="A429" s="3" t="s">
        <v>1102</v>
      </c>
      <c r="B429" s="3" t="s">
        <v>1103</v>
      </c>
      <c r="C429" s="3" t="s">
        <v>1104</v>
      </c>
      <c r="D429" s="3" t="s">
        <v>1105</v>
      </c>
      <c r="E429" s="3" t="s">
        <v>120</v>
      </c>
      <c r="F429" s="3">
        <v>35.98</v>
      </c>
      <c r="G429" s="3" t="s">
        <v>121</v>
      </c>
      <c r="H429" s="3"/>
      <c r="I429" s="3" t="s">
        <v>122</v>
      </c>
      <c r="J429" s="3">
        <v>0</v>
      </c>
      <c r="K429" s="3">
        <v>0</v>
      </c>
      <c r="L429" s="3">
        <v>0</v>
      </c>
      <c r="M429" s="3">
        <v>0</v>
      </c>
      <c r="N429" s="3">
        <v>0</v>
      </c>
      <c r="O429" s="3">
        <v>0.15</v>
      </c>
      <c r="P429" s="3">
        <v>0</v>
      </c>
      <c r="Q429" s="3">
        <v>0</v>
      </c>
      <c r="R429" s="3">
        <v>0</v>
      </c>
    </row>
    <row r="430" spans="1:18">
      <c r="A430" s="3" t="s">
        <v>1106</v>
      </c>
      <c r="B430" s="3" t="s">
        <v>1107</v>
      </c>
      <c r="C430" s="3" t="s">
        <v>1108</v>
      </c>
      <c r="D430" s="3" t="s">
        <v>1109</v>
      </c>
      <c r="E430" s="3" t="s">
        <v>120</v>
      </c>
      <c r="F430" s="3">
        <v>35.98</v>
      </c>
      <c r="G430" s="3" t="s">
        <v>121</v>
      </c>
      <c r="H430" s="3"/>
      <c r="I430" s="3" t="s">
        <v>122</v>
      </c>
      <c r="J430" s="3">
        <v>42</v>
      </c>
      <c r="K430" s="3">
        <v>41</v>
      </c>
      <c r="L430" s="3">
        <v>0</v>
      </c>
      <c r="M430" s="3">
        <v>1</v>
      </c>
      <c r="N430" s="3">
        <v>42</v>
      </c>
      <c r="O430" s="3">
        <v>0.15</v>
      </c>
      <c r="P430" s="3">
        <v>0</v>
      </c>
      <c r="Q430" s="3">
        <v>0</v>
      </c>
      <c r="R430" s="3">
        <v>0</v>
      </c>
    </row>
    <row r="431" spans="1:18">
      <c r="A431" s="3" t="s">
        <v>1110</v>
      </c>
      <c r="B431" s="3" t="s">
        <v>1111</v>
      </c>
      <c r="C431" s="3" t="s">
        <v>1112</v>
      </c>
      <c r="D431" s="3" t="s">
        <v>1113</v>
      </c>
      <c r="E431" s="3" t="s">
        <v>120</v>
      </c>
      <c r="F431" s="3">
        <v>35.98</v>
      </c>
      <c r="G431" s="3" t="s">
        <v>121</v>
      </c>
      <c r="H431" s="3"/>
      <c r="I431" s="3" t="s">
        <v>122</v>
      </c>
      <c r="J431" s="3">
        <v>23</v>
      </c>
      <c r="K431" s="3">
        <v>23</v>
      </c>
      <c r="L431" s="3">
        <v>0</v>
      </c>
      <c r="M431" s="3">
        <v>0</v>
      </c>
      <c r="N431" s="3">
        <v>23</v>
      </c>
      <c r="O431" s="3">
        <v>0.15</v>
      </c>
      <c r="P431" s="3">
        <v>0</v>
      </c>
      <c r="Q431" s="3">
        <v>0</v>
      </c>
      <c r="R431" s="3">
        <v>0</v>
      </c>
    </row>
    <row r="432" spans="1:18">
      <c r="A432" s="3" t="s">
        <v>1114</v>
      </c>
      <c r="B432" s="3" t="s">
        <v>1115</v>
      </c>
      <c r="C432" s="3" t="s">
        <v>1116</v>
      </c>
      <c r="D432" s="3" t="s">
        <v>1117</v>
      </c>
      <c r="E432" s="3" t="s">
        <v>120</v>
      </c>
      <c r="F432" s="3">
        <v>35.98</v>
      </c>
      <c r="G432" s="3" t="s">
        <v>121</v>
      </c>
      <c r="H432" s="3"/>
      <c r="I432" s="3" t="s">
        <v>122</v>
      </c>
      <c r="J432" s="3">
        <v>9</v>
      </c>
      <c r="K432" s="3">
        <v>9</v>
      </c>
      <c r="L432" s="3">
        <v>0</v>
      </c>
      <c r="M432" s="3">
        <v>0</v>
      </c>
      <c r="N432" s="3">
        <v>9</v>
      </c>
      <c r="O432" s="3">
        <v>0.15</v>
      </c>
      <c r="P432" s="3">
        <v>0</v>
      </c>
      <c r="Q432" s="3">
        <v>0</v>
      </c>
      <c r="R432" s="3">
        <v>0</v>
      </c>
    </row>
    <row r="433" spans="1:18">
      <c r="A433" s="3" t="s">
        <v>1118</v>
      </c>
      <c r="B433" s="3" t="s">
        <v>1119</v>
      </c>
      <c r="C433" s="3" t="s">
        <v>1120</v>
      </c>
      <c r="D433" s="3" t="s">
        <v>1121</v>
      </c>
      <c r="E433" s="3" t="s">
        <v>120</v>
      </c>
      <c r="F433" s="3">
        <v>35.98</v>
      </c>
      <c r="G433" s="3" t="s">
        <v>121</v>
      </c>
      <c r="H433" s="3"/>
      <c r="I433" s="3" t="s">
        <v>122</v>
      </c>
      <c r="J433" s="3">
        <v>0</v>
      </c>
      <c r="K433" s="3">
        <v>0</v>
      </c>
      <c r="L433" s="3">
        <v>0</v>
      </c>
      <c r="M433" s="3">
        <v>0</v>
      </c>
      <c r="N433" s="3">
        <v>0</v>
      </c>
      <c r="O433" s="3">
        <v>0.15</v>
      </c>
      <c r="P433" s="3">
        <v>0</v>
      </c>
      <c r="Q433" s="3">
        <v>0</v>
      </c>
      <c r="R433" s="3">
        <v>0</v>
      </c>
    </row>
    <row r="434" spans="1:18">
      <c r="A434" s="3" t="s">
        <v>1122</v>
      </c>
      <c r="B434" s="3" t="s">
        <v>1123</v>
      </c>
      <c r="C434" s="3" t="s">
        <v>1124</v>
      </c>
      <c r="D434" s="3" t="s">
        <v>1125</v>
      </c>
      <c r="E434" s="3" t="s">
        <v>120</v>
      </c>
      <c r="F434" s="3">
        <v>35.98</v>
      </c>
      <c r="G434" s="3" t="s">
        <v>121</v>
      </c>
      <c r="H434" s="3"/>
      <c r="I434" s="3" t="s">
        <v>122</v>
      </c>
      <c r="J434" s="3">
        <v>0</v>
      </c>
      <c r="K434" s="3">
        <v>0</v>
      </c>
      <c r="L434" s="3">
        <v>0</v>
      </c>
      <c r="M434" s="3">
        <v>0</v>
      </c>
      <c r="N434" s="3">
        <v>0</v>
      </c>
      <c r="O434" s="3">
        <v>0.15</v>
      </c>
      <c r="P434" s="3">
        <v>0</v>
      </c>
      <c r="Q434" s="3">
        <v>0</v>
      </c>
      <c r="R434" s="3">
        <v>0</v>
      </c>
    </row>
    <row r="435" spans="1:18">
      <c r="A435" s="3" t="s">
        <v>1126</v>
      </c>
      <c r="B435" s="3" t="s">
        <v>1127</v>
      </c>
      <c r="C435" s="3" t="s">
        <v>1128</v>
      </c>
      <c r="D435" s="3" t="s">
        <v>1129</v>
      </c>
      <c r="E435" s="3" t="s">
        <v>120</v>
      </c>
      <c r="F435" s="3">
        <v>35.98</v>
      </c>
      <c r="G435" s="3" t="s">
        <v>121</v>
      </c>
      <c r="H435" s="3"/>
      <c r="I435" s="3" t="s">
        <v>122</v>
      </c>
      <c r="J435" s="3">
        <v>12</v>
      </c>
      <c r="K435" s="3">
        <v>12</v>
      </c>
      <c r="L435" s="3">
        <v>0</v>
      </c>
      <c r="M435" s="3">
        <v>0</v>
      </c>
      <c r="N435" s="3">
        <v>12</v>
      </c>
      <c r="O435" s="3">
        <v>0.15</v>
      </c>
      <c r="P435" s="3">
        <v>0</v>
      </c>
      <c r="Q435" s="3">
        <v>0</v>
      </c>
      <c r="R435" s="3">
        <v>0</v>
      </c>
    </row>
    <row r="436" spans="1:18">
      <c r="A436" s="3" t="s">
        <v>1130</v>
      </c>
      <c r="B436" s="3" t="s">
        <v>1131</v>
      </c>
      <c r="C436" s="3" t="s">
        <v>1132</v>
      </c>
      <c r="D436" s="3" t="s">
        <v>1133</v>
      </c>
      <c r="E436" s="3" t="s">
        <v>120</v>
      </c>
      <c r="F436" s="3">
        <v>35.98</v>
      </c>
      <c r="G436" s="3" t="s">
        <v>121</v>
      </c>
      <c r="H436" s="3"/>
      <c r="I436" s="3" t="s">
        <v>122</v>
      </c>
      <c r="J436" s="3">
        <v>10</v>
      </c>
      <c r="K436" s="3">
        <v>10</v>
      </c>
      <c r="L436" s="3">
        <v>0</v>
      </c>
      <c r="M436" s="3">
        <v>0</v>
      </c>
      <c r="N436" s="3">
        <v>10</v>
      </c>
      <c r="O436" s="3">
        <v>0.15</v>
      </c>
      <c r="P436" s="3">
        <v>0</v>
      </c>
      <c r="Q436" s="3">
        <v>0</v>
      </c>
      <c r="R436" s="3">
        <v>0</v>
      </c>
    </row>
    <row r="437" spans="1:18">
      <c r="A437" s="3" t="s">
        <v>1134</v>
      </c>
      <c r="B437" s="3" t="s">
        <v>1135</v>
      </c>
      <c r="C437" s="3" t="s">
        <v>1136</v>
      </c>
      <c r="D437" s="3" t="s">
        <v>1137</v>
      </c>
      <c r="E437" s="3" t="s">
        <v>120</v>
      </c>
      <c r="F437" s="3">
        <v>35.98</v>
      </c>
      <c r="G437" s="3" t="s">
        <v>121</v>
      </c>
      <c r="H437" s="3"/>
      <c r="I437" s="3" t="s">
        <v>122</v>
      </c>
      <c r="J437" s="3">
        <v>24</v>
      </c>
      <c r="K437" s="3">
        <v>24</v>
      </c>
      <c r="L437" s="3">
        <v>0</v>
      </c>
      <c r="M437" s="3">
        <v>0</v>
      </c>
      <c r="N437" s="3">
        <v>24</v>
      </c>
      <c r="O437" s="3">
        <v>0.15</v>
      </c>
      <c r="P437" s="3">
        <v>0</v>
      </c>
      <c r="Q437" s="3">
        <v>0</v>
      </c>
      <c r="R437" s="3">
        <v>0</v>
      </c>
    </row>
    <row r="438" spans="1:18">
      <c r="A438" s="3" t="s">
        <v>1138</v>
      </c>
      <c r="B438" s="3" t="s">
        <v>1139</v>
      </c>
      <c r="C438" s="3" t="s">
        <v>1140</v>
      </c>
      <c r="D438" s="3" t="s">
        <v>1141</v>
      </c>
      <c r="E438" s="3" t="s">
        <v>120</v>
      </c>
      <c r="F438" s="3">
        <v>35.98</v>
      </c>
      <c r="G438" s="3" t="s">
        <v>121</v>
      </c>
      <c r="H438" s="3"/>
      <c r="I438" s="3" t="s">
        <v>122</v>
      </c>
      <c r="J438" s="3">
        <v>14</v>
      </c>
      <c r="K438" s="3">
        <v>12</v>
      </c>
      <c r="L438" s="3">
        <v>0</v>
      </c>
      <c r="M438" s="3">
        <v>2</v>
      </c>
      <c r="N438" s="3">
        <v>14</v>
      </c>
      <c r="O438" s="3">
        <v>0.15</v>
      </c>
      <c r="P438" s="3">
        <v>0</v>
      </c>
      <c r="Q438" s="3">
        <v>0</v>
      </c>
      <c r="R438" s="3">
        <v>0</v>
      </c>
    </row>
    <row r="439" spans="1:18">
      <c r="A439" s="3" t="s">
        <v>1142</v>
      </c>
      <c r="B439" s="3" t="s">
        <v>1143</v>
      </c>
      <c r="C439" s="3" t="s">
        <v>1140</v>
      </c>
      <c r="D439" s="3" t="s">
        <v>1141</v>
      </c>
      <c r="E439" s="3" t="s">
        <v>120</v>
      </c>
      <c r="F439" s="3">
        <v>35.98</v>
      </c>
      <c r="G439" s="3" t="s">
        <v>122</v>
      </c>
      <c r="H439" s="3">
        <v>0</v>
      </c>
      <c r="I439" s="3" t="s">
        <v>121</v>
      </c>
      <c r="J439" s="3">
        <v>15</v>
      </c>
      <c r="K439" s="3">
        <v>15</v>
      </c>
      <c r="L439" s="3">
        <v>0</v>
      </c>
      <c r="M439" s="3">
        <v>0</v>
      </c>
      <c r="N439" s="3">
        <v>15</v>
      </c>
      <c r="O439" s="3">
        <v>0.15</v>
      </c>
      <c r="P439" s="3">
        <v>0</v>
      </c>
      <c r="Q439" s="3">
        <v>0</v>
      </c>
      <c r="R439" s="3">
        <v>0</v>
      </c>
    </row>
    <row r="440" spans="1:18">
      <c r="A440" s="3" t="s">
        <v>1144</v>
      </c>
      <c r="B440" s="3" t="s">
        <v>1145</v>
      </c>
      <c r="C440" s="3" t="s">
        <v>1146</v>
      </c>
      <c r="D440" s="3" t="s">
        <v>1147</v>
      </c>
      <c r="E440" s="3" t="s">
        <v>120</v>
      </c>
      <c r="F440" s="3">
        <v>35.98</v>
      </c>
      <c r="G440" s="3" t="s">
        <v>121</v>
      </c>
      <c r="H440" s="3"/>
      <c r="I440" s="3" t="s">
        <v>122</v>
      </c>
      <c r="J440" s="3">
        <v>0</v>
      </c>
      <c r="K440" s="3">
        <v>0</v>
      </c>
      <c r="L440" s="3">
        <v>0</v>
      </c>
      <c r="M440" s="3">
        <v>0</v>
      </c>
      <c r="N440" s="3">
        <v>0</v>
      </c>
      <c r="O440" s="3">
        <v>0.14</v>
      </c>
      <c r="P440" s="3">
        <v>0</v>
      </c>
      <c r="Q440" s="3">
        <v>0</v>
      </c>
      <c r="R440" s="3">
        <v>0</v>
      </c>
    </row>
    <row r="441" spans="1:18">
      <c r="A441" s="3" t="s">
        <v>1148</v>
      </c>
      <c r="B441" s="3" t="s">
        <v>1149</v>
      </c>
      <c r="C441" s="3" t="s">
        <v>1150</v>
      </c>
      <c r="D441" s="3" t="s">
        <v>1151</v>
      </c>
      <c r="E441" s="3" t="s">
        <v>120</v>
      </c>
      <c r="F441" s="3">
        <v>35.98</v>
      </c>
      <c r="G441" s="3" t="s">
        <v>121</v>
      </c>
      <c r="H441" s="3"/>
      <c r="I441" s="3" t="s">
        <v>122</v>
      </c>
      <c r="J441" s="3">
        <v>9</v>
      </c>
      <c r="K441" s="3">
        <v>9</v>
      </c>
      <c r="L441" s="3">
        <v>0</v>
      </c>
      <c r="M441" s="3">
        <v>0</v>
      </c>
      <c r="N441" s="3">
        <v>9</v>
      </c>
      <c r="O441" s="3">
        <v>0.14</v>
      </c>
      <c r="P441" s="3">
        <v>0</v>
      </c>
      <c r="Q441" s="3">
        <v>0</v>
      </c>
      <c r="R441" s="3">
        <v>0</v>
      </c>
    </row>
    <row r="442" spans="1:18">
      <c r="A442" s="3" t="s">
        <v>1152</v>
      </c>
      <c r="B442" s="3" t="s">
        <v>1153</v>
      </c>
      <c r="C442" s="3" t="s">
        <v>1154</v>
      </c>
      <c r="D442" s="3" t="s">
        <v>1155</v>
      </c>
      <c r="E442" s="3" t="s">
        <v>120</v>
      </c>
      <c r="F442" s="3">
        <v>35.98</v>
      </c>
      <c r="G442" s="3" t="s">
        <v>121</v>
      </c>
      <c r="H442" s="3"/>
      <c r="I442" s="3" t="s">
        <v>122</v>
      </c>
      <c r="J442" s="3">
        <v>40</v>
      </c>
      <c r="K442" s="3">
        <v>39</v>
      </c>
      <c r="L442" s="3">
        <v>0</v>
      </c>
      <c r="M442" s="3">
        <v>1</v>
      </c>
      <c r="N442" s="3">
        <v>40</v>
      </c>
      <c r="O442" s="3">
        <v>0.15</v>
      </c>
      <c r="P442" s="3">
        <v>0</v>
      </c>
      <c r="Q442" s="3">
        <v>0</v>
      </c>
      <c r="R442" s="3">
        <v>0</v>
      </c>
    </row>
    <row r="443" spans="1:18">
      <c r="A443" s="3" t="s">
        <v>1156</v>
      </c>
      <c r="B443" s="3" t="s">
        <v>1157</v>
      </c>
      <c r="C443" s="3" t="s">
        <v>1158</v>
      </c>
      <c r="D443" s="3" t="s">
        <v>1159</v>
      </c>
      <c r="E443" s="3" t="s">
        <v>120</v>
      </c>
      <c r="F443" s="3">
        <v>35.98</v>
      </c>
      <c r="G443" s="3" t="s">
        <v>121</v>
      </c>
      <c r="H443" s="3"/>
      <c r="I443" s="3" t="s">
        <v>122</v>
      </c>
      <c r="J443" s="3">
        <v>40</v>
      </c>
      <c r="K443" s="3">
        <v>40</v>
      </c>
      <c r="L443" s="3">
        <v>0</v>
      </c>
      <c r="M443" s="3">
        <v>0</v>
      </c>
      <c r="N443" s="3">
        <v>40</v>
      </c>
      <c r="O443" s="3">
        <v>0.15</v>
      </c>
      <c r="P443" s="3">
        <v>0</v>
      </c>
      <c r="Q443" s="3">
        <v>0</v>
      </c>
      <c r="R443" s="3">
        <v>0</v>
      </c>
    </row>
    <row r="444" spans="1:18">
      <c r="A444" s="3" t="s">
        <v>1160</v>
      </c>
      <c r="B444" s="3" t="s">
        <v>1161</v>
      </c>
      <c r="C444" s="3" t="s">
        <v>1162</v>
      </c>
      <c r="D444" s="3" t="s">
        <v>1163</v>
      </c>
      <c r="E444" s="3" t="s">
        <v>120</v>
      </c>
      <c r="F444" s="3">
        <v>35.98</v>
      </c>
      <c r="G444" s="3" t="s">
        <v>121</v>
      </c>
      <c r="H444" s="3"/>
      <c r="I444" s="3" t="s">
        <v>122</v>
      </c>
      <c r="J444" s="3">
        <v>0</v>
      </c>
      <c r="K444" s="3">
        <v>0</v>
      </c>
      <c r="L444" s="3">
        <v>0</v>
      </c>
      <c r="M444" s="3">
        <v>0</v>
      </c>
      <c r="N444" s="3">
        <v>0</v>
      </c>
      <c r="O444" s="3">
        <v>0.15</v>
      </c>
      <c r="P444" s="3">
        <v>0</v>
      </c>
      <c r="Q444" s="3">
        <v>0</v>
      </c>
      <c r="R444" s="3">
        <v>0</v>
      </c>
    </row>
    <row r="445" spans="1:18">
      <c r="A445" s="3" t="s">
        <v>1164</v>
      </c>
      <c r="B445" s="3" t="s">
        <v>1165</v>
      </c>
      <c r="C445" s="3" t="s">
        <v>1166</v>
      </c>
      <c r="D445" s="3" t="s">
        <v>1167</v>
      </c>
      <c r="E445" s="3" t="s">
        <v>120</v>
      </c>
      <c r="F445" s="3">
        <v>35.98</v>
      </c>
      <c r="G445" s="3" t="s">
        <v>121</v>
      </c>
      <c r="H445" s="3"/>
      <c r="I445" s="3" t="s">
        <v>122</v>
      </c>
      <c r="J445" s="3">
        <v>11</v>
      </c>
      <c r="K445" s="3">
        <v>11</v>
      </c>
      <c r="L445" s="3">
        <v>0</v>
      </c>
      <c r="M445" s="3">
        <v>0</v>
      </c>
      <c r="N445" s="3">
        <v>11</v>
      </c>
      <c r="O445" s="3">
        <v>0.15</v>
      </c>
      <c r="P445" s="3">
        <v>0</v>
      </c>
      <c r="Q445" s="3">
        <v>0</v>
      </c>
      <c r="R445" s="3">
        <v>0</v>
      </c>
    </row>
    <row r="446" spans="1:18">
      <c r="A446" s="3" t="s">
        <v>1168</v>
      </c>
      <c r="B446" s="3" t="s">
        <v>1169</v>
      </c>
      <c r="C446" s="3" t="s">
        <v>1170</v>
      </c>
      <c r="D446" s="3" t="s">
        <v>1171</v>
      </c>
      <c r="E446" s="3" t="s">
        <v>120</v>
      </c>
      <c r="F446" s="3">
        <v>35.98</v>
      </c>
      <c r="G446" s="3" t="s">
        <v>121</v>
      </c>
      <c r="H446" s="3"/>
      <c r="I446" s="3" t="s">
        <v>122</v>
      </c>
      <c r="J446" s="3">
        <v>0</v>
      </c>
      <c r="K446" s="3">
        <v>0</v>
      </c>
      <c r="L446" s="3">
        <v>0</v>
      </c>
      <c r="M446" s="3">
        <v>0</v>
      </c>
      <c r="N446" s="3">
        <v>0</v>
      </c>
      <c r="O446" s="3">
        <v>0.15</v>
      </c>
      <c r="P446" s="3">
        <v>0</v>
      </c>
      <c r="Q446" s="3">
        <v>0</v>
      </c>
      <c r="R446" s="3">
        <v>0</v>
      </c>
    </row>
    <row r="447" spans="1:18">
      <c r="A447" s="3" t="s">
        <v>1172</v>
      </c>
      <c r="B447" s="3" t="s">
        <v>1173</v>
      </c>
      <c r="C447" s="3" t="s">
        <v>1174</v>
      </c>
      <c r="D447" s="3" t="s">
        <v>1175</v>
      </c>
      <c r="E447" s="3" t="s">
        <v>120</v>
      </c>
      <c r="F447" s="3">
        <v>35.98</v>
      </c>
      <c r="G447" s="3" t="s">
        <v>121</v>
      </c>
      <c r="H447" s="3"/>
      <c r="I447" s="3" t="s">
        <v>122</v>
      </c>
      <c r="J447" s="3">
        <v>0</v>
      </c>
      <c r="K447" s="3">
        <v>0</v>
      </c>
      <c r="L447" s="3">
        <v>0</v>
      </c>
      <c r="M447" s="3">
        <v>0</v>
      </c>
      <c r="N447" s="3">
        <v>0</v>
      </c>
      <c r="O447" s="3">
        <v>0.15</v>
      </c>
      <c r="P447" s="3">
        <v>0</v>
      </c>
      <c r="Q447" s="3">
        <v>0</v>
      </c>
      <c r="R447" s="3">
        <v>0</v>
      </c>
    </row>
    <row r="448" spans="1:18">
      <c r="A448" s="3" t="s">
        <v>1176</v>
      </c>
      <c r="B448" s="3" t="s">
        <v>1177</v>
      </c>
      <c r="C448" s="3" t="s">
        <v>18</v>
      </c>
      <c r="D448" s="3" t="s">
        <v>1178</v>
      </c>
      <c r="E448" s="3" t="s">
        <v>120</v>
      </c>
      <c r="F448" s="3">
        <v>35.98</v>
      </c>
      <c r="G448" s="3" t="s">
        <v>121</v>
      </c>
      <c r="H448" s="3"/>
      <c r="I448" s="3" t="s">
        <v>122</v>
      </c>
      <c r="J448" s="3">
        <v>0</v>
      </c>
      <c r="K448" s="3">
        <v>0</v>
      </c>
      <c r="L448" s="3">
        <v>0</v>
      </c>
      <c r="M448" s="3">
        <v>0</v>
      </c>
      <c r="N448" s="3">
        <v>0</v>
      </c>
      <c r="O448" s="3">
        <v>0.15</v>
      </c>
      <c r="P448" s="3">
        <v>0</v>
      </c>
      <c r="Q448" s="3">
        <v>0</v>
      </c>
      <c r="R448" s="3">
        <v>0</v>
      </c>
    </row>
    <row r="449" spans="1:18">
      <c r="A449" s="3" t="s">
        <v>1179</v>
      </c>
      <c r="B449" s="3" t="s">
        <v>1180</v>
      </c>
      <c r="C449" s="3" t="s">
        <v>1181</v>
      </c>
      <c r="D449" s="3" t="s">
        <v>1182</v>
      </c>
      <c r="E449" s="3" t="s">
        <v>120</v>
      </c>
      <c r="F449" s="3">
        <v>35.98</v>
      </c>
      <c r="G449" s="3" t="s">
        <v>121</v>
      </c>
      <c r="H449" s="3"/>
      <c r="I449" s="3" t="s">
        <v>122</v>
      </c>
      <c r="J449" s="3">
        <v>0</v>
      </c>
      <c r="K449" s="3">
        <v>0</v>
      </c>
      <c r="L449" s="3">
        <v>0</v>
      </c>
      <c r="M449" s="3">
        <v>0</v>
      </c>
      <c r="N449" s="3">
        <v>0</v>
      </c>
      <c r="O449" s="3">
        <v>0.15</v>
      </c>
      <c r="P449" s="3">
        <v>0</v>
      </c>
      <c r="Q449" s="3">
        <v>0</v>
      </c>
      <c r="R449" s="3">
        <v>0</v>
      </c>
    </row>
    <row r="450" spans="1:18">
      <c r="A450" s="3" t="s">
        <v>1183</v>
      </c>
      <c r="B450" s="3" t="s">
        <v>1184</v>
      </c>
      <c r="C450" s="3" t="s">
        <v>1185</v>
      </c>
      <c r="D450" s="3" t="s">
        <v>1186</v>
      </c>
      <c r="E450" s="3" t="s">
        <v>120</v>
      </c>
      <c r="F450" s="3">
        <v>35.98</v>
      </c>
      <c r="G450" s="3" t="s">
        <v>121</v>
      </c>
      <c r="H450" s="3"/>
      <c r="I450" s="3" t="s">
        <v>122</v>
      </c>
      <c r="J450" s="3">
        <v>0</v>
      </c>
      <c r="K450" s="3">
        <v>0</v>
      </c>
      <c r="L450" s="3">
        <v>0</v>
      </c>
      <c r="M450" s="3">
        <v>0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</row>
    <row r="451" spans="1:18">
      <c r="A451" s="3" t="s">
        <v>1187</v>
      </c>
      <c r="B451" s="3" t="s">
        <v>1188</v>
      </c>
      <c r="C451" s="3" t="s">
        <v>1189</v>
      </c>
      <c r="D451" s="3" t="s">
        <v>1190</v>
      </c>
      <c r="E451" s="3" t="s">
        <v>120</v>
      </c>
      <c r="F451" s="3">
        <v>35.98</v>
      </c>
      <c r="G451" s="3" t="s">
        <v>121</v>
      </c>
      <c r="H451" s="3"/>
      <c r="I451" s="3" t="s">
        <v>122</v>
      </c>
      <c r="J451" s="3">
        <v>9</v>
      </c>
      <c r="K451" s="3">
        <v>9</v>
      </c>
      <c r="L451" s="3">
        <v>0</v>
      </c>
      <c r="M451" s="3">
        <v>0</v>
      </c>
      <c r="N451" s="3">
        <v>9</v>
      </c>
      <c r="O451" s="3">
        <v>0.15</v>
      </c>
      <c r="P451" s="3">
        <v>0</v>
      </c>
      <c r="Q451" s="3">
        <v>0</v>
      </c>
      <c r="R451" s="3">
        <v>0</v>
      </c>
    </row>
    <row r="452" spans="1:18">
      <c r="A452" s="3" t="s">
        <v>1191</v>
      </c>
      <c r="B452" s="3" t="s">
        <v>1192</v>
      </c>
      <c r="C452" s="3" t="s">
        <v>1193</v>
      </c>
      <c r="D452" s="3" t="s">
        <v>1194</v>
      </c>
      <c r="E452" s="3" t="s">
        <v>120</v>
      </c>
      <c r="F452" s="3">
        <v>35.98</v>
      </c>
      <c r="G452" s="3" t="s">
        <v>121</v>
      </c>
      <c r="H452" s="3"/>
      <c r="I452" s="3" t="s">
        <v>122</v>
      </c>
      <c r="J452" s="3">
        <v>0</v>
      </c>
      <c r="K452" s="3">
        <v>0</v>
      </c>
      <c r="L452" s="3">
        <v>0</v>
      </c>
      <c r="M452" s="3">
        <v>0</v>
      </c>
      <c r="N452" s="3">
        <v>0</v>
      </c>
      <c r="O452" s="3">
        <v>0.15</v>
      </c>
      <c r="P452" s="3">
        <v>0</v>
      </c>
      <c r="Q452" s="3">
        <v>0</v>
      </c>
      <c r="R452" s="3">
        <v>0</v>
      </c>
    </row>
    <row r="453" spans="1:18">
      <c r="A453" s="3" t="s">
        <v>1195</v>
      </c>
      <c r="B453" s="3" t="s">
        <v>1196</v>
      </c>
      <c r="C453" s="3" t="s">
        <v>1197</v>
      </c>
      <c r="D453" s="3" t="s">
        <v>1198</v>
      </c>
      <c r="E453" s="3" t="s">
        <v>120</v>
      </c>
      <c r="F453" s="3">
        <v>35.98</v>
      </c>
      <c r="G453" s="3" t="s">
        <v>121</v>
      </c>
      <c r="H453" s="3"/>
      <c r="I453" s="3" t="s">
        <v>122</v>
      </c>
      <c r="J453" s="3">
        <v>0</v>
      </c>
      <c r="K453" s="3">
        <v>0</v>
      </c>
      <c r="L453" s="3">
        <v>0</v>
      </c>
      <c r="M453" s="3">
        <v>0</v>
      </c>
      <c r="N453" s="3">
        <v>0</v>
      </c>
      <c r="O453" s="3">
        <v>0.15</v>
      </c>
      <c r="P453" s="3">
        <v>0</v>
      </c>
      <c r="Q453" s="3">
        <v>0</v>
      </c>
      <c r="R453" s="3">
        <v>0</v>
      </c>
    </row>
    <row r="454" spans="1:18">
      <c r="A454" s="3" t="s">
        <v>1199</v>
      </c>
      <c r="B454" s="3" t="s">
        <v>1200</v>
      </c>
      <c r="C454" s="3" t="s">
        <v>1201</v>
      </c>
      <c r="D454" s="3" t="s">
        <v>1202</v>
      </c>
      <c r="E454" s="3" t="s">
        <v>120</v>
      </c>
      <c r="F454" s="3">
        <v>35.98</v>
      </c>
      <c r="G454" s="3" t="s">
        <v>121</v>
      </c>
      <c r="H454" s="3"/>
      <c r="I454" s="3" t="s">
        <v>122</v>
      </c>
      <c r="J454" s="3">
        <v>0</v>
      </c>
      <c r="K454" s="3">
        <v>0</v>
      </c>
      <c r="L454" s="3">
        <v>0</v>
      </c>
      <c r="M454" s="3">
        <v>0</v>
      </c>
      <c r="N454" s="3">
        <v>0</v>
      </c>
      <c r="O454" s="3">
        <v>0.15</v>
      </c>
      <c r="P454" s="3">
        <v>0</v>
      </c>
      <c r="Q454" s="3">
        <v>0</v>
      </c>
      <c r="R454" s="3">
        <v>0</v>
      </c>
    </row>
    <row r="455" spans="1:18">
      <c r="A455" s="3" t="s">
        <v>1203</v>
      </c>
      <c r="B455" s="3" t="s">
        <v>1204</v>
      </c>
      <c r="C455" s="3" t="s">
        <v>1205</v>
      </c>
      <c r="D455" s="3" t="s">
        <v>1206</v>
      </c>
      <c r="E455" s="3" t="s">
        <v>120</v>
      </c>
      <c r="F455" s="3">
        <v>35.98</v>
      </c>
      <c r="G455" s="3" t="s">
        <v>121</v>
      </c>
      <c r="H455" s="3"/>
      <c r="I455" s="3" t="s">
        <v>122</v>
      </c>
      <c r="J455" s="3">
        <v>0</v>
      </c>
      <c r="K455" s="3">
        <v>0</v>
      </c>
      <c r="L455" s="3">
        <v>0</v>
      </c>
      <c r="M455" s="3">
        <v>0</v>
      </c>
      <c r="N455" s="3">
        <v>0</v>
      </c>
      <c r="O455" s="3">
        <v>0.15</v>
      </c>
      <c r="P455" s="3">
        <v>0</v>
      </c>
      <c r="Q455" s="3">
        <v>0</v>
      </c>
      <c r="R455" s="3">
        <v>0</v>
      </c>
    </row>
    <row r="456" spans="1:18">
      <c r="A456" s="3" t="s">
        <v>1207</v>
      </c>
      <c r="B456" s="3" t="s">
        <v>1208</v>
      </c>
      <c r="C456" s="3" t="s">
        <v>1209</v>
      </c>
      <c r="D456" s="3" t="s">
        <v>1210</v>
      </c>
      <c r="E456" s="3" t="s">
        <v>120</v>
      </c>
      <c r="F456" s="3">
        <v>35.98</v>
      </c>
      <c r="G456" s="3" t="s">
        <v>121</v>
      </c>
      <c r="H456" s="3"/>
      <c r="I456" s="3" t="s">
        <v>122</v>
      </c>
      <c r="J456" s="3">
        <v>0</v>
      </c>
      <c r="K456" s="3">
        <v>0</v>
      </c>
      <c r="L456" s="3">
        <v>0</v>
      </c>
      <c r="M456" s="3">
        <v>0</v>
      </c>
      <c r="N456" s="3">
        <v>0</v>
      </c>
      <c r="O456" s="3">
        <v>0.15</v>
      </c>
      <c r="P456" s="3">
        <v>0</v>
      </c>
      <c r="Q456" s="3">
        <v>0</v>
      </c>
      <c r="R456" s="3">
        <v>0</v>
      </c>
    </row>
    <row r="457" spans="1:18">
      <c r="A457" s="3" t="s">
        <v>1211</v>
      </c>
      <c r="B457" s="3" t="s">
        <v>1212</v>
      </c>
      <c r="C457" s="3" t="s">
        <v>347</v>
      </c>
      <c r="D457" s="3" t="s">
        <v>348</v>
      </c>
      <c r="E457" s="3" t="s">
        <v>120</v>
      </c>
      <c r="F457" s="3">
        <v>26.98</v>
      </c>
      <c r="G457" s="3" t="s">
        <v>121</v>
      </c>
      <c r="H457" s="3"/>
      <c r="I457" s="3" t="s">
        <v>122</v>
      </c>
      <c r="J457" s="3">
        <v>0</v>
      </c>
      <c r="K457" s="3">
        <v>0</v>
      </c>
      <c r="L457" s="3">
        <v>0</v>
      </c>
      <c r="M457" s="3">
        <v>0</v>
      </c>
      <c r="N457" s="3">
        <v>0</v>
      </c>
      <c r="O457" s="3">
        <v>0.06</v>
      </c>
      <c r="P457" s="3">
        <v>0</v>
      </c>
      <c r="Q457" s="3">
        <v>0</v>
      </c>
      <c r="R457" s="3">
        <v>0</v>
      </c>
    </row>
    <row r="458" spans="1:18">
      <c r="A458" s="3" t="s">
        <v>1213</v>
      </c>
      <c r="B458" s="3" t="s">
        <v>1214</v>
      </c>
      <c r="C458" s="3" t="s">
        <v>350</v>
      </c>
      <c r="D458" s="3" t="s">
        <v>477</v>
      </c>
      <c r="E458" s="3" t="s">
        <v>120</v>
      </c>
      <c r="F458" s="3">
        <v>26.98</v>
      </c>
      <c r="G458" s="3" t="s">
        <v>121</v>
      </c>
      <c r="H458" s="3"/>
      <c r="I458" s="3" t="s">
        <v>122</v>
      </c>
      <c r="J458" s="3">
        <v>0</v>
      </c>
      <c r="K458" s="3">
        <v>0</v>
      </c>
      <c r="L458" s="3">
        <v>0</v>
      </c>
      <c r="M458" s="3">
        <v>0</v>
      </c>
      <c r="N458" s="3">
        <v>0</v>
      </c>
      <c r="O458" s="3">
        <v>0.06</v>
      </c>
      <c r="P458" s="3">
        <v>0</v>
      </c>
      <c r="Q458" s="3">
        <v>0</v>
      </c>
      <c r="R458" s="3">
        <v>0</v>
      </c>
    </row>
    <row r="459" spans="1:18">
      <c r="A459" s="3" t="s">
        <v>1215</v>
      </c>
      <c r="B459" s="3" t="s">
        <v>1216</v>
      </c>
      <c r="C459" s="3" t="s">
        <v>352</v>
      </c>
      <c r="D459" s="3" t="s">
        <v>315</v>
      </c>
      <c r="E459" s="3" t="s">
        <v>120</v>
      </c>
      <c r="F459" s="3">
        <v>26.98</v>
      </c>
      <c r="G459" s="3" t="s">
        <v>121</v>
      </c>
      <c r="H459" s="3"/>
      <c r="I459" s="3" t="s">
        <v>122</v>
      </c>
      <c r="J459" s="3">
        <v>11</v>
      </c>
      <c r="K459" s="3">
        <v>11</v>
      </c>
      <c r="L459" s="3">
        <v>0</v>
      </c>
      <c r="M459" s="3">
        <v>0</v>
      </c>
      <c r="N459" s="3">
        <v>11</v>
      </c>
      <c r="O459" s="3">
        <v>0.06</v>
      </c>
      <c r="P459" s="3">
        <v>0</v>
      </c>
      <c r="Q459" s="3">
        <v>0</v>
      </c>
      <c r="R459" s="3">
        <v>0</v>
      </c>
    </row>
    <row r="460" spans="1:18">
      <c r="A460" s="3" t="s">
        <v>1217</v>
      </c>
      <c r="B460" s="3" t="s">
        <v>1218</v>
      </c>
      <c r="C460" s="3" t="s">
        <v>354</v>
      </c>
      <c r="D460" s="3" t="s">
        <v>480</v>
      </c>
      <c r="E460" s="3" t="s">
        <v>120</v>
      </c>
      <c r="F460" s="3">
        <v>26.98</v>
      </c>
      <c r="G460" s="3" t="s">
        <v>121</v>
      </c>
      <c r="H460" s="3"/>
      <c r="I460" s="3" t="s">
        <v>122</v>
      </c>
      <c r="J460" s="3">
        <v>0</v>
      </c>
      <c r="K460" s="3">
        <v>0</v>
      </c>
      <c r="L460" s="3">
        <v>0</v>
      </c>
      <c r="M460" s="3">
        <v>0</v>
      </c>
      <c r="N460" s="3">
        <v>0</v>
      </c>
      <c r="O460" s="3">
        <v>0.06</v>
      </c>
      <c r="P460" s="3">
        <v>0</v>
      </c>
      <c r="Q460" s="3">
        <v>0</v>
      </c>
      <c r="R460" s="3">
        <v>0</v>
      </c>
    </row>
    <row r="461" spans="1:18">
      <c r="A461" s="3" t="s">
        <v>1219</v>
      </c>
      <c r="B461" s="3" t="s">
        <v>1220</v>
      </c>
      <c r="C461" s="3" t="s">
        <v>356</v>
      </c>
      <c r="D461" s="3" t="s">
        <v>482</v>
      </c>
      <c r="E461" s="3" t="s">
        <v>120</v>
      </c>
      <c r="F461" s="3">
        <v>26.98</v>
      </c>
      <c r="G461" s="3" t="s">
        <v>121</v>
      </c>
      <c r="H461" s="3"/>
      <c r="I461" s="3" t="s">
        <v>122</v>
      </c>
      <c r="J461" s="3">
        <v>7</v>
      </c>
      <c r="K461" s="3">
        <v>7</v>
      </c>
      <c r="L461" s="3">
        <v>0</v>
      </c>
      <c r="M461" s="3">
        <v>0</v>
      </c>
      <c r="N461" s="3">
        <v>7</v>
      </c>
      <c r="O461" s="3">
        <v>0.06</v>
      </c>
      <c r="P461" s="3">
        <v>0</v>
      </c>
      <c r="Q461" s="3">
        <v>0</v>
      </c>
      <c r="R461" s="3">
        <v>0</v>
      </c>
    </row>
    <row r="462" spans="1:18">
      <c r="A462" s="3" t="s">
        <v>1221</v>
      </c>
      <c r="B462" s="3" t="s">
        <v>1222</v>
      </c>
      <c r="C462" s="3" t="s">
        <v>1223</v>
      </c>
      <c r="D462" s="3" t="s">
        <v>384</v>
      </c>
      <c r="E462" s="3" t="s">
        <v>120</v>
      </c>
      <c r="F462" s="3">
        <v>23.98</v>
      </c>
      <c r="G462" s="3" t="s">
        <v>121</v>
      </c>
      <c r="H462" s="3"/>
      <c r="I462" s="3" t="s">
        <v>122</v>
      </c>
      <c r="J462" s="3">
        <v>53</v>
      </c>
      <c r="K462" s="3">
        <v>52</v>
      </c>
      <c r="L462" s="3">
        <v>0</v>
      </c>
      <c r="M462" s="3">
        <v>1</v>
      </c>
      <c r="N462" s="3">
        <v>53</v>
      </c>
      <c r="O462" s="3">
        <v>0.05</v>
      </c>
      <c r="P462" s="3">
        <v>0</v>
      </c>
      <c r="Q462" s="3">
        <v>0</v>
      </c>
      <c r="R462" s="3">
        <v>0</v>
      </c>
    </row>
    <row r="463" spans="1:18">
      <c r="A463" s="3" t="s">
        <v>1224</v>
      </c>
      <c r="B463" s="3" t="s">
        <v>1225</v>
      </c>
      <c r="C463" s="3" t="s">
        <v>1226</v>
      </c>
      <c r="D463" s="3" t="s">
        <v>1227</v>
      </c>
      <c r="E463" s="3" t="s">
        <v>120</v>
      </c>
      <c r="F463" s="3">
        <v>35.99</v>
      </c>
      <c r="G463" s="3" t="s">
        <v>121</v>
      </c>
      <c r="H463" s="3"/>
      <c r="I463" s="3" t="s">
        <v>122</v>
      </c>
      <c r="J463" s="3">
        <v>0</v>
      </c>
      <c r="K463" s="3">
        <v>0</v>
      </c>
      <c r="L463" s="3">
        <v>0</v>
      </c>
      <c r="M463" s="3">
        <v>0</v>
      </c>
      <c r="N463" s="3">
        <v>0</v>
      </c>
      <c r="O463" s="3">
        <v>0.02</v>
      </c>
      <c r="P463" s="3">
        <v>0</v>
      </c>
      <c r="Q463" s="3">
        <v>0</v>
      </c>
      <c r="R463" s="3">
        <v>0</v>
      </c>
    </row>
    <row r="464" spans="1:18">
      <c r="A464" s="3" t="s">
        <v>1228</v>
      </c>
      <c r="B464" s="3" t="s">
        <v>1229</v>
      </c>
      <c r="C464" s="3" t="s">
        <v>1230</v>
      </c>
      <c r="D464" s="3" t="s">
        <v>1231</v>
      </c>
      <c r="E464" s="3" t="s">
        <v>120</v>
      </c>
      <c r="F464" s="3">
        <v>23.98</v>
      </c>
      <c r="G464" s="3" t="s">
        <v>121</v>
      </c>
      <c r="H464" s="3"/>
      <c r="I464" s="3" t="s">
        <v>122</v>
      </c>
      <c r="J464" s="3">
        <v>0</v>
      </c>
      <c r="K464" s="3">
        <v>0</v>
      </c>
      <c r="L464" s="3">
        <v>0</v>
      </c>
      <c r="M464" s="3">
        <v>0</v>
      </c>
      <c r="N464" s="3">
        <v>0</v>
      </c>
      <c r="O464" s="3">
        <v>0.02</v>
      </c>
      <c r="P464" s="3">
        <v>0</v>
      </c>
      <c r="Q464" s="3">
        <v>0</v>
      </c>
      <c r="R464" s="3">
        <v>0</v>
      </c>
    </row>
    <row r="465" spans="1:18">
      <c r="A465" s="3" t="s">
        <v>1232</v>
      </c>
      <c r="B465" s="3" t="s">
        <v>1233</v>
      </c>
      <c r="C465" s="3" t="s">
        <v>514</v>
      </c>
      <c r="D465" s="3" t="s">
        <v>766</v>
      </c>
      <c r="E465" s="3" t="s">
        <v>120</v>
      </c>
      <c r="F465" s="3">
        <v>39.98</v>
      </c>
      <c r="G465" s="3" t="s">
        <v>121</v>
      </c>
      <c r="H465" s="3"/>
      <c r="I465" s="3" t="s">
        <v>122</v>
      </c>
      <c r="J465" s="3">
        <v>32</v>
      </c>
      <c r="K465" s="3">
        <v>31</v>
      </c>
      <c r="L465" s="3">
        <v>0</v>
      </c>
      <c r="M465" s="3">
        <v>1</v>
      </c>
      <c r="N465" s="3">
        <v>32</v>
      </c>
      <c r="O465" s="3">
        <v>0.09</v>
      </c>
      <c r="P465" s="3">
        <v>0</v>
      </c>
      <c r="Q465" s="3">
        <v>0</v>
      </c>
      <c r="R465" s="3">
        <v>0</v>
      </c>
    </row>
    <row r="466" spans="1:18">
      <c r="A466" s="3" t="s">
        <v>1234</v>
      </c>
      <c r="B466" s="3" t="s">
        <v>1235</v>
      </c>
      <c r="C466" s="3" t="s">
        <v>517</v>
      </c>
      <c r="D466" s="3" t="s">
        <v>768</v>
      </c>
      <c r="E466" s="3" t="s">
        <v>120</v>
      </c>
      <c r="F466" s="3">
        <v>39.98</v>
      </c>
      <c r="G466" s="3" t="s">
        <v>121</v>
      </c>
      <c r="H466" s="3"/>
      <c r="I466" s="3" t="s">
        <v>122</v>
      </c>
      <c r="J466" s="3">
        <v>19</v>
      </c>
      <c r="K466" s="3">
        <v>19</v>
      </c>
      <c r="L466" s="3">
        <v>0</v>
      </c>
      <c r="M466" s="3">
        <v>0</v>
      </c>
      <c r="N466" s="3">
        <v>19</v>
      </c>
      <c r="O466" s="3">
        <v>0.09</v>
      </c>
      <c r="P466" s="3">
        <v>0</v>
      </c>
      <c r="Q466" s="3">
        <v>0</v>
      </c>
      <c r="R466" s="3">
        <v>0</v>
      </c>
    </row>
    <row r="467" spans="1:18">
      <c r="A467" s="3" t="s">
        <v>1236</v>
      </c>
      <c r="B467" s="3" t="s">
        <v>1237</v>
      </c>
      <c r="C467" s="3" t="s">
        <v>520</v>
      </c>
      <c r="D467" s="3" t="s">
        <v>770</v>
      </c>
      <c r="E467" s="3" t="s">
        <v>120</v>
      </c>
      <c r="F467" s="3">
        <v>39.98</v>
      </c>
      <c r="G467" s="3" t="s">
        <v>121</v>
      </c>
      <c r="H467" s="3"/>
      <c r="I467" s="3" t="s">
        <v>122</v>
      </c>
      <c r="J467" s="3">
        <v>19</v>
      </c>
      <c r="K467" s="3">
        <v>19</v>
      </c>
      <c r="L467" s="3">
        <v>0</v>
      </c>
      <c r="M467" s="3">
        <v>0</v>
      </c>
      <c r="N467" s="3">
        <v>19</v>
      </c>
      <c r="O467" s="3">
        <v>0.09</v>
      </c>
      <c r="P467" s="3">
        <v>0</v>
      </c>
      <c r="Q467" s="3">
        <v>0</v>
      </c>
      <c r="R467" s="3">
        <v>0</v>
      </c>
    </row>
    <row r="468" spans="1:18">
      <c r="A468" s="3" t="s">
        <v>1238</v>
      </c>
      <c r="B468" s="3" t="s">
        <v>1239</v>
      </c>
      <c r="C468" s="3" t="s">
        <v>523</v>
      </c>
      <c r="D468" s="3" t="s">
        <v>772</v>
      </c>
      <c r="E468" s="3" t="s">
        <v>120</v>
      </c>
      <c r="F468" s="3">
        <v>39.98</v>
      </c>
      <c r="G468" s="3" t="s">
        <v>121</v>
      </c>
      <c r="H468" s="3"/>
      <c r="I468" s="3" t="s">
        <v>122</v>
      </c>
      <c r="J468" s="3">
        <v>29</v>
      </c>
      <c r="K468" s="3">
        <v>29</v>
      </c>
      <c r="L468" s="3">
        <v>0</v>
      </c>
      <c r="M468" s="3">
        <v>0</v>
      </c>
      <c r="N468" s="3">
        <v>29</v>
      </c>
      <c r="O468" s="3">
        <v>0.09</v>
      </c>
      <c r="P468" s="3">
        <v>0</v>
      </c>
      <c r="Q468" s="3">
        <v>0</v>
      </c>
      <c r="R468" s="3">
        <v>0</v>
      </c>
    </row>
    <row r="469" spans="1:18">
      <c r="A469" s="3" t="s">
        <v>1240</v>
      </c>
      <c r="B469" s="3" t="s">
        <v>1241</v>
      </c>
      <c r="C469" s="3" t="s">
        <v>525</v>
      </c>
      <c r="D469" s="3" t="s">
        <v>774</v>
      </c>
      <c r="E469" s="3" t="s">
        <v>120</v>
      </c>
      <c r="F469" s="3">
        <v>39.98</v>
      </c>
      <c r="G469" s="3" t="s">
        <v>121</v>
      </c>
      <c r="H469" s="3"/>
      <c r="I469" s="3" t="s">
        <v>122</v>
      </c>
      <c r="J469" s="3">
        <v>14</v>
      </c>
      <c r="K469" s="3">
        <v>14</v>
      </c>
      <c r="L469" s="3">
        <v>0</v>
      </c>
      <c r="M469" s="3">
        <v>0</v>
      </c>
      <c r="N469" s="3">
        <v>14</v>
      </c>
      <c r="O469" s="3">
        <v>0.09</v>
      </c>
      <c r="P469" s="3">
        <v>0</v>
      </c>
      <c r="Q469" s="3">
        <v>0</v>
      </c>
      <c r="R469" s="3">
        <v>0</v>
      </c>
    </row>
    <row r="470" spans="1:18">
      <c r="A470" s="3" t="s">
        <v>1242</v>
      </c>
      <c r="B470" s="3" t="s">
        <v>1243</v>
      </c>
      <c r="C470" s="3" t="s">
        <v>527</v>
      </c>
      <c r="D470" s="3" t="s">
        <v>776</v>
      </c>
      <c r="E470" s="3" t="s">
        <v>120</v>
      </c>
      <c r="F470" s="3">
        <v>39.98</v>
      </c>
      <c r="G470" s="3" t="s">
        <v>121</v>
      </c>
      <c r="H470" s="3"/>
      <c r="I470" s="3" t="s">
        <v>122</v>
      </c>
      <c r="J470" s="3">
        <v>38</v>
      </c>
      <c r="K470" s="3">
        <v>38</v>
      </c>
      <c r="L470" s="3">
        <v>0</v>
      </c>
      <c r="M470" s="3">
        <v>0</v>
      </c>
      <c r="N470" s="3">
        <v>38</v>
      </c>
      <c r="O470" s="3">
        <v>0.09</v>
      </c>
      <c r="P470" s="3">
        <v>0</v>
      </c>
      <c r="Q470" s="3">
        <v>0</v>
      </c>
      <c r="R470" s="3">
        <v>0</v>
      </c>
    </row>
    <row r="471" spans="1:18">
      <c r="A471" s="3" t="s">
        <v>1244</v>
      </c>
      <c r="B471" s="3" t="s">
        <v>1245</v>
      </c>
      <c r="C471" s="3" t="s">
        <v>529</v>
      </c>
      <c r="D471" s="3" t="s">
        <v>778</v>
      </c>
      <c r="E471" s="3" t="s">
        <v>120</v>
      </c>
      <c r="F471" s="3">
        <v>39.98</v>
      </c>
      <c r="G471" s="3" t="s">
        <v>121</v>
      </c>
      <c r="H471" s="3"/>
      <c r="I471" s="3" t="s">
        <v>122</v>
      </c>
      <c r="J471" s="3">
        <v>17</v>
      </c>
      <c r="K471" s="3">
        <v>17</v>
      </c>
      <c r="L471" s="3">
        <v>0</v>
      </c>
      <c r="M471" s="3">
        <v>0</v>
      </c>
      <c r="N471" s="3">
        <v>17</v>
      </c>
      <c r="O471" s="3">
        <v>0.09</v>
      </c>
      <c r="P471" s="3">
        <v>0</v>
      </c>
      <c r="Q471" s="3">
        <v>0</v>
      </c>
      <c r="R471" s="3">
        <v>0</v>
      </c>
    </row>
    <row r="472" spans="1:18">
      <c r="A472" s="3" t="s">
        <v>1246</v>
      </c>
      <c r="B472" s="3" t="s">
        <v>1247</v>
      </c>
      <c r="C472" s="3" t="s">
        <v>531</v>
      </c>
      <c r="D472" s="3" t="s">
        <v>780</v>
      </c>
      <c r="E472" s="3" t="s">
        <v>120</v>
      </c>
      <c r="F472" s="3">
        <v>39.98</v>
      </c>
      <c r="G472" s="3" t="s">
        <v>121</v>
      </c>
      <c r="H472" s="3"/>
      <c r="I472" s="3" t="s">
        <v>122</v>
      </c>
      <c r="J472" s="3">
        <v>12</v>
      </c>
      <c r="K472" s="3">
        <v>12</v>
      </c>
      <c r="L472" s="3">
        <v>0</v>
      </c>
      <c r="M472" s="3">
        <v>0</v>
      </c>
      <c r="N472" s="3">
        <v>12</v>
      </c>
      <c r="O472" s="3">
        <v>0.09</v>
      </c>
      <c r="P472" s="3">
        <v>0</v>
      </c>
      <c r="Q472" s="3">
        <v>0</v>
      </c>
      <c r="R472" s="3">
        <v>0</v>
      </c>
    </row>
    <row r="473" spans="1:18">
      <c r="A473" s="3" t="s">
        <v>1248</v>
      </c>
      <c r="B473" s="3" t="s">
        <v>1249</v>
      </c>
      <c r="C473" s="3" t="s">
        <v>533</v>
      </c>
      <c r="D473" s="3" t="s">
        <v>782</v>
      </c>
      <c r="E473" s="3" t="s">
        <v>120</v>
      </c>
      <c r="F473" s="3">
        <v>39.98</v>
      </c>
      <c r="G473" s="3" t="s">
        <v>121</v>
      </c>
      <c r="H473" s="3"/>
      <c r="I473" s="3" t="s">
        <v>122</v>
      </c>
      <c r="J473" s="3">
        <v>24</v>
      </c>
      <c r="K473" s="3">
        <v>24</v>
      </c>
      <c r="L473" s="3">
        <v>0</v>
      </c>
      <c r="M473" s="3">
        <v>0</v>
      </c>
      <c r="N473" s="3">
        <v>24</v>
      </c>
      <c r="O473" s="3">
        <v>0.09</v>
      </c>
      <c r="P473" s="3">
        <v>0</v>
      </c>
      <c r="Q473" s="3">
        <v>0</v>
      </c>
      <c r="R473" s="3">
        <v>0</v>
      </c>
    </row>
    <row r="474" spans="1:18">
      <c r="A474" s="3" t="s">
        <v>1250</v>
      </c>
      <c r="B474" s="3" t="s">
        <v>1251</v>
      </c>
      <c r="C474" s="3" t="s">
        <v>535</v>
      </c>
      <c r="D474" s="3" t="s">
        <v>784</v>
      </c>
      <c r="E474" s="3" t="s">
        <v>120</v>
      </c>
      <c r="F474" s="3">
        <v>39.98</v>
      </c>
      <c r="G474" s="3" t="s">
        <v>121</v>
      </c>
      <c r="H474" s="3"/>
      <c r="I474" s="3" t="s">
        <v>122</v>
      </c>
      <c r="J474" s="3">
        <v>22</v>
      </c>
      <c r="K474" s="3">
        <v>22</v>
      </c>
      <c r="L474" s="3">
        <v>0</v>
      </c>
      <c r="M474" s="3">
        <v>0</v>
      </c>
      <c r="N474" s="3">
        <v>22</v>
      </c>
      <c r="O474" s="3">
        <v>0.09</v>
      </c>
      <c r="P474" s="3">
        <v>0</v>
      </c>
      <c r="Q474" s="3">
        <v>0</v>
      </c>
      <c r="R474" s="3">
        <v>0</v>
      </c>
    </row>
    <row r="475" spans="1:18">
      <c r="A475" s="3" t="s">
        <v>1252</v>
      </c>
      <c r="B475" s="3" t="s">
        <v>1253</v>
      </c>
      <c r="C475" s="3" t="s">
        <v>537</v>
      </c>
      <c r="D475" s="3" t="s">
        <v>786</v>
      </c>
      <c r="E475" s="3" t="s">
        <v>120</v>
      </c>
      <c r="F475" s="3">
        <v>39.98</v>
      </c>
      <c r="G475" s="3" t="s">
        <v>121</v>
      </c>
      <c r="H475" s="3"/>
      <c r="I475" s="3" t="s">
        <v>122</v>
      </c>
      <c r="J475" s="3">
        <v>29</v>
      </c>
      <c r="K475" s="3">
        <v>29</v>
      </c>
      <c r="L475" s="3">
        <v>0</v>
      </c>
      <c r="M475" s="3">
        <v>0</v>
      </c>
      <c r="N475" s="3">
        <v>29</v>
      </c>
      <c r="O475" s="3">
        <v>0.09</v>
      </c>
      <c r="P475" s="3">
        <v>0</v>
      </c>
      <c r="Q475" s="3">
        <v>0</v>
      </c>
      <c r="R475" s="3">
        <v>0</v>
      </c>
    </row>
    <row r="476" spans="1:18">
      <c r="A476" s="3" t="s">
        <v>1254</v>
      </c>
      <c r="B476" s="3" t="s">
        <v>1255</v>
      </c>
      <c r="C476" s="3" t="s">
        <v>539</v>
      </c>
      <c r="D476" s="3" t="s">
        <v>788</v>
      </c>
      <c r="E476" s="3" t="s">
        <v>120</v>
      </c>
      <c r="F476" s="3">
        <v>39.98</v>
      </c>
      <c r="G476" s="3" t="s">
        <v>121</v>
      </c>
      <c r="H476" s="3"/>
      <c r="I476" s="3" t="s">
        <v>122</v>
      </c>
      <c r="J476" s="3">
        <v>17</v>
      </c>
      <c r="K476" s="3">
        <v>16</v>
      </c>
      <c r="L476" s="3">
        <v>0</v>
      </c>
      <c r="M476" s="3">
        <v>1</v>
      </c>
      <c r="N476" s="3">
        <v>17</v>
      </c>
      <c r="O476" s="3">
        <v>0.09</v>
      </c>
      <c r="P476" s="3">
        <v>0</v>
      </c>
      <c r="Q476" s="3">
        <v>0</v>
      </c>
      <c r="R476" s="3">
        <v>0</v>
      </c>
    </row>
    <row r="477" spans="1:18">
      <c r="A477" s="3" t="s">
        <v>1256</v>
      </c>
      <c r="B477" s="3" t="s">
        <v>1257</v>
      </c>
      <c r="C477" s="3" t="s">
        <v>542</v>
      </c>
      <c r="D477" s="3" t="s">
        <v>790</v>
      </c>
      <c r="E477" s="3" t="s">
        <v>120</v>
      </c>
      <c r="F477" s="3">
        <v>39.98</v>
      </c>
      <c r="G477" s="3" t="s">
        <v>121</v>
      </c>
      <c r="H477" s="3"/>
      <c r="I477" s="3" t="s">
        <v>122</v>
      </c>
      <c r="J477" s="3">
        <v>19</v>
      </c>
      <c r="K477" s="3">
        <v>17</v>
      </c>
      <c r="L477" s="3">
        <v>0</v>
      </c>
      <c r="M477" s="3">
        <v>2</v>
      </c>
      <c r="N477" s="3">
        <v>19</v>
      </c>
      <c r="O477" s="3">
        <v>0.09</v>
      </c>
      <c r="P477" s="3">
        <v>0</v>
      </c>
      <c r="Q477" s="3">
        <v>0</v>
      </c>
      <c r="R477" s="3">
        <v>0</v>
      </c>
    </row>
    <row r="478" spans="1:18">
      <c r="A478" s="3" t="s">
        <v>1258</v>
      </c>
      <c r="B478" s="3" t="s">
        <v>1259</v>
      </c>
      <c r="C478" s="3" t="s">
        <v>545</v>
      </c>
      <c r="D478" s="3" t="s">
        <v>792</v>
      </c>
      <c r="E478" s="3" t="s">
        <v>120</v>
      </c>
      <c r="F478" s="3">
        <v>39.98</v>
      </c>
      <c r="G478" s="3" t="s">
        <v>121</v>
      </c>
      <c r="H478" s="3"/>
      <c r="I478" s="3" t="s">
        <v>122</v>
      </c>
      <c r="J478" s="3">
        <v>35</v>
      </c>
      <c r="K478" s="3">
        <v>33</v>
      </c>
      <c r="L478" s="3">
        <v>0</v>
      </c>
      <c r="M478" s="3">
        <v>2</v>
      </c>
      <c r="N478" s="3">
        <v>35</v>
      </c>
      <c r="O478" s="3">
        <v>0.09</v>
      </c>
      <c r="P478" s="3">
        <v>0</v>
      </c>
      <c r="Q478" s="3">
        <v>0</v>
      </c>
      <c r="R478" s="3">
        <v>0</v>
      </c>
    </row>
    <row r="479" spans="1:18">
      <c r="A479" s="3" t="s">
        <v>1260</v>
      </c>
      <c r="B479" s="3" t="s">
        <v>1261</v>
      </c>
      <c r="C479" s="3" t="s">
        <v>547</v>
      </c>
      <c r="D479" s="3" t="s">
        <v>794</v>
      </c>
      <c r="E479" s="3" t="s">
        <v>120</v>
      </c>
      <c r="F479" s="3">
        <v>39.98</v>
      </c>
      <c r="G479" s="3" t="s">
        <v>121</v>
      </c>
      <c r="H479" s="3"/>
      <c r="I479" s="3" t="s">
        <v>122</v>
      </c>
      <c r="J479" s="3">
        <v>24</v>
      </c>
      <c r="K479" s="3">
        <v>24</v>
      </c>
      <c r="L479" s="3">
        <v>0</v>
      </c>
      <c r="M479" s="3">
        <v>0</v>
      </c>
      <c r="N479" s="3">
        <v>24</v>
      </c>
      <c r="O479" s="3">
        <v>0.09</v>
      </c>
      <c r="P479" s="3">
        <v>0</v>
      </c>
      <c r="Q479" s="3">
        <v>0</v>
      </c>
      <c r="R479" s="3">
        <v>0</v>
      </c>
    </row>
    <row r="480" spans="1:18">
      <c r="A480" s="3" t="s">
        <v>1262</v>
      </c>
      <c r="B480" s="3" t="s">
        <v>1263</v>
      </c>
      <c r="C480" s="3" t="s">
        <v>549</v>
      </c>
      <c r="D480" s="3" t="s">
        <v>796</v>
      </c>
      <c r="E480" s="3" t="s">
        <v>120</v>
      </c>
      <c r="F480" s="3">
        <v>39.98</v>
      </c>
      <c r="G480" s="3" t="s">
        <v>121</v>
      </c>
      <c r="H480" s="3"/>
      <c r="I480" s="3" t="s">
        <v>122</v>
      </c>
      <c r="J480" s="3">
        <v>33</v>
      </c>
      <c r="K480" s="3">
        <v>32</v>
      </c>
      <c r="L480" s="3">
        <v>0</v>
      </c>
      <c r="M480" s="3">
        <v>1</v>
      </c>
      <c r="N480" s="3">
        <v>33</v>
      </c>
      <c r="O480" s="3">
        <v>0.09</v>
      </c>
      <c r="P480" s="3">
        <v>0</v>
      </c>
      <c r="Q480" s="3">
        <v>0</v>
      </c>
      <c r="R480" s="3">
        <v>0</v>
      </c>
    </row>
    <row r="481" spans="1:18">
      <c r="A481" s="3" t="s">
        <v>1264</v>
      </c>
      <c r="B481" s="3" t="s">
        <v>1265</v>
      </c>
      <c r="C481" s="3" t="s">
        <v>552</v>
      </c>
      <c r="D481" s="3" t="s">
        <v>798</v>
      </c>
      <c r="E481" s="3" t="s">
        <v>120</v>
      </c>
      <c r="F481" s="3">
        <v>39.98</v>
      </c>
      <c r="G481" s="3" t="s">
        <v>121</v>
      </c>
      <c r="H481" s="3"/>
      <c r="I481" s="3" t="s">
        <v>122</v>
      </c>
      <c r="J481" s="3">
        <v>18</v>
      </c>
      <c r="K481" s="3">
        <v>18</v>
      </c>
      <c r="L481" s="3">
        <v>0</v>
      </c>
      <c r="M481" s="3">
        <v>0</v>
      </c>
      <c r="N481" s="3">
        <v>18</v>
      </c>
      <c r="O481" s="3">
        <v>0.09</v>
      </c>
      <c r="P481" s="3">
        <v>0</v>
      </c>
      <c r="Q481" s="3">
        <v>0</v>
      </c>
      <c r="R481" s="3">
        <v>0</v>
      </c>
    </row>
    <row r="482" spans="1:18">
      <c r="A482" s="3" t="s">
        <v>1266</v>
      </c>
      <c r="B482" s="3" t="s">
        <v>1267</v>
      </c>
      <c r="C482" s="3" t="s">
        <v>554</v>
      </c>
      <c r="D482" s="3" t="s">
        <v>800</v>
      </c>
      <c r="E482" s="3" t="s">
        <v>120</v>
      </c>
      <c r="F482" s="3">
        <v>39.98</v>
      </c>
      <c r="G482" s="3" t="s">
        <v>121</v>
      </c>
      <c r="H482" s="3"/>
      <c r="I482" s="3" t="s">
        <v>122</v>
      </c>
      <c r="J482" s="3">
        <v>20</v>
      </c>
      <c r="K482" s="3">
        <v>19</v>
      </c>
      <c r="L482" s="3">
        <v>0</v>
      </c>
      <c r="M482" s="3">
        <v>1</v>
      </c>
      <c r="N482" s="3">
        <v>20</v>
      </c>
      <c r="O482" s="3">
        <v>0.09</v>
      </c>
      <c r="P482" s="3">
        <v>0</v>
      </c>
      <c r="Q482" s="3">
        <v>0</v>
      </c>
      <c r="R482" s="3">
        <v>0</v>
      </c>
    </row>
    <row r="483" spans="1:18">
      <c r="A483" s="3" t="s">
        <v>1268</v>
      </c>
      <c r="B483" s="3" t="s">
        <v>1269</v>
      </c>
      <c r="C483" s="3" t="s">
        <v>556</v>
      </c>
      <c r="D483" s="3" t="s">
        <v>802</v>
      </c>
      <c r="E483" s="3" t="s">
        <v>120</v>
      </c>
      <c r="F483" s="3">
        <v>39.98</v>
      </c>
      <c r="G483" s="3" t="s">
        <v>121</v>
      </c>
      <c r="H483" s="3"/>
      <c r="I483" s="3" t="s">
        <v>122</v>
      </c>
      <c r="J483" s="3">
        <v>30</v>
      </c>
      <c r="K483" s="3">
        <v>30</v>
      </c>
      <c r="L483" s="3">
        <v>0</v>
      </c>
      <c r="M483" s="3">
        <v>0</v>
      </c>
      <c r="N483" s="3">
        <v>30</v>
      </c>
      <c r="O483" s="3">
        <v>0.09</v>
      </c>
      <c r="P483" s="3">
        <v>0</v>
      </c>
      <c r="Q483" s="3">
        <v>0</v>
      </c>
      <c r="R483" s="3">
        <v>0</v>
      </c>
    </row>
    <row r="484" spans="1:18">
      <c r="A484" s="3" t="s">
        <v>1270</v>
      </c>
      <c r="B484" s="3" t="s">
        <v>1271</v>
      </c>
      <c r="C484" s="3" t="s">
        <v>587</v>
      </c>
      <c r="D484" s="3" t="s">
        <v>588</v>
      </c>
      <c r="E484" s="3" t="s">
        <v>120</v>
      </c>
      <c r="F484" s="3">
        <v>39.98</v>
      </c>
      <c r="G484" s="3" t="s">
        <v>121</v>
      </c>
      <c r="H484" s="3"/>
      <c r="I484" s="3" t="s">
        <v>122</v>
      </c>
      <c r="J484" s="3">
        <v>30</v>
      </c>
      <c r="K484" s="3">
        <v>30</v>
      </c>
      <c r="L484" s="3">
        <v>0</v>
      </c>
      <c r="M484" s="3">
        <v>0</v>
      </c>
      <c r="N484" s="3">
        <v>30</v>
      </c>
      <c r="O484" s="3">
        <v>0.09</v>
      </c>
      <c r="P484" s="3">
        <v>0</v>
      </c>
      <c r="Q484" s="3">
        <v>0</v>
      </c>
      <c r="R484" s="3">
        <v>0</v>
      </c>
    </row>
    <row r="485" spans="1:18">
      <c r="A485" s="3" t="s">
        <v>1272</v>
      </c>
      <c r="B485" s="3" t="s">
        <v>1273</v>
      </c>
      <c r="C485" s="3" t="s">
        <v>561</v>
      </c>
      <c r="D485" s="3" t="s">
        <v>805</v>
      </c>
      <c r="E485" s="3" t="s">
        <v>120</v>
      </c>
      <c r="F485" s="3">
        <v>39.98</v>
      </c>
      <c r="G485" s="3" t="s">
        <v>121</v>
      </c>
      <c r="H485" s="3"/>
      <c r="I485" s="3" t="s">
        <v>122</v>
      </c>
      <c r="J485" s="3">
        <v>6</v>
      </c>
      <c r="K485" s="3">
        <v>6</v>
      </c>
      <c r="L485" s="3">
        <v>0</v>
      </c>
      <c r="M485" s="3">
        <v>0</v>
      </c>
      <c r="N485" s="3">
        <v>6</v>
      </c>
      <c r="O485" s="3">
        <v>0.09</v>
      </c>
      <c r="P485" s="3">
        <v>0</v>
      </c>
      <c r="Q485" s="3">
        <v>0</v>
      </c>
      <c r="R485" s="3">
        <v>0</v>
      </c>
    </row>
    <row r="486" spans="1:18">
      <c r="A486" s="3" t="s">
        <v>1274</v>
      </c>
      <c r="B486" s="3" t="s">
        <v>1275</v>
      </c>
      <c r="C486" s="3" t="s">
        <v>564</v>
      </c>
      <c r="D486" s="3" t="s">
        <v>807</v>
      </c>
      <c r="E486" s="3" t="s">
        <v>120</v>
      </c>
      <c r="F486" s="3">
        <v>39.98</v>
      </c>
      <c r="G486" s="3" t="s">
        <v>121</v>
      </c>
      <c r="H486" s="3"/>
      <c r="I486" s="3" t="s">
        <v>122</v>
      </c>
      <c r="J486" s="3">
        <v>0</v>
      </c>
      <c r="K486" s="3">
        <v>0</v>
      </c>
      <c r="L486" s="3">
        <v>0</v>
      </c>
      <c r="M486" s="3">
        <v>0</v>
      </c>
      <c r="N486" s="3">
        <v>0</v>
      </c>
      <c r="O486" s="3">
        <v>0.09</v>
      </c>
      <c r="P486" s="3">
        <v>0</v>
      </c>
      <c r="Q486" s="3">
        <v>0</v>
      </c>
      <c r="R486" s="3">
        <v>0</v>
      </c>
    </row>
    <row r="487" spans="1:18">
      <c r="A487" s="3" t="s">
        <v>1276</v>
      </c>
      <c r="B487" s="3" t="s">
        <v>1277</v>
      </c>
      <c r="C487" s="3" t="s">
        <v>566</v>
      </c>
      <c r="D487" s="3" t="s">
        <v>809</v>
      </c>
      <c r="E487" s="3" t="s">
        <v>120</v>
      </c>
      <c r="F487" s="3">
        <v>39.98</v>
      </c>
      <c r="G487" s="3" t="s">
        <v>121</v>
      </c>
      <c r="H487" s="3"/>
      <c r="I487" s="3" t="s">
        <v>122</v>
      </c>
      <c r="J487" s="3">
        <v>3</v>
      </c>
      <c r="K487" s="3">
        <v>3</v>
      </c>
      <c r="L487" s="3">
        <v>0</v>
      </c>
      <c r="M487" s="3">
        <v>0</v>
      </c>
      <c r="N487" s="3">
        <v>3</v>
      </c>
      <c r="O487" s="3">
        <v>0.09</v>
      </c>
      <c r="P487" s="3">
        <v>0</v>
      </c>
      <c r="Q487" s="3">
        <v>0</v>
      </c>
      <c r="R487" s="3">
        <v>0</v>
      </c>
    </row>
    <row r="488" spans="1:18">
      <c r="A488" s="3" t="s">
        <v>1278</v>
      </c>
      <c r="B488" s="3" t="s">
        <v>1279</v>
      </c>
      <c r="C488" s="3" t="s">
        <v>568</v>
      </c>
      <c r="D488" s="3" t="s">
        <v>811</v>
      </c>
      <c r="E488" s="3" t="s">
        <v>120</v>
      </c>
      <c r="F488" s="3">
        <v>39.98</v>
      </c>
      <c r="G488" s="3" t="s">
        <v>121</v>
      </c>
      <c r="H488" s="3"/>
      <c r="I488" s="3" t="s">
        <v>122</v>
      </c>
      <c r="J488" s="3">
        <v>9</v>
      </c>
      <c r="K488" s="3">
        <v>9</v>
      </c>
      <c r="L488" s="3">
        <v>0</v>
      </c>
      <c r="M488" s="3">
        <v>0</v>
      </c>
      <c r="N488" s="3">
        <v>9</v>
      </c>
      <c r="O488" s="3">
        <v>0.09</v>
      </c>
      <c r="P488" s="3">
        <v>0</v>
      </c>
      <c r="Q488" s="3">
        <v>0</v>
      </c>
      <c r="R488" s="3">
        <v>0</v>
      </c>
    </row>
    <row r="489" spans="1:18">
      <c r="A489" s="3" t="s">
        <v>1280</v>
      </c>
      <c r="B489" s="3" t="s">
        <v>1281</v>
      </c>
      <c r="C489" s="3" t="s">
        <v>570</v>
      </c>
      <c r="D489" s="3" t="s">
        <v>813</v>
      </c>
      <c r="E489" s="3" t="s">
        <v>120</v>
      </c>
      <c r="F489" s="3">
        <v>39.98</v>
      </c>
      <c r="G489" s="3" t="s">
        <v>121</v>
      </c>
      <c r="H489" s="3"/>
      <c r="I489" s="3" t="s">
        <v>122</v>
      </c>
      <c r="J489" s="3">
        <v>2</v>
      </c>
      <c r="K489" s="3">
        <v>2</v>
      </c>
      <c r="L489" s="3">
        <v>0</v>
      </c>
      <c r="M489" s="3">
        <v>0</v>
      </c>
      <c r="N489" s="3">
        <v>2</v>
      </c>
      <c r="O489" s="3">
        <v>0.09</v>
      </c>
      <c r="P489" s="3">
        <v>0</v>
      </c>
      <c r="Q489" s="3">
        <v>0</v>
      </c>
      <c r="R489" s="3">
        <v>0</v>
      </c>
    </row>
    <row r="490" spans="1:18">
      <c r="A490" s="3" t="s">
        <v>1282</v>
      </c>
      <c r="B490" s="3" t="s">
        <v>1283</v>
      </c>
      <c r="C490" s="3" t="s">
        <v>573</v>
      </c>
      <c r="D490" s="3" t="s">
        <v>815</v>
      </c>
      <c r="E490" s="3" t="s">
        <v>120</v>
      </c>
      <c r="F490" s="3">
        <v>39.98</v>
      </c>
      <c r="G490" s="3" t="s">
        <v>121</v>
      </c>
      <c r="H490" s="3"/>
      <c r="I490" s="3" t="s">
        <v>122</v>
      </c>
      <c r="J490" s="3">
        <v>7</v>
      </c>
      <c r="K490" s="3">
        <v>7</v>
      </c>
      <c r="L490" s="3">
        <v>0</v>
      </c>
      <c r="M490" s="3">
        <v>0</v>
      </c>
      <c r="N490" s="3">
        <v>7</v>
      </c>
      <c r="O490" s="3">
        <v>0.09</v>
      </c>
      <c r="P490" s="3">
        <v>0</v>
      </c>
      <c r="Q490" s="3">
        <v>0</v>
      </c>
      <c r="R490" s="3">
        <v>0</v>
      </c>
    </row>
    <row r="491" spans="1:18">
      <c r="A491" s="3" t="s">
        <v>1284</v>
      </c>
      <c r="B491" s="3" t="s">
        <v>1285</v>
      </c>
      <c r="C491" s="3" t="s">
        <v>576</v>
      </c>
      <c r="D491" s="3" t="s">
        <v>817</v>
      </c>
      <c r="E491" s="3" t="s">
        <v>120</v>
      </c>
      <c r="F491" s="3">
        <v>39.98</v>
      </c>
      <c r="G491" s="3" t="s">
        <v>121</v>
      </c>
      <c r="H491" s="3"/>
      <c r="I491" s="3" t="s">
        <v>122</v>
      </c>
      <c r="J491" s="3">
        <v>0</v>
      </c>
      <c r="K491" s="3">
        <v>0</v>
      </c>
      <c r="L491" s="3">
        <v>0</v>
      </c>
      <c r="M491" s="3">
        <v>0</v>
      </c>
      <c r="N491" s="3">
        <v>0</v>
      </c>
      <c r="O491" s="3">
        <v>0.09</v>
      </c>
      <c r="P491" s="3">
        <v>0</v>
      </c>
      <c r="Q491" s="3">
        <v>0</v>
      </c>
      <c r="R491" s="3">
        <v>0</v>
      </c>
    </row>
    <row r="492" spans="1:18">
      <c r="A492" s="3" t="s">
        <v>1286</v>
      </c>
      <c r="B492" s="3" t="s">
        <v>1287</v>
      </c>
      <c r="C492" s="3" t="s">
        <v>579</v>
      </c>
      <c r="D492" s="3" t="s">
        <v>819</v>
      </c>
      <c r="E492" s="3" t="s">
        <v>120</v>
      </c>
      <c r="F492" s="3">
        <v>39.98</v>
      </c>
      <c r="G492" s="3" t="s">
        <v>121</v>
      </c>
      <c r="H492" s="3"/>
      <c r="I492" s="3" t="s">
        <v>122</v>
      </c>
      <c r="J492" s="3">
        <v>2</v>
      </c>
      <c r="K492" s="3">
        <v>2</v>
      </c>
      <c r="L492" s="3">
        <v>0</v>
      </c>
      <c r="M492" s="3">
        <v>0</v>
      </c>
      <c r="N492" s="3">
        <v>2</v>
      </c>
      <c r="O492" s="3">
        <v>0.09</v>
      </c>
      <c r="P492" s="3">
        <v>0</v>
      </c>
      <c r="Q492" s="3">
        <v>0</v>
      </c>
      <c r="R492" s="3">
        <v>0</v>
      </c>
    </row>
    <row r="493" spans="1:18">
      <c r="A493" s="3" t="s">
        <v>1288</v>
      </c>
      <c r="B493" s="3" t="s">
        <v>1289</v>
      </c>
      <c r="C493" s="3" t="s">
        <v>581</v>
      </c>
      <c r="D493" s="3" t="s">
        <v>821</v>
      </c>
      <c r="E493" s="3" t="s">
        <v>120</v>
      </c>
      <c r="F493" s="3">
        <v>39.98</v>
      </c>
      <c r="G493" s="3" t="s">
        <v>121</v>
      </c>
      <c r="H493" s="3"/>
      <c r="I493" s="3" t="s">
        <v>122</v>
      </c>
      <c r="J493" s="3">
        <v>9</v>
      </c>
      <c r="K493" s="3">
        <v>9</v>
      </c>
      <c r="L493" s="3">
        <v>0</v>
      </c>
      <c r="M493" s="3">
        <v>0</v>
      </c>
      <c r="N493" s="3">
        <v>9</v>
      </c>
      <c r="O493" s="3">
        <v>0.09</v>
      </c>
      <c r="P493" s="3">
        <v>0</v>
      </c>
      <c r="Q493" s="3">
        <v>0</v>
      </c>
      <c r="R493" s="3">
        <v>0</v>
      </c>
    </row>
    <row r="494" spans="1:18">
      <c r="A494" s="3" t="s">
        <v>1290</v>
      </c>
      <c r="B494" s="3" t="s">
        <v>1291</v>
      </c>
      <c r="C494" s="3" t="s">
        <v>584</v>
      </c>
      <c r="D494" s="3" t="s">
        <v>823</v>
      </c>
      <c r="E494" s="3" t="s">
        <v>120</v>
      </c>
      <c r="F494" s="3">
        <v>39.98</v>
      </c>
      <c r="G494" s="3" t="s">
        <v>121</v>
      </c>
      <c r="H494" s="3"/>
      <c r="I494" s="3" t="s">
        <v>122</v>
      </c>
      <c r="J494" s="3">
        <v>2</v>
      </c>
      <c r="K494" s="3">
        <v>2</v>
      </c>
      <c r="L494" s="3">
        <v>0</v>
      </c>
      <c r="M494" s="3">
        <v>0</v>
      </c>
      <c r="N494" s="3">
        <v>2</v>
      </c>
      <c r="O494" s="3">
        <v>0.09</v>
      </c>
      <c r="P494" s="3">
        <v>0</v>
      </c>
      <c r="Q494" s="3">
        <v>0</v>
      </c>
      <c r="R494" s="3">
        <v>0</v>
      </c>
    </row>
    <row r="495" spans="1:18">
      <c r="A495" s="3" t="s">
        <v>1292</v>
      </c>
      <c r="B495" s="3" t="s">
        <v>1293</v>
      </c>
      <c r="C495" s="3" t="s">
        <v>1294</v>
      </c>
      <c r="D495" s="3" t="s">
        <v>368</v>
      </c>
      <c r="E495" s="3" t="s">
        <v>120</v>
      </c>
      <c r="F495" s="3">
        <v>39.98</v>
      </c>
      <c r="G495" s="3" t="s">
        <v>121</v>
      </c>
      <c r="H495" s="3"/>
      <c r="I495" s="3" t="s">
        <v>122</v>
      </c>
      <c r="J495" s="3">
        <v>0</v>
      </c>
      <c r="K495" s="3">
        <v>0</v>
      </c>
      <c r="L495" s="3">
        <v>0</v>
      </c>
      <c r="M495" s="3">
        <v>0</v>
      </c>
      <c r="N495" s="3">
        <v>0</v>
      </c>
      <c r="O495" s="3">
        <v>0.12</v>
      </c>
      <c r="P495" s="3">
        <v>0</v>
      </c>
      <c r="Q495" s="3">
        <v>0</v>
      </c>
      <c r="R495" s="3">
        <v>0</v>
      </c>
    </row>
    <row r="496" spans="1:18">
      <c r="A496" s="3" t="s">
        <v>1295</v>
      </c>
      <c r="B496" s="3" t="s">
        <v>1296</v>
      </c>
      <c r="C496" s="3" t="s">
        <v>1297</v>
      </c>
      <c r="D496" s="3" t="s">
        <v>1298</v>
      </c>
      <c r="E496" s="3" t="s">
        <v>120</v>
      </c>
      <c r="F496" s="3">
        <v>39.98</v>
      </c>
      <c r="G496" s="3" t="s">
        <v>121</v>
      </c>
      <c r="H496" s="3"/>
      <c r="I496" s="3" t="s">
        <v>122</v>
      </c>
      <c r="J496" s="3">
        <v>0</v>
      </c>
      <c r="K496" s="3">
        <v>0</v>
      </c>
      <c r="L496" s="3">
        <v>0</v>
      </c>
      <c r="M496" s="3">
        <v>0</v>
      </c>
      <c r="N496" s="3">
        <v>0</v>
      </c>
      <c r="O496" s="3">
        <v>0.12</v>
      </c>
      <c r="P496" s="3">
        <v>0</v>
      </c>
      <c r="Q496" s="3">
        <v>0</v>
      </c>
      <c r="R496" s="3">
        <v>0</v>
      </c>
    </row>
    <row r="497" spans="1:18">
      <c r="A497" s="3" t="s">
        <v>1299</v>
      </c>
      <c r="B497" s="3" t="s">
        <v>1300</v>
      </c>
      <c r="C497" s="3" t="s">
        <v>1301</v>
      </c>
      <c r="D497" s="3" t="s">
        <v>1302</v>
      </c>
      <c r="E497" s="3" t="s">
        <v>120</v>
      </c>
      <c r="F497" s="3">
        <v>39.98</v>
      </c>
      <c r="G497" s="3" t="s">
        <v>121</v>
      </c>
      <c r="H497" s="3"/>
      <c r="I497" s="3" t="s">
        <v>122</v>
      </c>
      <c r="J497" s="3">
        <v>0</v>
      </c>
      <c r="K497" s="3">
        <v>0</v>
      </c>
      <c r="L497" s="3">
        <v>0</v>
      </c>
      <c r="M497" s="3">
        <v>0</v>
      </c>
      <c r="N497" s="3">
        <v>0</v>
      </c>
      <c r="O497" s="3">
        <v>0.12</v>
      </c>
      <c r="P497" s="3">
        <v>0</v>
      </c>
      <c r="Q497" s="3">
        <v>0</v>
      </c>
      <c r="R497" s="3">
        <v>0</v>
      </c>
    </row>
    <row r="498" spans="1:18">
      <c r="A498" s="3" t="s">
        <v>1303</v>
      </c>
      <c r="B498" s="3" t="s">
        <v>1304</v>
      </c>
      <c r="C498" s="3" t="s">
        <v>1305</v>
      </c>
      <c r="D498" s="3" t="s">
        <v>1306</v>
      </c>
      <c r="E498" s="3" t="s">
        <v>120</v>
      </c>
      <c r="F498" s="3">
        <v>39.98</v>
      </c>
      <c r="G498" s="3" t="s">
        <v>121</v>
      </c>
      <c r="H498" s="3"/>
      <c r="I498" s="3" t="s">
        <v>122</v>
      </c>
      <c r="J498" s="3">
        <v>0</v>
      </c>
      <c r="K498" s="3">
        <v>0</v>
      </c>
      <c r="L498" s="3">
        <v>0</v>
      </c>
      <c r="M498" s="3">
        <v>0</v>
      </c>
      <c r="N498" s="3">
        <v>0</v>
      </c>
      <c r="O498" s="3">
        <v>0.12</v>
      </c>
      <c r="P498" s="3">
        <v>0</v>
      </c>
      <c r="Q498" s="3">
        <v>0</v>
      </c>
      <c r="R498" s="3">
        <v>0</v>
      </c>
    </row>
    <row r="499" spans="1:18">
      <c r="A499" s="3" t="s">
        <v>1307</v>
      </c>
      <c r="B499" s="3" t="s">
        <v>1308</v>
      </c>
      <c r="C499" s="3" t="s">
        <v>1309</v>
      </c>
      <c r="D499" s="3" t="s">
        <v>1310</v>
      </c>
      <c r="E499" s="3" t="s">
        <v>120</v>
      </c>
      <c r="F499" s="3">
        <v>39.98</v>
      </c>
      <c r="G499" s="3" t="s">
        <v>121</v>
      </c>
      <c r="H499" s="3"/>
      <c r="I499" s="3" t="s">
        <v>122</v>
      </c>
      <c r="J499" s="3">
        <v>0</v>
      </c>
      <c r="K499" s="3">
        <v>0</v>
      </c>
      <c r="L499" s="3">
        <v>0</v>
      </c>
      <c r="M499" s="3">
        <v>0</v>
      </c>
      <c r="N499" s="3">
        <v>0</v>
      </c>
      <c r="O499" s="3">
        <v>0.12</v>
      </c>
      <c r="P499" s="3">
        <v>0</v>
      </c>
      <c r="Q499" s="3">
        <v>0</v>
      </c>
      <c r="R499" s="3">
        <v>0</v>
      </c>
    </row>
    <row r="500" spans="1:18">
      <c r="A500" s="3" t="s">
        <v>1311</v>
      </c>
      <c r="B500" s="3" t="s">
        <v>1312</v>
      </c>
      <c r="C500" s="3" t="s">
        <v>1313</v>
      </c>
      <c r="D500" s="3" t="s">
        <v>1314</v>
      </c>
      <c r="E500" s="3" t="s">
        <v>120</v>
      </c>
      <c r="F500" s="3">
        <v>23.98</v>
      </c>
      <c r="G500" s="3" t="s">
        <v>121</v>
      </c>
      <c r="H500" s="3"/>
      <c r="I500" s="3" t="s">
        <v>122</v>
      </c>
      <c r="J500" s="3">
        <v>0</v>
      </c>
      <c r="K500" s="3">
        <v>0</v>
      </c>
      <c r="L500" s="3">
        <v>0</v>
      </c>
      <c r="M500" s="3">
        <v>0</v>
      </c>
      <c r="N500" s="3">
        <v>0</v>
      </c>
      <c r="O500" s="3">
        <v>0.05</v>
      </c>
      <c r="P500" s="3">
        <v>0</v>
      </c>
      <c r="Q500" s="3">
        <v>0</v>
      </c>
      <c r="R500" s="3">
        <v>0</v>
      </c>
    </row>
    <row r="501" spans="1:18">
      <c r="A501" s="3" t="s">
        <v>1315</v>
      </c>
      <c r="B501" s="3" t="s">
        <v>1316</v>
      </c>
      <c r="C501" s="3" t="s">
        <v>1317</v>
      </c>
      <c r="D501" s="3" t="s">
        <v>1318</v>
      </c>
      <c r="E501" s="3" t="s">
        <v>120</v>
      </c>
      <c r="F501" s="3">
        <v>23.98</v>
      </c>
      <c r="G501" s="3" t="s">
        <v>121</v>
      </c>
      <c r="H501" s="3"/>
      <c r="I501" s="3" t="s">
        <v>122</v>
      </c>
      <c r="J501" s="3">
        <v>0</v>
      </c>
      <c r="K501" s="3">
        <v>0</v>
      </c>
      <c r="L501" s="3">
        <v>0</v>
      </c>
      <c r="M501" s="3">
        <v>0</v>
      </c>
      <c r="N501" s="3">
        <v>0</v>
      </c>
      <c r="O501" s="3">
        <v>0.12</v>
      </c>
      <c r="P501" s="3">
        <v>0</v>
      </c>
      <c r="Q501" s="3">
        <v>0</v>
      </c>
      <c r="R501" s="3">
        <v>0</v>
      </c>
    </row>
    <row r="502" spans="1:18">
      <c r="A502" s="3" t="s">
        <v>1319</v>
      </c>
      <c r="B502" s="3" t="s">
        <v>1320</v>
      </c>
      <c r="C502" s="3" t="s">
        <v>1321</v>
      </c>
      <c r="D502" s="3" t="s">
        <v>1322</v>
      </c>
      <c r="E502" s="3" t="s">
        <v>120</v>
      </c>
      <c r="F502" s="3">
        <v>23.98</v>
      </c>
      <c r="G502" s="3" t="s">
        <v>121</v>
      </c>
      <c r="H502" s="3"/>
      <c r="I502" s="3" t="s">
        <v>122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0.05</v>
      </c>
      <c r="P502" s="3">
        <v>0</v>
      </c>
      <c r="Q502" s="3">
        <v>0</v>
      </c>
      <c r="R502" s="3">
        <v>0</v>
      </c>
    </row>
    <row r="503" spans="1:18">
      <c r="A503" s="3" t="s">
        <v>1323</v>
      </c>
      <c r="B503" s="3" t="s">
        <v>1324</v>
      </c>
      <c r="C503" s="3" t="s">
        <v>1325</v>
      </c>
      <c r="D503" s="3" t="s">
        <v>1326</v>
      </c>
      <c r="E503" s="3" t="s">
        <v>120</v>
      </c>
      <c r="F503" s="3">
        <v>23.98</v>
      </c>
      <c r="G503" s="3" t="s">
        <v>122</v>
      </c>
      <c r="H503" s="3">
        <v>1</v>
      </c>
      <c r="I503" s="3" t="s">
        <v>121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0.05</v>
      </c>
      <c r="P503" s="3">
        <v>0</v>
      </c>
      <c r="Q503" s="3">
        <v>0</v>
      </c>
      <c r="R503" s="3">
        <v>0</v>
      </c>
    </row>
    <row r="504" spans="1:18">
      <c r="A504" s="3" t="s">
        <v>1327</v>
      </c>
      <c r="B504" s="3" t="s">
        <v>1328</v>
      </c>
      <c r="C504" s="3" t="s">
        <v>1329</v>
      </c>
      <c r="D504" s="3" t="s">
        <v>1330</v>
      </c>
      <c r="E504" s="3" t="s">
        <v>120</v>
      </c>
      <c r="F504" s="3">
        <v>23.98</v>
      </c>
      <c r="G504" s="3" t="s">
        <v>122</v>
      </c>
      <c r="H504" s="3">
        <v>2</v>
      </c>
      <c r="I504" s="3" t="s">
        <v>121</v>
      </c>
      <c r="J504" s="3">
        <v>0</v>
      </c>
      <c r="K504" s="3">
        <v>0</v>
      </c>
      <c r="L504" s="3">
        <v>0</v>
      </c>
      <c r="M504" s="3">
        <v>0</v>
      </c>
      <c r="N504" s="3">
        <v>0</v>
      </c>
      <c r="O504" s="3">
        <v>0.05</v>
      </c>
      <c r="P504" s="3">
        <v>0</v>
      </c>
      <c r="Q504" s="3">
        <v>0</v>
      </c>
      <c r="R504" s="3">
        <v>0</v>
      </c>
    </row>
    <row r="505" spans="1:18">
      <c r="A505" s="3" t="s">
        <v>1331</v>
      </c>
      <c r="B505" s="3" t="s">
        <v>1332</v>
      </c>
      <c r="C505" s="3" t="s">
        <v>1333</v>
      </c>
      <c r="D505" s="3" t="s">
        <v>1334</v>
      </c>
      <c r="E505" s="3" t="s">
        <v>120</v>
      </c>
      <c r="F505" s="3">
        <v>17.98</v>
      </c>
      <c r="G505" s="3" t="s">
        <v>121</v>
      </c>
      <c r="H505" s="3"/>
      <c r="I505" s="3" t="s">
        <v>122</v>
      </c>
      <c r="J505" s="3">
        <v>37</v>
      </c>
      <c r="K505" s="3">
        <v>37</v>
      </c>
      <c r="L505" s="3">
        <v>0</v>
      </c>
      <c r="M505" s="3">
        <v>0</v>
      </c>
      <c r="N505" s="3">
        <v>37</v>
      </c>
      <c r="O505" s="3">
        <v>0.05</v>
      </c>
      <c r="P505" s="3">
        <v>0</v>
      </c>
      <c r="Q505" s="3">
        <v>0</v>
      </c>
      <c r="R505" s="3">
        <v>0</v>
      </c>
    </row>
    <row r="506" spans="1:18">
      <c r="A506" s="3" t="s">
        <v>1335</v>
      </c>
      <c r="B506" s="3" t="s">
        <v>1336</v>
      </c>
      <c r="C506" s="3" t="s">
        <v>1337</v>
      </c>
      <c r="D506" s="3" t="s">
        <v>1338</v>
      </c>
      <c r="E506" s="3" t="s">
        <v>120</v>
      </c>
      <c r="F506" s="3">
        <v>23.98</v>
      </c>
      <c r="G506" s="3" t="s">
        <v>121</v>
      </c>
      <c r="H506" s="3"/>
      <c r="I506" s="3" t="s">
        <v>122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0.05</v>
      </c>
      <c r="P506" s="3">
        <v>0</v>
      </c>
      <c r="Q506" s="3">
        <v>0</v>
      </c>
      <c r="R506" s="3">
        <v>0</v>
      </c>
    </row>
    <row r="507" spans="1:18">
      <c r="A507" s="3" t="s">
        <v>1339</v>
      </c>
      <c r="B507" s="3" t="s">
        <v>1340</v>
      </c>
      <c r="C507" s="3" t="s">
        <v>1341</v>
      </c>
      <c r="D507" s="3"/>
      <c r="E507" s="3" t="s">
        <v>20</v>
      </c>
      <c r="F507" s="3"/>
      <c r="G507" s="3"/>
      <c r="H507" s="3"/>
      <c r="I507" s="3"/>
      <c r="J507" s="3">
        <v>0</v>
      </c>
      <c r="K507" s="3">
        <v>0</v>
      </c>
      <c r="L507" s="3">
        <v>0</v>
      </c>
      <c r="M507" s="3">
        <v>0</v>
      </c>
      <c r="N507" s="3">
        <v>0</v>
      </c>
      <c r="O507" s="3"/>
      <c r="P507" s="3">
        <v>0</v>
      </c>
      <c r="Q507" s="3">
        <v>0</v>
      </c>
      <c r="R507" s="3">
        <v>0</v>
      </c>
    </row>
    <row r="508" spans="1:18">
      <c r="A508" s="3" t="s">
        <v>1342</v>
      </c>
      <c r="B508" s="3" t="s">
        <v>1343</v>
      </c>
      <c r="C508" s="3" t="s">
        <v>1344</v>
      </c>
      <c r="D508" s="3" t="s">
        <v>1345</v>
      </c>
      <c r="E508" s="3" t="s">
        <v>120</v>
      </c>
      <c r="F508" s="3">
        <v>23.98</v>
      </c>
      <c r="G508" s="3" t="s">
        <v>121</v>
      </c>
      <c r="H508" s="3"/>
      <c r="I508" s="3" t="s">
        <v>122</v>
      </c>
      <c r="J508" s="3">
        <v>20</v>
      </c>
      <c r="K508" s="3">
        <v>10</v>
      </c>
      <c r="L508" s="3">
        <v>0</v>
      </c>
      <c r="M508" s="3">
        <v>10</v>
      </c>
      <c r="N508" s="3">
        <v>140</v>
      </c>
      <c r="O508" s="3">
        <v>0.05</v>
      </c>
      <c r="P508" s="3">
        <v>0</v>
      </c>
      <c r="Q508" s="3">
        <v>90</v>
      </c>
      <c r="R508" s="3">
        <v>30</v>
      </c>
    </row>
    <row r="509" spans="1:18">
      <c r="A509" s="3" t="s">
        <v>1346</v>
      </c>
      <c r="B509" s="3" t="s">
        <v>1347</v>
      </c>
      <c r="C509" s="3" t="s">
        <v>1348</v>
      </c>
      <c r="D509" s="3" t="s">
        <v>1349</v>
      </c>
      <c r="E509" s="3" t="s">
        <v>120</v>
      </c>
      <c r="F509" s="3">
        <v>23.98</v>
      </c>
      <c r="G509" s="3" t="s">
        <v>121</v>
      </c>
      <c r="H509" s="3"/>
      <c r="I509" s="3" t="s">
        <v>122</v>
      </c>
      <c r="J509" s="3">
        <v>0</v>
      </c>
      <c r="K509" s="3">
        <v>0</v>
      </c>
      <c r="L509" s="3">
        <v>0</v>
      </c>
      <c r="M509" s="3">
        <v>0</v>
      </c>
      <c r="N509" s="3">
        <v>75</v>
      </c>
      <c r="O509" s="3">
        <v>0.05</v>
      </c>
      <c r="P509" s="3">
        <v>0</v>
      </c>
      <c r="Q509" s="3">
        <v>75</v>
      </c>
      <c r="R509" s="3">
        <v>0</v>
      </c>
    </row>
    <row r="510" spans="1:18">
      <c r="A510" s="3" t="s">
        <v>1350</v>
      </c>
      <c r="B510" s="3" t="s">
        <v>1351</v>
      </c>
      <c r="C510" s="3" t="s">
        <v>1352</v>
      </c>
      <c r="D510" s="3" t="s">
        <v>1353</v>
      </c>
      <c r="E510" s="3" t="s">
        <v>120</v>
      </c>
      <c r="F510" s="3">
        <v>23.98</v>
      </c>
      <c r="G510" s="3" t="s">
        <v>121</v>
      </c>
      <c r="H510" s="3"/>
      <c r="I510" s="3" t="s">
        <v>122</v>
      </c>
      <c r="J510" s="3">
        <v>40</v>
      </c>
      <c r="K510" s="3">
        <v>38</v>
      </c>
      <c r="L510" s="3">
        <v>0</v>
      </c>
      <c r="M510" s="3">
        <v>2</v>
      </c>
      <c r="N510" s="3">
        <v>80</v>
      </c>
      <c r="O510" s="3">
        <v>0.05</v>
      </c>
      <c r="P510" s="3">
        <v>0</v>
      </c>
      <c r="Q510" s="3">
        <v>40</v>
      </c>
      <c r="R510" s="3">
        <v>0</v>
      </c>
    </row>
    <row r="511" spans="1:18">
      <c r="A511" s="3" t="s">
        <v>1354</v>
      </c>
      <c r="B511" s="3" t="s">
        <v>1355</v>
      </c>
      <c r="C511" s="3" t="s">
        <v>1356</v>
      </c>
      <c r="D511" s="3" t="s">
        <v>1357</v>
      </c>
      <c r="E511" s="3" t="s">
        <v>120</v>
      </c>
      <c r="F511" s="3">
        <v>23.98</v>
      </c>
      <c r="G511" s="3" t="s">
        <v>121</v>
      </c>
      <c r="H511" s="3"/>
      <c r="I511" s="3" t="s">
        <v>122</v>
      </c>
      <c r="J511" s="3">
        <v>18</v>
      </c>
      <c r="K511" s="3">
        <v>18</v>
      </c>
      <c r="L511" s="3">
        <v>0</v>
      </c>
      <c r="M511" s="3">
        <v>0</v>
      </c>
      <c r="N511" s="3">
        <v>33</v>
      </c>
      <c r="O511" s="3">
        <v>0.12</v>
      </c>
      <c r="P511" s="3">
        <v>0</v>
      </c>
      <c r="Q511" s="3">
        <v>15</v>
      </c>
      <c r="R511" s="3">
        <v>0</v>
      </c>
    </row>
    <row r="512" spans="1:18">
      <c r="A512" s="3" t="s">
        <v>1358</v>
      </c>
      <c r="B512" s="3" t="s">
        <v>1359</v>
      </c>
      <c r="C512" s="3" t="s">
        <v>1360</v>
      </c>
      <c r="D512" s="3" t="s">
        <v>1361</v>
      </c>
      <c r="E512" s="3" t="s">
        <v>120</v>
      </c>
      <c r="F512" s="3">
        <v>39.98</v>
      </c>
      <c r="G512" s="3" t="s">
        <v>121</v>
      </c>
      <c r="H512" s="3"/>
      <c r="I512" s="3" t="s">
        <v>122</v>
      </c>
      <c r="J512" s="3">
        <v>0</v>
      </c>
      <c r="K512" s="3">
        <v>0</v>
      </c>
      <c r="L512" s="3">
        <v>0</v>
      </c>
      <c r="M512" s="3">
        <v>0</v>
      </c>
      <c r="N512" s="3">
        <v>0</v>
      </c>
      <c r="O512" s="3">
        <v>0.12</v>
      </c>
      <c r="P512" s="3">
        <v>0</v>
      </c>
      <c r="Q512" s="3">
        <v>0</v>
      </c>
      <c r="R512" s="3">
        <v>0</v>
      </c>
    </row>
    <row r="513" spans="1:18">
      <c r="A513" s="3" t="s">
        <v>1362</v>
      </c>
      <c r="B513" s="3" t="s">
        <v>1363</v>
      </c>
      <c r="C513" s="3" t="s">
        <v>1364</v>
      </c>
      <c r="D513" s="3" t="s">
        <v>1365</v>
      </c>
      <c r="E513" s="3" t="s">
        <v>120</v>
      </c>
      <c r="F513" s="3">
        <v>23.98</v>
      </c>
      <c r="G513" s="3" t="s">
        <v>121</v>
      </c>
      <c r="H513" s="3"/>
      <c r="I513" s="3" t="s">
        <v>122</v>
      </c>
      <c r="J513" s="3">
        <v>0</v>
      </c>
      <c r="K513" s="3">
        <v>0</v>
      </c>
      <c r="L513" s="3">
        <v>0</v>
      </c>
      <c r="M513" s="3">
        <v>0</v>
      </c>
      <c r="N513" s="3">
        <v>0</v>
      </c>
      <c r="O513" s="3">
        <v>0.12</v>
      </c>
      <c r="P513" s="3">
        <v>0</v>
      </c>
      <c r="Q513" s="3">
        <v>0</v>
      </c>
      <c r="R513" s="3">
        <v>0</v>
      </c>
    </row>
    <row r="514" spans="1:18">
      <c r="A514" s="3" t="s">
        <v>1366</v>
      </c>
      <c r="B514" s="3" t="s">
        <v>1367</v>
      </c>
      <c r="C514" s="3" t="s">
        <v>1368</v>
      </c>
      <c r="D514" s="3" t="s">
        <v>1369</v>
      </c>
      <c r="E514" s="3" t="s">
        <v>120</v>
      </c>
      <c r="F514" s="3">
        <v>23.98</v>
      </c>
      <c r="G514" s="3" t="s">
        <v>121</v>
      </c>
      <c r="H514" s="3"/>
      <c r="I514" s="3" t="s">
        <v>122</v>
      </c>
      <c r="J514" s="3">
        <v>0</v>
      </c>
      <c r="K514" s="3">
        <v>0</v>
      </c>
      <c r="L514" s="3">
        <v>0</v>
      </c>
      <c r="M514" s="3">
        <v>0</v>
      </c>
      <c r="N514" s="3">
        <v>0</v>
      </c>
      <c r="O514" s="3">
        <v>0.12</v>
      </c>
      <c r="P514" s="3">
        <v>0</v>
      </c>
      <c r="Q514" s="3">
        <v>0</v>
      </c>
      <c r="R514" s="3">
        <v>0</v>
      </c>
    </row>
    <row r="515" spans="1:18">
      <c r="A515" s="3" t="s">
        <v>1370</v>
      </c>
      <c r="B515" s="3" t="s">
        <v>1371</v>
      </c>
      <c r="C515" s="3" t="s">
        <v>1372</v>
      </c>
      <c r="D515" s="3" t="s">
        <v>1373</v>
      </c>
      <c r="E515" s="3" t="s">
        <v>120</v>
      </c>
      <c r="F515" s="3">
        <v>23.98</v>
      </c>
      <c r="G515" s="3" t="s">
        <v>121</v>
      </c>
      <c r="H515" s="3"/>
      <c r="I515" s="3" t="s">
        <v>122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0.12</v>
      </c>
      <c r="P515" s="3">
        <v>0</v>
      </c>
      <c r="Q515" s="3">
        <v>0</v>
      </c>
      <c r="R515" s="3">
        <v>0</v>
      </c>
    </row>
    <row r="516" spans="1:18">
      <c r="A516" s="3" t="s">
        <v>1374</v>
      </c>
      <c r="B516" s="3" t="s">
        <v>1375</v>
      </c>
      <c r="C516" s="3" t="s">
        <v>1376</v>
      </c>
      <c r="D516" s="3" t="s">
        <v>1377</v>
      </c>
      <c r="E516" s="3" t="s">
        <v>120</v>
      </c>
      <c r="F516" s="3">
        <v>23.98</v>
      </c>
      <c r="G516" s="3" t="s">
        <v>121</v>
      </c>
      <c r="H516" s="3"/>
      <c r="I516" s="3" t="s">
        <v>122</v>
      </c>
      <c r="J516" s="3">
        <v>2</v>
      </c>
      <c r="K516" s="3">
        <v>0</v>
      </c>
      <c r="L516" s="3">
        <v>0</v>
      </c>
      <c r="M516" s="3">
        <v>2</v>
      </c>
      <c r="N516" s="3">
        <v>22</v>
      </c>
      <c r="O516" s="3">
        <v>0.12</v>
      </c>
      <c r="P516" s="3">
        <v>0</v>
      </c>
      <c r="Q516" s="3">
        <v>0</v>
      </c>
      <c r="R516" s="3">
        <v>20</v>
      </c>
    </row>
    <row r="517" spans="1:18">
      <c r="A517" s="3" t="s">
        <v>1378</v>
      </c>
      <c r="B517" s="3" t="s">
        <v>1379</v>
      </c>
      <c r="C517" s="3" t="s">
        <v>1380</v>
      </c>
      <c r="D517" s="3" t="s">
        <v>1381</v>
      </c>
      <c r="E517" s="3" t="s">
        <v>120</v>
      </c>
      <c r="F517" s="3">
        <v>23.98</v>
      </c>
      <c r="G517" s="3" t="s">
        <v>121</v>
      </c>
      <c r="H517" s="3"/>
      <c r="I517" s="3" t="s">
        <v>122</v>
      </c>
      <c r="J517" s="3">
        <v>14</v>
      </c>
      <c r="K517" s="3">
        <v>14</v>
      </c>
      <c r="L517" s="3">
        <v>0</v>
      </c>
      <c r="M517" s="3">
        <v>0</v>
      </c>
      <c r="N517" s="3">
        <v>14</v>
      </c>
      <c r="O517" s="3">
        <v>0.05</v>
      </c>
      <c r="P517" s="3">
        <v>0</v>
      </c>
      <c r="Q517" s="3">
        <v>0</v>
      </c>
      <c r="R517" s="3">
        <v>0</v>
      </c>
    </row>
    <row r="518" spans="1:18">
      <c r="A518" s="3" t="s">
        <v>1382</v>
      </c>
      <c r="B518" s="3" t="s">
        <v>1383</v>
      </c>
      <c r="C518" s="3" t="s">
        <v>1384</v>
      </c>
      <c r="D518" s="3" t="s">
        <v>1385</v>
      </c>
      <c r="E518" s="3" t="s">
        <v>120</v>
      </c>
      <c r="F518" s="3">
        <v>23.98</v>
      </c>
      <c r="G518" s="3" t="s">
        <v>121</v>
      </c>
      <c r="H518" s="3"/>
      <c r="I518" s="3" t="s">
        <v>122</v>
      </c>
      <c r="J518" s="3">
        <v>14</v>
      </c>
      <c r="K518" s="3">
        <v>14</v>
      </c>
      <c r="L518" s="3">
        <v>0</v>
      </c>
      <c r="M518" s="3">
        <v>0</v>
      </c>
      <c r="N518" s="3">
        <v>14</v>
      </c>
      <c r="O518" s="3">
        <v>0.05</v>
      </c>
      <c r="P518" s="3">
        <v>0</v>
      </c>
      <c r="Q518" s="3">
        <v>0</v>
      </c>
      <c r="R518" s="3">
        <v>0</v>
      </c>
    </row>
    <row r="519" spans="1:18">
      <c r="A519" s="3" t="s">
        <v>1386</v>
      </c>
      <c r="B519" s="3" t="s">
        <v>1387</v>
      </c>
      <c r="C519" s="3" t="s">
        <v>1388</v>
      </c>
      <c r="D519" s="3" t="s">
        <v>1389</v>
      </c>
      <c r="E519" s="3" t="s">
        <v>120</v>
      </c>
      <c r="F519" s="3">
        <v>23.98</v>
      </c>
      <c r="G519" s="3" t="s">
        <v>121</v>
      </c>
      <c r="H519" s="3"/>
      <c r="I519" s="3" t="s">
        <v>122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0.12</v>
      </c>
      <c r="P519" s="3">
        <v>0</v>
      </c>
      <c r="Q519" s="3">
        <v>0</v>
      </c>
      <c r="R519" s="3">
        <v>0</v>
      </c>
    </row>
    <row r="520" spans="1:18">
      <c r="A520" s="3" t="s">
        <v>1390</v>
      </c>
      <c r="B520" s="3" t="s">
        <v>1391</v>
      </c>
      <c r="C520" s="3" t="s">
        <v>1392</v>
      </c>
      <c r="D520" s="3" t="s">
        <v>1393</v>
      </c>
      <c r="E520" s="3" t="s">
        <v>120</v>
      </c>
      <c r="F520" s="3">
        <v>23.98</v>
      </c>
      <c r="G520" s="3" t="s">
        <v>121</v>
      </c>
      <c r="H520" s="3"/>
      <c r="I520" s="3" t="s">
        <v>122</v>
      </c>
      <c r="J520" s="3">
        <v>0</v>
      </c>
      <c r="K520" s="3">
        <v>0</v>
      </c>
      <c r="L520" s="3">
        <v>0</v>
      </c>
      <c r="M520" s="3">
        <v>0</v>
      </c>
      <c r="N520" s="3">
        <v>0</v>
      </c>
      <c r="O520" s="3">
        <v>0.12</v>
      </c>
      <c r="P520" s="3">
        <v>0</v>
      </c>
      <c r="Q520" s="3">
        <v>0</v>
      </c>
      <c r="R520" s="3">
        <v>0</v>
      </c>
    </row>
    <row r="521" spans="1:18">
      <c r="A521" s="3" t="s">
        <v>1394</v>
      </c>
      <c r="B521" s="3" t="s">
        <v>1395</v>
      </c>
      <c r="C521" s="3" t="s">
        <v>1396</v>
      </c>
      <c r="D521" s="3" t="s">
        <v>1397</v>
      </c>
      <c r="E521" s="3" t="s">
        <v>120</v>
      </c>
      <c r="F521" s="3">
        <v>23.98</v>
      </c>
      <c r="G521" s="3" t="s">
        <v>121</v>
      </c>
      <c r="H521" s="3"/>
      <c r="I521" s="3" t="s">
        <v>122</v>
      </c>
      <c r="J521" s="3">
        <v>139</v>
      </c>
      <c r="K521" s="3">
        <v>138</v>
      </c>
      <c r="L521" s="3">
        <v>0</v>
      </c>
      <c r="M521" s="3">
        <v>1</v>
      </c>
      <c r="N521" s="3">
        <v>179</v>
      </c>
      <c r="O521" s="3">
        <v>0.05</v>
      </c>
      <c r="P521" s="3">
        <v>0</v>
      </c>
      <c r="Q521" s="3">
        <v>20</v>
      </c>
      <c r="R521" s="3">
        <v>20</v>
      </c>
    </row>
    <row r="522" spans="1:18">
      <c r="A522" s="3" t="s">
        <v>1398</v>
      </c>
      <c r="B522" s="3" t="s">
        <v>1399</v>
      </c>
      <c r="C522" s="3" t="s">
        <v>1400</v>
      </c>
      <c r="D522" s="3" t="s">
        <v>1401</v>
      </c>
      <c r="E522" s="3" t="s">
        <v>120</v>
      </c>
      <c r="F522" s="3">
        <v>23.98</v>
      </c>
      <c r="G522" s="3" t="s">
        <v>121</v>
      </c>
      <c r="H522" s="3"/>
      <c r="I522" s="3" t="s">
        <v>122</v>
      </c>
      <c r="J522" s="3">
        <v>89</v>
      </c>
      <c r="K522" s="3">
        <v>88</v>
      </c>
      <c r="L522" s="3">
        <v>0</v>
      </c>
      <c r="M522" s="3">
        <v>1</v>
      </c>
      <c r="N522" s="3">
        <v>119</v>
      </c>
      <c r="O522" s="3">
        <v>0.05</v>
      </c>
      <c r="P522" s="3">
        <v>0</v>
      </c>
      <c r="Q522" s="3">
        <v>30</v>
      </c>
      <c r="R522" s="3">
        <v>0</v>
      </c>
    </row>
    <row r="523" spans="1:18">
      <c r="A523" s="3" t="s">
        <v>1402</v>
      </c>
      <c r="B523" s="3" t="s">
        <v>1403</v>
      </c>
      <c r="C523" s="3" t="s">
        <v>1404</v>
      </c>
      <c r="D523" s="3" t="s">
        <v>1405</v>
      </c>
      <c r="E523" s="3" t="s">
        <v>120</v>
      </c>
      <c r="F523" s="3">
        <v>23.98</v>
      </c>
      <c r="G523" s="3" t="s">
        <v>121</v>
      </c>
      <c r="H523" s="3"/>
      <c r="I523" s="3" t="s">
        <v>122</v>
      </c>
      <c r="J523" s="3">
        <v>0</v>
      </c>
      <c r="K523" s="3">
        <v>0</v>
      </c>
      <c r="L523" s="3">
        <v>0</v>
      </c>
      <c r="M523" s="3">
        <v>0</v>
      </c>
      <c r="N523" s="3">
        <v>0</v>
      </c>
      <c r="O523" s="3">
        <v>0.05</v>
      </c>
      <c r="P523" s="3">
        <v>0</v>
      </c>
      <c r="Q523" s="3">
        <v>0</v>
      </c>
      <c r="R523" s="3">
        <v>0</v>
      </c>
    </row>
    <row r="524" spans="1:18">
      <c r="A524" s="3" t="s">
        <v>1406</v>
      </c>
      <c r="B524" s="3" t="s">
        <v>1407</v>
      </c>
      <c r="C524" s="3" t="s">
        <v>1408</v>
      </c>
      <c r="D524" s="3" t="s">
        <v>1409</v>
      </c>
      <c r="E524" s="3" t="s">
        <v>120</v>
      </c>
      <c r="F524" s="3">
        <v>23.98</v>
      </c>
      <c r="G524" s="3" t="s">
        <v>121</v>
      </c>
      <c r="H524" s="3"/>
      <c r="I524" s="3" t="s">
        <v>122</v>
      </c>
      <c r="J524" s="3">
        <v>28</v>
      </c>
      <c r="K524" s="3">
        <v>23</v>
      </c>
      <c r="L524" s="3">
        <v>0</v>
      </c>
      <c r="M524" s="3">
        <v>5</v>
      </c>
      <c r="N524" s="3">
        <v>58</v>
      </c>
      <c r="O524" s="3">
        <v>0.05</v>
      </c>
      <c r="P524" s="3">
        <v>0</v>
      </c>
      <c r="Q524" s="3">
        <v>30</v>
      </c>
      <c r="R524" s="3">
        <v>0</v>
      </c>
    </row>
    <row r="525" spans="1:18">
      <c r="A525" s="3" t="s">
        <v>1410</v>
      </c>
      <c r="B525" s="3" t="s">
        <v>1411</v>
      </c>
      <c r="C525" s="3" t="s">
        <v>1412</v>
      </c>
      <c r="D525" s="3" t="s">
        <v>1413</v>
      </c>
      <c r="E525" s="3" t="s">
        <v>120</v>
      </c>
      <c r="F525" s="3">
        <v>23.98</v>
      </c>
      <c r="G525" s="3" t="s">
        <v>121</v>
      </c>
      <c r="H525" s="3"/>
      <c r="I525" s="3" t="s">
        <v>122</v>
      </c>
      <c r="J525" s="3">
        <v>0</v>
      </c>
      <c r="K525" s="3">
        <v>0</v>
      </c>
      <c r="L525" s="3">
        <v>0</v>
      </c>
      <c r="M525" s="3">
        <v>0</v>
      </c>
      <c r="N525" s="3">
        <v>15</v>
      </c>
      <c r="O525" s="3">
        <v>0.05</v>
      </c>
      <c r="P525" s="3">
        <v>0</v>
      </c>
      <c r="Q525" s="3">
        <v>15</v>
      </c>
      <c r="R525" s="3">
        <v>0</v>
      </c>
    </row>
    <row r="526" spans="1:18">
      <c r="A526" s="3" t="s">
        <v>1414</v>
      </c>
      <c r="B526" s="3" t="s">
        <v>1415</v>
      </c>
      <c r="C526" s="3" t="s">
        <v>1416</v>
      </c>
      <c r="D526" s="3" t="s">
        <v>1417</v>
      </c>
      <c r="E526" s="3" t="s">
        <v>120</v>
      </c>
      <c r="F526" s="3">
        <v>23.98</v>
      </c>
      <c r="G526" s="3" t="s">
        <v>121</v>
      </c>
      <c r="H526" s="3"/>
      <c r="I526" s="3" t="s">
        <v>122</v>
      </c>
      <c r="J526" s="3">
        <v>30</v>
      </c>
      <c r="K526" s="3">
        <v>28</v>
      </c>
      <c r="L526" s="3">
        <v>0</v>
      </c>
      <c r="M526" s="3">
        <v>2</v>
      </c>
      <c r="N526" s="3">
        <v>100</v>
      </c>
      <c r="O526" s="3">
        <v>0.17</v>
      </c>
      <c r="P526" s="3">
        <v>0</v>
      </c>
      <c r="Q526" s="3">
        <v>55</v>
      </c>
      <c r="R526" s="3">
        <v>15</v>
      </c>
    </row>
    <row r="527" spans="1:18">
      <c r="A527" s="3" t="s">
        <v>1418</v>
      </c>
      <c r="B527" s="3" t="s">
        <v>1419</v>
      </c>
      <c r="C527" s="3" t="s">
        <v>1420</v>
      </c>
      <c r="D527" s="3" t="s">
        <v>1421</v>
      </c>
      <c r="E527" s="3" t="s">
        <v>120</v>
      </c>
      <c r="F527" s="3">
        <v>23.98</v>
      </c>
      <c r="G527" s="3" t="s">
        <v>121</v>
      </c>
      <c r="H527" s="3"/>
      <c r="I527" s="3" t="s">
        <v>122</v>
      </c>
      <c r="J527" s="3">
        <v>0</v>
      </c>
      <c r="K527" s="3">
        <v>0</v>
      </c>
      <c r="L527" s="3">
        <v>0</v>
      </c>
      <c r="M527" s="3">
        <v>0</v>
      </c>
      <c r="N527" s="3">
        <v>55</v>
      </c>
      <c r="O527" s="3">
        <v>0.11</v>
      </c>
      <c r="P527" s="3">
        <v>0</v>
      </c>
      <c r="Q527" s="3">
        <v>55</v>
      </c>
      <c r="R527" s="3">
        <v>0</v>
      </c>
    </row>
    <row r="528" spans="1:18">
      <c r="A528" s="3" t="s">
        <v>1422</v>
      </c>
      <c r="B528" s="3" t="s">
        <v>1423</v>
      </c>
      <c r="C528" s="3" t="s">
        <v>1424</v>
      </c>
      <c r="D528" s="3" t="s">
        <v>1425</v>
      </c>
      <c r="E528" s="3" t="s">
        <v>120</v>
      </c>
      <c r="F528" s="3">
        <v>23.98</v>
      </c>
      <c r="G528" s="3" t="s">
        <v>121</v>
      </c>
      <c r="H528" s="3"/>
      <c r="I528" s="3" t="s">
        <v>122</v>
      </c>
      <c r="J528" s="3">
        <v>0</v>
      </c>
      <c r="K528" s="3">
        <v>0</v>
      </c>
      <c r="L528" s="3">
        <v>0</v>
      </c>
      <c r="M528" s="3">
        <v>0</v>
      </c>
      <c r="N528" s="3">
        <v>75</v>
      </c>
      <c r="O528" s="3">
        <v>0.05</v>
      </c>
      <c r="P528" s="3">
        <v>0</v>
      </c>
      <c r="Q528" s="3">
        <v>75</v>
      </c>
      <c r="R528" s="3">
        <v>0</v>
      </c>
    </row>
    <row r="529" spans="1:18">
      <c r="A529" s="3" t="s">
        <v>1426</v>
      </c>
      <c r="B529" s="3" t="s">
        <v>1427</v>
      </c>
      <c r="C529" s="3" t="s">
        <v>1428</v>
      </c>
      <c r="D529" s="3" t="s">
        <v>1429</v>
      </c>
      <c r="E529" s="3" t="s">
        <v>120</v>
      </c>
      <c r="F529" s="3">
        <v>23.98</v>
      </c>
      <c r="G529" s="3" t="s">
        <v>121</v>
      </c>
      <c r="H529" s="3"/>
      <c r="I529" s="3" t="s">
        <v>122</v>
      </c>
      <c r="J529" s="3">
        <v>75</v>
      </c>
      <c r="K529" s="3">
        <v>70</v>
      </c>
      <c r="L529" s="3">
        <v>0</v>
      </c>
      <c r="M529" s="3">
        <v>5</v>
      </c>
      <c r="N529" s="3">
        <v>75</v>
      </c>
      <c r="O529" s="3">
        <v>0.05</v>
      </c>
      <c r="P529" s="3">
        <v>0</v>
      </c>
      <c r="Q529" s="3">
        <v>0</v>
      </c>
      <c r="R529" s="3">
        <v>0</v>
      </c>
    </row>
    <row r="530" spans="1:18">
      <c r="A530" s="3" t="s">
        <v>1430</v>
      </c>
      <c r="B530" s="3" t="s">
        <v>1431</v>
      </c>
      <c r="C530" s="3" t="s">
        <v>1432</v>
      </c>
      <c r="D530" s="3" t="s">
        <v>1433</v>
      </c>
      <c r="E530" s="3" t="s">
        <v>120</v>
      </c>
      <c r="F530" s="3">
        <v>23.98</v>
      </c>
      <c r="G530" s="3" t="s">
        <v>121</v>
      </c>
      <c r="H530" s="3"/>
      <c r="I530" s="3" t="s">
        <v>122</v>
      </c>
      <c r="J530" s="3">
        <v>40</v>
      </c>
      <c r="K530" s="3">
        <v>36</v>
      </c>
      <c r="L530" s="3">
        <v>0</v>
      </c>
      <c r="M530" s="3">
        <v>4</v>
      </c>
      <c r="N530" s="3">
        <v>150</v>
      </c>
      <c r="O530" s="3">
        <v>0.05</v>
      </c>
      <c r="P530" s="3">
        <v>0</v>
      </c>
      <c r="Q530" s="3">
        <v>90</v>
      </c>
      <c r="R530" s="3">
        <v>20</v>
      </c>
    </row>
    <row r="531" spans="1:18">
      <c r="A531" s="3" t="s">
        <v>1434</v>
      </c>
      <c r="B531" s="3" t="s">
        <v>1435</v>
      </c>
      <c r="C531" s="3" t="s">
        <v>1436</v>
      </c>
      <c r="D531" s="3" t="s">
        <v>1437</v>
      </c>
      <c r="E531" s="3" t="s">
        <v>120</v>
      </c>
      <c r="F531" s="3">
        <v>23.98</v>
      </c>
      <c r="G531" s="3" t="s">
        <v>121</v>
      </c>
      <c r="H531" s="3"/>
      <c r="I531" s="3" t="s">
        <v>122</v>
      </c>
      <c r="J531" s="3">
        <v>40</v>
      </c>
      <c r="K531" s="3">
        <v>40</v>
      </c>
      <c r="L531" s="3">
        <v>0</v>
      </c>
      <c r="M531" s="3">
        <v>0</v>
      </c>
      <c r="N531" s="3">
        <v>90</v>
      </c>
      <c r="O531" s="3">
        <v>0.05</v>
      </c>
      <c r="P531" s="3">
        <v>0</v>
      </c>
      <c r="Q531" s="3">
        <v>50</v>
      </c>
      <c r="R531" s="3">
        <v>0</v>
      </c>
    </row>
    <row r="532" spans="1:18">
      <c r="A532" s="3" t="s">
        <v>1438</v>
      </c>
      <c r="B532" s="3" t="s">
        <v>1439</v>
      </c>
      <c r="C532" s="3" t="s">
        <v>1440</v>
      </c>
      <c r="D532" s="3" t="s">
        <v>1441</v>
      </c>
      <c r="E532" s="3" t="s">
        <v>120</v>
      </c>
      <c r="F532" s="3">
        <v>23.98</v>
      </c>
      <c r="G532" s="3" t="s">
        <v>121</v>
      </c>
      <c r="H532" s="3"/>
      <c r="I532" s="3" t="s">
        <v>122</v>
      </c>
      <c r="J532" s="3">
        <v>0</v>
      </c>
      <c r="K532" s="3">
        <v>0</v>
      </c>
      <c r="L532" s="3">
        <v>0</v>
      </c>
      <c r="M532" s="3">
        <v>0</v>
      </c>
      <c r="N532" s="3">
        <v>0</v>
      </c>
      <c r="O532" s="3">
        <v>0.05</v>
      </c>
      <c r="P532" s="3">
        <v>0</v>
      </c>
      <c r="Q532" s="3">
        <v>0</v>
      </c>
      <c r="R532" s="3">
        <v>0</v>
      </c>
    </row>
    <row r="533" spans="1:18">
      <c r="A533" s="3" t="s">
        <v>1442</v>
      </c>
      <c r="B533" s="3" t="s">
        <v>1443</v>
      </c>
      <c r="C533" s="3" t="s">
        <v>1444</v>
      </c>
      <c r="D533" s="3" t="s">
        <v>1445</v>
      </c>
      <c r="E533" s="3" t="s">
        <v>120</v>
      </c>
      <c r="F533" s="3">
        <v>24.98</v>
      </c>
      <c r="G533" s="3" t="s">
        <v>121</v>
      </c>
      <c r="H533" s="3"/>
      <c r="I533" s="3" t="s">
        <v>122</v>
      </c>
      <c r="J533" s="3">
        <v>24</v>
      </c>
      <c r="K533" s="3">
        <v>18</v>
      </c>
      <c r="L533" s="3">
        <v>0</v>
      </c>
      <c r="M533" s="3">
        <v>6</v>
      </c>
      <c r="N533" s="3">
        <v>124</v>
      </c>
      <c r="O533" s="3">
        <v>0.05</v>
      </c>
      <c r="P533" s="3">
        <v>0</v>
      </c>
      <c r="Q533" s="3">
        <v>70</v>
      </c>
      <c r="R533" s="3">
        <v>30</v>
      </c>
    </row>
    <row r="534" spans="1:18">
      <c r="A534" s="3" t="s">
        <v>1446</v>
      </c>
      <c r="B534" s="3" t="s">
        <v>1447</v>
      </c>
      <c r="C534" s="3" t="s">
        <v>1448</v>
      </c>
      <c r="D534" s="3" t="s">
        <v>1449</v>
      </c>
      <c r="E534" s="3" t="s">
        <v>120</v>
      </c>
      <c r="F534" s="3">
        <v>23.98</v>
      </c>
      <c r="G534" s="3" t="s">
        <v>121</v>
      </c>
      <c r="H534" s="3"/>
      <c r="I534" s="3" t="s">
        <v>122</v>
      </c>
      <c r="J534" s="3">
        <v>36</v>
      </c>
      <c r="K534" s="3">
        <v>29</v>
      </c>
      <c r="L534" s="3">
        <v>0</v>
      </c>
      <c r="M534" s="3">
        <v>7</v>
      </c>
      <c r="N534" s="3">
        <v>78</v>
      </c>
      <c r="O534" s="3">
        <v>0.05</v>
      </c>
      <c r="P534" s="3">
        <v>0</v>
      </c>
      <c r="Q534" s="3">
        <v>40</v>
      </c>
      <c r="R534" s="3">
        <v>2</v>
      </c>
    </row>
    <row r="535" spans="1:18">
      <c r="A535" s="3" t="s">
        <v>1450</v>
      </c>
      <c r="B535" s="3" t="s">
        <v>1451</v>
      </c>
      <c r="C535" s="3" t="s">
        <v>1452</v>
      </c>
      <c r="D535" s="3" t="s">
        <v>1310</v>
      </c>
      <c r="E535" s="3" t="s">
        <v>120</v>
      </c>
      <c r="F535" s="3">
        <v>39.98</v>
      </c>
      <c r="G535" s="3" t="s">
        <v>121</v>
      </c>
      <c r="H535" s="3"/>
      <c r="I535" s="3" t="s">
        <v>122</v>
      </c>
      <c r="J535" s="3">
        <v>0</v>
      </c>
      <c r="K535" s="3">
        <v>0</v>
      </c>
      <c r="L535" s="3">
        <v>0</v>
      </c>
      <c r="M535" s="3">
        <v>0</v>
      </c>
      <c r="N535" s="3">
        <v>0</v>
      </c>
      <c r="O535" s="3">
        <v>0.12</v>
      </c>
      <c r="P535" s="3">
        <v>0</v>
      </c>
      <c r="Q535" s="3">
        <v>0</v>
      </c>
      <c r="R535" s="3">
        <v>0</v>
      </c>
    </row>
    <row r="536" spans="1:18">
      <c r="A536" s="3" t="s">
        <v>1453</v>
      </c>
      <c r="B536" s="3" t="s">
        <v>1454</v>
      </c>
      <c r="C536" s="3" t="s">
        <v>1454</v>
      </c>
      <c r="D536" s="3" t="s">
        <v>1455</v>
      </c>
      <c r="E536" s="3" t="s">
        <v>120</v>
      </c>
      <c r="F536" s="3">
        <v>23.98</v>
      </c>
      <c r="G536" s="3" t="s">
        <v>122</v>
      </c>
      <c r="H536" s="3">
        <v>0</v>
      </c>
      <c r="I536" s="3" t="s">
        <v>121</v>
      </c>
      <c r="J536" s="3">
        <v>0</v>
      </c>
      <c r="K536" s="3">
        <v>0</v>
      </c>
      <c r="L536" s="3">
        <v>0</v>
      </c>
      <c r="M536" s="3">
        <v>0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</row>
    <row r="537" spans="1:18">
      <c r="A537" s="3" t="s">
        <v>1456</v>
      </c>
      <c r="B537" s="3" t="s">
        <v>1457</v>
      </c>
      <c r="C537" s="3" t="s">
        <v>1457</v>
      </c>
      <c r="D537" s="3"/>
      <c r="E537" s="3" t="s">
        <v>20</v>
      </c>
      <c r="F537" s="3"/>
      <c r="G537" s="3"/>
      <c r="H537" s="3"/>
      <c r="I537" s="3"/>
      <c r="J537" s="3">
        <v>0</v>
      </c>
      <c r="K537" s="3">
        <v>0</v>
      </c>
      <c r="L537" s="3">
        <v>0</v>
      </c>
      <c r="M537" s="3">
        <v>0</v>
      </c>
      <c r="N537" s="3">
        <v>0</v>
      </c>
      <c r="O537" s="3"/>
      <c r="P537" s="3">
        <v>0</v>
      </c>
      <c r="Q537" s="3">
        <v>0</v>
      </c>
      <c r="R537" s="3">
        <v>0</v>
      </c>
    </row>
    <row r="538" spans="1:18">
      <c r="A538" s="3" t="s">
        <v>1458</v>
      </c>
      <c r="B538" s="3" t="s">
        <v>1459</v>
      </c>
      <c r="C538" s="3" t="s">
        <v>1459</v>
      </c>
      <c r="D538" s="3"/>
      <c r="E538" s="3" t="s">
        <v>20</v>
      </c>
      <c r="F538" s="3"/>
      <c r="G538" s="3"/>
      <c r="H538" s="3"/>
      <c r="I538" s="3"/>
      <c r="J538" s="3">
        <v>0</v>
      </c>
      <c r="K538" s="3">
        <v>0</v>
      </c>
      <c r="L538" s="3">
        <v>0</v>
      </c>
      <c r="M538" s="3">
        <v>0</v>
      </c>
      <c r="N538" s="3">
        <v>0</v>
      </c>
      <c r="O538" s="3"/>
      <c r="P538" s="3">
        <v>0</v>
      </c>
      <c r="Q538" s="3">
        <v>0</v>
      </c>
      <c r="R538" s="3">
        <v>0</v>
      </c>
    </row>
    <row r="539" spans="1:18">
      <c r="A539" s="3" t="s">
        <v>1460</v>
      </c>
      <c r="B539" s="3" t="s">
        <v>1461</v>
      </c>
      <c r="C539" s="3" t="s">
        <v>1461</v>
      </c>
      <c r="D539" s="3"/>
      <c r="E539" s="3" t="s">
        <v>20</v>
      </c>
      <c r="F539" s="3"/>
      <c r="G539" s="3"/>
      <c r="H539" s="3"/>
      <c r="I539" s="3"/>
      <c r="J539" s="3">
        <v>0</v>
      </c>
      <c r="K539" s="3">
        <v>0</v>
      </c>
      <c r="L539" s="3">
        <v>0</v>
      </c>
      <c r="M539" s="3">
        <v>0</v>
      </c>
      <c r="N539" s="3">
        <v>0</v>
      </c>
      <c r="O539" s="3"/>
      <c r="P539" s="3">
        <v>0</v>
      </c>
      <c r="Q539" s="3">
        <v>0</v>
      </c>
      <c r="R539" s="3">
        <v>0</v>
      </c>
    </row>
    <row r="540" spans="1:18">
      <c r="A540" s="3" t="s">
        <v>1462</v>
      </c>
      <c r="B540" s="3" t="s">
        <v>22</v>
      </c>
      <c r="C540" s="3" t="s">
        <v>22</v>
      </c>
      <c r="D540" s="3" t="s">
        <v>1463</v>
      </c>
      <c r="E540" s="3" t="s">
        <v>120</v>
      </c>
      <c r="F540" s="3">
        <v>22.98</v>
      </c>
      <c r="G540" s="3" t="s">
        <v>121</v>
      </c>
      <c r="H540" s="3"/>
      <c r="I540" s="3" t="s">
        <v>122</v>
      </c>
      <c r="J540" s="3">
        <v>13</v>
      </c>
      <c r="K540" s="3">
        <v>13</v>
      </c>
      <c r="L540" s="3">
        <v>0</v>
      </c>
      <c r="M540" s="3">
        <v>0</v>
      </c>
      <c r="N540" s="3">
        <v>13</v>
      </c>
      <c r="O540" s="3">
        <v>0.16</v>
      </c>
      <c r="P540" s="3">
        <v>0</v>
      </c>
      <c r="Q540" s="3">
        <v>0</v>
      </c>
      <c r="R540" s="3">
        <v>0</v>
      </c>
    </row>
    <row r="541" spans="1:18">
      <c r="A541" s="3" t="s">
        <v>1464</v>
      </c>
      <c r="B541" s="3" t="s">
        <v>24</v>
      </c>
      <c r="C541" s="3" t="s">
        <v>24</v>
      </c>
      <c r="D541" s="3" t="s">
        <v>1465</v>
      </c>
      <c r="E541" s="3" t="s">
        <v>120</v>
      </c>
      <c r="F541" s="3">
        <v>22.98</v>
      </c>
      <c r="G541" s="3" t="s">
        <v>121</v>
      </c>
      <c r="H541" s="3"/>
      <c r="I541" s="3" t="s">
        <v>122</v>
      </c>
      <c r="J541" s="3">
        <v>46</v>
      </c>
      <c r="K541" s="3">
        <v>45</v>
      </c>
      <c r="L541" s="3">
        <v>0</v>
      </c>
      <c r="M541" s="3">
        <v>1</v>
      </c>
      <c r="N541" s="3">
        <v>46</v>
      </c>
      <c r="O541" s="3">
        <v>0.16</v>
      </c>
      <c r="P541" s="3">
        <v>0</v>
      </c>
      <c r="Q541" s="3">
        <v>0</v>
      </c>
      <c r="R541" s="3">
        <v>0</v>
      </c>
    </row>
    <row r="542" spans="1:18">
      <c r="A542" s="3" t="s">
        <v>1466</v>
      </c>
      <c r="B542" s="3" t="s">
        <v>26</v>
      </c>
      <c r="C542" s="3" t="s">
        <v>26</v>
      </c>
      <c r="D542" s="3" t="s">
        <v>1467</v>
      </c>
      <c r="E542" s="3" t="s">
        <v>120</v>
      </c>
      <c r="F542" s="3">
        <v>18.98</v>
      </c>
      <c r="G542" s="3" t="s">
        <v>121</v>
      </c>
      <c r="H542" s="3"/>
      <c r="I542" s="3" t="s">
        <v>122</v>
      </c>
      <c r="J542" s="3">
        <v>9</v>
      </c>
      <c r="K542" s="3">
        <v>8</v>
      </c>
      <c r="L542" s="3">
        <v>0</v>
      </c>
      <c r="M542" s="3">
        <v>1</v>
      </c>
      <c r="N542" s="3">
        <v>9</v>
      </c>
      <c r="O542" s="3">
        <v>0.16</v>
      </c>
      <c r="P542" s="3">
        <v>0</v>
      </c>
      <c r="Q542" s="3">
        <v>0</v>
      </c>
      <c r="R542" s="3">
        <v>0</v>
      </c>
    </row>
    <row r="543" spans="1:18">
      <c r="A543" s="3" t="s">
        <v>1468</v>
      </c>
      <c r="B543" s="3" t="s">
        <v>28</v>
      </c>
      <c r="C543" s="3" t="s">
        <v>28</v>
      </c>
      <c r="D543" s="3" t="s">
        <v>1469</v>
      </c>
      <c r="E543" s="3" t="s">
        <v>120</v>
      </c>
      <c r="F543" s="3">
        <v>22.98</v>
      </c>
      <c r="G543" s="3" t="s">
        <v>121</v>
      </c>
      <c r="H543" s="3"/>
      <c r="I543" s="3" t="s">
        <v>122</v>
      </c>
      <c r="J543" s="3">
        <v>23</v>
      </c>
      <c r="K543" s="3">
        <v>22</v>
      </c>
      <c r="L543" s="3">
        <v>0</v>
      </c>
      <c r="M543" s="3">
        <v>1</v>
      </c>
      <c r="N543" s="3">
        <v>23</v>
      </c>
      <c r="O543" s="3">
        <v>0.16</v>
      </c>
      <c r="P543" s="3">
        <v>0</v>
      </c>
      <c r="Q543" s="3">
        <v>0</v>
      </c>
      <c r="R543" s="3">
        <v>0</v>
      </c>
    </row>
    <row r="544" spans="1:18">
      <c r="A544" s="3" t="s">
        <v>1470</v>
      </c>
      <c r="B544" s="3" t="s">
        <v>30</v>
      </c>
      <c r="C544" s="3" t="s">
        <v>30</v>
      </c>
      <c r="D544" s="3" t="s">
        <v>1471</v>
      </c>
      <c r="E544" s="3" t="s">
        <v>120</v>
      </c>
      <c r="F544" s="3">
        <v>22.98</v>
      </c>
      <c r="G544" s="3" t="s">
        <v>121</v>
      </c>
      <c r="H544" s="3"/>
      <c r="I544" s="3" t="s">
        <v>122</v>
      </c>
      <c r="J544" s="3">
        <v>14</v>
      </c>
      <c r="K544" s="3">
        <v>14</v>
      </c>
      <c r="L544" s="3">
        <v>0</v>
      </c>
      <c r="M544" s="3">
        <v>0</v>
      </c>
      <c r="N544" s="3">
        <v>14</v>
      </c>
      <c r="O544" s="3">
        <v>0.16</v>
      </c>
      <c r="P544" s="3">
        <v>0</v>
      </c>
      <c r="Q544" s="3">
        <v>0</v>
      </c>
      <c r="R544" s="3">
        <v>0</v>
      </c>
    </row>
    <row r="545" spans="1:18">
      <c r="A545" s="3" t="s">
        <v>1472</v>
      </c>
      <c r="B545" s="3" t="s">
        <v>32</v>
      </c>
      <c r="C545" s="3" t="s">
        <v>32</v>
      </c>
      <c r="D545" s="3" t="s">
        <v>1473</v>
      </c>
      <c r="E545" s="3" t="s">
        <v>120</v>
      </c>
      <c r="F545" s="3">
        <v>22.98</v>
      </c>
      <c r="G545" s="3" t="s">
        <v>121</v>
      </c>
      <c r="H545" s="3"/>
      <c r="I545" s="3" t="s">
        <v>122</v>
      </c>
      <c r="J545" s="3">
        <v>27</v>
      </c>
      <c r="K545" s="3">
        <v>27</v>
      </c>
      <c r="L545" s="3">
        <v>0</v>
      </c>
      <c r="M545" s="3">
        <v>0</v>
      </c>
      <c r="N545" s="3">
        <v>27</v>
      </c>
      <c r="O545" s="3">
        <v>0.19</v>
      </c>
      <c r="P545" s="3">
        <v>0</v>
      </c>
      <c r="Q545" s="3">
        <v>0</v>
      </c>
      <c r="R545" s="3">
        <v>0</v>
      </c>
    </row>
    <row r="546" spans="1:18">
      <c r="A546" s="3" t="s">
        <v>1474</v>
      </c>
      <c r="B546" s="3" t="s">
        <v>34</v>
      </c>
      <c r="C546" s="3" t="s">
        <v>34</v>
      </c>
      <c r="D546" s="3" t="s">
        <v>1475</v>
      </c>
      <c r="E546" s="3" t="s">
        <v>120</v>
      </c>
      <c r="F546" s="3">
        <v>22.98</v>
      </c>
      <c r="G546" s="3" t="s">
        <v>121</v>
      </c>
      <c r="H546" s="3"/>
      <c r="I546" s="3" t="s">
        <v>122</v>
      </c>
      <c r="J546" s="3">
        <v>3</v>
      </c>
      <c r="K546" s="3">
        <v>3</v>
      </c>
      <c r="L546" s="3">
        <v>0</v>
      </c>
      <c r="M546" s="3">
        <v>0</v>
      </c>
      <c r="N546" s="3">
        <v>3</v>
      </c>
      <c r="O546" s="3">
        <v>0.13</v>
      </c>
      <c r="P546" s="3">
        <v>0</v>
      </c>
      <c r="Q546" s="3">
        <v>0</v>
      </c>
      <c r="R546" s="3">
        <v>0</v>
      </c>
    </row>
    <row r="547" spans="1:18">
      <c r="A547" s="3" t="s">
        <v>1476</v>
      </c>
      <c r="B547" s="3" t="s">
        <v>36</v>
      </c>
      <c r="C547" s="3" t="s">
        <v>36</v>
      </c>
      <c r="D547" s="3" t="s">
        <v>1477</v>
      </c>
      <c r="E547" s="3" t="s">
        <v>120</v>
      </c>
      <c r="F547" s="3">
        <v>14.43</v>
      </c>
      <c r="G547" s="3" t="s">
        <v>121</v>
      </c>
      <c r="H547" s="3"/>
      <c r="I547" s="3" t="s">
        <v>122</v>
      </c>
      <c r="J547" s="3">
        <v>9</v>
      </c>
      <c r="K547" s="3">
        <v>9</v>
      </c>
      <c r="L547" s="3">
        <v>0</v>
      </c>
      <c r="M547" s="3">
        <v>0</v>
      </c>
      <c r="N547" s="3">
        <v>9</v>
      </c>
      <c r="O547" s="3">
        <v>0.11</v>
      </c>
      <c r="P547" s="3">
        <v>0</v>
      </c>
      <c r="Q547" s="3">
        <v>0</v>
      </c>
      <c r="R547" s="3">
        <v>0</v>
      </c>
    </row>
    <row r="548" spans="1:18">
      <c r="A548" s="3" t="s">
        <v>1478</v>
      </c>
      <c r="B548" s="3" t="s">
        <v>38</v>
      </c>
      <c r="C548" s="3" t="s">
        <v>38</v>
      </c>
      <c r="D548" s="3" t="s">
        <v>1479</v>
      </c>
      <c r="E548" s="3" t="s">
        <v>120</v>
      </c>
      <c r="F548" s="3">
        <v>39.98</v>
      </c>
      <c r="G548" s="3" t="s">
        <v>121</v>
      </c>
      <c r="H548" s="3"/>
      <c r="I548" s="3" t="s">
        <v>122</v>
      </c>
      <c r="J548" s="3">
        <v>22</v>
      </c>
      <c r="K548" s="3">
        <v>22</v>
      </c>
      <c r="L548" s="3">
        <v>0</v>
      </c>
      <c r="M548" s="3">
        <v>0</v>
      </c>
      <c r="N548" s="3">
        <v>22</v>
      </c>
      <c r="O548" s="3">
        <v>0.11</v>
      </c>
      <c r="P548" s="3">
        <v>0</v>
      </c>
      <c r="Q548" s="3">
        <v>0</v>
      </c>
      <c r="R548" s="3">
        <v>0</v>
      </c>
    </row>
    <row r="549" spans="1:18">
      <c r="A549" s="3" t="s">
        <v>1480</v>
      </c>
      <c r="B549" s="3" t="s">
        <v>40</v>
      </c>
      <c r="C549" s="3" t="s">
        <v>40</v>
      </c>
      <c r="D549" s="3" t="s">
        <v>1481</v>
      </c>
      <c r="E549" s="3" t="s">
        <v>120</v>
      </c>
      <c r="F549" s="3">
        <v>22.98</v>
      </c>
      <c r="G549" s="3" t="s">
        <v>121</v>
      </c>
      <c r="H549" s="3"/>
      <c r="I549" s="3" t="s">
        <v>122</v>
      </c>
      <c r="J549" s="3">
        <v>14</v>
      </c>
      <c r="K549" s="3">
        <v>14</v>
      </c>
      <c r="L549" s="3">
        <v>0</v>
      </c>
      <c r="M549" s="3">
        <v>0</v>
      </c>
      <c r="N549" s="3">
        <v>14</v>
      </c>
      <c r="O549" s="3">
        <v>0.2</v>
      </c>
      <c r="P549" s="3">
        <v>0</v>
      </c>
      <c r="Q549" s="3">
        <v>0</v>
      </c>
      <c r="R549" s="3">
        <v>0</v>
      </c>
    </row>
    <row r="550" spans="1:18">
      <c r="A550" s="3" t="s">
        <v>1482</v>
      </c>
      <c r="B550" s="3" t="s">
        <v>42</v>
      </c>
      <c r="C550" s="3" t="s">
        <v>42</v>
      </c>
      <c r="D550" s="3" t="s">
        <v>1483</v>
      </c>
      <c r="E550" s="3" t="s">
        <v>120</v>
      </c>
      <c r="F550" s="3">
        <v>39.98</v>
      </c>
      <c r="G550" s="3" t="s">
        <v>121</v>
      </c>
      <c r="H550" s="3"/>
      <c r="I550" s="3" t="s">
        <v>122</v>
      </c>
      <c r="J550" s="3">
        <v>0</v>
      </c>
      <c r="K550" s="3">
        <v>0</v>
      </c>
      <c r="L550" s="3">
        <v>0</v>
      </c>
      <c r="M550" s="3">
        <v>0</v>
      </c>
      <c r="N550" s="3">
        <v>0</v>
      </c>
      <c r="O550" s="3">
        <v>0.07</v>
      </c>
      <c r="P550" s="3">
        <v>0</v>
      </c>
      <c r="Q550" s="3">
        <v>0</v>
      </c>
      <c r="R550" s="3">
        <v>0</v>
      </c>
    </row>
    <row r="551" spans="1:18">
      <c r="A551" s="3" t="s">
        <v>1484</v>
      </c>
      <c r="B551" s="3" t="s">
        <v>44</v>
      </c>
      <c r="C551" s="3" t="s">
        <v>44</v>
      </c>
      <c r="D551" s="3" t="s">
        <v>1485</v>
      </c>
      <c r="E551" s="3" t="s">
        <v>120</v>
      </c>
      <c r="F551" s="3">
        <v>22.98</v>
      </c>
      <c r="G551" s="3" t="s">
        <v>121</v>
      </c>
      <c r="H551" s="3"/>
      <c r="I551" s="3" t="s">
        <v>122</v>
      </c>
      <c r="J551" s="3">
        <v>12</v>
      </c>
      <c r="K551" s="3">
        <v>12</v>
      </c>
      <c r="L551" s="3">
        <v>0</v>
      </c>
      <c r="M551" s="3">
        <v>0</v>
      </c>
      <c r="N551" s="3">
        <v>12</v>
      </c>
      <c r="O551" s="3">
        <v>0.17</v>
      </c>
      <c r="P551" s="3">
        <v>0</v>
      </c>
      <c r="Q551" s="3">
        <v>0</v>
      </c>
      <c r="R551" s="3">
        <v>0</v>
      </c>
    </row>
    <row r="552" spans="1:18">
      <c r="A552" s="3" t="s">
        <v>1486</v>
      </c>
      <c r="B552" s="3" t="s">
        <v>46</v>
      </c>
      <c r="C552" s="3" t="s">
        <v>46</v>
      </c>
      <c r="D552" s="3" t="s">
        <v>1487</v>
      </c>
      <c r="E552" s="3" t="s">
        <v>120</v>
      </c>
      <c r="F552" s="3">
        <v>39.98</v>
      </c>
      <c r="G552" s="3" t="s">
        <v>121</v>
      </c>
      <c r="H552" s="3"/>
      <c r="I552" s="3" t="s">
        <v>122</v>
      </c>
      <c r="J552" s="3">
        <v>0</v>
      </c>
      <c r="K552" s="3">
        <v>0</v>
      </c>
      <c r="L552" s="3">
        <v>0</v>
      </c>
      <c r="M552" s="3">
        <v>0</v>
      </c>
      <c r="N552" s="3">
        <v>0</v>
      </c>
      <c r="O552" s="3">
        <v>0.22</v>
      </c>
      <c r="P552" s="3">
        <v>0</v>
      </c>
      <c r="Q552" s="3">
        <v>0</v>
      </c>
      <c r="R552" s="3">
        <v>0</v>
      </c>
    </row>
    <row r="553" spans="1:18">
      <c r="A553" s="3" t="s">
        <v>1488</v>
      </c>
      <c r="B553" s="3" t="s">
        <v>48</v>
      </c>
      <c r="C553" s="3" t="s">
        <v>48</v>
      </c>
      <c r="D553" s="3" t="s">
        <v>1489</v>
      </c>
      <c r="E553" s="3" t="s">
        <v>120</v>
      </c>
      <c r="F553" s="3">
        <v>39.98</v>
      </c>
      <c r="G553" s="3" t="s">
        <v>121</v>
      </c>
      <c r="H553" s="3"/>
      <c r="I553" s="3" t="s">
        <v>122</v>
      </c>
      <c r="J553" s="3">
        <v>0</v>
      </c>
      <c r="K553" s="3">
        <v>0</v>
      </c>
      <c r="L553" s="3">
        <v>0</v>
      </c>
      <c r="M553" s="3">
        <v>0</v>
      </c>
      <c r="N553" s="3">
        <v>0</v>
      </c>
      <c r="O553" s="3">
        <v>0.08</v>
      </c>
      <c r="P553" s="3">
        <v>0</v>
      </c>
      <c r="Q553" s="3">
        <v>0</v>
      </c>
      <c r="R553" s="3">
        <v>0</v>
      </c>
    </row>
    <row r="554" spans="1:18">
      <c r="A554" s="3" t="s">
        <v>1490</v>
      </c>
      <c r="B554" s="3" t="s">
        <v>50</v>
      </c>
      <c r="C554" s="3" t="s">
        <v>50</v>
      </c>
      <c r="D554" s="3" t="s">
        <v>1491</v>
      </c>
      <c r="E554" s="3" t="s">
        <v>120</v>
      </c>
      <c r="F554" s="3">
        <v>22.98</v>
      </c>
      <c r="G554" s="3" t="s">
        <v>121</v>
      </c>
      <c r="H554" s="3"/>
      <c r="I554" s="3" t="s">
        <v>122</v>
      </c>
      <c r="J554" s="3">
        <v>12</v>
      </c>
      <c r="K554" s="3">
        <v>12</v>
      </c>
      <c r="L554" s="3">
        <v>0</v>
      </c>
      <c r="M554" s="3">
        <v>0</v>
      </c>
      <c r="N554" s="3">
        <v>12</v>
      </c>
      <c r="O554" s="3">
        <v>0.13</v>
      </c>
      <c r="P554" s="3">
        <v>0</v>
      </c>
      <c r="Q554" s="3">
        <v>0</v>
      </c>
      <c r="R554" s="3">
        <v>0</v>
      </c>
    </row>
    <row r="555" spans="1:18">
      <c r="A555" s="3" t="s">
        <v>1492</v>
      </c>
      <c r="B555" s="3" t="s">
        <v>52</v>
      </c>
      <c r="C555" s="3" t="s">
        <v>52</v>
      </c>
      <c r="D555" s="3" t="s">
        <v>1493</v>
      </c>
      <c r="E555" s="3" t="s">
        <v>120</v>
      </c>
      <c r="F555" s="3">
        <v>22.98</v>
      </c>
      <c r="G555" s="3" t="s">
        <v>121</v>
      </c>
      <c r="H555" s="3"/>
      <c r="I555" s="3" t="s">
        <v>122</v>
      </c>
      <c r="J555" s="3">
        <v>30</v>
      </c>
      <c r="K555" s="3">
        <v>29</v>
      </c>
      <c r="L555" s="3">
        <v>0</v>
      </c>
      <c r="M555" s="3">
        <v>1</v>
      </c>
      <c r="N555" s="3">
        <v>30</v>
      </c>
      <c r="O555" s="3">
        <v>0.1</v>
      </c>
      <c r="P555" s="3">
        <v>0</v>
      </c>
      <c r="Q555" s="3">
        <v>0</v>
      </c>
      <c r="R555" s="3">
        <v>0</v>
      </c>
    </row>
    <row r="556" spans="1:18">
      <c r="A556" s="3" t="s">
        <v>1494</v>
      </c>
      <c r="B556" s="3" t="s">
        <v>54</v>
      </c>
      <c r="C556" s="3" t="s">
        <v>54</v>
      </c>
      <c r="D556" s="3" t="s">
        <v>1495</v>
      </c>
      <c r="E556" s="3" t="s">
        <v>120</v>
      </c>
      <c r="F556" s="3">
        <v>22.98</v>
      </c>
      <c r="G556" s="3" t="s">
        <v>121</v>
      </c>
      <c r="H556" s="3"/>
      <c r="I556" s="3" t="s">
        <v>122</v>
      </c>
      <c r="J556" s="3">
        <v>33</v>
      </c>
      <c r="K556" s="3">
        <v>33</v>
      </c>
      <c r="L556" s="3">
        <v>0</v>
      </c>
      <c r="M556" s="3">
        <v>0</v>
      </c>
      <c r="N556" s="3">
        <v>33</v>
      </c>
      <c r="O556" s="3">
        <v>0.11</v>
      </c>
      <c r="P556" s="3">
        <v>0</v>
      </c>
      <c r="Q556" s="3">
        <v>0</v>
      </c>
      <c r="R556" s="3">
        <v>0</v>
      </c>
    </row>
    <row r="557" spans="1:18">
      <c r="A557" s="3" t="s">
        <v>1496</v>
      </c>
      <c r="B557" s="3" t="s">
        <v>56</v>
      </c>
      <c r="C557" s="3" t="s">
        <v>56</v>
      </c>
      <c r="D557" s="3" t="s">
        <v>1497</v>
      </c>
      <c r="E557" s="3" t="s">
        <v>120</v>
      </c>
      <c r="F557" s="3">
        <v>18.98</v>
      </c>
      <c r="G557" s="3" t="s">
        <v>121</v>
      </c>
      <c r="H557" s="3"/>
      <c r="I557" s="3" t="s">
        <v>122</v>
      </c>
      <c r="J557" s="3">
        <v>39</v>
      </c>
      <c r="K557" s="3">
        <v>38</v>
      </c>
      <c r="L557" s="3">
        <v>0</v>
      </c>
      <c r="M557" s="3">
        <v>1</v>
      </c>
      <c r="N557" s="3">
        <v>39</v>
      </c>
      <c r="O557" s="3">
        <v>0.2</v>
      </c>
      <c r="P557" s="3">
        <v>0</v>
      </c>
      <c r="Q557" s="3">
        <v>0</v>
      </c>
      <c r="R557" s="3">
        <v>0</v>
      </c>
    </row>
    <row r="558" spans="1:18">
      <c r="A558" s="3" t="s">
        <v>1498</v>
      </c>
      <c r="B558" s="3" t="s">
        <v>58</v>
      </c>
      <c r="C558" s="3" t="s">
        <v>58</v>
      </c>
      <c r="D558" s="3" t="s">
        <v>1499</v>
      </c>
      <c r="E558" s="3" t="s">
        <v>120</v>
      </c>
      <c r="F558" s="3">
        <v>22.98</v>
      </c>
      <c r="G558" s="3" t="s">
        <v>121</v>
      </c>
      <c r="H558" s="3"/>
      <c r="I558" s="3" t="s">
        <v>122</v>
      </c>
      <c r="J558" s="3">
        <v>89</v>
      </c>
      <c r="K558" s="3">
        <v>87</v>
      </c>
      <c r="L558" s="3">
        <v>0</v>
      </c>
      <c r="M558" s="3">
        <v>2</v>
      </c>
      <c r="N558" s="3">
        <v>89</v>
      </c>
      <c r="O558" s="3">
        <v>0.05</v>
      </c>
      <c r="P558" s="3">
        <v>0</v>
      </c>
      <c r="Q558" s="3">
        <v>0</v>
      </c>
      <c r="R558" s="3">
        <v>0</v>
      </c>
    </row>
    <row r="559" spans="1:18">
      <c r="A559" s="3" t="s">
        <v>1500</v>
      </c>
      <c r="B559" s="3" t="s">
        <v>60</v>
      </c>
      <c r="C559" s="3" t="s">
        <v>60</v>
      </c>
      <c r="D559" s="3" t="s">
        <v>1501</v>
      </c>
      <c r="E559" s="3" t="s">
        <v>120</v>
      </c>
      <c r="F559" s="3">
        <v>0</v>
      </c>
      <c r="G559" s="3" t="s">
        <v>121</v>
      </c>
      <c r="H559" s="3"/>
      <c r="I559" s="3" t="s">
        <v>122</v>
      </c>
      <c r="J559" s="3">
        <v>31</v>
      </c>
      <c r="K559" s="3">
        <v>31</v>
      </c>
      <c r="L559" s="3">
        <v>0</v>
      </c>
      <c r="M559" s="3">
        <v>0</v>
      </c>
      <c r="N559" s="3">
        <v>31</v>
      </c>
      <c r="O559" s="3">
        <v>0.2</v>
      </c>
      <c r="P559" s="3">
        <v>0</v>
      </c>
      <c r="Q559" s="3">
        <v>0</v>
      </c>
      <c r="R559" s="3">
        <v>0</v>
      </c>
    </row>
    <row r="560" spans="1:18">
      <c r="A560" s="3" t="s">
        <v>1502</v>
      </c>
      <c r="B560" s="3" t="s">
        <v>62</v>
      </c>
      <c r="C560" s="3" t="s">
        <v>62</v>
      </c>
      <c r="D560" s="3" t="s">
        <v>1503</v>
      </c>
      <c r="E560" s="3" t="s">
        <v>120</v>
      </c>
      <c r="F560" s="3">
        <v>22.98</v>
      </c>
      <c r="G560" s="3" t="s">
        <v>121</v>
      </c>
      <c r="H560" s="3"/>
      <c r="I560" s="3" t="s">
        <v>122</v>
      </c>
      <c r="J560" s="3">
        <v>42</v>
      </c>
      <c r="K560" s="3">
        <v>42</v>
      </c>
      <c r="L560" s="3">
        <v>0</v>
      </c>
      <c r="M560" s="3">
        <v>0</v>
      </c>
      <c r="N560" s="3">
        <v>42</v>
      </c>
      <c r="O560" s="3">
        <v>0.16</v>
      </c>
      <c r="P560" s="3">
        <v>0</v>
      </c>
      <c r="Q560" s="3">
        <v>0</v>
      </c>
      <c r="R560" s="3">
        <v>0</v>
      </c>
    </row>
    <row r="561" spans="1:18">
      <c r="A561" s="3" t="s">
        <v>1504</v>
      </c>
      <c r="B561" s="3" t="s">
        <v>64</v>
      </c>
      <c r="C561" s="3" t="s">
        <v>64</v>
      </c>
      <c r="D561" s="3" t="s">
        <v>1505</v>
      </c>
      <c r="E561" s="3" t="s">
        <v>120</v>
      </c>
      <c r="F561" s="3">
        <v>22.98</v>
      </c>
      <c r="G561" s="3" t="s">
        <v>121</v>
      </c>
      <c r="H561" s="3"/>
      <c r="I561" s="3" t="s">
        <v>122</v>
      </c>
      <c r="J561" s="3">
        <v>18</v>
      </c>
      <c r="K561" s="3">
        <v>18</v>
      </c>
      <c r="L561" s="3">
        <v>0</v>
      </c>
      <c r="M561" s="3">
        <v>0</v>
      </c>
      <c r="N561" s="3">
        <v>18</v>
      </c>
      <c r="O561" s="3">
        <v>0.1</v>
      </c>
      <c r="P561" s="3">
        <v>0</v>
      </c>
      <c r="Q561" s="3">
        <v>0</v>
      </c>
      <c r="R561" s="3">
        <v>0</v>
      </c>
    </row>
    <row r="562" spans="1:18">
      <c r="A562" s="3" t="s">
        <v>1506</v>
      </c>
      <c r="B562" s="3" t="s">
        <v>66</v>
      </c>
      <c r="C562" s="3" t="s">
        <v>66</v>
      </c>
      <c r="D562" s="3" t="s">
        <v>1507</v>
      </c>
      <c r="E562" s="3" t="s">
        <v>120</v>
      </c>
      <c r="F562" s="3">
        <v>19.98</v>
      </c>
      <c r="G562" s="3" t="s">
        <v>121</v>
      </c>
      <c r="H562" s="3"/>
      <c r="I562" s="3" t="s">
        <v>122</v>
      </c>
      <c r="J562" s="3">
        <v>8</v>
      </c>
      <c r="K562" s="3">
        <v>8</v>
      </c>
      <c r="L562" s="3">
        <v>0</v>
      </c>
      <c r="M562" s="3">
        <v>0</v>
      </c>
      <c r="N562" s="3">
        <v>8</v>
      </c>
      <c r="O562" s="3">
        <v>0.11</v>
      </c>
      <c r="P562" s="3">
        <v>0</v>
      </c>
      <c r="Q562" s="3">
        <v>0</v>
      </c>
      <c r="R562" s="3">
        <v>0</v>
      </c>
    </row>
    <row r="563" spans="1:18">
      <c r="A563" s="3" t="s">
        <v>1508</v>
      </c>
      <c r="B563" s="3" t="s">
        <v>68</v>
      </c>
      <c r="C563" s="3" t="s">
        <v>68</v>
      </c>
      <c r="D563" s="3" t="s">
        <v>1509</v>
      </c>
      <c r="E563" s="3" t="s">
        <v>120</v>
      </c>
      <c r="F563" s="3">
        <v>22.98</v>
      </c>
      <c r="G563" s="3" t="s">
        <v>121</v>
      </c>
      <c r="H563" s="3"/>
      <c r="I563" s="3" t="s">
        <v>122</v>
      </c>
      <c r="J563" s="3">
        <v>43</v>
      </c>
      <c r="K563" s="3">
        <v>43</v>
      </c>
      <c r="L563" s="3">
        <v>0</v>
      </c>
      <c r="M563" s="3">
        <v>0</v>
      </c>
      <c r="N563" s="3">
        <v>43</v>
      </c>
      <c r="O563" s="3">
        <v>0.11</v>
      </c>
      <c r="P563" s="3">
        <v>0</v>
      </c>
      <c r="Q563" s="3">
        <v>0</v>
      </c>
      <c r="R563" s="3">
        <v>0</v>
      </c>
    </row>
    <row r="564" spans="1:18">
      <c r="A564" s="3" t="s">
        <v>1510</v>
      </c>
      <c r="B564" s="3" t="s">
        <v>72</v>
      </c>
      <c r="C564" s="3" t="s">
        <v>72</v>
      </c>
      <c r="D564" s="3" t="s">
        <v>1511</v>
      </c>
      <c r="E564" s="3" t="s">
        <v>120</v>
      </c>
      <c r="F564" s="3">
        <v>22.98</v>
      </c>
      <c r="G564" s="3" t="s">
        <v>121</v>
      </c>
      <c r="H564" s="3"/>
      <c r="I564" s="3" t="s">
        <v>122</v>
      </c>
      <c r="J564" s="3">
        <v>12</v>
      </c>
      <c r="K564" s="3">
        <v>12</v>
      </c>
      <c r="L564" s="3">
        <v>0</v>
      </c>
      <c r="M564" s="3">
        <v>0</v>
      </c>
      <c r="N564" s="3">
        <v>12</v>
      </c>
      <c r="O564" s="3">
        <v>0.11</v>
      </c>
      <c r="P564" s="3">
        <v>0</v>
      </c>
      <c r="Q564" s="3">
        <v>0</v>
      </c>
      <c r="R564" s="3">
        <v>0</v>
      </c>
    </row>
    <row r="565" spans="1:18">
      <c r="A565" s="3" t="s">
        <v>1512</v>
      </c>
      <c r="B565" s="3" t="s">
        <v>74</v>
      </c>
      <c r="C565" s="3" t="s">
        <v>74</v>
      </c>
      <c r="D565" s="3" t="s">
        <v>1513</v>
      </c>
      <c r="E565" s="3" t="s">
        <v>120</v>
      </c>
      <c r="F565" s="3">
        <v>22.98</v>
      </c>
      <c r="G565" s="3" t="s">
        <v>121</v>
      </c>
      <c r="H565" s="3"/>
      <c r="I565" s="3" t="s">
        <v>122</v>
      </c>
      <c r="J565" s="3">
        <v>26</v>
      </c>
      <c r="K565" s="3">
        <v>26</v>
      </c>
      <c r="L565" s="3">
        <v>0</v>
      </c>
      <c r="M565" s="3">
        <v>0</v>
      </c>
      <c r="N565" s="3">
        <v>26</v>
      </c>
      <c r="O565" s="3">
        <v>0.16</v>
      </c>
      <c r="P565" s="3">
        <v>0</v>
      </c>
      <c r="Q565" s="3">
        <v>0</v>
      </c>
      <c r="R565" s="3">
        <v>0</v>
      </c>
    </row>
    <row r="566" spans="1:18">
      <c r="A566" s="3" t="s">
        <v>1514</v>
      </c>
      <c r="B566" s="3" t="s">
        <v>76</v>
      </c>
      <c r="C566" s="3" t="s">
        <v>76</v>
      </c>
      <c r="D566" s="3" t="s">
        <v>1515</v>
      </c>
      <c r="E566" s="3" t="s">
        <v>120</v>
      </c>
      <c r="F566" s="3">
        <v>16.98</v>
      </c>
      <c r="G566" s="3" t="s">
        <v>121</v>
      </c>
      <c r="H566" s="3"/>
      <c r="I566" s="3" t="s">
        <v>122</v>
      </c>
      <c r="J566" s="3">
        <v>11</v>
      </c>
      <c r="K566" s="3">
        <v>11</v>
      </c>
      <c r="L566" s="3">
        <v>0</v>
      </c>
      <c r="M566" s="3">
        <v>0</v>
      </c>
      <c r="N566" s="3">
        <v>11</v>
      </c>
      <c r="O566" s="3">
        <v>0.13</v>
      </c>
      <c r="P566" s="3">
        <v>0</v>
      </c>
      <c r="Q566" s="3">
        <v>0</v>
      </c>
      <c r="R566" s="3">
        <v>0</v>
      </c>
    </row>
    <row r="567" spans="1:18">
      <c r="A567" s="3" t="s">
        <v>1516</v>
      </c>
      <c r="B567" s="3" t="s">
        <v>78</v>
      </c>
      <c r="C567" s="3" t="s">
        <v>78</v>
      </c>
      <c r="D567" s="3" t="s">
        <v>1517</v>
      </c>
      <c r="E567" s="3" t="s">
        <v>120</v>
      </c>
      <c r="F567" s="3">
        <v>22.98</v>
      </c>
      <c r="G567" s="3" t="s">
        <v>121</v>
      </c>
      <c r="H567" s="3"/>
      <c r="I567" s="3" t="s">
        <v>122</v>
      </c>
      <c r="J567" s="3">
        <v>33</v>
      </c>
      <c r="K567" s="3">
        <v>33</v>
      </c>
      <c r="L567" s="3">
        <v>0</v>
      </c>
      <c r="M567" s="3">
        <v>0</v>
      </c>
      <c r="N567" s="3">
        <v>33</v>
      </c>
      <c r="O567" s="3">
        <v>0.13</v>
      </c>
      <c r="P567" s="3">
        <v>0</v>
      </c>
      <c r="Q567" s="3">
        <v>0</v>
      </c>
      <c r="R567" s="3">
        <v>0</v>
      </c>
    </row>
    <row r="568" spans="1:18">
      <c r="A568" s="3" t="s">
        <v>1518</v>
      </c>
      <c r="B568" s="3" t="s">
        <v>80</v>
      </c>
      <c r="C568" s="3" t="s">
        <v>80</v>
      </c>
      <c r="D568" s="3" t="s">
        <v>1519</v>
      </c>
      <c r="E568" s="3" t="s">
        <v>120</v>
      </c>
      <c r="F568" s="3">
        <v>22.98</v>
      </c>
      <c r="G568" s="3" t="s">
        <v>121</v>
      </c>
      <c r="H568" s="3"/>
      <c r="I568" s="3" t="s">
        <v>122</v>
      </c>
      <c r="J568" s="3">
        <v>18</v>
      </c>
      <c r="K568" s="3">
        <v>18</v>
      </c>
      <c r="L568" s="3">
        <v>0</v>
      </c>
      <c r="M568" s="3">
        <v>0</v>
      </c>
      <c r="N568" s="3">
        <v>18</v>
      </c>
      <c r="O568" s="3">
        <v>0.2</v>
      </c>
      <c r="P568" s="3">
        <v>0</v>
      </c>
      <c r="Q568" s="3">
        <v>0</v>
      </c>
      <c r="R568" s="3">
        <v>0</v>
      </c>
    </row>
    <row r="569" spans="1:18">
      <c r="A569" s="3" t="s">
        <v>1520</v>
      </c>
      <c r="B569" s="3" t="s">
        <v>82</v>
      </c>
      <c r="C569" s="3" t="s">
        <v>82</v>
      </c>
      <c r="D569" s="3" t="s">
        <v>1521</v>
      </c>
      <c r="E569" s="3" t="s">
        <v>120</v>
      </c>
      <c r="F569" s="3">
        <v>22.98</v>
      </c>
      <c r="G569" s="3" t="s">
        <v>121</v>
      </c>
      <c r="H569" s="3"/>
      <c r="I569" s="3" t="s">
        <v>122</v>
      </c>
      <c r="J569" s="3">
        <v>33</v>
      </c>
      <c r="K569" s="3">
        <v>33</v>
      </c>
      <c r="L569" s="3">
        <v>0</v>
      </c>
      <c r="M569" s="3">
        <v>0</v>
      </c>
      <c r="N569" s="3">
        <v>33</v>
      </c>
      <c r="O569" s="3">
        <v>0.2</v>
      </c>
      <c r="P569" s="3">
        <v>0</v>
      </c>
      <c r="Q569" s="3">
        <v>0</v>
      </c>
      <c r="R569" s="3">
        <v>0</v>
      </c>
    </row>
    <row r="570" spans="1:18">
      <c r="A570" s="3" t="s">
        <v>1522</v>
      </c>
      <c r="B570" s="3" t="s">
        <v>84</v>
      </c>
      <c r="C570" s="3" t="s">
        <v>84</v>
      </c>
      <c r="D570" s="3" t="s">
        <v>1523</v>
      </c>
      <c r="E570" s="3" t="s">
        <v>120</v>
      </c>
      <c r="F570" s="3">
        <v>22.98</v>
      </c>
      <c r="G570" s="3" t="s">
        <v>121</v>
      </c>
      <c r="H570" s="3"/>
      <c r="I570" s="3" t="s">
        <v>122</v>
      </c>
      <c r="J570" s="3">
        <v>31</v>
      </c>
      <c r="K570" s="3">
        <v>31</v>
      </c>
      <c r="L570" s="3">
        <v>0</v>
      </c>
      <c r="M570" s="3">
        <v>0</v>
      </c>
      <c r="N570" s="3">
        <v>31</v>
      </c>
      <c r="O570" s="3">
        <v>0.04</v>
      </c>
      <c r="P570" s="3">
        <v>0</v>
      </c>
      <c r="Q570" s="3">
        <v>0</v>
      </c>
      <c r="R570" s="3">
        <v>0</v>
      </c>
    </row>
    <row r="571" spans="1:18">
      <c r="A571" s="3" t="s">
        <v>1524</v>
      </c>
      <c r="B571" s="3" t="s">
        <v>86</v>
      </c>
      <c r="C571" s="3" t="s">
        <v>86</v>
      </c>
      <c r="D571" s="3" t="s">
        <v>1525</v>
      </c>
      <c r="E571" s="3" t="s">
        <v>120</v>
      </c>
      <c r="F571" s="3">
        <v>18.98</v>
      </c>
      <c r="G571" s="3" t="s">
        <v>121</v>
      </c>
      <c r="H571" s="3"/>
      <c r="I571" s="3" t="s">
        <v>122</v>
      </c>
      <c r="J571" s="3">
        <v>11</v>
      </c>
      <c r="K571" s="3">
        <v>11</v>
      </c>
      <c r="L571" s="3">
        <v>0</v>
      </c>
      <c r="M571" s="3">
        <v>0</v>
      </c>
      <c r="N571" s="3">
        <v>11</v>
      </c>
      <c r="O571" s="3">
        <v>0.13</v>
      </c>
      <c r="P571" s="3">
        <v>0</v>
      </c>
      <c r="Q571" s="3">
        <v>0</v>
      </c>
      <c r="R571" s="3">
        <v>0</v>
      </c>
    </row>
    <row r="572" spans="1:18">
      <c r="A572" s="3" t="s">
        <v>1526</v>
      </c>
      <c r="B572" s="3" t="s">
        <v>88</v>
      </c>
      <c r="C572" s="3" t="s">
        <v>88</v>
      </c>
      <c r="D572" s="3" t="s">
        <v>1527</v>
      </c>
      <c r="E572" s="3" t="s">
        <v>120</v>
      </c>
      <c r="F572" s="3">
        <v>22.98</v>
      </c>
      <c r="G572" s="3" t="s">
        <v>121</v>
      </c>
      <c r="H572" s="3"/>
      <c r="I572" s="3" t="s">
        <v>122</v>
      </c>
      <c r="J572" s="3">
        <v>4</v>
      </c>
      <c r="K572" s="3">
        <v>3</v>
      </c>
      <c r="L572" s="3">
        <v>0</v>
      </c>
      <c r="M572" s="3">
        <v>1</v>
      </c>
      <c r="N572" s="3">
        <v>4</v>
      </c>
      <c r="O572" s="3">
        <v>0.12</v>
      </c>
      <c r="P572" s="3">
        <v>0</v>
      </c>
      <c r="Q572" s="3">
        <v>0</v>
      </c>
      <c r="R572" s="3">
        <v>0</v>
      </c>
    </row>
    <row r="573" spans="1:18">
      <c r="A573" s="3" t="s">
        <v>1528</v>
      </c>
      <c r="B573" s="3" t="s">
        <v>90</v>
      </c>
      <c r="C573" s="3" t="s">
        <v>90</v>
      </c>
      <c r="D573" s="3" t="s">
        <v>1529</v>
      </c>
      <c r="E573" s="3" t="s">
        <v>120</v>
      </c>
      <c r="F573" s="3">
        <v>22.98</v>
      </c>
      <c r="G573" s="3" t="s">
        <v>121</v>
      </c>
      <c r="H573" s="3"/>
      <c r="I573" s="3" t="s">
        <v>122</v>
      </c>
      <c r="J573" s="3">
        <v>8</v>
      </c>
      <c r="K573" s="3">
        <v>8</v>
      </c>
      <c r="L573" s="3">
        <v>0</v>
      </c>
      <c r="M573" s="3">
        <v>0</v>
      </c>
      <c r="N573" s="3">
        <v>8</v>
      </c>
      <c r="O573" s="3">
        <v>0.2</v>
      </c>
      <c r="P573" s="3">
        <v>0</v>
      </c>
      <c r="Q573" s="3">
        <v>0</v>
      </c>
      <c r="R573" s="3">
        <v>0</v>
      </c>
    </row>
    <row r="574" spans="1:18">
      <c r="A574" s="3" t="s">
        <v>1530</v>
      </c>
      <c r="B574" s="3" t="s">
        <v>92</v>
      </c>
      <c r="C574" s="3" t="s">
        <v>92</v>
      </c>
      <c r="D574" s="3" t="s">
        <v>1531</v>
      </c>
      <c r="E574" s="3" t="s">
        <v>120</v>
      </c>
      <c r="F574" s="3">
        <v>22.98</v>
      </c>
      <c r="G574" s="3" t="s">
        <v>121</v>
      </c>
      <c r="H574" s="3"/>
      <c r="I574" s="3" t="s">
        <v>122</v>
      </c>
      <c r="J574" s="3">
        <v>50</v>
      </c>
      <c r="K574" s="3">
        <v>48</v>
      </c>
      <c r="L574" s="3">
        <v>0</v>
      </c>
      <c r="M574" s="3">
        <v>2</v>
      </c>
      <c r="N574" s="3">
        <v>50</v>
      </c>
      <c r="O574" s="3">
        <v>0.14</v>
      </c>
      <c r="P574" s="3">
        <v>0</v>
      </c>
      <c r="Q574" s="3">
        <v>0</v>
      </c>
      <c r="R574" s="3">
        <v>0</v>
      </c>
    </row>
    <row r="575" spans="1:18">
      <c r="A575" s="3" t="s">
        <v>1532</v>
      </c>
      <c r="B575" s="3" t="s">
        <v>94</v>
      </c>
      <c r="C575" s="3" t="s">
        <v>94</v>
      </c>
      <c r="D575" s="3" t="s">
        <v>1533</v>
      </c>
      <c r="E575" s="3" t="s">
        <v>120</v>
      </c>
      <c r="F575" s="3">
        <v>22.98</v>
      </c>
      <c r="G575" s="3" t="s">
        <v>121</v>
      </c>
      <c r="H575" s="3"/>
      <c r="I575" s="3" t="s">
        <v>122</v>
      </c>
      <c r="J575" s="3">
        <v>29</v>
      </c>
      <c r="K575" s="3">
        <v>29</v>
      </c>
      <c r="L575" s="3">
        <v>0</v>
      </c>
      <c r="M575" s="3">
        <v>0</v>
      </c>
      <c r="N575" s="3">
        <v>29</v>
      </c>
      <c r="O575" s="3">
        <v>0.13</v>
      </c>
      <c r="P575" s="3">
        <v>0</v>
      </c>
      <c r="Q575" s="3">
        <v>0</v>
      </c>
      <c r="R575" s="3">
        <v>0</v>
      </c>
    </row>
    <row r="576" spans="1:18">
      <c r="A576" s="3" t="s">
        <v>1534</v>
      </c>
      <c r="B576" s="3" t="s">
        <v>96</v>
      </c>
      <c r="C576" s="3" t="s">
        <v>96</v>
      </c>
      <c r="D576" s="3" t="s">
        <v>1535</v>
      </c>
      <c r="E576" s="3" t="s">
        <v>120</v>
      </c>
      <c r="F576" s="3">
        <v>11.03</v>
      </c>
      <c r="G576" s="3" t="s">
        <v>121</v>
      </c>
      <c r="H576" s="3"/>
      <c r="I576" s="3" t="s">
        <v>122</v>
      </c>
      <c r="J576" s="3">
        <v>0</v>
      </c>
      <c r="K576" s="3">
        <v>0</v>
      </c>
      <c r="L576" s="3">
        <v>0</v>
      </c>
      <c r="M576" s="3">
        <v>0</v>
      </c>
      <c r="N576" s="3">
        <v>0</v>
      </c>
      <c r="O576" s="3">
        <v>0.13</v>
      </c>
      <c r="P576" s="3">
        <v>0</v>
      </c>
      <c r="Q576" s="3">
        <v>0</v>
      </c>
      <c r="R576" s="3">
        <v>0</v>
      </c>
    </row>
    <row r="577" spans="1:18">
      <c r="A577" s="3" t="s">
        <v>1536</v>
      </c>
      <c r="B577" s="3" t="s">
        <v>98</v>
      </c>
      <c r="C577" s="3" t="s">
        <v>98</v>
      </c>
      <c r="D577" s="3" t="s">
        <v>1537</v>
      </c>
      <c r="E577" s="3" t="s">
        <v>120</v>
      </c>
      <c r="F577" s="3">
        <v>22.98</v>
      </c>
      <c r="G577" s="3" t="s">
        <v>121</v>
      </c>
      <c r="H577" s="3"/>
      <c r="I577" s="3" t="s">
        <v>122</v>
      </c>
      <c r="J577" s="3">
        <v>42</v>
      </c>
      <c r="K577" s="3">
        <v>42</v>
      </c>
      <c r="L577" s="3">
        <v>0</v>
      </c>
      <c r="M577" s="3">
        <v>0</v>
      </c>
      <c r="N577" s="3">
        <v>42</v>
      </c>
      <c r="O577" s="3">
        <v>0.16</v>
      </c>
      <c r="P577" s="3">
        <v>0</v>
      </c>
      <c r="Q577" s="3">
        <v>0</v>
      </c>
      <c r="R577" s="3">
        <v>0</v>
      </c>
    </row>
    <row r="578" spans="1:18">
      <c r="A578" s="3" t="s">
        <v>1538</v>
      </c>
      <c r="B578" s="3" t="s">
        <v>100</v>
      </c>
      <c r="C578" s="3" t="s">
        <v>100</v>
      </c>
      <c r="D578" s="3" t="s">
        <v>1539</v>
      </c>
      <c r="E578" s="3" t="s">
        <v>120</v>
      </c>
      <c r="F578" s="3">
        <v>22.98</v>
      </c>
      <c r="G578" s="3" t="s">
        <v>121</v>
      </c>
      <c r="H578" s="3"/>
      <c r="I578" s="3" t="s">
        <v>122</v>
      </c>
      <c r="J578" s="3">
        <v>47</v>
      </c>
      <c r="K578" s="3">
        <v>47</v>
      </c>
      <c r="L578" s="3">
        <v>0</v>
      </c>
      <c r="M578" s="3">
        <v>0</v>
      </c>
      <c r="N578" s="3">
        <v>47</v>
      </c>
      <c r="O578" s="3">
        <v>0.2</v>
      </c>
      <c r="P578" s="3">
        <v>0</v>
      </c>
      <c r="Q578" s="3">
        <v>0</v>
      </c>
      <c r="R578" s="3">
        <v>0</v>
      </c>
    </row>
    <row r="579" spans="1:18">
      <c r="A579" s="3" t="s">
        <v>1540</v>
      </c>
      <c r="B579" s="3" t="s">
        <v>102</v>
      </c>
      <c r="C579" s="3" t="s">
        <v>102</v>
      </c>
      <c r="D579" s="3" t="s">
        <v>1541</v>
      </c>
      <c r="E579" s="3" t="s">
        <v>120</v>
      </c>
      <c r="F579" s="3">
        <v>22.98</v>
      </c>
      <c r="G579" s="3" t="s">
        <v>121</v>
      </c>
      <c r="H579" s="3"/>
      <c r="I579" s="3" t="s">
        <v>122</v>
      </c>
      <c r="J579" s="3">
        <v>0</v>
      </c>
      <c r="K579" s="3">
        <v>0</v>
      </c>
      <c r="L579" s="3">
        <v>0</v>
      </c>
      <c r="M579" s="3">
        <v>0</v>
      </c>
      <c r="N579" s="3">
        <v>0</v>
      </c>
      <c r="O579" s="3">
        <v>0.09</v>
      </c>
      <c r="P579" s="3">
        <v>0</v>
      </c>
      <c r="Q579" s="3">
        <v>0</v>
      </c>
      <c r="R579" s="3">
        <v>0</v>
      </c>
    </row>
    <row r="580" spans="1:18">
      <c r="A580" s="3" t="s">
        <v>1542</v>
      </c>
      <c r="B580" s="3" t="s">
        <v>104</v>
      </c>
      <c r="C580" s="3" t="s">
        <v>104</v>
      </c>
      <c r="D580" s="3" t="s">
        <v>1543</v>
      </c>
      <c r="E580" s="3" t="s">
        <v>120</v>
      </c>
      <c r="F580" s="3">
        <v>22.98</v>
      </c>
      <c r="G580" s="3" t="s">
        <v>121</v>
      </c>
      <c r="H580" s="3"/>
      <c r="I580" s="3" t="s">
        <v>122</v>
      </c>
      <c r="J580" s="3">
        <v>5</v>
      </c>
      <c r="K580" s="3">
        <v>5</v>
      </c>
      <c r="L580" s="3">
        <v>0</v>
      </c>
      <c r="M580" s="3">
        <v>0</v>
      </c>
      <c r="N580" s="3">
        <v>5</v>
      </c>
      <c r="O580" s="3">
        <v>0.12</v>
      </c>
      <c r="P580" s="3">
        <v>0</v>
      </c>
      <c r="Q580" s="3">
        <v>0</v>
      </c>
      <c r="R580" s="3">
        <v>0</v>
      </c>
    </row>
    <row r="581" spans="1:18">
      <c r="A581" s="3" t="s">
        <v>1544</v>
      </c>
      <c r="B581" s="3" t="s">
        <v>106</v>
      </c>
      <c r="C581" s="3" t="s">
        <v>106</v>
      </c>
      <c r="D581" s="3" t="s">
        <v>1545</v>
      </c>
      <c r="E581" s="3" t="s">
        <v>120</v>
      </c>
      <c r="F581" s="3">
        <v>19.98</v>
      </c>
      <c r="G581" s="3" t="s">
        <v>121</v>
      </c>
      <c r="H581" s="3"/>
      <c r="I581" s="3" t="s">
        <v>122</v>
      </c>
      <c r="J581" s="3">
        <v>2</v>
      </c>
      <c r="K581" s="3">
        <v>2</v>
      </c>
      <c r="L581" s="3">
        <v>0</v>
      </c>
      <c r="M581" s="3">
        <v>0</v>
      </c>
      <c r="N581" s="3">
        <v>2</v>
      </c>
      <c r="O581" s="3">
        <v>0.2</v>
      </c>
      <c r="P581" s="3">
        <v>0</v>
      </c>
      <c r="Q581" s="3">
        <v>0</v>
      </c>
      <c r="R581" s="3">
        <v>0</v>
      </c>
    </row>
    <row r="582" spans="1:18">
      <c r="A582" s="3" t="s">
        <v>1546</v>
      </c>
      <c r="B582" s="3" t="s">
        <v>108</v>
      </c>
      <c r="C582" s="3" t="s">
        <v>108</v>
      </c>
      <c r="D582" s="3" t="s">
        <v>1547</v>
      </c>
      <c r="E582" s="3" t="s">
        <v>120</v>
      </c>
      <c r="F582" s="3">
        <v>22.98</v>
      </c>
      <c r="G582" s="3" t="s">
        <v>121</v>
      </c>
      <c r="H582" s="3"/>
      <c r="I582" s="3" t="s">
        <v>122</v>
      </c>
      <c r="J582" s="3">
        <v>9</v>
      </c>
      <c r="K582" s="3">
        <v>9</v>
      </c>
      <c r="L582" s="3">
        <v>0</v>
      </c>
      <c r="M582" s="3">
        <v>0</v>
      </c>
      <c r="N582" s="3">
        <v>9</v>
      </c>
      <c r="O582" s="3">
        <v>0.2</v>
      </c>
      <c r="P582" s="3">
        <v>0</v>
      </c>
      <c r="Q582" s="3">
        <v>0</v>
      </c>
      <c r="R582" s="3">
        <v>0</v>
      </c>
    </row>
    <row r="583" spans="1:18">
      <c r="A583" s="3" t="s">
        <v>1548</v>
      </c>
      <c r="B583" s="3" t="s">
        <v>1549</v>
      </c>
      <c r="C583" s="3" t="s">
        <v>1549</v>
      </c>
      <c r="D583" s="3" t="s">
        <v>1550</v>
      </c>
      <c r="E583" s="3" t="s">
        <v>120</v>
      </c>
      <c r="F583" s="3">
        <v>39.98</v>
      </c>
      <c r="G583" s="3" t="s">
        <v>121</v>
      </c>
      <c r="H583" s="3"/>
      <c r="I583" s="3" t="s">
        <v>122</v>
      </c>
      <c r="J583" s="3">
        <v>0</v>
      </c>
      <c r="K583" s="3">
        <v>0</v>
      </c>
      <c r="L583" s="3">
        <v>0</v>
      </c>
      <c r="M583" s="3">
        <v>0</v>
      </c>
      <c r="N583" s="3">
        <v>0</v>
      </c>
      <c r="O583" s="3">
        <v>0.21</v>
      </c>
      <c r="P583" s="3">
        <v>0</v>
      </c>
      <c r="Q583" s="3">
        <v>0</v>
      </c>
      <c r="R583" s="3">
        <v>0</v>
      </c>
    </row>
    <row r="584" spans="1:18">
      <c r="A584" s="3" t="s">
        <v>1551</v>
      </c>
      <c r="B584" s="3" t="s">
        <v>1552</v>
      </c>
      <c r="C584" s="3" t="s">
        <v>1552</v>
      </c>
      <c r="D584" s="3" t="s">
        <v>1553</v>
      </c>
      <c r="E584" s="3" t="s">
        <v>120</v>
      </c>
      <c r="F584" s="3">
        <v>39.98</v>
      </c>
      <c r="G584" s="3" t="s">
        <v>121</v>
      </c>
      <c r="H584" s="3"/>
      <c r="I584" s="3" t="s">
        <v>122</v>
      </c>
      <c r="J584" s="3">
        <v>3</v>
      </c>
      <c r="K584" s="3">
        <v>2</v>
      </c>
      <c r="L584" s="3">
        <v>0</v>
      </c>
      <c r="M584" s="3">
        <v>1</v>
      </c>
      <c r="N584" s="3">
        <v>3</v>
      </c>
      <c r="O584" s="3">
        <v>0.11</v>
      </c>
      <c r="P584" s="3">
        <v>0</v>
      </c>
      <c r="Q584" s="3">
        <v>0</v>
      </c>
      <c r="R584" s="3">
        <v>0</v>
      </c>
    </row>
    <row r="585" spans="1:18">
      <c r="A585" s="3" t="s">
        <v>1554</v>
      </c>
      <c r="B585" s="3" t="s">
        <v>1555</v>
      </c>
      <c r="C585" s="3" t="s">
        <v>1555</v>
      </c>
      <c r="D585" s="3"/>
      <c r="E585" s="3" t="s">
        <v>20</v>
      </c>
      <c r="F585" s="3"/>
      <c r="G585" s="3"/>
      <c r="H585" s="3"/>
      <c r="I585" s="3"/>
      <c r="J585" s="3">
        <v>0</v>
      </c>
      <c r="K585" s="3">
        <v>0</v>
      </c>
      <c r="L585" s="3">
        <v>0</v>
      </c>
      <c r="M585" s="3">
        <v>0</v>
      </c>
      <c r="N585" s="3">
        <v>0</v>
      </c>
      <c r="O585" s="3"/>
      <c r="P585" s="3">
        <v>0</v>
      </c>
      <c r="Q585" s="3">
        <v>0</v>
      </c>
      <c r="R585" s="3">
        <v>0</v>
      </c>
    </row>
    <row r="586" spans="1:18">
      <c r="A586" s="3" t="s">
        <v>1556</v>
      </c>
      <c r="B586" s="3" t="s">
        <v>1557</v>
      </c>
      <c r="C586" s="3" t="s">
        <v>1557</v>
      </c>
      <c r="D586" s="3" t="s">
        <v>1558</v>
      </c>
      <c r="E586" s="3" t="s">
        <v>120</v>
      </c>
      <c r="F586" s="3">
        <v>39.98</v>
      </c>
      <c r="G586" s="3" t="s">
        <v>121</v>
      </c>
      <c r="H586" s="3"/>
      <c r="I586" s="3" t="s">
        <v>122</v>
      </c>
      <c r="J586" s="3">
        <v>2</v>
      </c>
      <c r="K586" s="3">
        <v>2</v>
      </c>
      <c r="L586" s="3">
        <v>0</v>
      </c>
      <c r="M586" s="3">
        <v>0</v>
      </c>
      <c r="N586" s="3">
        <v>2</v>
      </c>
      <c r="O586" s="3">
        <v>0.28</v>
      </c>
      <c r="P586" s="3">
        <v>0</v>
      </c>
      <c r="Q586" s="3">
        <v>0</v>
      </c>
      <c r="R586" s="3">
        <v>0</v>
      </c>
    </row>
    <row r="587" spans="1:18">
      <c r="A587" s="3" t="s">
        <v>1559</v>
      </c>
      <c r="B587" s="3" t="s">
        <v>1560</v>
      </c>
      <c r="C587" s="3" t="s">
        <v>1560</v>
      </c>
      <c r="D587" s="3" t="s">
        <v>1561</v>
      </c>
      <c r="E587" s="3" t="s">
        <v>120</v>
      </c>
      <c r="F587" s="3">
        <v>39.98</v>
      </c>
      <c r="G587" s="3" t="s">
        <v>121</v>
      </c>
      <c r="H587" s="3"/>
      <c r="I587" s="3" t="s">
        <v>122</v>
      </c>
      <c r="J587" s="3">
        <v>17</v>
      </c>
      <c r="K587" s="3">
        <v>17</v>
      </c>
      <c r="L587" s="3">
        <v>0</v>
      </c>
      <c r="M587" s="3">
        <v>0</v>
      </c>
      <c r="N587" s="3">
        <v>17</v>
      </c>
      <c r="O587" s="3">
        <v>0.12</v>
      </c>
      <c r="P587" s="3">
        <v>0</v>
      </c>
      <c r="Q587" s="3">
        <v>0</v>
      </c>
      <c r="R587" s="3">
        <v>0</v>
      </c>
    </row>
    <row r="588" spans="1:18">
      <c r="A588" s="3" t="s">
        <v>1562</v>
      </c>
      <c r="B588" s="3" t="s">
        <v>1563</v>
      </c>
      <c r="C588" s="3" t="s">
        <v>1563</v>
      </c>
      <c r="D588" s="3" t="s">
        <v>1564</v>
      </c>
      <c r="E588" s="3" t="s">
        <v>120</v>
      </c>
      <c r="F588" s="3">
        <v>39.98</v>
      </c>
      <c r="G588" s="3" t="s">
        <v>121</v>
      </c>
      <c r="H588" s="3"/>
      <c r="I588" s="3" t="s">
        <v>122</v>
      </c>
      <c r="J588" s="3">
        <v>32</v>
      </c>
      <c r="K588" s="3">
        <v>32</v>
      </c>
      <c r="L588" s="3">
        <v>0</v>
      </c>
      <c r="M588" s="3">
        <v>0</v>
      </c>
      <c r="N588" s="3">
        <v>32</v>
      </c>
      <c r="O588" s="3">
        <v>0.08</v>
      </c>
      <c r="P588" s="3">
        <v>0</v>
      </c>
      <c r="Q588" s="3">
        <v>0</v>
      </c>
      <c r="R588" s="3">
        <v>0</v>
      </c>
    </row>
    <row r="589" spans="1:18">
      <c r="A589" s="3" t="s">
        <v>1565</v>
      </c>
      <c r="B589" s="3" t="s">
        <v>1566</v>
      </c>
      <c r="C589" s="3" t="s">
        <v>1566</v>
      </c>
      <c r="D589" s="3" t="s">
        <v>1567</v>
      </c>
      <c r="E589" s="3" t="s">
        <v>120</v>
      </c>
      <c r="F589" s="3">
        <v>39.98</v>
      </c>
      <c r="G589" s="3" t="s">
        <v>121</v>
      </c>
      <c r="H589" s="3"/>
      <c r="I589" s="3" t="s">
        <v>122</v>
      </c>
      <c r="J589" s="3">
        <v>19</v>
      </c>
      <c r="K589" s="3">
        <v>19</v>
      </c>
      <c r="L589" s="3">
        <v>0</v>
      </c>
      <c r="M589" s="3">
        <v>0</v>
      </c>
      <c r="N589" s="3">
        <v>19</v>
      </c>
      <c r="O589" s="3">
        <v>0.1</v>
      </c>
      <c r="P589" s="3">
        <v>0</v>
      </c>
      <c r="Q589" s="3">
        <v>0</v>
      </c>
      <c r="R589" s="3">
        <v>0</v>
      </c>
    </row>
    <row r="590" spans="1:18">
      <c r="A590" s="3" t="s">
        <v>1568</v>
      </c>
      <c r="B590" s="3" t="s">
        <v>1569</v>
      </c>
      <c r="C590" s="3" t="s">
        <v>1569</v>
      </c>
      <c r="D590" s="3" t="s">
        <v>1570</v>
      </c>
      <c r="E590" s="3" t="s">
        <v>120</v>
      </c>
      <c r="F590" s="3">
        <v>39.98</v>
      </c>
      <c r="G590" s="3" t="s">
        <v>121</v>
      </c>
      <c r="H590" s="3"/>
      <c r="I590" s="3" t="s">
        <v>122</v>
      </c>
      <c r="J590" s="3">
        <v>9</v>
      </c>
      <c r="K590" s="3">
        <v>9</v>
      </c>
      <c r="L590" s="3">
        <v>0</v>
      </c>
      <c r="M590" s="3">
        <v>0</v>
      </c>
      <c r="N590" s="3">
        <v>9</v>
      </c>
      <c r="O590" s="3">
        <v>0.28</v>
      </c>
      <c r="P590" s="3">
        <v>0</v>
      </c>
      <c r="Q590" s="3">
        <v>0</v>
      </c>
      <c r="R590" s="3">
        <v>0</v>
      </c>
    </row>
    <row r="591" spans="1:18">
      <c r="A591" s="3" t="s">
        <v>1571</v>
      </c>
      <c r="B591" s="3" t="s">
        <v>1572</v>
      </c>
      <c r="C591" s="3" t="s">
        <v>1572</v>
      </c>
      <c r="D591" s="3" t="s">
        <v>1573</v>
      </c>
      <c r="E591" s="3" t="s">
        <v>120</v>
      </c>
      <c r="F591" s="3">
        <v>39.98</v>
      </c>
      <c r="G591" s="3" t="s">
        <v>121</v>
      </c>
      <c r="H591" s="3"/>
      <c r="I591" s="3" t="s">
        <v>122</v>
      </c>
      <c r="J591" s="3">
        <v>0</v>
      </c>
      <c r="K591" s="3">
        <v>0</v>
      </c>
      <c r="L591" s="3">
        <v>0</v>
      </c>
      <c r="M591" s="3">
        <v>0</v>
      </c>
      <c r="N591" s="3">
        <v>0</v>
      </c>
      <c r="O591" s="3">
        <v>0.28</v>
      </c>
      <c r="P591" s="3">
        <v>0</v>
      </c>
      <c r="Q591" s="3">
        <v>0</v>
      </c>
      <c r="R591" s="3">
        <v>0</v>
      </c>
    </row>
    <row r="592" spans="1:18">
      <c r="A592" s="3" t="s">
        <v>1574</v>
      </c>
      <c r="B592" s="3" t="s">
        <v>1575</v>
      </c>
      <c r="C592" s="3" t="s">
        <v>1575</v>
      </c>
      <c r="D592" s="3" t="s">
        <v>1576</v>
      </c>
      <c r="E592" s="3" t="s">
        <v>120</v>
      </c>
      <c r="F592" s="3">
        <v>39.98</v>
      </c>
      <c r="G592" s="3" t="s">
        <v>121</v>
      </c>
      <c r="H592" s="3"/>
      <c r="I592" s="3" t="s">
        <v>122</v>
      </c>
      <c r="J592" s="3">
        <v>11</v>
      </c>
      <c r="K592" s="3">
        <v>10</v>
      </c>
      <c r="L592" s="3">
        <v>0</v>
      </c>
      <c r="M592" s="3">
        <v>1</v>
      </c>
      <c r="N592" s="3">
        <v>11</v>
      </c>
      <c r="O592" s="3">
        <v>0.28</v>
      </c>
      <c r="P592" s="3">
        <v>0</v>
      </c>
      <c r="Q592" s="3">
        <v>0</v>
      </c>
      <c r="R592" s="3">
        <v>0</v>
      </c>
    </row>
    <row r="593" spans="1:18">
      <c r="A593" s="3" t="s">
        <v>1577</v>
      </c>
      <c r="B593" s="3" t="s">
        <v>1578</v>
      </c>
      <c r="C593" s="3" t="s">
        <v>1578</v>
      </c>
      <c r="D593" s="3" t="s">
        <v>1579</v>
      </c>
      <c r="E593" s="3" t="s">
        <v>120</v>
      </c>
      <c r="F593" s="3">
        <v>39.98</v>
      </c>
      <c r="G593" s="3" t="s">
        <v>121</v>
      </c>
      <c r="H593" s="3"/>
      <c r="I593" s="3" t="s">
        <v>122</v>
      </c>
      <c r="J593" s="3">
        <v>13</v>
      </c>
      <c r="K593" s="3">
        <v>13</v>
      </c>
      <c r="L593" s="3">
        <v>0</v>
      </c>
      <c r="M593" s="3">
        <v>0</v>
      </c>
      <c r="N593" s="3">
        <v>13</v>
      </c>
      <c r="O593" s="3">
        <v>0</v>
      </c>
      <c r="P593" s="3">
        <v>0</v>
      </c>
      <c r="Q593" s="3">
        <v>0</v>
      </c>
      <c r="R593" s="3">
        <v>0</v>
      </c>
    </row>
    <row r="594" spans="1:18">
      <c r="A594" s="3" t="s">
        <v>1580</v>
      </c>
      <c r="B594" s="3" t="s">
        <v>1581</v>
      </c>
      <c r="C594" s="3" t="s">
        <v>1581</v>
      </c>
      <c r="D594" s="3" t="s">
        <v>1582</v>
      </c>
      <c r="E594" s="3" t="s">
        <v>120</v>
      </c>
      <c r="F594" s="3">
        <v>39.98</v>
      </c>
      <c r="G594" s="3" t="s">
        <v>121</v>
      </c>
      <c r="H594" s="3"/>
      <c r="I594" s="3" t="s">
        <v>122</v>
      </c>
      <c r="J594" s="3">
        <v>0</v>
      </c>
      <c r="K594" s="3">
        <v>0</v>
      </c>
      <c r="L594" s="3">
        <v>0</v>
      </c>
      <c r="M594" s="3">
        <v>0</v>
      </c>
      <c r="N594" s="3">
        <v>0</v>
      </c>
      <c r="O594" s="3">
        <v>0.28</v>
      </c>
      <c r="P594" s="3">
        <v>0</v>
      </c>
      <c r="Q594" s="3">
        <v>0</v>
      </c>
      <c r="R594" s="3">
        <v>0</v>
      </c>
    </row>
    <row r="595" spans="1:18">
      <c r="A595" s="3" t="s">
        <v>1583</v>
      </c>
      <c r="B595" s="3" t="s">
        <v>1584</v>
      </c>
      <c r="C595" s="3" t="s">
        <v>1584</v>
      </c>
      <c r="D595" s="3" t="s">
        <v>1585</v>
      </c>
      <c r="E595" s="3" t="s">
        <v>120</v>
      </c>
      <c r="F595" s="3">
        <v>39.98</v>
      </c>
      <c r="G595" s="3" t="s">
        <v>121</v>
      </c>
      <c r="H595" s="3"/>
      <c r="I595" s="3" t="s">
        <v>122</v>
      </c>
      <c r="J595" s="3">
        <v>8</v>
      </c>
      <c r="K595" s="3">
        <v>8</v>
      </c>
      <c r="L595" s="3">
        <v>0</v>
      </c>
      <c r="M595" s="3">
        <v>0</v>
      </c>
      <c r="N595" s="3">
        <v>8</v>
      </c>
      <c r="O595" s="3">
        <v>0.09</v>
      </c>
      <c r="P595" s="3">
        <v>0</v>
      </c>
      <c r="Q595" s="3">
        <v>0</v>
      </c>
      <c r="R595" s="3">
        <v>0</v>
      </c>
    </row>
    <row r="596" spans="1:18">
      <c r="A596" s="3" t="s">
        <v>1586</v>
      </c>
      <c r="B596" s="3" t="s">
        <v>1587</v>
      </c>
      <c r="C596" s="3" t="s">
        <v>1587</v>
      </c>
      <c r="D596" s="3" t="s">
        <v>1588</v>
      </c>
      <c r="E596" s="3" t="s">
        <v>120</v>
      </c>
      <c r="F596" s="3">
        <v>39.98</v>
      </c>
      <c r="G596" s="3" t="s">
        <v>121</v>
      </c>
      <c r="H596" s="3"/>
      <c r="I596" s="3" t="s">
        <v>122</v>
      </c>
      <c r="J596" s="3">
        <v>31</v>
      </c>
      <c r="K596" s="3">
        <v>31</v>
      </c>
      <c r="L596" s="3">
        <v>0</v>
      </c>
      <c r="M596" s="3">
        <v>0</v>
      </c>
      <c r="N596" s="3">
        <v>31</v>
      </c>
      <c r="O596" s="3">
        <v>0.11</v>
      </c>
      <c r="P596" s="3">
        <v>0</v>
      </c>
      <c r="Q596" s="3">
        <v>0</v>
      </c>
      <c r="R596" s="3">
        <v>0</v>
      </c>
    </row>
    <row r="597" spans="1:18">
      <c r="A597" s="3" t="s">
        <v>1589</v>
      </c>
      <c r="B597" s="3" t="s">
        <v>1590</v>
      </c>
      <c r="C597" s="3" t="s">
        <v>1590</v>
      </c>
      <c r="D597" s="3" t="s">
        <v>1591</v>
      </c>
      <c r="E597" s="3" t="s">
        <v>120</v>
      </c>
      <c r="F597" s="3">
        <v>39.98</v>
      </c>
      <c r="G597" s="3" t="s">
        <v>121</v>
      </c>
      <c r="H597" s="3"/>
      <c r="I597" s="3" t="s">
        <v>122</v>
      </c>
      <c r="J597" s="3">
        <v>30</v>
      </c>
      <c r="K597" s="3">
        <v>30</v>
      </c>
      <c r="L597" s="3">
        <v>0</v>
      </c>
      <c r="M597" s="3">
        <v>0</v>
      </c>
      <c r="N597" s="3">
        <v>30</v>
      </c>
      <c r="O597" s="3">
        <v>0.03</v>
      </c>
      <c r="P597" s="3">
        <v>0</v>
      </c>
      <c r="Q597" s="3">
        <v>0</v>
      </c>
      <c r="R597" s="3">
        <v>0</v>
      </c>
    </row>
    <row r="598" spans="1:18">
      <c r="A598" s="3" t="s">
        <v>1592</v>
      </c>
      <c r="B598" s="3" t="s">
        <v>1593</v>
      </c>
      <c r="C598" s="3" t="s">
        <v>1593</v>
      </c>
      <c r="D598" s="3" t="s">
        <v>1594</v>
      </c>
      <c r="E598" s="3" t="s">
        <v>120</v>
      </c>
      <c r="F598" s="3">
        <v>39.98</v>
      </c>
      <c r="G598" s="3" t="s">
        <v>121</v>
      </c>
      <c r="H598" s="3"/>
      <c r="I598" s="3" t="s">
        <v>122</v>
      </c>
      <c r="J598" s="3">
        <v>31</v>
      </c>
      <c r="K598" s="3">
        <v>29</v>
      </c>
      <c r="L598" s="3">
        <v>0</v>
      </c>
      <c r="M598" s="3">
        <v>2</v>
      </c>
      <c r="N598" s="3">
        <v>31</v>
      </c>
      <c r="O598" s="3">
        <v>0.09</v>
      </c>
      <c r="P598" s="3">
        <v>0</v>
      </c>
      <c r="Q598" s="3">
        <v>0</v>
      </c>
      <c r="R598" s="3">
        <v>0</v>
      </c>
    </row>
    <row r="599" spans="1:18">
      <c r="A599" s="3" t="s">
        <v>1595</v>
      </c>
      <c r="B599" s="3" t="s">
        <v>1596</v>
      </c>
      <c r="C599" s="3" t="s">
        <v>1596</v>
      </c>
      <c r="D599" s="3" t="s">
        <v>1597</v>
      </c>
      <c r="E599" s="3" t="s">
        <v>120</v>
      </c>
      <c r="F599" s="3">
        <v>39.98</v>
      </c>
      <c r="G599" s="3" t="s">
        <v>121</v>
      </c>
      <c r="H599" s="3"/>
      <c r="I599" s="3" t="s">
        <v>122</v>
      </c>
      <c r="J599" s="3">
        <v>42</v>
      </c>
      <c r="K599" s="3">
        <v>42</v>
      </c>
      <c r="L599" s="3">
        <v>0</v>
      </c>
      <c r="M599" s="3">
        <v>0</v>
      </c>
      <c r="N599" s="3">
        <v>42</v>
      </c>
      <c r="O599" s="3">
        <v>0.28</v>
      </c>
      <c r="P599" s="3">
        <v>0</v>
      </c>
      <c r="Q599" s="3">
        <v>0</v>
      </c>
      <c r="R599" s="3">
        <v>0</v>
      </c>
    </row>
    <row r="600" spans="1:18">
      <c r="A600" s="3" t="s">
        <v>1598</v>
      </c>
      <c r="B600" s="3" t="s">
        <v>1599</v>
      </c>
      <c r="C600" s="3" t="s">
        <v>1599</v>
      </c>
      <c r="D600" s="3" t="s">
        <v>1600</v>
      </c>
      <c r="E600" s="3" t="s">
        <v>120</v>
      </c>
      <c r="F600" s="3">
        <v>39.98</v>
      </c>
      <c r="G600" s="3" t="s">
        <v>121</v>
      </c>
      <c r="H600" s="3"/>
      <c r="I600" s="3" t="s">
        <v>122</v>
      </c>
      <c r="J600" s="3">
        <v>38</v>
      </c>
      <c r="K600" s="3">
        <v>38</v>
      </c>
      <c r="L600" s="3">
        <v>0</v>
      </c>
      <c r="M600" s="3">
        <v>0</v>
      </c>
      <c r="N600" s="3">
        <v>38</v>
      </c>
      <c r="O600" s="3">
        <v>0.28</v>
      </c>
      <c r="P600" s="3">
        <v>0</v>
      </c>
      <c r="Q600" s="3">
        <v>0</v>
      </c>
      <c r="R600" s="3">
        <v>0</v>
      </c>
    </row>
    <row r="601" spans="1:18">
      <c r="A601" s="3" t="s">
        <v>1601</v>
      </c>
      <c r="B601" s="3" t="s">
        <v>1602</v>
      </c>
      <c r="C601" s="3" t="s">
        <v>1602</v>
      </c>
      <c r="D601" s="3" t="s">
        <v>1603</v>
      </c>
      <c r="E601" s="3" t="s">
        <v>120</v>
      </c>
      <c r="F601" s="3">
        <v>39.98</v>
      </c>
      <c r="G601" s="3" t="s">
        <v>121</v>
      </c>
      <c r="H601" s="3"/>
      <c r="I601" s="3" t="s">
        <v>122</v>
      </c>
      <c r="J601" s="3">
        <v>1</v>
      </c>
      <c r="K601" s="3">
        <v>1</v>
      </c>
      <c r="L601" s="3">
        <v>0</v>
      </c>
      <c r="M601" s="3">
        <v>0</v>
      </c>
      <c r="N601" s="3">
        <v>1</v>
      </c>
      <c r="O601" s="3">
        <v>0.13</v>
      </c>
      <c r="P601" s="3">
        <v>0</v>
      </c>
      <c r="Q601" s="3">
        <v>0</v>
      </c>
      <c r="R601" s="3">
        <v>0</v>
      </c>
    </row>
    <row r="602" spans="1:18">
      <c r="A602" s="3" t="s">
        <v>1604</v>
      </c>
      <c r="B602" s="3" t="s">
        <v>1605</v>
      </c>
      <c r="C602" s="3" t="s">
        <v>1605</v>
      </c>
      <c r="D602" s="3" t="s">
        <v>1606</v>
      </c>
      <c r="E602" s="3" t="s">
        <v>120</v>
      </c>
      <c r="F602" s="3">
        <v>39.98</v>
      </c>
      <c r="G602" s="3" t="s">
        <v>121</v>
      </c>
      <c r="H602" s="3"/>
      <c r="I602" s="3" t="s">
        <v>122</v>
      </c>
      <c r="J602" s="3">
        <v>0</v>
      </c>
      <c r="K602" s="3">
        <v>0</v>
      </c>
      <c r="L602" s="3">
        <v>0</v>
      </c>
      <c r="M602" s="3">
        <v>0</v>
      </c>
      <c r="N602" s="3">
        <v>0</v>
      </c>
      <c r="O602" s="3">
        <v>0.28</v>
      </c>
      <c r="P602" s="3">
        <v>0</v>
      </c>
      <c r="Q602" s="3">
        <v>0</v>
      </c>
      <c r="R602" s="3">
        <v>0</v>
      </c>
    </row>
    <row r="603" spans="1:18">
      <c r="A603" s="3" t="s">
        <v>1607</v>
      </c>
      <c r="B603" s="3" t="s">
        <v>1608</v>
      </c>
      <c r="C603" s="3" t="s">
        <v>1608</v>
      </c>
      <c r="D603" s="3" t="s">
        <v>1609</v>
      </c>
      <c r="E603" s="3" t="s">
        <v>120</v>
      </c>
      <c r="F603" s="3">
        <v>39.98</v>
      </c>
      <c r="G603" s="3" t="s">
        <v>121</v>
      </c>
      <c r="H603" s="3"/>
      <c r="I603" s="3" t="s">
        <v>122</v>
      </c>
      <c r="J603" s="3">
        <v>0</v>
      </c>
      <c r="K603" s="3">
        <v>0</v>
      </c>
      <c r="L603" s="3">
        <v>0</v>
      </c>
      <c r="M603" s="3">
        <v>0</v>
      </c>
      <c r="N603" s="3">
        <v>0</v>
      </c>
      <c r="O603" s="3">
        <v>0.24</v>
      </c>
      <c r="P603" s="3">
        <v>0</v>
      </c>
      <c r="Q603" s="3">
        <v>0</v>
      </c>
      <c r="R603" s="3">
        <v>0</v>
      </c>
    </row>
    <row r="604" spans="1:18">
      <c r="A604" s="3" t="s">
        <v>1610</v>
      </c>
      <c r="B604" s="3" t="s">
        <v>1611</v>
      </c>
      <c r="C604" s="3" t="s">
        <v>1611</v>
      </c>
      <c r="D604" s="3" t="s">
        <v>1612</v>
      </c>
      <c r="E604" s="3" t="s">
        <v>120</v>
      </c>
      <c r="F604" s="3">
        <v>17.98</v>
      </c>
      <c r="G604" s="3" t="s">
        <v>121</v>
      </c>
      <c r="H604" s="3"/>
      <c r="I604" s="3" t="s">
        <v>122</v>
      </c>
      <c r="J604" s="3">
        <v>17</v>
      </c>
      <c r="K604" s="3">
        <v>17</v>
      </c>
      <c r="L604" s="3">
        <v>0</v>
      </c>
      <c r="M604" s="3">
        <v>0</v>
      </c>
      <c r="N604" s="3">
        <v>17</v>
      </c>
      <c r="O604" s="3">
        <v>0.28</v>
      </c>
      <c r="P604" s="3">
        <v>0</v>
      </c>
      <c r="Q604" s="3">
        <v>0</v>
      </c>
      <c r="R604" s="3">
        <v>0</v>
      </c>
    </row>
    <row r="605" spans="1:18">
      <c r="A605" s="3" t="s">
        <v>1613</v>
      </c>
      <c r="B605" s="3" t="s">
        <v>1614</v>
      </c>
      <c r="C605" s="3" t="s">
        <v>1614</v>
      </c>
      <c r="D605" s="3" t="s">
        <v>1615</v>
      </c>
      <c r="E605" s="3" t="s">
        <v>120</v>
      </c>
      <c r="F605" s="3">
        <v>39.98</v>
      </c>
      <c r="G605" s="3" t="s">
        <v>121</v>
      </c>
      <c r="H605" s="3"/>
      <c r="I605" s="3" t="s">
        <v>122</v>
      </c>
      <c r="J605" s="3">
        <v>20</v>
      </c>
      <c r="K605" s="3">
        <v>20</v>
      </c>
      <c r="L605" s="3">
        <v>0</v>
      </c>
      <c r="M605" s="3">
        <v>0</v>
      </c>
      <c r="N605" s="3">
        <v>20</v>
      </c>
      <c r="O605" s="3">
        <v>0.08</v>
      </c>
      <c r="P605" s="3">
        <v>0</v>
      </c>
      <c r="Q605" s="3">
        <v>0</v>
      </c>
      <c r="R605" s="3">
        <v>0</v>
      </c>
    </row>
    <row r="606" spans="1:18">
      <c r="A606" s="3" t="s">
        <v>1616</v>
      </c>
      <c r="B606" s="3" t="s">
        <v>1617</v>
      </c>
      <c r="C606" s="3" t="s">
        <v>1617</v>
      </c>
      <c r="D606" s="3" t="s">
        <v>1618</v>
      </c>
      <c r="E606" s="3" t="s">
        <v>120</v>
      </c>
      <c r="F606" s="3">
        <v>39.98</v>
      </c>
      <c r="G606" s="3" t="s">
        <v>121</v>
      </c>
      <c r="H606" s="3"/>
      <c r="I606" s="3" t="s">
        <v>122</v>
      </c>
      <c r="J606" s="3">
        <v>20</v>
      </c>
      <c r="K606" s="3">
        <v>20</v>
      </c>
      <c r="L606" s="3">
        <v>0</v>
      </c>
      <c r="M606" s="3">
        <v>0</v>
      </c>
      <c r="N606" s="3">
        <v>20</v>
      </c>
      <c r="O606" s="3">
        <v>0.28</v>
      </c>
      <c r="P606" s="3">
        <v>0</v>
      </c>
      <c r="Q606" s="3">
        <v>0</v>
      </c>
      <c r="R606" s="3">
        <v>0</v>
      </c>
    </row>
    <row r="607" spans="1:18">
      <c r="A607" s="3" t="s">
        <v>1619</v>
      </c>
      <c r="B607" s="3" t="s">
        <v>1620</v>
      </c>
      <c r="C607" s="3" t="s">
        <v>1620</v>
      </c>
      <c r="D607" s="3" t="s">
        <v>1621</v>
      </c>
      <c r="E607" s="3" t="s">
        <v>120</v>
      </c>
      <c r="F607" s="3">
        <v>39.98</v>
      </c>
      <c r="G607" s="3" t="s">
        <v>121</v>
      </c>
      <c r="H607" s="3"/>
      <c r="I607" s="3" t="s">
        <v>122</v>
      </c>
      <c r="J607" s="3">
        <v>33</v>
      </c>
      <c r="K607" s="3">
        <v>33</v>
      </c>
      <c r="L607" s="3">
        <v>0</v>
      </c>
      <c r="M607" s="3">
        <v>0</v>
      </c>
      <c r="N607" s="3">
        <v>33</v>
      </c>
      <c r="O607" s="3">
        <v>0.13</v>
      </c>
      <c r="P607" s="3">
        <v>0</v>
      </c>
      <c r="Q607" s="3">
        <v>0</v>
      </c>
      <c r="R607" s="3">
        <v>0</v>
      </c>
    </row>
    <row r="608" spans="1:18">
      <c r="A608" s="3" t="s">
        <v>1622</v>
      </c>
      <c r="B608" s="3" t="s">
        <v>1623</v>
      </c>
      <c r="C608" s="3" t="s">
        <v>1623</v>
      </c>
      <c r="D608" s="3" t="s">
        <v>1624</v>
      </c>
      <c r="E608" s="3" t="s">
        <v>120</v>
      </c>
      <c r="F608" s="3">
        <v>39.98</v>
      </c>
      <c r="G608" s="3" t="s">
        <v>121</v>
      </c>
      <c r="H608" s="3"/>
      <c r="I608" s="3" t="s">
        <v>122</v>
      </c>
      <c r="J608" s="3">
        <v>0</v>
      </c>
      <c r="K608" s="3">
        <v>0</v>
      </c>
      <c r="L608" s="3">
        <v>0</v>
      </c>
      <c r="M608" s="3">
        <v>0</v>
      </c>
      <c r="N608" s="3">
        <v>0</v>
      </c>
      <c r="O608" s="3">
        <v>0.19</v>
      </c>
      <c r="P608" s="3">
        <v>0</v>
      </c>
      <c r="Q608" s="3">
        <v>0</v>
      </c>
      <c r="R608" s="3">
        <v>0</v>
      </c>
    </row>
    <row r="609" spans="1:18">
      <c r="A609" s="3" t="s">
        <v>1625</v>
      </c>
      <c r="B609" s="3" t="s">
        <v>1626</v>
      </c>
      <c r="C609" s="3" t="s">
        <v>1626</v>
      </c>
      <c r="D609" s="3" t="s">
        <v>1627</v>
      </c>
      <c r="E609" s="3" t="s">
        <v>120</v>
      </c>
      <c r="F609" s="3">
        <v>39.98</v>
      </c>
      <c r="G609" s="3" t="s">
        <v>121</v>
      </c>
      <c r="H609" s="3"/>
      <c r="I609" s="3" t="s">
        <v>122</v>
      </c>
      <c r="J609" s="3">
        <v>22</v>
      </c>
      <c r="K609" s="3">
        <v>22</v>
      </c>
      <c r="L609" s="3">
        <v>0</v>
      </c>
      <c r="M609" s="3">
        <v>0</v>
      </c>
      <c r="N609" s="3">
        <v>22</v>
      </c>
      <c r="O609" s="3">
        <v>0.12</v>
      </c>
      <c r="P609" s="3">
        <v>0</v>
      </c>
      <c r="Q609" s="3">
        <v>0</v>
      </c>
      <c r="R609" s="3">
        <v>0</v>
      </c>
    </row>
    <row r="610" spans="1:18">
      <c r="A610" s="3" t="s">
        <v>1628</v>
      </c>
      <c r="B610" s="3" t="s">
        <v>1629</v>
      </c>
      <c r="C610" s="3" t="s">
        <v>1629</v>
      </c>
      <c r="D610" s="3" t="s">
        <v>1630</v>
      </c>
      <c r="E610" s="3" t="s">
        <v>120</v>
      </c>
      <c r="F610" s="3">
        <v>39.98</v>
      </c>
      <c r="G610" s="3" t="s">
        <v>121</v>
      </c>
      <c r="H610" s="3"/>
      <c r="I610" s="3" t="s">
        <v>122</v>
      </c>
      <c r="J610" s="3">
        <v>29</v>
      </c>
      <c r="K610" s="3">
        <v>29</v>
      </c>
      <c r="L610" s="3">
        <v>0</v>
      </c>
      <c r="M610" s="3">
        <v>0</v>
      </c>
      <c r="N610" s="3">
        <v>29</v>
      </c>
      <c r="O610" s="3">
        <v>0.28</v>
      </c>
      <c r="P610" s="3">
        <v>0</v>
      </c>
      <c r="Q610" s="3">
        <v>0</v>
      </c>
      <c r="R610" s="3">
        <v>0</v>
      </c>
    </row>
    <row r="611" spans="1:18">
      <c r="A611" s="3" t="s">
        <v>1631</v>
      </c>
      <c r="B611" s="3" t="s">
        <v>1632</v>
      </c>
      <c r="C611" s="3" t="s">
        <v>1632</v>
      </c>
      <c r="D611" s="3" t="s">
        <v>1633</v>
      </c>
      <c r="E611" s="3" t="s">
        <v>120</v>
      </c>
      <c r="F611" s="3">
        <v>39.98</v>
      </c>
      <c r="G611" s="3" t="s">
        <v>121</v>
      </c>
      <c r="H611" s="3"/>
      <c r="I611" s="3" t="s">
        <v>122</v>
      </c>
      <c r="J611" s="3">
        <v>19</v>
      </c>
      <c r="K611" s="3">
        <v>17</v>
      </c>
      <c r="L611" s="3">
        <v>0</v>
      </c>
      <c r="M611" s="3">
        <v>2</v>
      </c>
      <c r="N611" s="3">
        <v>19</v>
      </c>
      <c r="O611" s="3">
        <v>0.28</v>
      </c>
      <c r="P611" s="3">
        <v>0</v>
      </c>
      <c r="Q611" s="3">
        <v>0</v>
      </c>
      <c r="R611" s="3">
        <v>0</v>
      </c>
    </row>
    <row r="612" spans="1:18">
      <c r="A612" s="3" t="s">
        <v>1634</v>
      </c>
      <c r="B612" s="3" t="s">
        <v>1635</v>
      </c>
      <c r="C612" s="3" t="s">
        <v>1635</v>
      </c>
      <c r="D612" s="3" t="s">
        <v>1636</v>
      </c>
      <c r="E612" s="3" t="s">
        <v>120</v>
      </c>
      <c r="F612" s="3">
        <v>39.98</v>
      </c>
      <c r="G612" s="3" t="s">
        <v>121</v>
      </c>
      <c r="H612" s="3"/>
      <c r="I612" s="3" t="s">
        <v>122</v>
      </c>
      <c r="J612" s="3">
        <v>38</v>
      </c>
      <c r="K612" s="3">
        <v>38</v>
      </c>
      <c r="L612" s="3">
        <v>0</v>
      </c>
      <c r="M612" s="3">
        <v>0</v>
      </c>
      <c r="N612" s="3">
        <v>38</v>
      </c>
      <c r="O612" s="3">
        <v>0.28</v>
      </c>
      <c r="P612" s="3">
        <v>0</v>
      </c>
      <c r="Q612" s="3">
        <v>0</v>
      </c>
      <c r="R612" s="3">
        <v>0</v>
      </c>
    </row>
    <row r="613" spans="1:18">
      <c r="A613" s="3" t="s">
        <v>1637</v>
      </c>
      <c r="B613" s="3" t="s">
        <v>1638</v>
      </c>
      <c r="C613" s="3" t="s">
        <v>1638</v>
      </c>
      <c r="D613" s="3" t="s">
        <v>1639</v>
      </c>
      <c r="E613" s="3" t="s">
        <v>120</v>
      </c>
      <c r="F613" s="3">
        <v>39.98</v>
      </c>
      <c r="G613" s="3" t="s">
        <v>121</v>
      </c>
      <c r="H613" s="3"/>
      <c r="I613" s="3" t="s">
        <v>122</v>
      </c>
      <c r="J613" s="3">
        <v>5</v>
      </c>
      <c r="K613" s="3">
        <v>5</v>
      </c>
      <c r="L613" s="3">
        <v>0</v>
      </c>
      <c r="M613" s="3">
        <v>0</v>
      </c>
      <c r="N613" s="3">
        <v>5</v>
      </c>
      <c r="O613" s="3">
        <v>0.12</v>
      </c>
      <c r="P613" s="3">
        <v>0</v>
      </c>
      <c r="Q613" s="3">
        <v>0</v>
      </c>
      <c r="R613" s="3">
        <v>0</v>
      </c>
    </row>
    <row r="614" spans="1:18">
      <c r="A614" s="3" t="s">
        <v>1640</v>
      </c>
      <c r="B614" s="3" t="s">
        <v>1641</v>
      </c>
      <c r="C614" s="3" t="s">
        <v>1641</v>
      </c>
      <c r="D614" s="3" t="s">
        <v>1642</v>
      </c>
      <c r="E614" s="3" t="s">
        <v>120</v>
      </c>
      <c r="F614" s="3">
        <v>39.98</v>
      </c>
      <c r="G614" s="3" t="s">
        <v>121</v>
      </c>
      <c r="H614" s="3"/>
      <c r="I614" s="3" t="s">
        <v>122</v>
      </c>
      <c r="J614" s="3">
        <v>29</v>
      </c>
      <c r="K614" s="3">
        <v>29</v>
      </c>
      <c r="L614" s="3">
        <v>0</v>
      </c>
      <c r="M614" s="3">
        <v>0</v>
      </c>
      <c r="N614" s="3">
        <v>29</v>
      </c>
      <c r="O614" s="3">
        <v>0.28</v>
      </c>
      <c r="P614" s="3">
        <v>0</v>
      </c>
      <c r="Q614" s="3">
        <v>0</v>
      </c>
      <c r="R614" s="3">
        <v>0</v>
      </c>
    </row>
    <row r="615" spans="1:18">
      <c r="A615" s="3" t="s">
        <v>1643</v>
      </c>
      <c r="B615" s="3" t="s">
        <v>1644</v>
      </c>
      <c r="C615" s="3" t="s">
        <v>1644</v>
      </c>
      <c r="D615" s="3" t="s">
        <v>1645</v>
      </c>
      <c r="E615" s="3" t="s">
        <v>120</v>
      </c>
      <c r="F615" s="3">
        <v>39.98</v>
      </c>
      <c r="G615" s="3" t="s">
        <v>121</v>
      </c>
      <c r="H615" s="3"/>
      <c r="I615" s="3" t="s">
        <v>122</v>
      </c>
      <c r="J615" s="3">
        <v>0</v>
      </c>
      <c r="K615" s="3">
        <v>0</v>
      </c>
      <c r="L615" s="3">
        <v>0</v>
      </c>
      <c r="M615" s="3">
        <v>0</v>
      </c>
      <c r="N615" s="3">
        <v>0</v>
      </c>
      <c r="O615" s="3">
        <v>0.28</v>
      </c>
      <c r="P615" s="3">
        <v>0</v>
      </c>
      <c r="Q615" s="3">
        <v>0</v>
      </c>
      <c r="R615" s="3">
        <v>0</v>
      </c>
    </row>
    <row r="616" spans="1:18">
      <c r="A616" s="3" t="s">
        <v>1646</v>
      </c>
      <c r="B616" s="3" t="s">
        <v>1647</v>
      </c>
      <c r="C616" s="3" t="s">
        <v>1647</v>
      </c>
      <c r="D616" s="3"/>
      <c r="E616" s="3" t="s">
        <v>20</v>
      </c>
      <c r="F616" s="3"/>
      <c r="G616" s="3"/>
      <c r="H616" s="3"/>
      <c r="I616" s="3"/>
      <c r="J616" s="3">
        <v>0</v>
      </c>
      <c r="K616" s="3">
        <v>0</v>
      </c>
      <c r="L616" s="3">
        <v>0</v>
      </c>
      <c r="M616" s="3">
        <v>0</v>
      </c>
      <c r="N616" s="3">
        <v>0</v>
      </c>
      <c r="O616" s="3"/>
      <c r="P616" s="3">
        <v>0</v>
      </c>
      <c r="Q616" s="3">
        <v>0</v>
      </c>
      <c r="R616" s="3">
        <v>0</v>
      </c>
    </row>
    <row r="617" spans="1:18">
      <c r="A617" s="3" t="s">
        <v>1648</v>
      </c>
      <c r="B617" s="3" t="s">
        <v>1649</v>
      </c>
      <c r="C617" s="3" t="s">
        <v>1649</v>
      </c>
      <c r="D617" s="3" t="s">
        <v>1650</v>
      </c>
      <c r="E617" s="3" t="s">
        <v>120</v>
      </c>
      <c r="F617" s="3">
        <v>39.98</v>
      </c>
      <c r="G617" s="3" t="s">
        <v>121</v>
      </c>
      <c r="H617" s="3"/>
      <c r="I617" s="3" t="s">
        <v>122</v>
      </c>
      <c r="J617" s="3">
        <v>15</v>
      </c>
      <c r="K617" s="3">
        <v>14</v>
      </c>
      <c r="L617" s="3">
        <v>0</v>
      </c>
      <c r="M617" s="3">
        <v>1</v>
      </c>
      <c r="N617" s="3">
        <v>15</v>
      </c>
      <c r="O617" s="3">
        <v>0.08</v>
      </c>
      <c r="P617" s="3">
        <v>0</v>
      </c>
      <c r="Q617" s="3">
        <v>0</v>
      </c>
      <c r="R617" s="3">
        <v>0</v>
      </c>
    </row>
    <row r="618" spans="1:18">
      <c r="A618" s="3" t="s">
        <v>1651</v>
      </c>
      <c r="B618" s="3" t="s">
        <v>1652</v>
      </c>
      <c r="C618" s="3" t="s">
        <v>1652</v>
      </c>
      <c r="D618" s="3" t="s">
        <v>1653</v>
      </c>
      <c r="E618" s="3" t="s">
        <v>120</v>
      </c>
      <c r="F618" s="3">
        <v>39.98</v>
      </c>
      <c r="G618" s="3" t="s">
        <v>121</v>
      </c>
      <c r="H618" s="3"/>
      <c r="I618" s="3" t="s">
        <v>122</v>
      </c>
      <c r="J618" s="3">
        <v>22</v>
      </c>
      <c r="K618" s="3">
        <v>22</v>
      </c>
      <c r="L618" s="3">
        <v>0</v>
      </c>
      <c r="M618" s="3">
        <v>0</v>
      </c>
      <c r="N618" s="3">
        <v>22</v>
      </c>
      <c r="O618" s="3">
        <v>0.1</v>
      </c>
      <c r="P618" s="3">
        <v>0</v>
      </c>
      <c r="Q618" s="3">
        <v>0</v>
      </c>
      <c r="R618" s="3">
        <v>0</v>
      </c>
    </row>
    <row r="619" spans="1:18">
      <c r="A619" s="3" t="s">
        <v>1654</v>
      </c>
      <c r="B619" s="3" t="s">
        <v>1655</v>
      </c>
      <c r="C619" s="3" t="s">
        <v>1655</v>
      </c>
      <c r="D619" s="3"/>
      <c r="E619" s="3" t="s">
        <v>20</v>
      </c>
      <c r="F619" s="3"/>
      <c r="G619" s="3"/>
      <c r="H619" s="3"/>
      <c r="I619" s="3"/>
      <c r="J619" s="3">
        <v>0</v>
      </c>
      <c r="K619" s="3">
        <v>0</v>
      </c>
      <c r="L619" s="3">
        <v>0</v>
      </c>
      <c r="M619" s="3">
        <v>0</v>
      </c>
      <c r="N619" s="3">
        <v>0</v>
      </c>
      <c r="O619" s="3"/>
      <c r="P619" s="3">
        <v>0</v>
      </c>
      <c r="Q619" s="3">
        <v>0</v>
      </c>
      <c r="R619" s="3">
        <v>0</v>
      </c>
    </row>
    <row r="620" spans="1:18">
      <c r="A620" s="3" t="s">
        <v>1656</v>
      </c>
      <c r="B620" s="3" t="s">
        <v>1657</v>
      </c>
      <c r="C620" s="3" t="s">
        <v>1657</v>
      </c>
      <c r="D620" s="3" t="s">
        <v>1658</v>
      </c>
      <c r="E620" s="3" t="s">
        <v>120</v>
      </c>
      <c r="F620" s="3">
        <v>39.98</v>
      </c>
      <c r="G620" s="3" t="s">
        <v>121</v>
      </c>
      <c r="H620" s="3"/>
      <c r="I620" s="3" t="s">
        <v>122</v>
      </c>
      <c r="J620" s="3">
        <v>9</v>
      </c>
      <c r="K620" s="3">
        <v>9</v>
      </c>
      <c r="L620" s="3">
        <v>0</v>
      </c>
      <c r="M620" s="3">
        <v>0</v>
      </c>
      <c r="N620" s="3">
        <v>9</v>
      </c>
      <c r="O620" s="3">
        <v>0.15</v>
      </c>
      <c r="P620" s="3">
        <v>0</v>
      </c>
      <c r="Q620" s="3">
        <v>0</v>
      </c>
      <c r="R620" s="3">
        <v>0</v>
      </c>
    </row>
    <row r="621" spans="1:18">
      <c r="A621" s="3" t="s">
        <v>1659</v>
      </c>
      <c r="B621" s="3" t="s">
        <v>1660</v>
      </c>
      <c r="C621" s="3" t="s">
        <v>1660</v>
      </c>
      <c r="D621" s="3"/>
      <c r="E621" s="3" t="s">
        <v>20</v>
      </c>
      <c r="F621" s="3"/>
      <c r="G621" s="3"/>
      <c r="H621" s="3"/>
      <c r="I621" s="3"/>
      <c r="J621" s="3">
        <v>0</v>
      </c>
      <c r="K621" s="3">
        <v>0</v>
      </c>
      <c r="L621" s="3">
        <v>0</v>
      </c>
      <c r="M621" s="3">
        <v>0</v>
      </c>
      <c r="N621" s="3">
        <v>0</v>
      </c>
      <c r="O621" s="3"/>
      <c r="P621" s="3">
        <v>0</v>
      </c>
      <c r="Q621" s="3">
        <v>0</v>
      </c>
      <c r="R621" s="3">
        <v>0</v>
      </c>
    </row>
    <row r="622" spans="1:18">
      <c r="A622" s="3" t="s">
        <v>1661</v>
      </c>
      <c r="B622" s="3" t="s">
        <v>1662</v>
      </c>
      <c r="C622" s="3" t="s">
        <v>1662</v>
      </c>
      <c r="D622" s="3" t="s">
        <v>1663</v>
      </c>
      <c r="E622" s="3" t="s">
        <v>120</v>
      </c>
      <c r="F622" s="3">
        <v>39.98</v>
      </c>
      <c r="G622" s="3" t="s">
        <v>121</v>
      </c>
      <c r="H622" s="3"/>
      <c r="I622" s="3" t="s">
        <v>122</v>
      </c>
      <c r="J622" s="3">
        <v>25</v>
      </c>
      <c r="K622" s="3">
        <v>24</v>
      </c>
      <c r="L622" s="3">
        <v>0</v>
      </c>
      <c r="M622" s="3">
        <v>1</v>
      </c>
      <c r="N622" s="3">
        <v>25</v>
      </c>
      <c r="O622" s="3">
        <v>0.1</v>
      </c>
      <c r="P622" s="3">
        <v>0</v>
      </c>
      <c r="Q622" s="3">
        <v>0</v>
      </c>
      <c r="R622" s="3">
        <v>0</v>
      </c>
    </row>
    <row r="623" spans="1:18">
      <c r="A623" s="3" t="s">
        <v>1664</v>
      </c>
      <c r="B623" s="3" t="s">
        <v>1665</v>
      </c>
      <c r="C623" s="3" t="s">
        <v>1665</v>
      </c>
      <c r="D623" s="3" t="s">
        <v>1666</v>
      </c>
      <c r="E623" s="3" t="s">
        <v>120</v>
      </c>
      <c r="F623" s="3">
        <v>39.98</v>
      </c>
      <c r="G623" s="3" t="s">
        <v>121</v>
      </c>
      <c r="H623" s="3"/>
      <c r="I623" s="3" t="s">
        <v>122</v>
      </c>
      <c r="J623" s="3">
        <v>30</v>
      </c>
      <c r="K623" s="3">
        <v>30</v>
      </c>
      <c r="L623" s="3">
        <v>0</v>
      </c>
      <c r="M623" s="3">
        <v>0</v>
      </c>
      <c r="N623" s="3">
        <v>30</v>
      </c>
      <c r="O623" s="3">
        <v>0.12</v>
      </c>
      <c r="P623" s="3">
        <v>0</v>
      </c>
      <c r="Q623" s="3">
        <v>0</v>
      </c>
      <c r="R623" s="3">
        <v>0</v>
      </c>
    </row>
    <row r="624" spans="1:18">
      <c r="A624" s="3" t="s">
        <v>1667</v>
      </c>
      <c r="B624" s="3" t="s">
        <v>1668</v>
      </c>
      <c r="C624" s="3" t="s">
        <v>1668</v>
      </c>
      <c r="D624" s="3"/>
      <c r="E624" s="3" t="s">
        <v>20</v>
      </c>
      <c r="F624" s="3"/>
      <c r="G624" s="3"/>
      <c r="H624" s="3"/>
      <c r="I624" s="3"/>
      <c r="J624" s="3">
        <v>0</v>
      </c>
      <c r="K624" s="3">
        <v>0</v>
      </c>
      <c r="L624" s="3">
        <v>0</v>
      </c>
      <c r="M624" s="3">
        <v>0</v>
      </c>
      <c r="N624" s="3">
        <v>0</v>
      </c>
      <c r="O624" s="3"/>
      <c r="P624" s="3">
        <v>0</v>
      </c>
      <c r="Q624" s="3">
        <v>0</v>
      </c>
      <c r="R624" s="3">
        <v>0</v>
      </c>
    </row>
    <row r="625" spans="1:18">
      <c r="A625" s="3" t="s">
        <v>1669</v>
      </c>
      <c r="B625" s="3" t="s">
        <v>1670</v>
      </c>
      <c r="C625" s="3" t="s">
        <v>1670</v>
      </c>
      <c r="D625" s="3"/>
      <c r="E625" s="3" t="s">
        <v>20</v>
      </c>
      <c r="F625" s="3"/>
      <c r="G625" s="3"/>
      <c r="H625" s="3"/>
      <c r="I625" s="3"/>
      <c r="J625" s="3">
        <v>0</v>
      </c>
      <c r="K625" s="3">
        <v>0</v>
      </c>
      <c r="L625" s="3">
        <v>0</v>
      </c>
      <c r="M625" s="3">
        <v>0</v>
      </c>
      <c r="N625" s="3">
        <v>0</v>
      </c>
      <c r="O625" s="3"/>
      <c r="P625" s="3">
        <v>0</v>
      </c>
      <c r="Q625" s="3">
        <v>0</v>
      </c>
      <c r="R625" s="3">
        <v>0</v>
      </c>
    </row>
    <row r="626" spans="1:18">
      <c r="A626" s="3" t="s">
        <v>1671</v>
      </c>
      <c r="B626" s="3" t="s">
        <v>1672</v>
      </c>
      <c r="C626" s="3" t="s">
        <v>1672</v>
      </c>
      <c r="D626" s="3" t="s">
        <v>1673</v>
      </c>
      <c r="E626" s="3" t="s">
        <v>120</v>
      </c>
      <c r="F626" s="3">
        <v>22</v>
      </c>
      <c r="G626" s="3" t="s">
        <v>121</v>
      </c>
      <c r="H626" s="3"/>
      <c r="I626" s="3" t="s">
        <v>122</v>
      </c>
      <c r="J626" s="3">
        <v>0</v>
      </c>
      <c r="K626" s="3">
        <v>0</v>
      </c>
      <c r="L626" s="3">
        <v>0</v>
      </c>
      <c r="M626" s="3">
        <v>0</v>
      </c>
      <c r="N626" s="3">
        <v>0</v>
      </c>
      <c r="O626" s="3">
        <v>0.11</v>
      </c>
      <c r="P626" s="3">
        <v>0</v>
      </c>
      <c r="Q626" s="3">
        <v>0</v>
      </c>
      <c r="R626" s="3">
        <v>0</v>
      </c>
    </row>
    <row r="627" spans="1:18">
      <c r="A627" s="3" t="s">
        <v>1674</v>
      </c>
      <c r="B627" s="3" t="s">
        <v>1675</v>
      </c>
      <c r="C627" s="3" t="s">
        <v>1675</v>
      </c>
      <c r="D627" s="3" t="s">
        <v>1676</v>
      </c>
      <c r="E627" s="3" t="s">
        <v>120</v>
      </c>
      <c r="F627" s="3">
        <v>17.98</v>
      </c>
      <c r="G627" s="3" t="s">
        <v>121</v>
      </c>
      <c r="H627" s="3"/>
      <c r="I627" s="3" t="s">
        <v>122</v>
      </c>
      <c r="J627" s="3">
        <v>47</v>
      </c>
      <c r="K627" s="3">
        <v>47</v>
      </c>
      <c r="L627" s="3">
        <v>0</v>
      </c>
      <c r="M627" s="3">
        <v>0</v>
      </c>
      <c r="N627" s="3">
        <v>47</v>
      </c>
      <c r="O627" s="3">
        <v>0.09</v>
      </c>
      <c r="P627" s="3">
        <v>0</v>
      </c>
      <c r="Q627" s="3">
        <v>0</v>
      </c>
      <c r="R627" s="3">
        <v>0</v>
      </c>
    </row>
    <row r="628" spans="1:18">
      <c r="A628" s="3" t="s">
        <v>1677</v>
      </c>
      <c r="B628" s="3" t="s">
        <v>1678</v>
      </c>
      <c r="C628" s="3" t="s">
        <v>1678</v>
      </c>
      <c r="D628" s="3"/>
      <c r="E628" s="3" t="s">
        <v>20</v>
      </c>
      <c r="F628" s="3"/>
      <c r="G628" s="3"/>
      <c r="H628" s="3"/>
      <c r="I628" s="3"/>
      <c r="J628" s="3">
        <v>19</v>
      </c>
      <c r="K628" s="3">
        <v>19</v>
      </c>
      <c r="L628" s="3">
        <v>0</v>
      </c>
      <c r="M628" s="3">
        <v>0</v>
      </c>
      <c r="N628" s="3">
        <v>19</v>
      </c>
      <c r="O628" s="3"/>
      <c r="P628" s="3">
        <v>0</v>
      </c>
      <c r="Q628" s="3">
        <v>0</v>
      </c>
      <c r="R628" s="3">
        <v>0</v>
      </c>
    </row>
    <row r="629" spans="1:18">
      <c r="A629" s="3" t="s">
        <v>1679</v>
      </c>
      <c r="B629" s="3" t="s">
        <v>1680</v>
      </c>
      <c r="C629" s="3" t="s">
        <v>1680</v>
      </c>
      <c r="D629" s="3" t="s">
        <v>1681</v>
      </c>
      <c r="E629" s="3" t="s">
        <v>120</v>
      </c>
      <c r="F629" s="3">
        <v>22.98</v>
      </c>
      <c r="G629" s="3" t="s">
        <v>121</v>
      </c>
      <c r="H629" s="3"/>
      <c r="I629" s="3" t="s">
        <v>122</v>
      </c>
      <c r="J629" s="3">
        <v>0</v>
      </c>
      <c r="K629" s="3">
        <v>0</v>
      </c>
      <c r="L629" s="3">
        <v>0</v>
      </c>
      <c r="M629" s="3">
        <v>0</v>
      </c>
      <c r="N629" s="3">
        <v>0</v>
      </c>
      <c r="O629" s="3">
        <v>0.2</v>
      </c>
      <c r="P629" s="3">
        <v>0</v>
      </c>
      <c r="Q629" s="3">
        <v>0</v>
      </c>
      <c r="R629" s="3">
        <v>0</v>
      </c>
    </row>
    <row r="630" spans="1:18">
      <c r="A630" s="3" t="s">
        <v>1682</v>
      </c>
      <c r="B630" s="3" t="s">
        <v>1683</v>
      </c>
      <c r="C630" s="3" t="s">
        <v>1683</v>
      </c>
      <c r="D630" s="3" t="s">
        <v>1684</v>
      </c>
      <c r="E630" s="3" t="s">
        <v>120</v>
      </c>
      <c r="F630" s="3">
        <v>18.98</v>
      </c>
      <c r="G630" s="3" t="s">
        <v>121</v>
      </c>
      <c r="H630" s="3"/>
      <c r="I630" s="3" t="s">
        <v>122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0.2</v>
      </c>
      <c r="P630" s="3">
        <v>0</v>
      </c>
      <c r="Q630" s="3">
        <v>0</v>
      </c>
      <c r="R630" s="3">
        <v>0</v>
      </c>
    </row>
    <row r="631" spans="1:18">
      <c r="A631" s="3" t="s">
        <v>1685</v>
      </c>
      <c r="B631" s="3" t="s">
        <v>1686</v>
      </c>
      <c r="C631" s="3" t="s">
        <v>1686</v>
      </c>
      <c r="D631" s="3" t="s">
        <v>1687</v>
      </c>
      <c r="E631" s="3" t="s">
        <v>120</v>
      </c>
      <c r="F631" s="3">
        <v>39.98</v>
      </c>
      <c r="G631" s="3" t="s">
        <v>121</v>
      </c>
      <c r="H631" s="3"/>
      <c r="I631" s="3" t="s">
        <v>122</v>
      </c>
      <c r="J631" s="3">
        <v>2</v>
      </c>
      <c r="K631" s="3">
        <v>2</v>
      </c>
      <c r="L631" s="3">
        <v>0</v>
      </c>
      <c r="M631" s="3">
        <v>0</v>
      </c>
      <c r="N631" s="3">
        <v>2</v>
      </c>
      <c r="O631" s="3">
        <v>0.05</v>
      </c>
      <c r="P631" s="3">
        <v>0</v>
      </c>
      <c r="Q631" s="3">
        <v>0</v>
      </c>
      <c r="R631" s="3">
        <v>0</v>
      </c>
    </row>
    <row r="632" spans="1:18">
      <c r="A632" s="3" t="s">
        <v>1688</v>
      </c>
      <c r="B632" s="3" t="s">
        <v>1689</v>
      </c>
      <c r="C632" s="3" t="s">
        <v>1689</v>
      </c>
      <c r="D632" s="3" t="s">
        <v>1690</v>
      </c>
      <c r="E632" s="3" t="s">
        <v>120</v>
      </c>
      <c r="F632" s="3">
        <v>21.98</v>
      </c>
      <c r="G632" s="3" t="s">
        <v>121</v>
      </c>
      <c r="H632" s="3"/>
      <c r="I632" s="3" t="s">
        <v>122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0.12</v>
      </c>
      <c r="P632" s="3">
        <v>0</v>
      </c>
      <c r="Q632" s="3">
        <v>0</v>
      </c>
      <c r="R632" s="3">
        <v>0</v>
      </c>
    </row>
    <row r="633" spans="1:18">
      <c r="A633" s="3" t="s">
        <v>1691</v>
      </c>
      <c r="B633" s="3" t="s">
        <v>1692</v>
      </c>
      <c r="C633" s="3" t="s">
        <v>1692</v>
      </c>
      <c r="D633" s="3"/>
      <c r="E633" s="3" t="s">
        <v>20</v>
      </c>
      <c r="F633" s="3"/>
      <c r="G633" s="3"/>
      <c r="H633" s="3"/>
      <c r="I633" s="3"/>
      <c r="J633" s="3">
        <v>1</v>
      </c>
      <c r="K633" s="3">
        <v>1</v>
      </c>
      <c r="L633" s="3">
        <v>0</v>
      </c>
      <c r="M633" s="3">
        <v>0</v>
      </c>
      <c r="N633" s="3">
        <v>1</v>
      </c>
      <c r="O633" s="3"/>
      <c r="P633" s="3">
        <v>0</v>
      </c>
      <c r="Q633" s="3">
        <v>0</v>
      </c>
      <c r="R633" s="3">
        <v>0</v>
      </c>
    </row>
    <row r="634" spans="1:18">
      <c r="A634" s="3" t="s">
        <v>1693</v>
      </c>
      <c r="B634" s="3" t="s">
        <v>1694</v>
      </c>
      <c r="C634" s="3" t="s">
        <v>1694</v>
      </c>
      <c r="D634" s="3" t="s">
        <v>1695</v>
      </c>
      <c r="E634" s="3" t="s">
        <v>120</v>
      </c>
      <c r="F634" s="3">
        <v>19.98</v>
      </c>
      <c r="G634" s="3" t="s">
        <v>121</v>
      </c>
      <c r="H634" s="3"/>
      <c r="I634" s="3" t="s">
        <v>122</v>
      </c>
      <c r="J634" s="3">
        <v>0</v>
      </c>
      <c r="K634" s="3">
        <v>0</v>
      </c>
      <c r="L634" s="3">
        <v>0</v>
      </c>
      <c r="M634" s="3">
        <v>0</v>
      </c>
      <c r="N634" s="3">
        <v>0</v>
      </c>
      <c r="O634" s="3">
        <v>0.09</v>
      </c>
      <c r="P634" s="3">
        <v>0</v>
      </c>
      <c r="Q634" s="3">
        <v>0</v>
      </c>
      <c r="R634" s="3">
        <v>0</v>
      </c>
    </row>
    <row r="635" spans="1:18">
      <c r="A635" s="3" t="s">
        <v>1696</v>
      </c>
      <c r="B635" s="3" t="s">
        <v>1697</v>
      </c>
      <c r="C635" s="3" t="s">
        <v>1697</v>
      </c>
      <c r="D635" s="3" t="s">
        <v>1698</v>
      </c>
      <c r="E635" s="3" t="s">
        <v>120</v>
      </c>
      <c r="F635" s="3">
        <v>19.98</v>
      </c>
      <c r="G635" s="3" t="s">
        <v>121</v>
      </c>
      <c r="H635" s="3"/>
      <c r="I635" s="3" t="s">
        <v>122</v>
      </c>
      <c r="J635" s="3">
        <v>11</v>
      </c>
      <c r="K635" s="3">
        <v>11</v>
      </c>
      <c r="L635" s="3">
        <v>0</v>
      </c>
      <c r="M635" s="3">
        <v>0</v>
      </c>
      <c r="N635" s="3">
        <v>11</v>
      </c>
      <c r="O635" s="3">
        <v>0.12</v>
      </c>
      <c r="P635" s="3">
        <v>0</v>
      </c>
      <c r="Q635" s="3">
        <v>0</v>
      </c>
      <c r="R635" s="3">
        <v>0</v>
      </c>
    </row>
    <row r="636" spans="1:18">
      <c r="A636" s="3" t="s">
        <v>1699</v>
      </c>
      <c r="B636" s="3" t="s">
        <v>1700</v>
      </c>
      <c r="C636" s="3" t="s">
        <v>1700</v>
      </c>
      <c r="D636" s="3" t="s">
        <v>1701</v>
      </c>
      <c r="E636" s="3" t="s">
        <v>120</v>
      </c>
      <c r="F636" s="3">
        <v>19.98</v>
      </c>
      <c r="G636" s="3" t="s">
        <v>121</v>
      </c>
      <c r="H636" s="3"/>
      <c r="I636" s="3" t="s">
        <v>122</v>
      </c>
      <c r="J636" s="3">
        <v>12</v>
      </c>
      <c r="K636" s="3">
        <v>12</v>
      </c>
      <c r="L636" s="3">
        <v>0</v>
      </c>
      <c r="M636" s="3">
        <v>0</v>
      </c>
      <c r="N636" s="3">
        <v>12</v>
      </c>
      <c r="O636" s="3">
        <v>0.13</v>
      </c>
      <c r="P636" s="3">
        <v>0</v>
      </c>
      <c r="Q636" s="3">
        <v>0</v>
      </c>
      <c r="R636" s="3">
        <v>0</v>
      </c>
    </row>
    <row r="637" spans="1:18">
      <c r="A637" s="3" t="s">
        <v>1702</v>
      </c>
      <c r="B637" s="3" t="s">
        <v>1703</v>
      </c>
      <c r="C637" s="3" t="s">
        <v>1703</v>
      </c>
      <c r="D637" s="3" t="s">
        <v>1704</v>
      </c>
      <c r="E637" s="3" t="s">
        <v>120</v>
      </c>
      <c r="F637" s="3">
        <v>19.98</v>
      </c>
      <c r="G637" s="3" t="s">
        <v>121</v>
      </c>
      <c r="H637" s="3"/>
      <c r="I637" s="3" t="s">
        <v>122</v>
      </c>
      <c r="J637" s="3">
        <v>64</v>
      </c>
      <c r="K637" s="3">
        <v>64</v>
      </c>
      <c r="L637" s="3">
        <v>0</v>
      </c>
      <c r="M637" s="3">
        <v>0</v>
      </c>
      <c r="N637" s="3">
        <v>64</v>
      </c>
      <c r="O637" s="3">
        <v>0.15</v>
      </c>
      <c r="P637" s="3">
        <v>0</v>
      </c>
      <c r="Q637" s="3">
        <v>0</v>
      </c>
      <c r="R637" s="3">
        <v>0</v>
      </c>
    </row>
    <row r="638" spans="1:18">
      <c r="A638" s="3" t="s">
        <v>1705</v>
      </c>
      <c r="B638" s="3" t="s">
        <v>1706</v>
      </c>
      <c r="C638" s="3" t="s">
        <v>1706</v>
      </c>
      <c r="D638" s="3" t="s">
        <v>1707</v>
      </c>
      <c r="E638" s="3" t="s">
        <v>120</v>
      </c>
      <c r="F638" s="3">
        <v>19.98</v>
      </c>
      <c r="G638" s="3" t="s">
        <v>121</v>
      </c>
      <c r="H638" s="3"/>
      <c r="I638" s="3" t="s">
        <v>122</v>
      </c>
      <c r="J638" s="3">
        <v>23</v>
      </c>
      <c r="K638" s="3">
        <v>23</v>
      </c>
      <c r="L638" s="3">
        <v>0</v>
      </c>
      <c r="M638" s="3">
        <v>0</v>
      </c>
      <c r="N638" s="3">
        <v>23</v>
      </c>
      <c r="O638" s="3">
        <v>0.2</v>
      </c>
      <c r="P638" s="3">
        <v>0</v>
      </c>
      <c r="Q638" s="3">
        <v>0</v>
      </c>
      <c r="R638" s="3">
        <v>0</v>
      </c>
    </row>
    <row r="639" spans="1:18">
      <c r="A639" s="3" t="s">
        <v>1708</v>
      </c>
      <c r="B639" s="3" t="s">
        <v>1709</v>
      </c>
      <c r="C639" s="3" t="s">
        <v>1709</v>
      </c>
      <c r="D639" s="3"/>
      <c r="E639" s="3" t="s">
        <v>20</v>
      </c>
      <c r="F639" s="3"/>
      <c r="G639" s="3"/>
      <c r="H639" s="3"/>
      <c r="I639" s="3"/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/>
      <c r="P639" s="3">
        <v>0</v>
      </c>
      <c r="Q639" s="3">
        <v>0</v>
      </c>
      <c r="R639" s="3">
        <v>0</v>
      </c>
    </row>
    <row r="640" spans="1:18">
      <c r="A640" s="3" t="s">
        <v>1710</v>
      </c>
      <c r="B640" s="3" t="s">
        <v>1711</v>
      </c>
      <c r="C640" s="3" t="s">
        <v>1711</v>
      </c>
      <c r="D640" s="3" t="s">
        <v>1712</v>
      </c>
      <c r="E640" s="3" t="s">
        <v>120</v>
      </c>
      <c r="F640" s="3">
        <v>39.98</v>
      </c>
      <c r="G640" s="3" t="s">
        <v>121</v>
      </c>
      <c r="H640" s="3"/>
      <c r="I640" s="3" t="s">
        <v>122</v>
      </c>
      <c r="J640" s="3">
        <v>0</v>
      </c>
      <c r="K640" s="3">
        <v>0</v>
      </c>
      <c r="L640" s="3">
        <v>0</v>
      </c>
      <c r="M640" s="3">
        <v>0</v>
      </c>
      <c r="N640" s="3">
        <v>0</v>
      </c>
      <c r="O640" s="3">
        <v>0.14</v>
      </c>
      <c r="P640" s="3">
        <v>0</v>
      </c>
      <c r="Q640" s="3">
        <v>0</v>
      </c>
      <c r="R640" s="3">
        <v>0</v>
      </c>
    </row>
    <row r="641" spans="1:18">
      <c r="A641" s="3" t="s">
        <v>1713</v>
      </c>
      <c r="B641" s="3" t="s">
        <v>1714</v>
      </c>
      <c r="C641" s="3" t="s">
        <v>1714</v>
      </c>
      <c r="D641" s="3"/>
      <c r="E641" s="3" t="s">
        <v>20</v>
      </c>
      <c r="F641" s="3"/>
      <c r="G641" s="3"/>
      <c r="H641" s="3"/>
      <c r="I641" s="3"/>
      <c r="J641" s="3">
        <v>0</v>
      </c>
      <c r="K641" s="3">
        <v>0</v>
      </c>
      <c r="L641" s="3">
        <v>0</v>
      </c>
      <c r="M641" s="3">
        <v>0</v>
      </c>
      <c r="N641" s="3">
        <v>0</v>
      </c>
      <c r="O641" s="3"/>
      <c r="P641" s="3">
        <v>0</v>
      </c>
      <c r="Q641" s="3">
        <v>0</v>
      </c>
      <c r="R641" s="3">
        <v>0</v>
      </c>
    </row>
    <row r="642" spans="1:18">
      <c r="A642" s="3" t="s">
        <v>1715</v>
      </c>
      <c r="B642" s="3" t="s">
        <v>1716</v>
      </c>
      <c r="C642" s="3" t="s">
        <v>1716</v>
      </c>
      <c r="D642" s="3"/>
      <c r="E642" s="3" t="s">
        <v>20</v>
      </c>
      <c r="F642" s="3"/>
      <c r="G642" s="3"/>
      <c r="H642" s="3"/>
      <c r="I642" s="3"/>
      <c r="J642" s="3">
        <v>0</v>
      </c>
      <c r="K642" s="3">
        <v>0</v>
      </c>
      <c r="L642" s="3">
        <v>0</v>
      </c>
      <c r="M642" s="3">
        <v>0</v>
      </c>
      <c r="N642" s="3">
        <v>0</v>
      </c>
      <c r="O642" s="3"/>
      <c r="P642" s="3">
        <v>0</v>
      </c>
      <c r="Q642" s="3">
        <v>0</v>
      </c>
      <c r="R642" s="3">
        <v>0</v>
      </c>
    </row>
    <row r="643" spans="1:18">
      <c r="A643" s="3" t="s">
        <v>1717</v>
      </c>
      <c r="B643" s="3" t="s">
        <v>1718</v>
      </c>
      <c r="C643" s="3" t="s">
        <v>1718</v>
      </c>
      <c r="D643" s="3" t="s">
        <v>1719</v>
      </c>
      <c r="E643" s="3" t="s">
        <v>120</v>
      </c>
      <c r="F643" s="3">
        <v>39.98</v>
      </c>
      <c r="G643" s="3" t="s">
        <v>121</v>
      </c>
      <c r="H643" s="3"/>
      <c r="I643" s="3" t="s">
        <v>122</v>
      </c>
      <c r="J643" s="3">
        <v>0</v>
      </c>
      <c r="K643" s="3">
        <v>0</v>
      </c>
      <c r="L643" s="3">
        <v>0</v>
      </c>
      <c r="M643" s="3">
        <v>0</v>
      </c>
      <c r="N643" s="3">
        <v>0</v>
      </c>
      <c r="O643" s="3">
        <v>0.14</v>
      </c>
      <c r="P643" s="3">
        <v>0</v>
      </c>
      <c r="Q643" s="3">
        <v>0</v>
      </c>
      <c r="R643" s="3">
        <v>0</v>
      </c>
    </row>
    <row r="644" spans="1:18">
      <c r="A644" s="3" t="s">
        <v>1720</v>
      </c>
      <c r="B644" s="3" t="s">
        <v>1721</v>
      </c>
      <c r="C644" s="3" t="s">
        <v>1721</v>
      </c>
      <c r="D644" s="3" t="s">
        <v>1722</v>
      </c>
      <c r="E644" s="3" t="s">
        <v>120</v>
      </c>
      <c r="F644" s="3">
        <v>39.98</v>
      </c>
      <c r="G644" s="3" t="s">
        <v>121</v>
      </c>
      <c r="H644" s="3"/>
      <c r="I644" s="3" t="s">
        <v>122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0.14</v>
      </c>
      <c r="P644" s="3">
        <v>0</v>
      </c>
      <c r="Q644" s="3">
        <v>0</v>
      </c>
      <c r="R644" s="3">
        <v>0</v>
      </c>
    </row>
    <row r="645" spans="1:18">
      <c r="A645" s="3" t="s">
        <v>1723</v>
      </c>
      <c r="B645" s="3" t="s">
        <v>1724</v>
      </c>
      <c r="C645" s="3" t="s">
        <v>1724</v>
      </c>
      <c r="D645" s="3" t="s">
        <v>1725</v>
      </c>
      <c r="E645" s="3" t="s">
        <v>120</v>
      </c>
      <c r="F645" s="3">
        <v>24.98</v>
      </c>
      <c r="G645" s="3" t="s">
        <v>121</v>
      </c>
      <c r="H645" s="3"/>
      <c r="I645" s="3" t="s">
        <v>122</v>
      </c>
      <c r="J645" s="3">
        <v>0</v>
      </c>
      <c r="K645" s="3">
        <v>0</v>
      </c>
      <c r="L645" s="3">
        <v>0</v>
      </c>
      <c r="M645" s="3">
        <v>0</v>
      </c>
      <c r="N645" s="3">
        <v>0</v>
      </c>
      <c r="O645" s="3">
        <v>0.14</v>
      </c>
      <c r="P645" s="3">
        <v>0</v>
      </c>
      <c r="Q645" s="3">
        <v>0</v>
      </c>
      <c r="R645" s="3">
        <v>0</v>
      </c>
    </row>
    <row r="646" spans="1:18">
      <c r="A646" s="3" t="s">
        <v>1726</v>
      </c>
      <c r="B646" s="3" t="s">
        <v>1727</v>
      </c>
      <c r="C646" s="3" t="s">
        <v>1727</v>
      </c>
      <c r="D646" s="3"/>
      <c r="E646" s="3" t="s">
        <v>20</v>
      </c>
      <c r="F646" s="3"/>
      <c r="G646" s="3"/>
      <c r="H646" s="3"/>
      <c r="I646" s="3"/>
      <c r="J646" s="3">
        <v>0</v>
      </c>
      <c r="K646" s="3">
        <v>0</v>
      </c>
      <c r="L646" s="3">
        <v>0</v>
      </c>
      <c r="M646" s="3">
        <v>0</v>
      </c>
      <c r="N646" s="3">
        <v>0</v>
      </c>
      <c r="O646" s="3"/>
      <c r="P646" s="3">
        <v>0</v>
      </c>
      <c r="Q646" s="3">
        <v>0</v>
      </c>
      <c r="R646" s="3">
        <v>0</v>
      </c>
    </row>
    <row r="647" spans="1:18">
      <c r="A647" s="3" t="s">
        <v>1728</v>
      </c>
      <c r="B647" s="3" t="s">
        <v>1729</v>
      </c>
      <c r="C647" s="3" t="s">
        <v>1729</v>
      </c>
      <c r="D647" s="3" t="s">
        <v>1730</v>
      </c>
      <c r="E647" s="3" t="s">
        <v>120</v>
      </c>
      <c r="F647" s="3">
        <v>24.98</v>
      </c>
      <c r="G647" s="3" t="s">
        <v>121</v>
      </c>
      <c r="H647" s="3"/>
      <c r="I647" s="3" t="s">
        <v>122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0.12</v>
      </c>
      <c r="P647" s="3">
        <v>0</v>
      </c>
      <c r="Q647" s="3">
        <v>0</v>
      </c>
      <c r="R647" s="3">
        <v>0</v>
      </c>
    </row>
    <row r="648" spans="1:18">
      <c r="A648" s="3" t="s">
        <v>1731</v>
      </c>
      <c r="B648" s="3" t="s">
        <v>1732</v>
      </c>
      <c r="C648" s="3" t="s">
        <v>1732</v>
      </c>
      <c r="D648" s="3" t="s">
        <v>1733</v>
      </c>
      <c r="E648" s="3" t="s">
        <v>120</v>
      </c>
      <c r="F648" s="3">
        <v>39.98</v>
      </c>
      <c r="G648" s="3" t="s">
        <v>121</v>
      </c>
      <c r="H648" s="3"/>
      <c r="I648" s="3" t="s">
        <v>122</v>
      </c>
      <c r="J648" s="3">
        <v>3</v>
      </c>
      <c r="K648" s="3">
        <v>3</v>
      </c>
      <c r="L648" s="3">
        <v>0</v>
      </c>
      <c r="M648" s="3">
        <v>0</v>
      </c>
      <c r="N648" s="3">
        <v>3</v>
      </c>
      <c r="O648" s="3">
        <v>0.12</v>
      </c>
      <c r="P648" s="3">
        <v>0</v>
      </c>
      <c r="Q648" s="3">
        <v>0</v>
      </c>
      <c r="R648" s="3">
        <v>0</v>
      </c>
    </row>
    <row r="649" spans="1:18">
      <c r="A649" s="3" t="s">
        <v>1734</v>
      </c>
      <c r="B649" s="3" t="s">
        <v>1735</v>
      </c>
      <c r="C649" s="3" t="s">
        <v>1735</v>
      </c>
      <c r="D649" s="3" t="s">
        <v>1736</v>
      </c>
      <c r="E649" s="3" t="s">
        <v>120</v>
      </c>
      <c r="F649" s="3">
        <v>39.98</v>
      </c>
      <c r="G649" s="3" t="s">
        <v>121</v>
      </c>
      <c r="H649" s="3"/>
      <c r="I649" s="3" t="s">
        <v>122</v>
      </c>
      <c r="J649" s="3">
        <v>8</v>
      </c>
      <c r="K649" s="3">
        <v>8</v>
      </c>
      <c r="L649" s="3">
        <v>0</v>
      </c>
      <c r="M649" s="3">
        <v>0</v>
      </c>
      <c r="N649" s="3">
        <v>8</v>
      </c>
      <c r="O649" s="3">
        <v>0.12</v>
      </c>
      <c r="P649" s="3">
        <v>0</v>
      </c>
      <c r="Q649" s="3">
        <v>0</v>
      </c>
      <c r="R649" s="3">
        <v>0</v>
      </c>
    </row>
    <row r="650" spans="1:18">
      <c r="A650" s="3" t="s">
        <v>1737</v>
      </c>
      <c r="B650" s="3" t="s">
        <v>1738</v>
      </c>
      <c r="C650" s="3" t="s">
        <v>1738</v>
      </c>
      <c r="D650" s="3" t="s">
        <v>1739</v>
      </c>
      <c r="E650" s="3" t="s">
        <v>120</v>
      </c>
      <c r="F650" s="3">
        <v>39.98</v>
      </c>
      <c r="G650" s="3" t="s">
        <v>121</v>
      </c>
      <c r="H650" s="3"/>
      <c r="I650" s="3" t="s">
        <v>122</v>
      </c>
      <c r="J650" s="3">
        <v>19</v>
      </c>
      <c r="K650" s="3">
        <v>19</v>
      </c>
      <c r="L650" s="3">
        <v>0</v>
      </c>
      <c r="M650" s="3">
        <v>0</v>
      </c>
      <c r="N650" s="3">
        <v>19</v>
      </c>
      <c r="O650" s="3">
        <v>0.12</v>
      </c>
      <c r="P650" s="3">
        <v>0</v>
      </c>
      <c r="Q650" s="3">
        <v>0</v>
      </c>
      <c r="R650" s="3">
        <v>0</v>
      </c>
    </row>
    <row r="651" spans="1:18">
      <c r="A651" s="3" t="s">
        <v>1740</v>
      </c>
      <c r="B651" s="3" t="s">
        <v>1741</v>
      </c>
      <c r="C651" s="3" t="s">
        <v>1741</v>
      </c>
      <c r="D651" s="3" t="s">
        <v>1742</v>
      </c>
      <c r="E651" s="3" t="s">
        <v>120</v>
      </c>
      <c r="F651" s="3">
        <v>39.98</v>
      </c>
      <c r="G651" s="3" t="s">
        <v>121</v>
      </c>
      <c r="H651" s="3"/>
      <c r="I651" s="3" t="s">
        <v>122</v>
      </c>
      <c r="J651" s="3">
        <v>8</v>
      </c>
      <c r="K651" s="3">
        <v>8</v>
      </c>
      <c r="L651" s="3">
        <v>0</v>
      </c>
      <c r="M651" s="3">
        <v>0</v>
      </c>
      <c r="N651" s="3">
        <v>8</v>
      </c>
      <c r="O651" s="3">
        <v>0.12</v>
      </c>
      <c r="P651" s="3">
        <v>0</v>
      </c>
      <c r="Q651" s="3">
        <v>0</v>
      </c>
      <c r="R651" s="3">
        <v>0</v>
      </c>
    </row>
    <row r="652" spans="1:18">
      <c r="A652" s="3" t="s">
        <v>1743</v>
      </c>
      <c r="B652" s="3" t="s">
        <v>1744</v>
      </c>
      <c r="C652" s="3" t="s">
        <v>1744</v>
      </c>
      <c r="D652" s="3"/>
      <c r="E652" s="3" t="s">
        <v>20</v>
      </c>
      <c r="F652" s="3"/>
      <c r="G652" s="3"/>
      <c r="H652" s="3"/>
      <c r="I652" s="3"/>
      <c r="J652" s="3">
        <v>10</v>
      </c>
      <c r="K652" s="3">
        <v>10</v>
      </c>
      <c r="L652" s="3">
        <v>0</v>
      </c>
      <c r="M652" s="3">
        <v>0</v>
      </c>
      <c r="N652" s="3">
        <v>10</v>
      </c>
      <c r="O652" s="3"/>
      <c r="P652" s="3">
        <v>0</v>
      </c>
      <c r="Q652" s="3">
        <v>0</v>
      </c>
      <c r="R652" s="3">
        <v>0</v>
      </c>
    </row>
    <row r="653" spans="1:18">
      <c r="A653" s="3" t="s">
        <v>1745</v>
      </c>
      <c r="B653" s="3" t="s">
        <v>1746</v>
      </c>
      <c r="C653" s="3" t="s">
        <v>1746</v>
      </c>
      <c r="D653" s="3" t="s">
        <v>1747</v>
      </c>
      <c r="E653" s="3" t="s">
        <v>120</v>
      </c>
      <c r="F653" s="3">
        <v>39.98</v>
      </c>
      <c r="G653" s="3" t="s">
        <v>121</v>
      </c>
      <c r="H653" s="3"/>
      <c r="I653" s="3" t="s">
        <v>122</v>
      </c>
      <c r="J653" s="3">
        <v>0</v>
      </c>
      <c r="K653" s="3">
        <v>0</v>
      </c>
      <c r="L653" s="3">
        <v>0</v>
      </c>
      <c r="M653" s="3">
        <v>0</v>
      </c>
      <c r="N653" s="3">
        <v>0</v>
      </c>
      <c r="O653" s="3">
        <v>0.11</v>
      </c>
      <c r="P653" s="3">
        <v>0</v>
      </c>
      <c r="Q653" s="3">
        <v>0</v>
      </c>
      <c r="R653" s="3">
        <v>0</v>
      </c>
    </row>
    <row r="654" spans="1:18">
      <c r="A654" s="3" t="s">
        <v>1748</v>
      </c>
      <c r="B654" s="3" t="s">
        <v>1749</v>
      </c>
      <c r="C654" s="3" t="s">
        <v>1749</v>
      </c>
      <c r="D654" s="3" t="s">
        <v>1750</v>
      </c>
      <c r="E654" s="3" t="s">
        <v>120</v>
      </c>
      <c r="F654" s="3">
        <v>39.98</v>
      </c>
      <c r="G654" s="3" t="s">
        <v>121</v>
      </c>
      <c r="H654" s="3"/>
      <c r="I654" s="3" t="s">
        <v>122</v>
      </c>
      <c r="J654" s="3">
        <v>5</v>
      </c>
      <c r="K654" s="3">
        <v>5</v>
      </c>
      <c r="L654" s="3">
        <v>0</v>
      </c>
      <c r="M654" s="3">
        <v>0</v>
      </c>
      <c r="N654" s="3">
        <v>5</v>
      </c>
      <c r="O654" s="3">
        <v>0.12</v>
      </c>
      <c r="P654" s="3">
        <v>0</v>
      </c>
      <c r="Q654" s="3">
        <v>0</v>
      </c>
      <c r="R654" s="3">
        <v>0</v>
      </c>
    </row>
    <row r="655" spans="1:18">
      <c r="A655" s="3" t="s">
        <v>1751</v>
      </c>
      <c r="B655" s="3" t="s">
        <v>1752</v>
      </c>
      <c r="C655" s="3" t="s">
        <v>1752</v>
      </c>
      <c r="D655" s="3" t="s">
        <v>1753</v>
      </c>
      <c r="E655" s="3" t="s">
        <v>120</v>
      </c>
      <c r="F655" s="3">
        <v>25.98</v>
      </c>
      <c r="G655" s="3" t="s">
        <v>121</v>
      </c>
      <c r="H655" s="3"/>
      <c r="I655" s="3" t="s">
        <v>122</v>
      </c>
      <c r="J655" s="3">
        <v>0</v>
      </c>
      <c r="K655" s="3">
        <v>0</v>
      </c>
      <c r="L655" s="3">
        <v>0</v>
      </c>
      <c r="M655" s="3">
        <v>0</v>
      </c>
      <c r="N655" s="3">
        <v>0</v>
      </c>
      <c r="O655" s="3">
        <v>0.19</v>
      </c>
      <c r="P655" s="3">
        <v>0</v>
      </c>
      <c r="Q655" s="3">
        <v>0</v>
      </c>
      <c r="R655" s="3">
        <v>0</v>
      </c>
    </row>
    <row r="656" spans="1:18">
      <c r="A656" s="3" t="s">
        <v>1754</v>
      </c>
      <c r="B656" s="3" t="s">
        <v>1752</v>
      </c>
      <c r="C656" s="3" t="s">
        <v>1752</v>
      </c>
      <c r="D656" s="3"/>
      <c r="E656" s="3" t="s">
        <v>20</v>
      </c>
      <c r="F656" s="3"/>
      <c r="G656" s="3"/>
      <c r="H656" s="3"/>
      <c r="I656" s="3"/>
      <c r="J656" s="3">
        <v>0</v>
      </c>
      <c r="K656" s="3">
        <v>0</v>
      </c>
      <c r="L656" s="3">
        <v>0</v>
      </c>
      <c r="M656" s="3">
        <v>0</v>
      </c>
      <c r="N656" s="3">
        <v>0</v>
      </c>
      <c r="O656" s="3"/>
      <c r="P656" s="3">
        <v>0</v>
      </c>
      <c r="Q656" s="3">
        <v>0</v>
      </c>
      <c r="R656" s="3">
        <v>0</v>
      </c>
    </row>
    <row r="657" spans="1:18">
      <c r="A657" s="3" t="s">
        <v>1755</v>
      </c>
      <c r="B657" s="3" t="s">
        <v>1756</v>
      </c>
      <c r="C657" s="3" t="s">
        <v>1756</v>
      </c>
      <c r="D657" s="3" t="s">
        <v>1757</v>
      </c>
      <c r="E657" s="3" t="s">
        <v>120</v>
      </c>
      <c r="F657" s="3">
        <v>25.98</v>
      </c>
      <c r="G657" s="3" t="s">
        <v>121</v>
      </c>
      <c r="H657" s="3"/>
      <c r="I657" s="3" t="s">
        <v>122</v>
      </c>
      <c r="J657" s="3">
        <v>8</v>
      </c>
      <c r="K657" s="3">
        <v>8</v>
      </c>
      <c r="L657" s="3">
        <v>0</v>
      </c>
      <c r="M657" s="3">
        <v>0</v>
      </c>
      <c r="N657" s="3">
        <v>8</v>
      </c>
      <c r="O657" s="3">
        <v>0.12</v>
      </c>
      <c r="P657" s="3">
        <v>0</v>
      </c>
      <c r="Q657" s="3">
        <v>0</v>
      </c>
      <c r="R657" s="3">
        <v>0</v>
      </c>
    </row>
    <row r="658" spans="1:18">
      <c r="A658" s="3" t="s">
        <v>1758</v>
      </c>
      <c r="B658" s="3" t="s">
        <v>1759</v>
      </c>
      <c r="C658" s="3" t="s">
        <v>1759</v>
      </c>
      <c r="D658" s="3" t="s">
        <v>1760</v>
      </c>
      <c r="E658" s="3" t="s">
        <v>120</v>
      </c>
      <c r="F658" s="3">
        <v>39.98</v>
      </c>
      <c r="G658" s="3" t="s">
        <v>121</v>
      </c>
      <c r="H658" s="3"/>
      <c r="I658" s="3" t="s">
        <v>122</v>
      </c>
      <c r="J658" s="3">
        <v>11</v>
      </c>
      <c r="K658" s="3">
        <v>11</v>
      </c>
      <c r="L658" s="3">
        <v>0</v>
      </c>
      <c r="M658" s="3">
        <v>0</v>
      </c>
      <c r="N658" s="3">
        <v>11</v>
      </c>
      <c r="O658" s="3">
        <v>0.12</v>
      </c>
      <c r="P658" s="3">
        <v>0</v>
      </c>
      <c r="Q658" s="3">
        <v>0</v>
      </c>
      <c r="R658" s="3">
        <v>0</v>
      </c>
    </row>
    <row r="659" spans="1:18">
      <c r="A659" s="3" t="s">
        <v>1761</v>
      </c>
      <c r="B659" s="3" t="s">
        <v>1762</v>
      </c>
      <c r="C659" s="3" t="s">
        <v>1762</v>
      </c>
      <c r="D659" s="3" t="s">
        <v>1763</v>
      </c>
      <c r="E659" s="3" t="s">
        <v>120</v>
      </c>
      <c r="F659" s="3">
        <v>39.98</v>
      </c>
      <c r="G659" s="3" t="s">
        <v>121</v>
      </c>
      <c r="H659" s="3"/>
      <c r="I659" s="3" t="s">
        <v>122</v>
      </c>
      <c r="J659" s="3">
        <v>2</v>
      </c>
      <c r="K659" s="3">
        <v>1</v>
      </c>
      <c r="L659" s="3">
        <v>0</v>
      </c>
      <c r="M659" s="3">
        <v>1</v>
      </c>
      <c r="N659" s="3">
        <v>2</v>
      </c>
      <c r="O659" s="3">
        <v>0.12</v>
      </c>
      <c r="P659" s="3">
        <v>0</v>
      </c>
      <c r="Q659" s="3">
        <v>0</v>
      </c>
      <c r="R659" s="3">
        <v>0</v>
      </c>
    </row>
    <row r="660" spans="1:18">
      <c r="A660" s="3" t="s">
        <v>1764</v>
      </c>
      <c r="B660" s="3" t="s">
        <v>1765</v>
      </c>
      <c r="C660" s="3" t="s">
        <v>1765</v>
      </c>
      <c r="D660" s="3" t="s">
        <v>1766</v>
      </c>
      <c r="E660" s="3" t="s">
        <v>120</v>
      </c>
      <c r="F660" s="3">
        <v>39.98</v>
      </c>
      <c r="G660" s="3" t="s">
        <v>121</v>
      </c>
      <c r="H660" s="3"/>
      <c r="I660" s="3" t="s">
        <v>122</v>
      </c>
      <c r="J660" s="3">
        <v>0</v>
      </c>
      <c r="K660" s="3">
        <v>0</v>
      </c>
      <c r="L660" s="3">
        <v>0</v>
      </c>
      <c r="M660" s="3">
        <v>0</v>
      </c>
      <c r="N660" s="3">
        <v>0</v>
      </c>
      <c r="O660" s="3">
        <v>0.12</v>
      </c>
      <c r="P660" s="3">
        <v>0</v>
      </c>
      <c r="Q660" s="3">
        <v>0</v>
      </c>
      <c r="R660" s="3">
        <v>0</v>
      </c>
    </row>
    <row r="661" spans="1:18">
      <c r="A661" s="3" t="s">
        <v>1767</v>
      </c>
      <c r="B661" s="3" t="s">
        <v>1768</v>
      </c>
      <c r="C661" s="3" t="s">
        <v>1768</v>
      </c>
      <c r="D661" s="3" t="s">
        <v>1769</v>
      </c>
      <c r="E661" s="3" t="s">
        <v>120</v>
      </c>
      <c r="F661" s="3">
        <v>39.98</v>
      </c>
      <c r="G661" s="3" t="s">
        <v>121</v>
      </c>
      <c r="H661" s="3"/>
      <c r="I661" s="3" t="s">
        <v>122</v>
      </c>
      <c r="J661" s="3">
        <v>4</v>
      </c>
      <c r="K661" s="3">
        <v>4</v>
      </c>
      <c r="L661" s="3">
        <v>0</v>
      </c>
      <c r="M661" s="3">
        <v>0</v>
      </c>
      <c r="N661" s="3">
        <v>4</v>
      </c>
      <c r="O661" s="3">
        <v>0.12</v>
      </c>
      <c r="P661" s="3">
        <v>0</v>
      </c>
      <c r="Q661" s="3">
        <v>0</v>
      </c>
      <c r="R661" s="3">
        <v>0</v>
      </c>
    </row>
    <row r="662" spans="1:18">
      <c r="A662" s="3" t="s">
        <v>1770</v>
      </c>
      <c r="B662" s="3" t="s">
        <v>1771</v>
      </c>
      <c r="C662" s="3" t="s">
        <v>1771</v>
      </c>
      <c r="D662" s="3" t="s">
        <v>1772</v>
      </c>
      <c r="E662" s="3" t="s">
        <v>120</v>
      </c>
      <c r="F662" s="3">
        <v>25.98</v>
      </c>
      <c r="G662" s="3" t="s">
        <v>121</v>
      </c>
      <c r="H662" s="3"/>
      <c r="I662" s="3" t="s">
        <v>122</v>
      </c>
      <c r="J662" s="3">
        <v>28</v>
      </c>
      <c r="K662" s="3">
        <v>28</v>
      </c>
      <c r="L662" s="3">
        <v>0</v>
      </c>
      <c r="M662" s="3">
        <v>0</v>
      </c>
      <c r="N662" s="3">
        <v>28</v>
      </c>
      <c r="O662" s="3">
        <v>0.12</v>
      </c>
      <c r="P662" s="3">
        <v>0</v>
      </c>
      <c r="Q662" s="3">
        <v>0</v>
      </c>
      <c r="R662" s="3">
        <v>0</v>
      </c>
    </row>
    <row r="663" spans="1:18">
      <c r="A663" s="3" t="s">
        <v>1773</v>
      </c>
      <c r="B663" s="3" t="s">
        <v>1774</v>
      </c>
      <c r="C663" s="3" t="s">
        <v>1774</v>
      </c>
      <c r="D663" s="3"/>
      <c r="E663" s="3" t="s">
        <v>20</v>
      </c>
      <c r="F663" s="3"/>
      <c r="G663" s="3"/>
      <c r="H663" s="3"/>
      <c r="I663" s="3"/>
      <c r="J663" s="3">
        <v>2</v>
      </c>
      <c r="K663" s="3">
        <v>2</v>
      </c>
      <c r="L663" s="3">
        <v>0</v>
      </c>
      <c r="M663" s="3">
        <v>0</v>
      </c>
      <c r="N663" s="3">
        <v>2</v>
      </c>
      <c r="O663" s="3"/>
      <c r="P663" s="3">
        <v>0</v>
      </c>
      <c r="Q663" s="3">
        <v>0</v>
      </c>
      <c r="R663" s="3">
        <v>0</v>
      </c>
    </row>
    <row r="664" spans="1:18">
      <c r="A664" s="3" t="s">
        <v>1775</v>
      </c>
      <c r="B664" s="3" t="s">
        <v>1776</v>
      </c>
      <c r="C664" s="3" t="s">
        <v>1776</v>
      </c>
      <c r="D664" s="3"/>
      <c r="E664" s="3" t="s">
        <v>20</v>
      </c>
      <c r="F664" s="3"/>
      <c r="G664" s="3"/>
      <c r="H664" s="3"/>
      <c r="I664" s="3"/>
      <c r="J664" s="3">
        <v>0</v>
      </c>
      <c r="K664" s="3">
        <v>0</v>
      </c>
      <c r="L664" s="3">
        <v>0</v>
      </c>
      <c r="M664" s="3">
        <v>0</v>
      </c>
      <c r="N664" s="3">
        <v>0</v>
      </c>
      <c r="O664" s="3"/>
      <c r="P664" s="3">
        <v>0</v>
      </c>
      <c r="Q664" s="3">
        <v>0</v>
      </c>
      <c r="R664" s="3">
        <v>0</v>
      </c>
    </row>
    <row r="665" spans="1:18">
      <c r="A665" s="3" t="s">
        <v>1777</v>
      </c>
      <c r="B665" s="3" t="s">
        <v>1778</v>
      </c>
      <c r="C665" s="3" t="s">
        <v>1778</v>
      </c>
      <c r="D665" s="3" t="s">
        <v>1779</v>
      </c>
      <c r="E665" s="3" t="s">
        <v>120</v>
      </c>
      <c r="F665" s="3">
        <v>39.98</v>
      </c>
      <c r="G665" s="3" t="s">
        <v>121</v>
      </c>
      <c r="H665" s="3"/>
      <c r="I665" s="3" t="s">
        <v>122</v>
      </c>
      <c r="J665" s="3">
        <v>9</v>
      </c>
      <c r="K665" s="3">
        <v>9</v>
      </c>
      <c r="L665" s="3">
        <v>0</v>
      </c>
      <c r="M665" s="3">
        <v>0</v>
      </c>
      <c r="N665" s="3">
        <v>9</v>
      </c>
      <c r="O665" s="3">
        <v>0.12</v>
      </c>
      <c r="P665" s="3">
        <v>0</v>
      </c>
      <c r="Q665" s="3">
        <v>0</v>
      </c>
      <c r="R665" s="3">
        <v>0</v>
      </c>
    </row>
    <row r="666" spans="1:18">
      <c r="A666" s="3" t="s">
        <v>1780</v>
      </c>
      <c r="B666" s="3" t="s">
        <v>1781</v>
      </c>
      <c r="C666" s="3" t="s">
        <v>1781</v>
      </c>
      <c r="D666" s="3"/>
      <c r="E666" s="3" t="s">
        <v>20</v>
      </c>
      <c r="F666" s="3"/>
      <c r="G666" s="3"/>
      <c r="H666" s="3"/>
      <c r="I666" s="3"/>
      <c r="J666" s="3">
        <v>22</v>
      </c>
      <c r="K666" s="3">
        <v>22</v>
      </c>
      <c r="L666" s="3">
        <v>0</v>
      </c>
      <c r="M666" s="3">
        <v>0</v>
      </c>
      <c r="N666" s="3">
        <v>22</v>
      </c>
      <c r="O666" s="3"/>
      <c r="P666" s="3">
        <v>0</v>
      </c>
      <c r="Q666" s="3">
        <v>0</v>
      </c>
      <c r="R666" s="3">
        <v>0</v>
      </c>
    </row>
    <row r="667" spans="1:18">
      <c r="A667" s="3" t="s">
        <v>1782</v>
      </c>
      <c r="B667" s="3" t="s">
        <v>1783</v>
      </c>
      <c r="C667" s="3" t="s">
        <v>1783</v>
      </c>
      <c r="D667" s="3" t="s">
        <v>1784</v>
      </c>
      <c r="E667" s="3" t="s">
        <v>120</v>
      </c>
      <c r="F667" s="3">
        <v>39.98</v>
      </c>
      <c r="G667" s="3" t="s">
        <v>121</v>
      </c>
      <c r="H667" s="3"/>
      <c r="I667" s="3" t="s">
        <v>122</v>
      </c>
      <c r="J667" s="3">
        <v>6</v>
      </c>
      <c r="K667" s="3">
        <v>6</v>
      </c>
      <c r="L667" s="3">
        <v>0</v>
      </c>
      <c r="M667" s="3">
        <v>0</v>
      </c>
      <c r="N667" s="3">
        <v>6</v>
      </c>
      <c r="O667" s="3">
        <v>0.12</v>
      </c>
      <c r="P667" s="3">
        <v>0</v>
      </c>
      <c r="Q667" s="3">
        <v>0</v>
      </c>
      <c r="R667" s="3">
        <v>0</v>
      </c>
    </row>
    <row r="668" spans="1:18">
      <c r="A668" s="3" t="s">
        <v>1785</v>
      </c>
      <c r="B668" s="3" t="s">
        <v>1786</v>
      </c>
      <c r="C668" s="3" t="s">
        <v>1786</v>
      </c>
      <c r="D668" s="3" t="s">
        <v>1787</v>
      </c>
      <c r="E668" s="3" t="s">
        <v>120</v>
      </c>
      <c r="F668" s="3">
        <v>25.98</v>
      </c>
      <c r="G668" s="3" t="s">
        <v>121</v>
      </c>
      <c r="H668" s="3"/>
      <c r="I668" s="3" t="s">
        <v>122</v>
      </c>
      <c r="J668" s="3">
        <v>5</v>
      </c>
      <c r="K668" s="3">
        <v>5</v>
      </c>
      <c r="L668" s="3">
        <v>0</v>
      </c>
      <c r="M668" s="3">
        <v>0</v>
      </c>
      <c r="N668" s="3">
        <v>5</v>
      </c>
      <c r="O668" s="3">
        <v>0.12</v>
      </c>
      <c r="P668" s="3">
        <v>0</v>
      </c>
      <c r="Q668" s="3">
        <v>0</v>
      </c>
      <c r="R668" s="3">
        <v>0</v>
      </c>
    </row>
    <row r="669" spans="1:18">
      <c r="A669" s="3" t="s">
        <v>1788</v>
      </c>
      <c r="B669" s="3" t="s">
        <v>1789</v>
      </c>
      <c r="C669" s="3" t="s">
        <v>1789</v>
      </c>
      <c r="D669" s="3" t="s">
        <v>1790</v>
      </c>
      <c r="E669" s="3" t="s">
        <v>120</v>
      </c>
      <c r="F669" s="3">
        <v>25.98</v>
      </c>
      <c r="G669" s="3" t="s">
        <v>121</v>
      </c>
      <c r="H669" s="3"/>
      <c r="I669" s="3" t="s">
        <v>122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0.16</v>
      </c>
      <c r="P669" s="3">
        <v>0</v>
      </c>
      <c r="Q669" s="3">
        <v>0</v>
      </c>
      <c r="R669" s="3">
        <v>0</v>
      </c>
    </row>
    <row r="670" spans="1:18">
      <c r="A670" s="3" t="s">
        <v>1791</v>
      </c>
      <c r="B670" s="3" t="s">
        <v>1792</v>
      </c>
      <c r="C670" s="3" t="s">
        <v>1792</v>
      </c>
      <c r="D670" s="3" t="s">
        <v>1793</v>
      </c>
      <c r="E670" s="3" t="s">
        <v>120</v>
      </c>
      <c r="F670" s="3">
        <v>39.98</v>
      </c>
      <c r="G670" s="3" t="s">
        <v>121</v>
      </c>
      <c r="H670" s="3"/>
      <c r="I670" s="3" t="s">
        <v>122</v>
      </c>
      <c r="J670" s="3">
        <v>9</v>
      </c>
      <c r="K670" s="3">
        <v>9</v>
      </c>
      <c r="L670" s="3">
        <v>0</v>
      </c>
      <c r="M670" s="3">
        <v>0</v>
      </c>
      <c r="N670" s="3">
        <v>9</v>
      </c>
      <c r="O670" s="3">
        <v>0.12</v>
      </c>
      <c r="P670" s="3">
        <v>0</v>
      </c>
      <c r="Q670" s="3">
        <v>0</v>
      </c>
      <c r="R670" s="3">
        <v>0</v>
      </c>
    </row>
    <row r="671" spans="1:18">
      <c r="A671" s="3" t="s">
        <v>1794</v>
      </c>
      <c r="B671" s="3" t="s">
        <v>1795</v>
      </c>
      <c r="C671" s="3" t="s">
        <v>1795</v>
      </c>
      <c r="D671" s="3" t="s">
        <v>1796</v>
      </c>
      <c r="E671" s="3" t="s">
        <v>120</v>
      </c>
      <c r="F671" s="3">
        <v>25.98</v>
      </c>
      <c r="G671" s="3" t="s">
        <v>121</v>
      </c>
      <c r="H671" s="3"/>
      <c r="I671" s="3" t="s">
        <v>122</v>
      </c>
      <c r="J671" s="3">
        <v>0</v>
      </c>
      <c r="K671" s="3">
        <v>0</v>
      </c>
      <c r="L671" s="3">
        <v>0</v>
      </c>
      <c r="M671" s="3">
        <v>0</v>
      </c>
      <c r="N671" s="3">
        <v>0</v>
      </c>
      <c r="O671" s="3">
        <v>0.12</v>
      </c>
      <c r="P671" s="3">
        <v>0</v>
      </c>
      <c r="Q671" s="3">
        <v>0</v>
      </c>
      <c r="R671" s="3">
        <v>0</v>
      </c>
    </row>
    <row r="672" spans="1:18">
      <c r="A672" s="3" t="s">
        <v>1797</v>
      </c>
      <c r="B672" s="3" t="s">
        <v>1798</v>
      </c>
      <c r="C672" s="3" t="s">
        <v>1798</v>
      </c>
      <c r="D672" s="3"/>
      <c r="E672" s="3" t="s">
        <v>20</v>
      </c>
      <c r="F672" s="3"/>
      <c r="G672" s="3"/>
      <c r="H672" s="3"/>
      <c r="I672" s="3"/>
      <c r="J672" s="3">
        <v>0</v>
      </c>
      <c r="K672" s="3">
        <v>0</v>
      </c>
      <c r="L672" s="3">
        <v>0</v>
      </c>
      <c r="M672" s="3">
        <v>0</v>
      </c>
      <c r="N672" s="3">
        <v>0</v>
      </c>
      <c r="O672" s="3"/>
      <c r="P672" s="3">
        <v>0</v>
      </c>
      <c r="Q672" s="3">
        <v>0</v>
      </c>
      <c r="R672" s="3">
        <v>0</v>
      </c>
    </row>
    <row r="673" spans="1:18">
      <c r="A673" s="3" t="s">
        <v>1799</v>
      </c>
      <c r="B673" s="3" t="s">
        <v>1800</v>
      </c>
      <c r="C673" s="3" t="s">
        <v>1800</v>
      </c>
      <c r="D673" s="3"/>
      <c r="E673" s="3" t="s">
        <v>20</v>
      </c>
      <c r="F673" s="3"/>
      <c r="G673" s="3"/>
      <c r="H673" s="3"/>
      <c r="I673" s="3"/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/>
      <c r="P673" s="3">
        <v>0</v>
      </c>
      <c r="Q673" s="3">
        <v>0</v>
      </c>
      <c r="R673" s="3">
        <v>0</v>
      </c>
    </row>
    <row r="674" spans="1:18">
      <c r="A674" s="3" t="s">
        <v>1801</v>
      </c>
      <c r="B674" s="3" t="s">
        <v>1802</v>
      </c>
      <c r="C674" s="3" t="s">
        <v>1802</v>
      </c>
      <c r="D674" s="3"/>
      <c r="E674" s="3" t="s">
        <v>20</v>
      </c>
      <c r="F674" s="3"/>
      <c r="G674" s="3"/>
      <c r="H674" s="3"/>
      <c r="I674" s="3"/>
      <c r="J674" s="3">
        <v>0</v>
      </c>
      <c r="K674" s="3">
        <v>0</v>
      </c>
      <c r="L674" s="3">
        <v>0</v>
      </c>
      <c r="M674" s="3">
        <v>0</v>
      </c>
      <c r="N674" s="3">
        <v>0</v>
      </c>
      <c r="O674" s="3"/>
      <c r="P674" s="3">
        <v>0</v>
      </c>
      <c r="Q674" s="3">
        <v>0</v>
      </c>
      <c r="R674" s="3">
        <v>0</v>
      </c>
    </row>
    <row r="675" spans="1:18">
      <c r="A675" s="3" t="s">
        <v>1803</v>
      </c>
      <c r="B675" s="3" t="s">
        <v>1804</v>
      </c>
      <c r="C675" s="3" t="s">
        <v>1804</v>
      </c>
      <c r="D675" s="3" t="s">
        <v>1805</v>
      </c>
      <c r="E675" s="3" t="s">
        <v>120</v>
      </c>
      <c r="F675" s="3">
        <v>39.98</v>
      </c>
      <c r="G675" s="3" t="s">
        <v>121</v>
      </c>
      <c r="H675" s="3"/>
      <c r="I675" s="3" t="s">
        <v>122</v>
      </c>
      <c r="J675" s="3">
        <v>3</v>
      </c>
      <c r="K675" s="3">
        <v>3</v>
      </c>
      <c r="L675" s="3">
        <v>0</v>
      </c>
      <c r="M675" s="3">
        <v>0</v>
      </c>
      <c r="N675" s="3">
        <v>3</v>
      </c>
      <c r="O675" s="3">
        <v>0.12</v>
      </c>
      <c r="P675" s="3">
        <v>0</v>
      </c>
      <c r="Q675" s="3">
        <v>0</v>
      </c>
      <c r="R675" s="3">
        <v>0</v>
      </c>
    </row>
    <row r="676" spans="1:18">
      <c r="A676" s="3" t="s">
        <v>1806</v>
      </c>
      <c r="B676" s="3" t="s">
        <v>1807</v>
      </c>
      <c r="C676" s="3" t="s">
        <v>1807</v>
      </c>
      <c r="D676" s="3" t="s">
        <v>1808</v>
      </c>
      <c r="E676" s="3" t="s">
        <v>120</v>
      </c>
      <c r="F676" s="3">
        <v>39.98</v>
      </c>
      <c r="G676" s="3" t="s">
        <v>121</v>
      </c>
      <c r="H676" s="3"/>
      <c r="I676" s="3" t="s">
        <v>122</v>
      </c>
      <c r="J676" s="3">
        <v>15</v>
      </c>
      <c r="K676" s="3">
        <v>15</v>
      </c>
      <c r="L676" s="3">
        <v>0</v>
      </c>
      <c r="M676" s="3">
        <v>0</v>
      </c>
      <c r="N676" s="3">
        <v>15</v>
      </c>
      <c r="O676" s="3">
        <v>0.12</v>
      </c>
      <c r="P676" s="3">
        <v>0</v>
      </c>
      <c r="Q676" s="3">
        <v>0</v>
      </c>
      <c r="R676" s="3">
        <v>0</v>
      </c>
    </row>
    <row r="677" spans="1:18">
      <c r="A677" s="3" t="s">
        <v>1809</v>
      </c>
      <c r="B677" s="3" t="s">
        <v>1810</v>
      </c>
      <c r="C677" s="3" t="s">
        <v>1810</v>
      </c>
      <c r="D677" s="3" t="s">
        <v>1811</v>
      </c>
      <c r="E677" s="3" t="s">
        <v>120</v>
      </c>
      <c r="F677" s="3">
        <v>39.98</v>
      </c>
      <c r="G677" s="3" t="s">
        <v>121</v>
      </c>
      <c r="H677" s="3"/>
      <c r="I677" s="3" t="s">
        <v>122</v>
      </c>
      <c r="J677" s="3">
        <v>13</v>
      </c>
      <c r="K677" s="3">
        <v>13</v>
      </c>
      <c r="L677" s="3">
        <v>0</v>
      </c>
      <c r="M677" s="3">
        <v>0</v>
      </c>
      <c r="N677" s="3">
        <v>13</v>
      </c>
      <c r="O677" s="3">
        <v>0.12</v>
      </c>
      <c r="P677" s="3">
        <v>0</v>
      </c>
      <c r="Q677" s="3">
        <v>0</v>
      </c>
      <c r="R677" s="3">
        <v>0</v>
      </c>
    </row>
    <row r="678" spans="1:18">
      <c r="A678" s="3" t="s">
        <v>1812</v>
      </c>
      <c r="B678" s="3" t="s">
        <v>1813</v>
      </c>
      <c r="C678" s="3" t="s">
        <v>1813</v>
      </c>
      <c r="D678" s="3" t="s">
        <v>1814</v>
      </c>
      <c r="E678" s="3" t="s">
        <v>120</v>
      </c>
      <c r="F678" s="3">
        <v>24.98</v>
      </c>
      <c r="G678" s="3" t="s">
        <v>121</v>
      </c>
      <c r="H678" s="3"/>
      <c r="I678" s="3" t="s">
        <v>122</v>
      </c>
      <c r="J678" s="3">
        <v>0</v>
      </c>
      <c r="K678" s="3">
        <v>0</v>
      </c>
      <c r="L678" s="3">
        <v>0</v>
      </c>
      <c r="M678" s="3">
        <v>0</v>
      </c>
      <c r="N678" s="3">
        <v>0</v>
      </c>
      <c r="O678" s="3">
        <v>0.15</v>
      </c>
      <c r="P678" s="3">
        <v>0</v>
      </c>
      <c r="Q678" s="3">
        <v>0</v>
      </c>
      <c r="R678" s="3">
        <v>0</v>
      </c>
    </row>
    <row r="679" spans="1:18">
      <c r="A679" s="3" t="s">
        <v>1815</v>
      </c>
      <c r="B679" s="3" t="s">
        <v>1816</v>
      </c>
      <c r="C679" s="3" t="s">
        <v>1816</v>
      </c>
      <c r="D679" s="3" t="s">
        <v>1817</v>
      </c>
      <c r="E679" s="3" t="s">
        <v>120</v>
      </c>
      <c r="F679" s="3">
        <v>39.98</v>
      </c>
      <c r="G679" s="3" t="s">
        <v>121</v>
      </c>
      <c r="H679" s="3"/>
      <c r="I679" s="3" t="s">
        <v>122</v>
      </c>
      <c r="J679" s="3">
        <v>12</v>
      </c>
      <c r="K679" s="3">
        <v>12</v>
      </c>
      <c r="L679" s="3">
        <v>0</v>
      </c>
      <c r="M679" s="3">
        <v>0</v>
      </c>
      <c r="N679" s="3">
        <v>12</v>
      </c>
      <c r="O679" s="3">
        <v>0.12</v>
      </c>
      <c r="P679" s="3">
        <v>0</v>
      </c>
      <c r="Q679" s="3">
        <v>0</v>
      </c>
      <c r="R679" s="3">
        <v>0</v>
      </c>
    </row>
    <row r="680" spans="1:18">
      <c r="A680" s="3" t="s">
        <v>1818</v>
      </c>
      <c r="B680" s="3" t="s">
        <v>1819</v>
      </c>
      <c r="C680" s="3" t="s">
        <v>1819</v>
      </c>
      <c r="D680" s="3" t="s">
        <v>1820</v>
      </c>
      <c r="E680" s="3" t="s">
        <v>120</v>
      </c>
      <c r="F680" s="3">
        <v>39.98</v>
      </c>
      <c r="G680" s="3" t="s">
        <v>121</v>
      </c>
      <c r="H680" s="3"/>
      <c r="I680" s="3" t="s">
        <v>122</v>
      </c>
      <c r="J680" s="3">
        <v>0</v>
      </c>
      <c r="K680" s="3">
        <v>0</v>
      </c>
      <c r="L680" s="3">
        <v>0</v>
      </c>
      <c r="M680" s="3">
        <v>0</v>
      </c>
      <c r="N680" s="3">
        <v>0</v>
      </c>
      <c r="O680" s="3">
        <v>0.12</v>
      </c>
      <c r="P680" s="3">
        <v>0</v>
      </c>
      <c r="Q680" s="3">
        <v>0</v>
      </c>
      <c r="R680" s="3">
        <v>0</v>
      </c>
    </row>
    <row r="681" spans="1:18">
      <c r="A681" s="3" t="s">
        <v>1821</v>
      </c>
      <c r="B681" s="3" t="s">
        <v>1822</v>
      </c>
      <c r="C681" s="3" t="s">
        <v>1822</v>
      </c>
      <c r="D681" s="3" t="s">
        <v>1823</v>
      </c>
      <c r="E681" s="3" t="s">
        <v>120</v>
      </c>
      <c r="F681" s="3">
        <v>25.98</v>
      </c>
      <c r="G681" s="3" t="s">
        <v>121</v>
      </c>
      <c r="H681" s="3"/>
      <c r="I681" s="3" t="s">
        <v>122</v>
      </c>
      <c r="J681" s="3">
        <v>8</v>
      </c>
      <c r="K681" s="3">
        <v>8</v>
      </c>
      <c r="L681" s="3">
        <v>0</v>
      </c>
      <c r="M681" s="3">
        <v>0</v>
      </c>
      <c r="N681" s="3">
        <v>8</v>
      </c>
      <c r="O681" s="3">
        <v>0.12</v>
      </c>
      <c r="P681" s="3">
        <v>0</v>
      </c>
      <c r="Q681" s="3">
        <v>0</v>
      </c>
      <c r="R681" s="3">
        <v>0</v>
      </c>
    </row>
    <row r="682" spans="1:18">
      <c r="A682" s="3" t="s">
        <v>1824</v>
      </c>
      <c r="B682" s="3" t="s">
        <v>1825</v>
      </c>
      <c r="C682" s="3" t="s">
        <v>1825</v>
      </c>
      <c r="D682" s="3" t="s">
        <v>1826</v>
      </c>
      <c r="E682" s="3" t="s">
        <v>120</v>
      </c>
      <c r="F682" s="3">
        <v>25.98</v>
      </c>
      <c r="G682" s="3" t="s">
        <v>121</v>
      </c>
      <c r="H682" s="3"/>
      <c r="I682" s="3" t="s">
        <v>122</v>
      </c>
      <c r="J682" s="3">
        <v>9</v>
      </c>
      <c r="K682" s="3">
        <v>9</v>
      </c>
      <c r="L682" s="3">
        <v>0</v>
      </c>
      <c r="M682" s="3">
        <v>0</v>
      </c>
      <c r="N682" s="3">
        <v>9</v>
      </c>
      <c r="O682" s="3">
        <v>0.12</v>
      </c>
      <c r="P682" s="3">
        <v>0</v>
      </c>
      <c r="Q682" s="3">
        <v>0</v>
      </c>
      <c r="R682" s="3">
        <v>0</v>
      </c>
    </row>
    <row r="683" spans="1:18">
      <c r="A683" s="3" t="s">
        <v>1827</v>
      </c>
      <c r="B683" s="3" t="s">
        <v>1828</v>
      </c>
      <c r="C683" s="3" t="s">
        <v>1828</v>
      </c>
      <c r="D683" s="3" t="s">
        <v>1829</v>
      </c>
      <c r="E683" s="3" t="s">
        <v>120</v>
      </c>
      <c r="F683" s="3">
        <v>39.98</v>
      </c>
      <c r="G683" s="3" t="s">
        <v>121</v>
      </c>
      <c r="H683" s="3"/>
      <c r="I683" s="3" t="s">
        <v>122</v>
      </c>
      <c r="J683" s="3">
        <v>0</v>
      </c>
      <c r="K683" s="3">
        <v>0</v>
      </c>
      <c r="L683" s="3">
        <v>0</v>
      </c>
      <c r="M683" s="3">
        <v>0</v>
      </c>
      <c r="N683" s="3">
        <v>0</v>
      </c>
      <c r="O683" s="3">
        <v>0.13</v>
      </c>
      <c r="P683" s="3">
        <v>0</v>
      </c>
      <c r="Q683" s="3">
        <v>0</v>
      </c>
      <c r="R683" s="3">
        <v>0</v>
      </c>
    </row>
    <row r="684" spans="1:18">
      <c r="A684" s="3" t="s">
        <v>1830</v>
      </c>
      <c r="B684" s="3" t="s">
        <v>1831</v>
      </c>
      <c r="C684" s="3" t="s">
        <v>1831</v>
      </c>
      <c r="D684" s="3" t="s">
        <v>1832</v>
      </c>
      <c r="E684" s="3" t="s">
        <v>120</v>
      </c>
      <c r="F684" s="3">
        <v>39.98</v>
      </c>
      <c r="G684" s="3" t="s">
        <v>121</v>
      </c>
      <c r="H684" s="3"/>
      <c r="I684" s="3" t="s">
        <v>122</v>
      </c>
      <c r="J684" s="3">
        <v>3</v>
      </c>
      <c r="K684" s="3">
        <v>3</v>
      </c>
      <c r="L684" s="3">
        <v>0</v>
      </c>
      <c r="M684" s="3">
        <v>0</v>
      </c>
      <c r="N684" s="3">
        <v>3</v>
      </c>
      <c r="O684" s="3">
        <v>0.12</v>
      </c>
      <c r="P684" s="3">
        <v>0</v>
      </c>
      <c r="Q684" s="3">
        <v>0</v>
      </c>
      <c r="R684" s="3">
        <v>0</v>
      </c>
    </row>
    <row r="685" spans="1:18">
      <c r="A685" s="3" t="s">
        <v>1833</v>
      </c>
      <c r="B685" s="3" t="s">
        <v>1834</v>
      </c>
      <c r="C685" s="3" t="s">
        <v>1834</v>
      </c>
      <c r="D685" s="3" t="s">
        <v>1835</v>
      </c>
      <c r="E685" s="3" t="s">
        <v>120</v>
      </c>
      <c r="F685" s="3">
        <v>39.98</v>
      </c>
      <c r="G685" s="3" t="s">
        <v>121</v>
      </c>
      <c r="H685" s="3"/>
      <c r="I685" s="3" t="s">
        <v>122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0.12</v>
      </c>
      <c r="P685" s="3">
        <v>0</v>
      </c>
      <c r="Q685" s="3">
        <v>0</v>
      </c>
      <c r="R685" s="3">
        <v>0</v>
      </c>
    </row>
    <row r="686" spans="1:18">
      <c r="A686" s="3" t="s">
        <v>1836</v>
      </c>
      <c r="B686" s="3" t="s">
        <v>1837</v>
      </c>
      <c r="C686" s="3" t="s">
        <v>1837</v>
      </c>
      <c r="D686" s="3"/>
      <c r="E686" s="3" t="s">
        <v>20</v>
      </c>
      <c r="F686" s="3"/>
      <c r="G686" s="3"/>
      <c r="H686" s="3"/>
      <c r="I686" s="3"/>
      <c r="J686" s="3">
        <v>0</v>
      </c>
      <c r="K686" s="3">
        <v>0</v>
      </c>
      <c r="L686" s="3">
        <v>0</v>
      </c>
      <c r="M686" s="3">
        <v>0</v>
      </c>
      <c r="N686" s="3">
        <v>0</v>
      </c>
      <c r="O686" s="3"/>
      <c r="P686" s="3">
        <v>0</v>
      </c>
      <c r="Q686" s="3">
        <v>0</v>
      </c>
      <c r="R686" s="3">
        <v>0</v>
      </c>
    </row>
    <row r="687" spans="1:18">
      <c r="A687" s="3" t="s">
        <v>1838</v>
      </c>
      <c r="B687" s="3" t="s">
        <v>1839</v>
      </c>
      <c r="C687" s="3" t="s">
        <v>1839</v>
      </c>
      <c r="D687" s="3" t="s">
        <v>1840</v>
      </c>
      <c r="E687" s="3" t="s">
        <v>120</v>
      </c>
      <c r="F687" s="3">
        <v>39.98</v>
      </c>
      <c r="G687" s="3" t="s">
        <v>121</v>
      </c>
      <c r="H687" s="3"/>
      <c r="I687" s="3" t="s">
        <v>122</v>
      </c>
      <c r="J687" s="3">
        <v>2</v>
      </c>
      <c r="K687" s="3">
        <v>2</v>
      </c>
      <c r="L687" s="3">
        <v>0</v>
      </c>
      <c r="M687" s="3">
        <v>0</v>
      </c>
      <c r="N687" s="3">
        <v>2</v>
      </c>
      <c r="O687" s="3">
        <v>0.12</v>
      </c>
      <c r="P687" s="3">
        <v>0</v>
      </c>
      <c r="Q687" s="3">
        <v>0</v>
      </c>
      <c r="R687" s="3">
        <v>0</v>
      </c>
    </row>
    <row r="688" spans="1:18">
      <c r="A688" s="3" t="s">
        <v>1841</v>
      </c>
      <c r="B688" s="3" t="s">
        <v>1842</v>
      </c>
      <c r="C688" s="3" t="s">
        <v>1842</v>
      </c>
      <c r="D688" s="3" t="s">
        <v>1843</v>
      </c>
      <c r="E688" s="3" t="s">
        <v>120</v>
      </c>
      <c r="F688" s="3">
        <v>39.98</v>
      </c>
      <c r="G688" s="3" t="s">
        <v>121</v>
      </c>
      <c r="H688" s="3"/>
      <c r="I688" s="3" t="s">
        <v>122</v>
      </c>
      <c r="J688" s="3">
        <v>0</v>
      </c>
      <c r="K688" s="3">
        <v>0</v>
      </c>
      <c r="L688" s="3">
        <v>0</v>
      </c>
      <c r="M688" s="3">
        <v>0</v>
      </c>
      <c r="N688" s="3">
        <v>0</v>
      </c>
      <c r="O688" s="3">
        <v>0.16</v>
      </c>
      <c r="P688" s="3">
        <v>0</v>
      </c>
      <c r="Q688" s="3">
        <v>0</v>
      </c>
      <c r="R688" s="3">
        <v>0</v>
      </c>
    </row>
    <row r="689" spans="1:18">
      <c r="A689" s="3" t="s">
        <v>1844</v>
      </c>
      <c r="B689" s="3" t="s">
        <v>1845</v>
      </c>
      <c r="C689" s="3" t="s">
        <v>1845</v>
      </c>
      <c r="D689" s="3" t="s">
        <v>1381</v>
      </c>
      <c r="E689" s="3" t="s">
        <v>120</v>
      </c>
      <c r="F689" s="3">
        <v>22.98</v>
      </c>
      <c r="G689" s="3" t="s">
        <v>121</v>
      </c>
      <c r="H689" s="3"/>
      <c r="I689" s="3" t="s">
        <v>122</v>
      </c>
      <c r="J689" s="3">
        <v>0</v>
      </c>
      <c r="K689" s="3">
        <v>0</v>
      </c>
      <c r="L689" s="3">
        <v>0</v>
      </c>
      <c r="M689" s="3">
        <v>0</v>
      </c>
      <c r="N689" s="3">
        <v>0</v>
      </c>
      <c r="O689" s="3">
        <v>0.16</v>
      </c>
      <c r="P689" s="3">
        <v>0</v>
      </c>
      <c r="Q689" s="3">
        <v>0</v>
      </c>
      <c r="R689" s="3">
        <v>0</v>
      </c>
    </row>
    <row r="690" spans="1:18">
      <c r="A690" s="3" t="s">
        <v>1846</v>
      </c>
      <c r="B690" s="3" t="s">
        <v>1847</v>
      </c>
      <c r="C690" s="3" t="s">
        <v>1847</v>
      </c>
      <c r="D690" s="3" t="s">
        <v>1848</v>
      </c>
      <c r="E690" s="3" t="s">
        <v>120</v>
      </c>
      <c r="F690" s="3">
        <v>12.98</v>
      </c>
      <c r="G690" s="3" t="s">
        <v>121</v>
      </c>
      <c r="H690" s="3"/>
      <c r="I690" s="3" t="s">
        <v>122</v>
      </c>
      <c r="J690" s="3">
        <v>0</v>
      </c>
      <c r="K690" s="3">
        <v>0</v>
      </c>
      <c r="L690" s="3">
        <v>0</v>
      </c>
      <c r="M690" s="3">
        <v>0</v>
      </c>
      <c r="N690" s="3">
        <v>0</v>
      </c>
      <c r="O690" s="3">
        <v>0.16</v>
      </c>
      <c r="P690" s="3">
        <v>0</v>
      </c>
      <c r="Q690" s="3">
        <v>0</v>
      </c>
      <c r="R690" s="3">
        <v>0</v>
      </c>
    </row>
    <row r="691" spans="1:18">
      <c r="A691" s="3" t="s">
        <v>1849</v>
      </c>
      <c r="B691" s="3" t="s">
        <v>1850</v>
      </c>
      <c r="C691" s="3" t="s">
        <v>1850</v>
      </c>
      <c r="D691" s="3"/>
      <c r="E691" s="3" t="s">
        <v>20</v>
      </c>
      <c r="F691" s="3"/>
      <c r="G691" s="3"/>
      <c r="H691" s="3"/>
      <c r="I691" s="3"/>
      <c r="J691" s="3">
        <v>0</v>
      </c>
      <c r="K691" s="3">
        <v>0</v>
      </c>
      <c r="L691" s="3">
        <v>0</v>
      </c>
      <c r="M691" s="3">
        <v>0</v>
      </c>
      <c r="N691" s="3">
        <v>0</v>
      </c>
      <c r="O691" s="3"/>
      <c r="P691" s="3">
        <v>0</v>
      </c>
      <c r="Q691" s="3">
        <v>0</v>
      </c>
      <c r="R691" s="3">
        <v>0</v>
      </c>
    </row>
    <row r="692" spans="1:18">
      <c r="A692" s="3" t="s">
        <v>1851</v>
      </c>
      <c r="B692" s="3" t="s">
        <v>1852</v>
      </c>
      <c r="C692" s="3" t="s">
        <v>1852</v>
      </c>
      <c r="D692" s="3" t="s">
        <v>1853</v>
      </c>
      <c r="E692" s="3" t="s">
        <v>120</v>
      </c>
      <c r="F692" s="3">
        <v>24.98</v>
      </c>
      <c r="G692" s="3" t="s">
        <v>121</v>
      </c>
      <c r="H692" s="3"/>
      <c r="I692" s="3" t="s">
        <v>122</v>
      </c>
      <c r="J692" s="3">
        <v>0</v>
      </c>
      <c r="K692" s="3">
        <v>0</v>
      </c>
      <c r="L692" s="3">
        <v>0</v>
      </c>
      <c r="M692" s="3">
        <v>0</v>
      </c>
      <c r="N692" s="3">
        <v>0</v>
      </c>
      <c r="O692" s="3">
        <v>0.05</v>
      </c>
      <c r="P692" s="3">
        <v>0</v>
      </c>
      <c r="Q692" s="3">
        <v>0</v>
      </c>
      <c r="R692" s="3">
        <v>0</v>
      </c>
    </row>
    <row r="693" spans="1:18">
      <c r="A693" s="3" t="s">
        <v>1854</v>
      </c>
      <c r="B693" s="3" t="s">
        <v>1855</v>
      </c>
      <c r="C693" s="3" t="s">
        <v>1855</v>
      </c>
      <c r="D693" s="3" t="s">
        <v>1856</v>
      </c>
      <c r="E693" s="3" t="s">
        <v>120</v>
      </c>
      <c r="F693" s="3">
        <v>22.98</v>
      </c>
      <c r="G693" s="3" t="s">
        <v>121</v>
      </c>
      <c r="H693" s="3"/>
      <c r="I693" s="3" t="s">
        <v>122</v>
      </c>
      <c r="J693" s="3">
        <v>0</v>
      </c>
      <c r="K693" s="3">
        <v>0</v>
      </c>
      <c r="L693" s="3">
        <v>0</v>
      </c>
      <c r="M693" s="3">
        <v>0</v>
      </c>
      <c r="N693" s="3">
        <v>0</v>
      </c>
      <c r="O693" s="3">
        <v>0.05</v>
      </c>
      <c r="P693" s="3">
        <v>0</v>
      </c>
      <c r="Q693" s="3">
        <v>0</v>
      </c>
      <c r="R693" s="3">
        <v>0</v>
      </c>
    </row>
    <row r="694" spans="1:18">
      <c r="A694" s="3" t="s">
        <v>1857</v>
      </c>
      <c r="B694" s="3" t="s">
        <v>1858</v>
      </c>
      <c r="C694" s="3" t="s">
        <v>1858</v>
      </c>
      <c r="D694" s="3" t="s">
        <v>1859</v>
      </c>
      <c r="E694" s="3" t="s">
        <v>120</v>
      </c>
      <c r="F694" s="3">
        <v>14.98</v>
      </c>
      <c r="G694" s="3" t="s">
        <v>121</v>
      </c>
      <c r="H694" s="3"/>
      <c r="I694" s="3" t="s">
        <v>122</v>
      </c>
      <c r="J694" s="3">
        <v>7</v>
      </c>
      <c r="K694" s="3">
        <v>6</v>
      </c>
      <c r="L694" s="3">
        <v>0</v>
      </c>
      <c r="M694" s="3">
        <v>1</v>
      </c>
      <c r="N694" s="3">
        <v>7</v>
      </c>
      <c r="O694" s="3">
        <v>0.05</v>
      </c>
      <c r="P694" s="3">
        <v>0</v>
      </c>
      <c r="Q694" s="3">
        <v>0</v>
      </c>
      <c r="R694" s="3">
        <v>0</v>
      </c>
    </row>
    <row r="695" spans="1:18">
      <c r="A695" s="3" t="s">
        <v>1860</v>
      </c>
      <c r="B695" s="3" t="s">
        <v>1861</v>
      </c>
      <c r="C695" s="3" t="s">
        <v>1861</v>
      </c>
      <c r="D695" s="3" t="s">
        <v>1862</v>
      </c>
      <c r="E695" s="3" t="s">
        <v>120</v>
      </c>
      <c r="F695" s="3">
        <v>24.98</v>
      </c>
      <c r="G695" s="3" t="s">
        <v>122</v>
      </c>
      <c r="H695" s="3">
        <v>0</v>
      </c>
      <c r="I695" s="3" t="s">
        <v>121</v>
      </c>
      <c r="J695" s="3">
        <v>0</v>
      </c>
      <c r="K695" s="3">
        <v>0</v>
      </c>
      <c r="L695" s="3">
        <v>0</v>
      </c>
      <c r="M695" s="3">
        <v>0</v>
      </c>
      <c r="N695" s="3">
        <v>0</v>
      </c>
      <c r="O695" s="3">
        <v>0.05</v>
      </c>
      <c r="P695" s="3">
        <v>0</v>
      </c>
      <c r="Q695" s="3">
        <v>0</v>
      </c>
      <c r="R695" s="3">
        <v>0</v>
      </c>
    </row>
    <row r="696" spans="1:18">
      <c r="A696" s="3" t="s">
        <v>1863</v>
      </c>
      <c r="B696" s="3" t="s">
        <v>1864</v>
      </c>
      <c r="C696" s="3" t="s">
        <v>1864</v>
      </c>
      <c r="D696" s="3" t="s">
        <v>1865</v>
      </c>
      <c r="E696" s="3" t="s">
        <v>120</v>
      </c>
      <c r="F696" s="3">
        <v>22.98</v>
      </c>
      <c r="G696" s="3" t="s">
        <v>121</v>
      </c>
      <c r="H696" s="3"/>
      <c r="I696" s="3" t="s">
        <v>122</v>
      </c>
      <c r="J696" s="3">
        <v>10</v>
      </c>
      <c r="K696" s="3">
        <v>10</v>
      </c>
      <c r="L696" s="3">
        <v>0</v>
      </c>
      <c r="M696" s="3">
        <v>0</v>
      </c>
      <c r="N696" s="3">
        <v>10</v>
      </c>
      <c r="O696" s="3">
        <v>0.05</v>
      </c>
      <c r="P696" s="3">
        <v>0</v>
      </c>
      <c r="Q696" s="3">
        <v>0</v>
      </c>
      <c r="R696" s="3">
        <v>0</v>
      </c>
    </row>
    <row r="697" spans="1:18">
      <c r="A697" s="3" t="s">
        <v>1866</v>
      </c>
      <c r="B697" s="3" t="s">
        <v>1867</v>
      </c>
      <c r="C697" s="3" t="s">
        <v>1867</v>
      </c>
      <c r="D697" s="3" t="s">
        <v>1868</v>
      </c>
      <c r="E697" s="3" t="s">
        <v>120</v>
      </c>
      <c r="F697" s="3">
        <v>22.98</v>
      </c>
      <c r="G697" s="3" t="s">
        <v>122</v>
      </c>
      <c r="H697" s="3">
        <v>0</v>
      </c>
      <c r="I697" s="3" t="s">
        <v>121</v>
      </c>
      <c r="J697" s="3">
        <v>1</v>
      </c>
      <c r="K697" s="3">
        <v>1</v>
      </c>
      <c r="L697" s="3">
        <v>0</v>
      </c>
      <c r="M697" s="3">
        <v>0</v>
      </c>
      <c r="N697" s="3">
        <v>1</v>
      </c>
      <c r="O697" s="3">
        <v>0.05</v>
      </c>
      <c r="P697" s="3">
        <v>0</v>
      </c>
      <c r="Q697" s="3">
        <v>0</v>
      </c>
      <c r="R697" s="3">
        <v>0</v>
      </c>
    </row>
    <row r="698" spans="1:18">
      <c r="A698" s="3" t="s">
        <v>1869</v>
      </c>
      <c r="B698" s="3" t="s">
        <v>1870</v>
      </c>
      <c r="C698" s="3" t="s">
        <v>1870</v>
      </c>
      <c r="D698" s="3" t="s">
        <v>1871</v>
      </c>
      <c r="E698" s="3" t="s">
        <v>120</v>
      </c>
      <c r="F698" s="3">
        <v>22.98</v>
      </c>
      <c r="G698" s="3" t="s">
        <v>122</v>
      </c>
      <c r="H698" s="3">
        <v>0</v>
      </c>
      <c r="I698" s="3" t="s">
        <v>121</v>
      </c>
      <c r="J698" s="3">
        <v>2</v>
      </c>
      <c r="K698" s="3">
        <v>2</v>
      </c>
      <c r="L698" s="3">
        <v>0</v>
      </c>
      <c r="M698" s="3">
        <v>0</v>
      </c>
      <c r="N698" s="3">
        <v>2</v>
      </c>
      <c r="O698" s="3">
        <v>0.02</v>
      </c>
      <c r="P698" s="3">
        <v>0</v>
      </c>
      <c r="Q698" s="3">
        <v>0</v>
      </c>
      <c r="R698" s="3">
        <v>0</v>
      </c>
    </row>
    <row r="699" spans="1:18">
      <c r="A699" s="3" t="s">
        <v>1872</v>
      </c>
      <c r="B699" s="3" t="s">
        <v>1873</v>
      </c>
      <c r="C699" s="3" t="s">
        <v>1873</v>
      </c>
      <c r="D699" s="3" t="s">
        <v>1874</v>
      </c>
      <c r="E699" s="3" t="s">
        <v>20</v>
      </c>
      <c r="F699" s="3"/>
      <c r="G699" s="3"/>
      <c r="H699" s="3"/>
      <c r="I699" s="3"/>
      <c r="J699" s="3">
        <v>2</v>
      </c>
      <c r="K699" s="3">
        <v>2</v>
      </c>
      <c r="L699" s="3">
        <v>0</v>
      </c>
      <c r="M699" s="3">
        <v>0</v>
      </c>
      <c r="N699" s="3">
        <v>2</v>
      </c>
      <c r="O699" s="3">
        <v>0.02</v>
      </c>
      <c r="P699" s="3">
        <v>0</v>
      </c>
      <c r="Q699" s="3">
        <v>0</v>
      </c>
      <c r="R699" s="3">
        <v>0</v>
      </c>
    </row>
    <row r="700" spans="1:18">
      <c r="A700" s="3" t="s">
        <v>1875</v>
      </c>
      <c r="B700" s="3" t="s">
        <v>1876</v>
      </c>
      <c r="C700" s="3" t="s">
        <v>1876</v>
      </c>
      <c r="D700" s="3"/>
      <c r="E700" s="3" t="s">
        <v>20</v>
      </c>
      <c r="F700" s="3"/>
      <c r="G700" s="3"/>
      <c r="H700" s="3"/>
      <c r="I700" s="3"/>
      <c r="J700" s="3">
        <v>1</v>
      </c>
      <c r="K700" s="3">
        <v>1</v>
      </c>
      <c r="L700" s="3">
        <v>0</v>
      </c>
      <c r="M700" s="3">
        <v>0</v>
      </c>
      <c r="N700" s="3">
        <v>1</v>
      </c>
      <c r="O700" s="3"/>
      <c r="P700" s="3">
        <v>0</v>
      </c>
      <c r="Q700" s="3">
        <v>0</v>
      </c>
      <c r="R700" s="3">
        <v>0</v>
      </c>
    </row>
    <row r="701" spans="1:18">
      <c r="A701" s="3" t="s">
        <v>1877</v>
      </c>
      <c r="B701" s="3" t="s">
        <v>1878</v>
      </c>
      <c r="C701" s="3" t="s">
        <v>1878</v>
      </c>
      <c r="D701" s="3" t="s">
        <v>1879</v>
      </c>
      <c r="E701" s="3" t="s">
        <v>120</v>
      </c>
      <c r="F701" s="3">
        <v>22.98</v>
      </c>
      <c r="G701" s="3" t="s">
        <v>121</v>
      </c>
      <c r="H701" s="3"/>
      <c r="I701" s="3" t="s">
        <v>122</v>
      </c>
      <c r="J701" s="3">
        <v>0</v>
      </c>
      <c r="K701" s="3">
        <v>0</v>
      </c>
      <c r="L701" s="3">
        <v>0</v>
      </c>
      <c r="M701" s="3">
        <v>0</v>
      </c>
      <c r="N701" s="3">
        <v>0</v>
      </c>
      <c r="O701" s="3">
        <v>0.05</v>
      </c>
      <c r="P701" s="3">
        <v>0</v>
      </c>
      <c r="Q701" s="3">
        <v>0</v>
      </c>
      <c r="R701" s="3">
        <v>0</v>
      </c>
    </row>
    <row r="702" spans="1:18">
      <c r="A702" s="3" t="s">
        <v>1880</v>
      </c>
      <c r="B702" s="3" t="s">
        <v>1344</v>
      </c>
      <c r="C702" s="3" t="s">
        <v>1344</v>
      </c>
      <c r="D702" s="3" t="s">
        <v>1345</v>
      </c>
      <c r="E702" s="3" t="s">
        <v>120</v>
      </c>
      <c r="F702" s="3">
        <v>22.98</v>
      </c>
      <c r="G702" s="3" t="s">
        <v>121</v>
      </c>
      <c r="H702" s="3"/>
      <c r="I702" s="3" t="s">
        <v>122</v>
      </c>
      <c r="J702" s="3">
        <v>1</v>
      </c>
      <c r="K702" s="3">
        <v>0</v>
      </c>
      <c r="L702" s="3">
        <v>0</v>
      </c>
      <c r="M702" s="3">
        <v>1</v>
      </c>
      <c r="N702" s="3">
        <v>1</v>
      </c>
      <c r="O702" s="3">
        <v>0.05</v>
      </c>
      <c r="P702" s="3">
        <v>0</v>
      </c>
      <c r="Q702" s="3">
        <v>0</v>
      </c>
      <c r="R702" s="3">
        <v>0</v>
      </c>
    </row>
    <row r="703" spans="1:18">
      <c r="A703" s="3" t="s">
        <v>1881</v>
      </c>
      <c r="B703" s="3" t="s">
        <v>1882</v>
      </c>
      <c r="C703" s="3" t="s">
        <v>1882</v>
      </c>
      <c r="D703" s="3" t="s">
        <v>1883</v>
      </c>
      <c r="E703" s="3" t="s">
        <v>20</v>
      </c>
      <c r="F703" s="3">
        <v>0</v>
      </c>
      <c r="G703" s="3" t="s">
        <v>121</v>
      </c>
      <c r="H703" s="3"/>
      <c r="I703" s="3" t="s">
        <v>122</v>
      </c>
      <c r="J703" s="3">
        <v>1</v>
      </c>
      <c r="K703" s="3">
        <v>1</v>
      </c>
      <c r="L703" s="3">
        <v>0</v>
      </c>
      <c r="M703" s="3">
        <v>0</v>
      </c>
      <c r="N703" s="3">
        <v>1</v>
      </c>
      <c r="O703" s="3">
        <v>0.05</v>
      </c>
      <c r="P703" s="3">
        <v>0</v>
      </c>
      <c r="Q703" s="3">
        <v>0</v>
      </c>
      <c r="R703" s="3">
        <v>0</v>
      </c>
    </row>
    <row r="704" spans="1:18">
      <c r="A704" s="3" t="s">
        <v>1884</v>
      </c>
      <c r="B704" s="3" t="s">
        <v>1885</v>
      </c>
      <c r="C704" s="3" t="s">
        <v>1885</v>
      </c>
      <c r="D704" s="3" t="s">
        <v>1886</v>
      </c>
      <c r="E704" s="3" t="s">
        <v>120</v>
      </c>
      <c r="F704" s="3">
        <v>19.98</v>
      </c>
      <c r="G704" s="3" t="s">
        <v>121</v>
      </c>
      <c r="H704" s="3"/>
      <c r="I704" s="3" t="s">
        <v>122</v>
      </c>
      <c r="J704" s="3">
        <v>8</v>
      </c>
      <c r="K704" s="3">
        <v>7</v>
      </c>
      <c r="L704" s="3">
        <v>0</v>
      </c>
      <c r="M704" s="3">
        <v>1</v>
      </c>
      <c r="N704" s="3">
        <v>8</v>
      </c>
      <c r="O704" s="3">
        <v>0.05</v>
      </c>
      <c r="P704" s="3">
        <v>0</v>
      </c>
      <c r="Q704" s="3">
        <v>0</v>
      </c>
      <c r="R704" s="3">
        <v>0</v>
      </c>
    </row>
    <row r="705" spans="1:18">
      <c r="A705" s="3" t="s">
        <v>1887</v>
      </c>
      <c r="B705" s="3" t="s">
        <v>1888</v>
      </c>
      <c r="C705" s="3" t="s">
        <v>1888</v>
      </c>
      <c r="D705" s="3" t="s">
        <v>1889</v>
      </c>
      <c r="E705" s="3" t="s">
        <v>120</v>
      </c>
      <c r="F705" s="3">
        <v>24.98</v>
      </c>
      <c r="G705" s="3" t="s">
        <v>121</v>
      </c>
      <c r="H705" s="3"/>
      <c r="I705" s="3" t="s">
        <v>122</v>
      </c>
      <c r="J705" s="3">
        <v>0</v>
      </c>
      <c r="K705" s="3">
        <v>0</v>
      </c>
      <c r="L705" s="3">
        <v>0</v>
      </c>
      <c r="M705" s="3">
        <v>0</v>
      </c>
      <c r="N705" s="3">
        <v>0</v>
      </c>
      <c r="O705" s="3">
        <v>0.05</v>
      </c>
      <c r="P705" s="3">
        <v>0</v>
      </c>
      <c r="Q705" s="3">
        <v>0</v>
      </c>
      <c r="R705" s="3">
        <v>0</v>
      </c>
    </row>
    <row r="706" spans="1:18">
      <c r="A706" s="3" t="s">
        <v>1890</v>
      </c>
      <c r="B706" s="3" t="s">
        <v>1891</v>
      </c>
      <c r="C706" s="3" t="s">
        <v>1891</v>
      </c>
      <c r="D706" s="3" t="s">
        <v>1892</v>
      </c>
      <c r="E706" s="3" t="s">
        <v>120</v>
      </c>
      <c r="F706" s="3">
        <v>22.98</v>
      </c>
      <c r="G706" s="3" t="s">
        <v>121</v>
      </c>
      <c r="H706" s="3"/>
      <c r="I706" s="3" t="s">
        <v>122</v>
      </c>
      <c r="J706" s="3">
        <v>0</v>
      </c>
      <c r="K706" s="3">
        <v>0</v>
      </c>
      <c r="L706" s="3">
        <v>0</v>
      </c>
      <c r="M706" s="3">
        <v>0</v>
      </c>
      <c r="N706" s="3">
        <v>0</v>
      </c>
      <c r="O706" s="3">
        <v>0.05</v>
      </c>
      <c r="P706" s="3">
        <v>0</v>
      </c>
      <c r="Q706" s="3">
        <v>0</v>
      </c>
      <c r="R706" s="3">
        <v>0</v>
      </c>
    </row>
    <row r="707" spans="1:18">
      <c r="A707" s="3" t="s">
        <v>1893</v>
      </c>
      <c r="B707" s="3" t="s">
        <v>1894</v>
      </c>
      <c r="C707" s="3" t="s">
        <v>1894</v>
      </c>
      <c r="D707" s="3" t="s">
        <v>1895</v>
      </c>
      <c r="E707" s="3" t="s">
        <v>120</v>
      </c>
      <c r="F707" s="3">
        <v>22.98</v>
      </c>
      <c r="G707" s="3" t="s">
        <v>121</v>
      </c>
      <c r="H707" s="3"/>
      <c r="I707" s="3" t="s">
        <v>122</v>
      </c>
      <c r="J707" s="3">
        <v>0</v>
      </c>
      <c r="K707" s="3">
        <v>0</v>
      </c>
      <c r="L707" s="3">
        <v>0</v>
      </c>
      <c r="M707" s="3">
        <v>0</v>
      </c>
      <c r="N707" s="3">
        <v>0</v>
      </c>
      <c r="O707" s="3">
        <v>0.05</v>
      </c>
      <c r="P707" s="3">
        <v>0</v>
      </c>
      <c r="Q707" s="3">
        <v>0</v>
      </c>
      <c r="R707" s="3">
        <v>0</v>
      </c>
    </row>
    <row r="708" spans="1:18">
      <c r="A708" s="3" t="s">
        <v>1896</v>
      </c>
      <c r="B708" s="3" t="s">
        <v>1897</v>
      </c>
      <c r="C708" s="3" t="s">
        <v>1897</v>
      </c>
      <c r="D708" s="3" t="s">
        <v>1898</v>
      </c>
      <c r="E708" s="3" t="s">
        <v>120</v>
      </c>
      <c r="F708" s="3">
        <v>19.98</v>
      </c>
      <c r="G708" s="3" t="s">
        <v>121</v>
      </c>
      <c r="H708" s="3"/>
      <c r="I708" s="3" t="s">
        <v>122</v>
      </c>
      <c r="J708" s="3">
        <v>4</v>
      </c>
      <c r="K708" s="3">
        <v>4</v>
      </c>
      <c r="L708" s="3">
        <v>0</v>
      </c>
      <c r="M708" s="3">
        <v>0</v>
      </c>
      <c r="N708" s="3">
        <v>4</v>
      </c>
      <c r="O708" s="3">
        <v>0.05</v>
      </c>
      <c r="P708" s="3">
        <v>0</v>
      </c>
      <c r="Q708" s="3">
        <v>0</v>
      </c>
      <c r="R708" s="3">
        <v>0</v>
      </c>
    </row>
    <row r="709" spans="1:18">
      <c r="A709" s="3" t="s">
        <v>1899</v>
      </c>
      <c r="B709" s="3" t="s">
        <v>1900</v>
      </c>
      <c r="C709" s="3" t="s">
        <v>1900</v>
      </c>
      <c r="D709" s="3" t="s">
        <v>1369</v>
      </c>
      <c r="E709" s="3" t="s">
        <v>120</v>
      </c>
      <c r="F709" s="3">
        <v>22.98</v>
      </c>
      <c r="G709" s="3" t="s">
        <v>121</v>
      </c>
      <c r="H709" s="3"/>
      <c r="I709" s="3" t="s">
        <v>122</v>
      </c>
      <c r="J709" s="3">
        <v>0</v>
      </c>
      <c r="K709" s="3">
        <v>0</v>
      </c>
      <c r="L709" s="3">
        <v>0</v>
      </c>
      <c r="M709" s="3">
        <v>0</v>
      </c>
      <c r="N709" s="3">
        <v>0</v>
      </c>
      <c r="O709" s="3">
        <v>0.05</v>
      </c>
      <c r="P709" s="3">
        <v>0</v>
      </c>
      <c r="Q709" s="3">
        <v>0</v>
      </c>
      <c r="R709" s="3">
        <v>0</v>
      </c>
    </row>
    <row r="710" spans="1:18">
      <c r="A710" s="3" t="s">
        <v>1901</v>
      </c>
      <c r="B710" s="3" t="s">
        <v>1902</v>
      </c>
      <c r="C710" s="3" t="s">
        <v>1902</v>
      </c>
      <c r="D710" s="3" t="s">
        <v>1373</v>
      </c>
      <c r="E710" s="3" t="s">
        <v>120</v>
      </c>
      <c r="F710" s="3">
        <v>22.98</v>
      </c>
      <c r="G710" s="3" t="s">
        <v>121</v>
      </c>
      <c r="H710" s="3"/>
      <c r="I710" s="3" t="s">
        <v>122</v>
      </c>
      <c r="J710" s="3">
        <v>0</v>
      </c>
      <c r="K710" s="3">
        <v>0</v>
      </c>
      <c r="L710" s="3">
        <v>0</v>
      </c>
      <c r="M710" s="3">
        <v>0</v>
      </c>
      <c r="N710" s="3">
        <v>0</v>
      </c>
      <c r="O710" s="3">
        <v>0.05</v>
      </c>
      <c r="P710" s="3">
        <v>0</v>
      </c>
      <c r="Q710" s="3">
        <v>0</v>
      </c>
      <c r="R710" s="3">
        <v>0</v>
      </c>
    </row>
    <row r="711" spans="1:18">
      <c r="A711" s="3" t="s">
        <v>1903</v>
      </c>
      <c r="B711" s="3" t="s">
        <v>1904</v>
      </c>
      <c r="C711" s="3" t="s">
        <v>1904</v>
      </c>
      <c r="D711" s="3" t="s">
        <v>1905</v>
      </c>
      <c r="E711" s="3" t="s">
        <v>120</v>
      </c>
      <c r="F711" s="3">
        <v>22.98</v>
      </c>
      <c r="G711" s="3" t="s">
        <v>122</v>
      </c>
      <c r="H711" s="3">
        <v>0</v>
      </c>
      <c r="I711" s="3" t="s">
        <v>121</v>
      </c>
      <c r="J711" s="3">
        <v>3</v>
      </c>
      <c r="K711" s="3">
        <v>3</v>
      </c>
      <c r="L711" s="3">
        <v>0</v>
      </c>
      <c r="M711" s="3">
        <v>0</v>
      </c>
      <c r="N711" s="3">
        <v>3</v>
      </c>
      <c r="O711" s="3">
        <v>0.05</v>
      </c>
      <c r="P711" s="3">
        <v>0</v>
      </c>
      <c r="Q711" s="3">
        <v>0</v>
      </c>
      <c r="R711" s="3">
        <v>0</v>
      </c>
    </row>
    <row r="712" spans="1:18">
      <c r="A712" s="3" t="s">
        <v>1906</v>
      </c>
      <c r="B712" s="3" t="s">
        <v>1907</v>
      </c>
      <c r="C712" s="3" t="s">
        <v>1907</v>
      </c>
      <c r="D712" s="3" t="s">
        <v>1908</v>
      </c>
      <c r="E712" s="3" t="s">
        <v>120</v>
      </c>
      <c r="F712" s="3">
        <v>22.98</v>
      </c>
      <c r="G712" s="3" t="s">
        <v>121</v>
      </c>
      <c r="H712" s="3"/>
      <c r="I712" s="3" t="s">
        <v>122</v>
      </c>
      <c r="J712" s="3">
        <v>0</v>
      </c>
      <c r="K712" s="3">
        <v>0</v>
      </c>
      <c r="L712" s="3">
        <v>0</v>
      </c>
      <c r="M712" s="3">
        <v>0</v>
      </c>
      <c r="N712" s="3">
        <v>0</v>
      </c>
      <c r="O712" s="3">
        <v>0.05</v>
      </c>
      <c r="P712" s="3">
        <v>0</v>
      </c>
      <c r="Q712" s="3">
        <v>0</v>
      </c>
      <c r="R712" s="3">
        <v>0</v>
      </c>
    </row>
    <row r="713" spans="1:18">
      <c r="A713" s="3" t="s">
        <v>1909</v>
      </c>
      <c r="B713" s="3" t="s">
        <v>1910</v>
      </c>
      <c r="C713" s="3" t="s">
        <v>1910</v>
      </c>
      <c r="D713" s="3" t="s">
        <v>1911</v>
      </c>
      <c r="E713" s="3" t="s">
        <v>120</v>
      </c>
      <c r="F713" s="3">
        <v>23.98</v>
      </c>
      <c r="G713" s="3" t="s">
        <v>121</v>
      </c>
      <c r="H713" s="3"/>
      <c r="I713" s="3" t="s">
        <v>122</v>
      </c>
      <c r="J713" s="3">
        <v>1</v>
      </c>
      <c r="K713" s="3">
        <v>1</v>
      </c>
      <c r="L713" s="3">
        <v>0</v>
      </c>
      <c r="M713" s="3">
        <v>0</v>
      </c>
      <c r="N713" s="3">
        <v>1</v>
      </c>
      <c r="O713" s="3">
        <v>0.05</v>
      </c>
      <c r="P713" s="3">
        <v>0</v>
      </c>
      <c r="Q713" s="3">
        <v>0</v>
      </c>
      <c r="R713" s="3">
        <v>0</v>
      </c>
    </row>
    <row r="714" spans="1:18">
      <c r="A714" s="3" t="s">
        <v>1912</v>
      </c>
      <c r="B714" s="3" t="s">
        <v>1396</v>
      </c>
      <c r="C714" s="3" t="s">
        <v>1396</v>
      </c>
      <c r="D714" s="3" t="s">
        <v>1397</v>
      </c>
      <c r="E714" s="3" t="s">
        <v>120</v>
      </c>
      <c r="F714" s="3">
        <v>22.98</v>
      </c>
      <c r="G714" s="3" t="s">
        <v>121</v>
      </c>
      <c r="H714" s="3"/>
      <c r="I714" s="3" t="s">
        <v>122</v>
      </c>
      <c r="J714" s="3">
        <v>5</v>
      </c>
      <c r="K714" s="3">
        <v>2</v>
      </c>
      <c r="L714" s="3">
        <v>1</v>
      </c>
      <c r="M714" s="3">
        <v>2</v>
      </c>
      <c r="N714" s="3">
        <v>5</v>
      </c>
      <c r="O714" s="3">
        <v>0.05</v>
      </c>
      <c r="P714" s="3">
        <v>0</v>
      </c>
      <c r="Q714" s="3">
        <v>0</v>
      </c>
      <c r="R714" s="3">
        <v>0</v>
      </c>
    </row>
    <row r="715" spans="1:18">
      <c r="A715" s="3" t="s">
        <v>1913</v>
      </c>
      <c r="B715" s="3" t="s">
        <v>1914</v>
      </c>
      <c r="C715" s="3" t="s">
        <v>1914</v>
      </c>
      <c r="D715" s="3" t="s">
        <v>1915</v>
      </c>
      <c r="E715" s="3" t="s">
        <v>120</v>
      </c>
      <c r="F715" s="3">
        <v>22.98</v>
      </c>
      <c r="G715" s="3" t="s">
        <v>121</v>
      </c>
      <c r="H715" s="3"/>
      <c r="I715" s="3" t="s">
        <v>122</v>
      </c>
      <c r="J715" s="3">
        <v>0</v>
      </c>
      <c r="K715" s="3">
        <v>0</v>
      </c>
      <c r="L715" s="3">
        <v>0</v>
      </c>
      <c r="M715" s="3">
        <v>0</v>
      </c>
      <c r="N715" s="3">
        <v>0</v>
      </c>
      <c r="O715" s="3">
        <v>0.05</v>
      </c>
      <c r="P715" s="3">
        <v>0</v>
      </c>
      <c r="Q715" s="3">
        <v>0</v>
      </c>
      <c r="R715" s="3">
        <v>0</v>
      </c>
    </row>
    <row r="716" spans="1:18">
      <c r="A716" s="3" t="s">
        <v>1916</v>
      </c>
      <c r="B716" s="3" t="s">
        <v>1917</v>
      </c>
      <c r="C716" s="3" t="s">
        <v>1917</v>
      </c>
      <c r="D716" s="3" t="s">
        <v>1918</v>
      </c>
      <c r="E716" s="3" t="s">
        <v>120</v>
      </c>
      <c r="F716" s="3">
        <v>22.98</v>
      </c>
      <c r="G716" s="3" t="s">
        <v>121</v>
      </c>
      <c r="H716" s="3"/>
      <c r="I716" s="3" t="s">
        <v>122</v>
      </c>
      <c r="J716" s="3">
        <v>0</v>
      </c>
      <c r="K716" s="3">
        <v>0</v>
      </c>
      <c r="L716" s="3">
        <v>0</v>
      </c>
      <c r="M716" s="3">
        <v>0</v>
      </c>
      <c r="N716" s="3">
        <v>0</v>
      </c>
      <c r="O716" s="3">
        <v>0.05</v>
      </c>
      <c r="P716" s="3">
        <v>0</v>
      </c>
      <c r="Q716" s="3">
        <v>0</v>
      </c>
      <c r="R716" s="3">
        <v>0</v>
      </c>
    </row>
    <row r="717" spans="1:18">
      <c r="A717" s="3" t="s">
        <v>1919</v>
      </c>
      <c r="B717" s="3" t="s">
        <v>1920</v>
      </c>
      <c r="C717" s="3" t="s">
        <v>1920</v>
      </c>
      <c r="D717" s="3" t="s">
        <v>1921</v>
      </c>
      <c r="E717" s="3" t="s">
        <v>120</v>
      </c>
      <c r="F717" s="3">
        <v>24.98</v>
      </c>
      <c r="G717" s="3" t="s">
        <v>122</v>
      </c>
      <c r="H717" s="3">
        <v>0</v>
      </c>
      <c r="I717" s="3" t="s">
        <v>121</v>
      </c>
      <c r="J717" s="3">
        <v>1</v>
      </c>
      <c r="K717" s="3">
        <v>1</v>
      </c>
      <c r="L717" s="3">
        <v>0</v>
      </c>
      <c r="M717" s="3">
        <v>0</v>
      </c>
      <c r="N717" s="3">
        <v>1</v>
      </c>
      <c r="O717" s="3">
        <v>0.05</v>
      </c>
      <c r="P717" s="3">
        <v>0</v>
      </c>
      <c r="Q717" s="3">
        <v>0</v>
      </c>
      <c r="R717" s="3">
        <v>0</v>
      </c>
    </row>
    <row r="718" spans="1:18">
      <c r="A718" s="3" t="s">
        <v>1922</v>
      </c>
      <c r="B718" s="3" t="s">
        <v>1923</v>
      </c>
      <c r="C718" s="3" t="s">
        <v>1923</v>
      </c>
      <c r="D718" s="3"/>
      <c r="E718" s="3" t="s">
        <v>20</v>
      </c>
      <c r="F718" s="3"/>
      <c r="G718" s="3"/>
      <c r="H718" s="3"/>
      <c r="I718" s="3"/>
      <c r="J718" s="3">
        <v>0</v>
      </c>
      <c r="K718" s="3">
        <v>0</v>
      </c>
      <c r="L718" s="3">
        <v>0</v>
      </c>
      <c r="M718" s="3">
        <v>0</v>
      </c>
      <c r="N718" s="3">
        <v>0</v>
      </c>
      <c r="O718" s="3"/>
      <c r="P718" s="3">
        <v>0</v>
      </c>
      <c r="Q718" s="3">
        <v>0</v>
      </c>
      <c r="R718" s="3">
        <v>0</v>
      </c>
    </row>
    <row r="719" spans="1:18">
      <c r="A719" s="3" t="s">
        <v>1924</v>
      </c>
      <c r="B719" s="3" t="s">
        <v>1925</v>
      </c>
      <c r="C719" s="3" t="s">
        <v>1925</v>
      </c>
      <c r="D719" s="3" t="s">
        <v>1926</v>
      </c>
      <c r="E719" s="3" t="s">
        <v>120</v>
      </c>
      <c r="F719" s="3">
        <v>22.98</v>
      </c>
      <c r="G719" s="3" t="s">
        <v>121</v>
      </c>
      <c r="H719" s="3"/>
      <c r="I719" s="3" t="s">
        <v>122</v>
      </c>
      <c r="J719" s="3">
        <v>0</v>
      </c>
      <c r="K719" s="3">
        <v>0</v>
      </c>
      <c r="L719" s="3">
        <v>0</v>
      </c>
      <c r="M719" s="3">
        <v>0</v>
      </c>
      <c r="N719" s="3">
        <v>0</v>
      </c>
      <c r="O719" s="3">
        <v>0.05</v>
      </c>
      <c r="P719" s="3">
        <v>0</v>
      </c>
      <c r="Q719" s="3">
        <v>0</v>
      </c>
      <c r="R719" s="3">
        <v>0</v>
      </c>
    </row>
    <row r="720" spans="1:18">
      <c r="A720" s="3" t="s">
        <v>1927</v>
      </c>
      <c r="B720" s="3" t="s">
        <v>1928</v>
      </c>
      <c r="C720" s="3" t="s">
        <v>1928</v>
      </c>
      <c r="D720" s="3" t="s">
        <v>1929</v>
      </c>
      <c r="E720" s="3" t="s">
        <v>120</v>
      </c>
      <c r="F720" s="3">
        <v>23.98</v>
      </c>
      <c r="G720" s="3" t="s">
        <v>121</v>
      </c>
      <c r="H720" s="3"/>
      <c r="I720" s="3" t="s">
        <v>122</v>
      </c>
      <c r="J720" s="3">
        <v>0</v>
      </c>
      <c r="K720" s="3">
        <v>0</v>
      </c>
      <c r="L720" s="3">
        <v>0</v>
      </c>
      <c r="M720" s="3">
        <v>0</v>
      </c>
      <c r="N720" s="3">
        <v>0</v>
      </c>
      <c r="O720" s="3">
        <v>0.05</v>
      </c>
      <c r="P720" s="3">
        <v>0</v>
      </c>
      <c r="Q720" s="3">
        <v>0</v>
      </c>
      <c r="R720" s="3">
        <v>0</v>
      </c>
    </row>
    <row r="721" spans="1:18">
      <c r="A721" s="3" t="s">
        <v>1930</v>
      </c>
      <c r="B721" s="3" t="s">
        <v>1931</v>
      </c>
      <c r="C721" s="3" t="s">
        <v>1931</v>
      </c>
      <c r="D721" s="3" t="s">
        <v>1932</v>
      </c>
      <c r="E721" s="3" t="s">
        <v>120</v>
      </c>
      <c r="F721" s="3">
        <v>19.98</v>
      </c>
      <c r="G721" s="3" t="s">
        <v>121</v>
      </c>
      <c r="H721" s="3"/>
      <c r="I721" s="3" t="s">
        <v>122</v>
      </c>
      <c r="J721" s="3">
        <v>1</v>
      </c>
      <c r="K721" s="3">
        <v>1</v>
      </c>
      <c r="L721" s="3">
        <v>0</v>
      </c>
      <c r="M721" s="3">
        <v>0</v>
      </c>
      <c r="N721" s="3">
        <v>1</v>
      </c>
      <c r="O721" s="3">
        <v>0.05</v>
      </c>
      <c r="P721" s="3">
        <v>0</v>
      </c>
      <c r="Q721" s="3">
        <v>0</v>
      </c>
      <c r="R721" s="3">
        <v>0</v>
      </c>
    </row>
    <row r="722" spans="1:18">
      <c r="A722" s="3" t="s">
        <v>1933</v>
      </c>
      <c r="B722" s="3" t="s">
        <v>1424</v>
      </c>
      <c r="C722" s="3" t="s">
        <v>1424</v>
      </c>
      <c r="D722" s="3"/>
      <c r="E722" s="3" t="s">
        <v>20</v>
      </c>
      <c r="F722" s="3"/>
      <c r="G722" s="3"/>
      <c r="H722" s="3"/>
      <c r="I722" s="3"/>
      <c r="J722" s="3">
        <v>0</v>
      </c>
      <c r="K722" s="3">
        <v>0</v>
      </c>
      <c r="L722" s="3">
        <v>0</v>
      </c>
      <c r="M722" s="3">
        <v>0</v>
      </c>
      <c r="N722" s="3">
        <v>0</v>
      </c>
      <c r="O722" s="3"/>
      <c r="P722" s="3">
        <v>0</v>
      </c>
      <c r="Q722" s="3">
        <v>0</v>
      </c>
      <c r="R722" s="3">
        <v>0</v>
      </c>
    </row>
    <row r="723" spans="1:18">
      <c r="A723" s="3" t="s">
        <v>1934</v>
      </c>
      <c r="B723" s="3" t="s">
        <v>1935</v>
      </c>
      <c r="C723" s="3" t="s">
        <v>1935</v>
      </c>
      <c r="D723" s="3"/>
      <c r="E723" s="3" t="s">
        <v>20</v>
      </c>
      <c r="F723" s="3"/>
      <c r="G723" s="3"/>
      <c r="H723" s="3"/>
      <c r="I723" s="3"/>
      <c r="J723" s="3">
        <v>0</v>
      </c>
      <c r="K723" s="3">
        <v>0</v>
      </c>
      <c r="L723" s="3">
        <v>0</v>
      </c>
      <c r="M723" s="3">
        <v>0</v>
      </c>
      <c r="N723" s="3">
        <v>0</v>
      </c>
      <c r="O723" s="3"/>
      <c r="P723" s="3">
        <v>0</v>
      </c>
      <c r="Q723" s="3">
        <v>0</v>
      </c>
      <c r="R723" s="3">
        <v>0</v>
      </c>
    </row>
    <row r="724" spans="1:18">
      <c r="A724" s="3" t="s">
        <v>1936</v>
      </c>
      <c r="B724" s="3" t="s">
        <v>1937</v>
      </c>
      <c r="C724" s="3" t="s">
        <v>1937</v>
      </c>
      <c r="D724" s="3" t="s">
        <v>1938</v>
      </c>
      <c r="E724" s="3" t="s">
        <v>120</v>
      </c>
      <c r="F724" s="3">
        <v>39.98</v>
      </c>
      <c r="G724" s="3" t="s">
        <v>121</v>
      </c>
      <c r="H724" s="3"/>
      <c r="I724" s="3" t="s">
        <v>122</v>
      </c>
      <c r="J724" s="3">
        <v>0</v>
      </c>
      <c r="K724" s="3">
        <v>0</v>
      </c>
      <c r="L724" s="3">
        <v>0</v>
      </c>
      <c r="M724" s="3">
        <v>0</v>
      </c>
      <c r="N724" s="3">
        <v>0</v>
      </c>
      <c r="O724" s="3">
        <v>0.05</v>
      </c>
      <c r="P724" s="3">
        <v>0</v>
      </c>
      <c r="Q724" s="3">
        <v>0</v>
      </c>
      <c r="R724" s="3">
        <v>0</v>
      </c>
    </row>
    <row r="725" spans="1:18">
      <c r="A725" s="3" t="s">
        <v>1939</v>
      </c>
      <c r="B725" s="3" t="s">
        <v>1940</v>
      </c>
      <c r="C725" s="3" t="s">
        <v>1940</v>
      </c>
      <c r="D725" s="3" t="s">
        <v>1941</v>
      </c>
      <c r="E725" s="3" t="s">
        <v>120</v>
      </c>
      <c r="F725" s="3">
        <v>39.98</v>
      </c>
      <c r="G725" s="3" t="s">
        <v>121</v>
      </c>
      <c r="H725" s="3"/>
      <c r="I725" s="3" t="s">
        <v>122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0.05</v>
      </c>
      <c r="P725" s="3">
        <v>0</v>
      </c>
      <c r="Q725" s="3">
        <v>0</v>
      </c>
      <c r="R725" s="3">
        <v>0</v>
      </c>
    </row>
    <row r="726" spans="1:18">
      <c r="A726" s="3" t="s">
        <v>1942</v>
      </c>
      <c r="B726" s="3" t="s">
        <v>1943</v>
      </c>
      <c r="C726" s="3" t="s">
        <v>1943</v>
      </c>
      <c r="D726" s="3" t="s">
        <v>1944</v>
      </c>
      <c r="E726" s="3" t="s">
        <v>120</v>
      </c>
      <c r="F726" s="3">
        <v>21.98</v>
      </c>
      <c r="G726" s="3" t="s">
        <v>121</v>
      </c>
      <c r="H726" s="3"/>
      <c r="I726" s="3" t="s">
        <v>122</v>
      </c>
      <c r="J726" s="3">
        <v>1</v>
      </c>
      <c r="K726" s="3">
        <v>0</v>
      </c>
      <c r="L726" s="3">
        <v>0</v>
      </c>
      <c r="M726" s="3">
        <v>1</v>
      </c>
      <c r="N726" s="3">
        <v>1</v>
      </c>
      <c r="O726" s="3">
        <v>0.07</v>
      </c>
      <c r="P726" s="3">
        <v>0</v>
      </c>
      <c r="Q726" s="3">
        <v>0</v>
      </c>
      <c r="R726" s="3">
        <v>0</v>
      </c>
    </row>
    <row r="727" spans="1:18">
      <c r="A727" s="3" t="s">
        <v>1945</v>
      </c>
      <c r="B727" s="3" t="s">
        <v>1946</v>
      </c>
      <c r="C727" s="3" t="s">
        <v>1946</v>
      </c>
      <c r="D727" s="3" t="s">
        <v>1947</v>
      </c>
      <c r="E727" s="3" t="s">
        <v>120</v>
      </c>
      <c r="F727" s="3">
        <v>22.98</v>
      </c>
      <c r="G727" s="3" t="s">
        <v>121</v>
      </c>
      <c r="H727" s="3"/>
      <c r="I727" s="3" t="s">
        <v>122</v>
      </c>
      <c r="J727" s="3">
        <v>0</v>
      </c>
      <c r="K727" s="3">
        <v>0</v>
      </c>
      <c r="L727" s="3">
        <v>0</v>
      </c>
      <c r="M727" s="3">
        <v>0</v>
      </c>
      <c r="N727" s="3">
        <v>0</v>
      </c>
      <c r="O727" s="3">
        <v>0.05</v>
      </c>
      <c r="P727" s="3">
        <v>0</v>
      </c>
      <c r="Q727" s="3">
        <v>0</v>
      </c>
      <c r="R727" s="3">
        <v>0</v>
      </c>
    </row>
    <row r="728" spans="1:18">
      <c r="A728" s="3" t="s">
        <v>1948</v>
      </c>
      <c r="B728" s="3" t="s">
        <v>110</v>
      </c>
      <c r="C728" s="3" t="s">
        <v>110</v>
      </c>
      <c r="D728" s="3" t="s">
        <v>1949</v>
      </c>
      <c r="E728" s="3" t="s">
        <v>120</v>
      </c>
      <c r="F728" s="3">
        <v>39.98</v>
      </c>
      <c r="G728" s="3" t="s">
        <v>121</v>
      </c>
      <c r="H728" s="3"/>
      <c r="I728" s="3" t="s">
        <v>122</v>
      </c>
      <c r="J728" s="3">
        <v>42</v>
      </c>
      <c r="K728" s="3">
        <v>42</v>
      </c>
      <c r="L728" s="3">
        <v>0</v>
      </c>
      <c r="M728" s="3">
        <v>0</v>
      </c>
      <c r="N728" s="3">
        <v>42</v>
      </c>
      <c r="O728" s="3">
        <v>0.18</v>
      </c>
      <c r="P728" s="3">
        <v>0</v>
      </c>
      <c r="Q728" s="3">
        <v>0</v>
      </c>
      <c r="R728" s="3">
        <v>0</v>
      </c>
    </row>
    <row r="729" spans="1:18">
      <c r="A729" s="3" t="s">
        <v>1950</v>
      </c>
      <c r="B729" s="3" t="s">
        <v>112</v>
      </c>
      <c r="C729" s="3" t="s">
        <v>112</v>
      </c>
      <c r="D729" s="3" t="s">
        <v>1951</v>
      </c>
      <c r="E729" s="3" t="s">
        <v>120</v>
      </c>
      <c r="F729" s="3">
        <v>39.98</v>
      </c>
      <c r="G729" s="3" t="s">
        <v>121</v>
      </c>
      <c r="H729" s="3"/>
      <c r="I729" s="3" t="s">
        <v>122</v>
      </c>
      <c r="J729" s="3">
        <v>37</v>
      </c>
      <c r="K729" s="3">
        <v>36</v>
      </c>
      <c r="L729" s="3">
        <v>0</v>
      </c>
      <c r="M729" s="3">
        <v>1</v>
      </c>
      <c r="N729" s="3">
        <v>37</v>
      </c>
      <c r="O729" s="3">
        <v>0.11</v>
      </c>
      <c r="P729" s="3">
        <v>0</v>
      </c>
      <c r="Q729" s="3">
        <v>0</v>
      </c>
      <c r="R729" s="3">
        <v>0</v>
      </c>
    </row>
    <row r="730" spans="1:18">
      <c r="A730" s="3" t="s">
        <v>1952</v>
      </c>
      <c r="B730" s="3" t="s">
        <v>114</v>
      </c>
      <c r="C730" s="3" t="s">
        <v>114</v>
      </c>
      <c r="D730" s="3" t="s">
        <v>1953</v>
      </c>
      <c r="E730" s="3" t="s">
        <v>120</v>
      </c>
      <c r="F730" s="3">
        <v>39.98</v>
      </c>
      <c r="G730" s="3" t="s">
        <v>121</v>
      </c>
      <c r="H730" s="3"/>
      <c r="I730" s="3" t="s">
        <v>122</v>
      </c>
      <c r="J730" s="3">
        <v>39</v>
      </c>
      <c r="K730" s="3">
        <v>39</v>
      </c>
      <c r="L730" s="3">
        <v>0</v>
      </c>
      <c r="M730" s="3">
        <v>0</v>
      </c>
      <c r="N730" s="3">
        <v>39</v>
      </c>
      <c r="O730" s="3">
        <v>0.17</v>
      </c>
      <c r="P730" s="3">
        <v>0</v>
      </c>
      <c r="Q730" s="3">
        <v>0</v>
      </c>
      <c r="R730" s="3">
        <v>0</v>
      </c>
    </row>
    <row r="731" spans="1:18">
      <c r="A731" s="3" t="s">
        <v>1954</v>
      </c>
      <c r="B731" s="3" t="s">
        <v>116</v>
      </c>
      <c r="C731" s="3" t="s">
        <v>116</v>
      </c>
      <c r="D731" s="3" t="s">
        <v>1955</v>
      </c>
      <c r="E731" s="3" t="s">
        <v>120</v>
      </c>
      <c r="F731" s="3">
        <v>39.98</v>
      </c>
      <c r="G731" s="3" t="s">
        <v>121</v>
      </c>
      <c r="H731" s="3"/>
      <c r="I731" s="3" t="s">
        <v>122</v>
      </c>
      <c r="J731" s="3">
        <v>23</v>
      </c>
      <c r="K731" s="3">
        <v>23</v>
      </c>
      <c r="L731" s="3">
        <v>0</v>
      </c>
      <c r="M731" s="3">
        <v>0</v>
      </c>
      <c r="N731" s="3">
        <v>23</v>
      </c>
      <c r="O731" s="3">
        <v>0.14</v>
      </c>
      <c r="P731" s="3">
        <v>0</v>
      </c>
      <c r="Q731" s="3">
        <v>0</v>
      </c>
      <c r="R731" s="3">
        <v>0</v>
      </c>
    </row>
    <row r="732" spans="1:18">
      <c r="A732" s="3" t="s">
        <v>1956</v>
      </c>
      <c r="B732" s="3" t="s">
        <v>118</v>
      </c>
      <c r="C732" s="3" t="s">
        <v>118</v>
      </c>
      <c r="D732" s="3"/>
      <c r="E732" s="3" t="s">
        <v>20</v>
      </c>
      <c r="F732" s="3"/>
      <c r="G732" s="3"/>
      <c r="H732" s="3"/>
      <c r="I732" s="3"/>
      <c r="J732" s="3">
        <v>15</v>
      </c>
      <c r="K732" s="3">
        <v>15</v>
      </c>
      <c r="L732" s="3">
        <v>0</v>
      </c>
      <c r="M732" s="3">
        <v>0</v>
      </c>
      <c r="N732" s="3">
        <v>15</v>
      </c>
      <c r="O732" s="3"/>
      <c r="P732" s="3">
        <v>0</v>
      </c>
      <c r="Q732" s="3">
        <v>0</v>
      </c>
      <c r="R732" s="3">
        <v>0</v>
      </c>
    </row>
    <row r="733" spans="1:18">
      <c r="A733" s="3" t="s">
        <v>1957</v>
      </c>
      <c r="B733" s="3" t="s">
        <v>124</v>
      </c>
      <c r="C733" s="3" t="s">
        <v>124</v>
      </c>
      <c r="D733" s="3" t="s">
        <v>1958</v>
      </c>
      <c r="E733" s="3" t="s">
        <v>120</v>
      </c>
      <c r="F733" s="3">
        <v>39.98</v>
      </c>
      <c r="G733" s="3" t="s">
        <v>121</v>
      </c>
      <c r="H733" s="3"/>
      <c r="I733" s="3" t="s">
        <v>122</v>
      </c>
      <c r="J733" s="3">
        <v>27</v>
      </c>
      <c r="K733" s="3">
        <v>25</v>
      </c>
      <c r="L733" s="3">
        <v>0</v>
      </c>
      <c r="M733" s="3">
        <v>2</v>
      </c>
      <c r="N733" s="3">
        <v>27</v>
      </c>
      <c r="O733" s="3">
        <v>0.18</v>
      </c>
      <c r="P733" s="3">
        <v>0</v>
      </c>
      <c r="Q733" s="3">
        <v>0</v>
      </c>
      <c r="R733" s="3">
        <v>0</v>
      </c>
    </row>
    <row r="734" spans="1:18">
      <c r="A734" s="3" t="s">
        <v>1959</v>
      </c>
      <c r="B734" s="3" t="s">
        <v>126</v>
      </c>
      <c r="C734" s="3" t="s">
        <v>126</v>
      </c>
      <c r="D734" s="3" t="s">
        <v>1960</v>
      </c>
      <c r="E734" s="3" t="s">
        <v>120</v>
      </c>
      <c r="F734" s="3">
        <v>39.98</v>
      </c>
      <c r="G734" s="3" t="s">
        <v>121</v>
      </c>
      <c r="H734" s="3"/>
      <c r="I734" s="3" t="s">
        <v>122</v>
      </c>
      <c r="J734" s="3">
        <v>47</v>
      </c>
      <c r="K734" s="3">
        <v>47</v>
      </c>
      <c r="L734" s="3">
        <v>0</v>
      </c>
      <c r="M734" s="3">
        <v>0</v>
      </c>
      <c r="N734" s="3">
        <v>47</v>
      </c>
      <c r="O734" s="3">
        <v>0.18</v>
      </c>
      <c r="P734" s="3">
        <v>0</v>
      </c>
      <c r="Q734" s="3">
        <v>0</v>
      </c>
      <c r="R734" s="3">
        <v>0</v>
      </c>
    </row>
    <row r="735" spans="1:18">
      <c r="A735" s="3" t="s">
        <v>1961</v>
      </c>
      <c r="B735" s="3" t="s">
        <v>128</v>
      </c>
      <c r="C735" s="3" t="s">
        <v>128</v>
      </c>
      <c r="D735" s="3" t="s">
        <v>1962</v>
      </c>
      <c r="E735" s="3" t="s">
        <v>120</v>
      </c>
      <c r="F735" s="3">
        <v>39.98</v>
      </c>
      <c r="G735" s="3" t="s">
        <v>121</v>
      </c>
      <c r="H735" s="3"/>
      <c r="I735" s="3" t="s">
        <v>122</v>
      </c>
      <c r="J735" s="3">
        <v>51</v>
      </c>
      <c r="K735" s="3">
        <v>51</v>
      </c>
      <c r="L735" s="3">
        <v>0</v>
      </c>
      <c r="M735" s="3">
        <v>0</v>
      </c>
      <c r="N735" s="3">
        <v>51</v>
      </c>
      <c r="O735" s="3">
        <v>0.13</v>
      </c>
      <c r="P735" s="3">
        <v>0</v>
      </c>
      <c r="Q735" s="3">
        <v>0</v>
      </c>
      <c r="R735" s="3">
        <v>0</v>
      </c>
    </row>
    <row r="736" spans="1:18">
      <c r="A736" s="3" t="s">
        <v>1963</v>
      </c>
      <c r="B736" s="3" t="s">
        <v>130</v>
      </c>
      <c r="C736" s="3" t="s">
        <v>130</v>
      </c>
      <c r="D736" s="3" t="s">
        <v>1964</v>
      </c>
      <c r="E736" s="3" t="s">
        <v>120</v>
      </c>
      <c r="F736" s="3">
        <v>39.98</v>
      </c>
      <c r="G736" s="3" t="s">
        <v>121</v>
      </c>
      <c r="H736" s="3"/>
      <c r="I736" s="3" t="s">
        <v>122</v>
      </c>
      <c r="J736" s="3">
        <v>42</v>
      </c>
      <c r="K736" s="3">
        <v>42</v>
      </c>
      <c r="L736" s="3">
        <v>0</v>
      </c>
      <c r="M736" s="3">
        <v>0</v>
      </c>
      <c r="N736" s="3">
        <v>42</v>
      </c>
      <c r="O736" s="3">
        <v>0.09</v>
      </c>
      <c r="P736" s="3">
        <v>0</v>
      </c>
      <c r="Q736" s="3">
        <v>0</v>
      </c>
      <c r="R736" s="3">
        <v>0</v>
      </c>
    </row>
    <row r="737" spans="1:18">
      <c r="A737" s="3" t="s">
        <v>1965</v>
      </c>
      <c r="B737" s="3" t="s">
        <v>132</v>
      </c>
      <c r="C737" s="3" t="s">
        <v>132</v>
      </c>
      <c r="D737" s="3" t="s">
        <v>1966</v>
      </c>
      <c r="E737" s="3" t="s">
        <v>120</v>
      </c>
      <c r="F737" s="3">
        <v>39.98</v>
      </c>
      <c r="G737" s="3" t="s">
        <v>121</v>
      </c>
      <c r="H737" s="3"/>
      <c r="I737" s="3" t="s">
        <v>122</v>
      </c>
      <c r="J737" s="3">
        <v>58</v>
      </c>
      <c r="K737" s="3">
        <v>58</v>
      </c>
      <c r="L737" s="3">
        <v>0</v>
      </c>
      <c r="M737" s="3">
        <v>0</v>
      </c>
      <c r="N737" s="3">
        <v>58</v>
      </c>
      <c r="O737" s="3">
        <v>0.17</v>
      </c>
      <c r="P737" s="3">
        <v>0</v>
      </c>
      <c r="Q737" s="3">
        <v>0</v>
      </c>
      <c r="R737" s="3">
        <v>0</v>
      </c>
    </row>
    <row r="738" spans="1:18">
      <c r="A738" s="3" t="s">
        <v>1967</v>
      </c>
      <c r="B738" s="3" t="s">
        <v>134</v>
      </c>
      <c r="C738" s="3" t="s">
        <v>134</v>
      </c>
      <c r="D738" s="3" t="s">
        <v>1968</v>
      </c>
      <c r="E738" s="3" t="s">
        <v>120</v>
      </c>
      <c r="F738" s="3">
        <v>39.98</v>
      </c>
      <c r="G738" s="3" t="s">
        <v>121</v>
      </c>
      <c r="H738" s="3"/>
      <c r="I738" s="3" t="s">
        <v>122</v>
      </c>
      <c r="J738" s="3">
        <v>1</v>
      </c>
      <c r="K738" s="3">
        <v>1</v>
      </c>
      <c r="L738" s="3">
        <v>0</v>
      </c>
      <c r="M738" s="3">
        <v>0</v>
      </c>
      <c r="N738" s="3">
        <v>1</v>
      </c>
      <c r="O738" s="3">
        <v>0.17</v>
      </c>
      <c r="P738" s="3">
        <v>0</v>
      </c>
      <c r="Q738" s="3">
        <v>0</v>
      </c>
      <c r="R738" s="3">
        <v>0</v>
      </c>
    </row>
    <row r="739" spans="1:18">
      <c r="A739" s="3" t="s">
        <v>1969</v>
      </c>
      <c r="B739" s="3" t="s">
        <v>136</v>
      </c>
      <c r="C739" s="3" t="s">
        <v>136</v>
      </c>
      <c r="D739" s="3" t="s">
        <v>1970</v>
      </c>
      <c r="E739" s="3" t="s">
        <v>120</v>
      </c>
      <c r="F739" s="3">
        <v>39.98</v>
      </c>
      <c r="G739" s="3" t="s">
        <v>121</v>
      </c>
      <c r="H739" s="3"/>
      <c r="I739" s="3" t="s">
        <v>122</v>
      </c>
      <c r="J739" s="3">
        <v>25</v>
      </c>
      <c r="K739" s="3">
        <v>25</v>
      </c>
      <c r="L739" s="3">
        <v>0</v>
      </c>
      <c r="M739" s="3">
        <v>0</v>
      </c>
      <c r="N739" s="3">
        <v>25</v>
      </c>
      <c r="O739" s="3">
        <v>0.11</v>
      </c>
      <c r="P739" s="3">
        <v>0</v>
      </c>
      <c r="Q739" s="3">
        <v>0</v>
      </c>
      <c r="R739" s="3">
        <v>0</v>
      </c>
    </row>
    <row r="740" spans="1:18">
      <c r="A740" s="3" t="s">
        <v>1971</v>
      </c>
      <c r="B740" s="3" t="s">
        <v>138</v>
      </c>
      <c r="C740" s="3" t="s">
        <v>138</v>
      </c>
      <c r="D740" s="3" t="s">
        <v>1972</v>
      </c>
      <c r="E740" s="3" t="s">
        <v>120</v>
      </c>
      <c r="F740" s="3">
        <v>39.98</v>
      </c>
      <c r="G740" s="3" t="s">
        <v>121</v>
      </c>
      <c r="H740" s="3"/>
      <c r="I740" s="3" t="s">
        <v>122</v>
      </c>
      <c r="J740" s="3">
        <v>11</v>
      </c>
      <c r="K740" s="3">
        <v>10</v>
      </c>
      <c r="L740" s="3">
        <v>0</v>
      </c>
      <c r="M740" s="3">
        <v>1</v>
      </c>
      <c r="N740" s="3">
        <v>11</v>
      </c>
      <c r="O740" s="3">
        <v>0.06</v>
      </c>
      <c r="P740" s="3">
        <v>0</v>
      </c>
      <c r="Q740" s="3">
        <v>0</v>
      </c>
      <c r="R740" s="3">
        <v>0</v>
      </c>
    </row>
    <row r="741" spans="1:18">
      <c r="A741" s="3" t="s">
        <v>1973</v>
      </c>
      <c r="B741" s="3" t="s">
        <v>140</v>
      </c>
      <c r="C741" s="3" t="s">
        <v>140</v>
      </c>
      <c r="D741" s="3" t="s">
        <v>1974</v>
      </c>
      <c r="E741" s="3" t="s">
        <v>120</v>
      </c>
      <c r="F741" s="3">
        <v>39.98</v>
      </c>
      <c r="G741" s="3" t="s">
        <v>121</v>
      </c>
      <c r="H741" s="3"/>
      <c r="I741" s="3" t="s">
        <v>122</v>
      </c>
      <c r="J741" s="3">
        <v>16</v>
      </c>
      <c r="K741" s="3">
        <v>16</v>
      </c>
      <c r="L741" s="3">
        <v>0</v>
      </c>
      <c r="M741" s="3">
        <v>0</v>
      </c>
      <c r="N741" s="3">
        <v>16</v>
      </c>
      <c r="O741" s="3">
        <v>0.17</v>
      </c>
      <c r="P741" s="3">
        <v>0</v>
      </c>
      <c r="Q741" s="3">
        <v>0</v>
      </c>
      <c r="R741" s="3">
        <v>0</v>
      </c>
    </row>
    <row r="742" spans="1:18">
      <c r="A742" s="3" t="s">
        <v>1975</v>
      </c>
      <c r="B742" s="3" t="s">
        <v>142</v>
      </c>
      <c r="C742" s="3" t="s">
        <v>142</v>
      </c>
      <c r="D742" s="3" t="s">
        <v>1976</v>
      </c>
      <c r="E742" s="3" t="s">
        <v>120</v>
      </c>
      <c r="F742" s="3">
        <v>39.98</v>
      </c>
      <c r="G742" s="3" t="s">
        <v>121</v>
      </c>
      <c r="H742" s="3"/>
      <c r="I742" s="3" t="s">
        <v>122</v>
      </c>
      <c r="J742" s="3">
        <v>12</v>
      </c>
      <c r="K742" s="3">
        <v>12</v>
      </c>
      <c r="L742" s="3">
        <v>0</v>
      </c>
      <c r="M742" s="3">
        <v>0</v>
      </c>
      <c r="N742" s="3">
        <v>12</v>
      </c>
      <c r="O742" s="3">
        <v>0.08</v>
      </c>
      <c r="P742" s="3">
        <v>0</v>
      </c>
      <c r="Q742" s="3">
        <v>0</v>
      </c>
      <c r="R742" s="3">
        <v>0</v>
      </c>
    </row>
    <row r="743" spans="1:18">
      <c r="A743" s="3" t="s">
        <v>1977</v>
      </c>
      <c r="B743" s="3" t="s">
        <v>144</v>
      </c>
      <c r="C743" s="3" t="s">
        <v>144</v>
      </c>
      <c r="D743" s="3" t="s">
        <v>1978</v>
      </c>
      <c r="E743" s="3" t="s">
        <v>120</v>
      </c>
      <c r="F743" s="3">
        <v>39.98</v>
      </c>
      <c r="G743" s="3" t="s">
        <v>121</v>
      </c>
      <c r="H743" s="3"/>
      <c r="I743" s="3" t="s">
        <v>122</v>
      </c>
      <c r="J743" s="3">
        <v>0</v>
      </c>
      <c r="K743" s="3">
        <v>0</v>
      </c>
      <c r="L743" s="3">
        <v>0</v>
      </c>
      <c r="M743" s="3">
        <v>0</v>
      </c>
      <c r="N743" s="3">
        <v>0</v>
      </c>
      <c r="O743" s="3">
        <v>0.17</v>
      </c>
      <c r="P743" s="3">
        <v>0</v>
      </c>
      <c r="Q743" s="3">
        <v>0</v>
      </c>
      <c r="R743" s="3">
        <v>0</v>
      </c>
    </row>
    <row r="744" spans="1:18">
      <c r="A744" s="3" t="s">
        <v>1979</v>
      </c>
      <c r="B744" s="3" t="s">
        <v>146</v>
      </c>
      <c r="C744" s="3" t="s">
        <v>146</v>
      </c>
      <c r="D744" s="3" t="s">
        <v>1980</v>
      </c>
      <c r="E744" s="3" t="s">
        <v>120</v>
      </c>
      <c r="F744" s="3">
        <v>39.98</v>
      </c>
      <c r="G744" s="3" t="s">
        <v>121</v>
      </c>
      <c r="H744" s="3"/>
      <c r="I744" s="3" t="s">
        <v>122</v>
      </c>
      <c r="J744" s="3">
        <v>11</v>
      </c>
      <c r="K744" s="3">
        <v>11</v>
      </c>
      <c r="L744" s="3">
        <v>0</v>
      </c>
      <c r="M744" s="3">
        <v>0</v>
      </c>
      <c r="N744" s="3">
        <v>11</v>
      </c>
      <c r="O744" s="3">
        <v>0.17</v>
      </c>
      <c r="P744" s="3">
        <v>0</v>
      </c>
      <c r="Q744" s="3">
        <v>0</v>
      </c>
      <c r="R744" s="3">
        <v>0</v>
      </c>
    </row>
    <row r="745" spans="1:18">
      <c r="A745" s="3" t="s">
        <v>1981</v>
      </c>
      <c r="B745" s="3" t="s">
        <v>148</v>
      </c>
      <c r="C745" s="3" t="s">
        <v>148</v>
      </c>
      <c r="D745" s="3" t="s">
        <v>1982</v>
      </c>
      <c r="E745" s="3" t="s">
        <v>120</v>
      </c>
      <c r="F745" s="3">
        <v>39.98</v>
      </c>
      <c r="G745" s="3" t="s">
        <v>121</v>
      </c>
      <c r="H745" s="3"/>
      <c r="I745" s="3" t="s">
        <v>122</v>
      </c>
      <c r="J745" s="3">
        <v>4</v>
      </c>
      <c r="K745" s="3">
        <v>4</v>
      </c>
      <c r="L745" s="3">
        <v>0</v>
      </c>
      <c r="M745" s="3">
        <v>0</v>
      </c>
      <c r="N745" s="3">
        <v>4</v>
      </c>
      <c r="O745" s="3">
        <v>0.17</v>
      </c>
      <c r="P745" s="3">
        <v>0</v>
      </c>
      <c r="Q745" s="3">
        <v>0</v>
      </c>
      <c r="R745" s="3">
        <v>0</v>
      </c>
    </row>
    <row r="746" spans="1:18">
      <c r="A746" s="3" t="s">
        <v>1983</v>
      </c>
      <c r="B746" s="3" t="s">
        <v>150</v>
      </c>
      <c r="C746" s="3" t="s">
        <v>150</v>
      </c>
      <c r="D746" s="3" t="s">
        <v>1984</v>
      </c>
      <c r="E746" s="3" t="s">
        <v>120</v>
      </c>
      <c r="F746" s="3">
        <v>39.98</v>
      </c>
      <c r="G746" s="3" t="s">
        <v>121</v>
      </c>
      <c r="H746" s="3"/>
      <c r="I746" s="3" t="s">
        <v>122</v>
      </c>
      <c r="J746" s="3">
        <v>7</v>
      </c>
      <c r="K746" s="3">
        <v>7</v>
      </c>
      <c r="L746" s="3">
        <v>0</v>
      </c>
      <c r="M746" s="3">
        <v>0</v>
      </c>
      <c r="N746" s="3">
        <v>7</v>
      </c>
      <c r="O746" s="3">
        <v>0.17</v>
      </c>
      <c r="P746" s="3">
        <v>0</v>
      </c>
      <c r="Q746" s="3">
        <v>0</v>
      </c>
      <c r="R746" s="3">
        <v>0</v>
      </c>
    </row>
    <row r="747" spans="1:18">
      <c r="A747" s="3" t="s">
        <v>1985</v>
      </c>
      <c r="B747" s="3" t="s">
        <v>152</v>
      </c>
      <c r="C747" s="3" t="s">
        <v>152</v>
      </c>
      <c r="D747" s="3" t="s">
        <v>1986</v>
      </c>
      <c r="E747" s="3" t="s">
        <v>120</v>
      </c>
      <c r="F747" s="3">
        <v>39.98</v>
      </c>
      <c r="G747" s="3" t="s">
        <v>121</v>
      </c>
      <c r="H747" s="3"/>
      <c r="I747" s="3" t="s">
        <v>122</v>
      </c>
      <c r="J747" s="3">
        <v>9</v>
      </c>
      <c r="K747" s="3">
        <v>9</v>
      </c>
      <c r="L747" s="3">
        <v>0</v>
      </c>
      <c r="M747" s="3">
        <v>0</v>
      </c>
      <c r="N747" s="3">
        <v>9</v>
      </c>
      <c r="O747" s="3">
        <v>0.12</v>
      </c>
      <c r="P747" s="3">
        <v>0</v>
      </c>
      <c r="Q747" s="3">
        <v>0</v>
      </c>
      <c r="R747" s="3">
        <v>0</v>
      </c>
    </row>
    <row r="748" spans="1:18">
      <c r="A748" s="3" t="s">
        <v>1987</v>
      </c>
      <c r="B748" s="3" t="s">
        <v>154</v>
      </c>
      <c r="C748" s="3" t="s">
        <v>154</v>
      </c>
      <c r="D748" s="3" t="s">
        <v>1988</v>
      </c>
      <c r="E748" s="3" t="s">
        <v>120</v>
      </c>
      <c r="F748" s="3">
        <v>39.98</v>
      </c>
      <c r="G748" s="3" t="s">
        <v>121</v>
      </c>
      <c r="H748" s="3"/>
      <c r="I748" s="3" t="s">
        <v>122</v>
      </c>
      <c r="J748" s="3">
        <v>45</v>
      </c>
      <c r="K748" s="3">
        <v>45</v>
      </c>
      <c r="L748" s="3">
        <v>0</v>
      </c>
      <c r="M748" s="3">
        <v>0</v>
      </c>
      <c r="N748" s="3">
        <v>45</v>
      </c>
      <c r="O748" s="3">
        <v>0.17</v>
      </c>
      <c r="P748" s="3">
        <v>0</v>
      </c>
      <c r="Q748" s="3">
        <v>0</v>
      </c>
      <c r="R748" s="3">
        <v>0</v>
      </c>
    </row>
    <row r="749" spans="1:18">
      <c r="A749" s="3" t="s">
        <v>1989</v>
      </c>
      <c r="B749" s="3" t="s">
        <v>156</v>
      </c>
      <c r="C749" s="3" t="s">
        <v>156</v>
      </c>
      <c r="D749" s="3" t="s">
        <v>1990</v>
      </c>
      <c r="E749" s="3" t="s">
        <v>120</v>
      </c>
      <c r="F749" s="3">
        <v>39.98</v>
      </c>
      <c r="G749" s="3" t="s">
        <v>121</v>
      </c>
      <c r="H749" s="3"/>
      <c r="I749" s="3" t="s">
        <v>122</v>
      </c>
      <c r="J749" s="3">
        <v>57</v>
      </c>
      <c r="K749" s="3">
        <v>56</v>
      </c>
      <c r="L749" s="3">
        <v>1</v>
      </c>
      <c r="M749" s="3">
        <v>0</v>
      </c>
      <c r="N749" s="3">
        <v>57</v>
      </c>
      <c r="O749" s="3">
        <v>0.17</v>
      </c>
      <c r="P749" s="3">
        <v>0</v>
      </c>
      <c r="Q749" s="3">
        <v>0</v>
      </c>
      <c r="R749" s="3">
        <v>0</v>
      </c>
    </row>
    <row r="750" spans="1:18">
      <c r="A750" s="3" t="s">
        <v>1991</v>
      </c>
      <c r="B750" s="3" t="s">
        <v>158</v>
      </c>
      <c r="C750" s="3" t="s">
        <v>158</v>
      </c>
      <c r="D750" s="3" t="s">
        <v>1992</v>
      </c>
      <c r="E750" s="3" t="s">
        <v>120</v>
      </c>
      <c r="F750" s="3">
        <v>39.98</v>
      </c>
      <c r="G750" s="3" t="s">
        <v>121</v>
      </c>
      <c r="H750" s="3"/>
      <c r="I750" s="3" t="s">
        <v>122</v>
      </c>
      <c r="J750" s="3">
        <v>8</v>
      </c>
      <c r="K750" s="3">
        <v>7</v>
      </c>
      <c r="L750" s="3">
        <v>1</v>
      </c>
      <c r="M750" s="3">
        <v>0</v>
      </c>
      <c r="N750" s="3">
        <v>8</v>
      </c>
      <c r="O750" s="3">
        <v>0.17</v>
      </c>
      <c r="P750" s="3">
        <v>0</v>
      </c>
      <c r="Q750" s="3">
        <v>0</v>
      </c>
      <c r="R750" s="3">
        <v>0</v>
      </c>
    </row>
    <row r="751" spans="1:18">
      <c r="A751" s="3" t="s">
        <v>1993</v>
      </c>
      <c r="B751" s="3" t="s">
        <v>160</v>
      </c>
      <c r="C751" s="3" t="s">
        <v>160</v>
      </c>
      <c r="D751" s="3" t="s">
        <v>1994</v>
      </c>
      <c r="E751" s="3" t="s">
        <v>120</v>
      </c>
      <c r="F751" s="3">
        <v>39.98</v>
      </c>
      <c r="G751" s="3" t="s">
        <v>121</v>
      </c>
      <c r="H751" s="3"/>
      <c r="I751" s="3" t="s">
        <v>122</v>
      </c>
      <c r="J751" s="3">
        <v>45</v>
      </c>
      <c r="K751" s="3">
        <v>45</v>
      </c>
      <c r="L751" s="3">
        <v>0</v>
      </c>
      <c r="M751" s="3">
        <v>0</v>
      </c>
      <c r="N751" s="3">
        <v>45</v>
      </c>
      <c r="O751" s="3">
        <v>0.09</v>
      </c>
      <c r="P751" s="3">
        <v>0</v>
      </c>
      <c r="Q751" s="3">
        <v>0</v>
      </c>
      <c r="R751" s="3">
        <v>0</v>
      </c>
    </row>
    <row r="752" spans="1:18">
      <c r="A752" s="3" t="s">
        <v>1995</v>
      </c>
      <c r="B752" s="3" t="s">
        <v>162</v>
      </c>
      <c r="C752" s="3" t="s">
        <v>162</v>
      </c>
      <c r="D752" s="3" t="s">
        <v>1996</v>
      </c>
      <c r="E752" s="3" t="s">
        <v>120</v>
      </c>
      <c r="F752" s="3">
        <v>39.98</v>
      </c>
      <c r="G752" s="3" t="s">
        <v>121</v>
      </c>
      <c r="H752" s="3"/>
      <c r="I752" s="3" t="s">
        <v>122</v>
      </c>
      <c r="J752" s="3">
        <v>52</v>
      </c>
      <c r="K752" s="3">
        <v>52</v>
      </c>
      <c r="L752" s="3">
        <v>0</v>
      </c>
      <c r="M752" s="3">
        <v>0</v>
      </c>
      <c r="N752" s="3">
        <v>52</v>
      </c>
      <c r="O752" s="3">
        <v>0.17</v>
      </c>
      <c r="P752" s="3">
        <v>0</v>
      </c>
      <c r="Q752" s="3">
        <v>0</v>
      </c>
      <c r="R752" s="3">
        <v>0</v>
      </c>
    </row>
    <row r="753" spans="1:18">
      <c r="A753" s="3" t="s">
        <v>1997</v>
      </c>
      <c r="B753" s="3" t="s">
        <v>164</v>
      </c>
      <c r="C753" s="3" t="s">
        <v>164</v>
      </c>
      <c r="D753" s="3"/>
      <c r="E753" s="3" t="s">
        <v>20</v>
      </c>
      <c r="F753" s="3"/>
      <c r="G753" s="3"/>
      <c r="H753" s="3"/>
      <c r="I753" s="3"/>
      <c r="J753" s="3">
        <v>0</v>
      </c>
      <c r="K753" s="3">
        <v>0</v>
      </c>
      <c r="L753" s="3">
        <v>0</v>
      </c>
      <c r="M753" s="3">
        <v>0</v>
      </c>
      <c r="N753" s="3">
        <v>0</v>
      </c>
      <c r="O753" s="3"/>
      <c r="P753" s="3">
        <v>0</v>
      </c>
      <c r="Q753" s="3">
        <v>0</v>
      </c>
      <c r="R753" s="3">
        <v>0</v>
      </c>
    </row>
    <row r="754" spans="1:18">
      <c r="A754" s="3" t="s">
        <v>1998</v>
      </c>
      <c r="B754" s="3" t="s">
        <v>166</v>
      </c>
      <c r="C754" s="3" t="s">
        <v>166</v>
      </c>
      <c r="D754" s="3"/>
      <c r="E754" s="3" t="s">
        <v>20</v>
      </c>
      <c r="F754" s="3"/>
      <c r="G754" s="3"/>
      <c r="H754" s="3"/>
      <c r="I754" s="3"/>
      <c r="J754" s="3">
        <v>0</v>
      </c>
      <c r="K754" s="3">
        <v>0</v>
      </c>
      <c r="L754" s="3">
        <v>0</v>
      </c>
      <c r="M754" s="3">
        <v>0</v>
      </c>
      <c r="N754" s="3">
        <v>0</v>
      </c>
      <c r="O754" s="3"/>
      <c r="P754" s="3">
        <v>0</v>
      </c>
      <c r="Q754" s="3">
        <v>0</v>
      </c>
      <c r="R754" s="3">
        <v>0</v>
      </c>
    </row>
    <row r="755" spans="1:18">
      <c r="A755" s="3" t="s">
        <v>1999</v>
      </c>
      <c r="B755" s="3" t="s">
        <v>168</v>
      </c>
      <c r="C755" s="3" t="s">
        <v>168</v>
      </c>
      <c r="D755" s="3" t="s">
        <v>2000</v>
      </c>
      <c r="E755" s="3" t="s">
        <v>120</v>
      </c>
      <c r="F755" s="3">
        <v>39.98</v>
      </c>
      <c r="G755" s="3" t="s">
        <v>121</v>
      </c>
      <c r="H755" s="3"/>
      <c r="I755" s="3" t="s">
        <v>122</v>
      </c>
      <c r="J755" s="3">
        <v>0</v>
      </c>
      <c r="K755" s="3">
        <v>0</v>
      </c>
      <c r="L755" s="3">
        <v>0</v>
      </c>
      <c r="M755" s="3">
        <v>0</v>
      </c>
      <c r="N755" s="3">
        <v>0</v>
      </c>
      <c r="O755" s="3">
        <v>0.17</v>
      </c>
      <c r="P755" s="3">
        <v>0</v>
      </c>
      <c r="Q755" s="3">
        <v>0</v>
      </c>
      <c r="R755" s="3">
        <v>0</v>
      </c>
    </row>
    <row r="756" spans="1:18">
      <c r="A756" s="3" t="s">
        <v>2001</v>
      </c>
      <c r="B756" s="3" t="s">
        <v>170</v>
      </c>
      <c r="C756" s="3" t="s">
        <v>170</v>
      </c>
      <c r="D756" s="3"/>
      <c r="E756" s="3" t="s">
        <v>20</v>
      </c>
      <c r="F756" s="3"/>
      <c r="G756" s="3"/>
      <c r="H756" s="3"/>
      <c r="I756" s="3"/>
      <c r="J756" s="3">
        <v>0</v>
      </c>
      <c r="K756" s="3">
        <v>0</v>
      </c>
      <c r="L756" s="3">
        <v>0</v>
      </c>
      <c r="M756" s="3">
        <v>0</v>
      </c>
      <c r="N756" s="3">
        <v>0</v>
      </c>
      <c r="O756" s="3"/>
      <c r="P756" s="3">
        <v>0</v>
      </c>
      <c r="Q756" s="3">
        <v>0</v>
      </c>
      <c r="R756" s="3">
        <v>0</v>
      </c>
    </row>
    <row r="757" spans="1:18">
      <c r="A757" s="3" t="s">
        <v>2002</v>
      </c>
      <c r="B757" s="3" t="s">
        <v>172</v>
      </c>
      <c r="C757" s="3" t="s">
        <v>172</v>
      </c>
      <c r="D757" s="3"/>
      <c r="E757" s="3" t="s">
        <v>20</v>
      </c>
      <c r="F757" s="3"/>
      <c r="G757" s="3"/>
      <c r="H757" s="3"/>
      <c r="I757" s="3"/>
      <c r="J757" s="3">
        <v>0</v>
      </c>
      <c r="K757" s="3">
        <v>0</v>
      </c>
      <c r="L757" s="3">
        <v>0</v>
      </c>
      <c r="M757" s="3">
        <v>0</v>
      </c>
      <c r="N757" s="3">
        <v>0</v>
      </c>
      <c r="O757" s="3"/>
      <c r="P757" s="3">
        <v>0</v>
      </c>
      <c r="Q757" s="3">
        <v>0</v>
      </c>
      <c r="R757" s="3">
        <v>0</v>
      </c>
    </row>
    <row r="758" spans="1:18">
      <c r="A758" s="3" t="s">
        <v>2003</v>
      </c>
      <c r="B758" s="3" t="s">
        <v>174</v>
      </c>
      <c r="C758" s="3" t="s">
        <v>174</v>
      </c>
      <c r="D758" s="3" t="s">
        <v>2004</v>
      </c>
      <c r="E758" s="3" t="s">
        <v>120</v>
      </c>
      <c r="F758" s="3">
        <v>39.98</v>
      </c>
      <c r="G758" s="3" t="s">
        <v>121</v>
      </c>
      <c r="H758" s="3"/>
      <c r="I758" s="3" t="s">
        <v>122</v>
      </c>
      <c r="J758" s="3">
        <v>7</v>
      </c>
      <c r="K758" s="3">
        <v>7</v>
      </c>
      <c r="L758" s="3">
        <v>0</v>
      </c>
      <c r="M758" s="3">
        <v>0</v>
      </c>
      <c r="N758" s="3">
        <v>7</v>
      </c>
      <c r="O758" s="3">
        <v>0.03</v>
      </c>
      <c r="P758" s="3">
        <v>0</v>
      </c>
      <c r="Q758" s="3">
        <v>0</v>
      </c>
      <c r="R758" s="3">
        <v>0</v>
      </c>
    </row>
    <row r="759" spans="1:18">
      <c r="A759" s="3" t="s">
        <v>2005</v>
      </c>
      <c r="B759" s="3" t="s">
        <v>176</v>
      </c>
      <c r="C759" s="3" t="s">
        <v>176</v>
      </c>
      <c r="D759" s="3"/>
      <c r="E759" s="3" t="s">
        <v>20</v>
      </c>
      <c r="F759" s="3"/>
      <c r="G759" s="3"/>
      <c r="H759" s="3"/>
      <c r="I759" s="3"/>
      <c r="J759" s="3">
        <v>0</v>
      </c>
      <c r="K759" s="3">
        <v>0</v>
      </c>
      <c r="L759" s="3">
        <v>0</v>
      </c>
      <c r="M759" s="3">
        <v>0</v>
      </c>
      <c r="N759" s="3">
        <v>0</v>
      </c>
      <c r="O759" s="3"/>
      <c r="P759" s="3">
        <v>0</v>
      </c>
      <c r="Q759" s="3">
        <v>0</v>
      </c>
      <c r="R759" s="3">
        <v>0</v>
      </c>
    </row>
    <row r="760" spans="1:18">
      <c r="A760" s="3" t="s">
        <v>2006</v>
      </c>
      <c r="B760" s="3" t="s">
        <v>178</v>
      </c>
      <c r="C760" s="3" t="s">
        <v>178</v>
      </c>
      <c r="D760" s="3" t="s">
        <v>2007</v>
      </c>
      <c r="E760" s="3" t="s">
        <v>120</v>
      </c>
      <c r="F760" s="3">
        <v>39.98</v>
      </c>
      <c r="G760" s="3" t="s">
        <v>121</v>
      </c>
      <c r="H760" s="3"/>
      <c r="I760" s="3" t="s">
        <v>122</v>
      </c>
      <c r="J760" s="3">
        <v>0</v>
      </c>
      <c r="K760" s="3">
        <v>0</v>
      </c>
      <c r="L760" s="3">
        <v>0</v>
      </c>
      <c r="M760" s="3">
        <v>0</v>
      </c>
      <c r="N760" s="3">
        <v>0</v>
      </c>
      <c r="O760" s="3">
        <v>0.17</v>
      </c>
      <c r="P760" s="3">
        <v>0</v>
      </c>
      <c r="Q760" s="3">
        <v>0</v>
      </c>
      <c r="R760" s="3">
        <v>0</v>
      </c>
    </row>
    <row r="761" spans="1:18">
      <c r="A761" s="3" t="s">
        <v>2008</v>
      </c>
      <c r="B761" s="3" t="s">
        <v>180</v>
      </c>
      <c r="C761" s="3" t="s">
        <v>180</v>
      </c>
      <c r="D761" s="3"/>
      <c r="E761" s="3" t="s">
        <v>20</v>
      </c>
      <c r="F761" s="3"/>
      <c r="G761" s="3"/>
      <c r="H761" s="3"/>
      <c r="I761" s="3"/>
      <c r="J761" s="3">
        <v>5</v>
      </c>
      <c r="K761" s="3">
        <v>5</v>
      </c>
      <c r="L761" s="3">
        <v>0</v>
      </c>
      <c r="M761" s="3">
        <v>0</v>
      </c>
      <c r="N761" s="3">
        <v>5</v>
      </c>
      <c r="O761" s="3"/>
      <c r="P761" s="3">
        <v>0</v>
      </c>
      <c r="Q761" s="3">
        <v>0</v>
      </c>
      <c r="R761" s="3">
        <v>0</v>
      </c>
    </row>
    <row r="762" spans="1:18">
      <c r="A762" s="3" t="s">
        <v>2009</v>
      </c>
      <c r="B762" s="3" t="s">
        <v>182</v>
      </c>
      <c r="C762" s="3" t="s">
        <v>182</v>
      </c>
      <c r="D762" s="3" t="s">
        <v>2010</v>
      </c>
      <c r="E762" s="3" t="s">
        <v>120</v>
      </c>
      <c r="F762" s="3">
        <v>39.98</v>
      </c>
      <c r="G762" s="3" t="s">
        <v>121</v>
      </c>
      <c r="H762" s="3"/>
      <c r="I762" s="3" t="s">
        <v>122</v>
      </c>
      <c r="J762" s="3">
        <v>32</v>
      </c>
      <c r="K762" s="3">
        <v>31</v>
      </c>
      <c r="L762" s="3">
        <v>1</v>
      </c>
      <c r="M762" s="3">
        <v>0</v>
      </c>
      <c r="N762" s="3">
        <v>32</v>
      </c>
      <c r="O762" s="3">
        <v>0.17</v>
      </c>
      <c r="P762" s="3">
        <v>0</v>
      </c>
      <c r="Q762" s="3">
        <v>0</v>
      </c>
      <c r="R762" s="3">
        <v>0</v>
      </c>
    </row>
    <row r="763" spans="1:18">
      <c r="A763" s="3" t="s">
        <v>2011</v>
      </c>
      <c r="B763" s="3" t="s">
        <v>184</v>
      </c>
      <c r="C763" s="3" t="s">
        <v>184</v>
      </c>
      <c r="D763" s="3" t="s">
        <v>2012</v>
      </c>
      <c r="E763" s="3" t="s">
        <v>120</v>
      </c>
      <c r="F763" s="3">
        <v>39.98</v>
      </c>
      <c r="G763" s="3" t="s">
        <v>121</v>
      </c>
      <c r="H763" s="3"/>
      <c r="I763" s="3" t="s">
        <v>122</v>
      </c>
      <c r="J763" s="3">
        <v>31</v>
      </c>
      <c r="K763" s="3">
        <v>31</v>
      </c>
      <c r="L763" s="3">
        <v>0</v>
      </c>
      <c r="M763" s="3">
        <v>0</v>
      </c>
      <c r="N763" s="3">
        <v>31</v>
      </c>
      <c r="O763" s="3">
        <v>0.17</v>
      </c>
      <c r="P763" s="3">
        <v>0</v>
      </c>
      <c r="Q763" s="3">
        <v>0</v>
      </c>
      <c r="R763" s="3">
        <v>0</v>
      </c>
    </row>
    <row r="764" spans="1:18">
      <c r="A764" s="3" t="s">
        <v>2013</v>
      </c>
      <c r="B764" s="3" t="s">
        <v>186</v>
      </c>
      <c r="C764" s="3" t="s">
        <v>186</v>
      </c>
      <c r="D764" s="3"/>
      <c r="E764" s="3" t="s">
        <v>20</v>
      </c>
      <c r="F764" s="3"/>
      <c r="G764" s="3"/>
      <c r="H764" s="3"/>
      <c r="I764" s="3"/>
      <c r="J764" s="3">
        <v>0</v>
      </c>
      <c r="K764" s="3">
        <v>0</v>
      </c>
      <c r="L764" s="3">
        <v>0</v>
      </c>
      <c r="M764" s="3">
        <v>0</v>
      </c>
      <c r="N764" s="3">
        <v>0</v>
      </c>
      <c r="O764" s="3"/>
      <c r="P764" s="3">
        <v>0</v>
      </c>
      <c r="Q764" s="3">
        <v>0</v>
      </c>
      <c r="R764" s="3">
        <v>0</v>
      </c>
    </row>
    <row r="765" spans="1:18">
      <c r="A765" s="3" t="s">
        <v>2014</v>
      </c>
      <c r="B765" s="3" t="s">
        <v>2015</v>
      </c>
      <c r="C765" s="3" t="s">
        <v>2015</v>
      </c>
      <c r="D765" s="3"/>
      <c r="E765" s="3" t="s">
        <v>20</v>
      </c>
      <c r="F765" s="3"/>
      <c r="G765" s="3"/>
      <c r="H765" s="3"/>
      <c r="I765" s="3"/>
      <c r="J765" s="3">
        <v>0</v>
      </c>
      <c r="K765" s="3">
        <v>0</v>
      </c>
      <c r="L765" s="3">
        <v>0</v>
      </c>
      <c r="M765" s="3">
        <v>0</v>
      </c>
      <c r="N765" s="3">
        <v>0</v>
      </c>
      <c r="O765" s="3"/>
      <c r="P765" s="3">
        <v>0</v>
      </c>
      <c r="Q765" s="3">
        <v>0</v>
      </c>
      <c r="R765" s="3">
        <v>0</v>
      </c>
    </row>
    <row r="766" spans="1:18">
      <c r="A766" s="3" t="s">
        <v>2016</v>
      </c>
      <c r="B766" s="3" t="s">
        <v>2017</v>
      </c>
      <c r="C766" s="3" t="s">
        <v>2017</v>
      </c>
      <c r="D766" s="3" t="s">
        <v>2018</v>
      </c>
      <c r="E766" s="3" t="s">
        <v>120</v>
      </c>
      <c r="F766" s="3">
        <v>23.98</v>
      </c>
      <c r="G766" s="3" t="s">
        <v>121</v>
      </c>
      <c r="H766" s="3"/>
      <c r="I766" s="3" t="s">
        <v>122</v>
      </c>
      <c r="J766" s="3">
        <v>4</v>
      </c>
      <c r="K766" s="3">
        <v>4</v>
      </c>
      <c r="L766" s="3">
        <v>0</v>
      </c>
      <c r="M766" s="3">
        <v>0</v>
      </c>
      <c r="N766" s="3">
        <v>4</v>
      </c>
      <c r="O766" s="3">
        <v>0.09</v>
      </c>
      <c r="P766" s="3">
        <v>0</v>
      </c>
      <c r="Q766" s="3">
        <v>0</v>
      </c>
      <c r="R766" s="3">
        <v>0</v>
      </c>
    </row>
    <row r="767" spans="1:18">
      <c r="A767" s="3" t="s">
        <v>2019</v>
      </c>
      <c r="B767" s="3" t="s">
        <v>2020</v>
      </c>
      <c r="C767" s="3" t="s">
        <v>2020</v>
      </c>
      <c r="D767" s="3" t="s">
        <v>2021</v>
      </c>
      <c r="E767" s="3" t="s">
        <v>120</v>
      </c>
      <c r="F767" s="3">
        <v>12.98</v>
      </c>
      <c r="G767" s="3" t="s">
        <v>121</v>
      </c>
      <c r="H767" s="3"/>
      <c r="I767" s="3" t="s">
        <v>122</v>
      </c>
      <c r="J767" s="3">
        <v>13</v>
      </c>
      <c r="K767" s="3">
        <v>12</v>
      </c>
      <c r="L767" s="3">
        <v>0</v>
      </c>
      <c r="M767" s="3">
        <v>1</v>
      </c>
      <c r="N767" s="3">
        <v>13</v>
      </c>
      <c r="O767" s="3">
        <v>0.11</v>
      </c>
      <c r="P767" s="3">
        <v>0</v>
      </c>
      <c r="Q767" s="3">
        <v>0</v>
      </c>
      <c r="R767" s="3">
        <v>0</v>
      </c>
    </row>
    <row r="768" spans="1:18">
      <c r="A768" s="3" t="s">
        <v>2022</v>
      </c>
      <c r="B768" s="3" t="s">
        <v>2023</v>
      </c>
      <c r="C768" s="3" t="s">
        <v>2023</v>
      </c>
      <c r="D768" s="3"/>
      <c r="E768" s="3" t="s">
        <v>20</v>
      </c>
      <c r="F768" s="3"/>
      <c r="G768" s="3"/>
      <c r="H768" s="3"/>
      <c r="I768" s="3"/>
      <c r="J768" s="3">
        <v>0</v>
      </c>
      <c r="K768" s="3">
        <v>0</v>
      </c>
      <c r="L768" s="3">
        <v>0</v>
      </c>
      <c r="M768" s="3">
        <v>0</v>
      </c>
      <c r="N768" s="3">
        <v>0</v>
      </c>
      <c r="O768" s="3"/>
      <c r="P768" s="3">
        <v>0</v>
      </c>
      <c r="Q768" s="3">
        <v>0</v>
      </c>
      <c r="R768" s="3">
        <v>0</v>
      </c>
    </row>
    <row r="769" spans="1:18">
      <c r="A769" s="3" t="s">
        <v>2024</v>
      </c>
      <c r="B769" s="3" t="s">
        <v>2025</v>
      </c>
      <c r="C769" s="3" t="s">
        <v>2025</v>
      </c>
      <c r="D769" s="3" t="s">
        <v>2026</v>
      </c>
      <c r="E769" s="3" t="s">
        <v>120</v>
      </c>
      <c r="F769" s="3">
        <v>22.98</v>
      </c>
      <c r="G769" s="3" t="s">
        <v>121</v>
      </c>
      <c r="H769" s="3"/>
      <c r="I769" s="3" t="s">
        <v>122</v>
      </c>
      <c r="J769" s="3">
        <v>3</v>
      </c>
      <c r="K769" s="3">
        <v>3</v>
      </c>
      <c r="L769" s="3">
        <v>0</v>
      </c>
      <c r="M769" s="3">
        <v>0</v>
      </c>
      <c r="N769" s="3">
        <v>3</v>
      </c>
      <c r="O769" s="3">
        <v>0.16</v>
      </c>
      <c r="P769" s="3">
        <v>0</v>
      </c>
      <c r="Q769" s="3">
        <v>0</v>
      </c>
      <c r="R769" s="3">
        <v>0</v>
      </c>
    </row>
    <row r="770" spans="1:18">
      <c r="A770" s="3" t="s">
        <v>2027</v>
      </c>
      <c r="B770" s="3" t="s">
        <v>2028</v>
      </c>
      <c r="C770" s="3" t="s">
        <v>2028</v>
      </c>
      <c r="D770" s="3" t="s">
        <v>2029</v>
      </c>
      <c r="E770" s="3" t="s">
        <v>120</v>
      </c>
      <c r="F770" s="3">
        <v>23.98</v>
      </c>
      <c r="G770" s="3" t="s">
        <v>121</v>
      </c>
      <c r="H770" s="3"/>
      <c r="I770" s="3" t="s">
        <v>122</v>
      </c>
      <c r="J770" s="3">
        <v>15</v>
      </c>
      <c r="K770" s="3">
        <v>15</v>
      </c>
      <c r="L770" s="3">
        <v>0</v>
      </c>
      <c r="M770" s="3">
        <v>0</v>
      </c>
      <c r="N770" s="3">
        <v>15</v>
      </c>
      <c r="O770" s="3">
        <v>0.09</v>
      </c>
      <c r="P770" s="3">
        <v>0</v>
      </c>
      <c r="Q770" s="3">
        <v>0</v>
      </c>
      <c r="R770" s="3">
        <v>0</v>
      </c>
    </row>
    <row r="771" spans="1:18">
      <c r="A771" s="3" t="s">
        <v>2030</v>
      </c>
      <c r="B771" s="3" t="s">
        <v>2031</v>
      </c>
      <c r="C771" s="3" t="s">
        <v>2031</v>
      </c>
      <c r="D771" s="3" t="s">
        <v>2032</v>
      </c>
      <c r="E771" s="3" t="s">
        <v>120</v>
      </c>
      <c r="F771" s="3">
        <v>23.98</v>
      </c>
      <c r="G771" s="3" t="s">
        <v>121</v>
      </c>
      <c r="H771" s="3"/>
      <c r="I771" s="3" t="s">
        <v>122</v>
      </c>
      <c r="J771" s="3">
        <v>32</v>
      </c>
      <c r="K771" s="3">
        <v>31</v>
      </c>
      <c r="L771" s="3">
        <v>0</v>
      </c>
      <c r="M771" s="3">
        <v>1</v>
      </c>
      <c r="N771" s="3">
        <v>32</v>
      </c>
      <c r="O771" s="3">
        <v>0.11</v>
      </c>
      <c r="P771" s="3">
        <v>0</v>
      </c>
      <c r="Q771" s="3">
        <v>0</v>
      </c>
      <c r="R771" s="3">
        <v>0</v>
      </c>
    </row>
    <row r="772" spans="1:18">
      <c r="A772" s="3" t="s">
        <v>2033</v>
      </c>
      <c r="B772" s="3" t="s">
        <v>2034</v>
      </c>
      <c r="C772" s="3" t="s">
        <v>2034</v>
      </c>
      <c r="D772" s="3" t="s">
        <v>2035</v>
      </c>
      <c r="E772" s="3" t="s">
        <v>120</v>
      </c>
      <c r="F772" s="3">
        <v>23.98</v>
      </c>
      <c r="G772" s="3" t="s">
        <v>121</v>
      </c>
      <c r="H772" s="3"/>
      <c r="I772" s="3" t="s">
        <v>122</v>
      </c>
      <c r="J772" s="3">
        <v>13</v>
      </c>
      <c r="K772" s="3">
        <v>13</v>
      </c>
      <c r="L772" s="3">
        <v>0</v>
      </c>
      <c r="M772" s="3">
        <v>0</v>
      </c>
      <c r="N772" s="3">
        <v>13</v>
      </c>
      <c r="O772" s="3">
        <v>0.1</v>
      </c>
      <c r="P772" s="3">
        <v>0</v>
      </c>
      <c r="Q772" s="3">
        <v>0</v>
      </c>
      <c r="R772" s="3">
        <v>0</v>
      </c>
    </row>
    <row r="773" spans="1:18">
      <c r="A773" s="3" t="s">
        <v>2036</v>
      </c>
      <c r="B773" s="3" t="s">
        <v>2037</v>
      </c>
      <c r="C773" s="3" t="s">
        <v>2037</v>
      </c>
      <c r="D773" s="3" t="s">
        <v>2038</v>
      </c>
      <c r="E773" s="3" t="s">
        <v>120</v>
      </c>
      <c r="F773" s="3">
        <v>23.98</v>
      </c>
      <c r="G773" s="3" t="s">
        <v>121</v>
      </c>
      <c r="H773" s="3"/>
      <c r="I773" s="3" t="s">
        <v>122</v>
      </c>
      <c r="J773" s="3">
        <v>20</v>
      </c>
      <c r="K773" s="3">
        <v>20</v>
      </c>
      <c r="L773" s="3">
        <v>0</v>
      </c>
      <c r="M773" s="3">
        <v>0</v>
      </c>
      <c r="N773" s="3">
        <v>20</v>
      </c>
      <c r="O773" s="3">
        <v>0.17</v>
      </c>
      <c r="P773" s="3">
        <v>0</v>
      </c>
      <c r="Q773" s="3">
        <v>0</v>
      </c>
      <c r="R773" s="3">
        <v>0</v>
      </c>
    </row>
    <row r="774" spans="1:18">
      <c r="A774" s="3" t="s">
        <v>2039</v>
      </c>
      <c r="B774" s="3" t="s">
        <v>2040</v>
      </c>
      <c r="C774" s="3" t="s">
        <v>2040</v>
      </c>
      <c r="D774" s="3" t="s">
        <v>2041</v>
      </c>
      <c r="E774" s="3" t="s">
        <v>120</v>
      </c>
      <c r="F774" s="3">
        <v>23.98</v>
      </c>
      <c r="G774" s="3" t="s">
        <v>121</v>
      </c>
      <c r="H774" s="3"/>
      <c r="I774" s="3" t="s">
        <v>122</v>
      </c>
      <c r="J774" s="3">
        <v>31</v>
      </c>
      <c r="K774" s="3">
        <v>31</v>
      </c>
      <c r="L774" s="3">
        <v>0</v>
      </c>
      <c r="M774" s="3">
        <v>0</v>
      </c>
      <c r="N774" s="3">
        <v>31</v>
      </c>
      <c r="O774" s="3">
        <v>0.08</v>
      </c>
      <c r="P774" s="3">
        <v>0</v>
      </c>
      <c r="Q774" s="3">
        <v>0</v>
      </c>
      <c r="R774" s="3">
        <v>0</v>
      </c>
    </row>
    <row r="775" spans="1:18">
      <c r="A775" s="3" t="s">
        <v>2042</v>
      </c>
      <c r="B775" s="3" t="s">
        <v>2043</v>
      </c>
      <c r="C775" s="3" t="s">
        <v>2043</v>
      </c>
      <c r="D775" s="3" t="s">
        <v>2044</v>
      </c>
      <c r="E775" s="3" t="s">
        <v>120</v>
      </c>
      <c r="F775" s="3">
        <v>39.98</v>
      </c>
      <c r="G775" s="3" t="s">
        <v>121</v>
      </c>
      <c r="H775" s="3"/>
      <c r="I775" s="3" t="s">
        <v>122</v>
      </c>
      <c r="J775" s="3">
        <v>57</v>
      </c>
      <c r="K775" s="3">
        <v>57</v>
      </c>
      <c r="L775" s="3">
        <v>0</v>
      </c>
      <c r="M775" s="3">
        <v>0</v>
      </c>
      <c r="N775" s="3">
        <v>57</v>
      </c>
      <c r="O775" s="3">
        <v>0.07</v>
      </c>
      <c r="P775" s="3">
        <v>0</v>
      </c>
      <c r="Q775" s="3">
        <v>0</v>
      </c>
      <c r="R775" s="3">
        <v>0</v>
      </c>
    </row>
    <row r="776" spans="1:18">
      <c r="A776" s="3" t="s">
        <v>2045</v>
      </c>
      <c r="B776" s="3" t="s">
        <v>2046</v>
      </c>
      <c r="C776" s="3" t="s">
        <v>2046</v>
      </c>
      <c r="D776" s="3"/>
      <c r="E776" s="3" t="s">
        <v>20</v>
      </c>
      <c r="F776" s="3"/>
      <c r="G776" s="3"/>
      <c r="H776" s="3"/>
      <c r="I776" s="3"/>
      <c r="J776" s="3">
        <v>1</v>
      </c>
      <c r="K776" s="3">
        <v>1</v>
      </c>
      <c r="L776" s="3">
        <v>0</v>
      </c>
      <c r="M776" s="3">
        <v>0</v>
      </c>
      <c r="N776" s="3">
        <v>1</v>
      </c>
      <c r="O776" s="3"/>
      <c r="P776" s="3">
        <v>0</v>
      </c>
      <c r="Q776" s="3">
        <v>0</v>
      </c>
      <c r="R776" s="3">
        <v>0</v>
      </c>
    </row>
    <row r="777" spans="1:18">
      <c r="A777" s="3" t="s">
        <v>2047</v>
      </c>
      <c r="B777" s="3" t="s">
        <v>2043</v>
      </c>
      <c r="C777" s="3" t="s">
        <v>2043</v>
      </c>
      <c r="D777" s="3" t="s">
        <v>2044</v>
      </c>
      <c r="E777" s="3" t="s">
        <v>120</v>
      </c>
      <c r="F777" s="3">
        <v>23.98</v>
      </c>
      <c r="G777" s="3" t="s">
        <v>121</v>
      </c>
      <c r="H777" s="3"/>
      <c r="I777" s="3" t="s">
        <v>122</v>
      </c>
      <c r="J777" s="3">
        <v>57</v>
      </c>
      <c r="K777" s="3">
        <v>57</v>
      </c>
      <c r="L777" s="3">
        <v>0</v>
      </c>
      <c r="M777" s="3">
        <v>0</v>
      </c>
      <c r="N777" s="3">
        <v>57</v>
      </c>
      <c r="O777" s="3">
        <v>0.07</v>
      </c>
      <c r="P777" s="3">
        <v>0</v>
      </c>
      <c r="Q777" s="3">
        <v>0</v>
      </c>
      <c r="R777" s="3">
        <v>0</v>
      </c>
    </row>
    <row r="778" spans="1:18">
      <c r="A778" s="3" t="s">
        <v>2048</v>
      </c>
      <c r="B778" s="3" t="s">
        <v>2049</v>
      </c>
      <c r="C778" s="3" t="s">
        <v>2049</v>
      </c>
      <c r="D778" s="3" t="s">
        <v>2050</v>
      </c>
      <c r="E778" s="3" t="s">
        <v>120</v>
      </c>
      <c r="F778" s="3">
        <v>23.98</v>
      </c>
      <c r="G778" s="3" t="s">
        <v>121</v>
      </c>
      <c r="H778" s="3"/>
      <c r="I778" s="3" t="s">
        <v>122</v>
      </c>
      <c r="J778" s="3">
        <v>16</v>
      </c>
      <c r="K778" s="3">
        <v>16</v>
      </c>
      <c r="L778" s="3">
        <v>0</v>
      </c>
      <c r="M778" s="3">
        <v>0</v>
      </c>
      <c r="N778" s="3">
        <v>16</v>
      </c>
      <c r="O778" s="3">
        <v>0.03</v>
      </c>
      <c r="P778" s="3">
        <v>0</v>
      </c>
      <c r="Q778" s="3">
        <v>0</v>
      </c>
      <c r="R778" s="3">
        <v>0</v>
      </c>
    </row>
    <row r="779" spans="1:18">
      <c r="A779" s="3" t="s">
        <v>2051</v>
      </c>
      <c r="B779" s="3" t="s">
        <v>2052</v>
      </c>
      <c r="C779" s="3" t="s">
        <v>2052</v>
      </c>
      <c r="D779" s="3" t="s">
        <v>2053</v>
      </c>
      <c r="E779" s="3" t="s">
        <v>120</v>
      </c>
      <c r="F779" s="3">
        <v>39.98</v>
      </c>
      <c r="G779" s="3" t="s">
        <v>121</v>
      </c>
      <c r="H779" s="3"/>
      <c r="I779" s="3" t="s">
        <v>122</v>
      </c>
      <c r="J779" s="3">
        <v>0</v>
      </c>
      <c r="K779" s="3">
        <v>0</v>
      </c>
      <c r="L779" s="3">
        <v>0</v>
      </c>
      <c r="M779" s="3">
        <v>0</v>
      </c>
      <c r="N779" s="3">
        <v>0</v>
      </c>
      <c r="O779" s="3">
        <v>0.16</v>
      </c>
      <c r="P779" s="3">
        <v>0</v>
      </c>
      <c r="Q779" s="3">
        <v>0</v>
      </c>
      <c r="R779" s="3">
        <v>0</v>
      </c>
    </row>
    <row r="780" spans="1:18">
      <c r="A780" s="3" t="s">
        <v>2054</v>
      </c>
      <c r="B780" s="3" t="s">
        <v>2055</v>
      </c>
      <c r="C780" s="3" t="s">
        <v>2055</v>
      </c>
      <c r="D780" s="3" t="s">
        <v>2056</v>
      </c>
      <c r="E780" s="3" t="s">
        <v>120</v>
      </c>
      <c r="F780" s="3">
        <v>23.98</v>
      </c>
      <c r="G780" s="3" t="s">
        <v>121</v>
      </c>
      <c r="H780" s="3"/>
      <c r="I780" s="3" t="s">
        <v>122</v>
      </c>
      <c r="J780" s="3">
        <v>0</v>
      </c>
      <c r="K780" s="3">
        <v>0</v>
      </c>
      <c r="L780" s="3">
        <v>0</v>
      </c>
      <c r="M780" s="3">
        <v>0</v>
      </c>
      <c r="N780" s="3">
        <v>0</v>
      </c>
      <c r="O780" s="3">
        <v>0.09</v>
      </c>
      <c r="P780" s="3">
        <v>0</v>
      </c>
      <c r="Q780" s="3">
        <v>0</v>
      </c>
      <c r="R780" s="3">
        <v>0</v>
      </c>
    </row>
    <row r="781" spans="1:18">
      <c r="A781" s="3" t="s">
        <v>2057</v>
      </c>
      <c r="B781" s="3" t="s">
        <v>2058</v>
      </c>
      <c r="C781" s="3" t="s">
        <v>2058</v>
      </c>
      <c r="D781" s="3" t="s">
        <v>2059</v>
      </c>
      <c r="E781" s="3" t="s">
        <v>120</v>
      </c>
      <c r="F781" s="3">
        <v>23.98</v>
      </c>
      <c r="G781" s="3" t="s">
        <v>121</v>
      </c>
      <c r="H781" s="3"/>
      <c r="I781" s="3" t="s">
        <v>122</v>
      </c>
      <c r="J781" s="3">
        <v>0</v>
      </c>
      <c r="K781" s="3">
        <v>0</v>
      </c>
      <c r="L781" s="3">
        <v>0</v>
      </c>
      <c r="M781" s="3">
        <v>0</v>
      </c>
      <c r="N781" s="3">
        <v>0</v>
      </c>
      <c r="O781" s="3">
        <v>0.12</v>
      </c>
      <c r="P781" s="3">
        <v>0</v>
      </c>
      <c r="Q781" s="3">
        <v>0</v>
      </c>
      <c r="R781" s="3">
        <v>0</v>
      </c>
    </row>
    <row r="782" spans="1:18">
      <c r="A782" s="3" t="s">
        <v>2060</v>
      </c>
      <c r="B782" s="3" t="s">
        <v>2061</v>
      </c>
      <c r="C782" s="3" t="s">
        <v>2061</v>
      </c>
      <c r="D782" s="3" t="s">
        <v>2062</v>
      </c>
      <c r="E782" s="3" t="s">
        <v>120</v>
      </c>
      <c r="F782" s="3">
        <v>23.98</v>
      </c>
      <c r="G782" s="3" t="s">
        <v>121</v>
      </c>
      <c r="H782" s="3"/>
      <c r="I782" s="3" t="s">
        <v>122</v>
      </c>
      <c r="J782" s="3">
        <v>20</v>
      </c>
      <c r="K782" s="3">
        <v>20</v>
      </c>
      <c r="L782" s="3">
        <v>0</v>
      </c>
      <c r="M782" s="3">
        <v>0</v>
      </c>
      <c r="N782" s="3">
        <v>20</v>
      </c>
      <c r="O782" s="3">
        <v>0.11</v>
      </c>
      <c r="P782" s="3">
        <v>0</v>
      </c>
      <c r="Q782" s="3">
        <v>0</v>
      </c>
      <c r="R782" s="3">
        <v>0</v>
      </c>
    </row>
    <row r="783" spans="1:18">
      <c r="A783" s="3" t="s">
        <v>2063</v>
      </c>
      <c r="B783" s="3" t="s">
        <v>2064</v>
      </c>
      <c r="C783" s="3" t="s">
        <v>2064</v>
      </c>
      <c r="D783" s="3" t="s">
        <v>2065</v>
      </c>
      <c r="E783" s="3" t="s">
        <v>120</v>
      </c>
      <c r="F783" s="3">
        <v>23.98</v>
      </c>
      <c r="G783" s="3" t="s">
        <v>121</v>
      </c>
      <c r="H783" s="3"/>
      <c r="I783" s="3" t="s">
        <v>122</v>
      </c>
      <c r="J783" s="3">
        <v>2</v>
      </c>
      <c r="K783" s="3">
        <v>2</v>
      </c>
      <c r="L783" s="3">
        <v>0</v>
      </c>
      <c r="M783" s="3">
        <v>0</v>
      </c>
      <c r="N783" s="3">
        <v>2</v>
      </c>
      <c r="O783" s="3">
        <v>0.14</v>
      </c>
      <c r="P783" s="3">
        <v>0</v>
      </c>
      <c r="Q783" s="3">
        <v>0</v>
      </c>
      <c r="R783" s="3">
        <v>0</v>
      </c>
    </row>
    <row r="784" spans="1:18">
      <c r="A784" s="3" t="s">
        <v>2066</v>
      </c>
      <c r="B784" s="3" t="s">
        <v>2067</v>
      </c>
      <c r="C784" s="3" t="s">
        <v>2067</v>
      </c>
      <c r="D784" s="3" t="s">
        <v>2068</v>
      </c>
      <c r="E784" s="3" t="s">
        <v>120</v>
      </c>
      <c r="F784" s="3">
        <v>20.98</v>
      </c>
      <c r="G784" s="3" t="s">
        <v>121</v>
      </c>
      <c r="H784" s="3"/>
      <c r="I784" s="3" t="s">
        <v>122</v>
      </c>
      <c r="J784" s="3">
        <v>28</v>
      </c>
      <c r="K784" s="3">
        <v>28</v>
      </c>
      <c r="L784" s="3">
        <v>0</v>
      </c>
      <c r="M784" s="3">
        <v>0</v>
      </c>
      <c r="N784" s="3">
        <v>28</v>
      </c>
      <c r="O784" s="3">
        <v>0.1</v>
      </c>
      <c r="P784" s="3">
        <v>0</v>
      </c>
      <c r="Q784" s="3">
        <v>0</v>
      </c>
      <c r="R784" s="3">
        <v>0</v>
      </c>
    </row>
    <row r="785" spans="1:18">
      <c r="A785" s="3" t="s">
        <v>2069</v>
      </c>
      <c r="B785" s="3" t="s">
        <v>2070</v>
      </c>
      <c r="C785" s="3" t="s">
        <v>2070</v>
      </c>
      <c r="D785" s="3" t="s">
        <v>2071</v>
      </c>
      <c r="E785" s="3" t="s">
        <v>120</v>
      </c>
      <c r="F785" s="3">
        <v>23.98</v>
      </c>
      <c r="G785" s="3" t="s">
        <v>121</v>
      </c>
      <c r="H785" s="3"/>
      <c r="I785" s="3" t="s">
        <v>122</v>
      </c>
      <c r="J785" s="3">
        <v>25</v>
      </c>
      <c r="K785" s="3">
        <v>25</v>
      </c>
      <c r="L785" s="3">
        <v>0</v>
      </c>
      <c r="M785" s="3">
        <v>0</v>
      </c>
      <c r="N785" s="3">
        <v>25</v>
      </c>
      <c r="O785" s="3">
        <v>0.08</v>
      </c>
      <c r="P785" s="3">
        <v>0</v>
      </c>
      <c r="Q785" s="3">
        <v>0</v>
      </c>
      <c r="R785" s="3">
        <v>0</v>
      </c>
    </row>
    <row r="786" spans="1:18">
      <c r="A786" s="3" t="s">
        <v>2072</v>
      </c>
      <c r="B786" s="3" t="s">
        <v>2073</v>
      </c>
      <c r="C786" s="3" t="s">
        <v>2073</v>
      </c>
      <c r="D786" s="3" t="s">
        <v>2074</v>
      </c>
      <c r="E786" s="3" t="s">
        <v>120</v>
      </c>
      <c r="F786" s="3">
        <v>23.98</v>
      </c>
      <c r="G786" s="3" t="s">
        <v>121</v>
      </c>
      <c r="H786" s="3"/>
      <c r="I786" s="3" t="s">
        <v>122</v>
      </c>
      <c r="J786" s="3">
        <v>18</v>
      </c>
      <c r="K786" s="3">
        <v>16</v>
      </c>
      <c r="L786" s="3">
        <v>0</v>
      </c>
      <c r="M786" s="3">
        <v>2</v>
      </c>
      <c r="N786" s="3">
        <v>18</v>
      </c>
      <c r="O786" s="3">
        <v>0.16</v>
      </c>
      <c r="P786" s="3">
        <v>0</v>
      </c>
      <c r="Q786" s="3">
        <v>0</v>
      </c>
      <c r="R786" s="3">
        <v>0</v>
      </c>
    </row>
    <row r="787" spans="1:18">
      <c r="A787" s="3" t="s">
        <v>2075</v>
      </c>
      <c r="B787" s="3" t="s">
        <v>2076</v>
      </c>
      <c r="C787" s="3" t="s">
        <v>2076</v>
      </c>
      <c r="D787" s="3" t="s">
        <v>2077</v>
      </c>
      <c r="E787" s="3" t="s">
        <v>120</v>
      </c>
      <c r="F787" s="3">
        <v>23.98</v>
      </c>
      <c r="G787" s="3" t="s">
        <v>121</v>
      </c>
      <c r="H787" s="3"/>
      <c r="I787" s="3" t="s">
        <v>122</v>
      </c>
      <c r="J787" s="3">
        <v>52</v>
      </c>
      <c r="K787" s="3">
        <v>52</v>
      </c>
      <c r="L787" s="3">
        <v>0</v>
      </c>
      <c r="M787" s="3">
        <v>0</v>
      </c>
      <c r="N787" s="3">
        <v>52</v>
      </c>
      <c r="O787" s="3">
        <v>0.22</v>
      </c>
      <c r="P787" s="3">
        <v>0</v>
      </c>
      <c r="Q787" s="3">
        <v>0</v>
      </c>
      <c r="R787" s="3">
        <v>0</v>
      </c>
    </row>
    <row r="788" spans="1:18">
      <c r="A788" s="3" t="s">
        <v>2078</v>
      </c>
      <c r="B788" s="3" t="s">
        <v>2079</v>
      </c>
      <c r="C788" s="3" t="s">
        <v>2079</v>
      </c>
      <c r="D788" s="3" t="s">
        <v>2080</v>
      </c>
      <c r="E788" s="3" t="s">
        <v>120</v>
      </c>
      <c r="F788" s="3">
        <v>12.98</v>
      </c>
      <c r="G788" s="3" t="s">
        <v>121</v>
      </c>
      <c r="H788" s="3"/>
      <c r="I788" s="3" t="s">
        <v>122</v>
      </c>
      <c r="J788" s="3">
        <v>6</v>
      </c>
      <c r="K788" s="3">
        <v>6</v>
      </c>
      <c r="L788" s="3">
        <v>0</v>
      </c>
      <c r="M788" s="3">
        <v>0</v>
      </c>
      <c r="N788" s="3">
        <v>6</v>
      </c>
      <c r="O788" s="3">
        <v>0.19</v>
      </c>
      <c r="P788" s="3">
        <v>0</v>
      </c>
      <c r="Q788" s="3">
        <v>0</v>
      </c>
      <c r="R788" s="3">
        <v>0</v>
      </c>
    </row>
    <row r="789" spans="1:18">
      <c r="A789" s="3" t="s">
        <v>2081</v>
      </c>
      <c r="B789" s="3" t="s">
        <v>2082</v>
      </c>
      <c r="C789" s="3" t="s">
        <v>2082</v>
      </c>
      <c r="D789" s="3" t="s">
        <v>2083</v>
      </c>
      <c r="E789" s="3" t="s">
        <v>120</v>
      </c>
      <c r="F789" s="3">
        <v>23.98</v>
      </c>
      <c r="G789" s="3" t="s">
        <v>121</v>
      </c>
      <c r="H789" s="3"/>
      <c r="I789" s="3" t="s">
        <v>122</v>
      </c>
      <c r="J789" s="3">
        <v>10</v>
      </c>
      <c r="K789" s="3">
        <v>10</v>
      </c>
      <c r="L789" s="3">
        <v>0</v>
      </c>
      <c r="M789" s="3">
        <v>0</v>
      </c>
      <c r="N789" s="3">
        <v>10</v>
      </c>
      <c r="O789" s="3">
        <v>0.14</v>
      </c>
      <c r="P789" s="3">
        <v>0</v>
      </c>
      <c r="Q789" s="3">
        <v>0</v>
      </c>
      <c r="R789" s="3">
        <v>0</v>
      </c>
    </row>
    <row r="790" spans="1:18">
      <c r="A790" s="3" t="s">
        <v>2084</v>
      </c>
      <c r="B790" s="3" t="s">
        <v>2085</v>
      </c>
      <c r="C790" s="3" t="s">
        <v>2085</v>
      </c>
      <c r="D790" s="3" t="s">
        <v>2086</v>
      </c>
      <c r="E790" s="3" t="s">
        <v>120</v>
      </c>
      <c r="F790" s="3">
        <v>23.98</v>
      </c>
      <c r="G790" s="3" t="s">
        <v>121</v>
      </c>
      <c r="H790" s="3"/>
      <c r="I790" s="3" t="s">
        <v>122</v>
      </c>
      <c r="J790" s="3">
        <v>19</v>
      </c>
      <c r="K790" s="3">
        <v>18</v>
      </c>
      <c r="L790" s="3">
        <v>0</v>
      </c>
      <c r="M790" s="3">
        <v>1</v>
      </c>
      <c r="N790" s="3">
        <v>19</v>
      </c>
      <c r="O790" s="3">
        <v>0.12</v>
      </c>
      <c r="P790" s="3">
        <v>0</v>
      </c>
      <c r="Q790" s="3">
        <v>0</v>
      </c>
      <c r="R790" s="3">
        <v>0</v>
      </c>
    </row>
    <row r="791" spans="1:18">
      <c r="A791" s="3" t="s">
        <v>2087</v>
      </c>
      <c r="B791" s="3" t="s">
        <v>2088</v>
      </c>
      <c r="C791" s="3" t="s">
        <v>2088</v>
      </c>
      <c r="D791" s="3" t="s">
        <v>2089</v>
      </c>
      <c r="E791" s="3" t="s">
        <v>120</v>
      </c>
      <c r="F791" s="3">
        <v>23.98</v>
      </c>
      <c r="G791" s="3" t="s">
        <v>121</v>
      </c>
      <c r="H791" s="3"/>
      <c r="I791" s="3" t="s">
        <v>122</v>
      </c>
      <c r="J791" s="3">
        <v>37</v>
      </c>
      <c r="K791" s="3">
        <v>37</v>
      </c>
      <c r="L791" s="3">
        <v>0</v>
      </c>
      <c r="M791" s="3">
        <v>0</v>
      </c>
      <c r="N791" s="3">
        <v>37</v>
      </c>
      <c r="O791" s="3">
        <v>0.13</v>
      </c>
      <c r="P791" s="3">
        <v>0</v>
      </c>
      <c r="Q791" s="3">
        <v>0</v>
      </c>
      <c r="R791" s="3">
        <v>0</v>
      </c>
    </row>
    <row r="792" spans="1:18">
      <c r="A792" s="3" t="s">
        <v>2090</v>
      </c>
      <c r="B792" s="3" t="s">
        <v>2091</v>
      </c>
      <c r="C792" s="3" t="s">
        <v>2091</v>
      </c>
      <c r="D792" s="3" t="s">
        <v>2092</v>
      </c>
      <c r="E792" s="3" t="s">
        <v>120</v>
      </c>
      <c r="F792" s="3">
        <v>23.98</v>
      </c>
      <c r="G792" s="3" t="s">
        <v>121</v>
      </c>
      <c r="H792" s="3"/>
      <c r="I792" s="3" t="s">
        <v>122</v>
      </c>
      <c r="J792" s="3">
        <v>16</v>
      </c>
      <c r="K792" s="3">
        <v>16</v>
      </c>
      <c r="L792" s="3">
        <v>0</v>
      </c>
      <c r="M792" s="3">
        <v>0</v>
      </c>
      <c r="N792" s="3">
        <v>16</v>
      </c>
      <c r="O792" s="3">
        <v>0.12</v>
      </c>
      <c r="P792" s="3">
        <v>0</v>
      </c>
      <c r="Q792" s="3">
        <v>0</v>
      </c>
      <c r="R792" s="3">
        <v>0</v>
      </c>
    </row>
    <row r="793" spans="1:18">
      <c r="A793" s="3" t="s">
        <v>2093</v>
      </c>
      <c r="B793" s="3" t="s">
        <v>2094</v>
      </c>
      <c r="C793" s="3" t="s">
        <v>2094</v>
      </c>
      <c r="D793" s="3" t="s">
        <v>2095</v>
      </c>
      <c r="E793" s="3" t="s">
        <v>120</v>
      </c>
      <c r="F793" s="3">
        <v>18.98</v>
      </c>
      <c r="G793" s="3" t="s">
        <v>121</v>
      </c>
      <c r="H793" s="3"/>
      <c r="I793" s="3" t="s">
        <v>122</v>
      </c>
      <c r="J793" s="3">
        <v>27</v>
      </c>
      <c r="K793" s="3">
        <v>27</v>
      </c>
      <c r="L793" s="3">
        <v>0</v>
      </c>
      <c r="M793" s="3">
        <v>0</v>
      </c>
      <c r="N793" s="3">
        <v>27</v>
      </c>
      <c r="O793" s="3">
        <v>0.1</v>
      </c>
      <c r="P793" s="3">
        <v>0</v>
      </c>
      <c r="Q793" s="3">
        <v>0</v>
      </c>
      <c r="R793" s="3">
        <v>0</v>
      </c>
    </row>
    <row r="794" spans="1:18">
      <c r="A794" s="3" t="s">
        <v>2096</v>
      </c>
      <c r="B794" s="3" t="s">
        <v>2097</v>
      </c>
      <c r="C794" s="3" t="s">
        <v>2097</v>
      </c>
      <c r="D794" s="3" t="s">
        <v>2098</v>
      </c>
      <c r="E794" s="3" t="s">
        <v>120</v>
      </c>
      <c r="F794" s="3">
        <v>23.98</v>
      </c>
      <c r="G794" s="3" t="s">
        <v>121</v>
      </c>
      <c r="H794" s="3"/>
      <c r="I794" s="3" t="s">
        <v>122</v>
      </c>
      <c r="J794" s="3">
        <v>1</v>
      </c>
      <c r="K794" s="3">
        <v>1</v>
      </c>
      <c r="L794" s="3">
        <v>0</v>
      </c>
      <c r="M794" s="3">
        <v>0</v>
      </c>
      <c r="N794" s="3">
        <v>1</v>
      </c>
      <c r="O794" s="3">
        <v>0.11</v>
      </c>
      <c r="P794" s="3">
        <v>0</v>
      </c>
      <c r="Q794" s="3">
        <v>0</v>
      </c>
      <c r="R794" s="3">
        <v>0</v>
      </c>
    </row>
    <row r="795" spans="1:18">
      <c r="A795" s="3" t="s">
        <v>2099</v>
      </c>
      <c r="B795" s="3" t="s">
        <v>2100</v>
      </c>
      <c r="C795" s="3" t="s">
        <v>2100</v>
      </c>
      <c r="D795" s="3" t="s">
        <v>2101</v>
      </c>
      <c r="E795" s="3" t="s">
        <v>120</v>
      </c>
      <c r="F795" s="3">
        <v>23.98</v>
      </c>
      <c r="G795" s="3" t="s">
        <v>121</v>
      </c>
      <c r="H795" s="3"/>
      <c r="I795" s="3" t="s">
        <v>122</v>
      </c>
      <c r="J795" s="3">
        <v>0</v>
      </c>
      <c r="K795" s="3">
        <v>0</v>
      </c>
      <c r="L795" s="3">
        <v>0</v>
      </c>
      <c r="M795" s="3">
        <v>0</v>
      </c>
      <c r="N795" s="3">
        <v>0</v>
      </c>
      <c r="O795" s="3">
        <v>0.13</v>
      </c>
      <c r="P795" s="3">
        <v>0</v>
      </c>
      <c r="Q795" s="3">
        <v>0</v>
      </c>
      <c r="R795" s="3">
        <v>0</v>
      </c>
    </row>
    <row r="796" spans="1:18">
      <c r="A796" s="3" t="s">
        <v>2102</v>
      </c>
      <c r="B796" s="3" t="s">
        <v>2103</v>
      </c>
      <c r="C796" s="3" t="s">
        <v>2103</v>
      </c>
      <c r="D796" s="3" t="s">
        <v>2104</v>
      </c>
      <c r="E796" s="3" t="s">
        <v>120</v>
      </c>
      <c r="F796" s="3">
        <v>23.98</v>
      </c>
      <c r="G796" s="3" t="s">
        <v>121</v>
      </c>
      <c r="H796" s="3"/>
      <c r="I796" s="3" t="s">
        <v>122</v>
      </c>
      <c r="J796" s="3">
        <v>0</v>
      </c>
      <c r="K796" s="3">
        <v>0</v>
      </c>
      <c r="L796" s="3">
        <v>0</v>
      </c>
      <c r="M796" s="3">
        <v>0</v>
      </c>
      <c r="N796" s="3">
        <v>0</v>
      </c>
      <c r="O796" s="3">
        <v>0.16</v>
      </c>
      <c r="P796" s="3">
        <v>0</v>
      </c>
      <c r="Q796" s="3">
        <v>0</v>
      </c>
      <c r="R796" s="3">
        <v>0</v>
      </c>
    </row>
    <row r="797" spans="1:18">
      <c r="A797" s="3" t="s">
        <v>2105</v>
      </c>
      <c r="B797" s="3" t="s">
        <v>2106</v>
      </c>
      <c r="C797" s="3" t="s">
        <v>2106</v>
      </c>
      <c r="D797" s="3"/>
      <c r="E797" s="3" t="s">
        <v>20</v>
      </c>
      <c r="F797" s="3"/>
      <c r="G797" s="3"/>
      <c r="H797" s="3"/>
      <c r="I797" s="3"/>
      <c r="J797" s="3">
        <v>0</v>
      </c>
      <c r="K797" s="3">
        <v>0</v>
      </c>
      <c r="L797" s="3">
        <v>0</v>
      </c>
      <c r="M797" s="3">
        <v>0</v>
      </c>
      <c r="N797" s="3">
        <v>0</v>
      </c>
      <c r="O797" s="3"/>
      <c r="P797" s="3">
        <v>0</v>
      </c>
      <c r="Q797" s="3">
        <v>0</v>
      </c>
      <c r="R797" s="3">
        <v>0</v>
      </c>
    </row>
    <row r="798" spans="1:18">
      <c r="A798" s="3" t="s">
        <v>2107</v>
      </c>
      <c r="B798" s="3" t="s">
        <v>2108</v>
      </c>
      <c r="C798" s="3" t="s">
        <v>2108</v>
      </c>
      <c r="D798" s="3"/>
      <c r="E798" s="3" t="s">
        <v>20</v>
      </c>
      <c r="F798" s="3"/>
      <c r="G798" s="3"/>
      <c r="H798" s="3"/>
      <c r="I798" s="3"/>
      <c r="J798" s="3">
        <v>0</v>
      </c>
      <c r="K798" s="3">
        <v>0</v>
      </c>
      <c r="L798" s="3">
        <v>0</v>
      </c>
      <c r="M798" s="3">
        <v>0</v>
      </c>
      <c r="N798" s="3">
        <v>0</v>
      </c>
      <c r="O798" s="3"/>
      <c r="P798" s="3">
        <v>0</v>
      </c>
      <c r="Q798" s="3">
        <v>0</v>
      </c>
      <c r="R798" s="3">
        <v>0</v>
      </c>
    </row>
    <row r="799" spans="1:18">
      <c r="A799" s="3" t="s">
        <v>2109</v>
      </c>
      <c r="B799" s="3" t="s">
        <v>2110</v>
      </c>
      <c r="C799" s="3" t="s">
        <v>2110</v>
      </c>
      <c r="D799" s="3"/>
      <c r="E799" s="3" t="s">
        <v>20</v>
      </c>
      <c r="F799" s="3"/>
      <c r="G799" s="3"/>
      <c r="H799" s="3"/>
      <c r="I799" s="3"/>
      <c r="J799" s="3">
        <v>0</v>
      </c>
      <c r="K799" s="3">
        <v>0</v>
      </c>
      <c r="L799" s="3">
        <v>0</v>
      </c>
      <c r="M799" s="3">
        <v>0</v>
      </c>
      <c r="N799" s="3">
        <v>0</v>
      </c>
      <c r="O799" s="3"/>
      <c r="P799" s="3">
        <v>0</v>
      </c>
      <c r="Q799" s="3">
        <v>0</v>
      </c>
      <c r="R799" s="3">
        <v>0</v>
      </c>
    </row>
    <row r="800" spans="1:18">
      <c r="A800" s="3" t="s">
        <v>2111</v>
      </c>
      <c r="B800" s="3" t="s">
        <v>2112</v>
      </c>
      <c r="C800" s="3" t="s">
        <v>2112</v>
      </c>
      <c r="D800" s="3" t="s">
        <v>2113</v>
      </c>
      <c r="E800" s="3" t="s">
        <v>120</v>
      </c>
      <c r="F800" s="3">
        <v>23.98</v>
      </c>
      <c r="G800" s="3" t="s">
        <v>121</v>
      </c>
      <c r="H800" s="3"/>
      <c r="I800" s="3" t="s">
        <v>122</v>
      </c>
      <c r="J800" s="3">
        <v>0</v>
      </c>
      <c r="K800" s="3">
        <v>0</v>
      </c>
      <c r="L800" s="3">
        <v>0</v>
      </c>
      <c r="M800" s="3">
        <v>0</v>
      </c>
      <c r="N800" s="3">
        <v>0</v>
      </c>
      <c r="O800" s="3">
        <v>0.16</v>
      </c>
      <c r="P800" s="3">
        <v>0</v>
      </c>
      <c r="Q800" s="3">
        <v>0</v>
      </c>
      <c r="R800" s="3">
        <v>0</v>
      </c>
    </row>
    <row r="801" spans="1:18">
      <c r="A801" s="3" t="s">
        <v>2114</v>
      </c>
      <c r="B801" s="3" t="s">
        <v>2115</v>
      </c>
      <c r="C801" s="3" t="s">
        <v>2115</v>
      </c>
      <c r="D801" s="3"/>
      <c r="E801" s="3" t="s">
        <v>20</v>
      </c>
      <c r="F801" s="3"/>
      <c r="G801" s="3"/>
      <c r="H801" s="3"/>
      <c r="I801" s="3"/>
      <c r="J801" s="3">
        <v>0</v>
      </c>
      <c r="K801" s="3">
        <v>0</v>
      </c>
      <c r="L801" s="3">
        <v>0</v>
      </c>
      <c r="M801" s="3">
        <v>0</v>
      </c>
      <c r="N801" s="3">
        <v>0</v>
      </c>
      <c r="O801" s="3"/>
      <c r="P801" s="3">
        <v>0</v>
      </c>
      <c r="Q801" s="3">
        <v>0</v>
      </c>
      <c r="R801" s="3">
        <v>0</v>
      </c>
    </row>
    <row r="802" spans="1:18">
      <c r="A802" s="3" t="s">
        <v>2116</v>
      </c>
      <c r="B802" s="3" t="s">
        <v>2117</v>
      </c>
      <c r="C802" s="3" t="s">
        <v>2117</v>
      </c>
      <c r="D802" s="3" t="s">
        <v>2118</v>
      </c>
      <c r="E802" s="3" t="s">
        <v>120</v>
      </c>
      <c r="F802" s="3">
        <v>23.98</v>
      </c>
      <c r="G802" s="3" t="s">
        <v>121</v>
      </c>
      <c r="H802" s="3"/>
      <c r="I802" s="3" t="s">
        <v>122</v>
      </c>
      <c r="J802" s="3">
        <v>3</v>
      </c>
      <c r="K802" s="3">
        <v>3</v>
      </c>
      <c r="L802" s="3">
        <v>0</v>
      </c>
      <c r="M802" s="3">
        <v>0</v>
      </c>
      <c r="N802" s="3">
        <v>3</v>
      </c>
      <c r="O802" s="3">
        <v>0.08</v>
      </c>
      <c r="P802" s="3">
        <v>0</v>
      </c>
      <c r="Q802" s="3">
        <v>0</v>
      </c>
      <c r="R802" s="3">
        <v>0</v>
      </c>
    </row>
    <row r="803" spans="1:18">
      <c r="A803" s="3" t="s">
        <v>2119</v>
      </c>
      <c r="B803" s="3" t="s">
        <v>2120</v>
      </c>
      <c r="C803" s="3" t="s">
        <v>2120</v>
      </c>
      <c r="D803" s="3" t="s">
        <v>2121</v>
      </c>
      <c r="E803" s="3" t="s">
        <v>120</v>
      </c>
      <c r="F803" s="3">
        <v>23.98</v>
      </c>
      <c r="G803" s="3" t="s">
        <v>121</v>
      </c>
      <c r="H803" s="3"/>
      <c r="I803" s="3" t="s">
        <v>122</v>
      </c>
      <c r="J803" s="3">
        <v>25</v>
      </c>
      <c r="K803" s="3">
        <v>25</v>
      </c>
      <c r="L803" s="3">
        <v>0</v>
      </c>
      <c r="M803" s="3">
        <v>0</v>
      </c>
      <c r="N803" s="3">
        <v>38</v>
      </c>
      <c r="O803" s="3">
        <v>0.11</v>
      </c>
      <c r="P803" s="3">
        <v>0</v>
      </c>
      <c r="Q803" s="3">
        <v>13</v>
      </c>
      <c r="R803" s="3">
        <v>0</v>
      </c>
    </row>
    <row r="804" spans="1:18">
      <c r="A804" s="3" t="s">
        <v>2122</v>
      </c>
      <c r="B804" s="3" t="s">
        <v>2123</v>
      </c>
      <c r="C804" s="3" t="s">
        <v>2123</v>
      </c>
      <c r="D804" s="3" t="s">
        <v>2124</v>
      </c>
      <c r="E804" s="3" t="s">
        <v>120</v>
      </c>
      <c r="F804" s="3">
        <v>23.98</v>
      </c>
      <c r="G804" s="3" t="s">
        <v>121</v>
      </c>
      <c r="H804" s="3"/>
      <c r="I804" s="3" t="s">
        <v>122</v>
      </c>
      <c r="J804" s="3">
        <v>11</v>
      </c>
      <c r="K804" s="3">
        <v>11</v>
      </c>
      <c r="L804" s="3">
        <v>0</v>
      </c>
      <c r="M804" s="3">
        <v>0</v>
      </c>
      <c r="N804" s="3">
        <v>11</v>
      </c>
      <c r="O804" s="3">
        <v>0.12</v>
      </c>
      <c r="P804" s="3">
        <v>0</v>
      </c>
      <c r="Q804" s="3">
        <v>0</v>
      </c>
      <c r="R804" s="3">
        <v>0</v>
      </c>
    </row>
    <row r="805" spans="1:18">
      <c r="A805" s="3" t="s">
        <v>2125</v>
      </c>
      <c r="B805" s="3" t="s">
        <v>2115</v>
      </c>
      <c r="C805" s="3" t="s">
        <v>2115</v>
      </c>
      <c r="D805" s="3"/>
      <c r="E805" s="3" t="s">
        <v>20</v>
      </c>
      <c r="F805" s="3"/>
      <c r="G805" s="3"/>
      <c r="H805" s="3"/>
      <c r="I805" s="3"/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/>
      <c r="P805" s="3">
        <v>0</v>
      </c>
      <c r="Q805" s="3">
        <v>0</v>
      </c>
      <c r="R805" s="3">
        <v>0</v>
      </c>
    </row>
    <row r="806" spans="1:18">
      <c r="A806" s="3" t="s">
        <v>2126</v>
      </c>
      <c r="B806" s="3" t="s">
        <v>2127</v>
      </c>
      <c r="C806" s="3" t="s">
        <v>2127</v>
      </c>
      <c r="D806" s="3" t="s">
        <v>2128</v>
      </c>
      <c r="E806" s="3" t="s">
        <v>120</v>
      </c>
      <c r="F806" s="3">
        <v>23.98</v>
      </c>
      <c r="G806" s="3" t="s">
        <v>121</v>
      </c>
      <c r="H806" s="3"/>
      <c r="I806" s="3" t="s">
        <v>122</v>
      </c>
      <c r="J806" s="3">
        <v>0</v>
      </c>
      <c r="K806" s="3">
        <v>0</v>
      </c>
      <c r="L806" s="3">
        <v>0</v>
      </c>
      <c r="M806" s="3">
        <v>0</v>
      </c>
      <c r="N806" s="3">
        <v>0</v>
      </c>
      <c r="O806" s="3">
        <v>0.07</v>
      </c>
      <c r="P806" s="3">
        <v>0</v>
      </c>
      <c r="Q806" s="3">
        <v>0</v>
      </c>
      <c r="R806" s="3">
        <v>0</v>
      </c>
    </row>
    <row r="807" spans="1:18">
      <c r="A807" s="3" t="s">
        <v>2129</v>
      </c>
      <c r="B807" s="3" t="s">
        <v>2130</v>
      </c>
      <c r="C807" s="3" t="s">
        <v>2130</v>
      </c>
      <c r="D807" s="3" t="s">
        <v>2131</v>
      </c>
      <c r="E807" s="3" t="s">
        <v>120</v>
      </c>
      <c r="F807" s="3">
        <v>22.98</v>
      </c>
      <c r="G807" s="3" t="s">
        <v>121</v>
      </c>
      <c r="H807" s="3"/>
      <c r="I807" s="3" t="s">
        <v>122</v>
      </c>
      <c r="J807" s="3">
        <v>0</v>
      </c>
      <c r="K807" s="3">
        <v>0</v>
      </c>
      <c r="L807" s="3">
        <v>0</v>
      </c>
      <c r="M807" s="3">
        <v>0</v>
      </c>
      <c r="N807" s="3">
        <v>0</v>
      </c>
      <c r="O807" s="3">
        <v>0.14</v>
      </c>
      <c r="P807" s="3">
        <v>0</v>
      </c>
      <c r="Q807" s="3">
        <v>0</v>
      </c>
      <c r="R807" s="3">
        <v>0</v>
      </c>
    </row>
    <row r="808" spans="1:18">
      <c r="A808" s="3" t="s">
        <v>2132</v>
      </c>
      <c r="B808" s="3" t="s">
        <v>2133</v>
      </c>
      <c r="C808" s="3" t="s">
        <v>2133</v>
      </c>
      <c r="D808" s="3" t="s">
        <v>2134</v>
      </c>
      <c r="E808" s="3" t="s">
        <v>120</v>
      </c>
      <c r="F808" s="3">
        <v>22.98</v>
      </c>
      <c r="G808" s="3" t="s">
        <v>121</v>
      </c>
      <c r="H808" s="3"/>
      <c r="I808" s="3" t="s">
        <v>122</v>
      </c>
      <c r="J808" s="3">
        <v>15</v>
      </c>
      <c r="K808" s="3">
        <v>15</v>
      </c>
      <c r="L808" s="3">
        <v>0</v>
      </c>
      <c r="M808" s="3">
        <v>0</v>
      </c>
      <c r="N808" s="3">
        <v>15</v>
      </c>
      <c r="O808" s="3">
        <v>0.14</v>
      </c>
      <c r="P808" s="3">
        <v>0</v>
      </c>
      <c r="Q808" s="3">
        <v>0</v>
      </c>
      <c r="R808" s="3">
        <v>0</v>
      </c>
    </row>
    <row r="809" spans="1:18">
      <c r="A809" s="3" t="s">
        <v>2135</v>
      </c>
      <c r="B809" s="3" t="s">
        <v>2136</v>
      </c>
      <c r="C809" s="3" t="s">
        <v>2136</v>
      </c>
      <c r="D809" s="3" t="s">
        <v>2137</v>
      </c>
      <c r="E809" s="3" t="s">
        <v>120</v>
      </c>
      <c r="F809" s="3">
        <v>22.98</v>
      </c>
      <c r="G809" s="3" t="s">
        <v>121</v>
      </c>
      <c r="H809" s="3"/>
      <c r="I809" s="3" t="s">
        <v>122</v>
      </c>
      <c r="J809" s="3">
        <v>27</v>
      </c>
      <c r="K809" s="3">
        <v>25</v>
      </c>
      <c r="L809" s="3">
        <v>0</v>
      </c>
      <c r="M809" s="3">
        <v>2</v>
      </c>
      <c r="N809" s="3">
        <v>39</v>
      </c>
      <c r="O809" s="3">
        <v>0.14</v>
      </c>
      <c r="P809" s="3">
        <v>0</v>
      </c>
      <c r="Q809" s="3">
        <v>12</v>
      </c>
      <c r="R809" s="3">
        <v>0</v>
      </c>
    </row>
    <row r="810" spans="1:18">
      <c r="A810" s="3" t="s">
        <v>2138</v>
      </c>
      <c r="B810" s="3" t="s">
        <v>2139</v>
      </c>
      <c r="C810" s="3" t="s">
        <v>2139</v>
      </c>
      <c r="D810" s="3" t="s">
        <v>2140</v>
      </c>
      <c r="E810" s="3" t="s">
        <v>120</v>
      </c>
      <c r="F810" s="3">
        <v>22.98</v>
      </c>
      <c r="G810" s="3" t="s">
        <v>121</v>
      </c>
      <c r="H810" s="3"/>
      <c r="I810" s="3" t="s">
        <v>122</v>
      </c>
      <c r="J810" s="3">
        <v>9</v>
      </c>
      <c r="K810" s="3">
        <v>9</v>
      </c>
      <c r="L810" s="3">
        <v>0</v>
      </c>
      <c r="M810" s="3">
        <v>0</v>
      </c>
      <c r="N810" s="3">
        <v>9</v>
      </c>
      <c r="O810" s="3">
        <v>0.14</v>
      </c>
      <c r="P810" s="3">
        <v>0</v>
      </c>
      <c r="Q810" s="3">
        <v>0</v>
      </c>
      <c r="R810" s="3">
        <v>0</v>
      </c>
    </row>
    <row r="811" spans="1:18">
      <c r="A811" s="3" t="s">
        <v>2141</v>
      </c>
      <c r="B811" s="3" t="s">
        <v>2142</v>
      </c>
      <c r="C811" s="3" t="s">
        <v>2142</v>
      </c>
      <c r="D811" s="3" t="s">
        <v>2143</v>
      </c>
      <c r="E811" s="3" t="s">
        <v>120</v>
      </c>
      <c r="F811" s="3">
        <v>22.98</v>
      </c>
      <c r="G811" s="3" t="s">
        <v>121</v>
      </c>
      <c r="H811" s="3"/>
      <c r="I811" s="3" t="s">
        <v>122</v>
      </c>
      <c r="J811" s="3">
        <v>0</v>
      </c>
      <c r="K811" s="3">
        <v>0</v>
      </c>
      <c r="L811" s="3">
        <v>0</v>
      </c>
      <c r="M811" s="3">
        <v>0</v>
      </c>
      <c r="N811" s="3">
        <v>0</v>
      </c>
      <c r="O811" s="3">
        <v>0.14</v>
      </c>
      <c r="P811" s="3">
        <v>0</v>
      </c>
      <c r="Q811" s="3">
        <v>0</v>
      </c>
      <c r="R811" s="3">
        <v>0</v>
      </c>
    </row>
    <row r="812" spans="1:18">
      <c r="A812" s="3" t="s">
        <v>2144</v>
      </c>
      <c r="B812" s="3" t="s">
        <v>2145</v>
      </c>
      <c r="C812" s="3" t="s">
        <v>2145</v>
      </c>
      <c r="D812" s="3" t="s">
        <v>2146</v>
      </c>
      <c r="E812" s="3" t="s">
        <v>120</v>
      </c>
      <c r="F812" s="3">
        <v>22.98</v>
      </c>
      <c r="G812" s="3" t="s">
        <v>121</v>
      </c>
      <c r="H812" s="3"/>
      <c r="I812" s="3" t="s">
        <v>122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0.14</v>
      </c>
      <c r="P812" s="3">
        <v>0</v>
      </c>
      <c r="Q812" s="3">
        <v>0</v>
      </c>
      <c r="R812" s="3">
        <v>0</v>
      </c>
    </row>
    <row r="813" spans="1:18">
      <c r="A813" s="3" t="s">
        <v>2147</v>
      </c>
      <c r="B813" s="3" t="s">
        <v>2148</v>
      </c>
      <c r="C813" s="3" t="s">
        <v>2148</v>
      </c>
      <c r="D813" s="3" t="s">
        <v>2149</v>
      </c>
      <c r="E813" s="3" t="s">
        <v>120</v>
      </c>
      <c r="F813" s="3">
        <v>22.98</v>
      </c>
      <c r="G813" s="3" t="s">
        <v>121</v>
      </c>
      <c r="H813" s="3"/>
      <c r="I813" s="3" t="s">
        <v>122</v>
      </c>
      <c r="J813" s="3">
        <v>15</v>
      </c>
      <c r="K813" s="3">
        <v>15</v>
      </c>
      <c r="L813" s="3">
        <v>0</v>
      </c>
      <c r="M813" s="3">
        <v>0</v>
      </c>
      <c r="N813" s="3">
        <v>15</v>
      </c>
      <c r="O813" s="3">
        <v>0.14</v>
      </c>
      <c r="P813" s="3">
        <v>0</v>
      </c>
      <c r="Q813" s="3">
        <v>0</v>
      </c>
      <c r="R813" s="3">
        <v>0</v>
      </c>
    </row>
    <row r="814" spans="1:18">
      <c r="A814" s="3" t="s">
        <v>2150</v>
      </c>
      <c r="B814" s="3" t="s">
        <v>2151</v>
      </c>
      <c r="C814" s="3" t="s">
        <v>2151</v>
      </c>
      <c r="D814" s="3" t="s">
        <v>2152</v>
      </c>
      <c r="E814" s="3" t="s">
        <v>120</v>
      </c>
      <c r="F814" s="3">
        <v>22.98</v>
      </c>
      <c r="G814" s="3" t="s">
        <v>121</v>
      </c>
      <c r="H814" s="3"/>
      <c r="I814" s="3" t="s">
        <v>122</v>
      </c>
      <c r="J814" s="3">
        <v>5</v>
      </c>
      <c r="K814" s="3">
        <v>4</v>
      </c>
      <c r="L814" s="3">
        <v>0</v>
      </c>
      <c r="M814" s="3">
        <v>1</v>
      </c>
      <c r="N814" s="3">
        <v>5</v>
      </c>
      <c r="O814" s="3">
        <v>0.14</v>
      </c>
      <c r="P814" s="3">
        <v>0</v>
      </c>
      <c r="Q814" s="3">
        <v>0</v>
      </c>
      <c r="R814" s="3">
        <v>0</v>
      </c>
    </row>
    <row r="815" spans="1:18">
      <c r="A815" s="3" t="s">
        <v>2153</v>
      </c>
      <c r="B815" s="3" t="s">
        <v>2154</v>
      </c>
      <c r="C815" s="3" t="s">
        <v>2154</v>
      </c>
      <c r="D815" s="3" t="s">
        <v>2155</v>
      </c>
      <c r="E815" s="3" t="s">
        <v>120</v>
      </c>
      <c r="F815" s="3">
        <v>22.98</v>
      </c>
      <c r="G815" s="3" t="s">
        <v>121</v>
      </c>
      <c r="H815" s="3"/>
      <c r="I815" s="3" t="s">
        <v>122</v>
      </c>
      <c r="J815" s="3">
        <v>0</v>
      </c>
      <c r="K815" s="3">
        <v>0</v>
      </c>
      <c r="L815" s="3">
        <v>0</v>
      </c>
      <c r="M815" s="3">
        <v>0</v>
      </c>
      <c r="N815" s="3">
        <v>11</v>
      </c>
      <c r="O815" s="3">
        <v>0.14</v>
      </c>
      <c r="P815" s="3">
        <v>0</v>
      </c>
      <c r="Q815" s="3">
        <v>11</v>
      </c>
      <c r="R815" s="3">
        <v>0</v>
      </c>
    </row>
    <row r="816" spans="1:18">
      <c r="A816" s="3" t="s">
        <v>2156</v>
      </c>
      <c r="B816" s="3" t="s">
        <v>2157</v>
      </c>
      <c r="C816" s="3" t="s">
        <v>2157</v>
      </c>
      <c r="D816" s="3" t="s">
        <v>2158</v>
      </c>
      <c r="E816" s="3" t="s">
        <v>120</v>
      </c>
      <c r="F816" s="3">
        <v>22.98</v>
      </c>
      <c r="G816" s="3" t="s">
        <v>121</v>
      </c>
      <c r="H816" s="3"/>
      <c r="I816" s="3" t="s">
        <v>122</v>
      </c>
      <c r="J816" s="3">
        <v>7</v>
      </c>
      <c r="K816" s="3">
        <v>7</v>
      </c>
      <c r="L816" s="3">
        <v>0</v>
      </c>
      <c r="M816" s="3">
        <v>0</v>
      </c>
      <c r="N816" s="3">
        <v>7</v>
      </c>
      <c r="O816" s="3">
        <v>0.14</v>
      </c>
      <c r="P816" s="3">
        <v>0</v>
      </c>
      <c r="Q816" s="3">
        <v>0</v>
      </c>
      <c r="R816" s="3">
        <v>0</v>
      </c>
    </row>
    <row r="817" spans="1:18">
      <c r="A817" s="3" t="s">
        <v>2159</v>
      </c>
      <c r="B817" s="3" t="s">
        <v>2160</v>
      </c>
      <c r="C817" s="3" t="s">
        <v>2160</v>
      </c>
      <c r="D817" s="3" t="s">
        <v>2161</v>
      </c>
      <c r="E817" s="3" t="s">
        <v>120</v>
      </c>
      <c r="F817" s="3">
        <v>22.98</v>
      </c>
      <c r="G817" s="3" t="s">
        <v>121</v>
      </c>
      <c r="H817" s="3"/>
      <c r="I817" s="3" t="s">
        <v>122</v>
      </c>
      <c r="J817" s="3">
        <v>0</v>
      </c>
      <c r="K817" s="3">
        <v>0</v>
      </c>
      <c r="L817" s="3">
        <v>0</v>
      </c>
      <c r="M817" s="3">
        <v>0</v>
      </c>
      <c r="N817" s="3">
        <v>0</v>
      </c>
      <c r="O817" s="3">
        <v>0.14</v>
      </c>
      <c r="P817" s="3">
        <v>0</v>
      </c>
      <c r="Q817" s="3">
        <v>0</v>
      </c>
      <c r="R817" s="3">
        <v>0</v>
      </c>
    </row>
    <row r="818" spans="1:18">
      <c r="A818" s="3" t="s">
        <v>2162</v>
      </c>
      <c r="B818" s="3" t="s">
        <v>2163</v>
      </c>
      <c r="C818" s="3" t="s">
        <v>2163</v>
      </c>
      <c r="D818" s="3" t="s">
        <v>2164</v>
      </c>
      <c r="E818" s="3" t="s">
        <v>120</v>
      </c>
      <c r="F818" s="3">
        <v>22.98</v>
      </c>
      <c r="G818" s="3" t="s">
        <v>121</v>
      </c>
      <c r="H818" s="3"/>
      <c r="I818" s="3" t="s">
        <v>122</v>
      </c>
      <c r="J818" s="3">
        <v>4</v>
      </c>
      <c r="K818" s="3">
        <v>4</v>
      </c>
      <c r="L818" s="3">
        <v>0</v>
      </c>
      <c r="M818" s="3">
        <v>0</v>
      </c>
      <c r="N818" s="3">
        <v>18</v>
      </c>
      <c r="O818" s="3">
        <v>0.14</v>
      </c>
      <c r="P818" s="3">
        <v>0</v>
      </c>
      <c r="Q818" s="3">
        <v>14</v>
      </c>
      <c r="R818" s="3">
        <v>0</v>
      </c>
    </row>
    <row r="819" spans="1:18">
      <c r="A819" s="3" t="s">
        <v>2165</v>
      </c>
      <c r="B819" s="3" t="s">
        <v>2166</v>
      </c>
      <c r="C819" s="3" t="s">
        <v>2166</v>
      </c>
      <c r="D819" s="3" t="s">
        <v>2167</v>
      </c>
      <c r="E819" s="3" t="s">
        <v>120</v>
      </c>
      <c r="F819" s="3">
        <v>22.98</v>
      </c>
      <c r="G819" s="3" t="s">
        <v>121</v>
      </c>
      <c r="H819" s="3"/>
      <c r="I819" s="3" t="s">
        <v>122</v>
      </c>
      <c r="J819" s="3">
        <v>17</v>
      </c>
      <c r="K819" s="3">
        <v>17</v>
      </c>
      <c r="L819" s="3">
        <v>0</v>
      </c>
      <c r="M819" s="3">
        <v>0</v>
      </c>
      <c r="N819" s="3">
        <v>17</v>
      </c>
      <c r="O819" s="3">
        <v>0.14</v>
      </c>
      <c r="P819" s="3">
        <v>0</v>
      </c>
      <c r="Q819" s="3">
        <v>0</v>
      </c>
      <c r="R819" s="3">
        <v>0</v>
      </c>
    </row>
    <row r="820" spans="1:18">
      <c r="A820" s="3" t="s">
        <v>2168</v>
      </c>
      <c r="B820" s="3" t="s">
        <v>2169</v>
      </c>
      <c r="C820" s="3" t="s">
        <v>2169</v>
      </c>
      <c r="D820" s="3" t="s">
        <v>2170</v>
      </c>
      <c r="E820" s="3" t="s">
        <v>120</v>
      </c>
      <c r="F820" s="3">
        <v>22.98</v>
      </c>
      <c r="G820" s="3" t="s">
        <v>121</v>
      </c>
      <c r="H820" s="3"/>
      <c r="I820" s="3" t="s">
        <v>122</v>
      </c>
      <c r="J820" s="3">
        <v>5</v>
      </c>
      <c r="K820" s="3">
        <v>5</v>
      </c>
      <c r="L820" s="3">
        <v>0</v>
      </c>
      <c r="M820" s="3">
        <v>0</v>
      </c>
      <c r="N820" s="3">
        <v>5</v>
      </c>
      <c r="O820" s="3">
        <v>0.14</v>
      </c>
      <c r="P820" s="3">
        <v>0</v>
      </c>
      <c r="Q820" s="3">
        <v>0</v>
      </c>
      <c r="R820" s="3">
        <v>0</v>
      </c>
    </row>
    <row r="821" spans="1:18">
      <c r="A821" s="3" t="s">
        <v>2171</v>
      </c>
      <c r="B821" s="3" t="s">
        <v>2172</v>
      </c>
      <c r="C821" s="3" t="s">
        <v>2172</v>
      </c>
      <c r="D821" s="3" t="s">
        <v>2173</v>
      </c>
      <c r="E821" s="3" t="s">
        <v>120</v>
      </c>
      <c r="F821" s="3">
        <v>22.98</v>
      </c>
      <c r="G821" s="3" t="s">
        <v>121</v>
      </c>
      <c r="H821" s="3"/>
      <c r="I821" s="3" t="s">
        <v>122</v>
      </c>
      <c r="J821" s="3">
        <v>0</v>
      </c>
      <c r="K821" s="3">
        <v>0</v>
      </c>
      <c r="L821" s="3">
        <v>0</v>
      </c>
      <c r="M821" s="3">
        <v>0</v>
      </c>
      <c r="N821" s="3">
        <v>0</v>
      </c>
      <c r="O821" s="3">
        <v>0.14</v>
      </c>
      <c r="P821" s="3">
        <v>0</v>
      </c>
      <c r="Q821" s="3">
        <v>0</v>
      </c>
      <c r="R821" s="3">
        <v>0</v>
      </c>
    </row>
    <row r="822" spans="1:18">
      <c r="A822" s="3" t="s">
        <v>2174</v>
      </c>
      <c r="B822" s="3" t="s">
        <v>2175</v>
      </c>
      <c r="C822" s="3" t="s">
        <v>2175</v>
      </c>
      <c r="D822" s="3" t="s">
        <v>2176</v>
      </c>
      <c r="E822" s="3" t="s">
        <v>120</v>
      </c>
      <c r="F822" s="3">
        <v>22.98</v>
      </c>
      <c r="G822" s="3" t="s">
        <v>121</v>
      </c>
      <c r="H822" s="3"/>
      <c r="I822" s="3" t="s">
        <v>122</v>
      </c>
      <c r="J822" s="3">
        <v>10</v>
      </c>
      <c r="K822" s="3">
        <v>10</v>
      </c>
      <c r="L822" s="3">
        <v>0</v>
      </c>
      <c r="M822" s="3">
        <v>0</v>
      </c>
      <c r="N822" s="3">
        <v>10</v>
      </c>
      <c r="O822" s="3">
        <v>0.14</v>
      </c>
      <c r="P822" s="3">
        <v>0</v>
      </c>
      <c r="Q822" s="3">
        <v>0</v>
      </c>
      <c r="R822" s="3">
        <v>0</v>
      </c>
    </row>
    <row r="823" spans="1:18">
      <c r="A823" s="3" t="s">
        <v>2177</v>
      </c>
      <c r="B823" s="3" t="s">
        <v>2178</v>
      </c>
      <c r="C823" s="3" t="s">
        <v>2178</v>
      </c>
      <c r="D823" s="3" t="s">
        <v>2179</v>
      </c>
      <c r="E823" s="3" t="s">
        <v>120</v>
      </c>
      <c r="F823" s="3">
        <v>22.98</v>
      </c>
      <c r="G823" s="3" t="s">
        <v>121</v>
      </c>
      <c r="H823" s="3"/>
      <c r="I823" s="3" t="s">
        <v>122</v>
      </c>
      <c r="J823" s="3">
        <v>32</v>
      </c>
      <c r="K823" s="3">
        <v>32</v>
      </c>
      <c r="L823" s="3">
        <v>0</v>
      </c>
      <c r="M823" s="3">
        <v>0</v>
      </c>
      <c r="N823" s="3">
        <v>52</v>
      </c>
      <c r="O823" s="3">
        <v>0.14</v>
      </c>
      <c r="P823" s="3">
        <v>0</v>
      </c>
      <c r="Q823" s="3">
        <v>20</v>
      </c>
      <c r="R823" s="3">
        <v>0</v>
      </c>
    </row>
    <row r="824" spans="1:18">
      <c r="A824" s="3" t="s">
        <v>2180</v>
      </c>
      <c r="B824" s="3" t="s">
        <v>2181</v>
      </c>
      <c r="C824" s="3" t="s">
        <v>2181</v>
      </c>
      <c r="D824" s="3" t="s">
        <v>2182</v>
      </c>
      <c r="E824" s="3" t="s">
        <v>120</v>
      </c>
      <c r="F824" s="3">
        <v>22.98</v>
      </c>
      <c r="G824" s="3" t="s">
        <v>121</v>
      </c>
      <c r="H824" s="3"/>
      <c r="I824" s="3" t="s">
        <v>122</v>
      </c>
      <c r="J824" s="3">
        <v>14</v>
      </c>
      <c r="K824" s="3">
        <v>14</v>
      </c>
      <c r="L824" s="3">
        <v>0</v>
      </c>
      <c r="M824" s="3">
        <v>0</v>
      </c>
      <c r="N824" s="3">
        <v>14</v>
      </c>
      <c r="O824" s="3">
        <v>0.14</v>
      </c>
      <c r="P824" s="3">
        <v>0</v>
      </c>
      <c r="Q824" s="3">
        <v>0</v>
      </c>
      <c r="R824" s="3">
        <v>0</v>
      </c>
    </row>
    <row r="825" spans="1:18">
      <c r="A825" s="3" t="s">
        <v>2183</v>
      </c>
      <c r="B825" s="3" t="s">
        <v>2184</v>
      </c>
      <c r="C825" s="3" t="s">
        <v>2184</v>
      </c>
      <c r="D825" s="3" t="s">
        <v>2185</v>
      </c>
      <c r="E825" s="3" t="s">
        <v>120</v>
      </c>
      <c r="F825" s="3">
        <v>22.98</v>
      </c>
      <c r="G825" s="3" t="s">
        <v>121</v>
      </c>
      <c r="H825" s="3"/>
      <c r="I825" s="3" t="s">
        <v>122</v>
      </c>
      <c r="J825" s="3">
        <v>3</v>
      </c>
      <c r="K825" s="3">
        <v>3</v>
      </c>
      <c r="L825" s="3">
        <v>0</v>
      </c>
      <c r="M825" s="3">
        <v>0</v>
      </c>
      <c r="N825" s="3">
        <v>3</v>
      </c>
      <c r="O825" s="3">
        <v>0.14</v>
      </c>
      <c r="P825" s="3">
        <v>0</v>
      </c>
      <c r="Q825" s="3">
        <v>0</v>
      </c>
      <c r="R825" s="3">
        <v>0</v>
      </c>
    </row>
    <row r="826" spans="1:18">
      <c r="A826" s="3" t="s">
        <v>2186</v>
      </c>
      <c r="B826" s="3" t="s">
        <v>2187</v>
      </c>
      <c r="C826" s="3" t="s">
        <v>2187</v>
      </c>
      <c r="D826" s="3" t="s">
        <v>2188</v>
      </c>
      <c r="E826" s="3" t="s">
        <v>120</v>
      </c>
      <c r="F826" s="3">
        <v>22.98</v>
      </c>
      <c r="G826" s="3" t="s">
        <v>121</v>
      </c>
      <c r="H826" s="3"/>
      <c r="I826" s="3" t="s">
        <v>122</v>
      </c>
      <c r="J826" s="3">
        <v>11</v>
      </c>
      <c r="K826" s="3">
        <v>11</v>
      </c>
      <c r="L826" s="3">
        <v>0</v>
      </c>
      <c r="M826" s="3">
        <v>0</v>
      </c>
      <c r="N826" s="3">
        <v>11</v>
      </c>
      <c r="O826" s="3">
        <v>0.14</v>
      </c>
      <c r="P826" s="3">
        <v>0</v>
      </c>
      <c r="Q826" s="3">
        <v>0</v>
      </c>
      <c r="R826" s="3">
        <v>0</v>
      </c>
    </row>
    <row r="827" spans="1:18">
      <c r="A827" s="3" t="s">
        <v>2189</v>
      </c>
      <c r="B827" s="3" t="s">
        <v>2190</v>
      </c>
      <c r="C827" s="3" t="s">
        <v>2190</v>
      </c>
      <c r="D827" s="3" t="s">
        <v>2191</v>
      </c>
      <c r="E827" s="3" t="s">
        <v>120</v>
      </c>
      <c r="F827" s="3">
        <v>22.98</v>
      </c>
      <c r="G827" s="3" t="s">
        <v>121</v>
      </c>
      <c r="H827" s="3"/>
      <c r="I827" s="3" t="s">
        <v>122</v>
      </c>
      <c r="J827" s="3">
        <v>20</v>
      </c>
      <c r="K827" s="3">
        <v>20</v>
      </c>
      <c r="L827" s="3">
        <v>0</v>
      </c>
      <c r="M827" s="3">
        <v>0</v>
      </c>
      <c r="N827" s="3">
        <v>20</v>
      </c>
      <c r="O827" s="3">
        <v>0.14</v>
      </c>
      <c r="P827" s="3">
        <v>0</v>
      </c>
      <c r="Q827" s="3">
        <v>0</v>
      </c>
      <c r="R827" s="3">
        <v>0</v>
      </c>
    </row>
    <row r="828" spans="1:18">
      <c r="A828" s="3" t="s">
        <v>2192</v>
      </c>
      <c r="B828" s="3" t="s">
        <v>2193</v>
      </c>
      <c r="C828" s="3" t="s">
        <v>2193</v>
      </c>
      <c r="D828" s="3" t="s">
        <v>2194</v>
      </c>
      <c r="E828" s="3" t="s">
        <v>120</v>
      </c>
      <c r="F828" s="3">
        <v>22.98</v>
      </c>
      <c r="G828" s="3" t="s">
        <v>121</v>
      </c>
      <c r="H828" s="3"/>
      <c r="I828" s="3" t="s">
        <v>122</v>
      </c>
      <c r="J828" s="3">
        <v>9</v>
      </c>
      <c r="K828" s="3">
        <v>9</v>
      </c>
      <c r="L828" s="3">
        <v>0</v>
      </c>
      <c r="M828" s="3">
        <v>0</v>
      </c>
      <c r="N828" s="3">
        <v>9</v>
      </c>
      <c r="O828" s="3">
        <v>0.14</v>
      </c>
      <c r="P828" s="3">
        <v>0</v>
      </c>
      <c r="Q828" s="3">
        <v>0</v>
      </c>
      <c r="R828" s="3">
        <v>0</v>
      </c>
    </row>
    <row r="829" spans="1:18">
      <c r="A829" s="3" t="s">
        <v>2195</v>
      </c>
      <c r="B829" s="3" t="s">
        <v>2196</v>
      </c>
      <c r="C829" s="3" t="s">
        <v>2196</v>
      </c>
      <c r="D829" s="3" t="s">
        <v>2197</v>
      </c>
      <c r="E829" s="3" t="s">
        <v>120</v>
      </c>
      <c r="F829" s="3">
        <v>22.98</v>
      </c>
      <c r="G829" s="3" t="s">
        <v>121</v>
      </c>
      <c r="H829" s="3"/>
      <c r="I829" s="3" t="s">
        <v>122</v>
      </c>
      <c r="J829" s="3">
        <v>17</v>
      </c>
      <c r="K829" s="3">
        <v>17</v>
      </c>
      <c r="L829" s="3">
        <v>0</v>
      </c>
      <c r="M829" s="3">
        <v>0</v>
      </c>
      <c r="N829" s="3">
        <v>17</v>
      </c>
      <c r="O829" s="3">
        <v>0.06</v>
      </c>
      <c r="P829" s="3">
        <v>0</v>
      </c>
      <c r="Q829" s="3">
        <v>0</v>
      </c>
      <c r="R829" s="3">
        <v>0</v>
      </c>
    </row>
    <row r="830" spans="1:18">
      <c r="A830" s="3" t="s">
        <v>2198</v>
      </c>
      <c r="B830" s="3" t="s">
        <v>2199</v>
      </c>
      <c r="C830" s="3" t="s">
        <v>2199</v>
      </c>
      <c r="D830" s="3" t="s">
        <v>2200</v>
      </c>
      <c r="E830" s="3" t="s">
        <v>120</v>
      </c>
      <c r="F830" s="3">
        <v>22.98</v>
      </c>
      <c r="G830" s="3" t="s">
        <v>121</v>
      </c>
      <c r="H830" s="3"/>
      <c r="I830" s="3" t="s">
        <v>122</v>
      </c>
      <c r="J830" s="3">
        <v>14</v>
      </c>
      <c r="K830" s="3">
        <v>14</v>
      </c>
      <c r="L830" s="3">
        <v>0</v>
      </c>
      <c r="M830" s="3">
        <v>0</v>
      </c>
      <c r="N830" s="3">
        <v>14</v>
      </c>
      <c r="O830" s="3">
        <v>0.14</v>
      </c>
      <c r="P830" s="3">
        <v>0</v>
      </c>
      <c r="Q830" s="3">
        <v>0</v>
      </c>
      <c r="R830" s="3">
        <v>0</v>
      </c>
    </row>
    <row r="831" spans="1:18">
      <c r="A831" s="3" t="s">
        <v>2201</v>
      </c>
      <c r="B831" s="3" t="s">
        <v>2202</v>
      </c>
      <c r="C831" s="3" t="s">
        <v>2202</v>
      </c>
      <c r="D831" s="3" t="s">
        <v>2203</v>
      </c>
      <c r="E831" s="3" t="s">
        <v>120</v>
      </c>
      <c r="F831" s="3">
        <v>22.98</v>
      </c>
      <c r="G831" s="3" t="s">
        <v>121</v>
      </c>
      <c r="H831" s="3"/>
      <c r="I831" s="3" t="s">
        <v>122</v>
      </c>
      <c r="J831" s="3">
        <v>10</v>
      </c>
      <c r="K831" s="3">
        <v>10</v>
      </c>
      <c r="L831" s="3">
        <v>0</v>
      </c>
      <c r="M831" s="3">
        <v>0</v>
      </c>
      <c r="N831" s="3">
        <v>10</v>
      </c>
      <c r="O831" s="3">
        <v>0.14</v>
      </c>
      <c r="P831" s="3">
        <v>0</v>
      </c>
      <c r="Q831" s="3">
        <v>0</v>
      </c>
      <c r="R831" s="3">
        <v>0</v>
      </c>
    </row>
    <row r="832" spans="1:18">
      <c r="A832" s="3" t="s">
        <v>2204</v>
      </c>
      <c r="B832" s="3" t="s">
        <v>2205</v>
      </c>
      <c r="C832" s="3" t="s">
        <v>2205</v>
      </c>
      <c r="D832" s="3" t="s">
        <v>2206</v>
      </c>
      <c r="E832" s="3" t="s">
        <v>120</v>
      </c>
      <c r="F832" s="3">
        <v>22.98</v>
      </c>
      <c r="G832" s="3" t="s">
        <v>121</v>
      </c>
      <c r="H832" s="3"/>
      <c r="I832" s="3" t="s">
        <v>122</v>
      </c>
      <c r="J832" s="3">
        <v>11</v>
      </c>
      <c r="K832" s="3">
        <v>11</v>
      </c>
      <c r="L832" s="3">
        <v>0</v>
      </c>
      <c r="M832" s="3">
        <v>0</v>
      </c>
      <c r="N832" s="3">
        <v>11</v>
      </c>
      <c r="O832" s="3">
        <v>0.14</v>
      </c>
      <c r="P832" s="3">
        <v>0</v>
      </c>
      <c r="Q832" s="3">
        <v>0</v>
      </c>
      <c r="R832" s="3">
        <v>0</v>
      </c>
    </row>
    <row r="833" spans="1:18">
      <c r="A833" s="3" t="s">
        <v>2207</v>
      </c>
      <c r="B833" s="3" t="s">
        <v>2208</v>
      </c>
      <c r="C833" s="3" t="s">
        <v>2208</v>
      </c>
      <c r="D833" s="3" t="s">
        <v>2209</v>
      </c>
      <c r="E833" s="3" t="s">
        <v>120</v>
      </c>
      <c r="F833" s="3">
        <v>22.98</v>
      </c>
      <c r="G833" s="3" t="s">
        <v>121</v>
      </c>
      <c r="H833" s="3"/>
      <c r="I833" s="3" t="s">
        <v>122</v>
      </c>
      <c r="J833" s="3">
        <v>5</v>
      </c>
      <c r="K833" s="3">
        <v>4</v>
      </c>
      <c r="L833" s="3">
        <v>0</v>
      </c>
      <c r="M833" s="3">
        <v>1</v>
      </c>
      <c r="N833" s="3">
        <v>21</v>
      </c>
      <c r="O833" s="3">
        <v>0.14</v>
      </c>
      <c r="P833" s="3">
        <v>0</v>
      </c>
      <c r="Q833" s="3">
        <v>16</v>
      </c>
      <c r="R833" s="3">
        <v>0</v>
      </c>
    </row>
    <row r="834" spans="1:18">
      <c r="A834" s="3" t="s">
        <v>2210</v>
      </c>
      <c r="B834" s="3" t="s">
        <v>2211</v>
      </c>
      <c r="C834" s="3" t="s">
        <v>2211</v>
      </c>
      <c r="D834" s="3" t="s">
        <v>2212</v>
      </c>
      <c r="E834" s="3" t="s">
        <v>120</v>
      </c>
      <c r="F834" s="3">
        <v>22.98</v>
      </c>
      <c r="G834" s="3" t="s">
        <v>121</v>
      </c>
      <c r="H834" s="3"/>
      <c r="I834" s="3" t="s">
        <v>122</v>
      </c>
      <c r="J834" s="3">
        <v>14</v>
      </c>
      <c r="K834" s="3">
        <v>14</v>
      </c>
      <c r="L834" s="3">
        <v>0</v>
      </c>
      <c r="M834" s="3">
        <v>0</v>
      </c>
      <c r="N834" s="3">
        <v>14</v>
      </c>
      <c r="O834" s="3">
        <v>0.14</v>
      </c>
      <c r="P834" s="3">
        <v>0</v>
      </c>
      <c r="Q834" s="3">
        <v>0</v>
      </c>
      <c r="R834" s="3">
        <v>0</v>
      </c>
    </row>
    <row r="835" spans="1:18">
      <c r="A835" s="3" t="s">
        <v>2213</v>
      </c>
      <c r="B835" s="3" t="s">
        <v>2214</v>
      </c>
      <c r="C835" s="3" t="s">
        <v>2214</v>
      </c>
      <c r="D835" s="3" t="s">
        <v>2215</v>
      </c>
      <c r="E835" s="3" t="s">
        <v>120</v>
      </c>
      <c r="F835" s="3">
        <v>22.98</v>
      </c>
      <c r="G835" s="3" t="s">
        <v>121</v>
      </c>
      <c r="H835" s="3"/>
      <c r="I835" s="3" t="s">
        <v>122</v>
      </c>
      <c r="J835" s="3">
        <v>3</v>
      </c>
      <c r="K835" s="3">
        <v>3</v>
      </c>
      <c r="L835" s="3">
        <v>0</v>
      </c>
      <c r="M835" s="3">
        <v>0</v>
      </c>
      <c r="N835" s="3">
        <v>3</v>
      </c>
      <c r="O835" s="3">
        <v>0.14</v>
      </c>
      <c r="P835" s="3">
        <v>0</v>
      </c>
      <c r="Q835" s="3">
        <v>0</v>
      </c>
      <c r="R835" s="3">
        <v>0</v>
      </c>
    </row>
    <row r="836" spans="1:18">
      <c r="A836" s="3" t="s">
        <v>2216</v>
      </c>
      <c r="B836" s="3" t="s">
        <v>2217</v>
      </c>
      <c r="C836" s="3" t="s">
        <v>2217</v>
      </c>
      <c r="D836" s="3" t="s">
        <v>2218</v>
      </c>
      <c r="E836" s="3" t="s">
        <v>120</v>
      </c>
      <c r="F836" s="3">
        <v>22.98</v>
      </c>
      <c r="G836" s="3" t="s">
        <v>121</v>
      </c>
      <c r="H836" s="3"/>
      <c r="I836" s="3" t="s">
        <v>122</v>
      </c>
      <c r="J836" s="3">
        <v>15</v>
      </c>
      <c r="K836" s="3">
        <v>15</v>
      </c>
      <c r="L836" s="3">
        <v>0</v>
      </c>
      <c r="M836" s="3">
        <v>0</v>
      </c>
      <c r="N836" s="3">
        <v>15</v>
      </c>
      <c r="O836" s="3">
        <v>0.14</v>
      </c>
      <c r="P836" s="3">
        <v>0</v>
      </c>
      <c r="Q836" s="3">
        <v>0</v>
      </c>
      <c r="R836" s="3">
        <v>0</v>
      </c>
    </row>
    <row r="837" spans="1:18">
      <c r="A837" s="3" t="s">
        <v>2219</v>
      </c>
      <c r="B837" s="3" t="s">
        <v>2220</v>
      </c>
      <c r="C837" s="3" t="s">
        <v>2220</v>
      </c>
      <c r="D837" s="3" t="s">
        <v>2221</v>
      </c>
      <c r="E837" s="3" t="s">
        <v>120</v>
      </c>
      <c r="F837" s="3">
        <v>22.98</v>
      </c>
      <c r="G837" s="3" t="s">
        <v>121</v>
      </c>
      <c r="H837" s="3"/>
      <c r="I837" s="3" t="s">
        <v>122</v>
      </c>
      <c r="J837" s="3">
        <v>10</v>
      </c>
      <c r="K837" s="3">
        <v>10</v>
      </c>
      <c r="L837" s="3">
        <v>0</v>
      </c>
      <c r="M837" s="3">
        <v>0</v>
      </c>
      <c r="N837" s="3">
        <v>10</v>
      </c>
      <c r="O837" s="3">
        <v>0.14</v>
      </c>
      <c r="P837" s="3">
        <v>0</v>
      </c>
      <c r="Q837" s="3">
        <v>0</v>
      </c>
      <c r="R837" s="3">
        <v>0</v>
      </c>
    </row>
    <row r="838" spans="1:18">
      <c r="A838" s="3" t="s">
        <v>2222</v>
      </c>
      <c r="B838" s="3" t="s">
        <v>2223</v>
      </c>
      <c r="C838" s="3" t="s">
        <v>2223</v>
      </c>
      <c r="D838" s="3" t="s">
        <v>2224</v>
      </c>
      <c r="E838" s="3" t="s">
        <v>120</v>
      </c>
      <c r="F838" s="3">
        <v>22.98</v>
      </c>
      <c r="G838" s="3" t="s">
        <v>121</v>
      </c>
      <c r="H838" s="3"/>
      <c r="I838" s="3" t="s">
        <v>122</v>
      </c>
      <c r="J838" s="3">
        <v>25</v>
      </c>
      <c r="K838" s="3">
        <v>24</v>
      </c>
      <c r="L838" s="3">
        <v>0</v>
      </c>
      <c r="M838" s="3">
        <v>1</v>
      </c>
      <c r="N838" s="3">
        <v>25</v>
      </c>
      <c r="O838" s="3">
        <v>0.14</v>
      </c>
      <c r="P838" s="3">
        <v>0</v>
      </c>
      <c r="Q838" s="3">
        <v>0</v>
      </c>
      <c r="R838" s="3">
        <v>0</v>
      </c>
    </row>
    <row r="839" spans="1:18">
      <c r="A839" s="3" t="s">
        <v>2225</v>
      </c>
      <c r="B839" s="3" t="s">
        <v>2226</v>
      </c>
      <c r="C839" s="3" t="s">
        <v>2226</v>
      </c>
      <c r="D839" s="3" t="s">
        <v>2227</v>
      </c>
      <c r="E839" s="3" t="s">
        <v>120</v>
      </c>
      <c r="F839" s="3">
        <v>22.98</v>
      </c>
      <c r="G839" s="3" t="s">
        <v>121</v>
      </c>
      <c r="H839" s="3"/>
      <c r="I839" s="3" t="s">
        <v>122</v>
      </c>
      <c r="J839" s="3">
        <v>29</v>
      </c>
      <c r="K839" s="3">
        <v>29</v>
      </c>
      <c r="L839" s="3">
        <v>0</v>
      </c>
      <c r="M839" s="3">
        <v>0</v>
      </c>
      <c r="N839" s="3">
        <v>29</v>
      </c>
      <c r="O839" s="3">
        <v>0.14</v>
      </c>
      <c r="P839" s="3">
        <v>0</v>
      </c>
      <c r="Q839" s="3">
        <v>0</v>
      </c>
      <c r="R839" s="3">
        <v>0</v>
      </c>
    </row>
    <row r="840" spans="1:18">
      <c r="A840" s="3" t="s">
        <v>2228</v>
      </c>
      <c r="B840" s="3" t="s">
        <v>2229</v>
      </c>
      <c r="C840" s="3" t="s">
        <v>2229</v>
      </c>
      <c r="D840" s="3" t="s">
        <v>2230</v>
      </c>
      <c r="E840" s="3" t="s">
        <v>120</v>
      </c>
      <c r="F840" s="3">
        <v>22.98</v>
      </c>
      <c r="G840" s="3" t="s">
        <v>121</v>
      </c>
      <c r="H840" s="3"/>
      <c r="I840" s="3" t="s">
        <v>122</v>
      </c>
      <c r="J840" s="3">
        <v>11</v>
      </c>
      <c r="K840" s="3">
        <v>11</v>
      </c>
      <c r="L840" s="3">
        <v>0</v>
      </c>
      <c r="M840" s="3">
        <v>0</v>
      </c>
      <c r="N840" s="3">
        <v>11</v>
      </c>
      <c r="O840" s="3">
        <v>0.14</v>
      </c>
      <c r="P840" s="3">
        <v>0</v>
      </c>
      <c r="Q840" s="3">
        <v>0</v>
      </c>
      <c r="R840" s="3">
        <v>0</v>
      </c>
    </row>
    <row r="841" spans="1:18">
      <c r="A841" s="3" t="s">
        <v>2231</v>
      </c>
      <c r="B841" s="3" t="s">
        <v>2232</v>
      </c>
      <c r="C841" s="3" t="s">
        <v>2232</v>
      </c>
      <c r="D841" s="3" t="s">
        <v>2233</v>
      </c>
      <c r="E841" s="3" t="s">
        <v>120</v>
      </c>
      <c r="F841" s="3">
        <v>22.98</v>
      </c>
      <c r="G841" s="3" t="s">
        <v>121</v>
      </c>
      <c r="H841" s="3"/>
      <c r="I841" s="3" t="s">
        <v>122</v>
      </c>
      <c r="J841" s="3">
        <v>13</v>
      </c>
      <c r="K841" s="3">
        <v>13</v>
      </c>
      <c r="L841" s="3">
        <v>0</v>
      </c>
      <c r="M841" s="3">
        <v>0</v>
      </c>
      <c r="N841" s="3">
        <v>13</v>
      </c>
      <c r="O841" s="3">
        <v>0.14</v>
      </c>
      <c r="P841" s="3">
        <v>0</v>
      </c>
      <c r="Q841" s="3">
        <v>0</v>
      </c>
      <c r="R841" s="3">
        <v>0</v>
      </c>
    </row>
    <row r="842" spans="1:18">
      <c r="A842" s="3" t="s">
        <v>2234</v>
      </c>
      <c r="B842" s="3" t="s">
        <v>2235</v>
      </c>
      <c r="C842" s="3" t="s">
        <v>2235</v>
      </c>
      <c r="D842" s="3" t="s">
        <v>2236</v>
      </c>
      <c r="E842" s="3" t="s">
        <v>120</v>
      </c>
      <c r="F842" s="3">
        <v>39.98</v>
      </c>
      <c r="G842" s="3" t="s">
        <v>121</v>
      </c>
      <c r="H842" s="3"/>
      <c r="I842" s="3" t="s">
        <v>122</v>
      </c>
      <c r="J842" s="3">
        <v>23</v>
      </c>
      <c r="K842" s="3">
        <v>21</v>
      </c>
      <c r="L842" s="3">
        <v>0</v>
      </c>
      <c r="M842" s="3">
        <v>2</v>
      </c>
      <c r="N842" s="3">
        <v>23</v>
      </c>
      <c r="O842" s="3">
        <v>0.1</v>
      </c>
      <c r="P842" s="3">
        <v>0</v>
      </c>
      <c r="Q842" s="3">
        <v>0</v>
      </c>
      <c r="R842" s="3">
        <v>0</v>
      </c>
    </row>
    <row r="843" spans="1:18">
      <c r="A843" s="3" t="s">
        <v>2237</v>
      </c>
      <c r="B843" s="3" t="s">
        <v>2238</v>
      </c>
      <c r="C843" s="3" t="s">
        <v>2238</v>
      </c>
      <c r="D843" s="3" t="s">
        <v>2239</v>
      </c>
      <c r="E843" s="3" t="s">
        <v>120</v>
      </c>
      <c r="F843" s="3">
        <v>39.98</v>
      </c>
      <c r="G843" s="3" t="s">
        <v>121</v>
      </c>
      <c r="H843" s="3"/>
      <c r="I843" s="3" t="s">
        <v>122</v>
      </c>
      <c r="J843" s="3">
        <v>29</v>
      </c>
      <c r="K843" s="3">
        <v>29</v>
      </c>
      <c r="L843" s="3">
        <v>0</v>
      </c>
      <c r="M843" s="3">
        <v>0</v>
      </c>
      <c r="N843" s="3">
        <v>29</v>
      </c>
      <c r="O843" s="3">
        <v>0.1</v>
      </c>
      <c r="P843" s="3">
        <v>0</v>
      </c>
      <c r="Q843" s="3">
        <v>0</v>
      </c>
      <c r="R843" s="3">
        <v>0</v>
      </c>
    </row>
    <row r="844" spans="1:18">
      <c r="A844" s="3" t="s">
        <v>2240</v>
      </c>
      <c r="B844" s="3" t="s">
        <v>2241</v>
      </c>
      <c r="C844" s="3" t="s">
        <v>2241</v>
      </c>
      <c r="D844" s="3" t="s">
        <v>2242</v>
      </c>
      <c r="E844" s="3" t="s">
        <v>120</v>
      </c>
      <c r="F844" s="3">
        <v>39.98</v>
      </c>
      <c r="G844" s="3" t="s">
        <v>121</v>
      </c>
      <c r="H844" s="3"/>
      <c r="I844" s="3" t="s">
        <v>122</v>
      </c>
      <c r="J844" s="3">
        <v>14</v>
      </c>
      <c r="K844" s="3">
        <v>13</v>
      </c>
      <c r="L844" s="3">
        <v>1</v>
      </c>
      <c r="M844" s="3">
        <v>0</v>
      </c>
      <c r="N844" s="3">
        <v>14</v>
      </c>
      <c r="O844" s="3">
        <v>0.1</v>
      </c>
      <c r="P844" s="3">
        <v>0</v>
      </c>
      <c r="Q844" s="3">
        <v>0</v>
      </c>
      <c r="R844" s="3">
        <v>0</v>
      </c>
    </row>
    <row r="845" spans="1:18">
      <c r="A845" s="3" t="s">
        <v>2243</v>
      </c>
      <c r="B845" s="3" t="s">
        <v>2244</v>
      </c>
      <c r="C845" s="3" t="s">
        <v>2244</v>
      </c>
      <c r="D845" s="3" t="s">
        <v>2245</v>
      </c>
      <c r="E845" s="3" t="s">
        <v>120</v>
      </c>
      <c r="F845" s="3">
        <v>39.98</v>
      </c>
      <c r="G845" s="3" t="s">
        <v>121</v>
      </c>
      <c r="H845" s="3"/>
      <c r="I845" s="3" t="s">
        <v>122</v>
      </c>
      <c r="J845" s="3">
        <v>1</v>
      </c>
      <c r="K845" s="3">
        <v>0</v>
      </c>
      <c r="L845" s="3">
        <v>0</v>
      </c>
      <c r="M845" s="3">
        <v>1</v>
      </c>
      <c r="N845" s="3">
        <v>1</v>
      </c>
      <c r="O845" s="3">
        <v>0.1</v>
      </c>
      <c r="P845" s="3">
        <v>0</v>
      </c>
      <c r="Q845" s="3">
        <v>0</v>
      </c>
      <c r="R845" s="3">
        <v>0</v>
      </c>
    </row>
    <row r="846" spans="1:18">
      <c r="A846" s="3" t="s">
        <v>2246</v>
      </c>
      <c r="B846" s="3" t="s">
        <v>2247</v>
      </c>
      <c r="C846" s="3" t="s">
        <v>2247</v>
      </c>
      <c r="D846" s="3"/>
      <c r="E846" s="3" t="s">
        <v>20</v>
      </c>
      <c r="F846" s="3"/>
      <c r="G846" s="3"/>
      <c r="H846" s="3"/>
      <c r="I846" s="3"/>
      <c r="J846" s="3">
        <v>2</v>
      </c>
      <c r="K846" s="3">
        <v>2</v>
      </c>
      <c r="L846" s="3">
        <v>0</v>
      </c>
      <c r="M846" s="3">
        <v>0</v>
      </c>
      <c r="N846" s="3">
        <v>2</v>
      </c>
      <c r="O846" s="3"/>
      <c r="P846" s="3">
        <v>0</v>
      </c>
      <c r="Q846" s="3">
        <v>0</v>
      </c>
      <c r="R846" s="3">
        <v>0</v>
      </c>
    </row>
    <row r="847" spans="1:18">
      <c r="A847" s="3" t="s">
        <v>2248</v>
      </c>
      <c r="B847" s="3" t="s">
        <v>2249</v>
      </c>
      <c r="C847" s="3" t="s">
        <v>2249</v>
      </c>
      <c r="D847" s="3" t="s">
        <v>2250</v>
      </c>
      <c r="E847" s="3" t="s">
        <v>120</v>
      </c>
      <c r="F847" s="3">
        <v>24.98</v>
      </c>
      <c r="G847" s="3" t="s">
        <v>121</v>
      </c>
      <c r="H847" s="3"/>
      <c r="I847" s="3" t="s">
        <v>122</v>
      </c>
      <c r="J847" s="3">
        <v>1</v>
      </c>
      <c r="K847" s="3">
        <v>1</v>
      </c>
      <c r="L847" s="3">
        <v>0</v>
      </c>
      <c r="M847" s="3">
        <v>0</v>
      </c>
      <c r="N847" s="3">
        <v>1</v>
      </c>
      <c r="O847" s="3">
        <v>0.15</v>
      </c>
      <c r="P847" s="3">
        <v>0</v>
      </c>
      <c r="Q847" s="3">
        <v>0</v>
      </c>
      <c r="R847" s="3">
        <v>0</v>
      </c>
    </row>
    <row r="848" spans="1:18">
      <c r="A848" s="3" t="s">
        <v>2251</v>
      </c>
      <c r="B848" s="3" t="s">
        <v>1016</v>
      </c>
      <c r="C848" s="3" t="s">
        <v>1016</v>
      </c>
      <c r="D848" s="3" t="s">
        <v>1017</v>
      </c>
      <c r="E848" s="3" t="s">
        <v>120</v>
      </c>
      <c r="F848" s="3">
        <v>39.98</v>
      </c>
      <c r="G848" s="3" t="s">
        <v>121</v>
      </c>
      <c r="H848" s="3"/>
      <c r="I848" s="3" t="s">
        <v>122</v>
      </c>
      <c r="J848" s="3">
        <v>17</v>
      </c>
      <c r="K848" s="3">
        <v>17</v>
      </c>
      <c r="L848" s="3">
        <v>0</v>
      </c>
      <c r="M848" s="3">
        <v>0</v>
      </c>
      <c r="N848" s="3">
        <v>17</v>
      </c>
      <c r="O848" s="3">
        <v>0.12</v>
      </c>
      <c r="P848" s="3">
        <v>0</v>
      </c>
      <c r="Q848" s="3">
        <v>0</v>
      </c>
      <c r="R848" s="3">
        <v>0</v>
      </c>
    </row>
    <row r="849" spans="1:18">
      <c r="A849" s="3" t="s">
        <v>2252</v>
      </c>
      <c r="B849" s="3" t="s">
        <v>1022</v>
      </c>
      <c r="C849" s="3" t="s">
        <v>1022</v>
      </c>
      <c r="D849" s="3" t="s">
        <v>1023</v>
      </c>
      <c r="E849" s="3" t="s">
        <v>120</v>
      </c>
      <c r="F849" s="3">
        <v>24.98</v>
      </c>
      <c r="G849" s="3" t="s">
        <v>121</v>
      </c>
      <c r="H849" s="3"/>
      <c r="I849" s="3" t="s">
        <v>122</v>
      </c>
      <c r="J849" s="3">
        <v>0</v>
      </c>
      <c r="K849" s="3">
        <v>0</v>
      </c>
      <c r="L849" s="3">
        <v>0</v>
      </c>
      <c r="M849" s="3">
        <v>0</v>
      </c>
      <c r="N849" s="3">
        <v>0</v>
      </c>
      <c r="O849" s="3">
        <v>0.1</v>
      </c>
      <c r="P849" s="3">
        <v>0</v>
      </c>
      <c r="Q849" s="3">
        <v>0</v>
      </c>
      <c r="R849" s="3">
        <v>0</v>
      </c>
    </row>
    <row r="850" spans="1:18">
      <c r="A850" s="3" t="s">
        <v>2253</v>
      </c>
      <c r="B850" s="3" t="s">
        <v>2254</v>
      </c>
      <c r="C850" s="3" t="s">
        <v>2254</v>
      </c>
      <c r="D850" s="3" t="s">
        <v>2255</v>
      </c>
      <c r="E850" s="3" t="s">
        <v>120</v>
      </c>
      <c r="F850" s="3">
        <v>24.98</v>
      </c>
      <c r="G850" s="3" t="s">
        <v>121</v>
      </c>
      <c r="H850" s="3"/>
      <c r="I850" s="3" t="s">
        <v>122</v>
      </c>
      <c r="J850" s="3">
        <v>0</v>
      </c>
      <c r="K850" s="3">
        <v>0</v>
      </c>
      <c r="L850" s="3">
        <v>0</v>
      </c>
      <c r="M850" s="3">
        <v>0</v>
      </c>
      <c r="N850" s="3">
        <v>0</v>
      </c>
      <c r="O850" s="3">
        <v>0.1</v>
      </c>
      <c r="P850" s="3">
        <v>0</v>
      </c>
      <c r="Q850" s="3">
        <v>0</v>
      </c>
      <c r="R850" s="3">
        <v>0</v>
      </c>
    </row>
    <row r="851" spans="1:18">
      <c r="A851" s="3" t="s">
        <v>2256</v>
      </c>
      <c r="B851" s="3" t="s">
        <v>1030</v>
      </c>
      <c r="C851" s="3" t="s">
        <v>1030</v>
      </c>
      <c r="D851" s="3" t="s">
        <v>1031</v>
      </c>
      <c r="E851" s="3" t="s">
        <v>120</v>
      </c>
      <c r="F851" s="3">
        <v>24.98</v>
      </c>
      <c r="G851" s="3" t="s">
        <v>122</v>
      </c>
      <c r="H851" s="3">
        <v>0</v>
      </c>
      <c r="I851" s="3" t="s">
        <v>121</v>
      </c>
      <c r="J851" s="3">
        <v>1</v>
      </c>
      <c r="K851" s="3">
        <v>1</v>
      </c>
      <c r="L851" s="3">
        <v>0</v>
      </c>
      <c r="M851" s="3">
        <v>0</v>
      </c>
      <c r="N851" s="3">
        <v>1</v>
      </c>
      <c r="O851" s="3">
        <v>0.1</v>
      </c>
      <c r="P851" s="3">
        <v>0</v>
      </c>
      <c r="Q851" s="3">
        <v>0</v>
      </c>
      <c r="R851" s="3">
        <v>0</v>
      </c>
    </row>
    <row r="852" spans="1:18">
      <c r="A852" s="3" t="s">
        <v>2257</v>
      </c>
      <c r="B852" s="3" t="s">
        <v>2258</v>
      </c>
      <c r="C852" s="3" t="s">
        <v>2258</v>
      </c>
      <c r="D852" s="3"/>
      <c r="E852" s="3" t="s">
        <v>20</v>
      </c>
      <c r="F852" s="3"/>
      <c r="G852" s="3"/>
      <c r="H852" s="3"/>
      <c r="I852" s="3"/>
      <c r="J852" s="3">
        <v>0</v>
      </c>
      <c r="K852" s="3">
        <v>0</v>
      </c>
      <c r="L852" s="3">
        <v>0</v>
      </c>
      <c r="M852" s="3">
        <v>0</v>
      </c>
      <c r="N852" s="3">
        <v>0</v>
      </c>
      <c r="O852" s="3"/>
      <c r="P852" s="3">
        <v>0</v>
      </c>
      <c r="Q852" s="3">
        <v>0</v>
      </c>
      <c r="R852" s="3">
        <v>0</v>
      </c>
    </row>
    <row r="853" spans="1:18">
      <c r="A853" s="3" t="s">
        <v>2259</v>
      </c>
      <c r="B853" s="3" t="s">
        <v>2260</v>
      </c>
      <c r="C853" s="3" t="s">
        <v>2260</v>
      </c>
      <c r="D853" s="3" t="s">
        <v>2261</v>
      </c>
      <c r="E853" s="3" t="s">
        <v>120</v>
      </c>
      <c r="F853" s="3">
        <v>39.98</v>
      </c>
      <c r="G853" s="3" t="s">
        <v>121</v>
      </c>
      <c r="H853" s="3"/>
      <c r="I853" s="3" t="s">
        <v>122</v>
      </c>
      <c r="J853" s="3">
        <v>38</v>
      </c>
      <c r="K853" s="3">
        <v>37</v>
      </c>
      <c r="L853" s="3">
        <v>0</v>
      </c>
      <c r="M853" s="3">
        <v>1</v>
      </c>
      <c r="N853" s="3">
        <v>38</v>
      </c>
      <c r="O853" s="3">
        <v>0.1</v>
      </c>
      <c r="P853" s="3">
        <v>0</v>
      </c>
      <c r="Q853" s="3">
        <v>0</v>
      </c>
      <c r="R853" s="3">
        <v>0</v>
      </c>
    </row>
    <row r="854" spans="1:18">
      <c r="A854" s="3" t="s">
        <v>2262</v>
      </c>
      <c r="B854" s="3" t="s">
        <v>2263</v>
      </c>
      <c r="C854" s="3" t="s">
        <v>2263</v>
      </c>
      <c r="D854" s="3" t="s">
        <v>2264</v>
      </c>
      <c r="E854" s="3" t="s">
        <v>120</v>
      </c>
      <c r="F854" s="3">
        <v>39.98</v>
      </c>
      <c r="G854" s="3" t="s">
        <v>122</v>
      </c>
      <c r="H854" s="3">
        <v>0</v>
      </c>
      <c r="I854" s="3" t="s">
        <v>121</v>
      </c>
      <c r="J854" s="3">
        <v>1</v>
      </c>
      <c r="K854" s="3">
        <v>1</v>
      </c>
      <c r="L854" s="3">
        <v>0</v>
      </c>
      <c r="M854" s="3">
        <v>0</v>
      </c>
      <c r="N854" s="3">
        <v>1</v>
      </c>
      <c r="O854" s="3">
        <v>0.1</v>
      </c>
      <c r="P854" s="3">
        <v>0</v>
      </c>
      <c r="Q854" s="3">
        <v>0</v>
      </c>
      <c r="R854" s="3">
        <v>0</v>
      </c>
    </row>
    <row r="855" spans="1:18">
      <c r="A855" s="3" t="s">
        <v>2265</v>
      </c>
      <c r="B855" s="3" t="s">
        <v>2266</v>
      </c>
      <c r="C855" s="3" t="s">
        <v>2266</v>
      </c>
      <c r="D855" s="3" t="s">
        <v>2267</v>
      </c>
      <c r="E855" s="3" t="s">
        <v>120</v>
      </c>
      <c r="F855" s="3">
        <v>39.98</v>
      </c>
      <c r="G855" s="3" t="s">
        <v>121</v>
      </c>
      <c r="H855" s="3"/>
      <c r="I855" s="3" t="s">
        <v>122</v>
      </c>
      <c r="J855" s="3">
        <v>16</v>
      </c>
      <c r="K855" s="3">
        <v>16</v>
      </c>
      <c r="L855" s="3">
        <v>0</v>
      </c>
      <c r="M855" s="3">
        <v>0</v>
      </c>
      <c r="N855" s="3">
        <v>16</v>
      </c>
      <c r="O855" s="3">
        <v>0.1</v>
      </c>
      <c r="P855" s="3">
        <v>0</v>
      </c>
      <c r="Q855" s="3">
        <v>0</v>
      </c>
      <c r="R855" s="3">
        <v>0</v>
      </c>
    </row>
    <row r="856" spans="1:18">
      <c r="A856" s="3" t="s">
        <v>2268</v>
      </c>
      <c r="B856" s="3" t="s">
        <v>2269</v>
      </c>
      <c r="C856" s="3" t="s">
        <v>2269</v>
      </c>
      <c r="D856" s="3" t="s">
        <v>2270</v>
      </c>
      <c r="E856" s="3" t="s">
        <v>120</v>
      </c>
      <c r="F856" s="3">
        <v>39.98</v>
      </c>
      <c r="G856" s="3" t="s">
        <v>121</v>
      </c>
      <c r="H856" s="3"/>
      <c r="I856" s="3" t="s">
        <v>122</v>
      </c>
      <c r="J856" s="3">
        <v>0</v>
      </c>
      <c r="K856" s="3">
        <v>0</v>
      </c>
      <c r="L856" s="3">
        <v>0</v>
      </c>
      <c r="M856" s="3">
        <v>0</v>
      </c>
      <c r="N856" s="3">
        <v>0</v>
      </c>
      <c r="O856" s="3">
        <v>0.1</v>
      </c>
      <c r="P856" s="3">
        <v>0</v>
      </c>
      <c r="Q856" s="3">
        <v>0</v>
      </c>
      <c r="R856" s="3">
        <v>0</v>
      </c>
    </row>
    <row r="857" spans="1:18">
      <c r="A857" s="3" t="s">
        <v>2271</v>
      </c>
      <c r="B857" s="3" t="s">
        <v>2272</v>
      </c>
      <c r="C857" s="3" t="s">
        <v>2272</v>
      </c>
      <c r="D857" s="3" t="s">
        <v>2273</v>
      </c>
      <c r="E857" s="3" t="s">
        <v>120</v>
      </c>
      <c r="F857" s="3">
        <v>23.98</v>
      </c>
      <c r="G857" s="3" t="s">
        <v>121</v>
      </c>
      <c r="H857" s="3"/>
      <c r="I857" s="3" t="s">
        <v>122</v>
      </c>
      <c r="J857" s="3">
        <v>1</v>
      </c>
      <c r="K857" s="3">
        <v>1</v>
      </c>
      <c r="L857" s="3">
        <v>0</v>
      </c>
      <c r="M857" s="3">
        <v>0</v>
      </c>
      <c r="N857" s="3">
        <v>1</v>
      </c>
      <c r="O857" s="3">
        <v>0.1</v>
      </c>
      <c r="P857" s="3">
        <v>0</v>
      </c>
      <c r="Q857" s="3">
        <v>0</v>
      </c>
      <c r="R857" s="3">
        <v>0</v>
      </c>
    </row>
    <row r="858" spans="1:18">
      <c r="A858" s="3" t="s">
        <v>2274</v>
      </c>
      <c r="B858" s="3" t="s">
        <v>2275</v>
      </c>
      <c r="C858" s="3" t="s">
        <v>2275</v>
      </c>
      <c r="D858" s="3" t="s">
        <v>2276</v>
      </c>
      <c r="E858" s="3" t="s">
        <v>120</v>
      </c>
      <c r="F858" s="3">
        <v>39.98</v>
      </c>
      <c r="G858" s="3" t="s">
        <v>121</v>
      </c>
      <c r="H858" s="3"/>
      <c r="I858" s="3" t="s">
        <v>122</v>
      </c>
      <c r="J858" s="3">
        <v>11</v>
      </c>
      <c r="K858" s="3">
        <v>11</v>
      </c>
      <c r="L858" s="3">
        <v>0</v>
      </c>
      <c r="M858" s="3">
        <v>0</v>
      </c>
      <c r="N858" s="3">
        <v>11</v>
      </c>
      <c r="O858" s="3">
        <v>0.21</v>
      </c>
      <c r="P858" s="3">
        <v>0</v>
      </c>
      <c r="Q858" s="3">
        <v>0</v>
      </c>
      <c r="R858" s="3">
        <v>0</v>
      </c>
    </row>
    <row r="859" spans="1:18">
      <c r="A859" s="3" t="s">
        <v>2277</v>
      </c>
      <c r="B859" s="3" t="s">
        <v>2278</v>
      </c>
      <c r="C859" s="3" t="s">
        <v>2278</v>
      </c>
      <c r="D859" s="3" t="s">
        <v>2279</v>
      </c>
      <c r="E859" s="3" t="s">
        <v>120</v>
      </c>
      <c r="F859" s="3">
        <v>39.98</v>
      </c>
      <c r="G859" s="3" t="s">
        <v>121</v>
      </c>
      <c r="H859" s="3"/>
      <c r="I859" s="3" t="s">
        <v>122</v>
      </c>
      <c r="J859" s="3">
        <v>26</v>
      </c>
      <c r="K859" s="3">
        <v>26</v>
      </c>
      <c r="L859" s="3">
        <v>0</v>
      </c>
      <c r="M859" s="3">
        <v>0</v>
      </c>
      <c r="N859" s="3">
        <v>26</v>
      </c>
      <c r="O859" s="3">
        <v>0.1</v>
      </c>
      <c r="P859" s="3">
        <v>0</v>
      </c>
      <c r="Q859" s="3">
        <v>0</v>
      </c>
      <c r="R859" s="3">
        <v>0</v>
      </c>
    </row>
    <row r="860" spans="1:18">
      <c r="A860" s="3" t="s">
        <v>2280</v>
      </c>
      <c r="B860" s="3" t="s">
        <v>2281</v>
      </c>
      <c r="C860" s="3" t="s">
        <v>2281</v>
      </c>
      <c r="D860" s="3" t="s">
        <v>2282</v>
      </c>
      <c r="E860" s="3" t="s">
        <v>120</v>
      </c>
      <c r="F860" s="3">
        <v>39.98</v>
      </c>
      <c r="G860" s="3" t="s">
        <v>121</v>
      </c>
      <c r="H860" s="3"/>
      <c r="I860" s="3" t="s">
        <v>122</v>
      </c>
      <c r="J860" s="3">
        <v>42</v>
      </c>
      <c r="K860" s="3">
        <v>42</v>
      </c>
      <c r="L860" s="3">
        <v>0</v>
      </c>
      <c r="M860" s="3">
        <v>0</v>
      </c>
      <c r="N860" s="3">
        <v>42</v>
      </c>
      <c r="O860" s="3">
        <v>0.21</v>
      </c>
      <c r="P860" s="3">
        <v>0</v>
      </c>
      <c r="Q860" s="3">
        <v>0</v>
      </c>
      <c r="R860" s="3">
        <v>0</v>
      </c>
    </row>
    <row r="861" spans="1:18">
      <c r="A861" s="3" t="s">
        <v>2283</v>
      </c>
      <c r="B861" s="3" t="s">
        <v>2284</v>
      </c>
      <c r="C861" s="3" t="s">
        <v>2284</v>
      </c>
      <c r="D861" s="3" t="s">
        <v>2285</v>
      </c>
      <c r="E861" s="3" t="s">
        <v>120</v>
      </c>
      <c r="F861" s="3">
        <v>39.98</v>
      </c>
      <c r="G861" s="3" t="s">
        <v>121</v>
      </c>
      <c r="H861" s="3"/>
      <c r="I861" s="3" t="s">
        <v>122</v>
      </c>
      <c r="J861" s="3">
        <v>3</v>
      </c>
      <c r="K861" s="3">
        <v>3</v>
      </c>
      <c r="L861" s="3">
        <v>0</v>
      </c>
      <c r="M861" s="3">
        <v>0</v>
      </c>
      <c r="N861" s="3">
        <v>3</v>
      </c>
      <c r="O861" s="3">
        <v>0.21</v>
      </c>
      <c r="P861" s="3">
        <v>0</v>
      </c>
      <c r="Q861" s="3">
        <v>0</v>
      </c>
      <c r="R861" s="3">
        <v>0</v>
      </c>
    </row>
    <row r="862" spans="1:18">
      <c r="A862" s="3" t="s">
        <v>2286</v>
      </c>
      <c r="B862" s="3" t="s">
        <v>2287</v>
      </c>
      <c r="C862" s="3" t="s">
        <v>2287</v>
      </c>
      <c r="D862" s="3" t="s">
        <v>2288</v>
      </c>
      <c r="E862" s="3" t="s">
        <v>120</v>
      </c>
      <c r="F862" s="3">
        <v>39.98</v>
      </c>
      <c r="G862" s="3" t="s">
        <v>121</v>
      </c>
      <c r="H862" s="3"/>
      <c r="I862" s="3" t="s">
        <v>122</v>
      </c>
      <c r="J862" s="3">
        <v>29</v>
      </c>
      <c r="K862" s="3">
        <v>29</v>
      </c>
      <c r="L862" s="3">
        <v>0</v>
      </c>
      <c r="M862" s="3">
        <v>0</v>
      </c>
      <c r="N862" s="3">
        <v>29</v>
      </c>
      <c r="O862" s="3">
        <v>0.14</v>
      </c>
      <c r="P862" s="3">
        <v>0</v>
      </c>
      <c r="Q862" s="3">
        <v>0</v>
      </c>
      <c r="R862" s="3">
        <v>0</v>
      </c>
    </row>
    <row r="863" spans="1:18">
      <c r="A863" s="3" t="s">
        <v>2289</v>
      </c>
      <c r="B863" s="3" t="s">
        <v>2290</v>
      </c>
      <c r="C863" s="3" t="s">
        <v>2290</v>
      </c>
      <c r="D863" s="3" t="s">
        <v>2291</v>
      </c>
      <c r="E863" s="3" t="s">
        <v>120</v>
      </c>
      <c r="F863" s="3">
        <v>39.98</v>
      </c>
      <c r="G863" s="3" t="s">
        <v>121</v>
      </c>
      <c r="H863" s="3"/>
      <c r="I863" s="3" t="s">
        <v>122</v>
      </c>
      <c r="J863" s="3">
        <v>19</v>
      </c>
      <c r="K863" s="3">
        <v>19</v>
      </c>
      <c r="L863" s="3">
        <v>0</v>
      </c>
      <c r="M863" s="3">
        <v>0</v>
      </c>
      <c r="N863" s="3">
        <v>19</v>
      </c>
      <c r="O863" s="3">
        <v>0.21</v>
      </c>
      <c r="P863" s="3">
        <v>0</v>
      </c>
      <c r="Q863" s="3">
        <v>0</v>
      </c>
      <c r="R863" s="3">
        <v>0</v>
      </c>
    </row>
    <row r="864" spans="1:18">
      <c r="A864" s="3" t="s">
        <v>2292</v>
      </c>
      <c r="B864" s="3" t="s">
        <v>2293</v>
      </c>
      <c r="C864" s="3" t="s">
        <v>2293</v>
      </c>
      <c r="D864" s="3" t="s">
        <v>2294</v>
      </c>
      <c r="E864" s="3" t="s">
        <v>120</v>
      </c>
      <c r="F864" s="3">
        <v>39.98</v>
      </c>
      <c r="G864" s="3" t="s">
        <v>121</v>
      </c>
      <c r="H864" s="3"/>
      <c r="I864" s="3" t="s">
        <v>122</v>
      </c>
      <c r="J864" s="3">
        <v>36</v>
      </c>
      <c r="K864" s="3">
        <v>36</v>
      </c>
      <c r="L864" s="3">
        <v>0</v>
      </c>
      <c r="M864" s="3">
        <v>0</v>
      </c>
      <c r="N864" s="3">
        <v>36</v>
      </c>
      <c r="O864" s="3">
        <v>0.21</v>
      </c>
      <c r="P864" s="3">
        <v>0</v>
      </c>
      <c r="Q864" s="3">
        <v>0</v>
      </c>
      <c r="R864" s="3">
        <v>0</v>
      </c>
    </row>
    <row r="865" spans="1:18">
      <c r="A865" s="3" t="s">
        <v>2295</v>
      </c>
      <c r="B865" s="3" t="s">
        <v>2296</v>
      </c>
      <c r="C865" s="3" t="s">
        <v>2296</v>
      </c>
      <c r="D865" s="3" t="s">
        <v>2297</v>
      </c>
      <c r="E865" s="3" t="s">
        <v>120</v>
      </c>
      <c r="F865" s="3">
        <v>39.98</v>
      </c>
      <c r="G865" s="3" t="s">
        <v>121</v>
      </c>
      <c r="H865" s="3"/>
      <c r="I865" s="3" t="s">
        <v>122</v>
      </c>
      <c r="J865" s="3">
        <v>37</v>
      </c>
      <c r="K865" s="3">
        <v>37</v>
      </c>
      <c r="L865" s="3">
        <v>0</v>
      </c>
      <c r="M865" s="3">
        <v>0</v>
      </c>
      <c r="N865" s="3">
        <v>37</v>
      </c>
      <c r="O865" s="3">
        <v>0.14</v>
      </c>
      <c r="P865" s="3">
        <v>0</v>
      </c>
      <c r="Q865" s="3">
        <v>0</v>
      </c>
      <c r="R865" s="3">
        <v>0</v>
      </c>
    </row>
    <row r="866" spans="1:18">
      <c r="A866" s="3" t="s">
        <v>2298</v>
      </c>
      <c r="B866" s="3" t="s">
        <v>2299</v>
      </c>
      <c r="C866" s="3" t="s">
        <v>2299</v>
      </c>
      <c r="D866" s="3" t="s">
        <v>2300</v>
      </c>
      <c r="E866" s="3" t="s">
        <v>120</v>
      </c>
      <c r="F866" s="3">
        <v>39.98</v>
      </c>
      <c r="G866" s="3" t="s">
        <v>121</v>
      </c>
      <c r="H866" s="3"/>
      <c r="I866" s="3" t="s">
        <v>122</v>
      </c>
      <c r="J866" s="3">
        <v>8</v>
      </c>
      <c r="K866" s="3">
        <v>8</v>
      </c>
      <c r="L866" s="3">
        <v>0</v>
      </c>
      <c r="M866" s="3">
        <v>0</v>
      </c>
      <c r="N866" s="3">
        <v>8</v>
      </c>
      <c r="O866" s="3">
        <v>0.21</v>
      </c>
      <c r="P866" s="3">
        <v>0</v>
      </c>
      <c r="Q866" s="3">
        <v>0</v>
      </c>
      <c r="R866" s="3">
        <v>0</v>
      </c>
    </row>
    <row r="867" spans="1:18">
      <c r="A867" s="3" t="s">
        <v>2301</v>
      </c>
      <c r="B867" s="3" t="s">
        <v>2302</v>
      </c>
      <c r="C867" s="3" t="s">
        <v>2302</v>
      </c>
      <c r="D867" s="3" t="s">
        <v>2303</v>
      </c>
      <c r="E867" s="3" t="s">
        <v>120</v>
      </c>
      <c r="F867" s="3">
        <v>39.98</v>
      </c>
      <c r="G867" s="3" t="s">
        <v>121</v>
      </c>
      <c r="H867" s="3"/>
      <c r="I867" s="3" t="s">
        <v>122</v>
      </c>
      <c r="J867" s="3">
        <v>35</v>
      </c>
      <c r="K867" s="3">
        <v>35</v>
      </c>
      <c r="L867" s="3">
        <v>0</v>
      </c>
      <c r="M867" s="3">
        <v>0</v>
      </c>
      <c r="N867" s="3">
        <v>35</v>
      </c>
      <c r="O867" s="3">
        <v>0.21</v>
      </c>
      <c r="P867" s="3">
        <v>0</v>
      </c>
      <c r="Q867" s="3">
        <v>0</v>
      </c>
      <c r="R867" s="3">
        <v>0</v>
      </c>
    </row>
    <row r="868" spans="1:18">
      <c r="A868" s="3" t="s">
        <v>2304</v>
      </c>
      <c r="B868" s="3" t="s">
        <v>2305</v>
      </c>
      <c r="C868" s="3" t="s">
        <v>2305</v>
      </c>
      <c r="D868" s="3" t="s">
        <v>2306</v>
      </c>
      <c r="E868" s="3" t="s">
        <v>120</v>
      </c>
      <c r="F868" s="3">
        <v>39.98</v>
      </c>
      <c r="G868" s="3" t="s">
        <v>121</v>
      </c>
      <c r="H868" s="3"/>
      <c r="I868" s="3" t="s">
        <v>122</v>
      </c>
      <c r="J868" s="3">
        <v>37</v>
      </c>
      <c r="K868" s="3">
        <v>37</v>
      </c>
      <c r="L868" s="3">
        <v>0</v>
      </c>
      <c r="M868" s="3">
        <v>0</v>
      </c>
      <c r="N868" s="3">
        <v>37</v>
      </c>
      <c r="O868" s="3">
        <v>0.21</v>
      </c>
      <c r="P868" s="3">
        <v>0</v>
      </c>
      <c r="Q868" s="3">
        <v>0</v>
      </c>
      <c r="R868" s="3">
        <v>0</v>
      </c>
    </row>
    <row r="869" spans="1:18">
      <c r="A869" s="3" t="s">
        <v>2307</v>
      </c>
      <c r="B869" s="3" t="s">
        <v>2308</v>
      </c>
      <c r="C869" s="3" t="s">
        <v>2308</v>
      </c>
      <c r="D869" s="3" t="s">
        <v>2309</v>
      </c>
      <c r="E869" s="3" t="s">
        <v>120</v>
      </c>
      <c r="F869" s="3">
        <v>39.98</v>
      </c>
      <c r="G869" s="3" t="s">
        <v>121</v>
      </c>
      <c r="H869" s="3"/>
      <c r="I869" s="3" t="s">
        <v>122</v>
      </c>
      <c r="J869" s="3">
        <v>15</v>
      </c>
      <c r="K869" s="3">
        <v>15</v>
      </c>
      <c r="L869" s="3">
        <v>0</v>
      </c>
      <c r="M869" s="3">
        <v>0</v>
      </c>
      <c r="N869" s="3">
        <v>15</v>
      </c>
      <c r="O869" s="3">
        <v>0.14</v>
      </c>
      <c r="P869" s="3">
        <v>0</v>
      </c>
      <c r="Q869" s="3">
        <v>0</v>
      </c>
      <c r="R869" s="3">
        <v>0</v>
      </c>
    </row>
    <row r="870" spans="1:18">
      <c r="A870" s="3" t="s">
        <v>2310</v>
      </c>
      <c r="B870" s="3" t="s">
        <v>2311</v>
      </c>
      <c r="C870" s="3" t="s">
        <v>2311</v>
      </c>
      <c r="D870" s="3" t="s">
        <v>2312</v>
      </c>
      <c r="E870" s="3" t="s">
        <v>120</v>
      </c>
      <c r="F870" s="3">
        <v>39.98</v>
      </c>
      <c r="G870" s="3" t="s">
        <v>121</v>
      </c>
      <c r="H870" s="3"/>
      <c r="I870" s="3" t="s">
        <v>122</v>
      </c>
      <c r="J870" s="3">
        <v>39</v>
      </c>
      <c r="K870" s="3">
        <v>39</v>
      </c>
      <c r="L870" s="3">
        <v>0</v>
      </c>
      <c r="M870" s="3">
        <v>0</v>
      </c>
      <c r="N870" s="3">
        <v>39</v>
      </c>
      <c r="O870" s="3">
        <v>0.21</v>
      </c>
      <c r="P870" s="3">
        <v>0</v>
      </c>
      <c r="Q870" s="3">
        <v>0</v>
      </c>
      <c r="R870" s="3">
        <v>0</v>
      </c>
    </row>
    <row r="871" spans="1:18">
      <c r="A871" s="3" t="s">
        <v>2313</v>
      </c>
      <c r="B871" s="3" t="s">
        <v>2314</v>
      </c>
      <c r="C871" s="3" t="s">
        <v>2314</v>
      </c>
      <c r="D871" s="3" t="s">
        <v>2315</v>
      </c>
      <c r="E871" s="3" t="s">
        <v>120</v>
      </c>
      <c r="F871" s="3">
        <v>39.98</v>
      </c>
      <c r="G871" s="3" t="s">
        <v>121</v>
      </c>
      <c r="H871" s="3"/>
      <c r="I871" s="3" t="s">
        <v>122</v>
      </c>
      <c r="J871" s="3">
        <v>3</v>
      </c>
      <c r="K871" s="3">
        <v>3</v>
      </c>
      <c r="L871" s="3">
        <v>0</v>
      </c>
      <c r="M871" s="3">
        <v>0</v>
      </c>
      <c r="N871" s="3">
        <v>3</v>
      </c>
      <c r="O871" s="3">
        <v>0.14</v>
      </c>
      <c r="P871" s="3">
        <v>0</v>
      </c>
      <c r="Q871" s="3">
        <v>0</v>
      </c>
      <c r="R871" s="3">
        <v>0</v>
      </c>
    </row>
    <row r="872" spans="1:18">
      <c r="A872" s="3" t="s">
        <v>2316</v>
      </c>
      <c r="B872" s="3" t="s">
        <v>2317</v>
      </c>
      <c r="C872" s="3" t="s">
        <v>2317</v>
      </c>
      <c r="D872" s="3" t="s">
        <v>2318</v>
      </c>
      <c r="E872" s="3" t="s">
        <v>120</v>
      </c>
      <c r="F872" s="3">
        <v>39.98</v>
      </c>
      <c r="G872" s="3" t="s">
        <v>121</v>
      </c>
      <c r="H872" s="3"/>
      <c r="I872" s="3" t="s">
        <v>122</v>
      </c>
      <c r="J872" s="3">
        <v>32</v>
      </c>
      <c r="K872" s="3">
        <v>32</v>
      </c>
      <c r="L872" s="3">
        <v>0</v>
      </c>
      <c r="M872" s="3">
        <v>0</v>
      </c>
      <c r="N872" s="3">
        <v>32</v>
      </c>
      <c r="O872" s="3">
        <v>0.14</v>
      </c>
      <c r="P872" s="3">
        <v>0</v>
      </c>
      <c r="Q872" s="3">
        <v>0</v>
      </c>
      <c r="R872" s="3">
        <v>0</v>
      </c>
    </row>
    <row r="873" spans="1:18">
      <c r="A873" s="3" t="s">
        <v>2319</v>
      </c>
      <c r="B873" s="3" t="s">
        <v>2320</v>
      </c>
      <c r="C873" s="3" t="s">
        <v>2320</v>
      </c>
      <c r="D873" s="3" t="s">
        <v>2321</v>
      </c>
      <c r="E873" s="3" t="s">
        <v>120</v>
      </c>
      <c r="F873" s="3">
        <v>39.98</v>
      </c>
      <c r="G873" s="3" t="s">
        <v>121</v>
      </c>
      <c r="H873" s="3"/>
      <c r="I873" s="3" t="s">
        <v>122</v>
      </c>
      <c r="J873" s="3">
        <v>37</v>
      </c>
      <c r="K873" s="3">
        <v>37</v>
      </c>
      <c r="L873" s="3">
        <v>0</v>
      </c>
      <c r="M873" s="3">
        <v>0</v>
      </c>
      <c r="N873" s="3">
        <v>37</v>
      </c>
      <c r="O873" s="3">
        <v>0.14</v>
      </c>
      <c r="P873" s="3">
        <v>0</v>
      </c>
      <c r="Q873" s="3">
        <v>0</v>
      </c>
      <c r="R873" s="3">
        <v>0</v>
      </c>
    </row>
    <row r="874" spans="1:18">
      <c r="A874" s="3" t="s">
        <v>2322</v>
      </c>
      <c r="B874" s="3" t="s">
        <v>2323</v>
      </c>
      <c r="C874" s="3" t="s">
        <v>2323</v>
      </c>
      <c r="D874" s="3" t="s">
        <v>2324</v>
      </c>
      <c r="E874" s="3" t="s">
        <v>120</v>
      </c>
      <c r="F874" s="3">
        <v>39.98</v>
      </c>
      <c r="G874" s="3" t="s">
        <v>121</v>
      </c>
      <c r="H874" s="3"/>
      <c r="I874" s="3" t="s">
        <v>122</v>
      </c>
      <c r="J874" s="3">
        <v>28</v>
      </c>
      <c r="K874" s="3">
        <v>28</v>
      </c>
      <c r="L874" s="3">
        <v>0</v>
      </c>
      <c r="M874" s="3">
        <v>0</v>
      </c>
      <c r="N874" s="3">
        <v>28</v>
      </c>
      <c r="O874" s="3">
        <v>0.21</v>
      </c>
      <c r="P874" s="3">
        <v>0</v>
      </c>
      <c r="Q874" s="3">
        <v>0</v>
      </c>
      <c r="R874" s="3">
        <v>0</v>
      </c>
    </row>
    <row r="875" spans="1:18">
      <c r="A875" s="3" t="s">
        <v>2325</v>
      </c>
      <c r="B875" s="3" t="s">
        <v>2326</v>
      </c>
      <c r="C875" s="3" t="s">
        <v>2326</v>
      </c>
      <c r="D875" s="3" t="s">
        <v>2327</v>
      </c>
      <c r="E875" s="3" t="s">
        <v>120</v>
      </c>
      <c r="F875" s="3">
        <v>39.98</v>
      </c>
      <c r="G875" s="3" t="s">
        <v>121</v>
      </c>
      <c r="H875" s="3"/>
      <c r="I875" s="3" t="s">
        <v>122</v>
      </c>
      <c r="J875" s="3">
        <v>36</v>
      </c>
      <c r="K875" s="3">
        <v>36</v>
      </c>
      <c r="L875" s="3">
        <v>0</v>
      </c>
      <c r="M875" s="3">
        <v>0</v>
      </c>
      <c r="N875" s="3">
        <v>36</v>
      </c>
      <c r="O875" s="3">
        <v>0.21</v>
      </c>
      <c r="P875" s="3">
        <v>0</v>
      </c>
      <c r="Q875" s="3">
        <v>0</v>
      </c>
      <c r="R875" s="3">
        <v>0</v>
      </c>
    </row>
    <row r="876" spans="1:18">
      <c r="A876" s="3" t="s">
        <v>2328</v>
      </c>
      <c r="B876" s="3" t="s">
        <v>2329</v>
      </c>
      <c r="C876" s="3" t="s">
        <v>2329</v>
      </c>
      <c r="D876" s="3" t="s">
        <v>2330</v>
      </c>
      <c r="E876" s="3" t="s">
        <v>120</v>
      </c>
      <c r="F876" s="3">
        <v>39.98</v>
      </c>
      <c r="G876" s="3" t="s">
        <v>121</v>
      </c>
      <c r="H876" s="3"/>
      <c r="I876" s="3" t="s">
        <v>122</v>
      </c>
      <c r="J876" s="3">
        <v>1</v>
      </c>
      <c r="K876" s="3">
        <v>1</v>
      </c>
      <c r="L876" s="3">
        <v>0</v>
      </c>
      <c r="M876" s="3">
        <v>0</v>
      </c>
      <c r="N876" s="3">
        <v>1</v>
      </c>
      <c r="O876" s="3">
        <v>0.14</v>
      </c>
      <c r="P876" s="3">
        <v>0</v>
      </c>
      <c r="Q876" s="3">
        <v>0</v>
      </c>
      <c r="R876" s="3">
        <v>0</v>
      </c>
    </row>
    <row r="877" spans="1:18">
      <c r="A877" s="3" t="s">
        <v>2331</v>
      </c>
      <c r="B877" s="3" t="s">
        <v>2332</v>
      </c>
      <c r="C877" s="3" t="s">
        <v>2332</v>
      </c>
      <c r="D877" s="3" t="s">
        <v>2333</v>
      </c>
      <c r="E877" s="3" t="s">
        <v>120</v>
      </c>
      <c r="F877" s="3">
        <v>39.98</v>
      </c>
      <c r="G877" s="3" t="s">
        <v>121</v>
      </c>
      <c r="H877" s="3"/>
      <c r="I877" s="3" t="s">
        <v>122</v>
      </c>
      <c r="J877" s="3">
        <v>29</v>
      </c>
      <c r="K877" s="3">
        <v>29</v>
      </c>
      <c r="L877" s="3">
        <v>0</v>
      </c>
      <c r="M877" s="3">
        <v>0</v>
      </c>
      <c r="N877" s="3">
        <v>29</v>
      </c>
      <c r="O877" s="3">
        <v>0.21</v>
      </c>
      <c r="P877" s="3">
        <v>0</v>
      </c>
      <c r="Q877" s="3">
        <v>0</v>
      </c>
      <c r="R877" s="3">
        <v>0</v>
      </c>
    </row>
    <row r="878" spans="1:18">
      <c r="A878" s="3" t="s">
        <v>2334</v>
      </c>
      <c r="B878" s="3" t="s">
        <v>2335</v>
      </c>
      <c r="C878" s="3" t="s">
        <v>2335</v>
      </c>
      <c r="D878" s="3" t="s">
        <v>2336</v>
      </c>
      <c r="E878" s="3" t="s">
        <v>120</v>
      </c>
      <c r="F878" s="3">
        <v>39.98</v>
      </c>
      <c r="G878" s="3" t="s">
        <v>121</v>
      </c>
      <c r="H878" s="3"/>
      <c r="I878" s="3" t="s">
        <v>122</v>
      </c>
      <c r="J878" s="3">
        <v>0</v>
      </c>
      <c r="K878" s="3">
        <v>0</v>
      </c>
      <c r="L878" s="3">
        <v>0</v>
      </c>
      <c r="M878" s="3">
        <v>0</v>
      </c>
      <c r="N878" s="3">
        <v>0</v>
      </c>
      <c r="O878" s="3">
        <v>0.14</v>
      </c>
      <c r="P878" s="3">
        <v>0</v>
      </c>
      <c r="Q878" s="3">
        <v>0</v>
      </c>
      <c r="R878" s="3">
        <v>0</v>
      </c>
    </row>
    <row r="879" spans="1:18">
      <c r="A879" s="3" t="s">
        <v>2337</v>
      </c>
      <c r="B879" s="3" t="s">
        <v>2338</v>
      </c>
      <c r="C879" s="3" t="s">
        <v>2338</v>
      </c>
      <c r="D879" s="3" t="s">
        <v>2339</v>
      </c>
      <c r="E879" s="3" t="s">
        <v>120</v>
      </c>
      <c r="F879" s="3">
        <v>39.98</v>
      </c>
      <c r="G879" s="3" t="s">
        <v>121</v>
      </c>
      <c r="H879" s="3"/>
      <c r="I879" s="3" t="s">
        <v>122</v>
      </c>
      <c r="J879" s="3">
        <v>15</v>
      </c>
      <c r="K879" s="3">
        <v>15</v>
      </c>
      <c r="L879" s="3">
        <v>0</v>
      </c>
      <c r="M879" s="3">
        <v>0</v>
      </c>
      <c r="N879" s="3">
        <v>15</v>
      </c>
      <c r="O879" s="3">
        <v>0.21</v>
      </c>
      <c r="P879" s="3">
        <v>0</v>
      </c>
      <c r="Q879" s="3">
        <v>0</v>
      </c>
      <c r="R879" s="3">
        <v>0</v>
      </c>
    </row>
    <row r="880" spans="1:18">
      <c r="A880" s="3" t="s">
        <v>2340</v>
      </c>
      <c r="B880" s="3" t="s">
        <v>2341</v>
      </c>
      <c r="C880" s="3" t="s">
        <v>2341</v>
      </c>
      <c r="D880" s="3" t="s">
        <v>2342</v>
      </c>
      <c r="E880" s="3" t="s">
        <v>120</v>
      </c>
      <c r="F880" s="3">
        <v>39.98</v>
      </c>
      <c r="G880" s="3" t="s">
        <v>121</v>
      </c>
      <c r="H880" s="3"/>
      <c r="I880" s="3" t="s">
        <v>122</v>
      </c>
      <c r="J880" s="3">
        <v>15</v>
      </c>
      <c r="K880" s="3">
        <v>15</v>
      </c>
      <c r="L880" s="3">
        <v>0</v>
      </c>
      <c r="M880" s="3">
        <v>0</v>
      </c>
      <c r="N880" s="3">
        <v>15</v>
      </c>
      <c r="O880" s="3">
        <v>0.21</v>
      </c>
      <c r="P880" s="3">
        <v>0</v>
      </c>
      <c r="Q880" s="3">
        <v>0</v>
      </c>
      <c r="R880" s="3">
        <v>0</v>
      </c>
    </row>
    <row r="881" spans="1:18">
      <c r="A881" s="3" t="s">
        <v>2343</v>
      </c>
      <c r="B881" s="3" t="s">
        <v>2344</v>
      </c>
      <c r="C881" s="3" t="s">
        <v>2344</v>
      </c>
      <c r="D881" s="3" t="s">
        <v>2345</v>
      </c>
      <c r="E881" s="3" t="s">
        <v>120</v>
      </c>
      <c r="F881" s="3">
        <v>39.98</v>
      </c>
      <c r="G881" s="3" t="s">
        <v>121</v>
      </c>
      <c r="H881" s="3"/>
      <c r="I881" s="3" t="s">
        <v>122</v>
      </c>
      <c r="J881" s="3">
        <v>9</v>
      </c>
      <c r="K881" s="3">
        <v>9</v>
      </c>
      <c r="L881" s="3">
        <v>0</v>
      </c>
      <c r="M881" s="3">
        <v>0</v>
      </c>
      <c r="N881" s="3">
        <v>9</v>
      </c>
      <c r="O881" s="3">
        <v>0.21</v>
      </c>
      <c r="P881" s="3">
        <v>0</v>
      </c>
      <c r="Q881" s="3">
        <v>0</v>
      </c>
      <c r="R881" s="3">
        <v>0</v>
      </c>
    </row>
    <row r="882" spans="1:18">
      <c r="A882" s="3" t="s">
        <v>2346</v>
      </c>
      <c r="B882" s="3" t="s">
        <v>2347</v>
      </c>
      <c r="C882" s="3" t="s">
        <v>2347</v>
      </c>
      <c r="D882" s="3" t="s">
        <v>2348</v>
      </c>
      <c r="E882" s="3" t="s">
        <v>120</v>
      </c>
      <c r="F882" s="3">
        <v>39.98</v>
      </c>
      <c r="G882" s="3" t="s">
        <v>121</v>
      </c>
      <c r="H882" s="3"/>
      <c r="I882" s="3" t="s">
        <v>122</v>
      </c>
      <c r="J882" s="3">
        <v>21</v>
      </c>
      <c r="K882" s="3">
        <v>21</v>
      </c>
      <c r="L882" s="3">
        <v>0</v>
      </c>
      <c r="M882" s="3">
        <v>0</v>
      </c>
      <c r="N882" s="3">
        <v>21</v>
      </c>
      <c r="O882" s="3">
        <v>0.14</v>
      </c>
      <c r="P882" s="3">
        <v>0</v>
      </c>
      <c r="Q882" s="3">
        <v>0</v>
      </c>
      <c r="R882" s="3">
        <v>0</v>
      </c>
    </row>
    <row r="883" spans="1:18">
      <c r="A883" s="3" t="s">
        <v>2349</v>
      </c>
      <c r="B883" s="3" t="s">
        <v>2350</v>
      </c>
      <c r="C883" s="3" t="s">
        <v>2350</v>
      </c>
      <c r="D883" s="3" t="s">
        <v>2351</v>
      </c>
      <c r="E883" s="3" t="s">
        <v>120</v>
      </c>
      <c r="F883" s="3">
        <v>39.98</v>
      </c>
      <c r="G883" s="3" t="s">
        <v>121</v>
      </c>
      <c r="H883" s="3"/>
      <c r="I883" s="3" t="s">
        <v>122</v>
      </c>
      <c r="J883" s="3">
        <v>5</v>
      </c>
      <c r="K883" s="3">
        <v>5</v>
      </c>
      <c r="L883" s="3">
        <v>0</v>
      </c>
      <c r="M883" s="3">
        <v>0</v>
      </c>
      <c r="N883" s="3">
        <v>5</v>
      </c>
      <c r="O883" s="3">
        <v>0.14</v>
      </c>
      <c r="P883" s="3">
        <v>0</v>
      </c>
      <c r="Q883" s="3">
        <v>0</v>
      </c>
      <c r="R883" s="3">
        <v>0</v>
      </c>
    </row>
    <row r="884" spans="1:18">
      <c r="A884" s="3" t="s">
        <v>2352</v>
      </c>
      <c r="B884" s="3" t="s">
        <v>2353</v>
      </c>
      <c r="C884" s="3" t="s">
        <v>2353</v>
      </c>
      <c r="D884" s="3" t="s">
        <v>2354</v>
      </c>
      <c r="E884" s="3" t="s">
        <v>120</v>
      </c>
      <c r="F884" s="3">
        <v>39.98</v>
      </c>
      <c r="G884" s="3" t="s">
        <v>121</v>
      </c>
      <c r="H884" s="3"/>
      <c r="I884" s="3" t="s">
        <v>122</v>
      </c>
      <c r="J884" s="3">
        <v>30</v>
      </c>
      <c r="K884" s="3">
        <v>30</v>
      </c>
      <c r="L884" s="3">
        <v>0</v>
      </c>
      <c r="M884" s="3">
        <v>0</v>
      </c>
      <c r="N884" s="3">
        <v>30</v>
      </c>
      <c r="O884" s="3">
        <v>0.21</v>
      </c>
      <c r="P884" s="3">
        <v>0</v>
      </c>
      <c r="Q884" s="3">
        <v>0</v>
      </c>
      <c r="R884" s="3">
        <v>0</v>
      </c>
    </row>
    <row r="885" spans="1:18">
      <c r="A885" s="3" t="s">
        <v>2355</v>
      </c>
      <c r="B885" s="3" t="s">
        <v>2356</v>
      </c>
      <c r="C885" s="3" t="s">
        <v>2356</v>
      </c>
      <c r="D885" s="3" t="s">
        <v>2357</v>
      </c>
      <c r="E885" s="3" t="s">
        <v>120</v>
      </c>
      <c r="F885" s="3">
        <v>39.98</v>
      </c>
      <c r="G885" s="3" t="s">
        <v>121</v>
      </c>
      <c r="H885" s="3"/>
      <c r="I885" s="3" t="s">
        <v>122</v>
      </c>
      <c r="J885" s="3">
        <v>27</v>
      </c>
      <c r="K885" s="3">
        <v>27</v>
      </c>
      <c r="L885" s="3">
        <v>0</v>
      </c>
      <c r="M885" s="3">
        <v>0</v>
      </c>
      <c r="N885" s="3">
        <v>27</v>
      </c>
      <c r="O885" s="3">
        <v>0.21</v>
      </c>
      <c r="P885" s="3">
        <v>0</v>
      </c>
      <c r="Q885" s="3">
        <v>0</v>
      </c>
      <c r="R885" s="3">
        <v>0</v>
      </c>
    </row>
    <row r="886" spans="1:18">
      <c r="A886" s="3" t="s">
        <v>2358</v>
      </c>
      <c r="B886" s="3" t="s">
        <v>2359</v>
      </c>
      <c r="C886" s="3" t="s">
        <v>2359</v>
      </c>
      <c r="D886" s="3" t="s">
        <v>2360</v>
      </c>
      <c r="E886" s="3" t="s">
        <v>120</v>
      </c>
      <c r="F886" s="3">
        <v>39.98</v>
      </c>
      <c r="G886" s="3" t="s">
        <v>121</v>
      </c>
      <c r="H886" s="3"/>
      <c r="I886" s="3" t="s">
        <v>122</v>
      </c>
      <c r="J886" s="3">
        <v>11</v>
      </c>
      <c r="K886" s="3">
        <v>11</v>
      </c>
      <c r="L886" s="3">
        <v>0</v>
      </c>
      <c r="M886" s="3">
        <v>0</v>
      </c>
      <c r="N886" s="3">
        <v>11</v>
      </c>
      <c r="O886" s="3">
        <v>0.14</v>
      </c>
      <c r="P886" s="3">
        <v>0</v>
      </c>
      <c r="Q886" s="3">
        <v>0</v>
      </c>
      <c r="R886" s="3">
        <v>0</v>
      </c>
    </row>
    <row r="887" spans="1:18">
      <c r="A887" s="3" t="s">
        <v>2361</v>
      </c>
      <c r="B887" s="3" t="s">
        <v>2362</v>
      </c>
      <c r="C887" s="3" t="s">
        <v>2362</v>
      </c>
      <c r="D887" s="3" t="s">
        <v>2363</v>
      </c>
      <c r="E887" s="3" t="s">
        <v>120</v>
      </c>
      <c r="F887" s="3">
        <v>39.98</v>
      </c>
      <c r="G887" s="3" t="s">
        <v>121</v>
      </c>
      <c r="H887" s="3"/>
      <c r="I887" s="3" t="s">
        <v>122</v>
      </c>
      <c r="J887" s="3">
        <v>22</v>
      </c>
      <c r="K887" s="3">
        <v>22</v>
      </c>
      <c r="L887" s="3">
        <v>0</v>
      </c>
      <c r="M887" s="3">
        <v>0</v>
      </c>
      <c r="N887" s="3">
        <v>22</v>
      </c>
      <c r="O887" s="3">
        <v>0.14</v>
      </c>
      <c r="P887" s="3">
        <v>0</v>
      </c>
      <c r="Q887" s="3">
        <v>0</v>
      </c>
      <c r="R887" s="3">
        <v>0</v>
      </c>
    </row>
    <row r="888" spans="1:18">
      <c r="A888" s="3" t="s">
        <v>2364</v>
      </c>
      <c r="B888" s="3" t="s">
        <v>2365</v>
      </c>
      <c r="C888" s="3" t="s">
        <v>2365</v>
      </c>
      <c r="D888" s="3" t="s">
        <v>2366</v>
      </c>
      <c r="E888" s="3" t="s">
        <v>120</v>
      </c>
      <c r="F888" s="3">
        <v>39.98</v>
      </c>
      <c r="G888" s="3" t="s">
        <v>121</v>
      </c>
      <c r="H888" s="3"/>
      <c r="I888" s="3" t="s">
        <v>122</v>
      </c>
      <c r="J888" s="3">
        <v>0</v>
      </c>
      <c r="K888" s="3">
        <v>0</v>
      </c>
      <c r="L888" s="3">
        <v>0</v>
      </c>
      <c r="M888" s="3">
        <v>0</v>
      </c>
      <c r="N888" s="3">
        <v>0</v>
      </c>
      <c r="O888" s="3">
        <v>0.14</v>
      </c>
      <c r="P888" s="3">
        <v>0</v>
      </c>
      <c r="Q888" s="3">
        <v>0</v>
      </c>
      <c r="R888" s="3">
        <v>0</v>
      </c>
    </row>
    <row r="889" spans="1:18">
      <c r="A889" s="3" t="s">
        <v>2367</v>
      </c>
      <c r="B889" s="3" t="s">
        <v>2368</v>
      </c>
      <c r="C889" s="3" t="s">
        <v>2368</v>
      </c>
      <c r="D889" s="3" t="s">
        <v>2369</v>
      </c>
      <c r="E889" s="3" t="s">
        <v>120</v>
      </c>
      <c r="F889" s="3">
        <v>39.98</v>
      </c>
      <c r="G889" s="3" t="s">
        <v>121</v>
      </c>
      <c r="H889" s="3"/>
      <c r="I889" s="3" t="s">
        <v>122</v>
      </c>
      <c r="J889" s="3">
        <v>35</v>
      </c>
      <c r="K889" s="3">
        <v>35</v>
      </c>
      <c r="L889" s="3">
        <v>0</v>
      </c>
      <c r="M889" s="3">
        <v>0</v>
      </c>
      <c r="N889" s="3">
        <v>35</v>
      </c>
      <c r="O889" s="3">
        <v>0.21</v>
      </c>
      <c r="P889" s="3">
        <v>0</v>
      </c>
      <c r="Q889" s="3">
        <v>0</v>
      </c>
      <c r="R889" s="3">
        <v>0</v>
      </c>
    </row>
    <row r="890" spans="1:18">
      <c r="A890" s="3" t="s">
        <v>2370</v>
      </c>
      <c r="B890" s="3" t="s">
        <v>2371</v>
      </c>
      <c r="C890" s="3" t="s">
        <v>2371</v>
      </c>
      <c r="D890" s="3" t="s">
        <v>2372</v>
      </c>
      <c r="E890" s="3" t="s">
        <v>120</v>
      </c>
      <c r="F890" s="3">
        <v>39.98</v>
      </c>
      <c r="G890" s="3" t="s">
        <v>121</v>
      </c>
      <c r="H890" s="3"/>
      <c r="I890" s="3" t="s">
        <v>122</v>
      </c>
      <c r="J890" s="3">
        <v>41</v>
      </c>
      <c r="K890" s="3">
        <v>41</v>
      </c>
      <c r="L890" s="3">
        <v>0</v>
      </c>
      <c r="M890" s="3">
        <v>0</v>
      </c>
      <c r="N890" s="3">
        <v>41</v>
      </c>
      <c r="O890" s="3">
        <v>0.21</v>
      </c>
      <c r="P890" s="3">
        <v>0</v>
      </c>
      <c r="Q890" s="3">
        <v>0</v>
      </c>
      <c r="R890" s="3">
        <v>0</v>
      </c>
    </row>
    <row r="891" spans="1:18">
      <c r="A891" s="3" t="s">
        <v>2373</v>
      </c>
      <c r="B891" s="3" t="s">
        <v>2374</v>
      </c>
      <c r="C891" s="3" t="s">
        <v>2374</v>
      </c>
      <c r="D891" s="3" t="s">
        <v>2375</v>
      </c>
      <c r="E891" s="3" t="s">
        <v>120</v>
      </c>
      <c r="F891" s="3">
        <v>39.98</v>
      </c>
      <c r="G891" s="3" t="s">
        <v>121</v>
      </c>
      <c r="H891" s="3"/>
      <c r="I891" s="3" t="s">
        <v>122</v>
      </c>
      <c r="J891" s="3">
        <v>13</v>
      </c>
      <c r="K891" s="3">
        <v>13</v>
      </c>
      <c r="L891" s="3">
        <v>0</v>
      </c>
      <c r="M891" s="3">
        <v>0</v>
      </c>
      <c r="N891" s="3">
        <v>13</v>
      </c>
      <c r="O891" s="3">
        <v>0.14</v>
      </c>
      <c r="P891" s="3">
        <v>0</v>
      </c>
      <c r="Q891" s="3">
        <v>0</v>
      </c>
      <c r="R891" s="3">
        <v>0</v>
      </c>
    </row>
    <row r="892" spans="1:18">
      <c r="A892" s="3" t="s">
        <v>2376</v>
      </c>
      <c r="B892" s="3" t="s">
        <v>2377</v>
      </c>
      <c r="C892" s="3" t="s">
        <v>2377</v>
      </c>
      <c r="D892" s="3" t="s">
        <v>2378</v>
      </c>
      <c r="E892" s="3" t="s">
        <v>120</v>
      </c>
      <c r="F892" s="3">
        <v>39.98</v>
      </c>
      <c r="G892" s="3" t="s">
        <v>121</v>
      </c>
      <c r="H892" s="3"/>
      <c r="I892" s="3" t="s">
        <v>122</v>
      </c>
      <c r="J892" s="3">
        <v>26</v>
      </c>
      <c r="K892" s="3">
        <v>26</v>
      </c>
      <c r="L892" s="3">
        <v>0</v>
      </c>
      <c r="M892" s="3">
        <v>0</v>
      </c>
      <c r="N892" s="3">
        <v>26</v>
      </c>
      <c r="O892" s="3">
        <v>0.21</v>
      </c>
      <c r="P892" s="3">
        <v>0</v>
      </c>
      <c r="Q892" s="3">
        <v>0</v>
      </c>
      <c r="R892" s="3">
        <v>0</v>
      </c>
    </row>
    <row r="893" spans="1:18">
      <c r="A893" s="3" t="s">
        <v>2379</v>
      </c>
      <c r="B893" s="3" t="s">
        <v>2380</v>
      </c>
      <c r="C893" s="3" t="s">
        <v>2380</v>
      </c>
      <c r="D893" s="3" t="s">
        <v>2381</v>
      </c>
      <c r="E893" s="3" t="s">
        <v>120</v>
      </c>
      <c r="F893" s="3">
        <v>22.98</v>
      </c>
      <c r="G893" s="3" t="s">
        <v>121</v>
      </c>
      <c r="H893" s="3"/>
      <c r="I893" s="3" t="s">
        <v>122</v>
      </c>
      <c r="J893" s="3">
        <v>11</v>
      </c>
      <c r="K893" s="3">
        <v>11</v>
      </c>
      <c r="L893" s="3">
        <v>0</v>
      </c>
      <c r="M893" s="3">
        <v>0</v>
      </c>
      <c r="N893" s="3">
        <v>11</v>
      </c>
      <c r="O893" s="3">
        <v>0.15</v>
      </c>
      <c r="P893" s="3">
        <v>0</v>
      </c>
      <c r="Q893" s="3">
        <v>0</v>
      </c>
      <c r="R893" s="3">
        <v>0</v>
      </c>
    </row>
    <row r="894" spans="1:18">
      <c r="A894" s="3" t="s">
        <v>2382</v>
      </c>
      <c r="B894" s="3" t="s">
        <v>2383</v>
      </c>
      <c r="C894" s="3" t="s">
        <v>2383</v>
      </c>
      <c r="D894" s="3" t="s">
        <v>2384</v>
      </c>
      <c r="E894" s="3" t="s">
        <v>120</v>
      </c>
      <c r="F894" s="3">
        <v>22.98</v>
      </c>
      <c r="G894" s="3" t="s">
        <v>121</v>
      </c>
      <c r="H894" s="3"/>
      <c r="I894" s="3" t="s">
        <v>122</v>
      </c>
      <c r="J894" s="3">
        <v>11</v>
      </c>
      <c r="K894" s="3">
        <v>11</v>
      </c>
      <c r="L894" s="3">
        <v>0</v>
      </c>
      <c r="M894" s="3">
        <v>0</v>
      </c>
      <c r="N894" s="3">
        <v>11</v>
      </c>
      <c r="O894" s="3">
        <v>0.15</v>
      </c>
      <c r="P894" s="3">
        <v>0</v>
      </c>
      <c r="Q894" s="3">
        <v>0</v>
      </c>
      <c r="R894" s="3">
        <v>0</v>
      </c>
    </row>
    <row r="895" spans="1:18">
      <c r="A895" s="3" t="s">
        <v>2385</v>
      </c>
      <c r="B895" s="3" t="s">
        <v>2386</v>
      </c>
      <c r="C895" s="3" t="s">
        <v>2386</v>
      </c>
      <c r="D895" s="3" t="s">
        <v>2387</v>
      </c>
      <c r="E895" s="3" t="s">
        <v>120</v>
      </c>
      <c r="F895" s="3">
        <v>22.98</v>
      </c>
      <c r="G895" s="3" t="s">
        <v>121</v>
      </c>
      <c r="H895" s="3"/>
      <c r="I895" s="3" t="s">
        <v>122</v>
      </c>
      <c r="J895" s="3">
        <v>5</v>
      </c>
      <c r="K895" s="3">
        <v>5</v>
      </c>
      <c r="L895" s="3">
        <v>0</v>
      </c>
      <c r="M895" s="3">
        <v>0</v>
      </c>
      <c r="N895" s="3">
        <v>5</v>
      </c>
      <c r="O895" s="3">
        <v>0.15</v>
      </c>
      <c r="P895" s="3">
        <v>0</v>
      </c>
      <c r="Q895" s="3">
        <v>0</v>
      </c>
      <c r="R895" s="3">
        <v>0</v>
      </c>
    </row>
    <row r="896" spans="1:18">
      <c r="A896" s="3" t="s">
        <v>2388</v>
      </c>
      <c r="B896" s="3" t="s">
        <v>2389</v>
      </c>
      <c r="C896" s="3" t="s">
        <v>2389</v>
      </c>
      <c r="D896" s="3" t="s">
        <v>2390</v>
      </c>
      <c r="E896" s="3" t="s">
        <v>120</v>
      </c>
      <c r="F896" s="3">
        <v>22.98</v>
      </c>
      <c r="G896" s="3" t="s">
        <v>121</v>
      </c>
      <c r="H896" s="3"/>
      <c r="I896" s="3" t="s">
        <v>122</v>
      </c>
      <c r="J896" s="3">
        <v>7</v>
      </c>
      <c r="K896" s="3">
        <v>7</v>
      </c>
      <c r="L896" s="3">
        <v>0</v>
      </c>
      <c r="M896" s="3">
        <v>0</v>
      </c>
      <c r="N896" s="3">
        <v>7</v>
      </c>
      <c r="O896" s="3">
        <v>0.15</v>
      </c>
      <c r="P896" s="3">
        <v>0</v>
      </c>
      <c r="Q896" s="3">
        <v>0</v>
      </c>
      <c r="R896" s="3">
        <v>0</v>
      </c>
    </row>
    <row r="897" spans="1:18">
      <c r="A897" s="3" t="s">
        <v>2391</v>
      </c>
      <c r="B897" s="3" t="s">
        <v>2392</v>
      </c>
      <c r="C897" s="3" t="s">
        <v>2392</v>
      </c>
      <c r="D897" s="3" t="s">
        <v>2393</v>
      </c>
      <c r="E897" s="3" t="s">
        <v>120</v>
      </c>
      <c r="F897" s="3">
        <v>22.98</v>
      </c>
      <c r="G897" s="3" t="s">
        <v>121</v>
      </c>
      <c r="H897" s="3"/>
      <c r="I897" s="3" t="s">
        <v>122</v>
      </c>
      <c r="J897" s="3">
        <v>11</v>
      </c>
      <c r="K897" s="3">
        <v>11</v>
      </c>
      <c r="L897" s="3">
        <v>0</v>
      </c>
      <c r="M897" s="3">
        <v>0</v>
      </c>
      <c r="N897" s="3">
        <v>11</v>
      </c>
      <c r="O897" s="3">
        <v>0.15</v>
      </c>
      <c r="P897" s="3">
        <v>0</v>
      </c>
      <c r="Q897" s="3">
        <v>0</v>
      </c>
      <c r="R897" s="3">
        <v>0</v>
      </c>
    </row>
    <row r="898" spans="1:18">
      <c r="A898" s="3" t="s">
        <v>2394</v>
      </c>
      <c r="B898" s="3" t="s">
        <v>2395</v>
      </c>
      <c r="C898" s="3" t="s">
        <v>2395</v>
      </c>
      <c r="D898" s="3" t="s">
        <v>2396</v>
      </c>
      <c r="E898" s="3" t="s">
        <v>120</v>
      </c>
      <c r="F898" s="3">
        <v>22.98</v>
      </c>
      <c r="G898" s="3" t="s">
        <v>121</v>
      </c>
      <c r="H898" s="3"/>
      <c r="I898" s="3" t="s">
        <v>122</v>
      </c>
      <c r="J898" s="3">
        <v>12</v>
      </c>
      <c r="K898" s="3">
        <v>12</v>
      </c>
      <c r="L898" s="3">
        <v>0</v>
      </c>
      <c r="M898" s="3">
        <v>0</v>
      </c>
      <c r="N898" s="3">
        <v>12</v>
      </c>
      <c r="O898" s="3">
        <v>0.15</v>
      </c>
      <c r="P898" s="3">
        <v>0</v>
      </c>
      <c r="Q898" s="3">
        <v>0</v>
      </c>
      <c r="R898" s="3">
        <v>0</v>
      </c>
    </row>
    <row r="899" spans="1:18">
      <c r="A899" s="3" t="s">
        <v>2397</v>
      </c>
      <c r="B899" s="3" t="s">
        <v>2398</v>
      </c>
      <c r="C899" s="3" t="s">
        <v>2398</v>
      </c>
      <c r="D899" s="3" t="s">
        <v>2399</v>
      </c>
      <c r="E899" s="3" t="s">
        <v>120</v>
      </c>
      <c r="F899" s="3">
        <v>22.98</v>
      </c>
      <c r="G899" s="3" t="s">
        <v>121</v>
      </c>
      <c r="H899" s="3"/>
      <c r="I899" s="3" t="s">
        <v>122</v>
      </c>
      <c r="J899" s="3">
        <v>7</v>
      </c>
      <c r="K899" s="3">
        <v>7</v>
      </c>
      <c r="L899" s="3">
        <v>0</v>
      </c>
      <c r="M899" s="3">
        <v>0</v>
      </c>
      <c r="N899" s="3">
        <v>7</v>
      </c>
      <c r="O899" s="3">
        <v>0.15</v>
      </c>
      <c r="P899" s="3">
        <v>0</v>
      </c>
      <c r="Q899" s="3">
        <v>0</v>
      </c>
      <c r="R899" s="3">
        <v>0</v>
      </c>
    </row>
    <row r="900" spans="1:18">
      <c r="A900" s="3" t="s">
        <v>2400</v>
      </c>
      <c r="B900" s="3" t="s">
        <v>2401</v>
      </c>
      <c r="C900" s="3" t="s">
        <v>2401</v>
      </c>
      <c r="D900" s="3" t="s">
        <v>2402</v>
      </c>
      <c r="E900" s="3" t="s">
        <v>120</v>
      </c>
      <c r="F900" s="3">
        <v>22.98</v>
      </c>
      <c r="G900" s="3" t="s">
        <v>121</v>
      </c>
      <c r="H900" s="3"/>
      <c r="I900" s="3" t="s">
        <v>122</v>
      </c>
      <c r="J900" s="3">
        <v>12</v>
      </c>
      <c r="K900" s="3">
        <v>12</v>
      </c>
      <c r="L900" s="3">
        <v>0</v>
      </c>
      <c r="M900" s="3">
        <v>0</v>
      </c>
      <c r="N900" s="3">
        <v>12</v>
      </c>
      <c r="O900" s="3">
        <v>0.15</v>
      </c>
      <c r="P900" s="3">
        <v>0</v>
      </c>
      <c r="Q900" s="3">
        <v>0</v>
      </c>
      <c r="R900" s="3">
        <v>0</v>
      </c>
    </row>
    <row r="901" spans="1:18">
      <c r="A901" s="3" t="s">
        <v>2403</v>
      </c>
      <c r="B901" s="3" t="s">
        <v>2404</v>
      </c>
      <c r="C901" s="3" t="s">
        <v>2404</v>
      </c>
      <c r="D901" s="3" t="s">
        <v>2405</v>
      </c>
      <c r="E901" s="3" t="s">
        <v>120</v>
      </c>
      <c r="F901" s="3">
        <v>22.98</v>
      </c>
      <c r="G901" s="3" t="s">
        <v>121</v>
      </c>
      <c r="H901" s="3"/>
      <c r="I901" s="3" t="s">
        <v>122</v>
      </c>
      <c r="J901" s="3">
        <v>1</v>
      </c>
      <c r="K901" s="3">
        <v>1</v>
      </c>
      <c r="L901" s="3">
        <v>0</v>
      </c>
      <c r="M901" s="3">
        <v>0</v>
      </c>
      <c r="N901" s="3">
        <v>1</v>
      </c>
      <c r="O901" s="3">
        <v>0.15</v>
      </c>
      <c r="P901" s="3">
        <v>0</v>
      </c>
      <c r="Q901" s="3">
        <v>0</v>
      </c>
      <c r="R901" s="3">
        <v>0</v>
      </c>
    </row>
    <row r="902" spans="1:18">
      <c r="A902" s="3" t="s">
        <v>2406</v>
      </c>
      <c r="B902" s="3" t="s">
        <v>2407</v>
      </c>
      <c r="C902" s="3" t="s">
        <v>2407</v>
      </c>
      <c r="D902" s="3" t="s">
        <v>2408</v>
      </c>
      <c r="E902" s="3" t="s">
        <v>120</v>
      </c>
      <c r="F902" s="3">
        <v>22.98</v>
      </c>
      <c r="G902" s="3" t="s">
        <v>121</v>
      </c>
      <c r="H902" s="3"/>
      <c r="I902" s="3" t="s">
        <v>122</v>
      </c>
      <c r="J902" s="3">
        <v>11</v>
      </c>
      <c r="K902" s="3">
        <v>11</v>
      </c>
      <c r="L902" s="3">
        <v>0</v>
      </c>
      <c r="M902" s="3">
        <v>0</v>
      </c>
      <c r="N902" s="3">
        <v>11</v>
      </c>
      <c r="O902" s="3">
        <v>0.15</v>
      </c>
      <c r="P902" s="3">
        <v>0</v>
      </c>
      <c r="Q902" s="3">
        <v>0</v>
      </c>
      <c r="R902" s="3">
        <v>0</v>
      </c>
    </row>
    <row r="903" spans="1:18">
      <c r="A903" s="3" t="s">
        <v>2409</v>
      </c>
      <c r="B903" s="3" t="s">
        <v>2410</v>
      </c>
      <c r="C903" s="3" t="s">
        <v>2410</v>
      </c>
      <c r="D903" s="3" t="s">
        <v>2411</v>
      </c>
      <c r="E903" s="3" t="s">
        <v>120</v>
      </c>
      <c r="F903" s="3">
        <v>22.98</v>
      </c>
      <c r="G903" s="3" t="s">
        <v>121</v>
      </c>
      <c r="H903" s="3"/>
      <c r="I903" s="3" t="s">
        <v>122</v>
      </c>
      <c r="J903" s="3">
        <v>23</v>
      </c>
      <c r="K903" s="3">
        <v>23</v>
      </c>
      <c r="L903" s="3">
        <v>0</v>
      </c>
      <c r="M903" s="3">
        <v>0</v>
      </c>
      <c r="N903" s="3">
        <v>23</v>
      </c>
      <c r="O903" s="3">
        <v>0.15</v>
      </c>
      <c r="P903" s="3">
        <v>0</v>
      </c>
      <c r="Q903" s="3">
        <v>0</v>
      </c>
      <c r="R903" s="3">
        <v>0</v>
      </c>
    </row>
    <row r="904" spans="1:18">
      <c r="A904" s="3" t="s">
        <v>2412</v>
      </c>
      <c r="B904" s="3" t="s">
        <v>2413</v>
      </c>
      <c r="C904" s="3" t="s">
        <v>2413</v>
      </c>
      <c r="D904" s="3" t="s">
        <v>2414</v>
      </c>
      <c r="E904" s="3" t="s">
        <v>120</v>
      </c>
      <c r="F904" s="3">
        <v>22.98</v>
      </c>
      <c r="G904" s="3" t="s">
        <v>121</v>
      </c>
      <c r="H904" s="3"/>
      <c r="I904" s="3" t="s">
        <v>122</v>
      </c>
      <c r="J904" s="3">
        <v>17</v>
      </c>
      <c r="K904" s="3">
        <v>17</v>
      </c>
      <c r="L904" s="3">
        <v>0</v>
      </c>
      <c r="M904" s="3">
        <v>0</v>
      </c>
      <c r="N904" s="3">
        <v>17</v>
      </c>
      <c r="O904" s="3">
        <v>0.15</v>
      </c>
      <c r="P904" s="3">
        <v>0</v>
      </c>
      <c r="Q904" s="3">
        <v>0</v>
      </c>
      <c r="R904" s="3">
        <v>0</v>
      </c>
    </row>
    <row r="905" spans="1:18">
      <c r="A905" s="3" t="s">
        <v>2415</v>
      </c>
      <c r="B905" s="3" t="s">
        <v>2416</v>
      </c>
      <c r="C905" s="3" t="s">
        <v>2416</v>
      </c>
      <c r="D905" s="3" t="s">
        <v>2417</v>
      </c>
      <c r="E905" s="3" t="s">
        <v>120</v>
      </c>
      <c r="F905" s="3">
        <v>22.98</v>
      </c>
      <c r="G905" s="3" t="s">
        <v>121</v>
      </c>
      <c r="H905" s="3"/>
      <c r="I905" s="3" t="s">
        <v>122</v>
      </c>
      <c r="J905" s="3">
        <v>13</v>
      </c>
      <c r="K905" s="3">
        <v>13</v>
      </c>
      <c r="L905" s="3">
        <v>0</v>
      </c>
      <c r="M905" s="3">
        <v>0</v>
      </c>
      <c r="N905" s="3">
        <v>13</v>
      </c>
      <c r="O905" s="3">
        <v>0.15</v>
      </c>
      <c r="P905" s="3">
        <v>0</v>
      </c>
      <c r="Q905" s="3">
        <v>0</v>
      </c>
      <c r="R905" s="3">
        <v>0</v>
      </c>
    </row>
    <row r="906" spans="1:18">
      <c r="A906" s="3" t="s">
        <v>2418</v>
      </c>
      <c r="B906" s="3" t="s">
        <v>2419</v>
      </c>
      <c r="C906" s="3" t="s">
        <v>2419</v>
      </c>
      <c r="D906" s="3" t="s">
        <v>2420</v>
      </c>
      <c r="E906" s="3" t="s">
        <v>120</v>
      </c>
      <c r="F906" s="3">
        <v>22.98</v>
      </c>
      <c r="G906" s="3" t="s">
        <v>121</v>
      </c>
      <c r="H906" s="3"/>
      <c r="I906" s="3" t="s">
        <v>122</v>
      </c>
      <c r="J906" s="3">
        <v>1</v>
      </c>
      <c r="K906" s="3">
        <v>1</v>
      </c>
      <c r="L906" s="3">
        <v>0</v>
      </c>
      <c r="M906" s="3">
        <v>0</v>
      </c>
      <c r="N906" s="3">
        <v>1</v>
      </c>
      <c r="O906" s="3">
        <v>0.15</v>
      </c>
      <c r="P906" s="3">
        <v>0</v>
      </c>
      <c r="Q906" s="3">
        <v>0</v>
      </c>
      <c r="R906" s="3">
        <v>0</v>
      </c>
    </row>
    <row r="907" spans="1:18">
      <c r="A907" s="3" t="s">
        <v>2421</v>
      </c>
      <c r="B907" s="3" t="s">
        <v>2422</v>
      </c>
      <c r="C907" s="3" t="s">
        <v>2422</v>
      </c>
      <c r="D907" s="3" t="s">
        <v>2423</v>
      </c>
      <c r="E907" s="3" t="s">
        <v>120</v>
      </c>
      <c r="F907" s="3">
        <v>22.98</v>
      </c>
      <c r="G907" s="3" t="s">
        <v>121</v>
      </c>
      <c r="H907" s="3"/>
      <c r="I907" s="3" t="s">
        <v>122</v>
      </c>
      <c r="J907" s="3">
        <v>18</v>
      </c>
      <c r="K907" s="3">
        <v>18</v>
      </c>
      <c r="L907" s="3">
        <v>0</v>
      </c>
      <c r="M907" s="3">
        <v>0</v>
      </c>
      <c r="N907" s="3">
        <v>18</v>
      </c>
      <c r="O907" s="3">
        <v>0.15</v>
      </c>
      <c r="P907" s="3">
        <v>0</v>
      </c>
      <c r="Q907" s="3">
        <v>0</v>
      </c>
      <c r="R907" s="3">
        <v>0</v>
      </c>
    </row>
    <row r="908" spans="1:18">
      <c r="A908" s="3" t="s">
        <v>2424</v>
      </c>
      <c r="B908" s="3" t="s">
        <v>2425</v>
      </c>
      <c r="C908" s="3" t="s">
        <v>2425</v>
      </c>
      <c r="D908" s="3" t="s">
        <v>2426</v>
      </c>
      <c r="E908" s="3" t="s">
        <v>120</v>
      </c>
      <c r="F908" s="3">
        <v>22.98</v>
      </c>
      <c r="G908" s="3" t="s">
        <v>121</v>
      </c>
      <c r="H908" s="3"/>
      <c r="I908" s="3" t="s">
        <v>122</v>
      </c>
      <c r="J908" s="3">
        <v>7</v>
      </c>
      <c r="K908" s="3">
        <v>7</v>
      </c>
      <c r="L908" s="3">
        <v>0</v>
      </c>
      <c r="M908" s="3">
        <v>0</v>
      </c>
      <c r="N908" s="3">
        <v>7</v>
      </c>
      <c r="O908" s="3">
        <v>0.15</v>
      </c>
      <c r="P908" s="3">
        <v>0</v>
      </c>
      <c r="Q908" s="3">
        <v>0</v>
      </c>
      <c r="R908" s="3">
        <v>0</v>
      </c>
    </row>
    <row r="909" spans="1:18">
      <c r="A909" s="3" t="s">
        <v>2427</v>
      </c>
      <c r="B909" s="3" t="s">
        <v>2428</v>
      </c>
      <c r="C909" s="3" t="s">
        <v>2428</v>
      </c>
      <c r="D909" s="3" t="s">
        <v>2429</v>
      </c>
      <c r="E909" s="3" t="s">
        <v>120</v>
      </c>
      <c r="F909" s="3">
        <v>22.98</v>
      </c>
      <c r="G909" s="3" t="s">
        <v>121</v>
      </c>
      <c r="H909" s="3"/>
      <c r="I909" s="3" t="s">
        <v>122</v>
      </c>
      <c r="J909" s="3">
        <v>7</v>
      </c>
      <c r="K909" s="3">
        <v>7</v>
      </c>
      <c r="L909" s="3">
        <v>0</v>
      </c>
      <c r="M909" s="3">
        <v>0</v>
      </c>
      <c r="N909" s="3">
        <v>7</v>
      </c>
      <c r="O909" s="3">
        <v>0.15</v>
      </c>
      <c r="P909" s="3">
        <v>0</v>
      </c>
      <c r="Q909" s="3">
        <v>0</v>
      </c>
      <c r="R909" s="3">
        <v>0</v>
      </c>
    </row>
    <row r="910" spans="1:18">
      <c r="A910" s="3" t="s">
        <v>2430</v>
      </c>
      <c r="B910" s="3" t="s">
        <v>2431</v>
      </c>
      <c r="C910" s="3" t="s">
        <v>2431</v>
      </c>
      <c r="D910" s="3" t="s">
        <v>2432</v>
      </c>
      <c r="E910" s="3" t="s">
        <v>120</v>
      </c>
      <c r="F910" s="3">
        <v>22.98</v>
      </c>
      <c r="G910" s="3" t="s">
        <v>121</v>
      </c>
      <c r="H910" s="3"/>
      <c r="I910" s="3" t="s">
        <v>122</v>
      </c>
      <c r="J910" s="3">
        <v>6</v>
      </c>
      <c r="K910" s="3">
        <v>6</v>
      </c>
      <c r="L910" s="3">
        <v>0</v>
      </c>
      <c r="M910" s="3">
        <v>0</v>
      </c>
      <c r="N910" s="3">
        <v>6</v>
      </c>
      <c r="O910" s="3">
        <v>0.15</v>
      </c>
      <c r="P910" s="3">
        <v>0</v>
      </c>
      <c r="Q910" s="3">
        <v>0</v>
      </c>
      <c r="R910" s="3">
        <v>0</v>
      </c>
    </row>
    <row r="911" spans="1:18">
      <c r="A911" s="3" t="s">
        <v>2433</v>
      </c>
      <c r="B911" s="3" t="s">
        <v>2434</v>
      </c>
      <c r="C911" s="3" t="s">
        <v>2434</v>
      </c>
      <c r="D911" s="3" t="s">
        <v>2435</v>
      </c>
      <c r="E911" s="3" t="s">
        <v>120</v>
      </c>
      <c r="F911" s="3">
        <v>22.98</v>
      </c>
      <c r="G911" s="3" t="s">
        <v>121</v>
      </c>
      <c r="H911" s="3"/>
      <c r="I911" s="3" t="s">
        <v>122</v>
      </c>
      <c r="J911" s="3">
        <v>1</v>
      </c>
      <c r="K911" s="3">
        <v>1</v>
      </c>
      <c r="L911" s="3">
        <v>0</v>
      </c>
      <c r="M911" s="3">
        <v>0</v>
      </c>
      <c r="N911" s="3">
        <v>1</v>
      </c>
      <c r="O911" s="3">
        <v>0.15</v>
      </c>
      <c r="P911" s="3">
        <v>0</v>
      </c>
      <c r="Q911" s="3">
        <v>0</v>
      </c>
      <c r="R911" s="3">
        <v>0</v>
      </c>
    </row>
    <row r="912" spans="1:18">
      <c r="A912" s="3" t="s">
        <v>2436</v>
      </c>
      <c r="B912" s="3" t="s">
        <v>2437</v>
      </c>
      <c r="C912" s="3" t="s">
        <v>2437</v>
      </c>
      <c r="D912" s="3" t="s">
        <v>2438</v>
      </c>
      <c r="E912" s="3" t="s">
        <v>120</v>
      </c>
      <c r="F912" s="3">
        <v>22.98</v>
      </c>
      <c r="G912" s="3" t="s">
        <v>121</v>
      </c>
      <c r="H912" s="3"/>
      <c r="I912" s="3" t="s">
        <v>122</v>
      </c>
      <c r="J912" s="3">
        <v>0</v>
      </c>
      <c r="K912" s="3">
        <v>0</v>
      </c>
      <c r="L912" s="3">
        <v>0</v>
      </c>
      <c r="M912" s="3">
        <v>0</v>
      </c>
      <c r="N912" s="3">
        <v>0</v>
      </c>
      <c r="O912" s="3">
        <v>0.15</v>
      </c>
      <c r="P912" s="3">
        <v>0</v>
      </c>
      <c r="Q912" s="3">
        <v>0</v>
      </c>
      <c r="R912" s="3">
        <v>0</v>
      </c>
    </row>
    <row r="913" spans="1:18">
      <c r="A913" s="3" t="s">
        <v>2439</v>
      </c>
      <c r="B913" s="3" t="s">
        <v>2440</v>
      </c>
      <c r="C913" s="3" t="s">
        <v>2440</v>
      </c>
      <c r="D913" s="3" t="s">
        <v>2441</v>
      </c>
      <c r="E913" s="3" t="s">
        <v>120</v>
      </c>
      <c r="F913" s="3">
        <v>22.98</v>
      </c>
      <c r="G913" s="3" t="s">
        <v>121</v>
      </c>
      <c r="H913" s="3"/>
      <c r="I913" s="3" t="s">
        <v>122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0.15</v>
      </c>
      <c r="P913" s="3">
        <v>0</v>
      </c>
      <c r="Q913" s="3">
        <v>0</v>
      </c>
      <c r="R913" s="3">
        <v>0</v>
      </c>
    </row>
    <row r="914" spans="1:18">
      <c r="A914" s="3" t="s">
        <v>2442</v>
      </c>
      <c r="B914" s="3" t="s">
        <v>2443</v>
      </c>
      <c r="C914" s="3" t="s">
        <v>2443</v>
      </c>
      <c r="D914" s="3" t="s">
        <v>2444</v>
      </c>
      <c r="E914" s="3" t="s">
        <v>120</v>
      </c>
      <c r="F914" s="3">
        <v>22.98</v>
      </c>
      <c r="G914" s="3" t="s">
        <v>121</v>
      </c>
      <c r="H914" s="3"/>
      <c r="I914" s="3" t="s">
        <v>122</v>
      </c>
      <c r="J914" s="3">
        <v>1</v>
      </c>
      <c r="K914" s="3">
        <v>1</v>
      </c>
      <c r="L914" s="3">
        <v>0</v>
      </c>
      <c r="M914" s="3">
        <v>0</v>
      </c>
      <c r="N914" s="3">
        <v>1</v>
      </c>
      <c r="O914" s="3">
        <v>0.15</v>
      </c>
      <c r="P914" s="3">
        <v>0</v>
      </c>
      <c r="Q914" s="3">
        <v>0</v>
      </c>
      <c r="R914" s="3">
        <v>0</v>
      </c>
    </row>
    <row r="915" spans="1:18">
      <c r="A915" s="3" t="s">
        <v>2445</v>
      </c>
      <c r="B915" s="3" t="s">
        <v>2446</v>
      </c>
      <c r="C915" s="3" t="s">
        <v>2446</v>
      </c>
      <c r="D915" s="3" t="s">
        <v>330</v>
      </c>
      <c r="E915" s="3" t="s">
        <v>120</v>
      </c>
      <c r="F915" s="3">
        <v>22.98</v>
      </c>
      <c r="G915" s="3" t="s">
        <v>121</v>
      </c>
      <c r="H915" s="3"/>
      <c r="I915" s="3" t="s">
        <v>122</v>
      </c>
      <c r="J915" s="3">
        <v>33</v>
      </c>
      <c r="K915" s="3">
        <v>33</v>
      </c>
      <c r="L915" s="3">
        <v>0</v>
      </c>
      <c r="M915" s="3">
        <v>0</v>
      </c>
      <c r="N915" s="3">
        <v>33</v>
      </c>
      <c r="O915" s="3">
        <v>0.15</v>
      </c>
      <c r="P915" s="3">
        <v>0</v>
      </c>
      <c r="Q915" s="3">
        <v>0</v>
      </c>
      <c r="R915" s="3">
        <v>0</v>
      </c>
    </row>
    <row r="916" spans="1:18">
      <c r="A916" s="3" t="s">
        <v>2447</v>
      </c>
      <c r="B916" s="3" t="s">
        <v>2448</v>
      </c>
      <c r="C916" s="3" t="s">
        <v>2448</v>
      </c>
      <c r="D916" s="3" t="s">
        <v>2449</v>
      </c>
      <c r="E916" s="3" t="s">
        <v>120</v>
      </c>
      <c r="F916" s="3">
        <v>22.98</v>
      </c>
      <c r="G916" s="3" t="s">
        <v>121</v>
      </c>
      <c r="H916" s="3"/>
      <c r="I916" s="3" t="s">
        <v>122</v>
      </c>
      <c r="J916" s="3">
        <v>1</v>
      </c>
      <c r="K916" s="3">
        <v>1</v>
      </c>
      <c r="L916" s="3">
        <v>0</v>
      </c>
      <c r="M916" s="3">
        <v>0</v>
      </c>
      <c r="N916" s="3">
        <v>1</v>
      </c>
      <c r="O916" s="3">
        <v>0.15</v>
      </c>
      <c r="P916" s="3">
        <v>0</v>
      </c>
      <c r="Q916" s="3">
        <v>0</v>
      </c>
      <c r="R916" s="3">
        <v>0</v>
      </c>
    </row>
    <row r="917" spans="1:18">
      <c r="A917" s="3" t="s">
        <v>2450</v>
      </c>
      <c r="B917" s="3" t="s">
        <v>2451</v>
      </c>
      <c r="C917" s="3" t="s">
        <v>2451</v>
      </c>
      <c r="D917" s="3" t="s">
        <v>2452</v>
      </c>
      <c r="E917" s="3" t="s">
        <v>120</v>
      </c>
      <c r="F917" s="3">
        <v>22.98</v>
      </c>
      <c r="G917" s="3" t="s">
        <v>121</v>
      </c>
      <c r="H917" s="3"/>
      <c r="I917" s="3" t="s">
        <v>122</v>
      </c>
      <c r="J917" s="3">
        <v>27</v>
      </c>
      <c r="K917" s="3">
        <v>27</v>
      </c>
      <c r="L917" s="3">
        <v>0</v>
      </c>
      <c r="M917" s="3">
        <v>0</v>
      </c>
      <c r="N917" s="3">
        <v>27</v>
      </c>
      <c r="O917" s="3">
        <v>0.19</v>
      </c>
      <c r="P917" s="3">
        <v>0</v>
      </c>
      <c r="Q917" s="3">
        <v>0</v>
      </c>
      <c r="R917" s="3">
        <v>0</v>
      </c>
    </row>
    <row r="918" spans="1:18">
      <c r="A918" s="3" t="s">
        <v>2453</v>
      </c>
      <c r="B918" s="3" t="s">
        <v>2454</v>
      </c>
      <c r="C918" s="3" t="s">
        <v>2454</v>
      </c>
      <c r="D918" s="3" t="s">
        <v>2455</v>
      </c>
      <c r="E918" s="3" t="s">
        <v>120</v>
      </c>
      <c r="F918" s="3">
        <v>22.98</v>
      </c>
      <c r="G918" s="3" t="s">
        <v>121</v>
      </c>
      <c r="H918" s="3"/>
      <c r="I918" s="3" t="s">
        <v>122</v>
      </c>
      <c r="J918" s="3">
        <v>23</v>
      </c>
      <c r="K918" s="3">
        <v>23</v>
      </c>
      <c r="L918" s="3">
        <v>0</v>
      </c>
      <c r="M918" s="3">
        <v>0</v>
      </c>
      <c r="N918" s="3">
        <v>23</v>
      </c>
      <c r="O918" s="3">
        <v>0.15</v>
      </c>
      <c r="P918" s="3">
        <v>0</v>
      </c>
      <c r="Q918" s="3">
        <v>0</v>
      </c>
      <c r="R918" s="3">
        <v>0</v>
      </c>
    </row>
    <row r="919" spans="1:18">
      <c r="A919" s="3" t="s">
        <v>2456</v>
      </c>
      <c r="B919" s="3" t="s">
        <v>2457</v>
      </c>
      <c r="C919" s="3" t="s">
        <v>2457</v>
      </c>
      <c r="D919" s="3" t="s">
        <v>2458</v>
      </c>
      <c r="E919" s="3" t="s">
        <v>120</v>
      </c>
      <c r="F919" s="3">
        <v>22.98</v>
      </c>
      <c r="G919" s="3" t="s">
        <v>121</v>
      </c>
      <c r="H919" s="3"/>
      <c r="I919" s="3" t="s">
        <v>122</v>
      </c>
      <c r="J919" s="3">
        <v>32</v>
      </c>
      <c r="K919" s="3">
        <v>32</v>
      </c>
      <c r="L919" s="3">
        <v>0</v>
      </c>
      <c r="M919" s="3">
        <v>0</v>
      </c>
      <c r="N919" s="3">
        <v>32</v>
      </c>
      <c r="O919" s="3">
        <v>0.16</v>
      </c>
      <c r="P919" s="3">
        <v>0</v>
      </c>
      <c r="Q919" s="3">
        <v>0</v>
      </c>
      <c r="R919" s="3">
        <v>0</v>
      </c>
    </row>
    <row r="920" spans="1:18">
      <c r="A920" s="3" t="s">
        <v>2459</v>
      </c>
      <c r="B920" s="3" t="s">
        <v>2460</v>
      </c>
      <c r="C920" s="3" t="s">
        <v>2460</v>
      </c>
      <c r="D920" s="3" t="s">
        <v>2461</v>
      </c>
      <c r="E920" s="3" t="s">
        <v>120</v>
      </c>
      <c r="F920" s="3">
        <v>22.98</v>
      </c>
      <c r="G920" s="3" t="s">
        <v>121</v>
      </c>
      <c r="H920" s="3"/>
      <c r="I920" s="3" t="s">
        <v>122</v>
      </c>
      <c r="J920" s="3">
        <v>31</v>
      </c>
      <c r="K920" s="3">
        <v>31</v>
      </c>
      <c r="L920" s="3">
        <v>0</v>
      </c>
      <c r="M920" s="3">
        <v>0</v>
      </c>
      <c r="N920" s="3">
        <v>31</v>
      </c>
      <c r="O920" s="3">
        <v>0.16</v>
      </c>
      <c r="P920" s="3">
        <v>0</v>
      </c>
      <c r="Q920" s="3">
        <v>0</v>
      </c>
      <c r="R920" s="3">
        <v>0</v>
      </c>
    </row>
    <row r="921" spans="1:18">
      <c r="A921" s="3" t="s">
        <v>2462</v>
      </c>
      <c r="B921" s="3" t="s">
        <v>2463</v>
      </c>
      <c r="C921" s="3" t="s">
        <v>2463</v>
      </c>
      <c r="D921" s="3" t="s">
        <v>2464</v>
      </c>
      <c r="E921" s="3" t="s">
        <v>120</v>
      </c>
      <c r="F921" s="3">
        <v>22.98</v>
      </c>
      <c r="G921" s="3" t="s">
        <v>121</v>
      </c>
      <c r="H921" s="3"/>
      <c r="I921" s="3" t="s">
        <v>122</v>
      </c>
      <c r="J921" s="3">
        <v>16</v>
      </c>
      <c r="K921" s="3">
        <v>16</v>
      </c>
      <c r="L921" s="3">
        <v>0</v>
      </c>
      <c r="M921" s="3">
        <v>0</v>
      </c>
      <c r="N921" s="3">
        <v>16</v>
      </c>
      <c r="O921" s="3">
        <v>0.15</v>
      </c>
      <c r="P921" s="3">
        <v>0</v>
      </c>
      <c r="Q921" s="3">
        <v>0</v>
      </c>
      <c r="R921" s="3">
        <v>0</v>
      </c>
    </row>
    <row r="922" spans="1:18">
      <c r="A922" s="3" t="s">
        <v>2465</v>
      </c>
      <c r="B922" s="3" t="s">
        <v>2466</v>
      </c>
      <c r="C922" s="3" t="s">
        <v>2466</v>
      </c>
      <c r="D922" s="3" t="s">
        <v>2467</v>
      </c>
      <c r="E922" s="3" t="s">
        <v>120</v>
      </c>
      <c r="F922" s="3">
        <v>22.98</v>
      </c>
      <c r="G922" s="3" t="s">
        <v>121</v>
      </c>
      <c r="H922" s="3"/>
      <c r="I922" s="3" t="s">
        <v>122</v>
      </c>
      <c r="J922" s="3">
        <v>27</v>
      </c>
      <c r="K922" s="3">
        <v>27</v>
      </c>
      <c r="L922" s="3">
        <v>0</v>
      </c>
      <c r="M922" s="3">
        <v>0</v>
      </c>
      <c r="N922" s="3">
        <v>27</v>
      </c>
      <c r="O922" s="3">
        <v>0.15</v>
      </c>
      <c r="P922" s="3">
        <v>0</v>
      </c>
      <c r="Q922" s="3">
        <v>0</v>
      </c>
      <c r="R922" s="3">
        <v>0</v>
      </c>
    </row>
    <row r="923" spans="1:18">
      <c r="A923" s="3" t="s">
        <v>2468</v>
      </c>
      <c r="B923" s="3" t="s">
        <v>2469</v>
      </c>
      <c r="C923" s="3" t="s">
        <v>2469</v>
      </c>
      <c r="D923" s="3" t="s">
        <v>2470</v>
      </c>
      <c r="E923" s="3" t="s">
        <v>120</v>
      </c>
      <c r="F923" s="3">
        <v>22.98</v>
      </c>
      <c r="G923" s="3" t="s">
        <v>121</v>
      </c>
      <c r="H923" s="3"/>
      <c r="I923" s="3" t="s">
        <v>122</v>
      </c>
      <c r="J923" s="3">
        <v>22</v>
      </c>
      <c r="K923" s="3">
        <v>22</v>
      </c>
      <c r="L923" s="3">
        <v>0</v>
      </c>
      <c r="M923" s="3">
        <v>0</v>
      </c>
      <c r="N923" s="3">
        <v>22</v>
      </c>
      <c r="O923" s="3">
        <v>0.15</v>
      </c>
      <c r="P923" s="3">
        <v>0</v>
      </c>
      <c r="Q923" s="3">
        <v>0</v>
      </c>
      <c r="R923" s="3">
        <v>0</v>
      </c>
    </row>
    <row r="924" spans="1:18">
      <c r="A924" s="3" t="s">
        <v>2471</v>
      </c>
      <c r="B924" s="3" t="s">
        <v>2472</v>
      </c>
      <c r="C924" s="3" t="s">
        <v>2472</v>
      </c>
      <c r="D924" s="3" t="s">
        <v>2473</v>
      </c>
      <c r="E924" s="3" t="s">
        <v>120</v>
      </c>
      <c r="F924" s="3">
        <v>22.98</v>
      </c>
      <c r="G924" s="3" t="s">
        <v>121</v>
      </c>
      <c r="H924" s="3"/>
      <c r="I924" s="3" t="s">
        <v>122</v>
      </c>
      <c r="J924" s="3">
        <v>28</v>
      </c>
      <c r="K924" s="3">
        <v>28</v>
      </c>
      <c r="L924" s="3">
        <v>0</v>
      </c>
      <c r="M924" s="3">
        <v>0</v>
      </c>
      <c r="N924" s="3">
        <v>28</v>
      </c>
      <c r="O924" s="3">
        <v>0.16</v>
      </c>
      <c r="P924" s="3">
        <v>0</v>
      </c>
      <c r="Q924" s="3">
        <v>0</v>
      </c>
      <c r="R924" s="3">
        <v>0</v>
      </c>
    </row>
    <row r="925" spans="1:18">
      <c r="A925" s="3" t="s">
        <v>2474</v>
      </c>
      <c r="B925" s="3" t="s">
        <v>2475</v>
      </c>
      <c r="C925" s="3" t="s">
        <v>2475</v>
      </c>
      <c r="D925" s="3" t="s">
        <v>2476</v>
      </c>
      <c r="E925" s="3" t="s">
        <v>120</v>
      </c>
      <c r="F925" s="3">
        <v>22.98</v>
      </c>
      <c r="G925" s="3" t="s">
        <v>121</v>
      </c>
      <c r="H925" s="3"/>
      <c r="I925" s="3" t="s">
        <v>122</v>
      </c>
      <c r="J925" s="3">
        <v>23</v>
      </c>
      <c r="K925" s="3">
        <v>23</v>
      </c>
      <c r="L925" s="3">
        <v>0</v>
      </c>
      <c r="M925" s="3">
        <v>0</v>
      </c>
      <c r="N925" s="3">
        <v>23</v>
      </c>
      <c r="O925" s="3">
        <v>0.16</v>
      </c>
      <c r="P925" s="3">
        <v>0</v>
      </c>
      <c r="Q925" s="3">
        <v>0</v>
      </c>
      <c r="R925" s="3">
        <v>0</v>
      </c>
    </row>
    <row r="926" spans="1:18">
      <c r="A926" s="3" t="s">
        <v>2477</v>
      </c>
      <c r="B926" s="3" t="s">
        <v>2478</v>
      </c>
      <c r="C926" s="3" t="s">
        <v>2478</v>
      </c>
      <c r="D926" s="3" t="s">
        <v>2479</v>
      </c>
      <c r="E926" s="3" t="s">
        <v>120</v>
      </c>
      <c r="F926" s="3">
        <v>22.98</v>
      </c>
      <c r="G926" s="3" t="s">
        <v>121</v>
      </c>
      <c r="H926" s="3"/>
      <c r="I926" s="3" t="s">
        <v>122</v>
      </c>
      <c r="J926" s="3">
        <v>16</v>
      </c>
      <c r="K926" s="3">
        <v>16</v>
      </c>
      <c r="L926" s="3">
        <v>0</v>
      </c>
      <c r="M926" s="3">
        <v>0</v>
      </c>
      <c r="N926" s="3">
        <v>16</v>
      </c>
      <c r="O926" s="3">
        <v>0.15</v>
      </c>
      <c r="P926" s="3">
        <v>0</v>
      </c>
      <c r="Q926" s="3">
        <v>0</v>
      </c>
      <c r="R926" s="3">
        <v>0</v>
      </c>
    </row>
    <row r="927" spans="1:18">
      <c r="A927" s="3" t="s">
        <v>2480</v>
      </c>
      <c r="B927" s="3" t="s">
        <v>2481</v>
      </c>
      <c r="C927" s="3" t="s">
        <v>2481</v>
      </c>
      <c r="D927" s="3" t="s">
        <v>2482</v>
      </c>
      <c r="E927" s="3" t="s">
        <v>120</v>
      </c>
      <c r="F927" s="3">
        <v>22.98</v>
      </c>
      <c r="G927" s="3" t="s">
        <v>121</v>
      </c>
      <c r="H927" s="3"/>
      <c r="I927" s="3" t="s">
        <v>122</v>
      </c>
      <c r="J927" s="3">
        <v>29</v>
      </c>
      <c r="K927" s="3">
        <v>28</v>
      </c>
      <c r="L927" s="3">
        <v>0</v>
      </c>
      <c r="M927" s="3">
        <v>1</v>
      </c>
      <c r="N927" s="3">
        <v>29</v>
      </c>
      <c r="O927" s="3">
        <v>0.16</v>
      </c>
      <c r="P927" s="3">
        <v>0</v>
      </c>
      <c r="Q927" s="3">
        <v>0</v>
      </c>
      <c r="R927" s="3">
        <v>0</v>
      </c>
    </row>
    <row r="928" spans="1:18">
      <c r="A928" s="3" t="s">
        <v>2483</v>
      </c>
      <c r="B928" s="3" t="s">
        <v>2484</v>
      </c>
      <c r="C928" s="3" t="s">
        <v>2484</v>
      </c>
      <c r="D928" s="3" t="s">
        <v>2485</v>
      </c>
      <c r="E928" s="3" t="s">
        <v>120</v>
      </c>
      <c r="F928" s="3">
        <v>32.99</v>
      </c>
      <c r="G928" s="3" t="s">
        <v>121</v>
      </c>
      <c r="H928" s="3"/>
      <c r="I928" s="3" t="s">
        <v>122</v>
      </c>
      <c r="J928" s="3">
        <v>21</v>
      </c>
      <c r="K928" s="3">
        <v>21</v>
      </c>
      <c r="L928" s="3">
        <v>0</v>
      </c>
      <c r="M928" s="3">
        <v>0</v>
      </c>
      <c r="N928" s="3">
        <v>21</v>
      </c>
      <c r="O928" s="3">
        <v>0.2</v>
      </c>
      <c r="P928" s="3">
        <v>0</v>
      </c>
      <c r="Q928" s="3">
        <v>0</v>
      </c>
      <c r="R928" s="3">
        <v>0</v>
      </c>
    </row>
    <row r="929" spans="1:18">
      <c r="A929" s="3" t="s">
        <v>2486</v>
      </c>
      <c r="B929" s="3" t="s">
        <v>2487</v>
      </c>
      <c r="C929" s="3" t="s">
        <v>2487</v>
      </c>
      <c r="D929" s="3" t="s">
        <v>2488</v>
      </c>
      <c r="E929" s="3" t="s">
        <v>120</v>
      </c>
      <c r="F929" s="3">
        <v>32.99</v>
      </c>
      <c r="G929" s="3" t="s">
        <v>121</v>
      </c>
      <c r="H929" s="3"/>
      <c r="I929" s="3" t="s">
        <v>122</v>
      </c>
      <c r="J929" s="3">
        <v>15</v>
      </c>
      <c r="K929" s="3">
        <v>15</v>
      </c>
      <c r="L929" s="3">
        <v>0</v>
      </c>
      <c r="M929" s="3">
        <v>0</v>
      </c>
      <c r="N929" s="3">
        <v>15</v>
      </c>
      <c r="O929" s="3">
        <v>0.2</v>
      </c>
      <c r="P929" s="3">
        <v>0</v>
      </c>
      <c r="Q929" s="3">
        <v>0</v>
      </c>
      <c r="R929" s="3">
        <v>0</v>
      </c>
    </row>
    <row r="930" spans="1:18">
      <c r="A930" s="3" t="s">
        <v>2489</v>
      </c>
      <c r="B930" s="3" t="s">
        <v>2490</v>
      </c>
      <c r="C930" s="3" t="s">
        <v>2490</v>
      </c>
      <c r="D930" s="3" t="s">
        <v>2491</v>
      </c>
      <c r="E930" s="3" t="s">
        <v>120</v>
      </c>
      <c r="F930" s="3">
        <v>19.98</v>
      </c>
      <c r="G930" s="3" t="s">
        <v>121</v>
      </c>
      <c r="H930" s="3"/>
      <c r="I930" s="3" t="s">
        <v>122</v>
      </c>
      <c r="J930" s="3">
        <v>20</v>
      </c>
      <c r="K930" s="3">
        <v>20</v>
      </c>
      <c r="L930" s="3">
        <v>0</v>
      </c>
      <c r="M930" s="3">
        <v>0</v>
      </c>
      <c r="N930" s="3">
        <v>20</v>
      </c>
      <c r="O930" s="3">
        <v>0.2</v>
      </c>
      <c r="P930" s="3">
        <v>0</v>
      </c>
      <c r="Q930" s="3">
        <v>0</v>
      </c>
      <c r="R930" s="3">
        <v>0</v>
      </c>
    </row>
    <row r="931" spans="1:18">
      <c r="A931" s="3" t="s">
        <v>2492</v>
      </c>
      <c r="B931" s="3" t="s">
        <v>2493</v>
      </c>
      <c r="C931" s="3" t="s">
        <v>2493</v>
      </c>
      <c r="D931" s="3" t="s">
        <v>2494</v>
      </c>
      <c r="E931" s="3" t="s">
        <v>120</v>
      </c>
      <c r="F931" s="3">
        <v>32.99</v>
      </c>
      <c r="G931" s="3" t="s">
        <v>121</v>
      </c>
      <c r="H931" s="3"/>
      <c r="I931" s="3" t="s">
        <v>122</v>
      </c>
      <c r="J931" s="3">
        <v>19</v>
      </c>
      <c r="K931" s="3">
        <v>19</v>
      </c>
      <c r="L931" s="3">
        <v>0</v>
      </c>
      <c r="M931" s="3">
        <v>0</v>
      </c>
      <c r="N931" s="3">
        <v>19</v>
      </c>
      <c r="O931" s="3">
        <v>0.2</v>
      </c>
      <c r="P931" s="3">
        <v>0</v>
      </c>
      <c r="Q931" s="3">
        <v>0</v>
      </c>
      <c r="R931" s="3">
        <v>0</v>
      </c>
    </row>
    <row r="932" spans="1:18">
      <c r="A932" s="3" t="s">
        <v>2495</v>
      </c>
      <c r="B932" s="3" t="s">
        <v>2496</v>
      </c>
      <c r="C932" s="3" t="s">
        <v>2496</v>
      </c>
      <c r="D932" s="3" t="s">
        <v>2497</v>
      </c>
      <c r="E932" s="3" t="s">
        <v>120</v>
      </c>
      <c r="F932" s="3">
        <v>32.99</v>
      </c>
      <c r="G932" s="3" t="s">
        <v>121</v>
      </c>
      <c r="H932" s="3"/>
      <c r="I932" s="3" t="s">
        <v>122</v>
      </c>
      <c r="J932" s="3">
        <v>14</v>
      </c>
      <c r="K932" s="3">
        <v>14</v>
      </c>
      <c r="L932" s="3">
        <v>0</v>
      </c>
      <c r="M932" s="3">
        <v>0</v>
      </c>
      <c r="N932" s="3">
        <v>14</v>
      </c>
      <c r="O932" s="3">
        <v>0.2</v>
      </c>
      <c r="P932" s="3">
        <v>0</v>
      </c>
      <c r="Q932" s="3">
        <v>0</v>
      </c>
      <c r="R932" s="3">
        <v>0</v>
      </c>
    </row>
    <row r="933" spans="1:18">
      <c r="A933" s="3" t="s">
        <v>2498</v>
      </c>
      <c r="B933" s="3" t="s">
        <v>2499</v>
      </c>
      <c r="C933" s="3" t="s">
        <v>2499</v>
      </c>
      <c r="D933" s="3" t="s">
        <v>2500</v>
      </c>
      <c r="E933" s="3" t="s">
        <v>120</v>
      </c>
      <c r="F933" s="3">
        <v>32.99</v>
      </c>
      <c r="G933" s="3" t="s">
        <v>121</v>
      </c>
      <c r="H933" s="3"/>
      <c r="I933" s="3" t="s">
        <v>122</v>
      </c>
      <c r="J933" s="3">
        <v>12</v>
      </c>
      <c r="K933" s="3">
        <v>12</v>
      </c>
      <c r="L933" s="3">
        <v>0</v>
      </c>
      <c r="M933" s="3">
        <v>0</v>
      </c>
      <c r="N933" s="3">
        <v>12</v>
      </c>
      <c r="O933" s="3">
        <v>0.2</v>
      </c>
      <c r="P933" s="3">
        <v>0</v>
      </c>
      <c r="Q933" s="3">
        <v>0</v>
      </c>
      <c r="R933" s="3">
        <v>0</v>
      </c>
    </row>
    <row r="934" spans="1:18">
      <c r="A934" s="3" t="s">
        <v>2501</v>
      </c>
      <c r="B934" s="3" t="s">
        <v>2502</v>
      </c>
      <c r="C934" s="3" t="s">
        <v>2502</v>
      </c>
      <c r="D934" s="3" t="s">
        <v>2503</v>
      </c>
      <c r="E934" s="3" t="s">
        <v>120</v>
      </c>
      <c r="F934" s="3">
        <v>32.99</v>
      </c>
      <c r="G934" s="3" t="s">
        <v>121</v>
      </c>
      <c r="H934" s="3"/>
      <c r="I934" s="3" t="s">
        <v>122</v>
      </c>
      <c r="J934" s="3">
        <v>19</v>
      </c>
      <c r="K934" s="3">
        <v>19</v>
      </c>
      <c r="L934" s="3">
        <v>0</v>
      </c>
      <c r="M934" s="3">
        <v>0</v>
      </c>
      <c r="N934" s="3">
        <v>19</v>
      </c>
      <c r="O934" s="3">
        <v>0.2</v>
      </c>
      <c r="P934" s="3">
        <v>0</v>
      </c>
      <c r="Q934" s="3">
        <v>0</v>
      </c>
      <c r="R934" s="3">
        <v>0</v>
      </c>
    </row>
    <row r="935" spans="1:18">
      <c r="A935" s="3" t="s">
        <v>2504</v>
      </c>
      <c r="B935" s="3" t="s">
        <v>2505</v>
      </c>
      <c r="C935" s="3" t="s">
        <v>2505</v>
      </c>
      <c r="D935" s="3" t="s">
        <v>2506</v>
      </c>
      <c r="E935" s="3" t="s">
        <v>120</v>
      </c>
      <c r="F935" s="3">
        <v>32.99</v>
      </c>
      <c r="G935" s="3" t="s">
        <v>121</v>
      </c>
      <c r="H935" s="3"/>
      <c r="I935" s="3" t="s">
        <v>122</v>
      </c>
      <c r="J935" s="3">
        <v>17</v>
      </c>
      <c r="K935" s="3">
        <v>17</v>
      </c>
      <c r="L935" s="3">
        <v>0</v>
      </c>
      <c r="M935" s="3">
        <v>0</v>
      </c>
      <c r="N935" s="3">
        <v>17</v>
      </c>
      <c r="O935" s="3">
        <v>0.2</v>
      </c>
      <c r="P935" s="3">
        <v>0</v>
      </c>
      <c r="Q935" s="3">
        <v>0</v>
      </c>
      <c r="R935" s="3">
        <v>0</v>
      </c>
    </row>
    <row r="936" spans="1:18">
      <c r="A936" s="3" t="s">
        <v>2507</v>
      </c>
      <c r="B936" s="3" t="s">
        <v>2508</v>
      </c>
      <c r="C936" s="3" t="s">
        <v>2508</v>
      </c>
      <c r="D936" s="3" t="s">
        <v>2509</v>
      </c>
      <c r="E936" s="3" t="s">
        <v>120</v>
      </c>
      <c r="F936" s="3">
        <v>32.99</v>
      </c>
      <c r="G936" s="3" t="s">
        <v>121</v>
      </c>
      <c r="H936" s="3"/>
      <c r="I936" s="3" t="s">
        <v>122</v>
      </c>
      <c r="J936" s="3">
        <v>25</v>
      </c>
      <c r="K936" s="3">
        <v>25</v>
      </c>
      <c r="L936" s="3">
        <v>0</v>
      </c>
      <c r="M936" s="3">
        <v>0</v>
      </c>
      <c r="N936" s="3">
        <v>25</v>
      </c>
      <c r="O936" s="3">
        <v>0.2</v>
      </c>
      <c r="P936" s="3">
        <v>0</v>
      </c>
      <c r="Q936" s="3">
        <v>0</v>
      </c>
      <c r="R936" s="3">
        <v>0</v>
      </c>
    </row>
    <row r="937" spans="1:18">
      <c r="A937" s="3" t="s">
        <v>2510</v>
      </c>
      <c r="B937" s="3" t="s">
        <v>2511</v>
      </c>
      <c r="C937" s="3" t="s">
        <v>2511</v>
      </c>
      <c r="D937" s="3" t="s">
        <v>2512</v>
      </c>
      <c r="E937" s="3" t="s">
        <v>120</v>
      </c>
      <c r="F937" s="3">
        <v>32.99</v>
      </c>
      <c r="G937" s="3" t="s">
        <v>121</v>
      </c>
      <c r="H937" s="3"/>
      <c r="I937" s="3" t="s">
        <v>122</v>
      </c>
      <c r="J937" s="3">
        <v>16</v>
      </c>
      <c r="K937" s="3">
        <v>16</v>
      </c>
      <c r="L937" s="3">
        <v>0</v>
      </c>
      <c r="M937" s="3">
        <v>0</v>
      </c>
      <c r="N937" s="3">
        <v>16</v>
      </c>
      <c r="O937" s="3">
        <v>0.2</v>
      </c>
      <c r="P937" s="3">
        <v>0</v>
      </c>
      <c r="Q937" s="3">
        <v>0</v>
      </c>
      <c r="R937" s="3">
        <v>0</v>
      </c>
    </row>
    <row r="938" spans="1:18">
      <c r="A938" s="3" t="s">
        <v>2513</v>
      </c>
      <c r="B938" s="3" t="s">
        <v>2514</v>
      </c>
      <c r="C938" s="3" t="s">
        <v>2514</v>
      </c>
      <c r="D938" s="3" t="s">
        <v>2515</v>
      </c>
      <c r="E938" s="3" t="s">
        <v>120</v>
      </c>
      <c r="F938" s="3">
        <v>32.99</v>
      </c>
      <c r="G938" s="3" t="s">
        <v>121</v>
      </c>
      <c r="H938" s="3"/>
      <c r="I938" s="3" t="s">
        <v>122</v>
      </c>
      <c r="J938" s="3">
        <v>6</v>
      </c>
      <c r="K938" s="3">
        <v>6</v>
      </c>
      <c r="L938" s="3">
        <v>0</v>
      </c>
      <c r="M938" s="3">
        <v>0</v>
      </c>
      <c r="N938" s="3">
        <v>6</v>
      </c>
      <c r="O938" s="3">
        <v>0.2</v>
      </c>
      <c r="P938" s="3">
        <v>0</v>
      </c>
      <c r="Q938" s="3">
        <v>0</v>
      </c>
      <c r="R938" s="3">
        <v>0</v>
      </c>
    </row>
    <row r="939" spans="1:18">
      <c r="A939" s="3" t="s">
        <v>2516</v>
      </c>
      <c r="B939" s="3" t="s">
        <v>2517</v>
      </c>
      <c r="C939" s="3" t="s">
        <v>2517</v>
      </c>
      <c r="D939" s="3" t="s">
        <v>2518</v>
      </c>
      <c r="E939" s="3" t="s">
        <v>120</v>
      </c>
      <c r="F939" s="3">
        <v>32.99</v>
      </c>
      <c r="G939" s="3" t="s">
        <v>121</v>
      </c>
      <c r="H939" s="3"/>
      <c r="I939" s="3" t="s">
        <v>122</v>
      </c>
      <c r="J939" s="3">
        <v>13</v>
      </c>
      <c r="K939" s="3">
        <v>13</v>
      </c>
      <c r="L939" s="3">
        <v>0</v>
      </c>
      <c r="M939" s="3">
        <v>0</v>
      </c>
      <c r="N939" s="3">
        <v>13</v>
      </c>
      <c r="O939" s="3">
        <v>0.2</v>
      </c>
      <c r="P939" s="3">
        <v>0</v>
      </c>
      <c r="Q939" s="3">
        <v>0</v>
      </c>
      <c r="R939" s="3">
        <v>0</v>
      </c>
    </row>
    <row r="940" spans="1:18">
      <c r="A940" s="3" t="s">
        <v>2519</v>
      </c>
      <c r="B940" s="3" t="s">
        <v>2520</v>
      </c>
      <c r="C940" s="3" t="s">
        <v>2520</v>
      </c>
      <c r="D940" s="3" t="s">
        <v>2521</v>
      </c>
      <c r="E940" s="3" t="s">
        <v>120</v>
      </c>
      <c r="F940" s="3">
        <v>32.99</v>
      </c>
      <c r="G940" s="3" t="s">
        <v>121</v>
      </c>
      <c r="H940" s="3"/>
      <c r="I940" s="3" t="s">
        <v>122</v>
      </c>
      <c r="J940" s="3">
        <v>21</v>
      </c>
      <c r="K940" s="3">
        <v>21</v>
      </c>
      <c r="L940" s="3">
        <v>0</v>
      </c>
      <c r="M940" s="3">
        <v>0</v>
      </c>
      <c r="N940" s="3">
        <v>21</v>
      </c>
      <c r="O940" s="3">
        <v>0.2</v>
      </c>
      <c r="P940" s="3">
        <v>0</v>
      </c>
      <c r="Q940" s="3">
        <v>0</v>
      </c>
      <c r="R940" s="3">
        <v>0</v>
      </c>
    </row>
    <row r="941" spans="1:18">
      <c r="A941" s="3" t="s">
        <v>2522</v>
      </c>
      <c r="B941" s="3" t="s">
        <v>2523</v>
      </c>
      <c r="C941" s="3" t="s">
        <v>2523</v>
      </c>
      <c r="D941" s="3" t="s">
        <v>2524</v>
      </c>
      <c r="E941" s="3" t="s">
        <v>120</v>
      </c>
      <c r="F941" s="3">
        <v>32.99</v>
      </c>
      <c r="G941" s="3" t="s">
        <v>121</v>
      </c>
      <c r="H941" s="3"/>
      <c r="I941" s="3" t="s">
        <v>122</v>
      </c>
      <c r="J941" s="3">
        <v>6</v>
      </c>
      <c r="K941" s="3">
        <v>6</v>
      </c>
      <c r="L941" s="3">
        <v>0</v>
      </c>
      <c r="M941" s="3">
        <v>0</v>
      </c>
      <c r="N941" s="3">
        <v>6</v>
      </c>
      <c r="O941" s="3">
        <v>0.2</v>
      </c>
      <c r="P941" s="3">
        <v>0</v>
      </c>
      <c r="Q941" s="3">
        <v>0</v>
      </c>
      <c r="R941" s="3">
        <v>0</v>
      </c>
    </row>
    <row r="942" spans="1:18">
      <c r="A942" s="3" t="s">
        <v>2525</v>
      </c>
      <c r="B942" s="3" t="s">
        <v>2526</v>
      </c>
      <c r="C942" s="3" t="s">
        <v>2526</v>
      </c>
      <c r="D942" s="3" t="s">
        <v>2527</v>
      </c>
      <c r="E942" s="3" t="s">
        <v>120</v>
      </c>
      <c r="F942" s="3">
        <v>32.99</v>
      </c>
      <c r="G942" s="3" t="s">
        <v>121</v>
      </c>
      <c r="H942" s="3"/>
      <c r="I942" s="3" t="s">
        <v>122</v>
      </c>
      <c r="J942" s="3">
        <v>16</v>
      </c>
      <c r="K942" s="3">
        <v>16</v>
      </c>
      <c r="L942" s="3">
        <v>0</v>
      </c>
      <c r="M942" s="3">
        <v>0</v>
      </c>
      <c r="N942" s="3">
        <v>16</v>
      </c>
      <c r="O942" s="3">
        <v>0.2</v>
      </c>
      <c r="P942" s="3">
        <v>0</v>
      </c>
      <c r="Q942" s="3">
        <v>0</v>
      </c>
      <c r="R942" s="3">
        <v>0</v>
      </c>
    </row>
    <row r="943" spans="1:18">
      <c r="A943" s="3" t="s">
        <v>2528</v>
      </c>
      <c r="B943" s="3" t="s">
        <v>2529</v>
      </c>
      <c r="C943" s="3" t="s">
        <v>2529</v>
      </c>
      <c r="D943" s="3" t="s">
        <v>2530</v>
      </c>
      <c r="E943" s="3" t="s">
        <v>120</v>
      </c>
      <c r="F943" s="3">
        <v>32.99</v>
      </c>
      <c r="G943" s="3" t="s">
        <v>121</v>
      </c>
      <c r="H943" s="3"/>
      <c r="I943" s="3" t="s">
        <v>122</v>
      </c>
      <c r="J943" s="3">
        <v>3</v>
      </c>
      <c r="K943" s="3">
        <v>3</v>
      </c>
      <c r="L943" s="3">
        <v>0</v>
      </c>
      <c r="M943" s="3">
        <v>0</v>
      </c>
      <c r="N943" s="3">
        <v>3</v>
      </c>
      <c r="O943" s="3">
        <v>0.25</v>
      </c>
      <c r="P943" s="3">
        <v>0</v>
      </c>
      <c r="Q943" s="3">
        <v>0</v>
      </c>
      <c r="R943" s="3">
        <v>0</v>
      </c>
    </row>
    <row r="944" spans="1:18">
      <c r="A944" s="3" t="s">
        <v>2531</v>
      </c>
      <c r="B944" s="3" t="s">
        <v>2532</v>
      </c>
      <c r="C944" s="3" t="s">
        <v>2532</v>
      </c>
      <c r="D944" s="3" t="s">
        <v>2533</v>
      </c>
      <c r="E944" s="3" t="s">
        <v>120</v>
      </c>
      <c r="F944" s="3">
        <v>32.99</v>
      </c>
      <c r="G944" s="3" t="s">
        <v>121</v>
      </c>
      <c r="H944" s="3"/>
      <c r="I944" s="3" t="s">
        <v>122</v>
      </c>
      <c r="J944" s="3">
        <v>20</v>
      </c>
      <c r="K944" s="3">
        <v>20</v>
      </c>
      <c r="L944" s="3">
        <v>0</v>
      </c>
      <c r="M944" s="3">
        <v>0</v>
      </c>
      <c r="N944" s="3">
        <v>20</v>
      </c>
      <c r="O944" s="3">
        <v>0.2</v>
      </c>
      <c r="P944" s="3">
        <v>0</v>
      </c>
      <c r="Q944" s="3">
        <v>0</v>
      </c>
      <c r="R944" s="3">
        <v>0</v>
      </c>
    </row>
    <row r="945" spans="1:18">
      <c r="A945" s="3" t="s">
        <v>2534</v>
      </c>
      <c r="B945" s="3" t="s">
        <v>2535</v>
      </c>
      <c r="C945" s="3" t="s">
        <v>2535</v>
      </c>
      <c r="D945" s="3" t="s">
        <v>2536</v>
      </c>
      <c r="E945" s="3" t="s">
        <v>120</v>
      </c>
      <c r="F945" s="3">
        <v>32.99</v>
      </c>
      <c r="G945" s="3" t="s">
        <v>121</v>
      </c>
      <c r="H945" s="3"/>
      <c r="I945" s="3" t="s">
        <v>122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0.2</v>
      </c>
      <c r="P945" s="3">
        <v>0</v>
      </c>
      <c r="Q945" s="3">
        <v>0</v>
      </c>
      <c r="R945" s="3">
        <v>0</v>
      </c>
    </row>
    <row r="946" spans="1:18">
      <c r="A946" s="3" t="s">
        <v>2537</v>
      </c>
      <c r="B946" s="3" t="s">
        <v>2538</v>
      </c>
      <c r="C946" s="3" t="s">
        <v>2538</v>
      </c>
      <c r="D946" s="3" t="s">
        <v>2539</v>
      </c>
      <c r="E946" s="3" t="s">
        <v>120</v>
      </c>
      <c r="F946" s="3">
        <v>32.99</v>
      </c>
      <c r="G946" s="3" t="s">
        <v>121</v>
      </c>
      <c r="H946" s="3"/>
      <c r="I946" s="3" t="s">
        <v>122</v>
      </c>
      <c r="J946" s="3">
        <v>3</v>
      </c>
      <c r="K946" s="3">
        <v>2</v>
      </c>
      <c r="L946" s="3">
        <v>0</v>
      </c>
      <c r="M946" s="3">
        <v>1</v>
      </c>
      <c r="N946" s="3">
        <v>3</v>
      </c>
      <c r="O946" s="3">
        <v>0.2</v>
      </c>
      <c r="P946" s="3">
        <v>0</v>
      </c>
      <c r="Q946" s="3">
        <v>0</v>
      </c>
      <c r="R946" s="3">
        <v>0</v>
      </c>
    </row>
    <row r="947" spans="1:18">
      <c r="A947" s="3" t="s">
        <v>2540</v>
      </c>
      <c r="B947" s="3" t="s">
        <v>2541</v>
      </c>
      <c r="C947" s="3" t="s">
        <v>2541</v>
      </c>
      <c r="D947" s="3" t="s">
        <v>2542</v>
      </c>
      <c r="E947" s="3" t="s">
        <v>120</v>
      </c>
      <c r="F947" s="3">
        <v>32.99</v>
      </c>
      <c r="G947" s="3" t="s">
        <v>121</v>
      </c>
      <c r="H947" s="3"/>
      <c r="I947" s="3" t="s">
        <v>122</v>
      </c>
      <c r="J947" s="3">
        <v>23</v>
      </c>
      <c r="K947" s="3">
        <v>23</v>
      </c>
      <c r="L947" s="3">
        <v>0</v>
      </c>
      <c r="M947" s="3">
        <v>0</v>
      </c>
      <c r="N947" s="3">
        <v>23</v>
      </c>
      <c r="O947" s="3">
        <v>0.2</v>
      </c>
      <c r="P947" s="3">
        <v>0</v>
      </c>
      <c r="Q947" s="3">
        <v>0</v>
      </c>
      <c r="R947" s="3">
        <v>0</v>
      </c>
    </row>
    <row r="948" spans="1:18">
      <c r="A948" s="3" t="s">
        <v>2543</v>
      </c>
      <c r="B948" s="3" t="s">
        <v>2544</v>
      </c>
      <c r="C948" s="3" t="s">
        <v>2544</v>
      </c>
      <c r="D948" s="3" t="s">
        <v>2545</v>
      </c>
      <c r="E948" s="3" t="s">
        <v>120</v>
      </c>
      <c r="F948" s="3">
        <v>32.99</v>
      </c>
      <c r="G948" s="3" t="s">
        <v>121</v>
      </c>
      <c r="H948" s="3"/>
      <c r="I948" s="3" t="s">
        <v>122</v>
      </c>
      <c r="J948" s="3">
        <v>7</v>
      </c>
      <c r="K948" s="3">
        <v>7</v>
      </c>
      <c r="L948" s="3">
        <v>0</v>
      </c>
      <c r="M948" s="3">
        <v>0</v>
      </c>
      <c r="N948" s="3">
        <v>7</v>
      </c>
      <c r="O948" s="3">
        <v>0.2</v>
      </c>
      <c r="P948" s="3">
        <v>0</v>
      </c>
      <c r="Q948" s="3">
        <v>0</v>
      </c>
      <c r="R948" s="3">
        <v>0</v>
      </c>
    </row>
    <row r="949" spans="1:18">
      <c r="A949" s="3" t="s">
        <v>2546</v>
      </c>
      <c r="B949" s="3" t="s">
        <v>2547</v>
      </c>
      <c r="C949" s="3" t="s">
        <v>2547</v>
      </c>
      <c r="D949" s="3" t="s">
        <v>2548</v>
      </c>
      <c r="E949" s="3" t="s">
        <v>120</v>
      </c>
      <c r="F949" s="3">
        <v>32.99</v>
      </c>
      <c r="G949" s="3" t="s">
        <v>121</v>
      </c>
      <c r="H949" s="3"/>
      <c r="I949" s="3" t="s">
        <v>122</v>
      </c>
      <c r="J949" s="3">
        <v>8</v>
      </c>
      <c r="K949" s="3">
        <v>8</v>
      </c>
      <c r="L949" s="3">
        <v>0</v>
      </c>
      <c r="M949" s="3">
        <v>0</v>
      </c>
      <c r="N949" s="3">
        <v>8</v>
      </c>
      <c r="O949" s="3">
        <v>0.2</v>
      </c>
      <c r="P949" s="3">
        <v>0</v>
      </c>
      <c r="Q949" s="3">
        <v>0</v>
      </c>
      <c r="R949" s="3">
        <v>0</v>
      </c>
    </row>
    <row r="950" spans="1:18">
      <c r="A950" s="3" t="s">
        <v>2549</v>
      </c>
      <c r="B950" s="3" t="s">
        <v>2550</v>
      </c>
      <c r="C950" s="3" t="s">
        <v>2550</v>
      </c>
      <c r="D950" s="3" t="s">
        <v>2551</v>
      </c>
      <c r="E950" s="3" t="s">
        <v>120</v>
      </c>
      <c r="F950" s="3">
        <v>32.99</v>
      </c>
      <c r="G950" s="3" t="s">
        <v>121</v>
      </c>
      <c r="H950" s="3"/>
      <c r="I950" s="3" t="s">
        <v>122</v>
      </c>
      <c r="J950" s="3">
        <v>0</v>
      </c>
      <c r="K950" s="3">
        <v>0</v>
      </c>
      <c r="L950" s="3">
        <v>0</v>
      </c>
      <c r="M950" s="3">
        <v>0</v>
      </c>
      <c r="N950" s="3">
        <v>0</v>
      </c>
      <c r="O950" s="3">
        <v>0.2</v>
      </c>
      <c r="P950" s="3">
        <v>0</v>
      </c>
      <c r="Q950" s="3">
        <v>0</v>
      </c>
      <c r="R950" s="3">
        <v>0</v>
      </c>
    </row>
    <row r="951" spans="1:18">
      <c r="A951" s="3" t="s">
        <v>2552</v>
      </c>
      <c r="B951" s="3" t="s">
        <v>2553</v>
      </c>
      <c r="C951" s="3" t="s">
        <v>2553</v>
      </c>
      <c r="D951" s="3" t="s">
        <v>2554</v>
      </c>
      <c r="E951" s="3" t="s">
        <v>120</v>
      </c>
      <c r="F951" s="3">
        <v>32.99</v>
      </c>
      <c r="G951" s="3" t="s">
        <v>121</v>
      </c>
      <c r="H951" s="3"/>
      <c r="I951" s="3" t="s">
        <v>122</v>
      </c>
      <c r="J951" s="3">
        <v>24</v>
      </c>
      <c r="K951" s="3">
        <v>24</v>
      </c>
      <c r="L951" s="3">
        <v>0</v>
      </c>
      <c r="M951" s="3">
        <v>0</v>
      </c>
      <c r="N951" s="3">
        <v>24</v>
      </c>
      <c r="O951" s="3">
        <v>0.2</v>
      </c>
      <c r="P951" s="3">
        <v>0</v>
      </c>
      <c r="Q951" s="3">
        <v>0</v>
      </c>
      <c r="R951" s="3">
        <v>0</v>
      </c>
    </row>
    <row r="952" spans="1:18">
      <c r="A952" s="3" t="s">
        <v>2555</v>
      </c>
      <c r="B952" s="3" t="s">
        <v>2556</v>
      </c>
      <c r="C952" s="3" t="s">
        <v>2556</v>
      </c>
      <c r="D952" s="3" t="s">
        <v>2557</v>
      </c>
      <c r="E952" s="3" t="s">
        <v>120</v>
      </c>
      <c r="F952" s="3">
        <v>32.99</v>
      </c>
      <c r="G952" s="3" t="s">
        <v>121</v>
      </c>
      <c r="H952" s="3"/>
      <c r="I952" s="3" t="s">
        <v>122</v>
      </c>
      <c r="J952" s="3">
        <v>21</v>
      </c>
      <c r="K952" s="3">
        <v>21</v>
      </c>
      <c r="L952" s="3">
        <v>0</v>
      </c>
      <c r="M952" s="3">
        <v>0</v>
      </c>
      <c r="N952" s="3">
        <v>21</v>
      </c>
      <c r="O952" s="3">
        <v>0.15</v>
      </c>
      <c r="P952" s="3">
        <v>0</v>
      </c>
      <c r="Q952" s="3">
        <v>0</v>
      </c>
      <c r="R952" s="3">
        <v>0</v>
      </c>
    </row>
    <row r="953" spans="1:18">
      <c r="A953" s="3" t="s">
        <v>2558</v>
      </c>
      <c r="B953" s="3" t="s">
        <v>2559</v>
      </c>
      <c r="C953" s="3" t="s">
        <v>2559</v>
      </c>
      <c r="D953" s="3" t="s">
        <v>2560</v>
      </c>
      <c r="E953" s="3" t="s">
        <v>120</v>
      </c>
      <c r="F953" s="3">
        <v>32.99</v>
      </c>
      <c r="G953" s="3" t="s">
        <v>121</v>
      </c>
      <c r="H953" s="3"/>
      <c r="I953" s="3" t="s">
        <v>122</v>
      </c>
      <c r="J953" s="3">
        <v>28</v>
      </c>
      <c r="K953" s="3">
        <v>28</v>
      </c>
      <c r="L953" s="3">
        <v>0</v>
      </c>
      <c r="M953" s="3">
        <v>0</v>
      </c>
      <c r="N953" s="3">
        <v>28</v>
      </c>
      <c r="O953" s="3">
        <v>0.16</v>
      </c>
      <c r="P953" s="3">
        <v>0</v>
      </c>
      <c r="Q953" s="3">
        <v>0</v>
      </c>
      <c r="R953" s="3">
        <v>0</v>
      </c>
    </row>
    <row r="954" spans="1:18">
      <c r="A954" s="3" t="s">
        <v>2561</v>
      </c>
      <c r="B954" s="3" t="s">
        <v>2562</v>
      </c>
      <c r="C954" s="3" t="s">
        <v>2562</v>
      </c>
      <c r="D954" s="3" t="s">
        <v>2563</v>
      </c>
      <c r="E954" s="3" t="s">
        <v>120</v>
      </c>
      <c r="F954" s="3">
        <v>32.99</v>
      </c>
      <c r="G954" s="3" t="s">
        <v>121</v>
      </c>
      <c r="H954" s="3"/>
      <c r="I954" s="3" t="s">
        <v>122</v>
      </c>
      <c r="J954" s="3">
        <v>16</v>
      </c>
      <c r="K954" s="3">
        <v>16</v>
      </c>
      <c r="L954" s="3">
        <v>0</v>
      </c>
      <c r="M954" s="3">
        <v>0</v>
      </c>
      <c r="N954" s="3">
        <v>16</v>
      </c>
      <c r="O954" s="3">
        <v>0.2</v>
      </c>
      <c r="P954" s="3">
        <v>0</v>
      </c>
      <c r="Q954" s="3">
        <v>0</v>
      </c>
      <c r="R954" s="3">
        <v>0</v>
      </c>
    </row>
    <row r="955" spans="1:18">
      <c r="A955" s="3" t="s">
        <v>2564</v>
      </c>
      <c r="B955" s="3" t="s">
        <v>2565</v>
      </c>
      <c r="C955" s="3" t="s">
        <v>2565</v>
      </c>
      <c r="D955" s="3" t="s">
        <v>2566</v>
      </c>
      <c r="E955" s="3" t="s">
        <v>120</v>
      </c>
      <c r="F955" s="3">
        <v>32.99</v>
      </c>
      <c r="G955" s="3" t="s">
        <v>121</v>
      </c>
      <c r="H955" s="3"/>
      <c r="I955" s="3" t="s">
        <v>122</v>
      </c>
      <c r="J955" s="3">
        <v>10</v>
      </c>
      <c r="K955" s="3">
        <v>10</v>
      </c>
      <c r="L955" s="3">
        <v>0</v>
      </c>
      <c r="M955" s="3">
        <v>0</v>
      </c>
      <c r="N955" s="3">
        <v>10</v>
      </c>
      <c r="O955" s="3">
        <v>0.2</v>
      </c>
      <c r="P955" s="3">
        <v>0</v>
      </c>
      <c r="Q955" s="3">
        <v>0</v>
      </c>
      <c r="R955" s="3">
        <v>0</v>
      </c>
    </row>
    <row r="956" spans="1:18">
      <c r="A956" s="3" t="s">
        <v>2567</v>
      </c>
      <c r="B956" s="3" t="s">
        <v>2568</v>
      </c>
      <c r="C956" s="3" t="s">
        <v>2568</v>
      </c>
      <c r="D956" s="3" t="s">
        <v>2569</v>
      </c>
      <c r="E956" s="3" t="s">
        <v>120</v>
      </c>
      <c r="F956" s="3">
        <v>32.99</v>
      </c>
      <c r="G956" s="3" t="s">
        <v>121</v>
      </c>
      <c r="H956" s="3"/>
      <c r="I956" s="3" t="s">
        <v>122</v>
      </c>
      <c r="J956" s="3">
        <v>11</v>
      </c>
      <c r="K956" s="3">
        <v>11</v>
      </c>
      <c r="L956" s="3">
        <v>0</v>
      </c>
      <c r="M956" s="3">
        <v>0</v>
      </c>
      <c r="N956" s="3">
        <v>11</v>
      </c>
      <c r="O956" s="3">
        <v>0.2</v>
      </c>
      <c r="P956" s="3">
        <v>0</v>
      </c>
      <c r="Q956" s="3">
        <v>0</v>
      </c>
      <c r="R956" s="3">
        <v>0</v>
      </c>
    </row>
    <row r="957" spans="1:18">
      <c r="A957" s="3" t="s">
        <v>2570</v>
      </c>
      <c r="B957" s="3" t="s">
        <v>2571</v>
      </c>
      <c r="C957" s="3" t="s">
        <v>2571</v>
      </c>
      <c r="D957" s="3" t="s">
        <v>1725</v>
      </c>
      <c r="E957" s="3" t="s">
        <v>120</v>
      </c>
      <c r="F957" s="3">
        <v>24.98</v>
      </c>
      <c r="G957" s="3" t="s">
        <v>121</v>
      </c>
      <c r="H957" s="3"/>
      <c r="I957" s="3" t="s">
        <v>122</v>
      </c>
      <c r="J957" s="3">
        <v>0</v>
      </c>
      <c r="K957" s="3">
        <v>0</v>
      </c>
      <c r="L957" s="3">
        <v>0</v>
      </c>
      <c r="M957" s="3">
        <v>0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</row>
    <row r="958" spans="1:18">
      <c r="A958" s="3" t="s">
        <v>2572</v>
      </c>
      <c r="B958" s="3" t="s">
        <v>2573</v>
      </c>
      <c r="C958" s="3" t="s">
        <v>2573</v>
      </c>
      <c r="D958" s="3" t="s">
        <v>1725</v>
      </c>
      <c r="E958" s="3" t="s">
        <v>120</v>
      </c>
      <c r="F958" s="3">
        <v>24.98</v>
      </c>
      <c r="G958" s="3" t="s">
        <v>121</v>
      </c>
      <c r="H958" s="3"/>
      <c r="I958" s="3" t="s">
        <v>122</v>
      </c>
      <c r="J958" s="3">
        <v>0</v>
      </c>
      <c r="K958" s="3">
        <v>0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</row>
    <row r="959" spans="1:18">
      <c r="A959" s="3" t="s">
        <v>2574</v>
      </c>
      <c r="B959" s="3" t="s">
        <v>2575</v>
      </c>
      <c r="C959" s="3" t="s">
        <v>2575</v>
      </c>
      <c r="D959" s="3" t="s">
        <v>1725</v>
      </c>
      <c r="E959" s="3" t="s">
        <v>120</v>
      </c>
      <c r="F959" s="3">
        <v>22.98</v>
      </c>
      <c r="G959" s="3" t="s">
        <v>121</v>
      </c>
      <c r="H959" s="3"/>
      <c r="I959" s="3" t="s">
        <v>122</v>
      </c>
      <c r="J959" s="3">
        <v>0</v>
      </c>
      <c r="K959" s="3">
        <v>0</v>
      </c>
      <c r="L959" s="3">
        <v>0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</row>
    <row r="960" spans="1:18">
      <c r="A960" s="3" t="s">
        <v>2576</v>
      </c>
      <c r="B960" s="3" t="s">
        <v>2577</v>
      </c>
      <c r="C960" s="3" t="s">
        <v>2577</v>
      </c>
      <c r="D960" s="3"/>
      <c r="E960" s="3" t="s">
        <v>20</v>
      </c>
      <c r="F960" s="3"/>
      <c r="G960" s="3"/>
      <c r="H960" s="3"/>
      <c r="I960" s="3"/>
      <c r="J960" s="3">
        <v>0</v>
      </c>
      <c r="K960" s="3">
        <v>0</v>
      </c>
      <c r="L960" s="3">
        <v>0</v>
      </c>
      <c r="M960" s="3">
        <v>0</v>
      </c>
      <c r="N960" s="3">
        <v>0</v>
      </c>
      <c r="O960" s="3"/>
      <c r="P960" s="3">
        <v>0</v>
      </c>
      <c r="Q960" s="3">
        <v>0</v>
      </c>
      <c r="R960" s="3">
        <v>0</v>
      </c>
    </row>
    <row r="961" spans="1:18">
      <c r="A961" s="3" t="s">
        <v>2578</v>
      </c>
      <c r="B961" s="3" t="s">
        <v>2579</v>
      </c>
      <c r="C961" s="3" t="s">
        <v>2579</v>
      </c>
      <c r="D961" s="3" t="s">
        <v>1037</v>
      </c>
      <c r="E961" s="3" t="s">
        <v>120</v>
      </c>
      <c r="F961" s="3">
        <v>35.98</v>
      </c>
      <c r="G961" s="3" t="s">
        <v>121</v>
      </c>
      <c r="H961" s="3"/>
      <c r="I961" s="3" t="s">
        <v>122</v>
      </c>
      <c r="J961" s="3">
        <v>15</v>
      </c>
      <c r="K961" s="3">
        <v>14</v>
      </c>
      <c r="L961" s="3">
        <v>0</v>
      </c>
      <c r="M961" s="3">
        <v>1</v>
      </c>
      <c r="N961" s="3">
        <v>15</v>
      </c>
      <c r="O961" s="3">
        <v>0.15</v>
      </c>
      <c r="P961" s="3">
        <v>0</v>
      </c>
      <c r="Q961" s="3">
        <v>0</v>
      </c>
      <c r="R961" s="3">
        <v>0</v>
      </c>
    </row>
    <row r="962" spans="1:18">
      <c r="A962" s="3" t="s">
        <v>2580</v>
      </c>
      <c r="B962" s="3" t="s">
        <v>1040</v>
      </c>
      <c r="C962" s="3" t="s">
        <v>1040</v>
      </c>
      <c r="D962" s="3" t="s">
        <v>1041</v>
      </c>
      <c r="E962" s="3" t="s">
        <v>120</v>
      </c>
      <c r="F962" s="3">
        <v>35.98</v>
      </c>
      <c r="G962" s="3" t="s">
        <v>121</v>
      </c>
      <c r="H962" s="3"/>
      <c r="I962" s="3" t="s">
        <v>122</v>
      </c>
      <c r="J962" s="3">
        <v>32</v>
      </c>
      <c r="K962" s="3">
        <v>32</v>
      </c>
      <c r="L962" s="3">
        <v>0</v>
      </c>
      <c r="M962" s="3">
        <v>0</v>
      </c>
      <c r="N962" s="3">
        <v>32</v>
      </c>
      <c r="O962" s="3">
        <v>0.15</v>
      </c>
      <c r="P962" s="3">
        <v>0</v>
      </c>
      <c r="Q962" s="3">
        <v>0</v>
      </c>
      <c r="R962" s="3">
        <v>0</v>
      </c>
    </row>
    <row r="963" spans="1:18">
      <c r="A963" s="3" t="s">
        <v>2581</v>
      </c>
      <c r="B963" s="3" t="s">
        <v>1044</v>
      </c>
      <c r="C963" s="3" t="s">
        <v>1044</v>
      </c>
      <c r="D963" s="3" t="s">
        <v>1045</v>
      </c>
      <c r="E963" s="3" t="s">
        <v>120</v>
      </c>
      <c r="F963" s="3">
        <v>35.98</v>
      </c>
      <c r="G963" s="3" t="s">
        <v>121</v>
      </c>
      <c r="H963" s="3"/>
      <c r="I963" s="3" t="s">
        <v>122</v>
      </c>
      <c r="J963" s="3">
        <v>24</v>
      </c>
      <c r="K963" s="3">
        <v>24</v>
      </c>
      <c r="L963" s="3">
        <v>0</v>
      </c>
      <c r="M963" s="3">
        <v>0</v>
      </c>
      <c r="N963" s="3">
        <v>24</v>
      </c>
      <c r="O963" s="3">
        <v>0.15</v>
      </c>
      <c r="P963" s="3">
        <v>0</v>
      </c>
      <c r="Q963" s="3">
        <v>0</v>
      </c>
      <c r="R963" s="3">
        <v>0</v>
      </c>
    </row>
    <row r="964" spans="1:18">
      <c r="A964" s="3" t="s">
        <v>2582</v>
      </c>
      <c r="B964" s="3" t="s">
        <v>1048</v>
      </c>
      <c r="C964" s="3" t="s">
        <v>1048</v>
      </c>
      <c r="D964" s="3" t="s">
        <v>1049</v>
      </c>
      <c r="E964" s="3" t="s">
        <v>120</v>
      </c>
      <c r="F964" s="3">
        <v>35.98</v>
      </c>
      <c r="G964" s="3" t="s">
        <v>121</v>
      </c>
      <c r="H964" s="3"/>
      <c r="I964" s="3" t="s">
        <v>122</v>
      </c>
      <c r="J964" s="3">
        <v>19</v>
      </c>
      <c r="K964" s="3">
        <v>19</v>
      </c>
      <c r="L964" s="3">
        <v>0</v>
      </c>
      <c r="M964" s="3">
        <v>0</v>
      </c>
      <c r="N964" s="3">
        <v>19</v>
      </c>
      <c r="O964" s="3">
        <v>0.15</v>
      </c>
      <c r="P964" s="3">
        <v>0</v>
      </c>
      <c r="Q964" s="3">
        <v>0</v>
      </c>
      <c r="R964" s="3">
        <v>0</v>
      </c>
    </row>
    <row r="965" spans="1:18">
      <c r="A965" s="3" t="s">
        <v>2583</v>
      </c>
      <c r="B965" s="3" t="s">
        <v>1052</v>
      </c>
      <c r="C965" s="3" t="s">
        <v>1052</v>
      </c>
      <c r="D965" s="3" t="s">
        <v>1053</v>
      </c>
      <c r="E965" s="3" t="s">
        <v>120</v>
      </c>
      <c r="F965" s="3">
        <v>35.98</v>
      </c>
      <c r="G965" s="3" t="s">
        <v>121</v>
      </c>
      <c r="H965" s="3"/>
      <c r="I965" s="3" t="s">
        <v>122</v>
      </c>
      <c r="J965" s="3">
        <v>2</v>
      </c>
      <c r="K965" s="3">
        <v>0</v>
      </c>
      <c r="L965" s="3">
        <v>0</v>
      </c>
      <c r="M965" s="3">
        <v>2</v>
      </c>
      <c r="N965" s="3">
        <v>2</v>
      </c>
      <c r="O965" s="3">
        <v>0.15</v>
      </c>
      <c r="P965" s="3">
        <v>0</v>
      </c>
      <c r="Q965" s="3">
        <v>0</v>
      </c>
      <c r="R965" s="3">
        <v>0</v>
      </c>
    </row>
    <row r="966" spans="1:18">
      <c r="A966" s="3" t="s">
        <v>2584</v>
      </c>
      <c r="B966" s="3" t="s">
        <v>1056</v>
      </c>
      <c r="C966" s="3" t="s">
        <v>1056</v>
      </c>
      <c r="D966" s="3" t="s">
        <v>1057</v>
      </c>
      <c r="E966" s="3" t="s">
        <v>120</v>
      </c>
      <c r="F966" s="3">
        <v>35.98</v>
      </c>
      <c r="G966" s="3" t="s">
        <v>121</v>
      </c>
      <c r="H966" s="3"/>
      <c r="I966" s="3" t="s">
        <v>122</v>
      </c>
      <c r="J966" s="3">
        <v>12</v>
      </c>
      <c r="K966" s="3">
        <v>10</v>
      </c>
      <c r="L966" s="3">
        <v>0</v>
      </c>
      <c r="M966" s="3">
        <v>2</v>
      </c>
      <c r="N966" s="3">
        <v>12</v>
      </c>
      <c r="O966" s="3">
        <v>0.12</v>
      </c>
      <c r="P966" s="3">
        <v>0</v>
      </c>
      <c r="Q966" s="3">
        <v>0</v>
      </c>
      <c r="R966" s="3">
        <v>0</v>
      </c>
    </row>
    <row r="967" spans="1:18">
      <c r="A967" s="3" t="s">
        <v>2585</v>
      </c>
      <c r="B967" s="3" t="s">
        <v>1060</v>
      </c>
      <c r="C967" s="3" t="s">
        <v>1060</v>
      </c>
      <c r="D967" s="3" t="s">
        <v>1061</v>
      </c>
      <c r="E967" s="3" t="s">
        <v>120</v>
      </c>
      <c r="F967" s="3">
        <v>35.98</v>
      </c>
      <c r="G967" s="3" t="s">
        <v>121</v>
      </c>
      <c r="H967" s="3"/>
      <c r="I967" s="3" t="s">
        <v>122</v>
      </c>
      <c r="J967" s="3">
        <v>19</v>
      </c>
      <c r="K967" s="3">
        <v>19</v>
      </c>
      <c r="L967" s="3">
        <v>0</v>
      </c>
      <c r="M967" s="3">
        <v>0</v>
      </c>
      <c r="N967" s="3">
        <v>19</v>
      </c>
      <c r="O967" s="3">
        <v>0.15</v>
      </c>
      <c r="P967" s="3">
        <v>0</v>
      </c>
      <c r="Q967" s="3">
        <v>0</v>
      </c>
      <c r="R967" s="3">
        <v>0</v>
      </c>
    </row>
    <row r="968" spans="1:18">
      <c r="A968" s="3" t="s">
        <v>2586</v>
      </c>
      <c r="B968" s="3" t="s">
        <v>1064</v>
      </c>
      <c r="C968" s="3" t="s">
        <v>1064</v>
      </c>
      <c r="D968" s="3" t="s">
        <v>1065</v>
      </c>
      <c r="E968" s="3" t="s">
        <v>120</v>
      </c>
      <c r="F968" s="3">
        <v>35.98</v>
      </c>
      <c r="G968" s="3" t="s">
        <v>121</v>
      </c>
      <c r="H968" s="3"/>
      <c r="I968" s="3" t="s">
        <v>122</v>
      </c>
      <c r="J968" s="3">
        <v>3</v>
      </c>
      <c r="K968" s="3">
        <v>3</v>
      </c>
      <c r="L968" s="3">
        <v>0</v>
      </c>
      <c r="M968" s="3">
        <v>0</v>
      </c>
      <c r="N968" s="3">
        <v>3</v>
      </c>
      <c r="O968" s="3">
        <v>0.15</v>
      </c>
      <c r="P968" s="3">
        <v>0</v>
      </c>
      <c r="Q968" s="3">
        <v>0</v>
      </c>
      <c r="R968" s="3">
        <v>0</v>
      </c>
    </row>
    <row r="969" spans="1:18">
      <c r="A969" s="3" t="s">
        <v>2587</v>
      </c>
      <c r="B969" s="3" t="s">
        <v>1068</v>
      </c>
      <c r="C969" s="3" t="s">
        <v>1068</v>
      </c>
      <c r="D969" s="3" t="s">
        <v>1069</v>
      </c>
      <c r="E969" s="3" t="s">
        <v>120</v>
      </c>
      <c r="F969" s="3">
        <v>35.98</v>
      </c>
      <c r="G969" s="3" t="s">
        <v>121</v>
      </c>
      <c r="H969" s="3"/>
      <c r="I969" s="3" t="s">
        <v>122</v>
      </c>
      <c r="J969" s="3">
        <v>18</v>
      </c>
      <c r="K969" s="3">
        <v>17</v>
      </c>
      <c r="L969" s="3">
        <v>0</v>
      </c>
      <c r="M969" s="3">
        <v>1</v>
      </c>
      <c r="N969" s="3">
        <v>18</v>
      </c>
      <c r="O969" s="3">
        <v>0.15</v>
      </c>
      <c r="P969" s="3">
        <v>0</v>
      </c>
      <c r="Q969" s="3">
        <v>0</v>
      </c>
      <c r="R969" s="3">
        <v>0</v>
      </c>
    </row>
    <row r="970" spans="1:18">
      <c r="A970" s="3" t="s">
        <v>2588</v>
      </c>
      <c r="B970" s="3" t="s">
        <v>1072</v>
      </c>
      <c r="C970" s="3" t="s">
        <v>1072</v>
      </c>
      <c r="D970" s="3" t="s">
        <v>1073</v>
      </c>
      <c r="E970" s="3" t="s">
        <v>120</v>
      </c>
      <c r="F970" s="3">
        <v>35.98</v>
      </c>
      <c r="G970" s="3" t="s">
        <v>121</v>
      </c>
      <c r="H970" s="3"/>
      <c r="I970" s="3" t="s">
        <v>122</v>
      </c>
      <c r="J970" s="3">
        <v>17</v>
      </c>
      <c r="K970" s="3">
        <v>13</v>
      </c>
      <c r="L970" s="3">
        <v>0</v>
      </c>
      <c r="M970" s="3">
        <v>4</v>
      </c>
      <c r="N970" s="3">
        <v>17</v>
      </c>
      <c r="O970" s="3">
        <v>0.15</v>
      </c>
      <c r="P970" s="3">
        <v>0</v>
      </c>
      <c r="Q970" s="3">
        <v>0</v>
      </c>
      <c r="R970" s="3">
        <v>0</v>
      </c>
    </row>
    <row r="971" spans="1:18">
      <c r="A971" s="3" t="s">
        <v>2589</v>
      </c>
      <c r="B971" s="3" t="s">
        <v>2590</v>
      </c>
      <c r="C971" s="3" t="s">
        <v>2590</v>
      </c>
      <c r="D971" s="3"/>
      <c r="E971" s="3" t="s">
        <v>20</v>
      </c>
      <c r="F971" s="3"/>
      <c r="G971" s="3"/>
      <c r="H971" s="3"/>
      <c r="I971" s="3"/>
      <c r="J971" s="3">
        <v>20</v>
      </c>
      <c r="K971" s="3">
        <v>20</v>
      </c>
      <c r="L971" s="3">
        <v>0</v>
      </c>
      <c r="M971" s="3">
        <v>0</v>
      </c>
      <c r="N971" s="3">
        <v>20</v>
      </c>
      <c r="O971" s="3"/>
      <c r="P971" s="3">
        <v>0</v>
      </c>
      <c r="Q971" s="3">
        <v>0</v>
      </c>
      <c r="R971" s="3">
        <v>0</v>
      </c>
    </row>
    <row r="972" spans="1:18">
      <c r="A972" s="3" t="s">
        <v>2591</v>
      </c>
      <c r="B972" s="3" t="s">
        <v>1140</v>
      </c>
      <c r="C972" s="3" t="s">
        <v>1140</v>
      </c>
      <c r="D972" s="3"/>
      <c r="E972" s="3" t="s">
        <v>20</v>
      </c>
      <c r="F972" s="3"/>
      <c r="G972" s="3"/>
      <c r="H972" s="3"/>
      <c r="I972" s="3"/>
      <c r="J972" s="3">
        <v>32</v>
      </c>
      <c r="K972" s="3">
        <v>32</v>
      </c>
      <c r="L972" s="3">
        <v>0</v>
      </c>
      <c r="M972" s="3">
        <v>0</v>
      </c>
      <c r="N972" s="3">
        <v>32</v>
      </c>
      <c r="O972" s="3"/>
      <c r="P972" s="3">
        <v>0</v>
      </c>
      <c r="Q972" s="3">
        <v>0</v>
      </c>
      <c r="R972" s="3">
        <v>0</v>
      </c>
    </row>
    <row r="973" spans="1:18">
      <c r="A973" s="3" t="s">
        <v>2592</v>
      </c>
      <c r="B973" s="3" t="s">
        <v>1136</v>
      </c>
      <c r="C973" s="3" t="s">
        <v>1136</v>
      </c>
      <c r="D973" s="3"/>
      <c r="E973" s="3" t="s">
        <v>20</v>
      </c>
      <c r="F973" s="3"/>
      <c r="G973" s="3"/>
      <c r="H973" s="3"/>
      <c r="I973" s="3"/>
      <c r="J973" s="3">
        <v>24</v>
      </c>
      <c r="K973" s="3">
        <v>24</v>
      </c>
      <c r="L973" s="3">
        <v>0</v>
      </c>
      <c r="M973" s="3">
        <v>0</v>
      </c>
      <c r="N973" s="3">
        <v>25</v>
      </c>
      <c r="O973" s="3"/>
      <c r="P973" s="3">
        <v>0</v>
      </c>
      <c r="Q973" s="3">
        <v>0</v>
      </c>
      <c r="R973" s="3">
        <v>1</v>
      </c>
    </row>
    <row r="974" spans="1:18">
      <c r="A974" s="3" t="s">
        <v>2593</v>
      </c>
      <c r="B974" s="3" t="s">
        <v>1146</v>
      </c>
      <c r="C974" s="3" t="s">
        <v>1146</v>
      </c>
      <c r="D974" s="3"/>
      <c r="E974" s="3" t="s">
        <v>20</v>
      </c>
      <c r="F974" s="3"/>
      <c r="G974" s="3"/>
      <c r="H974" s="3"/>
      <c r="I974" s="3"/>
      <c r="J974" s="3">
        <v>26</v>
      </c>
      <c r="K974" s="3">
        <v>26</v>
      </c>
      <c r="L974" s="3">
        <v>0</v>
      </c>
      <c r="M974" s="3">
        <v>0</v>
      </c>
      <c r="N974" s="3">
        <v>26</v>
      </c>
      <c r="O974" s="3"/>
      <c r="P974" s="3">
        <v>0</v>
      </c>
      <c r="Q974" s="3">
        <v>0</v>
      </c>
      <c r="R974" s="3">
        <v>0</v>
      </c>
    </row>
    <row r="975" spans="1:18">
      <c r="A975" s="3" t="s">
        <v>2594</v>
      </c>
      <c r="B975" s="3" t="s">
        <v>1150</v>
      </c>
      <c r="C975" s="3" t="s">
        <v>1150</v>
      </c>
      <c r="D975" s="3"/>
      <c r="E975" s="3" t="s">
        <v>20</v>
      </c>
      <c r="F975" s="3"/>
      <c r="G975" s="3"/>
      <c r="H975" s="3"/>
      <c r="I975" s="3"/>
      <c r="J975" s="3">
        <v>20</v>
      </c>
      <c r="K975" s="3">
        <v>20</v>
      </c>
      <c r="L975" s="3">
        <v>0</v>
      </c>
      <c r="M975" s="3">
        <v>0</v>
      </c>
      <c r="N975" s="3">
        <v>20</v>
      </c>
      <c r="O975" s="3"/>
      <c r="P975" s="3">
        <v>0</v>
      </c>
      <c r="Q975" s="3">
        <v>0</v>
      </c>
      <c r="R975" s="3">
        <v>0</v>
      </c>
    </row>
    <row r="976" spans="1:18">
      <c r="A976" s="3" t="s">
        <v>2595</v>
      </c>
      <c r="B976" s="3" t="s">
        <v>1076</v>
      </c>
      <c r="C976" s="3" t="s">
        <v>1076</v>
      </c>
      <c r="D976" s="3" t="s">
        <v>1077</v>
      </c>
      <c r="E976" s="3" t="s">
        <v>120</v>
      </c>
      <c r="F976" s="3">
        <v>35.98</v>
      </c>
      <c r="G976" s="3" t="s">
        <v>121</v>
      </c>
      <c r="H976" s="3"/>
      <c r="I976" s="3" t="s">
        <v>122</v>
      </c>
      <c r="J976" s="3">
        <v>38</v>
      </c>
      <c r="K976" s="3">
        <v>37</v>
      </c>
      <c r="L976" s="3">
        <v>0</v>
      </c>
      <c r="M976" s="3">
        <v>1</v>
      </c>
      <c r="N976" s="3">
        <v>38</v>
      </c>
      <c r="O976" s="3">
        <v>0.15</v>
      </c>
      <c r="P976" s="3">
        <v>0</v>
      </c>
      <c r="Q976" s="3">
        <v>0</v>
      </c>
      <c r="R976" s="3">
        <v>0</v>
      </c>
    </row>
    <row r="977" spans="1:18">
      <c r="A977" s="3" t="s">
        <v>2596</v>
      </c>
      <c r="B977" s="3" t="s">
        <v>1080</v>
      </c>
      <c r="C977" s="3" t="s">
        <v>1080</v>
      </c>
      <c r="D977" s="3" t="s">
        <v>1081</v>
      </c>
      <c r="E977" s="3" t="s">
        <v>120</v>
      </c>
      <c r="F977" s="3">
        <v>35.98</v>
      </c>
      <c r="G977" s="3" t="s">
        <v>121</v>
      </c>
      <c r="H977" s="3"/>
      <c r="I977" s="3" t="s">
        <v>122</v>
      </c>
      <c r="J977" s="3">
        <v>45</v>
      </c>
      <c r="K977" s="3">
        <v>45</v>
      </c>
      <c r="L977" s="3">
        <v>0</v>
      </c>
      <c r="M977" s="3">
        <v>0</v>
      </c>
      <c r="N977" s="3">
        <v>45</v>
      </c>
      <c r="O977" s="3">
        <v>0.15</v>
      </c>
      <c r="P977" s="3">
        <v>0</v>
      </c>
      <c r="Q977" s="3">
        <v>0</v>
      </c>
      <c r="R977" s="3">
        <v>0</v>
      </c>
    </row>
    <row r="978" spans="1:18">
      <c r="A978" s="3" t="s">
        <v>2597</v>
      </c>
      <c r="B978" s="3" t="s">
        <v>1084</v>
      </c>
      <c r="C978" s="3" t="s">
        <v>1084</v>
      </c>
      <c r="D978" s="3" t="s">
        <v>1085</v>
      </c>
      <c r="E978" s="3" t="s">
        <v>120</v>
      </c>
      <c r="F978" s="3">
        <v>35.98</v>
      </c>
      <c r="G978" s="3" t="s">
        <v>121</v>
      </c>
      <c r="H978" s="3"/>
      <c r="I978" s="3" t="s">
        <v>122</v>
      </c>
      <c r="J978" s="3">
        <v>29</v>
      </c>
      <c r="K978" s="3">
        <v>29</v>
      </c>
      <c r="L978" s="3">
        <v>0</v>
      </c>
      <c r="M978" s="3">
        <v>0</v>
      </c>
      <c r="N978" s="3">
        <v>29</v>
      </c>
      <c r="O978" s="3">
        <v>0.15</v>
      </c>
      <c r="P978" s="3">
        <v>0</v>
      </c>
      <c r="Q978" s="3">
        <v>0</v>
      </c>
      <c r="R978" s="3">
        <v>0</v>
      </c>
    </row>
    <row r="979" spans="1:18">
      <c r="A979" s="3" t="s">
        <v>2598</v>
      </c>
      <c r="B979" s="3" t="s">
        <v>1088</v>
      </c>
      <c r="C979" s="3" t="s">
        <v>1088</v>
      </c>
      <c r="D979" s="3" t="s">
        <v>1089</v>
      </c>
      <c r="E979" s="3" t="s">
        <v>120</v>
      </c>
      <c r="F979" s="3">
        <v>35.98</v>
      </c>
      <c r="G979" s="3" t="s">
        <v>121</v>
      </c>
      <c r="H979" s="3"/>
      <c r="I979" s="3" t="s">
        <v>122</v>
      </c>
      <c r="J979" s="3">
        <v>37</v>
      </c>
      <c r="K979" s="3">
        <v>37</v>
      </c>
      <c r="L979" s="3">
        <v>0</v>
      </c>
      <c r="M979" s="3">
        <v>0</v>
      </c>
      <c r="N979" s="3">
        <v>37</v>
      </c>
      <c r="O979" s="3">
        <v>0.15</v>
      </c>
      <c r="P979" s="3">
        <v>0</v>
      </c>
      <c r="Q979" s="3">
        <v>0</v>
      </c>
      <c r="R979" s="3">
        <v>0</v>
      </c>
    </row>
    <row r="980" spans="1:18">
      <c r="A980" s="3" t="s">
        <v>2599</v>
      </c>
      <c r="B980" s="3" t="s">
        <v>2600</v>
      </c>
      <c r="C980" s="3" t="s">
        <v>2600</v>
      </c>
      <c r="D980" s="3" t="s">
        <v>1093</v>
      </c>
      <c r="E980" s="3" t="s">
        <v>120</v>
      </c>
      <c r="F980" s="3">
        <v>35.98</v>
      </c>
      <c r="G980" s="3" t="s">
        <v>121</v>
      </c>
      <c r="H980" s="3"/>
      <c r="I980" s="3" t="s">
        <v>122</v>
      </c>
      <c r="J980" s="3">
        <v>27</v>
      </c>
      <c r="K980" s="3">
        <v>26</v>
      </c>
      <c r="L980" s="3">
        <v>0</v>
      </c>
      <c r="M980" s="3">
        <v>1</v>
      </c>
      <c r="N980" s="3">
        <v>27</v>
      </c>
      <c r="O980" s="3">
        <v>0.15</v>
      </c>
      <c r="P980" s="3">
        <v>0</v>
      </c>
      <c r="Q980" s="3">
        <v>0</v>
      </c>
      <c r="R980" s="3">
        <v>0</v>
      </c>
    </row>
    <row r="981" spans="1:18">
      <c r="A981" s="3" t="s">
        <v>2601</v>
      </c>
      <c r="B981" s="3" t="s">
        <v>1096</v>
      </c>
      <c r="C981" s="3" t="s">
        <v>1096</v>
      </c>
      <c r="D981" s="3" t="s">
        <v>1097</v>
      </c>
      <c r="E981" s="3" t="s">
        <v>120</v>
      </c>
      <c r="F981" s="3">
        <v>35.98</v>
      </c>
      <c r="G981" s="3" t="s">
        <v>121</v>
      </c>
      <c r="H981" s="3"/>
      <c r="I981" s="3" t="s">
        <v>122</v>
      </c>
      <c r="J981" s="3">
        <v>18</v>
      </c>
      <c r="K981" s="3">
        <v>17</v>
      </c>
      <c r="L981" s="3">
        <v>0</v>
      </c>
      <c r="M981" s="3">
        <v>1</v>
      </c>
      <c r="N981" s="3">
        <v>18</v>
      </c>
      <c r="O981" s="3">
        <v>0.12</v>
      </c>
      <c r="P981" s="3">
        <v>0</v>
      </c>
      <c r="Q981" s="3">
        <v>0</v>
      </c>
      <c r="R981" s="3">
        <v>0</v>
      </c>
    </row>
    <row r="982" spans="1:18">
      <c r="A982" s="3" t="s">
        <v>2602</v>
      </c>
      <c r="B982" s="3" t="s">
        <v>1100</v>
      </c>
      <c r="C982" s="3" t="s">
        <v>1100</v>
      </c>
      <c r="D982" s="3" t="s">
        <v>1101</v>
      </c>
      <c r="E982" s="3" t="s">
        <v>120</v>
      </c>
      <c r="F982" s="3">
        <v>35.98</v>
      </c>
      <c r="G982" s="3" t="s">
        <v>121</v>
      </c>
      <c r="H982" s="3"/>
      <c r="I982" s="3" t="s">
        <v>122</v>
      </c>
      <c r="J982" s="3">
        <v>31</v>
      </c>
      <c r="K982" s="3">
        <v>30</v>
      </c>
      <c r="L982" s="3">
        <v>0</v>
      </c>
      <c r="M982" s="3">
        <v>1</v>
      </c>
      <c r="N982" s="3">
        <v>31</v>
      </c>
      <c r="O982" s="3">
        <v>0.15</v>
      </c>
      <c r="P982" s="3">
        <v>0</v>
      </c>
      <c r="Q982" s="3">
        <v>0</v>
      </c>
      <c r="R982" s="3">
        <v>0</v>
      </c>
    </row>
    <row r="983" spans="1:18">
      <c r="A983" s="3" t="s">
        <v>2603</v>
      </c>
      <c r="B983" s="3" t="s">
        <v>1104</v>
      </c>
      <c r="C983" s="3" t="s">
        <v>1104</v>
      </c>
      <c r="D983" s="3" t="s">
        <v>1105</v>
      </c>
      <c r="E983" s="3" t="s">
        <v>120</v>
      </c>
      <c r="F983" s="3">
        <v>35.98</v>
      </c>
      <c r="G983" s="3" t="s">
        <v>121</v>
      </c>
      <c r="H983" s="3"/>
      <c r="I983" s="3" t="s">
        <v>122</v>
      </c>
      <c r="J983" s="3">
        <v>25</v>
      </c>
      <c r="K983" s="3">
        <v>25</v>
      </c>
      <c r="L983" s="3">
        <v>0</v>
      </c>
      <c r="M983" s="3">
        <v>0</v>
      </c>
      <c r="N983" s="3">
        <v>25</v>
      </c>
      <c r="O983" s="3">
        <v>0.15</v>
      </c>
      <c r="P983" s="3">
        <v>0</v>
      </c>
      <c r="Q983" s="3">
        <v>0</v>
      </c>
      <c r="R983" s="3">
        <v>0</v>
      </c>
    </row>
    <row r="984" spans="1:18">
      <c r="A984" s="3" t="s">
        <v>2604</v>
      </c>
      <c r="B984" s="3" t="s">
        <v>1108</v>
      </c>
      <c r="C984" s="3" t="s">
        <v>1108</v>
      </c>
      <c r="D984" s="3" t="s">
        <v>1109</v>
      </c>
      <c r="E984" s="3" t="s">
        <v>120</v>
      </c>
      <c r="F984" s="3">
        <v>35.98</v>
      </c>
      <c r="G984" s="3" t="s">
        <v>121</v>
      </c>
      <c r="H984" s="3"/>
      <c r="I984" s="3" t="s">
        <v>122</v>
      </c>
      <c r="J984" s="3">
        <v>21</v>
      </c>
      <c r="K984" s="3">
        <v>21</v>
      </c>
      <c r="L984" s="3">
        <v>0</v>
      </c>
      <c r="M984" s="3">
        <v>0</v>
      </c>
      <c r="N984" s="3">
        <v>21</v>
      </c>
      <c r="O984" s="3">
        <v>0.15</v>
      </c>
      <c r="P984" s="3">
        <v>0</v>
      </c>
      <c r="Q984" s="3">
        <v>0</v>
      </c>
      <c r="R984" s="3">
        <v>0</v>
      </c>
    </row>
    <row r="985" spans="1:18">
      <c r="A985" s="3" t="s">
        <v>2605</v>
      </c>
      <c r="B985" s="3" t="s">
        <v>1112</v>
      </c>
      <c r="C985" s="3" t="s">
        <v>1112</v>
      </c>
      <c r="D985" s="3" t="s">
        <v>1113</v>
      </c>
      <c r="E985" s="3" t="s">
        <v>120</v>
      </c>
      <c r="F985" s="3">
        <v>35.98</v>
      </c>
      <c r="G985" s="3" t="s">
        <v>121</v>
      </c>
      <c r="H985" s="3"/>
      <c r="I985" s="3" t="s">
        <v>122</v>
      </c>
      <c r="J985" s="3">
        <v>13</v>
      </c>
      <c r="K985" s="3">
        <v>12</v>
      </c>
      <c r="L985" s="3">
        <v>0</v>
      </c>
      <c r="M985" s="3">
        <v>1</v>
      </c>
      <c r="N985" s="3">
        <v>13</v>
      </c>
      <c r="O985" s="3">
        <v>0.15</v>
      </c>
      <c r="P985" s="3">
        <v>0</v>
      </c>
      <c r="Q985" s="3">
        <v>0</v>
      </c>
      <c r="R985" s="3">
        <v>0</v>
      </c>
    </row>
    <row r="986" spans="1:18">
      <c r="A986" s="3" t="s">
        <v>2606</v>
      </c>
      <c r="B986" s="3" t="s">
        <v>1116</v>
      </c>
      <c r="C986" s="3" t="s">
        <v>1116</v>
      </c>
      <c r="D986" s="3" t="s">
        <v>1117</v>
      </c>
      <c r="E986" s="3" t="s">
        <v>120</v>
      </c>
      <c r="F986" s="3">
        <v>35.98</v>
      </c>
      <c r="G986" s="3" t="s">
        <v>121</v>
      </c>
      <c r="H986" s="3"/>
      <c r="I986" s="3" t="s">
        <v>122</v>
      </c>
      <c r="J986" s="3">
        <v>23</v>
      </c>
      <c r="K986" s="3">
        <v>23</v>
      </c>
      <c r="L986" s="3">
        <v>0</v>
      </c>
      <c r="M986" s="3">
        <v>0</v>
      </c>
      <c r="N986" s="3">
        <v>23</v>
      </c>
      <c r="O986" s="3">
        <v>0.15</v>
      </c>
      <c r="P986" s="3">
        <v>0</v>
      </c>
      <c r="Q986" s="3">
        <v>0</v>
      </c>
      <c r="R986" s="3">
        <v>0</v>
      </c>
    </row>
    <row r="987" spans="1:18">
      <c r="A987" s="3" t="s">
        <v>2607</v>
      </c>
      <c r="B987" s="3" t="s">
        <v>1120</v>
      </c>
      <c r="C987" s="3" t="s">
        <v>1120</v>
      </c>
      <c r="D987" s="3" t="s">
        <v>1121</v>
      </c>
      <c r="E987" s="3" t="s">
        <v>120</v>
      </c>
      <c r="F987" s="3">
        <v>35.98</v>
      </c>
      <c r="G987" s="3" t="s">
        <v>121</v>
      </c>
      <c r="H987" s="3"/>
      <c r="I987" s="3" t="s">
        <v>122</v>
      </c>
      <c r="J987" s="3">
        <v>20</v>
      </c>
      <c r="K987" s="3">
        <v>19</v>
      </c>
      <c r="L987" s="3">
        <v>1</v>
      </c>
      <c r="M987" s="3">
        <v>0</v>
      </c>
      <c r="N987" s="3">
        <v>20</v>
      </c>
      <c r="O987" s="3">
        <v>0.15</v>
      </c>
      <c r="P987" s="3">
        <v>0</v>
      </c>
      <c r="Q987" s="3">
        <v>0</v>
      </c>
      <c r="R987" s="3">
        <v>0</v>
      </c>
    </row>
    <row r="988" spans="1:18">
      <c r="A988" s="3" t="s">
        <v>2608</v>
      </c>
      <c r="B988" s="3" t="s">
        <v>1124</v>
      </c>
      <c r="C988" s="3" t="s">
        <v>1124</v>
      </c>
      <c r="D988" s="3" t="s">
        <v>1125</v>
      </c>
      <c r="E988" s="3" t="s">
        <v>120</v>
      </c>
      <c r="F988" s="3">
        <v>35.98</v>
      </c>
      <c r="G988" s="3" t="s">
        <v>121</v>
      </c>
      <c r="H988" s="3"/>
      <c r="I988" s="3" t="s">
        <v>122</v>
      </c>
      <c r="J988" s="3">
        <v>22</v>
      </c>
      <c r="K988" s="3">
        <v>22</v>
      </c>
      <c r="L988" s="3">
        <v>0</v>
      </c>
      <c r="M988" s="3">
        <v>0</v>
      </c>
      <c r="N988" s="3">
        <v>22</v>
      </c>
      <c r="O988" s="3">
        <v>0.15</v>
      </c>
      <c r="P988" s="3">
        <v>0</v>
      </c>
      <c r="Q988" s="3">
        <v>0</v>
      </c>
      <c r="R988" s="3">
        <v>0</v>
      </c>
    </row>
    <row r="989" spans="1:18">
      <c r="A989" s="3" t="s">
        <v>2609</v>
      </c>
      <c r="B989" s="3" t="s">
        <v>1128</v>
      </c>
      <c r="C989" s="3" t="s">
        <v>1128</v>
      </c>
      <c r="D989" s="3" t="s">
        <v>1129</v>
      </c>
      <c r="E989" s="3" t="s">
        <v>120</v>
      </c>
      <c r="F989" s="3">
        <v>35.98</v>
      </c>
      <c r="G989" s="3" t="s">
        <v>121</v>
      </c>
      <c r="H989" s="3"/>
      <c r="I989" s="3" t="s">
        <v>122</v>
      </c>
      <c r="J989" s="3">
        <v>15</v>
      </c>
      <c r="K989" s="3">
        <v>13</v>
      </c>
      <c r="L989" s="3">
        <v>0</v>
      </c>
      <c r="M989" s="3">
        <v>2</v>
      </c>
      <c r="N989" s="3">
        <v>17</v>
      </c>
      <c r="O989" s="3">
        <v>0.15</v>
      </c>
      <c r="P989" s="3">
        <v>0</v>
      </c>
      <c r="Q989" s="3">
        <v>0</v>
      </c>
      <c r="R989" s="3">
        <v>2</v>
      </c>
    </row>
    <row r="990" spans="1:18">
      <c r="A990" s="3" t="s">
        <v>2610</v>
      </c>
      <c r="B990" s="3" t="s">
        <v>1132</v>
      </c>
      <c r="C990" s="3" t="s">
        <v>1132</v>
      </c>
      <c r="D990" s="3" t="s">
        <v>1133</v>
      </c>
      <c r="E990" s="3" t="s">
        <v>120</v>
      </c>
      <c r="F990" s="3">
        <v>35.98</v>
      </c>
      <c r="G990" s="3" t="s">
        <v>121</v>
      </c>
      <c r="H990" s="3"/>
      <c r="I990" s="3" t="s">
        <v>122</v>
      </c>
      <c r="J990" s="3">
        <v>22</v>
      </c>
      <c r="K990" s="3">
        <v>22</v>
      </c>
      <c r="L990" s="3">
        <v>0</v>
      </c>
      <c r="M990" s="3">
        <v>0</v>
      </c>
      <c r="N990" s="3">
        <v>22</v>
      </c>
      <c r="O990" s="3">
        <v>0.15</v>
      </c>
      <c r="P990" s="3">
        <v>0</v>
      </c>
      <c r="Q990" s="3">
        <v>0</v>
      </c>
      <c r="R990" s="3">
        <v>0</v>
      </c>
    </row>
    <row r="991" spans="1:18">
      <c r="A991" s="3" t="s">
        <v>2611</v>
      </c>
      <c r="B991" s="3" t="s">
        <v>1136</v>
      </c>
      <c r="C991" s="3" t="s">
        <v>1136</v>
      </c>
      <c r="D991" s="3" t="s">
        <v>1137</v>
      </c>
      <c r="E991" s="3" t="s">
        <v>120</v>
      </c>
      <c r="F991" s="3">
        <v>35.98</v>
      </c>
      <c r="G991" s="3" t="s">
        <v>121</v>
      </c>
      <c r="H991" s="3"/>
      <c r="I991" s="3" t="s">
        <v>122</v>
      </c>
      <c r="J991" s="3">
        <v>24</v>
      </c>
      <c r="K991" s="3">
        <v>24</v>
      </c>
      <c r="L991" s="3">
        <v>0</v>
      </c>
      <c r="M991" s="3">
        <v>0</v>
      </c>
      <c r="N991" s="3">
        <v>25</v>
      </c>
      <c r="O991" s="3">
        <v>0.15</v>
      </c>
      <c r="P991" s="3">
        <v>0</v>
      </c>
      <c r="Q991" s="3">
        <v>0</v>
      </c>
      <c r="R991" s="3">
        <v>1</v>
      </c>
    </row>
    <row r="992" spans="1:18">
      <c r="A992" s="3" t="s">
        <v>2612</v>
      </c>
      <c r="B992" s="3" t="s">
        <v>1140</v>
      </c>
      <c r="C992" s="3" t="s">
        <v>1140</v>
      </c>
      <c r="D992" s="3" t="s">
        <v>1141</v>
      </c>
      <c r="E992" s="3" t="s">
        <v>120</v>
      </c>
      <c r="F992" s="3">
        <v>35.98</v>
      </c>
      <c r="G992" s="3" t="s">
        <v>121</v>
      </c>
      <c r="H992" s="3"/>
      <c r="I992" s="3" t="s">
        <v>122</v>
      </c>
      <c r="J992" s="3">
        <v>32</v>
      </c>
      <c r="K992" s="3">
        <v>32</v>
      </c>
      <c r="L992" s="3">
        <v>0</v>
      </c>
      <c r="M992" s="3">
        <v>0</v>
      </c>
      <c r="N992" s="3">
        <v>32</v>
      </c>
      <c r="O992" s="3">
        <v>0.15</v>
      </c>
      <c r="P992" s="3">
        <v>0</v>
      </c>
      <c r="Q992" s="3">
        <v>0</v>
      </c>
      <c r="R992" s="3">
        <v>0</v>
      </c>
    </row>
    <row r="993" spans="1:18">
      <c r="A993" s="3" t="s">
        <v>2613</v>
      </c>
      <c r="B993" s="3" t="s">
        <v>2590</v>
      </c>
      <c r="C993" s="3" t="s">
        <v>2590</v>
      </c>
      <c r="D993" s="3" t="s">
        <v>2614</v>
      </c>
      <c r="E993" s="3" t="s">
        <v>120</v>
      </c>
      <c r="F993" s="3">
        <v>35.98</v>
      </c>
      <c r="G993" s="3" t="s">
        <v>121</v>
      </c>
      <c r="H993" s="3"/>
      <c r="I993" s="3" t="s">
        <v>122</v>
      </c>
      <c r="J993" s="3">
        <v>20</v>
      </c>
      <c r="K993" s="3">
        <v>20</v>
      </c>
      <c r="L993" s="3">
        <v>0</v>
      </c>
      <c r="M993" s="3">
        <v>0</v>
      </c>
      <c r="N993" s="3">
        <v>20</v>
      </c>
      <c r="O993" s="3">
        <v>0.15</v>
      </c>
      <c r="P993" s="3">
        <v>0</v>
      </c>
      <c r="Q993" s="3">
        <v>0</v>
      </c>
      <c r="R993" s="3">
        <v>0</v>
      </c>
    </row>
    <row r="994" spans="1:18">
      <c r="A994" s="3" t="s">
        <v>2615</v>
      </c>
      <c r="B994" s="3" t="s">
        <v>1146</v>
      </c>
      <c r="C994" s="3" t="s">
        <v>1146</v>
      </c>
      <c r="D994" s="3" t="s">
        <v>1147</v>
      </c>
      <c r="E994" s="3" t="s">
        <v>120</v>
      </c>
      <c r="F994" s="3">
        <v>35.98</v>
      </c>
      <c r="G994" s="3" t="s">
        <v>121</v>
      </c>
      <c r="H994" s="3"/>
      <c r="I994" s="3" t="s">
        <v>122</v>
      </c>
      <c r="J994" s="3">
        <v>26</v>
      </c>
      <c r="K994" s="3">
        <v>26</v>
      </c>
      <c r="L994" s="3">
        <v>0</v>
      </c>
      <c r="M994" s="3">
        <v>0</v>
      </c>
      <c r="N994" s="3">
        <v>26</v>
      </c>
      <c r="O994" s="3">
        <v>0.14</v>
      </c>
      <c r="P994" s="3">
        <v>0</v>
      </c>
      <c r="Q994" s="3">
        <v>0</v>
      </c>
      <c r="R994" s="3">
        <v>0</v>
      </c>
    </row>
    <row r="995" spans="1:18">
      <c r="A995" s="3" t="s">
        <v>2616</v>
      </c>
      <c r="B995" s="3" t="s">
        <v>1150</v>
      </c>
      <c r="C995" s="3" t="s">
        <v>1150</v>
      </c>
      <c r="D995" s="3" t="s">
        <v>1151</v>
      </c>
      <c r="E995" s="3" t="s">
        <v>120</v>
      </c>
      <c r="F995" s="3">
        <v>35.98</v>
      </c>
      <c r="G995" s="3" t="s">
        <v>121</v>
      </c>
      <c r="H995" s="3"/>
      <c r="I995" s="3" t="s">
        <v>122</v>
      </c>
      <c r="J995" s="3">
        <v>20</v>
      </c>
      <c r="K995" s="3">
        <v>20</v>
      </c>
      <c r="L995" s="3">
        <v>0</v>
      </c>
      <c r="M995" s="3">
        <v>0</v>
      </c>
      <c r="N995" s="3">
        <v>20</v>
      </c>
      <c r="O995" s="3">
        <v>0.14</v>
      </c>
      <c r="P995" s="3">
        <v>0</v>
      </c>
      <c r="Q995" s="3">
        <v>0</v>
      </c>
      <c r="R995" s="3">
        <v>0</v>
      </c>
    </row>
    <row r="996" spans="1:18">
      <c r="A996" s="3" t="s">
        <v>2617</v>
      </c>
      <c r="B996" s="3" t="s">
        <v>1154</v>
      </c>
      <c r="C996" s="3" t="s">
        <v>1154</v>
      </c>
      <c r="D996" s="3" t="s">
        <v>1155</v>
      </c>
      <c r="E996" s="3" t="s">
        <v>120</v>
      </c>
      <c r="F996" s="3">
        <v>35.98</v>
      </c>
      <c r="G996" s="3" t="s">
        <v>121</v>
      </c>
      <c r="H996" s="3"/>
      <c r="I996" s="3" t="s">
        <v>122</v>
      </c>
      <c r="J996" s="3">
        <v>17</v>
      </c>
      <c r="K996" s="3">
        <v>17</v>
      </c>
      <c r="L996" s="3">
        <v>0</v>
      </c>
      <c r="M996" s="3">
        <v>0</v>
      </c>
      <c r="N996" s="3">
        <v>17</v>
      </c>
      <c r="O996" s="3">
        <v>0.15</v>
      </c>
      <c r="P996" s="3">
        <v>0</v>
      </c>
      <c r="Q996" s="3">
        <v>0</v>
      </c>
      <c r="R996" s="3">
        <v>0</v>
      </c>
    </row>
    <row r="997" spans="1:18">
      <c r="A997" s="3" t="s">
        <v>2618</v>
      </c>
      <c r="B997" s="3" t="s">
        <v>1158</v>
      </c>
      <c r="C997" s="3" t="s">
        <v>1158</v>
      </c>
      <c r="D997" s="3" t="s">
        <v>1159</v>
      </c>
      <c r="E997" s="3" t="s">
        <v>120</v>
      </c>
      <c r="F997" s="3">
        <v>35.98</v>
      </c>
      <c r="G997" s="3" t="s">
        <v>121</v>
      </c>
      <c r="H997" s="3"/>
      <c r="I997" s="3" t="s">
        <v>122</v>
      </c>
      <c r="J997" s="3">
        <v>6</v>
      </c>
      <c r="K997" s="3">
        <v>5</v>
      </c>
      <c r="L997" s="3">
        <v>0</v>
      </c>
      <c r="M997" s="3">
        <v>1</v>
      </c>
      <c r="N997" s="3">
        <v>6</v>
      </c>
      <c r="O997" s="3">
        <v>0.15</v>
      </c>
      <c r="P997" s="3">
        <v>0</v>
      </c>
      <c r="Q997" s="3">
        <v>0</v>
      </c>
      <c r="R997" s="3">
        <v>0</v>
      </c>
    </row>
    <row r="998" spans="1:18">
      <c r="A998" s="3" t="s">
        <v>2619</v>
      </c>
      <c r="B998" s="3" t="s">
        <v>1162</v>
      </c>
      <c r="C998" s="3" t="s">
        <v>1162</v>
      </c>
      <c r="D998" s="3" t="s">
        <v>1163</v>
      </c>
      <c r="E998" s="3" t="s">
        <v>120</v>
      </c>
      <c r="F998" s="3">
        <v>35.98</v>
      </c>
      <c r="G998" s="3" t="s">
        <v>121</v>
      </c>
      <c r="H998" s="3"/>
      <c r="I998" s="3" t="s">
        <v>122</v>
      </c>
      <c r="J998" s="3">
        <v>7</v>
      </c>
      <c r="K998" s="3">
        <v>7</v>
      </c>
      <c r="L998" s="3">
        <v>0</v>
      </c>
      <c r="M998" s="3">
        <v>0</v>
      </c>
      <c r="N998" s="3">
        <v>7</v>
      </c>
      <c r="O998" s="3">
        <v>0.15</v>
      </c>
      <c r="P998" s="3">
        <v>0</v>
      </c>
      <c r="Q998" s="3">
        <v>0</v>
      </c>
      <c r="R998" s="3">
        <v>0</v>
      </c>
    </row>
    <row r="999" spans="1:18">
      <c r="A999" s="3" t="s">
        <v>2620</v>
      </c>
      <c r="B999" s="3" t="s">
        <v>1166</v>
      </c>
      <c r="C999" s="3" t="s">
        <v>1166</v>
      </c>
      <c r="D999" s="3" t="s">
        <v>1167</v>
      </c>
      <c r="E999" s="3" t="s">
        <v>120</v>
      </c>
      <c r="F999" s="3">
        <v>35.98</v>
      </c>
      <c r="G999" s="3" t="s">
        <v>121</v>
      </c>
      <c r="H999" s="3"/>
      <c r="I999" s="3" t="s">
        <v>122</v>
      </c>
      <c r="J999" s="3">
        <v>33</v>
      </c>
      <c r="K999" s="3">
        <v>33</v>
      </c>
      <c r="L999" s="3">
        <v>0</v>
      </c>
      <c r="M999" s="3">
        <v>0</v>
      </c>
      <c r="N999" s="3">
        <v>33</v>
      </c>
      <c r="O999" s="3">
        <v>0.15</v>
      </c>
      <c r="P999" s="3">
        <v>0</v>
      </c>
      <c r="Q999" s="3">
        <v>0</v>
      </c>
      <c r="R999" s="3">
        <v>0</v>
      </c>
    </row>
    <row r="1000" spans="1:18">
      <c r="A1000" s="3" t="s">
        <v>2621</v>
      </c>
      <c r="B1000" s="3" t="s">
        <v>1170</v>
      </c>
      <c r="C1000" s="3" t="s">
        <v>1170</v>
      </c>
      <c r="D1000" s="3" t="s">
        <v>1171</v>
      </c>
      <c r="E1000" s="3" t="s">
        <v>120</v>
      </c>
      <c r="F1000" s="3">
        <v>35.98</v>
      </c>
      <c r="G1000" s="3" t="s">
        <v>121</v>
      </c>
      <c r="H1000" s="3"/>
      <c r="I1000" s="3" t="s">
        <v>122</v>
      </c>
      <c r="J1000" s="3">
        <v>17</v>
      </c>
      <c r="K1000" s="3">
        <v>16</v>
      </c>
      <c r="L1000" s="3">
        <v>0</v>
      </c>
      <c r="M1000" s="3">
        <v>1</v>
      </c>
      <c r="N1000" s="3">
        <v>17</v>
      </c>
      <c r="O1000" s="3">
        <v>0.15</v>
      </c>
      <c r="P1000" s="3">
        <v>0</v>
      </c>
      <c r="Q1000" s="3">
        <v>0</v>
      </c>
      <c r="R1000" s="3">
        <v>0</v>
      </c>
    </row>
    <row r="1001" spans="1:18">
      <c r="A1001" s="3" t="s">
        <v>2622</v>
      </c>
      <c r="B1001" s="3" t="s">
        <v>1174</v>
      </c>
      <c r="C1001" s="3" t="s">
        <v>1174</v>
      </c>
      <c r="D1001" s="3" t="s">
        <v>1175</v>
      </c>
      <c r="E1001" s="3" t="s">
        <v>120</v>
      </c>
      <c r="F1001" s="3">
        <v>35.98</v>
      </c>
      <c r="G1001" s="3" t="s">
        <v>121</v>
      </c>
      <c r="H1001" s="3"/>
      <c r="I1001" s="3" t="s">
        <v>122</v>
      </c>
      <c r="J1001" s="3">
        <v>28</v>
      </c>
      <c r="K1001" s="3">
        <v>26</v>
      </c>
      <c r="L1001" s="3">
        <v>0</v>
      </c>
      <c r="M1001" s="3">
        <v>2</v>
      </c>
      <c r="N1001" s="3">
        <v>28</v>
      </c>
      <c r="O1001" s="3">
        <v>0.15</v>
      </c>
      <c r="P1001" s="3">
        <v>0</v>
      </c>
      <c r="Q1001" s="3">
        <v>0</v>
      </c>
      <c r="R1001" s="3">
        <v>0</v>
      </c>
    </row>
    <row r="1002" spans="1:18">
      <c r="A1002" s="3" t="s">
        <v>2623</v>
      </c>
      <c r="B1002" s="3" t="s">
        <v>18</v>
      </c>
      <c r="C1002" s="3" t="s">
        <v>18</v>
      </c>
      <c r="D1002" s="3" t="s">
        <v>1178</v>
      </c>
      <c r="E1002" s="3" t="s">
        <v>120</v>
      </c>
      <c r="F1002" s="3">
        <v>35.98</v>
      </c>
      <c r="G1002" s="3" t="s">
        <v>121</v>
      </c>
      <c r="H1002" s="3"/>
      <c r="I1002" s="3" t="s">
        <v>122</v>
      </c>
      <c r="J1002" s="3">
        <v>25</v>
      </c>
      <c r="K1002" s="3">
        <v>24</v>
      </c>
      <c r="L1002" s="3">
        <v>0</v>
      </c>
      <c r="M1002" s="3">
        <v>1</v>
      </c>
      <c r="N1002" s="3">
        <v>25</v>
      </c>
      <c r="O1002" s="3">
        <v>0.15</v>
      </c>
      <c r="P1002" s="3">
        <v>0</v>
      </c>
      <c r="Q1002" s="3">
        <v>0</v>
      </c>
      <c r="R1002" s="3">
        <v>0</v>
      </c>
    </row>
    <row r="1003" spans="1:18">
      <c r="A1003" s="3" t="s">
        <v>2624</v>
      </c>
      <c r="B1003" s="3" t="s">
        <v>1181</v>
      </c>
      <c r="C1003" s="3" t="s">
        <v>1181</v>
      </c>
      <c r="D1003" s="3" t="s">
        <v>1182</v>
      </c>
      <c r="E1003" s="3" t="s">
        <v>120</v>
      </c>
      <c r="F1003" s="3">
        <v>35.98</v>
      </c>
      <c r="G1003" s="3" t="s">
        <v>121</v>
      </c>
      <c r="H1003" s="3"/>
      <c r="I1003" s="3" t="s">
        <v>122</v>
      </c>
      <c r="J1003" s="3">
        <v>21</v>
      </c>
      <c r="K1003" s="3">
        <v>21</v>
      </c>
      <c r="L1003" s="3">
        <v>0</v>
      </c>
      <c r="M1003" s="3">
        <v>0</v>
      </c>
      <c r="N1003" s="3">
        <v>21</v>
      </c>
      <c r="O1003" s="3">
        <v>0.15</v>
      </c>
      <c r="P1003" s="3">
        <v>0</v>
      </c>
      <c r="Q1003" s="3">
        <v>0</v>
      </c>
      <c r="R1003" s="3">
        <v>0</v>
      </c>
    </row>
    <row r="1004" spans="1:18">
      <c r="A1004" s="3" t="s">
        <v>2625</v>
      </c>
      <c r="B1004" s="3" t="s">
        <v>2626</v>
      </c>
      <c r="C1004" s="3" t="s">
        <v>2626</v>
      </c>
      <c r="D1004" s="3" t="s">
        <v>1186</v>
      </c>
      <c r="E1004" s="3" t="s">
        <v>120</v>
      </c>
      <c r="F1004" s="3">
        <v>35.98</v>
      </c>
      <c r="G1004" s="3" t="s">
        <v>121</v>
      </c>
      <c r="H1004" s="3"/>
      <c r="I1004" s="3" t="s">
        <v>122</v>
      </c>
      <c r="J1004" s="3">
        <v>35</v>
      </c>
      <c r="K1004" s="3">
        <v>35</v>
      </c>
      <c r="L1004" s="3">
        <v>0</v>
      </c>
      <c r="M1004" s="3">
        <v>0</v>
      </c>
      <c r="N1004" s="3">
        <v>35</v>
      </c>
      <c r="O1004" s="3">
        <v>0.15</v>
      </c>
      <c r="P1004" s="3">
        <v>0</v>
      </c>
      <c r="Q1004" s="3">
        <v>0</v>
      </c>
      <c r="R1004" s="3">
        <v>0</v>
      </c>
    </row>
    <row r="1005" spans="1:18">
      <c r="A1005" s="3" t="s">
        <v>2627</v>
      </c>
      <c r="B1005" s="3" t="s">
        <v>1189</v>
      </c>
      <c r="C1005" s="3" t="s">
        <v>1189</v>
      </c>
      <c r="D1005" s="3" t="s">
        <v>1190</v>
      </c>
      <c r="E1005" s="3" t="s">
        <v>120</v>
      </c>
      <c r="F1005" s="3">
        <v>35.98</v>
      </c>
      <c r="G1005" s="3" t="s">
        <v>121</v>
      </c>
      <c r="H1005" s="3"/>
      <c r="I1005" s="3" t="s">
        <v>122</v>
      </c>
      <c r="J1005" s="3">
        <v>32</v>
      </c>
      <c r="K1005" s="3">
        <v>32</v>
      </c>
      <c r="L1005" s="3">
        <v>0</v>
      </c>
      <c r="M1005" s="3">
        <v>0</v>
      </c>
      <c r="N1005" s="3">
        <v>32</v>
      </c>
      <c r="O1005" s="3">
        <v>0.15</v>
      </c>
      <c r="P1005" s="3">
        <v>0</v>
      </c>
      <c r="Q1005" s="3">
        <v>0</v>
      </c>
      <c r="R1005" s="3">
        <v>0</v>
      </c>
    </row>
    <row r="1006" spans="1:18">
      <c r="A1006" s="3" t="s">
        <v>2628</v>
      </c>
      <c r="B1006" s="3" t="s">
        <v>1193</v>
      </c>
      <c r="C1006" s="3" t="s">
        <v>1193</v>
      </c>
      <c r="D1006" s="3" t="s">
        <v>1194</v>
      </c>
      <c r="E1006" s="3" t="s">
        <v>120</v>
      </c>
      <c r="F1006" s="3">
        <v>35.98</v>
      </c>
      <c r="G1006" s="3" t="s">
        <v>121</v>
      </c>
      <c r="H1006" s="3"/>
      <c r="I1006" s="3" t="s">
        <v>122</v>
      </c>
      <c r="J1006" s="3">
        <v>43</v>
      </c>
      <c r="K1006" s="3">
        <v>40</v>
      </c>
      <c r="L1006" s="3">
        <v>0</v>
      </c>
      <c r="M1006" s="3">
        <v>3</v>
      </c>
      <c r="N1006" s="3">
        <v>43</v>
      </c>
      <c r="O1006" s="3">
        <v>0.15</v>
      </c>
      <c r="P1006" s="3">
        <v>0</v>
      </c>
      <c r="Q1006" s="3">
        <v>0</v>
      </c>
      <c r="R1006" s="3">
        <v>0</v>
      </c>
    </row>
    <row r="1007" spans="1:18">
      <c r="A1007" s="3" t="s">
        <v>2629</v>
      </c>
      <c r="B1007" s="3" t="s">
        <v>1197</v>
      </c>
      <c r="C1007" s="3" t="s">
        <v>1197</v>
      </c>
      <c r="D1007" s="3" t="s">
        <v>1198</v>
      </c>
      <c r="E1007" s="3" t="s">
        <v>120</v>
      </c>
      <c r="F1007" s="3">
        <v>35.98</v>
      </c>
      <c r="G1007" s="3" t="s">
        <v>121</v>
      </c>
      <c r="H1007" s="3"/>
      <c r="I1007" s="3" t="s">
        <v>122</v>
      </c>
      <c r="J1007" s="3">
        <v>23</v>
      </c>
      <c r="K1007" s="3">
        <v>23</v>
      </c>
      <c r="L1007" s="3">
        <v>0</v>
      </c>
      <c r="M1007" s="3">
        <v>0</v>
      </c>
      <c r="N1007" s="3">
        <v>23</v>
      </c>
      <c r="O1007" s="3">
        <v>0.15</v>
      </c>
      <c r="P1007" s="3">
        <v>0</v>
      </c>
      <c r="Q1007" s="3">
        <v>0</v>
      </c>
      <c r="R1007" s="3">
        <v>0</v>
      </c>
    </row>
    <row r="1008" spans="1:18">
      <c r="A1008" s="3" t="s">
        <v>2630</v>
      </c>
      <c r="B1008" s="3" t="s">
        <v>1201</v>
      </c>
      <c r="C1008" s="3" t="s">
        <v>1201</v>
      </c>
      <c r="D1008" s="3" t="s">
        <v>1202</v>
      </c>
      <c r="E1008" s="3" t="s">
        <v>120</v>
      </c>
      <c r="F1008" s="3">
        <v>35.98</v>
      </c>
      <c r="G1008" s="3" t="s">
        <v>121</v>
      </c>
      <c r="H1008" s="3"/>
      <c r="I1008" s="3" t="s">
        <v>122</v>
      </c>
      <c r="J1008" s="3">
        <v>24</v>
      </c>
      <c r="K1008" s="3">
        <v>24</v>
      </c>
      <c r="L1008" s="3">
        <v>0</v>
      </c>
      <c r="M1008" s="3">
        <v>0</v>
      </c>
      <c r="N1008" s="3">
        <v>24</v>
      </c>
      <c r="O1008" s="3">
        <v>0.15</v>
      </c>
      <c r="P1008" s="3">
        <v>0</v>
      </c>
      <c r="Q1008" s="3">
        <v>0</v>
      </c>
      <c r="R1008" s="3">
        <v>0</v>
      </c>
    </row>
    <row r="1009" spans="1:18">
      <c r="A1009" s="3" t="s">
        <v>2631</v>
      </c>
      <c r="B1009" s="3" t="s">
        <v>1205</v>
      </c>
      <c r="C1009" s="3" t="s">
        <v>1205</v>
      </c>
      <c r="D1009" s="3" t="s">
        <v>1206</v>
      </c>
      <c r="E1009" s="3" t="s">
        <v>120</v>
      </c>
      <c r="F1009" s="3">
        <v>35.98</v>
      </c>
      <c r="G1009" s="3" t="s">
        <v>121</v>
      </c>
      <c r="H1009" s="3"/>
      <c r="I1009" s="3" t="s">
        <v>122</v>
      </c>
      <c r="J1009" s="3">
        <v>41</v>
      </c>
      <c r="K1009" s="3">
        <v>40</v>
      </c>
      <c r="L1009" s="3">
        <v>0</v>
      </c>
      <c r="M1009" s="3">
        <v>1</v>
      </c>
      <c r="N1009" s="3">
        <v>41</v>
      </c>
      <c r="O1009" s="3">
        <v>0.15</v>
      </c>
      <c r="P1009" s="3">
        <v>0</v>
      </c>
      <c r="Q1009" s="3">
        <v>0</v>
      </c>
      <c r="R1009" s="3">
        <v>0</v>
      </c>
    </row>
    <row r="1010" spans="1:18">
      <c r="A1010" s="3" t="s">
        <v>2632</v>
      </c>
      <c r="B1010" s="3" t="s">
        <v>1209</v>
      </c>
      <c r="C1010" s="3" t="s">
        <v>1209</v>
      </c>
      <c r="D1010" s="3" t="s">
        <v>1210</v>
      </c>
      <c r="E1010" s="3" t="s">
        <v>120</v>
      </c>
      <c r="F1010" s="3">
        <v>35.98</v>
      </c>
      <c r="G1010" s="3" t="s">
        <v>121</v>
      </c>
      <c r="H1010" s="3"/>
      <c r="I1010" s="3" t="s">
        <v>122</v>
      </c>
      <c r="J1010" s="3">
        <v>44</v>
      </c>
      <c r="K1010" s="3">
        <v>41</v>
      </c>
      <c r="L1010" s="3">
        <v>0</v>
      </c>
      <c r="M1010" s="3">
        <v>3</v>
      </c>
      <c r="N1010" s="3">
        <v>44</v>
      </c>
      <c r="O1010" s="3">
        <v>0.15</v>
      </c>
      <c r="P1010" s="3">
        <v>0</v>
      </c>
      <c r="Q1010" s="3">
        <v>0</v>
      </c>
      <c r="R1010" s="3">
        <v>0</v>
      </c>
    </row>
    <row r="1011" spans="1:18">
      <c r="A1011" s="3" t="s">
        <v>2633</v>
      </c>
      <c r="B1011" s="3" t="s">
        <v>2634</v>
      </c>
      <c r="C1011" s="3" t="s">
        <v>2634</v>
      </c>
      <c r="D1011" s="3" t="s">
        <v>2635</v>
      </c>
      <c r="E1011" s="3" t="s">
        <v>120</v>
      </c>
      <c r="F1011" s="3">
        <v>69.98</v>
      </c>
      <c r="G1011" s="3" t="s">
        <v>121</v>
      </c>
      <c r="H1011" s="3"/>
      <c r="I1011" s="3" t="s">
        <v>122</v>
      </c>
      <c r="J1011" s="3">
        <v>11</v>
      </c>
      <c r="K1011" s="3">
        <v>11</v>
      </c>
      <c r="L1011" s="3">
        <v>0</v>
      </c>
      <c r="M1011" s="3">
        <v>0</v>
      </c>
      <c r="N1011" s="3">
        <v>11</v>
      </c>
      <c r="O1011" s="3">
        <v>0.15</v>
      </c>
      <c r="P1011" s="3">
        <v>0</v>
      </c>
      <c r="Q1011" s="3">
        <v>0</v>
      </c>
      <c r="R1011" s="3">
        <v>0</v>
      </c>
    </row>
    <row r="1012" spans="1:18">
      <c r="A1012" s="3" t="s">
        <v>2636</v>
      </c>
      <c r="B1012" s="3" t="s">
        <v>2637</v>
      </c>
      <c r="C1012" s="3" t="s">
        <v>2637</v>
      </c>
      <c r="D1012" s="3"/>
      <c r="E1012" s="3" t="s">
        <v>20</v>
      </c>
      <c r="F1012" s="3"/>
      <c r="G1012" s="3"/>
      <c r="H1012" s="3"/>
      <c r="I1012" s="3"/>
      <c r="J1012" s="3">
        <v>7</v>
      </c>
      <c r="K1012" s="3">
        <v>7</v>
      </c>
      <c r="L1012" s="3">
        <v>0</v>
      </c>
      <c r="M1012" s="3">
        <v>0</v>
      </c>
      <c r="N1012" s="3">
        <v>7</v>
      </c>
      <c r="O1012" s="3"/>
      <c r="P1012" s="3">
        <v>0</v>
      </c>
      <c r="Q1012" s="3">
        <v>0</v>
      </c>
      <c r="R1012" s="3">
        <v>0</v>
      </c>
    </row>
    <row r="1013" spans="1:18">
      <c r="A1013" s="3" t="s">
        <v>2638</v>
      </c>
      <c r="B1013" s="3" t="s">
        <v>2639</v>
      </c>
      <c r="C1013" s="3" t="s">
        <v>2639</v>
      </c>
      <c r="D1013" s="3" t="s">
        <v>2640</v>
      </c>
      <c r="E1013" s="3" t="s">
        <v>120</v>
      </c>
      <c r="F1013" s="3">
        <v>69.98</v>
      </c>
      <c r="G1013" s="3" t="s">
        <v>121</v>
      </c>
      <c r="H1013" s="3"/>
      <c r="I1013" s="3" t="s">
        <v>122</v>
      </c>
      <c r="J1013" s="3">
        <v>11</v>
      </c>
      <c r="K1013" s="3">
        <v>11</v>
      </c>
      <c r="L1013" s="3">
        <v>0</v>
      </c>
      <c r="M1013" s="3">
        <v>0</v>
      </c>
      <c r="N1013" s="3">
        <v>11</v>
      </c>
      <c r="O1013" s="3">
        <v>0.15</v>
      </c>
      <c r="P1013" s="3">
        <v>0</v>
      </c>
      <c r="Q1013" s="3">
        <v>0</v>
      </c>
      <c r="R1013" s="3">
        <v>0</v>
      </c>
    </row>
    <row r="1014" spans="1:18">
      <c r="A1014" s="3" t="s">
        <v>2641</v>
      </c>
      <c r="B1014" s="3" t="s">
        <v>2642</v>
      </c>
      <c r="C1014" s="3" t="s">
        <v>2642</v>
      </c>
      <c r="D1014" s="3" t="s">
        <v>2643</v>
      </c>
      <c r="E1014" s="3" t="s">
        <v>120</v>
      </c>
      <c r="F1014" s="3">
        <v>69.98</v>
      </c>
      <c r="G1014" s="3" t="s">
        <v>121</v>
      </c>
      <c r="H1014" s="3"/>
      <c r="I1014" s="3" t="s">
        <v>122</v>
      </c>
      <c r="J1014" s="3">
        <v>18</v>
      </c>
      <c r="K1014" s="3">
        <v>18</v>
      </c>
      <c r="L1014" s="3">
        <v>0</v>
      </c>
      <c r="M1014" s="3">
        <v>0</v>
      </c>
      <c r="N1014" s="3">
        <v>18</v>
      </c>
      <c r="O1014" s="3">
        <v>0.14</v>
      </c>
      <c r="P1014" s="3">
        <v>0</v>
      </c>
      <c r="Q1014" s="3">
        <v>0</v>
      </c>
      <c r="R1014" s="3">
        <v>0</v>
      </c>
    </row>
    <row r="1015" spans="1:18">
      <c r="A1015" s="3" t="s">
        <v>2644</v>
      </c>
      <c r="B1015" s="3" t="s">
        <v>2645</v>
      </c>
      <c r="C1015" s="3" t="s">
        <v>2645</v>
      </c>
      <c r="D1015" s="3" t="s">
        <v>2646</v>
      </c>
      <c r="E1015" s="3" t="s">
        <v>120</v>
      </c>
      <c r="F1015" s="3">
        <v>69.98</v>
      </c>
      <c r="G1015" s="3" t="s">
        <v>121</v>
      </c>
      <c r="H1015" s="3"/>
      <c r="I1015" s="3" t="s">
        <v>122</v>
      </c>
      <c r="J1015" s="3">
        <v>9</v>
      </c>
      <c r="K1015" s="3">
        <v>9</v>
      </c>
      <c r="L1015" s="3">
        <v>0</v>
      </c>
      <c r="M1015" s="3">
        <v>0</v>
      </c>
      <c r="N1015" s="3">
        <v>9</v>
      </c>
      <c r="O1015" s="3">
        <v>0.15</v>
      </c>
      <c r="P1015" s="3">
        <v>0</v>
      </c>
      <c r="Q1015" s="3">
        <v>0</v>
      </c>
      <c r="R1015" s="3">
        <v>0</v>
      </c>
    </row>
    <row r="1016" spans="1:18">
      <c r="A1016" s="3" t="s">
        <v>2647</v>
      </c>
      <c r="B1016" s="3" t="s">
        <v>2648</v>
      </c>
      <c r="C1016" s="3" t="s">
        <v>2648</v>
      </c>
      <c r="D1016" s="3" t="s">
        <v>2649</v>
      </c>
      <c r="E1016" s="3" t="s">
        <v>120</v>
      </c>
      <c r="F1016" s="3">
        <v>26.98</v>
      </c>
      <c r="G1016" s="3" t="s">
        <v>121</v>
      </c>
      <c r="H1016" s="3"/>
      <c r="I1016" s="3" t="s">
        <v>122</v>
      </c>
      <c r="J1016" s="3">
        <v>11</v>
      </c>
      <c r="K1016" s="3">
        <v>11</v>
      </c>
      <c r="L1016" s="3">
        <v>0</v>
      </c>
      <c r="M1016" s="3">
        <v>0</v>
      </c>
      <c r="N1016" s="3">
        <v>11</v>
      </c>
      <c r="O1016" s="3">
        <v>0.15</v>
      </c>
      <c r="P1016" s="3">
        <v>0</v>
      </c>
      <c r="Q1016" s="3">
        <v>0</v>
      </c>
      <c r="R1016" s="3">
        <v>0</v>
      </c>
    </row>
    <row r="1017" spans="1:18">
      <c r="A1017" s="3" t="s">
        <v>2650</v>
      </c>
      <c r="B1017" s="3" t="s">
        <v>2651</v>
      </c>
      <c r="C1017" s="3" t="s">
        <v>2651</v>
      </c>
      <c r="D1017" s="3" t="s">
        <v>2652</v>
      </c>
      <c r="E1017" s="3" t="s">
        <v>120</v>
      </c>
      <c r="F1017" s="3">
        <v>69.98</v>
      </c>
      <c r="G1017" s="3" t="s">
        <v>121</v>
      </c>
      <c r="H1017" s="3"/>
      <c r="I1017" s="3" t="s">
        <v>122</v>
      </c>
      <c r="J1017" s="3">
        <v>5</v>
      </c>
      <c r="K1017" s="3">
        <v>5</v>
      </c>
      <c r="L1017" s="3">
        <v>0</v>
      </c>
      <c r="M1017" s="3">
        <v>0</v>
      </c>
      <c r="N1017" s="3">
        <v>5</v>
      </c>
      <c r="O1017" s="3">
        <v>0.15</v>
      </c>
      <c r="P1017" s="3">
        <v>0</v>
      </c>
      <c r="Q1017" s="3">
        <v>0</v>
      </c>
      <c r="R1017" s="3">
        <v>0</v>
      </c>
    </row>
    <row r="1018" spans="1:18">
      <c r="A1018" s="3" t="s">
        <v>2653</v>
      </c>
      <c r="B1018" s="3" t="s">
        <v>2654</v>
      </c>
      <c r="C1018" s="3" t="s">
        <v>2654</v>
      </c>
      <c r="D1018" s="3" t="s">
        <v>2655</v>
      </c>
      <c r="E1018" s="3" t="s">
        <v>120</v>
      </c>
      <c r="F1018" s="3">
        <v>69.98</v>
      </c>
      <c r="G1018" s="3" t="s">
        <v>121</v>
      </c>
      <c r="H1018" s="3"/>
      <c r="I1018" s="3" t="s">
        <v>122</v>
      </c>
      <c r="J1018" s="3">
        <v>4</v>
      </c>
      <c r="K1018" s="3">
        <v>4</v>
      </c>
      <c r="L1018" s="3">
        <v>0</v>
      </c>
      <c r="M1018" s="3">
        <v>0</v>
      </c>
      <c r="N1018" s="3">
        <v>4</v>
      </c>
      <c r="O1018" s="3">
        <v>0.15</v>
      </c>
      <c r="P1018" s="3">
        <v>0</v>
      </c>
      <c r="Q1018" s="3">
        <v>0</v>
      </c>
      <c r="R1018" s="3">
        <v>0</v>
      </c>
    </row>
    <row r="1019" spans="1:18">
      <c r="A1019" s="3" t="s">
        <v>2656</v>
      </c>
      <c r="B1019" s="3" t="s">
        <v>2657</v>
      </c>
      <c r="C1019" s="3" t="s">
        <v>2657</v>
      </c>
      <c r="D1019" s="3" t="s">
        <v>2658</v>
      </c>
      <c r="E1019" s="3" t="s">
        <v>120</v>
      </c>
      <c r="F1019" s="3">
        <v>69.98</v>
      </c>
      <c r="G1019" s="3" t="s">
        <v>121</v>
      </c>
      <c r="H1019" s="3"/>
      <c r="I1019" s="3" t="s">
        <v>122</v>
      </c>
      <c r="J1019" s="3">
        <v>8</v>
      </c>
      <c r="K1019" s="3">
        <v>8</v>
      </c>
      <c r="L1019" s="3">
        <v>0</v>
      </c>
      <c r="M1019" s="3">
        <v>0</v>
      </c>
      <c r="N1019" s="3">
        <v>8</v>
      </c>
      <c r="O1019" s="3">
        <v>0.15</v>
      </c>
      <c r="P1019" s="3">
        <v>0</v>
      </c>
      <c r="Q1019" s="3">
        <v>0</v>
      </c>
      <c r="R1019" s="3">
        <v>0</v>
      </c>
    </row>
    <row r="1020" spans="1:18">
      <c r="A1020" s="3" t="s">
        <v>2659</v>
      </c>
      <c r="B1020" s="3" t="s">
        <v>2660</v>
      </c>
      <c r="C1020" s="3" t="s">
        <v>2660</v>
      </c>
      <c r="D1020" s="3"/>
      <c r="E1020" s="3" t="s">
        <v>20</v>
      </c>
      <c r="F1020" s="3"/>
      <c r="G1020" s="3"/>
      <c r="H1020" s="3"/>
      <c r="I1020" s="3"/>
      <c r="J1020" s="3">
        <v>7</v>
      </c>
      <c r="K1020" s="3">
        <v>7</v>
      </c>
      <c r="L1020" s="3">
        <v>0</v>
      </c>
      <c r="M1020" s="3">
        <v>0</v>
      </c>
      <c r="N1020" s="3">
        <v>7</v>
      </c>
      <c r="O1020" s="3"/>
      <c r="P1020" s="3">
        <v>0</v>
      </c>
      <c r="Q1020" s="3">
        <v>0</v>
      </c>
      <c r="R1020" s="3">
        <v>0</v>
      </c>
    </row>
    <row r="1021" spans="1:18">
      <c r="A1021" s="3" t="s">
        <v>2661</v>
      </c>
      <c r="B1021" s="3" t="s">
        <v>2662</v>
      </c>
      <c r="C1021" s="3" t="s">
        <v>2662</v>
      </c>
      <c r="D1021" s="3" t="s">
        <v>2663</v>
      </c>
      <c r="E1021" s="3" t="s">
        <v>120</v>
      </c>
      <c r="F1021" s="3">
        <v>49.98</v>
      </c>
      <c r="G1021" s="3" t="s">
        <v>121</v>
      </c>
      <c r="H1021" s="3"/>
      <c r="I1021" s="3" t="s">
        <v>122</v>
      </c>
      <c r="J1021" s="3">
        <v>8</v>
      </c>
      <c r="K1021" s="3">
        <v>7</v>
      </c>
      <c r="L1021" s="3">
        <v>1</v>
      </c>
      <c r="M1021" s="3">
        <v>0</v>
      </c>
      <c r="N1021" s="3">
        <v>8</v>
      </c>
      <c r="O1021" s="3">
        <v>0.21</v>
      </c>
      <c r="P1021" s="3">
        <v>0</v>
      </c>
      <c r="Q1021" s="3">
        <v>0</v>
      </c>
      <c r="R1021" s="3">
        <v>0</v>
      </c>
    </row>
    <row r="1022" spans="1:18">
      <c r="A1022" s="3" t="s">
        <v>2664</v>
      </c>
      <c r="B1022" s="3" t="s">
        <v>2665</v>
      </c>
      <c r="C1022" s="3" t="s">
        <v>2665</v>
      </c>
      <c r="D1022" s="3" t="s">
        <v>2666</v>
      </c>
      <c r="E1022" s="3" t="s">
        <v>120</v>
      </c>
      <c r="F1022" s="3">
        <v>26.98</v>
      </c>
      <c r="G1022" s="3" t="s">
        <v>121</v>
      </c>
      <c r="H1022" s="3"/>
      <c r="I1022" s="3" t="s">
        <v>122</v>
      </c>
      <c r="J1022" s="3">
        <v>9</v>
      </c>
      <c r="K1022" s="3">
        <v>9</v>
      </c>
      <c r="L1022" s="3">
        <v>0</v>
      </c>
      <c r="M1022" s="3">
        <v>0</v>
      </c>
      <c r="N1022" s="3">
        <v>9</v>
      </c>
      <c r="O1022" s="3">
        <v>0.21</v>
      </c>
      <c r="P1022" s="3">
        <v>0</v>
      </c>
      <c r="Q1022" s="3">
        <v>0</v>
      </c>
      <c r="R1022" s="3">
        <v>0</v>
      </c>
    </row>
    <row r="1023" spans="1:18">
      <c r="A1023" s="3" t="s">
        <v>2667</v>
      </c>
      <c r="B1023" s="3" t="s">
        <v>2668</v>
      </c>
      <c r="C1023" s="3" t="s">
        <v>2668</v>
      </c>
      <c r="D1023" s="3" t="s">
        <v>2669</v>
      </c>
      <c r="E1023" s="3" t="s">
        <v>120</v>
      </c>
      <c r="F1023" s="3">
        <v>49.98</v>
      </c>
      <c r="G1023" s="3" t="s">
        <v>121</v>
      </c>
      <c r="H1023" s="3"/>
      <c r="I1023" s="3" t="s">
        <v>122</v>
      </c>
      <c r="J1023" s="3">
        <v>11</v>
      </c>
      <c r="K1023" s="3">
        <v>11</v>
      </c>
      <c r="L1023" s="3">
        <v>0</v>
      </c>
      <c r="M1023" s="3">
        <v>0</v>
      </c>
      <c r="N1023" s="3">
        <v>11</v>
      </c>
      <c r="O1023" s="3">
        <v>0.21</v>
      </c>
      <c r="P1023" s="3">
        <v>0</v>
      </c>
      <c r="Q1023" s="3">
        <v>0</v>
      </c>
      <c r="R1023" s="3">
        <v>0</v>
      </c>
    </row>
    <row r="1024" spans="1:18">
      <c r="A1024" s="3" t="s">
        <v>2670</v>
      </c>
      <c r="B1024" s="3" t="s">
        <v>2671</v>
      </c>
      <c r="C1024" s="3" t="s">
        <v>2671</v>
      </c>
      <c r="D1024" s="3" t="s">
        <v>2672</v>
      </c>
      <c r="E1024" s="3" t="s">
        <v>120</v>
      </c>
      <c r="F1024" s="3">
        <v>49.98</v>
      </c>
      <c r="G1024" s="3" t="s">
        <v>121</v>
      </c>
      <c r="H1024" s="3"/>
      <c r="I1024" s="3" t="s">
        <v>122</v>
      </c>
      <c r="J1024" s="3">
        <v>18</v>
      </c>
      <c r="K1024" s="3">
        <v>18</v>
      </c>
      <c r="L1024" s="3">
        <v>0</v>
      </c>
      <c r="M1024" s="3">
        <v>0</v>
      </c>
      <c r="N1024" s="3">
        <v>18</v>
      </c>
      <c r="O1024" s="3">
        <v>0.21</v>
      </c>
      <c r="P1024" s="3">
        <v>0</v>
      </c>
      <c r="Q1024" s="3">
        <v>0</v>
      </c>
      <c r="R1024" s="3">
        <v>0</v>
      </c>
    </row>
    <row r="1025" spans="1:18">
      <c r="A1025" s="3" t="s">
        <v>2673</v>
      </c>
      <c r="B1025" s="3" t="s">
        <v>2674</v>
      </c>
      <c r="C1025" s="3" t="s">
        <v>2674</v>
      </c>
      <c r="D1025" s="3" t="s">
        <v>2675</v>
      </c>
      <c r="E1025" s="3" t="s">
        <v>120</v>
      </c>
      <c r="F1025" s="3">
        <v>49.98</v>
      </c>
      <c r="G1025" s="3" t="s">
        <v>121</v>
      </c>
      <c r="H1025" s="3"/>
      <c r="I1025" s="3" t="s">
        <v>122</v>
      </c>
      <c r="J1025" s="3">
        <v>6</v>
      </c>
      <c r="K1025" s="3">
        <v>6</v>
      </c>
      <c r="L1025" s="3">
        <v>0</v>
      </c>
      <c r="M1025" s="3">
        <v>0</v>
      </c>
      <c r="N1025" s="3">
        <v>6</v>
      </c>
      <c r="O1025" s="3">
        <v>0.21</v>
      </c>
      <c r="P1025" s="3">
        <v>0</v>
      </c>
      <c r="Q1025" s="3">
        <v>0</v>
      </c>
      <c r="R1025" s="3">
        <v>0</v>
      </c>
    </row>
    <row r="1026" spans="1:18">
      <c r="A1026" s="3" t="s">
        <v>2676</v>
      </c>
      <c r="B1026" s="3" t="s">
        <v>2677</v>
      </c>
      <c r="C1026" s="3" t="s">
        <v>2677</v>
      </c>
      <c r="D1026" s="3" t="s">
        <v>2678</v>
      </c>
      <c r="E1026" s="3" t="s">
        <v>120</v>
      </c>
      <c r="F1026" s="3">
        <v>49.98</v>
      </c>
      <c r="G1026" s="3" t="s">
        <v>121</v>
      </c>
      <c r="H1026" s="3"/>
      <c r="I1026" s="3" t="s">
        <v>122</v>
      </c>
      <c r="J1026" s="3">
        <v>10</v>
      </c>
      <c r="K1026" s="3">
        <v>10</v>
      </c>
      <c r="L1026" s="3">
        <v>0</v>
      </c>
      <c r="M1026" s="3">
        <v>0</v>
      </c>
      <c r="N1026" s="3">
        <v>10</v>
      </c>
      <c r="O1026" s="3">
        <v>0.23</v>
      </c>
      <c r="P1026" s="3">
        <v>0</v>
      </c>
      <c r="Q1026" s="3">
        <v>0</v>
      </c>
      <c r="R1026" s="3">
        <v>0</v>
      </c>
    </row>
    <row r="1027" spans="1:18">
      <c r="A1027" s="3" t="s">
        <v>2679</v>
      </c>
      <c r="B1027" s="3" t="s">
        <v>2680</v>
      </c>
      <c r="C1027" s="3" t="s">
        <v>2680</v>
      </c>
      <c r="D1027" s="3" t="s">
        <v>2681</v>
      </c>
      <c r="E1027" s="3" t="s">
        <v>120</v>
      </c>
      <c r="F1027" s="3">
        <v>26.98</v>
      </c>
      <c r="G1027" s="3" t="s">
        <v>121</v>
      </c>
      <c r="H1027" s="3"/>
      <c r="I1027" s="3" t="s">
        <v>122</v>
      </c>
      <c r="J1027" s="3">
        <v>14</v>
      </c>
      <c r="K1027" s="3">
        <v>13</v>
      </c>
      <c r="L1027" s="3">
        <v>0</v>
      </c>
      <c r="M1027" s="3">
        <v>1</v>
      </c>
      <c r="N1027" s="3">
        <v>14</v>
      </c>
      <c r="O1027" s="3">
        <v>0.21</v>
      </c>
      <c r="P1027" s="3">
        <v>0</v>
      </c>
      <c r="Q1027" s="3">
        <v>0</v>
      </c>
      <c r="R1027" s="3">
        <v>0</v>
      </c>
    </row>
    <row r="1028" spans="1:18">
      <c r="A1028" s="3" t="s">
        <v>2682</v>
      </c>
      <c r="B1028" s="3" t="s">
        <v>2683</v>
      </c>
      <c r="C1028" s="3" t="s">
        <v>2683</v>
      </c>
      <c r="D1028" s="3" t="s">
        <v>2684</v>
      </c>
      <c r="E1028" s="3" t="s">
        <v>120</v>
      </c>
      <c r="F1028" s="3">
        <v>26.98</v>
      </c>
      <c r="G1028" s="3" t="s">
        <v>121</v>
      </c>
      <c r="H1028" s="3"/>
      <c r="I1028" s="3" t="s">
        <v>122</v>
      </c>
      <c r="J1028" s="3">
        <v>5</v>
      </c>
      <c r="K1028" s="3">
        <v>5</v>
      </c>
      <c r="L1028" s="3">
        <v>0</v>
      </c>
      <c r="M1028" s="3">
        <v>0</v>
      </c>
      <c r="N1028" s="3">
        <v>5</v>
      </c>
      <c r="O1028" s="3">
        <v>0.21</v>
      </c>
      <c r="P1028" s="3">
        <v>0</v>
      </c>
      <c r="Q1028" s="3">
        <v>0</v>
      </c>
      <c r="R1028" s="3">
        <v>0</v>
      </c>
    </row>
    <row r="1029" spans="1:18">
      <c r="A1029" s="3" t="s">
        <v>2685</v>
      </c>
      <c r="B1029" s="3" t="s">
        <v>2686</v>
      </c>
      <c r="C1029" s="3" t="s">
        <v>2686</v>
      </c>
      <c r="D1029" s="3" t="s">
        <v>2687</v>
      </c>
      <c r="E1029" s="3" t="s">
        <v>120</v>
      </c>
      <c r="F1029" s="3">
        <v>26.98</v>
      </c>
      <c r="G1029" s="3" t="s">
        <v>121</v>
      </c>
      <c r="H1029" s="3"/>
      <c r="I1029" s="3" t="s">
        <v>122</v>
      </c>
      <c r="J1029" s="3">
        <v>6</v>
      </c>
      <c r="K1029" s="3">
        <v>6</v>
      </c>
      <c r="L1029" s="3">
        <v>0</v>
      </c>
      <c r="M1029" s="3">
        <v>0</v>
      </c>
      <c r="N1029" s="3">
        <v>6</v>
      </c>
      <c r="O1029" s="3">
        <v>0.24</v>
      </c>
      <c r="P1029" s="3">
        <v>0</v>
      </c>
      <c r="Q1029" s="3">
        <v>0</v>
      </c>
      <c r="R1029" s="3">
        <v>0</v>
      </c>
    </row>
    <row r="1030" spans="1:18">
      <c r="A1030" s="3" t="s">
        <v>2688</v>
      </c>
      <c r="B1030" s="3" t="s">
        <v>2689</v>
      </c>
      <c r="C1030" s="3" t="s">
        <v>2689</v>
      </c>
      <c r="D1030" s="3" t="s">
        <v>2690</v>
      </c>
      <c r="E1030" s="3" t="s">
        <v>120</v>
      </c>
      <c r="F1030" s="3">
        <v>26.98</v>
      </c>
      <c r="G1030" s="3" t="s">
        <v>121</v>
      </c>
      <c r="H1030" s="3"/>
      <c r="I1030" s="3" t="s">
        <v>122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0.21</v>
      </c>
      <c r="P1030" s="3">
        <v>0</v>
      </c>
      <c r="Q1030" s="3">
        <v>0</v>
      </c>
      <c r="R1030" s="3">
        <v>0</v>
      </c>
    </row>
    <row r="1031" spans="1:18">
      <c r="A1031" s="3" t="s">
        <v>2691</v>
      </c>
      <c r="B1031" s="3" t="s">
        <v>2692</v>
      </c>
      <c r="C1031" s="3" t="s">
        <v>2692</v>
      </c>
      <c r="D1031" s="3" t="s">
        <v>2693</v>
      </c>
      <c r="E1031" s="3" t="s">
        <v>120</v>
      </c>
      <c r="F1031" s="3">
        <v>49.98</v>
      </c>
      <c r="G1031" s="3" t="s">
        <v>121</v>
      </c>
      <c r="H1031" s="3"/>
      <c r="I1031" s="3" t="s">
        <v>122</v>
      </c>
      <c r="J1031" s="3">
        <v>0</v>
      </c>
      <c r="K1031" s="3">
        <v>0</v>
      </c>
      <c r="L1031" s="3">
        <v>0</v>
      </c>
      <c r="M1031" s="3">
        <v>0</v>
      </c>
      <c r="N1031" s="3">
        <v>0</v>
      </c>
      <c r="O1031" s="3">
        <v>0.23</v>
      </c>
      <c r="P1031" s="3">
        <v>0</v>
      </c>
      <c r="Q1031" s="3">
        <v>0</v>
      </c>
      <c r="R1031" s="3">
        <v>0</v>
      </c>
    </row>
    <row r="1032" spans="1:18">
      <c r="A1032" s="3" t="s">
        <v>2694</v>
      </c>
      <c r="B1032" s="3" t="s">
        <v>2695</v>
      </c>
      <c r="C1032" s="3" t="s">
        <v>2695</v>
      </c>
      <c r="D1032" s="3" t="s">
        <v>2696</v>
      </c>
      <c r="E1032" s="3" t="s">
        <v>120</v>
      </c>
      <c r="F1032" s="3">
        <v>49.98</v>
      </c>
      <c r="G1032" s="3" t="s">
        <v>121</v>
      </c>
      <c r="H1032" s="3"/>
      <c r="I1032" s="3" t="s">
        <v>122</v>
      </c>
      <c r="J1032" s="3">
        <v>2</v>
      </c>
      <c r="K1032" s="3">
        <v>2</v>
      </c>
      <c r="L1032" s="3">
        <v>0</v>
      </c>
      <c r="M1032" s="3">
        <v>0</v>
      </c>
      <c r="N1032" s="3">
        <v>2</v>
      </c>
      <c r="O1032" s="3">
        <v>0.2</v>
      </c>
      <c r="P1032" s="3">
        <v>0</v>
      </c>
      <c r="Q1032" s="3">
        <v>0</v>
      </c>
      <c r="R1032" s="3">
        <v>0</v>
      </c>
    </row>
    <row r="1033" spans="1:18">
      <c r="A1033" s="3" t="s">
        <v>2697</v>
      </c>
      <c r="B1033" s="3" t="s">
        <v>2698</v>
      </c>
      <c r="C1033" s="3" t="s">
        <v>2698</v>
      </c>
      <c r="D1033" s="3" t="s">
        <v>2699</v>
      </c>
      <c r="E1033" s="3" t="s">
        <v>120</v>
      </c>
      <c r="F1033" s="3">
        <v>49.98</v>
      </c>
      <c r="G1033" s="3" t="s">
        <v>121</v>
      </c>
      <c r="H1033" s="3"/>
      <c r="I1033" s="3" t="s">
        <v>122</v>
      </c>
      <c r="J1033" s="3">
        <v>0</v>
      </c>
      <c r="K1033" s="3">
        <v>0</v>
      </c>
      <c r="L1033" s="3">
        <v>0</v>
      </c>
      <c r="M1033" s="3">
        <v>0</v>
      </c>
      <c r="N1033" s="3">
        <v>0</v>
      </c>
      <c r="O1033" s="3">
        <v>0.19</v>
      </c>
      <c r="P1033" s="3">
        <v>0</v>
      </c>
      <c r="Q1033" s="3">
        <v>0</v>
      </c>
      <c r="R1033" s="3">
        <v>0</v>
      </c>
    </row>
    <row r="1034" spans="1:18">
      <c r="A1034" s="3" t="s">
        <v>2700</v>
      </c>
      <c r="B1034" s="3" t="s">
        <v>2701</v>
      </c>
      <c r="C1034" s="3" t="s">
        <v>2701</v>
      </c>
      <c r="D1034" s="3" t="s">
        <v>2702</v>
      </c>
      <c r="E1034" s="3" t="s">
        <v>120</v>
      </c>
      <c r="F1034" s="3">
        <v>26.98</v>
      </c>
      <c r="G1034" s="3" t="s">
        <v>121</v>
      </c>
      <c r="H1034" s="3"/>
      <c r="I1034" s="3" t="s">
        <v>122</v>
      </c>
      <c r="J1034" s="3">
        <v>0</v>
      </c>
      <c r="K1034" s="3">
        <v>0</v>
      </c>
      <c r="L1034" s="3">
        <v>0</v>
      </c>
      <c r="M1034" s="3">
        <v>0</v>
      </c>
      <c r="N1034" s="3">
        <v>0</v>
      </c>
      <c r="O1034" s="3">
        <v>0.21</v>
      </c>
      <c r="P1034" s="3">
        <v>0</v>
      </c>
      <c r="Q1034" s="3">
        <v>0</v>
      </c>
      <c r="R1034" s="3">
        <v>0</v>
      </c>
    </row>
    <row r="1035" spans="1:18">
      <c r="A1035" s="3" t="s">
        <v>2703</v>
      </c>
      <c r="B1035" s="3" t="s">
        <v>2704</v>
      </c>
      <c r="C1035" s="3" t="s">
        <v>2704</v>
      </c>
      <c r="D1035" s="3" t="s">
        <v>2705</v>
      </c>
      <c r="E1035" s="3" t="s">
        <v>120</v>
      </c>
      <c r="F1035" s="3">
        <v>26.98</v>
      </c>
      <c r="G1035" s="3" t="s">
        <v>121</v>
      </c>
      <c r="H1035" s="3"/>
      <c r="I1035" s="3" t="s">
        <v>122</v>
      </c>
      <c r="J1035" s="3">
        <v>12</v>
      </c>
      <c r="K1035" s="3">
        <v>12</v>
      </c>
      <c r="L1035" s="3">
        <v>0</v>
      </c>
      <c r="M1035" s="3">
        <v>0</v>
      </c>
      <c r="N1035" s="3">
        <v>12</v>
      </c>
      <c r="O1035" s="3">
        <v>0.21</v>
      </c>
      <c r="P1035" s="3">
        <v>0</v>
      </c>
      <c r="Q1035" s="3">
        <v>0</v>
      </c>
      <c r="R1035" s="3">
        <v>0</v>
      </c>
    </row>
    <row r="1036" spans="1:18">
      <c r="A1036" s="3" t="s">
        <v>2706</v>
      </c>
      <c r="B1036" s="3" t="s">
        <v>2707</v>
      </c>
      <c r="C1036" s="3" t="s">
        <v>2707</v>
      </c>
      <c r="D1036" s="3" t="s">
        <v>486</v>
      </c>
      <c r="E1036" s="3" t="s">
        <v>120</v>
      </c>
      <c r="F1036" s="3">
        <v>26.98</v>
      </c>
      <c r="G1036" s="3" t="s">
        <v>121</v>
      </c>
      <c r="H1036" s="3"/>
      <c r="I1036" s="3" t="s">
        <v>122</v>
      </c>
      <c r="J1036" s="3">
        <v>17</v>
      </c>
      <c r="K1036" s="3">
        <v>17</v>
      </c>
      <c r="L1036" s="3">
        <v>0</v>
      </c>
      <c r="M1036" s="3">
        <v>0</v>
      </c>
      <c r="N1036" s="3">
        <v>17</v>
      </c>
      <c r="O1036" s="3">
        <v>0.21</v>
      </c>
      <c r="P1036" s="3">
        <v>0</v>
      </c>
      <c r="Q1036" s="3">
        <v>0</v>
      </c>
      <c r="R1036" s="3">
        <v>0</v>
      </c>
    </row>
    <row r="1037" spans="1:18">
      <c r="A1037" s="3" t="s">
        <v>2708</v>
      </c>
      <c r="B1037" s="3" t="s">
        <v>2709</v>
      </c>
      <c r="C1037" s="3" t="s">
        <v>2709</v>
      </c>
      <c r="D1037" s="3" t="s">
        <v>2710</v>
      </c>
      <c r="E1037" s="3" t="s">
        <v>120</v>
      </c>
      <c r="F1037" s="3">
        <v>26.98</v>
      </c>
      <c r="G1037" s="3" t="s">
        <v>121</v>
      </c>
      <c r="H1037" s="3"/>
      <c r="I1037" s="3" t="s">
        <v>122</v>
      </c>
      <c r="J1037" s="3">
        <v>4</v>
      </c>
      <c r="K1037" s="3">
        <v>4</v>
      </c>
      <c r="L1037" s="3">
        <v>0</v>
      </c>
      <c r="M1037" s="3">
        <v>0</v>
      </c>
      <c r="N1037" s="3">
        <v>4</v>
      </c>
      <c r="O1037" s="3">
        <v>0.21</v>
      </c>
      <c r="P1037" s="3">
        <v>0</v>
      </c>
      <c r="Q1037" s="3">
        <v>0</v>
      </c>
      <c r="R1037" s="3">
        <v>0</v>
      </c>
    </row>
    <row r="1038" spans="1:18">
      <c r="A1038" s="3" t="s">
        <v>2711</v>
      </c>
      <c r="B1038" s="3" t="s">
        <v>2712</v>
      </c>
      <c r="C1038" s="3" t="s">
        <v>2712</v>
      </c>
      <c r="D1038" s="3" t="s">
        <v>2713</v>
      </c>
      <c r="E1038" s="3" t="s">
        <v>120</v>
      </c>
      <c r="F1038" s="3">
        <v>26.98</v>
      </c>
      <c r="G1038" s="3" t="s">
        <v>121</v>
      </c>
      <c r="H1038" s="3"/>
      <c r="I1038" s="3" t="s">
        <v>122</v>
      </c>
      <c r="J1038" s="3">
        <v>14</v>
      </c>
      <c r="K1038" s="3">
        <v>14</v>
      </c>
      <c r="L1038" s="3">
        <v>0</v>
      </c>
      <c r="M1038" s="3">
        <v>0</v>
      </c>
      <c r="N1038" s="3">
        <v>14</v>
      </c>
      <c r="O1038" s="3">
        <v>0.21</v>
      </c>
      <c r="P1038" s="3">
        <v>0</v>
      </c>
      <c r="Q1038" s="3">
        <v>0</v>
      </c>
      <c r="R1038" s="3">
        <v>0</v>
      </c>
    </row>
    <row r="1039" spans="1:18">
      <c r="A1039" s="3" t="s">
        <v>2714</v>
      </c>
      <c r="B1039" s="3" t="s">
        <v>2715</v>
      </c>
      <c r="C1039" s="3" t="s">
        <v>2715</v>
      </c>
      <c r="D1039" s="3" t="s">
        <v>2716</v>
      </c>
      <c r="E1039" s="3" t="s">
        <v>120</v>
      </c>
      <c r="F1039" s="3">
        <v>26.98</v>
      </c>
      <c r="G1039" s="3" t="s">
        <v>121</v>
      </c>
      <c r="H1039" s="3"/>
      <c r="I1039" s="3" t="s">
        <v>122</v>
      </c>
      <c r="J1039" s="3">
        <v>11</v>
      </c>
      <c r="K1039" s="3">
        <v>11</v>
      </c>
      <c r="L1039" s="3">
        <v>0</v>
      </c>
      <c r="M1039" s="3">
        <v>0</v>
      </c>
      <c r="N1039" s="3">
        <v>11</v>
      </c>
      <c r="O1039" s="3">
        <v>0.21</v>
      </c>
      <c r="P1039" s="3">
        <v>0</v>
      </c>
      <c r="Q1039" s="3">
        <v>0</v>
      </c>
      <c r="R1039" s="3">
        <v>0</v>
      </c>
    </row>
    <row r="1040" spans="1:18">
      <c r="A1040" s="3" t="s">
        <v>2717</v>
      </c>
      <c r="B1040" s="3" t="s">
        <v>2718</v>
      </c>
      <c r="C1040" s="3" t="s">
        <v>2718</v>
      </c>
      <c r="D1040" s="3"/>
      <c r="E1040" s="3" t="s">
        <v>20</v>
      </c>
      <c r="F1040" s="3"/>
      <c r="G1040" s="3"/>
      <c r="H1040" s="3"/>
      <c r="I1040" s="3"/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/>
      <c r="P1040" s="3">
        <v>0</v>
      </c>
      <c r="Q1040" s="3">
        <v>0</v>
      </c>
      <c r="R1040" s="3">
        <v>0</v>
      </c>
    </row>
    <row r="1041" spans="1:18">
      <c r="A1041" s="3" t="s">
        <v>2719</v>
      </c>
      <c r="B1041" s="3" t="s">
        <v>371</v>
      </c>
      <c r="C1041" s="3" t="s">
        <v>371</v>
      </c>
      <c r="D1041" s="3" t="s">
        <v>372</v>
      </c>
      <c r="E1041" s="3" t="s">
        <v>120</v>
      </c>
      <c r="F1041" s="3">
        <v>22.98</v>
      </c>
      <c r="G1041" s="3" t="s">
        <v>121</v>
      </c>
      <c r="H1041" s="3"/>
      <c r="I1041" s="3" t="s">
        <v>122</v>
      </c>
      <c r="J1041" s="3">
        <v>0</v>
      </c>
      <c r="K1041" s="3">
        <v>0</v>
      </c>
      <c r="L1041" s="3">
        <v>0</v>
      </c>
      <c r="M1041" s="3">
        <v>0</v>
      </c>
      <c r="N1041" s="3">
        <v>0</v>
      </c>
      <c r="O1041" s="3">
        <v>0.04</v>
      </c>
      <c r="P1041" s="3">
        <v>0</v>
      </c>
      <c r="Q1041" s="3">
        <v>0</v>
      </c>
      <c r="R1041" s="3">
        <v>0</v>
      </c>
    </row>
    <row r="1042" spans="1:18">
      <c r="A1042" s="3" t="s">
        <v>2720</v>
      </c>
      <c r="B1042" s="3" t="s">
        <v>375</v>
      </c>
      <c r="C1042" s="3" t="s">
        <v>375</v>
      </c>
      <c r="D1042" s="3" t="s">
        <v>376</v>
      </c>
      <c r="E1042" s="3" t="s">
        <v>120</v>
      </c>
      <c r="F1042" s="3">
        <v>17.98</v>
      </c>
      <c r="G1042" s="3" t="s">
        <v>121</v>
      </c>
      <c r="H1042" s="3"/>
      <c r="I1042" s="3" t="s">
        <v>122</v>
      </c>
      <c r="J1042" s="3">
        <v>2</v>
      </c>
      <c r="K1042" s="3">
        <v>0</v>
      </c>
      <c r="L1042" s="3">
        <v>0</v>
      </c>
      <c r="M1042" s="3">
        <v>2</v>
      </c>
      <c r="N1042" s="3">
        <v>2</v>
      </c>
      <c r="O1042" s="3">
        <v>0.04</v>
      </c>
      <c r="P1042" s="3">
        <v>0</v>
      </c>
      <c r="Q1042" s="3">
        <v>0</v>
      </c>
      <c r="R1042" s="3">
        <v>0</v>
      </c>
    </row>
    <row r="1043" spans="1:18">
      <c r="A1043" s="3" t="s">
        <v>2721</v>
      </c>
      <c r="B1043" s="3" t="s">
        <v>379</v>
      </c>
      <c r="C1043" s="3" t="s">
        <v>379</v>
      </c>
      <c r="D1043" s="3" t="s">
        <v>380</v>
      </c>
      <c r="E1043" s="3" t="s">
        <v>120</v>
      </c>
      <c r="F1043" s="3">
        <v>24.98</v>
      </c>
      <c r="G1043" s="3" t="s">
        <v>121</v>
      </c>
      <c r="H1043" s="3"/>
      <c r="I1043" s="3" t="s">
        <v>122</v>
      </c>
      <c r="J1043" s="3">
        <v>0</v>
      </c>
      <c r="K1043" s="3">
        <v>0</v>
      </c>
      <c r="L1043" s="3">
        <v>0</v>
      </c>
      <c r="M1043" s="3">
        <v>0</v>
      </c>
      <c r="N1043" s="3">
        <v>0</v>
      </c>
      <c r="O1043" s="3">
        <v>0.07</v>
      </c>
      <c r="P1043" s="3">
        <v>0</v>
      </c>
      <c r="Q1043" s="3">
        <v>0</v>
      </c>
      <c r="R1043" s="3">
        <v>0</v>
      </c>
    </row>
    <row r="1044" spans="1:18">
      <c r="A1044" s="3" t="s">
        <v>2722</v>
      </c>
      <c r="B1044" s="3" t="s">
        <v>383</v>
      </c>
      <c r="C1044" s="3" t="s">
        <v>383</v>
      </c>
      <c r="D1044" s="3"/>
      <c r="E1044" s="3" t="s">
        <v>20</v>
      </c>
      <c r="F1044" s="3"/>
      <c r="G1044" s="3"/>
      <c r="H1044" s="3"/>
      <c r="I1044" s="3"/>
      <c r="J1044" s="3">
        <v>6</v>
      </c>
      <c r="K1044" s="3">
        <v>6</v>
      </c>
      <c r="L1044" s="3">
        <v>0</v>
      </c>
      <c r="M1044" s="3">
        <v>0</v>
      </c>
      <c r="N1044" s="3">
        <v>6</v>
      </c>
      <c r="O1044" s="3"/>
      <c r="P1044" s="3">
        <v>0</v>
      </c>
      <c r="Q1044" s="3">
        <v>0</v>
      </c>
      <c r="R1044" s="3">
        <v>0</v>
      </c>
    </row>
    <row r="1045" spans="1:18">
      <c r="A1045" s="3" t="s">
        <v>2723</v>
      </c>
      <c r="B1045" s="3" t="s">
        <v>387</v>
      </c>
      <c r="C1045" s="3" t="s">
        <v>387</v>
      </c>
      <c r="D1045" s="3" t="s">
        <v>388</v>
      </c>
      <c r="E1045" s="3" t="s">
        <v>120</v>
      </c>
      <c r="F1045" s="3">
        <v>24.98</v>
      </c>
      <c r="G1045" s="3" t="s">
        <v>121</v>
      </c>
      <c r="H1045" s="3"/>
      <c r="I1045" s="3" t="s">
        <v>122</v>
      </c>
      <c r="J1045" s="3">
        <v>1</v>
      </c>
      <c r="K1045" s="3">
        <v>1</v>
      </c>
      <c r="L1045" s="3">
        <v>0</v>
      </c>
      <c r="M1045" s="3">
        <v>0</v>
      </c>
      <c r="N1045" s="3">
        <v>1</v>
      </c>
      <c r="O1045" s="3">
        <v>0.07</v>
      </c>
      <c r="P1045" s="3">
        <v>0</v>
      </c>
      <c r="Q1045" s="3">
        <v>0</v>
      </c>
      <c r="R1045" s="3">
        <v>0</v>
      </c>
    </row>
    <row r="1046" spans="1:18">
      <c r="A1046" s="3" t="s">
        <v>2724</v>
      </c>
      <c r="B1046" s="3" t="s">
        <v>391</v>
      </c>
      <c r="C1046" s="3" t="s">
        <v>391</v>
      </c>
      <c r="D1046" s="3" t="s">
        <v>392</v>
      </c>
      <c r="E1046" s="3" t="s">
        <v>120</v>
      </c>
      <c r="F1046" s="3">
        <v>22.98</v>
      </c>
      <c r="G1046" s="3" t="s">
        <v>121</v>
      </c>
      <c r="H1046" s="3"/>
      <c r="I1046" s="3" t="s">
        <v>122</v>
      </c>
      <c r="J1046" s="3">
        <v>2</v>
      </c>
      <c r="K1046" s="3">
        <v>2</v>
      </c>
      <c r="L1046" s="3">
        <v>0</v>
      </c>
      <c r="M1046" s="3">
        <v>0</v>
      </c>
      <c r="N1046" s="3">
        <v>2</v>
      </c>
      <c r="O1046" s="3">
        <v>0.07</v>
      </c>
      <c r="P1046" s="3">
        <v>0</v>
      </c>
      <c r="Q1046" s="3">
        <v>0</v>
      </c>
      <c r="R1046" s="3">
        <v>0</v>
      </c>
    </row>
    <row r="1047" spans="1:18">
      <c r="A1047" s="3" t="s">
        <v>2725</v>
      </c>
      <c r="B1047" s="3" t="s">
        <v>395</v>
      </c>
      <c r="C1047" s="3" t="s">
        <v>395</v>
      </c>
      <c r="D1047" s="3" t="s">
        <v>396</v>
      </c>
      <c r="E1047" s="3" t="s">
        <v>120</v>
      </c>
      <c r="F1047" s="3">
        <v>18.98</v>
      </c>
      <c r="G1047" s="3" t="s">
        <v>121</v>
      </c>
      <c r="H1047" s="3"/>
      <c r="I1047" s="3" t="s">
        <v>122</v>
      </c>
      <c r="J1047" s="3">
        <v>13</v>
      </c>
      <c r="K1047" s="3">
        <v>13</v>
      </c>
      <c r="L1047" s="3">
        <v>0</v>
      </c>
      <c r="M1047" s="3">
        <v>0</v>
      </c>
      <c r="N1047" s="3">
        <v>13</v>
      </c>
      <c r="O1047" s="3">
        <v>0.07</v>
      </c>
      <c r="P1047" s="3">
        <v>0</v>
      </c>
      <c r="Q1047" s="3">
        <v>0</v>
      </c>
      <c r="R1047" s="3">
        <v>0</v>
      </c>
    </row>
    <row r="1048" spans="1:18">
      <c r="A1048" s="3" t="s">
        <v>2726</v>
      </c>
      <c r="B1048" s="3" t="s">
        <v>399</v>
      </c>
      <c r="C1048" s="3" t="s">
        <v>399</v>
      </c>
      <c r="D1048" s="3" t="s">
        <v>400</v>
      </c>
      <c r="E1048" s="3" t="s">
        <v>120</v>
      </c>
      <c r="F1048" s="3">
        <v>24.98</v>
      </c>
      <c r="G1048" s="3" t="s">
        <v>121</v>
      </c>
      <c r="H1048" s="3"/>
      <c r="I1048" s="3" t="s">
        <v>122</v>
      </c>
      <c r="J1048" s="3">
        <v>0</v>
      </c>
      <c r="K1048" s="3">
        <v>0</v>
      </c>
      <c r="L1048" s="3">
        <v>0</v>
      </c>
      <c r="M1048" s="3">
        <v>0</v>
      </c>
      <c r="N1048" s="3">
        <v>0</v>
      </c>
      <c r="O1048" s="3">
        <v>0.07</v>
      </c>
      <c r="P1048" s="3">
        <v>0</v>
      </c>
      <c r="Q1048" s="3">
        <v>0</v>
      </c>
      <c r="R1048" s="3">
        <v>0</v>
      </c>
    </row>
    <row r="1049" spans="1:18">
      <c r="A1049" s="3" t="s">
        <v>2727</v>
      </c>
      <c r="B1049" s="3" t="s">
        <v>403</v>
      </c>
      <c r="C1049" s="3" t="s">
        <v>403</v>
      </c>
      <c r="D1049" s="3" t="s">
        <v>404</v>
      </c>
      <c r="E1049" s="3" t="s">
        <v>120</v>
      </c>
      <c r="F1049" s="3">
        <v>23.98</v>
      </c>
      <c r="G1049" s="3" t="s">
        <v>121</v>
      </c>
      <c r="H1049" s="3"/>
      <c r="I1049" s="3" t="s">
        <v>122</v>
      </c>
      <c r="J1049" s="3">
        <v>0</v>
      </c>
      <c r="K1049" s="3">
        <v>0</v>
      </c>
      <c r="L1049" s="3">
        <v>0</v>
      </c>
      <c r="M1049" s="3">
        <v>0</v>
      </c>
      <c r="N1049" s="3">
        <v>0</v>
      </c>
      <c r="O1049" s="3">
        <v>0.07</v>
      </c>
      <c r="P1049" s="3">
        <v>0</v>
      </c>
      <c r="Q1049" s="3">
        <v>0</v>
      </c>
      <c r="R1049" s="3">
        <v>0</v>
      </c>
    </row>
    <row r="1050" spans="1:18">
      <c r="A1050" s="3" t="s">
        <v>2728</v>
      </c>
      <c r="B1050" s="3" t="s">
        <v>407</v>
      </c>
      <c r="C1050" s="3" t="s">
        <v>407</v>
      </c>
      <c r="D1050" s="3" t="s">
        <v>408</v>
      </c>
      <c r="E1050" s="3" t="s">
        <v>120</v>
      </c>
      <c r="F1050" s="3">
        <v>24.98</v>
      </c>
      <c r="G1050" s="3" t="s">
        <v>121</v>
      </c>
      <c r="H1050" s="3"/>
      <c r="I1050" s="3" t="s">
        <v>122</v>
      </c>
      <c r="J1050" s="3">
        <v>1</v>
      </c>
      <c r="K1050" s="3">
        <v>0</v>
      </c>
      <c r="L1050" s="3">
        <v>0</v>
      </c>
      <c r="M1050" s="3">
        <v>1</v>
      </c>
      <c r="N1050" s="3">
        <v>1</v>
      </c>
      <c r="O1050" s="3">
        <v>0.07</v>
      </c>
      <c r="P1050" s="3">
        <v>0</v>
      </c>
      <c r="Q1050" s="3">
        <v>0</v>
      </c>
      <c r="R1050" s="3">
        <v>0</v>
      </c>
    </row>
    <row r="1051" spans="1:18">
      <c r="A1051" s="3" t="s">
        <v>2729</v>
      </c>
      <c r="B1051" s="3" t="s">
        <v>411</v>
      </c>
      <c r="C1051" s="3" t="s">
        <v>411</v>
      </c>
      <c r="D1051" s="3" t="s">
        <v>412</v>
      </c>
      <c r="E1051" s="3" t="s">
        <v>120</v>
      </c>
      <c r="F1051" s="3">
        <v>22.98</v>
      </c>
      <c r="G1051" s="3" t="s">
        <v>121</v>
      </c>
      <c r="H1051" s="3"/>
      <c r="I1051" s="3" t="s">
        <v>122</v>
      </c>
      <c r="J1051" s="3">
        <v>13</v>
      </c>
      <c r="K1051" s="3">
        <v>13</v>
      </c>
      <c r="L1051" s="3">
        <v>0</v>
      </c>
      <c r="M1051" s="3">
        <v>0</v>
      </c>
      <c r="N1051" s="3">
        <v>13</v>
      </c>
      <c r="O1051" s="3">
        <v>0.07</v>
      </c>
      <c r="P1051" s="3">
        <v>0</v>
      </c>
      <c r="Q1051" s="3">
        <v>0</v>
      </c>
      <c r="R1051" s="3">
        <v>0</v>
      </c>
    </row>
    <row r="1052" spans="1:18">
      <c r="A1052" s="3" t="s">
        <v>2730</v>
      </c>
      <c r="B1052" s="3" t="s">
        <v>415</v>
      </c>
      <c r="C1052" s="3" t="s">
        <v>415</v>
      </c>
      <c r="D1052" s="3" t="s">
        <v>416</v>
      </c>
      <c r="E1052" s="3" t="s">
        <v>120</v>
      </c>
      <c r="F1052" s="3">
        <v>21.98</v>
      </c>
      <c r="G1052" s="3" t="s">
        <v>121</v>
      </c>
      <c r="H1052" s="3"/>
      <c r="I1052" s="3" t="s">
        <v>122</v>
      </c>
      <c r="J1052" s="3">
        <v>14</v>
      </c>
      <c r="K1052" s="3">
        <v>14</v>
      </c>
      <c r="L1052" s="3">
        <v>0</v>
      </c>
      <c r="M1052" s="3">
        <v>0</v>
      </c>
      <c r="N1052" s="3">
        <v>14</v>
      </c>
      <c r="O1052" s="3">
        <v>0.05</v>
      </c>
      <c r="P1052" s="3">
        <v>0</v>
      </c>
      <c r="Q1052" s="3">
        <v>0</v>
      </c>
      <c r="R1052" s="3">
        <v>0</v>
      </c>
    </row>
    <row r="1053" spans="1:18">
      <c r="A1053" s="3" t="s">
        <v>2731</v>
      </c>
      <c r="B1053" s="3" t="s">
        <v>419</v>
      </c>
      <c r="C1053" s="3" t="s">
        <v>419</v>
      </c>
      <c r="D1053" s="3" t="s">
        <v>420</v>
      </c>
      <c r="E1053" s="3" t="s">
        <v>120</v>
      </c>
      <c r="F1053" s="3">
        <v>24.98</v>
      </c>
      <c r="G1053" s="3" t="s">
        <v>121</v>
      </c>
      <c r="H1053" s="3"/>
      <c r="I1053" s="3" t="s">
        <v>122</v>
      </c>
      <c r="J1053" s="3">
        <v>10</v>
      </c>
      <c r="K1053" s="3">
        <v>9</v>
      </c>
      <c r="L1053" s="3">
        <v>0</v>
      </c>
      <c r="M1053" s="3">
        <v>1</v>
      </c>
      <c r="N1053" s="3">
        <v>10</v>
      </c>
      <c r="O1053" s="3">
        <v>0.07</v>
      </c>
      <c r="P1053" s="3">
        <v>0</v>
      </c>
      <c r="Q1053" s="3">
        <v>0</v>
      </c>
      <c r="R1053" s="3">
        <v>0</v>
      </c>
    </row>
    <row r="1054" spans="1:18">
      <c r="A1054" s="3" t="s">
        <v>2732</v>
      </c>
      <c r="B1054" s="3" t="s">
        <v>423</v>
      </c>
      <c r="C1054" s="3" t="s">
        <v>423</v>
      </c>
      <c r="D1054" s="3" t="s">
        <v>2733</v>
      </c>
      <c r="E1054" s="3" t="s">
        <v>120</v>
      </c>
      <c r="F1054" s="3">
        <v>22.98</v>
      </c>
      <c r="G1054" s="3" t="s">
        <v>121</v>
      </c>
      <c r="H1054" s="3"/>
      <c r="I1054" s="3" t="s">
        <v>122</v>
      </c>
      <c r="J1054" s="3">
        <v>14</v>
      </c>
      <c r="K1054" s="3">
        <v>14</v>
      </c>
      <c r="L1054" s="3">
        <v>0</v>
      </c>
      <c r="M1054" s="3">
        <v>0</v>
      </c>
      <c r="N1054" s="3">
        <v>14</v>
      </c>
      <c r="O1054" s="3">
        <v>0.07</v>
      </c>
      <c r="P1054" s="3">
        <v>0</v>
      </c>
      <c r="Q1054" s="3">
        <v>0</v>
      </c>
      <c r="R1054" s="3">
        <v>0</v>
      </c>
    </row>
    <row r="1055" spans="1:18">
      <c r="A1055" s="3" t="s">
        <v>2734</v>
      </c>
      <c r="B1055" s="3" t="s">
        <v>2735</v>
      </c>
      <c r="C1055" s="3" t="s">
        <v>2736</v>
      </c>
      <c r="D1055" s="3" t="s">
        <v>1725</v>
      </c>
      <c r="E1055" s="3" t="s">
        <v>120</v>
      </c>
      <c r="F1055" s="3">
        <v>24.98</v>
      </c>
      <c r="G1055" s="3" t="s">
        <v>121</v>
      </c>
      <c r="H1055" s="3"/>
      <c r="I1055" s="3" t="s">
        <v>122</v>
      </c>
      <c r="J1055" s="3">
        <v>0</v>
      </c>
      <c r="K1055" s="3">
        <v>0</v>
      </c>
      <c r="L1055" s="3">
        <v>0</v>
      </c>
      <c r="M1055" s="3">
        <v>0</v>
      </c>
      <c r="N1055" s="3">
        <v>40</v>
      </c>
      <c r="O1055" s="3">
        <v>0.05</v>
      </c>
      <c r="P1055" s="3">
        <v>0</v>
      </c>
      <c r="Q1055" s="3">
        <v>40</v>
      </c>
      <c r="R1055" s="3">
        <v>0</v>
      </c>
    </row>
    <row r="1056" spans="1:18">
      <c r="A1056" s="3" t="s">
        <v>2737</v>
      </c>
      <c r="B1056" s="3" t="s">
        <v>2738</v>
      </c>
      <c r="C1056" s="3" t="s">
        <v>2739</v>
      </c>
      <c r="D1056" s="3" t="s">
        <v>1725</v>
      </c>
      <c r="E1056" s="3" t="s">
        <v>120</v>
      </c>
      <c r="F1056" s="3">
        <v>22.98</v>
      </c>
      <c r="G1056" s="3" t="s">
        <v>121</v>
      </c>
      <c r="H1056" s="3"/>
      <c r="I1056" s="3" t="s">
        <v>122</v>
      </c>
      <c r="J1056" s="3">
        <v>0</v>
      </c>
      <c r="K1056" s="3">
        <v>0</v>
      </c>
      <c r="L1056" s="3">
        <v>0</v>
      </c>
      <c r="M1056" s="3">
        <v>0</v>
      </c>
      <c r="N1056" s="3">
        <v>15</v>
      </c>
      <c r="O1056" s="3">
        <v>0.05</v>
      </c>
      <c r="P1056" s="3">
        <v>0</v>
      </c>
      <c r="Q1056" s="3">
        <v>15</v>
      </c>
      <c r="R1056" s="3">
        <v>0</v>
      </c>
    </row>
    <row r="1057" spans="1:18">
      <c r="A1057" s="3" t="s">
        <v>2740</v>
      </c>
      <c r="B1057" s="3" t="s">
        <v>2741</v>
      </c>
      <c r="C1057" s="3" t="s">
        <v>2742</v>
      </c>
      <c r="D1057" s="3" t="s">
        <v>1725</v>
      </c>
      <c r="E1057" s="3" t="s">
        <v>120</v>
      </c>
      <c r="F1057" s="3">
        <v>22.98</v>
      </c>
      <c r="G1057" s="3" t="s">
        <v>121</v>
      </c>
      <c r="H1057" s="3"/>
      <c r="I1057" s="3" t="s">
        <v>122</v>
      </c>
      <c r="J1057" s="3">
        <v>5</v>
      </c>
      <c r="K1057" s="3">
        <v>5</v>
      </c>
      <c r="L1057" s="3">
        <v>0</v>
      </c>
      <c r="M1057" s="3">
        <v>0</v>
      </c>
      <c r="N1057" s="3">
        <v>5</v>
      </c>
      <c r="O1057" s="3">
        <v>0.02</v>
      </c>
      <c r="P1057" s="3">
        <v>0</v>
      </c>
      <c r="Q1057" s="3">
        <v>0</v>
      </c>
      <c r="R1057" s="3">
        <v>0</v>
      </c>
    </row>
    <row r="1058" spans="1:18">
      <c r="A1058" s="3" t="s">
        <v>2743</v>
      </c>
      <c r="B1058" s="3" t="s">
        <v>2744</v>
      </c>
      <c r="C1058" s="3" t="s">
        <v>2745</v>
      </c>
      <c r="D1058" s="3" t="s">
        <v>1725</v>
      </c>
      <c r="E1058" s="3" t="s">
        <v>120</v>
      </c>
      <c r="F1058" s="3">
        <v>24.98</v>
      </c>
      <c r="G1058" s="3" t="s">
        <v>121</v>
      </c>
      <c r="H1058" s="3"/>
      <c r="I1058" s="3" t="s">
        <v>122</v>
      </c>
      <c r="J1058" s="3">
        <v>1</v>
      </c>
      <c r="K1058" s="3">
        <v>1</v>
      </c>
      <c r="L1058" s="3">
        <v>0</v>
      </c>
      <c r="M1058" s="3">
        <v>0</v>
      </c>
      <c r="N1058" s="3">
        <v>41</v>
      </c>
      <c r="O1058" s="3">
        <v>0.05</v>
      </c>
      <c r="P1058" s="3">
        <v>0</v>
      </c>
      <c r="Q1058" s="3">
        <v>40</v>
      </c>
      <c r="R1058" s="3">
        <v>0</v>
      </c>
    </row>
    <row r="1059" spans="1:18">
      <c r="A1059" s="3" t="s">
        <v>2746</v>
      </c>
      <c r="B1059" s="3" t="s">
        <v>2747</v>
      </c>
      <c r="C1059" s="3" t="s">
        <v>2748</v>
      </c>
      <c r="D1059" s="3" t="s">
        <v>1725</v>
      </c>
      <c r="E1059" s="3" t="s">
        <v>120</v>
      </c>
      <c r="F1059" s="3">
        <v>24.98</v>
      </c>
      <c r="G1059" s="3" t="s">
        <v>121</v>
      </c>
      <c r="H1059" s="3"/>
      <c r="I1059" s="3" t="s">
        <v>122</v>
      </c>
      <c r="J1059" s="3">
        <v>0</v>
      </c>
      <c r="K1059" s="3">
        <v>0</v>
      </c>
      <c r="L1059" s="3">
        <v>0</v>
      </c>
      <c r="M1059" s="3">
        <v>0</v>
      </c>
      <c r="N1059" s="3">
        <v>40</v>
      </c>
      <c r="O1059" s="3">
        <v>0.05</v>
      </c>
      <c r="P1059" s="3">
        <v>0</v>
      </c>
      <c r="Q1059" s="3">
        <v>40</v>
      </c>
      <c r="R1059" s="3">
        <v>0</v>
      </c>
    </row>
    <row r="1060" spans="1:18">
      <c r="A1060" s="3" t="s">
        <v>2749</v>
      </c>
      <c r="B1060" s="3" t="s">
        <v>2750</v>
      </c>
      <c r="C1060" s="3" t="s">
        <v>2751</v>
      </c>
      <c r="D1060" s="3" t="s">
        <v>1725</v>
      </c>
      <c r="E1060" s="3" t="s">
        <v>120</v>
      </c>
      <c r="F1060" s="3">
        <v>22.98</v>
      </c>
      <c r="G1060" s="3" t="s">
        <v>121</v>
      </c>
      <c r="H1060" s="3"/>
      <c r="I1060" s="3" t="s">
        <v>122</v>
      </c>
      <c r="J1060" s="3">
        <v>14</v>
      </c>
      <c r="K1060" s="3">
        <v>14</v>
      </c>
      <c r="L1060" s="3">
        <v>0</v>
      </c>
      <c r="M1060" s="3">
        <v>0</v>
      </c>
      <c r="N1060" s="3">
        <v>14</v>
      </c>
      <c r="O1060" s="3">
        <v>0.02</v>
      </c>
      <c r="P1060" s="3">
        <v>0</v>
      </c>
      <c r="Q1060" s="3">
        <v>0</v>
      </c>
      <c r="R1060" s="3">
        <v>0</v>
      </c>
    </row>
    <row r="1061" spans="1:18">
      <c r="A1061" s="3" t="s">
        <v>2752</v>
      </c>
      <c r="B1061" s="3" t="s">
        <v>2753</v>
      </c>
      <c r="C1061" s="3" t="s">
        <v>2754</v>
      </c>
      <c r="D1061" s="3" t="s">
        <v>1725</v>
      </c>
      <c r="E1061" s="3" t="s">
        <v>120</v>
      </c>
      <c r="F1061" s="3">
        <v>22.98</v>
      </c>
      <c r="G1061" s="3" t="s">
        <v>121</v>
      </c>
      <c r="H1061" s="3"/>
      <c r="I1061" s="3" t="s">
        <v>122</v>
      </c>
      <c r="J1061" s="3">
        <v>14</v>
      </c>
      <c r="K1061" s="3">
        <v>14</v>
      </c>
      <c r="L1061" s="3">
        <v>0</v>
      </c>
      <c r="M1061" s="3">
        <v>0</v>
      </c>
      <c r="N1061" s="3">
        <v>14</v>
      </c>
      <c r="O1061" s="3">
        <v>0.05</v>
      </c>
      <c r="P1061" s="3">
        <v>0</v>
      </c>
      <c r="Q1061" s="3">
        <v>0</v>
      </c>
      <c r="R1061" s="3">
        <v>0</v>
      </c>
    </row>
    <row r="1062" spans="1:18">
      <c r="A1062" s="3" t="s">
        <v>2755</v>
      </c>
      <c r="B1062" s="3" t="s">
        <v>2756</v>
      </c>
      <c r="C1062" s="3" t="s">
        <v>2757</v>
      </c>
      <c r="D1062" s="3" t="s">
        <v>1725</v>
      </c>
      <c r="E1062" s="3" t="s">
        <v>120</v>
      </c>
      <c r="F1062" s="3">
        <v>22.98</v>
      </c>
      <c r="G1062" s="3" t="s">
        <v>121</v>
      </c>
      <c r="H1062" s="3"/>
      <c r="I1062" s="3" t="s">
        <v>122</v>
      </c>
      <c r="J1062" s="3">
        <v>7</v>
      </c>
      <c r="K1062" s="3">
        <v>7</v>
      </c>
      <c r="L1062" s="3">
        <v>0</v>
      </c>
      <c r="M1062" s="3">
        <v>0</v>
      </c>
      <c r="N1062" s="3">
        <v>7</v>
      </c>
      <c r="O1062" s="3">
        <v>0.02</v>
      </c>
      <c r="P1062" s="3">
        <v>0</v>
      </c>
      <c r="Q1062" s="3">
        <v>0</v>
      </c>
      <c r="R1062" s="3">
        <v>0</v>
      </c>
    </row>
    <row r="1063" spans="1:18">
      <c r="A1063" s="3" t="s">
        <v>2758</v>
      </c>
      <c r="B1063" s="3" t="s">
        <v>2759</v>
      </c>
      <c r="C1063" s="3" t="s">
        <v>2760</v>
      </c>
      <c r="D1063" s="3" t="s">
        <v>1725</v>
      </c>
      <c r="E1063" s="3" t="s">
        <v>120</v>
      </c>
      <c r="F1063" s="3">
        <v>23.98</v>
      </c>
      <c r="G1063" s="3" t="s">
        <v>121</v>
      </c>
      <c r="H1063" s="3"/>
      <c r="I1063" s="3" t="s">
        <v>122</v>
      </c>
      <c r="J1063" s="3">
        <v>24</v>
      </c>
      <c r="K1063" s="3">
        <v>24</v>
      </c>
      <c r="L1063" s="3">
        <v>0</v>
      </c>
      <c r="M1063" s="3">
        <v>0</v>
      </c>
      <c r="N1063" s="3">
        <v>24</v>
      </c>
      <c r="O1063" s="3">
        <v>0.05</v>
      </c>
      <c r="P1063" s="3">
        <v>0</v>
      </c>
      <c r="Q1063" s="3">
        <v>0</v>
      </c>
      <c r="R1063" s="3">
        <v>0</v>
      </c>
    </row>
    <row r="1064" spans="1:18">
      <c r="A1064" s="3" t="s">
        <v>2761</v>
      </c>
      <c r="B1064" s="3" t="s">
        <v>2762</v>
      </c>
      <c r="C1064" s="3" t="s">
        <v>2763</v>
      </c>
      <c r="D1064" s="3" t="s">
        <v>1725</v>
      </c>
      <c r="E1064" s="3" t="s">
        <v>120</v>
      </c>
      <c r="F1064" s="3">
        <v>23.98</v>
      </c>
      <c r="G1064" s="3" t="s">
        <v>121</v>
      </c>
      <c r="H1064" s="3"/>
      <c r="I1064" s="3" t="s">
        <v>122</v>
      </c>
      <c r="J1064" s="3">
        <v>19</v>
      </c>
      <c r="K1064" s="3">
        <v>18</v>
      </c>
      <c r="L1064" s="3">
        <v>0</v>
      </c>
      <c r="M1064" s="3">
        <v>1</v>
      </c>
      <c r="N1064" s="3">
        <v>19</v>
      </c>
      <c r="O1064" s="3">
        <v>0.05</v>
      </c>
      <c r="P1064" s="3">
        <v>0</v>
      </c>
      <c r="Q1064" s="3">
        <v>0</v>
      </c>
      <c r="R1064" s="3">
        <v>0</v>
      </c>
    </row>
    <row r="1065" spans="1:18">
      <c r="A1065" s="3" t="s">
        <v>2764</v>
      </c>
      <c r="B1065" s="3" t="s">
        <v>426</v>
      </c>
      <c r="C1065" s="3" t="s">
        <v>426</v>
      </c>
      <c r="D1065" s="3" t="s">
        <v>427</v>
      </c>
      <c r="E1065" s="3" t="s">
        <v>120</v>
      </c>
      <c r="F1065" s="3">
        <v>22.98</v>
      </c>
      <c r="G1065" s="3" t="s">
        <v>121</v>
      </c>
      <c r="H1065" s="3"/>
      <c r="I1065" s="3" t="s">
        <v>122</v>
      </c>
      <c r="J1065" s="3">
        <v>0</v>
      </c>
      <c r="K1065" s="3">
        <v>0</v>
      </c>
      <c r="L1065" s="3">
        <v>0</v>
      </c>
      <c r="M1065" s="3">
        <v>0</v>
      </c>
      <c r="N1065" s="3">
        <v>0</v>
      </c>
      <c r="O1065" s="3">
        <v>0.07</v>
      </c>
      <c r="P1065" s="3">
        <v>0</v>
      </c>
      <c r="Q1065" s="3">
        <v>0</v>
      </c>
      <c r="R1065" s="3">
        <v>0</v>
      </c>
    </row>
    <row r="1066" spans="1:18">
      <c r="A1066" s="3" t="s">
        <v>2765</v>
      </c>
      <c r="B1066" s="3" t="s">
        <v>430</v>
      </c>
      <c r="C1066" s="3" t="s">
        <v>430</v>
      </c>
      <c r="D1066" s="3" t="s">
        <v>431</v>
      </c>
      <c r="E1066" s="3" t="s">
        <v>120</v>
      </c>
      <c r="F1066" s="3">
        <v>22.98</v>
      </c>
      <c r="G1066" s="3" t="s">
        <v>121</v>
      </c>
      <c r="H1066" s="3"/>
      <c r="I1066" s="3" t="s">
        <v>122</v>
      </c>
      <c r="J1066" s="3">
        <v>2</v>
      </c>
      <c r="K1066" s="3">
        <v>2</v>
      </c>
      <c r="L1066" s="3">
        <v>0</v>
      </c>
      <c r="M1066" s="3">
        <v>0</v>
      </c>
      <c r="N1066" s="3">
        <v>2</v>
      </c>
      <c r="O1066" s="3">
        <v>0.07</v>
      </c>
      <c r="P1066" s="3">
        <v>0</v>
      </c>
      <c r="Q1066" s="3">
        <v>0</v>
      </c>
      <c r="R1066" s="3">
        <v>0</v>
      </c>
    </row>
    <row r="1067" spans="1:18">
      <c r="A1067" s="3" t="s">
        <v>2766</v>
      </c>
      <c r="B1067" s="3" t="s">
        <v>434</v>
      </c>
      <c r="C1067" s="3" t="s">
        <v>434</v>
      </c>
      <c r="D1067" s="3" t="s">
        <v>435</v>
      </c>
      <c r="E1067" s="3" t="s">
        <v>120</v>
      </c>
      <c r="F1067" s="3">
        <v>22.98</v>
      </c>
      <c r="G1067" s="3" t="s">
        <v>121</v>
      </c>
      <c r="H1067" s="3"/>
      <c r="I1067" s="3" t="s">
        <v>122</v>
      </c>
      <c r="J1067" s="3">
        <v>16</v>
      </c>
      <c r="K1067" s="3">
        <v>16</v>
      </c>
      <c r="L1067" s="3">
        <v>0</v>
      </c>
      <c r="M1067" s="3">
        <v>0</v>
      </c>
      <c r="N1067" s="3">
        <v>16</v>
      </c>
      <c r="O1067" s="3">
        <v>0.07</v>
      </c>
      <c r="P1067" s="3">
        <v>0</v>
      </c>
      <c r="Q1067" s="3">
        <v>0</v>
      </c>
      <c r="R1067" s="3">
        <v>0</v>
      </c>
    </row>
    <row r="1068" spans="1:18">
      <c r="A1068" s="3" t="s">
        <v>2767</v>
      </c>
      <c r="B1068" s="3" t="s">
        <v>438</v>
      </c>
      <c r="C1068" s="3" t="s">
        <v>438</v>
      </c>
      <c r="D1068" s="3" t="s">
        <v>439</v>
      </c>
      <c r="E1068" s="3" t="s">
        <v>120</v>
      </c>
      <c r="F1068" s="3">
        <v>24.98</v>
      </c>
      <c r="G1068" s="3" t="s">
        <v>121</v>
      </c>
      <c r="H1068" s="3"/>
      <c r="I1068" s="3" t="s">
        <v>122</v>
      </c>
      <c r="J1068" s="3">
        <v>0</v>
      </c>
      <c r="K1068" s="3">
        <v>0</v>
      </c>
      <c r="L1068" s="3">
        <v>0</v>
      </c>
      <c r="M1068" s="3">
        <v>0</v>
      </c>
      <c r="N1068" s="3">
        <v>0</v>
      </c>
      <c r="O1068" s="3">
        <v>0.07</v>
      </c>
      <c r="P1068" s="3">
        <v>0</v>
      </c>
      <c r="Q1068" s="3">
        <v>0</v>
      </c>
      <c r="R1068" s="3">
        <v>0</v>
      </c>
    </row>
    <row r="1069" spans="1:18">
      <c r="A1069" s="3" t="s">
        <v>2768</v>
      </c>
      <c r="B1069" s="3" t="s">
        <v>442</v>
      </c>
      <c r="C1069" s="3" t="s">
        <v>442</v>
      </c>
      <c r="D1069" s="3" t="s">
        <v>443</v>
      </c>
      <c r="E1069" s="3" t="s">
        <v>120</v>
      </c>
      <c r="F1069" s="3">
        <v>24.98</v>
      </c>
      <c r="G1069" s="3" t="s">
        <v>121</v>
      </c>
      <c r="H1069" s="3"/>
      <c r="I1069" s="3" t="s">
        <v>122</v>
      </c>
      <c r="J1069" s="3">
        <v>14</v>
      </c>
      <c r="K1069" s="3">
        <v>10</v>
      </c>
      <c r="L1069" s="3">
        <v>0</v>
      </c>
      <c r="M1069" s="3">
        <v>4</v>
      </c>
      <c r="N1069" s="3">
        <v>14</v>
      </c>
      <c r="O1069" s="3">
        <v>0.07</v>
      </c>
      <c r="P1069" s="3">
        <v>0</v>
      </c>
      <c r="Q1069" s="3">
        <v>0</v>
      </c>
      <c r="R1069" s="3">
        <v>0</v>
      </c>
    </row>
    <row r="1070" spans="1:18">
      <c r="A1070" s="3" t="s">
        <v>2769</v>
      </c>
      <c r="B1070" s="3" t="s">
        <v>446</v>
      </c>
      <c r="C1070" s="3" t="s">
        <v>446</v>
      </c>
      <c r="D1070" s="3" t="s">
        <v>447</v>
      </c>
      <c r="E1070" s="3" t="s">
        <v>120</v>
      </c>
      <c r="F1070" s="3">
        <v>24.98</v>
      </c>
      <c r="G1070" s="3" t="s">
        <v>121</v>
      </c>
      <c r="H1070" s="3"/>
      <c r="I1070" s="3" t="s">
        <v>122</v>
      </c>
      <c r="J1070" s="3">
        <v>0</v>
      </c>
      <c r="K1070" s="3">
        <v>0</v>
      </c>
      <c r="L1070" s="3">
        <v>0</v>
      </c>
      <c r="M1070" s="3">
        <v>0</v>
      </c>
      <c r="N1070" s="3">
        <v>0</v>
      </c>
      <c r="O1070" s="3">
        <v>0.07</v>
      </c>
      <c r="P1070" s="3">
        <v>0</v>
      </c>
      <c r="Q1070" s="3">
        <v>0</v>
      </c>
      <c r="R1070" s="3">
        <v>0</v>
      </c>
    </row>
    <row r="1071" spans="1:18">
      <c r="A1071" s="3" t="s">
        <v>2770</v>
      </c>
      <c r="B1071" s="3" t="s">
        <v>450</v>
      </c>
      <c r="C1071" s="3" t="s">
        <v>450</v>
      </c>
      <c r="D1071" s="3" t="s">
        <v>451</v>
      </c>
      <c r="E1071" s="3" t="s">
        <v>120</v>
      </c>
      <c r="F1071" s="3">
        <v>22.98</v>
      </c>
      <c r="G1071" s="3" t="s">
        <v>121</v>
      </c>
      <c r="H1071" s="3"/>
      <c r="I1071" s="3" t="s">
        <v>122</v>
      </c>
      <c r="J1071" s="3">
        <v>2</v>
      </c>
      <c r="K1071" s="3">
        <v>2</v>
      </c>
      <c r="L1071" s="3">
        <v>0</v>
      </c>
      <c r="M1071" s="3">
        <v>0</v>
      </c>
      <c r="N1071" s="3">
        <v>2</v>
      </c>
      <c r="O1071" s="3">
        <v>0.07</v>
      </c>
      <c r="P1071" s="3">
        <v>0</v>
      </c>
      <c r="Q1071" s="3">
        <v>0</v>
      </c>
      <c r="R1071" s="3">
        <v>0</v>
      </c>
    </row>
    <row r="1072" spans="1:18">
      <c r="A1072" s="3" t="s">
        <v>2771</v>
      </c>
      <c r="B1072" s="3" t="s">
        <v>454</v>
      </c>
      <c r="C1072" s="3" t="s">
        <v>454</v>
      </c>
      <c r="D1072" s="3" t="s">
        <v>455</v>
      </c>
      <c r="E1072" s="3" t="s">
        <v>120</v>
      </c>
      <c r="F1072" s="3">
        <v>17.98</v>
      </c>
      <c r="G1072" s="3" t="s">
        <v>121</v>
      </c>
      <c r="H1072" s="3"/>
      <c r="I1072" s="3" t="s">
        <v>122</v>
      </c>
      <c r="J1072" s="3">
        <v>15</v>
      </c>
      <c r="K1072" s="3">
        <v>15</v>
      </c>
      <c r="L1072" s="3">
        <v>0</v>
      </c>
      <c r="M1072" s="3">
        <v>0</v>
      </c>
      <c r="N1072" s="3">
        <v>15</v>
      </c>
      <c r="O1072" s="3">
        <v>0.07</v>
      </c>
      <c r="P1072" s="3">
        <v>0</v>
      </c>
      <c r="Q1072" s="3">
        <v>0</v>
      </c>
      <c r="R1072" s="3">
        <v>0</v>
      </c>
    </row>
    <row r="1073" spans="1:18">
      <c r="A1073" s="3" t="s">
        <v>2772</v>
      </c>
      <c r="B1073" s="3" t="s">
        <v>458</v>
      </c>
      <c r="C1073" s="3" t="s">
        <v>458</v>
      </c>
      <c r="D1073" s="3" t="s">
        <v>459</v>
      </c>
      <c r="E1073" s="3" t="s">
        <v>120</v>
      </c>
      <c r="F1073" s="3">
        <v>24.98</v>
      </c>
      <c r="G1073" s="3" t="s">
        <v>121</v>
      </c>
      <c r="H1073" s="3"/>
      <c r="I1073" s="3" t="s">
        <v>122</v>
      </c>
      <c r="J1073" s="3">
        <v>3</v>
      </c>
      <c r="K1073" s="3">
        <v>0</v>
      </c>
      <c r="L1073" s="3">
        <v>0</v>
      </c>
      <c r="M1073" s="3">
        <v>3</v>
      </c>
      <c r="N1073" s="3">
        <v>3</v>
      </c>
      <c r="O1073" s="3">
        <v>0.07</v>
      </c>
      <c r="P1073" s="3">
        <v>0</v>
      </c>
      <c r="Q1073" s="3">
        <v>0</v>
      </c>
      <c r="R1073" s="3">
        <v>0</v>
      </c>
    </row>
    <row r="1074" spans="1:18">
      <c r="A1074" s="3" t="s">
        <v>2773</v>
      </c>
      <c r="B1074" s="3" t="s">
        <v>462</v>
      </c>
      <c r="C1074" s="3" t="s">
        <v>462</v>
      </c>
      <c r="D1074" s="3"/>
      <c r="E1074" s="3" t="s">
        <v>20</v>
      </c>
      <c r="F1074" s="3"/>
      <c r="G1074" s="3"/>
      <c r="H1074" s="3"/>
      <c r="I1074" s="3"/>
      <c r="J1074" s="3">
        <v>11</v>
      </c>
      <c r="K1074" s="3">
        <v>11</v>
      </c>
      <c r="L1074" s="3">
        <v>0</v>
      </c>
      <c r="M1074" s="3">
        <v>0</v>
      </c>
      <c r="N1074" s="3">
        <v>11</v>
      </c>
      <c r="O1074" s="3"/>
      <c r="P1074" s="3">
        <v>0</v>
      </c>
      <c r="Q1074" s="3">
        <v>0</v>
      </c>
      <c r="R1074" s="3">
        <v>0</v>
      </c>
    </row>
    <row r="1075" spans="1:18">
      <c r="A1075" s="3" t="s">
        <v>2774</v>
      </c>
      <c r="B1075" s="3" t="s">
        <v>514</v>
      </c>
      <c r="C1075" s="3" t="s">
        <v>514</v>
      </c>
      <c r="D1075" s="3"/>
      <c r="E1075" s="3" t="s">
        <v>20</v>
      </c>
      <c r="F1075" s="3"/>
      <c r="G1075" s="3"/>
      <c r="H1075" s="3"/>
      <c r="I1075" s="3"/>
      <c r="J1075" s="3">
        <v>0</v>
      </c>
      <c r="K1075" s="3">
        <v>0</v>
      </c>
      <c r="L1075" s="3">
        <v>0</v>
      </c>
      <c r="M1075" s="3">
        <v>0</v>
      </c>
      <c r="N1075" s="3">
        <v>0</v>
      </c>
      <c r="O1075" s="3"/>
      <c r="P1075" s="3">
        <v>0</v>
      </c>
      <c r="Q1075" s="3">
        <v>0</v>
      </c>
      <c r="R1075" s="3">
        <v>0</v>
      </c>
    </row>
    <row r="1076" spans="1:18">
      <c r="A1076" s="3" t="s">
        <v>2775</v>
      </c>
      <c r="B1076" s="3" t="s">
        <v>517</v>
      </c>
      <c r="C1076" s="3" t="s">
        <v>517</v>
      </c>
      <c r="D1076" s="3"/>
      <c r="E1076" s="3" t="s">
        <v>20</v>
      </c>
      <c r="F1076" s="3"/>
      <c r="G1076" s="3"/>
      <c r="H1076" s="3"/>
      <c r="I1076" s="3"/>
      <c r="J1076" s="3">
        <v>1</v>
      </c>
      <c r="K1076" s="3">
        <v>0</v>
      </c>
      <c r="L1076" s="3">
        <v>0</v>
      </c>
      <c r="M1076" s="3">
        <v>1</v>
      </c>
      <c r="N1076" s="3">
        <v>1</v>
      </c>
      <c r="O1076" s="3"/>
      <c r="P1076" s="3">
        <v>0</v>
      </c>
      <c r="Q1076" s="3">
        <v>0</v>
      </c>
      <c r="R1076" s="3">
        <v>0</v>
      </c>
    </row>
    <row r="1077" spans="1:18">
      <c r="A1077" s="3" t="s">
        <v>2776</v>
      </c>
      <c r="B1077" s="3" t="s">
        <v>520</v>
      </c>
      <c r="C1077" s="3" t="s">
        <v>520</v>
      </c>
      <c r="D1077" s="3"/>
      <c r="E1077" s="3" t="s">
        <v>20</v>
      </c>
      <c r="F1077" s="3"/>
      <c r="G1077" s="3"/>
      <c r="H1077" s="3"/>
      <c r="I1077" s="3"/>
      <c r="J1077" s="3">
        <v>1</v>
      </c>
      <c r="K1077" s="3">
        <v>1</v>
      </c>
      <c r="L1077" s="3">
        <v>0</v>
      </c>
      <c r="M1077" s="3">
        <v>0</v>
      </c>
      <c r="N1077" s="3">
        <v>1</v>
      </c>
      <c r="O1077" s="3"/>
      <c r="P1077" s="3">
        <v>0</v>
      </c>
      <c r="Q1077" s="3">
        <v>0</v>
      </c>
      <c r="R1077" s="3">
        <v>0</v>
      </c>
    </row>
    <row r="1078" spans="1:18">
      <c r="A1078" s="3" t="s">
        <v>2777</v>
      </c>
      <c r="B1078" s="3" t="s">
        <v>523</v>
      </c>
      <c r="C1078" s="3" t="s">
        <v>523</v>
      </c>
      <c r="D1078" s="3"/>
      <c r="E1078" s="3" t="s">
        <v>20</v>
      </c>
      <c r="F1078" s="3"/>
      <c r="G1078" s="3"/>
      <c r="H1078" s="3"/>
      <c r="I1078" s="3"/>
      <c r="J1078" s="3">
        <v>4</v>
      </c>
      <c r="K1078" s="3">
        <v>4</v>
      </c>
      <c r="L1078" s="3">
        <v>0</v>
      </c>
      <c r="M1078" s="3">
        <v>0</v>
      </c>
      <c r="N1078" s="3">
        <v>4</v>
      </c>
      <c r="O1078" s="3"/>
      <c r="P1078" s="3">
        <v>0</v>
      </c>
      <c r="Q1078" s="3">
        <v>0</v>
      </c>
      <c r="R1078" s="3">
        <v>0</v>
      </c>
    </row>
    <row r="1079" spans="1:18">
      <c r="A1079" s="3" t="s">
        <v>2778</v>
      </c>
      <c r="B1079" s="3" t="s">
        <v>525</v>
      </c>
      <c r="C1079" s="3" t="s">
        <v>525</v>
      </c>
      <c r="D1079" s="3"/>
      <c r="E1079" s="3" t="s">
        <v>20</v>
      </c>
      <c r="F1079" s="3"/>
      <c r="G1079" s="3"/>
      <c r="H1079" s="3"/>
      <c r="I1079" s="3"/>
      <c r="J1079" s="3">
        <v>0</v>
      </c>
      <c r="K1079" s="3">
        <v>0</v>
      </c>
      <c r="L1079" s="3">
        <v>0</v>
      </c>
      <c r="M1079" s="3">
        <v>0</v>
      </c>
      <c r="N1079" s="3">
        <v>0</v>
      </c>
      <c r="O1079" s="3"/>
      <c r="P1079" s="3">
        <v>0</v>
      </c>
      <c r="Q1079" s="3">
        <v>0</v>
      </c>
      <c r="R1079" s="3">
        <v>0</v>
      </c>
    </row>
    <row r="1080" spans="1:18">
      <c r="A1080" s="3" t="s">
        <v>2779</v>
      </c>
      <c r="B1080" s="3" t="s">
        <v>527</v>
      </c>
      <c r="C1080" s="3" t="s">
        <v>527</v>
      </c>
      <c r="D1080" s="3"/>
      <c r="E1080" s="3" t="s">
        <v>20</v>
      </c>
      <c r="F1080" s="3"/>
      <c r="G1080" s="3"/>
      <c r="H1080" s="3"/>
      <c r="I1080" s="3"/>
      <c r="J1080" s="3">
        <v>5</v>
      </c>
      <c r="K1080" s="3">
        <v>5</v>
      </c>
      <c r="L1080" s="3">
        <v>0</v>
      </c>
      <c r="M1080" s="3">
        <v>0</v>
      </c>
      <c r="N1080" s="3">
        <v>5</v>
      </c>
      <c r="O1080" s="3"/>
      <c r="P1080" s="3">
        <v>0</v>
      </c>
      <c r="Q1080" s="3">
        <v>0</v>
      </c>
      <c r="R1080" s="3">
        <v>0</v>
      </c>
    </row>
    <row r="1081" spans="1:18">
      <c r="A1081" s="3" t="s">
        <v>2780</v>
      </c>
      <c r="B1081" s="3" t="s">
        <v>529</v>
      </c>
      <c r="C1081" s="3" t="s">
        <v>529</v>
      </c>
      <c r="D1081" s="3"/>
      <c r="E1081" s="3" t="s">
        <v>20</v>
      </c>
      <c r="F1081" s="3"/>
      <c r="G1081" s="3"/>
      <c r="H1081" s="3"/>
      <c r="I1081" s="3"/>
      <c r="J1081" s="3">
        <v>3</v>
      </c>
      <c r="K1081" s="3">
        <v>3</v>
      </c>
      <c r="L1081" s="3">
        <v>0</v>
      </c>
      <c r="M1081" s="3">
        <v>0</v>
      </c>
      <c r="N1081" s="3">
        <v>3</v>
      </c>
      <c r="O1081" s="3"/>
      <c r="P1081" s="3">
        <v>0</v>
      </c>
      <c r="Q1081" s="3">
        <v>0</v>
      </c>
      <c r="R1081" s="3">
        <v>0</v>
      </c>
    </row>
    <row r="1082" spans="1:18">
      <c r="A1082" s="3" t="s">
        <v>2781</v>
      </c>
      <c r="B1082" s="3" t="s">
        <v>531</v>
      </c>
      <c r="C1082" s="3" t="s">
        <v>531</v>
      </c>
      <c r="D1082" s="3"/>
      <c r="E1082" s="3" t="s">
        <v>20</v>
      </c>
      <c r="F1082" s="3"/>
      <c r="G1082" s="3"/>
      <c r="H1082" s="3"/>
      <c r="I1082" s="3"/>
      <c r="J1082" s="3">
        <v>0</v>
      </c>
      <c r="K1082" s="3">
        <v>0</v>
      </c>
      <c r="L1082" s="3">
        <v>0</v>
      </c>
      <c r="M1082" s="3">
        <v>0</v>
      </c>
      <c r="N1082" s="3">
        <v>0</v>
      </c>
      <c r="O1082" s="3"/>
      <c r="P1082" s="3">
        <v>0</v>
      </c>
      <c r="Q1082" s="3">
        <v>0</v>
      </c>
      <c r="R1082" s="3">
        <v>0</v>
      </c>
    </row>
    <row r="1083" spans="1:18">
      <c r="A1083" s="3" t="s">
        <v>2782</v>
      </c>
      <c r="B1083" s="3" t="s">
        <v>533</v>
      </c>
      <c r="C1083" s="3" t="s">
        <v>533</v>
      </c>
      <c r="D1083" s="3"/>
      <c r="E1083" s="3" t="s">
        <v>20</v>
      </c>
      <c r="F1083" s="3"/>
      <c r="G1083" s="3"/>
      <c r="H1083" s="3"/>
      <c r="I1083" s="3"/>
      <c r="J1083" s="3">
        <v>4</v>
      </c>
      <c r="K1083" s="3">
        <v>4</v>
      </c>
      <c r="L1083" s="3">
        <v>0</v>
      </c>
      <c r="M1083" s="3">
        <v>0</v>
      </c>
      <c r="N1083" s="3">
        <v>4</v>
      </c>
      <c r="O1083" s="3"/>
      <c r="P1083" s="3">
        <v>0</v>
      </c>
      <c r="Q1083" s="3">
        <v>0</v>
      </c>
      <c r="R1083" s="3">
        <v>0</v>
      </c>
    </row>
    <row r="1084" spans="1:18">
      <c r="A1084" s="3" t="s">
        <v>2783</v>
      </c>
      <c r="B1084" s="3" t="s">
        <v>535</v>
      </c>
      <c r="C1084" s="3" t="s">
        <v>535</v>
      </c>
      <c r="D1084" s="3"/>
      <c r="E1084" s="3" t="s">
        <v>20</v>
      </c>
      <c r="F1084" s="3"/>
      <c r="G1084" s="3"/>
      <c r="H1084" s="3"/>
      <c r="I1084" s="3"/>
      <c r="J1084" s="3">
        <v>2</v>
      </c>
      <c r="K1084" s="3">
        <v>2</v>
      </c>
      <c r="L1084" s="3">
        <v>0</v>
      </c>
      <c r="M1084" s="3">
        <v>0</v>
      </c>
      <c r="N1084" s="3">
        <v>2</v>
      </c>
      <c r="O1084" s="3"/>
      <c r="P1084" s="3">
        <v>0</v>
      </c>
      <c r="Q1084" s="3">
        <v>0</v>
      </c>
      <c r="R1084" s="3">
        <v>0</v>
      </c>
    </row>
    <row r="1085" spans="1:18">
      <c r="A1085" s="3" t="s">
        <v>2784</v>
      </c>
      <c r="B1085" s="3" t="s">
        <v>537</v>
      </c>
      <c r="C1085" s="3" t="s">
        <v>537</v>
      </c>
      <c r="D1085" s="3"/>
      <c r="E1085" s="3" t="s">
        <v>20</v>
      </c>
      <c r="F1085" s="3"/>
      <c r="G1085" s="3"/>
      <c r="H1085" s="3"/>
      <c r="I1085" s="3"/>
      <c r="J1085" s="3">
        <v>7</v>
      </c>
      <c r="K1085" s="3">
        <v>7</v>
      </c>
      <c r="L1085" s="3">
        <v>0</v>
      </c>
      <c r="M1085" s="3">
        <v>0</v>
      </c>
      <c r="N1085" s="3">
        <v>7</v>
      </c>
      <c r="O1085" s="3"/>
      <c r="P1085" s="3">
        <v>0</v>
      </c>
      <c r="Q1085" s="3">
        <v>0</v>
      </c>
      <c r="R1085" s="3">
        <v>0</v>
      </c>
    </row>
    <row r="1086" spans="1:18">
      <c r="A1086" s="3" t="s">
        <v>2785</v>
      </c>
      <c r="B1086" s="3" t="s">
        <v>539</v>
      </c>
      <c r="C1086" s="3" t="s">
        <v>539</v>
      </c>
      <c r="D1086" s="3"/>
      <c r="E1086" s="3" t="s">
        <v>20</v>
      </c>
      <c r="F1086" s="3"/>
      <c r="G1086" s="3"/>
      <c r="H1086" s="3"/>
      <c r="I1086" s="3"/>
      <c r="J1086" s="3">
        <v>0</v>
      </c>
      <c r="K1086" s="3">
        <v>0</v>
      </c>
      <c r="L1086" s="3">
        <v>0</v>
      </c>
      <c r="M1086" s="3">
        <v>0</v>
      </c>
      <c r="N1086" s="3">
        <v>0</v>
      </c>
      <c r="O1086" s="3"/>
      <c r="P1086" s="3">
        <v>0</v>
      </c>
      <c r="Q1086" s="3">
        <v>0</v>
      </c>
      <c r="R1086" s="3">
        <v>0</v>
      </c>
    </row>
    <row r="1087" spans="1:18">
      <c r="A1087" s="3" t="s">
        <v>2786</v>
      </c>
      <c r="B1087" s="3" t="s">
        <v>542</v>
      </c>
      <c r="C1087" s="3" t="s">
        <v>542</v>
      </c>
      <c r="D1087" s="3"/>
      <c r="E1087" s="3" t="s">
        <v>20</v>
      </c>
      <c r="F1087" s="3"/>
      <c r="G1087" s="3"/>
      <c r="H1087" s="3"/>
      <c r="I1087" s="3"/>
      <c r="J1087" s="3">
        <v>0</v>
      </c>
      <c r="K1087" s="3">
        <v>0</v>
      </c>
      <c r="L1087" s="3">
        <v>0</v>
      </c>
      <c r="M1087" s="3">
        <v>0</v>
      </c>
      <c r="N1087" s="3">
        <v>0</v>
      </c>
      <c r="O1087" s="3"/>
      <c r="P1087" s="3">
        <v>0</v>
      </c>
      <c r="Q1087" s="3">
        <v>0</v>
      </c>
      <c r="R1087" s="3">
        <v>0</v>
      </c>
    </row>
    <row r="1088" spans="1:18">
      <c r="A1088" s="3" t="s">
        <v>2787</v>
      </c>
      <c r="B1088" s="3" t="s">
        <v>545</v>
      </c>
      <c r="C1088" s="3" t="s">
        <v>545</v>
      </c>
      <c r="D1088" s="3"/>
      <c r="E1088" s="3" t="s">
        <v>20</v>
      </c>
      <c r="F1088" s="3"/>
      <c r="G1088" s="3"/>
      <c r="H1088" s="3"/>
      <c r="I1088" s="3"/>
      <c r="J1088" s="3">
        <v>2</v>
      </c>
      <c r="K1088" s="3">
        <v>2</v>
      </c>
      <c r="L1088" s="3">
        <v>0</v>
      </c>
      <c r="M1088" s="3">
        <v>0</v>
      </c>
      <c r="N1088" s="3">
        <v>2</v>
      </c>
      <c r="O1088" s="3"/>
      <c r="P1088" s="3">
        <v>0</v>
      </c>
      <c r="Q1088" s="3">
        <v>0</v>
      </c>
      <c r="R1088" s="3">
        <v>0</v>
      </c>
    </row>
    <row r="1089" spans="1:18">
      <c r="A1089" s="3" t="s">
        <v>2788</v>
      </c>
      <c r="B1089" s="3" t="s">
        <v>547</v>
      </c>
      <c r="C1089" s="3" t="s">
        <v>547</v>
      </c>
      <c r="D1089" s="3"/>
      <c r="E1089" s="3" t="s">
        <v>20</v>
      </c>
      <c r="F1089" s="3"/>
      <c r="G1089" s="3"/>
      <c r="H1089" s="3"/>
      <c r="I1089" s="3"/>
      <c r="J1089" s="3">
        <v>4</v>
      </c>
      <c r="K1089" s="3">
        <v>4</v>
      </c>
      <c r="L1089" s="3">
        <v>0</v>
      </c>
      <c r="M1089" s="3">
        <v>0</v>
      </c>
      <c r="N1089" s="3">
        <v>4</v>
      </c>
      <c r="O1089" s="3"/>
      <c r="P1089" s="3">
        <v>0</v>
      </c>
      <c r="Q1089" s="3">
        <v>0</v>
      </c>
      <c r="R1089" s="3">
        <v>0</v>
      </c>
    </row>
    <row r="1090" spans="1:18">
      <c r="A1090" s="3" t="s">
        <v>2789</v>
      </c>
      <c r="B1090" s="3" t="s">
        <v>549</v>
      </c>
      <c r="C1090" s="3" t="s">
        <v>549</v>
      </c>
      <c r="D1090" s="3"/>
      <c r="E1090" s="3" t="s">
        <v>20</v>
      </c>
      <c r="F1090" s="3"/>
      <c r="G1090" s="3"/>
      <c r="H1090" s="3"/>
      <c r="I1090" s="3"/>
      <c r="J1090" s="3">
        <v>5</v>
      </c>
      <c r="K1090" s="3">
        <v>5</v>
      </c>
      <c r="L1090" s="3">
        <v>0</v>
      </c>
      <c r="M1090" s="3">
        <v>0</v>
      </c>
      <c r="N1090" s="3">
        <v>5</v>
      </c>
      <c r="O1090" s="3"/>
      <c r="P1090" s="3">
        <v>0</v>
      </c>
      <c r="Q1090" s="3">
        <v>0</v>
      </c>
      <c r="R1090" s="3">
        <v>0</v>
      </c>
    </row>
    <row r="1091" spans="1:18">
      <c r="A1091" s="3" t="s">
        <v>2790</v>
      </c>
      <c r="B1091" s="3" t="s">
        <v>552</v>
      </c>
      <c r="C1091" s="3" t="s">
        <v>552</v>
      </c>
      <c r="D1091" s="3"/>
      <c r="E1091" s="3" t="s">
        <v>20</v>
      </c>
      <c r="F1091" s="3"/>
      <c r="G1091" s="3"/>
      <c r="H1091" s="3"/>
      <c r="I1091" s="3"/>
      <c r="J1091" s="3">
        <v>0</v>
      </c>
      <c r="K1091" s="3">
        <v>0</v>
      </c>
      <c r="L1091" s="3">
        <v>0</v>
      </c>
      <c r="M1091" s="3">
        <v>0</v>
      </c>
      <c r="N1091" s="3">
        <v>0</v>
      </c>
      <c r="O1091" s="3"/>
      <c r="P1091" s="3">
        <v>0</v>
      </c>
      <c r="Q1091" s="3">
        <v>0</v>
      </c>
      <c r="R1091" s="3">
        <v>0</v>
      </c>
    </row>
    <row r="1092" spans="1:18">
      <c r="A1092" s="3" t="s">
        <v>2791</v>
      </c>
      <c r="B1092" s="3" t="s">
        <v>554</v>
      </c>
      <c r="C1092" s="3" t="s">
        <v>554</v>
      </c>
      <c r="D1092" s="3"/>
      <c r="E1092" s="3" t="s">
        <v>20</v>
      </c>
      <c r="F1092" s="3"/>
      <c r="G1092" s="3"/>
      <c r="H1092" s="3"/>
      <c r="I1092" s="3"/>
      <c r="J1092" s="3">
        <v>0</v>
      </c>
      <c r="K1092" s="3">
        <v>0</v>
      </c>
      <c r="L1092" s="3">
        <v>0</v>
      </c>
      <c r="M1092" s="3">
        <v>0</v>
      </c>
      <c r="N1092" s="3">
        <v>0</v>
      </c>
      <c r="O1092" s="3"/>
      <c r="P1092" s="3">
        <v>0</v>
      </c>
      <c r="Q1092" s="3">
        <v>0</v>
      </c>
      <c r="R1092" s="3">
        <v>0</v>
      </c>
    </row>
    <row r="1093" spans="1:18">
      <c r="A1093" s="3" t="s">
        <v>2792</v>
      </c>
      <c r="B1093" s="3" t="s">
        <v>556</v>
      </c>
      <c r="C1093" s="3" t="s">
        <v>556</v>
      </c>
      <c r="D1093" s="3"/>
      <c r="E1093" s="3" t="s">
        <v>20</v>
      </c>
      <c r="F1093" s="3"/>
      <c r="G1093" s="3"/>
      <c r="H1093" s="3"/>
      <c r="I1093" s="3"/>
      <c r="J1093" s="3">
        <v>10</v>
      </c>
      <c r="K1093" s="3">
        <v>10</v>
      </c>
      <c r="L1093" s="3">
        <v>0</v>
      </c>
      <c r="M1093" s="3">
        <v>0</v>
      </c>
      <c r="N1093" s="3">
        <v>10</v>
      </c>
      <c r="O1093" s="3"/>
      <c r="P1093" s="3">
        <v>0</v>
      </c>
      <c r="Q1093" s="3">
        <v>0</v>
      </c>
      <c r="R1093" s="3">
        <v>0</v>
      </c>
    </row>
    <row r="1094" spans="1:18">
      <c r="A1094" s="3" t="s">
        <v>2793</v>
      </c>
      <c r="B1094" s="3" t="s">
        <v>558</v>
      </c>
      <c r="C1094" s="3" t="s">
        <v>558</v>
      </c>
      <c r="D1094" s="3"/>
      <c r="E1094" s="3" t="s">
        <v>20</v>
      </c>
      <c r="F1094" s="3"/>
      <c r="G1094" s="3"/>
      <c r="H1094" s="3"/>
      <c r="I1094" s="3"/>
      <c r="J1094" s="3">
        <v>6</v>
      </c>
      <c r="K1094" s="3">
        <v>6</v>
      </c>
      <c r="L1094" s="3">
        <v>0</v>
      </c>
      <c r="M1094" s="3">
        <v>0</v>
      </c>
      <c r="N1094" s="3">
        <v>6</v>
      </c>
      <c r="O1094" s="3"/>
      <c r="P1094" s="3">
        <v>0</v>
      </c>
      <c r="Q1094" s="3">
        <v>0</v>
      </c>
      <c r="R1094" s="3">
        <v>0</v>
      </c>
    </row>
    <row r="1095" spans="1:18">
      <c r="A1095" s="3" t="s">
        <v>2794</v>
      </c>
      <c r="B1095" s="3" t="s">
        <v>561</v>
      </c>
      <c r="C1095" s="3" t="s">
        <v>561</v>
      </c>
      <c r="D1095" s="3"/>
      <c r="E1095" s="3" t="s">
        <v>20</v>
      </c>
      <c r="F1095" s="3"/>
      <c r="G1095" s="3"/>
      <c r="H1095" s="3"/>
      <c r="I1095" s="3"/>
      <c r="J1095" s="3">
        <v>4</v>
      </c>
      <c r="K1095" s="3">
        <v>4</v>
      </c>
      <c r="L1095" s="3">
        <v>0</v>
      </c>
      <c r="M1095" s="3">
        <v>0</v>
      </c>
      <c r="N1095" s="3">
        <v>4</v>
      </c>
      <c r="O1095" s="3"/>
      <c r="P1095" s="3">
        <v>0</v>
      </c>
      <c r="Q1095" s="3">
        <v>0</v>
      </c>
      <c r="R1095" s="3">
        <v>0</v>
      </c>
    </row>
    <row r="1096" spans="1:18">
      <c r="A1096" s="3" t="s">
        <v>2795</v>
      </c>
      <c r="B1096" s="3" t="s">
        <v>564</v>
      </c>
      <c r="C1096" s="3" t="s">
        <v>564</v>
      </c>
      <c r="D1096" s="3"/>
      <c r="E1096" s="3" t="s">
        <v>20</v>
      </c>
      <c r="F1096" s="3"/>
      <c r="G1096" s="3"/>
      <c r="H1096" s="3"/>
      <c r="I1096" s="3"/>
      <c r="J1096" s="3">
        <v>2</v>
      </c>
      <c r="K1096" s="3">
        <v>2</v>
      </c>
      <c r="L1096" s="3">
        <v>0</v>
      </c>
      <c r="M1096" s="3">
        <v>0</v>
      </c>
      <c r="N1096" s="3">
        <v>2</v>
      </c>
      <c r="O1096" s="3"/>
      <c r="P1096" s="3">
        <v>0</v>
      </c>
      <c r="Q1096" s="3">
        <v>0</v>
      </c>
      <c r="R1096" s="3">
        <v>0</v>
      </c>
    </row>
    <row r="1097" spans="1:18">
      <c r="A1097" s="3" t="s">
        <v>2796</v>
      </c>
      <c r="B1097" s="3" t="s">
        <v>566</v>
      </c>
      <c r="C1097" s="3" t="s">
        <v>566</v>
      </c>
      <c r="D1097" s="3"/>
      <c r="E1097" s="3" t="s">
        <v>20</v>
      </c>
      <c r="F1097" s="3"/>
      <c r="G1097" s="3"/>
      <c r="H1097" s="3"/>
      <c r="I1097" s="3"/>
      <c r="J1097" s="3">
        <v>1</v>
      </c>
      <c r="K1097" s="3">
        <v>1</v>
      </c>
      <c r="L1097" s="3">
        <v>0</v>
      </c>
      <c r="M1097" s="3">
        <v>0</v>
      </c>
      <c r="N1097" s="3">
        <v>1</v>
      </c>
      <c r="O1097" s="3"/>
      <c r="P1097" s="3">
        <v>0</v>
      </c>
      <c r="Q1097" s="3">
        <v>0</v>
      </c>
      <c r="R1097" s="3">
        <v>0</v>
      </c>
    </row>
    <row r="1098" spans="1:18">
      <c r="A1098" s="3" t="s">
        <v>2797</v>
      </c>
      <c r="B1098" s="3" t="s">
        <v>568</v>
      </c>
      <c r="C1098" s="3" t="s">
        <v>568</v>
      </c>
      <c r="D1098" s="3"/>
      <c r="E1098" s="3" t="s">
        <v>20</v>
      </c>
      <c r="F1098" s="3"/>
      <c r="G1098" s="3"/>
      <c r="H1098" s="3"/>
      <c r="I1098" s="3"/>
      <c r="J1098" s="3">
        <v>6</v>
      </c>
      <c r="K1098" s="3">
        <v>6</v>
      </c>
      <c r="L1098" s="3">
        <v>0</v>
      </c>
      <c r="M1098" s="3">
        <v>0</v>
      </c>
      <c r="N1098" s="3">
        <v>6</v>
      </c>
      <c r="O1098" s="3"/>
      <c r="P1098" s="3">
        <v>0</v>
      </c>
      <c r="Q1098" s="3">
        <v>0</v>
      </c>
      <c r="R1098" s="3">
        <v>0</v>
      </c>
    </row>
    <row r="1099" spans="1:18">
      <c r="A1099" s="3" t="s">
        <v>2798</v>
      </c>
      <c r="B1099" s="3" t="s">
        <v>570</v>
      </c>
      <c r="C1099" s="3" t="s">
        <v>570</v>
      </c>
      <c r="D1099" s="3"/>
      <c r="E1099" s="3" t="s">
        <v>20</v>
      </c>
      <c r="F1099" s="3"/>
      <c r="G1099" s="3"/>
      <c r="H1099" s="3"/>
      <c r="I1099" s="3"/>
      <c r="J1099" s="3">
        <v>6</v>
      </c>
      <c r="K1099" s="3">
        <v>6</v>
      </c>
      <c r="L1099" s="3">
        <v>0</v>
      </c>
      <c r="M1099" s="3">
        <v>0</v>
      </c>
      <c r="N1099" s="3">
        <v>6</v>
      </c>
      <c r="O1099" s="3"/>
      <c r="P1099" s="3">
        <v>0</v>
      </c>
      <c r="Q1099" s="3">
        <v>0</v>
      </c>
      <c r="R1099" s="3">
        <v>0</v>
      </c>
    </row>
    <row r="1100" spans="1:18">
      <c r="A1100" s="3" t="s">
        <v>2799</v>
      </c>
      <c r="B1100" s="3" t="s">
        <v>573</v>
      </c>
      <c r="C1100" s="3" t="s">
        <v>573</v>
      </c>
      <c r="D1100" s="3"/>
      <c r="E1100" s="3" t="s">
        <v>20</v>
      </c>
      <c r="F1100" s="3"/>
      <c r="G1100" s="3"/>
      <c r="H1100" s="3"/>
      <c r="I1100" s="3"/>
      <c r="J1100" s="3">
        <v>4</v>
      </c>
      <c r="K1100" s="3">
        <v>4</v>
      </c>
      <c r="L1100" s="3">
        <v>0</v>
      </c>
      <c r="M1100" s="3">
        <v>0</v>
      </c>
      <c r="N1100" s="3">
        <v>4</v>
      </c>
      <c r="O1100" s="3"/>
      <c r="P1100" s="3">
        <v>0</v>
      </c>
      <c r="Q1100" s="3">
        <v>0</v>
      </c>
      <c r="R1100" s="3">
        <v>0</v>
      </c>
    </row>
    <row r="1101" spans="1:18">
      <c r="A1101" s="3" t="s">
        <v>2800</v>
      </c>
      <c r="B1101" s="3" t="s">
        <v>576</v>
      </c>
      <c r="C1101" s="3" t="s">
        <v>576</v>
      </c>
      <c r="D1101" s="3"/>
      <c r="E1101" s="3" t="s">
        <v>20</v>
      </c>
      <c r="F1101" s="3"/>
      <c r="G1101" s="3"/>
      <c r="H1101" s="3"/>
      <c r="I1101" s="3"/>
      <c r="J1101" s="3">
        <v>1</v>
      </c>
      <c r="K1101" s="3">
        <v>1</v>
      </c>
      <c r="L1101" s="3">
        <v>0</v>
      </c>
      <c r="M1101" s="3">
        <v>0</v>
      </c>
      <c r="N1101" s="3">
        <v>1</v>
      </c>
      <c r="O1101" s="3"/>
      <c r="P1101" s="3">
        <v>0</v>
      </c>
      <c r="Q1101" s="3">
        <v>0</v>
      </c>
      <c r="R1101" s="3">
        <v>0</v>
      </c>
    </row>
    <row r="1102" spans="1:18">
      <c r="A1102" s="3" t="s">
        <v>2801</v>
      </c>
      <c r="B1102" s="3" t="s">
        <v>579</v>
      </c>
      <c r="C1102" s="3" t="s">
        <v>579</v>
      </c>
      <c r="D1102" s="3"/>
      <c r="E1102" s="3" t="s">
        <v>20</v>
      </c>
      <c r="F1102" s="3"/>
      <c r="G1102" s="3"/>
      <c r="H1102" s="3"/>
      <c r="I1102" s="3"/>
      <c r="J1102" s="3">
        <v>1</v>
      </c>
      <c r="K1102" s="3">
        <v>1</v>
      </c>
      <c r="L1102" s="3">
        <v>0</v>
      </c>
      <c r="M1102" s="3">
        <v>0</v>
      </c>
      <c r="N1102" s="3">
        <v>1</v>
      </c>
      <c r="O1102" s="3"/>
      <c r="P1102" s="3">
        <v>0</v>
      </c>
      <c r="Q1102" s="3">
        <v>0</v>
      </c>
      <c r="R1102" s="3">
        <v>0</v>
      </c>
    </row>
    <row r="1103" spans="1:18">
      <c r="A1103" s="3" t="s">
        <v>2802</v>
      </c>
      <c r="B1103" s="3" t="s">
        <v>581</v>
      </c>
      <c r="C1103" s="3" t="s">
        <v>581</v>
      </c>
      <c r="D1103" s="3"/>
      <c r="E1103" s="3" t="s">
        <v>20</v>
      </c>
      <c r="F1103" s="3"/>
      <c r="G1103" s="3"/>
      <c r="H1103" s="3"/>
      <c r="I1103" s="3"/>
      <c r="J1103" s="3">
        <v>2</v>
      </c>
      <c r="K1103" s="3">
        <v>2</v>
      </c>
      <c r="L1103" s="3">
        <v>0</v>
      </c>
      <c r="M1103" s="3">
        <v>0</v>
      </c>
      <c r="N1103" s="3">
        <v>2</v>
      </c>
      <c r="O1103" s="3"/>
      <c r="P1103" s="3">
        <v>0</v>
      </c>
      <c r="Q1103" s="3">
        <v>0</v>
      </c>
      <c r="R1103" s="3">
        <v>0</v>
      </c>
    </row>
    <row r="1104" spans="1:18">
      <c r="A1104" s="3" t="s">
        <v>2803</v>
      </c>
      <c r="B1104" s="3" t="s">
        <v>584</v>
      </c>
      <c r="C1104" s="3" t="s">
        <v>584</v>
      </c>
      <c r="D1104" s="3"/>
      <c r="E1104" s="3" t="s">
        <v>20</v>
      </c>
      <c r="F1104" s="3"/>
      <c r="G1104" s="3"/>
      <c r="H1104" s="3"/>
      <c r="I1104" s="3"/>
      <c r="J1104" s="3">
        <v>2</v>
      </c>
      <c r="K1104" s="3">
        <v>0</v>
      </c>
      <c r="L1104" s="3">
        <v>0</v>
      </c>
      <c r="M1104" s="3">
        <v>2</v>
      </c>
      <c r="N1104" s="3">
        <v>2</v>
      </c>
      <c r="O1104" s="3"/>
      <c r="P1104" s="3">
        <v>0</v>
      </c>
      <c r="Q1104" s="3">
        <v>0</v>
      </c>
      <c r="R1104" s="3">
        <v>0</v>
      </c>
    </row>
    <row r="1105" spans="1:18">
      <c r="A1105" s="3" t="s">
        <v>2804</v>
      </c>
      <c r="B1105" s="3" t="s">
        <v>2805</v>
      </c>
      <c r="C1105" s="3" t="s">
        <v>2805</v>
      </c>
      <c r="D1105" s="3" t="s">
        <v>1475</v>
      </c>
      <c r="E1105" s="3" t="s">
        <v>120</v>
      </c>
      <c r="F1105" s="3">
        <v>22.98</v>
      </c>
      <c r="G1105" s="3" t="s">
        <v>121</v>
      </c>
      <c r="H1105" s="3"/>
      <c r="I1105" s="3" t="s">
        <v>122</v>
      </c>
      <c r="J1105" s="3">
        <v>0</v>
      </c>
      <c r="K1105" s="3">
        <v>0</v>
      </c>
      <c r="L1105" s="3">
        <v>0</v>
      </c>
      <c r="M1105" s="3">
        <v>0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</row>
    <row r="1106" spans="1:18">
      <c r="A1106" s="3" t="s">
        <v>2806</v>
      </c>
      <c r="B1106" s="3" t="s">
        <v>2807</v>
      </c>
      <c r="C1106" s="3" t="s">
        <v>2808</v>
      </c>
      <c r="D1106" s="3" t="s">
        <v>1501</v>
      </c>
      <c r="E1106" s="3" t="s">
        <v>120</v>
      </c>
      <c r="F1106" s="3">
        <v>22.98</v>
      </c>
      <c r="G1106" s="3" t="s">
        <v>121</v>
      </c>
      <c r="H1106" s="3"/>
      <c r="I1106" s="3" t="s">
        <v>122</v>
      </c>
      <c r="J1106" s="3">
        <v>23</v>
      </c>
      <c r="K1106" s="3">
        <v>23</v>
      </c>
      <c r="L1106" s="3">
        <v>0</v>
      </c>
      <c r="M1106" s="3">
        <v>0</v>
      </c>
      <c r="N1106" s="3">
        <v>63</v>
      </c>
      <c r="O1106" s="3">
        <v>0.15</v>
      </c>
      <c r="P1106" s="3">
        <v>0</v>
      </c>
      <c r="Q1106" s="3">
        <v>40</v>
      </c>
      <c r="R1106" s="3">
        <v>0</v>
      </c>
    </row>
    <row r="1107" spans="1:18">
      <c r="A1107" s="3" t="s">
        <v>2809</v>
      </c>
      <c r="B1107" s="3" t="s">
        <v>70</v>
      </c>
      <c r="C1107" s="3" t="s">
        <v>70</v>
      </c>
      <c r="D1107" s="3" t="s">
        <v>2810</v>
      </c>
      <c r="E1107" s="3" t="s">
        <v>120</v>
      </c>
      <c r="F1107" s="3">
        <v>22.98</v>
      </c>
      <c r="G1107" s="3" t="s">
        <v>121</v>
      </c>
      <c r="H1107" s="3"/>
      <c r="I1107" s="3" t="s">
        <v>122</v>
      </c>
      <c r="J1107" s="3">
        <v>51</v>
      </c>
      <c r="K1107" s="3">
        <v>51</v>
      </c>
      <c r="L1107" s="3">
        <v>0</v>
      </c>
      <c r="M1107" s="3">
        <v>0</v>
      </c>
      <c r="N1107" s="3">
        <v>51</v>
      </c>
      <c r="O1107" s="3">
        <v>0.15</v>
      </c>
      <c r="P1107" s="3">
        <v>0</v>
      </c>
      <c r="Q1107" s="3">
        <v>0</v>
      </c>
      <c r="R1107" s="3">
        <v>0</v>
      </c>
    </row>
    <row r="1108" spans="1:18">
      <c r="A1108" s="3" t="s">
        <v>2811</v>
      </c>
      <c r="B1108" s="3" t="s">
        <v>2812</v>
      </c>
      <c r="C1108" s="3" t="s">
        <v>2812</v>
      </c>
      <c r="D1108" s="3" t="s">
        <v>2813</v>
      </c>
      <c r="E1108" s="3" t="s">
        <v>120</v>
      </c>
      <c r="F1108" s="3">
        <v>22.98</v>
      </c>
      <c r="G1108" s="3" t="s">
        <v>121</v>
      </c>
      <c r="H1108" s="3"/>
      <c r="I1108" s="3" t="s">
        <v>122</v>
      </c>
      <c r="J1108" s="3">
        <v>0</v>
      </c>
      <c r="K1108" s="3">
        <v>0</v>
      </c>
      <c r="L1108" s="3">
        <v>0</v>
      </c>
      <c r="M1108" s="3">
        <v>0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</row>
    <row r="1109" spans="1:18">
      <c r="A1109" s="3" t="s">
        <v>2814</v>
      </c>
      <c r="B1109" s="3" t="s">
        <v>2815</v>
      </c>
      <c r="C1109" s="3" t="s">
        <v>2815</v>
      </c>
      <c r="D1109" s="3" t="s">
        <v>2816</v>
      </c>
      <c r="E1109" s="3" t="s">
        <v>120</v>
      </c>
      <c r="F1109" s="3">
        <v>18.98</v>
      </c>
      <c r="G1109" s="3" t="s">
        <v>121</v>
      </c>
      <c r="H1109" s="3"/>
      <c r="I1109" s="3" t="s">
        <v>122</v>
      </c>
      <c r="J1109" s="3">
        <v>28</v>
      </c>
      <c r="K1109" s="3">
        <v>28</v>
      </c>
      <c r="L1109" s="3">
        <v>0</v>
      </c>
      <c r="M1109" s="3">
        <v>0</v>
      </c>
      <c r="N1109" s="3">
        <v>28</v>
      </c>
      <c r="O1109" s="3">
        <v>0.17</v>
      </c>
      <c r="P1109" s="3">
        <v>0</v>
      </c>
      <c r="Q1109" s="3">
        <v>0</v>
      </c>
      <c r="R1109" s="3">
        <v>0</v>
      </c>
    </row>
    <row r="1110" spans="1:18">
      <c r="A1110" s="3" t="s">
        <v>2817</v>
      </c>
      <c r="B1110" s="3" t="s">
        <v>2818</v>
      </c>
      <c r="C1110" s="3" t="s">
        <v>2818</v>
      </c>
      <c r="D1110" s="3" t="s">
        <v>2819</v>
      </c>
      <c r="E1110" s="3" t="s">
        <v>120</v>
      </c>
      <c r="F1110" s="3">
        <v>21.98</v>
      </c>
      <c r="G1110" s="3" t="s">
        <v>121</v>
      </c>
      <c r="H1110" s="3"/>
      <c r="I1110" s="3" t="s">
        <v>122</v>
      </c>
      <c r="J1110" s="3">
        <v>45</v>
      </c>
      <c r="K1110" s="3">
        <v>45</v>
      </c>
      <c r="L1110" s="3">
        <v>0</v>
      </c>
      <c r="M1110" s="3">
        <v>0</v>
      </c>
      <c r="N1110" s="3">
        <v>45</v>
      </c>
      <c r="O1110" s="3">
        <v>0.18</v>
      </c>
      <c r="P1110" s="3">
        <v>0</v>
      </c>
      <c r="Q1110" s="3">
        <v>0</v>
      </c>
      <c r="R1110" s="3">
        <v>0</v>
      </c>
    </row>
    <row r="1111" spans="1:18">
      <c r="A1111" s="3" t="s">
        <v>2820</v>
      </c>
      <c r="B1111" s="3" t="s">
        <v>2821</v>
      </c>
      <c r="C1111" s="3" t="s">
        <v>2821</v>
      </c>
      <c r="D1111" s="3" t="s">
        <v>2822</v>
      </c>
      <c r="E1111" s="3" t="s">
        <v>120</v>
      </c>
      <c r="F1111" s="3">
        <v>22.98</v>
      </c>
      <c r="G1111" s="3" t="s">
        <v>121</v>
      </c>
      <c r="H1111" s="3"/>
      <c r="I1111" s="3" t="s">
        <v>122</v>
      </c>
      <c r="J1111" s="3">
        <v>1</v>
      </c>
      <c r="K1111" s="3">
        <v>0</v>
      </c>
      <c r="L1111" s="3">
        <v>1</v>
      </c>
      <c r="M1111" s="3">
        <v>0</v>
      </c>
      <c r="N1111" s="3">
        <v>1</v>
      </c>
      <c r="O1111" s="3">
        <v>0.16</v>
      </c>
      <c r="P1111" s="3">
        <v>0</v>
      </c>
      <c r="Q1111" s="3">
        <v>0</v>
      </c>
      <c r="R1111" s="3">
        <v>0</v>
      </c>
    </row>
    <row r="1112" spans="1:18">
      <c r="A1112" s="3" t="s">
        <v>2823</v>
      </c>
      <c r="B1112" s="3" t="s">
        <v>2824</v>
      </c>
      <c r="C1112" s="3" t="s">
        <v>2824</v>
      </c>
      <c r="D1112" s="3" t="s">
        <v>2825</v>
      </c>
      <c r="E1112" s="3" t="s">
        <v>120</v>
      </c>
      <c r="F1112" s="3">
        <v>22.98</v>
      </c>
      <c r="G1112" s="3" t="s">
        <v>121</v>
      </c>
      <c r="H1112" s="3"/>
      <c r="I1112" s="3" t="s">
        <v>122</v>
      </c>
      <c r="J1112" s="3">
        <v>34</v>
      </c>
      <c r="K1112" s="3">
        <v>34</v>
      </c>
      <c r="L1112" s="3">
        <v>0</v>
      </c>
      <c r="M1112" s="3">
        <v>0</v>
      </c>
      <c r="N1112" s="3">
        <v>34</v>
      </c>
      <c r="O1112" s="3">
        <v>0.2</v>
      </c>
      <c r="P1112" s="3">
        <v>0</v>
      </c>
      <c r="Q1112" s="3">
        <v>0</v>
      </c>
      <c r="R1112" s="3">
        <v>0</v>
      </c>
    </row>
    <row r="1113" spans="1:18">
      <c r="A1113" s="3" t="s">
        <v>2826</v>
      </c>
      <c r="B1113" s="3" t="s">
        <v>2827</v>
      </c>
      <c r="C1113" s="3" t="s">
        <v>2827</v>
      </c>
      <c r="D1113" s="3" t="s">
        <v>2828</v>
      </c>
      <c r="E1113" s="3" t="s">
        <v>120</v>
      </c>
      <c r="F1113" s="3">
        <v>17.98</v>
      </c>
      <c r="G1113" s="3" t="s">
        <v>121</v>
      </c>
      <c r="H1113" s="3"/>
      <c r="I1113" s="3" t="s">
        <v>122</v>
      </c>
      <c r="J1113" s="3">
        <v>8</v>
      </c>
      <c r="K1113" s="3">
        <v>8</v>
      </c>
      <c r="L1113" s="3">
        <v>0</v>
      </c>
      <c r="M1113" s="3">
        <v>0</v>
      </c>
      <c r="N1113" s="3">
        <v>8</v>
      </c>
      <c r="O1113" s="3">
        <v>0.19</v>
      </c>
      <c r="P1113" s="3">
        <v>0</v>
      </c>
      <c r="Q1113" s="3">
        <v>0</v>
      </c>
      <c r="R1113" s="3">
        <v>0</v>
      </c>
    </row>
    <row r="1114" spans="1:18">
      <c r="A1114" s="3" t="s">
        <v>2829</v>
      </c>
      <c r="B1114" s="3" t="s">
        <v>2830</v>
      </c>
      <c r="C1114" s="3" t="s">
        <v>2830</v>
      </c>
      <c r="D1114" s="3" t="s">
        <v>2831</v>
      </c>
      <c r="E1114" s="3" t="s">
        <v>120</v>
      </c>
      <c r="F1114" s="3">
        <v>17.98</v>
      </c>
      <c r="G1114" s="3" t="s">
        <v>121</v>
      </c>
      <c r="H1114" s="3"/>
      <c r="I1114" s="3" t="s">
        <v>122</v>
      </c>
      <c r="J1114" s="3">
        <v>0</v>
      </c>
      <c r="K1114" s="3">
        <v>0</v>
      </c>
      <c r="L1114" s="3">
        <v>0</v>
      </c>
      <c r="M1114" s="3">
        <v>0</v>
      </c>
      <c r="N1114" s="3">
        <v>0</v>
      </c>
      <c r="O1114" s="3">
        <v>0.17</v>
      </c>
      <c r="P1114" s="3">
        <v>0</v>
      </c>
      <c r="Q1114" s="3">
        <v>0</v>
      </c>
      <c r="R1114" s="3">
        <v>0</v>
      </c>
    </row>
    <row r="1115" spans="1:18">
      <c r="A1115" s="3" t="s">
        <v>2832</v>
      </c>
      <c r="B1115" s="3" t="s">
        <v>2833</v>
      </c>
      <c r="C1115" s="3" t="s">
        <v>2833</v>
      </c>
      <c r="D1115" s="3" t="s">
        <v>1730</v>
      </c>
      <c r="E1115" s="3" t="s">
        <v>120</v>
      </c>
      <c r="F1115" s="3">
        <v>39.98</v>
      </c>
      <c r="G1115" s="3" t="s">
        <v>121</v>
      </c>
      <c r="H1115" s="3"/>
      <c r="I1115" s="3" t="s">
        <v>122</v>
      </c>
      <c r="J1115" s="3">
        <v>44</v>
      </c>
      <c r="K1115" s="3">
        <v>44</v>
      </c>
      <c r="L1115" s="3">
        <v>0</v>
      </c>
      <c r="M1115" s="3">
        <v>0</v>
      </c>
      <c r="N1115" s="3">
        <v>44</v>
      </c>
      <c r="O1115" s="3">
        <v>0.16</v>
      </c>
      <c r="P1115" s="3">
        <v>0</v>
      </c>
      <c r="Q1115" s="3">
        <v>0</v>
      </c>
      <c r="R1115" s="3">
        <v>0</v>
      </c>
    </row>
    <row r="1116" spans="1:18">
      <c r="A1116" s="3" t="s">
        <v>2834</v>
      </c>
      <c r="B1116" s="3" t="s">
        <v>2835</v>
      </c>
      <c r="C1116" s="3" t="s">
        <v>2835</v>
      </c>
      <c r="D1116" s="3" t="s">
        <v>1733</v>
      </c>
      <c r="E1116" s="3" t="s">
        <v>20</v>
      </c>
      <c r="F1116" s="3">
        <v>39.98</v>
      </c>
      <c r="G1116" s="3" t="s">
        <v>121</v>
      </c>
      <c r="H1116" s="3"/>
      <c r="I1116" s="3" t="s">
        <v>122</v>
      </c>
      <c r="J1116" s="3">
        <v>22</v>
      </c>
      <c r="K1116" s="3">
        <v>22</v>
      </c>
      <c r="L1116" s="3">
        <v>0</v>
      </c>
      <c r="M1116" s="3">
        <v>0</v>
      </c>
      <c r="N1116" s="3">
        <v>22</v>
      </c>
      <c r="O1116" s="3">
        <v>0.16</v>
      </c>
      <c r="P1116" s="3">
        <v>0</v>
      </c>
      <c r="Q1116" s="3">
        <v>0</v>
      </c>
      <c r="R1116" s="3">
        <v>0</v>
      </c>
    </row>
    <row r="1117" spans="1:18">
      <c r="A1117" s="3" t="s">
        <v>2836</v>
      </c>
      <c r="B1117" s="3" t="s">
        <v>2837</v>
      </c>
      <c r="C1117" s="3" t="s">
        <v>2837</v>
      </c>
      <c r="D1117" s="3" t="s">
        <v>1736</v>
      </c>
      <c r="E1117" s="3" t="s">
        <v>20</v>
      </c>
      <c r="F1117" s="3">
        <v>39.98</v>
      </c>
      <c r="G1117" s="3" t="s">
        <v>121</v>
      </c>
      <c r="H1117" s="3"/>
      <c r="I1117" s="3" t="s">
        <v>122</v>
      </c>
      <c r="J1117" s="3">
        <v>4</v>
      </c>
      <c r="K1117" s="3">
        <v>4</v>
      </c>
      <c r="L1117" s="3">
        <v>0</v>
      </c>
      <c r="M1117" s="3">
        <v>0</v>
      </c>
      <c r="N1117" s="3">
        <v>4</v>
      </c>
      <c r="O1117" s="3">
        <v>0.16</v>
      </c>
      <c r="P1117" s="3">
        <v>0</v>
      </c>
      <c r="Q1117" s="3">
        <v>0</v>
      </c>
      <c r="R1117" s="3">
        <v>0</v>
      </c>
    </row>
    <row r="1118" spans="1:18">
      <c r="A1118" s="3" t="s">
        <v>2838</v>
      </c>
      <c r="B1118" s="3" t="s">
        <v>1738</v>
      </c>
      <c r="C1118" s="3" t="s">
        <v>1738</v>
      </c>
      <c r="D1118" s="3" t="s">
        <v>1739</v>
      </c>
      <c r="E1118" s="3" t="s">
        <v>120</v>
      </c>
      <c r="F1118" s="3">
        <v>39.98</v>
      </c>
      <c r="G1118" s="3" t="s">
        <v>121</v>
      </c>
      <c r="H1118" s="3"/>
      <c r="I1118" s="3" t="s">
        <v>122</v>
      </c>
      <c r="J1118" s="3">
        <v>19</v>
      </c>
      <c r="K1118" s="3">
        <v>19</v>
      </c>
      <c r="L1118" s="3">
        <v>0</v>
      </c>
      <c r="M1118" s="3">
        <v>0</v>
      </c>
      <c r="N1118" s="3">
        <v>19</v>
      </c>
      <c r="O1118" s="3">
        <v>0.12</v>
      </c>
      <c r="P1118" s="3">
        <v>0</v>
      </c>
      <c r="Q1118" s="3">
        <v>0</v>
      </c>
      <c r="R1118" s="3">
        <v>0</v>
      </c>
    </row>
    <row r="1119" spans="1:18">
      <c r="A1119" s="3" t="s">
        <v>2839</v>
      </c>
      <c r="B1119" s="3" t="s">
        <v>2840</v>
      </c>
      <c r="C1119" s="3" t="s">
        <v>2840</v>
      </c>
      <c r="D1119" s="3" t="s">
        <v>2841</v>
      </c>
      <c r="E1119" s="3" t="s">
        <v>20</v>
      </c>
      <c r="F1119" s="3">
        <v>39.98</v>
      </c>
      <c r="G1119" s="3" t="s">
        <v>121</v>
      </c>
      <c r="H1119" s="3"/>
      <c r="I1119" s="3" t="s">
        <v>122</v>
      </c>
      <c r="J1119" s="3">
        <v>10</v>
      </c>
      <c r="K1119" s="3">
        <v>10</v>
      </c>
      <c r="L1119" s="3">
        <v>0</v>
      </c>
      <c r="M1119" s="3">
        <v>0</v>
      </c>
      <c r="N1119" s="3">
        <v>10</v>
      </c>
      <c r="O1119" s="3">
        <v>0.16</v>
      </c>
      <c r="P1119" s="3">
        <v>0</v>
      </c>
      <c r="Q1119" s="3">
        <v>0</v>
      </c>
      <c r="R1119" s="3">
        <v>0</v>
      </c>
    </row>
    <row r="1120" spans="1:18">
      <c r="A1120" s="3" t="s">
        <v>2842</v>
      </c>
      <c r="B1120" s="3" t="s">
        <v>2843</v>
      </c>
      <c r="C1120" s="3" t="s">
        <v>2843</v>
      </c>
      <c r="D1120" s="3" t="s">
        <v>2844</v>
      </c>
      <c r="E1120" s="3" t="s">
        <v>120</v>
      </c>
      <c r="F1120" s="3">
        <v>39.98</v>
      </c>
      <c r="G1120" s="3" t="s">
        <v>121</v>
      </c>
      <c r="H1120" s="3"/>
      <c r="I1120" s="3" t="s">
        <v>122</v>
      </c>
      <c r="J1120" s="3">
        <v>18</v>
      </c>
      <c r="K1120" s="3">
        <v>18</v>
      </c>
      <c r="L1120" s="3">
        <v>0</v>
      </c>
      <c r="M1120" s="3">
        <v>0</v>
      </c>
      <c r="N1120" s="3">
        <v>18</v>
      </c>
      <c r="O1120" s="3">
        <v>0.16</v>
      </c>
      <c r="P1120" s="3">
        <v>0</v>
      </c>
      <c r="Q1120" s="3">
        <v>0</v>
      </c>
      <c r="R1120" s="3">
        <v>0</v>
      </c>
    </row>
    <row r="1121" spans="1:18">
      <c r="A1121" s="3" t="s">
        <v>2845</v>
      </c>
      <c r="B1121" s="3" t="s">
        <v>2846</v>
      </c>
      <c r="C1121" s="3" t="s">
        <v>2846</v>
      </c>
      <c r="D1121" s="3" t="s">
        <v>1747</v>
      </c>
      <c r="E1121" s="3" t="s">
        <v>120</v>
      </c>
      <c r="F1121" s="3">
        <v>24.98</v>
      </c>
      <c r="G1121" s="3" t="s">
        <v>121</v>
      </c>
      <c r="H1121" s="3"/>
      <c r="I1121" s="3" t="s">
        <v>122</v>
      </c>
      <c r="J1121" s="3">
        <v>20</v>
      </c>
      <c r="K1121" s="3">
        <v>20</v>
      </c>
      <c r="L1121" s="3">
        <v>0</v>
      </c>
      <c r="M1121" s="3">
        <v>0</v>
      </c>
      <c r="N1121" s="3">
        <v>20</v>
      </c>
      <c r="O1121" s="3">
        <v>0.16</v>
      </c>
      <c r="P1121" s="3">
        <v>0</v>
      </c>
      <c r="Q1121" s="3">
        <v>0</v>
      </c>
      <c r="R1121" s="3">
        <v>0</v>
      </c>
    </row>
    <row r="1122" spans="1:18">
      <c r="A1122" s="3" t="s">
        <v>2847</v>
      </c>
      <c r="B1122" s="3" t="s">
        <v>2848</v>
      </c>
      <c r="C1122" s="3" t="s">
        <v>2848</v>
      </c>
      <c r="D1122" s="3" t="s">
        <v>1753</v>
      </c>
      <c r="E1122" s="3" t="s">
        <v>120</v>
      </c>
      <c r="F1122" s="3">
        <v>24.98</v>
      </c>
      <c r="G1122" s="3" t="s">
        <v>121</v>
      </c>
      <c r="H1122" s="3"/>
      <c r="I1122" s="3" t="s">
        <v>122</v>
      </c>
      <c r="J1122" s="3">
        <v>17</v>
      </c>
      <c r="K1122" s="3">
        <v>17</v>
      </c>
      <c r="L1122" s="3">
        <v>0</v>
      </c>
      <c r="M1122" s="3">
        <v>0</v>
      </c>
      <c r="N1122" s="3">
        <v>17</v>
      </c>
      <c r="O1122" s="3">
        <v>0.16</v>
      </c>
      <c r="P1122" s="3">
        <v>0</v>
      </c>
      <c r="Q1122" s="3">
        <v>0</v>
      </c>
      <c r="R1122" s="3">
        <v>0</v>
      </c>
    </row>
    <row r="1123" spans="1:18">
      <c r="A1123" s="3" t="s">
        <v>2849</v>
      </c>
      <c r="B1123" s="3" t="s">
        <v>2850</v>
      </c>
      <c r="C1123" s="3" t="s">
        <v>2850</v>
      </c>
      <c r="D1123" s="3" t="s">
        <v>2851</v>
      </c>
      <c r="E1123" s="3" t="s">
        <v>120</v>
      </c>
      <c r="F1123" s="3">
        <v>39.98</v>
      </c>
      <c r="G1123" s="3" t="s">
        <v>121</v>
      </c>
      <c r="H1123" s="3"/>
      <c r="I1123" s="3" t="s">
        <v>122</v>
      </c>
      <c r="J1123" s="3">
        <v>12</v>
      </c>
      <c r="K1123" s="3">
        <v>12</v>
      </c>
      <c r="L1123" s="3">
        <v>0</v>
      </c>
      <c r="M1123" s="3">
        <v>0</v>
      </c>
      <c r="N1123" s="3">
        <v>12</v>
      </c>
      <c r="O1123" s="3">
        <v>0.16</v>
      </c>
      <c r="P1123" s="3">
        <v>0</v>
      </c>
      <c r="Q1123" s="3">
        <v>0</v>
      </c>
      <c r="R1123" s="3">
        <v>0</v>
      </c>
    </row>
    <row r="1124" spans="1:18">
      <c r="A1124" s="3" t="s">
        <v>2852</v>
      </c>
      <c r="B1124" s="3" t="s">
        <v>1759</v>
      </c>
      <c r="C1124" s="3" t="s">
        <v>1759</v>
      </c>
      <c r="D1124" s="3" t="s">
        <v>1760</v>
      </c>
      <c r="E1124" s="3" t="s">
        <v>20</v>
      </c>
      <c r="F1124" s="3">
        <v>39.98</v>
      </c>
      <c r="G1124" s="3" t="s">
        <v>121</v>
      </c>
      <c r="H1124" s="3"/>
      <c r="I1124" s="3" t="s">
        <v>122</v>
      </c>
      <c r="J1124" s="3">
        <v>11</v>
      </c>
      <c r="K1124" s="3">
        <v>11</v>
      </c>
      <c r="L1124" s="3">
        <v>0</v>
      </c>
      <c r="M1124" s="3">
        <v>0</v>
      </c>
      <c r="N1124" s="3">
        <v>11</v>
      </c>
      <c r="O1124" s="3">
        <v>0</v>
      </c>
      <c r="P1124" s="3">
        <v>0</v>
      </c>
      <c r="Q1124" s="3">
        <v>0</v>
      </c>
      <c r="R1124" s="3">
        <v>0</v>
      </c>
    </row>
    <row r="1125" spans="1:18">
      <c r="A1125" s="3" t="s">
        <v>2853</v>
      </c>
      <c r="B1125" s="3" t="s">
        <v>2854</v>
      </c>
      <c r="C1125" s="3" t="s">
        <v>2854</v>
      </c>
      <c r="D1125" s="3" t="s">
        <v>1766</v>
      </c>
      <c r="E1125" s="3" t="s">
        <v>120</v>
      </c>
      <c r="F1125" s="3">
        <v>25.98</v>
      </c>
      <c r="G1125" s="3" t="s">
        <v>121</v>
      </c>
      <c r="H1125" s="3"/>
      <c r="I1125" s="3" t="s">
        <v>122</v>
      </c>
      <c r="J1125" s="3">
        <v>12</v>
      </c>
      <c r="K1125" s="3">
        <v>12</v>
      </c>
      <c r="L1125" s="3">
        <v>0</v>
      </c>
      <c r="M1125" s="3">
        <v>0</v>
      </c>
      <c r="N1125" s="3">
        <v>12</v>
      </c>
      <c r="O1125" s="3">
        <v>0.16</v>
      </c>
      <c r="P1125" s="3">
        <v>0</v>
      </c>
      <c r="Q1125" s="3">
        <v>0</v>
      </c>
      <c r="R1125" s="3">
        <v>0</v>
      </c>
    </row>
    <row r="1126" spans="1:18">
      <c r="A1126" s="3" t="s">
        <v>2855</v>
      </c>
      <c r="B1126" s="3" t="s">
        <v>2856</v>
      </c>
      <c r="C1126" s="3" t="s">
        <v>2856</v>
      </c>
      <c r="D1126" s="3" t="s">
        <v>1769</v>
      </c>
      <c r="E1126" s="3" t="s">
        <v>20</v>
      </c>
      <c r="F1126" s="3">
        <v>39.98</v>
      </c>
      <c r="G1126" s="3" t="s">
        <v>121</v>
      </c>
      <c r="H1126" s="3"/>
      <c r="I1126" s="3" t="s">
        <v>122</v>
      </c>
      <c r="J1126" s="3">
        <v>31</v>
      </c>
      <c r="K1126" s="3">
        <v>31</v>
      </c>
      <c r="L1126" s="3">
        <v>0</v>
      </c>
      <c r="M1126" s="3">
        <v>0</v>
      </c>
      <c r="N1126" s="3">
        <v>31</v>
      </c>
      <c r="O1126" s="3">
        <v>0.17</v>
      </c>
      <c r="P1126" s="3">
        <v>0</v>
      </c>
      <c r="Q1126" s="3">
        <v>0</v>
      </c>
      <c r="R1126" s="3">
        <v>0</v>
      </c>
    </row>
    <row r="1127" spans="1:18">
      <c r="A1127" s="3" t="s">
        <v>2857</v>
      </c>
      <c r="B1127" s="3" t="s">
        <v>1771</v>
      </c>
      <c r="C1127" s="3" t="s">
        <v>1771</v>
      </c>
      <c r="D1127" s="3" t="s">
        <v>1772</v>
      </c>
      <c r="E1127" s="3" t="s">
        <v>120</v>
      </c>
      <c r="F1127" s="3">
        <v>39.98</v>
      </c>
      <c r="G1127" s="3" t="s">
        <v>121</v>
      </c>
      <c r="H1127" s="3"/>
      <c r="I1127" s="3" t="s">
        <v>122</v>
      </c>
      <c r="J1127" s="3">
        <v>28</v>
      </c>
      <c r="K1127" s="3">
        <v>28</v>
      </c>
      <c r="L1127" s="3">
        <v>0</v>
      </c>
      <c r="M1127" s="3">
        <v>0</v>
      </c>
      <c r="N1127" s="3">
        <v>28</v>
      </c>
      <c r="O1127" s="3">
        <v>0.12</v>
      </c>
      <c r="P1127" s="3">
        <v>0</v>
      </c>
      <c r="Q1127" s="3">
        <v>0</v>
      </c>
      <c r="R1127" s="3">
        <v>0</v>
      </c>
    </row>
    <row r="1128" spans="1:18">
      <c r="A1128" s="3" t="s">
        <v>2858</v>
      </c>
      <c r="B1128" s="3" t="s">
        <v>2859</v>
      </c>
      <c r="C1128" s="3" t="s">
        <v>2859</v>
      </c>
      <c r="D1128" s="3" t="s">
        <v>2860</v>
      </c>
      <c r="E1128" s="3" t="s">
        <v>120</v>
      </c>
      <c r="F1128" s="3">
        <v>39.98</v>
      </c>
      <c r="G1128" s="3" t="s">
        <v>121</v>
      </c>
      <c r="H1128" s="3"/>
      <c r="I1128" s="3" t="s">
        <v>122</v>
      </c>
      <c r="J1128" s="3">
        <v>14</v>
      </c>
      <c r="K1128" s="3">
        <v>14</v>
      </c>
      <c r="L1128" s="3">
        <v>0</v>
      </c>
      <c r="M1128" s="3">
        <v>0</v>
      </c>
      <c r="N1128" s="3">
        <v>14</v>
      </c>
      <c r="O1128" s="3">
        <v>0.12</v>
      </c>
      <c r="P1128" s="3">
        <v>0</v>
      </c>
      <c r="Q1128" s="3">
        <v>0</v>
      </c>
      <c r="R1128" s="3">
        <v>0</v>
      </c>
    </row>
    <row r="1129" spans="1:18">
      <c r="A1129" s="3" t="s">
        <v>2861</v>
      </c>
      <c r="B1129" s="3" t="s">
        <v>2862</v>
      </c>
      <c r="C1129" s="3" t="s">
        <v>2862</v>
      </c>
      <c r="D1129" s="3" t="s">
        <v>2863</v>
      </c>
      <c r="E1129" s="3" t="s">
        <v>120</v>
      </c>
      <c r="F1129" s="3">
        <v>39.98</v>
      </c>
      <c r="G1129" s="3" t="s">
        <v>121</v>
      </c>
      <c r="H1129" s="3"/>
      <c r="I1129" s="3" t="s">
        <v>122</v>
      </c>
      <c r="J1129" s="3">
        <v>5</v>
      </c>
      <c r="K1129" s="3">
        <v>5</v>
      </c>
      <c r="L1129" s="3">
        <v>0</v>
      </c>
      <c r="M1129" s="3">
        <v>0</v>
      </c>
      <c r="N1129" s="3">
        <v>5</v>
      </c>
      <c r="O1129" s="3">
        <v>0.16</v>
      </c>
      <c r="P1129" s="3">
        <v>0</v>
      </c>
      <c r="Q1129" s="3">
        <v>0</v>
      </c>
      <c r="R1129" s="3">
        <v>0</v>
      </c>
    </row>
    <row r="1130" spans="1:18">
      <c r="A1130" s="3" t="s">
        <v>2864</v>
      </c>
      <c r="B1130" s="3" t="s">
        <v>2865</v>
      </c>
      <c r="C1130" s="3" t="s">
        <v>2865</v>
      </c>
      <c r="D1130" s="3" t="s">
        <v>2866</v>
      </c>
      <c r="E1130" s="3" t="s">
        <v>120</v>
      </c>
      <c r="F1130" s="3">
        <v>39.98</v>
      </c>
      <c r="G1130" s="3" t="s">
        <v>121</v>
      </c>
      <c r="H1130" s="3"/>
      <c r="I1130" s="3" t="s">
        <v>122</v>
      </c>
      <c r="J1130" s="3">
        <v>27</v>
      </c>
      <c r="K1130" s="3">
        <v>27</v>
      </c>
      <c r="L1130" s="3">
        <v>0</v>
      </c>
      <c r="M1130" s="3">
        <v>0</v>
      </c>
      <c r="N1130" s="3">
        <v>27</v>
      </c>
      <c r="O1130" s="3">
        <v>0.16</v>
      </c>
      <c r="P1130" s="3">
        <v>0</v>
      </c>
      <c r="Q1130" s="3">
        <v>0</v>
      </c>
      <c r="R1130" s="3">
        <v>0</v>
      </c>
    </row>
    <row r="1131" spans="1:18">
      <c r="A1131" s="3" t="s">
        <v>2867</v>
      </c>
      <c r="B1131" s="3" t="s">
        <v>2868</v>
      </c>
      <c r="C1131" s="3" t="s">
        <v>2868</v>
      </c>
      <c r="D1131" s="3" t="s">
        <v>1779</v>
      </c>
      <c r="E1131" s="3" t="s">
        <v>20</v>
      </c>
      <c r="F1131" s="3">
        <v>39.98</v>
      </c>
      <c r="G1131" s="3" t="s">
        <v>121</v>
      </c>
      <c r="H1131" s="3"/>
      <c r="I1131" s="3" t="s">
        <v>122</v>
      </c>
      <c r="J1131" s="3">
        <v>9</v>
      </c>
      <c r="K1131" s="3">
        <v>9</v>
      </c>
      <c r="L1131" s="3">
        <v>0</v>
      </c>
      <c r="M1131" s="3">
        <v>0</v>
      </c>
      <c r="N1131" s="3">
        <v>9</v>
      </c>
      <c r="O1131" s="3">
        <v>0.16</v>
      </c>
      <c r="P1131" s="3">
        <v>0</v>
      </c>
      <c r="Q1131" s="3">
        <v>0</v>
      </c>
      <c r="R1131" s="3">
        <v>0</v>
      </c>
    </row>
    <row r="1132" spans="1:18">
      <c r="A1132" s="3" t="s">
        <v>2869</v>
      </c>
      <c r="B1132" s="3" t="s">
        <v>2870</v>
      </c>
      <c r="C1132" s="3" t="s">
        <v>2870</v>
      </c>
      <c r="D1132" s="3" t="s">
        <v>2871</v>
      </c>
      <c r="E1132" s="3" t="s">
        <v>120</v>
      </c>
      <c r="F1132" s="3">
        <v>39.98</v>
      </c>
      <c r="G1132" s="3" t="s">
        <v>121</v>
      </c>
      <c r="H1132" s="3"/>
      <c r="I1132" s="3" t="s">
        <v>122</v>
      </c>
      <c r="J1132" s="3">
        <v>1</v>
      </c>
      <c r="K1132" s="3">
        <v>1</v>
      </c>
      <c r="L1132" s="3">
        <v>0</v>
      </c>
      <c r="M1132" s="3">
        <v>0</v>
      </c>
      <c r="N1132" s="3">
        <v>1</v>
      </c>
      <c r="O1132" s="3">
        <v>0.16</v>
      </c>
      <c r="P1132" s="3">
        <v>0</v>
      </c>
      <c r="Q1132" s="3">
        <v>0</v>
      </c>
      <c r="R1132" s="3">
        <v>0</v>
      </c>
    </row>
    <row r="1133" spans="1:18">
      <c r="A1133" s="3" t="s">
        <v>2872</v>
      </c>
      <c r="B1133" s="3" t="s">
        <v>1781</v>
      </c>
      <c r="C1133" s="3" t="s">
        <v>1781</v>
      </c>
      <c r="D1133" s="3" t="s">
        <v>2873</v>
      </c>
      <c r="E1133" s="3" t="s">
        <v>120</v>
      </c>
      <c r="F1133" s="3">
        <v>39.98</v>
      </c>
      <c r="G1133" s="3" t="s">
        <v>121</v>
      </c>
      <c r="H1133" s="3"/>
      <c r="I1133" s="3" t="s">
        <v>122</v>
      </c>
      <c r="J1133" s="3">
        <v>22</v>
      </c>
      <c r="K1133" s="3">
        <v>22</v>
      </c>
      <c r="L1133" s="3">
        <v>0</v>
      </c>
      <c r="M1133" s="3">
        <v>0</v>
      </c>
      <c r="N1133" s="3">
        <v>22</v>
      </c>
      <c r="O1133" s="3">
        <v>0.12</v>
      </c>
      <c r="P1133" s="3">
        <v>0</v>
      </c>
      <c r="Q1133" s="3">
        <v>0</v>
      </c>
      <c r="R1133" s="3">
        <v>0</v>
      </c>
    </row>
    <row r="1134" spans="1:18">
      <c r="A1134" s="3" t="s">
        <v>2874</v>
      </c>
      <c r="B1134" s="3" t="s">
        <v>1783</v>
      </c>
      <c r="C1134" s="3" t="s">
        <v>1783</v>
      </c>
      <c r="D1134" s="3" t="s">
        <v>1784</v>
      </c>
      <c r="E1134" s="3" t="s">
        <v>20</v>
      </c>
      <c r="F1134" s="3">
        <v>39.98</v>
      </c>
      <c r="G1134" s="3" t="s">
        <v>121</v>
      </c>
      <c r="H1134" s="3"/>
      <c r="I1134" s="3" t="s">
        <v>122</v>
      </c>
      <c r="J1134" s="3">
        <v>6</v>
      </c>
      <c r="K1134" s="3">
        <v>6</v>
      </c>
      <c r="L1134" s="3">
        <v>0</v>
      </c>
      <c r="M1134" s="3">
        <v>0</v>
      </c>
      <c r="N1134" s="3">
        <v>6</v>
      </c>
      <c r="O1134" s="3">
        <v>0.12</v>
      </c>
      <c r="P1134" s="3">
        <v>0</v>
      </c>
      <c r="Q1134" s="3">
        <v>0</v>
      </c>
      <c r="R1134" s="3">
        <v>0</v>
      </c>
    </row>
    <row r="1135" spans="1:18">
      <c r="A1135" s="3" t="s">
        <v>2875</v>
      </c>
      <c r="B1135" s="3" t="s">
        <v>1786</v>
      </c>
      <c r="C1135" s="3" t="s">
        <v>1786</v>
      </c>
      <c r="D1135" s="3" t="s">
        <v>1787</v>
      </c>
      <c r="E1135" s="3" t="s">
        <v>120</v>
      </c>
      <c r="F1135" s="3">
        <v>39.98</v>
      </c>
      <c r="G1135" s="3" t="s">
        <v>121</v>
      </c>
      <c r="H1135" s="3"/>
      <c r="I1135" s="3" t="s">
        <v>122</v>
      </c>
      <c r="J1135" s="3">
        <v>5</v>
      </c>
      <c r="K1135" s="3">
        <v>5</v>
      </c>
      <c r="L1135" s="3">
        <v>0</v>
      </c>
      <c r="M1135" s="3">
        <v>0</v>
      </c>
      <c r="N1135" s="3">
        <v>5</v>
      </c>
      <c r="O1135" s="3">
        <v>0.12</v>
      </c>
      <c r="P1135" s="3">
        <v>0</v>
      </c>
      <c r="Q1135" s="3">
        <v>0</v>
      </c>
      <c r="R1135" s="3">
        <v>0</v>
      </c>
    </row>
    <row r="1136" spans="1:18">
      <c r="A1136" s="3" t="s">
        <v>2876</v>
      </c>
      <c r="B1136" s="3" t="s">
        <v>1789</v>
      </c>
      <c r="C1136" s="3" t="s">
        <v>1789</v>
      </c>
      <c r="D1136" s="3" t="s">
        <v>1790</v>
      </c>
      <c r="E1136" s="3" t="s">
        <v>120</v>
      </c>
      <c r="F1136" s="3">
        <v>39.98</v>
      </c>
      <c r="G1136" s="3" t="s">
        <v>121</v>
      </c>
      <c r="H1136" s="3"/>
      <c r="I1136" s="3" t="s">
        <v>122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0.05</v>
      </c>
      <c r="P1136" s="3">
        <v>0</v>
      </c>
      <c r="Q1136" s="3">
        <v>0</v>
      </c>
      <c r="R1136" s="3">
        <v>0</v>
      </c>
    </row>
    <row r="1137" spans="1:18">
      <c r="A1137" s="3" t="s">
        <v>2877</v>
      </c>
      <c r="B1137" s="3" t="s">
        <v>1792</v>
      </c>
      <c r="C1137" s="3" t="s">
        <v>1792</v>
      </c>
      <c r="D1137" s="3" t="s">
        <v>1793</v>
      </c>
      <c r="E1137" s="3" t="s">
        <v>120</v>
      </c>
      <c r="F1137" s="3">
        <v>39.98</v>
      </c>
      <c r="G1137" s="3" t="s">
        <v>121</v>
      </c>
      <c r="H1137" s="3"/>
      <c r="I1137" s="3" t="s">
        <v>122</v>
      </c>
      <c r="J1137" s="3">
        <v>9</v>
      </c>
      <c r="K1137" s="3">
        <v>9</v>
      </c>
      <c r="L1137" s="3">
        <v>0</v>
      </c>
      <c r="M1137" s="3">
        <v>0</v>
      </c>
      <c r="N1137" s="3">
        <v>9</v>
      </c>
      <c r="O1137" s="3">
        <v>0.12</v>
      </c>
      <c r="P1137" s="3">
        <v>0</v>
      </c>
      <c r="Q1137" s="3">
        <v>0</v>
      </c>
      <c r="R1137" s="3">
        <v>0</v>
      </c>
    </row>
    <row r="1138" spans="1:18">
      <c r="A1138" s="3" t="s">
        <v>2878</v>
      </c>
      <c r="B1138" s="3" t="s">
        <v>2879</v>
      </c>
      <c r="C1138" s="3" t="s">
        <v>2879</v>
      </c>
      <c r="D1138" s="3" t="s">
        <v>1796</v>
      </c>
      <c r="E1138" s="3" t="s">
        <v>120</v>
      </c>
      <c r="F1138" s="3">
        <v>39.98</v>
      </c>
      <c r="G1138" s="3" t="s">
        <v>121</v>
      </c>
      <c r="H1138" s="3"/>
      <c r="I1138" s="3" t="s">
        <v>122</v>
      </c>
      <c r="J1138" s="3">
        <v>18</v>
      </c>
      <c r="K1138" s="3">
        <v>18</v>
      </c>
      <c r="L1138" s="3">
        <v>0</v>
      </c>
      <c r="M1138" s="3">
        <v>0</v>
      </c>
      <c r="N1138" s="3">
        <v>18</v>
      </c>
      <c r="O1138" s="3">
        <v>0.09</v>
      </c>
      <c r="P1138" s="3">
        <v>0</v>
      </c>
      <c r="Q1138" s="3">
        <v>0</v>
      </c>
      <c r="R1138" s="3">
        <v>0</v>
      </c>
    </row>
    <row r="1139" spans="1:18">
      <c r="A1139" s="3" t="s">
        <v>2880</v>
      </c>
      <c r="B1139" s="3" t="s">
        <v>2881</v>
      </c>
      <c r="C1139" s="3" t="s">
        <v>2881</v>
      </c>
      <c r="D1139" s="3" t="s">
        <v>2882</v>
      </c>
      <c r="E1139" s="3" t="s">
        <v>120</v>
      </c>
      <c r="F1139" s="3">
        <v>39.98</v>
      </c>
      <c r="G1139" s="3" t="s">
        <v>121</v>
      </c>
      <c r="H1139" s="3"/>
      <c r="I1139" s="3" t="s">
        <v>122</v>
      </c>
      <c r="J1139" s="3">
        <v>0</v>
      </c>
      <c r="K1139" s="3">
        <v>0</v>
      </c>
      <c r="L1139" s="3">
        <v>0</v>
      </c>
      <c r="M1139" s="3">
        <v>0</v>
      </c>
      <c r="N1139" s="3">
        <v>0</v>
      </c>
      <c r="O1139" s="3">
        <v>0.16</v>
      </c>
      <c r="P1139" s="3">
        <v>0</v>
      </c>
      <c r="Q1139" s="3">
        <v>0</v>
      </c>
      <c r="R1139" s="3">
        <v>0</v>
      </c>
    </row>
    <row r="1140" spans="1:18">
      <c r="A1140" s="3" t="s">
        <v>2883</v>
      </c>
      <c r="B1140" s="3" t="s">
        <v>2884</v>
      </c>
      <c r="C1140" s="3" t="s">
        <v>2884</v>
      </c>
      <c r="D1140" s="3" t="s">
        <v>2885</v>
      </c>
      <c r="E1140" s="3" t="s">
        <v>120</v>
      </c>
      <c r="F1140" s="3">
        <v>39.98</v>
      </c>
      <c r="G1140" s="3" t="s">
        <v>121</v>
      </c>
      <c r="H1140" s="3"/>
      <c r="I1140" s="3" t="s">
        <v>122</v>
      </c>
      <c r="J1140" s="3">
        <v>1</v>
      </c>
      <c r="K1140" s="3">
        <v>1</v>
      </c>
      <c r="L1140" s="3">
        <v>0</v>
      </c>
      <c r="M1140" s="3">
        <v>0</v>
      </c>
      <c r="N1140" s="3">
        <v>1</v>
      </c>
      <c r="O1140" s="3">
        <v>0.16</v>
      </c>
      <c r="P1140" s="3">
        <v>0</v>
      </c>
      <c r="Q1140" s="3">
        <v>0</v>
      </c>
      <c r="R1140" s="3">
        <v>0</v>
      </c>
    </row>
    <row r="1141" spans="1:18">
      <c r="A1141" s="3" t="s">
        <v>2886</v>
      </c>
      <c r="B1141" s="3" t="s">
        <v>2887</v>
      </c>
      <c r="C1141" s="3" t="s">
        <v>2887</v>
      </c>
      <c r="D1141" s="3" t="s">
        <v>2888</v>
      </c>
      <c r="E1141" s="3" t="s">
        <v>120</v>
      </c>
      <c r="F1141" s="3">
        <v>39.98</v>
      </c>
      <c r="G1141" s="3" t="s">
        <v>121</v>
      </c>
      <c r="H1141" s="3"/>
      <c r="I1141" s="3" t="s">
        <v>122</v>
      </c>
      <c r="J1141" s="3">
        <v>2</v>
      </c>
      <c r="K1141" s="3">
        <v>2</v>
      </c>
      <c r="L1141" s="3">
        <v>0</v>
      </c>
      <c r="M1141" s="3">
        <v>0</v>
      </c>
      <c r="N1141" s="3">
        <v>2</v>
      </c>
      <c r="O1141" s="3">
        <v>0.16</v>
      </c>
      <c r="P1141" s="3">
        <v>0</v>
      </c>
      <c r="Q1141" s="3">
        <v>0</v>
      </c>
      <c r="R1141" s="3">
        <v>0</v>
      </c>
    </row>
    <row r="1142" spans="1:18">
      <c r="A1142" s="3" t="s">
        <v>2889</v>
      </c>
      <c r="B1142" s="3" t="s">
        <v>2890</v>
      </c>
      <c r="C1142" s="3" t="s">
        <v>2890</v>
      </c>
      <c r="D1142" s="3" t="s">
        <v>2891</v>
      </c>
      <c r="E1142" s="3" t="s">
        <v>120</v>
      </c>
      <c r="F1142" s="3">
        <v>39.98</v>
      </c>
      <c r="G1142" s="3" t="s">
        <v>121</v>
      </c>
      <c r="H1142" s="3"/>
      <c r="I1142" s="3" t="s">
        <v>122</v>
      </c>
      <c r="J1142" s="3">
        <v>23</v>
      </c>
      <c r="K1142" s="3">
        <v>23</v>
      </c>
      <c r="L1142" s="3">
        <v>0</v>
      </c>
      <c r="M1142" s="3">
        <v>0</v>
      </c>
      <c r="N1142" s="3">
        <v>23</v>
      </c>
      <c r="O1142" s="3">
        <v>0.16</v>
      </c>
      <c r="P1142" s="3">
        <v>0</v>
      </c>
      <c r="Q1142" s="3">
        <v>0</v>
      </c>
      <c r="R1142" s="3">
        <v>0</v>
      </c>
    </row>
    <row r="1143" spans="1:18">
      <c r="A1143" s="3" t="s">
        <v>2892</v>
      </c>
      <c r="B1143" s="3" t="s">
        <v>2893</v>
      </c>
      <c r="C1143" s="3" t="s">
        <v>2893</v>
      </c>
      <c r="D1143" s="3" t="s">
        <v>1805</v>
      </c>
      <c r="E1143" s="3" t="s">
        <v>120</v>
      </c>
      <c r="F1143" s="3">
        <v>39.98</v>
      </c>
      <c r="G1143" s="3" t="s">
        <v>121</v>
      </c>
      <c r="H1143" s="3"/>
      <c r="I1143" s="3" t="s">
        <v>122</v>
      </c>
      <c r="J1143" s="3">
        <v>20</v>
      </c>
      <c r="K1143" s="3">
        <v>20</v>
      </c>
      <c r="L1143" s="3">
        <v>0</v>
      </c>
      <c r="M1143" s="3">
        <v>0</v>
      </c>
      <c r="N1143" s="3">
        <v>20</v>
      </c>
      <c r="O1143" s="3">
        <v>0.16</v>
      </c>
      <c r="P1143" s="3">
        <v>0</v>
      </c>
      <c r="Q1143" s="3">
        <v>0</v>
      </c>
      <c r="R1143" s="3">
        <v>0</v>
      </c>
    </row>
    <row r="1144" spans="1:18">
      <c r="A1144" s="3" t="s">
        <v>2894</v>
      </c>
      <c r="B1144" s="3" t="s">
        <v>2895</v>
      </c>
      <c r="C1144" s="3" t="s">
        <v>2895</v>
      </c>
      <c r="D1144" s="3" t="s">
        <v>1814</v>
      </c>
      <c r="E1144" s="3" t="s">
        <v>120</v>
      </c>
      <c r="F1144" s="3">
        <v>24.98</v>
      </c>
      <c r="G1144" s="3" t="s">
        <v>121</v>
      </c>
      <c r="H1144" s="3"/>
      <c r="I1144" s="3" t="s">
        <v>122</v>
      </c>
      <c r="J1144" s="3">
        <v>31</v>
      </c>
      <c r="K1144" s="3">
        <v>31</v>
      </c>
      <c r="L1144" s="3">
        <v>0</v>
      </c>
      <c r="M1144" s="3">
        <v>0</v>
      </c>
      <c r="N1144" s="3">
        <v>31</v>
      </c>
      <c r="O1144" s="3">
        <v>0.16</v>
      </c>
      <c r="P1144" s="3">
        <v>0</v>
      </c>
      <c r="Q1144" s="3">
        <v>0</v>
      </c>
      <c r="R1144" s="3">
        <v>0</v>
      </c>
    </row>
    <row r="1145" spans="1:18">
      <c r="A1145" s="3" t="s">
        <v>2896</v>
      </c>
      <c r="B1145" s="3" t="s">
        <v>2897</v>
      </c>
      <c r="C1145" s="3" t="s">
        <v>2897</v>
      </c>
      <c r="D1145" s="3" t="s">
        <v>2898</v>
      </c>
      <c r="E1145" s="3" t="s">
        <v>120</v>
      </c>
      <c r="F1145" s="3">
        <v>39.98</v>
      </c>
      <c r="G1145" s="3" t="s">
        <v>121</v>
      </c>
      <c r="H1145" s="3"/>
      <c r="I1145" s="3" t="s">
        <v>122</v>
      </c>
      <c r="J1145" s="3">
        <v>14</v>
      </c>
      <c r="K1145" s="3">
        <v>14</v>
      </c>
      <c r="L1145" s="3">
        <v>0</v>
      </c>
      <c r="M1145" s="3">
        <v>0</v>
      </c>
      <c r="N1145" s="3">
        <v>14</v>
      </c>
      <c r="O1145" s="3">
        <v>0.16</v>
      </c>
      <c r="P1145" s="3">
        <v>0</v>
      </c>
      <c r="Q1145" s="3">
        <v>0</v>
      </c>
      <c r="R1145" s="3">
        <v>0</v>
      </c>
    </row>
    <row r="1146" spans="1:18">
      <c r="A1146" s="3" t="s">
        <v>2899</v>
      </c>
      <c r="B1146" s="3" t="s">
        <v>2900</v>
      </c>
      <c r="C1146" s="3" t="s">
        <v>2900</v>
      </c>
      <c r="D1146" s="3" t="s">
        <v>1817</v>
      </c>
      <c r="E1146" s="3" t="s">
        <v>120</v>
      </c>
      <c r="F1146" s="3">
        <v>39.98</v>
      </c>
      <c r="G1146" s="3" t="s">
        <v>121</v>
      </c>
      <c r="H1146" s="3"/>
      <c r="I1146" s="3" t="s">
        <v>122</v>
      </c>
      <c r="J1146" s="3">
        <v>10</v>
      </c>
      <c r="K1146" s="3">
        <v>10</v>
      </c>
      <c r="L1146" s="3">
        <v>0</v>
      </c>
      <c r="M1146" s="3">
        <v>0</v>
      </c>
      <c r="N1146" s="3">
        <v>10</v>
      </c>
      <c r="O1146" s="3">
        <v>0.16</v>
      </c>
      <c r="P1146" s="3">
        <v>0</v>
      </c>
      <c r="Q1146" s="3">
        <v>0</v>
      </c>
      <c r="R1146" s="3">
        <v>0</v>
      </c>
    </row>
    <row r="1147" spans="1:18">
      <c r="A1147" s="3" t="s">
        <v>2901</v>
      </c>
      <c r="B1147" s="3" t="s">
        <v>2902</v>
      </c>
      <c r="C1147" s="3" t="s">
        <v>2902</v>
      </c>
      <c r="D1147" s="3" t="s">
        <v>1826</v>
      </c>
      <c r="E1147" s="3" t="s">
        <v>120</v>
      </c>
      <c r="F1147" s="3">
        <v>39.98</v>
      </c>
      <c r="G1147" s="3" t="s">
        <v>121</v>
      </c>
      <c r="H1147" s="3"/>
      <c r="I1147" s="3" t="s">
        <v>122</v>
      </c>
      <c r="J1147" s="3">
        <v>22</v>
      </c>
      <c r="K1147" s="3">
        <v>22</v>
      </c>
      <c r="L1147" s="3">
        <v>0</v>
      </c>
      <c r="M1147" s="3">
        <v>0</v>
      </c>
      <c r="N1147" s="3">
        <v>22</v>
      </c>
      <c r="O1147" s="3">
        <v>0.16</v>
      </c>
      <c r="P1147" s="3">
        <v>0</v>
      </c>
      <c r="Q1147" s="3">
        <v>0</v>
      </c>
      <c r="R1147" s="3">
        <v>0</v>
      </c>
    </row>
    <row r="1148" spans="1:18">
      <c r="A1148" s="3" t="s">
        <v>2903</v>
      </c>
      <c r="B1148" s="3" t="s">
        <v>2904</v>
      </c>
      <c r="C1148" s="3" t="s">
        <v>2904</v>
      </c>
      <c r="D1148" s="3" t="s">
        <v>1829</v>
      </c>
      <c r="E1148" s="3" t="s">
        <v>120</v>
      </c>
      <c r="F1148" s="3">
        <v>39.98</v>
      </c>
      <c r="G1148" s="3" t="s">
        <v>121</v>
      </c>
      <c r="H1148" s="3"/>
      <c r="I1148" s="3" t="s">
        <v>122</v>
      </c>
      <c r="J1148" s="3">
        <v>34</v>
      </c>
      <c r="K1148" s="3">
        <v>34</v>
      </c>
      <c r="L1148" s="3">
        <v>0</v>
      </c>
      <c r="M1148" s="3">
        <v>0</v>
      </c>
      <c r="N1148" s="3">
        <v>34</v>
      </c>
      <c r="O1148" s="3">
        <v>0.16</v>
      </c>
      <c r="P1148" s="3">
        <v>0</v>
      </c>
      <c r="Q1148" s="3">
        <v>0</v>
      </c>
      <c r="R1148" s="3">
        <v>0</v>
      </c>
    </row>
    <row r="1149" spans="1:18">
      <c r="A1149" s="3" t="s">
        <v>2905</v>
      </c>
      <c r="B1149" s="3" t="s">
        <v>2906</v>
      </c>
      <c r="C1149" s="3" t="s">
        <v>2906</v>
      </c>
      <c r="D1149" s="3" t="s">
        <v>2907</v>
      </c>
      <c r="E1149" s="3" t="s">
        <v>20</v>
      </c>
      <c r="F1149" s="3">
        <v>39.98</v>
      </c>
      <c r="G1149" s="3" t="s">
        <v>121</v>
      </c>
      <c r="H1149" s="3"/>
      <c r="I1149" s="3" t="s">
        <v>122</v>
      </c>
      <c r="J1149" s="3">
        <v>16</v>
      </c>
      <c r="K1149" s="3">
        <v>16</v>
      </c>
      <c r="L1149" s="3">
        <v>0</v>
      </c>
      <c r="M1149" s="3">
        <v>0</v>
      </c>
      <c r="N1149" s="3">
        <v>16</v>
      </c>
      <c r="O1149" s="3">
        <v>0.16</v>
      </c>
      <c r="P1149" s="3">
        <v>0</v>
      </c>
      <c r="Q1149" s="3">
        <v>0</v>
      </c>
      <c r="R1149" s="3">
        <v>0</v>
      </c>
    </row>
    <row r="1150" spans="1:18">
      <c r="A1150" s="3" t="s">
        <v>2908</v>
      </c>
      <c r="B1150" s="3" t="s">
        <v>2909</v>
      </c>
      <c r="C1150" s="3" t="s">
        <v>2909</v>
      </c>
      <c r="D1150" s="3" t="s">
        <v>2910</v>
      </c>
      <c r="E1150" s="3" t="s">
        <v>120</v>
      </c>
      <c r="F1150" s="3">
        <v>39.98</v>
      </c>
      <c r="G1150" s="3" t="s">
        <v>121</v>
      </c>
      <c r="H1150" s="3"/>
      <c r="I1150" s="3" t="s">
        <v>122</v>
      </c>
      <c r="J1150" s="3">
        <v>34</v>
      </c>
      <c r="K1150" s="3">
        <v>34</v>
      </c>
      <c r="L1150" s="3">
        <v>0</v>
      </c>
      <c r="M1150" s="3">
        <v>0</v>
      </c>
      <c r="N1150" s="3">
        <v>34</v>
      </c>
      <c r="O1150" s="3">
        <v>0.12</v>
      </c>
      <c r="P1150" s="3">
        <v>0</v>
      </c>
      <c r="Q1150" s="3">
        <v>0</v>
      </c>
      <c r="R1150" s="3">
        <v>0</v>
      </c>
    </row>
    <row r="1151" spans="1:18">
      <c r="A1151" s="3" t="s">
        <v>2911</v>
      </c>
      <c r="B1151" s="3" t="s">
        <v>2912</v>
      </c>
      <c r="C1151" s="3" t="s">
        <v>2912</v>
      </c>
      <c r="D1151" s="3" t="s">
        <v>1840</v>
      </c>
      <c r="E1151" s="3" t="s">
        <v>20</v>
      </c>
      <c r="F1151" s="3">
        <v>39.98</v>
      </c>
      <c r="G1151" s="3" t="s">
        <v>121</v>
      </c>
      <c r="H1151" s="3"/>
      <c r="I1151" s="3" t="s">
        <v>122</v>
      </c>
      <c r="J1151" s="3">
        <v>33</v>
      </c>
      <c r="K1151" s="3">
        <v>33</v>
      </c>
      <c r="L1151" s="3">
        <v>0</v>
      </c>
      <c r="M1151" s="3">
        <v>0</v>
      </c>
      <c r="N1151" s="3">
        <v>33</v>
      </c>
      <c r="O1151" s="3">
        <v>0.16</v>
      </c>
      <c r="P1151" s="3">
        <v>0</v>
      </c>
      <c r="Q1151" s="3">
        <v>0</v>
      </c>
      <c r="R1151" s="3">
        <v>0</v>
      </c>
    </row>
    <row r="1152" spans="1:18">
      <c r="A1152" s="3" t="s">
        <v>2913</v>
      </c>
      <c r="B1152" s="3" t="s">
        <v>2914</v>
      </c>
      <c r="C1152" s="3" t="s">
        <v>1759</v>
      </c>
      <c r="D1152" s="3" t="s">
        <v>1760</v>
      </c>
      <c r="E1152" s="3" t="s">
        <v>120</v>
      </c>
      <c r="F1152" s="3">
        <v>25.98</v>
      </c>
      <c r="G1152" s="3" t="s">
        <v>121</v>
      </c>
      <c r="H1152" s="3"/>
      <c r="I1152" s="3" t="s">
        <v>122</v>
      </c>
      <c r="J1152" s="3">
        <v>5</v>
      </c>
      <c r="K1152" s="3">
        <v>4</v>
      </c>
      <c r="L1152" s="3">
        <v>0</v>
      </c>
      <c r="M1152" s="3">
        <v>1</v>
      </c>
      <c r="N1152" s="3">
        <v>18</v>
      </c>
      <c r="O1152" s="3">
        <v>0.12</v>
      </c>
      <c r="P1152" s="3">
        <v>0</v>
      </c>
      <c r="Q1152" s="3">
        <v>13</v>
      </c>
      <c r="R1152" s="3">
        <v>0</v>
      </c>
    </row>
    <row r="1153" spans="1:18">
      <c r="A1153" s="3" t="s">
        <v>2915</v>
      </c>
      <c r="B1153" s="3" t="s">
        <v>1313</v>
      </c>
      <c r="C1153" s="3" t="s">
        <v>1313</v>
      </c>
      <c r="D1153" s="3" t="s">
        <v>1314</v>
      </c>
      <c r="E1153" s="3" t="s">
        <v>120</v>
      </c>
      <c r="F1153" s="3">
        <v>24.98</v>
      </c>
      <c r="G1153" s="3" t="s">
        <v>121</v>
      </c>
      <c r="H1153" s="3"/>
      <c r="I1153" s="3" t="s">
        <v>122</v>
      </c>
      <c r="J1153" s="3">
        <v>0</v>
      </c>
      <c r="K1153" s="3">
        <v>0</v>
      </c>
      <c r="L1153" s="3">
        <v>0</v>
      </c>
      <c r="M1153" s="3">
        <v>0</v>
      </c>
      <c r="N1153" s="3">
        <v>0</v>
      </c>
      <c r="O1153" s="3">
        <v>0.05</v>
      </c>
      <c r="P1153" s="3">
        <v>0</v>
      </c>
      <c r="Q1153" s="3">
        <v>0</v>
      </c>
      <c r="R1153" s="3">
        <v>0</v>
      </c>
    </row>
    <row r="1154" spans="1:18">
      <c r="A1154" s="3" t="s">
        <v>2916</v>
      </c>
      <c r="B1154" s="3" t="s">
        <v>2917</v>
      </c>
      <c r="C1154" s="3" t="s">
        <v>2917</v>
      </c>
      <c r="D1154" s="3" t="s">
        <v>2918</v>
      </c>
      <c r="E1154" s="3" t="s">
        <v>120</v>
      </c>
      <c r="F1154" s="3">
        <v>21.98</v>
      </c>
      <c r="G1154" s="3" t="s">
        <v>121</v>
      </c>
      <c r="H1154" s="3"/>
      <c r="I1154" s="3" t="s">
        <v>122</v>
      </c>
      <c r="J1154" s="3">
        <v>50</v>
      </c>
      <c r="K1154" s="3">
        <v>46</v>
      </c>
      <c r="L1154" s="3">
        <v>0</v>
      </c>
      <c r="M1154" s="3">
        <v>4</v>
      </c>
      <c r="N1154" s="3">
        <v>50</v>
      </c>
      <c r="O1154" s="3">
        <v>0.05</v>
      </c>
      <c r="P1154" s="3">
        <v>0</v>
      </c>
      <c r="Q1154" s="3">
        <v>0</v>
      </c>
      <c r="R1154" s="3">
        <v>0</v>
      </c>
    </row>
    <row r="1155" spans="1:18">
      <c r="A1155" s="3" t="s">
        <v>2919</v>
      </c>
      <c r="B1155" s="3" t="s">
        <v>2920</v>
      </c>
      <c r="C1155" s="3" t="s">
        <v>2920</v>
      </c>
      <c r="D1155" s="3" t="s">
        <v>2921</v>
      </c>
      <c r="E1155" s="3" t="s">
        <v>120</v>
      </c>
      <c r="F1155" s="3">
        <v>39.98</v>
      </c>
      <c r="G1155" s="3" t="s">
        <v>121</v>
      </c>
      <c r="H1155" s="3"/>
      <c r="I1155" s="3" t="s">
        <v>122</v>
      </c>
      <c r="J1155" s="3">
        <v>15</v>
      </c>
      <c r="K1155" s="3">
        <v>15</v>
      </c>
      <c r="L1155" s="3">
        <v>0</v>
      </c>
      <c r="M1155" s="3">
        <v>0</v>
      </c>
      <c r="N1155" s="3">
        <v>15</v>
      </c>
      <c r="O1155" s="3">
        <v>0.05</v>
      </c>
      <c r="P1155" s="3">
        <v>0</v>
      </c>
      <c r="Q1155" s="3">
        <v>0</v>
      </c>
      <c r="R1155" s="3">
        <v>0</v>
      </c>
    </row>
    <row r="1156" spans="1:18">
      <c r="A1156" s="3" t="s">
        <v>2922</v>
      </c>
      <c r="B1156" s="3" t="s">
        <v>1317</v>
      </c>
      <c r="C1156" s="3" t="s">
        <v>1317</v>
      </c>
      <c r="D1156" s="3" t="s">
        <v>1318</v>
      </c>
      <c r="E1156" s="3" t="s">
        <v>120</v>
      </c>
      <c r="F1156" s="3">
        <v>22.98</v>
      </c>
      <c r="G1156" s="3" t="s">
        <v>121</v>
      </c>
      <c r="H1156" s="3"/>
      <c r="I1156" s="3" t="s">
        <v>122</v>
      </c>
      <c r="J1156" s="3">
        <v>38</v>
      </c>
      <c r="K1156" s="3">
        <v>34</v>
      </c>
      <c r="L1156" s="3">
        <v>0</v>
      </c>
      <c r="M1156" s="3">
        <v>4</v>
      </c>
      <c r="N1156" s="3">
        <v>38</v>
      </c>
      <c r="O1156" s="3">
        <v>0.12</v>
      </c>
      <c r="P1156" s="3">
        <v>0</v>
      </c>
      <c r="Q1156" s="3">
        <v>0</v>
      </c>
      <c r="R1156" s="3">
        <v>0</v>
      </c>
    </row>
    <row r="1157" spans="1:18">
      <c r="A1157" s="3" t="s">
        <v>2923</v>
      </c>
      <c r="B1157" s="3" t="s">
        <v>1321</v>
      </c>
      <c r="C1157" s="3" t="s">
        <v>1321</v>
      </c>
      <c r="D1157" s="3" t="s">
        <v>1322</v>
      </c>
      <c r="E1157" s="3" t="s">
        <v>120</v>
      </c>
      <c r="F1157" s="3">
        <v>22.98</v>
      </c>
      <c r="G1157" s="3" t="s">
        <v>121</v>
      </c>
      <c r="H1157" s="3"/>
      <c r="I1157" s="3" t="s">
        <v>122</v>
      </c>
      <c r="J1157" s="3">
        <v>27</v>
      </c>
      <c r="K1157" s="3">
        <v>27</v>
      </c>
      <c r="L1157" s="3">
        <v>0</v>
      </c>
      <c r="M1157" s="3">
        <v>0</v>
      </c>
      <c r="N1157" s="3">
        <v>27</v>
      </c>
      <c r="O1157" s="3">
        <v>0.05</v>
      </c>
      <c r="P1157" s="3">
        <v>0</v>
      </c>
      <c r="Q1157" s="3">
        <v>0</v>
      </c>
      <c r="R1157" s="3">
        <v>0</v>
      </c>
    </row>
    <row r="1158" spans="1:18">
      <c r="A1158" s="3" t="s">
        <v>2924</v>
      </c>
      <c r="B1158" s="3" t="s">
        <v>1325</v>
      </c>
      <c r="C1158" s="3" t="s">
        <v>1325</v>
      </c>
      <c r="D1158" s="3" t="s">
        <v>1326</v>
      </c>
      <c r="E1158" s="3" t="s">
        <v>120</v>
      </c>
      <c r="F1158" s="3">
        <v>24.98</v>
      </c>
      <c r="G1158" s="3" t="s">
        <v>121</v>
      </c>
      <c r="H1158" s="3"/>
      <c r="I1158" s="3" t="s">
        <v>122</v>
      </c>
      <c r="J1158" s="3">
        <v>1</v>
      </c>
      <c r="K1158" s="3">
        <v>0</v>
      </c>
      <c r="L1158" s="3">
        <v>0</v>
      </c>
      <c r="M1158" s="3">
        <v>1</v>
      </c>
      <c r="N1158" s="3">
        <v>1</v>
      </c>
      <c r="O1158" s="3">
        <v>0.05</v>
      </c>
      <c r="P1158" s="3">
        <v>0</v>
      </c>
      <c r="Q1158" s="3">
        <v>0</v>
      </c>
      <c r="R1158" s="3">
        <v>0</v>
      </c>
    </row>
    <row r="1159" spans="1:18">
      <c r="A1159" s="3" t="s">
        <v>2925</v>
      </c>
      <c r="B1159" s="3" t="s">
        <v>1329</v>
      </c>
      <c r="C1159" s="3" t="s">
        <v>1329</v>
      </c>
      <c r="D1159" s="3" t="s">
        <v>1330</v>
      </c>
      <c r="E1159" s="3" t="s">
        <v>120</v>
      </c>
      <c r="F1159" s="3">
        <v>22.98</v>
      </c>
      <c r="G1159" s="3" t="s">
        <v>121</v>
      </c>
      <c r="H1159" s="3"/>
      <c r="I1159" s="3" t="s">
        <v>122</v>
      </c>
      <c r="J1159" s="3">
        <v>6</v>
      </c>
      <c r="K1159" s="3">
        <v>4</v>
      </c>
      <c r="L1159" s="3">
        <v>0</v>
      </c>
      <c r="M1159" s="3">
        <v>2</v>
      </c>
      <c r="N1159" s="3">
        <v>6</v>
      </c>
      <c r="O1159" s="3">
        <v>0.05</v>
      </c>
      <c r="P1159" s="3">
        <v>0</v>
      </c>
      <c r="Q1159" s="3">
        <v>0</v>
      </c>
      <c r="R1159" s="3">
        <v>0</v>
      </c>
    </row>
    <row r="1160" spans="1:18">
      <c r="A1160" s="3" t="s">
        <v>2926</v>
      </c>
      <c r="B1160" s="3" t="s">
        <v>1333</v>
      </c>
      <c r="C1160" s="3" t="s">
        <v>1333</v>
      </c>
      <c r="D1160" s="3" t="s">
        <v>1334</v>
      </c>
      <c r="E1160" s="3" t="s">
        <v>120</v>
      </c>
      <c r="F1160" s="3">
        <v>17.98</v>
      </c>
      <c r="G1160" s="3" t="s">
        <v>121</v>
      </c>
      <c r="H1160" s="3"/>
      <c r="I1160" s="3" t="s">
        <v>122</v>
      </c>
      <c r="J1160" s="3">
        <v>13</v>
      </c>
      <c r="K1160" s="3">
        <v>13</v>
      </c>
      <c r="L1160" s="3">
        <v>0</v>
      </c>
      <c r="M1160" s="3">
        <v>0</v>
      </c>
      <c r="N1160" s="3">
        <v>13</v>
      </c>
      <c r="O1160" s="3">
        <v>0.05</v>
      </c>
      <c r="P1160" s="3">
        <v>0</v>
      </c>
      <c r="Q1160" s="3">
        <v>0</v>
      </c>
      <c r="R1160" s="3">
        <v>0</v>
      </c>
    </row>
    <row r="1161" spans="1:18">
      <c r="A1161" s="3" t="s">
        <v>2927</v>
      </c>
      <c r="B1161" s="3" t="s">
        <v>1337</v>
      </c>
      <c r="C1161" s="3" t="s">
        <v>1337</v>
      </c>
      <c r="D1161" s="3" t="s">
        <v>1338</v>
      </c>
      <c r="E1161" s="3" t="s">
        <v>120</v>
      </c>
      <c r="F1161" s="3">
        <v>24.98</v>
      </c>
      <c r="G1161" s="3" t="s">
        <v>121</v>
      </c>
      <c r="H1161" s="3"/>
      <c r="I1161" s="3" t="s">
        <v>122</v>
      </c>
      <c r="J1161" s="3">
        <v>0</v>
      </c>
      <c r="K1161" s="3">
        <v>0</v>
      </c>
      <c r="L1161" s="3">
        <v>0</v>
      </c>
      <c r="M1161" s="3">
        <v>0</v>
      </c>
      <c r="N1161" s="3">
        <v>0</v>
      </c>
      <c r="O1161" s="3">
        <v>0.05</v>
      </c>
      <c r="P1161" s="3">
        <v>0</v>
      </c>
      <c r="Q1161" s="3">
        <v>0</v>
      </c>
      <c r="R1161" s="3">
        <v>0</v>
      </c>
    </row>
    <row r="1162" spans="1:18">
      <c r="A1162" s="3" t="s">
        <v>2928</v>
      </c>
      <c r="B1162" s="3" t="s">
        <v>1341</v>
      </c>
      <c r="C1162" s="3" t="s">
        <v>1341</v>
      </c>
      <c r="D1162" s="3" t="s">
        <v>1725</v>
      </c>
      <c r="E1162" s="3" t="s">
        <v>120</v>
      </c>
      <c r="F1162" s="3">
        <v>23.98</v>
      </c>
      <c r="G1162" s="3" t="s">
        <v>121</v>
      </c>
      <c r="H1162" s="3"/>
      <c r="I1162" s="3" t="s">
        <v>122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0.05</v>
      </c>
      <c r="P1162" s="3">
        <v>0</v>
      </c>
      <c r="Q1162" s="3">
        <v>0</v>
      </c>
      <c r="R1162" s="3">
        <v>0</v>
      </c>
    </row>
    <row r="1163" spans="1:18">
      <c r="A1163" s="3" t="s">
        <v>2929</v>
      </c>
      <c r="B1163" s="3" t="s">
        <v>1344</v>
      </c>
      <c r="C1163" s="3" t="s">
        <v>1344</v>
      </c>
      <c r="D1163" s="3" t="s">
        <v>1345</v>
      </c>
      <c r="E1163" s="3" t="s">
        <v>120</v>
      </c>
      <c r="F1163" s="3">
        <v>24.98</v>
      </c>
      <c r="G1163" s="3" t="s">
        <v>121</v>
      </c>
      <c r="H1163" s="3"/>
      <c r="I1163" s="3" t="s">
        <v>122</v>
      </c>
      <c r="J1163" s="3">
        <v>1</v>
      </c>
      <c r="K1163" s="3">
        <v>0</v>
      </c>
      <c r="L1163" s="3">
        <v>0</v>
      </c>
      <c r="M1163" s="3">
        <v>1</v>
      </c>
      <c r="N1163" s="3">
        <v>1</v>
      </c>
      <c r="O1163" s="3">
        <v>0.05</v>
      </c>
      <c r="P1163" s="3">
        <v>0</v>
      </c>
      <c r="Q1163" s="3">
        <v>0</v>
      </c>
      <c r="R1163" s="3">
        <v>0</v>
      </c>
    </row>
    <row r="1164" spans="1:18">
      <c r="A1164" s="3" t="s">
        <v>2930</v>
      </c>
      <c r="B1164" s="3" t="s">
        <v>1348</v>
      </c>
      <c r="C1164" s="3" t="s">
        <v>1348</v>
      </c>
      <c r="D1164" s="3" t="s">
        <v>1349</v>
      </c>
      <c r="E1164" s="3" t="s">
        <v>120</v>
      </c>
      <c r="F1164" s="3">
        <v>22.98</v>
      </c>
      <c r="G1164" s="3" t="s">
        <v>121</v>
      </c>
      <c r="H1164" s="3"/>
      <c r="I1164" s="3" t="s">
        <v>122</v>
      </c>
      <c r="J1164" s="3">
        <v>57</v>
      </c>
      <c r="K1164" s="3">
        <v>53</v>
      </c>
      <c r="L1164" s="3">
        <v>0</v>
      </c>
      <c r="M1164" s="3">
        <v>4</v>
      </c>
      <c r="N1164" s="3">
        <v>57</v>
      </c>
      <c r="O1164" s="3">
        <v>0.05</v>
      </c>
      <c r="P1164" s="3">
        <v>0</v>
      </c>
      <c r="Q1164" s="3">
        <v>0</v>
      </c>
      <c r="R1164" s="3">
        <v>0</v>
      </c>
    </row>
    <row r="1165" spans="1:18">
      <c r="A1165" s="3" t="s">
        <v>2931</v>
      </c>
      <c r="B1165" s="3" t="s">
        <v>2932</v>
      </c>
      <c r="C1165" s="3" t="s">
        <v>2932</v>
      </c>
      <c r="D1165" s="3" t="s">
        <v>2933</v>
      </c>
      <c r="E1165" s="3" t="s">
        <v>120</v>
      </c>
      <c r="F1165" s="3">
        <v>39.98</v>
      </c>
      <c r="G1165" s="3" t="s">
        <v>121</v>
      </c>
      <c r="H1165" s="3"/>
      <c r="I1165" s="3" t="s">
        <v>122</v>
      </c>
      <c r="J1165" s="3">
        <v>20</v>
      </c>
      <c r="K1165" s="3">
        <v>20</v>
      </c>
      <c r="L1165" s="3">
        <v>0</v>
      </c>
      <c r="M1165" s="3">
        <v>0</v>
      </c>
      <c r="N1165" s="3">
        <v>20</v>
      </c>
      <c r="O1165" s="3">
        <v>0.05</v>
      </c>
      <c r="P1165" s="3">
        <v>0</v>
      </c>
      <c r="Q1165" s="3">
        <v>0</v>
      </c>
      <c r="R1165" s="3">
        <v>0</v>
      </c>
    </row>
    <row r="1166" spans="1:18">
      <c r="A1166" s="3" t="s">
        <v>2934</v>
      </c>
      <c r="B1166" s="3" t="s">
        <v>1352</v>
      </c>
      <c r="C1166" s="3" t="s">
        <v>1352</v>
      </c>
      <c r="D1166" s="3" t="s">
        <v>1353</v>
      </c>
      <c r="E1166" s="3" t="s">
        <v>120</v>
      </c>
      <c r="F1166" s="3">
        <v>24.98</v>
      </c>
      <c r="G1166" s="3" t="s">
        <v>121</v>
      </c>
      <c r="H1166" s="3"/>
      <c r="I1166" s="3" t="s">
        <v>122</v>
      </c>
      <c r="J1166" s="3">
        <v>5</v>
      </c>
      <c r="K1166" s="3">
        <v>0</v>
      </c>
      <c r="L1166" s="3">
        <v>1</v>
      </c>
      <c r="M1166" s="3">
        <v>4</v>
      </c>
      <c r="N1166" s="3">
        <v>15</v>
      </c>
      <c r="O1166" s="3">
        <v>0.05</v>
      </c>
      <c r="P1166" s="3">
        <v>0</v>
      </c>
      <c r="Q1166" s="3">
        <v>0</v>
      </c>
      <c r="R1166" s="3">
        <v>10</v>
      </c>
    </row>
    <row r="1167" spans="1:18">
      <c r="A1167" s="3" t="s">
        <v>2935</v>
      </c>
      <c r="B1167" s="3" t="s">
        <v>1356</v>
      </c>
      <c r="C1167" s="3" t="s">
        <v>1356</v>
      </c>
      <c r="D1167" s="3" t="s">
        <v>1357</v>
      </c>
      <c r="E1167" s="3" t="s">
        <v>120</v>
      </c>
      <c r="F1167" s="3">
        <v>23.98</v>
      </c>
      <c r="G1167" s="3" t="s">
        <v>121</v>
      </c>
      <c r="H1167" s="3"/>
      <c r="I1167" s="3" t="s">
        <v>122</v>
      </c>
      <c r="J1167" s="3">
        <v>55</v>
      </c>
      <c r="K1167" s="3">
        <v>53</v>
      </c>
      <c r="L1167" s="3">
        <v>0</v>
      </c>
      <c r="M1167" s="3">
        <v>2</v>
      </c>
      <c r="N1167" s="3">
        <v>60</v>
      </c>
      <c r="O1167" s="3">
        <v>0.12</v>
      </c>
      <c r="P1167" s="3">
        <v>0</v>
      </c>
      <c r="Q1167" s="3">
        <v>0</v>
      </c>
      <c r="R1167" s="3">
        <v>5</v>
      </c>
    </row>
    <row r="1168" spans="1:18">
      <c r="A1168" s="3" t="s">
        <v>2936</v>
      </c>
      <c r="B1168" s="3" t="s">
        <v>2937</v>
      </c>
      <c r="C1168" s="3" t="s">
        <v>2937</v>
      </c>
      <c r="D1168" s="3" t="s">
        <v>1725</v>
      </c>
      <c r="E1168" s="3" t="s">
        <v>20</v>
      </c>
      <c r="F1168" s="3"/>
      <c r="G1168" s="3"/>
      <c r="H1168" s="3"/>
      <c r="I1168" s="3"/>
      <c r="J1168" s="3">
        <v>3</v>
      </c>
      <c r="K1168" s="3">
        <v>0</v>
      </c>
      <c r="L1168" s="3">
        <v>0</v>
      </c>
      <c r="M1168" s="3">
        <v>3</v>
      </c>
      <c r="N1168" s="3">
        <v>3</v>
      </c>
      <c r="O1168" s="3">
        <v>0.12</v>
      </c>
      <c r="P1168" s="3">
        <v>0</v>
      </c>
      <c r="Q1168" s="3">
        <v>0</v>
      </c>
      <c r="R1168" s="3">
        <v>0</v>
      </c>
    </row>
    <row r="1169" spans="1:18">
      <c r="A1169" s="3" t="s">
        <v>2938</v>
      </c>
      <c r="B1169" s="3" t="s">
        <v>1364</v>
      </c>
      <c r="C1169" s="3" t="s">
        <v>1364</v>
      </c>
      <c r="D1169" s="3" t="s">
        <v>1365</v>
      </c>
      <c r="E1169" s="3" t="s">
        <v>120</v>
      </c>
      <c r="F1169" s="3">
        <v>22.98</v>
      </c>
      <c r="G1169" s="3" t="s">
        <v>121</v>
      </c>
      <c r="H1169" s="3"/>
      <c r="I1169" s="3" t="s">
        <v>122</v>
      </c>
      <c r="J1169" s="3">
        <v>37</v>
      </c>
      <c r="K1169" s="3">
        <v>35</v>
      </c>
      <c r="L1169" s="3">
        <v>0</v>
      </c>
      <c r="M1169" s="3">
        <v>2</v>
      </c>
      <c r="N1169" s="3">
        <v>37</v>
      </c>
      <c r="O1169" s="3">
        <v>0.12</v>
      </c>
      <c r="P1169" s="3">
        <v>0</v>
      </c>
      <c r="Q1169" s="3">
        <v>0</v>
      </c>
      <c r="R1169" s="3">
        <v>0</v>
      </c>
    </row>
    <row r="1170" spans="1:18">
      <c r="A1170" s="3" t="s">
        <v>2939</v>
      </c>
      <c r="B1170" s="3" t="s">
        <v>2940</v>
      </c>
      <c r="C1170" s="3" t="s">
        <v>2940</v>
      </c>
      <c r="D1170" s="3" t="s">
        <v>2941</v>
      </c>
      <c r="E1170" s="3" t="s">
        <v>120</v>
      </c>
      <c r="F1170" s="3">
        <v>39.98</v>
      </c>
      <c r="G1170" s="3" t="s">
        <v>121</v>
      </c>
      <c r="H1170" s="3"/>
      <c r="I1170" s="3" t="s">
        <v>122</v>
      </c>
      <c r="J1170" s="3">
        <v>6</v>
      </c>
      <c r="K1170" s="3">
        <v>6</v>
      </c>
      <c r="L1170" s="3">
        <v>0</v>
      </c>
      <c r="M1170" s="3">
        <v>0</v>
      </c>
      <c r="N1170" s="3">
        <v>6</v>
      </c>
      <c r="O1170" s="3">
        <v>0.05</v>
      </c>
      <c r="P1170" s="3">
        <v>0</v>
      </c>
      <c r="Q1170" s="3">
        <v>0</v>
      </c>
      <c r="R1170" s="3">
        <v>0</v>
      </c>
    </row>
    <row r="1171" spans="1:18">
      <c r="A1171" s="3" t="s">
        <v>2942</v>
      </c>
      <c r="B1171" s="3" t="s">
        <v>1368</v>
      </c>
      <c r="C1171" s="3" t="s">
        <v>1368</v>
      </c>
      <c r="D1171" s="3" t="s">
        <v>1369</v>
      </c>
      <c r="E1171" s="3" t="s">
        <v>120</v>
      </c>
      <c r="F1171" s="3">
        <v>23.98</v>
      </c>
      <c r="G1171" s="3" t="s">
        <v>121</v>
      </c>
      <c r="H1171" s="3"/>
      <c r="I1171" s="3" t="s">
        <v>122</v>
      </c>
      <c r="J1171" s="3">
        <v>5</v>
      </c>
      <c r="K1171" s="3">
        <v>2</v>
      </c>
      <c r="L1171" s="3">
        <v>0</v>
      </c>
      <c r="M1171" s="3">
        <v>3</v>
      </c>
      <c r="N1171" s="3">
        <v>15</v>
      </c>
      <c r="O1171" s="3">
        <v>0.12</v>
      </c>
      <c r="P1171" s="3">
        <v>0</v>
      </c>
      <c r="Q1171" s="3">
        <v>0</v>
      </c>
      <c r="R1171" s="3">
        <v>10</v>
      </c>
    </row>
    <row r="1172" spans="1:18">
      <c r="A1172" s="3" t="s">
        <v>2943</v>
      </c>
      <c r="B1172" s="3" t="s">
        <v>1372</v>
      </c>
      <c r="C1172" s="3" t="s">
        <v>1372</v>
      </c>
      <c r="D1172" s="3" t="s">
        <v>1373</v>
      </c>
      <c r="E1172" s="3" t="s">
        <v>120</v>
      </c>
      <c r="F1172" s="3">
        <v>23.98</v>
      </c>
      <c r="G1172" s="3" t="s">
        <v>121</v>
      </c>
      <c r="H1172" s="3"/>
      <c r="I1172" s="3" t="s">
        <v>122</v>
      </c>
      <c r="J1172" s="3">
        <v>53</v>
      </c>
      <c r="K1172" s="3">
        <v>52</v>
      </c>
      <c r="L1172" s="3">
        <v>0</v>
      </c>
      <c r="M1172" s="3">
        <v>1</v>
      </c>
      <c r="N1172" s="3">
        <v>53</v>
      </c>
      <c r="O1172" s="3">
        <v>0.12</v>
      </c>
      <c r="P1172" s="3">
        <v>0</v>
      </c>
      <c r="Q1172" s="3">
        <v>0</v>
      </c>
      <c r="R1172" s="3">
        <v>0</v>
      </c>
    </row>
    <row r="1173" spans="1:18">
      <c r="A1173" s="3" t="s">
        <v>2944</v>
      </c>
      <c r="B1173" s="3" t="s">
        <v>1376</v>
      </c>
      <c r="C1173" s="3" t="s">
        <v>1376</v>
      </c>
      <c r="D1173" s="3" t="s">
        <v>1377</v>
      </c>
      <c r="E1173" s="3" t="s">
        <v>120</v>
      </c>
      <c r="F1173" s="3">
        <v>22.98</v>
      </c>
      <c r="G1173" s="3" t="s">
        <v>121</v>
      </c>
      <c r="H1173" s="3"/>
      <c r="I1173" s="3" t="s">
        <v>122</v>
      </c>
      <c r="J1173" s="3">
        <v>2</v>
      </c>
      <c r="K1173" s="3">
        <v>0</v>
      </c>
      <c r="L1173" s="3">
        <v>0</v>
      </c>
      <c r="M1173" s="3">
        <v>2</v>
      </c>
      <c r="N1173" s="3">
        <v>2</v>
      </c>
      <c r="O1173" s="3">
        <v>0.12</v>
      </c>
      <c r="P1173" s="3">
        <v>0</v>
      </c>
      <c r="Q1173" s="3">
        <v>0</v>
      </c>
      <c r="R1173" s="3">
        <v>0</v>
      </c>
    </row>
    <row r="1174" spans="1:18">
      <c r="A1174" s="3" t="s">
        <v>2945</v>
      </c>
      <c r="B1174" s="3" t="s">
        <v>1380</v>
      </c>
      <c r="C1174" s="3" t="s">
        <v>1380</v>
      </c>
      <c r="D1174" s="3" t="s">
        <v>1381</v>
      </c>
      <c r="E1174" s="3" t="s">
        <v>120</v>
      </c>
      <c r="F1174" s="3">
        <v>22.98</v>
      </c>
      <c r="G1174" s="3" t="s">
        <v>121</v>
      </c>
      <c r="H1174" s="3"/>
      <c r="I1174" s="3" t="s">
        <v>122</v>
      </c>
      <c r="J1174" s="3">
        <v>4</v>
      </c>
      <c r="K1174" s="3">
        <v>1</v>
      </c>
      <c r="L1174" s="3">
        <v>0</v>
      </c>
      <c r="M1174" s="3">
        <v>3</v>
      </c>
      <c r="N1174" s="3">
        <v>4</v>
      </c>
      <c r="O1174" s="3">
        <v>0.05</v>
      </c>
      <c r="P1174" s="3">
        <v>0</v>
      </c>
      <c r="Q1174" s="3">
        <v>0</v>
      </c>
      <c r="R1174" s="3">
        <v>0</v>
      </c>
    </row>
    <row r="1175" spans="1:18">
      <c r="A1175" s="3" t="s">
        <v>2946</v>
      </c>
      <c r="B1175" s="3" t="s">
        <v>1384</v>
      </c>
      <c r="C1175" s="3" t="s">
        <v>1384</v>
      </c>
      <c r="D1175" s="3" t="s">
        <v>1385</v>
      </c>
      <c r="E1175" s="3" t="s">
        <v>120</v>
      </c>
      <c r="F1175" s="3">
        <v>19.98</v>
      </c>
      <c r="G1175" s="3" t="s">
        <v>121</v>
      </c>
      <c r="H1175" s="3"/>
      <c r="I1175" s="3" t="s">
        <v>122</v>
      </c>
      <c r="J1175" s="3">
        <v>12</v>
      </c>
      <c r="K1175" s="3">
        <v>12</v>
      </c>
      <c r="L1175" s="3">
        <v>0</v>
      </c>
      <c r="M1175" s="3">
        <v>0</v>
      </c>
      <c r="N1175" s="3">
        <v>12</v>
      </c>
      <c r="O1175" s="3">
        <v>0.05</v>
      </c>
      <c r="P1175" s="3">
        <v>0</v>
      </c>
      <c r="Q1175" s="3">
        <v>0</v>
      </c>
      <c r="R1175" s="3">
        <v>0</v>
      </c>
    </row>
    <row r="1176" spans="1:18">
      <c r="A1176" s="3" t="s">
        <v>2947</v>
      </c>
      <c r="B1176" s="3" t="s">
        <v>1388</v>
      </c>
      <c r="C1176" s="3" t="s">
        <v>1388</v>
      </c>
      <c r="D1176" s="3" t="s">
        <v>1389</v>
      </c>
      <c r="E1176" s="3" t="s">
        <v>120</v>
      </c>
      <c r="F1176" s="3">
        <v>23.98</v>
      </c>
      <c r="G1176" s="3" t="s">
        <v>121</v>
      </c>
      <c r="H1176" s="3"/>
      <c r="I1176" s="3" t="s">
        <v>122</v>
      </c>
      <c r="J1176" s="3">
        <v>15</v>
      </c>
      <c r="K1176" s="3">
        <v>12</v>
      </c>
      <c r="L1176" s="3">
        <v>0</v>
      </c>
      <c r="M1176" s="3">
        <v>3</v>
      </c>
      <c r="N1176" s="3">
        <v>15</v>
      </c>
      <c r="O1176" s="3">
        <v>0.12</v>
      </c>
      <c r="P1176" s="3">
        <v>0</v>
      </c>
      <c r="Q1176" s="3">
        <v>0</v>
      </c>
      <c r="R1176" s="3">
        <v>0</v>
      </c>
    </row>
    <row r="1177" spans="1:18">
      <c r="A1177" s="3" t="s">
        <v>2948</v>
      </c>
      <c r="B1177" s="3" t="s">
        <v>1392</v>
      </c>
      <c r="C1177" s="3" t="s">
        <v>1392</v>
      </c>
      <c r="D1177" s="3" t="s">
        <v>1393</v>
      </c>
      <c r="E1177" s="3" t="s">
        <v>120</v>
      </c>
      <c r="F1177" s="3">
        <v>23.98</v>
      </c>
      <c r="G1177" s="3" t="s">
        <v>121</v>
      </c>
      <c r="H1177" s="3"/>
      <c r="I1177" s="3" t="s">
        <v>122</v>
      </c>
      <c r="J1177" s="3">
        <v>1</v>
      </c>
      <c r="K1177" s="3">
        <v>0</v>
      </c>
      <c r="L1177" s="3">
        <v>0</v>
      </c>
      <c r="M1177" s="3">
        <v>1</v>
      </c>
      <c r="N1177" s="3">
        <v>1</v>
      </c>
      <c r="O1177" s="3">
        <v>0.12</v>
      </c>
      <c r="P1177" s="3">
        <v>0</v>
      </c>
      <c r="Q1177" s="3">
        <v>0</v>
      </c>
      <c r="R1177" s="3">
        <v>0</v>
      </c>
    </row>
    <row r="1178" spans="1:18">
      <c r="A1178" s="3" t="s">
        <v>2949</v>
      </c>
      <c r="B1178" s="3" t="s">
        <v>1396</v>
      </c>
      <c r="C1178" s="3" t="s">
        <v>1396</v>
      </c>
      <c r="D1178" s="3" t="s">
        <v>1397</v>
      </c>
      <c r="E1178" s="3" t="s">
        <v>120</v>
      </c>
      <c r="F1178" s="3">
        <v>24.98</v>
      </c>
      <c r="G1178" s="3" t="s">
        <v>121</v>
      </c>
      <c r="H1178" s="3"/>
      <c r="I1178" s="3" t="s">
        <v>122</v>
      </c>
      <c r="J1178" s="3">
        <v>5</v>
      </c>
      <c r="K1178" s="3">
        <v>2</v>
      </c>
      <c r="L1178" s="3">
        <v>1</v>
      </c>
      <c r="M1178" s="3">
        <v>2</v>
      </c>
      <c r="N1178" s="3">
        <v>5</v>
      </c>
      <c r="O1178" s="3">
        <v>0.05</v>
      </c>
      <c r="P1178" s="3">
        <v>0</v>
      </c>
      <c r="Q1178" s="3">
        <v>0</v>
      </c>
      <c r="R1178" s="3">
        <v>0</v>
      </c>
    </row>
    <row r="1179" spans="1:18">
      <c r="A1179" s="3" t="s">
        <v>2950</v>
      </c>
      <c r="B1179" s="3" t="s">
        <v>1400</v>
      </c>
      <c r="C1179" s="3" t="s">
        <v>1400</v>
      </c>
      <c r="D1179" s="3" t="s">
        <v>1401</v>
      </c>
      <c r="E1179" s="3" t="s">
        <v>120</v>
      </c>
      <c r="F1179" s="3">
        <v>22.98</v>
      </c>
      <c r="G1179" s="3" t="s">
        <v>121</v>
      </c>
      <c r="H1179" s="3"/>
      <c r="I1179" s="3" t="s">
        <v>122</v>
      </c>
      <c r="J1179" s="3">
        <v>1</v>
      </c>
      <c r="K1179" s="3">
        <v>0</v>
      </c>
      <c r="L1179" s="3">
        <v>0</v>
      </c>
      <c r="M1179" s="3">
        <v>1</v>
      </c>
      <c r="N1179" s="3">
        <v>11</v>
      </c>
      <c r="O1179" s="3">
        <v>0.05</v>
      </c>
      <c r="P1179" s="3">
        <v>0</v>
      </c>
      <c r="Q1179" s="3">
        <v>0</v>
      </c>
      <c r="R1179" s="3">
        <v>10</v>
      </c>
    </row>
    <row r="1180" spans="1:18">
      <c r="A1180" s="3" t="s">
        <v>2951</v>
      </c>
      <c r="B1180" s="3" t="s">
        <v>1404</v>
      </c>
      <c r="C1180" s="3" t="s">
        <v>1404</v>
      </c>
      <c r="D1180" s="3" t="s">
        <v>1405</v>
      </c>
      <c r="E1180" s="3" t="s">
        <v>120</v>
      </c>
      <c r="F1180" s="3">
        <v>19.98</v>
      </c>
      <c r="G1180" s="3" t="s">
        <v>121</v>
      </c>
      <c r="H1180" s="3"/>
      <c r="I1180" s="3" t="s">
        <v>122</v>
      </c>
      <c r="J1180" s="3">
        <v>21</v>
      </c>
      <c r="K1180" s="3">
        <v>20</v>
      </c>
      <c r="L1180" s="3">
        <v>0</v>
      </c>
      <c r="M1180" s="3">
        <v>1</v>
      </c>
      <c r="N1180" s="3">
        <v>21</v>
      </c>
      <c r="O1180" s="3">
        <v>0.05</v>
      </c>
      <c r="P1180" s="3">
        <v>0</v>
      </c>
      <c r="Q1180" s="3">
        <v>0</v>
      </c>
      <c r="R1180" s="3">
        <v>0</v>
      </c>
    </row>
    <row r="1181" spans="1:18">
      <c r="A1181" s="3" t="s">
        <v>2952</v>
      </c>
      <c r="B1181" s="3" t="s">
        <v>1408</v>
      </c>
      <c r="C1181" s="3" t="s">
        <v>1408</v>
      </c>
      <c r="D1181" s="3" t="s">
        <v>1409</v>
      </c>
      <c r="E1181" s="3" t="s">
        <v>120</v>
      </c>
      <c r="F1181" s="3">
        <v>24.98</v>
      </c>
      <c r="G1181" s="3" t="s">
        <v>121</v>
      </c>
      <c r="H1181" s="3"/>
      <c r="I1181" s="3" t="s">
        <v>122</v>
      </c>
      <c r="J1181" s="3">
        <v>14</v>
      </c>
      <c r="K1181" s="3">
        <v>11</v>
      </c>
      <c r="L1181" s="3">
        <v>1</v>
      </c>
      <c r="M1181" s="3">
        <v>2</v>
      </c>
      <c r="N1181" s="3">
        <v>24</v>
      </c>
      <c r="O1181" s="3">
        <v>0.05</v>
      </c>
      <c r="P1181" s="3">
        <v>0</v>
      </c>
      <c r="Q1181" s="3">
        <v>0</v>
      </c>
      <c r="R1181" s="3">
        <v>10</v>
      </c>
    </row>
    <row r="1182" spans="1:18">
      <c r="A1182" s="3" t="s">
        <v>2953</v>
      </c>
      <c r="B1182" s="3" t="s">
        <v>1412</v>
      </c>
      <c r="C1182" s="3" t="s">
        <v>1412</v>
      </c>
      <c r="D1182" s="3" t="s">
        <v>1413</v>
      </c>
      <c r="E1182" s="3" t="s">
        <v>120</v>
      </c>
      <c r="F1182" s="3">
        <v>24.98</v>
      </c>
      <c r="G1182" s="3" t="s">
        <v>121</v>
      </c>
      <c r="H1182" s="3"/>
      <c r="I1182" s="3" t="s">
        <v>122</v>
      </c>
      <c r="J1182" s="3">
        <v>25</v>
      </c>
      <c r="K1182" s="3">
        <v>23</v>
      </c>
      <c r="L1182" s="3">
        <v>0</v>
      </c>
      <c r="M1182" s="3">
        <v>2</v>
      </c>
      <c r="N1182" s="3">
        <v>27</v>
      </c>
      <c r="O1182" s="3">
        <v>0.05</v>
      </c>
      <c r="P1182" s="3">
        <v>0</v>
      </c>
      <c r="Q1182" s="3">
        <v>0</v>
      </c>
      <c r="R1182" s="3">
        <v>2</v>
      </c>
    </row>
    <row r="1183" spans="1:18">
      <c r="A1183" s="3" t="s">
        <v>2954</v>
      </c>
      <c r="B1183" s="3" t="s">
        <v>2955</v>
      </c>
      <c r="C1183" s="3" t="s">
        <v>1424</v>
      </c>
      <c r="D1183" s="3" t="s">
        <v>1425</v>
      </c>
      <c r="E1183" s="3" t="s">
        <v>120</v>
      </c>
      <c r="F1183" s="3">
        <v>24.98</v>
      </c>
      <c r="G1183" s="3" t="s">
        <v>121</v>
      </c>
      <c r="H1183" s="3"/>
      <c r="I1183" s="3" t="s">
        <v>122</v>
      </c>
      <c r="J1183" s="3">
        <v>49</v>
      </c>
      <c r="K1183" s="3">
        <v>35</v>
      </c>
      <c r="L1183" s="3">
        <v>0</v>
      </c>
      <c r="M1183" s="3">
        <v>14</v>
      </c>
      <c r="N1183" s="3">
        <v>49</v>
      </c>
      <c r="O1183" s="3">
        <v>0.05</v>
      </c>
      <c r="P1183" s="3">
        <v>0</v>
      </c>
      <c r="Q1183" s="3">
        <v>0</v>
      </c>
      <c r="R1183" s="3">
        <v>0</v>
      </c>
    </row>
    <row r="1184" spans="1:18">
      <c r="A1184" s="3" t="s">
        <v>2956</v>
      </c>
      <c r="B1184" s="3" t="s">
        <v>1416</v>
      </c>
      <c r="C1184" s="3" t="s">
        <v>1416</v>
      </c>
      <c r="D1184" s="3" t="s">
        <v>1417</v>
      </c>
      <c r="E1184" s="3" t="s">
        <v>120</v>
      </c>
      <c r="F1184" s="3">
        <v>24.98</v>
      </c>
      <c r="G1184" s="3" t="s">
        <v>121</v>
      </c>
      <c r="H1184" s="3"/>
      <c r="I1184" s="3" t="s">
        <v>122</v>
      </c>
      <c r="J1184" s="3">
        <v>16</v>
      </c>
      <c r="K1184" s="3">
        <v>13</v>
      </c>
      <c r="L1184" s="3">
        <v>0</v>
      </c>
      <c r="M1184" s="3">
        <v>3</v>
      </c>
      <c r="N1184" s="3">
        <v>16</v>
      </c>
      <c r="O1184" s="3">
        <v>0.17</v>
      </c>
      <c r="P1184" s="3">
        <v>0</v>
      </c>
      <c r="Q1184" s="3">
        <v>0</v>
      </c>
      <c r="R1184" s="3">
        <v>0</v>
      </c>
    </row>
    <row r="1185" spans="1:18">
      <c r="A1185" s="3" t="s">
        <v>2957</v>
      </c>
      <c r="B1185" s="3" t="s">
        <v>1420</v>
      </c>
      <c r="C1185" s="3" t="s">
        <v>1420</v>
      </c>
      <c r="D1185" s="3" t="s">
        <v>1421</v>
      </c>
      <c r="E1185" s="3" t="s">
        <v>120</v>
      </c>
      <c r="F1185" s="3">
        <v>22.98</v>
      </c>
      <c r="G1185" s="3" t="s">
        <v>121</v>
      </c>
      <c r="H1185" s="3"/>
      <c r="I1185" s="3" t="s">
        <v>122</v>
      </c>
      <c r="J1185" s="3">
        <v>61</v>
      </c>
      <c r="K1185" s="3">
        <v>59</v>
      </c>
      <c r="L1185" s="3">
        <v>0</v>
      </c>
      <c r="M1185" s="3">
        <v>2</v>
      </c>
      <c r="N1185" s="3">
        <v>61</v>
      </c>
      <c r="O1185" s="3">
        <v>0.11</v>
      </c>
      <c r="P1185" s="3">
        <v>0</v>
      </c>
      <c r="Q1185" s="3">
        <v>0</v>
      </c>
      <c r="R1185" s="3">
        <v>0</v>
      </c>
    </row>
    <row r="1186" spans="1:18">
      <c r="A1186" s="3" t="s">
        <v>2958</v>
      </c>
      <c r="B1186" s="3" t="s">
        <v>2959</v>
      </c>
      <c r="C1186" s="3" t="s">
        <v>2959</v>
      </c>
      <c r="D1186" s="3" t="s">
        <v>2960</v>
      </c>
      <c r="E1186" s="3" t="s">
        <v>120</v>
      </c>
      <c r="F1186" s="3">
        <v>39.98</v>
      </c>
      <c r="G1186" s="3" t="s">
        <v>121</v>
      </c>
      <c r="H1186" s="3"/>
      <c r="I1186" s="3" t="s">
        <v>122</v>
      </c>
      <c r="J1186" s="3">
        <v>17</v>
      </c>
      <c r="K1186" s="3">
        <v>17</v>
      </c>
      <c r="L1186" s="3">
        <v>0</v>
      </c>
      <c r="M1186" s="3">
        <v>0</v>
      </c>
      <c r="N1186" s="3">
        <v>17</v>
      </c>
      <c r="O1186" s="3">
        <v>0.05</v>
      </c>
      <c r="P1186" s="3">
        <v>0</v>
      </c>
      <c r="Q1186" s="3">
        <v>0</v>
      </c>
      <c r="R1186" s="3">
        <v>0</v>
      </c>
    </row>
    <row r="1187" spans="1:18">
      <c r="A1187" s="3" t="s">
        <v>2961</v>
      </c>
      <c r="B1187" s="3" t="s">
        <v>1424</v>
      </c>
      <c r="C1187" s="3" t="s">
        <v>1424</v>
      </c>
      <c r="D1187" s="3" t="s">
        <v>1425</v>
      </c>
      <c r="E1187" s="3" t="s">
        <v>120</v>
      </c>
      <c r="F1187" s="3">
        <v>24.98</v>
      </c>
      <c r="G1187" s="3" t="s">
        <v>121</v>
      </c>
      <c r="H1187" s="3"/>
      <c r="I1187" s="3" t="s">
        <v>122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0.05</v>
      </c>
      <c r="P1187" s="3">
        <v>0</v>
      </c>
      <c r="Q1187" s="3">
        <v>0</v>
      </c>
      <c r="R1187" s="3">
        <v>0</v>
      </c>
    </row>
    <row r="1188" spans="1:18">
      <c r="A1188" s="3" t="s">
        <v>2962</v>
      </c>
      <c r="B1188" s="3" t="s">
        <v>1428</v>
      </c>
      <c r="C1188" s="3" t="s">
        <v>1428</v>
      </c>
      <c r="D1188" s="3" t="s">
        <v>1429</v>
      </c>
      <c r="E1188" s="3" t="s">
        <v>120</v>
      </c>
      <c r="F1188" s="3">
        <v>24.98</v>
      </c>
      <c r="G1188" s="3" t="s">
        <v>121</v>
      </c>
      <c r="H1188" s="3"/>
      <c r="I1188" s="3" t="s">
        <v>122</v>
      </c>
      <c r="J1188" s="3">
        <v>0</v>
      </c>
      <c r="K1188" s="3">
        <v>0</v>
      </c>
      <c r="L1188" s="3">
        <v>0</v>
      </c>
      <c r="M1188" s="3">
        <v>0</v>
      </c>
      <c r="N1188" s="3">
        <v>10</v>
      </c>
      <c r="O1188" s="3">
        <v>0.05</v>
      </c>
      <c r="P1188" s="3">
        <v>0</v>
      </c>
      <c r="Q1188" s="3">
        <v>0</v>
      </c>
      <c r="R1188" s="3">
        <v>10</v>
      </c>
    </row>
    <row r="1189" spans="1:18">
      <c r="A1189" s="3" t="s">
        <v>2963</v>
      </c>
      <c r="B1189" s="3" t="s">
        <v>1432</v>
      </c>
      <c r="C1189" s="3" t="s">
        <v>1432</v>
      </c>
      <c r="D1189" s="3" t="s">
        <v>1433</v>
      </c>
      <c r="E1189" s="3" t="s">
        <v>120</v>
      </c>
      <c r="F1189" s="3">
        <v>24.98</v>
      </c>
      <c r="G1189" s="3" t="s">
        <v>121</v>
      </c>
      <c r="H1189" s="3"/>
      <c r="I1189" s="3" t="s">
        <v>122</v>
      </c>
      <c r="J1189" s="3">
        <v>5</v>
      </c>
      <c r="K1189" s="3">
        <v>1</v>
      </c>
      <c r="L1189" s="3">
        <v>1</v>
      </c>
      <c r="M1189" s="3">
        <v>3</v>
      </c>
      <c r="N1189" s="3">
        <v>5</v>
      </c>
      <c r="O1189" s="3">
        <v>0.05</v>
      </c>
      <c r="P1189" s="3">
        <v>0</v>
      </c>
      <c r="Q1189" s="3">
        <v>0</v>
      </c>
      <c r="R1189" s="3">
        <v>0</v>
      </c>
    </row>
    <row r="1190" spans="1:18">
      <c r="A1190" s="3" t="s">
        <v>2964</v>
      </c>
      <c r="B1190" s="3" t="s">
        <v>1436</v>
      </c>
      <c r="C1190" s="3" t="s">
        <v>1436</v>
      </c>
      <c r="D1190" s="3" t="s">
        <v>1437</v>
      </c>
      <c r="E1190" s="3" t="s">
        <v>120</v>
      </c>
      <c r="F1190" s="3">
        <v>22.98</v>
      </c>
      <c r="G1190" s="3" t="s">
        <v>121</v>
      </c>
      <c r="H1190" s="3"/>
      <c r="I1190" s="3" t="s">
        <v>122</v>
      </c>
      <c r="J1190" s="3">
        <v>15</v>
      </c>
      <c r="K1190" s="3">
        <v>11</v>
      </c>
      <c r="L1190" s="3">
        <v>2</v>
      </c>
      <c r="M1190" s="3">
        <v>2</v>
      </c>
      <c r="N1190" s="3">
        <v>15</v>
      </c>
      <c r="O1190" s="3">
        <v>0.05</v>
      </c>
      <c r="P1190" s="3">
        <v>0</v>
      </c>
      <c r="Q1190" s="3">
        <v>0</v>
      </c>
      <c r="R1190" s="3">
        <v>0</v>
      </c>
    </row>
    <row r="1191" spans="1:18">
      <c r="A1191" s="3" t="s">
        <v>2965</v>
      </c>
      <c r="B1191" s="3" t="s">
        <v>1440</v>
      </c>
      <c r="C1191" s="3" t="s">
        <v>1440</v>
      </c>
      <c r="D1191" s="3" t="s">
        <v>1441</v>
      </c>
      <c r="E1191" s="3" t="s">
        <v>120</v>
      </c>
      <c r="F1191" s="3">
        <v>19.98</v>
      </c>
      <c r="G1191" s="3" t="s">
        <v>121</v>
      </c>
      <c r="H1191" s="3"/>
      <c r="I1191" s="3" t="s">
        <v>122</v>
      </c>
      <c r="J1191" s="3">
        <v>34</v>
      </c>
      <c r="K1191" s="3">
        <v>34</v>
      </c>
      <c r="L1191" s="3">
        <v>0</v>
      </c>
      <c r="M1191" s="3">
        <v>0</v>
      </c>
      <c r="N1191" s="3">
        <v>34</v>
      </c>
      <c r="O1191" s="3">
        <v>0.05</v>
      </c>
      <c r="P1191" s="3">
        <v>0</v>
      </c>
      <c r="Q1191" s="3">
        <v>0</v>
      </c>
      <c r="R1191" s="3">
        <v>0</v>
      </c>
    </row>
    <row r="1192" spans="1:18">
      <c r="A1192" s="3" t="s">
        <v>2966</v>
      </c>
      <c r="B1192" s="3" t="s">
        <v>1444</v>
      </c>
      <c r="C1192" s="3" t="s">
        <v>1444</v>
      </c>
      <c r="D1192" s="3" t="s">
        <v>1445</v>
      </c>
      <c r="E1192" s="3" t="s">
        <v>120</v>
      </c>
      <c r="F1192" s="3">
        <v>24.98</v>
      </c>
      <c r="G1192" s="3" t="s">
        <v>121</v>
      </c>
      <c r="H1192" s="3"/>
      <c r="I1192" s="3" t="s">
        <v>122</v>
      </c>
      <c r="J1192" s="3">
        <v>5</v>
      </c>
      <c r="K1192" s="3">
        <v>0</v>
      </c>
      <c r="L1192" s="3">
        <v>3</v>
      </c>
      <c r="M1192" s="3">
        <v>2</v>
      </c>
      <c r="N1192" s="3">
        <v>5</v>
      </c>
      <c r="O1192" s="3">
        <v>0.05</v>
      </c>
      <c r="P1192" s="3">
        <v>0</v>
      </c>
      <c r="Q1192" s="3">
        <v>0</v>
      </c>
      <c r="R1192" s="3">
        <v>0</v>
      </c>
    </row>
    <row r="1193" spans="1:18">
      <c r="A1193" s="3" t="s">
        <v>2967</v>
      </c>
      <c r="B1193" s="3" t="s">
        <v>2968</v>
      </c>
      <c r="C1193" s="3" t="s">
        <v>2968</v>
      </c>
      <c r="D1193" s="3" t="s">
        <v>2969</v>
      </c>
      <c r="E1193" s="3" t="s">
        <v>20</v>
      </c>
      <c r="F1193" s="3"/>
      <c r="G1193" s="3"/>
      <c r="H1193" s="3"/>
      <c r="I1193" s="3"/>
      <c r="J1193" s="3">
        <v>5</v>
      </c>
      <c r="K1193" s="3">
        <v>3</v>
      </c>
      <c r="L1193" s="3">
        <v>2</v>
      </c>
      <c r="M1193" s="3">
        <v>0</v>
      </c>
      <c r="N1193" s="3">
        <v>5</v>
      </c>
      <c r="O1193" s="3">
        <v>0.17</v>
      </c>
      <c r="P1193" s="3">
        <v>0</v>
      </c>
      <c r="Q1193" s="3">
        <v>0</v>
      </c>
      <c r="R1193" s="3">
        <v>0</v>
      </c>
    </row>
    <row r="1194" spans="1:18">
      <c r="A1194" s="3" t="s">
        <v>2970</v>
      </c>
      <c r="B1194" s="3" t="s">
        <v>2971</v>
      </c>
      <c r="C1194" s="3" t="s">
        <v>2971</v>
      </c>
      <c r="D1194" s="3" t="s">
        <v>2972</v>
      </c>
      <c r="E1194" s="3" t="s">
        <v>120</v>
      </c>
      <c r="F1194" s="3">
        <v>23.98</v>
      </c>
      <c r="G1194" s="3" t="s">
        <v>121</v>
      </c>
      <c r="H1194" s="3"/>
      <c r="I1194" s="3" t="s">
        <v>122</v>
      </c>
      <c r="J1194" s="3">
        <v>80</v>
      </c>
      <c r="K1194" s="3">
        <v>80</v>
      </c>
      <c r="L1194" s="3">
        <v>0</v>
      </c>
      <c r="M1194" s="3">
        <v>0</v>
      </c>
      <c r="N1194" s="3">
        <v>80</v>
      </c>
      <c r="O1194" s="3">
        <v>0.14</v>
      </c>
      <c r="P1194" s="3">
        <v>0</v>
      </c>
      <c r="Q1194" s="3">
        <v>0</v>
      </c>
      <c r="R1194" s="3">
        <v>0</v>
      </c>
    </row>
    <row r="1195" spans="1:18">
      <c r="A1195" s="3" t="s">
        <v>2973</v>
      </c>
      <c r="B1195" s="3" t="s">
        <v>2974</v>
      </c>
      <c r="C1195" s="3" t="s">
        <v>2974</v>
      </c>
      <c r="D1195" s="3" t="s">
        <v>2975</v>
      </c>
      <c r="E1195" s="3" t="s">
        <v>120</v>
      </c>
      <c r="F1195" s="3">
        <v>23.98</v>
      </c>
      <c r="G1195" s="3" t="s">
        <v>121</v>
      </c>
      <c r="H1195" s="3"/>
      <c r="I1195" s="3" t="s">
        <v>122</v>
      </c>
      <c r="J1195" s="3">
        <v>18</v>
      </c>
      <c r="K1195" s="3">
        <v>18</v>
      </c>
      <c r="L1195" s="3">
        <v>0</v>
      </c>
      <c r="M1195" s="3">
        <v>0</v>
      </c>
      <c r="N1195" s="3">
        <v>23</v>
      </c>
      <c r="O1195" s="3">
        <v>0.13</v>
      </c>
      <c r="P1195" s="3">
        <v>0</v>
      </c>
      <c r="Q1195" s="3">
        <v>5</v>
      </c>
      <c r="R1195" s="3">
        <v>0</v>
      </c>
    </row>
    <row r="1196" spans="1:18">
      <c r="A1196" s="3" t="s">
        <v>2976</v>
      </c>
      <c r="B1196" s="3" t="s">
        <v>2977</v>
      </c>
      <c r="C1196" s="3" t="s">
        <v>2977</v>
      </c>
      <c r="D1196" s="3" t="s">
        <v>2978</v>
      </c>
      <c r="E1196" s="3" t="s">
        <v>120</v>
      </c>
      <c r="F1196" s="3">
        <v>22.98</v>
      </c>
      <c r="G1196" s="3" t="s">
        <v>121</v>
      </c>
      <c r="H1196" s="3"/>
      <c r="I1196" s="3" t="s">
        <v>122</v>
      </c>
      <c r="J1196" s="3">
        <v>141</v>
      </c>
      <c r="K1196" s="3">
        <v>140</v>
      </c>
      <c r="L1196" s="3">
        <v>0</v>
      </c>
      <c r="M1196" s="3">
        <v>1</v>
      </c>
      <c r="N1196" s="3">
        <v>141</v>
      </c>
      <c r="O1196" s="3">
        <v>0.15</v>
      </c>
      <c r="P1196" s="3">
        <v>0</v>
      </c>
      <c r="Q1196" s="3">
        <v>0</v>
      </c>
      <c r="R1196" s="3">
        <v>0</v>
      </c>
    </row>
    <row r="1197" spans="1:18">
      <c r="A1197" s="3" t="s">
        <v>2979</v>
      </c>
      <c r="B1197" s="3" t="s">
        <v>2980</v>
      </c>
      <c r="C1197" s="3" t="s">
        <v>2980</v>
      </c>
      <c r="D1197" s="3" t="s">
        <v>2981</v>
      </c>
      <c r="E1197" s="3" t="s">
        <v>120</v>
      </c>
      <c r="F1197" s="3">
        <v>22.98</v>
      </c>
      <c r="G1197" s="3" t="s">
        <v>121</v>
      </c>
      <c r="H1197" s="3"/>
      <c r="I1197" s="3" t="s">
        <v>122</v>
      </c>
      <c r="J1197" s="3">
        <v>148</v>
      </c>
      <c r="K1197" s="3">
        <v>148</v>
      </c>
      <c r="L1197" s="3">
        <v>0</v>
      </c>
      <c r="M1197" s="3">
        <v>0</v>
      </c>
      <c r="N1197" s="3">
        <v>148</v>
      </c>
      <c r="O1197" s="3">
        <v>0.19</v>
      </c>
      <c r="P1197" s="3">
        <v>0</v>
      </c>
      <c r="Q1197" s="3">
        <v>0</v>
      </c>
      <c r="R1197" s="3">
        <v>0</v>
      </c>
    </row>
    <row r="1198" spans="1:18">
      <c r="A1198" s="3" t="s">
        <v>2982</v>
      </c>
      <c r="B1198" s="3" t="s">
        <v>2983</v>
      </c>
      <c r="C1198" s="3" t="s">
        <v>2983</v>
      </c>
      <c r="D1198" s="3" t="s">
        <v>2984</v>
      </c>
      <c r="E1198" s="3" t="s">
        <v>120</v>
      </c>
      <c r="F1198" s="3">
        <v>20.98</v>
      </c>
      <c r="G1198" s="3" t="s">
        <v>121</v>
      </c>
      <c r="H1198" s="3"/>
      <c r="I1198" s="3" t="s">
        <v>122</v>
      </c>
      <c r="J1198" s="3">
        <v>24</v>
      </c>
      <c r="K1198" s="3">
        <v>24</v>
      </c>
      <c r="L1198" s="3">
        <v>0</v>
      </c>
      <c r="M1198" s="3">
        <v>0</v>
      </c>
      <c r="N1198" s="3">
        <v>24</v>
      </c>
      <c r="O1198" s="3">
        <v>0.23</v>
      </c>
      <c r="P1198" s="3">
        <v>0</v>
      </c>
      <c r="Q1198" s="3">
        <v>0</v>
      </c>
      <c r="R1198" s="3">
        <v>0</v>
      </c>
    </row>
    <row r="1199" spans="1:18">
      <c r="A1199" s="3" t="s">
        <v>2985</v>
      </c>
      <c r="B1199" s="3" t="s">
        <v>2986</v>
      </c>
      <c r="C1199" s="3" t="s">
        <v>2986</v>
      </c>
      <c r="D1199" s="3" t="s">
        <v>2987</v>
      </c>
      <c r="E1199" s="3" t="s">
        <v>120</v>
      </c>
      <c r="F1199" s="3">
        <v>22.98</v>
      </c>
      <c r="G1199" s="3" t="s">
        <v>121</v>
      </c>
      <c r="H1199" s="3"/>
      <c r="I1199" s="3" t="s">
        <v>122</v>
      </c>
      <c r="J1199" s="3">
        <v>94</v>
      </c>
      <c r="K1199" s="3">
        <v>94</v>
      </c>
      <c r="L1199" s="3">
        <v>0</v>
      </c>
      <c r="M1199" s="3">
        <v>0</v>
      </c>
      <c r="N1199" s="3">
        <v>94</v>
      </c>
      <c r="O1199" s="3">
        <v>0.21</v>
      </c>
      <c r="P1199" s="3">
        <v>0</v>
      </c>
      <c r="Q1199" s="3">
        <v>0</v>
      </c>
      <c r="R1199" s="3">
        <v>0</v>
      </c>
    </row>
    <row r="1200" spans="1:18">
      <c r="A1200" s="3" t="s">
        <v>2988</v>
      </c>
      <c r="B1200" s="3" t="s">
        <v>2989</v>
      </c>
      <c r="C1200" s="3" t="s">
        <v>2989</v>
      </c>
      <c r="D1200" s="3" t="s">
        <v>2990</v>
      </c>
      <c r="E1200" s="3" t="s">
        <v>120</v>
      </c>
      <c r="F1200" s="3">
        <v>22.98</v>
      </c>
      <c r="G1200" s="3" t="s">
        <v>121</v>
      </c>
      <c r="H1200" s="3"/>
      <c r="I1200" s="3" t="s">
        <v>122</v>
      </c>
      <c r="J1200" s="3">
        <v>51</v>
      </c>
      <c r="K1200" s="3">
        <v>51</v>
      </c>
      <c r="L1200" s="3">
        <v>0</v>
      </c>
      <c r="M1200" s="3">
        <v>0</v>
      </c>
      <c r="N1200" s="3">
        <v>51</v>
      </c>
      <c r="O1200" s="3">
        <v>0.22</v>
      </c>
      <c r="P1200" s="3">
        <v>0</v>
      </c>
      <c r="Q1200" s="3">
        <v>0</v>
      </c>
      <c r="R1200" s="3">
        <v>0</v>
      </c>
    </row>
    <row r="1201" spans="1:18">
      <c r="A1201" s="3" t="s">
        <v>2991</v>
      </c>
      <c r="B1201" s="3" t="s">
        <v>2992</v>
      </c>
      <c r="C1201" s="3" t="s">
        <v>2992</v>
      </c>
      <c r="D1201" s="3" t="s">
        <v>2993</v>
      </c>
      <c r="E1201" s="3" t="s">
        <v>120</v>
      </c>
      <c r="F1201" s="3">
        <v>23.98</v>
      </c>
      <c r="G1201" s="3" t="s">
        <v>121</v>
      </c>
      <c r="H1201" s="3"/>
      <c r="I1201" s="3" t="s">
        <v>122</v>
      </c>
      <c r="J1201" s="3">
        <v>30</v>
      </c>
      <c r="K1201" s="3">
        <v>27</v>
      </c>
      <c r="L1201" s="3">
        <v>0</v>
      </c>
      <c r="M1201" s="3">
        <v>3</v>
      </c>
      <c r="N1201" s="3">
        <v>30</v>
      </c>
      <c r="O1201" s="3">
        <v>0.11</v>
      </c>
      <c r="P1201" s="3">
        <v>0</v>
      </c>
      <c r="Q1201" s="3">
        <v>0</v>
      </c>
      <c r="R1201" s="3">
        <v>0</v>
      </c>
    </row>
    <row r="1202" spans="1:18">
      <c r="A1202" s="3" t="s">
        <v>2994</v>
      </c>
      <c r="B1202" s="3" t="s">
        <v>2995</v>
      </c>
      <c r="C1202" s="3" t="s">
        <v>2995</v>
      </c>
      <c r="D1202" s="3" t="s">
        <v>2996</v>
      </c>
      <c r="E1202" s="3" t="s">
        <v>120</v>
      </c>
      <c r="F1202" s="3">
        <v>23.98</v>
      </c>
      <c r="G1202" s="3" t="s">
        <v>121</v>
      </c>
      <c r="H1202" s="3"/>
      <c r="I1202" s="3" t="s">
        <v>122</v>
      </c>
      <c r="J1202" s="3">
        <v>14</v>
      </c>
      <c r="K1202" s="3">
        <v>14</v>
      </c>
      <c r="L1202" s="3">
        <v>0</v>
      </c>
      <c r="M1202" s="3">
        <v>0</v>
      </c>
      <c r="N1202" s="3">
        <v>14</v>
      </c>
      <c r="O1202" s="3">
        <v>0.06</v>
      </c>
      <c r="P1202" s="3">
        <v>0</v>
      </c>
      <c r="Q1202" s="3">
        <v>0</v>
      </c>
      <c r="R1202" s="3">
        <v>0</v>
      </c>
    </row>
    <row r="1203" spans="1:18">
      <c r="A1203" s="3" t="s">
        <v>2997</v>
      </c>
      <c r="B1203" s="3" t="s">
        <v>2998</v>
      </c>
      <c r="C1203" s="3" t="s">
        <v>2998</v>
      </c>
      <c r="D1203" s="3" t="s">
        <v>2999</v>
      </c>
      <c r="E1203" s="3" t="s">
        <v>120</v>
      </c>
      <c r="F1203" s="3">
        <v>23.98</v>
      </c>
      <c r="G1203" s="3" t="s">
        <v>121</v>
      </c>
      <c r="H1203" s="3"/>
      <c r="I1203" s="3" t="s">
        <v>122</v>
      </c>
      <c r="J1203" s="3">
        <v>8</v>
      </c>
      <c r="K1203" s="3">
        <v>8</v>
      </c>
      <c r="L1203" s="3">
        <v>0</v>
      </c>
      <c r="M1203" s="3">
        <v>0</v>
      </c>
      <c r="N1203" s="3">
        <v>8</v>
      </c>
      <c r="O1203" s="3">
        <v>0.1</v>
      </c>
      <c r="P1203" s="3">
        <v>0</v>
      </c>
      <c r="Q1203" s="3">
        <v>0</v>
      </c>
      <c r="R1203" s="3">
        <v>0</v>
      </c>
    </row>
    <row r="1204" spans="1:18">
      <c r="A1204" s="3" t="s">
        <v>3000</v>
      </c>
      <c r="B1204" s="3" t="s">
        <v>3001</v>
      </c>
      <c r="C1204" s="3" t="s">
        <v>3001</v>
      </c>
      <c r="D1204" s="3" t="s">
        <v>3002</v>
      </c>
      <c r="E1204" s="3" t="s">
        <v>120</v>
      </c>
      <c r="F1204" s="3">
        <v>23.98</v>
      </c>
      <c r="G1204" s="3" t="s">
        <v>121</v>
      </c>
      <c r="H1204" s="3"/>
      <c r="I1204" s="3" t="s">
        <v>122</v>
      </c>
      <c r="J1204" s="3">
        <v>49</v>
      </c>
      <c r="K1204" s="3">
        <v>49</v>
      </c>
      <c r="L1204" s="3">
        <v>0</v>
      </c>
      <c r="M1204" s="3">
        <v>0</v>
      </c>
      <c r="N1204" s="3">
        <v>49</v>
      </c>
      <c r="O1204" s="3">
        <v>0.15</v>
      </c>
      <c r="P1204" s="3">
        <v>0</v>
      </c>
      <c r="Q1204" s="3">
        <v>0</v>
      </c>
      <c r="R1204" s="3">
        <v>0</v>
      </c>
    </row>
    <row r="1205" spans="1:18">
      <c r="A1205" s="3" t="s">
        <v>3003</v>
      </c>
      <c r="B1205" s="3" t="s">
        <v>3004</v>
      </c>
      <c r="C1205" s="3" t="s">
        <v>3004</v>
      </c>
      <c r="D1205" s="3" t="s">
        <v>3005</v>
      </c>
      <c r="E1205" s="3" t="s">
        <v>120</v>
      </c>
      <c r="F1205" s="3">
        <v>23.98</v>
      </c>
      <c r="G1205" s="3" t="s">
        <v>121</v>
      </c>
      <c r="H1205" s="3"/>
      <c r="I1205" s="3" t="s">
        <v>122</v>
      </c>
      <c r="J1205" s="3">
        <v>0</v>
      </c>
      <c r="K1205" s="3">
        <v>0</v>
      </c>
      <c r="L1205" s="3">
        <v>0</v>
      </c>
      <c r="M1205" s="3">
        <v>0</v>
      </c>
      <c r="N1205" s="3">
        <v>0</v>
      </c>
      <c r="O1205" s="3">
        <v>0.11</v>
      </c>
      <c r="P1205" s="3">
        <v>0</v>
      </c>
      <c r="Q1205" s="3">
        <v>0</v>
      </c>
      <c r="R1205" s="3">
        <v>0</v>
      </c>
    </row>
    <row r="1206" spans="1:18">
      <c r="A1206" s="3" t="s">
        <v>3006</v>
      </c>
      <c r="B1206" s="3" t="s">
        <v>3007</v>
      </c>
      <c r="C1206" s="3" t="s">
        <v>3007</v>
      </c>
      <c r="D1206" s="3" t="s">
        <v>3008</v>
      </c>
      <c r="E1206" s="3" t="s">
        <v>120</v>
      </c>
      <c r="F1206" s="3">
        <v>23.98</v>
      </c>
      <c r="G1206" s="3" t="s">
        <v>121</v>
      </c>
      <c r="H1206" s="3"/>
      <c r="I1206" s="3" t="s">
        <v>122</v>
      </c>
      <c r="J1206" s="3">
        <v>31</v>
      </c>
      <c r="K1206" s="3">
        <v>30</v>
      </c>
      <c r="L1206" s="3">
        <v>0</v>
      </c>
      <c r="M1206" s="3">
        <v>1</v>
      </c>
      <c r="N1206" s="3">
        <v>31</v>
      </c>
      <c r="O1206" s="3">
        <v>0.05</v>
      </c>
      <c r="P1206" s="3">
        <v>0</v>
      </c>
      <c r="Q1206" s="3">
        <v>0</v>
      </c>
      <c r="R1206" s="3">
        <v>0</v>
      </c>
    </row>
    <row r="1207" spans="1:18">
      <c r="A1207" s="3" t="s">
        <v>3009</v>
      </c>
      <c r="B1207" s="3" t="s">
        <v>3010</v>
      </c>
      <c r="C1207" s="3" t="s">
        <v>3010</v>
      </c>
      <c r="D1207" s="3" t="s">
        <v>3011</v>
      </c>
      <c r="E1207" s="3" t="s">
        <v>120</v>
      </c>
      <c r="F1207" s="3">
        <v>23.98</v>
      </c>
      <c r="G1207" s="3" t="s">
        <v>121</v>
      </c>
      <c r="H1207" s="3"/>
      <c r="I1207" s="3" t="s">
        <v>122</v>
      </c>
      <c r="J1207" s="3">
        <v>34</v>
      </c>
      <c r="K1207" s="3">
        <v>34</v>
      </c>
      <c r="L1207" s="3">
        <v>0</v>
      </c>
      <c r="M1207" s="3">
        <v>0</v>
      </c>
      <c r="N1207" s="3">
        <v>34</v>
      </c>
      <c r="O1207" s="3">
        <v>0.11</v>
      </c>
      <c r="P1207" s="3">
        <v>0</v>
      </c>
      <c r="Q1207" s="3">
        <v>0</v>
      </c>
      <c r="R1207" s="3">
        <v>0</v>
      </c>
    </row>
    <row r="1208" spans="1:18">
      <c r="A1208" s="3" t="s">
        <v>3012</v>
      </c>
      <c r="B1208" s="3" t="s">
        <v>3013</v>
      </c>
      <c r="C1208" s="3" t="s">
        <v>3013</v>
      </c>
      <c r="D1208" s="3" t="s">
        <v>3014</v>
      </c>
      <c r="E1208" s="3" t="s">
        <v>120</v>
      </c>
      <c r="F1208" s="3">
        <v>39.98</v>
      </c>
      <c r="G1208" s="3" t="s">
        <v>121</v>
      </c>
      <c r="H1208" s="3"/>
      <c r="I1208" s="3" t="s">
        <v>122</v>
      </c>
      <c r="J1208" s="3">
        <v>10</v>
      </c>
      <c r="K1208" s="3">
        <v>10</v>
      </c>
      <c r="L1208" s="3">
        <v>0</v>
      </c>
      <c r="M1208" s="3">
        <v>0</v>
      </c>
      <c r="N1208" s="3">
        <v>10</v>
      </c>
      <c r="O1208" s="3">
        <v>0.1</v>
      </c>
      <c r="P1208" s="3">
        <v>0</v>
      </c>
      <c r="Q1208" s="3">
        <v>0</v>
      </c>
      <c r="R1208" s="3">
        <v>0</v>
      </c>
    </row>
    <row r="1209" spans="1:18">
      <c r="A1209" s="3" t="s">
        <v>3015</v>
      </c>
      <c r="B1209" s="3" t="s">
        <v>3016</v>
      </c>
      <c r="C1209" s="3" t="s">
        <v>3016</v>
      </c>
      <c r="D1209" s="3" t="s">
        <v>3017</v>
      </c>
      <c r="E1209" s="3" t="s">
        <v>120</v>
      </c>
      <c r="F1209" s="3">
        <v>23.98</v>
      </c>
      <c r="G1209" s="3" t="s">
        <v>121</v>
      </c>
      <c r="H1209" s="3"/>
      <c r="I1209" s="3" t="s">
        <v>122</v>
      </c>
      <c r="J1209" s="3">
        <v>41</v>
      </c>
      <c r="K1209" s="3">
        <v>41</v>
      </c>
      <c r="L1209" s="3">
        <v>0</v>
      </c>
      <c r="M1209" s="3">
        <v>0</v>
      </c>
      <c r="N1209" s="3">
        <v>41</v>
      </c>
      <c r="O1209" s="3">
        <v>0.27</v>
      </c>
      <c r="P1209" s="3">
        <v>0</v>
      </c>
      <c r="Q1209" s="3">
        <v>0</v>
      </c>
      <c r="R1209" s="3">
        <v>0</v>
      </c>
    </row>
    <row r="1210" spans="1:18">
      <c r="A1210" s="3" t="s">
        <v>3018</v>
      </c>
      <c r="B1210" s="3" t="s">
        <v>3019</v>
      </c>
      <c r="C1210" s="3" t="s">
        <v>3019</v>
      </c>
      <c r="D1210" s="3" t="s">
        <v>3020</v>
      </c>
      <c r="E1210" s="3" t="s">
        <v>120</v>
      </c>
      <c r="F1210" s="3">
        <v>23.98</v>
      </c>
      <c r="G1210" s="3" t="s">
        <v>121</v>
      </c>
      <c r="H1210" s="3"/>
      <c r="I1210" s="3" t="s">
        <v>122</v>
      </c>
      <c r="J1210" s="3">
        <v>29</v>
      </c>
      <c r="K1210" s="3">
        <v>28</v>
      </c>
      <c r="L1210" s="3">
        <v>0</v>
      </c>
      <c r="M1210" s="3">
        <v>1</v>
      </c>
      <c r="N1210" s="3">
        <v>29</v>
      </c>
      <c r="O1210" s="3">
        <v>0.21</v>
      </c>
      <c r="P1210" s="3">
        <v>0</v>
      </c>
      <c r="Q1210" s="3">
        <v>0</v>
      </c>
      <c r="R1210" s="3">
        <v>0</v>
      </c>
    </row>
    <row r="1211" spans="1:18">
      <c r="A1211" s="3" t="s">
        <v>3021</v>
      </c>
      <c r="B1211" s="3" t="s">
        <v>3022</v>
      </c>
      <c r="C1211" s="3" t="s">
        <v>3022</v>
      </c>
      <c r="D1211" s="3" t="s">
        <v>3023</v>
      </c>
      <c r="E1211" s="3" t="s">
        <v>120</v>
      </c>
      <c r="F1211" s="3">
        <v>23.98</v>
      </c>
      <c r="G1211" s="3" t="s">
        <v>121</v>
      </c>
      <c r="H1211" s="3"/>
      <c r="I1211" s="3" t="s">
        <v>122</v>
      </c>
      <c r="J1211" s="3">
        <v>74</v>
      </c>
      <c r="K1211" s="3">
        <v>74</v>
      </c>
      <c r="L1211" s="3">
        <v>0</v>
      </c>
      <c r="M1211" s="3">
        <v>0</v>
      </c>
      <c r="N1211" s="3">
        <v>74</v>
      </c>
      <c r="O1211" s="3">
        <v>0.18</v>
      </c>
      <c r="P1211" s="3">
        <v>0</v>
      </c>
      <c r="Q1211" s="3">
        <v>0</v>
      </c>
      <c r="R1211" s="3">
        <v>0</v>
      </c>
    </row>
    <row r="1212" spans="1:18">
      <c r="A1212" s="3" t="s">
        <v>3024</v>
      </c>
      <c r="B1212" s="3" t="s">
        <v>3025</v>
      </c>
      <c r="C1212" s="3" t="s">
        <v>3025</v>
      </c>
      <c r="D1212" s="3" t="s">
        <v>3026</v>
      </c>
      <c r="E1212" s="3" t="s">
        <v>120</v>
      </c>
      <c r="F1212" s="3">
        <v>23.98</v>
      </c>
      <c r="G1212" s="3" t="s">
        <v>121</v>
      </c>
      <c r="H1212" s="3"/>
      <c r="I1212" s="3" t="s">
        <v>122</v>
      </c>
      <c r="J1212" s="3">
        <v>19</v>
      </c>
      <c r="K1212" s="3">
        <v>18</v>
      </c>
      <c r="L1212" s="3">
        <v>0</v>
      </c>
      <c r="M1212" s="3">
        <v>1</v>
      </c>
      <c r="N1212" s="3">
        <v>19</v>
      </c>
      <c r="O1212" s="3">
        <v>0.1</v>
      </c>
      <c r="P1212" s="3">
        <v>0</v>
      </c>
      <c r="Q1212" s="3">
        <v>0</v>
      </c>
      <c r="R1212" s="3">
        <v>0</v>
      </c>
    </row>
    <row r="1213" spans="1:18">
      <c r="A1213" s="3" t="s">
        <v>3027</v>
      </c>
      <c r="B1213" s="3" t="s">
        <v>3028</v>
      </c>
      <c r="C1213" s="3" t="s">
        <v>3028</v>
      </c>
      <c r="D1213" s="3" t="s">
        <v>3029</v>
      </c>
      <c r="E1213" s="3" t="s">
        <v>120</v>
      </c>
      <c r="F1213" s="3">
        <v>39.98</v>
      </c>
      <c r="G1213" s="3" t="s">
        <v>121</v>
      </c>
      <c r="H1213" s="3"/>
      <c r="I1213" s="3" t="s">
        <v>122</v>
      </c>
      <c r="J1213" s="3">
        <v>0</v>
      </c>
      <c r="K1213" s="3">
        <v>0</v>
      </c>
      <c r="L1213" s="3">
        <v>0</v>
      </c>
      <c r="M1213" s="3">
        <v>0</v>
      </c>
      <c r="N1213" s="3">
        <v>0</v>
      </c>
      <c r="O1213" s="3">
        <v>0.16</v>
      </c>
      <c r="P1213" s="3">
        <v>0</v>
      </c>
      <c r="Q1213" s="3">
        <v>0</v>
      </c>
      <c r="R1213" s="3">
        <v>0</v>
      </c>
    </row>
    <row r="1214" spans="1:18">
      <c r="A1214" s="3" t="s">
        <v>3030</v>
      </c>
      <c r="B1214" s="3" t="s">
        <v>3031</v>
      </c>
      <c r="C1214" s="3" t="s">
        <v>3031</v>
      </c>
      <c r="D1214" s="3" t="s">
        <v>3032</v>
      </c>
      <c r="E1214" s="3" t="s">
        <v>120</v>
      </c>
      <c r="F1214" s="3">
        <v>23.98</v>
      </c>
      <c r="G1214" s="3" t="s">
        <v>121</v>
      </c>
      <c r="H1214" s="3"/>
      <c r="I1214" s="3" t="s">
        <v>122</v>
      </c>
      <c r="J1214" s="3">
        <v>27</v>
      </c>
      <c r="K1214" s="3">
        <v>23</v>
      </c>
      <c r="L1214" s="3">
        <v>0</v>
      </c>
      <c r="M1214" s="3">
        <v>4</v>
      </c>
      <c r="N1214" s="3">
        <v>27</v>
      </c>
      <c r="O1214" s="3">
        <v>0.09</v>
      </c>
      <c r="P1214" s="3">
        <v>0</v>
      </c>
      <c r="Q1214" s="3">
        <v>0</v>
      </c>
      <c r="R1214" s="3">
        <v>0</v>
      </c>
    </row>
    <row r="1215" spans="1:18">
      <c r="A1215" s="3" t="s">
        <v>3033</v>
      </c>
      <c r="B1215" s="3" t="s">
        <v>3034</v>
      </c>
      <c r="C1215" s="3" t="s">
        <v>3034</v>
      </c>
      <c r="D1215" s="3" t="s">
        <v>3035</v>
      </c>
      <c r="E1215" s="3" t="s">
        <v>120</v>
      </c>
      <c r="F1215" s="3">
        <v>22.98</v>
      </c>
      <c r="G1215" s="3" t="s">
        <v>121</v>
      </c>
      <c r="H1215" s="3"/>
      <c r="I1215" s="3" t="s">
        <v>122</v>
      </c>
      <c r="J1215" s="3">
        <v>18</v>
      </c>
      <c r="K1215" s="3">
        <v>18</v>
      </c>
      <c r="L1215" s="3">
        <v>0</v>
      </c>
      <c r="M1215" s="3">
        <v>0</v>
      </c>
      <c r="N1215" s="3">
        <v>18</v>
      </c>
      <c r="O1215" s="3">
        <v>0.18</v>
      </c>
      <c r="P1215" s="3">
        <v>0</v>
      </c>
      <c r="Q1215" s="3">
        <v>0</v>
      </c>
      <c r="R1215" s="3">
        <v>0</v>
      </c>
    </row>
    <row r="1216" spans="1:18">
      <c r="A1216" s="3" t="s">
        <v>3036</v>
      </c>
      <c r="B1216" s="3" t="s">
        <v>3037</v>
      </c>
      <c r="C1216" s="3" t="s">
        <v>3037</v>
      </c>
      <c r="D1216" s="3" t="s">
        <v>2018</v>
      </c>
      <c r="E1216" s="3" t="s">
        <v>120</v>
      </c>
      <c r="F1216" s="3">
        <v>39.98</v>
      </c>
      <c r="G1216" s="3" t="s">
        <v>121</v>
      </c>
      <c r="H1216" s="3"/>
      <c r="I1216" s="3" t="s">
        <v>122</v>
      </c>
      <c r="J1216" s="3">
        <v>25</v>
      </c>
      <c r="K1216" s="3">
        <v>25</v>
      </c>
      <c r="L1216" s="3">
        <v>0</v>
      </c>
      <c r="M1216" s="3">
        <v>0</v>
      </c>
      <c r="N1216" s="3">
        <v>25</v>
      </c>
      <c r="O1216" s="3">
        <v>0.1</v>
      </c>
      <c r="P1216" s="3">
        <v>0</v>
      </c>
      <c r="Q1216" s="3">
        <v>0</v>
      </c>
      <c r="R1216" s="3">
        <v>0</v>
      </c>
    </row>
    <row r="1217" spans="1:18">
      <c r="A1217" s="3" t="s">
        <v>3038</v>
      </c>
      <c r="B1217" s="3" t="s">
        <v>3039</v>
      </c>
      <c r="C1217" s="3" t="s">
        <v>3039</v>
      </c>
      <c r="D1217" s="3" t="s">
        <v>3040</v>
      </c>
      <c r="E1217" s="3" t="s">
        <v>120</v>
      </c>
      <c r="F1217" s="3">
        <v>23.98</v>
      </c>
      <c r="G1217" s="3" t="s">
        <v>121</v>
      </c>
      <c r="H1217" s="3"/>
      <c r="I1217" s="3" t="s">
        <v>122</v>
      </c>
      <c r="J1217" s="3">
        <v>30</v>
      </c>
      <c r="K1217" s="3">
        <v>30</v>
      </c>
      <c r="L1217" s="3">
        <v>0</v>
      </c>
      <c r="M1217" s="3">
        <v>0</v>
      </c>
      <c r="N1217" s="3">
        <v>30</v>
      </c>
      <c r="O1217" s="3">
        <v>0.09</v>
      </c>
      <c r="P1217" s="3">
        <v>0</v>
      </c>
      <c r="Q1217" s="3">
        <v>0</v>
      </c>
      <c r="R1217" s="3">
        <v>0</v>
      </c>
    </row>
    <row r="1218" spans="1:18">
      <c r="A1218" s="3" t="s">
        <v>3041</v>
      </c>
      <c r="B1218" s="3" t="s">
        <v>3042</v>
      </c>
      <c r="C1218" s="3" t="s">
        <v>3042</v>
      </c>
      <c r="D1218" s="3" t="s">
        <v>2026</v>
      </c>
      <c r="E1218" s="3" t="s">
        <v>120</v>
      </c>
      <c r="F1218" s="3">
        <v>39.98</v>
      </c>
      <c r="G1218" s="3" t="s">
        <v>121</v>
      </c>
      <c r="H1218" s="3"/>
      <c r="I1218" s="3" t="s">
        <v>122</v>
      </c>
      <c r="J1218" s="3">
        <v>22</v>
      </c>
      <c r="K1218" s="3">
        <v>22</v>
      </c>
      <c r="L1218" s="3">
        <v>0</v>
      </c>
      <c r="M1218" s="3">
        <v>0</v>
      </c>
      <c r="N1218" s="3">
        <v>22</v>
      </c>
      <c r="O1218" s="3">
        <v>0.21</v>
      </c>
      <c r="P1218" s="3">
        <v>0</v>
      </c>
      <c r="Q1218" s="3">
        <v>0</v>
      </c>
      <c r="R1218" s="3">
        <v>0</v>
      </c>
    </row>
    <row r="1219" spans="1:18">
      <c r="A1219" s="3" t="s">
        <v>3043</v>
      </c>
      <c r="B1219" s="3" t="s">
        <v>3044</v>
      </c>
      <c r="C1219" s="3" t="s">
        <v>3044</v>
      </c>
      <c r="D1219" s="3" t="s">
        <v>3045</v>
      </c>
      <c r="E1219" s="3" t="s">
        <v>120</v>
      </c>
      <c r="F1219" s="3">
        <v>39.98</v>
      </c>
      <c r="G1219" s="3" t="s">
        <v>121</v>
      </c>
      <c r="H1219" s="3"/>
      <c r="I1219" s="3" t="s">
        <v>122</v>
      </c>
      <c r="J1219" s="3">
        <v>8</v>
      </c>
      <c r="K1219" s="3">
        <v>8</v>
      </c>
      <c r="L1219" s="3">
        <v>0</v>
      </c>
      <c r="M1219" s="3">
        <v>0</v>
      </c>
      <c r="N1219" s="3">
        <v>8</v>
      </c>
      <c r="O1219" s="3">
        <v>0.1</v>
      </c>
      <c r="P1219" s="3">
        <v>0</v>
      </c>
      <c r="Q1219" s="3">
        <v>0</v>
      </c>
      <c r="R1219" s="3">
        <v>0</v>
      </c>
    </row>
    <row r="1220" spans="1:18">
      <c r="A1220" s="3" t="s">
        <v>3046</v>
      </c>
      <c r="B1220" s="3" t="s">
        <v>3047</v>
      </c>
      <c r="C1220" s="3" t="s">
        <v>3047</v>
      </c>
      <c r="D1220" s="3" t="s">
        <v>3048</v>
      </c>
      <c r="E1220" s="3" t="s">
        <v>120</v>
      </c>
      <c r="F1220" s="3">
        <v>23.98</v>
      </c>
      <c r="G1220" s="3" t="s">
        <v>121</v>
      </c>
      <c r="H1220" s="3"/>
      <c r="I1220" s="3" t="s">
        <v>122</v>
      </c>
      <c r="J1220" s="3">
        <v>52</v>
      </c>
      <c r="K1220" s="3">
        <v>52</v>
      </c>
      <c r="L1220" s="3">
        <v>0</v>
      </c>
      <c r="M1220" s="3">
        <v>0</v>
      </c>
      <c r="N1220" s="3">
        <v>52</v>
      </c>
      <c r="O1220" s="3">
        <v>0.09</v>
      </c>
      <c r="P1220" s="3">
        <v>0</v>
      </c>
      <c r="Q1220" s="3">
        <v>0</v>
      </c>
      <c r="R1220" s="3">
        <v>0</v>
      </c>
    </row>
    <row r="1221" spans="1:18">
      <c r="A1221" s="3" t="s">
        <v>3049</v>
      </c>
      <c r="B1221" s="3" t="s">
        <v>3050</v>
      </c>
      <c r="C1221" s="3" t="s">
        <v>3050</v>
      </c>
      <c r="D1221" s="3" t="s">
        <v>3051</v>
      </c>
      <c r="E1221" s="3" t="s">
        <v>120</v>
      </c>
      <c r="F1221" s="3">
        <v>23.98</v>
      </c>
      <c r="G1221" s="3" t="s">
        <v>121</v>
      </c>
      <c r="H1221" s="3"/>
      <c r="I1221" s="3" t="s">
        <v>122</v>
      </c>
      <c r="J1221" s="3">
        <v>14</v>
      </c>
      <c r="K1221" s="3">
        <v>14</v>
      </c>
      <c r="L1221" s="3">
        <v>0</v>
      </c>
      <c r="M1221" s="3">
        <v>0</v>
      </c>
      <c r="N1221" s="3">
        <v>14</v>
      </c>
      <c r="O1221" s="3">
        <v>0.11</v>
      </c>
      <c r="P1221" s="3">
        <v>0</v>
      </c>
      <c r="Q1221" s="3">
        <v>0</v>
      </c>
      <c r="R1221" s="3">
        <v>0</v>
      </c>
    </row>
    <row r="1222" spans="1:18">
      <c r="A1222" s="3" t="s">
        <v>3052</v>
      </c>
      <c r="B1222" s="3" t="s">
        <v>3053</v>
      </c>
      <c r="C1222" s="3" t="s">
        <v>3053</v>
      </c>
      <c r="D1222" s="3" t="s">
        <v>3054</v>
      </c>
      <c r="E1222" s="3" t="s">
        <v>120</v>
      </c>
      <c r="F1222" s="3">
        <v>23.98</v>
      </c>
      <c r="G1222" s="3" t="s">
        <v>121</v>
      </c>
      <c r="H1222" s="3"/>
      <c r="I1222" s="3" t="s">
        <v>122</v>
      </c>
      <c r="J1222" s="3">
        <v>26</v>
      </c>
      <c r="K1222" s="3">
        <v>26</v>
      </c>
      <c r="L1222" s="3">
        <v>0</v>
      </c>
      <c r="M1222" s="3">
        <v>0</v>
      </c>
      <c r="N1222" s="3">
        <v>26</v>
      </c>
      <c r="O1222" s="3">
        <v>0.21</v>
      </c>
      <c r="P1222" s="3">
        <v>0</v>
      </c>
      <c r="Q1222" s="3">
        <v>0</v>
      </c>
      <c r="R1222" s="3">
        <v>0</v>
      </c>
    </row>
    <row r="1223" spans="1:18">
      <c r="A1223" s="3" t="s">
        <v>3055</v>
      </c>
      <c r="B1223" s="3" t="s">
        <v>3056</v>
      </c>
      <c r="C1223" s="3" t="s">
        <v>3056</v>
      </c>
      <c r="D1223" s="3" t="s">
        <v>3057</v>
      </c>
      <c r="E1223" s="3" t="s">
        <v>120</v>
      </c>
      <c r="F1223" s="3">
        <v>23.98</v>
      </c>
      <c r="G1223" s="3" t="s">
        <v>121</v>
      </c>
      <c r="H1223" s="3"/>
      <c r="I1223" s="3" t="s">
        <v>122</v>
      </c>
      <c r="J1223" s="3">
        <v>0</v>
      </c>
      <c r="K1223" s="3">
        <v>0</v>
      </c>
      <c r="L1223" s="3">
        <v>0</v>
      </c>
      <c r="M1223" s="3">
        <v>0</v>
      </c>
      <c r="N1223" s="3">
        <v>0</v>
      </c>
      <c r="O1223" s="3">
        <v>0.1</v>
      </c>
      <c r="P1223" s="3">
        <v>0</v>
      </c>
      <c r="Q1223" s="3">
        <v>0</v>
      </c>
      <c r="R1223" s="3">
        <v>0</v>
      </c>
    </row>
    <row r="1224" spans="1:18">
      <c r="A1224" s="3" t="s">
        <v>3058</v>
      </c>
      <c r="B1224" s="3" t="s">
        <v>3059</v>
      </c>
      <c r="C1224" s="3" t="s">
        <v>3059</v>
      </c>
      <c r="D1224" s="3" t="s">
        <v>3060</v>
      </c>
      <c r="E1224" s="3" t="s">
        <v>120</v>
      </c>
      <c r="F1224" s="3">
        <v>39.98</v>
      </c>
      <c r="G1224" s="3" t="s">
        <v>121</v>
      </c>
      <c r="H1224" s="3"/>
      <c r="I1224" s="3" t="s">
        <v>122</v>
      </c>
      <c r="J1224" s="3">
        <v>8</v>
      </c>
      <c r="K1224" s="3">
        <v>8</v>
      </c>
      <c r="L1224" s="3">
        <v>0</v>
      </c>
      <c r="M1224" s="3">
        <v>0</v>
      </c>
      <c r="N1224" s="3">
        <v>8</v>
      </c>
      <c r="O1224" s="3">
        <v>0.1</v>
      </c>
      <c r="P1224" s="3">
        <v>0</v>
      </c>
      <c r="Q1224" s="3">
        <v>0</v>
      </c>
      <c r="R1224" s="3">
        <v>0</v>
      </c>
    </row>
    <row r="1225" spans="1:18">
      <c r="A1225" s="3" t="s">
        <v>3061</v>
      </c>
      <c r="B1225" s="3" t="s">
        <v>3062</v>
      </c>
      <c r="C1225" s="3" t="s">
        <v>3062</v>
      </c>
      <c r="D1225" s="3" t="s">
        <v>3063</v>
      </c>
      <c r="E1225" s="3" t="s">
        <v>120</v>
      </c>
      <c r="F1225" s="3">
        <v>39.98</v>
      </c>
      <c r="G1225" s="3" t="s">
        <v>121</v>
      </c>
      <c r="H1225" s="3"/>
      <c r="I1225" s="3" t="s">
        <v>122</v>
      </c>
      <c r="J1225" s="3">
        <v>49</v>
      </c>
      <c r="K1225" s="3">
        <v>49</v>
      </c>
      <c r="L1225" s="3">
        <v>0</v>
      </c>
      <c r="M1225" s="3">
        <v>0</v>
      </c>
      <c r="N1225" s="3">
        <v>49</v>
      </c>
      <c r="O1225" s="3">
        <v>0.21</v>
      </c>
      <c r="P1225" s="3">
        <v>0</v>
      </c>
      <c r="Q1225" s="3">
        <v>0</v>
      </c>
      <c r="R1225" s="3">
        <v>0</v>
      </c>
    </row>
    <row r="1226" spans="1:18">
      <c r="A1226" s="3" t="s">
        <v>3064</v>
      </c>
      <c r="B1226" s="3" t="s">
        <v>3065</v>
      </c>
      <c r="C1226" s="3" t="s">
        <v>3065</v>
      </c>
      <c r="D1226" s="3" t="s">
        <v>3066</v>
      </c>
      <c r="E1226" s="3" t="s">
        <v>120</v>
      </c>
      <c r="F1226" s="3">
        <v>39.98</v>
      </c>
      <c r="G1226" s="3" t="s">
        <v>121</v>
      </c>
      <c r="H1226" s="3"/>
      <c r="I1226" s="3" t="s">
        <v>122</v>
      </c>
      <c r="J1226" s="3">
        <v>30</v>
      </c>
      <c r="K1226" s="3">
        <v>30</v>
      </c>
      <c r="L1226" s="3">
        <v>0</v>
      </c>
      <c r="M1226" s="3">
        <v>0</v>
      </c>
      <c r="N1226" s="3">
        <v>30</v>
      </c>
      <c r="O1226" s="3">
        <v>0.21</v>
      </c>
      <c r="P1226" s="3">
        <v>0</v>
      </c>
      <c r="Q1226" s="3">
        <v>0</v>
      </c>
      <c r="R1226" s="3">
        <v>0</v>
      </c>
    </row>
    <row r="1227" spans="1:18">
      <c r="A1227" s="3" t="s">
        <v>3067</v>
      </c>
      <c r="B1227" s="3" t="s">
        <v>3068</v>
      </c>
      <c r="C1227" s="3" t="s">
        <v>3068</v>
      </c>
      <c r="D1227" s="3" t="s">
        <v>2098</v>
      </c>
      <c r="E1227" s="3" t="s">
        <v>120</v>
      </c>
      <c r="F1227" s="3">
        <v>39.98</v>
      </c>
      <c r="G1227" s="3" t="s">
        <v>121</v>
      </c>
      <c r="H1227" s="3"/>
      <c r="I1227" s="3" t="s">
        <v>122</v>
      </c>
      <c r="J1227" s="3">
        <v>10</v>
      </c>
      <c r="K1227" s="3">
        <v>10</v>
      </c>
      <c r="L1227" s="3">
        <v>0</v>
      </c>
      <c r="M1227" s="3">
        <v>0</v>
      </c>
      <c r="N1227" s="3">
        <v>10</v>
      </c>
      <c r="O1227" s="3">
        <v>0.1</v>
      </c>
      <c r="P1227" s="3">
        <v>0</v>
      </c>
      <c r="Q1227" s="3">
        <v>0</v>
      </c>
      <c r="R1227" s="3">
        <v>0</v>
      </c>
    </row>
    <row r="1228" spans="1:18">
      <c r="A1228" s="3" t="s">
        <v>3069</v>
      </c>
      <c r="B1228" s="3" t="s">
        <v>3070</v>
      </c>
      <c r="C1228" s="3" t="s">
        <v>3070</v>
      </c>
      <c r="D1228" s="3" t="s">
        <v>3071</v>
      </c>
      <c r="E1228" s="3" t="s">
        <v>120</v>
      </c>
      <c r="F1228" s="3">
        <v>23.98</v>
      </c>
      <c r="G1228" s="3" t="s">
        <v>121</v>
      </c>
      <c r="H1228" s="3"/>
      <c r="I1228" s="3" t="s">
        <v>122</v>
      </c>
      <c r="J1228" s="3">
        <v>29</v>
      </c>
      <c r="K1228" s="3">
        <v>28</v>
      </c>
      <c r="L1228" s="3">
        <v>0</v>
      </c>
      <c r="M1228" s="3">
        <v>1</v>
      </c>
      <c r="N1228" s="3">
        <v>29</v>
      </c>
      <c r="O1228" s="3">
        <v>0.09</v>
      </c>
      <c r="P1228" s="3">
        <v>0</v>
      </c>
      <c r="Q1228" s="3">
        <v>0</v>
      </c>
      <c r="R1228" s="3">
        <v>0</v>
      </c>
    </row>
    <row r="1229" spans="1:18">
      <c r="A1229" s="3" t="s">
        <v>3072</v>
      </c>
      <c r="B1229" s="3" t="s">
        <v>3073</v>
      </c>
      <c r="C1229" s="3" t="s">
        <v>3073</v>
      </c>
      <c r="D1229" s="3" t="s">
        <v>3074</v>
      </c>
      <c r="E1229" s="3" t="s">
        <v>120</v>
      </c>
      <c r="F1229" s="3">
        <v>23.98</v>
      </c>
      <c r="G1229" s="3" t="s">
        <v>121</v>
      </c>
      <c r="H1229" s="3"/>
      <c r="I1229" s="3" t="s">
        <v>122</v>
      </c>
      <c r="J1229" s="3">
        <v>11</v>
      </c>
      <c r="K1229" s="3">
        <v>10</v>
      </c>
      <c r="L1229" s="3">
        <v>0</v>
      </c>
      <c r="M1229" s="3">
        <v>1</v>
      </c>
      <c r="N1229" s="3">
        <v>17</v>
      </c>
      <c r="O1229" s="3">
        <v>0.11</v>
      </c>
      <c r="P1229" s="3">
        <v>0</v>
      </c>
      <c r="Q1229" s="3">
        <v>6</v>
      </c>
      <c r="R1229" s="3">
        <v>0</v>
      </c>
    </row>
    <row r="1230" spans="1:18">
      <c r="A1230" s="3" t="s">
        <v>3075</v>
      </c>
      <c r="B1230" s="3" t="s">
        <v>3076</v>
      </c>
      <c r="C1230" s="3" t="s">
        <v>3076</v>
      </c>
      <c r="D1230" s="3" t="s">
        <v>3077</v>
      </c>
      <c r="E1230" s="3" t="s">
        <v>120</v>
      </c>
      <c r="F1230" s="3">
        <v>23.98</v>
      </c>
      <c r="G1230" s="3" t="s">
        <v>121</v>
      </c>
      <c r="H1230" s="3"/>
      <c r="I1230" s="3" t="s">
        <v>122</v>
      </c>
      <c r="J1230" s="3">
        <v>17</v>
      </c>
      <c r="K1230" s="3">
        <v>17</v>
      </c>
      <c r="L1230" s="3">
        <v>0</v>
      </c>
      <c r="M1230" s="3">
        <v>0</v>
      </c>
      <c r="N1230" s="3">
        <v>17</v>
      </c>
      <c r="O1230" s="3">
        <v>0.08</v>
      </c>
      <c r="P1230" s="3">
        <v>0</v>
      </c>
      <c r="Q1230" s="3">
        <v>0</v>
      </c>
      <c r="R1230" s="3">
        <v>0</v>
      </c>
    </row>
    <row r="1231" spans="1:18">
      <c r="A1231" s="3" t="s">
        <v>3078</v>
      </c>
      <c r="B1231" s="3" t="s">
        <v>3079</v>
      </c>
      <c r="C1231" s="3" t="s">
        <v>3079</v>
      </c>
      <c r="D1231" s="3" t="s">
        <v>3080</v>
      </c>
      <c r="E1231" s="3" t="s">
        <v>120</v>
      </c>
      <c r="F1231" s="3">
        <v>23.98</v>
      </c>
      <c r="G1231" s="3" t="s">
        <v>121</v>
      </c>
      <c r="H1231" s="3"/>
      <c r="I1231" s="3" t="s">
        <v>122</v>
      </c>
      <c r="J1231" s="3">
        <v>12</v>
      </c>
      <c r="K1231" s="3">
        <v>12</v>
      </c>
      <c r="L1231" s="3">
        <v>0</v>
      </c>
      <c r="M1231" s="3">
        <v>0</v>
      </c>
      <c r="N1231" s="3">
        <v>12</v>
      </c>
      <c r="O1231" s="3">
        <v>0.08</v>
      </c>
      <c r="P1231" s="3">
        <v>0</v>
      </c>
      <c r="Q1231" s="3">
        <v>0</v>
      </c>
      <c r="R1231" s="3">
        <v>0</v>
      </c>
    </row>
    <row r="1232" spans="1:18">
      <c r="A1232" s="3" t="s">
        <v>3081</v>
      </c>
      <c r="B1232" s="3" t="s">
        <v>3082</v>
      </c>
      <c r="C1232" s="3" t="s">
        <v>3082</v>
      </c>
      <c r="D1232" s="3" t="s">
        <v>3083</v>
      </c>
      <c r="E1232" s="3" t="s">
        <v>120</v>
      </c>
      <c r="F1232" s="3">
        <v>39.98</v>
      </c>
      <c r="G1232" s="3" t="s">
        <v>121</v>
      </c>
      <c r="H1232" s="3"/>
      <c r="I1232" s="3" t="s">
        <v>122</v>
      </c>
      <c r="J1232" s="3">
        <v>40</v>
      </c>
      <c r="K1232" s="3">
        <v>40</v>
      </c>
      <c r="L1232" s="3">
        <v>0</v>
      </c>
      <c r="M1232" s="3">
        <v>0</v>
      </c>
      <c r="N1232" s="3">
        <v>40</v>
      </c>
      <c r="O1232" s="3">
        <v>0.21</v>
      </c>
      <c r="P1232" s="3">
        <v>0</v>
      </c>
      <c r="Q1232" s="3">
        <v>0</v>
      </c>
      <c r="R1232" s="3">
        <v>0</v>
      </c>
    </row>
    <row r="1233" spans="1:18">
      <c r="A1233" s="3" t="s">
        <v>3084</v>
      </c>
      <c r="B1233" s="3" t="s">
        <v>3085</v>
      </c>
      <c r="C1233" s="3" t="s">
        <v>3085</v>
      </c>
      <c r="D1233" s="3" t="s">
        <v>3086</v>
      </c>
      <c r="E1233" s="3" t="s">
        <v>120</v>
      </c>
      <c r="F1233" s="3">
        <v>23.98</v>
      </c>
      <c r="G1233" s="3" t="s">
        <v>121</v>
      </c>
      <c r="H1233" s="3"/>
      <c r="I1233" s="3" t="s">
        <v>122</v>
      </c>
      <c r="J1233" s="3">
        <v>2</v>
      </c>
      <c r="K1233" s="3">
        <v>0</v>
      </c>
      <c r="L1233" s="3">
        <v>1</v>
      </c>
      <c r="M1233" s="3">
        <v>1</v>
      </c>
      <c r="N1233" s="3">
        <v>33</v>
      </c>
      <c r="O1233" s="3">
        <v>0.21</v>
      </c>
      <c r="P1233" s="3">
        <v>0</v>
      </c>
      <c r="Q1233" s="3">
        <v>31</v>
      </c>
      <c r="R1233" s="3">
        <v>0</v>
      </c>
    </row>
    <row r="1234" spans="1:18">
      <c r="A1234" s="3" t="s">
        <v>3087</v>
      </c>
      <c r="B1234" s="3" t="s">
        <v>3088</v>
      </c>
      <c r="C1234" s="3" t="s">
        <v>3088</v>
      </c>
      <c r="D1234" s="3" t="s">
        <v>3089</v>
      </c>
      <c r="E1234" s="3" t="s">
        <v>120</v>
      </c>
      <c r="F1234" s="3">
        <v>23.98</v>
      </c>
      <c r="G1234" s="3" t="s">
        <v>121</v>
      </c>
      <c r="H1234" s="3"/>
      <c r="I1234" s="3" t="s">
        <v>122</v>
      </c>
      <c r="J1234" s="3">
        <v>0</v>
      </c>
      <c r="K1234" s="3">
        <v>0</v>
      </c>
      <c r="L1234" s="3">
        <v>0</v>
      </c>
      <c r="M1234" s="3">
        <v>0</v>
      </c>
      <c r="N1234" s="3">
        <v>0</v>
      </c>
      <c r="O1234" s="3">
        <v>0.11</v>
      </c>
      <c r="P1234" s="3">
        <v>0</v>
      </c>
      <c r="Q1234" s="3">
        <v>0</v>
      </c>
      <c r="R1234" s="3">
        <v>0</v>
      </c>
    </row>
    <row r="1235" spans="1:18">
      <c r="A1235" s="3" t="s">
        <v>3090</v>
      </c>
      <c r="B1235" s="3" t="s">
        <v>3091</v>
      </c>
      <c r="C1235" s="3" t="s">
        <v>3091</v>
      </c>
      <c r="D1235" s="3" t="s">
        <v>3092</v>
      </c>
      <c r="E1235" s="3" t="s">
        <v>120</v>
      </c>
      <c r="F1235" s="3">
        <v>39.98</v>
      </c>
      <c r="G1235" s="3" t="s">
        <v>121</v>
      </c>
      <c r="H1235" s="3"/>
      <c r="I1235" s="3" t="s">
        <v>122</v>
      </c>
      <c r="J1235" s="3">
        <v>0</v>
      </c>
      <c r="K1235" s="3">
        <v>0</v>
      </c>
      <c r="L1235" s="3">
        <v>0</v>
      </c>
      <c r="M1235" s="3">
        <v>0</v>
      </c>
      <c r="N1235" s="3">
        <v>0</v>
      </c>
      <c r="O1235" s="3">
        <v>0.14</v>
      </c>
      <c r="P1235" s="3">
        <v>0</v>
      </c>
      <c r="Q1235" s="3">
        <v>0</v>
      </c>
      <c r="R1235" s="3">
        <v>0</v>
      </c>
    </row>
    <row r="1236" spans="1:18">
      <c r="A1236" s="3" t="s">
        <v>3093</v>
      </c>
      <c r="B1236" s="3" t="s">
        <v>3094</v>
      </c>
      <c r="C1236" s="3" t="s">
        <v>3094</v>
      </c>
      <c r="D1236" s="3" t="s">
        <v>3095</v>
      </c>
      <c r="E1236" s="3" t="s">
        <v>120</v>
      </c>
      <c r="F1236" s="3">
        <v>39.98</v>
      </c>
      <c r="G1236" s="3" t="s">
        <v>121</v>
      </c>
      <c r="H1236" s="3"/>
      <c r="I1236" s="3" t="s">
        <v>122</v>
      </c>
      <c r="J1236" s="3">
        <v>0</v>
      </c>
      <c r="K1236" s="3">
        <v>0</v>
      </c>
      <c r="L1236" s="3">
        <v>0</v>
      </c>
      <c r="M1236" s="3">
        <v>0</v>
      </c>
      <c r="N1236" s="3">
        <v>0</v>
      </c>
      <c r="O1236" s="3">
        <v>0.14</v>
      </c>
      <c r="P1236" s="3">
        <v>0</v>
      </c>
      <c r="Q1236" s="3">
        <v>0</v>
      </c>
      <c r="R1236" s="3">
        <v>0</v>
      </c>
    </row>
    <row r="1237" spans="1:18">
      <c r="A1237" s="3" t="s">
        <v>3096</v>
      </c>
      <c r="B1237" s="3" t="s">
        <v>3097</v>
      </c>
      <c r="C1237" s="3" t="s">
        <v>3097</v>
      </c>
      <c r="D1237" s="3" t="s">
        <v>3098</v>
      </c>
      <c r="E1237" s="3" t="s">
        <v>120</v>
      </c>
      <c r="F1237" s="3">
        <v>39.98</v>
      </c>
      <c r="G1237" s="3" t="s">
        <v>121</v>
      </c>
      <c r="H1237" s="3"/>
      <c r="I1237" s="3" t="s">
        <v>122</v>
      </c>
      <c r="J1237" s="3">
        <v>1</v>
      </c>
      <c r="K1237" s="3">
        <v>0</v>
      </c>
      <c r="L1237" s="3">
        <v>0</v>
      </c>
      <c r="M1237" s="3">
        <v>1</v>
      </c>
      <c r="N1237" s="3">
        <v>1</v>
      </c>
      <c r="O1237" s="3">
        <v>0.14</v>
      </c>
      <c r="P1237" s="3">
        <v>0</v>
      </c>
      <c r="Q1237" s="3">
        <v>0</v>
      </c>
      <c r="R1237" s="3">
        <v>0</v>
      </c>
    </row>
    <row r="1238" spans="1:18">
      <c r="A1238" s="3" t="s">
        <v>3099</v>
      </c>
      <c r="B1238" s="3" t="s">
        <v>3100</v>
      </c>
      <c r="C1238" s="3" t="s">
        <v>3100</v>
      </c>
      <c r="D1238" s="3" t="s">
        <v>3101</v>
      </c>
      <c r="E1238" s="3" t="s">
        <v>120</v>
      </c>
      <c r="F1238" s="3">
        <v>39.98</v>
      </c>
      <c r="G1238" s="3" t="s">
        <v>121</v>
      </c>
      <c r="H1238" s="3"/>
      <c r="I1238" s="3" t="s">
        <v>122</v>
      </c>
      <c r="J1238" s="3">
        <v>3</v>
      </c>
      <c r="K1238" s="3">
        <v>3</v>
      </c>
      <c r="L1238" s="3">
        <v>0</v>
      </c>
      <c r="M1238" s="3">
        <v>0</v>
      </c>
      <c r="N1238" s="3">
        <v>3</v>
      </c>
      <c r="O1238" s="3">
        <v>0.14</v>
      </c>
      <c r="P1238" s="3">
        <v>0</v>
      </c>
      <c r="Q1238" s="3">
        <v>0</v>
      </c>
      <c r="R1238" s="3">
        <v>0</v>
      </c>
    </row>
    <row r="1239" spans="1:18">
      <c r="A1239" s="3" t="s">
        <v>3102</v>
      </c>
      <c r="B1239" s="3" t="s">
        <v>3103</v>
      </c>
      <c r="C1239" s="3" t="s">
        <v>3103</v>
      </c>
      <c r="D1239" s="3" t="s">
        <v>3104</v>
      </c>
      <c r="E1239" s="3" t="s">
        <v>120</v>
      </c>
      <c r="F1239" s="3">
        <v>39.98</v>
      </c>
      <c r="G1239" s="3" t="s">
        <v>121</v>
      </c>
      <c r="H1239" s="3"/>
      <c r="I1239" s="3" t="s">
        <v>122</v>
      </c>
      <c r="J1239" s="3">
        <v>0</v>
      </c>
      <c r="K1239" s="3">
        <v>0</v>
      </c>
      <c r="L1239" s="3">
        <v>0</v>
      </c>
      <c r="M1239" s="3">
        <v>0</v>
      </c>
      <c r="N1239" s="3">
        <v>0</v>
      </c>
      <c r="O1239" s="3">
        <v>0.14</v>
      </c>
      <c r="P1239" s="3">
        <v>0</v>
      </c>
      <c r="Q1239" s="3">
        <v>0</v>
      </c>
      <c r="R1239" s="3">
        <v>0</v>
      </c>
    </row>
    <row r="1240" spans="1:18">
      <c r="A1240" s="3" t="s">
        <v>3105</v>
      </c>
      <c r="B1240" s="3" t="s">
        <v>3106</v>
      </c>
      <c r="C1240" s="3" t="s">
        <v>3106</v>
      </c>
      <c r="D1240" s="3" t="s">
        <v>3107</v>
      </c>
      <c r="E1240" s="3" t="s">
        <v>120</v>
      </c>
      <c r="F1240" s="3">
        <v>39.98</v>
      </c>
      <c r="G1240" s="3" t="s">
        <v>121</v>
      </c>
      <c r="H1240" s="3"/>
      <c r="I1240" s="3" t="s">
        <v>122</v>
      </c>
      <c r="J1240" s="3">
        <v>0</v>
      </c>
      <c r="K1240" s="3">
        <v>0</v>
      </c>
      <c r="L1240" s="3">
        <v>0</v>
      </c>
      <c r="M1240" s="3">
        <v>0</v>
      </c>
      <c r="N1240" s="3">
        <v>0</v>
      </c>
      <c r="O1240" s="3">
        <v>0.14</v>
      </c>
      <c r="P1240" s="3">
        <v>0</v>
      </c>
      <c r="Q1240" s="3">
        <v>0</v>
      </c>
      <c r="R1240" s="3">
        <v>0</v>
      </c>
    </row>
    <row r="1241" spans="1:18">
      <c r="A1241" s="3" t="s">
        <v>3108</v>
      </c>
      <c r="B1241" s="3" t="s">
        <v>3109</v>
      </c>
      <c r="C1241" s="3" t="s">
        <v>3109</v>
      </c>
      <c r="D1241" s="3" t="s">
        <v>3110</v>
      </c>
      <c r="E1241" s="3" t="s">
        <v>120</v>
      </c>
      <c r="F1241" s="3">
        <v>39.98</v>
      </c>
      <c r="G1241" s="3" t="s">
        <v>121</v>
      </c>
      <c r="H1241" s="3"/>
      <c r="I1241" s="3" t="s">
        <v>122</v>
      </c>
      <c r="J1241" s="3">
        <v>0</v>
      </c>
      <c r="K1241" s="3">
        <v>0</v>
      </c>
      <c r="L1241" s="3">
        <v>0</v>
      </c>
      <c r="M1241" s="3">
        <v>0</v>
      </c>
      <c r="N1241" s="3">
        <v>0</v>
      </c>
      <c r="O1241" s="3">
        <v>0.14</v>
      </c>
      <c r="P1241" s="3">
        <v>0</v>
      </c>
      <c r="Q1241" s="3">
        <v>0</v>
      </c>
      <c r="R1241" s="3">
        <v>0</v>
      </c>
    </row>
    <row r="1242" spans="1:18">
      <c r="A1242" s="3" t="s">
        <v>3111</v>
      </c>
      <c r="B1242" s="3" t="s">
        <v>3112</v>
      </c>
      <c r="C1242" s="3" t="s">
        <v>3112</v>
      </c>
      <c r="D1242" s="3" t="s">
        <v>3113</v>
      </c>
      <c r="E1242" s="3" t="s">
        <v>120</v>
      </c>
      <c r="F1242" s="3">
        <v>39.98</v>
      </c>
      <c r="G1242" s="3" t="s">
        <v>121</v>
      </c>
      <c r="H1242" s="3"/>
      <c r="I1242" s="3" t="s">
        <v>122</v>
      </c>
      <c r="J1242" s="3">
        <v>0</v>
      </c>
      <c r="K1242" s="3">
        <v>0</v>
      </c>
      <c r="L1242" s="3">
        <v>0</v>
      </c>
      <c r="M1242" s="3">
        <v>0</v>
      </c>
      <c r="N1242" s="3">
        <v>0</v>
      </c>
      <c r="O1242" s="3">
        <v>0.14</v>
      </c>
      <c r="P1242" s="3">
        <v>0</v>
      </c>
      <c r="Q1242" s="3">
        <v>0</v>
      </c>
      <c r="R1242" s="3">
        <v>0</v>
      </c>
    </row>
    <row r="1243" spans="1:18">
      <c r="A1243" s="3" t="s">
        <v>3114</v>
      </c>
      <c r="B1243" s="3" t="s">
        <v>3115</v>
      </c>
      <c r="C1243" s="3" t="s">
        <v>3115</v>
      </c>
      <c r="D1243" s="3" t="s">
        <v>3116</v>
      </c>
      <c r="E1243" s="3" t="s">
        <v>120</v>
      </c>
      <c r="F1243" s="3">
        <v>39.98</v>
      </c>
      <c r="G1243" s="3" t="s">
        <v>121</v>
      </c>
      <c r="H1243" s="3"/>
      <c r="I1243" s="3" t="s">
        <v>122</v>
      </c>
      <c r="J1243" s="3">
        <v>2</v>
      </c>
      <c r="K1243" s="3">
        <v>2</v>
      </c>
      <c r="L1243" s="3">
        <v>0</v>
      </c>
      <c r="M1243" s="3">
        <v>0</v>
      </c>
      <c r="N1243" s="3">
        <v>2</v>
      </c>
      <c r="O1243" s="3">
        <v>0.14</v>
      </c>
      <c r="P1243" s="3">
        <v>0</v>
      </c>
      <c r="Q1243" s="3">
        <v>0</v>
      </c>
      <c r="R1243" s="3">
        <v>0</v>
      </c>
    </row>
    <row r="1244" spans="1:18">
      <c r="A1244" s="3" t="s">
        <v>3117</v>
      </c>
      <c r="B1244" s="3" t="s">
        <v>3118</v>
      </c>
      <c r="C1244" s="3" t="s">
        <v>3118</v>
      </c>
      <c r="D1244" s="3" t="s">
        <v>3119</v>
      </c>
      <c r="E1244" s="3" t="s">
        <v>120</v>
      </c>
      <c r="F1244" s="3">
        <v>39.98</v>
      </c>
      <c r="G1244" s="3" t="s">
        <v>121</v>
      </c>
      <c r="H1244" s="3"/>
      <c r="I1244" s="3" t="s">
        <v>122</v>
      </c>
      <c r="J1244" s="3">
        <v>0</v>
      </c>
      <c r="K1244" s="3">
        <v>0</v>
      </c>
      <c r="L1244" s="3">
        <v>0</v>
      </c>
      <c r="M1244" s="3">
        <v>0</v>
      </c>
      <c r="N1244" s="3">
        <v>0</v>
      </c>
      <c r="O1244" s="3">
        <v>0.14</v>
      </c>
      <c r="P1244" s="3">
        <v>0</v>
      </c>
      <c r="Q1244" s="3">
        <v>0</v>
      </c>
      <c r="R1244" s="3">
        <v>0</v>
      </c>
    </row>
    <row r="1245" spans="1:18">
      <c r="A1245" s="3" t="s">
        <v>3120</v>
      </c>
      <c r="B1245" s="3" t="s">
        <v>3121</v>
      </c>
      <c r="C1245" s="3" t="s">
        <v>3121</v>
      </c>
      <c r="D1245" s="3" t="s">
        <v>3122</v>
      </c>
      <c r="E1245" s="3" t="s">
        <v>120</v>
      </c>
      <c r="F1245" s="3">
        <v>39.98</v>
      </c>
      <c r="G1245" s="3" t="s">
        <v>121</v>
      </c>
      <c r="H1245" s="3"/>
      <c r="I1245" s="3" t="s">
        <v>122</v>
      </c>
      <c r="J1245" s="3">
        <v>1</v>
      </c>
      <c r="K1245" s="3">
        <v>1</v>
      </c>
      <c r="L1245" s="3">
        <v>0</v>
      </c>
      <c r="M1245" s="3">
        <v>0</v>
      </c>
      <c r="N1245" s="3">
        <v>1</v>
      </c>
      <c r="O1245" s="3">
        <v>0.14</v>
      </c>
      <c r="P1245" s="3">
        <v>0</v>
      </c>
      <c r="Q1245" s="3">
        <v>0</v>
      </c>
      <c r="R1245" s="3">
        <v>0</v>
      </c>
    </row>
    <row r="1246" spans="1:18">
      <c r="A1246" s="3" t="s">
        <v>3123</v>
      </c>
      <c r="B1246" s="3" t="s">
        <v>3124</v>
      </c>
      <c r="C1246" s="3" t="s">
        <v>3124</v>
      </c>
      <c r="D1246" s="3" t="s">
        <v>3125</v>
      </c>
      <c r="E1246" s="3" t="s">
        <v>120</v>
      </c>
      <c r="F1246" s="3">
        <v>39.98</v>
      </c>
      <c r="G1246" s="3" t="s">
        <v>121</v>
      </c>
      <c r="H1246" s="3"/>
      <c r="I1246" s="3" t="s">
        <v>122</v>
      </c>
      <c r="J1246" s="3">
        <v>1</v>
      </c>
      <c r="K1246" s="3">
        <v>1</v>
      </c>
      <c r="L1246" s="3">
        <v>0</v>
      </c>
      <c r="M1246" s="3">
        <v>0</v>
      </c>
      <c r="N1246" s="3">
        <v>1</v>
      </c>
      <c r="O1246" s="3">
        <v>0.14</v>
      </c>
      <c r="P1246" s="3">
        <v>0</v>
      </c>
      <c r="Q1246" s="3">
        <v>0</v>
      </c>
      <c r="R1246" s="3">
        <v>0</v>
      </c>
    </row>
    <row r="1247" spans="1:18">
      <c r="A1247" s="3" t="s">
        <v>3126</v>
      </c>
      <c r="B1247" s="3" t="s">
        <v>3127</v>
      </c>
      <c r="C1247" s="3" t="s">
        <v>3127</v>
      </c>
      <c r="D1247" s="3" t="s">
        <v>3128</v>
      </c>
      <c r="E1247" s="3" t="s">
        <v>120</v>
      </c>
      <c r="F1247" s="3">
        <v>39.98</v>
      </c>
      <c r="G1247" s="3" t="s">
        <v>121</v>
      </c>
      <c r="H1247" s="3"/>
      <c r="I1247" s="3" t="s">
        <v>122</v>
      </c>
      <c r="J1247" s="3">
        <v>0</v>
      </c>
      <c r="K1247" s="3">
        <v>0</v>
      </c>
      <c r="L1247" s="3">
        <v>0</v>
      </c>
      <c r="M1247" s="3">
        <v>0</v>
      </c>
      <c r="N1247" s="3">
        <v>0</v>
      </c>
      <c r="O1247" s="3">
        <v>0.08</v>
      </c>
      <c r="P1247" s="3">
        <v>0</v>
      </c>
      <c r="Q1247" s="3">
        <v>0</v>
      </c>
      <c r="R1247" s="3">
        <v>0</v>
      </c>
    </row>
    <row r="1248" spans="1:18">
      <c r="A1248" s="3" t="s">
        <v>3129</v>
      </c>
      <c r="B1248" s="3" t="s">
        <v>3130</v>
      </c>
      <c r="C1248" s="3" t="s">
        <v>3130</v>
      </c>
      <c r="D1248" s="3" t="s">
        <v>3131</v>
      </c>
      <c r="E1248" s="3" t="s">
        <v>120</v>
      </c>
      <c r="F1248" s="3">
        <v>39.98</v>
      </c>
      <c r="G1248" s="3" t="s">
        <v>121</v>
      </c>
      <c r="H1248" s="3"/>
      <c r="I1248" s="3" t="s">
        <v>122</v>
      </c>
      <c r="J1248" s="3">
        <v>4</v>
      </c>
      <c r="K1248" s="3">
        <v>4</v>
      </c>
      <c r="L1248" s="3">
        <v>0</v>
      </c>
      <c r="M1248" s="3">
        <v>0</v>
      </c>
      <c r="N1248" s="3">
        <v>4</v>
      </c>
      <c r="O1248" s="3">
        <v>0.08</v>
      </c>
      <c r="P1248" s="3">
        <v>0</v>
      </c>
      <c r="Q1248" s="3">
        <v>0</v>
      </c>
      <c r="R1248" s="3">
        <v>0</v>
      </c>
    </row>
    <row r="1249" spans="1:18">
      <c r="A1249" s="3" t="s">
        <v>3132</v>
      </c>
      <c r="B1249" s="3" t="s">
        <v>3133</v>
      </c>
      <c r="C1249" s="3" t="s">
        <v>3133</v>
      </c>
      <c r="D1249" s="3" t="s">
        <v>3134</v>
      </c>
      <c r="E1249" s="3" t="s">
        <v>120</v>
      </c>
      <c r="F1249" s="3">
        <v>39.98</v>
      </c>
      <c r="G1249" s="3" t="s">
        <v>121</v>
      </c>
      <c r="H1249" s="3"/>
      <c r="I1249" s="3" t="s">
        <v>122</v>
      </c>
      <c r="J1249" s="3">
        <v>5</v>
      </c>
      <c r="K1249" s="3">
        <v>5</v>
      </c>
      <c r="L1249" s="3">
        <v>0</v>
      </c>
      <c r="M1249" s="3">
        <v>0</v>
      </c>
      <c r="N1249" s="3">
        <v>5</v>
      </c>
      <c r="O1249" s="3">
        <v>0.08</v>
      </c>
      <c r="P1249" s="3">
        <v>0</v>
      </c>
      <c r="Q1249" s="3">
        <v>0</v>
      </c>
      <c r="R1249" s="3">
        <v>0</v>
      </c>
    </row>
    <row r="1250" spans="1:18">
      <c r="A1250" s="3" t="s">
        <v>3135</v>
      </c>
      <c r="B1250" s="3" t="s">
        <v>3136</v>
      </c>
      <c r="C1250" s="3" t="s">
        <v>3136</v>
      </c>
      <c r="D1250" s="3" t="s">
        <v>3137</v>
      </c>
      <c r="E1250" s="3" t="s">
        <v>120</v>
      </c>
      <c r="F1250" s="3">
        <v>39.98</v>
      </c>
      <c r="G1250" s="3" t="s">
        <v>121</v>
      </c>
      <c r="H1250" s="3"/>
      <c r="I1250" s="3" t="s">
        <v>122</v>
      </c>
      <c r="J1250" s="3">
        <v>0</v>
      </c>
      <c r="K1250" s="3">
        <v>0</v>
      </c>
      <c r="L1250" s="3">
        <v>0</v>
      </c>
      <c r="M1250" s="3">
        <v>0</v>
      </c>
      <c r="N1250" s="3">
        <v>0</v>
      </c>
      <c r="O1250" s="3">
        <v>0.08</v>
      </c>
      <c r="P1250" s="3">
        <v>0</v>
      </c>
      <c r="Q1250" s="3">
        <v>0</v>
      </c>
      <c r="R1250" s="3">
        <v>0</v>
      </c>
    </row>
    <row r="1251" spans="1:18">
      <c r="A1251" s="3" t="s">
        <v>3138</v>
      </c>
      <c r="B1251" s="3" t="s">
        <v>3139</v>
      </c>
      <c r="C1251" s="3" t="s">
        <v>3139</v>
      </c>
      <c r="D1251" s="3" t="s">
        <v>3140</v>
      </c>
      <c r="E1251" s="3" t="s">
        <v>120</v>
      </c>
      <c r="F1251" s="3">
        <v>39.98</v>
      </c>
      <c r="G1251" s="3" t="s">
        <v>121</v>
      </c>
      <c r="H1251" s="3"/>
      <c r="I1251" s="3" t="s">
        <v>122</v>
      </c>
      <c r="J1251" s="3">
        <v>0</v>
      </c>
      <c r="K1251" s="3">
        <v>0</v>
      </c>
      <c r="L1251" s="3">
        <v>0</v>
      </c>
      <c r="M1251" s="3">
        <v>0</v>
      </c>
      <c r="N1251" s="3">
        <v>0</v>
      </c>
      <c r="O1251" s="3">
        <v>0.08</v>
      </c>
      <c r="P1251" s="3">
        <v>0</v>
      </c>
      <c r="Q1251" s="3">
        <v>0</v>
      </c>
      <c r="R1251" s="3">
        <v>0</v>
      </c>
    </row>
    <row r="1252" spans="1:18">
      <c r="A1252" s="3" t="s">
        <v>3141</v>
      </c>
      <c r="B1252" s="3" t="s">
        <v>3142</v>
      </c>
      <c r="C1252" s="3" t="s">
        <v>3142</v>
      </c>
      <c r="D1252" s="3" t="s">
        <v>3143</v>
      </c>
      <c r="E1252" s="3" t="s">
        <v>120</v>
      </c>
      <c r="F1252" s="3">
        <v>39.98</v>
      </c>
      <c r="G1252" s="3" t="s">
        <v>121</v>
      </c>
      <c r="H1252" s="3"/>
      <c r="I1252" s="3" t="s">
        <v>122</v>
      </c>
      <c r="J1252" s="3">
        <v>0</v>
      </c>
      <c r="K1252" s="3">
        <v>0</v>
      </c>
      <c r="L1252" s="3">
        <v>0</v>
      </c>
      <c r="M1252" s="3">
        <v>0</v>
      </c>
      <c r="N1252" s="3">
        <v>0</v>
      </c>
      <c r="O1252" s="3">
        <v>0.08</v>
      </c>
      <c r="P1252" s="3">
        <v>0</v>
      </c>
      <c r="Q1252" s="3">
        <v>0</v>
      </c>
      <c r="R1252" s="3">
        <v>0</v>
      </c>
    </row>
    <row r="1253" spans="1:18">
      <c r="A1253" s="3" t="s">
        <v>3144</v>
      </c>
      <c r="B1253" s="3" t="s">
        <v>3145</v>
      </c>
      <c r="C1253" s="3" t="s">
        <v>3145</v>
      </c>
      <c r="D1253" s="3" t="s">
        <v>3146</v>
      </c>
      <c r="E1253" s="3" t="s">
        <v>120</v>
      </c>
      <c r="F1253" s="3">
        <v>39.98</v>
      </c>
      <c r="G1253" s="3" t="s">
        <v>121</v>
      </c>
      <c r="H1253" s="3"/>
      <c r="I1253" s="3" t="s">
        <v>122</v>
      </c>
      <c r="J1253" s="3">
        <v>0</v>
      </c>
      <c r="K1253" s="3">
        <v>0</v>
      </c>
      <c r="L1253" s="3">
        <v>0</v>
      </c>
      <c r="M1253" s="3">
        <v>0</v>
      </c>
      <c r="N1253" s="3">
        <v>0</v>
      </c>
      <c r="O1253" s="3">
        <v>0.08</v>
      </c>
      <c r="P1253" s="3">
        <v>0</v>
      </c>
      <c r="Q1253" s="3">
        <v>0</v>
      </c>
      <c r="R1253" s="3">
        <v>0</v>
      </c>
    </row>
    <row r="1254" spans="1:18">
      <c r="A1254" s="3" t="s">
        <v>3147</v>
      </c>
      <c r="B1254" s="3" t="s">
        <v>3148</v>
      </c>
      <c r="C1254" s="3" t="s">
        <v>3148</v>
      </c>
      <c r="D1254" s="3" t="s">
        <v>3149</v>
      </c>
      <c r="E1254" s="3" t="s">
        <v>120</v>
      </c>
      <c r="F1254" s="3">
        <v>39.98</v>
      </c>
      <c r="G1254" s="3" t="s">
        <v>121</v>
      </c>
      <c r="H1254" s="3"/>
      <c r="I1254" s="3" t="s">
        <v>122</v>
      </c>
      <c r="J1254" s="3">
        <v>0</v>
      </c>
      <c r="K1254" s="3">
        <v>0</v>
      </c>
      <c r="L1254" s="3">
        <v>0</v>
      </c>
      <c r="M1254" s="3">
        <v>0</v>
      </c>
      <c r="N1254" s="3">
        <v>0</v>
      </c>
      <c r="O1254" s="3">
        <v>0.08</v>
      </c>
      <c r="P1254" s="3">
        <v>0</v>
      </c>
      <c r="Q1254" s="3">
        <v>0</v>
      </c>
      <c r="R1254" s="3">
        <v>0</v>
      </c>
    </row>
    <row r="1255" spans="1:18">
      <c r="A1255" s="3" t="s">
        <v>3150</v>
      </c>
      <c r="B1255" s="3" t="s">
        <v>3151</v>
      </c>
      <c r="C1255" s="3" t="s">
        <v>3151</v>
      </c>
      <c r="D1255" s="3" t="s">
        <v>3152</v>
      </c>
      <c r="E1255" s="3" t="s">
        <v>120</v>
      </c>
      <c r="F1255" s="3">
        <v>39.98</v>
      </c>
      <c r="G1255" s="3" t="s">
        <v>121</v>
      </c>
      <c r="H1255" s="3"/>
      <c r="I1255" s="3" t="s">
        <v>122</v>
      </c>
      <c r="J1255" s="3">
        <v>4</v>
      </c>
      <c r="K1255" s="3">
        <v>4</v>
      </c>
      <c r="L1255" s="3">
        <v>0</v>
      </c>
      <c r="M1255" s="3">
        <v>0</v>
      </c>
      <c r="N1255" s="3">
        <v>4</v>
      </c>
      <c r="O1255" s="3">
        <v>0.08</v>
      </c>
      <c r="P1255" s="3">
        <v>0</v>
      </c>
      <c r="Q1255" s="3">
        <v>0</v>
      </c>
      <c r="R1255" s="3">
        <v>0</v>
      </c>
    </row>
    <row r="1256" spans="1:18">
      <c r="A1256" s="3" t="s">
        <v>3153</v>
      </c>
      <c r="B1256" s="3" t="s">
        <v>3154</v>
      </c>
      <c r="C1256" s="3" t="s">
        <v>3154</v>
      </c>
      <c r="D1256" s="3" t="s">
        <v>3155</v>
      </c>
      <c r="E1256" s="3" t="s">
        <v>120</v>
      </c>
      <c r="F1256" s="3">
        <v>39.98</v>
      </c>
      <c r="G1256" s="3" t="s">
        <v>121</v>
      </c>
      <c r="H1256" s="3"/>
      <c r="I1256" s="3" t="s">
        <v>122</v>
      </c>
      <c r="J1256" s="3">
        <v>0</v>
      </c>
      <c r="K1256" s="3">
        <v>0</v>
      </c>
      <c r="L1256" s="3">
        <v>0</v>
      </c>
      <c r="M1256" s="3">
        <v>0</v>
      </c>
      <c r="N1256" s="3">
        <v>0</v>
      </c>
      <c r="O1256" s="3">
        <v>0.08</v>
      </c>
      <c r="P1256" s="3">
        <v>0</v>
      </c>
      <c r="Q1256" s="3">
        <v>0</v>
      </c>
      <c r="R1256" s="3">
        <v>0</v>
      </c>
    </row>
    <row r="1257" spans="1:18">
      <c r="A1257" s="3" t="s">
        <v>3156</v>
      </c>
      <c r="B1257" s="3" t="s">
        <v>3157</v>
      </c>
      <c r="C1257" s="3" t="s">
        <v>3157</v>
      </c>
      <c r="D1257" s="3" t="s">
        <v>3158</v>
      </c>
      <c r="E1257" s="3" t="s">
        <v>120</v>
      </c>
      <c r="F1257" s="3">
        <v>39.98</v>
      </c>
      <c r="G1257" s="3" t="s">
        <v>121</v>
      </c>
      <c r="H1257" s="3"/>
      <c r="I1257" s="3" t="s">
        <v>122</v>
      </c>
      <c r="J1257" s="3">
        <v>0</v>
      </c>
      <c r="K1257" s="3">
        <v>0</v>
      </c>
      <c r="L1257" s="3">
        <v>0</v>
      </c>
      <c r="M1257" s="3">
        <v>0</v>
      </c>
      <c r="N1257" s="3">
        <v>0</v>
      </c>
      <c r="O1257" s="3">
        <v>0.08</v>
      </c>
      <c r="P1257" s="3">
        <v>0</v>
      </c>
      <c r="Q1257" s="3">
        <v>0</v>
      </c>
      <c r="R1257" s="3">
        <v>0</v>
      </c>
    </row>
    <row r="1258" spans="1:18">
      <c r="A1258" s="3" t="s">
        <v>3159</v>
      </c>
      <c r="B1258" s="3" t="s">
        <v>3160</v>
      </c>
      <c r="C1258" s="3" t="s">
        <v>3160</v>
      </c>
      <c r="D1258" s="3" t="s">
        <v>3161</v>
      </c>
      <c r="E1258" s="3" t="s">
        <v>120</v>
      </c>
      <c r="F1258" s="3">
        <v>39.98</v>
      </c>
      <c r="G1258" s="3" t="s">
        <v>121</v>
      </c>
      <c r="H1258" s="3"/>
      <c r="I1258" s="3" t="s">
        <v>122</v>
      </c>
      <c r="J1258" s="3">
        <v>1</v>
      </c>
      <c r="K1258" s="3">
        <v>1</v>
      </c>
      <c r="L1258" s="3">
        <v>0</v>
      </c>
      <c r="M1258" s="3">
        <v>0</v>
      </c>
      <c r="N1258" s="3">
        <v>1</v>
      </c>
      <c r="O1258" s="3">
        <v>0.08</v>
      </c>
      <c r="P1258" s="3">
        <v>0</v>
      </c>
      <c r="Q1258" s="3">
        <v>0</v>
      </c>
      <c r="R1258" s="3">
        <v>0</v>
      </c>
    </row>
    <row r="1259" spans="1:18">
      <c r="A1259" s="3" t="s">
        <v>3162</v>
      </c>
      <c r="B1259" s="3" t="s">
        <v>3163</v>
      </c>
      <c r="C1259" s="3" t="s">
        <v>3163</v>
      </c>
      <c r="D1259" s="3" t="s">
        <v>3164</v>
      </c>
      <c r="E1259" s="3" t="s">
        <v>120</v>
      </c>
      <c r="F1259" s="3">
        <v>39.98</v>
      </c>
      <c r="G1259" s="3" t="s">
        <v>121</v>
      </c>
      <c r="H1259" s="3"/>
      <c r="I1259" s="3" t="s">
        <v>122</v>
      </c>
      <c r="J1259" s="3">
        <v>1</v>
      </c>
      <c r="K1259" s="3">
        <v>1</v>
      </c>
      <c r="L1259" s="3">
        <v>0</v>
      </c>
      <c r="M1259" s="3">
        <v>0</v>
      </c>
      <c r="N1259" s="3">
        <v>1</v>
      </c>
      <c r="O1259" s="3">
        <v>0.08</v>
      </c>
      <c r="P1259" s="3">
        <v>0</v>
      </c>
      <c r="Q1259" s="3">
        <v>0</v>
      </c>
      <c r="R1259" s="3">
        <v>0</v>
      </c>
    </row>
    <row r="1260" spans="1:18">
      <c r="A1260" s="3" t="s">
        <v>3165</v>
      </c>
      <c r="B1260" s="3" t="s">
        <v>3166</v>
      </c>
      <c r="C1260" s="3" t="s">
        <v>3166</v>
      </c>
      <c r="D1260" s="3" t="s">
        <v>3167</v>
      </c>
      <c r="E1260" s="3" t="s">
        <v>120</v>
      </c>
      <c r="F1260" s="3">
        <v>39.98</v>
      </c>
      <c r="G1260" s="3" t="s">
        <v>121</v>
      </c>
      <c r="H1260" s="3"/>
      <c r="I1260" s="3" t="s">
        <v>122</v>
      </c>
      <c r="J1260" s="3">
        <v>1</v>
      </c>
      <c r="K1260" s="3">
        <v>1</v>
      </c>
      <c r="L1260" s="3">
        <v>0</v>
      </c>
      <c r="M1260" s="3">
        <v>0</v>
      </c>
      <c r="N1260" s="3">
        <v>1</v>
      </c>
      <c r="O1260" s="3">
        <v>0.08</v>
      </c>
      <c r="P1260" s="3">
        <v>0</v>
      </c>
      <c r="Q1260" s="3">
        <v>0</v>
      </c>
      <c r="R1260" s="3">
        <v>0</v>
      </c>
    </row>
    <row r="1261" spans="1:18">
      <c r="A1261" s="3" t="s">
        <v>3168</v>
      </c>
      <c r="B1261" s="3" t="s">
        <v>3169</v>
      </c>
      <c r="C1261" s="3" t="s">
        <v>3169</v>
      </c>
      <c r="D1261" s="3" t="s">
        <v>3170</v>
      </c>
      <c r="E1261" s="3" t="s">
        <v>120</v>
      </c>
      <c r="F1261" s="3">
        <v>39.98</v>
      </c>
      <c r="G1261" s="3" t="s">
        <v>121</v>
      </c>
      <c r="H1261" s="3"/>
      <c r="I1261" s="3" t="s">
        <v>122</v>
      </c>
      <c r="J1261" s="3">
        <v>5</v>
      </c>
      <c r="K1261" s="3">
        <v>5</v>
      </c>
      <c r="L1261" s="3">
        <v>0</v>
      </c>
      <c r="M1261" s="3">
        <v>0</v>
      </c>
      <c r="N1261" s="3">
        <v>5</v>
      </c>
      <c r="O1261" s="3">
        <v>0.08</v>
      </c>
      <c r="P1261" s="3">
        <v>0</v>
      </c>
      <c r="Q1261" s="3">
        <v>0</v>
      </c>
      <c r="R1261" s="3">
        <v>0</v>
      </c>
    </row>
    <row r="1262" spans="1:18">
      <c r="A1262" s="3" t="s">
        <v>3171</v>
      </c>
      <c r="B1262" s="3" t="s">
        <v>3172</v>
      </c>
      <c r="C1262" s="3" t="s">
        <v>3172</v>
      </c>
      <c r="D1262" s="3" t="s">
        <v>3173</v>
      </c>
      <c r="E1262" s="3" t="s">
        <v>120</v>
      </c>
      <c r="F1262" s="3">
        <v>39.98</v>
      </c>
      <c r="G1262" s="3" t="s">
        <v>121</v>
      </c>
      <c r="H1262" s="3"/>
      <c r="I1262" s="3" t="s">
        <v>122</v>
      </c>
      <c r="J1262" s="3">
        <v>5</v>
      </c>
      <c r="K1262" s="3">
        <v>5</v>
      </c>
      <c r="L1262" s="3">
        <v>0</v>
      </c>
      <c r="M1262" s="3">
        <v>0</v>
      </c>
      <c r="N1262" s="3">
        <v>5</v>
      </c>
      <c r="O1262" s="3">
        <v>0.08</v>
      </c>
      <c r="P1262" s="3">
        <v>0</v>
      </c>
      <c r="Q1262" s="3">
        <v>0</v>
      </c>
      <c r="R1262" s="3">
        <v>0</v>
      </c>
    </row>
    <row r="1263" spans="1:18">
      <c r="A1263" s="3" t="s">
        <v>3174</v>
      </c>
      <c r="B1263" s="3" t="s">
        <v>3175</v>
      </c>
      <c r="C1263" s="3" t="s">
        <v>3175</v>
      </c>
      <c r="D1263" s="3" t="s">
        <v>3176</v>
      </c>
      <c r="E1263" s="3" t="s">
        <v>120</v>
      </c>
      <c r="F1263" s="3">
        <v>39.98</v>
      </c>
      <c r="G1263" s="3" t="s">
        <v>121</v>
      </c>
      <c r="H1263" s="3"/>
      <c r="I1263" s="3" t="s">
        <v>122</v>
      </c>
      <c r="J1263" s="3">
        <v>0</v>
      </c>
      <c r="K1263" s="3">
        <v>0</v>
      </c>
      <c r="L1263" s="3">
        <v>0</v>
      </c>
      <c r="M1263" s="3">
        <v>0</v>
      </c>
      <c r="N1263" s="3">
        <v>0</v>
      </c>
      <c r="O1263" s="3">
        <v>0.08</v>
      </c>
      <c r="P1263" s="3">
        <v>0</v>
      </c>
      <c r="Q1263" s="3">
        <v>0</v>
      </c>
      <c r="R1263" s="3">
        <v>0</v>
      </c>
    </row>
    <row r="1264" spans="1:18">
      <c r="A1264" s="3" t="s">
        <v>3177</v>
      </c>
      <c r="B1264" s="3" t="s">
        <v>3178</v>
      </c>
      <c r="C1264" s="3" t="s">
        <v>3178</v>
      </c>
      <c r="D1264" s="3" t="s">
        <v>3179</v>
      </c>
      <c r="E1264" s="3" t="s">
        <v>120</v>
      </c>
      <c r="F1264" s="3">
        <v>39.98</v>
      </c>
      <c r="G1264" s="3" t="s">
        <v>121</v>
      </c>
      <c r="H1264" s="3"/>
      <c r="I1264" s="3" t="s">
        <v>122</v>
      </c>
      <c r="J1264" s="3">
        <v>2</v>
      </c>
      <c r="K1264" s="3">
        <v>2</v>
      </c>
      <c r="L1264" s="3">
        <v>0</v>
      </c>
      <c r="M1264" s="3">
        <v>0</v>
      </c>
      <c r="N1264" s="3">
        <v>2</v>
      </c>
      <c r="O1264" s="3">
        <v>0.08</v>
      </c>
      <c r="P1264" s="3">
        <v>0</v>
      </c>
      <c r="Q1264" s="3">
        <v>0</v>
      </c>
      <c r="R1264" s="3">
        <v>0</v>
      </c>
    </row>
    <row r="1265" spans="1:18">
      <c r="A1265" s="3" t="s">
        <v>3180</v>
      </c>
      <c r="B1265" s="3" t="s">
        <v>3181</v>
      </c>
      <c r="C1265" s="3" t="s">
        <v>3181</v>
      </c>
      <c r="D1265" s="3" t="s">
        <v>3182</v>
      </c>
      <c r="E1265" s="3" t="s">
        <v>120</v>
      </c>
      <c r="F1265" s="3">
        <v>39.98</v>
      </c>
      <c r="G1265" s="3" t="s">
        <v>121</v>
      </c>
      <c r="H1265" s="3"/>
      <c r="I1265" s="3" t="s">
        <v>122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0.08</v>
      </c>
      <c r="P1265" s="3">
        <v>0</v>
      </c>
      <c r="Q1265" s="3">
        <v>0</v>
      </c>
      <c r="R1265" s="3">
        <v>0</v>
      </c>
    </row>
    <row r="1266" spans="1:18">
      <c r="A1266" s="3" t="s">
        <v>3183</v>
      </c>
      <c r="B1266" s="3" t="s">
        <v>3184</v>
      </c>
      <c r="C1266" s="3" t="s">
        <v>3184</v>
      </c>
      <c r="D1266" s="3" t="s">
        <v>3185</v>
      </c>
      <c r="E1266" s="3" t="s">
        <v>120</v>
      </c>
      <c r="F1266" s="3">
        <v>39.98</v>
      </c>
      <c r="G1266" s="3" t="s">
        <v>121</v>
      </c>
      <c r="H1266" s="3"/>
      <c r="I1266" s="3" t="s">
        <v>122</v>
      </c>
      <c r="J1266" s="3">
        <v>3</v>
      </c>
      <c r="K1266" s="3">
        <v>3</v>
      </c>
      <c r="L1266" s="3">
        <v>0</v>
      </c>
      <c r="M1266" s="3">
        <v>0</v>
      </c>
      <c r="N1266" s="3">
        <v>3</v>
      </c>
      <c r="O1266" s="3">
        <v>0.08</v>
      </c>
      <c r="P1266" s="3">
        <v>0</v>
      </c>
      <c r="Q1266" s="3">
        <v>0</v>
      </c>
      <c r="R1266" s="3">
        <v>0</v>
      </c>
    </row>
    <row r="1267" spans="1:18">
      <c r="A1267" s="3" t="s">
        <v>3186</v>
      </c>
      <c r="B1267" s="3" t="s">
        <v>3187</v>
      </c>
      <c r="C1267" s="3" t="s">
        <v>3187</v>
      </c>
      <c r="D1267" s="3" t="s">
        <v>3188</v>
      </c>
      <c r="E1267" s="3" t="s">
        <v>120</v>
      </c>
      <c r="F1267" s="3">
        <v>39.98</v>
      </c>
      <c r="G1267" s="3" t="s">
        <v>121</v>
      </c>
      <c r="H1267" s="3"/>
      <c r="I1267" s="3" t="s">
        <v>122</v>
      </c>
      <c r="J1267" s="3">
        <v>4</v>
      </c>
      <c r="K1267" s="3">
        <v>4</v>
      </c>
      <c r="L1267" s="3">
        <v>0</v>
      </c>
      <c r="M1267" s="3">
        <v>0</v>
      </c>
      <c r="N1267" s="3">
        <v>4</v>
      </c>
      <c r="O1267" s="3">
        <v>0.08</v>
      </c>
      <c r="P1267" s="3">
        <v>0</v>
      </c>
      <c r="Q1267" s="3">
        <v>0</v>
      </c>
      <c r="R1267" s="3">
        <v>0</v>
      </c>
    </row>
    <row r="1268" spans="1:18">
      <c r="A1268" s="3" t="s">
        <v>3189</v>
      </c>
      <c r="B1268" s="3" t="s">
        <v>3190</v>
      </c>
      <c r="C1268" s="3" t="s">
        <v>3190</v>
      </c>
      <c r="D1268" s="3"/>
      <c r="E1268" s="3" t="s">
        <v>20</v>
      </c>
      <c r="F1268" s="3"/>
      <c r="G1268" s="3"/>
      <c r="H1268" s="3"/>
      <c r="I1268" s="3"/>
      <c r="J1268" s="3">
        <v>0</v>
      </c>
      <c r="K1268" s="3">
        <v>0</v>
      </c>
      <c r="L1268" s="3">
        <v>0</v>
      </c>
      <c r="M1268" s="3">
        <v>0</v>
      </c>
      <c r="N1268" s="3">
        <v>0</v>
      </c>
      <c r="O1268" s="3"/>
      <c r="P1268" s="3">
        <v>0</v>
      </c>
      <c r="Q1268" s="3">
        <v>0</v>
      </c>
      <c r="R1268" s="3">
        <v>0</v>
      </c>
    </row>
    <row r="1269" spans="1:18">
      <c r="A1269" s="3" t="s">
        <v>3191</v>
      </c>
      <c r="B1269" s="3" t="s">
        <v>3190</v>
      </c>
      <c r="C1269" s="3" t="s">
        <v>3190</v>
      </c>
      <c r="D1269" s="3"/>
      <c r="E1269" s="3" t="s">
        <v>20</v>
      </c>
      <c r="F1269" s="3"/>
      <c r="G1269" s="3"/>
      <c r="H1269" s="3"/>
      <c r="I1269" s="3"/>
      <c r="J1269" s="3">
        <v>0</v>
      </c>
      <c r="K1269" s="3">
        <v>0</v>
      </c>
      <c r="L1269" s="3">
        <v>0</v>
      </c>
      <c r="M1269" s="3">
        <v>0</v>
      </c>
      <c r="N1269" s="3">
        <v>0</v>
      </c>
      <c r="O1269" s="3"/>
      <c r="P1269" s="3">
        <v>0</v>
      </c>
      <c r="Q1269" s="3">
        <v>0</v>
      </c>
      <c r="R1269" s="3">
        <v>0</v>
      </c>
    </row>
    <row r="1270" spans="1:18">
      <c r="A1270" s="3" t="s">
        <v>3192</v>
      </c>
      <c r="B1270" s="3" t="s">
        <v>3193</v>
      </c>
      <c r="C1270" s="3" t="s">
        <v>3194</v>
      </c>
      <c r="D1270" s="3"/>
      <c r="E1270" s="3" t="s">
        <v>20</v>
      </c>
      <c r="F1270" s="3"/>
      <c r="G1270" s="3"/>
      <c r="H1270" s="3"/>
      <c r="I1270" s="3"/>
      <c r="J1270" s="3">
        <v>0</v>
      </c>
      <c r="K1270" s="3">
        <v>0</v>
      </c>
      <c r="L1270" s="3">
        <v>0</v>
      </c>
      <c r="M1270" s="3">
        <v>0</v>
      </c>
      <c r="N1270" s="3">
        <v>0</v>
      </c>
      <c r="O1270" s="3"/>
      <c r="P1270" s="3">
        <v>0</v>
      </c>
      <c r="Q1270" s="3">
        <v>0</v>
      </c>
      <c r="R1270" s="3">
        <v>0</v>
      </c>
    </row>
    <row r="1271" spans="1:18">
      <c r="A1271" s="3" t="s">
        <v>3195</v>
      </c>
      <c r="B1271" s="3" t="s">
        <v>3196</v>
      </c>
      <c r="C1271" s="3" t="s">
        <v>3197</v>
      </c>
      <c r="D1271" s="3" t="s">
        <v>3198</v>
      </c>
      <c r="E1271" s="3" t="s">
        <v>120</v>
      </c>
      <c r="F1271" s="3">
        <v>22.98</v>
      </c>
      <c r="G1271" s="3" t="s">
        <v>121</v>
      </c>
      <c r="H1271" s="3"/>
      <c r="I1271" s="3" t="s">
        <v>122</v>
      </c>
      <c r="J1271" s="3">
        <v>23</v>
      </c>
      <c r="K1271" s="3">
        <v>21</v>
      </c>
      <c r="L1271" s="3">
        <v>1</v>
      </c>
      <c r="M1271" s="3">
        <v>1</v>
      </c>
      <c r="N1271" s="3">
        <v>23</v>
      </c>
      <c r="O1271" s="3">
        <v>0.17</v>
      </c>
      <c r="P1271" s="3">
        <v>0</v>
      </c>
      <c r="Q1271" s="3">
        <v>0</v>
      </c>
      <c r="R1271" s="3">
        <v>0</v>
      </c>
    </row>
    <row r="1272" spans="1:18">
      <c r="A1272" s="3" t="s">
        <v>3199</v>
      </c>
      <c r="B1272" s="3" t="s">
        <v>3200</v>
      </c>
      <c r="C1272" s="3" t="s">
        <v>3201</v>
      </c>
      <c r="D1272" s="3" t="s">
        <v>3202</v>
      </c>
      <c r="E1272" s="3" t="s">
        <v>120</v>
      </c>
      <c r="F1272" s="3">
        <v>69.9</v>
      </c>
      <c r="G1272" s="3" t="s">
        <v>121</v>
      </c>
      <c r="H1272" s="3"/>
      <c r="I1272" s="3" t="s">
        <v>122</v>
      </c>
      <c r="J1272" s="3">
        <v>31</v>
      </c>
      <c r="K1272" s="3">
        <v>23</v>
      </c>
      <c r="L1272" s="3">
        <v>0</v>
      </c>
      <c r="M1272" s="3">
        <v>8</v>
      </c>
      <c r="N1272" s="3">
        <v>31</v>
      </c>
      <c r="O1272" s="3">
        <v>0.17</v>
      </c>
      <c r="P1272" s="3">
        <v>0</v>
      </c>
      <c r="Q1272" s="3">
        <v>0</v>
      </c>
      <c r="R1272" s="3">
        <v>0</v>
      </c>
    </row>
    <row r="1273" spans="1:18">
      <c r="A1273" s="3" t="s">
        <v>3203</v>
      </c>
      <c r="B1273" s="3" t="s">
        <v>3204</v>
      </c>
      <c r="C1273" s="3" t="s">
        <v>3205</v>
      </c>
      <c r="D1273" s="3"/>
      <c r="E1273" s="3" t="s">
        <v>20</v>
      </c>
      <c r="F1273" s="3"/>
      <c r="G1273" s="3"/>
      <c r="H1273" s="3"/>
      <c r="I1273" s="3"/>
      <c r="J1273" s="3">
        <v>0</v>
      </c>
      <c r="K1273" s="3">
        <v>0</v>
      </c>
      <c r="L1273" s="3">
        <v>0</v>
      </c>
      <c r="M1273" s="3">
        <v>0</v>
      </c>
      <c r="N1273" s="3">
        <v>0</v>
      </c>
      <c r="O1273" s="3"/>
      <c r="P1273" s="3">
        <v>0</v>
      </c>
      <c r="Q1273" s="3">
        <v>0</v>
      </c>
      <c r="R1273" s="3">
        <v>0</v>
      </c>
    </row>
    <row r="1274" spans="1:18">
      <c r="A1274" s="3" t="s">
        <v>3206</v>
      </c>
      <c r="B1274" s="3" t="s">
        <v>3207</v>
      </c>
      <c r="C1274" s="3" t="s">
        <v>3208</v>
      </c>
      <c r="D1274" s="3" t="s">
        <v>3209</v>
      </c>
      <c r="E1274" s="3" t="s">
        <v>120</v>
      </c>
      <c r="F1274" s="3">
        <v>23.98</v>
      </c>
      <c r="G1274" s="3" t="s">
        <v>121</v>
      </c>
      <c r="H1274" s="3"/>
      <c r="I1274" s="3" t="s">
        <v>122</v>
      </c>
      <c r="J1274" s="3">
        <v>18</v>
      </c>
      <c r="K1274" s="3">
        <v>0</v>
      </c>
      <c r="L1274" s="3">
        <v>0</v>
      </c>
      <c r="M1274" s="3">
        <v>18</v>
      </c>
      <c r="N1274" s="3">
        <v>18</v>
      </c>
      <c r="O1274" s="3">
        <v>0.17</v>
      </c>
      <c r="P1274" s="3">
        <v>0</v>
      </c>
      <c r="Q1274" s="3">
        <v>0</v>
      </c>
      <c r="R1274" s="3">
        <v>0</v>
      </c>
    </row>
    <row r="1275" spans="1:18">
      <c r="A1275" s="3" t="s">
        <v>3210</v>
      </c>
      <c r="B1275" s="3" t="s">
        <v>3211</v>
      </c>
      <c r="C1275" s="3" t="s">
        <v>3212</v>
      </c>
      <c r="D1275" s="3" t="s">
        <v>3213</v>
      </c>
      <c r="E1275" s="3" t="s">
        <v>120</v>
      </c>
      <c r="F1275" s="3">
        <v>69.9</v>
      </c>
      <c r="G1275" s="3" t="s">
        <v>121</v>
      </c>
      <c r="H1275" s="3"/>
      <c r="I1275" s="3" t="s">
        <v>122</v>
      </c>
      <c r="J1275" s="3">
        <v>31</v>
      </c>
      <c r="K1275" s="3">
        <v>23</v>
      </c>
      <c r="L1275" s="3">
        <v>0</v>
      </c>
      <c r="M1275" s="3">
        <v>8</v>
      </c>
      <c r="N1275" s="3">
        <v>31</v>
      </c>
      <c r="O1275" s="3">
        <v>0.17</v>
      </c>
      <c r="P1275" s="3">
        <v>0</v>
      </c>
      <c r="Q1275" s="3">
        <v>0</v>
      </c>
      <c r="R1275" s="3">
        <v>0</v>
      </c>
    </row>
    <row r="1276" spans="1:18">
      <c r="A1276" s="3" t="s">
        <v>3214</v>
      </c>
      <c r="B1276" s="3" t="s">
        <v>3215</v>
      </c>
      <c r="C1276" s="3" t="s">
        <v>3216</v>
      </c>
      <c r="D1276" s="3" t="s">
        <v>3217</v>
      </c>
      <c r="E1276" s="3" t="s">
        <v>120</v>
      </c>
      <c r="F1276" s="3">
        <v>69.9</v>
      </c>
      <c r="G1276" s="3" t="s">
        <v>121</v>
      </c>
      <c r="H1276" s="3"/>
      <c r="I1276" s="3" t="s">
        <v>122</v>
      </c>
      <c r="J1276" s="3">
        <v>0</v>
      </c>
      <c r="K1276" s="3">
        <v>0</v>
      </c>
      <c r="L1276" s="3">
        <v>0</v>
      </c>
      <c r="M1276" s="3">
        <v>0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</row>
    <row r="1277" spans="1:18">
      <c r="A1277" s="3" t="s">
        <v>3218</v>
      </c>
      <c r="B1277" s="3" t="s">
        <v>3219</v>
      </c>
      <c r="C1277" s="3" t="s">
        <v>3220</v>
      </c>
      <c r="D1277" s="3" t="s">
        <v>3221</v>
      </c>
      <c r="E1277" s="3" t="s">
        <v>120</v>
      </c>
      <c r="F1277" s="3">
        <v>23.98</v>
      </c>
      <c r="G1277" s="3" t="s">
        <v>121</v>
      </c>
      <c r="H1277" s="3"/>
      <c r="I1277" s="3" t="s">
        <v>122</v>
      </c>
      <c r="J1277" s="3">
        <v>1</v>
      </c>
      <c r="K1277" s="3">
        <v>0</v>
      </c>
      <c r="L1277" s="3">
        <v>0</v>
      </c>
      <c r="M1277" s="3">
        <v>1</v>
      </c>
      <c r="N1277" s="3">
        <v>1</v>
      </c>
      <c r="O1277" s="3">
        <v>0.17</v>
      </c>
      <c r="P1277" s="3">
        <v>0</v>
      </c>
      <c r="Q1277" s="3">
        <v>0</v>
      </c>
      <c r="R1277" s="3">
        <v>0</v>
      </c>
    </row>
    <row r="1278" spans="1:18">
      <c r="A1278" s="3" t="s">
        <v>3222</v>
      </c>
      <c r="B1278" s="3" t="s">
        <v>3223</v>
      </c>
      <c r="C1278" s="3" t="s">
        <v>3224</v>
      </c>
      <c r="D1278" s="3" t="s">
        <v>3225</v>
      </c>
      <c r="E1278" s="3" t="s">
        <v>120</v>
      </c>
      <c r="F1278" s="3">
        <v>69.9</v>
      </c>
      <c r="G1278" s="3" t="s">
        <v>121</v>
      </c>
      <c r="H1278" s="3"/>
      <c r="I1278" s="3" t="s">
        <v>122</v>
      </c>
      <c r="J1278" s="3">
        <v>0</v>
      </c>
      <c r="K1278" s="3">
        <v>0</v>
      </c>
      <c r="L1278" s="3">
        <v>0</v>
      </c>
      <c r="M1278" s="3">
        <v>0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</row>
    <row r="1279" spans="1:18">
      <c r="A1279" s="3" t="s">
        <v>3226</v>
      </c>
      <c r="B1279" s="3" t="s">
        <v>3227</v>
      </c>
      <c r="C1279" s="3" t="s">
        <v>3228</v>
      </c>
      <c r="D1279" s="3"/>
      <c r="E1279" s="3" t="s">
        <v>20</v>
      </c>
      <c r="F1279" s="3"/>
      <c r="G1279" s="3"/>
      <c r="H1279" s="3"/>
      <c r="I1279" s="3"/>
      <c r="J1279" s="3">
        <v>0</v>
      </c>
      <c r="K1279" s="3">
        <v>0</v>
      </c>
      <c r="L1279" s="3">
        <v>0</v>
      </c>
      <c r="M1279" s="3">
        <v>0</v>
      </c>
      <c r="N1279" s="3">
        <v>0</v>
      </c>
      <c r="O1279" s="3"/>
      <c r="P1279" s="3">
        <v>0</v>
      </c>
      <c r="Q1279" s="3">
        <v>0</v>
      </c>
      <c r="R1279" s="3">
        <v>0</v>
      </c>
    </row>
    <row r="1280" spans="1:18">
      <c r="A1280" s="3" t="s">
        <v>3229</v>
      </c>
      <c r="B1280" s="3" t="s">
        <v>3230</v>
      </c>
      <c r="C1280" s="3" t="s">
        <v>3231</v>
      </c>
      <c r="D1280" s="3" t="s">
        <v>3232</v>
      </c>
      <c r="E1280" s="3" t="s">
        <v>120</v>
      </c>
      <c r="F1280" s="3">
        <v>23.98</v>
      </c>
      <c r="G1280" s="3" t="s">
        <v>121</v>
      </c>
      <c r="H1280" s="3"/>
      <c r="I1280" s="3" t="s">
        <v>122</v>
      </c>
      <c r="J1280" s="3">
        <v>1</v>
      </c>
      <c r="K1280" s="3">
        <v>0</v>
      </c>
      <c r="L1280" s="3">
        <v>0</v>
      </c>
      <c r="M1280" s="3">
        <v>1</v>
      </c>
      <c r="N1280" s="3">
        <v>1</v>
      </c>
      <c r="O1280" s="3">
        <v>0.17</v>
      </c>
      <c r="P1280" s="3">
        <v>0</v>
      </c>
      <c r="Q1280" s="3">
        <v>0</v>
      </c>
      <c r="R1280" s="3">
        <v>0</v>
      </c>
    </row>
    <row r="1281" spans="1:18">
      <c r="A1281" s="3" t="s">
        <v>3233</v>
      </c>
      <c r="B1281" s="3" t="s">
        <v>3234</v>
      </c>
      <c r="C1281" s="3" t="s">
        <v>3235</v>
      </c>
      <c r="D1281" s="3" t="s">
        <v>3236</v>
      </c>
      <c r="E1281" s="3" t="s">
        <v>120</v>
      </c>
      <c r="F1281" s="3">
        <v>69.9</v>
      </c>
      <c r="G1281" s="3" t="s">
        <v>121</v>
      </c>
      <c r="H1281" s="3"/>
      <c r="I1281" s="3" t="s">
        <v>122</v>
      </c>
      <c r="J1281" s="3">
        <v>0</v>
      </c>
      <c r="K1281" s="3">
        <v>0</v>
      </c>
      <c r="L1281" s="3">
        <v>0</v>
      </c>
      <c r="M1281" s="3">
        <v>0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</row>
    <row r="1282" spans="1:18">
      <c r="A1282" s="3" t="s">
        <v>3237</v>
      </c>
      <c r="B1282" s="3" t="s">
        <v>3238</v>
      </c>
      <c r="C1282" s="3" t="s">
        <v>3239</v>
      </c>
      <c r="D1282" s="3" t="s">
        <v>3240</v>
      </c>
      <c r="E1282" s="3" t="s">
        <v>120</v>
      </c>
      <c r="F1282" s="3">
        <v>69.9</v>
      </c>
      <c r="G1282" s="3" t="s">
        <v>121</v>
      </c>
      <c r="H1282" s="3"/>
      <c r="I1282" s="3" t="s">
        <v>122</v>
      </c>
      <c r="J1282" s="3">
        <v>0</v>
      </c>
      <c r="K1282" s="3">
        <v>0</v>
      </c>
      <c r="L1282" s="3">
        <v>0</v>
      </c>
      <c r="M1282" s="3">
        <v>0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</row>
    <row r="1283" spans="1:18">
      <c r="A1283" s="3" t="s">
        <v>3241</v>
      </c>
      <c r="B1283" s="3" t="s">
        <v>3242</v>
      </c>
      <c r="C1283" s="3" t="s">
        <v>3243</v>
      </c>
      <c r="D1283" s="3" t="s">
        <v>3244</v>
      </c>
      <c r="E1283" s="3" t="s">
        <v>120</v>
      </c>
      <c r="F1283" s="3">
        <v>35.98</v>
      </c>
      <c r="G1283" s="3" t="s">
        <v>121</v>
      </c>
      <c r="H1283" s="3"/>
      <c r="I1283" s="3" t="s">
        <v>122</v>
      </c>
      <c r="J1283" s="3">
        <v>3</v>
      </c>
      <c r="K1283" s="3">
        <v>3</v>
      </c>
      <c r="L1283" s="3">
        <v>0</v>
      </c>
      <c r="M1283" s="3">
        <v>0</v>
      </c>
      <c r="N1283" s="3">
        <v>3</v>
      </c>
      <c r="O1283" s="3">
        <v>0.17</v>
      </c>
      <c r="P1283" s="3">
        <v>0</v>
      </c>
      <c r="Q1283" s="3">
        <v>0</v>
      </c>
      <c r="R1283" s="3">
        <v>0</v>
      </c>
    </row>
    <row r="1284" spans="1:18">
      <c r="A1284" s="3" t="s">
        <v>3245</v>
      </c>
      <c r="B1284" s="3" t="s">
        <v>3246</v>
      </c>
      <c r="C1284" s="3" t="s">
        <v>3247</v>
      </c>
      <c r="D1284" s="3" t="s">
        <v>3248</v>
      </c>
      <c r="E1284" s="3" t="s">
        <v>120</v>
      </c>
      <c r="F1284" s="3">
        <v>69.9</v>
      </c>
      <c r="G1284" s="3" t="s">
        <v>121</v>
      </c>
      <c r="H1284" s="3"/>
      <c r="I1284" s="3" t="s">
        <v>122</v>
      </c>
      <c r="J1284" s="3">
        <v>0</v>
      </c>
      <c r="K1284" s="3">
        <v>0</v>
      </c>
      <c r="L1284" s="3">
        <v>0</v>
      </c>
      <c r="M1284" s="3">
        <v>0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</row>
    <row r="1285" spans="1:18">
      <c r="A1285" s="3" t="s">
        <v>3249</v>
      </c>
      <c r="B1285" s="3" t="s">
        <v>3250</v>
      </c>
      <c r="C1285" s="3" t="s">
        <v>3251</v>
      </c>
      <c r="D1285" s="3" t="s">
        <v>3252</v>
      </c>
      <c r="E1285" s="3" t="s">
        <v>120</v>
      </c>
      <c r="F1285" s="3">
        <v>22.98</v>
      </c>
      <c r="G1285" s="3" t="s">
        <v>121</v>
      </c>
      <c r="H1285" s="3"/>
      <c r="I1285" s="3" t="s">
        <v>122</v>
      </c>
      <c r="J1285" s="3">
        <v>0</v>
      </c>
      <c r="K1285" s="3">
        <v>0</v>
      </c>
      <c r="L1285" s="3">
        <v>0</v>
      </c>
      <c r="M1285" s="3">
        <v>0</v>
      </c>
      <c r="N1285" s="3">
        <v>0</v>
      </c>
      <c r="O1285" s="3">
        <v>0.02</v>
      </c>
      <c r="P1285" s="3">
        <v>0</v>
      </c>
      <c r="Q1285" s="3">
        <v>0</v>
      </c>
      <c r="R1285" s="3">
        <v>0</v>
      </c>
    </row>
    <row r="1286" spans="1:18">
      <c r="A1286" s="3" t="s">
        <v>3253</v>
      </c>
      <c r="B1286" s="3" t="s">
        <v>3254</v>
      </c>
      <c r="C1286" s="3" t="s">
        <v>3255</v>
      </c>
      <c r="D1286" s="3" t="s">
        <v>3256</v>
      </c>
      <c r="E1286" s="3" t="s">
        <v>120</v>
      </c>
      <c r="F1286" s="3">
        <v>22.98</v>
      </c>
      <c r="G1286" s="3" t="s">
        <v>121</v>
      </c>
      <c r="H1286" s="3"/>
      <c r="I1286" s="3" t="s">
        <v>122</v>
      </c>
      <c r="J1286" s="3">
        <v>0</v>
      </c>
      <c r="K1286" s="3">
        <v>0</v>
      </c>
      <c r="L1286" s="3">
        <v>0</v>
      </c>
      <c r="M1286" s="3">
        <v>0</v>
      </c>
      <c r="N1286" s="3">
        <v>0</v>
      </c>
      <c r="O1286" s="3">
        <v>0.02</v>
      </c>
      <c r="P1286" s="3">
        <v>0</v>
      </c>
      <c r="Q1286" s="3">
        <v>0</v>
      </c>
      <c r="R1286" s="3">
        <v>0</v>
      </c>
    </row>
    <row r="1287" spans="1:18">
      <c r="A1287" s="3" t="s">
        <v>3257</v>
      </c>
      <c r="B1287" s="3" t="s">
        <v>3258</v>
      </c>
      <c r="C1287" s="3" t="s">
        <v>3259</v>
      </c>
      <c r="D1287" s="3" t="s">
        <v>3260</v>
      </c>
      <c r="E1287" s="3" t="s">
        <v>120</v>
      </c>
      <c r="F1287" s="3">
        <v>21.4</v>
      </c>
      <c r="G1287" s="3" t="s">
        <v>121</v>
      </c>
      <c r="H1287" s="3"/>
      <c r="I1287" s="3" t="s">
        <v>122</v>
      </c>
      <c r="J1287" s="3">
        <v>0</v>
      </c>
      <c r="K1287" s="3">
        <v>0</v>
      </c>
      <c r="L1287" s="3">
        <v>0</v>
      </c>
      <c r="M1287" s="3">
        <v>0</v>
      </c>
      <c r="N1287" s="3">
        <v>0</v>
      </c>
      <c r="O1287" s="3">
        <v>0.02</v>
      </c>
      <c r="P1287" s="3">
        <v>0</v>
      </c>
      <c r="Q1287" s="3">
        <v>0</v>
      </c>
      <c r="R1287" s="3">
        <v>0</v>
      </c>
    </row>
    <row r="1288" spans="1:18">
      <c r="A1288" s="3" t="s">
        <v>3261</v>
      </c>
      <c r="B1288" s="3" t="s">
        <v>3262</v>
      </c>
      <c r="C1288" s="3" t="s">
        <v>3263</v>
      </c>
      <c r="D1288" s="3" t="s">
        <v>3264</v>
      </c>
      <c r="E1288" s="3" t="s">
        <v>120</v>
      </c>
      <c r="F1288" s="3">
        <v>21.4</v>
      </c>
      <c r="G1288" s="3" t="s">
        <v>121</v>
      </c>
      <c r="H1288" s="3"/>
      <c r="I1288" s="3" t="s">
        <v>122</v>
      </c>
      <c r="J1288" s="3">
        <v>0</v>
      </c>
      <c r="K1288" s="3">
        <v>0</v>
      </c>
      <c r="L1288" s="3">
        <v>0</v>
      </c>
      <c r="M1288" s="3">
        <v>0</v>
      </c>
      <c r="N1288" s="3">
        <v>0</v>
      </c>
      <c r="O1288" s="3">
        <v>0.05</v>
      </c>
      <c r="P1288" s="3">
        <v>0</v>
      </c>
      <c r="Q1288" s="3">
        <v>0</v>
      </c>
      <c r="R1288" s="3">
        <v>0</v>
      </c>
    </row>
    <row r="1289" spans="1:18">
      <c r="A1289" s="3" t="s">
        <v>3265</v>
      </c>
      <c r="B1289" s="3" t="s">
        <v>3266</v>
      </c>
      <c r="C1289" s="3" t="s">
        <v>3267</v>
      </c>
      <c r="D1289" s="3" t="s">
        <v>3268</v>
      </c>
      <c r="E1289" s="3" t="s">
        <v>120</v>
      </c>
      <c r="F1289" s="3">
        <v>21.4</v>
      </c>
      <c r="G1289" s="3" t="s">
        <v>121</v>
      </c>
      <c r="H1289" s="3"/>
      <c r="I1289" s="3" t="s">
        <v>122</v>
      </c>
      <c r="J1289" s="3">
        <v>0</v>
      </c>
      <c r="K1289" s="3">
        <v>0</v>
      </c>
      <c r="L1289" s="3">
        <v>0</v>
      </c>
      <c r="M1289" s="3">
        <v>0</v>
      </c>
      <c r="N1289" s="3">
        <v>0</v>
      </c>
      <c r="O1289" s="3">
        <v>0.05</v>
      </c>
      <c r="P1289" s="3">
        <v>0</v>
      </c>
      <c r="Q1289" s="3">
        <v>0</v>
      </c>
      <c r="R1289" s="3">
        <v>0</v>
      </c>
    </row>
    <row r="1290" spans="1:18">
      <c r="A1290" s="3" t="s">
        <v>3269</v>
      </c>
      <c r="B1290" s="3" t="s">
        <v>3270</v>
      </c>
      <c r="C1290" s="3" t="s">
        <v>3271</v>
      </c>
      <c r="D1290" s="3" t="s">
        <v>3272</v>
      </c>
      <c r="E1290" s="3" t="s">
        <v>120</v>
      </c>
      <c r="F1290" s="3">
        <v>21.4</v>
      </c>
      <c r="G1290" s="3" t="s">
        <v>121</v>
      </c>
      <c r="H1290" s="3"/>
      <c r="I1290" s="3" t="s">
        <v>122</v>
      </c>
      <c r="J1290" s="3">
        <v>0</v>
      </c>
      <c r="K1290" s="3">
        <v>0</v>
      </c>
      <c r="L1290" s="3">
        <v>0</v>
      </c>
      <c r="M1290" s="3">
        <v>0</v>
      </c>
      <c r="N1290" s="3">
        <v>0</v>
      </c>
      <c r="O1290" s="3">
        <v>0.05</v>
      </c>
      <c r="P1290" s="3">
        <v>0</v>
      </c>
      <c r="Q1290" s="3">
        <v>0</v>
      </c>
      <c r="R1290" s="3">
        <v>0</v>
      </c>
    </row>
    <row r="1291" spans="1:18">
      <c r="A1291" s="3" t="s">
        <v>3273</v>
      </c>
      <c r="B1291" s="3" t="s">
        <v>3274</v>
      </c>
      <c r="C1291" s="3" t="s">
        <v>3275</v>
      </c>
      <c r="D1291" s="3" t="s">
        <v>3276</v>
      </c>
      <c r="E1291" s="3" t="s">
        <v>120</v>
      </c>
      <c r="F1291" s="3">
        <v>22.7</v>
      </c>
      <c r="G1291" s="3" t="s">
        <v>121</v>
      </c>
      <c r="H1291" s="3"/>
      <c r="I1291" s="3" t="s">
        <v>122</v>
      </c>
      <c r="J1291" s="3">
        <v>0</v>
      </c>
      <c r="K1291" s="3">
        <v>0</v>
      </c>
      <c r="L1291" s="3">
        <v>0</v>
      </c>
      <c r="M1291" s="3">
        <v>0</v>
      </c>
      <c r="N1291" s="3">
        <v>0</v>
      </c>
      <c r="O1291" s="3">
        <v>0.02</v>
      </c>
      <c r="P1291" s="3">
        <v>0</v>
      </c>
      <c r="Q1291" s="3">
        <v>0</v>
      </c>
      <c r="R1291" s="3">
        <v>0</v>
      </c>
    </row>
    <row r="1292" spans="1:18">
      <c r="A1292" s="3" t="s">
        <v>3277</v>
      </c>
      <c r="B1292" s="3" t="s">
        <v>3278</v>
      </c>
      <c r="C1292" s="3" t="s">
        <v>3279</v>
      </c>
      <c r="D1292" s="3" t="s">
        <v>3280</v>
      </c>
      <c r="E1292" s="3" t="s">
        <v>120</v>
      </c>
      <c r="F1292" s="3">
        <v>22.7</v>
      </c>
      <c r="G1292" s="3" t="s">
        <v>121</v>
      </c>
      <c r="H1292" s="3"/>
      <c r="I1292" s="3" t="s">
        <v>122</v>
      </c>
      <c r="J1292" s="3">
        <v>0</v>
      </c>
      <c r="K1292" s="3">
        <v>0</v>
      </c>
      <c r="L1292" s="3">
        <v>0</v>
      </c>
      <c r="M1292" s="3">
        <v>0</v>
      </c>
      <c r="N1292" s="3">
        <v>0</v>
      </c>
      <c r="O1292" s="3">
        <v>0.02</v>
      </c>
      <c r="P1292" s="3">
        <v>0</v>
      </c>
      <c r="Q1292" s="3">
        <v>0</v>
      </c>
      <c r="R1292" s="3">
        <v>0</v>
      </c>
    </row>
    <row r="1293" spans="1:18">
      <c r="A1293" s="3" t="s">
        <v>3281</v>
      </c>
      <c r="B1293" s="3" t="s">
        <v>3282</v>
      </c>
      <c r="C1293" s="3" t="s">
        <v>3283</v>
      </c>
      <c r="D1293" s="3" t="s">
        <v>3284</v>
      </c>
      <c r="E1293" s="3" t="s">
        <v>120</v>
      </c>
      <c r="F1293" s="3">
        <v>22.7</v>
      </c>
      <c r="G1293" s="3" t="s">
        <v>121</v>
      </c>
      <c r="H1293" s="3"/>
      <c r="I1293" s="3" t="s">
        <v>122</v>
      </c>
      <c r="J1293" s="3">
        <v>0</v>
      </c>
      <c r="K1293" s="3">
        <v>0</v>
      </c>
      <c r="L1293" s="3">
        <v>0</v>
      </c>
      <c r="M1293" s="3">
        <v>0</v>
      </c>
      <c r="N1293" s="3">
        <v>0</v>
      </c>
      <c r="O1293" s="3">
        <v>0.04</v>
      </c>
      <c r="P1293" s="3">
        <v>0</v>
      </c>
      <c r="Q1293" s="3">
        <v>0</v>
      </c>
      <c r="R1293" s="3">
        <v>0</v>
      </c>
    </row>
    <row r="1294" spans="1:18">
      <c r="A1294" s="3" t="s">
        <v>3285</v>
      </c>
      <c r="B1294" s="3" t="s">
        <v>3286</v>
      </c>
      <c r="C1294" s="3" t="s">
        <v>3287</v>
      </c>
      <c r="D1294" s="3" t="s">
        <v>3288</v>
      </c>
      <c r="E1294" s="3" t="s">
        <v>120</v>
      </c>
      <c r="F1294" s="3">
        <v>21.4</v>
      </c>
      <c r="G1294" s="3" t="s">
        <v>121</v>
      </c>
      <c r="H1294" s="3"/>
      <c r="I1294" s="3" t="s">
        <v>122</v>
      </c>
      <c r="J1294" s="3">
        <v>0</v>
      </c>
      <c r="K1294" s="3">
        <v>0</v>
      </c>
      <c r="L1294" s="3">
        <v>0</v>
      </c>
      <c r="M1294" s="3">
        <v>0</v>
      </c>
      <c r="N1294" s="3">
        <v>0</v>
      </c>
      <c r="O1294" s="3">
        <v>0.04</v>
      </c>
      <c r="P1294" s="3">
        <v>0</v>
      </c>
      <c r="Q1294" s="3">
        <v>0</v>
      </c>
      <c r="R1294" s="3">
        <v>0</v>
      </c>
    </row>
    <row r="1295" spans="1:18">
      <c r="A1295" s="3" t="s">
        <v>3289</v>
      </c>
      <c r="B1295" s="3" t="s">
        <v>3290</v>
      </c>
      <c r="C1295" s="3" t="s">
        <v>3291</v>
      </c>
      <c r="D1295" s="3" t="s">
        <v>3292</v>
      </c>
      <c r="E1295" s="3" t="s">
        <v>120</v>
      </c>
      <c r="F1295" s="3">
        <v>22.7</v>
      </c>
      <c r="G1295" s="3" t="s">
        <v>121</v>
      </c>
      <c r="H1295" s="3"/>
      <c r="I1295" s="3" t="s">
        <v>122</v>
      </c>
      <c r="J1295" s="3">
        <v>0</v>
      </c>
      <c r="K1295" s="3">
        <v>0</v>
      </c>
      <c r="L1295" s="3">
        <v>0</v>
      </c>
      <c r="M1295" s="3">
        <v>0</v>
      </c>
      <c r="N1295" s="3">
        <v>0</v>
      </c>
      <c r="O1295" s="3">
        <v>0.04</v>
      </c>
      <c r="P1295" s="3">
        <v>0</v>
      </c>
      <c r="Q1295" s="3">
        <v>0</v>
      </c>
      <c r="R1295" s="3">
        <v>0</v>
      </c>
    </row>
    <row r="1296" spans="1:18">
      <c r="A1296" s="3" t="s">
        <v>3293</v>
      </c>
      <c r="B1296" s="3" t="s">
        <v>3294</v>
      </c>
      <c r="C1296" s="3" t="s">
        <v>3295</v>
      </c>
      <c r="D1296" s="3" t="s">
        <v>3296</v>
      </c>
      <c r="E1296" s="3" t="s">
        <v>120</v>
      </c>
      <c r="F1296" s="3">
        <v>22.98</v>
      </c>
      <c r="G1296" s="3" t="s">
        <v>121</v>
      </c>
      <c r="H1296" s="3"/>
      <c r="I1296" s="3" t="s">
        <v>122</v>
      </c>
      <c r="J1296" s="3">
        <v>0</v>
      </c>
      <c r="K1296" s="3">
        <v>0</v>
      </c>
      <c r="L1296" s="3">
        <v>0</v>
      </c>
      <c r="M1296" s="3">
        <v>0</v>
      </c>
      <c r="N1296" s="3">
        <v>0</v>
      </c>
      <c r="O1296" s="3">
        <v>0.02</v>
      </c>
      <c r="P1296" s="3">
        <v>0</v>
      </c>
      <c r="Q1296" s="3">
        <v>0</v>
      </c>
      <c r="R1296" s="3">
        <v>0</v>
      </c>
    </row>
    <row r="1297" spans="1:18">
      <c r="A1297" s="3" t="s">
        <v>3297</v>
      </c>
      <c r="B1297" s="3" t="s">
        <v>3298</v>
      </c>
      <c r="C1297" s="3" t="s">
        <v>3299</v>
      </c>
      <c r="D1297" s="3" t="s">
        <v>3300</v>
      </c>
      <c r="E1297" s="3" t="s">
        <v>120</v>
      </c>
      <c r="F1297" s="3">
        <v>22.7</v>
      </c>
      <c r="G1297" s="3" t="s">
        <v>121</v>
      </c>
      <c r="H1297" s="3"/>
      <c r="I1297" s="3" t="s">
        <v>122</v>
      </c>
      <c r="J1297" s="3">
        <v>0</v>
      </c>
      <c r="K1297" s="3">
        <v>0</v>
      </c>
      <c r="L1297" s="3">
        <v>0</v>
      </c>
      <c r="M1297" s="3">
        <v>0</v>
      </c>
      <c r="N1297" s="3">
        <v>0</v>
      </c>
      <c r="O1297" s="3">
        <v>0.07</v>
      </c>
      <c r="P1297" s="3">
        <v>0</v>
      </c>
      <c r="Q1297" s="3">
        <v>0</v>
      </c>
      <c r="R1297" s="3">
        <v>0</v>
      </c>
    </row>
    <row r="1298" spans="1:18">
      <c r="A1298" s="3" t="s">
        <v>3301</v>
      </c>
      <c r="B1298" s="3" t="s">
        <v>3302</v>
      </c>
      <c r="C1298" s="3" t="s">
        <v>3303</v>
      </c>
      <c r="D1298" s="3" t="s">
        <v>3304</v>
      </c>
      <c r="E1298" s="3" t="s">
        <v>120</v>
      </c>
      <c r="F1298" s="3">
        <v>69.9</v>
      </c>
      <c r="G1298" s="3" t="s">
        <v>121</v>
      </c>
      <c r="H1298" s="3"/>
      <c r="I1298" s="3" t="s">
        <v>122</v>
      </c>
      <c r="J1298" s="3">
        <v>27</v>
      </c>
      <c r="K1298" s="3">
        <v>22</v>
      </c>
      <c r="L1298" s="3">
        <v>1</v>
      </c>
      <c r="M1298" s="3">
        <v>4</v>
      </c>
      <c r="N1298" s="3">
        <v>27</v>
      </c>
      <c r="O1298" s="3">
        <v>0.17</v>
      </c>
      <c r="P1298" s="3">
        <v>0</v>
      </c>
      <c r="Q1298" s="3">
        <v>0</v>
      </c>
      <c r="R1298" s="3">
        <v>0</v>
      </c>
    </row>
    <row r="1299" spans="1:18">
      <c r="A1299" s="3" t="s">
        <v>3305</v>
      </c>
      <c r="B1299" s="3" t="s">
        <v>3306</v>
      </c>
      <c r="C1299" s="3" t="s">
        <v>3307</v>
      </c>
      <c r="D1299" s="3" t="s">
        <v>3308</v>
      </c>
      <c r="E1299" s="3" t="s">
        <v>120</v>
      </c>
      <c r="F1299" s="3">
        <v>69.9</v>
      </c>
      <c r="G1299" s="3" t="s">
        <v>121</v>
      </c>
      <c r="H1299" s="3"/>
      <c r="I1299" s="3" t="s">
        <v>122</v>
      </c>
      <c r="J1299" s="3">
        <v>29</v>
      </c>
      <c r="K1299" s="3">
        <v>26</v>
      </c>
      <c r="L1299" s="3">
        <v>0</v>
      </c>
      <c r="M1299" s="3">
        <v>3</v>
      </c>
      <c r="N1299" s="3">
        <v>29</v>
      </c>
      <c r="O1299" s="3">
        <v>0.17</v>
      </c>
      <c r="P1299" s="3">
        <v>0</v>
      </c>
      <c r="Q1299" s="3">
        <v>0</v>
      </c>
      <c r="R1299" s="3">
        <v>0</v>
      </c>
    </row>
    <row r="1300" spans="1:18">
      <c r="A1300" s="3" t="s">
        <v>3309</v>
      </c>
      <c r="B1300" s="3" t="s">
        <v>3310</v>
      </c>
      <c r="C1300" s="3" t="s">
        <v>3311</v>
      </c>
      <c r="D1300" s="3" t="s">
        <v>3312</v>
      </c>
      <c r="E1300" s="3" t="s">
        <v>120</v>
      </c>
      <c r="F1300" s="3">
        <v>69.9</v>
      </c>
      <c r="G1300" s="3" t="s">
        <v>121</v>
      </c>
      <c r="H1300" s="3"/>
      <c r="I1300" s="3" t="s">
        <v>122</v>
      </c>
      <c r="J1300" s="3">
        <v>0</v>
      </c>
      <c r="K1300" s="3">
        <v>0</v>
      </c>
      <c r="L1300" s="3">
        <v>0</v>
      </c>
      <c r="M1300" s="3">
        <v>0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</row>
    <row r="1301" spans="1:18">
      <c r="A1301" s="3" t="s">
        <v>3313</v>
      </c>
      <c r="B1301" s="3" t="s">
        <v>3314</v>
      </c>
      <c r="C1301" s="3" t="s">
        <v>3314</v>
      </c>
      <c r="D1301" s="3" t="s">
        <v>3315</v>
      </c>
      <c r="E1301" s="3" t="s">
        <v>120</v>
      </c>
      <c r="F1301" s="3">
        <v>22.98</v>
      </c>
      <c r="G1301" s="3" t="s">
        <v>121</v>
      </c>
      <c r="H1301" s="3"/>
      <c r="I1301" s="3" t="s">
        <v>122</v>
      </c>
      <c r="J1301" s="3">
        <v>25</v>
      </c>
      <c r="K1301" s="3">
        <v>25</v>
      </c>
      <c r="L1301" s="3">
        <v>0</v>
      </c>
      <c r="M1301" s="3">
        <v>0</v>
      </c>
      <c r="N1301" s="3">
        <v>25</v>
      </c>
      <c r="O1301" s="3">
        <v>0.08</v>
      </c>
      <c r="P1301" s="3">
        <v>0</v>
      </c>
      <c r="Q1301" s="3">
        <v>0</v>
      </c>
      <c r="R1301" s="3">
        <v>0</v>
      </c>
    </row>
    <row r="1302" spans="1:18">
      <c r="A1302" s="3" t="s">
        <v>3316</v>
      </c>
      <c r="B1302" s="3" t="s">
        <v>3317</v>
      </c>
      <c r="C1302" s="3" t="s">
        <v>3318</v>
      </c>
      <c r="D1302" s="3" t="s">
        <v>3319</v>
      </c>
      <c r="E1302" s="3" t="s">
        <v>120</v>
      </c>
      <c r="F1302" s="3">
        <v>22.98</v>
      </c>
      <c r="G1302" s="3" t="s">
        <v>121</v>
      </c>
      <c r="H1302" s="3"/>
      <c r="I1302" s="3" t="s">
        <v>122</v>
      </c>
      <c r="J1302" s="3">
        <v>0</v>
      </c>
      <c r="K1302" s="3">
        <v>0</v>
      </c>
      <c r="L1302" s="3">
        <v>0</v>
      </c>
      <c r="M1302" s="3">
        <v>0</v>
      </c>
      <c r="N1302" s="3">
        <v>0</v>
      </c>
      <c r="O1302" s="3">
        <v>0.12</v>
      </c>
      <c r="P1302" s="3">
        <v>0</v>
      </c>
      <c r="Q1302" s="3">
        <v>0</v>
      </c>
      <c r="R1302" s="3">
        <v>0</v>
      </c>
    </row>
    <row r="1303" spans="1:18">
      <c r="A1303" s="3" t="s">
        <v>3320</v>
      </c>
      <c r="B1303" s="3" t="s">
        <v>3321</v>
      </c>
      <c r="C1303" s="3" t="s">
        <v>3322</v>
      </c>
      <c r="D1303" s="3" t="s">
        <v>3323</v>
      </c>
      <c r="E1303" s="3" t="s">
        <v>120</v>
      </c>
      <c r="F1303" s="3">
        <v>22.98</v>
      </c>
      <c r="G1303" s="3" t="s">
        <v>121</v>
      </c>
      <c r="H1303" s="3"/>
      <c r="I1303" s="3" t="s">
        <v>122</v>
      </c>
      <c r="J1303" s="3">
        <v>0</v>
      </c>
      <c r="K1303" s="3">
        <v>0</v>
      </c>
      <c r="L1303" s="3">
        <v>0</v>
      </c>
      <c r="M1303" s="3">
        <v>0</v>
      </c>
      <c r="N1303" s="3">
        <v>0</v>
      </c>
      <c r="O1303" s="3">
        <v>0.12</v>
      </c>
      <c r="P1303" s="3">
        <v>0</v>
      </c>
      <c r="Q1303" s="3">
        <v>0</v>
      </c>
      <c r="R1303" s="3">
        <v>0</v>
      </c>
    </row>
    <row r="1304" spans="1:18">
      <c r="A1304" s="3" t="s">
        <v>3324</v>
      </c>
      <c r="B1304" s="3" t="s">
        <v>3325</v>
      </c>
      <c r="C1304" s="3" t="s">
        <v>3326</v>
      </c>
      <c r="D1304" s="3" t="s">
        <v>3327</v>
      </c>
      <c r="E1304" s="3" t="s">
        <v>120</v>
      </c>
      <c r="F1304" s="3">
        <v>22.98</v>
      </c>
      <c r="G1304" s="3" t="s">
        <v>121</v>
      </c>
      <c r="H1304" s="3"/>
      <c r="I1304" s="3" t="s">
        <v>122</v>
      </c>
      <c r="J1304" s="3">
        <v>0</v>
      </c>
      <c r="K1304" s="3">
        <v>0</v>
      </c>
      <c r="L1304" s="3">
        <v>0</v>
      </c>
      <c r="M1304" s="3">
        <v>0</v>
      </c>
      <c r="N1304" s="3">
        <v>0</v>
      </c>
      <c r="O1304" s="3">
        <v>0.12</v>
      </c>
      <c r="P1304" s="3">
        <v>0</v>
      </c>
      <c r="Q1304" s="3">
        <v>0</v>
      </c>
      <c r="R1304" s="3">
        <v>0</v>
      </c>
    </row>
    <row r="1305" spans="1:18">
      <c r="A1305" s="3" t="s">
        <v>3328</v>
      </c>
      <c r="B1305" s="3" t="s">
        <v>3329</v>
      </c>
      <c r="C1305" s="3" t="s">
        <v>3330</v>
      </c>
      <c r="D1305" s="3" t="s">
        <v>3331</v>
      </c>
      <c r="E1305" s="3" t="s">
        <v>120</v>
      </c>
      <c r="F1305" s="3">
        <v>22.98</v>
      </c>
      <c r="G1305" s="3" t="s">
        <v>121</v>
      </c>
      <c r="H1305" s="3"/>
      <c r="I1305" s="3" t="s">
        <v>122</v>
      </c>
      <c r="J1305" s="3">
        <v>0</v>
      </c>
      <c r="K1305" s="3">
        <v>0</v>
      </c>
      <c r="L1305" s="3">
        <v>0</v>
      </c>
      <c r="M1305" s="3">
        <v>0</v>
      </c>
      <c r="N1305" s="3">
        <v>0</v>
      </c>
      <c r="O1305" s="3">
        <v>0.12</v>
      </c>
      <c r="P1305" s="3">
        <v>0</v>
      </c>
      <c r="Q1305" s="3">
        <v>0</v>
      </c>
      <c r="R1305" s="3">
        <v>0</v>
      </c>
    </row>
    <row r="1306" spans="1:18">
      <c r="A1306" s="3" t="s">
        <v>3332</v>
      </c>
      <c r="B1306" s="3" t="s">
        <v>3333</v>
      </c>
      <c r="C1306" s="3" t="s">
        <v>3334</v>
      </c>
      <c r="D1306" s="3" t="s">
        <v>3335</v>
      </c>
      <c r="E1306" s="3" t="s">
        <v>120</v>
      </c>
      <c r="F1306" s="3">
        <v>22.98</v>
      </c>
      <c r="G1306" s="3" t="s">
        <v>121</v>
      </c>
      <c r="H1306" s="3"/>
      <c r="I1306" s="3" t="s">
        <v>122</v>
      </c>
      <c r="J1306" s="3">
        <v>0</v>
      </c>
      <c r="K1306" s="3">
        <v>0</v>
      </c>
      <c r="L1306" s="3">
        <v>0</v>
      </c>
      <c r="M1306" s="3">
        <v>0</v>
      </c>
      <c r="N1306" s="3">
        <v>0</v>
      </c>
      <c r="O1306" s="3">
        <v>0.12</v>
      </c>
      <c r="P1306" s="3">
        <v>0</v>
      </c>
      <c r="Q1306" s="3">
        <v>0</v>
      </c>
      <c r="R1306" s="3">
        <v>0</v>
      </c>
    </row>
    <row r="1307" spans="1:18">
      <c r="A1307" s="3" t="s">
        <v>3336</v>
      </c>
      <c r="B1307" s="3" t="s">
        <v>3337</v>
      </c>
      <c r="C1307" s="3" t="s">
        <v>3338</v>
      </c>
      <c r="D1307" s="3" t="s">
        <v>3339</v>
      </c>
      <c r="E1307" s="3" t="s">
        <v>120</v>
      </c>
      <c r="F1307" s="3">
        <v>22.98</v>
      </c>
      <c r="G1307" s="3" t="s">
        <v>121</v>
      </c>
      <c r="H1307" s="3"/>
      <c r="I1307" s="3" t="s">
        <v>122</v>
      </c>
      <c r="J1307" s="3">
        <v>0</v>
      </c>
      <c r="K1307" s="3">
        <v>0</v>
      </c>
      <c r="L1307" s="3">
        <v>0</v>
      </c>
      <c r="M1307" s="3">
        <v>0</v>
      </c>
      <c r="N1307" s="3">
        <v>0</v>
      </c>
      <c r="O1307" s="3">
        <v>0.04</v>
      </c>
      <c r="P1307" s="3">
        <v>0</v>
      </c>
      <c r="Q1307" s="3">
        <v>0</v>
      </c>
      <c r="R1307" s="3">
        <v>0</v>
      </c>
    </row>
    <row r="1308" spans="1:18">
      <c r="A1308" s="3" t="s">
        <v>3340</v>
      </c>
      <c r="B1308" s="3" t="s">
        <v>3341</v>
      </c>
      <c r="C1308" s="3" t="s">
        <v>3342</v>
      </c>
      <c r="D1308" s="3" t="s">
        <v>3343</v>
      </c>
      <c r="E1308" s="3" t="s">
        <v>120</v>
      </c>
      <c r="F1308" s="3">
        <v>22.98</v>
      </c>
      <c r="G1308" s="3" t="s">
        <v>121</v>
      </c>
      <c r="H1308" s="3"/>
      <c r="I1308" s="3" t="s">
        <v>122</v>
      </c>
      <c r="J1308" s="3">
        <v>0</v>
      </c>
      <c r="K1308" s="3">
        <v>0</v>
      </c>
      <c r="L1308" s="3">
        <v>0</v>
      </c>
      <c r="M1308" s="3">
        <v>0</v>
      </c>
      <c r="N1308" s="3">
        <v>0</v>
      </c>
      <c r="O1308" s="3">
        <v>0.12</v>
      </c>
      <c r="P1308" s="3">
        <v>0</v>
      </c>
      <c r="Q1308" s="3">
        <v>0</v>
      </c>
      <c r="R1308" s="3">
        <v>0</v>
      </c>
    </row>
    <row r="1309" spans="1:18">
      <c r="A1309" s="3" t="s">
        <v>3344</v>
      </c>
      <c r="B1309" s="3" t="s">
        <v>3345</v>
      </c>
      <c r="C1309" s="3" t="s">
        <v>3346</v>
      </c>
      <c r="D1309" s="3" t="s">
        <v>3347</v>
      </c>
      <c r="E1309" s="3" t="s">
        <v>120</v>
      </c>
      <c r="F1309" s="3">
        <v>22.98</v>
      </c>
      <c r="G1309" s="3" t="s">
        <v>121</v>
      </c>
      <c r="H1309" s="3"/>
      <c r="I1309" s="3" t="s">
        <v>122</v>
      </c>
      <c r="J1309" s="3">
        <v>0</v>
      </c>
      <c r="K1309" s="3">
        <v>0</v>
      </c>
      <c r="L1309" s="3">
        <v>0</v>
      </c>
      <c r="M1309" s="3">
        <v>0</v>
      </c>
      <c r="N1309" s="3">
        <v>0</v>
      </c>
      <c r="O1309" s="3">
        <v>0.12</v>
      </c>
      <c r="P1309" s="3">
        <v>0</v>
      </c>
      <c r="Q1309" s="3">
        <v>0</v>
      </c>
      <c r="R1309" s="3">
        <v>0</v>
      </c>
    </row>
    <row r="1310" spans="1:18">
      <c r="A1310" s="3" t="s">
        <v>3348</v>
      </c>
      <c r="B1310" s="3" t="s">
        <v>3349</v>
      </c>
      <c r="C1310" s="3" t="s">
        <v>3350</v>
      </c>
      <c r="D1310" s="3" t="s">
        <v>3351</v>
      </c>
      <c r="E1310" s="3" t="s">
        <v>120</v>
      </c>
      <c r="F1310" s="3">
        <v>22.98</v>
      </c>
      <c r="G1310" s="3" t="s">
        <v>121</v>
      </c>
      <c r="H1310" s="3"/>
      <c r="I1310" s="3" t="s">
        <v>122</v>
      </c>
      <c r="J1310" s="3">
        <v>0</v>
      </c>
      <c r="K1310" s="3">
        <v>0</v>
      </c>
      <c r="L1310" s="3">
        <v>0</v>
      </c>
      <c r="M1310" s="3">
        <v>0</v>
      </c>
      <c r="N1310" s="3">
        <v>0</v>
      </c>
      <c r="O1310" s="3">
        <v>0.12</v>
      </c>
      <c r="P1310" s="3">
        <v>0</v>
      </c>
      <c r="Q1310" s="3">
        <v>0</v>
      </c>
      <c r="R1310" s="3">
        <v>0</v>
      </c>
    </row>
    <row r="1311" spans="1:18">
      <c r="A1311" s="3" t="s">
        <v>3352</v>
      </c>
      <c r="B1311" s="3" t="s">
        <v>3353</v>
      </c>
      <c r="C1311" s="3" t="s">
        <v>3354</v>
      </c>
      <c r="D1311" s="3" t="s">
        <v>3355</v>
      </c>
      <c r="E1311" s="3" t="s">
        <v>120</v>
      </c>
      <c r="F1311" s="3">
        <v>22.98</v>
      </c>
      <c r="G1311" s="3" t="s">
        <v>121</v>
      </c>
      <c r="H1311" s="3"/>
      <c r="I1311" s="3" t="s">
        <v>122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0.12</v>
      </c>
      <c r="P1311" s="3">
        <v>0</v>
      </c>
      <c r="Q1311" s="3">
        <v>0</v>
      </c>
      <c r="R1311" s="3">
        <v>0</v>
      </c>
    </row>
    <row r="1312" spans="1:18">
      <c r="A1312" s="3" t="s">
        <v>3356</v>
      </c>
      <c r="B1312" s="3" t="s">
        <v>3357</v>
      </c>
      <c r="C1312" s="3" t="s">
        <v>3358</v>
      </c>
      <c r="D1312" s="3" t="s">
        <v>3359</v>
      </c>
      <c r="E1312" s="3" t="s">
        <v>120</v>
      </c>
      <c r="F1312" s="3">
        <v>22.98</v>
      </c>
      <c r="G1312" s="3" t="s">
        <v>121</v>
      </c>
      <c r="H1312" s="3"/>
      <c r="I1312" s="3" t="s">
        <v>122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0.12</v>
      </c>
      <c r="P1312" s="3">
        <v>0</v>
      </c>
      <c r="Q1312" s="3">
        <v>0</v>
      </c>
      <c r="R1312" s="3">
        <v>0</v>
      </c>
    </row>
    <row r="1313" spans="1:18">
      <c r="A1313" s="3" t="s">
        <v>3360</v>
      </c>
      <c r="B1313" s="3" t="s">
        <v>3361</v>
      </c>
      <c r="C1313" s="3" t="s">
        <v>3362</v>
      </c>
      <c r="D1313" s="3" t="s">
        <v>3363</v>
      </c>
      <c r="E1313" s="3" t="s">
        <v>120</v>
      </c>
      <c r="F1313" s="3">
        <v>22.98</v>
      </c>
      <c r="G1313" s="3" t="s">
        <v>121</v>
      </c>
      <c r="H1313" s="3"/>
      <c r="I1313" s="3" t="s">
        <v>122</v>
      </c>
      <c r="J1313" s="3">
        <v>0</v>
      </c>
      <c r="K1313" s="3">
        <v>0</v>
      </c>
      <c r="L1313" s="3">
        <v>0</v>
      </c>
      <c r="M1313" s="3">
        <v>0</v>
      </c>
      <c r="N1313" s="3">
        <v>0</v>
      </c>
      <c r="O1313" s="3">
        <v>0.12</v>
      </c>
      <c r="P1313" s="3">
        <v>0</v>
      </c>
      <c r="Q1313" s="3">
        <v>0</v>
      </c>
      <c r="R1313" s="3">
        <v>0</v>
      </c>
    </row>
    <row r="1314" spans="1:18">
      <c r="A1314" s="3" t="s">
        <v>3364</v>
      </c>
      <c r="B1314" s="3" t="s">
        <v>3365</v>
      </c>
      <c r="C1314" s="3" t="s">
        <v>3366</v>
      </c>
      <c r="D1314" s="3" t="s">
        <v>3367</v>
      </c>
      <c r="E1314" s="3" t="s">
        <v>120</v>
      </c>
      <c r="F1314" s="3">
        <v>22.98</v>
      </c>
      <c r="G1314" s="3" t="s">
        <v>121</v>
      </c>
      <c r="H1314" s="3"/>
      <c r="I1314" s="3" t="s">
        <v>122</v>
      </c>
      <c r="J1314" s="3">
        <v>10</v>
      </c>
      <c r="K1314" s="3">
        <v>10</v>
      </c>
      <c r="L1314" s="3">
        <v>0</v>
      </c>
      <c r="M1314" s="3">
        <v>0</v>
      </c>
      <c r="N1314" s="3">
        <v>10</v>
      </c>
      <c r="O1314" s="3">
        <v>0.12</v>
      </c>
      <c r="P1314" s="3">
        <v>0</v>
      </c>
      <c r="Q1314" s="3">
        <v>0</v>
      </c>
      <c r="R1314" s="3">
        <v>0</v>
      </c>
    </row>
    <row r="1315" spans="1:18">
      <c r="A1315" s="3" t="s">
        <v>3368</v>
      </c>
      <c r="B1315" s="3" t="s">
        <v>3369</v>
      </c>
      <c r="C1315" s="3" t="s">
        <v>3370</v>
      </c>
      <c r="D1315" s="3" t="s">
        <v>3371</v>
      </c>
      <c r="E1315" s="3" t="s">
        <v>120</v>
      </c>
      <c r="F1315" s="3">
        <v>22.98</v>
      </c>
      <c r="G1315" s="3" t="s">
        <v>121</v>
      </c>
      <c r="H1315" s="3"/>
      <c r="I1315" s="3" t="s">
        <v>122</v>
      </c>
      <c r="J1315" s="3">
        <v>0</v>
      </c>
      <c r="K1315" s="3">
        <v>0</v>
      </c>
      <c r="L1315" s="3">
        <v>0</v>
      </c>
      <c r="M1315" s="3">
        <v>0</v>
      </c>
      <c r="N1315" s="3">
        <v>0</v>
      </c>
      <c r="O1315" s="3">
        <v>0.12</v>
      </c>
      <c r="P1315" s="3">
        <v>0</v>
      </c>
      <c r="Q1315" s="3">
        <v>0</v>
      </c>
      <c r="R1315" s="3">
        <v>0</v>
      </c>
    </row>
    <row r="1316" spans="1:18">
      <c r="A1316" s="3" t="s">
        <v>3372</v>
      </c>
      <c r="B1316" s="3" t="s">
        <v>3373</v>
      </c>
      <c r="C1316" s="3" t="s">
        <v>3374</v>
      </c>
      <c r="D1316" s="3" t="s">
        <v>3375</v>
      </c>
      <c r="E1316" s="3" t="s">
        <v>120</v>
      </c>
      <c r="F1316" s="3">
        <v>22.98</v>
      </c>
      <c r="G1316" s="3" t="s">
        <v>121</v>
      </c>
      <c r="H1316" s="3"/>
      <c r="I1316" s="3" t="s">
        <v>122</v>
      </c>
      <c r="J1316" s="3">
        <v>0</v>
      </c>
      <c r="K1316" s="3">
        <v>0</v>
      </c>
      <c r="L1316" s="3">
        <v>0</v>
      </c>
      <c r="M1316" s="3">
        <v>0</v>
      </c>
      <c r="N1316" s="3">
        <v>0</v>
      </c>
      <c r="O1316" s="3">
        <v>0.12</v>
      </c>
      <c r="P1316" s="3">
        <v>0</v>
      </c>
      <c r="Q1316" s="3">
        <v>0</v>
      </c>
      <c r="R1316" s="3">
        <v>0</v>
      </c>
    </row>
    <row r="1317" spans="1:18">
      <c r="A1317" s="3" t="s">
        <v>3376</v>
      </c>
      <c r="B1317" s="3" t="s">
        <v>3377</v>
      </c>
      <c r="C1317" s="3" t="s">
        <v>3378</v>
      </c>
      <c r="D1317" s="3" t="s">
        <v>3379</v>
      </c>
      <c r="E1317" s="3" t="s">
        <v>120</v>
      </c>
      <c r="F1317" s="3">
        <v>22.98</v>
      </c>
      <c r="G1317" s="3" t="s">
        <v>121</v>
      </c>
      <c r="H1317" s="3"/>
      <c r="I1317" s="3" t="s">
        <v>122</v>
      </c>
      <c r="J1317" s="3">
        <v>0</v>
      </c>
      <c r="K1317" s="3">
        <v>0</v>
      </c>
      <c r="L1317" s="3">
        <v>0</v>
      </c>
      <c r="M1317" s="3">
        <v>0</v>
      </c>
      <c r="N1317" s="3">
        <v>0</v>
      </c>
      <c r="O1317" s="3">
        <v>0.15</v>
      </c>
      <c r="P1317" s="3">
        <v>0</v>
      </c>
      <c r="Q1317" s="3">
        <v>0</v>
      </c>
      <c r="R1317" s="3">
        <v>0</v>
      </c>
    </row>
    <row r="1318" spans="1:18">
      <c r="A1318" s="3" t="s">
        <v>3380</v>
      </c>
      <c r="B1318" s="3" t="s">
        <v>3381</v>
      </c>
      <c r="C1318" s="3" t="s">
        <v>3382</v>
      </c>
      <c r="D1318" s="3" t="s">
        <v>3383</v>
      </c>
      <c r="E1318" s="3" t="s">
        <v>120</v>
      </c>
      <c r="F1318" s="3">
        <v>22.98</v>
      </c>
      <c r="G1318" s="3" t="s">
        <v>121</v>
      </c>
      <c r="H1318" s="3"/>
      <c r="I1318" s="3" t="s">
        <v>122</v>
      </c>
      <c r="J1318" s="3">
        <v>0</v>
      </c>
      <c r="K1318" s="3">
        <v>0</v>
      </c>
      <c r="L1318" s="3">
        <v>0</v>
      </c>
      <c r="M1318" s="3">
        <v>0</v>
      </c>
      <c r="N1318" s="3">
        <v>0</v>
      </c>
      <c r="O1318" s="3">
        <v>0.15</v>
      </c>
      <c r="P1318" s="3">
        <v>0</v>
      </c>
      <c r="Q1318" s="3">
        <v>0</v>
      </c>
      <c r="R1318" s="3">
        <v>0</v>
      </c>
    </row>
    <row r="1319" spans="1:18">
      <c r="A1319" s="3" t="s">
        <v>3384</v>
      </c>
      <c r="B1319" s="3" t="s">
        <v>3385</v>
      </c>
      <c r="C1319" s="3" t="s">
        <v>3386</v>
      </c>
      <c r="D1319" s="3" t="s">
        <v>3387</v>
      </c>
      <c r="E1319" s="3" t="s">
        <v>120</v>
      </c>
      <c r="F1319" s="3">
        <v>22.98</v>
      </c>
      <c r="G1319" s="3" t="s">
        <v>121</v>
      </c>
      <c r="H1319" s="3"/>
      <c r="I1319" s="3" t="s">
        <v>122</v>
      </c>
      <c r="J1319" s="3">
        <v>0</v>
      </c>
      <c r="K1319" s="3">
        <v>0</v>
      </c>
      <c r="L1319" s="3">
        <v>0</v>
      </c>
      <c r="M1319" s="3">
        <v>0</v>
      </c>
      <c r="N1319" s="3">
        <v>0</v>
      </c>
      <c r="O1319" s="3">
        <v>0.13</v>
      </c>
      <c r="P1319" s="3">
        <v>0</v>
      </c>
      <c r="Q1319" s="3">
        <v>0</v>
      </c>
      <c r="R1319" s="3">
        <v>0</v>
      </c>
    </row>
    <row r="1320" spans="1:18">
      <c r="A1320" s="3" t="s">
        <v>3388</v>
      </c>
      <c r="B1320" s="3" t="s">
        <v>3389</v>
      </c>
      <c r="C1320" s="3" t="s">
        <v>3390</v>
      </c>
      <c r="D1320" s="3" t="s">
        <v>3391</v>
      </c>
      <c r="E1320" s="3" t="s">
        <v>120</v>
      </c>
      <c r="F1320" s="3">
        <v>22.98</v>
      </c>
      <c r="G1320" s="3" t="s">
        <v>121</v>
      </c>
      <c r="H1320" s="3"/>
      <c r="I1320" s="3" t="s">
        <v>122</v>
      </c>
      <c r="J1320" s="3">
        <v>0</v>
      </c>
      <c r="K1320" s="3">
        <v>0</v>
      </c>
      <c r="L1320" s="3">
        <v>0</v>
      </c>
      <c r="M1320" s="3">
        <v>0</v>
      </c>
      <c r="N1320" s="3">
        <v>0</v>
      </c>
      <c r="O1320" s="3">
        <v>0.12</v>
      </c>
      <c r="P1320" s="3">
        <v>0</v>
      </c>
      <c r="Q1320" s="3">
        <v>0</v>
      </c>
      <c r="R1320" s="3">
        <v>0</v>
      </c>
    </row>
    <row r="1321" spans="1:18">
      <c r="A1321" s="3" t="s">
        <v>3392</v>
      </c>
      <c r="B1321" s="3" t="s">
        <v>3393</v>
      </c>
      <c r="C1321" s="3" t="s">
        <v>3394</v>
      </c>
      <c r="D1321" s="3" t="s">
        <v>3395</v>
      </c>
      <c r="E1321" s="3" t="s">
        <v>120</v>
      </c>
      <c r="F1321" s="3">
        <v>22.98</v>
      </c>
      <c r="G1321" s="3" t="s">
        <v>121</v>
      </c>
      <c r="H1321" s="3"/>
      <c r="I1321" s="3" t="s">
        <v>122</v>
      </c>
      <c r="J1321" s="3">
        <v>0</v>
      </c>
      <c r="K1321" s="3">
        <v>0</v>
      </c>
      <c r="L1321" s="3">
        <v>0</v>
      </c>
      <c r="M1321" s="3">
        <v>0</v>
      </c>
      <c r="N1321" s="3">
        <v>0</v>
      </c>
      <c r="O1321" s="3">
        <v>0.15</v>
      </c>
      <c r="P1321" s="3">
        <v>0</v>
      </c>
      <c r="Q1321" s="3">
        <v>0</v>
      </c>
      <c r="R1321" s="3">
        <v>0</v>
      </c>
    </row>
    <row r="1322" spans="1:18">
      <c r="A1322" s="3" t="s">
        <v>3396</v>
      </c>
      <c r="B1322" s="3" t="s">
        <v>3397</v>
      </c>
      <c r="C1322" s="3" t="s">
        <v>3398</v>
      </c>
      <c r="D1322" s="3" t="s">
        <v>3399</v>
      </c>
      <c r="E1322" s="3" t="s">
        <v>120</v>
      </c>
      <c r="F1322" s="3">
        <v>22.98</v>
      </c>
      <c r="G1322" s="3" t="s">
        <v>121</v>
      </c>
      <c r="H1322" s="3"/>
      <c r="I1322" s="3" t="s">
        <v>122</v>
      </c>
      <c r="J1322" s="3">
        <v>0</v>
      </c>
      <c r="K1322" s="3">
        <v>0</v>
      </c>
      <c r="L1322" s="3">
        <v>0</v>
      </c>
      <c r="M1322" s="3">
        <v>0</v>
      </c>
      <c r="N1322" s="3">
        <v>0</v>
      </c>
      <c r="O1322" s="3">
        <v>0.12</v>
      </c>
      <c r="P1322" s="3">
        <v>0</v>
      </c>
      <c r="Q1322" s="3">
        <v>0</v>
      </c>
      <c r="R1322" s="3">
        <v>0</v>
      </c>
    </row>
    <row r="1323" spans="1:18">
      <c r="A1323" s="3" t="s">
        <v>3400</v>
      </c>
      <c r="B1323" s="3" t="s">
        <v>3401</v>
      </c>
      <c r="C1323" s="3" t="s">
        <v>3402</v>
      </c>
      <c r="D1323" s="3" t="s">
        <v>3403</v>
      </c>
      <c r="E1323" s="3" t="s">
        <v>120</v>
      </c>
      <c r="F1323" s="3">
        <v>22.98</v>
      </c>
      <c r="G1323" s="3" t="s">
        <v>121</v>
      </c>
      <c r="H1323" s="3"/>
      <c r="I1323" s="3" t="s">
        <v>122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0.12</v>
      </c>
      <c r="P1323" s="3">
        <v>0</v>
      </c>
      <c r="Q1323" s="3">
        <v>0</v>
      </c>
      <c r="R1323" s="3">
        <v>0</v>
      </c>
    </row>
    <row r="1324" spans="1:18">
      <c r="A1324" s="3" t="s">
        <v>3404</v>
      </c>
      <c r="B1324" s="3" t="s">
        <v>3405</v>
      </c>
      <c r="C1324" s="3" t="s">
        <v>3406</v>
      </c>
      <c r="D1324" s="3" t="s">
        <v>3407</v>
      </c>
      <c r="E1324" s="3" t="s">
        <v>120</v>
      </c>
      <c r="F1324" s="3">
        <v>22.98</v>
      </c>
      <c r="G1324" s="3" t="s">
        <v>121</v>
      </c>
      <c r="H1324" s="3"/>
      <c r="I1324" s="3" t="s">
        <v>122</v>
      </c>
      <c r="J1324" s="3">
        <v>0</v>
      </c>
      <c r="K1324" s="3">
        <v>0</v>
      </c>
      <c r="L1324" s="3">
        <v>0</v>
      </c>
      <c r="M1324" s="3">
        <v>0</v>
      </c>
      <c r="N1324" s="3">
        <v>0</v>
      </c>
      <c r="O1324" s="3">
        <v>0.12</v>
      </c>
      <c r="P1324" s="3">
        <v>0</v>
      </c>
      <c r="Q1324" s="3">
        <v>0</v>
      </c>
      <c r="R1324" s="3">
        <v>0</v>
      </c>
    </row>
    <row r="1325" spans="1:18">
      <c r="A1325" s="3" t="s">
        <v>3408</v>
      </c>
      <c r="B1325" s="3" t="s">
        <v>3409</v>
      </c>
      <c r="C1325" s="3" t="s">
        <v>3410</v>
      </c>
      <c r="D1325" s="3" t="s">
        <v>3411</v>
      </c>
      <c r="E1325" s="3" t="s">
        <v>120</v>
      </c>
      <c r="F1325" s="3">
        <v>22.98</v>
      </c>
      <c r="G1325" s="3" t="s">
        <v>121</v>
      </c>
      <c r="H1325" s="3"/>
      <c r="I1325" s="3" t="s">
        <v>122</v>
      </c>
      <c r="J1325" s="3">
        <v>0</v>
      </c>
      <c r="K1325" s="3">
        <v>0</v>
      </c>
      <c r="L1325" s="3">
        <v>0</v>
      </c>
      <c r="M1325" s="3">
        <v>0</v>
      </c>
      <c r="N1325" s="3">
        <v>0</v>
      </c>
      <c r="O1325" s="3">
        <v>0.12</v>
      </c>
      <c r="P1325" s="3">
        <v>0</v>
      </c>
      <c r="Q1325" s="3">
        <v>0</v>
      </c>
      <c r="R1325" s="3">
        <v>0</v>
      </c>
    </row>
    <row r="1326" spans="1:18">
      <c r="A1326" s="3" t="s">
        <v>3412</v>
      </c>
      <c r="B1326" s="3" t="s">
        <v>3413</v>
      </c>
      <c r="C1326" s="3" t="s">
        <v>3414</v>
      </c>
      <c r="D1326" s="3" t="s">
        <v>3415</v>
      </c>
      <c r="E1326" s="3" t="s">
        <v>120</v>
      </c>
      <c r="F1326" s="3">
        <v>22.98</v>
      </c>
      <c r="G1326" s="3" t="s">
        <v>121</v>
      </c>
      <c r="H1326" s="3"/>
      <c r="I1326" s="3" t="s">
        <v>122</v>
      </c>
      <c r="J1326" s="3">
        <v>0</v>
      </c>
      <c r="K1326" s="3">
        <v>0</v>
      </c>
      <c r="L1326" s="3">
        <v>0</v>
      </c>
      <c r="M1326" s="3">
        <v>0</v>
      </c>
      <c r="N1326" s="3">
        <v>0</v>
      </c>
      <c r="O1326" s="3">
        <v>0.15</v>
      </c>
      <c r="P1326" s="3">
        <v>0</v>
      </c>
      <c r="Q1326" s="3">
        <v>0</v>
      </c>
      <c r="R1326" s="3">
        <v>0</v>
      </c>
    </row>
    <row r="1327" spans="1:18">
      <c r="A1327" s="3" t="s">
        <v>3416</v>
      </c>
      <c r="B1327" s="3" t="s">
        <v>3417</v>
      </c>
      <c r="C1327" s="3" t="s">
        <v>3418</v>
      </c>
      <c r="D1327" s="3" t="s">
        <v>3419</v>
      </c>
      <c r="E1327" s="3" t="s">
        <v>120</v>
      </c>
      <c r="F1327" s="3">
        <v>22.98</v>
      </c>
      <c r="G1327" s="3" t="s">
        <v>121</v>
      </c>
      <c r="H1327" s="3"/>
      <c r="I1327" s="3" t="s">
        <v>122</v>
      </c>
      <c r="J1327" s="3">
        <v>0</v>
      </c>
      <c r="K1327" s="3">
        <v>0</v>
      </c>
      <c r="L1327" s="3">
        <v>0</v>
      </c>
      <c r="M1327" s="3">
        <v>0</v>
      </c>
      <c r="N1327" s="3">
        <v>0</v>
      </c>
      <c r="O1327" s="3">
        <v>0.17</v>
      </c>
      <c r="P1327" s="3">
        <v>0</v>
      </c>
      <c r="Q1327" s="3">
        <v>0</v>
      </c>
      <c r="R1327" s="3">
        <v>0</v>
      </c>
    </row>
    <row r="1328" spans="1:18">
      <c r="A1328" s="3" t="s">
        <v>3420</v>
      </c>
      <c r="B1328" s="3" t="s">
        <v>3421</v>
      </c>
      <c r="C1328" s="3" t="s">
        <v>3422</v>
      </c>
      <c r="D1328" s="3" t="s">
        <v>3423</v>
      </c>
      <c r="E1328" s="3" t="s">
        <v>120</v>
      </c>
      <c r="F1328" s="3">
        <v>22.98</v>
      </c>
      <c r="G1328" s="3" t="s">
        <v>121</v>
      </c>
      <c r="H1328" s="3"/>
      <c r="I1328" s="3" t="s">
        <v>122</v>
      </c>
      <c r="J1328" s="3">
        <v>0</v>
      </c>
      <c r="K1328" s="3">
        <v>0</v>
      </c>
      <c r="L1328" s="3">
        <v>0</v>
      </c>
      <c r="M1328" s="3">
        <v>0</v>
      </c>
      <c r="N1328" s="3">
        <v>0</v>
      </c>
      <c r="O1328" s="3">
        <v>0.13</v>
      </c>
      <c r="P1328" s="3">
        <v>0</v>
      </c>
      <c r="Q1328" s="3">
        <v>0</v>
      </c>
      <c r="R1328" s="3">
        <v>0</v>
      </c>
    </row>
    <row r="1329" spans="1:18">
      <c r="A1329" s="3" t="s">
        <v>3424</v>
      </c>
      <c r="B1329" s="3" t="s">
        <v>3425</v>
      </c>
      <c r="C1329" s="3" t="s">
        <v>3426</v>
      </c>
      <c r="D1329" s="3" t="s">
        <v>3427</v>
      </c>
      <c r="E1329" s="3" t="s">
        <v>120</v>
      </c>
      <c r="F1329" s="3">
        <v>22.98</v>
      </c>
      <c r="G1329" s="3" t="s">
        <v>121</v>
      </c>
      <c r="H1329" s="3"/>
      <c r="I1329" s="3" t="s">
        <v>122</v>
      </c>
      <c r="J1329" s="3">
        <v>0</v>
      </c>
      <c r="K1329" s="3">
        <v>0</v>
      </c>
      <c r="L1329" s="3">
        <v>0</v>
      </c>
      <c r="M1329" s="3">
        <v>0</v>
      </c>
      <c r="N1329" s="3">
        <v>0</v>
      </c>
      <c r="O1329" s="3">
        <v>0.13</v>
      </c>
      <c r="P1329" s="3">
        <v>0</v>
      </c>
      <c r="Q1329" s="3">
        <v>0</v>
      </c>
      <c r="R1329" s="3">
        <v>0</v>
      </c>
    </row>
    <row r="1330" spans="1:18">
      <c r="A1330" s="3" t="s">
        <v>3428</v>
      </c>
      <c r="B1330" s="3" t="s">
        <v>3429</v>
      </c>
      <c r="C1330" s="3" t="s">
        <v>3430</v>
      </c>
      <c r="D1330" s="3" t="s">
        <v>3431</v>
      </c>
      <c r="E1330" s="3" t="s">
        <v>120</v>
      </c>
      <c r="F1330" s="3">
        <v>22.98</v>
      </c>
      <c r="G1330" s="3" t="s">
        <v>121</v>
      </c>
      <c r="H1330" s="3"/>
      <c r="I1330" s="3" t="s">
        <v>122</v>
      </c>
      <c r="J1330" s="3">
        <v>0</v>
      </c>
      <c r="K1330" s="3">
        <v>0</v>
      </c>
      <c r="L1330" s="3">
        <v>0</v>
      </c>
      <c r="M1330" s="3">
        <v>0</v>
      </c>
      <c r="N1330" s="3">
        <v>0</v>
      </c>
      <c r="O1330" s="3">
        <v>0.12</v>
      </c>
      <c r="P1330" s="3">
        <v>0</v>
      </c>
      <c r="Q1330" s="3">
        <v>0</v>
      </c>
      <c r="R1330" s="3">
        <v>0</v>
      </c>
    </row>
    <row r="1331" spans="1:18">
      <c r="A1331" s="3" t="s">
        <v>3432</v>
      </c>
      <c r="B1331" s="3" t="s">
        <v>3433</v>
      </c>
      <c r="C1331" s="3" t="s">
        <v>3434</v>
      </c>
      <c r="D1331" s="3" t="s">
        <v>3435</v>
      </c>
      <c r="E1331" s="3" t="s">
        <v>120</v>
      </c>
      <c r="F1331" s="3">
        <v>22.98</v>
      </c>
      <c r="G1331" s="3" t="s">
        <v>121</v>
      </c>
      <c r="H1331" s="3"/>
      <c r="I1331" s="3" t="s">
        <v>122</v>
      </c>
      <c r="J1331" s="3">
        <v>0</v>
      </c>
      <c r="K1331" s="3">
        <v>0</v>
      </c>
      <c r="L1331" s="3">
        <v>0</v>
      </c>
      <c r="M1331" s="3">
        <v>0</v>
      </c>
      <c r="N1331" s="3">
        <v>0</v>
      </c>
      <c r="O1331" s="3">
        <v>0.11</v>
      </c>
      <c r="P1331" s="3">
        <v>0</v>
      </c>
      <c r="Q1331" s="3">
        <v>0</v>
      </c>
      <c r="R1331" s="3">
        <v>0</v>
      </c>
    </row>
    <row r="1332" spans="1:18">
      <c r="A1332" s="3" t="s">
        <v>3436</v>
      </c>
      <c r="B1332" s="3" t="s">
        <v>3437</v>
      </c>
      <c r="C1332" s="3" t="s">
        <v>3438</v>
      </c>
      <c r="D1332" s="3" t="s">
        <v>3439</v>
      </c>
      <c r="E1332" s="3" t="s">
        <v>120</v>
      </c>
      <c r="F1332" s="3">
        <v>22.98</v>
      </c>
      <c r="G1332" s="3" t="s">
        <v>121</v>
      </c>
      <c r="H1332" s="3"/>
      <c r="I1332" s="3" t="s">
        <v>122</v>
      </c>
      <c r="J1332" s="3">
        <v>0</v>
      </c>
      <c r="K1332" s="3">
        <v>0</v>
      </c>
      <c r="L1332" s="3">
        <v>0</v>
      </c>
      <c r="M1332" s="3">
        <v>0</v>
      </c>
      <c r="N1332" s="3">
        <v>0</v>
      </c>
      <c r="O1332" s="3">
        <v>0.13</v>
      </c>
      <c r="P1332" s="3">
        <v>0</v>
      </c>
      <c r="Q1332" s="3">
        <v>0</v>
      </c>
      <c r="R1332" s="3">
        <v>0</v>
      </c>
    </row>
    <row r="1333" spans="1:18">
      <c r="A1333" s="3" t="s">
        <v>3440</v>
      </c>
      <c r="B1333" s="3" t="s">
        <v>3441</v>
      </c>
      <c r="C1333" s="3" t="s">
        <v>3442</v>
      </c>
      <c r="D1333" s="3" t="s">
        <v>3443</v>
      </c>
      <c r="E1333" s="3" t="s">
        <v>120</v>
      </c>
      <c r="F1333" s="3">
        <v>22.98</v>
      </c>
      <c r="G1333" s="3" t="s">
        <v>121</v>
      </c>
      <c r="H1333" s="3"/>
      <c r="I1333" s="3" t="s">
        <v>122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0.13</v>
      </c>
      <c r="P1333" s="3">
        <v>0</v>
      </c>
      <c r="Q1333" s="3">
        <v>0</v>
      </c>
      <c r="R1333" s="3">
        <v>0</v>
      </c>
    </row>
    <row r="1334" spans="1:18">
      <c r="A1334" s="3" t="s">
        <v>3444</v>
      </c>
      <c r="B1334" s="3" t="s">
        <v>3445</v>
      </c>
      <c r="C1334" s="3" t="s">
        <v>3446</v>
      </c>
      <c r="D1334" s="3" t="s">
        <v>3447</v>
      </c>
      <c r="E1334" s="3" t="s">
        <v>120</v>
      </c>
      <c r="F1334" s="3">
        <v>22.98</v>
      </c>
      <c r="G1334" s="3" t="s">
        <v>121</v>
      </c>
      <c r="H1334" s="3"/>
      <c r="I1334" s="3" t="s">
        <v>122</v>
      </c>
      <c r="J1334" s="3">
        <v>0</v>
      </c>
      <c r="K1334" s="3">
        <v>0</v>
      </c>
      <c r="L1334" s="3">
        <v>0</v>
      </c>
      <c r="M1334" s="3">
        <v>0</v>
      </c>
      <c r="N1334" s="3">
        <v>0</v>
      </c>
      <c r="O1334" s="3">
        <v>0.08</v>
      </c>
      <c r="P1334" s="3">
        <v>0</v>
      </c>
      <c r="Q1334" s="3">
        <v>0</v>
      </c>
      <c r="R1334" s="3">
        <v>0</v>
      </c>
    </row>
    <row r="1335" spans="1:18">
      <c r="A1335" s="3" t="s">
        <v>3448</v>
      </c>
      <c r="B1335" s="3" t="s">
        <v>3449</v>
      </c>
      <c r="C1335" s="3" t="s">
        <v>3450</v>
      </c>
      <c r="D1335" s="3" t="s">
        <v>3451</v>
      </c>
      <c r="E1335" s="3" t="s">
        <v>120</v>
      </c>
      <c r="F1335" s="3">
        <v>22.98</v>
      </c>
      <c r="G1335" s="3" t="s">
        <v>121</v>
      </c>
      <c r="H1335" s="3"/>
      <c r="I1335" s="3" t="s">
        <v>122</v>
      </c>
      <c r="J1335" s="3">
        <v>0</v>
      </c>
      <c r="K1335" s="3">
        <v>0</v>
      </c>
      <c r="L1335" s="3">
        <v>0</v>
      </c>
      <c r="M1335" s="3">
        <v>0</v>
      </c>
      <c r="N1335" s="3">
        <v>0</v>
      </c>
      <c r="O1335" s="3">
        <v>0.12</v>
      </c>
      <c r="P1335" s="3">
        <v>0</v>
      </c>
      <c r="Q1335" s="3">
        <v>0</v>
      </c>
      <c r="R1335" s="3">
        <v>0</v>
      </c>
    </row>
    <row r="1336" spans="1:18">
      <c r="A1336" s="3" t="s">
        <v>3452</v>
      </c>
      <c r="B1336" s="3" t="s">
        <v>3453</v>
      </c>
      <c r="C1336" s="3" t="s">
        <v>3454</v>
      </c>
      <c r="D1336" s="3" t="s">
        <v>3455</v>
      </c>
      <c r="E1336" s="3" t="s">
        <v>120</v>
      </c>
      <c r="F1336" s="3">
        <v>22.98</v>
      </c>
      <c r="G1336" s="3" t="s">
        <v>121</v>
      </c>
      <c r="H1336" s="3"/>
      <c r="I1336" s="3" t="s">
        <v>122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0.15</v>
      </c>
      <c r="P1336" s="3">
        <v>0</v>
      </c>
      <c r="Q1336" s="3">
        <v>0</v>
      </c>
      <c r="R1336" s="3">
        <v>0</v>
      </c>
    </row>
    <row r="1337" spans="1:18">
      <c r="A1337" s="3" t="s">
        <v>3456</v>
      </c>
      <c r="B1337" s="3" t="s">
        <v>3457</v>
      </c>
      <c r="C1337" s="3" t="s">
        <v>3458</v>
      </c>
      <c r="D1337" s="3" t="s">
        <v>3459</v>
      </c>
      <c r="E1337" s="3" t="s">
        <v>120</v>
      </c>
      <c r="F1337" s="3">
        <v>22.98</v>
      </c>
      <c r="G1337" s="3" t="s">
        <v>121</v>
      </c>
      <c r="H1337" s="3"/>
      <c r="I1337" s="3" t="s">
        <v>122</v>
      </c>
      <c r="J1337" s="3">
        <v>0</v>
      </c>
      <c r="K1337" s="3">
        <v>0</v>
      </c>
      <c r="L1337" s="3">
        <v>0</v>
      </c>
      <c r="M1337" s="3">
        <v>0</v>
      </c>
      <c r="N1337" s="3">
        <v>0</v>
      </c>
      <c r="O1337" s="3">
        <v>0.18</v>
      </c>
      <c r="P1337" s="3">
        <v>0</v>
      </c>
      <c r="Q1337" s="3">
        <v>0</v>
      </c>
      <c r="R1337" s="3">
        <v>0</v>
      </c>
    </row>
    <row r="1338" spans="1:18">
      <c r="A1338" s="3" t="s">
        <v>3460</v>
      </c>
      <c r="B1338" s="3" t="s">
        <v>3461</v>
      </c>
      <c r="C1338" s="3" t="s">
        <v>3462</v>
      </c>
      <c r="D1338" s="3" t="s">
        <v>3463</v>
      </c>
      <c r="E1338" s="3" t="s">
        <v>120</v>
      </c>
      <c r="F1338" s="3">
        <v>24.98</v>
      </c>
      <c r="G1338" s="3" t="s">
        <v>121</v>
      </c>
      <c r="H1338" s="3"/>
      <c r="I1338" s="3" t="s">
        <v>122</v>
      </c>
      <c r="J1338" s="3">
        <v>0</v>
      </c>
      <c r="K1338" s="3">
        <v>0</v>
      </c>
      <c r="L1338" s="3">
        <v>0</v>
      </c>
      <c r="M1338" s="3">
        <v>0</v>
      </c>
      <c r="N1338" s="3">
        <v>0</v>
      </c>
      <c r="O1338" s="3">
        <v>0.14</v>
      </c>
      <c r="P1338" s="3">
        <v>0</v>
      </c>
      <c r="Q1338" s="3">
        <v>0</v>
      </c>
      <c r="R1338" s="3">
        <v>0</v>
      </c>
    </row>
    <row r="1339" spans="1:18">
      <c r="A1339" s="3" t="s">
        <v>3464</v>
      </c>
      <c r="B1339" s="3" t="s">
        <v>3465</v>
      </c>
      <c r="C1339" s="3" t="s">
        <v>3466</v>
      </c>
      <c r="D1339" s="3" t="s">
        <v>3467</v>
      </c>
      <c r="E1339" s="3" t="s">
        <v>120</v>
      </c>
      <c r="F1339" s="3">
        <v>24.98</v>
      </c>
      <c r="G1339" s="3" t="s">
        <v>121</v>
      </c>
      <c r="H1339" s="3"/>
      <c r="I1339" s="3" t="s">
        <v>122</v>
      </c>
      <c r="J1339" s="3">
        <v>0</v>
      </c>
      <c r="K1339" s="3">
        <v>0</v>
      </c>
      <c r="L1339" s="3">
        <v>0</v>
      </c>
      <c r="M1339" s="3">
        <v>0</v>
      </c>
      <c r="N1339" s="3">
        <v>0</v>
      </c>
      <c r="O1339" s="3">
        <v>0.14</v>
      </c>
      <c r="P1339" s="3">
        <v>0</v>
      </c>
      <c r="Q1339" s="3">
        <v>0</v>
      </c>
      <c r="R1339" s="3">
        <v>0</v>
      </c>
    </row>
    <row r="1340" spans="1:18">
      <c r="A1340" s="3" t="s">
        <v>3468</v>
      </c>
      <c r="B1340" s="3" t="s">
        <v>3469</v>
      </c>
      <c r="C1340" s="3" t="s">
        <v>3470</v>
      </c>
      <c r="D1340" s="3" t="s">
        <v>3471</v>
      </c>
      <c r="E1340" s="3" t="s">
        <v>120</v>
      </c>
      <c r="F1340" s="3">
        <v>24.98</v>
      </c>
      <c r="G1340" s="3" t="s">
        <v>121</v>
      </c>
      <c r="H1340" s="3"/>
      <c r="I1340" s="3" t="s">
        <v>122</v>
      </c>
      <c r="J1340" s="3">
        <v>0</v>
      </c>
      <c r="K1340" s="3">
        <v>0</v>
      </c>
      <c r="L1340" s="3">
        <v>0</v>
      </c>
      <c r="M1340" s="3">
        <v>0</v>
      </c>
      <c r="N1340" s="3">
        <v>0</v>
      </c>
      <c r="O1340" s="3">
        <v>0.14</v>
      </c>
      <c r="P1340" s="3">
        <v>0</v>
      </c>
      <c r="Q1340" s="3">
        <v>0</v>
      </c>
      <c r="R1340" s="3">
        <v>0</v>
      </c>
    </row>
    <row r="1341" spans="1:18">
      <c r="A1341" s="3" t="s">
        <v>3472</v>
      </c>
      <c r="B1341" s="3" t="s">
        <v>3473</v>
      </c>
      <c r="C1341" s="3" t="s">
        <v>3474</v>
      </c>
      <c r="D1341" s="3" t="s">
        <v>3475</v>
      </c>
      <c r="E1341" s="3" t="s">
        <v>120</v>
      </c>
      <c r="F1341" s="3">
        <v>24.98</v>
      </c>
      <c r="G1341" s="3" t="s">
        <v>121</v>
      </c>
      <c r="H1341" s="3"/>
      <c r="I1341" s="3" t="s">
        <v>122</v>
      </c>
      <c r="J1341" s="3">
        <v>0</v>
      </c>
      <c r="K1341" s="3">
        <v>0</v>
      </c>
      <c r="L1341" s="3">
        <v>0</v>
      </c>
      <c r="M1341" s="3">
        <v>0</v>
      </c>
      <c r="N1341" s="3">
        <v>0</v>
      </c>
      <c r="O1341" s="3">
        <v>0.14</v>
      </c>
      <c r="P1341" s="3">
        <v>0</v>
      </c>
      <c r="Q1341" s="3">
        <v>0</v>
      </c>
      <c r="R1341" s="3">
        <v>0</v>
      </c>
    </row>
    <row r="1342" spans="1:18">
      <c r="A1342" s="3" t="s">
        <v>3476</v>
      </c>
      <c r="B1342" s="3" t="s">
        <v>3477</v>
      </c>
      <c r="C1342" s="3" t="s">
        <v>3478</v>
      </c>
      <c r="D1342" s="3" t="s">
        <v>3479</v>
      </c>
      <c r="E1342" s="3" t="s">
        <v>120</v>
      </c>
      <c r="F1342" s="3">
        <v>24.98</v>
      </c>
      <c r="G1342" s="3" t="s">
        <v>121</v>
      </c>
      <c r="H1342" s="3"/>
      <c r="I1342" s="3" t="s">
        <v>122</v>
      </c>
      <c r="J1342" s="3">
        <v>0</v>
      </c>
      <c r="K1342" s="3">
        <v>0</v>
      </c>
      <c r="L1342" s="3">
        <v>0</v>
      </c>
      <c r="M1342" s="3">
        <v>0</v>
      </c>
      <c r="N1342" s="3">
        <v>0</v>
      </c>
      <c r="O1342" s="3">
        <v>0.14</v>
      </c>
      <c r="P1342" s="3">
        <v>0</v>
      </c>
      <c r="Q1342" s="3">
        <v>0</v>
      </c>
      <c r="R1342" s="3">
        <v>0</v>
      </c>
    </row>
    <row r="1343" spans="1:18">
      <c r="A1343" s="3" t="s">
        <v>3480</v>
      </c>
      <c r="B1343" s="3" t="s">
        <v>3481</v>
      </c>
      <c r="C1343" s="3" t="s">
        <v>3482</v>
      </c>
      <c r="D1343" s="3" t="s">
        <v>3483</v>
      </c>
      <c r="E1343" s="3" t="s">
        <v>120</v>
      </c>
      <c r="F1343" s="3">
        <v>24.98</v>
      </c>
      <c r="G1343" s="3" t="s">
        <v>121</v>
      </c>
      <c r="H1343" s="3"/>
      <c r="I1343" s="3" t="s">
        <v>122</v>
      </c>
      <c r="J1343" s="3">
        <v>0</v>
      </c>
      <c r="K1343" s="3">
        <v>0</v>
      </c>
      <c r="L1343" s="3">
        <v>0</v>
      </c>
      <c r="M1343" s="3">
        <v>0</v>
      </c>
      <c r="N1343" s="3">
        <v>0</v>
      </c>
      <c r="O1343" s="3">
        <v>0.14</v>
      </c>
      <c r="P1343" s="3">
        <v>0</v>
      </c>
      <c r="Q1343" s="3">
        <v>0</v>
      </c>
      <c r="R1343" s="3">
        <v>0</v>
      </c>
    </row>
    <row r="1344" spans="1:18">
      <c r="A1344" s="3" t="s">
        <v>3484</v>
      </c>
      <c r="B1344" s="3" t="s">
        <v>3485</v>
      </c>
      <c r="C1344" s="3" t="s">
        <v>3486</v>
      </c>
      <c r="D1344" s="3" t="s">
        <v>3487</v>
      </c>
      <c r="E1344" s="3" t="s">
        <v>120</v>
      </c>
      <c r="F1344" s="3">
        <v>24.98</v>
      </c>
      <c r="G1344" s="3" t="s">
        <v>121</v>
      </c>
      <c r="H1344" s="3"/>
      <c r="I1344" s="3" t="s">
        <v>122</v>
      </c>
      <c r="J1344" s="3">
        <v>0</v>
      </c>
      <c r="K1344" s="3">
        <v>0</v>
      </c>
      <c r="L1344" s="3">
        <v>0</v>
      </c>
      <c r="M1344" s="3">
        <v>0</v>
      </c>
      <c r="N1344" s="3">
        <v>0</v>
      </c>
      <c r="O1344" s="3">
        <v>0.14</v>
      </c>
      <c r="P1344" s="3">
        <v>0</v>
      </c>
      <c r="Q1344" s="3">
        <v>0</v>
      </c>
      <c r="R1344" s="3">
        <v>0</v>
      </c>
    </row>
    <row r="1345" spans="1:18">
      <c r="A1345" s="3" t="s">
        <v>3488</v>
      </c>
      <c r="B1345" s="3" t="s">
        <v>3489</v>
      </c>
      <c r="C1345" s="3" t="s">
        <v>3490</v>
      </c>
      <c r="D1345" s="3" t="s">
        <v>3491</v>
      </c>
      <c r="E1345" s="3" t="s">
        <v>120</v>
      </c>
      <c r="F1345" s="3">
        <v>24.98</v>
      </c>
      <c r="G1345" s="3" t="s">
        <v>121</v>
      </c>
      <c r="H1345" s="3"/>
      <c r="I1345" s="3" t="s">
        <v>122</v>
      </c>
      <c r="J1345" s="3">
        <v>0</v>
      </c>
      <c r="K1345" s="3">
        <v>0</v>
      </c>
      <c r="L1345" s="3">
        <v>0</v>
      </c>
      <c r="M1345" s="3">
        <v>0</v>
      </c>
      <c r="N1345" s="3">
        <v>0</v>
      </c>
      <c r="O1345" s="3">
        <v>0.14</v>
      </c>
      <c r="P1345" s="3">
        <v>0</v>
      </c>
      <c r="Q1345" s="3">
        <v>0</v>
      </c>
      <c r="R1345" s="3">
        <v>0</v>
      </c>
    </row>
    <row r="1346" spans="1:18">
      <c r="A1346" s="3" t="s">
        <v>3492</v>
      </c>
      <c r="B1346" s="3" t="s">
        <v>3493</v>
      </c>
      <c r="C1346" s="3" t="s">
        <v>3494</v>
      </c>
      <c r="D1346" s="3" t="s">
        <v>3495</v>
      </c>
      <c r="E1346" s="3" t="s">
        <v>120</v>
      </c>
      <c r="F1346" s="3">
        <v>24.98</v>
      </c>
      <c r="G1346" s="3" t="s">
        <v>121</v>
      </c>
      <c r="H1346" s="3"/>
      <c r="I1346" s="3" t="s">
        <v>122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0.14</v>
      </c>
      <c r="P1346" s="3">
        <v>0</v>
      </c>
      <c r="Q1346" s="3">
        <v>0</v>
      </c>
      <c r="R1346" s="3">
        <v>0</v>
      </c>
    </row>
    <row r="1347" spans="1:18">
      <c r="A1347" s="3" t="s">
        <v>3496</v>
      </c>
      <c r="B1347" s="3" t="s">
        <v>3497</v>
      </c>
      <c r="C1347" s="3" t="s">
        <v>3498</v>
      </c>
      <c r="D1347" s="3" t="s">
        <v>3499</v>
      </c>
      <c r="E1347" s="3" t="s">
        <v>120</v>
      </c>
      <c r="F1347" s="3">
        <v>24.98</v>
      </c>
      <c r="G1347" s="3" t="s">
        <v>121</v>
      </c>
      <c r="H1347" s="3"/>
      <c r="I1347" s="3" t="s">
        <v>122</v>
      </c>
      <c r="J1347" s="3">
        <v>0</v>
      </c>
      <c r="K1347" s="3">
        <v>0</v>
      </c>
      <c r="L1347" s="3">
        <v>0</v>
      </c>
      <c r="M1347" s="3">
        <v>0</v>
      </c>
      <c r="N1347" s="3">
        <v>0</v>
      </c>
      <c r="O1347" s="3">
        <v>0.14</v>
      </c>
      <c r="P1347" s="3">
        <v>0</v>
      </c>
      <c r="Q1347" s="3">
        <v>0</v>
      </c>
      <c r="R1347" s="3">
        <v>0</v>
      </c>
    </row>
    <row r="1348" spans="1:18">
      <c r="A1348" s="3" t="s">
        <v>3500</v>
      </c>
      <c r="B1348" s="3" t="s">
        <v>3501</v>
      </c>
      <c r="C1348" s="3" t="s">
        <v>3502</v>
      </c>
      <c r="D1348" s="3" t="s">
        <v>3503</v>
      </c>
      <c r="E1348" s="3" t="s">
        <v>120</v>
      </c>
      <c r="F1348" s="3">
        <v>24.98</v>
      </c>
      <c r="G1348" s="3" t="s">
        <v>121</v>
      </c>
      <c r="H1348" s="3"/>
      <c r="I1348" s="3" t="s">
        <v>122</v>
      </c>
      <c r="J1348" s="3">
        <v>0</v>
      </c>
      <c r="K1348" s="3">
        <v>0</v>
      </c>
      <c r="L1348" s="3">
        <v>0</v>
      </c>
      <c r="M1348" s="3">
        <v>0</v>
      </c>
      <c r="N1348" s="3">
        <v>0</v>
      </c>
      <c r="O1348" s="3">
        <v>0.14</v>
      </c>
      <c r="P1348" s="3">
        <v>0</v>
      </c>
      <c r="Q1348" s="3">
        <v>0</v>
      </c>
      <c r="R1348" s="3">
        <v>0</v>
      </c>
    </row>
    <row r="1349" spans="1:18">
      <c r="A1349" s="3" t="s">
        <v>3504</v>
      </c>
      <c r="B1349" s="3" t="s">
        <v>3505</v>
      </c>
      <c r="C1349" s="3" t="s">
        <v>3506</v>
      </c>
      <c r="D1349" s="3" t="s">
        <v>3507</v>
      </c>
      <c r="E1349" s="3" t="s">
        <v>120</v>
      </c>
      <c r="F1349" s="3">
        <v>24.98</v>
      </c>
      <c r="G1349" s="3" t="s">
        <v>121</v>
      </c>
      <c r="H1349" s="3"/>
      <c r="I1349" s="3" t="s">
        <v>122</v>
      </c>
      <c r="J1349" s="3">
        <v>0</v>
      </c>
      <c r="K1349" s="3">
        <v>0</v>
      </c>
      <c r="L1349" s="3">
        <v>0</v>
      </c>
      <c r="M1349" s="3">
        <v>0</v>
      </c>
      <c r="N1349" s="3">
        <v>0</v>
      </c>
      <c r="O1349" s="3">
        <v>0.14</v>
      </c>
      <c r="P1349" s="3">
        <v>0</v>
      </c>
      <c r="Q1349" s="3">
        <v>0</v>
      </c>
      <c r="R1349" s="3">
        <v>0</v>
      </c>
    </row>
    <row r="1350" spans="1:18">
      <c r="A1350" s="3" t="s">
        <v>3508</v>
      </c>
      <c r="B1350" s="3" t="s">
        <v>3509</v>
      </c>
      <c r="C1350" s="3" t="s">
        <v>3510</v>
      </c>
      <c r="D1350" s="3" t="s">
        <v>3511</v>
      </c>
      <c r="E1350" s="3" t="s">
        <v>120</v>
      </c>
      <c r="F1350" s="3">
        <v>24.98</v>
      </c>
      <c r="G1350" s="3" t="s">
        <v>121</v>
      </c>
      <c r="H1350" s="3"/>
      <c r="I1350" s="3" t="s">
        <v>122</v>
      </c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>
        <v>0.14</v>
      </c>
      <c r="P1350" s="3">
        <v>0</v>
      </c>
      <c r="Q1350" s="3">
        <v>0</v>
      </c>
      <c r="R1350" s="3">
        <v>0</v>
      </c>
    </row>
    <row r="1351" spans="1:18">
      <c r="A1351" s="3" t="s">
        <v>3512</v>
      </c>
      <c r="B1351" s="3" t="s">
        <v>3513</v>
      </c>
      <c r="C1351" s="3" t="s">
        <v>3514</v>
      </c>
      <c r="D1351" s="3" t="s">
        <v>3515</v>
      </c>
      <c r="E1351" s="3" t="s">
        <v>120</v>
      </c>
      <c r="F1351" s="3">
        <v>24.98</v>
      </c>
      <c r="G1351" s="3" t="s">
        <v>121</v>
      </c>
      <c r="H1351" s="3"/>
      <c r="I1351" s="3" t="s">
        <v>122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0.14</v>
      </c>
      <c r="P1351" s="3">
        <v>0</v>
      </c>
      <c r="Q1351" s="3">
        <v>0</v>
      </c>
      <c r="R1351" s="3">
        <v>0</v>
      </c>
    </row>
    <row r="1352" spans="1:18">
      <c r="A1352" s="3" t="s">
        <v>3516</v>
      </c>
      <c r="B1352" s="3" t="s">
        <v>3517</v>
      </c>
      <c r="C1352" s="3" t="s">
        <v>3518</v>
      </c>
      <c r="D1352" s="3" t="s">
        <v>3519</v>
      </c>
      <c r="E1352" s="3" t="s">
        <v>120</v>
      </c>
      <c r="F1352" s="3">
        <v>24.98</v>
      </c>
      <c r="G1352" s="3" t="s">
        <v>121</v>
      </c>
      <c r="H1352" s="3"/>
      <c r="I1352" s="3" t="s">
        <v>122</v>
      </c>
      <c r="J1352" s="3">
        <v>0</v>
      </c>
      <c r="K1352" s="3">
        <v>0</v>
      </c>
      <c r="L1352" s="3">
        <v>0</v>
      </c>
      <c r="M1352" s="3">
        <v>0</v>
      </c>
      <c r="N1352" s="3">
        <v>0</v>
      </c>
      <c r="O1352" s="3">
        <v>0.14</v>
      </c>
      <c r="P1352" s="3">
        <v>0</v>
      </c>
      <c r="Q1352" s="3">
        <v>0</v>
      </c>
      <c r="R1352" s="3">
        <v>0</v>
      </c>
    </row>
    <row r="1353" spans="1:18">
      <c r="A1353" s="3" t="s">
        <v>3520</v>
      </c>
      <c r="B1353" s="3" t="s">
        <v>3521</v>
      </c>
      <c r="C1353" s="3" t="s">
        <v>3522</v>
      </c>
      <c r="D1353" s="3" t="s">
        <v>3523</v>
      </c>
      <c r="E1353" s="3" t="s">
        <v>120</v>
      </c>
      <c r="F1353" s="3">
        <v>24.98</v>
      </c>
      <c r="G1353" s="3" t="s">
        <v>121</v>
      </c>
      <c r="H1353" s="3"/>
      <c r="I1353" s="3" t="s">
        <v>122</v>
      </c>
      <c r="J1353" s="3">
        <v>0</v>
      </c>
      <c r="K1353" s="3">
        <v>0</v>
      </c>
      <c r="L1353" s="3">
        <v>0</v>
      </c>
      <c r="M1353" s="3">
        <v>0</v>
      </c>
      <c r="N1353" s="3">
        <v>0</v>
      </c>
      <c r="O1353" s="3">
        <v>0.14</v>
      </c>
      <c r="P1353" s="3">
        <v>0</v>
      </c>
      <c r="Q1353" s="3">
        <v>0</v>
      </c>
      <c r="R1353" s="3">
        <v>0</v>
      </c>
    </row>
    <row r="1354" spans="1:18">
      <c r="A1354" s="3" t="s">
        <v>3524</v>
      </c>
      <c r="B1354" s="3" t="s">
        <v>3525</v>
      </c>
      <c r="C1354" s="3" t="s">
        <v>3526</v>
      </c>
      <c r="D1354" s="3" t="s">
        <v>3527</v>
      </c>
      <c r="E1354" s="3" t="s">
        <v>120</v>
      </c>
      <c r="F1354" s="3">
        <v>24.98</v>
      </c>
      <c r="G1354" s="3" t="s">
        <v>121</v>
      </c>
      <c r="H1354" s="3"/>
      <c r="I1354" s="3" t="s">
        <v>122</v>
      </c>
      <c r="J1354" s="3">
        <v>0</v>
      </c>
      <c r="K1354" s="3">
        <v>0</v>
      </c>
      <c r="L1354" s="3">
        <v>0</v>
      </c>
      <c r="M1354" s="3">
        <v>0</v>
      </c>
      <c r="N1354" s="3">
        <v>0</v>
      </c>
      <c r="O1354" s="3">
        <v>0.14</v>
      </c>
      <c r="P1354" s="3">
        <v>0</v>
      </c>
      <c r="Q1354" s="3">
        <v>0</v>
      </c>
      <c r="R1354" s="3">
        <v>0</v>
      </c>
    </row>
    <row r="1355" spans="1:18">
      <c r="A1355" s="3" t="s">
        <v>3528</v>
      </c>
      <c r="B1355" s="3" t="s">
        <v>3529</v>
      </c>
      <c r="C1355" s="3" t="s">
        <v>3530</v>
      </c>
      <c r="D1355" s="3" t="s">
        <v>3531</v>
      </c>
      <c r="E1355" s="3" t="s">
        <v>120</v>
      </c>
      <c r="F1355" s="3">
        <v>24.98</v>
      </c>
      <c r="G1355" s="3" t="s">
        <v>121</v>
      </c>
      <c r="H1355" s="3"/>
      <c r="I1355" s="3" t="s">
        <v>122</v>
      </c>
      <c r="J1355" s="3">
        <v>0</v>
      </c>
      <c r="K1355" s="3">
        <v>0</v>
      </c>
      <c r="L1355" s="3">
        <v>0</v>
      </c>
      <c r="M1355" s="3">
        <v>0</v>
      </c>
      <c r="N1355" s="3">
        <v>0</v>
      </c>
      <c r="O1355" s="3">
        <v>0.14</v>
      </c>
      <c r="P1355" s="3">
        <v>0</v>
      </c>
      <c r="Q1355" s="3">
        <v>0</v>
      </c>
      <c r="R1355" s="3">
        <v>0</v>
      </c>
    </row>
    <row r="1356" spans="1:18">
      <c r="A1356" s="3" t="s">
        <v>3532</v>
      </c>
      <c r="B1356" s="3" t="s">
        <v>3533</v>
      </c>
      <c r="C1356" s="3" t="s">
        <v>3534</v>
      </c>
      <c r="D1356" s="3" t="s">
        <v>3535</v>
      </c>
      <c r="E1356" s="3" t="s">
        <v>120</v>
      </c>
      <c r="F1356" s="3">
        <v>24.98</v>
      </c>
      <c r="G1356" s="3" t="s">
        <v>121</v>
      </c>
      <c r="H1356" s="3"/>
      <c r="I1356" s="3" t="s">
        <v>122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0.14</v>
      </c>
      <c r="P1356" s="3">
        <v>0</v>
      </c>
      <c r="Q1356" s="3">
        <v>0</v>
      </c>
      <c r="R1356" s="3">
        <v>0</v>
      </c>
    </row>
    <row r="1357" spans="1:18">
      <c r="A1357" s="3" t="s">
        <v>3536</v>
      </c>
      <c r="B1357" s="3" t="s">
        <v>3537</v>
      </c>
      <c r="C1357" s="3" t="s">
        <v>3538</v>
      </c>
      <c r="D1357" s="3" t="s">
        <v>3539</v>
      </c>
      <c r="E1357" s="3" t="s">
        <v>120</v>
      </c>
      <c r="F1357" s="3">
        <v>24.98</v>
      </c>
      <c r="G1357" s="3" t="s">
        <v>121</v>
      </c>
      <c r="H1357" s="3"/>
      <c r="I1357" s="3" t="s">
        <v>122</v>
      </c>
      <c r="J1357" s="3">
        <v>0</v>
      </c>
      <c r="K1357" s="3">
        <v>0</v>
      </c>
      <c r="L1357" s="3">
        <v>0</v>
      </c>
      <c r="M1357" s="3">
        <v>0</v>
      </c>
      <c r="N1357" s="3">
        <v>0</v>
      </c>
      <c r="O1357" s="3">
        <v>0.14</v>
      </c>
      <c r="P1357" s="3">
        <v>0</v>
      </c>
      <c r="Q1357" s="3">
        <v>0</v>
      </c>
      <c r="R1357" s="3">
        <v>0</v>
      </c>
    </row>
    <row r="1358" spans="1:18">
      <c r="A1358" s="3" t="s">
        <v>3540</v>
      </c>
      <c r="B1358" s="3" t="s">
        <v>3541</v>
      </c>
      <c r="C1358" s="3" t="s">
        <v>3542</v>
      </c>
      <c r="D1358" s="3" t="s">
        <v>3543</v>
      </c>
      <c r="E1358" s="3" t="s">
        <v>120</v>
      </c>
      <c r="F1358" s="3">
        <v>24.98</v>
      </c>
      <c r="G1358" s="3" t="s">
        <v>121</v>
      </c>
      <c r="H1358" s="3"/>
      <c r="I1358" s="3" t="s">
        <v>122</v>
      </c>
      <c r="J1358" s="3">
        <v>0</v>
      </c>
      <c r="K1358" s="3">
        <v>0</v>
      </c>
      <c r="L1358" s="3">
        <v>0</v>
      </c>
      <c r="M1358" s="3">
        <v>0</v>
      </c>
      <c r="N1358" s="3">
        <v>0</v>
      </c>
      <c r="O1358" s="3">
        <v>0.14</v>
      </c>
      <c r="P1358" s="3">
        <v>0</v>
      </c>
      <c r="Q1358" s="3">
        <v>0</v>
      </c>
      <c r="R1358" s="3">
        <v>0</v>
      </c>
    </row>
    <row r="1359" spans="1:18">
      <c r="A1359" s="3" t="s">
        <v>3544</v>
      </c>
      <c r="B1359" s="3" t="s">
        <v>3545</v>
      </c>
      <c r="C1359" s="3" t="s">
        <v>3546</v>
      </c>
      <c r="D1359" s="3" t="s">
        <v>3547</v>
      </c>
      <c r="E1359" s="3" t="s">
        <v>120</v>
      </c>
      <c r="F1359" s="3">
        <v>24.98</v>
      </c>
      <c r="G1359" s="3" t="s">
        <v>121</v>
      </c>
      <c r="H1359" s="3"/>
      <c r="I1359" s="3" t="s">
        <v>122</v>
      </c>
      <c r="J1359" s="3">
        <v>0</v>
      </c>
      <c r="K1359" s="3">
        <v>0</v>
      </c>
      <c r="L1359" s="3">
        <v>0</v>
      </c>
      <c r="M1359" s="3">
        <v>0</v>
      </c>
      <c r="N1359" s="3">
        <v>0</v>
      </c>
      <c r="O1359" s="3">
        <v>0.14</v>
      </c>
      <c r="P1359" s="3">
        <v>0</v>
      </c>
      <c r="Q1359" s="3">
        <v>0</v>
      </c>
      <c r="R1359" s="3">
        <v>0</v>
      </c>
    </row>
    <row r="1360" spans="1:18">
      <c r="A1360" s="3" t="s">
        <v>3548</v>
      </c>
      <c r="B1360" s="3" t="s">
        <v>3549</v>
      </c>
      <c r="C1360" s="3" t="s">
        <v>3550</v>
      </c>
      <c r="D1360" s="3" t="s">
        <v>3551</v>
      </c>
      <c r="E1360" s="3" t="s">
        <v>120</v>
      </c>
      <c r="F1360" s="3">
        <v>24.98</v>
      </c>
      <c r="G1360" s="3" t="s">
        <v>121</v>
      </c>
      <c r="H1360" s="3"/>
      <c r="I1360" s="3" t="s">
        <v>122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0.14</v>
      </c>
      <c r="P1360" s="3">
        <v>0</v>
      </c>
      <c r="Q1360" s="3">
        <v>0</v>
      </c>
      <c r="R1360" s="3">
        <v>0</v>
      </c>
    </row>
    <row r="1361" spans="1:18">
      <c r="A1361" s="3" t="s">
        <v>3552</v>
      </c>
      <c r="B1361" s="3" t="s">
        <v>3553</v>
      </c>
      <c r="C1361" s="3" t="s">
        <v>3554</v>
      </c>
      <c r="D1361" s="3" t="s">
        <v>3555</v>
      </c>
      <c r="E1361" s="3" t="s">
        <v>120</v>
      </c>
      <c r="F1361" s="3">
        <v>24.98</v>
      </c>
      <c r="G1361" s="3" t="s">
        <v>121</v>
      </c>
      <c r="H1361" s="3"/>
      <c r="I1361" s="3" t="s">
        <v>122</v>
      </c>
      <c r="J1361" s="3">
        <v>0</v>
      </c>
      <c r="K1361" s="3">
        <v>0</v>
      </c>
      <c r="L1361" s="3">
        <v>0</v>
      </c>
      <c r="M1361" s="3">
        <v>0</v>
      </c>
      <c r="N1361" s="3">
        <v>0</v>
      </c>
      <c r="O1361" s="3">
        <v>0.14</v>
      </c>
      <c r="P1361" s="3">
        <v>0</v>
      </c>
      <c r="Q1361" s="3">
        <v>0</v>
      </c>
      <c r="R1361" s="3">
        <v>0</v>
      </c>
    </row>
    <row r="1362" spans="1:18">
      <c r="A1362" s="3" t="s">
        <v>3556</v>
      </c>
      <c r="B1362" s="3" t="s">
        <v>3557</v>
      </c>
      <c r="C1362" s="3" t="s">
        <v>3558</v>
      </c>
      <c r="D1362" s="3" t="s">
        <v>3559</v>
      </c>
      <c r="E1362" s="3" t="s">
        <v>120</v>
      </c>
      <c r="F1362" s="3">
        <v>24.98</v>
      </c>
      <c r="G1362" s="3" t="s">
        <v>121</v>
      </c>
      <c r="H1362" s="3"/>
      <c r="I1362" s="3" t="s">
        <v>122</v>
      </c>
      <c r="J1362" s="3">
        <v>0</v>
      </c>
      <c r="K1362" s="3">
        <v>0</v>
      </c>
      <c r="L1362" s="3">
        <v>0</v>
      </c>
      <c r="M1362" s="3">
        <v>0</v>
      </c>
      <c r="N1362" s="3">
        <v>0</v>
      </c>
      <c r="O1362" s="3">
        <v>0.14</v>
      </c>
      <c r="P1362" s="3">
        <v>0</v>
      </c>
      <c r="Q1362" s="3">
        <v>0</v>
      </c>
      <c r="R1362" s="3">
        <v>0</v>
      </c>
    </row>
    <row r="1363" spans="1:18">
      <c r="A1363" s="3" t="s">
        <v>3560</v>
      </c>
      <c r="B1363" s="3" t="s">
        <v>3561</v>
      </c>
      <c r="C1363" s="3" t="s">
        <v>3562</v>
      </c>
      <c r="D1363" s="3" t="s">
        <v>3563</v>
      </c>
      <c r="E1363" s="3" t="s">
        <v>120</v>
      </c>
      <c r="F1363" s="3">
        <v>24.98</v>
      </c>
      <c r="G1363" s="3" t="s">
        <v>121</v>
      </c>
      <c r="H1363" s="3"/>
      <c r="I1363" s="3" t="s">
        <v>122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0.14</v>
      </c>
      <c r="P1363" s="3">
        <v>0</v>
      </c>
      <c r="Q1363" s="3">
        <v>0</v>
      </c>
      <c r="R1363" s="3">
        <v>0</v>
      </c>
    </row>
    <row r="1364" spans="1:18">
      <c r="A1364" s="3" t="s">
        <v>3564</v>
      </c>
      <c r="B1364" s="3" t="s">
        <v>3565</v>
      </c>
      <c r="C1364" s="3" t="s">
        <v>3566</v>
      </c>
      <c r="D1364" s="3" t="s">
        <v>3567</v>
      </c>
      <c r="E1364" s="3" t="s">
        <v>120</v>
      </c>
      <c r="F1364" s="3">
        <v>24.98</v>
      </c>
      <c r="G1364" s="3" t="s">
        <v>121</v>
      </c>
      <c r="H1364" s="3"/>
      <c r="I1364" s="3" t="s">
        <v>122</v>
      </c>
      <c r="J1364" s="3">
        <v>0</v>
      </c>
      <c r="K1364" s="3">
        <v>0</v>
      </c>
      <c r="L1364" s="3">
        <v>0</v>
      </c>
      <c r="M1364" s="3">
        <v>0</v>
      </c>
      <c r="N1364" s="3">
        <v>0</v>
      </c>
      <c r="O1364" s="3">
        <v>0.19</v>
      </c>
      <c r="P1364" s="3">
        <v>0</v>
      </c>
      <c r="Q1364" s="3">
        <v>0</v>
      </c>
      <c r="R1364" s="3">
        <v>0</v>
      </c>
    </row>
    <row r="1365" spans="1:18">
      <c r="A1365" s="3" t="s">
        <v>3568</v>
      </c>
      <c r="B1365" s="3" t="s">
        <v>3569</v>
      </c>
      <c r="C1365" s="3" t="s">
        <v>3570</v>
      </c>
      <c r="D1365" s="3" t="s">
        <v>3571</v>
      </c>
      <c r="E1365" s="3" t="s">
        <v>120</v>
      </c>
      <c r="F1365" s="3">
        <v>24.98</v>
      </c>
      <c r="G1365" s="3" t="s">
        <v>121</v>
      </c>
      <c r="H1365" s="3"/>
      <c r="I1365" s="3" t="s">
        <v>122</v>
      </c>
      <c r="J1365" s="3">
        <v>0</v>
      </c>
      <c r="K1365" s="3">
        <v>0</v>
      </c>
      <c r="L1365" s="3">
        <v>0</v>
      </c>
      <c r="M1365" s="3">
        <v>0</v>
      </c>
      <c r="N1365" s="3">
        <v>0</v>
      </c>
      <c r="O1365" s="3">
        <v>0.14</v>
      </c>
      <c r="P1365" s="3">
        <v>0</v>
      </c>
      <c r="Q1365" s="3">
        <v>0</v>
      </c>
      <c r="R1365" s="3">
        <v>0</v>
      </c>
    </row>
    <row r="1366" spans="1:18">
      <c r="A1366" s="3" t="s">
        <v>3572</v>
      </c>
      <c r="B1366" s="3" t="s">
        <v>3573</v>
      </c>
      <c r="C1366" s="3" t="s">
        <v>3574</v>
      </c>
      <c r="D1366" s="3" t="s">
        <v>3575</v>
      </c>
      <c r="E1366" s="3" t="s">
        <v>120</v>
      </c>
      <c r="F1366" s="3">
        <v>24.98</v>
      </c>
      <c r="G1366" s="3" t="s">
        <v>121</v>
      </c>
      <c r="H1366" s="3"/>
      <c r="I1366" s="3" t="s">
        <v>122</v>
      </c>
      <c r="J1366" s="3">
        <v>0</v>
      </c>
      <c r="K1366" s="3">
        <v>0</v>
      </c>
      <c r="L1366" s="3">
        <v>0</v>
      </c>
      <c r="M1366" s="3">
        <v>0</v>
      </c>
      <c r="N1366" s="3">
        <v>0</v>
      </c>
      <c r="O1366" s="3">
        <v>0.14</v>
      </c>
      <c r="P1366" s="3">
        <v>0</v>
      </c>
      <c r="Q1366" s="3">
        <v>0</v>
      </c>
      <c r="R1366" s="3">
        <v>0</v>
      </c>
    </row>
    <row r="1367" spans="1:18">
      <c r="A1367" s="3" t="s">
        <v>3576</v>
      </c>
      <c r="B1367" s="3" t="s">
        <v>3577</v>
      </c>
      <c r="C1367" s="3" t="s">
        <v>3578</v>
      </c>
      <c r="D1367" s="3" t="s">
        <v>3579</v>
      </c>
      <c r="E1367" s="3" t="s">
        <v>120</v>
      </c>
      <c r="F1367" s="3">
        <v>24.98</v>
      </c>
      <c r="G1367" s="3" t="s">
        <v>121</v>
      </c>
      <c r="H1367" s="3"/>
      <c r="I1367" s="3" t="s">
        <v>122</v>
      </c>
      <c r="J1367" s="3">
        <v>0</v>
      </c>
      <c r="K1367" s="3">
        <v>0</v>
      </c>
      <c r="L1367" s="3">
        <v>0</v>
      </c>
      <c r="M1367" s="3">
        <v>0</v>
      </c>
      <c r="N1367" s="3">
        <v>0</v>
      </c>
      <c r="O1367" s="3">
        <v>0.14</v>
      </c>
      <c r="P1367" s="3">
        <v>0</v>
      </c>
      <c r="Q1367" s="3">
        <v>0</v>
      </c>
      <c r="R1367" s="3">
        <v>0</v>
      </c>
    </row>
    <row r="1368" spans="1:18">
      <c r="A1368" s="3" t="s">
        <v>3580</v>
      </c>
      <c r="B1368" s="3" t="s">
        <v>3581</v>
      </c>
      <c r="C1368" s="3" t="s">
        <v>3582</v>
      </c>
      <c r="D1368" s="3" t="s">
        <v>3583</v>
      </c>
      <c r="E1368" s="3" t="s">
        <v>120</v>
      </c>
      <c r="F1368" s="3">
        <v>24.98</v>
      </c>
      <c r="G1368" s="3" t="s">
        <v>121</v>
      </c>
      <c r="H1368" s="3"/>
      <c r="I1368" s="3" t="s">
        <v>122</v>
      </c>
      <c r="J1368" s="3">
        <v>0</v>
      </c>
      <c r="K1368" s="3">
        <v>0</v>
      </c>
      <c r="L1368" s="3">
        <v>0</v>
      </c>
      <c r="M1368" s="3">
        <v>0</v>
      </c>
      <c r="N1368" s="3">
        <v>0</v>
      </c>
      <c r="O1368" s="3">
        <v>0.14</v>
      </c>
      <c r="P1368" s="3">
        <v>0</v>
      </c>
      <c r="Q1368" s="3">
        <v>0</v>
      </c>
      <c r="R1368" s="3">
        <v>0</v>
      </c>
    </row>
    <row r="1369" spans="1:18">
      <c r="A1369" s="3" t="s">
        <v>3584</v>
      </c>
      <c r="B1369" s="3" t="s">
        <v>3585</v>
      </c>
      <c r="C1369" s="3" t="s">
        <v>3586</v>
      </c>
      <c r="D1369" s="3" t="s">
        <v>3587</v>
      </c>
      <c r="E1369" s="3" t="s">
        <v>120</v>
      </c>
      <c r="F1369" s="3">
        <v>24.98</v>
      </c>
      <c r="G1369" s="3" t="s">
        <v>121</v>
      </c>
      <c r="H1369" s="3"/>
      <c r="I1369" s="3" t="s">
        <v>122</v>
      </c>
      <c r="J1369" s="3">
        <v>0</v>
      </c>
      <c r="K1369" s="3">
        <v>0</v>
      </c>
      <c r="L1369" s="3">
        <v>0</v>
      </c>
      <c r="M1369" s="3">
        <v>0</v>
      </c>
      <c r="N1369" s="3">
        <v>0</v>
      </c>
      <c r="O1369" s="3">
        <v>0.14</v>
      </c>
      <c r="P1369" s="3">
        <v>0</v>
      </c>
      <c r="Q1369" s="3">
        <v>0</v>
      </c>
      <c r="R1369" s="3">
        <v>0</v>
      </c>
    </row>
    <row r="1370" spans="1:18">
      <c r="A1370" s="3" t="s">
        <v>3588</v>
      </c>
      <c r="B1370" s="3" t="s">
        <v>3589</v>
      </c>
      <c r="C1370" s="3" t="s">
        <v>3590</v>
      </c>
      <c r="D1370" s="3" t="s">
        <v>3591</v>
      </c>
      <c r="E1370" s="3" t="s">
        <v>120</v>
      </c>
      <c r="F1370" s="3">
        <v>24.98</v>
      </c>
      <c r="G1370" s="3" t="s">
        <v>121</v>
      </c>
      <c r="H1370" s="3"/>
      <c r="I1370" s="3" t="s">
        <v>122</v>
      </c>
      <c r="J1370" s="3">
        <v>0</v>
      </c>
      <c r="K1370" s="3">
        <v>0</v>
      </c>
      <c r="L1370" s="3">
        <v>0</v>
      </c>
      <c r="M1370" s="3">
        <v>0</v>
      </c>
      <c r="N1370" s="3">
        <v>0</v>
      </c>
      <c r="O1370" s="3">
        <v>0.02</v>
      </c>
      <c r="P1370" s="3">
        <v>0</v>
      </c>
      <c r="Q1370" s="3">
        <v>0</v>
      </c>
      <c r="R1370" s="3">
        <v>0</v>
      </c>
    </row>
    <row r="1371" spans="1:18">
      <c r="A1371" s="3" t="s">
        <v>3592</v>
      </c>
      <c r="B1371" s="3" t="s">
        <v>3593</v>
      </c>
      <c r="C1371" s="3" t="s">
        <v>3594</v>
      </c>
      <c r="D1371" s="3" t="s">
        <v>3595</v>
      </c>
      <c r="E1371" s="3" t="s">
        <v>120</v>
      </c>
      <c r="F1371" s="3">
        <v>24.98</v>
      </c>
      <c r="G1371" s="3" t="s">
        <v>121</v>
      </c>
      <c r="H1371" s="3"/>
      <c r="I1371" s="3" t="s">
        <v>122</v>
      </c>
      <c r="J1371" s="3">
        <v>0</v>
      </c>
      <c r="K1371" s="3">
        <v>0</v>
      </c>
      <c r="L1371" s="3">
        <v>0</v>
      </c>
      <c r="M1371" s="3">
        <v>0</v>
      </c>
      <c r="N1371" s="3">
        <v>0</v>
      </c>
      <c r="O1371" s="3">
        <v>0.02</v>
      </c>
      <c r="P1371" s="3">
        <v>0</v>
      </c>
      <c r="Q1371" s="3">
        <v>0</v>
      </c>
      <c r="R1371" s="3">
        <v>0</v>
      </c>
    </row>
    <row r="1372" spans="1:18">
      <c r="A1372" s="3" t="s">
        <v>3596</v>
      </c>
      <c r="B1372" s="3" t="s">
        <v>3597</v>
      </c>
      <c r="C1372" s="3" t="s">
        <v>3598</v>
      </c>
      <c r="D1372" s="3" t="s">
        <v>3599</v>
      </c>
      <c r="E1372" s="3" t="s">
        <v>120</v>
      </c>
      <c r="F1372" s="3">
        <v>24.98</v>
      </c>
      <c r="G1372" s="3" t="s">
        <v>121</v>
      </c>
      <c r="H1372" s="3"/>
      <c r="I1372" s="3" t="s">
        <v>122</v>
      </c>
      <c r="J1372" s="3">
        <v>0</v>
      </c>
      <c r="K1372" s="3">
        <v>0</v>
      </c>
      <c r="L1372" s="3">
        <v>0</v>
      </c>
      <c r="M1372" s="3">
        <v>0</v>
      </c>
      <c r="N1372" s="3">
        <v>0</v>
      </c>
      <c r="O1372" s="3">
        <v>0.02</v>
      </c>
      <c r="P1372" s="3">
        <v>0</v>
      </c>
      <c r="Q1372" s="3">
        <v>0</v>
      </c>
      <c r="R1372" s="3">
        <v>0</v>
      </c>
    </row>
    <row r="1373" spans="1:18">
      <c r="A1373" s="3" t="s">
        <v>3600</v>
      </c>
      <c r="B1373" s="3" t="s">
        <v>3601</v>
      </c>
      <c r="C1373" s="3" t="s">
        <v>3602</v>
      </c>
      <c r="D1373" s="3" t="s">
        <v>3603</v>
      </c>
      <c r="E1373" s="3" t="s">
        <v>120</v>
      </c>
      <c r="F1373" s="3">
        <v>24.98</v>
      </c>
      <c r="G1373" s="3" t="s">
        <v>121</v>
      </c>
      <c r="H1373" s="3"/>
      <c r="I1373" s="3" t="s">
        <v>122</v>
      </c>
      <c r="J1373" s="3">
        <v>0</v>
      </c>
      <c r="K1373" s="3">
        <v>0</v>
      </c>
      <c r="L1373" s="3">
        <v>0</v>
      </c>
      <c r="M1373" s="3">
        <v>0</v>
      </c>
      <c r="N1373" s="3">
        <v>0</v>
      </c>
      <c r="O1373" s="3">
        <v>0.02</v>
      </c>
      <c r="P1373" s="3">
        <v>0</v>
      </c>
      <c r="Q1373" s="3">
        <v>0</v>
      </c>
      <c r="R1373" s="3">
        <v>0</v>
      </c>
    </row>
    <row r="1374" spans="1:18">
      <c r="A1374" s="3" t="s">
        <v>3604</v>
      </c>
      <c r="B1374" s="3" t="s">
        <v>3366</v>
      </c>
      <c r="C1374" s="3" t="s">
        <v>3366</v>
      </c>
      <c r="D1374" s="3" t="s">
        <v>3367</v>
      </c>
      <c r="E1374" s="3" t="s">
        <v>120</v>
      </c>
      <c r="F1374" s="3">
        <v>22.98</v>
      </c>
      <c r="G1374" s="3" t="s">
        <v>121</v>
      </c>
      <c r="H1374" s="3"/>
      <c r="I1374" s="3" t="s">
        <v>122</v>
      </c>
      <c r="J1374" s="3">
        <v>1</v>
      </c>
      <c r="K1374" s="3">
        <v>1</v>
      </c>
      <c r="L1374" s="3">
        <v>0</v>
      </c>
      <c r="M1374" s="3">
        <v>0</v>
      </c>
      <c r="N1374" s="3">
        <v>1</v>
      </c>
      <c r="O1374" s="3">
        <v>0.12</v>
      </c>
      <c r="P1374" s="3">
        <v>0</v>
      </c>
      <c r="Q1374" s="3">
        <v>0</v>
      </c>
      <c r="R1374" s="3">
        <v>0</v>
      </c>
    </row>
    <row r="1375" spans="1:18">
      <c r="A1375" s="3" t="s">
        <v>3605</v>
      </c>
      <c r="B1375" s="3" t="s">
        <v>3450</v>
      </c>
      <c r="C1375" s="3" t="s">
        <v>3450</v>
      </c>
      <c r="D1375" s="3" t="s">
        <v>3451</v>
      </c>
      <c r="E1375" s="3" t="s">
        <v>120</v>
      </c>
      <c r="F1375" s="3">
        <v>22.98</v>
      </c>
      <c r="G1375" s="3" t="s">
        <v>121</v>
      </c>
      <c r="H1375" s="3"/>
      <c r="I1375" s="3" t="s">
        <v>122</v>
      </c>
      <c r="J1375" s="3">
        <v>1</v>
      </c>
      <c r="K1375" s="3">
        <v>1</v>
      </c>
      <c r="L1375" s="3">
        <v>0</v>
      </c>
      <c r="M1375" s="3">
        <v>0</v>
      </c>
      <c r="N1375" s="3">
        <v>1</v>
      </c>
      <c r="O1375" s="3">
        <v>0.12</v>
      </c>
      <c r="P1375" s="3">
        <v>0</v>
      </c>
      <c r="Q1375" s="3">
        <v>0</v>
      </c>
      <c r="R1375" s="3">
        <v>0</v>
      </c>
    </row>
    <row r="1376" spans="1:18">
      <c r="A1376" s="3" t="s">
        <v>3606</v>
      </c>
      <c r="B1376" s="3" t="s">
        <v>3607</v>
      </c>
      <c r="C1376" s="3" t="s">
        <v>3608</v>
      </c>
      <c r="D1376" s="3" t="s">
        <v>3609</v>
      </c>
      <c r="E1376" s="3" t="s">
        <v>120</v>
      </c>
      <c r="F1376" s="3">
        <v>23.98</v>
      </c>
      <c r="G1376" s="3" t="s">
        <v>121</v>
      </c>
      <c r="H1376" s="3"/>
      <c r="I1376" s="3" t="s">
        <v>122</v>
      </c>
      <c r="J1376" s="3">
        <v>0</v>
      </c>
      <c r="K1376" s="3">
        <v>0</v>
      </c>
      <c r="L1376" s="3">
        <v>0</v>
      </c>
      <c r="M1376" s="3">
        <v>0</v>
      </c>
      <c r="N1376" s="3">
        <v>0</v>
      </c>
      <c r="O1376" s="3">
        <v>0.09</v>
      </c>
      <c r="P1376" s="3">
        <v>0</v>
      </c>
      <c r="Q1376" s="3">
        <v>0</v>
      </c>
      <c r="R1376" s="3">
        <v>0</v>
      </c>
    </row>
    <row r="1377" spans="1:18">
      <c r="A1377" s="3" t="s">
        <v>3610</v>
      </c>
      <c r="B1377" s="3" t="s">
        <v>3611</v>
      </c>
      <c r="C1377" s="3" t="s">
        <v>3612</v>
      </c>
      <c r="D1377" s="3" t="s">
        <v>3613</v>
      </c>
      <c r="E1377" s="3" t="s">
        <v>120</v>
      </c>
      <c r="F1377" s="3">
        <v>23.98</v>
      </c>
      <c r="G1377" s="3" t="s">
        <v>121</v>
      </c>
      <c r="H1377" s="3"/>
      <c r="I1377" s="3" t="s">
        <v>122</v>
      </c>
      <c r="J1377" s="3">
        <v>0</v>
      </c>
      <c r="K1377" s="3">
        <v>0</v>
      </c>
      <c r="L1377" s="3">
        <v>0</v>
      </c>
      <c r="M1377" s="3">
        <v>0</v>
      </c>
      <c r="N1377" s="3">
        <v>0</v>
      </c>
      <c r="O1377" s="3">
        <v>0.09</v>
      </c>
      <c r="P1377" s="3">
        <v>0</v>
      </c>
      <c r="Q1377" s="3">
        <v>0</v>
      </c>
      <c r="R1377" s="3">
        <v>0</v>
      </c>
    </row>
    <row r="1378" spans="1:18">
      <c r="A1378" s="3" t="s">
        <v>3614</v>
      </c>
      <c r="B1378" s="3" t="s">
        <v>3615</v>
      </c>
      <c r="C1378" s="3" t="s">
        <v>3616</v>
      </c>
      <c r="D1378" s="3" t="s">
        <v>3617</v>
      </c>
      <c r="E1378" s="3" t="s">
        <v>120</v>
      </c>
      <c r="F1378" s="3">
        <v>23.98</v>
      </c>
      <c r="G1378" s="3" t="s">
        <v>121</v>
      </c>
      <c r="H1378" s="3"/>
      <c r="I1378" s="3" t="s">
        <v>122</v>
      </c>
      <c r="J1378" s="3">
        <v>0</v>
      </c>
      <c r="K1378" s="3">
        <v>0</v>
      </c>
      <c r="L1378" s="3">
        <v>0</v>
      </c>
      <c r="M1378" s="3">
        <v>0</v>
      </c>
      <c r="N1378" s="3">
        <v>0</v>
      </c>
      <c r="O1378" s="3">
        <v>0.09</v>
      </c>
      <c r="P1378" s="3">
        <v>0</v>
      </c>
      <c r="Q1378" s="3">
        <v>0</v>
      </c>
      <c r="R1378" s="3">
        <v>0</v>
      </c>
    </row>
    <row r="1379" spans="1:18">
      <c r="A1379" s="3" t="s">
        <v>3618</v>
      </c>
      <c r="B1379" s="3" t="s">
        <v>3619</v>
      </c>
      <c r="C1379" s="3" t="s">
        <v>3620</v>
      </c>
      <c r="D1379" s="3" t="s">
        <v>3621</v>
      </c>
      <c r="E1379" s="3" t="s">
        <v>120</v>
      </c>
      <c r="F1379" s="3">
        <v>23.98</v>
      </c>
      <c r="G1379" s="3" t="s">
        <v>121</v>
      </c>
      <c r="H1379" s="3"/>
      <c r="I1379" s="3" t="s">
        <v>122</v>
      </c>
      <c r="J1379" s="3">
        <v>0</v>
      </c>
      <c r="K1379" s="3">
        <v>0</v>
      </c>
      <c r="L1379" s="3">
        <v>0</v>
      </c>
      <c r="M1379" s="3">
        <v>0</v>
      </c>
      <c r="N1379" s="3">
        <v>0</v>
      </c>
      <c r="O1379" s="3">
        <v>0.09</v>
      </c>
      <c r="P1379" s="3">
        <v>0</v>
      </c>
      <c r="Q1379" s="3">
        <v>0</v>
      </c>
      <c r="R1379" s="3">
        <v>0</v>
      </c>
    </row>
    <row r="1380" spans="1:18">
      <c r="A1380" s="3" t="s">
        <v>3622</v>
      </c>
      <c r="B1380" s="3" t="s">
        <v>3623</v>
      </c>
      <c r="C1380" s="3" t="s">
        <v>3624</v>
      </c>
      <c r="D1380" s="3" t="s">
        <v>3625</v>
      </c>
      <c r="E1380" s="3" t="s">
        <v>120</v>
      </c>
      <c r="F1380" s="3">
        <v>23.98</v>
      </c>
      <c r="G1380" s="3" t="s">
        <v>121</v>
      </c>
      <c r="H1380" s="3"/>
      <c r="I1380" s="3" t="s">
        <v>122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0.02</v>
      </c>
      <c r="P1380" s="3">
        <v>0</v>
      </c>
      <c r="Q1380" s="3">
        <v>0</v>
      </c>
      <c r="R1380" s="3">
        <v>0</v>
      </c>
    </row>
    <row r="1381" spans="1:18">
      <c r="A1381" s="3" t="s">
        <v>3626</v>
      </c>
      <c r="B1381" s="3" t="s">
        <v>3627</v>
      </c>
      <c r="C1381" s="3" t="s">
        <v>3628</v>
      </c>
      <c r="D1381" s="3" t="s">
        <v>3629</v>
      </c>
      <c r="E1381" s="3" t="s">
        <v>120</v>
      </c>
      <c r="F1381" s="3">
        <v>23.98</v>
      </c>
      <c r="G1381" s="3" t="s">
        <v>121</v>
      </c>
      <c r="H1381" s="3"/>
      <c r="I1381" s="3" t="s">
        <v>122</v>
      </c>
      <c r="J1381" s="3">
        <v>0</v>
      </c>
      <c r="K1381" s="3">
        <v>0</v>
      </c>
      <c r="L1381" s="3">
        <v>0</v>
      </c>
      <c r="M1381" s="3">
        <v>0</v>
      </c>
      <c r="N1381" s="3">
        <v>0</v>
      </c>
      <c r="O1381" s="3">
        <v>0.02</v>
      </c>
      <c r="P1381" s="3">
        <v>0</v>
      </c>
      <c r="Q1381" s="3">
        <v>0</v>
      </c>
      <c r="R1381" s="3">
        <v>0</v>
      </c>
    </row>
    <row r="1382" spans="1:18">
      <c r="A1382" s="3" t="s">
        <v>3630</v>
      </c>
      <c r="B1382" s="3" t="s">
        <v>3631</v>
      </c>
      <c r="C1382" s="3" t="s">
        <v>3632</v>
      </c>
      <c r="D1382" s="3" t="s">
        <v>3633</v>
      </c>
      <c r="E1382" s="3" t="s">
        <v>120</v>
      </c>
      <c r="F1382" s="3">
        <v>23.98</v>
      </c>
      <c r="G1382" s="3" t="s">
        <v>121</v>
      </c>
      <c r="H1382" s="3"/>
      <c r="I1382" s="3" t="s">
        <v>122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0.02</v>
      </c>
      <c r="P1382" s="3">
        <v>0</v>
      </c>
      <c r="Q1382" s="3">
        <v>0</v>
      </c>
      <c r="R1382" s="3">
        <v>0</v>
      </c>
    </row>
    <row r="1383" spans="1:18">
      <c r="A1383" s="3" t="s">
        <v>3634</v>
      </c>
      <c r="B1383" s="3" t="s">
        <v>3635</v>
      </c>
      <c r="C1383" s="3" t="s">
        <v>3636</v>
      </c>
      <c r="D1383" s="3" t="s">
        <v>3637</v>
      </c>
      <c r="E1383" s="3" t="s">
        <v>120</v>
      </c>
      <c r="F1383" s="3">
        <v>23.98</v>
      </c>
      <c r="G1383" s="3" t="s">
        <v>121</v>
      </c>
      <c r="H1383" s="3"/>
      <c r="I1383" s="3" t="s">
        <v>122</v>
      </c>
      <c r="J1383" s="3">
        <v>0</v>
      </c>
      <c r="K1383" s="3">
        <v>0</v>
      </c>
      <c r="L1383" s="3">
        <v>0</v>
      </c>
      <c r="M1383" s="3">
        <v>0</v>
      </c>
      <c r="N1383" s="3">
        <v>0</v>
      </c>
      <c r="O1383" s="3">
        <v>0.02</v>
      </c>
      <c r="P1383" s="3">
        <v>0</v>
      </c>
      <c r="Q1383" s="3">
        <v>0</v>
      </c>
      <c r="R1383" s="3">
        <v>0</v>
      </c>
    </row>
    <row r="1384" spans="1:18">
      <c r="A1384" s="3" t="s">
        <v>3638</v>
      </c>
      <c r="B1384" s="3" t="s">
        <v>3639</v>
      </c>
      <c r="C1384" s="3" t="s">
        <v>3640</v>
      </c>
      <c r="D1384" s="3" t="s">
        <v>3641</v>
      </c>
      <c r="E1384" s="3" t="s">
        <v>120</v>
      </c>
      <c r="F1384" s="3">
        <v>23.98</v>
      </c>
      <c r="G1384" s="3" t="s">
        <v>121</v>
      </c>
      <c r="H1384" s="3"/>
      <c r="I1384" s="3" t="s">
        <v>122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0.09</v>
      </c>
      <c r="P1384" s="3">
        <v>0</v>
      </c>
      <c r="Q1384" s="3">
        <v>0</v>
      </c>
      <c r="R1384" s="3">
        <v>0</v>
      </c>
    </row>
    <row r="1385" spans="1:18">
      <c r="A1385" s="3" t="s">
        <v>3642</v>
      </c>
      <c r="B1385" s="3" t="s">
        <v>3643</v>
      </c>
      <c r="C1385" s="3" t="s">
        <v>3644</v>
      </c>
      <c r="D1385" s="3" t="s">
        <v>3645</v>
      </c>
      <c r="E1385" s="3" t="s">
        <v>120</v>
      </c>
      <c r="F1385" s="3">
        <v>23.98</v>
      </c>
      <c r="G1385" s="3" t="s">
        <v>121</v>
      </c>
      <c r="H1385" s="3"/>
      <c r="I1385" s="3" t="s">
        <v>122</v>
      </c>
      <c r="J1385" s="3">
        <v>0</v>
      </c>
      <c r="K1385" s="3">
        <v>0</v>
      </c>
      <c r="L1385" s="3">
        <v>0</v>
      </c>
      <c r="M1385" s="3">
        <v>0</v>
      </c>
      <c r="N1385" s="3">
        <v>0</v>
      </c>
      <c r="O1385" s="3">
        <v>0.09</v>
      </c>
      <c r="P1385" s="3">
        <v>0</v>
      </c>
      <c r="Q1385" s="3">
        <v>0</v>
      </c>
      <c r="R1385" s="3">
        <v>0</v>
      </c>
    </row>
    <row r="1386" spans="1:18">
      <c r="A1386" s="3" t="s">
        <v>3646</v>
      </c>
      <c r="B1386" s="3" t="s">
        <v>3647</v>
      </c>
      <c r="C1386" s="3" t="s">
        <v>3648</v>
      </c>
      <c r="D1386" s="3" t="s">
        <v>3649</v>
      </c>
      <c r="E1386" s="3" t="s">
        <v>120</v>
      </c>
      <c r="F1386" s="3">
        <v>23.98</v>
      </c>
      <c r="G1386" s="3" t="s">
        <v>121</v>
      </c>
      <c r="H1386" s="3"/>
      <c r="I1386" s="3" t="s">
        <v>122</v>
      </c>
      <c r="J1386" s="3">
        <v>0</v>
      </c>
      <c r="K1386" s="3">
        <v>0</v>
      </c>
      <c r="L1386" s="3">
        <v>0</v>
      </c>
      <c r="M1386" s="3">
        <v>0</v>
      </c>
      <c r="N1386" s="3">
        <v>0</v>
      </c>
      <c r="O1386" s="3">
        <v>0.09</v>
      </c>
      <c r="P1386" s="3">
        <v>0</v>
      </c>
      <c r="Q1386" s="3">
        <v>0</v>
      </c>
      <c r="R1386" s="3">
        <v>0</v>
      </c>
    </row>
    <row r="1387" spans="1:18">
      <c r="A1387" s="3" t="s">
        <v>3650</v>
      </c>
      <c r="B1387" s="3" t="s">
        <v>3651</v>
      </c>
      <c r="C1387" s="3" t="s">
        <v>3652</v>
      </c>
      <c r="D1387" s="3" t="s">
        <v>3653</v>
      </c>
      <c r="E1387" s="3" t="s">
        <v>120</v>
      </c>
      <c r="F1387" s="3">
        <v>23.98</v>
      </c>
      <c r="G1387" s="3" t="s">
        <v>121</v>
      </c>
      <c r="H1387" s="3"/>
      <c r="I1387" s="3" t="s">
        <v>122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0.09</v>
      </c>
      <c r="P1387" s="3">
        <v>0</v>
      </c>
      <c r="Q1387" s="3">
        <v>0</v>
      </c>
      <c r="R1387" s="3">
        <v>0</v>
      </c>
    </row>
    <row r="1388" spans="1:18">
      <c r="A1388" s="3" t="s">
        <v>3654</v>
      </c>
      <c r="B1388" s="3" t="s">
        <v>3655</v>
      </c>
      <c r="C1388" s="3" t="s">
        <v>3656</v>
      </c>
      <c r="D1388" s="3" t="s">
        <v>3657</v>
      </c>
      <c r="E1388" s="3" t="s">
        <v>120</v>
      </c>
      <c r="F1388" s="3">
        <v>23.98</v>
      </c>
      <c r="G1388" s="3" t="s">
        <v>121</v>
      </c>
      <c r="H1388" s="3"/>
      <c r="I1388" s="3" t="s">
        <v>122</v>
      </c>
      <c r="J1388" s="3">
        <v>0</v>
      </c>
      <c r="K1388" s="3">
        <v>0</v>
      </c>
      <c r="L1388" s="3">
        <v>0</v>
      </c>
      <c r="M1388" s="3">
        <v>0</v>
      </c>
      <c r="N1388" s="3">
        <v>0</v>
      </c>
      <c r="O1388" s="3">
        <v>0.09</v>
      </c>
      <c r="P1388" s="3">
        <v>0</v>
      </c>
      <c r="Q1388" s="3">
        <v>0</v>
      </c>
      <c r="R1388" s="3">
        <v>0</v>
      </c>
    </row>
    <row r="1389" spans="1:18">
      <c r="A1389" s="3" t="s">
        <v>3658</v>
      </c>
      <c r="B1389" s="3" t="s">
        <v>3659</v>
      </c>
      <c r="C1389" s="3" t="s">
        <v>3660</v>
      </c>
      <c r="D1389" s="3" t="s">
        <v>3661</v>
      </c>
      <c r="E1389" s="3" t="s">
        <v>120</v>
      </c>
      <c r="F1389" s="3">
        <v>23.98</v>
      </c>
      <c r="G1389" s="3" t="s">
        <v>121</v>
      </c>
      <c r="H1389" s="3"/>
      <c r="I1389" s="3" t="s">
        <v>122</v>
      </c>
      <c r="J1389" s="3">
        <v>0</v>
      </c>
      <c r="K1389" s="3">
        <v>0</v>
      </c>
      <c r="L1389" s="3">
        <v>0</v>
      </c>
      <c r="M1389" s="3">
        <v>0</v>
      </c>
      <c r="N1389" s="3">
        <v>0</v>
      </c>
      <c r="O1389" s="3">
        <v>0.09</v>
      </c>
      <c r="P1389" s="3">
        <v>0</v>
      </c>
      <c r="Q1389" s="3">
        <v>0</v>
      </c>
      <c r="R1389" s="3">
        <v>0</v>
      </c>
    </row>
    <row r="1390" spans="1:18">
      <c r="A1390" s="3" t="s">
        <v>3662</v>
      </c>
      <c r="B1390" s="3" t="s">
        <v>3663</v>
      </c>
      <c r="C1390" s="3" t="s">
        <v>3664</v>
      </c>
      <c r="D1390" s="3" t="s">
        <v>3665</v>
      </c>
      <c r="E1390" s="3" t="s">
        <v>120</v>
      </c>
      <c r="F1390" s="3">
        <v>23.98</v>
      </c>
      <c r="G1390" s="3" t="s">
        <v>121</v>
      </c>
      <c r="H1390" s="3"/>
      <c r="I1390" s="3" t="s">
        <v>122</v>
      </c>
      <c r="J1390" s="3">
        <v>0</v>
      </c>
      <c r="K1390" s="3">
        <v>0</v>
      </c>
      <c r="L1390" s="3">
        <v>0</v>
      </c>
      <c r="M1390" s="3">
        <v>0</v>
      </c>
      <c r="N1390" s="3">
        <v>0</v>
      </c>
      <c r="O1390" s="3">
        <v>0.09</v>
      </c>
      <c r="P1390" s="3">
        <v>0</v>
      </c>
      <c r="Q1390" s="3">
        <v>0</v>
      </c>
      <c r="R1390" s="3">
        <v>0</v>
      </c>
    </row>
    <row r="1391" spans="1:18">
      <c r="A1391" s="3" t="s">
        <v>3666</v>
      </c>
      <c r="B1391" s="3" t="s">
        <v>3667</v>
      </c>
      <c r="C1391" s="3" t="s">
        <v>3668</v>
      </c>
      <c r="D1391" s="3" t="s">
        <v>3669</v>
      </c>
      <c r="E1391" s="3" t="s">
        <v>120</v>
      </c>
      <c r="F1391" s="3">
        <v>23.98</v>
      </c>
      <c r="G1391" s="3" t="s">
        <v>121</v>
      </c>
      <c r="H1391" s="3"/>
      <c r="I1391" s="3" t="s">
        <v>122</v>
      </c>
      <c r="J1391" s="3">
        <v>0</v>
      </c>
      <c r="K1391" s="3">
        <v>0</v>
      </c>
      <c r="L1391" s="3">
        <v>0</v>
      </c>
      <c r="M1391" s="3">
        <v>0</v>
      </c>
      <c r="N1391" s="3">
        <v>0</v>
      </c>
      <c r="O1391" s="3">
        <v>0.09</v>
      </c>
      <c r="P1391" s="3">
        <v>0</v>
      </c>
      <c r="Q1391" s="3">
        <v>0</v>
      </c>
      <c r="R1391" s="3">
        <v>0</v>
      </c>
    </row>
    <row r="1392" spans="1:18">
      <c r="A1392" s="3" t="s">
        <v>3670</v>
      </c>
      <c r="B1392" s="3" t="s">
        <v>3671</v>
      </c>
      <c r="C1392" s="3" t="s">
        <v>3672</v>
      </c>
      <c r="D1392" s="3" t="s">
        <v>3673</v>
      </c>
      <c r="E1392" s="3" t="s">
        <v>120</v>
      </c>
      <c r="F1392" s="3">
        <v>23.98</v>
      </c>
      <c r="G1392" s="3" t="s">
        <v>121</v>
      </c>
      <c r="H1392" s="3"/>
      <c r="I1392" s="3" t="s">
        <v>122</v>
      </c>
      <c r="J1392" s="3">
        <v>0</v>
      </c>
      <c r="K1392" s="3">
        <v>0</v>
      </c>
      <c r="L1392" s="3">
        <v>0</v>
      </c>
      <c r="M1392" s="3">
        <v>0</v>
      </c>
      <c r="N1392" s="3">
        <v>0</v>
      </c>
      <c r="O1392" s="3">
        <v>0.09</v>
      </c>
      <c r="P1392" s="3">
        <v>0</v>
      </c>
      <c r="Q1392" s="3">
        <v>0</v>
      </c>
      <c r="R1392" s="3">
        <v>0</v>
      </c>
    </row>
    <row r="1393" spans="1:18">
      <c r="A1393" s="3" t="s">
        <v>3674</v>
      </c>
      <c r="B1393" s="3" t="s">
        <v>3675</v>
      </c>
      <c r="C1393" s="3" t="s">
        <v>3676</v>
      </c>
      <c r="D1393" s="3" t="s">
        <v>3677</v>
      </c>
      <c r="E1393" s="3" t="s">
        <v>120</v>
      </c>
      <c r="F1393" s="3">
        <v>23.98</v>
      </c>
      <c r="G1393" s="3" t="s">
        <v>121</v>
      </c>
      <c r="H1393" s="3"/>
      <c r="I1393" s="3" t="s">
        <v>122</v>
      </c>
      <c r="J1393" s="3">
        <v>0</v>
      </c>
      <c r="K1393" s="3">
        <v>0</v>
      </c>
      <c r="L1393" s="3">
        <v>0</v>
      </c>
      <c r="M1393" s="3">
        <v>0</v>
      </c>
      <c r="N1393" s="3">
        <v>0</v>
      </c>
      <c r="O1393" s="3">
        <v>0.09</v>
      </c>
      <c r="P1393" s="3">
        <v>0</v>
      </c>
      <c r="Q1393" s="3">
        <v>0</v>
      </c>
      <c r="R1393" s="3">
        <v>0</v>
      </c>
    </row>
    <row r="1394" spans="1:18">
      <c r="A1394" s="3" t="s">
        <v>3678</v>
      </c>
      <c r="B1394" s="3" t="s">
        <v>3679</v>
      </c>
      <c r="C1394" s="3" t="s">
        <v>3680</v>
      </c>
      <c r="D1394" s="3" t="s">
        <v>3681</v>
      </c>
      <c r="E1394" s="3" t="s">
        <v>120</v>
      </c>
      <c r="F1394" s="3">
        <v>23.98</v>
      </c>
      <c r="G1394" s="3" t="s">
        <v>121</v>
      </c>
      <c r="H1394" s="3"/>
      <c r="I1394" s="3" t="s">
        <v>122</v>
      </c>
      <c r="J1394" s="3">
        <v>0</v>
      </c>
      <c r="K1394" s="3">
        <v>0</v>
      </c>
      <c r="L1394" s="3">
        <v>0</v>
      </c>
      <c r="M1394" s="3">
        <v>0</v>
      </c>
      <c r="N1394" s="3">
        <v>0</v>
      </c>
      <c r="O1394" s="3">
        <v>0.09</v>
      </c>
      <c r="P1394" s="3">
        <v>0</v>
      </c>
      <c r="Q1394" s="3">
        <v>0</v>
      </c>
      <c r="R1394" s="3">
        <v>0</v>
      </c>
    </row>
    <row r="1395" spans="1:18">
      <c r="A1395" s="3" t="s">
        <v>3682</v>
      </c>
      <c r="B1395" s="3" t="s">
        <v>3683</v>
      </c>
      <c r="C1395" s="3" t="s">
        <v>3684</v>
      </c>
      <c r="D1395" s="3"/>
      <c r="E1395" s="3" t="s">
        <v>20</v>
      </c>
      <c r="F1395" s="3"/>
      <c r="G1395" s="3"/>
      <c r="H1395" s="3"/>
      <c r="I1395" s="3"/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/>
      <c r="P1395" s="3">
        <v>0</v>
      </c>
      <c r="Q1395" s="3">
        <v>0</v>
      </c>
      <c r="R1395" s="3">
        <v>0</v>
      </c>
    </row>
    <row r="1396" spans="1:18">
      <c r="A1396" s="3" t="s">
        <v>3685</v>
      </c>
      <c r="B1396" s="3" t="s">
        <v>3686</v>
      </c>
      <c r="C1396" s="3" t="s">
        <v>3687</v>
      </c>
      <c r="D1396" s="3" t="s">
        <v>3688</v>
      </c>
      <c r="E1396" s="3" t="s">
        <v>120</v>
      </c>
      <c r="F1396" s="3">
        <v>23.98</v>
      </c>
      <c r="G1396" s="3" t="s">
        <v>121</v>
      </c>
      <c r="H1396" s="3"/>
      <c r="I1396" s="3" t="s">
        <v>122</v>
      </c>
      <c r="J1396" s="3">
        <v>0</v>
      </c>
      <c r="K1396" s="3">
        <v>0</v>
      </c>
      <c r="L1396" s="3">
        <v>0</v>
      </c>
      <c r="M1396" s="3">
        <v>0</v>
      </c>
      <c r="N1396" s="3">
        <v>0</v>
      </c>
      <c r="O1396" s="3">
        <v>0.09</v>
      </c>
      <c r="P1396" s="3">
        <v>0</v>
      </c>
      <c r="Q1396" s="3">
        <v>0</v>
      </c>
      <c r="R1396" s="3">
        <v>0</v>
      </c>
    </row>
    <row r="1397" spans="1:18">
      <c r="A1397" s="3" t="s">
        <v>3689</v>
      </c>
      <c r="B1397" s="3" t="s">
        <v>3690</v>
      </c>
      <c r="C1397" s="3" t="s">
        <v>3691</v>
      </c>
      <c r="D1397" s="3" t="s">
        <v>3692</v>
      </c>
      <c r="E1397" s="3" t="s">
        <v>120</v>
      </c>
      <c r="F1397" s="3">
        <v>23.98</v>
      </c>
      <c r="G1397" s="3" t="s">
        <v>121</v>
      </c>
      <c r="H1397" s="3"/>
      <c r="I1397" s="3" t="s">
        <v>122</v>
      </c>
      <c r="J1397" s="3">
        <v>0</v>
      </c>
      <c r="K1397" s="3">
        <v>0</v>
      </c>
      <c r="L1397" s="3">
        <v>0</v>
      </c>
      <c r="M1397" s="3">
        <v>0</v>
      </c>
      <c r="N1397" s="3">
        <v>0</v>
      </c>
      <c r="O1397" s="3">
        <v>0.09</v>
      </c>
      <c r="P1397" s="3">
        <v>0</v>
      </c>
      <c r="Q1397" s="3">
        <v>0</v>
      </c>
      <c r="R1397" s="3">
        <v>0</v>
      </c>
    </row>
    <row r="1398" spans="1:18">
      <c r="A1398" s="3" t="s">
        <v>3693</v>
      </c>
      <c r="B1398" s="3" t="s">
        <v>3694</v>
      </c>
      <c r="C1398" s="3" t="s">
        <v>3695</v>
      </c>
      <c r="D1398" s="3" t="s">
        <v>3696</v>
      </c>
      <c r="E1398" s="3" t="s">
        <v>120</v>
      </c>
      <c r="F1398" s="3">
        <v>23.98</v>
      </c>
      <c r="G1398" s="3" t="s">
        <v>121</v>
      </c>
      <c r="H1398" s="3"/>
      <c r="I1398" s="3" t="s">
        <v>122</v>
      </c>
      <c r="J1398" s="3">
        <v>0</v>
      </c>
      <c r="K1398" s="3">
        <v>0</v>
      </c>
      <c r="L1398" s="3">
        <v>0</v>
      </c>
      <c r="M1398" s="3">
        <v>0</v>
      </c>
      <c r="N1398" s="3">
        <v>0</v>
      </c>
      <c r="O1398" s="3">
        <v>0.09</v>
      </c>
      <c r="P1398" s="3">
        <v>0</v>
      </c>
      <c r="Q1398" s="3">
        <v>0</v>
      </c>
      <c r="R1398" s="3">
        <v>0</v>
      </c>
    </row>
    <row r="1399" spans="1:18">
      <c r="A1399" s="3" t="s">
        <v>3697</v>
      </c>
      <c r="B1399" s="3" t="s">
        <v>3698</v>
      </c>
      <c r="C1399" s="3" t="s">
        <v>3699</v>
      </c>
      <c r="D1399" s="3" t="s">
        <v>3700</v>
      </c>
      <c r="E1399" s="3" t="s">
        <v>120</v>
      </c>
      <c r="F1399" s="3">
        <v>23.98</v>
      </c>
      <c r="G1399" s="3" t="s">
        <v>121</v>
      </c>
      <c r="H1399" s="3"/>
      <c r="I1399" s="3" t="s">
        <v>122</v>
      </c>
      <c r="J1399" s="3">
        <v>0</v>
      </c>
      <c r="K1399" s="3">
        <v>0</v>
      </c>
      <c r="L1399" s="3">
        <v>0</v>
      </c>
      <c r="M1399" s="3">
        <v>0</v>
      </c>
      <c r="N1399" s="3">
        <v>0</v>
      </c>
      <c r="O1399" s="3">
        <v>0.09</v>
      </c>
      <c r="P1399" s="3">
        <v>0</v>
      </c>
      <c r="Q1399" s="3">
        <v>0</v>
      </c>
      <c r="R1399" s="3">
        <v>0</v>
      </c>
    </row>
    <row r="1400" spans="1:18">
      <c r="A1400" s="3" t="s">
        <v>3701</v>
      </c>
      <c r="B1400" s="3" t="s">
        <v>3702</v>
      </c>
      <c r="C1400" s="3" t="s">
        <v>3703</v>
      </c>
      <c r="D1400" s="3" t="s">
        <v>3704</v>
      </c>
      <c r="E1400" s="3" t="s">
        <v>120</v>
      </c>
      <c r="F1400" s="3">
        <v>23.98</v>
      </c>
      <c r="G1400" s="3" t="s">
        <v>121</v>
      </c>
      <c r="H1400" s="3"/>
      <c r="I1400" s="3" t="s">
        <v>122</v>
      </c>
      <c r="J1400" s="3">
        <v>0</v>
      </c>
      <c r="K1400" s="3">
        <v>0</v>
      </c>
      <c r="L1400" s="3">
        <v>0</v>
      </c>
      <c r="M1400" s="3">
        <v>0</v>
      </c>
      <c r="N1400" s="3">
        <v>0</v>
      </c>
      <c r="O1400" s="3">
        <v>0.09</v>
      </c>
      <c r="P1400" s="3">
        <v>0</v>
      </c>
      <c r="Q1400" s="3">
        <v>0</v>
      </c>
      <c r="R1400" s="3">
        <v>0</v>
      </c>
    </row>
    <row r="1401" spans="1:18">
      <c r="A1401" s="3" t="s">
        <v>3705</v>
      </c>
      <c r="B1401" s="3" t="s">
        <v>3706</v>
      </c>
      <c r="C1401" s="3" t="s">
        <v>3707</v>
      </c>
      <c r="D1401" s="3" t="s">
        <v>3708</v>
      </c>
      <c r="E1401" s="3" t="s">
        <v>120</v>
      </c>
      <c r="F1401" s="3">
        <v>23.98</v>
      </c>
      <c r="G1401" s="3" t="s">
        <v>121</v>
      </c>
      <c r="H1401" s="3"/>
      <c r="I1401" s="3" t="s">
        <v>122</v>
      </c>
      <c r="J1401" s="3">
        <v>0</v>
      </c>
      <c r="K1401" s="3">
        <v>0</v>
      </c>
      <c r="L1401" s="3">
        <v>0</v>
      </c>
      <c r="M1401" s="3">
        <v>0</v>
      </c>
      <c r="N1401" s="3">
        <v>0</v>
      </c>
      <c r="O1401" s="3">
        <v>0.09</v>
      </c>
      <c r="P1401" s="3">
        <v>0</v>
      </c>
      <c r="Q1401" s="3">
        <v>0</v>
      </c>
      <c r="R1401" s="3">
        <v>0</v>
      </c>
    </row>
    <row r="1402" spans="1:18">
      <c r="A1402" s="3" t="s">
        <v>3709</v>
      </c>
      <c r="B1402" s="3" t="s">
        <v>3710</v>
      </c>
      <c r="C1402" s="3" t="s">
        <v>3711</v>
      </c>
      <c r="D1402" s="3" t="s">
        <v>3712</v>
      </c>
      <c r="E1402" s="3" t="s">
        <v>120</v>
      </c>
      <c r="F1402" s="3">
        <v>23.98</v>
      </c>
      <c r="G1402" s="3" t="s">
        <v>121</v>
      </c>
      <c r="H1402" s="3"/>
      <c r="I1402" s="3" t="s">
        <v>122</v>
      </c>
      <c r="J1402" s="3">
        <v>0</v>
      </c>
      <c r="K1402" s="3">
        <v>0</v>
      </c>
      <c r="L1402" s="3">
        <v>0</v>
      </c>
      <c r="M1402" s="3">
        <v>0</v>
      </c>
      <c r="N1402" s="3">
        <v>0</v>
      </c>
      <c r="O1402" s="3">
        <v>0.09</v>
      </c>
      <c r="P1402" s="3">
        <v>0</v>
      </c>
      <c r="Q1402" s="3">
        <v>0</v>
      </c>
      <c r="R1402" s="3">
        <v>0</v>
      </c>
    </row>
    <row r="1403" spans="1:18">
      <c r="A1403" s="3" t="s">
        <v>3713</v>
      </c>
      <c r="B1403" s="3" t="s">
        <v>3714</v>
      </c>
      <c r="C1403" s="3" t="s">
        <v>3715</v>
      </c>
      <c r="D1403" s="3" t="s">
        <v>3716</v>
      </c>
      <c r="E1403" s="3" t="s">
        <v>120</v>
      </c>
      <c r="F1403" s="3">
        <v>23.98</v>
      </c>
      <c r="G1403" s="3" t="s">
        <v>121</v>
      </c>
      <c r="H1403" s="3"/>
      <c r="I1403" s="3" t="s">
        <v>122</v>
      </c>
      <c r="J1403" s="3">
        <v>0</v>
      </c>
      <c r="K1403" s="3">
        <v>0</v>
      </c>
      <c r="L1403" s="3">
        <v>0</v>
      </c>
      <c r="M1403" s="3">
        <v>0</v>
      </c>
      <c r="N1403" s="3">
        <v>0</v>
      </c>
      <c r="O1403" s="3">
        <v>0.09</v>
      </c>
      <c r="P1403" s="3">
        <v>0</v>
      </c>
      <c r="Q1403" s="3">
        <v>0</v>
      </c>
      <c r="R1403" s="3">
        <v>0</v>
      </c>
    </row>
    <row r="1404" spans="1:18">
      <c r="A1404" s="3" t="s">
        <v>3717</v>
      </c>
      <c r="B1404" s="3" t="s">
        <v>3718</v>
      </c>
      <c r="C1404" s="3" t="s">
        <v>3719</v>
      </c>
      <c r="D1404" s="3" t="s">
        <v>3720</v>
      </c>
      <c r="E1404" s="3" t="s">
        <v>120</v>
      </c>
      <c r="F1404" s="3">
        <v>23.98</v>
      </c>
      <c r="G1404" s="3" t="s">
        <v>121</v>
      </c>
      <c r="H1404" s="3"/>
      <c r="I1404" s="3" t="s">
        <v>122</v>
      </c>
      <c r="J1404" s="3">
        <v>0</v>
      </c>
      <c r="K1404" s="3">
        <v>0</v>
      </c>
      <c r="L1404" s="3">
        <v>0</v>
      </c>
      <c r="M1404" s="3">
        <v>0</v>
      </c>
      <c r="N1404" s="3">
        <v>0</v>
      </c>
      <c r="O1404" s="3">
        <v>0.09</v>
      </c>
      <c r="P1404" s="3">
        <v>0</v>
      </c>
      <c r="Q1404" s="3">
        <v>0</v>
      </c>
      <c r="R1404" s="3">
        <v>0</v>
      </c>
    </row>
    <row r="1405" spans="1:18">
      <c r="A1405" s="3" t="s">
        <v>3721</v>
      </c>
      <c r="B1405" s="3" t="s">
        <v>3722</v>
      </c>
      <c r="C1405" s="3" t="s">
        <v>3723</v>
      </c>
      <c r="D1405" s="3" t="s">
        <v>3724</v>
      </c>
      <c r="E1405" s="3" t="s">
        <v>120</v>
      </c>
      <c r="F1405" s="3">
        <v>23.98</v>
      </c>
      <c r="G1405" s="3" t="s">
        <v>121</v>
      </c>
      <c r="H1405" s="3"/>
      <c r="I1405" s="3" t="s">
        <v>122</v>
      </c>
      <c r="J1405" s="3">
        <v>0</v>
      </c>
      <c r="K1405" s="3">
        <v>0</v>
      </c>
      <c r="L1405" s="3">
        <v>0</v>
      </c>
      <c r="M1405" s="3">
        <v>0</v>
      </c>
      <c r="N1405" s="3">
        <v>0</v>
      </c>
      <c r="O1405" s="3">
        <v>0.09</v>
      </c>
      <c r="P1405" s="3">
        <v>0</v>
      </c>
      <c r="Q1405" s="3">
        <v>0</v>
      </c>
      <c r="R1405" s="3">
        <v>0</v>
      </c>
    </row>
    <row r="1406" spans="1:18">
      <c r="A1406" s="3" t="s">
        <v>3725</v>
      </c>
      <c r="B1406" s="3" t="s">
        <v>3726</v>
      </c>
      <c r="C1406" s="3" t="s">
        <v>3727</v>
      </c>
      <c r="D1406" s="3" t="s">
        <v>3728</v>
      </c>
      <c r="E1406" s="3" t="s">
        <v>120</v>
      </c>
      <c r="F1406" s="3">
        <v>23.98</v>
      </c>
      <c r="G1406" s="3" t="s">
        <v>121</v>
      </c>
      <c r="H1406" s="3"/>
      <c r="I1406" s="3" t="s">
        <v>122</v>
      </c>
      <c r="J1406" s="3">
        <v>0</v>
      </c>
      <c r="K1406" s="3">
        <v>0</v>
      </c>
      <c r="L1406" s="3">
        <v>0</v>
      </c>
      <c r="M1406" s="3">
        <v>0</v>
      </c>
      <c r="N1406" s="3">
        <v>0</v>
      </c>
      <c r="O1406" s="3">
        <v>0.09</v>
      </c>
      <c r="P1406" s="3">
        <v>0</v>
      </c>
      <c r="Q1406" s="3">
        <v>0</v>
      </c>
      <c r="R1406" s="3">
        <v>0</v>
      </c>
    </row>
    <row r="1407" spans="1:18">
      <c r="A1407" s="3" t="s">
        <v>3729</v>
      </c>
      <c r="B1407" s="3" t="s">
        <v>3730</v>
      </c>
      <c r="C1407" s="3" t="s">
        <v>3731</v>
      </c>
      <c r="D1407" s="3" t="s">
        <v>3732</v>
      </c>
      <c r="E1407" s="3" t="s">
        <v>120</v>
      </c>
      <c r="F1407" s="3">
        <v>23.98</v>
      </c>
      <c r="G1407" s="3" t="s">
        <v>121</v>
      </c>
      <c r="H1407" s="3"/>
      <c r="I1407" s="3" t="s">
        <v>122</v>
      </c>
      <c r="J1407" s="3">
        <v>0</v>
      </c>
      <c r="K1407" s="3">
        <v>0</v>
      </c>
      <c r="L1407" s="3">
        <v>0</v>
      </c>
      <c r="M1407" s="3">
        <v>0</v>
      </c>
      <c r="N1407" s="3">
        <v>0</v>
      </c>
      <c r="O1407" s="3">
        <v>0.09</v>
      </c>
      <c r="P1407" s="3">
        <v>0</v>
      </c>
      <c r="Q1407" s="3">
        <v>0</v>
      </c>
      <c r="R1407" s="3">
        <v>0</v>
      </c>
    </row>
    <row r="1408" spans="1:18">
      <c r="A1408" s="3" t="s">
        <v>3733</v>
      </c>
      <c r="B1408" s="3" t="s">
        <v>3734</v>
      </c>
      <c r="C1408" s="3" t="s">
        <v>3735</v>
      </c>
      <c r="D1408" s="3" t="s">
        <v>3736</v>
      </c>
      <c r="E1408" s="3" t="s">
        <v>120</v>
      </c>
      <c r="F1408" s="3">
        <v>23.98</v>
      </c>
      <c r="G1408" s="3" t="s">
        <v>121</v>
      </c>
      <c r="H1408" s="3"/>
      <c r="I1408" s="3" t="s">
        <v>122</v>
      </c>
      <c r="J1408" s="3">
        <v>0</v>
      </c>
      <c r="K1408" s="3">
        <v>0</v>
      </c>
      <c r="L1408" s="3">
        <v>0</v>
      </c>
      <c r="M1408" s="3">
        <v>0</v>
      </c>
      <c r="N1408" s="3">
        <v>0</v>
      </c>
      <c r="O1408" s="3">
        <v>0.09</v>
      </c>
      <c r="P1408" s="3">
        <v>0</v>
      </c>
      <c r="Q1408" s="3">
        <v>0</v>
      </c>
      <c r="R1408" s="3">
        <v>0</v>
      </c>
    </row>
    <row r="1409" spans="1:18">
      <c r="A1409" s="3" t="s">
        <v>3737</v>
      </c>
      <c r="B1409" s="3" t="s">
        <v>3738</v>
      </c>
      <c r="C1409" s="3" t="s">
        <v>3739</v>
      </c>
      <c r="D1409" s="3" t="s">
        <v>3740</v>
      </c>
      <c r="E1409" s="3" t="s">
        <v>120</v>
      </c>
      <c r="F1409" s="3">
        <v>23.98</v>
      </c>
      <c r="G1409" s="3" t="s">
        <v>121</v>
      </c>
      <c r="H1409" s="3"/>
      <c r="I1409" s="3" t="s">
        <v>122</v>
      </c>
      <c r="J1409" s="3">
        <v>0</v>
      </c>
      <c r="K1409" s="3">
        <v>0</v>
      </c>
      <c r="L1409" s="3">
        <v>0</v>
      </c>
      <c r="M1409" s="3">
        <v>0</v>
      </c>
      <c r="N1409" s="3">
        <v>0</v>
      </c>
      <c r="O1409" s="3">
        <v>0.09</v>
      </c>
      <c r="P1409" s="3">
        <v>0</v>
      </c>
      <c r="Q1409" s="3">
        <v>0</v>
      </c>
      <c r="R1409" s="3">
        <v>0</v>
      </c>
    </row>
    <row r="1410" spans="1:18">
      <c r="A1410" s="3" t="s">
        <v>3741</v>
      </c>
      <c r="B1410" s="3" t="s">
        <v>3742</v>
      </c>
      <c r="C1410" s="3" t="s">
        <v>3743</v>
      </c>
      <c r="D1410" s="3" t="s">
        <v>3744</v>
      </c>
      <c r="E1410" s="3" t="s">
        <v>120</v>
      </c>
      <c r="F1410" s="3">
        <v>23.98</v>
      </c>
      <c r="G1410" s="3" t="s">
        <v>121</v>
      </c>
      <c r="H1410" s="3"/>
      <c r="I1410" s="3" t="s">
        <v>122</v>
      </c>
      <c r="J1410" s="3">
        <v>0</v>
      </c>
      <c r="K1410" s="3">
        <v>0</v>
      </c>
      <c r="L1410" s="3">
        <v>0</v>
      </c>
      <c r="M1410" s="3">
        <v>0</v>
      </c>
      <c r="N1410" s="3">
        <v>0</v>
      </c>
      <c r="O1410" s="3">
        <v>0.09</v>
      </c>
      <c r="P1410" s="3">
        <v>0</v>
      </c>
      <c r="Q1410" s="3">
        <v>0</v>
      </c>
      <c r="R1410" s="3">
        <v>0</v>
      </c>
    </row>
    <row r="1411" spans="1:18">
      <c r="A1411" s="3" t="s">
        <v>3745</v>
      </c>
      <c r="B1411" s="3" t="s">
        <v>3746</v>
      </c>
      <c r="C1411" s="3" t="s">
        <v>3747</v>
      </c>
      <c r="D1411" s="3" t="s">
        <v>3748</v>
      </c>
      <c r="E1411" s="3" t="s">
        <v>120</v>
      </c>
      <c r="F1411" s="3">
        <v>23.98</v>
      </c>
      <c r="G1411" s="3" t="s">
        <v>121</v>
      </c>
      <c r="H1411" s="3"/>
      <c r="I1411" s="3" t="s">
        <v>122</v>
      </c>
      <c r="J1411" s="3">
        <v>0</v>
      </c>
      <c r="K1411" s="3">
        <v>0</v>
      </c>
      <c r="L1411" s="3">
        <v>0</v>
      </c>
      <c r="M1411" s="3">
        <v>0</v>
      </c>
      <c r="N1411" s="3">
        <v>0</v>
      </c>
      <c r="O1411" s="3">
        <v>0.09</v>
      </c>
      <c r="P1411" s="3">
        <v>0</v>
      </c>
      <c r="Q1411" s="3">
        <v>0</v>
      </c>
      <c r="R1411" s="3">
        <v>0</v>
      </c>
    </row>
    <row r="1412" spans="1:18">
      <c r="A1412" s="3" t="s">
        <v>3749</v>
      </c>
      <c r="B1412" s="3" t="s">
        <v>3750</v>
      </c>
      <c r="C1412" s="3" t="s">
        <v>3751</v>
      </c>
      <c r="D1412" s="3" t="s">
        <v>3752</v>
      </c>
      <c r="E1412" s="3" t="s">
        <v>120</v>
      </c>
      <c r="F1412" s="3">
        <v>23.98</v>
      </c>
      <c r="G1412" s="3" t="s">
        <v>121</v>
      </c>
      <c r="H1412" s="3"/>
      <c r="I1412" s="3" t="s">
        <v>122</v>
      </c>
      <c r="J1412" s="3">
        <v>0</v>
      </c>
      <c r="K1412" s="3">
        <v>0</v>
      </c>
      <c r="L1412" s="3">
        <v>0</v>
      </c>
      <c r="M1412" s="3">
        <v>0</v>
      </c>
      <c r="N1412" s="3">
        <v>0</v>
      </c>
      <c r="O1412" s="3">
        <v>0.09</v>
      </c>
      <c r="P1412" s="3">
        <v>0</v>
      </c>
      <c r="Q1412" s="3">
        <v>0</v>
      </c>
      <c r="R1412" s="3">
        <v>0</v>
      </c>
    </row>
    <row r="1413" spans="1:18">
      <c r="A1413" s="3" t="s">
        <v>3753</v>
      </c>
      <c r="B1413" s="3" t="s">
        <v>3754</v>
      </c>
      <c r="C1413" s="3" t="s">
        <v>3755</v>
      </c>
      <c r="D1413" s="3" t="s">
        <v>3756</v>
      </c>
      <c r="E1413" s="3" t="s">
        <v>120</v>
      </c>
      <c r="F1413" s="3">
        <v>23.98</v>
      </c>
      <c r="G1413" s="3" t="s">
        <v>121</v>
      </c>
      <c r="H1413" s="3"/>
      <c r="I1413" s="3" t="s">
        <v>122</v>
      </c>
      <c r="J1413" s="3">
        <v>0</v>
      </c>
      <c r="K1413" s="3">
        <v>0</v>
      </c>
      <c r="L1413" s="3">
        <v>0</v>
      </c>
      <c r="M1413" s="3">
        <v>0</v>
      </c>
      <c r="N1413" s="3">
        <v>0</v>
      </c>
      <c r="O1413" s="3">
        <v>0.09</v>
      </c>
      <c r="P1413" s="3">
        <v>0</v>
      </c>
      <c r="Q1413" s="3">
        <v>0</v>
      </c>
      <c r="R1413" s="3">
        <v>0</v>
      </c>
    </row>
    <row r="1414" spans="1:18">
      <c r="A1414" s="3" t="s">
        <v>3757</v>
      </c>
      <c r="B1414" s="3" t="s">
        <v>3758</v>
      </c>
      <c r="C1414" s="3" t="s">
        <v>3759</v>
      </c>
      <c r="D1414" s="3" t="s">
        <v>3760</v>
      </c>
      <c r="E1414" s="3" t="s">
        <v>120</v>
      </c>
      <c r="F1414" s="3">
        <v>23.98</v>
      </c>
      <c r="G1414" s="3" t="s">
        <v>121</v>
      </c>
      <c r="H1414" s="3"/>
      <c r="I1414" s="3" t="s">
        <v>122</v>
      </c>
      <c r="J1414" s="3">
        <v>0</v>
      </c>
      <c r="K1414" s="3">
        <v>0</v>
      </c>
      <c r="L1414" s="3">
        <v>0</v>
      </c>
      <c r="M1414" s="3">
        <v>0</v>
      </c>
      <c r="N1414" s="3">
        <v>0</v>
      </c>
      <c r="O1414" s="3">
        <v>0.09</v>
      </c>
      <c r="P1414" s="3">
        <v>0</v>
      </c>
      <c r="Q1414" s="3">
        <v>0</v>
      </c>
      <c r="R1414" s="3">
        <v>0</v>
      </c>
    </row>
    <row r="1415" spans="1:18">
      <c r="A1415" s="3" t="s">
        <v>3761</v>
      </c>
      <c r="B1415" s="3" t="s">
        <v>3762</v>
      </c>
      <c r="C1415" s="3" t="s">
        <v>3763</v>
      </c>
      <c r="D1415" s="3" t="s">
        <v>3764</v>
      </c>
      <c r="E1415" s="3" t="s">
        <v>120</v>
      </c>
      <c r="F1415" s="3">
        <v>23.98</v>
      </c>
      <c r="G1415" s="3" t="s">
        <v>121</v>
      </c>
      <c r="H1415" s="3"/>
      <c r="I1415" s="3" t="s">
        <v>122</v>
      </c>
      <c r="J1415" s="3">
        <v>0</v>
      </c>
      <c r="K1415" s="3">
        <v>0</v>
      </c>
      <c r="L1415" s="3">
        <v>0</v>
      </c>
      <c r="M1415" s="3">
        <v>0</v>
      </c>
      <c r="N1415" s="3">
        <v>0</v>
      </c>
      <c r="O1415" s="3">
        <v>0.09</v>
      </c>
      <c r="P1415" s="3">
        <v>0</v>
      </c>
      <c r="Q1415" s="3">
        <v>0</v>
      </c>
      <c r="R1415" s="3">
        <v>0</v>
      </c>
    </row>
    <row r="1416" spans="1:18">
      <c r="A1416" s="3" t="s">
        <v>3765</v>
      </c>
      <c r="B1416" s="3" t="s">
        <v>3766</v>
      </c>
      <c r="C1416" s="3" t="s">
        <v>3767</v>
      </c>
      <c r="D1416" s="3" t="s">
        <v>3768</v>
      </c>
      <c r="E1416" s="3" t="s">
        <v>120</v>
      </c>
      <c r="F1416" s="3">
        <v>23.98</v>
      </c>
      <c r="G1416" s="3" t="s">
        <v>121</v>
      </c>
      <c r="H1416" s="3"/>
      <c r="I1416" s="3" t="s">
        <v>122</v>
      </c>
      <c r="J1416" s="3">
        <v>0</v>
      </c>
      <c r="K1416" s="3">
        <v>0</v>
      </c>
      <c r="L1416" s="3">
        <v>0</v>
      </c>
      <c r="M1416" s="3">
        <v>0</v>
      </c>
      <c r="N1416" s="3">
        <v>0</v>
      </c>
      <c r="O1416" s="3">
        <v>0.09</v>
      </c>
      <c r="P1416" s="3">
        <v>0</v>
      </c>
      <c r="Q1416" s="3">
        <v>0</v>
      </c>
      <c r="R1416" s="3">
        <v>0</v>
      </c>
    </row>
    <row r="1417" spans="1:18">
      <c r="A1417" s="3" t="s">
        <v>3769</v>
      </c>
      <c r="B1417" s="3" t="s">
        <v>3770</v>
      </c>
      <c r="C1417" s="3" t="s">
        <v>3771</v>
      </c>
      <c r="D1417" s="3" t="s">
        <v>3772</v>
      </c>
      <c r="E1417" s="3" t="s">
        <v>120</v>
      </c>
      <c r="F1417" s="3">
        <v>23.98</v>
      </c>
      <c r="G1417" s="3" t="s">
        <v>121</v>
      </c>
      <c r="H1417" s="3"/>
      <c r="I1417" s="3" t="s">
        <v>122</v>
      </c>
      <c r="J1417" s="3">
        <v>0</v>
      </c>
      <c r="K1417" s="3">
        <v>0</v>
      </c>
      <c r="L1417" s="3">
        <v>0</v>
      </c>
      <c r="M1417" s="3">
        <v>0</v>
      </c>
      <c r="N1417" s="3">
        <v>0</v>
      </c>
      <c r="O1417" s="3">
        <v>0.09</v>
      </c>
      <c r="P1417" s="3">
        <v>0</v>
      </c>
      <c r="Q1417" s="3">
        <v>0</v>
      </c>
      <c r="R1417" s="3">
        <v>0</v>
      </c>
    </row>
    <row r="1418" spans="1:18">
      <c r="A1418" s="3" t="s">
        <v>3773</v>
      </c>
      <c r="B1418" s="3" t="s">
        <v>3774</v>
      </c>
      <c r="C1418" s="3" t="s">
        <v>3775</v>
      </c>
      <c r="D1418" s="3" t="s">
        <v>3776</v>
      </c>
      <c r="E1418" s="3" t="s">
        <v>120</v>
      </c>
      <c r="F1418" s="3">
        <v>23.98</v>
      </c>
      <c r="G1418" s="3" t="s">
        <v>121</v>
      </c>
      <c r="H1418" s="3"/>
      <c r="I1418" s="3" t="s">
        <v>122</v>
      </c>
      <c r="J1418" s="3">
        <v>0</v>
      </c>
      <c r="K1418" s="3">
        <v>0</v>
      </c>
      <c r="L1418" s="3">
        <v>0</v>
      </c>
      <c r="M1418" s="3">
        <v>0</v>
      </c>
      <c r="N1418" s="3">
        <v>0</v>
      </c>
      <c r="O1418" s="3">
        <v>0.09</v>
      </c>
      <c r="P1418" s="3">
        <v>0</v>
      </c>
      <c r="Q1418" s="3">
        <v>0</v>
      </c>
      <c r="R1418" s="3">
        <v>0</v>
      </c>
    </row>
    <row r="1419" spans="1:18">
      <c r="A1419" s="3" t="s">
        <v>3777</v>
      </c>
      <c r="B1419" s="3" t="s">
        <v>3778</v>
      </c>
      <c r="C1419" s="3" t="s">
        <v>3779</v>
      </c>
      <c r="D1419" s="3" t="s">
        <v>3780</v>
      </c>
      <c r="E1419" s="3" t="s">
        <v>120</v>
      </c>
      <c r="F1419" s="3">
        <v>23.98</v>
      </c>
      <c r="G1419" s="3" t="s">
        <v>121</v>
      </c>
      <c r="H1419" s="3"/>
      <c r="I1419" s="3" t="s">
        <v>122</v>
      </c>
      <c r="J1419" s="3">
        <v>0</v>
      </c>
      <c r="K1419" s="3">
        <v>0</v>
      </c>
      <c r="L1419" s="3">
        <v>0</v>
      </c>
      <c r="M1419" s="3">
        <v>0</v>
      </c>
      <c r="N1419" s="3">
        <v>0</v>
      </c>
      <c r="O1419" s="3">
        <v>0.09</v>
      </c>
      <c r="P1419" s="3">
        <v>0</v>
      </c>
      <c r="Q1419" s="3">
        <v>0</v>
      </c>
      <c r="R1419" s="3">
        <v>0</v>
      </c>
    </row>
    <row r="1420" spans="1:18">
      <c r="A1420" s="3" t="s">
        <v>3781</v>
      </c>
      <c r="B1420" s="3" t="s">
        <v>3782</v>
      </c>
      <c r="C1420" s="3" t="s">
        <v>3783</v>
      </c>
      <c r="D1420" s="3" t="s">
        <v>3784</v>
      </c>
      <c r="E1420" s="3" t="s">
        <v>120</v>
      </c>
      <c r="F1420" s="3">
        <v>23.98</v>
      </c>
      <c r="G1420" s="3" t="s">
        <v>121</v>
      </c>
      <c r="H1420" s="3"/>
      <c r="I1420" s="3" t="s">
        <v>122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0.09</v>
      </c>
      <c r="P1420" s="3">
        <v>0</v>
      </c>
      <c r="Q1420" s="3">
        <v>0</v>
      </c>
      <c r="R1420" s="3">
        <v>0</v>
      </c>
    </row>
    <row r="1421" spans="1:18">
      <c r="A1421" s="3" t="s">
        <v>3785</v>
      </c>
      <c r="B1421" s="3" t="s">
        <v>3786</v>
      </c>
      <c r="C1421" s="3" t="s">
        <v>3787</v>
      </c>
      <c r="D1421" s="3" t="s">
        <v>3788</v>
      </c>
      <c r="E1421" s="3" t="s">
        <v>120</v>
      </c>
      <c r="F1421" s="3">
        <v>23.98</v>
      </c>
      <c r="G1421" s="3" t="s">
        <v>121</v>
      </c>
      <c r="H1421" s="3"/>
      <c r="I1421" s="3" t="s">
        <v>122</v>
      </c>
      <c r="J1421" s="3">
        <v>0</v>
      </c>
      <c r="K1421" s="3">
        <v>0</v>
      </c>
      <c r="L1421" s="3">
        <v>0</v>
      </c>
      <c r="M1421" s="3">
        <v>0</v>
      </c>
      <c r="N1421" s="3">
        <v>0</v>
      </c>
      <c r="O1421" s="3">
        <v>0.09</v>
      </c>
      <c r="P1421" s="3">
        <v>0</v>
      </c>
      <c r="Q1421" s="3">
        <v>0</v>
      </c>
      <c r="R1421" s="3">
        <v>0</v>
      </c>
    </row>
    <row r="1422" spans="1:18">
      <c r="A1422" s="3" t="s">
        <v>3789</v>
      </c>
      <c r="B1422" s="3" t="s">
        <v>3790</v>
      </c>
      <c r="C1422" s="3" t="s">
        <v>3791</v>
      </c>
      <c r="D1422" s="3" t="s">
        <v>3792</v>
      </c>
      <c r="E1422" s="3" t="s">
        <v>120</v>
      </c>
      <c r="F1422" s="3">
        <v>23.98</v>
      </c>
      <c r="G1422" s="3" t="s">
        <v>121</v>
      </c>
      <c r="H1422" s="3"/>
      <c r="I1422" s="3" t="s">
        <v>122</v>
      </c>
      <c r="J1422" s="3">
        <v>0</v>
      </c>
      <c r="K1422" s="3">
        <v>0</v>
      </c>
      <c r="L1422" s="3">
        <v>0</v>
      </c>
      <c r="M1422" s="3">
        <v>0</v>
      </c>
      <c r="N1422" s="3">
        <v>0</v>
      </c>
      <c r="O1422" s="3">
        <v>0.09</v>
      </c>
      <c r="P1422" s="3">
        <v>0</v>
      </c>
      <c r="Q1422" s="3">
        <v>0</v>
      </c>
      <c r="R1422" s="3">
        <v>0</v>
      </c>
    </row>
    <row r="1423" spans="1:18">
      <c r="A1423" s="3" t="s">
        <v>3793</v>
      </c>
      <c r="B1423" s="3" t="s">
        <v>3794</v>
      </c>
      <c r="C1423" s="3" t="s">
        <v>3795</v>
      </c>
      <c r="D1423" s="3" t="s">
        <v>3796</v>
      </c>
      <c r="E1423" s="3" t="s">
        <v>120</v>
      </c>
      <c r="F1423" s="3">
        <v>23.98</v>
      </c>
      <c r="G1423" s="3" t="s">
        <v>121</v>
      </c>
      <c r="H1423" s="3"/>
      <c r="I1423" s="3" t="s">
        <v>122</v>
      </c>
      <c r="J1423" s="3">
        <v>0</v>
      </c>
      <c r="K1423" s="3">
        <v>0</v>
      </c>
      <c r="L1423" s="3">
        <v>0</v>
      </c>
      <c r="M1423" s="3">
        <v>0</v>
      </c>
      <c r="N1423" s="3">
        <v>0</v>
      </c>
      <c r="O1423" s="3">
        <v>0.09</v>
      </c>
      <c r="P1423" s="3">
        <v>0</v>
      </c>
      <c r="Q1423" s="3">
        <v>0</v>
      </c>
      <c r="R1423" s="3">
        <v>0</v>
      </c>
    </row>
    <row r="1424" spans="1:18">
      <c r="A1424" s="3" t="s">
        <v>3797</v>
      </c>
      <c r="B1424" s="3" t="s">
        <v>3798</v>
      </c>
      <c r="C1424" s="3" t="s">
        <v>3799</v>
      </c>
      <c r="D1424" s="3" t="s">
        <v>3800</v>
      </c>
      <c r="E1424" s="3" t="s">
        <v>120</v>
      </c>
      <c r="F1424" s="3">
        <v>23.98</v>
      </c>
      <c r="G1424" s="3" t="s">
        <v>121</v>
      </c>
      <c r="H1424" s="3"/>
      <c r="I1424" s="3" t="s">
        <v>122</v>
      </c>
      <c r="J1424" s="3">
        <v>0</v>
      </c>
      <c r="K1424" s="3">
        <v>0</v>
      </c>
      <c r="L1424" s="3">
        <v>0</v>
      </c>
      <c r="M1424" s="3">
        <v>0</v>
      </c>
      <c r="N1424" s="3">
        <v>0</v>
      </c>
      <c r="O1424" s="3">
        <v>0.09</v>
      </c>
      <c r="P1424" s="3">
        <v>0</v>
      </c>
      <c r="Q1424" s="3">
        <v>0</v>
      </c>
      <c r="R1424" s="3">
        <v>0</v>
      </c>
    </row>
    <row r="1425" spans="1:18">
      <c r="A1425" s="3" t="s">
        <v>3801</v>
      </c>
      <c r="B1425" s="3" t="s">
        <v>3802</v>
      </c>
      <c r="C1425" s="3" t="s">
        <v>3803</v>
      </c>
      <c r="D1425" s="3" t="s">
        <v>3804</v>
      </c>
      <c r="E1425" s="3" t="s">
        <v>120</v>
      </c>
      <c r="F1425" s="3">
        <v>23.98</v>
      </c>
      <c r="G1425" s="3" t="s">
        <v>121</v>
      </c>
      <c r="H1425" s="3"/>
      <c r="I1425" s="3" t="s">
        <v>122</v>
      </c>
      <c r="J1425" s="3">
        <v>0</v>
      </c>
      <c r="K1425" s="3">
        <v>0</v>
      </c>
      <c r="L1425" s="3">
        <v>0</v>
      </c>
      <c r="M1425" s="3">
        <v>0</v>
      </c>
      <c r="N1425" s="3">
        <v>0</v>
      </c>
      <c r="O1425" s="3">
        <v>0.09</v>
      </c>
      <c r="P1425" s="3">
        <v>0</v>
      </c>
      <c r="Q1425" s="3">
        <v>0</v>
      </c>
      <c r="R1425" s="3">
        <v>0</v>
      </c>
    </row>
    <row r="1426" spans="1:18">
      <c r="A1426" s="3" t="s">
        <v>3805</v>
      </c>
      <c r="B1426" s="3" t="s">
        <v>3806</v>
      </c>
      <c r="C1426" s="3" t="s">
        <v>3807</v>
      </c>
      <c r="D1426" s="3" t="s">
        <v>3808</v>
      </c>
      <c r="E1426" s="3" t="s">
        <v>120</v>
      </c>
      <c r="F1426" s="3">
        <v>23.98</v>
      </c>
      <c r="G1426" s="3" t="s">
        <v>121</v>
      </c>
      <c r="H1426" s="3"/>
      <c r="I1426" s="3" t="s">
        <v>122</v>
      </c>
      <c r="J1426" s="3">
        <v>0</v>
      </c>
      <c r="K1426" s="3">
        <v>0</v>
      </c>
      <c r="L1426" s="3">
        <v>0</v>
      </c>
      <c r="M1426" s="3">
        <v>0</v>
      </c>
      <c r="N1426" s="3">
        <v>0</v>
      </c>
      <c r="O1426" s="3">
        <v>0.09</v>
      </c>
      <c r="P1426" s="3">
        <v>0</v>
      </c>
      <c r="Q1426" s="3">
        <v>0</v>
      </c>
      <c r="R1426" s="3">
        <v>0</v>
      </c>
    </row>
    <row r="1427" spans="1:18">
      <c r="A1427" s="3" t="s">
        <v>3809</v>
      </c>
      <c r="B1427" s="3" t="s">
        <v>3810</v>
      </c>
      <c r="C1427" s="3" t="s">
        <v>3811</v>
      </c>
      <c r="D1427" s="3" t="s">
        <v>3812</v>
      </c>
      <c r="E1427" s="3" t="s">
        <v>120</v>
      </c>
      <c r="F1427" s="3">
        <v>23.98</v>
      </c>
      <c r="G1427" s="3" t="s">
        <v>121</v>
      </c>
      <c r="H1427" s="3"/>
      <c r="I1427" s="3" t="s">
        <v>122</v>
      </c>
      <c r="J1427" s="3">
        <v>0</v>
      </c>
      <c r="K1427" s="3">
        <v>0</v>
      </c>
      <c r="L1427" s="3">
        <v>0</v>
      </c>
      <c r="M1427" s="3">
        <v>0</v>
      </c>
      <c r="N1427" s="3">
        <v>0</v>
      </c>
      <c r="O1427" s="3">
        <v>0.09</v>
      </c>
      <c r="P1427" s="3">
        <v>0</v>
      </c>
      <c r="Q1427" s="3">
        <v>0</v>
      </c>
      <c r="R1427" s="3">
        <v>0</v>
      </c>
    </row>
    <row r="1428" spans="1:18">
      <c r="A1428" s="3" t="s">
        <v>3813</v>
      </c>
      <c r="B1428" s="3" t="s">
        <v>3814</v>
      </c>
      <c r="C1428" s="3" t="s">
        <v>3815</v>
      </c>
      <c r="D1428" s="3" t="s">
        <v>3816</v>
      </c>
      <c r="E1428" s="3" t="s">
        <v>120</v>
      </c>
      <c r="F1428" s="3">
        <v>23.98</v>
      </c>
      <c r="G1428" s="3" t="s">
        <v>121</v>
      </c>
      <c r="H1428" s="3"/>
      <c r="I1428" s="3" t="s">
        <v>122</v>
      </c>
      <c r="J1428" s="3">
        <v>0</v>
      </c>
      <c r="K1428" s="3">
        <v>0</v>
      </c>
      <c r="L1428" s="3">
        <v>0</v>
      </c>
      <c r="M1428" s="3">
        <v>0</v>
      </c>
      <c r="N1428" s="3">
        <v>0</v>
      </c>
      <c r="O1428" s="3">
        <v>0.09</v>
      </c>
      <c r="P1428" s="3">
        <v>0</v>
      </c>
      <c r="Q1428" s="3">
        <v>0</v>
      </c>
      <c r="R1428" s="3">
        <v>0</v>
      </c>
    </row>
    <row r="1429" spans="1:18">
      <c r="A1429" s="3" t="s">
        <v>3817</v>
      </c>
      <c r="B1429" s="3" t="s">
        <v>3818</v>
      </c>
      <c r="C1429" s="3" t="s">
        <v>3819</v>
      </c>
      <c r="D1429" s="3" t="s">
        <v>3820</v>
      </c>
      <c r="E1429" s="3" t="s">
        <v>120</v>
      </c>
      <c r="F1429" s="3">
        <v>23.98</v>
      </c>
      <c r="G1429" s="3" t="s">
        <v>121</v>
      </c>
      <c r="H1429" s="3"/>
      <c r="I1429" s="3" t="s">
        <v>122</v>
      </c>
      <c r="J1429" s="3">
        <v>0</v>
      </c>
      <c r="K1429" s="3">
        <v>0</v>
      </c>
      <c r="L1429" s="3">
        <v>0</v>
      </c>
      <c r="M1429" s="3">
        <v>0</v>
      </c>
      <c r="N1429" s="3">
        <v>0</v>
      </c>
      <c r="O1429" s="3">
        <v>0.09</v>
      </c>
      <c r="P1429" s="3">
        <v>0</v>
      </c>
      <c r="Q1429" s="3">
        <v>0</v>
      </c>
      <c r="R1429" s="3">
        <v>0</v>
      </c>
    </row>
    <row r="1430" spans="1:18">
      <c r="A1430" s="3" t="s">
        <v>3821</v>
      </c>
      <c r="B1430" s="3" t="s">
        <v>3822</v>
      </c>
      <c r="C1430" s="3" t="s">
        <v>3823</v>
      </c>
      <c r="D1430" s="3" t="s">
        <v>3824</v>
      </c>
      <c r="E1430" s="3" t="s">
        <v>120</v>
      </c>
      <c r="F1430" s="3">
        <v>23.98</v>
      </c>
      <c r="G1430" s="3" t="s">
        <v>121</v>
      </c>
      <c r="H1430" s="3"/>
      <c r="I1430" s="3" t="s">
        <v>122</v>
      </c>
      <c r="J1430" s="3">
        <v>0</v>
      </c>
      <c r="K1430" s="3">
        <v>0</v>
      </c>
      <c r="L1430" s="3">
        <v>0</v>
      </c>
      <c r="M1430" s="3">
        <v>0</v>
      </c>
      <c r="N1430" s="3">
        <v>0</v>
      </c>
      <c r="O1430" s="3">
        <v>0.09</v>
      </c>
      <c r="P1430" s="3">
        <v>0</v>
      </c>
      <c r="Q1430" s="3">
        <v>0</v>
      </c>
      <c r="R1430" s="3">
        <v>0</v>
      </c>
    </row>
    <row r="1431" spans="1:18">
      <c r="A1431" s="3" t="s">
        <v>3825</v>
      </c>
      <c r="B1431" s="3" t="s">
        <v>3826</v>
      </c>
      <c r="C1431" s="3" t="s">
        <v>3827</v>
      </c>
      <c r="D1431" s="3" t="s">
        <v>3828</v>
      </c>
      <c r="E1431" s="3" t="s">
        <v>120</v>
      </c>
      <c r="F1431" s="3">
        <v>23.98</v>
      </c>
      <c r="G1431" s="3" t="s">
        <v>121</v>
      </c>
      <c r="H1431" s="3"/>
      <c r="I1431" s="3" t="s">
        <v>122</v>
      </c>
      <c r="J1431" s="3">
        <v>0</v>
      </c>
      <c r="K1431" s="3">
        <v>0</v>
      </c>
      <c r="L1431" s="3">
        <v>0</v>
      </c>
      <c r="M1431" s="3">
        <v>0</v>
      </c>
      <c r="N1431" s="3">
        <v>0</v>
      </c>
      <c r="O1431" s="3">
        <v>0.09</v>
      </c>
      <c r="P1431" s="3">
        <v>0</v>
      </c>
      <c r="Q1431" s="3">
        <v>0</v>
      </c>
      <c r="R1431" s="3">
        <v>0</v>
      </c>
    </row>
    <row r="1432" spans="1:18">
      <c r="A1432" s="3" t="s">
        <v>3829</v>
      </c>
      <c r="B1432" s="3" t="s">
        <v>3830</v>
      </c>
      <c r="C1432" s="3" t="s">
        <v>3831</v>
      </c>
      <c r="D1432" s="3" t="s">
        <v>3832</v>
      </c>
      <c r="E1432" s="3" t="s">
        <v>120</v>
      </c>
      <c r="F1432" s="3">
        <v>23.98</v>
      </c>
      <c r="G1432" s="3" t="s">
        <v>121</v>
      </c>
      <c r="H1432" s="3"/>
      <c r="I1432" s="3" t="s">
        <v>122</v>
      </c>
      <c r="J1432" s="3">
        <v>0</v>
      </c>
      <c r="K1432" s="3">
        <v>0</v>
      </c>
      <c r="L1432" s="3">
        <v>0</v>
      </c>
      <c r="M1432" s="3">
        <v>0</v>
      </c>
      <c r="N1432" s="3">
        <v>0</v>
      </c>
      <c r="O1432" s="3">
        <v>0.02</v>
      </c>
      <c r="P1432" s="3">
        <v>0</v>
      </c>
      <c r="Q1432" s="3">
        <v>0</v>
      </c>
      <c r="R1432" s="3">
        <v>0</v>
      </c>
    </row>
    <row r="1433" spans="1:18">
      <c r="A1433" s="3" t="s">
        <v>3833</v>
      </c>
      <c r="B1433" s="3" t="s">
        <v>3834</v>
      </c>
      <c r="C1433" s="3" t="s">
        <v>3835</v>
      </c>
      <c r="D1433" s="3" t="s">
        <v>3836</v>
      </c>
      <c r="E1433" s="3" t="s">
        <v>120</v>
      </c>
      <c r="F1433" s="3">
        <v>23.98</v>
      </c>
      <c r="G1433" s="3" t="s">
        <v>121</v>
      </c>
      <c r="H1433" s="3"/>
      <c r="I1433" s="3" t="s">
        <v>122</v>
      </c>
      <c r="J1433" s="3">
        <v>0</v>
      </c>
      <c r="K1433" s="3">
        <v>0</v>
      </c>
      <c r="L1433" s="3">
        <v>0</v>
      </c>
      <c r="M1433" s="3">
        <v>0</v>
      </c>
      <c r="N1433" s="3">
        <v>0</v>
      </c>
      <c r="O1433" s="3">
        <v>0.02</v>
      </c>
      <c r="P1433" s="3">
        <v>0</v>
      </c>
      <c r="Q1433" s="3">
        <v>0</v>
      </c>
      <c r="R1433" s="3">
        <v>0</v>
      </c>
    </row>
    <row r="1434" spans="1:18">
      <c r="A1434" s="3" t="s">
        <v>3837</v>
      </c>
      <c r="B1434" s="3" t="s">
        <v>3838</v>
      </c>
      <c r="C1434" s="3" t="s">
        <v>3839</v>
      </c>
      <c r="D1434" s="3" t="s">
        <v>3840</v>
      </c>
      <c r="E1434" s="3" t="s">
        <v>120</v>
      </c>
      <c r="F1434" s="3">
        <v>23.98</v>
      </c>
      <c r="G1434" s="3" t="s">
        <v>121</v>
      </c>
      <c r="H1434" s="3"/>
      <c r="I1434" s="3" t="s">
        <v>122</v>
      </c>
      <c r="J1434" s="3">
        <v>0</v>
      </c>
      <c r="K1434" s="3">
        <v>0</v>
      </c>
      <c r="L1434" s="3">
        <v>0</v>
      </c>
      <c r="M1434" s="3">
        <v>0</v>
      </c>
      <c r="N1434" s="3">
        <v>0</v>
      </c>
      <c r="O1434" s="3">
        <v>0.02</v>
      </c>
      <c r="P1434" s="3">
        <v>0</v>
      </c>
      <c r="Q1434" s="3">
        <v>0</v>
      </c>
      <c r="R1434" s="3">
        <v>0</v>
      </c>
    </row>
    <row r="1435" spans="1:18">
      <c r="A1435" s="3" t="s">
        <v>3841</v>
      </c>
      <c r="B1435" s="3" t="s">
        <v>3842</v>
      </c>
      <c r="C1435" s="3" t="s">
        <v>3843</v>
      </c>
      <c r="D1435" s="3" t="s">
        <v>3844</v>
      </c>
      <c r="E1435" s="3" t="s">
        <v>120</v>
      </c>
      <c r="F1435" s="3">
        <v>23.98</v>
      </c>
      <c r="G1435" s="3" t="s">
        <v>121</v>
      </c>
      <c r="H1435" s="3"/>
      <c r="I1435" s="3" t="s">
        <v>122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0.02</v>
      </c>
      <c r="P1435" s="3">
        <v>0</v>
      </c>
      <c r="Q1435" s="3">
        <v>0</v>
      </c>
      <c r="R1435" s="3">
        <v>0</v>
      </c>
    </row>
    <row r="1436" spans="1:18">
      <c r="A1436" s="3" t="s">
        <v>3845</v>
      </c>
      <c r="B1436" s="3" t="s">
        <v>3846</v>
      </c>
      <c r="C1436" s="3" t="s">
        <v>3847</v>
      </c>
      <c r="D1436" s="3" t="s">
        <v>3848</v>
      </c>
      <c r="E1436" s="3" t="s">
        <v>120</v>
      </c>
      <c r="F1436" s="3">
        <v>23.98</v>
      </c>
      <c r="G1436" s="3" t="s">
        <v>121</v>
      </c>
      <c r="H1436" s="3"/>
      <c r="I1436" s="3" t="s">
        <v>122</v>
      </c>
      <c r="J1436" s="3">
        <v>0</v>
      </c>
      <c r="K1436" s="3">
        <v>0</v>
      </c>
      <c r="L1436" s="3">
        <v>0</v>
      </c>
      <c r="M1436" s="3">
        <v>0</v>
      </c>
      <c r="N1436" s="3">
        <v>0</v>
      </c>
      <c r="O1436" s="3">
        <v>0.02</v>
      </c>
      <c r="P1436" s="3">
        <v>0</v>
      </c>
      <c r="Q1436" s="3">
        <v>0</v>
      </c>
      <c r="R1436" s="3">
        <v>0</v>
      </c>
    </row>
    <row r="1437" spans="1:18">
      <c r="A1437" s="3" t="s">
        <v>3849</v>
      </c>
      <c r="B1437" s="3" t="s">
        <v>3850</v>
      </c>
      <c r="C1437" s="3" t="s">
        <v>3851</v>
      </c>
      <c r="D1437" s="3" t="s">
        <v>3852</v>
      </c>
      <c r="E1437" s="3" t="s">
        <v>120</v>
      </c>
      <c r="F1437" s="3">
        <v>23.98</v>
      </c>
      <c r="G1437" s="3" t="s">
        <v>121</v>
      </c>
      <c r="H1437" s="3"/>
      <c r="I1437" s="3" t="s">
        <v>122</v>
      </c>
      <c r="J1437" s="3">
        <v>0</v>
      </c>
      <c r="K1437" s="3">
        <v>0</v>
      </c>
      <c r="L1437" s="3">
        <v>0</v>
      </c>
      <c r="M1437" s="3">
        <v>0</v>
      </c>
      <c r="N1437" s="3">
        <v>0</v>
      </c>
      <c r="O1437" s="3">
        <v>0.02</v>
      </c>
      <c r="P1437" s="3">
        <v>0</v>
      </c>
      <c r="Q1437" s="3">
        <v>0</v>
      </c>
      <c r="R1437" s="3">
        <v>0</v>
      </c>
    </row>
    <row r="1438" spans="1:18">
      <c r="A1438" s="3" t="s">
        <v>3853</v>
      </c>
      <c r="B1438" s="3" t="s">
        <v>3854</v>
      </c>
      <c r="C1438" s="3" t="s">
        <v>3855</v>
      </c>
      <c r="D1438" s="3" t="s">
        <v>3856</v>
      </c>
      <c r="E1438" s="3" t="s">
        <v>120</v>
      </c>
      <c r="F1438" s="3">
        <v>23.98</v>
      </c>
      <c r="G1438" s="3" t="s">
        <v>121</v>
      </c>
      <c r="H1438" s="3"/>
      <c r="I1438" s="3" t="s">
        <v>122</v>
      </c>
      <c r="J1438" s="3">
        <v>0</v>
      </c>
      <c r="K1438" s="3">
        <v>0</v>
      </c>
      <c r="L1438" s="3">
        <v>0</v>
      </c>
      <c r="M1438" s="3">
        <v>0</v>
      </c>
      <c r="N1438" s="3">
        <v>0</v>
      </c>
      <c r="O1438" s="3">
        <v>0.02</v>
      </c>
      <c r="P1438" s="3">
        <v>0</v>
      </c>
      <c r="Q1438" s="3">
        <v>0</v>
      </c>
      <c r="R1438" s="3">
        <v>0</v>
      </c>
    </row>
    <row r="1439" spans="1:18">
      <c r="A1439" s="3" t="s">
        <v>3857</v>
      </c>
      <c r="B1439" s="3" t="s">
        <v>3858</v>
      </c>
      <c r="C1439" s="3" t="s">
        <v>3859</v>
      </c>
      <c r="D1439" s="3" t="s">
        <v>3860</v>
      </c>
      <c r="E1439" s="3" t="s">
        <v>120</v>
      </c>
      <c r="F1439" s="3">
        <v>23.98</v>
      </c>
      <c r="G1439" s="3" t="s">
        <v>121</v>
      </c>
      <c r="H1439" s="3"/>
      <c r="I1439" s="3" t="s">
        <v>122</v>
      </c>
      <c r="J1439" s="3">
        <v>0</v>
      </c>
      <c r="K1439" s="3">
        <v>0</v>
      </c>
      <c r="L1439" s="3">
        <v>0</v>
      </c>
      <c r="M1439" s="3">
        <v>0</v>
      </c>
      <c r="N1439" s="3">
        <v>0</v>
      </c>
      <c r="O1439" s="3">
        <v>0.02</v>
      </c>
      <c r="P1439" s="3">
        <v>0</v>
      </c>
      <c r="Q1439" s="3">
        <v>0</v>
      </c>
      <c r="R1439" s="3">
        <v>0</v>
      </c>
    </row>
    <row r="1440" spans="1:18">
      <c r="A1440" s="3" t="s">
        <v>3861</v>
      </c>
      <c r="B1440" s="3" t="s">
        <v>3862</v>
      </c>
      <c r="C1440" s="3" t="s">
        <v>3863</v>
      </c>
      <c r="D1440" s="3" t="s">
        <v>3864</v>
      </c>
      <c r="E1440" s="3" t="s">
        <v>120</v>
      </c>
      <c r="F1440" s="3">
        <v>26.98</v>
      </c>
      <c r="G1440" s="3" t="s">
        <v>121</v>
      </c>
      <c r="H1440" s="3"/>
      <c r="I1440" s="3" t="s">
        <v>122</v>
      </c>
      <c r="J1440" s="3">
        <v>0</v>
      </c>
      <c r="K1440" s="3">
        <v>0</v>
      </c>
      <c r="L1440" s="3">
        <v>0</v>
      </c>
      <c r="M1440" s="3">
        <v>0</v>
      </c>
      <c r="N1440" s="3">
        <v>0</v>
      </c>
      <c r="O1440" s="3">
        <v>0.13</v>
      </c>
      <c r="P1440" s="3">
        <v>0</v>
      </c>
      <c r="Q1440" s="3">
        <v>0</v>
      </c>
      <c r="R1440" s="3">
        <v>0</v>
      </c>
    </row>
    <row r="1441" spans="1:18">
      <c r="A1441" s="3" t="s">
        <v>3865</v>
      </c>
      <c r="B1441" s="3" t="s">
        <v>3866</v>
      </c>
      <c r="C1441" s="3" t="s">
        <v>3867</v>
      </c>
      <c r="D1441" s="3" t="s">
        <v>3868</v>
      </c>
      <c r="E1441" s="3" t="s">
        <v>120</v>
      </c>
      <c r="F1441" s="3">
        <v>26.98</v>
      </c>
      <c r="G1441" s="3" t="s">
        <v>121</v>
      </c>
      <c r="H1441" s="3"/>
      <c r="I1441" s="3" t="s">
        <v>122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0.13</v>
      </c>
      <c r="P1441" s="3">
        <v>0</v>
      </c>
      <c r="Q1441" s="3">
        <v>0</v>
      </c>
      <c r="R1441" s="3">
        <v>0</v>
      </c>
    </row>
    <row r="1442" spans="1:18">
      <c r="A1442" s="3" t="s">
        <v>3869</v>
      </c>
      <c r="B1442" s="3" t="s">
        <v>3870</v>
      </c>
      <c r="C1442" s="3" t="s">
        <v>3871</v>
      </c>
      <c r="D1442" s="3" t="s">
        <v>3872</v>
      </c>
      <c r="E1442" s="3" t="s">
        <v>120</v>
      </c>
      <c r="F1442" s="3">
        <v>26.98</v>
      </c>
      <c r="G1442" s="3" t="s">
        <v>121</v>
      </c>
      <c r="H1442" s="3"/>
      <c r="I1442" s="3" t="s">
        <v>122</v>
      </c>
      <c r="J1442" s="3">
        <v>0</v>
      </c>
      <c r="K1442" s="3">
        <v>0</v>
      </c>
      <c r="L1442" s="3">
        <v>0</v>
      </c>
      <c r="M1442" s="3">
        <v>0</v>
      </c>
      <c r="N1442" s="3">
        <v>0</v>
      </c>
      <c r="O1442" s="3">
        <v>0.13</v>
      </c>
      <c r="P1442" s="3">
        <v>0</v>
      </c>
      <c r="Q1442" s="3">
        <v>0</v>
      </c>
      <c r="R1442" s="3">
        <v>0</v>
      </c>
    </row>
    <row r="1443" spans="1:18">
      <c r="A1443" s="3" t="s">
        <v>3873</v>
      </c>
      <c r="B1443" s="3" t="s">
        <v>3874</v>
      </c>
      <c r="C1443" s="3" t="s">
        <v>3875</v>
      </c>
      <c r="D1443" s="3" t="s">
        <v>3876</v>
      </c>
      <c r="E1443" s="3" t="s">
        <v>120</v>
      </c>
      <c r="F1443" s="3">
        <v>26.98</v>
      </c>
      <c r="G1443" s="3" t="s">
        <v>121</v>
      </c>
      <c r="H1443" s="3"/>
      <c r="I1443" s="3" t="s">
        <v>122</v>
      </c>
      <c r="J1443" s="3">
        <v>0</v>
      </c>
      <c r="K1443" s="3">
        <v>0</v>
      </c>
      <c r="L1443" s="3">
        <v>0</v>
      </c>
      <c r="M1443" s="3">
        <v>0</v>
      </c>
      <c r="N1443" s="3">
        <v>0</v>
      </c>
      <c r="O1443" s="3">
        <v>0.13</v>
      </c>
      <c r="P1443" s="3">
        <v>0</v>
      </c>
      <c r="Q1443" s="3">
        <v>0</v>
      </c>
      <c r="R1443" s="3">
        <v>0</v>
      </c>
    </row>
    <row r="1444" spans="1:18">
      <c r="A1444" s="3" t="s">
        <v>3877</v>
      </c>
      <c r="B1444" s="3" t="s">
        <v>3878</v>
      </c>
      <c r="C1444" s="3" t="s">
        <v>3879</v>
      </c>
      <c r="D1444" s="3" t="s">
        <v>3880</v>
      </c>
      <c r="E1444" s="3" t="s">
        <v>120</v>
      </c>
      <c r="F1444" s="3">
        <v>26.98</v>
      </c>
      <c r="G1444" s="3" t="s">
        <v>121</v>
      </c>
      <c r="H1444" s="3"/>
      <c r="I1444" s="3" t="s">
        <v>122</v>
      </c>
      <c r="J1444" s="3">
        <v>0</v>
      </c>
      <c r="K1444" s="3">
        <v>0</v>
      </c>
      <c r="L1444" s="3">
        <v>0</v>
      </c>
      <c r="M1444" s="3">
        <v>0</v>
      </c>
      <c r="N1444" s="3">
        <v>0</v>
      </c>
      <c r="O1444" s="3">
        <v>0.13</v>
      </c>
      <c r="P1444" s="3">
        <v>0</v>
      </c>
      <c r="Q1444" s="3">
        <v>0</v>
      </c>
      <c r="R1444" s="3">
        <v>0</v>
      </c>
    </row>
    <row r="1445" spans="1:18">
      <c r="A1445" s="3" t="s">
        <v>3881</v>
      </c>
      <c r="B1445" s="3" t="s">
        <v>3882</v>
      </c>
      <c r="C1445" s="3" t="s">
        <v>3883</v>
      </c>
      <c r="D1445" s="3" t="s">
        <v>3884</v>
      </c>
      <c r="E1445" s="3" t="s">
        <v>120</v>
      </c>
      <c r="F1445" s="3">
        <v>26.98</v>
      </c>
      <c r="G1445" s="3" t="s">
        <v>121</v>
      </c>
      <c r="H1445" s="3"/>
      <c r="I1445" s="3" t="s">
        <v>122</v>
      </c>
      <c r="J1445" s="3">
        <v>0</v>
      </c>
      <c r="K1445" s="3">
        <v>0</v>
      </c>
      <c r="L1445" s="3">
        <v>0</v>
      </c>
      <c r="M1445" s="3">
        <v>0</v>
      </c>
      <c r="N1445" s="3">
        <v>0</v>
      </c>
      <c r="O1445" s="3">
        <v>0.13</v>
      </c>
      <c r="P1445" s="3">
        <v>0</v>
      </c>
      <c r="Q1445" s="3">
        <v>0</v>
      </c>
      <c r="R1445" s="3">
        <v>0</v>
      </c>
    </row>
    <row r="1446" spans="1:18">
      <c r="A1446" s="3" t="s">
        <v>3885</v>
      </c>
      <c r="B1446" s="3" t="s">
        <v>3886</v>
      </c>
      <c r="C1446" s="3" t="s">
        <v>3887</v>
      </c>
      <c r="D1446" s="3" t="s">
        <v>3888</v>
      </c>
      <c r="E1446" s="3" t="s">
        <v>120</v>
      </c>
      <c r="F1446" s="3">
        <v>26.98</v>
      </c>
      <c r="G1446" s="3" t="s">
        <v>121</v>
      </c>
      <c r="H1446" s="3"/>
      <c r="I1446" s="3" t="s">
        <v>122</v>
      </c>
      <c r="J1446" s="3">
        <v>0</v>
      </c>
      <c r="K1446" s="3">
        <v>0</v>
      </c>
      <c r="L1446" s="3">
        <v>0</v>
      </c>
      <c r="M1446" s="3">
        <v>0</v>
      </c>
      <c r="N1446" s="3">
        <v>0</v>
      </c>
      <c r="O1446" s="3">
        <v>0.13</v>
      </c>
      <c r="P1446" s="3">
        <v>0</v>
      </c>
      <c r="Q1446" s="3">
        <v>0</v>
      </c>
      <c r="R1446" s="3">
        <v>0</v>
      </c>
    </row>
    <row r="1447" spans="1:18">
      <c r="A1447" s="3" t="s">
        <v>3889</v>
      </c>
      <c r="B1447" s="3" t="s">
        <v>3890</v>
      </c>
      <c r="C1447" s="3" t="s">
        <v>3891</v>
      </c>
      <c r="D1447" s="3" t="s">
        <v>3892</v>
      </c>
      <c r="E1447" s="3" t="s">
        <v>120</v>
      </c>
      <c r="F1447" s="3">
        <v>26.98</v>
      </c>
      <c r="G1447" s="3" t="s">
        <v>121</v>
      </c>
      <c r="H1447" s="3"/>
      <c r="I1447" s="3" t="s">
        <v>122</v>
      </c>
      <c r="J1447" s="3">
        <v>0</v>
      </c>
      <c r="K1447" s="3">
        <v>0</v>
      </c>
      <c r="L1447" s="3">
        <v>0</v>
      </c>
      <c r="M1447" s="3">
        <v>0</v>
      </c>
      <c r="N1447" s="3">
        <v>0</v>
      </c>
      <c r="O1447" s="3">
        <v>0.13</v>
      </c>
      <c r="P1447" s="3">
        <v>0</v>
      </c>
      <c r="Q1447" s="3">
        <v>0</v>
      </c>
      <c r="R1447" s="3">
        <v>0</v>
      </c>
    </row>
    <row r="1448" spans="1:18">
      <c r="A1448" s="3" t="s">
        <v>3893</v>
      </c>
      <c r="B1448" s="3" t="s">
        <v>3894</v>
      </c>
      <c r="C1448" s="3" t="s">
        <v>3895</v>
      </c>
      <c r="D1448" s="3" t="s">
        <v>3896</v>
      </c>
      <c r="E1448" s="3" t="s">
        <v>120</v>
      </c>
      <c r="F1448" s="3">
        <v>26.98</v>
      </c>
      <c r="G1448" s="3" t="s">
        <v>121</v>
      </c>
      <c r="H1448" s="3"/>
      <c r="I1448" s="3" t="s">
        <v>122</v>
      </c>
      <c r="J1448" s="3">
        <v>0</v>
      </c>
      <c r="K1448" s="3">
        <v>0</v>
      </c>
      <c r="L1448" s="3">
        <v>0</v>
      </c>
      <c r="M1448" s="3">
        <v>0</v>
      </c>
      <c r="N1448" s="3">
        <v>0</v>
      </c>
      <c r="O1448" s="3">
        <v>0.13</v>
      </c>
      <c r="P1448" s="3">
        <v>0</v>
      </c>
      <c r="Q1448" s="3">
        <v>0</v>
      </c>
      <c r="R1448" s="3">
        <v>0</v>
      </c>
    </row>
    <row r="1449" spans="1:18">
      <c r="A1449" s="3" t="s">
        <v>3897</v>
      </c>
      <c r="B1449" s="3" t="s">
        <v>3898</v>
      </c>
      <c r="C1449" s="3" t="s">
        <v>3899</v>
      </c>
      <c r="D1449" s="3" t="s">
        <v>3900</v>
      </c>
      <c r="E1449" s="3" t="s">
        <v>120</v>
      </c>
      <c r="F1449" s="3">
        <v>26.98</v>
      </c>
      <c r="G1449" s="3" t="s">
        <v>121</v>
      </c>
      <c r="H1449" s="3"/>
      <c r="I1449" s="3" t="s">
        <v>122</v>
      </c>
      <c r="J1449" s="3">
        <v>0</v>
      </c>
      <c r="K1449" s="3">
        <v>0</v>
      </c>
      <c r="L1449" s="3">
        <v>0</v>
      </c>
      <c r="M1449" s="3">
        <v>0</v>
      </c>
      <c r="N1449" s="3">
        <v>0</v>
      </c>
      <c r="O1449" s="3">
        <v>0.13</v>
      </c>
      <c r="P1449" s="3">
        <v>0</v>
      </c>
      <c r="Q1449" s="3">
        <v>0</v>
      </c>
      <c r="R1449" s="3">
        <v>0</v>
      </c>
    </row>
    <row r="1450" spans="1:18">
      <c r="A1450" s="3" t="s">
        <v>3901</v>
      </c>
      <c r="B1450" s="3" t="s">
        <v>3902</v>
      </c>
      <c r="C1450" s="3" t="s">
        <v>3903</v>
      </c>
      <c r="D1450" s="3" t="s">
        <v>3904</v>
      </c>
      <c r="E1450" s="3" t="s">
        <v>120</v>
      </c>
      <c r="F1450" s="3">
        <v>26.98</v>
      </c>
      <c r="G1450" s="3" t="s">
        <v>121</v>
      </c>
      <c r="H1450" s="3"/>
      <c r="I1450" s="3" t="s">
        <v>122</v>
      </c>
      <c r="J1450" s="3">
        <v>0</v>
      </c>
      <c r="K1450" s="3">
        <v>0</v>
      </c>
      <c r="L1450" s="3">
        <v>0</v>
      </c>
      <c r="M1450" s="3">
        <v>0</v>
      </c>
      <c r="N1450" s="3">
        <v>0</v>
      </c>
      <c r="O1450" s="3">
        <v>0.13</v>
      </c>
      <c r="P1450" s="3">
        <v>0</v>
      </c>
      <c r="Q1450" s="3">
        <v>0</v>
      </c>
      <c r="R1450" s="3">
        <v>0</v>
      </c>
    </row>
    <row r="1451" spans="1:18">
      <c r="A1451" s="3" t="s">
        <v>3905</v>
      </c>
      <c r="B1451" s="3" t="s">
        <v>3906</v>
      </c>
      <c r="C1451" s="3" t="s">
        <v>3907</v>
      </c>
      <c r="D1451" s="3" t="s">
        <v>3908</v>
      </c>
      <c r="E1451" s="3" t="s">
        <v>120</v>
      </c>
      <c r="F1451" s="3">
        <v>26.98</v>
      </c>
      <c r="G1451" s="3" t="s">
        <v>121</v>
      </c>
      <c r="H1451" s="3"/>
      <c r="I1451" s="3" t="s">
        <v>122</v>
      </c>
      <c r="J1451" s="3">
        <v>0</v>
      </c>
      <c r="K1451" s="3">
        <v>0</v>
      </c>
      <c r="L1451" s="3">
        <v>0</v>
      </c>
      <c r="M1451" s="3">
        <v>0</v>
      </c>
      <c r="N1451" s="3">
        <v>0</v>
      </c>
      <c r="O1451" s="3">
        <v>0.13</v>
      </c>
      <c r="P1451" s="3">
        <v>0</v>
      </c>
      <c r="Q1451" s="3">
        <v>0</v>
      </c>
      <c r="R1451" s="3">
        <v>0</v>
      </c>
    </row>
    <row r="1452" spans="1:18">
      <c r="A1452" s="3" t="s">
        <v>3909</v>
      </c>
      <c r="B1452" s="3" t="s">
        <v>3910</v>
      </c>
      <c r="C1452" s="3" t="s">
        <v>3911</v>
      </c>
      <c r="D1452" s="3" t="s">
        <v>3912</v>
      </c>
      <c r="E1452" s="3" t="s">
        <v>120</v>
      </c>
      <c r="F1452" s="3">
        <v>26.98</v>
      </c>
      <c r="G1452" s="3" t="s">
        <v>121</v>
      </c>
      <c r="H1452" s="3"/>
      <c r="I1452" s="3" t="s">
        <v>122</v>
      </c>
      <c r="J1452" s="3">
        <v>0</v>
      </c>
      <c r="K1452" s="3">
        <v>0</v>
      </c>
      <c r="L1452" s="3">
        <v>0</v>
      </c>
      <c r="M1452" s="3">
        <v>0</v>
      </c>
      <c r="N1452" s="3">
        <v>0</v>
      </c>
      <c r="O1452" s="3">
        <v>0.13</v>
      </c>
      <c r="P1452" s="3">
        <v>0</v>
      </c>
      <c r="Q1452" s="3">
        <v>0</v>
      </c>
      <c r="R1452" s="3">
        <v>0</v>
      </c>
    </row>
    <row r="1453" spans="1:18">
      <c r="A1453" s="3" t="s">
        <v>3913</v>
      </c>
      <c r="B1453" s="3" t="s">
        <v>3914</v>
      </c>
      <c r="C1453" s="3" t="s">
        <v>3915</v>
      </c>
      <c r="D1453" s="3" t="s">
        <v>3916</v>
      </c>
      <c r="E1453" s="3" t="s">
        <v>120</v>
      </c>
      <c r="F1453" s="3">
        <v>26.98</v>
      </c>
      <c r="G1453" s="3" t="s">
        <v>121</v>
      </c>
      <c r="H1453" s="3"/>
      <c r="I1453" s="3" t="s">
        <v>122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0.13</v>
      </c>
      <c r="P1453" s="3">
        <v>0</v>
      </c>
      <c r="Q1453" s="3">
        <v>0</v>
      </c>
      <c r="R1453" s="3">
        <v>0</v>
      </c>
    </row>
    <row r="1454" spans="1:18">
      <c r="A1454" s="3" t="s">
        <v>3917</v>
      </c>
      <c r="B1454" s="3" t="s">
        <v>3918</v>
      </c>
      <c r="C1454" s="3" t="s">
        <v>3919</v>
      </c>
      <c r="D1454" s="3" t="s">
        <v>3920</v>
      </c>
      <c r="E1454" s="3" t="s">
        <v>120</v>
      </c>
      <c r="F1454" s="3">
        <v>26.98</v>
      </c>
      <c r="G1454" s="3" t="s">
        <v>121</v>
      </c>
      <c r="H1454" s="3"/>
      <c r="I1454" s="3" t="s">
        <v>122</v>
      </c>
      <c r="J1454" s="3">
        <v>0</v>
      </c>
      <c r="K1454" s="3">
        <v>0</v>
      </c>
      <c r="L1454" s="3">
        <v>0</v>
      </c>
      <c r="M1454" s="3">
        <v>0</v>
      </c>
      <c r="N1454" s="3">
        <v>0</v>
      </c>
      <c r="O1454" s="3">
        <v>0.13</v>
      </c>
      <c r="P1454" s="3">
        <v>0</v>
      </c>
      <c r="Q1454" s="3">
        <v>0</v>
      </c>
      <c r="R1454" s="3">
        <v>0</v>
      </c>
    </row>
    <row r="1455" spans="1:18">
      <c r="A1455" s="3" t="s">
        <v>3921</v>
      </c>
      <c r="B1455" s="3" t="s">
        <v>3922</v>
      </c>
      <c r="C1455" s="3" t="s">
        <v>3923</v>
      </c>
      <c r="D1455" s="3" t="s">
        <v>3924</v>
      </c>
      <c r="E1455" s="3" t="s">
        <v>120</v>
      </c>
      <c r="F1455" s="3">
        <v>26.98</v>
      </c>
      <c r="G1455" s="3" t="s">
        <v>121</v>
      </c>
      <c r="H1455" s="3"/>
      <c r="I1455" s="3" t="s">
        <v>122</v>
      </c>
      <c r="J1455" s="3">
        <v>0</v>
      </c>
      <c r="K1455" s="3">
        <v>0</v>
      </c>
      <c r="L1455" s="3">
        <v>0</v>
      </c>
      <c r="M1455" s="3">
        <v>0</v>
      </c>
      <c r="N1455" s="3">
        <v>0</v>
      </c>
      <c r="O1455" s="3">
        <v>0.13</v>
      </c>
      <c r="P1455" s="3">
        <v>0</v>
      </c>
      <c r="Q1455" s="3">
        <v>0</v>
      </c>
      <c r="R1455" s="3">
        <v>0</v>
      </c>
    </row>
    <row r="1456" spans="1:18">
      <c r="A1456" s="3" t="s">
        <v>3925</v>
      </c>
      <c r="B1456" s="3" t="s">
        <v>3926</v>
      </c>
      <c r="C1456" s="3" t="s">
        <v>3927</v>
      </c>
      <c r="D1456" s="3" t="s">
        <v>3928</v>
      </c>
      <c r="E1456" s="3" t="s">
        <v>120</v>
      </c>
      <c r="F1456" s="3">
        <v>26.98</v>
      </c>
      <c r="G1456" s="3" t="s">
        <v>121</v>
      </c>
      <c r="H1456" s="3"/>
      <c r="I1456" s="3" t="s">
        <v>122</v>
      </c>
      <c r="J1456" s="3">
        <v>0</v>
      </c>
      <c r="K1456" s="3">
        <v>0</v>
      </c>
      <c r="L1456" s="3">
        <v>0</v>
      </c>
      <c r="M1456" s="3">
        <v>0</v>
      </c>
      <c r="N1456" s="3">
        <v>0</v>
      </c>
      <c r="O1456" s="3">
        <v>0.13</v>
      </c>
      <c r="P1456" s="3">
        <v>0</v>
      </c>
      <c r="Q1456" s="3">
        <v>0</v>
      </c>
      <c r="R1456" s="3">
        <v>0</v>
      </c>
    </row>
    <row r="1457" spans="1:18">
      <c r="A1457" s="3" t="s">
        <v>3929</v>
      </c>
      <c r="B1457" s="3" t="s">
        <v>3930</v>
      </c>
      <c r="C1457" s="3" t="s">
        <v>3931</v>
      </c>
      <c r="D1457" s="3" t="s">
        <v>3932</v>
      </c>
      <c r="E1457" s="3" t="s">
        <v>120</v>
      </c>
      <c r="F1457" s="3">
        <v>26.98</v>
      </c>
      <c r="G1457" s="3" t="s">
        <v>121</v>
      </c>
      <c r="H1457" s="3"/>
      <c r="I1457" s="3" t="s">
        <v>122</v>
      </c>
      <c r="J1457" s="3">
        <v>0</v>
      </c>
      <c r="K1457" s="3">
        <v>0</v>
      </c>
      <c r="L1457" s="3">
        <v>0</v>
      </c>
      <c r="M1457" s="3">
        <v>0</v>
      </c>
      <c r="N1457" s="3">
        <v>0</v>
      </c>
      <c r="O1457" s="3">
        <v>0.13</v>
      </c>
      <c r="P1457" s="3">
        <v>0</v>
      </c>
      <c r="Q1457" s="3">
        <v>0</v>
      </c>
      <c r="R1457" s="3">
        <v>0</v>
      </c>
    </row>
    <row r="1458" spans="1:18">
      <c r="A1458" s="3" t="s">
        <v>3933</v>
      </c>
      <c r="B1458" s="3" t="s">
        <v>3934</v>
      </c>
      <c r="C1458" s="3" t="s">
        <v>3935</v>
      </c>
      <c r="D1458" s="3" t="s">
        <v>3936</v>
      </c>
      <c r="E1458" s="3" t="s">
        <v>120</v>
      </c>
      <c r="F1458" s="3">
        <v>26.98</v>
      </c>
      <c r="G1458" s="3" t="s">
        <v>121</v>
      </c>
      <c r="H1458" s="3"/>
      <c r="I1458" s="3" t="s">
        <v>122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0.13</v>
      </c>
      <c r="P1458" s="3">
        <v>0</v>
      </c>
      <c r="Q1458" s="3">
        <v>0</v>
      </c>
      <c r="R1458" s="3">
        <v>0</v>
      </c>
    </row>
    <row r="1459" spans="1:18">
      <c r="A1459" s="3" t="s">
        <v>3937</v>
      </c>
      <c r="B1459" s="3" t="s">
        <v>3938</v>
      </c>
      <c r="C1459" s="3" t="s">
        <v>3939</v>
      </c>
      <c r="D1459" s="3" t="s">
        <v>3940</v>
      </c>
      <c r="E1459" s="3" t="s">
        <v>120</v>
      </c>
      <c r="F1459" s="3">
        <v>26.98</v>
      </c>
      <c r="G1459" s="3" t="s">
        <v>121</v>
      </c>
      <c r="H1459" s="3"/>
      <c r="I1459" s="3" t="s">
        <v>122</v>
      </c>
      <c r="J1459" s="3">
        <v>0</v>
      </c>
      <c r="K1459" s="3">
        <v>0</v>
      </c>
      <c r="L1459" s="3">
        <v>0</v>
      </c>
      <c r="M1459" s="3">
        <v>0</v>
      </c>
      <c r="N1459" s="3">
        <v>0</v>
      </c>
      <c r="O1459" s="3">
        <v>0.13</v>
      </c>
      <c r="P1459" s="3">
        <v>0</v>
      </c>
      <c r="Q1459" s="3">
        <v>0</v>
      </c>
      <c r="R1459" s="3">
        <v>0</v>
      </c>
    </row>
    <row r="1460" spans="1:18">
      <c r="A1460" s="3" t="s">
        <v>3941</v>
      </c>
      <c r="B1460" s="3" t="s">
        <v>3942</v>
      </c>
      <c r="C1460" s="3" t="s">
        <v>3943</v>
      </c>
      <c r="D1460" s="3" t="s">
        <v>3944</v>
      </c>
      <c r="E1460" s="3" t="s">
        <v>120</v>
      </c>
      <c r="F1460" s="3">
        <v>26.98</v>
      </c>
      <c r="G1460" s="3" t="s">
        <v>121</v>
      </c>
      <c r="H1460" s="3"/>
      <c r="I1460" s="3" t="s">
        <v>122</v>
      </c>
      <c r="J1460" s="3">
        <v>0</v>
      </c>
      <c r="K1460" s="3">
        <v>0</v>
      </c>
      <c r="L1460" s="3">
        <v>0</v>
      </c>
      <c r="M1460" s="3">
        <v>0</v>
      </c>
      <c r="N1460" s="3">
        <v>0</v>
      </c>
      <c r="O1460" s="3">
        <v>0.13</v>
      </c>
      <c r="P1460" s="3">
        <v>0</v>
      </c>
      <c r="Q1460" s="3">
        <v>0</v>
      </c>
      <c r="R1460" s="3">
        <v>0</v>
      </c>
    </row>
    <row r="1461" spans="1:18">
      <c r="A1461" s="3" t="s">
        <v>3945</v>
      </c>
      <c r="B1461" s="3" t="s">
        <v>3946</v>
      </c>
      <c r="C1461" s="3" t="s">
        <v>3947</v>
      </c>
      <c r="D1461" s="3" t="s">
        <v>3948</v>
      </c>
      <c r="E1461" s="3" t="s">
        <v>120</v>
      </c>
      <c r="F1461" s="3">
        <v>26.98</v>
      </c>
      <c r="G1461" s="3" t="s">
        <v>121</v>
      </c>
      <c r="H1461" s="3"/>
      <c r="I1461" s="3" t="s">
        <v>122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0.13</v>
      </c>
      <c r="P1461" s="3">
        <v>0</v>
      </c>
      <c r="Q1461" s="3">
        <v>0</v>
      </c>
      <c r="R1461" s="3">
        <v>0</v>
      </c>
    </row>
    <row r="1462" spans="1:18">
      <c r="A1462" s="3" t="s">
        <v>3949</v>
      </c>
      <c r="B1462" s="3" t="s">
        <v>3950</v>
      </c>
      <c r="C1462" s="3" t="s">
        <v>3951</v>
      </c>
      <c r="D1462" s="3" t="s">
        <v>3952</v>
      </c>
      <c r="E1462" s="3" t="s">
        <v>120</v>
      </c>
      <c r="F1462" s="3">
        <v>26.98</v>
      </c>
      <c r="G1462" s="3" t="s">
        <v>121</v>
      </c>
      <c r="H1462" s="3"/>
      <c r="I1462" s="3" t="s">
        <v>122</v>
      </c>
      <c r="J1462" s="3">
        <v>0</v>
      </c>
      <c r="K1462" s="3">
        <v>0</v>
      </c>
      <c r="L1462" s="3">
        <v>0</v>
      </c>
      <c r="M1462" s="3">
        <v>0</v>
      </c>
      <c r="N1462" s="3">
        <v>0</v>
      </c>
      <c r="O1462" s="3">
        <v>0.13</v>
      </c>
      <c r="P1462" s="3">
        <v>0</v>
      </c>
      <c r="Q1462" s="3">
        <v>0</v>
      </c>
      <c r="R1462" s="3">
        <v>0</v>
      </c>
    </row>
    <row r="1463" spans="1:18">
      <c r="A1463" s="3" t="s">
        <v>3953</v>
      </c>
      <c r="B1463" s="3" t="s">
        <v>3954</v>
      </c>
      <c r="C1463" s="3" t="s">
        <v>3955</v>
      </c>
      <c r="D1463" s="3" t="s">
        <v>3956</v>
      </c>
      <c r="E1463" s="3" t="s">
        <v>120</v>
      </c>
      <c r="F1463" s="3">
        <v>26.98</v>
      </c>
      <c r="G1463" s="3" t="s">
        <v>121</v>
      </c>
      <c r="H1463" s="3"/>
      <c r="I1463" s="3" t="s">
        <v>122</v>
      </c>
      <c r="J1463" s="3">
        <v>0</v>
      </c>
      <c r="K1463" s="3">
        <v>0</v>
      </c>
      <c r="L1463" s="3">
        <v>0</v>
      </c>
      <c r="M1463" s="3">
        <v>0</v>
      </c>
      <c r="N1463" s="3">
        <v>0</v>
      </c>
      <c r="O1463" s="3">
        <v>0.13</v>
      </c>
      <c r="P1463" s="3">
        <v>0</v>
      </c>
      <c r="Q1463" s="3">
        <v>0</v>
      </c>
      <c r="R1463" s="3">
        <v>0</v>
      </c>
    </row>
    <row r="1464" spans="1:18">
      <c r="A1464" s="3" t="s">
        <v>3957</v>
      </c>
      <c r="B1464" s="3" t="s">
        <v>3958</v>
      </c>
      <c r="C1464" s="3" t="s">
        <v>3959</v>
      </c>
      <c r="D1464" s="3" t="s">
        <v>3960</v>
      </c>
      <c r="E1464" s="3" t="s">
        <v>120</v>
      </c>
      <c r="F1464" s="3">
        <v>26.98</v>
      </c>
      <c r="G1464" s="3" t="s">
        <v>121</v>
      </c>
      <c r="H1464" s="3"/>
      <c r="I1464" s="3" t="s">
        <v>122</v>
      </c>
      <c r="J1464" s="3">
        <v>0</v>
      </c>
      <c r="K1464" s="3">
        <v>0</v>
      </c>
      <c r="L1464" s="3">
        <v>0</v>
      </c>
      <c r="M1464" s="3">
        <v>0</v>
      </c>
      <c r="N1464" s="3">
        <v>0</v>
      </c>
      <c r="O1464" s="3">
        <v>0.13</v>
      </c>
      <c r="P1464" s="3">
        <v>0</v>
      </c>
      <c r="Q1464" s="3">
        <v>0</v>
      </c>
      <c r="R1464" s="3">
        <v>0</v>
      </c>
    </row>
    <row r="1465" spans="1:18">
      <c r="A1465" s="3" t="s">
        <v>3961</v>
      </c>
      <c r="B1465" s="3" t="s">
        <v>3962</v>
      </c>
      <c r="C1465" s="3" t="s">
        <v>3963</v>
      </c>
      <c r="D1465" s="3" t="s">
        <v>3964</v>
      </c>
      <c r="E1465" s="3" t="s">
        <v>120</v>
      </c>
      <c r="F1465" s="3">
        <v>26.98</v>
      </c>
      <c r="G1465" s="3" t="s">
        <v>121</v>
      </c>
      <c r="H1465" s="3"/>
      <c r="I1465" s="3" t="s">
        <v>122</v>
      </c>
      <c r="J1465" s="3">
        <v>0</v>
      </c>
      <c r="K1465" s="3">
        <v>0</v>
      </c>
      <c r="L1465" s="3">
        <v>0</v>
      </c>
      <c r="M1465" s="3">
        <v>0</v>
      </c>
      <c r="N1465" s="3">
        <v>0</v>
      </c>
      <c r="O1465" s="3">
        <v>0.13</v>
      </c>
      <c r="P1465" s="3">
        <v>0</v>
      </c>
      <c r="Q1465" s="3">
        <v>0</v>
      </c>
      <c r="R1465" s="3">
        <v>0</v>
      </c>
    </row>
    <row r="1466" spans="1:18">
      <c r="A1466" s="3" t="s">
        <v>3965</v>
      </c>
      <c r="B1466" s="3" t="s">
        <v>3966</v>
      </c>
      <c r="C1466" s="3" t="s">
        <v>3967</v>
      </c>
      <c r="D1466" s="3" t="s">
        <v>3968</v>
      </c>
      <c r="E1466" s="3" t="s">
        <v>120</v>
      </c>
      <c r="F1466" s="3">
        <v>26.98</v>
      </c>
      <c r="G1466" s="3" t="s">
        <v>121</v>
      </c>
      <c r="H1466" s="3"/>
      <c r="I1466" s="3" t="s">
        <v>122</v>
      </c>
      <c r="J1466" s="3">
        <v>0</v>
      </c>
      <c r="K1466" s="3">
        <v>0</v>
      </c>
      <c r="L1466" s="3">
        <v>0</v>
      </c>
      <c r="M1466" s="3">
        <v>0</v>
      </c>
      <c r="N1466" s="3">
        <v>0</v>
      </c>
      <c r="O1466" s="3">
        <v>0.13</v>
      </c>
      <c r="P1466" s="3">
        <v>0</v>
      </c>
      <c r="Q1466" s="3">
        <v>0</v>
      </c>
      <c r="R1466" s="3">
        <v>0</v>
      </c>
    </row>
    <row r="1467" spans="1:18">
      <c r="A1467" s="3" t="s">
        <v>3969</v>
      </c>
      <c r="B1467" s="3" t="s">
        <v>3970</v>
      </c>
      <c r="C1467" s="3" t="s">
        <v>3971</v>
      </c>
      <c r="D1467" s="3" t="s">
        <v>3972</v>
      </c>
      <c r="E1467" s="3" t="s">
        <v>120</v>
      </c>
      <c r="F1467" s="3">
        <v>26.98</v>
      </c>
      <c r="G1467" s="3" t="s">
        <v>121</v>
      </c>
      <c r="H1467" s="3"/>
      <c r="I1467" s="3" t="s">
        <v>122</v>
      </c>
      <c r="J1467" s="3">
        <v>0</v>
      </c>
      <c r="K1467" s="3">
        <v>0</v>
      </c>
      <c r="L1467" s="3">
        <v>0</v>
      </c>
      <c r="M1467" s="3">
        <v>0</v>
      </c>
      <c r="N1467" s="3">
        <v>0</v>
      </c>
      <c r="O1467" s="3">
        <v>0.13</v>
      </c>
      <c r="P1467" s="3">
        <v>0</v>
      </c>
      <c r="Q1467" s="3">
        <v>0</v>
      </c>
      <c r="R1467" s="3">
        <v>0</v>
      </c>
    </row>
    <row r="1468" spans="1:18">
      <c r="A1468" s="3" t="s">
        <v>3973</v>
      </c>
      <c r="B1468" s="3" t="s">
        <v>3974</v>
      </c>
      <c r="C1468" s="3" t="s">
        <v>3975</v>
      </c>
      <c r="D1468" s="3" t="s">
        <v>3976</v>
      </c>
      <c r="E1468" s="3" t="s">
        <v>120</v>
      </c>
      <c r="F1468" s="3">
        <v>20.98</v>
      </c>
      <c r="G1468" s="3" t="s">
        <v>121</v>
      </c>
      <c r="H1468" s="3"/>
      <c r="I1468" s="3" t="s">
        <v>122</v>
      </c>
      <c r="J1468" s="3">
        <v>10</v>
      </c>
      <c r="K1468" s="3">
        <v>10</v>
      </c>
      <c r="L1468" s="3">
        <v>0</v>
      </c>
      <c r="M1468" s="3">
        <v>0</v>
      </c>
      <c r="N1468" s="3">
        <v>10</v>
      </c>
      <c r="O1468" s="3">
        <v>0.11</v>
      </c>
      <c r="P1468" s="3">
        <v>0</v>
      </c>
      <c r="Q1468" s="3">
        <v>0</v>
      </c>
      <c r="R1468" s="3">
        <v>0</v>
      </c>
    </row>
    <row r="1469" spans="1:18">
      <c r="A1469" s="3" t="s">
        <v>3977</v>
      </c>
      <c r="B1469" s="3" t="s">
        <v>3978</v>
      </c>
      <c r="C1469" s="3" t="s">
        <v>3979</v>
      </c>
      <c r="D1469" s="3" t="s">
        <v>3980</v>
      </c>
      <c r="E1469" s="3" t="s">
        <v>120</v>
      </c>
      <c r="F1469" s="3">
        <v>20.98</v>
      </c>
      <c r="G1469" s="3" t="s">
        <v>121</v>
      </c>
      <c r="H1469" s="3"/>
      <c r="I1469" s="3" t="s">
        <v>122</v>
      </c>
      <c r="J1469" s="3">
        <v>0</v>
      </c>
      <c r="K1469" s="3">
        <v>0</v>
      </c>
      <c r="L1469" s="3">
        <v>0</v>
      </c>
      <c r="M1469" s="3">
        <v>0</v>
      </c>
      <c r="N1469" s="3">
        <v>0</v>
      </c>
      <c r="O1469" s="3">
        <v>0.08</v>
      </c>
      <c r="P1469" s="3">
        <v>0</v>
      </c>
      <c r="Q1469" s="3">
        <v>0</v>
      </c>
      <c r="R1469" s="3">
        <v>0</v>
      </c>
    </row>
    <row r="1470" spans="1:18">
      <c r="A1470" s="3" t="s">
        <v>3981</v>
      </c>
      <c r="B1470" s="3" t="s">
        <v>3982</v>
      </c>
      <c r="C1470" s="3" t="s">
        <v>3983</v>
      </c>
      <c r="D1470" s="3" t="s">
        <v>3984</v>
      </c>
      <c r="E1470" s="3" t="s">
        <v>120</v>
      </c>
      <c r="F1470" s="3">
        <v>20.98</v>
      </c>
      <c r="G1470" s="3" t="s">
        <v>121</v>
      </c>
      <c r="H1470" s="3"/>
      <c r="I1470" s="3" t="s">
        <v>122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0.08</v>
      </c>
      <c r="P1470" s="3">
        <v>0</v>
      </c>
      <c r="Q1470" s="3">
        <v>0</v>
      </c>
      <c r="R1470" s="3">
        <v>0</v>
      </c>
    </row>
    <row r="1471" spans="1:18">
      <c r="A1471" s="3" t="s">
        <v>3985</v>
      </c>
      <c r="B1471" s="3" t="s">
        <v>3986</v>
      </c>
      <c r="C1471" s="3" t="s">
        <v>3987</v>
      </c>
      <c r="D1471" s="3" t="s">
        <v>3988</v>
      </c>
      <c r="E1471" s="3" t="s">
        <v>120</v>
      </c>
      <c r="F1471" s="3">
        <v>20.98</v>
      </c>
      <c r="G1471" s="3" t="s">
        <v>121</v>
      </c>
      <c r="H1471" s="3"/>
      <c r="I1471" s="3" t="s">
        <v>122</v>
      </c>
      <c r="J1471" s="3">
        <v>0</v>
      </c>
      <c r="K1471" s="3">
        <v>0</v>
      </c>
      <c r="L1471" s="3">
        <v>0</v>
      </c>
      <c r="M1471" s="3">
        <v>0</v>
      </c>
      <c r="N1471" s="3">
        <v>0</v>
      </c>
      <c r="O1471" s="3">
        <v>0.08</v>
      </c>
      <c r="P1471" s="3">
        <v>0</v>
      </c>
      <c r="Q1471" s="3">
        <v>0</v>
      </c>
      <c r="R1471" s="3">
        <v>0</v>
      </c>
    </row>
    <row r="1472" spans="1:18">
      <c r="A1472" s="3" t="s">
        <v>3989</v>
      </c>
      <c r="B1472" s="3" t="s">
        <v>3990</v>
      </c>
      <c r="C1472" s="3" t="s">
        <v>3991</v>
      </c>
      <c r="D1472" s="3" t="s">
        <v>3992</v>
      </c>
      <c r="E1472" s="3" t="s">
        <v>120</v>
      </c>
      <c r="F1472" s="3">
        <v>20.98</v>
      </c>
      <c r="G1472" s="3" t="s">
        <v>121</v>
      </c>
      <c r="H1472" s="3"/>
      <c r="I1472" s="3" t="s">
        <v>122</v>
      </c>
      <c r="J1472" s="3">
        <v>0</v>
      </c>
      <c r="K1472" s="3">
        <v>0</v>
      </c>
      <c r="L1472" s="3">
        <v>0</v>
      </c>
      <c r="M1472" s="3">
        <v>0</v>
      </c>
      <c r="N1472" s="3">
        <v>0</v>
      </c>
      <c r="O1472" s="3">
        <v>0.08</v>
      </c>
      <c r="P1472" s="3">
        <v>0</v>
      </c>
      <c r="Q1472" s="3">
        <v>0</v>
      </c>
      <c r="R1472" s="3">
        <v>0</v>
      </c>
    </row>
    <row r="1473" spans="1:18">
      <c r="A1473" s="3" t="s">
        <v>3993</v>
      </c>
      <c r="B1473" s="3" t="s">
        <v>3994</v>
      </c>
      <c r="C1473" s="3" t="s">
        <v>3995</v>
      </c>
      <c r="D1473" s="3" t="s">
        <v>3996</v>
      </c>
      <c r="E1473" s="3" t="s">
        <v>120</v>
      </c>
      <c r="F1473" s="3">
        <v>20.98</v>
      </c>
      <c r="G1473" s="3" t="s">
        <v>121</v>
      </c>
      <c r="H1473" s="3"/>
      <c r="I1473" s="3" t="s">
        <v>122</v>
      </c>
      <c r="J1473" s="3">
        <v>4</v>
      </c>
      <c r="K1473" s="3">
        <v>2</v>
      </c>
      <c r="L1473" s="3">
        <v>0</v>
      </c>
      <c r="M1473" s="3">
        <v>2</v>
      </c>
      <c r="N1473" s="3">
        <v>4</v>
      </c>
      <c r="O1473" s="3">
        <v>0.08</v>
      </c>
      <c r="P1473" s="3">
        <v>0</v>
      </c>
      <c r="Q1473" s="3">
        <v>0</v>
      </c>
      <c r="R1473" s="3">
        <v>0</v>
      </c>
    </row>
    <row r="1474" spans="1:18">
      <c r="A1474" s="3" t="s">
        <v>3997</v>
      </c>
      <c r="B1474" s="3" t="s">
        <v>3998</v>
      </c>
      <c r="C1474" s="3" t="s">
        <v>3999</v>
      </c>
      <c r="D1474" s="3" t="s">
        <v>4000</v>
      </c>
      <c r="E1474" s="3" t="s">
        <v>120</v>
      </c>
      <c r="F1474" s="3">
        <v>20.98</v>
      </c>
      <c r="G1474" s="3" t="s">
        <v>121</v>
      </c>
      <c r="H1474" s="3"/>
      <c r="I1474" s="3" t="s">
        <v>122</v>
      </c>
      <c r="J1474" s="3">
        <v>0</v>
      </c>
      <c r="K1474" s="3">
        <v>0</v>
      </c>
      <c r="L1474" s="3">
        <v>0</v>
      </c>
      <c r="M1474" s="3">
        <v>0</v>
      </c>
      <c r="N1474" s="3">
        <v>0</v>
      </c>
      <c r="O1474" s="3">
        <v>0.08</v>
      </c>
      <c r="P1474" s="3">
        <v>0</v>
      </c>
      <c r="Q1474" s="3">
        <v>0</v>
      </c>
      <c r="R1474" s="3">
        <v>0</v>
      </c>
    </row>
    <row r="1475" spans="1:18">
      <c r="A1475" s="3" t="s">
        <v>4001</v>
      </c>
      <c r="B1475" s="3" t="s">
        <v>4002</v>
      </c>
      <c r="C1475" s="3" t="s">
        <v>4003</v>
      </c>
      <c r="D1475" s="3" t="s">
        <v>4004</v>
      </c>
      <c r="E1475" s="3" t="s">
        <v>120</v>
      </c>
      <c r="F1475" s="3">
        <v>20.98</v>
      </c>
      <c r="G1475" s="3" t="s">
        <v>121</v>
      </c>
      <c r="H1475" s="3"/>
      <c r="I1475" s="3" t="s">
        <v>122</v>
      </c>
      <c r="J1475" s="3">
        <v>0</v>
      </c>
      <c r="K1475" s="3">
        <v>0</v>
      </c>
      <c r="L1475" s="3">
        <v>0</v>
      </c>
      <c r="M1475" s="3">
        <v>0</v>
      </c>
      <c r="N1475" s="3">
        <v>0</v>
      </c>
      <c r="O1475" s="3">
        <v>0.08</v>
      </c>
      <c r="P1475" s="3">
        <v>0</v>
      </c>
      <c r="Q1475" s="3">
        <v>0</v>
      </c>
      <c r="R1475" s="3">
        <v>0</v>
      </c>
    </row>
    <row r="1476" spans="1:18">
      <c r="A1476" s="3" t="s">
        <v>4005</v>
      </c>
      <c r="B1476" s="3" t="s">
        <v>4006</v>
      </c>
      <c r="C1476" s="3" t="s">
        <v>4007</v>
      </c>
      <c r="D1476" s="3" t="s">
        <v>4008</v>
      </c>
      <c r="E1476" s="3" t="s">
        <v>120</v>
      </c>
      <c r="F1476" s="3">
        <v>20.98</v>
      </c>
      <c r="G1476" s="3" t="s">
        <v>121</v>
      </c>
      <c r="H1476" s="3"/>
      <c r="I1476" s="3" t="s">
        <v>122</v>
      </c>
      <c r="J1476" s="3">
        <v>0</v>
      </c>
      <c r="K1476" s="3">
        <v>0</v>
      </c>
      <c r="L1476" s="3">
        <v>0</v>
      </c>
      <c r="M1476" s="3">
        <v>0</v>
      </c>
      <c r="N1476" s="3">
        <v>0</v>
      </c>
      <c r="O1476" s="3">
        <v>0.08</v>
      </c>
      <c r="P1476" s="3">
        <v>0</v>
      </c>
      <c r="Q1476" s="3">
        <v>0</v>
      </c>
      <c r="R1476" s="3">
        <v>0</v>
      </c>
    </row>
    <row r="1477" spans="1:18">
      <c r="A1477" s="3" t="s">
        <v>4009</v>
      </c>
      <c r="B1477" s="3" t="s">
        <v>4010</v>
      </c>
      <c r="C1477" s="3" t="s">
        <v>4011</v>
      </c>
      <c r="D1477" s="3" t="s">
        <v>4012</v>
      </c>
      <c r="E1477" s="3" t="s">
        <v>120</v>
      </c>
      <c r="F1477" s="3">
        <v>20.98</v>
      </c>
      <c r="G1477" s="3" t="s">
        <v>121</v>
      </c>
      <c r="H1477" s="3"/>
      <c r="I1477" s="3" t="s">
        <v>122</v>
      </c>
      <c r="J1477" s="3">
        <v>0</v>
      </c>
      <c r="K1477" s="3">
        <v>0</v>
      </c>
      <c r="L1477" s="3">
        <v>0</v>
      </c>
      <c r="M1477" s="3">
        <v>0</v>
      </c>
      <c r="N1477" s="3">
        <v>0</v>
      </c>
      <c r="O1477" s="3">
        <v>0.08</v>
      </c>
      <c r="P1477" s="3">
        <v>0</v>
      </c>
      <c r="Q1477" s="3">
        <v>0</v>
      </c>
      <c r="R1477" s="3">
        <v>0</v>
      </c>
    </row>
    <row r="1478" spans="1:18">
      <c r="A1478" s="3" t="s">
        <v>4013</v>
      </c>
      <c r="B1478" s="3" t="s">
        <v>4014</v>
      </c>
      <c r="C1478" s="3" t="s">
        <v>4015</v>
      </c>
      <c r="D1478" s="3" t="s">
        <v>4016</v>
      </c>
      <c r="E1478" s="3" t="s">
        <v>120</v>
      </c>
      <c r="F1478" s="3">
        <v>20.98</v>
      </c>
      <c r="G1478" s="3" t="s">
        <v>121</v>
      </c>
      <c r="H1478" s="3"/>
      <c r="I1478" s="3" t="s">
        <v>122</v>
      </c>
      <c r="J1478" s="3">
        <v>0</v>
      </c>
      <c r="K1478" s="3">
        <v>0</v>
      </c>
      <c r="L1478" s="3">
        <v>0</v>
      </c>
      <c r="M1478" s="3">
        <v>0</v>
      </c>
      <c r="N1478" s="3">
        <v>0</v>
      </c>
      <c r="O1478" s="3">
        <v>0.08</v>
      </c>
      <c r="P1478" s="3">
        <v>0</v>
      </c>
      <c r="Q1478" s="3">
        <v>0</v>
      </c>
      <c r="R1478" s="3">
        <v>0</v>
      </c>
    </row>
    <row r="1479" spans="1:18">
      <c r="A1479" s="3" t="s">
        <v>4017</v>
      </c>
      <c r="B1479" s="3" t="s">
        <v>4018</v>
      </c>
      <c r="C1479" s="3" t="s">
        <v>4019</v>
      </c>
      <c r="D1479" s="3" t="s">
        <v>4020</v>
      </c>
      <c r="E1479" s="3" t="s">
        <v>120</v>
      </c>
      <c r="F1479" s="3">
        <v>20.98</v>
      </c>
      <c r="G1479" s="3" t="s">
        <v>121</v>
      </c>
      <c r="H1479" s="3"/>
      <c r="I1479" s="3" t="s">
        <v>122</v>
      </c>
      <c r="J1479" s="3">
        <v>10</v>
      </c>
      <c r="K1479" s="3">
        <v>10</v>
      </c>
      <c r="L1479" s="3">
        <v>0</v>
      </c>
      <c r="M1479" s="3">
        <v>0</v>
      </c>
      <c r="N1479" s="3">
        <v>10</v>
      </c>
      <c r="O1479" s="3">
        <v>0.08</v>
      </c>
      <c r="P1479" s="3">
        <v>0</v>
      </c>
      <c r="Q1479" s="3">
        <v>0</v>
      </c>
      <c r="R1479" s="3">
        <v>0</v>
      </c>
    </row>
    <row r="1480" spans="1:18">
      <c r="A1480" s="3" t="s">
        <v>4021</v>
      </c>
      <c r="B1480" s="3" t="s">
        <v>4022</v>
      </c>
      <c r="C1480" s="3" t="s">
        <v>4023</v>
      </c>
      <c r="D1480" s="3" t="s">
        <v>4024</v>
      </c>
      <c r="E1480" s="3" t="s">
        <v>120</v>
      </c>
      <c r="F1480" s="3">
        <v>20.98</v>
      </c>
      <c r="G1480" s="3" t="s">
        <v>121</v>
      </c>
      <c r="H1480" s="3"/>
      <c r="I1480" s="3" t="s">
        <v>122</v>
      </c>
      <c r="J1480" s="3">
        <v>0</v>
      </c>
      <c r="K1480" s="3">
        <v>0</v>
      </c>
      <c r="L1480" s="3">
        <v>0</v>
      </c>
      <c r="M1480" s="3">
        <v>0</v>
      </c>
      <c r="N1480" s="3">
        <v>0</v>
      </c>
      <c r="O1480" s="3">
        <v>0.08</v>
      </c>
      <c r="P1480" s="3">
        <v>0</v>
      </c>
      <c r="Q1480" s="3">
        <v>0</v>
      </c>
      <c r="R1480" s="3">
        <v>0</v>
      </c>
    </row>
    <row r="1481" spans="1:18">
      <c r="A1481" s="3" t="s">
        <v>4025</v>
      </c>
      <c r="B1481" s="3" t="s">
        <v>4026</v>
      </c>
      <c r="C1481" s="3" t="s">
        <v>4027</v>
      </c>
      <c r="D1481" s="3" t="s">
        <v>4028</v>
      </c>
      <c r="E1481" s="3" t="s">
        <v>120</v>
      </c>
      <c r="F1481" s="3">
        <v>20.98</v>
      </c>
      <c r="G1481" s="3" t="s">
        <v>121</v>
      </c>
      <c r="H1481" s="3"/>
      <c r="I1481" s="3" t="s">
        <v>122</v>
      </c>
      <c r="J1481" s="3">
        <v>0</v>
      </c>
      <c r="K1481" s="3">
        <v>0</v>
      </c>
      <c r="L1481" s="3">
        <v>0</v>
      </c>
      <c r="M1481" s="3">
        <v>0</v>
      </c>
      <c r="N1481" s="3">
        <v>0</v>
      </c>
      <c r="O1481" s="3">
        <v>0.08</v>
      </c>
      <c r="P1481" s="3">
        <v>0</v>
      </c>
      <c r="Q1481" s="3">
        <v>0</v>
      </c>
      <c r="R1481" s="3">
        <v>0</v>
      </c>
    </row>
    <row r="1482" spans="1:18">
      <c r="A1482" s="3" t="s">
        <v>4029</v>
      </c>
      <c r="B1482" s="3" t="s">
        <v>4030</v>
      </c>
      <c r="C1482" s="3" t="s">
        <v>4031</v>
      </c>
      <c r="D1482" s="3" t="s">
        <v>4032</v>
      </c>
      <c r="E1482" s="3" t="s">
        <v>120</v>
      </c>
      <c r="F1482" s="3">
        <v>20.98</v>
      </c>
      <c r="G1482" s="3" t="s">
        <v>121</v>
      </c>
      <c r="H1482" s="3"/>
      <c r="I1482" s="3" t="s">
        <v>122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0.07</v>
      </c>
      <c r="P1482" s="3">
        <v>0</v>
      </c>
      <c r="Q1482" s="3">
        <v>0</v>
      </c>
      <c r="R1482" s="3">
        <v>0</v>
      </c>
    </row>
    <row r="1483" spans="1:18">
      <c r="A1483" s="3" t="s">
        <v>4033</v>
      </c>
      <c r="B1483" s="3" t="s">
        <v>4034</v>
      </c>
      <c r="C1483" s="3" t="s">
        <v>4035</v>
      </c>
      <c r="D1483" s="3" t="s">
        <v>4036</v>
      </c>
      <c r="E1483" s="3" t="s">
        <v>120</v>
      </c>
      <c r="F1483" s="3">
        <v>20.98</v>
      </c>
      <c r="G1483" s="3" t="s">
        <v>121</v>
      </c>
      <c r="H1483" s="3"/>
      <c r="I1483" s="3" t="s">
        <v>122</v>
      </c>
      <c r="J1483" s="3">
        <v>0</v>
      </c>
      <c r="K1483" s="3">
        <v>0</v>
      </c>
      <c r="L1483" s="3">
        <v>0</v>
      </c>
      <c r="M1483" s="3">
        <v>0</v>
      </c>
      <c r="N1483" s="3">
        <v>0</v>
      </c>
      <c r="O1483" s="3">
        <v>0.08</v>
      </c>
      <c r="P1483" s="3">
        <v>0</v>
      </c>
      <c r="Q1483" s="3">
        <v>0</v>
      </c>
      <c r="R1483" s="3">
        <v>0</v>
      </c>
    </row>
    <row r="1484" spans="1:18">
      <c r="A1484" s="3" t="s">
        <v>4037</v>
      </c>
      <c r="B1484" s="3" t="s">
        <v>4038</v>
      </c>
      <c r="C1484" s="3" t="s">
        <v>4039</v>
      </c>
      <c r="D1484" s="3" t="s">
        <v>4040</v>
      </c>
      <c r="E1484" s="3" t="s">
        <v>120</v>
      </c>
      <c r="F1484" s="3">
        <v>20.98</v>
      </c>
      <c r="G1484" s="3" t="s">
        <v>121</v>
      </c>
      <c r="H1484" s="3"/>
      <c r="I1484" s="3" t="s">
        <v>122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0.08</v>
      </c>
      <c r="P1484" s="3">
        <v>0</v>
      </c>
      <c r="Q1484" s="3">
        <v>0</v>
      </c>
      <c r="R1484" s="3">
        <v>0</v>
      </c>
    </row>
    <row r="1485" spans="1:18">
      <c r="A1485" s="3" t="s">
        <v>4041</v>
      </c>
      <c r="B1485" s="3" t="s">
        <v>4042</v>
      </c>
      <c r="C1485" s="3" t="s">
        <v>4043</v>
      </c>
      <c r="D1485" s="3" t="s">
        <v>4044</v>
      </c>
      <c r="E1485" s="3" t="s">
        <v>120</v>
      </c>
      <c r="F1485" s="3">
        <v>20.98</v>
      </c>
      <c r="G1485" s="3" t="s">
        <v>121</v>
      </c>
      <c r="H1485" s="3"/>
      <c r="I1485" s="3" t="s">
        <v>122</v>
      </c>
      <c r="J1485" s="3">
        <v>0</v>
      </c>
      <c r="K1485" s="3">
        <v>0</v>
      </c>
      <c r="L1485" s="3">
        <v>0</v>
      </c>
      <c r="M1485" s="3">
        <v>0</v>
      </c>
      <c r="N1485" s="3">
        <v>0</v>
      </c>
      <c r="O1485" s="3">
        <v>0.08</v>
      </c>
      <c r="P1485" s="3">
        <v>0</v>
      </c>
      <c r="Q1485" s="3">
        <v>0</v>
      </c>
      <c r="R1485" s="3">
        <v>0</v>
      </c>
    </row>
    <row r="1486" spans="1:18">
      <c r="A1486" s="3" t="s">
        <v>4045</v>
      </c>
      <c r="B1486" s="3" t="s">
        <v>4046</v>
      </c>
      <c r="C1486" s="3" t="s">
        <v>4047</v>
      </c>
      <c r="D1486" s="3" t="s">
        <v>4048</v>
      </c>
      <c r="E1486" s="3" t="s">
        <v>120</v>
      </c>
      <c r="F1486" s="3">
        <v>20.98</v>
      </c>
      <c r="G1486" s="3" t="s">
        <v>121</v>
      </c>
      <c r="H1486" s="3"/>
      <c r="I1486" s="3" t="s">
        <v>122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0.08</v>
      </c>
      <c r="P1486" s="3">
        <v>0</v>
      </c>
      <c r="Q1486" s="3">
        <v>0</v>
      </c>
      <c r="R1486" s="3">
        <v>0</v>
      </c>
    </row>
    <row r="1487" spans="1:18">
      <c r="A1487" s="3" t="s">
        <v>4049</v>
      </c>
      <c r="B1487" s="3" t="s">
        <v>4050</v>
      </c>
      <c r="C1487" s="3" t="s">
        <v>4051</v>
      </c>
      <c r="D1487" s="3" t="s">
        <v>4052</v>
      </c>
      <c r="E1487" s="3" t="s">
        <v>120</v>
      </c>
      <c r="F1487" s="3">
        <v>20.98</v>
      </c>
      <c r="G1487" s="3" t="s">
        <v>121</v>
      </c>
      <c r="H1487" s="3"/>
      <c r="I1487" s="3" t="s">
        <v>122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0.05</v>
      </c>
      <c r="P1487" s="3">
        <v>0</v>
      </c>
      <c r="Q1487" s="3">
        <v>0</v>
      </c>
      <c r="R1487" s="3">
        <v>0</v>
      </c>
    </row>
    <row r="1488" spans="1:18">
      <c r="A1488" s="3" t="s">
        <v>4053</v>
      </c>
      <c r="B1488" s="3" t="s">
        <v>4054</v>
      </c>
      <c r="C1488" s="3" t="s">
        <v>4055</v>
      </c>
      <c r="D1488" s="3" t="s">
        <v>4056</v>
      </c>
      <c r="E1488" s="3" t="s">
        <v>120</v>
      </c>
      <c r="F1488" s="3">
        <v>20.98</v>
      </c>
      <c r="G1488" s="3" t="s">
        <v>121</v>
      </c>
      <c r="H1488" s="3"/>
      <c r="I1488" s="3" t="s">
        <v>122</v>
      </c>
      <c r="J1488" s="3">
        <v>10</v>
      </c>
      <c r="K1488" s="3">
        <v>10</v>
      </c>
      <c r="L1488" s="3">
        <v>0</v>
      </c>
      <c r="M1488" s="3">
        <v>0</v>
      </c>
      <c r="N1488" s="3">
        <v>10</v>
      </c>
      <c r="O1488" s="3">
        <v>0.08</v>
      </c>
      <c r="P1488" s="3">
        <v>0</v>
      </c>
      <c r="Q1488" s="3">
        <v>0</v>
      </c>
      <c r="R1488" s="3">
        <v>0</v>
      </c>
    </row>
    <row r="1489" spans="1:18">
      <c r="A1489" s="3" t="s">
        <v>4057</v>
      </c>
      <c r="B1489" s="3" t="s">
        <v>4058</v>
      </c>
      <c r="C1489" s="3" t="s">
        <v>4059</v>
      </c>
      <c r="D1489" s="3" t="s">
        <v>4060</v>
      </c>
      <c r="E1489" s="3" t="s">
        <v>120</v>
      </c>
      <c r="F1489" s="3">
        <v>20.98</v>
      </c>
      <c r="G1489" s="3" t="s">
        <v>121</v>
      </c>
      <c r="H1489" s="3"/>
      <c r="I1489" s="3" t="s">
        <v>122</v>
      </c>
      <c r="J1489" s="3">
        <v>0</v>
      </c>
      <c r="K1489" s="3">
        <v>0</v>
      </c>
      <c r="L1489" s="3">
        <v>0</v>
      </c>
      <c r="M1489" s="3">
        <v>0</v>
      </c>
      <c r="N1489" s="3">
        <v>0</v>
      </c>
      <c r="O1489" s="3">
        <v>0.08</v>
      </c>
      <c r="P1489" s="3">
        <v>0</v>
      </c>
      <c r="Q1489" s="3">
        <v>0</v>
      </c>
      <c r="R1489" s="3">
        <v>0</v>
      </c>
    </row>
    <row r="1490" spans="1:18">
      <c r="A1490" s="3" t="s">
        <v>4061</v>
      </c>
      <c r="B1490" s="3" t="s">
        <v>4062</v>
      </c>
      <c r="C1490" s="3" t="s">
        <v>4063</v>
      </c>
      <c r="D1490" s="3" t="s">
        <v>4064</v>
      </c>
      <c r="E1490" s="3" t="s">
        <v>120</v>
      </c>
      <c r="F1490" s="3">
        <v>20.98</v>
      </c>
      <c r="G1490" s="3" t="s">
        <v>121</v>
      </c>
      <c r="H1490" s="3"/>
      <c r="I1490" s="3" t="s">
        <v>122</v>
      </c>
      <c r="J1490" s="3">
        <v>0</v>
      </c>
      <c r="K1490" s="3">
        <v>0</v>
      </c>
      <c r="L1490" s="3">
        <v>0</v>
      </c>
      <c r="M1490" s="3">
        <v>0</v>
      </c>
      <c r="N1490" s="3">
        <v>0</v>
      </c>
      <c r="O1490" s="3">
        <v>0.08</v>
      </c>
      <c r="P1490" s="3">
        <v>0</v>
      </c>
      <c r="Q1490" s="3">
        <v>0</v>
      </c>
      <c r="R1490" s="3">
        <v>0</v>
      </c>
    </row>
    <row r="1491" spans="1:18">
      <c r="A1491" s="3" t="s">
        <v>4065</v>
      </c>
      <c r="B1491" s="3" t="s">
        <v>4066</v>
      </c>
      <c r="C1491" s="3" t="s">
        <v>4067</v>
      </c>
      <c r="D1491" s="3" t="s">
        <v>4068</v>
      </c>
      <c r="E1491" s="3" t="s">
        <v>120</v>
      </c>
      <c r="F1491" s="3">
        <v>20.98</v>
      </c>
      <c r="G1491" s="3" t="s">
        <v>121</v>
      </c>
      <c r="H1491" s="3"/>
      <c r="I1491" s="3" t="s">
        <v>122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0.08</v>
      </c>
      <c r="P1491" s="3">
        <v>0</v>
      </c>
      <c r="Q1491" s="3">
        <v>0</v>
      </c>
      <c r="R1491" s="3">
        <v>0</v>
      </c>
    </row>
    <row r="1492" spans="1:18">
      <c r="A1492" s="3" t="s">
        <v>4069</v>
      </c>
      <c r="B1492" s="3" t="s">
        <v>4070</v>
      </c>
      <c r="C1492" s="3" t="s">
        <v>4071</v>
      </c>
      <c r="D1492" s="3" t="s">
        <v>4072</v>
      </c>
      <c r="E1492" s="3" t="s">
        <v>120</v>
      </c>
      <c r="F1492" s="3">
        <v>20.98</v>
      </c>
      <c r="G1492" s="3" t="s">
        <v>121</v>
      </c>
      <c r="H1492" s="3"/>
      <c r="I1492" s="3" t="s">
        <v>122</v>
      </c>
      <c r="J1492" s="3">
        <v>5</v>
      </c>
      <c r="K1492" s="3">
        <v>5</v>
      </c>
      <c r="L1492" s="3">
        <v>0</v>
      </c>
      <c r="M1492" s="3">
        <v>0</v>
      </c>
      <c r="N1492" s="3">
        <v>5</v>
      </c>
      <c r="O1492" s="3">
        <v>0.08</v>
      </c>
      <c r="P1492" s="3">
        <v>0</v>
      </c>
      <c r="Q1492" s="3">
        <v>0</v>
      </c>
      <c r="R1492" s="3">
        <v>0</v>
      </c>
    </row>
    <row r="1493" spans="1:18">
      <c r="A1493" s="3" t="s">
        <v>4073</v>
      </c>
      <c r="B1493" s="3" t="s">
        <v>4074</v>
      </c>
      <c r="C1493" s="3" t="s">
        <v>4075</v>
      </c>
      <c r="D1493" s="3" t="s">
        <v>4076</v>
      </c>
      <c r="E1493" s="3" t="s">
        <v>120</v>
      </c>
      <c r="F1493" s="3">
        <v>20.98</v>
      </c>
      <c r="G1493" s="3" t="s">
        <v>121</v>
      </c>
      <c r="H1493" s="3"/>
      <c r="I1493" s="3" t="s">
        <v>122</v>
      </c>
      <c r="J1493" s="3">
        <v>0</v>
      </c>
      <c r="K1493" s="3">
        <v>0</v>
      </c>
      <c r="L1493" s="3">
        <v>0</v>
      </c>
      <c r="M1493" s="3">
        <v>0</v>
      </c>
      <c r="N1493" s="3">
        <v>0</v>
      </c>
      <c r="O1493" s="3">
        <v>0.05</v>
      </c>
      <c r="P1493" s="3">
        <v>0</v>
      </c>
      <c r="Q1493" s="3">
        <v>0</v>
      </c>
      <c r="R1493" s="3">
        <v>0</v>
      </c>
    </row>
    <row r="1494" spans="1:18">
      <c r="A1494" s="3" t="s">
        <v>4077</v>
      </c>
      <c r="B1494" s="3" t="s">
        <v>4078</v>
      </c>
      <c r="C1494" s="3" t="s">
        <v>4079</v>
      </c>
      <c r="D1494" s="3" t="s">
        <v>4080</v>
      </c>
      <c r="E1494" s="3" t="s">
        <v>120</v>
      </c>
      <c r="F1494" s="3">
        <v>20.98</v>
      </c>
      <c r="G1494" s="3" t="s">
        <v>121</v>
      </c>
      <c r="H1494" s="3"/>
      <c r="I1494" s="3" t="s">
        <v>122</v>
      </c>
      <c r="J1494" s="3">
        <v>0</v>
      </c>
      <c r="K1494" s="3">
        <v>0</v>
      </c>
      <c r="L1494" s="3">
        <v>0</v>
      </c>
      <c r="M1494" s="3">
        <v>0</v>
      </c>
      <c r="N1494" s="3">
        <v>0</v>
      </c>
      <c r="O1494" s="3">
        <v>0.08</v>
      </c>
      <c r="P1494" s="3">
        <v>0</v>
      </c>
      <c r="Q1494" s="3">
        <v>0</v>
      </c>
      <c r="R1494" s="3">
        <v>0</v>
      </c>
    </row>
    <row r="1495" spans="1:18">
      <c r="A1495" s="3" t="s">
        <v>4081</v>
      </c>
      <c r="B1495" s="3" t="s">
        <v>4082</v>
      </c>
      <c r="C1495" s="3" t="s">
        <v>4083</v>
      </c>
      <c r="D1495" s="3" t="s">
        <v>4084</v>
      </c>
      <c r="E1495" s="3" t="s">
        <v>120</v>
      </c>
      <c r="F1495" s="3">
        <v>20.98</v>
      </c>
      <c r="G1495" s="3" t="s">
        <v>121</v>
      </c>
      <c r="H1495" s="3"/>
      <c r="I1495" s="3" t="s">
        <v>122</v>
      </c>
      <c r="J1495" s="3">
        <v>5</v>
      </c>
      <c r="K1495" s="3">
        <v>5</v>
      </c>
      <c r="L1495" s="3">
        <v>0</v>
      </c>
      <c r="M1495" s="3">
        <v>0</v>
      </c>
      <c r="N1495" s="3">
        <v>5</v>
      </c>
      <c r="O1495" s="3">
        <v>0.08</v>
      </c>
      <c r="P1495" s="3">
        <v>0</v>
      </c>
      <c r="Q1495" s="3">
        <v>0</v>
      </c>
      <c r="R1495" s="3">
        <v>0</v>
      </c>
    </row>
    <row r="1496" spans="1:18">
      <c r="A1496" s="3" t="s">
        <v>4085</v>
      </c>
      <c r="B1496" s="3" t="s">
        <v>4086</v>
      </c>
      <c r="C1496" s="3" t="s">
        <v>4086</v>
      </c>
      <c r="D1496" s="3" t="s">
        <v>4087</v>
      </c>
      <c r="E1496" s="3" t="s">
        <v>120</v>
      </c>
      <c r="F1496" s="3">
        <v>39.98</v>
      </c>
      <c r="G1496" s="3" t="s">
        <v>121</v>
      </c>
      <c r="H1496" s="3"/>
      <c r="I1496" s="3" t="s">
        <v>122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0.11</v>
      </c>
      <c r="P1496" s="3">
        <v>0</v>
      </c>
      <c r="Q1496" s="3">
        <v>0</v>
      </c>
      <c r="R1496" s="3">
        <v>0</v>
      </c>
    </row>
    <row r="1497" spans="1:18">
      <c r="A1497" s="3" t="s">
        <v>4088</v>
      </c>
      <c r="B1497" s="3" t="s">
        <v>4089</v>
      </c>
      <c r="C1497" s="3" t="s">
        <v>4089</v>
      </c>
      <c r="D1497" s="3" t="s">
        <v>4090</v>
      </c>
      <c r="E1497" s="3" t="s">
        <v>120</v>
      </c>
      <c r="F1497" s="3">
        <v>39.98</v>
      </c>
      <c r="G1497" s="3" t="s">
        <v>121</v>
      </c>
      <c r="H1497" s="3"/>
      <c r="I1497" s="3" t="s">
        <v>122</v>
      </c>
      <c r="J1497" s="3">
        <v>1</v>
      </c>
      <c r="K1497" s="3">
        <v>1</v>
      </c>
      <c r="L1497" s="3">
        <v>0</v>
      </c>
      <c r="M1497" s="3">
        <v>0</v>
      </c>
      <c r="N1497" s="3">
        <v>1</v>
      </c>
      <c r="O1497" s="3">
        <v>0.11</v>
      </c>
      <c r="P1497" s="3">
        <v>0</v>
      </c>
      <c r="Q1497" s="3">
        <v>0</v>
      </c>
      <c r="R1497" s="3">
        <v>0</v>
      </c>
    </row>
    <row r="1498" spans="1:18">
      <c r="A1498" s="3" t="s">
        <v>4091</v>
      </c>
      <c r="B1498" s="3" t="s">
        <v>4092</v>
      </c>
      <c r="C1498" s="3" t="s">
        <v>4092</v>
      </c>
      <c r="D1498" s="3"/>
      <c r="E1498" s="3" t="s">
        <v>20</v>
      </c>
      <c r="F1498" s="3"/>
      <c r="G1498" s="3"/>
      <c r="H1498" s="3"/>
      <c r="I1498" s="3"/>
      <c r="J1498" s="3">
        <v>0</v>
      </c>
      <c r="K1498" s="3">
        <v>0</v>
      </c>
      <c r="L1498" s="3">
        <v>0</v>
      </c>
      <c r="M1498" s="3">
        <v>0</v>
      </c>
      <c r="N1498" s="3">
        <v>0</v>
      </c>
      <c r="O1498" s="3"/>
      <c r="P1498" s="3">
        <v>0</v>
      </c>
      <c r="Q1498" s="3">
        <v>0</v>
      </c>
      <c r="R1498" s="3">
        <v>0</v>
      </c>
    </row>
    <row r="1499" spans="1:18">
      <c r="A1499" s="3" t="s">
        <v>4093</v>
      </c>
      <c r="B1499" s="3" t="s">
        <v>4094</v>
      </c>
      <c r="C1499" s="3" t="s">
        <v>4094</v>
      </c>
      <c r="D1499" s="3"/>
      <c r="E1499" s="3" t="s">
        <v>20</v>
      </c>
      <c r="F1499" s="3"/>
      <c r="G1499" s="3"/>
      <c r="H1499" s="3"/>
      <c r="I1499" s="3"/>
      <c r="J1499" s="3">
        <v>0</v>
      </c>
      <c r="K1499" s="3">
        <v>0</v>
      </c>
      <c r="L1499" s="3">
        <v>0</v>
      </c>
      <c r="M1499" s="3">
        <v>0</v>
      </c>
      <c r="N1499" s="3">
        <v>0</v>
      </c>
      <c r="O1499" s="3"/>
      <c r="P1499" s="3">
        <v>0</v>
      </c>
      <c r="Q1499" s="3">
        <v>0</v>
      </c>
      <c r="R1499" s="3">
        <v>0</v>
      </c>
    </row>
    <row r="1500" spans="1:18">
      <c r="A1500" s="3" t="s">
        <v>4095</v>
      </c>
      <c r="B1500" s="3" t="s">
        <v>4096</v>
      </c>
      <c r="C1500" s="3" t="s">
        <v>4096</v>
      </c>
      <c r="D1500" s="3"/>
      <c r="E1500" s="3" t="s">
        <v>20</v>
      </c>
      <c r="F1500" s="3"/>
      <c r="G1500" s="3"/>
      <c r="H1500" s="3"/>
      <c r="I1500" s="3"/>
      <c r="J1500" s="3">
        <v>0</v>
      </c>
      <c r="K1500" s="3">
        <v>0</v>
      </c>
      <c r="L1500" s="3">
        <v>0</v>
      </c>
      <c r="M1500" s="3">
        <v>0</v>
      </c>
      <c r="N1500" s="3">
        <v>0</v>
      </c>
      <c r="O1500" s="3"/>
      <c r="P1500" s="3">
        <v>0</v>
      </c>
      <c r="Q1500" s="3">
        <v>0</v>
      </c>
      <c r="R1500" s="3">
        <v>0</v>
      </c>
    </row>
    <row r="1501" spans="1:18">
      <c r="A1501" s="3" t="s">
        <v>4097</v>
      </c>
      <c r="B1501" s="3" t="s">
        <v>4098</v>
      </c>
      <c r="C1501" s="3" t="s">
        <v>4098</v>
      </c>
      <c r="D1501" s="3"/>
      <c r="E1501" s="3" t="s">
        <v>20</v>
      </c>
      <c r="F1501" s="3"/>
      <c r="G1501" s="3"/>
      <c r="H1501" s="3"/>
      <c r="I1501" s="3"/>
      <c r="J1501" s="3">
        <v>0</v>
      </c>
      <c r="K1501" s="3">
        <v>0</v>
      </c>
      <c r="L1501" s="3">
        <v>0</v>
      </c>
      <c r="M1501" s="3">
        <v>0</v>
      </c>
      <c r="N1501" s="3">
        <v>0</v>
      </c>
      <c r="O1501" s="3"/>
      <c r="P1501" s="3">
        <v>0</v>
      </c>
      <c r="Q1501" s="3">
        <v>0</v>
      </c>
      <c r="R1501" s="3">
        <v>0</v>
      </c>
    </row>
    <row r="1502" spans="1:18">
      <c r="A1502" s="3" t="s">
        <v>4099</v>
      </c>
      <c r="B1502" s="3" t="s">
        <v>4100</v>
      </c>
      <c r="C1502" s="3" t="s">
        <v>4100</v>
      </c>
      <c r="D1502" s="3" t="s">
        <v>4101</v>
      </c>
      <c r="E1502" s="3" t="s">
        <v>120</v>
      </c>
      <c r="F1502" s="3">
        <v>39.98</v>
      </c>
      <c r="G1502" s="3" t="s">
        <v>121</v>
      </c>
      <c r="H1502" s="3"/>
      <c r="I1502" s="3" t="s">
        <v>122</v>
      </c>
      <c r="J1502" s="3">
        <v>1</v>
      </c>
      <c r="K1502" s="3">
        <v>1</v>
      </c>
      <c r="L1502" s="3">
        <v>0</v>
      </c>
      <c r="M1502" s="3">
        <v>0</v>
      </c>
      <c r="N1502" s="3">
        <v>1</v>
      </c>
      <c r="O1502" s="3">
        <v>0.11</v>
      </c>
      <c r="P1502" s="3">
        <v>0</v>
      </c>
      <c r="Q1502" s="3">
        <v>0</v>
      </c>
      <c r="R1502" s="3">
        <v>0</v>
      </c>
    </row>
    <row r="1503" spans="1:18">
      <c r="A1503" s="3" t="s">
        <v>4102</v>
      </c>
      <c r="B1503" s="3" t="s">
        <v>4103</v>
      </c>
      <c r="C1503" s="3" t="s">
        <v>4103</v>
      </c>
      <c r="D1503" s="3"/>
      <c r="E1503" s="3" t="s">
        <v>20</v>
      </c>
      <c r="F1503" s="3"/>
      <c r="G1503" s="3"/>
      <c r="H1503" s="3"/>
      <c r="I1503" s="3"/>
      <c r="J1503" s="3">
        <v>0</v>
      </c>
      <c r="K1503" s="3">
        <v>0</v>
      </c>
      <c r="L1503" s="3">
        <v>0</v>
      </c>
      <c r="M1503" s="3">
        <v>0</v>
      </c>
      <c r="N1503" s="3">
        <v>0</v>
      </c>
      <c r="O1503" s="3"/>
      <c r="P1503" s="3">
        <v>0</v>
      </c>
      <c r="Q1503" s="3">
        <v>0</v>
      </c>
      <c r="R1503" s="3">
        <v>0</v>
      </c>
    </row>
    <row r="1504" spans="1:18">
      <c r="A1504" s="3" t="s">
        <v>4104</v>
      </c>
      <c r="B1504" s="3" t="s">
        <v>4105</v>
      </c>
      <c r="C1504" s="3" t="s">
        <v>4105</v>
      </c>
      <c r="D1504" s="3"/>
      <c r="E1504" s="3" t="s">
        <v>20</v>
      </c>
      <c r="F1504" s="3"/>
      <c r="G1504" s="3"/>
      <c r="H1504" s="3"/>
      <c r="I1504" s="3"/>
      <c r="J1504" s="3">
        <v>0</v>
      </c>
      <c r="K1504" s="3">
        <v>0</v>
      </c>
      <c r="L1504" s="3">
        <v>0</v>
      </c>
      <c r="M1504" s="3">
        <v>0</v>
      </c>
      <c r="N1504" s="3">
        <v>0</v>
      </c>
      <c r="O1504" s="3"/>
      <c r="P1504" s="3">
        <v>0</v>
      </c>
      <c r="Q1504" s="3">
        <v>0</v>
      </c>
      <c r="R1504" s="3">
        <v>0</v>
      </c>
    </row>
    <row r="1505" spans="1:18">
      <c r="A1505" s="3" t="s">
        <v>4106</v>
      </c>
      <c r="B1505" s="3" t="s">
        <v>4107</v>
      </c>
      <c r="C1505" s="3" t="s">
        <v>4107</v>
      </c>
      <c r="D1505" s="3" t="s">
        <v>4108</v>
      </c>
      <c r="E1505" s="3" t="s">
        <v>120</v>
      </c>
      <c r="F1505" s="3">
        <v>39.98</v>
      </c>
      <c r="G1505" s="3" t="s">
        <v>121</v>
      </c>
      <c r="H1505" s="3"/>
      <c r="I1505" s="3" t="s">
        <v>122</v>
      </c>
      <c r="J1505" s="3">
        <v>0</v>
      </c>
      <c r="K1505" s="3">
        <v>0</v>
      </c>
      <c r="L1505" s="3">
        <v>0</v>
      </c>
      <c r="M1505" s="3">
        <v>0</v>
      </c>
      <c r="N1505" s="3">
        <v>0</v>
      </c>
      <c r="O1505" s="3">
        <v>0.11</v>
      </c>
      <c r="P1505" s="3">
        <v>0</v>
      </c>
      <c r="Q1505" s="3">
        <v>0</v>
      </c>
      <c r="R1505" s="3">
        <v>0</v>
      </c>
    </row>
    <row r="1506" spans="1:18">
      <c r="A1506" s="3" t="s">
        <v>4109</v>
      </c>
      <c r="B1506" s="3" t="s">
        <v>4110</v>
      </c>
      <c r="C1506" s="3" t="s">
        <v>4110</v>
      </c>
      <c r="D1506" s="3" t="s">
        <v>4111</v>
      </c>
      <c r="E1506" s="3" t="s">
        <v>120</v>
      </c>
      <c r="F1506" s="3">
        <v>39.98</v>
      </c>
      <c r="G1506" s="3" t="s">
        <v>121</v>
      </c>
      <c r="H1506" s="3"/>
      <c r="I1506" s="3" t="s">
        <v>122</v>
      </c>
      <c r="J1506" s="3">
        <v>1</v>
      </c>
      <c r="K1506" s="3">
        <v>1</v>
      </c>
      <c r="L1506" s="3">
        <v>0</v>
      </c>
      <c r="M1506" s="3">
        <v>0</v>
      </c>
      <c r="N1506" s="3">
        <v>1</v>
      </c>
      <c r="O1506" s="3">
        <v>0.11</v>
      </c>
      <c r="P1506" s="3">
        <v>0</v>
      </c>
      <c r="Q1506" s="3">
        <v>0</v>
      </c>
      <c r="R1506" s="3">
        <v>0</v>
      </c>
    </row>
    <row r="1507" spans="1:18">
      <c r="A1507" s="3" t="s">
        <v>4112</v>
      </c>
      <c r="B1507" s="3" t="s">
        <v>4113</v>
      </c>
      <c r="C1507" s="3" t="s">
        <v>4113</v>
      </c>
      <c r="D1507" s="3"/>
      <c r="E1507" s="3" t="s">
        <v>20</v>
      </c>
      <c r="F1507" s="3"/>
      <c r="G1507" s="3"/>
      <c r="H1507" s="3"/>
      <c r="I1507" s="3"/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/>
      <c r="P1507" s="3">
        <v>0</v>
      </c>
      <c r="Q1507" s="3">
        <v>0</v>
      </c>
      <c r="R1507" s="3">
        <v>0</v>
      </c>
    </row>
    <row r="1508" spans="1:18">
      <c r="A1508" s="3" t="s">
        <v>4114</v>
      </c>
      <c r="B1508" s="3" t="s">
        <v>4115</v>
      </c>
      <c r="C1508" s="3" t="s">
        <v>4115</v>
      </c>
      <c r="D1508" s="3"/>
      <c r="E1508" s="3" t="s">
        <v>20</v>
      </c>
      <c r="F1508" s="3"/>
      <c r="G1508" s="3"/>
      <c r="H1508" s="3"/>
      <c r="I1508" s="3"/>
      <c r="J1508" s="3">
        <v>0</v>
      </c>
      <c r="K1508" s="3">
        <v>0</v>
      </c>
      <c r="L1508" s="3">
        <v>0</v>
      </c>
      <c r="M1508" s="3">
        <v>0</v>
      </c>
      <c r="N1508" s="3">
        <v>0</v>
      </c>
      <c r="O1508" s="3"/>
      <c r="P1508" s="3">
        <v>0</v>
      </c>
      <c r="Q1508" s="3">
        <v>0</v>
      </c>
      <c r="R1508" s="3">
        <v>0</v>
      </c>
    </row>
    <row r="1509" spans="1:18">
      <c r="A1509" s="3" t="s">
        <v>4116</v>
      </c>
      <c r="B1509" s="3" t="s">
        <v>4117</v>
      </c>
      <c r="C1509" s="3" t="s">
        <v>4117</v>
      </c>
      <c r="D1509" s="3" t="s">
        <v>4118</v>
      </c>
      <c r="E1509" s="3" t="s">
        <v>120</v>
      </c>
      <c r="F1509" s="3">
        <v>22.98</v>
      </c>
      <c r="G1509" s="3" t="s">
        <v>121</v>
      </c>
      <c r="H1509" s="3"/>
      <c r="I1509" s="3" t="s">
        <v>122</v>
      </c>
      <c r="J1509" s="3">
        <v>20</v>
      </c>
      <c r="K1509" s="3">
        <v>20</v>
      </c>
      <c r="L1509" s="3">
        <v>0</v>
      </c>
      <c r="M1509" s="3">
        <v>0</v>
      </c>
      <c r="N1509" s="3">
        <v>20</v>
      </c>
      <c r="O1509" s="3">
        <v>0.08</v>
      </c>
      <c r="P1509" s="3">
        <v>0</v>
      </c>
      <c r="Q1509" s="3">
        <v>0</v>
      </c>
      <c r="R1509" s="3">
        <v>0</v>
      </c>
    </row>
    <row r="1510" spans="1:18">
      <c r="A1510" s="3" t="s">
        <v>4119</v>
      </c>
      <c r="B1510" s="3" t="s">
        <v>4120</v>
      </c>
      <c r="C1510" s="3" t="s">
        <v>4120</v>
      </c>
      <c r="D1510" s="3" t="s">
        <v>4121</v>
      </c>
      <c r="E1510" s="3" t="s">
        <v>120</v>
      </c>
      <c r="F1510" s="3">
        <v>22.98</v>
      </c>
      <c r="G1510" s="3" t="s">
        <v>121</v>
      </c>
      <c r="H1510" s="3"/>
      <c r="I1510" s="3" t="s">
        <v>122</v>
      </c>
      <c r="J1510" s="3">
        <v>3</v>
      </c>
      <c r="K1510" s="3">
        <v>3</v>
      </c>
      <c r="L1510" s="3">
        <v>0</v>
      </c>
      <c r="M1510" s="3">
        <v>0</v>
      </c>
      <c r="N1510" s="3">
        <v>3</v>
      </c>
      <c r="O1510" s="3">
        <v>0.08</v>
      </c>
      <c r="P1510" s="3">
        <v>0</v>
      </c>
      <c r="Q1510" s="3">
        <v>0</v>
      </c>
      <c r="R1510" s="3">
        <v>0</v>
      </c>
    </row>
    <row r="1511" spans="1:18">
      <c r="A1511" s="3" t="s">
        <v>4122</v>
      </c>
      <c r="B1511" s="3" t="s">
        <v>4123</v>
      </c>
      <c r="C1511" s="3" t="s">
        <v>4123</v>
      </c>
      <c r="D1511" s="3" t="s">
        <v>4124</v>
      </c>
      <c r="E1511" s="3" t="s">
        <v>120</v>
      </c>
      <c r="F1511" s="3">
        <v>22.98</v>
      </c>
      <c r="G1511" s="3" t="s">
        <v>121</v>
      </c>
      <c r="H1511" s="3"/>
      <c r="I1511" s="3" t="s">
        <v>122</v>
      </c>
      <c r="J1511" s="3">
        <v>15</v>
      </c>
      <c r="K1511" s="3">
        <v>15</v>
      </c>
      <c r="L1511" s="3">
        <v>0</v>
      </c>
      <c r="M1511" s="3">
        <v>0</v>
      </c>
      <c r="N1511" s="3">
        <v>15</v>
      </c>
      <c r="O1511" s="3">
        <v>0.08</v>
      </c>
      <c r="P1511" s="3">
        <v>0</v>
      </c>
      <c r="Q1511" s="3">
        <v>0</v>
      </c>
      <c r="R1511" s="3">
        <v>0</v>
      </c>
    </row>
    <row r="1512" spans="1:18">
      <c r="A1512" s="3" t="s">
        <v>4125</v>
      </c>
      <c r="B1512" s="3" t="s">
        <v>4126</v>
      </c>
      <c r="C1512" s="3" t="s">
        <v>4126</v>
      </c>
      <c r="D1512" s="3" t="s">
        <v>4127</v>
      </c>
      <c r="E1512" s="3" t="s">
        <v>120</v>
      </c>
      <c r="F1512" s="3">
        <v>22.98</v>
      </c>
      <c r="G1512" s="3" t="s">
        <v>121</v>
      </c>
      <c r="H1512" s="3"/>
      <c r="I1512" s="3" t="s">
        <v>122</v>
      </c>
      <c r="J1512" s="3">
        <v>5</v>
      </c>
      <c r="K1512" s="3">
        <v>5</v>
      </c>
      <c r="L1512" s="3">
        <v>0</v>
      </c>
      <c r="M1512" s="3">
        <v>0</v>
      </c>
      <c r="N1512" s="3">
        <v>5</v>
      </c>
      <c r="O1512" s="3">
        <v>0.08</v>
      </c>
      <c r="P1512" s="3">
        <v>0</v>
      </c>
      <c r="Q1512" s="3">
        <v>0</v>
      </c>
      <c r="R1512" s="3">
        <v>0</v>
      </c>
    </row>
    <row r="1513" spans="1:18">
      <c r="A1513" s="3" t="s">
        <v>4128</v>
      </c>
      <c r="B1513" s="3" t="s">
        <v>4129</v>
      </c>
      <c r="C1513" s="3" t="s">
        <v>4129</v>
      </c>
      <c r="D1513" s="3"/>
      <c r="E1513" s="3" t="s">
        <v>20</v>
      </c>
      <c r="F1513" s="3"/>
      <c r="G1513" s="3"/>
      <c r="H1513" s="3"/>
      <c r="I1513" s="3"/>
      <c r="J1513" s="3">
        <v>0</v>
      </c>
      <c r="K1513" s="3">
        <v>0</v>
      </c>
      <c r="L1513" s="3">
        <v>0</v>
      </c>
      <c r="M1513" s="3">
        <v>0</v>
      </c>
      <c r="N1513" s="3">
        <v>0</v>
      </c>
      <c r="O1513" s="3"/>
      <c r="P1513" s="3">
        <v>0</v>
      </c>
      <c r="Q1513" s="3">
        <v>0</v>
      </c>
      <c r="R1513" s="3">
        <v>0</v>
      </c>
    </row>
    <row r="1514" spans="1:18">
      <c r="A1514" s="3" t="s">
        <v>4130</v>
      </c>
      <c r="B1514" s="3" t="s">
        <v>4131</v>
      </c>
      <c r="C1514" s="3" t="s">
        <v>4131</v>
      </c>
      <c r="D1514" s="3" t="s">
        <v>4132</v>
      </c>
      <c r="E1514" s="3" t="s">
        <v>120</v>
      </c>
      <c r="F1514" s="3">
        <v>22.98</v>
      </c>
      <c r="G1514" s="3" t="s">
        <v>121</v>
      </c>
      <c r="H1514" s="3"/>
      <c r="I1514" s="3" t="s">
        <v>122</v>
      </c>
      <c r="J1514" s="3">
        <v>7</v>
      </c>
      <c r="K1514" s="3">
        <v>7</v>
      </c>
      <c r="L1514" s="3">
        <v>0</v>
      </c>
      <c r="M1514" s="3">
        <v>0</v>
      </c>
      <c r="N1514" s="3">
        <v>7</v>
      </c>
      <c r="O1514" s="3">
        <v>0.08</v>
      </c>
      <c r="P1514" s="3">
        <v>0</v>
      </c>
      <c r="Q1514" s="3">
        <v>0</v>
      </c>
      <c r="R1514" s="3">
        <v>0</v>
      </c>
    </row>
    <row r="1515" spans="1:18">
      <c r="A1515" s="3" t="s">
        <v>4133</v>
      </c>
      <c r="B1515" s="3" t="s">
        <v>4134</v>
      </c>
      <c r="C1515" s="3" t="s">
        <v>4134</v>
      </c>
      <c r="D1515" s="3" t="s">
        <v>4135</v>
      </c>
      <c r="E1515" s="3" t="s">
        <v>120</v>
      </c>
      <c r="F1515" s="3">
        <v>22.98</v>
      </c>
      <c r="G1515" s="3" t="s">
        <v>121</v>
      </c>
      <c r="H1515" s="3"/>
      <c r="I1515" s="3" t="s">
        <v>122</v>
      </c>
      <c r="J1515" s="3">
        <v>17</v>
      </c>
      <c r="K1515" s="3">
        <v>16</v>
      </c>
      <c r="L1515" s="3">
        <v>1</v>
      </c>
      <c r="M1515" s="3">
        <v>0</v>
      </c>
      <c r="N1515" s="3">
        <v>17</v>
      </c>
      <c r="O1515" s="3">
        <v>0.08</v>
      </c>
      <c r="P1515" s="3">
        <v>0</v>
      </c>
      <c r="Q1515" s="3">
        <v>0</v>
      </c>
      <c r="R1515" s="3">
        <v>0</v>
      </c>
    </row>
    <row r="1516" spans="1:18">
      <c r="A1516" s="3" t="s">
        <v>4136</v>
      </c>
      <c r="B1516" s="3" t="s">
        <v>4137</v>
      </c>
      <c r="C1516" s="3" t="s">
        <v>4137</v>
      </c>
      <c r="D1516" s="3" t="s">
        <v>4138</v>
      </c>
      <c r="E1516" s="3" t="s">
        <v>120</v>
      </c>
      <c r="F1516" s="3">
        <v>22.98</v>
      </c>
      <c r="G1516" s="3" t="s">
        <v>121</v>
      </c>
      <c r="H1516" s="3"/>
      <c r="I1516" s="3" t="s">
        <v>122</v>
      </c>
      <c r="J1516" s="3">
        <v>24</v>
      </c>
      <c r="K1516" s="3">
        <v>24</v>
      </c>
      <c r="L1516" s="3">
        <v>0</v>
      </c>
      <c r="M1516" s="3">
        <v>0</v>
      </c>
      <c r="N1516" s="3">
        <v>24</v>
      </c>
      <c r="O1516" s="3">
        <v>0.08</v>
      </c>
      <c r="P1516" s="3">
        <v>0</v>
      </c>
      <c r="Q1516" s="3">
        <v>0</v>
      </c>
      <c r="R1516" s="3">
        <v>0</v>
      </c>
    </row>
    <row r="1517" spans="1:18">
      <c r="A1517" s="3" t="s">
        <v>4139</v>
      </c>
      <c r="B1517" s="3" t="s">
        <v>4140</v>
      </c>
      <c r="C1517" s="3" t="s">
        <v>4140</v>
      </c>
      <c r="D1517" s="3" t="s">
        <v>4141</v>
      </c>
      <c r="E1517" s="3" t="s">
        <v>120</v>
      </c>
      <c r="F1517" s="3">
        <v>22.98</v>
      </c>
      <c r="G1517" s="3" t="s">
        <v>121</v>
      </c>
      <c r="H1517" s="3"/>
      <c r="I1517" s="3" t="s">
        <v>122</v>
      </c>
      <c r="J1517" s="3">
        <v>22</v>
      </c>
      <c r="K1517" s="3">
        <v>22</v>
      </c>
      <c r="L1517" s="3">
        <v>0</v>
      </c>
      <c r="M1517" s="3">
        <v>0</v>
      </c>
      <c r="N1517" s="3">
        <v>22</v>
      </c>
      <c r="O1517" s="3">
        <v>0.08</v>
      </c>
      <c r="P1517" s="3">
        <v>0</v>
      </c>
      <c r="Q1517" s="3">
        <v>0</v>
      </c>
      <c r="R1517" s="3">
        <v>0</v>
      </c>
    </row>
    <row r="1518" spans="1:18">
      <c r="A1518" s="3" t="s">
        <v>4142</v>
      </c>
      <c r="B1518" s="3" t="s">
        <v>4143</v>
      </c>
      <c r="C1518" s="3" t="s">
        <v>4143</v>
      </c>
      <c r="D1518" s="3" t="s">
        <v>4144</v>
      </c>
      <c r="E1518" s="3" t="s">
        <v>120</v>
      </c>
      <c r="F1518" s="3">
        <v>22.98</v>
      </c>
      <c r="G1518" s="3" t="s">
        <v>121</v>
      </c>
      <c r="H1518" s="3"/>
      <c r="I1518" s="3" t="s">
        <v>122</v>
      </c>
      <c r="J1518" s="3">
        <v>8</v>
      </c>
      <c r="K1518" s="3">
        <v>8</v>
      </c>
      <c r="L1518" s="3">
        <v>0</v>
      </c>
      <c r="M1518" s="3">
        <v>0</v>
      </c>
      <c r="N1518" s="3">
        <v>8</v>
      </c>
      <c r="O1518" s="3">
        <v>0.08</v>
      </c>
      <c r="P1518" s="3">
        <v>0</v>
      </c>
      <c r="Q1518" s="3">
        <v>0</v>
      </c>
      <c r="R1518" s="3">
        <v>0</v>
      </c>
    </row>
    <row r="1519" spans="1:18">
      <c r="A1519" s="3" t="s">
        <v>4145</v>
      </c>
      <c r="B1519" s="3" t="s">
        <v>4146</v>
      </c>
      <c r="C1519" s="3" t="s">
        <v>4146</v>
      </c>
      <c r="D1519" s="3" t="s">
        <v>4147</v>
      </c>
      <c r="E1519" s="3" t="s">
        <v>120</v>
      </c>
      <c r="F1519" s="3">
        <v>22.98</v>
      </c>
      <c r="G1519" s="3" t="s">
        <v>121</v>
      </c>
      <c r="H1519" s="3"/>
      <c r="I1519" s="3" t="s">
        <v>122</v>
      </c>
      <c r="J1519" s="3">
        <v>10</v>
      </c>
      <c r="K1519" s="3">
        <v>10</v>
      </c>
      <c r="L1519" s="3">
        <v>0</v>
      </c>
      <c r="M1519" s="3">
        <v>0</v>
      </c>
      <c r="N1519" s="3">
        <v>10</v>
      </c>
      <c r="O1519" s="3">
        <v>0.08</v>
      </c>
      <c r="P1519" s="3">
        <v>0</v>
      </c>
      <c r="Q1519" s="3">
        <v>0</v>
      </c>
      <c r="R1519" s="3">
        <v>0</v>
      </c>
    </row>
    <row r="1520" spans="1:18">
      <c r="A1520" s="3" t="s">
        <v>4148</v>
      </c>
      <c r="B1520" s="3" t="s">
        <v>4149</v>
      </c>
      <c r="C1520" s="3" t="s">
        <v>4149</v>
      </c>
      <c r="D1520" s="3" t="s">
        <v>4150</v>
      </c>
      <c r="E1520" s="3" t="s">
        <v>120</v>
      </c>
      <c r="F1520" s="3">
        <v>22.98</v>
      </c>
      <c r="G1520" s="3" t="s">
        <v>121</v>
      </c>
      <c r="H1520" s="3"/>
      <c r="I1520" s="3" t="s">
        <v>122</v>
      </c>
      <c r="J1520" s="3">
        <v>18</v>
      </c>
      <c r="K1520" s="3">
        <v>17</v>
      </c>
      <c r="L1520" s="3">
        <v>0</v>
      </c>
      <c r="M1520" s="3">
        <v>1</v>
      </c>
      <c r="N1520" s="3">
        <v>18</v>
      </c>
      <c r="O1520" s="3">
        <v>0.08</v>
      </c>
      <c r="P1520" s="3">
        <v>0</v>
      </c>
      <c r="Q1520" s="3">
        <v>0</v>
      </c>
      <c r="R1520" s="3">
        <v>0</v>
      </c>
    </row>
    <row r="1521" spans="1:18">
      <c r="A1521" s="3" t="s">
        <v>4151</v>
      </c>
      <c r="B1521" s="3" t="s">
        <v>4152</v>
      </c>
      <c r="C1521" s="3" t="s">
        <v>4152</v>
      </c>
      <c r="D1521" s="3" t="s">
        <v>4153</v>
      </c>
      <c r="E1521" s="3" t="s">
        <v>120</v>
      </c>
      <c r="F1521" s="3">
        <v>22.98</v>
      </c>
      <c r="G1521" s="3" t="s">
        <v>121</v>
      </c>
      <c r="H1521" s="3"/>
      <c r="I1521" s="3" t="s">
        <v>122</v>
      </c>
      <c r="J1521" s="3">
        <v>0</v>
      </c>
      <c r="K1521" s="3">
        <v>0</v>
      </c>
      <c r="L1521" s="3">
        <v>0</v>
      </c>
      <c r="M1521" s="3">
        <v>0</v>
      </c>
      <c r="N1521" s="3">
        <v>0</v>
      </c>
      <c r="O1521" s="3">
        <v>0.08</v>
      </c>
      <c r="P1521" s="3">
        <v>0</v>
      </c>
      <c r="Q1521" s="3">
        <v>0</v>
      </c>
      <c r="R1521" s="3">
        <v>0</v>
      </c>
    </row>
    <row r="1522" spans="1:18">
      <c r="A1522" s="3" t="s">
        <v>4154</v>
      </c>
      <c r="B1522" s="3" t="s">
        <v>4155</v>
      </c>
      <c r="C1522" s="3" t="s">
        <v>4155</v>
      </c>
      <c r="D1522" s="3" t="s">
        <v>4156</v>
      </c>
      <c r="E1522" s="3" t="s">
        <v>120</v>
      </c>
      <c r="F1522" s="3">
        <v>22.98</v>
      </c>
      <c r="G1522" s="3" t="s">
        <v>121</v>
      </c>
      <c r="H1522" s="3"/>
      <c r="I1522" s="3" t="s">
        <v>122</v>
      </c>
      <c r="J1522" s="3">
        <v>5</v>
      </c>
      <c r="K1522" s="3">
        <v>5</v>
      </c>
      <c r="L1522" s="3">
        <v>0</v>
      </c>
      <c r="M1522" s="3">
        <v>0</v>
      </c>
      <c r="N1522" s="3">
        <v>5</v>
      </c>
      <c r="O1522" s="3">
        <v>0.08</v>
      </c>
      <c r="P1522" s="3">
        <v>0</v>
      </c>
      <c r="Q1522" s="3">
        <v>0</v>
      </c>
      <c r="R1522" s="3">
        <v>0</v>
      </c>
    </row>
    <row r="1523" spans="1:18">
      <c r="A1523" s="3" t="s">
        <v>4157</v>
      </c>
      <c r="B1523" s="3" t="s">
        <v>4158</v>
      </c>
      <c r="C1523" s="3" t="s">
        <v>4158</v>
      </c>
      <c r="D1523" s="3" t="s">
        <v>4159</v>
      </c>
      <c r="E1523" s="3" t="s">
        <v>120</v>
      </c>
      <c r="F1523" s="3">
        <v>22.98</v>
      </c>
      <c r="G1523" s="3" t="s">
        <v>121</v>
      </c>
      <c r="H1523" s="3"/>
      <c r="I1523" s="3" t="s">
        <v>122</v>
      </c>
      <c r="J1523" s="3">
        <v>15</v>
      </c>
      <c r="K1523" s="3">
        <v>13</v>
      </c>
      <c r="L1523" s="3">
        <v>0</v>
      </c>
      <c r="M1523" s="3">
        <v>2</v>
      </c>
      <c r="N1523" s="3">
        <v>15</v>
      </c>
      <c r="O1523" s="3">
        <v>0.08</v>
      </c>
      <c r="P1523" s="3">
        <v>0</v>
      </c>
      <c r="Q1523" s="3">
        <v>0</v>
      </c>
      <c r="R1523" s="3">
        <v>0</v>
      </c>
    </row>
    <row r="1524" spans="1:18">
      <c r="A1524" s="3" t="s">
        <v>4160</v>
      </c>
      <c r="B1524" s="3" t="s">
        <v>4161</v>
      </c>
      <c r="C1524" s="3" t="s">
        <v>4161</v>
      </c>
      <c r="D1524" s="3" t="s">
        <v>4162</v>
      </c>
      <c r="E1524" s="3" t="s">
        <v>120</v>
      </c>
      <c r="F1524" s="3">
        <v>22.98</v>
      </c>
      <c r="G1524" s="3" t="s">
        <v>121</v>
      </c>
      <c r="H1524" s="3"/>
      <c r="I1524" s="3" t="s">
        <v>122</v>
      </c>
      <c r="J1524" s="3">
        <v>4</v>
      </c>
      <c r="K1524" s="3">
        <v>4</v>
      </c>
      <c r="L1524" s="3">
        <v>0</v>
      </c>
      <c r="M1524" s="3">
        <v>0</v>
      </c>
      <c r="N1524" s="3">
        <v>4</v>
      </c>
      <c r="O1524" s="3">
        <v>0.11</v>
      </c>
      <c r="P1524" s="3">
        <v>0</v>
      </c>
      <c r="Q1524" s="3">
        <v>0</v>
      </c>
      <c r="R1524" s="3">
        <v>0</v>
      </c>
    </row>
    <row r="1525" spans="1:18">
      <c r="A1525" s="3" t="s">
        <v>4163</v>
      </c>
      <c r="B1525" s="3" t="s">
        <v>4164</v>
      </c>
      <c r="C1525" s="3" t="s">
        <v>4164</v>
      </c>
      <c r="D1525" s="3" t="s">
        <v>4165</v>
      </c>
      <c r="E1525" s="3" t="s">
        <v>120</v>
      </c>
      <c r="F1525" s="3">
        <v>22.98</v>
      </c>
      <c r="G1525" s="3" t="s">
        <v>121</v>
      </c>
      <c r="H1525" s="3"/>
      <c r="I1525" s="3" t="s">
        <v>122</v>
      </c>
      <c r="J1525" s="3">
        <v>21</v>
      </c>
      <c r="K1525" s="3">
        <v>21</v>
      </c>
      <c r="L1525" s="3">
        <v>0</v>
      </c>
      <c r="M1525" s="3">
        <v>0</v>
      </c>
      <c r="N1525" s="3">
        <v>21</v>
      </c>
      <c r="O1525" s="3">
        <v>0.08</v>
      </c>
      <c r="P1525" s="3">
        <v>0</v>
      </c>
      <c r="Q1525" s="3">
        <v>0</v>
      </c>
      <c r="R1525" s="3">
        <v>0</v>
      </c>
    </row>
    <row r="1526" spans="1:18">
      <c r="A1526" s="3" t="s">
        <v>4166</v>
      </c>
      <c r="B1526" s="3" t="s">
        <v>4167</v>
      </c>
      <c r="C1526" s="3" t="s">
        <v>4167</v>
      </c>
      <c r="D1526" s="3" t="s">
        <v>4168</v>
      </c>
      <c r="E1526" s="3" t="s">
        <v>120</v>
      </c>
      <c r="F1526" s="3">
        <v>22.98</v>
      </c>
      <c r="G1526" s="3" t="s">
        <v>121</v>
      </c>
      <c r="H1526" s="3"/>
      <c r="I1526" s="3" t="s">
        <v>122</v>
      </c>
      <c r="J1526" s="3">
        <v>19</v>
      </c>
      <c r="K1526" s="3">
        <v>19</v>
      </c>
      <c r="L1526" s="3">
        <v>0</v>
      </c>
      <c r="M1526" s="3">
        <v>0</v>
      </c>
      <c r="N1526" s="3">
        <v>19</v>
      </c>
      <c r="O1526" s="3">
        <v>0.08</v>
      </c>
      <c r="P1526" s="3">
        <v>0</v>
      </c>
      <c r="Q1526" s="3">
        <v>0</v>
      </c>
      <c r="R1526" s="3">
        <v>0</v>
      </c>
    </row>
    <row r="1527" spans="1:18">
      <c r="A1527" s="3" t="s">
        <v>4169</v>
      </c>
      <c r="B1527" s="3" t="s">
        <v>4170</v>
      </c>
      <c r="C1527" s="3" t="s">
        <v>4170</v>
      </c>
      <c r="D1527" s="3"/>
      <c r="E1527" s="3" t="s">
        <v>20</v>
      </c>
      <c r="F1527" s="3"/>
      <c r="G1527" s="3"/>
      <c r="H1527" s="3"/>
      <c r="I1527" s="3"/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/>
      <c r="P1527" s="3">
        <v>0</v>
      </c>
      <c r="Q1527" s="3">
        <v>0</v>
      </c>
      <c r="R1527" s="3">
        <v>0</v>
      </c>
    </row>
    <row r="1528" spans="1:18">
      <c r="A1528" s="3" t="s">
        <v>4171</v>
      </c>
      <c r="B1528" s="3" t="s">
        <v>4172</v>
      </c>
      <c r="C1528" s="3" t="s">
        <v>4172</v>
      </c>
      <c r="D1528" s="3" t="s">
        <v>4173</v>
      </c>
      <c r="E1528" s="3" t="s">
        <v>120</v>
      </c>
      <c r="F1528" s="3">
        <v>22.98</v>
      </c>
      <c r="G1528" s="3" t="s">
        <v>121</v>
      </c>
      <c r="H1528" s="3"/>
      <c r="I1528" s="3" t="s">
        <v>122</v>
      </c>
      <c r="J1528" s="3">
        <v>10</v>
      </c>
      <c r="K1528" s="3">
        <v>10</v>
      </c>
      <c r="L1528" s="3">
        <v>0</v>
      </c>
      <c r="M1528" s="3">
        <v>0</v>
      </c>
      <c r="N1528" s="3">
        <v>10</v>
      </c>
      <c r="O1528" s="3">
        <v>0.08</v>
      </c>
      <c r="P1528" s="3">
        <v>0</v>
      </c>
      <c r="Q1528" s="3">
        <v>0</v>
      </c>
      <c r="R1528" s="3">
        <v>0</v>
      </c>
    </row>
    <row r="1529" spans="1:18">
      <c r="A1529" s="3" t="s">
        <v>4174</v>
      </c>
      <c r="B1529" s="3" t="s">
        <v>4175</v>
      </c>
      <c r="C1529" s="3" t="s">
        <v>4175</v>
      </c>
      <c r="D1529" s="3" t="s">
        <v>4176</v>
      </c>
      <c r="E1529" s="3" t="s">
        <v>120</v>
      </c>
      <c r="F1529" s="3">
        <v>22.98</v>
      </c>
      <c r="G1529" s="3" t="s">
        <v>121</v>
      </c>
      <c r="H1529" s="3"/>
      <c r="I1529" s="3" t="s">
        <v>122</v>
      </c>
      <c r="J1529" s="3">
        <v>16</v>
      </c>
      <c r="K1529" s="3">
        <v>16</v>
      </c>
      <c r="L1529" s="3">
        <v>0</v>
      </c>
      <c r="M1529" s="3">
        <v>0</v>
      </c>
      <c r="N1529" s="3">
        <v>16</v>
      </c>
      <c r="O1529" s="3">
        <v>0.08</v>
      </c>
      <c r="P1529" s="3">
        <v>0</v>
      </c>
      <c r="Q1529" s="3">
        <v>0</v>
      </c>
      <c r="R1529" s="3">
        <v>0</v>
      </c>
    </row>
    <row r="1530" spans="1:18">
      <c r="A1530" s="3" t="s">
        <v>4177</v>
      </c>
      <c r="B1530" s="3" t="s">
        <v>4178</v>
      </c>
      <c r="C1530" s="3" t="s">
        <v>4178</v>
      </c>
      <c r="D1530" s="3" t="s">
        <v>4179</v>
      </c>
      <c r="E1530" s="3" t="s">
        <v>120</v>
      </c>
      <c r="F1530" s="3">
        <v>22.98</v>
      </c>
      <c r="G1530" s="3" t="s">
        <v>121</v>
      </c>
      <c r="H1530" s="3"/>
      <c r="I1530" s="3" t="s">
        <v>122</v>
      </c>
      <c r="J1530" s="3">
        <v>1</v>
      </c>
      <c r="K1530" s="3">
        <v>1</v>
      </c>
      <c r="L1530" s="3">
        <v>0</v>
      </c>
      <c r="M1530" s="3">
        <v>0</v>
      </c>
      <c r="N1530" s="3">
        <v>1</v>
      </c>
      <c r="O1530" s="3">
        <v>0.08</v>
      </c>
      <c r="P1530" s="3">
        <v>0</v>
      </c>
      <c r="Q1530" s="3">
        <v>0</v>
      </c>
      <c r="R1530" s="3">
        <v>0</v>
      </c>
    </row>
    <row r="1531" spans="1:18">
      <c r="A1531" s="3" t="s">
        <v>4180</v>
      </c>
      <c r="B1531" s="3" t="s">
        <v>4181</v>
      </c>
      <c r="C1531" s="3" t="s">
        <v>4181</v>
      </c>
      <c r="D1531" s="3" t="s">
        <v>4182</v>
      </c>
      <c r="E1531" s="3" t="s">
        <v>120</v>
      </c>
      <c r="F1531" s="3">
        <v>22.98</v>
      </c>
      <c r="G1531" s="3" t="s">
        <v>121</v>
      </c>
      <c r="H1531" s="3"/>
      <c r="I1531" s="3" t="s">
        <v>122</v>
      </c>
      <c r="J1531" s="3">
        <v>19</v>
      </c>
      <c r="K1531" s="3">
        <v>18</v>
      </c>
      <c r="L1531" s="3">
        <v>0</v>
      </c>
      <c r="M1531" s="3">
        <v>1</v>
      </c>
      <c r="N1531" s="3">
        <v>19</v>
      </c>
      <c r="O1531" s="3">
        <v>0.08</v>
      </c>
      <c r="P1531" s="3">
        <v>0</v>
      </c>
      <c r="Q1531" s="3">
        <v>0</v>
      </c>
      <c r="R1531" s="3">
        <v>0</v>
      </c>
    </row>
    <row r="1532" spans="1:18">
      <c r="A1532" s="3" t="s">
        <v>4183</v>
      </c>
      <c r="B1532" s="3" t="s">
        <v>4184</v>
      </c>
      <c r="C1532" s="3" t="s">
        <v>4184</v>
      </c>
      <c r="D1532" s="3" t="s">
        <v>4185</v>
      </c>
      <c r="E1532" s="3" t="s">
        <v>120</v>
      </c>
      <c r="F1532" s="3">
        <v>22.98</v>
      </c>
      <c r="G1532" s="3" t="s">
        <v>121</v>
      </c>
      <c r="H1532" s="3"/>
      <c r="I1532" s="3" t="s">
        <v>122</v>
      </c>
      <c r="J1532" s="3">
        <v>0</v>
      </c>
      <c r="K1532" s="3">
        <v>0</v>
      </c>
      <c r="L1532" s="3">
        <v>0</v>
      </c>
      <c r="M1532" s="3">
        <v>0</v>
      </c>
      <c r="N1532" s="3">
        <v>0</v>
      </c>
      <c r="O1532" s="3">
        <v>0.08</v>
      </c>
      <c r="P1532" s="3">
        <v>0</v>
      </c>
      <c r="Q1532" s="3">
        <v>0</v>
      </c>
      <c r="R1532" s="3">
        <v>0</v>
      </c>
    </row>
    <row r="1533" spans="1:18">
      <c r="A1533" s="3" t="s">
        <v>4186</v>
      </c>
      <c r="B1533" s="3" t="s">
        <v>4187</v>
      </c>
      <c r="C1533" s="3" t="s">
        <v>4187</v>
      </c>
      <c r="D1533" s="3" t="s">
        <v>4188</v>
      </c>
      <c r="E1533" s="3" t="s">
        <v>120</v>
      </c>
      <c r="F1533" s="3">
        <v>22.98</v>
      </c>
      <c r="G1533" s="3" t="s">
        <v>121</v>
      </c>
      <c r="H1533" s="3"/>
      <c r="I1533" s="3" t="s">
        <v>122</v>
      </c>
      <c r="J1533" s="3">
        <v>25</v>
      </c>
      <c r="K1533" s="3">
        <v>24</v>
      </c>
      <c r="L1533" s="3">
        <v>0</v>
      </c>
      <c r="M1533" s="3">
        <v>1</v>
      </c>
      <c r="N1533" s="3">
        <v>25</v>
      </c>
      <c r="O1533" s="3">
        <v>0.08</v>
      </c>
      <c r="P1533" s="3">
        <v>0</v>
      </c>
      <c r="Q1533" s="3">
        <v>0</v>
      </c>
      <c r="R1533" s="3">
        <v>0</v>
      </c>
    </row>
    <row r="1534" spans="1:18">
      <c r="A1534" s="3" t="s">
        <v>4189</v>
      </c>
      <c r="B1534" s="3" t="s">
        <v>4190</v>
      </c>
      <c r="C1534" s="3" t="s">
        <v>4190</v>
      </c>
      <c r="D1534" s="3" t="s">
        <v>4191</v>
      </c>
      <c r="E1534" s="3" t="s">
        <v>120</v>
      </c>
      <c r="F1534" s="3">
        <v>22.98</v>
      </c>
      <c r="G1534" s="3" t="s">
        <v>121</v>
      </c>
      <c r="H1534" s="3"/>
      <c r="I1534" s="3" t="s">
        <v>122</v>
      </c>
      <c r="J1534" s="3">
        <v>2</v>
      </c>
      <c r="K1534" s="3">
        <v>2</v>
      </c>
      <c r="L1534" s="3">
        <v>0</v>
      </c>
      <c r="M1534" s="3">
        <v>0</v>
      </c>
      <c r="N1534" s="3">
        <v>2</v>
      </c>
      <c r="O1534" s="3">
        <v>0.08</v>
      </c>
      <c r="P1534" s="3">
        <v>0</v>
      </c>
      <c r="Q1534" s="3">
        <v>0</v>
      </c>
      <c r="R1534" s="3">
        <v>0</v>
      </c>
    </row>
    <row r="1535" spans="1:18">
      <c r="A1535" s="3" t="s">
        <v>4192</v>
      </c>
      <c r="B1535" s="3" t="s">
        <v>4193</v>
      </c>
      <c r="C1535" s="3" t="s">
        <v>4193</v>
      </c>
      <c r="D1535" s="3" t="s">
        <v>4194</v>
      </c>
      <c r="E1535" s="3" t="s">
        <v>120</v>
      </c>
      <c r="F1535" s="3">
        <v>22.98</v>
      </c>
      <c r="G1535" s="3" t="s">
        <v>121</v>
      </c>
      <c r="H1535" s="3"/>
      <c r="I1535" s="3" t="s">
        <v>122</v>
      </c>
      <c r="J1535" s="3">
        <v>8</v>
      </c>
      <c r="K1535" s="3">
        <v>7</v>
      </c>
      <c r="L1535" s="3">
        <v>0</v>
      </c>
      <c r="M1535" s="3">
        <v>1</v>
      </c>
      <c r="N1535" s="3">
        <v>8</v>
      </c>
      <c r="O1535" s="3">
        <v>0.08</v>
      </c>
      <c r="P1535" s="3">
        <v>0</v>
      </c>
      <c r="Q1535" s="3">
        <v>0</v>
      </c>
      <c r="R1535" s="3">
        <v>0</v>
      </c>
    </row>
    <row r="1536" spans="1:18">
      <c r="A1536" s="3" t="s">
        <v>4195</v>
      </c>
      <c r="B1536" s="3" t="s">
        <v>4196</v>
      </c>
      <c r="C1536" s="3" t="s">
        <v>4196</v>
      </c>
      <c r="D1536" s="3" t="s">
        <v>4197</v>
      </c>
      <c r="E1536" s="3" t="s">
        <v>120</v>
      </c>
      <c r="F1536" s="3">
        <v>22.98</v>
      </c>
      <c r="G1536" s="3" t="s">
        <v>121</v>
      </c>
      <c r="H1536" s="3"/>
      <c r="I1536" s="3" t="s">
        <v>122</v>
      </c>
      <c r="J1536" s="3">
        <v>11</v>
      </c>
      <c r="K1536" s="3">
        <v>11</v>
      </c>
      <c r="L1536" s="3">
        <v>0</v>
      </c>
      <c r="M1536" s="3">
        <v>0</v>
      </c>
      <c r="N1536" s="3">
        <v>11</v>
      </c>
      <c r="O1536" s="3">
        <v>0.08</v>
      </c>
      <c r="P1536" s="3">
        <v>0</v>
      </c>
      <c r="Q1536" s="3">
        <v>0</v>
      </c>
      <c r="R1536" s="3">
        <v>0</v>
      </c>
    </row>
    <row r="1537" spans="1:18">
      <c r="A1537" s="3" t="s">
        <v>4198</v>
      </c>
      <c r="B1537" s="3" t="s">
        <v>4199</v>
      </c>
      <c r="C1537" s="3" t="s">
        <v>4199</v>
      </c>
      <c r="D1537" s="3" t="s">
        <v>4200</v>
      </c>
      <c r="E1537" s="3" t="s">
        <v>120</v>
      </c>
      <c r="F1537" s="3">
        <v>22.98</v>
      </c>
      <c r="G1537" s="3" t="s">
        <v>121</v>
      </c>
      <c r="H1537" s="3"/>
      <c r="I1537" s="3" t="s">
        <v>122</v>
      </c>
      <c r="J1537" s="3">
        <v>15</v>
      </c>
      <c r="K1537" s="3">
        <v>15</v>
      </c>
      <c r="L1537" s="3">
        <v>0</v>
      </c>
      <c r="M1537" s="3">
        <v>0</v>
      </c>
      <c r="N1537" s="3">
        <v>15</v>
      </c>
      <c r="O1537" s="3">
        <v>0.08</v>
      </c>
      <c r="P1537" s="3">
        <v>0</v>
      </c>
      <c r="Q1537" s="3">
        <v>0</v>
      </c>
      <c r="R1537" s="3">
        <v>0</v>
      </c>
    </row>
    <row r="1538" spans="1:18">
      <c r="A1538" s="3" t="s">
        <v>4201</v>
      </c>
      <c r="B1538" s="3" t="s">
        <v>4202</v>
      </c>
      <c r="C1538" s="3" t="s">
        <v>4202</v>
      </c>
      <c r="D1538" s="3"/>
      <c r="E1538" s="3" t="s">
        <v>20</v>
      </c>
      <c r="F1538" s="3"/>
      <c r="G1538" s="3"/>
      <c r="H1538" s="3"/>
      <c r="I1538" s="3"/>
      <c r="J1538" s="3">
        <v>0</v>
      </c>
      <c r="K1538" s="3">
        <v>0</v>
      </c>
      <c r="L1538" s="3">
        <v>0</v>
      </c>
      <c r="M1538" s="3">
        <v>0</v>
      </c>
      <c r="N1538" s="3">
        <v>0</v>
      </c>
      <c r="O1538" s="3"/>
      <c r="P1538" s="3">
        <v>0</v>
      </c>
      <c r="Q1538" s="3">
        <v>0</v>
      </c>
      <c r="R1538" s="3">
        <v>0</v>
      </c>
    </row>
    <row r="1539" spans="1:18">
      <c r="A1539" s="3" t="s">
        <v>4203</v>
      </c>
      <c r="B1539" s="3" t="s">
        <v>4204</v>
      </c>
      <c r="C1539" s="3" t="s">
        <v>4204</v>
      </c>
      <c r="D1539" s="3"/>
      <c r="E1539" s="3" t="s">
        <v>20</v>
      </c>
      <c r="F1539" s="3"/>
      <c r="G1539" s="3"/>
      <c r="H1539" s="3"/>
      <c r="I1539" s="3"/>
      <c r="J1539" s="3">
        <v>0</v>
      </c>
      <c r="K1539" s="3">
        <v>0</v>
      </c>
      <c r="L1539" s="3">
        <v>0</v>
      </c>
      <c r="M1539" s="3">
        <v>0</v>
      </c>
      <c r="N1539" s="3">
        <v>0</v>
      </c>
      <c r="O1539" s="3"/>
      <c r="P1539" s="3">
        <v>0</v>
      </c>
      <c r="Q1539" s="3">
        <v>0</v>
      </c>
      <c r="R1539" s="3">
        <v>0</v>
      </c>
    </row>
    <row r="1540" spans="1:18">
      <c r="A1540" s="3" t="s">
        <v>4205</v>
      </c>
      <c r="B1540" s="3" t="s">
        <v>4206</v>
      </c>
      <c r="C1540" s="3" t="s">
        <v>4206</v>
      </c>
      <c r="D1540" s="3" t="s">
        <v>4207</v>
      </c>
      <c r="E1540" s="3" t="s">
        <v>120</v>
      </c>
      <c r="F1540" s="3">
        <v>22.98</v>
      </c>
      <c r="G1540" s="3" t="s">
        <v>121</v>
      </c>
      <c r="H1540" s="3"/>
      <c r="I1540" s="3" t="s">
        <v>122</v>
      </c>
      <c r="J1540" s="3">
        <v>1</v>
      </c>
      <c r="K1540" s="3">
        <v>1</v>
      </c>
      <c r="L1540" s="3">
        <v>0</v>
      </c>
      <c r="M1540" s="3">
        <v>0</v>
      </c>
      <c r="N1540" s="3">
        <v>1</v>
      </c>
      <c r="O1540" s="3">
        <v>0.08</v>
      </c>
      <c r="P1540" s="3">
        <v>0</v>
      </c>
      <c r="Q1540" s="3">
        <v>0</v>
      </c>
      <c r="R1540" s="3">
        <v>0</v>
      </c>
    </row>
    <row r="1541" spans="1:18">
      <c r="A1541" s="3" t="s">
        <v>4208</v>
      </c>
      <c r="B1541" s="3" t="s">
        <v>4209</v>
      </c>
      <c r="C1541" s="3" t="s">
        <v>4209</v>
      </c>
      <c r="D1541" s="3"/>
      <c r="E1541" s="3" t="s">
        <v>20</v>
      </c>
      <c r="F1541" s="3"/>
      <c r="G1541" s="3"/>
      <c r="H1541" s="3"/>
      <c r="I1541" s="3"/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/>
      <c r="P1541" s="3">
        <v>0</v>
      </c>
      <c r="Q1541" s="3">
        <v>0</v>
      </c>
      <c r="R1541" s="3">
        <v>0</v>
      </c>
    </row>
    <row r="1542" spans="1:18">
      <c r="A1542" s="3" t="s">
        <v>4210</v>
      </c>
      <c r="B1542" s="3" t="s">
        <v>4211</v>
      </c>
      <c r="C1542" s="3" t="s">
        <v>4211</v>
      </c>
      <c r="D1542" s="3" t="s">
        <v>4212</v>
      </c>
      <c r="E1542" s="3" t="s">
        <v>120</v>
      </c>
      <c r="F1542" s="3">
        <v>22.98</v>
      </c>
      <c r="G1542" s="3" t="s">
        <v>121</v>
      </c>
      <c r="H1542" s="3"/>
      <c r="I1542" s="3" t="s">
        <v>122</v>
      </c>
      <c r="J1542" s="3">
        <v>15</v>
      </c>
      <c r="K1542" s="3">
        <v>15</v>
      </c>
      <c r="L1542" s="3">
        <v>0</v>
      </c>
      <c r="M1542" s="3">
        <v>0</v>
      </c>
      <c r="N1542" s="3">
        <v>15</v>
      </c>
      <c r="O1542" s="3">
        <v>0.11</v>
      </c>
      <c r="P1542" s="3">
        <v>0</v>
      </c>
      <c r="Q1542" s="3">
        <v>0</v>
      </c>
      <c r="R1542" s="3">
        <v>0</v>
      </c>
    </row>
    <row r="1543" spans="1:18">
      <c r="A1543" s="3" t="s">
        <v>4213</v>
      </c>
      <c r="B1543" s="3" t="s">
        <v>4214</v>
      </c>
      <c r="C1543" s="3" t="s">
        <v>4214</v>
      </c>
      <c r="D1543" s="3" t="s">
        <v>4215</v>
      </c>
      <c r="E1543" s="3" t="s">
        <v>120</v>
      </c>
      <c r="F1543" s="3">
        <v>22.98</v>
      </c>
      <c r="G1543" s="3" t="s">
        <v>121</v>
      </c>
      <c r="H1543" s="3"/>
      <c r="I1543" s="3" t="s">
        <v>122</v>
      </c>
      <c r="J1543" s="3">
        <v>5</v>
      </c>
      <c r="K1543" s="3">
        <v>5</v>
      </c>
      <c r="L1543" s="3">
        <v>0</v>
      </c>
      <c r="M1543" s="3">
        <v>0</v>
      </c>
      <c r="N1543" s="3">
        <v>5</v>
      </c>
      <c r="O1543" s="3">
        <v>0.08</v>
      </c>
      <c r="P1543" s="3">
        <v>0</v>
      </c>
      <c r="Q1543" s="3">
        <v>0</v>
      </c>
      <c r="R1543" s="3">
        <v>0</v>
      </c>
    </row>
    <row r="1544" spans="1:18">
      <c r="A1544" s="3" t="s">
        <v>4216</v>
      </c>
      <c r="B1544" s="3" t="s">
        <v>4217</v>
      </c>
      <c r="C1544" s="3" t="s">
        <v>4217</v>
      </c>
      <c r="D1544" s="3" t="s">
        <v>4218</v>
      </c>
      <c r="E1544" s="3" t="s">
        <v>120</v>
      </c>
      <c r="F1544" s="3">
        <v>22.98</v>
      </c>
      <c r="G1544" s="3" t="s">
        <v>121</v>
      </c>
      <c r="H1544" s="3"/>
      <c r="I1544" s="3" t="s">
        <v>122</v>
      </c>
      <c r="J1544" s="3">
        <v>1</v>
      </c>
      <c r="K1544" s="3">
        <v>1</v>
      </c>
      <c r="L1544" s="3">
        <v>0</v>
      </c>
      <c r="M1544" s="3">
        <v>0</v>
      </c>
      <c r="N1544" s="3">
        <v>1</v>
      </c>
      <c r="O1544" s="3">
        <v>0.07</v>
      </c>
      <c r="P1544" s="3">
        <v>0</v>
      </c>
      <c r="Q1544" s="3">
        <v>0</v>
      </c>
      <c r="R1544" s="3">
        <v>0</v>
      </c>
    </row>
    <row r="1545" spans="1:18">
      <c r="A1545" s="3" t="s">
        <v>4219</v>
      </c>
      <c r="B1545" s="3" t="s">
        <v>4220</v>
      </c>
      <c r="C1545" s="3" t="s">
        <v>4220</v>
      </c>
      <c r="D1545" s="3" t="s">
        <v>4221</v>
      </c>
      <c r="E1545" s="3" t="s">
        <v>120</v>
      </c>
      <c r="F1545" s="3">
        <v>22.98</v>
      </c>
      <c r="G1545" s="3" t="s">
        <v>121</v>
      </c>
      <c r="H1545" s="3"/>
      <c r="I1545" s="3" t="s">
        <v>122</v>
      </c>
      <c r="J1545" s="3">
        <v>19</v>
      </c>
      <c r="K1545" s="3">
        <v>17</v>
      </c>
      <c r="L1545" s="3">
        <v>0</v>
      </c>
      <c r="M1545" s="3">
        <v>2</v>
      </c>
      <c r="N1545" s="3">
        <v>19</v>
      </c>
      <c r="O1545" s="3">
        <v>0.08</v>
      </c>
      <c r="P1545" s="3">
        <v>0</v>
      </c>
      <c r="Q1545" s="3">
        <v>0</v>
      </c>
      <c r="R1545" s="3">
        <v>0</v>
      </c>
    </row>
    <row r="1546" spans="1:18">
      <c r="A1546" s="3" t="s">
        <v>4222</v>
      </c>
      <c r="B1546" s="3" t="s">
        <v>4223</v>
      </c>
      <c r="C1546" s="3" t="s">
        <v>4223</v>
      </c>
      <c r="D1546" s="3" t="s">
        <v>4224</v>
      </c>
      <c r="E1546" s="3" t="s">
        <v>120</v>
      </c>
      <c r="F1546" s="3">
        <v>22.98</v>
      </c>
      <c r="G1546" s="3" t="s">
        <v>121</v>
      </c>
      <c r="H1546" s="3"/>
      <c r="I1546" s="3" t="s">
        <v>122</v>
      </c>
      <c r="J1546" s="3">
        <v>22</v>
      </c>
      <c r="K1546" s="3">
        <v>21</v>
      </c>
      <c r="L1546" s="3">
        <v>0</v>
      </c>
      <c r="M1546" s="3">
        <v>1</v>
      </c>
      <c r="N1546" s="3">
        <v>22</v>
      </c>
      <c r="O1546" s="3">
        <v>0.08</v>
      </c>
      <c r="P1546" s="3">
        <v>0</v>
      </c>
      <c r="Q1546" s="3">
        <v>0</v>
      </c>
      <c r="R1546" s="3">
        <v>0</v>
      </c>
    </row>
    <row r="1547" spans="1:18">
      <c r="A1547" s="3" t="s">
        <v>4225</v>
      </c>
      <c r="B1547" s="3" t="s">
        <v>4226</v>
      </c>
      <c r="C1547" s="3" t="s">
        <v>4226</v>
      </c>
      <c r="D1547" s="3" t="s">
        <v>4227</v>
      </c>
      <c r="E1547" s="3" t="s">
        <v>120</v>
      </c>
      <c r="F1547" s="3">
        <v>22.98</v>
      </c>
      <c r="G1547" s="3" t="s">
        <v>121</v>
      </c>
      <c r="H1547" s="3"/>
      <c r="I1547" s="3" t="s">
        <v>122</v>
      </c>
      <c r="J1547" s="3">
        <v>19</v>
      </c>
      <c r="K1547" s="3">
        <v>19</v>
      </c>
      <c r="L1547" s="3">
        <v>0</v>
      </c>
      <c r="M1547" s="3">
        <v>0</v>
      </c>
      <c r="N1547" s="3">
        <v>19</v>
      </c>
      <c r="O1547" s="3">
        <v>0.08</v>
      </c>
      <c r="P1547" s="3">
        <v>0</v>
      </c>
      <c r="Q1547" s="3">
        <v>0</v>
      </c>
      <c r="R1547" s="3">
        <v>0</v>
      </c>
    </row>
    <row r="1548" spans="1:18">
      <c r="A1548" s="3" t="s">
        <v>4228</v>
      </c>
      <c r="B1548" s="3" t="s">
        <v>4229</v>
      </c>
      <c r="C1548" s="3" t="s">
        <v>4229</v>
      </c>
      <c r="D1548" s="3" t="s">
        <v>4230</v>
      </c>
      <c r="E1548" s="3" t="s">
        <v>120</v>
      </c>
      <c r="F1548" s="3">
        <v>22.98</v>
      </c>
      <c r="G1548" s="3" t="s">
        <v>121</v>
      </c>
      <c r="H1548" s="3"/>
      <c r="I1548" s="3" t="s">
        <v>122</v>
      </c>
      <c r="J1548" s="3">
        <v>1</v>
      </c>
      <c r="K1548" s="3">
        <v>1</v>
      </c>
      <c r="L1548" s="3">
        <v>0</v>
      </c>
      <c r="M1548" s="3">
        <v>0</v>
      </c>
      <c r="N1548" s="3">
        <v>1</v>
      </c>
      <c r="O1548" s="3">
        <v>0.08</v>
      </c>
      <c r="P1548" s="3">
        <v>0</v>
      </c>
      <c r="Q1548" s="3">
        <v>0</v>
      </c>
      <c r="R1548" s="3">
        <v>0</v>
      </c>
    </row>
    <row r="1549" spans="1:18">
      <c r="A1549" s="3" t="s">
        <v>4231</v>
      </c>
      <c r="B1549" s="3" t="s">
        <v>4232</v>
      </c>
      <c r="C1549" s="3" t="s">
        <v>4232</v>
      </c>
      <c r="D1549" s="3" t="s">
        <v>4233</v>
      </c>
      <c r="E1549" s="3" t="s">
        <v>120</v>
      </c>
      <c r="F1549" s="3">
        <v>22.98</v>
      </c>
      <c r="G1549" s="3" t="s">
        <v>121</v>
      </c>
      <c r="H1549" s="3"/>
      <c r="I1549" s="3" t="s">
        <v>122</v>
      </c>
      <c r="J1549" s="3">
        <v>11</v>
      </c>
      <c r="K1549" s="3">
        <v>11</v>
      </c>
      <c r="L1549" s="3">
        <v>0</v>
      </c>
      <c r="M1549" s="3">
        <v>0</v>
      </c>
      <c r="N1549" s="3">
        <v>11</v>
      </c>
      <c r="O1549" s="3">
        <v>0.08</v>
      </c>
      <c r="P1549" s="3">
        <v>0</v>
      </c>
      <c r="Q1549" s="3">
        <v>0</v>
      </c>
      <c r="R1549" s="3">
        <v>0</v>
      </c>
    </row>
    <row r="1550" spans="1:18">
      <c r="A1550" s="3" t="s">
        <v>4234</v>
      </c>
      <c r="B1550" s="3" t="s">
        <v>4235</v>
      </c>
      <c r="C1550" s="3" t="s">
        <v>4235</v>
      </c>
      <c r="D1550" s="3" t="s">
        <v>4236</v>
      </c>
      <c r="E1550" s="3" t="s">
        <v>120</v>
      </c>
      <c r="F1550" s="3">
        <v>23.98</v>
      </c>
      <c r="G1550" s="3" t="s">
        <v>121</v>
      </c>
      <c r="H1550" s="3"/>
      <c r="I1550" s="3" t="s">
        <v>122</v>
      </c>
      <c r="J1550" s="3">
        <v>15</v>
      </c>
      <c r="K1550" s="3">
        <v>15</v>
      </c>
      <c r="L1550" s="3">
        <v>0</v>
      </c>
      <c r="M1550" s="3">
        <v>0</v>
      </c>
      <c r="N1550" s="3">
        <v>15</v>
      </c>
      <c r="O1550" s="3">
        <v>0.09</v>
      </c>
      <c r="P1550" s="3">
        <v>0</v>
      </c>
      <c r="Q1550" s="3">
        <v>0</v>
      </c>
      <c r="R1550" s="3">
        <v>0</v>
      </c>
    </row>
    <row r="1551" spans="1:18">
      <c r="A1551" s="3" t="s">
        <v>4237</v>
      </c>
      <c r="B1551" s="3" t="s">
        <v>4238</v>
      </c>
      <c r="C1551" s="3" t="s">
        <v>4238</v>
      </c>
      <c r="D1551" s="3" t="s">
        <v>4239</v>
      </c>
      <c r="E1551" s="3" t="s">
        <v>120</v>
      </c>
      <c r="F1551" s="3">
        <v>23.98</v>
      </c>
      <c r="G1551" s="3" t="s">
        <v>121</v>
      </c>
      <c r="H1551" s="3"/>
      <c r="I1551" s="3" t="s">
        <v>122</v>
      </c>
      <c r="J1551" s="3">
        <v>13</v>
      </c>
      <c r="K1551" s="3">
        <v>13</v>
      </c>
      <c r="L1551" s="3">
        <v>0</v>
      </c>
      <c r="M1551" s="3">
        <v>0</v>
      </c>
      <c r="N1551" s="3">
        <v>13</v>
      </c>
      <c r="O1551" s="3">
        <v>0.11</v>
      </c>
      <c r="P1551" s="3">
        <v>0</v>
      </c>
      <c r="Q1551" s="3">
        <v>0</v>
      </c>
      <c r="R1551" s="3">
        <v>0</v>
      </c>
    </row>
    <row r="1552" spans="1:18">
      <c r="A1552" s="3" t="s">
        <v>4240</v>
      </c>
      <c r="B1552" s="3" t="s">
        <v>4241</v>
      </c>
      <c r="C1552" s="3" t="s">
        <v>4241</v>
      </c>
      <c r="D1552" s="3" t="s">
        <v>4242</v>
      </c>
      <c r="E1552" s="3" t="s">
        <v>120</v>
      </c>
      <c r="F1552" s="3">
        <v>23.98</v>
      </c>
      <c r="G1552" s="3" t="s">
        <v>121</v>
      </c>
      <c r="H1552" s="3"/>
      <c r="I1552" s="3" t="s">
        <v>122</v>
      </c>
      <c r="J1552" s="3">
        <v>2</v>
      </c>
      <c r="K1552" s="3">
        <v>2</v>
      </c>
      <c r="L1552" s="3">
        <v>0</v>
      </c>
      <c r="M1552" s="3">
        <v>0</v>
      </c>
      <c r="N1552" s="3">
        <v>2</v>
      </c>
      <c r="O1552" s="3">
        <v>0.19</v>
      </c>
      <c r="P1552" s="3">
        <v>0</v>
      </c>
      <c r="Q1552" s="3">
        <v>0</v>
      </c>
      <c r="R1552" s="3">
        <v>0</v>
      </c>
    </row>
    <row r="1553" spans="1:18">
      <c r="A1553" s="3" t="s">
        <v>4243</v>
      </c>
      <c r="B1553" s="3" t="s">
        <v>4244</v>
      </c>
      <c r="C1553" s="3" t="s">
        <v>4244</v>
      </c>
      <c r="D1553" s="3" t="s">
        <v>4245</v>
      </c>
      <c r="E1553" s="3" t="s">
        <v>120</v>
      </c>
      <c r="F1553" s="3">
        <v>23.98</v>
      </c>
      <c r="G1553" s="3" t="s">
        <v>121</v>
      </c>
      <c r="H1553" s="3"/>
      <c r="I1553" s="3" t="s">
        <v>122</v>
      </c>
      <c r="J1553" s="3">
        <v>23</v>
      </c>
      <c r="K1553" s="3">
        <v>23</v>
      </c>
      <c r="L1553" s="3">
        <v>0</v>
      </c>
      <c r="M1553" s="3">
        <v>0</v>
      </c>
      <c r="N1553" s="3">
        <v>23</v>
      </c>
      <c r="O1553" s="3">
        <v>0.13</v>
      </c>
      <c r="P1553" s="3">
        <v>0</v>
      </c>
      <c r="Q1553" s="3">
        <v>0</v>
      </c>
      <c r="R1553" s="3">
        <v>0</v>
      </c>
    </row>
    <row r="1554" spans="1:18">
      <c r="A1554" s="3" t="s">
        <v>4246</v>
      </c>
      <c r="B1554" s="3" t="s">
        <v>4247</v>
      </c>
      <c r="C1554" s="3" t="s">
        <v>4247</v>
      </c>
      <c r="D1554" s="3" t="s">
        <v>4248</v>
      </c>
      <c r="E1554" s="3" t="s">
        <v>120</v>
      </c>
      <c r="F1554" s="3">
        <v>23.98</v>
      </c>
      <c r="G1554" s="3" t="s">
        <v>121</v>
      </c>
      <c r="H1554" s="3"/>
      <c r="I1554" s="3" t="s">
        <v>122</v>
      </c>
      <c r="J1554" s="3">
        <v>18</v>
      </c>
      <c r="K1554" s="3">
        <v>18</v>
      </c>
      <c r="L1554" s="3">
        <v>0</v>
      </c>
      <c r="M1554" s="3">
        <v>0</v>
      </c>
      <c r="N1554" s="3">
        <v>18</v>
      </c>
      <c r="O1554" s="3">
        <v>0.17</v>
      </c>
      <c r="P1554" s="3">
        <v>0</v>
      </c>
      <c r="Q1554" s="3">
        <v>0</v>
      </c>
      <c r="R1554" s="3">
        <v>0</v>
      </c>
    </row>
    <row r="1555" spans="1:18">
      <c r="A1555" s="3" t="s">
        <v>4249</v>
      </c>
      <c r="B1555" s="3" t="s">
        <v>4250</v>
      </c>
      <c r="C1555" s="3" t="s">
        <v>4250</v>
      </c>
      <c r="D1555" s="3" t="s">
        <v>4251</v>
      </c>
      <c r="E1555" s="3" t="s">
        <v>120</v>
      </c>
      <c r="F1555" s="3">
        <v>23.98</v>
      </c>
      <c r="G1555" s="3" t="s">
        <v>121</v>
      </c>
      <c r="H1555" s="3"/>
      <c r="I1555" s="3" t="s">
        <v>122</v>
      </c>
      <c r="J1555" s="3">
        <v>15</v>
      </c>
      <c r="K1555" s="3">
        <v>15</v>
      </c>
      <c r="L1555" s="3">
        <v>0</v>
      </c>
      <c r="M1555" s="3">
        <v>0</v>
      </c>
      <c r="N1555" s="3">
        <v>15</v>
      </c>
      <c r="O1555" s="3">
        <v>0.17</v>
      </c>
      <c r="P1555" s="3">
        <v>0</v>
      </c>
      <c r="Q1555" s="3">
        <v>0</v>
      </c>
      <c r="R1555" s="3">
        <v>0</v>
      </c>
    </row>
    <row r="1556" spans="1:18">
      <c r="A1556" s="3" t="s">
        <v>4252</v>
      </c>
      <c r="B1556" s="3" t="s">
        <v>4253</v>
      </c>
      <c r="C1556" s="3" t="s">
        <v>4253</v>
      </c>
      <c r="D1556" s="3" t="s">
        <v>4254</v>
      </c>
      <c r="E1556" s="3" t="s">
        <v>120</v>
      </c>
      <c r="F1556" s="3">
        <v>23.98</v>
      </c>
      <c r="G1556" s="3" t="s">
        <v>121</v>
      </c>
      <c r="H1556" s="3"/>
      <c r="I1556" s="3" t="s">
        <v>122</v>
      </c>
      <c r="J1556" s="3">
        <v>9</v>
      </c>
      <c r="K1556" s="3">
        <v>9</v>
      </c>
      <c r="L1556" s="3">
        <v>0</v>
      </c>
      <c r="M1556" s="3">
        <v>0</v>
      </c>
      <c r="N1556" s="3">
        <v>9</v>
      </c>
      <c r="O1556" s="3">
        <v>0.13</v>
      </c>
      <c r="P1556" s="3">
        <v>0</v>
      </c>
      <c r="Q1556" s="3">
        <v>0</v>
      </c>
      <c r="R1556" s="3">
        <v>0</v>
      </c>
    </row>
    <row r="1557" spans="1:18">
      <c r="A1557" s="3" t="s">
        <v>4255</v>
      </c>
      <c r="B1557" s="3" t="s">
        <v>4256</v>
      </c>
      <c r="C1557" s="3" t="s">
        <v>4256</v>
      </c>
      <c r="D1557" s="3" t="s">
        <v>4257</v>
      </c>
      <c r="E1557" s="3" t="s">
        <v>120</v>
      </c>
      <c r="F1557" s="3">
        <v>23.98</v>
      </c>
      <c r="G1557" s="3" t="s">
        <v>121</v>
      </c>
      <c r="H1557" s="3"/>
      <c r="I1557" s="3" t="s">
        <v>122</v>
      </c>
      <c r="J1557" s="3">
        <v>18</v>
      </c>
      <c r="K1557" s="3">
        <v>18</v>
      </c>
      <c r="L1557" s="3">
        <v>0</v>
      </c>
      <c r="M1557" s="3">
        <v>0</v>
      </c>
      <c r="N1557" s="3">
        <v>18</v>
      </c>
      <c r="O1557" s="3">
        <v>0.17</v>
      </c>
      <c r="P1557" s="3">
        <v>0</v>
      </c>
      <c r="Q1557" s="3">
        <v>0</v>
      </c>
      <c r="R1557" s="3">
        <v>0</v>
      </c>
    </row>
    <row r="1558" spans="1:18">
      <c r="A1558" s="3" t="s">
        <v>4258</v>
      </c>
      <c r="B1558" s="3" t="s">
        <v>4259</v>
      </c>
      <c r="C1558" s="3" t="s">
        <v>4259</v>
      </c>
      <c r="D1558" s="3" t="s">
        <v>4260</v>
      </c>
      <c r="E1558" s="3" t="s">
        <v>120</v>
      </c>
      <c r="F1558" s="3">
        <v>23.98</v>
      </c>
      <c r="G1558" s="3" t="s">
        <v>121</v>
      </c>
      <c r="H1558" s="3"/>
      <c r="I1558" s="3" t="s">
        <v>122</v>
      </c>
      <c r="J1558" s="3">
        <v>15</v>
      </c>
      <c r="K1558" s="3">
        <v>15</v>
      </c>
      <c r="L1558" s="3">
        <v>0</v>
      </c>
      <c r="M1558" s="3">
        <v>0</v>
      </c>
      <c r="N1558" s="3">
        <v>15</v>
      </c>
      <c r="O1558" s="3">
        <v>0.17</v>
      </c>
      <c r="P1558" s="3">
        <v>0</v>
      </c>
      <c r="Q1558" s="3">
        <v>0</v>
      </c>
      <c r="R1558" s="3">
        <v>0</v>
      </c>
    </row>
    <row r="1559" spans="1:18">
      <c r="A1559" s="3" t="s">
        <v>4261</v>
      </c>
      <c r="B1559" s="3" t="s">
        <v>4262</v>
      </c>
      <c r="C1559" s="3" t="s">
        <v>4262</v>
      </c>
      <c r="D1559" s="3" t="s">
        <v>4263</v>
      </c>
      <c r="E1559" s="3" t="s">
        <v>120</v>
      </c>
      <c r="F1559" s="3">
        <v>23.98</v>
      </c>
      <c r="G1559" s="3" t="s">
        <v>121</v>
      </c>
      <c r="H1559" s="3"/>
      <c r="I1559" s="3" t="s">
        <v>122</v>
      </c>
      <c r="J1559" s="3">
        <v>11</v>
      </c>
      <c r="K1559" s="3">
        <v>11</v>
      </c>
      <c r="L1559" s="3">
        <v>0</v>
      </c>
      <c r="M1559" s="3">
        <v>0</v>
      </c>
      <c r="N1559" s="3">
        <v>11</v>
      </c>
      <c r="O1559" s="3">
        <v>0.1</v>
      </c>
      <c r="P1559" s="3">
        <v>0</v>
      </c>
      <c r="Q1559" s="3">
        <v>0</v>
      </c>
      <c r="R1559" s="3">
        <v>0</v>
      </c>
    </row>
    <row r="1560" spans="1:18">
      <c r="A1560" s="3" t="s">
        <v>4264</v>
      </c>
      <c r="B1560" s="3" t="s">
        <v>4265</v>
      </c>
      <c r="C1560" s="3" t="s">
        <v>4265</v>
      </c>
      <c r="D1560" s="3" t="s">
        <v>4266</v>
      </c>
      <c r="E1560" s="3" t="s">
        <v>120</v>
      </c>
      <c r="F1560" s="3">
        <v>23.98</v>
      </c>
      <c r="G1560" s="3" t="s">
        <v>121</v>
      </c>
      <c r="H1560" s="3"/>
      <c r="I1560" s="3" t="s">
        <v>122</v>
      </c>
      <c r="J1560" s="3">
        <v>2</v>
      </c>
      <c r="K1560" s="3">
        <v>2</v>
      </c>
      <c r="L1560" s="3">
        <v>0</v>
      </c>
      <c r="M1560" s="3">
        <v>0</v>
      </c>
      <c r="N1560" s="3">
        <v>2</v>
      </c>
      <c r="O1560" s="3">
        <v>0.12</v>
      </c>
      <c r="P1560" s="3">
        <v>0</v>
      </c>
      <c r="Q1560" s="3">
        <v>0</v>
      </c>
      <c r="R1560" s="3">
        <v>0</v>
      </c>
    </row>
    <row r="1561" spans="1:18">
      <c r="A1561" s="3" t="s">
        <v>4267</v>
      </c>
      <c r="B1561" s="3" t="s">
        <v>4268</v>
      </c>
      <c r="C1561" s="3" t="s">
        <v>4268</v>
      </c>
      <c r="D1561" s="3" t="s">
        <v>4269</v>
      </c>
      <c r="E1561" s="3" t="s">
        <v>120</v>
      </c>
      <c r="F1561" s="3">
        <v>23.98</v>
      </c>
      <c r="G1561" s="3" t="s">
        <v>121</v>
      </c>
      <c r="H1561" s="3"/>
      <c r="I1561" s="3" t="s">
        <v>122</v>
      </c>
      <c r="J1561" s="3">
        <v>17</v>
      </c>
      <c r="K1561" s="3">
        <v>17</v>
      </c>
      <c r="L1561" s="3">
        <v>0</v>
      </c>
      <c r="M1561" s="3">
        <v>0</v>
      </c>
      <c r="N1561" s="3">
        <v>17</v>
      </c>
      <c r="O1561" s="3">
        <v>0.12</v>
      </c>
      <c r="P1561" s="3">
        <v>0</v>
      </c>
      <c r="Q1561" s="3">
        <v>0</v>
      </c>
      <c r="R1561" s="3">
        <v>0</v>
      </c>
    </row>
    <row r="1562" spans="1:18">
      <c r="A1562" s="3" t="s">
        <v>4270</v>
      </c>
      <c r="B1562" s="3" t="s">
        <v>4271</v>
      </c>
      <c r="C1562" s="3" t="s">
        <v>4271</v>
      </c>
      <c r="D1562" s="3" t="s">
        <v>4272</v>
      </c>
      <c r="E1562" s="3" t="s">
        <v>120</v>
      </c>
      <c r="F1562" s="3">
        <v>23.98</v>
      </c>
      <c r="G1562" s="3" t="s">
        <v>121</v>
      </c>
      <c r="H1562" s="3"/>
      <c r="I1562" s="3" t="s">
        <v>122</v>
      </c>
      <c r="J1562" s="3">
        <v>22</v>
      </c>
      <c r="K1562" s="3">
        <v>22</v>
      </c>
      <c r="L1562" s="3">
        <v>0</v>
      </c>
      <c r="M1562" s="3">
        <v>0</v>
      </c>
      <c r="N1562" s="3">
        <v>22</v>
      </c>
      <c r="O1562" s="3">
        <v>0.11</v>
      </c>
      <c r="P1562" s="3">
        <v>0</v>
      </c>
      <c r="Q1562" s="3">
        <v>0</v>
      </c>
      <c r="R1562" s="3">
        <v>0</v>
      </c>
    </row>
    <row r="1563" spans="1:18">
      <c r="A1563" s="3" t="s">
        <v>4273</v>
      </c>
      <c r="B1563" s="3" t="s">
        <v>4274</v>
      </c>
      <c r="C1563" s="3" t="s">
        <v>4274</v>
      </c>
      <c r="D1563" s="3" t="s">
        <v>4275</v>
      </c>
      <c r="E1563" s="3" t="s">
        <v>120</v>
      </c>
      <c r="F1563" s="3">
        <v>23.98</v>
      </c>
      <c r="G1563" s="3" t="s">
        <v>121</v>
      </c>
      <c r="H1563" s="3"/>
      <c r="I1563" s="3" t="s">
        <v>122</v>
      </c>
      <c r="J1563" s="3">
        <v>8</v>
      </c>
      <c r="K1563" s="3">
        <v>8</v>
      </c>
      <c r="L1563" s="3">
        <v>0</v>
      </c>
      <c r="M1563" s="3">
        <v>0</v>
      </c>
      <c r="N1563" s="3">
        <v>8</v>
      </c>
      <c r="O1563" s="3">
        <v>0.09</v>
      </c>
      <c r="P1563" s="3">
        <v>0</v>
      </c>
      <c r="Q1563" s="3">
        <v>0</v>
      </c>
      <c r="R1563" s="3">
        <v>0</v>
      </c>
    </row>
    <row r="1564" spans="1:18">
      <c r="A1564" s="3" t="s">
        <v>4276</v>
      </c>
      <c r="B1564" s="3" t="s">
        <v>4277</v>
      </c>
      <c r="C1564" s="3" t="s">
        <v>4277</v>
      </c>
      <c r="D1564" s="3" t="s">
        <v>4278</v>
      </c>
      <c r="E1564" s="3" t="s">
        <v>120</v>
      </c>
      <c r="F1564" s="3">
        <v>23.98</v>
      </c>
      <c r="G1564" s="3" t="s">
        <v>121</v>
      </c>
      <c r="H1564" s="3"/>
      <c r="I1564" s="3" t="s">
        <v>122</v>
      </c>
      <c r="J1564" s="3">
        <v>1</v>
      </c>
      <c r="K1564" s="3">
        <v>1</v>
      </c>
      <c r="L1564" s="3">
        <v>0</v>
      </c>
      <c r="M1564" s="3">
        <v>0</v>
      </c>
      <c r="N1564" s="3">
        <v>1</v>
      </c>
      <c r="O1564" s="3">
        <v>0.08</v>
      </c>
      <c r="P1564" s="3">
        <v>0</v>
      </c>
      <c r="Q1564" s="3">
        <v>0</v>
      </c>
      <c r="R1564" s="3">
        <v>0</v>
      </c>
    </row>
    <row r="1565" spans="1:18">
      <c r="A1565" s="3" t="s">
        <v>4279</v>
      </c>
      <c r="B1565" s="3" t="s">
        <v>4280</v>
      </c>
      <c r="C1565" s="3" t="s">
        <v>4280</v>
      </c>
      <c r="D1565" s="3" t="s">
        <v>4281</v>
      </c>
      <c r="E1565" s="3" t="s">
        <v>120</v>
      </c>
      <c r="F1565" s="3">
        <v>23.98</v>
      </c>
      <c r="G1565" s="3" t="s">
        <v>121</v>
      </c>
      <c r="H1565" s="3"/>
      <c r="I1565" s="3" t="s">
        <v>122</v>
      </c>
      <c r="J1565" s="3">
        <v>28</v>
      </c>
      <c r="K1565" s="3">
        <v>28</v>
      </c>
      <c r="L1565" s="3">
        <v>0</v>
      </c>
      <c r="M1565" s="3">
        <v>0</v>
      </c>
      <c r="N1565" s="3">
        <v>28</v>
      </c>
      <c r="O1565" s="3">
        <v>0.12</v>
      </c>
      <c r="P1565" s="3">
        <v>0</v>
      </c>
      <c r="Q1565" s="3">
        <v>0</v>
      </c>
      <c r="R1565" s="3">
        <v>0</v>
      </c>
    </row>
    <row r="1566" spans="1:18">
      <c r="A1566" s="3" t="s">
        <v>4282</v>
      </c>
      <c r="B1566" s="3" t="s">
        <v>4283</v>
      </c>
      <c r="C1566" s="3" t="s">
        <v>4283</v>
      </c>
      <c r="D1566" s="3" t="s">
        <v>4284</v>
      </c>
      <c r="E1566" s="3" t="s">
        <v>120</v>
      </c>
      <c r="F1566" s="3">
        <v>23.98</v>
      </c>
      <c r="G1566" s="3" t="s">
        <v>121</v>
      </c>
      <c r="H1566" s="3"/>
      <c r="I1566" s="3" t="s">
        <v>122</v>
      </c>
      <c r="J1566" s="3">
        <v>24</v>
      </c>
      <c r="K1566" s="3">
        <v>24</v>
      </c>
      <c r="L1566" s="3">
        <v>0</v>
      </c>
      <c r="M1566" s="3">
        <v>0</v>
      </c>
      <c r="N1566" s="3">
        <v>24</v>
      </c>
      <c r="O1566" s="3">
        <v>0.17</v>
      </c>
      <c r="P1566" s="3">
        <v>0</v>
      </c>
      <c r="Q1566" s="3">
        <v>0</v>
      </c>
      <c r="R1566" s="3">
        <v>0</v>
      </c>
    </row>
    <row r="1567" spans="1:18">
      <c r="A1567" s="3" t="s">
        <v>4285</v>
      </c>
      <c r="B1567" s="3" t="s">
        <v>4286</v>
      </c>
      <c r="C1567" s="3" t="s">
        <v>4286</v>
      </c>
      <c r="D1567" s="3" t="s">
        <v>4287</v>
      </c>
      <c r="E1567" s="3" t="s">
        <v>120</v>
      </c>
      <c r="F1567" s="3">
        <v>23.98</v>
      </c>
      <c r="G1567" s="3" t="s">
        <v>121</v>
      </c>
      <c r="H1567" s="3"/>
      <c r="I1567" s="3" t="s">
        <v>122</v>
      </c>
      <c r="J1567" s="3">
        <v>7</v>
      </c>
      <c r="K1567" s="3">
        <v>7</v>
      </c>
      <c r="L1567" s="3">
        <v>0</v>
      </c>
      <c r="M1567" s="3">
        <v>0</v>
      </c>
      <c r="N1567" s="3">
        <v>7</v>
      </c>
      <c r="O1567" s="3">
        <v>0.06</v>
      </c>
      <c r="P1567" s="3">
        <v>0</v>
      </c>
      <c r="Q1567" s="3">
        <v>0</v>
      </c>
      <c r="R1567" s="3">
        <v>0</v>
      </c>
    </row>
    <row r="1568" spans="1:18">
      <c r="A1568" s="3" t="s">
        <v>4288</v>
      </c>
      <c r="B1568" s="3" t="s">
        <v>4289</v>
      </c>
      <c r="C1568" s="3" t="s">
        <v>4289</v>
      </c>
      <c r="D1568" s="3" t="s">
        <v>4290</v>
      </c>
      <c r="E1568" s="3" t="s">
        <v>120</v>
      </c>
      <c r="F1568" s="3">
        <v>23.98</v>
      </c>
      <c r="G1568" s="3" t="s">
        <v>121</v>
      </c>
      <c r="H1568" s="3"/>
      <c r="I1568" s="3" t="s">
        <v>122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0.07</v>
      </c>
      <c r="P1568" s="3">
        <v>0</v>
      </c>
      <c r="Q1568" s="3">
        <v>0</v>
      </c>
      <c r="R1568" s="3">
        <v>0</v>
      </c>
    </row>
    <row r="1569" spans="1:18">
      <c r="A1569" s="3" t="s">
        <v>4291</v>
      </c>
      <c r="B1569" s="3" t="s">
        <v>4292</v>
      </c>
      <c r="C1569" s="3" t="s">
        <v>4292</v>
      </c>
      <c r="D1569" s="3" t="s">
        <v>4293</v>
      </c>
      <c r="E1569" s="3" t="s">
        <v>120</v>
      </c>
      <c r="F1569" s="3">
        <v>23.98</v>
      </c>
      <c r="G1569" s="3" t="s">
        <v>121</v>
      </c>
      <c r="H1569" s="3"/>
      <c r="I1569" s="3" t="s">
        <v>122</v>
      </c>
      <c r="J1569" s="3">
        <v>20</v>
      </c>
      <c r="K1569" s="3">
        <v>20</v>
      </c>
      <c r="L1569" s="3">
        <v>0</v>
      </c>
      <c r="M1569" s="3">
        <v>0</v>
      </c>
      <c r="N1569" s="3">
        <v>20</v>
      </c>
      <c r="O1569" s="3">
        <v>0.08</v>
      </c>
      <c r="P1569" s="3">
        <v>0</v>
      </c>
      <c r="Q1569" s="3">
        <v>0</v>
      </c>
      <c r="R1569" s="3">
        <v>0</v>
      </c>
    </row>
    <row r="1570" spans="1:18">
      <c r="A1570" s="3" t="s">
        <v>4294</v>
      </c>
      <c r="B1570" s="3" t="s">
        <v>4295</v>
      </c>
      <c r="C1570" s="3" t="s">
        <v>4295</v>
      </c>
      <c r="D1570" s="3" t="s">
        <v>4296</v>
      </c>
      <c r="E1570" s="3" t="s">
        <v>120</v>
      </c>
      <c r="F1570" s="3">
        <v>23.98</v>
      </c>
      <c r="G1570" s="3" t="s">
        <v>121</v>
      </c>
      <c r="H1570" s="3"/>
      <c r="I1570" s="3" t="s">
        <v>122</v>
      </c>
      <c r="J1570" s="3">
        <v>16</v>
      </c>
      <c r="K1570" s="3">
        <v>16</v>
      </c>
      <c r="L1570" s="3">
        <v>0</v>
      </c>
      <c r="M1570" s="3">
        <v>0</v>
      </c>
      <c r="N1570" s="3">
        <v>16</v>
      </c>
      <c r="O1570" s="3">
        <v>0.12</v>
      </c>
      <c r="P1570" s="3">
        <v>0</v>
      </c>
      <c r="Q1570" s="3">
        <v>0</v>
      </c>
      <c r="R1570" s="3">
        <v>0</v>
      </c>
    </row>
    <row r="1571" spans="1:18">
      <c r="A1571" s="3" t="s">
        <v>4297</v>
      </c>
      <c r="B1571" s="3" t="s">
        <v>4298</v>
      </c>
      <c r="C1571" s="3" t="s">
        <v>4298</v>
      </c>
      <c r="D1571" s="3" t="s">
        <v>4299</v>
      </c>
      <c r="E1571" s="3" t="s">
        <v>120</v>
      </c>
      <c r="F1571" s="3">
        <v>23.98</v>
      </c>
      <c r="G1571" s="3" t="s">
        <v>121</v>
      </c>
      <c r="H1571" s="3"/>
      <c r="I1571" s="3" t="s">
        <v>122</v>
      </c>
      <c r="J1571" s="3">
        <v>14</v>
      </c>
      <c r="K1571" s="3">
        <v>14</v>
      </c>
      <c r="L1571" s="3">
        <v>0</v>
      </c>
      <c r="M1571" s="3">
        <v>0</v>
      </c>
      <c r="N1571" s="3">
        <v>14</v>
      </c>
      <c r="O1571" s="3">
        <v>0.17</v>
      </c>
      <c r="P1571" s="3">
        <v>0</v>
      </c>
      <c r="Q1571" s="3">
        <v>0</v>
      </c>
      <c r="R1571" s="3">
        <v>0</v>
      </c>
    </row>
    <row r="1572" spans="1:18">
      <c r="A1572" s="3" t="s">
        <v>4300</v>
      </c>
      <c r="B1572" s="3" t="s">
        <v>4301</v>
      </c>
      <c r="C1572" s="3" t="s">
        <v>4301</v>
      </c>
      <c r="D1572" s="3" t="s">
        <v>4302</v>
      </c>
      <c r="E1572" s="3" t="s">
        <v>120</v>
      </c>
      <c r="F1572" s="3">
        <v>23.98</v>
      </c>
      <c r="G1572" s="3" t="s">
        <v>121</v>
      </c>
      <c r="H1572" s="3"/>
      <c r="I1572" s="3" t="s">
        <v>122</v>
      </c>
      <c r="J1572" s="3">
        <v>1</v>
      </c>
      <c r="K1572" s="3">
        <v>1</v>
      </c>
      <c r="L1572" s="3">
        <v>0</v>
      </c>
      <c r="M1572" s="3">
        <v>0</v>
      </c>
      <c r="N1572" s="3">
        <v>1</v>
      </c>
      <c r="O1572" s="3">
        <v>0.1</v>
      </c>
      <c r="P1572" s="3">
        <v>0</v>
      </c>
      <c r="Q1572" s="3">
        <v>0</v>
      </c>
      <c r="R1572" s="3">
        <v>0</v>
      </c>
    </row>
    <row r="1573" spans="1:18">
      <c r="A1573" s="3" t="s">
        <v>4303</v>
      </c>
      <c r="B1573" s="3" t="s">
        <v>4304</v>
      </c>
      <c r="C1573" s="3" t="s">
        <v>4304</v>
      </c>
      <c r="D1573" s="3" t="s">
        <v>4305</v>
      </c>
      <c r="E1573" s="3" t="s">
        <v>120</v>
      </c>
      <c r="F1573" s="3">
        <v>23.98</v>
      </c>
      <c r="G1573" s="3" t="s">
        <v>121</v>
      </c>
      <c r="H1573" s="3"/>
      <c r="I1573" s="3" t="s">
        <v>122</v>
      </c>
      <c r="J1573" s="3">
        <v>19</v>
      </c>
      <c r="K1573" s="3">
        <v>19</v>
      </c>
      <c r="L1573" s="3">
        <v>0</v>
      </c>
      <c r="M1573" s="3">
        <v>0</v>
      </c>
      <c r="N1573" s="3">
        <v>19</v>
      </c>
      <c r="O1573" s="3">
        <v>0.17</v>
      </c>
      <c r="P1573" s="3">
        <v>0</v>
      </c>
      <c r="Q1573" s="3">
        <v>0</v>
      </c>
      <c r="R1573" s="3">
        <v>0</v>
      </c>
    </row>
    <row r="1574" spans="1:18">
      <c r="A1574" s="3" t="s">
        <v>4306</v>
      </c>
      <c r="B1574" s="3" t="s">
        <v>4307</v>
      </c>
      <c r="C1574" s="3" t="s">
        <v>4307</v>
      </c>
      <c r="D1574" s="3" t="s">
        <v>4308</v>
      </c>
      <c r="E1574" s="3" t="s">
        <v>120</v>
      </c>
      <c r="F1574" s="3">
        <v>23.98</v>
      </c>
      <c r="G1574" s="3" t="s">
        <v>121</v>
      </c>
      <c r="H1574" s="3"/>
      <c r="I1574" s="3" t="s">
        <v>122</v>
      </c>
      <c r="J1574" s="3">
        <v>23</v>
      </c>
      <c r="K1574" s="3">
        <v>23</v>
      </c>
      <c r="L1574" s="3">
        <v>0</v>
      </c>
      <c r="M1574" s="3">
        <v>0</v>
      </c>
      <c r="N1574" s="3">
        <v>23</v>
      </c>
      <c r="O1574" s="3">
        <v>0.17</v>
      </c>
      <c r="P1574" s="3">
        <v>0</v>
      </c>
      <c r="Q1574" s="3">
        <v>0</v>
      </c>
      <c r="R1574" s="3">
        <v>0</v>
      </c>
    </row>
    <row r="1575" spans="1:18">
      <c r="A1575" s="3" t="s">
        <v>4309</v>
      </c>
      <c r="B1575" s="3" t="s">
        <v>4310</v>
      </c>
      <c r="C1575" s="3" t="s">
        <v>4310</v>
      </c>
      <c r="D1575" s="3" t="s">
        <v>4311</v>
      </c>
      <c r="E1575" s="3" t="s">
        <v>120</v>
      </c>
      <c r="F1575" s="3">
        <v>23.98</v>
      </c>
      <c r="G1575" s="3" t="s">
        <v>121</v>
      </c>
      <c r="H1575" s="3"/>
      <c r="I1575" s="3" t="s">
        <v>122</v>
      </c>
      <c r="J1575" s="3">
        <v>28</v>
      </c>
      <c r="K1575" s="3">
        <v>28</v>
      </c>
      <c r="L1575" s="3">
        <v>0</v>
      </c>
      <c r="M1575" s="3">
        <v>0</v>
      </c>
      <c r="N1575" s="3">
        <v>28</v>
      </c>
      <c r="O1575" s="3">
        <v>0.08</v>
      </c>
      <c r="P1575" s="3">
        <v>0</v>
      </c>
      <c r="Q1575" s="3">
        <v>0</v>
      </c>
      <c r="R1575" s="3">
        <v>0</v>
      </c>
    </row>
    <row r="1576" spans="1:18">
      <c r="A1576" s="3" t="s">
        <v>4312</v>
      </c>
      <c r="B1576" s="3" t="s">
        <v>4313</v>
      </c>
      <c r="C1576" s="3" t="s">
        <v>4313</v>
      </c>
      <c r="D1576" s="3" t="s">
        <v>4314</v>
      </c>
      <c r="E1576" s="3" t="s">
        <v>120</v>
      </c>
      <c r="F1576" s="3">
        <v>23.98</v>
      </c>
      <c r="G1576" s="3" t="s">
        <v>121</v>
      </c>
      <c r="H1576" s="3"/>
      <c r="I1576" s="3" t="s">
        <v>122</v>
      </c>
      <c r="J1576" s="3">
        <v>6</v>
      </c>
      <c r="K1576" s="3">
        <v>6</v>
      </c>
      <c r="L1576" s="3">
        <v>0</v>
      </c>
      <c r="M1576" s="3">
        <v>0</v>
      </c>
      <c r="N1576" s="3">
        <v>6</v>
      </c>
      <c r="O1576" s="3">
        <v>0.09</v>
      </c>
      <c r="P1576" s="3">
        <v>0</v>
      </c>
      <c r="Q1576" s="3">
        <v>0</v>
      </c>
      <c r="R1576" s="3">
        <v>0</v>
      </c>
    </row>
    <row r="1577" spans="1:18">
      <c r="A1577" s="3" t="s">
        <v>4315</v>
      </c>
      <c r="B1577" s="3" t="s">
        <v>4316</v>
      </c>
      <c r="C1577" s="3" t="s">
        <v>4316</v>
      </c>
      <c r="D1577" s="3" t="s">
        <v>4317</v>
      </c>
      <c r="E1577" s="3" t="s">
        <v>120</v>
      </c>
      <c r="F1577" s="3">
        <v>23.98</v>
      </c>
      <c r="G1577" s="3" t="s">
        <v>121</v>
      </c>
      <c r="H1577" s="3"/>
      <c r="I1577" s="3" t="s">
        <v>122</v>
      </c>
      <c r="J1577" s="3">
        <v>17</v>
      </c>
      <c r="K1577" s="3">
        <v>17</v>
      </c>
      <c r="L1577" s="3">
        <v>0</v>
      </c>
      <c r="M1577" s="3">
        <v>0</v>
      </c>
      <c r="N1577" s="3">
        <v>17</v>
      </c>
      <c r="O1577" s="3">
        <v>0.17</v>
      </c>
      <c r="P1577" s="3">
        <v>0</v>
      </c>
      <c r="Q1577" s="3">
        <v>0</v>
      </c>
      <c r="R1577" s="3">
        <v>0</v>
      </c>
    </row>
    <row r="1578" spans="1:18">
      <c r="A1578" s="3" t="s">
        <v>4318</v>
      </c>
      <c r="B1578" s="3" t="s">
        <v>4319</v>
      </c>
      <c r="C1578" s="3" t="s">
        <v>4319</v>
      </c>
      <c r="D1578" s="3" t="s">
        <v>4320</v>
      </c>
      <c r="E1578" s="3" t="s">
        <v>120</v>
      </c>
      <c r="F1578" s="3">
        <v>23.98</v>
      </c>
      <c r="G1578" s="3" t="s">
        <v>121</v>
      </c>
      <c r="H1578" s="3"/>
      <c r="I1578" s="3" t="s">
        <v>122</v>
      </c>
      <c r="J1578" s="3">
        <v>21</v>
      </c>
      <c r="K1578" s="3">
        <v>21</v>
      </c>
      <c r="L1578" s="3">
        <v>0</v>
      </c>
      <c r="M1578" s="3">
        <v>0</v>
      </c>
      <c r="N1578" s="3">
        <v>21</v>
      </c>
      <c r="O1578" s="3">
        <v>0.1</v>
      </c>
      <c r="P1578" s="3">
        <v>0</v>
      </c>
      <c r="Q1578" s="3">
        <v>0</v>
      </c>
      <c r="R1578" s="3">
        <v>0</v>
      </c>
    </row>
    <row r="1579" spans="1:18">
      <c r="A1579" s="3" t="s">
        <v>4321</v>
      </c>
      <c r="B1579" s="3" t="s">
        <v>4322</v>
      </c>
      <c r="C1579" s="3" t="s">
        <v>4322</v>
      </c>
      <c r="D1579" s="3" t="s">
        <v>4323</v>
      </c>
      <c r="E1579" s="3" t="s">
        <v>120</v>
      </c>
      <c r="F1579" s="3">
        <v>23.98</v>
      </c>
      <c r="G1579" s="3" t="s">
        <v>121</v>
      </c>
      <c r="H1579" s="3"/>
      <c r="I1579" s="3" t="s">
        <v>122</v>
      </c>
      <c r="J1579" s="3">
        <v>16</v>
      </c>
      <c r="K1579" s="3">
        <v>16</v>
      </c>
      <c r="L1579" s="3">
        <v>0</v>
      </c>
      <c r="M1579" s="3">
        <v>0</v>
      </c>
      <c r="N1579" s="3">
        <v>16</v>
      </c>
      <c r="O1579" s="3">
        <v>0.11</v>
      </c>
      <c r="P1579" s="3">
        <v>0</v>
      </c>
      <c r="Q1579" s="3">
        <v>0</v>
      </c>
      <c r="R1579" s="3">
        <v>0</v>
      </c>
    </row>
    <row r="1580" spans="1:18">
      <c r="A1580" s="3" t="s">
        <v>4324</v>
      </c>
      <c r="B1580" s="3" t="s">
        <v>4325</v>
      </c>
      <c r="C1580" s="3" t="s">
        <v>4325</v>
      </c>
      <c r="D1580" s="3" t="s">
        <v>4326</v>
      </c>
      <c r="E1580" s="3" t="s">
        <v>120</v>
      </c>
      <c r="F1580" s="3">
        <v>23.98</v>
      </c>
      <c r="G1580" s="3" t="s">
        <v>121</v>
      </c>
      <c r="H1580" s="3"/>
      <c r="I1580" s="3" t="s">
        <v>122</v>
      </c>
      <c r="J1580" s="3">
        <v>7</v>
      </c>
      <c r="K1580" s="3">
        <v>7</v>
      </c>
      <c r="L1580" s="3">
        <v>0</v>
      </c>
      <c r="M1580" s="3">
        <v>0</v>
      </c>
      <c r="N1580" s="3">
        <v>7</v>
      </c>
      <c r="O1580" s="3">
        <v>0.08</v>
      </c>
      <c r="P1580" s="3">
        <v>0</v>
      </c>
      <c r="Q1580" s="3">
        <v>0</v>
      </c>
      <c r="R1580" s="3">
        <v>0</v>
      </c>
    </row>
    <row r="1581" spans="1:18">
      <c r="A1581" s="3" t="s">
        <v>4327</v>
      </c>
      <c r="B1581" s="3" t="s">
        <v>4328</v>
      </c>
      <c r="C1581" s="3" t="s">
        <v>4328</v>
      </c>
      <c r="D1581" s="3" t="s">
        <v>4329</v>
      </c>
      <c r="E1581" s="3" t="s">
        <v>120</v>
      </c>
      <c r="F1581" s="3">
        <v>23.98</v>
      </c>
      <c r="G1581" s="3" t="s">
        <v>121</v>
      </c>
      <c r="H1581" s="3"/>
      <c r="I1581" s="3" t="s">
        <v>122</v>
      </c>
      <c r="J1581" s="3">
        <v>22</v>
      </c>
      <c r="K1581" s="3">
        <v>22</v>
      </c>
      <c r="L1581" s="3">
        <v>0</v>
      </c>
      <c r="M1581" s="3">
        <v>0</v>
      </c>
      <c r="N1581" s="3">
        <v>22</v>
      </c>
      <c r="O1581" s="3">
        <v>0.17</v>
      </c>
      <c r="P1581" s="3">
        <v>0</v>
      </c>
      <c r="Q1581" s="3">
        <v>0</v>
      </c>
      <c r="R1581" s="3">
        <v>0</v>
      </c>
    </row>
    <row r="1582" spans="1:18">
      <c r="A1582" s="3" t="s">
        <v>4330</v>
      </c>
      <c r="B1582" s="3" t="s">
        <v>4331</v>
      </c>
      <c r="C1582" s="3" t="s">
        <v>4331</v>
      </c>
      <c r="D1582" s="3" t="s">
        <v>4332</v>
      </c>
      <c r="E1582" s="3" t="s">
        <v>120</v>
      </c>
      <c r="F1582" s="3">
        <v>23.98</v>
      </c>
      <c r="G1582" s="3" t="s">
        <v>121</v>
      </c>
      <c r="H1582" s="3"/>
      <c r="I1582" s="3" t="s">
        <v>122</v>
      </c>
      <c r="J1582" s="3">
        <v>7</v>
      </c>
      <c r="K1582" s="3">
        <v>7</v>
      </c>
      <c r="L1582" s="3">
        <v>0</v>
      </c>
      <c r="M1582" s="3">
        <v>0</v>
      </c>
      <c r="N1582" s="3">
        <v>7</v>
      </c>
      <c r="O1582" s="3">
        <v>0.17</v>
      </c>
      <c r="P1582" s="3">
        <v>0</v>
      </c>
      <c r="Q1582" s="3">
        <v>0</v>
      </c>
      <c r="R1582" s="3">
        <v>0</v>
      </c>
    </row>
    <row r="1583" spans="1:18">
      <c r="A1583" s="3" t="s">
        <v>4333</v>
      </c>
      <c r="B1583" s="3" t="s">
        <v>4334</v>
      </c>
      <c r="C1583" s="3" t="s">
        <v>4334</v>
      </c>
      <c r="D1583" s="3" t="s">
        <v>4335</v>
      </c>
      <c r="E1583" s="3" t="s">
        <v>120</v>
      </c>
      <c r="F1583" s="3">
        <v>23.98</v>
      </c>
      <c r="G1583" s="3" t="s">
        <v>121</v>
      </c>
      <c r="H1583" s="3"/>
      <c r="I1583" s="3" t="s">
        <v>122</v>
      </c>
      <c r="J1583" s="3">
        <v>18</v>
      </c>
      <c r="K1583" s="3">
        <v>18</v>
      </c>
      <c r="L1583" s="3">
        <v>0</v>
      </c>
      <c r="M1583" s="3">
        <v>0</v>
      </c>
      <c r="N1583" s="3">
        <v>18</v>
      </c>
      <c r="O1583" s="3">
        <v>0.12</v>
      </c>
      <c r="P1583" s="3">
        <v>0</v>
      </c>
      <c r="Q1583" s="3">
        <v>0</v>
      </c>
      <c r="R1583" s="3">
        <v>0</v>
      </c>
    </row>
    <row r="1584" spans="1:18">
      <c r="A1584" s="3" t="s">
        <v>4336</v>
      </c>
      <c r="B1584" s="3" t="s">
        <v>4337</v>
      </c>
      <c r="C1584" s="3" t="s">
        <v>4337</v>
      </c>
      <c r="D1584" s="3" t="s">
        <v>4338</v>
      </c>
      <c r="E1584" s="3" t="s">
        <v>120</v>
      </c>
      <c r="F1584" s="3">
        <v>23.98</v>
      </c>
      <c r="G1584" s="3" t="s">
        <v>121</v>
      </c>
      <c r="H1584" s="3"/>
      <c r="I1584" s="3" t="s">
        <v>122</v>
      </c>
      <c r="J1584" s="3">
        <v>12</v>
      </c>
      <c r="K1584" s="3">
        <v>12</v>
      </c>
      <c r="L1584" s="3">
        <v>0</v>
      </c>
      <c r="M1584" s="3">
        <v>0</v>
      </c>
      <c r="N1584" s="3">
        <v>12</v>
      </c>
      <c r="O1584" s="3">
        <v>0.17</v>
      </c>
      <c r="P1584" s="3">
        <v>0</v>
      </c>
      <c r="Q1584" s="3">
        <v>0</v>
      </c>
      <c r="R1584" s="3">
        <v>0</v>
      </c>
    </row>
    <row r="1585" spans="1:18">
      <c r="A1585" s="3" t="s">
        <v>4339</v>
      </c>
      <c r="B1585" s="3" t="s">
        <v>4340</v>
      </c>
      <c r="C1585" s="3" t="s">
        <v>4340</v>
      </c>
      <c r="D1585" s="3" t="s">
        <v>4341</v>
      </c>
      <c r="E1585" s="3" t="s">
        <v>120</v>
      </c>
      <c r="F1585" s="3">
        <v>23.98</v>
      </c>
      <c r="G1585" s="3" t="s">
        <v>121</v>
      </c>
      <c r="H1585" s="3"/>
      <c r="I1585" s="3" t="s">
        <v>122</v>
      </c>
      <c r="J1585" s="3">
        <v>17</v>
      </c>
      <c r="K1585" s="3">
        <v>17</v>
      </c>
      <c r="L1585" s="3">
        <v>0</v>
      </c>
      <c r="M1585" s="3">
        <v>0</v>
      </c>
      <c r="N1585" s="3">
        <v>17</v>
      </c>
      <c r="O1585" s="3">
        <v>0.1</v>
      </c>
      <c r="P1585" s="3">
        <v>0</v>
      </c>
      <c r="Q1585" s="3">
        <v>0</v>
      </c>
      <c r="R1585" s="3">
        <v>0</v>
      </c>
    </row>
    <row r="1586" spans="1:18">
      <c r="A1586" s="3" t="s">
        <v>4342</v>
      </c>
      <c r="B1586" s="3" t="s">
        <v>4343</v>
      </c>
      <c r="C1586" s="3" t="s">
        <v>4343</v>
      </c>
      <c r="D1586" s="3" t="s">
        <v>4344</v>
      </c>
      <c r="E1586" s="3" t="s">
        <v>120</v>
      </c>
      <c r="F1586" s="3">
        <v>23.98</v>
      </c>
      <c r="G1586" s="3" t="s">
        <v>121</v>
      </c>
      <c r="H1586" s="3"/>
      <c r="I1586" s="3" t="s">
        <v>122</v>
      </c>
      <c r="J1586" s="3">
        <v>28</v>
      </c>
      <c r="K1586" s="3">
        <v>28</v>
      </c>
      <c r="L1586" s="3">
        <v>0</v>
      </c>
      <c r="M1586" s="3">
        <v>0</v>
      </c>
      <c r="N1586" s="3">
        <v>28</v>
      </c>
      <c r="O1586" s="3">
        <v>0.17</v>
      </c>
      <c r="P1586" s="3">
        <v>0</v>
      </c>
      <c r="Q1586" s="3">
        <v>0</v>
      </c>
      <c r="R1586" s="3">
        <v>0</v>
      </c>
    </row>
    <row r="1587" spans="1:18">
      <c r="A1587" s="3" t="s">
        <v>4345</v>
      </c>
      <c r="B1587" s="3" t="s">
        <v>4346</v>
      </c>
      <c r="C1587" s="3" t="s">
        <v>4346</v>
      </c>
      <c r="D1587" s="3" t="s">
        <v>4347</v>
      </c>
      <c r="E1587" s="3" t="s">
        <v>120</v>
      </c>
      <c r="F1587" s="3">
        <v>23.98</v>
      </c>
      <c r="G1587" s="3" t="s">
        <v>121</v>
      </c>
      <c r="H1587" s="3"/>
      <c r="I1587" s="3" t="s">
        <v>122</v>
      </c>
      <c r="J1587" s="3">
        <v>9</v>
      </c>
      <c r="K1587" s="3">
        <v>9</v>
      </c>
      <c r="L1587" s="3">
        <v>0</v>
      </c>
      <c r="M1587" s="3">
        <v>0</v>
      </c>
      <c r="N1587" s="3">
        <v>9</v>
      </c>
      <c r="O1587" s="3">
        <v>0.1</v>
      </c>
      <c r="P1587" s="3">
        <v>0</v>
      </c>
      <c r="Q1587" s="3">
        <v>0</v>
      </c>
      <c r="R1587" s="3">
        <v>0</v>
      </c>
    </row>
    <row r="1588" spans="1:18">
      <c r="A1588" s="3" t="s">
        <v>4348</v>
      </c>
      <c r="B1588" s="3" t="s">
        <v>4349</v>
      </c>
      <c r="C1588" s="3" t="s">
        <v>4349</v>
      </c>
      <c r="D1588" s="3" t="s">
        <v>4350</v>
      </c>
      <c r="E1588" s="3" t="s">
        <v>120</v>
      </c>
      <c r="F1588" s="3">
        <v>23.98</v>
      </c>
      <c r="G1588" s="3" t="s">
        <v>121</v>
      </c>
      <c r="H1588" s="3"/>
      <c r="I1588" s="3" t="s">
        <v>122</v>
      </c>
      <c r="J1588" s="3">
        <v>26</v>
      </c>
      <c r="K1588" s="3">
        <v>26</v>
      </c>
      <c r="L1588" s="3">
        <v>0</v>
      </c>
      <c r="M1588" s="3">
        <v>0</v>
      </c>
      <c r="N1588" s="3">
        <v>26</v>
      </c>
      <c r="O1588" s="3">
        <v>0.17</v>
      </c>
      <c r="P1588" s="3">
        <v>0</v>
      </c>
      <c r="Q1588" s="3">
        <v>0</v>
      </c>
      <c r="R1588" s="3">
        <v>0</v>
      </c>
    </row>
    <row r="1589" spans="1:18">
      <c r="A1589" s="3" t="s">
        <v>4351</v>
      </c>
      <c r="B1589" s="3" t="s">
        <v>4352</v>
      </c>
      <c r="C1589" s="3" t="s">
        <v>4352</v>
      </c>
      <c r="D1589" s="3" t="s">
        <v>4353</v>
      </c>
      <c r="E1589" s="3" t="s">
        <v>120</v>
      </c>
      <c r="F1589" s="3">
        <v>23.98</v>
      </c>
      <c r="G1589" s="3" t="s">
        <v>121</v>
      </c>
      <c r="H1589" s="3"/>
      <c r="I1589" s="3" t="s">
        <v>122</v>
      </c>
      <c r="J1589" s="3">
        <v>24</v>
      </c>
      <c r="K1589" s="3">
        <v>24</v>
      </c>
      <c r="L1589" s="3">
        <v>0</v>
      </c>
      <c r="M1589" s="3">
        <v>0</v>
      </c>
      <c r="N1589" s="3">
        <v>24</v>
      </c>
      <c r="O1589" s="3">
        <v>0.17</v>
      </c>
      <c r="P1589" s="3">
        <v>0</v>
      </c>
      <c r="Q1589" s="3">
        <v>0</v>
      </c>
      <c r="R1589" s="3">
        <v>0</v>
      </c>
    </row>
    <row r="1590" spans="1:18">
      <c r="A1590" s="3" t="s">
        <v>4354</v>
      </c>
      <c r="B1590" s="3" t="s">
        <v>4355</v>
      </c>
      <c r="C1590" s="3" t="s">
        <v>4355</v>
      </c>
      <c r="D1590" s="3" t="s">
        <v>4356</v>
      </c>
      <c r="E1590" s="3" t="s">
        <v>120</v>
      </c>
      <c r="F1590" s="3">
        <v>23.98</v>
      </c>
      <c r="G1590" s="3" t="s">
        <v>121</v>
      </c>
      <c r="H1590" s="3"/>
      <c r="I1590" s="3" t="s">
        <v>122</v>
      </c>
      <c r="J1590" s="3">
        <v>11</v>
      </c>
      <c r="K1590" s="3">
        <v>11</v>
      </c>
      <c r="L1590" s="3">
        <v>0</v>
      </c>
      <c r="M1590" s="3">
        <v>0</v>
      </c>
      <c r="N1590" s="3">
        <v>11</v>
      </c>
      <c r="O1590" s="3">
        <v>0.13</v>
      </c>
      <c r="P1590" s="3">
        <v>0</v>
      </c>
      <c r="Q1590" s="3">
        <v>0</v>
      </c>
      <c r="R1590" s="3">
        <v>0</v>
      </c>
    </row>
    <row r="1591" spans="1:18">
      <c r="A1591" s="3" t="s">
        <v>4357</v>
      </c>
      <c r="B1591" s="3" t="s">
        <v>4358</v>
      </c>
      <c r="C1591" s="3" t="s">
        <v>4358</v>
      </c>
      <c r="D1591" s="3" t="s">
        <v>4359</v>
      </c>
      <c r="E1591" s="3" t="s">
        <v>120</v>
      </c>
      <c r="F1591" s="3">
        <v>23.98</v>
      </c>
      <c r="G1591" s="3" t="s">
        <v>121</v>
      </c>
      <c r="H1591" s="3"/>
      <c r="I1591" s="3" t="s">
        <v>122</v>
      </c>
      <c r="J1591" s="3">
        <v>5</v>
      </c>
      <c r="K1591" s="3">
        <v>5</v>
      </c>
      <c r="L1591" s="3">
        <v>0</v>
      </c>
      <c r="M1591" s="3">
        <v>0</v>
      </c>
      <c r="N1591" s="3">
        <v>5</v>
      </c>
      <c r="O1591" s="3">
        <v>0.14</v>
      </c>
      <c r="P1591" s="3">
        <v>0</v>
      </c>
      <c r="Q1591" s="3">
        <v>0</v>
      </c>
      <c r="R1591" s="3">
        <v>0</v>
      </c>
    </row>
    <row r="1592" spans="1:18">
      <c r="A1592" s="3" t="s">
        <v>4360</v>
      </c>
      <c r="B1592" s="3" t="s">
        <v>4361</v>
      </c>
      <c r="C1592" s="3" t="s">
        <v>4361</v>
      </c>
      <c r="D1592" s="3" t="s">
        <v>4362</v>
      </c>
      <c r="E1592" s="3" t="s">
        <v>120</v>
      </c>
      <c r="F1592" s="3">
        <v>23.98</v>
      </c>
      <c r="G1592" s="3" t="s">
        <v>121</v>
      </c>
      <c r="H1592" s="3"/>
      <c r="I1592" s="3" t="s">
        <v>122</v>
      </c>
      <c r="J1592" s="3">
        <v>25</v>
      </c>
      <c r="K1592" s="3">
        <v>25</v>
      </c>
      <c r="L1592" s="3">
        <v>0</v>
      </c>
      <c r="M1592" s="3">
        <v>0</v>
      </c>
      <c r="N1592" s="3">
        <v>25</v>
      </c>
      <c r="O1592" s="3">
        <v>0.17</v>
      </c>
      <c r="P1592" s="3">
        <v>0</v>
      </c>
      <c r="Q1592" s="3">
        <v>0</v>
      </c>
      <c r="R1592" s="3">
        <v>0</v>
      </c>
    </row>
    <row r="1593" spans="1:18">
      <c r="A1593" s="3" t="s">
        <v>4363</v>
      </c>
      <c r="B1593" s="3" t="s">
        <v>4364</v>
      </c>
      <c r="C1593" s="3" t="s">
        <v>4364</v>
      </c>
      <c r="D1593" s="3" t="s">
        <v>4365</v>
      </c>
      <c r="E1593" s="3" t="s">
        <v>120</v>
      </c>
      <c r="F1593" s="3">
        <v>22.98</v>
      </c>
      <c r="G1593" s="3" t="s">
        <v>121</v>
      </c>
      <c r="H1593" s="3"/>
      <c r="I1593" s="3" t="s">
        <v>122</v>
      </c>
      <c r="J1593" s="3">
        <v>4</v>
      </c>
      <c r="K1593" s="3">
        <v>4</v>
      </c>
      <c r="L1593" s="3">
        <v>0</v>
      </c>
      <c r="M1593" s="3">
        <v>0</v>
      </c>
      <c r="N1593" s="3">
        <v>4</v>
      </c>
      <c r="O1593" s="3">
        <v>0.08</v>
      </c>
      <c r="P1593" s="3">
        <v>0</v>
      </c>
      <c r="Q1593" s="3">
        <v>0</v>
      </c>
      <c r="R1593" s="3">
        <v>0</v>
      </c>
    </row>
    <row r="1594" spans="1:18">
      <c r="A1594" s="3" t="s">
        <v>4366</v>
      </c>
      <c r="B1594" s="3" t="s">
        <v>3318</v>
      </c>
      <c r="C1594" s="3" t="s">
        <v>3318</v>
      </c>
      <c r="D1594" s="3" t="s">
        <v>3319</v>
      </c>
      <c r="E1594" s="3" t="s">
        <v>120</v>
      </c>
      <c r="F1594" s="3">
        <v>22.98</v>
      </c>
      <c r="G1594" s="3" t="s">
        <v>121</v>
      </c>
      <c r="H1594" s="3"/>
      <c r="I1594" s="3" t="s">
        <v>122</v>
      </c>
      <c r="J1594" s="3">
        <v>3</v>
      </c>
      <c r="K1594" s="3">
        <v>3</v>
      </c>
      <c r="L1594" s="3">
        <v>0</v>
      </c>
      <c r="M1594" s="3">
        <v>0</v>
      </c>
      <c r="N1594" s="3">
        <v>3</v>
      </c>
      <c r="O1594" s="3">
        <v>0.12</v>
      </c>
      <c r="P1594" s="3">
        <v>0</v>
      </c>
      <c r="Q1594" s="3">
        <v>0</v>
      </c>
      <c r="R1594" s="3">
        <v>0</v>
      </c>
    </row>
    <row r="1595" spans="1:18">
      <c r="A1595" s="3" t="s">
        <v>4367</v>
      </c>
      <c r="B1595" s="3" t="s">
        <v>3322</v>
      </c>
      <c r="C1595" s="3" t="s">
        <v>3322</v>
      </c>
      <c r="D1595" s="3" t="s">
        <v>3323</v>
      </c>
      <c r="E1595" s="3" t="s">
        <v>120</v>
      </c>
      <c r="F1595" s="3">
        <v>22.98</v>
      </c>
      <c r="G1595" s="3" t="s">
        <v>121</v>
      </c>
      <c r="H1595" s="3"/>
      <c r="I1595" s="3" t="s">
        <v>122</v>
      </c>
      <c r="J1595" s="3">
        <v>1</v>
      </c>
      <c r="K1595" s="3">
        <v>1</v>
      </c>
      <c r="L1595" s="3">
        <v>0</v>
      </c>
      <c r="M1595" s="3">
        <v>0</v>
      </c>
      <c r="N1595" s="3">
        <v>1</v>
      </c>
      <c r="O1595" s="3">
        <v>0.12</v>
      </c>
      <c r="P1595" s="3">
        <v>0</v>
      </c>
      <c r="Q1595" s="3">
        <v>0</v>
      </c>
      <c r="R1595" s="3">
        <v>0</v>
      </c>
    </row>
    <row r="1596" spans="1:18">
      <c r="A1596" s="3" t="s">
        <v>4368</v>
      </c>
      <c r="B1596" s="3" t="s">
        <v>3326</v>
      </c>
      <c r="C1596" s="3" t="s">
        <v>3326</v>
      </c>
      <c r="D1596" s="3" t="s">
        <v>3327</v>
      </c>
      <c r="E1596" s="3" t="s">
        <v>120</v>
      </c>
      <c r="F1596" s="3">
        <v>22.98</v>
      </c>
      <c r="G1596" s="3" t="s">
        <v>121</v>
      </c>
      <c r="H1596" s="3"/>
      <c r="I1596" s="3" t="s">
        <v>122</v>
      </c>
      <c r="J1596" s="3">
        <v>1</v>
      </c>
      <c r="K1596" s="3">
        <v>0</v>
      </c>
      <c r="L1596" s="3">
        <v>0</v>
      </c>
      <c r="M1596" s="3">
        <v>1</v>
      </c>
      <c r="N1596" s="3">
        <v>1</v>
      </c>
      <c r="O1596" s="3">
        <v>0.12</v>
      </c>
      <c r="P1596" s="3">
        <v>0</v>
      </c>
      <c r="Q1596" s="3">
        <v>0</v>
      </c>
      <c r="R1596" s="3">
        <v>0</v>
      </c>
    </row>
    <row r="1597" spans="1:18">
      <c r="A1597" s="3" t="s">
        <v>4369</v>
      </c>
      <c r="B1597" s="3" t="s">
        <v>3330</v>
      </c>
      <c r="C1597" s="3" t="s">
        <v>3330</v>
      </c>
      <c r="D1597" s="3"/>
      <c r="E1597" s="3" t="s">
        <v>20</v>
      </c>
      <c r="F1597" s="3"/>
      <c r="G1597" s="3"/>
      <c r="H1597" s="3"/>
      <c r="I1597" s="3"/>
      <c r="J1597" s="3">
        <v>0</v>
      </c>
      <c r="K1597" s="3">
        <v>0</v>
      </c>
      <c r="L1597" s="3">
        <v>0</v>
      </c>
      <c r="M1597" s="3">
        <v>0</v>
      </c>
      <c r="N1597" s="3">
        <v>0</v>
      </c>
      <c r="O1597" s="3"/>
      <c r="P1597" s="3">
        <v>0</v>
      </c>
      <c r="Q1597" s="3">
        <v>0</v>
      </c>
      <c r="R1597" s="3">
        <v>0</v>
      </c>
    </row>
    <row r="1598" spans="1:18">
      <c r="A1598" s="3" t="s">
        <v>4370</v>
      </c>
      <c r="B1598" s="3" t="s">
        <v>3334</v>
      </c>
      <c r="C1598" s="3" t="s">
        <v>3334</v>
      </c>
      <c r="D1598" s="3" t="s">
        <v>3335</v>
      </c>
      <c r="E1598" s="3" t="s">
        <v>120</v>
      </c>
      <c r="F1598" s="3">
        <v>22.98</v>
      </c>
      <c r="G1598" s="3" t="s">
        <v>121</v>
      </c>
      <c r="H1598" s="3"/>
      <c r="I1598" s="3" t="s">
        <v>122</v>
      </c>
      <c r="J1598" s="3">
        <v>0</v>
      </c>
      <c r="K1598" s="3">
        <v>0</v>
      </c>
      <c r="L1598" s="3">
        <v>0</v>
      </c>
      <c r="M1598" s="3">
        <v>0</v>
      </c>
      <c r="N1598" s="3">
        <v>0</v>
      </c>
      <c r="O1598" s="3">
        <v>0.12</v>
      </c>
      <c r="P1598" s="3">
        <v>0</v>
      </c>
      <c r="Q1598" s="3">
        <v>0</v>
      </c>
      <c r="R1598" s="3">
        <v>0</v>
      </c>
    </row>
    <row r="1599" spans="1:18">
      <c r="A1599" s="3" t="s">
        <v>4371</v>
      </c>
      <c r="B1599" s="3" t="s">
        <v>3338</v>
      </c>
      <c r="C1599" s="3" t="s">
        <v>3338</v>
      </c>
      <c r="D1599" s="3" t="s">
        <v>3339</v>
      </c>
      <c r="E1599" s="3" t="s">
        <v>120</v>
      </c>
      <c r="F1599" s="3">
        <v>22.98</v>
      </c>
      <c r="G1599" s="3" t="s">
        <v>121</v>
      </c>
      <c r="H1599" s="3"/>
      <c r="I1599" s="3" t="s">
        <v>122</v>
      </c>
      <c r="J1599" s="3">
        <v>6</v>
      </c>
      <c r="K1599" s="3">
        <v>6</v>
      </c>
      <c r="L1599" s="3">
        <v>0</v>
      </c>
      <c r="M1599" s="3">
        <v>0</v>
      </c>
      <c r="N1599" s="3">
        <v>6</v>
      </c>
      <c r="O1599" s="3">
        <v>0.04</v>
      </c>
      <c r="P1599" s="3">
        <v>0</v>
      </c>
      <c r="Q1599" s="3">
        <v>0</v>
      </c>
      <c r="R1599" s="3">
        <v>0</v>
      </c>
    </row>
    <row r="1600" spans="1:18">
      <c r="A1600" s="3" t="s">
        <v>4372</v>
      </c>
      <c r="B1600" s="3" t="s">
        <v>3342</v>
      </c>
      <c r="C1600" s="3" t="s">
        <v>3342</v>
      </c>
      <c r="D1600" s="3" t="s">
        <v>3343</v>
      </c>
      <c r="E1600" s="3" t="s">
        <v>120</v>
      </c>
      <c r="F1600" s="3">
        <v>22.98</v>
      </c>
      <c r="G1600" s="3" t="s">
        <v>121</v>
      </c>
      <c r="H1600" s="3"/>
      <c r="I1600" s="3" t="s">
        <v>122</v>
      </c>
      <c r="J1600" s="3">
        <v>3</v>
      </c>
      <c r="K1600" s="3">
        <v>3</v>
      </c>
      <c r="L1600" s="3">
        <v>0</v>
      </c>
      <c r="M1600" s="3">
        <v>0</v>
      </c>
      <c r="N1600" s="3">
        <v>3</v>
      </c>
      <c r="O1600" s="3">
        <v>0.12</v>
      </c>
      <c r="P1600" s="3">
        <v>0</v>
      </c>
      <c r="Q1600" s="3">
        <v>0</v>
      </c>
      <c r="R1600" s="3">
        <v>0</v>
      </c>
    </row>
    <row r="1601" spans="1:18">
      <c r="A1601" s="3" t="s">
        <v>4373</v>
      </c>
      <c r="B1601" s="3" t="s">
        <v>3346</v>
      </c>
      <c r="C1601" s="3" t="s">
        <v>3346</v>
      </c>
      <c r="D1601" s="3" t="s">
        <v>3347</v>
      </c>
      <c r="E1601" s="3" t="s">
        <v>120</v>
      </c>
      <c r="F1601" s="3">
        <v>22.98</v>
      </c>
      <c r="G1601" s="3" t="s">
        <v>121</v>
      </c>
      <c r="H1601" s="3"/>
      <c r="I1601" s="3" t="s">
        <v>122</v>
      </c>
      <c r="J1601" s="3">
        <v>15</v>
      </c>
      <c r="K1601" s="3">
        <v>15</v>
      </c>
      <c r="L1601" s="3">
        <v>0</v>
      </c>
      <c r="M1601" s="3">
        <v>0</v>
      </c>
      <c r="N1601" s="3">
        <v>15</v>
      </c>
      <c r="O1601" s="3">
        <v>0.12</v>
      </c>
      <c r="P1601" s="3">
        <v>0</v>
      </c>
      <c r="Q1601" s="3">
        <v>0</v>
      </c>
      <c r="R1601" s="3">
        <v>0</v>
      </c>
    </row>
    <row r="1602" spans="1:18">
      <c r="A1602" s="3" t="s">
        <v>4374</v>
      </c>
      <c r="B1602" s="3" t="s">
        <v>3350</v>
      </c>
      <c r="C1602" s="3" t="s">
        <v>3350</v>
      </c>
      <c r="D1602" s="3" t="s">
        <v>3351</v>
      </c>
      <c r="E1602" s="3" t="s">
        <v>120</v>
      </c>
      <c r="F1602" s="3">
        <v>22.98</v>
      </c>
      <c r="G1602" s="3" t="s">
        <v>121</v>
      </c>
      <c r="H1602" s="3"/>
      <c r="I1602" s="3" t="s">
        <v>122</v>
      </c>
      <c r="J1602" s="3">
        <v>11</v>
      </c>
      <c r="K1602" s="3">
        <v>11</v>
      </c>
      <c r="L1602" s="3">
        <v>0</v>
      </c>
      <c r="M1602" s="3">
        <v>0</v>
      </c>
      <c r="N1602" s="3">
        <v>11</v>
      </c>
      <c r="O1602" s="3">
        <v>0.12</v>
      </c>
      <c r="P1602" s="3">
        <v>0</v>
      </c>
      <c r="Q1602" s="3">
        <v>0</v>
      </c>
      <c r="R1602" s="3">
        <v>0</v>
      </c>
    </row>
    <row r="1603" spans="1:18">
      <c r="A1603" s="3" t="s">
        <v>4375</v>
      </c>
      <c r="B1603" s="3" t="s">
        <v>3354</v>
      </c>
      <c r="C1603" s="3" t="s">
        <v>3354</v>
      </c>
      <c r="D1603" s="3" t="s">
        <v>3355</v>
      </c>
      <c r="E1603" s="3" t="s">
        <v>120</v>
      </c>
      <c r="F1603" s="3">
        <v>22.98</v>
      </c>
      <c r="G1603" s="3" t="s">
        <v>121</v>
      </c>
      <c r="H1603" s="3"/>
      <c r="I1603" s="3" t="s">
        <v>122</v>
      </c>
      <c r="J1603" s="3">
        <v>9</v>
      </c>
      <c r="K1603" s="3">
        <v>9</v>
      </c>
      <c r="L1603" s="3">
        <v>0</v>
      </c>
      <c r="M1603" s="3">
        <v>0</v>
      </c>
      <c r="N1603" s="3">
        <v>9</v>
      </c>
      <c r="O1603" s="3">
        <v>0.12</v>
      </c>
      <c r="P1603" s="3">
        <v>0</v>
      </c>
      <c r="Q1603" s="3">
        <v>0</v>
      </c>
      <c r="R1603" s="3">
        <v>0</v>
      </c>
    </row>
    <row r="1604" spans="1:18">
      <c r="A1604" s="3" t="s">
        <v>4376</v>
      </c>
      <c r="B1604" s="3" t="s">
        <v>3358</v>
      </c>
      <c r="C1604" s="3" t="s">
        <v>3358</v>
      </c>
      <c r="D1604" s="3" t="s">
        <v>3359</v>
      </c>
      <c r="E1604" s="3" t="s">
        <v>120</v>
      </c>
      <c r="F1604" s="3">
        <v>22.98</v>
      </c>
      <c r="G1604" s="3" t="s">
        <v>121</v>
      </c>
      <c r="H1604" s="3"/>
      <c r="I1604" s="3" t="s">
        <v>122</v>
      </c>
      <c r="J1604" s="3">
        <v>18</v>
      </c>
      <c r="K1604" s="3">
        <v>18</v>
      </c>
      <c r="L1604" s="3">
        <v>0</v>
      </c>
      <c r="M1604" s="3">
        <v>0</v>
      </c>
      <c r="N1604" s="3">
        <v>18</v>
      </c>
      <c r="O1604" s="3">
        <v>0.12</v>
      </c>
      <c r="P1604" s="3">
        <v>0</v>
      </c>
      <c r="Q1604" s="3">
        <v>0</v>
      </c>
      <c r="R1604" s="3">
        <v>0</v>
      </c>
    </row>
    <row r="1605" spans="1:18">
      <c r="A1605" s="3" t="s">
        <v>4377</v>
      </c>
      <c r="B1605" s="3" t="s">
        <v>3362</v>
      </c>
      <c r="C1605" s="3" t="s">
        <v>3362</v>
      </c>
      <c r="D1605" s="3" t="s">
        <v>3363</v>
      </c>
      <c r="E1605" s="3" t="s">
        <v>120</v>
      </c>
      <c r="F1605" s="3">
        <v>22.98</v>
      </c>
      <c r="G1605" s="3" t="s">
        <v>121</v>
      </c>
      <c r="H1605" s="3"/>
      <c r="I1605" s="3" t="s">
        <v>122</v>
      </c>
      <c r="J1605" s="3">
        <v>17</v>
      </c>
      <c r="K1605" s="3">
        <v>17</v>
      </c>
      <c r="L1605" s="3">
        <v>0</v>
      </c>
      <c r="M1605" s="3">
        <v>0</v>
      </c>
      <c r="N1605" s="3">
        <v>17</v>
      </c>
      <c r="O1605" s="3">
        <v>0.12</v>
      </c>
      <c r="P1605" s="3">
        <v>0</v>
      </c>
      <c r="Q1605" s="3">
        <v>0</v>
      </c>
      <c r="R1605" s="3">
        <v>0</v>
      </c>
    </row>
    <row r="1606" spans="1:18">
      <c r="A1606" s="3" t="s">
        <v>4378</v>
      </c>
      <c r="B1606" s="3" t="s">
        <v>4379</v>
      </c>
      <c r="C1606" s="3" t="s">
        <v>4379</v>
      </c>
      <c r="D1606" s="3"/>
      <c r="E1606" s="3" t="s">
        <v>20</v>
      </c>
      <c r="F1606" s="3"/>
      <c r="G1606" s="3"/>
      <c r="H1606" s="3"/>
      <c r="I1606" s="3"/>
      <c r="J1606" s="3">
        <v>0</v>
      </c>
      <c r="K1606" s="3">
        <v>0</v>
      </c>
      <c r="L1606" s="3">
        <v>0</v>
      </c>
      <c r="M1606" s="3">
        <v>0</v>
      </c>
      <c r="N1606" s="3">
        <v>0</v>
      </c>
      <c r="O1606" s="3"/>
      <c r="P1606" s="3">
        <v>0</v>
      </c>
      <c r="Q1606" s="3">
        <v>0</v>
      </c>
      <c r="R1606" s="3">
        <v>0</v>
      </c>
    </row>
    <row r="1607" spans="1:18">
      <c r="A1607" s="3" t="s">
        <v>4380</v>
      </c>
      <c r="B1607" s="3" t="s">
        <v>3370</v>
      </c>
      <c r="C1607" s="3" t="s">
        <v>3370</v>
      </c>
      <c r="D1607" s="3" t="s">
        <v>3371</v>
      </c>
      <c r="E1607" s="3" t="s">
        <v>120</v>
      </c>
      <c r="F1607" s="3">
        <v>22.98</v>
      </c>
      <c r="G1607" s="3" t="s">
        <v>121</v>
      </c>
      <c r="H1607" s="3"/>
      <c r="I1607" s="3" t="s">
        <v>122</v>
      </c>
      <c r="J1607" s="3">
        <v>2</v>
      </c>
      <c r="K1607" s="3">
        <v>2</v>
      </c>
      <c r="L1607" s="3">
        <v>0</v>
      </c>
      <c r="M1607" s="3">
        <v>0</v>
      </c>
      <c r="N1607" s="3">
        <v>2</v>
      </c>
      <c r="O1607" s="3">
        <v>0.12</v>
      </c>
      <c r="P1607" s="3">
        <v>0</v>
      </c>
      <c r="Q1607" s="3">
        <v>0</v>
      </c>
      <c r="R1607" s="3">
        <v>0</v>
      </c>
    </row>
    <row r="1608" spans="1:18">
      <c r="A1608" s="3" t="s">
        <v>4381</v>
      </c>
      <c r="B1608" s="3" t="s">
        <v>3374</v>
      </c>
      <c r="C1608" s="3" t="s">
        <v>3374</v>
      </c>
      <c r="D1608" s="3"/>
      <c r="E1608" s="3" t="s">
        <v>20</v>
      </c>
      <c r="F1608" s="3"/>
      <c r="G1608" s="3"/>
      <c r="H1608" s="3"/>
      <c r="I1608" s="3"/>
      <c r="J1608" s="3">
        <v>0</v>
      </c>
      <c r="K1608" s="3">
        <v>0</v>
      </c>
      <c r="L1608" s="3">
        <v>0</v>
      </c>
      <c r="M1608" s="3">
        <v>0</v>
      </c>
      <c r="N1608" s="3">
        <v>0</v>
      </c>
      <c r="O1608" s="3"/>
      <c r="P1608" s="3">
        <v>0</v>
      </c>
      <c r="Q1608" s="3">
        <v>0</v>
      </c>
      <c r="R1608" s="3">
        <v>0</v>
      </c>
    </row>
    <row r="1609" spans="1:18">
      <c r="A1609" s="3" t="s">
        <v>4382</v>
      </c>
      <c r="B1609" s="3" t="s">
        <v>3378</v>
      </c>
      <c r="C1609" s="3" t="s">
        <v>3378</v>
      </c>
      <c r="D1609" s="3" t="s">
        <v>3379</v>
      </c>
      <c r="E1609" s="3" t="s">
        <v>120</v>
      </c>
      <c r="F1609" s="3">
        <v>22.98</v>
      </c>
      <c r="G1609" s="3" t="s">
        <v>121</v>
      </c>
      <c r="H1609" s="3"/>
      <c r="I1609" s="3" t="s">
        <v>122</v>
      </c>
      <c r="J1609" s="3">
        <v>5</v>
      </c>
      <c r="K1609" s="3">
        <v>5</v>
      </c>
      <c r="L1609" s="3">
        <v>0</v>
      </c>
      <c r="M1609" s="3">
        <v>0</v>
      </c>
      <c r="N1609" s="3">
        <v>5</v>
      </c>
      <c r="O1609" s="3">
        <v>0.15</v>
      </c>
      <c r="P1609" s="3">
        <v>0</v>
      </c>
      <c r="Q1609" s="3">
        <v>0</v>
      </c>
      <c r="R1609" s="3">
        <v>0</v>
      </c>
    </row>
    <row r="1610" spans="1:18">
      <c r="A1610" s="3" t="s">
        <v>4383</v>
      </c>
      <c r="B1610" s="3" t="s">
        <v>3382</v>
      </c>
      <c r="C1610" s="3" t="s">
        <v>3382</v>
      </c>
      <c r="D1610" s="3" t="s">
        <v>3383</v>
      </c>
      <c r="E1610" s="3" t="s">
        <v>120</v>
      </c>
      <c r="F1610" s="3">
        <v>22.98</v>
      </c>
      <c r="G1610" s="3" t="s">
        <v>121</v>
      </c>
      <c r="H1610" s="3"/>
      <c r="I1610" s="3" t="s">
        <v>122</v>
      </c>
      <c r="J1610" s="3">
        <v>3</v>
      </c>
      <c r="K1610" s="3">
        <v>3</v>
      </c>
      <c r="L1610" s="3">
        <v>0</v>
      </c>
      <c r="M1610" s="3">
        <v>0</v>
      </c>
      <c r="N1610" s="3">
        <v>3</v>
      </c>
      <c r="O1610" s="3">
        <v>0.15</v>
      </c>
      <c r="P1610" s="3">
        <v>0</v>
      </c>
      <c r="Q1610" s="3">
        <v>0</v>
      </c>
      <c r="R1610" s="3">
        <v>0</v>
      </c>
    </row>
    <row r="1611" spans="1:18">
      <c r="A1611" s="3" t="s">
        <v>4384</v>
      </c>
      <c r="B1611" s="3" t="s">
        <v>3386</v>
      </c>
      <c r="C1611" s="3" t="s">
        <v>3386</v>
      </c>
      <c r="D1611" s="3" t="s">
        <v>3387</v>
      </c>
      <c r="E1611" s="3" t="s">
        <v>120</v>
      </c>
      <c r="F1611" s="3">
        <v>22.98</v>
      </c>
      <c r="G1611" s="3" t="s">
        <v>121</v>
      </c>
      <c r="H1611" s="3"/>
      <c r="I1611" s="3" t="s">
        <v>122</v>
      </c>
      <c r="J1611" s="3">
        <v>3</v>
      </c>
      <c r="K1611" s="3">
        <v>3</v>
      </c>
      <c r="L1611" s="3">
        <v>0</v>
      </c>
      <c r="M1611" s="3">
        <v>0</v>
      </c>
      <c r="N1611" s="3">
        <v>3</v>
      </c>
      <c r="O1611" s="3">
        <v>0.13</v>
      </c>
      <c r="P1611" s="3">
        <v>0</v>
      </c>
      <c r="Q1611" s="3">
        <v>0</v>
      </c>
      <c r="R1611" s="3">
        <v>0</v>
      </c>
    </row>
    <row r="1612" spans="1:18">
      <c r="A1612" s="3" t="s">
        <v>4385</v>
      </c>
      <c r="B1612" s="3" t="s">
        <v>3394</v>
      </c>
      <c r="C1612" s="3" t="s">
        <v>3394</v>
      </c>
      <c r="D1612" s="3" t="s">
        <v>3395</v>
      </c>
      <c r="E1612" s="3" t="s">
        <v>120</v>
      </c>
      <c r="F1612" s="3">
        <v>22.98</v>
      </c>
      <c r="G1612" s="3" t="s">
        <v>121</v>
      </c>
      <c r="H1612" s="3"/>
      <c r="I1612" s="3" t="s">
        <v>122</v>
      </c>
      <c r="J1612" s="3">
        <v>4</v>
      </c>
      <c r="K1612" s="3">
        <v>4</v>
      </c>
      <c r="L1612" s="3">
        <v>0</v>
      </c>
      <c r="M1612" s="3">
        <v>0</v>
      </c>
      <c r="N1612" s="3">
        <v>4</v>
      </c>
      <c r="O1612" s="3">
        <v>0.15</v>
      </c>
      <c r="P1612" s="3">
        <v>0</v>
      </c>
      <c r="Q1612" s="3">
        <v>0</v>
      </c>
      <c r="R1612" s="3">
        <v>0</v>
      </c>
    </row>
    <row r="1613" spans="1:18">
      <c r="A1613" s="3" t="s">
        <v>4386</v>
      </c>
      <c r="B1613" s="3" t="s">
        <v>3398</v>
      </c>
      <c r="C1613" s="3" t="s">
        <v>3398</v>
      </c>
      <c r="D1613" s="3" t="s">
        <v>3399</v>
      </c>
      <c r="E1613" s="3" t="s">
        <v>120</v>
      </c>
      <c r="F1613" s="3">
        <v>22.98</v>
      </c>
      <c r="G1613" s="3" t="s">
        <v>121</v>
      </c>
      <c r="H1613" s="3"/>
      <c r="I1613" s="3" t="s">
        <v>122</v>
      </c>
      <c r="J1613" s="3">
        <v>1</v>
      </c>
      <c r="K1613" s="3">
        <v>1</v>
      </c>
      <c r="L1613" s="3">
        <v>0</v>
      </c>
      <c r="M1613" s="3">
        <v>0</v>
      </c>
      <c r="N1613" s="3">
        <v>1</v>
      </c>
      <c r="O1613" s="3">
        <v>0.12</v>
      </c>
      <c r="P1613" s="3">
        <v>0</v>
      </c>
      <c r="Q1613" s="3">
        <v>0</v>
      </c>
      <c r="R1613" s="3">
        <v>0</v>
      </c>
    </row>
    <row r="1614" spans="1:18">
      <c r="A1614" s="3" t="s">
        <v>4387</v>
      </c>
      <c r="B1614" s="3" t="s">
        <v>3402</v>
      </c>
      <c r="C1614" s="3" t="s">
        <v>3402</v>
      </c>
      <c r="D1614" s="3" t="s">
        <v>3403</v>
      </c>
      <c r="E1614" s="3" t="s">
        <v>120</v>
      </c>
      <c r="F1614" s="3">
        <v>22.98</v>
      </c>
      <c r="G1614" s="3" t="s">
        <v>121</v>
      </c>
      <c r="H1614" s="3"/>
      <c r="I1614" s="3" t="s">
        <v>122</v>
      </c>
      <c r="J1614" s="3">
        <v>1</v>
      </c>
      <c r="K1614" s="3">
        <v>1</v>
      </c>
      <c r="L1614" s="3">
        <v>0</v>
      </c>
      <c r="M1614" s="3">
        <v>0</v>
      </c>
      <c r="N1614" s="3">
        <v>1</v>
      </c>
      <c r="O1614" s="3">
        <v>0.12</v>
      </c>
      <c r="P1614" s="3">
        <v>0</v>
      </c>
      <c r="Q1614" s="3">
        <v>0</v>
      </c>
      <c r="R1614" s="3">
        <v>0</v>
      </c>
    </row>
    <row r="1615" spans="1:18">
      <c r="A1615" s="3" t="s">
        <v>4388</v>
      </c>
      <c r="B1615" s="3" t="s">
        <v>3406</v>
      </c>
      <c r="C1615" s="3" t="s">
        <v>3406</v>
      </c>
      <c r="D1615" s="3" t="s">
        <v>3407</v>
      </c>
      <c r="E1615" s="3" t="s">
        <v>120</v>
      </c>
      <c r="F1615" s="3">
        <v>22.98</v>
      </c>
      <c r="G1615" s="3" t="s">
        <v>121</v>
      </c>
      <c r="H1615" s="3"/>
      <c r="I1615" s="3" t="s">
        <v>122</v>
      </c>
      <c r="J1615" s="3">
        <v>11</v>
      </c>
      <c r="K1615" s="3">
        <v>11</v>
      </c>
      <c r="L1615" s="3">
        <v>0</v>
      </c>
      <c r="M1615" s="3">
        <v>0</v>
      </c>
      <c r="N1615" s="3">
        <v>11</v>
      </c>
      <c r="O1615" s="3">
        <v>0.12</v>
      </c>
      <c r="P1615" s="3">
        <v>0</v>
      </c>
      <c r="Q1615" s="3">
        <v>0</v>
      </c>
      <c r="R1615" s="3">
        <v>0</v>
      </c>
    </row>
    <row r="1616" spans="1:18">
      <c r="A1616" s="3" t="s">
        <v>4389</v>
      </c>
      <c r="B1616" s="3" t="s">
        <v>3410</v>
      </c>
      <c r="C1616" s="3" t="s">
        <v>3410</v>
      </c>
      <c r="D1616" s="3" t="s">
        <v>3411</v>
      </c>
      <c r="E1616" s="3" t="s">
        <v>120</v>
      </c>
      <c r="F1616" s="3">
        <v>22.98</v>
      </c>
      <c r="G1616" s="3" t="s">
        <v>121</v>
      </c>
      <c r="H1616" s="3"/>
      <c r="I1616" s="3" t="s">
        <v>122</v>
      </c>
      <c r="J1616" s="3">
        <v>12</v>
      </c>
      <c r="K1616" s="3">
        <v>12</v>
      </c>
      <c r="L1616" s="3">
        <v>0</v>
      </c>
      <c r="M1616" s="3">
        <v>0</v>
      </c>
      <c r="N1616" s="3">
        <v>12</v>
      </c>
      <c r="O1616" s="3">
        <v>0.12</v>
      </c>
      <c r="P1616" s="3">
        <v>0</v>
      </c>
      <c r="Q1616" s="3">
        <v>0</v>
      </c>
      <c r="R1616" s="3">
        <v>0</v>
      </c>
    </row>
    <row r="1617" spans="1:18">
      <c r="A1617" s="3" t="s">
        <v>4390</v>
      </c>
      <c r="B1617" s="3" t="s">
        <v>3414</v>
      </c>
      <c r="C1617" s="3" t="s">
        <v>3414</v>
      </c>
      <c r="D1617" s="3" t="s">
        <v>3415</v>
      </c>
      <c r="E1617" s="3" t="s">
        <v>120</v>
      </c>
      <c r="F1617" s="3">
        <v>22.98</v>
      </c>
      <c r="G1617" s="3" t="s">
        <v>121</v>
      </c>
      <c r="H1617" s="3"/>
      <c r="I1617" s="3" t="s">
        <v>122</v>
      </c>
      <c r="J1617" s="3">
        <v>1</v>
      </c>
      <c r="K1617" s="3">
        <v>1</v>
      </c>
      <c r="L1617" s="3">
        <v>0</v>
      </c>
      <c r="M1617" s="3">
        <v>0</v>
      </c>
      <c r="N1617" s="3">
        <v>1</v>
      </c>
      <c r="O1617" s="3">
        <v>0.15</v>
      </c>
      <c r="P1617" s="3">
        <v>0</v>
      </c>
      <c r="Q1617" s="3">
        <v>0</v>
      </c>
      <c r="R1617" s="3">
        <v>0</v>
      </c>
    </row>
    <row r="1618" spans="1:18">
      <c r="A1618" s="3" t="s">
        <v>4391</v>
      </c>
      <c r="B1618" s="3" t="s">
        <v>3418</v>
      </c>
      <c r="C1618" s="3" t="s">
        <v>3418</v>
      </c>
      <c r="D1618" s="3" t="s">
        <v>3419</v>
      </c>
      <c r="E1618" s="3" t="s">
        <v>120</v>
      </c>
      <c r="F1618" s="3">
        <v>22.98</v>
      </c>
      <c r="G1618" s="3" t="s">
        <v>121</v>
      </c>
      <c r="H1618" s="3"/>
      <c r="I1618" s="3" t="s">
        <v>122</v>
      </c>
      <c r="J1618" s="3">
        <v>4</v>
      </c>
      <c r="K1618" s="3">
        <v>3</v>
      </c>
      <c r="L1618" s="3">
        <v>1</v>
      </c>
      <c r="M1618" s="3">
        <v>0</v>
      </c>
      <c r="N1618" s="3">
        <v>4</v>
      </c>
      <c r="O1618" s="3">
        <v>0.17</v>
      </c>
      <c r="P1618" s="3">
        <v>0</v>
      </c>
      <c r="Q1618" s="3">
        <v>0</v>
      </c>
      <c r="R1618" s="3">
        <v>0</v>
      </c>
    </row>
    <row r="1619" spans="1:18">
      <c r="A1619" s="3" t="s">
        <v>4392</v>
      </c>
      <c r="B1619" s="3" t="s">
        <v>3426</v>
      </c>
      <c r="C1619" s="3" t="s">
        <v>3426</v>
      </c>
      <c r="D1619" s="3"/>
      <c r="E1619" s="3" t="s">
        <v>20</v>
      </c>
      <c r="F1619" s="3"/>
      <c r="G1619" s="3"/>
      <c r="H1619" s="3"/>
      <c r="I1619" s="3"/>
      <c r="J1619" s="3">
        <v>0</v>
      </c>
      <c r="K1619" s="3">
        <v>0</v>
      </c>
      <c r="L1619" s="3">
        <v>0</v>
      </c>
      <c r="M1619" s="3">
        <v>0</v>
      </c>
      <c r="N1619" s="3">
        <v>0</v>
      </c>
      <c r="O1619" s="3"/>
      <c r="P1619" s="3">
        <v>0</v>
      </c>
      <c r="Q1619" s="3">
        <v>0</v>
      </c>
      <c r="R1619" s="3">
        <v>0</v>
      </c>
    </row>
    <row r="1620" spans="1:18">
      <c r="A1620" s="3" t="s">
        <v>4393</v>
      </c>
      <c r="B1620" s="3" t="s">
        <v>3430</v>
      </c>
      <c r="C1620" s="3" t="s">
        <v>3430</v>
      </c>
      <c r="D1620" s="3" t="s">
        <v>3431</v>
      </c>
      <c r="E1620" s="3" t="s">
        <v>120</v>
      </c>
      <c r="F1620" s="3">
        <v>22.98</v>
      </c>
      <c r="G1620" s="3" t="s">
        <v>121</v>
      </c>
      <c r="H1620" s="3"/>
      <c r="I1620" s="3" t="s">
        <v>122</v>
      </c>
      <c r="J1620" s="3">
        <v>4</v>
      </c>
      <c r="K1620" s="3">
        <v>4</v>
      </c>
      <c r="L1620" s="3">
        <v>0</v>
      </c>
      <c r="M1620" s="3">
        <v>0</v>
      </c>
      <c r="N1620" s="3">
        <v>4</v>
      </c>
      <c r="O1620" s="3">
        <v>0.12</v>
      </c>
      <c r="P1620" s="3">
        <v>0</v>
      </c>
      <c r="Q1620" s="3">
        <v>0</v>
      </c>
      <c r="R1620" s="3">
        <v>0</v>
      </c>
    </row>
    <row r="1621" spans="1:18">
      <c r="A1621" s="3" t="s">
        <v>4394</v>
      </c>
      <c r="B1621" s="3" t="s">
        <v>3434</v>
      </c>
      <c r="C1621" s="3" t="s">
        <v>3434</v>
      </c>
      <c r="D1621" s="3" t="s">
        <v>3435</v>
      </c>
      <c r="E1621" s="3" t="s">
        <v>120</v>
      </c>
      <c r="F1621" s="3">
        <v>22.98</v>
      </c>
      <c r="G1621" s="3" t="s">
        <v>121</v>
      </c>
      <c r="H1621" s="3"/>
      <c r="I1621" s="3" t="s">
        <v>122</v>
      </c>
      <c r="J1621" s="3">
        <v>14</v>
      </c>
      <c r="K1621" s="3">
        <v>14</v>
      </c>
      <c r="L1621" s="3">
        <v>0</v>
      </c>
      <c r="M1621" s="3">
        <v>0</v>
      </c>
      <c r="N1621" s="3">
        <v>14</v>
      </c>
      <c r="O1621" s="3">
        <v>0.11</v>
      </c>
      <c r="P1621" s="3">
        <v>0</v>
      </c>
      <c r="Q1621" s="3">
        <v>0</v>
      </c>
      <c r="R1621" s="3">
        <v>0</v>
      </c>
    </row>
    <row r="1622" spans="1:18">
      <c r="A1622" s="3" t="s">
        <v>4395</v>
      </c>
      <c r="B1622" s="3" t="s">
        <v>3438</v>
      </c>
      <c r="C1622" s="3" t="s">
        <v>3438</v>
      </c>
      <c r="D1622" s="3" t="s">
        <v>3439</v>
      </c>
      <c r="E1622" s="3" t="s">
        <v>120</v>
      </c>
      <c r="F1622" s="3">
        <v>22.98</v>
      </c>
      <c r="G1622" s="3" t="s">
        <v>121</v>
      </c>
      <c r="H1622" s="3"/>
      <c r="I1622" s="3" t="s">
        <v>122</v>
      </c>
      <c r="J1622" s="3">
        <v>10</v>
      </c>
      <c r="K1622" s="3">
        <v>10</v>
      </c>
      <c r="L1622" s="3">
        <v>0</v>
      </c>
      <c r="M1622" s="3">
        <v>0</v>
      </c>
      <c r="N1622" s="3">
        <v>10</v>
      </c>
      <c r="O1622" s="3">
        <v>0.13</v>
      </c>
      <c r="P1622" s="3">
        <v>0</v>
      </c>
      <c r="Q1622" s="3">
        <v>0</v>
      </c>
      <c r="R1622" s="3">
        <v>0</v>
      </c>
    </row>
    <row r="1623" spans="1:18">
      <c r="A1623" s="3" t="s">
        <v>4396</v>
      </c>
      <c r="B1623" s="3" t="s">
        <v>3442</v>
      </c>
      <c r="C1623" s="3" t="s">
        <v>3442</v>
      </c>
      <c r="D1623" s="3" t="s">
        <v>3443</v>
      </c>
      <c r="E1623" s="3" t="s">
        <v>120</v>
      </c>
      <c r="F1623" s="3">
        <v>22.98</v>
      </c>
      <c r="G1623" s="3" t="s">
        <v>121</v>
      </c>
      <c r="H1623" s="3"/>
      <c r="I1623" s="3" t="s">
        <v>122</v>
      </c>
      <c r="J1623" s="3">
        <v>7</v>
      </c>
      <c r="K1623" s="3">
        <v>7</v>
      </c>
      <c r="L1623" s="3">
        <v>0</v>
      </c>
      <c r="M1623" s="3">
        <v>0</v>
      </c>
      <c r="N1623" s="3">
        <v>7</v>
      </c>
      <c r="O1623" s="3">
        <v>0.13</v>
      </c>
      <c r="P1623" s="3">
        <v>0</v>
      </c>
      <c r="Q1623" s="3">
        <v>0</v>
      </c>
      <c r="R1623" s="3">
        <v>0</v>
      </c>
    </row>
    <row r="1624" spans="1:18">
      <c r="A1624" s="3" t="s">
        <v>4397</v>
      </c>
      <c r="B1624" s="3" t="s">
        <v>3446</v>
      </c>
      <c r="C1624" s="3" t="s">
        <v>3446</v>
      </c>
      <c r="D1624" s="3" t="s">
        <v>3447</v>
      </c>
      <c r="E1624" s="3" t="s">
        <v>120</v>
      </c>
      <c r="F1624" s="3">
        <v>22.98</v>
      </c>
      <c r="G1624" s="3" t="s">
        <v>121</v>
      </c>
      <c r="H1624" s="3"/>
      <c r="I1624" s="3" t="s">
        <v>122</v>
      </c>
      <c r="J1624" s="3">
        <v>0</v>
      </c>
      <c r="K1624" s="3">
        <v>0</v>
      </c>
      <c r="L1624" s="3">
        <v>0</v>
      </c>
      <c r="M1624" s="3">
        <v>0</v>
      </c>
      <c r="N1624" s="3">
        <v>0</v>
      </c>
      <c r="O1624" s="3">
        <v>0.08</v>
      </c>
      <c r="P1624" s="3">
        <v>0</v>
      </c>
      <c r="Q1624" s="3">
        <v>0</v>
      </c>
      <c r="R1624" s="3">
        <v>0</v>
      </c>
    </row>
    <row r="1625" spans="1:18">
      <c r="A1625" s="3" t="s">
        <v>4398</v>
      </c>
      <c r="B1625" s="3" t="s">
        <v>4399</v>
      </c>
      <c r="C1625" s="3" t="s">
        <v>4399</v>
      </c>
      <c r="D1625" s="3"/>
      <c r="E1625" s="3" t="s">
        <v>20</v>
      </c>
      <c r="F1625" s="3"/>
      <c r="G1625" s="3"/>
      <c r="H1625" s="3"/>
      <c r="I1625" s="3"/>
      <c r="J1625" s="3">
        <v>0</v>
      </c>
      <c r="K1625" s="3">
        <v>0</v>
      </c>
      <c r="L1625" s="3">
        <v>0</v>
      </c>
      <c r="M1625" s="3">
        <v>0</v>
      </c>
      <c r="N1625" s="3">
        <v>0</v>
      </c>
      <c r="O1625" s="3"/>
      <c r="P1625" s="3">
        <v>0</v>
      </c>
      <c r="Q1625" s="3">
        <v>0</v>
      </c>
      <c r="R1625" s="3">
        <v>0</v>
      </c>
    </row>
    <row r="1626" spans="1:18">
      <c r="A1626" s="3" t="s">
        <v>4400</v>
      </c>
      <c r="B1626" s="3" t="s">
        <v>3454</v>
      </c>
      <c r="C1626" s="3" t="s">
        <v>3454</v>
      </c>
      <c r="D1626" s="3"/>
      <c r="E1626" s="3" t="s">
        <v>20</v>
      </c>
      <c r="F1626" s="3"/>
      <c r="G1626" s="3"/>
      <c r="H1626" s="3"/>
      <c r="I1626" s="3"/>
      <c r="J1626" s="3">
        <v>0</v>
      </c>
      <c r="K1626" s="3">
        <v>0</v>
      </c>
      <c r="L1626" s="3">
        <v>0</v>
      </c>
      <c r="M1626" s="3">
        <v>0</v>
      </c>
      <c r="N1626" s="3">
        <v>0</v>
      </c>
      <c r="O1626" s="3"/>
      <c r="P1626" s="3">
        <v>0</v>
      </c>
      <c r="Q1626" s="3">
        <v>0</v>
      </c>
      <c r="R1626" s="3">
        <v>0</v>
      </c>
    </row>
    <row r="1627" spans="1:18">
      <c r="A1627" s="3" t="s">
        <v>4401</v>
      </c>
      <c r="B1627" s="3" t="s">
        <v>3458</v>
      </c>
      <c r="C1627" s="3" t="s">
        <v>3458</v>
      </c>
      <c r="D1627" s="3" t="s">
        <v>3459</v>
      </c>
      <c r="E1627" s="3" t="s">
        <v>120</v>
      </c>
      <c r="F1627" s="3">
        <v>22.98</v>
      </c>
      <c r="G1627" s="3" t="s">
        <v>121</v>
      </c>
      <c r="H1627" s="3"/>
      <c r="I1627" s="3" t="s">
        <v>122</v>
      </c>
      <c r="J1627" s="3">
        <v>6</v>
      </c>
      <c r="K1627" s="3">
        <v>6</v>
      </c>
      <c r="L1627" s="3">
        <v>0</v>
      </c>
      <c r="M1627" s="3">
        <v>0</v>
      </c>
      <c r="N1627" s="3">
        <v>6</v>
      </c>
      <c r="O1627" s="3">
        <v>0.18</v>
      </c>
      <c r="P1627" s="3">
        <v>0</v>
      </c>
      <c r="Q1627" s="3">
        <v>0</v>
      </c>
      <c r="R1627" s="3">
        <v>0</v>
      </c>
    </row>
    <row r="1628" spans="1:18">
      <c r="A1628" s="3" t="s">
        <v>4402</v>
      </c>
      <c r="B1628" s="3" t="s">
        <v>3462</v>
      </c>
      <c r="C1628" s="3" t="s">
        <v>3462</v>
      </c>
      <c r="D1628" s="3" t="s">
        <v>3463</v>
      </c>
      <c r="E1628" s="3" t="s">
        <v>120</v>
      </c>
      <c r="F1628" s="3">
        <v>24.98</v>
      </c>
      <c r="G1628" s="3" t="s">
        <v>121</v>
      </c>
      <c r="H1628" s="3"/>
      <c r="I1628" s="3" t="s">
        <v>122</v>
      </c>
      <c r="J1628" s="3">
        <v>2</v>
      </c>
      <c r="K1628" s="3">
        <v>2</v>
      </c>
      <c r="L1628" s="3">
        <v>0</v>
      </c>
      <c r="M1628" s="3">
        <v>0</v>
      </c>
      <c r="N1628" s="3">
        <v>2</v>
      </c>
      <c r="O1628" s="3">
        <v>0.14</v>
      </c>
      <c r="P1628" s="3">
        <v>0</v>
      </c>
      <c r="Q1628" s="3">
        <v>0</v>
      </c>
      <c r="R1628" s="3">
        <v>0</v>
      </c>
    </row>
    <row r="1629" spans="1:18">
      <c r="A1629" s="3" t="s">
        <v>4403</v>
      </c>
      <c r="B1629" s="3" t="s">
        <v>3466</v>
      </c>
      <c r="C1629" s="3" t="s">
        <v>3466</v>
      </c>
      <c r="D1629" s="3" t="s">
        <v>3467</v>
      </c>
      <c r="E1629" s="3" t="s">
        <v>120</v>
      </c>
      <c r="F1629" s="3">
        <v>24.98</v>
      </c>
      <c r="G1629" s="3" t="s">
        <v>121</v>
      </c>
      <c r="H1629" s="3"/>
      <c r="I1629" s="3" t="s">
        <v>122</v>
      </c>
      <c r="J1629" s="3">
        <v>2</v>
      </c>
      <c r="K1629" s="3">
        <v>2</v>
      </c>
      <c r="L1629" s="3">
        <v>0</v>
      </c>
      <c r="M1629" s="3">
        <v>0</v>
      </c>
      <c r="N1629" s="3">
        <v>2</v>
      </c>
      <c r="O1629" s="3">
        <v>0.14</v>
      </c>
      <c r="P1629" s="3">
        <v>0</v>
      </c>
      <c r="Q1629" s="3">
        <v>0</v>
      </c>
      <c r="R1629" s="3">
        <v>0</v>
      </c>
    </row>
    <row r="1630" spans="1:18">
      <c r="A1630" s="3" t="s">
        <v>4404</v>
      </c>
      <c r="B1630" s="3" t="s">
        <v>3470</v>
      </c>
      <c r="C1630" s="3" t="s">
        <v>3470</v>
      </c>
      <c r="D1630" s="3"/>
      <c r="E1630" s="3" t="s">
        <v>20</v>
      </c>
      <c r="F1630" s="3"/>
      <c r="G1630" s="3"/>
      <c r="H1630" s="3"/>
      <c r="I1630" s="3"/>
      <c r="J1630" s="3">
        <v>0</v>
      </c>
      <c r="K1630" s="3">
        <v>0</v>
      </c>
      <c r="L1630" s="3">
        <v>0</v>
      </c>
      <c r="M1630" s="3">
        <v>0</v>
      </c>
      <c r="N1630" s="3">
        <v>0</v>
      </c>
      <c r="O1630" s="3"/>
      <c r="P1630" s="3">
        <v>0</v>
      </c>
      <c r="Q1630" s="3">
        <v>0</v>
      </c>
      <c r="R1630" s="3">
        <v>0</v>
      </c>
    </row>
    <row r="1631" spans="1:18">
      <c r="A1631" s="3" t="s">
        <v>4405</v>
      </c>
      <c r="B1631" s="3" t="s">
        <v>3474</v>
      </c>
      <c r="C1631" s="3" t="s">
        <v>3474</v>
      </c>
      <c r="D1631" s="3" t="s">
        <v>3475</v>
      </c>
      <c r="E1631" s="3" t="s">
        <v>120</v>
      </c>
      <c r="F1631" s="3">
        <v>24.98</v>
      </c>
      <c r="G1631" s="3" t="s">
        <v>121</v>
      </c>
      <c r="H1631" s="3"/>
      <c r="I1631" s="3" t="s">
        <v>122</v>
      </c>
      <c r="J1631" s="3">
        <v>4</v>
      </c>
      <c r="K1631" s="3">
        <v>4</v>
      </c>
      <c r="L1631" s="3">
        <v>0</v>
      </c>
      <c r="M1631" s="3">
        <v>0</v>
      </c>
      <c r="N1631" s="3">
        <v>4</v>
      </c>
      <c r="O1631" s="3">
        <v>0.14</v>
      </c>
      <c r="P1631" s="3">
        <v>0</v>
      </c>
      <c r="Q1631" s="3">
        <v>0</v>
      </c>
      <c r="R1631" s="3">
        <v>0</v>
      </c>
    </row>
    <row r="1632" spans="1:18">
      <c r="A1632" s="3" t="s">
        <v>4406</v>
      </c>
      <c r="B1632" s="3" t="s">
        <v>3478</v>
      </c>
      <c r="C1632" s="3" t="s">
        <v>3478</v>
      </c>
      <c r="D1632" s="3" t="s">
        <v>3479</v>
      </c>
      <c r="E1632" s="3" t="s">
        <v>120</v>
      </c>
      <c r="F1632" s="3">
        <v>24.98</v>
      </c>
      <c r="G1632" s="3" t="s">
        <v>121</v>
      </c>
      <c r="H1632" s="3"/>
      <c r="I1632" s="3" t="s">
        <v>122</v>
      </c>
      <c r="J1632" s="3">
        <v>4</v>
      </c>
      <c r="K1632" s="3">
        <v>4</v>
      </c>
      <c r="L1632" s="3">
        <v>0</v>
      </c>
      <c r="M1632" s="3">
        <v>0</v>
      </c>
      <c r="N1632" s="3">
        <v>4</v>
      </c>
      <c r="O1632" s="3">
        <v>0.14</v>
      </c>
      <c r="P1632" s="3">
        <v>0</v>
      </c>
      <c r="Q1632" s="3">
        <v>0</v>
      </c>
      <c r="R1632" s="3">
        <v>0</v>
      </c>
    </row>
    <row r="1633" spans="1:18">
      <c r="A1633" s="3" t="s">
        <v>4407</v>
      </c>
      <c r="B1633" s="3" t="s">
        <v>3482</v>
      </c>
      <c r="C1633" s="3" t="s">
        <v>3482</v>
      </c>
      <c r="D1633" s="3" t="s">
        <v>3483</v>
      </c>
      <c r="E1633" s="3" t="s">
        <v>120</v>
      </c>
      <c r="F1633" s="3">
        <v>24.98</v>
      </c>
      <c r="G1633" s="3" t="s">
        <v>121</v>
      </c>
      <c r="H1633" s="3"/>
      <c r="I1633" s="3" t="s">
        <v>122</v>
      </c>
      <c r="J1633" s="3">
        <v>6</v>
      </c>
      <c r="K1633" s="3">
        <v>6</v>
      </c>
      <c r="L1633" s="3">
        <v>0</v>
      </c>
      <c r="M1633" s="3">
        <v>0</v>
      </c>
      <c r="N1633" s="3">
        <v>6</v>
      </c>
      <c r="O1633" s="3">
        <v>0.14</v>
      </c>
      <c r="P1633" s="3">
        <v>0</v>
      </c>
      <c r="Q1633" s="3">
        <v>0</v>
      </c>
      <c r="R1633" s="3">
        <v>0</v>
      </c>
    </row>
    <row r="1634" spans="1:18">
      <c r="A1634" s="3" t="s">
        <v>4408</v>
      </c>
      <c r="B1634" s="3" t="s">
        <v>3486</v>
      </c>
      <c r="C1634" s="3" t="s">
        <v>3486</v>
      </c>
      <c r="D1634" s="3" t="s">
        <v>3487</v>
      </c>
      <c r="E1634" s="3" t="s">
        <v>120</v>
      </c>
      <c r="F1634" s="3">
        <v>24.98</v>
      </c>
      <c r="G1634" s="3" t="s">
        <v>121</v>
      </c>
      <c r="H1634" s="3"/>
      <c r="I1634" s="3" t="s">
        <v>122</v>
      </c>
      <c r="J1634" s="3">
        <v>3</v>
      </c>
      <c r="K1634" s="3">
        <v>3</v>
      </c>
      <c r="L1634" s="3">
        <v>0</v>
      </c>
      <c r="M1634" s="3">
        <v>0</v>
      </c>
      <c r="N1634" s="3">
        <v>3</v>
      </c>
      <c r="O1634" s="3">
        <v>0.14</v>
      </c>
      <c r="P1634" s="3">
        <v>0</v>
      </c>
      <c r="Q1634" s="3">
        <v>0</v>
      </c>
      <c r="R1634" s="3">
        <v>0</v>
      </c>
    </row>
    <row r="1635" spans="1:18">
      <c r="A1635" s="3" t="s">
        <v>4409</v>
      </c>
      <c r="B1635" s="3" t="s">
        <v>3490</v>
      </c>
      <c r="C1635" s="3" t="s">
        <v>3490</v>
      </c>
      <c r="D1635" s="3" t="s">
        <v>3491</v>
      </c>
      <c r="E1635" s="3" t="s">
        <v>120</v>
      </c>
      <c r="F1635" s="3">
        <v>24.98</v>
      </c>
      <c r="G1635" s="3" t="s">
        <v>121</v>
      </c>
      <c r="H1635" s="3"/>
      <c r="I1635" s="3" t="s">
        <v>122</v>
      </c>
      <c r="J1635" s="3">
        <v>6</v>
      </c>
      <c r="K1635" s="3">
        <v>6</v>
      </c>
      <c r="L1635" s="3">
        <v>0</v>
      </c>
      <c r="M1635" s="3">
        <v>0</v>
      </c>
      <c r="N1635" s="3">
        <v>6</v>
      </c>
      <c r="O1635" s="3">
        <v>0.14</v>
      </c>
      <c r="P1635" s="3">
        <v>0</v>
      </c>
      <c r="Q1635" s="3">
        <v>0</v>
      </c>
      <c r="R1635" s="3">
        <v>0</v>
      </c>
    </row>
    <row r="1636" spans="1:18">
      <c r="A1636" s="3" t="s">
        <v>4410</v>
      </c>
      <c r="B1636" s="3" t="s">
        <v>3494</v>
      </c>
      <c r="C1636" s="3" t="s">
        <v>3494</v>
      </c>
      <c r="D1636" s="3" t="s">
        <v>3495</v>
      </c>
      <c r="E1636" s="3" t="s">
        <v>120</v>
      </c>
      <c r="F1636" s="3">
        <v>24.98</v>
      </c>
      <c r="G1636" s="3" t="s">
        <v>121</v>
      </c>
      <c r="H1636" s="3"/>
      <c r="I1636" s="3" t="s">
        <v>122</v>
      </c>
      <c r="J1636" s="3">
        <v>8</v>
      </c>
      <c r="K1636" s="3">
        <v>8</v>
      </c>
      <c r="L1636" s="3">
        <v>0</v>
      </c>
      <c r="M1636" s="3">
        <v>0</v>
      </c>
      <c r="N1636" s="3">
        <v>8</v>
      </c>
      <c r="O1636" s="3">
        <v>0.14</v>
      </c>
      <c r="P1636" s="3">
        <v>0</v>
      </c>
      <c r="Q1636" s="3">
        <v>0</v>
      </c>
      <c r="R1636" s="3">
        <v>0</v>
      </c>
    </row>
    <row r="1637" spans="1:18">
      <c r="A1637" s="3" t="s">
        <v>4411</v>
      </c>
      <c r="B1637" s="3" t="s">
        <v>3498</v>
      </c>
      <c r="C1637" s="3" t="s">
        <v>3498</v>
      </c>
      <c r="D1637" s="3" t="s">
        <v>3499</v>
      </c>
      <c r="E1637" s="3" t="s">
        <v>120</v>
      </c>
      <c r="F1637" s="3">
        <v>24.98</v>
      </c>
      <c r="G1637" s="3" t="s">
        <v>121</v>
      </c>
      <c r="H1637" s="3"/>
      <c r="I1637" s="3" t="s">
        <v>122</v>
      </c>
      <c r="J1637" s="3">
        <v>8</v>
      </c>
      <c r="K1637" s="3">
        <v>8</v>
      </c>
      <c r="L1637" s="3">
        <v>0</v>
      </c>
      <c r="M1637" s="3">
        <v>0</v>
      </c>
      <c r="N1637" s="3">
        <v>8</v>
      </c>
      <c r="O1637" s="3">
        <v>0.14</v>
      </c>
      <c r="P1637" s="3">
        <v>0</v>
      </c>
      <c r="Q1637" s="3">
        <v>0</v>
      </c>
      <c r="R1637" s="3">
        <v>0</v>
      </c>
    </row>
    <row r="1638" spans="1:18">
      <c r="A1638" s="3" t="s">
        <v>4412</v>
      </c>
      <c r="B1638" s="3" t="s">
        <v>3502</v>
      </c>
      <c r="C1638" s="3" t="s">
        <v>3502</v>
      </c>
      <c r="D1638" s="3" t="s">
        <v>3503</v>
      </c>
      <c r="E1638" s="3" t="s">
        <v>120</v>
      </c>
      <c r="F1638" s="3">
        <v>24.98</v>
      </c>
      <c r="G1638" s="3" t="s">
        <v>121</v>
      </c>
      <c r="H1638" s="3"/>
      <c r="I1638" s="3" t="s">
        <v>122</v>
      </c>
      <c r="J1638" s="3">
        <v>4</v>
      </c>
      <c r="K1638" s="3">
        <v>4</v>
      </c>
      <c r="L1638" s="3">
        <v>0</v>
      </c>
      <c r="M1638" s="3">
        <v>0</v>
      </c>
      <c r="N1638" s="3">
        <v>4</v>
      </c>
      <c r="O1638" s="3">
        <v>0.14</v>
      </c>
      <c r="P1638" s="3">
        <v>0</v>
      </c>
      <c r="Q1638" s="3">
        <v>0</v>
      </c>
      <c r="R1638" s="3">
        <v>0</v>
      </c>
    </row>
    <row r="1639" spans="1:18">
      <c r="A1639" s="3" t="s">
        <v>4413</v>
      </c>
      <c r="B1639" s="3" t="s">
        <v>3506</v>
      </c>
      <c r="C1639" s="3" t="s">
        <v>3506</v>
      </c>
      <c r="D1639" s="3" t="s">
        <v>3507</v>
      </c>
      <c r="E1639" s="3" t="s">
        <v>120</v>
      </c>
      <c r="F1639" s="3">
        <v>24.98</v>
      </c>
      <c r="G1639" s="3" t="s">
        <v>121</v>
      </c>
      <c r="H1639" s="3"/>
      <c r="I1639" s="3" t="s">
        <v>122</v>
      </c>
      <c r="J1639" s="3">
        <v>8</v>
      </c>
      <c r="K1639" s="3">
        <v>8</v>
      </c>
      <c r="L1639" s="3">
        <v>0</v>
      </c>
      <c r="M1639" s="3">
        <v>0</v>
      </c>
      <c r="N1639" s="3">
        <v>8</v>
      </c>
      <c r="O1639" s="3">
        <v>0.14</v>
      </c>
      <c r="P1639" s="3">
        <v>0</v>
      </c>
      <c r="Q1639" s="3">
        <v>0</v>
      </c>
      <c r="R1639" s="3">
        <v>0</v>
      </c>
    </row>
    <row r="1640" spans="1:18">
      <c r="A1640" s="3" t="s">
        <v>4414</v>
      </c>
      <c r="B1640" s="3" t="s">
        <v>3510</v>
      </c>
      <c r="C1640" s="3" t="s">
        <v>3510</v>
      </c>
      <c r="D1640" s="3" t="s">
        <v>3511</v>
      </c>
      <c r="E1640" s="3" t="s">
        <v>120</v>
      </c>
      <c r="F1640" s="3">
        <v>24.98</v>
      </c>
      <c r="G1640" s="3" t="s">
        <v>121</v>
      </c>
      <c r="H1640" s="3"/>
      <c r="I1640" s="3" t="s">
        <v>122</v>
      </c>
      <c r="J1640" s="3">
        <v>0</v>
      </c>
      <c r="K1640" s="3">
        <v>0</v>
      </c>
      <c r="L1640" s="3">
        <v>0</v>
      </c>
      <c r="M1640" s="3">
        <v>0</v>
      </c>
      <c r="N1640" s="3">
        <v>0</v>
      </c>
      <c r="O1640" s="3">
        <v>0.14</v>
      </c>
      <c r="P1640" s="3">
        <v>0</v>
      </c>
      <c r="Q1640" s="3">
        <v>0</v>
      </c>
      <c r="R1640" s="3">
        <v>0</v>
      </c>
    </row>
    <row r="1641" spans="1:18">
      <c r="A1641" s="3" t="s">
        <v>4415</v>
      </c>
      <c r="B1641" s="3" t="s">
        <v>3514</v>
      </c>
      <c r="C1641" s="3" t="s">
        <v>3514</v>
      </c>
      <c r="D1641" s="3" t="s">
        <v>3515</v>
      </c>
      <c r="E1641" s="3" t="s">
        <v>120</v>
      </c>
      <c r="F1641" s="3">
        <v>24.98</v>
      </c>
      <c r="G1641" s="3" t="s">
        <v>121</v>
      </c>
      <c r="H1641" s="3"/>
      <c r="I1641" s="3" t="s">
        <v>122</v>
      </c>
      <c r="J1641" s="3">
        <v>7</v>
      </c>
      <c r="K1641" s="3">
        <v>7</v>
      </c>
      <c r="L1641" s="3">
        <v>0</v>
      </c>
      <c r="M1641" s="3">
        <v>0</v>
      </c>
      <c r="N1641" s="3">
        <v>7</v>
      </c>
      <c r="O1641" s="3">
        <v>0.14</v>
      </c>
      <c r="P1641" s="3">
        <v>0</v>
      </c>
      <c r="Q1641" s="3">
        <v>0</v>
      </c>
      <c r="R1641" s="3">
        <v>0</v>
      </c>
    </row>
    <row r="1642" spans="1:18">
      <c r="A1642" s="3" t="s">
        <v>4416</v>
      </c>
      <c r="B1642" s="3" t="s">
        <v>3518</v>
      </c>
      <c r="C1642" s="3" t="s">
        <v>3518</v>
      </c>
      <c r="D1642" s="3" t="s">
        <v>3519</v>
      </c>
      <c r="E1642" s="3" t="s">
        <v>120</v>
      </c>
      <c r="F1642" s="3">
        <v>24.98</v>
      </c>
      <c r="G1642" s="3" t="s">
        <v>121</v>
      </c>
      <c r="H1642" s="3"/>
      <c r="I1642" s="3" t="s">
        <v>122</v>
      </c>
      <c r="J1642" s="3">
        <v>1</v>
      </c>
      <c r="K1642" s="3">
        <v>0</v>
      </c>
      <c r="L1642" s="3">
        <v>0</v>
      </c>
      <c r="M1642" s="3">
        <v>1</v>
      </c>
      <c r="N1642" s="3">
        <v>1</v>
      </c>
      <c r="O1642" s="3">
        <v>0.14</v>
      </c>
      <c r="P1642" s="3">
        <v>0</v>
      </c>
      <c r="Q1642" s="3">
        <v>0</v>
      </c>
      <c r="R1642" s="3">
        <v>0</v>
      </c>
    </row>
    <row r="1643" spans="1:18">
      <c r="A1643" s="3" t="s">
        <v>4417</v>
      </c>
      <c r="B1643" s="3" t="s">
        <v>3522</v>
      </c>
      <c r="C1643" s="3" t="s">
        <v>3522</v>
      </c>
      <c r="D1643" s="3" t="s">
        <v>3523</v>
      </c>
      <c r="E1643" s="3" t="s">
        <v>120</v>
      </c>
      <c r="F1643" s="3">
        <v>24.98</v>
      </c>
      <c r="G1643" s="3" t="s">
        <v>121</v>
      </c>
      <c r="H1643" s="3"/>
      <c r="I1643" s="3" t="s">
        <v>122</v>
      </c>
      <c r="J1643" s="3">
        <v>2</v>
      </c>
      <c r="K1643" s="3">
        <v>2</v>
      </c>
      <c r="L1643" s="3">
        <v>0</v>
      </c>
      <c r="M1643" s="3">
        <v>0</v>
      </c>
      <c r="N1643" s="3">
        <v>2</v>
      </c>
      <c r="O1643" s="3">
        <v>0.14</v>
      </c>
      <c r="P1643" s="3">
        <v>0</v>
      </c>
      <c r="Q1643" s="3">
        <v>0</v>
      </c>
      <c r="R1643" s="3">
        <v>0</v>
      </c>
    </row>
    <row r="1644" spans="1:18">
      <c r="A1644" s="3" t="s">
        <v>4418</v>
      </c>
      <c r="B1644" s="3" t="s">
        <v>3526</v>
      </c>
      <c r="C1644" s="3" t="s">
        <v>3526</v>
      </c>
      <c r="D1644" s="3" t="s">
        <v>3527</v>
      </c>
      <c r="E1644" s="3" t="s">
        <v>120</v>
      </c>
      <c r="F1644" s="3">
        <v>24.98</v>
      </c>
      <c r="G1644" s="3" t="s">
        <v>121</v>
      </c>
      <c r="H1644" s="3"/>
      <c r="I1644" s="3" t="s">
        <v>122</v>
      </c>
      <c r="J1644" s="3">
        <v>3</v>
      </c>
      <c r="K1644" s="3">
        <v>3</v>
      </c>
      <c r="L1644" s="3">
        <v>0</v>
      </c>
      <c r="M1644" s="3">
        <v>0</v>
      </c>
      <c r="N1644" s="3">
        <v>3</v>
      </c>
      <c r="O1644" s="3">
        <v>0.14</v>
      </c>
      <c r="P1644" s="3">
        <v>0</v>
      </c>
      <c r="Q1644" s="3">
        <v>0</v>
      </c>
      <c r="R1644" s="3">
        <v>0</v>
      </c>
    </row>
    <row r="1645" spans="1:18">
      <c r="A1645" s="3" t="s">
        <v>4419</v>
      </c>
      <c r="B1645" s="3" t="s">
        <v>3530</v>
      </c>
      <c r="C1645" s="3" t="s">
        <v>3530</v>
      </c>
      <c r="D1645" s="3" t="s">
        <v>3531</v>
      </c>
      <c r="E1645" s="3" t="s">
        <v>120</v>
      </c>
      <c r="F1645" s="3">
        <v>24.98</v>
      </c>
      <c r="G1645" s="3" t="s">
        <v>121</v>
      </c>
      <c r="H1645" s="3"/>
      <c r="I1645" s="3" t="s">
        <v>122</v>
      </c>
      <c r="J1645" s="3">
        <v>3</v>
      </c>
      <c r="K1645" s="3">
        <v>3</v>
      </c>
      <c r="L1645" s="3">
        <v>0</v>
      </c>
      <c r="M1645" s="3">
        <v>0</v>
      </c>
      <c r="N1645" s="3">
        <v>3</v>
      </c>
      <c r="O1645" s="3">
        <v>0.14</v>
      </c>
      <c r="P1645" s="3">
        <v>0</v>
      </c>
      <c r="Q1645" s="3">
        <v>0</v>
      </c>
      <c r="R1645" s="3">
        <v>0</v>
      </c>
    </row>
    <row r="1646" spans="1:18">
      <c r="A1646" s="3" t="s">
        <v>4420</v>
      </c>
      <c r="B1646" s="3" t="s">
        <v>3534</v>
      </c>
      <c r="C1646" s="3" t="s">
        <v>3534</v>
      </c>
      <c r="D1646" s="3"/>
      <c r="E1646" s="3" t="s">
        <v>20</v>
      </c>
      <c r="F1646" s="3"/>
      <c r="G1646" s="3"/>
      <c r="H1646" s="3"/>
      <c r="I1646" s="3"/>
      <c r="J1646" s="3">
        <v>0</v>
      </c>
      <c r="K1646" s="3">
        <v>0</v>
      </c>
      <c r="L1646" s="3">
        <v>0</v>
      </c>
      <c r="M1646" s="3">
        <v>0</v>
      </c>
      <c r="N1646" s="3">
        <v>0</v>
      </c>
      <c r="O1646" s="3"/>
      <c r="P1646" s="3">
        <v>0</v>
      </c>
      <c r="Q1646" s="3">
        <v>0</v>
      </c>
      <c r="R1646" s="3">
        <v>0</v>
      </c>
    </row>
    <row r="1647" spans="1:18">
      <c r="A1647" s="3" t="s">
        <v>4421</v>
      </c>
      <c r="B1647" s="3" t="s">
        <v>3538</v>
      </c>
      <c r="C1647" s="3" t="s">
        <v>3538</v>
      </c>
      <c r="D1647" s="3" t="s">
        <v>3539</v>
      </c>
      <c r="E1647" s="3" t="s">
        <v>120</v>
      </c>
      <c r="F1647" s="3">
        <v>24.98</v>
      </c>
      <c r="G1647" s="3" t="s">
        <v>121</v>
      </c>
      <c r="H1647" s="3"/>
      <c r="I1647" s="3" t="s">
        <v>122</v>
      </c>
      <c r="J1647" s="3">
        <v>5</v>
      </c>
      <c r="K1647" s="3">
        <v>5</v>
      </c>
      <c r="L1647" s="3">
        <v>0</v>
      </c>
      <c r="M1647" s="3">
        <v>0</v>
      </c>
      <c r="N1647" s="3">
        <v>5</v>
      </c>
      <c r="O1647" s="3">
        <v>0.14</v>
      </c>
      <c r="P1647" s="3">
        <v>0</v>
      </c>
      <c r="Q1647" s="3">
        <v>0</v>
      </c>
      <c r="R1647" s="3">
        <v>0</v>
      </c>
    </row>
    <row r="1648" spans="1:18">
      <c r="A1648" s="3" t="s">
        <v>4422</v>
      </c>
      <c r="B1648" s="3" t="s">
        <v>3542</v>
      </c>
      <c r="C1648" s="3" t="s">
        <v>3542</v>
      </c>
      <c r="D1648" s="3" t="s">
        <v>3543</v>
      </c>
      <c r="E1648" s="3" t="s">
        <v>120</v>
      </c>
      <c r="F1648" s="3">
        <v>24.98</v>
      </c>
      <c r="G1648" s="3" t="s">
        <v>121</v>
      </c>
      <c r="H1648" s="3"/>
      <c r="I1648" s="3" t="s">
        <v>122</v>
      </c>
      <c r="J1648" s="3">
        <v>3</v>
      </c>
      <c r="K1648" s="3">
        <v>3</v>
      </c>
      <c r="L1648" s="3">
        <v>0</v>
      </c>
      <c r="M1648" s="3">
        <v>0</v>
      </c>
      <c r="N1648" s="3">
        <v>3</v>
      </c>
      <c r="O1648" s="3">
        <v>0.14</v>
      </c>
      <c r="P1648" s="3">
        <v>0</v>
      </c>
      <c r="Q1648" s="3">
        <v>0</v>
      </c>
      <c r="R1648" s="3">
        <v>0</v>
      </c>
    </row>
    <row r="1649" spans="1:18">
      <c r="A1649" s="3" t="s">
        <v>4423</v>
      </c>
      <c r="B1649" s="3" t="s">
        <v>3546</v>
      </c>
      <c r="C1649" s="3" t="s">
        <v>3546</v>
      </c>
      <c r="D1649" s="3" t="s">
        <v>3547</v>
      </c>
      <c r="E1649" s="3" t="s">
        <v>120</v>
      </c>
      <c r="F1649" s="3">
        <v>24.98</v>
      </c>
      <c r="G1649" s="3" t="s">
        <v>121</v>
      </c>
      <c r="H1649" s="3"/>
      <c r="I1649" s="3" t="s">
        <v>122</v>
      </c>
      <c r="J1649" s="3">
        <v>4</v>
      </c>
      <c r="K1649" s="3">
        <v>4</v>
      </c>
      <c r="L1649" s="3">
        <v>0</v>
      </c>
      <c r="M1649" s="3">
        <v>0</v>
      </c>
      <c r="N1649" s="3">
        <v>4</v>
      </c>
      <c r="O1649" s="3">
        <v>0.14</v>
      </c>
      <c r="P1649" s="3">
        <v>0</v>
      </c>
      <c r="Q1649" s="3">
        <v>0</v>
      </c>
      <c r="R1649" s="3">
        <v>0</v>
      </c>
    </row>
    <row r="1650" spans="1:18">
      <c r="A1650" s="3" t="s">
        <v>4424</v>
      </c>
      <c r="B1650" s="3" t="s">
        <v>3550</v>
      </c>
      <c r="C1650" s="3" t="s">
        <v>3550</v>
      </c>
      <c r="D1650" s="3" t="s">
        <v>3551</v>
      </c>
      <c r="E1650" s="3" t="s">
        <v>120</v>
      </c>
      <c r="F1650" s="3">
        <v>24.98</v>
      </c>
      <c r="G1650" s="3" t="s">
        <v>121</v>
      </c>
      <c r="H1650" s="3"/>
      <c r="I1650" s="3" t="s">
        <v>122</v>
      </c>
      <c r="J1650" s="3">
        <v>2</v>
      </c>
      <c r="K1650" s="3">
        <v>2</v>
      </c>
      <c r="L1650" s="3">
        <v>0</v>
      </c>
      <c r="M1650" s="3">
        <v>0</v>
      </c>
      <c r="N1650" s="3">
        <v>2</v>
      </c>
      <c r="O1650" s="3">
        <v>0.14</v>
      </c>
      <c r="P1650" s="3">
        <v>0</v>
      </c>
      <c r="Q1650" s="3">
        <v>0</v>
      </c>
      <c r="R1650" s="3">
        <v>0</v>
      </c>
    </row>
    <row r="1651" spans="1:18">
      <c r="A1651" s="3" t="s">
        <v>4425</v>
      </c>
      <c r="B1651" s="3" t="s">
        <v>3554</v>
      </c>
      <c r="C1651" s="3" t="s">
        <v>3554</v>
      </c>
      <c r="D1651" s="3" t="s">
        <v>3555</v>
      </c>
      <c r="E1651" s="3" t="s">
        <v>120</v>
      </c>
      <c r="F1651" s="3">
        <v>24.98</v>
      </c>
      <c r="G1651" s="3" t="s">
        <v>121</v>
      </c>
      <c r="H1651" s="3"/>
      <c r="I1651" s="3" t="s">
        <v>122</v>
      </c>
      <c r="J1651" s="3">
        <v>6</v>
      </c>
      <c r="K1651" s="3">
        <v>6</v>
      </c>
      <c r="L1651" s="3">
        <v>0</v>
      </c>
      <c r="M1651" s="3">
        <v>0</v>
      </c>
      <c r="N1651" s="3">
        <v>6</v>
      </c>
      <c r="O1651" s="3">
        <v>0.14</v>
      </c>
      <c r="P1651" s="3">
        <v>0</v>
      </c>
      <c r="Q1651" s="3">
        <v>0</v>
      </c>
      <c r="R1651" s="3">
        <v>0</v>
      </c>
    </row>
    <row r="1652" spans="1:18">
      <c r="A1652" s="3" t="s">
        <v>4426</v>
      </c>
      <c r="B1652" s="3" t="s">
        <v>3558</v>
      </c>
      <c r="C1652" s="3" t="s">
        <v>3558</v>
      </c>
      <c r="D1652" s="3" t="s">
        <v>3559</v>
      </c>
      <c r="E1652" s="3" t="s">
        <v>120</v>
      </c>
      <c r="F1652" s="3">
        <v>24.98</v>
      </c>
      <c r="G1652" s="3" t="s">
        <v>121</v>
      </c>
      <c r="H1652" s="3"/>
      <c r="I1652" s="3" t="s">
        <v>122</v>
      </c>
      <c r="J1652" s="3">
        <v>6</v>
      </c>
      <c r="K1652" s="3">
        <v>6</v>
      </c>
      <c r="L1652" s="3">
        <v>0</v>
      </c>
      <c r="M1652" s="3">
        <v>0</v>
      </c>
      <c r="N1652" s="3">
        <v>6</v>
      </c>
      <c r="O1652" s="3">
        <v>0.14</v>
      </c>
      <c r="P1652" s="3">
        <v>0</v>
      </c>
      <c r="Q1652" s="3">
        <v>0</v>
      </c>
      <c r="R1652" s="3">
        <v>0</v>
      </c>
    </row>
    <row r="1653" spans="1:18">
      <c r="A1653" s="3" t="s">
        <v>4427</v>
      </c>
      <c r="B1653" s="3" t="s">
        <v>3562</v>
      </c>
      <c r="C1653" s="3" t="s">
        <v>3562</v>
      </c>
      <c r="D1653" s="3" t="s">
        <v>3563</v>
      </c>
      <c r="E1653" s="3" t="s">
        <v>120</v>
      </c>
      <c r="F1653" s="3">
        <v>24.98</v>
      </c>
      <c r="G1653" s="3" t="s">
        <v>121</v>
      </c>
      <c r="H1653" s="3"/>
      <c r="I1653" s="3" t="s">
        <v>122</v>
      </c>
      <c r="J1653" s="3">
        <v>6</v>
      </c>
      <c r="K1653" s="3">
        <v>6</v>
      </c>
      <c r="L1653" s="3">
        <v>0</v>
      </c>
      <c r="M1653" s="3">
        <v>0</v>
      </c>
      <c r="N1653" s="3">
        <v>6</v>
      </c>
      <c r="O1653" s="3">
        <v>0.14</v>
      </c>
      <c r="P1653" s="3">
        <v>0</v>
      </c>
      <c r="Q1653" s="3">
        <v>0</v>
      </c>
      <c r="R1653" s="3">
        <v>0</v>
      </c>
    </row>
    <row r="1654" spans="1:18">
      <c r="A1654" s="3" t="s">
        <v>4428</v>
      </c>
      <c r="B1654" s="3" t="s">
        <v>3566</v>
      </c>
      <c r="C1654" s="3" t="s">
        <v>3566</v>
      </c>
      <c r="D1654" s="3" t="s">
        <v>3567</v>
      </c>
      <c r="E1654" s="3" t="s">
        <v>120</v>
      </c>
      <c r="F1654" s="3">
        <v>24.98</v>
      </c>
      <c r="G1654" s="3" t="s">
        <v>121</v>
      </c>
      <c r="H1654" s="3"/>
      <c r="I1654" s="3" t="s">
        <v>122</v>
      </c>
      <c r="J1654" s="3">
        <v>1</v>
      </c>
      <c r="K1654" s="3">
        <v>1</v>
      </c>
      <c r="L1654" s="3">
        <v>0</v>
      </c>
      <c r="M1654" s="3">
        <v>0</v>
      </c>
      <c r="N1654" s="3">
        <v>1</v>
      </c>
      <c r="O1654" s="3">
        <v>0.19</v>
      </c>
      <c r="P1654" s="3">
        <v>0</v>
      </c>
      <c r="Q1654" s="3">
        <v>0</v>
      </c>
      <c r="R1654" s="3">
        <v>0</v>
      </c>
    </row>
    <row r="1655" spans="1:18">
      <c r="A1655" s="3" t="s">
        <v>4429</v>
      </c>
      <c r="B1655" s="3" t="s">
        <v>3570</v>
      </c>
      <c r="C1655" s="3" t="s">
        <v>3570</v>
      </c>
      <c r="D1655" s="3" t="s">
        <v>3571</v>
      </c>
      <c r="E1655" s="3" t="s">
        <v>120</v>
      </c>
      <c r="F1655" s="3">
        <v>24.98</v>
      </c>
      <c r="G1655" s="3" t="s">
        <v>121</v>
      </c>
      <c r="H1655" s="3"/>
      <c r="I1655" s="3" t="s">
        <v>122</v>
      </c>
      <c r="J1655" s="3">
        <v>4</v>
      </c>
      <c r="K1655" s="3">
        <v>4</v>
      </c>
      <c r="L1655" s="3">
        <v>0</v>
      </c>
      <c r="M1655" s="3">
        <v>0</v>
      </c>
      <c r="N1655" s="3">
        <v>4</v>
      </c>
      <c r="O1655" s="3">
        <v>0.14</v>
      </c>
      <c r="P1655" s="3">
        <v>0</v>
      </c>
      <c r="Q1655" s="3">
        <v>0</v>
      </c>
      <c r="R1655" s="3">
        <v>0</v>
      </c>
    </row>
    <row r="1656" spans="1:18">
      <c r="A1656" s="3" t="s">
        <v>4430</v>
      </c>
      <c r="B1656" s="3" t="s">
        <v>3574</v>
      </c>
      <c r="C1656" s="3" t="s">
        <v>3574</v>
      </c>
      <c r="D1656" s="3" t="s">
        <v>3575</v>
      </c>
      <c r="E1656" s="3" t="s">
        <v>120</v>
      </c>
      <c r="F1656" s="3">
        <v>24.98</v>
      </c>
      <c r="G1656" s="3" t="s">
        <v>121</v>
      </c>
      <c r="H1656" s="3"/>
      <c r="I1656" s="3" t="s">
        <v>122</v>
      </c>
      <c r="J1656" s="3">
        <v>5</v>
      </c>
      <c r="K1656" s="3">
        <v>5</v>
      </c>
      <c r="L1656" s="3">
        <v>0</v>
      </c>
      <c r="M1656" s="3">
        <v>0</v>
      </c>
      <c r="N1656" s="3">
        <v>5</v>
      </c>
      <c r="O1656" s="3">
        <v>0.14</v>
      </c>
      <c r="P1656" s="3">
        <v>0</v>
      </c>
      <c r="Q1656" s="3">
        <v>0</v>
      </c>
      <c r="R1656" s="3">
        <v>0</v>
      </c>
    </row>
    <row r="1657" spans="1:18">
      <c r="A1657" s="3" t="s">
        <v>4431</v>
      </c>
      <c r="B1657" s="3" t="s">
        <v>3578</v>
      </c>
      <c r="C1657" s="3" t="s">
        <v>3578</v>
      </c>
      <c r="D1657" s="3" t="s">
        <v>3579</v>
      </c>
      <c r="E1657" s="3" t="s">
        <v>120</v>
      </c>
      <c r="F1657" s="3">
        <v>24.98</v>
      </c>
      <c r="G1657" s="3" t="s">
        <v>121</v>
      </c>
      <c r="H1657" s="3"/>
      <c r="I1657" s="3" t="s">
        <v>122</v>
      </c>
      <c r="J1657" s="3">
        <v>10</v>
      </c>
      <c r="K1657" s="3">
        <v>10</v>
      </c>
      <c r="L1657" s="3">
        <v>0</v>
      </c>
      <c r="M1657" s="3">
        <v>0</v>
      </c>
      <c r="N1657" s="3">
        <v>10</v>
      </c>
      <c r="O1657" s="3">
        <v>0.14</v>
      </c>
      <c r="P1657" s="3">
        <v>0</v>
      </c>
      <c r="Q1657" s="3">
        <v>0</v>
      </c>
      <c r="R1657" s="3">
        <v>0</v>
      </c>
    </row>
    <row r="1658" spans="1:18">
      <c r="A1658" s="3" t="s">
        <v>4432</v>
      </c>
      <c r="B1658" s="3" t="s">
        <v>3582</v>
      </c>
      <c r="C1658" s="3" t="s">
        <v>3582</v>
      </c>
      <c r="D1658" s="3" t="s">
        <v>3583</v>
      </c>
      <c r="E1658" s="3" t="s">
        <v>120</v>
      </c>
      <c r="F1658" s="3">
        <v>24.98</v>
      </c>
      <c r="G1658" s="3" t="s">
        <v>121</v>
      </c>
      <c r="H1658" s="3"/>
      <c r="I1658" s="3" t="s">
        <v>122</v>
      </c>
      <c r="J1658" s="3">
        <v>4</v>
      </c>
      <c r="K1658" s="3">
        <v>4</v>
      </c>
      <c r="L1658" s="3">
        <v>0</v>
      </c>
      <c r="M1658" s="3">
        <v>0</v>
      </c>
      <c r="N1658" s="3">
        <v>4</v>
      </c>
      <c r="O1658" s="3">
        <v>0.14</v>
      </c>
      <c r="P1658" s="3">
        <v>0</v>
      </c>
      <c r="Q1658" s="3">
        <v>0</v>
      </c>
      <c r="R1658" s="3">
        <v>0</v>
      </c>
    </row>
    <row r="1659" spans="1:18">
      <c r="A1659" s="3" t="s">
        <v>4433</v>
      </c>
      <c r="B1659" s="3" t="s">
        <v>3586</v>
      </c>
      <c r="C1659" s="3" t="s">
        <v>3586</v>
      </c>
      <c r="D1659" s="3" t="s">
        <v>3587</v>
      </c>
      <c r="E1659" s="3" t="s">
        <v>120</v>
      </c>
      <c r="F1659" s="3">
        <v>24.98</v>
      </c>
      <c r="G1659" s="3" t="s">
        <v>121</v>
      </c>
      <c r="H1659" s="3"/>
      <c r="I1659" s="3" t="s">
        <v>122</v>
      </c>
      <c r="J1659" s="3">
        <v>7</v>
      </c>
      <c r="K1659" s="3">
        <v>7</v>
      </c>
      <c r="L1659" s="3">
        <v>0</v>
      </c>
      <c r="M1659" s="3">
        <v>0</v>
      </c>
      <c r="N1659" s="3">
        <v>7</v>
      </c>
      <c r="O1659" s="3">
        <v>0.14</v>
      </c>
      <c r="P1659" s="3">
        <v>0</v>
      </c>
      <c r="Q1659" s="3">
        <v>0</v>
      </c>
      <c r="R1659" s="3">
        <v>0</v>
      </c>
    </row>
    <row r="1660" spans="1:18">
      <c r="A1660" s="3" t="s">
        <v>4434</v>
      </c>
      <c r="B1660" s="3" t="s">
        <v>4435</v>
      </c>
      <c r="C1660" s="3" t="s">
        <v>4435</v>
      </c>
      <c r="D1660" s="3"/>
      <c r="E1660" s="3" t="s">
        <v>20</v>
      </c>
      <c r="F1660" s="3"/>
      <c r="G1660" s="3"/>
      <c r="H1660" s="3"/>
      <c r="I1660" s="3"/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/>
      <c r="P1660" s="3">
        <v>0</v>
      </c>
      <c r="Q1660" s="3">
        <v>0</v>
      </c>
      <c r="R1660" s="3">
        <v>0</v>
      </c>
    </row>
    <row r="1661" spans="1:18">
      <c r="A1661" s="3" t="s">
        <v>4436</v>
      </c>
      <c r="B1661" s="3" t="s">
        <v>4437</v>
      </c>
      <c r="C1661" s="3" t="s">
        <v>4437</v>
      </c>
      <c r="D1661" s="3"/>
      <c r="E1661" s="3" t="s">
        <v>20</v>
      </c>
      <c r="F1661" s="3"/>
      <c r="G1661" s="3"/>
      <c r="H1661" s="3"/>
      <c r="I1661" s="3"/>
      <c r="J1661" s="3">
        <v>0</v>
      </c>
      <c r="K1661" s="3">
        <v>0</v>
      </c>
      <c r="L1661" s="3">
        <v>0</v>
      </c>
      <c r="M1661" s="3">
        <v>0</v>
      </c>
      <c r="N1661" s="3">
        <v>0</v>
      </c>
      <c r="O1661" s="3"/>
      <c r="P1661" s="3">
        <v>0</v>
      </c>
      <c r="Q1661" s="3">
        <v>0</v>
      </c>
      <c r="R1661" s="3">
        <v>0</v>
      </c>
    </row>
    <row r="1662" spans="1:18">
      <c r="A1662" s="3" t="s">
        <v>4438</v>
      </c>
      <c r="B1662" s="3" t="s">
        <v>4439</v>
      </c>
      <c r="C1662" s="3" t="s">
        <v>4439</v>
      </c>
      <c r="D1662" s="3" t="s">
        <v>4440</v>
      </c>
      <c r="E1662" s="3" t="s">
        <v>120</v>
      </c>
      <c r="F1662" s="3">
        <v>39.98</v>
      </c>
      <c r="G1662" s="3" t="s">
        <v>121</v>
      </c>
      <c r="H1662" s="3"/>
      <c r="I1662" s="3" t="s">
        <v>122</v>
      </c>
      <c r="J1662" s="3">
        <v>0</v>
      </c>
      <c r="K1662" s="3">
        <v>0</v>
      </c>
      <c r="L1662" s="3">
        <v>0</v>
      </c>
      <c r="M1662" s="3">
        <v>0</v>
      </c>
      <c r="N1662" s="3">
        <v>0</v>
      </c>
      <c r="O1662" s="3">
        <v>0.13</v>
      </c>
      <c r="P1662" s="3">
        <v>0</v>
      </c>
      <c r="Q1662" s="3">
        <v>0</v>
      </c>
      <c r="R1662" s="3">
        <v>0</v>
      </c>
    </row>
    <row r="1663" spans="1:18">
      <c r="A1663" s="3" t="s">
        <v>4441</v>
      </c>
      <c r="B1663" s="3" t="s">
        <v>4442</v>
      </c>
      <c r="C1663" s="3" t="s">
        <v>4442</v>
      </c>
      <c r="D1663" s="3"/>
      <c r="E1663" s="3" t="s">
        <v>20</v>
      </c>
      <c r="F1663" s="3"/>
      <c r="G1663" s="3"/>
      <c r="H1663" s="3"/>
      <c r="I1663" s="3"/>
      <c r="J1663" s="3">
        <v>0</v>
      </c>
      <c r="K1663" s="3">
        <v>0</v>
      </c>
      <c r="L1663" s="3">
        <v>0</v>
      </c>
      <c r="M1663" s="3">
        <v>0</v>
      </c>
      <c r="N1663" s="3">
        <v>0</v>
      </c>
      <c r="O1663" s="3"/>
      <c r="P1663" s="3">
        <v>0</v>
      </c>
      <c r="Q1663" s="3">
        <v>0</v>
      </c>
      <c r="R1663" s="3">
        <v>0</v>
      </c>
    </row>
    <row r="1664" spans="1:18">
      <c r="A1664" s="3" t="s">
        <v>4443</v>
      </c>
      <c r="B1664" s="3" t="s">
        <v>4444</v>
      </c>
      <c r="C1664" s="3" t="s">
        <v>4444</v>
      </c>
      <c r="D1664" s="3" t="s">
        <v>4445</v>
      </c>
      <c r="E1664" s="3" t="s">
        <v>120</v>
      </c>
      <c r="F1664" s="3">
        <v>39.98</v>
      </c>
      <c r="G1664" s="3" t="s">
        <v>121</v>
      </c>
      <c r="H1664" s="3"/>
      <c r="I1664" s="3" t="s">
        <v>122</v>
      </c>
      <c r="J1664" s="3">
        <v>0</v>
      </c>
      <c r="K1664" s="3">
        <v>0</v>
      </c>
      <c r="L1664" s="3">
        <v>0</v>
      </c>
      <c r="M1664" s="3">
        <v>0</v>
      </c>
      <c r="N1664" s="3">
        <v>0</v>
      </c>
      <c r="O1664" s="3">
        <v>0.25</v>
      </c>
      <c r="P1664" s="3">
        <v>0</v>
      </c>
      <c r="Q1664" s="3">
        <v>0</v>
      </c>
      <c r="R1664" s="3">
        <v>0</v>
      </c>
    </row>
    <row r="1665" spans="1:18">
      <c r="A1665" s="3" t="s">
        <v>4446</v>
      </c>
      <c r="B1665" s="3" t="s">
        <v>4447</v>
      </c>
      <c r="C1665" s="3" t="s">
        <v>4447</v>
      </c>
      <c r="D1665" s="3"/>
      <c r="E1665" s="3" t="s">
        <v>20</v>
      </c>
      <c r="F1665" s="3"/>
      <c r="G1665" s="3"/>
      <c r="H1665" s="3"/>
      <c r="I1665" s="3"/>
      <c r="J1665" s="3">
        <v>0</v>
      </c>
      <c r="K1665" s="3">
        <v>0</v>
      </c>
      <c r="L1665" s="3">
        <v>0</v>
      </c>
      <c r="M1665" s="3">
        <v>0</v>
      </c>
      <c r="N1665" s="3">
        <v>0</v>
      </c>
      <c r="O1665" s="3"/>
      <c r="P1665" s="3">
        <v>0</v>
      </c>
      <c r="Q1665" s="3">
        <v>0</v>
      </c>
      <c r="R1665" s="3">
        <v>0</v>
      </c>
    </row>
    <row r="1666" spans="1:18">
      <c r="A1666" s="3" t="s">
        <v>4448</v>
      </c>
      <c r="B1666" s="3" t="s">
        <v>4449</v>
      </c>
      <c r="C1666" s="3" t="s">
        <v>4449</v>
      </c>
      <c r="D1666" s="3" t="s">
        <v>4450</v>
      </c>
      <c r="E1666" s="3" t="s">
        <v>120</v>
      </c>
      <c r="F1666" s="3">
        <v>39.98</v>
      </c>
      <c r="G1666" s="3" t="s">
        <v>121</v>
      </c>
      <c r="H1666" s="3"/>
      <c r="I1666" s="3" t="s">
        <v>122</v>
      </c>
      <c r="J1666" s="3">
        <v>5</v>
      </c>
      <c r="K1666" s="3">
        <v>5</v>
      </c>
      <c r="L1666" s="3">
        <v>0</v>
      </c>
      <c r="M1666" s="3">
        <v>0</v>
      </c>
      <c r="N1666" s="3">
        <v>5</v>
      </c>
      <c r="O1666" s="3">
        <v>0.25</v>
      </c>
      <c r="P1666" s="3">
        <v>0</v>
      </c>
      <c r="Q1666" s="3">
        <v>0</v>
      </c>
      <c r="R1666" s="3">
        <v>0</v>
      </c>
    </row>
    <row r="1667" spans="1:18">
      <c r="A1667" s="3" t="s">
        <v>4451</v>
      </c>
      <c r="B1667" s="3" t="s">
        <v>4452</v>
      </c>
      <c r="C1667" s="3" t="s">
        <v>4452</v>
      </c>
      <c r="D1667" s="3"/>
      <c r="E1667" s="3" t="s">
        <v>20</v>
      </c>
      <c r="F1667" s="3"/>
      <c r="G1667" s="3"/>
      <c r="H1667" s="3"/>
      <c r="I1667" s="3"/>
      <c r="J1667" s="3">
        <v>0</v>
      </c>
      <c r="K1667" s="3">
        <v>0</v>
      </c>
      <c r="L1667" s="3">
        <v>0</v>
      </c>
      <c r="M1667" s="3">
        <v>0</v>
      </c>
      <c r="N1667" s="3">
        <v>0</v>
      </c>
      <c r="O1667" s="3"/>
      <c r="P1667" s="3">
        <v>0</v>
      </c>
      <c r="Q1667" s="3">
        <v>0</v>
      </c>
      <c r="R1667" s="3">
        <v>0</v>
      </c>
    </row>
    <row r="1668" spans="1:18">
      <c r="A1668" s="3" t="s">
        <v>4453</v>
      </c>
      <c r="B1668" s="3" t="s">
        <v>4454</v>
      </c>
      <c r="C1668" s="3" t="s">
        <v>4454</v>
      </c>
      <c r="D1668" s="3" t="s">
        <v>4455</v>
      </c>
      <c r="E1668" s="3" t="s">
        <v>120</v>
      </c>
      <c r="F1668" s="3">
        <v>39.98</v>
      </c>
      <c r="G1668" s="3" t="s">
        <v>121</v>
      </c>
      <c r="H1668" s="3"/>
      <c r="I1668" s="3" t="s">
        <v>122</v>
      </c>
      <c r="J1668" s="3">
        <v>2</v>
      </c>
      <c r="K1668" s="3">
        <v>2</v>
      </c>
      <c r="L1668" s="3">
        <v>0</v>
      </c>
      <c r="M1668" s="3">
        <v>0</v>
      </c>
      <c r="N1668" s="3">
        <v>2</v>
      </c>
      <c r="O1668" s="3">
        <v>0.29</v>
      </c>
      <c r="P1668" s="3">
        <v>0</v>
      </c>
      <c r="Q1668" s="3">
        <v>0</v>
      </c>
      <c r="R1668" s="3">
        <v>0</v>
      </c>
    </row>
    <row r="1669" spans="1:18">
      <c r="A1669" s="3" t="s">
        <v>4456</v>
      </c>
      <c r="B1669" s="3" t="s">
        <v>4457</v>
      </c>
      <c r="C1669" s="3" t="s">
        <v>4457</v>
      </c>
      <c r="D1669" s="3" t="s">
        <v>4458</v>
      </c>
      <c r="E1669" s="3" t="s">
        <v>120</v>
      </c>
      <c r="F1669" s="3">
        <v>39.98</v>
      </c>
      <c r="G1669" s="3" t="s">
        <v>121</v>
      </c>
      <c r="H1669" s="3"/>
      <c r="I1669" s="3" t="s">
        <v>122</v>
      </c>
      <c r="J1669" s="3">
        <v>15</v>
      </c>
      <c r="K1669" s="3">
        <v>15</v>
      </c>
      <c r="L1669" s="3">
        <v>0</v>
      </c>
      <c r="M1669" s="3">
        <v>0</v>
      </c>
      <c r="N1669" s="3">
        <v>15</v>
      </c>
      <c r="O1669" s="3">
        <v>0.25</v>
      </c>
      <c r="P1669" s="3">
        <v>0</v>
      </c>
      <c r="Q1669" s="3">
        <v>0</v>
      </c>
      <c r="R1669" s="3">
        <v>0</v>
      </c>
    </row>
    <row r="1670" spans="1:18">
      <c r="A1670" s="3" t="s">
        <v>4459</v>
      </c>
      <c r="B1670" s="3" t="s">
        <v>4460</v>
      </c>
      <c r="C1670" s="3" t="s">
        <v>4460</v>
      </c>
      <c r="D1670" s="3" t="s">
        <v>4461</v>
      </c>
      <c r="E1670" s="3" t="s">
        <v>120</v>
      </c>
      <c r="F1670" s="3">
        <v>39.98</v>
      </c>
      <c r="G1670" s="3" t="s">
        <v>121</v>
      </c>
      <c r="H1670" s="3"/>
      <c r="I1670" s="3" t="s">
        <v>122</v>
      </c>
      <c r="J1670" s="3">
        <v>1</v>
      </c>
      <c r="K1670" s="3">
        <v>1</v>
      </c>
      <c r="L1670" s="3">
        <v>0</v>
      </c>
      <c r="M1670" s="3">
        <v>0</v>
      </c>
      <c r="N1670" s="3">
        <v>1</v>
      </c>
      <c r="O1670" s="3">
        <v>0.22</v>
      </c>
      <c r="P1670" s="3">
        <v>0</v>
      </c>
      <c r="Q1670" s="3">
        <v>0</v>
      </c>
      <c r="R1670" s="3">
        <v>0</v>
      </c>
    </row>
    <row r="1671" spans="1:18">
      <c r="A1671" s="3" t="s">
        <v>4462</v>
      </c>
      <c r="B1671" s="3" t="s">
        <v>4463</v>
      </c>
      <c r="C1671" s="3" t="s">
        <v>4463</v>
      </c>
      <c r="D1671" s="3" t="s">
        <v>4464</v>
      </c>
      <c r="E1671" s="3" t="s">
        <v>120</v>
      </c>
      <c r="F1671" s="3">
        <v>39.98</v>
      </c>
      <c r="G1671" s="3" t="s">
        <v>121</v>
      </c>
      <c r="H1671" s="3"/>
      <c r="I1671" s="3" t="s">
        <v>122</v>
      </c>
      <c r="J1671" s="3">
        <v>0</v>
      </c>
      <c r="K1671" s="3">
        <v>0</v>
      </c>
      <c r="L1671" s="3">
        <v>0</v>
      </c>
      <c r="M1671" s="3">
        <v>0</v>
      </c>
      <c r="N1671" s="3">
        <v>0</v>
      </c>
      <c r="O1671" s="3">
        <v>0.25</v>
      </c>
      <c r="P1671" s="3">
        <v>0</v>
      </c>
      <c r="Q1671" s="3">
        <v>0</v>
      </c>
      <c r="R1671" s="3">
        <v>0</v>
      </c>
    </row>
    <row r="1672" spans="1:18">
      <c r="A1672" s="3" t="s">
        <v>4465</v>
      </c>
      <c r="B1672" s="3" t="s">
        <v>4466</v>
      </c>
      <c r="C1672" s="3" t="s">
        <v>4466</v>
      </c>
      <c r="D1672" s="3" t="s">
        <v>4467</v>
      </c>
      <c r="E1672" s="3" t="s">
        <v>120</v>
      </c>
      <c r="F1672" s="3">
        <v>39.98</v>
      </c>
      <c r="G1672" s="3" t="s">
        <v>121</v>
      </c>
      <c r="H1672" s="3"/>
      <c r="I1672" s="3" t="s">
        <v>122</v>
      </c>
      <c r="J1672" s="3">
        <v>0</v>
      </c>
      <c r="K1672" s="3">
        <v>0</v>
      </c>
      <c r="L1672" s="3">
        <v>0</v>
      </c>
      <c r="M1672" s="3">
        <v>0</v>
      </c>
      <c r="N1672" s="3">
        <v>0</v>
      </c>
      <c r="O1672" s="3">
        <v>0.21</v>
      </c>
      <c r="P1672" s="3">
        <v>0</v>
      </c>
      <c r="Q1672" s="3">
        <v>0</v>
      </c>
      <c r="R1672" s="3">
        <v>0</v>
      </c>
    </row>
    <row r="1673" spans="1:18">
      <c r="A1673" s="3" t="s">
        <v>4468</v>
      </c>
      <c r="B1673" s="3" t="s">
        <v>4469</v>
      </c>
      <c r="C1673" s="3" t="s">
        <v>4469</v>
      </c>
      <c r="D1673" s="3" t="s">
        <v>4470</v>
      </c>
      <c r="E1673" s="3" t="s">
        <v>120</v>
      </c>
      <c r="F1673" s="3">
        <v>39.98</v>
      </c>
      <c r="G1673" s="3" t="s">
        <v>121</v>
      </c>
      <c r="H1673" s="3"/>
      <c r="I1673" s="3" t="s">
        <v>122</v>
      </c>
      <c r="J1673" s="3">
        <v>0</v>
      </c>
      <c r="K1673" s="3">
        <v>0</v>
      </c>
      <c r="L1673" s="3">
        <v>0</v>
      </c>
      <c r="M1673" s="3">
        <v>0</v>
      </c>
      <c r="N1673" s="3">
        <v>0</v>
      </c>
      <c r="O1673" s="3">
        <v>0.21</v>
      </c>
      <c r="P1673" s="3">
        <v>0</v>
      </c>
      <c r="Q1673" s="3">
        <v>0</v>
      </c>
      <c r="R1673" s="3">
        <v>0</v>
      </c>
    </row>
    <row r="1674" spans="1:18">
      <c r="A1674" s="3" t="s">
        <v>4471</v>
      </c>
      <c r="B1674" s="3" t="s">
        <v>4472</v>
      </c>
      <c r="C1674" s="3" t="s">
        <v>4472</v>
      </c>
      <c r="D1674" s="3" t="s">
        <v>4473</v>
      </c>
      <c r="E1674" s="3" t="s">
        <v>120</v>
      </c>
      <c r="F1674" s="3">
        <v>39.98</v>
      </c>
      <c r="G1674" s="3" t="s">
        <v>121</v>
      </c>
      <c r="H1674" s="3"/>
      <c r="I1674" s="3" t="s">
        <v>122</v>
      </c>
      <c r="J1674" s="3">
        <v>0</v>
      </c>
      <c r="K1674" s="3">
        <v>0</v>
      </c>
      <c r="L1674" s="3">
        <v>0</v>
      </c>
      <c r="M1674" s="3">
        <v>0</v>
      </c>
      <c r="N1674" s="3">
        <v>0</v>
      </c>
      <c r="O1674" s="3">
        <v>0.23</v>
      </c>
      <c r="P1674" s="3">
        <v>0</v>
      </c>
      <c r="Q1674" s="3">
        <v>0</v>
      </c>
      <c r="R1674" s="3">
        <v>0</v>
      </c>
    </row>
    <row r="1675" spans="1:18">
      <c r="A1675" s="3" t="s">
        <v>4474</v>
      </c>
      <c r="B1675" s="3" t="s">
        <v>4475</v>
      </c>
      <c r="C1675" s="3" t="s">
        <v>4475</v>
      </c>
      <c r="D1675" s="3" t="s">
        <v>4476</v>
      </c>
      <c r="E1675" s="3" t="s">
        <v>120</v>
      </c>
      <c r="F1675" s="3">
        <v>39.98</v>
      </c>
      <c r="G1675" s="3" t="s">
        <v>121</v>
      </c>
      <c r="H1675" s="3"/>
      <c r="I1675" s="3" t="s">
        <v>122</v>
      </c>
      <c r="J1675" s="3">
        <v>0</v>
      </c>
      <c r="K1675" s="3">
        <v>0</v>
      </c>
      <c r="L1675" s="3">
        <v>0</v>
      </c>
      <c r="M1675" s="3">
        <v>0</v>
      </c>
      <c r="N1675" s="3">
        <v>0</v>
      </c>
      <c r="O1675" s="3">
        <v>0.25</v>
      </c>
      <c r="P1675" s="3">
        <v>0</v>
      </c>
      <c r="Q1675" s="3">
        <v>0</v>
      </c>
      <c r="R1675" s="3">
        <v>0</v>
      </c>
    </row>
    <row r="1676" spans="1:18">
      <c r="A1676" s="3" t="s">
        <v>4477</v>
      </c>
      <c r="B1676" s="3" t="s">
        <v>4478</v>
      </c>
      <c r="C1676" s="3" t="s">
        <v>4478</v>
      </c>
      <c r="D1676" s="3" t="s">
        <v>4479</v>
      </c>
      <c r="E1676" s="3" t="s">
        <v>120</v>
      </c>
      <c r="F1676" s="3">
        <v>39.98</v>
      </c>
      <c r="G1676" s="3" t="s">
        <v>121</v>
      </c>
      <c r="H1676" s="3"/>
      <c r="I1676" s="3" t="s">
        <v>122</v>
      </c>
      <c r="J1676" s="3">
        <v>0</v>
      </c>
      <c r="K1676" s="3">
        <v>0</v>
      </c>
      <c r="L1676" s="3">
        <v>0</v>
      </c>
      <c r="M1676" s="3">
        <v>0</v>
      </c>
      <c r="N1676" s="3">
        <v>0</v>
      </c>
      <c r="O1676" s="3">
        <v>0.18</v>
      </c>
      <c r="P1676" s="3">
        <v>0</v>
      </c>
      <c r="Q1676" s="3">
        <v>0</v>
      </c>
      <c r="R1676" s="3">
        <v>0</v>
      </c>
    </row>
    <row r="1677" spans="1:18">
      <c r="A1677" s="3" t="s">
        <v>4480</v>
      </c>
      <c r="B1677" s="3" t="s">
        <v>3612</v>
      </c>
      <c r="C1677" s="3" t="s">
        <v>3612</v>
      </c>
      <c r="D1677" s="3" t="s">
        <v>3613</v>
      </c>
      <c r="E1677" s="3" t="s">
        <v>120</v>
      </c>
      <c r="F1677" s="3">
        <v>23.98</v>
      </c>
      <c r="G1677" s="3" t="s">
        <v>121</v>
      </c>
      <c r="H1677" s="3"/>
      <c r="I1677" s="3" t="s">
        <v>122</v>
      </c>
      <c r="J1677" s="3">
        <v>4</v>
      </c>
      <c r="K1677" s="3">
        <v>4</v>
      </c>
      <c r="L1677" s="3">
        <v>0</v>
      </c>
      <c r="M1677" s="3">
        <v>0</v>
      </c>
      <c r="N1677" s="3">
        <v>4</v>
      </c>
      <c r="O1677" s="3">
        <v>0.09</v>
      </c>
      <c r="P1677" s="3">
        <v>0</v>
      </c>
      <c r="Q1677" s="3">
        <v>0</v>
      </c>
      <c r="R1677" s="3">
        <v>0</v>
      </c>
    </row>
    <row r="1678" spans="1:18">
      <c r="A1678" s="3" t="s">
        <v>4481</v>
      </c>
      <c r="B1678" s="3" t="s">
        <v>3620</v>
      </c>
      <c r="C1678" s="3" t="s">
        <v>3620</v>
      </c>
      <c r="D1678" s="3" t="s">
        <v>3621</v>
      </c>
      <c r="E1678" s="3" t="s">
        <v>120</v>
      </c>
      <c r="F1678" s="3">
        <v>23.98</v>
      </c>
      <c r="G1678" s="3" t="s">
        <v>121</v>
      </c>
      <c r="H1678" s="3"/>
      <c r="I1678" s="3" t="s">
        <v>122</v>
      </c>
      <c r="J1678" s="3">
        <v>1</v>
      </c>
      <c r="K1678" s="3">
        <v>1</v>
      </c>
      <c r="L1678" s="3">
        <v>0</v>
      </c>
      <c r="M1678" s="3">
        <v>0</v>
      </c>
      <c r="N1678" s="3">
        <v>1</v>
      </c>
      <c r="O1678" s="3">
        <v>0.09</v>
      </c>
      <c r="P1678" s="3">
        <v>0</v>
      </c>
      <c r="Q1678" s="3">
        <v>0</v>
      </c>
      <c r="R1678" s="3">
        <v>0</v>
      </c>
    </row>
    <row r="1679" spans="1:18">
      <c r="A1679" s="3" t="s">
        <v>4482</v>
      </c>
      <c r="B1679" s="3" t="s">
        <v>3644</v>
      </c>
      <c r="C1679" s="3" t="s">
        <v>3644</v>
      </c>
      <c r="D1679" s="3" t="s">
        <v>3645</v>
      </c>
      <c r="E1679" s="3" t="s">
        <v>120</v>
      </c>
      <c r="F1679" s="3">
        <v>23.98</v>
      </c>
      <c r="G1679" s="3" t="s">
        <v>121</v>
      </c>
      <c r="H1679" s="3"/>
      <c r="I1679" s="3" t="s">
        <v>122</v>
      </c>
      <c r="J1679" s="3">
        <v>5</v>
      </c>
      <c r="K1679" s="3">
        <v>5</v>
      </c>
      <c r="L1679" s="3">
        <v>0</v>
      </c>
      <c r="M1679" s="3">
        <v>0</v>
      </c>
      <c r="N1679" s="3">
        <v>5</v>
      </c>
      <c r="O1679" s="3">
        <v>0.09</v>
      </c>
      <c r="P1679" s="3">
        <v>0</v>
      </c>
      <c r="Q1679" s="3">
        <v>0</v>
      </c>
      <c r="R1679" s="3">
        <v>0</v>
      </c>
    </row>
    <row r="1680" spans="1:18">
      <c r="A1680" s="3" t="s">
        <v>4483</v>
      </c>
      <c r="B1680" s="3" t="s">
        <v>3652</v>
      </c>
      <c r="C1680" s="3" t="s">
        <v>3652</v>
      </c>
      <c r="D1680" s="3" t="s">
        <v>3653</v>
      </c>
      <c r="E1680" s="3" t="s">
        <v>120</v>
      </c>
      <c r="F1680" s="3">
        <v>23.98</v>
      </c>
      <c r="G1680" s="3" t="s">
        <v>121</v>
      </c>
      <c r="H1680" s="3"/>
      <c r="I1680" s="3" t="s">
        <v>122</v>
      </c>
      <c r="J1680" s="3">
        <v>4</v>
      </c>
      <c r="K1680" s="3">
        <v>4</v>
      </c>
      <c r="L1680" s="3">
        <v>0</v>
      </c>
      <c r="M1680" s="3">
        <v>0</v>
      </c>
      <c r="N1680" s="3">
        <v>4</v>
      </c>
      <c r="O1680" s="3">
        <v>0.09</v>
      </c>
      <c r="P1680" s="3">
        <v>0</v>
      </c>
      <c r="Q1680" s="3">
        <v>0</v>
      </c>
      <c r="R1680" s="3">
        <v>0</v>
      </c>
    </row>
    <row r="1681" spans="1:18">
      <c r="A1681" s="3" t="s">
        <v>4484</v>
      </c>
      <c r="B1681" s="3" t="s">
        <v>3656</v>
      </c>
      <c r="C1681" s="3" t="s">
        <v>3656</v>
      </c>
      <c r="D1681" s="3" t="s">
        <v>3657</v>
      </c>
      <c r="E1681" s="3" t="s">
        <v>120</v>
      </c>
      <c r="F1681" s="3">
        <v>23.98</v>
      </c>
      <c r="G1681" s="3" t="s">
        <v>121</v>
      </c>
      <c r="H1681" s="3"/>
      <c r="I1681" s="3" t="s">
        <v>122</v>
      </c>
      <c r="J1681" s="3">
        <v>7</v>
      </c>
      <c r="K1681" s="3">
        <v>7</v>
      </c>
      <c r="L1681" s="3">
        <v>0</v>
      </c>
      <c r="M1681" s="3">
        <v>0</v>
      </c>
      <c r="N1681" s="3">
        <v>7</v>
      </c>
      <c r="O1681" s="3">
        <v>0.09</v>
      </c>
      <c r="P1681" s="3">
        <v>0</v>
      </c>
      <c r="Q1681" s="3">
        <v>0</v>
      </c>
      <c r="R1681" s="3">
        <v>0</v>
      </c>
    </row>
    <row r="1682" spans="1:18">
      <c r="A1682" s="3" t="s">
        <v>4485</v>
      </c>
      <c r="B1682" s="3" t="s">
        <v>3660</v>
      </c>
      <c r="C1682" s="3" t="s">
        <v>3660</v>
      </c>
      <c r="D1682" s="3" t="s">
        <v>3661</v>
      </c>
      <c r="E1682" s="3" t="s">
        <v>120</v>
      </c>
      <c r="F1682" s="3">
        <v>23.98</v>
      </c>
      <c r="G1682" s="3" t="s">
        <v>121</v>
      </c>
      <c r="H1682" s="3"/>
      <c r="I1682" s="3" t="s">
        <v>122</v>
      </c>
      <c r="J1682" s="3">
        <v>4</v>
      </c>
      <c r="K1682" s="3">
        <v>4</v>
      </c>
      <c r="L1682" s="3">
        <v>0</v>
      </c>
      <c r="M1682" s="3">
        <v>0</v>
      </c>
      <c r="N1682" s="3">
        <v>4</v>
      </c>
      <c r="O1682" s="3">
        <v>0.09</v>
      </c>
      <c r="P1682" s="3">
        <v>0</v>
      </c>
      <c r="Q1682" s="3">
        <v>0</v>
      </c>
      <c r="R1682" s="3">
        <v>0</v>
      </c>
    </row>
    <row r="1683" spans="1:18">
      <c r="A1683" s="3" t="s">
        <v>4486</v>
      </c>
      <c r="B1683" s="3" t="s">
        <v>3664</v>
      </c>
      <c r="C1683" s="3" t="s">
        <v>3664</v>
      </c>
      <c r="D1683" s="3"/>
      <c r="E1683" s="3" t="s">
        <v>20</v>
      </c>
      <c r="F1683" s="3"/>
      <c r="G1683" s="3"/>
      <c r="H1683" s="3"/>
      <c r="I1683" s="3"/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/>
      <c r="P1683" s="3">
        <v>0</v>
      </c>
      <c r="Q1683" s="3">
        <v>0</v>
      </c>
      <c r="R1683" s="3">
        <v>0</v>
      </c>
    </row>
    <row r="1684" spans="1:18">
      <c r="A1684" s="3" t="s">
        <v>4487</v>
      </c>
      <c r="B1684" s="3" t="s">
        <v>3668</v>
      </c>
      <c r="C1684" s="3" t="s">
        <v>3668</v>
      </c>
      <c r="D1684" s="3" t="s">
        <v>3669</v>
      </c>
      <c r="E1684" s="3" t="s">
        <v>120</v>
      </c>
      <c r="F1684" s="3">
        <v>23.98</v>
      </c>
      <c r="G1684" s="3" t="s">
        <v>121</v>
      </c>
      <c r="H1684" s="3"/>
      <c r="I1684" s="3" t="s">
        <v>122</v>
      </c>
      <c r="J1684" s="3">
        <v>5</v>
      </c>
      <c r="K1684" s="3">
        <v>5</v>
      </c>
      <c r="L1684" s="3">
        <v>0</v>
      </c>
      <c r="M1684" s="3">
        <v>0</v>
      </c>
      <c r="N1684" s="3">
        <v>5</v>
      </c>
      <c r="O1684" s="3">
        <v>0.09</v>
      </c>
      <c r="P1684" s="3">
        <v>0</v>
      </c>
      <c r="Q1684" s="3">
        <v>0</v>
      </c>
      <c r="R1684" s="3">
        <v>0</v>
      </c>
    </row>
    <row r="1685" spans="1:18">
      <c r="A1685" s="3" t="s">
        <v>4488</v>
      </c>
      <c r="B1685" s="3" t="s">
        <v>3672</v>
      </c>
      <c r="C1685" s="3" t="s">
        <v>3672</v>
      </c>
      <c r="D1685" s="3" t="s">
        <v>3673</v>
      </c>
      <c r="E1685" s="3" t="s">
        <v>120</v>
      </c>
      <c r="F1685" s="3">
        <v>23.98</v>
      </c>
      <c r="G1685" s="3" t="s">
        <v>121</v>
      </c>
      <c r="H1685" s="3"/>
      <c r="I1685" s="3" t="s">
        <v>122</v>
      </c>
      <c r="J1685" s="3">
        <v>0</v>
      </c>
      <c r="K1685" s="3">
        <v>0</v>
      </c>
      <c r="L1685" s="3">
        <v>0</v>
      </c>
      <c r="M1685" s="3">
        <v>0</v>
      </c>
      <c r="N1685" s="3">
        <v>0</v>
      </c>
      <c r="O1685" s="3">
        <v>0.09</v>
      </c>
      <c r="P1685" s="3">
        <v>0</v>
      </c>
      <c r="Q1685" s="3">
        <v>0</v>
      </c>
      <c r="R1685" s="3">
        <v>0</v>
      </c>
    </row>
    <row r="1686" spans="1:18">
      <c r="A1686" s="3" t="s">
        <v>4489</v>
      </c>
      <c r="B1686" s="3" t="s">
        <v>3676</v>
      </c>
      <c r="C1686" s="3" t="s">
        <v>3676</v>
      </c>
      <c r="D1686" s="3" t="s">
        <v>3677</v>
      </c>
      <c r="E1686" s="3" t="s">
        <v>120</v>
      </c>
      <c r="F1686" s="3">
        <v>23.98</v>
      </c>
      <c r="G1686" s="3" t="s">
        <v>121</v>
      </c>
      <c r="H1686" s="3"/>
      <c r="I1686" s="3" t="s">
        <v>122</v>
      </c>
      <c r="J1686" s="3">
        <v>1</v>
      </c>
      <c r="K1686" s="3">
        <v>1</v>
      </c>
      <c r="L1686" s="3">
        <v>0</v>
      </c>
      <c r="M1686" s="3">
        <v>0</v>
      </c>
      <c r="N1686" s="3">
        <v>1</v>
      </c>
      <c r="O1686" s="3">
        <v>0.09</v>
      </c>
      <c r="P1686" s="3">
        <v>0</v>
      </c>
      <c r="Q1686" s="3">
        <v>0</v>
      </c>
      <c r="R1686" s="3">
        <v>0</v>
      </c>
    </row>
    <row r="1687" spans="1:18">
      <c r="A1687" s="3" t="s">
        <v>4490</v>
      </c>
      <c r="B1687" s="3" t="s">
        <v>3687</v>
      </c>
      <c r="C1687" s="3" t="s">
        <v>3687</v>
      </c>
      <c r="D1687" s="3" t="s">
        <v>3688</v>
      </c>
      <c r="E1687" s="3" t="s">
        <v>120</v>
      </c>
      <c r="F1687" s="3">
        <v>23.98</v>
      </c>
      <c r="G1687" s="3" t="s">
        <v>121</v>
      </c>
      <c r="H1687" s="3"/>
      <c r="I1687" s="3" t="s">
        <v>122</v>
      </c>
      <c r="J1687" s="3">
        <v>6</v>
      </c>
      <c r="K1687" s="3">
        <v>6</v>
      </c>
      <c r="L1687" s="3">
        <v>0</v>
      </c>
      <c r="M1687" s="3">
        <v>0</v>
      </c>
      <c r="N1687" s="3">
        <v>6</v>
      </c>
      <c r="O1687" s="3">
        <v>0.09</v>
      </c>
      <c r="P1687" s="3">
        <v>0</v>
      </c>
      <c r="Q1687" s="3">
        <v>0</v>
      </c>
      <c r="R1687" s="3">
        <v>0</v>
      </c>
    </row>
    <row r="1688" spans="1:18">
      <c r="A1688" s="3" t="s">
        <v>4491</v>
      </c>
      <c r="B1688" s="3" t="s">
        <v>3691</v>
      </c>
      <c r="C1688" s="3" t="s">
        <v>3691</v>
      </c>
      <c r="D1688" s="3" t="s">
        <v>3692</v>
      </c>
      <c r="E1688" s="3" t="s">
        <v>120</v>
      </c>
      <c r="F1688" s="3">
        <v>23.98</v>
      </c>
      <c r="G1688" s="3" t="s">
        <v>121</v>
      </c>
      <c r="H1688" s="3"/>
      <c r="I1688" s="3" t="s">
        <v>122</v>
      </c>
      <c r="J1688" s="3">
        <v>1</v>
      </c>
      <c r="K1688" s="3">
        <v>1</v>
      </c>
      <c r="L1688" s="3">
        <v>0</v>
      </c>
      <c r="M1688" s="3">
        <v>0</v>
      </c>
      <c r="N1688" s="3">
        <v>1</v>
      </c>
      <c r="O1688" s="3">
        <v>0.09</v>
      </c>
      <c r="P1688" s="3">
        <v>0</v>
      </c>
      <c r="Q1688" s="3">
        <v>0</v>
      </c>
      <c r="R1688" s="3">
        <v>0</v>
      </c>
    </row>
    <row r="1689" spans="1:18">
      <c r="A1689" s="3" t="s">
        <v>4492</v>
      </c>
      <c r="B1689" s="3" t="s">
        <v>3695</v>
      </c>
      <c r="C1689" s="3" t="s">
        <v>3695</v>
      </c>
      <c r="D1689" s="3" t="s">
        <v>3696</v>
      </c>
      <c r="E1689" s="3" t="s">
        <v>120</v>
      </c>
      <c r="F1689" s="3">
        <v>23.98</v>
      </c>
      <c r="G1689" s="3" t="s">
        <v>121</v>
      </c>
      <c r="H1689" s="3"/>
      <c r="I1689" s="3" t="s">
        <v>122</v>
      </c>
      <c r="J1689" s="3">
        <v>1</v>
      </c>
      <c r="K1689" s="3">
        <v>1</v>
      </c>
      <c r="L1689" s="3">
        <v>0</v>
      </c>
      <c r="M1689" s="3">
        <v>0</v>
      </c>
      <c r="N1689" s="3">
        <v>1</v>
      </c>
      <c r="O1689" s="3">
        <v>0.09</v>
      </c>
      <c r="P1689" s="3">
        <v>0</v>
      </c>
      <c r="Q1689" s="3">
        <v>0</v>
      </c>
      <c r="R1689" s="3">
        <v>0</v>
      </c>
    </row>
    <row r="1690" spans="1:18">
      <c r="A1690" s="3" t="s">
        <v>4493</v>
      </c>
      <c r="B1690" s="3" t="s">
        <v>3699</v>
      </c>
      <c r="C1690" s="3" t="s">
        <v>3699</v>
      </c>
      <c r="D1690" s="3" t="s">
        <v>3700</v>
      </c>
      <c r="E1690" s="3" t="s">
        <v>120</v>
      </c>
      <c r="F1690" s="3">
        <v>23.98</v>
      </c>
      <c r="G1690" s="3" t="s">
        <v>121</v>
      </c>
      <c r="H1690" s="3"/>
      <c r="I1690" s="3" t="s">
        <v>122</v>
      </c>
      <c r="J1690" s="3">
        <v>6</v>
      </c>
      <c r="K1690" s="3">
        <v>6</v>
      </c>
      <c r="L1690" s="3">
        <v>0</v>
      </c>
      <c r="M1690" s="3">
        <v>0</v>
      </c>
      <c r="N1690" s="3">
        <v>6</v>
      </c>
      <c r="O1690" s="3">
        <v>0.09</v>
      </c>
      <c r="P1690" s="3">
        <v>0</v>
      </c>
      <c r="Q1690" s="3">
        <v>0</v>
      </c>
      <c r="R1690" s="3">
        <v>0</v>
      </c>
    </row>
    <row r="1691" spans="1:18">
      <c r="A1691" s="3" t="s">
        <v>4494</v>
      </c>
      <c r="B1691" s="3" t="s">
        <v>3703</v>
      </c>
      <c r="C1691" s="3" t="s">
        <v>3703</v>
      </c>
      <c r="D1691" s="3" t="s">
        <v>3704</v>
      </c>
      <c r="E1691" s="3" t="s">
        <v>120</v>
      </c>
      <c r="F1691" s="3">
        <v>23.98</v>
      </c>
      <c r="G1691" s="3" t="s">
        <v>121</v>
      </c>
      <c r="H1691" s="3"/>
      <c r="I1691" s="3" t="s">
        <v>122</v>
      </c>
      <c r="J1691" s="3">
        <v>1</v>
      </c>
      <c r="K1691" s="3">
        <v>1</v>
      </c>
      <c r="L1691" s="3">
        <v>0</v>
      </c>
      <c r="M1691" s="3">
        <v>0</v>
      </c>
      <c r="N1691" s="3">
        <v>1</v>
      </c>
      <c r="O1691" s="3">
        <v>0.09</v>
      </c>
      <c r="P1691" s="3">
        <v>0</v>
      </c>
      <c r="Q1691" s="3">
        <v>0</v>
      </c>
      <c r="R1691" s="3">
        <v>0</v>
      </c>
    </row>
    <row r="1692" spans="1:18">
      <c r="A1692" s="3" t="s">
        <v>4495</v>
      </c>
      <c r="B1692" s="3" t="s">
        <v>3707</v>
      </c>
      <c r="C1692" s="3" t="s">
        <v>3707</v>
      </c>
      <c r="D1692" s="3" t="s">
        <v>3708</v>
      </c>
      <c r="E1692" s="3" t="s">
        <v>120</v>
      </c>
      <c r="F1692" s="3">
        <v>23.98</v>
      </c>
      <c r="G1692" s="3" t="s">
        <v>121</v>
      </c>
      <c r="H1692" s="3"/>
      <c r="I1692" s="3" t="s">
        <v>122</v>
      </c>
      <c r="J1692" s="3">
        <v>5</v>
      </c>
      <c r="K1692" s="3">
        <v>5</v>
      </c>
      <c r="L1692" s="3">
        <v>0</v>
      </c>
      <c r="M1692" s="3">
        <v>0</v>
      </c>
      <c r="N1692" s="3">
        <v>5</v>
      </c>
      <c r="O1692" s="3">
        <v>0.09</v>
      </c>
      <c r="P1692" s="3">
        <v>0</v>
      </c>
      <c r="Q1692" s="3">
        <v>0</v>
      </c>
      <c r="R1692" s="3">
        <v>0</v>
      </c>
    </row>
    <row r="1693" spans="1:18">
      <c r="A1693" s="3" t="s">
        <v>4496</v>
      </c>
      <c r="B1693" s="3" t="s">
        <v>3711</v>
      </c>
      <c r="C1693" s="3" t="s">
        <v>3711</v>
      </c>
      <c r="D1693" s="3" t="s">
        <v>3712</v>
      </c>
      <c r="E1693" s="3" t="s">
        <v>120</v>
      </c>
      <c r="F1693" s="3">
        <v>23.98</v>
      </c>
      <c r="G1693" s="3" t="s">
        <v>121</v>
      </c>
      <c r="H1693" s="3"/>
      <c r="I1693" s="3" t="s">
        <v>122</v>
      </c>
      <c r="J1693" s="3">
        <v>2</v>
      </c>
      <c r="K1693" s="3">
        <v>2</v>
      </c>
      <c r="L1693" s="3">
        <v>0</v>
      </c>
      <c r="M1693" s="3">
        <v>0</v>
      </c>
      <c r="N1693" s="3">
        <v>2</v>
      </c>
      <c r="O1693" s="3">
        <v>0.09</v>
      </c>
      <c r="P1693" s="3">
        <v>0</v>
      </c>
      <c r="Q1693" s="3">
        <v>0</v>
      </c>
      <c r="R1693" s="3">
        <v>0</v>
      </c>
    </row>
    <row r="1694" spans="1:18">
      <c r="A1694" s="3" t="s">
        <v>4497</v>
      </c>
      <c r="B1694" s="3" t="s">
        <v>3715</v>
      </c>
      <c r="C1694" s="3" t="s">
        <v>3715</v>
      </c>
      <c r="D1694" s="3" t="s">
        <v>3716</v>
      </c>
      <c r="E1694" s="3" t="s">
        <v>120</v>
      </c>
      <c r="F1694" s="3">
        <v>23.98</v>
      </c>
      <c r="G1694" s="3" t="s">
        <v>121</v>
      </c>
      <c r="H1694" s="3"/>
      <c r="I1694" s="3" t="s">
        <v>122</v>
      </c>
      <c r="J1694" s="3">
        <v>1</v>
      </c>
      <c r="K1694" s="3">
        <v>1</v>
      </c>
      <c r="L1694" s="3">
        <v>0</v>
      </c>
      <c r="M1694" s="3">
        <v>0</v>
      </c>
      <c r="N1694" s="3">
        <v>1</v>
      </c>
      <c r="O1694" s="3">
        <v>0.09</v>
      </c>
      <c r="P1694" s="3">
        <v>0</v>
      </c>
      <c r="Q1694" s="3">
        <v>0</v>
      </c>
      <c r="R1694" s="3">
        <v>0</v>
      </c>
    </row>
    <row r="1695" spans="1:18">
      <c r="A1695" s="3" t="s">
        <v>4498</v>
      </c>
      <c r="B1695" s="3" t="s">
        <v>3719</v>
      </c>
      <c r="C1695" s="3" t="s">
        <v>3719</v>
      </c>
      <c r="D1695" s="3" t="s">
        <v>3720</v>
      </c>
      <c r="E1695" s="3" t="s">
        <v>120</v>
      </c>
      <c r="F1695" s="3">
        <v>23.98</v>
      </c>
      <c r="G1695" s="3" t="s">
        <v>121</v>
      </c>
      <c r="H1695" s="3"/>
      <c r="I1695" s="3" t="s">
        <v>122</v>
      </c>
      <c r="J1695" s="3">
        <v>6</v>
      </c>
      <c r="K1695" s="3">
        <v>6</v>
      </c>
      <c r="L1695" s="3">
        <v>0</v>
      </c>
      <c r="M1695" s="3">
        <v>0</v>
      </c>
      <c r="N1695" s="3">
        <v>6</v>
      </c>
      <c r="O1695" s="3">
        <v>0.09</v>
      </c>
      <c r="P1695" s="3">
        <v>0</v>
      </c>
      <c r="Q1695" s="3">
        <v>0</v>
      </c>
      <c r="R1695" s="3">
        <v>0</v>
      </c>
    </row>
    <row r="1696" spans="1:18">
      <c r="A1696" s="3" t="s">
        <v>4499</v>
      </c>
      <c r="B1696" s="3" t="s">
        <v>3723</v>
      </c>
      <c r="C1696" s="3" t="s">
        <v>3723</v>
      </c>
      <c r="D1696" s="3" t="s">
        <v>3724</v>
      </c>
      <c r="E1696" s="3" t="s">
        <v>120</v>
      </c>
      <c r="F1696" s="3">
        <v>23.98</v>
      </c>
      <c r="G1696" s="3" t="s">
        <v>121</v>
      </c>
      <c r="H1696" s="3"/>
      <c r="I1696" s="3" t="s">
        <v>122</v>
      </c>
      <c r="J1696" s="3">
        <v>6</v>
      </c>
      <c r="K1696" s="3">
        <v>6</v>
      </c>
      <c r="L1696" s="3">
        <v>0</v>
      </c>
      <c r="M1696" s="3">
        <v>0</v>
      </c>
      <c r="N1696" s="3">
        <v>6</v>
      </c>
      <c r="O1696" s="3">
        <v>0.09</v>
      </c>
      <c r="P1696" s="3">
        <v>0</v>
      </c>
      <c r="Q1696" s="3">
        <v>0</v>
      </c>
      <c r="R1696" s="3">
        <v>0</v>
      </c>
    </row>
    <row r="1697" spans="1:18">
      <c r="A1697" s="3" t="s">
        <v>4500</v>
      </c>
      <c r="B1697" s="3" t="s">
        <v>3727</v>
      </c>
      <c r="C1697" s="3" t="s">
        <v>3727</v>
      </c>
      <c r="D1697" s="3"/>
      <c r="E1697" s="3" t="s">
        <v>20</v>
      </c>
      <c r="F1697" s="3"/>
      <c r="G1697" s="3"/>
      <c r="H1697" s="3"/>
      <c r="I1697" s="3"/>
      <c r="J1697" s="3">
        <v>0</v>
      </c>
      <c r="K1697" s="3">
        <v>0</v>
      </c>
      <c r="L1697" s="3">
        <v>0</v>
      </c>
      <c r="M1697" s="3">
        <v>0</v>
      </c>
      <c r="N1697" s="3">
        <v>0</v>
      </c>
      <c r="O1697" s="3"/>
      <c r="P1697" s="3">
        <v>0</v>
      </c>
      <c r="Q1697" s="3">
        <v>0</v>
      </c>
      <c r="R1697" s="3">
        <v>0</v>
      </c>
    </row>
    <row r="1698" spans="1:18">
      <c r="A1698" s="3" t="s">
        <v>4501</v>
      </c>
      <c r="B1698" s="3" t="s">
        <v>3731</v>
      </c>
      <c r="C1698" s="3" t="s">
        <v>3731</v>
      </c>
      <c r="D1698" s="3" t="s">
        <v>3732</v>
      </c>
      <c r="E1698" s="3" t="s">
        <v>120</v>
      </c>
      <c r="F1698" s="3">
        <v>23.98</v>
      </c>
      <c r="G1698" s="3" t="s">
        <v>121</v>
      </c>
      <c r="H1698" s="3"/>
      <c r="I1698" s="3" t="s">
        <v>122</v>
      </c>
      <c r="J1698" s="3">
        <v>5</v>
      </c>
      <c r="K1698" s="3">
        <v>5</v>
      </c>
      <c r="L1698" s="3">
        <v>0</v>
      </c>
      <c r="M1698" s="3">
        <v>0</v>
      </c>
      <c r="N1698" s="3">
        <v>5</v>
      </c>
      <c r="O1698" s="3">
        <v>0.09</v>
      </c>
      <c r="P1698" s="3">
        <v>0</v>
      </c>
      <c r="Q1698" s="3">
        <v>0</v>
      </c>
      <c r="R1698" s="3">
        <v>0</v>
      </c>
    </row>
    <row r="1699" spans="1:18">
      <c r="A1699" s="3" t="s">
        <v>4502</v>
      </c>
      <c r="B1699" s="3" t="s">
        <v>3735</v>
      </c>
      <c r="C1699" s="3" t="s">
        <v>3735</v>
      </c>
      <c r="D1699" s="3" t="s">
        <v>3736</v>
      </c>
      <c r="E1699" s="3" t="s">
        <v>120</v>
      </c>
      <c r="F1699" s="3">
        <v>23.98</v>
      </c>
      <c r="G1699" s="3" t="s">
        <v>121</v>
      </c>
      <c r="H1699" s="3"/>
      <c r="I1699" s="3" t="s">
        <v>122</v>
      </c>
      <c r="J1699" s="3">
        <v>6</v>
      </c>
      <c r="K1699" s="3">
        <v>6</v>
      </c>
      <c r="L1699" s="3">
        <v>0</v>
      </c>
      <c r="M1699" s="3">
        <v>0</v>
      </c>
      <c r="N1699" s="3">
        <v>6</v>
      </c>
      <c r="O1699" s="3">
        <v>0.09</v>
      </c>
      <c r="P1699" s="3">
        <v>0</v>
      </c>
      <c r="Q1699" s="3">
        <v>0</v>
      </c>
      <c r="R1699" s="3">
        <v>0</v>
      </c>
    </row>
    <row r="1700" spans="1:18">
      <c r="A1700" s="3" t="s">
        <v>4503</v>
      </c>
      <c r="B1700" s="3" t="s">
        <v>3739</v>
      </c>
      <c r="C1700" s="3" t="s">
        <v>3739</v>
      </c>
      <c r="D1700" s="3" t="s">
        <v>3740</v>
      </c>
      <c r="E1700" s="3" t="s">
        <v>120</v>
      </c>
      <c r="F1700" s="3">
        <v>23.98</v>
      </c>
      <c r="G1700" s="3" t="s">
        <v>121</v>
      </c>
      <c r="H1700" s="3"/>
      <c r="I1700" s="3" t="s">
        <v>122</v>
      </c>
      <c r="J1700" s="3">
        <v>8</v>
      </c>
      <c r="K1700" s="3">
        <v>8</v>
      </c>
      <c r="L1700" s="3">
        <v>0</v>
      </c>
      <c r="M1700" s="3">
        <v>0</v>
      </c>
      <c r="N1700" s="3">
        <v>8</v>
      </c>
      <c r="O1700" s="3">
        <v>0.09</v>
      </c>
      <c r="P1700" s="3">
        <v>0</v>
      </c>
      <c r="Q1700" s="3">
        <v>0</v>
      </c>
      <c r="R1700" s="3">
        <v>0</v>
      </c>
    </row>
    <row r="1701" spans="1:18">
      <c r="A1701" s="3" t="s">
        <v>4504</v>
      </c>
      <c r="B1701" s="3" t="s">
        <v>3743</v>
      </c>
      <c r="C1701" s="3" t="s">
        <v>3743</v>
      </c>
      <c r="D1701" s="3" t="s">
        <v>3744</v>
      </c>
      <c r="E1701" s="3" t="s">
        <v>120</v>
      </c>
      <c r="F1701" s="3">
        <v>23.98</v>
      </c>
      <c r="G1701" s="3" t="s">
        <v>121</v>
      </c>
      <c r="H1701" s="3"/>
      <c r="I1701" s="3" t="s">
        <v>122</v>
      </c>
      <c r="J1701" s="3">
        <v>4</v>
      </c>
      <c r="K1701" s="3">
        <v>4</v>
      </c>
      <c r="L1701" s="3">
        <v>0</v>
      </c>
      <c r="M1701" s="3">
        <v>0</v>
      </c>
      <c r="N1701" s="3">
        <v>4</v>
      </c>
      <c r="O1701" s="3">
        <v>0.09</v>
      </c>
      <c r="P1701" s="3">
        <v>0</v>
      </c>
      <c r="Q1701" s="3">
        <v>0</v>
      </c>
      <c r="R1701" s="3">
        <v>0</v>
      </c>
    </row>
    <row r="1702" spans="1:18">
      <c r="A1702" s="3" t="s">
        <v>4505</v>
      </c>
      <c r="B1702" s="3" t="s">
        <v>3747</v>
      </c>
      <c r="C1702" s="3" t="s">
        <v>3747</v>
      </c>
      <c r="D1702" s="3" t="s">
        <v>3748</v>
      </c>
      <c r="E1702" s="3" t="s">
        <v>120</v>
      </c>
      <c r="F1702" s="3">
        <v>23.98</v>
      </c>
      <c r="G1702" s="3" t="s">
        <v>121</v>
      </c>
      <c r="H1702" s="3"/>
      <c r="I1702" s="3" t="s">
        <v>122</v>
      </c>
      <c r="J1702" s="3">
        <v>5</v>
      </c>
      <c r="K1702" s="3">
        <v>5</v>
      </c>
      <c r="L1702" s="3">
        <v>0</v>
      </c>
      <c r="M1702" s="3">
        <v>0</v>
      </c>
      <c r="N1702" s="3">
        <v>5</v>
      </c>
      <c r="O1702" s="3">
        <v>0.09</v>
      </c>
      <c r="P1702" s="3">
        <v>0</v>
      </c>
      <c r="Q1702" s="3">
        <v>0</v>
      </c>
      <c r="R1702" s="3">
        <v>0</v>
      </c>
    </row>
    <row r="1703" spans="1:18">
      <c r="A1703" s="3" t="s">
        <v>4506</v>
      </c>
      <c r="B1703" s="3" t="s">
        <v>3751</v>
      </c>
      <c r="C1703" s="3" t="s">
        <v>3751</v>
      </c>
      <c r="D1703" s="3" t="s">
        <v>3752</v>
      </c>
      <c r="E1703" s="3" t="s">
        <v>120</v>
      </c>
      <c r="F1703" s="3">
        <v>23.98</v>
      </c>
      <c r="G1703" s="3" t="s">
        <v>121</v>
      </c>
      <c r="H1703" s="3"/>
      <c r="I1703" s="3" t="s">
        <v>122</v>
      </c>
      <c r="J1703" s="3">
        <v>6</v>
      </c>
      <c r="K1703" s="3">
        <v>6</v>
      </c>
      <c r="L1703" s="3">
        <v>0</v>
      </c>
      <c r="M1703" s="3">
        <v>0</v>
      </c>
      <c r="N1703" s="3">
        <v>6</v>
      </c>
      <c r="O1703" s="3">
        <v>0.09</v>
      </c>
      <c r="P1703" s="3">
        <v>0</v>
      </c>
      <c r="Q1703" s="3">
        <v>0</v>
      </c>
      <c r="R1703" s="3">
        <v>0</v>
      </c>
    </row>
    <row r="1704" spans="1:18">
      <c r="A1704" s="3" t="s">
        <v>4507</v>
      </c>
      <c r="B1704" s="3" t="s">
        <v>3755</v>
      </c>
      <c r="C1704" s="3" t="s">
        <v>3755</v>
      </c>
      <c r="D1704" s="3" t="s">
        <v>3756</v>
      </c>
      <c r="E1704" s="3" t="s">
        <v>120</v>
      </c>
      <c r="F1704" s="3">
        <v>23.98</v>
      </c>
      <c r="G1704" s="3" t="s">
        <v>121</v>
      </c>
      <c r="H1704" s="3"/>
      <c r="I1704" s="3" t="s">
        <v>122</v>
      </c>
      <c r="J1704" s="3">
        <v>9</v>
      </c>
      <c r="K1704" s="3">
        <v>9</v>
      </c>
      <c r="L1704" s="3">
        <v>0</v>
      </c>
      <c r="M1704" s="3">
        <v>0</v>
      </c>
      <c r="N1704" s="3">
        <v>9</v>
      </c>
      <c r="O1704" s="3">
        <v>0.09</v>
      </c>
      <c r="P1704" s="3">
        <v>0</v>
      </c>
      <c r="Q1704" s="3">
        <v>0</v>
      </c>
      <c r="R1704" s="3">
        <v>0</v>
      </c>
    </row>
    <row r="1705" spans="1:18">
      <c r="A1705" s="3" t="s">
        <v>4508</v>
      </c>
      <c r="B1705" s="3" t="s">
        <v>3759</v>
      </c>
      <c r="C1705" s="3" t="s">
        <v>3759</v>
      </c>
      <c r="D1705" s="3" t="s">
        <v>3760</v>
      </c>
      <c r="E1705" s="3" t="s">
        <v>120</v>
      </c>
      <c r="F1705" s="3">
        <v>23.98</v>
      </c>
      <c r="G1705" s="3" t="s">
        <v>121</v>
      </c>
      <c r="H1705" s="3"/>
      <c r="I1705" s="3" t="s">
        <v>122</v>
      </c>
      <c r="J1705" s="3">
        <v>5</v>
      </c>
      <c r="K1705" s="3">
        <v>5</v>
      </c>
      <c r="L1705" s="3">
        <v>0</v>
      </c>
      <c r="M1705" s="3">
        <v>0</v>
      </c>
      <c r="N1705" s="3">
        <v>5</v>
      </c>
      <c r="O1705" s="3">
        <v>0.09</v>
      </c>
      <c r="P1705" s="3">
        <v>0</v>
      </c>
      <c r="Q1705" s="3">
        <v>0</v>
      </c>
      <c r="R1705" s="3">
        <v>0</v>
      </c>
    </row>
    <row r="1706" spans="1:18">
      <c r="A1706" s="3" t="s">
        <v>4509</v>
      </c>
      <c r="B1706" s="3" t="s">
        <v>3763</v>
      </c>
      <c r="C1706" s="3" t="s">
        <v>3763</v>
      </c>
      <c r="D1706" s="3" t="s">
        <v>3764</v>
      </c>
      <c r="E1706" s="3" t="s">
        <v>120</v>
      </c>
      <c r="F1706" s="3">
        <v>23.98</v>
      </c>
      <c r="G1706" s="3" t="s">
        <v>121</v>
      </c>
      <c r="H1706" s="3"/>
      <c r="I1706" s="3" t="s">
        <v>122</v>
      </c>
      <c r="J1706" s="3">
        <v>8</v>
      </c>
      <c r="K1706" s="3">
        <v>8</v>
      </c>
      <c r="L1706" s="3">
        <v>0</v>
      </c>
      <c r="M1706" s="3">
        <v>0</v>
      </c>
      <c r="N1706" s="3">
        <v>8</v>
      </c>
      <c r="O1706" s="3">
        <v>0.09</v>
      </c>
      <c r="P1706" s="3">
        <v>0</v>
      </c>
      <c r="Q1706" s="3">
        <v>0</v>
      </c>
      <c r="R1706" s="3">
        <v>0</v>
      </c>
    </row>
    <row r="1707" spans="1:18">
      <c r="A1707" s="3" t="s">
        <v>4510</v>
      </c>
      <c r="B1707" s="3" t="s">
        <v>3767</v>
      </c>
      <c r="C1707" s="3" t="s">
        <v>3767</v>
      </c>
      <c r="D1707" s="3" t="s">
        <v>3768</v>
      </c>
      <c r="E1707" s="3" t="s">
        <v>120</v>
      </c>
      <c r="F1707" s="3">
        <v>23.98</v>
      </c>
      <c r="G1707" s="3" t="s">
        <v>121</v>
      </c>
      <c r="H1707" s="3"/>
      <c r="I1707" s="3" t="s">
        <v>122</v>
      </c>
      <c r="J1707" s="3">
        <v>7</v>
      </c>
      <c r="K1707" s="3">
        <v>7</v>
      </c>
      <c r="L1707" s="3">
        <v>0</v>
      </c>
      <c r="M1707" s="3">
        <v>0</v>
      </c>
      <c r="N1707" s="3">
        <v>7</v>
      </c>
      <c r="O1707" s="3">
        <v>0.09</v>
      </c>
      <c r="P1707" s="3">
        <v>0</v>
      </c>
      <c r="Q1707" s="3">
        <v>0</v>
      </c>
      <c r="R1707" s="3">
        <v>0</v>
      </c>
    </row>
    <row r="1708" spans="1:18">
      <c r="A1708" s="3" t="s">
        <v>4511</v>
      </c>
      <c r="B1708" s="3" t="s">
        <v>3771</v>
      </c>
      <c r="C1708" s="3" t="s">
        <v>3771</v>
      </c>
      <c r="D1708" s="3" t="s">
        <v>3772</v>
      </c>
      <c r="E1708" s="3" t="s">
        <v>120</v>
      </c>
      <c r="F1708" s="3">
        <v>23.98</v>
      </c>
      <c r="G1708" s="3" t="s">
        <v>121</v>
      </c>
      <c r="H1708" s="3"/>
      <c r="I1708" s="3" t="s">
        <v>122</v>
      </c>
      <c r="J1708" s="3">
        <v>8</v>
      </c>
      <c r="K1708" s="3">
        <v>8</v>
      </c>
      <c r="L1708" s="3">
        <v>0</v>
      </c>
      <c r="M1708" s="3">
        <v>0</v>
      </c>
      <c r="N1708" s="3">
        <v>8</v>
      </c>
      <c r="O1708" s="3">
        <v>0.09</v>
      </c>
      <c r="P1708" s="3">
        <v>0</v>
      </c>
      <c r="Q1708" s="3">
        <v>0</v>
      </c>
      <c r="R1708" s="3">
        <v>0</v>
      </c>
    </row>
    <row r="1709" spans="1:18">
      <c r="A1709" s="3" t="s">
        <v>4512</v>
      </c>
      <c r="B1709" s="3" t="s">
        <v>3775</v>
      </c>
      <c r="C1709" s="3" t="s">
        <v>3775</v>
      </c>
      <c r="D1709" s="3" t="s">
        <v>3776</v>
      </c>
      <c r="E1709" s="3" t="s">
        <v>120</v>
      </c>
      <c r="F1709" s="3">
        <v>23.98</v>
      </c>
      <c r="G1709" s="3" t="s">
        <v>121</v>
      </c>
      <c r="H1709" s="3"/>
      <c r="I1709" s="3" t="s">
        <v>122</v>
      </c>
      <c r="J1709" s="3">
        <v>3</v>
      </c>
      <c r="K1709" s="3">
        <v>3</v>
      </c>
      <c r="L1709" s="3">
        <v>0</v>
      </c>
      <c r="M1709" s="3">
        <v>0</v>
      </c>
      <c r="N1709" s="3">
        <v>3</v>
      </c>
      <c r="O1709" s="3">
        <v>0.09</v>
      </c>
      <c r="P1709" s="3">
        <v>0</v>
      </c>
      <c r="Q1709" s="3">
        <v>0</v>
      </c>
      <c r="R1709" s="3">
        <v>0</v>
      </c>
    </row>
    <row r="1710" spans="1:18">
      <c r="A1710" s="3" t="s">
        <v>4513</v>
      </c>
      <c r="B1710" s="3" t="s">
        <v>3779</v>
      </c>
      <c r="C1710" s="3" t="s">
        <v>3779</v>
      </c>
      <c r="D1710" s="3" t="s">
        <v>3780</v>
      </c>
      <c r="E1710" s="3" t="s">
        <v>120</v>
      </c>
      <c r="F1710" s="3">
        <v>23.98</v>
      </c>
      <c r="G1710" s="3" t="s">
        <v>121</v>
      </c>
      <c r="H1710" s="3"/>
      <c r="I1710" s="3" t="s">
        <v>122</v>
      </c>
      <c r="J1710" s="3">
        <v>8</v>
      </c>
      <c r="K1710" s="3">
        <v>8</v>
      </c>
      <c r="L1710" s="3">
        <v>0</v>
      </c>
      <c r="M1710" s="3">
        <v>0</v>
      </c>
      <c r="N1710" s="3">
        <v>8</v>
      </c>
      <c r="O1710" s="3">
        <v>0.09</v>
      </c>
      <c r="P1710" s="3">
        <v>0</v>
      </c>
      <c r="Q1710" s="3">
        <v>0</v>
      </c>
      <c r="R1710" s="3">
        <v>0</v>
      </c>
    </row>
    <row r="1711" spans="1:18">
      <c r="A1711" s="3" t="s">
        <v>4514</v>
      </c>
      <c r="B1711" s="3" t="s">
        <v>3783</v>
      </c>
      <c r="C1711" s="3" t="s">
        <v>3783</v>
      </c>
      <c r="D1711" s="3" t="s">
        <v>3784</v>
      </c>
      <c r="E1711" s="3" t="s">
        <v>120</v>
      </c>
      <c r="F1711" s="3">
        <v>23.98</v>
      </c>
      <c r="G1711" s="3" t="s">
        <v>121</v>
      </c>
      <c r="H1711" s="3"/>
      <c r="I1711" s="3" t="s">
        <v>122</v>
      </c>
      <c r="J1711" s="3">
        <v>1</v>
      </c>
      <c r="K1711" s="3">
        <v>1</v>
      </c>
      <c r="L1711" s="3">
        <v>0</v>
      </c>
      <c r="M1711" s="3">
        <v>0</v>
      </c>
      <c r="N1711" s="3">
        <v>1</v>
      </c>
      <c r="O1711" s="3">
        <v>0.09</v>
      </c>
      <c r="P1711" s="3">
        <v>0</v>
      </c>
      <c r="Q1711" s="3">
        <v>0</v>
      </c>
      <c r="R1711" s="3">
        <v>0</v>
      </c>
    </row>
    <row r="1712" spans="1:18">
      <c r="A1712" s="3" t="s">
        <v>4515</v>
      </c>
      <c r="B1712" s="3" t="s">
        <v>3787</v>
      </c>
      <c r="C1712" s="3" t="s">
        <v>3787</v>
      </c>
      <c r="D1712" s="3" t="s">
        <v>3788</v>
      </c>
      <c r="E1712" s="3" t="s">
        <v>120</v>
      </c>
      <c r="F1712" s="3">
        <v>23.98</v>
      </c>
      <c r="G1712" s="3" t="s">
        <v>121</v>
      </c>
      <c r="H1712" s="3"/>
      <c r="I1712" s="3" t="s">
        <v>122</v>
      </c>
      <c r="J1712" s="3">
        <v>1</v>
      </c>
      <c r="K1712" s="3">
        <v>1</v>
      </c>
      <c r="L1712" s="3">
        <v>0</v>
      </c>
      <c r="M1712" s="3">
        <v>0</v>
      </c>
      <c r="N1712" s="3">
        <v>1</v>
      </c>
      <c r="O1712" s="3">
        <v>0.09</v>
      </c>
      <c r="P1712" s="3">
        <v>0</v>
      </c>
      <c r="Q1712" s="3">
        <v>0</v>
      </c>
      <c r="R1712" s="3">
        <v>0</v>
      </c>
    </row>
    <row r="1713" spans="1:18">
      <c r="A1713" s="3" t="s">
        <v>4516</v>
      </c>
      <c r="B1713" s="3" t="s">
        <v>3791</v>
      </c>
      <c r="C1713" s="3" t="s">
        <v>3791</v>
      </c>
      <c r="D1713" s="3" t="s">
        <v>3792</v>
      </c>
      <c r="E1713" s="3" t="s">
        <v>120</v>
      </c>
      <c r="F1713" s="3">
        <v>23.98</v>
      </c>
      <c r="G1713" s="3" t="s">
        <v>121</v>
      </c>
      <c r="H1713" s="3"/>
      <c r="I1713" s="3" t="s">
        <v>122</v>
      </c>
      <c r="J1713" s="3">
        <v>0</v>
      </c>
      <c r="K1713" s="3">
        <v>0</v>
      </c>
      <c r="L1713" s="3">
        <v>0</v>
      </c>
      <c r="M1713" s="3">
        <v>0</v>
      </c>
      <c r="N1713" s="3">
        <v>0</v>
      </c>
      <c r="O1713" s="3">
        <v>0.09</v>
      </c>
      <c r="P1713" s="3">
        <v>0</v>
      </c>
      <c r="Q1713" s="3">
        <v>0</v>
      </c>
      <c r="R1713" s="3">
        <v>0</v>
      </c>
    </row>
    <row r="1714" spans="1:18">
      <c r="A1714" s="3" t="s">
        <v>4517</v>
      </c>
      <c r="B1714" s="3" t="s">
        <v>3795</v>
      </c>
      <c r="C1714" s="3" t="s">
        <v>3795</v>
      </c>
      <c r="D1714" s="3"/>
      <c r="E1714" s="3" t="s">
        <v>20</v>
      </c>
      <c r="F1714" s="3"/>
      <c r="G1714" s="3"/>
      <c r="H1714" s="3"/>
      <c r="I1714" s="3"/>
      <c r="J1714" s="3">
        <v>0</v>
      </c>
      <c r="K1714" s="3">
        <v>0</v>
      </c>
      <c r="L1714" s="3">
        <v>0</v>
      </c>
      <c r="M1714" s="3">
        <v>0</v>
      </c>
      <c r="N1714" s="3">
        <v>0</v>
      </c>
      <c r="O1714" s="3"/>
      <c r="P1714" s="3">
        <v>0</v>
      </c>
      <c r="Q1714" s="3">
        <v>0</v>
      </c>
      <c r="R1714" s="3">
        <v>0</v>
      </c>
    </row>
    <row r="1715" spans="1:18">
      <c r="A1715" s="3" t="s">
        <v>4518</v>
      </c>
      <c r="B1715" s="3" t="s">
        <v>3811</v>
      </c>
      <c r="C1715" s="3" t="s">
        <v>3811</v>
      </c>
      <c r="D1715" s="3" t="s">
        <v>3812</v>
      </c>
      <c r="E1715" s="3" t="s">
        <v>120</v>
      </c>
      <c r="F1715" s="3">
        <v>23.98</v>
      </c>
      <c r="G1715" s="3" t="s">
        <v>121</v>
      </c>
      <c r="H1715" s="3"/>
      <c r="I1715" s="3" t="s">
        <v>122</v>
      </c>
      <c r="J1715" s="3">
        <v>6</v>
      </c>
      <c r="K1715" s="3">
        <v>6</v>
      </c>
      <c r="L1715" s="3">
        <v>0</v>
      </c>
      <c r="M1715" s="3">
        <v>0</v>
      </c>
      <c r="N1715" s="3">
        <v>6</v>
      </c>
      <c r="O1715" s="3">
        <v>0.09</v>
      </c>
      <c r="P1715" s="3">
        <v>0</v>
      </c>
      <c r="Q1715" s="3">
        <v>0</v>
      </c>
      <c r="R1715" s="3">
        <v>0</v>
      </c>
    </row>
    <row r="1716" spans="1:18">
      <c r="A1716" s="3" t="s">
        <v>4519</v>
      </c>
      <c r="B1716" s="3" t="s">
        <v>3815</v>
      </c>
      <c r="C1716" s="3" t="s">
        <v>3815</v>
      </c>
      <c r="D1716" s="3"/>
      <c r="E1716" s="3" t="s">
        <v>20</v>
      </c>
      <c r="F1716" s="3"/>
      <c r="G1716" s="3"/>
      <c r="H1716" s="3"/>
      <c r="I1716" s="3"/>
      <c r="J1716" s="3">
        <v>0</v>
      </c>
      <c r="K1716" s="3">
        <v>0</v>
      </c>
      <c r="L1716" s="3">
        <v>0</v>
      </c>
      <c r="M1716" s="3">
        <v>0</v>
      </c>
      <c r="N1716" s="3">
        <v>0</v>
      </c>
      <c r="O1716" s="3"/>
      <c r="P1716" s="3">
        <v>0</v>
      </c>
      <c r="Q1716" s="3">
        <v>0</v>
      </c>
      <c r="R1716" s="3">
        <v>0</v>
      </c>
    </row>
    <row r="1717" spans="1:18">
      <c r="A1717" s="3" t="s">
        <v>4520</v>
      </c>
      <c r="B1717" s="3" t="s">
        <v>3819</v>
      </c>
      <c r="C1717" s="3" t="s">
        <v>3819</v>
      </c>
      <c r="D1717" s="3" t="s">
        <v>3820</v>
      </c>
      <c r="E1717" s="3" t="s">
        <v>120</v>
      </c>
      <c r="F1717" s="3">
        <v>23.98</v>
      </c>
      <c r="G1717" s="3" t="s">
        <v>121</v>
      </c>
      <c r="H1717" s="3"/>
      <c r="I1717" s="3" t="s">
        <v>122</v>
      </c>
      <c r="J1717" s="3">
        <v>3</v>
      </c>
      <c r="K1717" s="3">
        <v>3</v>
      </c>
      <c r="L1717" s="3">
        <v>0</v>
      </c>
      <c r="M1717" s="3">
        <v>0</v>
      </c>
      <c r="N1717" s="3">
        <v>3</v>
      </c>
      <c r="O1717" s="3">
        <v>0.09</v>
      </c>
      <c r="P1717" s="3">
        <v>0</v>
      </c>
      <c r="Q1717" s="3">
        <v>0</v>
      </c>
      <c r="R1717" s="3">
        <v>0</v>
      </c>
    </row>
    <row r="1718" spans="1:18">
      <c r="A1718" s="3" t="s">
        <v>4521</v>
      </c>
      <c r="B1718" s="3" t="s">
        <v>3827</v>
      </c>
      <c r="C1718" s="3" t="s">
        <v>3827</v>
      </c>
      <c r="D1718" s="3" t="s">
        <v>3828</v>
      </c>
      <c r="E1718" s="3" t="s">
        <v>120</v>
      </c>
      <c r="F1718" s="3">
        <v>23.98</v>
      </c>
      <c r="G1718" s="3" t="s">
        <v>121</v>
      </c>
      <c r="H1718" s="3"/>
      <c r="I1718" s="3" t="s">
        <v>122</v>
      </c>
      <c r="J1718" s="3">
        <v>1</v>
      </c>
      <c r="K1718" s="3">
        <v>1</v>
      </c>
      <c r="L1718" s="3">
        <v>0</v>
      </c>
      <c r="M1718" s="3">
        <v>0</v>
      </c>
      <c r="N1718" s="3">
        <v>1</v>
      </c>
      <c r="O1718" s="3">
        <v>0.09</v>
      </c>
      <c r="P1718" s="3">
        <v>0</v>
      </c>
      <c r="Q1718" s="3">
        <v>0</v>
      </c>
      <c r="R1718" s="3">
        <v>0</v>
      </c>
    </row>
    <row r="1719" spans="1:18">
      <c r="A1719" s="3" t="s">
        <v>4522</v>
      </c>
      <c r="B1719" s="3" t="s">
        <v>4523</v>
      </c>
      <c r="C1719" s="3" t="s">
        <v>4523</v>
      </c>
      <c r="D1719" s="3" t="s">
        <v>4524</v>
      </c>
      <c r="E1719" s="3" t="s">
        <v>120</v>
      </c>
      <c r="F1719" s="3">
        <v>23.98</v>
      </c>
      <c r="G1719" s="3" t="s">
        <v>121</v>
      </c>
      <c r="H1719" s="3"/>
      <c r="I1719" s="3" t="s">
        <v>122</v>
      </c>
      <c r="J1719" s="3">
        <v>9</v>
      </c>
      <c r="K1719" s="3">
        <v>9</v>
      </c>
      <c r="L1719" s="3">
        <v>0</v>
      </c>
      <c r="M1719" s="3">
        <v>0</v>
      </c>
      <c r="N1719" s="3">
        <v>9</v>
      </c>
      <c r="O1719" s="3">
        <v>0.12</v>
      </c>
      <c r="P1719" s="3">
        <v>0</v>
      </c>
      <c r="Q1719" s="3">
        <v>0</v>
      </c>
      <c r="R1719" s="3">
        <v>0</v>
      </c>
    </row>
    <row r="1720" spans="1:18">
      <c r="A1720" s="3" t="s">
        <v>4525</v>
      </c>
      <c r="B1720" s="3" t="s">
        <v>4526</v>
      </c>
      <c r="C1720" s="3" t="s">
        <v>4526</v>
      </c>
      <c r="D1720" s="3" t="s">
        <v>4527</v>
      </c>
      <c r="E1720" s="3" t="s">
        <v>120</v>
      </c>
      <c r="F1720" s="3">
        <v>22.98</v>
      </c>
      <c r="G1720" s="3" t="s">
        <v>121</v>
      </c>
      <c r="H1720" s="3"/>
      <c r="I1720" s="3" t="s">
        <v>122</v>
      </c>
      <c r="J1720" s="3">
        <v>2</v>
      </c>
      <c r="K1720" s="3">
        <v>2</v>
      </c>
      <c r="L1720" s="3">
        <v>0</v>
      </c>
      <c r="M1720" s="3">
        <v>0</v>
      </c>
      <c r="N1720" s="3">
        <v>2</v>
      </c>
      <c r="O1720" s="3">
        <v>0.08</v>
      </c>
      <c r="P1720" s="3">
        <v>0</v>
      </c>
      <c r="Q1720" s="3">
        <v>0</v>
      </c>
      <c r="R1720" s="3">
        <v>0</v>
      </c>
    </row>
    <row r="1721" spans="1:18">
      <c r="A1721" s="3" t="s">
        <v>4528</v>
      </c>
      <c r="B1721" s="3" t="s">
        <v>4529</v>
      </c>
      <c r="C1721" s="3" t="s">
        <v>4529</v>
      </c>
      <c r="D1721" s="3" t="s">
        <v>4530</v>
      </c>
      <c r="E1721" s="3" t="s">
        <v>120</v>
      </c>
      <c r="F1721" s="3">
        <v>22.98</v>
      </c>
      <c r="G1721" s="3" t="s">
        <v>121</v>
      </c>
      <c r="H1721" s="3"/>
      <c r="I1721" s="3" t="s">
        <v>122</v>
      </c>
      <c r="J1721" s="3">
        <v>14</v>
      </c>
      <c r="K1721" s="3">
        <v>14</v>
      </c>
      <c r="L1721" s="3">
        <v>0</v>
      </c>
      <c r="M1721" s="3">
        <v>0</v>
      </c>
      <c r="N1721" s="3">
        <v>14</v>
      </c>
      <c r="O1721" s="3">
        <v>0.08</v>
      </c>
      <c r="P1721" s="3">
        <v>0</v>
      </c>
      <c r="Q1721" s="3">
        <v>0</v>
      </c>
      <c r="R1721" s="3">
        <v>0</v>
      </c>
    </row>
    <row r="1722" spans="1:18">
      <c r="A1722" s="3" t="s">
        <v>4531</v>
      </c>
      <c r="B1722" s="3" t="s">
        <v>4532</v>
      </c>
      <c r="C1722" s="3" t="s">
        <v>4532</v>
      </c>
      <c r="D1722" s="3" t="s">
        <v>3315</v>
      </c>
      <c r="E1722" s="3" t="s">
        <v>120</v>
      </c>
      <c r="F1722" s="3">
        <v>22.98</v>
      </c>
      <c r="G1722" s="3" t="s">
        <v>121</v>
      </c>
      <c r="H1722" s="3"/>
      <c r="I1722" s="3" t="s">
        <v>122</v>
      </c>
      <c r="J1722" s="3">
        <v>0</v>
      </c>
      <c r="K1722" s="3">
        <v>0</v>
      </c>
      <c r="L1722" s="3">
        <v>0</v>
      </c>
      <c r="M1722" s="3">
        <v>0</v>
      </c>
      <c r="N1722" s="3">
        <v>0</v>
      </c>
      <c r="O1722" s="3">
        <v>0.08</v>
      </c>
      <c r="P1722" s="3">
        <v>0</v>
      </c>
      <c r="Q1722" s="3">
        <v>0</v>
      </c>
      <c r="R1722" s="3">
        <v>0</v>
      </c>
    </row>
    <row r="1723" spans="1:18">
      <c r="A1723" s="3" t="s">
        <v>4533</v>
      </c>
      <c r="B1723" s="3" t="s">
        <v>4534</v>
      </c>
      <c r="C1723" s="3" t="s">
        <v>4534</v>
      </c>
      <c r="D1723" s="3" t="s">
        <v>4535</v>
      </c>
      <c r="E1723" s="3" t="s">
        <v>120</v>
      </c>
      <c r="F1723" s="3">
        <v>22.98</v>
      </c>
      <c r="G1723" s="3" t="s">
        <v>121</v>
      </c>
      <c r="H1723" s="3"/>
      <c r="I1723" s="3" t="s">
        <v>122</v>
      </c>
      <c r="J1723" s="3">
        <v>17</v>
      </c>
      <c r="K1723" s="3">
        <v>17</v>
      </c>
      <c r="L1723" s="3">
        <v>0</v>
      </c>
      <c r="M1723" s="3">
        <v>0</v>
      </c>
      <c r="N1723" s="3">
        <v>17</v>
      </c>
      <c r="O1723" s="3">
        <v>0.08</v>
      </c>
      <c r="P1723" s="3">
        <v>0</v>
      </c>
      <c r="Q1723" s="3">
        <v>0</v>
      </c>
      <c r="R1723" s="3">
        <v>0</v>
      </c>
    </row>
    <row r="1724" spans="1:18">
      <c r="A1724" s="3" t="s">
        <v>4536</v>
      </c>
      <c r="B1724" s="3" t="s">
        <v>4537</v>
      </c>
      <c r="C1724" s="3" t="s">
        <v>4537</v>
      </c>
      <c r="D1724" s="3" t="s">
        <v>4538</v>
      </c>
      <c r="E1724" s="3" t="s">
        <v>120</v>
      </c>
      <c r="F1724" s="3">
        <v>22.98</v>
      </c>
      <c r="G1724" s="3" t="s">
        <v>121</v>
      </c>
      <c r="H1724" s="3"/>
      <c r="I1724" s="3" t="s">
        <v>122</v>
      </c>
      <c r="J1724" s="3">
        <v>12</v>
      </c>
      <c r="K1724" s="3">
        <v>12</v>
      </c>
      <c r="L1724" s="3">
        <v>0</v>
      </c>
      <c r="M1724" s="3">
        <v>0</v>
      </c>
      <c r="N1724" s="3">
        <v>12</v>
      </c>
      <c r="O1724" s="3">
        <v>0.08</v>
      </c>
      <c r="P1724" s="3">
        <v>0</v>
      </c>
      <c r="Q1724" s="3">
        <v>0</v>
      </c>
      <c r="R1724" s="3">
        <v>0</v>
      </c>
    </row>
    <row r="1725" spans="1:18">
      <c r="A1725" s="3" t="s">
        <v>4539</v>
      </c>
      <c r="B1725" s="3" t="s">
        <v>3863</v>
      </c>
      <c r="C1725" s="3" t="s">
        <v>3863</v>
      </c>
      <c r="D1725" s="3" t="s">
        <v>3864</v>
      </c>
      <c r="E1725" s="3" t="s">
        <v>120</v>
      </c>
      <c r="F1725" s="3">
        <v>26.98</v>
      </c>
      <c r="G1725" s="3" t="s">
        <v>121</v>
      </c>
      <c r="H1725" s="3"/>
      <c r="I1725" s="3" t="s">
        <v>122</v>
      </c>
      <c r="J1725" s="3">
        <v>8</v>
      </c>
      <c r="K1725" s="3">
        <v>6</v>
      </c>
      <c r="L1725" s="3">
        <v>0</v>
      </c>
      <c r="M1725" s="3">
        <v>2</v>
      </c>
      <c r="N1725" s="3">
        <v>8</v>
      </c>
      <c r="O1725" s="3">
        <v>0.13</v>
      </c>
      <c r="P1725" s="3">
        <v>0</v>
      </c>
      <c r="Q1725" s="3">
        <v>0</v>
      </c>
      <c r="R1725" s="3">
        <v>0</v>
      </c>
    </row>
    <row r="1726" spans="1:18">
      <c r="A1726" s="3" t="s">
        <v>4540</v>
      </c>
      <c r="B1726" s="3" t="s">
        <v>3867</v>
      </c>
      <c r="C1726" s="3" t="s">
        <v>3867</v>
      </c>
      <c r="D1726" s="3" t="s">
        <v>3868</v>
      </c>
      <c r="E1726" s="3" t="s">
        <v>120</v>
      </c>
      <c r="F1726" s="3">
        <v>26.98</v>
      </c>
      <c r="G1726" s="3" t="s">
        <v>121</v>
      </c>
      <c r="H1726" s="3"/>
      <c r="I1726" s="3" t="s">
        <v>122</v>
      </c>
      <c r="J1726" s="3">
        <v>15</v>
      </c>
      <c r="K1726" s="3">
        <v>15</v>
      </c>
      <c r="L1726" s="3">
        <v>0</v>
      </c>
      <c r="M1726" s="3">
        <v>0</v>
      </c>
      <c r="N1726" s="3">
        <v>15</v>
      </c>
      <c r="O1726" s="3">
        <v>0.13</v>
      </c>
      <c r="P1726" s="3">
        <v>0</v>
      </c>
      <c r="Q1726" s="3">
        <v>0</v>
      </c>
      <c r="R1726" s="3">
        <v>0</v>
      </c>
    </row>
    <row r="1727" spans="1:18">
      <c r="A1727" s="3" t="s">
        <v>4541</v>
      </c>
      <c r="B1727" s="3" t="s">
        <v>3871</v>
      </c>
      <c r="C1727" s="3" t="s">
        <v>3871</v>
      </c>
      <c r="D1727" s="3" t="s">
        <v>3872</v>
      </c>
      <c r="E1727" s="3" t="s">
        <v>120</v>
      </c>
      <c r="F1727" s="3">
        <v>26.98</v>
      </c>
      <c r="G1727" s="3" t="s">
        <v>121</v>
      </c>
      <c r="H1727" s="3"/>
      <c r="I1727" s="3" t="s">
        <v>122</v>
      </c>
      <c r="J1727" s="3">
        <v>5</v>
      </c>
      <c r="K1727" s="3">
        <v>5</v>
      </c>
      <c r="L1727" s="3">
        <v>0</v>
      </c>
      <c r="M1727" s="3">
        <v>0</v>
      </c>
      <c r="N1727" s="3">
        <v>5</v>
      </c>
      <c r="O1727" s="3">
        <v>0.13</v>
      </c>
      <c r="P1727" s="3">
        <v>0</v>
      </c>
      <c r="Q1727" s="3">
        <v>0</v>
      </c>
      <c r="R1727" s="3">
        <v>0</v>
      </c>
    </row>
    <row r="1728" spans="1:18">
      <c r="A1728" s="3" t="s">
        <v>4542</v>
      </c>
      <c r="B1728" s="3" t="s">
        <v>3875</v>
      </c>
      <c r="C1728" s="3" t="s">
        <v>3875</v>
      </c>
      <c r="D1728" s="3" t="s">
        <v>3876</v>
      </c>
      <c r="E1728" s="3" t="s">
        <v>120</v>
      </c>
      <c r="F1728" s="3">
        <v>26.98</v>
      </c>
      <c r="G1728" s="3" t="s">
        <v>121</v>
      </c>
      <c r="H1728" s="3"/>
      <c r="I1728" s="3" t="s">
        <v>122</v>
      </c>
      <c r="J1728" s="3">
        <v>12</v>
      </c>
      <c r="K1728" s="3">
        <v>12</v>
      </c>
      <c r="L1728" s="3">
        <v>0</v>
      </c>
      <c r="M1728" s="3">
        <v>0</v>
      </c>
      <c r="N1728" s="3">
        <v>12</v>
      </c>
      <c r="O1728" s="3">
        <v>0.13</v>
      </c>
      <c r="P1728" s="3">
        <v>0</v>
      </c>
      <c r="Q1728" s="3">
        <v>0</v>
      </c>
      <c r="R1728" s="3">
        <v>0</v>
      </c>
    </row>
    <row r="1729" spans="1:18">
      <c r="A1729" s="3" t="s">
        <v>4543</v>
      </c>
      <c r="B1729" s="3" t="s">
        <v>3879</v>
      </c>
      <c r="C1729" s="3" t="s">
        <v>3879</v>
      </c>
      <c r="D1729" s="3" t="s">
        <v>3880</v>
      </c>
      <c r="E1729" s="3" t="s">
        <v>120</v>
      </c>
      <c r="F1729" s="3">
        <v>26.98</v>
      </c>
      <c r="G1729" s="3" t="s">
        <v>121</v>
      </c>
      <c r="H1729" s="3"/>
      <c r="I1729" s="3" t="s">
        <v>122</v>
      </c>
      <c r="J1729" s="3">
        <v>7</v>
      </c>
      <c r="K1729" s="3">
        <v>7</v>
      </c>
      <c r="L1729" s="3">
        <v>0</v>
      </c>
      <c r="M1729" s="3">
        <v>0</v>
      </c>
      <c r="N1729" s="3">
        <v>7</v>
      </c>
      <c r="O1729" s="3">
        <v>0.13</v>
      </c>
      <c r="P1729" s="3">
        <v>0</v>
      </c>
      <c r="Q1729" s="3">
        <v>0</v>
      </c>
      <c r="R1729" s="3">
        <v>0</v>
      </c>
    </row>
    <row r="1730" spans="1:18">
      <c r="A1730" s="3" t="s">
        <v>4544</v>
      </c>
      <c r="B1730" s="3" t="s">
        <v>3883</v>
      </c>
      <c r="C1730" s="3" t="s">
        <v>3883</v>
      </c>
      <c r="D1730" s="3" t="s">
        <v>3884</v>
      </c>
      <c r="E1730" s="3" t="s">
        <v>120</v>
      </c>
      <c r="F1730" s="3">
        <v>26.98</v>
      </c>
      <c r="G1730" s="3" t="s">
        <v>121</v>
      </c>
      <c r="H1730" s="3"/>
      <c r="I1730" s="3" t="s">
        <v>122</v>
      </c>
      <c r="J1730" s="3">
        <v>5</v>
      </c>
      <c r="K1730" s="3">
        <v>4</v>
      </c>
      <c r="L1730" s="3">
        <v>0</v>
      </c>
      <c r="M1730" s="3">
        <v>1</v>
      </c>
      <c r="N1730" s="3">
        <v>5</v>
      </c>
      <c r="O1730" s="3">
        <v>0.13</v>
      </c>
      <c r="P1730" s="3">
        <v>0</v>
      </c>
      <c r="Q1730" s="3">
        <v>0</v>
      </c>
      <c r="R1730" s="3">
        <v>0</v>
      </c>
    </row>
    <row r="1731" spans="1:18">
      <c r="A1731" s="3" t="s">
        <v>4545</v>
      </c>
      <c r="B1731" s="3" t="s">
        <v>3887</v>
      </c>
      <c r="C1731" s="3" t="s">
        <v>3887</v>
      </c>
      <c r="D1731" s="3" t="s">
        <v>3888</v>
      </c>
      <c r="E1731" s="3" t="s">
        <v>120</v>
      </c>
      <c r="F1731" s="3">
        <v>26.98</v>
      </c>
      <c r="G1731" s="3" t="s">
        <v>121</v>
      </c>
      <c r="H1731" s="3"/>
      <c r="I1731" s="3" t="s">
        <v>122</v>
      </c>
      <c r="J1731" s="3">
        <v>7</v>
      </c>
      <c r="K1731" s="3">
        <v>6</v>
      </c>
      <c r="L1731" s="3">
        <v>0</v>
      </c>
      <c r="M1731" s="3">
        <v>1</v>
      </c>
      <c r="N1731" s="3">
        <v>7</v>
      </c>
      <c r="O1731" s="3">
        <v>0.13</v>
      </c>
      <c r="P1731" s="3">
        <v>0</v>
      </c>
      <c r="Q1731" s="3">
        <v>0</v>
      </c>
      <c r="R1731" s="3">
        <v>0</v>
      </c>
    </row>
    <row r="1732" spans="1:18">
      <c r="A1732" s="3" t="s">
        <v>4546</v>
      </c>
      <c r="B1732" s="3" t="s">
        <v>3891</v>
      </c>
      <c r="C1732" s="3" t="s">
        <v>3891</v>
      </c>
      <c r="D1732" s="3" t="s">
        <v>3892</v>
      </c>
      <c r="E1732" s="3" t="s">
        <v>120</v>
      </c>
      <c r="F1732" s="3">
        <v>26.98</v>
      </c>
      <c r="G1732" s="3" t="s">
        <v>121</v>
      </c>
      <c r="H1732" s="3"/>
      <c r="I1732" s="3" t="s">
        <v>122</v>
      </c>
      <c r="J1732" s="3">
        <v>19</v>
      </c>
      <c r="K1732" s="3">
        <v>18</v>
      </c>
      <c r="L1732" s="3">
        <v>0</v>
      </c>
      <c r="M1732" s="3">
        <v>1</v>
      </c>
      <c r="N1732" s="3">
        <v>19</v>
      </c>
      <c r="O1732" s="3">
        <v>0.13</v>
      </c>
      <c r="P1732" s="3">
        <v>0</v>
      </c>
      <c r="Q1732" s="3">
        <v>0</v>
      </c>
      <c r="R1732" s="3">
        <v>0</v>
      </c>
    </row>
    <row r="1733" spans="1:18">
      <c r="A1733" s="3" t="s">
        <v>4547</v>
      </c>
      <c r="B1733" s="3" t="s">
        <v>3895</v>
      </c>
      <c r="C1733" s="3" t="s">
        <v>3895</v>
      </c>
      <c r="D1733" s="3"/>
      <c r="E1733" s="3" t="s">
        <v>20</v>
      </c>
      <c r="F1733" s="3"/>
      <c r="G1733" s="3"/>
      <c r="H1733" s="3"/>
      <c r="I1733" s="3"/>
      <c r="J1733" s="3">
        <v>1</v>
      </c>
      <c r="K1733" s="3">
        <v>1</v>
      </c>
      <c r="L1733" s="3">
        <v>0</v>
      </c>
      <c r="M1733" s="3">
        <v>0</v>
      </c>
      <c r="N1733" s="3">
        <v>1</v>
      </c>
      <c r="O1733" s="3"/>
      <c r="P1733" s="3">
        <v>0</v>
      </c>
      <c r="Q1733" s="3">
        <v>0</v>
      </c>
      <c r="R1733" s="3">
        <v>0</v>
      </c>
    </row>
    <row r="1734" spans="1:18">
      <c r="A1734" s="3" t="s">
        <v>4548</v>
      </c>
      <c r="B1734" s="3" t="s">
        <v>3903</v>
      </c>
      <c r="C1734" s="3" t="s">
        <v>3903</v>
      </c>
      <c r="D1734" s="3" t="s">
        <v>3904</v>
      </c>
      <c r="E1734" s="3" t="s">
        <v>120</v>
      </c>
      <c r="F1734" s="3">
        <v>26.98</v>
      </c>
      <c r="G1734" s="3" t="s">
        <v>121</v>
      </c>
      <c r="H1734" s="3"/>
      <c r="I1734" s="3" t="s">
        <v>122</v>
      </c>
      <c r="J1734" s="3">
        <v>3</v>
      </c>
      <c r="K1734" s="3">
        <v>3</v>
      </c>
      <c r="L1734" s="3">
        <v>0</v>
      </c>
      <c r="M1734" s="3">
        <v>0</v>
      </c>
      <c r="N1734" s="3">
        <v>3</v>
      </c>
      <c r="O1734" s="3">
        <v>0.13</v>
      </c>
      <c r="P1734" s="3">
        <v>0</v>
      </c>
      <c r="Q1734" s="3">
        <v>0</v>
      </c>
      <c r="R1734" s="3">
        <v>0</v>
      </c>
    </row>
    <row r="1735" spans="1:18">
      <c r="A1735" s="3" t="s">
        <v>4549</v>
      </c>
      <c r="B1735" s="3" t="s">
        <v>3919</v>
      </c>
      <c r="C1735" s="3" t="s">
        <v>3919</v>
      </c>
      <c r="D1735" s="3" t="s">
        <v>3920</v>
      </c>
      <c r="E1735" s="3" t="s">
        <v>120</v>
      </c>
      <c r="F1735" s="3">
        <v>26.98</v>
      </c>
      <c r="G1735" s="3" t="s">
        <v>121</v>
      </c>
      <c r="H1735" s="3"/>
      <c r="I1735" s="3" t="s">
        <v>122</v>
      </c>
      <c r="J1735" s="3">
        <v>4</v>
      </c>
      <c r="K1735" s="3">
        <v>4</v>
      </c>
      <c r="L1735" s="3">
        <v>0</v>
      </c>
      <c r="M1735" s="3">
        <v>0</v>
      </c>
      <c r="N1735" s="3">
        <v>4</v>
      </c>
      <c r="O1735" s="3">
        <v>0.13</v>
      </c>
      <c r="P1735" s="3">
        <v>0</v>
      </c>
      <c r="Q1735" s="3">
        <v>0</v>
      </c>
      <c r="R1735" s="3">
        <v>0</v>
      </c>
    </row>
    <row r="1736" spans="1:18">
      <c r="A1736" s="3" t="s">
        <v>4550</v>
      </c>
      <c r="B1736" s="3" t="s">
        <v>3923</v>
      </c>
      <c r="C1736" s="3" t="s">
        <v>3923</v>
      </c>
      <c r="D1736" s="3" t="s">
        <v>3924</v>
      </c>
      <c r="E1736" s="3" t="s">
        <v>120</v>
      </c>
      <c r="F1736" s="3">
        <v>26.98</v>
      </c>
      <c r="G1736" s="3" t="s">
        <v>121</v>
      </c>
      <c r="H1736" s="3"/>
      <c r="I1736" s="3" t="s">
        <v>122</v>
      </c>
      <c r="J1736" s="3">
        <v>3</v>
      </c>
      <c r="K1736" s="3">
        <v>3</v>
      </c>
      <c r="L1736" s="3">
        <v>0</v>
      </c>
      <c r="M1736" s="3">
        <v>0</v>
      </c>
      <c r="N1736" s="3">
        <v>3</v>
      </c>
      <c r="O1736" s="3">
        <v>0.13</v>
      </c>
      <c r="P1736" s="3">
        <v>0</v>
      </c>
      <c r="Q1736" s="3">
        <v>0</v>
      </c>
      <c r="R1736" s="3">
        <v>0</v>
      </c>
    </row>
    <row r="1737" spans="1:18">
      <c r="A1737" s="3" t="s">
        <v>4551</v>
      </c>
      <c r="B1737" s="3" t="s">
        <v>3927</v>
      </c>
      <c r="C1737" s="3" t="s">
        <v>3927</v>
      </c>
      <c r="D1737" s="3" t="s">
        <v>3928</v>
      </c>
      <c r="E1737" s="3" t="s">
        <v>120</v>
      </c>
      <c r="F1737" s="3">
        <v>26.98</v>
      </c>
      <c r="G1737" s="3" t="s">
        <v>121</v>
      </c>
      <c r="H1737" s="3"/>
      <c r="I1737" s="3" t="s">
        <v>122</v>
      </c>
      <c r="J1737" s="3">
        <v>0</v>
      </c>
      <c r="K1737" s="3">
        <v>0</v>
      </c>
      <c r="L1737" s="3">
        <v>0</v>
      </c>
      <c r="M1737" s="3">
        <v>0</v>
      </c>
      <c r="N1737" s="3">
        <v>0</v>
      </c>
      <c r="O1737" s="3">
        <v>0.13</v>
      </c>
      <c r="P1737" s="3">
        <v>0</v>
      </c>
      <c r="Q1737" s="3">
        <v>0</v>
      </c>
      <c r="R1737" s="3">
        <v>0</v>
      </c>
    </row>
    <row r="1738" spans="1:18">
      <c r="A1738" s="3" t="s">
        <v>4552</v>
      </c>
      <c r="B1738" s="3" t="s">
        <v>3931</v>
      </c>
      <c r="C1738" s="3" t="s">
        <v>3931</v>
      </c>
      <c r="D1738" s="3" t="s">
        <v>3932</v>
      </c>
      <c r="E1738" s="3" t="s">
        <v>120</v>
      </c>
      <c r="F1738" s="3">
        <v>26.98</v>
      </c>
      <c r="G1738" s="3" t="s">
        <v>121</v>
      </c>
      <c r="H1738" s="3"/>
      <c r="I1738" s="3" t="s">
        <v>122</v>
      </c>
      <c r="J1738" s="3">
        <v>0</v>
      </c>
      <c r="K1738" s="3">
        <v>0</v>
      </c>
      <c r="L1738" s="3">
        <v>0</v>
      </c>
      <c r="M1738" s="3">
        <v>0</v>
      </c>
      <c r="N1738" s="3">
        <v>0</v>
      </c>
      <c r="O1738" s="3">
        <v>0.13</v>
      </c>
      <c r="P1738" s="3">
        <v>0</v>
      </c>
      <c r="Q1738" s="3">
        <v>0</v>
      </c>
      <c r="R1738" s="3">
        <v>0</v>
      </c>
    </row>
    <row r="1739" spans="1:18">
      <c r="A1739" s="3" t="s">
        <v>4553</v>
      </c>
      <c r="B1739" s="3" t="s">
        <v>3935</v>
      </c>
      <c r="C1739" s="3" t="s">
        <v>3935</v>
      </c>
      <c r="D1739" s="3" t="s">
        <v>3936</v>
      </c>
      <c r="E1739" s="3" t="s">
        <v>120</v>
      </c>
      <c r="F1739" s="3">
        <v>26.98</v>
      </c>
      <c r="G1739" s="3" t="s">
        <v>121</v>
      </c>
      <c r="H1739" s="3"/>
      <c r="I1739" s="3" t="s">
        <v>122</v>
      </c>
      <c r="J1739" s="3">
        <v>5</v>
      </c>
      <c r="K1739" s="3">
        <v>5</v>
      </c>
      <c r="L1739" s="3">
        <v>0</v>
      </c>
      <c r="M1739" s="3">
        <v>0</v>
      </c>
      <c r="N1739" s="3">
        <v>5</v>
      </c>
      <c r="O1739" s="3">
        <v>0.13</v>
      </c>
      <c r="P1739" s="3">
        <v>0</v>
      </c>
      <c r="Q1739" s="3">
        <v>0</v>
      </c>
      <c r="R1739" s="3">
        <v>0</v>
      </c>
    </row>
    <row r="1740" spans="1:18">
      <c r="A1740" s="3" t="s">
        <v>4554</v>
      </c>
      <c r="B1740" s="3" t="s">
        <v>3939</v>
      </c>
      <c r="C1740" s="3" t="s">
        <v>3939</v>
      </c>
      <c r="D1740" s="3" t="s">
        <v>3940</v>
      </c>
      <c r="E1740" s="3" t="s">
        <v>120</v>
      </c>
      <c r="F1740" s="3">
        <v>26.98</v>
      </c>
      <c r="G1740" s="3" t="s">
        <v>121</v>
      </c>
      <c r="H1740" s="3"/>
      <c r="I1740" s="3" t="s">
        <v>122</v>
      </c>
      <c r="J1740" s="3">
        <v>0</v>
      </c>
      <c r="K1740" s="3">
        <v>0</v>
      </c>
      <c r="L1740" s="3">
        <v>0</v>
      </c>
      <c r="M1740" s="3">
        <v>0</v>
      </c>
      <c r="N1740" s="3">
        <v>0</v>
      </c>
      <c r="O1740" s="3">
        <v>0.13</v>
      </c>
      <c r="P1740" s="3">
        <v>0</v>
      </c>
      <c r="Q1740" s="3">
        <v>0</v>
      </c>
      <c r="R1740" s="3">
        <v>0</v>
      </c>
    </row>
    <row r="1741" spans="1:18">
      <c r="A1741" s="3" t="s">
        <v>4555</v>
      </c>
      <c r="B1741" s="3" t="s">
        <v>3943</v>
      </c>
      <c r="C1741" s="3" t="s">
        <v>3943</v>
      </c>
      <c r="D1741" s="3" t="s">
        <v>3944</v>
      </c>
      <c r="E1741" s="3" t="s">
        <v>120</v>
      </c>
      <c r="F1741" s="3">
        <v>26.98</v>
      </c>
      <c r="G1741" s="3" t="s">
        <v>121</v>
      </c>
      <c r="H1741" s="3"/>
      <c r="I1741" s="3" t="s">
        <v>122</v>
      </c>
      <c r="J1741" s="3">
        <v>12</v>
      </c>
      <c r="K1741" s="3">
        <v>12</v>
      </c>
      <c r="L1741" s="3">
        <v>0</v>
      </c>
      <c r="M1741" s="3">
        <v>0</v>
      </c>
      <c r="N1741" s="3">
        <v>12</v>
      </c>
      <c r="O1741" s="3">
        <v>0.13</v>
      </c>
      <c r="P1741" s="3">
        <v>0</v>
      </c>
      <c r="Q1741" s="3">
        <v>0</v>
      </c>
      <c r="R1741" s="3">
        <v>0</v>
      </c>
    </row>
    <row r="1742" spans="1:18">
      <c r="A1742" s="3" t="s">
        <v>4556</v>
      </c>
      <c r="B1742" s="3" t="s">
        <v>3947</v>
      </c>
      <c r="C1742" s="3" t="s">
        <v>3947</v>
      </c>
      <c r="D1742" s="3" t="s">
        <v>3948</v>
      </c>
      <c r="E1742" s="3" t="s">
        <v>120</v>
      </c>
      <c r="F1742" s="3">
        <v>26.98</v>
      </c>
      <c r="G1742" s="3" t="s">
        <v>121</v>
      </c>
      <c r="H1742" s="3"/>
      <c r="I1742" s="3" t="s">
        <v>122</v>
      </c>
      <c r="J1742" s="3">
        <v>14</v>
      </c>
      <c r="K1742" s="3">
        <v>14</v>
      </c>
      <c r="L1742" s="3">
        <v>0</v>
      </c>
      <c r="M1742" s="3">
        <v>0</v>
      </c>
      <c r="N1742" s="3">
        <v>14</v>
      </c>
      <c r="O1742" s="3">
        <v>0.13</v>
      </c>
      <c r="P1742" s="3">
        <v>0</v>
      </c>
      <c r="Q1742" s="3">
        <v>0</v>
      </c>
      <c r="R1742" s="3">
        <v>0</v>
      </c>
    </row>
    <row r="1743" spans="1:18">
      <c r="A1743" s="3" t="s">
        <v>4557</v>
      </c>
      <c r="B1743" s="3" t="s">
        <v>3951</v>
      </c>
      <c r="C1743" s="3" t="s">
        <v>3951</v>
      </c>
      <c r="D1743" s="3" t="s">
        <v>3952</v>
      </c>
      <c r="E1743" s="3" t="s">
        <v>120</v>
      </c>
      <c r="F1743" s="3">
        <v>26.98</v>
      </c>
      <c r="G1743" s="3" t="s">
        <v>121</v>
      </c>
      <c r="H1743" s="3"/>
      <c r="I1743" s="3" t="s">
        <v>122</v>
      </c>
      <c r="J1743" s="3">
        <v>10</v>
      </c>
      <c r="K1743" s="3">
        <v>10</v>
      </c>
      <c r="L1743" s="3">
        <v>0</v>
      </c>
      <c r="M1743" s="3">
        <v>0</v>
      </c>
      <c r="N1743" s="3">
        <v>10</v>
      </c>
      <c r="O1743" s="3">
        <v>0.13</v>
      </c>
      <c r="P1743" s="3">
        <v>0</v>
      </c>
      <c r="Q1743" s="3">
        <v>0</v>
      </c>
      <c r="R1743" s="3">
        <v>0</v>
      </c>
    </row>
    <row r="1744" spans="1:18">
      <c r="A1744" s="3" t="s">
        <v>4558</v>
      </c>
      <c r="B1744" s="3" t="s">
        <v>3955</v>
      </c>
      <c r="C1744" s="3" t="s">
        <v>3955</v>
      </c>
      <c r="D1744" s="3" t="s">
        <v>3956</v>
      </c>
      <c r="E1744" s="3" t="s">
        <v>120</v>
      </c>
      <c r="F1744" s="3">
        <v>26.98</v>
      </c>
      <c r="G1744" s="3" t="s">
        <v>121</v>
      </c>
      <c r="H1744" s="3"/>
      <c r="I1744" s="3" t="s">
        <v>122</v>
      </c>
      <c r="J1744" s="3">
        <v>13</v>
      </c>
      <c r="K1744" s="3">
        <v>13</v>
      </c>
      <c r="L1744" s="3">
        <v>0</v>
      </c>
      <c r="M1744" s="3">
        <v>0</v>
      </c>
      <c r="N1744" s="3">
        <v>13</v>
      </c>
      <c r="O1744" s="3">
        <v>0.13</v>
      </c>
      <c r="P1744" s="3">
        <v>0</v>
      </c>
      <c r="Q1744" s="3">
        <v>0</v>
      </c>
      <c r="R1744" s="3">
        <v>0</v>
      </c>
    </row>
    <row r="1745" spans="1:18">
      <c r="A1745" s="3" t="s">
        <v>4559</v>
      </c>
      <c r="B1745" s="3" t="s">
        <v>3959</v>
      </c>
      <c r="C1745" s="3" t="s">
        <v>3959</v>
      </c>
      <c r="D1745" s="3" t="s">
        <v>3960</v>
      </c>
      <c r="E1745" s="3" t="s">
        <v>120</v>
      </c>
      <c r="F1745" s="3">
        <v>26.98</v>
      </c>
      <c r="G1745" s="3" t="s">
        <v>121</v>
      </c>
      <c r="H1745" s="3"/>
      <c r="I1745" s="3" t="s">
        <v>122</v>
      </c>
      <c r="J1745" s="3">
        <v>16</v>
      </c>
      <c r="K1745" s="3">
        <v>15</v>
      </c>
      <c r="L1745" s="3">
        <v>0</v>
      </c>
      <c r="M1745" s="3">
        <v>1</v>
      </c>
      <c r="N1745" s="3">
        <v>16</v>
      </c>
      <c r="O1745" s="3">
        <v>0.13</v>
      </c>
      <c r="P1745" s="3">
        <v>0</v>
      </c>
      <c r="Q1745" s="3">
        <v>0</v>
      </c>
      <c r="R1745" s="3">
        <v>0</v>
      </c>
    </row>
    <row r="1746" spans="1:18">
      <c r="A1746" s="3" t="s">
        <v>4560</v>
      </c>
      <c r="B1746" s="3" t="s">
        <v>3963</v>
      </c>
      <c r="C1746" s="3" t="s">
        <v>3963</v>
      </c>
      <c r="D1746" s="3" t="s">
        <v>3964</v>
      </c>
      <c r="E1746" s="3" t="s">
        <v>120</v>
      </c>
      <c r="F1746" s="3">
        <v>26.98</v>
      </c>
      <c r="G1746" s="3" t="s">
        <v>121</v>
      </c>
      <c r="H1746" s="3"/>
      <c r="I1746" s="3" t="s">
        <v>122</v>
      </c>
      <c r="J1746" s="3">
        <v>15</v>
      </c>
      <c r="K1746" s="3">
        <v>15</v>
      </c>
      <c r="L1746" s="3">
        <v>0</v>
      </c>
      <c r="M1746" s="3">
        <v>0</v>
      </c>
      <c r="N1746" s="3">
        <v>15</v>
      </c>
      <c r="O1746" s="3">
        <v>0.13</v>
      </c>
      <c r="P1746" s="3">
        <v>0</v>
      </c>
      <c r="Q1746" s="3">
        <v>0</v>
      </c>
      <c r="R1746" s="3">
        <v>0</v>
      </c>
    </row>
    <row r="1747" spans="1:18">
      <c r="A1747" s="3" t="s">
        <v>4561</v>
      </c>
      <c r="B1747" s="3" t="s">
        <v>3967</v>
      </c>
      <c r="C1747" s="3" t="s">
        <v>3967</v>
      </c>
      <c r="D1747" s="3" t="s">
        <v>3968</v>
      </c>
      <c r="E1747" s="3" t="s">
        <v>120</v>
      </c>
      <c r="F1747" s="3">
        <v>26.98</v>
      </c>
      <c r="G1747" s="3" t="s">
        <v>121</v>
      </c>
      <c r="H1747" s="3"/>
      <c r="I1747" s="3" t="s">
        <v>122</v>
      </c>
      <c r="J1747" s="3">
        <v>13</v>
      </c>
      <c r="K1747" s="3">
        <v>13</v>
      </c>
      <c r="L1747" s="3">
        <v>0</v>
      </c>
      <c r="M1747" s="3">
        <v>0</v>
      </c>
      <c r="N1747" s="3">
        <v>13</v>
      </c>
      <c r="O1747" s="3">
        <v>0.13</v>
      </c>
      <c r="P1747" s="3">
        <v>0</v>
      </c>
      <c r="Q1747" s="3">
        <v>0</v>
      </c>
      <c r="R1747" s="3">
        <v>0</v>
      </c>
    </row>
    <row r="1748" spans="1:18">
      <c r="A1748" s="3" t="s">
        <v>4562</v>
      </c>
      <c r="B1748" s="3" t="s">
        <v>3971</v>
      </c>
      <c r="C1748" s="3" t="s">
        <v>3971</v>
      </c>
      <c r="D1748" s="3" t="s">
        <v>3972</v>
      </c>
      <c r="E1748" s="3" t="s">
        <v>120</v>
      </c>
      <c r="F1748" s="3">
        <v>26.98</v>
      </c>
      <c r="G1748" s="3" t="s">
        <v>121</v>
      </c>
      <c r="H1748" s="3"/>
      <c r="I1748" s="3" t="s">
        <v>122</v>
      </c>
      <c r="J1748" s="3">
        <v>14</v>
      </c>
      <c r="K1748" s="3">
        <v>14</v>
      </c>
      <c r="L1748" s="3">
        <v>0</v>
      </c>
      <c r="M1748" s="3">
        <v>0</v>
      </c>
      <c r="N1748" s="3">
        <v>14</v>
      </c>
      <c r="O1748" s="3">
        <v>0.13</v>
      </c>
      <c r="P1748" s="3">
        <v>0</v>
      </c>
      <c r="Q1748" s="3">
        <v>0</v>
      </c>
      <c r="R1748" s="3">
        <v>0</v>
      </c>
    </row>
    <row r="1749" spans="1:18">
      <c r="A1749" s="3" t="s">
        <v>4563</v>
      </c>
      <c r="B1749" s="3" t="s">
        <v>3975</v>
      </c>
      <c r="C1749" s="3" t="s">
        <v>3975</v>
      </c>
      <c r="D1749" s="3" t="s">
        <v>3976</v>
      </c>
      <c r="E1749" s="3" t="s">
        <v>120</v>
      </c>
      <c r="F1749" s="3">
        <v>20.98</v>
      </c>
      <c r="G1749" s="3" t="s">
        <v>121</v>
      </c>
      <c r="H1749" s="3"/>
      <c r="I1749" s="3" t="s">
        <v>122</v>
      </c>
      <c r="J1749" s="3">
        <v>3</v>
      </c>
      <c r="K1749" s="3">
        <v>3</v>
      </c>
      <c r="L1749" s="3">
        <v>0</v>
      </c>
      <c r="M1749" s="3">
        <v>0</v>
      </c>
      <c r="N1749" s="3">
        <v>3</v>
      </c>
      <c r="O1749" s="3">
        <v>0.11</v>
      </c>
      <c r="P1749" s="3">
        <v>0</v>
      </c>
      <c r="Q1749" s="3">
        <v>0</v>
      </c>
      <c r="R1749" s="3">
        <v>0</v>
      </c>
    </row>
    <row r="1750" spans="1:18">
      <c r="A1750" s="3" t="s">
        <v>4564</v>
      </c>
      <c r="B1750" s="3" t="s">
        <v>3979</v>
      </c>
      <c r="C1750" s="3" t="s">
        <v>3979</v>
      </c>
      <c r="D1750" s="3" t="s">
        <v>3980</v>
      </c>
      <c r="E1750" s="3" t="s">
        <v>120</v>
      </c>
      <c r="F1750" s="3">
        <v>20.98</v>
      </c>
      <c r="G1750" s="3" t="s">
        <v>121</v>
      </c>
      <c r="H1750" s="3"/>
      <c r="I1750" s="3" t="s">
        <v>122</v>
      </c>
      <c r="J1750" s="3">
        <v>5</v>
      </c>
      <c r="K1750" s="3">
        <v>5</v>
      </c>
      <c r="L1750" s="3">
        <v>0</v>
      </c>
      <c r="M1750" s="3">
        <v>0</v>
      </c>
      <c r="N1750" s="3">
        <v>5</v>
      </c>
      <c r="O1750" s="3">
        <v>0.08</v>
      </c>
      <c r="P1750" s="3">
        <v>0</v>
      </c>
      <c r="Q1750" s="3">
        <v>0</v>
      </c>
      <c r="R1750" s="3">
        <v>0</v>
      </c>
    </row>
    <row r="1751" spans="1:18">
      <c r="A1751" s="3" t="s">
        <v>4565</v>
      </c>
      <c r="B1751" s="3" t="s">
        <v>3983</v>
      </c>
      <c r="C1751" s="3" t="s">
        <v>3983</v>
      </c>
      <c r="D1751" s="3" t="s">
        <v>3984</v>
      </c>
      <c r="E1751" s="3" t="s">
        <v>120</v>
      </c>
      <c r="F1751" s="3">
        <v>20.98</v>
      </c>
      <c r="G1751" s="3" t="s">
        <v>121</v>
      </c>
      <c r="H1751" s="3"/>
      <c r="I1751" s="3" t="s">
        <v>122</v>
      </c>
      <c r="J1751" s="3">
        <v>2</v>
      </c>
      <c r="K1751" s="3">
        <v>2</v>
      </c>
      <c r="L1751" s="3">
        <v>0</v>
      </c>
      <c r="M1751" s="3">
        <v>0</v>
      </c>
      <c r="N1751" s="3">
        <v>2</v>
      </c>
      <c r="O1751" s="3">
        <v>0.08</v>
      </c>
      <c r="P1751" s="3">
        <v>0</v>
      </c>
      <c r="Q1751" s="3">
        <v>0</v>
      </c>
      <c r="R1751" s="3">
        <v>0</v>
      </c>
    </row>
    <row r="1752" spans="1:18">
      <c r="A1752" s="3" t="s">
        <v>4566</v>
      </c>
      <c r="B1752" s="3" t="s">
        <v>3987</v>
      </c>
      <c r="C1752" s="3" t="s">
        <v>3987</v>
      </c>
      <c r="D1752" s="3" t="s">
        <v>3988</v>
      </c>
      <c r="E1752" s="3" t="s">
        <v>120</v>
      </c>
      <c r="F1752" s="3">
        <v>20.98</v>
      </c>
      <c r="G1752" s="3" t="s">
        <v>121</v>
      </c>
      <c r="H1752" s="3"/>
      <c r="I1752" s="3" t="s">
        <v>122</v>
      </c>
      <c r="J1752" s="3">
        <v>9</v>
      </c>
      <c r="K1752" s="3">
        <v>9</v>
      </c>
      <c r="L1752" s="3">
        <v>0</v>
      </c>
      <c r="M1752" s="3">
        <v>0</v>
      </c>
      <c r="N1752" s="3">
        <v>9</v>
      </c>
      <c r="O1752" s="3">
        <v>0.08</v>
      </c>
      <c r="P1752" s="3">
        <v>0</v>
      </c>
      <c r="Q1752" s="3">
        <v>0</v>
      </c>
      <c r="R1752" s="3">
        <v>0</v>
      </c>
    </row>
    <row r="1753" spans="1:18">
      <c r="A1753" s="3" t="s">
        <v>4567</v>
      </c>
      <c r="B1753" s="3" t="s">
        <v>3991</v>
      </c>
      <c r="C1753" s="3" t="s">
        <v>3991</v>
      </c>
      <c r="D1753" s="3" t="s">
        <v>3992</v>
      </c>
      <c r="E1753" s="3" t="s">
        <v>120</v>
      </c>
      <c r="F1753" s="3">
        <v>20.98</v>
      </c>
      <c r="G1753" s="3" t="s">
        <v>121</v>
      </c>
      <c r="H1753" s="3"/>
      <c r="I1753" s="3" t="s">
        <v>122</v>
      </c>
      <c r="J1753" s="3">
        <v>23</v>
      </c>
      <c r="K1753" s="3">
        <v>23</v>
      </c>
      <c r="L1753" s="3">
        <v>0</v>
      </c>
      <c r="M1753" s="3">
        <v>0</v>
      </c>
      <c r="N1753" s="3">
        <v>23</v>
      </c>
      <c r="O1753" s="3">
        <v>0.08</v>
      </c>
      <c r="P1753" s="3">
        <v>0</v>
      </c>
      <c r="Q1753" s="3">
        <v>0</v>
      </c>
      <c r="R1753" s="3">
        <v>0</v>
      </c>
    </row>
    <row r="1754" spans="1:18">
      <c r="A1754" s="3" t="s">
        <v>4568</v>
      </c>
      <c r="B1754" s="3" t="s">
        <v>3995</v>
      </c>
      <c r="C1754" s="3" t="s">
        <v>3995</v>
      </c>
      <c r="D1754" s="3" t="s">
        <v>3996</v>
      </c>
      <c r="E1754" s="3" t="s">
        <v>120</v>
      </c>
      <c r="F1754" s="3">
        <v>20.98</v>
      </c>
      <c r="G1754" s="3" t="s">
        <v>121</v>
      </c>
      <c r="H1754" s="3"/>
      <c r="I1754" s="3" t="s">
        <v>122</v>
      </c>
      <c r="J1754" s="3">
        <v>15</v>
      </c>
      <c r="K1754" s="3">
        <v>14</v>
      </c>
      <c r="L1754" s="3">
        <v>0</v>
      </c>
      <c r="M1754" s="3">
        <v>1</v>
      </c>
      <c r="N1754" s="3">
        <v>15</v>
      </c>
      <c r="O1754" s="3">
        <v>0.08</v>
      </c>
      <c r="P1754" s="3">
        <v>0</v>
      </c>
      <c r="Q1754" s="3">
        <v>0</v>
      </c>
      <c r="R1754" s="3">
        <v>0</v>
      </c>
    </row>
    <row r="1755" spans="1:18">
      <c r="A1755" s="3" t="s">
        <v>4569</v>
      </c>
      <c r="B1755" s="3" t="s">
        <v>3999</v>
      </c>
      <c r="C1755" s="3" t="s">
        <v>3999</v>
      </c>
      <c r="D1755" s="3" t="s">
        <v>4000</v>
      </c>
      <c r="E1755" s="3" t="s">
        <v>120</v>
      </c>
      <c r="F1755" s="3">
        <v>20.98</v>
      </c>
      <c r="G1755" s="3" t="s">
        <v>121</v>
      </c>
      <c r="H1755" s="3"/>
      <c r="I1755" s="3" t="s">
        <v>122</v>
      </c>
      <c r="J1755" s="3">
        <v>7</v>
      </c>
      <c r="K1755" s="3">
        <v>7</v>
      </c>
      <c r="L1755" s="3">
        <v>0</v>
      </c>
      <c r="M1755" s="3">
        <v>0</v>
      </c>
      <c r="N1755" s="3">
        <v>7</v>
      </c>
      <c r="O1755" s="3">
        <v>0.08</v>
      </c>
      <c r="P1755" s="3">
        <v>0</v>
      </c>
      <c r="Q1755" s="3">
        <v>0</v>
      </c>
      <c r="R1755" s="3">
        <v>0</v>
      </c>
    </row>
    <row r="1756" spans="1:18">
      <c r="A1756" s="3" t="s">
        <v>4570</v>
      </c>
      <c r="B1756" s="3" t="s">
        <v>4003</v>
      </c>
      <c r="C1756" s="3" t="s">
        <v>4003</v>
      </c>
      <c r="D1756" s="3" t="s">
        <v>4004</v>
      </c>
      <c r="E1756" s="3" t="s">
        <v>120</v>
      </c>
      <c r="F1756" s="3">
        <v>20.98</v>
      </c>
      <c r="G1756" s="3" t="s">
        <v>121</v>
      </c>
      <c r="H1756" s="3"/>
      <c r="I1756" s="3" t="s">
        <v>122</v>
      </c>
      <c r="J1756" s="3">
        <v>16</v>
      </c>
      <c r="K1756" s="3">
        <v>16</v>
      </c>
      <c r="L1756" s="3">
        <v>0</v>
      </c>
      <c r="M1756" s="3">
        <v>0</v>
      </c>
      <c r="N1756" s="3">
        <v>16</v>
      </c>
      <c r="O1756" s="3">
        <v>0.08</v>
      </c>
      <c r="P1756" s="3">
        <v>0</v>
      </c>
      <c r="Q1756" s="3">
        <v>0</v>
      </c>
      <c r="R1756" s="3">
        <v>0</v>
      </c>
    </row>
    <row r="1757" spans="1:18">
      <c r="A1757" s="3" t="s">
        <v>4571</v>
      </c>
      <c r="B1757" s="3" t="s">
        <v>4007</v>
      </c>
      <c r="C1757" s="3" t="s">
        <v>4007</v>
      </c>
      <c r="D1757" s="3" t="s">
        <v>4008</v>
      </c>
      <c r="E1757" s="3" t="s">
        <v>120</v>
      </c>
      <c r="F1757" s="3">
        <v>20.98</v>
      </c>
      <c r="G1757" s="3" t="s">
        <v>121</v>
      </c>
      <c r="H1757" s="3"/>
      <c r="I1757" s="3" t="s">
        <v>122</v>
      </c>
      <c r="J1757" s="3">
        <v>8</v>
      </c>
      <c r="K1757" s="3">
        <v>8</v>
      </c>
      <c r="L1757" s="3">
        <v>0</v>
      </c>
      <c r="M1757" s="3">
        <v>0</v>
      </c>
      <c r="N1757" s="3">
        <v>8</v>
      </c>
      <c r="O1757" s="3">
        <v>0.08</v>
      </c>
      <c r="P1757" s="3">
        <v>0</v>
      </c>
      <c r="Q1757" s="3">
        <v>0</v>
      </c>
      <c r="R1757" s="3">
        <v>0</v>
      </c>
    </row>
    <row r="1758" spans="1:18">
      <c r="A1758" s="3" t="s">
        <v>4572</v>
      </c>
      <c r="B1758" s="3" t="s">
        <v>4011</v>
      </c>
      <c r="C1758" s="3" t="s">
        <v>4011</v>
      </c>
      <c r="D1758" s="3" t="s">
        <v>4012</v>
      </c>
      <c r="E1758" s="3" t="s">
        <v>120</v>
      </c>
      <c r="F1758" s="3">
        <v>20.98</v>
      </c>
      <c r="G1758" s="3" t="s">
        <v>121</v>
      </c>
      <c r="H1758" s="3"/>
      <c r="I1758" s="3" t="s">
        <v>122</v>
      </c>
      <c r="J1758" s="3">
        <v>3</v>
      </c>
      <c r="K1758" s="3">
        <v>3</v>
      </c>
      <c r="L1758" s="3">
        <v>0</v>
      </c>
      <c r="M1758" s="3">
        <v>0</v>
      </c>
      <c r="N1758" s="3">
        <v>3</v>
      </c>
      <c r="O1758" s="3">
        <v>0.08</v>
      </c>
      <c r="P1758" s="3">
        <v>0</v>
      </c>
      <c r="Q1758" s="3">
        <v>0</v>
      </c>
      <c r="R1758" s="3">
        <v>0</v>
      </c>
    </row>
    <row r="1759" spans="1:18">
      <c r="A1759" s="3" t="s">
        <v>4573</v>
      </c>
      <c r="B1759" s="3" t="s">
        <v>4015</v>
      </c>
      <c r="C1759" s="3" t="s">
        <v>4015</v>
      </c>
      <c r="D1759" s="3" t="s">
        <v>4016</v>
      </c>
      <c r="E1759" s="3" t="s">
        <v>120</v>
      </c>
      <c r="F1759" s="3">
        <v>20.98</v>
      </c>
      <c r="G1759" s="3" t="s">
        <v>121</v>
      </c>
      <c r="H1759" s="3"/>
      <c r="I1759" s="3" t="s">
        <v>122</v>
      </c>
      <c r="J1759" s="3">
        <v>3</v>
      </c>
      <c r="K1759" s="3">
        <v>3</v>
      </c>
      <c r="L1759" s="3">
        <v>0</v>
      </c>
      <c r="M1759" s="3">
        <v>0</v>
      </c>
      <c r="N1759" s="3">
        <v>3</v>
      </c>
      <c r="O1759" s="3">
        <v>0.08</v>
      </c>
      <c r="P1759" s="3">
        <v>0</v>
      </c>
      <c r="Q1759" s="3">
        <v>0</v>
      </c>
      <c r="R1759" s="3">
        <v>0</v>
      </c>
    </row>
    <row r="1760" spans="1:18">
      <c r="A1760" s="3" t="s">
        <v>4574</v>
      </c>
      <c r="B1760" s="3" t="s">
        <v>4019</v>
      </c>
      <c r="C1760" s="3" t="s">
        <v>4019</v>
      </c>
      <c r="D1760" s="3" t="s">
        <v>4020</v>
      </c>
      <c r="E1760" s="3" t="s">
        <v>120</v>
      </c>
      <c r="F1760" s="3">
        <v>20.98</v>
      </c>
      <c r="G1760" s="3" t="s">
        <v>121</v>
      </c>
      <c r="H1760" s="3"/>
      <c r="I1760" s="3" t="s">
        <v>122</v>
      </c>
      <c r="J1760" s="3">
        <v>2</v>
      </c>
      <c r="K1760" s="3">
        <v>2</v>
      </c>
      <c r="L1760" s="3">
        <v>0</v>
      </c>
      <c r="M1760" s="3">
        <v>0</v>
      </c>
      <c r="N1760" s="3">
        <v>2</v>
      </c>
      <c r="O1760" s="3">
        <v>0.08</v>
      </c>
      <c r="P1760" s="3">
        <v>0</v>
      </c>
      <c r="Q1760" s="3">
        <v>0</v>
      </c>
      <c r="R1760" s="3">
        <v>0</v>
      </c>
    </row>
    <row r="1761" spans="1:18">
      <c r="A1761" s="3" t="s">
        <v>4575</v>
      </c>
      <c r="B1761" s="3" t="s">
        <v>4023</v>
      </c>
      <c r="C1761" s="3" t="s">
        <v>4023</v>
      </c>
      <c r="D1761" s="3" t="s">
        <v>4024</v>
      </c>
      <c r="E1761" s="3" t="s">
        <v>120</v>
      </c>
      <c r="F1761" s="3">
        <v>20.98</v>
      </c>
      <c r="G1761" s="3" t="s">
        <v>121</v>
      </c>
      <c r="H1761" s="3"/>
      <c r="I1761" s="3" t="s">
        <v>122</v>
      </c>
      <c r="J1761" s="3">
        <v>6</v>
      </c>
      <c r="K1761" s="3">
        <v>6</v>
      </c>
      <c r="L1761" s="3">
        <v>0</v>
      </c>
      <c r="M1761" s="3">
        <v>0</v>
      </c>
      <c r="N1761" s="3">
        <v>6</v>
      </c>
      <c r="O1761" s="3">
        <v>0.08</v>
      </c>
      <c r="P1761" s="3">
        <v>0</v>
      </c>
      <c r="Q1761" s="3">
        <v>0</v>
      </c>
      <c r="R1761" s="3">
        <v>0</v>
      </c>
    </row>
    <row r="1762" spans="1:18">
      <c r="A1762" s="3" t="s">
        <v>4576</v>
      </c>
      <c r="B1762" s="3" t="s">
        <v>4027</v>
      </c>
      <c r="C1762" s="3" t="s">
        <v>4027</v>
      </c>
      <c r="D1762" s="3" t="s">
        <v>4028</v>
      </c>
      <c r="E1762" s="3" t="s">
        <v>120</v>
      </c>
      <c r="F1762" s="3">
        <v>20.98</v>
      </c>
      <c r="G1762" s="3" t="s">
        <v>121</v>
      </c>
      <c r="H1762" s="3"/>
      <c r="I1762" s="3" t="s">
        <v>122</v>
      </c>
      <c r="J1762" s="3">
        <v>3</v>
      </c>
      <c r="K1762" s="3">
        <v>2</v>
      </c>
      <c r="L1762" s="3">
        <v>0</v>
      </c>
      <c r="M1762" s="3">
        <v>1</v>
      </c>
      <c r="N1762" s="3">
        <v>3</v>
      </c>
      <c r="O1762" s="3">
        <v>0.08</v>
      </c>
      <c r="P1762" s="3">
        <v>0</v>
      </c>
      <c r="Q1762" s="3">
        <v>0</v>
      </c>
      <c r="R1762" s="3">
        <v>0</v>
      </c>
    </row>
    <row r="1763" spans="1:18">
      <c r="A1763" s="3" t="s">
        <v>4577</v>
      </c>
      <c r="B1763" s="3" t="s">
        <v>4031</v>
      </c>
      <c r="C1763" s="3" t="s">
        <v>4031</v>
      </c>
      <c r="D1763" s="3" t="s">
        <v>4032</v>
      </c>
      <c r="E1763" s="3" t="s">
        <v>120</v>
      </c>
      <c r="F1763" s="3">
        <v>20.98</v>
      </c>
      <c r="G1763" s="3" t="s">
        <v>121</v>
      </c>
      <c r="H1763" s="3"/>
      <c r="I1763" s="3" t="s">
        <v>122</v>
      </c>
      <c r="J1763" s="3">
        <v>6</v>
      </c>
      <c r="K1763" s="3">
        <v>6</v>
      </c>
      <c r="L1763" s="3">
        <v>0</v>
      </c>
      <c r="M1763" s="3">
        <v>0</v>
      </c>
      <c r="N1763" s="3">
        <v>6</v>
      </c>
      <c r="O1763" s="3">
        <v>0.07</v>
      </c>
      <c r="P1763" s="3">
        <v>0</v>
      </c>
      <c r="Q1763" s="3">
        <v>0</v>
      </c>
      <c r="R1763" s="3">
        <v>0</v>
      </c>
    </row>
    <row r="1764" spans="1:18">
      <c r="A1764" s="3" t="s">
        <v>4578</v>
      </c>
      <c r="B1764" s="3" t="s">
        <v>4035</v>
      </c>
      <c r="C1764" s="3" t="s">
        <v>4035</v>
      </c>
      <c r="D1764" s="3" t="s">
        <v>4036</v>
      </c>
      <c r="E1764" s="3" t="s">
        <v>120</v>
      </c>
      <c r="F1764" s="3">
        <v>20.98</v>
      </c>
      <c r="G1764" s="3" t="s">
        <v>121</v>
      </c>
      <c r="H1764" s="3"/>
      <c r="I1764" s="3" t="s">
        <v>122</v>
      </c>
      <c r="J1764" s="3">
        <v>11</v>
      </c>
      <c r="K1764" s="3">
        <v>11</v>
      </c>
      <c r="L1764" s="3">
        <v>0</v>
      </c>
      <c r="M1764" s="3">
        <v>0</v>
      </c>
      <c r="N1764" s="3">
        <v>11</v>
      </c>
      <c r="O1764" s="3">
        <v>0.08</v>
      </c>
      <c r="P1764" s="3">
        <v>0</v>
      </c>
      <c r="Q1764" s="3">
        <v>0</v>
      </c>
      <c r="R1764" s="3">
        <v>0</v>
      </c>
    </row>
    <row r="1765" spans="1:18">
      <c r="A1765" s="3" t="s">
        <v>4579</v>
      </c>
      <c r="B1765" s="3" t="s">
        <v>4039</v>
      </c>
      <c r="C1765" s="3" t="s">
        <v>4039</v>
      </c>
      <c r="D1765" s="3" t="s">
        <v>4040</v>
      </c>
      <c r="E1765" s="3" t="s">
        <v>120</v>
      </c>
      <c r="F1765" s="3">
        <v>20.98</v>
      </c>
      <c r="G1765" s="3" t="s">
        <v>121</v>
      </c>
      <c r="H1765" s="3"/>
      <c r="I1765" s="3" t="s">
        <v>122</v>
      </c>
      <c r="J1765" s="3">
        <v>15</v>
      </c>
      <c r="K1765" s="3">
        <v>15</v>
      </c>
      <c r="L1765" s="3">
        <v>0</v>
      </c>
      <c r="M1765" s="3">
        <v>0</v>
      </c>
      <c r="N1765" s="3">
        <v>15</v>
      </c>
      <c r="O1765" s="3">
        <v>0.08</v>
      </c>
      <c r="P1765" s="3">
        <v>0</v>
      </c>
      <c r="Q1765" s="3">
        <v>0</v>
      </c>
      <c r="R1765" s="3">
        <v>0</v>
      </c>
    </row>
    <row r="1766" spans="1:18">
      <c r="A1766" s="3" t="s">
        <v>4580</v>
      </c>
      <c r="B1766" s="3" t="s">
        <v>4043</v>
      </c>
      <c r="C1766" s="3" t="s">
        <v>4043</v>
      </c>
      <c r="D1766" s="3" t="s">
        <v>4044</v>
      </c>
      <c r="E1766" s="3" t="s">
        <v>120</v>
      </c>
      <c r="F1766" s="3">
        <v>20.98</v>
      </c>
      <c r="G1766" s="3" t="s">
        <v>121</v>
      </c>
      <c r="H1766" s="3"/>
      <c r="I1766" s="3" t="s">
        <v>122</v>
      </c>
      <c r="J1766" s="3">
        <v>13</v>
      </c>
      <c r="K1766" s="3">
        <v>13</v>
      </c>
      <c r="L1766" s="3">
        <v>0</v>
      </c>
      <c r="M1766" s="3">
        <v>0</v>
      </c>
      <c r="N1766" s="3">
        <v>13</v>
      </c>
      <c r="O1766" s="3">
        <v>0.08</v>
      </c>
      <c r="P1766" s="3">
        <v>0</v>
      </c>
      <c r="Q1766" s="3">
        <v>0</v>
      </c>
      <c r="R1766" s="3">
        <v>0</v>
      </c>
    </row>
    <row r="1767" spans="1:18">
      <c r="A1767" s="3" t="s">
        <v>4581</v>
      </c>
      <c r="B1767" s="3" t="s">
        <v>4047</v>
      </c>
      <c r="C1767" s="3" t="s">
        <v>4047</v>
      </c>
      <c r="D1767" s="3" t="s">
        <v>4048</v>
      </c>
      <c r="E1767" s="3" t="s">
        <v>120</v>
      </c>
      <c r="F1767" s="3">
        <v>20.98</v>
      </c>
      <c r="G1767" s="3" t="s">
        <v>121</v>
      </c>
      <c r="H1767" s="3"/>
      <c r="I1767" s="3" t="s">
        <v>122</v>
      </c>
      <c r="J1767" s="3">
        <v>6</v>
      </c>
      <c r="K1767" s="3">
        <v>6</v>
      </c>
      <c r="L1767" s="3">
        <v>0</v>
      </c>
      <c r="M1767" s="3">
        <v>0</v>
      </c>
      <c r="N1767" s="3">
        <v>6</v>
      </c>
      <c r="O1767" s="3">
        <v>0.08</v>
      </c>
      <c r="P1767" s="3">
        <v>0</v>
      </c>
      <c r="Q1767" s="3">
        <v>0</v>
      </c>
      <c r="R1767" s="3">
        <v>0</v>
      </c>
    </row>
    <row r="1768" spans="1:18">
      <c r="A1768" s="3" t="s">
        <v>4582</v>
      </c>
      <c r="B1768" s="3" t="s">
        <v>4051</v>
      </c>
      <c r="C1768" s="3" t="s">
        <v>4051</v>
      </c>
      <c r="D1768" s="3" t="s">
        <v>4052</v>
      </c>
      <c r="E1768" s="3" t="s">
        <v>120</v>
      </c>
      <c r="F1768" s="3">
        <v>20.98</v>
      </c>
      <c r="G1768" s="3" t="s">
        <v>121</v>
      </c>
      <c r="H1768" s="3"/>
      <c r="I1768" s="3" t="s">
        <v>122</v>
      </c>
      <c r="J1768" s="3">
        <v>12</v>
      </c>
      <c r="K1768" s="3">
        <v>12</v>
      </c>
      <c r="L1768" s="3">
        <v>0</v>
      </c>
      <c r="M1768" s="3">
        <v>0</v>
      </c>
      <c r="N1768" s="3">
        <v>12</v>
      </c>
      <c r="O1768" s="3">
        <v>0.05</v>
      </c>
      <c r="P1768" s="3">
        <v>0</v>
      </c>
      <c r="Q1768" s="3">
        <v>0</v>
      </c>
      <c r="R1768" s="3">
        <v>0</v>
      </c>
    </row>
    <row r="1769" spans="1:18">
      <c r="A1769" s="3" t="s">
        <v>4583</v>
      </c>
      <c r="B1769" s="3" t="s">
        <v>4055</v>
      </c>
      <c r="C1769" s="3" t="s">
        <v>4055</v>
      </c>
      <c r="D1769" s="3" t="s">
        <v>4056</v>
      </c>
      <c r="E1769" s="3" t="s">
        <v>120</v>
      </c>
      <c r="F1769" s="3">
        <v>20.98</v>
      </c>
      <c r="G1769" s="3" t="s">
        <v>121</v>
      </c>
      <c r="H1769" s="3"/>
      <c r="I1769" s="3" t="s">
        <v>122</v>
      </c>
      <c r="J1769" s="3">
        <v>6</v>
      </c>
      <c r="K1769" s="3">
        <v>6</v>
      </c>
      <c r="L1769" s="3">
        <v>0</v>
      </c>
      <c r="M1769" s="3">
        <v>0</v>
      </c>
      <c r="N1769" s="3">
        <v>6</v>
      </c>
      <c r="O1769" s="3">
        <v>0.08</v>
      </c>
      <c r="P1769" s="3">
        <v>0</v>
      </c>
      <c r="Q1769" s="3">
        <v>0</v>
      </c>
      <c r="R1769" s="3">
        <v>0</v>
      </c>
    </row>
    <row r="1770" spans="1:18">
      <c r="A1770" s="3" t="s">
        <v>4584</v>
      </c>
      <c r="B1770" s="3" t="s">
        <v>4059</v>
      </c>
      <c r="C1770" s="3" t="s">
        <v>4059</v>
      </c>
      <c r="D1770" s="3" t="s">
        <v>4060</v>
      </c>
      <c r="E1770" s="3" t="s">
        <v>120</v>
      </c>
      <c r="F1770" s="3">
        <v>20.98</v>
      </c>
      <c r="G1770" s="3" t="s">
        <v>121</v>
      </c>
      <c r="H1770" s="3"/>
      <c r="I1770" s="3" t="s">
        <v>122</v>
      </c>
      <c r="J1770" s="3">
        <v>5</v>
      </c>
      <c r="K1770" s="3">
        <v>5</v>
      </c>
      <c r="L1770" s="3">
        <v>0</v>
      </c>
      <c r="M1770" s="3">
        <v>0</v>
      </c>
      <c r="N1770" s="3">
        <v>5</v>
      </c>
      <c r="O1770" s="3">
        <v>0.08</v>
      </c>
      <c r="P1770" s="3">
        <v>0</v>
      </c>
      <c r="Q1770" s="3">
        <v>0</v>
      </c>
      <c r="R1770" s="3">
        <v>0</v>
      </c>
    </row>
    <row r="1771" spans="1:18">
      <c r="A1771" s="3" t="s">
        <v>4585</v>
      </c>
      <c r="B1771" s="3" t="s">
        <v>4063</v>
      </c>
      <c r="C1771" s="3" t="s">
        <v>4063</v>
      </c>
      <c r="D1771" s="3" t="s">
        <v>4064</v>
      </c>
      <c r="E1771" s="3" t="s">
        <v>120</v>
      </c>
      <c r="F1771" s="3">
        <v>20.98</v>
      </c>
      <c r="G1771" s="3" t="s">
        <v>121</v>
      </c>
      <c r="H1771" s="3"/>
      <c r="I1771" s="3" t="s">
        <v>122</v>
      </c>
      <c r="J1771" s="3">
        <v>9</v>
      </c>
      <c r="K1771" s="3">
        <v>9</v>
      </c>
      <c r="L1771" s="3">
        <v>0</v>
      </c>
      <c r="M1771" s="3">
        <v>0</v>
      </c>
      <c r="N1771" s="3">
        <v>9</v>
      </c>
      <c r="O1771" s="3">
        <v>0.08</v>
      </c>
      <c r="P1771" s="3">
        <v>0</v>
      </c>
      <c r="Q1771" s="3">
        <v>0</v>
      </c>
      <c r="R1771" s="3">
        <v>0</v>
      </c>
    </row>
    <row r="1772" spans="1:18">
      <c r="A1772" s="3" t="s">
        <v>4586</v>
      </c>
      <c r="B1772" s="3" t="s">
        <v>4067</v>
      </c>
      <c r="C1772" s="3" t="s">
        <v>4067</v>
      </c>
      <c r="D1772" s="3" t="s">
        <v>4068</v>
      </c>
      <c r="E1772" s="3" t="s">
        <v>120</v>
      </c>
      <c r="F1772" s="3">
        <v>20.98</v>
      </c>
      <c r="G1772" s="3" t="s">
        <v>121</v>
      </c>
      <c r="H1772" s="3"/>
      <c r="I1772" s="3" t="s">
        <v>122</v>
      </c>
      <c r="J1772" s="3">
        <v>5</v>
      </c>
      <c r="K1772" s="3">
        <v>5</v>
      </c>
      <c r="L1772" s="3">
        <v>0</v>
      </c>
      <c r="M1772" s="3">
        <v>0</v>
      </c>
      <c r="N1772" s="3">
        <v>5</v>
      </c>
      <c r="O1772" s="3">
        <v>0.08</v>
      </c>
      <c r="P1772" s="3">
        <v>0</v>
      </c>
      <c r="Q1772" s="3">
        <v>0</v>
      </c>
      <c r="R1772" s="3">
        <v>0</v>
      </c>
    </row>
    <row r="1773" spans="1:18">
      <c r="A1773" s="3" t="s">
        <v>4587</v>
      </c>
      <c r="B1773" s="3" t="s">
        <v>4071</v>
      </c>
      <c r="C1773" s="3" t="s">
        <v>4071</v>
      </c>
      <c r="D1773" s="3" t="s">
        <v>4072</v>
      </c>
      <c r="E1773" s="3" t="s">
        <v>120</v>
      </c>
      <c r="F1773" s="3">
        <v>20.98</v>
      </c>
      <c r="G1773" s="3" t="s">
        <v>121</v>
      </c>
      <c r="H1773" s="3"/>
      <c r="I1773" s="3" t="s">
        <v>122</v>
      </c>
      <c r="J1773" s="3">
        <v>4</v>
      </c>
      <c r="K1773" s="3">
        <v>4</v>
      </c>
      <c r="L1773" s="3">
        <v>0</v>
      </c>
      <c r="M1773" s="3">
        <v>0</v>
      </c>
      <c r="N1773" s="3">
        <v>4</v>
      </c>
      <c r="O1773" s="3">
        <v>0.08</v>
      </c>
      <c r="P1773" s="3">
        <v>0</v>
      </c>
      <c r="Q1773" s="3">
        <v>0</v>
      </c>
      <c r="R1773" s="3">
        <v>0</v>
      </c>
    </row>
    <row r="1774" spans="1:18">
      <c r="A1774" s="3" t="s">
        <v>4588</v>
      </c>
      <c r="B1774" s="3" t="s">
        <v>4075</v>
      </c>
      <c r="C1774" s="3" t="s">
        <v>4075</v>
      </c>
      <c r="D1774" s="3" t="s">
        <v>4076</v>
      </c>
      <c r="E1774" s="3" t="s">
        <v>120</v>
      </c>
      <c r="F1774" s="3">
        <v>20.98</v>
      </c>
      <c r="G1774" s="3" t="s">
        <v>121</v>
      </c>
      <c r="H1774" s="3"/>
      <c r="I1774" s="3" t="s">
        <v>122</v>
      </c>
      <c r="J1774" s="3">
        <v>15</v>
      </c>
      <c r="K1774" s="3">
        <v>14</v>
      </c>
      <c r="L1774" s="3">
        <v>0</v>
      </c>
      <c r="M1774" s="3">
        <v>1</v>
      </c>
      <c r="N1774" s="3">
        <v>15</v>
      </c>
      <c r="O1774" s="3">
        <v>0.05</v>
      </c>
      <c r="P1774" s="3">
        <v>0</v>
      </c>
      <c r="Q1774" s="3">
        <v>0</v>
      </c>
      <c r="R1774" s="3">
        <v>0</v>
      </c>
    </row>
    <row r="1775" spans="1:18">
      <c r="A1775" s="3" t="s">
        <v>4589</v>
      </c>
      <c r="B1775" s="3" t="s">
        <v>4079</v>
      </c>
      <c r="C1775" s="3" t="s">
        <v>4079</v>
      </c>
      <c r="D1775" s="3" t="s">
        <v>4080</v>
      </c>
      <c r="E1775" s="3" t="s">
        <v>120</v>
      </c>
      <c r="F1775" s="3">
        <v>20.98</v>
      </c>
      <c r="G1775" s="3" t="s">
        <v>121</v>
      </c>
      <c r="H1775" s="3"/>
      <c r="I1775" s="3" t="s">
        <v>122</v>
      </c>
      <c r="J1775" s="3">
        <v>7</v>
      </c>
      <c r="K1775" s="3">
        <v>7</v>
      </c>
      <c r="L1775" s="3">
        <v>0</v>
      </c>
      <c r="M1775" s="3">
        <v>0</v>
      </c>
      <c r="N1775" s="3">
        <v>7</v>
      </c>
      <c r="O1775" s="3">
        <v>0.08</v>
      </c>
      <c r="P1775" s="3">
        <v>0</v>
      </c>
      <c r="Q1775" s="3">
        <v>0</v>
      </c>
      <c r="R1775" s="3">
        <v>0</v>
      </c>
    </row>
    <row r="1776" spans="1:18">
      <c r="A1776" s="3" t="s">
        <v>4590</v>
      </c>
      <c r="B1776" s="3" t="s">
        <v>4083</v>
      </c>
      <c r="C1776" s="3" t="s">
        <v>4083</v>
      </c>
      <c r="D1776" s="3" t="s">
        <v>4084</v>
      </c>
      <c r="E1776" s="3" t="s">
        <v>120</v>
      </c>
      <c r="F1776" s="3">
        <v>20.98</v>
      </c>
      <c r="G1776" s="3" t="s">
        <v>121</v>
      </c>
      <c r="H1776" s="3"/>
      <c r="I1776" s="3" t="s">
        <v>122</v>
      </c>
      <c r="J1776" s="3">
        <v>4</v>
      </c>
      <c r="K1776" s="3">
        <v>4</v>
      </c>
      <c r="L1776" s="3">
        <v>0</v>
      </c>
      <c r="M1776" s="3">
        <v>0</v>
      </c>
      <c r="N1776" s="3">
        <v>4</v>
      </c>
      <c r="O1776" s="3">
        <v>0.08</v>
      </c>
      <c r="P1776" s="3">
        <v>0</v>
      </c>
      <c r="Q1776" s="3">
        <v>0</v>
      </c>
      <c r="R1776" s="3">
        <v>0</v>
      </c>
    </row>
    <row r="1777" spans="1:18">
      <c r="A1777" s="3" t="s">
        <v>4591</v>
      </c>
      <c r="B1777" s="3" t="s">
        <v>4592</v>
      </c>
      <c r="C1777" s="3" t="s">
        <v>4158</v>
      </c>
      <c r="D1777" s="3" t="s">
        <v>4159</v>
      </c>
      <c r="E1777" s="3" t="s">
        <v>120</v>
      </c>
      <c r="F1777" s="3">
        <v>22.98</v>
      </c>
      <c r="G1777" s="3" t="s">
        <v>121</v>
      </c>
      <c r="H1777" s="3"/>
      <c r="I1777" s="3" t="s">
        <v>122</v>
      </c>
      <c r="J1777" s="3">
        <v>0</v>
      </c>
      <c r="K1777" s="3">
        <v>0</v>
      </c>
      <c r="L1777" s="3">
        <v>0</v>
      </c>
      <c r="M1777" s="3">
        <v>0</v>
      </c>
      <c r="N1777" s="3">
        <v>0</v>
      </c>
      <c r="O1777" s="3">
        <v>0.08</v>
      </c>
      <c r="P1777" s="3">
        <v>0</v>
      </c>
      <c r="Q1777" s="3">
        <v>0</v>
      </c>
      <c r="R1777" s="3">
        <v>0</v>
      </c>
    </row>
    <row r="1778" spans="1:18">
      <c r="A1778" s="3" t="s">
        <v>4593</v>
      </c>
      <c r="B1778" s="3" t="s">
        <v>4594</v>
      </c>
      <c r="C1778" s="3" t="s">
        <v>4161</v>
      </c>
      <c r="D1778" s="3" t="s">
        <v>4162</v>
      </c>
      <c r="E1778" s="3" t="s">
        <v>120</v>
      </c>
      <c r="F1778" s="3">
        <v>22.98</v>
      </c>
      <c r="G1778" s="3" t="s">
        <v>121</v>
      </c>
      <c r="H1778" s="3"/>
      <c r="I1778" s="3" t="s">
        <v>122</v>
      </c>
      <c r="J1778" s="3">
        <v>12</v>
      </c>
      <c r="K1778" s="3">
        <v>11</v>
      </c>
      <c r="L1778" s="3">
        <v>0</v>
      </c>
      <c r="M1778" s="3">
        <v>1</v>
      </c>
      <c r="N1778" s="3">
        <v>12</v>
      </c>
      <c r="O1778" s="3">
        <v>0.11</v>
      </c>
      <c r="P1778" s="3">
        <v>0</v>
      </c>
      <c r="Q1778" s="3">
        <v>0</v>
      </c>
      <c r="R1778" s="3">
        <v>0</v>
      </c>
    </row>
    <row r="1779" spans="1:18">
      <c r="A1779" s="3" t="s">
        <v>4595</v>
      </c>
      <c r="B1779" s="3" t="s">
        <v>4596</v>
      </c>
      <c r="C1779" s="3" t="s">
        <v>4526</v>
      </c>
      <c r="D1779" s="3" t="s">
        <v>4527</v>
      </c>
      <c r="E1779" s="3" t="s">
        <v>120</v>
      </c>
      <c r="F1779" s="3">
        <v>22.98</v>
      </c>
      <c r="G1779" s="3" t="s">
        <v>121</v>
      </c>
      <c r="H1779" s="3"/>
      <c r="I1779" s="3" t="s">
        <v>122</v>
      </c>
      <c r="J1779" s="3">
        <v>0</v>
      </c>
      <c r="K1779" s="3">
        <v>0</v>
      </c>
      <c r="L1779" s="3">
        <v>0</v>
      </c>
      <c r="M1779" s="3">
        <v>0</v>
      </c>
      <c r="N1779" s="3">
        <v>0</v>
      </c>
      <c r="O1779" s="3">
        <v>0.08</v>
      </c>
      <c r="P1779" s="3">
        <v>0</v>
      </c>
      <c r="Q1779" s="3">
        <v>0</v>
      </c>
      <c r="R1779" s="3">
        <v>0</v>
      </c>
    </row>
    <row r="1780" spans="1:18">
      <c r="A1780" s="3" t="s">
        <v>4597</v>
      </c>
      <c r="B1780" s="3" t="s">
        <v>4598</v>
      </c>
      <c r="C1780" s="3" t="s">
        <v>4164</v>
      </c>
      <c r="D1780" s="3" t="s">
        <v>4165</v>
      </c>
      <c r="E1780" s="3" t="s">
        <v>120</v>
      </c>
      <c r="F1780" s="3">
        <v>22.98</v>
      </c>
      <c r="G1780" s="3" t="s">
        <v>121</v>
      </c>
      <c r="H1780" s="3"/>
      <c r="I1780" s="3" t="s">
        <v>122</v>
      </c>
      <c r="J1780" s="3">
        <v>0</v>
      </c>
      <c r="K1780" s="3">
        <v>0</v>
      </c>
      <c r="L1780" s="3">
        <v>0</v>
      </c>
      <c r="M1780" s="3">
        <v>0</v>
      </c>
      <c r="N1780" s="3">
        <v>0</v>
      </c>
      <c r="O1780" s="3">
        <v>0.08</v>
      </c>
      <c r="P1780" s="3">
        <v>0</v>
      </c>
      <c r="Q1780" s="3">
        <v>0</v>
      </c>
      <c r="R1780" s="3">
        <v>0</v>
      </c>
    </row>
    <row r="1781" spans="1:18">
      <c r="A1781" s="3" t="s">
        <v>4599</v>
      </c>
      <c r="B1781" s="3" t="s">
        <v>4600</v>
      </c>
      <c r="C1781" s="3" t="s">
        <v>4117</v>
      </c>
      <c r="D1781" s="3" t="s">
        <v>4118</v>
      </c>
      <c r="E1781" s="3" t="s">
        <v>120</v>
      </c>
      <c r="F1781" s="3">
        <v>22.98</v>
      </c>
      <c r="G1781" s="3" t="s">
        <v>121</v>
      </c>
      <c r="H1781" s="3"/>
      <c r="I1781" s="3" t="s">
        <v>122</v>
      </c>
      <c r="J1781" s="3">
        <v>0</v>
      </c>
      <c r="K1781" s="3">
        <v>0</v>
      </c>
      <c r="L1781" s="3">
        <v>0</v>
      </c>
      <c r="M1781" s="3">
        <v>0</v>
      </c>
      <c r="N1781" s="3">
        <v>0</v>
      </c>
      <c r="O1781" s="3">
        <v>0.08</v>
      </c>
      <c r="P1781" s="3">
        <v>0</v>
      </c>
      <c r="Q1781" s="3">
        <v>0</v>
      </c>
      <c r="R1781" s="3">
        <v>0</v>
      </c>
    </row>
    <row r="1782" spans="1:18">
      <c r="A1782" s="3" t="s">
        <v>4601</v>
      </c>
      <c r="B1782" s="3" t="s">
        <v>4602</v>
      </c>
      <c r="C1782" s="3" t="s">
        <v>4529</v>
      </c>
      <c r="D1782" s="3" t="s">
        <v>4530</v>
      </c>
      <c r="E1782" s="3" t="s">
        <v>120</v>
      </c>
      <c r="F1782" s="3">
        <v>22.98</v>
      </c>
      <c r="G1782" s="3" t="s">
        <v>121</v>
      </c>
      <c r="H1782" s="3"/>
      <c r="I1782" s="3" t="s">
        <v>122</v>
      </c>
      <c r="J1782" s="3">
        <v>9</v>
      </c>
      <c r="K1782" s="3">
        <v>9</v>
      </c>
      <c r="L1782" s="3">
        <v>0</v>
      </c>
      <c r="M1782" s="3">
        <v>0</v>
      </c>
      <c r="N1782" s="3">
        <v>9</v>
      </c>
      <c r="O1782" s="3">
        <v>0.08</v>
      </c>
      <c r="P1782" s="3">
        <v>0</v>
      </c>
      <c r="Q1782" s="3">
        <v>0</v>
      </c>
      <c r="R1782" s="3">
        <v>0</v>
      </c>
    </row>
    <row r="1783" spans="1:18">
      <c r="A1783" s="3" t="s">
        <v>4603</v>
      </c>
      <c r="B1783" s="3" t="s">
        <v>4604</v>
      </c>
      <c r="C1783" s="3" t="s">
        <v>4120</v>
      </c>
      <c r="D1783" s="3" t="s">
        <v>4121</v>
      </c>
      <c r="E1783" s="3" t="s">
        <v>120</v>
      </c>
      <c r="F1783" s="3">
        <v>22.98</v>
      </c>
      <c r="G1783" s="3" t="s">
        <v>121</v>
      </c>
      <c r="H1783" s="3"/>
      <c r="I1783" s="3" t="s">
        <v>122</v>
      </c>
      <c r="J1783" s="3">
        <v>0</v>
      </c>
      <c r="K1783" s="3">
        <v>0</v>
      </c>
      <c r="L1783" s="3">
        <v>0</v>
      </c>
      <c r="M1783" s="3">
        <v>0</v>
      </c>
      <c r="N1783" s="3">
        <v>0</v>
      </c>
      <c r="O1783" s="3">
        <v>0.08</v>
      </c>
      <c r="P1783" s="3">
        <v>0</v>
      </c>
      <c r="Q1783" s="3">
        <v>0</v>
      </c>
      <c r="R1783" s="3">
        <v>0</v>
      </c>
    </row>
    <row r="1784" spans="1:18">
      <c r="A1784" s="3" t="s">
        <v>4605</v>
      </c>
      <c r="B1784" s="3" t="s">
        <v>4606</v>
      </c>
      <c r="C1784" s="3" t="s">
        <v>4123</v>
      </c>
      <c r="D1784" s="3" t="s">
        <v>4124</v>
      </c>
      <c r="E1784" s="3" t="s">
        <v>120</v>
      </c>
      <c r="F1784" s="3">
        <v>22.98</v>
      </c>
      <c r="G1784" s="3" t="s">
        <v>121</v>
      </c>
      <c r="H1784" s="3"/>
      <c r="I1784" s="3" t="s">
        <v>122</v>
      </c>
      <c r="J1784" s="3">
        <v>0</v>
      </c>
      <c r="K1784" s="3">
        <v>0</v>
      </c>
      <c r="L1784" s="3">
        <v>0</v>
      </c>
      <c r="M1784" s="3">
        <v>0</v>
      </c>
      <c r="N1784" s="3">
        <v>0</v>
      </c>
      <c r="O1784" s="3">
        <v>0.08</v>
      </c>
      <c r="P1784" s="3">
        <v>0</v>
      </c>
      <c r="Q1784" s="3">
        <v>0</v>
      </c>
      <c r="R1784" s="3">
        <v>0</v>
      </c>
    </row>
    <row r="1785" spans="1:18">
      <c r="A1785" s="3" t="s">
        <v>4607</v>
      </c>
      <c r="B1785" s="3" t="s">
        <v>4608</v>
      </c>
      <c r="C1785" s="3" t="s">
        <v>4126</v>
      </c>
      <c r="D1785" s="3" t="s">
        <v>4127</v>
      </c>
      <c r="E1785" s="3" t="s">
        <v>120</v>
      </c>
      <c r="F1785" s="3">
        <v>22.98</v>
      </c>
      <c r="G1785" s="3" t="s">
        <v>121</v>
      </c>
      <c r="H1785" s="3"/>
      <c r="I1785" s="3" t="s">
        <v>122</v>
      </c>
      <c r="J1785" s="3">
        <v>0</v>
      </c>
      <c r="K1785" s="3">
        <v>0</v>
      </c>
      <c r="L1785" s="3">
        <v>0</v>
      </c>
      <c r="M1785" s="3">
        <v>0</v>
      </c>
      <c r="N1785" s="3">
        <v>0</v>
      </c>
      <c r="O1785" s="3">
        <v>0.08</v>
      </c>
      <c r="P1785" s="3">
        <v>0</v>
      </c>
      <c r="Q1785" s="3">
        <v>0</v>
      </c>
      <c r="R1785" s="3">
        <v>0</v>
      </c>
    </row>
    <row r="1786" spans="1:18">
      <c r="A1786" s="3" t="s">
        <v>4609</v>
      </c>
      <c r="B1786" s="3" t="s">
        <v>4610</v>
      </c>
      <c r="C1786" s="3" t="s">
        <v>4364</v>
      </c>
      <c r="D1786" s="3" t="s">
        <v>4365</v>
      </c>
      <c r="E1786" s="3" t="s">
        <v>120</v>
      </c>
      <c r="F1786" s="3">
        <v>22.98</v>
      </c>
      <c r="G1786" s="3" t="s">
        <v>121</v>
      </c>
      <c r="H1786" s="3"/>
      <c r="I1786" s="3" t="s">
        <v>122</v>
      </c>
      <c r="J1786" s="3">
        <v>7</v>
      </c>
      <c r="K1786" s="3">
        <v>7</v>
      </c>
      <c r="L1786" s="3">
        <v>0</v>
      </c>
      <c r="M1786" s="3">
        <v>0</v>
      </c>
      <c r="N1786" s="3">
        <v>7</v>
      </c>
      <c r="O1786" s="3">
        <v>0.08</v>
      </c>
      <c r="P1786" s="3">
        <v>0</v>
      </c>
      <c r="Q1786" s="3">
        <v>0</v>
      </c>
      <c r="R1786" s="3">
        <v>0</v>
      </c>
    </row>
    <row r="1787" spans="1:18">
      <c r="A1787" s="3" t="s">
        <v>4611</v>
      </c>
      <c r="B1787" s="3" t="s">
        <v>4612</v>
      </c>
      <c r="C1787" s="3" t="s">
        <v>4131</v>
      </c>
      <c r="D1787" s="3" t="s">
        <v>4132</v>
      </c>
      <c r="E1787" s="3" t="s">
        <v>120</v>
      </c>
      <c r="F1787" s="3">
        <v>22.98</v>
      </c>
      <c r="G1787" s="3" t="s">
        <v>121</v>
      </c>
      <c r="H1787" s="3"/>
      <c r="I1787" s="3" t="s">
        <v>122</v>
      </c>
      <c r="J1787" s="3">
        <v>0</v>
      </c>
      <c r="K1787" s="3">
        <v>0</v>
      </c>
      <c r="L1787" s="3">
        <v>0</v>
      </c>
      <c r="M1787" s="3">
        <v>0</v>
      </c>
      <c r="N1787" s="3">
        <v>0</v>
      </c>
      <c r="O1787" s="3">
        <v>0.08</v>
      </c>
      <c r="P1787" s="3">
        <v>0</v>
      </c>
      <c r="Q1787" s="3">
        <v>0</v>
      </c>
      <c r="R1787" s="3">
        <v>0</v>
      </c>
    </row>
    <row r="1788" spans="1:18">
      <c r="A1788" s="3" t="s">
        <v>4613</v>
      </c>
      <c r="B1788" s="3" t="s">
        <v>4614</v>
      </c>
      <c r="C1788" s="3" t="s">
        <v>4134</v>
      </c>
      <c r="D1788" s="3" t="s">
        <v>4135</v>
      </c>
      <c r="E1788" s="3" t="s">
        <v>120</v>
      </c>
      <c r="F1788" s="3">
        <v>22.98</v>
      </c>
      <c r="G1788" s="3" t="s">
        <v>121</v>
      </c>
      <c r="H1788" s="3"/>
      <c r="I1788" s="3" t="s">
        <v>122</v>
      </c>
      <c r="J1788" s="3">
        <v>0</v>
      </c>
      <c r="K1788" s="3">
        <v>0</v>
      </c>
      <c r="L1788" s="3">
        <v>0</v>
      </c>
      <c r="M1788" s="3">
        <v>0</v>
      </c>
      <c r="N1788" s="3">
        <v>0</v>
      </c>
      <c r="O1788" s="3">
        <v>0.08</v>
      </c>
      <c r="P1788" s="3">
        <v>0</v>
      </c>
      <c r="Q1788" s="3">
        <v>0</v>
      </c>
      <c r="R1788" s="3">
        <v>0</v>
      </c>
    </row>
    <row r="1789" spans="1:18">
      <c r="A1789" s="3" t="s">
        <v>4615</v>
      </c>
      <c r="B1789" s="3" t="s">
        <v>4616</v>
      </c>
      <c r="C1789" s="3" t="s">
        <v>4137</v>
      </c>
      <c r="D1789" s="3" t="s">
        <v>4138</v>
      </c>
      <c r="E1789" s="3" t="s">
        <v>120</v>
      </c>
      <c r="F1789" s="3">
        <v>22.98</v>
      </c>
      <c r="G1789" s="3" t="s">
        <v>121</v>
      </c>
      <c r="H1789" s="3"/>
      <c r="I1789" s="3" t="s">
        <v>122</v>
      </c>
      <c r="J1789" s="3">
        <v>0</v>
      </c>
      <c r="K1789" s="3">
        <v>0</v>
      </c>
      <c r="L1789" s="3">
        <v>0</v>
      </c>
      <c r="M1789" s="3">
        <v>0</v>
      </c>
      <c r="N1789" s="3">
        <v>0</v>
      </c>
      <c r="O1789" s="3">
        <v>0.08</v>
      </c>
      <c r="P1789" s="3">
        <v>0</v>
      </c>
      <c r="Q1789" s="3">
        <v>0</v>
      </c>
      <c r="R1789" s="3">
        <v>0</v>
      </c>
    </row>
    <row r="1790" spans="1:18">
      <c r="A1790" s="3" t="s">
        <v>4617</v>
      </c>
      <c r="B1790" s="3" t="s">
        <v>4618</v>
      </c>
      <c r="C1790" s="3" t="s">
        <v>4140</v>
      </c>
      <c r="D1790" s="3" t="s">
        <v>4141</v>
      </c>
      <c r="E1790" s="3" t="s">
        <v>120</v>
      </c>
      <c r="F1790" s="3">
        <v>22.98</v>
      </c>
      <c r="G1790" s="3" t="s">
        <v>121</v>
      </c>
      <c r="H1790" s="3"/>
      <c r="I1790" s="3" t="s">
        <v>122</v>
      </c>
      <c r="J1790" s="3">
        <v>0</v>
      </c>
      <c r="K1790" s="3">
        <v>0</v>
      </c>
      <c r="L1790" s="3">
        <v>0</v>
      </c>
      <c r="M1790" s="3">
        <v>0</v>
      </c>
      <c r="N1790" s="3">
        <v>0</v>
      </c>
      <c r="O1790" s="3">
        <v>0.08</v>
      </c>
      <c r="P1790" s="3">
        <v>0</v>
      </c>
      <c r="Q1790" s="3">
        <v>0</v>
      </c>
      <c r="R1790" s="3">
        <v>0</v>
      </c>
    </row>
    <row r="1791" spans="1:18">
      <c r="A1791" s="3" t="s">
        <v>4619</v>
      </c>
      <c r="B1791" s="3" t="s">
        <v>4620</v>
      </c>
      <c r="C1791" s="3" t="s">
        <v>4143</v>
      </c>
      <c r="D1791" s="3" t="s">
        <v>4144</v>
      </c>
      <c r="E1791" s="3" t="s">
        <v>120</v>
      </c>
      <c r="F1791" s="3">
        <v>22.98</v>
      </c>
      <c r="G1791" s="3" t="s">
        <v>121</v>
      </c>
      <c r="H1791" s="3"/>
      <c r="I1791" s="3" t="s">
        <v>122</v>
      </c>
      <c r="J1791" s="3">
        <v>0</v>
      </c>
      <c r="K1791" s="3">
        <v>0</v>
      </c>
      <c r="L1791" s="3">
        <v>0</v>
      </c>
      <c r="M1791" s="3">
        <v>0</v>
      </c>
      <c r="N1791" s="3">
        <v>0</v>
      </c>
      <c r="O1791" s="3">
        <v>0.08</v>
      </c>
      <c r="P1791" s="3">
        <v>0</v>
      </c>
      <c r="Q1791" s="3">
        <v>0</v>
      </c>
      <c r="R1791" s="3">
        <v>0</v>
      </c>
    </row>
    <row r="1792" spans="1:18">
      <c r="A1792" s="3" t="s">
        <v>4621</v>
      </c>
      <c r="B1792" s="3" t="s">
        <v>4622</v>
      </c>
      <c r="C1792" s="3" t="s">
        <v>4155</v>
      </c>
      <c r="D1792" s="3" t="s">
        <v>4156</v>
      </c>
      <c r="E1792" s="3" t="s">
        <v>120</v>
      </c>
      <c r="F1792" s="3">
        <v>22.98</v>
      </c>
      <c r="G1792" s="3" t="s">
        <v>121</v>
      </c>
      <c r="H1792" s="3"/>
      <c r="I1792" s="3" t="s">
        <v>122</v>
      </c>
      <c r="J1792" s="3">
        <v>7</v>
      </c>
      <c r="K1792" s="3">
        <v>6</v>
      </c>
      <c r="L1792" s="3">
        <v>0</v>
      </c>
      <c r="M1792" s="3">
        <v>1</v>
      </c>
      <c r="N1792" s="3">
        <v>7</v>
      </c>
      <c r="O1792" s="3">
        <v>0.08</v>
      </c>
      <c r="P1792" s="3">
        <v>0</v>
      </c>
      <c r="Q1792" s="3">
        <v>0</v>
      </c>
      <c r="R1792" s="3">
        <v>0</v>
      </c>
    </row>
    <row r="1793" spans="1:18">
      <c r="A1793" s="3" t="s">
        <v>4623</v>
      </c>
      <c r="B1793" s="3" t="s">
        <v>4624</v>
      </c>
      <c r="C1793" s="3" t="s">
        <v>4146</v>
      </c>
      <c r="D1793" s="3" t="s">
        <v>4147</v>
      </c>
      <c r="E1793" s="3" t="s">
        <v>120</v>
      </c>
      <c r="F1793" s="3">
        <v>22.98</v>
      </c>
      <c r="G1793" s="3" t="s">
        <v>121</v>
      </c>
      <c r="H1793" s="3"/>
      <c r="I1793" s="3" t="s">
        <v>122</v>
      </c>
      <c r="J1793" s="3">
        <v>0</v>
      </c>
      <c r="K1793" s="3">
        <v>0</v>
      </c>
      <c r="L1793" s="3">
        <v>0</v>
      </c>
      <c r="M1793" s="3">
        <v>0</v>
      </c>
      <c r="N1793" s="3">
        <v>0</v>
      </c>
      <c r="O1793" s="3">
        <v>0.08</v>
      </c>
      <c r="P1793" s="3">
        <v>0</v>
      </c>
      <c r="Q1793" s="3">
        <v>0</v>
      </c>
      <c r="R1793" s="3">
        <v>0</v>
      </c>
    </row>
    <row r="1794" spans="1:18">
      <c r="A1794" s="3" t="s">
        <v>4625</v>
      </c>
      <c r="B1794" s="3" t="s">
        <v>4626</v>
      </c>
      <c r="C1794" s="3" t="s">
        <v>4149</v>
      </c>
      <c r="D1794" s="3" t="s">
        <v>4150</v>
      </c>
      <c r="E1794" s="3" t="s">
        <v>120</v>
      </c>
      <c r="F1794" s="3">
        <v>22.98</v>
      </c>
      <c r="G1794" s="3" t="s">
        <v>121</v>
      </c>
      <c r="H1794" s="3"/>
      <c r="I1794" s="3" t="s">
        <v>122</v>
      </c>
      <c r="J1794" s="3">
        <v>0</v>
      </c>
      <c r="K1794" s="3">
        <v>0</v>
      </c>
      <c r="L1794" s="3">
        <v>0</v>
      </c>
      <c r="M1794" s="3">
        <v>0</v>
      </c>
      <c r="N1794" s="3">
        <v>0</v>
      </c>
      <c r="O1794" s="3">
        <v>0.08</v>
      </c>
      <c r="P1794" s="3">
        <v>0</v>
      </c>
      <c r="Q1794" s="3">
        <v>0</v>
      </c>
      <c r="R1794" s="3">
        <v>0</v>
      </c>
    </row>
    <row r="1795" spans="1:18">
      <c r="A1795" s="3" t="s">
        <v>4627</v>
      </c>
      <c r="B1795" s="3" t="s">
        <v>4628</v>
      </c>
      <c r="C1795" s="3" t="s">
        <v>4152</v>
      </c>
      <c r="D1795" s="3" t="s">
        <v>4153</v>
      </c>
      <c r="E1795" s="3" t="s">
        <v>120</v>
      </c>
      <c r="F1795" s="3">
        <v>22.98</v>
      </c>
      <c r="G1795" s="3" t="s">
        <v>121</v>
      </c>
      <c r="H1795" s="3"/>
      <c r="I1795" s="3" t="s">
        <v>122</v>
      </c>
      <c r="J1795" s="3">
        <v>0</v>
      </c>
      <c r="K1795" s="3">
        <v>0</v>
      </c>
      <c r="L1795" s="3">
        <v>0</v>
      </c>
      <c r="M1795" s="3">
        <v>0</v>
      </c>
      <c r="N1795" s="3">
        <v>0</v>
      </c>
      <c r="O1795" s="3">
        <v>0.08</v>
      </c>
      <c r="P1795" s="3">
        <v>0</v>
      </c>
      <c r="Q1795" s="3">
        <v>0</v>
      </c>
      <c r="R1795" s="3">
        <v>0</v>
      </c>
    </row>
    <row r="1796" spans="1:18">
      <c r="A1796" s="3" t="s">
        <v>4629</v>
      </c>
      <c r="B1796" s="3" t="s">
        <v>4630</v>
      </c>
      <c r="C1796" s="3" t="s">
        <v>3314</v>
      </c>
      <c r="D1796" s="3" t="s">
        <v>3315</v>
      </c>
      <c r="E1796" s="3" t="s">
        <v>120</v>
      </c>
      <c r="F1796" s="3">
        <v>22.98</v>
      </c>
      <c r="G1796" s="3" t="s">
        <v>121</v>
      </c>
      <c r="H1796" s="3"/>
      <c r="I1796" s="3" t="s">
        <v>122</v>
      </c>
      <c r="J1796" s="3">
        <v>2</v>
      </c>
      <c r="K1796" s="3">
        <v>1</v>
      </c>
      <c r="L1796" s="3">
        <v>0</v>
      </c>
      <c r="M1796" s="3">
        <v>1</v>
      </c>
      <c r="N1796" s="3">
        <v>2</v>
      </c>
      <c r="O1796" s="3">
        <v>0.08</v>
      </c>
      <c r="P1796" s="3">
        <v>0</v>
      </c>
      <c r="Q1796" s="3">
        <v>0</v>
      </c>
      <c r="R1796" s="3">
        <v>0</v>
      </c>
    </row>
    <row r="1797" spans="1:18">
      <c r="A1797" s="3" t="s">
        <v>4631</v>
      </c>
      <c r="B1797" s="3" t="s">
        <v>4632</v>
      </c>
      <c r="C1797" s="3" t="s">
        <v>4167</v>
      </c>
      <c r="D1797" s="3" t="s">
        <v>4168</v>
      </c>
      <c r="E1797" s="3" t="s">
        <v>120</v>
      </c>
      <c r="F1797" s="3">
        <v>22.98</v>
      </c>
      <c r="G1797" s="3" t="s">
        <v>121</v>
      </c>
      <c r="H1797" s="3"/>
      <c r="I1797" s="3" t="s">
        <v>122</v>
      </c>
      <c r="J1797" s="3">
        <v>0</v>
      </c>
      <c r="K1797" s="3">
        <v>0</v>
      </c>
      <c r="L1797" s="3">
        <v>0</v>
      </c>
      <c r="M1797" s="3">
        <v>0</v>
      </c>
      <c r="N1797" s="3">
        <v>0</v>
      </c>
      <c r="O1797" s="3">
        <v>0.08</v>
      </c>
      <c r="P1797" s="3">
        <v>0</v>
      </c>
      <c r="Q1797" s="3">
        <v>0</v>
      </c>
      <c r="R1797" s="3">
        <v>0</v>
      </c>
    </row>
    <row r="1798" spans="1:18">
      <c r="A1798" s="3" t="s">
        <v>4633</v>
      </c>
      <c r="B1798" s="3" t="s">
        <v>4634</v>
      </c>
      <c r="C1798" s="3" t="s">
        <v>4534</v>
      </c>
      <c r="D1798" s="3" t="s">
        <v>4535</v>
      </c>
      <c r="E1798" s="3" t="s">
        <v>120</v>
      </c>
      <c r="F1798" s="3">
        <v>22.98</v>
      </c>
      <c r="G1798" s="3" t="s">
        <v>121</v>
      </c>
      <c r="H1798" s="3"/>
      <c r="I1798" s="3" t="s">
        <v>122</v>
      </c>
      <c r="J1798" s="3">
        <v>10</v>
      </c>
      <c r="K1798" s="3">
        <v>10</v>
      </c>
      <c r="L1798" s="3">
        <v>0</v>
      </c>
      <c r="M1798" s="3">
        <v>0</v>
      </c>
      <c r="N1798" s="3">
        <v>10</v>
      </c>
      <c r="O1798" s="3">
        <v>0.08</v>
      </c>
      <c r="P1798" s="3">
        <v>0</v>
      </c>
      <c r="Q1798" s="3">
        <v>0</v>
      </c>
      <c r="R1798" s="3">
        <v>0</v>
      </c>
    </row>
    <row r="1799" spans="1:18">
      <c r="A1799" s="3" t="s">
        <v>4635</v>
      </c>
      <c r="B1799" s="3" t="s">
        <v>4636</v>
      </c>
      <c r="C1799" s="3" t="s">
        <v>4172</v>
      </c>
      <c r="D1799" s="3" t="s">
        <v>4173</v>
      </c>
      <c r="E1799" s="3" t="s">
        <v>120</v>
      </c>
      <c r="F1799" s="3">
        <v>22.98</v>
      </c>
      <c r="G1799" s="3" t="s">
        <v>121</v>
      </c>
      <c r="H1799" s="3"/>
      <c r="I1799" s="3" t="s">
        <v>122</v>
      </c>
      <c r="J1799" s="3">
        <v>0</v>
      </c>
      <c r="K1799" s="3">
        <v>0</v>
      </c>
      <c r="L1799" s="3">
        <v>0</v>
      </c>
      <c r="M1799" s="3">
        <v>0</v>
      </c>
      <c r="N1799" s="3">
        <v>0</v>
      </c>
      <c r="O1799" s="3">
        <v>0.08</v>
      </c>
      <c r="P1799" s="3">
        <v>0</v>
      </c>
      <c r="Q1799" s="3">
        <v>0</v>
      </c>
      <c r="R1799" s="3">
        <v>0</v>
      </c>
    </row>
    <row r="1800" spans="1:18">
      <c r="A1800" s="3" t="s">
        <v>4637</v>
      </c>
      <c r="B1800" s="3" t="s">
        <v>4638</v>
      </c>
      <c r="C1800" s="3" t="s">
        <v>4175</v>
      </c>
      <c r="D1800" s="3" t="s">
        <v>4176</v>
      </c>
      <c r="E1800" s="3" t="s">
        <v>120</v>
      </c>
      <c r="F1800" s="3">
        <v>22.98</v>
      </c>
      <c r="G1800" s="3" t="s">
        <v>121</v>
      </c>
      <c r="H1800" s="3"/>
      <c r="I1800" s="3" t="s">
        <v>122</v>
      </c>
      <c r="J1800" s="3">
        <v>0</v>
      </c>
      <c r="K1800" s="3">
        <v>0</v>
      </c>
      <c r="L1800" s="3">
        <v>0</v>
      </c>
      <c r="M1800" s="3">
        <v>0</v>
      </c>
      <c r="N1800" s="3">
        <v>0</v>
      </c>
      <c r="O1800" s="3">
        <v>0.08</v>
      </c>
      <c r="P1800" s="3">
        <v>0</v>
      </c>
      <c r="Q1800" s="3">
        <v>0</v>
      </c>
      <c r="R1800" s="3">
        <v>0</v>
      </c>
    </row>
    <row r="1801" spans="1:18">
      <c r="A1801" s="3" t="s">
        <v>4639</v>
      </c>
      <c r="B1801" s="3" t="s">
        <v>4640</v>
      </c>
      <c r="C1801" s="3" t="s">
        <v>4537</v>
      </c>
      <c r="D1801" s="3" t="s">
        <v>4538</v>
      </c>
      <c r="E1801" s="3" t="s">
        <v>120</v>
      </c>
      <c r="F1801" s="3">
        <v>22.98</v>
      </c>
      <c r="G1801" s="3" t="s">
        <v>121</v>
      </c>
      <c r="H1801" s="3"/>
      <c r="I1801" s="3" t="s">
        <v>122</v>
      </c>
      <c r="J1801" s="3">
        <v>0</v>
      </c>
      <c r="K1801" s="3">
        <v>0</v>
      </c>
      <c r="L1801" s="3">
        <v>0</v>
      </c>
      <c r="M1801" s="3">
        <v>0</v>
      </c>
      <c r="N1801" s="3">
        <v>0</v>
      </c>
      <c r="O1801" s="3">
        <v>0.08</v>
      </c>
      <c r="P1801" s="3">
        <v>0</v>
      </c>
      <c r="Q1801" s="3">
        <v>0</v>
      </c>
      <c r="R1801" s="3">
        <v>0</v>
      </c>
    </row>
    <row r="1802" spans="1:18">
      <c r="A1802" s="3" t="s">
        <v>4641</v>
      </c>
      <c r="B1802" s="3" t="s">
        <v>4642</v>
      </c>
      <c r="C1802" s="3" t="s">
        <v>4181</v>
      </c>
      <c r="D1802" s="3" t="s">
        <v>4182</v>
      </c>
      <c r="E1802" s="3" t="s">
        <v>120</v>
      </c>
      <c r="F1802" s="3">
        <v>22.98</v>
      </c>
      <c r="G1802" s="3" t="s">
        <v>121</v>
      </c>
      <c r="H1802" s="3"/>
      <c r="I1802" s="3" t="s">
        <v>122</v>
      </c>
      <c r="J1802" s="3">
        <v>1</v>
      </c>
      <c r="K1802" s="3">
        <v>1</v>
      </c>
      <c r="L1802" s="3">
        <v>0</v>
      </c>
      <c r="M1802" s="3">
        <v>0</v>
      </c>
      <c r="N1802" s="3">
        <v>1</v>
      </c>
      <c r="O1802" s="3">
        <v>0.08</v>
      </c>
      <c r="P1802" s="3">
        <v>0</v>
      </c>
      <c r="Q1802" s="3">
        <v>0</v>
      </c>
      <c r="R1802" s="3">
        <v>0</v>
      </c>
    </row>
    <row r="1803" spans="1:18">
      <c r="A1803" s="3" t="s">
        <v>4643</v>
      </c>
      <c r="B1803" s="3" t="s">
        <v>4644</v>
      </c>
      <c r="C1803" s="3" t="s">
        <v>4184</v>
      </c>
      <c r="D1803" s="3" t="s">
        <v>4185</v>
      </c>
      <c r="E1803" s="3" t="s">
        <v>120</v>
      </c>
      <c r="F1803" s="3">
        <v>22.98</v>
      </c>
      <c r="G1803" s="3" t="s">
        <v>121</v>
      </c>
      <c r="H1803" s="3"/>
      <c r="I1803" s="3" t="s">
        <v>122</v>
      </c>
      <c r="J1803" s="3">
        <v>0</v>
      </c>
      <c r="K1803" s="3">
        <v>0</v>
      </c>
      <c r="L1803" s="3">
        <v>0</v>
      </c>
      <c r="M1803" s="3">
        <v>0</v>
      </c>
      <c r="N1803" s="3">
        <v>0</v>
      </c>
      <c r="O1803" s="3">
        <v>0.08</v>
      </c>
      <c r="P1803" s="3">
        <v>0</v>
      </c>
      <c r="Q1803" s="3">
        <v>0</v>
      </c>
      <c r="R1803" s="3">
        <v>0</v>
      </c>
    </row>
    <row r="1804" spans="1:18">
      <c r="A1804" s="3" t="s">
        <v>4645</v>
      </c>
      <c r="B1804" s="3" t="s">
        <v>4646</v>
      </c>
      <c r="C1804" s="3" t="s">
        <v>4187</v>
      </c>
      <c r="D1804" s="3" t="s">
        <v>4188</v>
      </c>
      <c r="E1804" s="3" t="s">
        <v>120</v>
      </c>
      <c r="F1804" s="3">
        <v>22.98</v>
      </c>
      <c r="G1804" s="3" t="s">
        <v>121</v>
      </c>
      <c r="H1804" s="3"/>
      <c r="I1804" s="3" t="s">
        <v>122</v>
      </c>
      <c r="J1804" s="3">
        <v>0</v>
      </c>
      <c r="K1804" s="3">
        <v>0</v>
      </c>
      <c r="L1804" s="3">
        <v>0</v>
      </c>
      <c r="M1804" s="3">
        <v>0</v>
      </c>
      <c r="N1804" s="3">
        <v>0</v>
      </c>
      <c r="O1804" s="3">
        <v>0.08</v>
      </c>
      <c r="P1804" s="3">
        <v>0</v>
      </c>
      <c r="Q1804" s="3">
        <v>0</v>
      </c>
      <c r="R1804" s="3">
        <v>0</v>
      </c>
    </row>
    <row r="1805" spans="1:18">
      <c r="A1805" s="3" t="s">
        <v>4647</v>
      </c>
      <c r="B1805" s="3" t="s">
        <v>4648</v>
      </c>
      <c r="C1805" s="3" t="s">
        <v>4190</v>
      </c>
      <c r="D1805" s="3" t="s">
        <v>4191</v>
      </c>
      <c r="E1805" s="3" t="s">
        <v>120</v>
      </c>
      <c r="F1805" s="3">
        <v>22.98</v>
      </c>
      <c r="G1805" s="3" t="s">
        <v>121</v>
      </c>
      <c r="H1805" s="3"/>
      <c r="I1805" s="3" t="s">
        <v>122</v>
      </c>
      <c r="J1805" s="3">
        <v>10</v>
      </c>
      <c r="K1805" s="3">
        <v>10</v>
      </c>
      <c r="L1805" s="3">
        <v>0</v>
      </c>
      <c r="M1805" s="3">
        <v>0</v>
      </c>
      <c r="N1805" s="3">
        <v>10</v>
      </c>
      <c r="O1805" s="3">
        <v>0.08</v>
      </c>
      <c r="P1805" s="3">
        <v>0</v>
      </c>
      <c r="Q1805" s="3">
        <v>0</v>
      </c>
      <c r="R1805" s="3">
        <v>0</v>
      </c>
    </row>
    <row r="1806" spans="1:18">
      <c r="A1806" s="3" t="s">
        <v>4649</v>
      </c>
      <c r="B1806" s="3" t="s">
        <v>4650</v>
      </c>
      <c r="C1806" s="3" t="s">
        <v>4193</v>
      </c>
      <c r="D1806" s="3" t="s">
        <v>4194</v>
      </c>
      <c r="E1806" s="3" t="s">
        <v>120</v>
      </c>
      <c r="F1806" s="3">
        <v>22.98</v>
      </c>
      <c r="G1806" s="3" t="s">
        <v>121</v>
      </c>
      <c r="H1806" s="3"/>
      <c r="I1806" s="3" t="s">
        <v>122</v>
      </c>
      <c r="J1806" s="3">
        <v>2</v>
      </c>
      <c r="K1806" s="3">
        <v>2</v>
      </c>
      <c r="L1806" s="3">
        <v>0</v>
      </c>
      <c r="M1806" s="3">
        <v>0</v>
      </c>
      <c r="N1806" s="3">
        <v>2</v>
      </c>
      <c r="O1806" s="3">
        <v>0.08</v>
      </c>
      <c r="P1806" s="3">
        <v>0</v>
      </c>
      <c r="Q1806" s="3">
        <v>0</v>
      </c>
      <c r="R1806" s="3">
        <v>0</v>
      </c>
    </row>
    <row r="1807" spans="1:18">
      <c r="A1807" s="3" t="s">
        <v>4651</v>
      </c>
      <c r="B1807" s="3" t="s">
        <v>4652</v>
      </c>
      <c r="C1807" s="3" t="s">
        <v>4196</v>
      </c>
      <c r="D1807" s="3" t="s">
        <v>4197</v>
      </c>
      <c r="E1807" s="3" t="s">
        <v>120</v>
      </c>
      <c r="F1807" s="3">
        <v>22.98</v>
      </c>
      <c r="G1807" s="3" t="s">
        <v>121</v>
      </c>
      <c r="H1807" s="3"/>
      <c r="I1807" s="3" t="s">
        <v>122</v>
      </c>
      <c r="J1807" s="3">
        <v>0</v>
      </c>
      <c r="K1807" s="3">
        <v>0</v>
      </c>
      <c r="L1807" s="3">
        <v>0</v>
      </c>
      <c r="M1807" s="3">
        <v>0</v>
      </c>
      <c r="N1807" s="3">
        <v>0</v>
      </c>
      <c r="O1807" s="3">
        <v>0.08</v>
      </c>
      <c r="P1807" s="3">
        <v>0</v>
      </c>
      <c r="Q1807" s="3">
        <v>0</v>
      </c>
      <c r="R1807" s="3">
        <v>0</v>
      </c>
    </row>
    <row r="1808" spans="1:18">
      <c r="A1808" s="3" t="s">
        <v>4653</v>
      </c>
      <c r="B1808" s="3" t="s">
        <v>4654</v>
      </c>
      <c r="C1808" s="3" t="s">
        <v>4199</v>
      </c>
      <c r="D1808" s="3" t="s">
        <v>4200</v>
      </c>
      <c r="E1808" s="3" t="s">
        <v>120</v>
      </c>
      <c r="F1808" s="3">
        <v>22.98</v>
      </c>
      <c r="G1808" s="3" t="s">
        <v>121</v>
      </c>
      <c r="H1808" s="3"/>
      <c r="I1808" s="3" t="s">
        <v>122</v>
      </c>
      <c r="J1808" s="3">
        <v>0</v>
      </c>
      <c r="K1808" s="3">
        <v>0</v>
      </c>
      <c r="L1808" s="3">
        <v>0</v>
      </c>
      <c r="M1808" s="3">
        <v>0</v>
      </c>
      <c r="N1808" s="3">
        <v>0</v>
      </c>
      <c r="O1808" s="3">
        <v>0.08</v>
      </c>
      <c r="P1808" s="3">
        <v>0</v>
      </c>
      <c r="Q1808" s="3">
        <v>0</v>
      </c>
      <c r="R1808" s="3">
        <v>0</v>
      </c>
    </row>
    <row r="1809" spans="1:18">
      <c r="A1809" s="3" t="s">
        <v>4655</v>
      </c>
      <c r="B1809" s="3" t="s">
        <v>4656</v>
      </c>
      <c r="C1809" s="3" t="s">
        <v>4202</v>
      </c>
      <c r="D1809" s="3" t="s">
        <v>4657</v>
      </c>
      <c r="E1809" s="3" t="s">
        <v>120</v>
      </c>
      <c r="F1809" s="3">
        <v>22.98</v>
      </c>
      <c r="G1809" s="3" t="s">
        <v>121</v>
      </c>
      <c r="H1809" s="3"/>
      <c r="I1809" s="3" t="s">
        <v>122</v>
      </c>
      <c r="J1809" s="3">
        <v>0</v>
      </c>
      <c r="K1809" s="3">
        <v>0</v>
      </c>
      <c r="L1809" s="3">
        <v>0</v>
      </c>
      <c r="M1809" s="3">
        <v>0</v>
      </c>
      <c r="N1809" s="3">
        <v>0</v>
      </c>
      <c r="O1809" s="3">
        <v>0.08</v>
      </c>
      <c r="P1809" s="3">
        <v>0</v>
      </c>
      <c r="Q1809" s="3">
        <v>0</v>
      </c>
      <c r="R1809" s="3">
        <v>0</v>
      </c>
    </row>
    <row r="1810" spans="1:18">
      <c r="A1810" s="3" t="s">
        <v>4658</v>
      </c>
      <c r="B1810" s="3" t="s">
        <v>4659</v>
      </c>
      <c r="C1810" s="3" t="s">
        <v>4204</v>
      </c>
      <c r="D1810" s="3" t="s">
        <v>4660</v>
      </c>
      <c r="E1810" s="3" t="s">
        <v>120</v>
      </c>
      <c r="F1810" s="3">
        <v>22.98</v>
      </c>
      <c r="G1810" s="3" t="s">
        <v>121</v>
      </c>
      <c r="H1810" s="3"/>
      <c r="I1810" s="3" t="s">
        <v>122</v>
      </c>
      <c r="J1810" s="3">
        <v>0</v>
      </c>
      <c r="K1810" s="3">
        <v>0</v>
      </c>
      <c r="L1810" s="3">
        <v>0</v>
      </c>
      <c r="M1810" s="3">
        <v>0</v>
      </c>
      <c r="N1810" s="3">
        <v>0</v>
      </c>
      <c r="O1810" s="3">
        <v>0.08</v>
      </c>
      <c r="P1810" s="3">
        <v>0</v>
      </c>
      <c r="Q1810" s="3">
        <v>0</v>
      </c>
      <c r="R1810" s="3">
        <v>0</v>
      </c>
    </row>
    <row r="1811" spans="1:18">
      <c r="A1811" s="3" t="s">
        <v>4661</v>
      </c>
      <c r="B1811" s="3" t="s">
        <v>4662</v>
      </c>
      <c r="C1811" s="3" t="s">
        <v>4206</v>
      </c>
      <c r="D1811" s="3" t="s">
        <v>4207</v>
      </c>
      <c r="E1811" s="3" t="s">
        <v>120</v>
      </c>
      <c r="F1811" s="3">
        <v>22.98</v>
      </c>
      <c r="G1811" s="3" t="s">
        <v>121</v>
      </c>
      <c r="H1811" s="3"/>
      <c r="I1811" s="3" t="s">
        <v>122</v>
      </c>
      <c r="J1811" s="3">
        <v>0</v>
      </c>
      <c r="K1811" s="3">
        <v>0</v>
      </c>
      <c r="L1811" s="3">
        <v>0</v>
      </c>
      <c r="M1811" s="3">
        <v>0</v>
      </c>
      <c r="N1811" s="3">
        <v>0</v>
      </c>
      <c r="O1811" s="3">
        <v>0.08</v>
      </c>
      <c r="P1811" s="3">
        <v>0</v>
      </c>
      <c r="Q1811" s="3">
        <v>0</v>
      </c>
      <c r="R1811" s="3">
        <v>0</v>
      </c>
    </row>
    <row r="1812" spans="1:18">
      <c r="A1812" s="3" t="s">
        <v>4663</v>
      </c>
      <c r="B1812" s="3" t="s">
        <v>4664</v>
      </c>
      <c r="C1812" s="3" t="s">
        <v>4209</v>
      </c>
      <c r="D1812" s="3" t="s">
        <v>4665</v>
      </c>
      <c r="E1812" s="3" t="s">
        <v>120</v>
      </c>
      <c r="F1812" s="3">
        <v>22.98</v>
      </c>
      <c r="G1812" s="3" t="s">
        <v>121</v>
      </c>
      <c r="H1812" s="3"/>
      <c r="I1812" s="3" t="s">
        <v>122</v>
      </c>
      <c r="J1812" s="3">
        <v>0</v>
      </c>
      <c r="K1812" s="3">
        <v>0</v>
      </c>
      <c r="L1812" s="3">
        <v>0</v>
      </c>
      <c r="M1812" s="3">
        <v>0</v>
      </c>
      <c r="N1812" s="3">
        <v>0</v>
      </c>
      <c r="O1812" s="3">
        <v>0.08</v>
      </c>
      <c r="P1812" s="3">
        <v>0</v>
      </c>
      <c r="Q1812" s="3">
        <v>0</v>
      </c>
      <c r="R1812" s="3">
        <v>0</v>
      </c>
    </row>
    <row r="1813" spans="1:18">
      <c r="A1813" s="3" t="s">
        <v>4666</v>
      </c>
      <c r="B1813" s="3" t="s">
        <v>4667</v>
      </c>
      <c r="C1813" s="3" t="s">
        <v>4223</v>
      </c>
      <c r="D1813" s="3" t="s">
        <v>4224</v>
      </c>
      <c r="E1813" s="3" t="s">
        <v>120</v>
      </c>
      <c r="F1813" s="3">
        <v>22.98</v>
      </c>
      <c r="G1813" s="3" t="s">
        <v>121</v>
      </c>
      <c r="H1813" s="3"/>
      <c r="I1813" s="3" t="s">
        <v>122</v>
      </c>
      <c r="J1813" s="3">
        <v>0</v>
      </c>
      <c r="K1813" s="3">
        <v>0</v>
      </c>
      <c r="L1813" s="3">
        <v>0</v>
      </c>
      <c r="M1813" s="3">
        <v>0</v>
      </c>
      <c r="N1813" s="3">
        <v>0</v>
      </c>
      <c r="O1813" s="3">
        <v>0.08</v>
      </c>
      <c r="P1813" s="3">
        <v>0</v>
      </c>
      <c r="Q1813" s="3">
        <v>0</v>
      </c>
      <c r="R1813" s="3">
        <v>0</v>
      </c>
    </row>
    <row r="1814" spans="1:18">
      <c r="A1814" s="3" t="s">
        <v>4668</v>
      </c>
      <c r="B1814" s="3" t="s">
        <v>4669</v>
      </c>
      <c r="C1814" s="3" t="s">
        <v>4226</v>
      </c>
      <c r="D1814" s="3" t="s">
        <v>4227</v>
      </c>
      <c r="E1814" s="3" t="s">
        <v>120</v>
      </c>
      <c r="F1814" s="3">
        <v>22.98</v>
      </c>
      <c r="G1814" s="3" t="s">
        <v>121</v>
      </c>
      <c r="H1814" s="3"/>
      <c r="I1814" s="3" t="s">
        <v>122</v>
      </c>
      <c r="J1814" s="3">
        <v>0</v>
      </c>
      <c r="K1814" s="3">
        <v>0</v>
      </c>
      <c r="L1814" s="3">
        <v>0</v>
      </c>
      <c r="M1814" s="3">
        <v>0</v>
      </c>
      <c r="N1814" s="3">
        <v>0</v>
      </c>
      <c r="O1814" s="3">
        <v>0.08</v>
      </c>
      <c r="P1814" s="3">
        <v>0</v>
      </c>
      <c r="Q1814" s="3">
        <v>0</v>
      </c>
      <c r="R1814" s="3">
        <v>0</v>
      </c>
    </row>
    <row r="1815" spans="1:18">
      <c r="A1815" s="3" t="s">
        <v>4670</v>
      </c>
      <c r="B1815" s="3" t="s">
        <v>4671</v>
      </c>
      <c r="C1815" s="3" t="s">
        <v>4229</v>
      </c>
      <c r="D1815" s="3" t="s">
        <v>4230</v>
      </c>
      <c r="E1815" s="3" t="s">
        <v>120</v>
      </c>
      <c r="F1815" s="3">
        <v>22.98</v>
      </c>
      <c r="G1815" s="3" t="s">
        <v>121</v>
      </c>
      <c r="H1815" s="3"/>
      <c r="I1815" s="3" t="s">
        <v>122</v>
      </c>
      <c r="J1815" s="3">
        <v>0</v>
      </c>
      <c r="K1815" s="3">
        <v>0</v>
      </c>
      <c r="L1815" s="3">
        <v>0</v>
      </c>
      <c r="M1815" s="3">
        <v>0</v>
      </c>
      <c r="N1815" s="3">
        <v>0</v>
      </c>
      <c r="O1815" s="3">
        <v>0.08</v>
      </c>
      <c r="P1815" s="3">
        <v>0</v>
      </c>
      <c r="Q1815" s="3">
        <v>0</v>
      </c>
      <c r="R1815" s="3">
        <v>0</v>
      </c>
    </row>
    <row r="1816" spans="1:18">
      <c r="A1816" s="3" t="s">
        <v>4672</v>
      </c>
      <c r="B1816" s="3" t="s">
        <v>4673</v>
      </c>
      <c r="C1816" s="3" t="s">
        <v>4232</v>
      </c>
      <c r="D1816" s="3" t="s">
        <v>4233</v>
      </c>
      <c r="E1816" s="3" t="s">
        <v>120</v>
      </c>
      <c r="F1816" s="3">
        <v>22.98</v>
      </c>
      <c r="G1816" s="3" t="s">
        <v>121</v>
      </c>
      <c r="H1816" s="3"/>
      <c r="I1816" s="3" t="s">
        <v>122</v>
      </c>
      <c r="J1816" s="3">
        <v>0</v>
      </c>
      <c r="K1816" s="3">
        <v>0</v>
      </c>
      <c r="L1816" s="3">
        <v>0</v>
      </c>
      <c r="M1816" s="3">
        <v>0</v>
      </c>
      <c r="N1816" s="3">
        <v>0</v>
      </c>
      <c r="O1816" s="3">
        <v>0.08</v>
      </c>
      <c r="P1816" s="3">
        <v>0</v>
      </c>
      <c r="Q1816" s="3">
        <v>0</v>
      </c>
      <c r="R1816" s="3">
        <v>0</v>
      </c>
    </row>
    <row r="1817" spans="1:18">
      <c r="A1817" s="3" t="s">
        <v>4674</v>
      </c>
      <c r="B1817" s="3" t="s">
        <v>4675</v>
      </c>
      <c r="C1817" s="3" t="s">
        <v>4211</v>
      </c>
      <c r="D1817" s="3" t="s">
        <v>4212</v>
      </c>
      <c r="E1817" s="3" t="s">
        <v>120</v>
      </c>
      <c r="F1817" s="3">
        <v>22.98</v>
      </c>
      <c r="G1817" s="3" t="s">
        <v>121</v>
      </c>
      <c r="H1817" s="3"/>
      <c r="I1817" s="3" t="s">
        <v>122</v>
      </c>
      <c r="J1817" s="3">
        <v>0</v>
      </c>
      <c r="K1817" s="3">
        <v>0</v>
      </c>
      <c r="L1817" s="3">
        <v>0</v>
      </c>
      <c r="M1817" s="3">
        <v>0</v>
      </c>
      <c r="N1817" s="3">
        <v>0</v>
      </c>
      <c r="O1817" s="3">
        <v>0.11</v>
      </c>
      <c r="P1817" s="3">
        <v>0</v>
      </c>
      <c r="Q1817" s="3">
        <v>0</v>
      </c>
      <c r="R1817" s="3">
        <v>0</v>
      </c>
    </row>
    <row r="1818" spans="1:18">
      <c r="A1818" s="3" t="s">
        <v>4676</v>
      </c>
      <c r="B1818" s="3" t="s">
        <v>4677</v>
      </c>
      <c r="C1818" s="3" t="s">
        <v>4214</v>
      </c>
      <c r="D1818" s="3" t="s">
        <v>4215</v>
      </c>
      <c r="E1818" s="3" t="s">
        <v>120</v>
      </c>
      <c r="F1818" s="3">
        <v>22.98</v>
      </c>
      <c r="G1818" s="3" t="s">
        <v>121</v>
      </c>
      <c r="H1818" s="3"/>
      <c r="I1818" s="3" t="s">
        <v>122</v>
      </c>
      <c r="J1818" s="3">
        <v>0</v>
      </c>
      <c r="K1818" s="3">
        <v>0</v>
      </c>
      <c r="L1818" s="3">
        <v>0</v>
      </c>
      <c r="M1818" s="3">
        <v>0</v>
      </c>
      <c r="N1818" s="3">
        <v>0</v>
      </c>
      <c r="O1818" s="3">
        <v>0.08</v>
      </c>
      <c r="P1818" s="3">
        <v>0</v>
      </c>
      <c r="Q1818" s="3">
        <v>0</v>
      </c>
      <c r="R1818" s="3">
        <v>0</v>
      </c>
    </row>
    <row r="1819" spans="1:18">
      <c r="A1819" s="3" t="s">
        <v>4678</v>
      </c>
      <c r="B1819" s="3" t="s">
        <v>4679</v>
      </c>
      <c r="C1819" s="3" t="s">
        <v>4217</v>
      </c>
      <c r="D1819" s="3" t="s">
        <v>4218</v>
      </c>
      <c r="E1819" s="3" t="s">
        <v>120</v>
      </c>
      <c r="F1819" s="3">
        <v>22.98</v>
      </c>
      <c r="G1819" s="3" t="s">
        <v>121</v>
      </c>
      <c r="H1819" s="3"/>
      <c r="I1819" s="3" t="s">
        <v>122</v>
      </c>
      <c r="J1819" s="3">
        <v>0</v>
      </c>
      <c r="K1819" s="3">
        <v>0</v>
      </c>
      <c r="L1819" s="3">
        <v>0</v>
      </c>
      <c r="M1819" s="3">
        <v>0</v>
      </c>
      <c r="N1819" s="3">
        <v>0</v>
      </c>
      <c r="O1819" s="3">
        <v>0.07</v>
      </c>
      <c r="P1819" s="3">
        <v>0</v>
      </c>
      <c r="Q1819" s="3">
        <v>0</v>
      </c>
      <c r="R1819" s="3">
        <v>0</v>
      </c>
    </row>
    <row r="1820" spans="1:18">
      <c r="A1820" s="3" t="s">
        <v>4680</v>
      </c>
      <c r="B1820" s="3" t="s">
        <v>4681</v>
      </c>
      <c r="C1820" s="3" t="s">
        <v>4220</v>
      </c>
      <c r="D1820" s="3" t="s">
        <v>4221</v>
      </c>
      <c r="E1820" s="3" t="s">
        <v>120</v>
      </c>
      <c r="F1820" s="3">
        <v>22.98</v>
      </c>
      <c r="G1820" s="3" t="s">
        <v>121</v>
      </c>
      <c r="H1820" s="3"/>
      <c r="I1820" s="3" t="s">
        <v>122</v>
      </c>
      <c r="J1820" s="3">
        <v>0</v>
      </c>
      <c r="K1820" s="3">
        <v>0</v>
      </c>
      <c r="L1820" s="3">
        <v>0</v>
      </c>
      <c r="M1820" s="3">
        <v>0</v>
      </c>
      <c r="N1820" s="3">
        <v>0</v>
      </c>
      <c r="O1820" s="3">
        <v>0.08</v>
      </c>
      <c r="P1820" s="3">
        <v>0</v>
      </c>
      <c r="Q1820" s="3">
        <v>0</v>
      </c>
      <c r="R1820" s="3">
        <v>0</v>
      </c>
    </row>
    <row r="1821" spans="1:18">
      <c r="A1821" s="3" t="s">
        <v>4682</v>
      </c>
      <c r="B1821" s="3" t="s">
        <v>4683</v>
      </c>
      <c r="C1821" s="3" t="s">
        <v>4283</v>
      </c>
      <c r="D1821" s="3" t="s">
        <v>4284</v>
      </c>
      <c r="E1821" s="3" t="s">
        <v>120</v>
      </c>
      <c r="F1821" s="3">
        <v>23.98</v>
      </c>
      <c r="G1821" s="3" t="s">
        <v>121</v>
      </c>
      <c r="H1821" s="3"/>
      <c r="I1821" s="3" t="s">
        <v>122</v>
      </c>
      <c r="J1821" s="3">
        <v>0</v>
      </c>
      <c r="K1821" s="3">
        <v>0</v>
      </c>
      <c r="L1821" s="3">
        <v>0</v>
      </c>
      <c r="M1821" s="3">
        <v>0</v>
      </c>
      <c r="N1821" s="3">
        <v>0</v>
      </c>
      <c r="O1821" s="3">
        <v>0.17</v>
      </c>
      <c r="P1821" s="3">
        <v>0</v>
      </c>
      <c r="Q1821" s="3">
        <v>0</v>
      </c>
      <c r="R1821" s="3">
        <v>0</v>
      </c>
    </row>
    <row r="1822" spans="1:18">
      <c r="A1822" s="3" t="s">
        <v>4684</v>
      </c>
      <c r="B1822" s="3" t="s">
        <v>4685</v>
      </c>
      <c r="C1822" s="3" t="s">
        <v>4286</v>
      </c>
      <c r="D1822" s="3" t="s">
        <v>4287</v>
      </c>
      <c r="E1822" s="3" t="s">
        <v>120</v>
      </c>
      <c r="F1822" s="3">
        <v>23.98</v>
      </c>
      <c r="G1822" s="3" t="s">
        <v>121</v>
      </c>
      <c r="H1822" s="3"/>
      <c r="I1822" s="3" t="s">
        <v>122</v>
      </c>
      <c r="J1822" s="3">
        <v>5</v>
      </c>
      <c r="K1822" s="3">
        <v>5</v>
      </c>
      <c r="L1822" s="3">
        <v>0</v>
      </c>
      <c r="M1822" s="3">
        <v>0</v>
      </c>
      <c r="N1822" s="3">
        <v>13</v>
      </c>
      <c r="O1822" s="3">
        <v>0.06</v>
      </c>
      <c r="P1822" s="3">
        <v>0</v>
      </c>
      <c r="Q1822" s="3">
        <v>8</v>
      </c>
      <c r="R1822" s="3">
        <v>0</v>
      </c>
    </row>
    <row r="1823" spans="1:18">
      <c r="A1823" s="3" t="s">
        <v>4686</v>
      </c>
      <c r="B1823" s="3" t="s">
        <v>4687</v>
      </c>
      <c r="C1823" s="3" t="s">
        <v>4289</v>
      </c>
      <c r="D1823" s="3" t="s">
        <v>4290</v>
      </c>
      <c r="E1823" s="3" t="s">
        <v>120</v>
      </c>
      <c r="F1823" s="3">
        <v>23.98</v>
      </c>
      <c r="G1823" s="3" t="s">
        <v>121</v>
      </c>
      <c r="H1823" s="3"/>
      <c r="I1823" s="3" t="s">
        <v>122</v>
      </c>
      <c r="J1823" s="3">
        <v>0</v>
      </c>
      <c r="K1823" s="3">
        <v>0</v>
      </c>
      <c r="L1823" s="3">
        <v>0</v>
      </c>
      <c r="M1823" s="3">
        <v>0</v>
      </c>
      <c r="N1823" s="3">
        <v>0</v>
      </c>
      <c r="O1823" s="3">
        <v>0.07</v>
      </c>
      <c r="P1823" s="3">
        <v>0</v>
      </c>
      <c r="Q1823" s="3">
        <v>0</v>
      </c>
      <c r="R1823" s="3">
        <v>0</v>
      </c>
    </row>
    <row r="1824" spans="1:18">
      <c r="A1824" s="3" t="s">
        <v>4688</v>
      </c>
      <c r="B1824" s="3" t="s">
        <v>4689</v>
      </c>
      <c r="C1824" s="3" t="s">
        <v>4292</v>
      </c>
      <c r="D1824" s="3" t="s">
        <v>4293</v>
      </c>
      <c r="E1824" s="3" t="s">
        <v>120</v>
      </c>
      <c r="F1824" s="3">
        <v>23.98</v>
      </c>
      <c r="G1824" s="3" t="s">
        <v>121</v>
      </c>
      <c r="H1824" s="3"/>
      <c r="I1824" s="3" t="s">
        <v>122</v>
      </c>
      <c r="J1824" s="3">
        <v>0</v>
      </c>
      <c r="K1824" s="3">
        <v>0</v>
      </c>
      <c r="L1824" s="3">
        <v>0</v>
      </c>
      <c r="M1824" s="3">
        <v>0</v>
      </c>
      <c r="N1824" s="3">
        <v>0</v>
      </c>
      <c r="O1824" s="3">
        <v>0.08</v>
      </c>
      <c r="P1824" s="3">
        <v>0</v>
      </c>
      <c r="Q1824" s="3">
        <v>0</v>
      </c>
      <c r="R1824" s="3">
        <v>0</v>
      </c>
    </row>
    <row r="1825" spans="1:18">
      <c r="A1825" s="3" t="s">
        <v>4690</v>
      </c>
      <c r="B1825" s="3" t="s">
        <v>4691</v>
      </c>
      <c r="C1825" s="3" t="s">
        <v>4235</v>
      </c>
      <c r="D1825" s="3" t="s">
        <v>4236</v>
      </c>
      <c r="E1825" s="3" t="s">
        <v>120</v>
      </c>
      <c r="F1825" s="3">
        <v>23.98</v>
      </c>
      <c r="G1825" s="3" t="s">
        <v>121</v>
      </c>
      <c r="H1825" s="3"/>
      <c r="I1825" s="3" t="s">
        <v>122</v>
      </c>
      <c r="J1825" s="3">
        <v>0</v>
      </c>
      <c r="K1825" s="3">
        <v>0</v>
      </c>
      <c r="L1825" s="3">
        <v>0</v>
      </c>
      <c r="M1825" s="3">
        <v>0</v>
      </c>
      <c r="N1825" s="3">
        <v>0</v>
      </c>
      <c r="O1825" s="3">
        <v>0.09</v>
      </c>
      <c r="P1825" s="3">
        <v>0</v>
      </c>
      <c r="Q1825" s="3">
        <v>0</v>
      </c>
      <c r="R1825" s="3">
        <v>0</v>
      </c>
    </row>
    <row r="1826" spans="1:18">
      <c r="A1826" s="3" t="s">
        <v>4692</v>
      </c>
      <c r="B1826" s="3" t="s">
        <v>4693</v>
      </c>
      <c r="C1826" s="3" t="s">
        <v>4238</v>
      </c>
      <c r="D1826" s="3" t="s">
        <v>4239</v>
      </c>
      <c r="E1826" s="3" t="s">
        <v>120</v>
      </c>
      <c r="F1826" s="3">
        <v>23.98</v>
      </c>
      <c r="G1826" s="3" t="s">
        <v>121</v>
      </c>
      <c r="H1826" s="3"/>
      <c r="I1826" s="3" t="s">
        <v>122</v>
      </c>
      <c r="J1826" s="3">
        <v>0</v>
      </c>
      <c r="K1826" s="3">
        <v>0</v>
      </c>
      <c r="L1826" s="3">
        <v>0</v>
      </c>
      <c r="M1826" s="3">
        <v>0</v>
      </c>
      <c r="N1826" s="3">
        <v>0</v>
      </c>
      <c r="O1826" s="3">
        <v>0.11</v>
      </c>
      <c r="P1826" s="3">
        <v>0</v>
      </c>
      <c r="Q1826" s="3">
        <v>0</v>
      </c>
      <c r="R1826" s="3">
        <v>0</v>
      </c>
    </row>
    <row r="1827" spans="1:18">
      <c r="A1827" s="3" t="s">
        <v>4694</v>
      </c>
      <c r="B1827" s="3" t="s">
        <v>4695</v>
      </c>
      <c r="C1827" s="3" t="s">
        <v>4241</v>
      </c>
      <c r="D1827" s="3" t="s">
        <v>4242</v>
      </c>
      <c r="E1827" s="3" t="s">
        <v>120</v>
      </c>
      <c r="F1827" s="3">
        <v>23.98</v>
      </c>
      <c r="G1827" s="3" t="s">
        <v>121</v>
      </c>
      <c r="H1827" s="3"/>
      <c r="I1827" s="3" t="s">
        <v>122</v>
      </c>
      <c r="J1827" s="3">
        <v>0</v>
      </c>
      <c r="K1827" s="3">
        <v>0</v>
      </c>
      <c r="L1827" s="3">
        <v>0</v>
      </c>
      <c r="M1827" s="3">
        <v>0</v>
      </c>
      <c r="N1827" s="3">
        <v>0</v>
      </c>
      <c r="O1827" s="3">
        <v>0.19</v>
      </c>
      <c r="P1827" s="3">
        <v>0</v>
      </c>
      <c r="Q1827" s="3">
        <v>0</v>
      </c>
      <c r="R1827" s="3">
        <v>0</v>
      </c>
    </row>
    <row r="1828" spans="1:18">
      <c r="A1828" s="3" t="s">
        <v>4696</v>
      </c>
      <c r="B1828" s="3" t="s">
        <v>4697</v>
      </c>
      <c r="C1828" s="3" t="s">
        <v>4244</v>
      </c>
      <c r="D1828" s="3" t="s">
        <v>4245</v>
      </c>
      <c r="E1828" s="3" t="s">
        <v>120</v>
      </c>
      <c r="F1828" s="3">
        <v>23.98</v>
      </c>
      <c r="G1828" s="3" t="s">
        <v>121</v>
      </c>
      <c r="H1828" s="3"/>
      <c r="I1828" s="3" t="s">
        <v>122</v>
      </c>
      <c r="J1828" s="3">
        <v>0</v>
      </c>
      <c r="K1828" s="3">
        <v>0</v>
      </c>
      <c r="L1828" s="3">
        <v>0</v>
      </c>
      <c r="M1828" s="3">
        <v>0</v>
      </c>
      <c r="N1828" s="3">
        <v>0</v>
      </c>
      <c r="O1828" s="3">
        <v>0.13</v>
      </c>
      <c r="P1828" s="3">
        <v>0</v>
      </c>
      <c r="Q1828" s="3">
        <v>0</v>
      </c>
      <c r="R1828" s="3">
        <v>0</v>
      </c>
    </row>
    <row r="1829" spans="1:18">
      <c r="A1829" s="3" t="s">
        <v>4698</v>
      </c>
      <c r="B1829" s="3" t="s">
        <v>4699</v>
      </c>
      <c r="C1829" s="3" t="s">
        <v>4247</v>
      </c>
      <c r="D1829" s="3" t="s">
        <v>4248</v>
      </c>
      <c r="E1829" s="3" t="s">
        <v>120</v>
      </c>
      <c r="F1829" s="3">
        <v>23.98</v>
      </c>
      <c r="G1829" s="3" t="s">
        <v>121</v>
      </c>
      <c r="H1829" s="3"/>
      <c r="I1829" s="3" t="s">
        <v>122</v>
      </c>
      <c r="J1829" s="3">
        <v>0</v>
      </c>
      <c r="K1829" s="3">
        <v>0</v>
      </c>
      <c r="L1829" s="3">
        <v>0</v>
      </c>
      <c r="M1829" s="3">
        <v>0</v>
      </c>
      <c r="N1829" s="3">
        <v>0</v>
      </c>
      <c r="O1829" s="3">
        <v>0.17</v>
      </c>
      <c r="P1829" s="3">
        <v>0</v>
      </c>
      <c r="Q1829" s="3">
        <v>0</v>
      </c>
      <c r="R1829" s="3">
        <v>0</v>
      </c>
    </row>
    <row r="1830" spans="1:18">
      <c r="A1830" s="3" t="s">
        <v>4700</v>
      </c>
      <c r="B1830" s="3" t="s">
        <v>4701</v>
      </c>
      <c r="C1830" s="3" t="s">
        <v>4250</v>
      </c>
      <c r="D1830" s="3" t="s">
        <v>4251</v>
      </c>
      <c r="E1830" s="3" t="s">
        <v>120</v>
      </c>
      <c r="F1830" s="3">
        <v>23.98</v>
      </c>
      <c r="G1830" s="3" t="s">
        <v>121</v>
      </c>
      <c r="H1830" s="3"/>
      <c r="I1830" s="3" t="s">
        <v>122</v>
      </c>
      <c r="J1830" s="3">
        <v>0</v>
      </c>
      <c r="K1830" s="3">
        <v>0</v>
      </c>
      <c r="L1830" s="3">
        <v>0</v>
      </c>
      <c r="M1830" s="3">
        <v>0</v>
      </c>
      <c r="N1830" s="3">
        <v>0</v>
      </c>
      <c r="O1830" s="3">
        <v>0.17</v>
      </c>
      <c r="P1830" s="3">
        <v>0</v>
      </c>
      <c r="Q1830" s="3">
        <v>0</v>
      </c>
      <c r="R1830" s="3">
        <v>0</v>
      </c>
    </row>
    <row r="1831" spans="1:18">
      <c r="A1831" s="3" t="s">
        <v>4702</v>
      </c>
      <c r="B1831" s="3" t="s">
        <v>4703</v>
      </c>
      <c r="C1831" s="3" t="s">
        <v>4253</v>
      </c>
      <c r="D1831" s="3" t="s">
        <v>4254</v>
      </c>
      <c r="E1831" s="3" t="s">
        <v>120</v>
      </c>
      <c r="F1831" s="3">
        <v>23.98</v>
      </c>
      <c r="G1831" s="3" t="s">
        <v>121</v>
      </c>
      <c r="H1831" s="3"/>
      <c r="I1831" s="3" t="s">
        <v>122</v>
      </c>
      <c r="J1831" s="3">
        <v>0</v>
      </c>
      <c r="K1831" s="3">
        <v>0</v>
      </c>
      <c r="L1831" s="3">
        <v>0</v>
      </c>
      <c r="M1831" s="3">
        <v>0</v>
      </c>
      <c r="N1831" s="3">
        <v>0</v>
      </c>
      <c r="O1831" s="3">
        <v>0.13</v>
      </c>
      <c r="P1831" s="3">
        <v>0</v>
      </c>
      <c r="Q1831" s="3">
        <v>0</v>
      </c>
      <c r="R1831" s="3">
        <v>0</v>
      </c>
    </row>
    <row r="1832" spans="1:18">
      <c r="A1832" s="3" t="s">
        <v>4704</v>
      </c>
      <c r="B1832" s="3" t="s">
        <v>4705</v>
      </c>
      <c r="C1832" s="3" t="s">
        <v>4256</v>
      </c>
      <c r="D1832" s="3" t="s">
        <v>4257</v>
      </c>
      <c r="E1832" s="3" t="s">
        <v>120</v>
      </c>
      <c r="F1832" s="3">
        <v>23.98</v>
      </c>
      <c r="G1832" s="3" t="s">
        <v>121</v>
      </c>
      <c r="H1832" s="3"/>
      <c r="I1832" s="3" t="s">
        <v>122</v>
      </c>
      <c r="J1832" s="3">
        <v>0</v>
      </c>
      <c r="K1832" s="3">
        <v>0</v>
      </c>
      <c r="L1832" s="3">
        <v>0</v>
      </c>
      <c r="M1832" s="3">
        <v>0</v>
      </c>
      <c r="N1832" s="3">
        <v>0</v>
      </c>
      <c r="O1832" s="3">
        <v>0.17</v>
      </c>
      <c r="P1832" s="3">
        <v>0</v>
      </c>
      <c r="Q1832" s="3">
        <v>0</v>
      </c>
      <c r="R1832" s="3">
        <v>0</v>
      </c>
    </row>
    <row r="1833" spans="1:18">
      <c r="A1833" s="3" t="s">
        <v>4706</v>
      </c>
      <c r="B1833" s="3" t="s">
        <v>4707</v>
      </c>
      <c r="C1833" s="3" t="s">
        <v>4259</v>
      </c>
      <c r="D1833" s="3" t="s">
        <v>4260</v>
      </c>
      <c r="E1833" s="3" t="s">
        <v>120</v>
      </c>
      <c r="F1833" s="3">
        <v>23.98</v>
      </c>
      <c r="G1833" s="3" t="s">
        <v>121</v>
      </c>
      <c r="H1833" s="3"/>
      <c r="I1833" s="3" t="s">
        <v>122</v>
      </c>
      <c r="J1833" s="3">
        <v>0</v>
      </c>
      <c r="K1833" s="3">
        <v>0</v>
      </c>
      <c r="L1833" s="3">
        <v>0</v>
      </c>
      <c r="M1833" s="3">
        <v>0</v>
      </c>
      <c r="N1833" s="3">
        <v>0</v>
      </c>
      <c r="O1833" s="3">
        <v>0.17</v>
      </c>
      <c r="P1833" s="3">
        <v>0</v>
      </c>
      <c r="Q1833" s="3">
        <v>0</v>
      </c>
      <c r="R1833" s="3">
        <v>0</v>
      </c>
    </row>
    <row r="1834" spans="1:18">
      <c r="A1834" s="3" t="s">
        <v>4708</v>
      </c>
      <c r="B1834" s="3" t="s">
        <v>4709</v>
      </c>
      <c r="C1834" s="3" t="s">
        <v>4262</v>
      </c>
      <c r="D1834" s="3" t="s">
        <v>4263</v>
      </c>
      <c r="E1834" s="3" t="s">
        <v>120</v>
      </c>
      <c r="F1834" s="3">
        <v>23.98</v>
      </c>
      <c r="G1834" s="3" t="s">
        <v>121</v>
      </c>
      <c r="H1834" s="3"/>
      <c r="I1834" s="3" t="s">
        <v>122</v>
      </c>
      <c r="J1834" s="3">
        <v>0</v>
      </c>
      <c r="K1834" s="3">
        <v>0</v>
      </c>
      <c r="L1834" s="3">
        <v>0</v>
      </c>
      <c r="M1834" s="3">
        <v>0</v>
      </c>
      <c r="N1834" s="3">
        <v>0</v>
      </c>
      <c r="O1834" s="3">
        <v>0.1</v>
      </c>
      <c r="P1834" s="3">
        <v>0</v>
      </c>
      <c r="Q1834" s="3">
        <v>0</v>
      </c>
      <c r="R1834" s="3">
        <v>0</v>
      </c>
    </row>
    <row r="1835" spans="1:18">
      <c r="A1835" s="3" t="s">
        <v>4710</v>
      </c>
      <c r="B1835" s="3" t="s">
        <v>4711</v>
      </c>
      <c r="C1835" s="3" t="s">
        <v>4265</v>
      </c>
      <c r="D1835" s="3" t="s">
        <v>4266</v>
      </c>
      <c r="E1835" s="3" t="s">
        <v>120</v>
      </c>
      <c r="F1835" s="3">
        <v>23.98</v>
      </c>
      <c r="G1835" s="3" t="s">
        <v>121</v>
      </c>
      <c r="H1835" s="3"/>
      <c r="I1835" s="3" t="s">
        <v>122</v>
      </c>
      <c r="J1835" s="3">
        <v>0</v>
      </c>
      <c r="K1835" s="3">
        <v>0</v>
      </c>
      <c r="L1835" s="3">
        <v>0</v>
      </c>
      <c r="M1835" s="3">
        <v>0</v>
      </c>
      <c r="N1835" s="3">
        <v>0</v>
      </c>
      <c r="O1835" s="3">
        <v>0.12</v>
      </c>
      <c r="P1835" s="3">
        <v>0</v>
      </c>
      <c r="Q1835" s="3">
        <v>0</v>
      </c>
      <c r="R1835" s="3">
        <v>0</v>
      </c>
    </row>
    <row r="1836" spans="1:18">
      <c r="A1836" s="3" t="s">
        <v>4712</v>
      </c>
      <c r="B1836" s="3" t="s">
        <v>4713</v>
      </c>
      <c r="C1836" s="3" t="s">
        <v>4268</v>
      </c>
      <c r="D1836" s="3" t="s">
        <v>4269</v>
      </c>
      <c r="E1836" s="3" t="s">
        <v>120</v>
      </c>
      <c r="F1836" s="3">
        <v>23.98</v>
      </c>
      <c r="G1836" s="3" t="s">
        <v>121</v>
      </c>
      <c r="H1836" s="3"/>
      <c r="I1836" s="3" t="s">
        <v>122</v>
      </c>
      <c r="J1836" s="3">
        <v>0</v>
      </c>
      <c r="K1836" s="3">
        <v>0</v>
      </c>
      <c r="L1836" s="3">
        <v>0</v>
      </c>
      <c r="M1836" s="3">
        <v>0</v>
      </c>
      <c r="N1836" s="3">
        <v>0</v>
      </c>
      <c r="O1836" s="3">
        <v>0.12</v>
      </c>
      <c r="P1836" s="3">
        <v>0</v>
      </c>
      <c r="Q1836" s="3">
        <v>0</v>
      </c>
      <c r="R1836" s="3">
        <v>0</v>
      </c>
    </row>
    <row r="1837" spans="1:18">
      <c r="A1837" s="3" t="s">
        <v>4714</v>
      </c>
      <c r="B1837" s="3" t="s">
        <v>4715</v>
      </c>
      <c r="C1837" s="3" t="s">
        <v>4271</v>
      </c>
      <c r="D1837" s="3" t="s">
        <v>4272</v>
      </c>
      <c r="E1837" s="3" t="s">
        <v>120</v>
      </c>
      <c r="F1837" s="3">
        <v>23.98</v>
      </c>
      <c r="G1837" s="3" t="s">
        <v>121</v>
      </c>
      <c r="H1837" s="3"/>
      <c r="I1837" s="3" t="s">
        <v>122</v>
      </c>
      <c r="J1837" s="3">
        <v>0</v>
      </c>
      <c r="K1837" s="3">
        <v>0</v>
      </c>
      <c r="L1837" s="3">
        <v>0</v>
      </c>
      <c r="M1837" s="3">
        <v>0</v>
      </c>
      <c r="N1837" s="3">
        <v>0</v>
      </c>
      <c r="O1837" s="3">
        <v>0.11</v>
      </c>
      <c r="P1837" s="3">
        <v>0</v>
      </c>
      <c r="Q1837" s="3">
        <v>0</v>
      </c>
      <c r="R1837" s="3">
        <v>0</v>
      </c>
    </row>
    <row r="1838" spans="1:18">
      <c r="A1838" s="3" t="s">
        <v>4716</v>
      </c>
      <c r="B1838" s="3" t="s">
        <v>4717</v>
      </c>
      <c r="C1838" s="3" t="s">
        <v>4274</v>
      </c>
      <c r="D1838" s="3" t="s">
        <v>4275</v>
      </c>
      <c r="E1838" s="3" t="s">
        <v>120</v>
      </c>
      <c r="F1838" s="3">
        <v>23.98</v>
      </c>
      <c r="G1838" s="3" t="s">
        <v>121</v>
      </c>
      <c r="H1838" s="3"/>
      <c r="I1838" s="3" t="s">
        <v>122</v>
      </c>
      <c r="J1838" s="3">
        <v>0</v>
      </c>
      <c r="K1838" s="3">
        <v>0</v>
      </c>
      <c r="L1838" s="3">
        <v>0</v>
      </c>
      <c r="M1838" s="3">
        <v>0</v>
      </c>
      <c r="N1838" s="3">
        <v>0</v>
      </c>
      <c r="O1838" s="3">
        <v>0.09</v>
      </c>
      <c r="P1838" s="3">
        <v>0</v>
      </c>
      <c r="Q1838" s="3">
        <v>0</v>
      </c>
      <c r="R1838" s="3">
        <v>0</v>
      </c>
    </row>
    <row r="1839" spans="1:18">
      <c r="A1839" s="3" t="s">
        <v>4718</v>
      </c>
      <c r="B1839" s="3" t="s">
        <v>4719</v>
      </c>
      <c r="C1839" s="3" t="s">
        <v>4277</v>
      </c>
      <c r="D1839" s="3" t="s">
        <v>4278</v>
      </c>
      <c r="E1839" s="3" t="s">
        <v>120</v>
      </c>
      <c r="F1839" s="3">
        <v>23.98</v>
      </c>
      <c r="G1839" s="3" t="s">
        <v>121</v>
      </c>
      <c r="H1839" s="3"/>
      <c r="I1839" s="3" t="s">
        <v>122</v>
      </c>
      <c r="J1839" s="3">
        <v>7</v>
      </c>
      <c r="K1839" s="3">
        <v>7</v>
      </c>
      <c r="L1839" s="3">
        <v>0</v>
      </c>
      <c r="M1839" s="3">
        <v>0</v>
      </c>
      <c r="N1839" s="3">
        <v>7</v>
      </c>
      <c r="O1839" s="3">
        <v>0.08</v>
      </c>
      <c r="P1839" s="3">
        <v>0</v>
      </c>
      <c r="Q1839" s="3">
        <v>0</v>
      </c>
      <c r="R1839" s="3">
        <v>0</v>
      </c>
    </row>
    <row r="1840" spans="1:18">
      <c r="A1840" s="3" t="s">
        <v>4720</v>
      </c>
      <c r="B1840" s="3" t="s">
        <v>4721</v>
      </c>
      <c r="C1840" s="3" t="s">
        <v>4280</v>
      </c>
      <c r="D1840" s="3" t="s">
        <v>4281</v>
      </c>
      <c r="E1840" s="3" t="s">
        <v>120</v>
      </c>
      <c r="F1840" s="3">
        <v>23.98</v>
      </c>
      <c r="G1840" s="3" t="s">
        <v>121</v>
      </c>
      <c r="H1840" s="3"/>
      <c r="I1840" s="3" t="s">
        <v>122</v>
      </c>
      <c r="J1840" s="3">
        <v>0</v>
      </c>
      <c r="K1840" s="3">
        <v>0</v>
      </c>
      <c r="L1840" s="3">
        <v>0</v>
      </c>
      <c r="M1840" s="3">
        <v>0</v>
      </c>
      <c r="N1840" s="3">
        <v>0</v>
      </c>
      <c r="O1840" s="3">
        <v>0.12</v>
      </c>
      <c r="P1840" s="3">
        <v>0</v>
      </c>
      <c r="Q1840" s="3">
        <v>0</v>
      </c>
      <c r="R1840" s="3">
        <v>0</v>
      </c>
    </row>
    <row r="1841" spans="1:18">
      <c r="A1841" s="3" t="s">
        <v>4722</v>
      </c>
      <c r="B1841" s="3" t="s">
        <v>4723</v>
      </c>
      <c r="C1841" s="3" t="s">
        <v>4295</v>
      </c>
      <c r="D1841" s="3" t="s">
        <v>4296</v>
      </c>
      <c r="E1841" s="3" t="s">
        <v>120</v>
      </c>
      <c r="F1841" s="3">
        <v>23.98</v>
      </c>
      <c r="G1841" s="3" t="s">
        <v>121</v>
      </c>
      <c r="H1841" s="3"/>
      <c r="I1841" s="3" t="s">
        <v>122</v>
      </c>
      <c r="J1841" s="3">
        <v>0</v>
      </c>
      <c r="K1841" s="3">
        <v>0</v>
      </c>
      <c r="L1841" s="3">
        <v>0</v>
      </c>
      <c r="M1841" s="3">
        <v>0</v>
      </c>
      <c r="N1841" s="3">
        <v>0</v>
      </c>
      <c r="O1841" s="3">
        <v>0.12</v>
      </c>
      <c r="P1841" s="3">
        <v>0</v>
      </c>
      <c r="Q1841" s="3">
        <v>0</v>
      </c>
      <c r="R1841" s="3">
        <v>0</v>
      </c>
    </row>
    <row r="1842" spans="1:18">
      <c r="A1842" s="3" t="s">
        <v>4724</v>
      </c>
      <c r="B1842" s="3" t="s">
        <v>4725</v>
      </c>
      <c r="C1842" s="3" t="s">
        <v>4298</v>
      </c>
      <c r="D1842" s="3" t="s">
        <v>4299</v>
      </c>
      <c r="E1842" s="3" t="s">
        <v>120</v>
      </c>
      <c r="F1842" s="3">
        <v>23.98</v>
      </c>
      <c r="G1842" s="3" t="s">
        <v>121</v>
      </c>
      <c r="H1842" s="3"/>
      <c r="I1842" s="3" t="s">
        <v>122</v>
      </c>
      <c r="J1842" s="3">
        <v>0</v>
      </c>
      <c r="K1842" s="3">
        <v>0</v>
      </c>
      <c r="L1842" s="3">
        <v>0</v>
      </c>
      <c r="M1842" s="3">
        <v>0</v>
      </c>
      <c r="N1842" s="3">
        <v>0</v>
      </c>
      <c r="O1842" s="3">
        <v>0.17</v>
      </c>
      <c r="P1842" s="3">
        <v>0</v>
      </c>
      <c r="Q1842" s="3">
        <v>0</v>
      </c>
      <c r="R1842" s="3">
        <v>0</v>
      </c>
    </row>
    <row r="1843" spans="1:18">
      <c r="A1843" s="3" t="s">
        <v>4726</v>
      </c>
      <c r="B1843" s="3" t="s">
        <v>4727</v>
      </c>
      <c r="C1843" s="3" t="s">
        <v>4301</v>
      </c>
      <c r="D1843" s="3" t="s">
        <v>4302</v>
      </c>
      <c r="E1843" s="3" t="s">
        <v>120</v>
      </c>
      <c r="F1843" s="3">
        <v>23.98</v>
      </c>
      <c r="G1843" s="3" t="s">
        <v>121</v>
      </c>
      <c r="H1843" s="3"/>
      <c r="I1843" s="3" t="s">
        <v>122</v>
      </c>
      <c r="J1843" s="3">
        <v>0</v>
      </c>
      <c r="K1843" s="3">
        <v>0</v>
      </c>
      <c r="L1843" s="3">
        <v>0</v>
      </c>
      <c r="M1843" s="3">
        <v>0</v>
      </c>
      <c r="N1843" s="3">
        <v>0</v>
      </c>
      <c r="O1843" s="3">
        <v>0.1</v>
      </c>
      <c r="P1843" s="3">
        <v>0</v>
      </c>
      <c r="Q1843" s="3">
        <v>0</v>
      </c>
      <c r="R1843" s="3">
        <v>0</v>
      </c>
    </row>
    <row r="1844" spans="1:18">
      <c r="A1844" s="3" t="s">
        <v>4728</v>
      </c>
      <c r="B1844" s="3" t="s">
        <v>4729</v>
      </c>
      <c r="C1844" s="3" t="s">
        <v>4304</v>
      </c>
      <c r="D1844" s="3" t="s">
        <v>4305</v>
      </c>
      <c r="E1844" s="3" t="s">
        <v>120</v>
      </c>
      <c r="F1844" s="3">
        <v>23.98</v>
      </c>
      <c r="G1844" s="3" t="s">
        <v>121</v>
      </c>
      <c r="H1844" s="3"/>
      <c r="I1844" s="3" t="s">
        <v>122</v>
      </c>
      <c r="J1844" s="3">
        <v>0</v>
      </c>
      <c r="K1844" s="3">
        <v>0</v>
      </c>
      <c r="L1844" s="3">
        <v>0</v>
      </c>
      <c r="M1844" s="3">
        <v>0</v>
      </c>
      <c r="N1844" s="3">
        <v>0</v>
      </c>
      <c r="O1844" s="3">
        <v>0.17</v>
      </c>
      <c r="P1844" s="3">
        <v>0</v>
      </c>
      <c r="Q1844" s="3">
        <v>0</v>
      </c>
      <c r="R1844" s="3">
        <v>0</v>
      </c>
    </row>
    <row r="1845" spans="1:18">
      <c r="A1845" s="3" t="s">
        <v>4730</v>
      </c>
      <c r="B1845" s="3" t="s">
        <v>4731</v>
      </c>
      <c r="C1845" s="3" t="s">
        <v>4307</v>
      </c>
      <c r="D1845" s="3" t="s">
        <v>4308</v>
      </c>
      <c r="E1845" s="3" t="s">
        <v>120</v>
      </c>
      <c r="F1845" s="3">
        <v>23.98</v>
      </c>
      <c r="G1845" s="3" t="s">
        <v>121</v>
      </c>
      <c r="H1845" s="3"/>
      <c r="I1845" s="3" t="s">
        <v>122</v>
      </c>
      <c r="J1845" s="3">
        <v>0</v>
      </c>
      <c r="K1845" s="3">
        <v>0</v>
      </c>
      <c r="L1845" s="3">
        <v>0</v>
      </c>
      <c r="M1845" s="3">
        <v>0</v>
      </c>
      <c r="N1845" s="3">
        <v>0</v>
      </c>
      <c r="O1845" s="3">
        <v>0.17</v>
      </c>
      <c r="P1845" s="3">
        <v>0</v>
      </c>
      <c r="Q1845" s="3">
        <v>0</v>
      </c>
      <c r="R1845" s="3">
        <v>0</v>
      </c>
    </row>
    <row r="1846" spans="1:18">
      <c r="A1846" s="3" t="s">
        <v>4732</v>
      </c>
      <c r="B1846" s="3" t="s">
        <v>4733</v>
      </c>
      <c r="C1846" s="3" t="s">
        <v>4310</v>
      </c>
      <c r="D1846" s="3" t="s">
        <v>4311</v>
      </c>
      <c r="E1846" s="3" t="s">
        <v>120</v>
      </c>
      <c r="F1846" s="3">
        <v>23.98</v>
      </c>
      <c r="G1846" s="3" t="s">
        <v>121</v>
      </c>
      <c r="H1846" s="3"/>
      <c r="I1846" s="3" t="s">
        <v>122</v>
      </c>
      <c r="J1846" s="3">
        <v>0</v>
      </c>
      <c r="K1846" s="3">
        <v>0</v>
      </c>
      <c r="L1846" s="3">
        <v>0</v>
      </c>
      <c r="M1846" s="3">
        <v>0</v>
      </c>
      <c r="N1846" s="3">
        <v>0</v>
      </c>
      <c r="O1846" s="3">
        <v>0.08</v>
      </c>
      <c r="P1846" s="3">
        <v>0</v>
      </c>
      <c r="Q1846" s="3">
        <v>0</v>
      </c>
      <c r="R1846" s="3">
        <v>0</v>
      </c>
    </row>
    <row r="1847" spans="1:18">
      <c r="A1847" s="3" t="s">
        <v>4734</v>
      </c>
      <c r="B1847" s="3" t="s">
        <v>4735</v>
      </c>
      <c r="C1847" s="3" t="s">
        <v>4313</v>
      </c>
      <c r="D1847" s="3" t="s">
        <v>4314</v>
      </c>
      <c r="E1847" s="3" t="s">
        <v>120</v>
      </c>
      <c r="F1847" s="3">
        <v>23.98</v>
      </c>
      <c r="G1847" s="3" t="s">
        <v>121</v>
      </c>
      <c r="H1847" s="3"/>
      <c r="I1847" s="3" t="s">
        <v>122</v>
      </c>
      <c r="J1847" s="3">
        <v>0</v>
      </c>
      <c r="K1847" s="3">
        <v>0</v>
      </c>
      <c r="L1847" s="3">
        <v>0</v>
      </c>
      <c r="M1847" s="3">
        <v>0</v>
      </c>
      <c r="N1847" s="3">
        <v>0</v>
      </c>
      <c r="O1847" s="3">
        <v>0.09</v>
      </c>
      <c r="P1847" s="3">
        <v>0</v>
      </c>
      <c r="Q1847" s="3">
        <v>0</v>
      </c>
      <c r="R1847" s="3">
        <v>0</v>
      </c>
    </row>
    <row r="1848" spans="1:18">
      <c r="A1848" s="3" t="s">
        <v>4736</v>
      </c>
      <c r="B1848" s="3" t="s">
        <v>4737</v>
      </c>
      <c r="C1848" s="3" t="s">
        <v>4316</v>
      </c>
      <c r="D1848" s="3" t="s">
        <v>4317</v>
      </c>
      <c r="E1848" s="3" t="s">
        <v>120</v>
      </c>
      <c r="F1848" s="3">
        <v>23.98</v>
      </c>
      <c r="G1848" s="3" t="s">
        <v>121</v>
      </c>
      <c r="H1848" s="3"/>
      <c r="I1848" s="3" t="s">
        <v>122</v>
      </c>
      <c r="J1848" s="3">
        <v>0</v>
      </c>
      <c r="K1848" s="3">
        <v>0</v>
      </c>
      <c r="L1848" s="3">
        <v>0</v>
      </c>
      <c r="M1848" s="3">
        <v>0</v>
      </c>
      <c r="N1848" s="3">
        <v>0</v>
      </c>
      <c r="O1848" s="3">
        <v>0.17</v>
      </c>
      <c r="P1848" s="3">
        <v>0</v>
      </c>
      <c r="Q1848" s="3">
        <v>0</v>
      </c>
      <c r="R1848" s="3">
        <v>0</v>
      </c>
    </row>
    <row r="1849" spans="1:18">
      <c r="A1849" s="3" t="s">
        <v>4738</v>
      </c>
      <c r="B1849" s="3" t="s">
        <v>4739</v>
      </c>
      <c r="C1849" s="3" t="s">
        <v>4319</v>
      </c>
      <c r="D1849" s="3" t="s">
        <v>4320</v>
      </c>
      <c r="E1849" s="3" t="s">
        <v>120</v>
      </c>
      <c r="F1849" s="3">
        <v>23.98</v>
      </c>
      <c r="G1849" s="3" t="s">
        <v>121</v>
      </c>
      <c r="H1849" s="3"/>
      <c r="I1849" s="3" t="s">
        <v>122</v>
      </c>
      <c r="J1849" s="3">
        <v>0</v>
      </c>
      <c r="K1849" s="3">
        <v>0</v>
      </c>
      <c r="L1849" s="3">
        <v>0</v>
      </c>
      <c r="M1849" s="3">
        <v>0</v>
      </c>
      <c r="N1849" s="3">
        <v>0</v>
      </c>
      <c r="O1849" s="3">
        <v>0.1</v>
      </c>
      <c r="P1849" s="3">
        <v>0</v>
      </c>
      <c r="Q1849" s="3">
        <v>0</v>
      </c>
      <c r="R1849" s="3">
        <v>0</v>
      </c>
    </row>
    <row r="1850" spans="1:18">
      <c r="A1850" s="3" t="s">
        <v>4740</v>
      </c>
      <c r="B1850" s="3" t="s">
        <v>4741</v>
      </c>
      <c r="C1850" s="3" t="s">
        <v>4322</v>
      </c>
      <c r="D1850" s="3" t="s">
        <v>4323</v>
      </c>
      <c r="E1850" s="3" t="s">
        <v>120</v>
      </c>
      <c r="F1850" s="3">
        <v>23.98</v>
      </c>
      <c r="G1850" s="3" t="s">
        <v>121</v>
      </c>
      <c r="H1850" s="3"/>
      <c r="I1850" s="3" t="s">
        <v>122</v>
      </c>
      <c r="J1850" s="3">
        <v>0</v>
      </c>
      <c r="K1850" s="3">
        <v>0</v>
      </c>
      <c r="L1850" s="3">
        <v>0</v>
      </c>
      <c r="M1850" s="3">
        <v>0</v>
      </c>
      <c r="N1850" s="3">
        <v>0</v>
      </c>
      <c r="O1850" s="3">
        <v>0.11</v>
      </c>
      <c r="P1850" s="3">
        <v>0</v>
      </c>
      <c r="Q1850" s="3">
        <v>0</v>
      </c>
      <c r="R1850" s="3">
        <v>0</v>
      </c>
    </row>
    <row r="1851" spans="1:18">
      <c r="A1851" s="3" t="s">
        <v>4742</v>
      </c>
      <c r="B1851" s="3" t="s">
        <v>4743</v>
      </c>
      <c r="C1851" s="3" t="s">
        <v>4325</v>
      </c>
      <c r="D1851" s="3" t="s">
        <v>4326</v>
      </c>
      <c r="E1851" s="3" t="s">
        <v>120</v>
      </c>
      <c r="F1851" s="3">
        <v>23.98</v>
      </c>
      <c r="G1851" s="3" t="s">
        <v>121</v>
      </c>
      <c r="H1851" s="3"/>
      <c r="I1851" s="3" t="s">
        <v>122</v>
      </c>
      <c r="J1851" s="3">
        <v>5</v>
      </c>
      <c r="K1851" s="3">
        <v>5</v>
      </c>
      <c r="L1851" s="3">
        <v>0</v>
      </c>
      <c r="M1851" s="3">
        <v>0</v>
      </c>
      <c r="N1851" s="3">
        <v>5</v>
      </c>
      <c r="O1851" s="3">
        <v>0.08</v>
      </c>
      <c r="P1851" s="3">
        <v>0</v>
      </c>
      <c r="Q1851" s="3">
        <v>0</v>
      </c>
      <c r="R1851" s="3">
        <v>0</v>
      </c>
    </row>
    <row r="1852" spans="1:18">
      <c r="A1852" s="3" t="s">
        <v>4744</v>
      </c>
      <c r="B1852" s="3" t="s">
        <v>4745</v>
      </c>
      <c r="C1852" s="3" t="s">
        <v>4523</v>
      </c>
      <c r="D1852" s="3" t="s">
        <v>4524</v>
      </c>
      <c r="E1852" s="3" t="s">
        <v>120</v>
      </c>
      <c r="F1852" s="3">
        <v>23.98</v>
      </c>
      <c r="G1852" s="3" t="s">
        <v>121</v>
      </c>
      <c r="H1852" s="3"/>
      <c r="I1852" s="3" t="s">
        <v>122</v>
      </c>
      <c r="J1852" s="3">
        <v>8</v>
      </c>
      <c r="K1852" s="3">
        <v>8</v>
      </c>
      <c r="L1852" s="3">
        <v>0</v>
      </c>
      <c r="M1852" s="3">
        <v>0</v>
      </c>
      <c r="N1852" s="3">
        <v>8</v>
      </c>
      <c r="O1852" s="3">
        <v>0.12</v>
      </c>
      <c r="P1852" s="3">
        <v>0</v>
      </c>
      <c r="Q1852" s="3">
        <v>0</v>
      </c>
      <c r="R1852" s="3">
        <v>0</v>
      </c>
    </row>
    <row r="1853" spans="1:18">
      <c r="A1853" s="3" t="s">
        <v>4746</v>
      </c>
      <c r="B1853" s="3" t="s">
        <v>4747</v>
      </c>
      <c r="C1853" s="3" t="s">
        <v>4328</v>
      </c>
      <c r="D1853" s="3" t="s">
        <v>4329</v>
      </c>
      <c r="E1853" s="3" t="s">
        <v>120</v>
      </c>
      <c r="F1853" s="3">
        <v>23.98</v>
      </c>
      <c r="G1853" s="3" t="s">
        <v>121</v>
      </c>
      <c r="H1853" s="3"/>
      <c r="I1853" s="3" t="s">
        <v>122</v>
      </c>
      <c r="J1853" s="3">
        <v>0</v>
      </c>
      <c r="K1853" s="3">
        <v>0</v>
      </c>
      <c r="L1853" s="3">
        <v>0</v>
      </c>
      <c r="M1853" s="3">
        <v>0</v>
      </c>
      <c r="N1853" s="3">
        <v>0</v>
      </c>
      <c r="O1853" s="3">
        <v>0.17</v>
      </c>
      <c r="P1853" s="3">
        <v>0</v>
      </c>
      <c r="Q1853" s="3">
        <v>0</v>
      </c>
      <c r="R1853" s="3">
        <v>0</v>
      </c>
    </row>
    <row r="1854" spans="1:18">
      <c r="A1854" s="3" t="s">
        <v>4748</v>
      </c>
      <c r="B1854" s="3" t="s">
        <v>4749</v>
      </c>
      <c r="C1854" s="3" t="s">
        <v>4331</v>
      </c>
      <c r="D1854" s="3" t="s">
        <v>4332</v>
      </c>
      <c r="E1854" s="3" t="s">
        <v>120</v>
      </c>
      <c r="F1854" s="3">
        <v>23.98</v>
      </c>
      <c r="G1854" s="3" t="s">
        <v>121</v>
      </c>
      <c r="H1854" s="3"/>
      <c r="I1854" s="3" t="s">
        <v>122</v>
      </c>
      <c r="J1854" s="3">
        <v>0</v>
      </c>
      <c r="K1854" s="3">
        <v>0</v>
      </c>
      <c r="L1854" s="3">
        <v>0</v>
      </c>
      <c r="M1854" s="3">
        <v>0</v>
      </c>
      <c r="N1854" s="3">
        <v>0</v>
      </c>
      <c r="O1854" s="3">
        <v>0.17</v>
      </c>
      <c r="P1854" s="3">
        <v>0</v>
      </c>
      <c r="Q1854" s="3">
        <v>0</v>
      </c>
      <c r="R1854" s="3">
        <v>0</v>
      </c>
    </row>
    <row r="1855" spans="1:18">
      <c r="A1855" s="3" t="s">
        <v>4750</v>
      </c>
      <c r="B1855" s="3" t="s">
        <v>4751</v>
      </c>
      <c r="C1855" s="3" t="s">
        <v>4334</v>
      </c>
      <c r="D1855" s="3" t="s">
        <v>4335</v>
      </c>
      <c r="E1855" s="3" t="s">
        <v>120</v>
      </c>
      <c r="F1855" s="3">
        <v>23.98</v>
      </c>
      <c r="G1855" s="3" t="s">
        <v>121</v>
      </c>
      <c r="H1855" s="3"/>
      <c r="I1855" s="3" t="s">
        <v>122</v>
      </c>
      <c r="J1855" s="3">
        <v>0</v>
      </c>
      <c r="K1855" s="3">
        <v>0</v>
      </c>
      <c r="L1855" s="3">
        <v>0</v>
      </c>
      <c r="M1855" s="3">
        <v>0</v>
      </c>
      <c r="N1855" s="3">
        <v>0</v>
      </c>
      <c r="O1855" s="3">
        <v>0.12</v>
      </c>
      <c r="P1855" s="3">
        <v>0</v>
      </c>
      <c r="Q1855" s="3">
        <v>0</v>
      </c>
      <c r="R1855" s="3">
        <v>0</v>
      </c>
    </row>
    <row r="1856" spans="1:18">
      <c r="A1856" s="3" t="s">
        <v>4752</v>
      </c>
      <c r="B1856" s="3" t="s">
        <v>4753</v>
      </c>
      <c r="C1856" s="3" t="s">
        <v>4337</v>
      </c>
      <c r="D1856" s="3" t="s">
        <v>4338</v>
      </c>
      <c r="E1856" s="3" t="s">
        <v>120</v>
      </c>
      <c r="F1856" s="3">
        <v>23.98</v>
      </c>
      <c r="G1856" s="3" t="s">
        <v>121</v>
      </c>
      <c r="H1856" s="3"/>
      <c r="I1856" s="3" t="s">
        <v>122</v>
      </c>
      <c r="J1856" s="3">
        <v>0</v>
      </c>
      <c r="K1856" s="3">
        <v>0</v>
      </c>
      <c r="L1856" s="3">
        <v>0</v>
      </c>
      <c r="M1856" s="3">
        <v>0</v>
      </c>
      <c r="N1856" s="3">
        <v>0</v>
      </c>
      <c r="O1856" s="3">
        <v>0.17</v>
      </c>
      <c r="P1856" s="3">
        <v>0</v>
      </c>
      <c r="Q1856" s="3">
        <v>0</v>
      </c>
      <c r="R1856" s="3">
        <v>0</v>
      </c>
    </row>
    <row r="1857" spans="1:18">
      <c r="A1857" s="3" t="s">
        <v>4754</v>
      </c>
      <c r="B1857" s="3" t="s">
        <v>4755</v>
      </c>
      <c r="C1857" s="3" t="s">
        <v>4352</v>
      </c>
      <c r="D1857" s="3" t="s">
        <v>4353</v>
      </c>
      <c r="E1857" s="3" t="s">
        <v>120</v>
      </c>
      <c r="F1857" s="3">
        <v>23.98</v>
      </c>
      <c r="G1857" s="3" t="s">
        <v>121</v>
      </c>
      <c r="H1857" s="3"/>
      <c r="I1857" s="3" t="s">
        <v>122</v>
      </c>
      <c r="J1857" s="3">
        <v>0</v>
      </c>
      <c r="K1857" s="3">
        <v>0</v>
      </c>
      <c r="L1857" s="3">
        <v>0</v>
      </c>
      <c r="M1857" s="3">
        <v>0</v>
      </c>
      <c r="N1857" s="3">
        <v>0</v>
      </c>
      <c r="O1857" s="3">
        <v>0.17</v>
      </c>
      <c r="P1857" s="3">
        <v>0</v>
      </c>
      <c r="Q1857" s="3">
        <v>0</v>
      </c>
      <c r="R1857" s="3">
        <v>0</v>
      </c>
    </row>
    <row r="1858" spans="1:18">
      <c r="A1858" s="3" t="s">
        <v>4756</v>
      </c>
      <c r="B1858" s="3" t="s">
        <v>4757</v>
      </c>
      <c r="C1858" s="3" t="s">
        <v>4355</v>
      </c>
      <c r="D1858" s="3" t="s">
        <v>4356</v>
      </c>
      <c r="E1858" s="3" t="s">
        <v>120</v>
      </c>
      <c r="F1858" s="3">
        <v>23.98</v>
      </c>
      <c r="G1858" s="3" t="s">
        <v>121</v>
      </c>
      <c r="H1858" s="3"/>
      <c r="I1858" s="3" t="s">
        <v>122</v>
      </c>
      <c r="J1858" s="3">
        <v>0</v>
      </c>
      <c r="K1858" s="3">
        <v>0</v>
      </c>
      <c r="L1858" s="3">
        <v>0</v>
      </c>
      <c r="M1858" s="3">
        <v>0</v>
      </c>
      <c r="N1858" s="3">
        <v>0</v>
      </c>
      <c r="O1858" s="3">
        <v>0.13</v>
      </c>
      <c r="P1858" s="3">
        <v>0</v>
      </c>
      <c r="Q1858" s="3">
        <v>0</v>
      </c>
      <c r="R1858" s="3">
        <v>0</v>
      </c>
    </row>
    <row r="1859" spans="1:18">
      <c r="A1859" s="3" t="s">
        <v>4758</v>
      </c>
      <c r="B1859" s="3" t="s">
        <v>4759</v>
      </c>
      <c r="C1859" s="3" t="s">
        <v>4358</v>
      </c>
      <c r="D1859" s="3" t="s">
        <v>4359</v>
      </c>
      <c r="E1859" s="3" t="s">
        <v>120</v>
      </c>
      <c r="F1859" s="3">
        <v>23.98</v>
      </c>
      <c r="G1859" s="3" t="s">
        <v>121</v>
      </c>
      <c r="H1859" s="3"/>
      <c r="I1859" s="3" t="s">
        <v>122</v>
      </c>
      <c r="J1859" s="3">
        <v>5</v>
      </c>
      <c r="K1859" s="3">
        <v>5</v>
      </c>
      <c r="L1859" s="3">
        <v>0</v>
      </c>
      <c r="M1859" s="3">
        <v>0</v>
      </c>
      <c r="N1859" s="3">
        <v>5</v>
      </c>
      <c r="O1859" s="3">
        <v>0.14</v>
      </c>
      <c r="P1859" s="3">
        <v>0</v>
      </c>
      <c r="Q1859" s="3">
        <v>0</v>
      </c>
      <c r="R1859" s="3">
        <v>0</v>
      </c>
    </row>
    <row r="1860" spans="1:18">
      <c r="A1860" s="3" t="s">
        <v>4760</v>
      </c>
      <c r="B1860" s="3" t="s">
        <v>4761</v>
      </c>
      <c r="C1860" s="3" t="s">
        <v>4361</v>
      </c>
      <c r="D1860" s="3" t="s">
        <v>4362</v>
      </c>
      <c r="E1860" s="3" t="s">
        <v>120</v>
      </c>
      <c r="F1860" s="3">
        <v>23.98</v>
      </c>
      <c r="G1860" s="3" t="s">
        <v>121</v>
      </c>
      <c r="H1860" s="3"/>
      <c r="I1860" s="3" t="s">
        <v>122</v>
      </c>
      <c r="J1860" s="3">
        <v>0</v>
      </c>
      <c r="K1860" s="3">
        <v>0</v>
      </c>
      <c r="L1860" s="3">
        <v>0</v>
      </c>
      <c r="M1860" s="3">
        <v>0</v>
      </c>
      <c r="N1860" s="3">
        <v>0</v>
      </c>
      <c r="O1860" s="3">
        <v>0.17</v>
      </c>
      <c r="P1860" s="3">
        <v>0</v>
      </c>
      <c r="Q1860" s="3">
        <v>0</v>
      </c>
      <c r="R1860" s="3">
        <v>0</v>
      </c>
    </row>
    <row r="1861" spans="1:18">
      <c r="A1861" s="3" t="s">
        <v>4762</v>
      </c>
      <c r="B1861" s="3" t="s">
        <v>4763</v>
      </c>
      <c r="C1861" s="3" t="s">
        <v>4340</v>
      </c>
      <c r="D1861" s="3" t="s">
        <v>4341</v>
      </c>
      <c r="E1861" s="3" t="s">
        <v>120</v>
      </c>
      <c r="F1861" s="3">
        <v>23.98</v>
      </c>
      <c r="G1861" s="3" t="s">
        <v>121</v>
      </c>
      <c r="H1861" s="3"/>
      <c r="I1861" s="3" t="s">
        <v>122</v>
      </c>
      <c r="J1861" s="3">
        <v>0</v>
      </c>
      <c r="K1861" s="3">
        <v>0</v>
      </c>
      <c r="L1861" s="3">
        <v>0</v>
      </c>
      <c r="M1861" s="3">
        <v>0</v>
      </c>
      <c r="N1861" s="3">
        <v>0</v>
      </c>
      <c r="O1861" s="3">
        <v>0.1</v>
      </c>
      <c r="P1861" s="3">
        <v>0</v>
      </c>
      <c r="Q1861" s="3">
        <v>0</v>
      </c>
      <c r="R1861" s="3">
        <v>0</v>
      </c>
    </row>
    <row r="1862" spans="1:18">
      <c r="A1862" s="3" t="s">
        <v>4764</v>
      </c>
      <c r="B1862" s="3" t="s">
        <v>4765</v>
      </c>
      <c r="C1862" s="3" t="s">
        <v>4343</v>
      </c>
      <c r="D1862" s="3" t="s">
        <v>4344</v>
      </c>
      <c r="E1862" s="3" t="s">
        <v>120</v>
      </c>
      <c r="F1862" s="3">
        <v>23.98</v>
      </c>
      <c r="G1862" s="3" t="s">
        <v>121</v>
      </c>
      <c r="H1862" s="3"/>
      <c r="I1862" s="3" t="s">
        <v>122</v>
      </c>
      <c r="J1862" s="3">
        <v>0</v>
      </c>
      <c r="K1862" s="3">
        <v>0</v>
      </c>
      <c r="L1862" s="3">
        <v>0</v>
      </c>
      <c r="M1862" s="3">
        <v>0</v>
      </c>
      <c r="N1862" s="3">
        <v>0</v>
      </c>
      <c r="O1862" s="3">
        <v>0.17</v>
      </c>
      <c r="P1862" s="3">
        <v>0</v>
      </c>
      <c r="Q1862" s="3">
        <v>0</v>
      </c>
      <c r="R1862" s="3">
        <v>0</v>
      </c>
    </row>
    <row r="1863" spans="1:18">
      <c r="A1863" s="3" t="s">
        <v>4766</v>
      </c>
      <c r="B1863" s="3" t="s">
        <v>4767</v>
      </c>
      <c r="C1863" s="3" t="s">
        <v>4346</v>
      </c>
      <c r="D1863" s="3" t="s">
        <v>4347</v>
      </c>
      <c r="E1863" s="3" t="s">
        <v>120</v>
      </c>
      <c r="F1863" s="3">
        <v>23.98</v>
      </c>
      <c r="G1863" s="3" t="s">
        <v>121</v>
      </c>
      <c r="H1863" s="3"/>
      <c r="I1863" s="3" t="s">
        <v>122</v>
      </c>
      <c r="J1863" s="3">
        <v>0</v>
      </c>
      <c r="K1863" s="3">
        <v>0</v>
      </c>
      <c r="L1863" s="3">
        <v>0</v>
      </c>
      <c r="M1863" s="3">
        <v>0</v>
      </c>
      <c r="N1863" s="3">
        <v>0</v>
      </c>
      <c r="O1863" s="3">
        <v>0.1</v>
      </c>
      <c r="P1863" s="3">
        <v>0</v>
      </c>
      <c r="Q1863" s="3">
        <v>0</v>
      </c>
      <c r="R1863" s="3">
        <v>0</v>
      </c>
    </row>
    <row r="1864" spans="1:18">
      <c r="A1864" s="3" t="s">
        <v>4768</v>
      </c>
      <c r="B1864" s="3" t="s">
        <v>4769</v>
      </c>
      <c r="C1864" s="3" t="s">
        <v>4349</v>
      </c>
      <c r="D1864" s="3" t="s">
        <v>4350</v>
      </c>
      <c r="E1864" s="3" t="s">
        <v>120</v>
      </c>
      <c r="F1864" s="3">
        <v>23.98</v>
      </c>
      <c r="G1864" s="3" t="s">
        <v>121</v>
      </c>
      <c r="H1864" s="3"/>
      <c r="I1864" s="3" t="s">
        <v>122</v>
      </c>
      <c r="J1864" s="3">
        <v>0</v>
      </c>
      <c r="K1864" s="3">
        <v>0</v>
      </c>
      <c r="L1864" s="3">
        <v>0</v>
      </c>
      <c r="M1864" s="3">
        <v>0</v>
      </c>
      <c r="N1864" s="3">
        <v>0</v>
      </c>
      <c r="O1864" s="3">
        <v>0.17</v>
      </c>
      <c r="P1864" s="3">
        <v>0</v>
      </c>
      <c r="Q1864" s="3">
        <v>0</v>
      </c>
      <c r="R1864" s="3">
        <v>0</v>
      </c>
    </row>
    <row r="1865" spans="1:18">
      <c r="A1865" s="3" t="s">
        <v>4770</v>
      </c>
      <c r="B1865" s="3" t="s">
        <v>4771</v>
      </c>
      <c r="C1865" s="3" t="s">
        <v>4771</v>
      </c>
      <c r="D1865" s="3"/>
      <c r="E1865" s="3" t="s">
        <v>20</v>
      </c>
      <c r="F1865" s="3"/>
      <c r="G1865" s="3"/>
      <c r="H1865" s="3"/>
      <c r="I1865" s="3"/>
      <c r="J1865" s="3">
        <v>32</v>
      </c>
      <c r="K1865" s="3">
        <v>32</v>
      </c>
      <c r="L1865" s="3">
        <v>0</v>
      </c>
      <c r="M1865" s="3">
        <v>0</v>
      </c>
      <c r="N1865" s="3">
        <v>32</v>
      </c>
      <c r="O1865" s="3"/>
      <c r="P1865" s="3">
        <v>0</v>
      </c>
      <c r="Q1865" s="3">
        <v>0</v>
      </c>
      <c r="R1865" s="3">
        <v>0</v>
      </c>
    </row>
    <row r="1866" spans="1:18">
      <c r="A1866" s="3" t="s">
        <v>4772</v>
      </c>
      <c r="B1866" s="3" t="s">
        <v>4773</v>
      </c>
      <c r="C1866" s="3" t="s">
        <v>4773</v>
      </c>
      <c r="D1866" s="3"/>
      <c r="E1866" s="3" t="s">
        <v>20</v>
      </c>
      <c r="F1866" s="3"/>
      <c r="G1866" s="3"/>
      <c r="H1866" s="3"/>
      <c r="I1866" s="3"/>
      <c r="J1866" s="3">
        <v>19</v>
      </c>
      <c r="K1866" s="3">
        <v>19</v>
      </c>
      <c r="L1866" s="3">
        <v>0</v>
      </c>
      <c r="M1866" s="3">
        <v>0</v>
      </c>
      <c r="N1866" s="3">
        <v>19</v>
      </c>
      <c r="O1866" s="3"/>
      <c r="P1866" s="3">
        <v>0</v>
      </c>
      <c r="Q1866" s="3">
        <v>0</v>
      </c>
      <c r="R1866" s="3">
        <v>0</v>
      </c>
    </row>
    <row r="1867" spans="1:18">
      <c r="A1867" s="3" t="s">
        <v>4774</v>
      </c>
      <c r="B1867" s="3" t="s">
        <v>4775</v>
      </c>
      <c r="C1867" s="3" t="s">
        <v>4775</v>
      </c>
      <c r="D1867" s="3"/>
      <c r="E1867" s="3" t="s">
        <v>20</v>
      </c>
      <c r="F1867" s="3"/>
      <c r="G1867" s="3"/>
      <c r="H1867" s="3"/>
      <c r="I1867" s="3"/>
      <c r="J1867" s="3">
        <v>12</v>
      </c>
      <c r="K1867" s="3">
        <v>12</v>
      </c>
      <c r="L1867" s="3">
        <v>0</v>
      </c>
      <c r="M1867" s="3">
        <v>0</v>
      </c>
      <c r="N1867" s="3">
        <v>12</v>
      </c>
      <c r="O1867" s="3"/>
      <c r="P1867" s="3">
        <v>0</v>
      </c>
      <c r="Q1867" s="3">
        <v>0</v>
      </c>
      <c r="R1867" s="3">
        <v>0</v>
      </c>
    </row>
    <row r="1868" spans="1:18">
      <c r="A1868" s="3" t="s">
        <v>4776</v>
      </c>
      <c r="B1868" s="3" t="s">
        <v>4777</v>
      </c>
      <c r="C1868" s="3" t="s">
        <v>4777</v>
      </c>
      <c r="D1868" s="3"/>
      <c r="E1868" s="3" t="s">
        <v>20</v>
      </c>
      <c r="F1868" s="3"/>
      <c r="G1868" s="3"/>
      <c r="H1868" s="3"/>
      <c r="I1868" s="3"/>
      <c r="J1868" s="3">
        <v>6</v>
      </c>
      <c r="K1868" s="3">
        <v>6</v>
      </c>
      <c r="L1868" s="3">
        <v>0</v>
      </c>
      <c r="M1868" s="3">
        <v>0</v>
      </c>
      <c r="N1868" s="3">
        <v>6</v>
      </c>
      <c r="O1868" s="3"/>
      <c r="P1868" s="3">
        <v>0</v>
      </c>
      <c r="Q1868" s="3">
        <v>0</v>
      </c>
      <c r="R1868" s="3">
        <v>0</v>
      </c>
    </row>
    <row r="1869" spans="1:18">
      <c r="A1869" s="3" t="s">
        <v>4778</v>
      </c>
      <c r="B1869" s="3" t="s">
        <v>4779</v>
      </c>
      <c r="C1869" s="3" t="s">
        <v>4779</v>
      </c>
      <c r="D1869" s="3" t="s">
        <v>4780</v>
      </c>
      <c r="E1869" s="3" t="s">
        <v>120</v>
      </c>
      <c r="F1869" s="3">
        <v>39.98</v>
      </c>
      <c r="G1869" s="3" t="s">
        <v>121</v>
      </c>
      <c r="H1869" s="3"/>
      <c r="I1869" s="3" t="s">
        <v>122</v>
      </c>
      <c r="J1869" s="3">
        <v>23</v>
      </c>
      <c r="K1869" s="3">
        <v>23</v>
      </c>
      <c r="L1869" s="3">
        <v>0</v>
      </c>
      <c r="M1869" s="3">
        <v>0</v>
      </c>
      <c r="N1869" s="3">
        <v>23</v>
      </c>
      <c r="O1869" s="3">
        <v>0.07</v>
      </c>
      <c r="P1869" s="3">
        <v>0</v>
      </c>
      <c r="Q1869" s="3">
        <v>0</v>
      </c>
      <c r="R1869" s="3">
        <v>0</v>
      </c>
    </row>
    <row r="1870" spans="1:18">
      <c r="A1870" s="3" t="s">
        <v>4781</v>
      </c>
      <c r="B1870" s="3" t="s">
        <v>4782</v>
      </c>
      <c r="C1870" s="3" t="s">
        <v>4782</v>
      </c>
      <c r="D1870" s="3"/>
      <c r="E1870" s="3" t="s">
        <v>20</v>
      </c>
      <c r="F1870" s="3"/>
      <c r="G1870" s="3"/>
      <c r="H1870" s="3"/>
      <c r="I1870" s="3"/>
      <c r="J1870" s="3">
        <v>23</v>
      </c>
      <c r="K1870" s="3">
        <v>23</v>
      </c>
      <c r="L1870" s="3">
        <v>0</v>
      </c>
      <c r="M1870" s="3">
        <v>0</v>
      </c>
      <c r="N1870" s="3">
        <v>23</v>
      </c>
      <c r="O1870" s="3"/>
      <c r="P1870" s="3">
        <v>0</v>
      </c>
      <c r="Q1870" s="3">
        <v>0</v>
      </c>
      <c r="R1870" s="3">
        <v>0</v>
      </c>
    </row>
    <row r="1871" spans="1:18">
      <c r="A1871" s="3" t="s">
        <v>4783</v>
      </c>
      <c r="B1871" s="3" t="s">
        <v>4784</v>
      </c>
      <c r="C1871" s="3" t="s">
        <v>4784</v>
      </c>
      <c r="D1871" s="3"/>
      <c r="E1871" s="3" t="s">
        <v>20</v>
      </c>
      <c r="F1871" s="3"/>
      <c r="G1871" s="3"/>
      <c r="H1871" s="3"/>
      <c r="I1871" s="3"/>
      <c r="J1871" s="3">
        <v>23</v>
      </c>
      <c r="K1871" s="3">
        <v>23</v>
      </c>
      <c r="L1871" s="3">
        <v>0</v>
      </c>
      <c r="M1871" s="3">
        <v>0</v>
      </c>
      <c r="N1871" s="3">
        <v>23</v>
      </c>
      <c r="O1871" s="3"/>
      <c r="P1871" s="3">
        <v>0</v>
      </c>
      <c r="Q1871" s="3">
        <v>0</v>
      </c>
      <c r="R1871" s="3">
        <v>0</v>
      </c>
    </row>
    <row r="1872" spans="1:18">
      <c r="A1872" s="3" t="s">
        <v>4785</v>
      </c>
      <c r="B1872" s="3" t="s">
        <v>4786</v>
      </c>
      <c r="C1872" s="3" t="s">
        <v>4786</v>
      </c>
      <c r="D1872" s="3"/>
      <c r="E1872" s="3" t="s">
        <v>20</v>
      </c>
      <c r="F1872" s="3"/>
      <c r="G1872" s="3"/>
      <c r="H1872" s="3"/>
      <c r="I1872" s="3"/>
      <c r="J1872" s="3">
        <v>15</v>
      </c>
      <c r="K1872" s="3">
        <v>15</v>
      </c>
      <c r="L1872" s="3">
        <v>0</v>
      </c>
      <c r="M1872" s="3">
        <v>0</v>
      </c>
      <c r="N1872" s="3">
        <v>15</v>
      </c>
      <c r="O1872" s="3"/>
      <c r="P1872" s="3">
        <v>0</v>
      </c>
      <c r="Q1872" s="3">
        <v>0</v>
      </c>
      <c r="R1872" s="3">
        <v>0</v>
      </c>
    </row>
    <row r="1873" spans="1:18">
      <c r="A1873" s="3" t="s">
        <v>4787</v>
      </c>
      <c r="B1873" s="3" t="s">
        <v>4788</v>
      </c>
      <c r="C1873" s="3" t="s">
        <v>4788</v>
      </c>
      <c r="D1873" s="3"/>
      <c r="E1873" s="3" t="s">
        <v>20</v>
      </c>
      <c r="F1873" s="3"/>
      <c r="G1873" s="3"/>
      <c r="H1873" s="3"/>
      <c r="I1873" s="3"/>
      <c r="J1873" s="3">
        <v>9</v>
      </c>
      <c r="K1873" s="3">
        <v>9</v>
      </c>
      <c r="L1873" s="3">
        <v>0</v>
      </c>
      <c r="M1873" s="3">
        <v>0</v>
      </c>
      <c r="N1873" s="3">
        <v>9</v>
      </c>
      <c r="O1873" s="3"/>
      <c r="P1873" s="3">
        <v>0</v>
      </c>
      <c r="Q1873" s="3">
        <v>0</v>
      </c>
      <c r="R1873" s="3">
        <v>0</v>
      </c>
    </row>
    <row r="1874" spans="1:18">
      <c r="A1874" s="3" t="s">
        <v>4789</v>
      </c>
      <c r="B1874" s="3" t="s">
        <v>4790</v>
      </c>
      <c r="C1874" s="3" t="s">
        <v>4790</v>
      </c>
      <c r="D1874" s="3"/>
      <c r="E1874" s="3" t="s">
        <v>20</v>
      </c>
      <c r="F1874" s="3"/>
      <c r="G1874" s="3"/>
      <c r="H1874" s="3"/>
      <c r="I1874" s="3"/>
      <c r="J1874" s="3">
        <v>18</v>
      </c>
      <c r="K1874" s="3">
        <v>16</v>
      </c>
      <c r="L1874" s="3">
        <v>0</v>
      </c>
      <c r="M1874" s="3">
        <v>2</v>
      </c>
      <c r="N1874" s="3">
        <v>18</v>
      </c>
      <c r="O1874" s="3"/>
      <c r="P1874" s="3">
        <v>0</v>
      </c>
      <c r="Q1874" s="3">
        <v>0</v>
      </c>
      <c r="R1874" s="3">
        <v>0</v>
      </c>
    </row>
    <row r="1875" spans="1:18">
      <c r="A1875" s="3" t="s">
        <v>4791</v>
      </c>
      <c r="B1875" s="3" t="s">
        <v>4792</v>
      </c>
      <c r="C1875" s="3" t="s">
        <v>4792</v>
      </c>
      <c r="D1875" s="3" t="s">
        <v>4793</v>
      </c>
      <c r="E1875" s="3" t="s">
        <v>120</v>
      </c>
      <c r="F1875" s="3">
        <v>22.98</v>
      </c>
      <c r="G1875" s="3" t="s">
        <v>121</v>
      </c>
      <c r="H1875" s="3"/>
      <c r="I1875" s="3" t="s">
        <v>122</v>
      </c>
      <c r="J1875" s="3">
        <v>14</v>
      </c>
      <c r="K1875" s="3">
        <v>14</v>
      </c>
      <c r="L1875" s="3">
        <v>0</v>
      </c>
      <c r="M1875" s="3">
        <v>0</v>
      </c>
      <c r="N1875" s="3">
        <v>14</v>
      </c>
      <c r="O1875" s="3">
        <v>0.06</v>
      </c>
      <c r="P1875" s="3">
        <v>0</v>
      </c>
      <c r="Q1875" s="3">
        <v>0</v>
      </c>
      <c r="R1875" s="3">
        <v>0</v>
      </c>
    </row>
    <row r="1876" spans="1:18">
      <c r="A1876" s="3" t="s">
        <v>4794</v>
      </c>
      <c r="B1876" s="3" t="s">
        <v>4795</v>
      </c>
      <c r="C1876" s="3" t="s">
        <v>4795</v>
      </c>
      <c r="D1876" s="3" t="s">
        <v>4796</v>
      </c>
      <c r="E1876" s="3" t="s">
        <v>120</v>
      </c>
      <c r="F1876" s="3">
        <v>22.98</v>
      </c>
      <c r="G1876" s="3" t="s">
        <v>121</v>
      </c>
      <c r="H1876" s="3"/>
      <c r="I1876" s="3" t="s">
        <v>122</v>
      </c>
      <c r="J1876" s="3">
        <v>14</v>
      </c>
      <c r="K1876" s="3">
        <v>14</v>
      </c>
      <c r="L1876" s="3">
        <v>0</v>
      </c>
      <c r="M1876" s="3">
        <v>0</v>
      </c>
      <c r="N1876" s="3">
        <v>14</v>
      </c>
      <c r="O1876" s="3">
        <v>0.07</v>
      </c>
      <c r="P1876" s="3">
        <v>0</v>
      </c>
      <c r="Q1876" s="3">
        <v>0</v>
      </c>
      <c r="R1876" s="3">
        <v>0</v>
      </c>
    </row>
    <row r="1877" spans="1:18">
      <c r="A1877" s="3" t="s">
        <v>4797</v>
      </c>
      <c r="B1877" s="3" t="s">
        <v>4798</v>
      </c>
      <c r="C1877" s="3" t="s">
        <v>4798</v>
      </c>
      <c r="D1877" s="3" t="s">
        <v>4799</v>
      </c>
      <c r="E1877" s="3" t="s">
        <v>120</v>
      </c>
      <c r="F1877" s="3">
        <v>21.98</v>
      </c>
      <c r="G1877" s="3" t="s">
        <v>121</v>
      </c>
      <c r="H1877" s="3"/>
      <c r="I1877" s="3" t="s">
        <v>122</v>
      </c>
      <c r="J1877" s="3">
        <v>0</v>
      </c>
      <c r="K1877" s="3">
        <v>0</v>
      </c>
      <c r="L1877" s="3">
        <v>0</v>
      </c>
      <c r="M1877" s="3">
        <v>0</v>
      </c>
      <c r="N1877" s="3">
        <v>0</v>
      </c>
      <c r="O1877" s="3">
        <v>0.05</v>
      </c>
      <c r="P1877" s="3">
        <v>0</v>
      </c>
      <c r="Q1877" s="3">
        <v>0</v>
      </c>
      <c r="R1877" s="3">
        <v>0</v>
      </c>
    </row>
    <row r="1878" spans="1:18">
      <c r="A1878" s="3" t="s">
        <v>4800</v>
      </c>
      <c r="B1878" s="3" t="s">
        <v>4801</v>
      </c>
      <c r="C1878" s="3" t="s">
        <v>4801</v>
      </c>
      <c r="D1878" s="3" t="s">
        <v>4802</v>
      </c>
      <c r="E1878" s="3" t="s">
        <v>120</v>
      </c>
      <c r="F1878" s="3">
        <v>22.98</v>
      </c>
      <c r="G1878" s="3" t="s">
        <v>121</v>
      </c>
      <c r="H1878" s="3"/>
      <c r="I1878" s="3" t="s">
        <v>122</v>
      </c>
      <c r="J1878" s="3">
        <v>13</v>
      </c>
      <c r="K1878" s="3">
        <v>13</v>
      </c>
      <c r="L1878" s="3">
        <v>0</v>
      </c>
      <c r="M1878" s="3">
        <v>0</v>
      </c>
      <c r="N1878" s="3">
        <v>13</v>
      </c>
      <c r="O1878" s="3">
        <v>0.07</v>
      </c>
      <c r="P1878" s="3">
        <v>0</v>
      </c>
      <c r="Q1878" s="3">
        <v>0</v>
      </c>
      <c r="R1878" s="3">
        <v>0</v>
      </c>
    </row>
    <row r="1879" spans="1:18">
      <c r="A1879" s="3" t="s">
        <v>4803</v>
      </c>
      <c r="B1879" s="3" t="s">
        <v>4804</v>
      </c>
      <c r="C1879" s="3" t="s">
        <v>4804</v>
      </c>
      <c r="D1879" s="3" t="s">
        <v>4805</v>
      </c>
      <c r="E1879" s="3" t="s">
        <v>120</v>
      </c>
      <c r="F1879" s="3">
        <v>22.98</v>
      </c>
      <c r="G1879" s="3" t="s">
        <v>121</v>
      </c>
      <c r="H1879" s="3"/>
      <c r="I1879" s="3" t="s">
        <v>122</v>
      </c>
      <c r="J1879" s="3">
        <v>11</v>
      </c>
      <c r="K1879" s="3">
        <v>11</v>
      </c>
      <c r="L1879" s="3">
        <v>0</v>
      </c>
      <c r="M1879" s="3">
        <v>0</v>
      </c>
      <c r="N1879" s="3">
        <v>11</v>
      </c>
      <c r="O1879" s="3">
        <v>0.06</v>
      </c>
      <c r="P1879" s="3">
        <v>0</v>
      </c>
      <c r="Q1879" s="3">
        <v>0</v>
      </c>
      <c r="R1879" s="3">
        <v>0</v>
      </c>
    </row>
    <row r="1880" spans="1:18">
      <c r="A1880" s="3" t="s">
        <v>4806</v>
      </c>
      <c r="B1880" s="3" t="s">
        <v>4807</v>
      </c>
      <c r="C1880" s="3" t="s">
        <v>4807</v>
      </c>
      <c r="D1880" s="3"/>
      <c r="E1880" s="3" t="s">
        <v>20</v>
      </c>
      <c r="F1880" s="3"/>
      <c r="G1880" s="3"/>
      <c r="H1880" s="3"/>
      <c r="I1880" s="3"/>
      <c r="J1880" s="3">
        <v>7</v>
      </c>
      <c r="K1880" s="3">
        <v>7</v>
      </c>
      <c r="L1880" s="3">
        <v>0</v>
      </c>
      <c r="M1880" s="3">
        <v>0</v>
      </c>
      <c r="N1880" s="3">
        <v>7</v>
      </c>
      <c r="O1880" s="3"/>
      <c r="P1880" s="3">
        <v>0</v>
      </c>
      <c r="Q1880" s="3">
        <v>0</v>
      </c>
      <c r="R1880" s="3">
        <v>0</v>
      </c>
    </row>
    <row r="1881" spans="1:18">
      <c r="A1881" s="3" t="s">
        <v>4808</v>
      </c>
      <c r="B1881" s="3" t="s">
        <v>4809</v>
      </c>
      <c r="C1881" s="3" t="s">
        <v>4809</v>
      </c>
      <c r="D1881" s="3"/>
      <c r="E1881" s="3" t="s">
        <v>20</v>
      </c>
      <c r="F1881" s="3"/>
      <c r="G1881" s="3"/>
      <c r="H1881" s="3"/>
      <c r="I1881" s="3"/>
      <c r="J1881" s="3">
        <v>11</v>
      </c>
      <c r="K1881" s="3">
        <v>11</v>
      </c>
      <c r="L1881" s="3">
        <v>0</v>
      </c>
      <c r="M1881" s="3">
        <v>0</v>
      </c>
      <c r="N1881" s="3">
        <v>11</v>
      </c>
      <c r="O1881" s="3"/>
      <c r="P1881" s="3">
        <v>0</v>
      </c>
      <c r="Q1881" s="3">
        <v>0</v>
      </c>
      <c r="R1881" s="3">
        <v>0</v>
      </c>
    </row>
    <row r="1882" spans="1:18">
      <c r="A1882" s="3" t="s">
        <v>4810</v>
      </c>
      <c r="B1882" s="3" t="s">
        <v>4811</v>
      </c>
      <c r="C1882" s="3" t="s">
        <v>4811</v>
      </c>
      <c r="D1882" s="3"/>
      <c r="E1882" s="3" t="s">
        <v>20</v>
      </c>
      <c r="F1882" s="3"/>
      <c r="G1882" s="3"/>
      <c r="H1882" s="3"/>
      <c r="I1882" s="3"/>
      <c r="J1882" s="3">
        <v>18</v>
      </c>
      <c r="K1882" s="3">
        <v>17</v>
      </c>
      <c r="L1882" s="3">
        <v>0</v>
      </c>
      <c r="M1882" s="3">
        <v>1</v>
      </c>
      <c r="N1882" s="3">
        <v>18</v>
      </c>
      <c r="O1882" s="3"/>
      <c r="P1882" s="3">
        <v>0</v>
      </c>
      <c r="Q1882" s="3">
        <v>0</v>
      </c>
      <c r="R1882" s="3">
        <v>0</v>
      </c>
    </row>
    <row r="1883" spans="1:18">
      <c r="A1883" s="3" t="s">
        <v>4812</v>
      </c>
      <c r="B1883" s="3" t="s">
        <v>4813</v>
      </c>
      <c r="C1883" s="3" t="s">
        <v>4813</v>
      </c>
      <c r="D1883" s="3"/>
      <c r="E1883" s="3" t="s">
        <v>20</v>
      </c>
      <c r="F1883" s="3"/>
      <c r="G1883" s="3"/>
      <c r="H1883" s="3"/>
      <c r="I1883" s="3"/>
      <c r="J1883" s="3">
        <v>5</v>
      </c>
      <c r="K1883" s="3">
        <v>5</v>
      </c>
      <c r="L1883" s="3">
        <v>0</v>
      </c>
      <c r="M1883" s="3">
        <v>0</v>
      </c>
      <c r="N1883" s="3">
        <v>5</v>
      </c>
      <c r="O1883" s="3"/>
      <c r="P1883" s="3">
        <v>0</v>
      </c>
      <c r="Q1883" s="3">
        <v>0</v>
      </c>
      <c r="R1883" s="3">
        <v>0</v>
      </c>
    </row>
    <row r="1884" spans="1:18">
      <c r="A1884" s="3" t="s">
        <v>4814</v>
      </c>
      <c r="B1884" s="3" t="s">
        <v>4815</v>
      </c>
      <c r="C1884" s="3" t="s">
        <v>4815</v>
      </c>
      <c r="D1884" s="3"/>
      <c r="E1884" s="3" t="s">
        <v>20</v>
      </c>
      <c r="F1884" s="3"/>
      <c r="G1884" s="3"/>
      <c r="H1884" s="3"/>
      <c r="I1884" s="3"/>
      <c r="J1884" s="3">
        <v>8</v>
      </c>
      <c r="K1884" s="3">
        <v>8</v>
      </c>
      <c r="L1884" s="3">
        <v>0</v>
      </c>
      <c r="M1884" s="3">
        <v>0</v>
      </c>
      <c r="N1884" s="3">
        <v>8</v>
      </c>
      <c r="O1884" s="3"/>
      <c r="P1884" s="3">
        <v>0</v>
      </c>
      <c r="Q1884" s="3">
        <v>0</v>
      </c>
      <c r="R1884" s="3">
        <v>0</v>
      </c>
    </row>
    <row r="1885" spans="1:18">
      <c r="A1885" s="3" t="s">
        <v>4816</v>
      </c>
      <c r="B1885" s="3" t="s">
        <v>4817</v>
      </c>
      <c r="C1885" s="3" t="s">
        <v>4817</v>
      </c>
      <c r="D1885" s="3"/>
      <c r="E1885" s="3" t="s">
        <v>20</v>
      </c>
      <c r="F1885" s="3"/>
      <c r="G1885" s="3"/>
      <c r="H1885" s="3"/>
      <c r="I1885" s="3"/>
      <c r="J1885" s="3">
        <v>13</v>
      </c>
      <c r="K1885" s="3">
        <v>13</v>
      </c>
      <c r="L1885" s="3">
        <v>0</v>
      </c>
      <c r="M1885" s="3">
        <v>0</v>
      </c>
      <c r="N1885" s="3">
        <v>13</v>
      </c>
      <c r="O1885" s="3"/>
      <c r="P1885" s="3">
        <v>0</v>
      </c>
      <c r="Q1885" s="3">
        <v>0</v>
      </c>
      <c r="R1885" s="3">
        <v>0</v>
      </c>
    </row>
    <row r="1886" spans="1:18">
      <c r="A1886" s="3" t="s">
        <v>4818</v>
      </c>
      <c r="B1886" s="3" t="s">
        <v>4819</v>
      </c>
      <c r="C1886" s="3" t="s">
        <v>4819</v>
      </c>
      <c r="D1886" s="3"/>
      <c r="E1886" s="3" t="s">
        <v>20</v>
      </c>
      <c r="F1886" s="3"/>
      <c r="G1886" s="3"/>
      <c r="H1886" s="3"/>
      <c r="I1886" s="3"/>
      <c r="J1886" s="3">
        <v>19</v>
      </c>
      <c r="K1886" s="3">
        <v>19</v>
      </c>
      <c r="L1886" s="3">
        <v>0</v>
      </c>
      <c r="M1886" s="3">
        <v>0</v>
      </c>
      <c r="N1886" s="3">
        <v>19</v>
      </c>
      <c r="O1886" s="3"/>
      <c r="P1886" s="3">
        <v>0</v>
      </c>
      <c r="Q1886" s="3">
        <v>0</v>
      </c>
      <c r="R1886" s="3">
        <v>0</v>
      </c>
    </row>
    <row r="1887" spans="1:18">
      <c r="A1887" s="3" t="s">
        <v>4820</v>
      </c>
      <c r="B1887" s="3" t="s">
        <v>4821</v>
      </c>
      <c r="C1887" s="3" t="s">
        <v>4821</v>
      </c>
      <c r="D1887" s="3"/>
      <c r="E1887" s="3" t="s">
        <v>20</v>
      </c>
      <c r="F1887" s="3"/>
      <c r="G1887" s="3"/>
      <c r="H1887" s="3"/>
      <c r="I1887" s="3"/>
      <c r="J1887" s="3">
        <v>7</v>
      </c>
      <c r="K1887" s="3">
        <v>7</v>
      </c>
      <c r="L1887" s="3">
        <v>0</v>
      </c>
      <c r="M1887" s="3">
        <v>0</v>
      </c>
      <c r="N1887" s="3">
        <v>7</v>
      </c>
      <c r="O1887" s="3"/>
      <c r="P1887" s="3">
        <v>0</v>
      </c>
      <c r="Q1887" s="3">
        <v>0</v>
      </c>
      <c r="R1887" s="3">
        <v>0</v>
      </c>
    </row>
    <row r="1888" spans="1:18">
      <c r="A1888" s="3" t="s">
        <v>4822</v>
      </c>
      <c r="B1888" s="3" t="s">
        <v>4823</v>
      </c>
      <c r="C1888" s="3" t="s">
        <v>4823</v>
      </c>
      <c r="D1888" s="3"/>
      <c r="E1888" s="3" t="s">
        <v>20</v>
      </c>
      <c r="F1888" s="3"/>
      <c r="G1888" s="3"/>
      <c r="H1888" s="3"/>
      <c r="I1888" s="3"/>
      <c r="J1888" s="3">
        <v>8</v>
      </c>
      <c r="K1888" s="3">
        <v>8</v>
      </c>
      <c r="L1888" s="3">
        <v>0</v>
      </c>
      <c r="M1888" s="3">
        <v>0</v>
      </c>
      <c r="N1888" s="3">
        <v>8</v>
      </c>
      <c r="O1888" s="3"/>
      <c r="P1888" s="3">
        <v>0</v>
      </c>
      <c r="Q1888" s="3">
        <v>0</v>
      </c>
      <c r="R1888" s="3">
        <v>0</v>
      </c>
    </row>
    <row r="1889" spans="1:18">
      <c r="A1889" s="3" t="s">
        <v>4824</v>
      </c>
      <c r="B1889" s="3" t="s">
        <v>4825</v>
      </c>
      <c r="C1889" s="3" t="s">
        <v>4825</v>
      </c>
      <c r="D1889" s="3"/>
      <c r="E1889" s="3" t="s">
        <v>20</v>
      </c>
      <c r="F1889" s="3"/>
      <c r="G1889" s="3"/>
      <c r="H1889" s="3"/>
      <c r="I1889" s="3"/>
      <c r="J1889" s="3">
        <v>21</v>
      </c>
      <c r="K1889" s="3">
        <v>21</v>
      </c>
      <c r="L1889" s="3">
        <v>0</v>
      </c>
      <c r="M1889" s="3">
        <v>0</v>
      </c>
      <c r="N1889" s="3">
        <v>21</v>
      </c>
      <c r="O1889" s="3"/>
      <c r="P1889" s="3">
        <v>0</v>
      </c>
      <c r="Q1889" s="3">
        <v>0</v>
      </c>
      <c r="R1889" s="3">
        <v>0</v>
      </c>
    </row>
    <row r="1890" spans="1:18">
      <c r="A1890" s="3" t="s">
        <v>4826</v>
      </c>
      <c r="B1890" s="3" t="s">
        <v>4827</v>
      </c>
      <c r="C1890" s="3" t="s">
        <v>4827</v>
      </c>
      <c r="D1890" s="3" t="s">
        <v>4828</v>
      </c>
      <c r="E1890" s="3" t="s">
        <v>120</v>
      </c>
      <c r="F1890" s="3">
        <v>39.98</v>
      </c>
      <c r="G1890" s="3" t="s">
        <v>121</v>
      </c>
      <c r="H1890" s="3"/>
      <c r="I1890" s="3" t="s">
        <v>122</v>
      </c>
      <c r="J1890" s="3">
        <v>2</v>
      </c>
      <c r="K1890" s="3">
        <v>2</v>
      </c>
      <c r="L1890" s="3">
        <v>0</v>
      </c>
      <c r="M1890" s="3">
        <v>0</v>
      </c>
      <c r="N1890" s="3">
        <v>2</v>
      </c>
      <c r="O1890" s="3">
        <v>0.08</v>
      </c>
      <c r="P1890" s="3">
        <v>0</v>
      </c>
      <c r="Q1890" s="3">
        <v>0</v>
      </c>
      <c r="R1890" s="3">
        <v>0</v>
      </c>
    </row>
    <row r="1891" spans="1:18">
      <c r="A1891" s="3" t="s">
        <v>4829</v>
      </c>
      <c r="B1891" s="3" t="s">
        <v>4830</v>
      </c>
      <c r="C1891" s="3" t="s">
        <v>4830</v>
      </c>
      <c r="D1891" s="3" t="s">
        <v>4831</v>
      </c>
      <c r="E1891" s="3" t="s">
        <v>120</v>
      </c>
      <c r="F1891" s="3">
        <v>39.98</v>
      </c>
      <c r="G1891" s="3" t="s">
        <v>121</v>
      </c>
      <c r="H1891" s="3"/>
      <c r="I1891" s="3" t="s">
        <v>122</v>
      </c>
      <c r="J1891" s="3">
        <v>6</v>
      </c>
      <c r="K1891" s="3">
        <v>6</v>
      </c>
      <c r="L1891" s="3">
        <v>0</v>
      </c>
      <c r="M1891" s="3">
        <v>0</v>
      </c>
      <c r="N1891" s="3">
        <v>6</v>
      </c>
      <c r="O1891" s="3">
        <v>0.08</v>
      </c>
      <c r="P1891" s="3">
        <v>0</v>
      </c>
      <c r="Q1891" s="3">
        <v>0</v>
      </c>
      <c r="R1891" s="3">
        <v>0</v>
      </c>
    </row>
    <row r="1892" spans="1:18">
      <c r="A1892" s="3" t="s">
        <v>4832</v>
      </c>
      <c r="B1892" s="3" t="s">
        <v>4833</v>
      </c>
      <c r="C1892" s="3" t="s">
        <v>4833</v>
      </c>
      <c r="D1892" s="3" t="s">
        <v>4834</v>
      </c>
      <c r="E1892" s="3" t="s">
        <v>120</v>
      </c>
      <c r="F1892" s="3">
        <v>39.98</v>
      </c>
      <c r="G1892" s="3" t="s">
        <v>121</v>
      </c>
      <c r="H1892" s="3"/>
      <c r="I1892" s="3" t="s">
        <v>122</v>
      </c>
      <c r="J1892" s="3">
        <v>4</v>
      </c>
      <c r="K1892" s="3">
        <v>4</v>
      </c>
      <c r="L1892" s="3">
        <v>0</v>
      </c>
      <c r="M1892" s="3">
        <v>0</v>
      </c>
      <c r="N1892" s="3">
        <v>4</v>
      </c>
      <c r="O1892" s="3">
        <v>0.08</v>
      </c>
      <c r="P1892" s="3">
        <v>0</v>
      </c>
      <c r="Q1892" s="3">
        <v>0</v>
      </c>
      <c r="R1892" s="3">
        <v>0</v>
      </c>
    </row>
    <row r="1893" spans="1:18">
      <c r="A1893" s="3" t="s">
        <v>4835</v>
      </c>
      <c r="B1893" s="3" t="s">
        <v>4836</v>
      </c>
      <c r="C1893" s="3" t="s">
        <v>4836</v>
      </c>
      <c r="D1893" s="3" t="s">
        <v>4828</v>
      </c>
      <c r="E1893" s="3" t="s">
        <v>120</v>
      </c>
      <c r="F1893" s="3">
        <v>39.98</v>
      </c>
      <c r="G1893" s="3" t="s">
        <v>121</v>
      </c>
      <c r="H1893" s="3"/>
      <c r="I1893" s="3" t="s">
        <v>122</v>
      </c>
      <c r="J1893" s="3">
        <v>0</v>
      </c>
      <c r="K1893" s="3">
        <v>0</v>
      </c>
      <c r="L1893" s="3">
        <v>0</v>
      </c>
      <c r="M1893" s="3">
        <v>0</v>
      </c>
      <c r="N1893" s="3">
        <v>0</v>
      </c>
      <c r="O1893" s="3">
        <v>0.21</v>
      </c>
      <c r="P1893" s="3">
        <v>0</v>
      </c>
      <c r="Q1893" s="3">
        <v>0</v>
      </c>
      <c r="R1893" s="3">
        <v>0</v>
      </c>
    </row>
    <row r="1894" spans="1:18">
      <c r="A1894" s="3" t="s">
        <v>4837</v>
      </c>
      <c r="B1894" s="3" t="s">
        <v>4838</v>
      </c>
      <c r="C1894" s="3" t="s">
        <v>4838</v>
      </c>
      <c r="D1894" s="3" t="s">
        <v>4839</v>
      </c>
      <c r="E1894" s="3" t="s">
        <v>120</v>
      </c>
      <c r="F1894" s="3">
        <v>39.98</v>
      </c>
      <c r="G1894" s="3" t="s">
        <v>121</v>
      </c>
      <c r="H1894" s="3"/>
      <c r="I1894" s="3" t="s">
        <v>122</v>
      </c>
      <c r="J1894" s="3">
        <v>0</v>
      </c>
      <c r="K1894" s="3">
        <v>0</v>
      </c>
      <c r="L1894" s="3">
        <v>0</v>
      </c>
      <c r="M1894" s="3">
        <v>0</v>
      </c>
      <c r="N1894" s="3">
        <v>0</v>
      </c>
      <c r="O1894" s="3">
        <v>0.21</v>
      </c>
      <c r="P1894" s="3">
        <v>0</v>
      </c>
      <c r="Q1894" s="3">
        <v>0</v>
      </c>
      <c r="R1894" s="3">
        <v>0</v>
      </c>
    </row>
    <row r="1895" spans="1:18">
      <c r="A1895" s="3" t="s">
        <v>4840</v>
      </c>
      <c r="B1895" s="3" t="s">
        <v>4841</v>
      </c>
      <c r="C1895" s="3" t="s">
        <v>4841</v>
      </c>
      <c r="D1895" s="3" t="s">
        <v>4839</v>
      </c>
      <c r="E1895" s="3" t="s">
        <v>120</v>
      </c>
      <c r="F1895" s="3">
        <v>39.98</v>
      </c>
      <c r="G1895" s="3" t="s">
        <v>121</v>
      </c>
      <c r="H1895" s="3"/>
      <c r="I1895" s="3" t="s">
        <v>122</v>
      </c>
      <c r="J1895" s="3">
        <v>6</v>
      </c>
      <c r="K1895" s="3">
        <v>6</v>
      </c>
      <c r="L1895" s="3">
        <v>0</v>
      </c>
      <c r="M1895" s="3">
        <v>0</v>
      </c>
      <c r="N1895" s="3">
        <v>6</v>
      </c>
      <c r="O1895" s="3">
        <v>0.21</v>
      </c>
      <c r="P1895" s="3">
        <v>0</v>
      </c>
      <c r="Q1895" s="3">
        <v>0</v>
      </c>
      <c r="R1895" s="3">
        <v>0</v>
      </c>
    </row>
    <row r="1896" spans="1:18">
      <c r="A1896" s="3" t="s">
        <v>4842</v>
      </c>
      <c r="B1896" s="3" t="s">
        <v>4843</v>
      </c>
      <c r="C1896" s="3" t="s">
        <v>4843</v>
      </c>
      <c r="D1896" s="3" t="s">
        <v>4844</v>
      </c>
      <c r="E1896" s="3" t="s">
        <v>120</v>
      </c>
      <c r="F1896" s="3">
        <v>39.98</v>
      </c>
      <c r="G1896" s="3" t="s">
        <v>121</v>
      </c>
      <c r="H1896" s="3"/>
      <c r="I1896" s="3" t="s">
        <v>122</v>
      </c>
      <c r="J1896" s="3">
        <v>3</v>
      </c>
      <c r="K1896" s="3">
        <v>3</v>
      </c>
      <c r="L1896" s="3">
        <v>0</v>
      </c>
      <c r="M1896" s="3">
        <v>0</v>
      </c>
      <c r="N1896" s="3">
        <v>3</v>
      </c>
      <c r="O1896" s="3">
        <v>0.21</v>
      </c>
      <c r="P1896" s="3">
        <v>0</v>
      </c>
      <c r="Q1896" s="3">
        <v>0</v>
      </c>
      <c r="R1896" s="3">
        <v>0</v>
      </c>
    </row>
    <row r="1897" spans="1:18">
      <c r="A1897" s="3" t="s">
        <v>4845</v>
      </c>
      <c r="B1897" s="3" t="s">
        <v>4846</v>
      </c>
      <c r="C1897" s="3" t="s">
        <v>4846</v>
      </c>
      <c r="D1897" s="3" t="s">
        <v>4847</v>
      </c>
      <c r="E1897" s="3" t="s">
        <v>120</v>
      </c>
      <c r="F1897" s="3">
        <v>39.98</v>
      </c>
      <c r="G1897" s="3" t="s">
        <v>121</v>
      </c>
      <c r="H1897" s="3"/>
      <c r="I1897" s="3" t="s">
        <v>122</v>
      </c>
      <c r="J1897" s="3">
        <v>2</v>
      </c>
      <c r="K1897" s="3">
        <v>2</v>
      </c>
      <c r="L1897" s="3">
        <v>0</v>
      </c>
      <c r="M1897" s="3">
        <v>0</v>
      </c>
      <c r="N1897" s="3">
        <v>2</v>
      </c>
      <c r="O1897" s="3">
        <v>0.21</v>
      </c>
      <c r="P1897" s="3">
        <v>0</v>
      </c>
      <c r="Q1897" s="3">
        <v>0</v>
      </c>
      <c r="R1897" s="3">
        <v>0</v>
      </c>
    </row>
    <row r="1898" spans="1:18">
      <c r="A1898" s="3" t="s">
        <v>4848</v>
      </c>
      <c r="B1898" s="3" t="s">
        <v>4849</v>
      </c>
      <c r="C1898" s="3" t="s">
        <v>4849</v>
      </c>
      <c r="D1898" s="3" t="s">
        <v>4850</v>
      </c>
      <c r="E1898" s="3" t="s">
        <v>120</v>
      </c>
      <c r="F1898" s="3">
        <v>39.98</v>
      </c>
      <c r="G1898" s="3" t="s">
        <v>121</v>
      </c>
      <c r="H1898" s="3"/>
      <c r="I1898" s="3" t="s">
        <v>122</v>
      </c>
      <c r="J1898" s="3">
        <v>4</v>
      </c>
      <c r="K1898" s="3">
        <v>4</v>
      </c>
      <c r="L1898" s="3">
        <v>0</v>
      </c>
      <c r="M1898" s="3">
        <v>0</v>
      </c>
      <c r="N1898" s="3">
        <v>4</v>
      </c>
      <c r="O1898" s="3">
        <v>0.21</v>
      </c>
      <c r="P1898" s="3">
        <v>0</v>
      </c>
      <c r="Q1898" s="3">
        <v>0</v>
      </c>
      <c r="R1898" s="3">
        <v>0</v>
      </c>
    </row>
    <row r="1899" spans="1:18">
      <c r="A1899" s="3" t="s">
        <v>4851</v>
      </c>
      <c r="B1899" s="3" t="s">
        <v>4852</v>
      </c>
      <c r="C1899" s="3" t="s">
        <v>4852</v>
      </c>
      <c r="D1899" s="3" t="s">
        <v>4853</v>
      </c>
      <c r="E1899" s="3" t="s">
        <v>120</v>
      </c>
      <c r="F1899" s="3">
        <v>39.98</v>
      </c>
      <c r="G1899" s="3" t="s">
        <v>121</v>
      </c>
      <c r="H1899" s="3"/>
      <c r="I1899" s="3" t="s">
        <v>122</v>
      </c>
      <c r="J1899" s="3">
        <v>6</v>
      </c>
      <c r="K1899" s="3">
        <v>5</v>
      </c>
      <c r="L1899" s="3">
        <v>0</v>
      </c>
      <c r="M1899" s="3">
        <v>1</v>
      </c>
      <c r="N1899" s="3">
        <v>6</v>
      </c>
      <c r="O1899" s="3">
        <v>0.19</v>
      </c>
      <c r="P1899" s="3">
        <v>0</v>
      </c>
      <c r="Q1899" s="3">
        <v>0</v>
      </c>
      <c r="R1899" s="3">
        <v>0</v>
      </c>
    </row>
    <row r="1900" spans="1:18">
      <c r="A1900" s="3" t="s">
        <v>4854</v>
      </c>
      <c r="B1900" s="3" t="s">
        <v>4855</v>
      </c>
      <c r="C1900" s="3" t="s">
        <v>4855</v>
      </c>
      <c r="D1900" s="3" t="s">
        <v>4856</v>
      </c>
      <c r="E1900" s="3" t="s">
        <v>120</v>
      </c>
      <c r="F1900" s="3">
        <v>39.98</v>
      </c>
      <c r="G1900" s="3" t="s">
        <v>121</v>
      </c>
      <c r="H1900" s="3"/>
      <c r="I1900" s="3" t="s">
        <v>122</v>
      </c>
      <c r="J1900" s="3">
        <v>2</v>
      </c>
      <c r="K1900" s="3">
        <v>1</v>
      </c>
      <c r="L1900" s="3">
        <v>0</v>
      </c>
      <c r="M1900" s="3">
        <v>1</v>
      </c>
      <c r="N1900" s="3">
        <v>2</v>
      </c>
      <c r="O1900" s="3">
        <v>0.08</v>
      </c>
      <c r="P1900" s="3">
        <v>0</v>
      </c>
      <c r="Q1900" s="3">
        <v>0</v>
      </c>
      <c r="R1900" s="3">
        <v>0</v>
      </c>
    </row>
    <row r="1901" spans="1:18">
      <c r="A1901" s="3" t="s">
        <v>4857</v>
      </c>
      <c r="B1901" s="3" t="s">
        <v>4858</v>
      </c>
      <c r="C1901" s="3" t="s">
        <v>4858</v>
      </c>
      <c r="D1901" s="3" t="s">
        <v>4850</v>
      </c>
      <c r="E1901" s="3" t="s">
        <v>120</v>
      </c>
      <c r="F1901" s="3">
        <v>39.98</v>
      </c>
      <c r="G1901" s="3" t="s">
        <v>121</v>
      </c>
      <c r="H1901" s="3"/>
      <c r="I1901" s="3" t="s">
        <v>122</v>
      </c>
      <c r="J1901" s="3">
        <v>0</v>
      </c>
      <c r="K1901" s="3">
        <v>0</v>
      </c>
      <c r="L1901" s="3">
        <v>0</v>
      </c>
      <c r="M1901" s="3">
        <v>0</v>
      </c>
      <c r="N1901" s="3">
        <v>0</v>
      </c>
      <c r="O1901" s="3">
        <v>0.21</v>
      </c>
      <c r="P1901" s="3">
        <v>0</v>
      </c>
      <c r="Q1901" s="3">
        <v>0</v>
      </c>
      <c r="R1901" s="3">
        <v>0</v>
      </c>
    </row>
    <row r="1902" spans="1:18">
      <c r="A1902" s="3" t="s">
        <v>4859</v>
      </c>
      <c r="B1902" s="3" t="s">
        <v>4860</v>
      </c>
      <c r="C1902" s="3" t="s">
        <v>4860</v>
      </c>
      <c r="D1902" s="3" t="s">
        <v>4861</v>
      </c>
      <c r="E1902" s="3" t="s">
        <v>120</v>
      </c>
      <c r="F1902" s="3">
        <v>22.98</v>
      </c>
      <c r="G1902" s="3" t="s">
        <v>121</v>
      </c>
      <c r="H1902" s="3"/>
      <c r="I1902" s="3" t="s">
        <v>122</v>
      </c>
      <c r="J1902" s="3">
        <v>6</v>
      </c>
      <c r="K1902" s="3">
        <v>6</v>
      </c>
      <c r="L1902" s="3">
        <v>0</v>
      </c>
      <c r="M1902" s="3">
        <v>0</v>
      </c>
      <c r="N1902" s="3">
        <v>6</v>
      </c>
      <c r="O1902" s="3">
        <v>0.36</v>
      </c>
      <c r="P1902" s="3">
        <v>0</v>
      </c>
      <c r="Q1902" s="3">
        <v>0</v>
      </c>
      <c r="R1902" s="3">
        <v>0</v>
      </c>
    </row>
    <row r="1903" spans="1:18">
      <c r="A1903" s="3" t="s">
        <v>4862</v>
      </c>
      <c r="B1903" s="3" t="s">
        <v>4863</v>
      </c>
      <c r="C1903" s="3" t="s">
        <v>4863</v>
      </c>
      <c r="D1903" s="3" t="s">
        <v>4864</v>
      </c>
      <c r="E1903" s="3" t="s">
        <v>120</v>
      </c>
      <c r="F1903" s="3">
        <v>39.98</v>
      </c>
      <c r="G1903" s="3" t="s">
        <v>121</v>
      </c>
      <c r="H1903" s="3"/>
      <c r="I1903" s="3" t="s">
        <v>122</v>
      </c>
      <c r="J1903" s="3">
        <v>3</v>
      </c>
      <c r="K1903" s="3">
        <v>3</v>
      </c>
      <c r="L1903" s="3">
        <v>0</v>
      </c>
      <c r="M1903" s="3">
        <v>0</v>
      </c>
      <c r="N1903" s="3">
        <v>3</v>
      </c>
      <c r="O1903" s="3">
        <v>0.21</v>
      </c>
      <c r="P1903" s="3">
        <v>0</v>
      </c>
      <c r="Q1903" s="3">
        <v>0</v>
      </c>
      <c r="R1903" s="3">
        <v>0</v>
      </c>
    </row>
    <row r="1904" spans="1:18">
      <c r="A1904" s="3" t="s">
        <v>4865</v>
      </c>
      <c r="B1904" s="3" t="s">
        <v>4866</v>
      </c>
      <c r="C1904" s="3" t="s">
        <v>4866</v>
      </c>
      <c r="D1904" s="3" t="s">
        <v>4864</v>
      </c>
      <c r="E1904" s="3" t="s">
        <v>120</v>
      </c>
      <c r="F1904" s="3">
        <v>39.98</v>
      </c>
      <c r="G1904" s="3" t="s">
        <v>121</v>
      </c>
      <c r="H1904" s="3"/>
      <c r="I1904" s="3" t="s">
        <v>122</v>
      </c>
      <c r="J1904" s="3">
        <v>5</v>
      </c>
      <c r="K1904" s="3">
        <v>4</v>
      </c>
      <c r="L1904" s="3">
        <v>0</v>
      </c>
      <c r="M1904" s="3">
        <v>1</v>
      </c>
      <c r="N1904" s="3">
        <v>5</v>
      </c>
      <c r="O1904" s="3">
        <v>0.21</v>
      </c>
      <c r="P1904" s="3">
        <v>0</v>
      </c>
      <c r="Q1904" s="3">
        <v>0</v>
      </c>
      <c r="R1904" s="3">
        <v>0</v>
      </c>
    </row>
    <row r="1905" spans="1:18">
      <c r="A1905" s="3" t="s">
        <v>4867</v>
      </c>
      <c r="B1905" s="3" t="s">
        <v>4868</v>
      </c>
      <c r="C1905" s="3" t="s">
        <v>4868</v>
      </c>
      <c r="D1905" s="3" t="s">
        <v>4869</v>
      </c>
      <c r="E1905" s="3" t="s">
        <v>120</v>
      </c>
      <c r="F1905" s="3">
        <v>39.98</v>
      </c>
      <c r="G1905" s="3" t="s">
        <v>121</v>
      </c>
      <c r="H1905" s="3"/>
      <c r="I1905" s="3" t="s">
        <v>122</v>
      </c>
      <c r="J1905" s="3">
        <v>0</v>
      </c>
      <c r="K1905" s="3">
        <v>0</v>
      </c>
      <c r="L1905" s="3">
        <v>0</v>
      </c>
      <c r="M1905" s="3">
        <v>0</v>
      </c>
      <c r="N1905" s="3">
        <v>0</v>
      </c>
      <c r="O1905" s="3">
        <v>0.21</v>
      </c>
      <c r="P1905" s="3">
        <v>0</v>
      </c>
      <c r="Q1905" s="3">
        <v>0</v>
      </c>
      <c r="R1905" s="3">
        <v>0</v>
      </c>
    </row>
    <row r="1906" spans="1:18">
      <c r="A1906" s="3" t="s">
        <v>4870</v>
      </c>
      <c r="B1906" s="3" t="s">
        <v>4871</v>
      </c>
      <c r="C1906" s="3" t="s">
        <v>4871</v>
      </c>
      <c r="D1906" s="3"/>
      <c r="E1906" s="3" t="s">
        <v>20</v>
      </c>
      <c r="F1906" s="3"/>
      <c r="G1906" s="3"/>
      <c r="H1906" s="3"/>
      <c r="I1906" s="3"/>
      <c r="J1906" s="3">
        <v>6</v>
      </c>
      <c r="K1906" s="3">
        <v>6</v>
      </c>
      <c r="L1906" s="3">
        <v>0</v>
      </c>
      <c r="M1906" s="3">
        <v>0</v>
      </c>
      <c r="N1906" s="3">
        <v>6</v>
      </c>
      <c r="O1906" s="3"/>
      <c r="P1906" s="3">
        <v>0</v>
      </c>
      <c r="Q1906" s="3">
        <v>0</v>
      </c>
      <c r="R1906" s="3">
        <v>0</v>
      </c>
    </row>
    <row r="1907" spans="1:18">
      <c r="A1907" s="3" t="s">
        <v>4872</v>
      </c>
      <c r="B1907" s="3" t="s">
        <v>4873</v>
      </c>
      <c r="C1907" s="3" t="s">
        <v>4873</v>
      </c>
      <c r="D1907" s="3" t="s">
        <v>4874</v>
      </c>
      <c r="E1907" s="3" t="s">
        <v>120</v>
      </c>
      <c r="F1907" s="3">
        <v>39.98</v>
      </c>
      <c r="G1907" s="3" t="s">
        <v>121</v>
      </c>
      <c r="H1907" s="3"/>
      <c r="I1907" s="3" t="s">
        <v>122</v>
      </c>
      <c r="J1907" s="3">
        <v>3</v>
      </c>
      <c r="K1907" s="3">
        <v>3</v>
      </c>
      <c r="L1907" s="3">
        <v>0</v>
      </c>
      <c r="M1907" s="3">
        <v>0</v>
      </c>
      <c r="N1907" s="3">
        <v>3</v>
      </c>
      <c r="O1907" s="3">
        <v>0.21</v>
      </c>
      <c r="P1907" s="3">
        <v>0</v>
      </c>
      <c r="Q1907" s="3">
        <v>0</v>
      </c>
      <c r="R1907" s="3">
        <v>0</v>
      </c>
    </row>
    <row r="1908" spans="1:18">
      <c r="A1908" s="3" t="s">
        <v>4875</v>
      </c>
      <c r="B1908" s="3" t="s">
        <v>4876</v>
      </c>
      <c r="C1908" s="3" t="s">
        <v>4876</v>
      </c>
      <c r="D1908" s="3" t="s">
        <v>4877</v>
      </c>
      <c r="E1908" s="3" t="s">
        <v>120</v>
      </c>
      <c r="F1908" s="3">
        <v>39.98</v>
      </c>
      <c r="G1908" s="3" t="s">
        <v>121</v>
      </c>
      <c r="H1908" s="3"/>
      <c r="I1908" s="3" t="s">
        <v>122</v>
      </c>
      <c r="J1908" s="3">
        <v>0</v>
      </c>
      <c r="K1908" s="3">
        <v>0</v>
      </c>
      <c r="L1908" s="3">
        <v>0</v>
      </c>
      <c r="M1908" s="3">
        <v>0</v>
      </c>
      <c r="N1908" s="3">
        <v>0</v>
      </c>
      <c r="O1908" s="3">
        <v>0.21</v>
      </c>
      <c r="P1908" s="3">
        <v>0</v>
      </c>
      <c r="Q1908" s="3">
        <v>0</v>
      </c>
      <c r="R1908" s="3">
        <v>0</v>
      </c>
    </row>
    <row r="1909" spans="1:18">
      <c r="A1909" s="3" t="s">
        <v>4878</v>
      </c>
      <c r="B1909" s="3" t="s">
        <v>4879</v>
      </c>
      <c r="C1909" s="3" t="s">
        <v>4879</v>
      </c>
      <c r="D1909" s="3" t="s">
        <v>4880</v>
      </c>
      <c r="E1909" s="3" t="s">
        <v>120</v>
      </c>
      <c r="F1909" s="3">
        <v>39.98</v>
      </c>
      <c r="G1909" s="3" t="s">
        <v>121</v>
      </c>
      <c r="H1909" s="3"/>
      <c r="I1909" s="3" t="s">
        <v>122</v>
      </c>
      <c r="J1909" s="3">
        <v>8</v>
      </c>
      <c r="K1909" s="3">
        <v>8</v>
      </c>
      <c r="L1909" s="3">
        <v>0</v>
      </c>
      <c r="M1909" s="3">
        <v>0</v>
      </c>
      <c r="N1909" s="3">
        <v>8</v>
      </c>
      <c r="O1909" s="3">
        <v>0.21</v>
      </c>
      <c r="P1909" s="3">
        <v>0</v>
      </c>
      <c r="Q1909" s="3">
        <v>0</v>
      </c>
      <c r="R1909" s="3">
        <v>0</v>
      </c>
    </row>
    <row r="1910" spans="1:18">
      <c r="A1910" s="3" t="s">
        <v>4881</v>
      </c>
      <c r="B1910" s="3" t="s">
        <v>4882</v>
      </c>
      <c r="C1910" s="3" t="s">
        <v>4882</v>
      </c>
      <c r="D1910" s="3" t="s">
        <v>4880</v>
      </c>
      <c r="E1910" s="3" t="s">
        <v>120</v>
      </c>
      <c r="F1910" s="3">
        <v>39.98</v>
      </c>
      <c r="G1910" s="3" t="s">
        <v>121</v>
      </c>
      <c r="H1910" s="3"/>
      <c r="I1910" s="3" t="s">
        <v>122</v>
      </c>
      <c r="J1910" s="3">
        <v>9</v>
      </c>
      <c r="K1910" s="3">
        <v>9</v>
      </c>
      <c r="L1910" s="3">
        <v>0</v>
      </c>
      <c r="M1910" s="3">
        <v>0</v>
      </c>
      <c r="N1910" s="3">
        <v>9</v>
      </c>
      <c r="O1910" s="3">
        <v>0.21</v>
      </c>
      <c r="P1910" s="3">
        <v>0</v>
      </c>
      <c r="Q1910" s="3">
        <v>0</v>
      </c>
      <c r="R1910" s="3">
        <v>0</v>
      </c>
    </row>
    <row r="1911" spans="1:18">
      <c r="A1911" s="3" t="s">
        <v>4883</v>
      </c>
      <c r="B1911" s="3" t="s">
        <v>4884</v>
      </c>
      <c r="C1911" s="3" t="s">
        <v>4884</v>
      </c>
      <c r="D1911" s="3" t="s">
        <v>4885</v>
      </c>
      <c r="E1911" s="3" t="s">
        <v>120</v>
      </c>
      <c r="F1911" s="3">
        <v>39.98</v>
      </c>
      <c r="G1911" s="3" t="s">
        <v>121</v>
      </c>
      <c r="H1911" s="3"/>
      <c r="I1911" s="3" t="s">
        <v>122</v>
      </c>
      <c r="J1911" s="3">
        <v>5</v>
      </c>
      <c r="K1911" s="3">
        <v>5</v>
      </c>
      <c r="L1911" s="3">
        <v>0</v>
      </c>
      <c r="M1911" s="3">
        <v>0</v>
      </c>
      <c r="N1911" s="3">
        <v>5</v>
      </c>
      <c r="O1911" s="3">
        <v>0.21</v>
      </c>
      <c r="P1911" s="3">
        <v>0</v>
      </c>
      <c r="Q1911" s="3">
        <v>0</v>
      </c>
      <c r="R1911" s="3">
        <v>0</v>
      </c>
    </row>
    <row r="1912" spans="1:18">
      <c r="A1912" s="3" t="s">
        <v>4886</v>
      </c>
      <c r="B1912" s="3" t="s">
        <v>4887</v>
      </c>
      <c r="C1912" s="3" t="s">
        <v>4887</v>
      </c>
      <c r="D1912" s="3" t="s">
        <v>4888</v>
      </c>
      <c r="E1912" s="3" t="s">
        <v>120</v>
      </c>
      <c r="F1912" s="3">
        <v>10</v>
      </c>
      <c r="G1912" s="3" t="s">
        <v>121</v>
      </c>
      <c r="H1912" s="3"/>
      <c r="I1912" s="3" t="s">
        <v>122</v>
      </c>
      <c r="J1912" s="3">
        <v>6</v>
      </c>
      <c r="K1912" s="3">
        <v>6</v>
      </c>
      <c r="L1912" s="3">
        <v>0</v>
      </c>
      <c r="M1912" s="3">
        <v>0</v>
      </c>
      <c r="N1912" s="3">
        <v>6</v>
      </c>
      <c r="O1912" s="3">
        <v>0.16</v>
      </c>
      <c r="P1912" s="3">
        <v>0</v>
      </c>
      <c r="Q1912" s="3">
        <v>0</v>
      </c>
      <c r="R1912" s="3">
        <v>0</v>
      </c>
    </row>
    <row r="1913" spans="1:18">
      <c r="A1913" s="3" t="s">
        <v>4889</v>
      </c>
      <c r="B1913" s="3" t="s">
        <v>4890</v>
      </c>
      <c r="C1913" s="3" t="s">
        <v>4771</v>
      </c>
      <c r="D1913" s="3" t="s">
        <v>4891</v>
      </c>
      <c r="E1913" s="3" t="s">
        <v>120</v>
      </c>
      <c r="F1913" s="3">
        <v>22.98</v>
      </c>
      <c r="G1913" s="3" t="s">
        <v>121</v>
      </c>
      <c r="H1913" s="3"/>
      <c r="I1913" s="3" t="s">
        <v>122</v>
      </c>
      <c r="J1913" s="3">
        <v>0</v>
      </c>
      <c r="K1913" s="3">
        <v>0</v>
      </c>
      <c r="L1913" s="3">
        <v>0</v>
      </c>
      <c r="M1913" s="3">
        <v>0</v>
      </c>
      <c r="N1913" s="3">
        <v>0</v>
      </c>
      <c r="O1913" s="3">
        <v>0.07</v>
      </c>
      <c r="P1913" s="3">
        <v>0</v>
      </c>
      <c r="Q1913" s="3">
        <v>0</v>
      </c>
      <c r="R1913" s="3">
        <v>0</v>
      </c>
    </row>
    <row r="1914" spans="1:18">
      <c r="A1914" s="3" t="s">
        <v>4892</v>
      </c>
      <c r="B1914" s="3" t="s">
        <v>4893</v>
      </c>
      <c r="C1914" s="3" t="s">
        <v>4773</v>
      </c>
      <c r="D1914" s="3" t="s">
        <v>4894</v>
      </c>
      <c r="E1914" s="3" t="s">
        <v>120</v>
      </c>
      <c r="F1914" s="3">
        <v>22.98</v>
      </c>
      <c r="G1914" s="3" t="s">
        <v>121</v>
      </c>
      <c r="H1914" s="3"/>
      <c r="I1914" s="3" t="s">
        <v>122</v>
      </c>
      <c r="J1914" s="3">
        <v>0</v>
      </c>
      <c r="K1914" s="3">
        <v>0</v>
      </c>
      <c r="L1914" s="3">
        <v>0</v>
      </c>
      <c r="M1914" s="3">
        <v>0</v>
      </c>
      <c r="N1914" s="3">
        <v>0</v>
      </c>
      <c r="O1914" s="3">
        <v>0.07</v>
      </c>
      <c r="P1914" s="3">
        <v>0</v>
      </c>
      <c r="Q1914" s="3">
        <v>0</v>
      </c>
      <c r="R1914" s="3">
        <v>0</v>
      </c>
    </row>
    <row r="1915" spans="1:18">
      <c r="A1915" s="3" t="s">
        <v>4895</v>
      </c>
      <c r="B1915" s="3" t="s">
        <v>4896</v>
      </c>
      <c r="C1915" s="3" t="s">
        <v>4775</v>
      </c>
      <c r="D1915" s="3" t="s">
        <v>4897</v>
      </c>
      <c r="E1915" s="3" t="s">
        <v>120</v>
      </c>
      <c r="F1915" s="3">
        <v>22.98</v>
      </c>
      <c r="G1915" s="3" t="s">
        <v>121</v>
      </c>
      <c r="H1915" s="3"/>
      <c r="I1915" s="3" t="s">
        <v>122</v>
      </c>
      <c r="J1915" s="3">
        <v>0</v>
      </c>
      <c r="K1915" s="3">
        <v>0</v>
      </c>
      <c r="L1915" s="3">
        <v>0</v>
      </c>
      <c r="M1915" s="3">
        <v>0</v>
      </c>
      <c r="N1915" s="3">
        <v>0</v>
      </c>
      <c r="O1915" s="3">
        <v>0.07</v>
      </c>
      <c r="P1915" s="3">
        <v>0</v>
      </c>
      <c r="Q1915" s="3">
        <v>0</v>
      </c>
      <c r="R1915" s="3">
        <v>0</v>
      </c>
    </row>
    <row r="1916" spans="1:18">
      <c r="A1916" s="3" t="s">
        <v>4898</v>
      </c>
      <c r="B1916" s="3" t="s">
        <v>4899</v>
      </c>
      <c r="C1916" s="3" t="s">
        <v>4777</v>
      </c>
      <c r="D1916" s="3" t="s">
        <v>4900</v>
      </c>
      <c r="E1916" s="3" t="s">
        <v>120</v>
      </c>
      <c r="F1916" s="3">
        <v>22.98</v>
      </c>
      <c r="G1916" s="3" t="s">
        <v>121</v>
      </c>
      <c r="H1916" s="3"/>
      <c r="I1916" s="3" t="s">
        <v>122</v>
      </c>
      <c r="J1916" s="3">
        <v>0</v>
      </c>
      <c r="K1916" s="3">
        <v>0</v>
      </c>
      <c r="L1916" s="3">
        <v>0</v>
      </c>
      <c r="M1916" s="3">
        <v>0</v>
      </c>
      <c r="N1916" s="3">
        <v>0</v>
      </c>
      <c r="O1916" s="3">
        <v>0.07</v>
      </c>
      <c r="P1916" s="3">
        <v>0</v>
      </c>
      <c r="Q1916" s="3">
        <v>0</v>
      </c>
      <c r="R1916" s="3">
        <v>0</v>
      </c>
    </row>
    <row r="1917" spans="1:18">
      <c r="A1917" s="3" t="s">
        <v>4901</v>
      </c>
      <c r="B1917" s="3" t="s">
        <v>4902</v>
      </c>
      <c r="C1917" s="3" t="s">
        <v>4779</v>
      </c>
      <c r="D1917" s="3" t="s">
        <v>4780</v>
      </c>
      <c r="E1917" s="3" t="s">
        <v>120</v>
      </c>
      <c r="F1917" s="3">
        <v>22.98</v>
      </c>
      <c r="G1917" s="3" t="s">
        <v>121</v>
      </c>
      <c r="H1917" s="3"/>
      <c r="I1917" s="3" t="s">
        <v>122</v>
      </c>
      <c r="J1917" s="3">
        <v>0</v>
      </c>
      <c r="K1917" s="3">
        <v>0</v>
      </c>
      <c r="L1917" s="3">
        <v>0</v>
      </c>
      <c r="M1917" s="3">
        <v>0</v>
      </c>
      <c r="N1917" s="3">
        <v>0</v>
      </c>
      <c r="O1917" s="3">
        <v>0.07</v>
      </c>
      <c r="P1917" s="3">
        <v>0</v>
      </c>
      <c r="Q1917" s="3">
        <v>0</v>
      </c>
      <c r="R1917" s="3">
        <v>0</v>
      </c>
    </row>
    <row r="1918" spans="1:18">
      <c r="A1918" s="3" t="s">
        <v>4903</v>
      </c>
      <c r="B1918" s="3" t="s">
        <v>4904</v>
      </c>
      <c r="C1918" s="3" t="s">
        <v>4782</v>
      </c>
      <c r="D1918" s="3" t="s">
        <v>4905</v>
      </c>
      <c r="E1918" s="3" t="s">
        <v>120</v>
      </c>
      <c r="F1918" s="3">
        <v>22.98</v>
      </c>
      <c r="G1918" s="3" t="s">
        <v>121</v>
      </c>
      <c r="H1918" s="3"/>
      <c r="I1918" s="3" t="s">
        <v>122</v>
      </c>
      <c r="J1918" s="3">
        <v>0</v>
      </c>
      <c r="K1918" s="3">
        <v>0</v>
      </c>
      <c r="L1918" s="3">
        <v>0</v>
      </c>
      <c r="M1918" s="3">
        <v>0</v>
      </c>
      <c r="N1918" s="3">
        <v>0</v>
      </c>
      <c r="O1918" s="3">
        <v>0.07</v>
      </c>
      <c r="P1918" s="3">
        <v>0</v>
      </c>
      <c r="Q1918" s="3">
        <v>0</v>
      </c>
      <c r="R1918" s="3">
        <v>0</v>
      </c>
    </row>
    <row r="1919" spans="1:18">
      <c r="A1919" s="3" t="s">
        <v>4906</v>
      </c>
      <c r="B1919" s="3" t="s">
        <v>4907</v>
      </c>
      <c r="C1919" s="3" t="s">
        <v>4784</v>
      </c>
      <c r="D1919" s="3" t="s">
        <v>4908</v>
      </c>
      <c r="E1919" s="3" t="s">
        <v>120</v>
      </c>
      <c r="F1919" s="3">
        <v>22.98</v>
      </c>
      <c r="G1919" s="3" t="s">
        <v>121</v>
      </c>
      <c r="H1919" s="3"/>
      <c r="I1919" s="3" t="s">
        <v>122</v>
      </c>
      <c r="J1919" s="3">
        <v>0</v>
      </c>
      <c r="K1919" s="3">
        <v>0</v>
      </c>
      <c r="L1919" s="3">
        <v>0</v>
      </c>
      <c r="M1919" s="3">
        <v>0</v>
      </c>
      <c r="N1919" s="3">
        <v>0</v>
      </c>
      <c r="O1919" s="3">
        <v>0.07</v>
      </c>
      <c r="P1919" s="3">
        <v>0</v>
      </c>
      <c r="Q1919" s="3">
        <v>0</v>
      </c>
      <c r="R1919" s="3">
        <v>0</v>
      </c>
    </row>
    <row r="1920" spans="1:18">
      <c r="A1920" s="3" t="s">
        <v>4909</v>
      </c>
      <c r="B1920" s="3" t="s">
        <v>4910</v>
      </c>
      <c r="C1920" s="3" t="s">
        <v>4786</v>
      </c>
      <c r="D1920" s="3" t="s">
        <v>4911</v>
      </c>
      <c r="E1920" s="3" t="s">
        <v>120</v>
      </c>
      <c r="F1920" s="3">
        <v>22.98</v>
      </c>
      <c r="G1920" s="3" t="s">
        <v>121</v>
      </c>
      <c r="H1920" s="3"/>
      <c r="I1920" s="3" t="s">
        <v>122</v>
      </c>
      <c r="J1920" s="3">
        <v>0</v>
      </c>
      <c r="K1920" s="3">
        <v>0</v>
      </c>
      <c r="L1920" s="3">
        <v>0</v>
      </c>
      <c r="M1920" s="3">
        <v>0</v>
      </c>
      <c r="N1920" s="3">
        <v>0</v>
      </c>
      <c r="O1920" s="3">
        <v>0.07</v>
      </c>
      <c r="P1920" s="3">
        <v>0</v>
      </c>
      <c r="Q1920" s="3">
        <v>0</v>
      </c>
      <c r="R1920" s="3">
        <v>0</v>
      </c>
    </row>
    <row r="1921" spans="1:18">
      <c r="A1921" s="3" t="s">
        <v>4912</v>
      </c>
      <c r="B1921" s="3" t="s">
        <v>4913</v>
      </c>
      <c r="C1921" s="3" t="s">
        <v>4788</v>
      </c>
      <c r="D1921" s="3" t="s">
        <v>4914</v>
      </c>
      <c r="E1921" s="3" t="s">
        <v>120</v>
      </c>
      <c r="F1921" s="3">
        <v>22.98</v>
      </c>
      <c r="G1921" s="3" t="s">
        <v>121</v>
      </c>
      <c r="H1921" s="3"/>
      <c r="I1921" s="3" t="s">
        <v>122</v>
      </c>
      <c r="J1921" s="3">
        <v>5</v>
      </c>
      <c r="K1921" s="3">
        <v>5</v>
      </c>
      <c r="L1921" s="3">
        <v>0</v>
      </c>
      <c r="M1921" s="3">
        <v>0</v>
      </c>
      <c r="N1921" s="3">
        <v>5</v>
      </c>
      <c r="O1921" s="3">
        <v>0.07</v>
      </c>
      <c r="P1921" s="3">
        <v>0</v>
      </c>
      <c r="Q1921" s="3">
        <v>0</v>
      </c>
      <c r="R1921" s="3">
        <v>0</v>
      </c>
    </row>
    <row r="1922" spans="1:18">
      <c r="A1922" s="3" t="s">
        <v>4915</v>
      </c>
      <c r="B1922" s="3" t="s">
        <v>4916</v>
      </c>
      <c r="C1922" s="3" t="s">
        <v>4790</v>
      </c>
      <c r="D1922" s="3" t="s">
        <v>4917</v>
      </c>
      <c r="E1922" s="3" t="s">
        <v>120</v>
      </c>
      <c r="F1922" s="3">
        <v>22.98</v>
      </c>
      <c r="G1922" s="3" t="s">
        <v>121</v>
      </c>
      <c r="H1922" s="3"/>
      <c r="I1922" s="3" t="s">
        <v>122</v>
      </c>
      <c r="J1922" s="3">
        <v>0</v>
      </c>
      <c r="K1922" s="3">
        <v>0</v>
      </c>
      <c r="L1922" s="3">
        <v>0</v>
      </c>
      <c r="M1922" s="3">
        <v>0</v>
      </c>
      <c r="N1922" s="3">
        <v>0</v>
      </c>
      <c r="O1922" s="3">
        <v>0.07</v>
      </c>
      <c r="P1922" s="3">
        <v>0</v>
      </c>
      <c r="Q1922" s="3">
        <v>0</v>
      </c>
      <c r="R1922" s="3">
        <v>0</v>
      </c>
    </row>
    <row r="1923" spans="1:18">
      <c r="A1923" s="3" t="s">
        <v>4918</v>
      </c>
      <c r="B1923" s="3" t="s">
        <v>4919</v>
      </c>
      <c r="C1923" s="3" t="s">
        <v>4792</v>
      </c>
      <c r="D1923" s="3" t="s">
        <v>4793</v>
      </c>
      <c r="E1923" s="3" t="s">
        <v>120</v>
      </c>
      <c r="F1923" s="3">
        <v>22.98</v>
      </c>
      <c r="G1923" s="3" t="s">
        <v>121</v>
      </c>
      <c r="H1923" s="3"/>
      <c r="I1923" s="3" t="s">
        <v>122</v>
      </c>
      <c r="J1923" s="3">
        <v>0</v>
      </c>
      <c r="K1923" s="3">
        <v>0</v>
      </c>
      <c r="L1923" s="3">
        <v>0</v>
      </c>
      <c r="M1923" s="3">
        <v>0</v>
      </c>
      <c r="N1923" s="3">
        <v>0</v>
      </c>
      <c r="O1923" s="3">
        <v>0.06</v>
      </c>
      <c r="P1923" s="3">
        <v>0</v>
      </c>
      <c r="Q1923" s="3">
        <v>0</v>
      </c>
      <c r="R1923" s="3">
        <v>0</v>
      </c>
    </row>
    <row r="1924" spans="1:18">
      <c r="A1924" s="3" t="s">
        <v>4920</v>
      </c>
      <c r="B1924" s="3" t="s">
        <v>4921</v>
      </c>
      <c r="C1924" s="3" t="s">
        <v>4795</v>
      </c>
      <c r="D1924" s="3" t="s">
        <v>4796</v>
      </c>
      <c r="E1924" s="3" t="s">
        <v>120</v>
      </c>
      <c r="F1924" s="3">
        <v>22.98</v>
      </c>
      <c r="G1924" s="3" t="s">
        <v>121</v>
      </c>
      <c r="H1924" s="3"/>
      <c r="I1924" s="3" t="s">
        <v>122</v>
      </c>
      <c r="J1924" s="3">
        <v>5</v>
      </c>
      <c r="K1924" s="3">
        <v>5</v>
      </c>
      <c r="L1924" s="3">
        <v>0</v>
      </c>
      <c r="M1924" s="3">
        <v>0</v>
      </c>
      <c r="N1924" s="3">
        <v>5</v>
      </c>
      <c r="O1924" s="3">
        <v>0.07</v>
      </c>
      <c r="P1924" s="3">
        <v>0</v>
      </c>
      <c r="Q1924" s="3">
        <v>0</v>
      </c>
      <c r="R1924" s="3">
        <v>0</v>
      </c>
    </row>
    <row r="1925" spans="1:18">
      <c r="A1925" s="3" t="s">
        <v>4922</v>
      </c>
      <c r="B1925" s="3" t="s">
        <v>4923</v>
      </c>
      <c r="C1925" s="3" t="s">
        <v>4924</v>
      </c>
      <c r="D1925" s="3" t="s">
        <v>4799</v>
      </c>
      <c r="E1925" s="3" t="s">
        <v>120</v>
      </c>
      <c r="F1925" s="3">
        <v>22.98</v>
      </c>
      <c r="G1925" s="3" t="s">
        <v>121</v>
      </c>
      <c r="H1925" s="3"/>
      <c r="I1925" s="3" t="s">
        <v>122</v>
      </c>
      <c r="J1925" s="3">
        <v>8</v>
      </c>
      <c r="K1925" s="3">
        <v>8</v>
      </c>
      <c r="L1925" s="3">
        <v>0</v>
      </c>
      <c r="M1925" s="3">
        <v>0</v>
      </c>
      <c r="N1925" s="3">
        <v>8</v>
      </c>
      <c r="O1925" s="3">
        <v>0.04</v>
      </c>
      <c r="P1925" s="3">
        <v>0</v>
      </c>
      <c r="Q1925" s="3">
        <v>0</v>
      </c>
      <c r="R1925" s="3">
        <v>0</v>
      </c>
    </row>
    <row r="1926" spans="1:18">
      <c r="A1926" s="3" t="s">
        <v>4925</v>
      </c>
      <c r="B1926" s="3" t="s">
        <v>4926</v>
      </c>
      <c r="C1926" s="3" t="s">
        <v>4801</v>
      </c>
      <c r="D1926" s="3" t="s">
        <v>4802</v>
      </c>
      <c r="E1926" s="3" t="s">
        <v>120</v>
      </c>
      <c r="F1926" s="3">
        <v>21.98</v>
      </c>
      <c r="G1926" s="3" t="s">
        <v>121</v>
      </c>
      <c r="H1926" s="3"/>
      <c r="I1926" s="3" t="s">
        <v>122</v>
      </c>
      <c r="J1926" s="3">
        <v>3</v>
      </c>
      <c r="K1926" s="3">
        <v>3</v>
      </c>
      <c r="L1926" s="3">
        <v>0</v>
      </c>
      <c r="M1926" s="3">
        <v>0</v>
      </c>
      <c r="N1926" s="3">
        <v>6</v>
      </c>
      <c r="O1926" s="3">
        <v>0.07</v>
      </c>
      <c r="P1926" s="3">
        <v>0</v>
      </c>
      <c r="Q1926" s="3">
        <v>3</v>
      </c>
      <c r="R1926" s="3">
        <v>0</v>
      </c>
    </row>
    <row r="1927" spans="1:18">
      <c r="A1927" s="3" t="s">
        <v>4927</v>
      </c>
      <c r="B1927" s="3" t="s">
        <v>4928</v>
      </c>
      <c r="C1927" s="3" t="s">
        <v>4804</v>
      </c>
      <c r="D1927" s="3" t="s">
        <v>4805</v>
      </c>
      <c r="E1927" s="3" t="s">
        <v>120</v>
      </c>
      <c r="F1927" s="3">
        <v>22.98</v>
      </c>
      <c r="G1927" s="3" t="s">
        <v>121</v>
      </c>
      <c r="H1927" s="3"/>
      <c r="I1927" s="3" t="s">
        <v>122</v>
      </c>
      <c r="J1927" s="3">
        <v>0</v>
      </c>
      <c r="K1927" s="3">
        <v>0</v>
      </c>
      <c r="L1927" s="3">
        <v>0</v>
      </c>
      <c r="M1927" s="3">
        <v>0</v>
      </c>
      <c r="N1927" s="3">
        <v>0</v>
      </c>
      <c r="O1927" s="3">
        <v>0.06</v>
      </c>
      <c r="P1927" s="3">
        <v>0</v>
      </c>
      <c r="Q1927" s="3">
        <v>0</v>
      </c>
      <c r="R1927" s="3">
        <v>0</v>
      </c>
    </row>
    <row r="1928" spans="1:18">
      <c r="A1928" s="3" t="s">
        <v>4929</v>
      </c>
      <c r="B1928" s="3" t="s">
        <v>4930</v>
      </c>
      <c r="C1928" s="3" t="s">
        <v>4807</v>
      </c>
      <c r="D1928" s="3" t="s">
        <v>4931</v>
      </c>
      <c r="E1928" s="3" t="s">
        <v>120</v>
      </c>
      <c r="F1928" s="3">
        <v>22.98</v>
      </c>
      <c r="G1928" s="3" t="s">
        <v>121</v>
      </c>
      <c r="H1928" s="3"/>
      <c r="I1928" s="3" t="s">
        <v>122</v>
      </c>
      <c r="J1928" s="3">
        <v>0</v>
      </c>
      <c r="K1928" s="3">
        <v>0</v>
      </c>
      <c r="L1928" s="3">
        <v>0</v>
      </c>
      <c r="M1928" s="3">
        <v>0</v>
      </c>
      <c r="N1928" s="3">
        <v>0</v>
      </c>
      <c r="O1928" s="3">
        <v>0.07</v>
      </c>
      <c r="P1928" s="3">
        <v>0</v>
      </c>
      <c r="Q1928" s="3">
        <v>0</v>
      </c>
      <c r="R1928" s="3">
        <v>0</v>
      </c>
    </row>
    <row r="1929" spans="1:18">
      <c r="A1929" s="3" t="s">
        <v>4932</v>
      </c>
      <c r="B1929" s="3" t="s">
        <v>4933</v>
      </c>
      <c r="C1929" s="3" t="s">
        <v>4809</v>
      </c>
      <c r="D1929" s="3" t="s">
        <v>4934</v>
      </c>
      <c r="E1929" s="3" t="s">
        <v>120</v>
      </c>
      <c r="F1929" s="3">
        <v>22.98</v>
      </c>
      <c r="G1929" s="3" t="s">
        <v>121</v>
      </c>
      <c r="H1929" s="3"/>
      <c r="I1929" s="3" t="s">
        <v>122</v>
      </c>
      <c r="J1929" s="3">
        <v>0</v>
      </c>
      <c r="K1929" s="3">
        <v>0</v>
      </c>
      <c r="L1929" s="3">
        <v>0</v>
      </c>
      <c r="M1929" s="3">
        <v>0</v>
      </c>
      <c r="N1929" s="3">
        <v>0</v>
      </c>
      <c r="O1929" s="3">
        <v>0.07</v>
      </c>
      <c r="P1929" s="3">
        <v>0</v>
      </c>
      <c r="Q1929" s="3">
        <v>0</v>
      </c>
      <c r="R1929" s="3">
        <v>0</v>
      </c>
    </row>
    <row r="1930" spans="1:18">
      <c r="A1930" s="3" t="s">
        <v>4935</v>
      </c>
      <c r="B1930" s="3" t="s">
        <v>4936</v>
      </c>
      <c r="C1930" s="3" t="s">
        <v>4811</v>
      </c>
      <c r="D1930" s="3" t="s">
        <v>4937</v>
      </c>
      <c r="E1930" s="3" t="s">
        <v>120</v>
      </c>
      <c r="F1930" s="3">
        <v>22.98</v>
      </c>
      <c r="G1930" s="3" t="s">
        <v>121</v>
      </c>
      <c r="H1930" s="3"/>
      <c r="I1930" s="3" t="s">
        <v>122</v>
      </c>
      <c r="J1930" s="3">
        <v>0</v>
      </c>
      <c r="K1930" s="3">
        <v>0</v>
      </c>
      <c r="L1930" s="3">
        <v>0</v>
      </c>
      <c r="M1930" s="3">
        <v>0</v>
      </c>
      <c r="N1930" s="3">
        <v>0</v>
      </c>
      <c r="O1930" s="3">
        <v>0.07</v>
      </c>
      <c r="P1930" s="3">
        <v>0</v>
      </c>
      <c r="Q1930" s="3">
        <v>0</v>
      </c>
      <c r="R1930" s="3">
        <v>0</v>
      </c>
    </row>
    <row r="1931" spans="1:18">
      <c r="A1931" s="3" t="s">
        <v>4938</v>
      </c>
      <c r="B1931" s="3" t="s">
        <v>4939</v>
      </c>
      <c r="C1931" s="3" t="s">
        <v>4813</v>
      </c>
      <c r="D1931" s="3" t="s">
        <v>4940</v>
      </c>
      <c r="E1931" s="3" t="s">
        <v>120</v>
      </c>
      <c r="F1931" s="3">
        <v>22.98</v>
      </c>
      <c r="G1931" s="3" t="s">
        <v>121</v>
      </c>
      <c r="H1931" s="3"/>
      <c r="I1931" s="3" t="s">
        <v>122</v>
      </c>
      <c r="J1931" s="3">
        <v>4</v>
      </c>
      <c r="K1931" s="3">
        <v>4</v>
      </c>
      <c r="L1931" s="3">
        <v>0</v>
      </c>
      <c r="M1931" s="3">
        <v>0</v>
      </c>
      <c r="N1931" s="3">
        <v>5</v>
      </c>
      <c r="O1931" s="3">
        <v>0.07</v>
      </c>
      <c r="P1931" s="3">
        <v>0</v>
      </c>
      <c r="Q1931" s="3">
        <v>1</v>
      </c>
      <c r="R1931" s="3">
        <v>0</v>
      </c>
    </row>
    <row r="1932" spans="1:18">
      <c r="A1932" s="3" t="s">
        <v>4941</v>
      </c>
      <c r="B1932" s="3" t="s">
        <v>4942</v>
      </c>
      <c r="C1932" s="3" t="s">
        <v>4815</v>
      </c>
      <c r="D1932" s="3" t="s">
        <v>4943</v>
      </c>
      <c r="E1932" s="3" t="s">
        <v>120</v>
      </c>
      <c r="F1932" s="3">
        <v>22.98</v>
      </c>
      <c r="G1932" s="3" t="s">
        <v>121</v>
      </c>
      <c r="H1932" s="3"/>
      <c r="I1932" s="3" t="s">
        <v>122</v>
      </c>
      <c r="J1932" s="3">
        <v>0</v>
      </c>
      <c r="K1932" s="3">
        <v>0</v>
      </c>
      <c r="L1932" s="3">
        <v>0</v>
      </c>
      <c r="M1932" s="3">
        <v>0</v>
      </c>
      <c r="N1932" s="3">
        <v>0</v>
      </c>
      <c r="O1932" s="3">
        <v>0.07</v>
      </c>
      <c r="P1932" s="3">
        <v>0</v>
      </c>
      <c r="Q1932" s="3">
        <v>0</v>
      </c>
      <c r="R1932" s="3">
        <v>0</v>
      </c>
    </row>
    <row r="1933" spans="1:18">
      <c r="A1933" s="3" t="s">
        <v>4944</v>
      </c>
      <c r="B1933" s="3" t="s">
        <v>4945</v>
      </c>
      <c r="C1933" s="3" t="s">
        <v>4817</v>
      </c>
      <c r="D1933" s="3" t="s">
        <v>4946</v>
      </c>
      <c r="E1933" s="3" t="s">
        <v>120</v>
      </c>
      <c r="F1933" s="3">
        <v>22.98</v>
      </c>
      <c r="G1933" s="3" t="s">
        <v>121</v>
      </c>
      <c r="H1933" s="3"/>
      <c r="I1933" s="3" t="s">
        <v>122</v>
      </c>
      <c r="J1933" s="3">
        <v>0</v>
      </c>
      <c r="K1933" s="3">
        <v>0</v>
      </c>
      <c r="L1933" s="3">
        <v>0</v>
      </c>
      <c r="M1933" s="3">
        <v>0</v>
      </c>
      <c r="N1933" s="3">
        <v>0</v>
      </c>
      <c r="O1933" s="3">
        <v>0.07</v>
      </c>
      <c r="P1933" s="3">
        <v>0</v>
      </c>
      <c r="Q1933" s="3">
        <v>0</v>
      </c>
      <c r="R1933" s="3">
        <v>0</v>
      </c>
    </row>
    <row r="1934" spans="1:18">
      <c r="A1934" s="3" t="s">
        <v>4947</v>
      </c>
      <c r="B1934" s="3" t="s">
        <v>4948</v>
      </c>
      <c r="C1934" s="3" t="s">
        <v>4819</v>
      </c>
      <c r="D1934" s="3" t="s">
        <v>4949</v>
      </c>
      <c r="E1934" s="3" t="s">
        <v>120</v>
      </c>
      <c r="F1934" s="3">
        <v>22.98</v>
      </c>
      <c r="G1934" s="3" t="s">
        <v>121</v>
      </c>
      <c r="H1934" s="3"/>
      <c r="I1934" s="3" t="s">
        <v>122</v>
      </c>
      <c r="J1934" s="3">
        <v>0</v>
      </c>
      <c r="K1934" s="3">
        <v>0</v>
      </c>
      <c r="L1934" s="3">
        <v>0</v>
      </c>
      <c r="M1934" s="3">
        <v>0</v>
      </c>
      <c r="N1934" s="3">
        <v>0</v>
      </c>
      <c r="O1934" s="3">
        <v>0.07</v>
      </c>
      <c r="P1934" s="3">
        <v>0</v>
      </c>
      <c r="Q1934" s="3">
        <v>0</v>
      </c>
      <c r="R1934" s="3">
        <v>0</v>
      </c>
    </row>
    <row r="1935" spans="1:18">
      <c r="A1935" s="3" t="s">
        <v>4950</v>
      </c>
      <c r="B1935" s="3" t="s">
        <v>4951</v>
      </c>
      <c r="C1935" s="3" t="s">
        <v>4821</v>
      </c>
      <c r="D1935" s="3" t="s">
        <v>4952</v>
      </c>
      <c r="E1935" s="3" t="s">
        <v>120</v>
      </c>
      <c r="F1935" s="3">
        <v>22.98</v>
      </c>
      <c r="G1935" s="3" t="s">
        <v>121</v>
      </c>
      <c r="H1935" s="3"/>
      <c r="I1935" s="3" t="s">
        <v>122</v>
      </c>
      <c r="J1935" s="3">
        <v>9</v>
      </c>
      <c r="K1935" s="3">
        <v>9</v>
      </c>
      <c r="L1935" s="3">
        <v>0</v>
      </c>
      <c r="M1935" s="3">
        <v>0</v>
      </c>
      <c r="N1935" s="3">
        <v>9</v>
      </c>
      <c r="O1935" s="3">
        <v>0.07</v>
      </c>
      <c r="P1935" s="3">
        <v>0</v>
      </c>
      <c r="Q1935" s="3">
        <v>0</v>
      </c>
      <c r="R1935" s="3">
        <v>0</v>
      </c>
    </row>
    <row r="1936" spans="1:18">
      <c r="A1936" s="3" t="s">
        <v>4953</v>
      </c>
      <c r="B1936" s="3" t="s">
        <v>4954</v>
      </c>
      <c r="C1936" s="3" t="s">
        <v>4823</v>
      </c>
      <c r="D1936" s="3" t="s">
        <v>4955</v>
      </c>
      <c r="E1936" s="3" t="s">
        <v>120</v>
      </c>
      <c r="F1936" s="3">
        <v>22.98</v>
      </c>
      <c r="G1936" s="3" t="s">
        <v>121</v>
      </c>
      <c r="H1936" s="3"/>
      <c r="I1936" s="3" t="s">
        <v>122</v>
      </c>
      <c r="J1936" s="3">
        <v>0</v>
      </c>
      <c r="K1936" s="3">
        <v>0</v>
      </c>
      <c r="L1936" s="3">
        <v>0</v>
      </c>
      <c r="M1936" s="3">
        <v>0</v>
      </c>
      <c r="N1936" s="3">
        <v>0</v>
      </c>
      <c r="O1936" s="3">
        <v>0.07</v>
      </c>
      <c r="P1936" s="3">
        <v>0</v>
      </c>
      <c r="Q1936" s="3">
        <v>0</v>
      </c>
      <c r="R1936" s="3">
        <v>0</v>
      </c>
    </row>
    <row r="1937" spans="1:18">
      <c r="A1937" s="3" t="s">
        <v>4956</v>
      </c>
      <c r="B1937" s="3" t="s">
        <v>4957</v>
      </c>
      <c r="C1937" s="3" t="s">
        <v>4825</v>
      </c>
      <c r="D1937" s="3" t="s">
        <v>4958</v>
      </c>
      <c r="E1937" s="3" t="s">
        <v>120</v>
      </c>
      <c r="F1937" s="3">
        <v>22.98</v>
      </c>
      <c r="G1937" s="3" t="s">
        <v>121</v>
      </c>
      <c r="H1937" s="3"/>
      <c r="I1937" s="3" t="s">
        <v>122</v>
      </c>
      <c r="J1937" s="3">
        <v>0</v>
      </c>
      <c r="K1937" s="3">
        <v>0</v>
      </c>
      <c r="L1937" s="3">
        <v>0</v>
      </c>
      <c r="M1937" s="3">
        <v>0</v>
      </c>
      <c r="N1937" s="3">
        <v>0</v>
      </c>
      <c r="O1937" s="3">
        <v>0.07</v>
      </c>
      <c r="P1937" s="3">
        <v>0</v>
      </c>
      <c r="Q1937" s="3">
        <v>0</v>
      </c>
      <c r="R1937" s="3">
        <v>0</v>
      </c>
    </row>
    <row r="1938" spans="1:18">
      <c r="A1938" s="3" t="s">
        <v>4959</v>
      </c>
      <c r="B1938" s="3" t="s">
        <v>4960</v>
      </c>
      <c r="C1938" s="3" t="s">
        <v>4960</v>
      </c>
      <c r="D1938" s="3" t="s">
        <v>4961</v>
      </c>
      <c r="E1938" s="3" t="s">
        <v>120</v>
      </c>
      <c r="F1938" s="3">
        <v>19</v>
      </c>
      <c r="G1938" s="3" t="s">
        <v>121</v>
      </c>
      <c r="H1938" s="3"/>
      <c r="I1938" s="3" t="s">
        <v>122</v>
      </c>
      <c r="J1938" s="3">
        <v>0</v>
      </c>
      <c r="K1938" s="3">
        <v>0</v>
      </c>
      <c r="L1938" s="3">
        <v>0</v>
      </c>
      <c r="M1938" s="3">
        <v>0</v>
      </c>
      <c r="N1938" s="3">
        <v>0</v>
      </c>
      <c r="O1938" s="3">
        <v>0.06</v>
      </c>
      <c r="P1938" s="3">
        <v>0</v>
      </c>
      <c r="Q1938" s="3">
        <v>0</v>
      </c>
      <c r="R1938" s="3">
        <v>0</v>
      </c>
    </row>
    <row r="1939" spans="1:18">
      <c r="A1939" s="3" t="s">
        <v>4962</v>
      </c>
      <c r="B1939" s="3" t="s">
        <v>4963</v>
      </c>
      <c r="C1939" s="3" t="s">
        <v>4963</v>
      </c>
      <c r="D1939" s="3" t="s">
        <v>4964</v>
      </c>
      <c r="E1939" s="3" t="s">
        <v>120</v>
      </c>
      <c r="F1939" s="3">
        <v>20</v>
      </c>
      <c r="G1939" s="3" t="s">
        <v>121</v>
      </c>
      <c r="H1939" s="3"/>
      <c r="I1939" s="3" t="s">
        <v>122</v>
      </c>
      <c r="J1939" s="3">
        <v>0</v>
      </c>
      <c r="K1939" s="3">
        <v>0</v>
      </c>
      <c r="L1939" s="3">
        <v>0</v>
      </c>
      <c r="M1939" s="3">
        <v>0</v>
      </c>
      <c r="N1939" s="3">
        <v>0</v>
      </c>
      <c r="O1939" s="3">
        <v>0.06</v>
      </c>
      <c r="P1939" s="3">
        <v>0</v>
      </c>
      <c r="Q1939" s="3">
        <v>0</v>
      </c>
      <c r="R1939" s="3">
        <v>0</v>
      </c>
    </row>
    <row r="1940" spans="1:18">
      <c r="A1940" s="3" t="s">
        <v>4965</v>
      </c>
      <c r="B1940" s="3" t="s">
        <v>4966</v>
      </c>
      <c r="C1940" s="3" t="s">
        <v>4966</v>
      </c>
      <c r="D1940" s="3" t="s">
        <v>4967</v>
      </c>
      <c r="E1940" s="3" t="s">
        <v>120</v>
      </c>
      <c r="F1940" s="3">
        <v>21</v>
      </c>
      <c r="G1940" s="3" t="s">
        <v>121</v>
      </c>
      <c r="H1940" s="3"/>
      <c r="I1940" s="3" t="s">
        <v>122</v>
      </c>
      <c r="J1940" s="3">
        <v>0</v>
      </c>
      <c r="K1940" s="3">
        <v>0</v>
      </c>
      <c r="L1940" s="3">
        <v>0</v>
      </c>
      <c r="M1940" s="3">
        <v>0</v>
      </c>
      <c r="N1940" s="3">
        <v>0</v>
      </c>
      <c r="O1940" s="3">
        <v>0.06</v>
      </c>
      <c r="P1940" s="3">
        <v>0</v>
      </c>
      <c r="Q1940" s="3">
        <v>0</v>
      </c>
      <c r="R1940" s="3">
        <v>0</v>
      </c>
    </row>
    <row r="1941" spans="1:18">
      <c r="A1941" s="3" t="s">
        <v>4968</v>
      </c>
      <c r="B1941" s="3" t="s">
        <v>4969</v>
      </c>
      <c r="C1941" s="3" t="s">
        <v>4969</v>
      </c>
      <c r="D1941" s="3" t="s">
        <v>4970</v>
      </c>
      <c r="E1941" s="3" t="s">
        <v>120</v>
      </c>
      <c r="F1941" s="3">
        <v>22</v>
      </c>
      <c r="G1941" s="3" t="s">
        <v>121</v>
      </c>
      <c r="H1941" s="3"/>
      <c r="I1941" s="3" t="s">
        <v>122</v>
      </c>
      <c r="J1941" s="3">
        <v>0</v>
      </c>
      <c r="K1941" s="3">
        <v>0</v>
      </c>
      <c r="L1941" s="3">
        <v>0</v>
      </c>
      <c r="M1941" s="3">
        <v>0</v>
      </c>
      <c r="N1941" s="3">
        <v>0</v>
      </c>
      <c r="O1941" s="3">
        <v>0.06</v>
      </c>
      <c r="P1941" s="3">
        <v>0</v>
      </c>
      <c r="Q1941" s="3">
        <v>0</v>
      </c>
      <c r="R1941" s="3">
        <v>0</v>
      </c>
    </row>
    <row r="1942" spans="1:18">
      <c r="A1942" s="3" t="s">
        <v>4971</v>
      </c>
      <c r="B1942" s="3" t="s">
        <v>4972</v>
      </c>
      <c r="C1942" s="3" t="s">
        <v>4972</v>
      </c>
      <c r="D1942" s="3" t="s">
        <v>4973</v>
      </c>
      <c r="E1942" s="3" t="s">
        <v>120</v>
      </c>
      <c r="F1942" s="3">
        <v>23</v>
      </c>
      <c r="G1942" s="3" t="s">
        <v>121</v>
      </c>
      <c r="H1942" s="3"/>
      <c r="I1942" s="3" t="s">
        <v>122</v>
      </c>
      <c r="J1942" s="3">
        <v>0</v>
      </c>
      <c r="K1942" s="3">
        <v>0</v>
      </c>
      <c r="L1942" s="3">
        <v>0</v>
      </c>
      <c r="M1942" s="3">
        <v>0</v>
      </c>
      <c r="N1942" s="3">
        <v>0</v>
      </c>
      <c r="O1942" s="3">
        <v>0.06</v>
      </c>
      <c r="P1942" s="3">
        <v>0</v>
      </c>
      <c r="Q1942" s="3">
        <v>0</v>
      </c>
      <c r="R1942" s="3">
        <v>0</v>
      </c>
    </row>
    <row r="1943" spans="1:18">
      <c r="A1943" s="3" t="s">
        <v>4974</v>
      </c>
      <c r="B1943" s="3" t="s">
        <v>4975</v>
      </c>
      <c r="C1943" s="3" t="s">
        <v>4975</v>
      </c>
      <c r="D1943" s="3" t="s">
        <v>4976</v>
      </c>
      <c r="E1943" s="3" t="s">
        <v>120</v>
      </c>
      <c r="F1943" s="3">
        <v>35</v>
      </c>
      <c r="G1943" s="3" t="s">
        <v>121</v>
      </c>
      <c r="H1943" s="3"/>
      <c r="I1943" s="3" t="s">
        <v>122</v>
      </c>
      <c r="J1943" s="3">
        <v>2</v>
      </c>
      <c r="K1943" s="3">
        <v>2</v>
      </c>
      <c r="L1943" s="3">
        <v>0</v>
      </c>
      <c r="M1943" s="3">
        <v>0</v>
      </c>
      <c r="N1943" s="3">
        <v>2</v>
      </c>
      <c r="O1943" s="3">
        <v>0.06</v>
      </c>
      <c r="P1943" s="3">
        <v>0</v>
      </c>
      <c r="Q1943" s="3">
        <v>0</v>
      </c>
      <c r="R1943" s="3">
        <v>0</v>
      </c>
    </row>
    <row r="1944" spans="1:18">
      <c r="A1944" s="3" t="s">
        <v>4977</v>
      </c>
      <c r="B1944" s="3" t="s">
        <v>4978</v>
      </c>
      <c r="C1944" s="3" t="s">
        <v>4978</v>
      </c>
      <c r="D1944" s="3" t="s">
        <v>4979</v>
      </c>
      <c r="E1944" s="3" t="s">
        <v>120</v>
      </c>
      <c r="F1944" s="3">
        <v>35</v>
      </c>
      <c r="G1944" s="3" t="s">
        <v>121</v>
      </c>
      <c r="H1944" s="3"/>
      <c r="I1944" s="3" t="s">
        <v>122</v>
      </c>
      <c r="J1944" s="3">
        <v>2</v>
      </c>
      <c r="K1944" s="3">
        <v>2</v>
      </c>
      <c r="L1944" s="3">
        <v>0</v>
      </c>
      <c r="M1944" s="3">
        <v>0</v>
      </c>
      <c r="N1944" s="3">
        <v>2</v>
      </c>
      <c r="O1944" s="3">
        <v>0.06</v>
      </c>
      <c r="P1944" s="3">
        <v>0</v>
      </c>
      <c r="Q1944" s="3">
        <v>0</v>
      </c>
      <c r="R1944" s="3">
        <v>0</v>
      </c>
    </row>
    <row r="1945" spans="1:18">
      <c r="A1945" s="3" t="s">
        <v>4980</v>
      </c>
      <c r="B1945" s="3" t="s">
        <v>4981</v>
      </c>
      <c r="C1945" s="3" t="s">
        <v>4981</v>
      </c>
      <c r="D1945" s="3" t="s">
        <v>4982</v>
      </c>
      <c r="E1945" s="3" t="s">
        <v>120</v>
      </c>
      <c r="F1945" s="3">
        <v>35</v>
      </c>
      <c r="G1945" s="3" t="s">
        <v>121</v>
      </c>
      <c r="H1945" s="3"/>
      <c r="I1945" s="3" t="s">
        <v>122</v>
      </c>
      <c r="J1945" s="3">
        <v>0</v>
      </c>
      <c r="K1945" s="3">
        <v>0</v>
      </c>
      <c r="L1945" s="3">
        <v>0</v>
      </c>
      <c r="M1945" s="3">
        <v>0</v>
      </c>
      <c r="N1945" s="3">
        <v>0</v>
      </c>
      <c r="O1945" s="3">
        <v>0.06</v>
      </c>
      <c r="P1945" s="3">
        <v>0</v>
      </c>
      <c r="Q1945" s="3">
        <v>0</v>
      </c>
      <c r="R1945" s="3">
        <v>0</v>
      </c>
    </row>
    <row r="1946" spans="1:18">
      <c r="A1946" s="3" t="s">
        <v>4983</v>
      </c>
      <c r="B1946" s="3" t="s">
        <v>4984</v>
      </c>
      <c r="C1946" s="3" t="s">
        <v>4984</v>
      </c>
      <c r="D1946" s="3" t="s">
        <v>4985</v>
      </c>
      <c r="E1946" s="3" t="s">
        <v>120</v>
      </c>
      <c r="F1946" s="3">
        <v>35</v>
      </c>
      <c r="G1946" s="3" t="s">
        <v>121</v>
      </c>
      <c r="H1946" s="3"/>
      <c r="I1946" s="3" t="s">
        <v>122</v>
      </c>
      <c r="J1946" s="3">
        <v>2</v>
      </c>
      <c r="K1946" s="3">
        <v>2</v>
      </c>
      <c r="L1946" s="3">
        <v>0</v>
      </c>
      <c r="M1946" s="3">
        <v>0</v>
      </c>
      <c r="N1946" s="3">
        <v>2</v>
      </c>
      <c r="O1946" s="3">
        <v>0.06</v>
      </c>
      <c r="P1946" s="3">
        <v>0</v>
      </c>
      <c r="Q1946" s="3">
        <v>0</v>
      </c>
      <c r="R1946" s="3">
        <v>0</v>
      </c>
    </row>
    <row r="1947" spans="1:18">
      <c r="A1947" s="3" t="s">
        <v>4986</v>
      </c>
      <c r="B1947" s="3" t="s">
        <v>4987</v>
      </c>
      <c r="C1947" s="3" t="s">
        <v>4987</v>
      </c>
      <c r="D1947" s="3" t="s">
        <v>4988</v>
      </c>
      <c r="E1947" s="3" t="s">
        <v>120</v>
      </c>
      <c r="F1947" s="3">
        <v>35</v>
      </c>
      <c r="G1947" s="3" t="s">
        <v>121</v>
      </c>
      <c r="H1947" s="3"/>
      <c r="I1947" s="3" t="s">
        <v>122</v>
      </c>
      <c r="J1947" s="3">
        <v>3</v>
      </c>
      <c r="K1947" s="3">
        <v>3</v>
      </c>
      <c r="L1947" s="3">
        <v>0</v>
      </c>
      <c r="M1947" s="3">
        <v>0</v>
      </c>
      <c r="N1947" s="3">
        <v>3</v>
      </c>
      <c r="O1947" s="3">
        <v>0.06</v>
      </c>
      <c r="P1947" s="3">
        <v>0</v>
      </c>
      <c r="Q1947" s="3">
        <v>0</v>
      </c>
      <c r="R1947" s="3">
        <v>0</v>
      </c>
    </row>
    <row r="1948" spans="1:18">
      <c r="A1948" s="3" t="s">
        <v>4989</v>
      </c>
      <c r="B1948" s="3" t="s">
        <v>4990</v>
      </c>
      <c r="C1948" s="3" t="s">
        <v>4990</v>
      </c>
      <c r="D1948" s="3" t="s">
        <v>4991</v>
      </c>
      <c r="E1948" s="3" t="s">
        <v>120</v>
      </c>
      <c r="F1948" s="3">
        <v>35</v>
      </c>
      <c r="G1948" s="3" t="s">
        <v>121</v>
      </c>
      <c r="H1948" s="3"/>
      <c r="I1948" s="3" t="s">
        <v>122</v>
      </c>
      <c r="J1948" s="3">
        <v>1</v>
      </c>
      <c r="K1948" s="3">
        <v>1</v>
      </c>
      <c r="L1948" s="3">
        <v>0</v>
      </c>
      <c r="M1948" s="3">
        <v>0</v>
      </c>
      <c r="N1948" s="3">
        <v>1</v>
      </c>
      <c r="O1948" s="3">
        <v>0.06</v>
      </c>
      <c r="P1948" s="3">
        <v>0</v>
      </c>
      <c r="Q1948" s="3">
        <v>0</v>
      </c>
      <c r="R1948" s="3">
        <v>0</v>
      </c>
    </row>
    <row r="1949" spans="1:18">
      <c r="A1949" s="3" t="s">
        <v>4992</v>
      </c>
      <c r="B1949" s="3" t="s">
        <v>4993</v>
      </c>
      <c r="C1949" s="3" t="s">
        <v>4993</v>
      </c>
      <c r="D1949" s="3" t="s">
        <v>4994</v>
      </c>
      <c r="E1949" s="3" t="s">
        <v>120</v>
      </c>
      <c r="F1949" s="3">
        <v>35</v>
      </c>
      <c r="G1949" s="3" t="s">
        <v>121</v>
      </c>
      <c r="H1949" s="3"/>
      <c r="I1949" s="3" t="s">
        <v>122</v>
      </c>
      <c r="J1949" s="3">
        <v>2</v>
      </c>
      <c r="K1949" s="3">
        <v>2</v>
      </c>
      <c r="L1949" s="3">
        <v>0</v>
      </c>
      <c r="M1949" s="3">
        <v>0</v>
      </c>
      <c r="N1949" s="3">
        <v>2</v>
      </c>
      <c r="O1949" s="3">
        <v>0.06</v>
      </c>
      <c r="P1949" s="3">
        <v>0</v>
      </c>
      <c r="Q1949" s="3">
        <v>0</v>
      </c>
      <c r="R1949" s="3">
        <v>0</v>
      </c>
    </row>
    <row r="1950" spans="1:18">
      <c r="A1950" s="3" t="s">
        <v>4995</v>
      </c>
      <c r="B1950" s="3" t="s">
        <v>4996</v>
      </c>
      <c r="C1950" s="3" t="s">
        <v>4996</v>
      </c>
      <c r="D1950" s="3" t="s">
        <v>4997</v>
      </c>
      <c r="E1950" s="3" t="s">
        <v>120</v>
      </c>
      <c r="F1950" s="3">
        <v>35</v>
      </c>
      <c r="G1950" s="3" t="s">
        <v>121</v>
      </c>
      <c r="H1950" s="3"/>
      <c r="I1950" s="3" t="s">
        <v>122</v>
      </c>
      <c r="J1950" s="3">
        <v>3</v>
      </c>
      <c r="K1950" s="3">
        <v>3</v>
      </c>
      <c r="L1950" s="3">
        <v>0</v>
      </c>
      <c r="M1950" s="3">
        <v>0</v>
      </c>
      <c r="N1950" s="3">
        <v>3</v>
      </c>
      <c r="O1950" s="3">
        <v>0.06</v>
      </c>
      <c r="P1950" s="3">
        <v>0</v>
      </c>
      <c r="Q1950" s="3">
        <v>0</v>
      </c>
      <c r="R1950" s="3">
        <v>0</v>
      </c>
    </row>
    <row r="1951" spans="1:18">
      <c r="A1951" s="3" t="s">
        <v>4998</v>
      </c>
      <c r="B1951" s="3" t="s">
        <v>4999</v>
      </c>
      <c r="C1951" s="3" t="s">
        <v>4999</v>
      </c>
      <c r="D1951" s="3" t="s">
        <v>5000</v>
      </c>
      <c r="E1951" s="3" t="s">
        <v>120</v>
      </c>
      <c r="F1951" s="3">
        <v>50</v>
      </c>
      <c r="G1951" s="3" t="s">
        <v>121</v>
      </c>
      <c r="H1951" s="3"/>
      <c r="I1951" s="3" t="s">
        <v>122</v>
      </c>
      <c r="J1951" s="3">
        <v>3</v>
      </c>
      <c r="K1951" s="3">
        <v>3</v>
      </c>
      <c r="L1951" s="3">
        <v>0</v>
      </c>
      <c r="M1951" s="3">
        <v>0</v>
      </c>
      <c r="N1951" s="3">
        <v>3</v>
      </c>
      <c r="O1951" s="3">
        <v>0.06</v>
      </c>
      <c r="P1951" s="3">
        <v>0</v>
      </c>
      <c r="Q1951" s="3">
        <v>0</v>
      </c>
      <c r="R1951" s="3">
        <v>0</v>
      </c>
    </row>
    <row r="1952" spans="1:18">
      <c r="A1952" s="3" t="s">
        <v>5001</v>
      </c>
      <c r="B1952" s="3" t="s">
        <v>5002</v>
      </c>
      <c r="C1952" s="3" t="s">
        <v>5002</v>
      </c>
      <c r="D1952" s="3" t="s">
        <v>5003</v>
      </c>
      <c r="E1952" s="3" t="s">
        <v>120</v>
      </c>
      <c r="F1952" s="3">
        <v>48</v>
      </c>
      <c r="G1952" s="3" t="s">
        <v>121</v>
      </c>
      <c r="H1952" s="3"/>
      <c r="I1952" s="3" t="s">
        <v>122</v>
      </c>
      <c r="J1952" s="3">
        <v>1</v>
      </c>
      <c r="K1952" s="3">
        <v>1</v>
      </c>
      <c r="L1952" s="3">
        <v>0</v>
      </c>
      <c r="M1952" s="3">
        <v>0</v>
      </c>
      <c r="N1952" s="3">
        <v>1</v>
      </c>
      <c r="O1952" s="3">
        <v>0.06</v>
      </c>
      <c r="P1952" s="3">
        <v>0</v>
      </c>
      <c r="Q1952" s="3">
        <v>0</v>
      </c>
      <c r="R1952" s="3">
        <v>0</v>
      </c>
    </row>
    <row r="1953" spans="1:18">
      <c r="A1953" s="3" t="s">
        <v>5004</v>
      </c>
      <c r="B1953" s="3" t="s">
        <v>5005</v>
      </c>
      <c r="C1953" s="3" t="s">
        <v>5005</v>
      </c>
      <c r="D1953" s="3" t="s">
        <v>5006</v>
      </c>
      <c r="E1953" s="3" t="s">
        <v>120</v>
      </c>
      <c r="F1953" s="3">
        <v>46</v>
      </c>
      <c r="G1953" s="3" t="s">
        <v>121</v>
      </c>
      <c r="H1953" s="3"/>
      <c r="I1953" s="3" t="s">
        <v>122</v>
      </c>
      <c r="J1953" s="3">
        <v>2</v>
      </c>
      <c r="K1953" s="3">
        <v>2</v>
      </c>
      <c r="L1953" s="3">
        <v>0</v>
      </c>
      <c r="M1953" s="3">
        <v>0</v>
      </c>
      <c r="N1953" s="3">
        <v>2</v>
      </c>
      <c r="O1953" s="3">
        <v>0.06</v>
      </c>
      <c r="P1953" s="3">
        <v>0</v>
      </c>
      <c r="Q1953" s="3">
        <v>0</v>
      </c>
      <c r="R1953" s="3">
        <v>0</v>
      </c>
    </row>
    <row r="1954" spans="1:18">
      <c r="A1954" s="3" t="s">
        <v>5007</v>
      </c>
      <c r="B1954" s="3" t="s">
        <v>5008</v>
      </c>
      <c r="C1954" s="3" t="s">
        <v>5008</v>
      </c>
      <c r="D1954" s="3" t="s">
        <v>5009</v>
      </c>
      <c r="E1954" s="3" t="s">
        <v>120</v>
      </c>
      <c r="F1954" s="3">
        <v>44</v>
      </c>
      <c r="G1954" s="3" t="s">
        <v>121</v>
      </c>
      <c r="H1954" s="3"/>
      <c r="I1954" s="3" t="s">
        <v>122</v>
      </c>
      <c r="J1954" s="3">
        <v>1</v>
      </c>
      <c r="K1954" s="3">
        <v>1</v>
      </c>
      <c r="L1954" s="3">
        <v>0</v>
      </c>
      <c r="M1954" s="3">
        <v>0</v>
      </c>
      <c r="N1954" s="3">
        <v>1</v>
      </c>
      <c r="O1954" s="3">
        <v>0.06</v>
      </c>
      <c r="P1954" s="3">
        <v>0</v>
      </c>
      <c r="Q1954" s="3">
        <v>0</v>
      </c>
      <c r="R1954" s="3">
        <v>0</v>
      </c>
    </row>
    <row r="1955" spans="1:18">
      <c r="A1955" s="3" t="s">
        <v>5010</v>
      </c>
      <c r="B1955" s="3" t="s">
        <v>5011</v>
      </c>
      <c r="C1955" s="3" t="s">
        <v>5011</v>
      </c>
      <c r="D1955" s="3" t="s">
        <v>5012</v>
      </c>
      <c r="E1955" s="3" t="s">
        <v>120</v>
      </c>
      <c r="F1955" s="3">
        <v>42</v>
      </c>
      <c r="G1955" s="3" t="s">
        <v>121</v>
      </c>
      <c r="H1955" s="3"/>
      <c r="I1955" s="3" t="s">
        <v>122</v>
      </c>
      <c r="J1955" s="3">
        <v>3</v>
      </c>
      <c r="K1955" s="3">
        <v>3</v>
      </c>
      <c r="L1955" s="3">
        <v>0</v>
      </c>
      <c r="M1955" s="3">
        <v>0</v>
      </c>
      <c r="N1955" s="3">
        <v>3</v>
      </c>
      <c r="O1955" s="3">
        <v>0.06</v>
      </c>
      <c r="P1955" s="3">
        <v>0</v>
      </c>
      <c r="Q1955" s="3">
        <v>0</v>
      </c>
      <c r="R1955" s="3">
        <v>0</v>
      </c>
    </row>
    <row r="1956" spans="1:18">
      <c r="A1956" s="3" t="s">
        <v>5013</v>
      </c>
      <c r="B1956" s="3" t="s">
        <v>5014</v>
      </c>
      <c r="C1956" s="3" t="s">
        <v>5014</v>
      </c>
      <c r="D1956" s="3" t="s">
        <v>5015</v>
      </c>
      <c r="E1956" s="3" t="s">
        <v>120</v>
      </c>
      <c r="F1956" s="3">
        <v>45</v>
      </c>
      <c r="G1956" s="3" t="s">
        <v>121</v>
      </c>
      <c r="H1956" s="3"/>
      <c r="I1956" s="3" t="s">
        <v>122</v>
      </c>
      <c r="J1956" s="3">
        <v>2</v>
      </c>
      <c r="K1956" s="3">
        <v>2</v>
      </c>
      <c r="L1956" s="3">
        <v>0</v>
      </c>
      <c r="M1956" s="3">
        <v>0</v>
      </c>
      <c r="N1956" s="3">
        <v>2</v>
      </c>
      <c r="O1956" s="3">
        <v>0.06</v>
      </c>
      <c r="P1956" s="3">
        <v>0</v>
      </c>
      <c r="Q1956" s="3">
        <v>0</v>
      </c>
      <c r="R1956" s="3">
        <v>0</v>
      </c>
    </row>
    <row r="1957" spans="1:18">
      <c r="A1957" s="3" t="s">
        <v>5016</v>
      </c>
      <c r="B1957" s="3" t="s">
        <v>5017</v>
      </c>
      <c r="C1957" s="3" t="s">
        <v>5017</v>
      </c>
      <c r="D1957" s="3" t="s">
        <v>5018</v>
      </c>
      <c r="E1957" s="3" t="s">
        <v>120</v>
      </c>
      <c r="F1957" s="3">
        <v>50</v>
      </c>
      <c r="G1957" s="3" t="s">
        <v>121</v>
      </c>
      <c r="H1957" s="3"/>
      <c r="I1957" s="3" t="s">
        <v>122</v>
      </c>
      <c r="J1957" s="3">
        <v>0</v>
      </c>
      <c r="K1957" s="3">
        <v>0</v>
      </c>
      <c r="L1957" s="3">
        <v>0</v>
      </c>
      <c r="M1957" s="3">
        <v>0</v>
      </c>
      <c r="N1957" s="3">
        <v>0</v>
      </c>
      <c r="O1957" s="3">
        <v>0.06</v>
      </c>
      <c r="P1957" s="3">
        <v>0</v>
      </c>
      <c r="Q1957" s="3">
        <v>0</v>
      </c>
      <c r="R1957" s="3">
        <v>0</v>
      </c>
    </row>
    <row r="1958" spans="1:18">
      <c r="A1958" s="3" t="s">
        <v>5019</v>
      </c>
      <c r="B1958" s="3" t="s">
        <v>5020</v>
      </c>
      <c r="C1958" s="3" t="s">
        <v>5020</v>
      </c>
      <c r="D1958" s="3" t="s">
        <v>5021</v>
      </c>
      <c r="E1958" s="3" t="s">
        <v>120</v>
      </c>
      <c r="F1958" s="3">
        <v>50</v>
      </c>
      <c r="G1958" s="3" t="s">
        <v>121</v>
      </c>
      <c r="H1958" s="3"/>
      <c r="I1958" s="3" t="s">
        <v>122</v>
      </c>
      <c r="J1958" s="3">
        <v>0</v>
      </c>
      <c r="K1958" s="3">
        <v>0</v>
      </c>
      <c r="L1958" s="3">
        <v>0</v>
      </c>
      <c r="M1958" s="3">
        <v>0</v>
      </c>
      <c r="N1958" s="3">
        <v>0</v>
      </c>
      <c r="O1958" s="3">
        <v>0.1</v>
      </c>
      <c r="P1958" s="3">
        <v>0</v>
      </c>
      <c r="Q1958" s="3">
        <v>0</v>
      </c>
      <c r="R1958" s="3">
        <v>0</v>
      </c>
    </row>
    <row r="1959" spans="1:18">
      <c r="A1959" s="3" t="s">
        <v>5022</v>
      </c>
      <c r="B1959" s="3" t="s">
        <v>5023</v>
      </c>
      <c r="C1959" s="3" t="s">
        <v>5023</v>
      </c>
      <c r="D1959" s="3" t="s">
        <v>5024</v>
      </c>
      <c r="E1959" s="3" t="s">
        <v>120</v>
      </c>
      <c r="F1959" s="3">
        <v>50</v>
      </c>
      <c r="G1959" s="3" t="s">
        <v>121</v>
      </c>
      <c r="H1959" s="3"/>
      <c r="I1959" s="3" t="s">
        <v>122</v>
      </c>
      <c r="J1959" s="3">
        <v>0</v>
      </c>
      <c r="K1959" s="3">
        <v>0</v>
      </c>
      <c r="L1959" s="3">
        <v>0</v>
      </c>
      <c r="M1959" s="3">
        <v>0</v>
      </c>
      <c r="N1959" s="3">
        <v>0</v>
      </c>
      <c r="O1959" s="3">
        <v>0.15</v>
      </c>
      <c r="P1959" s="3">
        <v>0</v>
      </c>
      <c r="Q1959" s="3">
        <v>0</v>
      </c>
      <c r="R1959" s="3">
        <v>0</v>
      </c>
    </row>
    <row r="1960" spans="1:18">
      <c r="A1960" s="3" t="s">
        <v>5025</v>
      </c>
      <c r="B1960" s="3" t="s">
        <v>5026</v>
      </c>
      <c r="C1960" s="3" t="s">
        <v>5026</v>
      </c>
      <c r="D1960" s="3" t="s">
        <v>5027</v>
      </c>
      <c r="E1960" s="3" t="s">
        <v>120</v>
      </c>
      <c r="F1960" s="3">
        <v>50</v>
      </c>
      <c r="G1960" s="3" t="s">
        <v>121</v>
      </c>
      <c r="H1960" s="3"/>
      <c r="I1960" s="3" t="s">
        <v>122</v>
      </c>
      <c r="J1960" s="3">
        <v>0</v>
      </c>
      <c r="K1960" s="3">
        <v>0</v>
      </c>
      <c r="L1960" s="3">
        <v>0</v>
      </c>
      <c r="M1960" s="3">
        <v>0</v>
      </c>
      <c r="N1960" s="3">
        <v>0</v>
      </c>
      <c r="O1960" s="3">
        <v>0.16</v>
      </c>
      <c r="P1960" s="3">
        <v>0</v>
      </c>
      <c r="Q1960" s="3">
        <v>0</v>
      </c>
      <c r="R1960" s="3">
        <v>0</v>
      </c>
    </row>
    <row r="1961" spans="1:18">
      <c r="A1961" s="3" t="s">
        <v>5028</v>
      </c>
      <c r="B1961" s="3" t="s">
        <v>2130</v>
      </c>
      <c r="C1961" s="3" t="s">
        <v>2130</v>
      </c>
      <c r="D1961" s="3"/>
      <c r="E1961" s="3" t="s">
        <v>20</v>
      </c>
      <c r="F1961" s="3"/>
      <c r="G1961" s="3"/>
      <c r="H1961" s="3"/>
      <c r="I1961" s="3"/>
      <c r="J1961" s="3">
        <v>0</v>
      </c>
      <c r="K1961" s="3">
        <v>0</v>
      </c>
      <c r="L1961" s="3">
        <v>0</v>
      </c>
      <c r="M1961" s="3">
        <v>0</v>
      </c>
      <c r="N1961" s="3">
        <v>0</v>
      </c>
      <c r="O1961" s="3"/>
      <c r="P1961" s="3">
        <v>0</v>
      </c>
      <c r="Q1961" s="3">
        <v>0</v>
      </c>
      <c r="R1961" s="3">
        <v>0</v>
      </c>
    </row>
    <row r="1962" spans="1:18">
      <c r="A1962" s="3" t="s">
        <v>5029</v>
      </c>
      <c r="B1962" s="3" t="s">
        <v>2133</v>
      </c>
      <c r="C1962" s="3" t="s">
        <v>2133</v>
      </c>
      <c r="D1962" s="3"/>
      <c r="E1962" s="3" t="s">
        <v>20</v>
      </c>
      <c r="F1962" s="3"/>
      <c r="G1962" s="3"/>
      <c r="H1962" s="3"/>
      <c r="I1962" s="3"/>
      <c r="J1962" s="3">
        <v>15</v>
      </c>
      <c r="K1962" s="3">
        <v>15</v>
      </c>
      <c r="L1962" s="3">
        <v>0</v>
      </c>
      <c r="M1962" s="3">
        <v>0</v>
      </c>
      <c r="N1962" s="3">
        <v>15</v>
      </c>
      <c r="O1962" s="3"/>
      <c r="P1962" s="3">
        <v>0</v>
      </c>
      <c r="Q1962" s="3">
        <v>0</v>
      </c>
      <c r="R1962" s="3">
        <v>0</v>
      </c>
    </row>
    <row r="1963" spans="1:18">
      <c r="A1963" s="3" t="s">
        <v>5030</v>
      </c>
      <c r="B1963" s="3" t="s">
        <v>2136</v>
      </c>
      <c r="C1963" s="3" t="s">
        <v>2136</v>
      </c>
      <c r="D1963" s="3"/>
      <c r="E1963" s="3" t="s">
        <v>20</v>
      </c>
      <c r="F1963" s="3"/>
      <c r="G1963" s="3"/>
      <c r="H1963" s="3"/>
      <c r="I1963" s="3"/>
      <c r="J1963" s="3">
        <v>27</v>
      </c>
      <c r="K1963" s="3">
        <v>25</v>
      </c>
      <c r="L1963" s="3">
        <v>0</v>
      </c>
      <c r="M1963" s="3">
        <v>2</v>
      </c>
      <c r="N1963" s="3">
        <v>39</v>
      </c>
      <c r="O1963" s="3"/>
      <c r="P1963" s="3">
        <v>0</v>
      </c>
      <c r="Q1963" s="3">
        <v>12</v>
      </c>
      <c r="R1963" s="3">
        <v>0</v>
      </c>
    </row>
    <row r="1964" spans="1:18">
      <c r="A1964" s="3" t="s">
        <v>5031</v>
      </c>
      <c r="B1964" s="3" t="s">
        <v>2139</v>
      </c>
      <c r="C1964" s="3" t="s">
        <v>2139</v>
      </c>
      <c r="D1964" s="3"/>
      <c r="E1964" s="3" t="s">
        <v>20</v>
      </c>
      <c r="F1964" s="3"/>
      <c r="G1964" s="3"/>
      <c r="H1964" s="3"/>
      <c r="I1964" s="3"/>
      <c r="J1964" s="3">
        <v>9</v>
      </c>
      <c r="K1964" s="3">
        <v>9</v>
      </c>
      <c r="L1964" s="3">
        <v>0</v>
      </c>
      <c r="M1964" s="3">
        <v>0</v>
      </c>
      <c r="N1964" s="3">
        <v>9</v>
      </c>
      <c r="O1964" s="3"/>
      <c r="P1964" s="3">
        <v>0</v>
      </c>
      <c r="Q1964" s="3">
        <v>0</v>
      </c>
      <c r="R1964" s="3">
        <v>0</v>
      </c>
    </row>
    <row r="1965" spans="1:18">
      <c r="A1965" s="3" t="s">
        <v>5032</v>
      </c>
      <c r="B1965" s="3" t="s">
        <v>2142</v>
      </c>
      <c r="C1965" s="3" t="s">
        <v>2142</v>
      </c>
      <c r="D1965" s="3"/>
      <c r="E1965" s="3" t="s">
        <v>20</v>
      </c>
      <c r="F1965" s="3"/>
      <c r="G1965" s="3"/>
      <c r="H1965" s="3"/>
      <c r="I1965" s="3"/>
      <c r="J1965" s="3">
        <v>0</v>
      </c>
      <c r="K1965" s="3">
        <v>0</v>
      </c>
      <c r="L1965" s="3">
        <v>0</v>
      </c>
      <c r="M1965" s="3">
        <v>0</v>
      </c>
      <c r="N1965" s="3">
        <v>0</v>
      </c>
      <c r="O1965" s="3"/>
      <c r="P1965" s="3">
        <v>0</v>
      </c>
      <c r="Q1965" s="3">
        <v>0</v>
      </c>
      <c r="R1965" s="3">
        <v>0</v>
      </c>
    </row>
    <row r="1966" spans="1:18">
      <c r="A1966" s="3" t="s">
        <v>5033</v>
      </c>
      <c r="B1966" s="3" t="s">
        <v>2160</v>
      </c>
      <c r="C1966" s="3" t="s">
        <v>2160</v>
      </c>
      <c r="D1966" s="3"/>
      <c r="E1966" s="3" t="s">
        <v>20</v>
      </c>
      <c r="F1966" s="3"/>
      <c r="G1966" s="3"/>
      <c r="H1966" s="3"/>
      <c r="I1966" s="3"/>
      <c r="J1966" s="3">
        <v>0</v>
      </c>
      <c r="K1966" s="3">
        <v>0</v>
      </c>
      <c r="L1966" s="3">
        <v>0</v>
      </c>
      <c r="M1966" s="3">
        <v>0</v>
      </c>
      <c r="N1966" s="3">
        <v>0</v>
      </c>
      <c r="O1966" s="3"/>
      <c r="P1966" s="3">
        <v>0</v>
      </c>
      <c r="Q1966" s="3">
        <v>0</v>
      </c>
      <c r="R1966" s="3">
        <v>0</v>
      </c>
    </row>
    <row r="1967" spans="1:18">
      <c r="A1967" s="3" t="s">
        <v>5034</v>
      </c>
      <c r="B1967" s="3" t="s">
        <v>2163</v>
      </c>
      <c r="C1967" s="3" t="s">
        <v>2163</v>
      </c>
      <c r="D1967" s="3"/>
      <c r="E1967" s="3" t="s">
        <v>20</v>
      </c>
      <c r="F1967" s="3"/>
      <c r="G1967" s="3"/>
      <c r="H1967" s="3"/>
      <c r="I1967" s="3"/>
      <c r="J1967" s="3">
        <v>4</v>
      </c>
      <c r="K1967" s="3">
        <v>4</v>
      </c>
      <c r="L1967" s="3">
        <v>0</v>
      </c>
      <c r="M1967" s="3">
        <v>0</v>
      </c>
      <c r="N1967" s="3">
        <v>18</v>
      </c>
      <c r="O1967" s="3"/>
      <c r="P1967" s="3">
        <v>0</v>
      </c>
      <c r="Q1967" s="3">
        <v>14</v>
      </c>
      <c r="R1967" s="3">
        <v>0</v>
      </c>
    </row>
    <row r="1968" spans="1:18">
      <c r="A1968" s="3" t="s">
        <v>5035</v>
      </c>
      <c r="B1968" s="3" t="s">
        <v>2166</v>
      </c>
      <c r="C1968" s="3" t="s">
        <v>2166</v>
      </c>
      <c r="D1968" s="3"/>
      <c r="E1968" s="3" t="s">
        <v>20</v>
      </c>
      <c r="F1968" s="3"/>
      <c r="G1968" s="3"/>
      <c r="H1968" s="3"/>
      <c r="I1968" s="3"/>
      <c r="J1968" s="3">
        <v>17</v>
      </c>
      <c r="K1968" s="3">
        <v>17</v>
      </c>
      <c r="L1968" s="3">
        <v>0</v>
      </c>
      <c r="M1968" s="3">
        <v>0</v>
      </c>
      <c r="N1968" s="3">
        <v>17</v>
      </c>
      <c r="O1968" s="3"/>
      <c r="P1968" s="3">
        <v>0</v>
      </c>
      <c r="Q1968" s="3">
        <v>0</v>
      </c>
      <c r="R1968" s="3">
        <v>0</v>
      </c>
    </row>
    <row r="1969" spans="1:18">
      <c r="A1969" s="3" t="s">
        <v>5036</v>
      </c>
      <c r="B1969" s="3" t="s">
        <v>2169</v>
      </c>
      <c r="C1969" s="3" t="s">
        <v>2169</v>
      </c>
      <c r="D1969" s="3"/>
      <c r="E1969" s="3" t="s">
        <v>20</v>
      </c>
      <c r="F1969" s="3"/>
      <c r="G1969" s="3"/>
      <c r="H1969" s="3"/>
      <c r="I1969" s="3"/>
      <c r="J1969" s="3">
        <v>5</v>
      </c>
      <c r="K1969" s="3">
        <v>5</v>
      </c>
      <c r="L1969" s="3">
        <v>0</v>
      </c>
      <c r="M1969" s="3">
        <v>0</v>
      </c>
      <c r="N1969" s="3">
        <v>5</v>
      </c>
      <c r="O1969" s="3"/>
      <c r="P1969" s="3">
        <v>0</v>
      </c>
      <c r="Q1969" s="3">
        <v>0</v>
      </c>
      <c r="R1969" s="3">
        <v>0</v>
      </c>
    </row>
    <row r="1970" spans="1:18">
      <c r="A1970" s="3" t="s">
        <v>5037</v>
      </c>
      <c r="B1970" s="3" t="s">
        <v>2172</v>
      </c>
      <c r="C1970" s="3" t="s">
        <v>2172</v>
      </c>
      <c r="D1970" s="3"/>
      <c r="E1970" s="3" t="s">
        <v>20</v>
      </c>
      <c r="F1970" s="3"/>
      <c r="G1970" s="3"/>
      <c r="H1970" s="3"/>
      <c r="I1970" s="3"/>
      <c r="J1970" s="3">
        <v>0</v>
      </c>
      <c r="K1970" s="3">
        <v>0</v>
      </c>
      <c r="L1970" s="3">
        <v>0</v>
      </c>
      <c r="M1970" s="3">
        <v>0</v>
      </c>
      <c r="N1970" s="3">
        <v>0</v>
      </c>
      <c r="O1970" s="3"/>
      <c r="P1970" s="3">
        <v>0</v>
      </c>
      <c r="Q1970" s="3">
        <v>0</v>
      </c>
      <c r="R1970" s="3">
        <v>0</v>
      </c>
    </row>
    <row r="1971" spans="1:18">
      <c r="A1971" s="3" t="s">
        <v>5038</v>
      </c>
      <c r="B1971" s="3" t="s">
        <v>2175</v>
      </c>
      <c r="C1971" s="3" t="s">
        <v>2175</v>
      </c>
      <c r="D1971" s="3"/>
      <c r="E1971" s="3" t="s">
        <v>20</v>
      </c>
      <c r="F1971" s="3"/>
      <c r="G1971" s="3"/>
      <c r="H1971" s="3"/>
      <c r="I1971" s="3"/>
      <c r="J1971" s="3">
        <v>10</v>
      </c>
      <c r="K1971" s="3">
        <v>10</v>
      </c>
      <c r="L1971" s="3">
        <v>0</v>
      </c>
      <c r="M1971" s="3">
        <v>0</v>
      </c>
      <c r="N1971" s="3">
        <v>10</v>
      </c>
      <c r="O1971" s="3"/>
      <c r="P1971" s="3">
        <v>0</v>
      </c>
      <c r="Q1971" s="3">
        <v>0</v>
      </c>
      <c r="R1971" s="3">
        <v>0</v>
      </c>
    </row>
    <row r="1972" spans="1:18">
      <c r="A1972" s="3" t="s">
        <v>5039</v>
      </c>
      <c r="B1972" s="3" t="s">
        <v>2178</v>
      </c>
      <c r="C1972" s="3" t="s">
        <v>2178</v>
      </c>
      <c r="D1972" s="3"/>
      <c r="E1972" s="3" t="s">
        <v>20</v>
      </c>
      <c r="F1972" s="3"/>
      <c r="G1972" s="3"/>
      <c r="H1972" s="3"/>
      <c r="I1972" s="3"/>
      <c r="J1972" s="3">
        <v>32</v>
      </c>
      <c r="K1972" s="3">
        <v>32</v>
      </c>
      <c r="L1972" s="3">
        <v>0</v>
      </c>
      <c r="M1972" s="3">
        <v>0</v>
      </c>
      <c r="N1972" s="3">
        <v>52</v>
      </c>
      <c r="O1972" s="3"/>
      <c r="P1972" s="3">
        <v>0</v>
      </c>
      <c r="Q1972" s="3">
        <v>20</v>
      </c>
      <c r="R1972" s="3">
        <v>0</v>
      </c>
    </row>
    <row r="1973" spans="1:18">
      <c r="A1973" s="3" t="s">
        <v>5040</v>
      </c>
      <c r="B1973" s="3" t="s">
        <v>2181</v>
      </c>
      <c r="C1973" s="3" t="s">
        <v>2181</v>
      </c>
      <c r="D1973" s="3"/>
      <c r="E1973" s="3" t="s">
        <v>20</v>
      </c>
      <c r="F1973" s="3"/>
      <c r="G1973" s="3"/>
      <c r="H1973" s="3"/>
      <c r="I1973" s="3"/>
      <c r="J1973" s="3">
        <v>14</v>
      </c>
      <c r="K1973" s="3">
        <v>14</v>
      </c>
      <c r="L1973" s="3">
        <v>0</v>
      </c>
      <c r="M1973" s="3">
        <v>0</v>
      </c>
      <c r="N1973" s="3">
        <v>14</v>
      </c>
      <c r="O1973" s="3"/>
      <c r="P1973" s="3">
        <v>0</v>
      </c>
      <c r="Q1973" s="3">
        <v>0</v>
      </c>
      <c r="R1973" s="3">
        <v>0</v>
      </c>
    </row>
    <row r="1974" spans="1:18">
      <c r="A1974" s="3" t="s">
        <v>5041</v>
      </c>
      <c r="B1974" s="3" t="s">
        <v>2184</v>
      </c>
      <c r="C1974" s="3" t="s">
        <v>2184</v>
      </c>
      <c r="D1974" s="3"/>
      <c r="E1974" s="3" t="s">
        <v>20</v>
      </c>
      <c r="F1974" s="3"/>
      <c r="G1974" s="3"/>
      <c r="H1974" s="3"/>
      <c r="I1974" s="3"/>
      <c r="J1974" s="3">
        <v>3</v>
      </c>
      <c r="K1974" s="3">
        <v>3</v>
      </c>
      <c r="L1974" s="3">
        <v>0</v>
      </c>
      <c r="M1974" s="3">
        <v>0</v>
      </c>
      <c r="N1974" s="3">
        <v>3</v>
      </c>
      <c r="O1974" s="3"/>
      <c r="P1974" s="3">
        <v>0</v>
      </c>
      <c r="Q1974" s="3">
        <v>0</v>
      </c>
      <c r="R1974" s="3">
        <v>0</v>
      </c>
    </row>
    <row r="1975" spans="1:18">
      <c r="A1975" s="3" t="s">
        <v>5042</v>
      </c>
      <c r="B1975" s="3" t="s">
        <v>2190</v>
      </c>
      <c r="C1975" s="3" t="s">
        <v>2190</v>
      </c>
      <c r="D1975" s="3" t="s">
        <v>2191</v>
      </c>
      <c r="E1975" s="3" t="s">
        <v>20</v>
      </c>
      <c r="F1975" s="3">
        <v>0</v>
      </c>
      <c r="G1975" s="3" t="s">
        <v>121</v>
      </c>
      <c r="H1975" s="3"/>
      <c r="I1975" s="3" t="s">
        <v>122</v>
      </c>
      <c r="J1975" s="3">
        <v>20</v>
      </c>
      <c r="K1975" s="3">
        <v>20</v>
      </c>
      <c r="L1975" s="3">
        <v>0</v>
      </c>
      <c r="M1975" s="3">
        <v>0</v>
      </c>
      <c r="N1975" s="3">
        <v>20</v>
      </c>
      <c r="O1975" s="3">
        <v>0.14</v>
      </c>
      <c r="P1975" s="3">
        <v>0</v>
      </c>
      <c r="Q1975" s="3">
        <v>0</v>
      </c>
      <c r="R1975" s="3">
        <v>0</v>
      </c>
    </row>
    <row r="1976" spans="1:18">
      <c r="A1976" s="3" t="s">
        <v>5043</v>
      </c>
      <c r="B1976" s="3" t="s">
        <v>2193</v>
      </c>
      <c r="C1976" s="3" t="s">
        <v>2193</v>
      </c>
      <c r="D1976" s="3"/>
      <c r="E1976" s="3" t="s">
        <v>20</v>
      </c>
      <c r="F1976" s="3"/>
      <c r="G1976" s="3"/>
      <c r="H1976" s="3"/>
      <c r="I1976" s="3"/>
      <c r="J1976" s="3">
        <v>9</v>
      </c>
      <c r="K1976" s="3">
        <v>9</v>
      </c>
      <c r="L1976" s="3">
        <v>0</v>
      </c>
      <c r="M1976" s="3">
        <v>0</v>
      </c>
      <c r="N1976" s="3">
        <v>9</v>
      </c>
      <c r="O1976" s="3"/>
      <c r="P1976" s="3">
        <v>0</v>
      </c>
      <c r="Q1976" s="3">
        <v>0</v>
      </c>
      <c r="R1976" s="3">
        <v>0</v>
      </c>
    </row>
    <row r="1977" spans="1:18">
      <c r="A1977" s="3" t="s">
        <v>5044</v>
      </c>
      <c r="B1977" s="3" t="s">
        <v>2196</v>
      </c>
      <c r="C1977" s="3" t="s">
        <v>2196</v>
      </c>
      <c r="D1977" s="3"/>
      <c r="E1977" s="3" t="s">
        <v>20</v>
      </c>
      <c r="F1977" s="3"/>
      <c r="G1977" s="3"/>
      <c r="H1977" s="3"/>
      <c r="I1977" s="3"/>
      <c r="J1977" s="3">
        <v>17</v>
      </c>
      <c r="K1977" s="3">
        <v>17</v>
      </c>
      <c r="L1977" s="3">
        <v>0</v>
      </c>
      <c r="M1977" s="3">
        <v>0</v>
      </c>
      <c r="N1977" s="3">
        <v>17</v>
      </c>
      <c r="O1977" s="3"/>
      <c r="P1977" s="3">
        <v>0</v>
      </c>
      <c r="Q1977" s="3">
        <v>0</v>
      </c>
      <c r="R1977" s="3">
        <v>0</v>
      </c>
    </row>
    <row r="1978" spans="1:18">
      <c r="A1978" s="3" t="s">
        <v>5045</v>
      </c>
      <c r="B1978" s="3" t="s">
        <v>2199</v>
      </c>
      <c r="C1978" s="3" t="s">
        <v>2199</v>
      </c>
      <c r="D1978" s="3"/>
      <c r="E1978" s="3" t="s">
        <v>20</v>
      </c>
      <c r="F1978" s="3"/>
      <c r="G1978" s="3"/>
      <c r="H1978" s="3"/>
      <c r="I1978" s="3"/>
      <c r="J1978" s="3">
        <v>14</v>
      </c>
      <c r="K1978" s="3">
        <v>14</v>
      </c>
      <c r="L1978" s="3">
        <v>0</v>
      </c>
      <c r="M1978" s="3">
        <v>0</v>
      </c>
      <c r="N1978" s="3">
        <v>14</v>
      </c>
      <c r="O1978" s="3"/>
      <c r="P1978" s="3">
        <v>0</v>
      </c>
      <c r="Q1978" s="3">
        <v>0</v>
      </c>
      <c r="R1978" s="3">
        <v>0</v>
      </c>
    </row>
    <row r="1979" spans="1:18">
      <c r="A1979" s="3" t="s">
        <v>5046</v>
      </c>
      <c r="B1979" s="3" t="s">
        <v>2202</v>
      </c>
      <c r="C1979" s="3" t="s">
        <v>2202</v>
      </c>
      <c r="D1979" s="3"/>
      <c r="E1979" s="3" t="s">
        <v>20</v>
      </c>
      <c r="F1979" s="3"/>
      <c r="G1979" s="3"/>
      <c r="H1979" s="3"/>
      <c r="I1979" s="3"/>
      <c r="J1979" s="3">
        <v>10</v>
      </c>
      <c r="K1979" s="3">
        <v>10</v>
      </c>
      <c r="L1979" s="3">
        <v>0</v>
      </c>
      <c r="M1979" s="3">
        <v>0</v>
      </c>
      <c r="N1979" s="3">
        <v>10</v>
      </c>
      <c r="O1979" s="3"/>
      <c r="P1979" s="3">
        <v>0</v>
      </c>
      <c r="Q1979" s="3">
        <v>0</v>
      </c>
      <c r="R1979" s="3">
        <v>0</v>
      </c>
    </row>
    <row r="1980" spans="1:18">
      <c r="A1980" s="3" t="s">
        <v>5047</v>
      </c>
      <c r="B1980" s="3" t="s">
        <v>2205</v>
      </c>
      <c r="C1980" s="3" t="s">
        <v>2205</v>
      </c>
      <c r="D1980" s="3"/>
      <c r="E1980" s="3" t="s">
        <v>20</v>
      </c>
      <c r="F1980" s="3"/>
      <c r="G1980" s="3"/>
      <c r="H1980" s="3"/>
      <c r="I1980" s="3"/>
      <c r="J1980" s="3">
        <v>11</v>
      </c>
      <c r="K1980" s="3">
        <v>11</v>
      </c>
      <c r="L1980" s="3">
        <v>0</v>
      </c>
      <c r="M1980" s="3">
        <v>0</v>
      </c>
      <c r="N1980" s="3">
        <v>11</v>
      </c>
      <c r="O1980" s="3"/>
      <c r="P1980" s="3">
        <v>0</v>
      </c>
      <c r="Q1980" s="3">
        <v>0</v>
      </c>
      <c r="R1980" s="3">
        <v>0</v>
      </c>
    </row>
    <row r="1981" spans="1:18">
      <c r="A1981" s="3" t="s">
        <v>5048</v>
      </c>
      <c r="B1981" s="3" t="s">
        <v>2208</v>
      </c>
      <c r="C1981" s="3" t="s">
        <v>2208</v>
      </c>
      <c r="D1981" s="3"/>
      <c r="E1981" s="3" t="s">
        <v>20</v>
      </c>
      <c r="F1981" s="3"/>
      <c r="G1981" s="3"/>
      <c r="H1981" s="3"/>
      <c r="I1981" s="3"/>
      <c r="J1981" s="3">
        <v>5</v>
      </c>
      <c r="K1981" s="3">
        <v>4</v>
      </c>
      <c r="L1981" s="3">
        <v>0</v>
      </c>
      <c r="M1981" s="3">
        <v>1</v>
      </c>
      <c r="N1981" s="3">
        <v>21</v>
      </c>
      <c r="O1981" s="3"/>
      <c r="P1981" s="3">
        <v>0</v>
      </c>
      <c r="Q1981" s="3">
        <v>16</v>
      </c>
      <c r="R1981" s="3">
        <v>0</v>
      </c>
    </row>
    <row r="1982" spans="1:18">
      <c r="A1982" s="3" t="s">
        <v>5049</v>
      </c>
      <c r="B1982" s="3" t="s">
        <v>2211</v>
      </c>
      <c r="C1982" s="3" t="s">
        <v>2211</v>
      </c>
      <c r="D1982" s="3"/>
      <c r="E1982" s="3" t="s">
        <v>20</v>
      </c>
      <c r="F1982" s="3"/>
      <c r="G1982" s="3"/>
      <c r="H1982" s="3"/>
      <c r="I1982" s="3"/>
      <c r="J1982" s="3">
        <v>14</v>
      </c>
      <c r="K1982" s="3">
        <v>14</v>
      </c>
      <c r="L1982" s="3">
        <v>0</v>
      </c>
      <c r="M1982" s="3">
        <v>0</v>
      </c>
      <c r="N1982" s="3">
        <v>14</v>
      </c>
      <c r="O1982" s="3"/>
      <c r="P1982" s="3">
        <v>0</v>
      </c>
      <c r="Q1982" s="3">
        <v>0</v>
      </c>
      <c r="R1982" s="3">
        <v>0</v>
      </c>
    </row>
    <row r="1983" spans="1:18">
      <c r="A1983" s="3" t="s">
        <v>5050</v>
      </c>
      <c r="B1983" s="3" t="s">
        <v>2214</v>
      </c>
      <c r="C1983" s="3" t="s">
        <v>2214</v>
      </c>
      <c r="D1983" s="3"/>
      <c r="E1983" s="3" t="s">
        <v>20</v>
      </c>
      <c r="F1983" s="3"/>
      <c r="G1983" s="3"/>
      <c r="H1983" s="3"/>
      <c r="I1983" s="3"/>
      <c r="J1983" s="3">
        <v>3</v>
      </c>
      <c r="K1983" s="3">
        <v>3</v>
      </c>
      <c r="L1983" s="3">
        <v>0</v>
      </c>
      <c r="M1983" s="3">
        <v>0</v>
      </c>
      <c r="N1983" s="3">
        <v>3</v>
      </c>
      <c r="O1983" s="3"/>
      <c r="P1983" s="3">
        <v>0</v>
      </c>
      <c r="Q1983" s="3">
        <v>0</v>
      </c>
      <c r="R1983" s="3">
        <v>0</v>
      </c>
    </row>
    <row r="1984" spans="1:18">
      <c r="A1984" s="3" t="s">
        <v>5051</v>
      </c>
      <c r="B1984" s="3" t="s">
        <v>2217</v>
      </c>
      <c r="C1984" s="3" t="s">
        <v>2217</v>
      </c>
      <c r="D1984" s="3"/>
      <c r="E1984" s="3" t="s">
        <v>20</v>
      </c>
      <c r="F1984" s="3"/>
      <c r="G1984" s="3"/>
      <c r="H1984" s="3"/>
      <c r="I1984" s="3"/>
      <c r="J1984" s="3">
        <v>15</v>
      </c>
      <c r="K1984" s="3">
        <v>15</v>
      </c>
      <c r="L1984" s="3">
        <v>0</v>
      </c>
      <c r="M1984" s="3">
        <v>0</v>
      </c>
      <c r="N1984" s="3">
        <v>15</v>
      </c>
      <c r="O1984" s="3"/>
      <c r="P1984" s="3">
        <v>0</v>
      </c>
      <c r="Q1984" s="3">
        <v>0</v>
      </c>
      <c r="R1984" s="3">
        <v>0</v>
      </c>
    </row>
    <row r="1985" spans="1:18">
      <c r="A1985" s="3" t="s">
        <v>5052</v>
      </c>
      <c r="B1985" s="3" t="s">
        <v>2220</v>
      </c>
      <c r="C1985" s="3" t="s">
        <v>2220</v>
      </c>
      <c r="D1985" s="3"/>
      <c r="E1985" s="3" t="s">
        <v>20</v>
      </c>
      <c r="F1985" s="3"/>
      <c r="G1985" s="3"/>
      <c r="H1985" s="3"/>
      <c r="I1985" s="3"/>
      <c r="J1985" s="3">
        <v>10</v>
      </c>
      <c r="K1985" s="3">
        <v>10</v>
      </c>
      <c r="L1985" s="3">
        <v>0</v>
      </c>
      <c r="M1985" s="3">
        <v>0</v>
      </c>
      <c r="N1985" s="3">
        <v>10</v>
      </c>
      <c r="O1985" s="3"/>
      <c r="P1985" s="3">
        <v>0</v>
      </c>
      <c r="Q1985" s="3">
        <v>0</v>
      </c>
      <c r="R1985" s="3">
        <v>0</v>
      </c>
    </row>
    <row r="1986" spans="1:18">
      <c r="A1986" s="3" t="s">
        <v>5053</v>
      </c>
      <c r="B1986" s="3" t="s">
        <v>2223</v>
      </c>
      <c r="C1986" s="3" t="s">
        <v>2223</v>
      </c>
      <c r="D1986" s="3"/>
      <c r="E1986" s="3" t="s">
        <v>20</v>
      </c>
      <c r="F1986" s="3"/>
      <c r="G1986" s="3"/>
      <c r="H1986" s="3"/>
      <c r="I1986" s="3"/>
      <c r="J1986" s="3">
        <v>25</v>
      </c>
      <c r="K1986" s="3">
        <v>24</v>
      </c>
      <c r="L1986" s="3">
        <v>0</v>
      </c>
      <c r="M1986" s="3">
        <v>1</v>
      </c>
      <c r="N1986" s="3">
        <v>25</v>
      </c>
      <c r="O1986" s="3"/>
      <c r="P1986" s="3">
        <v>0</v>
      </c>
      <c r="Q1986" s="3">
        <v>0</v>
      </c>
      <c r="R1986" s="3">
        <v>0</v>
      </c>
    </row>
    <row r="1987" spans="1:18">
      <c r="A1987" s="3" t="s">
        <v>5054</v>
      </c>
      <c r="B1987" s="3" t="s">
        <v>2226</v>
      </c>
      <c r="C1987" s="3" t="s">
        <v>2226</v>
      </c>
      <c r="D1987" s="3"/>
      <c r="E1987" s="3" t="s">
        <v>20</v>
      </c>
      <c r="F1987" s="3"/>
      <c r="G1987" s="3"/>
      <c r="H1987" s="3"/>
      <c r="I1987" s="3"/>
      <c r="J1987" s="3">
        <v>29</v>
      </c>
      <c r="K1987" s="3">
        <v>29</v>
      </c>
      <c r="L1987" s="3">
        <v>0</v>
      </c>
      <c r="M1987" s="3">
        <v>0</v>
      </c>
      <c r="N1987" s="3">
        <v>29</v>
      </c>
      <c r="O1987" s="3"/>
      <c r="P1987" s="3">
        <v>0</v>
      </c>
      <c r="Q1987" s="3">
        <v>0</v>
      </c>
      <c r="R1987" s="3">
        <v>0</v>
      </c>
    </row>
    <row r="1988" spans="1:18">
      <c r="A1988" s="3" t="s">
        <v>5055</v>
      </c>
      <c r="B1988" s="3" t="s">
        <v>2229</v>
      </c>
      <c r="C1988" s="3" t="s">
        <v>2229</v>
      </c>
      <c r="D1988" s="3"/>
      <c r="E1988" s="3" t="s">
        <v>20</v>
      </c>
      <c r="F1988" s="3"/>
      <c r="G1988" s="3"/>
      <c r="H1988" s="3"/>
      <c r="I1988" s="3"/>
      <c r="J1988" s="3">
        <v>11</v>
      </c>
      <c r="K1988" s="3">
        <v>11</v>
      </c>
      <c r="L1988" s="3">
        <v>0</v>
      </c>
      <c r="M1988" s="3">
        <v>0</v>
      </c>
      <c r="N1988" s="3">
        <v>11</v>
      </c>
      <c r="O1988" s="3"/>
      <c r="P1988" s="3">
        <v>0</v>
      </c>
      <c r="Q1988" s="3">
        <v>0</v>
      </c>
      <c r="R1988" s="3">
        <v>0</v>
      </c>
    </row>
    <row r="1989" spans="1:18">
      <c r="A1989" s="3" t="s">
        <v>5056</v>
      </c>
      <c r="B1989" s="3" t="s">
        <v>2232</v>
      </c>
      <c r="C1989" s="3" t="s">
        <v>2232</v>
      </c>
      <c r="D1989" s="3"/>
      <c r="E1989" s="3" t="s">
        <v>20</v>
      </c>
      <c r="F1989" s="3"/>
      <c r="G1989" s="3"/>
      <c r="H1989" s="3"/>
      <c r="I1989" s="3"/>
      <c r="J1989" s="3">
        <v>13</v>
      </c>
      <c r="K1989" s="3">
        <v>13</v>
      </c>
      <c r="L1989" s="3">
        <v>0</v>
      </c>
      <c r="M1989" s="3">
        <v>0</v>
      </c>
      <c r="N1989" s="3">
        <v>13</v>
      </c>
      <c r="O1989" s="3"/>
      <c r="P1989" s="3">
        <v>0</v>
      </c>
      <c r="Q1989" s="3">
        <v>0</v>
      </c>
      <c r="R1989" s="3">
        <v>0</v>
      </c>
    </row>
    <row r="1990" spans="1:18">
      <c r="A1990" s="3" t="s">
        <v>5057</v>
      </c>
      <c r="B1990" s="3" t="s">
        <v>2145</v>
      </c>
      <c r="C1990" s="3" t="s">
        <v>2145</v>
      </c>
      <c r="D1990" s="3"/>
      <c r="E1990" s="3" t="s">
        <v>20</v>
      </c>
      <c r="F1990" s="3"/>
      <c r="G1990" s="3"/>
      <c r="H1990" s="3"/>
      <c r="I1990" s="3"/>
      <c r="J1990" s="3">
        <v>0</v>
      </c>
      <c r="K1990" s="3">
        <v>0</v>
      </c>
      <c r="L1990" s="3">
        <v>0</v>
      </c>
      <c r="M1990" s="3">
        <v>0</v>
      </c>
      <c r="N1990" s="3">
        <v>0</v>
      </c>
      <c r="O1990" s="3"/>
      <c r="P1990" s="3">
        <v>0</v>
      </c>
      <c r="Q1990" s="3">
        <v>0</v>
      </c>
      <c r="R1990" s="3">
        <v>0</v>
      </c>
    </row>
    <row r="1991" spans="1:18">
      <c r="A1991" s="3" t="s">
        <v>5058</v>
      </c>
      <c r="B1991" s="3" t="s">
        <v>2148</v>
      </c>
      <c r="C1991" s="3" t="s">
        <v>2148</v>
      </c>
      <c r="D1991" s="3"/>
      <c r="E1991" s="3" t="s">
        <v>20</v>
      </c>
      <c r="F1991" s="3"/>
      <c r="G1991" s="3"/>
      <c r="H1991" s="3"/>
      <c r="I1991" s="3"/>
      <c r="J1991" s="3">
        <v>15</v>
      </c>
      <c r="K1991" s="3">
        <v>15</v>
      </c>
      <c r="L1991" s="3">
        <v>0</v>
      </c>
      <c r="M1991" s="3">
        <v>0</v>
      </c>
      <c r="N1991" s="3">
        <v>15</v>
      </c>
      <c r="O1991" s="3"/>
      <c r="P1991" s="3">
        <v>0</v>
      </c>
      <c r="Q1991" s="3">
        <v>0</v>
      </c>
      <c r="R1991" s="3">
        <v>0</v>
      </c>
    </row>
    <row r="1992" spans="1:18">
      <c r="A1992" s="3" t="s">
        <v>5059</v>
      </c>
      <c r="B1992" s="3" t="s">
        <v>2151</v>
      </c>
      <c r="C1992" s="3" t="s">
        <v>2151</v>
      </c>
      <c r="D1992" s="3"/>
      <c r="E1992" s="3" t="s">
        <v>20</v>
      </c>
      <c r="F1992" s="3"/>
      <c r="G1992" s="3"/>
      <c r="H1992" s="3"/>
      <c r="I1992" s="3"/>
      <c r="J1992" s="3">
        <v>5</v>
      </c>
      <c r="K1992" s="3">
        <v>4</v>
      </c>
      <c r="L1992" s="3">
        <v>0</v>
      </c>
      <c r="M1992" s="3">
        <v>1</v>
      </c>
      <c r="N1992" s="3">
        <v>5</v>
      </c>
      <c r="O1992" s="3"/>
      <c r="P1992" s="3">
        <v>0</v>
      </c>
      <c r="Q1992" s="3">
        <v>0</v>
      </c>
      <c r="R1992" s="3">
        <v>0</v>
      </c>
    </row>
    <row r="1993" spans="1:18">
      <c r="A1993" s="3" t="s">
        <v>5060</v>
      </c>
      <c r="B1993" s="3" t="s">
        <v>2154</v>
      </c>
      <c r="C1993" s="3" t="s">
        <v>2154</v>
      </c>
      <c r="D1993" s="3"/>
      <c r="E1993" s="3" t="s">
        <v>20</v>
      </c>
      <c r="F1993" s="3"/>
      <c r="G1993" s="3"/>
      <c r="H1993" s="3"/>
      <c r="I1993" s="3"/>
      <c r="J1993" s="3">
        <v>0</v>
      </c>
      <c r="K1993" s="3">
        <v>0</v>
      </c>
      <c r="L1993" s="3">
        <v>0</v>
      </c>
      <c r="M1993" s="3">
        <v>0</v>
      </c>
      <c r="N1993" s="3">
        <v>11</v>
      </c>
      <c r="O1993" s="3"/>
      <c r="P1993" s="3">
        <v>0</v>
      </c>
      <c r="Q1993" s="3">
        <v>11</v>
      </c>
      <c r="R1993" s="3">
        <v>0</v>
      </c>
    </row>
    <row r="1994" spans="1:18">
      <c r="A1994" s="3" t="s">
        <v>5061</v>
      </c>
      <c r="B1994" s="3" t="s">
        <v>2157</v>
      </c>
      <c r="C1994" s="3" t="s">
        <v>2157</v>
      </c>
      <c r="D1994" s="3"/>
      <c r="E1994" s="3" t="s">
        <v>20</v>
      </c>
      <c r="F1994" s="3"/>
      <c r="G1994" s="3"/>
      <c r="H1994" s="3"/>
      <c r="I1994" s="3"/>
      <c r="J1994" s="3">
        <v>7</v>
      </c>
      <c r="K1994" s="3">
        <v>7</v>
      </c>
      <c r="L1994" s="3">
        <v>0</v>
      </c>
      <c r="M1994" s="3">
        <v>0</v>
      </c>
      <c r="N1994" s="3">
        <v>7</v>
      </c>
      <c r="O1994" s="3"/>
      <c r="P1994" s="3">
        <v>0</v>
      </c>
      <c r="Q1994" s="3">
        <v>0</v>
      </c>
      <c r="R1994" s="3">
        <v>0</v>
      </c>
    </row>
    <row r="1995" spans="1:18">
      <c r="A1995" s="3" t="s">
        <v>5062</v>
      </c>
      <c r="B1995" s="3" t="s">
        <v>5063</v>
      </c>
      <c r="C1995" s="3" t="s">
        <v>5063</v>
      </c>
      <c r="D1995" s="3" t="s">
        <v>1377</v>
      </c>
      <c r="E1995" s="3" t="s">
        <v>120</v>
      </c>
      <c r="F1995" s="3">
        <v>22.98</v>
      </c>
      <c r="G1995" s="3" t="s">
        <v>121</v>
      </c>
      <c r="H1995" s="3"/>
      <c r="I1995" s="3" t="s">
        <v>122</v>
      </c>
      <c r="J1995" s="3">
        <v>0</v>
      </c>
      <c r="K1995" s="3">
        <v>0</v>
      </c>
      <c r="L1995" s="3">
        <v>0</v>
      </c>
      <c r="M1995" s="3">
        <v>0</v>
      </c>
      <c r="N1995" s="3">
        <v>0</v>
      </c>
      <c r="O1995" s="3">
        <v>0.04</v>
      </c>
      <c r="P1995" s="3">
        <v>0</v>
      </c>
      <c r="Q1995" s="3">
        <v>0</v>
      </c>
      <c r="R1995" s="3">
        <v>0</v>
      </c>
    </row>
    <row r="1996" spans="1:18">
      <c r="A1996" s="3" t="s">
        <v>5064</v>
      </c>
      <c r="B1996" s="3" t="s">
        <v>5065</v>
      </c>
      <c r="C1996" s="3" t="s">
        <v>5065</v>
      </c>
      <c r="D1996" s="3"/>
      <c r="E1996" s="3" t="s">
        <v>20</v>
      </c>
      <c r="F1996" s="3"/>
      <c r="G1996" s="3"/>
      <c r="H1996" s="3"/>
      <c r="I1996" s="3"/>
      <c r="J1996" s="3">
        <v>0</v>
      </c>
      <c r="K1996" s="3">
        <v>0</v>
      </c>
      <c r="L1996" s="3">
        <v>0</v>
      </c>
      <c r="M1996" s="3">
        <v>0</v>
      </c>
      <c r="N1996" s="3">
        <v>0</v>
      </c>
      <c r="O1996" s="3"/>
      <c r="P1996" s="3">
        <v>0</v>
      </c>
      <c r="Q1996" s="3">
        <v>0</v>
      </c>
      <c r="R1996" s="3">
        <v>0</v>
      </c>
    </row>
    <row r="1997" spans="1:18">
      <c r="A1997" s="3" t="s">
        <v>5066</v>
      </c>
      <c r="B1997" s="3" t="s">
        <v>5067</v>
      </c>
      <c r="C1997" s="3" t="s">
        <v>5067</v>
      </c>
      <c r="D1997" s="3"/>
      <c r="E1997" s="3" t="s">
        <v>20</v>
      </c>
      <c r="F1997" s="3"/>
      <c r="G1997" s="3"/>
      <c r="H1997" s="3"/>
      <c r="I1997" s="3"/>
      <c r="J1997" s="3">
        <v>0</v>
      </c>
      <c r="K1997" s="3">
        <v>0</v>
      </c>
      <c r="L1997" s="3">
        <v>0</v>
      </c>
      <c r="M1997" s="3">
        <v>0</v>
      </c>
      <c r="N1997" s="3">
        <v>0</v>
      </c>
      <c r="O1997" s="3"/>
      <c r="P1997" s="3">
        <v>0</v>
      </c>
      <c r="Q1997" s="3">
        <v>0</v>
      </c>
      <c r="R1997" s="3">
        <v>0</v>
      </c>
    </row>
    <row r="1998" spans="1:18">
      <c r="A1998" s="3" t="s">
        <v>5068</v>
      </c>
      <c r="B1998" s="3" t="s">
        <v>5069</v>
      </c>
      <c r="C1998" s="3" t="s">
        <v>5069</v>
      </c>
      <c r="D1998" s="3"/>
      <c r="E1998" s="3" t="s">
        <v>20</v>
      </c>
      <c r="F1998" s="3"/>
      <c r="G1998" s="3"/>
      <c r="H1998" s="3"/>
      <c r="I1998" s="3"/>
      <c r="J1998" s="3">
        <v>0</v>
      </c>
      <c r="K1998" s="3">
        <v>0</v>
      </c>
      <c r="L1998" s="3">
        <v>0</v>
      </c>
      <c r="M1998" s="3">
        <v>0</v>
      </c>
      <c r="N1998" s="3">
        <v>0</v>
      </c>
      <c r="O1998" s="3"/>
      <c r="P1998" s="3">
        <v>0</v>
      </c>
      <c r="Q1998" s="3">
        <v>0</v>
      </c>
      <c r="R1998" s="3">
        <v>0</v>
      </c>
    </row>
    <row r="1999" spans="1:18">
      <c r="A1999" s="3" t="s">
        <v>5070</v>
      </c>
      <c r="B1999" s="3" t="s">
        <v>367</v>
      </c>
      <c r="C1999" s="3" t="s">
        <v>367</v>
      </c>
      <c r="D1999" s="3"/>
      <c r="E1999" s="3" t="s">
        <v>20</v>
      </c>
      <c r="F1999" s="3"/>
      <c r="G1999" s="3"/>
      <c r="H1999" s="3"/>
      <c r="I1999" s="3"/>
      <c r="J1999" s="3">
        <v>4</v>
      </c>
      <c r="K1999" s="3">
        <v>1</v>
      </c>
      <c r="L1999" s="3">
        <v>0</v>
      </c>
      <c r="M1999" s="3">
        <v>3</v>
      </c>
      <c r="N1999" s="3">
        <v>4</v>
      </c>
      <c r="O1999" s="3"/>
      <c r="P1999" s="3">
        <v>0</v>
      </c>
      <c r="Q1999" s="3">
        <v>0</v>
      </c>
      <c r="R1999" s="3">
        <v>0</v>
      </c>
    </row>
    <row r="2000" spans="1:18">
      <c r="A2000" s="3" t="s">
        <v>5071</v>
      </c>
      <c r="B2000" s="3" t="s">
        <v>5072</v>
      </c>
      <c r="C2000" s="3" t="s">
        <v>5072</v>
      </c>
      <c r="D2000" s="3"/>
      <c r="E2000" s="3" t="s">
        <v>20</v>
      </c>
      <c r="F2000" s="3"/>
      <c r="G2000" s="3"/>
      <c r="H2000" s="3"/>
      <c r="I2000" s="3"/>
      <c r="J2000" s="3">
        <v>0</v>
      </c>
      <c r="K2000" s="3">
        <v>0</v>
      </c>
      <c r="L2000" s="3">
        <v>0</v>
      </c>
      <c r="M2000" s="3">
        <v>0</v>
      </c>
      <c r="N2000" s="3">
        <v>0</v>
      </c>
      <c r="O2000" s="3"/>
      <c r="P2000" s="3">
        <v>0</v>
      </c>
      <c r="Q2000" s="3">
        <v>0</v>
      </c>
      <c r="R2000" s="3">
        <v>0</v>
      </c>
    </row>
    <row r="2001" spans="1:18">
      <c r="A2001" s="3" t="s">
        <v>5073</v>
      </c>
      <c r="B2001" s="3" t="s">
        <v>5074</v>
      </c>
      <c r="C2001" s="3" t="s">
        <v>5074</v>
      </c>
      <c r="D2001" s="3" t="s">
        <v>5075</v>
      </c>
      <c r="E2001" s="3" t="s">
        <v>120</v>
      </c>
      <c r="F2001" s="3">
        <v>26.98</v>
      </c>
      <c r="G2001" s="3" t="s">
        <v>121</v>
      </c>
      <c r="H2001" s="3"/>
      <c r="I2001" s="3" t="s">
        <v>122</v>
      </c>
      <c r="J2001" s="3">
        <v>0</v>
      </c>
      <c r="K2001" s="3">
        <v>0</v>
      </c>
      <c r="L2001" s="3">
        <v>0</v>
      </c>
      <c r="M2001" s="3">
        <v>0</v>
      </c>
      <c r="N2001" s="3">
        <v>0</v>
      </c>
      <c r="O2001" s="3">
        <v>0.04</v>
      </c>
      <c r="P2001" s="3">
        <v>0</v>
      </c>
      <c r="Q2001" s="3">
        <v>0</v>
      </c>
      <c r="R2001" s="3">
        <v>0</v>
      </c>
    </row>
    <row r="2002" spans="1:18">
      <c r="A2002" s="3" t="s">
        <v>5076</v>
      </c>
      <c r="B2002" s="3" t="s">
        <v>5077</v>
      </c>
      <c r="C2002" s="3" t="s">
        <v>5077</v>
      </c>
      <c r="D2002" s="3"/>
      <c r="E2002" s="3" t="s">
        <v>20</v>
      </c>
      <c r="F2002" s="3"/>
      <c r="G2002" s="3"/>
      <c r="H2002" s="3"/>
      <c r="I2002" s="3"/>
      <c r="J2002" s="3">
        <v>0</v>
      </c>
      <c r="K2002" s="3">
        <v>0</v>
      </c>
      <c r="L2002" s="3">
        <v>0</v>
      </c>
      <c r="M2002" s="3">
        <v>0</v>
      </c>
      <c r="N2002" s="3">
        <v>0</v>
      </c>
      <c r="O2002" s="3"/>
      <c r="P2002" s="3">
        <v>0</v>
      </c>
      <c r="Q2002" s="3">
        <v>0</v>
      </c>
      <c r="R2002" s="3">
        <v>0</v>
      </c>
    </row>
    <row r="2003" spans="1:18">
      <c r="A2003" s="3" t="s">
        <v>5078</v>
      </c>
      <c r="B2003" s="3" t="s">
        <v>5079</v>
      </c>
      <c r="C2003" s="3" t="s">
        <v>5079</v>
      </c>
      <c r="D2003" s="3"/>
      <c r="E2003" s="3" t="s">
        <v>20</v>
      </c>
      <c r="F2003" s="3"/>
      <c r="G2003" s="3"/>
      <c r="H2003" s="3"/>
      <c r="I2003" s="3"/>
      <c r="J2003" s="3">
        <v>0</v>
      </c>
      <c r="K2003" s="3">
        <v>0</v>
      </c>
      <c r="L2003" s="3">
        <v>0</v>
      </c>
      <c r="M2003" s="3">
        <v>0</v>
      </c>
      <c r="N2003" s="3">
        <v>0</v>
      </c>
      <c r="O2003" s="3"/>
      <c r="P2003" s="3">
        <v>0</v>
      </c>
      <c r="Q2003" s="3">
        <v>0</v>
      </c>
      <c r="R2003" s="3">
        <v>0</v>
      </c>
    </row>
    <row r="2004" spans="1:18">
      <c r="A2004" s="3" t="s">
        <v>5080</v>
      </c>
      <c r="B2004" s="3" t="s">
        <v>4782</v>
      </c>
      <c r="C2004" s="3" t="s">
        <v>4782</v>
      </c>
      <c r="D2004" s="3" t="s">
        <v>4905</v>
      </c>
      <c r="E2004" s="3" t="s">
        <v>120</v>
      </c>
      <c r="F2004" s="3">
        <v>22.98</v>
      </c>
      <c r="G2004" s="3" t="s">
        <v>121</v>
      </c>
      <c r="H2004" s="3"/>
      <c r="I2004" s="3" t="s">
        <v>122</v>
      </c>
      <c r="J2004" s="3">
        <v>23</v>
      </c>
      <c r="K2004" s="3">
        <v>23</v>
      </c>
      <c r="L2004" s="3">
        <v>0</v>
      </c>
      <c r="M2004" s="3">
        <v>0</v>
      </c>
      <c r="N2004" s="3">
        <v>23</v>
      </c>
      <c r="O2004" s="3">
        <v>0.07</v>
      </c>
      <c r="P2004" s="3">
        <v>0</v>
      </c>
      <c r="Q2004" s="3">
        <v>0</v>
      </c>
      <c r="R2004" s="3">
        <v>0</v>
      </c>
    </row>
    <row r="2005" spans="1:18">
      <c r="A2005" s="3" t="s">
        <v>5081</v>
      </c>
      <c r="B2005" s="3" t="s">
        <v>4784</v>
      </c>
      <c r="C2005" s="3" t="s">
        <v>4784</v>
      </c>
      <c r="D2005" s="3" t="s">
        <v>4908</v>
      </c>
      <c r="E2005" s="3" t="s">
        <v>120</v>
      </c>
      <c r="F2005" s="3">
        <v>22.98</v>
      </c>
      <c r="G2005" s="3" t="s">
        <v>121</v>
      </c>
      <c r="H2005" s="3"/>
      <c r="I2005" s="3" t="s">
        <v>122</v>
      </c>
      <c r="J2005" s="3">
        <v>23</v>
      </c>
      <c r="K2005" s="3">
        <v>23</v>
      </c>
      <c r="L2005" s="3">
        <v>0</v>
      </c>
      <c r="M2005" s="3">
        <v>0</v>
      </c>
      <c r="N2005" s="3">
        <v>23</v>
      </c>
      <c r="O2005" s="3">
        <v>0.07</v>
      </c>
      <c r="P2005" s="3">
        <v>0</v>
      </c>
      <c r="Q2005" s="3">
        <v>0</v>
      </c>
      <c r="R2005" s="3">
        <v>0</v>
      </c>
    </row>
    <row r="2006" spans="1:18">
      <c r="A2006" s="3" t="s">
        <v>5082</v>
      </c>
      <c r="B2006" s="3" t="s">
        <v>4786</v>
      </c>
      <c r="C2006" s="3" t="s">
        <v>4786</v>
      </c>
      <c r="D2006" s="3" t="s">
        <v>4911</v>
      </c>
      <c r="E2006" s="3" t="s">
        <v>120</v>
      </c>
      <c r="F2006" s="3">
        <v>22.98</v>
      </c>
      <c r="G2006" s="3" t="s">
        <v>121</v>
      </c>
      <c r="H2006" s="3"/>
      <c r="I2006" s="3" t="s">
        <v>122</v>
      </c>
      <c r="J2006" s="3">
        <v>15</v>
      </c>
      <c r="K2006" s="3">
        <v>15</v>
      </c>
      <c r="L2006" s="3">
        <v>0</v>
      </c>
      <c r="M2006" s="3">
        <v>0</v>
      </c>
      <c r="N2006" s="3">
        <v>15</v>
      </c>
      <c r="O2006" s="3">
        <v>0.07</v>
      </c>
      <c r="P2006" s="3">
        <v>0</v>
      </c>
      <c r="Q2006" s="3">
        <v>0</v>
      </c>
      <c r="R2006" s="3">
        <v>0</v>
      </c>
    </row>
    <row r="2007" spans="1:18">
      <c r="A2007" s="3" t="s">
        <v>5083</v>
      </c>
      <c r="B2007" s="3" t="s">
        <v>4788</v>
      </c>
      <c r="C2007" s="3" t="s">
        <v>4788</v>
      </c>
      <c r="D2007" s="3" t="s">
        <v>4914</v>
      </c>
      <c r="E2007" s="3" t="s">
        <v>120</v>
      </c>
      <c r="F2007" s="3">
        <v>22.98</v>
      </c>
      <c r="G2007" s="3" t="s">
        <v>121</v>
      </c>
      <c r="H2007" s="3"/>
      <c r="I2007" s="3" t="s">
        <v>122</v>
      </c>
      <c r="J2007" s="3">
        <v>9</v>
      </c>
      <c r="K2007" s="3">
        <v>9</v>
      </c>
      <c r="L2007" s="3">
        <v>0</v>
      </c>
      <c r="M2007" s="3">
        <v>0</v>
      </c>
      <c r="N2007" s="3">
        <v>9</v>
      </c>
      <c r="O2007" s="3">
        <v>0.07</v>
      </c>
      <c r="P2007" s="3">
        <v>0</v>
      </c>
      <c r="Q2007" s="3">
        <v>0</v>
      </c>
      <c r="R2007" s="3">
        <v>0</v>
      </c>
    </row>
    <row r="2008" spans="1:18">
      <c r="A2008" s="3" t="s">
        <v>5084</v>
      </c>
      <c r="B2008" s="3" t="s">
        <v>4790</v>
      </c>
      <c r="C2008" s="3" t="s">
        <v>4790</v>
      </c>
      <c r="D2008" s="3" t="s">
        <v>4917</v>
      </c>
      <c r="E2008" s="3" t="s">
        <v>120</v>
      </c>
      <c r="F2008" s="3">
        <v>22.98</v>
      </c>
      <c r="G2008" s="3" t="s">
        <v>121</v>
      </c>
      <c r="H2008" s="3"/>
      <c r="I2008" s="3" t="s">
        <v>122</v>
      </c>
      <c r="J2008" s="3">
        <v>18</v>
      </c>
      <c r="K2008" s="3">
        <v>16</v>
      </c>
      <c r="L2008" s="3">
        <v>0</v>
      </c>
      <c r="M2008" s="3">
        <v>2</v>
      </c>
      <c r="N2008" s="3">
        <v>18</v>
      </c>
      <c r="O2008" s="3">
        <v>0.07</v>
      </c>
      <c r="P2008" s="3">
        <v>0</v>
      </c>
      <c r="Q2008" s="3">
        <v>0</v>
      </c>
      <c r="R2008" s="3">
        <v>0</v>
      </c>
    </row>
    <row r="2009" spans="1:18">
      <c r="A2009" s="3" t="s">
        <v>5085</v>
      </c>
      <c r="B2009" s="3" t="s">
        <v>4771</v>
      </c>
      <c r="C2009" s="3" t="s">
        <v>4771</v>
      </c>
      <c r="D2009" s="3" t="s">
        <v>4891</v>
      </c>
      <c r="E2009" s="3" t="s">
        <v>120</v>
      </c>
      <c r="F2009" s="3">
        <v>22.98</v>
      </c>
      <c r="G2009" s="3" t="s">
        <v>121</v>
      </c>
      <c r="H2009" s="3"/>
      <c r="I2009" s="3" t="s">
        <v>122</v>
      </c>
      <c r="J2009" s="3">
        <v>32</v>
      </c>
      <c r="K2009" s="3">
        <v>32</v>
      </c>
      <c r="L2009" s="3">
        <v>0</v>
      </c>
      <c r="M2009" s="3">
        <v>0</v>
      </c>
      <c r="N2009" s="3">
        <v>32</v>
      </c>
      <c r="O2009" s="3">
        <v>0.07</v>
      </c>
      <c r="P2009" s="3">
        <v>0</v>
      </c>
      <c r="Q2009" s="3">
        <v>0</v>
      </c>
      <c r="R2009" s="3">
        <v>0</v>
      </c>
    </row>
    <row r="2010" spans="1:18">
      <c r="A2010" s="3" t="s">
        <v>5086</v>
      </c>
      <c r="B2010" s="3" t="s">
        <v>4773</v>
      </c>
      <c r="C2010" s="3" t="s">
        <v>4773</v>
      </c>
      <c r="D2010" s="3" t="s">
        <v>4894</v>
      </c>
      <c r="E2010" s="3" t="s">
        <v>120</v>
      </c>
      <c r="F2010" s="3">
        <v>22.98</v>
      </c>
      <c r="G2010" s="3" t="s">
        <v>121</v>
      </c>
      <c r="H2010" s="3"/>
      <c r="I2010" s="3" t="s">
        <v>122</v>
      </c>
      <c r="J2010" s="3">
        <v>19</v>
      </c>
      <c r="K2010" s="3">
        <v>19</v>
      </c>
      <c r="L2010" s="3">
        <v>0</v>
      </c>
      <c r="M2010" s="3">
        <v>0</v>
      </c>
      <c r="N2010" s="3">
        <v>19</v>
      </c>
      <c r="O2010" s="3">
        <v>0.07</v>
      </c>
      <c r="P2010" s="3">
        <v>0</v>
      </c>
      <c r="Q2010" s="3">
        <v>0</v>
      </c>
      <c r="R2010" s="3">
        <v>0</v>
      </c>
    </row>
    <row r="2011" spans="1:18">
      <c r="A2011" s="3" t="s">
        <v>5087</v>
      </c>
      <c r="B2011" s="3" t="s">
        <v>4775</v>
      </c>
      <c r="C2011" s="3" t="s">
        <v>4775</v>
      </c>
      <c r="D2011" s="3" t="s">
        <v>4897</v>
      </c>
      <c r="E2011" s="3" t="s">
        <v>120</v>
      </c>
      <c r="F2011" s="3">
        <v>22.98</v>
      </c>
      <c r="G2011" s="3" t="s">
        <v>121</v>
      </c>
      <c r="H2011" s="3"/>
      <c r="I2011" s="3" t="s">
        <v>122</v>
      </c>
      <c r="J2011" s="3">
        <v>12</v>
      </c>
      <c r="K2011" s="3">
        <v>12</v>
      </c>
      <c r="L2011" s="3">
        <v>0</v>
      </c>
      <c r="M2011" s="3">
        <v>0</v>
      </c>
      <c r="N2011" s="3">
        <v>12</v>
      </c>
      <c r="O2011" s="3">
        <v>0.07</v>
      </c>
      <c r="P2011" s="3">
        <v>0</v>
      </c>
      <c r="Q2011" s="3">
        <v>0</v>
      </c>
      <c r="R2011" s="3">
        <v>0</v>
      </c>
    </row>
    <row r="2012" spans="1:18">
      <c r="A2012" s="3" t="s">
        <v>5088</v>
      </c>
      <c r="B2012" s="3" t="s">
        <v>4777</v>
      </c>
      <c r="C2012" s="3" t="s">
        <v>4777</v>
      </c>
      <c r="D2012" s="3" t="s">
        <v>4900</v>
      </c>
      <c r="E2012" s="3" t="s">
        <v>120</v>
      </c>
      <c r="F2012" s="3">
        <v>22.98</v>
      </c>
      <c r="G2012" s="3" t="s">
        <v>121</v>
      </c>
      <c r="H2012" s="3"/>
      <c r="I2012" s="3" t="s">
        <v>122</v>
      </c>
      <c r="J2012" s="3">
        <v>6</v>
      </c>
      <c r="K2012" s="3">
        <v>6</v>
      </c>
      <c r="L2012" s="3">
        <v>0</v>
      </c>
      <c r="M2012" s="3">
        <v>0</v>
      </c>
      <c r="N2012" s="3">
        <v>6</v>
      </c>
      <c r="O2012" s="3">
        <v>0.07</v>
      </c>
      <c r="P2012" s="3">
        <v>0</v>
      </c>
      <c r="Q2012" s="3">
        <v>0</v>
      </c>
      <c r="R2012" s="3">
        <v>0</v>
      </c>
    </row>
    <row r="2013" spans="1:18">
      <c r="A2013" s="3" t="s">
        <v>5089</v>
      </c>
      <c r="B2013" s="3" t="s">
        <v>4779</v>
      </c>
      <c r="C2013" s="3" t="s">
        <v>4779</v>
      </c>
      <c r="D2013" s="3" t="s">
        <v>4780</v>
      </c>
      <c r="E2013" s="3" t="s">
        <v>120</v>
      </c>
      <c r="F2013" s="3">
        <v>22.98</v>
      </c>
      <c r="G2013" s="3" t="s">
        <v>121</v>
      </c>
      <c r="H2013" s="3"/>
      <c r="I2013" s="3" t="s">
        <v>122</v>
      </c>
      <c r="J2013" s="3">
        <v>23</v>
      </c>
      <c r="K2013" s="3">
        <v>23</v>
      </c>
      <c r="L2013" s="3">
        <v>0</v>
      </c>
      <c r="M2013" s="3">
        <v>0</v>
      </c>
      <c r="N2013" s="3">
        <v>23</v>
      </c>
      <c r="O2013" s="3">
        <v>0.07</v>
      </c>
      <c r="P2013" s="3">
        <v>0</v>
      </c>
      <c r="Q2013" s="3">
        <v>0</v>
      </c>
      <c r="R2013" s="3">
        <v>0</v>
      </c>
    </row>
    <row r="2014" spans="1:18">
      <c r="A2014" s="3" t="s">
        <v>5090</v>
      </c>
      <c r="B2014" s="3" t="s">
        <v>4807</v>
      </c>
      <c r="C2014" s="3" t="s">
        <v>4807</v>
      </c>
      <c r="D2014" s="3" t="s">
        <v>4931</v>
      </c>
      <c r="E2014" s="3" t="s">
        <v>120</v>
      </c>
      <c r="F2014" s="3">
        <v>22.98</v>
      </c>
      <c r="G2014" s="3" t="s">
        <v>121</v>
      </c>
      <c r="H2014" s="3"/>
      <c r="I2014" s="3" t="s">
        <v>122</v>
      </c>
      <c r="J2014" s="3">
        <v>7</v>
      </c>
      <c r="K2014" s="3">
        <v>7</v>
      </c>
      <c r="L2014" s="3">
        <v>0</v>
      </c>
      <c r="M2014" s="3">
        <v>0</v>
      </c>
      <c r="N2014" s="3">
        <v>7</v>
      </c>
      <c r="O2014" s="3">
        <v>0.07</v>
      </c>
      <c r="P2014" s="3">
        <v>0</v>
      </c>
      <c r="Q2014" s="3">
        <v>0</v>
      </c>
      <c r="R2014" s="3">
        <v>0</v>
      </c>
    </row>
    <row r="2015" spans="1:18">
      <c r="A2015" s="3" t="s">
        <v>5091</v>
      </c>
      <c r="B2015" s="3" t="s">
        <v>4809</v>
      </c>
      <c r="C2015" s="3" t="s">
        <v>4809</v>
      </c>
      <c r="D2015" s="3" t="s">
        <v>4934</v>
      </c>
      <c r="E2015" s="3" t="s">
        <v>120</v>
      </c>
      <c r="F2015" s="3">
        <v>22.98</v>
      </c>
      <c r="G2015" s="3" t="s">
        <v>121</v>
      </c>
      <c r="H2015" s="3"/>
      <c r="I2015" s="3" t="s">
        <v>122</v>
      </c>
      <c r="J2015" s="3">
        <v>11</v>
      </c>
      <c r="K2015" s="3">
        <v>11</v>
      </c>
      <c r="L2015" s="3">
        <v>0</v>
      </c>
      <c r="M2015" s="3">
        <v>0</v>
      </c>
      <c r="N2015" s="3">
        <v>11</v>
      </c>
      <c r="O2015" s="3">
        <v>0.07</v>
      </c>
      <c r="P2015" s="3">
        <v>0</v>
      </c>
      <c r="Q2015" s="3">
        <v>0</v>
      </c>
      <c r="R2015" s="3">
        <v>0</v>
      </c>
    </row>
    <row r="2016" spans="1:18">
      <c r="A2016" s="3" t="s">
        <v>5092</v>
      </c>
      <c r="B2016" s="3" t="s">
        <v>4811</v>
      </c>
      <c r="C2016" s="3" t="s">
        <v>4811</v>
      </c>
      <c r="D2016" s="3" t="s">
        <v>4937</v>
      </c>
      <c r="E2016" s="3" t="s">
        <v>120</v>
      </c>
      <c r="F2016" s="3">
        <v>22.98</v>
      </c>
      <c r="G2016" s="3" t="s">
        <v>121</v>
      </c>
      <c r="H2016" s="3"/>
      <c r="I2016" s="3" t="s">
        <v>122</v>
      </c>
      <c r="J2016" s="3">
        <v>18</v>
      </c>
      <c r="K2016" s="3">
        <v>17</v>
      </c>
      <c r="L2016" s="3">
        <v>0</v>
      </c>
      <c r="M2016" s="3">
        <v>1</v>
      </c>
      <c r="N2016" s="3">
        <v>18</v>
      </c>
      <c r="O2016" s="3">
        <v>0.07</v>
      </c>
      <c r="P2016" s="3">
        <v>0</v>
      </c>
      <c r="Q2016" s="3">
        <v>0</v>
      </c>
      <c r="R2016" s="3">
        <v>0</v>
      </c>
    </row>
    <row r="2017" spans="1:18">
      <c r="A2017" s="3" t="s">
        <v>5093</v>
      </c>
      <c r="B2017" s="3" t="s">
        <v>4813</v>
      </c>
      <c r="C2017" s="3" t="s">
        <v>4813</v>
      </c>
      <c r="D2017" s="3" t="s">
        <v>4940</v>
      </c>
      <c r="E2017" s="3" t="s">
        <v>120</v>
      </c>
      <c r="F2017" s="3">
        <v>22.98</v>
      </c>
      <c r="G2017" s="3" t="s">
        <v>121</v>
      </c>
      <c r="H2017" s="3"/>
      <c r="I2017" s="3" t="s">
        <v>122</v>
      </c>
      <c r="J2017" s="3">
        <v>5</v>
      </c>
      <c r="K2017" s="3">
        <v>5</v>
      </c>
      <c r="L2017" s="3">
        <v>0</v>
      </c>
      <c r="M2017" s="3">
        <v>0</v>
      </c>
      <c r="N2017" s="3">
        <v>5</v>
      </c>
      <c r="O2017" s="3">
        <v>0.07</v>
      </c>
      <c r="P2017" s="3">
        <v>0</v>
      </c>
      <c r="Q2017" s="3">
        <v>0</v>
      </c>
      <c r="R2017" s="3">
        <v>0</v>
      </c>
    </row>
    <row r="2018" spans="1:18">
      <c r="A2018" s="3" t="s">
        <v>5094</v>
      </c>
      <c r="B2018" s="3" t="s">
        <v>4815</v>
      </c>
      <c r="C2018" s="3" t="s">
        <v>4815</v>
      </c>
      <c r="D2018" s="3" t="s">
        <v>4943</v>
      </c>
      <c r="E2018" s="3" t="s">
        <v>120</v>
      </c>
      <c r="F2018" s="3">
        <v>22.98</v>
      </c>
      <c r="G2018" s="3" t="s">
        <v>121</v>
      </c>
      <c r="H2018" s="3"/>
      <c r="I2018" s="3" t="s">
        <v>122</v>
      </c>
      <c r="J2018" s="3">
        <v>8</v>
      </c>
      <c r="K2018" s="3">
        <v>8</v>
      </c>
      <c r="L2018" s="3">
        <v>0</v>
      </c>
      <c r="M2018" s="3">
        <v>0</v>
      </c>
      <c r="N2018" s="3">
        <v>8</v>
      </c>
      <c r="O2018" s="3">
        <v>0.07</v>
      </c>
      <c r="P2018" s="3">
        <v>0</v>
      </c>
      <c r="Q2018" s="3">
        <v>0</v>
      </c>
      <c r="R2018" s="3">
        <v>0</v>
      </c>
    </row>
    <row r="2019" spans="1:18">
      <c r="A2019" s="3" t="s">
        <v>5095</v>
      </c>
      <c r="B2019" s="3" t="s">
        <v>4817</v>
      </c>
      <c r="C2019" s="3" t="s">
        <v>4817</v>
      </c>
      <c r="D2019" s="3" t="s">
        <v>4946</v>
      </c>
      <c r="E2019" s="3" t="s">
        <v>120</v>
      </c>
      <c r="F2019" s="3">
        <v>22.98</v>
      </c>
      <c r="G2019" s="3" t="s">
        <v>121</v>
      </c>
      <c r="H2019" s="3"/>
      <c r="I2019" s="3" t="s">
        <v>122</v>
      </c>
      <c r="J2019" s="3">
        <v>13</v>
      </c>
      <c r="K2019" s="3">
        <v>13</v>
      </c>
      <c r="L2019" s="3">
        <v>0</v>
      </c>
      <c r="M2019" s="3">
        <v>0</v>
      </c>
      <c r="N2019" s="3">
        <v>13</v>
      </c>
      <c r="O2019" s="3">
        <v>0.07</v>
      </c>
      <c r="P2019" s="3">
        <v>0</v>
      </c>
      <c r="Q2019" s="3">
        <v>0</v>
      </c>
      <c r="R2019" s="3">
        <v>0</v>
      </c>
    </row>
    <row r="2020" spans="1:18">
      <c r="A2020" s="3" t="s">
        <v>5096</v>
      </c>
      <c r="B2020" s="3" t="s">
        <v>4819</v>
      </c>
      <c r="C2020" s="3" t="s">
        <v>4819</v>
      </c>
      <c r="D2020" s="3" t="s">
        <v>4949</v>
      </c>
      <c r="E2020" s="3" t="s">
        <v>120</v>
      </c>
      <c r="F2020" s="3">
        <v>22.98</v>
      </c>
      <c r="G2020" s="3" t="s">
        <v>121</v>
      </c>
      <c r="H2020" s="3"/>
      <c r="I2020" s="3" t="s">
        <v>122</v>
      </c>
      <c r="J2020" s="3">
        <v>19</v>
      </c>
      <c r="K2020" s="3">
        <v>19</v>
      </c>
      <c r="L2020" s="3">
        <v>0</v>
      </c>
      <c r="M2020" s="3">
        <v>0</v>
      </c>
      <c r="N2020" s="3">
        <v>19</v>
      </c>
      <c r="O2020" s="3">
        <v>0.07</v>
      </c>
      <c r="P2020" s="3">
        <v>0</v>
      </c>
      <c r="Q2020" s="3">
        <v>0</v>
      </c>
      <c r="R2020" s="3">
        <v>0</v>
      </c>
    </row>
    <row r="2021" spans="1:18">
      <c r="A2021" s="3" t="s">
        <v>5097</v>
      </c>
      <c r="B2021" s="3" t="s">
        <v>4821</v>
      </c>
      <c r="C2021" s="3" t="s">
        <v>4821</v>
      </c>
      <c r="D2021" s="3" t="s">
        <v>4952</v>
      </c>
      <c r="E2021" s="3" t="s">
        <v>120</v>
      </c>
      <c r="F2021" s="3">
        <v>22.98</v>
      </c>
      <c r="G2021" s="3" t="s">
        <v>121</v>
      </c>
      <c r="H2021" s="3"/>
      <c r="I2021" s="3" t="s">
        <v>122</v>
      </c>
      <c r="J2021" s="3">
        <v>7</v>
      </c>
      <c r="K2021" s="3">
        <v>7</v>
      </c>
      <c r="L2021" s="3">
        <v>0</v>
      </c>
      <c r="M2021" s="3">
        <v>0</v>
      </c>
      <c r="N2021" s="3">
        <v>7</v>
      </c>
      <c r="O2021" s="3">
        <v>0.07</v>
      </c>
      <c r="P2021" s="3">
        <v>0</v>
      </c>
      <c r="Q2021" s="3">
        <v>0</v>
      </c>
      <c r="R2021" s="3">
        <v>0</v>
      </c>
    </row>
    <row r="2022" spans="1:18">
      <c r="A2022" s="3" t="s">
        <v>5098</v>
      </c>
      <c r="B2022" s="3" t="s">
        <v>4823</v>
      </c>
      <c r="C2022" s="3" t="s">
        <v>4823</v>
      </c>
      <c r="D2022" s="3" t="s">
        <v>4955</v>
      </c>
      <c r="E2022" s="3" t="s">
        <v>120</v>
      </c>
      <c r="F2022" s="3">
        <v>22.98</v>
      </c>
      <c r="G2022" s="3" t="s">
        <v>121</v>
      </c>
      <c r="H2022" s="3"/>
      <c r="I2022" s="3" t="s">
        <v>122</v>
      </c>
      <c r="J2022" s="3">
        <v>8</v>
      </c>
      <c r="K2022" s="3">
        <v>8</v>
      </c>
      <c r="L2022" s="3">
        <v>0</v>
      </c>
      <c r="M2022" s="3">
        <v>0</v>
      </c>
      <c r="N2022" s="3">
        <v>8</v>
      </c>
      <c r="O2022" s="3">
        <v>0.07</v>
      </c>
      <c r="P2022" s="3">
        <v>0</v>
      </c>
      <c r="Q2022" s="3">
        <v>0</v>
      </c>
      <c r="R2022" s="3">
        <v>0</v>
      </c>
    </row>
    <row r="2023" spans="1:18">
      <c r="A2023" s="3" t="s">
        <v>5099</v>
      </c>
      <c r="B2023" s="3" t="s">
        <v>4825</v>
      </c>
      <c r="C2023" s="3" t="s">
        <v>4825</v>
      </c>
      <c r="D2023" s="3" t="s">
        <v>4958</v>
      </c>
      <c r="E2023" s="3" t="s">
        <v>120</v>
      </c>
      <c r="F2023" s="3">
        <v>22.98</v>
      </c>
      <c r="G2023" s="3" t="s">
        <v>121</v>
      </c>
      <c r="H2023" s="3"/>
      <c r="I2023" s="3" t="s">
        <v>122</v>
      </c>
      <c r="J2023" s="3">
        <v>21</v>
      </c>
      <c r="K2023" s="3">
        <v>21</v>
      </c>
      <c r="L2023" s="3">
        <v>0</v>
      </c>
      <c r="M2023" s="3">
        <v>0</v>
      </c>
      <c r="N2023" s="3">
        <v>21</v>
      </c>
      <c r="O2023" s="3">
        <v>0.07</v>
      </c>
      <c r="P2023" s="3">
        <v>0</v>
      </c>
      <c r="Q2023" s="3">
        <v>0</v>
      </c>
      <c r="R2023" s="3">
        <v>0</v>
      </c>
    </row>
    <row r="2024" spans="1:18">
      <c r="A2024" s="3" t="s">
        <v>5100</v>
      </c>
      <c r="B2024" s="3" t="s">
        <v>5101</v>
      </c>
      <c r="C2024" s="3" t="s">
        <v>5101</v>
      </c>
      <c r="D2024" s="3" t="s">
        <v>5102</v>
      </c>
      <c r="E2024" s="3" t="s">
        <v>120</v>
      </c>
      <c r="F2024" s="3">
        <v>49.98</v>
      </c>
      <c r="G2024" s="3" t="s">
        <v>121</v>
      </c>
      <c r="H2024" s="3"/>
      <c r="I2024" s="3" t="s">
        <v>122</v>
      </c>
      <c r="J2024" s="3">
        <v>7</v>
      </c>
      <c r="K2024" s="3">
        <v>7</v>
      </c>
      <c r="L2024" s="3">
        <v>0</v>
      </c>
      <c r="M2024" s="3">
        <v>0</v>
      </c>
      <c r="N2024" s="3">
        <v>7</v>
      </c>
      <c r="O2024" s="3">
        <v>0.27</v>
      </c>
      <c r="P2024" s="3">
        <v>0</v>
      </c>
      <c r="Q2024" s="3">
        <v>0</v>
      </c>
      <c r="R2024" s="3">
        <v>0</v>
      </c>
    </row>
    <row r="2025" spans="1:18">
      <c r="A2025" s="3" t="s">
        <v>5103</v>
      </c>
      <c r="B2025" s="3" t="s">
        <v>5104</v>
      </c>
      <c r="C2025" s="3" t="s">
        <v>5104</v>
      </c>
      <c r="D2025" s="3" t="s">
        <v>5105</v>
      </c>
      <c r="E2025" s="3" t="s">
        <v>120</v>
      </c>
      <c r="F2025" s="3">
        <v>49.98</v>
      </c>
      <c r="G2025" s="3" t="s">
        <v>121</v>
      </c>
      <c r="H2025" s="3"/>
      <c r="I2025" s="3" t="s">
        <v>122</v>
      </c>
      <c r="J2025" s="3">
        <v>9</v>
      </c>
      <c r="K2025" s="3">
        <v>9</v>
      </c>
      <c r="L2025" s="3">
        <v>0</v>
      </c>
      <c r="M2025" s="3">
        <v>0</v>
      </c>
      <c r="N2025" s="3">
        <v>9</v>
      </c>
      <c r="O2025" s="3">
        <v>0.27</v>
      </c>
      <c r="P2025" s="3">
        <v>0</v>
      </c>
      <c r="Q2025" s="3">
        <v>0</v>
      </c>
      <c r="R2025" s="3">
        <v>0</v>
      </c>
    </row>
    <row r="2026" spans="1:18">
      <c r="A2026" s="3" t="s">
        <v>5106</v>
      </c>
      <c r="B2026" s="3" t="s">
        <v>5107</v>
      </c>
      <c r="C2026" s="3" t="s">
        <v>5107</v>
      </c>
      <c r="D2026" s="3" t="s">
        <v>5108</v>
      </c>
      <c r="E2026" s="3" t="s">
        <v>120</v>
      </c>
      <c r="F2026" s="3">
        <v>49.98</v>
      </c>
      <c r="G2026" s="3" t="s">
        <v>121</v>
      </c>
      <c r="H2026" s="3"/>
      <c r="I2026" s="3" t="s">
        <v>122</v>
      </c>
      <c r="J2026" s="3">
        <v>2</v>
      </c>
      <c r="K2026" s="3">
        <v>2</v>
      </c>
      <c r="L2026" s="3">
        <v>0</v>
      </c>
      <c r="M2026" s="3">
        <v>0</v>
      </c>
      <c r="N2026" s="3">
        <v>2</v>
      </c>
      <c r="O2026" s="3">
        <v>0.27</v>
      </c>
      <c r="P2026" s="3">
        <v>0</v>
      </c>
      <c r="Q2026" s="3">
        <v>0</v>
      </c>
      <c r="R2026" s="3">
        <v>0</v>
      </c>
    </row>
    <row r="2027" spans="1:18">
      <c r="A2027" s="3" t="s">
        <v>5109</v>
      </c>
      <c r="B2027" s="3" t="s">
        <v>5110</v>
      </c>
      <c r="C2027" s="3" t="s">
        <v>5110</v>
      </c>
      <c r="D2027" s="3" t="s">
        <v>5111</v>
      </c>
      <c r="E2027" s="3" t="s">
        <v>120</v>
      </c>
      <c r="F2027" s="3">
        <v>49.98</v>
      </c>
      <c r="G2027" s="3" t="s">
        <v>121</v>
      </c>
      <c r="H2027" s="3"/>
      <c r="I2027" s="3" t="s">
        <v>122</v>
      </c>
      <c r="J2027" s="3">
        <v>10</v>
      </c>
      <c r="K2027" s="3">
        <v>10</v>
      </c>
      <c r="L2027" s="3">
        <v>0</v>
      </c>
      <c r="M2027" s="3">
        <v>0</v>
      </c>
      <c r="N2027" s="3">
        <v>10</v>
      </c>
      <c r="O2027" s="3">
        <v>0.27</v>
      </c>
      <c r="P2027" s="3">
        <v>0</v>
      </c>
      <c r="Q2027" s="3">
        <v>0</v>
      </c>
      <c r="R2027" s="3">
        <v>0</v>
      </c>
    </row>
    <row r="2028" spans="1:18">
      <c r="A2028" s="3" t="s">
        <v>5112</v>
      </c>
      <c r="B2028" s="3" t="s">
        <v>5113</v>
      </c>
      <c r="C2028" s="3" t="s">
        <v>5113</v>
      </c>
      <c r="D2028" s="3" t="s">
        <v>5114</v>
      </c>
      <c r="E2028" s="3" t="s">
        <v>120</v>
      </c>
      <c r="F2028" s="3">
        <v>49.98</v>
      </c>
      <c r="G2028" s="3" t="s">
        <v>121</v>
      </c>
      <c r="H2028" s="3"/>
      <c r="I2028" s="3" t="s">
        <v>122</v>
      </c>
      <c r="J2028" s="3">
        <v>8</v>
      </c>
      <c r="K2028" s="3">
        <v>8</v>
      </c>
      <c r="L2028" s="3">
        <v>0</v>
      </c>
      <c r="M2028" s="3">
        <v>0</v>
      </c>
      <c r="N2028" s="3">
        <v>8</v>
      </c>
      <c r="O2028" s="3">
        <v>0.27</v>
      </c>
      <c r="P2028" s="3">
        <v>0</v>
      </c>
      <c r="Q2028" s="3">
        <v>0</v>
      </c>
      <c r="R2028" s="3">
        <v>0</v>
      </c>
    </row>
    <row r="2029" spans="1:18">
      <c r="A2029" s="3" t="s">
        <v>5115</v>
      </c>
      <c r="B2029" s="3" t="s">
        <v>5116</v>
      </c>
      <c r="C2029" s="3" t="s">
        <v>5116</v>
      </c>
      <c r="D2029" s="3" t="s">
        <v>5117</v>
      </c>
      <c r="E2029" s="3" t="s">
        <v>120</v>
      </c>
      <c r="F2029" s="3">
        <v>49.98</v>
      </c>
      <c r="G2029" s="3" t="s">
        <v>121</v>
      </c>
      <c r="H2029" s="3"/>
      <c r="I2029" s="3" t="s">
        <v>122</v>
      </c>
      <c r="J2029" s="3">
        <v>9</v>
      </c>
      <c r="K2029" s="3">
        <v>9</v>
      </c>
      <c r="L2029" s="3">
        <v>0</v>
      </c>
      <c r="M2029" s="3">
        <v>0</v>
      </c>
      <c r="N2029" s="3">
        <v>9</v>
      </c>
      <c r="O2029" s="3">
        <v>0.29</v>
      </c>
      <c r="P2029" s="3">
        <v>0</v>
      </c>
      <c r="Q2029" s="3">
        <v>0</v>
      </c>
      <c r="R2029" s="3">
        <v>0</v>
      </c>
    </row>
    <row r="2030" spans="1:18">
      <c r="A2030" s="3" t="s">
        <v>5118</v>
      </c>
      <c r="B2030" s="3" t="s">
        <v>5119</v>
      </c>
      <c r="C2030" s="3" t="s">
        <v>5119</v>
      </c>
      <c r="D2030" s="3" t="s">
        <v>5120</v>
      </c>
      <c r="E2030" s="3" t="s">
        <v>120</v>
      </c>
      <c r="F2030" s="3">
        <v>49.98</v>
      </c>
      <c r="G2030" s="3" t="s">
        <v>121</v>
      </c>
      <c r="H2030" s="3"/>
      <c r="I2030" s="3" t="s">
        <v>122</v>
      </c>
      <c r="J2030" s="3">
        <v>6</v>
      </c>
      <c r="K2030" s="3">
        <v>6</v>
      </c>
      <c r="L2030" s="3">
        <v>0</v>
      </c>
      <c r="M2030" s="3">
        <v>0</v>
      </c>
      <c r="N2030" s="3">
        <v>6</v>
      </c>
      <c r="O2030" s="3">
        <v>0.25</v>
      </c>
      <c r="P2030" s="3">
        <v>0</v>
      </c>
      <c r="Q2030" s="3">
        <v>0</v>
      </c>
      <c r="R2030" s="3">
        <v>0</v>
      </c>
    </row>
    <row r="2031" spans="1:18">
      <c r="A2031" s="3" t="s">
        <v>5121</v>
      </c>
      <c r="B2031" s="3" t="s">
        <v>5122</v>
      </c>
      <c r="C2031" s="3" t="s">
        <v>5122</v>
      </c>
      <c r="D2031" s="3" t="s">
        <v>5123</v>
      </c>
      <c r="E2031" s="3" t="s">
        <v>120</v>
      </c>
      <c r="F2031" s="3">
        <v>49.98</v>
      </c>
      <c r="G2031" s="3" t="s">
        <v>121</v>
      </c>
      <c r="H2031" s="3"/>
      <c r="I2031" s="3" t="s">
        <v>122</v>
      </c>
      <c r="J2031" s="3">
        <v>3</v>
      </c>
      <c r="K2031" s="3">
        <v>3</v>
      </c>
      <c r="L2031" s="3">
        <v>0</v>
      </c>
      <c r="M2031" s="3">
        <v>0</v>
      </c>
      <c r="N2031" s="3">
        <v>3</v>
      </c>
      <c r="O2031" s="3">
        <v>0.27</v>
      </c>
      <c r="P2031" s="3">
        <v>0</v>
      </c>
      <c r="Q2031" s="3">
        <v>0</v>
      </c>
      <c r="R2031" s="3">
        <v>0</v>
      </c>
    </row>
    <row r="2032" spans="1:18">
      <c r="A2032" s="3" t="s">
        <v>5124</v>
      </c>
      <c r="B2032" s="3" t="s">
        <v>5125</v>
      </c>
      <c r="C2032" s="3" t="s">
        <v>5125</v>
      </c>
      <c r="D2032" s="3" t="s">
        <v>5126</v>
      </c>
      <c r="E2032" s="3" t="s">
        <v>120</v>
      </c>
      <c r="F2032" s="3">
        <v>49.98</v>
      </c>
      <c r="G2032" s="3" t="s">
        <v>121</v>
      </c>
      <c r="H2032" s="3"/>
      <c r="I2032" s="3" t="s">
        <v>122</v>
      </c>
      <c r="J2032" s="3">
        <v>8</v>
      </c>
      <c r="K2032" s="3">
        <v>8</v>
      </c>
      <c r="L2032" s="3">
        <v>0</v>
      </c>
      <c r="M2032" s="3">
        <v>0</v>
      </c>
      <c r="N2032" s="3">
        <v>8</v>
      </c>
      <c r="O2032" s="3">
        <v>0.32</v>
      </c>
      <c r="P2032" s="3">
        <v>0</v>
      </c>
      <c r="Q2032" s="3">
        <v>0</v>
      </c>
      <c r="R2032" s="3">
        <v>0</v>
      </c>
    </row>
    <row r="2033" spans="1:18">
      <c r="A2033" s="3" t="s">
        <v>5127</v>
      </c>
      <c r="B2033" s="3" t="s">
        <v>5128</v>
      </c>
      <c r="C2033" s="3" t="s">
        <v>5128</v>
      </c>
      <c r="D2033" s="3" t="s">
        <v>5129</v>
      </c>
      <c r="E2033" s="3" t="s">
        <v>120</v>
      </c>
      <c r="F2033" s="3">
        <v>49.98</v>
      </c>
      <c r="G2033" s="3" t="s">
        <v>121</v>
      </c>
      <c r="H2033" s="3"/>
      <c r="I2033" s="3" t="s">
        <v>122</v>
      </c>
      <c r="J2033" s="3">
        <v>7</v>
      </c>
      <c r="K2033" s="3">
        <v>7</v>
      </c>
      <c r="L2033" s="3">
        <v>0</v>
      </c>
      <c r="M2033" s="3">
        <v>0</v>
      </c>
      <c r="N2033" s="3">
        <v>7</v>
      </c>
      <c r="O2033" s="3">
        <v>0.32</v>
      </c>
      <c r="P2033" s="3">
        <v>0</v>
      </c>
      <c r="Q2033" s="3">
        <v>0</v>
      </c>
      <c r="R2033" s="3">
        <v>0</v>
      </c>
    </row>
    <row r="2034" spans="1:18">
      <c r="A2034" s="3" t="s">
        <v>5130</v>
      </c>
      <c r="B2034" s="3" t="s">
        <v>5131</v>
      </c>
      <c r="C2034" s="3" t="s">
        <v>5131</v>
      </c>
      <c r="D2034" s="3" t="s">
        <v>5132</v>
      </c>
      <c r="E2034" s="3" t="s">
        <v>120</v>
      </c>
      <c r="F2034" s="3">
        <v>49.98</v>
      </c>
      <c r="G2034" s="3" t="s">
        <v>121</v>
      </c>
      <c r="H2034" s="3"/>
      <c r="I2034" s="3" t="s">
        <v>122</v>
      </c>
      <c r="J2034" s="3">
        <v>9</v>
      </c>
      <c r="K2034" s="3">
        <v>9</v>
      </c>
      <c r="L2034" s="3">
        <v>0</v>
      </c>
      <c r="M2034" s="3">
        <v>0</v>
      </c>
      <c r="N2034" s="3">
        <v>9</v>
      </c>
      <c r="O2034" s="3">
        <v>0.3</v>
      </c>
      <c r="P2034" s="3">
        <v>0</v>
      </c>
      <c r="Q2034" s="3">
        <v>0</v>
      </c>
      <c r="R2034" s="3">
        <v>0</v>
      </c>
    </row>
    <row r="2035" spans="1:18">
      <c r="A2035" s="3" t="s">
        <v>5133</v>
      </c>
      <c r="B2035" s="3" t="s">
        <v>5134</v>
      </c>
      <c r="C2035" s="3" t="s">
        <v>5134</v>
      </c>
      <c r="D2035" s="3" t="s">
        <v>5135</v>
      </c>
      <c r="E2035" s="3" t="s">
        <v>120</v>
      </c>
      <c r="F2035" s="3">
        <v>49.98</v>
      </c>
      <c r="G2035" s="3" t="s">
        <v>121</v>
      </c>
      <c r="H2035" s="3"/>
      <c r="I2035" s="3" t="s">
        <v>122</v>
      </c>
      <c r="J2035" s="3">
        <v>6</v>
      </c>
      <c r="K2035" s="3">
        <v>6</v>
      </c>
      <c r="L2035" s="3">
        <v>0</v>
      </c>
      <c r="M2035" s="3">
        <v>0</v>
      </c>
      <c r="N2035" s="3">
        <v>6</v>
      </c>
      <c r="O2035" s="3">
        <v>0.27</v>
      </c>
      <c r="P2035" s="3">
        <v>0</v>
      </c>
      <c r="Q2035" s="3">
        <v>0</v>
      </c>
      <c r="R2035" s="3">
        <v>0</v>
      </c>
    </row>
    <row r="2036" spans="1:18">
      <c r="A2036" s="3" t="s">
        <v>5136</v>
      </c>
      <c r="B2036" s="3" t="s">
        <v>5137</v>
      </c>
      <c r="C2036" s="3" t="s">
        <v>5137</v>
      </c>
      <c r="D2036" s="3" t="s">
        <v>5138</v>
      </c>
      <c r="E2036" s="3" t="s">
        <v>120</v>
      </c>
      <c r="F2036" s="3">
        <v>49.98</v>
      </c>
      <c r="G2036" s="3" t="s">
        <v>121</v>
      </c>
      <c r="H2036" s="3"/>
      <c r="I2036" s="3" t="s">
        <v>122</v>
      </c>
      <c r="J2036" s="3">
        <v>3</v>
      </c>
      <c r="K2036" s="3">
        <v>3</v>
      </c>
      <c r="L2036" s="3">
        <v>0</v>
      </c>
      <c r="M2036" s="3">
        <v>0</v>
      </c>
      <c r="N2036" s="3">
        <v>3</v>
      </c>
      <c r="O2036" s="3">
        <v>0.24</v>
      </c>
      <c r="P2036" s="3">
        <v>0</v>
      </c>
      <c r="Q2036" s="3">
        <v>0</v>
      </c>
      <c r="R2036" s="3">
        <v>0</v>
      </c>
    </row>
    <row r="2037" spans="1:18">
      <c r="A2037" s="3" t="s">
        <v>5139</v>
      </c>
      <c r="B2037" s="3" t="s">
        <v>5140</v>
      </c>
      <c r="C2037" s="3" t="s">
        <v>5140</v>
      </c>
      <c r="D2037" s="3" t="s">
        <v>5141</v>
      </c>
      <c r="E2037" s="3" t="s">
        <v>120</v>
      </c>
      <c r="F2037" s="3">
        <v>49.98</v>
      </c>
      <c r="G2037" s="3" t="s">
        <v>121</v>
      </c>
      <c r="H2037" s="3"/>
      <c r="I2037" s="3" t="s">
        <v>122</v>
      </c>
      <c r="J2037" s="3">
        <v>7</v>
      </c>
      <c r="K2037" s="3">
        <v>7</v>
      </c>
      <c r="L2037" s="3">
        <v>0</v>
      </c>
      <c r="M2037" s="3">
        <v>0</v>
      </c>
      <c r="N2037" s="3">
        <v>7</v>
      </c>
      <c r="O2037" s="3">
        <v>0.24</v>
      </c>
      <c r="P2037" s="3">
        <v>0</v>
      </c>
      <c r="Q2037" s="3">
        <v>0</v>
      </c>
      <c r="R2037" s="3">
        <v>0</v>
      </c>
    </row>
    <row r="2038" spans="1:18">
      <c r="A2038" s="3" t="s">
        <v>5142</v>
      </c>
      <c r="B2038" s="3" t="s">
        <v>5143</v>
      </c>
      <c r="C2038" s="3" t="s">
        <v>5143</v>
      </c>
      <c r="D2038" s="3" t="s">
        <v>5144</v>
      </c>
      <c r="E2038" s="3" t="s">
        <v>120</v>
      </c>
      <c r="F2038" s="3">
        <v>49.98</v>
      </c>
      <c r="G2038" s="3" t="s">
        <v>121</v>
      </c>
      <c r="H2038" s="3"/>
      <c r="I2038" s="3" t="s">
        <v>122</v>
      </c>
      <c r="J2038" s="3">
        <v>9</v>
      </c>
      <c r="K2038" s="3">
        <v>9</v>
      </c>
      <c r="L2038" s="3">
        <v>0</v>
      </c>
      <c r="M2038" s="3">
        <v>0</v>
      </c>
      <c r="N2038" s="3">
        <v>9</v>
      </c>
      <c r="O2038" s="3">
        <v>0.28</v>
      </c>
      <c r="P2038" s="3">
        <v>0</v>
      </c>
      <c r="Q2038" s="3">
        <v>0</v>
      </c>
      <c r="R2038" s="3">
        <v>0</v>
      </c>
    </row>
    <row r="2039" spans="1:18">
      <c r="A2039" s="3" t="s">
        <v>5145</v>
      </c>
      <c r="B2039" s="3" t="s">
        <v>5146</v>
      </c>
      <c r="C2039" s="3" t="s">
        <v>5146</v>
      </c>
      <c r="D2039" s="3" t="s">
        <v>5147</v>
      </c>
      <c r="E2039" s="3" t="s">
        <v>120</v>
      </c>
      <c r="F2039" s="3">
        <v>49.98</v>
      </c>
      <c r="G2039" s="3" t="s">
        <v>121</v>
      </c>
      <c r="H2039" s="3"/>
      <c r="I2039" s="3" t="s">
        <v>122</v>
      </c>
      <c r="J2039" s="3">
        <v>9</v>
      </c>
      <c r="K2039" s="3">
        <v>9</v>
      </c>
      <c r="L2039" s="3">
        <v>0</v>
      </c>
      <c r="M2039" s="3">
        <v>0</v>
      </c>
      <c r="N2039" s="3">
        <v>9</v>
      </c>
      <c r="O2039" s="3">
        <v>0.27</v>
      </c>
      <c r="P2039" s="3">
        <v>0</v>
      </c>
      <c r="Q2039" s="3">
        <v>0</v>
      </c>
      <c r="R2039" s="3">
        <v>0</v>
      </c>
    </row>
    <row r="2040" spans="1:18">
      <c r="A2040" s="3" t="s">
        <v>5148</v>
      </c>
      <c r="B2040" s="3" t="s">
        <v>5149</v>
      </c>
      <c r="C2040" s="3" t="s">
        <v>5149</v>
      </c>
      <c r="D2040" s="3" t="s">
        <v>5150</v>
      </c>
      <c r="E2040" s="3" t="s">
        <v>120</v>
      </c>
      <c r="F2040" s="3">
        <v>49.98</v>
      </c>
      <c r="G2040" s="3" t="s">
        <v>121</v>
      </c>
      <c r="H2040" s="3"/>
      <c r="I2040" s="3" t="s">
        <v>122</v>
      </c>
      <c r="J2040" s="3">
        <v>7</v>
      </c>
      <c r="K2040" s="3">
        <v>7</v>
      </c>
      <c r="L2040" s="3">
        <v>0</v>
      </c>
      <c r="M2040" s="3">
        <v>0</v>
      </c>
      <c r="N2040" s="3">
        <v>7</v>
      </c>
      <c r="O2040" s="3">
        <v>0.26</v>
      </c>
      <c r="P2040" s="3">
        <v>0</v>
      </c>
      <c r="Q2040" s="3">
        <v>0</v>
      </c>
      <c r="R2040" s="3">
        <v>0</v>
      </c>
    </row>
    <row r="2041" spans="1:18">
      <c r="A2041" s="3" t="s">
        <v>5151</v>
      </c>
      <c r="B2041" s="3" t="s">
        <v>5152</v>
      </c>
      <c r="C2041" s="3" t="s">
        <v>5152</v>
      </c>
      <c r="D2041" s="3" t="s">
        <v>5153</v>
      </c>
      <c r="E2041" s="3" t="s">
        <v>120</v>
      </c>
      <c r="F2041" s="3">
        <v>49.98</v>
      </c>
      <c r="G2041" s="3" t="s">
        <v>121</v>
      </c>
      <c r="H2041" s="3"/>
      <c r="I2041" s="3" t="s">
        <v>122</v>
      </c>
      <c r="J2041" s="3">
        <v>3</v>
      </c>
      <c r="K2041" s="3">
        <v>3</v>
      </c>
      <c r="L2041" s="3">
        <v>0</v>
      </c>
      <c r="M2041" s="3">
        <v>0</v>
      </c>
      <c r="N2041" s="3">
        <v>3</v>
      </c>
      <c r="O2041" s="3">
        <v>0.24</v>
      </c>
      <c r="P2041" s="3">
        <v>0</v>
      </c>
      <c r="Q2041" s="3">
        <v>0</v>
      </c>
      <c r="R2041" s="3">
        <v>0</v>
      </c>
    </row>
    <row r="2042" spans="1:18">
      <c r="A2042" s="3" t="s">
        <v>5154</v>
      </c>
      <c r="B2042" s="3" t="s">
        <v>5155</v>
      </c>
      <c r="C2042" s="3" t="s">
        <v>5155</v>
      </c>
      <c r="D2042" s="3" t="s">
        <v>5156</v>
      </c>
      <c r="E2042" s="3" t="s">
        <v>120</v>
      </c>
      <c r="F2042" s="3">
        <v>49.98</v>
      </c>
      <c r="G2042" s="3" t="s">
        <v>121</v>
      </c>
      <c r="H2042" s="3"/>
      <c r="I2042" s="3" t="s">
        <v>122</v>
      </c>
      <c r="J2042" s="3">
        <v>9</v>
      </c>
      <c r="K2042" s="3">
        <v>9</v>
      </c>
      <c r="L2042" s="3">
        <v>0</v>
      </c>
      <c r="M2042" s="3">
        <v>0</v>
      </c>
      <c r="N2042" s="3">
        <v>9</v>
      </c>
      <c r="O2042" s="3">
        <v>0.27</v>
      </c>
      <c r="P2042" s="3">
        <v>0</v>
      </c>
      <c r="Q2042" s="3">
        <v>0</v>
      </c>
      <c r="R2042" s="3">
        <v>0</v>
      </c>
    </row>
    <row r="2043" spans="1:18">
      <c r="A2043" s="3" t="s">
        <v>5157</v>
      </c>
      <c r="B2043" s="3" t="s">
        <v>5158</v>
      </c>
      <c r="C2043" s="3" t="s">
        <v>5158</v>
      </c>
      <c r="D2043" s="3" t="s">
        <v>5159</v>
      </c>
      <c r="E2043" s="3" t="s">
        <v>120</v>
      </c>
      <c r="F2043" s="3">
        <v>49.98</v>
      </c>
      <c r="G2043" s="3" t="s">
        <v>121</v>
      </c>
      <c r="H2043" s="3"/>
      <c r="I2043" s="3" t="s">
        <v>122</v>
      </c>
      <c r="J2043" s="3">
        <v>9</v>
      </c>
      <c r="K2043" s="3">
        <v>9</v>
      </c>
      <c r="L2043" s="3">
        <v>0</v>
      </c>
      <c r="M2043" s="3">
        <v>0</v>
      </c>
      <c r="N2043" s="3">
        <v>9</v>
      </c>
      <c r="O2043" s="3">
        <v>0.3</v>
      </c>
      <c r="P2043" s="3">
        <v>0</v>
      </c>
      <c r="Q2043" s="3">
        <v>0</v>
      </c>
      <c r="R2043" s="3">
        <v>0</v>
      </c>
    </row>
    <row r="2044" spans="1:18">
      <c r="A2044" s="3" t="s">
        <v>5160</v>
      </c>
      <c r="B2044" s="3" t="s">
        <v>5161</v>
      </c>
      <c r="C2044" s="3" t="s">
        <v>5161</v>
      </c>
      <c r="D2044" s="3" t="s">
        <v>1926</v>
      </c>
      <c r="E2044" s="3" t="s">
        <v>120</v>
      </c>
      <c r="F2044" s="3">
        <v>22.98</v>
      </c>
      <c r="G2044" s="3" t="s">
        <v>121</v>
      </c>
      <c r="H2044" s="3"/>
      <c r="I2044" s="3" t="s">
        <v>122</v>
      </c>
      <c r="J2044" s="3">
        <v>0</v>
      </c>
      <c r="K2044" s="3">
        <v>0</v>
      </c>
      <c r="L2044" s="3">
        <v>0</v>
      </c>
      <c r="M2044" s="3">
        <v>0</v>
      </c>
      <c r="N2044" s="3">
        <v>0</v>
      </c>
      <c r="O2044" s="3">
        <v>0.24</v>
      </c>
      <c r="P2044" s="3">
        <v>0</v>
      </c>
      <c r="Q2044" s="3">
        <v>0</v>
      </c>
      <c r="R2044" s="3">
        <v>0</v>
      </c>
    </row>
    <row r="2045" spans="1:18">
      <c r="A2045" s="3" t="s">
        <v>5162</v>
      </c>
      <c r="B2045" s="3" t="s">
        <v>5163</v>
      </c>
      <c r="C2045" s="3" t="s">
        <v>5163</v>
      </c>
      <c r="D2045" s="3" t="s">
        <v>5164</v>
      </c>
      <c r="E2045" s="3" t="s">
        <v>120</v>
      </c>
      <c r="F2045" s="3">
        <v>49.98</v>
      </c>
      <c r="G2045" s="3" t="s">
        <v>121</v>
      </c>
      <c r="H2045" s="3"/>
      <c r="I2045" s="3" t="s">
        <v>122</v>
      </c>
      <c r="J2045" s="3">
        <v>0</v>
      </c>
      <c r="K2045" s="3">
        <v>0</v>
      </c>
      <c r="L2045" s="3">
        <v>0</v>
      </c>
      <c r="M2045" s="3">
        <v>0</v>
      </c>
      <c r="N2045" s="3">
        <v>0</v>
      </c>
      <c r="O2045" s="3">
        <v>0.32</v>
      </c>
      <c r="P2045" s="3">
        <v>0</v>
      </c>
      <c r="Q2045" s="3">
        <v>0</v>
      </c>
      <c r="R2045" s="3">
        <v>0</v>
      </c>
    </row>
    <row r="2046" spans="1:18">
      <c r="A2046" s="3" t="s">
        <v>5165</v>
      </c>
      <c r="B2046" s="3" t="s">
        <v>5166</v>
      </c>
      <c r="C2046" s="3" t="s">
        <v>5166</v>
      </c>
      <c r="D2046" s="3" t="s">
        <v>5167</v>
      </c>
      <c r="E2046" s="3" t="s">
        <v>120</v>
      </c>
      <c r="F2046" s="3">
        <v>49.98</v>
      </c>
      <c r="G2046" s="3" t="s">
        <v>121</v>
      </c>
      <c r="H2046" s="3"/>
      <c r="I2046" s="3" t="s">
        <v>122</v>
      </c>
      <c r="J2046" s="3">
        <v>6</v>
      </c>
      <c r="K2046" s="3">
        <v>6</v>
      </c>
      <c r="L2046" s="3">
        <v>0</v>
      </c>
      <c r="M2046" s="3">
        <v>0</v>
      </c>
      <c r="N2046" s="3">
        <v>6</v>
      </c>
      <c r="O2046" s="3">
        <v>0.24</v>
      </c>
      <c r="P2046" s="3">
        <v>0</v>
      </c>
      <c r="Q2046" s="3">
        <v>0</v>
      </c>
      <c r="R2046" s="3">
        <v>0</v>
      </c>
    </row>
    <row r="2047" spans="1:18">
      <c r="A2047" s="3" t="s">
        <v>5168</v>
      </c>
      <c r="B2047" s="3" t="s">
        <v>5169</v>
      </c>
      <c r="C2047" s="3" t="s">
        <v>5169</v>
      </c>
      <c r="D2047" s="3" t="s">
        <v>5170</v>
      </c>
      <c r="E2047" s="3" t="s">
        <v>120</v>
      </c>
      <c r="F2047" s="3">
        <v>49.98</v>
      </c>
      <c r="G2047" s="3" t="s">
        <v>121</v>
      </c>
      <c r="H2047" s="3"/>
      <c r="I2047" s="3" t="s">
        <v>122</v>
      </c>
      <c r="J2047" s="3">
        <v>0</v>
      </c>
      <c r="K2047" s="3">
        <v>0</v>
      </c>
      <c r="L2047" s="3">
        <v>0</v>
      </c>
      <c r="M2047" s="3">
        <v>0</v>
      </c>
      <c r="N2047" s="3">
        <v>0</v>
      </c>
      <c r="O2047" s="3">
        <v>0.24</v>
      </c>
      <c r="P2047" s="3">
        <v>0</v>
      </c>
      <c r="Q2047" s="3">
        <v>0</v>
      </c>
      <c r="R2047" s="3">
        <v>0</v>
      </c>
    </row>
    <row r="2048" spans="1:18">
      <c r="A2048" s="3" t="s">
        <v>5171</v>
      </c>
      <c r="B2048" s="3" t="s">
        <v>5172</v>
      </c>
      <c r="C2048" s="3" t="s">
        <v>5172</v>
      </c>
      <c r="D2048" s="3" t="s">
        <v>5173</v>
      </c>
      <c r="E2048" s="3" t="s">
        <v>120</v>
      </c>
      <c r="F2048" s="3">
        <v>49.98</v>
      </c>
      <c r="G2048" s="3" t="s">
        <v>121</v>
      </c>
      <c r="H2048" s="3"/>
      <c r="I2048" s="3" t="s">
        <v>122</v>
      </c>
      <c r="J2048" s="3">
        <v>8</v>
      </c>
      <c r="K2048" s="3">
        <v>8</v>
      </c>
      <c r="L2048" s="3">
        <v>0</v>
      </c>
      <c r="M2048" s="3">
        <v>0</v>
      </c>
      <c r="N2048" s="3">
        <v>8</v>
      </c>
      <c r="O2048" s="3">
        <v>0.28</v>
      </c>
      <c r="P2048" s="3">
        <v>0</v>
      </c>
      <c r="Q2048" s="3">
        <v>0</v>
      </c>
      <c r="R2048" s="3">
        <v>0</v>
      </c>
    </row>
    <row r="2049" spans="1:18">
      <c r="A2049" s="3" t="s">
        <v>5174</v>
      </c>
      <c r="B2049" s="3" t="s">
        <v>5175</v>
      </c>
      <c r="C2049" s="3" t="s">
        <v>5175</v>
      </c>
      <c r="D2049" s="3" t="s">
        <v>5176</v>
      </c>
      <c r="E2049" s="3" t="s">
        <v>120</v>
      </c>
      <c r="F2049" s="3">
        <v>49.98</v>
      </c>
      <c r="G2049" s="3" t="s">
        <v>121</v>
      </c>
      <c r="H2049" s="3"/>
      <c r="I2049" s="3" t="s">
        <v>122</v>
      </c>
      <c r="J2049" s="3">
        <v>7</v>
      </c>
      <c r="K2049" s="3">
        <v>7</v>
      </c>
      <c r="L2049" s="3">
        <v>0</v>
      </c>
      <c r="M2049" s="3">
        <v>0</v>
      </c>
      <c r="N2049" s="3">
        <v>7</v>
      </c>
      <c r="O2049" s="3">
        <v>0.26</v>
      </c>
      <c r="P2049" s="3">
        <v>0</v>
      </c>
      <c r="Q2049" s="3">
        <v>0</v>
      </c>
      <c r="R2049" s="3">
        <v>0</v>
      </c>
    </row>
    <row r="2050" spans="1:18">
      <c r="A2050" s="3" t="s">
        <v>5177</v>
      </c>
      <c r="B2050" s="3" t="s">
        <v>5178</v>
      </c>
      <c r="C2050" s="3" t="s">
        <v>5178</v>
      </c>
      <c r="D2050" s="3" t="s">
        <v>5179</v>
      </c>
      <c r="E2050" s="3" t="s">
        <v>120</v>
      </c>
      <c r="F2050" s="3">
        <v>49.98</v>
      </c>
      <c r="G2050" s="3" t="s">
        <v>121</v>
      </c>
      <c r="H2050" s="3"/>
      <c r="I2050" s="3" t="s">
        <v>122</v>
      </c>
      <c r="J2050" s="3">
        <v>2</v>
      </c>
      <c r="K2050" s="3">
        <v>2</v>
      </c>
      <c r="L2050" s="3">
        <v>0</v>
      </c>
      <c r="M2050" s="3">
        <v>0</v>
      </c>
      <c r="N2050" s="3">
        <v>2</v>
      </c>
      <c r="O2050" s="3">
        <v>0.3</v>
      </c>
      <c r="P2050" s="3">
        <v>0</v>
      </c>
      <c r="Q2050" s="3">
        <v>0</v>
      </c>
      <c r="R2050" s="3">
        <v>0</v>
      </c>
    </row>
    <row r="2051" spans="1:18">
      <c r="A2051" s="3" t="s">
        <v>5180</v>
      </c>
      <c r="B2051" s="3" t="s">
        <v>5181</v>
      </c>
      <c r="C2051" s="3" t="s">
        <v>5181</v>
      </c>
      <c r="D2051" s="3" t="s">
        <v>5182</v>
      </c>
      <c r="E2051" s="3" t="s">
        <v>120</v>
      </c>
      <c r="F2051" s="3">
        <v>49.98</v>
      </c>
      <c r="G2051" s="3" t="s">
        <v>121</v>
      </c>
      <c r="H2051" s="3"/>
      <c r="I2051" s="3" t="s">
        <v>122</v>
      </c>
      <c r="J2051" s="3">
        <v>9</v>
      </c>
      <c r="K2051" s="3">
        <v>9</v>
      </c>
      <c r="L2051" s="3">
        <v>0</v>
      </c>
      <c r="M2051" s="3">
        <v>0</v>
      </c>
      <c r="N2051" s="3">
        <v>9</v>
      </c>
      <c r="O2051" s="3">
        <v>0.27</v>
      </c>
      <c r="P2051" s="3">
        <v>0</v>
      </c>
      <c r="Q2051" s="3">
        <v>0</v>
      </c>
      <c r="R2051" s="3">
        <v>0</v>
      </c>
    </row>
    <row r="2052" spans="1:18">
      <c r="A2052" s="3" t="s">
        <v>5183</v>
      </c>
      <c r="B2052" s="3" t="s">
        <v>5184</v>
      </c>
      <c r="C2052" s="3" t="s">
        <v>5184</v>
      </c>
      <c r="D2052" s="3" t="s">
        <v>5185</v>
      </c>
      <c r="E2052" s="3" t="s">
        <v>120</v>
      </c>
      <c r="F2052" s="3">
        <v>49.98</v>
      </c>
      <c r="G2052" s="3" t="s">
        <v>121</v>
      </c>
      <c r="H2052" s="3"/>
      <c r="I2052" s="3" t="s">
        <v>122</v>
      </c>
      <c r="J2052" s="3">
        <v>9</v>
      </c>
      <c r="K2052" s="3">
        <v>9</v>
      </c>
      <c r="L2052" s="3">
        <v>0</v>
      </c>
      <c r="M2052" s="3">
        <v>0</v>
      </c>
      <c r="N2052" s="3">
        <v>9</v>
      </c>
      <c r="O2052" s="3">
        <v>0.28</v>
      </c>
      <c r="P2052" s="3">
        <v>0</v>
      </c>
      <c r="Q2052" s="3">
        <v>0</v>
      </c>
      <c r="R2052" s="3">
        <v>0</v>
      </c>
    </row>
    <row r="2053" spans="1:18">
      <c r="A2053" s="3" t="s">
        <v>5186</v>
      </c>
      <c r="B2053" s="3" t="s">
        <v>5187</v>
      </c>
      <c r="C2053" s="3" t="s">
        <v>5187</v>
      </c>
      <c r="D2053" s="3"/>
      <c r="E2053" s="3" t="s">
        <v>20</v>
      </c>
      <c r="F2053" s="3"/>
      <c r="G2053" s="3"/>
      <c r="H2053" s="3"/>
      <c r="I2053" s="3"/>
      <c r="J2053" s="3">
        <v>0</v>
      </c>
      <c r="K2053" s="3">
        <v>0</v>
      </c>
      <c r="L2053" s="3">
        <v>0</v>
      </c>
      <c r="M2053" s="3">
        <v>0</v>
      </c>
      <c r="N2053" s="3">
        <v>0</v>
      </c>
      <c r="O2053" s="3"/>
      <c r="P2053" s="3">
        <v>0</v>
      </c>
      <c r="Q2053" s="3">
        <v>0</v>
      </c>
      <c r="R2053" s="3">
        <v>0</v>
      </c>
    </row>
  </sheetData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19</xdr:col>
                <xdr:colOff>28575</xdr:colOff>
                <xdr:row>0</xdr:row>
                <xdr:rowOff>47625</xdr:rowOff>
              </from>
              <to>
                <xdr:col>21</xdr:col>
                <xdr:colOff>184785</xdr:colOff>
                <xdr:row>2</xdr:row>
                <xdr:rowOff>19050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J8581"/>
  <sheetViews>
    <sheetView workbookViewId="0">
      <selection activeCell="A1" sqref="A1:AJ1081"/>
    </sheetView>
  </sheetViews>
  <sheetFormatPr defaultColWidth="9" defaultRowHeight="14.25"/>
  <cols>
    <col min="1" max="1" width="16.2833333333333" customWidth="1"/>
    <col min="2" max="2" width="20.5666666666667" customWidth="1"/>
    <col min="7" max="7" width="12.8583333333333" customWidth="1"/>
    <col min="32" max="33" width="12.625"/>
  </cols>
  <sheetData>
    <row r="1" spans="1:36">
      <c r="A1" s="3" t="s">
        <v>5188</v>
      </c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5189</v>
      </c>
      <c r="H1" s="3" t="s">
        <v>5190</v>
      </c>
      <c r="I1" s="3" t="s">
        <v>5191</v>
      </c>
      <c r="J1" s="3" t="s">
        <v>5192</v>
      </c>
      <c r="K1" s="3" t="s">
        <v>5193</v>
      </c>
      <c r="L1" s="3" t="s">
        <v>5194</v>
      </c>
      <c r="M1" s="3" t="s">
        <v>5195</v>
      </c>
      <c r="N1" s="3" t="s">
        <v>5196</v>
      </c>
      <c r="O1" s="3" t="s">
        <v>5197</v>
      </c>
      <c r="P1" s="3" t="s">
        <v>5198</v>
      </c>
      <c r="Q1" s="3" t="s">
        <v>5199</v>
      </c>
      <c r="R1" s="3" t="s">
        <v>5200</v>
      </c>
      <c r="S1" s="3" t="s">
        <v>5201</v>
      </c>
      <c r="T1" s="3" t="s">
        <v>5202</v>
      </c>
      <c r="U1" s="3" t="s">
        <v>5203</v>
      </c>
      <c r="V1" s="3" t="s">
        <v>5204</v>
      </c>
      <c r="W1" s="3" t="s">
        <v>5205</v>
      </c>
      <c r="X1" s="3" t="s">
        <v>5</v>
      </c>
      <c r="Y1" s="3" t="s">
        <v>5206</v>
      </c>
      <c r="Z1" s="3" t="s">
        <v>5207</v>
      </c>
      <c r="AA1" s="3" t="s">
        <v>5208</v>
      </c>
      <c r="AB1" s="3" t="s">
        <v>5209</v>
      </c>
      <c r="AC1" s="3" t="s">
        <v>5210</v>
      </c>
      <c r="AD1" s="3" t="s">
        <v>5211</v>
      </c>
      <c r="AE1" s="3" t="s">
        <v>5212</v>
      </c>
      <c r="AF1" s="3" t="s">
        <v>5213</v>
      </c>
      <c r="AG1" s="3" t="s">
        <v>5214</v>
      </c>
      <c r="AH1" s="3" t="s">
        <v>5215</v>
      </c>
      <c r="AI1" s="3" t="s">
        <v>5216</v>
      </c>
      <c r="AJ1" s="3" t="s">
        <v>5217</v>
      </c>
    </row>
    <row r="2" spans="1:36">
      <c r="A2" s="5">
        <v>43288</v>
      </c>
      <c r="B2" s="3" t="s">
        <v>232</v>
      </c>
      <c r="C2" s="3" t="s">
        <v>233</v>
      </c>
      <c r="D2" s="3" t="s">
        <v>233</v>
      </c>
      <c r="E2" s="3" t="s">
        <v>234</v>
      </c>
      <c r="F2" s="3" t="s">
        <v>120</v>
      </c>
      <c r="G2" s="3">
        <v>1</v>
      </c>
      <c r="H2" s="3">
        <v>0</v>
      </c>
      <c r="I2" s="3">
        <v>1</v>
      </c>
      <c r="J2" s="3">
        <v>0</v>
      </c>
      <c r="K2" s="3">
        <v>0</v>
      </c>
      <c r="L2" s="3">
        <v>0</v>
      </c>
      <c r="M2" s="3">
        <v>0</v>
      </c>
      <c r="N2" s="3" t="s">
        <v>5218</v>
      </c>
      <c r="O2" s="3">
        <v>0</v>
      </c>
      <c r="P2" s="3">
        <v>0</v>
      </c>
      <c r="Q2" s="3">
        <v>0</v>
      </c>
      <c r="R2" s="3">
        <v>0</v>
      </c>
      <c r="S2" s="3">
        <v>0</v>
      </c>
      <c r="T2" s="3">
        <v>0</v>
      </c>
      <c r="U2" s="3">
        <v>1</v>
      </c>
      <c r="V2" s="3">
        <v>1</v>
      </c>
      <c r="W2" s="3" t="s">
        <v>5219</v>
      </c>
      <c r="X2" s="3">
        <v>65.98</v>
      </c>
      <c r="Y2" s="3">
        <v>65.98</v>
      </c>
      <c r="Z2" s="3">
        <v>65.98</v>
      </c>
      <c r="AA2" s="3">
        <v>0</v>
      </c>
      <c r="AB2" s="3" t="s">
        <v>5220</v>
      </c>
      <c r="AC2" s="3">
        <v>1</v>
      </c>
      <c r="AD2" s="3">
        <v>65.98</v>
      </c>
      <c r="AE2" s="3">
        <v>0</v>
      </c>
      <c r="AF2" s="3">
        <v>0</v>
      </c>
      <c r="AG2" s="3">
        <v>0</v>
      </c>
      <c r="AH2" s="3">
        <v>1</v>
      </c>
      <c r="AI2" s="3" t="s">
        <v>5221</v>
      </c>
      <c r="AJ2" s="3" t="s">
        <v>5222</v>
      </c>
    </row>
    <row r="3" spans="1:36">
      <c r="A3" s="5">
        <v>43288</v>
      </c>
      <c r="B3" s="3" t="s">
        <v>465</v>
      </c>
      <c r="C3" s="3" t="s">
        <v>300</v>
      </c>
      <c r="D3" s="3" t="s">
        <v>300</v>
      </c>
      <c r="E3" s="3" t="s">
        <v>466</v>
      </c>
      <c r="F3" s="3" t="s">
        <v>120</v>
      </c>
      <c r="G3" s="3">
        <v>12</v>
      </c>
      <c r="H3" s="3">
        <v>0</v>
      </c>
      <c r="I3" s="3">
        <v>1</v>
      </c>
      <c r="J3" s="3">
        <v>11</v>
      </c>
      <c r="K3" s="3">
        <v>0</v>
      </c>
      <c r="L3" s="3">
        <v>0</v>
      </c>
      <c r="M3" s="3">
        <v>0</v>
      </c>
      <c r="N3" s="3" t="s">
        <v>5218</v>
      </c>
      <c r="O3" s="3">
        <v>0</v>
      </c>
      <c r="P3" s="3">
        <v>0</v>
      </c>
      <c r="Q3" s="3">
        <v>0</v>
      </c>
      <c r="R3" s="3">
        <v>0</v>
      </c>
      <c r="S3" s="3">
        <v>2</v>
      </c>
      <c r="T3" s="3">
        <v>4</v>
      </c>
      <c r="U3" s="3">
        <v>8</v>
      </c>
      <c r="V3" s="3">
        <v>8</v>
      </c>
      <c r="W3" s="3"/>
      <c r="X3" s="3">
        <v>24.98</v>
      </c>
      <c r="Y3" s="3">
        <v>24.98</v>
      </c>
      <c r="Z3" s="3">
        <v>24.98</v>
      </c>
      <c r="AA3" s="3">
        <v>0</v>
      </c>
      <c r="AB3" s="3" t="s">
        <v>5223</v>
      </c>
      <c r="AC3" s="3">
        <v>14</v>
      </c>
      <c r="AD3" s="3">
        <v>24.98</v>
      </c>
      <c r="AE3" s="3">
        <v>0</v>
      </c>
      <c r="AF3" s="3">
        <v>0</v>
      </c>
      <c r="AG3" s="3">
        <v>0</v>
      </c>
      <c r="AH3" s="3">
        <v>0.492307692307692</v>
      </c>
      <c r="AI3" s="3" t="s">
        <v>5224</v>
      </c>
      <c r="AJ3" s="3" t="s">
        <v>5222</v>
      </c>
    </row>
    <row r="4" spans="1:36">
      <c r="A4" s="5">
        <v>43288</v>
      </c>
      <c r="B4" s="3" t="s">
        <v>1272</v>
      </c>
      <c r="C4" s="3" t="s">
        <v>1273</v>
      </c>
      <c r="D4" s="3" t="s">
        <v>561</v>
      </c>
      <c r="E4" s="3" t="s">
        <v>805</v>
      </c>
      <c r="F4" s="3" t="s">
        <v>120</v>
      </c>
      <c r="G4" s="3">
        <v>6</v>
      </c>
      <c r="H4" s="3">
        <v>0</v>
      </c>
      <c r="I4" s="3">
        <v>6</v>
      </c>
      <c r="J4" s="3">
        <v>0</v>
      </c>
      <c r="K4" s="3">
        <v>0</v>
      </c>
      <c r="L4" s="3">
        <v>0</v>
      </c>
      <c r="M4" s="3">
        <v>0</v>
      </c>
      <c r="N4" s="3" t="s">
        <v>5218</v>
      </c>
      <c r="O4" s="3">
        <v>0</v>
      </c>
      <c r="P4" s="3">
        <v>0</v>
      </c>
      <c r="Q4" s="3">
        <v>0</v>
      </c>
      <c r="R4" s="3">
        <v>0</v>
      </c>
      <c r="S4" s="3">
        <v>1</v>
      </c>
      <c r="T4" s="3">
        <v>1</v>
      </c>
      <c r="U4" s="3">
        <v>1</v>
      </c>
      <c r="V4" s="3">
        <v>1</v>
      </c>
      <c r="W4" s="3"/>
      <c r="X4" s="3">
        <v>39.98</v>
      </c>
      <c r="Y4" s="3">
        <v>22.98</v>
      </c>
      <c r="Z4" s="3">
        <v>22.98</v>
      </c>
      <c r="AA4" s="3">
        <v>0</v>
      </c>
      <c r="AB4" s="3" t="s">
        <v>5223</v>
      </c>
      <c r="AC4" s="3">
        <v>7</v>
      </c>
      <c r="AD4" s="3">
        <v>22.98</v>
      </c>
      <c r="AE4" s="3">
        <v>0</v>
      </c>
      <c r="AF4" s="3">
        <v>0</v>
      </c>
      <c r="AG4" s="3">
        <v>0</v>
      </c>
      <c r="AH4" s="3">
        <v>0.75</v>
      </c>
      <c r="AI4" s="3" t="s">
        <v>5225</v>
      </c>
      <c r="AJ4" s="3" t="s">
        <v>5222</v>
      </c>
    </row>
    <row r="5" spans="1:36">
      <c r="A5" s="5">
        <v>43288</v>
      </c>
      <c r="B5" s="3" t="s">
        <v>487</v>
      </c>
      <c r="C5" s="3" t="s">
        <v>325</v>
      </c>
      <c r="D5" s="3" t="s">
        <v>325</v>
      </c>
      <c r="E5" s="3" t="s">
        <v>488</v>
      </c>
      <c r="F5" s="3" t="s">
        <v>120</v>
      </c>
      <c r="G5" s="3">
        <v>34</v>
      </c>
      <c r="H5" s="3">
        <v>0</v>
      </c>
      <c r="I5" s="3">
        <v>3</v>
      </c>
      <c r="J5" s="3">
        <v>31</v>
      </c>
      <c r="K5" s="3">
        <v>0</v>
      </c>
      <c r="L5" s="3">
        <v>0</v>
      </c>
      <c r="M5" s="3">
        <v>0</v>
      </c>
      <c r="N5" s="3" t="s">
        <v>5218</v>
      </c>
      <c r="O5" s="3">
        <v>11</v>
      </c>
      <c r="P5" s="3">
        <v>7.55</v>
      </c>
      <c r="Q5" s="3">
        <v>0</v>
      </c>
      <c r="R5" s="3">
        <v>0</v>
      </c>
      <c r="S5" s="3">
        <v>5</v>
      </c>
      <c r="T5" s="3">
        <v>10</v>
      </c>
      <c r="U5" s="3">
        <v>23</v>
      </c>
      <c r="V5" s="3">
        <v>29</v>
      </c>
      <c r="W5" s="3"/>
      <c r="X5" s="3">
        <v>22.98</v>
      </c>
      <c r="Y5" s="3">
        <v>22.98</v>
      </c>
      <c r="Z5" s="3">
        <v>22.98</v>
      </c>
      <c r="AA5" s="3">
        <v>0</v>
      </c>
      <c r="AB5" s="3" t="s">
        <v>5223</v>
      </c>
      <c r="AC5" s="3">
        <v>34</v>
      </c>
      <c r="AD5" s="3">
        <v>22.98</v>
      </c>
      <c r="AE5" s="3">
        <v>0</v>
      </c>
      <c r="AF5" s="3">
        <v>0</v>
      </c>
      <c r="AG5" s="3">
        <v>0</v>
      </c>
      <c r="AH5" s="3">
        <v>0.601036269430051</v>
      </c>
      <c r="AI5" s="3" t="s">
        <v>5224</v>
      </c>
      <c r="AJ5" s="3" t="s">
        <v>5222</v>
      </c>
    </row>
    <row r="6" spans="1:36">
      <c r="A6" s="5">
        <v>43288</v>
      </c>
      <c r="B6" s="3" t="s">
        <v>767</v>
      </c>
      <c r="C6" s="3" t="s">
        <v>517</v>
      </c>
      <c r="D6" s="3" t="s">
        <v>517</v>
      </c>
      <c r="E6" s="3" t="s">
        <v>768</v>
      </c>
      <c r="F6" s="3" t="s">
        <v>120</v>
      </c>
      <c r="G6" s="3">
        <v>1</v>
      </c>
      <c r="H6" s="3">
        <v>0</v>
      </c>
      <c r="I6" s="3">
        <v>1</v>
      </c>
      <c r="J6" s="3">
        <v>0</v>
      </c>
      <c r="K6" s="3">
        <v>0</v>
      </c>
      <c r="L6" s="3">
        <v>0</v>
      </c>
      <c r="M6" s="3">
        <v>0</v>
      </c>
      <c r="N6" s="3" t="s">
        <v>5218</v>
      </c>
      <c r="O6" s="3">
        <v>0</v>
      </c>
      <c r="P6" s="3">
        <v>0</v>
      </c>
      <c r="Q6" s="3">
        <v>0</v>
      </c>
      <c r="R6" s="3">
        <v>0</v>
      </c>
      <c r="S6" s="3">
        <v>1</v>
      </c>
      <c r="T6" s="3">
        <v>4</v>
      </c>
      <c r="U6" s="3">
        <v>9</v>
      </c>
      <c r="V6" s="3">
        <v>10</v>
      </c>
      <c r="W6" s="3"/>
      <c r="X6" s="3">
        <v>22.98</v>
      </c>
      <c r="Y6" s="3">
        <v>22.98</v>
      </c>
      <c r="Z6" s="3">
        <v>22.98</v>
      </c>
      <c r="AA6" s="3">
        <v>0</v>
      </c>
      <c r="AB6" s="3" t="s">
        <v>5223</v>
      </c>
      <c r="AC6" s="3">
        <v>2</v>
      </c>
      <c r="AD6" s="3">
        <v>22.98</v>
      </c>
      <c r="AE6" s="3">
        <v>0</v>
      </c>
      <c r="AF6" s="3">
        <v>0</v>
      </c>
      <c r="AG6" s="3">
        <v>0</v>
      </c>
      <c r="AH6" s="3">
        <v>0.909090909090909</v>
      </c>
      <c r="AI6" s="3" t="s">
        <v>5225</v>
      </c>
      <c r="AJ6" s="3" t="s">
        <v>5222</v>
      </c>
    </row>
    <row r="7" spans="1:36">
      <c r="A7" s="5">
        <v>43288</v>
      </c>
      <c r="B7" s="3" t="s">
        <v>4573</v>
      </c>
      <c r="C7" s="3" t="s">
        <v>4015</v>
      </c>
      <c r="D7" s="3" t="s">
        <v>4015</v>
      </c>
      <c r="E7" s="3" t="s">
        <v>4016</v>
      </c>
      <c r="F7" s="3" t="s">
        <v>120</v>
      </c>
      <c r="G7" s="3">
        <v>3</v>
      </c>
      <c r="H7" s="3">
        <v>0</v>
      </c>
      <c r="I7" s="3">
        <v>1</v>
      </c>
      <c r="J7" s="3">
        <v>2</v>
      </c>
      <c r="K7" s="3">
        <v>0</v>
      </c>
      <c r="L7" s="3">
        <v>0</v>
      </c>
      <c r="M7" s="3">
        <v>0</v>
      </c>
      <c r="N7" s="3" t="s">
        <v>5218</v>
      </c>
      <c r="O7" s="3">
        <v>2</v>
      </c>
      <c r="P7" s="3">
        <v>1.88</v>
      </c>
      <c r="Q7" s="3">
        <v>0</v>
      </c>
      <c r="R7" s="3">
        <v>0</v>
      </c>
      <c r="S7" s="3">
        <v>0</v>
      </c>
      <c r="T7" s="3">
        <v>1</v>
      </c>
      <c r="U7" s="3">
        <v>1</v>
      </c>
      <c r="V7" s="3">
        <v>3</v>
      </c>
      <c r="W7" s="3"/>
      <c r="X7" s="3">
        <v>20.98</v>
      </c>
      <c r="Y7" s="3">
        <v>20.98</v>
      </c>
      <c r="Z7" s="3">
        <v>20.98</v>
      </c>
      <c r="AA7" s="3">
        <v>0</v>
      </c>
      <c r="AB7" s="3" t="s">
        <v>5223</v>
      </c>
      <c r="AC7" s="3">
        <v>3</v>
      </c>
      <c r="AD7" s="3">
        <v>20.98</v>
      </c>
      <c r="AE7" s="3">
        <v>0</v>
      </c>
      <c r="AF7" s="3">
        <v>0</v>
      </c>
      <c r="AG7" s="3">
        <v>0</v>
      </c>
      <c r="AH7" s="3">
        <v>0.8</v>
      </c>
      <c r="AI7" s="3" t="s">
        <v>5226</v>
      </c>
      <c r="AJ7" s="3" t="s">
        <v>5222</v>
      </c>
    </row>
    <row r="8" spans="1:36">
      <c r="A8" s="5">
        <v>43288</v>
      </c>
      <c r="B8" s="3" t="s">
        <v>1734</v>
      </c>
      <c r="C8" s="3" t="s">
        <v>1735</v>
      </c>
      <c r="D8" s="3" t="s">
        <v>1735</v>
      </c>
      <c r="E8" s="3" t="s">
        <v>1736</v>
      </c>
      <c r="F8" s="3" t="s">
        <v>120</v>
      </c>
      <c r="G8" s="3">
        <v>8</v>
      </c>
      <c r="H8" s="3">
        <v>0</v>
      </c>
      <c r="I8" s="3">
        <v>0</v>
      </c>
      <c r="J8" s="3">
        <v>0</v>
      </c>
      <c r="K8" s="3">
        <v>0</v>
      </c>
      <c r="L8" s="3">
        <v>8</v>
      </c>
      <c r="M8" s="3">
        <v>0</v>
      </c>
      <c r="N8" s="3" t="s">
        <v>5218</v>
      </c>
      <c r="O8" s="3">
        <v>8</v>
      </c>
      <c r="P8" s="3">
        <v>10.37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1</v>
      </c>
      <c r="W8" s="3" t="s">
        <v>5227</v>
      </c>
      <c r="X8" s="3">
        <v>25.98</v>
      </c>
      <c r="Y8" s="3">
        <v>25.98</v>
      </c>
      <c r="Z8" s="3">
        <v>25.98</v>
      </c>
      <c r="AA8" s="3">
        <v>0</v>
      </c>
      <c r="AB8" s="3" t="s">
        <v>5228</v>
      </c>
      <c r="AC8" s="3">
        <v>1</v>
      </c>
      <c r="AD8" s="3">
        <v>23.66</v>
      </c>
      <c r="AE8" s="3">
        <v>133</v>
      </c>
      <c r="AF8" s="3">
        <v>0</v>
      </c>
      <c r="AG8" s="3">
        <v>207.593284</v>
      </c>
      <c r="AH8" s="3">
        <v>0.121212121212121</v>
      </c>
      <c r="AI8" s="3" t="s">
        <v>5229</v>
      </c>
      <c r="AJ8" s="3" t="s">
        <v>5222</v>
      </c>
    </row>
    <row r="9" spans="1:36">
      <c r="A9" s="5">
        <v>43288</v>
      </c>
      <c r="B9" s="3" t="s">
        <v>2531</v>
      </c>
      <c r="C9" s="3" t="s">
        <v>2532</v>
      </c>
      <c r="D9" s="3" t="s">
        <v>2532</v>
      </c>
      <c r="E9" s="3" t="s">
        <v>2533</v>
      </c>
      <c r="F9" s="3" t="s">
        <v>120</v>
      </c>
      <c r="G9" s="3">
        <v>20</v>
      </c>
      <c r="H9" s="3">
        <v>0</v>
      </c>
      <c r="I9" s="3">
        <v>0</v>
      </c>
      <c r="J9" s="3">
        <v>1</v>
      </c>
      <c r="K9" s="3">
        <v>19</v>
      </c>
      <c r="L9" s="3">
        <v>0</v>
      </c>
      <c r="M9" s="3">
        <v>0</v>
      </c>
      <c r="N9" s="3" t="s">
        <v>5218</v>
      </c>
      <c r="O9" s="3">
        <v>20</v>
      </c>
      <c r="P9" s="3">
        <v>44.65</v>
      </c>
      <c r="Q9" s="3">
        <v>0</v>
      </c>
      <c r="R9" s="3">
        <v>0</v>
      </c>
      <c r="S9" s="3">
        <v>0</v>
      </c>
      <c r="T9" s="3">
        <v>0</v>
      </c>
      <c r="U9" s="3">
        <v>1</v>
      </c>
      <c r="V9" s="3">
        <v>1</v>
      </c>
      <c r="W9" s="3" t="s">
        <v>5227</v>
      </c>
      <c r="X9" s="3">
        <v>24.98</v>
      </c>
      <c r="Y9" s="3">
        <v>24.98</v>
      </c>
      <c r="Z9" s="3">
        <v>24.98</v>
      </c>
      <c r="AA9" s="3">
        <v>0</v>
      </c>
      <c r="AB9" s="3" t="s">
        <v>5228</v>
      </c>
      <c r="AC9" s="3">
        <v>0</v>
      </c>
      <c r="AD9" s="3">
        <v>18.88</v>
      </c>
      <c r="AE9" s="3">
        <v>364</v>
      </c>
      <c r="AF9" s="3">
        <v>0</v>
      </c>
      <c r="AG9" s="3">
        <v>589.731043</v>
      </c>
      <c r="AH9" s="3">
        <v>0.048780487804878</v>
      </c>
      <c r="AI9" s="3" t="s">
        <v>5230</v>
      </c>
      <c r="AJ9" s="3" t="s">
        <v>5222</v>
      </c>
    </row>
    <row r="10" spans="1:36">
      <c r="A10" s="5">
        <v>43288</v>
      </c>
      <c r="B10" s="3" t="s">
        <v>3150</v>
      </c>
      <c r="C10" s="3" t="s">
        <v>3151</v>
      </c>
      <c r="D10" s="3" t="s">
        <v>3151</v>
      </c>
      <c r="E10" s="3" t="s">
        <v>3152</v>
      </c>
      <c r="F10" s="3" t="s">
        <v>120</v>
      </c>
      <c r="G10" s="3">
        <v>4</v>
      </c>
      <c r="H10" s="3">
        <v>0</v>
      </c>
      <c r="I10" s="3">
        <v>1</v>
      </c>
      <c r="J10" s="3">
        <v>0</v>
      </c>
      <c r="K10" s="3">
        <v>0</v>
      </c>
      <c r="L10" s="3">
        <v>3</v>
      </c>
      <c r="M10" s="3">
        <v>0</v>
      </c>
      <c r="N10" s="3" t="s">
        <v>5218</v>
      </c>
      <c r="O10" s="3">
        <v>2</v>
      </c>
      <c r="P10" s="3">
        <v>1.8</v>
      </c>
      <c r="Q10" s="3">
        <v>1</v>
      </c>
      <c r="R10" s="3">
        <v>1.79</v>
      </c>
      <c r="S10" s="3">
        <v>0</v>
      </c>
      <c r="T10" s="3">
        <v>0</v>
      </c>
      <c r="U10" s="3">
        <v>1</v>
      </c>
      <c r="V10" s="3">
        <v>1</v>
      </c>
      <c r="W10" s="3" t="s">
        <v>5227</v>
      </c>
      <c r="X10" s="3">
        <v>15.98</v>
      </c>
      <c r="Y10" s="3">
        <v>15.98</v>
      </c>
      <c r="Z10" s="3">
        <v>15.98</v>
      </c>
      <c r="AA10" s="3">
        <v>0</v>
      </c>
      <c r="AB10" s="3" t="s">
        <v>5228</v>
      </c>
      <c r="AC10" s="3">
        <v>0</v>
      </c>
      <c r="AD10" s="3">
        <v>13.58</v>
      </c>
      <c r="AE10" s="3">
        <v>273</v>
      </c>
      <c r="AF10" s="3">
        <v>0</v>
      </c>
      <c r="AG10" s="3">
        <v>47.103896</v>
      </c>
      <c r="AH10" s="3">
        <v>0.25</v>
      </c>
      <c r="AI10" s="3" t="s">
        <v>5231</v>
      </c>
      <c r="AJ10" s="3" t="s">
        <v>5222</v>
      </c>
    </row>
    <row r="11" spans="1:36">
      <c r="A11" s="5">
        <v>43288</v>
      </c>
      <c r="B11" s="3" t="s">
        <v>2967</v>
      </c>
      <c r="C11" s="3" t="s">
        <v>2968</v>
      </c>
      <c r="D11" s="3" t="s">
        <v>2968</v>
      </c>
      <c r="E11" s="3" t="s">
        <v>2969</v>
      </c>
      <c r="F11" s="3" t="s">
        <v>120</v>
      </c>
      <c r="G11" s="3">
        <v>2</v>
      </c>
      <c r="H11" s="3">
        <v>0</v>
      </c>
      <c r="I11" s="3">
        <v>2</v>
      </c>
      <c r="J11" s="3">
        <v>0</v>
      </c>
      <c r="K11" s="3">
        <v>0</v>
      </c>
      <c r="L11" s="3">
        <v>0</v>
      </c>
      <c r="M11" s="3">
        <v>0</v>
      </c>
      <c r="N11" s="3" t="s">
        <v>5218</v>
      </c>
      <c r="O11" s="3">
        <v>0</v>
      </c>
      <c r="P11" s="3">
        <v>0</v>
      </c>
      <c r="Q11" s="3">
        <v>0</v>
      </c>
      <c r="R11" s="3">
        <v>0</v>
      </c>
      <c r="S11" s="3">
        <v>6</v>
      </c>
      <c r="T11" s="3">
        <v>78</v>
      </c>
      <c r="U11" s="3">
        <v>156</v>
      </c>
      <c r="V11" s="3">
        <v>197</v>
      </c>
      <c r="W11" s="3"/>
      <c r="X11" s="3">
        <v>23.98</v>
      </c>
      <c r="Y11" s="3">
        <v>23.98</v>
      </c>
      <c r="Z11" s="3">
        <v>23.98</v>
      </c>
      <c r="AA11" s="3">
        <v>0</v>
      </c>
      <c r="AB11" s="3" t="s">
        <v>5223</v>
      </c>
      <c r="AC11" s="3">
        <v>0</v>
      </c>
      <c r="AD11" s="3">
        <v>0</v>
      </c>
      <c r="AE11" s="3">
        <v>0</v>
      </c>
      <c r="AF11" s="3">
        <v>0</v>
      </c>
      <c r="AG11" s="3">
        <v>0</v>
      </c>
      <c r="AH11" s="3">
        <v>19.7</v>
      </c>
      <c r="AI11" s="3" t="s">
        <v>5232</v>
      </c>
      <c r="AJ11" s="3" t="s">
        <v>5222</v>
      </c>
    </row>
    <row r="12" spans="1:36">
      <c r="A12" s="5">
        <v>43288</v>
      </c>
      <c r="B12" s="3" t="s">
        <v>2352</v>
      </c>
      <c r="C12" s="3" t="s">
        <v>2353</v>
      </c>
      <c r="D12" s="3" t="s">
        <v>2353</v>
      </c>
      <c r="E12" s="3" t="s">
        <v>2354</v>
      </c>
      <c r="F12" s="3" t="s">
        <v>120</v>
      </c>
      <c r="G12" s="3">
        <v>30</v>
      </c>
      <c r="H12" s="3">
        <v>0</v>
      </c>
      <c r="I12" s="3">
        <v>20</v>
      </c>
      <c r="J12" s="3">
        <v>10</v>
      </c>
      <c r="K12" s="3">
        <v>0</v>
      </c>
      <c r="L12" s="3">
        <v>0</v>
      </c>
      <c r="M12" s="3">
        <v>0</v>
      </c>
      <c r="N12" s="3" t="s">
        <v>5218</v>
      </c>
      <c r="O12" s="3">
        <v>10</v>
      </c>
      <c r="P12" s="3">
        <v>23.98</v>
      </c>
      <c r="Q12" s="3">
        <v>0</v>
      </c>
      <c r="R12" s="3">
        <v>0</v>
      </c>
      <c r="S12" s="3">
        <v>0</v>
      </c>
      <c r="T12" s="3">
        <v>0</v>
      </c>
      <c r="U12" s="3">
        <v>0</v>
      </c>
      <c r="V12" s="3">
        <v>2</v>
      </c>
      <c r="W12" s="3" t="s">
        <v>5227</v>
      </c>
      <c r="X12" s="3">
        <v>22.98</v>
      </c>
      <c r="Y12" s="3">
        <v>22.98</v>
      </c>
      <c r="Z12" s="3">
        <v>22.98</v>
      </c>
      <c r="AA12" s="3">
        <v>0</v>
      </c>
      <c r="AB12" s="3" t="s">
        <v>5228</v>
      </c>
      <c r="AC12" s="3">
        <v>0</v>
      </c>
      <c r="AD12" s="3">
        <v>18.01</v>
      </c>
      <c r="AE12" s="3">
        <v>364</v>
      </c>
      <c r="AF12" s="3">
        <v>0</v>
      </c>
      <c r="AG12" s="3">
        <v>926.432024</v>
      </c>
      <c r="AH12" s="3">
        <v>0.103896103896103</v>
      </c>
      <c r="AI12" s="3" t="s">
        <v>5233</v>
      </c>
      <c r="AJ12" s="3" t="s">
        <v>5222</v>
      </c>
    </row>
    <row r="13" spans="1:36">
      <c r="A13" s="5">
        <v>43288</v>
      </c>
      <c r="B13" s="3" t="s">
        <v>2537</v>
      </c>
      <c r="C13" s="3" t="s">
        <v>2538</v>
      </c>
      <c r="D13" s="3" t="s">
        <v>2538</v>
      </c>
      <c r="E13" s="3" t="s">
        <v>2539</v>
      </c>
      <c r="F13" s="3" t="s">
        <v>120</v>
      </c>
      <c r="G13" s="3">
        <v>3</v>
      </c>
      <c r="H13" s="3">
        <v>0</v>
      </c>
      <c r="I13" s="3">
        <v>1</v>
      </c>
      <c r="J13" s="3">
        <v>1</v>
      </c>
      <c r="K13" s="3">
        <v>1</v>
      </c>
      <c r="L13" s="3">
        <v>0</v>
      </c>
      <c r="M13" s="3">
        <v>0</v>
      </c>
      <c r="N13" s="3" t="s">
        <v>5218</v>
      </c>
      <c r="O13" s="3">
        <v>2</v>
      </c>
      <c r="P13" s="3">
        <v>4.46</v>
      </c>
      <c r="Q13" s="3">
        <v>0</v>
      </c>
      <c r="R13" s="3">
        <v>0</v>
      </c>
      <c r="S13" s="3">
        <v>0</v>
      </c>
      <c r="T13" s="3">
        <v>2</v>
      </c>
      <c r="U13" s="3">
        <v>4</v>
      </c>
      <c r="V13" s="3">
        <v>9</v>
      </c>
      <c r="W13" s="3"/>
      <c r="X13" s="3">
        <v>24.98</v>
      </c>
      <c r="Y13" s="3">
        <v>24.98</v>
      </c>
      <c r="Z13" s="3">
        <v>24.98</v>
      </c>
      <c r="AA13" s="3">
        <v>0</v>
      </c>
      <c r="AB13" s="3" t="s">
        <v>5223</v>
      </c>
      <c r="AC13" s="3">
        <v>3</v>
      </c>
      <c r="AD13" s="3">
        <v>24.98</v>
      </c>
      <c r="AE13" s="3">
        <v>0</v>
      </c>
      <c r="AF13" s="3">
        <v>0</v>
      </c>
      <c r="AG13" s="3">
        <v>0</v>
      </c>
      <c r="AH13" s="3">
        <v>1.38461538461538</v>
      </c>
      <c r="AI13" s="3" t="s">
        <v>5230</v>
      </c>
      <c r="AJ13" s="3" t="s">
        <v>5222</v>
      </c>
    </row>
    <row r="14" spans="1:36">
      <c r="A14" s="5">
        <v>43288</v>
      </c>
      <c r="B14" s="3" t="s">
        <v>4647</v>
      </c>
      <c r="C14" s="3" t="s">
        <v>4648</v>
      </c>
      <c r="D14" s="3" t="s">
        <v>4190</v>
      </c>
      <c r="E14" s="3" t="s">
        <v>4191</v>
      </c>
      <c r="F14" s="3" t="s">
        <v>120</v>
      </c>
      <c r="G14" s="3">
        <v>10</v>
      </c>
      <c r="H14" s="3">
        <v>0</v>
      </c>
      <c r="I14" s="3">
        <v>10</v>
      </c>
      <c r="J14" s="3">
        <v>0</v>
      </c>
      <c r="K14" s="3">
        <v>0</v>
      </c>
      <c r="L14" s="3">
        <v>0</v>
      </c>
      <c r="M14" s="3">
        <v>0</v>
      </c>
      <c r="N14" s="3" t="s">
        <v>5218</v>
      </c>
      <c r="O14" s="3">
        <v>0</v>
      </c>
      <c r="P14" s="3">
        <v>0</v>
      </c>
      <c r="Q14" s="3">
        <v>0</v>
      </c>
      <c r="R14" s="3">
        <v>0</v>
      </c>
      <c r="S14" s="3">
        <v>0</v>
      </c>
      <c r="T14" s="3">
        <v>0</v>
      </c>
      <c r="U14" s="3">
        <v>0</v>
      </c>
      <c r="V14" s="3">
        <v>0</v>
      </c>
      <c r="W14" s="3" t="s">
        <v>5227</v>
      </c>
      <c r="X14" s="3">
        <v>22.98</v>
      </c>
      <c r="Y14" s="3">
        <v>22.98</v>
      </c>
      <c r="Z14" s="3">
        <v>22.98</v>
      </c>
      <c r="AA14" s="3">
        <v>0</v>
      </c>
      <c r="AB14" s="3" t="s">
        <v>5223</v>
      </c>
      <c r="AC14" s="3">
        <v>9</v>
      </c>
      <c r="AD14" s="3">
        <v>22.98</v>
      </c>
      <c r="AE14" s="3">
        <v>0</v>
      </c>
      <c r="AF14" s="3">
        <v>0</v>
      </c>
      <c r="AG14" s="3">
        <v>0</v>
      </c>
      <c r="AH14" s="3">
        <v>3.48387096774193</v>
      </c>
      <c r="AI14" s="3" t="s">
        <v>5226</v>
      </c>
      <c r="AJ14" s="3" t="s">
        <v>5222</v>
      </c>
    </row>
    <row r="15" spans="1:36">
      <c r="A15" s="5">
        <v>43288</v>
      </c>
      <c r="B15" s="3" t="s">
        <v>2292</v>
      </c>
      <c r="C15" s="3" t="s">
        <v>2293</v>
      </c>
      <c r="D15" s="3" t="s">
        <v>2293</v>
      </c>
      <c r="E15" s="3" t="s">
        <v>2294</v>
      </c>
      <c r="F15" s="3" t="s">
        <v>120</v>
      </c>
      <c r="G15" s="3">
        <v>36</v>
      </c>
      <c r="H15" s="3">
        <v>0</v>
      </c>
      <c r="I15" s="3">
        <v>36</v>
      </c>
      <c r="J15" s="3">
        <v>0</v>
      </c>
      <c r="K15" s="3">
        <v>0</v>
      </c>
      <c r="L15" s="3">
        <v>0</v>
      </c>
      <c r="M15" s="3">
        <v>0</v>
      </c>
      <c r="N15" s="3" t="s">
        <v>5218</v>
      </c>
      <c r="O15" s="3">
        <v>0</v>
      </c>
      <c r="P15" s="3">
        <v>0</v>
      </c>
      <c r="Q15" s="3">
        <v>0</v>
      </c>
      <c r="R15" s="3">
        <v>0</v>
      </c>
      <c r="S15" s="3">
        <v>0</v>
      </c>
      <c r="T15" s="3">
        <v>3</v>
      </c>
      <c r="U15" s="3">
        <v>4</v>
      </c>
      <c r="V15" s="3">
        <v>7</v>
      </c>
      <c r="W15" s="3"/>
      <c r="X15" s="3">
        <v>22.98</v>
      </c>
      <c r="Y15" s="3">
        <v>22.98</v>
      </c>
      <c r="Z15" s="3">
        <v>22.98</v>
      </c>
      <c r="AA15" s="3">
        <v>0</v>
      </c>
      <c r="AB15" s="3" t="s">
        <v>5228</v>
      </c>
      <c r="AC15" s="3">
        <v>11</v>
      </c>
      <c r="AD15" s="3">
        <v>18.38</v>
      </c>
      <c r="AE15" s="3">
        <v>357</v>
      </c>
      <c r="AF15" s="3">
        <v>0</v>
      </c>
      <c r="AG15" s="3">
        <v>71.998522</v>
      </c>
      <c r="AH15" s="3">
        <v>0.297872340425531</v>
      </c>
      <c r="AI15" s="3" t="s">
        <v>5233</v>
      </c>
      <c r="AJ15" s="3" t="s">
        <v>5222</v>
      </c>
    </row>
    <row r="16" spans="1:36">
      <c r="A16" s="5">
        <v>43288</v>
      </c>
      <c r="B16" s="3" t="s">
        <v>3058</v>
      </c>
      <c r="C16" s="3" t="s">
        <v>3059</v>
      </c>
      <c r="D16" s="3" t="s">
        <v>3059</v>
      </c>
      <c r="E16" s="3" t="s">
        <v>3060</v>
      </c>
      <c r="F16" s="3" t="s">
        <v>120</v>
      </c>
      <c r="G16" s="3">
        <v>8</v>
      </c>
      <c r="H16" s="3">
        <v>0</v>
      </c>
      <c r="I16" s="3">
        <v>8</v>
      </c>
      <c r="J16" s="3">
        <v>0</v>
      </c>
      <c r="K16" s="3">
        <v>0</v>
      </c>
      <c r="L16" s="3">
        <v>0</v>
      </c>
      <c r="M16" s="3">
        <v>0</v>
      </c>
      <c r="N16" s="3" t="s">
        <v>5218</v>
      </c>
      <c r="O16" s="3">
        <v>0</v>
      </c>
      <c r="P16" s="3">
        <v>0</v>
      </c>
      <c r="Q16" s="3">
        <v>0</v>
      </c>
      <c r="R16" s="3">
        <v>0</v>
      </c>
      <c r="S16" s="3">
        <v>0</v>
      </c>
      <c r="T16" s="3">
        <v>0</v>
      </c>
      <c r="U16" s="3">
        <v>0</v>
      </c>
      <c r="V16" s="3">
        <v>0</v>
      </c>
      <c r="W16" s="3" t="s">
        <v>5219</v>
      </c>
      <c r="X16" s="3">
        <v>39.98</v>
      </c>
      <c r="Y16" s="3">
        <v>39.98</v>
      </c>
      <c r="Z16" s="3">
        <v>39.98</v>
      </c>
      <c r="AA16" s="3">
        <v>0</v>
      </c>
      <c r="AB16" s="3" t="s">
        <v>5234</v>
      </c>
      <c r="AC16" s="3">
        <v>8</v>
      </c>
      <c r="AD16" s="3">
        <v>39.98</v>
      </c>
      <c r="AE16" s="3">
        <v>0</v>
      </c>
      <c r="AF16" s="3">
        <v>0</v>
      </c>
      <c r="AG16" s="3">
        <v>0</v>
      </c>
      <c r="AH16" s="3">
        <v>0</v>
      </c>
      <c r="AI16" s="3" t="s">
        <v>5235</v>
      </c>
      <c r="AJ16" s="3" t="s">
        <v>5222</v>
      </c>
    </row>
    <row r="17" spans="1:36">
      <c r="A17" s="5">
        <v>43288</v>
      </c>
      <c r="B17" s="3" t="s">
        <v>2758</v>
      </c>
      <c r="C17" s="3" t="s">
        <v>2759</v>
      </c>
      <c r="D17" s="3" t="s">
        <v>2760</v>
      </c>
      <c r="E17" s="3" t="s">
        <v>1725</v>
      </c>
      <c r="F17" s="3" t="s">
        <v>120</v>
      </c>
      <c r="G17" s="3">
        <v>24</v>
      </c>
      <c r="H17" s="3">
        <v>0</v>
      </c>
      <c r="I17" s="3">
        <v>24</v>
      </c>
      <c r="J17" s="3">
        <v>0</v>
      </c>
      <c r="K17" s="3">
        <v>0</v>
      </c>
      <c r="L17" s="3">
        <v>0</v>
      </c>
      <c r="M17" s="3">
        <v>0</v>
      </c>
      <c r="N17" s="3" t="s">
        <v>5218</v>
      </c>
      <c r="O17" s="3">
        <v>0</v>
      </c>
      <c r="P17" s="3">
        <v>0</v>
      </c>
      <c r="Q17" s="3">
        <v>0</v>
      </c>
      <c r="R17" s="3">
        <v>0</v>
      </c>
      <c r="S17" s="3">
        <v>3</v>
      </c>
      <c r="T17" s="3">
        <v>7</v>
      </c>
      <c r="U17" s="3">
        <v>7</v>
      </c>
      <c r="V17" s="3">
        <v>7</v>
      </c>
      <c r="W17" s="3" t="s">
        <v>5227</v>
      </c>
      <c r="X17" s="3">
        <v>23.98</v>
      </c>
      <c r="Y17" s="3">
        <v>23.98</v>
      </c>
      <c r="Z17" s="3">
        <v>23.98</v>
      </c>
      <c r="AA17" s="3">
        <v>0</v>
      </c>
      <c r="AB17" s="3" t="s">
        <v>5223</v>
      </c>
      <c r="AC17" s="3">
        <v>26</v>
      </c>
      <c r="AD17" s="3">
        <v>24.98</v>
      </c>
      <c r="AE17" s="3">
        <v>0</v>
      </c>
      <c r="AF17" s="3">
        <v>0</v>
      </c>
      <c r="AG17" s="3">
        <v>0</v>
      </c>
      <c r="AH17" s="3">
        <v>0.583333333333333</v>
      </c>
      <c r="AI17" s="3" t="s">
        <v>5236</v>
      </c>
      <c r="AJ17" s="3" t="s">
        <v>5222</v>
      </c>
    </row>
    <row r="18" spans="1:36">
      <c r="A18" s="5">
        <v>43288</v>
      </c>
      <c r="B18" s="3" t="s">
        <v>4363</v>
      </c>
      <c r="C18" s="3" t="s">
        <v>4364</v>
      </c>
      <c r="D18" s="3" t="s">
        <v>4364</v>
      </c>
      <c r="E18" s="3" t="s">
        <v>4365</v>
      </c>
      <c r="F18" s="3" t="s">
        <v>120</v>
      </c>
      <c r="G18" s="3">
        <v>4</v>
      </c>
      <c r="H18" s="3">
        <v>0</v>
      </c>
      <c r="I18" s="3">
        <v>4</v>
      </c>
      <c r="J18" s="3">
        <v>0</v>
      </c>
      <c r="K18" s="3">
        <v>0</v>
      </c>
      <c r="L18" s="3">
        <v>0</v>
      </c>
      <c r="M18" s="3">
        <v>0</v>
      </c>
      <c r="N18" s="3" t="s">
        <v>5218</v>
      </c>
      <c r="O18" s="3">
        <v>0</v>
      </c>
      <c r="P18" s="3">
        <v>0</v>
      </c>
      <c r="Q18" s="3">
        <v>0</v>
      </c>
      <c r="R18" s="3">
        <v>0</v>
      </c>
      <c r="S18" s="3">
        <v>0</v>
      </c>
      <c r="T18" s="3">
        <v>1</v>
      </c>
      <c r="U18" s="3">
        <v>2</v>
      </c>
      <c r="V18" s="3">
        <v>5</v>
      </c>
      <c r="W18" s="3"/>
      <c r="X18" s="3">
        <v>22.98</v>
      </c>
      <c r="Y18" s="3">
        <v>22.98</v>
      </c>
      <c r="Z18" s="3">
        <v>22.98</v>
      </c>
      <c r="AA18" s="3">
        <v>0</v>
      </c>
      <c r="AB18" s="3" t="s">
        <v>5223</v>
      </c>
      <c r="AC18" s="3">
        <v>4</v>
      </c>
      <c r="AD18" s="3">
        <v>22.98</v>
      </c>
      <c r="AE18" s="3">
        <v>0</v>
      </c>
      <c r="AF18" s="3">
        <v>0</v>
      </c>
      <c r="AG18" s="3">
        <v>0</v>
      </c>
      <c r="AH18" s="3">
        <v>1.66666666666666</v>
      </c>
      <c r="AI18" s="3" t="s">
        <v>5226</v>
      </c>
      <c r="AJ18" s="3" t="s">
        <v>5222</v>
      </c>
    </row>
    <row r="19" spans="1:36">
      <c r="A19" s="5">
        <v>43288</v>
      </c>
      <c r="B19" s="3" t="s">
        <v>2711</v>
      </c>
      <c r="C19" s="3" t="s">
        <v>2712</v>
      </c>
      <c r="D19" s="3" t="s">
        <v>2712</v>
      </c>
      <c r="E19" s="3" t="s">
        <v>2713</v>
      </c>
      <c r="F19" s="3" t="s">
        <v>120</v>
      </c>
      <c r="G19" s="3">
        <v>14</v>
      </c>
      <c r="H19" s="3">
        <v>0</v>
      </c>
      <c r="I19" s="3">
        <v>1</v>
      </c>
      <c r="J19" s="3">
        <v>11</v>
      </c>
      <c r="K19" s="3">
        <v>2</v>
      </c>
      <c r="L19" s="3">
        <v>0</v>
      </c>
      <c r="M19" s="3">
        <v>0</v>
      </c>
      <c r="N19" s="3" t="s">
        <v>5218</v>
      </c>
      <c r="O19" s="3">
        <v>2</v>
      </c>
      <c r="P19" s="3">
        <v>4.8</v>
      </c>
      <c r="Q19" s="3">
        <v>0</v>
      </c>
      <c r="R19" s="3">
        <v>0</v>
      </c>
      <c r="S19" s="3">
        <v>0</v>
      </c>
      <c r="T19" s="3">
        <v>1</v>
      </c>
      <c r="U19" s="3">
        <v>3</v>
      </c>
      <c r="V19" s="3">
        <v>3</v>
      </c>
      <c r="W19" s="3"/>
      <c r="X19" s="3">
        <v>26.98</v>
      </c>
      <c r="Y19" s="3">
        <v>26.98</v>
      </c>
      <c r="Z19" s="3">
        <v>26.98</v>
      </c>
      <c r="AA19" s="3">
        <v>0</v>
      </c>
      <c r="AB19" s="3" t="s">
        <v>5228</v>
      </c>
      <c r="AC19" s="3">
        <v>6</v>
      </c>
      <c r="AD19" s="3">
        <v>24.39</v>
      </c>
      <c r="AE19" s="3">
        <v>126</v>
      </c>
      <c r="AF19" s="3">
        <v>0</v>
      </c>
      <c r="AG19" s="3">
        <v>14.487112</v>
      </c>
      <c r="AH19" s="3">
        <v>0.19047619047619</v>
      </c>
      <c r="AI19" s="3" t="s">
        <v>5237</v>
      </c>
      <c r="AJ19" s="3" t="s">
        <v>5222</v>
      </c>
    </row>
    <row r="20" spans="1:36">
      <c r="A20" s="5">
        <v>43288</v>
      </c>
      <c r="B20" s="3" t="s">
        <v>475</v>
      </c>
      <c r="C20" s="3" t="s">
        <v>310</v>
      </c>
      <c r="D20" s="3" t="s">
        <v>310</v>
      </c>
      <c r="E20" s="3" t="s">
        <v>348</v>
      </c>
      <c r="F20" s="3" t="s">
        <v>120</v>
      </c>
      <c r="G20" s="3">
        <v>27</v>
      </c>
      <c r="H20" s="3">
        <v>0</v>
      </c>
      <c r="I20" s="3">
        <v>27</v>
      </c>
      <c r="J20" s="3">
        <v>0</v>
      </c>
      <c r="K20" s="3">
        <v>0</v>
      </c>
      <c r="L20" s="3">
        <v>0</v>
      </c>
      <c r="M20" s="3">
        <v>0</v>
      </c>
      <c r="N20" s="3" t="s">
        <v>5218</v>
      </c>
      <c r="O20" s="3">
        <v>0</v>
      </c>
      <c r="P20" s="3">
        <v>0</v>
      </c>
      <c r="Q20" s="3">
        <v>0</v>
      </c>
      <c r="R20" s="3">
        <v>0</v>
      </c>
      <c r="S20" s="3">
        <v>6</v>
      </c>
      <c r="T20" s="3">
        <v>31</v>
      </c>
      <c r="U20" s="3">
        <v>71</v>
      </c>
      <c r="V20" s="3">
        <v>98</v>
      </c>
      <c r="W20" s="3"/>
      <c r="X20" s="3">
        <v>39.98</v>
      </c>
      <c r="Y20" s="3">
        <v>24.98</v>
      </c>
      <c r="Z20" s="3">
        <v>24.98</v>
      </c>
      <c r="AA20" s="3">
        <v>0</v>
      </c>
      <c r="AB20" s="3" t="s">
        <v>5223</v>
      </c>
      <c r="AC20" s="3">
        <v>34</v>
      </c>
      <c r="AD20" s="3">
        <v>24.98</v>
      </c>
      <c r="AE20" s="3">
        <v>0</v>
      </c>
      <c r="AF20" s="3">
        <v>0</v>
      </c>
      <c r="AG20" s="3">
        <v>0</v>
      </c>
      <c r="AH20" s="3">
        <v>4.3076923076923</v>
      </c>
      <c r="AI20" s="3" t="s">
        <v>5224</v>
      </c>
      <c r="AJ20" s="3" t="s">
        <v>5222</v>
      </c>
    </row>
    <row r="21" spans="1:36">
      <c r="A21" s="5">
        <v>43288</v>
      </c>
      <c r="B21" s="3" t="s">
        <v>2310</v>
      </c>
      <c r="C21" s="3" t="s">
        <v>2311</v>
      </c>
      <c r="D21" s="3" t="s">
        <v>2311</v>
      </c>
      <c r="E21" s="3" t="s">
        <v>2312</v>
      </c>
      <c r="F21" s="3" t="s">
        <v>120</v>
      </c>
      <c r="G21" s="3">
        <v>39</v>
      </c>
      <c r="H21" s="3">
        <v>0</v>
      </c>
      <c r="I21" s="3">
        <v>36</v>
      </c>
      <c r="J21" s="3">
        <v>3</v>
      </c>
      <c r="K21" s="3">
        <v>0</v>
      </c>
      <c r="L21" s="3">
        <v>0</v>
      </c>
      <c r="M21" s="3">
        <v>0</v>
      </c>
      <c r="N21" s="3" t="s">
        <v>5218</v>
      </c>
      <c r="O21" s="3">
        <v>2</v>
      </c>
      <c r="P21" s="3">
        <v>4.8</v>
      </c>
      <c r="Q21" s="3">
        <v>0</v>
      </c>
      <c r="R21" s="3">
        <v>0</v>
      </c>
      <c r="S21" s="3">
        <v>1</v>
      </c>
      <c r="T21" s="3">
        <v>1</v>
      </c>
      <c r="U21" s="3">
        <v>5</v>
      </c>
      <c r="V21" s="3">
        <v>6</v>
      </c>
      <c r="W21" s="3"/>
      <c r="X21" s="3">
        <v>22.98</v>
      </c>
      <c r="Y21" s="3">
        <v>22.98</v>
      </c>
      <c r="Z21" s="3">
        <v>22.98</v>
      </c>
      <c r="AA21" s="3">
        <v>0</v>
      </c>
      <c r="AB21" s="3" t="s">
        <v>5228</v>
      </c>
      <c r="AC21" s="3">
        <v>16</v>
      </c>
      <c r="AD21" s="3">
        <v>18.38</v>
      </c>
      <c r="AE21" s="3">
        <v>364</v>
      </c>
      <c r="AF21" s="3">
        <v>0</v>
      </c>
      <c r="AG21" s="3">
        <v>154.495885</v>
      </c>
      <c r="AH21" s="3">
        <v>0.237623762376237</v>
      </c>
      <c r="AI21" s="3" t="s">
        <v>5233</v>
      </c>
      <c r="AJ21" s="3" t="s">
        <v>5222</v>
      </c>
    </row>
    <row r="22" spans="1:36">
      <c r="A22" s="5">
        <v>43288</v>
      </c>
      <c r="B22" s="3" t="s">
        <v>2609</v>
      </c>
      <c r="C22" s="3" t="s">
        <v>1128</v>
      </c>
      <c r="D22" s="3" t="s">
        <v>1128</v>
      </c>
      <c r="E22" s="3" t="s">
        <v>1129</v>
      </c>
      <c r="F22" s="3" t="s">
        <v>120</v>
      </c>
      <c r="G22" s="3">
        <v>16</v>
      </c>
      <c r="H22" s="3">
        <v>0</v>
      </c>
      <c r="I22" s="3">
        <v>16</v>
      </c>
      <c r="J22" s="3">
        <v>0</v>
      </c>
      <c r="K22" s="3">
        <v>0</v>
      </c>
      <c r="L22" s="3">
        <v>0</v>
      </c>
      <c r="M22" s="3">
        <v>0</v>
      </c>
      <c r="N22" s="3" t="s">
        <v>5218</v>
      </c>
      <c r="O22" s="3">
        <v>0</v>
      </c>
      <c r="P22" s="3">
        <v>0</v>
      </c>
      <c r="Q22" s="3">
        <v>0</v>
      </c>
      <c r="R22" s="3">
        <v>0</v>
      </c>
      <c r="S22" s="3">
        <v>1</v>
      </c>
      <c r="T22" s="3">
        <v>25</v>
      </c>
      <c r="U22" s="3">
        <v>40</v>
      </c>
      <c r="V22" s="3">
        <v>51</v>
      </c>
      <c r="W22" s="3"/>
      <c r="X22" s="3">
        <v>35.98</v>
      </c>
      <c r="Y22" s="3">
        <v>22.98</v>
      </c>
      <c r="Z22" s="3">
        <v>22.98</v>
      </c>
      <c r="AA22" s="3">
        <v>0</v>
      </c>
      <c r="AB22" s="3" t="s">
        <v>5223</v>
      </c>
      <c r="AC22" s="3">
        <v>17</v>
      </c>
      <c r="AD22" s="3">
        <v>22.98</v>
      </c>
      <c r="AE22" s="3">
        <v>0</v>
      </c>
      <c r="AF22" s="3">
        <v>0</v>
      </c>
      <c r="AG22" s="3">
        <v>0</v>
      </c>
      <c r="AH22" s="3">
        <v>2.83333333333333</v>
      </c>
      <c r="AI22" s="3" t="s">
        <v>5238</v>
      </c>
      <c r="AJ22" s="3" t="s">
        <v>5222</v>
      </c>
    </row>
    <row r="23" spans="1:36">
      <c r="A23" s="5">
        <v>43288</v>
      </c>
      <c r="B23" s="3" t="s">
        <v>471</v>
      </c>
      <c r="C23" s="3" t="s">
        <v>306</v>
      </c>
      <c r="D23" s="3" t="s">
        <v>306</v>
      </c>
      <c r="E23" s="3" t="s">
        <v>472</v>
      </c>
      <c r="F23" s="3" t="s">
        <v>120</v>
      </c>
      <c r="G23" s="3">
        <v>16</v>
      </c>
      <c r="H23" s="3">
        <v>0</v>
      </c>
      <c r="I23" s="3">
        <v>1</v>
      </c>
      <c r="J23" s="3">
        <v>15</v>
      </c>
      <c r="K23" s="3">
        <v>0</v>
      </c>
      <c r="L23" s="3">
        <v>0</v>
      </c>
      <c r="M23" s="3">
        <v>0</v>
      </c>
      <c r="N23" s="3" t="s">
        <v>5218</v>
      </c>
      <c r="O23" s="3">
        <v>0</v>
      </c>
      <c r="P23" s="3">
        <v>0</v>
      </c>
      <c r="Q23" s="3">
        <v>0</v>
      </c>
      <c r="R23" s="3">
        <v>0</v>
      </c>
      <c r="S23" s="3">
        <v>0</v>
      </c>
      <c r="T23" s="3">
        <v>2</v>
      </c>
      <c r="U23" s="3">
        <v>11</v>
      </c>
      <c r="V23" s="3">
        <v>14</v>
      </c>
      <c r="W23" s="3"/>
      <c r="X23" s="3">
        <v>24.98</v>
      </c>
      <c r="Y23" s="3">
        <v>24.98</v>
      </c>
      <c r="Z23" s="3">
        <v>24.98</v>
      </c>
      <c r="AA23" s="3">
        <v>0</v>
      </c>
      <c r="AB23" s="3" t="s">
        <v>5223</v>
      </c>
      <c r="AC23" s="3">
        <v>15</v>
      </c>
      <c r="AD23" s="3">
        <v>24.98</v>
      </c>
      <c r="AE23" s="3">
        <v>0</v>
      </c>
      <c r="AF23" s="3">
        <v>0</v>
      </c>
      <c r="AG23" s="3">
        <v>0</v>
      </c>
      <c r="AH23" s="3">
        <v>0.504504504504504</v>
      </c>
      <c r="AI23" s="3" t="s">
        <v>5224</v>
      </c>
      <c r="AJ23" s="3" t="s">
        <v>5222</v>
      </c>
    </row>
    <row r="24" spans="1:36">
      <c r="A24" s="5">
        <v>43288</v>
      </c>
      <c r="B24" s="3" t="s">
        <v>3604</v>
      </c>
      <c r="C24" s="3" t="s">
        <v>3366</v>
      </c>
      <c r="D24" s="3" t="s">
        <v>3366</v>
      </c>
      <c r="E24" s="3" t="s">
        <v>3367</v>
      </c>
      <c r="F24" s="3" t="s">
        <v>120</v>
      </c>
      <c r="G24" s="3">
        <v>1</v>
      </c>
      <c r="H24" s="3">
        <v>0</v>
      </c>
      <c r="I24" s="3">
        <v>1</v>
      </c>
      <c r="J24" s="3">
        <v>0</v>
      </c>
      <c r="K24" s="3">
        <v>0</v>
      </c>
      <c r="L24" s="3">
        <v>0</v>
      </c>
      <c r="M24" s="3">
        <v>0</v>
      </c>
      <c r="N24" s="3" t="s">
        <v>5218</v>
      </c>
      <c r="O24" s="3">
        <v>0</v>
      </c>
      <c r="P24" s="3">
        <v>0</v>
      </c>
      <c r="Q24" s="3">
        <v>0</v>
      </c>
      <c r="R24" s="3">
        <v>0</v>
      </c>
      <c r="S24" s="3">
        <v>1</v>
      </c>
      <c r="T24" s="3">
        <v>2</v>
      </c>
      <c r="U24" s="3">
        <v>4</v>
      </c>
      <c r="V24" s="3">
        <v>4</v>
      </c>
      <c r="W24" s="3"/>
      <c r="X24" s="3">
        <v>22.98</v>
      </c>
      <c r="Y24" s="3">
        <v>22.98</v>
      </c>
      <c r="Z24" s="3">
        <v>22.98</v>
      </c>
      <c r="AA24" s="3">
        <v>0</v>
      </c>
      <c r="AB24" s="3" t="s">
        <v>5223</v>
      </c>
      <c r="AC24" s="3">
        <v>1</v>
      </c>
      <c r="AD24" s="3">
        <v>22.98</v>
      </c>
      <c r="AE24" s="3">
        <v>0</v>
      </c>
      <c r="AF24" s="3">
        <v>0</v>
      </c>
      <c r="AG24" s="3">
        <v>0</v>
      </c>
      <c r="AH24" s="3">
        <v>1.33333333333333</v>
      </c>
      <c r="AI24" s="3" t="s">
        <v>5239</v>
      </c>
      <c r="AJ24" s="3" t="s">
        <v>5222</v>
      </c>
    </row>
    <row r="25" spans="1:36">
      <c r="A25" s="5">
        <v>43288</v>
      </c>
      <c r="B25" s="3" t="s">
        <v>2403</v>
      </c>
      <c r="C25" s="3" t="s">
        <v>2404</v>
      </c>
      <c r="D25" s="3" t="s">
        <v>2404</v>
      </c>
      <c r="E25" s="3" t="s">
        <v>2405</v>
      </c>
      <c r="F25" s="3" t="s">
        <v>120</v>
      </c>
      <c r="G25" s="3">
        <v>1</v>
      </c>
      <c r="H25" s="3">
        <v>0</v>
      </c>
      <c r="I25" s="3">
        <v>1</v>
      </c>
      <c r="J25" s="3">
        <v>0</v>
      </c>
      <c r="K25" s="3">
        <v>0</v>
      </c>
      <c r="L25" s="3">
        <v>0</v>
      </c>
      <c r="M25" s="3">
        <v>0</v>
      </c>
      <c r="N25" s="3" t="s">
        <v>5218</v>
      </c>
      <c r="O25" s="3">
        <v>0</v>
      </c>
      <c r="P25" s="3">
        <v>0</v>
      </c>
      <c r="Q25" s="3">
        <v>0</v>
      </c>
      <c r="R25" s="3">
        <v>0</v>
      </c>
      <c r="S25" s="3">
        <v>0</v>
      </c>
      <c r="T25" s="3">
        <v>0</v>
      </c>
      <c r="U25" s="3">
        <v>0</v>
      </c>
      <c r="V25" s="3">
        <v>0</v>
      </c>
      <c r="W25" s="3" t="s">
        <v>5227</v>
      </c>
      <c r="X25" s="3">
        <v>22.98</v>
      </c>
      <c r="Y25" s="3">
        <v>22.98</v>
      </c>
      <c r="Z25" s="3">
        <v>10.98</v>
      </c>
      <c r="AA25" s="3">
        <v>0</v>
      </c>
      <c r="AB25" s="3" t="s">
        <v>5228</v>
      </c>
      <c r="AC25" s="3">
        <v>0</v>
      </c>
      <c r="AD25" s="3">
        <v>18.38</v>
      </c>
      <c r="AE25" s="3">
        <v>63</v>
      </c>
      <c r="AF25" s="3">
        <v>0</v>
      </c>
      <c r="AG25" s="3">
        <v>17.27719</v>
      </c>
      <c r="AH25" s="3">
        <v>0</v>
      </c>
      <c r="AI25" s="3" t="s">
        <v>5240</v>
      </c>
      <c r="AJ25" s="3" t="s">
        <v>5222</v>
      </c>
    </row>
    <row r="26" spans="1:36">
      <c r="A26" s="5">
        <v>43288</v>
      </c>
      <c r="B26" s="3" t="s">
        <v>4219</v>
      </c>
      <c r="C26" s="3" t="s">
        <v>4220</v>
      </c>
      <c r="D26" s="3" t="s">
        <v>4220</v>
      </c>
      <c r="E26" s="3" t="s">
        <v>4221</v>
      </c>
      <c r="F26" s="3" t="s">
        <v>120</v>
      </c>
      <c r="G26" s="3">
        <v>17</v>
      </c>
      <c r="H26" s="3">
        <v>0</v>
      </c>
      <c r="I26" s="3">
        <v>17</v>
      </c>
      <c r="J26" s="3">
        <v>0</v>
      </c>
      <c r="K26" s="3">
        <v>0</v>
      </c>
      <c r="L26" s="3">
        <v>0</v>
      </c>
      <c r="M26" s="3">
        <v>0</v>
      </c>
      <c r="N26" s="3" t="s">
        <v>5218</v>
      </c>
      <c r="O26" s="3">
        <v>0</v>
      </c>
      <c r="P26" s="3">
        <v>0</v>
      </c>
      <c r="Q26" s="3">
        <v>0</v>
      </c>
      <c r="R26" s="3">
        <v>0</v>
      </c>
      <c r="S26" s="3">
        <v>1</v>
      </c>
      <c r="T26" s="3">
        <v>9</v>
      </c>
      <c r="U26" s="3">
        <v>14</v>
      </c>
      <c r="V26" s="3">
        <v>20</v>
      </c>
      <c r="W26" s="3"/>
      <c r="X26" s="3">
        <v>22.98</v>
      </c>
      <c r="Y26" s="3">
        <v>22.98</v>
      </c>
      <c r="Z26" s="3">
        <v>22.98</v>
      </c>
      <c r="AA26" s="3">
        <v>0</v>
      </c>
      <c r="AB26" s="3" t="s">
        <v>5223</v>
      </c>
      <c r="AC26" s="3">
        <v>17</v>
      </c>
      <c r="AD26" s="3">
        <v>22.98</v>
      </c>
      <c r="AE26" s="3">
        <v>0</v>
      </c>
      <c r="AF26" s="3">
        <v>0</v>
      </c>
      <c r="AG26" s="3">
        <v>0</v>
      </c>
      <c r="AH26" s="3">
        <v>1.70212765957446</v>
      </c>
      <c r="AI26" s="3" t="s">
        <v>5226</v>
      </c>
      <c r="AJ26" s="3" t="s">
        <v>5222</v>
      </c>
    </row>
    <row r="27" spans="1:36">
      <c r="A27" s="5">
        <v>43288</v>
      </c>
      <c r="B27" s="3" t="s">
        <v>3241</v>
      </c>
      <c r="C27" s="3" t="s">
        <v>3242</v>
      </c>
      <c r="D27" s="3" t="s">
        <v>3243</v>
      </c>
      <c r="E27" s="3" t="s">
        <v>3244</v>
      </c>
      <c r="F27" s="3" t="s">
        <v>120</v>
      </c>
      <c r="G27" s="3">
        <v>3</v>
      </c>
      <c r="H27" s="3">
        <v>0</v>
      </c>
      <c r="I27" s="3">
        <v>3</v>
      </c>
      <c r="J27" s="3">
        <v>0</v>
      </c>
      <c r="K27" s="3">
        <v>0</v>
      </c>
      <c r="L27" s="3">
        <v>0</v>
      </c>
      <c r="M27" s="3">
        <v>0</v>
      </c>
      <c r="N27" s="3" t="s">
        <v>5218</v>
      </c>
      <c r="O27" s="3">
        <v>0</v>
      </c>
      <c r="P27" s="3">
        <v>0</v>
      </c>
      <c r="Q27" s="3">
        <v>0</v>
      </c>
      <c r="R27" s="3">
        <v>0</v>
      </c>
      <c r="S27" s="3">
        <v>2</v>
      </c>
      <c r="T27" s="3">
        <v>2</v>
      </c>
      <c r="U27" s="3">
        <v>2</v>
      </c>
      <c r="V27" s="3">
        <v>2</v>
      </c>
      <c r="W27" s="3"/>
      <c r="X27" s="3">
        <v>25.98</v>
      </c>
      <c r="Y27" s="3">
        <v>25.98</v>
      </c>
      <c r="Z27" s="3">
        <v>22.99</v>
      </c>
      <c r="AA27" s="3">
        <v>0</v>
      </c>
      <c r="AB27" s="3" t="s">
        <v>5223</v>
      </c>
      <c r="AC27" s="3">
        <v>3</v>
      </c>
      <c r="AD27" s="3">
        <v>25.98</v>
      </c>
      <c r="AE27" s="3">
        <v>0</v>
      </c>
      <c r="AF27" s="3">
        <v>0</v>
      </c>
      <c r="AG27" s="3">
        <v>0</v>
      </c>
      <c r="AH27" s="3">
        <v>1.33333333333333</v>
      </c>
      <c r="AI27" s="3" t="s">
        <v>5241</v>
      </c>
      <c r="AJ27" s="3" t="s">
        <v>5242</v>
      </c>
    </row>
    <row r="28" spans="1:36">
      <c r="A28" s="5">
        <v>43288</v>
      </c>
      <c r="B28" s="3" t="s">
        <v>1288</v>
      </c>
      <c r="C28" s="3" t="s">
        <v>1289</v>
      </c>
      <c r="D28" s="3" t="s">
        <v>581</v>
      </c>
      <c r="E28" s="3" t="s">
        <v>821</v>
      </c>
      <c r="F28" s="3" t="s">
        <v>120</v>
      </c>
      <c r="G28" s="3">
        <v>9</v>
      </c>
      <c r="H28" s="3">
        <v>0</v>
      </c>
      <c r="I28" s="3">
        <v>9</v>
      </c>
      <c r="J28" s="3">
        <v>0</v>
      </c>
      <c r="K28" s="3">
        <v>0</v>
      </c>
      <c r="L28" s="3">
        <v>0</v>
      </c>
      <c r="M28" s="3">
        <v>0</v>
      </c>
      <c r="N28" s="3" t="s">
        <v>5218</v>
      </c>
      <c r="O28" s="3">
        <v>0</v>
      </c>
      <c r="P28" s="3">
        <v>0</v>
      </c>
      <c r="Q28" s="3">
        <v>0</v>
      </c>
      <c r="R28" s="3">
        <v>0</v>
      </c>
      <c r="S28" s="3">
        <v>1</v>
      </c>
      <c r="T28" s="3">
        <v>1</v>
      </c>
      <c r="U28" s="3">
        <v>1</v>
      </c>
      <c r="V28" s="3">
        <v>1</v>
      </c>
      <c r="W28" s="3"/>
      <c r="X28" s="3">
        <v>22.98</v>
      </c>
      <c r="Y28" s="3">
        <v>22.98</v>
      </c>
      <c r="Z28" s="3">
        <v>22.98</v>
      </c>
      <c r="AA28" s="3">
        <v>0</v>
      </c>
      <c r="AB28" s="3" t="s">
        <v>5223</v>
      </c>
      <c r="AC28" s="3">
        <v>9</v>
      </c>
      <c r="AD28" s="3">
        <v>22.98</v>
      </c>
      <c r="AE28" s="3">
        <v>0</v>
      </c>
      <c r="AF28" s="3">
        <v>0</v>
      </c>
      <c r="AG28" s="3">
        <v>0</v>
      </c>
      <c r="AH28" s="3">
        <v>0.913043478260869</v>
      </c>
      <c r="AI28" s="3" t="s">
        <v>5225</v>
      </c>
      <c r="AJ28" s="3" t="s">
        <v>5222</v>
      </c>
    </row>
    <row r="29" spans="1:36">
      <c r="A29" s="5">
        <v>43288</v>
      </c>
      <c r="B29" s="3" t="s">
        <v>2433</v>
      </c>
      <c r="C29" s="3" t="s">
        <v>2434</v>
      </c>
      <c r="D29" s="3" t="s">
        <v>2434</v>
      </c>
      <c r="E29" s="3" t="s">
        <v>2435</v>
      </c>
      <c r="F29" s="3" t="s">
        <v>120</v>
      </c>
      <c r="G29" s="3">
        <v>1</v>
      </c>
      <c r="H29" s="3">
        <v>0</v>
      </c>
      <c r="I29" s="3">
        <v>1</v>
      </c>
      <c r="J29" s="3">
        <v>0</v>
      </c>
      <c r="K29" s="3">
        <v>0</v>
      </c>
      <c r="L29" s="3">
        <v>0</v>
      </c>
      <c r="M29" s="3">
        <v>0</v>
      </c>
      <c r="N29" s="3" t="s">
        <v>5218</v>
      </c>
      <c r="O29" s="3">
        <v>0</v>
      </c>
      <c r="P29" s="3">
        <v>0</v>
      </c>
      <c r="Q29" s="3">
        <v>0</v>
      </c>
      <c r="R29" s="3">
        <v>0</v>
      </c>
      <c r="S29" s="3">
        <v>0</v>
      </c>
      <c r="T29" s="3">
        <v>0</v>
      </c>
      <c r="U29" s="3">
        <v>0</v>
      </c>
      <c r="V29" s="3">
        <v>0</v>
      </c>
      <c r="W29" s="3" t="s">
        <v>5227</v>
      </c>
      <c r="X29" s="3">
        <v>22.98</v>
      </c>
      <c r="Y29" s="3">
        <v>22.98</v>
      </c>
      <c r="Z29" s="3">
        <v>12.98</v>
      </c>
      <c r="AA29" s="3">
        <v>0</v>
      </c>
      <c r="AB29" s="3" t="s">
        <v>5228</v>
      </c>
      <c r="AC29" s="3">
        <v>0</v>
      </c>
      <c r="AD29" s="3">
        <v>18.38</v>
      </c>
      <c r="AE29" s="3">
        <v>63</v>
      </c>
      <c r="AF29" s="3">
        <v>0</v>
      </c>
      <c r="AG29" s="3">
        <v>17.27719</v>
      </c>
      <c r="AH29" s="3">
        <v>0</v>
      </c>
      <c r="AI29" s="3" t="s">
        <v>5240</v>
      </c>
      <c r="AJ29" s="3" t="s">
        <v>5222</v>
      </c>
    </row>
    <row r="30" spans="1:36">
      <c r="A30" s="5">
        <v>43288</v>
      </c>
      <c r="B30" s="3" t="s">
        <v>4234</v>
      </c>
      <c r="C30" s="3" t="s">
        <v>4235</v>
      </c>
      <c r="D30" s="3" t="s">
        <v>4235</v>
      </c>
      <c r="E30" s="3" t="s">
        <v>4236</v>
      </c>
      <c r="F30" s="3" t="s">
        <v>120</v>
      </c>
      <c r="G30" s="3">
        <v>15</v>
      </c>
      <c r="H30" s="3">
        <v>0</v>
      </c>
      <c r="I30" s="3">
        <v>15</v>
      </c>
      <c r="J30" s="3">
        <v>0</v>
      </c>
      <c r="K30" s="3">
        <v>0</v>
      </c>
      <c r="L30" s="3">
        <v>0</v>
      </c>
      <c r="M30" s="3">
        <v>0</v>
      </c>
      <c r="N30" s="3" t="s">
        <v>5218</v>
      </c>
      <c r="O30" s="3">
        <v>0</v>
      </c>
      <c r="P30" s="3">
        <v>0</v>
      </c>
      <c r="Q30" s="3">
        <v>0</v>
      </c>
      <c r="R30" s="3">
        <v>0</v>
      </c>
      <c r="S30" s="3">
        <v>0</v>
      </c>
      <c r="T30" s="3">
        <v>4</v>
      </c>
      <c r="U30" s="3">
        <v>5</v>
      </c>
      <c r="V30" s="3">
        <v>9</v>
      </c>
      <c r="W30" s="3"/>
      <c r="X30" s="3">
        <v>23.98</v>
      </c>
      <c r="Y30" s="3">
        <v>23.98</v>
      </c>
      <c r="Z30" s="3">
        <v>23.98</v>
      </c>
      <c r="AA30" s="3">
        <v>0</v>
      </c>
      <c r="AB30" s="3" t="s">
        <v>5228</v>
      </c>
      <c r="AC30" s="3">
        <v>0</v>
      </c>
      <c r="AD30" s="3">
        <v>21.34</v>
      </c>
      <c r="AE30" s="3">
        <v>294</v>
      </c>
      <c r="AF30" s="3">
        <v>0</v>
      </c>
      <c r="AG30" s="3">
        <v>276.627495</v>
      </c>
      <c r="AH30" s="3">
        <v>0.818181818181818</v>
      </c>
      <c r="AI30" s="3" t="s">
        <v>5243</v>
      </c>
      <c r="AJ30" s="3" t="s">
        <v>5222</v>
      </c>
    </row>
    <row r="31" spans="1:36">
      <c r="A31" s="5">
        <v>43288</v>
      </c>
      <c r="B31" s="3" t="s">
        <v>3605</v>
      </c>
      <c r="C31" s="3" t="s">
        <v>3450</v>
      </c>
      <c r="D31" s="3" t="s">
        <v>3450</v>
      </c>
      <c r="E31" s="3" t="s">
        <v>3451</v>
      </c>
      <c r="F31" s="3" t="s">
        <v>120</v>
      </c>
      <c r="G31" s="3">
        <v>1</v>
      </c>
      <c r="H31" s="3">
        <v>0</v>
      </c>
      <c r="I31" s="3">
        <v>1</v>
      </c>
      <c r="J31" s="3">
        <v>0</v>
      </c>
      <c r="K31" s="3">
        <v>0</v>
      </c>
      <c r="L31" s="3">
        <v>0</v>
      </c>
      <c r="M31" s="3">
        <v>0</v>
      </c>
      <c r="N31" s="3" t="s">
        <v>5218</v>
      </c>
      <c r="O31" s="3">
        <v>0</v>
      </c>
      <c r="P31" s="3">
        <v>0</v>
      </c>
      <c r="Q31" s="3">
        <v>0</v>
      </c>
      <c r="R31" s="3">
        <v>0</v>
      </c>
      <c r="S31" s="3">
        <v>0</v>
      </c>
      <c r="T31" s="3">
        <v>1</v>
      </c>
      <c r="U31" s="3">
        <v>5</v>
      </c>
      <c r="V31" s="3">
        <v>5</v>
      </c>
      <c r="W31" s="3"/>
      <c r="X31" s="3">
        <v>22.98</v>
      </c>
      <c r="Y31" s="3">
        <v>22.98</v>
      </c>
      <c r="Z31" s="3">
        <v>22.98</v>
      </c>
      <c r="AA31" s="3">
        <v>0</v>
      </c>
      <c r="AB31" s="3" t="s">
        <v>5223</v>
      </c>
      <c r="AC31" s="3">
        <v>1</v>
      </c>
      <c r="AD31" s="3">
        <v>22.98</v>
      </c>
      <c r="AE31" s="3">
        <v>0</v>
      </c>
      <c r="AF31" s="3">
        <v>0</v>
      </c>
      <c r="AG31" s="3">
        <v>0</v>
      </c>
      <c r="AH31" s="3">
        <v>2.14285714285714</v>
      </c>
      <c r="AI31" s="3" t="s">
        <v>5239</v>
      </c>
      <c r="AJ31" s="3" t="s">
        <v>5222</v>
      </c>
    </row>
    <row r="32" spans="1:36">
      <c r="A32" s="5">
        <v>43288</v>
      </c>
      <c r="B32" s="3" t="s">
        <v>4870</v>
      </c>
      <c r="C32" s="3" t="s">
        <v>4871</v>
      </c>
      <c r="D32" s="3" t="s">
        <v>4871</v>
      </c>
      <c r="E32" s="3" t="s">
        <v>4874</v>
      </c>
      <c r="F32" s="3" t="s">
        <v>120</v>
      </c>
      <c r="G32" s="3">
        <v>6</v>
      </c>
      <c r="H32" s="3">
        <v>0</v>
      </c>
      <c r="I32" s="3">
        <v>0</v>
      </c>
      <c r="J32" s="3">
        <v>0</v>
      </c>
      <c r="K32" s="3">
        <v>6</v>
      </c>
      <c r="L32" s="3">
        <v>0</v>
      </c>
      <c r="M32" s="3">
        <v>0</v>
      </c>
      <c r="N32" s="3" t="s">
        <v>5218</v>
      </c>
      <c r="O32" s="3">
        <v>6</v>
      </c>
      <c r="P32" s="3">
        <v>13.84</v>
      </c>
      <c r="Q32" s="3">
        <v>0</v>
      </c>
      <c r="R32" s="3">
        <v>0</v>
      </c>
      <c r="S32" s="3">
        <v>0</v>
      </c>
      <c r="T32" s="3">
        <v>0</v>
      </c>
      <c r="U32" s="3">
        <v>0</v>
      </c>
      <c r="V32" s="3">
        <v>0</v>
      </c>
      <c r="W32" s="3"/>
      <c r="X32" s="3"/>
      <c r="Y32" s="3"/>
      <c r="Z32" s="3">
        <v>-1</v>
      </c>
      <c r="AA32" s="3">
        <v>-1</v>
      </c>
      <c r="AB32" s="3" t="s">
        <v>5244</v>
      </c>
      <c r="AC32" s="3">
        <v>0</v>
      </c>
      <c r="AD32" s="3">
        <v>0</v>
      </c>
      <c r="AE32" s="3">
        <v>0</v>
      </c>
      <c r="AF32" s="3">
        <v>0</v>
      </c>
      <c r="AG32" s="3">
        <v>0</v>
      </c>
      <c r="AH32" s="3">
        <v>0</v>
      </c>
      <c r="AI32" s="3" t="s">
        <v>5245</v>
      </c>
      <c r="AJ32" s="3" t="s">
        <v>5242</v>
      </c>
    </row>
    <row r="33" spans="1:36">
      <c r="A33" s="5">
        <v>43288</v>
      </c>
      <c r="B33" s="3" t="s">
        <v>2628</v>
      </c>
      <c r="C33" s="3" t="s">
        <v>1193</v>
      </c>
      <c r="D33" s="3" t="s">
        <v>1193</v>
      </c>
      <c r="E33" s="3" t="s">
        <v>1194</v>
      </c>
      <c r="F33" s="3" t="s">
        <v>120</v>
      </c>
      <c r="G33" s="3">
        <v>44</v>
      </c>
      <c r="H33" s="3">
        <v>0</v>
      </c>
      <c r="I33" s="3">
        <v>44</v>
      </c>
      <c r="J33" s="3">
        <v>0</v>
      </c>
      <c r="K33" s="3">
        <v>0</v>
      </c>
      <c r="L33" s="3">
        <v>0</v>
      </c>
      <c r="M33" s="3">
        <v>0</v>
      </c>
      <c r="N33" s="3" t="s">
        <v>5218</v>
      </c>
      <c r="O33" s="3">
        <v>0</v>
      </c>
      <c r="P33" s="3">
        <v>0</v>
      </c>
      <c r="Q33" s="3">
        <v>0</v>
      </c>
      <c r="R33" s="3">
        <v>0</v>
      </c>
      <c r="S33" s="3">
        <v>6</v>
      </c>
      <c r="T33" s="3">
        <v>16</v>
      </c>
      <c r="U33" s="3">
        <v>37</v>
      </c>
      <c r="V33" s="3">
        <v>45</v>
      </c>
      <c r="W33" s="3"/>
      <c r="X33" s="3">
        <v>35.98</v>
      </c>
      <c r="Y33" s="3">
        <v>22.98</v>
      </c>
      <c r="Z33" s="3">
        <v>22.98</v>
      </c>
      <c r="AA33" s="3">
        <v>0</v>
      </c>
      <c r="AB33" s="3" t="s">
        <v>5223</v>
      </c>
      <c r="AC33" s="3">
        <v>17</v>
      </c>
      <c r="AD33" s="3">
        <v>22.98</v>
      </c>
      <c r="AE33" s="3">
        <v>0</v>
      </c>
      <c r="AF33" s="3">
        <v>0</v>
      </c>
      <c r="AG33" s="3">
        <v>0</v>
      </c>
      <c r="AH33" s="3">
        <v>2.27848101265822</v>
      </c>
      <c r="AI33" s="3" t="s">
        <v>5238</v>
      </c>
      <c r="AJ33" s="3" t="s">
        <v>5222</v>
      </c>
    </row>
    <row r="34" spans="1:36">
      <c r="A34" s="5">
        <v>43288</v>
      </c>
      <c r="B34" s="3" t="s">
        <v>2116</v>
      </c>
      <c r="C34" s="3" t="s">
        <v>2117</v>
      </c>
      <c r="D34" s="3" t="s">
        <v>2117</v>
      </c>
      <c r="E34" s="3" t="s">
        <v>2118</v>
      </c>
      <c r="F34" s="3" t="s">
        <v>120</v>
      </c>
      <c r="G34" s="3">
        <v>4</v>
      </c>
      <c r="H34" s="3">
        <v>0</v>
      </c>
      <c r="I34" s="3">
        <v>4</v>
      </c>
      <c r="J34" s="3">
        <v>0</v>
      </c>
      <c r="K34" s="3">
        <v>0</v>
      </c>
      <c r="L34" s="3">
        <v>0</v>
      </c>
      <c r="M34" s="3">
        <v>0</v>
      </c>
      <c r="N34" s="3" t="s">
        <v>5218</v>
      </c>
      <c r="O34" s="3">
        <v>0</v>
      </c>
      <c r="P34" s="3">
        <v>0</v>
      </c>
      <c r="Q34" s="3">
        <v>0</v>
      </c>
      <c r="R34" s="3">
        <v>0</v>
      </c>
      <c r="S34" s="3">
        <v>4</v>
      </c>
      <c r="T34" s="3">
        <v>18</v>
      </c>
      <c r="U34" s="3">
        <v>31</v>
      </c>
      <c r="V34" s="3">
        <v>47</v>
      </c>
      <c r="W34" s="3"/>
      <c r="X34" s="3">
        <v>23.98</v>
      </c>
      <c r="Y34" s="3">
        <v>23.98</v>
      </c>
      <c r="Z34" s="3">
        <v>23.98</v>
      </c>
      <c r="AA34" s="3">
        <v>0</v>
      </c>
      <c r="AB34" s="3" t="s">
        <v>5223</v>
      </c>
      <c r="AC34" s="3">
        <v>4</v>
      </c>
      <c r="AD34" s="3">
        <v>23.98</v>
      </c>
      <c r="AE34" s="3">
        <v>0</v>
      </c>
      <c r="AF34" s="3">
        <v>0</v>
      </c>
      <c r="AG34" s="3">
        <v>0</v>
      </c>
      <c r="AH34" s="3">
        <v>3.24137931034482</v>
      </c>
      <c r="AI34" s="3" t="s">
        <v>5246</v>
      </c>
      <c r="AJ34" s="3" t="s">
        <v>5222</v>
      </c>
    </row>
    <row r="35" spans="1:36">
      <c r="A35" s="5">
        <v>43288</v>
      </c>
      <c r="B35" s="3" t="s">
        <v>1634</v>
      </c>
      <c r="C35" s="3" t="s">
        <v>1635</v>
      </c>
      <c r="D35" s="3" t="s">
        <v>1635</v>
      </c>
      <c r="E35" s="3" t="s">
        <v>1636</v>
      </c>
      <c r="F35" s="3" t="s">
        <v>120</v>
      </c>
      <c r="G35" s="3">
        <v>38</v>
      </c>
      <c r="H35" s="3">
        <v>0</v>
      </c>
      <c r="I35" s="3">
        <v>0</v>
      </c>
      <c r="J35" s="3">
        <v>6</v>
      </c>
      <c r="K35" s="3">
        <v>32</v>
      </c>
      <c r="L35" s="3">
        <v>0</v>
      </c>
      <c r="M35" s="3">
        <v>0</v>
      </c>
      <c r="N35" s="3" t="s">
        <v>5218</v>
      </c>
      <c r="O35" s="3">
        <v>36</v>
      </c>
      <c r="P35" s="3">
        <v>113.9</v>
      </c>
      <c r="Q35" s="3">
        <v>0</v>
      </c>
      <c r="R35" s="3">
        <v>0</v>
      </c>
      <c r="S35" s="3">
        <v>1</v>
      </c>
      <c r="T35" s="3">
        <v>2</v>
      </c>
      <c r="U35" s="3">
        <v>5</v>
      </c>
      <c r="V35" s="3">
        <v>12</v>
      </c>
      <c r="W35" s="3"/>
      <c r="X35" s="3">
        <v>19.98</v>
      </c>
      <c r="Y35" s="3">
        <v>19.98</v>
      </c>
      <c r="Z35" s="3">
        <v>19.98</v>
      </c>
      <c r="AA35" s="3">
        <v>0</v>
      </c>
      <c r="AB35" s="3" t="s">
        <v>5247</v>
      </c>
      <c r="AC35" s="3">
        <v>0</v>
      </c>
      <c r="AD35" s="3">
        <v>19.98</v>
      </c>
      <c r="AE35" s="3">
        <v>0</v>
      </c>
      <c r="AF35" s="3">
        <v>38</v>
      </c>
      <c r="AG35" s="3">
        <v>1424.84908</v>
      </c>
      <c r="AH35" s="3">
        <v>0.280701754385964</v>
      </c>
      <c r="AI35" s="3" t="s">
        <v>5248</v>
      </c>
      <c r="AJ35" s="3" t="s">
        <v>5222</v>
      </c>
    </row>
    <row r="36" spans="1:36">
      <c r="A36" s="5">
        <v>43288</v>
      </c>
      <c r="B36" s="3" t="s">
        <v>4842</v>
      </c>
      <c r="C36" s="3" t="s">
        <v>4843</v>
      </c>
      <c r="D36" s="3" t="s">
        <v>4843</v>
      </c>
      <c r="E36" s="3" t="s">
        <v>4844</v>
      </c>
      <c r="F36" s="3" t="s">
        <v>120</v>
      </c>
      <c r="G36" s="3">
        <v>3</v>
      </c>
      <c r="H36" s="3">
        <v>0</v>
      </c>
      <c r="I36" s="3">
        <v>0</v>
      </c>
      <c r="J36" s="3">
        <v>0</v>
      </c>
      <c r="K36" s="3">
        <v>3</v>
      </c>
      <c r="L36" s="3">
        <v>0</v>
      </c>
      <c r="M36" s="3">
        <v>0</v>
      </c>
      <c r="N36" s="3" t="s">
        <v>5218</v>
      </c>
      <c r="O36" s="3">
        <v>3</v>
      </c>
      <c r="P36" s="3">
        <v>6.92</v>
      </c>
      <c r="Q36" s="3">
        <v>0</v>
      </c>
      <c r="R36" s="3">
        <v>0</v>
      </c>
      <c r="S36" s="3">
        <v>1</v>
      </c>
      <c r="T36" s="3">
        <v>1</v>
      </c>
      <c r="U36" s="3">
        <v>2</v>
      </c>
      <c r="V36" s="3">
        <v>2</v>
      </c>
      <c r="W36" s="3"/>
      <c r="X36" s="3">
        <v>12</v>
      </c>
      <c r="Y36" s="3">
        <v>12</v>
      </c>
      <c r="Z36" s="3">
        <v>12</v>
      </c>
      <c r="AA36" s="3">
        <v>0</v>
      </c>
      <c r="AB36" s="3" t="s">
        <v>5223</v>
      </c>
      <c r="AC36" s="3">
        <v>3</v>
      </c>
      <c r="AD36" s="3">
        <v>12</v>
      </c>
      <c r="AE36" s="3">
        <v>0</v>
      </c>
      <c r="AF36" s="3">
        <v>0</v>
      </c>
      <c r="AG36" s="3">
        <v>0</v>
      </c>
      <c r="AH36" s="3">
        <v>0.470588235294117</v>
      </c>
      <c r="AI36" s="3" t="s">
        <v>5245</v>
      </c>
      <c r="AJ36" s="3" t="s">
        <v>5222</v>
      </c>
    </row>
    <row r="37" spans="1:36">
      <c r="A37" s="5">
        <v>43288</v>
      </c>
      <c r="B37" s="3" t="s">
        <v>4539</v>
      </c>
      <c r="C37" s="3" t="s">
        <v>3863</v>
      </c>
      <c r="D37" s="3" t="s">
        <v>3863</v>
      </c>
      <c r="E37" s="3" t="s">
        <v>3864</v>
      </c>
      <c r="F37" s="3" t="s">
        <v>120</v>
      </c>
      <c r="G37" s="3">
        <v>8</v>
      </c>
      <c r="H37" s="3">
        <v>0</v>
      </c>
      <c r="I37" s="3">
        <v>8</v>
      </c>
      <c r="J37" s="3">
        <v>0</v>
      </c>
      <c r="K37" s="3">
        <v>0</v>
      </c>
      <c r="L37" s="3">
        <v>0</v>
      </c>
      <c r="M37" s="3">
        <v>0</v>
      </c>
      <c r="N37" s="3" t="s">
        <v>5218</v>
      </c>
      <c r="O37" s="3">
        <v>0</v>
      </c>
      <c r="P37" s="3">
        <v>0</v>
      </c>
      <c r="Q37" s="3">
        <v>0</v>
      </c>
      <c r="R37" s="3">
        <v>0</v>
      </c>
      <c r="S37" s="3">
        <v>0</v>
      </c>
      <c r="T37" s="3">
        <v>5</v>
      </c>
      <c r="U37" s="3">
        <v>11</v>
      </c>
      <c r="V37" s="3">
        <v>13</v>
      </c>
      <c r="W37" s="3"/>
      <c r="X37" s="3">
        <v>26.98</v>
      </c>
      <c r="Y37" s="3">
        <v>26.98</v>
      </c>
      <c r="Z37" s="3">
        <v>26.98</v>
      </c>
      <c r="AA37" s="3">
        <v>0</v>
      </c>
      <c r="AB37" s="3" t="s">
        <v>5223</v>
      </c>
      <c r="AC37" s="3">
        <v>8</v>
      </c>
      <c r="AD37" s="3">
        <v>26.98</v>
      </c>
      <c r="AE37" s="3">
        <v>0</v>
      </c>
      <c r="AF37" s="3">
        <v>0</v>
      </c>
      <c r="AG37" s="3">
        <v>0</v>
      </c>
      <c r="AH37" s="3">
        <v>1.36842105263157</v>
      </c>
      <c r="AI37" s="3" t="s">
        <v>5249</v>
      </c>
      <c r="AJ37" s="3" t="s">
        <v>5222</v>
      </c>
    </row>
    <row r="38" spans="1:36">
      <c r="A38" s="5">
        <v>43288</v>
      </c>
      <c r="B38" s="3" t="s">
        <v>4195</v>
      </c>
      <c r="C38" s="3" t="s">
        <v>4196</v>
      </c>
      <c r="D38" s="3" t="s">
        <v>4196</v>
      </c>
      <c r="E38" s="3" t="s">
        <v>4197</v>
      </c>
      <c r="F38" s="3" t="s">
        <v>120</v>
      </c>
      <c r="G38" s="3">
        <v>11</v>
      </c>
      <c r="H38" s="3">
        <v>0</v>
      </c>
      <c r="I38" s="3">
        <v>11</v>
      </c>
      <c r="J38" s="3">
        <v>0</v>
      </c>
      <c r="K38" s="3">
        <v>0</v>
      </c>
      <c r="L38" s="3">
        <v>0</v>
      </c>
      <c r="M38" s="3">
        <v>0</v>
      </c>
      <c r="N38" s="3" t="s">
        <v>5218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9</v>
      </c>
      <c r="V38" s="3">
        <v>11</v>
      </c>
      <c r="W38" s="3" t="s">
        <v>5227</v>
      </c>
      <c r="X38" s="3">
        <v>22.98</v>
      </c>
      <c r="Y38" s="3">
        <v>22.98</v>
      </c>
      <c r="Z38" s="3">
        <v>22.98</v>
      </c>
      <c r="AA38" s="3">
        <v>0</v>
      </c>
      <c r="AB38" s="3" t="s">
        <v>5223</v>
      </c>
      <c r="AC38" s="3">
        <v>11</v>
      </c>
      <c r="AD38" s="3">
        <v>22.98</v>
      </c>
      <c r="AE38" s="3">
        <v>0</v>
      </c>
      <c r="AF38" s="3">
        <v>0</v>
      </c>
      <c r="AG38" s="3">
        <v>0</v>
      </c>
      <c r="AH38" s="3">
        <v>1.69230769230769</v>
      </c>
      <c r="AI38" s="3" t="s">
        <v>5226</v>
      </c>
      <c r="AJ38" s="3" t="s">
        <v>5222</v>
      </c>
    </row>
    <row r="39" spans="1:36">
      <c r="A39" s="5">
        <v>43288</v>
      </c>
      <c r="B39" s="3" t="s">
        <v>667</v>
      </c>
      <c r="C39" s="3" t="s">
        <v>668</v>
      </c>
      <c r="D39" s="3" t="s">
        <v>668</v>
      </c>
      <c r="E39" s="3" t="s">
        <v>669</v>
      </c>
      <c r="F39" s="3" t="s">
        <v>120</v>
      </c>
      <c r="G39" s="3">
        <v>7</v>
      </c>
      <c r="H39" s="3">
        <v>0</v>
      </c>
      <c r="I39" s="3">
        <v>7</v>
      </c>
      <c r="J39" s="3">
        <v>0</v>
      </c>
      <c r="K39" s="3">
        <v>0</v>
      </c>
      <c r="L39" s="3">
        <v>0</v>
      </c>
      <c r="M39" s="3">
        <v>0</v>
      </c>
      <c r="N39" s="3" t="s">
        <v>5218</v>
      </c>
      <c r="O39" s="3">
        <v>0</v>
      </c>
      <c r="P39" s="3">
        <v>0</v>
      </c>
      <c r="Q39" s="3">
        <v>0</v>
      </c>
      <c r="R39" s="3">
        <v>0</v>
      </c>
      <c r="S39" s="3">
        <v>0</v>
      </c>
      <c r="T39" s="3">
        <v>6</v>
      </c>
      <c r="U39" s="3">
        <v>11</v>
      </c>
      <c r="V39" s="3">
        <v>14</v>
      </c>
      <c r="W39" s="3"/>
      <c r="X39" s="3">
        <v>24.98</v>
      </c>
      <c r="Y39" s="3">
        <v>24.98</v>
      </c>
      <c r="Z39" s="3">
        <v>24.98</v>
      </c>
      <c r="AA39" s="3">
        <v>0</v>
      </c>
      <c r="AB39" s="3" t="s">
        <v>5228</v>
      </c>
      <c r="AC39" s="3">
        <v>0</v>
      </c>
      <c r="AD39" s="3">
        <v>19.95</v>
      </c>
      <c r="AE39" s="3">
        <v>77</v>
      </c>
      <c r="AF39" s="3">
        <v>0</v>
      </c>
      <c r="AG39" s="3">
        <v>89.666463</v>
      </c>
      <c r="AH39" s="3">
        <v>3.5</v>
      </c>
      <c r="AI39" s="3" t="s">
        <v>5250</v>
      </c>
      <c r="AJ39" s="3" t="s">
        <v>5222</v>
      </c>
    </row>
    <row r="40" spans="1:36">
      <c r="A40" s="5">
        <v>43288</v>
      </c>
      <c r="B40" s="3" t="s">
        <v>1872</v>
      </c>
      <c r="C40" s="3" t="s">
        <v>1873</v>
      </c>
      <c r="D40" s="3" t="s">
        <v>1873</v>
      </c>
      <c r="E40" s="3" t="s">
        <v>1874</v>
      </c>
      <c r="F40" s="3" t="s">
        <v>120</v>
      </c>
      <c r="G40" s="3">
        <v>2</v>
      </c>
      <c r="H40" s="3">
        <v>0</v>
      </c>
      <c r="I40" s="3">
        <v>2</v>
      </c>
      <c r="J40" s="3">
        <v>0</v>
      </c>
      <c r="K40" s="3">
        <v>0</v>
      </c>
      <c r="L40" s="3">
        <v>0</v>
      </c>
      <c r="M40" s="3">
        <v>0</v>
      </c>
      <c r="N40" s="3" t="s">
        <v>5218</v>
      </c>
      <c r="O40" s="3">
        <v>0</v>
      </c>
      <c r="P40" s="3">
        <v>0</v>
      </c>
      <c r="Q40" s="3">
        <v>0</v>
      </c>
      <c r="R40" s="3">
        <v>0</v>
      </c>
      <c r="S40" s="3">
        <v>0</v>
      </c>
      <c r="T40" s="3">
        <v>1</v>
      </c>
      <c r="U40" s="3">
        <v>28</v>
      </c>
      <c r="V40" s="3">
        <v>40</v>
      </c>
      <c r="W40" s="3"/>
      <c r="X40" s="3"/>
      <c r="Y40" s="3"/>
      <c r="Z40" s="3">
        <v>15.98</v>
      </c>
      <c r="AA40" s="3">
        <v>-1</v>
      </c>
      <c r="AB40" s="3" t="s">
        <v>5244</v>
      </c>
      <c r="AC40" s="3">
        <v>0</v>
      </c>
      <c r="AD40" s="3">
        <v>0</v>
      </c>
      <c r="AE40" s="3">
        <v>0</v>
      </c>
      <c r="AF40" s="3">
        <v>0</v>
      </c>
      <c r="AG40" s="3">
        <v>0</v>
      </c>
      <c r="AH40" s="3">
        <v>4.70588235294117</v>
      </c>
      <c r="AI40" s="3" t="s">
        <v>5251</v>
      </c>
      <c r="AJ40" s="3" t="s">
        <v>5222</v>
      </c>
    </row>
    <row r="41" spans="1:36">
      <c r="A41" s="5">
        <v>43288</v>
      </c>
      <c r="B41" s="3" t="s">
        <v>1815</v>
      </c>
      <c r="C41" s="3" t="s">
        <v>1816</v>
      </c>
      <c r="D41" s="3" t="s">
        <v>1816</v>
      </c>
      <c r="E41" s="3" t="s">
        <v>1817</v>
      </c>
      <c r="F41" s="3" t="s">
        <v>120</v>
      </c>
      <c r="G41" s="3">
        <v>12</v>
      </c>
      <c r="H41" s="3">
        <v>0</v>
      </c>
      <c r="I41" s="3">
        <v>1</v>
      </c>
      <c r="J41" s="3">
        <v>1</v>
      </c>
      <c r="K41" s="3">
        <v>10</v>
      </c>
      <c r="L41" s="3">
        <v>0</v>
      </c>
      <c r="M41" s="3">
        <v>0</v>
      </c>
      <c r="N41" s="3" t="s">
        <v>5218</v>
      </c>
      <c r="O41" s="3">
        <v>11</v>
      </c>
      <c r="P41" s="3">
        <v>14.27</v>
      </c>
      <c r="Q41" s="3">
        <v>0</v>
      </c>
      <c r="R41" s="3">
        <v>0</v>
      </c>
      <c r="S41" s="3">
        <v>0</v>
      </c>
      <c r="T41" s="3">
        <v>1</v>
      </c>
      <c r="U41" s="3">
        <v>6</v>
      </c>
      <c r="V41" s="3">
        <v>8</v>
      </c>
      <c r="W41" s="3"/>
      <c r="X41" s="3">
        <v>23.98</v>
      </c>
      <c r="Y41" s="3">
        <v>23.98</v>
      </c>
      <c r="Z41" s="3">
        <v>23.98</v>
      </c>
      <c r="AA41" s="3">
        <v>0</v>
      </c>
      <c r="AB41" s="3" t="s">
        <v>5223</v>
      </c>
      <c r="AC41" s="3">
        <v>12</v>
      </c>
      <c r="AD41" s="3">
        <v>23.98</v>
      </c>
      <c r="AE41" s="3">
        <v>0</v>
      </c>
      <c r="AF41" s="3">
        <v>0</v>
      </c>
      <c r="AG41" s="3">
        <v>0</v>
      </c>
      <c r="AH41" s="3">
        <v>0.516129032258064</v>
      </c>
      <c r="AI41" s="3" t="s">
        <v>5229</v>
      </c>
      <c r="AJ41" s="3" t="s">
        <v>5222</v>
      </c>
    </row>
    <row r="42" spans="1:36">
      <c r="A42" s="5">
        <v>43288</v>
      </c>
      <c r="B42" s="3" t="s">
        <v>2584</v>
      </c>
      <c r="C42" s="3" t="s">
        <v>1056</v>
      </c>
      <c r="D42" s="3" t="s">
        <v>1056</v>
      </c>
      <c r="E42" s="3" t="s">
        <v>1057</v>
      </c>
      <c r="F42" s="3" t="s">
        <v>120</v>
      </c>
      <c r="G42" s="3">
        <v>12</v>
      </c>
      <c r="H42" s="3">
        <v>0</v>
      </c>
      <c r="I42" s="3">
        <v>12</v>
      </c>
      <c r="J42" s="3">
        <v>0</v>
      </c>
      <c r="K42" s="3">
        <v>0</v>
      </c>
      <c r="L42" s="3">
        <v>0</v>
      </c>
      <c r="M42" s="3">
        <v>0</v>
      </c>
      <c r="N42" s="3" t="s">
        <v>5218</v>
      </c>
      <c r="O42" s="3">
        <v>0</v>
      </c>
      <c r="P42" s="3">
        <v>0</v>
      </c>
      <c r="Q42" s="3">
        <v>0</v>
      </c>
      <c r="R42" s="3">
        <v>0</v>
      </c>
      <c r="S42" s="3">
        <v>1</v>
      </c>
      <c r="T42" s="3">
        <v>18</v>
      </c>
      <c r="U42" s="3">
        <v>29</v>
      </c>
      <c r="V42" s="3">
        <v>39</v>
      </c>
      <c r="W42" s="3"/>
      <c r="X42" s="3">
        <v>35.98</v>
      </c>
      <c r="Y42" s="3">
        <v>22.98</v>
      </c>
      <c r="Z42" s="3">
        <v>22.98</v>
      </c>
      <c r="AA42" s="3">
        <v>0</v>
      </c>
      <c r="AB42" s="3" t="s">
        <v>5223</v>
      </c>
      <c r="AC42" s="3">
        <v>14</v>
      </c>
      <c r="AD42" s="3">
        <v>22.98</v>
      </c>
      <c r="AE42" s="3">
        <v>0</v>
      </c>
      <c r="AF42" s="3">
        <v>0</v>
      </c>
      <c r="AG42" s="3">
        <v>0</v>
      </c>
      <c r="AH42" s="3">
        <v>2.33333333333333</v>
      </c>
      <c r="AI42" s="3" t="s">
        <v>5252</v>
      </c>
      <c r="AJ42" s="3" t="s">
        <v>5222</v>
      </c>
    </row>
    <row r="43" spans="1:36">
      <c r="A43" s="5">
        <v>43288</v>
      </c>
      <c r="B43" s="3" t="s">
        <v>4354</v>
      </c>
      <c r="C43" s="3" t="s">
        <v>4355</v>
      </c>
      <c r="D43" s="3" t="s">
        <v>4355</v>
      </c>
      <c r="E43" s="3" t="s">
        <v>4356</v>
      </c>
      <c r="F43" s="3" t="s">
        <v>120</v>
      </c>
      <c r="G43" s="3">
        <v>11</v>
      </c>
      <c r="H43" s="3">
        <v>0</v>
      </c>
      <c r="I43" s="3">
        <v>11</v>
      </c>
      <c r="J43" s="3">
        <v>0</v>
      </c>
      <c r="K43" s="3">
        <v>0</v>
      </c>
      <c r="L43" s="3">
        <v>0</v>
      </c>
      <c r="M43" s="3">
        <v>0</v>
      </c>
      <c r="N43" s="3" t="s">
        <v>5218</v>
      </c>
      <c r="O43" s="3">
        <v>0</v>
      </c>
      <c r="P43" s="3">
        <v>0</v>
      </c>
      <c r="Q43" s="3">
        <v>0</v>
      </c>
      <c r="R43" s="3">
        <v>0</v>
      </c>
      <c r="S43" s="3">
        <v>1</v>
      </c>
      <c r="T43" s="3">
        <v>1</v>
      </c>
      <c r="U43" s="3">
        <v>4</v>
      </c>
      <c r="V43" s="3">
        <v>6</v>
      </c>
      <c r="W43" s="3" t="s">
        <v>5227</v>
      </c>
      <c r="X43" s="3">
        <v>23.98</v>
      </c>
      <c r="Y43" s="3">
        <v>23.98</v>
      </c>
      <c r="Z43" s="3">
        <v>23.98</v>
      </c>
      <c r="AA43" s="3">
        <v>0</v>
      </c>
      <c r="AB43" s="3" t="s">
        <v>5228</v>
      </c>
      <c r="AC43" s="3">
        <v>1</v>
      </c>
      <c r="AD43" s="3">
        <v>22.1</v>
      </c>
      <c r="AE43" s="3">
        <v>147</v>
      </c>
      <c r="AF43" s="3">
        <v>0</v>
      </c>
      <c r="AG43" s="3">
        <v>270.430427</v>
      </c>
      <c r="AH43" s="3">
        <v>0.631578947368421</v>
      </c>
      <c r="AI43" s="3" t="s">
        <v>5253</v>
      </c>
      <c r="AJ43" s="3" t="s">
        <v>5222</v>
      </c>
    </row>
    <row r="44" spans="1:36">
      <c r="A44" s="5">
        <v>43288</v>
      </c>
      <c r="B44" s="3" t="s">
        <v>2598</v>
      </c>
      <c r="C44" s="3" t="s">
        <v>1088</v>
      </c>
      <c r="D44" s="3" t="s">
        <v>1088</v>
      </c>
      <c r="E44" s="3" t="s">
        <v>1089</v>
      </c>
      <c r="F44" s="3" t="s">
        <v>120</v>
      </c>
      <c r="G44" s="3">
        <v>37</v>
      </c>
      <c r="H44" s="3">
        <v>0</v>
      </c>
      <c r="I44" s="3">
        <v>37</v>
      </c>
      <c r="J44" s="3">
        <v>0</v>
      </c>
      <c r="K44" s="3">
        <v>0</v>
      </c>
      <c r="L44" s="3">
        <v>0</v>
      </c>
      <c r="M44" s="3">
        <v>0</v>
      </c>
      <c r="N44" s="3" t="s">
        <v>5218</v>
      </c>
      <c r="O44" s="3">
        <v>0</v>
      </c>
      <c r="P44" s="3">
        <v>0</v>
      </c>
      <c r="Q44" s="3">
        <v>0</v>
      </c>
      <c r="R44" s="3">
        <v>0</v>
      </c>
      <c r="S44" s="3">
        <v>2</v>
      </c>
      <c r="T44" s="3">
        <v>11</v>
      </c>
      <c r="U44" s="3">
        <v>13</v>
      </c>
      <c r="V44" s="3">
        <v>30</v>
      </c>
      <c r="W44" s="3"/>
      <c r="X44" s="3">
        <v>22.98</v>
      </c>
      <c r="Y44" s="3">
        <v>22.98</v>
      </c>
      <c r="Z44" s="3">
        <v>22.98</v>
      </c>
      <c r="AA44" s="3">
        <v>0</v>
      </c>
      <c r="AB44" s="3" t="s">
        <v>5223</v>
      </c>
      <c r="AC44" s="3">
        <v>39</v>
      </c>
      <c r="AD44" s="3">
        <v>22.98</v>
      </c>
      <c r="AE44" s="3">
        <v>0</v>
      </c>
      <c r="AF44" s="3">
        <v>0</v>
      </c>
      <c r="AG44" s="3">
        <v>0</v>
      </c>
      <c r="AH44" s="3">
        <v>1.375</v>
      </c>
      <c r="AI44" s="3" t="s">
        <v>5238</v>
      </c>
      <c r="AJ44" s="3" t="s">
        <v>5222</v>
      </c>
    </row>
    <row r="45" spans="1:36">
      <c r="A45" s="5">
        <v>43288</v>
      </c>
      <c r="B45" s="3" t="s">
        <v>2580</v>
      </c>
      <c r="C45" s="3" t="s">
        <v>1040</v>
      </c>
      <c r="D45" s="3" t="s">
        <v>1040</v>
      </c>
      <c r="E45" s="3" t="s">
        <v>1041</v>
      </c>
      <c r="F45" s="3" t="s">
        <v>120</v>
      </c>
      <c r="G45" s="3">
        <v>32</v>
      </c>
      <c r="H45" s="3">
        <v>0</v>
      </c>
      <c r="I45" s="3">
        <v>32</v>
      </c>
      <c r="J45" s="3">
        <v>0</v>
      </c>
      <c r="K45" s="3">
        <v>0</v>
      </c>
      <c r="L45" s="3">
        <v>0</v>
      </c>
      <c r="M45" s="3">
        <v>0</v>
      </c>
      <c r="N45" s="3" t="s">
        <v>5218</v>
      </c>
      <c r="O45" s="3">
        <v>0</v>
      </c>
      <c r="P45" s="3">
        <v>0</v>
      </c>
      <c r="Q45" s="3">
        <v>0</v>
      </c>
      <c r="R45" s="3">
        <v>0</v>
      </c>
      <c r="S45" s="3">
        <v>2</v>
      </c>
      <c r="T45" s="3">
        <v>10</v>
      </c>
      <c r="U45" s="3">
        <v>14</v>
      </c>
      <c r="V45" s="3">
        <v>22</v>
      </c>
      <c r="W45" s="3"/>
      <c r="X45" s="3">
        <v>35.98</v>
      </c>
      <c r="Y45" s="3">
        <v>22.98</v>
      </c>
      <c r="Z45" s="3">
        <v>22.98</v>
      </c>
      <c r="AA45" s="3">
        <v>0</v>
      </c>
      <c r="AB45" s="3" t="s">
        <v>5223</v>
      </c>
      <c r="AC45" s="3">
        <v>34</v>
      </c>
      <c r="AD45" s="3">
        <v>22.98</v>
      </c>
      <c r="AE45" s="3">
        <v>0</v>
      </c>
      <c r="AF45" s="3">
        <v>0</v>
      </c>
      <c r="AG45" s="3">
        <v>0</v>
      </c>
      <c r="AH45" s="3">
        <v>0.736</v>
      </c>
      <c r="AI45" s="3" t="s">
        <v>5238</v>
      </c>
      <c r="AJ45" s="3" t="s">
        <v>5222</v>
      </c>
    </row>
    <row r="46" spans="1:36">
      <c r="A46" s="5">
        <v>43288</v>
      </c>
      <c r="B46" s="3" t="s">
        <v>2903</v>
      </c>
      <c r="C46" s="3" t="s">
        <v>2904</v>
      </c>
      <c r="D46" s="3" t="s">
        <v>2904</v>
      </c>
      <c r="E46" s="3" t="s">
        <v>1829</v>
      </c>
      <c r="F46" s="3" t="s">
        <v>120</v>
      </c>
      <c r="G46" s="3">
        <v>34</v>
      </c>
      <c r="H46" s="3">
        <v>0</v>
      </c>
      <c r="I46" s="3">
        <v>0</v>
      </c>
      <c r="J46" s="3">
        <v>34</v>
      </c>
      <c r="K46" s="3">
        <v>0</v>
      </c>
      <c r="L46" s="3">
        <v>0</v>
      </c>
      <c r="M46" s="3">
        <v>0</v>
      </c>
      <c r="N46" s="3" t="s">
        <v>5218</v>
      </c>
      <c r="O46" s="3">
        <v>4</v>
      </c>
      <c r="P46" s="3">
        <v>7.42</v>
      </c>
      <c r="Q46" s="3">
        <v>0</v>
      </c>
      <c r="R46" s="3">
        <v>0</v>
      </c>
      <c r="S46" s="3">
        <v>0</v>
      </c>
      <c r="T46" s="3">
        <v>2</v>
      </c>
      <c r="U46" s="3">
        <v>5</v>
      </c>
      <c r="V46" s="3">
        <v>6</v>
      </c>
      <c r="W46" s="3"/>
      <c r="X46" s="3">
        <v>23.98</v>
      </c>
      <c r="Y46" s="3">
        <v>23.98</v>
      </c>
      <c r="Z46" s="3">
        <v>23.98</v>
      </c>
      <c r="AA46" s="3">
        <v>0</v>
      </c>
      <c r="AB46" s="3" t="s">
        <v>5228</v>
      </c>
      <c r="AC46" s="3">
        <v>17</v>
      </c>
      <c r="AD46" s="3">
        <v>21.68</v>
      </c>
      <c r="AE46" s="3">
        <v>126</v>
      </c>
      <c r="AF46" s="3">
        <v>0</v>
      </c>
      <c r="AG46" s="3">
        <v>23.384898</v>
      </c>
      <c r="AH46" s="3">
        <v>0.161073825503355</v>
      </c>
      <c r="AI46" s="3" t="s">
        <v>5254</v>
      </c>
      <c r="AJ46" s="3" t="s">
        <v>5222</v>
      </c>
    </row>
    <row r="47" spans="1:36">
      <c r="A47" s="5">
        <v>43288</v>
      </c>
      <c r="B47" s="3" t="s">
        <v>2627</v>
      </c>
      <c r="C47" s="3" t="s">
        <v>1189</v>
      </c>
      <c r="D47" s="3" t="s">
        <v>1189</v>
      </c>
      <c r="E47" s="3" t="s">
        <v>1190</v>
      </c>
      <c r="F47" s="3" t="s">
        <v>120</v>
      </c>
      <c r="G47" s="3">
        <v>32</v>
      </c>
      <c r="H47" s="3">
        <v>0</v>
      </c>
      <c r="I47" s="3">
        <v>32</v>
      </c>
      <c r="J47" s="3">
        <v>0</v>
      </c>
      <c r="K47" s="3">
        <v>0</v>
      </c>
      <c r="L47" s="3">
        <v>0</v>
      </c>
      <c r="M47" s="3">
        <v>0</v>
      </c>
      <c r="N47" s="3" t="s">
        <v>5218</v>
      </c>
      <c r="O47" s="3">
        <v>0</v>
      </c>
      <c r="P47" s="3">
        <v>0</v>
      </c>
      <c r="Q47" s="3">
        <v>0</v>
      </c>
      <c r="R47" s="3">
        <v>0</v>
      </c>
      <c r="S47" s="3">
        <v>1</v>
      </c>
      <c r="T47" s="3">
        <v>11</v>
      </c>
      <c r="U47" s="3">
        <v>22</v>
      </c>
      <c r="V47" s="3">
        <v>33</v>
      </c>
      <c r="W47" s="3"/>
      <c r="X47" s="3">
        <v>22.98</v>
      </c>
      <c r="Y47" s="3">
        <v>22.98</v>
      </c>
      <c r="Z47" s="3">
        <v>22.98</v>
      </c>
      <c r="AA47" s="3">
        <v>0</v>
      </c>
      <c r="AB47" s="3" t="s">
        <v>5223</v>
      </c>
      <c r="AC47" s="3">
        <v>32</v>
      </c>
      <c r="AD47" s="3">
        <v>22.98</v>
      </c>
      <c r="AE47" s="3">
        <v>0</v>
      </c>
      <c r="AF47" s="3">
        <v>0</v>
      </c>
      <c r="AG47" s="3">
        <v>0</v>
      </c>
      <c r="AH47" s="3">
        <v>1.32038834951456</v>
      </c>
      <c r="AI47" s="3" t="s">
        <v>5238</v>
      </c>
      <c r="AJ47" s="3" t="s">
        <v>5222</v>
      </c>
    </row>
    <row r="48" spans="1:36">
      <c r="A48" s="5">
        <v>43288</v>
      </c>
      <c r="B48" s="3" t="s">
        <v>2839</v>
      </c>
      <c r="C48" s="3" t="s">
        <v>2840</v>
      </c>
      <c r="D48" s="3" t="s">
        <v>2840</v>
      </c>
      <c r="E48" s="3" t="s">
        <v>2841</v>
      </c>
      <c r="F48" s="3" t="s">
        <v>120</v>
      </c>
      <c r="G48" s="3">
        <v>10</v>
      </c>
      <c r="H48" s="3">
        <v>0</v>
      </c>
      <c r="I48" s="3">
        <v>0</v>
      </c>
      <c r="J48" s="3">
        <v>10</v>
      </c>
      <c r="K48" s="3">
        <v>0</v>
      </c>
      <c r="L48" s="3">
        <v>0</v>
      </c>
      <c r="M48" s="3">
        <v>0</v>
      </c>
      <c r="N48" s="3" t="s">
        <v>5218</v>
      </c>
      <c r="O48" s="3">
        <v>10</v>
      </c>
      <c r="P48" s="3">
        <v>18.56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v>0</v>
      </c>
      <c r="W48" s="3"/>
      <c r="X48" s="3"/>
      <c r="Y48" s="3"/>
      <c r="Z48" s="3">
        <v>-1</v>
      </c>
      <c r="AA48" s="3">
        <v>-1</v>
      </c>
      <c r="AB48" s="3" t="s">
        <v>5244</v>
      </c>
      <c r="AC48" s="3">
        <v>0</v>
      </c>
      <c r="AD48" s="3">
        <v>0</v>
      </c>
      <c r="AE48" s="3">
        <v>0</v>
      </c>
      <c r="AF48" s="3">
        <v>0</v>
      </c>
      <c r="AG48" s="3">
        <v>0</v>
      </c>
      <c r="AH48" s="3">
        <v>0</v>
      </c>
      <c r="AI48" s="3" t="s">
        <v>5254</v>
      </c>
      <c r="AJ48" s="3" t="s">
        <v>5222</v>
      </c>
    </row>
    <row r="49" spans="1:36">
      <c r="A49" s="5">
        <v>43288</v>
      </c>
      <c r="B49" s="3" t="s">
        <v>1050</v>
      </c>
      <c r="C49" s="3" t="s">
        <v>1051</v>
      </c>
      <c r="D49" s="3" t="s">
        <v>1052</v>
      </c>
      <c r="E49" s="3" t="s">
        <v>1053</v>
      </c>
      <c r="F49" s="3" t="s">
        <v>120</v>
      </c>
      <c r="G49" s="3">
        <v>46</v>
      </c>
      <c r="H49" s="3">
        <v>0</v>
      </c>
      <c r="I49" s="3">
        <v>46</v>
      </c>
      <c r="J49" s="3">
        <v>0</v>
      </c>
      <c r="K49" s="3">
        <v>0</v>
      </c>
      <c r="L49" s="3">
        <v>0</v>
      </c>
      <c r="M49" s="3">
        <v>0</v>
      </c>
      <c r="N49" s="3" t="s">
        <v>5218</v>
      </c>
      <c r="O49" s="3">
        <v>0</v>
      </c>
      <c r="P49" s="3">
        <v>0</v>
      </c>
      <c r="Q49" s="3">
        <v>0</v>
      </c>
      <c r="R49" s="3">
        <v>0</v>
      </c>
      <c r="S49" s="3">
        <v>3</v>
      </c>
      <c r="T49" s="3">
        <v>4</v>
      </c>
      <c r="U49" s="3">
        <v>4</v>
      </c>
      <c r="V49" s="3">
        <v>4</v>
      </c>
      <c r="W49" s="3"/>
      <c r="X49" s="3">
        <v>22.98</v>
      </c>
      <c r="Y49" s="3">
        <v>22.98</v>
      </c>
      <c r="Z49" s="3">
        <v>22.98</v>
      </c>
      <c r="AA49" s="3">
        <v>0</v>
      </c>
      <c r="AB49" s="3" t="s">
        <v>5223</v>
      </c>
      <c r="AC49" s="3">
        <v>41</v>
      </c>
      <c r="AD49" s="3">
        <v>22.98</v>
      </c>
      <c r="AE49" s="3">
        <v>0</v>
      </c>
      <c r="AF49" s="3">
        <v>0</v>
      </c>
      <c r="AG49" s="3">
        <v>0</v>
      </c>
      <c r="AH49" s="3">
        <v>1.84615384615384</v>
      </c>
      <c r="AI49" s="3" t="s">
        <v>5238</v>
      </c>
      <c r="AJ49" s="3" t="s">
        <v>5222</v>
      </c>
    </row>
    <row r="50" spans="1:36">
      <c r="A50" s="5">
        <v>43288</v>
      </c>
      <c r="B50" s="3" t="s">
        <v>4122</v>
      </c>
      <c r="C50" s="3" t="s">
        <v>4123</v>
      </c>
      <c r="D50" s="3" t="s">
        <v>4123</v>
      </c>
      <c r="E50" s="3" t="s">
        <v>4124</v>
      </c>
      <c r="F50" s="3" t="s">
        <v>120</v>
      </c>
      <c r="G50" s="3">
        <v>16</v>
      </c>
      <c r="H50" s="3">
        <v>0</v>
      </c>
      <c r="I50" s="3">
        <v>16</v>
      </c>
      <c r="J50" s="3">
        <v>0</v>
      </c>
      <c r="K50" s="3">
        <v>0</v>
      </c>
      <c r="L50" s="3">
        <v>0</v>
      </c>
      <c r="M50" s="3">
        <v>0</v>
      </c>
      <c r="N50" s="3" t="s">
        <v>5218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1</v>
      </c>
      <c r="U50" s="3">
        <v>6</v>
      </c>
      <c r="V50" s="3">
        <v>9</v>
      </c>
      <c r="W50" s="3"/>
      <c r="X50" s="3">
        <v>22.98</v>
      </c>
      <c r="Y50" s="3">
        <v>22.98</v>
      </c>
      <c r="Z50" s="3">
        <v>22.98</v>
      </c>
      <c r="AA50" s="3">
        <v>0</v>
      </c>
      <c r="AB50" s="3" t="s">
        <v>5223</v>
      </c>
      <c r="AC50" s="3">
        <v>16</v>
      </c>
      <c r="AD50" s="3">
        <v>22.98</v>
      </c>
      <c r="AE50" s="3">
        <v>0</v>
      </c>
      <c r="AF50" s="3">
        <v>0</v>
      </c>
      <c r="AG50" s="3">
        <v>0</v>
      </c>
      <c r="AH50" s="3">
        <v>0.878048780487804</v>
      </c>
      <c r="AI50" s="3" t="s">
        <v>5226</v>
      </c>
      <c r="AJ50" s="3" t="s">
        <v>5222</v>
      </c>
    </row>
    <row r="51" spans="1:36">
      <c r="A51" s="5">
        <v>43288</v>
      </c>
      <c r="B51" s="3" t="s">
        <v>1546</v>
      </c>
      <c r="C51" s="3" t="s">
        <v>108</v>
      </c>
      <c r="D51" s="3" t="s">
        <v>108</v>
      </c>
      <c r="E51" s="3" t="s">
        <v>1547</v>
      </c>
      <c r="F51" s="3" t="s">
        <v>120</v>
      </c>
      <c r="G51" s="3">
        <v>9</v>
      </c>
      <c r="H51" s="3">
        <v>0</v>
      </c>
      <c r="I51" s="3">
        <v>1</v>
      </c>
      <c r="J51" s="3">
        <v>1</v>
      </c>
      <c r="K51" s="3">
        <v>7</v>
      </c>
      <c r="L51" s="3">
        <v>0</v>
      </c>
      <c r="M51" s="3">
        <v>0</v>
      </c>
      <c r="N51" s="3" t="s">
        <v>5218</v>
      </c>
      <c r="O51" s="3">
        <v>7</v>
      </c>
      <c r="P51" s="3">
        <v>15.9</v>
      </c>
      <c r="Q51" s="3">
        <v>0</v>
      </c>
      <c r="R51" s="3">
        <v>0</v>
      </c>
      <c r="S51" s="3">
        <v>0</v>
      </c>
      <c r="T51" s="3">
        <v>4</v>
      </c>
      <c r="U51" s="3">
        <v>8</v>
      </c>
      <c r="V51" s="3">
        <v>12</v>
      </c>
      <c r="W51" s="3"/>
      <c r="X51" s="3">
        <v>22.98</v>
      </c>
      <c r="Y51" s="3">
        <v>22.98</v>
      </c>
      <c r="Z51" s="3">
        <v>22.98</v>
      </c>
      <c r="AA51" s="3">
        <v>0</v>
      </c>
      <c r="AB51" s="3" t="s">
        <v>5223</v>
      </c>
      <c r="AC51" s="3">
        <v>9</v>
      </c>
      <c r="AD51" s="3">
        <v>22.98</v>
      </c>
      <c r="AE51" s="3">
        <v>0</v>
      </c>
      <c r="AF51" s="3">
        <v>0</v>
      </c>
      <c r="AG51" s="3">
        <v>0</v>
      </c>
      <c r="AH51" s="3">
        <v>0.842105263157894</v>
      </c>
      <c r="AI51" s="3" t="s">
        <v>5255</v>
      </c>
      <c r="AJ51" s="3" t="s">
        <v>5222</v>
      </c>
    </row>
    <row r="52" spans="1:36">
      <c r="A52" s="5">
        <v>43288</v>
      </c>
      <c r="B52" s="3" t="s">
        <v>1803</v>
      </c>
      <c r="C52" s="3" t="s">
        <v>1804</v>
      </c>
      <c r="D52" s="3" t="s">
        <v>1804</v>
      </c>
      <c r="E52" s="3" t="s">
        <v>1805</v>
      </c>
      <c r="F52" s="3" t="s">
        <v>120</v>
      </c>
      <c r="G52" s="3">
        <v>3</v>
      </c>
      <c r="H52" s="3">
        <v>0</v>
      </c>
      <c r="I52" s="3">
        <v>1</v>
      </c>
      <c r="J52" s="3">
        <v>1</v>
      </c>
      <c r="K52" s="3">
        <v>1</v>
      </c>
      <c r="L52" s="3">
        <v>0</v>
      </c>
      <c r="M52" s="3">
        <v>0</v>
      </c>
      <c r="N52" s="3" t="s">
        <v>5218</v>
      </c>
      <c r="O52" s="3">
        <v>2</v>
      </c>
      <c r="P52" s="3">
        <v>2.59</v>
      </c>
      <c r="Q52" s="3">
        <v>0</v>
      </c>
      <c r="R52" s="3">
        <v>0</v>
      </c>
      <c r="S52" s="3">
        <v>0</v>
      </c>
      <c r="T52" s="3">
        <v>1</v>
      </c>
      <c r="U52" s="3">
        <v>3</v>
      </c>
      <c r="V52" s="3">
        <v>7</v>
      </c>
      <c r="W52" s="3"/>
      <c r="X52" s="3">
        <v>25.98</v>
      </c>
      <c r="Y52" s="3">
        <v>25.98</v>
      </c>
      <c r="Z52" s="3">
        <v>25.98</v>
      </c>
      <c r="AA52" s="3">
        <v>0</v>
      </c>
      <c r="AB52" s="3" t="s">
        <v>5223</v>
      </c>
      <c r="AC52" s="3">
        <v>3</v>
      </c>
      <c r="AD52" s="3">
        <v>25.98</v>
      </c>
      <c r="AE52" s="3">
        <v>0</v>
      </c>
      <c r="AF52" s="3">
        <v>0</v>
      </c>
      <c r="AG52" s="3">
        <v>0</v>
      </c>
      <c r="AH52" s="3">
        <v>1.33333333333333</v>
      </c>
      <c r="AI52" s="3" t="s">
        <v>5229</v>
      </c>
      <c r="AJ52" s="3" t="s">
        <v>5222</v>
      </c>
    </row>
    <row r="53" spans="1:36">
      <c r="A53" s="5">
        <v>43288</v>
      </c>
      <c r="B53" s="3" t="s">
        <v>1961</v>
      </c>
      <c r="C53" s="3" t="s">
        <v>128</v>
      </c>
      <c r="D53" s="3" t="s">
        <v>128</v>
      </c>
      <c r="E53" s="3" t="s">
        <v>1962</v>
      </c>
      <c r="F53" s="3" t="s">
        <v>120</v>
      </c>
      <c r="G53" s="3">
        <v>51</v>
      </c>
      <c r="H53" s="3">
        <v>0</v>
      </c>
      <c r="I53" s="3">
        <v>2</v>
      </c>
      <c r="J53" s="3">
        <v>1</v>
      </c>
      <c r="K53" s="3">
        <v>43</v>
      </c>
      <c r="L53" s="3">
        <v>5</v>
      </c>
      <c r="M53" s="3">
        <v>0</v>
      </c>
      <c r="N53" s="3" t="s">
        <v>5218</v>
      </c>
      <c r="O53" s="3">
        <v>48</v>
      </c>
      <c r="P53" s="3">
        <v>72</v>
      </c>
      <c r="Q53" s="3">
        <v>0</v>
      </c>
      <c r="R53" s="3">
        <v>0</v>
      </c>
      <c r="S53" s="3">
        <v>0</v>
      </c>
      <c r="T53" s="3">
        <v>1</v>
      </c>
      <c r="U53" s="3">
        <v>4</v>
      </c>
      <c r="V53" s="3">
        <v>11</v>
      </c>
      <c r="W53" s="3"/>
      <c r="X53" s="3">
        <v>18.98</v>
      </c>
      <c r="Y53" s="3">
        <v>18.98</v>
      </c>
      <c r="Z53" s="3">
        <v>15.98</v>
      </c>
      <c r="AA53" s="3">
        <v>0</v>
      </c>
      <c r="AB53" s="3" t="s">
        <v>5228</v>
      </c>
      <c r="AC53" s="3">
        <v>6</v>
      </c>
      <c r="AD53" s="3">
        <v>14.03</v>
      </c>
      <c r="AE53" s="3">
        <v>364</v>
      </c>
      <c r="AF53" s="3">
        <v>0</v>
      </c>
      <c r="AG53" s="3">
        <v>440.516458</v>
      </c>
      <c r="AH53" s="3">
        <v>0.202764976958525</v>
      </c>
      <c r="AI53" s="3" t="s">
        <v>5256</v>
      </c>
      <c r="AJ53" s="3" t="s">
        <v>5222</v>
      </c>
    </row>
    <row r="54" spans="1:36">
      <c r="A54" s="5">
        <v>43288</v>
      </c>
      <c r="B54" s="3" t="s">
        <v>2732</v>
      </c>
      <c r="C54" s="3" t="s">
        <v>423</v>
      </c>
      <c r="D54" s="3" t="s">
        <v>423</v>
      </c>
      <c r="E54" s="3" t="s">
        <v>2733</v>
      </c>
      <c r="F54" s="3" t="s">
        <v>120</v>
      </c>
      <c r="G54" s="3">
        <v>14</v>
      </c>
      <c r="H54" s="3">
        <v>0</v>
      </c>
      <c r="I54" s="3">
        <v>14</v>
      </c>
      <c r="J54" s="3">
        <v>0</v>
      </c>
      <c r="K54" s="3">
        <v>0</v>
      </c>
      <c r="L54" s="3">
        <v>0</v>
      </c>
      <c r="M54" s="3">
        <v>0</v>
      </c>
      <c r="N54" s="3" t="s">
        <v>5218</v>
      </c>
      <c r="O54" s="3">
        <v>0</v>
      </c>
      <c r="P54" s="3">
        <v>0</v>
      </c>
      <c r="Q54" s="3">
        <v>0</v>
      </c>
      <c r="R54" s="3">
        <v>0</v>
      </c>
      <c r="S54" s="3">
        <v>2</v>
      </c>
      <c r="T54" s="3">
        <v>18</v>
      </c>
      <c r="U54" s="3">
        <v>44</v>
      </c>
      <c r="V54" s="3">
        <v>44</v>
      </c>
      <c r="W54" s="3"/>
      <c r="X54" s="3">
        <v>22.98</v>
      </c>
      <c r="Y54" s="3">
        <v>22.98</v>
      </c>
      <c r="Z54" s="3">
        <v>22.98</v>
      </c>
      <c r="AA54" s="3">
        <v>0</v>
      </c>
      <c r="AB54" s="3" t="s">
        <v>5223</v>
      </c>
      <c r="AC54" s="3">
        <v>13</v>
      </c>
      <c r="AD54" s="3">
        <v>24.98</v>
      </c>
      <c r="AE54" s="3">
        <v>0</v>
      </c>
      <c r="AF54" s="3">
        <v>0</v>
      </c>
      <c r="AG54" s="3">
        <v>0</v>
      </c>
      <c r="AH54" s="3">
        <v>14.6666666666666</v>
      </c>
      <c r="AI54" s="3" t="s">
        <v>5257</v>
      </c>
      <c r="AJ54" s="3" t="s">
        <v>5222</v>
      </c>
    </row>
    <row r="55" spans="1:36">
      <c r="A55" s="5">
        <v>43288</v>
      </c>
      <c r="B55" s="3" t="s">
        <v>4258</v>
      </c>
      <c r="C55" s="3" t="s">
        <v>4259</v>
      </c>
      <c r="D55" s="3" t="s">
        <v>4259</v>
      </c>
      <c r="E55" s="3" t="s">
        <v>4260</v>
      </c>
      <c r="F55" s="3" t="s">
        <v>120</v>
      </c>
      <c r="G55" s="3">
        <v>15</v>
      </c>
      <c r="H55" s="3">
        <v>0</v>
      </c>
      <c r="I55" s="3">
        <v>15</v>
      </c>
      <c r="J55" s="3">
        <v>0</v>
      </c>
      <c r="K55" s="3">
        <v>0</v>
      </c>
      <c r="L55" s="3">
        <v>0</v>
      </c>
      <c r="M55" s="3">
        <v>0</v>
      </c>
      <c r="N55" s="3" t="s">
        <v>5218</v>
      </c>
      <c r="O55" s="3">
        <v>0</v>
      </c>
      <c r="P55" s="3">
        <v>0</v>
      </c>
      <c r="Q55" s="3">
        <v>0</v>
      </c>
      <c r="R55" s="3">
        <v>0</v>
      </c>
      <c r="S55" s="3">
        <v>0</v>
      </c>
      <c r="T55" s="3">
        <v>2</v>
      </c>
      <c r="U55" s="3">
        <v>3</v>
      </c>
      <c r="V55" s="3">
        <v>4</v>
      </c>
      <c r="W55" s="3"/>
      <c r="X55" s="3">
        <v>23.98</v>
      </c>
      <c r="Y55" s="3">
        <v>23.98</v>
      </c>
      <c r="Z55" s="3">
        <v>23.98</v>
      </c>
      <c r="AA55" s="3">
        <v>0</v>
      </c>
      <c r="AB55" s="3" t="s">
        <v>5223</v>
      </c>
      <c r="AC55" s="3">
        <v>15</v>
      </c>
      <c r="AD55" s="3">
        <v>23.98</v>
      </c>
      <c r="AE55" s="3">
        <v>0</v>
      </c>
      <c r="AF55" s="3">
        <v>0</v>
      </c>
      <c r="AG55" s="3">
        <v>0</v>
      </c>
      <c r="AH55" s="3">
        <v>0.313725490196078</v>
      </c>
      <c r="AI55" s="3" t="s">
        <v>5258</v>
      </c>
      <c r="AJ55" s="3" t="s">
        <v>5222</v>
      </c>
    </row>
    <row r="56" spans="1:36">
      <c r="A56" s="5">
        <v>43288</v>
      </c>
      <c r="B56" s="3" t="s">
        <v>2685</v>
      </c>
      <c r="C56" s="3" t="s">
        <v>2686</v>
      </c>
      <c r="D56" s="3" t="s">
        <v>2686</v>
      </c>
      <c r="E56" s="3" t="s">
        <v>2687</v>
      </c>
      <c r="F56" s="3" t="s">
        <v>120</v>
      </c>
      <c r="G56" s="3">
        <v>6</v>
      </c>
      <c r="H56" s="3">
        <v>0</v>
      </c>
      <c r="I56" s="3">
        <v>0</v>
      </c>
      <c r="J56" s="3">
        <v>2</v>
      </c>
      <c r="K56" s="3">
        <v>4</v>
      </c>
      <c r="L56" s="3">
        <v>0</v>
      </c>
      <c r="M56" s="3">
        <v>0</v>
      </c>
      <c r="N56" s="3" t="s">
        <v>5218</v>
      </c>
      <c r="O56" s="3">
        <v>6</v>
      </c>
      <c r="P56" s="3">
        <v>16.24</v>
      </c>
      <c r="Q56" s="3">
        <v>0</v>
      </c>
      <c r="R56" s="3">
        <v>0</v>
      </c>
      <c r="S56" s="3">
        <v>1</v>
      </c>
      <c r="T56" s="3">
        <v>2</v>
      </c>
      <c r="U56" s="3">
        <v>2</v>
      </c>
      <c r="V56" s="3">
        <v>3</v>
      </c>
      <c r="W56" s="3"/>
      <c r="X56" s="3">
        <v>26.98</v>
      </c>
      <c r="Y56" s="3">
        <v>26.98</v>
      </c>
      <c r="Z56" s="3">
        <v>26.98</v>
      </c>
      <c r="AA56" s="3">
        <v>0</v>
      </c>
      <c r="AB56" s="3" t="s">
        <v>5228</v>
      </c>
      <c r="AC56" s="3">
        <v>4</v>
      </c>
      <c r="AD56" s="3">
        <v>24.48</v>
      </c>
      <c r="AE56" s="3">
        <v>35</v>
      </c>
      <c r="AF56" s="3">
        <v>0</v>
      </c>
      <c r="AG56" s="3">
        <v>1.328391</v>
      </c>
      <c r="AH56" s="3">
        <v>0.387096774193548</v>
      </c>
      <c r="AI56" s="3" t="s">
        <v>5259</v>
      </c>
      <c r="AJ56" s="3" t="s">
        <v>5222</v>
      </c>
    </row>
    <row r="57" spans="1:36">
      <c r="A57" s="5">
        <v>43288</v>
      </c>
      <c r="B57" s="3" t="s">
        <v>2610</v>
      </c>
      <c r="C57" s="3" t="s">
        <v>1132</v>
      </c>
      <c r="D57" s="3" t="s">
        <v>1132</v>
      </c>
      <c r="E57" s="3" t="s">
        <v>1133</v>
      </c>
      <c r="F57" s="3" t="s">
        <v>120</v>
      </c>
      <c r="G57" s="3">
        <v>22</v>
      </c>
      <c r="H57" s="3">
        <v>0</v>
      </c>
      <c r="I57" s="3">
        <v>22</v>
      </c>
      <c r="J57" s="3">
        <v>0</v>
      </c>
      <c r="K57" s="3">
        <v>0</v>
      </c>
      <c r="L57" s="3">
        <v>0</v>
      </c>
      <c r="M57" s="3">
        <v>0</v>
      </c>
      <c r="N57" s="3" t="s">
        <v>5218</v>
      </c>
      <c r="O57" s="3">
        <v>0</v>
      </c>
      <c r="P57" s="3">
        <v>0</v>
      </c>
      <c r="Q57" s="3">
        <v>0</v>
      </c>
      <c r="R57" s="3">
        <v>0</v>
      </c>
      <c r="S57" s="3">
        <v>1</v>
      </c>
      <c r="T57" s="3">
        <v>19</v>
      </c>
      <c r="U57" s="3">
        <v>30</v>
      </c>
      <c r="V57" s="3">
        <v>43</v>
      </c>
      <c r="W57" s="3"/>
      <c r="X57" s="3">
        <v>35.98</v>
      </c>
      <c r="Y57" s="3">
        <v>22.98</v>
      </c>
      <c r="Z57" s="3">
        <v>22.98</v>
      </c>
      <c r="AA57" s="3">
        <v>0</v>
      </c>
      <c r="AB57" s="3" t="s">
        <v>5223</v>
      </c>
      <c r="AC57" s="3">
        <v>21</v>
      </c>
      <c r="AD57" s="3">
        <v>22.98</v>
      </c>
      <c r="AE57" s="3">
        <v>0</v>
      </c>
      <c r="AF57" s="3">
        <v>0</v>
      </c>
      <c r="AG57" s="3">
        <v>0</v>
      </c>
      <c r="AH57" s="3">
        <v>2.12345679012345</v>
      </c>
      <c r="AI57" s="3" t="s">
        <v>5238</v>
      </c>
      <c r="AJ57" s="3" t="s">
        <v>5222</v>
      </c>
    </row>
    <row r="58" spans="1:36">
      <c r="A58" s="5">
        <v>43288</v>
      </c>
      <c r="B58" s="3" t="s">
        <v>1520</v>
      </c>
      <c r="C58" s="3" t="s">
        <v>82</v>
      </c>
      <c r="D58" s="3" t="s">
        <v>82</v>
      </c>
      <c r="E58" s="3" t="s">
        <v>1521</v>
      </c>
      <c r="F58" s="3" t="s">
        <v>120</v>
      </c>
      <c r="G58" s="3">
        <v>33</v>
      </c>
      <c r="H58" s="3">
        <v>0</v>
      </c>
      <c r="I58" s="3">
        <v>33</v>
      </c>
      <c r="J58" s="3">
        <v>0</v>
      </c>
      <c r="K58" s="3">
        <v>0</v>
      </c>
      <c r="L58" s="3">
        <v>0</v>
      </c>
      <c r="M58" s="3">
        <v>0</v>
      </c>
      <c r="N58" s="3" t="s">
        <v>5218</v>
      </c>
      <c r="O58" s="3">
        <v>0</v>
      </c>
      <c r="P58" s="3">
        <v>0</v>
      </c>
      <c r="Q58" s="3">
        <v>0</v>
      </c>
      <c r="R58" s="3">
        <v>0</v>
      </c>
      <c r="S58" s="3">
        <v>1</v>
      </c>
      <c r="T58" s="3">
        <v>11</v>
      </c>
      <c r="U58" s="3">
        <v>14</v>
      </c>
      <c r="V58" s="3">
        <v>21</v>
      </c>
      <c r="W58" s="3"/>
      <c r="X58" s="3">
        <v>22.98</v>
      </c>
      <c r="Y58" s="3">
        <v>22.98</v>
      </c>
      <c r="Z58" s="3">
        <v>19.98</v>
      </c>
      <c r="AA58" s="3">
        <v>0</v>
      </c>
      <c r="AB58" s="3" t="s">
        <v>5223</v>
      </c>
      <c r="AC58" s="3">
        <v>34</v>
      </c>
      <c r="AD58" s="3">
        <v>22.98</v>
      </c>
      <c r="AE58" s="3">
        <v>0</v>
      </c>
      <c r="AF58" s="3">
        <v>0</v>
      </c>
      <c r="AG58" s="3">
        <v>0</v>
      </c>
      <c r="AH58" s="3">
        <v>0.7</v>
      </c>
      <c r="AI58" s="3" t="s">
        <v>5255</v>
      </c>
      <c r="AJ58" s="3" t="s">
        <v>5222</v>
      </c>
    </row>
    <row r="59" spans="1:36">
      <c r="A59" s="5">
        <v>43288</v>
      </c>
      <c r="B59" s="3" t="s">
        <v>2168</v>
      </c>
      <c r="C59" s="3" t="s">
        <v>2169</v>
      </c>
      <c r="D59" s="3" t="s">
        <v>2169</v>
      </c>
      <c r="E59" s="3" t="s">
        <v>2170</v>
      </c>
      <c r="F59" s="3" t="s">
        <v>120</v>
      </c>
      <c r="G59" s="3">
        <v>5</v>
      </c>
      <c r="H59" s="3">
        <v>0</v>
      </c>
      <c r="I59" s="3">
        <v>1</v>
      </c>
      <c r="J59" s="3">
        <v>2</v>
      </c>
      <c r="K59" s="3">
        <v>0</v>
      </c>
      <c r="L59" s="3">
        <v>2</v>
      </c>
      <c r="M59" s="3">
        <v>0</v>
      </c>
      <c r="N59" s="3" t="s">
        <v>5218</v>
      </c>
      <c r="O59" s="3">
        <v>3</v>
      </c>
      <c r="P59" s="3">
        <v>4.66</v>
      </c>
      <c r="Q59" s="3">
        <v>0</v>
      </c>
      <c r="R59" s="3">
        <v>0</v>
      </c>
      <c r="S59" s="3">
        <v>0</v>
      </c>
      <c r="T59" s="3">
        <v>2</v>
      </c>
      <c r="U59" s="3">
        <v>5</v>
      </c>
      <c r="V59" s="3">
        <v>6</v>
      </c>
      <c r="W59" s="3"/>
      <c r="X59" s="3">
        <v>12.98</v>
      </c>
      <c r="Y59" s="3">
        <v>12.98</v>
      </c>
      <c r="Z59" s="3">
        <v>12.98</v>
      </c>
      <c r="AA59" s="3">
        <v>0</v>
      </c>
      <c r="AB59" s="3" t="s">
        <v>5223</v>
      </c>
      <c r="AC59" s="3">
        <v>5</v>
      </c>
      <c r="AD59" s="3">
        <v>12.98</v>
      </c>
      <c r="AE59" s="3">
        <v>0</v>
      </c>
      <c r="AF59" s="3">
        <v>0</v>
      </c>
      <c r="AG59" s="3">
        <v>0</v>
      </c>
      <c r="AH59" s="3">
        <v>0.8</v>
      </c>
      <c r="AI59" s="3" t="s">
        <v>5260</v>
      </c>
      <c r="AJ59" s="3" t="s">
        <v>5222</v>
      </c>
    </row>
    <row r="60" spans="1:36">
      <c r="A60" s="5">
        <v>43288</v>
      </c>
      <c r="B60" s="3" t="s">
        <v>2872</v>
      </c>
      <c r="C60" s="3" t="s">
        <v>1781</v>
      </c>
      <c r="D60" s="3" t="s">
        <v>1781</v>
      </c>
      <c r="E60" s="3" t="s">
        <v>2873</v>
      </c>
      <c r="F60" s="3" t="s">
        <v>120</v>
      </c>
      <c r="G60" s="3">
        <v>22</v>
      </c>
      <c r="H60" s="3">
        <v>0</v>
      </c>
      <c r="I60" s="3">
        <v>22</v>
      </c>
      <c r="J60" s="3">
        <v>0</v>
      </c>
      <c r="K60" s="3">
        <v>0</v>
      </c>
      <c r="L60" s="3">
        <v>0</v>
      </c>
      <c r="M60" s="3">
        <v>0</v>
      </c>
      <c r="N60" s="3" t="s">
        <v>5218</v>
      </c>
      <c r="O60" s="3">
        <v>0</v>
      </c>
      <c r="P60" s="3">
        <v>0</v>
      </c>
      <c r="Q60" s="3">
        <v>0</v>
      </c>
      <c r="R60" s="3">
        <v>0</v>
      </c>
      <c r="S60" s="3">
        <v>3</v>
      </c>
      <c r="T60" s="3">
        <v>5</v>
      </c>
      <c r="U60" s="3">
        <v>5</v>
      </c>
      <c r="V60" s="3">
        <v>5</v>
      </c>
      <c r="W60" s="3"/>
      <c r="X60" s="3">
        <v>23.98</v>
      </c>
      <c r="Y60" s="3">
        <v>23.98</v>
      </c>
      <c r="Z60" s="3">
        <v>23.98</v>
      </c>
      <c r="AA60" s="3">
        <v>0</v>
      </c>
      <c r="AB60" s="3" t="s">
        <v>5228</v>
      </c>
      <c r="AC60" s="3">
        <v>19</v>
      </c>
      <c r="AD60" s="3">
        <v>19.18</v>
      </c>
      <c r="AE60" s="3">
        <v>35</v>
      </c>
      <c r="AF60" s="3">
        <v>0</v>
      </c>
      <c r="AG60" s="3">
        <v>3.854261</v>
      </c>
      <c r="AH60" s="3">
        <v>0.408163265306122</v>
      </c>
      <c r="AI60" s="3" t="s">
        <v>5229</v>
      </c>
      <c r="AJ60" s="3" t="s">
        <v>5222</v>
      </c>
    </row>
    <row r="61" spans="1:36">
      <c r="A61" s="5">
        <v>43288</v>
      </c>
      <c r="B61" s="3" t="s">
        <v>664</v>
      </c>
      <c r="C61" s="3" t="s">
        <v>665</v>
      </c>
      <c r="D61" s="3" t="s">
        <v>665</v>
      </c>
      <c r="E61" s="3" t="s">
        <v>666</v>
      </c>
      <c r="F61" s="3" t="s">
        <v>120</v>
      </c>
      <c r="G61" s="3">
        <v>3</v>
      </c>
      <c r="H61" s="3">
        <v>0</v>
      </c>
      <c r="I61" s="3">
        <v>3</v>
      </c>
      <c r="J61" s="3">
        <v>0</v>
      </c>
      <c r="K61" s="3">
        <v>0</v>
      </c>
      <c r="L61" s="3">
        <v>0</v>
      </c>
      <c r="M61" s="3">
        <v>0</v>
      </c>
      <c r="N61" s="3" t="s">
        <v>5218</v>
      </c>
      <c r="O61" s="3">
        <v>0</v>
      </c>
      <c r="P61" s="3">
        <v>0</v>
      </c>
      <c r="Q61" s="3">
        <v>0</v>
      </c>
      <c r="R61" s="3">
        <v>0</v>
      </c>
      <c r="S61" s="3">
        <v>1</v>
      </c>
      <c r="T61" s="3">
        <v>5</v>
      </c>
      <c r="U61" s="3">
        <v>10</v>
      </c>
      <c r="V61" s="3">
        <v>15</v>
      </c>
      <c r="W61" s="3"/>
      <c r="X61" s="3">
        <v>24.98</v>
      </c>
      <c r="Y61" s="3">
        <v>24.98</v>
      </c>
      <c r="Z61" s="3">
        <v>24.98</v>
      </c>
      <c r="AA61" s="3">
        <v>0</v>
      </c>
      <c r="AB61" s="3" t="s">
        <v>5223</v>
      </c>
      <c r="AC61" s="3">
        <v>4</v>
      </c>
      <c r="AD61" s="3">
        <v>24.98</v>
      </c>
      <c r="AE61" s="3">
        <v>0</v>
      </c>
      <c r="AF61" s="3">
        <v>0</v>
      </c>
      <c r="AG61" s="3">
        <v>0</v>
      </c>
      <c r="AH61" s="3">
        <v>5</v>
      </c>
      <c r="AI61" s="3" t="s">
        <v>5250</v>
      </c>
      <c r="AJ61" s="3" t="s">
        <v>5222</v>
      </c>
    </row>
    <row r="62" spans="1:36">
      <c r="A62" s="5">
        <v>43288</v>
      </c>
      <c r="B62" s="3" t="s">
        <v>5080</v>
      </c>
      <c r="C62" s="3" t="s">
        <v>4782</v>
      </c>
      <c r="D62" s="3" t="s">
        <v>4782</v>
      </c>
      <c r="E62" s="3" t="s">
        <v>4905</v>
      </c>
      <c r="F62" s="3" t="s">
        <v>120</v>
      </c>
      <c r="G62" s="3">
        <v>23</v>
      </c>
      <c r="H62" s="3">
        <v>0</v>
      </c>
      <c r="I62" s="3">
        <v>16</v>
      </c>
      <c r="J62" s="3">
        <v>7</v>
      </c>
      <c r="K62" s="3">
        <v>0</v>
      </c>
      <c r="L62" s="3">
        <v>0</v>
      </c>
      <c r="M62" s="3">
        <v>0</v>
      </c>
      <c r="N62" s="3" t="s">
        <v>5218</v>
      </c>
      <c r="O62" s="3">
        <v>7</v>
      </c>
      <c r="P62" s="3">
        <v>5.51</v>
      </c>
      <c r="Q62" s="3">
        <v>0</v>
      </c>
      <c r="R62" s="3">
        <v>0</v>
      </c>
      <c r="S62" s="3">
        <v>0</v>
      </c>
      <c r="T62" s="3">
        <v>1</v>
      </c>
      <c r="U62" s="3">
        <v>8</v>
      </c>
      <c r="V62" s="3">
        <v>8</v>
      </c>
      <c r="W62" s="3" t="s">
        <v>5227</v>
      </c>
      <c r="X62" s="3">
        <v>21.98</v>
      </c>
      <c r="Y62" s="3">
        <v>21.98</v>
      </c>
      <c r="Z62" s="3">
        <v>21.98</v>
      </c>
      <c r="AA62" s="3">
        <v>0</v>
      </c>
      <c r="AB62" s="3" t="s">
        <v>5223</v>
      </c>
      <c r="AC62" s="3">
        <v>23</v>
      </c>
      <c r="AD62" s="3">
        <v>21.98</v>
      </c>
      <c r="AE62" s="3">
        <v>0</v>
      </c>
      <c r="AF62" s="3">
        <v>0</v>
      </c>
      <c r="AG62" s="3">
        <v>0</v>
      </c>
      <c r="AH62" s="3">
        <v>0.421052631578947</v>
      </c>
      <c r="AI62" s="3" t="s">
        <v>5261</v>
      </c>
      <c r="AJ62" s="3" t="s">
        <v>5222</v>
      </c>
    </row>
    <row r="63" spans="1:36">
      <c r="A63" s="5">
        <v>43288</v>
      </c>
      <c r="B63" s="3" t="s">
        <v>4405</v>
      </c>
      <c r="C63" s="3" t="s">
        <v>3474</v>
      </c>
      <c r="D63" s="3" t="s">
        <v>3474</v>
      </c>
      <c r="E63" s="3" t="s">
        <v>3475</v>
      </c>
      <c r="F63" s="3" t="s">
        <v>120</v>
      </c>
      <c r="G63" s="3">
        <v>4</v>
      </c>
      <c r="H63" s="3">
        <v>0</v>
      </c>
      <c r="I63" s="3">
        <v>0</v>
      </c>
      <c r="J63" s="3">
        <v>0</v>
      </c>
      <c r="K63" s="3">
        <v>4</v>
      </c>
      <c r="L63" s="3">
        <v>0</v>
      </c>
      <c r="M63" s="3">
        <v>0</v>
      </c>
      <c r="N63" s="3" t="s">
        <v>5218</v>
      </c>
      <c r="O63" s="3">
        <v>4</v>
      </c>
      <c r="P63" s="3">
        <v>6.17</v>
      </c>
      <c r="Q63" s="3">
        <v>0</v>
      </c>
      <c r="R63" s="3">
        <v>0</v>
      </c>
      <c r="S63" s="3">
        <v>0</v>
      </c>
      <c r="T63" s="3">
        <v>1</v>
      </c>
      <c r="U63" s="3">
        <v>2</v>
      </c>
      <c r="V63" s="3">
        <v>2</v>
      </c>
      <c r="W63" s="3"/>
      <c r="X63" s="3">
        <v>24.98</v>
      </c>
      <c r="Y63" s="3">
        <v>24.98</v>
      </c>
      <c r="Z63" s="3">
        <v>24.98</v>
      </c>
      <c r="AA63" s="3">
        <v>0</v>
      </c>
      <c r="AB63" s="3" t="s">
        <v>5223</v>
      </c>
      <c r="AC63" s="3">
        <v>4</v>
      </c>
      <c r="AD63" s="3">
        <v>24.98</v>
      </c>
      <c r="AE63" s="3">
        <v>0</v>
      </c>
      <c r="AF63" s="3">
        <v>0</v>
      </c>
      <c r="AG63" s="3">
        <v>0</v>
      </c>
      <c r="AH63" s="3">
        <v>0.38095238095238</v>
      </c>
      <c r="AI63" s="3" t="s">
        <v>5262</v>
      </c>
      <c r="AJ63" s="3" t="s">
        <v>5222</v>
      </c>
    </row>
    <row r="64" spans="1:36">
      <c r="A64" s="5">
        <v>43288</v>
      </c>
      <c r="B64" s="3" t="s">
        <v>4509</v>
      </c>
      <c r="C64" s="3" t="s">
        <v>3763</v>
      </c>
      <c r="D64" s="3" t="s">
        <v>3763</v>
      </c>
      <c r="E64" s="3" t="s">
        <v>3764</v>
      </c>
      <c r="F64" s="3" t="s">
        <v>120</v>
      </c>
      <c r="G64" s="3">
        <v>8</v>
      </c>
      <c r="H64" s="3">
        <v>0</v>
      </c>
      <c r="I64" s="3">
        <v>0</v>
      </c>
      <c r="J64" s="3">
        <v>0</v>
      </c>
      <c r="K64" s="3">
        <v>8</v>
      </c>
      <c r="L64" s="3">
        <v>0</v>
      </c>
      <c r="M64" s="3">
        <v>0</v>
      </c>
      <c r="N64" s="3" t="s">
        <v>5218</v>
      </c>
      <c r="O64" s="3">
        <v>8</v>
      </c>
      <c r="P64" s="3">
        <v>7.94</v>
      </c>
      <c r="Q64" s="3">
        <v>0</v>
      </c>
      <c r="R64" s="3">
        <v>0</v>
      </c>
      <c r="S64" s="3">
        <v>0</v>
      </c>
      <c r="T64" s="3">
        <v>0</v>
      </c>
      <c r="U64" s="3">
        <v>0</v>
      </c>
      <c r="V64" s="3">
        <v>0</v>
      </c>
      <c r="W64" s="3" t="s">
        <v>5227</v>
      </c>
      <c r="X64" s="3">
        <v>24.98</v>
      </c>
      <c r="Y64" s="3">
        <v>24.98</v>
      </c>
      <c r="Z64" s="3">
        <v>24.98</v>
      </c>
      <c r="AA64" s="3">
        <v>0</v>
      </c>
      <c r="AB64" s="3" t="s">
        <v>5228</v>
      </c>
      <c r="AC64" s="3">
        <v>0</v>
      </c>
      <c r="AD64" s="3">
        <v>21.85</v>
      </c>
      <c r="AE64" s="3">
        <v>203</v>
      </c>
      <c r="AF64" s="3">
        <v>0</v>
      </c>
      <c r="AG64" s="3">
        <v>166.333796</v>
      </c>
      <c r="AH64" s="3">
        <v>0</v>
      </c>
      <c r="AI64" s="3" t="s">
        <v>5263</v>
      </c>
      <c r="AJ64" s="3" t="s">
        <v>5222</v>
      </c>
    </row>
    <row r="65" spans="1:36">
      <c r="A65" s="5">
        <v>43288</v>
      </c>
      <c r="B65" s="3" t="s">
        <v>1434</v>
      </c>
      <c r="C65" s="3" t="s">
        <v>1435</v>
      </c>
      <c r="D65" s="3" t="s">
        <v>1436</v>
      </c>
      <c r="E65" s="3" t="s">
        <v>1437</v>
      </c>
      <c r="F65" s="3" t="s">
        <v>120</v>
      </c>
      <c r="G65" s="3">
        <v>32</v>
      </c>
      <c r="H65" s="3">
        <v>0</v>
      </c>
      <c r="I65" s="3">
        <v>32</v>
      </c>
      <c r="J65" s="3">
        <v>0</v>
      </c>
      <c r="K65" s="3">
        <v>0</v>
      </c>
      <c r="L65" s="3">
        <v>0</v>
      </c>
      <c r="M65" s="3">
        <v>0</v>
      </c>
      <c r="N65" s="3" t="s">
        <v>5218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v>0</v>
      </c>
      <c r="W65" s="3" t="s">
        <v>5227</v>
      </c>
      <c r="X65" s="3">
        <v>23.98</v>
      </c>
      <c r="Y65" s="3">
        <v>23.98</v>
      </c>
      <c r="Z65" s="3">
        <v>22.98</v>
      </c>
      <c r="AA65" s="3">
        <v>0</v>
      </c>
      <c r="AB65" s="3" t="s">
        <v>5223</v>
      </c>
      <c r="AC65" s="3">
        <v>0</v>
      </c>
      <c r="AD65" s="3">
        <v>0</v>
      </c>
      <c r="AE65" s="3">
        <v>0</v>
      </c>
      <c r="AF65" s="3">
        <v>0</v>
      </c>
      <c r="AG65" s="3">
        <v>0</v>
      </c>
      <c r="AH65" s="3">
        <v>6.14634146341463</v>
      </c>
      <c r="AI65" s="3" t="s">
        <v>5236</v>
      </c>
      <c r="AJ65" s="3" t="s">
        <v>5222</v>
      </c>
    </row>
    <row r="66" spans="1:36">
      <c r="A66" s="5">
        <v>43288</v>
      </c>
      <c r="B66" s="3" t="s">
        <v>1610</v>
      </c>
      <c r="C66" s="3" t="s">
        <v>1611</v>
      </c>
      <c r="D66" s="3" t="s">
        <v>1611</v>
      </c>
      <c r="E66" s="3" t="s">
        <v>1612</v>
      </c>
      <c r="F66" s="3" t="s">
        <v>120</v>
      </c>
      <c r="G66" s="3">
        <v>17</v>
      </c>
      <c r="H66" s="3">
        <v>0</v>
      </c>
      <c r="I66" s="3">
        <v>0</v>
      </c>
      <c r="J66" s="3">
        <v>2</v>
      </c>
      <c r="K66" s="3">
        <v>15</v>
      </c>
      <c r="L66" s="3">
        <v>0</v>
      </c>
      <c r="M66" s="3">
        <v>0</v>
      </c>
      <c r="N66" s="3" t="s">
        <v>5218</v>
      </c>
      <c r="O66" s="3">
        <v>15</v>
      </c>
      <c r="P66" s="3">
        <v>47.47</v>
      </c>
      <c r="Q66" s="3">
        <v>0</v>
      </c>
      <c r="R66" s="3">
        <v>0</v>
      </c>
      <c r="S66" s="3">
        <v>1</v>
      </c>
      <c r="T66" s="3">
        <v>1</v>
      </c>
      <c r="U66" s="3">
        <v>2</v>
      </c>
      <c r="V66" s="3">
        <v>16</v>
      </c>
      <c r="W66" s="3" t="s">
        <v>5227</v>
      </c>
      <c r="X66" s="3">
        <v>17.98</v>
      </c>
      <c r="Y66" s="3">
        <v>17.98</v>
      </c>
      <c r="Z66" s="3">
        <v>17.98</v>
      </c>
      <c r="AA66" s="3">
        <v>0</v>
      </c>
      <c r="AB66" s="3" t="s">
        <v>5228</v>
      </c>
      <c r="AC66" s="3">
        <v>0</v>
      </c>
      <c r="AD66" s="3">
        <v>15.15</v>
      </c>
      <c r="AE66" s="3">
        <v>259</v>
      </c>
      <c r="AF66" s="3">
        <v>0</v>
      </c>
      <c r="AG66" s="3">
        <v>657.362703</v>
      </c>
      <c r="AH66" s="3">
        <v>0.735632183908046</v>
      </c>
      <c r="AI66" s="3" t="s">
        <v>5248</v>
      </c>
      <c r="AJ66" s="3" t="s">
        <v>5222</v>
      </c>
    </row>
    <row r="67" spans="1:36">
      <c r="A67" s="5">
        <v>43288</v>
      </c>
      <c r="B67" s="3" t="s">
        <v>4506</v>
      </c>
      <c r="C67" s="3" t="s">
        <v>3751</v>
      </c>
      <c r="D67" s="3" t="s">
        <v>3751</v>
      </c>
      <c r="E67" s="3" t="s">
        <v>3752</v>
      </c>
      <c r="F67" s="3" t="s">
        <v>120</v>
      </c>
      <c r="G67" s="3">
        <v>6</v>
      </c>
      <c r="H67" s="3">
        <v>0</v>
      </c>
      <c r="I67" s="3">
        <v>0</v>
      </c>
      <c r="J67" s="3">
        <v>0</v>
      </c>
      <c r="K67" s="3">
        <v>6</v>
      </c>
      <c r="L67" s="3">
        <v>0</v>
      </c>
      <c r="M67" s="3">
        <v>0</v>
      </c>
      <c r="N67" s="3" t="s">
        <v>5218</v>
      </c>
      <c r="O67" s="3">
        <v>6</v>
      </c>
      <c r="P67" s="3">
        <v>5.96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v>1</v>
      </c>
      <c r="W67" s="3" t="s">
        <v>5227</v>
      </c>
      <c r="X67" s="3">
        <v>24.98</v>
      </c>
      <c r="Y67" s="3">
        <v>24.98</v>
      </c>
      <c r="Z67" s="3">
        <v>24.98</v>
      </c>
      <c r="AA67" s="3">
        <v>0</v>
      </c>
      <c r="AB67" s="3" t="s">
        <v>5228</v>
      </c>
      <c r="AC67" s="3">
        <v>0</v>
      </c>
      <c r="AD67" s="3">
        <v>22.99</v>
      </c>
      <c r="AE67" s="3">
        <v>140</v>
      </c>
      <c r="AF67" s="3">
        <v>0</v>
      </c>
      <c r="AG67" s="3">
        <v>132.55491</v>
      </c>
      <c r="AH67" s="3">
        <v>0.16</v>
      </c>
      <c r="AI67" s="3" t="s">
        <v>5263</v>
      </c>
      <c r="AJ67" s="3" t="s">
        <v>5222</v>
      </c>
    </row>
    <row r="68" spans="1:36">
      <c r="A68" s="5">
        <v>43288</v>
      </c>
      <c r="B68" s="3" t="s">
        <v>4508</v>
      </c>
      <c r="C68" s="3" t="s">
        <v>3759</v>
      </c>
      <c r="D68" s="3" t="s">
        <v>3759</v>
      </c>
      <c r="E68" s="3" t="s">
        <v>3760</v>
      </c>
      <c r="F68" s="3" t="s">
        <v>120</v>
      </c>
      <c r="G68" s="3">
        <v>5</v>
      </c>
      <c r="H68" s="3">
        <v>0</v>
      </c>
      <c r="I68" s="3">
        <v>0</v>
      </c>
      <c r="J68" s="3">
        <v>0</v>
      </c>
      <c r="K68" s="3">
        <v>5</v>
      </c>
      <c r="L68" s="3">
        <v>0</v>
      </c>
      <c r="M68" s="3">
        <v>0</v>
      </c>
      <c r="N68" s="3" t="s">
        <v>5218</v>
      </c>
      <c r="O68" s="3">
        <v>5</v>
      </c>
      <c r="P68" s="3">
        <v>4.97</v>
      </c>
      <c r="Q68" s="3">
        <v>0</v>
      </c>
      <c r="R68" s="3">
        <v>0</v>
      </c>
      <c r="S68" s="3">
        <v>0</v>
      </c>
      <c r="T68" s="3">
        <v>0</v>
      </c>
      <c r="U68" s="3">
        <v>0</v>
      </c>
      <c r="V68" s="3">
        <v>0</v>
      </c>
      <c r="W68" s="3" t="s">
        <v>5227</v>
      </c>
      <c r="X68" s="3">
        <v>24.98</v>
      </c>
      <c r="Y68" s="3">
        <v>24.98</v>
      </c>
      <c r="Z68" s="3">
        <v>24.98</v>
      </c>
      <c r="AA68" s="3">
        <v>0</v>
      </c>
      <c r="AB68" s="3" t="s">
        <v>5228</v>
      </c>
      <c r="AC68" s="3">
        <v>0</v>
      </c>
      <c r="AD68" s="3">
        <v>23.98</v>
      </c>
      <c r="AE68" s="3">
        <v>63</v>
      </c>
      <c r="AF68" s="3">
        <v>0</v>
      </c>
      <c r="AG68" s="3">
        <v>65.12488</v>
      </c>
      <c r="AH68" s="3">
        <v>0</v>
      </c>
      <c r="AI68" s="3" t="s">
        <v>5263</v>
      </c>
      <c r="AJ68" s="3" t="s">
        <v>5222</v>
      </c>
    </row>
    <row r="69" spans="1:36">
      <c r="A69" s="5">
        <v>43288</v>
      </c>
      <c r="B69" s="3" t="s">
        <v>2656</v>
      </c>
      <c r="C69" s="3" t="s">
        <v>2657</v>
      </c>
      <c r="D69" s="3" t="s">
        <v>2657</v>
      </c>
      <c r="E69" s="3" t="s">
        <v>2658</v>
      </c>
      <c r="F69" s="3" t="s">
        <v>120</v>
      </c>
      <c r="G69" s="3">
        <v>8</v>
      </c>
      <c r="H69" s="3">
        <v>0</v>
      </c>
      <c r="I69" s="3">
        <v>1</v>
      </c>
      <c r="J69" s="3">
        <v>0</v>
      </c>
      <c r="K69" s="3">
        <v>7</v>
      </c>
      <c r="L69" s="3">
        <v>0</v>
      </c>
      <c r="M69" s="3">
        <v>0</v>
      </c>
      <c r="N69" s="3" t="s">
        <v>5218</v>
      </c>
      <c r="O69" s="3">
        <v>7</v>
      </c>
      <c r="P69" s="3">
        <v>12.16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v>3</v>
      </c>
      <c r="W69" s="3" t="s">
        <v>5219</v>
      </c>
      <c r="X69" s="3">
        <v>18.98</v>
      </c>
      <c r="Y69" s="3">
        <v>18.98</v>
      </c>
      <c r="Z69" s="3">
        <v>18.98</v>
      </c>
      <c r="AA69" s="3">
        <v>0</v>
      </c>
      <c r="AB69" s="3" t="s">
        <v>5220</v>
      </c>
      <c r="AC69" s="3">
        <v>2</v>
      </c>
      <c r="AD69" s="3">
        <v>16.04</v>
      </c>
      <c r="AE69" s="3">
        <v>35</v>
      </c>
      <c r="AF69" s="3">
        <v>0</v>
      </c>
      <c r="AG69" s="3">
        <v>226.662135</v>
      </c>
      <c r="AH69" s="3">
        <v>0.363636363636363</v>
      </c>
      <c r="AI69" s="3" t="s">
        <v>5264</v>
      </c>
      <c r="AJ69" s="3" t="s">
        <v>5222</v>
      </c>
    </row>
    <row r="70" spans="1:36">
      <c r="A70" s="5">
        <v>43288</v>
      </c>
      <c r="B70" s="3" t="s">
        <v>2630</v>
      </c>
      <c r="C70" s="3" t="s">
        <v>1201</v>
      </c>
      <c r="D70" s="3" t="s">
        <v>1201</v>
      </c>
      <c r="E70" s="3" t="s">
        <v>1202</v>
      </c>
      <c r="F70" s="3" t="s">
        <v>120</v>
      </c>
      <c r="G70" s="3">
        <v>24</v>
      </c>
      <c r="H70" s="3">
        <v>0</v>
      </c>
      <c r="I70" s="3">
        <v>13</v>
      </c>
      <c r="J70" s="3">
        <v>0</v>
      </c>
      <c r="K70" s="3">
        <v>11</v>
      </c>
      <c r="L70" s="3">
        <v>0</v>
      </c>
      <c r="M70" s="3">
        <v>0</v>
      </c>
      <c r="N70" s="3" t="s">
        <v>5218</v>
      </c>
      <c r="O70" s="3">
        <v>11</v>
      </c>
      <c r="P70" s="3">
        <v>18.52</v>
      </c>
      <c r="Q70" s="3">
        <v>0</v>
      </c>
      <c r="R70" s="3">
        <v>0</v>
      </c>
      <c r="S70" s="3">
        <v>0</v>
      </c>
      <c r="T70" s="3">
        <v>2</v>
      </c>
      <c r="U70" s="3">
        <v>5</v>
      </c>
      <c r="V70" s="3">
        <v>9</v>
      </c>
      <c r="W70" s="3"/>
      <c r="X70" s="3">
        <v>22.98</v>
      </c>
      <c r="Y70" s="3">
        <v>22.98</v>
      </c>
      <c r="Z70" s="3">
        <v>22.98</v>
      </c>
      <c r="AA70" s="3">
        <v>0</v>
      </c>
      <c r="AB70" s="3" t="s">
        <v>5223</v>
      </c>
      <c r="AC70" s="3">
        <v>24</v>
      </c>
      <c r="AD70" s="3">
        <v>22.98</v>
      </c>
      <c r="AE70" s="3">
        <v>0</v>
      </c>
      <c r="AF70" s="3">
        <v>0</v>
      </c>
      <c r="AG70" s="3">
        <v>0</v>
      </c>
      <c r="AH70" s="3">
        <v>0.423529411764705</v>
      </c>
      <c r="AI70" s="3" t="s">
        <v>5238</v>
      </c>
      <c r="AJ70" s="3" t="s">
        <v>5222</v>
      </c>
    </row>
    <row r="71" spans="1:36">
      <c r="A71" s="5">
        <v>43288</v>
      </c>
      <c r="B71" s="3" t="s">
        <v>3218</v>
      </c>
      <c r="C71" s="3" t="s">
        <v>3219</v>
      </c>
      <c r="D71" s="3" t="s">
        <v>3220</v>
      </c>
      <c r="E71" s="3" t="s">
        <v>3221</v>
      </c>
      <c r="F71" s="3" t="s">
        <v>120</v>
      </c>
      <c r="G71" s="3">
        <v>1</v>
      </c>
      <c r="H71" s="3">
        <v>0</v>
      </c>
      <c r="I71" s="3">
        <v>1</v>
      </c>
      <c r="J71" s="3">
        <v>0</v>
      </c>
      <c r="K71" s="3">
        <v>0</v>
      </c>
      <c r="L71" s="3">
        <v>0</v>
      </c>
      <c r="M71" s="3">
        <v>0</v>
      </c>
      <c r="N71" s="3" t="s">
        <v>5218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5</v>
      </c>
      <c r="U71" s="3">
        <v>5</v>
      </c>
      <c r="V71" s="3">
        <v>5</v>
      </c>
      <c r="W71" s="3"/>
      <c r="X71" s="3">
        <v>23.98</v>
      </c>
      <c r="Y71" s="3">
        <v>23.98</v>
      </c>
      <c r="Z71" s="3">
        <v>22.9</v>
      </c>
      <c r="AA71" s="3">
        <v>0</v>
      </c>
      <c r="AB71" s="3" t="s">
        <v>5223</v>
      </c>
      <c r="AC71" s="3">
        <v>0</v>
      </c>
      <c r="AD71" s="3">
        <v>0</v>
      </c>
      <c r="AE71" s="3">
        <v>0</v>
      </c>
      <c r="AF71" s="3">
        <v>0</v>
      </c>
      <c r="AG71" s="3">
        <v>0</v>
      </c>
      <c r="AH71" s="3">
        <v>5</v>
      </c>
      <c r="AI71" s="3" t="s">
        <v>5241</v>
      </c>
      <c r="AJ71" s="3" t="s">
        <v>5222</v>
      </c>
    </row>
    <row r="72" spans="1:36">
      <c r="A72" s="5">
        <v>43288</v>
      </c>
      <c r="B72" s="3" t="s">
        <v>2934</v>
      </c>
      <c r="C72" s="3" t="s">
        <v>1352</v>
      </c>
      <c r="D72" s="3" t="s">
        <v>1352</v>
      </c>
      <c r="E72" s="3" t="s">
        <v>1353</v>
      </c>
      <c r="F72" s="3" t="s">
        <v>120</v>
      </c>
      <c r="G72" s="3">
        <v>3</v>
      </c>
      <c r="H72" s="3">
        <v>0</v>
      </c>
      <c r="I72" s="3">
        <v>3</v>
      </c>
      <c r="J72" s="3">
        <v>0</v>
      </c>
      <c r="K72" s="3">
        <v>0</v>
      </c>
      <c r="L72" s="3">
        <v>0</v>
      </c>
      <c r="M72" s="3">
        <v>0</v>
      </c>
      <c r="N72" s="3" t="s">
        <v>5218</v>
      </c>
      <c r="O72" s="3">
        <v>0</v>
      </c>
      <c r="P72" s="3">
        <v>0</v>
      </c>
      <c r="Q72" s="3">
        <v>0</v>
      </c>
      <c r="R72" s="3">
        <v>0</v>
      </c>
      <c r="S72" s="3">
        <v>11</v>
      </c>
      <c r="T72" s="3">
        <v>93</v>
      </c>
      <c r="U72" s="3">
        <v>136</v>
      </c>
      <c r="V72" s="3">
        <v>173</v>
      </c>
      <c r="W72" s="3"/>
      <c r="X72" s="3">
        <v>24.98</v>
      </c>
      <c r="Y72" s="3">
        <v>24.98</v>
      </c>
      <c r="Z72" s="3">
        <v>23.98</v>
      </c>
      <c r="AA72" s="3">
        <v>0</v>
      </c>
      <c r="AB72" s="3" t="s">
        <v>5223</v>
      </c>
      <c r="AC72" s="3">
        <v>6</v>
      </c>
      <c r="AD72" s="3">
        <v>24.98</v>
      </c>
      <c r="AE72" s="3">
        <v>0</v>
      </c>
      <c r="AF72" s="3">
        <v>0</v>
      </c>
      <c r="AG72" s="3">
        <v>0</v>
      </c>
      <c r="AH72" s="3">
        <v>8.65</v>
      </c>
      <c r="AI72" s="3" t="s">
        <v>5236</v>
      </c>
      <c r="AJ72" s="3" t="s">
        <v>5222</v>
      </c>
    </row>
    <row r="73" spans="1:36">
      <c r="A73" s="5">
        <v>43288</v>
      </c>
      <c r="B73" s="3" t="s">
        <v>1589</v>
      </c>
      <c r="C73" s="3" t="s">
        <v>1590</v>
      </c>
      <c r="D73" s="3" t="s">
        <v>1590</v>
      </c>
      <c r="E73" s="3" t="s">
        <v>1591</v>
      </c>
      <c r="F73" s="3" t="s">
        <v>120</v>
      </c>
      <c r="G73" s="3">
        <v>30</v>
      </c>
      <c r="H73" s="3">
        <v>0</v>
      </c>
      <c r="I73" s="3">
        <v>3</v>
      </c>
      <c r="J73" s="3">
        <v>1</v>
      </c>
      <c r="K73" s="3">
        <v>26</v>
      </c>
      <c r="L73" s="3">
        <v>0</v>
      </c>
      <c r="M73" s="3">
        <v>0</v>
      </c>
      <c r="N73" s="3" t="s">
        <v>5218</v>
      </c>
      <c r="O73" s="3">
        <v>26</v>
      </c>
      <c r="P73" s="3">
        <v>9.25</v>
      </c>
      <c r="Q73" s="3">
        <v>0</v>
      </c>
      <c r="R73" s="3">
        <v>0</v>
      </c>
      <c r="S73" s="3">
        <v>0</v>
      </c>
      <c r="T73" s="3">
        <v>6</v>
      </c>
      <c r="U73" s="3">
        <v>7</v>
      </c>
      <c r="V73" s="3">
        <v>13</v>
      </c>
      <c r="W73" s="3"/>
      <c r="X73" s="3">
        <v>39.98</v>
      </c>
      <c r="Y73" s="3">
        <v>39.98</v>
      </c>
      <c r="Z73" s="3">
        <v>19.98</v>
      </c>
      <c r="AA73" s="3">
        <v>0</v>
      </c>
      <c r="AB73" s="3" t="s">
        <v>5223</v>
      </c>
      <c r="AC73" s="3">
        <v>30</v>
      </c>
      <c r="AD73" s="3">
        <v>39.98</v>
      </c>
      <c r="AE73" s="3">
        <v>0</v>
      </c>
      <c r="AF73" s="3">
        <v>0</v>
      </c>
      <c r="AG73" s="3">
        <v>0</v>
      </c>
      <c r="AH73" s="3">
        <v>0.371428571428571</v>
      </c>
      <c r="AI73" s="3" t="s">
        <v>5265</v>
      </c>
      <c r="AJ73" s="3" t="s">
        <v>5222</v>
      </c>
    </row>
    <row r="74" spans="1:36">
      <c r="A74" s="5">
        <v>43288</v>
      </c>
      <c r="B74" s="3" t="s">
        <v>2325</v>
      </c>
      <c r="C74" s="3" t="s">
        <v>2326</v>
      </c>
      <c r="D74" s="3" t="s">
        <v>2326</v>
      </c>
      <c r="E74" s="3" t="s">
        <v>2327</v>
      </c>
      <c r="F74" s="3" t="s">
        <v>120</v>
      </c>
      <c r="G74" s="3">
        <v>36</v>
      </c>
      <c r="H74" s="3">
        <v>0</v>
      </c>
      <c r="I74" s="3">
        <v>35</v>
      </c>
      <c r="J74" s="3">
        <v>1</v>
      </c>
      <c r="K74" s="3">
        <v>0</v>
      </c>
      <c r="L74" s="3">
        <v>0</v>
      </c>
      <c r="M74" s="3">
        <v>0</v>
      </c>
      <c r="N74" s="3" t="s">
        <v>5218</v>
      </c>
      <c r="O74" s="3">
        <v>0</v>
      </c>
      <c r="P74" s="3">
        <v>0</v>
      </c>
      <c r="Q74" s="3">
        <v>0</v>
      </c>
      <c r="R74" s="3">
        <v>0</v>
      </c>
      <c r="S74" s="3">
        <v>0</v>
      </c>
      <c r="T74" s="3">
        <v>0</v>
      </c>
      <c r="U74" s="3">
        <v>2</v>
      </c>
      <c r="V74" s="3">
        <v>4</v>
      </c>
      <c r="W74" s="3" t="s">
        <v>5227</v>
      </c>
      <c r="X74" s="3">
        <v>22.98</v>
      </c>
      <c r="Y74" s="3">
        <v>22.98</v>
      </c>
      <c r="Z74" s="3">
        <v>22.98</v>
      </c>
      <c r="AA74" s="3">
        <v>0</v>
      </c>
      <c r="AB74" s="3" t="s">
        <v>5228</v>
      </c>
      <c r="AC74" s="3">
        <v>10</v>
      </c>
      <c r="AD74" s="3">
        <v>18.38</v>
      </c>
      <c r="AE74" s="3">
        <v>364</v>
      </c>
      <c r="AF74" s="3">
        <v>0</v>
      </c>
      <c r="AG74" s="3">
        <v>216.289986</v>
      </c>
      <c r="AH74" s="3">
        <v>0.188235294117647</v>
      </c>
      <c r="AI74" s="3" t="s">
        <v>5233</v>
      </c>
      <c r="AJ74" s="3" t="s">
        <v>5222</v>
      </c>
    </row>
    <row r="75" spans="1:36">
      <c r="A75" s="5">
        <v>43288</v>
      </c>
      <c r="B75" s="3" t="s">
        <v>1912</v>
      </c>
      <c r="C75" s="3" t="s">
        <v>1396</v>
      </c>
      <c r="D75" s="3" t="s">
        <v>1396</v>
      </c>
      <c r="E75" s="3" t="s">
        <v>1397</v>
      </c>
      <c r="F75" s="3" t="s">
        <v>120</v>
      </c>
      <c r="G75" s="3">
        <v>3</v>
      </c>
      <c r="H75" s="3">
        <v>0</v>
      </c>
      <c r="I75" s="3">
        <v>3</v>
      </c>
      <c r="J75" s="3">
        <v>0</v>
      </c>
      <c r="K75" s="3">
        <v>0</v>
      </c>
      <c r="L75" s="3">
        <v>0</v>
      </c>
      <c r="M75" s="3">
        <v>0</v>
      </c>
      <c r="N75" s="3" t="s">
        <v>5218</v>
      </c>
      <c r="O75" s="3">
        <v>0</v>
      </c>
      <c r="P75" s="3">
        <v>0</v>
      </c>
      <c r="Q75" s="3">
        <v>0</v>
      </c>
      <c r="R75" s="3">
        <v>0</v>
      </c>
      <c r="S75" s="3">
        <v>0</v>
      </c>
      <c r="T75" s="3">
        <v>0</v>
      </c>
      <c r="U75" s="3">
        <v>0</v>
      </c>
      <c r="V75" s="3">
        <v>0</v>
      </c>
      <c r="W75" s="3" t="s">
        <v>5227</v>
      </c>
      <c r="X75" s="3">
        <v>22.98</v>
      </c>
      <c r="Y75" s="3">
        <v>22.98</v>
      </c>
      <c r="Z75" s="3">
        <v>22.98</v>
      </c>
      <c r="AA75" s="3">
        <v>0</v>
      </c>
      <c r="AB75" s="3" t="s">
        <v>5223</v>
      </c>
      <c r="AC75" s="3">
        <v>0</v>
      </c>
      <c r="AD75" s="3">
        <v>0</v>
      </c>
      <c r="AE75" s="3">
        <v>0</v>
      </c>
      <c r="AF75" s="3">
        <v>0</v>
      </c>
      <c r="AG75" s="3">
        <v>0</v>
      </c>
      <c r="AH75" s="3">
        <v>6.88888888888888</v>
      </c>
      <c r="AI75" s="3" t="s">
        <v>5236</v>
      </c>
      <c r="AJ75" s="3" t="s">
        <v>5222</v>
      </c>
    </row>
    <row r="76" spans="1:36">
      <c r="A76" s="5">
        <v>43288</v>
      </c>
      <c r="B76" s="3" t="s">
        <v>2063</v>
      </c>
      <c r="C76" s="3" t="s">
        <v>2064</v>
      </c>
      <c r="D76" s="3" t="s">
        <v>2064</v>
      </c>
      <c r="E76" s="3" t="s">
        <v>2065</v>
      </c>
      <c r="F76" s="3" t="s">
        <v>120</v>
      </c>
      <c r="G76" s="3">
        <v>3</v>
      </c>
      <c r="H76" s="3">
        <v>0</v>
      </c>
      <c r="I76" s="3">
        <v>2</v>
      </c>
      <c r="J76" s="3">
        <v>1</v>
      </c>
      <c r="K76" s="3">
        <v>0</v>
      </c>
      <c r="L76" s="3">
        <v>0</v>
      </c>
      <c r="M76" s="3">
        <v>0</v>
      </c>
      <c r="N76" s="3" t="s">
        <v>5218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1</v>
      </c>
      <c r="U76" s="3">
        <v>1</v>
      </c>
      <c r="V76" s="3">
        <v>5</v>
      </c>
      <c r="W76" s="3" t="s">
        <v>5227</v>
      </c>
      <c r="X76" s="3">
        <v>23.98</v>
      </c>
      <c r="Y76" s="3">
        <v>23.98</v>
      </c>
      <c r="Z76" s="3">
        <v>23.98</v>
      </c>
      <c r="AA76" s="3">
        <v>0</v>
      </c>
      <c r="AB76" s="3" t="s">
        <v>5223</v>
      </c>
      <c r="AC76" s="3">
        <v>2</v>
      </c>
      <c r="AD76" s="3">
        <v>23.98</v>
      </c>
      <c r="AE76" s="3">
        <v>0</v>
      </c>
      <c r="AF76" s="3">
        <v>0</v>
      </c>
      <c r="AG76" s="3">
        <v>0</v>
      </c>
      <c r="AH76" s="3">
        <v>1.66666666666666</v>
      </c>
      <c r="AI76" s="3" t="s">
        <v>5266</v>
      </c>
      <c r="AJ76" s="3" t="s">
        <v>5222</v>
      </c>
    </row>
    <row r="77" spans="1:36">
      <c r="A77" s="5">
        <v>43288</v>
      </c>
      <c r="B77" s="3" t="s">
        <v>4081</v>
      </c>
      <c r="C77" s="3" t="s">
        <v>4082</v>
      </c>
      <c r="D77" s="3" t="s">
        <v>4083</v>
      </c>
      <c r="E77" s="3" t="s">
        <v>4084</v>
      </c>
      <c r="F77" s="3" t="s">
        <v>120</v>
      </c>
      <c r="G77" s="3">
        <v>5</v>
      </c>
      <c r="H77" s="3">
        <v>0</v>
      </c>
      <c r="I77" s="3">
        <v>5</v>
      </c>
      <c r="J77" s="3">
        <v>0</v>
      </c>
      <c r="K77" s="3">
        <v>0</v>
      </c>
      <c r="L77" s="3">
        <v>0</v>
      </c>
      <c r="M77" s="3">
        <v>0</v>
      </c>
      <c r="N77" s="3" t="s">
        <v>5218</v>
      </c>
      <c r="O77" s="3">
        <v>0</v>
      </c>
      <c r="P77" s="3">
        <v>0</v>
      </c>
      <c r="Q77" s="3">
        <v>0</v>
      </c>
      <c r="R77" s="3">
        <v>0</v>
      </c>
      <c r="S77" s="3">
        <v>0</v>
      </c>
      <c r="T77" s="3">
        <v>0</v>
      </c>
      <c r="U77" s="3">
        <v>0</v>
      </c>
      <c r="V77" s="3">
        <v>0</v>
      </c>
      <c r="W77" s="3" t="s">
        <v>5227</v>
      </c>
      <c r="X77" s="3">
        <v>20.98</v>
      </c>
      <c r="Y77" s="3">
        <v>20.98</v>
      </c>
      <c r="Z77" s="3">
        <v>20.98</v>
      </c>
      <c r="AA77" s="3">
        <v>0</v>
      </c>
      <c r="AB77" s="3" t="s">
        <v>5223</v>
      </c>
      <c r="AC77" s="3">
        <v>5</v>
      </c>
      <c r="AD77" s="3">
        <v>20.98</v>
      </c>
      <c r="AE77" s="3">
        <v>0</v>
      </c>
      <c r="AF77" s="3">
        <v>0</v>
      </c>
      <c r="AG77" s="3">
        <v>0</v>
      </c>
      <c r="AH77" s="3">
        <v>3.5</v>
      </c>
      <c r="AI77" s="3" t="s">
        <v>5226</v>
      </c>
      <c r="AJ77" s="3" t="s">
        <v>5222</v>
      </c>
    </row>
    <row r="78" spans="1:36">
      <c r="A78" s="5">
        <v>43288</v>
      </c>
      <c r="B78" s="3" t="s">
        <v>1777</v>
      </c>
      <c r="C78" s="3" t="s">
        <v>1778</v>
      </c>
      <c r="D78" s="3" t="s">
        <v>1778</v>
      </c>
      <c r="E78" s="3" t="s">
        <v>1779</v>
      </c>
      <c r="F78" s="3" t="s">
        <v>120</v>
      </c>
      <c r="G78" s="3">
        <v>9</v>
      </c>
      <c r="H78" s="3">
        <v>0</v>
      </c>
      <c r="I78" s="3">
        <v>1</v>
      </c>
      <c r="J78" s="3">
        <v>1</v>
      </c>
      <c r="K78" s="3">
        <v>7</v>
      </c>
      <c r="L78" s="3">
        <v>0</v>
      </c>
      <c r="M78" s="3">
        <v>0</v>
      </c>
      <c r="N78" s="3" t="s">
        <v>5218</v>
      </c>
      <c r="O78" s="3">
        <v>7</v>
      </c>
      <c r="P78" s="3">
        <v>9.08</v>
      </c>
      <c r="Q78" s="3">
        <v>0</v>
      </c>
      <c r="R78" s="3">
        <v>0</v>
      </c>
      <c r="S78" s="3">
        <v>0</v>
      </c>
      <c r="T78" s="3">
        <v>0</v>
      </c>
      <c r="U78" s="3">
        <v>3</v>
      </c>
      <c r="V78" s="3">
        <v>5</v>
      </c>
      <c r="W78" s="3" t="s">
        <v>5227</v>
      </c>
      <c r="X78" s="3">
        <v>23.98</v>
      </c>
      <c r="Y78" s="3">
        <v>23.98</v>
      </c>
      <c r="Z78" s="3">
        <v>23.98</v>
      </c>
      <c r="AA78" s="3">
        <v>0</v>
      </c>
      <c r="AB78" s="3" t="s">
        <v>5223</v>
      </c>
      <c r="AC78" s="3">
        <v>9</v>
      </c>
      <c r="AD78" s="3">
        <v>23.98</v>
      </c>
      <c r="AE78" s="3">
        <v>0</v>
      </c>
      <c r="AF78" s="3">
        <v>0</v>
      </c>
      <c r="AG78" s="3">
        <v>0</v>
      </c>
      <c r="AH78" s="3">
        <v>0.465116279069767</v>
      </c>
      <c r="AI78" s="3" t="s">
        <v>5229</v>
      </c>
      <c r="AJ78" s="3" t="s">
        <v>5222</v>
      </c>
    </row>
    <row r="79" spans="1:36">
      <c r="A79" s="5">
        <v>43288</v>
      </c>
      <c r="B79" s="3" t="s">
        <v>1138</v>
      </c>
      <c r="C79" s="3" t="s">
        <v>1139</v>
      </c>
      <c r="D79" s="3" t="s">
        <v>1140</v>
      </c>
      <c r="E79" s="3" t="s">
        <v>1141</v>
      </c>
      <c r="F79" s="3" t="s">
        <v>120</v>
      </c>
      <c r="G79" s="3">
        <v>15</v>
      </c>
      <c r="H79" s="3">
        <v>0</v>
      </c>
      <c r="I79" s="3">
        <v>15</v>
      </c>
      <c r="J79" s="3">
        <v>0</v>
      </c>
      <c r="K79" s="3">
        <v>0</v>
      </c>
      <c r="L79" s="3">
        <v>0</v>
      </c>
      <c r="M79" s="3">
        <v>0</v>
      </c>
      <c r="N79" s="3" t="s">
        <v>5218</v>
      </c>
      <c r="O79" s="3">
        <v>0</v>
      </c>
      <c r="P79" s="3">
        <v>0</v>
      </c>
      <c r="Q79" s="3">
        <v>0</v>
      </c>
      <c r="R79" s="3">
        <v>0</v>
      </c>
      <c r="S79" s="3">
        <v>0</v>
      </c>
      <c r="T79" s="3">
        <v>0</v>
      </c>
      <c r="U79" s="3">
        <v>0</v>
      </c>
      <c r="V79" s="3">
        <v>0</v>
      </c>
      <c r="W79" s="3" t="s">
        <v>5227</v>
      </c>
      <c r="X79" s="3">
        <v>22.98</v>
      </c>
      <c r="Y79" s="3">
        <v>22.98</v>
      </c>
      <c r="Z79" s="3">
        <v>22.98</v>
      </c>
      <c r="AA79" s="3">
        <v>0</v>
      </c>
      <c r="AB79" s="3" t="s">
        <v>5223</v>
      </c>
      <c r="AC79" s="3">
        <v>15</v>
      </c>
      <c r="AD79" s="3">
        <v>22.98</v>
      </c>
      <c r="AE79" s="3">
        <v>0</v>
      </c>
      <c r="AF79" s="3">
        <v>0</v>
      </c>
      <c r="AG79" s="3">
        <v>0</v>
      </c>
      <c r="AH79" s="3">
        <v>0.545454545454545</v>
      </c>
      <c r="AI79" s="3" t="s">
        <v>5238</v>
      </c>
      <c r="AJ79" s="3" t="s">
        <v>5222</v>
      </c>
    </row>
    <row r="80" spans="1:36">
      <c r="A80" s="5">
        <v>43288</v>
      </c>
      <c r="B80" s="3" t="s">
        <v>5007</v>
      </c>
      <c r="C80" s="3" t="s">
        <v>5008</v>
      </c>
      <c r="D80" s="3" t="s">
        <v>5008</v>
      </c>
      <c r="E80" s="3" t="s">
        <v>5009</v>
      </c>
      <c r="F80" s="3" t="s">
        <v>120</v>
      </c>
      <c r="G80" s="3">
        <v>1</v>
      </c>
      <c r="H80" s="3">
        <v>0</v>
      </c>
      <c r="I80" s="3">
        <v>1</v>
      </c>
      <c r="J80" s="3">
        <v>0</v>
      </c>
      <c r="K80" s="3">
        <v>0</v>
      </c>
      <c r="L80" s="3">
        <v>0</v>
      </c>
      <c r="M80" s="3">
        <v>0</v>
      </c>
      <c r="N80" s="3" t="s">
        <v>5218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3</v>
      </c>
      <c r="U80" s="3">
        <v>3</v>
      </c>
      <c r="V80" s="3">
        <v>3</v>
      </c>
      <c r="W80" s="3" t="s">
        <v>5219</v>
      </c>
      <c r="X80" s="3">
        <v>15</v>
      </c>
      <c r="Y80" s="3">
        <v>15</v>
      </c>
      <c r="Z80" s="3">
        <v>15</v>
      </c>
      <c r="AA80" s="3">
        <v>0</v>
      </c>
      <c r="AB80" s="3" t="s">
        <v>5220</v>
      </c>
      <c r="AC80" s="3">
        <v>1</v>
      </c>
      <c r="AD80" s="3">
        <v>15</v>
      </c>
      <c r="AE80" s="3">
        <v>0</v>
      </c>
      <c r="AF80" s="3">
        <v>0</v>
      </c>
      <c r="AG80" s="3">
        <v>0</v>
      </c>
      <c r="AH80" s="3">
        <v>1.2</v>
      </c>
      <c r="AI80" s="3" t="s">
        <v>5267</v>
      </c>
      <c r="AJ80" s="3" t="s">
        <v>5242</v>
      </c>
    </row>
    <row r="81" spans="1:36">
      <c r="A81" s="5">
        <v>43288</v>
      </c>
      <c r="B81" s="3" t="s">
        <v>5010</v>
      </c>
      <c r="C81" s="3" t="s">
        <v>5011</v>
      </c>
      <c r="D81" s="3" t="s">
        <v>5011</v>
      </c>
      <c r="E81" s="3" t="s">
        <v>5012</v>
      </c>
      <c r="F81" s="3" t="s">
        <v>120</v>
      </c>
      <c r="G81" s="3">
        <v>3</v>
      </c>
      <c r="H81" s="3">
        <v>0</v>
      </c>
      <c r="I81" s="3">
        <v>0</v>
      </c>
      <c r="J81" s="3">
        <v>0</v>
      </c>
      <c r="K81" s="3">
        <v>3</v>
      </c>
      <c r="L81" s="3">
        <v>0</v>
      </c>
      <c r="M81" s="3">
        <v>0</v>
      </c>
      <c r="N81" s="3" t="s">
        <v>5218</v>
      </c>
      <c r="O81" s="3">
        <v>3</v>
      </c>
      <c r="P81" s="3">
        <v>1.86</v>
      </c>
      <c r="Q81" s="3">
        <v>0</v>
      </c>
      <c r="R81" s="3">
        <v>0</v>
      </c>
      <c r="S81" s="3">
        <v>0</v>
      </c>
      <c r="T81" s="3">
        <v>0</v>
      </c>
      <c r="U81" s="3">
        <v>0</v>
      </c>
      <c r="V81" s="3">
        <v>0</v>
      </c>
      <c r="W81" s="3" t="s">
        <v>5219</v>
      </c>
      <c r="X81" s="3">
        <v>15</v>
      </c>
      <c r="Y81" s="3">
        <v>15</v>
      </c>
      <c r="Z81" s="3">
        <v>15</v>
      </c>
      <c r="AA81" s="3">
        <v>0</v>
      </c>
      <c r="AB81" s="3" t="s">
        <v>5223</v>
      </c>
      <c r="AC81" s="3">
        <v>0</v>
      </c>
      <c r="AD81" s="3">
        <v>15</v>
      </c>
      <c r="AE81" s="3">
        <v>63</v>
      </c>
      <c r="AF81" s="3">
        <v>0</v>
      </c>
      <c r="AG81" s="3">
        <v>24.371337</v>
      </c>
      <c r="AH81" s="3">
        <v>0</v>
      </c>
      <c r="AI81" s="3" t="s">
        <v>5267</v>
      </c>
      <c r="AJ81" s="3" t="s">
        <v>5242</v>
      </c>
    </row>
    <row r="82" spans="1:36">
      <c r="A82" s="5">
        <v>43288</v>
      </c>
      <c r="B82" s="3" t="s">
        <v>2679</v>
      </c>
      <c r="C82" s="3" t="s">
        <v>2680</v>
      </c>
      <c r="D82" s="3" t="s">
        <v>2680</v>
      </c>
      <c r="E82" s="3" t="s">
        <v>2681</v>
      </c>
      <c r="F82" s="3" t="s">
        <v>120</v>
      </c>
      <c r="G82" s="3">
        <v>13</v>
      </c>
      <c r="H82" s="3">
        <v>0</v>
      </c>
      <c r="I82" s="3">
        <v>0</v>
      </c>
      <c r="J82" s="3">
        <v>0</v>
      </c>
      <c r="K82" s="3">
        <v>13</v>
      </c>
      <c r="L82" s="3">
        <v>0</v>
      </c>
      <c r="M82" s="3">
        <v>0</v>
      </c>
      <c r="N82" s="3" t="s">
        <v>5218</v>
      </c>
      <c r="O82" s="3">
        <v>13</v>
      </c>
      <c r="P82" s="3">
        <v>31.23</v>
      </c>
      <c r="Q82" s="3">
        <v>0</v>
      </c>
      <c r="R82" s="3">
        <v>0</v>
      </c>
      <c r="S82" s="3">
        <v>0</v>
      </c>
      <c r="T82" s="3">
        <v>2</v>
      </c>
      <c r="U82" s="3">
        <v>4</v>
      </c>
      <c r="V82" s="3">
        <v>4</v>
      </c>
      <c r="W82" s="3"/>
      <c r="X82" s="3">
        <v>19.47</v>
      </c>
      <c r="Y82" s="3">
        <v>19.47</v>
      </c>
      <c r="Z82" s="3">
        <v>19.47</v>
      </c>
      <c r="AA82" s="3">
        <v>0</v>
      </c>
      <c r="AB82" s="3" t="s">
        <v>5228</v>
      </c>
      <c r="AC82" s="3">
        <v>6</v>
      </c>
      <c r="AD82" s="3">
        <v>14.56</v>
      </c>
      <c r="AE82" s="3">
        <v>49</v>
      </c>
      <c r="AF82" s="3">
        <v>0</v>
      </c>
      <c r="AG82" s="3">
        <v>22.310492</v>
      </c>
      <c r="AH82" s="3">
        <v>0.258064516129032</v>
      </c>
      <c r="AI82" s="3" t="s">
        <v>5237</v>
      </c>
      <c r="AJ82" s="3" t="s">
        <v>5222</v>
      </c>
    </row>
    <row r="83" spans="1:36">
      <c r="A83" s="5">
        <v>43288</v>
      </c>
      <c r="B83" s="3" t="s">
        <v>503</v>
      </c>
      <c r="C83" s="3" t="s">
        <v>352</v>
      </c>
      <c r="D83" s="3" t="s">
        <v>352</v>
      </c>
      <c r="E83" s="3" t="s">
        <v>315</v>
      </c>
      <c r="F83" s="3" t="s">
        <v>120</v>
      </c>
      <c r="G83" s="3">
        <v>2</v>
      </c>
      <c r="H83" s="3">
        <v>0</v>
      </c>
      <c r="I83" s="3">
        <v>0</v>
      </c>
      <c r="J83" s="3">
        <v>2</v>
      </c>
      <c r="K83" s="3">
        <v>0</v>
      </c>
      <c r="L83" s="3">
        <v>0</v>
      </c>
      <c r="M83" s="3">
        <v>0</v>
      </c>
      <c r="N83" s="3" t="s">
        <v>5218</v>
      </c>
      <c r="O83" s="3">
        <v>2</v>
      </c>
      <c r="P83" s="3">
        <v>1.37</v>
      </c>
      <c r="Q83" s="3">
        <v>0</v>
      </c>
      <c r="R83" s="3">
        <v>0</v>
      </c>
      <c r="S83" s="3">
        <v>0</v>
      </c>
      <c r="T83" s="3">
        <v>1</v>
      </c>
      <c r="U83" s="3">
        <v>2</v>
      </c>
      <c r="V83" s="3">
        <v>2</v>
      </c>
      <c r="W83" s="3"/>
      <c r="X83" s="3">
        <v>26.98</v>
      </c>
      <c r="Y83" s="3">
        <v>26.98</v>
      </c>
      <c r="Z83" s="3">
        <v>26.98</v>
      </c>
      <c r="AA83" s="3">
        <v>0</v>
      </c>
      <c r="AB83" s="3" t="s">
        <v>5223</v>
      </c>
      <c r="AC83" s="3">
        <v>2</v>
      </c>
      <c r="AD83" s="3">
        <v>26.98</v>
      </c>
      <c r="AE83" s="3">
        <v>0</v>
      </c>
      <c r="AF83" s="3">
        <v>0</v>
      </c>
      <c r="AG83" s="3">
        <v>0</v>
      </c>
      <c r="AH83" s="3">
        <v>0.333333333333333</v>
      </c>
      <c r="AI83" s="3" t="s">
        <v>5224</v>
      </c>
      <c r="AJ83" s="3" t="s">
        <v>5222</v>
      </c>
    </row>
    <row r="84" spans="1:36">
      <c r="A84" s="5">
        <v>43288</v>
      </c>
      <c r="B84" s="3" t="s">
        <v>1152</v>
      </c>
      <c r="C84" s="3" t="s">
        <v>1153</v>
      </c>
      <c r="D84" s="3" t="s">
        <v>1154</v>
      </c>
      <c r="E84" s="3" t="s">
        <v>1155</v>
      </c>
      <c r="F84" s="3" t="s">
        <v>120</v>
      </c>
      <c r="G84" s="3">
        <v>40</v>
      </c>
      <c r="H84" s="3">
        <v>0</v>
      </c>
      <c r="I84" s="3">
        <v>40</v>
      </c>
      <c r="J84" s="3">
        <v>0</v>
      </c>
      <c r="K84" s="3">
        <v>0</v>
      </c>
      <c r="L84" s="3">
        <v>0</v>
      </c>
      <c r="M84" s="3">
        <v>0</v>
      </c>
      <c r="N84" s="3" t="s">
        <v>5218</v>
      </c>
      <c r="O84" s="3">
        <v>0</v>
      </c>
      <c r="P84" s="3">
        <v>0</v>
      </c>
      <c r="Q84" s="3">
        <v>0</v>
      </c>
      <c r="R84" s="3">
        <v>0</v>
      </c>
      <c r="S84" s="3">
        <v>0</v>
      </c>
      <c r="T84" s="3">
        <v>0</v>
      </c>
      <c r="U84" s="3">
        <v>0</v>
      </c>
      <c r="V84" s="3">
        <v>0</v>
      </c>
      <c r="W84" s="3" t="s">
        <v>5227</v>
      </c>
      <c r="X84" s="3">
        <v>22.98</v>
      </c>
      <c r="Y84" s="3">
        <v>22.98</v>
      </c>
      <c r="Z84" s="3">
        <v>22.98</v>
      </c>
      <c r="AA84" s="3">
        <v>0</v>
      </c>
      <c r="AB84" s="3" t="s">
        <v>5223</v>
      </c>
      <c r="AC84" s="3">
        <v>40</v>
      </c>
      <c r="AD84" s="3">
        <v>22.98</v>
      </c>
      <c r="AE84" s="3">
        <v>0</v>
      </c>
      <c r="AF84" s="3">
        <v>0</v>
      </c>
      <c r="AG84" s="3">
        <v>0</v>
      </c>
      <c r="AH84" s="3">
        <v>2.22222222222222</v>
      </c>
      <c r="AI84" s="3" t="s">
        <v>5238</v>
      </c>
      <c r="AJ84" s="3" t="s">
        <v>5222</v>
      </c>
    </row>
    <row r="85" spans="1:36">
      <c r="A85" s="5">
        <v>43288</v>
      </c>
      <c r="B85" s="3" t="s">
        <v>2861</v>
      </c>
      <c r="C85" s="3" t="s">
        <v>2862</v>
      </c>
      <c r="D85" s="3" t="s">
        <v>2862</v>
      </c>
      <c r="E85" s="3" t="s">
        <v>2863</v>
      </c>
      <c r="F85" s="3" t="s">
        <v>120</v>
      </c>
      <c r="G85" s="3">
        <v>5</v>
      </c>
      <c r="H85" s="3">
        <v>0</v>
      </c>
      <c r="I85" s="3">
        <v>0</v>
      </c>
      <c r="J85" s="3">
        <v>5</v>
      </c>
      <c r="K85" s="3">
        <v>0</v>
      </c>
      <c r="L85" s="3">
        <v>0</v>
      </c>
      <c r="M85" s="3">
        <v>0</v>
      </c>
      <c r="N85" s="3" t="s">
        <v>5218</v>
      </c>
      <c r="O85" s="3">
        <v>5</v>
      </c>
      <c r="P85" s="3">
        <v>9.28</v>
      </c>
      <c r="Q85" s="3">
        <v>0</v>
      </c>
      <c r="R85" s="3">
        <v>0</v>
      </c>
      <c r="S85" s="3">
        <v>0</v>
      </c>
      <c r="T85" s="3">
        <v>0</v>
      </c>
      <c r="U85" s="3">
        <v>0</v>
      </c>
      <c r="V85" s="3">
        <v>0</v>
      </c>
      <c r="W85" s="3" t="s">
        <v>5227</v>
      </c>
      <c r="X85" s="3">
        <v>39.98</v>
      </c>
      <c r="Y85" s="3">
        <v>23.98</v>
      </c>
      <c r="Z85" s="3">
        <v>23.98</v>
      </c>
      <c r="AA85" s="3">
        <v>0</v>
      </c>
      <c r="AB85" s="3" t="s">
        <v>5228</v>
      </c>
      <c r="AC85" s="3">
        <v>0</v>
      </c>
      <c r="AD85" s="3">
        <v>19.18</v>
      </c>
      <c r="AE85" s="3">
        <v>63</v>
      </c>
      <c r="AF85" s="3">
        <v>0</v>
      </c>
      <c r="AG85" s="3">
        <v>114.709775</v>
      </c>
      <c r="AH85" s="3">
        <v>0</v>
      </c>
      <c r="AI85" s="3" t="s">
        <v>5254</v>
      </c>
      <c r="AJ85" s="3" t="s">
        <v>5222</v>
      </c>
    </row>
    <row r="86" spans="1:36">
      <c r="A86" s="5">
        <v>43288</v>
      </c>
      <c r="B86" s="3" t="s">
        <v>2858</v>
      </c>
      <c r="C86" s="3" t="s">
        <v>2859</v>
      </c>
      <c r="D86" s="3" t="s">
        <v>2859</v>
      </c>
      <c r="E86" s="3" t="s">
        <v>2860</v>
      </c>
      <c r="F86" s="3" t="s">
        <v>120</v>
      </c>
      <c r="G86" s="3">
        <v>14</v>
      </c>
      <c r="H86" s="3">
        <v>0</v>
      </c>
      <c r="I86" s="3">
        <v>1</v>
      </c>
      <c r="J86" s="3">
        <v>13</v>
      </c>
      <c r="K86" s="3">
        <v>0</v>
      </c>
      <c r="L86" s="3">
        <v>0</v>
      </c>
      <c r="M86" s="3">
        <v>0</v>
      </c>
      <c r="N86" s="3" t="s">
        <v>5218</v>
      </c>
      <c r="O86" s="3">
        <v>12</v>
      </c>
      <c r="P86" s="3">
        <v>15.57</v>
      </c>
      <c r="Q86" s="3">
        <v>0</v>
      </c>
      <c r="R86" s="3">
        <v>0</v>
      </c>
      <c r="S86" s="3">
        <v>0</v>
      </c>
      <c r="T86" s="3">
        <v>2</v>
      </c>
      <c r="U86" s="3">
        <v>4</v>
      </c>
      <c r="V86" s="3">
        <v>6</v>
      </c>
      <c r="W86" s="3"/>
      <c r="X86" s="3">
        <v>23.98</v>
      </c>
      <c r="Y86" s="3">
        <v>23.98</v>
      </c>
      <c r="Z86" s="3">
        <v>23.98</v>
      </c>
      <c r="AA86" s="3">
        <v>0</v>
      </c>
      <c r="AB86" s="3" t="s">
        <v>5223</v>
      </c>
      <c r="AC86" s="3">
        <v>14</v>
      </c>
      <c r="AD86" s="3">
        <v>23.98</v>
      </c>
      <c r="AE86" s="3">
        <v>0</v>
      </c>
      <c r="AF86" s="3">
        <v>0</v>
      </c>
      <c r="AG86" s="3">
        <v>0</v>
      </c>
      <c r="AH86" s="3">
        <v>0.35820895522388</v>
      </c>
      <c r="AI86" s="3" t="s">
        <v>5229</v>
      </c>
      <c r="AJ86" s="3" t="s">
        <v>5222</v>
      </c>
    </row>
    <row r="87" spans="1:36">
      <c r="A87" s="5">
        <v>43288</v>
      </c>
      <c r="B87" s="3" t="s">
        <v>2492</v>
      </c>
      <c r="C87" s="3" t="s">
        <v>2493</v>
      </c>
      <c r="D87" s="3" t="s">
        <v>2493</v>
      </c>
      <c r="E87" s="3" t="s">
        <v>2494</v>
      </c>
      <c r="F87" s="3" t="s">
        <v>120</v>
      </c>
      <c r="G87" s="3">
        <v>19</v>
      </c>
      <c r="H87" s="3">
        <v>0</v>
      </c>
      <c r="I87" s="3">
        <v>0</v>
      </c>
      <c r="J87" s="3">
        <v>19</v>
      </c>
      <c r="K87" s="3">
        <v>0</v>
      </c>
      <c r="L87" s="3">
        <v>0</v>
      </c>
      <c r="M87" s="3">
        <v>0</v>
      </c>
      <c r="N87" s="3" t="s">
        <v>5218</v>
      </c>
      <c r="O87" s="3">
        <v>0</v>
      </c>
      <c r="P87" s="3">
        <v>0</v>
      </c>
      <c r="Q87" s="3">
        <v>0</v>
      </c>
      <c r="R87" s="3">
        <v>0</v>
      </c>
      <c r="S87" s="3">
        <v>0</v>
      </c>
      <c r="T87" s="3">
        <v>0</v>
      </c>
      <c r="U87" s="3">
        <v>3</v>
      </c>
      <c r="V87" s="3">
        <v>4</v>
      </c>
      <c r="W87" s="3" t="s">
        <v>5227</v>
      </c>
      <c r="X87" s="3">
        <v>24.98</v>
      </c>
      <c r="Y87" s="3">
        <v>24.98</v>
      </c>
      <c r="Z87" s="3">
        <v>24.98</v>
      </c>
      <c r="AA87" s="3">
        <v>0</v>
      </c>
      <c r="AB87" s="3" t="s">
        <v>5228</v>
      </c>
      <c r="AC87" s="3">
        <v>0</v>
      </c>
      <c r="AD87" s="3">
        <v>21.07</v>
      </c>
      <c r="AE87" s="3">
        <v>287</v>
      </c>
      <c r="AF87" s="3">
        <v>0</v>
      </c>
      <c r="AG87" s="3">
        <v>570.298694</v>
      </c>
      <c r="AH87" s="3">
        <v>0.192771084337349</v>
      </c>
      <c r="AI87" s="3" t="s">
        <v>5230</v>
      </c>
      <c r="AJ87" s="3" t="s">
        <v>5222</v>
      </c>
    </row>
    <row r="88" spans="1:36">
      <c r="A88" s="5">
        <v>43288</v>
      </c>
      <c r="B88" s="3" t="s">
        <v>2806</v>
      </c>
      <c r="C88" s="3" t="s">
        <v>2807</v>
      </c>
      <c r="D88" s="3" t="s">
        <v>2808</v>
      </c>
      <c r="E88" s="3" t="s">
        <v>1501</v>
      </c>
      <c r="F88" s="3" t="s">
        <v>120</v>
      </c>
      <c r="G88" s="3">
        <v>23</v>
      </c>
      <c r="H88" s="3">
        <v>0</v>
      </c>
      <c r="I88" s="3">
        <v>1</v>
      </c>
      <c r="J88" s="3">
        <v>22</v>
      </c>
      <c r="K88" s="3">
        <v>0</v>
      </c>
      <c r="L88" s="3">
        <v>0</v>
      </c>
      <c r="M88" s="3">
        <v>0</v>
      </c>
      <c r="N88" s="3" t="s">
        <v>5218</v>
      </c>
      <c r="O88" s="3">
        <v>0</v>
      </c>
      <c r="P88" s="3">
        <v>0</v>
      </c>
      <c r="Q88" s="3">
        <v>0</v>
      </c>
      <c r="R88" s="3">
        <v>0</v>
      </c>
      <c r="S88" s="3">
        <v>3</v>
      </c>
      <c r="T88" s="3">
        <v>5</v>
      </c>
      <c r="U88" s="3">
        <v>6</v>
      </c>
      <c r="V88" s="3">
        <v>14</v>
      </c>
      <c r="W88" s="3"/>
      <c r="X88" s="3">
        <v>22.98</v>
      </c>
      <c r="Y88" s="3">
        <v>22.98</v>
      </c>
      <c r="Z88" s="3">
        <v>22.98</v>
      </c>
      <c r="AA88" s="3">
        <v>0</v>
      </c>
      <c r="AB88" s="3" t="s">
        <v>5228</v>
      </c>
      <c r="AC88" s="3">
        <v>4</v>
      </c>
      <c r="AD88" s="3">
        <v>20.02</v>
      </c>
      <c r="AE88" s="3">
        <v>217</v>
      </c>
      <c r="AF88" s="3">
        <v>0</v>
      </c>
      <c r="AG88" s="3">
        <v>50.295946</v>
      </c>
      <c r="AH88" s="3">
        <v>0.478632478632478</v>
      </c>
      <c r="AI88" s="3" t="s">
        <v>5268</v>
      </c>
      <c r="AJ88" s="3" t="s">
        <v>5222</v>
      </c>
    </row>
    <row r="89" spans="1:36">
      <c r="A89" s="5">
        <v>43288</v>
      </c>
      <c r="B89" s="3" t="s">
        <v>622</v>
      </c>
      <c r="C89" s="3" t="s">
        <v>623</v>
      </c>
      <c r="D89" s="3" t="s">
        <v>623</v>
      </c>
      <c r="E89" s="3" t="s">
        <v>624</v>
      </c>
      <c r="F89" s="3" t="s">
        <v>120</v>
      </c>
      <c r="G89" s="3">
        <v>10</v>
      </c>
      <c r="H89" s="3">
        <v>0</v>
      </c>
      <c r="I89" s="3">
        <v>8</v>
      </c>
      <c r="J89" s="3">
        <v>2</v>
      </c>
      <c r="K89" s="3">
        <v>0</v>
      </c>
      <c r="L89" s="3">
        <v>0</v>
      </c>
      <c r="M89" s="3">
        <v>0</v>
      </c>
      <c r="N89" s="3" t="s">
        <v>5218</v>
      </c>
      <c r="O89" s="3">
        <v>2</v>
      </c>
      <c r="P89" s="3">
        <v>3.8</v>
      </c>
      <c r="Q89" s="3">
        <v>0</v>
      </c>
      <c r="R89" s="3">
        <v>0</v>
      </c>
      <c r="S89" s="3">
        <v>0</v>
      </c>
      <c r="T89" s="3">
        <v>0</v>
      </c>
      <c r="U89" s="3">
        <v>0</v>
      </c>
      <c r="V89" s="3">
        <v>0</v>
      </c>
      <c r="W89" s="3" t="s">
        <v>5227</v>
      </c>
      <c r="X89" s="3">
        <v>24.98</v>
      </c>
      <c r="Y89" s="3">
        <v>24.98</v>
      </c>
      <c r="Z89" s="3">
        <v>24.98</v>
      </c>
      <c r="AA89" s="3">
        <v>0</v>
      </c>
      <c r="AB89" s="3" t="s">
        <v>5228</v>
      </c>
      <c r="AC89" s="3">
        <v>0</v>
      </c>
      <c r="AD89" s="3">
        <v>22.46</v>
      </c>
      <c r="AE89" s="3">
        <v>196</v>
      </c>
      <c r="AF89" s="3">
        <v>0</v>
      </c>
      <c r="AG89" s="3">
        <v>309.695221</v>
      </c>
      <c r="AH89" s="3">
        <v>0</v>
      </c>
      <c r="AI89" s="3" t="s">
        <v>5250</v>
      </c>
      <c r="AJ89" s="3" t="s">
        <v>5222</v>
      </c>
    </row>
    <row r="90" spans="1:36">
      <c r="A90" s="5">
        <v>43288</v>
      </c>
      <c r="B90" s="3" t="s">
        <v>2119</v>
      </c>
      <c r="C90" s="3" t="s">
        <v>2120</v>
      </c>
      <c r="D90" s="3" t="s">
        <v>2120</v>
      </c>
      <c r="E90" s="3" t="s">
        <v>2121</v>
      </c>
      <c r="F90" s="3" t="s">
        <v>120</v>
      </c>
      <c r="G90" s="3">
        <v>25</v>
      </c>
      <c r="H90" s="3">
        <v>0</v>
      </c>
      <c r="I90" s="3">
        <v>25</v>
      </c>
      <c r="J90" s="3">
        <v>0</v>
      </c>
      <c r="K90" s="3">
        <v>0</v>
      </c>
      <c r="L90" s="3">
        <v>0</v>
      </c>
      <c r="M90" s="3">
        <v>0</v>
      </c>
      <c r="N90" s="3" t="s">
        <v>5218</v>
      </c>
      <c r="O90" s="3">
        <v>0</v>
      </c>
      <c r="P90" s="3">
        <v>0</v>
      </c>
      <c r="Q90" s="3">
        <v>0</v>
      </c>
      <c r="R90" s="3">
        <v>0</v>
      </c>
      <c r="S90" s="3">
        <v>1</v>
      </c>
      <c r="T90" s="3">
        <v>11</v>
      </c>
      <c r="U90" s="3">
        <v>30</v>
      </c>
      <c r="V90" s="3">
        <v>43</v>
      </c>
      <c r="W90" s="3"/>
      <c r="X90" s="3">
        <v>23.98</v>
      </c>
      <c r="Y90" s="3">
        <v>23.98</v>
      </c>
      <c r="Z90" s="3">
        <v>23.98</v>
      </c>
      <c r="AA90" s="3">
        <v>0</v>
      </c>
      <c r="AB90" s="3" t="s">
        <v>5223</v>
      </c>
      <c r="AC90" s="3">
        <v>24</v>
      </c>
      <c r="AD90" s="3">
        <v>23.98</v>
      </c>
      <c r="AE90" s="3">
        <v>0</v>
      </c>
      <c r="AF90" s="3">
        <v>0</v>
      </c>
      <c r="AG90" s="3">
        <v>0</v>
      </c>
      <c r="AH90" s="3">
        <v>1.89010989010989</v>
      </c>
      <c r="AI90" s="3" t="s">
        <v>5269</v>
      </c>
      <c r="AJ90" s="3" t="s">
        <v>5222</v>
      </c>
    </row>
    <row r="91" spans="1:36">
      <c r="A91" s="5">
        <v>43288</v>
      </c>
      <c r="B91" s="3" t="s">
        <v>1991</v>
      </c>
      <c r="C91" s="3" t="s">
        <v>158</v>
      </c>
      <c r="D91" s="3" t="s">
        <v>158</v>
      </c>
      <c r="E91" s="3" t="s">
        <v>1992</v>
      </c>
      <c r="F91" s="3" t="s">
        <v>120</v>
      </c>
      <c r="G91" s="3">
        <v>7</v>
      </c>
      <c r="H91" s="3">
        <v>0</v>
      </c>
      <c r="I91" s="3">
        <v>2</v>
      </c>
      <c r="J91" s="3">
        <v>3</v>
      </c>
      <c r="K91" s="3">
        <v>2</v>
      </c>
      <c r="L91" s="3">
        <v>0</v>
      </c>
      <c r="M91" s="3">
        <v>0</v>
      </c>
      <c r="N91" s="3" t="s">
        <v>5218</v>
      </c>
      <c r="O91" s="3">
        <v>3</v>
      </c>
      <c r="P91" s="3">
        <v>5.61</v>
      </c>
      <c r="Q91" s="3">
        <v>0</v>
      </c>
      <c r="R91" s="3">
        <v>0</v>
      </c>
      <c r="S91" s="3">
        <v>18</v>
      </c>
      <c r="T91" s="3">
        <v>19</v>
      </c>
      <c r="U91" s="3">
        <v>24</v>
      </c>
      <c r="V91" s="3">
        <v>27</v>
      </c>
      <c r="W91" s="3"/>
      <c r="X91" s="3">
        <v>18.98</v>
      </c>
      <c r="Y91" s="3">
        <v>18.98</v>
      </c>
      <c r="Z91" s="3">
        <v>18.98</v>
      </c>
      <c r="AA91" s="3">
        <v>0</v>
      </c>
      <c r="AB91" s="3" t="s">
        <v>5228</v>
      </c>
      <c r="AC91" s="3">
        <v>14</v>
      </c>
      <c r="AD91" s="3">
        <v>17.58</v>
      </c>
      <c r="AE91" s="3">
        <v>35</v>
      </c>
      <c r="AF91" s="3">
        <v>3</v>
      </c>
      <c r="AG91" s="3">
        <v>2.329877</v>
      </c>
      <c r="AH91" s="3">
        <v>0.850393700787401</v>
      </c>
      <c r="AI91" s="3" t="s">
        <v>5270</v>
      </c>
      <c r="AJ91" s="3" t="s">
        <v>5222</v>
      </c>
    </row>
    <row r="92" spans="1:36">
      <c r="A92" s="5">
        <v>43288</v>
      </c>
      <c r="B92" s="3" t="s">
        <v>4246</v>
      </c>
      <c r="C92" s="3" t="s">
        <v>4247</v>
      </c>
      <c r="D92" s="3" t="s">
        <v>4247</v>
      </c>
      <c r="E92" s="3" t="s">
        <v>4248</v>
      </c>
      <c r="F92" s="3" t="s">
        <v>120</v>
      </c>
      <c r="G92" s="3">
        <v>18</v>
      </c>
      <c r="H92" s="3">
        <v>0</v>
      </c>
      <c r="I92" s="3">
        <v>18</v>
      </c>
      <c r="J92" s="3">
        <v>0</v>
      </c>
      <c r="K92" s="3">
        <v>0</v>
      </c>
      <c r="L92" s="3">
        <v>0</v>
      </c>
      <c r="M92" s="3">
        <v>0</v>
      </c>
      <c r="N92" s="3" t="s">
        <v>5218</v>
      </c>
      <c r="O92" s="3">
        <v>0</v>
      </c>
      <c r="P92" s="3">
        <v>0</v>
      </c>
      <c r="Q92" s="3">
        <v>0</v>
      </c>
      <c r="R92" s="3">
        <v>0</v>
      </c>
      <c r="S92" s="3">
        <v>0</v>
      </c>
      <c r="T92" s="3">
        <v>2</v>
      </c>
      <c r="U92" s="3">
        <v>4</v>
      </c>
      <c r="V92" s="3">
        <v>7</v>
      </c>
      <c r="W92" s="3"/>
      <c r="X92" s="3">
        <v>23.98</v>
      </c>
      <c r="Y92" s="3">
        <v>23.98</v>
      </c>
      <c r="Z92" s="3">
        <v>23.98</v>
      </c>
      <c r="AA92" s="3">
        <v>0</v>
      </c>
      <c r="AB92" s="3" t="s">
        <v>5223</v>
      </c>
      <c r="AC92" s="3">
        <v>18</v>
      </c>
      <c r="AD92" s="3">
        <v>23.98</v>
      </c>
      <c r="AE92" s="3">
        <v>0</v>
      </c>
      <c r="AF92" s="3">
        <v>0</v>
      </c>
      <c r="AG92" s="3">
        <v>0</v>
      </c>
      <c r="AH92" s="3">
        <v>0.583333333333333</v>
      </c>
      <c r="AI92" s="3" t="s">
        <v>5258</v>
      </c>
      <c r="AJ92" s="3" t="s">
        <v>5222</v>
      </c>
    </row>
    <row r="93" spans="1:36">
      <c r="A93" s="5">
        <v>43288</v>
      </c>
      <c r="B93" s="3" t="s">
        <v>2486</v>
      </c>
      <c r="C93" s="3" t="s">
        <v>2487</v>
      </c>
      <c r="D93" s="3" t="s">
        <v>2487</v>
      </c>
      <c r="E93" s="3" t="s">
        <v>2488</v>
      </c>
      <c r="F93" s="3" t="s">
        <v>120</v>
      </c>
      <c r="G93" s="3">
        <v>15</v>
      </c>
      <c r="H93" s="3">
        <v>0</v>
      </c>
      <c r="I93" s="3">
        <v>0</v>
      </c>
      <c r="J93" s="3">
        <v>10</v>
      </c>
      <c r="K93" s="3">
        <v>5</v>
      </c>
      <c r="L93" s="3">
        <v>0</v>
      </c>
      <c r="M93" s="3">
        <v>0</v>
      </c>
      <c r="N93" s="3" t="s">
        <v>5218</v>
      </c>
      <c r="O93" s="3">
        <v>5</v>
      </c>
      <c r="P93" s="3">
        <v>11.16</v>
      </c>
      <c r="Q93" s="3">
        <v>0</v>
      </c>
      <c r="R93" s="3">
        <v>0</v>
      </c>
      <c r="S93" s="3">
        <v>0</v>
      </c>
      <c r="T93" s="3">
        <v>1</v>
      </c>
      <c r="U93" s="3">
        <v>4</v>
      </c>
      <c r="V93" s="3">
        <v>8</v>
      </c>
      <c r="W93" s="3"/>
      <c r="X93" s="3">
        <v>24.98</v>
      </c>
      <c r="Y93" s="3">
        <v>24.98</v>
      </c>
      <c r="Z93" s="3">
        <v>24.98</v>
      </c>
      <c r="AA93" s="3">
        <v>0</v>
      </c>
      <c r="AB93" s="3" t="s">
        <v>5223</v>
      </c>
      <c r="AC93" s="3">
        <v>15</v>
      </c>
      <c r="AD93" s="3">
        <v>24.98</v>
      </c>
      <c r="AE93" s="3">
        <v>0</v>
      </c>
      <c r="AF93" s="3">
        <v>0</v>
      </c>
      <c r="AG93" s="3">
        <v>0</v>
      </c>
      <c r="AH93" s="3">
        <v>0.438356164383561</v>
      </c>
      <c r="AI93" s="3" t="s">
        <v>5230</v>
      </c>
      <c r="AJ93" s="3" t="s">
        <v>5222</v>
      </c>
    </row>
    <row r="94" spans="1:36">
      <c r="A94" s="5">
        <v>43288</v>
      </c>
      <c r="B94" s="3" t="s">
        <v>4543</v>
      </c>
      <c r="C94" s="3" t="s">
        <v>3879</v>
      </c>
      <c r="D94" s="3" t="s">
        <v>3879</v>
      </c>
      <c r="E94" s="3" t="s">
        <v>3880</v>
      </c>
      <c r="F94" s="3" t="s">
        <v>120</v>
      </c>
      <c r="G94" s="3">
        <v>7</v>
      </c>
      <c r="H94" s="3">
        <v>0</v>
      </c>
      <c r="I94" s="3">
        <v>7</v>
      </c>
      <c r="J94" s="3">
        <v>0</v>
      </c>
      <c r="K94" s="3">
        <v>0</v>
      </c>
      <c r="L94" s="3">
        <v>0</v>
      </c>
      <c r="M94" s="3">
        <v>0</v>
      </c>
      <c r="N94" s="3" t="s">
        <v>5218</v>
      </c>
      <c r="O94" s="3">
        <v>0</v>
      </c>
      <c r="P94" s="3">
        <v>0</v>
      </c>
      <c r="Q94" s="3">
        <v>0</v>
      </c>
      <c r="R94" s="3">
        <v>0</v>
      </c>
      <c r="S94" s="3">
        <v>0</v>
      </c>
      <c r="T94" s="3">
        <v>5</v>
      </c>
      <c r="U94" s="3">
        <v>11</v>
      </c>
      <c r="V94" s="3">
        <v>13</v>
      </c>
      <c r="W94" s="3"/>
      <c r="X94" s="3">
        <v>26.98</v>
      </c>
      <c r="Y94" s="3">
        <v>26.98</v>
      </c>
      <c r="Z94" s="3">
        <v>26.98</v>
      </c>
      <c r="AA94" s="3">
        <v>0</v>
      </c>
      <c r="AB94" s="3" t="s">
        <v>5223</v>
      </c>
      <c r="AC94" s="3">
        <v>7</v>
      </c>
      <c r="AD94" s="3">
        <v>26.98</v>
      </c>
      <c r="AE94" s="3">
        <v>0</v>
      </c>
      <c r="AF94" s="3">
        <v>0</v>
      </c>
      <c r="AG94" s="3">
        <v>0</v>
      </c>
      <c r="AH94" s="3">
        <v>1.44444444444444</v>
      </c>
      <c r="AI94" s="3" t="s">
        <v>5249</v>
      </c>
      <c r="AJ94" s="3" t="s">
        <v>5222</v>
      </c>
    </row>
    <row r="95" spans="1:36">
      <c r="A95" s="5">
        <v>43288</v>
      </c>
      <c r="B95" s="3" t="s">
        <v>2373</v>
      </c>
      <c r="C95" s="3" t="s">
        <v>2374</v>
      </c>
      <c r="D95" s="3" t="s">
        <v>2374</v>
      </c>
      <c r="E95" s="3" t="s">
        <v>2375</v>
      </c>
      <c r="F95" s="3" t="s">
        <v>120</v>
      </c>
      <c r="G95" s="3">
        <v>13</v>
      </c>
      <c r="H95" s="3">
        <v>0</v>
      </c>
      <c r="I95" s="3">
        <v>12</v>
      </c>
      <c r="J95" s="3">
        <v>1</v>
      </c>
      <c r="K95" s="3">
        <v>0</v>
      </c>
      <c r="L95" s="3">
        <v>0</v>
      </c>
      <c r="M95" s="3">
        <v>0</v>
      </c>
      <c r="N95" s="3" t="s">
        <v>5218</v>
      </c>
      <c r="O95" s="3">
        <v>0</v>
      </c>
      <c r="P95" s="3">
        <v>0</v>
      </c>
      <c r="Q95" s="3">
        <v>0</v>
      </c>
      <c r="R95" s="3">
        <v>0</v>
      </c>
      <c r="S95" s="3">
        <v>0</v>
      </c>
      <c r="T95" s="3">
        <v>2</v>
      </c>
      <c r="U95" s="3">
        <v>4</v>
      </c>
      <c r="V95" s="3">
        <v>5</v>
      </c>
      <c r="W95" s="3"/>
      <c r="X95" s="3">
        <v>22.98</v>
      </c>
      <c r="Y95" s="3">
        <v>22.98</v>
      </c>
      <c r="Z95" s="3">
        <v>22.98</v>
      </c>
      <c r="AA95" s="3">
        <v>0</v>
      </c>
      <c r="AB95" s="3" t="s">
        <v>5223</v>
      </c>
      <c r="AC95" s="3">
        <v>13</v>
      </c>
      <c r="AD95" s="3">
        <v>22.98</v>
      </c>
      <c r="AE95" s="3">
        <v>0</v>
      </c>
      <c r="AF95" s="3">
        <v>0</v>
      </c>
      <c r="AG95" s="3">
        <v>0</v>
      </c>
      <c r="AH95" s="3">
        <v>0.571428571428571</v>
      </c>
      <c r="AI95" s="3" t="s">
        <v>5271</v>
      </c>
      <c r="AJ95" s="3" t="s">
        <v>5222</v>
      </c>
    </row>
    <row r="96" spans="1:36">
      <c r="A96" s="5">
        <v>43288</v>
      </c>
      <c r="B96" s="3" t="s">
        <v>4886</v>
      </c>
      <c r="C96" s="3" t="s">
        <v>4887</v>
      </c>
      <c r="D96" s="3" t="s">
        <v>4887</v>
      </c>
      <c r="E96" s="3" t="s">
        <v>4888</v>
      </c>
      <c r="F96" s="3" t="s">
        <v>120</v>
      </c>
      <c r="G96" s="3">
        <v>5</v>
      </c>
      <c r="H96" s="3">
        <v>0</v>
      </c>
      <c r="I96" s="3">
        <v>0</v>
      </c>
      <c r="J96" s="3">
        <v>0</v>
      </c>
      <c r="K96" s="3">
        <v>5</v>
      </c>
      <c r="L96" s="3">
        <v>0</v>
      </c>
      <c r="M96" s="3">
        <v>0</v>
      </c>
      <c r="N96" s="3" t="s">
        <v>5218</v>
      </c>
      <c r="O96" s="3">
        <v>5</v>
      </c>
      <c r="P96" s="3">
        <v>9.17</v>
      </c>
      <c r="Q96" s="3">
        <v>0</v>
      </c>
      <c r="R96" s="3">
        <v>0</v>
      </c>
      <c r="S96" s="3">
        <v>1</v>
      </c>
      <c r="T96" s="3">
        <v>2</v>
      </c>
      <c r="U96" s="3">
        <v>4</v>
      </c>
      <c r="V96" s="3">
        <v>4</v>
      </c>
      <c r="W96" s="3" t="s">
        <v>5227</v>
      </c>
      <c r="X96" s="3">
        <v>10</v>
      </c>
      <c r="Y96" s="3">
        <v>10</v>
      </c>
      <c r="Z96" s="3">
        <v>10</v>
      </c>
      <c r="AA96" s="3">
        <v>0</v>
      </c>
      <c r="AB96" s="3" t="s">
        <v>5228</v>
      </c>
      <c r="AC96" s="3">
        <v>0</v>
      </c>
      <c r="AD96" s="3">
        <v>8</v>
      </c>
      <c r="AE96" s="3">
        <v>63</v>
      </c>
      <c r="AF96" s="3">
        <v>0</v>
      </c>
      <c r="AG96" s="3">
        <v>99.232285</v>
      </c>
      <c r="AH96" s="3">
        <v>0.533333333333333</v>
      </c>
      <c r="AI96" s="3" t="s">
        <v>5272</v>
      </c>
      <c r="AJ96" s="3" t="s">
        <v>5222</v>
      </c>
    </row>
    <row r="97" spans="1:36">
      <c r="A97" s="5">
        <v>43288</v>
      </c>
      <c r="B97" s="3" t="s">
        <v>2555</v>
      </c>
      <c r="C97" s="3" t="s">
        <v>2556</v>
      </c>
      <c r="D97" s="3" t="s">
        <v>2556</v>
      </c>
      <c r="E97" s="3" t="s">
        <v>2557</v>
      </c>
      <c r="F97" s="3" t="s">
        <v>120</v>
      </c>
      <c r="G97" s="3">
        <v>21</v>
      </c>
      <c r="H97" s="3">
        <v>0</v>
      </c>
      <c r="I97" s="3">
        <v>9</v>
      </c>
      <c r="J97" s="3">
        <v>12</v>
      </c>
      <c r="K97" s="3">
        <v>0</v>
      </c>
      <c r="L97" s="3">
        <v>0</v>
      </c>
      <c r="M97" s="3">
        <v>0</v>
      </c>
      <c r="N97" s="3" t="s">
        <v>5218</v>
      </c>
      <c r="O97" s="3">
        <v>0</v>
      </c>
      <c r="P97" s="3">
        <v>0</v>
      </c>
      <c r="Q97" s="3">
        <v>0</v>
      </c>
      <c r="R97" s="3">
        <v>0</v>
      </c>
      <c r="S97" s="3">
        <v>0</v>
      </c>
      <c r="T97" s="3">
        <v>5</v>
      </c>
      <c r="U97" s="3">
        <v>8</v>
      </c>
      <c r="V97" s="3">
        <v>12</v>
      </c>
      <c r="W97" s="3"/>
      <c r="X97" s="3">
        <v>24.98</v>
      </c>
      <c r="Y97" s="3">
        <v>24.98</v>
      </c>
      <c r="Z97" s="3">
        <v>24.98</v>
      </c>
      <c r="AA97" s="3">
        <v>0</v>
      </c>
      <c r="AB97" s="3" t="s">
        <v>5223</v>
      </c>
      <c r="AC97" s="3">
        <v>21</v>
      </c>
      <c r="AD97" s="3">
        <v>24.98</v>
      </c>
      <c r="AE97" s="3">
        <v>0</v>
      </c>
      <c r="AF97" s="3">
        <v>0</v>
      </c>
      <c r="AG97" s="3">
        <v>0</v>
      </c>
      <c r="AH97" s="3">
        <v>0.48</v>
      </c>
      <c r="AI97" s="3" t="s">
        <v>5273</v>
      </c>
      <c r="AJ97" s="3" t="s">
        <v>5222</v>
      </c>
    </row>
    <row r="98" spans="1:36">
      <c r="A98" s="5">
        <v>43288</v>
      </c>
      <c r="B98" s="3" t="s">
        <v>4394</v>
      </c>
      <c r="C98" s="3" t="s">
        <v>3434</v>
      </c>
      <c r="D98" s="3" t="s">
        <v>3434</v>
      </c>
      <c r="E98" s="3" t="s">
        <v>3435</v>
      </c>
      <c r="F98" s="3" t="s">
        <v>120</v>
      </c>
      <c r="G98" s="3">
        <v>14</v>
      </c>
      <c r="H98" s="3">
        <v>0</v>
      </c>
      <c r="I98" s="3">
        <v>0</v>
      </c>
      <c r="J98" s="3">
        <v>3</v>
      </c>
      <c r="K98" s="3">
        <v>11</v>
      </c>
      <c r="L98" s="3">
        <v>0</v>
      </c>
      <c r="M98" s="3">
        <v>0</v>
      </c>
      <c r="N98" s="3" t="s">
        <v>5218</v>
      </c>
      <c r="O98" s="3">
        <v>13</v>
      </c>
      <c r="P98" s="3">
        <v>16.13</v>
      </c>
      <c r="Q98" s="3">
        <v>0</v>
      </c>
      <c r="R98" s="3">
        <v>0</v>
      </c>
      <c r="S98" s="3">
        <v>0</v>
      </c>
      <c r="T98" s="3">
        <v>0</v>
      </c>
      <c r="U98" s="3">
        <v>2</v>
      </c>
      <c r="V98" s="3">
        <v>2</v>
      </c>
      <c r="W98" s="3" t="s">
        <v>5227</v>
      </c>
      <c r="X98" s="3">
        <v>22.98</v>
      </c>
      <c r="Y98" s="3">
        <v>22.98</v>
      </c>
      <c r="Z98" s="3">
        <v>22.98</v>
      </c>
      <c r="AA98" s="3">
        <v>0</v>
      </c>
      <c r="AB98" s="3" t="s">
        <v>5228</v>
      </c>
      <c r="AC98" s="3">
        <v>10</v>
      </c>
      <c r="AD98" s="3">
        <v>20.63</v>
      </c>
      <c r="AE98" s="3">
        <v>105</v>
      </c>
      <c r="AF98" s="3">
        <v>0</v>
      </c>
      <c r="AG98" s="3">
        <v>9.202595</v>
      </c>
      <c r="AH98" s="3">
        <v>0.133333333333333</v>
      </c>
      <c r="AI98" s="3" t="s">
        <v>5274</v>
      </c>
      <c r="AJ98" s="3" t="s">
        <v>5222</v>
      </c>
    </row>
    <row r="99" spans="1:36">
      <c r="A99" s="5">
        <v>43288</v>
      </c>
      <c r="B99" s="3" t="s">
        <v>4264</v>
      </c>
      <c r="C99" s="3" t="s">
        <v>4265</v>
      </c>
      <c r="D99" s="3" t="s">
        <v>4265</v>
      </c>
      <c r="E99" s="3" t="s">
        <v>4266</v>
      </c>
      <c r="F99" s="3" t="s">
        <v>120</v>
      </c>
      <c r="G99" s="3">
        <v>2</v>
      </c>
      <c r="H99" s="3">
        <v>0</v>
      </c>
      <c r="I99" s="3">
        <v>2</v>
      </c>
      <c r="J99" s="3">
        <v>0</v>
      </c>
      <c r="K99" s="3">
        <v>0</v>
      </c>
      <c r="L99" s="3">
        <v>0</v>
      </c>
      <c r="M99" s="3">
        <v>0</v>
      </c>
      <c r="N99" s="3" t="s">
        <v>5218</v>
      </c>
      <c r="O99" s="3">
        <v>0</v>
      </c>
      <c r="P99" s="3">
        <v>0</v>
      </c>
      <c r="Q99" s="3">
        <v>0</v>
      </c>
      <c r="R99" s="3">
        <v>0</v>
      </c>
      <c r="S99" s="3">
        <v>0</v>
      </c>
      <c r="T99" s="3">
        <v>0</v>
      </c>
      <c r="U99" s="3">
        <v>1</v>
      </c>
      <c r="V99" s="3">
        <v>2</v>
      </c>
      <c r="W99" s="3" t="s">
        <v>5227</v>
      </c>
      <c r="X99" s="3">
        <v>23.98</v>
      </c>
      <c r="Y99" s="3">
        <v>23.98</v>
      </c>
      <c r="Z99" s="3">
        <v>23.98</v>
      </c>
      <c r="AA99" s="3">
        <v>0</v>
      </c>
      <c r="AB99" s="3" t="s">
        <v>5228</v>
      </c>
      <c r="AC99" s="3">
        <v>0</v>
      </c>
      <c r="AD99" s="3">
        <v>22.29</v>
      </c>
      <c r="AE99" s="3">
        <v>105</v>
      </c>
      <c r="AF99" s="3">
        <v>0</v>
      </c>
      <c r="AG99" s="3">
        <v>42.043827</v>
      </c>
      <c r="AH99" s="3">
        <v>1</v>
      </c>
      <c r="AI99" s="3" t="s">
        <v>5275</v>
      </c>
      <c r="AJ99" s="3" t="s">
        <v>5222</v>
      </c>
    </row>
    <row r="100" spans="1:36">
      <c r="A100" s="5">
        <v>43288</v>
      </c>
      <c r="B100" s="3" t="s">
        <v>5085</v>
      </c>
      <c r="C100" s="3" t="s">
        <v>4771</v>
      </c>
      <c r="D100" s="3" t="s">
        <v>4771</v>
      </c>
      <c r="E100" s="3" t="s">
        <v>4891</v>
      </c>
      <c r="F100" s="3" t="s">
        <v>120</v>
      </c>
      <c r="G100" s="3">
        <v>32</v>
      </c>
      <c r="H100" s="3">
        <v>0</v>
      </c>
      <c r="I100" s="3">
        <v>32</v>
      </c>
      <c r="J100" s="3">
        <v>0</v>
      </c>
      <c r="K100" s="3">
        <v>0</v>
      </c>
      <c r="L100" s="3">
        <v>0</v>
      </c>
      <c r="M100" s="3">
        <v>0</v>
      </c>
      <c r="N100" s="3" t="s">
        <v>5218</v>
      </c>
      <c r="O100" s="3">
        <v>0</v>
      </c>
      <c r="P100" s="3">
        <v>0</v>
      </c>
      <c r="Q100" s="3">
        <v>0</v>
      </c>
      <c r="R100" s="3">
        <v>0</v>
      </c>
      <c r="S100" s="3">
        <v>0</v>
      </c>
      <c r="T100" s="3">
        <v>1</v>
      </c>
      <c r="U100" s="3">
        <v>1</v>
      </c>
      <c r="V100" s="3">
        <v>4</v>
      </c>
      <c r="W100" s="3"/>
      <c r="X100" s="3">
        <v>22.98</v>
      </c>
      <c r="Y100" s="3">
        <v>22.98</v>
      </c>
      <c r="Z100" s="3">
        <v>22.98</v>
      </c>
      <c r="AA100" s="3">
        <v>0</v>
      </c>
      <c r="AB100" s="3" t="s">
        <v>5228</v>
      </c>
      <c r="AC100" s="3">
        <v>0</v>
      </c>
      <c r="AD100" s="3">
        <v>19.12</v>
      </c>
      <c r="AE100" s="3">
        <v>364</v>
      </c>
      <c r="AF100" s="3">
        <v>0</v>
      </c>
      <c r="AG100" s="3">
        <v>522.017851</v>
      </c>
      <c r="AH100" s="3">
        <v>0.186046511627906</v>
      </c>
      <c r="AI100" s="3" t="s">
        <v>5261</v>
      </c>
      <c r="AJ100" s="3" t="s">
        <v>5222</v>
      </c>
    </row>
    <row r="101" spans="1:36">
      <c r="A101" s="5">
        <v>43288</v>
      </c>
      <c r="B101" s="3" t="s">
        <v>244</v>
      </c>
      <c r="C101" s="3" t="s">
        <v>245</v>
      </c>
      <c r="D101" s="3" t="s">
        <v>245</v>
      </c>
      <c r="E101" s="3" t="s">
        <v>5276</v>
      </c>
      <c r="F101" s="3" t="s">
        <v>120</v>
      </c>
      <c r="G101" s="3">
        <v>1</v>
      </c>
      <c r="H101" s="3">
        <v>0</v>
      </c>
      <c r="I101" s="3">
        <v>1</v>
      </c>
      <c r="J101" s="3">
        <v>0</v>
      </c>
      <c r="K101" s="3">
        <v>0</v>
      </c>
      <c r="L101" s="3">
        <v>0</v>
      </c>
      <c r="M101" s="3">
        <v>0</v>
      </c>
      <c r="N101" s="3" t="s">
        <v>5218</v>
      </c>
      <c r="O101" s="3">
        <v>0</v>
      </c>
      <c r="P101" s="3">
        <v>0</v>
      </c>
      <c r="Q101" s="3">
        <v>0</v>
      </c>
      <c r="R101" s="3">
        <v>0</v>
      </c>
      <c r="S101" s="3">
        <v>0</v>
      </c>
      <c r="T101" s="3">
        <v>0</v>
      </c>
      <c r="U101" s="3">
        <v>0</v>
      </c>
      <c r="V101" s="3">
        <v>0</v>
      </c>
      <c r="W101" s="3"/>
      <c r="X101" s="3"/>
      <c r="Y101" s="3"/>
      <c r="Z101" s="3">
        <v>-1</v>
      </c>
      <c r="AA101" s="3">
        <v>-1</v>
      </c>
      <c r="AB101" s="3" t="s">
        <v>5244</v>
      </c>
      <c r="AC101" s="3">
        <v>0</v>
      </c>
      <c r="AD101" s="3">
        <v>0</v>
      </c>
      <c r="AE101" s="3">
        <v>0</v>
      </c>
      <c r="AF101" s="3">
        <v>0</v>
      </c>
      <c r="AG101" s="3">
        <v>0</v>
      </c>
      <c r="AH101" s="3">
        <v>0</v>
      </c>
      <c r="AI101" s="3" t="s">
        <v>5277</v>
      </c>
      <c r="AJ101" s="3" t="s">
        <v>5242</v>
      </c>
    </row>
    <row r="102" spans="1:36">
      <c r="A102" s="5">
        <v>43288</v>
      </c>
      <c r="B102" s="3" t="s">
        <v>485</v>
      </c>
      <c r="C102" s="3" t="s">
        <v>323</v>
      </c>
      <c r="D102" s="3" t="s">
        <v>323</v>
      </c>
      <c r="E102" s="3" t="s">
        <v>486</v>
      </c>
      <c r="F102" s="3" t="s">
        <v>120</v>
      </c>
      <c r="G102" s="3">
        <v>16</v>
      </c>
      <c r="H102" s="3">
        <v>0</v>
      </c>
      <c r="I102" s="3">
        <v>0</v>
      </c>
      <c r="J102" s="3">
        <v>16</v>
      </c>
      <c r="K102" s="3">
        <v>0</v>
      </c>
      <c r="L102" s="3">
        <v>0</v>
      </c>
      <c r="M102" s="3">
        <v>0</v>
      </c>
      <c r="N102" s="3" t="s">
        <v>5218</v>
      </c>
      <c r="O102" s="3">
        <v>0</v>
      </c>
      <c r="P102" s="3">
        <v>0</v>
      </c>
      <c r="Q102" s="3">
        <v>0</v>
      </c>
      <c r="R102" s="3">
        <v>0</v>
      </c>
      <c r="S102" s="3">
        <v>1</v>
      </c>
      <c r="T102" s="3">
        <v>1</v>
      </c>
      <c r="U102" s="3">
        <v>2</v>
      </c>
      <c r="V102" s="3">
        <v>2</v>
      </c>
      <c r="W102" s="3"/>
      <c r="X102" s="3">
        <v>24.98</v>
      </c>
      <c r="Y102" s="3">
        <v>24.98</v>
      </c>
      <c r="Z102" s="3">
        <v>24.98</v>
      </c>
      <c r="AA102" s="3">
        <v>0</v>
      </c>
      <c r="AB102" s="3" t="s">
        <v>5228</v>
      </c>
      <c r="AC102" s="3">
        <v>0</v>
      </c>
      <c r="AD102" s="3">
        <v>16.74</v>
      </c>
      <c r="AE102" s="3">
        <v>364</v>
      </c>
      <c r="AF102" s="3">
        <v>0</v>
      </c>
      <c r="AG102" s="3">
        <v>178.809471</v>
      </c>
      <c r="AH102" s="3">
        <v>0.115942028985507</v>
      </c>
      <c r="AI102" s="3" t="s">
        <v>5224</v>
      </c>
      <c r="AJ102" s="3" t="s">
        <v>5222</v>
      </c>
    </row>
    <row r="103" spans="1:36">
      <c r="A103" s="5">
        <v>43288</v>
      </c>
      <c r="B103" s="3" t="s">
        <v>2957</v>
      </c>
      <c r="C103" s="3" t="s">
        <v>1420</v>
      </c>
      <c r="D103" s="3" t="s">
        <v>1420</v>
      </c>
      <c r="E103" s="3" t="s">
        <v>1421</v>
      </c>
      <c r="F103" s="3" t="s">
        <v>120</v>
      </c>
      <c r="G103" s="3">
        <v>64</v>
      </c>
      <c r="H103" s="3">
        <v>0</v>
      </c>
      <c r="I103" s="3">
        <v>64</v>
      </c>
      <c r="J103" s="3">
        <v>0</v>
      </c>
      <c r="K103" s="3">
        <v>0</v>
      </c>
      <c r="L103" s="3">
        <v>0</v>
      </c>
      <c r="M103" s="3">
        <v>0</v>
      </c>
      <c r="N103" s="3" t="s">
        <v>5218</v>
      </c>
      <c r="O103" s="3">
        <v>0</v>
      </c>
      <c r="P103" s="3">
        <v>0</v>
      </c>
      <c r="Q103" s="3">
        <v>0</v>
      </c>
      <c r="R103" s="3">
        <v>0</v>
      </c>
      <c r="S103" s="3">
        <v>18</v>
      </c>
      <c r="T103" s="3">
        <v>70</v>
      </c>
      <c r="U103" s="3">
        <v>117</v>
      </c>
      <c r="V103" s="3">
        <v>138</v>
      </c>
      <c r="W103" s="3"/>
      <c r="X103" s="3">
        <v>22.98</v>
      </c>
      <c r="Y103" s="3">
        <v>22.98</v>
      </c>
      <c r="Z103" s="3">
        <v>22.98</v>
      </c>
      <c r="AA103" s="3">
        <v>0</v>
      </c>
      <c r="AB103" s="3" t="s">
        <v>5223</v>
      </c>
      <c r="AC103" s="3">
        <v>53</v>
      </c>
      <c r="AD103" s="3">
        <v>22.98</v>
      </c>
      <c r="AE103" s="3">
        <v>0</v>
      </c>
      <c r="AF103" s="3">
        <v>0</v>
      </c>
      <c r="AG103" s="3">
        <v>0</v>
      </c>
      <c r="AH103" s="3">
        <v>3.42857142857142</v>
      </c>
      <c r="AI103" s="3" t="s">
        <v>5278</v>
      </c>
      <c r="AJ103" s="3" t="s">
        <v>5222</v>
      </c>
    </row>
    <row r="104" spans="1:36">
      <c r="A104" s="5">
        <v>43288</v>
      </c>
      <c r="B104" s="3" t="s">
        <v>4255</v>
      </c>
      <c r="C104" s="3" t="s">
        <v>4256</v>
      </c>
      <c r="D104" s="3" t="s">
        <v>4256</v>
      </c>
      <c r="E104" s="3" t="s">
        <v>4257</v>
      </c>
      <c r="F104" s="3" t="s">
        <v>120</v>
      </c>
      <c r="G104" s="3">
        <v>18</v>
      </c>
      <c r="H104" s="3">
        <v>0</v>
      </c>
      <c r="I104" s="3">
        <v>18</v>
      </c>
      <c r="J104" s="3">
        <v>0</v>
      </c>
      <c r="K104" s="3">
        <v>0</v>
      </c>
      <c r="L104" s="3">
        <v>0</v>
      </c>
      <c r="M104" s="3">
        <v>0</v>
      </c>
      <c r="N104" s="3" t="s">
        <v>5218</v>
      </c>
      <c r="O104" s="3">
        <v>0</v>
      </c>
      <c r="P104" s="3">
        <v>0</v>
      </c>
      <c r="Q104" s="3">
        <v>0</v>
      </c>
      <c r="R104" s="3">
        <v>0</v>
      </c>
      <c r="S104" s="3">
        <v>0</v>
      </c>
      <c r="T104" s="3">
        <v>0</v>
      </c>
      <c r="U104" s="3">
        <v>2</v>
      </c>
      <c r="V104" s="3">
        <v>5</v>
      </c>
      <c r="W104" s="3" t="s">
        <v>5227</v>
      </c>
      <c r="X104" s="3">
        <v>23.98</v>
      </c>
      <c r="Y104" s="3">
        <v>23.98</v>
      </c>
      <c r="Z104" s="3">
        <v>23.98</v>
      </c>
      <c r="AA104" s="3">
        <v>0</v>
      </c>
      <c r="AB104" s="3" t="s">
        <v>5228</v>
      </c>
      <c r="AC104" s="3">
        <v>1</v>
      </c>
      <c r="AD104" s="3">
        <v>20.9</v>
      </c>
      <c r="AE104" s="3">
        <v>217</v>
      </c>
      <c r="AF104" s="3">
        <v>0</v>
      </c>
      <c r="AG104" s="3">
        <v>493.990153</v>
      </c>
      <c r="AH104" s="3">
        <v>0.476190476190476</v>
      </c>
      <c r="AI104" s="3" t="s">
        <v>5258</v>
      </c>
      <c r="AJ104" s="3" t="s">
        <v>5222</v>
      </c>
    </row>
    <row r="105" spans="1:36">
      <c r="A105" s="5">
        <v>43288</v>
      </c>
      <c r="B105" s="3" t="s">
        <v>4568</v>
      </c>
      <c r="C105" s="3" t="s">
        <v>3995</v>
      </c>
      <c r="D105" s="3" t="s">
        <v>3995</v>
      </c>
      <c r="E105" s="3" t="s">
        <v>3996</v>
      </c>
      <c r="F105" s="3" t="s">
        <v>120</v>
      </c>
      <c r="G105" s="3">
        <v>14</v>
      </c>
      <c r="H105" s="3">
        <v>0</v>
      </c>
      <c r="I105" s="3">
        <v>14</v>
      </c>
      <c r="J105" s="3">
        <v>0</v>
      </c>
      <c r="K105" s="3">
        <v>0</v>
      </c>
      <c r="L105" s="3">
        <v>0</v>
      </c>
      <c r="M105" s="3">
        <v>0</v>
      </c>
      <c r="N105" s="3" t="s">
        <v>5218</v>
      </c>
      <c r="O105" s="3">
        <v>0</v>
      </c>
      <c r="P105" s="3">
        <v>0</v>
      </c>
      <c r="Q105" s="3">
        <v>0</v>
      </c>
      <c r="R105" s="3">
        <v>0</v>
      </c>
      <c r="S105" s="3">
        <v>0</v>
      </c>
      <c r="T105" s="3">
        <v>5</v>
      </c>
      <c r="U105" s="3">
        <v>7</v>
      </c>
      <c r="V105" s="3">
        <v>10</v>
      </c>
      <c r="W105" s="3"/>
      <c r="X105" s="3">
        <v>20.98</v>
      </c>
      <c r="Y105" s="3">
        <v>20.98</v>
      </c>
      <c r="Z105" s="3">
        <v>20.98</v>
      </c>
      <c r="AA105" s="3">
        <v>0</v>
      </c>
      <c r="AB105" s="3" t="s">
        <v>5223</v>
      </c>
      <c r="AC105" s="3">
        <v>14</v>
      </c>
      <c r="AD105" s="3">
        <v>20.98</v>
      </c>
      <c r="AE105" s="3">
        <v>0</v>
      </c>
      <c r="AF105" s="3">
        <v>0</v>
      </c>
      <c r="AG105" s="3">
        <v>0</v>
      </c>
      <c r="AH105" s="3">
        <v>1.375</v>
      </c>
      <c r="AI105" s="3" t="s">
        <v>5226</v>
      </c>
      <c r="AJ105" s="3" t="s">
        <v>5222</v>
      </c>
    </row>
    <row r="106" spans="1:36">
      <c r="A106" s="5">
        <v>43288</v>
      </c>
      <c r="B106" s="3" t="s">
        <v>2465</v>
      </c>
      <c r="C106" s="3" t="s">
        <v>2466</v>
      </c>
      <c r="D106" s="3" t="s">
        <v>2466</v>
      </c>
      <c r="E106" s="3" t="s">
        <v>2467</v>
      </c>
      <c r="F106" s="3" t="s">
        <v>120</v>
      </c>
      <c r="G106" s="3">
        <v>27</v>
      </c>
      <c r="H106" s="3">
        <v>0</v>
      </c>
      <c r="I106" s="3">
        <v>12</v>
      </c>
      <c r="J106" s="3">
        <v>15</v>
      </c>
      <c r="K106" s="3">
        <v>0</v>
      </c>
      <c r="L106" s="3">
        <v>0</v>
      </c>
      <c r="M106" s="3">
        <v>0</v>
      </c>
      <c r="N106" s="3" t="s">
        <v>5218</v>
      </c>
      <c r="O106" s="3">
        <v>15</v>
      </c>
      <c r="P106" s="3">
        <v>24.63</v>
      </c>
      <c r="Q106" s="3">
        <v>0</v>
      </c>
      <c r="R106" s="3">
        <v>0</v>
      </c>
      <c r="S106" s="3">
        <v>0</v>
      </c>
      <c r="T106" s="3">
        <v>1</v>
      </c>
      <c r="U106" s="3">
        <v>1</v>
      </c>
      <c r="V106" s="3">
        <v>1</v>
      </c>
      <c r="W106" s="3"/>
      <c r="X106" s="3">
        <v>22.98</v>
      </c>
      <c r="Y106" s="3">
        <v>22.98</v>
      </c>
      <c r="Z106" s="3">
        <v>22</v>
      </c>
      <c r="AA106" s="3">
        <v>0</v>
      </c>
      <c r="AB106" s="3" t="s">
        <v>5228</v>
      </c>
      <c r="AC106" s="3">
        <v>7</v>
      </c>
      <c r="AD106" s="3">
        <v>18.88</v>
      </c>
      <c r="AE106" s="3">
        <v>140</v>
      </c>
      <c r="AF106" s="3">
        <v>0</v>
      </c>
      <c r="AG106" s="3">
        <v>69.471773</v>
      </c>
      <c r="AH106" s="3">
        <v>0.0412371134020618</v>
      </c>
      <c r="AI106" s="3" t="s">
        <v>5240</v>
      </c>
      <c r="AJ106" s="3" t="s">
        <v>5222</v>
      </c>
    </row>
    <row r="107" spans="1:36">
      <c r="A107" s="5">
        <v>43288</v>
      </c>
      <c r="B107" s="3" t="s">
        <v>4180</v>
      </c>
      <c r="C107" s="3" t="s">
        <v>4181</v>
      </c>
      <c r="D107" s="3" t="s">
        <v>4181</v>
      </c>
      <c r="E107" s="3" t="s">
        <v>4182</v>
      </c>
      <c r="F107" s="3" t="s">
        <v>120</v>
      </c>
      <c r="G107" s="3">
        <v>19</v>
      </c>
      <c r="H107" s="3">
        <v>0</v>
      </c>
      <c r="I107" s="3">
        <v>19</v>
      </c>
      <c r="J107" s="3">
        <v>0</v>
      </c>
      <c r="K107" s="3">
        <v>0</v>
      </c>
      <c r="L107" s="3">
        <v>0</v>
      </c>
      <c r="M107" s="3">
        <v>0</v>
      </c>
      <c r="N107" s="3" t="s">
        <v>5218</v>
      </c>
      <c r="O107" s="3">
        <v>0</v>
      </c>
      <c r="P107" s="3">
        <v>0</v>
      </c>
      <c r="Q107" s="3">
        <v>0</v>
      </c>
      <c r="R107" s="3">
        <v>0</v>
      </c>
      <c r="S107" s="3">
        <v>0</v>
      </c>
      <c r="T107" s="3">
        <v>11</v>
      </c>
      <c r="U107" s="3">
        <v>18</v>
      </c>
      <c r="V107" s="3">
        <v>22</v>
      </c>
      <c r="W107" s="3"/>
      <c r="X107" s="3">
        <v>22.98</v>
      </c>
      <c r="Y107" s="3">
        <v>22.98</v>
      </c>
      <c r="Z107" s="3">
        <v>22.98</v>
      </c>
      <c r="AA107" s="3">
        <v>0</v>
      </c>
      <c r="AB107" s="3" t="s">
        <v>5223</v>
      </c>
      <c r="AC107" s="3">
        <v>19</v>
      </c>
      <c r="AD107" s="3">
        <v>22.98</v>
      </c>
      <c r="AE107" s="3">
        <v>0</v>
      </c>
      <c r="AF107" s="3">
        <v>0</v>
      </c>
      <c r="AG107" s="3">
        <v>0</v>
      </c>
      <c r="AH107" s="3">
        <v>2.3</v>
      </c>
      <c r="AI107" s="3" t="s">
        <v>5226</v>
      </c>
      <c r="AJ107" s="3" t="s">
        <v>5222</v>
      </c>
    </row>
    <row r="108" spans="1:36">
      <c r="A108" s="5">
        <v>43288</v>
      </c>
      <c r="B108" s="3" t="s">
        <v>1426</v>
      </c>
      <c r="C108" s="3" t="s">
        <v>1427</v>
      </c>
      <c r="D108" s="3" t="s">
        <v>1428</v>
      </c>
      <c r="E108" s="3" t="s">
        <v>1429</v>
      </c>
      <c r="F108" s="3" t="s">
        <v>120</v>
      </c>
      <c r="G108" s="3">
        <v>51</v>
      </c>
      <c r="H108" s="3">
        <v>0</v>
      </c>
      <c r="I108" s="3">
        <v>51</v>
      </c>
      <c r="J108" s="3">
        <v>0</v>
      </c>
      <c r="K108" s="3">
        <v>0</v>
      </c>
      <c r="L108" s="3">
        <v>0</v>
      </c>
      <c r="M108" s="3">
        <v>0</v>
      </c>
      <c r="N108" s="3" t="s">
        <v>5218</v>
      </c>
      <c r="O108" s="3">
        <v>0</v>
      </c>
      <c r="P108" s="3">
        <v>0</v>
      </c>
      <c r="Q108" s="3">
        <v>0</v>
      </c>
      <c r="R108" s="3">
        <v>0</v>
      </c>
      <c r="S108" s="3">
        <v>3</v>
      </c>
      <c r="T108" s="3">
        <v>3</v>
      </c>
      <c r="U108" s="3">
        <v>3</v>
      </c>
      <c r="V108" s="3">
        <v>3</v>
      </c>
      <c r="W108" s="3"/>
      <c r="X108" s="3">
        <v>23.98</v>
      </c>
      <c r="Y108" s="3">
        <v>23.98</v>
      </c>
      <c r="Z108" s="3">
        <v>23.98</v>
      </c>
      <c r="AA108" s="3">
        <v>0</v>
      </c>
      <c r="AB108" s="3" t="s">
        <v>5223</v>
      </c>
      <c r="AC108" s="3">
        <v>0</v>
      </c>
      <c r="AD108" s="3">
        <v>0</v>
      </c>
      <c r="AE108" s="3">
        <v>0</v>
      </c>
      <c r="AF108" s="3">
        <v>0</v>
      </c>
      <c r="AG108" s="3">
        <v>0</v>
      </c>
      <c r="AH108" s="3">
        <v>9.19402985074626</v>
      </c>
      <c r="AI108" s="3" t="s">
        <v>5236</v>
      </c>
      <c r="AJ108" s="3" t="s">
        <v>5222</v>
      </c>
    </row>
    <row r="109" spans="1:36">
      <c r="A109" s="5">
        <v>43288</v>
      </c>
      <c r="B109" s="3" t="s">
        <v>2543</v>
      </c>
      <c r="C109" s="3" t="s">
        <v>2544</v>
      </c>
      <c r="D109" s="3" t="s">
        <v>2544</v>
      </c>
      <c r="E109" s="3" t="s">
        <v>2545</v>
      </c>
      <c r="F109" s="3" t="s">
        <v>120</v>
      </c>
      <c r="G109" s="3">
        <v>7</v>
      </c>
      <c r="H109" s="3">
        <v>0</v>
      </c>
      <c r="I109" s="3">
        <v>1</v>
      </c>
      <c r="J109" s="3">
        <v>3</v>
      </c>
      <c r="K109" s="3">
        <v>3</v>
      </c>
      <c r="L109" s="3">
        <v>0</v>
      </c>
      <c r="M109" s="3">
        <v>0</v>
      </c>
      <c r="N109" s="3" t="s">
        <v>5218</v>
      </c>
      <c r="O109" s="3">
        <v>5</v>
      </c>
      <c r="P109" s="3">
        <v>11.16</v>
      </c>
      <c r="Q109" s="3">
        <v>0</v>
      </c>
      <c r="R109" s="3">
        <v>0</v>
      </c>
      <c r="S109" s="3">
        <v>0</v>
      </c>
      <c r="T109" s="3">
        <v>2</v>
      </c>
      <c r="U109" s="3">
        <v>3</v>
      </c>
      <c r="V109" s="3">
        <v>4</v>
      </c>
      <c r="W109" s="3"/>
      <c r="X109" s="3">
        <v>24.98</v>
      </c>
      <c r="Y109" s="3">
        <v>24.98</v>
      </c>
      <c r="Z109" s="3">
        <v>24.98</v>
      </c>
      <c r="AA109" s="3">
        <v>0</v>
      </c>
      <c r="AB109" s="3" t="s">
        <v>5228</v>
      </c>
      <c r="AC109" s="3">
        <v>5</v>
      </c>
      <c r="AD109" s="3">
        <v>23.11</v>
      </c>
      <c r="AE109" s="3">
        <v>35</v>
      </c>
      <c r="AF109" s="3">
        <v>0</v>
      </c>
      <c r="AG109" s="3">
        <v>0.675857</v>
      </c>
      <c r="AH109" s="3">
        <v>0.444444444444444</v>
      </c>
      <c r="AI109" s="3" t="s">
        <v>5230</v>
      </c>
      <c r="AJ109" s="3" t="s">
        <v>5222</v>
      </c>
    </row>
    <row r="110" spans="1:36">
      <c r="A110" s="5">
        <v>43288</v>
      </c>
      <c r="B110" s="3" t="s">
        <v>4125</v>
      </c>
      <c r="C110" s="3" t="s">
        <v>4126</v>
      </c>
      <c r="D110" s="3" t="s">
        <v>4126</v>
      </c>
      <c r="E110" s="3" t="s">
        <v>4127</v>
      </c>
      <c r="F110" s="3" t="s">
        <v>120</v>
      </c>
      <c r="G110" s="3">
        <v>7</v>
      </c>
      <c r="H110" s="3">
        <v>0</v>
      </c>
      <c r="I110" s="3">
        <v>7</v>
      </c>
      <c r="J110" s="3">
        <v>0</v>
      </c>
      <c r="K110" s="3">
        <v>0</v>
      </c>
      <c r="L110" s="3">
        <v>0</v>
      </c>
      <c r="M110" s="3">
        <v>0</v>
      </c>
      <c r="N110" s="3" t="s">
        <v>5218</v>
      </c>
      <c r="O110" s="3">
        <v>0</v>
      </c>
      <c r="P110" s="3">
        <v>0</v>
      </c>
      <c r="Q110" s="3">
        <v>0</v>
      </c>
      <c r="R110" s="3">
        <v>0</v>
      </c>
      <c r="S110" s="3">
        <v>0</v>
      </c>
      <c r="T110" s="3">
        <v>2</v>
      </c>
      <c r="U110" s="3">
        <v>5</v>
      </c>
      <c r="V110" s="3">
        <v>10</v>
      </c>
      <c r="W110" s="3"/>
      <c r="X110" s="3">
        <v>22.98</v>
      </c>
      <c r="Y110" s="3">
        <v>22.98</v>
      </c>
      <c r="Z110" s="3">
        <v>22.98</v>
      </c>
      <c r="AA110" s="3">
        <v>0</v>
      </c>
      <c r="AB110" s="3" t="s">
        <v>5228</v>
      </c>
      <c r="AC110" s="3">
        <v>2</v>
      </c>
      <c r="AD110" s="3">
        <v>21.66</v>
      </c>
      <c r="AE110" s="3">
        <v>84</v>
      </c>
      <c r="AF110" s="3">
        <v>0</v>
      </c>
      <c r="AG110" s="3">
        <v>134.679209</v>
      </c>
      <c r="AH110" s="3">
        <v>1.42857142857142</v>
      </c>
      <c r="AI110" s="3" t="s">
        <v>5226</v>
      </c>
      <c r="AJ110" s="3" t="s">
        <v>5222</v>
      </c>
    </row>
    <row r="111" spans="1:36">
      <c r="A111" s="5">
        <v>43288</v>
      </c>
      <c r="B111" s="3" t="s">
        <v>1528</v>
      </c>
      <c r="C111" s="3" t="s">
        <v>90</v>
      </c>
      <c r="D111" s="3" t="s">
        <v>90</v>
      </c>
      <c r="E111" s="3" t="s">
        <v>1529</v>
      </c>
      <c r="F111" s="3" t="s">
        <v>120</v>
      </c>
      <c r="G111" s="3">
        <v>8</v>
      </c>
      <c r="H111" s="3">
        <v>0</v>
      </c>
      <c r="I111" s="3">
        <v>3</v>
      </c>
      <c r="J111" s="3">
        <v>5</v>
      </c>
      <c r="K111" s="3">
        <v>0</v>
      </c>
      <c r="L111" s="3">
        <v>0</v>
      </c>
      <c r="M111" s="3">
        <v>0</v>
      </c>
      <c r="N111" s="3" t="s">
        <v>5218</v>
      </c>
      <c r="O111" s="3">
        <v>0</v>
      </c>
      <c r="P111" s="3">
        <v>0</v>
      </c>
      <c r="Q111" s="3">
        <v>0</v>
      </c>
      <c r="R111" s="3">
        <v>0</v>
      </c>
      <c r="S111" s="3">
        <v>1</v>
      </c>
      <c r="T111" s="3">
        <v>5</v>
      </c>
      <c r="U111" s="3">
        <v>8</v>
      </c>
      <c r="V111" s="3">
        <v>11</v>
      </c>
      <c r="W111" s="3"/>
      <c r="X111" s="3">
        <v>22.98</v>
      </c>
      <c r="Y111" s="3">
        <v>22.98</v>
      </c>
      <c r="Z111" s="3">
        <v>19.98</v>
      </c>
      <c r="AA111" s="3">
        <v>0</v>
      </c>
      <c r="AB111" s="3" t="s">
        <v>5228</v>
      </c>
      <c r="AC111" s="3">
        <v>1</v>
      </c>
      <c r="AD111" s="3">
        <v>12.04</v>
      </c>
      <c r="AE111" s="3">
        <v>56</v>
      </c>
      <c r="AF111" s="3">
        <v>0</v>
      </c>
      <c r="AG111" s="3">
        <v>121.048506</v>
      </c>
      <c r="AH111" s="3">
        <v>0.564102564102564</v>
      </c>
      <c r="AI111" s="3" t="s">
        <v>5255</v>
      </c>
      <c r="AJ111" s="3" t="s">
        <v>5222</v>
      </c>
    </row>
    <row r="112" spans="1:36">
      <c r="A112" s="5">
        <v>43288</v>
      </c>
      <c r="B112" s="3" t="s">
        <v>4160</v>
      </c>
      <c r="C112" s="3" t="s">
        <v>4161</v>
      </c>
      <c r="D112" s="3" t="s">
        <v>4161</v>
      </c>
      <c r="E112" s="3" t="s">
        <v>4162</v>
      </c>
      <c r="F112" s="3" t="s">
        <v>120</v>
      </c>
      <c r="G112" s="3">
        <v>4</v>
      </c>
      <c r="H112" s="3">
        <v>0</v>
      </c>
      <c r="I112" s="3">
        <v>4</v>
      </c>
      <c r="J112" s="3">
        <v>0</v>
      </c>
      <c r="K112" s="3">
        <v>0</v>
      </c>
      <c r="L112" s="3">
        <v>0</v>
      </c>
      <c r="M112" s="3">
        <v>0</v>
      </c>
      <c r="N112" s="3" t="s">
        <v>5218</v>
      </c>
      <c r="O112" s="3">
        <v>0</v>
      </c>
      <c r="P112" s="3">
        <v>0</v>
      </c>
      <c r="Q112" s="3">
        <v>0</v>
      </c>
      <c r="R112" s="3">
        <v>0</v>
      </c>
      <c r="S112" s="3">
        <v>2</v>
      </c>
      <c r="T112" s="3">
        <v>8</v>
      </c>
      <c r="U112" s="3">
        <v>14</v>
      </c>
      <c r="V112" s="3">
        <v>20</v>
      </c>
      <c r="W112" s="3"/>
      <c r="X112" s="3">
        <v>22.98</v>
      </c>
      <c r="Y112" s="3">
        <v>22.98</v>
      </c>
      <c r="Z112" s="3">
        <v>22.98</v>
      </c>
      <c r="AA112" s="3">
        <v>0</v>
      </c>
      <c r="AB112" s="3" t="s">
        <v>5223</v>
      </c>
      <c r="AC112" s="3">
        <v>4</v>
      </c>
      <c r="AD112" s="3">
        <v>22.98</v>
      </c>
      <c r="AE112" s="3">
        <v>0</v>
      </c>
      <c r="AF112" s="3">
        <v>0</v>
      </c>
      <c r="AG112" s="3">
        <v>0</v>
      </c>
      <c r="AH112" s="3">
        <v>3.4074074074074</v>
      </c>
      <c r="AI112" s="3" t="s">
        <v>5279</v>
      </c>
      <c r="AJ112" s="3" t="s">
        <v>5222</v>
      </c>
    </row>
    <row r="113" spans="1:36">
      <c r="A113" s="5">
        <v>43288</v>
      </c>
      <c r="B113" s="3" t="s">
        <v>3021</v>
      </c>
      <c r="C113" s="3" t="s">
        <v>3022</v>
      </c>
      <c r="D113" s="3" t="s">
        <v>3022</v>
      </c>
      <c r="E113" s="3" t="s">
        <v>3023</v>
      </c>
      <c r="F113" s="3" t="s">
        <v>120</v>
      </c>
      <c r="G113" s="3">
        <v>76</v>
      </c>
      <c r="H113" s="3">
        <v>0</v>
      </c>
      <c r="I113" s="3">
        <v>20</v>
      </c>
      <c r="J113" s="3">
        <v>56</v>
      </c>
      <c r="K113" s="3">
        <v>0</v>
      </c>
      <c r="L113" s="3">
        <v>0</v>
      </c>
      <c r="M113" s="3">
        <v>0</v>
      </c>
      <c r="N113" s="3" t="s">
        <v>5218</v>
      </c>
      <c r="O113" s="3">
        <v>56</v>
      </c>
      <c r="P113" s="3">
        <v>114.54</v>
      </c>
      <c r="Q113" s="3">
        <v>0</v>
      </c>
      <c r="R113" s="3">
        <v>0</v>
      </c>
      <c r="S113" s="3">
        <v>4</v>
      </c>
      <c r="T113" s="3">
        <v>8</v>
      </c>
      <c r="U113" s="3">
        <v>21</v>
      </c>
      <c r="V113" s="3">
        <v>29</v>
      </c>
      <c r="W113" s="3" t="s">
        <v>5227</v>
      </c>
      <c r="X113" s="3">
        <v>23.98</v>
      </c>
      <c r="Y113" s="3">
        <v>23.98</v>
      </c>
      <c r="Z113" s="3">
        <v>23.98</v>
      </c>
      <c r="AA113" s="3">
        <v>0</v>
      </c>
      <c r="AB113" s="3" t="s">
        <v>5228</v>
      </c>
      <c r="AC113" s="3">
        <v>71</v>
      </c>
      <c r="AD113" s="3">
        <v>21.81</v>
      </c>
      <c r="AE113" s="3">
        <v>35</v>
      </c>
      <c r="AF113" s="3">
        <v>0</v>
      </c>
      <c r="AG113" s="3">
        <v>1.404833</v>
      </c>
      <c r="AH113" s="3">
        <v>0.336231884057971</v>
      </c>
      <c r="AI113" s="3" t="s">
        <v>5280</v>
      </c>
      <c r="AJ113" s="3" t="s">
        <v>5222</v>
      </c>
    </row>
    <row r="114" spans="1:36">
      <c r="A114" s="5">
        <v>43288</v>
      </c>
      <c r="B114" s="3" t="s">
        <v>4448</v>
      </c>
      <c r="C114" s="3" t="s">
        <v>4449</v>
      </c>
      <c r="D114" s="3" t="s">
        <v>4449</v>
      </c>
      <c r="E114" s="3" t="s">
        <v>4450</v>
      </c>
      <c r="F114" s="3" t="s">
        <v>120</v>
      </c>
      <c r="G114" s="3">
        <v>5</v>
      </c>
      <c r="H114" s="3">
        <v>0</v>
      </c>
      <c r="I114" s="3">
        <v>1</v>
      </c>
      <c r="J114" s="3">
        <v>1</v>
      </c>
      <c r="K114" s="3">
        <v>3</v>
      </c>
      <c r="L114" s="3">
        <v>0</v>
      </c>
      <c r="M114" s="3">
        <v>0</v>
      </c>
      <c r="N114" s="3" t="s">
        <v>5218</v>
      </c>
      <c r="O114" s="3">
        <v>4</v>
      </c>
      <c r="P114" s="3">
        <v>11.09</v>
      </c>
      <c r="Q114" s="3">
        <v>0</v>
      </c>
      <c r="R114" s="3">
        <v>0</v>
      </c>
      <c r="S114" s="3">
        <v>0</v>
      </c>
      <c r="T114" s="3">
        <v>3</v>
      </c>
      <c r="U114" s="3">
        <v>5</v>
      </c>
      <c r="V114" s="3">
        <v>6</v>
      </c>
      <c r="W114" s="3"/>
      <c r="X114" s="3">
        <v>10</v>
      </c>
      <c r="Y114" s="3">
        <v>10</v>
      </c>
      <c r="Z114" s="3">
        <v>10</v>
      </c>
      <c r="AA114" s="3">
        <v>0</v>
      </c>
      <c r="AB114" s="3" t="s">
        <v>5228</v>
      </c>
      <c r="AC114" s="3">
        <v>4</v>
      </c>
      <c r="AD114" s="3">
        <v>8</v>
      </c>
      <c r="AE114" s="3">
        <v>63</v>
      </c>
      <c r="AF114" s="3">
        <v>0</v>
      </c>
      <c r="AG114" s="3">
        <v>0.593576</v>
      </c>
      <c r="AH114" s="3">
        <v>0.75</v>
      </c>
      <c r="AI114" s="3" t="s">
        <v>5281</v>
      </c>
      <c r="AJ114" s="3" t="s">
        <v>5222</v>
      </c>
    </row>
    <row r="115" spans="1:36">
      <c r="A115" s="5">
        <v>43288</v>
      </c>
      <c r="B115" s="3" t="s">
        <v>4992</v>
      </c>
      <c r="C115" s="3" t="s">
        <v>4993</v>
      </c>
      <c r="D115" s="3" t="s">
        <v>4993</v>
      </c>
      <c r="E115" s="3" t="s">
        <v>4994</v>
      </c>
      <c r="F115" s="3" t="s">
        <v>120</v>
      </c>
      <c r="G115" s="3">
        <v>2</v>
      </c>
      <c r="H115" s="3">
        <v>0</v>
      </c>
      <c r="I115" s="3">
        <v>0</v>
      </c>
      <c r="J115" s="3">
        <v>0</v>
      </c>
      <c r="K115" s="3">
        <v>2</v>
      </c>
      <c r="L115" s="3">
        <v>0</v>
      </c>
      <c r="M115" s="3">
        <v>0</v>
      </c>
      <c r="N115" s="3" t="s">
        <v>5218</v>
      </c>
      <c r="O115" s="3">
        <v>2</v>
      </c>
      <c r="P115" s="3">
        <v>1.24</v>
      </c>
      <c r="Q115" s="3">
        <v>0</v>
      </c>
      <c r="R115" s="3">
        <v>0</v>
      </c>
      <c r="S115" s="3">
        <v>0</v>
      </c>
      <c r="T115" s="3">
        <v>0</v>
      </c>
      <c r="U115" s="3">
        <v>0</v>
      </c>
      <c r="V115" s="3">
        <v>0</v>
      </c>
      <c r="W115" s="3" t="s">
        <v>5219</v>
      </c>
      <c r="X115" s="3">
        <v>25</v>
      </c>
      <c r="Y115" s="3">
        <v>25</v>
      </c>
      <c r="Z115" s="3">
        <v>25</v>
      </c>
      <c r="AA115" s="3">
        <v>0</v>
      </c>
      <c r="AB115" s="3" t="s">
        <v>5223</v>
      </c>
      <c r="AC115" s="3">
        <v>1</v>
      </c>
      <c r="AD115" s="3">
        <v>32.9</v>
      </c>
      <c r="AE115" s="3">
        <v>35</v>
      </c>
      <c r="AF115" s="3">
        <v>0</v>
      </c>
      <c r="AG115" s="3">
        <v>56.112812</v>
      </c>
      <c r="AH115" s="3">
        <v>0</v>
      </c>
      <c r="AI115" s="3" t="s">
        <v>5267</v>
      </c>
      <c r="AJ115" s="3" t="s">
        <v>5242</v>
      </c>
    </row>
    <row r="116" spans="1:36">
      <c r="A116" s="5">
        <v>43288</v>
      </c>
      <c r="B116" s="3" t="s">
        <v>2731</v>
      </c>
      <c r="C116" s="3" t="s">
        <v>419</v>
      </c>
      <c r="D116" s="3" t="s">
        <v>419</v>
      </c>
      <c r="E116" s="3" t="s">
        <v>420</v>
      </c>
      <c r="F116" s="3" t="s">
        <v>120</v>
      </c>
      <c r="G116" s="3">
        <v>10</v>
      </c>
      <c r="H116" s="3">
        <v>0</v>
      </c>
      <c r="I116" s="3">
        <v>10</v>
      </c>
      <c r="J116" s="3">
        <v>0</v>
      </c>
      <c r="K116" s="3">
        <v>0</v>
      </c>
      <c r="L116" s="3">
        <v>0</v>
      </c>
      <c r="M116" s="3">
        <v>0</v>
      </c>
      <c r="N116" s="3" t="s">
        <v>5218</v>
      </c>
      <c r="O116" s="3">
        <v>0</v>
      </c>
      <c r="P116" s="3">
        <v>0</v>
      </c>
      <c r="Q116" s="3">
        <v>0</v>
      </c>
      <c r="R116" s="3">
        <v>0</v>
      </c>
      <c r="S116" s="3">
        <v>3</v>
      </c>
      <c r="T116" s="3">
        <v>22</v>
      </c>
      <c r="U116" s="3">
        <v>46</v>
      </c>
      <c r="V116" s="3">
        <v>54</v>
      </c>
      <c r="W116" s="3"/>
      <c r="X116" s="3">
        <v>24.98</v>
      </c>
      <c r="Y116" s="3">
        <v>23.98</v>
      </c>
      <c r="Z116" s="3">
        <v>23.98</v>
      </c>
      <c r="AA116" s="3">
        <v>0</v>
      </c>
      <c r="AB116" s="3" t="s">
        <v>5223</v>
      </c>
      <c r="AC116" s="3">
        <v>12</v>
      </c>
      <c r="AD116" s="3">
        <v>24.98</v>
      </c>
      <c r="AE116" s="3">
        <v>0</v>
      </c>
      <c r="AF116" s="3">
        <v>0</v>
      </c>
      <c r="AG116" s="3">
        <v>0</v>
      </c>
      <c r="AH116" s="3">
        <v>6.17142857142857</v>
      </c>
      <c r="AI116" s="3" t="s">
        <v>5257</v>
      </c>
      <c r="AJ116" s="3" t="s">
        <v>5222</v>
      </c>
    </row>
    <row r="117" spans="1:36">
      <c r="A117" s="5">
        <v>43288</v>
      </c>
      <c r="B117" s="3" t="s">
        <v>4374</v>
      </c>
      <c r="C117" s="3" t="s">
        <v>3350</v>
      </c>
      <c r="D117" s="3" t="s">
        <v>3350</v>
      </c>
      <c r="E117" s="3" t="s">
        <v>3351</v>
      </c>
      <c r="F117" s="3" t="s">
        <v>120</v>
      </c>
      <c r="G117" s="3">
        <v>11</v>
      </c>
      <c r="H117" s="3">
        <v>0</v>
      </c>
      <c r="I117" s="3">
        <v>1</v>
      </c>
      <c r="J117" s="3">
        <v>0</v>
      </c>
      <c r="K117" s="3">
        <v>10</v>
      </c>
      <c r="L117" s="3">
        <v>0</v>
      </c>
      <c r="M117" s="3">
        <v>0</v>
      </c>
      <c r="N117" s="3" t="s">
        <v>5218</v>
      </c>
      <c r="O117" s="3">
        <v>10</v>
      </c>
      <c r="P117" s="3">
        <v>13.22</v>
      </c>
      <c r="Q117" s="3">
        <v>0</v>
      </c>
      <c r="R117" s="3">
        <v>0</v>
      </c>
      <c r="S117" s="3">
        <v>0</v>
      </c>
      <c r="T117" s="3">
        <v>2</v>
      </c>
      <c r="U117" s="3">
        <v>4</v>
      </c>
      <c r="V117" s="3">
        <v>8</v>
      </c>
      <c r="W117" s="3"/>
      <c r="X117" s="3">
        <v>22.98</v>
      </c>
      <c r="Y117" s="3">
        <v>22.98</v>
      </c>
      <c r="Z117" s="3">
        <v>22.98</v>
      </c>
      <c r="AA117" s="3">
        <v>0</v>
      </c>
      <c r="AB117" s="3" t="s">
        <v>5223</v>
      </c>
      <c r="AC117" s="3">
        <v>11</v>
      </c>
      <c r="AD117" s="3">
        <v>22.98</v>
      </c>
      <c r="AE117" s="3">
        <v>0</v>
      </c>
      <c r="AF117" s="3">
        <v>0</v>
      </c>
      <c r="AG117" s="3">
        <v>0</v>
      </c>
      <c r="AH117" s="3">
        <v>0.571428571428571</v>
      </c>
      <c r="AI117" s="3" t="s">
        <v>5239</v>
      </c>
      <c r="AJ117" s="3" t="s">
        <v>5222</v>
      </c>
    </row>
    <row r="118" spans="1:36">
      <c r="A118" s="5">
        <v>43288</v>
      </c>
      <c r="B118" s="3" t="s">
        <v>291</v>
      </c>
      <c r="C118" s="3" t="s">
        <v>292</v>
      </c>
      <c r="D118" s="3" t="s">
        <v>292</v>
      </c>
      <c r="E118" s="3" t="s">
        <v>293</v>
      </c>
      <c r="F118" s="3" t="s">
        <v>120</v>
      </c>
      <c r="G118" s="3">
        <v>1</v>
      </c>
      <c r="H118" s="3">
        <v>0</v>
      </c>
      <c r="I118" s="3">
        <v>1</v>
      </c>
      <c r="J118" s="3">
        <v>0</v>
      </c>
      <c r="K118" s="3">
        <v>0</v>
      </c>
      <c r="L118" s="3">
        <v>0</v>
      </c>
      <c r="M118" s="3">
        <v>0</v>
      </c>
      <c r="N118" s="3" t="s">
        <v>5218</v>
      </c>
      <c r="O118" s="3">
        <v>0</v>
      </c>
      <c r="P118" s="3">
        <v>0</v>
      </c>
      <c r="Q118" s="3">
        <v>0</v>
      </c>
      <c r="R118" s="3">
        <v>0</v>
      </c>
      <c r="S118" s="3">
        <v>0</v>
      </c>
      <c r="T118" s="3">
        <v>1</v>
      </c>
      <c r="U118" s="3">
        <v>2</v>
      </c>
      <c r="V118" s="3">
        <v>2</v>
      </c>
      <c r="W118" s="3" t="s">
        <v>5219</v>
      </c>
      <c r="X118" s="3">
        <v>64.98</v>
      </c>
      <c r="Y118" s="3">
        <v>64.98</v>
      </c>
      <c r="Z118" s="3">
        <v>64.98</v>
      </c>
      <c r="AA118" s="3">
        <v>0</v>
      </c>
      <c r="AB118" s="3" t="s">
        <v>5220</v>
      </c>
      <c r="AC118" s="3">
        <v>1</v>
      </c>
      <c r="AD118" s="3">
        <v>64.98</v>
      </c>
      <c r="AE118" s="3">
        <v>0</v>
      </c>
      <c r="AF118" s="3">
        <v>0</v>
      </c>
      <c r="AG118" s="3">
        <v>0</v>
      </c>
      <c r="AH118" s="3">
        <v>1.14285714285714</v>
      </c>
      <c r="AI118" s="3" t="s">
        <v>5282</v>
      </c>
      <c r="AJ118" s="3" t="s">
        <v>5222</v>
      </c>
    </row>
    <row r="119" spans="1:36">
      <c r="A119" s="5">
        <v>43288</v>
      </c>
      <c r="B119" s="3" t="s">
        <v>1705</v>
      </c>
      <c r="C119" s="3" t="s">
        <v>1706</v>
      </c>
      <c r="D119" s="3" t="s">
        <v>1706</v>
      </c>
      <c r="E119" s="3" t="s">
        <v>1707</v>
      </c>
      <c r="F119" s="3" t="s">
        <v>120</v>
      </c>
      <c r="G119" s="3">
        <v>23</v>
      </c>
      <c r="H119" s="3">
        <v>0</v>
      </c>
      <c r="I119" s="3">
        <v>0</v>
      </c>
      <c r="J119" s="3">
        <v>0</v>
      </c>
      <c r="K119" s="3">
        <v>0</v>
      </c>
      <c r="L119" s="3">
        <v>23</v>
      </c>
      <c r="M119" s="3">
        <v>0</v>
      </c>
      <c r="N119" s="3" t="s">
        <v>5218</v>
      </c>
      <c r="O119" s="3">
        <v>23</v>
      </c>
      <c r="P119" s="3">
        <v>53.03</v>
      </c>
      <c r="Q119" s="3">
        <v>0</v>
      </c>
      <c r="R119" s="3">
        <v>0</v>
      </c>
      <c r="S119" s="3">
        <v>0</v>
      </c>
      <c r="T119" s="3">
        <v>0</v>
      </c>
      <c r="U119" s="3">
        <v>2</v>
      </c>
      <c r="V119" s="3">
        <v>3</v>
      </c>
      <c r="W119" s="3" t="s">
        <v>5227</v>
      </c>
      <c r="X119" s="3">
        <v>17.98</v>
      </c>
      <c r="Y119" s="3">
        <v>17.98</v>
      </c>
      <c r="Z119" s="3">
        <v>17.98</v>
      </c>
      <c r="AA119" s="3">
        <v>0</v>
      </c>
      <c r="AB119" s="3" t="s">
        <v>5228</v>
      </c>
      <c r="AC119" s="3">
        <v>0</v>
      </c>
      <c r="AD119" s="3">
        <v>14.39</v>
      </c>
      <c r="AE119" s="3">
        <v>217</v>
      </c>
      <c r="AF119" s="3">
        <v>0</v>
      </c>
      <c r="AG119" s="3">
        <v>704.177199</v>
      </c>
      <c r="AH119" s="3">
        <v>0.123711340206185</v>
      </c>
      <c r="AI119" s="3" t="s">
        <v>5283</v>
      </c>
      <c r="AJ119" s="3" t="s">
        <v>5222</v>
      </c>
    </row>
    <row r="120" spans="1:36">
      <c r="A120" s="5">
        <v>43288</v>
      </c>
      <c r="B120" s="3" t="s">
        <v>5086</v>
      </c>
      <c r="C120" s="3" t="s">
        <v>4773</v>
      </c>
      <c r="D120" s="3" t="s">
        <v>4773</v>
      </c>
      <c r="E120" s="3" t="s">
        <v>4894</v>
      </c>
      <c r="F120" s="3" t="s">
        <v>120</v>
      </c>
      <c r="G120" s="3">
        <v>19</v>
      </c>
      <c r="H120" s="3">
        <v>0</v>
      </c>
      <c r="I120" s="3">
        <v>19</v>
      </c>
      <c r="J120" s="3">
        <v>0</v>
      </c>
      <c r="K120" s="3">
        <v>0</v>
      </c>
      <c r="L120" s="3">
        <v>0</v>
      </c>
      <c r="M120" s="3">
        <v>0</v>
      </c>
      <c r="N120" s="3" t="s">
        <v>5218</v>
      </c>
      <c r="O120" s="3">
        <v>0</v>
      </c>
      <c r="P120" s="3">
        <v>0</v>
      </c>
      <c r="Q120" s="3">
        <v>0</v>
      </c>
      <c r="R120" s="3">
        <v>0</v>
      </c>
      <c r="S120" s="3">
        <v>1</v>
      </c>
      <c r="T120" s="3">
        <v>7</v>
      </c>
      <c r="U120" s="3">
        <v>15</v>
      </c>
      <c r="V120" s="3">
        <v>18</v>
      </c>
      <c r="W120" s="3"/>
      <c r="X120" s="3">
        <v>22.98</v>
      </c>
      <c r="Y120" s="3">
        <v>22.98</v>
      </c>
      <c r="Z120" s="3">
        <v>22.98</v>
      </c>
      <c r="AA120" s="3">
        <v>0</v>
      </c>
      <c r="AB120" s="3" t="s">
        <v>5223</v>
      </c>
      <c r="AC120" s="3">
        <v>20</v>
      </c>
      <c r="AD120" s="3">
        <v>22.98</v>
      </c>
      <c r="AE120" s="3">
        <v>0</v>
      </c>
      <c r="AF120" s="3">
        <v>0</v>
      </c>
      <c r="AG120" s="3">
        <v>0</v>
      </c>
      <c r="AH120" s="3">
        <v>2.05714285714285</v>
      </c>
      <c r="AI120" s="3" t="s">
        <v>5261</v>
      </c>
      <c r="AJ120" s="3" t="s">
        <v>5222</v>
      </c>
    </row>
    <row r="121" spans="1:36">
      <c r="A121" s="5">
        <v>43288</v>
      </c>
      <c r="B121" s="3" t="s">
        <v>783</v>
      </c>
      <c r="C121" s="3" t="s">
        <v>535</v>
      </c>
      <c r="D121" s="3" t="s">
        <v>535</v>
      </c>
      <c r="E121" s="3" t="s">
        <v>784</v>
      </c>
      <c r="F121" s="3" t="s">
        <v>120</v>
      </c>
      <c r="G121" s="3">
        <v>2</v>
      </c>
      <c r="H121" s="3">
        <v>0</v>
      </c>
      <c r="I121" s="3">
        <v>2</v>
      </c>
      <c r="J121" s="3">
        <v>0</v>
      </c>
      <c r="K121" s="3">
        <v>0</v>
      </c>
      <c r="L121" s="3">
        <v>0</v>
      </c>
      <c r="M121" s="3">
        <v>0</v>
      </c>
      <c r="N121" s="3" t="s">
        <v>5218</v>
      </c>
      <c r="O121" s="3">
        <v>0</v>
      </c>
      <c r="P121" s="3">
        <v>0</v>
      </c>
      <c r="Q121" s="3">
        <v>0</v>
      </c>
      <c r="R121" s="3">
        <v>0</v>
      </c>
      <c r="S121" s="3">
        <v>3</v>
      </c>
      <c r="T121" s="3">
        <v>3</v>
      </c>
      <c r="U121" s="3">
        <v>6</v>
      </c>
      <c r="V121" s="3">
        <v>8</v>
      </c>
      <c r="W121" s="3"/>
      <c r="X121" s="3">
        <v>22.98</v>
      </c>
      <c r="Y121" s="3">
        <v>22.98</v>
      </c>
      <c r="Z121" s="3">
        <v>22.98</v>
      </c>
      <c r="AA121" s="3">
        <v>0</v>
      </c>
      <c r="AB121" s="3" t="s">
        <v>5223</v>
      </c>
      <c r="AC121" s="3">
        <v>3</v>
      </c>
      <c r="AD121" s="3">
        <v>22.98</v>
      </c>
      <c r="AE121" s="3">
        <v>0</v>
      </c>
      <c r="AF121" s="3">
        <v>0</v>
      </c>
      <c r="AG121" s="3">
        <v>0</v>
      </c>
      <c r="AH121" s="3">
        <v>0.666666666666666</v>
      </c>
      <c r="AI121" s="3" t="s">
        <v>5225</v>
      </c>
      <c r="AJ121" s="3" t="s">
        <v>5222</v>
      </c>
    </row>
    <row r="122" spans="1:36">
      <c r="A122" s="5">
        <v>43288</v>
      </c>
      <c r="B122" s="3" t="s">
        <v>2219</v>
      </c>
      <c r="C122" s="3" t="s">
        <v>2220</v>
      </c>
      <c r="D122" s="3" t="s">
        <v>2220</v>
      </c>
      <c r="E122" s="3" t="s">
        <v>2221</v>
      </c>
      <c r="F122" s="3" t="s">
        <v>120</v>
      </c>
      <c r="G122" s="3">
        <v>10</v>
      </c>
      <c r="H122" s="3">
        <v>0</v>
      </c>
      <c r="I122" s="3">
        <v>3</v>
      </c>
      <c r="J122" s="3">
        <v>7</v>
      </c>
      <c r="K122" s="3">
        <v>0</v>
      </c>
      <c r="L122" s="3">
        <v>0</v>
      </c>
      <c r="M122" s="3">
        <v>0</v>
      </c>
      <c r="N122" s="3" t="s">
        <v>5218</v>
      </c>
      <c r="O122" s="3">
        <v>0</v>
      </c>
      <c r="P122" s="3">
        <v>0</v>
      </c>
      <c r="Q122" s="3">
        <v>0</v>
      </c>
      <c r="R122" s="3">
        <v>0</v>
      </c>
      <c r="S122" s="3">
        <v>0</v>
      </c>
      <c r="T122" s="3">
        <v>1</v>
      </c>
      <c r="U122" s="3">
        <v>4</v>
      </c>
      <c r="V122" s="3">
        <v>9</v>
      </c>
      <c r="W122" s="3"/>
      <c r="X122" s="3">
        <v>22.98</v>
      </c>
      <c r="Y122" s="3">
        <v>22.98</v>
      </c>
      <c r="Z122" s="3">
        <v>22</v>
      </c>
      <c r="AA122" s="3">
        <v>0</v>
      </c>
      <c r="AB122" s="3" t="s">
        <v>5223</v>
      </c>
      <c r="AC122" s="3">
        <v>10</v>
      </c>
      <c r="AD122" s="3">
        <v>22.98</v>
      </c>
      <c r="AE122" s="3">
        <v>0</v>
      </c>
      <c r="AF122" s="3">
        <v>0</v>
      </c>
      <c r="AG122" s="3">
        <v>0</v>
      </c>
      <c r="AH122" s="3">
        <v>0.73469387755102</v>
      </c>
      <c r="AI122" s="3" t="s">
        <v>5260</v>
      </c>
      <c r="AJ122" s="3" t="s">
        <v>5222</v>
      </c>
    </row>
    <row r="123" spans="1:36">
      <c r="A123" s="5">
        <v>43288</v>
      </c>
      <c r="B123" s="3" t="s">
        <v>2708</v>
      </c>
      <c r="C123" s="3" t="s">
        <v>2709</v>
      </c>
      <c r="D123" s="3" t="s">
        <v>2709</v>
      </c>
      <c r="E123" s="3" t="s">
        <v>2710</v>
      </c>
      <c r="F123" s="3" t="s">
        <v>120</v>
      </c>
      <c r="G123" s="3">
        <v>4</v>
      </c>
      <c r="H123" s="3">
        <v>0</v>
      </c>
      <c r="I123" s="3">
        <v>1</v>
      </c>
      <c r="J123" s="3">
        <v>0</v>
      </c>
      <c r="K123" s="3">
        <v>3</v>
      </c>
      <c r="L123" s="3">
        <v>0</v>
      </c>
      <c r="M123" s="3">
        <v>0</v>
      </c>
      <c r="N123" s="3" t="s">
        <v>5218</v>
      </c>
      <c r="O123" s="3">
        <v>3</v>
      </c>
      <c r="P123" s="3">
        <v>7.21</v>
      </c>
      <c r="Q123" s="3">
        <v>0</v>
      </c>
      <c r="R123" s="3">
        <v>0</v>
      </c>
      <c r="S123" s="3">
        <v>0</v>
      </c>
      <c r="T123" s="3">
        <v>0</v>
      </c>
      <c r="U123" s="3">
        <v>4</v>
      </c>
      <c r="V123" s="3">
        <v>5</v>
      </c>
      <c r="W123" s="3" t="s">
        <v>5227</v>
      </c>
      <c r="X123" s="3">
        <v>26.98</v>
      </c>
      <c r="Y123" s="3">
        <v>26.98</v>
      </c>
      <c r="Z123" s="3">
        <v>26.98</v>
      </c>
      <c r="AA123" s="3">
        <v>0</v>
      </c>
      <c r="AB123" s="3" t="s">
        <v>5223</v>
      </c>
      <c r="AC123" s="3">
        <v>4</v>
      </c>
      <c r="AD123" s="3">
        <v>26.98</v>
      </c>
      <c r="AE123" s="3">
        <v>0</v>
      </c>
      <c r="AF123" s="3">
        <v>0</v>
      </c>
      <c r="AG123" s="3">
        <v>0</v>
      </c>
      <c r="AH123" s="3">
        <v>0.869565217391304</v>
      </c>
      <c r="AI123" s="3" t="s">
        <v>5237</v>
      </c>
      <c r="AJ123" s="3" t="s">
        <v>5222</v>
      </c>
    </row>
    <row r="124" spans="1:36">
      <c r="A124" s="5">
        <v>43288</v>
      </c>
      <c r="B124" s="3" t="s">
        <v>2896</v>
      </c>
      <c r="C124" s="3" t="s">
        <v>2897</v>
      </c>
      <c r="D124" s="3" t="s">
        <v>2897</v>
      </c>
      <c r="E124" s="3" t="s">
        <v>2898</v>
      </c>
      <c r="F124" s="3" t="s">
        <v>120</v>
      </c>
      <c r="G124" s="3">
        <v>14</v>
      </c>
      <c r="H124" s="3">
        <v>0</v>
      </c>
      <c r="I124" s="3">
        <v>0</v>
      </c>
      <c r="J124" s="3">
        <v>14</v>
      </c>
      <c r="K124" s="3">
        <v>0</v>
      </c>
      <c r="L124" s="3">
        <v>0</v>
      </c>
      <c r="M124" s="3">
        <v>0</v>
      </c>
      <c r="N124" s="3" t="s">
        <v>5218</v>
      </c>
      <c r="O124" s="3">
        <v>8</v>
      </c>
      <c r="P124" s="3">
        <v>14.84</v>
      </c>
      <c r="Q124" s="3">
        <v>0</v>
      </c>
      <c r="R124" s="3">
        <v>0</v>
      </c>
      <c r="S124" s="3">
        <v>0</v>
      </c>
      <c r="T124" s="3">
        <v>0</v>
      </c>
      <c r="U124" s="3">
        <v>1</v>
      </c>
      <c r="V124" s="3">
        <v>3</v>
      </c>
      <c r="W124" s="3" t="s">
        <v>5227</v>
      </c>
      <c r="X124" s="3">
        <v>23.98</v>
      </c>
      <c r="Y124" s="3">
        <v>23.98</v>
      </c>
      <c r="Z124" s="3">
        <v>23.98</v>
      </c>
      <c r="AA124" s="3">
        <v>0</v>
      </c>
      <c r="AB124" s="3" t="s">
        <v>5228</v>
      </c>
      <c r="AC124" s="3">
        <v>0</v>
      </c>
      <c r="AD124" s="3">
        <v>21.12</v>
      </c>
      <c r="AE124" s="3">
        <v>217</v>
      </c>
      <c r="AF124" s="3">
        <v>0</v>
      </c>
      <c r="AG124" s="3">
        <v>395.229737</v>
      </c>
      <c r="AH124" s="3">
        <v>0.2</v>
      </c>
      <c r="AI124" s="3" t="s">
        <v>5254</v>
      </c>
      <c r="AJ124" s="3" t="s">
        <v>5222</v>
      </c>
    </row>
    <row r="125" spans="1:36">
      <c r="A125" s="5">
        <v>43288</v>
      </c>
      <c r="B125" s="3" t="s">
        <v>1952</v>
      </c>
      <c r="C125" s="3" t="s">
        <v>114</v>
      </c>
      <c r="D125" s="3" t="s">
        <v>114</v>
      </c>
      <c r="E125" s="3" t="s">
        <v>1953</v>
      </c>
      <c r="F125" s="3" t="s">
        <v>120</v>
      </c>
      <c r="G125" s="3">
        <v>39</v>
      </c>
      <c r="H125" s="3">
        <v>0</v>
      </c>
      <c r="I125" s="3">
        <v>3</v>
      </c>
      <c r="J125" s="3">
        <v>1</v>
      </c>
      <c r="K125" s="3">
        <v>35</v>
      </c>
      <c r="L125" s="3">
        <v>0</v>
      </c>
      <c r="M125" s="3">
        <v>0</v>
      </c>
      <c r="N125" s="3" t="s">
        <v>5218</v>
      </c>
      <c r="O125" s="3">
        <v>35</v>
      </c>
      <c r="P125" s="3">
        <v>65.08</v>
      </c>
      <c r="Q125" s="3">
        <v>0</v>
      </c>
      <c r="R125" s="3">
        <v>0</v>
      </c>
      <c r="S125" s="3">
        <v>0</v>
      </c>
      <c r="T125" s="3">
        <v>3</v>
      </c>
      <c r="U125" s="3">
        <v>7</v>
      </c>
      <c r="V125" s="3">
        <v>13</v>
      </c>
      <c r="W125" s="3"/>
      <c r="X125" s="3">
        <v>12.98</v>
      </c>
      <c r="Y125" s="3">
        <v>12.98</v>
      </c>
      <c r="Z125" s="3">
        <v>12.98</v>
      </c>
      <c r="AA125" s="3">
        <v>0</v>
      </c>
      <c r="AB125" s="3" t="s">
        <v>5228</v>
      </c>
      <c r="AC125" s="3">
        <v>29</v>
      </c>
      <c r="AD125" s="3">
        <v>11.87</v>
      </c>
      <c r="AE125" s="3">
        <v>70</v>
      </c>
      <c r="AF125" s="3">
        <v>0</v>
      </c>
      <c r="AG125" s="3">
        <v>6.314623</v>
      </c>
      <c r="AH125" s="3">
        <v>0.30057803468208</v>
      </c>
      <c r="AI125" s="3" t="s">
        <v>5284</v>
      </c>
      <c r="AJ125" s="3" t="s">
        <v>5222</v>
      </c>
    </row>
    <row r="126" spans="1:36">
      <c r="A126" s="5">
        <v>43288</v>
      </c>
      <c r="B126" s="3" t="s">
        <v>1967</v>
      </c>
      <c r="C126" s="3" t="s">
        <v>134</v>
      </c>
      <c r="D126" s="3" t="s">
        <v>134</v>
      </c>
      <c r="E126" s="3" t="s">
        <v>1968</v>
      </c>
      <c r="F126" s="3" t="s">
        <v>120</v>
      </c>
      <c r="G126" s="3">
        <v>1</v>
      </c>
      <c r="H126" s="3">
        <v>0</v>
      </c>
      <c r="I126" s="3">
        <v>1</v>
      </c>
      <c r="J126" s="3">
        <v>0</v>
      </c>
      <c r="K126" s="3">
        <v>0</v>
      </c>
      <c r="L126" s="3">
        <v>0</v>
      </c>
      <c r="M126" s="3">
        <v>0</v>
      </c>
      <c r="N126" s="3" t="s">
        <v>5218</v>
      </c>
      <c r="O126" s="3">
        <v>0</v>
      </c>
      <c r="P126" s="3">
        <v>0</v>
      </c>
      <c r="Q126" s="3">
        <v>0</v>
      </c>
      <c r="R126" s="3">
        <v>0</v>
      </c>
      <c r="S126" s="3">
        <v>0</v>
      </c>
      <c r="T126" s="3">
        <v>5</v>
      </c>
      <c r="U126" s="3">
        <v>8</v>
      </c>
      <c r="V126" s="3">
        <v>20</v>
      </c>
      <c r="W126" s="3"/>
      <c r="X126" s="3">
        <v>20.98</v>
      </c>
      <c r="Y126" s="3">
        <v>20.98</v>
      </c>
      <c r="Z126" s="3">
        <v>20.98</v>
      </c>
      <c r="AA126" s="3">
        <v>0</v>
      </c>
      <c r="AB126" s="3" t="s">
        <v>5223</v>
      </c>
      <c r="AC126" s="3">
        <v>0</v>
      </c>
      <c r="AD126" s="3">
        <v>0</v>
      </c>
      <c r="AE126" s="3">
        <v>0</v>
      </c>
      <c r="AF126" s="3">
        <v>0</v>
      </c>
      <c r="AG126" s="3">
        <v>0</v>
      </c>
      <c r="AH126" s="3">
        <v>4.70588235294117</v>
      </c>
      <c r="AI126" s="3" t="s">
        <v>5270</v>
      </c>
      <c r="AJ126" s="3" t="s">
        <v>5222</v>
      </c>
    </row>
    <row r="127" spans="1:36">
      <c r="A127" s="5">
        <v>43288</v>
      </c>
      <c r="B127" s="3" t="s">
        <v>4351</v>
      </c>
      <c r="C127" s="3" t="s">
        <v>4352</v>
      </c>
      <c r="D127" s="3" t="s">
        <v>4352</v>
      </c>
      <c r="E127" s="3" t="s">
        <v>4353</v>
      </c>
      <c r="F127" s="3" t="s">
        <v>120</v>
      </c>
      <c r="G127" s="3">
        <v>24</v>
      </c>
      <c r="H127" s="3">
        <v>0</v>
      </c>
      <c r="I127" s="3">
        <v>24</v>
      </c>
      <c r="J127" s="3">
        <v>0</v>
      </c>
      <c r="K127" s="3">
        <v>0</v>
      </c>
      <c r="L127" s="3">
        <v>0</v>
      </c>
      <c r="M127" s="3">
        <v>0</v>
      </c>
      <c r="N127" s="3" t="s">
        <v>5218</v>
      </c>
      <c r="O127" s="3">
        <v>0</v>
      </c>
      <c r="P127" s="3">
        <v>0</v>
      </c>
      <c r="Q127" s="3">
        <v>0</v>
      </c>
      <c r="R127" s="3">
        <v>0</v>
      </c>
      <c r="S127" s="3">
        <v>0</v>
      </c>
      <c r="T127" s="3">
        <v>3</v>
      </c>
      <c r="U127" s="3">
        <v>5</v>
      </c>
      <c r="V127" s="3">
        <v>6</v>
      </c>
      <c r="W127" s="3"/>
      <c r="X127" s="3">
        <v>23.98</v>
      </c>
      <c r="Y127" s="3">
        <v>23.98</v>
      </c>
      <c r="Z127" s="3">
        <v>23.98</v>
      </c>
      <c r="AA127" s="3">
        <v>0</v>
      </c>
      <c r="AB127" s="3" t="s">
        <v>5223</v>
      </c>
      <c r="AC127" s="3">
        <v>24</v>
      </c>
      <c r="AD127" s="3">
        <v>23.98</v>
      </c>
      <c r="AE127" s="3">
        <v>0</v>
      </c>
      <c r="AF127" s="3">
        <v>0</v>
      </c>
      <c r="AG127" s="3">
        <v>0</v>
      </c>
      <c r="AH127" s="3">
        <v>0.421052631578947</v>
      </c>
      <c r="AI127" s="3" t="s">
        <v>5258</v>
      </c>
      <c r="AJ127" s="3" t="s">
        <v>5222</v>
      </c>
    </row>
    <row r="128" spans="1:36">
      <c r="A128" s="5">
        <v>43288</v>
      </c>
      <c r="B128" s="3" t="s">
        <v>4482</v>
      </c>
      <c r="C128" s="3" t="s">
        <v>3644</v>
      </c>
      <c r="D128" s="3" t="s">
        <v>3644</v>
      </c>
      <c r="E128" s="3" t="s">
        <v>3645</v>
      </c>
      <c r="F128" s="3" t="s">
        <v>120</v>
      </c>
      <c r="G128" s="3">
        <v>5</v>
      </c>
      <c r="H128" s="3">
        <v>0</v>
      </c>
      <c r="I128" s="3">
        <v>1</v>
      </c>
      <c r="J128" s="3">
        <v>1</v>
      </c>
      <c r="K128" s="3">
        <v>3</v>
      </c>
      <c r="L128" s="3">
        <v>0</v>
      </c>
      <c r="M128" s="3">
        <v>0</v>
      </c>
      <c r="N128" s="3" t="s">
        <v>5218</v>
      </c>
      <c r="O128" s="3">
        <v>3</v>
      </c>
      <c r="P128" s="3">
        <v>2.96</v>
      </c>
      <c r="Q128" s="3">
        <v>0</v>
      </c>
      <c r="R128" s="3">
        <v>0</v>
      </c>
      <c r="S128" s="3">
        <v>0</v>
      </c>
      <c r="T128" s="3">
        <v>0</v>
      </c>
      <c r="U128" s="3">
        <v>0</v>
      </c>
      <c r="V128" s="3">
        <v>1</v>
      </c>
      <c r="W128" s="3" t="s">
        <v>5219</v>
      </c>
      <c r="X128" s="3">
        <v>23.98</v>
      </c>
      <c r="Y128" s="3">
        <v>23.98</v>
      </c>
      <c r="Z128" s="3">
        <v>23.98</v>
      </c>
      <c r="AA128" s="3">
        <v>0</v>
      </c>
      <c r="AB128" s="3" t="s">
        <v>5220</v>
      </c>
      <c r="AC128" s="3">
        <v>0</v>
      </c>
      <c r="AD128" s="3">
        <v>20.84</v>
      </c>
      <c r="AE128" s="3">
        <v>280</v>
      </c>
      <c r="AF128" s="3">
        <v>0</v>
      </c>
      <c r="AG128" s="3">
        <v>93.708131</v>
      </c>
      <c r="AH128" s="3">
        <v>0.2</v>
      </c>
      <c r="AI128" s="3" t="s">
        <v>5285</v>
      </c>
      <c r="AJ128" s="3" t="s">
        <v>5222</v>
      </c>
    </row>
    <row r="129" spans="1:36">
      <c r="A129" s="5">
        <v>43288</v>
      </c>
      <c r="B129" s="3" t="s">
        <v>4518</v>
      </c>
      <c r="C129" s="3" t="s">
        <v>3811</v>
      </c>
      <c r="D129" s="3" t="s">
        <v>3811</v>
      </c>
      <c r="E129" s="3" t="s">
        <v>3812</v>
      </c>
      <c r="F129" s="3" t="s">
        <v>120</v>
      </c>
      <c r="G129" s="3">
        <v>6</v>
      </c>
      <c r="H129" s="3">
        <v>0</v>
      </c>
      <c r="I129" s="3">
        <v>0</v>
      </c>
      <c r="J129" s="3">
        <v>1</v>
      </c>
      <c r="K129" s="3">
        <v>5</v>
      </c>
      <c r="L129" s="3">
        <v>0</v>
      </c>
      <c r="M129" s="3">
        <v>0</v>
      </c>
      <c r="N129" s="3" t="s">
        <v>5218</v>
      </c>
      <c r="O129" s="3">
        <v>6</v>
      </c>
      <c r="P129" s="3">
        <v>5.96</v>
      </c>
      <c r="Q129" s="3">
        <v>0</v>
      </c>
      <c r="R129" s="3">
        <v>0</v>
      </c>
      <c r="S129" s="3">
        <v>0</v>
      </c>
      <c r="T129" s="3">
        <v>0</v>
      </c>
      <c r="U129" s="3">
        <v>0</v>
      </c>
      <c r="V129" s="3">
        <v>0</v>
      </c>
      <c r="W129" s="3" t="s">
        <v>5227</v>
      </c>
      <c r="X129" s="3">
        <v>23.98</v>
      </c>
      <c r="Y129" s="3">
        <v>23.98</v>
      </c>
      <c r="Z129" s="3">
        <v>23.98</v>
      </c>
      <c r="AA129" s="3">
        <v>0</v>
      </c>
      <c r="AB129" s="3" t="s">
        <v>5228</v>
      </c>
      <c r="AC129" s="3">
        <v>0</v>
      </c>
      <c r="AD129" s="3">
        <v>21.56</v>
      </c>
      <c r="AE129" s="3">
        <v>203</v>
      </c>
      <c r="AF129" s="3">
        <v>0</v>
      </c>
      <c r="AG129" s="3">
        <v>123.296029</v>
      </c>
      <c r="AH129" s="3">
        <v>0</v>
      </c>
      <c r="AI129" s="3" t="s">
        <v>5263</v>
      </c>
      <c r="AJ129" s="3" t="s">
        <v>5222</v>
      </c>
    </row>
    <row r="130" spans="1:36">
      <c r="A130" s="5">
        <v>43288</v>
      </c>
      <c r="B130" s="3" t="s">
        <v>1538</v>
      </c>
      <c r="C130" s="3" t="s">
        <v>100</v>
      </c>
      <c r="D130" s="3" t="s">
        <v>100</v>
      </c>
      <c r="E130" s="3" t="s">
        <v>1539</v>
      </c>
      <c r="F130" s="3" t="s">
        <v>120</v>
      </c>
      <c r="G130" s="3">
        <v>47</v>
      </c>
      <c r="H130" s="3">
        <v>0</v>
      </c>
      <c r="I130" s="3">
        <v>1</v>
      </c>
      <c r="J130" s="3">
        <v>41</v>
      </c>
      <c r="K130" s="3">
        <v>5</v>
      </c>
      <c r="L130" s="3">
        <v>0</v>
      </c>
      <c r="M130" s="3">
        <v>0</v>
      </c>
      <c r="N130" s="3" t="s">
        <v>5218</v>
      </c>
      <c r="O130" s="3">
        <v>43</v>
      </c>
      <c r="P130" s="3">
        <v>97.78</v>
      </c>
      <c r="Q130" s="3">
        <v>0</v>
      </c>
      <c r="R130" s="3">
        <v>0</v>
      </c>
      <c r="S130" s="3">
        <v>0</v>
      </c>
      <c r="T130" s="3">
        <v>3</v>
      </c>
      <c r="U130" s="3">
        <v>8</v>
      </c>
      <c r="V130" s="3">
        <v>15</v>
      </c>
      <c r="W130" s="3"/>
      <c r="X130" s="3">
        <v>22.98</v>
      </c>
      <c r="Y130" s="3">
        <v>22.98</v>
      </c>
      <c r="Z130" s="3">
        <v>22.98</v>
      </c>
      <c r="AA130" s="3">
        <v>0</v>
      </c>
      <c r="AB130" s="3" t="s">
        <v>5228</v>
      </c>
      <c r="AC130" s="3">
        <v>39</v>
      </c>
      <c r="AD130" s="3">
        <v>18.38</v>
      </c>
      <c r="AE130" s="3">
        <v>42</v>
      </c>
      <c r="AF130" s="3">
        <v>0</v>
      </c>
      <c r="AG130" s="3">
        <v>0.654414</v>
      </c>
      <c r="AH130" s="3">
        <v>0.283018867924528</v>
      </c>
      <c r="AI130" s="3" t="s">
        <v>5255</v>
      </c>
      <c r="AJ130" s="3" t="s">
        <v>5222</v>
      </c>
    </row>
    <row r="131" spans="1:36">
      <c r="A131" s="5">
        <v>43288</v>
      </c>
      <c r="B131" s="3" t="s">
        <v>424</v>
      </c>
      <c r="C131" s="3" t="s">
        <v>425</v>
      </c>
      <c r="D131" s="3" t="s">
        <v>426</v>
      </c>
      <c r="E131" s="3" t="s">
        <v>427</v>
      </c>
      <c r="F131" s="3" t="s">
        <v>120</v>
      </c>
      <c r="G131" s="3">
        <v>16</v>
      </c>
      <c r="H131" s="3">
        <v>0</v>
      </c>
      <c r="I131" s="3">
        <v>16</v>
      </c>
      <c r="J131" s="3">
        <v>0</v>
      </c>
      <c r="K131" s="3">
        <v>0</v>
      </c>
      <c r="L131" s="3">
        <v>0</v>
      </c>
      <c r="M131" s="3">
        <v>0</v>
      </c>
      <c r="N131" s="3" t="s">
        <v>5218</v>
      </c>
      <c r="O131" s="3">
        <v>0</v>
      </c>
      <c r="P131" s="3">
        <v>0</v>
      </c>
      <c r="Q131" s="3">
        <v>0</v>
      </c>
      <c r="R131" s="3">
        <v>0</v>
      </c>
      <c r="S131" s="3">
        <v>0</v>
      </c>
      <c r="T131" s="3">
        <v>0</v>
      </c>
      <c r="U131" s="3">
        <v>0</v>
      </c>
      <c r="V131" s="3">
        <v>0</v>
      </c>
      <c r="W131" s="3" t="s">
        <v>5227</v>
      </c>
      <c r="X131" s="3">
        <v>22.98</v>
      </c>
      <c r="Y131" s="3">
        <v>22.98</v>
      </c>
      <c r="Z131" s="3">
        <v>22.98</v>
      </c>
      <c r="AA131" s="3">
        <v>0</v>
      </c>
      <c r="AB131" s="3" t="s">
        <v>5223</v>
      </c>
      <c r="AC131" s="3">
        <v>17</v>
      </c>
      <c r="AD131" s="3">
        <v>22.98</v>
      </c>
      <c r="AE131" s="3">
        <v>0</v>
      </c>
      <c r="AF131" s="3">
        <v>0</v>
      </c>
      <c r="AG131" s="3">
        <v>0</v>
      </c>
      <c r="AH131" s="3">
        <v>4.41379310344827</v>
      </c>
      <c r="AI131" s="3" t="s">
        <v>5257</v>
      </c>
      <c r="AJ131" s="3" t="s">
        <v>5222</v>
      </c>
    </row>
    <row r="132" spans="1:36">
      <c r="A132" s="5">
        <v>43288</v>
      </c>
      <c r="B132" s="3" t="s">
        <v>820</v>
      </c>
      <c r="C132" s="3" t="s">
        <v>581</v>
      </c>
      <c r="D132" s="3" t="s">
        <v>581</v>
      </c>
      <c r="E132" s="3" t="s">
        <v>821</v>
      </c>
      <c r="F132" s="3" t="s">
        <v>120</v>
      </c>
      <c r="G132" s="3">
        <v>2</v>
      </c>
      <c r="H132" s="3">
        <v>0</v>
      </c>
      <c r="I132" s="3">
        <v>2</v>
      </c>
      <c r="J132" s="3">
        <v>0</v>
      </c>
      <c r="K132" s="3">
        <v>0</v>
      </c>
      <c r="L132" s="3">
        <v>0</v>
      </c>
      <c r="M132" s="3">
        <v>0</v>
      </c>
      <c r="N132" s="3" t="s">
        <v>5218</v>
      </c>
      <c r="O132" s="3">
        <v>0</v>
      </c>
      <c r="P132" s="3">
        <v>0</v>
      </c>
      <c r="Q132" s="3">
        <v>0</v>
      </c>
      <c r="R132" s="3">
        <v>0</v>
      </c>
      <c r="S132" s="3">
        <v>2</v>
      </c>
      <c r="T132" s="3">
        <v>3</v>
      </c>
      <c r="U132" s="3">
        <v>5</v>
      </c>
      <c r="V132" s="3">
        <v>6</v>
      </c>
      <c r="W132" s="3"/>
      <c r="X132" s="3">
        <v>22.98</v>
      </c>
      <c r="Y132" s="3">
        <v>22.98</v>
      </c>
      <c r="Z132" s="3">
        <v>22.98</v>
      </c>
      <c r="AA132" s="3">
        <v>0</v>
      </c>
      <c r="AB132" s="3" t="s">
        <v>5223</v>
      </c>
      <c r="AC132" s="3">
        <v>3</v>
      </c>
      <c r="AD132" s="3">
        <v>22.98</v>
      </c>
      <c r="AE132" s="3">
        <v>0</v>
      </c>
      <c r="AF132" s="3">
        <v>0</v>
      </c>
      <c r="AG132" s="3">
        <v>0</v>
      </c>
      <c r="AH132" s="3">
        <v>0.913043478260869</v>
      </c>
      <c r="AI132" s="3" t="s">
        <v>5225</v>
      </c>
      <c r="AJ132" s="3" t="s">
        <v>5222</v>
      </c>
    </row>
    <row r="133" spans="1:36">
      <c r="A133" s="5">
        <v>43288</v>
      </c>
      <c r="B133" s="3" t="s">
        <v>2633</v>
      </c>
      <c r="C133" s="3" t="s">
        <v>2634</v>
      </c>
      <c r="D133" s="3" t="s">
        <v>2634</v>
      </c>
      <c r="E133" s="3" t="s">
        <v>2635</v>
      </c>
      <c r="F133" s="3" t="s">
        <v>120</v>
      </c>
      <c r="G133" s="3">
        <v>11</v>
      </c>
      <c r="H133" s="3">
        <v>0</v>
      </c>
      <c r="I133" s="3">
        <v>0</v>
      </c>
      <c r="J133" s="3">
        <v>0</v>
      </c>
      <c r="K133" s="3">
        <v>11</v>
      </c>
      <c r="L133" s="3">
        <v>0</v>
      </c>
      <c r="M133" s="3">
        <v>0</v>
      </c>
      <c r="N133" s="3" t="s">
        <v>5218</v>
      </c>
      <c r="O133" s="3">
        <v>11</v>
      </c>
      <c r="P133" s="3">
        <v>19.12</v>
      </c>
      <c r="Q133" s="3">
        <v>0</v>
      </c>
      <c r="R133" s="3">
        <v>0</v>
      </c>
      <c r="S133" s="3">
        <v>0</v>
      </c>
      <c r="T133" s="3">
        <v>0</v>
      </c>
      <c r="U133" s="3">
        <v>0</v>
      </c>
      <c r="V133" s="3">
        <v>0</v>
      </c>
      <c r="W133" s="3" t="s">
        <v>5219</v>
      </c>
      <c r="X133" s="3">
        <v>18.98</v>
      </c>
      <c r="Y133" s="3">
        <v>18.98</v>
      </c>
      <c r="Z133" s="3">
        <v>18.98</v>
      </c>
      <c r="AA133" s="3">
        <v>0</v>
      </c>
      <c r="AB133" s="3" t="s">
        <v>5220</v>
      </c>
      <c r="AC133" s="3">
        <v>3</v>
      </c>
      <c r="AD133" s="3">
        <v>16.91</v>
      </c>
      <c r="AE133" s="3">
        <v>35</v>
      </c>
      <c r="AF133" s="3">
        <v>0</v>
      </c>
      <c r="AG133" s="3">
        <v>318.073823</v>
      </c>
      <c r="AH133" s="3">
        <v>0</v>
      </c>
      <c r="AI133" s="3" t="s">
        <v>5264</v>
      </c>
      <c r="AJ133" s="3" t="s">
        <v>5222</v>
      </c>
    </row>
    <row r="134" spans="1:36">
      <c r="A134" s="5">
        <v>43288</v>
      </c>
      <c r="B134" s="3" t="s">
        <v>4493</v>
      </c>
      <c r="C134" s="3" t="s">
        <v>3699</v>
      </c>
      <c r="D134" s="3" t="s">
        <v>3699</v>
      </c>
      <c r="E134" s="3" t="s">
        <v>3700</v>
      </c>
      <c r="F134" s="3" t="s">
        <v>120</v>
      </c>
      <c r="G134" s="3">
        <v>6</v>
      </c>
      <c r="H134" s="3">
        <v>0</v>
      </c>
      <c r="I134" s="3">
        <v>2</v>
      </c>
      <c r="J134" s="3">
        <v>1</v>
      </c>
      <c r="K134" s="3">
        <v>3</v>
      </c>
      <c r="L134" s="3">
        <v>0</v>
      </c>
      <c r="M134" s="3">
        <v>0</v>
      </c>
      <c r="N134" s="3" t="s">
        <v>5218</v>
      </c>
      <c r="O134" s="3">
        <v>3</v>
      </c>
      <c r="P134" s="3">
        <v>2.96</v>
      </c>
      <c r="Q134" s="3">
        <v>0</v>
      </c>
      <c r="R134" s="3">
        <v>0</v>
      </c>
      <c r="S134" s="3">
        <v>0</v>
      </c>
      <c r="T134" s="3">
        <v>0</v>
      </c>
      <c r="U134" s="3">
        <v>0</v>
      </c>
      <c r="V134" s="3">
        <v>1</v>
      </c>
      <c r="W134" s="3" t="s">
        <v>5219</v>
      </c>
      <c r="X134" s="3">
        <v>22.98</v>
      </c>
      <c r="Y134" s="3">
        <v>22.98</v>
      </c>
      <c r="Z134" s="3">
        <v>22.98</v>
      </c>
      <c r="AA134" s="3">
        <v>0</v>
      </c>
      <c r="AB134" s="3" t="s">
        <v>5220</v>
      </c>
      <c r="AC134" s="3">
        <v>0</v>
      </c>
      <c r="AD134" s="3">
        <v>19.49</v>
      </c>
      <c r="AE134" s="3">
        <v>322</v>
      </c>
      <c r="AF134" s="3">
        <v>0</v>
      </c>
      <c r="AG134" s="3">
        <v>104.743753</v>
      </c>
      <c r="AH134" s="3">
        <v>0.181818181818181</v>
      </c>
      <c r="AI134" s="3" t="s">
        <v>5285</v>
      </c>
      <c r="AJ134" s="3" t="s">
        <v>5222</v>
      </c>
    </row>
    <row r="135" spans="1:36">
      <c r="A135" s="5">
        <v>43288</v>
      </c>
      <c r="B135" s="3" t="s">
        <v>1542</v>
      </c>
      <c r="C135" s="3" t="s">
        <v>104</v>
      </c>
      <c r="D135" s="3" t="s">
        <v>104</v>
      </c>
      <c r="E135" s="3" t="s">
        <v>1543</v>
      </c>
      <c r="F135" s="3" t="s">
        <v>120</v>
      </c>
      <c r="G135" s="3">
        <v>5</v>
      </c>
      <c r="H135" s="3">
        <v>0</v>
      </c>
      <c r="I135" s="3">
        <v>1</v>
      </c>
      <c r="J135" s="3">
        <v>1</v>
      </c>
      <c r="K135" s="3">
        <v>3</v>
      </c>
      <c r="L135" s="3">
        <v>0</v>
      </c>
      <c r="M135" s="3">
        <v>0</v>
      </c>
      <c r="N135" s="3" t="s">
        <v>5218</v>
      </c>
      <c r="O135" s="3">
        <v>4</v>
      </c>
      <c r="P135" s="3">
        <v>5.59</v>
      </c>
      <c r="Q135" s="3">
        <v>0</v>
      </c>
      <c r="R135" s="3">
        <v>0</v>
      </c>
      <c r="S135" s="3">
        <v>0</v>
      </c>
      <c r="T135" s="3">
        <v>3</v>
      </c>
      <c r="U135" s="3">
        <v>5</v>
      </c>
      <c r="V135" s="3">
        <v>8</v>
      </c>
      <c r="W135" s="3"/>
      <c r="X135" s="3">
        <v>22.98</v>
      </c>
      <c r="Y135" s="3">
        <v>22.98</v>
      </c>
      <c r="Z135" s="3">
        <v>22.98</v>
      </c>
      <c r="AA135" s="3">
        <v>0</v>
      </c>
      <c r="AB135" s="3" t="s">
        <v>5223</v>
      </c>
      <c r="AC135" s="3">
        <v>6</v>
      </c>
      <c r="AD135" s="3">
        <v>22.98</v>
      </c>
      <c r="AE135" s="3">
        <v>0</v>
      </c>
      <c r="AF135" s="3">
        <v>0</v>
      </c>
      <c r="AG135" s="3">
        <v>0</v>
      </c>
      <c r="AH135" s="3">
        <v>0.82051282051282</v>
      </c>
      <c r="AI135" s="3" t="s">
        <v>5286</v>
      </c>
      <c r="AJ135" s="3" t="s">
        <v>5222</v>
      </c>
    </row>
    <row r="136" spans="1:36">
      <c r="A136" s="5">
        <v>43288</v>
      </c>
      <c r="B136" s="3" t="s">
        <v>4372</v>
      </c>
      <c r="C136" s="3" t="s">
        <v>3342</v>
      </c>
      <c r="D136" s="3" t="s">
        <v>3342</v>
      </c>
      <c r="E136" s="3" t="s">
        <v>3343</v>
      </c>
      <c r="F136" s="3" t="s">
        <v>120</v>
      </c>
      <c r="G136" s="3">
        <v>3</v>
      </c>
      <c r="H136" s="3">
        <v>0</v>
      </c>
      <c r="I136" s="3">
        <v>0</v>
      </c>
      <c r="J136" s="3">
        <v>1</v>
      </c>
      <c r="K136" s="3">
        <v>2</v>
      </c>
      <c r="L136" s="3">
        <v>0</v>
      </c>
      <c r="M136" s="3">
        <v>0</v>
      </c>
      <c r="N136" s="3" t="s">
        <v>5218</v>
      </c>
      <c r="O136" s="3">
        <v>2</v>
      </c>
      <c r="P136" s="3">
        <v>2.64</v>
      </c>
      <c r="Q136" s="3">
        <v>0</v>
      </c>
      <c r="R136" s="3">
        <v>0</v>
      </c>
      <c r="S136" s="3">
        <v>0</v>
      </c>
      <c r="T136" s="3">
        <v>0</v>
      </c>
      <c r="U136" s="3">
        <v>0</v>
      </c>
      <c r="V136" s="3">
        <v>1</v>
      </c>
      <c r="W136" s="3" t="s">
        <v>5227</v>
      </c>
      <c r="X136" s="3">
        <v>22.98</v>
      </c>
      <c r="Y136" s="3">
        <v>22.98</v>
      </c>
      <c r="Z136" s="3">
        <v>22.98</v>
      </c>
      <c r="AA136" s="3">
        <v>0</v>
      </c>
      <c r="AB136" s="3" t="s">
        <v>5228</v>
      </c>
      <c r="AC136" s="3">
        <v>1</v>
      </c>
      <c r="AD136" s="3">
        <v>21.29</v>
      </c>
      <c r="AE136" s="3">
        <v>49</v>
      </c>
      <c r="AF136" s="3">
        <v>0</v>
      </c>
      <c r="AG136" s="3">
        <v>78.059088</v>
      </c>
      <c r="AH136" s="3">
        <v>0.307692307692307</v>
      </c>
      <c r="AI136" s="3" t="s">
        <v>5239</v>
      </c>
      <c r="AJ136" s="3" t="s">
        <v>5222</v>
      </c>
    </row>
    <row r="137" spans="1:36">
      <c r="A137" s="5">
        <v>43288</v>
      </c>
      <c r="B137" s="3" t="s">
        <v>1536</v>
      </c>
      <c r="C137" s="3" t="s">
        <v>98</v>
      </c>
      <c r="D137" s="3" t="s">
        <v>98</v>
      </c>
      <c r="E137" s="3" t="s">
        <v>1537</v>
      </c>
      <c r="F137" s="3" t="s">
        <v>120</v>
      </c>
      <c r="G137" s="3">
        <v>42</v>
      </c>
      <c r="H137" s="3">
        <v>0</v>
      </c>
      <c r="I137" s="3">
        <v>4</v>
      </c>
      <c r="J137" s="3">
        <v>36</v>
      </c>
      <c r="K137" s="3">
        <v>2</v>
      </c>
      <c r="L137" s="3">
        <v>0</v>
      </c>
      <c r="M137" s="3">
        <v>0</v>
      </c>
      <c r="N137" s="3" t="s">
        <v>5218</v>
      </c>
      <c r="O137" s="3">
        <v>38</v>
      </c>
      <c r="P137" s="3">
        <v>69.76</v>
      </c>
      <c r="Q137" s="3">
        <v>0</v>
      </c>
      <c r="R137" s="3">
        <v>0</v>
      </c>
      <c r="S137" s="3">
        <v>1</v>
      </c>
      <c r="T137" s="3">
        <v>8</v>
      </c>
      <c r="U137" s="3">
        <v>13</v>
      </c>
      <c r="V137" s="3">
        <v>20</v>
      </c>
      <c r="W137" s="3"/>
      <c r="X137" s="3">
        <v>22.98</v>
      </c>
      <c r="Y137" s="3">
        <v>22.98</v>
      </c>
      <c r="Z137" s="3">
        <v>22.98</v>
      </c>
      <c r="AA137" s="3">
        <v>0</v>
      </c>
      <c r="AB137" s="3" t="s">
        <v>5223</v>
      </c>
      <c r="AC137" s="3">
        <v>42</v>
      </c>
      <c r="AD137" s="3">
        <v>22.98</v>
      </c>
      <c r="AE137" s="3">
        <v>0</v>
      </c>
      <c r="AF137" s="3">
        <v>0</v>
      </c>
      <c r="AG137" s="3">
        <v>0</v>
      </c>
      <c r="AH137" s="3">
        <v>0.398009950248756</v>
      </c>
      <c r="AI137" s="3" t="s">
        <v>5287</v>
      </c>
      <c r="AJ137" s="3" t="s">
        <v>5222</v>
      </c>
    </row>
    <row r="138" spans="1:36">
      <c r="A138" s="5">
        <v>43288</v>
      </c>
      <c r="B138" s="3" t="s">
        <v>1114</v>
      </c>
      <c r="C138" s="3" t="s">
        <v>1115</v>
      </c>
      <c r="D138" s="3" t="s">
        <v>1116</v>
      </c>
      <c r="E138" s="3" t="s">
        <v>1117</v>
      </c>
      <c r="F138" s="3" t="s">
        <v>120</v>
      </c>
      <c r="G138" s="3">
        <v>9</v>
      </c>
      <c r="H138" s="3">
        <v>0</v>
      </c>
      <c r="I138" s="3">
        <v>9</v>
      </c>
      <c r="J138" s="3">
        <v>0</v>
      </c>
      <c r="K138" s="3">
        <v>0</v>
      </c>
      <c r="L138" s="3">
        <v>0</v>
      </c>
      <c r="M138" s="3">
        <v>0</v>
      </c>
      <c r="N138" s="3" t="s">
        <v>5218</v>
      </c>
      <c r="O138" s="3">
        <v>0</v>
      </c>
      <c r="P138" s="3">
        <v>0</v>
      </c>
      <c r="Q138" s="3">
        <v>0</v>
      </c>
      <c r="R138" s="3">
        <v>0</v>
      </c>
      <c r="S138" s="3">
        <v>0</v>
      </c>
      <c r="T138" s="3">
        <v>1</v>
      </c>
      <c r="U138" s="3">
        <v>1</v>
      </c>
      <c r="V138" s="3">
        <v>1</v>
      </c>
      <c r="W138" s="3"/>
      <c r="X138" s="3">
        <v>22.98</v>
      </c>
      <c r="Y138" s="3">
        <v>22.98</v>
      </c>
      <c r="Z138" s="3">
        <v>22.98</v>
      </c>
      <c r="AA138" s="3">
        <v>0</v>
      </c>
      <c r="AB138" s="3" t="s">
        <v>5223</v>
      </c>
      <c r="AC138" s="3">
        <v>9</v>
      </c>
      <c r="AD138" s="3">
        <v>22.98</v>
      </c>
      <c r="AE138" s="3">
        <v>0</v>
      </c>
      <c r="AF138" s="3">
        <v>0</v>
      </c>
      <c r="AG138" s="3">
        <v>0</v>
      </c>
      <c r="AH138" s="3">
        <v>1.11627906976744</v>
      </c>
      <c r="AI138" s="3" t="s">
        <v>5238</v>
      </c>
      <c r="AJ138" s="3" t="s">
        <v>5222</v>
      </c>
    </row>
    <row r="139" spans="1:36">
      <c r="A139" s="5">
        <v>43288</v>
      </c>
      <c r="B139" s="3" t="s">
        <v>5081</v>
      </c>
      <c r="C139" s="3" t="s">
        <v>4784</v>
      </c>
      <c r="D139" s="3" t="s">
        <v>4784</v>
      </c>
      <c r="E139" s="3" t="s">
        <v>4908</v>
      </c>
      <c r="F139" s="3" t="s">
        <v>120</v>
      </c>
      <c r="G139" s="3">
        <v>23</v>
      </c>
      <c r="H139" s="3">
        <v>0</v>
      </c>
      <c r="I139" s="3">
        <v>23</v>
      </c>
      <c r="J139" s="3">
        <v>0</v>
      </c>
      <c r="K139" s="3">
        <v>0</v>
      </c>
      <c r="L139" s="3">
        <v>0</v>
      </c>
      <c r="M139" s="3">
        <v>0</v>
      </c>
      <c r="N139" s="3" t="s">
        <v>5218</v>
      </c>
      <c r="O139" s="3">
        <v>0</v>
      </c>
      <c r="P139" s="3">
        <v>0</v>
      </c>
      <c r="Q139" s="3">
        <v>0</v>
      </c>
      <c r="R139" s="3">
        <v>0</v>
      </c>
      <c r="S139" s="3">
        <v>1</v>
      </c>
      <c r="T139" s="3">
        <v>4</v>
      </c>
      <c r="U139" s="3">
        <v>12</v>
      </c>
      <c r="V139" s="3">
        <v>18</v>
      </c>
      <c r="W139" s="3"/>
      <c r="X139" s="3">
        <v>22.98</v>
      </c>
      <c r="Y139" s="3">
        <v>22.98</v>
      </c>
      <c r="Z139" s="3">
        <v>22.98</v>
      </c>
      <c r="AA139" s="3">
        <v>0</v>
      </c>
      <c r="AB139" s="3" t="s">
        <v>5223</v>
      </c>
      <c r="AC139" s="3">
        <v>23</v>
      </c>
      <c r="AD139" s="3">
        <v>22.98</v>
      </c>
      <c r="AE139" s="3">
        <v>0</v>
      </c>
      <c r="AF139" s="3">
        <v>0</v>
      </c>
      <c r="AG139" s="3">
        <v>0</v>
      </c>
      <c r="AH139" s="3">
        <v>1.04347826086956</v>
      </c>
      <c r="AI139" s="3" t="s">
        <v>5261</v>
      </c>
      <c r="AJ139" s="3" t="s">
        <v>5222</v>
      </c>
    </row>
    <row r="140" spans="1:36">
      <c r="A140" s="5">
        <v>43288</v>
      </c>
      <c r="B140" s="3" t="s">
        <v>4109</v>
      </c>
      <c r="C140" s="3" t="s">
        <v>4110</v>
      </c>
      <c r="D140" s="3" t="s">
        <v>4110</v>
      </c>
      <c r="E140" s="3" t="s">
        <v>4111</v>
      </c>
      <c r="F140" s="3" t="s">
        <v>120</v>
      </c>
      <c r="G140" s="3">
        <v>1</v>
      </c>
      <c r="H140" s="3">
        <v>0</v>
      </c>
      <c r="I140" s="3">
        <v>0</v>
      </c>
      <c r="J140" s="3">
        <v>1</v>
      </c>
      <c r="K140" s="3">
        <v>0</v>
      </c>
      <c r="L140" s="3">
        <v>0</v>
      </c>
      <c r="M140" s="3">
        <v>0</v>
      </c>
      <c r="N140" s="3" t="s">
        <v>5218</v>
      </c>
      <c r="O140" s="3">
        <v>0</v>
      </c>
      <c r="P140" s="3">
        <v>0</v>
      </c>
      <c r="Q140" s="3">
        <v>0</v>
      </c>
      <c r="R140" s="3">
        <v>0</v>
      </c>
      <c r="S140" s="3">
        <v>0</v>
      </c>
      <c r="T140" s="3">
        <v>0</v>
      </c>
      <c r="U140" s="3">
        <v>0</v>
      </c>
      <c r="V140" s="3">
        <v>0</v>
      </c>
      <c r="W140" s="3" t="s">
        <v>5227</v>
      </c>
      <c r="X140" s="3">
        <v>23.98</v>
      </c>
      <c r="Y140" s="3">
        <v>23.98</v>
      </c>
      <c r="Z140" s="3">
        <v>22.98</v>
      </c>
      <c r="AA140" s="3">
        <v>0</v>
      </c>
      <c r="AB140" s="3" t="s">
        <v>5228</v>
      </c>
      <c r="AC140" s="3">
        <v>0</v>
      </c>
      <c r="AD140" s="3">
        <v>22.55</v>
      </c>
      <c r="AE140" s="3">
        <v>42</v>
      </c>
      <c r="AF140" s="3">
        <v>0</v>
      </c>
      <c r="AG140" s="3">
        <v>22.128998</v>
      </c>
      <c r="AH140" s="3">
        <v>0</v>
      </c>
      <c r="AI140" s="3" t="s">
        <v>5288</v>
      </c>
      <c r="AJ140" s="3" t="s">
        <v>5222</v>
      </c>
    </row>
    <row r="141" spans="1:36">
      <c r="A141" s="5">
        <v>43288</v>
      </c>
      <c r="B141" s="3" t="s">
        <v>4558</v>
      </c>
      <c r="C141" s="3" t="s">
        <v>3955</v>
      </c>
      <c r="D141" s="3" t="s">
        <v>3955</v>
      </c>
      <c r="E141" s="3" t="s">
        <v>3956</v>
      </c>
      <c r="F141" s="3" t="s">
        <v>120</v>
      </c>
      <c r="G141" s="3">
        <v>13</v>
      </c>
      <c r="H141" s="3">
        <v>0</v>
      </c>
      <c r="I141" s="3">
        <v>13</v>
      </c>
      <c r="J141" s="3">
        <v>0</v>
      </c>
      <c r="K141" s="3">
        <v>0</v>
      </c>
      <c r="L141" s="3">
        <v>0</v>
      </c>
      <c r="M141" s="3">
        <v>0</v>
      </c>
      <c r="N141" s="3" t="s">
        <v>5218</v>
      </c>
      <c r="O141" s="3">
        <v>0</v>
      </c>
      <c r="P141" s="3">
        <v>0</v>
      </c>
      <c r="Q141" s="3">
        <v>0</v>
      </c>
      <c r="R141" s="3">
        <v>0</v>
      </c>
      <c r="S141" s="3">
        <v>0</v>
      </c>
      <c r="T141" s="3">
        <v>2</v>
      </c>
      <c r="U141" s="3">
        <v>5</v>
      </c>
      <c r="V141" s="3">
        <v>8</v>
      </c>
      <c r="W141" s="3"/>
      <c r="X141" s="3">
        <v>26.98</v>
      </c>
      <c r="Y141" s="3">
        <v>26.98</v>
      </c>
      <c r="Z141" s="3">
        <v>26.98</v>
      </c>
      <c r="AA141" s="3">
        <v>0</v>
      </c>
      <c r="AB141" s="3" t="s">
        <v>5223</v>
      </c>
      <c r="AC141" s="3">
        <v>13</v>
      </c>
      <c r="AD141" s="3">
        <v>26.98</v>
      </c>
      <c r="AE141" s="3">
        <v>0</v>
      </c>
      <c r="AF141" s="3">
        <v>0</v>
      </c>
      <c r="AG141" s="3">
        <v>0</v>
      </c>
      <c r="AH141" s="3">
        <v>0.711111111111111</v>
      </c>
      <c r="AI141" s="3" t="s">
        <v>5249</v>
      </c>
      <c r="AJ141" s="3" t="s">
        <v>5222</v>
      </c>
    </row>
    <row r="142" spans="1:36">
      <c r="A142" s="5">
        <v>43288</v>
      </c>
      <c r="B142" s="3" t="s">
        <v>4505</v>
      </c>
      <c r="C142" s="3" t="s">
        <v>3747</v>
      </c>
      <c r="D142" s="3" t="s">
        <v>3747</v>
      </c>
      <c r="E142" s="3" t="s">
        <v>3748</v>
      </c>
      <c r="F142" s="3" t="s">
        <v>120</v>
      </c>
      <c r="G142" s="3">
        <v>5</v>
      </c>
      <c r="H142" s="3">
        <v>0</v>
      </c>
      <c r="I142" s="3">
        <v>0</v>
      </c>
      <c r="J142" s="3">
        <v>0</v>
      </c>
      <c r="K142" s="3">
        <v>5</v>
      </c>
      <c r="L142" s="3">
        <v>0</v>
      </c>
      <c r="M142" s="3">
        <v>0</v>
      </c>
      <c r="N142" s="3" t="s">
        <v>5218</v>
      </c>
      <c r="O142" s="3">
        <v>5</v>
      </c>
      <c r="P142" s="3">
        <v>4.96</v>
      </c>
      <c r="Q142" s="3">
        <v>0</v>
      </c>
      <c r="R142" s="3">
        <v>0</v>
      </c>
      <c r="S142" s="3">
        <v>0</v>
      </c>
      <c r="T142" s="3">
        <v>0</v>
      </c>
      <c r="U142" s="3">
        <v>0</v>
      </c>
      <c r="V142" s="3">
        <v>0</v>
      </c>
      <c r="W142" s="3" t="s">
        <v>5227</v>
      </c>
      <c r="X142" s="3">
        <v>24.98</v>
      </c>
      <c r="Y142" s="3">
        <v>24.98</v>
      </c>
      <c r="Z142" s="3">
        <v>24.98</v>
      </c>
      <c r="AA142" s="3">
        <v>0</v>
      </c>
      <c r="AB142" s="3" t="s">
        <v>5228</v>
      </c>
      <c r="AC142" s="3">
        <v>0</v>
      </c>
      <c r="AD142" s="3">
        <v>21.37</v>
      </c>
      <c r="AE142" s="3">
        <v>252</v>
      </c>
      <c r="AF142" s="3">
        <v>0</v>
      </c>
      <c r="AG142" s="3">
        <v>97.642706</v>
      </c>
      <c r="AH142" s="3">
        <v>0</v>
      </c>
      <c r="AI142" s="3" t="s">
        <v>5263</v>
      </c>
      <c r="AJ142" s="3" t="s">
        <v>5222</v>
      </c>
    </row>
    <row r="143" spans="1:36">
      <c r="A143" s="5">
        <v>43288</v>
      </c>
      <c r="B143" s="3" t="s">
        <v>511</v>
      </c>
      <c r="C143" s="3" t="s">
        <v>367</v>
      </c>
      <c r="D143" s="3" t="s">
        <v>367</v>
      </c>
      <c r="E143" s="3" t="s">
        <v>368</v>
      </c>
      <c r="F143" s="3" t="s">
        <v>120</v>
      </c>
      <c r="G143" s="3">
        <v>1</v>
      </c>
      <c r="H143" s="3">
        <v>0</v>
      </c>
      <c r="I143" s="3">
        <v>1</v>
      </c>
      <c r="J143" s="3">
        <v>0</v>
      </c>
      <c r="K143" s="3">
        <v>0</v>
      </c>
      <c r="L143" s="3">
        <v>0</v>
      </c>
      <c r="M143" s="3">
        <v>0</v>
      </c>
      <c r="N143" s="3" t="s">
        <v>5218</v>
      </c>
      <c r="O143" s="3">
        <v>0</v>
      </c>
      <c r="P143" s="3">
        <v>0</v>
      </c>
      <c r="Q143" s="3">
        <v>0</v>
      </c>
      <c r="R143" s="3">
        <v>0</v>
      </c>
      <c r="S143" s="3">
        <v>0</v>
      </c>
      <c r="T143" s="3">
        <v>29</v>
      </c>
      <c r="U143" s="3">
        <v>49</v>
      </c>
      <c r="V143" s="3">
        <v>49</v>
      </c>
      <c r="W143" s="3"/>
      <c r="X143" s="3">
        <v>23.98</v>
      </c>
      <c r="Y143" s="3">
        <v>23.98</v>
      </c>
      <c r="Z143" s="3">
        <v>22.98</v>
      </c>
      <c r="AA143" s="3">
        <v>0</v>
      </c>
      <c r="AB143" s="3" t="s">
        <v>5223</v>
      </c>
      <c r="AC143" s="3">
        <v>0</v>
      </c>
      <c r="AD143" s="3">
        <v>0</v>
      </c>
      <c r="AE143" s="3">
        <v>0</v>
      </c>
      <c r="AF143" s="3">
        <v>0</v>
      </c>
      <c r="AG143" s="3">
        <v>0</v>
      </c>
      <c r="AH143" s="3">
        <v>6.75862068965517</v>
      </c>
      <c r="AI143" s="3" t="s">
        <v>5289</v>
      </c>
      <c r="AJ143" s="3" t="s">
        <v>5222</v>
      </c>
    </row>
    <row r="144" spans="1:36">
      <c r="A144" s="5">
        <v>43288</v>
      </c>
      <c r="B144" s="3" t="s">
        <v>4557</v>
      </c>
      <c r="C144" s="3" t="s">
        <v>3951</v>
      </c>
      <c r="D144" s="3" t="s">
        <v>3951</v>
      </c>
      <c r="E144" s="3" t="s">
        <v>3952</v>
      </c>
      <c r="F144" s="3" t="s">
        <v>120</v>
      </c>
      <c r="G144" s="3">
        <v>10</v>
      </c>
      <c r="H144" s="3">
        <v>0</v>
      </c>
      <c r="I144" s="3">
        <v>10</v>
      </c>
      <c r="J144" s="3">
        <v>0</v>
      </c>
      <c r="K144" s="3">
        <v>0</v>
      </c>
      <c r="L144" s="3">
        <v>0</v>
      </c>
      <c r="M144" s="3">
        <v>0</v>
      </c>
      <c r="N144" s="3" t="s">
        <v>5218</v>
      </c>
      <c r="O144" s="3">
        <v>0</v>
      </c>
      <c r="P144" s="3">
        <v>0</v>
      </c>
      <c r="Q144" s="3">
        <v>0</v>
      </c>
      <c r="R144" s="3">
        <v>0</v>
      </c>
      <c r="S144" s="3">
        <v>1</v>
      </c>
      <c r="T144" s="3">
        <v>3</v>
      </c>
      <c r="U144" s="3">
        <v>3</v>
      </c>
      <c r="V144" s="3">
        <v>4</v>
      </c>
      <c r="W144" s="3"/>
      <c r="X144" s="3">
        <v>26.98</v>
      </c>
      <c r="Y144" s="3">
        <v>26.98</v>
      </c>
      <c r="Z144" s="3">
        <v>26.98</v>
      </c>
      <c r="AA144" s="3">
        <v>0</v>
      </c>
      <c r="AB144" s="3" t="s">
        <v>5223</v>
      </c>
      <c r="AC144" s="3">
        <v>10</v>
      </c>
      <c r="AD144" s="3">
        <v>26.98</v>
      </c>
      <c r="AE144" s="3">
        <v>0</v>
      </c>
      <c r="AF144" s="3">
        <v>0</v>
      </c>
      <c r="AG144" s="3">
        <v>0</v>
      </c>
      <c r="AH144" s="3">
        <v>0.666666666666666</v>
      </c>
      <c r="AI144" s="3" t="s">
        <v>5249</v>
      </c>
      <c r="AJ144" s="3" t="s">
        <v>5222</v>
      </c>
    </row>
    <row r="145" spans="1:36">
      <c r="A145" s="5">
        <v>43288</v>
      </c>
      <c r="B145" s="3" t="s">
        <v>2724</v>
      </c>
      <c r="C145" s="3" t="s">
        <v>391</v>
      </c>
      <c r="D145" s="3" t="s">
        <v>391</v>
      </c>
      <c r="E145" s="3" t="s">
        <v>392</v>
      </c>
      <c r="F145" s="3" t="s">
        <v>120</v>
      </c>
      <c r="G145" s="3">
        <v>2</v>
      </c>
      <c r="H145" s="3">
        <v>0</v>
      </c>
      <c r="I145" s="3">
        <v>2</v>
      </c>
      <c r="J145" s="3">
        <v>0</v>
      </c>
      <c r="K145" s="3">
        <v>0</v>
      </c>
      <c r="L145" s="3">
        <v>0</v>
      </c>
      <c r="M145" s="3">
        <v>0</v>
      </c>
      <c r="N145" s="3" t="s">
        <v>5218</v>
      </c>
      <c r="O145" s="3">
        <v>0</v>
      </c>
      <c r="P145" s="3">
        <v>0</v>
      </c>
      <c r="Q145" s="3">
        <v>0</v>
      </c>
      <c r="R145" s="3">
        <v>0</v>
      </c>
      <c r="S145" s="3">
        <v>4</v>
      </c>
      <c r="T145" s="3">
        <v>15</v>
      </c>
      <c r="U145" s="3">
        <v>35</v>
      </c>
      <c r="V145" s="3">
        <v>42</v>
      </c>
      <c r="W145" s="3"/>
      <c r="X145" s="3">
        <v>22.98</v>
      </c>
      <c r="Y145" s="3">
        <v>22.98</v>
      </c>
      <c r="Z145" s="3">
        <v>22.98</v>
      </c>
      <c r="AA145" s="3">
        <v>0</v>
      </c>
      <c r="AB145" s="3" t="s">
        <v>5223</v>
      </c>
      <c r="AC145" s="3">
        <v>5</v>
      </c>
      <c r="AD145" s="3">
        <v>22.98</v>
      </c>
      <c r="AE145" s="3">
        <v>0</v>
      </c>
      <c r="AF145" s="3">
        <v>0</v>
      </c>
      <c r="AG145" s="3">
        <v>0</v>
      </c>
      <c r="AH145" s="3">
        <v>9.33333333333333</v>
      </c>
      <c r="AI145" s="3" t="s">
        <v>5257</v>
      </c>
      <c r="AJ145" s="3" t="s">
        <v>5222</v>
      </c>
    </row>
    <row r="146" spans="1:36">
      <c r="A146" s="5">
        <v>43288</v>
      </c>
      <c r="B146" s="3" t="s">
        <v>4410</v>
      </c>
      <c r="C146" s="3" t="s">
        <v>3494</v>
      </c>
      <c r="D146" s="3" t="s">
        <v>3494</v>
      </c>
      <c r="E146" s="3" t="s">
        <v>3495</v>
      </c>
      <c r="F146" s="3" t="s">
        <v>120</v>
      </c>
      <c r="G146" s="3">
        <v>8</v>
      </c>
      <c r="H146" s="3">
        <v>0</v>
      </c>
      <c r="I146" s="3">
        <v>0</v>
      </c>
      <c r="J146" s="3">
        <v>1</v>
      </c>
      <c r="K146" s="3">
        <v>7</v>
      </c>
      <c r="L146" s="3">
        <v>0</v>
      </c>
      <c r="M146" s="3">
        <v>0</v>
      </c>
      <c r="N146" s="3" t="s">
        <v>5218</v>
      </c>
      <c r="O146" s="3">
        <v>8</v>
      </c>
      <c r="P146" s="3">
        <v>12.36</v>
      </c>
      <c r="Q146" s="3">
        <v>0</v>
      </c>
      <c r="R146" s="3">
        <v>0</v>
      </c>
      <c r="S146" s="3">
        <v>0</v>
      </c>
      <c r="T146" s="3">
        <v>0</v>
      </c>
      <c r="U146" s="3">
        <v>0</v>
      </c>
      <c r="V146" s="3">
        <v>0</v>
      </c>
      <c r="W146" s="3" t="s">
        <v>5227</v>
      </c>
      <c r="X146" s="3">
        <v>24.98</v>
      </c>
      <c r="Y146" s="3">
        <v>24.98</v>
      </c>
      <c r="Z146" s="3">
        <v>24.98</v>
      </c>
      <c r="AA146" s="3">
        <v>0</v>
      </c>
      <c r="AB146" s="3" t="s">
        <v>5228</v>
      </c>
      <c r="AC146" s="3">
        <v>0</v>
      </c>
      <c r="AD146" s="3">
        <v>20.64</v>
      </c>
      <c r="AE146" s="3">
        <v>308</v>
      </c>
      <c r="AF146" s="3">
        <v>0</v>
      </c>
      <c r="AG146" s="3">
        <v>192.325228</v>
      </c>
      <c r="AH146" s="3">
        <v>0</v>
      </c>
      <c r="AI146" s="3" t="s">
        <v>5262</v>
      </c>
      <c r="AJ146" s="3" t="s">
        <v>5222</v>
      </c>
    </row>
    <row r="147" spans="1:36">
      <c r="A147" s="5">
        <v>43288</v>
      </c>
      <c r="B147" s="3" t="s">
        <v>2361</v>
      </c>
      <c r="C147" s="3" t="s">
        <v>2362</v>
      </c>
      <c r="D147" s="3" t="s">
        <v>2362</v>
      </c>
      <c r="E147" s="3" t="s">
        <v>2363</v>
      </c>
      <c r="F147" s="3" t="s">
        <v>120</v>
      </c>
      <c r="G147" s="3">
        <v>22</v>
      </c>
      <c r="H147" s="3">
        <v>0</v>
      </c>
      <c r="I147" s="3">
        <v>20</v>
      </c>
      <c r="J147" s="3">
        <v>2</v>
      </c>
      <c r="K147" s="3">
        <v>0</v>
      </c>
      <c r="L147" s="3">
        <v>0</v>
      </c>
      <c r="M147" s="3">
        <v>0</v>
      </c>
      <c r="N147" s="3" t="s">
        <v>5218</v>
      </c>
      <c r="O147" s="3">
        <v>1</v>
      </c>
      <c r="P147" s="3">
        <v>1.52</v>
      </c>
      <c r="Q147" s="3">
        <v>0</v>
      </c>
      <c r="R147" s="3">
        <v>0</v>
      </c>
      <c r="S147" s="3">
        <v>0</v>
      </c>
      <c r="T147" s="3">
        <v>1</v>
      </c>
      <c r="U147" s="3">
        <v>3</v>
      </c>
      <c r="V147" s="3">
        <v>4</v>
      </c>
      <c r="W147" s="3"/>
      <c r="X147" s="3">
        <v>22.98</v>
      </c>
      <c r="Y147" s="3">
        <v>22.98</v>
      </c>
      <c r="Z147" s="3">
        <v>22.98</v>
      </c>
      <c r="AA147" s="3">
        <v>0</v>
      </c>
      <c r="AB147" s="3" t="s">
        <v>5223</v>
      </c>
      <c r="AC147" s="3">
        <v>22</v>
      </c>
      <c r="AD147" s="3">
        <v>22.98</v>
      </c>
      <c r="AE147" s="3">
        <v>0</v>
      </c>
      <c r="AF147" s="3">
        <v>0</v>
      </c>
      <c r="AG147" s="3">
        <v>0</v>
      </c>
      <c r="AH147" s="3">
        <v>0.313725490196078</v>
      </c>
      <c r="AI147" s="3" t="s">
        <v>5271</v>
      </c>
      <c r="AJ147" s="3" t="s">
        <v>5222</v>
      </c>
    </row>
    <row r="148" spans="1:36">
      <c r="A148" s="5">
        <v>43288</v>
      </c>
      <c r="B148" s="3" t="s">
        <v>2883</v>
      </c>
      <c r="C148" s="3" t="s">
        <v>2884</v>
      </c>
      <c r="D148" s="3" t="s">
        <v>2884</v>
      </c>
      <c r="E148" s="3" t="s">
        <v>2885</v>
      </c>
      <c r="F148" s="3" t="s">
        <v>120</v>
      </c>
      <c r="G148" s="3">
        <v>2</v>
      </c>
      <c r="H148" s="3">
        <v>0</v>
      </c>
      <c r="I148" s="3">
        <v>2</v>
      </c>
      <c r="J148" s="3">
        <v>0</v>
      </c>
      <c r="K148" s="3">
        <v>0</v>
      </c>
      <c r="L148" s="3">
        <v>0</v>
      </c>
      <c r="M148" s="3">
        <v>0</v>
      </c>
      <c r="N148" s="3" t="s">
        <v>5218</v>
      </c>
      <c r="O148" s="3">
        <v>0</v>
      </c>
      <c r="P148" s="3">
        <v>0</v>
      </c>
      <c r="Q148" s="3">
        <v>0</v>
      </c>
      <c r="R148" s="3">
        <v>0</v>
      </c>
      <c r="S148" s="3">
        <v>2</v>
      </c>
      <c r="T148" s="3">
        <v>12</v>
      </c>
      <c r="U148" s="3">
        <v>18</v>
      </c>
      <c r="V148" s="3">
        <v>26</v>
      </c>
      <c r="W148" s="3"/>
      <c r="X148" s="3">
        <v>25.98</v>
      </c>
      <c r="Y148" s="3">
        <v>25.98</v>
      </c>
      <c r="Z148" s="3">
        <v>25.98</v>
      </c>
      <c r="AA148" s="3">
        <v>0</v>
      </c>
      <c r="AB148" s="3" t="s">
        <v>5223</v>
      </c>
      <c r="AC148" s="3">
        <v>2</v>
      </c>
      <c r="AD148" s="3">
        <v>25.98</v>
      </c>
      <c r="AE148" s="3">
        <v>0</v>
      </c>
      <c r="AF148" s="3">
        <v>0</v>
      </c>
      <c r="AG148" s="3">
        <v>0</v>
      </c>
      <c r="AH148" s="3">
        <v>4.72727272727272</v>
      </c>
      <c r="AI148" s="3" t="s">
        <v>5254</v>
      </c>
      <c r="AJ148" s="3" t="s">
        <v>5222</v>
      </c>
    </row>
    <row r="149" spans="1:36">
      <c r="A149" s="5">
        <v>43288</v>
      </c>
      <c r="B149" s="3" t="s">
        <v>276</v>
      </c>
      <c r="C149" s="3" t="s">
        <v>277</v>
      </c>
      <c r="D149" s="3" t="s">
        <v>277</v>
      </c>
      <c r="E149" s="3" t="s">
        <v>278</v>
      </c>
      <c r="F149" s="3" t="s">
        <v>120</v>
      </c>
      <c r="G149" s="3">
        <v>1</v>
      </c>
      <c r="H149" s="3">
        <v>0</v>
      </c>
      <c r="I149" s="3">
        <v>0</v>
      </c>
      <c r="J149" s="3">
        <v>1</v>
      </c>
      <c r="K149" s="3">
        <v>0</v>
      </c>
      <c r="L149" s="3">
        <v>0</v>
      </c>
      <c r="M149" s="3">
        <v>0</v>
      </c>
      <c r="N149" s="3" t="s">
        <v>5218</v>
      </c>
      <c r="O149" s="3">
        <v>1</v>
      </c>
      <c r="P149" s="3">
        <v>7.93</v>
      </c>
      <c r="Q149" s="3">
        <v>0</v>
      </c>
      <c r="R149" s="3">
        <v>0</v>
      </c>
      <c r="S149" s="3">
        <v>0</v>
      </c>
      <c r="T149" s="3">
        <v>0</v>
      </c>
      <c r="U149" s="3">
        <v>0</v>
      </c>
      <c r="V149" s="3">
        <v>0</v>
      </c>
      <c r="W149" s="3" t="s">
        <v>5219</v>
      </c>
      <c r="X149" s="3">
        <v>64.98</v>
      </c>
      <c r="Y149" s="3">
        <v>64.98</v>
      </c>
      <c r="Z149" s="3">
        <v>64.98</v>
      </c>
      <c r="AA149" s="3">
        <v>0</v>
      </c>
      <c r="AB149" s="3" t="s">
        <v>5220</v>
      </c>
      <c r="AC149" s="3">
        <v>0</v>
      </c>
      <c r="AD149" s="3">
        <v>60.43</v>
      </c>
      <c r="AE149" s="3">
        <v>35</v>
      </c>
      <c r="AF149" s="3">
        <v>0</v>
      </c>
      <c r="AG149" s="3">
        <v>124.33484</v>
      </c>
      <c r="AH149" s="3">
        <v>0</v>
      </c>
      <c r="AI149" s="3" t="s">
        <v>5282</v>
      </c>
      <c r="AJ149" s="3" t="s">
        <v>5222</v>
      </c>
    </row>
    <row r="150" spans="1:36">
      <c r="A150" s="5">
        <v>43288</v>
      </c>
      <c r="B150" s="3" t="s">
        <v>1164</v>
      </c>
      <c r="C150" s="3" t="s">
        <v>1165</v>
      </c>
      <c r="D150" s="3" t="s">
        <v>1166</v>
      </c>
      <c r="E150" s="3" t="s">
        <v>1167</v>
      </c>
      <c r="F150" s="3" t="s">
        <v>120</v>
      </c>
      <c r="G150" s="3">
        <v>11</v>
      </c>
      <c r="H150" s="3">
        <v>0</v>
      </c>
      <c r="I150" s="3">
        <v>11</v>
      </c>
      <c r="J150" s="3">
        <v>0</v>
      </c>
      <c r="K150" s="3">
        <v>0</v>
      </c>
      <c r="L150" s="3">
        <v>0</v>
      </c>
      <c r="M150" s="3">
        <v>0</v>
      </c>
      <c r="N150" s="3" t="s">
        <v>5218</v>
      </c>
      <c r="O150" s="3">
        <v>0</v>
      </c>
      <c r="P150" s="3">
        <v>0</v>
      </c>
      <c r="Q150" s="3">
        <v>0</v>
      </c>
      <c r="R150" s="3">
        <v>0</v>
      </c>
      <c r="S150" s="3">
        <v>0</v>
      </c>
      <c r="T150" s="3">
        <v>0</v>
      </c>
      <c r="U150" s="3">
        <v>0</v>
      </c>
      <c r="V150" s="3">
        <v>0</v>
      </c>
      <c r="W150" s="3" t="s">
        <v>5227</v>
      </c>
      <c r="X150" s="3">
        <v>22.98</v>
      </c>
      <c r="Y150" s="3">
        <v>22.98</v>
      </c>
      <c r="Z150" s="3">
        <v>22.98</v>
      </c>
      <c r="AA150" s="3">
        <v>0</v>
      </c>
      <c r="AB150" s="3" t="s">
        <v>5223</v>
      </c>
      <c r="AC150" s="3">
        <v>12</v>
      </c>
      <c r="AD150" s="3">
        <v>22.98</v>
      </c>
      <c r="AE150" s="3">
        <v>0</v>
      </c>
      <c r="AF150" s="3">
        <v>0</v>
      </c>
      <c r="AG150" s="3">
        <v>0</v>
      </c>
      <c r="AH150" s="3">
        <v>1.76190476190476</v>
      </c>
      <c r="AI150" s="3" t="s">
        <v>5238</v>
      </c>
      <c r="AJ150" s="3" t="s">
        <v>5222</v>
      </c>
    </row>
    <row r="151" spans="1:36">
      <c r="A151" s="5">
        <v>43288</v>
      </c>
      <c r="B151" s="3" t="s">
        <v>646</v>
      </c>
      <c r="C151" s="3" t="s">
        <v>647</v>
      </c>
      <c r="D151" s="3" t="s">
        <v>647</v>
      </c>
      <c r="E151" s="3" t="s">
        <v>648</v>
      </c>
      <c r="F151" s="3" t="s">
        <v>120</v>
      </c>
      <c r="G151" s="3">
        <v>7</v>
      </c>
      <c r="H151" s="3">
        <v>0</v>
      </c>
      <c r="I151" s="3">
        <v>0</v>
      </c>
      <c r="J151" s="3">
        <v>7</v>
      </c>
      <c r="K151" s="3">
        <v>0</v>
      </c>
      <c r="L151" s="3">
        <v>0</v>
      </c>
      <c r="M151" s="3">
        <v>0</v>
      </c>
      <c r="N151" s="3" t="s">
        <v>5218</v>
      </c>
      <c r="O151" s="3">
        <v>2</v>
      </c>
      <c r="P151" s="3">
        <v>3.8</v>
      </c>
      <c r="Q151" s="3">
        <v>0</v>
      </c>
      <c r="R151" s="3">
        <v>0</v>
      </c>
      <c r="S151" s="3">
        <v>0</v>
      </c>
      <c r="T151" s="3">
        <v>1</v>
      </c>
      <c r="U151" s="3">
        <v>2</v>
      </c>
      <c r="V151" s="3">
        <v>2</v>
      </c>
      <c r="W151" s="3"/>
      <c r="X151" s="3">
        <v>24.98</v>
      </c>
      <c r="Y151" s="3">
        <v>24.98</v>
      </c>
      <c r="Z151" s="3">
        <v>24.98</v>
      </c>
      <c r="AA151" s="3">
        <v>0</v>
      </c>
      <c r="AB151" s="3" t="s">
        <v>5223</v>
      </c>
      <c r="AC151" s="3">
        <v>7</v>
      </c>
      <c r="AD151" s="3">
        <v>24.98</v>
      </c>
      <c r="AE151" s="3">
        <v>0</v>
      </c>
      <c r="AF151" s="3">
        <v>0</v>
      </c>
      <c r="AG151" s="3">
        <v>0</v>
      </c>
      <c r="AH151" s="3">
        <v>0.242424242424242</v>
      </c>
      <c r="AI151" s="3" t="s">
        <v>5250</v>
      </c>
      <c r="AJ151" s="3" t="s">
        <v>5222</v>
      </c>
    </row>
    <row r="152" spans="1:36">
      <c r="A152" s="5">
        <v>43288</v>
      </c>
      <c r="B152" s="3" t="s">
        <v>3018</v>
      </c>
      <c r="C152" s="3" t="s">
        <v>3019</v>
      </c>
      <c r="D152" s="3" t="s">
        <v>3019</v>
      </c>
      <c r="E152" s="3" t="s">
        <v>3020</v>
      </c>
      <c r="F152" s="3" t="s">
        <v>120</v>
      </c>
      <c r="G152" s="3">
        <v>29</v>
      </c>
      <c r="H152" s="3">
        <v>0</v>
      </c>
      <c r="I152" s="3">
        <v>29</v>
      </c>
      <c r="J152" s="3">
        <v>0</v>
      </c>
      <c r="K152" s="3">
        <v>0</v>
      </c>
      <c r="L152" s="3">
        <v>0</v>
      </c>
      <c r="M152" s="3">
        <v>0</v>
      </c>
      <c r="N152" s="3" t="s">
        <v>5218</v>
      </c>
      <c r="O152" s="3">
        <v>0</v>
      </c>
      <c r="P152" s="3">
        <v>0</v>
      </c>
      <c r="Q152" s="3">
        <v>0</v>
      </c>
      <c r="R152" s="3">
        <v>0</v>
      </c>
      <c r="S152" s="3">
        <v>1</v>
      </c>
      <c r="T152" s="3">
        <v>8</v>
      </c>
      <c r="U152" s="3">
        <v>12</v>
      </c>
      <c r="V152" s="3">
        <v>21</v>
      </c>
      <c r="W152" s="3"/>
      <c r="X152" s="3">
        <v>23.98</v>
      </c>
      <c r="Y152" s="3">
        <v>23.98</v>
      </c>
      <c r="Z152" s="3">
        <v>23.98</v>
      </c>
      <c r="AA152" s="3">
        <v>0</v>
      </c>
      <c r="AB152" s="3" t="s">
        <v>5223</v>
      </c>
      <c r="AC152" s="3">
        <v>30</v>
      </c>
      <c r="AD152" s="3">
        <v>23.98</v>
      </c>
      <c r="AE152" s="3">
        <v>0</v>
      </c>
      <c r="AF152" s="3">
        <v>0</v>
      </c>
      <c r="AG152" s="3">
        <v>0</v>
      </c>
      <c r="AH152" s="3">
        <v>0.743362831858407</v>
      </c>
      <c r="AI152" s="3" t="s">
        <v>5290</v>
      </c>
      <c r="AJ152" s="3" t="s">
        <v>5222</v>
      </c>
    </row>
    <row r="153" spans="1:36">
      <c r="A153" s="5">
        <v>43288</v>
      </c>
      <c r="B153" s="3" t="s">
        <v>4425</v>
      </c>
      <c r="C153" s="3" t="s">
        <v>3554</v>
      </c>
      <c r="D153" s="3" t="s">
        <v>3554</v>
      </c>
      <c r="E153" s="3" t="s">
        <v>3555</v>
      </c>
      <c r="F153" s="3" t="s">
        <v>120</v>
      </c>
      <c r="G153" s="3">
        <v>6</v>
      </c>
      <c r="H153" s="3">
        <v>0</v>
      </c>
      <c r="I153" s="3">
        <v>0</v>
      </c>
      <c r="J153" s="3">
        <v>0</v>
      </c>
      <c r="K153" s="3">
        <v>6</v>
      </c>
      <c r="L153" s="3">
        <v>0</v>
      </c>
      <c r="M153" s="3">
        <v>0</v>
      </c>
      <c r="N153" s="3" t="s">
        <v>5218</v>
      </c>
      <c r="O153" s="3">
        <v>6</v>
      </c>
      <c r="P153" s="3">
        <v>9.26</v>
      </c>
      <c r="Q153" s="3">
        <v>0</v>
      </c>
      <c r="R153" s="3">
        <v>0</v>
      </c>
      <c r="S153" s="3">
        <v>0</v>
      </c>
      <c r="T153" s="3">
        <v>0</v>
      </c>
      <c r="U153" s="3">
        <v>0</v>
      </c>
      <c r="V153" s="3">
        <v>0</v>
      </c>
      <c r="W153" s="3" t="s">
        <v>5227</v>
      </c>
      <c r="X153" s="3">
        <v>24.98</v>
      </c>
      <c r="Y153" s="3">
        <v>24.98</v>
      </c>
      <c r="Z153" s="3">
        <v>24.98</v>
      </c>
      <c r="AA153" s="3">
        <v>0</v>
      </c>
      <c r="AB153" s="3" t="s">
        <v>5228</v>
      </c>
      <c r="AC153" s="3">
        <v>0</v>
      </c>
      <c r="AD153" s="3">
        <v>20.7</v>
      </c>
      <c r="AE153" s="3">
        <v>224</v>
      </c>
      <c r="AF153" s="3">
        <v>0</v>
      </c>
      <c r="AG153" s="3">
        <v>149.26682</v>
      </c>
      <c r="AH153" s="3">
        <v>0</v>
      </c>
      <c r="AI153" s="3" t="s">
        <v>5262</v>
      </c>
      <c r="AJ153" s="3" t="s">
        <v>5222</v>
      </c>
    </row>
    <row r="154" spans="1:36">
      <c r="A154" s="5">
        <v>43288</v>
      </c>
      <c r="B154" s="3" t="s">
        <v>2578</v>
      </c>
      <c r="C154" s="3" t="s">
        <v>2579</v>
      </c>
      <c r="D154" s="3" t="s">
        <v>2579</v>
      </c>
      <c r="E154" s="3" t="s">
        <v>1037</v>
      </c>
      <c r="F154" s="3" t="s">
        <v>120</v>
      </c>
      <c r="G154" s="3">
        <v>15</v>
      </c>
      <c r="H154" s="3">
        <v>0</v>
      </c>
      <c r="I154" s="3">
        <v>15</v>
      </c>
      <c r="J154" s="3">
        <v>0</v>
      </c>
      <c r="K154" s="3">
        <v>0</v>
      </c>
      <c r="L154" s="3">
        <v>0</v>
      </c>
      <c r="M154" s="3">
        <v>0</v>
      </c>
      <c r="N154" s="3" t="s">
        <v>5218</v>
      </c>
      <c r="O154" s="3">
        <v>0</v>
      </c>
      <c r="P154" s="3">
        <v>0</v>
      </c>
      <c r="Q154" s="3">
        <v>0</v>
      </c>
      <c r="R154" s="3">
        <v>0</v>
      </c>
      <c r="S154" s="3">
        <v>4</v>
      </c>
      <c r="T154" s="3">
        <v>19</v>
      </c>
      <c r="U154" s="3">
        <v>27</v>
      </c>
      <c r="V154" s="3">
        <v>37</v>
      </c>
      <c r="W154" s="3"/>
      <c r="X154" s="3">
        <v>22.98</v>
      </c>
      <c r="Y154" s="3">
        <v>22.98</v>
      </c>
      <c r="Z154" s="3">
        <v>22.98</v>
      </c>
      <c r="AA154" s="3">
        <v>0</v>
      </c>
      <c r="AB154" s="3" t="s">
        <v>5223</v>
      </c>
      <c r="AC154" s="3">
        <v>16</v>
      </c>
      <c r="AD154" s="3">
        <v>22.98</v>
      </c>
      <c r="AE154" s="3">
        <v>0</v>
      </c>
      <c r="AF154" s="3">
        <v>0</v>
      </c>
      <c r="AG154" s="3">
        <v>0</v>
      </c>
      <c r="AH154" s="3">
        <v>2.17647058823529</v>
      </c>
      <c r="AI154" s="3" t="s">
        <v>5238</v>
      </c>
      <c r="AJ154" s="3" t="s">
        <v>5222</v>
      </c>
    </row>
    <row r="155" spans="1:36">
      <c r="A155" s="5">
        <v>43288</v>
      </c>
      <c r="B155" s="3" t="s">
        <v>4396</v>
      </c>
      <c r="C155" s="3" t="s">
        <v>3442</v>
      </c>
      <c r="D155" s="3" t="s">
        <v>3442</v>
      </c>
      <c r="E155" s="3" t="s">
        <v>3443</v>
      </c>
      <c r="F155" s="3" t="s">
        <v>120</v>
      </c>
      <c r="G155" s="3">
        <v>7</v>
      </c>
      <c r="H155" s="3">
        <v>0</v>
      </c>
      <c r="I155" s="3">
        <v>0</v>
      </c>
      <c r="J155" s="3">
        <v>3</v>
      </c>
      <c r="K155" s="3">
        <v>4</v>
      </c>
      <c r="L155" s="3">
        <v>0</v>
      </c>
      <c r="M155" s="3">
        <v>0</v>
      </c>
      <c r="N155" s="3" t="s">
        <v>5218</v>
      </c>
      <c r="O155" s="3">
        <v>6</v>
      </c>
      <c r="P155" s="3">
        <v>9.01</v>
      </c>
      <c r="Q155" s="3">
        <v>0</v>
      </c>
      <c r="R155" s="3">
        <v>0</v>
      </c>
      <c r="S155" s="3">
        <v>0</v>
      </c>
      <c r="T155" s="3">
        <v>1</v>
      </c>
      <c r="U155" s="3">
        <v>1</v>
      </c>
      <c r="V155" s="3">
        <v>2</v>
      </c>
      <c r="W155" s="3"/>
      <c r="X155" s="3">
        <v>22.98</v>
      </c>
      <c r="Y155" s="3">
        <v>22.98</v>
      </c>
      <c r="Z155" s="3">
        <v>22.98</v>
      </c>
      <c r="AA155" s="3">
        <v>0</v>
      </c>
      <c r="AB155" s="3" t="s">
        <v>5228</v>
      </c>
      <c r="AC155" s="3">
        <v>0</v>
      </c>
      <c r="AD155" s="3">
        <v>20.78</v>
      </c>
      <c r="AE155" s="3">
        <v>147</v>
      </c>
      <c r="AF155" s="3">
        <v>0</v>
      </c>
      <c r="AG155" s="3">
        <v>192.270357</v>
      </c>
      <c r="AH155" s="3">
        <v>0.258064516129032</v>
      </c>
      <c r="AI155" s="3" t="s">
        <v>5291</v>
      </c>
      <c r="AJ155" s="3" t="s">
        <v>5222</v>
      </c>
    </row>
    <row r="156" spans="1:36">
      <c r="A156" s="5">
        <v>43288</v>
      </c>
      <c r="B156" s="3" t="s">
        <v>2766</v>
      </c>
      <c r="C156" s="3" t="s">
        <v>434</v>
      </c>
      <c r="D156" s="3" t="s">
        <v>434</v>
      </c>
      <c r="E156" s="3" t="s">
        <v>435</v>
      </c>
      <c r="F156" s="3" t="s">
        <v>120</v>
      </c>
      <c r="G156" s="3">
        <v>16</v>
      </c>
      <c r="H156" s="3">
        <v>0</v>
      </c>
      <c r="I156" s="3">
        <v>16</v>
      </c>
      <c r="J156" s="3">
        <v>0</v>
      </c>
      <c r="K156" s="3">
        <v>0</v>
      </c>
      <c r="L156" s="3">
        <v>0</v>
      </c>
      <c r="M156" s="3">
        <v>0</v>
      </c>
      <c r="N156" s="3" t="s">
        <v>5218</v>
      </c>
      <c r="O156" s="3">
        <v>0</v>
      </c>
      <c r="P156" s="3">
        <v>0</v>
      </c>
      <c r="Q156" s="3">
        <v>0</v>
      </c>
      <c r="R156" s="3">
        <v>0</v>
      </c>
      <c r="S156" s="3">
        <v>1</v>
      </c>
      <c r="T156" s="3">
        <v>4</v>
      </c>
      <c r="U156" s="3">
        <v>4</v>
      </c>
      <c r="V156" s="3">
        <v>6</v>
      </c>
      <c r="W156" s="3"/>
      <c r="X156" s="3">
        <v>22.98</v>
      </c>
      <c r="Y156" s="3">
        <v>22.98</v>
      </c>
      <c r="Z156" s="3">
        <v>22.98</v>
      </c>
      <c r="AA156" s="3">
        <v>0</v>
      </c>
      <c r="AB156" s="3" t="s">
        <v>5223</v>
      </c>
      <c r="AC156" s="3">
        <v>16</v>
      </c>
      <c r="AD156" s="3">
        <v>22.98</v>
      </c>
      <c r="AE156" s="3">
        <v>0</v>
      </c>
      <c r="AF156" s="3">
        <v>0</v>
      </c>
      <c r="AG156" s="3">
        <v>0</v>
      </c>
      <c r="AH156" s="3">
        <v>0.827586206896551</v>
      </c>
      <c r="AI156" s="3" t="s">
        <v>5257</v>
      </c>
      <c r="AJ156" s="3" t="s">
        <v>5222</v>
      </c>
    </row>
    <row r="157" spans="1:36">
      <c r="A157" s="5">
        <v>43288</v>
      </c>
      <c r="B157" s="3" t="s">
        <v>1484</v>
      </c>
      <c r="C157" s="3" t="s">
        <v>44</v>
      </c>
      <c r="D157" s="3" t="s">
        <v>44</v>
      </c>
      <c r="E157" s="3" t="s">
        <v>1485</v>
      </c>
      <c r="F157" s="3" t="s">
        <v>120</v>
      </c>
      <c r="G157" s="3">
        <v>12</v>
      </c>
      <c r="H157" s="3">
        <v>0</v>
      </c>
      <c r="I157" s="3">
        <v>7</v>
      </c>
      <c r="J157" s="3">
        <v>5</v>
      </c>
      <c r="K157" s="3">
        <v>0</v>
      </c>
      <c r="L157" s="3">
        <v>0</v>
      </c>
      <c r="M157" s="3">
        <v>0</v>
      </c>
      <c r="N157" s="3" t="s">
        <v>5218</v>
      </c>
      <c r="O157" s="3">
        <v>0</v>
      </c>
      <c r="P157" s="3">
        <v>0</v>
      </c>
      <c r="Q157" s="3">
        <v>0</v>
      </c>
      <c r="R157" s="3">
        <v>0</v>
      </c>
      <c r="S157" s="3">
        <v>2</v>
      </c>
      <c r="T157" s="3">
        <v>6</v>
      </c>
      <c r="U157" s="3">
        <v>21</v>
      </c>
      <c r="V157" s="3">
        <v>42</v>
      </c>
      <c r="W157" s="3"/>
      <c r="X157" s="3">
        <v>22.98</v>
      </c>
      <c r="Y157" s="3">
        <v>22.98</v>
      </c>
      <c r="Z157" s="3">
        <v>19.98</v>
      </c>
      <c r="AA157" s="3">
        <v>0</v>
      </c>
      <c r="AB157" s="3" t="s">
        <v>5223</v>
      </c>
      <c r="AC157" s="3">
        <v>14</v>
      </c>
      <c r="AD157" s="3">
        <v>22.98</v>
      </c>
      <c r="AE157" s="3">
        <v>0</v>
      </c>
      <c r="AF157" s="3">
        <v>0</v>
      </c>
      <c r="AG157" s="3">
        <v>0</v>
      </c>
      <c r="AH157" s="3">
        <v>1.6</v>
      </c>
      <c r="AI157" s="3" t="s">
        <v>5292</v>
      </c>
      <c r="AJ157" s="3" t="s">
        <v>5222</v>
      </c>
    </row>
    <row r="158" spans="1:36">
      <c r="A158" s="5">
        <v>43288</v>
      </c>
      <c r="B158" s="3" t="s">
        <v>2030</v>
      </c>
      <c r="C158" s="3" t="s">
        <v>2031</v>
      </c>
      <c r="D158" s="3" t="s">
        <v>2031</v>
      </c>
      <c r="E158" s="3" t="s">
        <v>2032</v>
      </c>
      <c r="F158" s="3" t="s">
        <v>120</v>
      </c>
      <c r="G158" s="3">
        <v>31</v>
      </c>
      <c r="H158" s="3">
        <v>0</v>
      </c>
      <c r="I158" s="3">
        <v>2</v>
      </c>
      <c r="J158" s="3">
        <v>12</v>
      </c>
      <c r="K158" s="3">
        <v>17</v>
      </c>
      <c r="L158" s="3">
        <v>0</v>
      </c>
      <c r="M158" s="3">
        <v>0</v>
      </c>
      <c r="N158" s="3" t="s">
        <v>5218</v>
      </c>
      <c r="O158" s="3">
        <v>23</v>
      </c>
      <c r="P158" s="3">
        <v>28.91</v>
      </c>
      <c r="Q158" s="3">
        <v>0</v>
      </c>
      <c r="R158" s="3">
        <v>0</v>
      </c>
      <c r="S158" s="3">
        <v>1</v>
      </c>
      <c r="T158" s="3">
        <v>2</v>
      </c>
      <c r="U158" s="3">
        <v>8</v>
      </c>
      <c r="V158" s="3">
        <v>19</v>
      </c>
      <c r="W158" s="3" t="s">
        <v>5227</v>
      </c>
      <c r="X158" s="3">
        <v>23.98</v>
      </c>
      <c r="Y158" s="3">
        <v>23.98</v>
      </c>
      <c r="Z158" s="3">
        <v>23.98</v>
      </c>
      <c r="AA158" s="3">
        <v>0</v>
      </c>
      <c r="AB158" s="3" t="s">
        <v>5223</v>
      </c>
      <c r="AC158" s="3">
        <v>31</v>
      </c>
      <c r="AD158" s="3">
        <v>23.98</v>
      </c>
      <c r="AE158" s="3">
        <v>0</v>
      </c>
      <c r="AF158" s="3">
        <v>0</v>
      </c>
      <c r="AG158" s="3">
        <v>0</v>
      </c>
      <c r="AH158" s="3">
        <v>0.513513513513513</v>
      </c>
      <c r="AI158" s="3" t="s">
        <v>5293</v>
      </c>
      <c r="AJ158" s="3" t="s">
        <v>5222</v>
      </c>
    </row>
    <row r="159" spans="1:36">
      <c r="A159" s="5">
        <v>43288</v>
      </c>
      <c r="B159" s="3" t="s">
        <v>1866</v>
      </c>
      <c r="C159" s="3" t="s">
        <v>1867</v>
      </c>
      <c r="D159" s="3" t="s">
        <v>1867</v>
      </c>
      <c r="E159" s="3" t="s">
        <v>1868</v>
      </c>
      <c r="F159" s="3" t="s">
        <v>120</v>
      </c>
      <c r="G159" s="3">
        <v>1</v>
      </c>
      <c r="H159" s="3">
        <v>0</v>
      </c>
      <c r="I159" s="3">
        <v>1</v>
      </c>
      <c r="J159" s="3">
        <v>0</v>
      </c>
      <c r="K159" s="3">
        <v>0</v>
      </c>
      <c r="L159" s="3">
        <v>0</v>
      </c>
      <c r="M159" s="3">
        <v>0</v>
      </c>
      <c r="N159" s="3" t="s">
        <v>5218</v>
      </c>
      <c r="O159" s="3">
        <v>0</v>
      </c>
      <c r="P159" s="3">
        <v>0</v>
      </c>
      <c r="Q159" s="3">
        <v>0</v>
      </c>
      <c r="R159" s="3">
        <v>0</v>
      </c>
      <c r="S159" s="3">
        <v>0</v>
      </c>
      <c r="T159" s="3">
        <v>0</v>
      </c>
      <c r="U159" s="3">
        <v>1</v>
      </c>
      <c r="V159" s="3">
        <v>23</v>
      </c>
      <c r="W159" s="3"/>
      <c r="X159" s="3"/>
      <c r="Y159" s="3"/>
      <c r="Z159" s="3">
        <v>-1</v>
      </c>
      <c r="AA159" s="3">
        <v>-1</v>
      </c>
      <c r="AB159" s="3" t="s">
        <v>5244</v>
      </c>
      <c r="AC159" s="3">
        <v>0</v>
      </c>
      <c r="AD159" s="3">
        <v>0</v>
      </c>
      <c r="AE159" s="3">
        <v>0</v>
      </c>
      <c r="AF159" s="3">
        <v>0</v>
      </c>
      <c r="AG159" s="3">
        <v>0</v>
      </c>
      <c r="AH159" s="3">
        <v>4.18181818181818</v>
      </c>
      <c r="AI159" s="3" t="s">
        <v>5294</v>
      </c>
      <c r="AJ159" s="3" t="s">
        <v>5222</v>
      </c>
    </row>
    <row r="160" spans="1:36">
      <c r="A160" s="5">
        <v>43288</v>
      </c>
      <c r="B160" s="3" t="s">
        <v>5100</v>
      </c>
      <c r="C160" s="3" t="s">
        <v>5101</v>
      </c>
      <c r="D160" s="3" t="s">
        <v>5101</v>
      </c>
      <c r="E160" s="3" t="s">
        <v>5102</v>
      </c>
      <c r="F160" s="3" t="s">
        <v>120</v>
      </c>
      <c r="G160" s="3">
        <v>7</v>
      </c>
      <c r="H160" s="3">
        <v>0</v>
      </c>
      <c r="I160" s="3">
        <v>0</v>
      </c>
      <c r="J160" s="3">
        <v>5</v>
      </c>
      <c r="K160" s="3">
        <v>2</v>
      </c>
      <c r="L160" s="3">
        <v>0</v>
      </c>
      <c r="M160" s="3">
        <v>0</v>
      </c>
      <c r="N160" s="3" t="s">
        <v>5218</v>
      </c>
      <c r="O160" s="3">
        <v>6</v>
      </c>
      <c r="P160" s="3">
        <v>18.02</v>
      </c>
      <c r="Q160" s="3">
        <v>0</v>
      </c>
      <c r="R160" s="3">
        <v>0</v>
      </c>
      <c r="S160" s="3">
        <v>0</v>
      </c>
      <c r="T160" s="3">
        <v>0</v>
      </c>
      <c r="U160" s="3">
        <v>0</v>
      </c>
      <c r="V160" s="3">
        <v>0</v>
      </c>
      <c r="W160" s="3" t="s">
        <v>5219</v>
      </c>
      <c r="X160" s="3">
        <v>29.98</v>
      </c>
      <c r="Y160" s="3">
        <v>29.98</v>
      </c>
      <c r="Z160" s="3">
        <v>29.98</v>
      </c>
      <c r="AA160" s="3">
        <v>0</v>
      </c>
      <c r="AB160" s="3" t="s">
        <v>5228</v>
      </c>
      <c r="AC160" s="3">
        <v>0</v>
      </c>
      <c r="AD160" s="3">
        <v>25.47</v>
      </c>
      <c r="AE160" s="3">
        <v>147</v>
      </c>
      <c r="AF160" s="3">
        <v>0</v>
      </c>
      <c r="AG160" s="3">
        <v>308.918542</v>
      </c>
      <c r="AH160" s="3">
        <v>0</v>
      </c>
      <c r="AI160" s="3" t="s">
        <v>5295</v>
      </c>
      <c r="AJ160" s="3" t="s">
        <v>5222</v>
      </c>
    </row>
    <row r="161" spans="1:36">
      <c r="A161" s="5">
        <v>43288</v>
      </c>
      <c r="B161" s="3" t="s">
        <v>598</v>
      </c>
      <c r="C161" s="3" t="s">
        <v>599</v>
      </c>
      <c r="D161" s="3" t="s">
        <v>599</v>
      </c>
      <c r="E161" s="3" t="s">
        <v>600</v>
      </c>
      <c r="F161" s="3" t="s">
        <v>120</v>
      </c>
      <c r="G161" s="3">
        <v>5</v>
      </c>
      <c r="H161" s="3">
        <v>0</v>
      </c>
      <c r="I161" s="3">
        <v>3</v>
      </c>
      <c r="J161" s="3">
        <v>2</v>
      </c>
      <c r="K161" s="3">
        <v>0</v>
      </c>
      <c r="L161" s="3">
        <v>0</v>
      </c>
      <c r="M161" s="3">
        <v>0</v>
      </c>
      <c r="N161" s="3" t="s">
        <v>5218</v>
      </c>
      <c r="O161" s="3">
        <v>2</v>
      </c>
      <c r="P161" s="3">
        <v>3.8</v>
      </c>
      <c r="Q161" s="3">
        <v>0</v>
      </c>
      <c r="R161" s="3">
        <v>0</v>
      </c>
      <c r="S161" s="3">
        <v>0</v>
      </c>
      <c r="T161" s="3">
        <v>1</v>
      </c>
      <c r="U161" s="3">
        <v>1</v>
      </c>
      <c r="V161" s="3">
        <v>1</v>
      </c>
      <c r="W161" s="3"/>
      <c r="X161" s="3">
        <v>24.98</v>
      </c>
      <c r="Y161" s="3">
        <v>24.98</v>
      </c>
      <c r="Z161" s="3">
        <v>24.98</v>
      </c>
      <c r="AA161" s="3">
        <v>0</v>
      </c>
      <c r="AB161" s="3" t="s">
        <v>5223</v>
      </c>
      <c r="AC161" s="3">
        <v>5</v>
      </c>
      <c r="AD161" s="3">
        <v>24.98</v>
      </c>
      <c r="AE161" s="3">
        <v>0</v>
      </c>
      <c r="AF161" s="3">
        <v>0</v>
      </c>
      <c r="AG161" s="3">
        <v>0</v>
      </c>
      <c r="AH161" s="3">
        <v>0.2</v>
      </c>
      <c r="AI161" s="3" t="s">
        <v>5250</v>
      </c>
      <c r="AJ161" s="3" t="s">
        <v>5222</v>
      </c>
    </row>
    <row r="162" spans="1:36">
      <c r="A162" s="5">
        <v>43288</v>
      </c>
      <c r="B162" s="3" t="s">
        <v>2036</v>
      </c>
      <c r="C162" s="3" t="s">
        <v>2037</v>
      </c>
      <c r="D162" s="3" t="s">
        <v>2037</v>
      </c>
      <c r="E162" s="3" t="s">
        <v>2038</v>
      </c>
      <c r="F162" s="3" t="s">
        <v>120</v>
      </c>
      <c r="G162" s="3">
        <v>20</v>
      </c>
      <c r="H162" s="3">
        <v>0</v>
      </c>
      <c r="I162" s="3">
        <v>5</v>
      </c>
      <c r="J162" s="3">
        <v>4</v>
      </c>
      <c r="K162" s="3">
        <v>11</v>
      </c>
      <c r="L162" s="3">
        <v>0</v>
      </c>
      <c r="M162" s="3">
        <v>0</v>
      </c>
      <c r="N162" s="3" t="s">
        <v>5218</v>
      </c>
      <c r="O162" s="3">
        <v>13</v>
      </c>
      <c r="P162" s="3">
        <v>25.07</v>
      </c>
      <c r="Q162" s="3">
        <v>0</v>
      </c>
      <c r="R162" s="3">
        <v>0</v>
      </c>
      <c r="S162" s="3">
        <v>0</v>
      </c>
      <c r="T162" s="3">
        <v>6</v>
      </c>
      <c r="U162" s="3">
        <v>15</v>
      </c>
      <c r="V162" s="3">
        <v>26</v>
      </c>
      <c r="W162" s="3"/>
      <c r="X162" s="3">
        <v>23.98</v>
      </c>
      <c r="Y162" s="3">
        <v>23.98</v>
      </c>
      <c r="Z162" s="3">
        <v>23.98</v>
      </c>
      <c r="AA162" s="3">
        <v>0</v>
      </c>
      <c r="AB162" s="3" t="s">
        <v>5223</v>
      </c>
      <c r="AC162" s="3">
        <v>20</v>
      </c>
      <c r="AD162" s="3">
        <v>23.98</v>
      </c>
      <c r="AE162" s="3">
        <v>0</v>
      </c>
      <c r="AF162" s="3">
        <v>0</v>
      </c>
      <c r="AG162" s="3">
        <v>0</v>
      </c>
      <c r="AH162" s="3">
        <v>0.859504132231405</v>
      </c>
      <c r="AI162" s="3" t="s">
        <v>5296</v>
      </c>
      <c r="AJ162" s="3" t="s">
        <v>5222</v>
      </c>
    </row>
    <row r="163" spans="1:36">
      <c r="A163" s="5">
        <v>43288</v>
      </c>
      <c r="B163" s="3" t="s">
        <v>5094</v>
      </c>
      <c r="C163" s="3" t="s">
        <v>4815</v>
      </c>
      <c r="D163" s="3" t="s">
        <v>4815</v>
      </c>
      <c r="E163" s="3" t="s">
        <v>4943</v>
      </c>
      <c r="F163" s="3" t="s">
        <v>120</v>
      </c>
      <c r="G163" s="3">
        <v>8</v>
      </c>
      <c r="H163" s="3">
        <v>0</v>
      </c>
      <c r="I163" s="3">
        <v>6</v>
      </c>
      <c r="J163" s="3">
        <v>2</v>
      </c>
      <c r="K163" s="3">
        <v>0</v>
      </c>
      <c r="L163" s="3">
        <v>0</v>
      </c>
      <c r="M163" s="3">
        <v>0</v>
      </c>
      <c r="N163" s="3" t="s">
        <v>5218</v>
      </c>
      <c r="O163" s="3">
        <v>2</v>
      </c>
      <c r="P163" s="3">
        <v>1.58</v>
      </c>
      <c r="Q163" s="3">
        <v>0</v>
      </c>
      <c r="R163" s="3">
        <v>0</v>
      </c>
      <c r="S163" s="3">
        <v>1</v>
      </c>
      <c r="T163" s="3">
        <v>4</v>
      </c>
      <c r="U163" s="3">
        <v>5</v>
      </c>
      <c r="V163" s="3">
        <v>7</v>
      </c>
      <c r="W163" s="3"/>
      <c r="X163" s="3">
        <v>22.98</v>
      </c>
      <c r="Y163" s="3">
        <v>22.98</v>
      </c>
      <c r="Z163" s="3">
        <v>22.98</v>
      </c>
      <c r="AA163" s="3">
        <v>0</v>
      </c>
      <c r="AB163" s="3" t="s">
        <v>5223</v>
      </c>
      <c r="AC163" s="3">
        <v>9</v>
      </c>
      <c r="AD163" s="3">
        <v>22.98</v>
      </c>
      <c r="AE163" s="3">
        <v>0</v>
      </c>
      <c r="AF163" s="3">
        <v>0</v>
      </c>
      <c r="AG163" s="3">
        <v>0</v>
      </c>
      <c r="AH163" s="3">
        <v>0.7</v>
      </c>
      <c r="AI163" s="3" t="s">
        <v>5261</v>
      </c>
      <c r="AJ163" s="3" t="s">
        <v>5222</v>
      </c>
    </row>
    <row r="164" spans="1:36">
      <c r="A164" s="5">
        <v>43288</v>
      </c>
      <c r="B164" s="3" t="s">
        <v>1478</v>
      </c>
      <c r="C164" s="3" t="s">
        <v>38</v>
      </c>
      <c r="D164" s="3" t="s">
        <v>38</v>
      </c>
      <c r="E164" s="3" t="s">
        <v>1479</v>
      </c>
      <c r="F164" s="3" t="s">
        <v>120</v>
      </c>
      <c r="G164" s="3">
        <v>22</v>
      </c>
      <c r="H164" s="3">
        <v>0</v>
      </c>
      <c r="I164" s="3">
        <v>3</v>
      </c>
      <c r="J164" s="3">
        <v>19</v>
      </c>
      <c r="K164" s="3">
        <v>0</v>
      </c>
      <c r="L164" s="3">
        <v>0</v>
      </c>
      <c r="M164" s="3">
        <v>0</v>
      </c>
      <c r="N164" s="3" t="s">
        <v>5218</v>
      </c>
      <c r="O164" s="3">
        <v>19</v>
      </c>
      <c r="P164" s="3">
        <v>23.74</v>
      </c>
      <c r="Q164" s="3">
        <v>0</v>
      </c>
      <c r="R164" s="3">
        <v>0</v>
      </c>
      <c r="S164" s="3">
        <v>2</v>
      </c>
      <c r="T164" s="3">
        <v>7</v>
      </c>
      <c r="U164" s="3">
        <v>15</v>
      </c>
      <c r="V164" s="3">
        <v>20</v>
      </c>
      <c r="W164" s="3"/>
      <c r="X164" s="3">
        <v>22.98</v>
      </c>
      <c r="Y164" s="3">
        <v>22.98</v>
      </c>
      <c r="Z164" s="3">
        <v>19.98</v>
      </c>
      <c r="AA164" s="3">
        <v>0</v>
      </c>
      <c r="AB164" s="3" t="s">
        <v>5223</v>
      </c>
      <c r="AC164" s="3">
        <v>23</v>
      </c>
      <c r="AD164" s="3">
        <v>22.98</v>
      </c>
      <c r="AE164" s="3">
        <v>0</v>
      </c>
      <c r="AF164" s="3">
        <v>0</v>
      </c>
      <c r="AG164" s="3">
        <v>0</v>
      </c>
      <c r="AH164" s="3">
        <v>0.655737704918032</v>
      </c>
      <c r="AI164" s="3" t="s">
        <v>5297</v>
      </c>
      <c r="AJ164" s="3" t="s">
        <v>5222</v>
      </c>
    </row>
    <row r="165" spans="1:36">
      <c r="A165" s="5">
        <v>43288</v>
      </c>
      <c r="B165" s="3" t="s">
        <v>2379</v>
      </c>
      <c r="C165" s="3" t="s">
        <v>2380</v>
      </c>
      <c r="D165" s="3" t="s">
        <v>2380</v>
      </c>
      <c r="E165" s="3" t="s">
        <v>2381</v>
      </c>
      <c r="F165" s="3" t="s">
        <v>120</v>
      </c>
      <c r="G165" s="3">
        <v>11</v>
      </c>
      <c r="H165" s="3">
        <v>0</v>
      </c>
      <c r="I165" s="3">
        <v>11</v>
      </c>
      <c r="J165" s="3">
        <v>0</v>
      </c>
      <c r="K165" s="3">
        <v>0</v>
      </c>
      <c r="L165" s="3">
        <v>0</v>
      </c>
      <c r="M165" s="3">
        <v>0</v>
      </c>
      <c r="N165" s="3" t="s">
        <v>5218</v>
      </c>
      <c r="O165" s="3">
        <v>0</v>
      </c>
      <c r="P165" s="3">
        <v>0</v>
      </c>
      <c r="Q165" s="3">
        <v>0</v>
      </c>
      <c r="R165" s="3">
        <v>0</v>
      </c>
      <c r="S165" s="3">
        <v>0</v>
      </c>
      <c r="T165" s="3">
        <v>2</v>
      </c>
      <c r="U165" s="3">
        <v>5</v>
      </c>
      <c r="V165" s="3">
        <v>7</v>
      </c>
      <c r="W165" s="3"/>
      <c r="X165" s="3">
        <v>22.98</v>
      </c>
      <c r="Y165" s="3">
        <v>22.98</v>
      </c>
      <c r="Z165" s="3">
        <v>22</v>
      </c>
      <c r="AA165" s="3">
        <v>0</v>
      </c>
      <c r="AB165" s="3" t="s">
        <v>5223</v>
      </c>
      <c r="AC165" s="3">
        <v>11</v>
      </c>
      <c r="AD165" s="3">
        <v>22.98</v>
      </c>
      <c r="AE165" s="3">
        <v>0</v>
      </c>
      <c r="AF165" s="3">
        <v>0</v>
      </c>
      <c r="AG165" s="3">
        <v>0</v>
      </c>
      <c r="AH165" s="3">
        <v>0.875</v>
      </c>
      <c r="AI165" s="3" t="s">
        <v>5240</v>
      </c>
      <c r="AJ165" s="3" t="s">
        <v>5222</v>
      </c>
    </row>
    <row r="166" spans="1:36">
      <c r="A166" s="5">
        <v>43288</v>
      </c>
      <c r="B166" s="3" t="s">
        <v>3195</v>
      </c>
      <c r="C166" s="3" t="s">
        <v>3196</v>
      </c>
      <c r="D166" s="3" t="s">
        <v>3197</v>
      </c>
      <c r="E166" s="3" t="s">
        <v>3198</v>
      </c>
      <c r="F166" s="3" t="s">
        <v>120</v>
      </c>
      <c r="G166" s="3">
        <v>22</v>
      </c>
      <c r="H166" s="3">
        <v>0</v>
      </c>
      <c r="I166" s="3">
        <v>22</v>
      </c>
      <c r="J166" s="3">
        <v>0</v>
      </c>
      <c r="K166" s="3">
        <v>0</v>
      </c>
      <c r="L166" s="3">
        <v>0</v>
      </c>
      <c r="M166" s="3">
        <v>0</v>
      </c>
      <c r="N166" s="3" t="s">
        <v>5218</v>
      </c>
      <c r="O166" s="3">
        <v>0</v>
      </c>
      <c r="P166" s="3">
        <v>0</v>
      </c>
      <c r="Q166" s="3">
        <v>0</v>
      </c>
      <c r="R166" s="3">
        <v>0</v>
      </c>
      <c r="S166" s="3">
        <v>0</v>
      </c>
      <c r="T166" s="3">
        <v>10</v>
      </c>
      <c r="U166" s="3">
        <v>10</v>
      </c>
      <c r="V166" s="3">
        <v>10</v>
      </c>
      <c r="W166" s="3"/>
      <c r="X166" s="3">
        <v>22.98</v>
      </c>
      <c r="Y166" s="3">
        <v>22.98</v>
      </c>
      <c r="Z166" s="3">
        <v>22.98</v>
      </c>
      <c r="AA166" s="3">
        <v>0</v>
      </c>
      <c r="AB166" s="3" t="s">
        <v>5223</v>
      </c>
      <c r="AC166" s="3">
        <v>0</v>
      </c>
      <c r="AD166" s="3">
        <v>0</v>
      </c>
      <c r="AE166" s="3">
        <v>0</v>
      </c>
      <c r="AF166" s="3">
        <v>0</v>
      </c>
      <c r="AG166" s="3">
        <v>0</v>
      </c>
      <c r="AH166" s="3">
        <v>0.909090909090909</v>
      </c>
      <c r="AI166" s="3" t="s">
        <v>5241</v>
      </c>
      <c r="AJ166" s="3" t="s">
        <v>5222</v>
      </c>
    </row>
    <row r="167" spans="1:36">
      <c r="A167" s="5">
        <v>43288</v>
      </c>
      <c r="B167" s="3" t="s">
        <v>4489</v>
      </c>
      <c r="C167" s="3" t="s">
        <v>3676</v>
      </c>
      <c r="D167" s="3" t="s">
        <v>3676</v>
      </c>
      <c r="E167" s="3" t="s">
        <v>3677</v>
      </c>
      <c r="F167" s="3" t="s">
        <v>120</v>
      </c>
      <c r="G167" s="3">
        <v>1</v>
      </c>
      <c r="H167" s="3">
        <v>0</v>
      </c>
      <c r="I167" s="3">
        <v>0</v>
      </c>
      <c r="J167" s="3">
        <v>0</v>
      </c>
      <c r="K167" s="3">
        <v>1</v>
      </c>
      <c r="L167" s="3">
        <v>0</v>
      </c>
      <c r="M167" s="3">
        <v>0</v>
      </c>
      <c r="N167" s="3" t="s">
        <v>5218</v>
      </c>
      <c r="O167" s="3">
        <v>1</v>
      </c>
      <c r="P167" s="3">
        <v>0.99</v>
      </c>
      <c r="Q167" s="3">
        <v>0</v>
      </c>
      <c r="R167" s="3">
        <v>0</v>
      </c>
      <c r="S167" s="3">
        <v>0</v>
      </c>
      <c r="T167" s="3">
        <v>0</v>
      </c>
      <c r="U167" s="3">
        <v>1</v>
      </c>
      <c r="V167" s="3">
        <v>1</v>
      </c>
      <c r="W167" s="3" t="s">
        <v>5219</v>
      </c>
      <c r="X167" s="3">
        <v>23.98</v>
      </c>
      <c r="Y167" s="3">
        <v>23.98</v>
      </c>
      <c r="Z167" s="3">
        <v>23.98</v>
      </c>
      <c r="AA167" s="3">
        <v>0</v>
      </c>
      <c r="AB167" s="3" t="s">
        <v>5220</v>
      </c>
      <c r="AC167" s="3">
        <v>1</v>
      </c>
      <c r="AD167" s="3">
        <v>23.98</v>
      </c>
      <c r="AE167" s="3">
        <v>0</v>
      </c>
      <c r="AF167" s="3">
        <v>0</v>
      </c>
      <c r="AG167" s="3">
        <v>0</v>
      </c>
      <c r="AH167" s="3">
        <v>0.666666666666666</v>
      </c>
      <c r="AI167" s="3" t="s">
        <v>5285</v>
      </c>
      <c r="AJ167" s="3" t="s">
        <v>5222</v>
      </c>
    </row>
    <row r="168" spans="1:36">
      <c r="A168" s="5">
        <v>43288</v>
      </c>
      <c r="B168" s="3" t="s">
        <v>4480</v>
      </c>
      <c r="C168" s="3" t="s">
        <v>3612</v>
      </c>
      <c r="D168" s="3" t="s">
        <v>3612</v>
      </c>
      <c r="E168" s="3" t="s">
        <v>3613</v>
      </c>
      <c r="F168" s="3" t="s">
        <v>120</v>
      </c>
      <c r="G168" s="3">
        <v>4</v>
      </c>
      <c r="H168" s="3">
        <v>0</v>
      </c>
      <c r="I168" s="3">
        <v>0</v>
      </c>
      <c r="J168" s="3">
        <v>0</v>
      </c>
      <c r="K168" s="3">
        <v>4</v>
      </c>
      <c r="L168" s="3">
        <v>0</v>
      </c>
      <c r="M168" s="3">
        <v>0</v>
      </c>
      <c r="N168" s="3" t="s">
        <v>5218</v>
      </c>
      <c r="O168" s="3">
        <v>4</v>
      </c>
      <c r="P168" s="3">
        <v>3.96</v>
      </c>
      <c r="Q168" s="3">
        <v>0</v>
      </c>
      <c r="R168" s="3">
        <v>0</v>
      </c>
      <c r="S168" s="3">
        <v>0</v>
      </c>
      <c r="T168" s="3">
        <v>0</v>
      </c>
      <c r="U168" s="3">
        <v>0</v>
      </c>
      <c r="V168" s="3">
        <v>0</v>
      </c>
      <c r="W168" s="3" t="s">
        <v>5219</v>
      </c>
      <c r="X168" s="3">
        <v>23.98</v>
      </c>
      <c r="Y168" s="3">
        <v>23.98</v>
      </c>
      <c r="Z168" s="3">
        <v>23.98</v>
      </c>
      <c r="AA168" s="3">
        <v>0</v>
      </c>
      <c r="AB168" s="3" t="s">
        <v>5220</v>
      </c>
      <c r="AC168" s="3">
        <v>0</v>
      </c>
      <c r="AD168" s="3">
        <v>22.02</v>
      </c>
      <c r="AE168" s="3">
        <v>147</v>
      </c>
      <c r="AF168" s="3">
        <v>0</v>
      </c>
      <c r="AG168" s="3">
        <v>84.526885</v>
      </c>
      <c r="AH168" s="3">
        <v>0</v>
      </c>
      <c r="AI168" s="3" t="s">
        <v>5298</v>
      </c>
      <c r="AJ168" s="3" t="s">
        <v>5222</v>
      </c>
    </row>
    <row r="169" spans="1:36">
      <c r="A169" s="5">
        <v>43288</v>
      </c>
      <c r="B169" s="3" t="s">
        <v>1094</v>
      </c>
      <c r="C169" s="3" t="s">
        <v>1095</v>
      </c>
      <c r="D169" s="3" t="s">
        <v>1096</v>
      </c>
      <c r="E169" s="3" t="s">
        <v>1097</v>
      </c>
      <c r="F169" s="3" t="s">
        <v>120</v>
      </c>
      <c r="G169" s="3">
        <v>38</v>
      </c>
      <c r="H169" s="3">
        <v>0</v>
      </c>
      <c r="I169" s="3">
        <v>38</v>
      </c>
      <c r="J169" s="3">
        <v>0</v>
      </c>
      <c r="K169" s="3">
        <v>0</v>
      </c>
      <c r="L169" s="3">
        <v>0</v>
      </c>
      <c r="M169" s="3">
        <v>0</v>
      </c>
      <c r="N169" s="3" t="s">
        <v>5218</v>
      </c>
      <c r="O169" s="3">
        <v>0</v>
      </c>
      <c r="P169" s="3">
        <v>0</v>
      </c>
      <c r="Q169" s="3">
        <v>0</v>
      </c>
      <c r="R169" s="3">
        <v>0</v>
      </c>
      <c r="S169" s="3">
        <v>2</v>
      </c>
      <c r="T169" s="3">
        <v>2</v>
      </c>
      <c r="U169" s="3">
        <v>2</v>
      </c>
      <c r="V169" s="3">
        <v>2</v>
      </c>
      <c r="W169" s="3"/>
      <c r="X169" s="3">
        <v>22.98</v>
      </c>
      <c r="Y169" s="3">
        <v>22.98</v>
      </c>
      <c r="Z169" s="3">
        <v>22.98</v>
      </c>
      <c r="AA169" s="3">
        <v>0</v>
      </c>
      <c r="AB169" s="3" t="s">
        <v>5223</v>
      </c>
      <c r="AC169" s="3">
        <v>18</v>
      </c>
      <c r="AD169" s="3">
        <v>22.98</v>
      </c>
      <c r="AE169" s="3">
        <v>0</v>
      </c>
      <c r="AF169" s="3">
        <v>0</v>
      </c>
      <c r="AG169" s="3">
        <v>0</v>
      </c>
      <c r="AH169" s="3">
        <v>1.89010989010989</v>
      </c>
      <c r="AI169" s="3" t="s">
        <v>5299</v>
      </c>
      <c r="AJ169" s="3" t="s">
        <v>5222</v>
      </c>
    </row>
    <row r="170" spans="1:36">
      <c r="A170" s="5">
        <v>43288</v>
      </c>
      <c r="B170" s="3" t="s">
        <v>2009</v>
      </c>
      <c r="C170" s="3" t="s">
        <v>182</v>
      </c>
      <c r="D170" s="3" t="s">
        <v>182</v>
      </c>
      <c r="E170" s="3" t="s">
        <v>2010</v>
      </c>
      <c r="F170" s="3" t="s">
        <v>120</v>
      </c>
      <c r="G170" s="3">
        <v>31</v>
      </c>
      <c r="H170" s="3">
        <v>0</v>
      </c>
      <c r="I170" s="3">
        <v>1</v>
      </c>
      <c r="J170" s="3">
        <v>2</v>
      </c>
      <c r="K170" s="3">
        <v>28</v>
      </c>
      <c r="L170" s="3">
        <v>0</v>
      </c>
      <c r="M170" s="3">
        <v>0</v>
      </c>
      <c r="N170" s="3" t="s">
        <v>5218</v>
      </c>
      <c r="O170" s="3">
        <v>29</v>
      </c>
      <c r="P170" s="3">
        <v>54.26</v>
      </c>
      <c r="Q170" s="3">
        <v>0</v>
      </c>
      <c r="R170" s="3">
        <v>0</v>
      </c>
      <c r="S170" s="3">
        <v>0</v>
      </c>
      <c r="T170" s="3">
        <v>1</v>
      </c>
      <c r="U170" s="3">
        <v>3</v>
      </c>
      <c r="V170" s="3">
        <v>3</v>
      </c>
      <c r="W170" s="3" t="s">
        <v>5219</v>
      </c>
      <c r="X170" s="3">
        <v>22.98</v>
      </c>
      <c r="Y170" s="3">
        <v>22.98</v>
      </c>
      <c r="Z170" s="3">
        <v>22.98</v>
      </c>
      <c r="AA170" s="3">
        <v>0</v>
      </c>
      <c r="AB170" s="3" t="s">
        <v>5220</v>
      </c>
      <c r="AC170" s="3">
        <v>21</v>
      </c>
      <c r="AD170" s="3">
        <v>19.63</v>
      </c>
      <c r="AE170" s="3">
        <v>112</v>
      </c>
      <c r="AF170" s="3">
        <v>0</v>
      </c>
      <c r="AG170" s="3">
        <v>14.399057</v>
      </c>
      <c r="AH170" s="3">
        <v>0.0916030534351145</v>
      </c>
      <c r="AI170" s="3" t="s">
        <v>5270</v>
      </c>
      <c r="AJ170" s="3" t="s">
        <v>5222</v>
      </c>
    </row>
    <row r="171" spans="1:36">
      <c r="A171" s="5">
        <v>43288</v>
      </c>
      <c r="B171" s="3" t="s">
        <v>2248</v>
      </c>
      <c r="C171" s="3" t="s">
        <v>2249</v>
      </c>
      <c r="D171" s="3" t="s">
        <v>2249</v>
      </c>
      <c r="E171" s="3" t="s">
        <v>2250</v>
      </c>
      <c r="F171" s="3" t="s">
        <v>120</v>
      </c>
      <c r="G171" s="3">
        <v>1</v>
      </c>
      <c r="H171" s="3">
        <v>0</v>
      </c>
      <c r="I171" s="3">
        <v>1</v>
      </c>
      <c r="J171" s="3">
        <v>0</v>
      </c>
      <c r="K171" s="3">
        <v>0</v>
      </c>
      <c r="L171" s="3">
        <v>0</v>
      </c>
      <c r="M171" s="3">
        <v>0</v>
      </c>
      <c r="N171" s="3" t="s">
        <v>5218</v>
      </c>
      <c r="O171" s="3">
        <v>0</v>
      </c>
      <c r="P171" s="3">
        <v>0</v>
      </c>
      <c r="Q171" s="3">
        <v>0</v>
      </c>
      <c r="R171" s="3">
        <v>0</v>
      </c>
      <c r="S171" s="3">
        <v>0</v>
      </c>
      <c r="T171" s="3">
        <v>0</v>
      </c>
      <c r="U171" s="3">
        <v>6</v>
      </c>
      <c r="V171" s="3">
        <v>9</v>
      </c>
      <c r="W171" s="3" t="s">
        <v>5219</v>
      </c>
      <c r="X171" s="3">
        <v>24.98</v>
      </c>
      <c r="Y171" s="3">
        <v>24.98</v>
      </c>
      <c r="Z171" s="3">
        <v>24.98</v>
      </c>
      <c r="AA171" s="3">
        <v>0</v>
      </c>
      <c r="AB171" s="3" t="s">
        <v>5220</v>
      </c>
      <c r="AC171" s="3">
        <v>0</v>
      </c>
      <c r="AD171" s="3">
        <v>21.83</v>
      </c>
      <c r="AE171" s="3">
        <v>28</v>
      </c>
      <c r="AF171" s="3">
        <v>0</v>
      </c>
      <c r="AG171" s="3">
        <v>5.315817</v>
      </c>
      <c r="AH171" s="3">
        <v>3.27272727272727</v>
      </c>
      <c r="AI171" s="3" t="s">
        <v>5300</v>
      </c>
      <c r="AJ171" s="3" t="s">
        <v>5222</v>
      </c>
    </row>
    <row r="172" spans="1:36">
      <c r="A172" s="5">
        <v>43288</v>
      </c>
      <c r="B172" s="3" t="s">
        <v>4198</v>
      </c>
      <c r="C172" s="3" t="s">
        <v>4199</v>
      </c>
      <c r="D172" s="3" t="s">
        <v>4199</v>
      </c>
      <c r="E172" s="3" t="s">
        <v>4200</v>
      </c>
      <c r="F172" s="3" t="s">
        <v>120</v>
      </c>
      <c r="G172" s="3">
        <v>16</v>
      </c>
      <c r="H172" s="3">
        <v>0</v>
      </c>
      <c r="I172" s="3">
        <v>16</v>
      </c>
      <c r="J172" s="3">
        <v>0</v>
      </c>
      <c r="K172" s="3">
        <v>0</v>
      </c>
      <c r="L172" s="3">
        <v>0</v>
      </c>
      <c r="M172" s="3">
        <v>0</v>
      </c>
      <c r="N172" s="3" t="s">
        <v>5218</v>
      </c>
      <c r="O172" s="3">
        <v>0</v>
      </c>
      <c r="P172" s="3">
        <v>0</v>
      </c>
      <c r="Q172" s="3">
        <v>0</v>
      </c>
      <c r="R172" s="3">
        <v>0</v>
      </c>
      <c r="S172" s="3">
        <v>0</v>
      </c>
      <c r="T172" s="3">
        <v>4</v>
      </c>
      <c r="U172" s="3">
        <v>12</v>
      </c>
      <c r="V172" s="3">
        <v>17</v>
      </c>
      <c r="W172" s="3"/>
      <c r="X172" s="3">
        <v>22.98</v>
      </c>
      <c r="Y172" s="3">
        <v>22.98</v>
      </c>
      <c r="Z172" s="3">
        <v>22.98</v>
      </c>
      <c r="AA172" s="3">
        <v>0</v>
      </c>
      <c r="AB172" s="3" t="s">
        <v>5223</v>
      </c>
      <c r="AC172" s="3">
        <v>16</v>
      </c>
      <c r="AD172" s="3">
        <v>22.98</v>
      </c>
      <c r="AE172" s="3">
        <v>0</v>
      </c>
      <c r="AF172" s="3">
        <v>0</v>
      </c>
      <c r="AG172" s="3">
        <v>0</v>
      </c>
      <c r="AH172" s="3">
        <v>3.4</v>
      </c>
      <c r="AI172" s="3" t="s">
        <v>5226</v>
      </c>
      <c r="AJ172" s="3" t="s">
        <v>5222</v>
      </c>
    </row>
    <row r="173" spans="1:36">
      <c r="A173" s="5">
        <v>43288</v>
      </c>
      <c r="B173" s="3" t="s">
        <v>751</v>
      </c>
      <c r="C173" s="3" t="s">
        <v>752</v>
      </c>
      <c r="D173" s="3" t="s">
        <v>674</v>
      </c>
      <c r="E173" s="3" t="s">
        <v>675</v>
      </c>
      <c r="F173" s="3" t="s">
        <v>120</v>
      </c>
      <c r="G173" s="3">
        <v>28</v>
      </c>
      <c r="H173" s="3">
        <v>0</v>
      </c>
      <c r="I173" s="3">
        <v>28</v>
      </c>
      <c r="J173" s="3">
        <v>0</v>
      </c>
      <c r="K173" s="3">
        <v>0</v>
      </c>
      <c r="L173" s="3">
        <v>0</v>
      </c>
      <c r="M173" s="3">
        <v>0</v>
      </c>
      <c r="N173" s="3" t="s">
        <v>5218</v>
      </c>
      <c r="O173" s="3">
        <v>0</v>
      </c>
      <c r="P173" s="3">
        <v>0</v>
      </c>
      <c r="Q173" s="3">
        <v>0</v>
      </c>
      <c r="R173" s="3">
        <v>0</v>
      </c>
      <c r="S173" s="3">
        <v>0</v>
      </c>
      <c r="T173" s="3">
        <v>0</v>
      </c>
      <c r="U173" s="3">
        <v>0</v>
      </c>
      <c r="V173" s="3">
        <v>0</v>
      </c>
      <c r="W173" s="3" t="s">
        <v>5227</v>
      </c>
      <c r="X173" s="3">
        <v>24.98</v>
      </c>
      <c r="Y173" s="3">
        <v>24.98</v>
      </c>
      <c r="Z173" s="3">
        <v>24.98</v>
      </c>
      <c r="AA173" s="3">
        <v>0</v>
      </c>
      <c r="AB173" s="3" t="s">
        <v>5223</v>
      </c>
      <c r="AC173" s="3">
        <v>22</v>
      </c>
      <c r="AD173" s="3">
        <v>24.98</v>
      </c>
      <c r="AE173" s="3">
        <v>0</v>
      </c>
      <c r="AF173" s="3">
        <v>0</v>
      </c>
      <c r="AG173" s="3">
        <v>0</v>
      </c>
      <c r="AH173" s="3">
        <v>1.23076923076923</v>
      </c>
      <c r="AI173" s="3" t="s">
        <v>5250</v>
      </c>
      <c r="AJ173" s="3" t="s">
        <v>5222</v>
      </c>
    </row>
    <row r="174" spans="1:36">
      <c r="A174" s="5">
        <v>43288</v>
      </c>
      <c r="B174" s="3" t="s">
        <v>4581</v>
      </c>
      <c r="C174" s="3" t="s">
        <v>4047</v>
      </c>
      <c r="D174" s="3" t="s">
        <v>4047</v>
      </c>
      <c r="E174" s="3" t="s">
        <v>4048</v>
      </c>
      <c r="F174" s="3" t="s">
        <v>120</v>
      </c>
      <c r="G174" s="3">
        <v>6</v>
      </c>
      <c r="H174" s="3">
        <v>0</v>
      </c>
      <c r="I174" s="3">
        <v>6</v>
      </c>
      <c r="J174" s="3">
        <v>0</v>
      </c>
      <c r="K174" s="3">
        <v>0</v>
      </c>
      <c r="L174" s="3">
        <v>0</v>
      </c>
      <c r="M174" s="3">
        <v>0</v>
      </c>
      <c r="N174" s="3" t="s">
        <v>5218</v>
      </c>
      <c r="O174" s="3">
        <v>0</v>
      </c>
      <c r="P174" s="3">
        <v>0</v>
      </c>
      <c r="Q174" s="3">
        <v>0</v>
      </c>
      <c r="R174" s="3">
        <v>0</v>
      </c>
      <c r="S174" s="3">
        <v>0</v>
      </c>
      <c r="T174" s="3">
        <v>1</v>
      </c>
      <c r="U174" s="3">
        <v>4</v>
      </c>
      <c r="V174" s="3">
        <v>5</v>
      </c>
      <c r="W174" s="3"/>
      <c r="X174" s="3">
        <v>20.98</v>
      </c>
      <c r="Y174" s="3">
        <v>20.98</v>
      </c>
      <c r="Z174" s="3">
        <v>20.98</v>
      </c>
      <c r="AA174" s="3">
        <v>0</v>
      </c>
      <c r="AB174" s="3" t="s">
        <v>5223</v>
      </c>
      <c r="AC174" s="3">
        <v>6</v>
      </c>
      <c r="AD174" s="3">
        <v>20.98</v>
      </c>
      <c r="AE174" s="3">
        <v>0</v>
      </c>
      <c r="AF174" s="3">
        <v>0</v>
      </c>
      <c r="AG174" s="3">
        <v>0</v>
      </c>
      <c r="AH174" s="3">
        <v>1.42857142857142</v>
      </c>
      <c r="AI174" s="3" t="s">
        <v>5226</v>
      </c>
      <c r="AJ174" s="3" t="s">
        <v>5222</v>
      </c>
    </row>
    <row r="175" spans="1:36">
      <c r="A175" s="5">
        <v>43288</v>
      </c>
      <c r="B175" s="3" t="s">
        <v>3009</v>
      </c>
      <c r="C175" s="3" t="s">
        <v>3010</v>
      </c>
      <c r="D175" s="3" t="s">
        <v>3010</v>
      </c>
      <c r="E175" s="3" t="s">
        <v>3011</v>
      </c>
      <c r="F175" s="3" t="s">
        <v>120</v>
      </c>
      <c r="G175" s="3">
        <v>34</v>
      </c>
      <c r="H175" s="3">
        <v>0</v>
      </c>
      <c r="I175" s="3">
        <v>34</v>
      </c>
      <c r="J175" s="3">
        <v>0</v>
      </c>
      <c r="K175" s="3">
        <v>0</v>
      </c>
      <c r="L175" s="3">
        <v>0</v>
      </c>
      <c r="M175" s="3">
        <v>0</v>
      </c>
      <c r="N175" s="3" t="s">
        <v>5218</v>
      </c>
      <c r="O175" s="3">
        <v>0</v>
      </c>
      <c r="P175" s="3">
        <v>0</v>
      </c>
      <c r="Q175" s="3">
        <v>0</v>
      </c>
      <c r="R175" s="3">
        <v>0</v>
      </c>
      <c r="S175" s="3">
        <v>1</v>
      </c>
      <c r="T175" s="3">
        <v>4</v>
      </c>
      <c r="U175" s="3">
        <v>12</v>
      </c>
      <c r="V175" s="3">
        <v>17</v>
      </c>
      <c r="W175" s="3" t="s">
        <v>5227</v>
      </c>
      <c r="X175" s="3">
        <v>23.98</v>
      </c>
      <c r="Y175" s="3">
        <v>23.98</v>
      </c>
      <c r="Z175" s="3">
        <v>23.98</v>
      </c>
      <c r="AA175" s="3">
        <v>0</v>
      </c>
      <c r="AB175" s="3" t="s">
        <v>5228</v>
      </c>
      <c r="AC175" s="3">
        <v>1</v>
      </c>
      <c r="AD175" s="3">
        <v>19.18</v>
      </c>
      <c r="AE175" s="3">
        <v>364</v>
      </c>
      <c r="AF175" s="3">
        <v>0</v>
      </c>
      <c r="AG175" s="3">
        <v>406.359622</v>
      </c>
      <c r="AH175" s="3">
        <v>0.686868686868686</v>
      </c>
      <c r="AI175" s="3" t="s">
        <v>5301</v>
      </c>
      <c r="AJ175" s="3" t="s">
        <v>5222</v>
      </c>
    </row>
    <row r="176" spans="1:36">
      <c r="A176" s="5">
        <v>43288</v>
      </c>
      <c r="B176" s="3" t="s">
        <v>3305</v>
      </c>
      <c r="C176" s="3" t="s">
        <v>3306</v>
      </c>
      <c r="D176" s="3" t="s">
        <v>3307</v>
      </c>
      <c r="E176" s="3" t="s">
        <v>3308</v>
      </c>
      <c r="F176" s="3" t="s">
        <v>120</v>
      </c>
      <c r="G176" s="3">
        <v>29</v>
      </c>
      <c r="H176" s="3">
        <v>0</v>
      </c>
      <c r="I176" s="3">
        <v>29</v>
      </c>
      <c r="J176" s="3">
        <v>0</v>
      </c>
      <c r="K176" s="3">
        <v>0</v>
      </c>
      <c r="L176" s="3">
        <v>0</v>
      </c>
      <c r="M176" s="3">
        <v>0</v>
      </c>
      <c r="N176" s="3" t="s">
        <v>5218</v>
      </c>
      <c r="O176" s="3">
        <v>0</v>
      </c>
      <c r="P176" s="3">
        <v>0</v>
      </c>
      <c r="Q176" s="3">
        <v>0</v>
      </c>
      <c r="R176" s="3">
        <v>0</v>
      </c>
      <c r="S176" s="3">
        <v>4</v>
      </c>
      <c r="T176" s="3">
        <v>24</v>
      </c>
      <c r="U176" s="3">
        <v>24</v>
      </c>
      <c r="V176" s="3">
        <v>24</v>
      </c>
      <c r="W176" s="3"/>
      <c r="X176" s="3">
        <v>69.9</v>
      </c>
      <c r="Y176" s="3">
        <v>24.98</v>
      </c>
      <c r="Z176" s="3">
        <v>24.98</v>
      </c>
      <c r="AA176" s="3">
        <v>0</v>
      </c>
      <c r="AB176" s="3" t="s">
        <v>5223</v>
      </c>
      <c r="AC176" s="3">
        <v>0</v>
      </c>
      <c r="AD176" s="3">
        <v>0</v>
      </c>
      <c r="AE176" s="3">
        <v>0</v>
      </c>
      <c r="AF176" s="3">
        <v>0</v>
      </c>
      <c r="AG176" s="3">
        <v>0</v>
      </c>
      <c r="AH176" s="3">
        <v>3.42857142857142</v>
      </c>
      <c r="AI176" s="3" t="s">
        <v>5241</v>
      </c>
      <c r="AJ176" s="3" t="s">
        <v>5242</v>
      </c>
    </row>
    <row r="177" spans="1:36">
      <c r="A177" s="5">
        <v>43288</v>
      </c>
      <c r="B177" s="3" t="s">
        <v>4429</v>
      </c>
      <c r="C177" s="3" t="s">
        <v>3570</v>
      </c>
      <c r="D177" s="3" t="s">
        <v>3570</v>
      </c>
      <c r="E177" s="3" t="s">
        <v>3571</v>
      </c>
      <c r="F177" s="3" t="s">
        <v>120</v>
      </c>
      <c r="G177" s="3">
        <v>5</v>
      </c>
      <c r="H177" s="3">
        <v>0</v>
      </c>
      <c r="I177" s="3">
        <v>2</v>
      </c>
      <c r="J177" s="3">
        <v>0</v>
      </c>
      <c r="K177" s="3">
        <v>3</v>
      </c>
      <c r="L177" s="3">
        <v>0</v>
      </c>
      <c r="M177" s="3">
        <v>0</v>
      </c>
      <c r="N177" s="3" t="s">
        <v>5218</v>
      </c>
      <c r="O177" s="3">
        <v>3</v>
      </c>
      <c r="P177" s="3">
        <v>4.63</v>
      </c>
      <c r="Q177" s="3">
        <v>0</v>
      </c>
      <c r="R177" s="3">
        <v>0</v>
      </c>
      <c r="S177" s="3">
        <v>0</v>
      </c>
      <c r="T177" s="3">
        <v>0</v>
      </c>
      <c r="U177" s="3">
        <v>2</v>
      </c>
      <c r="V177" s="3">
        <v>4</v>
      </c>
      <c r="W177" s="3" t="s">
        <v>5227</v>
      </c>
      <c r="X177" s="3">
        <v>24.98</v>
      </c>
      <c r="Y177" s="3">
        <v>24.98</v>
      </c>
      <c r="Z177" s="3">
        <v>24.98</v>
      </c>
      <c r="AA177" s="3">
        <v>0</v>
      </c>
      <c r="AB177" s="3" t="s">
        <v>5228</v>
      </c>
      <c r="AC177" s="3">
        <v>0</v>
      </c>
      <c r="AD177" s="3">
        <v>22.58</v>
      </c>
      <c r="AE177" s="3">
        <v>84</v>
      </c>
      <c r="AF177" s="3">
        <v>0</v>
      </c>
      <c r="AG177" s="3">
        <v>139.919763</v>
      </c>
      <c r="AH177" s="3">
        <v>0.761904761904761</v>
      </c>
      <c r="AI177" s="3" t="s">
        <v>5262</v>
      </c>
      <c r="AJ177" s="3" t="s">
        <v>5222</v>
      </c>
    </row>
    <row r="178" spans="1:36">
      <c r="A178" s="5">
        <v>43288</v>
      </c>
      <c r="B178" s="3" t="s">
        <v>1254</v>
      </c>
      <c r="C178" s="3" t="s">
        <v>1255</v>
      </c>
      <c r="D178" s="3" t="s">
        <v>539</v>
      </c>
      <c r="E178" s="3" t="s">
        <v>788</v>
      </c>
      <c r="F178" s="3" t="s">
        <v>120</v>
      </c>
      <c r="G178" s="3">
        <v>17</v>
      </c>
      <c r="H178" s="3">
        <v>0</v>
      </c>
      <c r="I178" s="3">
        <v>17</v>
      </c>
      <c r="J178" s="3">
        <v>0</v>
      </c>
      <c r="K178" s="3">
        <v>0</v>
      </c>
      <c r="L178" s="3">
        <v>0</v>
      </c>
      <c r="M178" s="3">
        <v>0</v>
      </c>
      <c r="N178" s="3" t="s">
        <v>5218</v>
      </c>
      <c r="O178" s="3">
        <v>0</v>
      </c>
      <c r="P178" s="3">
        <v>0</v>
      </c>
      <c r="Q178" s="3">
        <v>0</v>
      </c>
      <c r="R178" s="3">
        <v>0</v>
      </c>
      <c r="S178" s="3">
        <v>0</v>
      </c>
      <c r="T178" s="3">
        <v>2</v>
      </c>
      <c r="U178" s="3">
        <v>2</v>
      </c>
      <c r="V178" s="3">
        <v>2</v>
      </c>
      <c r="W178" s="3" t="s">
        <v>5227</v>
      </c>
      <c r="X178" s="3">
        <v>39.98</v>
      </c>
      <c r="Y178" s="3">
        <v>22.98</v>
      </c>
      <c r="Z178" s="3">
        <v>22.98</v>
      </c>
      <c r="AA178" s="3">
        <v>0</v>
      </c>
      <c r="AB178" s="3" t="s">
        <v>5223</v>
      </c>
      <c r="AC178" s="3">
        <v>18</v>
      </c>
      <c r="AD178" s="3">
        <v>22.98</v>
      </c>
      <c r="AE178" s="3">
        <v>0</v>
      </c>
      <c r="AF178" s="3">
        <v>0</v>
      </c>
      <c r="AG178" s="3">
        <v>0</v>
      </c>
      <c r="AH178" s="3">
        <v>1.24137931034482</v>
      </c>
      <c r="AI178" s="3" t="s">
        <v>5225</v>
      </c>
      <c r="AJ178" s="3" t="s">
        <v>5222</v>
      </c>
    </row>
    <row r="179" spans="1:36">
      <c r="A179" s="5">
        <v>43288</v>
      </c>
      <c r="B179" s="3" t="s">
        <v>1446</v>
      </c>
      <c r="C179" s="3" t="s">
        <v>1447</v>
      </c>
      <c r="D179" s="3" t="s">
        <v>1448</v>
      </c>
      <c r="E179" s="3" t="s">
        <v>1449</v>
      </c>
      <c r="F179" s="3" t="s">
        <v>120</v>
      </c>
      <c r="G179" s="3">
        <v>20</v>
      </c>
      <c r="H179" s="3">
        <v>0</v>
      </c>
      <c r="I179" s="3">
        <v>20</v>
      </c>
      <c r="J179" s="3">
        <v>0</v>
      </c>
      <c r="K179" s="3">
        <v>0</v>
      </c>
      <c r="L179" s="3">
        <v>0</v>
      </c>
      <c r="M179" s="3">
        <v>0</v>
      </c>
      <c r="N179" s="3" t="s">
        <v>5218</v>
      </c>
      <c r="O179" s="3">
        <v>0</v>
      </c>
      <c r="P179" s="3">
        <v>0</v>
      </c>
      <c r="Q179" s="3">
        <v>0</v>
      </c>
      <c r="R179" s="3">
        <v>0</v>
      </c>
      <c r="S179" s="3">
        <v>0</v>
      </c>
      <c r="T179" s="3">
        <v>0</v>
      </c>
      <c r="U179" s="3">
        <v>0</v>
      </c>
      <c r="V179" s="3">
        <v>0</v>
      </c>
      <c r="W179" s="3" t="s">
        <v>5227</v>
      </c>
      <c r="X179" s="3">
        <v>23.98</v>
      </c>
      <c r="Y179" s="3">
        <v>23.98</v>
      </c>
      <c r="Z179" s="3">
        <v>23.98</v>
      </c>
      <c r="AA179" s="3">
        <v>0</v>
      </c>
      <c r="AB179" s="3" t="s">
        <v>5223</v>
      </c>
      <c r="AC179" s="3">
        <v>0</v>
      </c>
      <c r="AD179" s="3">
        <v>0</v>
      </c>
      <c r="AE179" s="3">
        <v>0</v>
      </c>
      <c r="AF179" s="3">
        <v>0</v>
      </c>
      <c r="AG179" s="3">
        <v>0</v>
      </c>
      <c r="AH179" s="3">
        <v>0</v>
      </c>
      <c r="AI179" s="3" t="s">
        <v>5236</v>
      </c>
      <c r="AJ179" s="3" t="s">
        <v>5222</v>
      </c>
    </row>
    <row r="180" spans="1:36">
      <c r="A180" s="5">
        <v>43288</v>
      </c>
      <c r="B180" s="3" t="s">
        <v>5127</v>
      </c>
      <c r="C180" s="3" t="s">
        <v>5128</v>
      </c>
      <c r="D180" s="3" t="s">
        <v>5128</v>
      </c>
      <c r="E180" s="3" t="s">
        <v>5129</v>
      </c>
      <c r="F180" s="3" t="s">
        <v>120</v>
      </c>
      <c r="G180" s="3">
        <v>7</v>
      </c>
      <c r="H180" s="3">
        <v>0</v>
      </c>
      <c r="I180" s="3">
        <v>0</v>
      </c>
      <c r="J180" s="3">
        <v>4</v>
      </c>
      <c r="K180" s="3">
        <v>3</v>
      </c>
      <c r="L180" s="3">
        <v>0</v>
      </c>
      <c r="M180" s="3">
        <v>0</v>
      </c>
      <c r="N180" s="3" t="s">
        <v>5218</v>
      </c>
      <c r="O180" s="3">
        <v>7</v>
      </c>
      <c r="P180" s="3">
        <v>25.27</v>
      </c>
      <c r="Q180" s="3">
        <v>0</v>
      </c>
      <c r="R180" s="3">
        <v>0</v>
      </c>
      <c r="S180" s="3">
        <v>0</v>
      </c>
      <c r="T180" s="3">
        <v>0</v>
      </c>
      <c r="U180" s="3">
        <v>1</v>
      </c>
      <c r="V180" s="3">
        <v>1</v>
      </c>
      <c r="W180" s="3" t="s">
        <v>5219</v>
      </c>
      <c r="X180" s="3">
        <v>29.98</v>
      </c>
      <c r="Y180" s="3">
        <v>29.98</v>
      </c>
      <c r="Z180" s="3">
        <v>29.98</v>
      </c>
      <c r="AA180" s="3">
        <v>0</v>
      </c>
      <c r="AB180" s="3" t="s">
        <v>5228</v>
      </c>
      <c r="AC180" s="3">
        <v>1</v>
      </c>
      <c r="AD180" s="3">
        <v>25.63</v>
      </c>
      <c r="AE180" s="3">
        <v>35</v>
      </c>
      <c r="AF180" s="3">
        <v>0</v>
      </c>
      <c r="AG180" s="3">
        <v>360.729796</v>
      </c>
      <c r="AH180" s="3">
        <v>0.133333333333333</v>
      </c>
      <c r="AI180" s="3" t="s">
        <v>5302</v>
      </c>
      <c r="AJ180" s="3" t="s">
        <v>5222</v>
      </c>
    </row>
    <row r="181" spans="1:36">
      <c r="A181" s="5">
        <v>43288</v>
      </c>
      <c r="B181" s="3" t="s">
        <v>4285</v>
      </c>
      <c r="C181" s="3" t="s">
        <v>4286</v>
      </c>
      <c r="D181" s="3" t="s">
        <v>4286</v>
      </c>
      <c r="E181" s="3" t="s">
        <v>4287</v>
      </c>
      <c r="F181" s="3" t="s">
        <v>120</v>
      </c>
      <c r="G181" s="3">
        <v>7</v>
      </c>
      <c r="H181" s="3">
        <v>0</v>
      </c>
      <c r="I181" s="3">
        <v>7</v>
      </c>
      <c r="J181" s="3">
        <v>0</v>
      </c>
      <c r="K181" s="3">
        <v>0</v>
      </c>
      <c r="L181" s="3">
        <v>0</v>
      </c>
      <c r="M181" s="3">
        <v>0</v>
      </c>
      <c r="N181" s="3" t="s">
        <v>5218</v>
      </c>
      <c r="O181" s="3">
        <v>0</v>
      </c>
      <c r="P181" s="3">
        <v>0</v>
      </c>
      <c r="Q181" s="3">
        <v>0</v>
      </c>
      <c r="R181" s="3">
        <v>0</v>
      </c>
      <c r="S181" s="3">
        <v>1</v>
      </c>
      <c r="T181" s="3">
        <v>7</v>
      </c>
      <c r="U181" s="3">
        <v>19</v>
      </c>
      <c r="V181" s="3">
        <v>24</v>
      </c>
      <c r="W181" s="3"/>
      <c r="X181" s="3">
        <v>23.98</v>
      </c>
      <c r="Y181" s="3">
        <v>23.98</v>
      </c>
      <c r="Z181" s="3">
        <v>23.98</v>
      </c>
      <c r="AA181" s="3">
        <v>0</v>
      </c>
      <c r="AB181" s="3" t="s">
        <v>5223</v>
      </c>
      <c r="AC181" s="3">
        <v>9</v>
      </c>
      <c r="AD181" s="3">
        <v>23.98</v>
      </c>
      <c r="AE181" s="3">
        <v>0</v>
      </c>
      <c r="AF181" s="3">
        <v>0</v>
      </c>
      <c r="AG181" s="3">
        <v>0</v>
      </c>
      <c r="AH181" s="3">
        <v>3.2</v>
      </c>
      <c r="AI181" s="3" t="s">
        <v>5303</v>
      </c>
      <c r="AJ181" s="3" t="s">
        <v>5222</v>
      </c>
    </row>
    <row r="182" spans="1:36">
      <c r="A182" s="5">
        <v>43288</v>
      </c>
      <c r="B182" s="3" t="s">
        <v>803</v>
      </c>
      <c r="C182" s="3" t="s">
        <v>558</v>
      </c>
      <c r="D182" s="3" t="s">
        <v>558</v>
      </c>
      <c r="E182" s="3" t="s">
        <v>588</v>
      </c>
      <c r="F182" s="3" t="s">
        <v>120</v>
      </c>
      <c r="G182" s="3">
        <v>6</v>
      </c>
      <c r="H182" s="3">
        <v>0</v>
      </c>
      <c r="I182" s="3">
        <v>6</v>
      </c>
      <c r="J182" s="3">
        <v>0</v>
      </c>
      <c r="K182" s="3">
        <v>0</v>
      </c>
      <c r="L182" s="3">
        <v>0</v>
      </c>
      <c r="M182" s="3">
        <v>0</v>
      </c>
      <c r="N182" s="3" t="s">
        <v>5218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">
        <v>0</v>
      </c>
      <c r="U182" s="3">
        <v>2</v>
      </c>
      <c r="V182" s="3">
        <v>4</v>
      </c>
      <c r="W182" s="3" t="s">
        <v>5219</v>
      </c>
      <c r="X182" s="3">
        <v>22.98</v>
      </c>
      <c r="Y182" s="3">
        <v>22.98</v>
      </c>
      <c r="Z182" s="3">
        <v>22.5</v>
      </c>
      <c r="AA182" s="3">
        <v>0</v>
      </c>
      <c r="AB182" s="3" t="s">
        <v>5220</v>
      </c>
      <c r="AC182" s="3">
        <v>6</v>
      </c>
      <c r="AD182" s="3">
        <v>22.98</v>
      </c>
      <c r="AE182" s="3">
        <v>0</v>
      </c>
      <c r="AF182" s="3">
        <v>0</v>
      </c>
      <c r="AG182" s="3">
        <v>0</v>
      </c>
      <c r="AH182" s="3">
        <v>0.666666666666666</v>
      </c>
      <c r="AI182" s="3" t="s">
        <v>5225</v>
      </c>
      <c r="AJ182" s="3" t="s">
        <v>5222</v>
      </c>
    </row>
    <row r="183" spans="1:36">
      <c r="A183" s="5">
        <v>43288</v>
      </c>
      <c r="B183" s="3" t="s">
        <v>2623</v>
      </c>
      <c r="C183" s="3" t="s">
        <v>18</v>
      </c>
      <c r="D183" s="3" t="s">
        <v>18</v>
      </c>
      <c r="E183" s="3" t="s">
        <v>1178</v>
      </c>
      <c r="F183" s="3" t="s">
        <v>120</v>
      </c>
      <c r="G183" s="3">
        <v>27</v>
      </c>
      <c r="H183" s="3">
        <v>0</v>
      </c>
      <c r="I183" s="3">
        <v>27</v>
      </c>
      <c r="J183" s="3">
        <v>0</v>
      </c>
      <c r="K183" s="3">
        <v>0</v>
      </c>
      <c r="L183" s="3">
        <v>0</v>
      </c>
      <c r="M183" s="3">
        <v>0</v>
      </c>
      <c r="N183" s="3" t="s">
        <v>5218</v>
      </c>
      <c r="O183" s="3">
        <v>0</v>
      </c>
      <c r="P183" s="3">
        <v>0</v>
      </c>
      <c r="Q183" s="3">
        <v>0</v>
      </c>
      <c r="R183" s="3">
        <v>0</v>
      </c>
      <c r="S183" s="3">
        <v>2</v>
      </c>
      <c r="T183" s="3">
        <v>7</v>
      </c>
      <c r="U183" s="3">
        <v>13</v>
      </c>
      <c r="V183" s="3">
        <v>17</v>
      </c>
      <c r="W183" s="3"/>
      <c r="X183" s="3">
        <v>22.98</v>
      </c>
      <c r="Y183" s="3">
        <v>22.98</v>
      </c>
      <c r="Z183" s="3">
        <v>22.98</v>
      </c>
      <c r="AA183" s="3">
        <v>0</v>
      </c>
      <c r="AB183" s="3" t="s">
        <v>5223</v>
      </c>
      <c r="AC183" s="3">
        <v>28</v>
      </c>
      <c r="AD183" s="3">
        <v>22.98</v>
      </c>
      <c r="AE183" s="3">
        <v>0</v>
      </c>
      <c r="AF183" s="3">
        <v>0</v>
      </c>
      <c r="AG183" s="3">
        <v>0</v>
      </c>
      <c r="AH183" s="3">
        <v>0.809523809523809</v>
      </c>
      <c r="AI183" s="3" t="s">
        <v>5238</v>
      </c>
      <c r="AJ183" s="3" t="s">
        <v>5222</v>
      </c>
    </row>
    <row r="184" spans="1:36">
      <c r="A184" s="5">
        <v>43288</v>
      </c>
      <c r="B184" s="3" t="s">
        <v>2561</v>
      </c>
      <c r="C184" s="3" t="s">
        <v>2562</v>
      </c>
      <c r="D184" s="3" t="s">
        <v>2562</v>
      </c>
      <c r="E184" s="3" t="s">
        <v>2563</v>
      </c>
      <c r="F184" s="3" t="s">
        <v>120</v>
      </c>
      <c r="G184" s="3">
        <v>16</v>
      </c>
      <c r="H184" s="3">
        <v>0</v>
      </c>
      <c r="I184" s="3">
        <v>0</v>
      </c>
      <c r="J184" s="3">
        <v>0</v>
      </c>
      <c r="K184" s="3">
        <v>16</v>
      </c>
      <c r="L184" s="3">
        <v>0</v>
      </c>
      <c r="M184" s="3">
        <v>0</v>
      </c>
      <c r="N184" s="3" t="s">
        <v>5218</v>
      </c>
      <c r="O184" s="3">
        <v>16</v>
      </c>
      <c r="P184" s="3">
        <v>35.72</v>
      </c>
      <c r="Q184" s="3">
        <v>0</v>
      </c>
      <c r="R184" s="3">
        <v>0</v>
      </c>
      <c r="S184" s="3">
        <v>0</v>
      </c>
      <c r="T184" s="3">
        <v>0</v>
      </c>
      <c r="U184" s="3">
        <v>2</v>
      </c>
      <c r="V184" s="3">
        <v>4</v>
      </c>
      <c r="W184" s="3" t="s">
        <v>5227</v>
      </c>
      <c r="X184" s="3">
        <v>32.99</v>
      </c>
      <c r="Y184" s="3">
        <v>16.63</v>
      </c>
      <c r="Z184" s="3">
        <v>16.63</v>
      </c>
      <c r="AA184" s="3">
        <v>0</v>
      </c>
      <c r="AB184" s="3" t="s">
        <v>5228</v>
      </c>
      <c r="AC184" s="3">
        <v>0</v>
      </c>
      <c r="AD184" s="3">
        <v>13</v>
      </c>
      <c r="AE184" s="3">
        <v>294</v>
      </c>
      <c r="AF184" s="3">
        <v>0</v>
      </c>
      <c r="AG184" s="3">
        <v>421.915244</v>
      </c>
      <c r="AH184" s="3">
        <v>0.216216216216216</v>
      </c>
      <c r="AI184" s="3" t="s">
        <v>5230</v>
      </c>
      <c r="AJ184" s="3" t="s">
        <v>5222</v>
      </c>
    </row>
    <row r="185" spans="1:36">
      <c r="A185" s="5">
        <v>43288</v>
      </c>
      <c r="B185" s="3" t="s">
        <v>1625</v>
      </c>
      <c r="C185" s="3" t="s">
        <v>1626</v>
      </c>
      <c r="D185" s="3" t="s">
        <v>1626</v>
      </c>
      <c r="E185" s="3" t="s">
        <v>1627</v>
      </c>
      <c r="F185" s="3" t="s">
        <v>120</v>
      </c>
      <c r="G185" s="3">
        <v>22</v>
      </c>
      <c r="H185" s="3">
        <v>0</v>
      </c>
      <c r="I185" s="3">
        <v>0</v>
      </c>
      <c r="J185" s="3">
        <v>0</v>
      </c>
      <c r="K185" s="3">
        <v>22</v>
      </c>
      <c r="L185" s="3">
        <v>0</v>
      </c>
      <c r="M185" s="3">
        <v>0</v>
      </c>
      <c r="N185" s="3" t="s">
        <v>5218</v>
      </c>
      <c r="O185" s="3">
        <v>22</v>
      </c>
      <c r="P185" s="3">
        <v>28.95</v>
      </c>
      <c r="Q185" s="3">
        <v>0</v>
      </c>
      <c r="R185" s="3">
        <v>0</v>
      </c>
      <c r="S185" s="3">
        <v>0</v>
      </c>
      <c r="T185" s="3">
        <v>2</v>
      </c>
      <c r="U185" s="3">
        <v>3</v>
      </c>
      <c r="V185" s="3">
        <v>5</v>
      </c>
      <c r="W185" s="3" t="s">
        <v>5227</v>
      </c>
      <c r="X185" s="3">
        <v>22.98</v>
      </c>
      <c r="Y185" s="3">
        <v>22.98</v>
      </c>
      <c r="Z185" s="3">
        <v>19.98</v>
      </c>
      <c r="AA185" s="3">
        <v>0</v>
      </c>
      <c r="AB185" s="3" t="s">
        <v>5223</v>
      </c>
      <c r="AC185" s="3">
        <v>22</v>
      </c>
      <c r="AD185" s="3">
        <v>22.98</v>
      </c>
      <c r="AE185" s="3">
        <v>0</v>
      </c>
      <c r="AF185" s="3">
        <v>0</v>
      </c>
      <c r="AG185" s="3">
        <v>0</v>
      </c>
      <c r="AH185" s="3">
        <v>0.204081632653061</v>
      </c>
      <c r="AI185" s="3" t="s">
        <v>5304</v>
      </c>
      <c r="AJ185" s="3" t="s">
        <v>5222</v>
      </c>
    </row>
    <row r="186" spans="1:36">
      <c r="A186" s="5">
        <v>43288</v>
      </c>
      <c r="B186" s="3" t="s">
        <v>5139</v>
      </c>
      <c r="C186" s="3" t="s">
        <v>5140</v>
      </c>
      <c r="D186" s="3" t="s">
        <v>5140</v>
      </c>
      <c r="E186" s="3" t="s">
        <v>5141</v>
      </c>
      <c r="F186" s="3" t="s">
        <v>120</v>
      </c>
      <c r="G186" s="3">
        <v>7</v>
      </c>
      <c r="H186" s="3">
        <v>0</v>
      </c>
      <c r="I186" s="3">
        <v>0</v>
      </c>
      <c r="J186" s="3">
        <v>3</v>
      </c>
      <c r="K186" s="3">
        <v>4</v>
      </c>
      <c r="L186" s="3">
        <v>0</v>
      </c>
      <c r="M186" s="3">
        <v>0</v>
      </c>
      <c r="N186" s="3" t="s">
        <v>5218</v>
      </c>
      <c r="O186" s="3">
        <v>7</v>
      </c>
      <c r="P186" s="3">
        <v>18.59</v>
      </c>
      <c r="Q186" s="3">
        <v>0</v>
      </c>
      <c r="R186" s="3">
        <v>0</v>
      </c>
      <c r="S186" s="3">
        <v>0</v>
      </c>
      <c r="T186" s="3">
        <v>1</v>
      </c>
      <c r="U186" s="3">
        <v>1</v>
      </c>
      <c r="V186" s="3">
        <v>1</v>
      </c>
      <c r="W186" s="3" t="s">
        <v>5219</v>
      </c>
      <c r="X186" s="3">
        <v>29.98</v>
      </c>
      <c r="Y186" s="3">
        <v>29.98</v>
      </c>
      <c r="Z186" s="3">
        <v>29.98</v>
      </c>
      <c r="AA186" s="3">
        <v>0</v>
      </c>
      <c r="AB186" s="3" t="s">
        <v>5228</v>
      </c>
      <c r="AC186" s="3">
        <v>0</v>
      </c>
      <c r="AD186" s="3">
        <v>27.81</v>
      </c>
      <c r="AE186" s="3">
        <v>35</v>
      </c>
      <c r="AF186" s="3">
        <v>0</v>
      </c>
      <c r="AG186" s="3">
        <v>317.217834</v>
      </c>
      <c r="AH186" s="3">
        <v>0.129032258064516</v>
      </c>
      <c r="AI186" s="3" t="s">
        <v>5305</v>
      </c>
      <c r="AJ186" s="3" t="s">
        <v>5222</v>
      </c>
    </row>
    <row r="187" spans="1:36">
      <c r="A187" s="5">
        <v>43288</v>
      </c>
      <c r="B187" s="3" t="s">
        <v>489</v>
      </c>
      <c r="C187" s="3" t="s">
        <v>327</v>
      </c>
      <c r="D187" s="3" t="s">
        <v>327</v>
      </c>
      <c r="E187" s="3" t="s">
        <v>490</v>
      </c>
      <c r="F187" s="3" t="s">
        <v>120</v>
      </c>
      <c r="G187" s="3">
        <v>23</v>
      </c>
      <c r="H187" s="3">
        <v>0</v>
      </c>
      <c r="I187" s="3">
        <v>0</v>
      </c>
      <c r="J187" s="3">
        <v>23</v>
      </c>
      <c r="K187" s="3">
        <v>0</v>
      </c>
      <c r="L187" s="3">
        <v>0</v>
      </c>
      <c r="M187" s="3">
        <v>0</v>
      </c>
      <c r="N187" s="3" t="s">
        <v>5218</v>
      </c>
      <c r="O187" s="3">
        <v>7</v>
      </c>
      <c r="P187" s="3">
        <v>4.8</v>
      </c>
      <c r="Q187" s="3">
        <v>0</v>
      </c>
      <c r="R187" s="3">
        <v>0</v>
      </c>
      <c r="S187" s="3">
        <v>4</v>
      </c>
      <c r="T187" s="3">
        <v>11</v>
      </c>
      <c r="U187" s="3">
        <v>13</v>
      </c>
      <c r="V187" s="3">
        <v>17</v>
      </c>
      <c r="W187" s="3"/>
      <c r="X187" s="3">
        <v>22.98</v>
      </c>
      <c r="Y187" s="3">
        <v>22.98</v>
      </c>
      <c r="Z187" s="3">
        <v>22.98</v>
      </c>
      <c r="AA187" s="3">
        <v>0</v>
      </c>
      <c r="AB187" s="3" t="s">
        <v>5223</v>
      </c>
      <c r="AC187" s="3">
        <v>23</v>
      </c>
      <c r="AD187" s="3">
        <v>22.98</v>
      </c>
      <c r="AE187" s="3">
        <v>0</v>
      </c>
      <c r="AF187" s="3">
        <v>0</v>
      </c>
      <c r="AG187" s="3">
        <v>0</v>
      </c>
      <c r="AH187" s="3">
        <v>0.511278195488721</v>
      </c>
      <c r="AI187" s="3" t="s">
        <v>5224</v>
      </c>
      <c r="AJ187" s="3" t="s">
        <v>5222</v>
      </c>
    </row>
    <row r="188" spans="1:36">
      <c r="A188" s="5">
        <v>43288</v>
      </c>
      <c r="B188" s="3" t="s">
        <v>2189</v>
      </c>
      <c r="C188" s="3" t="s">
        <v>2190</v>
      </c>
      <c r="D188" s="3" t="s">
        <v>2190</v>
      </c>
      <c r="E188" s="3" t="s">
        <v>2191</v>
      </c>
      <c r="F188" s="3" t="s">
        <v>120</v>
      </c>
      <c r="G188" s="3">
        <v>20</v>
      </c>
      <c r="H188" s="3">
        <v>0</v>
      </c>
      <c r="I188" s="3">
        <v>2</v>
      </c>
      <c r="J188" s="3">
        <v>18</v>
      </c>
      <c r="K188" s="3">
        <v>0</v>
      </c>
      <c r="L188" s="3">
        <v>0</v>
      </c>
      <c r="M188" s="3">
        <v>0</v>
      </c>
      <c r="N188" s="3" t="s">
        <v>5218</v>
      </c>
      <c r="O188" s="3">
        <v>1</v>
      </c>
      <c r="P188" s="3">
        <v>1.55</v>
      </c>
      <c r="Q188" s="3">
        <v>0</v>
      </c>
      <c r="R188" s="3">
        <v>0</v>
      </c>
      <c r="S188" s="3">
        <v>0</v>
      </c>
      <c r="T188" s="3">
        <v>0</v>
      </c>
      <c r="U188" s="3">
        <v>1</v>
      </c>
      <c r="V188" s="3">
        <v>1</v>
      </c>
      <c r="W188" s="3" t="s">
        <v>5227</v>
      </c>
      <c r="X188" s="3">
        <v>22.98</v>
      </c>
      <c r="Y188" s="3">
        <v>22.98</v>
      </c>
      <c r="Z188" s="3">
        <v>22</v>
      </c>
      <c r="AA188" s="3">
        <v>0</v>
      </c>
      <c r="AB188" s="3" t="s">
        <v>5228</v>
      </c>
      <c r="AC188" s="3">
        <v>0</v>
      </c>
      <c r="AD188" s="3">
        <v>19.29</v>
      </c>
      <c r="AE188" s="3">
        <v>322</v>
      </c>
      <c r="AF188" s="3">
        <v>0</v>
      </c>
      <c r="AG188" s="3">
        <v>500.831039</v>
      </c>
      <c r="AH188" s="3">
        <v>0.05</v>
      </c>
      <c r="AI188" s="3" t="s">
        <v>5260</v>
      </c>
      <c r="AJ188" s="3" t="s">
        <v>5222</v>
      </c>
    </row>
    <row r="189" spans="1:36">
      <c r="A189" s="5">
        <v>43288</v>
      </c>
      <c r="B189" s="3" t="s">
        <v>4375</v>
      </c>
      <c r="C189" s="3" t="s">
        <v>3354</v>
      </c>
      <c r="D189" s="3" t="s">
        <v>3354</v>
      </c>
      <c r="E189" s="3" t="s">
        <v>3355</v>
      </c>
      <c r="F189" s="3" t="s">
        <v>120</v>
      </c>
      <c r="G189" s="3">
        <v>9</v>
      </c>
      <c r="H189" s="3">
        <v>0</v>
      </c>
      <c r="I189" s="3">
        <v>0</v>
      </c>
      <c r="J189" s="3">
        <v>1</v>
      </c>
      <c r="K189" s="3">
        <v>8</v>
      </c>
      <c r="L189" s="3">
        <v>0</v>
      </c>
      <c r="M189" s="3">
        <v>0</v>
      </c>
      <c r="N189" s="3" t="s">
        <v>5218</v>
      </c>
      <c r="O189" s="3">
        <v>9</v>
      </c>
      <c r="P189" s="3">
        <v>11.9</v>
      </c>
      <c r="Q189" s="3">
        <v>0</v>
      </c>
      <c r="R189" s="3">
        <v>0</v>
      </c>
      <c r="S189" s="3">
        <v>0</v>
      </c>
      <c r="T189" s="3">
        <v>0</v>
      </c>
      <c r="U189" s="3">
        <v>1</v>
      </c>
      <c r="V189" s="3">
        <v>3</v>
      </c>
      <c r="W189" s="3" t="s">
        <v>5227</v>
      </c>
      <c r="X189" s="3">
        <v>22.98</v>
      </c>
      <c r="Y189" s="3">
        <v>22.98</v>
      </c>
      <c r="Z189" s="3">
        <v>22.98</v>
      </c>
      <c r="AA189" s="3">
        <v>0</v>
      </c>
      <c r="AB189" s="3" t="s">
        <v>5228</v>
      </c>
      <c r="AC189" s="3">
        <v>1</v>
      </c>
      <c r="AD189" s="3">
        <v>20.83</v>
      </c>
      <c r="AE189" s="3">
        <v>84</v>
      </c>
      <c r="AF189" s="3">
        <v>0</v>
      </c>
      <c r="AG189" s="3">
        <v>235.972797</v>
      </c>
      <c r="AH189" s="3">
        <v>0.3</v>
      </c>
      <c r="AI189" s="3" t="s">
        <v>5239</v>
      </c>
      <c r="AJ189" s="3" t="s">
        <v>5222</v>
      </c>
    </row>
    <row r="190" spans="1:36">
      <c r="A190" s="5">
        <v>43288</v>
      </c>
      <c r="B190" s="3" t="s">
        <v>2612</v>
      </c>
      <c r="C190" s="3" t="s">
        <v>1140</v>
      </c>
      <c r="D190" s="3" t="s">
        <v>1140</v>
      </c>
      <c r="E190" s="3" t="s">
        <v>1141</v>
      </c>
      <c r="F190" s="3" t="s">
        <v>120</v>
      </c>
      <c r="G190" s="3">
        <v>32</v>
      </c>
      <c r="H190" s="3">
        <v>0</v>
      </c>
      <c r="I190" s="3">
        <v>32</v>
      </c>
      <c r="J190" s="3">
        <v>0</v>
      </c>
      <c r="K190" s="3">
        <v>0</v>
      </c>
      <c r="L190" s="3">
        <v>0</v>
      </c>
      <c r="M190" s="3">
        <v>0</v>
      </c>
      <c r="N190" s="3" t="s">
        <v>5218</v>
      </c>
      <c r="O190" s="3">
        <v>0</v>
      </c>
      <c r="P190" s="3">
        <v>0</v>
      </c>
      <c r="Q190" s="3">
        <v>0</v>
      </c>
      <c r="R190" s="3">
        <v>0</v>
      </c>
      <c r="S190" s="3">
        <v>1</v>
      </c>
      <c r="T190" s="3">
        <v>6</v>
      </c>
      <c r="U190" s="3">
        <v>13</v>
      </c>
      <c r="V190" s="3">
        <v>18</v>
      </c>
      <c r="W190" s="3"/>
      <c r="X190" s="3">
        <v>22.98</v>
      </c>
      <c r="Y190" s="3">
        <v>22.98</v>
      </c>
      <c r="Z190" s="3">
        <v>22.98</v>
      </c>
      <c r="AA190" s="3">
        <v>0</v>
      </c>
      <c r="AB190" s="3" t="s">
        <v>5223</v>
      </c>
      <c r="AC190" s="3">
        <v>32</v>
      </c>
      <c r="AD190" s="3">
        <v>22.98</v>
      </c>
      <c r="AE190" s="3">
        <v>0</v>
      </c>
      <c r="AF190" s="3">
        <v>0</v>
      </c>
      <c r="AG190" s="3">
        <v>0</v>
      </c>
      <c r="AH190" s="3">
        <v>0.545454545454545</v>
      </c>
      <c r="AI190" s="3" t="s">
        <v>5238</v>
      </c>
      <c r="AJ190" s="3" t="s">
        <v>5222</v>
      </c>
    </row>
    <row r="191" spans="1:36">
      <c r="A191" s="5">
        <v>43288</v>
      </c>
      <c r="B191" s="3" t="s">
        <v>2943</v>
      </c>
      <c r="C191" s="3" t="s">
        <v>1372</v>
      </c>
      <c r="D191" s="3" t="s">
        <v>1372</v>
      </c>
      <c r="E191" s="3" t="s">
        <v>1373</v>
      </c>
      <c r="F191" s="3" t="s">
        <v>120</v>
      </c>
      <c r="G191" s="3">
        <v>53</v>
      </c>
      <c r="H191" s="3">
        <v>0</v>
      </c>
      <c r="I191" s="3">
        <v>53</v>
      </c>
      <c r="J191" s="3">
        <v>0</v>
      </c>
      <c r="K191" s="3">
        <v>0</v>
      </c>
      <c r="L191" s="3">
        <v>0</v>
      </c>
      <c r="M191" s="3">
        <v>0</v>
      </c>
      <c r="N191" s="3" t="s">
        <v>5218</v>
      </c>
      <c r="O191" s="3">
        <v>0</v>
      </c>
      <c r="P191" s="3">
        <v>0</v>
      </c>
      <c r="Q191" s="3">
        <v>0</v>
      </c>
      <c r="R191" s="3">
        <v>0</v>
      </c>
      <c r="S191" s="3">
        <v>3</v>
      </c>
      <c r="T191" s="3">
        <v>24</v>
      </c>
      <c r="U191" s="3">
        <v>59</v>
      </c>
      <c r="V191" s="3">
        <v>77</v>
      </c>
      <c r="W191" s="3"/>
      <c r="X191" s="3">
        <v>23.98</v>
      </c>
      <c r="Y191" s="3">
        <v>23.98</v>
      </c>
      <c r="Z191" s="3">
        <v>23.98</v>
      </c>
      <c r="AA191" s="3">
        <v>0</v>
      </c>
      <c r="AB191" s="3" t="s">
        <v>5223</v>
      </c>
      <c r="AC191" s="3">
        <v>43</v>
      </c>
      <c r="AD191" s="3">
        <v>24.98</v>
      </c>
      <c r="AE191" s="3">
        <v>0</v>
      </c>
      <c r="AF191" s="3">
        <v>0</v>
      </c>
      <c r="AG191" s="3">
        <v>0</v>
      </c>
      <c r="AH191" s="3">
        <v>2.56666666666666</v>
      </c>
      <c r="AI191" s="3" t="s">
        <v>5306</v>
      </c>
      <c r="AJ191" s="3" t="s">
        <v>5222</v>
      </c>
    </row>
    <row r="192" spans="1:36">
      <c r="A192" s="5">
        <v>43288</v>
      </c>
      <c r="B192" s="3" t="s">
        <v>2965</v>
      </c>
      <c r="C192" s="3" t="s">
        <v>1440</v>
      </c>
      <c r="D192" s="3" t="s">
        <v>1440</v>
      </c>
      <c r="E192" s="3" t="s">
        <v>1441</v>
      </c>
      <c r="F192" s="3" t="s">
        <v>120</v>
      </c>
      <c r="G192" s="3">
        <v>34</v>
      </c>
      <c r="H192" s="3">
        <v>0</v>
      </c>
      <c r="I192" s="3">
        <v>34</v>
      </c>
      <c r="J192" s="3">
        <v>0</v>
      </c>
      <c r="K192" s="3">
        <v>0</v>
      </c>
      <c r="L192" s="3">
        <v>0</v>
      </c>
      <c r="M192" s="3">
        <v>0</v>
      </c>
      <c r="N192" s="3" t="s">
        <v>5218</v>
      </c>
      <c r="O192" s="3">
        <v>0</v>
      </c>
      <c r="P192" s="3">
        <v>0</v>
      </c>
      <c r="Q192" s="3">
        <v>0</v>
      </c>
      <c r="R192" s="3">
        <v>0</v>
      </c>
      <c r="S192" s="3">
        <v>4</v>
      </c>
      <c r="T192" s="3">
        <v>16</v>
      </c>
      <c r="U192" s="3">
        <v>16</v>
      </c>
      <c r="V192" s="3">
        <v>16</v>
      </c>
      <c r="W192" s="3"/>
      <c r="X192" s="3">
        <v>19.98</v>
      </c>
      <c r="Y192" s="3">
        <v>19.98</v>
      </c>
      <c r="Z192" s="3">
        <v>19.98</v>
      </c>
      <c r="AA192" s="3">
        <v>0</v>
      </c>
      <c r="AB192" s="3" t="s">
        <v>5223</v>
      </c>
      <c r="AC192" s="3">
        <v>36</v>
      </c>
      <c r="AD192" s="3">
        <v>19.98</v>
      </c>
      <c r="AE192" s="3">
        <v>0</v>
      </c>
      <c r="AF192" s="3">
        <v>0</v>
      </c>
      <c r="AG192" s="3">
        <v>0</v>
      </c>
      <c r="AH192" s="3">
        <v>0.8</v>
      </c>
      <c r="AI192" s="3" t="s">
        <v>5236</v>
      </c>
      <c r="AJ192" s="3" t="s">
        <v>5222</v>
      </c>
    </row>
    <row r="193" spans="1:36">
      <c r="A193" s="5">
        <v>43288</v>
      </c>
      <c r="B193" s="3" t="s">
        <v>4485</v>
      </c>
      <c r="C193" s="3" t="s">
        <v>3660</v>
      </c>
      <c r="D193" s="3" t="s">
        <v>3660</v>
      </c>
      <c r="E193" s="3" t="s">
        <v>3661</v>
      </c>
      <c r="F193" s="3" t="s">
        <v>120</v>
      </c>
      <c r="G193" s="3">
        <v>4</v>
      </c>
      <c r="H193" s="3">
        <v>0</v>
      </c>
      <c r="I193" s="3">
        <v>1</v>
      </c>
      <c r="J193" s="3">
        <v>0</v>
      </c>
      <c r="K193" s="3">
        <v>3</v>
      </c>
      <c r="L193" s="3">
        <v>0</v>
      </c>
      <c r="M193" s="3">
        <v>0</v>
      </c>
      <c r="N193" s="3" t="s">
        <v>5218</v>
      </c>
      <c r="O193" s="3">
        <v>3</v>
      </c>
      <c r="P193" s="3">
        <v>2.96</v>
      </c>
      <c r="Q193" s="3">
        <v>0</v>
      </c>
      <c r="R193" s="3">
        <v>0</v>
      </c>
      <c r="S193" s="3">
        <v>0</v>
      </c>
      <c r="T193" s="3">
        <v>0</v>
      </c>
      <c r="U193" s="3">
        <v>0</v>
      </c>
      <c r="V193" s="3">
        <v>2</v>
      </c>
      <c r="W193" s="3" t="s">
        <v>5219</v>
      </c>
      <c r="X193" s="3">
        <v>23.98</v>
      </c>
      <c r="Y193" s="3">
        <v>23.98</v>
      </c>
      <c r="Z193" s="3">
        <v>23.98</v>
      </c>
      <c r="AA193" s="3">
        <v>0</v>
      </c>
      <c r="AB193" s="3" t="s">
        <v>5220</v>
      </c>
      <c r="AC193" s="3">
        <v>0</v>
      </c>
      <c r="AD193" s="3">
        <v>21.65</v>
      </c>
      <c r="AE193" s="3">
        <v>189</v>
      </c>
      <c r="AF193" s="3">
        <v>0</v>
      </c>
      <c r="AG193" s="3">
        <v>80.919689</v>
      </c>
      <c r="AH193" s="3">
        <v>0.5</v>
      </c>
      <c r="AI193" s="3" t="s">
        <v>5285</v>
      </c>
      <c r="AJ193" s="3" t="s">
        <v>5222</v>
      </c>
    </row>
    <row r="194" spans="1:36">
      <c r="A194" s="5">
        <v>43288</v>
      </c>
      <c r="B194" s="3" t="s">
        <v>1551</v>
      </c>
      <c r="C194" s="3" t="s">
        <v>1552</v>
      </c>
      <c r="D194" s="3" t="s">
        <v>1552</v>
      </c>
      <c r="E194" s="3" t="s">
        <v>1553</v>
      </c>
      <c r="F194" s="3" t="s">
        <v>120</v>
      </c>
      <c r="G194" s="3">
        <v>2</v>
      </c>
      <c r="H194" s="3">
        <v>0</v>
      </c>
      <c r="I194" s="3">
        <v>2</v>
      </c>
      <c r="J194" s="3">
        <v>0</v>
      </c>
      <c r="K194" s="3">
        <v>0</v>
      </c>
      <c r="L194" s="3">
        <v>0</v>
      </c>
      <c r="M194" s="3">
        <v>0</v>
      </c>
      <c r="N194" s="3" t="s">
        <v>5218</v>
      </c>
      <c r="O194" s="3">
        <v>0</v>
      </c>
      <c r="P194" s="3">
        <v>0</v>
      </c>
      <c r="Q194" s="3">
        <v>0</v>
      </c>
      <c r="R194" s="3">
        <v>0</v>
      </c>
      <c r="S194" s="3">
        <v>0</v>
      </c>
      <c r="T194" s="3">
        <v>5</v>
      </c>
      <c r="U194" s="3">
        <v>5</v>
      </c>
      <c r="V194" s="3">
        <v>6</v>
      </c>
      <c r="W194" s="3"/>
      <c r="X194" s="3">
        <v>15.98</v>
      </c>
      <c r="Y194" s="3">
        <v>15.98</v>
      </c>
      <c r="Z194" s="3">
        <v>15.98</v>
      </c>
      <c r="AA194" s="3">
        <v>0</v>
      </c>
      <c r="AB194" s="3" t="s">
        <v>5223</v>
      </c>
      <c r="AC194" s="3">
        <v>0</v>
      </c>
      <c r="AD194" s="3">
        <v>0</v>
      </c>
      <c r="AE194" s="3">
        <v>0</v>
      </c>
      <c r="AF194" s="3">
        <v>0</v>
      </c>
      <c r="AG194" s="3">
        <v>0</v>
      </c>
      <c r="AH194" s="3">
        <v>1.26315789473684</v>
      </c>
      <c r="AI194" s="3" t="s">
        <v>5307</v>
      </c>
      <c r="AJ194" s="3" t="s">
        <v>5222</v>
      </c>
    </row>
    <row r="195" spans="1:36">
      <c r="A195" s="5">
        <v>43288</v>
      </c>
      <c r="B195" s="3" t="s">
        <v>2039</v>
      </c>
      <c r="C195" s="3" t="s">
        <v>2040</v>
      </c>
      <c r="D195" s="3" t="s">
        <v>2040</v>
      </c>
      <c r="E195" s="3" t="s">
        <v>2041</v>
      </c>
      <c r="F195" s="3" t="s">
        <v>120</v>
      </c>
      <c r="G195" s="3">
        <v>31</v>
      </c>
      <c r="H195" s="3">
        <v>0</v>
      </c>
      <c r="I195" s="3">
        <v>11</v>
      </c>
      <c r="J195" s="3">
        <v>3</v>
      </c>
      <c r="K195" s="3">
        <v>17</v>
      </c>
      <c r="L195" s="3">
        <v>0</v>
      </c>
      <c r="M195" s="3">
        <v>0</v>
      </c>
      <c r="N195" s="3" t="s">
        <v>5218</v>
      </c>
      <c r="O195" s="3">
        <v>18</v>
      </c>
      <c r="P195" s="3">
        <v>16.76</v>
      </c>
      <c r="Q195" s="3">
        <v>0</v>
      </c>
      <c r="R195" s="3">
        <v>0</v>
      </c>
      <c r="S195" s="3">
        <v>2</v>
      </c>
      <c r="T195" s="3">
        <v>6</v>
      </c>
      <c r="U195" s="3">
        <v>15</v>
      </c>
      <c r="V195" s="3">
        <v>22</v>
      </c>
      <c r="W195" s="3"/>
      <c r="X195" s="3">
        <v>23.98</v>
      </c>
      <c r="Y195" s="3">
        <v>23.98</v>
      </c>
      <c r="Z195" s="3">
        <v>23.98</v>
      </c>
      <c r="AA195" s="3">
        <v>0</v>
      </c>
      <c r="AB195" s="3" t="s">
        <v>5223</v>
      </c>
      <c r="AC195" s="3">
        <v>32</v>
      </c>
      <c r="AD195" s="3">
        <v>23.98</v>
      </c>
      <c r="AE195" s="3">
        <v>0</v>
      </c>
      <c r="AF195" s="3">
        <v>0</v>
      </c>
      <c r="AG195" s="3">
        <v>0</v>
      </c>
      <c r="AH195" s="3">
        <v>0.571428571428571</v>
      </c>
      <c r="AI195" s="3" t="s">
        <v>5308</v>
      </c>
      <c r="AJ195" s="3" t="s">
        <v>5222</v>
      </c>
    </row>
    <row r="196" spans="1:36">
      <c r="A196" s="5">
        <v>43288</v>
      </c>
      <c r="B196" s="3" t="s">
        <v>365</v>
      </c>
      <c r="C196" s="3" t="s">
        <v>366</v>
      </c>
      <c r="D196" s="3" t="s">
        <v>367</v>
      </c>
      <c r="E196" s="3" t="s">
        <v>368</v>
      </c>
      <c r="F196" s="3" t="s">
        <v>120</v>
      </c>
      <c r="G196" s="3">
        <v>25</v>
      </c>
      <c r="H196" s="3">
        <v>0</v>
      </c>
      <c r="I196" s="3">
        <v>25</v>
      </c>
      <c r="J196" s="3">
        <v>0</v>
      </c>
      <c r="K196" s="3">
        <v>0</v>
      </c>
      <c r="L196" s="3">
        <v>0</v>
      </c>
      <c r="M196" s="3">
        <v>0</v>
      </c>
      <c r="N196" s="3" t="s">
        <v>5218</v>
      </c>
      <c r="O196" s="3">
        <v>0</v>
      </c>
      <c r="P196" s="3">
        <v>0</v>
      </c>
      <c r="Q196" s="3">
        <v>0</v>
      </c>
      <c r="R196" s="3">
        <v>0</v>
      </c>
      <c r="S196" s="3">
        <v>0</v>
      </c>
      <c r="T196" s="3">
        <v>0</v>
      </c>
      <c r="U196" s="3">
        <v>0</v>
      </c>
      <c r="V196" s="3">
        <v>0</v>
      </c>
      <c r="W196" s="3" t="s">
        <v>5227</v>
      </c>
      <c r="X196" s="3">
        <v>22.98</v>
      </c>
      <c r="Y196" s="3">
        <v>22.98</v>
      </c>
      <c r="Z196" s="3">
        <v>22.98</v>
      </c>
      <c r="AA196" s="3">
        <v>0</v>
      </c>
      <c r="AB196" s="3" t="s">
        <v>5223</v>
      </c>
      <c r="AC196" s="3">
        <v>30</v>
      </c>
      <c r="AD196" s="3">
        <v>22.98</v>
      </c>
      <c r="AE196" s="3">
        <v>0</v>
      </c>
      <c r="AF196" s="3">
        <v>0</v>
      </c>
      <c r="AG196" s="3">
        <v>0</v>
      </c>
      <c r="AH196" s="3">
        <v>6.75862068965517</v>
      </c>
      <c r="AI196" s="3" t="s">
        <v>5289</v>
      </c>
      <c r="AJ196" s="3" t="s">
        <v>5222</v>
      </c>
    </row>
    <row r="197" spans="1:36">
      <c r="A197" s="5">
        <v>43288</v>
      </c>
      <c r="B197" s="3" t="s">
        <v>3313</v>
      </c>
      <c r="C197" s="3" t="s">
        <v>3314</v>
      </c>
      <c r="D197" s="3" t="s">
        <v>3314</v>
      </c>
      <c r="E197" s="3" t="s">
        <v>3315</v>
      </c>
      <c r="F197" s="3" t="s">
        <v>120</v>
      </c>
      <c r="G197" s="3">
        <v>26</v>
      </c>
      <c r="H197" s="3">
        <v>0</v>
      </c>
      <c r="I197" s="3">
        <v>26</v>
      </c>
      <c r="J197" s="3">
        <v>0</v>
      </c>
      <c r="K197" s="3">
        <v>0</v>
      </c>
      <c r="L197" s="3">
        <v>0</v>
      </c>
      <c r="M197" s="3">
        <v>0</v>
      </c>
      <c r="N197" s="3" t="s">
        <v>5218</v>
      </c>
      <c r="O197" s="3">
        <v>0</v>
      </c>
      <c r="P197" s="3">
        <v>0</v>
      </c>
      <c r="Q197" s="3">
        <v>0</v>
      </c>
      <c r="R197" s="3">
        <v>0</v>
      </c>
      <c r="S197" s="3">
        <v>1</v>
      </c>
      <c r="T197" s="3">
        <v>4</v>
      </c>
      <c r="U197" s="3">
        <v>14</v>
      </c>
      <c r="V197" s="3">
        <v>17</v>
      </c>
      <c r="W197" s="3"/>
      <c r="X197" s="3">
        <v>22.98</v>
      </c>
      <c r="Y197" s="3">
        <v>22.98</v>
      </c>
      <c r="Z197" s="3">
        <v>22.98</v>
      </c>
      <c r="AA197" s="3">
        <v>0</v>
      </c>
      <c r="AB197" s="3" t="s">
        <v>5223</v>
      </c>
      <c r="AC197" s="3">
        <v>26</v>
      </c>
      <c r="AD197" s="3">
        <v>22.98</v>
      </c>
      <c r="AE197" s="3">
        <v>0</v>
      </c>
      <c r="AF197" s="3">
        <v>0</v>
      </c>
      <c r="AG197" s="3">
        <v>0</v>
      </c>
      <c r="AH197" s="3">
        <v>1.0625</v>
      </c>
      <c r="AI197" s="3" t="s">
        <v>5226</v>
      </c>
      <c r="AJ197" s="3" t="s">
        <v>5222</v>
      </c>
    </row>
    <row r="198" spans="1:36">
      <c r="A198" s="5">
        <v>43288</v>
      </c>
      <c r="B198" s="3" t="s">
        <v>2770</v>
      </c>
      <c r="C198" s="3" t="s">
        <v>450</v>
      </c>
      <c r="D198" s="3" t="s">
        <v>450</v>
      </c>
      <c r="E198" s="3" t="s">
        <v>451</v>
      </c>
      <c r="F198" s="3" t="s">
        <v>120</v>
      </c>
      <c r="G198" s="3">
        <v>2</v>
      </c>
      <c r="H198" s="3">
        <v>0</v>
      </c>
      <c r="I198" s="3">
        <v>2</v>
      </c>
      <c r="J198" s="3">
        <v>0</v>
      </c>
      <c r="K198" s="3">
        <v>0</v>
      </c>
      <c r="L198" s="3">
        <v>0</v>
      </c>
      <c r="M198" s="3">
        <v>0</v>
      </c>
      <c r="N198" s="3" t="s">
        <v>5218</v>
      </c>
      <c r="O198" s="3">
        <v>0</v>
      </c>
      <c r="P198" s="3">
        <v>0</v>
      </c>
      <c r="Q198" s="3">
        <v>0</v>
      </c>
      <c r="R198" s="3">
        <v>0</v>
      </c>
      <c r="S198" s="3">
        <v>1</v>
      </c>
      <c r="T198" s="3">
        <v>9</v>
      </c>
      <c r="U198" s="3">
        <v>14</v>
      </c>
      <c r="V198" s="3">
        <v>21</v>
      </c>
      <c r="W198" s="3"/>
      <c r="X198" s="3">
        <v>22.98</v>
      </c>
      <c r="Y198" s="3">
        <v>22.98</v>
      </c>
      <c r="Z198" s="3">
        <v>22.98</v>
      </c>
      <c r="AA198" s="3">
        <v>0</v>
      </c>
      <c r="AB198" s="3" t="s">
        <v>5223</v>
      </c>
      <c r="AC198" s="3">
        <v>2</v>
      </c>
      <c r="AD198" s="3">
        <v>22.98</v>
      </c>
      <c r="AE198" s="3">
        <v>0</v>
      </c>
      <c r="AF198" s="3">
        <v>0</v>
      </c>
      <c r="AG198" s="3">
        <v>0</v>
      </c>
      <c r="AH198" s="3">
        <v>9.33333333333333</v>
      </c>
      <c r="AI198" s="3" t="s">
        <v>5257</v>
      </c>
      <c r="AJ198" s="3" t="s">
        <v>5222</v>
      </c>
    </row>
    <row r="199" spans="1:36">
      <c r="A199" s="5">
        <v>43288</v>
      </c>
      <c r="B199" s="3" t="s">
        <v>2150</v>
      </c>
      <c r="C199" s="3" t="s">
        <v>2151</v>
      </c>
      <c r="D199" s="3" t="s">
        <v>2151</v>
      </c>
      <c r="E199" s="3" t="s">
        <v>2152</v>
      </c>
      <c r="F199" s="3" t="s">
        <v>120</v>
      </c>
      <c r="G199" s="3">
        <v>5</v>
      </c>
      <c r="H199" s="3">
        <v>0</v>
      </c>
      <c r="I199" s="3">
        <v>1</v>
      </c>
      <c r="J199" s="3">
        <v>1</v>
      </c>
      <c r="K199" s="3">
        <v>3</v>
      </c>
      <c r="L199" s="3">
        <v>0</v>
      </c>
      <c r="M199" s="3">
        <v>0</v>
      </c>
      <c r="N199" s="3" t="s">
        <v>5218</v>
      </c>
      <c r="O199" s="3">
        <v>3</v>
      </c>
      <c r="P199" s="3">
        <v>4.66</v>
      </c>
      <c r="Q199" s="3">
        <v>0</v>
      </c>
      <c r="R199" s="3">
        <v>0</v>
      </c>
      <c r="S199" s="3">
        <v>0</v>
      </c>
      <c r="T199" s="3">
        <v>0</v>
      </c>
      <c r="U199" s="3">
        <v>6</v>
      </c>
      <c r="V199" s="3">
        <v>10</v>
      </c>
      <c r="W199" s="3" t="s">
        <v>5227</v>
      </c>
      <c r="X199" s="3">
        <v>12.98</v>
      </c>
      <c r="Y199" s="3">
        <v>12.98</v>
      </c>
      <c r="Z199" s="3">
        <v>12.98</v>
      </c>
      <c r="AA199" s="3">
        <v>0</v>
      </c>
      <c r="AB199" s="3" t="s">
        <v>5223</v>
      </c>
      <c r="AC199" s="3">
        <v>5</v>
      </c>
      <c r="AD199" s="3">
        <v>12.98</v>
      </c>
      <c r="AE199" s="3">
        <v>0</v>
      </c>
      <c r="AF199" s="3">
        <v>0</v>
      </c>
      <c r="AG199" s="3">
        <v>0</v>
      </c>
      <c r="AH199" s="3">
        <v>1.17647058823529</v>
      </c>
      <c r="AI199" s="3" t="s">
        <v>5260</v>
      </c>
      <c r="AJ199" s="3" t="s">
        <v>5222</v>
      </c>
    </row>
    <row r="200" spans="1:36">
      <c r="A200" s="5">
        <v>43288</v>
      </c>
      <c r="B200" s="3" t="s">
        <v>810</v>
      </c>
      <c r="C200" s="3" t="s">
        <v>568</v>
      </c>
      <c r="D200" s="3" t="s">
        <v>568</v>
      </c>
      <c r="E200" s="3" t="s">
        <v>811</v>
      </c>
      <c r="F200" s="3" t="s">
        <v>120</v>
      </c>
      <c r="G200" s="3">
        <v>6</v>
      </c>
      <c r="H200" s="3">
        <v>0</v>
      </c>
      <c r="I200" s="3">
        <v>6</v>
      </c>
      <c r="J200" s="3">
        <v>0</v>
      </c>
      <c r="K200" s="3">
        <v>0</v>
      </c>
      <c r="L200" s="3">
        <v>0</v>
      </c>
      <c r="M200" s="3">
        <v>0</v>
      </c>
      <c r="N200" s="3" t="s">
        <v>5218</v>
      </c>
      <c r="O200" s="3">
        <v>0</v>
      </c>
      <c r="P200" s="3">
        <v>0</v>
      </c>
      <c r="Q200" s="3">
        <v>0</v>
      </c>
      <c r="R200" s="3">
        <v>0</v>
      </c>
      <c r="S200" s="3">
        <v>0</v>
      </c>
      <c r="T200" s="3">
        <v>2</v>
      </c>
      <c r="U200" s="3">
        <v>2</v>
      </c>
      <c r="V200" s="3">
        <v>2</v>
      </c>
      <c r="W200" s="3"/>
      <c r="X200" s="3">
        <v>22.98</v>
      </c>
      <c r="Y200" s="3">
        <v>22.98</v>
      </c>
      <c r="Z200" s="3">
        <v>22.98</v>
      </c>
      <c r="AA200" s="3">
        <v>0</v>
      </c>
      <c r="AB200" s="3" t="s">
        <v>5223</v>
      </c>
      <c r="AC200" s="3">
        <v>6</v>
      </c>
      <c r="AD200" s="3">
        <v>22.98</v>
      </c>
      <c r="AE200" s="3">
        <v>0</v>
      </c>
      <c r="AF200" s="3">
        <v>0</v>
      </c>
      <c r="AG200" s="3">
        <v>0</v>
      </c>
      <c r="AH200" s="3">
        <v>0.193548387096774</v>
      </c>
      <c r="AI200" s="3" t="s">
        <v>5225</v>
      </c>
      <c r="AJ200" s="3" t="s">
        <v>5222</v>
      </c>
    </row>
    <row r="201" spans="1:36">
      <c r="A201" s="5">
        <v>43288</v>
      </c>
      <c r="B201" s="3" t="s">
        <v>202</v>
      </c>
      <c r="C201" s="3" t="s">
        <v>203</v>
      </c>
      <c r="D201" s="3" t="s">
        <v>203</v>
      </c>
      <c r="E201" s="3" t="s">
        <v>204</v>
      </c>
      <c r="F201" s="3" t="s">
        <v>120</v>
      </c>
      <c r="G201" s="3">
        <v>1</v>
      </c>
      <c r="H201" s="3">
        <v>0</v>
      </c>
      <c r="I201" s="3">
        <v>0</v>
      </c>
      <c r="J201" s="3">
        <v>0</v>
      </c>
      <c r="K201" s="3">
        <v>1</v>
      </c>
      <c r="L201" s="3">
        <v>0</v>
      </c>
      <c r="M201" s="3">
        <v>0</v>
      </c>
      <c r="N201" s="3" t="s">
        <v>5218</v>
      </c>
      <c r="O201" s="3">
        <v>1</v>
      </c>
      <c r="P201" s="3">
        <v>5.2</v>
      </c>
      <c r="Q201" s="3">
        <v>0</v>
      </c>
      <c r="R201" s="3">
        <v>0</v>
      </c>
      <c r="S201" s="3">
        <v>0</v>
      </c>
      <c r="T201" s="3">
        <v>0</v>
      </c>
      <c r="U201" s="3">
        <v>0</v>
      </c>
      <c r="V201" s="3">
        <v>0</v>
      </c>
      <c r="W201" s="3" t="s">
        <v>5219</v>
      </c>
      <c r="X201" s="3">
        <v>65.98</v>
      </c>
      <c r="Y201" s="3">
        <v>65.98</v>
      </c>
      <c r="Z201" s="3">
        <v>65.98</v>
      </c>
      <c r="AA201" s="3">
        <v>0</v>
      </c>
      <c r="AB201" s="3" t="s">
        <v>5228</v>
      </c>
      <c r="AC201" s="3">
        <v>0</v>
      </c>
      <c r="AD201" s="3">
        <v>57.7</v>
      </c>
      <c r="AE201" s="3">
        <v>252</v>
      </c>
      <c r="AF201" s="3">
        <v>0</v>
      </c>
      <c r="AG201" s="3">
        <v>69.506925</v>
      </c>
      <c r="AH201" s="3">
        <v>0</v>
      </c>
      <c r="AI201" s="3" t="s">
        <v>5309</v>
      </c>
      <c r="AJ201" s="3" t="s">
        <v>5222</v>
      </c>
    </row>
    <row r="202" spans="1:36">
      <c r="A202" s="5">
        <v>43288</v>
      </c>
      <c r="B202" s="3" t="s">
        <v>2222</v>
      </c>
      <c r="C202" s="3" t="s">
        <v>2223</v>
      </c>
      <c r="D202" s="3" t="s">
        <v>2223</v>
      </c>
      <c r="E202" s="3" t="s">
        <v>2224</v>
      </c>
      <c r="F202" s="3" t="s">
        <v>120</v>
      </c>
      <c r="G202" s="3">
        <v>25</v>
      </c>
      <c r="H202" s="3">
        <v>0</v>
      </c>
      <c r="I202" s="3">
        <v>16</v>
      </c>
      <c r="J202" s="3">
        <v>9</v>
      </c>
      <c r="K202" s="3">
        <v>0</v>
      </c>
      <c r="L202" s="3">
        <v>0</v>
      </c>
      <c r="M202" s="3">
        <v>0</v>
      </c>
      <c r="N202" s="3" t="s">
        <v>5218</v>
      </c>
      <c r="O202" s="3">
        <v>7</v>
      </c>
      <c r="P202" s="3">
        <v>10.88</v>
      </c>
      <c r="Q202" s="3">
        <v>0</v>
      </c>
      <c r="R202" s="3">
        <v>0</v>
      </c>
      <c r="S202" s="3">
        <v>0</v>
      </c>
      <c r="T202" s="3">
        <v>0</v>
      </c>
      <c r="U202" s="3">
        <v>1</v>
      </c>
      <c r="V202" s="3">
        <v>2</v>
      </c>
      <c r="W202" s="3" t="s">
        <v>5227</v>
      </c>
      <c r="X202" s="3">
        <v>22.98</v>
      </c>
      <c r="Y202" s="3">
        <v>22.98</v>
      </c>
      <c r="Z202" s="3">
        <v>22</v>
      </c>
      <c r="AA202" s="3">
        <v>0</v>
      </c>
      <c r="AB202" s="3" t="s">
        <v>5228</v>
      </c>
      <c r="AC202" s="3">
        <v>0</v>
      </c>
      <c r="AD202" s="3">
        <v>18.15</v>
      </c>
      <c r="AE202" s="3">
        <v>364</v>
      </c>
      <c r="AF202" s="3">
        <v>0</v>
      </c>
      <c r="AG202" s="3">
        <v>572.09921</v>
      </c>
      <c r="AH202" s="3">
        <v>0.0919540229885057</v>
      </c>
      <c r="AI202" s="3" t="s">
        <v>5260</v>
      </c>
      <c r="AJ202" s="3" t="s">
        <v>5222</v>
      </c>
    </row>
    <row r="203" spans="1:36">
      <c r="A203" s="5">
        <v>43288</v>
      </c>
      <c r="B203" s="3" t="s">
        <v>771</v>
      </c>
      <c r="C203" s="3" t="s">
        <v>523</v>
      </c>
      <c r="D203" s="3" t="s">
        <v>523</v>
      </c>
      <c r="E203" s="3" t="s">
        <v>772</v>
      </c>
      <c r="F203" s="3" t="s">
        <v>120</v>
      </c>
      <c r="G203" s="3">
        <v>4</v>
      </c>
      <c r="H203" s="3">
        <v>0</v>
      </c>
      <c r="I203" s="3">
        <v>4</v>
      </c>
      <c r="J203" s="3">
        <v>0</v>
      </c>
      <c r="K203" s="3">
        <v>0</v>
      </c>
      <c r="L203" s="3">
        <v>0</v>
      </c>
      <c r="M203" s="3">
        <v>0</v>
      </c>
      <c r="N203" s="3" t="s">
        <v>5218</v>
      </c>
      <c r="O203" s="3">
        <v>0</v>
      </c>
      <c r="P203" s="3">
        <v>0</v>
      </c>
      <c r="Q203" s="3">
        <v>0</v>
      </c>
      <c r="R203" s="3">
        <v>0</v>
      </c>
      <c r="S203" s="3">
        <v>1</v>
      </c>
      <c r="T203" s="3">
        <v>2</v>
      </c>
      <c r="U203" s="3">
        <v>10</v>
      </c>
      <c r="V203" s="3">
        <v>11</v>
      </c>
      <c r="W203" s="3"/>
      <c r="X203" s="3">
        <v>22.98</v>
      </c>
      <c r="Y203" s="3">
        <v>22.98</v>
      </c>
      <c r="Z203" s="3">
        <v>22.98</v>
      </c>
      <c r="AA203" s="3">
        <v>0</v>
      </c>
      <c r="AB203" s="3" t="s">
        <v>5223</v>
      </c>
      <c r="AC203" s="3">
        <v>4</v>
      </c>
      <c r="AD203" s="3">
        <v>22.98</v>
      </c>
      <c r="AE203" s="3">
        <v>0</v>
      </c>
      <c r="AF203" s="3">
        <v>0</v>
      </c>
      <c r="AG203" s="3">
        <v>0</v>
      </c>
      <c r="AH203" s="3">
        <v>0.73469387755102</v>
      </c>
      <c r="AI203" s="3" t="s">
        <v>5225</v>
      </c>
      <c r="AJ203" s="3" t="s">
        <v>5222</v>
      </c>
    </row>
    <row r="204" spans="1:36">
      <c r="A204" s="5">
        <v>43288</v>
      </c>
      <c r="B204" s="3" t="s">
        <v>4099</v>
      </c>
      <c r="C204" s="3" t="s">
        <v>4100</v>
      </c>
      <c r="D204" s="3" t="s">
        <v>4100</v>
      </c>
      <c r="E204" s="3" t="s">
        <v>4101</v>
      </c>
      <c r="F204" s="3" t="s">
        <v>120</v>
      </c>
      <c r="G204" s="3">
        <v>1</v>
      </c>
      <c r="H204" s="3">
        <v>0</v>
      </c>
      <c r="I204" s="3">
        <v>1</v>
      </c>
      <c r="J204" s="3">
        <v>0</v>
      </c>
      <c r="K204" s="3">
        <v>0</v>
      </c>
      <c r="L204" s="3">
        <v>0</v>
      </c>
      <c r="M204" s="3">
        <v>0</v>
      </c>
      <c r="N204" s="3" t="s">
        <v>5218</v>
      </c>
      <c r="O204" s="3">
        <v>0</v>
      </c>
      <c r="P204" s="3">
        <v>0</v>
      </c>
      <c r="Q204" s="3">
        <v>0</v>
      </c>
      <c r="R204" s="3">
        <v>0</v>
      </c>
      <c r="S204" s="3">
        <v>0</v>
      </c>
      <c r="T204" s="3">
        <v>0</v>
      </c>
      <c r="U204" s="3">
        <v>1</v>
      </c>
      <c r="V204" s="3">
        <v>1</v>
      </c>
      <c r="W204" s="3" t="s">
        <v>5227</v>
      </c>
      <c r="X204" s="3">
        <v>23.98</v>
      </c>
      <c r="Y204" s="3">
        <v>23.98</v>
      </c>
      <c r="Z204" s="3">
        <v>22.98</v>
      </c>
      <c r="AA204" s="3">
        <v>0</v>
      </c>
      <c r="AB204" s="3" t="s">
        <v>5228</v>
      </c>
      <c r="AC204" s="3">
        <v>0</v>
      </c>
      <c r="AD204" s="3">
        <v>22.65</v>
      </c>
      <c r="AE204" s="3">
        <v>28</v>
      </c>
      <c r="AF204" s="3">
        <v>0</v>
      </c>
      <c r="AG204" s="3">
        <v>21.707006</v>
      </c>
      <c r="AH204" s="3">
        <v>1.33333333333333</v>
      </c>
      <c r="AI204" s="3" t="s">
        <v>5288</v>
      </c>
      <c r="AJ204" s="3" t="s">
        <v>5222</v>
      </c>
    </row>
    <row r="205" spans="1:36">
      <c r="A205" s="5">
        <v>43288</v>
      </c>
      <c r="B205" s="3" t="s">
        <v>2905</v>
      </c>
      <c r="C205" s="3" t="s">
        <v>2906</v>
      </c>
      <c r="D205" s="3" t="s">
        <v>2906</v>
      </c>
      <c r="E205" s="3" t="s">
        <v>2907</v>
      </c>
      <c r="F205" s="3" t="s">
        <v>120</v>
      </c>
      <c r="G205" s="3">
        <v>16</v>
      </c>
      <c r="H205" s="3">
        <v>0</v>
      </c>
      <c r="I205" s="3">
        <v>0</v>
      </c>
      <c r="J205" s="3">
        <v>16</v>
      </c>
      <c r="K205" s="3">
        <v>0</v>
      </c>
      <c r="L205" s="3">
        <v>0</v>
      </c>
      <c r="M205" s="3">
        <v>0</v>
      </c>
      <c r="N205" s="3" t="s">
        <v>5218</v>
      </c>
      <c r="O205" s="3">
        <v>5</v>
      </c>
      <c r="P205" s="3">
        <v>9.28</v>
      </c>
      <c r="Q205" s="3">
        <v>0</v>
      </c>
      <c r="R205" s="3">
        <v>0</v>
      </c>
      <c r="S205" s="3">
        <v>0</v>
      </c>
      <c r="T205" s="3">
        <v>0</v>
      </c>
      <c r="U205" s="3">
        <v>0</v>
      </c>
      <c r="V205" s="3">
        <v>3</v>
      </c>
      <c r="W205" s="3"/>
      <c r="X205" s="3"/>
      <c r="Y205" s="3"/>
      <c r="Z205" s="3">
        <v>-1</v>
      </c>
      <c r="AA205" s="3">
        <v>-1</v>
      </c>
      <c r="AB205" s="3" t="s">
        <v>5244</v>
      </c>
      <c r="AC205" s="3">
        <v>0</v>
      </c>
      <c r="AD205" s="3">
        <v>0</v>
      </c>
      <c r="AE205" s="3">
        <v>0</v>
      </c>
      <c r="AF205" s="3">
        <v>0</v>
      </c>
      <c r="AG205" s="3">
        <v>0</v>
      </c>
      <c r="AH205" s="3">
        <v>0.17910447761194</v>
      </c>
      <c r="AI205" s="3" t="s">
        <v>5254</v>
      </c>
      <c r="AJ205" s="3" t="s">
        <v>5222</v>
      </c>
    </row>
    <row r="206" spans="1:36">
      <c r="A206" s="5">
        <v>43288</v>
      </c>
      <c r="B206" s="3" t="s">
        <v>2504</v>
      </c>
      <c r="C206" s="3" t="s">
        <v>2505</v>
      </c>
      <c r="D206" s="3" t="s">
        <v>2505</v>
      </c>
      <c r="E206" s="3" t="s">
        <v>2506</v>
      </c>
      <c r="F206" s="3" t="s">
        <v>120</v>
      </c>
      <c r="G206" s="3">
        <v>17</v>
      </c>
      <c r="H206" s="3">
        <v>0</v>
      </c>
      <c r="I206" s="3">
        <v>0</v>
      </c>
      <c r="J206" s="3">
        <v>1</v>
      </c>
      <c r="K206" s="3">
        <v>16</v>
      </c>
      <c r="L206" s="3">
        <v>0</v>
      </c>
      <c r="M206" s="3">
        <v>0</v>
      </c>
      <c r="N206" s="3" t="s">
        <v>5218</v>
      </c>
      <c r="O206" s="3">
        <v>16</v>
      </c>
      <c r="P206" s="3">
        <v>35.72</v>
      </c>
      <c r="Q206" s="3">
        <v>0</v>
      </c>
      <c r="R206" s="3">
        <v>0</v>
      </c>
      <c r="S206" s="3">
        <v>0</v>
      </c>
      <c r="T206" s="3">
        <v>1</v>
      </c>
      <c r="U206" s="3">
        <v>1</v>
      </c>
      <c r="V206" s="3">
        <v>2</v>
      </c>
      <c r="W206" s="3"/>
      <c r="X206" s="3">
        <v>24.98</v>
      </c>
      <c r="Y206" s="3">
        <v>24.98</v>
      </c>
      <c r="Z206" s="3">
        <v>24.98</v>
      </c>
      <c r="AA206" s="3">
        <v>0</v>
      </c>
      <c r="AB206" s="3" t="s">
        <v>5228</v>
      </c>
      <c r="AC206" s="3">
        <v>11</v>
      </c>
      <c r="AD206" s="3">
        <v>19.24</v>
      </c>
      <c r="AE206" s="3">
        <v>140</v>
      </c>
      <c r="AF206" s="3">
        <v>0</v>
      </c>
      <c r="AG206" s="3">
        <v>4.814584</v>
      </c>
      <c r="AH206" s="3">
        <v>0.111111111111111</v>
      </c>
      <c r="AI206" s="3" t="s">
        <v>5230</v>
      </c>
      <c r="AJ206" s="3" t="s">
        <v>5222</v>
      </c>
    </row>
    <row r="207" spans="1:36">
      <c r="A207" s="5">
        <v>43288</v>
      </c>
      <c r="B207" s="3" t="s">
        <v>4391</v>
      </c>
      <c r="C207" s="3" t="s">
        <v>3418</v>
      </c>
      <c r="D207" s="3" t="s">
        <v>3418</v>
      </c>
      <c r="E207" s="3" t="s">
        <v>3419</v>
      </c>
      <c r="F207" s="3" t="s">
        <v>120</v>
      </c>
      <c r="G207" s="3">
        <v>3</v>
      </c>
      <c r="H207" s="3">
        <v>0</v>
      </c>
      <c r="I207" s="3">
        <v>3</v>
      </c>
      <c r="J207" s="3">
        <v>0</v>
      </c>
      <c r="K207" s="3">
        <v>0</v>
      </c>
      <c r="L207" s="3">
        <v>0</v>
      </c>
      <c r="M207" s="3">
        <v>0</v>
      </c>
      <c r="N207" s="3" t="s">
        <v>5218</v>
      </c>
      <c r="O207" s="3">
        <v>0</v>
      </c>
      <c r="P207" s="3">
        <v>0</v>
      </c>
      <c r="Q207" s="3">
        <v>0</v>
      </c>
      <c r="R207" s="3">
        <v>0</v>
      </c>
      <c r="S207" s="3">
        <v>0</v>
      </c>
      <c r="T207" s="3">
        <v>1</v>
      </c>
      <c r="U207" s="3">
        <v>2</v>
      </c>
      <c r="V207" s="3">
        <v>3</v>
      </c>
      <c r="W207" s="3"/>
      <c r="X207" s="3">
        <v>22.98</v>
      </c>
      <c r="Y207" s="3">
        <v>22.98</v>
      </c>
      <c r="Z207" s="3">
        <v>22.98</v>
      </c>
      <c r="AA207" s="3">
        <v>0</v>
      </c>
      <c r="AB207" s="3" t="s">
        <v>5223</v>
      </c>
      <c r="AC207" s="3">
        <v>3</v>
      </c>
      <c r="AD207" s="3">
        <v>22.98</v>
      </c>
      <c r="AE207" s="3">
        <v>0</v>
      </c>
      <c r="AF207" s="3">
        <v>0</v>
      </c>
      <c r="AG207" s="3">
        <v>0</v>
      </c>
      <c r="AH207" s="3">
        <v>0.363636363636363</v>
      </c>
      <c r="AI207" s="3" t="s">
        <v>5310</v>
      </c>
      <c r="AJ207" s="3" t="s">
        <v>5222</v>
      </c>
    </row>
    <row r="208" spans="1:36">
      <c r="A208" s="5">
        <v>43288</v>
      </c>
      <c r="B208" s="3" t="s">
        <v>4521</v>
      </c>
      <c r="C208" s="3" t="s">
        <v>3827</v>
      </c>
      <c r="D208" s="3" t="s">
        <v>3827</v>
      </c>
      <c r="E208" s="3" t="s">
        <v>3828</v>
      </c>
      <c r="F208" s="3" t="s">
        <v>120</v>
      </c>
      <c r="G208" s="3">
        <v>1</v>
      </c>
      <c r="H208" s="3">
        <v>0</v>
      </c>
      <c r="I208" s="3">
        <v>0</v>
      </c>
      <c r="J208" s="3">
        <v>0</v>
      </c>
      <c r="K208" s="3">
        <v>1</v>
      </c>
      <c r="L208" s="3">
        <v>0</v>
      </c>
      <c r="M208" s="3">
        <v>0</v>
      </c>
      <c r="N208" s="3" t="s">
        <v>5218</v>
      </c>
      <c r="O208" s="3">
        <v>1</v>
      </c>
      <c r="P208" s="3">
        <v>0.99</v>
      </c>
      <c r="Q208" s="3">
        <v>0</v>
      </c>
      <c r="R208" s="3">
        <v>0</v>
      </c>
      <c r="S208" s="3">
        <v>1</v>
      </c>
      <c r="T208" s="3">
        <v>1</v>
      </c>
      <c r="U208" s="3">
        <v>1</v>
      </c>
      <c r="V208" s="3">
        <v>1</v>
      </c>
      <c r="W208" s="3"/>
      <c r="X208" s="3">
        <v>23.98</v>
      </c>
      <c r="Y208" s="3">
        <v>23.98</v>
      </c>
      <c r="Z208" s="3">
        <v>23.98</v>
      </c>
      <c r="AA208" s="3">
        <v>0</v>
      </c>
      <c r="AB208" s="3" t="s">
        <v>5228</v>
      </c>
      <c r="AC208" s="3">
        <v>0</v>
      </c>
      <c r="AD208" s="3">
        <v>22.57</v>
      </c>
      <c r="AE208" s="3">
        <v>28</v>
      </c>
      <c r="AF208" s="3">
        <v>0</v>
      </c>
      <c r="AG208" s="3">
        <v>22.197183</v>
      </c>
      <c r="AH208" s="3">
        <v>0.571428571428571</v>
      </c>
      <c r="AI208" s="3" t="s">
        <v>5263</v>
      </c>
      <c r="AJ208" s="3" t="s">
        <v>5222</v>
      </c>
    </row>
    <row r="209" spans="1:36">
      <c r="A209" s="5">
        <v>43288</v>
      </c>
      <c r="B209" s="3" t="s">
        <v>710</v>
      </c>
      <c r="C209" s="3" t="s">
        <v>711</v>
      </c>
      <c r="D209" s="3" t="s">
        <v>614</v>
      </c>
      <c r="E209" s="3" t="s">
        <v>615</v>
      </c>
      <c r="F209" s="3" t="s">
        <v>120</v>
      </c>
      <c r="G209" s="3">
        <v>5</v>
      </c>
      <c r="H209" s="3">
        <v>0</v>
      </c>
      <c r="I209" s="3">
        <v>5</v>
      </c>
      <c r="J209" s="3">
        <v>0</v>
      </c>
      <c r="K209" s="3">
        <v>0</v>
      </c>
      <c r="L209" s="3">
        <v>0</v>
      </c>
      <c r="M209" s="3">
        <v>0</v>
      </c>
      <c r="N209" s="3" t="s">
        <v>5218</v>
      </c>
      <c r="O209" s="3">
        <v>0</v>
      </c>
      <c r="P209" s="3">
        <v>0</v>
      </c>
      <c r="Q209" s="3">
        <v>0</v>
      </c>
      <c r="R209" s="3">
        <v>0</v>
      </c>
      <c r="S209" s="3">
        <v>0</v>
      </c>
      <c r="T209" s="3">
        <v>0</v>
      </c>
      <c r="U209" s="3">
        <v>0</v>
      </c>
      <c r="V209" s="3">
        <v>0</v>
      </c>
      <c r="W209" s="3" t="s">
        <v>5227</v>
      </c>
      <c r="X209" s="3">
        <v>24.98</v>
      </c>
      <c r="Y209" s="3">
        <v>24.98</v>
      </c>
      <c r="Z209" s="3">
        <v>24.98</v>
      </c>
      <c r="AA209" s="3">
        <v>0</v>
      </c>
      <c r="AB209" s="3" t="s">
        <v>5223</v>
      </c>
      <c r="AC209" s="3">
        <v>0</v>
      </c>
      <c r="AD209" s="3">
        <v>0</v>
      </c>
      <c r="AE209" s="3">
        <v>0</v>
      </c>
      <c r="AF209" s="3">
        <v>0</v>
      </c>
      <c r="AG209" s="3">
        <v>0</v>
      </c>
      <c r="AH209" s="3">
        <v>0.324324324324324</v>
      </c>
      <c r="AI209" s="3" t="s">
        <v>5250</v>
      </c>
      <c r="AJ209" s="3" t="s">
        <v>5222</v>
      </c>
    </row>
    <row r="210" spans="1:36">
      <c r="A210" s="5">
        <v>43288</v>
      </c>
      <c r="B210" s="3" t="s">
        <v>2474</v>
      </c>
      <c r="C210" s="3" t="s">
        <v>2475</v>
      </c>
      <c r="D210" s="3" t="s">
        <v>2475</v>
      </c>
      <c r="E210" s="3" t="s">
        <v>2476</v>
      </c>
      <c r="F210" s="3" t="s">
        <v>120</v>
      </c>
      <c r="G210" s="3">
        <v>23</v>
      </c>
      <c r="H210" s="3">
        <v>0</v>
      </c>
      <c r="I210" s="3">
        <v>17</v>
      </c>
      <c r="J210" s="3">
        <v>1</v>
      </c>
      <c r="K210" s="3">
        <v>5</v>
      </c>
      <c r="L210" s="3">
        <v>0</v>
      </c>
      <c r="M210" s="3">
        <v>0</v>
      </c>
      <c r="N210" s="3" t="s">
        <v>5218</v>
      </c>
      <c r="O210" s="3">
        <v>5</v>
      </c>
      <c r="P210" s="3">
        <v>9.14</v>
      </c>
      <c r="Q210" s="3">
        <v>0</v>
      </c>
      <c r="R210" s="3">
        <v>0</v>
      </c>
      <c r="S210" s="3">
        <v>0</v>
      </c>
      <c r="T210" s="3">
        <v>0</v>
      </c>
      <c r="U210" s="3">
        <v>0</v>
      </c>
      <c r="V210" s="3">
        <v>2</v>
      </c>
      <c r="W210" s="3" t="s">
        <v>5227</v>
      </c>
      <c r="X210" s="3">
        <v>22.98</v>
      </c>
      <c r="Y210" s="3">
        <v>22.98</v>
      </c>
      <c r="Z210" s="3">
        <v>22</v>
      </c>
      <c r="AA210" s="3">
        <v>0</v>
      </c>
      <c r="AB210" s="3" t="s">
        <v>5228</v>
      </c>
      <c r="AC210" s="3">
        <v>0</v>
      </c>
      <c r="AD210" s="3">
        <v>17.09</v>
      </c>
      <c r="AE210" s="3">
        <v>350</v>
      </c>
      <c r="AF210" s="3">
        <v>0</v>
      </c>
      <c r="AG210" s="3">
        <v>562.051835</v>
      </c>
      <c r="AH210" s="3">
        <v>0.10126582278481</v>
      </c>
      <c r="AI210" s="3" t="s">
        <v>5311</v>
      </c>
      <c r="AJ210" s="3" t="s">
        <v>5222</v>
      </c>
    </row>
    <row r="211" spans="1:36">
      <c r="A211" s="5">
        <v>43288</v>
      </c>
      <c r="B211" s="3" t="s">
        <v>4291</v>
      </c>
      <c r="C211" s="3" t="s">
        <v>4292</v>
      </c>
      <c r="D211" s="3" t="s">
        <v>4292</v>
      </c>
      <c r="E211" s="3" t="s">
        <v>4293</v>
      </c>
      <c r="F211" s="3" t="s">
        <v>120</v>
      </c>
      <c r="G211" s="3">
        <v>20</v>
      </c>
      <c r="H211" s="3">
        <v>0</v>
      </c>
      <c r="I211" s="3">
        <v>20</v>
      </c>
      <c r="J211" s="3">
        <v>0</v>
      </c>
      <c r="K211" s="3">
        <v>0</v>
      </c>
      <c r="L211" s="3">
        <v>0</v>
      </c>
      <c r="M211" s="3">
        <v>0</v>
      </c>
      <c r="N211" s="3" t="s">
        <v>5218</v>
      </c>
      <c r="O211" s="3">
        <v>0</v>
      </c>
      <c r="P211" s="3">
        <v>0</v>
      </c>
      <c r="Q211" s="3">
        <v>0</v>
      </c>
      <c r="R211" s="3">
        <v>0</v>
      </c>
      <c r="S211" s="3">
        <v>0</v>
      </c>
      <c r="T211" s="3">
        <v>5</v>
      </c>
      <c r="U211" s="3">
        <v>10</v>
      </c>
      <c r="V211" s="3">
        <v>15</v>
      </c>
      <c r="W211" s="3"/>
      <c r="X211" s="3">
        <v>23.98</v>
      </c>
      <c r="Y211" s="3">
        <v>23.98</v>
      </c>
      <c r="Z211" s="3">
        <v>23.98</v>
      </c>
      <c r="AA211" s="3">
        <v>0</v>
      </c>
      <c r="AB211" s="3" t="s">
        <v>5223</v>
      </c>
      <c r="AC211" s="3">
        <v>20</v>
      </c>
      <c r="AD211" s="3">
        <v>23.98</v>
      </c>
      <c r="AE211" s="3">
        <v>0</v>
      </c>
      <c r="AF211" s="3">
        <v>0</v>
      </c>
      <c r="AG211" s="3">
        <v>0</v>
      </c>
      <c r="AH211" s="3">
        <v>1.42857142857142</v>
      </c>
      <c r="AI211" s="3" t="s">
        <v>5312</v>
      </c>
      <c r="AJ211" s="3" t="s">
        <v>5222</v>
      </c>
    </row>
    <row r="212" spans="1:36">
      <c r="A212" s="5">
        <v>43288</v>
      </c>
      <c r="B212" s="3" t="s">
        <v>1020</v>
      </c>
      <c r="C212" s="3" t="s">
        <v>1021</v>
      </c>
      <c r="D212" s="3" t="s">
        <v>1022</v>
      </c>
      <c r="E212" s="3" t="s">
        <v>1023</v>
      </c>
      <c r="F212" s="3" t="s">
        <v>120</v>
      </c>
      <c r="G212" s="3">
        <v>23</v>
      </c>
      <c r="H212" s="3">
        <v>0</v>
      </c>
      <c r="I212" s="3">
        <v>23</v>
      </c>
      <c r="J212" s="3">
        <v>0</v>
      </c>
      <c r="K212" s="3">
        <v>0</v>
      </c>
      <c r="L212" s="3">
        <v>0</v>
      </c>
      <c r="M212" s="3">
        <v>0</v>
      </c>
      <c r="N212" s="3" t="s">
        <v>5218</v>
      </c>
      <c r="O212" s="3">
        <v>0</v>
      </c>
      <c r="P212" s="3">
        <v>0</v>
      </c>
      <c r="Q212" s="3">
        <v>0</v>
      </c>
      <c r="R212" s="3">
        <v>0</v>
      </c>
      <c r="S212" s="3">
        <v>0</v>
      </c>
      <c r="T212" s="3">
        <v>0</v>
      </c>
      <c r="U212" s="3">
        <v>0</v>
      </c>
      <c r="V212" s="3">
        <v>0</v>
      </c>
      <c r="W212" s="3" t="s">
        <v>5219</v>
      </c>
      <c r="X212" s="3">
        <v>24.98</v>
      </c>
      <c r="Y212" s="3">
        <v>24.98</v>
      </c>
      <c r="Z212" s="3">
        <v>24.98</v>
      </c>
      <c r="AA212" s="3">
        <v>0</v>
      </c>
      <c r="AB212" s="3" t="s">
        <v>5220</v>
      </c>
      <c r="AC212" s="3">
        <v>0</v>
      </c>
      <c r="AD212" s="3">
        <v>0</v>
      </c>
      <c r="AE212" s="3">
        <v>0</v>
      </c>
      <c r="AF212" s="3">
        <v>0</v>
      </c>
      <c r="AG212" s="3">
        <v>0</v>
      </c>
      <c r="AH212" s="3">
        <v>0.461538461538461</v>
      </c>
      <c r="AI212" s="3" t="s">
        <v>5313</v>
      </c>
      <c r="AJ212" s="3" t="s">
        <v>5222</v>
      </c>
    </row>
    <row r="213" spans="1:36">
      <c r="A213" s="5">
        <v>43288</v>
      </c>
      <c r="B213" s="3" t="s">
        <v>3006</v>
      </c>
      <c r="C213" s="3" t="s">
        <v>3007</v>
      </c>
      <c r="D213" s="3" t="s">
        <v>3007</v>
      </c>
      <c r="E213" s="3" t="s">
        <v>3008</v>
      </c>
      <c r="F213" s="3" t="s">
        <v>120</v>
      </c>
      <c r="G213" s="3">
        <v>32</v>
      </c>
      <c r="H213" s="3">
        <v>0</v>
      </c>
      <c r="I213" s="3">
        <v>32</v>
      </c>
      <c r="J213" s="3">
        <v>0</v>
      </c>
      <c r="K213" s="3">
        <v>0</v>
      </c>
      <c r="L213" s="3">
        <v>0</v>
      </c>
      <c r="M213" s="3">
        <v>0</v>
      </c>
      <c r="N213" s="3" t="s">
        <v>5218</v>
      </c>
      <c r="O213" s="3">
        <v>0</v>
      </c>
      <c r="P213" s="3">
        <v>0</v>
      </c>
      <c r="Q213" s="3">
        <v>0</v>
      </c>
      <c r="R213" s="3">
        <v>0</v>
      </c>
      <c r="S213" s="3">
        <v>1</v>
      </c>
      <c r="T213" s="3">
        <v>10</v>
      </c>
      <c r="U213" s="3">
        <v>15</v>
      </c>
      <c r="V213" s="3">
        <v>31</v>
      </c>
      <c r="W213" s="3"/>
      <c r="X213" s="3">
        <v>23.98</v>
      </c>
      <c r="Y213" s="3">
        <v>23.98</v>
      </c>
      <c r="Z213" s="3">
        <v>23.98</v>
      </c>
      <c r="AA213" s="3">
        <v>0</v>
      </c>
      <c r="AB213" s="3" t="s">
        <v>5223</v>
      </c>
      <c r="AC213" s="3">
        <v>32</v>
      </c>
      <c r="AD213" s="3">
        <v>23.98</v>
      </c>
      <c r="AE213" s="3">
        <v>0</v>
      </c>
      <c r="AF213" s="3">
        <v>0</v>
      </c>
      <c r="AG213" s="3">
        <v>0</v>
      </c>
      <c r="AH213" s="3">
        <v>0.932330827067669</v>
      </c>
      <c r="AI213" s="3" t="s">
        <v>5314</v>
      </c>
      <c r="AJ213" s="3" t="s">
        <v>5222</v>
      </c>
    </row>
    <row r="214" spans="1:36">
      <c r="A214" s="5">
        <v>43288</v>
      </c>
      <c r="B214" s="3" t="s">
        <v>4424</v>
      </c>
      <c r="C214" s="3" t="s">
        <v>3550</v>
      </c>
      <c r="D214" s="3" t="s">
        <v>3550</v>
      </c>
      <c r="E214" s="3" t="s">
        <v>3551</v>
      </c>
      <c r="F214" s="3" t="s">
        <v>120</v>
      </c>
      <c r="G214" s="3">
        <v>2</v>
      </c>
      <c r="H214" s="3">
        <v>0</v>
      </c>
      <c r="I214" s="3">
        <v>0</v>
      </c>
      <c r="J214" s="3">
        <v>0</v>
      </c>
      <c r="K214" s="3">
        <v>2</v>
      </c>
      <c r="L214" s="3">
        <v>0</v>
      </c>
      <c r="M214" s="3">
        <v>0</v>
      </c>
      <c r="N214" s="3" t="s">
        <v>5218</v>
      </c>
      <c r="O214" s="3">
        <v>2</v>
      </c>
      <c r="P214" s="3">
        <v>3.09</v>
      </c>
      <c r="Q214" s="3">
        <v>0</v>
      </c>
      <c r="R214" s="3">
        <v>0</v>
      </c>
      <c r="S214" s="3">
        <v>0</v>
      </c>
      <c r="T214" s="3">
        <v>0</v>
      </c>
      <c r="U214" s="3">
        <v>0</v>
      </c>
      <c r="V214" s="3">
        <v>1</v>
      </c>
      <c r="W214" s="3" t="s">
        <v>5227</v>
      </c>
      <c r="X214" s="3">
        <v>24.98</v>
      </c>
      <c r="Y214" s="3">
        <v>24.98</v>
      </c>
      <c r="Z214" s="3">
        <v>24.98</v>
      </c>
      <c r="AA214" s="3">
        <v>0</v>
      </c>
      <c r="AB214" s="3" t="s">
        <v>5228</v>
      </c>
      <c r="AC214" s="3">
        <v>0</v>
      </c>
      <c r="AD214" s="3">
        <v>21.56</v>
      </c>
      <c r="AE214" s="3">
        <v>217</v>
      </c>
      <c r="AF214" s="3">
        <v>0</v>
      </c>
      <c r="AG214" s="3">
        <v>49.469512</v>
      </c>
      <c r="AH214" s="3">
        <v>0.444444444444444</v>
      </c>
      <c r="AI214" s="3" t="s">
        <v>5262</v>
      </c>
      <c r="AJ214" s="3" t="s">
        <v>5222</v>
      </c>
    </row>
    <row r="215" spans="1:36">
      <c r="A215" s="5">
        <v>43288</v>
      </c>
      <c r="B215" s="3" t="s">
        <v>3993</v>
      </c>
      <c r="C215" s="3" t="s">
        <v>3994</v>
      </c>
      <c r="D215" s="3" t="s">
        <v>3995</v>
      </c>
      <c r="E215" s="3" t="s">
        <v>3996</v>
      </c>
      <c r="F215" s="3" t="s">
        <v>120</v>
      </c>
      <c r="G215" s="3">
        <v>4</v>
      </c>
      <c r="H215" s="3">
        <v>0</v>
      </c>
      <c r="I215" s="3">
        <v>4</v>
      </c>
      <c r="J215" s="3">
        <v>0</v>
      </c>
      <c r="K215" s="3">
        <v>0</v>
      </c>
      <c r="L215" s="3">
        <v>0</v>
      </c>
      <c r="M215" s="3">
        <v>0</v>
      </c>
      <c r="N215" s="3" t="s">
        <v>5218</v>
      </c>
      <c r="O215" s="3">
        <v>0</v>
      </c>
      <c r="P215" s="3">
        <v>0</v>
      </c>
      <c r="Q215" s="3">
        <v>0</v>
      </c>
      <c r="R215" s="3">
        <v>0</v>
      </c>
      <c r="S215" s="3">
        <v>0</v>
      </c>
      <c r="T215" s="3">
        <v>1</v>
      </c>
      <c r="U215" s="3">
        <v>1</v>
      </c>
      <c r="V215" s="3">
        <v>1</v>
      </c>
      <c r="W215" s="3"/>
      <c r="X215" s="3">
        <v>20.98</v>
      </c>
      <c r="Y215" s="3">
        <v>20.98</v>
      </c>
      <c r="Z215" s="3">
        <v>20.98</v>
      </c>
      <c r="AA215" s="3">
        <v>0</v>
      </c>
      <c r="AB215" s="3" t="s">
        <v>5223</v>
      </c>
      <c r="AC215" s="3">
        <v>4</v>
      </c>
      <c r="AD215" s="3">
        <v>20.98</v>
      </c>
      <c r="AE215" s="3">
        <v>0</v>
      </c>
      <c r="AF215" s="3">
        <v>0</v>
      </c>
      <c r="AG215" s="3">
        <v>0</v>
      </c>
      <c r="AH215" s="3">
        <v>1.375</v>
      </c>
      <c r="AI215" s="3" t="s">
        <v>5226</v>
      </c>
      <c r="AJ215" s="3" t="s">
        <v>5222</v>
      </c>
    </row>
    <row r="216" spans="1:36">
      <c r="A216" s="5">
        <v>43288</v>
      </c>
      <c r="B216" s="3" t="s">
        <v>4345</v>
      </c>
      <c r="C216" s="3" t="s">
        <v>4346</v>
      </c>
      <c r="D216" s="3" t="s">
        <v>4346</v>
      </c>
      <c r="E216" s="3" t="s">
        <v>4347</v>
      </c>
      <c r="F216" s="3" t="s">
        <v>120</v>
      </c>
      <c r="G216" s="3">
        <v>9</v>
      </c>
      <c r="H216" s="3">
        <v>0</v>
      </c>
      <c r="I216" s="3">
        <v>9</v>
      </c>
      <c r="J216" s="3">
        <v>0</v>
      </c>
      <c r="K216" s="3">
        <v>0</v>
      </c>
      <c r="L216" s="3">
        <v>0</v>
      </c>
      <c r="M216" s="3">
        <v>0</v>
      </c>
      <c r="N216" s="3" t="s">
        <v>5218</v>
      </c>
      <c r="O216" s="3">
        <v>0</v>
      </c>
      <c r="P216" s="3">
        <v>0</v>
      </c>
      <c r="Q216" s="3">
        <v>0</v>
      </c>
      <c r="R216" s="3">
        <v>0</v>
      </c>
      <c r="S216" s="3">
        <v>0</v>
      </c>
      <c r="T216" s="3">
        <v>1</v>
      </c>
      <c r="U216" s="3">
        <v>3</v>
      </c>
      <c r="V216" s="3">
        <v>3</v>
      </c>
      <c r="W216" s="3"/>
      <c r="X216" s="3">
        <v>23.98</v>
      </c>
      <c r="Y216" s="3">
        <v>23.98</v>
      </c>
      <c r="Z216" s="3">
        <v>23.98</v>
      </c>
      <c r="AA216" s="3">
        <v>0</v>
      </c>
      <c r="AB216" s="3" t="s">
        <v>5223</v>
      </c>
      <c r="AC216" s="3">
        <v>9</v>
      </c>
      <c r="AD216" s="3">
        <v>23.98</v>
      </c>
      <c r="AE216" s="3">
        <v>0</v>
      </c>
      <c r="AF216" s="3">
        <v>0</v>
      </c>
      <c r="AG216" s="3">
        <v>0</v>
      </c>
      <c r="AH216" s="3">
        <v>0.387096774193548</v>
      </c>
      <c r="AI216" s="3" t="s">
        <v>5315</v>
      </c>
      <c r="AJ216" s="3" t="s">
        <v>5222</v>
      </c>
    </row>
    <row r="217" spans="1:36">
      <c r="A217" s="5">
        <v>43288</v>
      </c>
      <c r="B217" s="3" t="s">
        <v>4171</v>
      </c>
      <c r="C217" s="3" t="s">
        <v>4172</v>
      </c>
      <c r="D217" s="3" t="s">
        <v>4172</v>
      </c>
      <c r="E217" s="3" t="s">
        <v>4173</v>
      </c>
      <c r="F217" s="3" t="s">
        <v>120</v>
      </c>
      <c r="G217" s="3">
        <v>10</v>
      </c>
      <c r="H217" s="3">
        <v>0</v>
      </c>
      <c r="I217" s="3">
        <v>10</v>
      </c>
      <c r="J217" s="3">
        <v>0</v>
      </c>
      <c r="K217" s="3">
        <v>0</v>
      </c>
      <c r="L217" s="3">
        <v>0</v>
      </c>
      <c r="M217" s="3">
        <v>0</v>
      </c>
      <c r="N217" s="3" t="s">
        <v>5218</v>
      </c>
      <c r="O217" s="3">
        <v>0</v>
      </c>
      <c r="P217" s="3">
        <v>0</v>
      </c>
      <c r="Q217" s="3">
        <v>0</v>
      </c>
      <c r="R217" s="3">
        <v>0</v>
      </c>
      <c r="S217" s="3">
        <v>0</v>
      </c>
      <c r="T217" s="3">
        <v>1</v>
      </c>
      <c r="U217" s="3">
        <v>4</v>
      </c>
      <c r="V217" s="3">
        <v>4</v>
      </c>
      <c r="W217" s="3"/>
      <c r="X217" s="3">
        <v>22.98</v>
      </c>
      <c r="Y217" s="3">
        <v>22.98</v>
      </c>
      <c r="Z217" s="3">
        <v>22.98</v>
      </c>
      <c r="AA217" s="3">
        <v>0</v>
      </c>
      <c r="AB217" s="3" t="s">
        <v>5228</v>
      </c>
      <c r="AC217" s="3">
        <v>1</v>
      </c>
      <c r="AD217" s="3">
        <v>21.19</v>
      </c>
      <c r="AE217" s="3">
        <v>147</v>
      </c>
      <c r="AF217" s="3">
        <v>0</v>
      </c>
      <c r="AG217" s="3">
        <v>203.791958</v>
      </c>
      <c r="AH217" s="3">
        <v>0.551724137931034</v>
      </c>
      <c r="AI217" s="3" t="s">
        <v>5226</v>
      </c>
      <c r="AJ217" s="3" t="s">
        <v>5222</v>
      </c>
    </row>
    <row r="218" spans="1:36">
      <c r="A218" s="5">
        <v>43288</v>
      </c>
      <c r="B218" s="3" t="s">
        <v>1378</v>
      </c>
      <c r="C218" s="3" t="s">
        <v>1379</v>
      </c>
      <c r="D218" s="3" t="s">
        <v>1380</v>
      </c>
      <c r="E218" s="3" t="s">
        <v>1381</v>
      </c>
      <c r="F218" s="3" t="s">
        <v>120</v>
      </c>
      <c r="G218" s="3">
        <v>15</v>
      </c>
      <c r="H218" s="3">
        <v>0</v>
      </c>
      <c r="I218" s="3">
        <v>15</v>
      </c>
      <c r="J218" s="3">
        <v>0</v>
      </c>
      <c r="K218" s="3">
        <v>0</v>
      </c>
      <c r="L218" s="3">
        <v>0</v>
      </c>
      <c r="M218" s="3">
        <v>0</v>
      </c>
      <c r="N218" s="3" t="s">
        <v>5218</v>
      </c>
      <c r="O218" s="3">
        <v>0</v>
      </c>
      <c r="P218" s="3">
        <v>0</v>
      </c>
      <c r="Q218" s="3">
        <v>0</v>
      </c>
      <c r="R218" s="3">
        <v>0</v>
      </c>
      <c r="S218" s="3">
        <v>0</v>
      </c>
      <c r="T218" s="3">
        <v>0</v>
      </c>
      <c r="U218" s="3">
        <v>0</v>
      </c>
      <c r="V218" s="3">
        <v>0</v>
      </c>
      <c r="W218" s="3" t="s">
        <v>5227</v>
      </c>
      <c r="X218" s="3">
        <v>23.98</v>
      </c>
      <c r="Y218" s="3">
        <v>23.98</v>
      </c>
      <c r="Z218" s="3">
        <v>22.98</v>
      </c>
      <c r="AA218" s="3">
        <v>0</v>
      </c>
      <c r="AB218" s="3" t="s">
        <v>5223</v>
      </c>
      <c r="AC218" s="3">
        <v>0</v>
      </c>
      <c r="AD218" s="3">
        <v>0</v>
      </c>
      <c r="AE218" s="3">
        <v>0</v>
      </c>
      <c r="AF218" s="3">
        <v>0</v>
      </c>
      <c r="AG218" s="3">
        <v>0</v>
      </c>
      <c r="AH218" s="3">
        <v>1.68181818181818</v>
      </c>
      <c r="AI218" s="3" t="s">
        <v>5236</v>
      </c>
      <c r="AJ218" s="3" t="s">
        <v>5222</v>
      </c>
    </row>
    <row r="219" spans="1:36">
      <c r="A219" s="5">
        <v>43288</v>
      </c>
      <c r="B219" s="3" t="s">
        <v>117</v>
      </c>
      <c r="C219" s="3" t="s">
        <v>118</v>
      </c>
      <c r="D219" s="3" t="s">
        <v>118</v>
      </c>
      <c r="E219" s="3" t="s">
        <v>119</v>
      </c>
      <c r="F219" s="3" t="s">
        <v>120</v>
      </c>
      <c r="G219" s="3">
        <v>15</v>
      </c>
      <c r="H219" s="3">
        <v>0</v>
      </c>
      <c r="I219" s="3">
        <v>0</v>
      </c>
      <c r="J219" s="3">
        <v>4</v>
      </c>
      <c r="K219" s="3">
        <v>11</v>
      </c>
      <c r="L219" s="3">
        <v>0</v>
      </c>
      <c r="M219" s="3">
        <v>0</v>
      </c>
      <c r="N219" s="3" t="s">
        <v>5218</v>
      </c>
      <c r="O219" s="3">
        <v>12</v>
      </c>
      <c r="P219" s="3">
        <v>22.45</v>
      </c>
      <c r="Q219" s="3">
        <v>0</v>
      </c>
      <c r="R219" s="3">
        <v>0</v>
      </c>
      <c r="S219" s="3">
        <v>0</v>
      </c>
      <c r="T219" s="3">
        <v>0</v>
      </c>
      <c r="U219" s="3">
        <v>0</v>
      </c>
      <c r="V219" s="3">
        <v>1</v>
      </c>
      <c r="W219" s="3" t="s">
        <v>5219</v>
      </c>
      <c r="X219" s="3">
        <v>22.98</v>
      </c>
      <c r="Y219" s="3">
        <v>22.98</v>
      </c>
      <c r="Z219" s="3">
        <v>22.98</v>
      </c>
      <c r="AA219" s="3">
        <v>0</v>
      </c>
      <c r="AB219" s="3" t="s">
        <v>5220</v>
      </c>
      <c r="AC219" s="3">
        <v>1</v>
      </c>
      <c r="AD219" s="3">
        <v>20.41</v>
      </c>
      <c r="AE219" s="3">
        <v>154</v>
      </c>
      <c r="AF219" s="3">
        <v>0</v>
      </c>
      <c r="AG219" s="3">
        <v>438.01962</v>
      </c>
      <c r="AH219" s="3">
        <v>0.0655737704918032</v>
      </c>
      <c r="AI219" s="3" t="s">
        <v>5270</v>
      </c>
      <c r="AJ219" s="3" t="s">
        <v>5222</v>
      </c>
    </row>
    <row r="220" spans="1:36">
      <c r="A220" s="5">
        <v>43288</v>
      </c>
      <c r="B220" s="3" t="s">
        <v>4423</v>
      </c>
      <c r="C220" s="3" t="s">
        <v>3546</v>
      </c>
      <c r="D220" s="3" t="s">
        <v>3546</v>
      </c>
      <c r="E220" s="3" t="s">
        <v>3547</v>
      </c>
      <c r="F220" s="3" t="s">
        <v>120</v>
      </c>
      <c r="G220" s="3">
        <v>4</v>
      </c>
      <c r="H220" s="3">
        <v>0</v>
      </c>
      <c r="I220" s="3">
        <v>1</v>
      </c>
      <c r="J220" s="3">
        <v>0</v>
      </c>
      <c r="K220" s="3">
        <v>3</v>
      </c>
      <c r="L220" s="3">
        <v>0</v>
      </c>
      <c r="M220" s="3">
        <v>0</v>
      </c>
      <c r="N220" s="3" t="s">
        <v>5218</v>
      </c>
      <c r="O220" s="3">
        <v>3</v>
      </c>
      <c r="P220" s="3">
        <v>4.63</v>
      </c>
      <c r="Q220" s="3">
        <v>0</v>
      </c>
      <c r="R220" s="3">
        <v>0</v>
      </c>
      <c r="S220" s="3">
        <v>0</v>
      </c>
      <c r="T220" s="3">
        <v>0</v>
      </c>
      <c r="U220" s="3">
        <v>2</v>
      </c>
      <c r="V220" s="3">
        <v>3</v>
      </c>
      <c r="W220" s="3" t="s">
        <v>5227</v>
      </c>
      <c r="X220" s="3">
        <v>24.98</v>
      </c>
      <c r="Y220" s="3">
        <v>24.98</v>
      </c>
      <c r="Z220" s="3">
        <v>24.98</v>
      </c>
      <c r="AA220" s="3">
        <v>0</v>
      </c>
      <c r="AB220" s="3" t="s">
        <v>5228</v>
      </c>
      <c r="AC220" s="3">
        <v>0</v>
      </c>
      <c r="AD220" s="3">
        <v>17.79</v>
      </c>
      <c r="AE220" s="3">
        <v>56</v>
      </c>
      <c r="AF220" s="3">
        <v>0</v>
      </c>
      <c r="AG220" s="3">
        <v>63.008318</v>
      </c>
      <c r="AH220" s="3">
        <v>0.6</v>
      </c>
      <c r="AI220" s="3" t="s">
        <v>5262</v>
      </c>
      <c r="AJ220" s="3" t="s">
        <v>5222</v>
      </c>
    </row>
    <row r="221" spans="1:36">
      <c r="A221" s="5">
        <v>43288</v>
      </c>
      <c r="B221" s="3" t="s">
        <v>2925</v>
      </c>
      <c r="C221" s="3" t="s">
        <v>1329</v>
      </c>
      <c r="D221" s="3" t="s">
        <v>1329</v>
      </c>
      <c r="E221" s="3" t="s">
        <v>1330</v>
      </c>
      <c r="F221" s="3" t="s">
        <v>120</v>
      </c>
      <c r="G221" s="3">
        <v>6</v>
      </c>
      <c r="H221" s="3">
        <v>0</v>
      </c>
      <c r="I221" s="3">
        <v>6</v>
      </c>
      <c r="J221" s="3">
        <v>0</v>
      </c>
      <c r="K221" s="3">
        <v>0</v>
      </c>
      <c r="L221" s="3">
        <v>0</v>
      </c>
      <c r="M221" s="3">
        <v>0</v>
      </c>
      <c r="N221" s="3" t="s">
        <v>5218</v>
      </c>
      <c r="O221" s="3">
        <v>0</v>
      </c>
      <c r="P221" s="3">
        <v>0</v>
      </c>
      <c r="Q221" s="3">
        <v>0</v>
      </c>
      <c r="R221" s="3">
        <v>0</v>
      </c>
      <c r="S221" s="3">
        <v>5</v>
      </c>
      <c r="T221" s="3">
        <v>30</v>
      </c>
      <c r="U221" s="3">
        <v>40</v>
      </c>
      <c r="V221" s="3">
        <v>40</v>
      </c>
      <c r="W221" s="3"/>
      <c r="X221" s="3">
        <v>22.98</v>
      </c>
      <c r="Y221" s="3">
        <v>22.98</v>
      </c>
      <c r="Z221" s="3">
        <v>22.98</v>
      </c>
      <c r="AA221" s="3">
        <v>0</v>
      </c>
      <c r="AB221" s="3" t="s">
        <v>5223</v>
      </c>
      <c r="AC221" s="3">
        <v>9</v>
      </c>
      <c r="AD221" s="3">
        <v>22.98</v>
      </c>
      <c r="AE221" s="3">
        <v>0</v>
      </c>
      <c r="AF221" s="3">
        <v>0</v>
      </c>
      <c r="AG221" s="3">
        <v>0</v>
      </c>
      <c r="AH221" s="3">
        <v>6</v>
      </c>
      <c r="AI221" s="3" t="s">
        <v>5236</v>
      </c>
      <c r="AJ221" s="3" t="s">
        <v>5222</v>
      </c>
    </row>
    <row r="222" spans="1:36">
      <c r="A222" s="5">
        <v>43288</v>
      </c>
      <c r="B222" s="3" t="s">
        <v>2525</v>
      </c>
      <c r="C222" s="3" t="s">
        <v>2526</v>
      </c>
      <c r="D222" s="3" t="s">
        <v>2526</v>
      </c>
      <c r="E222" s="3" t="s">
        <v>2527</v>
      </c>
      <c r="F222" s="3" t="s">
        <v>120</v>
      </c>
      <c r="G222" s="3">
        <v>16</v>
      </c>
      <c r="H222" s="3">
        <v>0</v>
      </c>
      <c r="I222" s="3">
        <v>1</v>
      </c>
      <c r="J222" s="3">
        <v>1</v>
      </c>
      <c r="K222" s="3">
        <v>14</v>
      </c>
      <c r="L222" s="3">
        <v>0</v>
      </c>
      <c r="M222" s="3">
        <v>0</v>
      </c>
      <c r="N222" s="3" t="s">
        <v>5218</v>
      </c>
      <c r="O222" s="3">
        <v>14</v>
      </c>
      <c r="P222" s="3">
        <v>31.25</v>
      </c>
      <c r="Q222" s="3">
        <v>0</v>
      </c>
      <c r="R222" s="3">
        <v>0</v>
      </c>
      <c r="S222" s="3">
        <v>0</v>
      </c>
      <c r="T222" s="3">
        <v>0</v>
      </c>
      <c r="U222" s="3">
        <v>0</v>
      </c>
      <c r="V222" s="3">
        <v>1</v>
      </c>
      <c r="W222" s="3" t="s">
        <v>5227</v>
      </c>
      <c r="X222" s="3">
        <v>24.98</v>
      </c>
      <c r="Y222" s="3">
        <v>24.98</v>
      </c>
      <c r="Z222" s="3">
        <v>24.98</v>
      </c>
      <c r="AA222" s="3">
        <v>0</v>
      </c>
      <c r="AB222" s="3" t="s">
        <v>5228</v>
      </c>
      <c r="AC222" s="3">
        <v>0</v>
      </c>
      <c r="AD222" s="3">
        <v>19.32</v>
      </c>
      <c r="AE222" s="3">
        <v>364</v>
      </c>
      <c r="AF222" s="3">
        <v>0</v>
      </c>
      <c r="AG222" s="3">
        <v>493.242835</v>
      </c>
      <c r="AH222" s="3">
        <v>0.064516129032258</v>
      </c>
      <c r="AI222" s="3" t="s">
        <v>5230</v>
      </c>
      <c r="AJ222" s="3" t="s">
        <v>5222</v>
      </c>
    </row>
    <row r="223" spans="1:36">
      <c r="A223" s="5">
        <v>43288</v>
      </c>
      <c r="B223" s="3" t="s">
        <v>4544</v>
      </c>
      <c r="C223" s="3" t="s">
        <v>3883</v>
      </c>
      <c r="D223" s="3" t="s">
        <v>3883</v>
      </c>
      <c r="E223" s="3" t="s">
        <v>3884</v>
      </c>
      <c r="F223" s="3" t="s">
        <v>120</v>
      </c>
      <c r="G223" s="3">
        <v>5</v>
      </c>
      <c r="H223" s="3">
        <v>0</v>
      </c>
      <c r="I223" s="3">
        <v>5</v>
      </c>
      <c r="J223" s="3">
        <v>0</v>
      </c>
      <c r="K223" s="3">
        <v>0</v>
      </c>
      <c r="L223" s="3">
        <v>0</v>
      </c>
      <c r="M223" s="3">
        <v>0</v>
      </c>
      <c r="N223" s="3" t="s">
        <v>5218</v>
      </c>
      <c r="O223" s="3">
        <v>0</v>
      </c>
      <c r="P223" s="3">
        <v>0</v>
      </c>
      <c r="Q223" s="3">
        <v>0</v>
      </c>
      <c r="R223" s="3">
        <v>0</v>
      </c>
      <c r="S223" s="3">
        <v>2</v>
      </c>
      <c r="T223" s="3">
        <v>7</v>
      </c>
      <c r="U223" s="3">
        <v>14</v>
      </c>
      <c r="V223" s="3">
        <v>20</v>
      </c>
      <c r="W223" s="3"/>
      <c r="X223" s="3">
        <v>26.98</v>
      </c>
      <c r="Y223" s="3">
        <v>26.98</v>
      </c>
      <c r="Z223" s="3">
        <v>26.98</v>
      </c>
      <c r="AA223" s="3">
        <v>0</v>
      </c>
      <c r="AB223" s="3" t="s">
        <v>5223</v>
      </c>
      <c r="AC223" s="3">
        <v>7</v>
      </c>
      <c r="AD223" s="3">
        <v>26.98</v>
      </c>
      <c r="AE223" s="3">
        <v>0</v>
      </c>
      <c r="AF223" s="3">
        <v>0</v>
      </c>
      <c r="AG223" s="3">
        <v>0</v>
      </c>
      <c r="AH223" s="3">
        <v>2.58064516129032</v>
      </c>
      <c r="AI223" s="3" t="s">
        <v>5249</v>
      </c>
      <c r="AJ223" s="3" t="s">
        <v>5222</v>
      </c>
    </row>
    <row r="224" spans="1:36">
      <c r="A224" s="5">
        <v>43288</v>
      </c>
      <c r="B224" s="3" t="s">
        <v>2979</v>
      </c>
      <c r="C224" s="3" t="s">
        <v>2980</v>
      </c>
      <c r="D224" s="3" t="s">
        <v>2980</v>
      </c>
      <c r="E224" s="3" t="s">
        <v>2981</v>
      </c>
      <c r="F224" s="3" t="s">
        <v>120</v>
      </c>
      <c r="G224" s="3">
        <v>148</v>
      </c>
      <c r="H224" s="3">
        <v>0</v>
      </c>
      <c r="I224" s="3">
        <v>1</v>
      </c>
      <c r="J224" s="3">
        <v>147</v>
      </c>
      <c r="K224" s="3">
        <v>0</v>
      </c>
      <c r="L224" s="3">
        <v>0</v>
      </c>
      <c r="M224" s="3">
        <v>0</v>
      </c>
      <c r="N224" s="3" t="s">
        <v>5218</v>
      </c>
      <c r="O224" s="3">
        <v>147</v>
      </c>
      <c r="P224" s="3">
        <v>309.5</v>
      </c>
      <c r="Q224" s="3">
        <v>0</v>
      </c>
      <c r="R224" s="3">
        <v>0</v>
      </c>
      <c r="S224" s="3">
        <v>0</v>
      </c>
      <c r="T224" s="3">
        <v>0</v>
      </c>
      <c r="U224" s="3">
        <v>2</v>
      </c>
      <c r="V224" s="3">
        <v>3</v>
      </c>
      <c r="W224" s="3" t="s">
        <v>5227</v>
      </c>
      <c r="X224" s="3">
        <v>22.98</v>
      </c>
      <c r="Y224" s="3">
        <v>22.98</v>
      </c>
      <c r="Z224" s="3">
        <v>22.98</v>
      </c>
      <c r="AA224" s="3">
        <v>0</v>
      </c>
      <c r="AB224" s="3" t="s">
        <v>5228</v>
      </c>
      <c r="AC224" s="3">
        <v>9</v>
      </c>
      <c r="AD224" s="3">
        <v>12.04</v>
      </c>
      <c r="AE224" s="3">
        <v>364</v>
      </c>
      <c r="AF224" s="3">
        <v>0</v>
      </c>
      <c r="AG224" s="3">
        <v>3154.530814</v>
      </c>
      <c r="AH224" s="3">
        <v>0.0202020202020202</v>
      </c>
      <c r="AI224" s="3" t="s">
        <v>5316</v>
      </c>
      <c r="AJ224" s="3" t="s">
        <v>5222</v>
      </c>
    </row>
    <row r="225" spans="1:36">
      <c r="A225" s="5">
        <v>43288</v>
      </c>
      <c r="B225" s="3" t="s">
        <v>4387</v>
      </c>
      <c r="C225" s="3" t="s">
        <v>3402</v>
      </c>
      <c r="D225" s="3" t="s">
        <v>3402</v>
      </c>
      <c r="E225" s="3" t="s">
        <v>3403</v>
      </c>
      <c r="F225" s="3" t="s">
        <v>120</v>
      </c>
      <c r="G225" s="3">
        <v>1</v>
      </c>
      <c r="H225" s="3">
        <v>0</v>
      </c>
      <c r="I225" s="3">
        <v>0</v>
      </c>
      <c r="J225" s="3">
        <v>1</v>
      </c>
      <c r="K225" s="3">
        <v>0</v>
      </c>
      <c r="L225" s="3">
        <v>0</v>
      </c>
      <c r="M225" s="3">
        <v>0</v>
      </c>
      <c r="N225" s="3" t="s">
        <v>5218</v>
      </c>
      <c r="O225" s="3">
        <v>0</v>
      </c>
      <c r="P225" s="3">
        <v>0</v>
      </c>
      <c r="Q225" s="3">
        <v>0</v>
      </c>
      <c r="R225" s="3">
        <v>0</v>
      </c>
      <c r="S225" s="3">
        <v>0</v>
      </c>
      <c r="T225" s="3">
        <v>0</v>
      </c>
      <c r="U225" s="3">
        <v>1</v>
      </c>
      <c r="V225" s="3">
        <v>2</v>
      </c>
      <c r="W225" s="3" t="s">
        <v>5227</v>
      </c>
      <c r="X225" s="3">
        <v>22.98</v>
      </c>
      <c r="Y225" s="3">
        <v>22.98</v>
      </c>
      <c r="Z225" s="3">
        <v>22.98</v>
      </c>
      <c r="AA225" s="3">
        <v>0</v>
      </c>
      <c r="AB225" s="3" t="s">
        <v>5223</v>
      </c>
      <c r="AC225" s="3">
        <v>1</v>
      </c>
      <c r="AD225" s="3">
        <v>22.98</v>
      </c>
      <c r="AE225" s="3">
        <v>0</v>
      </c>
      <c r="AF225" s="3">
        <v>0</v>
      </c>
      <c r="AG225" s="3">
        <v>0</v>
      </c>
      <c r="AH225" s="3">
        <v>1.14285714285714</v>
      </c>
      <c r="AI225" s="3" t="s">
        <v>5239</v>
      </c>
      <c r="AJ225" s="3" t="s">
        <v>5222</v>
      </c>
    </row>
    <row r="226" spans="1:36">
      <c r="A226" s="5">
        <v>43288</v>
      </c>
      <c r="B226" s="3" t="s">
        <v>814</v>
      </c>
      <c r="C226" s="3" t="s">
        <v>573</v>
      </c>
      <c r="D226" s="3" t="s">
        <v>573</v>
      </c>
      <c r="E226" s="3" t="s">
        <v>815</v>
      </c>
      <c r="F226" s="3" t="s">
        <v>120</v>
      </c>
      <c r="G226" s="3">
        <v>5</v>
      </c>
      <c r="H226" s="3">
        <v>0</v>
      </c>
      <c r="I226" s="3">
        <v>5</v>
      </c>
      <c r="J226" s="3">
        <v>0</v>
      </c>
      <c r="K226" s="3">
        <v>0</v>
      </c>
      <c r="L226" s="3">
        <v>0</v>
      </c>
      <c r="M226" s="3">
        <v>0</v>
      </c>
      <c r="N226" s="3" t="s">
        <v>5218</v>
      </c>
      <c r="O226" s="3">
        <v>0</v>
      </c>
      <c r="P226" s="3">
        <v>0</v>
      </c>
      <c r="Q226" s="3">
        <v>0</v>
      </c>
      <c r="R226" s="3">
        <v>0</v>
      </c>
      <c r="S226" s="3">
        <v>1</v>
      </c>
      <c r="T226" s="3">
        <v>3</v>
      </c>
      <c r="U226" s="3">
        <v>5</v>
      </c>
      <c r="V226" s="3">
        <v>5</v>
      </c>
      <c r="W226" s="3"/>
      <c r="X226" s="3">
        <v>39.98</v>
      </c>
      <c r="Y226" s="3">
        <v>22.98</v>
      </c>
      <c r="Z226" s="3">
        <v>22.98</v>
      </c>
      <c r="AA226" s="3">
        <v>0</v>
      </c>
      <c r="AB226" s="3" t="s">
        <v>5223</v>
      </c>
      <c r="AC226" s="3">
        <v>5</v>
      </c>
      <c r="AD226" s="3">
        <v>22.98</v>
      </c>
      <c r="AE226" s="3">
        <v>0</v>
      </c>
      <c r="AF226" s="3">
        <v>0</v>
      </c>
      <c r="AG226" s="3">
        <v>0</v>
      </c>
      <c r="AH226" s="3">
        <v>0.483870967741935</v>
      </c>
      <c r="AI226" s="3" t="s">
        <v>5225</v>
      </c>
      <c r="AJ226" s="3" t="s">
        <v>5222</v>
      </c>
    </row>
    <row r="227" spans="1:36">
      <c r="A227" s="5">
        <v>43288</v>
      </c>
      <c r="B227" s="3" t="s">
        <v>4995</v>
      </c>
      <c r="C227" s="3" t="s">
        <v>4996</v>
      </c>
      <c r="D227" s="3" t="s">
        <v>4996</v>
      </c>
      <c r="E227" s="3" t="s">
        <v>4997</v>
      </c>
      <c r="F227" s="3" t="s">
        <v>120</v>
      </c>
      <c r="G227" s="3">
        <v>3</v>
      </c>
      <c r="H227" s="3">
        <v>0</v>
      </c>
      <c r="I227" s="3">
        <v>0</v>
      </c>
      <c r="J227" s="3">
        <v>0</v>
      </c>
      <c r="K227" s="3">
        <v>3</v>
      </c>
      <c r="L227" s="3">
        <v>0</v>
      </c>
      <c r="M227" s="3">
        <v>0</v>
      </c>
      <c r="N227" s="3" t="s">
        <v>5218</v>
      </c>
      <c r="O227" s="3">
        <v>3</v>
      </c>
      <c r="P227" s="3">
        <v>1.86</v>
      </c>
      <c r="Q227" s="3">
        <v>0</v>
      </c>
      <c r="R227" s="3">
        <v>0</v>
      </c>
      <c r="S227" s="3">
        <v>0</v>
      </c>
      <c r="T227" s="3">
        <v>0</v>
      </c>
      <c r="U227" s="3">
        <v>0</v>
      </c>
      <c r="V227" s="3">
        <v>0</v>
      </c>
      <c r="W227" s="3" t="s">
        <v>5219</v>
      </c>
      <c r="X227" s="3">
        <v>25</v>
      </c>
      <c r="Y227" s="3">
        <v>25</v>
      </c>
      <c r="Z227" s="3">
        <v>25</v>
      </c>
      <c r="AA227" s="3">
        <v>0</v>
      </c>
      <c r="AB227" s="3" t="s">
        <v>5223</v>
      </c>
      <c r="AC227" s="3">
        <v>0</v>
      </c>
      <c r="AD227" s="3">
        <v>25</v>
      </c>
      <c r="AE227" s="3">
        <v>63</v>
      </c>
      <c r="AF227" s="3">
        <v>0</v>
      </c>
      <c r="AG227" s="3">
        <v>26.107775</v>
      </c>
      <c r="AH227" s="3">
        <v>0</v>
      </c>
      <c r="AI227" s="3" t="s">
        <v>5267</v>
      </c>
      <c r="AJ227" s="3" t="s">
        <v>5242</v>
      </c>
    </row>
    <row r="228" spans="1:36">
      <c r="A228" s="5">
        <v>43288</v>
      </c>
      <c r="B228" s="3" t="s">
        <v>3183</v>
      </c>
      <c r="C228" s="3" t="s">
        <v>3184</v>
      </c>
      <c r="D228" s="3" t="s">
        <v>3184</v>
      </c>
      <c r="E228" s="3" t="s">
        <v>3185</v>
      </c>
      <c r="F228" s="3" t="s">
        <v>120</v>
      </c>
      <c r="G228" s="3">
        <v>3</v>
      </c>
      <c r="H228" s="3">
        <v>0</v>
      </c>
      <c r="I228" s="3">
        <v>0</v>
      </c>
      <c r="J228" s="3">
        <v>0</v>
      </c>
      <c r="K228" s="3">
        <v>0</v>
      </c>
      <c r="L228" s="3">
        <v>3</v>
      </c>
      <c r="M228" s="3">
        <v>0</v>
      </c>
      <c r="N228" s="3" t="s">
        <v>5218</v>
      </c>
      <c r="O228" s="3">
        <v>3</v>
      </c>
      <c r="P228" s="3">
        <v>2.77</v>
      </c>
      <c r="Q228" s="3">
        <v>0</v>
      </c>
      <c r="R228" s="3">
        <v>0</v>
      </c>
      <c r="S228" s="3">
        <v>0</v>
      </c>
      <c r="T228" s="3">
        <v>0</v>
      </c>
      <c r="U228" s="3">
        <v>0</v>
      </c>
      <c r="V228" s="3">
        <v>0</v>
      </c>
      <c r="W228" s="3" t="s">
        <v>5227</v>
      </c>
      <c r="X228" s="3">
        <v>15.98</v>
      </c>
      <c r="Y228" s="3">
        <v>15.98</v>
      </c>
      <c r="Z228" s="3">
        <v>15.98</v>
      </c>
      <c r="AA228" s="3">
        <v>0</v>
      </c>
      <c r="AB228" s="3" t="s">
        <v>5228</v>
      </c>
      <c r="AC228" s="3">
        <v>0</v>
      </c>
      <c r="AD228" s="3">
        <v>14.23</v>
      </c>
      <c r="AE228" s="3">
        <v>175</v>
      </c>
      <c r="AF228" s="3">
        <v>0</v>
      </c>
      <c r="AG228" s="3">
        <v>48.343776</v>
      </c>
      <c r="AH228" s="3">
        <v>0</v>
      </c>
      <c r="AI228" s="3" t="s">
        <v>5317</v>
      </c>
      <c r="AJ228" s="3" t="s">
        <v>5222</v>
      </c>
    </row>
    <row r="229" spans="1:36">
      <c r="A229" s="5">
        <v>43288</v>
      </c>
      <c r="B229" s="3" t="s">
        <v>1126</v>
      </c>
      <c r="C229" s="3" t="s">
        <v>1127</v>
      </c>
      <c r="D229" s="3" t="s">
        <v>1128</v>
      </c>
      <c r="E229" s="3" t="s">
        <v>1129</v>
      </c>
      <c r="F229" s="3" t="s">
        <v>120</v>
      </c>
      <c r="G229" s="3">
        <v>13</v>
      </c>
      <c r="H229" s="3">
        <v>0</v>
      </c>
      <c r="I229" s="3">
        <v>13</v>
      </c>
      <c r="J229" s="3">
        <v>0</v>
      </c>
      <c r="K229" s="3">
        <v>0</v>
      </c>
      <c r="L229" s="3">
        <v>0</v>
      </c>
      <c r="M229" s="3">
        <v>0</v>
      </c>
      <c r="N229" s="3" t="s">
        <v>5218</v>
      </c>
      <c r="O229" s="3">
        <v>0</v>
      </c>
      <c r="P229" s="3">
        <v>0</v>
      </c>
      <c r="Q229" s="3">
        <v>0</v>
      </c>
      <c r="R229" s="3">
        <v>0</v>
      </c>
      <c r="S229" s="3">
        <v>0</v>
      </c>
      <c r="T229" s="3">
        <v>0</v>
      </c>
      <c r="U229" s="3">
        <v>0</v>
      </c>
      <c r="V229" s="3">
        <v>0</v>
      </c>
      <c r="W229" s="3" t="s">
        <v>5227</v>
      </c>
      <c r="X229" s="3">
        <v>22.98</v>
      </c>
      <c r="Y229" s="3">
        <v>22.98</v>
      </c>
      <c r="Z229" s="3">
        <v>22.98</v>
      </c>
      <c r="AA229" s="3">
        <v>0</v>
      </c>
      <c r="AB229" s="3" t="s">
        <v>5223</v>
      </c>
      <c r="AC229" s="3">
        <v>13</v>
      </c>
      <c r="AD229" s="3">
        <v>22.98</v>
      </c>
      <c r="AE229" s="3">
        <v>0</v>
      </c>
      <c r="AF229" s="3">
        <v>0</v>
      </c>
      <c r="AG229" s="3">
        <v>0</v>
      </c>
      <c r="AH229" s="3">
        <v>2.83333333333333</v>
      </c>
      <c r="AI229" s="3" t="s">
        <v>5238</v>
      </c>
      <c r="AJ229" s="3" t="s">
        <v>5222</v>
      </c>
    </row>
    <row r="230" spans="1:36">
      <c r="A230" s="5">
        <v>43288</v>
      </c>
      <c r="B230" s="3" t="s">
        <v>2613</v>
      </c>
      <c r="C230" s="3" t="s">
        <v>2590</v>
      </c>
      <c r="D230" s="3" t="s">
        <v>2590</v>
      </c>
      <c r="E230" s="3" t="s">
        <v>2614</v>
      </c>
      <c r="F230" s="3" t="s">
        <v>120</v>
      </c>
      <c r="G230" s="3">
        <v>20</v>
      </c>
      <c r="H230" s="3">
        <v>0</v>
      </c>
      <c r="I230" s="3">
        <v>10</v>
      </c>
      <c r="J230" s="3">
        <v>0</v>
      </c>
      <c r="K230" s="3">
        <v>10</v>
      </c>
      <c r="L230" s="3">
        <v>0</v>
      </c>
      <c r="M230" s="3">
        <v>0</v>
      </c>
      <c r="N230" s="3" t="s">
        <v>5218</v>
      </c>
      <c r="O230" s="3">
        <v>10</v>
      </c>
      <c r="P230" s="3">
        <v>16.84</v>
      </c>
      <c r="Q230" s="3">
        <v>0</v>
      </c>
      <c r="R230" s="3">
        <v>0</v>
      </c>
      <c r="S230" s="3">
        <v>3</v>
      </c>
      <c r="T230" s="3">
        <v>3</v>
      </c>
      <c r="U230" s="3">
        <v>6</v>
      </c>
      <c r="V230" s="3">
        <v>9</v>
      </c>
      <c r="W230" s="3"/>
      <c r="X230" s="3">
        <v>22.98</v>
      </c>
      <c r="Y230" s="3">
        <v>22.98</v>
      </c>
      <c r="Z230" s="3">
        <v>22.98</v>
      </c>
      <c r="AA230" s="3">
        <v>0</v>
      </c>
      <c r="AB230" s="3" t="s">
        <v>5228</v>
      </c>
      <c r="AC230" s="3">
        <v>0</v>
      </c>
      <c r="AD230" s="3">
        <v>13.08</v>
      </c>
      <c r="AE230" s="3">
        <v>154</v>
      </c>
      <c r="AF230" s="3">
        <v>0</v>
      </c>
      <c r="AG230" s="3">
        <v>406.873029</v>
      </c>
      <c r="AH230" s="3">
        <v>0.461538461538461</v>
      </c>
      <c r="AI230" s="3" t="s">
        <v>5238</v>
      </c>
      <c r="AJ230" s="3" t="s">
        <v>5222</v>
      </c>
    </row>
    <row r="231" spans="1:36">
      <c r="A231" s="5">
        <v>43288</v>
      </c>
      <c r="B231" s="3" t="s">
        <v>2877</v>
      </c>
      <c r="C231" s="3" t="s">
        <v>1792</v>
      </c>
      <c r="D231" s="3" t="s">
        <v>1792</v>
      </c>
      <c r="E231" s="3" t="s">
        <v>1793</v>
      </c>
      <c r="F231" s="3" t="s">
        <v>120</v>
      </c>
      <c r="G231" s="3">
        <v>9</v>
      </c>
      <c r="H231" s="3">
        <v>0</v>
      </c>
      <c r="I231" s="3">
        <v>9</v>
      </c>
      <c r="J231" s="3">
        <v>0</v>
      </c>
      <c r="K231" s="3">
        <v>0</v>
      </c>
      <c r="L231" s="3">
        <v>0</v>
      </c>
      <c r="M231" s="3">
        <v>0</v>
      </c>
      <c r="N231" s="3" t="s">
        <v>5218</v>
      </c>
      <c r="O231" s="3">
        <v>0</v>
      </c>
      <c r="P231" s="3">
        <v>0</v>
      </c>
      <c r="Q231" s="3">
        <v>0</v>
      </c>
      <c r="R231" s="3">
        <v>0</v>
      </c>
      <c r="S231" s="3">
        <v>0</v>
      </c>
      <c r="T231" s="3">
        <v>3</v>
      </c>
      <c r="U231" s="3">
        <v>3</v>
      </c>
      <c r="V231" s="3">
        <v>3</v>
      </c>
      <c r="W231" s="3"/>
      <c r="X231" s="3">
        <v>25.98</v>
      </c>
      <c r="Y231" s="3">
        <v>25.98</v>
      </c>
      <c r="Z231" s="3">
        <v>25.98</v>
      </c>
      <c r="AA231" s="3">
        <v>0</v>
      </c>
      <c r="AB231" s="3" t="s">
        <v>5223</v>
      </c>
      <c r="AC231" s="3">
        <v>10</v>
      </c>
      <c r="AD231" s="3">
        <v>25.98</v>
      </c>
      <c r="AE231" s="3">
        <v>0</v>
      </c>
      <c r="AF231" s="3">
        <v>0</v>
      </c>
      <c r="AG231" s="3">
        <v>0</v>
      </c>
      <c r="AH231" s="3">
        <v>4.88888888888888</v>
      </c>
      <c r="AI231" s="3" t="s">
        <v>5229</v>
      </c>
      <c r="AJ231" s="3" t="s">
        <v>5222</v>
      </c>
    </row>
    <row r="232" spans="1:36">
      <c r="A232" s="5">
        <v>43288</v>
      </c>
      <c r="B232" s="3" t="s">
        <v>1699</v>
      </c>
      <c r="C232" s="3" t="s">
        <v>1700</v>
      </c>
      <c r="D232" s="3" t="s">
        <v>1700</v>
      </c>
      <c r="E232" s="3" t="s">
        <v>1701</v>
      </c>
      <c r="F232" s="3" t="s">
        <v>120</v>
      </c>
      <c r="G232" s="3">
        <v>12</v>
      </c>
      <c r="H232" s="3">
        <v>0</v>
      </c>
      <c r="I232" s="3">
        <v>1</v>
      </c>
      <c r="J232" s="3">
        <v>1</v>
      </c>
      <c r="K232" s="3">
        <v>10</v>
      </c>
      <c r="L232" s="3">
        <v>0</v>
      </c>
      <c r="M232" s="3">
        <v>0</v>
      </c>
      <c r="N232" s="3" t="s">
        <v>5218</v>
      </c>
      <c r="O232" s="3">
        <v>11</v>
      </c>
      <c r="P232" s="3">
        <v>16.2</v>
      </c>
      <c r="Q232" s="3">
        <v>0</v>
      </c>
      <c r="R232" s="3">
        <v>0</v>
      </c>
      <c r="S232" s="3">
        <v>0</v>
      </c>
      <c r="T232" s="3">
        <v>0</v>
      </c>
      <c r="U232" s="3">
        <v>0</v>
      </c>
      <c r="V232" s="3">
        <v>1</v>
      </c>
      <c r="W232" s="3" t="s">
        <v>5227</v>
      </c>
      <c r="X232" s="3">
        <v>17.98</v>
      </c>
      <c r="Y232" s="3">
        <v>17.98</v>
      </c>
      <c r="Z232" s="3">
        <v>17.98</v>
      </c>
      <c r="AA232" s="3">
        <v>0</v>
      </c>
      <c r="AB232" s="3" t="s">
        <v>5228</v>
      </c>
      <c r="AC232" s="3">
        <v>0</v>
      </c>
      <c r="AD232" s="3">
        <v>15.58</v>
      </c>
      <c r="AE232" s="3">
        <v>217</v>
      </c>
      <c r="AF232" s="3">
        <v>0</v>
      </c>
      <c r="AG232" s="3">
        <v>272.07713</v>
      </c>
      <c r="AH232" s="3">
        <v>0.0465116279069767</v>
      </c>
      <c r="AI232" s="3" t="s">
        <v>5318</v>
      </c>
      <c r="AJ232" s="3" t="s">
        <v>5222</v>
      </c>
    </row>
    <row r="233" spans="1:36">
      <c r="A233" s="5">
        <v>43288</v>
      </c>
      <c r="B233" s="3" t="s">
        <v>483</v>
      </c>
      <c r="C233" s="3" t="s">
        <v>321</v>
      </c>
      <c r="D233" s="3" t="s">
        <v>321</v>
      </c>
      <c r="E233" s="3" t="s">
        <v>484</v>
      </c>
      <c r="F233" s="3" t="s">
        <v>120</v>
      </c>
      <c r="G233" s="3">
        <v>3</v>
      </c>
      <c r="H233" s="3">
        <v>0</v>
      </c>
      <c r="I233" s="3">
        <v>2</v>
      </c>
      <c r="J233" s="3">
        <v>1</v>
      </c>
      <c r="K233" s="3">
        <v>0</v>
      </c>
      <c r="L233" s="3">
        <v>0</v>
      </c>
      <c r="M233" s="3">
        <v>0</v>
      </c>
      <c r="N233" s="3" t="s">
        <v>5218</v>
      </c>
      <c r="O233" s="3">
        <v>1</v>
      </c>
      <c r="P233" s="3">
        <v>0.69</v>
      </c>
      <c r="Q233" s="3">
        <v>0</v>
      </c>
      <c r="R233" s="3">
        <v>0</v>
      </c>
      <c r="S233" s="3">
        <v>0</v>
      </c>
      <c r="T233" s="3">
        <v>0</v>
      </c>
      <c r="U233" s="3">
        <v>0</v>
      </c>
      <c r="V233" s="3">
        <v>1</v>
      </c>
      <c r="W233" s="3" t="s">
        <v>5227</v>
      </c>
      <c r="X233" s="3">
        <v>23.98</v>
      </c>
      <c r="Y233" s="3">
        <v>23.98</v>
      </c>
      <c r="Z233" s="3">
        <v>23.98</v>
      </c>
      <c r="AA233" s="3">
        <v>0</v>
      </c>
      <c r="AB233" s="3" t="s">
        <v>5228</v>
      </c>
      <c r="AC233" s="3">
        <v>1</v>
      </c>
      <c r="AD233" s="3">
        <v>22.49</v>
      </c>
      <c r="AE233" s="3">
        <v>84</v>
      </c>
      <c r="AF233" s="3">
        <v>0</v>
      </c>
      <c r="AG233" s="3">
        <v>54.266041</v>
      </c>
      <c r="AH233" s="3">
        <v>0.363636363636363</v>
      </c>
      <c r="AI233" s="3" t="s">
        <v>5224</v>
      </c>
      <c r="AJ233" s="3" t="s">
        <v>5222</v>
      </c>
    </row>
    <row r="234" spans="1:36">
      <c r="A234" s="5">
        <v>43288</v>
      </c>
      <c r="B234" s="3" t="s">
        <v>4300</v>
      </c>
      <c r="C234" s="3" t="s">
        <v>4301</v>
      </c>
      <c r="D234" s="3" t="s">
        <v>4301</v>
      </c>
      <c r="E234" s="3" t="s">
        <v>4302</v>
      </c>
      <c r="F234" s="3" t="s">
        <v>120</v>
      </c>
      <c r="G234" s="3">
        <v>1</v>
      </c>
      <c r="H234" s="3">
        <v>0</v>
      </c>
      <c r="I234" s="3">
        <v>1</v>
      </c>
      <c r="J234" s="3">
        <v>0</v>
      </c>
      <c r="K234" s="3">
        <v>0</v>
      </c>
      <c r="L234" s="3">
        <v>0</v>
      </c>
      <c r="M234" s="3">
        <v>0</v>
      </c>
      <c r="N234" s="3" t="s">
        <v>5218</v>
      </c>
      <c r="O234" s="3">
        <v>0</v>
      </c>
      <c r="P234" s="3">
        <v>0</v>
      </c>
      <c r="Q234" s="3">
        <v>0</v>
      </c>
      <c r="R234" s="3">
        <v>0</v>
      </c>
      <c r="S234" s="3">
        <v>0</v>
      </c>
      <c r="T234" s="3">
        <v>0</v>
      </c>
      <c r="U234" s="3">
        <v>1</v>
      </c>
      <c r="V234" s="3">
        <v>2</v>
      </c>
      <c r="W234" s="3" t="s">
        <v>5227</v>
      </c>
      <c r="X234" s="3">
        <v>23.98</v>
      </c>
      <c r="Y234" s="3">
        <v>23.98</v>
      </c>
      <c r="Z234" s="3">
        <v>23.98</v>
      </c>
      <c r="AA234" s="3">
        <v>0</v>
      </c>
      <c r="AB234" s="3" t="s">
        <v>5223</v>
      </c>
      <c r="AC234" s="3">
        <v>1</v>
      </c>
      <c r="AD234" s="3">
        <v>23.98</v>
      </c>
      <c r="AE234" s="3">
        <v>0</v>
      </c>
      <c r="AF234" s="3">
        <v>0</v>
      </c>
      <c r="AG234" s="3">
        <v>0</v>
      </c>
      <c r="AH234" s="3">
        <v>2</v>
      </c>
      <c r="AI234" s="3" t="s">
        <v>5319</v>
      </c>
      <c r="AJ234" s="3" t="s">
        <v>5222</v>
      </c>
    </row>
    <row r="235" spans="1:36">
      <c r="A235" s="5">
        <v>43288</v>
      </c>
      <c r="B235" s="3" t="s">
        <v>476</v>
      </c>
      <c r="C235" s="3" t="s">
        <v>312</v>
      </c>
      <c r="D235" s="3" t="s">
        <v>312</v>
      </c>
      <c r="E235" s="3" t="s">
        <v>477</v>
      </c>
      <c r="F235" s="3" t="s">
        <v>120</v>
      </c>
      <c r="G235" s="3">
        <v>19</v>
      </c>
      <c r="H235" s="3">
        <v>0</v>
      </c>
      <c r="I235" s="3">
        <v>19</v>
      </c>
      <c r="J235" s="3">
        <v>0</v>
      </c>
      <c r="K235" s="3">
        <v>0</v>
      </c>
      <c r="L235" s="3">
        <v>0</v>
      </c>
      <c r="M235" s="3">
        <v>0</v>
      </c>
      <c r="N235" s="3" t="s">
        <v>5218</v>
      </c>
      <c r="O235" s="3">
        <v>0</v>
      </c>
      <c r="P235" s="3">
        <v>0</v>
      </c>
      <c r="Q235" s="3">
        <v>0</v>
      </c>
      <c r="R235" s="3">
        <v>0</v>
      </c>
      <c r="S235" s="3">
        <v>4</v>
      </c>
      <c r="T235" s="3">
        <v>14</v>
      </c>
      <c r="U235" s="3">
        <v>38</v>
      </c>
      <c r="V235" s="3">
        <v>55</v>
      </c>
      <c r="W235" s="3"/>
      <c r="X235" s="3">
        <v>24.98</v>
      </c>
      <c r="Y235" s="3">
        <v>24.98</v>
      </c>
      <c r="Z235" s="3">
        <v>24.98</v>
      </c>
      <c r="AA235" s="3">
        <v>0</v>
      </c>
      <c r="AB235" s="3" t="s">
        <v>5223</v>
      </c>
      <c r="AC235" s="3">
        <v>20</v>
      </c>
      <c r="AD235" s="3">
        <v>24.98</v>
      </c>
      <c r="AE235" s="3">
        <v>0</v>
      </c>
      <c r="AF235" s="3">
        <v>0</v>
      </c>
      <c r="AG235" s="3">
        <v>0</v>
      </c>
      <c r="AH235" s="3">
        <v>2.03703703703703</v>
      </c>
      <c r="AI235" s="3" t="s">
        <v>5320</v>
      </c>
      <c r="AJ235" s="3" t="s">
        <v>5222</v>
      </c>
    </row>
    <row r="236" spans="1:36">
      <c r="A236" s="5">
        <v>43288</v>
      </c>
      <c r="B236" s="3" t="s">
        <v>1187</v>
      </c>
      <c r="C236" s="3" t="s">
        <v>1188</v>
      </c>
      <c r="D236" s="3" t="s">
        <v>1189</v>
      </c>
      <c r="E236" s="3" t="s">
        <v>1190</v>
      </c>
      <c r="F236" s="3" t="s">
        <v>120</v>
      </c>
      <c r="G236" s="3">
        <v>10</v>
      </c>
      <c r="H236" s="3">
        <v>0</v>
      </c>
      <c r="I236" s="3">
        <v>10</v>
      </c>
      <c r="J236" s="3">
        <v>0</v>
      </c>
      <c r="K236" s="3">
        <v>0</v>
      </c>
      <c r="L236" s="3">
        <v>0</v>
      </c>
      <c r="M236" s="3">
        <v>0</v>
      </c>
      <c r="N236" s="3" t="s">
        <v>5218</v>
      </c>
      <c r="O236" s="3">
        <v>0</v>
      </c>
      <c r="P236" s="3">
        <v>0</v>
      </c>
      <c r="Q236" s="3">
        <v>0</v>
      </c>
      <c r="R236" s="3">
        <v>0</v>
      </c>
      <c r="S236" s="3">
        <v>1</v>
      </c>
      <c r="T236" s="3">
        <v>1</v>
      </c>
      <c r="U236" s="3">
        <v>1</v>
      </c>
      <c r="V236" s="3">
        <v>1</v>
      </c>
      <c r="W236" s="3"/>
      <c r="X236" s="3">
        <v>22.98</v>
      </c>
      <c r="Y236" s="3">
        <v>22.98</v>
      </c>
      <c r="Z236" s="3">
        <v>22.98</v>
      </c>
      <c r="AA236" s="3">
        <v>0</v>
      </c>
      <c r="AB236" s="3" t="s">
        <v>5223</v>
      </c>
      <c r="AC236" s="3">
        <v>11</v>
      </c>
      <c r="AD236" s="3">
        <v>22.98</v>
      </c>
      <c r="AE236" s="3">
        <v>0</v>
      </c>
      <c r="AF236" s="3">
        <v>0</v>
      </c>
      <c r="AG236" s="3">
        <v>0</v>
      </c>
      <c r="AH236" s="3">
        <v>1.32038834951456</v>
      </c>
      <c r="AI236" s="3" t="s">
        <v>5238</v>
      </c>
      <c r="AJ236" s="3" t="s">
        <v>5222</v>
      </c>
    </row>
    <row r="237" spans="1:36">
      <c r="A237" s="5">
        <v>43288</v>
      </c>
      <c r="B237" s="3" t="s">
        <v>2033</v>
      </c>
      <c r="C237" s="3" t="s">
        <v>2034</v>
      </c>
      <c r="D237" s="3" t="s">
        <v>2034</v>
      </c>
      <c r="E237" s="3" t="s">
        <v>2035</v>
      </c>
      <c r="F237" s="3" t="s">
        <v>120</v>
      </c>
      <c r="G237" s="3">
        <v>13</v>
      </c>
      <c r="H237" s="3">
        <v>0</v>
      </c>
      <c r="I237" s="3">
        <v>2</v>
      </c>
      <c r="J237" s="3">
        <v>6</v>
      </c>
      <c r="K237" s="3">
        <v>5</v>
      </c>
      <c r="L237" s="3">
        <v>0</v>
      </c>
      <c r="M237" s="3">
        <v>0</v>
      </c>
      <c r="N237" s="3" t="s">
        <v>5218</v>
      </c>
      <c r="O237" s="3">
        <v>8</v>
      </c>
      <c r="P237" s="3">
        <v>9.38</v>
      </c>
      <c r="Q237" s="3">
        <v>0</v>
      </c>
      <c r="R237" s="3">
        <v>0</v>
      </c>
      <c r="S237" s="3">
        <v>0</v>
      </c>
      <c r="T237" s="3">
        <v>1</v>
      </c>
      <c r="U237" s="3">
        <v>1</v>
      </c>
      <c r="V237" s="3">
        <v>5</v>
      </c>
      <c r="W237" s="3"/>
      <c r="X237" s="3">
        <v>23.98</v>
      </c>
      <c r="Y237" s="3">
        <v>23.98</v>
      </c>
      <c r="Z237" s="3">
        <v>23.98</v>
      </c>
      <c r="AA237" s="3">
        <v>0</v>
      </c>
      <c r="AB237" s="3" t="s">
        <v>5228</v>
      </c>
      <c r="AC237" s="3">
        <v>10</v>
      </c>
      <c r="AD237" s="3">
        <v>21.48</v>
      </c>
      <c r="AE237" s="3">
        <v>49</v>
      </c>
      <c r="AF237" s="3">
        <v>0</v>
      </c>
      <c r="AG237" s="3">
        <v>3.744322</v>
      </c>
      <c r="AH237" s="3">
        <v>0.350877192982456</v>
      </c>
      <c r="AI237" s="3" t="s">
        <v>5321</v>
      </c>
      <c r="AJ237" s="3" t="s">
        <v>5222</v>
      </c>
    </row>
    <row r="238" spans="1:36">
      <c r="A238" s="5">
        <v>43288</v>
      </c>
      <c r="B238" s="3" t="s">
        <v>2729</v>
      </c>
      <c r="C238" s="3" t="s">
        <v>411</v>
      </c>
      <c r="D238" s="3" t="s">
        <v>411</v>
      </c>
      <c r="E238" s="3" t="s">
        <v>412</v>
      </c>
      <c r="F238" s="3" t="s">
        <v>120</v>
      </c>
      <c r="G238" s="3">
        <v>14</v>
      </c>
      <c r="H238" s="3">
        <v>0</v>
      </c>
      <c r="I238" s="3">
        <v>14</v>
      </c>
      <c r="J238" s="3">
        <v>0</v>
      </c>
      <c r="K238" s="3">
        <v>0</v>
      </c>
      <c r="L238" s="3">
        <v>0</v>
      </c>
      <c r="M238" s="3">
        <v>0</v>
      </c>
      <c r="N238" s="3" t="s">
        <v>5218</v>
      </c>
      <c r="O238" s="3">
        <v>0</v>
      </c>
      <c r="P238" s="3">
        <v>0</v>
      </c>
      <c r="Q238" s="3">
        <v>0</v>
      </c>
      <c r="R238" s="3">
        <v>0</v>
      </c>
      <c r="S238" s="3">
        <v>3</v>
      </c>
      <c r="T238" s="3">
        <v>16</v>
      </c>
      <c r="U238" s="3">
        <v>30</v>
      </c>
      <c r="V238" s="3">
        <v>34</v>
      </c>
      <c r="W238" s="3"/>
      <c r="X238" s="3">
        <v>22.98</v>
      </c>
      <c r="Y238" s="3">
        <v>22.98</v>
      </c>
      <c r="Z238" s="3">
        <v>22.98</v>
      </c>
      <c r="AA238" s="3">
        <v>0</v>
      </c>
      <c r="AB238" s="3" t="s">
        <v>5223</v>
      </c>
      <c r="AC238" s="3">
        <v>16</v>
      </c>
      <c r="AD238" s="3">
        <v>22.98</v>
      </c>
      <c r="AE238" s="3">
        <v>0</v>
      </c>
      <c r="AF238" s="3">
        <v>0</v>
      </c>
      <c r="AG238" s="3">
        <v>0</v>
      </c>
      <c r="AH238" s="3">
        <v>4.85714285714285</v>
      </c>
      <c r="AI238" s="3" t="s">
        <v>5322</v>
      </c>
      <c r="AJ238" s="3" t="s">
        <v>5222</v>
      </c>
    </row>
    <row r="239" spans="1:36">
      <c r="A239" s="5">
        <v>43288</v>
      </c>
      <c r="B239" s="3" t="s">
        <v>812</v>
      </c>
      <c r="C239" s="3" t="s">
        <v>570</v>
      </c>
      <c r="D239" s="3" t="s">
        <v>570</v>
      </c>
      <c r="E239" s="3" t="s">
        <v>813</v>
      </c>
      <c r="F239" s="3" t="s">
        <v>120</v>
      </c>
      <c r="G239" s="3">
        <v>6</v>
      </c>
      <c r="H239" s="3">
        <v>0</v>
      </c>
      <c r="I239" s="3">
        <v>6</v>
      </c>
      <c r="J239" s="3">
        <v>0</v>
      </c>
      <c r="K239" s="3">
        <v>0</v>
      </c>
      <c r="L239" s="3">
        <v>0</v>
      </c>
      <c r="M239" s="3">
        <v>0</v>
      </c>
      <c r="N239" s="3" t="s">
        <v>5218</v>
      </c>
      <c r="O239" s="3">
        <v>0</v>
      </c>
      <c r="P239" s="3">
        <v>0</v>
      </c>
      <c r="Q239" s="3">
        <v>0</v>
      </c>
      <c r="R239" s="3">
        <v>0</v>
      </c>
      <c r="S239" s="3">
        <v>0</v>
      </c>
      <c r="T239" s="3">
        <v>1</v>
      </c>
      <c r="U239" s="3">
        <v>3</v>
      </c>
      <c r="V239" s="3">
        <v>3</v>
      </c>
      <c r="W239" s="3"/>
      <c r="X239" s="3">
        <v>22.98</v>
      </c>
      <c r="Y239" s="3">
        <v>22.98</v>
      </c>
      <c r="Z239" s="3">
        <v>22.98</v>
      </c>
      <c r="AA239" s="3">
        <v>0</v>
      </c>
      <c r="AB239" s="3" t="s">
        <v>5223</v>
      </c>
      <c r="AC239" s="3">
        <v>6</v>
      </c>
      <c r="AD239" s="3">
        <v>22.98</v>
      </c>
      <c r="AE239" s="3">
        <v>0</v>
      </c>
      <c r="AF239" s="3">
        <v>0</v>
      </c>
      <c r="AG239" s="3">
        <v>0</v>
      </c>
      <c r="AH239" s="3">
        <v>0.409090909090909</v>
      </c>
      <c r="AI239" s="3" t="s">
        <v>5225</v>
      </c>
      <c r="AJ239" s="3" t="s">
        <v>5222</v>
      </c>
    </row>
    <row r="240" spans="1:36">
      <c r="A240" s="5">
        <v>43288</v>
      </c>
      <c r="B240" s="3" t="s">
        <v>1414</v>
      </c>
      <c r="C240" s="3" t="s">
        <v>1415</v>
      </c>
      <c r="D240" s="3" t="s">
        <v>1416</v>
      </c>
      <c r="E240" s="3" t="s">
        <v>1417</v>
      </c>
      <c r="F240" s="3" t="s">
        <v>120</v>
      </c>
      <c r="G240" s="3">
        <v>30</v>
      </c>
      <c r="H240" s="3">
        <v>0</v>
      </c>
      <c r="I240" s="3">
        <v>30</v>
      </c>
      <c r="J240" s="3">
        <v>0</v>
      </c>
      <c r="K240" s="3">
        <v>0</v>
      </c>
      <c r="L240" s="3">
        <v>0</v>
      </c>
      <c r="M240" s="3">
        <v>0</v>
      </c>
      <c r="N240" s="3" t="s">
        <v>5218</v>
      </c>
      <c r="O240" s="3">
        <v>0</v>
      </c>
      <c r="P240" s="3">
        <v>0</v>
      </c>
      <c r="Q240" s="3">
        <v>0</v>
      </c>
      <c r="R240" s="3">
        <v>0</v>
      </c>
      <c r="S240" s="3">
        <v>0</v>
      </c>
      <c r="T240" s="3">
        <v>0</v>
      </c>
      <c r="U240" s="3">
        <v>0</v>
      </c>
      <c r="V240" s="3">
        <v>0</v>
      </c>
      <c r="W240" s="3" t="s">
        <v>5227</v>
      </c>
      <c r="X240" s="3">
        <v>23.98</v>
      </c>
      <c r="Y240" s="3">
        <v>23.98</v>
      </c>
      <c r="Z240" s="3">
        <v>23.98</v>
      </c>
      <c r="AA240" s="3">
        <v>0</v>
      </c>
      <c r="AB240" s="3" t="s">
        <v>5223</v>
      </c>
      <c r="AC240" s="3">
        <v>0</v>
      </c>
      <c r="AD240" s="3">
        <v>0</v>
      </c>
      <c r="AE240" s="3">
        <v>0</v>
      </c>
      <c r="AF240" s="3">
        <v>0</v>
      </c>
      <c r="AG240" s="3">
        <v>0</v>
      </c>
      <c r="AH240" s="3">
        <v>8.89411764705882</v>
      </c>
      <c r="AI240" s="3" t="s">
        <v>5323</v>
      </c>
      <c r="AJ240" s="3" t="s">
        <v>5222</v>
      </c>
    </row>
    <row r="241" spans="1:36">
      <c r="A241" s="5">
        <v>43288</v>
      </c>
      <c r="B241" s="3" t="s">
        <v>2595</v>
      </c>
      <c r="C241" s="3" t="s">
        <v>1076</v>
      </c>
      <c r="D241" s="3" t="s">
        <v>1076</v>
      </c>
      <c r="E241" s="3" t="s">
        <v>1077</v>
      </c>
      <c r="F241" s="3" t="s">
        <v>120</v>
      </c>
      <c r="G241" s="3">
        <v>38</v>
      </c>
      <c r="H241" s="3">
        <v>0</v>
      </c>
      <c r="I241" s="3">
        <v>38</v>
      </c>
      <c r="J241" s="3">
        <v>0</v>
      </c>
      <c r="K241" s="3">
        <v>0</v>
      </c>
      <c r="L241" s="3">
        <v>0</v>
      </c>
      <c r="M241" s="3">
        <v>0</v>
      </c>
      <c r="N241" s="3" t="s">
        <v>5218</v>
      </c>
      <c r="O241" s="3">
        <v>0</v>
      </c>
      <c r="P241" s="3">
        <v>0</v>
      </c>
      <c r="Q241" s="3">
        <v>0</v>
      </c>
      <c r="R241" s="3">
        <v>0</v>
      </c>
      <c r="S241" s="3">
        <v>1</v>
      </c>
      <c r="T241" s="3">
        <v>5</v>
      </c>
      <c r="U241" s="3">
        <v>12</v>
      </c>
      <c r="V241" s="3">
        <v>29</v>
      </c>
      <c r="W241" s="3"/>
      <c r="X241" s="3">
        <v>35.98</v>
      </c>
      <c r="Y241" s="3">
        <v>22.98</v>
      </c>
      <c r="Z241" s="3">
        <v>22.98</v>
      </c>
      <c r="AA241" s="3">
        <v>0</v>
      </c>
      <c r="AB241" s="3" t="s">
        <v>5223</v>
      </c>
      <c r="AC241" s="3">
        <v>37</v>
      </c>
      <c r="AD241" s="3">
        <v>22.98</v>
      </c>
      <c r="AE241" s="3">
        <v>0</v>
      </c>
      <c r="AF241" s="3">
        <v>0</v>
      </c>
      <c r="AG241" s="3">
        <v>0</v>
      </c>
      <c r="AH241" s="3">
        <v>1.2</v>
      </c>
      <c r="AI241" s="3" t="s">
        <v>5238</v>
      </c>
      <c r="AJ241" s="3" t="s">
        <v>5222</v>
      </c>
    </row>
    <row r="242" spans="1:36">
      <c r="A242" s="5">
        <v>43288</v>
      </c>
      <c r="B242" s="3" t="s">
        <v>5013</v>
      </c>
      <c r="C242" s="3" t="s">
        <v>5014</v>
      </c>
      <c r="D242" s="3" t="s">
        <v>5014</v>
      </c>
      <c r="E242" s="3" t="s">
        <v>5015</v>
      </c>
      <c r="F242" s="3" t="s">
        <v>120</v>
      </c>
      <c r="G242" s="3">
        <v>2</v>
      </c>
      <c r="H242" s="3">
        <v>0</v>
      </c>
      <c r="I242" s="3">
        <v>0</v>
      </c>
      <c r="J242" s="3">
        <v>0</v>
      </c>
      <c r="K242" s="3">
        <v>2</v>
      </c>
      <c r="L242" s="3">
        <v>0</v>
      </c>
      <c r="M242" s="3">
        <v>0</v>
      </c>
      <c r="N242" s="3" t="s">
        <v>5218</v>
      </c>
      <c r="O242" s="3">
        <v>2</v>
      </c>
      <c r="P242" s="3">
        <v>1.24</v>
      </c>
      <c r="Q242" s="3">
        <v>0</v>
      </c>
      <c r="R242" s="3">
        <v>0</v>
      </c>
      <c r="S242" s="3">
        <v>0</v>
      </c>
      <c r="T242" s="3">
        <v>0</v>
      </c>
      <c r="U242" s="3">
        <v>0</v>
      </c>
      <c r="V242" s="3">
        <v>0</v>
      </c>
      <c r="W242" s="3" t="s">
        <v>5219</v>
      </c>
      <c r="X242" s="3">
        <v>25</v>
      </c>
      <c r="Y242" s="3">
        <v>25</v>
      </c>
      <c r="Z242" s="3">
        <v>25</v>
      </c>
      <c r="AA242" s="3">
        <v>0</v>
      </c>
      <c r="AB242" s="3" t="s">
        <v>5228</v>
      </c>
      <c r="AC242" s="3">
        <v>0</v>
      </c>
      <c r="AD242" s="3">
        <v>15</v>
      </c>
      <c r="AE242" s="3">
        <v>63</v>
      </c>
      <c r="AF242" s="3">
        <v>0</v>
      </c>
      <c r="AG242" s="3">
        <v>17.405183</v>
      </c>
      <c r="AH242" s="3">
        <v>0</v>
      </c>
      <c r="AI242" s="3" t="s">
        <v>5267</v>
      </c>
      <c r="AJ242" s="3" t="s">
        <v>5242</v>
      </c>
    </row>
    <row r="243" spans="1:36">
      <c r="A243" s="5">
        <v>43288</v>
      </c>
      <c r="B243" s="3" t="s">
        <v>2749</v>
      </c>
      <c r="C243" s="3" t="s">
        <v>2750</v>
      </c>
      <c r="D243" s="3" t="s">
        <v>2751</v>
      </c>
      <c r="E243" s="3" t="s">
        <v>1725</v>
      </c>
      <c r="F243" s="3" t="s">
        <v>120</v>
      </c>
      <c r="G243" s="3">
        <v>15</v>
      </c>
      <c r="H243" s="3">
        <v>0</v>
      </c>
      <c r="I243" s="3">
        <v>15</v>
      </c>
      <c r="J243" s="3">
        <v>0</v>
      </c>
      <c r="K243" s="3">
        <v>0</v>
      </c>
      <c r="L243" s="3">
        <v>0</v>
      </c>
      <c r="M243" s="3">
        <v>0</v>
      </c>
      <c r="N243" s="3" t="s">
        <v>5218</v>
      </c>
      <c r="O243" s="3">
        <v>0</v>
      </c>
      <c r="P243" s="3">
        <v>0</v>
      </c>
      <c r="Q243" s="3">
        <v>0</v>
      </c>
      <c r="R243" s="3">
        <v>0</v>
      </c>
      <c r="S243" s="3">
        <v>1</v>
      </c>
      <c r="T243" s="3">
        <v>5</v>
      </c>
      <c r="U243" s="3">
        <v>5</v>
      </c>
      <c r="V243" s="3">
        <v>5</v>
      </c>
      <c r="W243" s="3"/>
      <c r="X243" s="3">
        <v>22.98</v>
      </c>
      <c r="Y243" s="3">
        <v>23.98</v>
      </c>
      <c r="Z243" s="3">
        <v>23.98</v>
      </c>
      <c r="AA243" s="3">
        <v>0</v>
      </c>
      <c r="AB243" s="3" t="s">
        <v>5223</v>
      </c>
      <c r="AC243" s="3">
        <v>16</v>
      </c>
      <c r="AD243" s="3">
        <v>24.98</v>
      </c>
      <c r="AE243" s="3">
        <v>0</v>
      </c>
      <c r="AF243" s="3">
        <v>0</v>
      </c>
      <c r="AG243" s="3">
        <v>0</v>
      </c>
      <c r="AH243" s="3">
        <v>0.666666666666666</v>
      </c>
      <c r="AI243" s="3" t="s">
        <v>5324</v>
      </c>
      <c r="AJ243" s="3" t="s">
        <v>5222</v>
      </c>
    </row>
    <row r="244" spans="1:36">
      <c r="A244" s="5">
        <v>43288</v>
      </c>
      <c r="B244" s="3" t="s">
        <v>4237</v>
      </c>
      <c r="C244" s="3" t="s">
        <v>4238</v>
      </c>
      <c r="D244" s="3" t="s">
        <v>4238</v>
      </c>
      <c r="E244" s="3" t="s">
        <v>4239</v>
      </c>
      <c r="F244" s="3" t="s">
        <v>120</v>
      </c>
      <c r="G244" s="3">
        <v>13</v>
      </c>
      <c r="H244" s="3">
        <v>0</v>
      </c>
      <c r="I244" s="3">
        <v>13</v>
      </c>
      <c r="J244" s="3">
        <v>0</v>
      </c>
      <c r="K244" s="3">
        <v>0</v>
      </c>
      <c r="L244" s="3">
        <v>0</v>
      </c>
      <c r="M244" s="3">
        <v>0</v>
      </c>
      <c r="N244" s="3" t="s">
        <v>5218</v>
      </c>
      <c r="O244" s="3">
        <v>0</v>
      </c>
      <c r="P244" s="3">
        <v>0</v>
      </c>
      <c r="Q244" s="3">
        <v>0</v>
      </c>
      <c r="R244" s="3">
        <v>0</v>
      </c>
      <c r="S244" s="3">
        <v>0</v>
      </c>
      <c r="T244" s="3">
        <v>2</v>
      </c>
      <c r="U244" s="3">
        <v>7</v>
      </c>
      <c r="V244" s="3">
        <v>10</v>
      </c>
      <c r="W244" s="3" t="s">
        <v>5227</v>
      </c>
      <c r="X244" s="3">
        <v>23.98</v>
      </c>
      <c r="Y244" s="3">
        <v>23.98</v>
      </c>
      <c r="Z244" s="3">
        <v>23.98</v>
      </c>
      <c r="AA244" s="3">
        <v>0</v>
      </c>
      <c r="AB244" s="3" t="s">
        <v>5223</v>
      </c>
      <c r="AC244" s="3">
        <v>13</v>
      </c>
      <c r="AD244" s="3">
        <v>23.98</v>
      </c>
      <c r="AE244" s="3">
        <v>0</v>
      </c>
      <c r="AF244" s="3">
        <v>0</v>
      </c>
      <c r="AG244" s="3">
        <v>0</v>
      </c>
      <c r="AH244" s="3">
        <v>1.05263157894736</v>
      </c>
      <c r="AI244" s="3" t="s">
        <v>5325</v>
      </c>
      <c r="AJ244" s="3" t="s">
        <v>5222</v>
      </c>
    </row>
    <row r="245" spans="1:36">
      <c r="A245" s="5">
        <v>43288</v>
      </c>
      <c r="B245" s="3" t="s">
        <v>4563</v>
      </c>
      <c r="C245" s="3" t="s">
        <v>3975</v>
      </c>
      <c r="D245" s="3" t="s">
        <v>3975</v>
      </c>
      <c r="E245" s="3" t="s">
        <v>3976</v>
      </c>
      <c r="F245" s="3" t="s">
        <v>120</v>
      </c>
      <c r="G245" s="3">
        <v>3</v>
      </c>
      <c r="H245" s="3">
        <v>0</v>
      </c>
      <c r="I245" s="3">
        <v>3</v>
      </c>
      <c r="J245" s="3">
        <v>0</v>
      </c>
      <c r="K245" s="3">
        <v>0</v>
      </c>
      <c r="L245" s="3">
        <v>0</v>
      </c>
      <c r="M245" s="3">
        <v>0</v>
      </c>
      <c r="N245" s="3" t="s">
        <v>5218</v>
      </c>
      <c r="O245" s="3">
        <v>0</v>
      </c>
      <c r="P245" s="3">
        <v>0</v>
      </c>
      <c r="Q245" s="3">
        <v>0</v>
      </c>
      <c r="R245" s="3">
        <v>0</v>
      </c>
      <c r="S245" s="3">
        <v>0</v>
      </c>
      <c r="T245" s="3">
        <v>4</v>
      </c>
      <c r="U245" s="3">
        <v>5</v>
      </c>
      <c r="V245" s="3">
        <v>8</v>
      </c>
      <c r="W245" s="3"/>
      <c r="X245" s="3">
        <v>20.98</v>
      </c>
      <c r="Y245" s="3">
        <v>20.98</v>
      </c>
      <c r="Z245" s="3">
        <v>20.98</v>
      </c>
      <c r="AA245" s="3">
        <v>0</v>
      </c>
      <c r="AB245" s="3" t="s">
        <v>5223</v>
      </c>
      <c r="AC245" s="3">
        <v>3</v>
      </c>
      <c r="AD245" s="3">
        <v>20.98</v>
      </c>
      <c r="AE245" s="3">
        <v>0</v>
      </c>
      <c r="AF245" s="3">
        <v>0</v>
      </c>
      <c r="AG245" s="3">
        <v>0</v>
      </c>
      <c r="AH245" s="3">
        <v>2.46153846153846</v>
      </c>
      <c r="AI245" s="3" t="s">
        <v>5326</v>
      </c>
      <c r="AJ245" s="3" t="s">
        <v>5222</v>
      </c>
    </row>
    <row r="246" spans="1:36">
      <c r="A246" s="5">
        <v>43288</v>
      </c>
      <c r="B246" s="3" t="s">
        <v>3030</v>
      </c>
      <c r="C246" s="3" t="s">
        <v>3031</v>
      </c>
      <c r="D246" s="3" t="s">
        <v>3031</v>
      </c>
      <c r="E246" s="3" t="s">
        <v>3032</v>
      </c>
      <c r="F246" s="3" t="s">
        <v>120</v>
      </c>
      <c r="G246" s="3">
        <v>27</v>
      </c>
      <c r="H246" s="3">
        <v>0</v>
      </c>
      <c r="I246" s="3">
        <v>27</v>
      </c>
      <c r="J246" s="3">
        <v>0</v>
      </c>
      <c r="K246" s="3">
        <v>0</v>
      </c>
      <c r="L246" s="3">
        <v>0</v>
      </c>
      <c r="M246" s="3">
        <v>0</v>
      </c>
      <c r="N246" s="3" t="s">
        <v>5218</v>
      </c>
      <c r="O246" s="3">
        <v>0</v>
      </c>
      <c r="P246" s="3">
        <v>0</v>
      </c>
      <c r="Q246" s="3">
        <v>0</v>
      </c>
      <c r="R246" s="3">
        <v>0</v>
      </c>
      <c r="S246" s="3">
        <v>2</v>
      </c>
      <c r="T246" s="3">
        <v>15</v>
      </c>
      <c r="U246" s="3">
        <v>27</v>
      </c>
      <c r="V246" s="3">
        <v>46</v>
      </c>
      <c r="W246" s="3"/>
      <c r="X246" s="3">
        <v>23.98</v>
      </c>
      <c r="Y246" s="3">
        <v>23.98</v>
      </c>
      <c r="Z246" s="3">
        <v>23.98</v>
      </c>
      <c r="AA246" s="3">
        <v>0</v>
      </c>
      <c r="AB246" s="3" t="s">
        <v>5223</v>
      </c>
      <c r="AC246" s="3">
        <v>28</v>
      </c>
      <c r="AD246" s="3">
        <v>23.98</v>
      </c>
      <c r="AE246" s="3">
        <v>0</v>
      </c>
      <c r="AF246" s="3">
        <v>0</v>
      </c>
      <c r="AG246" s="3">
        <v>0</v>
      </c>
      <c r="AH246" s="3">
        <v>1.44881889763779</v>
      </c>
      <c r="AI246" s="3" t="s">
        <v>5327</v>
      </c>
      <c r="AJ246" s="3" t="s">
        <v>5222</v>
      </c>
    </row>
    <row r="247" spans="1:36">
      <c r="A247" s="5">
        <v>43288</v>
      </c>
      <c r="B247" s="3" t="s">
        <v>2210</v>
      </c>
      <c r="C247" s="3" t="s">
        <v>2211</v>
      </c>
      <c r="D247" s="3" t="s">
        <v>2211</v>
      </c>
      <c r="E247" s="3" t="s">
        <v>2212</v>
      </c>
      <c r="F247" s="3" t="s">
        <v>120</v>
      </c>
      <c r="G247" s="3">
        <v>14</v>
      </c>
      <c r="H247" s="3">
        <v>0</v>
      </c>
      <c r="I247" s="3">
        <v>1</v>
      </c>
      <c r="J247" s="3">
        <v>13</v>
      </c>
      <c r="K247" s="3">
        <v>0</v>
      </c>
      <c r="L247" s="3">
        <v>0</v>
      </c>
      <c r="M247" s="3">
        <v>0</v>
      </c>
      <c r="N247" s="3" t="s">
        <v>5218</v>
      </c>
      <c r="O247" s="3">
        <v>0</v>
      </c>
      <c r="P247" s="3">
        <v>0</v>
      </c>
      <c r="Q247" s="3">
        <v>0</v>
      </c>
      <c r="R247" s="3">
        <v>0</v>
      </c>
      <c r="S247" s="3">
        <v>0</v>
      </c>
      <c r="T247" s="3">
        <v>1</v>
      </c>
      <c r="U247" s="3">
        <v>4</v>
      </c>
      <c r="V247" s="3">
        <v>6</v>
      </c>
      <c r="W247" s="3" t="s">
        <v>5227</v>
      </c>
      <c r="X247" s="3">
        <v>22.98</v>
      </c>
      <c r="Y247" s="3">
        <v>22.98</v>
      </c>
      <c r="Z247" s="3">
        <v>22</v>
      </c>
      <c r="AA247" s="3">
        <v>0</v>
      </c>
      <c r="AB247" s="3" t="s">
        <v>5223</v>
      </c>
      <c r="AC247" s="3">
        <v>14</v>
      </c>
      <c r="AD247" s="3">
        <v>22.98</v>
      </c>
      <c r="AE247" s="3">
        <v>0</v>
      </c>
      <c r="AF247" s="3">
        <v>0</v>
      </c>
      <c r="AG247" s="3">
        <v>0</v>
      </c>
      <c r="AH247" s="3">
        <v>0.375</v>
      </c>
      <c r="AI247" s="3" t="s">
        <v>5260</v>
      </c>
      <c r="AJ247" s="3" t="s">
        <v>5222</v>
      </c>
    </row>
    <row r="248" spans="1:36">
      <c r="A248" s="5">
        <v>43288</v>
      </c>
      <c r="B248" s="3" t="s">
        <v>4453</v>
      </c>
      <c r="C248" s="3" t="s">
        <v>4454</v>
      </c>
      <c r="D248" s="3" t="s">
        <v>4454</v>
      </c>
      <c r="E248" s="3" t="s">
        <v>4455</v>
      </c>
      <c r="F248" s="3" t="s">
        <v>120</v>
      </c>
      <c r="G248" s="3">
        <v>2</v>
      </c>
      <c r="H248" s="3">
        <v>0</v>
      </c>
      <c r="I248" s="3">
        <v>0</v>
      </c>
      <c r="J248" s="3">
        <v>2</v>
      </c>
      <c r="K248" s="3">
        <v>0</v>
      </c>
      <c r="L248" s="3">
        <v>0</v>
      </c>
      <c r="M248" s="3">
        <v>0</v>
      </c>
      <c r="N248" s="3" t="s">
        <v>5218</v>
      </c>
      <c r="O248" s="3">
        <v>0</v>
      </c>
      <c r="P248" s="3">
        <v>0</v>
      </c>
      <c r="Q248" s="3">
        <v>0</v>
      </c>
      <c r="R248" s="3">
        <v>0</v>
      </c>
      <c r="S248" s="3">
        <v>0</v>
      </c>
      <c r="T248" s="3">
        <v>3</v>
      </c>
      <c r="U248" s="3">
        <v>4</v>
      </c>
      <c r="V248" s="3">
        <v>4</v>
      </c>
      <c r="W248" s="3"/>
      <c r="X248" s="3">
        <v>10</v>
      </c>
      <c r="Y248" s="3">
        <v>10</v>
      </c>
      <c r="Z248" s="3">
        <v>10</v>
      </c>
      <c r="AA248" s="3">
        <v>0</v>
      </c>
      <c r="AB248" s="3" t="s">
        <v>5247</v>
      </c>
      <c r="AC248" s="3">
        <v>0</v>
      </c>
      <c r="AD248" s="3">
        <v>10</v>
      </c>
      <c r="AE248" s="3">
        <v>0</v>
      </c>
      <c r="AF248" s="3">
        <v>2</v>
      </c>
      <c r="AG248" s="3">
        <v>5.283409</v>
      </c>
      <c r="AH248" s="3">
        <v>0.842105263157894</v>
      </c>
      <c r="AI248" s="3" t="s">
        <v>5328</v>
      </c>
      <c r="AJ248" s="3" t="s">
        <v>5222</v>
      </c>
    </row>
    <row r="249" spans="1:36">
      <c r="A249" s="5">
        <v>43288</v>
      </c>
      <c r="B249" s="3" t="s">
        <v>1954</v>
      </c>
      <c r="C249" s="3" t="s">
        <v>116</v>
      </c>
      <c r="D249" s="3" t="s">
        <v>116</v>
      </c>
      <c r="E249" s="3" t="s">
        <v>1955</v>
      </c>
      <c r="F249" s="3" t="s">
        <v>120</v>
      </c>
      <c r="G249" s="3">
        <v>23</v>
      </c>
      <c r="H249" s="3">
        <v>0</v>
      </c>
      <c r="I249" s="3">
        <v>7</v>
      </c>
      <c r="J249" s="3">
        <v>5</v>
      </c>
      <c r="K249" s="3">
        <v>11</v>
      </c>
      <c r="L249" s="3">
        <v>0</v>
      </c>
      <c r="M249" s="3">
        <v>0</v>
      </c>
      <c r="N249" s="3" t="s">
        <v>5218</v>
      </c>
      <c r="O249" s="3">
        <v>13</v>
      </c>
      <c r="P249" s="3">
        <v>20.28</v>
      </c>
      <c r="Q249" s="3">
        <v>0</v>
      </c>
      <c r="R249" s="3">
        <v>0</v>
      </c>
      <c r="S249" s="3">
        <v>0</v>
      </c>
      <c r="T249" s="3">
        <v>4</v>
      </c>
      <c r="U249" s="3">
        <v>10</v>
      </c>
      <c r="V249" s="3">
        <v>18</v>
      </c>
      <c r="W249" s="3" t="s">
        <v>5227</v>
      </c>
      <c r="X249" s="3">
        <v>23.98</v>
      </c>
      <c r="Y249" s="3">
        <v>23.98</v>
      </c>
      <c r="Z249" s="3">
        <v>23.98</v>
      </c>
      <c r="AA249" s="3">
        <v>0</v>
      </c>
      <c r="AB249" s="3" t="s">
        <v>5223</v>
      </c>
      <c r="AC249" s="3">
        <v>23</v>
      </c>
      <c r="AD249" s="3">
        <v>23.98</v>
      </c>
      <c r="AE249" s="3">
        <v>0</v>
      </c>
      <c r="AF249" s="3">
        <v>0</v>
      </c>
      <c r="AG249" s="3">
        <v>0</v>
      </c>
      <c r="AH249" s="3">
        <v>0.63716814159292</v>
      </c>
      <c r="AI249" s="3" t="s">
        <v>5329</v>
      </c>
      <c r="AJ249" s="3" t="s">
        <v>5222</v>
      </c>
    </row>
    <row r="250" spans="1:36">
      <c r="A250" s="5">
        <v>43288</v>
      </c>
      <c r="B250" s="3" t="s">
        <v>4409</v>
      </c>
      <c r="C250" s="3" t="s">
        <v>3490</v>
      </c>
      <c r="D250" s="3" t="s">
        <v>3490</v>
      </c>
      <c r="E250" s="3" t="s">
        <v>3491</v>
      </c>
      <c r="F250" s="3" t="s">
        <v>120</v>
      </c>
      <c r="G250" s="3">
        <v>6</v>
      </c>
      <c r="H250" s="3">
        <v>0</v>
      </c>
      <c r="I250" s="3">
        <v>0</v>
      </c>
      <c r="J250" s="3">
        <v>0</v>
      </c>
      <c r="K250" s="3">
        <v>6</v>
      </c>
      <c r="L250" s="3">
        <v>0</v>
      </c>
      <c r="M250" s="3">
        <v>0</v>
      </c>
      <c r="N250" s="3" t="s">
        <v>5218</v>
      </c>
      <c r="O250" s="3">
        <v>6</v>
      </c>
      <c r="P250" s="3">
        <v>9.26</v>
      </c>
      <c r="Q250" s="3">
        <v>0</v>
      </c>
      <c r="R250" s="3">
        <v>0</v>
      </c>
      <c r="S250" s="3">
        <v>0</v>
      </c>
      <c r="T250" s="3">
        <v>0</v>
      </c>
      <c r="U250" s="3">
        <v>0</v>
      </c>
      <c r="V250" s="3">
        <v>0</v>
      </c>
      <c r="W250" s="3" t="s">
        <v>5227</v>
      </c>
      <c r="X250" s="3">
        <v>24.98</v>
      </c>
      <c r="Y250" s="3">
        <v>24.98</v>
      </c>
      <c r="Z250" s="3">
        <v>24.98</v>
      </c>
      <c r="AA250" s="3">
        <v>0</v>
      </c>
      <c r="AB250" s="3" t="s">
        <v>5228</v>
      </c>
      <c r="AC250" s="3">
        <v>2</v>
      </c>
      <c r="AD250" s="3">
        <v>22.89</v>
      </c>
      <c r="AE250" s="3">
        <v>35</v>
      </c>
      <c r="AF250" s="3">
        <v>0</v>
      </c>
      <c r="AG250" s="3">
        <v>176.544514</v>
      </c>
      <c r="AH250" s="3">
        <v>0</v>
      </c>
      <c r="AI250" s="3" t="s">
        <v>5262</v>
      </c>
      <c r="AJ250" s="3" t="s">
        <v>5222</v>
      </c>
    </row>
    <row r="251" spans="1:36">
      <c r="A251" s="5">
        <v>43288</v>
      </c>
      <c r="B251" s="3" t="s">
        <v>640</v>
      </c>
      <c r="C251" s="3" t="s">
        <v>641</v>
      </c>
      <c r="D251" s="3" t="s">
        <v>641</v>
      </c>
      <c r="E251" s="3" t="s">
        <v>642</v>
      </c>
      <c r="F251" s="3" t="s">
        <v>120</v>
      </c>
      <c r="G251" s="3">
        <v>10</v>
      </c>
      <c r="H251" s="3">
        <v>0</v>
      </c>
      <c r="I251" s="3">
        <v>6</v>
      </c>
      <c r="J251" s="3">
        <v>4</v>
      </c>
      <c r="K251" s="3">
        <v>0</v>
      </c>
      <c r="L251" s="3">
        <v>0</v>
      </c>
      <c r="M251" s="3">
        <v>0</v>
      </c>
      <c r="N251" s="3" t="s">
        <v>5218</v>
      </c>
      <c r="O251" s="3">
        <v>1</v>
      </c>
      <c r="P251" s="3">
        <v>1.91</v>
      </c>
      <c r="Q251" s="3">
        <v>0</v>
      </c>
      <c r="R251" s="3">
        <v>0</v>
      </c>
      <c r="S251" s="3">
        <v>0</v>
      </c>
      <c r="T251" s="3">
        <v>0</v>
      </c>
      <c r="U251" s="3">
        <v>1</v>
      </c>
      <c r="V251" s="3">
        <v>1</v>
      </c>
      <c r="W251" s="3" t="s">
        <v>5227</v>
      </c>
      <c r="X251" s="3">
        <v>24.98</v>
      </c>
      <c r="Y251" s="3">
        <v>24.98</v>
      </c>
      <c r="Z251" s="3">
        <v>24.98</v>
      </c>
      <c r="AA251" s="3">
        <v>0</v>
      </c>
      <c r="AB251" s="3" t="s">
        <v>5228</v>
      </c>
      <c r="AC251" s="3">
        <v>0</v>
      </c>
      <c r="AD251" s="3">
        <v>21.85</v>
      </c>
      <c r="AE251" s="3">
        <v>210</v>
      </c>
      <c r="AF251" s="3">
        <v>0</v>
      </c>
      <c r="AG251" s="3">
        <v>294.653422</v>
      </c>
      <c r="AH251" s="3">
        <v>0.166666666666666</v>
      </c>
      <c r="AI251" s="3" t="s">
        <v>5330</v>
      </c>
      <c r="AJ251" s="3" t="s">
        <v>5222</v>
      </c>
    </row>
    <row r="252" spans="1:36">
      <c r="A252" s="5">
        <v>43288</v>
      </c>
      <c r="B252" s="3" t="s">
        <v>3186</v>
      </c>
      <c r="C252" s="3" t="s">
        <v>3187</v>
      </c>
      <c r="D252" s="3" t="s">
        <v>3187</v>
      </c>
      <c r="E252" s="3" t="s">
        <v>3188</v>
      </c>
      <c r="F252" s="3" t="s">
        <v>120</v>
      </c>
      <c r="G252" s="3">
        <v>4</v>
      </c>
      <c r="H252" s="3">
        <v>0</v>
      </c>
      <c r="I252" s="3">
        <v>0</v>
      </c>
      <c r="J252" s="3">
        <v>0</v>
      </c>
      <c r="K252" s="3">
        <v>1</v>
      </c>
      <c r="L252" s="3">
        <v>3</v>
      </c>
      <c r="M252" s="3">
        <v>0</v>
      </c>
      <c r="N252" s="3" t="s">
        <v>5218</v>
      </c>
      <c r="O252" s="3">
        <v>4</v>
      </c>
      <c r="P252" s="3">
        <v>3.69</v>
      </c>
      <c r="Q252" s="3">
        <v>0</v>
      </c>
      <c r="R252" s="3">
        <v>0</v>
      </c>
      <c r="S252" s="3">
        <v>0</v>
      </c>
      <c r="T252" s="3">
        <v>0</v>
      </c>
      <c r="U252" s="3">
        <v>0</v>
      </c>
      <c r="V252" s="3">
        <v>0</v>
      </c>
      <c r="W252" s="3" t="s">
        <v>5227</v>
      </c>
      <c r="X252" s="3">
        <v>15.98</v>
      </c>
      <c r="Y252" s="3">
        <v>15.98</v>
      </c>
      <c r="Z252" s="3">
        <v>15.98</v>
      </c>
      <c r="AA252" s="3">
        <v>0</v>
      </c>
      <c r="AB252" s="3" t="s">
        <v>5228</v>
      </c>
      <c r="AC252" s="3">
        <v>0</v>
      </c>
      <c r="AD252" s="3">
        <v>12.96</v>
      </c>
      <c r="AE252" s="3">
        <v>343</v>
      </c>
      <c r="AF252" s="3">
        <v>0</v>
      </c>
      <c r="AG252" s="3">
        <v>54.875831</v>
      </c>
      <c r="AH252" s="3">
        <v>0</v>
      </c>
      <c r="AI252" s="3" t="s">
        <v>5317</v>
      </c>
      <c r="AJ252" s="3" t="s">
        <v>5222</v>
      </c>
    </row>
    <row r="253" spans="1:36">
      <c r="A253" s="5">
        <v>43288</v>
      </c>
      <c r="B253" s="3" t="s">
        <v>1264</v>
      </c>
      <c r="C253" s="3" t="s">
        <v>1265</v>
      </c>
      <c r="D253" s="3" t="s">
        <v>552</v>
      </c>
      <c r="E253" s="3" t="s">
        <v>798</v>
      </c>
      <c r="F253" s="3" t="s">
        <v>120</v>
      </c>
      <c r="G253" s="3">
        <v>18</v>
      </c>
      <c r="H253" s="3">
        <v>0</v>
      </c>
      <c r="I253" s="3">
        <v>18</v>
      </c>
      <c r="J253" s="3">
        <v>0</v>
      </c>
      <c r="K253" s="3">
        <v>0</v>
      </c>
      <c r="L253" s="3">
        <v>0</v>
      </c>
      <c r="M253" s="3">
        <v>0</v>
      </c>
      <c r="N253" s="3" t="s">
        <v>5218</v>
      </c>
      <c r="O253" s="3">
        <v>0</v>
      </c>
      <c r="P253" s="3">
        <v>0</v>
      </c>
      <c r="Q253" s="3">
        <v>0</v>
      </c>
      <c r="R253" s="3">
        <v>0</v>
      </c>
      <c r="S253" s="3">
        <v>2</v>
      </c>
      <c r="T253" s="3">
        <v>4</v>
      </c>
      <c r="U253" s="3">
        <v>4</v>
      </c>
      <c r="V253" s="3">
        <v>4</v>
      </c>
      <c r="W253" s="3"/>
      <c r="X253" s="3">
        <v>22.98</v>
      </c>
      <c r="Y253" s="3">
        <v>22.98</v>
      </c>
      <c r="Z253" s="3">
        <v>22.98</v>
      </c>
      <c r="AA253" s="3">
        <v>0</v>
      </c>
      <c r="AB253" s="3" t="s">
        <v>5223</v>
      </c>
      <c r="AC253" s="3">
        <v>18</v>
      </c>
      <c r="AD253" s="3">
        <v>22.98</v>
      </c>
      <c r="AE253" s="3">
        <v>0</v>
      </c>
      <c r="AF253" s="3">
        <v>0</v>
      </c>
      <c r="AG253" s="3">
        <v>0</v>
      </c>
      <c r="AH253" s="3">
        <v>2.18181818181818</v>
      </c>
      <c r="AI253" s="3" t="s">
        <v>5225</v>
      </c>
      <c r="AJ253" s="3" t="s">
        <v>5222</v>
      </c>
    </row>
    <row r="254" spans="1:36">
      <c r="A254" s="5">
        <v>43288</v>
      </c>
      <c r="B254" s="3" t="s">
        <v>4456</v>
      </c>
      <c r="C254" s="3" t="s">
        <v>4457</v>
      </c>
      <c r="D254" s="3" t="s">
        <v>4457</v>
      </c>
      <c r="E254" s="3" t="s">
        <v>4458</v>
      </c>
      <c r="F254" s="3" t="s">
        <v>120</v>
      </c>
      <c r="G254" s="3">
        <v>15</v>
      </c>
      <c r="H254" s="3">
        <v>0</v>
      </c>
      <c r="I254" s="3">
        <v>0</v>
      </c>
      <c r="J254" s="3">
        <v>3</v>
      </c>
      <c r="K254" s="3">
        <v>12</v>
      </c>
      <c r="L254" s="3">
        <v>0</v>
      </c>
      <c r="M254" s="3">
        <v>0</v>
      </c>
      <c r="N254" s="3" t="s">
        <v>5218</v>
      </c>
      <c r="O254" s="3">
        <v>13</v>
      </c>
      <c r="P254" s="3">
        <v>36.04</v>
      </c>
      <c r="Q254" s="3">
        <v>0</v>
      </c>
      <c r="R254" s="3">
        <v>0</v>
      </c>
      <c r="S254" s="3">
        <v>0</v>
      </c>
      <c r="T254" s="3">
        <v>1</v>
      </c>
      <c r="U254" s="3">
        <v>1</v>
      </c>
      <c r="V254" s="3">
        <v>1</v>
      </c>
      <c r="W254" s="3" t="s">
        <v>5227</v>
      </c>
      <c r="X254" s="3">
        <v>10</v>
      </c>
      <c r="Y254" s="3">
        <v>10</v>
      </c>
      <c r="Z254" s="3">
        <v>10</v>
      </c>
      <c r="AA254" s="3">
        <v>0</v>
      </c>
      <c r="AB254" s="3" t="s">
        <v>5228</v>
      </c>
      <c r="AC254" s="3">
        <v>3</v>
      </c>
      <c r="AD254" s="3">
        <v>8</v>
      </c>
      <c r="AE254" s="3">
        <v>63</v>
      </c>
      <c r="AF254" s="3">
        <v>0</v>
      </c>
      <c r="AG254" s="3">
        <v>22.586461</v>
      </c>
      <c r="AH254" s="3">
        <v>0.0634920634920634</v>
      </c>
      <c r="AI254" s="3" t="s">
        <v>5281</v>
      </c>
      <c r="AJ254" s="3" t="s">
        <v>5222</v>
      </c>
    </row>
    <row r="255" spans="1:36">
      <c r="A255" s="5">
        <v>43288</v>
      </c>
      <c r="B255" s="3" t="s">
        <v>652</v>
      </c>
      <c r="C255" s="3" t="s">
        <v>653</v>
      </c>
      <c r="D255" s="3" t="s">
        <v>653</v>
      </c>
      <c r="E255" s="3" t="s">
        <v>654</v>
      </c>
      <c r="F255" s="3" t="s">
        <v>120</v>
      </c>
      <c r="G255" s="3">
        <v>11</v>
      </c>
      <c r="H255" s="3">
        <v>0</v>
      </c>
      <c r="I255" s="3">
        <v>10</v>
      </c>
      <c r="J255" s="3">
        <v>1</v>
      </c>
      <c r="K255" s="3">
        <v>0</v>
      </c>
      <c r="L255" s="3">
        <v>0</v>
      </c>
      <c r="M255" s="3">
        <v>0</v>
      </c>
      <c r="N255" s="3" t="s">
        <v>5218</v>
      </c>
      <c r="O255" s="3">
        <v>1</v>
      </c>
      <c r="P255" s="3">
        <v>1.9</v>
      </c>
      <c r="Q255" s="3">
        <v>0</v>
      </c>
      <c r="R255" s="3">
        <v>0</v>
      </c>
      <c r="S255" s="3">
        <v>1</v>
      </c>
      <c r="T255" s="3">
        <v>2</v>
      </c>
      <c r="U255" s="3">
        <v>3</v>
      </c>
      <c r="V255" s="3">
        <v>4</v>
      </c>
      <c r="W255" s="3"/>
      <c r="X255" s="3">
        <v>24.98</v>
      </c>
      <c r="Y255" s="3">
        <v>24.98</v>
      </c>
      <c r="Z255" s="3">
        <v>24.98</v>
      </c>
      <c r="AA255" s="3">
        <v>0</v>
      </c>
      <c r="AB255" s="3" t="s">
        <v>5228</v>
      </c>
      <c r="AC255" s="3">
        <v>0</v>
      </c>
      <c r="AD255" s="3">
        <v>19.98</v>
      </c>
      <c r="AE255" s="3">
        <v>364</v>
      </c>
      <c r="AF255" s="3">
        <v>0</v>
      </c>
      <c r="AG255" s="3">
        <v>207.949612</v>
      </c>
      <c r="AH255" s="3">
        <v>0.695652173913043</v>
      </c>
      <c r="AI255" s="3" t="s">
        <v>5250</v>
      </c>
      <c r="AJ255" s="3" t="s">
        <v>5222</v>
      </c>
    </row>
    <row r="256" spans="1:36">
      <c r="A256" s="5">
        <v>43288</v>
      </c>
      <c r="B256" s="3" t="s">
        <v>505</v>
      </c>
      <c r="C256" s="3" t="s">
        <v>356</v>
      </c>
      <c r="D256" s="3" t="s">
        <v>356</v>
      </c>
      <c r="E256" s="3" t="s">
        <v>482</v>
      </c>
      <c r="F256" s="3" t="s">
        <v>120</v>
      </c>
      <c r="G256" s="3">
        <v>6</v>
      </c>
      <c r="H256" s="3">
        <v>0</v>
      </c>
      <c r="I256" s="3">
        <v>1</v>
      </c>
      <c r="J256" s="3">
        <v>5</v>
      </c>
      <c r="K256" s="3">
        <v>0</v>
      </c>
      <c r="L256" s="3">
        <v>0</v>
      </c>
      <c r="M256" s="3">
        <v>0</v>
      </c>
      <c r="N256" s="3" t="s">
        <v>5218</v>
      </c>
      <c r="O256" s="3">
        <v>5</v>
      </c>
      <c r="P256" s="3">
        <v>3.43</v>
      </c>
      <c r="Q256" s="3">
        <v>0</v>
      </c>
      <c r="R256" s="3">
        <v>0</v>
      </c>
      <c r="S256" s="3">
        <v>0</v>
      </c>
      <c r="T256" s="3">
        <v>0</v>
      </c>
      <c r="U256" s="3">
        <v>1</v>
      </c>
      <c r="V256" s="3">
        <v>3</v>
      </c>
      <c r="W256" s="3" t="s">
        <v>5227</v>
      </c>
      <c r="X256" s="3">
        <v>26.98</v>
      </c>
      <c r="Y256" s="3">
        <v>26.98</v>
      </c>
      <c r="Z256" s="3">
        <v>26.98</v>
      </c>
      <c r="AA256" s="3">
        <v>0</v>
      </c>
      <c r="AB256" s="3" t="s">
        <v>5228</v>
      </c>
      <c r="AC256" s="3">
        <v>0</v>
      </c>
      <c r="AD256" s="3">
        <v>24.32</v>
      </c>
      <c r="AE256" s="3">
        <v>217</v>
      </c>
      <c r="AF256" s="3">
        <v>0</v>
      </c>
      <c r="AG256" s="3">
        <v>104.272907</v>
      </c>
      <c r="AH256" s="3">
        <v>0.352941176470588</v>
      </c>
      <c r="AI256" s="3" t="s">
        <v>5224</v>
      </c>
      <c r="AJ256" s="3" t="s">
        <v>5222</v>
      </c>
    </row>
    <row r="257" spans="1:36">
      <c r="A257" s="5">
        <v>43288</v>
      </c>
      <c r="B257" s="3" t="s">
        <v>1985</v>
      </c>
      <c r="C257" s="3" t="s">
        <v>152</v>
      </c>
      <c r="D257" s="3" t="s">
        <v>152</v>
      </c>
      <c r="E257" s="3" t="s">
        <v>1986</v>
      </c>
      <c r="F257" s="3" t="s">
        <v>120</v>
      </c>
      <c r="G257" s="3">
        <v>9</v>
      </c>
      <c r="H257" s="3">
        <v>0</v>
      </c>
      <c r="I257" s="3">
        <v>1</v>
      </c>
      <c r="J257" s="3">
        <v>2</v>
      </c>
      <c r="K257" s="3">
        <v>6</v>
      </c>
      <c r="L257" s="3">
        <v>0</v>
      </c>
      <c r="M257" s="3">
        <v>0</v>
      </c>
      <c r="N257" s="3" t="s">
        <v>5218</v>
      </c>
      <c r="O257" s="3">
        <v>7</v>
      </c>
      <c r="P257" s="3">
        <v>9.16</v>
      </c>
      <c r="Q257" s="3">
        <v>0</v>
      </c>
      <c r="R257" s="3">
        <v>0</v>
      </c>
      <c r="S257" s="3">
        <v>0</v>
      </c>
      <c r="T257" s="3">
        <v>3</v>
      </c>
      <c r="U257" s="3">
        <v>4</v>
      </c>
      <c r="V257" s="3">
        <v>6</v>
      </c>
      <c r="W257" s="3"/>
      <c r="X257" s="3">
        <v>21.98</v>
      </c>
      <c r="Y257" s="3">
        <v>21.98</v>
      </c>
      <c r="Z257" s="3">
        <v>21.98</v>
      </c>
      <c r="AA257" s="3">
        <v>0</v>
      </c>
      <c r="AB257" s="3" t="s">
        <v>5223</v>
      </c>
      <c r="AC257" s="3">
        <v>9</v>
      </c>
      <c r="AD257" s="3">
        <v>39.98</v>
      </c>
      <c r="AE257" s="3">
        <v>0</v>
      </c>
      <c r="AF257" s="3">
        <v>0</v>
      </c>
      <c r="AG257" s="3">
        <v>0</v>
      </c>
      <c r="AH257" s="3">
        <v>0.521739130434782</v>
      </c>
      <c r="AI257" s="3" t="s">
        <v>5331</v>
      </c>
      <c r="AJ257" s="3" t="s">
        <v>5222</v>
      </c>
    </row>
    <row r="258" spans="1:36">
      <c r="A258" s="5">
        <v>43288</v>
      </c>
      <c r="B258" s="3" t="s">
        <v>1086</v>
      </c>
      <c r="C258" s="3" t="s">
        <v>1087</v>
      </c>
      <c r="D258" s="3" t="s">
        <v>1088</v>
      </c>
      <c r="E258" s="3" t="s">
        <v>1089</v>
      </c>
      <c r="F258" s="3" t="s">
        <v>120</v>
      </c>
      <c r="G258" s="3">
        <v>7</v>
      </c>
      <c r="H258" s="3">
        <v>0</v>
      </c>
      <c r="I258" s="3">
        <v>7</v>
      </c>
      <c r="J258" s="3">
        <v>0</v>
      </c>
      <c r="K258" s="3">
        <v>0</v>
      </c>
      <c r="L258" s="3">
        <v>0</v>
      </c>
      <c r="M258" s="3">
        <v>0</v>
      </c>
      <c r="N258" s="3" t="s">
        <v>5218</v>
      </c>
      <c r="O258" s="3">
        <v>0</v>
      </c>
      <c r="P258" s="3">
        <v>0</v>
      </c>
      <c r="Q258" s="3">
        <v>0</v>
      </c>
      <c r="R258" s="3">
        <v>0</v>
      </c>
      <c r="S258" s="3">
        <v>3</v>
      </c>
      <c r="T258" s="3">
        <v>3</v>
      </c>
      <c r="U258" s="3">
        <v>3</v>
      </c>
      <c r="V258" s="3">
        <v>3</v>
      </c>
      <c r="W258" s="3"/>
      <c r="X258" s="3">
        <v>22.98</v>
      </c>
      <c r="Y258" s="3">
        <v>22.98</v>
      </c>
      <c r="Z258" s="3">
        <v>22.98</v>
      </c>
      <c r="AA258" s="3">
        <v>0</v>
      </c>
      <c r="AB258" s="3" t="s">
        <v>5223</v>
      </c>
      <c r="AC258" s="3">
        <v>9</v>
      </c>
      <c r="AD258" s="3">
        <v>22.98</v>
      </c>
      <c r="AE258" s="3">
        <v>0</v>
      </c>
      <c r="AF258" s="3">
        <v>0</v>
      </c>
      <c r="AG258" s="3">
        <v>0</v>
      </c>
      <c r="AH258" s="3">
        <v>1.375</v>
      </c>
      <c r="AI258" s="3" t="s">
        <v>5238</v>
      </c>
      <c r="AJ258" s="3" t="s">
        <v>5222</v>
      </c>
    </row>
    <row r="259" spans="1:36">
      <c r="A259" s="5">
        <v>43288</v>
      </c>
      <c r="B259" s="3" t="s">
        <v>2746</v>
      </c>
      <c r="C259" s="3" t="s">
        <v>2747</v>
      </c>
      <c r="D259" s="3" t="s">
        <v>2748</v>
      </c>
      <c r="E259" s="3" t="s">
        <v>1725</v>
      </c>
      <c r="F259" s="3" t="s">
        <v>120</v>
      </c>
      <c r="G259" s="3">
        <v>1</v>
      </c>
      <c r="H259" s="3">
        <v>0</v>
      </c>
      <c r="I259" s="3">
        <v>1</v>
      </c>
      <c r="J259" s="3">
        <v>0</v>
      </c>
      <c r="K259" s="3">
        <v>0</v>
      </c>
      <c r="L259" s="3">
        <v>0</v>
      </c>
      <c r="M259" s="3">
        <v>0</v>
      </c>
      <c r="N259" s="3" t="s">
        <v>5218</v>
      </c>
      <c r="O259" s="3">
        <v>0</v>
      </c>
      <c r="P259" s="3">
        <v>0</v>
      </c>
      <c r="Q259" s="3">
        <v>0</v>
      </c>
      <c r="R259" s="3">
        <v>0</v>
      </c>
      <c r="S259" s="3">
        <v>1</v>
      </c>
      <c r="T259" s="3">
        <v>19</v>
      </c>
      <c r="U259" s="3">
        <v>19</v>
      </c>
      <c r="V259" s="3">
        <v>19</v>
      </c>
      <c r="W259" s="3"/>
      <c r="X259" s="3">
        <v>24.98</v>
      </c>
      <c r="Y259" s="3">
        <v>23.98</v>
      </c>
      <c r="Z259" s="3">
        <v>23.98</v>
      </c>
      <c r="AA259" s="3">
        <v>0</v>
      </c>
      <c r="AB259" s="3" t="s">
        <v>5223</v>
      </c>
      <c r="AC259" s="3">
        <v>0</v>
      </c>
      <c r="AD259" s="3">
        <v>0</v>
      </c>
      <c r="AE259" s="3">
        <v>0</v>
      </c>
      <c r="AF259" s="3">
        <v>0</v>
      </c>
      <c r="AG259" s="3">
        <v>0</v>
      </c>
      <c r="AH259" s="3">
        <v>19</v>
      </c>
      <c r="AI259" s="3" t="s">
        <v>5236</v>
      </c>
      <c r="AJ259" s="3" t="s">
        <v>5222</v>
      </c>
    </row>
    <row r="260" spans="1:36">
      <c r="A260" s="5">
        <v>43288</v>
      </c>
      <c r="B260" s="3" t="s">
        <v>405</v>
      </c>
      <c r="C260" s="3" t="s">
        <v>406</v>
      </c>
      <c r="D260" s="3" t="s">
        <v>407</v>
      </c>
      <c r="E260" s="3" t="s">
        <v>408</v>
      </c>
      <c r="F260" s="3" t="s">
        <v>120</v>
      </c>
      <c r="G260" s="3">
        <v>40</v>
      </c>
      <c r="H260" s="3">
        <v>0</v>
      </c>
      <c r="I260" s="3">
        <v>40</v>
      </c>
      <c r="J260" s="3">
        <v>0</v>
      </c>
      <c r="K260" s="3">
        <v>0</v>
      </c>
      <c r="L260" s="3">
        <v>0</v>
      </c>
      <c r="M260" s="3">
        <v>0</v>
      </c>
      <c r="N260" s="3" t="s">
        <v>5218</v>
      </c>
      <c r="O260" s="3">
        <v>0</v>
      </c>
      <c r="P260" s="3">
        <v>0</v>
      </c>
      <c r="Q260" s="3">
        <v>0</v>
      </c>
      <c r="R260" s="3">
        <v>0</v>
      </c>
      <c r="S260" s="3">
        <v>0</v>
      </c>
      <c r="T260" s="3">
        <v>0</v>
      </c>
      <c r="U260" s="3">
        <v>0</v>
      </c>
      <c r="V260" s="3">
        <v>0</v>
      </c>
      <c r="W260" s="3" t="s">
        <v>5227</v>
      </c>
      <c r="X260" s="3">
        <v>22.98</v>
      </c>
      <c r="Y260" s="3">
        <v>22.98</v>
      </c>
      <c r="Z260" s="3">
        <v>22.98</v>
      </c>
      <c r="AA260" s="3">
        <v>0</v>
      </c>
      <c r="AB260" s="3" t="s">
        <v>5223</v>
      </c>
      <c r="AC260" s="3">
        <v>40</v>
      </c>
      <c r="AD260" s="3">
        <v>22.98</v>
      </c>
      <c r="AE260" s="3">
        <v>0</v>
      </c>
      <c r="AF260" s="3">
        <v>0</v>
      </c>
      <c r="AG260" s="3">
        <v>0</v>
      </c>
      <c r="AH260" s="3">
        <v>29.1428571428571</v>
      </c>
      <c r="AI260" s="3" t="s">
        <v>5257</v>
      </c>
      <c r="AJ260" s="3" t="s">
        <v>5222</v>
      </c>
    </row>
    <row r="261" spans="1:36">
      <c r="A261" s="5">
        <v>43288</v>
      </c>
      <c r="B261" s="3" t="s">
        <v>1696</v>
      </c>
      <c r="C261" s="3" t="s">
        <v>1697</v>
      </c>
      <c r="D261" s="3" t="s">
        <v>1697</v>
      </c>
      <c r="E261" s="3" t="s">
        <v>1698</v>
      </c>
      <c r="F261" s="3" t="s">
        <v>120</v>
      </c>
      <c r="G261" s="3">
        <v>11</v>
      </c>
      <c r="H261" s="3">
        <v>0</v>
      </c>
      <c r="I261" s="3">
        <v>1</v>
      </c>
      <c r="J261" s="3">
        <v>1</v>
      </c>
      <c r="K261" s="3">
        <v>6</v>
      </c>
      <c r="L261" s="3">
        <v>3</v>
      </c>
      <c r="M261" s="3">
        <v>0</v>
      </c>
      <c r="N261" s="3" t="s">
        <v>5218</v>
      </c>
      <c r="O261" s="3">
        <v>10</v>
      </c>
      <c r="P261" s="3">
        <v>13</v>
      </c>
      <c r="Q261" s="3">
        <v>0</v>
      </c>
      <c r="R261" s="3">
        <v>0</v>
      </c>
      <c r="S261" s="3">
        <v>0</v>
      </c>
      <c r="T261" s="3">
        <v>1</v>
      </c>
      <c r="U261" s="3">
        <v>3</v>
      </c>
      <c r="V261" s="3">
        <v>4</v>
      </c>
      <c r="W261" s="3" t="s">
        <v>5219</v>
      </c>
      <c r="X261" s="3">
        <v>19.98</v>
      </c>
      <c r="Y261" s="3">
        <v>17.98</v>
      </c>
      <c r="Z261" s="3">
        <v>17.98</v>
      </c>
      <c r="AA261" s="3">
        <v>0</v>
      </c>
      <c r="AB261" s="3" t="s">
        <v>5228</v>
      </c>
      <c r="AC261" s="3">
        <v>0</v>
      </c>
      <c r="AD261" s="3">
        <v>14.38</v>
      </c>
      <c r="AE261" s="3">
        <v>364</v>
      </c>
      <c r="AF261" s="3">
        <v>0</v>
      </c>
      <c r="AG261" s="3">
        <v>147.418902</v>
      </c>
      <c r="AH261" s="3">
        <v>0.144144144144144</v>
      </c>
      <c r="AI261" s="3" t="s">
        <v>5332</v>
      </c>
      <c r="AJ261" s="3" t="s">
        <v>5222</v>
      </c>
    </row>
    <row r="262" spans="1:36">
      <c r="A262" s="5">
        <v>43288</v>
      </c>
      <c r="B262" s="3" t="s">
        <v>4510</v>
      </c>
      <c r="C262" s="3" t="s">
        <v>3767</v>
      </c>
      <c r="D262" s="3" t="s">
        <v>3767</v>
      </c>
      <c r="E262" s="3" t="s">
        <v>3768</v>
      </c>
      <c r="F262" s="3" t="s">
        <v>120</v>
      </c>
      <c r="G262" s="3">
        <v>7</v>
      </c>
      <c r="H262" s="3">
        <v>0</v>
      </c>
      <c r="I262" s="3">
        <v>1</v>
      </c>
      <c r="J262" s="3">
        <v>0</v>
      </c>
      <c r="K262" s="3">
        <v>6</v>
      </c>
      <c r="L262" s="3">
        <v>0</v>
      </c>
      <c r="M262" s="3">
        <v>0</v>
      </c>
      <c r="N262" s="3" t="s">
        <v>5218</v>
      </c>
      <c r="O262" s="3">
        <v>6</v>
      </c>
      <c r="P262" s="3">
        <v>5.96</v>
      </c>
      <c r="Q262" s="3">
        <v>0</v>
      </c>
      <c r="R262" s="3">
        <v>0</v>
      </c>
      <c r="S262" s="3">
        <v>0</v>
      </c>
      <c r="T262" s="3">
        <v>0</v>
      </c>
      <c r="U262" s="3">
        <v>0</v>
      </c>
      <c r="V262" s="3">
        <v>1</v>
      </c>
      <c r="W262" s="3" t="s">
        <v>5227</v>
      </c>
      <c r="X262" s="3">
        <v>24.98</v>
      </c>
      <c r="Y262" s="3">
        <v>24.98</v>
      </c>
      <c r="Z262" s="3">
        <v>24.98</v>
      </c>
      <c r="AA262" s="3">
        <v>0</v>
      </c>
      <c r="AB262" s="3" t="s">
        <v>5228</v>
      </c>
      <c r="AC262" s="3">
        <v>1</v>
      </c>
      <c r="AD262" s="3">
        <v>22.68</v>
      </c>
      <c r="AE262" s="3">
        <v>133</v>
      </c>
      <c r="AF262" s="3">
        <v>0</v>
      </c>
      <c r="AG262" s="3">
        <v>152.487466</v>
      </c>
      <c r="AH262" s="3">
        <v>0.142857142857142</v>
      </c>
      <c r="AI262" s="3" t="s">
        <v>5263</v>
      </c>
      <c r="AJ262" s="3" t="s">
        <v>5222</v>
      </c>
    </row>
    <row r="263" spans="1:36">
      <c r="A263" s="5">
        <v>43288</v>
      </c>
      <c r="B263" s="3" t="s">
        <v>4912</v>
      </c>
      <c r="C263" s="3" t="s">
        <v>4913</v>
      </c>
      <c r="D263" s="3" t="s">
        <v>4788</v>
      </c>
      <c r="E263" s="3" t="s">
        <v>4914</v>
      </c>
      <c r="F263" s="3" t="s">
        <v>120</v>
      </c>
      <c r="G263" s="3">
        <v>5</v>
      </c>
      <c r="H263" s="3">
        <v>0</v>
      </c>
      <c r="I263" s="3">
        <v>5</v>
      </c>
      <c r="J263" s="3">
        <v>0</v>
      </c>
      <c r="K263" s="3">
        <v>0</v>
      </c>
      <c r="L263" s="3">
        <v>0</v>
      </c>
      <c r="M263" s="3">
        <v>0</v>
      </c>
      <c r="N263" s="3" t="s">
        <v>5218</v>
      </c>
      <c r="O263" s="3">
        <v>0</v>
      </c>
      <c r="P263" s="3">
        <v>0</v>
      </c>
      <c r="Q263" s="3">
        <v>0</v>
      </c>
      <c r="R263" s="3">
        <v>0</v>
      </c>
      <c r="S263" s="3">
        <v>0</v>
      </c>
      <c r="T263" s="3">
        <v>0</v>
      </c>
      <c r="U263" s="3">
        <v>0</v>
      </c>
      <c r="V263" s="3">
        <v>0</v>
      </c>
      <c r="W263" s="3" t="s">
        <v>5227</v>
      </c>
      <c r="X263" s="3">
        <v>22.98</v>
      </c>
      <c r="Y263" s="3">
        <v>22.98</v>
      </c>
      <c r="Z263" s="3">
        <v>22.98</v>
      </c>
      <c r="AA263" s="3">
        <v>0</v>
      </c>
      <c r="AB263" s="3" t="s">
        <v>5223</v>
      </c>
      <c r="AC263" s="3">
        <v>0</v>
      </c>
      <c r="AD263" s="3">
        <v>0</v>
      </c>
      <c r="AE263" s="3">
        <v>0</v>
      </c>
      <c r="AF263" s="3">
        <v>0</v>
      </c>
      <c r="AG263" s="3">
        <v>0</v>
      </c>
      <c r="AH263" s="3">
        <v>0.842105263157894</v>
      </c>
      <c r="AI263" s="3" t="s">
        <v>5261</v>
      </c>
      <c r="AJ263" s="3" t="s">
        <v>5222</v>
      </c>
    </row>
    <row r="264" spans="1:36">
      <c r="A264" s="5">
        <v>43288</v>
      </c>
      <c r="B264" s="3" t="s">
        <v>4189</v>
      </c>
      <c r="C264" s="3" t="s">
        <v>4190</v>
      </c>
      <c r="D264" s="3" t="s">
        <v>4190</v>
      </c>
      <c r="E264" s="3" t="s">
        <v>4191</v>
      </c>
      <c r="F264" s="3" t="s">
        <v>120</v>
      </c>
      <c r="G264" s="3">
        <v>2</v>
      </c>
      <c r="H264" s="3">
        <v>0</v>
      </c>
      <c r="I264" s="3">
        <v>2</v>
      </c>
      <c r="J264" s="3">
        <v>0</v>
      </c>
      <c r="K264" s="3">
        <v>0</v>
      </c>
      <c r="L264" s="3">
        <v>0</v>
      </c>
      <c r="M264" s="3">
        <v>0</v>
      </c>
      <c r="N264" s="3" t="s">
        <v>5218</v>
      </c>
      <c r="O264" s="3">
        <v>0</v>
      </c>
      <c r="P264" s="3">
        <v>0</v>
      </c>
      <c r="Q264" s="3">
        <v>0</v>
      </c>
      <c r="R264" s="3">
        <v>0</v>
      </c>
      <c r="S264" s="3">
        <v>2</v>
      </c>
      <c r="T264" s="3">
        <v>12</v>
      </c>
      <c r="U264" s="3">
        <v>21</v>
      </c>
      <c r="V264" s="3">
        <v>27</v>
      </c>
      <c r="W264" s="3"/>
      <c r="X264" s="3">
        <v>22.98</v>
      </c>
      <c r="Y264" s="3">
        <v>22.98</v>
      </c>
      <c r="Z264" s="3">
        <v>22.98</v>
      </c>
      <c r="AA264" s="3">
        <v>0</v>
      </c>
      <c r="AB264" s="3" t="s">
        <v>5223</v>
      </c>
      <c r="AC264" s="3">
        <v>3</v>
      </c>
      <c r="AD264" s="3">
        <v>22.98</v>
      </c>
      <c r="AE264" s="3">
        <v>0</v>
      </c>
      <c r="AF264" s="3">
        <v>0</v>
      </c>
      <c r="AG264" s="3">
        <v>0</v>
      </c>
      <c r="AH264" s="3">
        <v>3.48387096774193</v>
      </c>
      <c r="AI264" s="3" t="s">
        <v>5226</v>
      </c>
      <c r="AJ264" s="3" t="s">
        <v>5222</v>
      </c>
    </row>
    <row r="265" spans="1:36">
      <c r="A265" s="5">
        <v>43288</v>
      </c>
      <c r="B265" s="3" t="s">
        <v>3206</v>
      </c>
      <c r="C265" s="3" t="s">
        <v>3207</v>
      </c>
      <c r="D265" s="3" t="s">
        <v>3208</v>
      </c>
      <c r="E265" s="3" t="s">
        <v>3209</v>
      </c>
      <c r="F265" s="3" t="s">
        <v>120</v>
      </c>
      <c r="G265" s="3">
        <v>18</v>
      </c>
      <c r="H265" s="3">
        <v>0</v>
      </c>
      <c r="I265" s="3">
        <v>18</v>
      </c>
      <c r="J265" s="3">
        <v>0</v>
      </c>
      <c r="K265" s="3">
        <v>0</v>
      </c>
      <c r="L265" s="3">
        <v>0</v>
      </c>
      <c r="M265" s="3">
        <v>0</v>
      </c>
      <c r="N265" s="3" t="s">
        <v>5218</v>
      </c>
      <c r="O265" s="3">
        <v>0</v>
      </c>
      <c r="P265" s="3">
        <v>0</v>
      </c>
      <c r="Q265" s="3">
        <v>0</v>
      </c>
      <c r="R265" s="3">
        <v>0</v>
      </c>
      <c r="S265" s="3">
        <v>0</v>
      </c>
      <c r="T265" s="3">
        <v>10</v>
      </c>
      <c r="U265" s="3">
        <v>10</v>
      </c>
      <c r="V265" s="3">
        <v>10</v>
      </c>
      <c r="W265" s="3"/>
      <c r="X265" s="3">
        <v>23.98</v>
      </c>
      <c r="Y265" s="3">
        <v>23.98</v>
      </c>
      <c r="Z265" s="3">
        <v>23.98</v>
      </c>
      <c r="AA265" s="3">
        <v>0</v>
      </c>
      <c r="AB265" s="3" t="s">
        <v>5223</v>
      </c>
      <c r="AC265" s="3">
        <v>0</v>
      </c>
      <c r="AD265" s="3">
        <v>0</v>
      </c>
      <c r="AE265" s="3">
        <v>0</v>
      </c>
      <c r="AF265" s="3">
        <v>0</v>
      </c>
      <c r="AG265" s="3">
        <v>0</v>
      </c>
      <c r="AH265" s="3">
        <v>1.11111111111111</v>
      </c>
      <c r="AI265" s="3" t="s">
        <v>5241</v>
      </c>
      <c r="AJ265" s="3" t="s">
        <v>5222</v>
      </c>
    </row>
    <row r="266" spans="1:36">
      <c r="A266" s="5">
        <v>43288</v>
      </c>
      <c r="B266" s="3" t="s">
        <v>4491</v>
      </c>
      <c r="C266" s="3" t="s">
        <v>3691</v>
      </c>
      <c r="D266" s="3" t="s">
        <v>3691</v>
      </c>
      <c r="E266" s="3" t="s">
        <v>3692</v>
      </c>
      <c r="F266" s="3" t="s">
        <v>120</v>
      </c>
      <c r="G266" s="3">
        <v>1</v>
      </c>
      <c r="H266" s="3">
        <v>0</v>
      </c>
      <c r="I266" s="3">
        <v>0</v>
      </c>
      <c r="J266" s="3">
        <v>1</v>
      </c>
      <c r="K266" s="3">
        <v>0</v>
      </c>
      <c r="L266" s="3">
        <v>0</v>
      </c>
      <c r="M266" s="3">
        <v>0</v>
      </c>
      <c r="N266" s="3" t="s">
        <v>5218</v>
      </c>
      <c r="O266" s="3">
        <v>0</v>
      </c>
      <c r="P266" s="3">
        <v>0</v>
      </c>
      <c r="Q266" s="3">
        <v>0</v>
      </c>
      <c r="R266" s="3">
        <v>0</v>
      </c>
      <c r="S266" s="3">
        <v>0</v>
      </c>
      <c r="T266" s="3">
        <v>0</v>
      </c>
      <c r="U266" s="3">
        <v>0</v>
      </c>
      <c r="V266" s="3">
        <v>1</v>
      </c>
      <c r="W266" s="3" t="s">
        <v>5219</v>
      </c>
      <c r="X266" s="3">
        <v>22.98</v>
      </c>
      <c r="Y266" s="3">
        <v>22.98</v>
      </c>
      <c r="Z266" s="3">
        <v>22.98</v>
      </c>
      <c r="AA266" s="3">
        <v>0</v>
      </c>
      <c r="AB266" s="3" t="s">
        <v>5220</v>
      </c>
      <c r="AC266" s="3">
        <v>0</v>
      </c>
      <c r="AD266" s="3">
        <v>21.65</v>
      </c>
      <c r="AE266" s="3">
        <v>28</v>
      </c>
      <c r="AF266" s="3">
        <v>0</v>
      </c>
      <c r="AG266" s="3">
        <v>19.72414</v>
      </c>
      <c r="AH266" s="3">
        <v>0.8</v>
      </c>
      <c r="AI266" s="3" t="s">
        <v>5285</v>
      </c>
      <c r="AJ266" s="3" t="s">
        <v>5222</v>
      </c>
    </row>
    <row r="267" spans="1:36">
      <c r="A267" s="5">
        <v>43288</v>
      </c>
      <c r="B267" s="3" t="s">
        <v>2938</v>
      </c>
      <c r="C267" s="3" t="s">
        <v>1364</v>
      </c>
      <c r="D267" s="3" t="s">
        <v>1364</v>
      </c>
      <c r="E267" s="3" t="s">
        <v>1365</v>
      </c>
      <c r="F267" s="3" t="s">
        <v>120</v>
      </c>
      <c r="G267" s="3">
        <v>38</v>
      </c>
      <c r="H267" s="3">
        <v>0</v>
      </c>
      <c r="I267" s="3">
        <v>38</v>
      </c>
      <c r="J267" s="3">
        <v>0</v>
      </c>
      <c r="K267" s="3">
        <v>0</v>
      </c>
      <c r="L267" s="3">
        <v>0</v>
      </c>
      <c r="M267" s="3">
        <v>0</v>
      </c>
      <c r="N267" s="3" t="s">
        <v>5218</v>
      </c>
      <c r="O267" s="3">
        <v>0</v>
      </c>
      <c r="P267" s="3">
        <v>0</v>
      </c>
      <c r="Q267" s="3">
        <v>0</v>
      </c>
      <c r="R267" s="3">
        <v>0</v>
      </c>
      <c r="S267" s="3">
        <v>9</v>
      </c>
      <c r="T267" s="3">
        <v>27</v>
      </c>
      <c r="U267" s="3">
        <v>55</v>
      </c>
      <c r="V267" s="3">
        <v>64</v>
      </c>
      <c r="W267" s="3"/>
      <c r="X267" s="3">
        <v>22.98</v>
      </c>
      <c r="Y267" s="3">
        <v>22.98</v>
      </c>
      <c r="Z267" s="3">
        <v>22.98</v>
      </c>
      <c r="AA267" s="3">
        <v>0</v>
      </c>
      <c r="AB267" s="3" t="s">
        <v>5223</v>
      </c>
      <c r="AC267" s="3">
        <v>43</v>
      </c>
      <c r="AD267" s="3">
        <v>22.98</v>
      </c>
      <c r="AE267" s="3">
        <v>0</v>
      </c>
      <c r="AF267" s="3">
        <v>0</v>
      </c>
      <c r="AG267" s="3">
        <v>0</v>
      </c>
      <c r="AH267" s="3">
        <v>2.348623853211</v>
      </c>
      <c r="AI267" s="3" t="s">
        <v>5306</v>
      </c>
      <c r="AJ267" s="3" t="s">
        <v>5222</v>
      </c>
    </row>
    <row r="268" spans="1:36">
      <c r="A268" s="5">
        <v>43288</v>
      </c>
      <c r="B268" s="3" t="s">
        <v>4119</v>
      </c>
      <c r="C268" s="3" t="s">
        <v>4120</v>
      </c>
      <c r="D268" s="3" t="s">
        <v>4120</v>
      </c>
      <c r="E268" s="3" t="s">
        <v>4121</v>
      </c>
      <c r="F268" s="3" t="s">
        <v>120</v>
      </c>
      <c r="G268" s="3">
        <v>3</v>
      </c>
      <c r="H268" s="3">
        <v>0</v>
      </c>
      <c r="I268" s="3">
        <v>3</v>
      </c>
      <c r="J268" s="3">
        <v>0</v>
      </c>
      <c r="K268" s="3">
        <v>0</v>
      </c>
      <c r="L268" s="3">
        <v>0</v>
      </c>
      <c r="M268" s="3">
        <v>0</v>
      </c>
      <c r="N268" s="3" t="s">
        <v>5218</v>
      </c>
      <c r="O268" s="3">
        <v>0</v>
      </c>
      <c r="P268" s="3">
        <v>0</v>
      </c>
      <c r="Q268" s="3">
        <v>0</v>
      </c>
      <c r="R268" s="3">
        <v>0</v>
      </c>
      <c r="S268" s="3">
        <v>0</v>
      </c>
      <c r="T268" s="3">
        <v>0</v>
      </c>
      <c r="U268" s="3">
        <v>4</v>
      </c>
      <c r="V268" s="3">
        <v>4</v>
      </c>
      <c r="W268" s="3" t="s">
        <v>5227</v>
      </c>
      <c r="X268" s="3">
        <v>22.98</v>
      </c>
      <c r="Y268" s="3">
        <v>22.98</v>
      </c>
      <c r="Z268" s="3">
        <v>22.98</v>
      </c>
      <c r="AA268" s="3">
        <v>0</v>
      </c>
      <c r="AB268" s="3" t="s">
        <v>5228</v>
      </c>
      <c r="AC268" s="3">
        <v>0</v>
      </c>
      <c r="AD268" s="3">
        <v>20.75</v>
      </c>
      <c r="AE268" s="3">
        <v>217</v>
      </c>
      <c r="AF268" s="3">
        <v>0</v>
      </c>
      <c r="AG268" s="3">
        <v>48.9708</v>
      </c>
      <c r="AH268" s="3">
        <v>1.23076923076923</v>
      </c>
      <c r="AI268" s="3" t="s">
        <v>5226</v>
      </c>
      <c r="AJ268" s="3" t="s">
        <v>5222</v>
      </c>
    </row>
    <row r="269" spans="1:36">
      <c r="A269" s="5">
        <v>43288</v>
      </c>
      <c r="B269" s="3" t="s">
        <v>4983</v>
      </c>
      <c r="C269" s="3" t="s">
        <v>4984</v>
      </c>
      <c r="D269" s="3" t="s">
        <v>4984</v>
      </c>
      <c r="E269" s="3" t="s">
        <v>4985</v>
      </c>
      <c r="F269" s="3" t="s">
        <v>120</v>
      </c>
      <c r="G269" s="3">
        <v>2</v>
      </c>
      <c r="H269" s="3">
        <v>0</v>
      </c>
      <c r="I269" s="3">
        <v>0</v>
      </c>
      <c r="J269" s="3">
        <v>0</v>
      </c>
      <c r="K269" s="3">
        <v>2</v>
      </c>
      <c r="L269" s="3">
        <v>0</v>
      </c>
      <c r="M269" s="3">
        <v>0</v>
      </c>
      <c r="N269" s="3" t="s">
        <v>5218</v>
      </c>
      <c r="O269" s="3">
        <v>2</v>
      </c>
      <c r="P269" s="3">
        <v>1.24</v>
      </c>
      <c r="Q269" s="3">
        <v>0</v>
      </c>
      <c r="R269" s="3">
        <v>0</v>
      </c>
      <c r="S269" s="3">
        <v>0</v>
      </c>
      <c r="T269" s="3">
        <v>1</v>
      </c>
      <c r="U269" s="3">
        <v>1</v>
      </c>
      <c r="V269" s="3">
        <v>1</v>
      </c>
      <c r="W269" s="3" t="s">
        <v>5219</v>
      </c>
      <c r="X269" s="3">
        <v>25</v>
      </c>
      <c r="Y269" s="3">
        <v>25</v>
      </c>
      <c r="Z269" s="3">
        <v>25</v>
      </c>
      <c r="AA269" s="3">
        <v>0</v>
      </c>
      <c r="AB269" s="3" t="s">
        <v>5223</v>
      </c>
      <c r="AC269" s="3">
        <v>2</v>
      </c>
      <c r="AD269" s="3">
        <v>25</v>
      </c>
      <c r="AE269" s="3">
        <v>0</v>
      </c>
      <c r="AF269" s="3">
        <v>0</v>
      </c>
      <c r="AG269" s="3">
        <v>0</v>
      </c>
      <c r="AH269" s="3">
        <v>0.363636363636363</v>
      </c>
      <c r="AI269" s="3" t="s">
        <v>5267</v>
      </c>
      <c r="AJ269" s="3" t="s">
        <v>5242</v>
      </c>
    </row>
    <row r="270" spans="1:36">
      <c r="A270" s="5">
        <v>43288</v>
      </c>
      <c r="B270" s="3" t="s">
        <v>2066</v>
      </c>
      <c r="C270" s="3" t="s">
        <v>2067</v>
      </c>
      <c r="D270" s="3" t="s">
        <v>2067</v>
      </c>
      <c r="E270" s="3" t="s">
        <v>2068</v>
      </c>
      <c r="F270" s="3" t="s">
        <v>120</v>
      </c>
      <c r="G270" s="3">
        <v>28</v>
      </c>
      <c r="H270" s="3">
        <v>0</v>
      </c>
      <c r="I270" s="3">
        <v>1</v>
      </c>
      <c r="J270" s="3">
        <v>1</v>
      </c>
      <c r="K270" s="3">
        <v>26</v>
      </c>
      <c r="L270" s="3">
        <v>0</v>
      </c>
      <c r="M270" s="3">
        <v>0</v>
      </c>
      <c r="N270" s="3" t="s">
        <v>5218</v>
      </c>
      <c r="O270" s="3">
        <v>26</v>
      </c>
      <c r="P270" s="3">
        <v>30.64</v>
      </c>
      <c r="Q270" s="3">
        <v>0</v>
      </c>
      <c r="R270" s="3">
        <v>0</v>
      </c>
      <c r="S270" s="3">
        <v>2</v>
      </c>
      <c r="T270" s="3">
        <v>3</v>
      </c>
      <c r="U270" s="3">
        <v>11</v>
      </c>
      <c r="V270" s="3">
        <v>22</v>
      </c>
      <c r="W270" s="3"/>
      <c r="X270" s="3">
        <v>23.98</v>
      </c>
      <c r="Y270" s="3">
        <v>23.98</v>
      </c>
      <c r="Z270" s="3">
        <v>23.98</v>
      </c>
      <c r="AA270" s="3">
        <v>0</v>
      </c>
      <c r="AB270" s="3" t="s">
        <v>5223</v>
      </c>
      <c r="AC270" s="3">
        <v>28</v>
      </c>
      <c r="AD270" s="3">
        <v>23.98</v>
      </c>
      <c r="AE270" s="3">
        <v>0</v>
      </c>
      <c r="AF270" s="3">
        <v>0</v>
      </c>
      <c r="AG270" s="3">
        <v>0</v>
      </c>
      <c r="AH270" s="3">
        <v>0.602739726027397</v>
      </c>
      <c r="AI270" s="3" t="s">
        <v>5333</v>
      </c>
      <c r="AJ270" s="3" t="s">
        <v>5222</v>
      </c>
    </row>
    <row r="271" spans="1:36">
      <c r="A271" s="5">
        <v>43288</v>
      </c>
      <c r="B271" s="3" t="s">
        <v>1268</v>
      </c>
      <c r="C271" s="3" t="s">
        <v>1269</v>
      </c>
      <c r="D271" s="3" t="s">
        <v>556</v>
      </c>
      <c r="E271" s="3" t="s">
        <v>802</v>
      </c>
      <c r="F271" s="3" t="s">
        <v>120</v>
      </c>
      <c r="G271" s="3">
        <v>30</v>
      </c>
      <c r="H271" s="3">
        <v>0</v>
      </c>
      <c r="I271" s="3">
        <v>30</v>
      </c>
      <c r="J271" s="3">
        <v>0</v>
      </c>
      <c r="K271" s="3">
        <v>0</v>
      </c>
      <c r="L271" s="3">
        <v>0</v>
      </c>
      <c r="M271" s="3">
        <v>0</v>
      </c>
      <c r="N271" s="3" t="s">
        <v>5218</v>
      </c>
      <c r="O271" s="3">
        <v>0</v>
      </c>
      <c r="P271" s="3">
        <v>0</v>
      </c>
      <c r="Q271" s="3">
        <v>0</v>
      </c>
      <c r="R271" s="3">
        <v>0</v>
      </c>
      <c r="S271" s="3">
        <v>2</v>
      </c>
      <c r="T271" s="3">
        <v>3</v>
      </c>
      <c r="U271" s="3">
        <v>3</v>
      </c>
      <c r="V271" s="3">
        <v>3</v>
      </c>
      <c r="W271" s="3"/>
      <c r="X271" s="3">
        <v>22.98</v>
      </c>
      <c r="Y271" s="3">
        <v>22.98</v>
      </c>
      <c r="Z271" s="3">
        <v>22.98</v>
      </c>
      <c r="AA271" s="3">
        <v>0</v>
      </c>
      <c r="AB271" s="3" t="s">
        <v>5223</v>
      </c>
      <c r="AC271" s="3">
        <v>31</v>
      </c>
      <c r="AD271" s="3">
        <v>22.98</v>
      </c>
      <c r="AE271" s="3">
        <v>0</v>
      </c>
      <c r="AF271" s="3">
        <v>0</v>
      </c>
      <c r="AG271" s="3">
        <v>0</v>
      </c>
      <c r="AH271" s="3">
        <v>0.46551724137931</v>
      </c>
      <c r="AI271" s="3" t="s">
        <v>5225</v>
      </c>
      <c r="AJ271" s="3" t="s">
        <v>5222</v>
      </c>
    </row>
    <row r="272" spans="1:36">
      <c r="A272" s="5">
        <v>43288</v>
      </c>
      <c r="B272" s="3" t="s">
        <v>2204</v>
      </c>
      <c r="C272" s="3" t="s">
        <v>2205</v>
      </c>
      <c r="D272" s="3" t="s">
        <v>2205</v>
      </c>
      <c r="E272" s="3" t="s">
        <v>2206</v>
      </c>
      <c r="F272" s="3" t="s">
        <v>120</v>
      </c>
      <c r="G272" s="3">
        <v>11</v>
      </c>
      <c r="H272" s="3">
        <v>0</v>
      </c>
      <c r="I272" s="3">
        <v>11</v>
      </c>
      <c r="J272" s="3">
        <v>0</v>
      </c>
      <c r="K272" s="3">
        <v>0</v>
      </c>
      <c r="L272" s="3">
        <v>0</v>
      </c>
      <c r="M272" s="3">
        <v>0</v>
      </c>
      <c r="N272" s="3" t="s">
        <v>5218</v>
      </c>
      <c r="O272" s="3">
        <v>0</v>
      </c>
      <c r="P272" s="3">
        <v>0</v>
      </c>
      <c r="Q272" s="3">
        <v>0</v>
      </c>
      <c r="R272" s="3">
        <v>0</v>
      </c>
      <c r="S272" s="3">
        <v>1</v>
      </c>
      <c r="T272" s="3">
        <v>3</v>
      </c>
      <c r="U272" s="3">
        <v>6</v>
      </c>
      <c r="V272" s="3">
        <v>9</v>
      </c>
      <c r="W272" s="3"/>
      <c r="X272" s="3">
        <v>22.98</v>
      </c>
      <c r="Y272" s="3">
        <v>22.98</v>
      </c>
      <c r="Z272" s="3">
        <v>22</v>
      </c>
      <c r="AA272" s="3">
        <v>0</v>
      </c>
      <c r="AB272" s="3" t="s">
        <v>5223</v>
      </c>
      <c r="AC272" s="3">
        <v>12</v>
      </c>
      <c r="AD272" s="3">
        <v>22.98</v>
      </c>
      <c r="AE272" s="3">
        <v>0</v>
      </c>
      <c r="AF272" s="3">
        <v>0</v>
      </c>
      <c r="AG272" s="3">
        <v>0</v>
      </c>
      <c r="AH272" s="3">
        <v>0.782608695652174</v>
      </c>
      <c r="AI272" s="3" t="s">
        <v>5260</v>
      </c>
      <c r="AJ272" s="3" t="s">
        <v>5222</v>
      </c>
    </row>
    <row r="273" spans="1:36">
      <c r="A273" s="5">
        <v>43288</v>
      </c>
      <c r="B273" s="3" t="s">
        <v>4859</v>
      </c>
      <c r="C273" s="3" t="s">
        <v>4860</v>
      </c>
      <c r="D273" s="3" t="s">
        <v>4860</v>
      </c>
      <c r="E273" s="3" t="s">
        <v>4861</v>
      </c>
      <c r="F273" s="3" t="s">
        <v>120</v>
      </c>
      <c r="G273" s="3">
        <v>6</v>
      </c>
      <c r="H273" s="3">
        <v>0</v>
      </c>
      <c r="I273" s="3">
        <v>0</v>
      </c>
      <c r="J273" s="3">
        <v>1</v>
      </c>
      <c r="K273" s="3">
        <v>5</v>
      </c>
      <c r="L273" s="3">
        <v>0</v>
      </c>
      <c r="M273" s="3">
        <v>0</v>
      </c>
      <c r="N273" s="3" t="s">
        <v>5218</v>
      </c>
      <c r="O273" s="3">
        <v>6</v>
      </c>
      <c r="P273" s="3">
        <v>24.56</v>
      </c>
      <c r="Q273" s="3">
        <v>0</v>
      </c>
      <c r="R273" s="3">
        <v>0</v>
      </c>
      <c r="S273" s="3">
        <v>0</v>
      </c>
      <c r="T273" s="3">
        <v>0</v>
      </c>
      <c r="U273" s="3">
        <v>0</v>
      </c>
      <c r="V273" s="3">
        <v>0</v>
      </c>
      <c r="W273" s="3" t="s">
        <v>5219</v>
      </c>
      <c r="X273" s="3">
        <v>21.98</v>
      </c>
      <c r="Y273" s="3">
        <v>21.98</v>
      </c>
      <c r="Z273" s="3">
        <v>21.98</v>
      </c>
      <c r="AA273" s="3">
        <v>0</v>
      </c>
      <c r="AB273" s="3" t="s">
        <v>5220</v>
      </c>
      <c r="AC273" s="3">
        <v>0</v>
      </c>
      <c r="AD273" s="3">
        <v>17.58</v>
      </c>
      <c r="AE273" s="3">
        <v>70</v>
      </c>
      <c r="AF273" s="3">
        <v>0</v>
      </c>
      <c r="AG273" s="3">
        <v>269.223451</v>
      </c>
      <c r="AH273" s="3">
        <v>0</v>
      </c>
      <c r="AI273" s="3" t="s">
        <v>5334</v>
      </c>
      <c r="AJ273" s="3" t="s">
        <v>5222</v>
      </c>
    </row>
    <row r="274" spans="1:36">
      <c r="A274" s="5">
        <v>43288</v>
      </c>
      <c r="B274" s="3" t="s">
        <v>343</v>
      </c>
      <c r="C274" s="3" t="s">
        <v>344</v>
      </c>
      <c r="D274" s="3" t="s">
        <v>344</v>
      </c>
      <c r="E274" s="3" t="s">
        <v>345</v>
      </c>
      <c r="F274" s="3" t="s">
        <v>120</v>
      </c>
      <c r="G274" s="3">
        <v>18</v>
      </c>
      <c r="H274" s="3">
        <v>0</v>
      </c>
      <c r="I274" s="3">
        <v>0</v>
      </c>
      <c r="J274" s="3">
        <v>18</v>
      </c>
      <c r="K274" s="3">
        <v>0</v>
      </c>
      <c r="L274" s="3">
        <v>0</v>
      </c>
      <c r="M274" s="3">
        <v>0</v>
      </c>
      <c r="N274" s="3" t="s">
        <v>5218</v>
      </c>
      <c r="O274" s="3">
        <v>18</v>
      </c>
      <c r="P274" s="3">
        <v>12.35</v>
      </c>
      <c r="Q274" s="3">
        <v>0</v>
      </c>
      <c r="R274" s="3">
        <v>0</v>
      </c>
      <c r="S274" s="3">
        <v>0</v>
      </c>
      <c r="T274" s="3">
        <v>0</v>
      </c>
      <c r="U274" s="3">
        <v>0</v>
      </c>
      <c r="V274" s="3">
        <v>1</v>
      </c>
      <c r="W274" s="3" t="s">
        <v>5227</v>
      </c>
      <c r="X274" s="3">
        <v>25.98</v>
      </c>
      <c r="Y274" s="3">
        <v>25.98</v>
      </c>
      <c r="Z274" s="3">
        <v>25.98</v>
      </c>
      <c r="AA274" s="3">
        <v>0</v>
      </c>
      <c r="AB274" s="3" t="s">
        <v>5228</v>
      </c>
      <c r="AC274" s="3">
        <v>0</v>
      </c>
      <c r="AD274" s="3">
        <v>22.26</v>
      </c>
      <c r="AE274" s="3">
        <v>364</v>
      </c>
      <c r="AF274" s="3">
        <v>0</v>
      </c>
      <c r="AG274" s="3">
        <v>302.873836</v>
      </c>
      <c r="AH274" s="3">
        <v>0.0547945205479452</v>
      </c>
      <c r="AI274" s="3" t="s">
        <v>5224</v>
      </c>
      <c r="AJ274" s="3" t="s">
        <v>5222</v>
      </c>
    </row>
    <row r="275" spans="1:36">
      <c r="A275" s="5">
        <v>43288</v>
      </c>
      <c r="B275" s="3" t="s">
        <v>5088</v>
      </c>
      <c r="C275" s="3" t="s">
        <v>4777</v>
      </c>
      <c r="D275" s="3" t="s">
        <v>4777</v>
      </c>
      <c r="E275" s="3" t="s">
        <v>4900</v>
      </c>
      <c r="F275" s="3" t="s">
        <v>120</v>
      </c>
      <c r="G275" s="3">
        <v>6</v>
      </c>
      <c r="H275" s="3">
        <v>0</v>
      </c>
      <c r="I275" s="3">
        <v>6</v>
      </c>
      <c r="J275" s="3">
        <v>0</v>
      </c>
      <c r="K275" s="3">
        <v>0</v>
      </c>
      <c r="L275" s="3">
        <v>0</v>
      </c>
      <c r="M275" s="3">
        <v>0</v>
      </c>
      <c r="N275" s="3" t="s">
        <v>5218</v>
      </c>
      <c r="O275" s="3">
        <v>0</v>
      </c>
      <c r="P275" s="3">
        <v>0</v>
      </c>
      <c r="Q275" s="3">
        <v>0</v>
      </c>
      <c r="R275" s="3">
        <v>0</v>
      </c>
      <c r="S275" s="3">
        <v>2</v>
      </c>
      <c r="T275" s="3">
        <v>4</v>
      </c>
      <c r="U275" s="3">
        <v>7</v>
      </c>
      <c r="V275" s="3">
        <v>11</v>
      </c>
      <c r="W275" s="3"/>
      <c r="X275" s="3">
        <v>22.98</v>
      </c>
      <c r="Y275" s="3">
        <v>22.98</v>
      </c>
      <c r="Z275" s="3">
        <v>22.98</v>
      </c>
      <c r="AA275" s="3">
        <v>0</v>
      </c>
      <c r="AB275" s="3" t="s">
        <v>5223</v>
      </c>
      <c r="AC275" s="3">
        <v>8</v>
      </c>
      <c r="AD275" s="3">
        <v>22.98</v>
      </c>
      <c r="AE275" s="3">
        <v>0</v>
      </c>
      <c r="AF275" s="3">
        <v>0</v>
      </c>
      <c r="AG275" s="3">
        <v>0</v>
      </c>
      <c r="AH275" s="3">
        <v>1.69230769230769</v>
      </c>
      <c r="AI275" s="3" t="s">
        <v>5261</v>
      </c>
      <c r="AJ275" s="3" t="s">
        <v>5222</v>
      </c>
    </row>
    <row r="276" spans="1:36">
      <c r="A276" s="5">
        <v>43288</v>
      </c>
      <c r="B276" s="3" t="s">
        <v>2319</v>
      </c>
      <c r="C276" s="3" t="s">
        <v>2320</v>
      </c>
      <c r="D276" s="3" t="s">
        <v>2320</v>
      </c>
      <c r="E276" s="3" t="s">
        <v>2321</v>
      </c>
      <c r="F276" s="3" t="s">
        <v>120</v>
      </c>
      <c r="G276" s="3">
        <v>37</v>
      </c>
      <c r="H276" s="3">
        <v>0</v>
      </c>
      <c r="I276" s="3">
        <v>37</v>
      </c>
      <c r="J276" s="3">
        <v>0</v>
      </c>
      <c r="K276" s="3">
        <v>0</v>
      </c>
      <c r="L276" s="3">
        <v>0</v>
      </c>
      <c r="M276" s="3">
        <v>0</v>
      </c>
      <c r="N276" s="3" t="s">
        <v>5218</v>
      </c>
      <c r="O276" s="3">
        <v>0</v>
      </c>
      <c r="P276" s="3">
        <v>0</v>
      </c>
      <c r="Q276" s="3">
        <v>0</v>
      </c>
      <c r="R276" s="3">
        <v>0</v>
      </c>
      <c r="S276" s="3">
        <v>0</v>
      </c>
      <c r="T276" s="3">
        <v>0</v>
      </c>
      <c r="U276" s="3">
        <v>3</v>
      </c>
      <c r="V276" s="3">
        <v>3</v>
      </c>
      <c r="W276" s="3" t="s">
        <v>5227</v>
      </c>
      <c r="X276" s="3">
        <v>22.98</v>
      </c>
      <c r="Y276" s="3">
        <v>22.98</v>
      </c>
      <c r="Z276" s="3">
        <v>22.98</v>
      </c>
      <c r="AA276" s="3">
        <v>0</v>
      </c>
      <c r="AB276" s="3" t="s">
        <v>5228</v>
      </c>
      <c r="AC276" s="3">
        <v>14</v>
      </c>
      <c r="AD276" s="3">
        <v>18.38</v>
      </c>
      <c r="AE276" s="3">
        <v>364</v>
      </c>
      <c r="AF276" s="3">
        <v>0</v>
      </c>
      <c r="AG276" s="3">
        <v>85.604437</v>
      </c>
      <c r="AH276" s="3">
        <v>0.142857142857142</v>
      </c>
      <c r="AI276" s="3" t="s">
        <v>5271</v>
      </c>
      <c r="AJ276" s="3" t="s">
        <v>5222</v>
      </c>
    </row>
    <row r="277" spans="1:36">
      <c r="A277" s="5">
        <v>43288</v>
      </c>
      <c r="B277" s="3" t="s">
        <v>4213</v>
      </c>
      <c r="C277" s="3" t="s">
        <v>4214</v>
      </c>
      <c r="D277" s="3" t="s">
        <v>4214</v>
      </c>
      <c r="E277" s="3" t="s">
        <v>4215</v>
      </c>
      <c r="F277" s="3" t="s">
        <v>120</v>
      </c>
      <c r="G277" s="3">
        <v>5</v>
      </c>
      <c r="H277" s="3">
        <v>0</v>
      </c>
      <c r="I277" s="3">
        <v>5</v>
      </c>
      <c r="J277" s="3">
        <v>0</v>
      </c>
      <c r="K277" s="3">
        <v>0</v>
      </c>
      <c r="L277" s="3">
        <v>0</v>
      </c>
      <c r="M277" s="3">
        <v>0</v>
      </c>
      <c r="N277" s="3" t="s">
        <v>5218</v>
      </c>
      <c r="O277" s="3">
        <v>0</v>
      </c>
      <c r="P277" s="3">
        <v>0</v>
      </c>
      <c r="Q277" s="3">
        <v>0</v>
      </c>
      <c r="R277" s="3">
        <v>0</v>
      </c>
      <c r="S277" s="3">
        <v>2</v>
      </c>
      <c r="T277" s="3">
        <v>7</v>
      </c>
      <c r="U277" s="3">
        <v>16</v>
      </c>
      <c r="V277" s="3">
        <v>24</v>
      </c>
      <c r="W277" s="3" t="s">
        <v>5227</v>
      </c>
      <c r="X277" s="3">
        <v>22.98</v>
      </c>
      <c r="Y277" s="3">
        <v>22.98</v>
      </c>
      <c r="Z277" s="3">
        <v>22.98</v>
      </c>
      <c r="AA277" s="3">
        <v>0</v>
      </c>
      <c r="AB277" s="3" t="s">
        <v>5223</v>
      </c>
      <c r="AC277" s="3">
        <v>7</v>
      </c>
      <c r="AD277" s="3">
        <v>22.98</v>
      </c>
      <c r="AE277" s="3">
        <v>0</v>
      </c>
      <c r="AF277" s="3">
        <v>0</v>
      </c>
      <c r="AG277" s="3">
        <v>0</v>
      </c>
      <c r="AH277" s="3">
        <v>4.57142857142857</v>
      </c>
      <c r="AI277" s="3" t="s">
        <v>5226</v>
      </c>
      <c r="AJ277" s="3" t="s">
        <v>5222</v>
      </c>
    </row>
    <row r="278" spans="1:36">
      <c r="A278" s="5">
        <v>43288</v>
      </c>
      <c r="B278" s="3" t="s">
        <v>4430</v>
      </c>
      <c r="C278" s="3" t="s">
        <v>3574</v>
      </c>
      <c r="D278" s="3" t="s">
        <v>3574</v>
      </c>
      <c r="E278" s="3" t="s">
        <v>3575</v>
      </c>
      <c r="F278" s="3" t="s">
        <v>120</v>
      </c>
      <c r="G278" s="3">
        <v>5</v>
      </c>
      <c r="H278" s="3">
        <v>0</v>
      </c>
      <c r="I278" s="3">
        <v>0</v>
      </c>
      <c r="J278" s="3">
        <v>0</v>
      </c>
      <c r="K278" s="3">
        <v>5</v>
      </c>
      <c r="L278" s="3">
        <v>0</v>
      </c>
      <c r="M278" s="3">
        <v>0</v>
      </c>
      <c r="N278" s="3" t="s">
        <v>5218</v>
      </c>
      <c r="O278" s="3">
        <v>5</v>
      </c>
      <c r="P278" s="3">
        <v>7.72</v>
      </c>
      <c r="Q278" s="3">
        <v>0</v>
      </c>
      <c r="R278" s="3">
        <v>0</v>
      </c>
      <c r="S278" s="3">
        <v>0</v>
      </c>
      <c r="T278" s="3">
        <v>0</v>
      </c>
      <c r="U278" s="3">
        <v>2</v>
      </c>
      <c r="V278" s="3">
        <v>2</v>
      </c>
      <c r="W278" s="3" t="s">
        <v>5227</v>
      </c>
      <c r="X278" s="3">
        <v>24.98</v>
      </c>
      <c r="Y278" s="3">
        <v>24.98</v>
      </c>
      <c r="Z278" s="3">
        <v>24.98</v>
      </c>
      <c r="AA278" s="3">
        <v>0</v>
      </c>
      <c r="AB278" s="3" t="s">
        <v>5228</v>
      </c>
      <c r="AC278" s="3">
        <v>4</v>
      </c>
      <c r="AD278" s="3">
        <v>21.18</v>
      </c>
      <c r="AE278" s="3">
        <v>35</v>
      </c>
      <c r="AF278" s="3">
        <v>0</v>
      </c>
      <c r="AG278" s="3">
        <v>1.879905</v>
      </c>
      <c r="AH278" s="3">
        <v>0.285714285714285</v>
      </c>
      <c r="AI278" s="3" t="s">
        <v>5262</v>
      </c>
      <c r="AJ278" s="3" t="s">
        <v>5222</v>
      </c>
    </row>
    <row r="279" spans="1:36">
      <c r="A279" s="5">
        <v>43288</v>
      </c>
      <c r="B279" s="3" t="s">
        <v>4520</v>
      </c>
      <c r="C279" s="3" t="s">
        <v>3819</v>
      </c>
      <c r="D279" s="3" t="s">
        <v>3819</v>
      </c>
      <c r="E279" s="3" t="s">
        <v>3820</v>
      </c>
      <c r="F279" s="3" t="s">
        <v>120</v>
      </c>
      <c r="G279" s="3">
        <v>3</v>
      </c>
      <c r="H279" s="3">
        <v>0</v>
      </c>
      <c r="I279" s="3">
        <v>1</v>
      </c>
      <c r="J279" s="3">
        <v>1</v>
      </c>
      <c r="K279" s="3">
        <v>1</v>
      </c>
      <c r="L279" s="3">
        <v>0</v>
      </c>
      <c r="M279" s="3">
        <v>0</v>
      </c>
      <c r="N279" s="3" t="s">
        <v>5218</v>
      </c>
      <c r="O279" s="3">
        <v>1</v>
      </c>
      <c r="P279" s="3">
        <v>0.99</v>
      </c>
      <c r="Q279" s="3">
        <v>0</v>
      </c>
      <c r="R279" s="3">
        <v>0</v>
      </c>
      <c r="S279" s="3">
        <v>0</v>
      </c>
      <c r="T279" s="3">
        <v>0</v>
      </c>
      <c r="U279" s="3">
        <v>1</v>
      </c>
      <c r="V279" s="3">
        <v>1</v>
      </c>
      <c r="W279" s="3" t="s">
        <v>5227</v>
      </c>
      <c r="X279" s="3">
        <v>23.98</v>
      </c>
      <c r="Y279" s="3">
        <v>23.98</v>
      </c>
      <c r="Z279" s="3">
        <v>23.98</v>
      </c>
      <c r="AA279" s="3">
        <v>0</v>
      </c>
      <c r="AB279" s="3" t="s">
        <v>5223</v>
      </c>
      <c r="AC279" s="3">
        <v>3</v>
      </c>
      <c r="AD279" s="3">
        <v>23.98</v>
      </c>
      <c r="AE279" s="3">
        <v>0</v>
      </c>
      <c r="AF279" s="3">
        <v>0</v>
      </c>
      <c r="AG279" s="3">
        <v>0</v>
      </c>
      <c r="AH279" s="3">
        <v>0.307692307692307</v>
      </c>
      <c r="AI279" s="3" t="s">
        <v>5263</v>
      </c>
      <c r="AJ279" s="3" t="s">
        <v>5222</v>
      </c>
    </row>
    <row r="280" spans="1:36">
      <c r="A280" s="5">
        <v>43288</v>
      </c>
      <c r="B280" s="3" t="s">
        <v>4432</v>
      </c>
      <c r="C280" s="3" t="s">
        <v>3582</v>
      </c>
      <c r="D280" s="3" t="s">
        <v>3582</v>
      </c>
      <c r="E280" s="3" t="s">
        <v>3583</v>
      </c>
      <c r="F280" s="3" t="s">
        <v>120</v>
      </c>
      <c r="G280" s="3">
        <v>4</v>
      </c>
      <c r="H280" s="3">
        <v>0</v>
      </c>
      <c r="I280" s="3">
        <v>0</v>
      </c>
      <c r="J280" s="3">
        <v>0</v>
      </c>
      <c r="K280" s="3">
        <v>4</v>
      </c>
      <c r="L280" s="3">
        <v>0</v>
      </c>
      <c r="M280" s="3">
        <v>0</v>
      </c>
      <c r="N280" s="3" t="s">
        <v>5218</v>
      </c>
      <c r="O280" s="3">
        <v>4</v>
      </c>
      <c r="P280" s="3">
        <v>6.17</v>
      </c>
      <c r="Q280" s="3">
        <v>0</v>
      </c>
      <c r="R280" s="3">
        <v>0</v>
      </c>
      <c r="S280" s="3">
        <v>0</v>
      </c>
      <c r="T280" s="3">
        <v>0</v>
      </c>
      <c r="U280" s="3">
        <v>1</v>
      </c>
      <c r="V280" s="3">
        <v>1</v>
      </c>
      <c r="W280" s="3" t="s">
        <v>5227</v>
      </c>
      <c r="X280" s="3">
        <v>20.78</v>
      </c>
      <c r="Y280" s="3">
        <v>20.78</v>
      </c>
      <c r="Z280" s="3">
        <v>20.78</v>
      </c>
      <c r="AA280" s="3">
        <v>0</v>
      </c>
      <c r="AB280" s="3" t="s">
        <v>5223</v>
      </c>
      <c r="AC280" s="3">
        <v>4</v>
      </c>
      <c r="AD280" s="3">
        <v>20.78</v>
      </c>
      <c r="AE280" s="3">
        <v>0</v>
      </c>
      <c r="AF280" s="3">
        <v>0</v>
      </c>
      <c r="AG280" s="3">
        <v>0</v>
      </c>
      <c r="AH280" s="3">
        <v>0.222222222222222</v>
      </c>
      <c r="AI280" s="3" t="s">
        <v>5262</v>
      </c>
      <c r="AJ280" s="3" t="s">
        <v>5222</v>
      </c>
    </row>
    <row r="281" spans="1:36">
      <c r="A281" s="5">
        <v>43288</v>
      </c>
      <c r="B281" s="3" t="s">
        <v>4276</v>
      </c>
      <c r="C281" s="3" t="s">
        <v>4277</v>
      </c>
      <c r="D281" s="3" t="s">
        <v>4277</v>
      </c>
      <c r="E281" s="3" t="s">
        <v>4278</v>
      </c>
      <c r="F281" s="3" t="s">
        <v>120</v>
      </c>
      <c r="G281" s="3">
        <v>1</v>
      </c>
      <c r="H281" s="3">
        <v>0</v>
      </c>
      <c r="I281" s="3">
        <v>1</v>
      </c>
      <c r="J281" s="3">
        <v>0</v>
      </c>
      <c r="K281" s="3">
        <v>0</v>
      </c>
      <c r="L281" s="3">
        <v>0</v>
      </c>
      <c r="M281" s="3">
        <v>0</v>
      </c>
      <c r="N281" s="3" t="s">
        <v>5218</v>
      </c>
      <c r="O281" s="3">
        <v>0</v>
      </c>
      <c r="P281" s="3">
        <v>0</v>
      </c>
      <c r="Q281" s="3">
        <v>0</v>
      </c>
      <c r="R281" s="3">
        <v>0</v>
      </c>
      <c r="S281" s="3">
        <v>0</v>
      </c>
      <c r="T281" s="3">
        <v>7</v>
      </c>
      <c r="U281" s="3">
        <v>9</v>
      </c>
      <c r="V281" s="3">
        <v>9</v>
      </c>
      <c r="W281" s="3"/>
      <c r="X281" s="3">
        <v>23.98</v>
      </c>
      <c r="Y281" s="3">
        <v>23.98</v>
      </c>
      <c r="Z281" s="3">
        <v>23.98</v>
      </c>
      <c r="AA281" s="3">
        <v>0</v>
      </c>
      <c r="AB281" s="3" t="s">
        <v>5223</v>
      </c>
      <c r="AC281" s="3">
        <v>1</v>
      </c>
      <c r="AD281" s="3">
        <v>23.98</v>
      </c>
      <c r="AE281" s="3">
        <v>0</v>
      </c>
      <c r="AF281" s="3">
        <v>0</v>
      </c>
      <c r="AG281" s="3">
        <v>0</v>
      </c>
      <c r="AH281" s="3">
        <v>1.38461538461538</v>
      </c>
      <c r="AI281" s="3" t="s">
        <v>5335</v>
      </c>
      <c r="AJ281" s="3" t="s">
        <v>5222</v>
      </c>
    </row>
    <row r="282" spans="1:36">
      <c r="A282" s="5">
        <v>43288</v>
      </c>
      <c r="B282" s="3" t="s">
        <v>2180</v>
      </c>
      <c r="C282" s="3" t="s">
        <v>2181</v>
      </c>
      <c r="D282" s="3" t="s">
        <v>2181</v>
      </c>
      <c r="E282" s="3" t="s">
        <v>2182</v>
      </c>
      <c r="F282" s="3" t="s">
        <v>120</v>
      </c>
      <c r="G282" s="3">
        <v>14</v>
      </c>
      <c r="H282" s="3">
        <v>0</v>
      </c>
      <c r="I282" s="3">
        <v>0</v>
      </c>
      <c r="J282" s="3">
        <v>0</v>
      </c>
      <c r="K282" s="3">
        <v>9</v>
      </c>
      <c r="L282" s="3">
        <v>5</v>
      </c>
      <c r="M282" s="3">
        <v>0</v>
      </c>
      <c r="N282" s="3" t="s">
        <v>5218</v>
      </c>
      <c r="O282" s="3">
        <v>14</v>
      </c>
      <c r="P282" s="3">
        <v>21.75</v>
      </c>
      <c r="Q282" s="3">
        <v>0</v>
      </c>
      <c r="R282" s="3">
        <v>0</v>
      </c>
      <c r="S282" s="3">
        <v>0</v>
      </c>
      <c r="T282" s="3">
        <v>1</v>
      </c>
      <c r="U282" s="3">
        <v>3</v>
      </c>
      <c r="V282" s="3">
        <v>5</v>
      </c>
      <c r="W282" s="3" t="s">
        <v>5227</v>
      </c>
      <c r="X282" s="3">
        <v>12.98</v>
      </c>
      <c r="Y282" s="3">
        <v>12.98</v>
      </c>
      <c r="Z282" s="3">
        <v>12.98</v>
      </c>
      <c r="AA282" s="3">
        <v>0</v>
      </c>
      <c r="AB282" s="3" t="s">
        <v>5223</v>
      </c>
      <c r="AC282" s="3">
        <v>14</v>
      </c>
      <c r="AD282" s="3">
        <v>12.98</v>
      </c>
      <c r="AE282" s="3">
        <v>0</v>
      </c>
      <c r="AF282" s="3">
        <v>0</v>
      </c>
      <c r="AG282" s="3">
        <v>0</v>
      </c>
      <c r="AH282" s="3">
        <v>0.307692307692307</v>
      </c>
      <c r="AI282" s="3" t="s">
        <v>5260</v>
      </c>
      <c r="AJ282" s="3" t="s">
        <v>5222</v>
      </c>
    </row>
    <row r="283" spans="1:36">
      <c r="A283" s="5">
        <v>43288</v>
      </c>
      <c r="B283" s="3" t="s">
        <v>2391</v>
      </c>
      <c r="C283" s="3" t="s">
        <v>2392</v>
      </c>
      <c r="D283" s="3" t="s">
        <v>2392</v>
      </c>
      <c r="E283" s="3" t="s">
        <v>2393</v>
      </c>
      <c r="F283" s="3" t="s">
        <v>120</v>
      </c>
      <c r="G283" s="3">
        <v>11</v>
      </c>
      <c r="H283" s="3">
        <v>0</v>
      </c>
      <c r="I283" s="3">
        <v>11</v>
      </c>
      <c r="J283" s="3">
        <v>0</v>
      </c>
      <c r="K283" s="3">
        <v>0</v>
      </c>
      <c r="L283" s="3">
        <v>0</v>
      </c>
      <c r="M283" s="3">
        <v>0</v>
      </c>
      <c r="N283" s="3" t="s">
        <v>5218</v>
      </c>
      <c r="O283" s="3">
        <v>0</v>
      </c>
      <c r="P283" s="3">
        <v>0</v>
      </c>
      <c r="Q283" s="3">
        <v>0</v>
      </c>
      <c r="R283" s="3">
        <v>0</v>
      </c>
      <c r="S283" s="3">
        <v>0</v>
      </c>
      <c r="T283" s="3">
        <v>0</v>
      </c>
      <c r="U283" s="3">
        <v>1</v>
      </c>
      <c r="V283" s="3">
        <v>4</v>
      </c>
      <c r="W283" s="3" t="s">
        <v>5227</v>
      </c>
      <c r="X283" s="3">
        <v>22.98</v>
      </c>
      <c r="Y283" s="3">
        <v>22.98</v>
      </c>
      <c r="Z283" s="3">
        <v>22</v>
      </c>
      <c r="AA283" s="3">
        <v>0</v>
      </c>
      <c r="AB283" s="3" t="s">
        <v>5228</v>
      </c>
      <c r="AC283" s="3">
        <v>0</v>
      </c>
      <c r="AD283" s="3">
        <v>20.53</v>
      </c>
      <c r="AE283" s="3">
        <v>217</v>
      </c>
      <c r="AF283" s="3">
        <v>0</v>
      </c>
      <c r="AG283" s="3">
        <v>280.225025</v>
      </c>
      <c r="AH283" s="3">
        <v>0.432432432432432</v>
      </c>
      <c r="AI283" s="3" t="s">
        <v>5240</v>
      </c>
      <c r="AJ283" s="3" t="s">
        <v>5222</v>
      </c>
    </row>
    <row r="284" spans="1:36">
      <c r="A284" s="5">
        <v>43288</v>
      </c>
      <c r="B284" s="3" t="s">
        <v>2636</v>
      </c>
      <c r="C284" s="3" t="s">
        <v>2637</v>
      </c>
      <c r="D284" s="3" t="s">
        <v>2637</v>
      </c>
      <c r="E284" s="3" t="s">
        <v>5336</v>
      </c>
      <c r="F284" s="3" t="s">
        <v>120</v>
      </c>
      <c r="G284" s="3">
        <v>7</v>
      </c>
      <c r="H284" s="3">
        <v>0</v>
      </c>
      <c r="I284" s="3">
        <v>0</v>
      </c>
      <c r="J284" s="3">
        <v>1</v>
      </c>
      <c r="K284" s="3">
        <v>6</v>
      </c>
      <c r="L284" s="3">
        <v>0</v>
      </c>
      <c r="M284" s="3">
        <v>0</v>
      </c>
      <c r="N284" s="3" t="s">
        <v>5218</v>
      </c>
      <c r="O284" s="3">
        <v>7</v>
      </c>
      <c r="P284" s="3">
        <v>11.38</v>
      </c>
      <c r="Q284" s="3">
        <v>0</v>
      </c>
      <c r="R284" s="3">
        <v>0</v>
      </c>
      <c r="S284" s="3">
        <v>0</v>
      </c>
      <c r="T284" s="3">
        <v>0</v>
      </c>
      <c r="U284" s="3">
        <v>0</v>
      </c>
      <c r="V284" s="3">
        <v>0</v>
      </c>
      <c r="W284" s="3"/>
      <c r="X284" s="3"/>
      <c r="Y284" s="3"/>
      <c r="Z284" s="3">
        <v>-1</v>
      </c>
      <c r="AA284" s="3">
        <v>-1</v>
      </c>
      <c r="AB284" s="3" t="s">
        <v>5244</v>
      </c>
      <c r="AC284" s="3">
        <v>0</v>
      </c>
      <c r="AD284" s="3">
        <v>0</v>
      </c>
      <c r="AE284" s="3">
        <v>0</v>
      </c>
      <c r="AF284" s="3">
        <v>0</v>
      </c>
      <c r="AG284" s="3">
        <v>0</v>
      </c>
      <c r="AH284" s="3">
        <v>0</v>
      </c>
      <c r="AI284" s="3" t="s">
        <v>5337</v>
      </c>
      <c r="AJ284" s="3" t="s">
        <v>5242</v>
      </c>
    </row>
    <row r="285" spans="1:36">
      <c r="A285" s="5">
        <v>43288</v>
      </c>
      <c r="B285" s="3" t="s">
        <v>769</v>
      </c>
      <c r="C285" s="3" t="s">
        <v>520</v>
      </c>
      <c r="D285" s="3" t="s">
        <v>520</v>
      </c>
      <c r="E285" s="3" t="s">
        <v>770</v>
      </c>
      <c r="F285" s="3" t="s">
        <v>120</v>
      </c>
      <c r="G285" s="3">
        <v>1</v>
      </c>
      <c r="H285" s="3">
        <v>0</v>
      </c>
      <c r="I285" s="3">
        <v>1</v>
      </c>
      <c r="J285" s="3">
        <v>0</v>
      </c>
      <c r="K285" s="3">
        <v>0</v>
      </c>
      <c r="L285" s="3">
        <v>0</v>
      </c>
      <c r="M285" s="3">
        <v>0</v>
      </c>
      <c r="N285" s="3" t="s">
        <v>5218</v>
      </c>
      <c r="O285" s="3">
        <v>0</v>
      </c>
      <c r="P285" s="3">
        <v>0</v>
      </c>
      <c r="Q285" s="3">
        <v>0</v>
      </c>
      <c r="R285" s="3">
        <v>0</v>
      </c>
      <c r="S285" s="3">
        <v>0</v>
      </c>
      <c r="T285" s="3">
        <v>0</v>
      </c>
      <c r="U285" s="3">
        <v>3</v>
      </c>
      <c r="V285" s="3">
        <v>4</v>
      </c>
      <c r="W285" s="3" t="s">
        <v>5227</v>
      </c>
      <c r="X285" s="3">
        <v>22.98</v>
      </c>
      <c r="Y285" s="3">
        <v>22.98</v>
      </c>
      <c r="Z285" s="3">
        <v>22.98</v>
      </c>
      <c r="AA285" s="3">
        <v>0</v>
      </c>
      <c r="AB285" s="3" t="s">
        <v>5223</v>
      </c>
      <c r="AC285" s="3">
        <v>1</v>
      </c>
      <c r="AD285" s="3">
        <v>22.98</v>
      </c>
      <c r="AE285" s="3">
        <v>0</v>
      </c>
      <c r="AF285" s="3">
        <v>0</v>
      </c>
      <c r="AG285" s="3">
        <v>0</v>
      </c>
      <c r="AH285" s="3">
        <v>0.545454545454545</v>
      </c>
      <c r="AI285" s="3" t="s">
        <v>5225</v>
      </c>
      <c r="AJ285" s="3" t="s">
        <v>5222</v>
      </c>
    </row>
    <row r="286" spans="1:36">
      <c r="A286" s="5">
        <v>43288</v>
      </c>
      <c r="B286" s="3" t="s">
        <v>1504</v>
      </c>
      <c r="C286" s="3" t="s">
        <v>64</v>
      </c>
      <c r="D286" s="3" t="s">
        <v>64</v>
      </c>
      <c r="E286" s="3" t="s">
        <v>1505</v>
      </c>
      <c r="F286" s="3" t="s">
        <v>120</v>
      </c>
      <c r="G286" s="3">
        <v>18</v>
      </c>
      <c r="H286" s="3">
        <v>0</v>
      </c>
      <c r="I286" s="3">
        <v>0</v>
      </c>
      <c r="J286" s="3">
        <v>18</v>
      </c>
      <c r="K286" s="3">
        <v>0</v>
      </c>
      <c r="L286" s="3">
        <v>0</v>
      </c>
      <c r="M286" s="3">
        <v>0</v>
      </c>
      <c r="N286" s="3" t="s">
        <v>5218</v>
      </c>
      <c r="O286" s="3">
        <v>18</v>
      </c>
      <c r="P286" s="3">
        <v>19.88</v>
      </c>
      <c r="Q286" s="3">
        <v>0</v>
      </c>
      <c r="R286" s="3">
        <v>0</v>
      </c>
      <c r="S286" s="3">
        <v>0</v>
      </c>
      <c r="T286" s="3">
        <v>3</v>
      </c>
      <c r="U286" s="3">
        <v>6</v>
      </c>
      <c r="V286" s="3">
        <v>7</v>
      </c>
      <c r="W286" s="3"/>
      <c r="X286" s="3">
        <v>22.98</v>
      </c>
      <c r="Y286" s="3">
        <v>22.98</v>
      </c>
      <c r="Z286" s="3">
        <v>19.98</v>
      </c>
      <c r="AA286" s="3">
        <v>0</v>
      </c>
      <c r="AB286" s="3" t="s">
        <v>5223</v>
      </c>
      <c r="AC286" s="3">
        <v>18</v>
      </c>
      <c r="AD286" s="3">
        <v>22.98</v>
      </c>
      <c r="AE286" s="3">
        <v>0</v>
      </c>
      <c r="AF286" s="3">
        <v>0</v>
      </c>
      <c r="AG286" s="3">
        <v>0</v>
      </c>
      <c r="AH286" s="3">
        <v>0.318181818181818</v>
      </c>
      <c r="AI286" s="3" t="s">
        <v>5338</v>
      </c>
      <c r="AJ286" s="3" t="s">
        <v>5222</v>
      </c>
    </row>
    <row r="287" spans="1:36">
      <c r="A287" s="5">
        <v>43288</v>
      </c>
      <c r="B287" s="3" t="s">
        <v>4318</v>
      </c>
      <c r="C287" s="3" t="s">
        <v>4319</v>
      </c>
      <c r="D287" s="3" t="s">
        <v>4319</v>
      </c>
      <c r="E287" s="3" t="s">
        <v>4320</v>
      </c>
      <c r="F287" s="3" t="s">
        <v>120</v>
      </c>
      <c r="G287" s="3">
        <v>21</v>
      </c>
      <c r="H287" s="3">
        <v>0</v>
      </c>
      <c r="I287" s="3">
        <v>21</v>
      </c>
      <c r="J287" s="3">
        <v>0</v>
      </c>
      <c r="K287" s="3">
        <v>0</v>
      </c>
      <c r="L287" s="3">
        <v>0</v>
      </c>
      <c r="M287" s="3">
        <v>0</v>
      </c>
      <c r="N287" s="3" t="s">
        <v>5218</v>
      </c>
      <c r="O287" s="3">
        <v>0</v>
      </c>
      <c r="P287" s="3">
        <v>0</v>
      </c>
      <c r="Q287" s="3">
        <v>0</v>
      </c>
      <c r="R287" s="3">
        <v>0</v>
      </c>
      <c r="S287" s="3">
        <v>0</v>
      </c>
      <c r="T287" s="3">
        <v>5</v>
      </c>
      <c r="U287" s="3">
        <v>8</v>
      </c>
      <c r="V287" s="3">
        <v>12</v>
      </c>
      <c r="W287" s="3"/>
      <c r="X287" s="3">
        <v>23.98</v>
      </c>
      <c r="Y287" s="3">
        <v>23.98</v>
      </c>
      <c r="Z287" s="3">
        <v>23.98</v>
      </c>
      <c r="AA287" s="3">
        <v>0</v>
      </c>
      <c r="AB287" s="3" t="s">
        <v>5223</v>
      </c>
      <c r="AC287" s="3">
        <v>22</v>
      </c>
      <c r="AD287" s="3">
        <v>23.98</v>
      </c>
      <c r="AE287" s="3">
        <v>0</v>
      </c>
      <c r="AF287" s="3">
        <v>0</v>
      </c>
      <c r="AG287" s="3">
        <v>0</v>
      </c>
      <c r="AH287" s="3">
        <v>1.11627906976744</v>
      </c>
      <c r="AI287" s="3" t="s">
        <v>5339</v>
      </c>
      <c r="AJ287" s="3" t="s">
        <v>5222</v>
      </c>
    </row>
    <row r="288" spans="1:36">
      <c r="A288" s="5">
        <v>43288</v>
      </c>
      <c r="B288" s="3" t="s">
        <v>4386</v>
      </c>
      <c r="C288" s="3" t="s">
        <v>3398</v>
      </c>
      <c r="D288" s="3" t="s">
        <v>3398</v>
      </c>
      <c r="E288" s="3" t="s">
        <v>3399</v>
      </c>
      <c r="F288" s="3" t="s">
        <v>120</v>
      </c>
      <c r="G288" s="3">
        <v>1</v>
      </c>
      <c r="H288" s="3">
        <v>0</v>
      </c>
      <c r="I288" s="3">
        <v>1</v>
      </c>
      <c r="J288" s="3">
        <v>0</v>
      </c>
      <c r="K288" s="3">
        <v>0</v>
      </c>
      <c r="L288" s="3">
        <v>0</v>
      </c>
      <c r="M288" s="3">
        <v>0</v>
      </c>
      <c r="N288" s="3" t="s">
        <v>5218</v>
      </c>
      <c r="O288" s="3">
        <v>0</v>
      </c>
      <c r="P288" s="3">
        <v>0</v>
      </c>
      <c r="Q288" s="3">
        <v>0</v>
      </c>
      <c r="R288" s="3">
        <v>0</v>
      </c>
      <c r="S288" s="3">
        <v>0</v>
      </c>
      <c r="T288" s="3">
        <v>1</v>
      </c>
      <c r="U288" s="3">
        <v>2</v>
      </c>
      <c r="V288" s="3">
        <v>4</v>
      </c>
      <c r="W288" s="3"/>
      <c r="X288" s="3">
        <v>22.98</v>
      </c>
      <c r="Y288" s="3">
        <v>22.98</v>
      </c>
      <c r="Z288" s="3">
        <v>22.98</v>
      </c>
      <c r="AA288" s="3">
        <v>0</v>
      </c>
      <c r="AB288" s="3" t="s">
        <v>5223</v>
      </c>
      <c r="AC288" s="3">
        <v>1</v>
      </c>
      <c r="AD288" s="3">
        <v>22.98</v>
      </c>
      <c r="AE288" s="3">
        <v>0</v>
      </c>
      <c r="AF288" s="3">
        <v>0</v>
      </c>
      <c r="AG288" s="3">
        <v>0</v>
      </c>
      <c r="AH288" s="3">
        <v>2.66666666666666</v>
      </c>
      <c r="AI288" s="3" t="s">
        <v>5239</v>
      </c>
      <c r="AJ288" s="3" t="s">
        <v>5222</v>
      </c>
    </row>
    <row r="289" spans="1:36">
      <c r="A289" s="5">
        <v>43288</v>
      </c>
      <c r="B289" s="3" t="s">
        <v>793</v>
      </c>
      <c r="C289" s="3" t="s">
        <v>547</v>
      </c>
      <c r="D289" s="3" t="s">
        <v>547</v>
      </c>
      <c r="E289" s="3" t="s">
        <v>794</v>
      </c>
      <c r="F289" s="3" t="s">
        <v>120</v>
      </c>
      <c r="G289" s="3">
        <v>4</v>
      </c>
      <c r="H289" s="3">
        <v>0</v>
      </c>
      <c r="I289" s="3">
        <v>4</v>
      </c>
      <c r="J289" s="3">
        <v>0</v>
      </c>
      <c r="K289" s="3">
        <v>0</v>
      </c>
      <c r="L289" s="3">
        <v>0</v>
      </c>
      <c r="M289" s="3">
        <v>0</v>
      </c>
      <c r="N289" s="3" t="s">
        <v>5218</v>
      </c>
      <c r="O289" s="3">
        <v>0</v>
      </c>
      <c r="P289" s="3">
        <v>0</v>
      </c>
      <c r="Q289" s="3">
        <v>0</v>
      </c>
      <c r="R289" s="3">
        <v>0</v>
      </c>
      <c r="S289" s="3">
        <v>0</v>
      </c>
      <c r="T289" s="3">
        <v>3</v>
      </c>
      <c r="U289" s="3">
        <v>5</v>
      </c>
      <c r="V289" s="3">
        <v>5</v>
      </c>
      <c r="W289" s="3"/>
      <c r="X289" s="3">
        <v>22.98</v>
      </c>
      <c r="Y289" s="3">
        <v>22.98</v>
      </c>
      <c r="Z289" s="3">
        <v>22.98</v>
      </c>
      <c r="AA289" s="3">
        <v>0</v>
      </c>
      <c r="AB289" s="3" t="s">
        <v>5223</v>
      </c>
      <c r="AC289" s="3">
        <v>4</v>
      </c>
      <c r="AD289" s="3">
        <v>22.98</v>
      </c>
      <c r="AE289" s="3">
        <v>0</v>
      </c>
      <c r="AF289" s="3">
        <v>0</v>
      </c>
      <c r="AG289" s="3">
        <v>0</v>
      </c>
      <c r="AH289" s="3">
        <v>0.357142857142857</v>
      </c>
      <c r="AI289" s="3" t="s">
        <v>5225</v>
      </c>
      <c r="AJ289" s="3" t="s">
        <v>5222</v>
      </c>
    </row>
    <row r="290" spans="1:36">
      <c r="A290" s="5">
        <v>43288</v>
      </c>
      <c r="B290" s="3" t="s">
        <v>4417</v>
      </c>
      <c r="C290" s="3" t="s">
        <v>3522</v>
      </c>
      <c r="D290" s="3" t="s">
        <v>3522</v>
      </c>
      <c r="E290" s="3" t="s">
        <v>3523</v>
      </c>
      <c r="F290" s="3" t="s">
        <v>120</v>
      </c>
      <c r="G290" s="3">
        <v>2</v>
      </c>
      <c r="H290" s="3">
        <v>0</v>
      </c>
      <c r="I290" s="3">
        <v>0</v>
      </c>
      <c r="J290" s="3">
        <v>1</v>
      </c>
      <c r="K290" s="3">
        <v>1</v>
      </c>
      <c r="L290" s="3">
        <v>0</v>
      </c>
      <c r="M290" s="3">
        <v>0</v>
      </c>
      <c r="N290" s="3" t="s">
        <v>5218</v>
      </c>
      <c r="O290" s="3">
        <v>2</v>
      </c>
      <c r="P290" s="3">
        <v>3.08</v>
      </c>
      <c r="Q290" s="3">
        <v>0</v>
      </c>
      <c r="R290" s="3">
        <v>0</v>
      </c>
      <c r="S290" s="3">
        <v>0</v>
      </c>
      <c r="T290" s="3">
        <v>0</v>
      </c>
      <c r="U290" s="3">
        <v>0</v>
      </c>
      <c r="V290" s="3">
        <v>0</v>
      </c>
      <c r="W290" s="3" t="s">
        <v>5227</v>
      </c>
      <c r="X290" s="3">
        <v>24.98</v>
      </c>
      <c r="Y290" s="3">
        <v>24.98</v>
      </c>
      <c r="Z290" s="3">
        <v>24.98</v>
      </c>
      <c r="AA290" s="3">
        <v>0</v>
      </c>
      <c r="AB290" s="3" t="s">
        <v>5228</v>
      </c>
      <c r="AC290" s="3">
        <v>0</v>
      </c>
      <c r="AD290" s="3">
        <v>23.3</v>
      </c>
      <c r="AE290" s="3">
        <v>42</v>
      </c>
      <c r="AF290" s="3">
        <v>0</v>
      </c>
      <c r="AG290" s="3">
        <v>57.65309</v>
      </c>
      <c r="AH290" s="3">
        <v>0</v>
      </c>
      <c r="AI290" s="3" t="s">
        <v>5262</v>
      </c>
      <c r="AJ290" s="3" t="s">
        <v>5222</v>
      </c>
    </row>
    <row r="291" spans="1:36">
      <c r="A291" s="5">
        <v>43288</v>
      </c>
      <c r="B291" s="3" t="s">
        <v>214</v>
      </c>
      <c r="C291" s="3" t="s">
        <v>215</v>
      </c>
      <c r="D291" s="3" t="s">
        <v>215</v>
      </c>
      <c r="E291" s="3" t="s">
        <v>216</v>
      </c>
      <c r="F291" s="3" t="s">
        <v>120</v>
      </c>
      <c r="G291" s="3">
        <v>1</v>
      </c>
      <c r="H291" s="3">
        <v>0</v>
      </c>
      <c r="I291" s="3">
        <v>0</v>
      </c>
      <c r="J291" s="3">
        <v>1</v>
      </c>
      <c r="K291" s="3">
        <v>0</v>
      </c>
      <c r="L291" s="3">
        <v>0</v>
      </c>
      <c r="M291" s="3">
        <v>0</v>
      </c>
      <c r="N291" s="3" t="s">
        <v>5218</v>
      </c>
      <c r="O291" s="3">
        <v>1</v>
      </c>
      <c r="P291" s="3">
        <v>7.59</v>
      </c>
      <c r="Q291" s="3">
        <v>0</v>
      </c>
      <c r="R291" s="3">
        <v>0</v>
      </c>
      <c r="S291" s="3">
        <v>0</v>
      </c>
      <c r="T291" s="3">
        <v>0</v>
      </c>
      <c r="U291" s="3">
        <v>0</v>
      </c>
      <c r="V291" s="3">
        <v>0</v>
      </c>
      <c r="W291" s="3" t="s">
        <v>5219</v>
      </c>
      <c r="X291" s="3">
        <v>60.98</v>
      </c>
      <c r="Y291" s="3">
        <v>60.98</v>
      </c>
      <c r="Z291" s="3">
        <v>60.98</v>
      </c>
      <c r="AA291" s="3">
        <v>0</v>
      </c>
      <c r="AB291" s="3" t="s">
        <v>5220</v>
      </c>
      <c r="AC291" s="3">
        <v>0</v>
      </c>
      <c r="AD291" s="3">
        <v>53.87</v>
      </c>
      <c r="AE291" s="3">
        <v>35</v>
      </c>
      <c r="AF291" s="3">
        <v>0</v>
      </c>
      <c r="AG291" s="3">
        <v>101.10304</v>
      </c>
      <c r="AH291" s="3">
        <v>0</v>
      </c>
      <c r="AI291" s="3" t="s">
        <v>5340</v>
      </c>
      <c r="AJ291" s="3" t="s">
        <v>5222</v>
      </c>
    </row>
    <row r="292" spans="1:36">
      <c r="A292" s="5">
        <v>43288</v>
      </c>
      <c r="B292" s="3" t="s">
        <v>389</v>
      </c>
      <c r="C292" s="3" t="s">
        <v>390</v>
      </c>
      <c r="D292" s="3" t="s">
        <v>391</v>
      </c>
      <c r="E292" s="3" t="s">
        <v>392</v>
      </c>
      <c r="F292" s="3" t="s">
        <v>120</v>
      </c>
      <c r="G292" s="3">
        <v>10</v>
      </c>
      <c r="H292" s="3">
        <v>0</v>
      </c>
      <c r="I292" s="3">
        <v>10</v>
      </c>
      <c r="J292" s="3">
        <v>0</v>
      </c>
      <c r="K292" s="3">
        <v>0</v>
      </c>
      <c r="L292" s="3">
        <v>0</v>
      </c>
      <c r="M292" s="3">
        <v>0</v>
      </c>
      <c r="N292" s="3" t="s">
        <v>5218</v>
      </c>
      <c r="O292" s="3">
        <v>0</v>
      </c>
      <c r="P292" s="3">
        <v>0</v>
      </c>
      <c r="Q292" s="3">
        <v>0</v>
      </c>
      <c r="R292" s="3">
        <v>0</v>
      </c>
      <c r="S292" s="3">
        <v>0</v>
      </c>
      <c r="T292" s="3">
        <v>0</v>
      </c>
      <c r="U292" s="3">
        <v>0</v>
      </c>
      <c r="V292" s="3">
        <v>0</v>
      </c>
      <c r="W292" s="3" t="s">
        <v>5227</v>
      </c>
      <c r="X292" s="3">
        <v>22.98</v>
      </c>
      <c r="Y292" s="3">
        <v>22.98</v>
      </c>
      <c r="Z292" s="3">
        <v>22.98</v>
      </c>
      <c r="AA292" s="3">
        <v>0</v>
      </c>
      <c r="AB292" s="3" t="s">
        <v>5223</v>
      </c>
      <c r="AC292" s="3">
        <v>10</v>
      </c>
      <c r="AD292" s="3">
        <v>22.98</v>
      </c>
      <c r="AE292" s="3">
        <v>0</v>
      </c>
      <c r="AF292" s="3">
        <v>0</v>
      </c>
      <c r="AG292" s="3">
        <v>0</v>
      </c>
      <c r="AH292" s="3">
        <v>9.33333333333333</v>
      </c>
      <c r="AI292" s="3" t="s">
        <v>5257</v>
      </c>
      <c r="AJ292" s="3" t="s">
        <v>5222</v>
      </c>
    </row>
    <row r="293" spans="1:36">
      <c r="A293" s="5">
        <v>43288</v>
      </c>
      <c r="B293" s="3" t="s">
        <v>1516</v>
      </c>
      <c r="C293" s="3" t="s">
        <v>78</v>
      </c>
      <c r="D293" s="3" t="s">
        <v>78</v>
      </c>
      <c r="E293" s="3" t="s">
        <v>1517</v>
      </c>
      <c r="F293" s="3" t="s">
        <v>120</v>
      </c>
      <c r="G293" s="3">
        <v>33</v>
      </c>
      <c r="H293" s="3">
        <v>0</v>
      </c>
      <c r="I293" s="3">
        <v>16</v>
      </c>
      <c r="J293" s="3">
        <v>17</v>
      </c>
      <c r="K293" s="3">
        <v>0</v>
      </c>
      <c r="L293" s="3">
        <v>0</v>
      </c>
      <c r="M293" s="3">
        <v>0</v>
      </c>
      <c r="N293" s="3" t="s">
        <v>5218</v>
      </c>
      <c r="O293" s="3">
        <v>17</v>
      </c>
      <c r="P293" s="3">
        <v>24.96</v>
      </c>
      <c r="Q293" s="3">
        <v>0</v>
      </c>
      <c r="R293" s="3">
        <v>0</v>
      </c>
      <c r="S293" s="3">
        <v>0</v>
      </c>
      <c r="T293" s="3">
        <v>2</v>
      </c>
      <c r="U293" s="3">
        <v>5</v>
      </c>
      <c r="V293" s="3">
        <v>8</v>
      </c>
      <c r="W293" s="3"/>
      <c r="X293" s="3">
        <v>22.98</v>
      </c>
      <c r="Y293" s="3">
        <v>22.98</v>
      </c>
      <c r="Z293" s="3">
        <v>19.98</v>
      </c>
      <c r="AA293" s="3">
        <v>0</v>
      </c>
      <c r="AB293" s="3" t="s">
        <v>5228</v>
      </c>
      <c r="AC293" s="3">
        <v>20</v>
      </c>
      <c r="AD293" s="3">
        <v>20.46</v>
      </c>
      <c r="AE293" s="3">
        <v>161</v>
      </c>
      <c r="AF293" s="3">
        <v>0</v>
      </c>
      <c r="AG293" s="3">
        <v>5.420845</v>
      </c>
      <c r="AH293" s="3">
        <v>0.244274809160305</v>
      </c>
      <c r="AI293" s="3" t="s">
        <v>5341</v>
      </c>
      <c r="AJ293" s="3" t="s">
        <v>5222</v>
      </c>
    </row>
    <row r="294" spans="1:36">
      <c r="A294" s="5">
        <v>43288</v>
      </c>
      <c r="B294" s="3" t="s">
        <v>4366</v>
      </c>
      <c r="C294" s="3" t="s">
        <v>3318</v>
      </c>
      <c r="D294" s="3" t="s">
        <v>3318</v>
      </c>
      <c r="E294" s="3" t="s">
        <v>3319</v>
      </c>
      <c r="F294" s="3" t="s">
        <v>120</v>
      </c>
      <c r="G294" s="3">
        <v>3</v>
      </c>
      <c r="H294" s="3">
        <v>0</v>
      </c>
      <c r="I294" s="3">
        <v>0</v>
      </c>
      <c r="J294" s="3">
        <v>3</v>
      </c>
      <c r="K294" s="3">
        <v>0</v>
      </c>
      <c r="L294" s="3">
        <v>0</v>
      </c>
      <c r="M294" s="3">
        <v>0</v>
      </c>
      <c r="N294" s="3" t="s">
        <v>5218</v>
      </c>
      <c r="O294" s="3">
        <v>0</v>
      </c>
      <c r="P294" s="3">
        <v>0</v>
      </c>
      <c r="Q294" s="3">
        <v>0</v>
      </c>
      <c r="R294" s="3">
        <v>0</v>
      </c>
      <c r="S294" s="3">
        <v>0</v>
      </c>
      <c r="T294" s="3">
        <v>1</v>
      </c>
      <c r="U294" s="3">
        <v>2</v>
      </c>
      <c r="V294" s="3">
        <v>6</v>
      </c>
      <c r="W294" s="3"/>
      <c r="X294" s="3">
        <v>22.98</v>
      </c>
      <c r="Y294" s="3">
        <v>22.98</v>
      </c>
      <c r="Z294" s="3">
        <v>22.98</v>
      </c>
      <c r="AA294" s="3">
        <v>0</v>
      </c>
      <c r="AB294" s="3" t="s">
        <v>5223</v>
      </c>
      <c r="AC294" s="3">
        <v>3</v>
      </c>
      <c r="AD294" s="3">
        <v>22.98</v>
      </c>
      <c r="AE294" s="3">
        <v>0</v>
      </c>
      <c r="AF294" s="3">
        <v>0</v>
      </c>
      <c r="AG294" s="3">
        <v>0</v>
      </c>
      <c r="AH294" s="3">
        <v>1.09090909090909</v>
      </c>
      <c r="AI294" s="3" t="s">
        <v>5239</v>
      </c>
      <c r="AJ294" s="3" t="s">
        <v>5222</v>
      </c>
    </row>
    <row r="295" spans="1:36">
      <c r="A295" s="5">
        <v>43288</v>
      </c>
      <c r="B295" s="3" t="s">
        <v>2048</v>
      </c>
      <c r="C295" s="3" t="s">
        <v>2049</v>
      </c>
      <c r="D295" s="3" t="s">
        <v>2049</v>
      </c>
      <c r="E295" s="3" t="s">
        <v>2050</v>
      </c>
      <c r="F295" s="3" t="s">
        <v>120</v>
      </c>
      <c r="G295" s="3">
        <v>16</v>
      </c>
      <c r="H295" s="3">
        <v>0</v>
      </c>
      <c r="I295" s="3">
        <v>12</v>
      </c>
      <c r="J295" s="3">
        <v>4</v>
      </c>
      <c r="K295" s="3">
        <v>0</v>
      </c>
      <c r="L295" s="3">
        <v>0</v>
      </c>
      <c r="M295" s="3">
        <v>0</v>
      </c>
      <c r="N295" s="3" t="s">
        <v>5218</v>
      </c>
      <c r="O295" s="3">
        <v>2</v>
      </c>
      <c r="P295" s="3">
        <v>0.64</v>
      </c>
      <c r="Q295" s="3">
        <v>0</v>
      </c>
      <c r="R295" s="3">
        <v>0</v>
      </c>
      <c r="S295" s="3">
        <v>2</v>
      </c>
      <c r="T295" s="3">
        <v>3</v>
      </c>
      <c r="U295" s="3">
        <v>12</v>
      </c>
      <c r="V295" s="3">
        <v>18</v>
      </c>
      <c r="W295" s="3" t="s">
        <v>5227</v>
      </c>
      <c r="X295" s="3">
        <v>23.98</v>
      </c>
      <c r="Y295" s="3">
        <v>23.98</v>
      </c>
      <c r="Z295" s="3">
        <v>23.98</v>
      </c>
      <c r="AA295" s="3">
        <v>0</v>
      </c>
      <c r="AB295" s="3" t="s">
        <v>5223</v>
      </c>
      <c r="AC295" s="3">
        <v>16</v>
      </c>
      <c r="AD295" s="3">
        <v>23.98</v>
      </c>
      <c r="AE295" s="3">
        <v>0</v>
      </c>
      <c r="AF295" s="3">
        <v>0</v>
      </c>
      <c r="AG295" s="3">
        <v>0</v>
      </c>
      <c r="AH295" s="3">
        <v>0.847058823529411</v>
      </c>
      <c r="AI295" s="3" t="s">
        <v>5342</v>
      </c>
      <c r="AJ295" s="3" t="s">
        <v>5222</v>
      </c>
    </row>
    <row r="296" spans="1:36">
      <c r="A296" s="5">
        <v>43288</v>
      </c>
      <c r="B296" s="3" t="s">
        <v>491</v>
      </c>
      <c r="C296" s="3" t="s">
        <v>332</v>
      </c>
      <c r="D296" s="3" t="s">
        <v>332</v>
      </c>
      <c r="E296" s="3" t="s">
        <v>492</v>
      </c>
      <c r="F296" s="3" t="s">
        <v>120</v>
      </c>
      <c r="G296" s="3">
        <v>8</v>
      </c>
      <c r="H296" s="3">
        <v>0</v>
      </c>
      <c r="I296" s="3">
        <v>0</v>
      </c>
      <c r="J296" s="3">
        <v>8</v>
      </c>
      <c r="K296" s="3">
        <v>0</v>
      </c>
      <c r="L296" s="3">
        <v>0</v>
      </c>
      <c r="M296" s="3">
        <v>0</v>
      </c>
      <c r="N296" s="3" t="s">
        <v>5218</v>
      </c>
      <c r="O296" s="3">
        <v>7</v>
      </c>
      <c r="P296" s="3">
        <v>4.8</v>
      </c>
      <c r="Q296" s="3">
        <v>0</v>
      </c>
      <c r="R296" s="3">
        <v>0</v>
      </c>
      <c r="S296" s="3">
        <v>0</v>
      </c>
      <c r="T296" s="3">
        <v>2</v>
      </c>
      <c r="U296" s="3">
        <v>2</v>
      </c>
      <c r="V296" s="3">
        <v>2</v>
      </c>
      <c r="W296" s="3"/>
      <c r="X296" s="3">
        <v>26.98</v>
      </c>
      <c r="Y296" s="3">
        <v>26.98</v>
      </c>
      <c r="Z296" s="3">
        <v>26.98</v>
      </c>
      <c r="AA296" s="3">
        <v>0</v>
      </c>
      <c r="AB296" s="3" t="s">
        <v>5223</v>
      </c>
      <c r="AC296" s="3">
        <v>8</v>
      </c>
      <c r="AD296" s="3">
        <v>26.98</v>
      </c>
      <c r="AE296" s="3">
        <v>0</v>
      </c>
      <c r="AF296" s="3">
        <v>0</v>
      </c>
      <c r="AG296" s="3">
        <v>0</v>
      </c>
      <c r="AH296" s="3">
        <v>0.210526315789473</v>
      </c>
      <c r="AI296" s="3" t="s">
        <v>5224</v>
      </c>
      <c r="AJ296" s="3" t="s">
        <v>5222</v>
      </c>
    </row>
    <row r="297" spans="1:36">
      <c r="A297" s="5">
        <v>43288</v>
      </c>
      <c r="B297" s="3" t="s">
        <v>2752</v>
      </c>
      <c r="C297" s="3" t="s">
        <v>2753</v>
      </c>
      <c r="D297" s="3" t="s">
        <v>2754</v>
      </c>
      <c r="E297" s="3" t="s">
        <v>1725</v>
      </c>
      <c r="F297" s="3" t="s">
        <v>120</v>
      </c>
      <c r="G297" s="3">
        <v>14</v>
      </c>
      <c r="H297" s="3">
        <v>0</v>
      </c>
      <c r="I297" s="3">
        <v>14</v>
      </c>
      <c r="J297" s="3">
        <v>0</v>
      </c>
      <c r="K297" s="3">
        <v>0</v>
      </c>
      <c r="L297" s="3">
        <v>0</v>
      </c>
      <c r="M297" s="3">
        <v>0</v>
      </c>
      <c r="N297" s="3" t="s">
        <v>5218</v>
      </c>
      <c r="O297" s="3">
        <v>0</v>
      </c>
      <c r="P297" s="3">
        <v>0</v>
      </c>
      <c r="Q297" s="3">
        <v>0</v>
      </c>
      <c r="R297" s="3">
        <v>0</v>
      </c>
      <c r="S297" s="3">
        <v>0</v>
      </c>
      <c r="T297" s="3">
        <v>2</v>
      </c>
      <c r="U297" s="3">
        <v>2</v>
      </c>
      <c r="V297" s="3">
        <v>2</v>
      </c>
      <c r="W297" s="3" t="s">
        <v>5227</v>
      </c>
      <c r="X297" s="3">
        <v>22.98</v>
      </c>
      <c r="Y297" s="3">
        <v>22.98</v>
      </c>
      <c r="Z297" s="3">
        <v>22.98</v>
      </c>
      <c r="AA297" s="3">
        <v>0</v>
      </c>
      <c r="AB297" s="3" t="s">
        <v>5223</v>
      </c>
      <c r="AC297" s="3">
        <v>14</v>
      </c>
      <c r="AD297" s="3">
        <v>22.98</v>
      </c>
      <c r="AE297" s="3">
        <v>0</v>
      </c>
      <c r="AF297" s="3">
        <v>0</v>
      </c>
      <c r="AG297" s="3">
        <v>0</v>
      </c>
      <c r="AH297" s="3">
        <v>0.285714285714285</v>
      </c>
      <c r="AI297" s="3" t="s">
        <v>5236</v>
      </c>
      <c r="AJ297" s="3" t="s">
        <v>5222</v>
      </c>
    </row>
    <row r="298" spans="1:36">
      <c r="A298" s="5">
        <v>43288</v>
      </c>
      <c r="B298" s="3" t="s">
        <v>2228</v>
      </c>
      <c r="C298" s="3" t="s">
        <v>2229</v>
      </c>
      <c r="D298" s="3" t="s">
        <v>2229</v>
      </c>
      <c r="E298" s="3" t="s">
        <v>2230</v>
      </c>
      <c r="F298" s="3" t="s">
        <v>120</v>
      </c>
      <c r="G298" s="3">
        <v>11</v>
      </c>
      <c r="H298" s="3">
        <v>0</v>
      </c>
      <c r="I298" s="3">
        <v>2</v>
      </c>
      <c r="J298" s="3">
        <v>0</v>
      </c>
      <c r="K298" s="3">
        <v>9</v>
      </c>
      <c r="L298" s="3">
        <v>0</v>
      </c>
      <c r="M298" s="3">
        <v>0</v>
      </c>
      <c r="N298" s="3" t="s">
        <v>5218</v>
      </c>
      <c r="O298" s="3">
        <v>9</v>
      </c>
      <c r="P298" s="3">
        <v>13.98</v>
      </c>
      <c r="Q298" s="3">
        <v>0</v>
      </c>
      <c r="R298" s="3">
        <v>0</v>
      </c>
      <c r="S298" s="3">
        <v>0</v>
      </c>
      <c r="T298" s="3">
        <v>2</v>
      </c>
      <c r="U298" s="3">
        <v>4</v>
      </c>
      <c r="V298" s="3">
        <v>5</v>
      </c>
      <c r="W298" s="3"/>
      <c r="X298" s="3">
        <v>12.98</v>
      </c>
      <c r="Y298" s="3">
        <v>12.98</v>
      </c>
      <c r="Z298" s="3">
        <v>12.98</v>
      </c>
      <c r="AA298" s="3">
        <v>0</v>
      </c>
      <c r="AB298" s="3" t="s">
        <v>5223</v>
      </c>
      <c r="AC298" s="3">
        <v>11</v>
      </c>
      <c r="AD298" s="3">
        <v>12.98</v>
      </c>
      <c r="AE298" s="3">
        <v>0</v>
      </c>
      <c r="AF298" s="3">
        <v>0</v>
      </c>
      <c r="AG298" s="3">
        <v>0</v>
      </c>
      <c r="AH298" s="3">
        <v>0.392156862745098</v>
      </c>
      <c r="AI298" s="3" t="s">
        <v>5260</v>
      </c>
      <c r="AJ298" s="3" t="s">
        <v>5222</v>
      </c>
    </row>
    <row r="299" spans="1:36">
      <c r="A299" s="5">
        <v>43288</v>
      </c>
      <c r="B299" s="3" t="s">
        <v>1074</v>
      </c>
      <c r="C299" s="3" t="s">
        <v>1075</v>
      </c>
      <c r="D299" s="3" t="s">
        <v>1076</v>
      </c>
      <c r="E299" s="3" t="s">
        <v>1077</v>
      </c>
      <c r="F299" s="3" t="s">
        <v>120</v>
      </c>
      <c r="G299" s="3">
        <v>14</v>
      </c>
      <c r="H299" s="3">
        <v>0</v>
      </c>
      <c r="I299" s="3">
        <v>14</v>
      </c>
      <c r="J299" s="3">
        <v>0</v>
      </c>
      <c r="K299" s="3">
        <v>0</v>
      </c>
      <c r="L299" s="3">
        <v>0</v>
      </c>
      <c r="M299" s="3">
        <v>0</v>
      </c>
      <c r="N299" s="3" t="s">
        <v>5218</v>
      </c>
      <c r="O299" s="3">
        <v>0</v>
      </c>
      <c r="P299" s="3">
        <v>0</v>
      </c>
      <c r="Q299" s="3">
        <v>0</v>
      </c>
      <c r="R299" s="3">
        <v>0</v>
      </c>
      <c r="S299" s="3">
        <v>1</v>
      </c>
      <c r="T299" s="3">
        <v>1</v>
      </c>
      <c r="U299" s="3">
        <v>1</v>
      </c>
      <c r="V299" s="3">
        <v>1</v>
      </c>
      <c r="W299" s="3"/>
      <c r="X299" s="3">
        <v>22.98</v>
      </c>
      <c r="Y299" s="3">
        <v>22.98</v>
      </c>
      <c r="Z299" s="3">
        <v>22.98</v>
      </c>
      <c r="AA299" s="3">
        <v>0</v>
      </c>
      <c r="AB299" s="3" t="s">
        <v>5223</v>
      </c>
      <c r="AC299" s="3">
        <v>15</v>
      </c>
      <c r="AD299" s="3">
        <v>22.98</v>
      </c>
      <c r="AE299" s="3">
        <v>0</v>
      </c>
      <c r="AF299" s="3">
        <v>0</v>
      </c>
      <c r="AG299" s="3">
        <v>0</v>
      </c>
      <c r="AH299" s="3">
        <v>1.2</v>
      </c>
      <c r="AI299" s="3" t="s">
        <v>5238</v>
      </c>
      <c r="AJ299" s="3" t="s">
        <v>5222</v>
      </c>
    </row>
    <row r="300" spans="1:36">
      <c r="A300" s="5">
        <v>43288</v>
      </c>
      <c r="B300" s="3" t="s">
        <v>3132</v>
      </c>
      <c r="C300" s="3" t="s">
        <v>3133</v>
      </c>
      <c r="D300" s="3" t="s">
        <v>3133</v>
      </c>
      <c r="E300" s="3" t="s">
        <v>3134</v>
      </c>
      <c r="F300" s="3" t="s">
        <v>120</v>
      </c>
      <c r="G300" s="3">
        <v>5</v>
      </c>
      <c r="H300" s="3">
        <v>0</v>
      </c>
      <c r="I300" s="3">
        <v>0</v>
      </c>
      <c r="J300" s="3">
        <v>0</v>
      </c>
      <c r="K300" s="3">
        <v>0</v>
      </c>
      <c r="L300" s="3">
        <v>5</v>
      </c>
      <c r="M300" s="3">
        <v>0</v>
      </c>
      <c r="N300" s="3" t="s">
        <v>5218</v>
      </c>
      <c r="O300" s="3">
        <v>2</v>
      </c>
      <c r="P300" s="3">
        <v>1.79</v>
      </c>
      <c r="Q300" s="3">
        <v>3</v>
      </c>
      <c r="R300" s="3">
        <v>5.37</v>
      </c>
      <c r="S300" s="3">
        <v>0</v>
      </c>
      <c r="T300" s="3">
        <v>0</v>
      </c>
      <c r="U300" s="3">
        <v>0</v>
      </c>
      <c r="V300" s="3">
        <v>0</v>
      </c>
      <c r="W300" s="3" t="s">
        <v>5227</v>
      </c>
      <c r="X300" s="3">
        <v>15.98</v>
      </c>
      <c r="Y300" s="3">
        <v>15.98</v>
      </c>
      <c r="Z300" s="3">
        <v>15.98</v>
      </c>
      <c r="AA300" s="3">
        <v>0</v>
      </c>
      <c r="AB300" s="3" t="s">
        <v>5228</v>
      </c>
      <c r="AC300" s="3">
        <v>0</v>
      </c>
      <c r="AD300" s="3">
        <v>12.78</v>
      </c>
      <c r="AE300" s="3">
        <v>63</v>
      </c>
      <c r="AF300" s="3">
        <v>0</v>
      </c>
      <c r="AG300" s="3">
        <v>59.242057</v>
      </c>
      <c r="AH300" s="3">
        <v>0</v>
      </c>
      <c r="AI300" s="3" t="s">
        <v>5231</v>
      </c>
      <c r="AJ300" s="3" t="s">
        <v>5222</v>
      </c>
    </row>
    <row r="301" spans="1:36">
      <c r="A301" s="5">
        <v>43288</v>
      </c>
      <c r="B301" s="3" t="s">
        <v>261</v>
      </c>
      <c r="C301" s="3" t="s">
        <v>262</v>
      </c>
      <c r="D301" s="3" t="s">
        <v>262</v>
      </c>
      <c r="E301" s="3" t="s">
        <v>263</v>
      </c>
      <c r="F301" s="3" t="s">
        <v>120</v>
      </c>
      <c r="G301" s="3">
        <v>2</v>
      </c>
      <c r="H301" s="3">
        <v>0</v>
      </c>
      <c r="I301" s="3">
        <v>1</v>
      </c>
      <c r="J301" s="3">
        <v>0</v>
      </c>
      <c r="K301" s="3">
        <v>1</v>
      </c>
      <c r="L301" s="3">
        <v>0</v>
      </c>
      <c r="M301" s="3">
        <v>0</v>
      </c>
      <c r="N301" s="3" t="s">
        <v>5218</v>
      </c>
      <c r="O301" s="3">
        <v>1</v>
      </c>
      <c r="P301" s="3">
        <v>5.49</v>
      </c>
      <c r="Q301" s="3">
        <v>0</v>
      </c>
      <c r="R301" s="3">
        <v>0</v>
      </c>
      <c r="S301" s="3">
        <v>0</v>
      </c>
      <c r="T301" s="3">
        <v>0</v>
      </c>
      <c r="U301" s="3">
        <v>0</v>
      </c>
      <c r="V301" s="3">
        <v>3</v>
      </c>
      <c r="W301" s="3" t="s">
        <v>5219</v>
      </c>
      <c r="X301" s="3">
        <v>65.98</v>
      </c>
      <c r="Y301" s="3">
        <v>65.98</v>
      </c>
      <c r="Z301" s="3">
        <v>65.98</v>
      </c>
      <c r="AA301" s="3">
        <v>0</v>
      </c>
      <c r="AB301" s="3" t="s">
        <v>5220</v>
      </c>
      <c r="AC301" s="3">
        <v>0</v>
      </c>
      <c r="AD301" s="3">
        <v>60.57</v>
      </c>
      <c r="AE301" s="3">
        <v>91</v>
      </c>
      <c r="AF301" s="3">
        <v>0</v>
      </c>
      <c r="AG301" s="3">
        <v>163.324067</v>
      </c>
      <c r="AH301" s="3">
        <v>1.5</v>
      </c>
      <c r="AI301" s="3" t="s">
        <v>5343</v>
      </c>
      <c r="AJ301" s="3" t="s">
        <v>5222</v>
      </c>
    </row>
    <row r="302" spans="1:36">
      <c r="A302" s="5">
        <v>43288</v>
      </c>
      <c r="B302" s="3" t="s">
        <v>5083</v>
      </c>
      <c r="C302" s="3" t="s">
        <v>4788</v>
      </c>
      <c r="D302" s="3" t="s">
        <v>4788</v>
      </c>
      <c r="E302" s="3" t="s">
        <v>4914</v>
      </c>
      <c r="F302" s="3" t="s">
        <v>120</v>
      </c>
      <c r="G302" s="3">
        <v>9</v>
      </c>
      <c r="H302" s="3">
        <v>0</v>
      </c>
      <c r="I302" s="3">
        <v>9</v>
      </c>
      <c r="J302" s="3">
        <v>0</v>
      </c>
      <c r="K302" s="3">
        <v>0</v>
      </c>
      <c r="L302" s="3">
        <v>0</v>
      </c>
      <c r="M302" s="3">
        <v>0</v>
      </c>
      <c r="N302" s="3" t="s">
        <v>5218</v>
      </c>
      <c r="O302" s="3">
        <v>0</v>
      </c>
      <c r="P302" s="3">
        <v>0</v>
      </c>
      <c r="Q302" s="3">
        <v>0</v>
      </c>
      <c r="R302" s="3">
        <v>0</v>
      </c>
      <c r="S302" s="3">
        <v>0</v>
      </c>
      <c r="T302" s="3">
        <v>1</v>
      </c>
      <c r="U302" s="3">
        <v>3</v>
      </c>
      <c r="V302" s="3">
        <v>4</v>
      </c>
      <c r="W302" s="3" t="s">
        <v>5227</v>
      </c>
      <c r="X302" s="3">
        <v>22.98</v>
      </c>
      <c r="Y302" s="3">
        <v>22.98</v>
      </c>
      <c r="Z302" s="3">
        <v>22.98</v>
      </c>
      <c r="AA302" s="3">
        <v>0</v>
      </c>
      <c r="AB302" s="3" t="s">
        <v>5223</v>
      </c>
      <c r="AC302" s="3">
        <v>9</v>
      </c>
      <c r="AD302" s="3">
        <v>22.98</v>
      </c>
      <c r="AE302" s="3">
        <v>0</v>
      </c>
      <c r="AF302" s="3">
        <v>0</v>
      </c>
      <c r="AG302" s="3">
        <v>0</v>
      </c>
      <c r="AH302" s="3">
        <v>0.842105263157894</v>
      </c>
      <c r="AI302" s="3" t="s">
        <v>5261</v>
      </c>
      <c r="AJ302" s="3" t="s">
        <v>5222</v>
      </c>
    </row>
    <row r="303" spans="1:36">
      <c r="A303" s="5">
        <v>43288</v>
      </c>
      <c r="B303" s="3" t="s">
        <v>655</v>
      </c>
      <c r="C303" s="3" t="s">
        <v>656</v>
      </c>
      <c r="D303" s="3" t="s">
        <v>656</v>
      </c>
      <c r="E303" s="3" t="s">
        <v>657</v>
      </c>
      <c r="F303" s="3" t="s">
        <v>120</v>
      </c>
      <c r="G303" s="3">
        <v>10</v>
      </c>
      <c r="H303" s="3">
        <v>0</v>
      </c>
      <c r="I303" s="3">
        <v>9</v>
      </c>
      <c r="J303" s="3">
        <v>1</v>
      </c>
      <c r="K303" s="3">
        <v>0</v>
      </c>
      <c r="L303" s="3">
        <v>0</v>
      </c>
      <c r="M303" s="3">
        <v>0</v>
      </c>
      <c r="N303" s="3" t="s">
        <v>5218</v>
      </c>
      <c r="O303" s="3">
        <v>0</v>
      </c>
      <c r="P303" s="3">
        <v>0</v>
      </c>
      <c r="Q303" s="3">
        <v>0</v>
      </c>
      <c r="R303" s="3">
        <v>0</v>
      </c>
      <c r="S303" s="3">
        <v>0</v>
      </c>
      <c r="T303" s="3">
        <v>0</v>
      </c>
      <c r="U303" s="3">
        <v>1</v>
      </c>
      <c r="V303" s="3">
        <v>3</v>
      </c>
      <c r="W303" s="3" t="s">
        <v>5227</v>
      </c>
      <c r="X303" s="3">
        <v>24.98</v>
      </c>
      <c r="Y303" s="3">
        <v>24.98</v>
      </c>
      <c r="Z303" s="3">
        <v>24.98</v>
      </c>
      <c r="AA303" s="3">
        <v>0</v>
      </c>
      <c r="AB303" s="3" t="s">
        <v>5228</v>
      </c>
      <c r="AC303" s="3">
        <v>0</v>
      </c>
      <c r="AD303" s="3">
        <v>22.67</v>
      </c>
      <c r="AE303" s="3">
        <v>147</v>
      </c>
      <c r="AF303" s="3">
        <v>0</v>
      </c>
      <c r="AG303" s="3">
        <v>309.133674</v>
      </c>
      <c r="AH303" s="3">
        <v>0.545454545454545</v>
      </c>
      <c r="AI303" s="3" t="s">
        <v>5250</v>
      </c>
      <c r="AJ303" s="3" t="s">
        <v>5222</v>
      </c>
    </row>
    <row r="304" spans="1:36">
      <c r="A304" s="5">
        <v>43288</v>
      </c>
      <c r="B304" s="3" t="s">
        <v>2809</v>
      </c>
      <c r="C304" s="3" t="s">
        <v>70</v>
      </c>
      <c r="D304" s="3" t="s">
        <v>70</v>
      </c>
      <c r="E304" s="3" t="s">
        <v>2810</v>
      </c>
      <c r="F304" s="3" t="s">
        <v>120</v>
      </c>
      <c r="G304" s="3">
        <v>51</v>
      </c>
      <c r="H304" s="3">
        <v>0</v>
      </c>
      <c r="I304" s="3">
        <v>32</v>
      </c>
      <c r="J304" s="3">
        <v>19</v>
      </c>
      <c r="K304" s="3">
        <v>0</v>
      </c>
      <c r="L304" s="3">
        <v>0</v>
      </c>
      <c r="M304" s="3">
        <v>0</v>
      </c>
      <c r="N304" s="3" t="s">
        <v>5218</v>
      </c>
      <c r="O304" s="3">
        <v>9</v>
      </c>
      <c r="P304" s="3">
        <v>14.77</v>
      </c>
      <c r="Q304" s="3">
        <v>0</v>
      </c>
      <c r="R304" s="3">
        <v>0</v>
      </c>
      <c r="S304" s="3">
        <v>0</v>
      </c>
      <c r="T304" s="3">
        <v>1</v>
      </c>
      <c r="U304" s="3">
        <v>4</v>
      </c>
      <c r="V304" s="3">
        <v>10</v>
      </c>
      <c r="W304" s="3" t="s">
        <v>5227</v>
      </c>
      <c r="X304" s="3">
        <v>19.53</v>
      </c>
      <c r="Y304" s="3">
        <v>19.53</v>
      </c>
      <c r="Z304" s="3">
        <v>19.53</v>
      </c>
      <c r="AA304" s="3">
        <v>0</v>
      </c>
      <c r="AB304" s="3" t="s">
        <v>5223</v>
      </c>
      <c r="AC304" s="3">
        <v>51</v>
      </c>
      <c r="AD304" s="3">
        <v>19.53</v>
      </c>
      <c r="AE304" s="3">
        <v>0</v>
      </c>
      <c r="AF304" s="3">
        <v>0</v>
      </c>
      <c r="AG304" s="3">
        <v>0</v>
      </c>
      <c r="AH304" s="3">
        <v>0.225988700564971</v>
      </c>
      <c r="AI304" s="3" t="s">
        <v>5240</v>
      </c>
      <c r="AJ304" s="3" t="s">
        <v>5222</v>
      </c>
    </row>
    <row r="305" spans="1:36">
      <c r="A305" s="5">
        <v>43288</v>
      </c>
      <c r="B305" s="3" t="s">
        <v>285</v>
      </c>
      <c r="C305" s="3" t="s">
        <v>286</v>
      </c>
      <c r="D305" s="3" t="s">
        <v>286</v>
      </c>
      <c r="E305" s="3" t="s">
        <v>287</v>
      </c>
      <c r="F305" s="3" t="s">
        <v>120</v>
      </c>
      <c r="G305" s="3">
        <v>1</v>
      </c>
      <c r="H305" s="3">
        <v>0</v>
      </c>
      <c r="I305" s="3">
        <v>1</v>
      </c>
      <c r="J305" s="3">
        <v>0</v>
      </c>
      <c r="K305" s="3">
        <v>0</v>
      </c>
      <c r="L305" s="3">
        <v>0</v>
      </c>
      <c r="M305" s="3">
        <v>0</v>
      </c>
      <c r="N305" s="3" t="s">
        <v>5218</v>
      </c>
      <c r="O305" s="3">
        <v>0</v>
      </c>
      <c r="P305" s="3">
        <v>0</v>
      </c>
      <c r="Q305" s="3">
        <v>0</v>
      </c>
      <c r="R305" s="3">
        <v>0</v>
      </c>
      <c r="S305" s="3">
        <v>0</v>
      </c>
      <c r="T305" s="3">
        <v>1</v>
      </c>
      <c r="U305" s="3">
        <v>1</v>
      </c>
      <c r="V305" s="3">
        <v>1</v>
      </c>
      <c r="W305" s="3" t="s">
        <v>5219</v>
      </c>
      <c r="X305" s="3">
        <v>64.98</v>
      </c>
      <c r="Y305" s="3">
        <v>64.98</v>
      </c>
      <c r="Z305" s="3">
        <v>64.98</v>
      </c>
      <c r="AA305" s="3">
        <v>0</v>
      </c>
      <c r="AB305" s="3" t="s">
        <v>5220</v>
      </c>
      <c r="AC305" s="3">
        <v>0</v>
      </c>
      <c r="AD305" s="3">
        <v>0</v>
      </c>
      <c r="AE305" s="3">
        <v>0</v>
      </c>
      <c r="AF305" s="3">
        <v>0</v>
      </c>
      <c r="AG305" s="3">
        <v>0</v>
      </c>
      <c r="AH305" s="3">
        <v>1</v>
      </c>
      <c r="AI305" s="3" t="s">
        <v>5282</v>
      </c>
      <c r="AJ305" s="3" t="s">
        <v>5222</v>
      </c>
    </row>
    <row r="306" spans="1:36">
      <c r="A306" s="5">
        <v>43288</v>
      </c>
      <c r="B306" s="3" t="s">
        <v>401</v>
      </c>
      <c r="C306" s="3" t="s">
        <v>402</v>
      </c>
      <c r="D306" s="3" t="s">
        <v>403</v>
      </c>
      <c r="E306" s="3" t="s">
        <v>404</v>
      </c>
      <c r="F306" s="3" t="s">
        <v>120</v>
      </c>
      <c r="G306" s="3">
        <v>18</v>
      </c>
      <c r="H306" s="3">
        <v>0</v>
      </c>
      <c r="I306" s="3">
        <v>18</v>
      </c>
      <c r="J306" s="3">
        <v>0</v>
      </c>
      <c r="K306" s="3">
        <v>0</v>
      </c>
      <c r="L306" s="3">
        <v>0</v>
      </c>
      <c r="M306" s="3">
        <v>0</v>
      </c>
      <c r="N306" s="3" t="s">
        <v>5218</v>
      </c>
      <c r="O306" s="3">
        <v>0</v>
      </c>
      <c r="P306" s="3">
        <v>0</v>
      </c>
      <c r="Q306" s="3">
        <v>0</v>
      </c>
      <c r="R306" s="3">
        <v>0</v>
      </c>
      <c r="S306" s="3">
        <v>1</v>
      </c>
      <c r="T306" s="3">
        <v>1</v>
      </c>
      <c r="U306" s="3">
        <v>1</v>
      </c>
      <c r="V306" s="3">
        <v>1</v>
      </c>
      <c r="W306" s="3" t="s">
        <v>5227</v>
      </c>
      <c r="X306" s="3">
        <v>23.98</v>
      </c>
      <c r="Y306" s="3">
        <v>23.98</v>
      </c>
      <c r="Z306" s="3">
        <v>23.98</v>
      </c>
      <c r="AA306" s="3">
        <v>0</v>
      </c>
      <c r="AB306" s="3" t="s">
        <v>5228</v>
      </c>
      <c r="AC306" s="3">
        <v>20</v>
      </c>
      <c r="AD306" s="3">
        <v>22.98</v>
      </c>
      <c r="AE306" s="3">
        <v>0</v>
      </c>
      <c r="AF306" s="3">
        <v>0</v>
      </c>
      <c r="AG306" s="3">
        <v>0</v>
      </c>
      <c r="AH306" s="3">
        <v>7.86206896551724</v>
      </c>
      <c r="AI306" s="3" t="s">
        <v>5257</v>
      </c>
      <c r="AJ306" s="3" t="s">
        <v>5222</v>
      </c>
    </row>
    <row r="307" spans="1:36">
      <c r="A307" s="5">
        <v>43288</v>
      </c>
      <c r="B307" s="3" t="s">
        <v>5180</v>
      </c>
      <c r="C307" s="3" t="s">
        <v>5181</v>
      </c>
      <c r="D307" s="3" t="s">
        <v>5181</v>
      </c>
      <c r="E307" s="3" t="s">
        <v>5182</v>
      </c>
      <c r="F307" s="3" t="s">
        <v>120</v>
      </c>
      <c r="G307" s="3">
        <v>9</v>
      </c>
      <c r="H307" s="3">
        <v>0</v>
      </c>
      <c r="I307" s="3">
        <v>0</v>
      </c>
      <c r="J307" s="3">
        <v>4</v>
      </c>
      <c r="K307" s="3">
        <v>5</v>
      </c>
      <c r="L307" s="3">
        <v>0</v>
      </c>
      <c r="M307" s="3">
        <v>0</v>
      </c>
      <c r="N307" s="3" t="s">
        <v>5218</v>
      </c>
      <c r="O307" s="3">
        <v>9</v>
      </c>
      <c r="P307" s="3">
        <v>27.35</v>
      </c>
      <c r="Q307" s="3">
        <v>0</v>
      </c>
      <c r="R307" s="3">
        <v>0</v>
      </c>
      <c r="S307" s="3">
        <v>0</v>
      </c>
      <c r="T307" s="3">
        <v>0</v>
      </c>
      <c r="U307" s="3">
        <v>0</v>
      </c>
      <c r="V307" s="3">
        <v>0</v>
      </c>
      <c r="W307" s="3" t="s">
        <v>5219</v>
      </c>
      <c r="X307" s="3">
        <v>29.98</v>
      </c>
      <c r="Y307" s="3">
        <v>29.98</v>
      </c>
      <c r="Z307" s="3">
        <v>29.98</v>
      </c>
      <c r="AA307" s="3">
        <v>0</v>
      </c>
      <c r="AB307" s="3" t="s">
        <v>5228</v>
      </c>
      <c r="AC307" s="3">
        <v>0</v>
      </c>
      <c r="AD307" s="3">
        <v>23.98</v>
      </c>
      <c r="AE307" s="3">
        <v>63</v>
      </c>
      <c r="AF307" s="3">
        <v>0</v>
      </c>
      <c r="AG307" s="3">
        <v>332.644264</v>
      </c>
      <c r="AH307" s="3">
        <v>0</v>
      </c>
      <c r="AI307" s="3" t="s">
        <v>5344</v>
      </c>
      <c r="AJ307" s="3" t="s">
        <v>5222</v>
      </c>
    </row>
    <row r="308" spans="1:36">
      <c r="A308" s="5">
        <v>43288</v>
      </c>
      <c r="B308" s="3" t="s">
        <v>1648</v>
      </c>
      <c r="C308" s="3" t="s">
        <v>1649</v>
      </c>
      <c r="D308" s="3" t="s">
        <v>1649</v>
      </c>
      <c r="E308" s="3" t="s">
        <v>1650</v>
      </c>
      <c r="F308" s="3" t="s">
        <v>120</v>
      </c>
      <c r="G308" s="3">
        <v>15</v>
      </c>
      <c r="H308" s="3">
        <v>0</v>
      </c>
      <c r="I308" s="3">
        <v>3</v>
      </c>
      <c r="J308" s="3">
        <v>4</v>
      </c>
      <c r="K308" s="3">
        <v>8</v>
      </c>
      <c r="L308" s="3">
        <v>0</v>
      </c>
      <c r="M308" s="3">
        <v>0</v>
      </c>
      <c r="N308" s="3" t="s">
        <v>5218</v>
      </c>
      <c r="O308" s="3">
        <v>11</v>
      </c>
      <c r="P308" s="3">
        <v>9.82</v>
      </c>
      <c r="Q308" s="3">
        <v>0</v>
      </c>
      <c r="R308" s="3">
        <v>0</v>
      </c>
      <c r="S308" s="3">
        <v>4</v>
      </c>
      <c r="T308" s="3">
        <v>7</v>
      </c>
      <c r="U308" s="3">
        <v>9</v>
      </c>
      <c r="V308" s="3">
        <v>12</v>
      </c>
      <c r="W308" s="3"/>
      <c r="X308" s="3">
        <v>39.98</v>
      </c>
      <c r="Y308" s="3">
        <v>20.98</v>
      </c>
      <c r="Z308" s="3">
        <v>19.98</v>
      </c>
      <c r="AA308" s="3">
        <v>0</v>
      </c>
      <c r="AB308" s="3" t="s">
        <v>5223</v>
      </c>
      <c r="AC308" s="3">
        <v>17</v>
      </c>
      <c r="AD308" s="3">
        <v>20.98</v>
      </c>
      <c r="AE308" s="3">
        <v>0</v>
      </c>
      <c r="AF308" s="3">
        <v>0</v>
      </c>
      <c r="AG308" s="3">
        <v>0</v>
      </c>
      <c r="AH308" s="3">
        <v>0.585365853658536</v>
      </c>
      <c r="AI308" s="3" t="s">
        <v>5345</v>
      </c>
      <c r="AJ308" s="3" t="s">
        <v>5222</v>
      </c>
    </row>
    <row r="309" spans="1:36">
      <c r="A309" s="5">
        <v>43288</v>
      </c>
      <c r="B309" s="3" t="s">
        <v>5115</v>
      </c>
      <c r="C309" s="3" t="s">
        <v>5116</v>
      </c>
      <c r="D309" s="3" t="s">
        <v>5116</v>
      </c>
      <c r="E309" s="3" t="s">
        <v>5117</v>
      </c>
      <c r="F309" s="3" t="s">
        <v>120</v>
      </c>
      <c r="G309" s="3">
        <v>9</v>
      </c>
      <c r="H309" s="3">
        <v>0</v>
      </c>
      <c r="I309" s="3">
        <v>2</v>
      </c>
      <c r="J309" s="3">
        <v>5</v>
      </c>
      <c r="K309" s="3">
        <v>2</v>
      </c>
      <c r="L309" s="3">
        <v>0</v>
      </c>
      <c r="M309" s="3">
        <v>0</v>
      </c>
      <c r="N309" s="3" t="s">
        <v>5218</v>
      </c>
      <c r="O309" s="3">
        <v>7</v>
      </c>
      <c r="P309" s="3">
        <v>22.91</v>
      </c>
      <c r="Q309" s="3">
        <v>0</v>
      </c>
      <c r="R309" s="3">
        <v>0</v>
      </c>
      <c r="S309" s="3">
        <v>0</v>
      </c>
      <c r="T309" s="3">
        <v>0</v>
      </c>
      <c r="U309" s="3">
        <v>2</v>
      </c>
      <c r="V309" s="3">
        <v>2</v>
      </c>
      <c r="W309" s="3" t="s">
        <v>5219</v>
      </c>
      <c r="X309" s="3">
        <v>29.98</v>
      </c>
      <c r="Y309" s="3">
        <v>29.98</v>
      </c>
      <c r="Z309" s="3">
        <v>29.98</v>
      </c>
      <c r="AA309" s="3">
        <v>0</v>
      </c>
      <c r="AB309" s="3" t="s">
        <v>5228</v>
      </c>
      <c r="AC309" s="3">
        <v>7</v>
      </c>
      <c r="AD309" s="3">
        <v>26.27</v>
      </c>
      <c r="AE309" s="3">
        <v>35</v>
      </c>
      <c r="AF309" s="3">
        <v>0</v>
      </c>
      <c r="AG309" s="3">
        <v>0.900953</v>
      </c>
      <c r="AH309" s="3">
        <v>0.222222222222222</v>
      </c>
      <c r="AI309" s="3" t="s">
        <v>5346</v>
      </c>
      <c r="AJ309" s="3" t="s">
        <v>5222</v>
      </c>
    </row>
    <row r="310" spans="1:36">
      <c r="A310" s="5">
        <v>43288</v>
      </c>
      <c r="B310" s="3" t="s">
        <v>1510</v>
      </c>
      <c r="C310" s="3" t="s">
        <v>72</v>
      </c>
      <c r="D310" s="3" t="s">
        <v>72</v>
      </c>
      <c r="E310" s="3" t="s">
        <v>1511</v>
      </c>
      <c r="F310" s="3" t="s">
        <v>120</v>
      </c>
      <c r="G310" s="3">
        <v>11</v>
      </c>
      <c r="H310" s="3">
        <v>0</v>
      </c>
      <c r="I310" s="3">
        <v>1</v>
      </c>
      <c r="J310" s="3">
        <v>10</v>
      </c>
      <c r="K310" s="3">
        <v>0</v>
      </c>
      <c r="L310" s="3">
        <v>0</v>
      </c>
      <c r="M310" s="3">
        <v>0</v>
      </c>
      <c r="N310" s="3" t="s">
        <v>5218</v>
      </c>
      <c r="O310" s="3">
        <v>8</v>
      </c>
      <c r="P310" s="3">
        <v>9.91</v>
      </c>
      <c r="Q310" s="3">
        <v>0</v>
      </c>
      <c r="R310" s="3">
        <v>0</v>
      </c>
      <c r="S310" s="3">
        <v>1</v>
      </c>
      <c r="T310" s="3">
        <v>6</v>
      </c>
      <c r="U310" s="3">
        <v>10</v>
      </c>
      <c r="V310" s="3">
        <v>15</v>
      </c>
      <c r="W310" s="3"/>
      <c r="X310" s="3">
        <v>22.98</v>
      </c>
      <c r="Y310" s="3">
        <v>22.98</v>
      </c>
      <c r="Z310" s="3">
        <v>19.98</v>
      </c>
      <c r="AA310" s="3">
        <v>0</v>
      </c>
      <c r="AB310" s="3" t="s">
        <v>5223</v>
      </c>
      <c r="AC310" s="3">
        <v>12</v>
      </c>
      <c r="AD310" s="3">
        <v>22.98</v>
      </c>
      <c r="AE310" s="3">
        <v>0</v>
      </c>
      <c r="AF310" s="3">
        <v>0</v>
      </c>
      <c r="AG310" s="3">
        <v>0</v>
      </c>
      <c r="AH310" s="3">
        <v>0.789473684210526</v>
      </c>
      <c r="AI310" s="3" t="s">
        <v>5347</v>
      </c>
      <c r="AJ310" s="3" t="s">
        <v>5222</v>
      </c>
    </row>
    <row r="311" spans="1:36">
      <c r="A311" s="5">
        <v>43288</v>
      </c>
      <c r="B311" s="3" t="s">
        <v>4826</v>
      </c>
      <c r="C311" s="3" t="s">
        <v>4827</v>
      </c>
      <c r="D311" s="3" t="s">
        <v>4827</v>
      </c>
      <c r="E311" s="3" t="s">
        <v>4828</v>
      </c>
      <c r="F311" s="3" t="s">
        <v>120</v>
      </c>
      <c r="G311" s="3">
        <v>2</v>
      </c>
      <c r="H311" s="3">
        <v>0</v>
      </c>
      <c r="I311" s="3">
        <v>0</v>
      </c>
      <c r="J311" s="3">
        <v>1</v>
      </c>
      <c r="K311" s="3">
        <v>1</v>
      </c>
      <c r="L311" s="3">
        <v>0</v>
      </c>
      <c r="M311" s="3">
        <v>0</v>
      </c>
      <c r="N311" s="3" t="s">
        <v>5218</v>
      </c>
      <c r="O311" s="3">
        <v>2</v>
      </c>
      <c r="P311" s="3">
        <v>1.75</v>
      </c>
      <c r="Q311" s="3">
        <v>0</v>
      </c>
      <c r="R311" s="3">
        <v>0</v>
      </c>
      <c r="S311" s="3">
        <v>1</v>
      </c>
      <c r="T311" s="3">
        <v>4</v>
      </c>
      <c r="U311" s="3">
        <v>6</v>
      </c>
      <c r="V311" s="3">
        <v>6</v>
      </c>
      <c r="W311" s="3"/>
      <c r="X311" s="3">
        <v>18</v>
      </c>
      <c r="Y311" s="3">
        <v>18</v>
      </c>
      <c r="Z311" s="3">
        <v>18</v>
      </c>
      <c r="AA311" s="3">
        <v>0</v>
      </c>
      <c r="AB311" s="3" t="s">
        <v>5228</v>
      </c>
      <c r="AC311" s="3">
        <v>0</v>
      </c>
      <c r="AD311" s="3">
        <v>14.02</v>
      </c>
      <c r="AE311" s="3">
        <v>7</v>
      </c>
      <c r="AF311" s="3">
        <v>2</v>
      </c>
      <c r="AG311" s="3">
        <v>6.149497</v>
      </c>
      <c r="AH311" s="3">
        <v>1.04347826086956</v>
      </c>
      <c r="AI311" s="3" t="s">
        <v>5348</v>
      </c>
      <c r="AJ311" s="3" t="s">
        <v>5222</v>
      </c>
    </row>
    <row r="312" spans="1:36">
      <c r="A312" s="5">
        <v>43288</v>
      </c>
      <c r="B312" s="3" t="s">
        <v>2935</v>
      </c>
      <c r="C312" s="3" t="s">
        <v>1356</v>
      </c>
      <c r="D312" s="3" t="s">
        <v>1356</v>
      </c>
      <c r="E312" s="3" t="s">
        <v>1357</v>
      </c>
      <c r="F312" s="3" t="s">
        <v>120</v>
      </c>
      <c r="G312" s="3">
        <v>55</v>
      </c>
      <c r="H312" s="3">
        <v>0</v>
      </c>
      <c r="I312" s="3">
        <v>55</v>
      </c>
      <c r="J312" s="3">
        <v>0</v>
      </c>
      <c r="K312" s="3">
        <v>0</v>
      </c>
      <c r="L312" s="3">
        <v>0</v>
      </c>
      <c r="M312" s="3">
        <v>0</v>
      </c>
      <c r="N312" s="3" t="s">
        <v>5218</v>
      </c>
      <c r="O312" s="3">
        <v>0</v>
      </c>
      <c r="P312" s="3">
        <v>0</v>
      </c>
      <c r="Q312" s="3">
        <v>0</v>
      </c>
      <c r="R312" s="3">
        <v>0</v>
      </c>
      <c r="S312" s="3">
        <v>11</v>
      </c>
      <c r="T312" s="3">
        <v>55</v>
      </c>
      <c r="U312" s="3">
        <v>105</v>
      </c>
      <c r="V312" s="3">
        <v>135</v>
      </c>
      <c r="W312" s="3"/>
      <c r="X312" s="3">
        <v>24.98</v>
      </c>
      <c r="Y312" s="3">
        <v>24.98</v>
      </c>
      <c r="Z312" s="3">
        <v>24.98</v>
      </c>
      <c r="AA312" s="3">
        <v>0</v>
      </c>
      <c r="AB312" s="3" t="s">
        <v>5223</v>
      </c>
      <c r="AC312" s="3">
        <v>40</v>
      </c>
      <c r="AD312" s="3">
        <v>24.98</v>
      </c>
      <c r="AE312" s="3">
        <v>0</v>
      </c>
      <c r="AF312" s="3">
        <v>0</v>
      </c>
      <c r="AG312" s="3">
        <v>0</v>
      </c>
      <c r="AH312" s="3">
        <v>6.20689655172413</v>
      </c>
      <c r="AI312" s="3" t="s">
        <v>5306</v>
      </c>
      <c r="AJ312" s="3" t="s">
        <v>5222</v>
      </c>
    </row>
    <row r="313" spans="1:36">
      <c r="A313" s="5">
        <v>43288</v>
      </c>
      <c r="B313" s="3" t="s">
        <v>2313</v>
      </c>
      <c r="C313" s="3" t="s">
        <v>2314</v>
      </c>
      <c r="D313" s="3" t="s">
        <v>2314</v>
      </c>
      <c r="E313" s="3" t="s">
        <v>2315</v>
      </c>
      <c r="F313" s="3" t="s">
        <v>120</v>
      </c>
      <c r="G313" s="3">
        <v>3</v>
      </c>
      <c r="H313" s="3">
        <v>0</v>
      </c>
      <c r="I313" s="3">
        <v>3</v>
      </c>
      <c r="J313" s="3">
        <v>0</v>
      </c>
      <c r="K313" s="3">
        <v>0</v>
      </c>
      <c r="L313" s="3">
        <v>0</v>
      </c>
      <c r="M313" s="3">
        <v>0</v>
      </c>
      <c r="N313" s="3" t="s">
        <v>5218</v>
      </c>
      <c r="O313" s="3">
        <v>0</v>
      </c>
      <c r="P313" s="3">
        <v>0</v>
      </c>
      <c r="Q313" s="3">
        <v>0</v>
      </c>
      <c r="R313" s="3">
        <v>0</v>
      </c>
      <c r="S313" s="3">
        <v>0</v>
      </c>
      <c r="T313" s="3">
        <v>0</v>
      </c>
      <c r="U313" s="3">
        <v>0</v>
      </c>
      <c r="V313" s="3">
        <v>0</v>
      </c>
      <c r="W313" s="3" t="s">
        <v>5227</v>
      </c>
      <c r="X313" s="3">
        <v>22.98</v>
      </c>
      <c r="Y313" s="3">
        <v>22.98</v>
      </c>
      <c r="Z313" s="3">
        <v>22.98</v>
      </c>
      <c r="AA313" s="3">
        <v>0</v>
      </c>
      <c r="AB313" s="3" t="s">
        <v>5228</v>
      </c>
      <c r="AC313" s="3">
        <v>0</v>
      </c>
      <c r="AD313" s="3">
        <v>20.42</v>
      </c>
      <c r="AE313" s="3">
        <v>210</v>
      </c>
      <c r="AF313" s="3">
        <v>0</v>
      </c>
      <c r="AG313" s="3">
        <v>74.3772</v>
      </c>
      <c r="AH313" s="3">
        <v>0</v>
      </c>
      <c r="AI313" s="3" t="s">
        <v>5260</v>
      </c>
      <c r="AJ313" s="3" t="s">
        <v>5222</v>
      </c>
    </row>
    <row r="314" spans="1:36">
      <c r="A314" s="5">
        <v>43288</v>
      </c>
      <c r="B314" s="3" t="s">
        <v>5004</v>
      </c>
      <c r="C314" s="3" t="s">
        <v>5005</v>
      </c>
      <c r="D314" s="3" t="s">
        <v>5005</v>
      </c>
      <c r="E314" s="3" t="s">
        <v>5006</v>
      </c>
      <c r="F314" s="3" t="s">
        <v>120</v>
      </c>
      <c r="G314" s="3">
        <v>2</v>
      </c>
      <c r="H314" s="3">
        <v>0</v>
      </c>
      <c r="I314" s="3">
        <v>0</v>
      </c>
      <c r="J314" s="3">
        <v>0</v>
      </c>
      <c r="K314" s="3">
        <v>2</v>
      </c>
      <c r="L314" s="3">
        <v>0</v>
      </c>
      <c r="M314" s="3">
        <v>0</v>
      </c>
      <c r="N314" s="3" t="s">
        <v>5218</v>
      </c>
      <c r="O314" s="3">
        <v>2</v>
      </c>
      <c r="P314" s="3">
        <v>1.24</v>
      </c>
      <c r="Q314" s="3">
        <v>0</v>
      </c>
      <c r="R314" s="3">
        <v>0</v>
      </c>
      <c r="S314" s="3">
        <v>0</v>
      </c>
      <c r="T314" s="3">
        <v>0</v>
      </c>
      <c r="U314" s="3">
        <v>0</v>
      </c>
      <c r="V314" s="3">
        <v>0</v>
      </c>
      <c r="W314" s="3" t="s">
        <v>5219</v>
      </c>
      <c r="X314" s="3">
        <v>21</v>
      </c>
      <c r="Y314" s="3">
        <v>21</v>
      </c>
      <c r="Z314" s="3">
        <v>16.14</v>
      </c>
      <c r="AA314" s="3">
        <v>0</v>
      </c>
      <c r="AB314" s="3" t="s">
        <v>5223</v>
      </c>
      <c r="AC314" s="3">
        <v>2</v>
      </c>
      <c r="AD314" s="3">
        <v>21</v>
      </c>
      <c r="AE314" s="3">
        <v>0</v>
      </c>
      <c r="AF314" s="3">
        <v>0</v>
      </c>
      <c r="AG314" s="3">
        <v>0</v>
      </c>
      <c r="AH314" s="3">
        <v>0</v>
      </c>
      <c r="AI314" s="3" t="s">
        <v>5267</v>
      </c>
      <c r="AJ314" s="3" t="s">
        <v>5242</v>
      </c>
    </row>
    <row r="315" spans="1:36">
      <c r="A315" s="5">
        <v>43288</v>
      </c>
      <c r="B315" s="3" t="s">
        <v>589</v>
      </c>
      <c r="C315" s="3" t="s">
        <v>590</v>
      </c>
      <c r="D315" s="3" t="s">
        <v>590</v>
      </c>
      <c r="E315" s="3" t="s">
        <v>591</v>
      </c>
      <c r="F315" s="3" t="s">
        <v>120</v>
      </c>
      <c r="G315" s="3">
        <v>10</v>
      </c>
      <c r="H315" s="3">
        <v>0</v>
      </c>
      <c r="I315" s="3">
        <v>5</v>
      </c>
      <c r="J315" s="3">
        <v>5</v>
      </c>
      <c r="K315" s="3">
        <v>0</v>
      </c>
      <c r="L315" s="3">
        <v>0</v>
      </c>
      <c r="M315" s="3">
        <v>0</v>
      </c>
      <c r="N315" s="3" t="s">
        <v>5218</v>
      </c>
      <c r="O315" s="3">
        <v>5</v>
      </c>
      <c r="P315" s="3">
        <v>9.51</v>
      </c>
      <c r="Q315" s="3">
        <v>0</v>
      </c>
      <c r="R315" s="3">
        <v>0</v>
      </c>
      <c r="S315" s="3">
        <v>0</v>
      </c>
      <c r="T315" s="3">
        <v>0</v>
      </c>
      <c r="U315" s="3">
        <v>0</v>
      </c>
      <c r="V315" s="3">
        <v>0</v>
      </c>
      <c r="W315" s="3" t="s">
        <v>5227</v>
      </c>
      <c r="X315" s="3">
        <v>24.98</v>
      </c>
      <c r="Y315" s="3">
        <v>24.98</v>
      </c>
      <c r="Z315" s="3">
        <v>24.98</v>
      </c>
      <c r="AA315" s="3">
        <v>0</v>
      </c>
      <c r="AB315" s="3" t="s">
        <v>5228</v>
      </c>
      <c r="AC315" s="3">
        <v>0</v>
      </c>
      <c r="AD315" s="3">
        <v>19.98</v>
      </c>
      <c r="AE315" s="3">
        <v>63</v>
      </c>
      <c r="AF315" s="3">
        <v>0</v>
      </c>
      <c r="AG315" s="3">
        <v>217.606277</v>
      </c>
      <c r="AH315" s="3">
        <v>0</v>
      </c>
      <c r="AI315" s="3" t="s">
        <v>5250</v>
      </c>
      <c r="AJ315" s="3" t="s">
        <v>5222</v>
      </c>
    </row>
    <row r="316" spans="1:36">
      <c r="A316" s="5">
        <v>43288</v>
      </c>
      <c r="B316" s="3" t="s">
        <v>1464</v>
      </c>
      <c r="C316" s="3" t="s">
        <v>24</v>
      </c>
      <c r="D316" s="3" t="s">
        <v>24</v>
      </c>
      <c r="E316" s="3" t="s">
        <v>1465</v>
      </c>
      <c r="F316" s="3" t="s">
        <v>120</v>
      </c>
      <c r="G316" s="3">
        <v>46</v>
      </c>
      <c r="H316" s="3">
        <v>0</v>
      </c>
      <c r="I316" s="3">
        <v>0</v>
      </c>
      <c r="J316" s="3">
        <v>3</v>
      </c>
      <c r="K316" s="3">
        <v>43</v>
      </c>
      <c r="L316" s="3">
        <v>0</v>
      </c>
      <c r="M316" s="3">
        <v>0</v>
      </c>
      <c r="N316" s="3" t="s">
        <v>5218</v>
      </c>
      <c r="O316" s="3">
        <v>46</v>
      </c>
      <c r="P316" s="3">
        <v>84.1</v>
      </c>
      <c r="Q316" s="3">
        <v>0</v>
      </c>
      <c r="R316" s="3">
        <v>0</v>
      </c>
      <c r="S316" s="3">
        <v>0</v>
      </c>
      <c r="T316" s="3">
        <v>1</v>
      </c>
      <c r="U316" s="3">
        <v>1</v>
      </c>
      <c r="V316" s="3">
        <v>4</v>
      </c>
      <c r="W316" s="3" t="s">
        <v>5227</v>
      </c>
      <c r="X316" s="3">
        <v>22.98</v>
      </c>
      <c r="Y316" s="3">
        <v>22.98</v>
      </c>
      <c r="Z316" s="3">
        <v>19.98</v>
      </c>
      <c r="AA316" s="3">
        <v>0</v>
      </c>
      <c r="AB316" s="3" t="s">
        <v>5228</v>
      </c>
      <c r="AC316" s="3">
        <v>1</v>
      </c>
      <c r="AD316" s="3">
        <v>17.4</v>
      </c>
      <c r="AE316" s="3">
        <v>252</v>
      </c>
      <c r="AF316" s="3">
        <v>0</v>
      </c>
      <c r="AG316" s="3">
        <v>1244.48296</v>
      </c>
      <c r="AH316" s="3">
        <v>0.0842105263157894</v>
      </c>
      <c r="AI316" s="3" t="s">
        <v>5311</v>
      </c>
      <c r="AJ316" s="3" t="s">
        <v>5222</v>
      </c>
    </row>
    <row r="317" spans="1:36">
      <c r="A317" s="5">
        <v>43288</v>
      </c>
      <c r="B317" s="3" t="s">
        <v>2027</v>
      </c>
      <c r="C317" s="3" t="s">
        <v>2028</v>
      </c>
      <c r="D317" s="3" t="s">
        <v>2028</v>
      </c>
      <c r="E317" s="3" t="s">
        <v>2029</v>
      </c>
      <c r="F317" s="3" t="s">
        <v>120</v>
      </c>
      <c r="G317" s="3">
        <v>15</v>
      </c>
      <c r="H317" s="3">
        <v>0</v>
      </c>
      <c r="I317" s="3">
        <v>15</v>
      </c>
      <c r="J317" s="3">
        <v>0</v>
      </c>
      <c r="K317" s="3">
        <v>0</v>
      </c>
      <c r="L317" s="3">
        <v>0</v>
      </c>
      <c r="M317" s="3">
        <v>0</v>
      </c>
      <c r="N317" s="3" t="s">
        <v>5218</v>
      </c>
      <c r="O317" s="3">
        <v>0</v>
      </c>
      <c r="P317" s="3">
        <v>0</v>
      </c>
      <c r="Q317" s="3">
        <v>0</v>
      </c>
      <c r="R317" s="3">
        <v>0</v>
      </c>
      <c r="S317" s="3">
        <v>1</v>
      </c>
      <c r="T317" s="3">
        <v>11</v>
      </c>
      <c r="U317" s="3">
        <v>16</v>
      </c>
      <c r="V317" s="3">
        <v>30</v>
      </c>
      <c r="W317" s="3"/>
      <c r="X317" s="3">
        <v>23.98</v>
      </c>
      <c r="Y317" s="3">
        <v>23.98</v>
      </c>
      <c r="Z317" s="3">
        <v>23.98</v>
      </c>
      <c r="AA317" s="3">
        <v>0</v>
      </c>
      <c r="AB317" s="3" t="s">
        <v>5223</v>
      </c>
      <c r="AC317" s="3">
        <v>16</v>
      </c>
      <c r="AD317" s="3">
        <v>23.98</v>
      </c>
      <c r="AE317" s="3">
        <v>0</v>
      </c>
      <c r="AF317" s="3">
        <v>0</v>
      </c>
      <c r="AG317" s="3">
        <v>0</v>
      </c>
      <c r="AH317" s="3">
        <v>1.23711340206185</v>
      </c>
      <c r="AI317" s="3" t="s">
        <v>5349</v>
      </c>
      <c r="AJ317" s="3" t="s">
        <v>5222</v>
      </c>
    </row>
    <row r="318" spans="1:36">
      <c r="A318" s="5">
        <v>43288</v>
      </c>
      <c r="B318" s="3" t="s">
        <v>1266</v>
      </c>
      <c r="C318" s="3" t="s">
        <v>1267</v>
      </c>
      <c r="D318" s="3" t="s">
        <v>554</v>
      </c>
      <c r="E318" s="3" t="s">
        <v>800</v>
      </c>
      <c r="F318" s="3" t="s">
        <v>120</v>
      </c>
      <c r="G318" s="3">
        <v>20</v>
      </c>
      <c r="H318" s="3">
        <v>0</v>
      </c>
      <c r="I318" s="3">
        <v>20</v>
      </c>
      <c r="J318" s="3">
        <v>0</v>
      </c>
      <c r="K318" s="3">
        <v>0</v>
      </c>
      <c r="L318" s="3">
        <v>0</v>
      </c>
      <c r="M318" s="3">
        <v>0</v>
      </c>
      <c r="N318" s="3" t="s">
        <v>5218</v>
      </c>
      <c r="O318" s="3">
        <v>0</v>
      </c>
      <c r="P318" s="3">
        <v>0</v>
      </c>
      <c r="Q318" s="3">
        <v>0</v>
      </c>
      <c r="R318" s="3">
        <v>0</v>
      </c>
      <c r="S318" s="3">
        <v>1</v>
      </c>
      <c r="T318" s="3">
        <v>2</v>
      </c>
      <c r="U318" s="3">
        <v>2</v>
      </c>
      <c r="V318" s="3">
        <v>2</v>
      </c>
      <c r="W318" s="3" t="s">
        <v>5227</v>
      </c>
      <c r="X318" s="3">
        <v>39.98</v>
      </c>
      <c r="Y318" s="3">
        <v>22.98</v>
      </c>
      <c r="Z318" s="3">
        <v>22.98</v>
      </c>
      <c r="AA318" s="3">
        <v>0</v>
      </c>
      <c r="AB318" s="3" t="s">
        <v>5223</v>
      </c>
      <c r="AC318" s="3">
        <v>21</v>
      </c>
      <c r="AD318" s="3">
        <v>22.98</v>
      </c>
      <c r="AE318" s="3">
        <v>0</v>
      </c>
      <c r="AF318" s="3">
        <v>0</v>
      </c>
      <c r="AG318" s="3">
        <v>0</v>
      </c>
      <c r="AH318" s="3">
        <v>1.04347826086956</v>
      </c>
      <c r="AI318" s="3" t="s">
        <v>5225</v>
      </c>
      <c r="AJ318" s="3" t="s">
        <v>5222</v>
      </c>
    </row>
    <row r="319" spans="1:36">
      <c r="A319" s="5">
        <v>43288</v>
      </c>
      <c r="B319" s="3" t="s">
        <v>1791</v>
      </c>
      <c r="C319" s="3" t="s">
        <v>1792</v>
      </c>
      <c r="D319" s="3" t="s">
        <v>1792</v>
      </c>
      <c r="E319" s="3" t="s">
        <v>1793</v>
      </c>
      <c r="F319" s="3" t="s">
        <v>120</v>
      </c>
      <c r="G319" s="3">
        <v>9</v>
      </c>
      <c r="H319" s="3">
        <v>0</v>
      </c>
      <c r="I319" s="3">
        <v>9</v>
      </c>
      <c r="J319" s="3">
        <v>0</v>
      </c>
      <c r="K319" s="3">
        <v>0</v>
      </c>
      <c r="L319" s="3">
        <v>0</v>
      </c>
      <c r="M319" s="3">
        <v>0</v>
      </c>
      <c r="N319" s="3" t="s">
        <v>5218</v>
      </c>
      <c r="O319" s="3">
        <v>0</v>
      </c>
      <c r="P319" s="3">
        <v>0</v>
      </c>
      <c r="Q319" s="3">
        <v>0</v>
      </c>
      <c r="R319" s="3">
        <v>0</v>
      </c>
      <c r="S319" s="3">
        <v>6</v>
      </c>
      <c r="T319" s="3">
        <v>8</v>
      </c>
      <c r="U319" s="3">
        <v>8</v>
      </c>
      <c r="V319" s="3">
        <v>8</v>
      </c>
      <c r="W319" s="3"/>
      <c r="X319" s="3">
        <v>25.98</v>
      </c>
      <c r="Y319" s="3">
        <v>25.98</v>
      </c>
      <c r="Z319" s="3">
        <v>25.98</v>
      </c>
      <c r="AA319" s="3">
        <v>0</v>
      </c>
      <c r="AB319" s="3" t="s">
        <v>5223</v>
      </c>
      <c r="AC319" s="3">
        <v>10</v>
      </c>
      <c r="AD319" s="3">
        <v>25.98</v>
      </c>
      <c r="AE319" s="3">
        <v>0</v>
      </c>
      <c r="AF319" s="3">
        <v>0</v>
      </c>
      <c r="AG319" s="3">
        <v>0</v>
      </c>
      <c r="AH319" s="3">
        <v>4.88888888888888</v>
      </c>
      <c r="AI319" s="3" t="s">
        <v>5229</v>
      </c>
      <c r="AJ319" s="3" t="s">
        <v>5222</v>
      </c>
    </row>
    <row r="320" spans="1:36">
      <c r="A320" s="5">
        <v>43288</v>
      </c>
      <c r="B320" s="3" t="s">
        <v>3114</v>
      </c>
      <c r="C320" s="3" t="s">
        <v>3115</v>
      </c>
      <c r="D320" s="3" t="s">
        <v>3115</v>
      </c>
      <c r="E320" s="3" t="s">
        <v>3116</v>
      </c>
      <c r="F320" s="3" t="s">
        <v>120</v>
      </c>
      <c r="G320" s="3">
        <v>2</v>
      </c>
      <c r="H320" s="3">
        <v>0</v>
      </c>
      <c r="I320" s="3">
        <v>1</v>
      </c>
      <c r="J320" s="3">
        <v>0</v>
      </c>
      <c r="K320" s="3">
        <v>1</v>
      </c>
      <c r="L320" s="3">
        <v>0</v>
      </c>
      <c r="M320" s="3">
        <v>0</v>
      </c>
      <c r="N320" s="3" t="s">
        <v>5218</v>
      </c>
      <c r="O320" s="3">
        <v>1</v>
      </c>
      <c r="P320" s="3">
        <v>1.53</v>
      </c>
      <c r="Q320" s="3">
        <v>0</v>
      </c>
      <c r="R320" s="3">
        <v>0</v>
      </c>
      <c r="S320" s="3">
        <v>0</v>
      </c>
      <c r="T320" s="3">
        <v>0</v>
      </c>
      <c r="U320" s="3">
        <v>2</v>
      </c>
      <c r="V320" s="3">
        <v>2</v>
      </c>
      <c r="W320" s="3" t="s">
        <v>5227</v>
      </c>
      <c r="X320" s="3">
        <v>10</v>
      </c>
      <c r="Y320" s="3">
        <v>10</v>
      </c>
      <c r="Z320" s="3">
        <v>10</v>
      </c>
      <c r="AA320" s="3">
        <v>0</v>
      </c>
      <c r="AB320" s="3" t="s">
        <v>5223</v>
      </c>
      <c r="AC320" s="3">
        <v>2</v>
      </c>
      <c r="AD320" s="3">
        <v>10</v>
      </c>
      <c r="AE320" s="3">
        <v>0</v>
      </c>
      <c r="AF320" s="3">
        <v>0</v>
      </c>
      <c r="AG320" s="3">
        <v>0</v>
      </c>
      <c r="AH320" s="3">
        <v>0.888888888888888</v>
      </c>
      <c r="AI320" s="3" t="s">
        <v>5350</v>
      </c>
      <c r="AJ320" s="3" t="s">
        <v>5222</v>
      </c>
    </row>
    <row r="321" spans="1:36">
      <c r="A321" s="5">
        <v>43288</v>
      </c>
      <c r="B321" s="3" t="s">
        <v>5142</v>
      </c>
      <c r="C321" s="3" t="s">
        <v>5143</v>
      </c>
      <c r="D321" s="3" t="s">
        <v>5143</v>
      </c>
      <c r="E321" s="3" t="s">
        <v>5144</v>
      </c>
      <c r="F321" s="3" t="s">
        <v>120</v>
      </c>
      <c r="G321" s="3">
        <v>9</v>
      </c>
      <c r="H321" s="3">
        <v>0</v>
      </c>
      <c r="I321" s="3">
        <v>0</v>
      </c>
      <c r="J321" s="3">
        <v>5</v>
      </c>
      <c r="K321" s="3">
        <v>4</v>
      </c>
      <c r="L321" s="3">
        <v>0</v>
      </c>
      <c r="M321" s="3">
        <v>0</v>
      </c>
      <c r="N321" s="3" t="s">
        <v>5218</v>
      </c>
      <c r="O321" s="3">
        <v>8</v>
      </c>
      <c r="P321" s="3">
        <v>24.9</v>
      </c>
      <c r="Q321" s="3">
        <v>0</v>
      </c>
      <c r="R321" s="3">
        <v>0</v>
      </c>
      <c r="S321" s="3">
        <v>0</v>
      </c>
      <c r="T321" s="3">
        <v>0</v>
      </c>
      <c r="U321" s="3">
        <v>0</v>
      </c>
      <c r="V321" s="3">
        <v>0</v>
      </c>
      <c r="W321" s="3" t="s">
        <v>5219</v>
      </c>
      <c r="X321" s="3">
        <v>29.98</v>
      </c>
      <c r="Y321" s="3">
        <v>29.98</v>
      </c>
      <c r="Z321" s="3">
        <v>29.98</v>
      </c>
      <c r="AA321" s="3">
        <v>0</v>
      </c>
      <c r="AB321" s="3" t="s">
        <v>5228</v>
      </c>
      <c r="AC321" s="3">
        <v>1</v>
      </c>
      <c r="AD321" s="3">
        <v>26.97</v>
      </c>
      <c r="AE321" s="3">
        <v>35</v>
      </c>
      <c r="AF321" s="3">
        <v>0</v>
      </c>
      <c r="AG321" s="3">
        <v>448.95185</v>
      </c>
      <c r="AH321" s="3">
        <v>0</v>
      </c>
      <c r="AI321" s="3" t="s">
        <v>5351</v>
      </c>
      <c r="AJ321" s="3" t="s">
        <v>5222</v>
      </c>
    </row>
    <row r="322" spans="1:36">
      <c r="A322" s="5">
        <v>43288</v>
      </c>
      <c r="B322" s="3" t="s">
        <v>463</v>
      </c>
      <c r="C322" s="3" t="s">
        <v>298</v>
      </c>
      <c r="D322" s="3" t="s">
        <v>298</v>
      </c>
      <c r="E322" s="3" t="s">
        <v>464</v>
      </c>
      <c r="F322" s="3" t="s">
        <v>120</v>
      </c>
      <c r="G322" s="3">
        <v>29</v>
      </c>
      <c r="H322" s="3">
        <v>0</v>
      </c>
      <c r="I322" s="3">
        <v>1</v>
      </c>
      <c r="J322" s="3">
        <v>28</v>
      </c>
      <c r="K322" s="3">
        <v>0</v>
      </c>
      <c r="L322" s="3">
        <v>0</v>
      </c>
      <c r="M322" s="3">
        <v>0</v>
      </c>
      <c r="N322" s="3" t="s">
        <v>5218</v>
      </c>
      <c r="O322" s="3">
        <v>0</v>
      </c>
      <c r="P322" s="3">
        <v>0</v>
      </c>
      <c r="Q322" s="3">
        <v>0</v>
      </c>
      <c r="R322" s="3">
        <v>0</v>
      </c>
      <c r="S322" s="3">
        <v>0</v>
      </c>
      <c r="T322" s="3">
        <v>2</v>
      </c>
      <c r="U322" s="3">
        <v>2</v>
      </c>
      <c r="V322" s="3">
        <v>2</v>
      </c>
      <c r="W322" s="3"/>
      <c r="X322" s="3">
        <v>23.98</v>
      </c>
      <c r="Y322" s="3">
        <v>23.98</v>
      </c>
      <c r="Z322" s="3">
        <v>23.98</v>
      </c>
      <c r="AA322" s="3">
        <v>0</v>
      </c>
      <c r="AB322" s="3" t="s">
        <v>5223</v>
      </c>
      <c r="AC322" s="3">
        <v>29</v>
      </c>
      <c r="AD322" s="3">
        <v>23.98</v>
      </c>
      <c r="AE322" s="3">
        <v>0</v>
      </c>
      <c r="AF322" s="3">
        <v>0</v>
      </c>
      <c r="AG322" s="3">
        <v>0</v>
      </c>
      <c r="AH322" s="3">
        <v>0.0672268907563025</v>
      </c>
      <c r="AI322" s="3" t="s">
        <v>5224</v>
      </c>
      <c r="AJ322" s="3" t="s">
        <v>5222</v>
      </c>
    </row>
    <row r="323" spans="1:36">
      <c r="A323" s="5">
        <v>43288</v>
      </c>
      <c r="B323" s="3" t="s">
        <v>4522</v>
      </c>
      <c r="C323" s="3" t="s">
        <v>4523</v>
      </c>
      <c r="D323" s="3" t="s">
        <v>4523</v>
      </c>
      <c r="E323" s="3" t="s">
        <v>4524</v>
      </c>
      <c r="F323" s="3" t="s">
        <v>120</v>
      </c>
      <c r="G323" s="3">
        <v>9</v>
      </c>
      <c r="H323" s="3">
        <v>0</v>
      </c>
      <c r="I323" s="3">
        <v>9</v>
      </c>
      <c r="J323" s="3">
        <v>0</v>
      </c>
      <c r="K323" s="3">
        <v>0</v>
      </c>
      <c r="L323" s="3">
        <v>0</v>
      </c>
      <c r="M323" s="3">
        <v>0</v>
      </c>
      <c r="N323" s="3" t="s">
        <v>5218</v>
      </c>
      <c r="O323" s="3">
        <v>0</v>
      </c>
      <c r="P323" s="3">
        <v>0</v>
      </c>
      <c r="Q323" s="3">
        <v>0</v>
      </c>
      <c r="R323" s="3">
        <v>0</v>
      </c>
      <c r="S323" s="3">
        <v>0</v>
      </c>
      <c r="T323" s="3">
        <v>4</v>
      </c>
      <c r="U323" s="3">
        <v>9</v>
      </c>
      <c r="V323" s="3">
        <v>11</v>
      </c>
      <c r="W323" s="3"/>
      <c r="X323" s="3">
        <v>23.98</v>
      </c>
      <c r="Y323" s="3">
        <v>23.98</v>
      </c>
      <c r="Z323" s="3">
        <v>23.98</v>
      </c>
      <c r="AA323" s="3">
        <v>0</v>
      </c>
      <c r="AB323" s="3" t="s">
        <v>5223</v>
      </c>
      <c r="AC323" s="3">
        <v>9</v>
      </c>
      <c r="AD323" s="3">
        <v>23.98</v>
      </c>
      <c r="AE323" s="3">
        <v>0</v>
      </c>
      <c r="AF323" s="3">
        <v>0</v>
      </c>
      <c r="AG323" s="3">
        <v>0</v>
      </c>
      <c r="AH323" s="3">
        <v>0.717391304347826</v>
      </c>
      <c r="AI323" s="3" t="s">
        <v>5352</v>
      </c>
      <c r="AJ323" s="3" t="s">
        <v>5222</v>
      </c>
    </row>
    <row r="324" spans="1:36">
      <c r="A324" s="5">
        <v>43288</v>
      </c>
      <c r="B324" s="3" t="s">
        <v>4865</v>
      </c>
      <c r="C324" s="3" t="s">
        <v>4866</v>
      </c>
      <c r="D324" s="3" t="s">
        <v>4866</v>
      </c>
      <c r="E324" s="3" t="s">
        <v>4864</v>
      </c>
      <c r="F324" s="3" t="s">
        <v>120</v>
      </c>
      <c r="G324" s="3">
        <v>5</v>
      </c>
      <c r="H324" s="3">
        <v>0</v>
      </c>
      <c r="I324" s="3">
        <v>0</v>
      </c>
      <c r="J324" s="3">
        <v>0</v>
      </c>
      <c r="K324" s="3">
        <v>5</v>
      </c>
      <c r="L324" s="3">
        <v>0</v>
      </c>
      <c r="M324" s="3">
        <v>0</v>
      </c>
      <c r="N324" s="3" t="s">
        <v>5218</v>
      </c>
      <c r="O324" s="3">
        <v>5</v>
      </c>
      <c r="P324" s="3">
        <v>11.54</v>
      </c>
      <c r="Q324" s="3">
        <v>0</v>
      </c>
      <c r="R324" s="3">
        <v>0</v>
      </c>
      <c r="S324" s="3">
        <v>0</v>
      </c>
      <c r="T324" s="3">
        <v>0</v>
      </c>
      <c r="U324" s="3">
        <v>0</v>
      </c>
      <c r="V324" s="3">
        <v>0</v>
      </c>
      <c r="W324" s="3" t="s">
        <v>5227</v>
      </c>
      <c r="X324" s="3">
        <v>12</v>
      </c>
      <c r="Y324" s="3">
        <v>12</v>
      </c>
      <c r="Z324" s="3">
        <v>12</v>
      </c>
      <c r="AA324" s="3">
        <v>0</v>
      </c>
      <c r="AB324" s="3" t="s">
        <v>5247</v>
      </c>
      <c r="AC324" s="3">
        <v>0</v>
      </c>
      <c r="AD324" s="3">
        <v>12</v>
      </c>
      <c r="AE324" s="3">
        <v>0</v>
      </c>
      <c r="AF324" s="3">
        <v>5</v>
      </c>
      <c r="AG324" s="3">
        <v>145.612677</v>
      </c>
      <c r="AH324" s="3">
        <v>0</v>
      </c>
      <c r="AI324" s="3" t="s">
        <v>5245</v>
      </c>
      <c r="AJ324" s="3" t="s">
        <v>5222</v>
      </c>
    </row>
    <row r="325" spans="1:36">
      <c r="A325" s="5">
        <v>43288</v>
      </c>
      <c r="B325" s="3" t="s">
        <v>1592</v>
      </c>
      <c r="C325" s="3" t="s">
        <v>1593</v>
      </c>
      <c r="D325" s="3" t="s">
        <v>1593</v>
      </c>
      <c r="E325" s="3" t="s">
        <v>1594</v>
      </c>
      <c r="F325" s="3" t="s">
        <v>120</v>
      </c>
      <c r="G325" s="3">
        <v>31</v>
      </c>
      <c r="H325" s="3">
        <v>0</v>
      </c>
      <c r="I325" s="3">
        <v>0</v>
      </c>
      <c r="J325" s="3">
        <v>0</v>
      </c>
      <c r="K325" s="3">
        <v>23</v>
      </c>
      <c r="L325" s="3">
        <v>8</v>
      </c>
      <c r="M325" s="3">
        <v>0</v>
      </c>
      <c r="N325" s="3" t="s">
        <v>5218</v>
      </c>
      <c r="O325" s="3">
        <v>31</v>
      </c>
      <c r="P325" s="3">
        <v>32.19</v>
      </c>
      <c r="Q325" s="3">
        <v>0</v>
      </c>
      <c r="R325" s="3">
        <v>0</v>
      </c>
      <c r="S325" s="3">
        <v>2</v>
      </c>
      <c r="T325" s="3">
        <v>2</v>
      </c>
      <c r="U325" s="3">
        <v>2</v>
      </c>
      <c r="V325" s="3">
        <v>6</v>
      </c>
      <c r="W325" s="3"/>
      <c r="X325" s="3">
        <v>39.98</v>
      </c>
      <c r="Y325" s="3">
        <v>11.9</v>
      </c>
      <c r="Z325" s="3">
        <v>11.9</v>
      </c>
      <c r="AA325" s="3">
        <v>0</v>
      </c>
      <c r="AB325" s="3" t="s">
        <v>5228</v>
      </c>
      <c r="AC325" s="3">
        <v>1</v>
      </c>
      <c r="AD325" s="3">
        <v>11.11</v>
      </c>
      <c r="AE325" s="3">
        <v>217</v>
      </c>
      <c r="AF325" s="3">
        <v>0</v>
      </c>
      <c r="AG325" s="3">
        <v>459.78315</v>
      </c>
      <c r="AH325" s="3">
        <v>0.17910447761194</v>
      </c>
      <c r="AI325" s="3" t="s">
        <v>5353</v>
      </c>
      <c r="AJ325" s="3" t="s">
        <v>5222</v>
      </c>
    </row>
    <row r="326" spans="1:36">
      <c r="A326" s="5">
        <v>43288</v>
      </c>
      <c r="B326" s="3" t="s">
        <v>2367</v>
      </c>
      <c r="C326" s="3" t="s">
        <v>2368</v>
      </c>
      <c r="D326" s="3" t="s">
        <v>2368</v>
      </c>
      <c r="E326" s="3" t="s">
        <v>2369</v>
      </c>
      <c r="F326" s="3" t="s">
        <v>120</v>
      </c>
      <c r="G326" s="3">
        <v>35</v>
      </c>
      <c r="H326" s="3">
        <v>0</v>
      </c>
      <c r="I326" s="3">
        <v>35</v>
      </c>
      <c r="J326" s="3">
        <v>0</v>
      </c>
      <c r="K326" s="3">
        <v>0</v>
      </c>
      <c r="L326" s="3">
        <v>0</v>
      </c>
      <c r="M326" s="3">
        <v>0</v>
      </c>
      <c r="N326" s="3" t="s">
        <v>5218</v>
      </c>
      <c r="O326" s="3">
        <v>0</v>
      </c>
      <c r="P326" s="3">
        <v>0</v>
      </c>
      <c r="Q326" s="3">
        <v>0</v>
      </c>
      <c r="R326" s="3">
        <v>0</v>
      </c>
      <c r="S326" s="3">
        <v>0</v>
      </c>
      <c r="T326" s="3">
        <v>1</v>
      </c>
      <c r="U326" s="3">
        <v>3</v>
      </c>
      <c r="V326" s="3">
        <v>8</v>
      </c>
      <c r="W326" s="3" t="s">
        <v>5227</v>
      </c>
      <c r="X326" s="3">
        <v>22.98</v>
      </c>
      <c r="Y326" s="3">
        <v>22.98</v>
      </c>
      <c r="Z326" s="3">
        <v>22.98</v>
      </c>
      <c r="AA326" s="3">
        <v>0</v>
      </c>
      <c r="AB326" s="3" t="s">
        <v>5228</v>
      </c>
      <c r="AC326" s="3">
        <v>0</v>
      </c>
      <c r="AD326" s="3">
        <v>18.38</v>
      </c>
      <c r="AE326" s="3">
        <v>63</v>
      </c>
      <c r="AF326" s="3">
        <v>0</v>
      </c>
      <c r="AG326" s="3">
        <v>833.050791</v>
      </c>
      <c r="AH326" s="3">
        <v>0.363636363636363</v>
      </c>
      <c r="AI326" s="3" t="s">
        <v>5233</v>
      </c>
      <c r="AJ326" s="3" t="s">
        <v>5222</v>
      </c>
    </row>
    <row r="327" spans="1:36">
      <c r="A327" s="5">
        <v>43288</v>
      </c>
      <c r="B327" s="3" t="s">
        <v>4533</v>
      </c>
      <c r="C327" s="3" t="s">
        <v>4534</v>
      </c>
      <c r="D327" s="3" t="s">
        <v>4534</v>
      </c>
      <c r="E327" s="3" t="s">
        <v>4535</v>
      </c>
      <c r="F327" s="3" t="s">
        <v>120</v>
      </c>
      <c r="G327" s="3">
        <v>17</v>
      </c>
      <c r="H327" s="3">
        <v>0</v>
      </c>
      <c r="I327" s="3">
        <v>17</v>
      </c>
      <c r="J327" s="3">
        <v>0</v>
      </c>
      <c r="K327" s="3">
        <v>0</v>
      </c>
      <c r="L327" s="3">
        <v>0</v>
      </c>
      <c r="M327" s="3">
        <v>0</v>
      </c>
      <c r="N327" s="3" t="s">
        <v>5218</v>
      </c>
      <c r="O327" s="3">
        <v>0</v>
      </c>
      <c r="P327" s="3">
        <v>0</v>
      </c>
      <c r="Q327" s="3">
        <v>0</v>
      </c>
      <c r="R327" s="3">
        <v>0</v>
      </c>
      <c r="S327" s="3">
        <v>1</v>
      </c>
      <c r="T327" s="3">
        <v>4</v>
      </c>
      <c r="U327" s="3">
        <v>6</v>
      </c>
      <c r="V327" s="3">
        <v>9</v>
      </c>
      <c r="W327" s="3"/>
      <c r="X327" s="3">
        <v>22.98</v>
      </c>
      <c r="Y327" s="3">
        <v>22.98</v>
      </c>
      <c r="Z327" s="3">
        <v>22.98</v>
      </c>
      <c r="AA327" s="3">
        <v>0</v>
      </c>
      <c r="AB327" s="3" t="s">
        <v>5223</v>
      </c>
      <c r="AC327" s="3">
        <v>18</v>
      </c>
      <c r="AD327" s="3">
        <v>22.98</v>
      </c>
      <c r="AE327" s="3">
        <v>0</v>
      </c>
      <c r="AF327" s="3">
        <v>0</v>
      </c>
      <c r="AG327" s="3">
        <v>0</v>
      </c>
      <c r="AH327" s="3">
        <v>0.574468085106383</v>
      </c>
      <c r="AI327" s="3" t="s">
        <v>5226</v>
      </c>
      <c r="AJ327" s="3" t="s">
        <v>5222</v>
      </c>
    </row>
    <row r="328" spans="1:36">
      <c r="A328" s="5">
        <v>43288</v>
      </c>
      <c r="B328" s="3" t="s">
        <v>2588</v>
      </c>
      <c r="C328" s="3" t="s">
        <v>1072</v>
      </c>
      <c r="D328" s="3" t="s">
        <v>1072</v>
      </c>
      <c r="E328" s="3" t="s">
        <v>1073</v>
      </c>
      <c r="F328" s="3" t="s">
        <v>120</v>
      </c>
      <c r="G328" s="3">
        <v>20</v>
      </c>
      <c r="H328" s="3">
        <v>0</v>
      </c>
      <c r="I328" s="3">
        <v>20</v>
      </c>
      <c r="J328" s="3">
        <v>0</v>
      </c>
      <c r="K328" s="3">
        <v>0</v>
      </c>
      <c r="L328" s="3">
        <v>0</v>
      </c>
      <c r="M328" s="3">
        <v>0</v>
      </c>
      <c r="N328" s="3" t="s">
        <v>5218</v>
      </c>
      <c r="O328" s="3">
        <v>0</v>
      </c>
      <c r="P328" s="3">
        <v>0</v>
      </c>
      <c r="Q328" s="3">
        <v>0</v>
      </c>
      <c r="R328" s="3">
        <v>0</v>
      </c>
      <c r="S328" s="3">
        <v>7</v>
      </c>
      <c r="T328" s="3">
        <v>18</v>
      </c>
      <c r="U328" s="3">
        <v>32</v>
      </c>
      <c r="V328" s="3">
        <v>42</v>
      </c>
      <c r="W328" s="3"/>
      <c r="X328" s="3">
        <v>35.98</v>
      </c>
      <c r="Y328" s="3">
        <v>22.98</v>
      </c>
      <c r="Z328" s="3">
        <v>22.98</v>
      </c>
      <c r="AA328" s="3">
        <v>0</v>
      </c>
      <c r="AB328" s="3" t="s">
        <v>5223</v>
      </c>
      <c r="AC328" s="3">
        <v>23</v>
      </c>
      <c r="AD328" s="3">
        <v>22.98</v>
      </c>
      <c r="AE328" s="3">
        <v>0</v>
      </c>
      <c r="AF328" s="3">
        <v>0</v>
      </c>
      <c r="AG328" s="3">
        <v>0</v>
      </c>
      <c r="AH328" s="3">
        <v>2.47058823529411</v>
      </c>
      <c r="AI328" s="3" t="s">
        <v>5238</v>
      </c>
      <c r="AJ328" s="3" t="s">
        <v>5222</v>
      </c>
    </row>
    <row r="329" spans="1:36">
      <c r="A329" s="5">
        <v>43288</v>
      </c>
      <c r="B329" s="3" t="s">
        <v>2929</v>
      </c>
      <c r="C329" s="3" t="s">
        <v>1344</v>
      </c>
      <c r="D329" s="3" t="s">
        <v>1344</v>
      </c>
      <c r="E329" s="3" t="s">
        <v>1345</v>
      </c>
      <c r="F329" s="3" t="s">
        <v>120</v>
      </c>
      <c r="G329" s="3">
        <v>1</v>
      </c>
      <c r="H329" s="3">
        <v>0</v>
      </c>
      <c r="I329" s="3">
        <v>1</v>
      </c>
      <c r="J329" s="3">
        <v>0</v>
      </c>
      <c r="K329" s="3">
        <v>0</v>
      </c>
      <c r="L329" s="3">
        <v>0</v>
      </c>
      <c r="M329" s="3">
        <v>0</v>
      </c>
      <c r="N329" s="3" t="s">
        <v>5218</v>
      </c>
      <c r="O329" s="3">
        <v>0</v>
      </c>
      <c r="P329" s="3">
        <v>0</v>
      </c>
      <c r="Q329" s="3">
        <v>0</v>
      </c>
      <c r="R329" s="3">
        <v>0</v>
      </c>
      <c r="S329" s="3">
        <v>1</v>
      </c>
      <c r="T329" s="3">
        <v>86</v>
      </c>
      <c r="U329" s="3">
        <v>187</v>
      </c>
      <c r="V329" s="3">
        <v>245</v>
      </c>
      <c r="W329" s="3"/>
      <c r="X329" s="3">
        <v>24.98</v>
      </c>
      <c r="Y329" s="3">
        <v>24.98</v>
      </c>
      <c r="Z329" s="3">
        <v>22.98</v>
      </c>
      <c r="AA329" s="3">
        <v>0</v>
      </c>
      <c r="AB329" s="3" t="s">
        <v>5223</v>
      </c>
      <c r="AC329" s="3">
        <v>0</v>
      </c>
      <c r="AD329" s="3">
        <v>0</v>
      </c>
      <c r="AE329" s="3">
        <v>0</v>
      </c>
      <c r="AF329" s="3">
        <v>0</v>
      </c>
      <c r="AG329" s="3">
        <v>0</v>
      </c>
      <c r="AH329" s="3">
        <v>14.4705882352941</v>
      </c>
      <c r="AI329" s="3" t="s">
        <v>5236</v>
      </c>
      <c r="AJ329" s="3" t="s">
        <v>5222</v>
      </c>
    </row>
    <row r="330" spans="1:36">
      <c r="A330" s="5">
        <v>43288</v>
      </c>
      <c r="B330" s="3" t="s">
        <v>2855</v>
      </c>
      <c r="C330" s="3" t="s">
        <v>2856</v>
      </c>
      <c r="D330" s="3" t="s">
        <v>2856</v>
      </c>
      <c r="E330" s="3" t="s">
        <v>1769</v>
      </c>
      <c r="F330" s="3" t="s">
        <v>120</v>
      </c>
      <c r="G330" s="3">
        <v>31</v>
      </c>
      <c r="H330" s="3">
        <v>0</v>
      </c>
      <c r="I330" s="3">
        <v>13</v>
      </c>
      <c r="J330" s="3">
        <v>18</v>
      </c>
      <c r="K330" s="3">
        <v>0</v>
      </c>
      <c r="L330" s="3">
        <v>0</v>
      </c>
      <c r="M330" s="3">
        <v>0</v>
      </c>
      <c r="N330" s="3" t="s">
        <v>5218</v>
      </c>
      <c r="O330" s="3">
        <v>8</v>
      </c>
      <c r="P330" s="3">
        <v>14.88</v>
      </c>
      <c r="Q330" s="3">
        <v>0</v>
      </c>
      <c r="R330" s="3">
        <v>0</v>
      </c>
      <c r="S330" s="3">
        <v>0</v>
      </c>
      <c r="T330" s="3">
        <v>0</v>
      </c>
      <c r="U330" s="3">
        <v>0</v>
      </c>
      <c r="V330" s="3">
        <v>1</v>
      </c>
      <c r="W330" s="3"/>
      <c r="X330" s="3"/>
      <c r="Y330" s="3"/>
      <c r="Z330" s="3">
        <v>-1</v>
      </c>
      <c r="AA330" s="3">
        <v>-1</v>
      </c>
      <c r="AB330" s="3" t="s">
        <v>5244</v>
      </c>
      <c r="AC330" s="3">
        <v>0</v>
      </c>
      <c r="AD330" s="3">
        <v>0</v>
      </c>
      <c r="AE330" s="3">
        <v>0</v>
      </c>
      <c r="AF330" s="3">
        <v>0</v>
      </c>
      <c r="AG330" s="3">
        <v>0</v>
      </c>
      <c r="AH330" s="3">
        <v>0.0357142857142857</v>
      </c>
      <c r="AI330" s="3" t="s">
        <v>5354</v>
      </c>
      <c r="AJ330" s="3" t="s">
        <v>5222</v>
      </c>
    </row>
    <row r="331" spans="1:36">
      <c r="A331" s="5">
        <v>43288</v>
      </c>
      <c r="B331" s="3" t="s">
        <v>2644</v>
      </c>
      <c r="C331" s="3" t="s">
        <v>2645</v>
      </c>
      <c r="D331" s="3" t="s">
        <v>2645</v>
      </c>
      <c r="E331" s="3" t="s">
        <v>2646</v>
      </c>
      <c r="F331" s="3" t="s">
        <v>120</v>
      </c>
      <c r="G331" s="3">
        <v>9</v>
      </c>
      <c r="H331" s="3">
        <v>0</v>
      </c>
      <c r="I331" s="3">
        <v>0</v>
      </c>
      <c r="J331" s="3">
        <v>3</v>
      </c>
      <c r="K331" s="3">
        <v>6</v>
      </c>
      <c r="L331" s="3">
        <v>0</v>
      </c>
      <c r="M331" s="3">
        <v>0</v>
      </c>
      <c r="N331" s="3" t="s">
        <v>5218</v>
      </c>
      <c r="O331" s="3">
        <v>7</v>
      </c>
      <c r="P331" s="3">
        <v>11.9</v>
      </c>
      <c r="Q331" s="3">
        <v>0</v>
      </c>
      <c r="R331" s="3">
        <v>0</v>
      </c>
      <c r="S331" s="3">
        <v>0</v>
      </c>
      <c r="T331" s="3">
        <v>0</v>
      </c>
      <c r="U331" s="3">
        <v>0</v>
      </c>
      <c r="V331" s="3">
        <v>5</v>
      </c>
      <c r="W331" s="3" t="s">
        <v>5219</v>
      </c>
      <c r="X331" s="3">
        <v>18.98</v>
      </c>
      <c r="Y331" s="3">
        <v>18.98</v>
      </c>
      <c r="Z331" s="3">
        <v>18.98</v>
      </c>
      <c r="AA331" s="3">
        <v>0</v>
      </c>
      <c r="AB331" s="3" t="s">
        <v>5220</v>
      </c>
      <c r="AC331" s="3">
        <v>9</v>
      </c>
      <c r="AD331" s="3">
        <v>18.98</v>
      </c>
      <c r="AE331" s="3">
        <v>0</v>
      </c>
      <c r="AF331" s="3">
        <v>0</v>
      </c>
      <c r="AG331" s="3">
        <v>0</v>
      </c>
      <c r="AH331" s="3">
        <v>0.48780487804878</v>
      </c>
      <c r="AI331" s="3" t="s">
        <v>5355</v>
      </c>
      <c r="AJ331" s="3" t="s">
        <v>5222</v>
      </c>
    </row>
    <row r="332" spans="1:36">
      <c r="A332" s="5">
        <v>43288</v>
      </c>
      <c r="B332" s="3" t="s">
        <v>1568</v>
      </c>
      <c r="C332" s="3" t="s">
        <v>1569</v>
      </c>
      <c r="D332" s="3" t="s">
        <v>1569</v>
      </c>
      <c r="E332" s="3" t="s">
        <v>1570</v>
      </c>
      <c r="F332" s="3" t="s">
        <v>120</v>
      </c>
      <c r="G332" s="3">
        <v>9</v>
      </c>
      <c r="H332" s="3">
        <v>0</v>
      </c>
      <c r="I332" s="3">
        <v>0</v>
      </c>
      <c r="J332" s="3">
        <v>1</v>
      </c>
      <c r="K332" s="3">
        <v>8</v>
      </c>
      <c r="L332" s="3">
        <v>0</v>
      </c>
      <c r="M332" s="3">
        <v>0</v>
      </c>
      <c r="N332" s="3" t="s">
        <v>5218</v>
      </c>
      <c r="O332" s="3">
        <v>8</v>
      </c>
      <c r="P332" s="3">
        <v>25.32</v>
      </c>
      <c r="Q332" s="3">
        <v>0</v>
      </c>
      <c r="R332" s="3">
        <v>0</v>
      </c>
      <c r="S332" s="3">
        <v>1</v>
      </c>
      <c r="T332" s="3">
        <v>2</v>
      </c>
      <c r="U332" s="3">
        <v>2</v>
      </c>
      <c r="V332" s="3">
        <v>3</v>
      </c>
      <c r="W332" s="3"/>
      <c r="X332" s="3">
        <v>22.98</v>
      </c>
      <c r="Y332" s="3">
        <v>22.98</v>
      </c>
      <c r="Z332" s="3">
        <v>19.98</v>
      </c>
      <c r="AA332" s="3">
        <v>0</v>
      </c>
      <c r="AB332" s="3" t="s">
        <v>5228</v>
      </c>
      <c r="AC332" s="3">
        <v>0</v>
      </c>
      <c r="AD332" s="3">
        <v>18.63</v>
      </c>
      <c r="AE332" s="3">
        <v>77</v>
      </c>
      <c r="AF332" s="3">
        <v>0</v>
      </c>
      <c r="AG332" s="3">
        <v>10.484481</v>
      </c>
      <c r="AH332" s="3">
        <v>0.27906976744186</v>
      </c>
      <c r="AI332" s="3" t="s">
        <v>5248</v>
      </c>
      <c r="AJ332" s="3" t="s">
        <v>5222</v>
      </c>
    </row>
    <row r="333" spans="1:36">
      <c r="A333" s="5">
        <v>43288</v>
      </c>
      <c r="B333" s="3" t="s">
        <v>2519</v>
      </c>
      <c r="C333" s="3" t="s">
        <v>2520</v>
      </c>
      <c r="D333" s="3" t="s">
        <v>2520</v>
      </c>
      <c r="E333" s="3" t="s">
        <v>2521</v>
      </c>
      <c r="F333" s="3" t="s">
        <v>120</v>
      </c>
      <c r="G333" s="3">
        <v>21</v>
      </c>
      <c r="H333" s="3">
        <v>0</v>
      </c>
      <c r="I333" s="3">
        <v>1</v>
      </c>
      <c r="J333" s="3">
        <v>1</v>
      </c>
      <c r="K333" s="3">
        <v>19</v>
      </c>
      <c r="L333" s="3">
        <v>0</v>
      </c>
      <c r="M333" s="3">
        <v>0</v>
      </c>
      <c r="N333" s="3" t="s">
        <v>5218</v>
      </c>
      <c r="O333" s="3">
        <v>19</v>
      </c>
      <c r="P333" s="3">
        <v>42.42</v>
      </c>
      <c r="Q333" s="3">
        <v>0</v>
      </c>
      <c r="R333" s="3">
        <v>0</v>
      </c>
      <c r="S333" s="3">
        <v>1</v>
      </c>
      <c r="T333" s="3">
        <v>4</v>
      </c>
      <c r="U333" s="3">
        <v>5</v>
      </c>
      <c r="V333" s="3">
        <v>5</v>
      </c>
      <c r="W333" s="3"/>
      <c r="X333" s="3">
        <v>15.98</v>
      </c>
      <c r="Y333" s="3">
        <v>15.98</v>
      </c>
      <c r="Z333" s="3">
        <v>15.98</v>
      </c>
      <c r="AA333" s="3">
        <v>0</v>
      </c>
      <c r="AB333" s="3" t="s">
        <v>5228</v>
      </c>
      <c r="AC333" s="3">
        <v>5</v>
      </c>
      <c r="AD333" s="3">
        <v>12.78</v>
      </c>
      <c r="AE333" s="3">
        <v>280</v>
      </c>
      <c r="AF333" s="3">
        <v>0</v>
      </c>
      <c r="AG333" s="3">
        <v>104.482104</v>
      </c>
      <c r="AH333" s="3">
        <v>0.204081632653061</v>
      </c>
      <c r="AI333" s="3" t="s">
        <v>5230</v>
      </c>
      <c r="AJ333" s="3" t="s">
        <v>5222</v>
      </c>
    </row>
    <row r="334" spans="1:36">
      <c r="A334" s="5">
        <v>43288</v>
      </c>
      <c r="B334" s="3" t="s">
        <v>2471</v>
      </c>
      <c r="C334" s="3" t="s">
        <v>2472</v>
      </c>
      <c r="D334" s="3" t="s">
        <v>2472</v>
      </c>
      <c r="E334" s="3" t="s">
        <v>2473</v>
      </c>
      <c r="F334" s="3" t="s">
        <v>120</v>
      </c>
      <c r="G334" s="3">
        <v>28</v>
      </c>
      <c r="H334" s="3">
        <v>0</v>
      </c>
      <c r="I334" s="3">
        <v>28</v>
      </c>
      <c r="J334" s="3">
        <v>0</v>
      </c>
      <c r="K334" s="3">
        <v>0</v>
      </c>
      <c r="L334" s="3">
        <v>0</v>
      </c>
      <c r="M334" s="3">
        <v>0</v>
      </c>
      <c r="N334" s="3" t="s">
        <v>5218</v>
      </c>
      <c r="O334" s="3">
        <v>0</v>
      </c>
      <c r="P334" s="3">
        <v>0</v>
      </c>
      <c r="Q334" s="3">
        <v>0</v>
      </c>
      <c r="R334" s="3">
        <v>0</v>
      </c>
      <c r="S334" s="3">
        <v>0</v>
      </c>
      <c r="T334" s="3">
        <v>0</v>
      </c>
      <c r="U334" s="3">
        <v>1</v>
      </c>
      <c r="V334" s="3">
        <v>6</v>
      </c>
      <c r="W334" s="3" t="s">
        <v>5227</v>
      </c>
      <c r="X334" s="3">
        <v>22.98</v>
      </c>
      <c r="Y334" s="3">
        <v>22.98</v>
      </c>
      <c r="Z334" s="3">
        <v>22</v>
      </c>
      <c r="AA334" s="3">
        <v>0</v>
      </c>
      <c r="AB334" s="3" t="s">
        <v>5228</v>
      </c>
      <c r="AC334" s="3">
        <v>10</v>
      </c>
      <c r="AD334" s="3">
        <v>18.38</v>
      </c>
      <c r="AE334" s="3">
        <v>364</v>
      </c>
      <c r="AF334" s="3">
        <v>0</v>
      </c>
      <c r="AG334" s="3">
        <v>63.237497</v>
      </c>
      <c r="AH334" s="3">
        <v>0.266666666666666</v>
      </c>
      <c r="AI334" s="3" t="s">
        <v>5311</v>
      </c>
      <c r="AJ334" s="3" t="s">
        <v>5222</v>
      </c>
    </row>
    <row r="335" spans="1:36">
      <c r="A335" s="5">
        <v>43288</v>
      </c>
      <c r="B335" s="3" t="s">
        <v>2667</v>
      </c>
      <c r="C335" s="3" t="s">
        <v>2668</v>
      </c>
      <c r="D335" s="3" t="s">
        <v>2668</v>
      </c>
      <c r="E335" s="3" t="s">
        <v>2669</v>
      </c>
      <c r="F335" s="3" t="s">
        <v>120</v>
      </c>
      <c r="G335" s="3">
        <v>11</v>
      </c>
      <c r="H335" s="3">
        <v>0</v>
      </c>
      <c r="I335" s="3">
        <v>3</v>
      </c>
      <c r="J335" s="3">
        <v>8</v>
      </c>
      <c r="K335" s="3">
        <v>0</v>
      </c>
      <c r="L335" s="3">
        <v>0</v>
      </c>
      <c r="M335" s="3">
        <v>0</v>
      </c>
      <c r="N335" s="3" t="s">
        <v>5218</v>
      </c>
      <c r="O335" s="3">
        <v>0</v>
      </c>
      <c r="P335" s="3">
        <v>0</v>
      </c>
      <c r="Q335" s="3">
        <v>0</v>
      </c>
      <c r="R335" s="3">
        <v>0</v>
      </c>
      <c r="S335" s="3">
        <v>0</v>
      </c>
      <c r="T335" s="3">
        <v>3</v>
      </c>
      <c r="U335" s="3">
        <v>4</v>
      </c>
      <c r="V335" s="3">
        <v>7</v>
      </c>
      <c r="W335" s="3"/>
      <c r="X335" s="3">
        <v>26.98</v>
      </c>
      <c r="Y335" s="3">
        <v>26.98</v>
      </c>
      <c r="Z335" s="3">
        <v>26.98</v>
      </c>
      <c r="AA335" s="3">
        <v>0</v>
      </c>
      <c r="AB335" s="3" t="s">
        <v>5223</v>
      </c>
      <c r="AC335" s="3">
        <v>11</v>
      </c>
      <c r="AD335" s="3">
        <v>26.98</v>
      </c>
      <c r="AE335" s="3">
        <v>0</v>
      </c>
      <c r="AF335" s="3">
        <v>0</v>
      </c>
      <c r="AG335" s="3">
        <v>0</v>
      </c>
      <c r="AH335" s="3">
        <v>0.518518518518518</v>
      </c>
      <c r="AI335" s="3" t="s">
        <v>5237</v>
      </c>
      <c r="AJ335" s="3" t="s">
        <v>5222</v>
      </c>
    </row>
    <row r="336" spans="1:36">
      <c r="A336" s="5">
        <v>43288</v>
      </c>
      <c r="B336" s="3" t="s">
        <v>753</v>
      </c>
      <c r="C336" s="3" t="s">
        <v>754</v>
      </c>
      <c r="D336" s="3" t="s">
        <v>677</v>
      </c>
      <c r="E336" s="3" t="s">
        <v>678</v>
      </c>
      <c r="F336" s="3" t="s">
        <v>120</v>
      </c>
      <c r="G336" s="3">
        <v>10</v>
      </c>
      <c r="H336" s="3">
        <v>0</v>
      </c>
      <c r="I336" s="3">
        <v>10</v>
      </c>
      <c r="J336" s="3">
        <v>0</v>
      </c>
      <c r="K336" s="3">
        <v>0</v>
      </c>
      <c r="L336" s="3">
        <v>0</v>
      </c>
      <c r="M336" s="3">
        <v>0</v>
      </c>
      <c r="N336" s="3" t="s">
        <v>5218</v>
      </c>
      <c r="O336" s="3">
        <v>0</v>
      </c>
      <c r="P336" s="3">
        <v>0</v>
      </c>
      <c r="Q336" s="3">
        <v>0</v>
      </c>
      <c r="R336" s="3">
        <v>0</v>
      </c>
      <c r="S336" s="3">
        <v>0</v>
      </c>
      <c r="T336" s="3">
        <v>0</v>
      </c>
      <c r="U336" s="3">
        <v>0</v>
      </c>
      <c r="V336" s="3">
        <v>0</v>
      </c>
      <c r="W336" s="3" t="s">
        <v>5227</v>
      </c>
      <c r="X336" s="3">
        <v>24.98</v>
      </c>
      <c r="Y336" s="3">
        <v>24.98</v>
      </c>
      <c r="Z336" s="3">
        <v>24.98</v>
      </c>
      <c r="AA336" s="3">
        <v>0</v>
      </c>
      <c r="AB336" s="3" t="s">
        <v>5223</v>
      </c>
      <c r="AC336" s="3">
        <v>2</v>
      </c>
      <c r="AD336" s="3">
        <v>24.98</v>
      </c>
      <c r="AE336" s="3">
        <v>0</v>
      </c>
      <c r="AF336" s="3">
        <v>0</v>
      </c>
      <c r="AG336" s="3">
        <v>0</v>
      </c>
      <c r="AH336" s="3">
        <v>1.69230769230769</v>
      </c>
      <c r="AI336" s="3" t="s">
        <v>5250</v>
      </c>
      <c r="AJ336" s="3" t="s">
        <v>5222</v>
      </c>
    </row>
    <row r="337" spans="1:36">
      <c r="A337" s="5">
        <v>43288</v>
      </c>
      <c r="B337" s="3" t="s">
        <v>1270</v>
      </c>
      <c r="C337" s="3" t="s">
        <v>1271</v>
      </c>
      <c r="D337" s="3" t="s">
        <v>587</v>
      </c>
      <c r="E337" s="3" t="s">
        <v>588</v>
      </c>
      <c r="F337" s="3" t="s">
        <v>120</v>
      </c>
      <c r="G337" s="3">
        <v>30</v>
      </c>
      <c r="H337" s="3">
        <v>0</v>
      </c>
      <c r="I337" s="3">
        <v>30</v>
      </c>
      <c r="J337" s="3">
        <v>0</v>
      </c>
      <c r="K337" s="3">
        <v>0</v>
      </c>
      <c r="L337" s="3">
        <v>0</v>
      </c>
      <c r="M337" s="3">
        <v>0</v>
      </c>
      <c r="N337" s="3" t="s">
        <v>5218</v>
      </c>
      <c r="O337" s="3">
        <v>0</v>
      </c>
      <c r="P337" s="3">
        <v>0</v>
      </c>
      <c r="Q337" s="3">
        <v>0</v>
      </c>
      <c r="R337" s="3">
        <v>0</v>
      </c>
      <c r="S337" s="3">
        <v>0</v>
      </c>
      <c r="T337" s="3">
        <v>1</v>
      </c>
      <c r="U337" s="3">
        <v>1</v>
      </c>
      <c r="V337" s="3">
        <v>1</v>
      </c>
      <c r="W337" s="3"/>
      <c r="X337" s="3">
        <v>22.98</v>
      </c>
      <c r="Y337" s="3">
        <v>22.98</v>
      </c>
      <c r="Z337" s="3">
        <v>22.98</v>
      </c>
      <c r="AA337" s="3">
        <v>0</v>
      </c>
      <c r="AB337" s="3" t="s">
        <v>5223</v>
      </c>
      <c r="AC337" s="3">
        <v>30</v>
      </c>
      <c r="AD337" s="3">
        <v>22.98</v>
      </c>
      <c r="AE337" s="3">
        <v>0</v>
      </c>
      <c r="AF337" s="3">
        <v>0</v>
      </c>
      <c r="AG337" s="3">
        <v>0</v>
      </c>
      <c r="AH337" s="3">
        <v>0.0333333333333333</v>
      </c>
      <c r="AI337" s="3" t="s">
        <v>5225</v>
      </c>
      <c r="AJ337" s="3" t="s">
        <v>5222</v>
      </c>
    </row>
    <row r="338" spans="1:36">
      <c r="A338" s="5">
        <v>43288</v>
      </c>
      <c r="B338" s="3" t="s">
        <v>808</v>
      </c>
      <c r="C338" s="3" t="s">
        <v>566</v>
      </c>
      <c r="D338" s="3" t="s">
        <v>566</v>
      </c>
      <c r="E338" s="3" t="s">
        <v>809</v>
      </c>
      <c r="F338" s="3" t="s">
        <v>120</v>
      </c>
      <c r="G338" s="3">
        <v>1</v>
      </c>
      <c r="H338" s="3">
        <v>0</v>
      </c>
      <c r="I338" s="3">
        <v>1</v>
      </c>
      <c r="J338" s="3">
        <v>0</v>
      </c>
      <c r="K338" s="3">
        <v>0</v>
      </c>
      <c r="L338" s="3">
        <v>0</v>
      </c>
      <c r="M338" s="3">
        <v>0</v>
      </c>
      <c r="N338" s="3" t="s">
        <v>5218</v>
      </c>
      <c r="O338" s="3">
        <v>0</v>
      </c>
      <c r="P338" s="3">
        <v>0</v>
      </c>
      <c r="Q338" s="3">
        <v>0</v>
      </c>
      <c r="R338" s="3">
        <v>0</v>
      </c>
      <c r="S338" s="3">
        <v>0</v>
      </c>
      <c r="T338" s="3">
        <v>0</v>
      </c>
      <c r="U338" s="3">
        <v>1</v>
      </c>
      <c r="V338" s="3">
        <v>1</v>
      </c>
      <c r="W338" s="3" t="s">
        <v>5227</v>
      </c>
      <c r="X338" s="3">
        <v>22.98</v>
      </c>
      <c r="Y338" s="3">
        <v>22.98</v>
      </c>
      <c r="Z338" s="3">
        <v>22.98</v>
      </c>
      <c r="AA338" s="3">
        <v>0</v>
      </c>
      <c r="AB338" s="3" t="s">
        <v>5223</v>
      </c>
      <c r="AC338" s="3">
        <v>1</v>
      </c>
      <c r="AD338" s="3">
        <v>22.98</v>
      </c>
      <c r="AE338" s="3">
        <v>0</v>
      </c>
      <c r="AF338" s="3">
        <v>0</v>
      </c>
      <c r="AG338" s="3">
        <v>0</v>
      </c>
      <c r="AH338" s="3">
        <v>0.428571428571428</v>
      </c>
      <c r="AI338" s="3" t="s">
        <v>5225</v>
      </c>
      <c r="AJ338" s="3" t="s">
        <v>5222</v>
      </c>
    </row>
    <row r="339" spans="1:36">
      <c r="A339" s="5">
        <v>43288</v>
      </c>
      <c r="B339" s="3" t="s">
        <v>2072</v>
      </c>
      <c r="C339" s="3" t="s">
        <v>2073</v>
      </c>
      <c r="D339" s="3" t="s">
        <v>2073</v>
      </c>
      <c r="E339" s="3" t="s">
        <v>2074</v>
      </c>
      <c r="F339" s="3" t="s">
        <v>120</v>
      </c>
      <c r="G339" s="3">
        <v>18</v>
      </c>
      <c r="H339" s="3">
        <v>0</v>
      </c>
      <c r="I339" s="3">
        <v>4</v>
      </c>
      <c r="J339" s="3">
        <v>6</v>
      </c>
      <c r="K339" s="3">
        <v>8</v>
      </c>
      <c r="L339" s="3">
        <v>0</v>
      </c>
      <c r="M339" s="3">
        <v>0</v>
      </c>
      <c r="N339" s="3" t="s">
        <v>5218</v>
      </c>
      <c r="O339" s="3">
        <v>12</v>
      </c>
      <c r="P339" s="3">
        <v>21.74</v>
      </c>
      <c r="Q339" s="3">
        <v>0</v>
      </c>
      <c r="R339" s="3">
        <v>0</v>
      </c>
      <c r="S339" s="3">
        <v>1</v>
      </c>
      <c r="T339" s="3">
        <v>6</v>
      </c>
      <c r="U339" s="3">
        <v>13</v>
      </c>
      <c r="V339" s="3">
        <v>23</v>
      </c>
      <c r="W339" s="3"/>
      <c r="X339" s="3">
        <v>23.98</v>
      </c>
      <c r="Y339" s="3">
        <v>23.98</v>
      </c>
      <c r="Z339" s="3">
        <v>23.98</v>
      </c>
      <c r="AA339" s="3">
        <v>0</v>
      </c>
      <c r="AB339" s="3" t="s">
        <v>5223</v>
      </c>
      <c r="AC339" s="3">
        <v>19</v>
      </c>
      <c r="AD339" s="3">
        <v>23.98</v>
      </c>
      <c r="AE339" s="3">
        <v>0</v>
      </c>
      <c r="AF339" s="3">
        <v>0</v>
      </c>
      <c r="AG339" s="3">
        <v>0</v>
      </c>
      <c r="AH339" s="3">
        <v>0.844036697247706</v>
      </c>
      <c r="AI339" s="3" t="s">
        <v>5356</v>
      </c>
      <c r="AJ339" s="3" t="s">
        <v>5222</v>
      </c>
    </row>
    <row r="340" spans="1:36">
      <c r="A340" s="5">
        <v>43288</v>
      </c>
      <c r="B340" s="3" t="s">
        <v>2192</v>
      </c>
      <c r="C340" s="3" t="s">
        <v>2193</v>
      </c>
      <c r="D340" s="3" t="s">
        <v>2193</v>
      </c>
      <c r="E340" s="3" t="s">
        <v>2194</v>
      </c>
      <c r="F340" s="3" t="s">
        <v>120</v>
      </c>
      <c r="G340" s="3">
        <v>10</v>
      </c>
      <c r="H340" s="3">
        <v>0</v>
      </c>
      <c r="I340" s="3">
        <v>1</v>
      </c>
      <c r="J340" s="3">
        <v>9</v>
      </c>
      <c r="K340" s="3">
        <v>0</v>
      </c>
      <c r="L340" s="3">
        <v>0</v>
      </c>
      <c r="M340" s="3">
        <v>0</v>
      </c>
      <c r="N340" s="3" t="s">
        <v>5218</v>
      </c>
      <c r="O340" s="3">
        <v>0</v>
      </c>
      <c r="P340" s="3">
        <v>0</v>
      </c>
      <c r="Q340" s="3">
        <v>0</v>
      </c>
      <c r="R340" s="3">
        <v>0</v>
      </c>
      <c r="S340" s="3">
        <v>0</v>
      </c>
      <c r="T340" s="3">
        <v>0</v>
      </c>
      <c r="U340" s="3">
        <v>2</v>
      </c>
      <c r="V340" s="3">
        <v>8</v>
      </c>
      <c r="W340" s="3" t="s">
        <v>5227</v>
      </c>
      <c r="X340" s="3">
        <v>22.98</v>
      </c>
      <c r="Y340" s="3">
        <v>22.98</v>
      </c>
      <c r="Z340" s="3">
        <v>22</v>
      </c>
      <c r="AA340" s="3">
        <v>0</v>
      </c>
      <c r="AB340" s="3" t="s">
        <v>5228</v>
      </c>
      <c r="AC340" s="3">
        <v>1</v>
      </c>
      <c r="AD340" s="3">
        <v>20.67</v>
      </c>
      <c r="AE340" s="3">
        <v>168</v>
      </c>
      <c r="AF340" s="3">
        <v>0</v>
      </c>
      <c r="AG340" s="3">
        <v>211.781658</v>
      </c>
      <c r="AH340" s="3">
        <v>0.615384615384615</v>
      </c>
      <c r="AI340" s="3" t="s">
        <v>5260</v>
      </c>
      <c r="AJ340" s="3" t="s">
        <v>5222</v>
      </c>
    </row>
    <row r="341" spans="1:36">
      <c r="A341" s="5">
        <v>43288</v>
      </c>
      <c r="B341" s="3" t="s">
        <v>2966</v>
      </c>
      <c r="C341" s="3" t="s">
        <v>1444</v>
      </c>
      <c r="D341" s="3" t="s">
        <v>1444</v>
      </c>
      <c r="E341" s="3" t="s">
        <v>1445</v>
      </c>
      <c r="F341" s="3" t="s">
        <v>120</v>
      </c>
      <c r="G341" s="3">
        <v>2</v>
      </c>
      <c r="H341" s="3">
        <v>0</v>
      </c>
      <c r="I341" s="3">
        <v>2</v>
      </c>
      <c r="J341" s="3">
        <v>0</v>
      </c>
      <c r="K341" s="3">
        <v>0</v>
      </c>
      <c r="L341" s="3">
        <v>0</v>
      </c>
      <c r="M341" s="3">
        <v>0</v>
      </c>
      <c r="N341" s="3" t="s">
        <v>5218</v>
      </c>
      <c r="O341" s="3">
        <v>0</v>
      </c>
      <c r="P341" s="3">
        <v>0</v>
      </c>
      <c r="Q341" s="3">
        <v>0</v>
      </c>
      <c r="R341" s="3">
        <v>0</v>
      </c>
      <c r="S341" s="3">
        <v>2</v>
      </c>
      <c r="T341" s="3">
        <v>79</v>
      </c>
      <c r="U341" s="3">
        <v>151</v>
      </c>
      <c r="V341" s="3">
        <v>196</v>
      </c>
      <c r="W341" s="3"/>
      <c r="X341" s="3"/>
      <c r="Y341" s="3"/>
      <c r="Z341" s="3">
        <v>24.98</v>
      </c>
      <c r="AA341" s="3">
        <v>-1</v>
      </c>
      <c r="AB341" s="3" t="s">
        <v>5244</v>
      </c>
      <c r="AC341" s="3">
        <v>0</v>
      </c>
      <c r="AD341" s="3">
        <v>0</v>
      </c>
      <c r="AE341" s="3">
        <v>0</v>
      </c>
      <c r="AF341" s="3">
        <v>0</v>
      </c>
      <c r="AG341" s="3">
        <v>0</v>
      </c>
      <c r="AH341" s="3">
        <v>11.8787878787878</v>
      </c>
      <c r="AI341" s="3" t="s">
        <v>5236</v>
      </c>
      <c r="AJ341" s="3" t="s">
        <v>5222</v>
      </c>
    </row>
    <row r="342" spans="1:36">
      <c r="A342" s="5">
        <v>43288</v>
      </c>
      <c r="B342" s="3" t="s">
        <v>2911</v>
      </c>
      <c r="C342" s="3" t="s">
        <v>2912</v>
      </c>
      <c r="D342" s="3" t="s">
        <v>2912</v>
      </c>
      <c r="E342" s="3" t="s">
        <v>1840</v>
      </c>
      <c r="F342" s="3" t="s">
        <v>120</v>
      </c>
      <c r="G342" s="3">
        <v>33</v>
      </c>
      <c r="H342" s="3">
        <v>0</v>
      </c>
      <c r="I342" s="3">
        <v>0</v>
      </c>
      <c r="J342" s="3">
        <v>33</v>
      </c>
      <c r="K342" s="3">
        <v>0</v>
      </c>
      <c r="L342" s="3">
        <v>0</v>
      </c>
      <c r="M342" s="3">
        <v>0</v>
      </c>
      <c r="N342" s="3" t="s">
        <v>5218</v>
      </c>
      <c r="O342" s="3">
        <v>3</v>
      </c>
      <c r="P342" s="3">
        <v>5.57</v>
      </c>
      <c r="Q342" s="3">
        <v>0</v>
      </c>
      <c r="R342" s="3">
        <v>0</v>
      </c>
      <c r="S342" s="3">
        <v>0</v>
      </c>
      <c r="T342" s="3">
        <v>0</v>
      </c>
      <c r="U342" s="3">
        <v>0</v>
      </c>
      <c r="V342" s="3">
        <v>1</v>
      </c>
      <c r="W342" s="3"/>
      <c r="X342" s="3"/>
      <c r="Y342" s="3"/>
      <c r="Z342" s="3">
        <v>-1</v>
      </c>
      <c r="AA342" s="3">
        <v>-1</v>
      </c>
      <c r="AB342" s="3" t="s">
        <v>5244</v>
      </c>
      <c r="AC342" s="3">
        <v>0</v>
      </c>
      <c r="AD342" s="3">
        <v>0</v>
      </c>
      <c r="AE342" s="3">
        <v>0</v>
      </c>
      <c r="AF342" s="3">
        <v>0</v>
      </c>
      <c r="AG342" s="3">
        <v>0</v>
      </c>
      <c r="AH342" s="3">
        <v>0.0300751879699248</v>
      </c>
      <c r="AI342" s="3" t="s">
        <v>5254</v>
      </c>
      <c r="AJ342" s="3" t="s">
        <v>5222</v>
      </c>
    </row>
    <row r="343" spans="1:36">
      <c r="A343" s="5">
        <v>43288</v>
      </c>
      <c r="B343" s="3" t="s">
        <v>2513</v>
      </c>
      <c r="C343" s="3" t="s">
        <v>2514</v>
      </c>
      <c r="D343" s="3" t="s">
        <v>2514</v>
      </c>
      <c r="E343" s="3" t="s">
        <v>2515</v>
      </c>
      <c r="F343" s="3" t="s">
        <v>120</v>
      </c>
      <c r="G343" s="3">
        <v>6</v>
      </c>
      <c r="H343" s="3">
        <v>0</v>
      </c>
      <c r="I343" s="3">
        <v>0</v>
      </c>
      <c r="J343" s="3">
        <v>1</v>
      </c>
      <c r="K343" s="3">
        <v>5</v>
      </c>
      <c r="L343" s="3">
        <v>0</v>
      </c>
      <c r="M343" s="3">
        <v>0</v>
      </c>
      <c r="N343" s="3" t="s">
        <v>5218</v>
      </c>
      <c r="O343" s="3">
        <v>5</v>
      </c>
      <c r="P343" s="3">
        <v>11.16</v>
      </c>
      <c r="Q343" s="3">
        <v>0</v>
      </c>
      <c r="R343" s="3">
        <v>0</v>
      </c>
      <c r="S343" s="3">
        <v>0</v>
      </c>
      <c r="T343" s="3">
        <v>1</v>
      </c>
      <c r="U343" s="3">
        <v>1</v>
      </c>
      <c r="V343" s="3">
        <v>1</v>
      </c>
      <c r="W343" s="3"/>
      <c r="X343" s="3">
        <v>24.98</v>
      </c>
      <c r="Y343" s="3">
        <v>24.98</v>
      </c>
      <c r="Z343" s="3">
        <v>24.98</v>
      </c>
      <c r="AA343" s="3">
        <v>0</v>
      </c>
      <c r="AB343" s="3" t="s">
        <v>5228</v>
      </c>
      <c r="AC343" s="3">
        <v>1</v>
      </c>
      <c r="AD343" s="3">
        <v>21.66</v>
      </c>
      <c r="AE343" s="3">
        <v>98</v>
      </c>
      <c r="AF343" s="3">
        <v>0</v>
      </c>
      <c r="AG343" s="3">
        <v>218.089718</v>
      </c>
      <c r="AH343" s="3">
        <v>0.148148148148148</v>
      </c>
      <c r="AI343" s="3" t="s">
        <v>5230</v>
      </c>
      <c r="AJ343" s="3" t="s">
        <v>5222</v>
      </c>
    </row>
    <row r="344" spans="1:36">
      <c r="A344" s="5">
        <v>43288</v>
      </c>
      <c r="B344" s="3" t="s">
        <v>1583</v>
      </c>
      <c r="C344" s="3" t="s">
        <v>1584</v>
      </c>
      <c r="D344" s="3" t="s">
        <v>1584</v>
      </c>
      <c r="E344" s="3" t="s">
        <v>1585</v>
      </c>
      <c r="F344" s="3" t="s">
        <v>120</v>
      </c>
      <c r="G344" s="3">
        <v>9</v>
      </c>
      <c r="H344" s="3">
        <v>0</v>
      </c>
      <c r="I344" s="3">
        <v>4</v>
      </c>
      <c r="J344" s="3">
        <v>3</v>
      </c>
      <c r="K344" s="3">
        <v>2</v>
      </c>
      <c r="L344" s="3">
        <v>0</v>
      </c>
      <c r="M344" s="3">
        <v>0</v>
      </c>
      <c r="N344" s="3" t="s">
        <v>5218</v>
      </c>
      <c r="O344" s="3">
        <v>2</v>
      </c>
      <c r="P344" s="3">
        <v>2.02</v>
      </c>
      <c r="Q344" s="3">
        <v>0</v>
      </c>
      <c r="R344" s="3">
        <v>0</v>
      </c>
      <c r="S344" s="3">
        <v>1</v>
      </c>
      <c r="T344" s="3">
        <v>6</v>
      </c>
      <c r="U344" s="3">
        <v>15</v>
      </c>
      <c r="V344" s="3">
        <v>20</v>
      </c>
      <c r="W344" s="3"/>
      <c r="X344" s="3">
        <v>22.98</v>
      </c>
      <c r="Y344" s="3">
        <v>22.98</v>
      </c>
      <c r="Z344" s="3">
        <v>19.98</v>
      </c>
      <c r="AA344" s="3">
        <v>0</v>
      </c>
      <c r="AB344" s="3" t="s">
        <v>5223</v>
      </c>
      <c r="AC344" s="3">
        <v>8</v>
      </c>
      <c r="AD344" s="3">
        <v>22.98</v>
      </c>
      <c r="AE344" s="3">
        <v>0</v>
      </c>
      <c r="AF344" s="3">
        <v>0</v>
      </c>
      <c r="AG344" s="3">
        <v>0</v>
      </c>
      <c r="AH344" s="3">
        <v>1.23076923076923</v>
      </c>
      <c r="AI344" s="3" t="s">
        <v>5357</v>
      </c>
      <c r="AJ344" s="3" t="s">
        <v>5222</v>
      </c>
    </row>
    <row r="345" spans="1:36">
      <c r="A345" s="5">
        <v>43288</v>
      </c>
      <c r="B345" s="3" t="s">
        <v>4561</v>
      </c>
      <c r="C345" s="3" t="s">
        <v>3967</v>
      </c>
      <c r="D345" s="3" t="s">
        <v>3967</v>
      </c>
      <c r="E345" s="3" t="s">
        <v>3968</v>
      </c>
      <c r="F345" s="3" t="s">
        <v>120</v>
      </c>
      <c r="G345" s="3">
        <v>13</v>
      </c>
      <c r="H345" s="3">
        <v>0</v>
      </c>
      <c r="I345" s="3">
        <v>13</v>
      </c>
      <c r="J345" s="3">
        <v>0</v>
      </c>
      <c r="K345" s="3">
        <v>0</v>
      </c>
      <c r="L345" s="3">
        <v>0</v>
      </c>
      <c r="M345" s="3">
        <v>0</v>
      </c>
      <c r="N345" s="3" t="s">
        <v>5218</v>
      </c>
      <c r="O345" s="3">
        <v>0</v>
      </c>
      <c r="P345" s="3">
        <v>0</v>
      </c>
      <c r="Q345" s="3">
        <v>0</v>
      </c>
      <c r="R345" s="3">
        <v>0</v>
      </c>
      <c r="S345" s="3">
        <v>0</v>
      </c>
      <c r="T345" s="3">
        <v>0</v>
      </c>
      <c r="U345" s="3">
        <v>0</v>
      </c>
      <c r="V345" s="3">
        <v>1</v>
      </c>
      <c r="W345" s="3" t="s">
        <v>5227</v>
      </c>
      <c r="X345" s="3">
        <v>26.98</v>
      </c>
      <c r="Y345" s="3">
        <v>26.98</v>
      </c>
      <c r="Z345" s="3">
        <v>26.98</v>
      </c>
      <c r="AA345" s="3">
        <v>0</v>
      </c>
      <c r="AB345" s="3" t="s">
        <v>5228</v>
      </c>
      <c r="AC345" s="3">
        <v>0</v>
      </c>
      <c r="AD345" s="3">
        <v>23.47</v>
      </c>
      <c r="AE345" s="3">
        <v>294</v>
      </c>
      <c r="AF345" s="3">
        <v>0</v>
      </c>
      <c r="AG345" s="3">
        <v>321.139425</v>
      </c>
      <c r="AH345" s="3">
        <v>0.0975609756097561</v>
      </c>
      <c r="AI345" s="3" t="s">
        <v>5249</v>
      </c>
      <c r="AJ345" s="3" t="s">
        <v>5222</v>
      </c>
    </row>
    <row r="346" spans="1:36">
      <c r="A346" s="5">
        <v>43288</v>
      </c>
      <c r="B346" s="3" t="s">
        <v>2919</v>
      </c>
      <c r="C346" s="3" t="s">
        <v>2920</v>
      </c>
      <c r="D346" s="3" t="s">
        <v>2920</v>
      </c>
      <c r="E346" s="3" t="s">
        <v>2921</v>
      </c>
      <c r="F346" s="3" t="s">
        <v>120</v>
      </c>
      <c r="G346" s="3">
        <v>15</v>
      </c>
      <c r="H346" s="3">
        <v>0</v>
      </c>
      <c r="I346" s="3">
        <v>15</v>
      </c>
      <c r="J346" s="3">
        <v>0</v>
      </c>
      <c r="K346" s="3">
        <v>0</v>
      </c>
      <c r="L346" s="3">
        <v>0</v>
      </c>
      <c r="M346" s="3">
        <v>0</v>
      </c>
      <c r="N346" s="3" t="s">
        <v>5218</v>
      </c>
      <c r="O346" s="3">
        <v>0</v>
      </c>
      <c r="P346" s="3">
        <v>0</v>
      </c>
      <c r="Q346" s="3">
        <v>0</v>
      </c>
      <c r="R346" s="3">
        <v>0</v>
      </c>
      <c r="S346" s="3">
        <v>0</v>
      </c>
      <c r="T346" s="3">
        <v>0</v>
      </c>
      <c r="U346" s="3">
        <v>0</v>
      </c>
      <c r="V346" s="3">
        <v>0</v>
      </c>
      <c r="W346" s="3" t="s">
        <v>5219</v>
      </c>
      <c r="X346" s="3">
        <v>39.98</v>
      </c>
      <c r="Y346" s="3">
        <v>39.98</v>
      </c>
      <c r="Z346" s="3">
        <v>39.98</v>
      </c>
      <c r="AA346" s="3">
        <v>0</v>
      </c>
      <c r="AB346" s="3" t="s">
        <v>5220</v>
      </c>
      <c r="AC346" s="3">
        <v>15</v>
      </c>
      <c r="AD346" s="3">
        <v>39.98</v>
      </c>
      <c r="AE346" s="3">
        <v>0</v>
      </c>
      <c r="AF346" s="3">
        <v>0</v>
      </c>
      <c r="AG346" s="3">
        <v>0</v>
      </c>
      <c r="AH346" s="3">
        <v>0</v>
      </c>
      <c r="AI346" s="3" t="s">
        <v>5236</v>
      </c>
      <c r="AJ346" s="3" t="s">
        <v>5222</v>
      </c>
    </row>
    <row r="347" spans="1:36">
      <c r="A347" s="5">
        <v>43288</v>
      </c>
      <c r="B347" s="3" t="s">
        <v>4490</v>
      </c>
      <c r="C347" s="3" t="s">
        <v>3687</v>
      </c>
      <c r="D347" s="3" t="s">
        <v>3687</v>
      </c>
      <c r="E347" s="3" t="s">
        <v>3688</v>
      </c>
      <c r="F347" s="3" t="s">
        <v>120</v>
      </c>
      <c r="G347" s="3">
        <v>6</v>
      </c>
      <c r="H347" s="3">
        <v>0</v>
      </c>
      <c r="I347" s="3">
        <v>0</v>
      </c>
      <c r="J347" s="3">
        <v>1</v>
      </c>
      <c r="K347" s="3">
        <v>5</v>
      </c>
      <c r="L347" s="3">
        <v>0</v>
      </c>
      <c r="M347" s="3">
        <v>0</v>
      </c>
      <c r="N347" s="3" t="s">
        <v>5218</v>
      </c>
      <c r="O347" s="3">
        <v>6</v>
      </c>
      <c r="P347" s="3">
        <v>5.92</v>
      </c>
      <c r="Q347" s="3">
        <v>0</v>
      </c>
      <c r="R347" s="3">
        <v>0</v>
      </c>
      <c r="S347" s="3">
        <v>0</v>
      </c>
      <c r="T347" s="3">
        <v>0</v>
      </c>
      <c r="U347" s="3">
        <v>0</v>
      </c>
      <c r="V347" s="3">
        <v>0</v>
      </c>
      <c r="W347" s="3" t="s">
        <v>5219</v>
      </c>
      <c r="X347" s="3">
        <v>22.98</v>
      </c>
      <c r="Y347" s="3">
        <v>22.98</v>
      </c>
      <c r="Z347" s="3">
        <v>22.98</v>
      </c>
      <c r="AA347" s="3">
        <v>0</v>
      </c>
      <c r="AB347" s="3" t="s">
        <v>5220</v>
      </c>
      <c r="AC347" s="3">
        <v>0</v>
      </c>
      <c r="AD347" s="3">
        <v>19.49</v>
      </c>
      <c r="AE347" s="3">
        <v>238</v>
      </c>
      <c r="AF347" s="3">
        <v>0</v>
      </c>
      <c r="AG347" s="3">
        <v>110.934685</v>
      </c>
      <c r="AH347" s="3">
        <v>0</v>
      </c>
      <c r="AI347" s="3" t="s">
        <v>5285</v>
      </c>
      <c r="AJ347" s="3" t="s">
        <v>5222</v>
      </c>
    </row>
    <row r="348" spans="1:36">
      <c r="A348" s="5">
        <v>43288</v>
      </c>
      <c r="B348" s="3" t="s">
        <v>2552</v>
      </c>
      <c r="C348" s="3" t="s">
        <v>2553</v>
      </c>
      <c r="D348" s="3" t="s">
        <v>2553</v>
      </c>
      <c r="E348" s="3" t="s">
        <v>2554</v>
      </c>
      <c r="F348" s="3" t="s">
        <v>120</v>
      </c>
      <c r="G348" s="3">
        <v>24</v>
      </c>
      <c r="H348" s="3">
        <v>0</v>
      </c>
      <c r="I348" s="3">
        <v>21</v>
      </c>
      <c r="J348" s="3">
        <v>1</v>
      </c>
      <c r="K348" s="3">
        <v>2</v>
      </c>
      <c r="L348" s="3">
        <v>0</v>
      </c>
      <c r="M348" s="3">
        <v>0</v>
      </c>
      <c r="N348" s="3" t="s">
        <v>5218</v>
      </c>
      <c r="O348" s="3">
        <v>3</v>
      </c>
      <c r="P348" s="3">
        <v>6.7</v>
      </c>
      <c r="Q348" s="3">
        <v>0</v>
      </c>
      <c r="R348" s="3">
        <v>0</v>
      </c>
      <c r="S348" s="3">
        <v>1</v>
      </c>
      <c r="T348" s="3">
        <v>1</v>
      </c>
      <c r="U348" s="3">
        <v>2</v>
      </c>
      <c r="V348" s="3">
        <v>9</v>
      </c>
      <c r="W348" s="3"/>
      <c r="X348" s="3">
        <v>24.98</v>
      </c>
      <c r="Y348" s="3">
        <v>24.98</v>
      </c>
      <c r="Z348" s="3">
        <v>24.98</v>
      </c>
      <c r="AA348" s="3">
        <v>0</v>
      </c>
      <c r="AB348" s="3" t="s">
        <v>5228</v>
      </c>
      <c r="AC348" s="3">
        <v>0</v>
      </c>
      <c r="AD348" s="3">
        <v>14.44</v>
      </c>
      <c r="AE348" s="3">
        <v>98</v>
      </c>
      <c r="AF348" s="3">
        <v>0</v>
      </c>
      <c r="AG348" s="3">
        <v>604.250418</v>
      </c>
      <c r="AH348" s="3">
        <v>0.553846153846153</v>
      </c>
      <c r="AI348" s="3" t="s">
        <v>5230</v>
      </c>
      <c r="AJ348" s="3" t="s">
        <v>5222</v>
      </c>
    </row>
    <row r="349" spans="1:36">
      <c r="A349" s="5">
        <v>43288</v>
      </c>
      <c r="B349" s="3" t="s">
        <v>3078</v>
      </c>
      <c r="C349" s="3" t="s">
        <v>3079</v>
      </c>
      <c r="D349" s="3" t="s">
        <v>3079</v>
      </c>
      <c r="E349" s="3" t="s">
        <v>3080</v>
      </c>
      <c r="F349" s="3" t="s">
        <v>120</v>
      </c>
      <c r="G349" s="3">
        <v>13</v>
      </c>
      <c r="H349" s="3">
        <v>0</v>
      </c>
      <c r="I349" s="3">
        <v>13</v>
      </c>
      <c r="J349" s="3">
        <v>0</v>
      </c>
      <c r="K349" s="3">
        <v>0</v>
      </c>
      <c r="L349" s="3">
        <v>0</v>
      </c>
      <c r="M349" s="3">
        <v>0</v>
      </c>
      <c r="N349" s="3" t="s">
        <v>5218</v>
      </c>
      <c r="O349" s="3">
        <v>0</v>
      </c>
      <c r="P349" s="3">
        <v>0</v>
      </c>
      <c r="Q349" s="3">
        <v>0</v>
      </c>
      <c r="R349" s="3">
        <v>0</v>
      </c>
      <c r="S349" s="3">
        <v>0</v>
      </c>
      <c r="T349" s="3">
        <v>8</v>
      </c>
      <c r="U349" s="3">
        <v>23</v>
      </c>
      <c r="V349" s="3">
        <v>44</v>
      </c>
      <c r="W349" s="3"/>
      <c r="X349" s="3">
        <v>23.98</v>
      </c>
      <c r="Y349" s="3">
        <v>23.98</v>
      </c>
      <c r="Z349" s="3">
        <v>23.98</v>
      </c>
      <c r="AA349" s="3">
        <v>0</v>
      </c>
      <c r="AB349" s="3" t="s">
        <v>5223</v>
      </c>
      <c r="AC349" s="3">
        <v>13</v>
      </c>
      <c r="AD349" s="3">
        <v>23.98</v>
      </c>
      <c r="AE349" s="3">
        <v>0</v>
      </c>
      <c r="AF349" s="3">
        <v>0</v>
      </c>
      <c r="AG349" s="3">
        <v>0</v>
      </c>
      <c r="AH349" s="3">
        <v>2.47887323943661</v>
      </c>
      <c r="AI349" s="3" t="s">
        <v>5358</v>
      </c>
      <c r="AJ349" s="3" t="s">
        <v>5222</v>
      </c>
    </row>
    <row r="350" spans="1:36">
      <c r="A350" s="5">
        <v>43288</v>
      </c>
      <c r="B350" s="3" t="s">
        <v>2445</v>
      </c>
      <c r="C350" s="3" t="s">
        <v>2446</v>
      </c>
      <c r="D350" s="3" t="s">
        <v>2446</v>
      </c>
      <c r="E350" s="3" t="s">
        <v>330</v>
      </c>
      <c r="F350" s="3" t="s">
        <v>120</v>
      </c>
      <c r="G350" s="3">
        <v>33</v>
      </c>
      <c r="H350" s="3">
        <v>0</v>
      </c>
      <c r="I350" s="3">
        <v>33</v>
      </c>
      <c r="J350" s="3">
        <v>0</v>
      </c>
      <c r="K350" s="3">
        <v>0</v>
      </c>
      <c r="L350" s="3">
        <v>0</v>
      </c>
      <c r="M350" s="3">
        <v>0</v>
      </c>
      <c r="N350" s="3" t="s">
        <v>5218</v>
      </c>
      <c r="O350" s="3">
        <v>0</v>
      </c>
      <c r="P350" s="3">
        <v>0</v>
      </c>
      <c r="Q350" s="3">
        <v>0</v>
      </c>
      <c r="R350" s="3">
        <v>0</v>
      </c>
      <c r="S350" s="3">
        <v>0</v>
      </c>
      <c r="T350" s="3">
        <v>1</v>
      </c>
      <c r="U350" s="3">
        <v>1</v>
      </c>
      <c r="V350" s="3">
        <v>3</v>
      </c>
      <c r="W350" s="3"/>
      <c r="X350" s="3">
        <v>22.98</v>
      </c>
      <c r="Y350" s="3">
        <v>22.98</v>
      </c>
      <c r="Z350" s="3">
        <v>22</v>
      </c>
      <c r="AA350" s="3">
        <v>0</v>
      </c>
      <c r="AB350" s="3" t="s">
        <v>5223</v>
      </c>
      <c r="AC350" s="3">
        <v>33</v>
      </c>
      <c r="AD350" s="3">
        <v>22.98</v>
      </c>
      <c r="AE350" s="3">
        <v>0</v>
      </c>
      <c r="AF350" s="3">
        <v>0</v>
      </c>
      <c r="AG350" s="3">
        <v>0</v>
      </c>
      <c r="AH350" s="3">
        <v>0.146341463414634</v>
      </c>
      <c r="AI350" s="3" t="s">
        <v>5240</v>
      </c>
      <c r="AJ350" s="3" t="s">
        <v>5222</v>
      </c>
    </row>
    <row r="351" spans="1:36">
      <c r="A351" s="5">
        <v>43288</v>
      </c>
      <c r="B351" s="3" t="s">
        <v>1472</v>
      </c>
      <c r="C351" s="3" t="s">
        <v>32</v>
      </c>
      <c r="D351" s="3" t="s">
        <v>32</v>
      </c>
      <c r="E351" s="3" t="s">
        <v>1473</v>
      </c>
      <c r="F351" s="3" t="s">
        <v>120</v>
      </c>
      <c r="G351" s="3">
        <v>27</v>
      </c>
      <c r="H351" s="3">
        <v>0</v>
      </c>
      <c r="I351" s="3">
        <v>11</v>
      </c>
      <c r="J351" s="3">
        <v>16</v>
      </c>
      <c r="K351" s="3">
        <v>0</v>
      </c>
      <c r="L351" s="3">
        <v>0</v>
      </c>
      <c r="M351" s="3">
        <v>0</v>
      </c>
      <c r="N351" s="3" t="s">
        <v>5218</v>
      </c>
      <c r="O351" s="3">
        <v>14</v>
      </c>
      <c r="P351" s="3">
        <v>29.43</v>
      </c>
      <c r="Q351" s="3">
        <v>0</v>
      </c>
      <c r="R351" s="3">
        <v>0</v>
      </c>
      <c r="S351" s="3">
        <v>1</v>
      </c>
      <c r="T351" s="3">
        <v>6</v>
      </c>
      <c r="U351" s="3">
        <v>8</v>
      </c>
      <c r="V351" s="3">
        <v>18</v>
      </c>
      <c r="W351" s="3"/>
      <c r="X351" s="3">
        <v>22.98</v>
      </c>
      <c r="Y351" s="3">
        <v>22.98</v>
      </c>
      <c r="Z351" s="3">
        <v>19.98</v>
      </c>
      <c r="AA351" s="3">
        <v>0</v>
      </c>
      <c r="AB351" s="3" t="s">
        <v>5223</v>
      </c>
      <c r="AC351" s="3">
        <v>28</v>
      </c>
      <c r="AD351" s="3">
        <v>22.98</v>
      </c>
      <c r="AE351" s="3">
        <v>0</v>
      </c>
      <c r="AF351" s="3">
        <v>0</v>
      </c>
      <c r="AG351" s="3">
        <v>0</v>
      </c>
      <c r="AH351" s="3">
        <v>0.605042016806722</v>
      </c>
      <c r="AI351" s="3" t="s">
        <v>5359</v>
      </c>
      <c r="AJ351" s="3" t="s">
        <v>5222</v>
      </c>
    </row>
    <row r="352" spans="1:36">
      <c r="A352" s="5">
        <v>43288</v>
      </c>
      <c r="B352" s="3" t="s">
        <v>2096</v>
      </c>
      <c r="C352" s="3" t="s">
        <v>2097</v>
      </c>
      <c r="D352" s="3" t="s">
        <v>2097</v>
      </c>
      <c r="E352" s="3" t="s">
        <v>2098</v>
      </c>
      <c r="F352" s="3" t="s">
        <v>120</v>
      </c>
      <c r="G352" s="3">
        <v>1</v>
      </c>
      <c r="H352" s="3">
        <v>0</v>
      </c>
      <c r="I352" s="3">
        <v>1</v>
      </c>
      <c r="J352" s="3">
        <v>0</v>
      </c>
      <c r="K352" s="3">
        <v>0</v>
      </c>
      <c r="L352" s="3">
        <v>0</v>
      </c>
      <c r="M352" s="3">
        <v>0</v>
      </c>
      <c r="N352" s="3" t="s">
        <v>5218</v>
      </c>
      <c r="O352" s="3">
        <v>0</v>
      </c>
      <c r="P352" s="3">
        <v>0</v>
      </c>
      <c r="Q352" s="3">
        <v>0</v>
      </c>
      <c r="R352" s="3">
        <v>0</v>
      </c>
      <c r="S352" s="3">
        <v>0</v>
      </c>
      <c r="T352" s="3">
        <v>10</v>
      </c>
      <c r="U352" s="3">
        <v>23</v>
      </c>
      <c r="V352" s="3">
        <v>40</v>
      </c>
      <c r="W352" s="3"/>
      <c r="X352" s="3">
        <v>23.98</v>
      </c>
      <c r="Y352" s="3">
        <v>23.98</v>
      </c>
      <c r="Z352" s="3">
        <v>23.98</v>
      </c>
      <c r="AA352" s="3">
        <v>0</v>
      </c>
      <c r="AB352" s="3" t="s">
        <v>5223</v>
      </c>
      <c r="AC352" s="3">
        <v>0</v>
      </c>
      <c r="AD352" s="3">
        <v>0</v>
      </c>
      <c r="AE352" s="3">
        <v>0</v>
      </c>
      <c r="AF352" s="3">
        <v>0</v>
      </c>
      <c r="AG352" s="3">
        <v>0</v>
      </c>
      <c r="AH352" s="3">
        <v>4</v>
      </c>
      <c r="AI352" s="3" t="s">
        <v>5360</v>
      </c>
      <c r="AJ352" s="3" t="s">
        <v>5222</v>
      </c>
    </row>
    <row r="353" spans="1:36">
      <c r="A353" s="5">
        <v>43288</v>
      </c>
      <c r="B353" s="3" t="s">
        <v>4279</v>
      </c>
      <c r="C353" s="3" t="s">
        <v>4280</v>
      </c>
      <c r="D353" s="3" t="s">
        <v>4280</v>
      </c>
      <c r="E353" s="3" t="s">
        <v>4281</v>
      </c>
      <c r="F353" s="3" t="s">
        <v>120</v>
      </c>
      <c r="G353" s="3">
        <v>28</v>
      </c>
      <c r="H353" s="3">
        <v>0</v>
      </c>
      <c r="I353" s="3">
        <v>28</v>
      </c>
      <c r="J353" s="3">
        <v>0</v>
      </c>
      <c r="K353" s="3">
        <v>0</v>
      </c>
      <c r="L353" s="3">
        <v>0</v>
      </c>
      <c r="M353" s="3">
        <v>0</v>
      </c>
      <c r="N353" s="3" t="s">
        <v>5218</v>
      </c>
      <c r="O353" s="3">
        <v>0</v>
      </c>
      <c r="P353" s="3">
        <v>0</v>
      </c>
      <c r="Q353" s="3">
        <v>0</v>
      </c>
      <c r="R353" s="3">
        <v>0</v>
      </c>
      <c r="S353" s="3">
        <v>0</v>
      </c>
      <c r="T353" s="3">
        <v>2</v>
      </c>
      <c r="U353" s="3">
        <v>5</v>
      </c>
      <c r="V353" s="3">
        <v>7</v>
      </c>
      <c r="W353" s="3"/>
      <c r="X353" s="3">
        <v>23.98</v>
      </c>
      <c r="Y353" s="3">
        <v>23.98</v>
      </c>
      <c r="Z353" s="3">
        <v>23.98</v>
      </c>
      <c r="AA353" s="3">
        <v>0</v>
      </c>
      <c r="AB353" s="3" t="s">
        <v>5228</v>
      </c>
      <c r="AC353" s="3">
        <v>0</v>
      </c>
      <c r="AD353" s="3">
        <v>12.35</v>
      </c>
      <c r="AE353" s="3">
        <v>196</v>
      </c>
      <c r="AF353" s="3">
        <v>0</v>
      </c>
      <c r="AG353" s="3">
        <v>359.140684</v>
      </c>
      <c r="AH353" s="3">
        <v>0.466666666666666</v>
      </c>
      <c r="AI353" s="3" t="s">
        <v>5361</v>
      </c>
      <c r="AJ353" s="3" t="s">
        <v>5222</v>
      </c>
    </row>
    <row r="354" spans="1:36">
      <c r="A354" s="5">
        <v>43288</v>
      </c>
      <c r="B354" s="3" t="s">
        <v>2647</v>
      </c>
      <c r="C354" s="3" t="s">
        <v>2648</v>
      </c>
      <c r="D354" s="3" t="s">
        <v>2648</v>
      </c>
      <c r="E354" s="3" t="s">
        <v>2649</v>
      </c>
      <c r="F354" s="3" t="s">
        <v>120</v>
      </c>
      <c r="G354" s="3">
        <v>11</v>
      </c>
      <c r="H354" s="3">
        <v>0</v>
      </c>
      <c r="I354" s="3">
        <v>0</v>
      </c>
      <c r="J354" s="3">
        <v>0</v>
      </c>
      <c r="K354" s="3">
        <v>11</v>
      </c>
      <c r="L354" s="3">
        <v>0</v>
      </c>
      <c r="M354" s="3">
        <v>0</v>
      </c>
      <c r="N354" s="3" t="s">
        <v>5218</v>
      </c>
      <c r="O354" s="3">
        <v>11</v>
      </c>
      <c r="P354" s="3">
        <v>19.12</v>
      </c>
      <c r="Q354" s="3">
        <v>0</v>
      </c>
      <c r="R354" s="3">
        <v>0</v>
      </c>
      <c r="S354" s="3">
        <v>0</v>
      </c>
      <c r="T354" s="3">
        <v>0</v>
      </c>
      <c r="U354" s="3">
        <v>0</v>
      </c>
      <c r="V354" s="3">
        <v>0</v>
      </c>
      <c r="W354" s="3" t="s">
        <v>5219</v>
      </c>
      <c r="X354" s="3">
        <v>28.98</v>
      </c>
      <c r="Y354" s="3">
        <v>28.98</v>
      </c>
      <c r="Z354" s="3">
        <v>28.98</v>
      </c>
      <c r="AA354" s="3">
        <v>0</v>
      </c>
      <c r="AB354" s="3" t="s">
        <v>5220</v>
      </c>
      <c r="AC354" s="3">
        <v>0</v>
      </c>
      <c r="AD354" s="3">
        <v>24.94</v>
      </c>
      <c r="AE354" s="3">
        <v>217</v>
      </c>
      <c r="AF354" s="3">
        <v>0</v>
      </c>
      <c r="AG354" s="3">
        <v>352.028851</v>
      </c>
      <c r="AH354" s="3">
        <v>0</v>
      </c>
      <c r="AI354" s="3" t="s">
        <v>5264</v>
      </c>
      <c r="AJ354" s="3" t="s">
        <v>5222</v>
      </c>
    </row>
    <row r="355" spans="1:36">
      <c r="A355" s="5">
        <v>43288</v>
      </c>
      <c r="B355" s="3" t="s">
        <v>3177</v>
      </c>
      <c r="C355" s="3" t="s">
        <v>3178</v>
      </c>
      <c r="D355" s="3" t="s">
        <v>3178</v>
      </c>
      <c r="E355" s="3" t="s">
        <v>3179</v>
      </c>
      <c r="F355" s="3" t="s">
        <v>120</v>
      </c>
      <c r="G355" s="3">
        <v>2</v>
      </c>
      <c r="H355" s="3">
        <v>0</v>
      </c>
      <c r="I355" s="3">
        <v>1</v>
      </c>
      <c r="J355" s="3">
        <v>0</v>
      </c>
      <c r="K355" s="3">
        <v>0</v>
      </c>
      <c r="L355" s="3">
        <v>1</v>
      </c>
      <c r="M355" s="3">
        <v>0</v>
      </c>
      <c r="N355" s="3" t="s">
        <v>5218</v>
      </c>
      <c r="O355" s="3">
        <v>1</v>
      </c>
      <c r="P355" s="3">
        <v>0.9</v>
      </c>
      <c r="Q355" s="3">
        <v>0</v>
      </c>
      <c r="R355" s="3">
        <v>0</v>
      </c>
      <c r="S355" s="3">
        <v>0</v>
      </c>
      <c r="T355" s="3">
        <v>0</v>
      </c>
      <c r="U355" s="3">
        <v>0</v>
      </c>
      <c r="V355" s="3">
        <v>1</v>
      </c>
      <c r="W355" s="3" t="s">
        <v>5227</v>
      </c>
      <c r="X355" s="3">
        <v>15.98</v>
      </c>
      <c r="Y355" s="3">
        <v>15.98</v>
      </c>
      <c r="Z355" s="3">
        <v>15.98</v>
      </c>
      <c r="AA355" s="3">
        <v>0</v>
      </c>
      <c r="AB355" s="3" t="s">
        <v>5228</v>
      </c>
      <c r="AC355" s="3">
        <v>1</v>
      </c>
      <c r="AD355" s="3">
        <v>15.06</v>
      </c>
      <c r="AE355" s="3">
        <v>14</v>
      </c>
      <c r="AF355" s="3">
        <v>0</v>
      </c>
      <c r="AG355" s="3">
        <v>34.379568</v>
      </c>
      <c r="AH355" s="3">
        <v>0.5</v>
      </c>
      <c r="AI355" s="3" t="s">
        <v>5231</v>
      </c>
      <c r="AJ355" s="3" t="s">
        <v>5222</v>
      </c>
    </row>
    <row r="356" spans="1:36">
      <c r="A356" s="5">
        <v>43288</v>
      </c>
      <c r="B356" s="3" t="s">
        <v>1278</v>
      </c>
      <c r="C356" s="3" t="s">
        <v>1279</v>
      </c>
      <c r="D356" s="3" t="s">
        <v>568</v>
      </c>
      <c r="E356" s="3" t="s">
        <v>811</v>
      </c>
      <c r="F356" s="3" t="s">
        <v>120</v>
      </c>
      <c r="G356" s="3">
        <v>9</v>
      </c>
      <c r="H356" s="3">
        <v>0</v>
      </c>
      <c r="I356" s="3">
        <v>9</v>
      </c>
      <c r="J356" s="3">
        <v>0</v>
      </c>
      <c r="K356" s="3">
        <v>0</v>
      </c>
      <c r="L356" s="3">
        <v>0</v>
      </c>
      <c r="M356" s="3">
        <v>0</v>
      </c>
      <c r="N356" s="3" t="s">
        <v>5218</v>
      </c>
      <c r="O356" s="3">
        <v>0</v>
      </c>
      <c r="P356" s="3">
        <v>0</v>
      </c>
      <c r="Q356" s="3">
        <v>0</v>
      </c>
      <c r="R356" s="3">
        <v>0</v>
      </c>
      <c r="S356" s="3">
        <v>0</v>
      </c>
      <c r="T356" s="3">
        <v>0</v>
      </c>
      <c r="U356" s="3">
        <v>0</v>
      </c>
      <c r="V356" s="3">
        <v>0</v>
      </c>
      <c r="W356" s="3" t="s">
        <v>5227</v>
      </c>
      <c r="X356" s="3">
        <v>22.98</v>
      </c>
      <c r="Y356" s="3">
        <v>22.98</v>
      </c>
      <c r="Z356" s="3">
        <v>22.98</v>
      </c>
      <c r="AA356" s="3">
        <v>0</v>
      </c>
      <c r="AB356" s="3" t="s">
        <v>5223</v>
      </c>
      <c r="AC356" s="3">
        <v>9</v>
      </c>
      <c r="AD356" s="3">
        <v>22.98</v>
      </c>
      <c r="AE356" s="3">
        <v>0</v>
      </c>
      <c r="AF356" s="3">
        <v>0</v>
      </c>
      <c r="AG356" s="3">
        <v>0</v>
      </c>
      <c r="AH356" s="3">
        <v>0.193548387096774</v>
      </c>
      <c r="AI356" s="3" t="s">
        <v>5225</v>
      </c>
      <c r="AJ356" s="3" t="s">
        <v>5222</v>
      </c>
    </row>
    <row r="357" spans="1:36">
      <c r="A357" s="5">
        <v>43288</v>
      </c>
      <c r="B357" s="3" t="s">
        <v>2949</v>
      </c>
      <c r="C357" s="3" t="s">
        <v>1396</v>
      </c>
      <c r="D357" s="3" t="s">
        <v>1396</v>
      </c>
      <c r="E357" s="3" t="s">
        <v>1397</v>
      </c>
      <c r="F357" s="3" t="s">
        <v>120</v>
      </c>
      <c r="G357" s="3">
        <v>3</v>
      </c>
      <c r="H357" s="3">
        <v>0</v>
      </c>
      <c r="I357" s="3">
        <v>3</v>
      </c>
      <c r="J357" s="3">
        <v>0</v>
      </c>
      <c r="K357" s="3">
        <v>0</v>
      </c>
      <c r="L357" s="3">
        <v>0</v>
      </c>
      <c r="M357" s="3">
        <v>0</v>
      </c>
      <c r="N357" s="3" t="s">
        <v>5218</v>
      </c>
      <c r="O357" s="3">
        <v>0</v>
      </c>
      <c r="P357" s="3">
        <v>0</v>
      </c>
      <c r="Q357" s="3">
        <v>0</v>
      </c>
      <c r="R357" s="3">
        <v>0</v>
      </c>
      <c r="S357" s="3">
        <v>4</v>
      </c>
      <c r="T357" s="3">
        <v>95</v>
      </c>
      <c r="U357" s="3">
        <v>196</v>
      </c>
      <c r="V357" s="3">
        <v>246</v>
      </c>
      <c r="W357" s="3"/>
      <c r="X357" s="3">
        <v>24.98</v>
      </c>
      <c r="Y357" s="3">
        <v>24.98</v>
      </c>
      <c r="Z357" s="3">
        <v>22.98</v>
      </c>
      <c r="AA357" s="3">
        <v>0</v>
      </c>
      <c r="AB357" s="3" t="s">
        <v>5223</v>
      </c>
      <c r="AC357" s="3">
        <v>0</v>
      </c>
      <c r="AD357" s="3">
        <v>0</v>
      </c>
      <c r="AE357" s="3">
        <v>0</v>
      </c>
      <c r="AF357" s="3">
        <v>0</v>
      </c>
      <c r="AG357" s="3">
        <v>0</v>
      </c>
      <c r="AH357" s="3">
        <v>6.88888888888888</v>
      </c>
      <c r="AI357" s="3" t="s">
        <v>5236</v>
      </c>
      <c r="AJ357" s="3" t="s">
        <v>5222</v>
      </c>
    </row>
    <row r="358" spans="1:36">
      <c r="A358" s="5">
        <v>43288</v>
      </c>
      <c r="B358" s="3" t="s">
        <v>1038</v>
      </c>
      <c r="C358" s="3" t="s">
        <v>1039</v>
      </c>
      <c r="D358" s="3" t="s">
        <v>1040</v>
      </c>
      <c r="E358" s="3" t="s">
        <v>1041</v>
      </c>
      <c r="F358" s="3" t="s">
        <v>120</v>
      </c>
      <c r="G358" s="3">
        <v>23</v>
      </c>
      <c r="H358" s="3">
        <v>0</v>
      </c>
      <c r="I358" s="3">
        <v>23</v>
      </c>
      <c r="J358" s="3">
        <v>0</v>
      </c>
      <c r="K358" s="3">
        <v>0</v>
      </c>
      <c r="L358" s="3">
        <v>0</v>
      </c>
      <c r="M358" s="3">
        <v>0</v>
      </c>
      <c r="N358" s="3" t="s">
        <v>5218</v>
      </c>
      <c r="O358" s="3">
        <v>0</v>
      </c>
      <c r="P358" s="3">
        <v>0</v>
      </c>
      <c r="Q358" s="3">
        <v>0</v>
      </c>
      <c r="R358" s="3">
        <v>0</v>
      </c>
      <c r="S358" s="3">
        <v>1</v>
      </c>
      <c r="T358" s="3">
        <v>1</v>
      </c>
      <c r="U358" s="3">
        <v>1</v>
      </c>
      <c r="V358" s="3">
        <v>1</v>
      </c>
      <c r="W358" s="3"/>
      <c r="X358" s="3">
        <v>22.98</v>
      </c>
      <c r="Y358" s="3">
        <v>22.98</v>
      </c>
      <c r="Z358" s="3">
        <v>22.98</v>
      </c>
      <c r="AA358" s="3">
        <v>0</v>
      </c>
      <c r="AB358" s="3" t="s">
        <v>5223</v>
      </c>
      <c r="AC358" s="3">
        <v>24</v>
      </c>
      <c r="AD358" s="3">
        <v>22.98</v>
      </c>
      <c r="AE358" s="3">
        <v>0</v>
      </c>
      <c r="AF358" s="3">
        <v>0</v>
      </c>
      <c r="AG358" s="3">
        <v>0</v>
      </c>
      <c r="AH358" s="3">
        <v>0.736</v>
      </c>
      <c r="AI358" s="3" t="s">
        <v>5238</v>
      </c>
      <c r="AJ358" s="3" t="s">
        <v>5222</v>
      </c>
    </row>
    <row r="359" spans="1:36">
      <c r="A359" s="5">
        <v>43288</v>
      </c>
      <c r="B359" s="3" t="s">
        <v>4920</v>
      </c>
      <c r="C359" s="3" t="s">
        <v>4921</v>
      </c>
      <c r="D359" s="3" t="s">
        <v>4795</v>
      </c>
      <c r="E359" s="3" t="s">
        <v>4796</v>
      </c>
      <c r="F359" s="3" t="s">
        <v>120</v>
      </c>
      <c r="G359" s="3">
        <v>5</v>
      </c>
      <c r="H359" s="3">
        <v>0</v>
      </c>
      <c r="I359" s="3">
        <v>5</v>
      </c>
      <c r="J359" s="3">
        <v>0</v>
      </c>
      <c r="K359" s="3">
        <v>0</v>
      </c>
      <c r="L359" s="3">
        <v>0</v>
      </c>
      <c r="M359" s="3">
        <v>0</v>
      </c>
      <c r="N359" s="3" t="s">
        <v>5218</v>
      </c>
      <c r="O359" s="3">
        <v>0</v>
      </c>
      <c r="P359" s="3">
        <v>0</v>
      </c>
      <c r="Q359" s="3">
        <v>0</v>
      </c>
      <c r="R359" s="3">
        <v>0</v>
      </c>
      <c r="S359" s="3">
        <v>0</v>
      </c>
      <c r="T359" s="3">
        <v>0</v>
      </c>
      <c r="U359" s="3">
        <v>0</v>
      </c>
      <c r="V359" s="3">
        <v>0</v>
      </c>
      <c r="W359" s="3" t="s">
        <v>5227</v>
      </c>
      <c r="X359" s="3">
        <v>22.98</v>
      </c>
      <c r="Y359" s="3">
        <v>22.98</v>
      </c>
      <c r="Z359" s="3">
        <v>22.98</v>
      </c>
      <c r="AA359" s="3">
        <v>0</v>
      </c>
      <c r="AB359" s="3" t="s">
        <v>5223</v>
      </c>
      <c r="AC359" s="3">
        <v>0</v>
      </c>
      <c r="AD359" s="3">
        <v>0</v>
      </c>
      <c r="AE359" s="3">
        <v>0</v>
      </c>
      <c r="AF359" s="3">
        <v>0</v>
      </c>
      <c r="AG359" s="3">
        <v>0</v>
      </c>
      <c r="AH359" s="3">
        <v>1.84615384615384</v>
      </c>
      <c r="AI359" s="3" t="s">
        <v>5362</v>
      </c>
      <c r="AJ359" s="3" t="s">
        <v>5222</v>
      </c>
    </row>
    <row r="360" spans="1:36">
      <c r="A360" s="5">
        <v>43288</v>
      </c>
      <c r="B360" s="3" t="s">
        <v>1524</v>
      </c>
      <c r="C360" s="3" t="s">
        <v>86</v>
      </c>
      <c r="D360" s="3" t="s">
        <v>86</v>
      </c>
      <c r="E360" s="3" t="s">
        <v>1525</v>
      </c>
      <c r="F360" s="3" t="s">
        <v>120</v>
      </c>
      <c r="G360" s="3">
        <v>11</v>
      </c>
      <c r="H360" s="3">
        <v>0</v>
      </c>
      <c r="I360" s="3">
        <v>1</v>
      </c>
      <c r="J360" s="3">
        <v>3</v>
      </c>
      <c r="K360" s="3">
        <v>7</v>
      </c>
      <c r="L360" s="3">
        <v>0</v>
      </c>
      <c r="M360" s="3">
        <v>0</v>
      </c>
      <c r="N360" s="3" t="s">
        <v>5218</v>
      </c>
      <c r="O360" s="3">
        <v>9</v>
      </c>
      <c r="P360" s="3">
        <v>12.7</v>
      </c>
      <c r="Q360" s="3">
        <v>0</v>
      </c>
      <c r="R360" s="3">
        <v>0</v>
      </c>
      <c r="S360" s="3">
        <v>0</v>
      </c>
      <c r="T360" s="3">
        <v>1</v>
      </c>
      <c r="U360" s="3">
        <v>1</v>
      </c>
      <c r="V360" s="3">
        <v>3</v>
      </c>
      <c r="W360" s="3" t="s">
        <v>5227</v>
      </c>
      <c r="X360" s="3">
        <v>18.98</v>
      </c>
      <c r="Y360" s="3">
        <v>18.98</v>
      </c>
      <c r="Z360" s="3">
        <v>18.98</v>
      </c>
      <c r="AA360" s="3">
        <v>0</v>
      </c>
      <c r="AB360" s="3" t="s">
        <v>5223</v>
      </c>
      <c r="AC360" s="3">
        <v>11</v>
      </c>
      <c r="AD360" s="3">
        <v>18.98</v>
      </c>
      <c r="AE360" s="3">
        <v>0</v>
      </c>
      <c r="AF360" s="3">
        <v>0</v>
      </c>
      <c r="AG360" s="3">
        <v>0</v>
      </c>
      <c r="AH360" s="3">
        <v>0.25</v>
      </c>
      <c r="AI360" s="3" t="s">
        <v>5363</v>
      </c>
      <c r="AJ360" s="3" t="s">
        <v>5222</v>
      </c>
    </row>
    <row r="361" spans="1:36">
      <c r="A361" s="5">
        <v>43288</v>
      </c>
      <c r="B361" s="3" t="s">
        <v>397</v>
      </c>
      <c r="C361" s="3" t="s">
        <v>398</v>
      </c>
      <c r="D361" s="3" t="s">
        <v>399</v>
      </c>
      <c r="E361" s="3" t="s">
        <v>400</v>
      </c>
      <c r="F361" s="3" t="s">
        <v>120</v>
      </c>
      <c r="G361" s="3">
        <v>25</v>
      </c>
      <c r="H361" s="3">
        <v>0</v>
      </c>
      <c r="I361" s="3">
        <v>25</v>
      </c>
      <c r="J361" s="3">
        <v>0</v>
      </c>
      <c r="K361" s="3">
        <v>0</v>
      </c>
      <c r="L361" s="3">
        <v>0</v>
      </c>
      <c r="M361" s="3">
        <v>0</v>
      </c>
      <c r="N361" s="3" t="s">
        <v>5218</v>
      </c>
      <c r="O361" s="3">
        <v>0</v>
      </c>
      <c r="P361" s="3">
        <v>0</v>
      </c>
      <c r="Q361" s="3">
        <v>0</v>
      </c>
      <c r="R361" s="3">
        <v>0</v>
      </c>
      <c r="S361" s="3">
        <v>2</v>
      </c>
      <c r="T361" s="3">
        <v>2</v>
      </c>
      <c r="U361" s="3">
        <v>2</v>
      </c>
      <c r="V361" s="3">
        <v>2</v>
      </c>
      <c r="W361" s="3" t="s">
        <v>5227</v>
      </c>
      <c r="X361" s="3">
        <v>23.98</v>
      </c>
      <c r="Y361" s="3">
        <v>23.98</v>
      </c>
      <c r="Z361" s="3">
        <v>23.98</v>
      </c>
      <c r="AA361" s="3">
        <v>0</v>
      </c>
      <c r="AB361" s="3" t="s">
        <v>5228</v>
      </c>
      <c r="AC361" s="3">
        <v>30</v>
      </c>
      <c r="AD361" s="3">
        <v>22.98</v>
      </c>
      <c r="AE361" s="3">
        <v>0</v>
      </c>
      <c r="AF361" s="3">
        <v>0</v>
      </c>
      <c r="AG361" s="3">
        <v>0</v>
      </c>
      <c r="AH361" s="3">
        <v>13.4285714285714</v>
      </c>
      <c r="AI361" s="3" t="s">
        <v>5257</v>
      </c>
      <c r="AJ361" s="3" t="s">
        <v>5222</v>
      </c>
    </row>
    <row r="362" spans="1:36">
      <c r="A362" s="5">
        <v>43288</v>
      </c>
      <c r="B362" s="3" t="s">
        <v>2597</v>
      </c>
      <c r="C362" s="3" t="s">
        <v>1084</v>
      </c>
      <c r="D362" s="3" t="s">
        <v>1084</v>
      </c>
      <c r="E362" s="3" t="s">
        <v>1085</v>
      </c>
      <c r="F362" s="3" t="s">
        <v>120</v>
      </c>
      <c r="G362" s="3">
        <v>29</v>
      </c>
      <c r="H362" s="3">
        <v>0</v>
      </c>
      <c r="I362" s="3">
        <v>11</v>
      </c>
      <c r="J362" s="3">
        <v>1</v>
      </c>
      <c r="K362" s="3">
        <v>17</v>
      </c>
      <c r="L362" s="3">
        <v>0</v>
      </c>
      <c r="M362" s="3">
        <v>0</v>
      </c>
      <c r="N362" s="3" t="s">
        <v>5218</v>
      </c>
      <c r="O362" s="3">
        <v>17</v>
      </c>
      <c r="P362" s="3">
        <v>28.63</v>
      </c>
      <c r="Q362" s="3">
        <v>0</v>
      </c>
      <c r="R362" s="3">
        <v>0</v>
      </c>
      <c r="S362" s="3">
        <v>0</v>
      </c>
      <c r="T362" s="3">
        <v>0</v>
      </c>
      <c r="U362" s="3">
        <v>2</v>
      </c>
      <c r="V362" s="3">
        <v>3</v>
      </c>
      <c r="W362" s="3" t="s">
        <v>5227</v>
      </c>
      <c r="X362" s="3">
        <v>22.98</v>
      </c>
      <c r="Y362" s="3">
        <v>22.98</v>
      </c>
      <c r="Z362" s="3">
        <v>22.98</v>
      </c>
      <c r="AA362" s="3">
        <v>0</v>
      </c>
      <c r="AB362" s="3" t="s">
        <v>5228</v>
      </c>
      <c r="AC362" s="3">
        <v>6</v>
      </c>
      <c r="AD362" s="3">
        <v>10.52</v>
      </c>
      <c r="AE362" s="3">
        <v>161</v>
      </c>
      <c r="AF362" s="3">
        <v>0</v>
      </c>
      <c r="AG362" s="3">
        <v>267.019764</v>
      </c>
      <c r="AH362" s="3">
        <v>0.136363636363636</v>
      </c>
      <c r="AI362" s="3" t="s">
        <v>5238</v>
      </c>
      <c r="AJ362" s="3" t="s">
        <v>5222</v>
      </c>
    </row>
    <row r="363" spans="1:36">
      <c r="A363" s="5">
        <v>43288</v>
      </c>
      <c r="B363" s="3" t="s">
        <v>5089</v>
      </c>
      <c r="C363" s="3" t="s">
        <v>4779</v>
      </c>
      <c r="D363" s="3" t="s">
        <v>4779</v>
      </c>
      <c r="E363" s="3" t="s">
        <v>4780</v>
      </c>
      <c r="F363" s="3" t="s">
        <v>120</v>
      </c>
      <c r="G363" s="3">
        <v>23</v>
      </c>
      <c r="H363" s="3">
        <v>0</v>
      </c>
      <c r="I363" s="3">
        <v>23</v>
      </c>
      <c r="J363" s="3">
        <v>0</v>
      </c>
      <c r="K363" s="3">
        <v>0</v>
      </c>
      <c r="L363" s="3">
        <v>0</v>
      </c>
      <c r="M363" s="3">
        <v>0</v>
      </c>
      <c r="N363" s="3" t="s">
        <v>5218</v>
      </c>
      <c r="O363" s="3">
        <v>0</v>
      </c>
      <c r="P363" s="3">
        <v>0</v>
      </c>
      <c r="Q363" s="3">
        <v>0</v>
      </c>
      <c r="R363" s="3">
        <v>0</v>
      </c>
      <c r="S363" s="3">
        <v>0</v>
      </c>
      <c r="T363" s="3">
        <v>1</v>
      </c>
      <c r="U363" s="3">
        <v>4</v>
      </c>
      <c r="V363" s="3">
        <v>8</v>
      </c>
      <c r="W363" s="3"/>
      <c r="X363" s="3">
        <v>22.98</v>
      </c>
      <c r="Y363" s="3">
        <v>22.98</v>
      </c>
      <c r="Z363" s="3">
        <v>21.98</v>
      </c>
      <c r="AA363" s="3">
        <v>0</v>
      </c>
      <c r="AB363" s="3" t="s">
        <v>5223</v>
      </c>
      <c r="AC363" s="3">
        <v>24</v>
      </c>
      <c r="AD363" s="3">
        <v>21.98</v>
      </c>
      <c r="AE363" s="3">
        <v>0</v>
      </c>
      <c r="AF363" s="3">
        <v>0</v>
      </c>
      <c r="AG363" s="3">
        <v>0</v>
      </c>
      <c r="AH363" s="3">
        <v>0.790123456790123</v>
      </c>
      <c r="AI363" s="3" t="s">
        <v>5261</v>
      </c>
      <c r="AJ363" s="3" t="s">
        <v>5222</v>
      </c>
    </row>
    <row r="364" spans="1:36">
      <c r="A364" s="5">
        <v>43288</v>
      </c>
      <c r="B364" s="3" t="s">
        <v>4851</v>
      </c>
      <c r="C364" s="3" t="s">
        <v>4852</v>
      </c>
      <c r="D364" s="3" t="s">
        <v>4852</v>
      </c>
      <c r="E364" s="3" t="s">
        <v>4853</v>
      </c>
      <c r="F364" s="3" t="s">
        <v>120</v>
      </c>
      <c r="G364" s="3">
        <v>7</v>
      </c>
      <c r="H364" s="3">
        <v>0</v>
      </c>
      <c r="I364" s="3">
        <v>1</v>
      </c>
      <c r="J364" s="3">
        <v>0</v>
      </c>
      <c r="K364" s="3">
        <v>6</v>
      </c>
      <c r="L364" s="3">
        <v>0</v>
      </c>
      <c r="M364" s="3">
        <v>0</v>
      </c>
      <c r="N364" s="3" t="s">
        <v>5218</v>
      </c>
      <c r="O364" s="3">
        <v>6</v>
      </c>
      <c r="P364" s="3">
        <v>13.14</v>
      </c>
      <c r="Q364" s="3">
        <v>0</v>
      </c>
      <c r="R364" s="3">
        <v>0</v>
      </c>
      <c r="S364" s="3">
        <v>3</v>
      </c>
      <c r="T364" s="3">
        <v>4</v>
      </c>
      <c r="U364" s="3">
        <v>5</v>
      </c>
      <c r="V364" s="3">
        <v>7</v>
      </c>
      <c r="W364" s="3"/>
      <c r="X364" s="3">
        <v>15</v>
      </c>
      <c r="Y364" s="3">
        <v>15</v>
      </c>
      <c r="Z364" s="3">
        <v>15</v>
      </c>
      <c r="AA364" s="3">
        <v>0</v>
      </c>
      <c r="AB364" s="3" t="s">
        <v>5223</v>
      </c>
      <c r="AC364" s="3">
        <v>9</v>
      </c>
      <c r="AD364" s="3">
        <v>15</v>
      </c>
      <c r="AE364" s="3">
        <v>0</v>
      </c>
      <c r="AF364" s="3">
        <v>0</v>
      </c>
      <c r="AG364" s="3">
        <v>0</v>
      </c>
      <c r="AH364" s="3">
        <v>0.7</v>
      </c>
      <c r="AI364" s="3" t="s">
        <v>5364</v>
      </c>
      <c r="AJ364" s="3" t="s">
        <v>5222</v>
      </c>
    </row>
    <row r="365" spans="1:36">
      <c r="A365" s="5">
        <v>43288</v>
      </c>
      <c r="B365" s="3" t="s">
        <v>1258</v>
      </c>
      <c r="C365" s="3" t="s">
        <v>1259</v>
      </c>
      <c r="D365" s="3" t="s">
        <v>545</v>
      </c>
      <c r="E365" s="3" t="s">
        <v>792</v>
      </c>
      <c r="F365" s="3" t="s">
        <v>120</v>
      </c>
      <c r="G365" s="3">
        <v>35</v>
      </c>
      <c r="H365" s="3">
        <v>0</v>
      </c>
      <c r="I365" s="3">
        <v>35</v>
      </c>
      <c r="J365" s="3">
        <v>0</v>
      </c>
      <c r="K365" s="3">
        <v>0</v>
      </c>
      <c r="L365" s="3">
        <v>0</v>
      </c>
      <c r="M365" s="3">
        <v>0</v>
      </c>
      <c r="N365" s="3" t="s">
        <v>5218</v>
      </c>
      <c r="O365" s="3">
        <v>0</v>
      </c>
      <c r="P365" s="3">
        <v>0</v>
      </c>
      <c r="Q365" s="3">
        <v>0</v>
      </c>
      <c r="R365" s="3">
        <v>0</v>
      </c>
      <c r="S365" s="3">
        <v>1</v>
      </c>
      <c r="T365" s="3">
        <v>2</v>
      </c>
      <c r="U365" s="3">
        <v>2</v>
      </c>
      <c r="V365" s="3">
        <v>2</v>
      </c>
      <c r="W365" s="3"/>
      <c r="X365" s="3">
        <v>22.98</v>
      </c>
      <c r="Y365" s="3">
        <v>22.98</v>
      </c>
      <c r="Z365" s="3">
        <v>22.98</v>
      </c>
      <c r="AA365" s="3">
        <v>0</v>
      </c>
      <c r="AB365" s="3" t="s">
        <v>5223</v>
      </c>
      <c r="AC365" s="3">
        <v>35</v>
      </c>
      <c r="AD365" s="3">
        <v>22.98</v>
      </c>
      <c r="AE365" s="3">
        <v>0</v>
      </c>
      <c r="AF365" s="3">
        <v>0</v>
      </c>
      <c r="AG365" s="3">
        <v>0</v>
      </c>
      <c r="AH365" s="3">
        <v>0.48</v>
      </c>
      <c r="AI365" s="3" t="s">
        <v>5225</v>
      </c>
      <c r="AJ365" s="3" t="s">
        <v>5222</v>
      </c>
    </row>
    <row r="366" spans="1:36">
      <c r="A366" s="5">
        <v>43288</v>
      </c>
      <c r="B366" s="3" t="s">
        <v>3000</v>
      </c>
      <c r="C366" s="3" t="s">
        <v>3001</v>
      </c>
      <c r="D366" s="3" t="s">
        <v>3001</v>
      </c>
      <c r="E366" s="3" t="s">
        <v>3002</v>
      </c>
      <c r="F366" s="3" t="s">
        <v>120</v>
      </c>
      <c r="G366" s="3">
        <v>49</v>
      </c>
      <c r="H366" s="3">
        <v>0</v>
      </c>
      <c r="I366" s="3">
        <v>1</v>
      </c>
      <c r="J366" s="3">
        <v>48</v>
      </c>
      <c r="K366" s="3">
        <v>0</v>
      </c>
      <c r="L366" s="3">
        <v>0</v>
      </c>
      <c r="M366" s="3">
        <v>0</v>
      </c>
      <c r="N366" s="3" t="s">
        <v>5218</v>
      </c>
      <c r="O366" s="3">
        <v>48</v>
      </c>
      <c r="P366" s="3">
        <v>80.62</v>
      </c>
      <c r="Q366" s="3">
        <v>0</v>
      </c>
      <c r="R366" s="3">
        <v>0</v>
      </c>
      <c r="S366" s="3">
        <v>1</v>
      </c>
      <c r="T366" s="3">
        <v>10</v>
      </c>
      <c r="U366" s="3">
        <v>21</v>
      </c>
      <c r="V366" s="3">
        <v>39</v>
      </c>
      <c r="W366" s="3"/>
      <c r="X366" s="3">
        <v>23.98</v>
      </c>
      <c r="Y366" s="3">
        <v>23.98</v>
      </c>
      <c r="Z366" s="3">
        <v>23.98</v>
      </c>
      <c r="AA366" s="3">
        <v>0</v>
      </c>
      <c r="AB366" s="3" t="s">
        <v>5223</v>
      </c>
      <c r="AC366" s="3">
        <v>49</v>
      </c>
      <c r="AD366" s="3">
        <v>23.98</v>
      </c>
      <c r="AE366" s="3">
        <v>0</v>
      </c>
      <c r="AF366" s="3">
        <v>0</v>
      </c>
      <c r="AG366" s="3">
        <v>0</v>
      </c>
      <c r="AH366" s="3">
        <v>0.588679245283018</v>
      </c>
      <c r="AI366" s="3" t="s">
        <v>5365</v>
      </c>
      <c r="AJ366" s="3" t="s">
        <v>5222</v>
      </c>
    </row>
    <row r="367" spans="1:36">
      <c r="A367" s="5">
        <v>43288</v>
      </c>
      <c r="B367" s="3" t="s">
        <v>2047</v>
      </c>
      <c r="C367" s="3" t="s">
        <v>2043</v>
      </c>
      <c r="D367" s="3" t="s">
        <v>2043</v>
      </c>
      <c r="E367" s="3" t="s">
        <v>2044</v>
      </c>
      <c r="F367" s="3" t="s">
        <v>120</v>
      </c>
      <c r="G367" s="3">
        <v>59</v>
      </c>
      <c r="H367" s="3">
        <v>0</v>
      </c>
      <c r="I367" s="3">
        <v>59</v>
      </c>
      <c r="J367" s="3">
        <v>0</v>
      </c>
      <c r="K367" s="3">
        <v>0</v>
      </c>
      <c r="L367" s="3">
        <v>0</v>
      </c>
      <c r="M367" s="3">
        <v>0</v>
      </c>
      <c r="N367" s="3" t="s">
        <v>5218</v>
      </c>
      <c r="O367" s="3">
        <v>0</v>
      </c>
      <c r="P367" s="3">
        <v>0</v>
      </c>
      <c r="Q367" s="3">
        <v>0</v>
      </c>
      <c r="R367" s="3">
        <v>0</v>
      </c>
      <c r="S367" s="3">
        <v>0</v>
      </c>
      <c r="T367" s="3">
        <v>0</v>
      </c>
      <c r="U367" s="3">
        <v>0</v>
      </c>
      <c r="V367" s="3">
        <v>0</v>
      </c>
      <c r="W367" s="3" t="s">
        <v>5227</v>
      </c>
      <c r="X367" s="3">
        <v>23.98</v>
      </c>
      <c r="Y367" s="3">
        <v>23.98</v>
      </c>
      <c r="Z367" s="3">
        <v>22.98</v>
      </c>
      <c r="AA367" s="3">
        <v>0</v>
      </c>
      <c r="AB367" s="3" t="s">
        <v>5228</v>
      </c>
      <c r="AC367" s="3">
        <v>60</v>
      </c>
      <c r="AD367" s="3">
        <v>22.98</v>
      </c>
      <c r="AE367" s="3">
        <v>0</v>
      </c>
      <c r="AF367" s="3">
        <v>0</v>
      </c>
      <c r="AG367" s="3">
        <v>0</v>
      </c>
      <c r="AH367" s="3">
        <v>1.20833333333333</v>
      </c>
      <c r="AI367" s="3" t="s">
        <v>5366</v>
      </c>
      <c r="AJ367" s="3" t="s">
        <v>5222</v>
      </c>
    </row>
    <row r="368" spans="1:36">
      <c r="A368" s="5">
        <v>43288</v>
      </c>
      <c r="B368" s="3" t="s">
        <v>3015</v>
      </c>
      <c r="C368" s="3" t="s">
        <v>3016</v>
      </c>
      <c r="D368" s="3" t="s">
        <v>3016</v>
      </c>
      <c r="E368" s="3" t="s">
        <v>3017</v>
      </c>
      <c r="F368" s="3" t="s">
        <v>120</v>
      </c>
      <c r="G368" s="3">
        <v>41</v>
      </c>
      <c r="H368" s="3">
        <v>0</v>
      </c>
      <c r="I368" s="3">
        <v>24</v>
      </c>
      <c r="J368" s="3">
        <v>17</v>
      </c>
      <c r="K368" s="3">
        <v>0</v>
      </c>
      <c r="L368" s="3">
        <v>0</v>
      </c>
      <c r="M368" s="3">
        <v>0</v>
      </c>
      <c r="N368" s="3" t="s">
        <v>5218</v>
      </c>
      <c r="O368" s="3">
        <v>15</v>
      </c>
      <c r="P368" s="3">
        <v>46.01</v>
      </c>
      <c r="Q368" s="3">
        <v>0</v>
      </c>
      <c r="R368" s="3">
        <v>0</v>
      </c>
      <c r="S368" s="3">
        <v>2</v>
      </c>
      <c r="T368" s="3">
        <v>9</v>
      </c>
      <c r="U368" s="3">
        <v>17</v>
      </c>
      <c r="V368" s="3">
        <v>34</v>
      </c>
      <c r="W368" s="3"/>
      <c r="X368" s="3">
        <v>23.98</v>
      </c>
      <c r="Y368" s="3">
        <v>23.98</v>
      </c>
      <c r="Z368" s="3">
        <v>23.98</v>
      </c>
      <c r="AA368" s="3">
        <v>0</v>
      </c>
      <c r="AB368" s="3" t="s">
        <v>5228</v>
      </c>
      <c r="AC368" s="3">
        <v>27</v>
      </c>
      <c r="AD368" s="3">
        <v>21.84</v>
      </c>
      <c r="AE368" s="3">
        <v>35</v>
      </c>
      <c r="AF368" s="3">
        <v>0</v>
      </c>
      <c r="AG368" s="3">
        <v>6.97632</v>
      </c>
      <c r="AH368" s="3">
        <v>0.686868686868686</v>
      </c>
      <c r="AI368" s="3" t="s">
        <v>5367</v>
      </c>
      <c r="AJ368" s="3" t="s">
        <v>5222</v>
      </c>
    </row>
    <row r="369" spans="1:36">
      <c r="A369" s="5">
        <v>43288</v>
      </c>
      <c r="B369" s="3" t="s">
        <v>1613</v>
      </c>
      <c r="C369" s="3" t="s">
        <v>1614</v>
      </c>
      <c r="D369" s="3" t="s">
        <v>1614</v>
      </c>
      <c r="E369" s="3" t="s">
        <v>1615</v>
      </c>
      <c r="F369" s="3" t="s">
        <v>120</v>
      </c>
      <c r="G369" s="3">
        <v>20</v>
      </c>
      <c r="H369" s="3">
        <v>0</v>
      </c>
      <c r="I369" s="3">
        <v>1</v>
      </c>
      <c r="J369" s="3">
        <v>3</v>
      </c>
      <c r="K369" s="3">
        <v>16</v>
      </c>
      <c r="L369" s="3">
        <v>0</v>
      </c>
      <c r="M369" s="3">
        <v>0</v>
      </c>
      <c r="N369" s="3" t="s">
        <v>5218</v>
      </c>
      <c r="O369" s="3">
        <v>16</v>
      </c>
      <c r="P369" s="3">
        <v>14.85</v>
      </c>
      <c r="Q369" s="3">
        <v>0</v>
      </c>
      <c r="R369" s="3">
        <v>0</v>
      </c>
      <c r="S369" s="3">
        <v>0</v>
      </c>
      <c r="T369" s="3">
        <v>3</v>
      </c>
      <c r="U369" s="3">
        <v>4</v>
      </c>
      <c r="V369" s="3">
        <v>6</v>
      </c>
      <c r="W369" s="3"/>
      <c r="X369" s="3">
        <v>22.98</v>
      </c>
      <c r="Y369" s="3">
        <v>22.98</v>
      </c>
      <c r="Z369" s="3">
        <v>19.98</v>
      </c>
      <c r="AA369" s="3">
        <v>0</v>
      </c>
      <c r="AB369" s="3" t="s">
        <v>5223</v>
      </c>
      <c r="AC369" s="3">
        <v>20</v>
      </c>
      <c r="AD369" s="3">
        <v>22.98</v>
      </c>
      <c r="AE369" s="3">
        <v>0</v>
      </c>
      <c r="AF369" s="3">
        <v>0</v>
      </c>
      <c r="AG369" s="3">
        <v>0</v>
      </c>
      <c r="AH369" s="3">
        <v>0.266666666666666</v>
      </c>
      <c r="AI369" s="3" t="s">
        <v>5368</v>
      </c>
      <c r="AJ369" s="3" t="s">
        <v>5222</v>
      </c>
    </row>
    <row r="370" spans="1:36">
      <c r="A370" s="5">
        <v>43288</v>
      </c>
      <c r="B370" s="3" t="s">
        <v>601</v>
      </c>
      <c r="C370" s="3" t="s">
        <v>602</v>
      </c>
      <c r="D370" s="3" t="s">
        <v>602</v>
      </c>
      <c r="E370" s="3" t="s">
        <v>603</v>
      </c>
      <c r="F370" s="3" t="s">
        <v>120</v>
      </c>
      <c r="G370" s="3">
        <v>1</v>
      </c>
      <c r="H370" s="3">
        <v>0</v>
      </c>
      <c r="I370" s="3">
        <v>0</v>
      </c>
      <c r="J370" s="3">
        <v>1</v>
      </c>
      <c r="K370" s="3">
        <v>0</v>
      </c>
      <c r="L370" s="3">
        <v>0</v>
      </c>
      <c r="M370" s="3">
        <v>0</v>
      </c>
      <c r="N370" s="3" t="s">
        <v>5218</v>
      </c>
      <c r="O370" s="3">
        <v>1</v>
      </c>
      <c r="P370" s="3">
        <v>1.9</v>
      </c>
      <c r="Q370" s="3">
        <v>0</v>
      </c>
      <c r="R370" s="3">
        <v>0</v>
      </c>
      <c r="S370" s="3">
        <v>0</v>
      </c>
      <c r="T370" s="3">
        <v>1</v>
      </c>
      <c r="U370" s="3">
        <v>2</v>
      </c>
      <c r="V370" s="3">
        <v>2</v>
      </c>
      <c r="W370" s="3"/>
      <c r="X370" s="3">
        <v>24.98</v>
      </c>
      <c r="Y370" s="3">
        <v>24.98</v>
      </c>
      <c r="Z370" s="3">
        <v>24.98</v>
      </c>
      <c r="AA370" s="3">
        <v>0</v>
      </c>
      <c r="AB370" s="3" t="s">
        <v>5223</v>
      </c>
      <c r="AC370" s="3">
        <v>1</v>
      </c>
      <c r="AD370" s="3">
        <v>24.98</v>
      </c>
      <c r="AE370" s="3">
        <v>0</v>
      </c>
      <c r="AF370" s="3">
        <v>0</v>
      </c>
      <c r="AG370" s="3">
        <v>0</v>
      </c>
      <c r="AH370" s="3">
        <v>0.888888888888888</v>
      </c>
      <c r="AI370" s="3" t="s">
        <v>5250</v>
      </c>
      <c r="AJ370" s="3" t="s">
        <v>5222</v>
      </c>
    </row>
    <row r="371" spans="1:36">
      <c r="A371" s="5">
        <v>43288</v>
      </c>
      <c r="B371" s="3" t="s">
        <v>3165</v>
      </c>
      <c r="C371" s="3" t="s">
        <v>3166</v>
      </c>
      <c r="D371" s="3" t="s">
        <v>3166</v>
      </c>
      <c r="E371" s="3" t="s">
        <v>3167</v>
      </c>
      <c r="F371" s="3" t="s">
        <v>120</v>
      </c>
      <c r="G371" s="3">
        <v>1</v>
      </c>
      <c r="H371" s="3">
        <v>0</v>
      </c>
      <c r="I371" s="3">
        <v>1</v>
      </c>
      <c r="J371" s="3">
        <v>0</v>
      </c>
      <c r="K371" s="3">
        <v>0</v>
      </c>
      <c r="L371" s="3">
        <v>0</v>
      </c>
      <c r="M371" s="3">
        <v>0</v>
      </c>
      <c r="N371" s="3" t="s">
        <v>5218</v>
      </c>
      <c r="O371" s="3">
        <v>0</v>
      </c>
      <c r="P371" s="3">
        <v>0</v>
      </c>
      <c r="Q371" s="3">
        <v>0</v>
      </c>
      <c r="R371" s="3">
        <v>0</v>
      </c>
      <c r="S371" s="3">
        <v>1</v>
      </c>
      <c r="T371" s="3">
        <v>1</v>
      </c>
      <c r="U371" s="3">
        <v>1</v>
      </c>
      <c r="V371" s="3">
        <v>3</v>
      </c>
      <c r="W371" s="3"/>
      <c r="X371" s="3">
        <v>15.98</v>
      </c>
      <c r="Y371" s="3">
        <v>15.98</v>
      </c>
      <c r="Z371" s="3">
        <v>15.98</v>
      </c>
      <c r="AA371" s="3">
        <v>0</v>
      </c>
      <c r="AB371" s="3" t="s">
        <v>5228</v>
      </c>
      <c r="AC371" s="3">
        <v>1</v>
      </c>
      <c r="AD371" s="3">
        <v>15.06</v>
      </c>
      <c r="AE371" s="3">
        <v>49</v>
      </c>
      <c r="AF371" s="3">
        <v>0</v>
      </c>
      <c r="AG371" s="3">
        <v>32.264953</v>
      </c>
      <c r="AH371" s="3">
        <v>1.71428571428571</v>
      </c>
      <c r="AI371" s="3" t="s">
        <v>5231</v>
      </c>
      <c r="AJ371" s="3" t="s">
        <v>5222</v>
      </c>
    </row>
    <row r="372" spans="1:36">
      <c r="A372" s="5">
        <v>43288</v>
      </c>
      <c r="B372" s="3" t="s">
        <v>1821</v>
      </c>
      <c r="C372" s="3" t="s">
        <v>1822</v>
      </c>
      <c r="D372" s="3" t="s">
        <v>1822</v>
      </c>
      <c r="E372" s="3" t="s">
        <v>1823</v>
      </c>
      <c r="F372" s="3" t="s">
        <v>120</v>
      </c>
      <c r="G372" s="3">
        <v>8</v>
      </c>
      <c r="H372" s="3">
        <v>0</v>
      </c>
      <c r="I372" s="3">
        <v>0</v>
      </c>
      <c r="J372" s="3">
        <v>5</v>
      </c>
      <c r="K372" s="3">
        <v>3</v>
      </c>
      <c r="L372" s="3">
        <v>0</v>
      </c>
      <c r="M372" s="3">
        <v>0</v>
      </c>
      <c r="N372" s="3" t="s">
        <v>5218</v>
      </c>
      <c r="O372" s="3">
        <v>5</v>
      </c>
      <c r="P372" s="3">
        <v>6.48</v>
      </c>
      <c r="Q372" s="3">
        <v>0</v>
      </c>
      <c r="R372" s="3">
        <v>0</v>
      </c>
      <c r="S372" s="3">
        <v>0</v>
      </c>
      <c r="T372" s="3">
        <v>1</v>
      </c>
      <c r="U372" s="3">
        <v>1</v>
      </c>
      <c r="V372" s="3">
        <v>4</v>
      </c>
      <c r="W372" s="3"/>
      <c r="X372" s="3">
        <v>25.98</v>
      </c>
      <c r="Y372" s="3">
        <v>25.98</v>
      </c>
      <c r="Z372" s="3">
        <v>25.98</v>
      </c>
      <c r="AA372" s="3">
        <v>0</v>
      </c>
      <c r="AB372" s="3" t="s">
        <v>5223</v>
      </c>
      <c r="AC372" s="3">
        <v>8</v>
      </c>
      <c r="AD372" s="3">
        <v>25.98</v>
      </c>
      <c r="AE372" s="3">
        <v>0</v>
      </c>
      <c r="AF372" s="3">
        <v>0</v>
      </c>
      <c r="AG372" s="3">
        <v>0</v>
      </c>
      <c r="AH372" s="3">
        <v>0.421052631578947</v>
      </c>
      <c r="AI372" s="3" t="s">
        <v>5229</v>
      </c>
      <c r="AJ372" s="3" t="s">
        <v>5222</v>
      </c>
    </row>
    <row r="373" spans="1:36">
      <c r="A373" s="5">
        <v>43288</v>
      </c>
      <c r="B373" s="3" t="s">
        <v>2090</v>
      </c>
      <c r="C373" s="3" t="s">
        <v>2091</v>
      </c>
      <c r="D373" s="3" t="s">
        <v>2091</v>
      </c>
      <c r="E373" s="3" t="s">
        <v>2092</v>
      </c>
      <c r="F373" s="3" t="s">
        <v>120</v>
      </c>
      <c r="G373" s="3">
        <v>16</v>
      </c>
      <c r="H373" s="3">
        <v>0</v>
      </c>
      <c r="I373" s="3">
        <v>16</v>
      </c>
      <c r="J373" s="3">
        <v>0</v>
      </c>
      <c r="K373" s="3">
        <v>0</v>
      </c>
      <c r="L373" s="3">
        <v>0</v>
      </c>
      <c r="M373" s="3">
        <v>0</v>
      </c>
      <c r="N373" s="3" t="s">
        <v>5218</v>
      </c>
      <c r="O373" s="3">
        <v>0</v>
      </c>
      <c r="P373" s="3">
        <v>0</v>
      </c>
      <c r="Q373" s="3">
        <v>0</v>
      </c>
      <c r="R373" s="3">
        <v>0</v>
      </c>
      <c r="S373" s="3">
        <v>0</v>
      </c>
      <c r="T373" s="3">
        <v>12</v>
      </c>
      <c r="U373" s="3">
        <v>32</v>
      </c>
      <c r="V373" s="3">
        <v>58</v>
      </c>
      <c r="W373" s="3"/>
      <c r="X373" s="3">
        <v>23.98</v>
      </c>
      <c r="Y373" s="3">
        <v>23.98</v>
      </c>
      <c r="Z373" s="3">
        <v>23.98</v>
      </c>
      <c r="AA373" s="3">
        <v>0</v>
      </c>
      <c r="AB373" s="3" t="s">
        <v>5223</v>
      </c>
      <c r="AC373" s="3">
        <v>16</v>
      </c>
      <c r="AD373" s="3">
        <v>23.98</v>
      </c>
      <c r="AE373" s="3">
        <v>0</v>
      </c>
      <c r="AF373" s="3">
        <v>0</v>
      </c>
      <c r="AG373" s="3">
        <v>0</v>
      </c>
      <c r="AH373" s="3">
        <v>2.49462365591397</v>
      </c>
      <c r="AI373" s="3" t="s">
        <v>5369</v>
      </c>
      <c r="AJ373" s="3" t="s">
        <v>5222</v>
      </c>
    </row>
    <row r="374" spans="1:36">
      <c r="A374" s="5">
        <v>43288</v>
      </c>
      <c r="B374" s="3" t="s">
        <v>2447</v>
      </c>
      <c r="C374" s="3" t="s">
        <v>2448</v>
      </c>
      <c r="D374" s="3" t="s">
        <v>2448</v>
      </c>
      <c r="E374" s="3" t="s">
        <v>2449</v>
      </c>
      <c r="F374" s="3" t="s">
        <v>120</v>
      </c>
      <c r="G374" s="3">
        <v>1</v>
      </c>
      <c r="H374" s="3">
        <v>0</v>
      </c>
      <c r="I374" s="3">
        <v>1</v>
      </c>
      <c r="J374" s="3">
        <v>0</v>
      </c>
      <c r="K374" s="3">
        <v>0</v>
      </c>
      <c r="L374" s="3">
        <v>0</v>
      </c>
      <c r="M374" s="3">
        <v>0</v>
      </c>
      <c r="N374" s="3" t="s">
        <v>5218</v>
      </c>
      <c r="O374" s="3">
        <v>0</v>
      </c>
      <c r="P374" s="3">
        <v>0</v>
      </c>
      <c r="Q374" s="3">
        <v>0</v>
      </c>
      <c r="R374" s="3">
        <v>0</v>
      </c>
      <c r="S374" s="3">
        <v>0</v>
      </c>
      <c r="T374" s="3">
        <v>0</v>
      </c>
      <c r="U374" s="3">
        <v>0</v>
      </c>
      <c r="V374" s="3">
        <v>0</v>
      </c>
      <c r="W374" s="3" t="s">
        <v>5227</v>
      </c>
      <c r="X374" s="3">
        <v>22.98</v>
      </c>
      <c r="Y374" s="3">
        <v>22.98</v>
      </c>
      <c r="Z374" s="3">
        <v>19.98</v>
      </c>
      <c r="AA374" s="3">
        <v>0</v>
      </c>
      <c r="AB374" s="3" t="s">
        <v>5228</v>
      </c>
      <c r="AC374" s="3">
        <v>0</v>
      </c>
      <c r="AD374" s="3">
        <v>18.38</v>
      </c>
      <c r="AE374" s="3">
        <v>63</v>
      </c>
      <c r="AF374" s="3">
        <v>0</v>
      </c>
      <c r="AG374" s="3">
        <v>17.27719</v>
      </c>
      <c r="AH374" s="3">
        <v>0</v>
      </c>
      <c r="AI374" s="3" t="s">
        <v>5240</v>
      </c>
      <c r="AJ374" s="3" t="s">
        <v>5222</v>
      </c>
    </row>
    <row r="375" spans="1:36">
      <c r="A375" s="5">
        <v>43288</v>
      </c>
      <c r="B375" s="3" t="s">
        <v>2622</v>
      </c>
      <c r="C375" s="3" t="s">
        <v>1174</v>
      </c>
      <c r="D375" s="3" t="s">
        <v>1174</v>
      </c>
      <c r="E375" s="3" t="s">
        <v>1175</v>
      </c>
      <c r="F375" s="3" t="s">
        <v>120</v>
      </c>
      <c r="G375" s="3">
        <v>28</v>
      </c>
      <c r="H375" s="3">
        <v>0</v>
      </c>
      <c r="I375" s="3">
        <v>28</v>
      </c>
      <c r="J375" s="3">
        <v>0</v>
      </c>
      <c r="K375" s="3">
        <v>0</v>
      </c>
      <c r="L375" s="3">
        <v>0</v>
      </c>
      <c r="M375" s="3">
        <v>0</v>
      </c>
      <c r="N375" s="3" t="s">
        <v>5218</v>
      </c>
      <c r="O375" s="3">
        <v>0</v>
      </c>
      <c r="P375" s="3">
        <v>0</v>
      </c>
      <c r="Q375" s="3">
        <v>0</v>
      </c>
      <c r="R375" s="3">
        <v>0</v>
      </c>
      <c r="S375" s="3">
        <v>4</v>
      </c>
      <c r="T375" s="3">
        <v>14</v>
      </c>
      <c r="U375" s="3">
        <v>19</v>
      </c>
      <c r="V375" s="3">
        <v>32</v>
      </c>
      <c r="W375" s="3"/>
      <c r="X375" s="3">
        <v>35.98</v>
      </c>
      <c r="Y375" s="3">
        <v>22.98</v>
      </c>
      <c r="Z375" s="3">
        <v>22.98</v>
      </c>
      <c r="AA375" s="3">
        <v>0</v>
      </c>
      <c r="AB375" s="3" t="s">
        <v>5223</v>
      </c>
      <c r="AC375" s="3">
        <v>31</v>
      </c>
      <c r="AD375" s="3">
        <v>22.98</v>
      </c>
      <c r="AE375" s="3">
        <v>0</v>
      </c>
      <c r="AF375" s="3">
        <v>0</v>
      </c>
      <c r="AG375" s="3">
        <v>0</v>
      </c>
      <c r="AH375" s="3">
        <v>1.24271844660194</v>
      </c>
      <c r="AI375" s="3" t="s">
        <v>5238</v>
      </c>
      <c r="AJ375" s="3" t="s">
        <v>5222</v>
      </c>
    </row>
    <row r="376" spans="1:36">
      <c r="A376" s="5">
        <v>43288</v>
      </c>
      <c r="B376" s="3" t="s">
        <v>1656</v>
      </c>
      <c r="C376" s="3" t="s">
        <v>1657</v>
      </c>
      <c r="D376" s="3" t="s">
        <v>1657</v>
      </c>
      <c r="E376" s="3" t="s">
        <v>1658</v>
      </c>
      <c r="F376" s="3" t="s">
        <v>120</v>
      </c>
      <c r="G376" s="3">
        <v>9</v>
      </c>
      <c r="H376" s="3">
        <v>0</v>
      </c>
      <c r="I376" s="3">
        <v>1</v>
      </c>
      <c r="J376" s="3">
        <v>8</v>
      </c>
      <c r="K376" s="3">
        <v>0</v>
      </c>
      <c r="L376" s="3">
        <v>0</v>
      </c>
      <c r="M376" s="3">
        <v>0</v>
      </c>
      <c r="N376" s="3" t="s">
        <v>5218</v>
      </c>
      <c r="O376" s="3">
        <v>3</v>
      </c>
      <c r="P376" s="3">
        <v>5.03</v>
      </c>
      <c r="Q376" s="3">
        <v>0</v>
      </c>
      <c r="R376" s="3">
        <v>0</v>
      </c>
      <c r="S376" s="3">
        <v>0</v>
      </c>
      <c r="T376" s="3">
        <v>2</v>
      </c>
      <c r="U376" s="3">
        <v>2</v>
      </c>
      <c r="V376" s="3">
        <v>5</v>
      </c>
      <c r="W376" s="3"/>
      <c r="X376" s="3">
        <v>22.98</v>
      </c>
      <c r="Y376" s="3">
        <v>22.98</v>
      </c>
      <c r="Z376" s="3">
        <v>19.98</v>
      </c>
      <c r="AA376" s="3">
        <v>0</v>
      </c>
      <c r="AB376" s="3" t="s">
        <v>5223</v>
      </c>
      <c r="AC376" s="3">
        <v>9</v>
      </c>
      <c r="AD376" s="3">
        <v>22.98</v>
      </c>
      <c r="AE376" s="3">
        <v>0</v>
      </c>
      <c r="AF376" s="3">
        <v>0</v>
      </c>
      <c r="AG376" s="3">
        <v>0</v>
      </c>
      <c r="AH376" s="3">
        <v>0.454545454545454</v>
      </c>
      <c r="AI376" s="3" t="s">
        <v>5370</v>
      </c>
      <c r="AJ376" s="3" t="s">
        <v>5222</v>
      </c>
    </row>
    <row r="377" spans="1:36">
      <c r="A377" s="5">
        <v>43288</v>
      </c>
      <c r="B377" s="3" t="s">
        <v>4422</v>
      </c>
      <c r="C377" s="3" t="s">
        <v>3542</v>
      </c>
      <c r="D377" s="3" t="s">
        <v>3542</v>
      </c>
      <c r="E377" s="3" t="s">
        <v>3543</v>
      </c>
      <c r="F377" s="3" t="s">
        <v>120</v>
      </c>
      <c r="G377" s="3">
        <v>3</v>
      </c>
      <c r="H377" s="3">
        <v>0</v>
      </c>
      <c r="I377" s="3">
        <v>0</v>
      </c>
      <c r="J377" s="3">
        <v>2</v>
      </c>
      <c r="K377" s="3">
        <v>1</v>
      </c>
      <c r="L377" s="3">
        <v>0</v>
      </c>
      <c r="M377" s="3">
        <v>0</v>
      </c>
      <c r="N377" s="3" t="s">
        <v>5218</v>
      </c>
      <c r="O377" s="3">
        <v>3</v>
      </c>
      <c r="P377" s="3">
        <v>4.63</v>
      </c>
      <c r="Q377" s="3">
        <v>0</v>
      </c>
      <c r="R377" s="3">
        <v>0</v>
      </c>
      <c r="S377" s="3">
        <v>0</v>
      </c>
      <c r="T377" s="3">
        <v>0</v>
      </c>
      <c r="U377" s="3">
        <v>1</v>
      </c>
      <c r="V377" s="3">
        <v>1</v>
      </c>
      <c r="W377" s="3" t="s">
        <v>5227</v>
      </c>
      <c r="X377" s="3">
        <v>24.98</v>
      </c>
      <c r="Y377" s="3">
        <v>24.98</v>
      </c>
      <c r="Z377" s="3">
        <v>24.98</v>
      </c>
      <c r="AA377" s="3">
        <v>0</v>
      </c>
      <c r="AB377" s="3" t="s">
        <v>5228</v>
      </c>
      <c r="AC377" s="3">
        <v>1</v>
      </c>
      <c r="AD377" s="3">
        <v>22.78</v>
      </c>
      <c r="AE377" s="3">
        <v>42</v>
      </c>
      <c r="AF377" s="3">
        <v>0</v>
      </c>
      <c r="AG377" s="3">
        <v>109.378044</v>
      </c>
      <c r="AH377" s="3">
        <v>0.222222222222222</v>
      </c>
      <c r="AI377" s="3" t="s">
        <v>5262</v>
      </c>
      <c r="AJ377" s="3" t="s">
        <v>5222</v>
      </c>
    </row>
    <row r="378" spans="1:36">
      <c r="A378" s="5">
        <v>43288</v>
      </c>
      <c r="B378" s="3" t="s">
        <v>613</v>
      </c>
      <c r="C378" s="3" t="s">
        <v>614</v>
      </c>
      <c r="D378" s="3" t="s">
        <v>614</v>
      </c>
      <c r="E378" s="3" t="s">
        <v>615</v>
      </c>
      <c r="F378" s="3" t="s">
        <v>120</v>
      </c>
      <c r="G378" s="3">
        <v>9</v>
      </c>
      <c r="H378" s="3">
        <v>0</v>
      </c>
      <c r="I378" s="3">
        <v>9</v>
      </c>
      <c r="J378" s="3">
        <v>0</v>
      </c>
      <c r="K378" s="3">
        <v>0</v>
      </c>
      <c r="L378" s="3">
        <v>0</v>
      </c>
      <c r="M378" s="3">
        <v>0</v>
      </c>
      <c r="N378" s="3" t="s">
        <v>5218</v>
      </c>
      <c r="O378" s="3">
        <v>0</v>
      </c>
      <c r="P378" s="3">
        <v>0</v>
      </c>
      <c r="Q378" s="3">
        <v>0</v>
      </c>
      <c r="R378" s="3">
        <v>0</v>
      </c>
      <c r="S378" s="3">
        <v>0</v>
      </c>
      <c r="T378" s="3">
        <v>2</v>
      </c>
      <c r="U378" s="3">
        <v>2</v>
      </c>
      <c r="V378" s="3">
        <v>3</v>
      </c>
      <c r="W378" s="3"/>
      <c r="X378" s="3">
        <v>24.98</v>
      </c>
      <c r="Y378" s="3">
        <v>24.98</v>
      </c>
      <c r="Z378" s="3">
        <v>24.98</v>
      </c>
      <c r="AA378" s="3">
        <v>0</v>
      </c>
      <c r="AB378" s="3" t="s">
        <v>5228</v>
      </c>
      <c r="AC378" s="3">
        <v>0</v>
      </c>
      <c r="AD378" s="3">
        <v>22.42</v>
      </c>
      <c r="AE378" s="3">
        <v>196</v>
      </c>
      <c r="AF378" s="3">
        <v>0</v>
      </c>
      <c r="AG378" s="3">
        <v>241.457521</v>
      </c>
      <c r="AH378" s="3">
        <v>0.324324324324324</v>
      </c>
      <c r="AI378" s="3" t="s">
        <v>5250</v>
      </c>
      <c r="AJ378" s="3" t="s">
        <v>5222</v>
      </c>
    </row>
    <row r="379" spans="1:36">
      <c r="A379" s="5">
        <v>43288</v>
      </c>
      <c r="B379" s="3" t="s">
        <v>2507</v>
      </c>
      <c r="C379" s="3" t="s">
        <v>2508</v>
      </c>
      <c r="D379" s="3" t="s">
        <v>2508</v>
      </c>
      <c r="E379" s="3" t="s">
        <v>2509</v>
      </c>
      <c r="F379" s="3" t="s">
        <v>120</v>
      </c>
      <c r="G379" s="3">
        <v>25</v>
      </c>
      <c r="H379" s="3">
        <v>0</v>
      </c>
      <c r="I379" s="3">
        <v>0</v>
      </c>
      <c r="J379" s="3">
        <v>25</v>
      </c>
      <c r="K379" s="3">
        <v>0</v>
      </c>
      <c r="L379" s="3">
        <v>0</v>
      </c>
      <c r="M379" s="3">
        <v>0</v>
      </c>
      <c r="N379" s="3" t="s">
        <v>5218</v>
      </c>
      <c r="O379" s="3">
        <v>7</v>
      </c>
      <c r="P379" s="3">
        <v>15.63</v>
      </c>
      <c r="Q379" s="3">
        <v>0</v>
      </c>
      <c r="R379" s="3">
        <v>0</v>
      </c>
      <c r="S379" s="3">
        <v>0</v>
      </c>
      <c r="T379" s="3">
        <v>0</v>
      </c>
      <c r="U379" s="3">
        <v>0</v>
      </c>
      <c r="V379" s="3">
        <v>2</v>
      </c>
      <c r="W379" s="3" t="s">
        <v>5227</v>
      </c>
      <c r="X379" s="3">
        <v>24.98</v>
      </c>
      <c r="Y379" s="3">
        <v>24.98</v>
      </c>
      <c r="Z379" s="3">
        <v>24.98</v>
      </c>
      <c r="AA379" s="3">
        <v>0</v>
      </c>
      <c r="AB379" s="3" t="s">
        <v>5228</v>
      </c>
      <c r="AC379" s="3">
        <v>0</v>
      </c>
      <c r="AD379" s="3">
        <v>20.44</v>
      </c>
      <c r="AE379" s="3">
        <v>343</v>
      </c>
      <c r="AF379" s="3">
        <v>0</v>
      </c>
      <c r="AG379" s="3">
        <v>781.537994</v>
      </c>
      <c r="AH379" s="3">
        <v>0.0784313725490196</v>
      </c>
      <c r="AI379" s="3" t="s">
        <v>5230</v>
      </c>
      <c r="AJ379" s="3" t="s">
        <v>5222</v>
      </c>
    </row>
    <row r="380" spans="1:36">
      <c r="A380" s="5">
        <v>43288</v>
      </c>
      <c r="B380" s="3" t="s">
        <v>595</v>
      </c>
      <c r="C380" s="3" t="s">
        <v>596</v>
      </c>
      <c r="D380" s="3" t="s">
        <v>596</v>
      </c>
      <c r="E380" s="3" t="s">
        <v>597</v>
      </c>
      <c r="F380" s="3" t="s">
        <v>120</v>
      </c>
      <c r="G380" s="3">
        <v>10</v>
      </c>
      <c r="H380" s="3">
        <v>0</v>
      </c>
      <c r="I380" s="3">
        <v>8</v>
      </c>
      <c r="J380" s="3">
        <v>2</v>
      </c>
      <c r="K380" s="3">
        <v>0</v>
      </c>
      <c r="L380" s="3">
        <v>0</v>
      </c>
      <c r="M380" s="3">
        <v>0</v>
      </c>
      <c r="N380" s="3" t="s">
        <v>5218</v>
      </c>
      <c r="O380" s="3">
        <v>2</v>
      </c>
      <c r="P380" s="3">
        <v>3.8</v>
      </c>
      <c r="Q380" s="3">
        <v>0</v>
      </c>
      <c r="R380" s="3">
        <v>0</v>
      </c>
      <c r="S380" s="3">
        <v>0</v>
      </c>
      <c r="T380" s="3">
        <v>0</v>
      </c>
      <c r="U380" s="3">
        <v>0</v>
      </c>
      <c r="V380" s="3">
        <v>0</v>
      </c>
      <c r="W380" s="3" t="s">
        <v>5227</v>
      </c>
      <c r="X380" s="3">
        <v>24.98</v>
      </c>
      <c r="Y380" s="3">
        <v>24.98</v>
      </c>
      <c r="Z380" s="3">
        <v>24.98</v>
      </c>
      <c r="AA380" s="3">
        <v>0</v>
      </c>
      <c r="AB380" s="3" t="s">
        <v>5228</v>
      </c>
      <c r="AC380" s="3">
        <v>7</v>
      </c>
      <c r="AD380" s="3">
        <v>23.68</v>
      </c>
      <c r="AE380" s="3">
        <v>21</v>
      </c>
      <c r="AF380" s="3">
        <v>0</v>
      </c>
      <c r="AG380" s="3">
        <v>331.461215</v>
      </c>
      <c r="AH380" s="3">
        <v>0</v>
      </c>
      <c r="AI380" s="3" t="s">
        <v>5250</v>
      </c>
      <c r="AJ380" s="3" t="s">
        <v>5222</v>
      </c>
    </row>
    <row r="381" spans="1:36">
      <c r="A381" s="5">
        <v>43288</v>
      </c>
      <c r="B381" s="3" t="s">
        <v>2948</v>
      </c>
      <c r="C381" s="3" t="s">
        <v>1392</v>
      </c>
      <c r="D381" s="3" t="s">
        <v>1392</v>
      </c>
      <c r="E381" s="3" t="s">
        <v>1393</v>
      </c>
      <c r="F381" s="3" t="s">
        <v>120</v>
      </c>
      <c r="G381" s="3">
        <v>1</v>
      </c>
      <c r="H381" s="3">
        <v>0</v>
      </c>
      <c r="I381" s="3">
        <v>1</v>
      </c>
      <c r="J381" s="3">
        <v>0</v>
      </c>
      <c r="K381" s="3">
        <v>0</v>
      </c>
      <c r="L381" s="3">
        <v>0</v>
      </c>
      <c r="M381" s="3">
        <v>0</v>
      </c>
      <c r="N381" s="3" t="s">
        <v>5218</v>
      </c>
      <c r="O381" s="3">
        <v>0</v>
      </c>
      <c r="P381" s="3">
        <v>0</v>
      </c>
      <c r="Q381" s="3">
        <v>0</v>
      </c>
      <c r="R381" s="3">
        <v>0</v>
      </c>
      <c r="S381" s="3">
        <v>15</v>
      </c>
      <c r="T381" s="3">
        <v>44</v>
      </c>
      <c r="U381" s="3">
        <v>88</v>
      </c>
      <c r="V381" s="3">
        <v>97</v>
      </c>
      <c r="W381" s="3"/>
      <c r="X381" s="3"/>
      <c r="Y381" s="3"/>
      <c r="Z381" s="3">
        <v>-1</v>
      </c>
      <c r="AA381" s="3">
        <v>-1</v>
      </c>
      <c r="AB381" s="3" t="s">
        <v>5244</v>
      </c>
      <c r="AC381" s="3">
        <v>11</v>
      </c>
      <c r="AD381" s="3">
        <v>24.98</v>
      </c>
      <c r="AE381" s="3">
        <v>0</v>
      </c>
      <c r="AF381" s="3">
        <v>0</v>
      </c>
      <c r="AG381" s="3">
        <v>0</v>
      </c>
      <c r="AH381" s="3">
        <v>12.9333333333333</v>
      </c>
      <c r="AI381" s="3" t="s">
        <v>5306</v>
      </c>
      <c r="AJ381" s="3" t="s">
        <v>5222</v>
      </c>
    </row>
    <row r="382" spans="1:36">
      <c r="A382" s="5">
        <v>43288</v>
      </c>
      <c r="B382" s="3" t="s">
        <v>1240</v>
      </c>
      <c r="C382" s="3" t="s">
        <v>1241</v>
      </c>
      <c r="D382" s="3" t="s">
        <v>525</v>
      </c>
      <c r="E382" s="3" t="s">
        <v>774</v>
      </c>
      <c r="F382" s="3" t="s">
        <v>120</v>
      </c>
      <c r="G382" s="3">
        <v>15</v>
      </c>
      <c r="H382" s="3">
        <v>0</v>
      </c>
      <c r="I382" s="3">
        <v>15</v>
      </c>
      <c r="J382" s="3">
        <v>0</v>
      </c>
      <c r="K382" s="3">
        <v>0</v>
      </c>
      <c r="L382" s="3">
        <v>0</v>
      </c>
      <c r="M382" s="3">
        <v>0</v>
      </c>
      <c r="N382" s="3" t="s">
        <v>5218</v>
      </c>
      <c r="O382" s="3">
        <v>0</v>
      </c>
      <c r="P382" s="3">
        <v>0</v>
      </c>
      <c r="Q382" s="3">
        <v>0</v>
      </c>
      <c r="R382" s="3">
        <v>0</v>
      </c>
      <c r="S382" s="3">
        <v>0</v>
      </c>
      <c r="T382" s="3">
        <v>4</v>
      </c>
      <c r="U382" s="3">
        <v>4</v>
      </c>
      <c r="V382" s="3">
        <v>4</v>
      </c>
      <c r="W382" s="3"/>
      <c r="X382" s="3">
        <v>22.98</v>
      </c>
      <c r="Y382" s="3">
        <v>22.98</v>
      </c>
      <c r="Z382" s="3">
        <v>22.98</v>
      </c>
      <c r="AA382" s="3">
        <v>0</v>
      </c>
      <c r="AB382" s="3" t="s">
        <v>5223</v>
      </c>
      <c r="AC382" s="3">
        <v>15</v>
      </c>
      <c r="AD382" s="3">
        <v>22.98</v>
      </c>
      <c r="AE382" s="3">
        <v>0</v>
      </c>
      <c r="AF382" s="3">
        <v>0</v>
      </c>
      <c r="AG382" s="3">
        <v>0</v>
      </c>
      <c r="AH382" s="3">
        <v>1.84615384615384</v>
      </c>
      <c r="AI382" s="3" t="s">
        <v>5225</v>
      </c>
      <c r="AJ382" s="3" t="s">
        <v>5222</v>
      </c>
    </row>
    <row r="383" spans="1:36">
      <c r="A383" s="5">
        <v>43288</v>
      </c>
      <c r="B383" s="3" t="s">
        <v>679</v>
      </c>
      <c r="C383" s="3" t="s">
        <v>680</v>
      </c>
      <c r="D383" s="3" t="s">
        <v>680</v>
      </c>
      <c r="E383" s="3" t="s">
        <v>681</v>
      </c>
      <c r="F383" s="3" t="s">
        <v>120</v>
      </c>
      <c r="G383" s="3">
        <v>10</v>
      </c>
      <c r="H383" s="3">
        <v>0</v>
      </c>
      <c r="I383" s="3">
        <v>10</v>
      </c>
      <c r="J383" s="3">
        <v>0</v>
      </c>
      <c r="K383" s="3">
        <v>0</v>
      </c>
      <c r="L383" s="3">
        <v>0</v>
      </c>
      <c r="M383" s="3">
        <v>0</v>
      </c>
      <c r="N383" s="3" t="s">
        <v>5218</v>
      </c>
      <c r="O383" s="3">
        <v>0</v>
      </c>
      <c r="P383" s="3">
        <v>0</v>
      </c>
      <c r="Q383" s="3">
        <v>0</v>
      </c>
      <c r="R383" s="3">
        <v>0</v>
      </c>
      <c r="S383" s="3">
        <v>0</v>
      </c>
      <c r="T383" s="3">
        <v>0</v>
      </c>
      <c r="U383" s="3">
        <v>1</v>
      </c>
      <c r="V383" s="3">
        <v>5</v>
      </c>
      <c r="W383" s="3" t="s">
        <v>5227</v>
      </c>
      <c r="X383" s="3">
        <v>24.98</v>
      </c>
      <c r="Y383" s="3">
        <v>24.98</v>
      </c>
      <c r="Z383" s="3">
        <v>24.98</v>
      </c>
      <c r="AA383" s="3">
        <v>0</v>
      </c>
      <c r="AB383" s="3" t="s">
        <v>5228</v>
      </c>
      <c r="AC383" s="3">
        <v>0</v>
      </c>
      <c r="AD383" s="3">
        <v>21.68</v>
      </c>
      <c r="AE383" s="3">
        <v>203</v>
      </c>
      <c r="AF383" s="3">
        <v>0</v>
      </c>
      <c r="AG383" s="3">
        <v>295.141657</v>
      </c>
      <c r="AH383" s="3">
        <v>1.05263157894736</v>
      </c>
      <c r="AI383" s="3" t="s">
        <v>5250</v>
      </c>
      <c r="AJ383" s="3" t="s">
        <v>5222</v>
      </c>
    </row>
    <row r="384" spans="1:36">
      <c r="A384" s="5">
        <v>43288</v>
      </c>
      <c r="B384" s="3" t="s">
        <v>4333</v>
      </c>
      <c r="C384" s="3" t="s">
        <v>4334</v>
      </c>
      <c r="D384" s="3" t="s">
        <v>4334</v>
      </c>
      <c r="E384" s="3" t="s">
        <v>4335</v>
      </c>
      <c r="F384" s="3" t="s">
        <v>120</v>
      </c>
      <c r="G384" s="3">
        <v>18</v>
      </c>
      <c r="H384" s="3">
        <v>0</v>
      </c>
      <c r="I384" s="3">
        <v>1</v>
      </c>
      <c r="J384" s="3">
        <v>1</v>
      </c>
      <c r="K384" s="3">
        <v>16</v>
      </c>
      <c r="L384" s="3">
        <v>0</v>
      </c>
      <c r="M384" s="3">
        <v>0</v>
      </c>
      <c r="N384" s="3" t="s">
        <v>5218</v>
      </c>
      <c r="O384" s="3">
        <v>17</v>
      </c>
      <c r="P384" s="3">
        <v>22.8</v>
      </c>
      <c r="Q384" s="3">
        <v>0</v>
      </c>
      <c r="R384" s="3">
        <v>0</v>
      </c>
      <c r="S384" s="3">
        <v>0</v>
      </c>
      <c r="T384" s="3">
        <v>1</v>
      </c>
      <c r="U384" s="3">
        <v>2</v>
      </c>
      <c r="V384" s="3">
        <v>2</v>
      </c>
      <c r="W384" s="3"/>
      <c r="X384" s="3">
        <v>23.98</v>
      </c>
      <c r="Y384" s="3">
        <v>23.98</v>
      </c>
      <c r="Z384" s="3">
        <v>23.98</v>
      </c>
      <c r="AA384" s="3">
        <v>0</v>
      </c>
      <c r="AB384" s="3" t="s">
        <v>5223</v>
      </c>
      <c r="AC384" s="3">
        <v>18</v>
      </c>
      <c r="AD384" s="3">
        <v>23.98</v>
      </c>
      <c r="AE384" s="3">
        <v>0</v>
      </c>
      <c r="AF384" s="3">
        <v>0</v>
      </c>
      <c r="AG384" s="3">
        <v>0</v>
      </c>
      <c r="AH384" s="3">
        <v>0.105263157894736</v>
      </c>
      <c r="AI384" s="3" t="s">
        <v>5371</v>
      </c>
      <c r="AJ384" s="3" t="s">
        <v>5222</v>
      </c>
    </row>
    <row r="385" spans="1:36">
      <c r="A385" s="5">
        <v>43288</v>
      </c>
      <c r="B385" s="3" t="s">
        <v>509</v>
      </c>
      <c r="C385" s="3" t="s">
        <v>362</v>
      </c>
      <c r="D385" s="3" t="s">
        <v>362</v>
      </c>
      <c r="E385" s="3" t="s">
        <v>488</v>
      </c>
      <c r="F385" s="3" t="s">
        <v>120</v>
      </c>
      <c r="G385" s="3">
        <v>9</v>
      </c>
      <c r="H385" s="3">
        <v>0</v>
      </c>
      <c r="I385" s="3">
        <v>1</v>
      </c>
      <c r="J385" s="3">
        <v>8</v>
      </c>
      <c r="K385" s="3">
        <v>0</v>
      </c>
      <c r="L385" s="3">
        <v>0</v>
      </c>
      <c r="M385" s="3">
        <v>0</v>
      </c>
      <c r="N385" s="3" t="s">
        <v>5218</v>
      </c>
      <c r="O385" s="3">
        <v>8</v>
      </c>
      <c r="P385" s="3">
        <v>5.49</v>
      </c>
      <c r="Q385" s="3">
        <v>0</v>
      </c>
      <c r="R385" s="3">
        <v>0</v>
      </c>
      <c r="S385" s="3">
        <v>0</v>
      </c>
      <c r="T385" s="3">
        <v>1</v>
      </c>
      <c r="U385" s="3">
        <v>1</v>
      </c>
      <c r="V385" s="3">
        <v>1</v>
      </c>
      <c r="W385" s="3"/>
      <c r="X385" s="3">
        <v>26.98</v>
      </c>
      <c r="Y385" s="3">
        <v>26.98</v>
      </c>
      <c r="Z385" s="3">
        <v>26.98</v>
      </c>
      <c r="AA385" s="3">
        <v>0</v>
      </c>
      <c r="AB385" s="3" t="s">
        <v>5223</v>
      </c>
      <c r="AC385" s="3">
        <v>9</v>
      </c>
      <c r="AD385" s="3">
        <v>26.98</v>
      </c>
      <c r="AE385" s="3">
        <v>0</v>
      </c>
      <c r="AF385" s="3">
        <v>0</v>
      </c>
      <c r="AG385" s="3">
        <v>0</v>
      </c>
      <c r="AH385" s="3">
        <v>0.105263157894736</v>
      </c>
      <c r="AI385" s="3" t="s">
        <v>5224</v>
      </c>
      <c r="AJ385" s="3" t="s">
        <v>5222</v>
      </c>
    </row>
    <row r="386" spans="1:36">
      <c r="A386" s="5">
        <v>43288</v>
      </c>
      <c r="B386" s="3" t="s">
        <v>5154</v>
      </c>
      <c r="C386" s="3" t="s">
        <v>5155</v>
      </c>
      <c r="D386" s="3" t="s">
        <v>5155</v>
      </c>
      <c r="E386" s="3" t="s">
        <v>5156</v>
      </c>
      <c r="F386" s="3" t="s">
        <v>120</v>
      </c>
      <c r="G386" s="3">
        <v>9</v>
      </c>
      <c r="H386" s="3">
        <v>0</v>
      </c>
      <c r="I386" s="3">
        <v>1</v>
      </c>
      <c r="J386" s="3">
        <v>4</v>
      </c>
      <c r="K386" s="3">
        <v>4</v>
      </c>
      <c r="L386" s="3">
        <v>0</v>
      </c>
      <c r="M386" s="3">
        <v>0</v>
      </c>
      <c r="N386" s="3" t="s">
        <v>5218</v>
      </c>
      <c r="O386" s="3">
        <v>8</v>
      </c>
      <c r="P386" s="3">
        <v>24.02</v>
      </c>
      <c r="Q386" s="3">
        <v>0</v>
      </c>
      <c r="R386" s="3">
        <v>0</v>
      </c>
      <c r="S386" s="3">
        <v>0</v>
      </c>
      <c r="T386" s="3">
        <v>0</v>
      </c>
      <c r="U386" s="3">
        <v>0</v>
      </c>
      <c r="V386" s="3">
        <v>1</v>
      </c>
      <c r="W386" s="3" t="s">
        <v>5219</v>
      </c>
      <c r="X386" s="3">
        <v>29.98</v>
      </c>
      <c r="Y386" s="3">
        <v>29.98</v>
      </c>
      <c r="Z386" s="3">
        <v>29.98</v>
      </c>
      <c r="AA386" s="3">
        <v>0</v>
      </c>
      <c r="AB386" s="3" t="s">
        <v>5228</v>
      </c>
      <c r="AC386" s="3">
        <v>1</v>
      </c>
      <c r="AD386" s="3">
        <v>27.23</v>
      </c>
      <c r="AE386" s="3">
        <v>35</v>
      </c>
      <c r="AF386" s="3">
        <v>0</v>
      </c>
      <c r="AG386" s="3">
        <v>435.750664</v>
      </c>
      <c r="AH386" s="3">
        <v>0.114285714285714</v>
      </c>
      <c r="AI386" s="3" t="s">
        <v>5295</v>
      </c>
      <c r="AJ386" s="3" t="s">
        <v>5222</v>
      </c>
    </row>
    <row r="387" spans="1:36">
      <c r="A387" s="5">
        <v>43288</v>
      </c>
      <c r="B387" s="3" t="s">
        <v>1785</v>
      </c>
      <c r="C387" s="3" t="s">
        <v>1786</v>
      </c>
      <c r="D387" s="3" t="s">
        <v>1786</v>
      </c>
      <c r="E387" s="3" t="s">
        <v>1787</v>
      </c>
      <c r="F387" s="3" t="s">
        <v>120</v>
      </c>
      <c r="G387" s="3">
        <v>5</v>
      </c>
      <c r="H387" s="3">
        <v>0</v>
      </c>
      <c r="I387" s="3">
        <v>3</v>
      </c>
      <c r="J387" s="3">
        <v>2</v>
      </c>
      <c r="K387" s="3">
        <v>0</v>
      </c>
      <c r="L387" s="3">
        <v>0</v>
      </c>
      <c r="M387" s="3">
        <v>0</v>
      </c>
      <c r="N387" s="3" t="s">
        <v>5218</v>
      </c>
      <c r="O387" s="3">
        <v>2</v>
      </c>
      <c r="P387" s="3">
        <v>2.59</v>
      </c>
      <c r="Q387" s="3">
        <v>0</v>
      </c>
      <c r="R387" s="3">
        <v>0</v>
      </c>
      <c r="S387" s="3">
        <v>0</v>
      </c>
      <c r="T387" s="3">
        <v>0</v>
      </c>
      <c r="U387" s="3">
        <v>0</v>
      </c>
      <c r="V387" s="3">
        <v>1</v>
      </c>
      <c r="W387" s="3" t="s">
        <v>5227</v>
      </c>
      <c r="X387" s="3">
        <v>25.98</v>
      </c>
      <c r="Y387" s="3">
        <v>25.98</v>
      </c>
      <c r="Z387" s="3">
        <v>23.98</v>
      </c>
      <c r="AA387" s="3">
        <v>0</v>
      </c>
      <c r="AB387" s="3" t="s">
        <v>5228</v>
      </c>
      <c r="AC387" s="3">
        <v>5</v>
      </c>
      <c r="AD387" s="3">
        <v>23.98</v>
      </c>
      <c r="AE387" s="3">
        <v>0</v>
      </c>
      <c r="AF387" s="3">
        <v>0</v>
      </c>
      <c r="AG387" s="3">
        <v>0</v>
      </c>
      <c r="AH387" s="3">
        <v>1.25714285714285</v>
      </c>
      <c r="AI387" s="3" t="s">
        <v>5229</v>
      </c>
      <c r="AJ387" s="3" t="s">
        <v>5222</v>
      </c>
    </row>
    <row r="388" spans="1:36">
      <c r="A388" s="5">
        <v>43288</v>
      </c>
      <c r="B388" s="3" t="s">
        <v>4878</v>
      </c>
      <c r="C388" s="3" t="s">
        <v>4879</v>
      </c>
      <c r="D388" s="3" t="s">
        <v>4879</v>
      </c>
      <c r="E388" s="3" t="s">
        <v>4880</v>
      </c>
      <c r="F388" s="3" t="s">
        <v>120</v>
      </c>
      <c r="G388" s="3">
        <v>8</v>
      </c>
      <c r="H388" s="3">
        <v>0</v>
      </c>
      <c r="I388" s="3">
        <v>2</v>
      </c>
      <c r="J388" s="3">
        <v>0</v>
      </c>
      <c r="K388" s="3">
        <v>6</v>
      </c>
      <c r="L388" s="3">
        <v>0</v>
      </c>
      <c r="M388" s="3">
        <v>0</v>
      </c>
      <c r="N388" s="3" t="s">
        <v>5218</v>
      </c>
      <c r="O388" s="3">
        <v>6</v>
      </c>
      <c r="P388" s="3">
        <v>13.84</v>
      </c>
      <c r="Q388" s="3">
        <v>0</v>
      </c>
      <c r="R388" s="3">
        <v>0</v>
      </c>
      <c r="S388" s="3">
        <v>0</v>
      </c>
      <c r="T388" s="3">
        <v>1</v>
      </c>
      <c r="U388" s="3">
        <v>6</v>
      </c>
      <c r="V388" s="3">
        <v>6</v>
      </c>
      <c r="W388" s="3"/>
      <c r="X388" s="3">
        <v>15</v>
      </c>
      <c r="Y388" s="3">
        <v>15</v>
      </c>
      <c r="Z388" s="3">
        <v>15</v>
      </c>
      <c r="AA388" s="3">
        <v>0</v>
      </c>
      <c r="AB388" s="3" t="s">
        <v>5228</v>
      </c>
      <c r="AC388" s="3">
        <v>0</v>
      </c>
      <c r="AD388" s="3">
        <v>12.06</v>
      </c>
      <c r="AE388" s="3">
        <v>35</v>
      </c>
      <c r="AF388" s="3">
        <v>5</v>
      </c>
      <c r="AG388" s="3">
        <v>142.618714</v>
      </c>
      <c r="AH388" s="3">
        <v>0.571428571428571</v>
      </c>
      <c r="AI388" s="3" t="s">
        <v>5245</v>
      </c>
      <c r="AJ388" s="3" t="s">
        <v>5222</v>
      </c>
    </row>
    <row r="389" spans="1:36">
      <c r="A389" s="5">
        <v>43288</v>
      </c>
      <c r="B389" s="3" t="s">
        <v>2122</v>
      </c>
      <c r="C389" s="3" t="s">
        <v>2123</v>
      </c>
      <c r="D389" s="3" t="s">
        <v>2123</v>
      </c>
      <c r="E389" s="3" t="s">
        <v>2124</v>
      </c>
      <c r="F389" s="3" t="s">
        <v>120</v>
      </c>
      <c r="G389" s="3">
        <v>11</v>
      </c>
      <c r="H389" s="3">
        <v>0</v>
      </c>
      <c r="I389" s="3">
        <v>11</v>
      </c>
      <c r="J389" s="3">
        <v>0</v>
      </c>
      <c r="K389" s="3">
        <v>0</v>
      </c>
      <c r="L389" s="3">
        <v>0</v>
      </c>
      <c r="M389" s="3">
        <v>0</v>
      </c>
      <c r="N389" s="3" t="s">
        <v>5218</v>
      </c>
      <c r="O389" s="3">
        <v>0</v>
      </c>
      <c r="P389" s="3">
        <v>0</v>
      </c>
      <c r="Q389" s="3">
        <v>0</v>
      </c>
      <c r="R389" s="3">
        <v>0</v>
      </c>
      <c r="S389" s="3">
        <v>0</v>
      </c>
      <c r="T389" s="3">
        <v>6</v>
      </c>
      <c r="U389" s="3">
        <v>10</v>
      </c>
      <c r="V389" s="3">
        <v>15</v>
      </c>
      <c r="W389" s="3"/>
      <c r="X389" s="3">
        <v>23.98</v>
      </c>
      <c r="Y389" s="3">
        <v>23.98</v>
      </c>
      <c r="Z389" s="3">
        <v>23.98</v>
      </c>
      <c r="AA389" s="3">
        <v>0</v>
      </c>
      <c r="AB389" s="3" t="s">
        <v>5223</v>
      </c>
      <c r="AC389" s="3">
        <v>11</v>
      </c>
      <c r="AD389" s="3">
        <v>23.98</v>
      </c>
      <c r="AE389" s="3">
        <v>0</v>
      </c>
      <c r="AF389" s="3">
        <v>0</v>
      </c>
      <c r="AG389" s="3">
        <v>0</v>
      </c>
      <c r="AH389" s="3">
        <v>0.967741935483871</v>
      </c>
      <c r="AI389" s="3" t="s">
        <v>5372</v>
      </c>
      <c r="AJ389" s="3" t="s">
        <v>5222</v>
      </c>
    </row>
    <row r="390" spans="1:36">
      <c r="A390" s="5">
        <v>43288</v>
      </c>
      <c r="B390" s="3" t="s">
        <v>2415</v>
      </c>
      <c r="C390" s="3" t="s">
        <v>2416</v>
      </c>
      <c r="D390" s="3" t="s">
        <v>2416</v>
      </c>
      <c r="E390" s="3" t="s">
        <v>2417</v>
      </c>
      <c r="F390" s="3" t="s">
        <v>120</v>
      </c>
      <c r="G390" s="3">
        <v>13</v>
      </c>
      <c r="H390" s="3">
        <v>0</v>
      </c>
      <c r="I390" s="3">
        <v>2</v>
      </c>
      <c r="J390" s="3">
        <v>11</v>
      </c>
      <c r="K390" s="3">
        <v>0</v>
      </c>
      <c r="L390" s="3">
        <v>0</v>
      </c>
      <c r="M390" s="3">
        <v>0</v>
      </c>
      <c r="N390" s="3" t="s">
        <v>5218</v>
      </c>
      <c r="O390" s="3">
        <v>0</v>
      </c>
      <c r="P390" s="3">
        <v>0</v>
      </c>
      <c r="Q390" s="3">
        <v>0</v>
      </c>
      <c r="R390" s="3">
        <v>0</v>
      </c>
      <c r="S390" s="3">
        <v>0</v>
      </c>
      <c r="T390" s="3">
        <v>2</v>
      </c>
      <c r="U390" s="3">
        <v>2</v>
      </c>
      <c r="V390" s="3">
        <v>7</v>
      </c>
      <c r="W390" s="3"/>
      <c r="X390" s="3">
        <v>22.98</v>
      </c>
      <c r="Y390" s="3">
        <v>22.98</v>
      </c>
      <c r="Z390" s="3">
        <v>22</v>
      </c>
      <c r="AA390" s="3">
        <v>0</v>
      </c>
      <c r="AB390" s="3" t="s">
        <v>5223</v>
      </c>
      <c r="AC390" s="3">
        <v>13</v>
      </c>
      <c r="AD390" s="3">
        <v>22.98</v>
      </c>
      <c r="AE390" s="3">
        <v>0</v>
      </c>
      <c r="AF390" s="3">
        <v>0</v>
      </c>
      <c r="AG390" s="3">
        <v>0</v>
      </c>
      <c r="AH390" s="3">
        <v>0.47457627118644</v>
      </c>
      <c r="AI390" s="3" t="s">
        <v>5240</v>
      </c>
      <c r="AJ390" s="3" t="s">
        <v>5222</v>
      </c>
    </row>
    <row r="391" spans="1:36">
      <c r="A391" s="5">
        <v>43288</v>
      </c>
      <c r="B391" s="3" t="s">
        <v>235</v>
      </c>
      <c r="C391" s="3" t="s">
        <v>236</v>
      </c>
      <c r="D391" s="3" t="s">
        <v>236</v>
      </c>
      <c r="E391" s="3" t="s">
        <v>237</v>
      </c>
      <c r="F391" s="3" t="s">
        <v>120</v>
      </c>
      <c r="G391" s="3">
        <v>1</v>
      </c>
      <c r="H391" s="3">
        <v>0</v>
      </c>
      <c r="I391" s="3">
        <v>0</v>
      </c>
      <c r="J391" s="3">
        <v>1</v>
      </c>
      <c r="K391" s="3">
        <v>0</v>
      </c>
      <c r="L391" s="3">
        <v>0</v>
      </c>
      <c r="M391" s="3">
        <v>0</v>
      </c>
      <c r="N391" s="3" t="s">
        <v>5218</v>
      </c>
      <c r="O391" s="3">
        <v>1</v>
      </c>
      <c r="P391" s="3">
        <v>6.56</v>
      </c>
      <c r="Q391" s="3">
        <v>0</v>
      </c>
      <c r="R391" s="3">
        <v>0</v>
      </c>
      <c r="S391" s="3">
        <v>0</v>
      </c>
      <c r="T391" s="3">
        <v>0</v>
      </c>
      <c r="U391" s="3">
        <v>0</v>
      </c>
      <c r="V391" s="3">
        <v>0</v>
      </c>
      <c r="W391" s="3" t="s">
        <v>5219</v>
      </c>
      <c r="X391" s="3">
        <v>62.98</v>
      </c>
      <c r="Y391" s="3">
        <v>62.98</v>
      </c>
      <c r="Z391" s="3">
        <v>62.98</v>
      </c>
      <c r="AA391" s="3">
        <v>0</v>
      </c>
      <c r="AB391" s="3" t="s">
        <v>5220</v>
      </c>
      <c r="AC391" s="3">
        <v>0</v>
      </c>
      <c r="AD391" s="3">
        <v>59.58</v>
      </c>
      <c r="AE391" s="3">
        <v>7</v>
      </c>
      <c r="AF391" s="3">
        <v>0</v>
      </c>
      <c r="AG391" s="3">
        <v>99.372827</v>
      </c>
      <c r="AH391" s="3">
        <v>0</v>
      </c>
      <c r="AI391" s="3" t="s">
        <v>5373</v>
      </c>
      <c r="AJ391" s="3" t="s">
        <v>5222</v>
      </c>
    </row>
    <row r="392" spans="1:36">
      <c r="A392" s="5">
        <v>43288</v>
      </c>
      <c r="B392" s="3" t="s">
        <v>4306</v>
      </c>
      <c r="C392" s="3" t="s">
        <v>4307</v>
      </c>
      <c r="D392" s="3" t="s">
        <v>4307</v>
      </c>
      <c r="E392" s="3" t="s">
        <v>4308</v>
      </c>
      <c r="F392" s="3" t="s">
        <v>120</v>
      </c>
      <c r="G392" s="3">
        <v>23</v>
      </c>
      <c r="H392" s="3">
        <v>0</v>
      </c>
      <c r="I392" s="3">
        <v>23</v>
      </c>
      <c r="J392" s="3">
        <v>0</v>
      </c>
      <c r="K392" s="3">
        <v>0</v>
      </c>
      <c r="L392" s="3">
        <v>0</v>
      </c>
      <c r="M392" s="3">
        <v>0</v>
      </c>
      <c r="N392" s="3" t="s">
        <v>5218</v>
      </c>
      <c r="O392" s="3">
        <v>0</v>
      </c>
      <c r="P392" s="3">
        <v>0</v>
      </c>
      <c r="Q392" s="3">
        <v>0</v>
      </c>
      <c r="R392" s="3">
        <v>0</v>
      </c>
      <c r="S392" s="3">
        <v>0</v>
      </c>
      <c r="T392" s="3">
        <v>1</v>
      </c>
      <c r="U392" s="3">
        <v>3</v>
      </c>
      <c r="V392" s="3">
        <v>6</v>
      </c>
      <c r="W392" s="3"/>
      <c r="X392" s="3">
        <v>23.98</v>
      </c>
      <c r="Y392" s="3">
        <v>23.98</v>
      </c>
      <c r="Z392" s="3">
        <v>23.98</v>
      </c>
      <c r="AA392" s="3">
        <v>0</v>
      </c>
      <c r="AB392" s="3" t="s">
        <v>5223</v>
      </c>
      <c r="AC392" s="3">
        <v>23</v>
      </c>
      <c r="AD392" s="3">
        <v>23.98</v>
      </c>
      <c r="AE392" s="3">
        <v>0</v>
      </c>
      <c r="AF392" s="3">
        <v>0</v>
      </c>
      <c r="AG392" s="3">
        <v>0</v>
      </c>
      <c r="AH392" s="3">
        <v>0.489795918367346</v>
      </c>
      <c r="AI392" s="3" t="s">
        <v>5258</v>
      </c>
      <c r="AJ392" s="3" t="s">
        <v>5222</v>
      </c>
    </row>
    <row r="393" spans="1:36">
      <c r="A393" s="5">
        <v>43288</v>
      </c>
      <c r="B393" s="3" t="s">
        <v>2927</v>
      </c>
      <c r="C393" s="3" t="s">
        <v>1337</v>
      </c>
      <c r="D393" s="3" t="s">
        <v>1337</v>
      </c>
      <c r="E393" s="3" t="s">
        <v>1338</v>
      </c>
      <c r="F393" s="3" t="s">
        <v>120</v>
      </c>
      <c r="G393" s="3">
        <v>1</v>
      </c>
      <c r="H393" s="3">
        <v>0</v>
      </c>
      <c r="I393" s="3">
        <v>1</v>
      </c>
      <c r="J393" s="3">
        <v>0</v>
      </c>
      <c r="K393" s="3">
        <v>0</v>
      </c>
      <c r="L393" s="3">
        <v>0</v>
      </c>
      <c r="M393" s="3">
        <v>0</v>
      </c>
      <c r="N393" s="3" t="s">
        <v>5218</v>
      </c>
      <c r="O393" s="3">
        <v>0</v>
      </c>
      <c r="P393" s="3">
        <v>0</v>
      </c>
      <c r="Q393" s="3">
        <v>0</v>
      </c>
      <c r="R393" s="3">
        <v>0</v>
      </c>
      <c r="S393" s="3">
        <v>14</v>
      </c>
      <c r="T393" s="3">
        <v>59</v>
      </c>
      <c r="U393" s="3">
        <v>98</v>
      </c>
      <c r="V393" s="3">
        <v>111</v>
      </c>
      <c r="W393" s="3"/>
      <c r="X393" s="3">
        <v>24.98</v>
      </c>
      <c r="Y393" s="3">
        <v>24.98</v>
      </c>
      <c r="Z393" s="3">
        <v>24.98</v>
      </c>
      <c r="AA393" s="3">
        <v>0</v>
      </c>
      <c r="AB393" s="3" t="s">
        <v>5223</v>
      </c>
      <c r="AC393" s="3">
        <v>10</v>
      </c>
      <c r="AD393" s="3">
        <v>24.98</v>
      </c>
      <c r="AE393" s="3">
        <v>0</v>
      </c>
      <c r="AF393" s="3">
        <v>0</v>
      </c>
      <c r="AG393" s="3">
        <v>0</v>
      </c>
      <c r="AH393" s="3">
        <v>6.83076923076923</v>
      </c>
      <c r="AI393" s="3" t="s">
        <v>5236</v>
      </c>
      <c r="AJ393" s="3" t="s">
        <v>5222</v>
      </c>
    </row>
    <row r="394" spans="1:36">
      <c r="A394" s="5">
        <v>43288</v>
      </c>
      <c r="B394" s="3" t="s">
        <v>59</v>
      </c>
      <c r="C394" s="3" t="s">
        <v>60</v>
      </c>
      <c r="D394" s="3" t="s">
        <v>60</v>
      </c>
      <c r="E394" s="3" t="s">
        <v>1501</v>
      </c>
      <c r="F394" s="3" t="s">
        <v>120</v>
      </c>
      <c r="G394" s="3">
        <v>31</v>
      </c>
      <c r="H394" s="3">
        <v>0</v>
      </c>
      <c r="I394" s="3">
        <v>1</v>
      </c>
      <c r="J394" s="3">
        <v>30</v>
      </c>
      <c r="K394" s="3">
        <v>0</v>
      </c>
      <c r="L394" s="3">
        <v>0</v>
      </c>
      <c r="M394" s="3">
        <v>0</v>
      </c>
      <c r="N394" s="3" t="s">
        <v>5218</v>
      </c>
      <c r="O394" s="3">
        <v>26</v>
      </c>
      <c r="P394" s="3">
        <v>59.13</v>
      </c>
      <c r="Q394" s="3">
        <v>0</v>
      </c>
      <c r="R394" s="3">
        <v>0</v>
      </c>
      <c r="S394" s="3">
        <v>0</v>
      </c>
      <c r="T394" s="3">
        <v>0</v>
      </c>
      <c r="U394" s="3">
        <v>0</v>
      </c>
      <c r="V394" s="3">
        <v>0</v>
      </c>
      <c r="W394" s="3"/>
      <c r="X394" s="3"/>
      <c r="Y394" s="3"/>
      <c r="Z394" s="3">
        <v>-1</v>
      </c>
      <c r="AA394" s="3">
        <v>-1</v>
      </c>
      <c r="AB394" s="3" t="s">
        <v>5244</v>
      </c>
      <c r="AC394" s="3">
        <v>0</v>
      </c>
      <c r="AD394" s="3">
        <v>0</v>
      </c>
      <c r="AE394" s="3">
        <v>0</v>
      </c>
      <c r="AF394" s="3">
        <v>0</v>
      </c>
      <c r="AG394" s="3">
        <v>0</v>
      </c>
      <c r="AH394" s="3">
        <v>0</v>
      </c>
      <c r="AI394" s="3" t="s">
        <v>5255</v>
      </c>
      <c r="AJ394" s="3" t="s">
        <v>5222</v>
      </c>
    </row>
    <row r="395" spans="1:36">
      <c r="A395" s="5">
        <v>43288</v>
      </c>
      <c r="B395" s="3" t="s">
        <v>241</v>
      </c>
      <c r="C395" s="3" t="s">
        <v>242</v>
      </c>
      <c r="D395" s="3" t="s">
        <v>242</v>
      </c>
      <c r="E395" s="3" t="s">
        <v>243</v>
      </c>
      <c r="F395" s="3" t="s">
        <v>120</v>
      </c>
      <c r="G395" s="3">
        <v>1</v>
      </c>
      <c r="H395" s="3">
        <v>0</v>
      </c>
      <c r="I395" s="3">
        <v>0</v>
      </c>
      <c r="J395" s="3">
        <v>1</v>
      </c>
      <c r="K395" s="3">
        <v>0</v>
      </c>
      <c r="L395" s="3">
        <v>0</v>
      </c>
      <c r="M395" s="3">
        <v>0</v>
      </c>
      <c r="N395" s="3" t="s">
        <v>5218</v>
      </c>
      <c r="O395" s="3">
        <v>0</v>
      </c>
      <c r="P395" s="3">
        <v>0</v>
      </c>
      <c r="Q395" s="3">
        <v>0</v>
      </c>
      <c r="R395" s="3">
        <v>0</v>
      </c>
      <c r="S395" s="3">
        <v>0</v>
      </c>
      <c r="T395" s="3">
        <v>0</v>
      </c>
      <c r="U395" s="3">
        <v>0</v>
      </c>
      <c r="V395" s="3">
        <v>0</v>
      </c>
      <c r="W395" s="3" t="s">
        <v>5219</v>
      </c>
      <c r="X395" s="3">
        <v>62.98</v>
      </c>
      <c r="Y395" s="3">
        <v>62.98</v>
      </c>
      <c r="Z395" s="3">
        <v>62.98</v>
      </c>
      <c r="AA395" s="3">
        <v>0</v>
      </c>
      <c r="AB395" s="3" t="s">
        <v>5220</v>
      </c>
      <c r="AC395" s="3">
        <v>1</v>
      </c>
      <c r="AD395" s="3">
        <v>62.98</v>
      </c>
      <c r="AE395" s="3">
        <v>0</v>
      </c>
      <c r="AF395" s="3">
        <v>0</v>
      </c>
      <c r="AG395" s="3">
        <v>0</v>
      </c>
      <c r="AH395" s="3">
        <v>0</v>
      </c>
      <c r="AI395" s="3" t="s">
        <v>5374</v>
      </c>
      <c r="AJ395" s="3" t="s">
        <v>5222</v>
      </c>
    </row>
    <row r="396" spans="1:36">
      <c r="A396" s="5">
        <v>43288</v>
      </c>
      <c r="B396" s="3" t="s">
        <v>4501</v>
      </c>
      <c r="C396" s="3" t="s">
        <v>3731</v>
      </c>
      <c r="D396" s="3" t="s">
        <v>3731</v>
      </c>
      <c r="E396" s="3" t="s">
        <v>3732</v>
      </c>
      <c r="F396" s="3" t="s">
        <v>120</v>
      </c>
      <c r="G396" s="3">
        <v>5</v>
      </c>
      <c r="H396" s="3">
        <v>0</v>
      </c>
      <c r="I396" s="3">
        <v>0</v>
      </c>
      <c r="J396" s="3">
        <v>2</v>
      </c>
      <c r="K396" s="3">
        <v>3</v>
      </c>
      <c r="L396" s="3">
        <v>0</v>
      </c>
      <c r="M396" s="3">
        <v>0</v>
      </c>
      <c r="N396" s="3" t="s">
        <v>5218</v>
      </c>
      <c r="O396" s="3">
        <v>3</v>
      </c>
      <c r="P396" s="3">
        <v>2.98</v>
      </c>
      <c r="Q396" s="3">
        <v>0</v>
      </c>
      <c r="R396" s="3">
        <v>0</v>
      </c>
      <c r="S396" s="3">
        <v>1</v>
      </c>
      <c r="T396" s="3">
        <v>1</v>
      </c>
      <c r="U396" s="3">
        <v>1</v>
      </c>
      <c r="V396" s="3">
        <v>1</v>
      </c>
      <c r="W396" s="3"/>
      <c r="X396" s="3">
        <v>23.98</v>
      </c>
      <c r="Y396" s="3">
        <v>23.98</v>
      </c>
      <c r="Z396" s="3">
        <v>23.98</v>
      </c>
      <c r="AA396" s="3">
        <v>0</v>
      </c>
      <c r="AB396" s="3" t="s">
        <v>5228</v>
      </c>
      <c r="AC396" s="3">
        <v>2</v>
      </c>
      <c r="AD396" s="3">
        <v>22.25</v>
      </c>
      <c r="AE396" s="3">
        <v>35</v>
      </c>
      <c r="AF396" s="3">
        <v>0</v>
      </c>
      <c r="AG396" s="3">
        <v>111.089209</v>
      </c>
      <c r="AH396" s="3">
        <v>0.17391304347826</v>
      </c>
      <c r="AI396" s="3" t="s">
        <v>5263</v>
      </c>
      <c r="AJ396" s="3" t="s">
        <v>5222</v>
      </c>
    </row>
    <row r="397" spans="1:36">
      <c r="A397" s="5">
        <v>43288</v>
      </c>
      <c r="B397" s="3" t="s">
        <v>2081</v>
      </c>
      <c r="C397" s="3" t="s">
        <v>2082</v>
      </c>
      <c r="D397" s="3" t="s">
        <v>2082</v>
      </c>
      <c r="E397" s="3" t="s">
        <v>2083</v>
      </c>
      <c r="F397" s="3" t="s">
        <v>120</v>
      </c>
      <c r="G397" s="3">
        <v>10</v>
      </c>
      <c r="H397" s="3">
        <v>0</v>
      </c>
      <c r="I397" s="3">
        <v>5</v>
      </c>
      <c r="J397" s="3">
        <v>4</v>
      </c>
      <c r="K397" s="3">
        <v>1</v>
      </c>
      <c r="L397" s="3">
        <v>0</v>
      </c>
      <c r="M397" s="3">
        <v>0</v>
      </c>
      <c r="N397" s="3" t="s">
        <v>5218</v>
      </c>
      <c r="O397" s="3">
        <v>2</v>
      </c>
      <c r="P397" s="3">
        <v>3.16</v>
      </c>
      <c r="Q397" s="3">
        <v>0</v>
      </c>
      <c r="R397" s="3">
        <v>0</v>
      </c>
      <c r="S397" s="3">
        <v>0</v>
      </c>
      <c r="T397" s="3">
        <v>2</v>
      </c>
      <c r="U397" s="3">
        <v>12</v>
      </c>
      <c r="V397" s="3">
        <v>19</v>
      </c>
      <c r="W397" s="3" t="s">
        <v>5227</v>
      </c>
      <c r="X397" s="3">
        <v>23.98</v>
      </c>
      <c r="Y397" s="3">
        <v>23.98</v>
      </c>
      <c r="Z397" s="3">
        <v>23.98</v>
      </c>
      <c r="AA397" s="3">
        <v>0</v>
      </c>
      <c r="AB397" s="3" t="s">
        <v>5223</v>
      </c>
      <c r="AC397" s="3">
        <v>10</v>
      </c>
      <c r="AD397" s="3">
        <v>23.98</v>
      </c>
      <c r="AE397" s="3">
        <v>0</v>
      </c>
      <c r="AF397" s="3">
        <v>0</v>
      </c>
      <c r="AG397" s="3">
        <v>0</v>
      </c>
      <c r="AH397" s="3">
        <v>1.2063492063492</v>
      </c>
      <c r="AI397" s="3" t="s">
        <v>5375</v>
      </c>
      <c r="AJ397" s="3" t="s">
        <v>5222</v>
      </c>
    </row>
    <row r="398" spans="1:36">
      <c r="A398" s="5">
        <v>43288</v>
      </c>
      <c r="B398" s="3" t="s">
        <v>2894</v>
      </c>
      <c r="C398" s="3" t="s">
        <v>2895</v>
      </c>
      <c r="D398" s="3" t="s">
        <v>2895</v>
      </c>
      <c r="E398" s="3" t="s">
        <v>1814</v>
      </c>
      <c r="F398" s="3" t="s">
        <v>120</v>
      </c>
      <c r="G398" s="3">
        <v>31</v>
      </c>
      <c r="H398" s="3">
        <v>0</v>
      </c>
      <c r="I398" s="3">
        <v>1</v>
      </c>
      <c r="J398" s="3">
        <v>30</v>
      </c>
      <c r="K398" s="3">
        <v>0</v>
      </c>
      <c r="L398" s="3">
        <v>0</v>
      </c>
      <c r="M398" s="3">
        <v>0</v>
      </c>
      <c r="N398" s="3" t="s">
        <v>5218</v>
      </c>
      <c r="O398" s="3">
        <v>18</v>
      </c>
      <c r="P398" s="3">
        <v>33.4</v>
      </c>
      <c r="Q398" s="3">
        <v>0</v>
      </c>
      <c r="R398" s="3">
        <v>0</v>
      </c>
      <c r="S398" s="3">
        <v>0</v>
      </c>
      <c r="T398" s="3">
        <v>0</v>
      </c>
      <c r="U398" s="3">
        <v>1</v>
      </c>
      <c r="V398" s="3">
        <v>1</v>
      </c>
      <c r="W398" s="3" t="s">
        <v>5227</v>
      </c>
      <c r="X398" s="3">
        <v>24.98</v>
      </c>
      <c r="Y398" s="3">
        <v>24.98</v>
      </c>
      <c r="Z398" s="3">
        <v>24.98</v>
      </c>
      <c r="AA398" s="3">
        <v>0</v>
      </c>
      <c r="AB398" s="3" t="s">
        <v>5228</v>
      </c>
      <c r="AC398" s="3">
        <v>4</v>
      </c>
      <c r="AD398" s="3">
        <v>19.98</v>
      </c>
      <c r="AE398" s="3">
        <v>364</v>
      </c>
      <c r="AF398" s="3">
        <v>0</v>
      </c>
      <c r="AG398" s="3">
        <v>444.42768</v>
      </c>
      <c r="AH398" s="3">
        <v>0.032</v>
      </c>
      <c r="AI398" s="3" t="s">
        <v>5254</v>
      </c>
      <c r="AJ398" s="3" t="s">
        <v>5222</v>
      </c>
    </row>
    <row r="399" spans="1:36">
      <c r="A399" s="5">
        <v>43288</v>
      </c>
      <c r="B399" s="3" t="s">
        <v>2251</v>
      </c>
      <c r="C399" s="3" t="s">
        <v>1016</v>
      </c>
      <c r="D399" s="3" t="s">
        <v>1016</v>
      </c>
      <c r="E399" s="3" t="s">
        <v>1017</v>
      </c>
      <c r="F399" s="3" t="s">
        <v>120</v>
      </c>
      <c r="G399" s="3">
        <v>17</v>
      </c>
      <c r="H399" s="3">
        <v>0</v>
      </c>
      <c r="I399" s="3">
        <v>2</v>
      </c>
      <c r="J399" s="3">
        <v>0</v>
      </c>
      <c r="K399" s="3">
        <v>15</v>
      </c>
      <c r="L399" s="3">
        <v>0</v>
      </c>
      <c r="M399" s="3">
        <v>0</v>
      </c>
      <c r="N399" s="3" t="s">
        <v>5218</v>
      </c>
      <c r="O399" s="3">
        <v>15</v>
      </c>
      <c r="P399" s="3">
        <v>19.66</v>
      </c>
      <c r="Q399" s="3">
        <v>0</v>
      </c>
      <c r="R399" s="3">
        <v>0</v>
      </c>
      <c r="S399" s="3">
        <v>0</v>
      </c>
      <c r="T399" s="3">
        <v>1</v>
      </c>
      <c r="U399" s="3">
        <v>3</v>
      </c>
      <c r="V399" s="3">
        <v>4</v>
      </c>
      <c r="W399" s="3"/>
      <c r="X399" s="3">
        <v>24.98</v>
      </c>
      <c r="Y399" s="3">
        <v>24.98</v>
      </c>
      <c r="Z399" s="3">
        <v>24.98</v>
      </c>
      <c r="AA399" s="3">
        <v>0</v>
      </c>
      <c r="AB399" s="3" t="s">
        <v>5223</v>
      </c>
      <c r="AC399" s="3">
        <v>17</v>
      </c>
      <c r="AD399" s="3">
        <v>24.98</v>
      </c>
      <c r="AE399" s="3">
        <v>0</v>
      </c>
      <c r="AF399" s="3">
        <v>0</v>
      </c>
      <c r="AG399" s="3">
        <v>0</v>
      </c>
      <c r="AH399" s="3">
        <v>0.195121951219512</v>
      </c>
      <c r="AI399" s="3" t="s">
        <v>5376</v>
      </c>
      <c r="AJ399" s="3" t="s">
        <v>5222</v>
      </c>
    </row>
    <row r="400" spans="1:36">
      <c r="A400" s="5">
        <v>43288</v>
      </c>
      <c r="B400" s="3" t="s">
        <v>2075</v>
      </c>
      <c r="C400" s="3" t="s">
        <v>2076</v>
      </c>
      <c r="D400" s="3" t="s">
        <v>2076</v>
      </c>
      <c r="E400" s="3" t="s">
        <v>2077</v>
      </c>
      <c r="F400" s="3" t="s">
        <v>120</v>
      </c>
      <c r="G400" s="3">
        <v>52</v>
      </c>
      <c r="H400" s="3">
        <v>0</v>
      </c>
      <c r="I400" s="3">
        <v>5</v>
      </c>
      <c r="J400" s="3">
        <v>5</v>
      </c>
      <c r="K400" s="3">
        <v>42</v>
      </c>
      <c r="L400" s="3">
        <v>0</v>
      </c>
      <c r="M400" s="3">
        <v>0</v>
      </c>
      <c r="N400" s="3" t="s">
        <v>5218</v>
      </c>
      <c r="O400" s="3">
        <v>44</v>
      </c>
      <c r="P400" s="3">
        <v>106.63</v>
      </c>
      <c r="Q400" s="3">
        <v>0</v>
      </c>
      <c r="R400" s="3">
        <v>0</v>
      </c>
      <c r="S400" s="3">
        <v>0</v>
      </c>
      <c r="T400" s="3">
        <v>1</v>
      </c>
      <c r="U400" s="3">
        <v>9</v>
      </c>
      <c r="V400" s="3">
        <v>17</v>
      </c>
      <c r="W400" s="3" t="s">
        <v>5227</v>
      </c>
      <c r="X400" s="3">
        <v>23.98</v>
      </c>
      <c r="Y400" s="3">
        <v>23.98</v>
      </c>
      <c r="Z400" s="3">
        <v>23.98</v>
      </c>
      <c r="AA400" s="3">
        <v>0</v>
      </c>
      <c r="AB400" s="3" t="s">
        <v>5228</v>
      </c>
      <c r="AC400" s="3">
        <v>12</v>
      </c>
      <c r="AD400" s="3">
        <v>20.57</v>
      </c>
      <c r="AE400" s="3">
        <v>161</v>
      </c>
      <c r="AF400" s="3">
        <v>0</v>
      </c>
      <c r="AG400" s="3">
        <v>0</v>
      </c>
      <c r="AH400" s="3">
        <v>0.300884955752212</v>
      </c>
      <c r="AI400" s="3" t="s">
        <v>5377</v>
      </c>
      <c r="AJ400" s="3" t="s">
        <v>5242</v>
      </c>
    </row>
    <row r="401" spans="1:36">
      <c r="A401" s="5">
        <v>43288</v>
      </c>
      <c r="B401" s="3" t="s">
        <v>4845</v>
      </c>
      <c r="C401" s="3" t="s">
        <v>4846</v>
      </c>
      <c r="D401" s="3" t="s">
        <v>4846</v>
      </c>
      <c r="E401" s="3" t="s">
        <v>5378</v>
      </c>
      <c r="F401" s="3" t="s">
        <v>120</v>
      </c>
      <c r="G401" s="3">
        <v>2</v>
      </c>
      <c r="H401" s="3">
        <v>0</v>
      </c>
      <c r="I401" s="3">
        <v>0</v>
      </c>
      <c r="J401" s="3">
        <v>0</v>
      </c>
      <c r="K401" s="3">
        <v>2</v>
      </c>
      <c r="L401" s="3">
        <v>0</v>
      </c>
      <c r="M401" s="3">
        <v>0</v>
      </c>
      <c r="N401" s="3" t="s">
        <v>5218</v>
      </c>
      <c r="O401" s="3">
        <v>2</v>
      </c>
      <c r="P401" s="3">
        <v>4.61</v>
      </c>
      <c r="Q401" s="3">
        <v>0</v>
      </c>
      <c r="R401" s="3">
        <v>0</v>
      </c>
      <c r="S401" s="3">
        <v>1</v>
      </c>
      <c r="T401" s="3">
        <v>4</v>
      </c>
      <c r="U401" s="3">
        <v>5</v>
      </c>
      <c r="V401" s="3">
        <v>5</v>
      </c>
      <c r="W401" s="3"/>
      <c r="X401" s="3">
        <v>18</v>
      </c>
      <c r="Y401" s="3">
        <v>18</v>
      </c>
      <c r="Z401" s="3">
        <v>18</v>
      </c>
      <c r="AA401" s="3">
        <v>0</v>
      </c>
      <c r="AB401" s="3" t="s">
        <v>5223</v>
      </c>
      <c r="AC401" s="3">
        <v>3</v>
      </c>
      <c r="AD401" s="3">
        <v>18</v>
      </c>
      <c r="AE401" s="3">
        <v>0</v>
      </c>
      <c r="AF401" s="3">
        <v>0</v>
      </c>
      <c r="AG401" s="3">
        <v>0</v>
      </c>
      <c r="AH401" s="3">
        <v>0.909090909090909</v>
      </c>
      <c r="AI401" s="3" t="s">
        <v>5245</v>
      </c>
      <c r="AJ401" s="3" t="s">
        <v>5222</v>
      </c>
    </row>
    <row r="402" spans="1:36">
      <c r="A402" s="5">
        <v>43288</v>
      </c>
      <c r="B402" s="3" t="s">
        <v>2585</v>
      </c>
      <c r="C402" s="3" t="s">
        <v>1060</v>
      </c>
      <c r="D402" s="3" t="s">
        <v>1060</v>
      </c>
      <c r="E402" s="3" t="s">
        <v>1061</v>
      </c>
      <c r="F402" s="3" t="s">
        <v>120</v>
      </c>
      <c r="G402" s="3">
        <v>20</v>
      </c>
      <c r="H402" s="3">
        <v>0</v>
      </c>
      <c r="I402" s="3">
        <v>20</v>
      </c>
      <c r="J402" s="3">
        <v>0</v>
      </c>
      <c r="K402" s="3">
        <v>0</v>
      </c>
      <c r="L402" s="3">
        <v>0</v>
      </c>
      <c r="M402" s="3">
        <v>0</v>
      </c>
      <c r="N402" s="3" t="s">
        <v>5218</v>
      </c>
      <c r="O402" s="3">
        <v>0</v>
      </c>
      <c r="P402" s="3">
        <v>0</v>
      </c>
      <c r="Q402" s="3">
        <v>0</v>
      </c>
      <c r="R402" s="3">
        <v>0</v>
      </c>
      <c r="S402" s="3">
        <v>3</v>
      </c>
      <c r="T402" s="3">
        <v>13</v>
      </c>
      <c r="U402" s="3">
        <v>20</v>
      </c>
      <c r="V402" s="3">
        <v>25</v>
      </c>
      <c r="W402" s="3"/>
      <c r="X402" s="3">
        <v>22.98</v>
      </c>
      <c r="Y402" s="3">
        <v>22.98</v>
      </c>
      <c r="Z402" s="3">
        <v>22.98</v>
      </c>
      <c r="AA402" s="3">
        <v>0</v>
      </c>
      <c r="AB402" s="3" t="s">
        <v>5223</v>
      </c>
      <c r="AC402" s="3">
        <v>21</v>
      </c>
      <c r="AD402" s="3">
        <v>22.98</v>
      </c>
      <c r="AE402" s="3">
        <v>0</v>
      </c>
      <c r="AF402" s="3">
        <v>0</v>
      </c>
      <c r="AG402" s="3">
        <v>0</v>
      </c>
      <c r="AH402" s="3">
        <v>1.75438596491228</v>
      </c>
      <c r="AI402" s="3" t="s">
        <v>5238</v>
      </c>
      <c r="AJ402" s="3" t="s">
        <v>5222</v>
      </c>
    </row>
    <row r="403" spans="1:36">
      <c r="A403" s="5">
        <v>43288</v>
      </c>
      <c r="B403" s="3" t="s">
        <v>4974</v>
      </c>
      <c r="C403" s="3" t="s">
        <v>4975</v>
      </c>
      <c r="D403" s="3" t="s">
        <v>4975</v>
      </c>
      <c r="E403" s="3" t="s">
        <v>4976</v>
      </c>
      <c r="F403" s="3" t="s">
        <v>120</v>
      </c>
      <c r="G403" s="3">
        <v>2</v>
      </c>
      <c r="H403" s="3">
        <v>0</v>
      </c>
      <c r="I403" s="3">
        <v>0</v>
      </c>
      <c r="J403" s="3">
        <v>0</v>
      </c>
      <c r="K403" s="3">
        <v>2</v>
      </c>
      <c r="L403" s="3">
        <v>0</v>
      </c>
      <c r="M403" s="3">
        <v>0</v>
      </c>
      <c r="N403" s="3" t="s">
        <v>5218</v>
      </c>
      <c r="O403" s="3">
        <v>2</v>
      </c>
      <c r="P403" s="3">
        <v>1.24</v>
      </c>
      <c r="Q403" s="3">
        <v>0</v>
      </c>
      <c r="R403" s="3">
        <v>0</v>
      </c>
      <c r="S403" s="3">
        <v>0</v>
      </c>
      <c r="T403" s="3">
        <v>1</v>
      </c>
      <c r="U403" s="3">
        <v>1</v>
      </c>
      <c r="V403" s="3">
        <v>1</v>
      </c>
      <c r="W403" s="3" t="s">
        <v>5219</v>
      </c>
      <c r="X403" s="3">
        <v>25</v>
      </c>
      <c r="Y403" s="3">
        <v>25</v>
      </c>
      <c r="Z403" s="3">
        <v>25</v>
      </c>
      <c r="AA403" s="3">
        <v>0</v>
      </c>
      <c r="AB403" s="3" t="s">
        <v>5223</v>
      </c>
      <c r="AC403" s="3">
        <v>2</v>
      </c>
      <c r="AD403" s="3">
        <v>25</v>
      </c>
      <c r="AE403" s="3">
        <v>0</v>
      </c>
      <c r="AF403" s="3">
        <v>0</v>
      </c>
      <c r="AG403" s="3">
        <v>0</v>
      </c>
      <c r="AH403" s="3">
        <v>0.363636363636363</v>
      </c>
      <c r="AI403" s="3" t="s">
        <v>5267</v>
      </c>
      <c r="AJ403" s="3" t="s">
        <v>5242</v>
      </c>
    </row>
    <row r="404" spans="1:36">
      <c r="A404" s="5">
        <v>43288</v>
      </c>
      <c r="B404" s="3" t="s">
        <v>270</v>
      </c>
      <c r="C404" s="3" t="s">
        <v>271</v>
      </c>
      <c r="D404" s="3" t="s">
        <v>271</v>
      </c>
      <c r="E404" s="3" t="s">
        <v>272</v>
      </c>
      <c r="F404" s="3" t="s">
        <v>120</v>
      </c>
      <c r="G404" s="3">
        <v>2</v>
      </c>
      <c r="H404" s="3">
        <v>0</v>
      </c>
      <c r="I404" s="3">
        <v>0</v>
      </c>
      <c r="J404" s="3">
        <v>2</v>
      </c>
      <c r="K404" s="3">
        <v>0</v>
      </c>
      <c r="L404" s="3">
        <v>0</v>
      </c>
      <c r="M404" s="3">
        <v>0</v>
      </c>
      <c r="N404" s="3" t="s">
        <v>5218</v>
      </c>
      <c r="O404" s="3">
        <v>0</v>
      </c>
      <c r="P404" s="3">
        <v>0</v>
      </c>
      <c r="Q404" s="3">
        <v>0</v>
      </c>
      <c r="R404" s="3">
        <v>0</v>
      </c>
      <c r="S404" s="3">
        <v>0</v>
      </c>
      <c r="T404" s="3">
        <v>0</v>
      </c>
      <c r="U404" s="3">
        <v>0</v>
      </c>
      <c r="V404" s="3">
        <v>2</v>
      </c>
      <c r="W404" s="3" t="s">
        <v>5219</v>
      </c>
      <c r="X404" s="3">
        <v>64.98</v>
      </c>
      <c r="Y404" s="3">
        <v>64.98</v>
      </c>
      <c r="Z404" s="3">
        <v>64.98</v>
      </c>
      <c r="AA404" s="3">
        <v>0</v>
      </c>
      <c r="AB404" s="3" t="s">
        <v>5220</v>
      </c>
      <c r="AC404" s="3">
        <v>0</v>
      </c>
      <c r="AD404" s="3">
        <v>61.41</v>
      </c>
      <c r="AE404" s="3">
        <v>14</v>
      </c>
      <c r="AF404" s="3">
        <v>0</v>
      </c>
      <c r="AG404" s="3">
        <v>229.152075</v>
      </c>
      <c r="AH404" s="3">
        <v>0.8</v>
      </c>
      <c r="AI404" s="3" t="s">
        <v>5282</v>
      </c>
      <c r="AJ404" s="3" t="s">
        <v>5222</v>
      </c>
    </row>
    <row r="405" spans="1:36">
      <c r="A405" s="5">
        <v>43288</v>
      </c>
      <c r="B405" s="3" t="s">
        <v>4418</v>
      </c>
      <c r="C405" s="3" t="s">
        <v>3526</v>
      </c>
      <c r="D405" s="3" t="s">
        <v>3526</v>
      </c>
      <c r="E405" s="3" t="s">
        <v>3527</v>
      </c>
      <c r="F405" s="3" t="s">
        <v>120</v>
      </c>
      <c r="G405" s="3">
        <v>3</v>
      </c>
      <c r="H405" s="3">
        <v>0</v>
      </c>
      <c r="I405" s="3">
        <v>0</v>
      </c>
      <c r="J405" s="3">
        <v>1</v>
      </c>
      <c r="K405" s="3">
        <v>2</v>
      </c>
      <c r="L405" s="3">
        <v>0</v>
      </c>
      <c r="M405" s="3">
        <v>0</v>
      </c>
      <c r="N405" s="3" t="s">
        <v>5218</v>
      </c>
      <c r="O405" s="3">
        <v>3</v>
      </c>
      <c r="P405" s="3">
        <v>4.63</v>
      </c>
      <c r="Q405" s="3">
        <v>0</v>
      </c>
      <c r="R405" s="3">
        <v>0</v>
      </c>
      <c r="S405" s="3">
        <v>0</v>
      </c>
      <c r="T405" s="3">
        <v>0</v>
      </c>
      <c r="U405" s="3">
        <v>0</v>
      </c>
      <c r="V405" s="3">
        <v>2</v>
      </c>
      <c r="W405" s="3" t="s">
        <v>5227</v>
      </c>
      <c r="X405" s="3">
        <v>24.98</v>
      </c>
      <c r="Y405" s="3">
        <v>24.98</v>
      </c>
      <c r="Z405" s="3">
        <v>24.98</v>
      </c>
      <c r="AA405" s="3">
        <v>0</v>
      </c>
      <c r="AB405" s="3" t="s">
        <v>5228</v>
      </c>
      <c r="AC405" s="3">
        <v>1</v>
      </c>
      <c r="AD405" s="3">
        <v>22.99</v>
      </c>
      <c r="AE405" s="3">
        <v>35</v>
      </c>
      <c r="AF405" s="3">
        <v>0</v>
      </c>
      <c r="AG405" s="3">
        <v>87.625741</v>
      </c>
      <c r="AH405" s="3">
        <v>0.571428571428571</v>
      </c>
      <c r="AI405" s="3" t="s">
        <v>5262</v>
      </c>
      <c r="AJ405" s="3" t="s">
        <v>5222</v>
      </c>
    </row>
    <row r="406" spans="1:36">
      <c r="A406" s="5">
        <v>43288</v>
      </c>
      <c r="B406" s="3" t="s">
        <v>4577</v>
      </c>
      <c r="C406" s="3" t="s">
        <v>4031</v>
      </c>
      <c r="D406" s="3" t="s">
        <v>4031</v>
      </c>
      <c r="E406" s="3" t="s">
        <v>4032</v>
      </c>
      <c r="F406" s="3" t="s">
        <v>120</v>
      </c>
      <c r="G406" s="3">
        <v>6</v>
      </c>
      <c r="H406" s="3">
        <v>0</v>
      </c>
      <c r="I406" s="3">
        <v>6</v>
      </c>
      <c r="J406" s="3">
        <v>0</v>
      </c>
      <c r="K406" s="3">
        <v>0</v>
      </c>
      <c r="L406" s="3">
        <v>0</v>
      </c>
      <c r="M406" s="3">
        <v>0</v>
      </c>
      <c r="N406" s="3" t="s">
        <v>5218</v>
      </c>
      <c r="O406" s="3">
        <v>0</v>
      </c>
      <c r="P406" s="3">
        <v>0</v>
      </c>
      <c r="Q406" s="3">
        <v>0</v>
      </c>
      <c r="R406" s="3">
        <v>0</v>
      </c>
      <c r="S406" s="3">
        <v>0</v>
      </c>
      <c r="T406" s="3">
        <v>1</v>
      </c>
      <c r="U406" s="3">
        <v>4</v>
      </c>
      <c r="V406" s="3">
        <v>4</v>
      </c>
      <c r="W406" s="3"/>
      <c r="X406" s="3">
        <v>20.98</v>
      </c>
      <c r="Y406" s="3">
        <v>20.98</v>
      </c>
      <c r="Z406" s="3">
        <v>20.98</v>
      </c>
      <c r="AA406" s="3">
        <v>0</v>
      </c>
      <c r="AB406" s="3" t="s">
        <v>5223</v>
      </c>
      <c r="AC406" s="3">
        <v>6</v>
      </c>
      <c r="AD406" s="3">
        <v>20.98</v>
      </c>
      <c r="AE406" s="3">
        <v>0</v>
      </c>
      <c r="AF406" s="3">
        <v>0</v>
      </c>
      <c r="AG406" s="3">
        <v>0</v>
      </c>
      <c r="AH406" s="3">
        <v>1.6</v>
      </c>
      <c r="AI406" s="3" t="s">
        <v>5379</v>
      </c>
      <c r="AJ406" s="3" t="s">
        <v>5222</v>
      </c>
    </row>
    <row r="407" spans="1:36">
      <c r="A407" s="5">
        <v>43288</v>
      </c>
      <c r="B407" s="3" t="s">
        <v>3033</v>
      </c>
      <c r="C407" s="3" t="s">
        <v>3034</v>
      </c>
      <c r="D407" s="3" t="s">
        <v>3034</v>
      </c>
      <c r="E407" s="3" t="s">
        <v>3035</v>
      </c>
      <c r="F407" s="3" t="s">
        <v>120</v>
      </c>
      <c r="G407" s="3">
        <v>18</v>
      </c>
      <c r="H407" s="3">
        <v>0</v>
      </c>
      <c r="I407" s="3">
        <v>18</v>
      </c>
      <c r="J407" s="3">
        <v>0</v>
      </c>
      <c r="K407" s="3">
        <v>0</v>
      </c>
      <c r="L407" s="3">
        <v>0</v>
      </c>
      <c r="M407" s="3">
        <v>0</v>
      </c>
      <c r="N407" s="3" t="s">
        <v>5218</v>
      </c>
      <c r="O407" s="3">
        <v>0</v>
      </c>
      <c r="P407" s="3">
        <v>0</v>
      </c>
      <c r="Q407" s="3">
        <v>0</v>
      </c>
      <c r="R407" s="3">
        <v>0</v>
      </c>
      <c r="S407" s="3">
        <v>1</v>
      </c>
      <c r="T407" s="3">
        <v>10</v>
      </c>
      <c r="U407" s="3">
        <v>22</v>
      </c>
      <c r="V407" s="3">
        <v>38</v>
      </c>
      <c r="W407" s="3"/>
      <c r="X407" s="3">
        <v>22.98</v>
      </c>
      <c r="Y407" s="3">
        <v>22.98</v>
      </c>
      <c r="Z407" s="3">
        <v>22.98</v>
      </c>
      <c r="AA407" s="3">
        <v>0</v>
      </c>
      <c r="AB407" s="3" t="s">
        <v>5223</v>
      </c>
      <c r="AC407" s="3">
        <v>17</v>
      </c>
      <c r="AD407" s="3">
        <v>22.98</v>
      </c>
      <c r="AE407" s="3">
        <v>0</v>
      </c>
      <c r="AF407" s="3">
        <v>0</v>
      </c>
      <c r="AG407" s="3">
        <v>0</v>
      </c>
      <c r="AH407" s="3">
        <v>1.7471264367816</v>
      </c>
      <c r="AI407" s="3" t="s">
        <v>5380</v>
      </c>
      <c r="AJ407" s="3" t="s">
        <v>5222</v>
      </c>
    </row>
    <row r="408" spans="1:36">
      <c r="A408" s="5">
        <v>43288</v>
      </c>
      <c r="B408" s="3" t="s">
        <v>3064</v>
      </c>
      <c r="C408" s="3" t="s">
        <v>3065</v>
      </c>
      <c r="D408" s="3" t="s">
        <v>3065</v>
      </c>
      <c r="E408" s="3" t="s">
        <v>3066</v>
      </c>
      <c r="F408" s="3" t="s">
        <v>120</v>
      </c>
      <c r="G408" s="3">
        <v>30</v>
      </c>
      <c r="H408" s="3">
        <v>0</v>
      </c>
      <c r="I408" s="3">
        <v>30</v>
      </c>
      <c r="J408" s="3">
        <v>0</v>
      </c>
      <c r="K408" s="3">
        <v>0</v>
      </c>
      <c r="L408" s="3">
        <v>0</v>
      </c>
      <c r="M408" s="3">
        <v>0</v>
      </c>
      <c r="N408" s="3" t="s">
        <v>5218</v>
      </c>
      <c r="O408" s="3">
        <v>0</v>
      </c>
      <c r="P408" s="3">
        <v>0</v>
      </c>
      <c r="Q408" s="3">
        <v>0</v>
      </c>
      <c r="R408" s="3">
        <v>0</v>
      </c>
      <c r="S408" s="3">
        <v>0</v>
      </c>
      <c r="T408" s="3">
        <v>0</v>
      </c>
      <c r="U408" s="3">
        <v>0</v>
      </c>
      <c r="V408" s="3">
        <v>0</v>
      </c>
      <c r="W408" s="3" t="s">
        <v>5219</v>
      </c>
      <c r="X408" s="3">
        <v>39.98</v>
      </c>
      <c r="Y408" s="3">
        <v>39.98</v>
      </c>
      <c r="Z408" s="3">
        <v>39.98</v>
      </c>
      <c r="AA408" s="3">
        <v>0</v>
      </c>
      <c r="AB408" s="3" t="s">
        <v>5234</v>
      </c>
      <c r="AC408" s="3">
        <v>30</v>
      </c>
      <c r="AD408" s="3">
        <v>39.98</v>
      </c>
      <c r="AE408" s="3">
        <v>0</v>
      </c>
      <c r="AF408" s="3">
        <v>0</v>
      </c>
      <c r="AG408" s="3">
        <v>0</v>
      </c>
      <c r="AH408" s="3">
        <v>0</v>
      </c>
      <c r="AI408" s="3" t="s">
        <v>5381</v>
      </c>
      <c r="AJ408" s="3" t="s">
        <v>5222</v>
      </c>
    </row>
    <row r="409" spans="1:36">
      <c r="A409" s="5">
        <v>43288</v>
      </c>
      <c r="B409" s="3" t="s">
        <v>4503</v>
      </c>
      <c r="C409" s="3" t="s">
        <v>3739</v>
      </c>
      <c r="D409" s="3" t="s">
        <v>3739</v>
      </c>
      <c r="E409" s="3" t="s">
        <v>3740</v>
      </c>
      <c r="F409" s="3" t="s">
        <v>120</v>
      </c>
      <c r="G409" s="3">
        <v>8</v>
      </c>
      <c r="H409" s="3">
        <v>0</v>
      </c>
      <c r="I409" s="3">
        <v>0</v>
      </c>
      <c r="J409" s="3">
        <v>0</v>
      </c>
      <c r="K409" s="3">
        <v>8</v>
      </c>
      <c r="L409" s="3">
        <v>0</v>
      </c>
      <c r="M409" s="3">
        <v>0</v>
      </c>
      <c r="N409" s="3" t="s">
        <v>5218</v>
      </c>
      <c r="O409" s="3">
        <v>8</v>
      </c>
      <c r="P409" s="3">
        <v>7.94</v>
      </c>
      <c r="Q409" s="3">
        <v>0</v>
      </c>
      <c r="R409" s="3">
        <v>0</v>
      </c>
      <c r="S409" s="3">
        <v>0</v>
      </c>
      <c r="T409" s="3">
        <v>0</v>
      </c>
      <c r="U409" s="3">
        <v>0</v>
      </c>
      <c r="V409" s="3">
        <v>0</v>
      </c>
      <c r="W409" s="3" t="s">
        <v>5227</v>
      </c>
      <c r="X409" s="3">
        <v>24.98</v>
      </c>
      <c r="Y409" s="3">
        <v>24.98</v>
      </c>
      <c r="Z409" s="3">
        <v>24.98</v>
      </c>
      <c r="AA409" s="3">
        <v>0</v>
      </c>
      <c r="AB409" s="3" t="s">
        <v>5228</v>
      </c>
      <c r="AC409" s="3">
        <v>0</v>
      </c>
      <c r="AD409" s="3">
        <v>19.27</v>
      </c>
      <c r="AE409" s="3">
        <v>364</v>
      </c>
      <c r="AF409" s="3">
        <v>0</v>
      </c>
      <c r="AG409" s="3">
        <v>134.38096</v>
      </c>
      <c r="AH409" s="3">
        <v>0</v>
      </c>
      <c r="AI409" s="3" t="s">
        <v>5263</v>
      </c>
      <c r="AJ409" s="3" t="s">
        <v>5222</v>
      </c>
    </row>
    <row r="410" spans="1:36">
      <c r="A410" s="5">
        <v>43288</v>
      </c>
      <c r="B410" s="3" t="s">
        <v>2606</v>
      </c>
      <c r="C410" s="3" t="s">
        <v>1116</v>
      </c>
      <c r="D410" s="3" t="s">
        <v>1116</v>
      </c>
      <c r="E410" s="3" t="s">
        <v>1117</v>
      </c>
      <c r="F410" s="3" t="s">
        <v>120</v>
      </c>
      <c r="G410" s="3">
        <v>23</v>
      </c>
      <c r="H410" s="3">
        <v>0</v>
      </c>
      <c r="I410" s="3">
        <v>23</v>
      </c>
      <c r="J410" s="3">
        <v>0</v>
      </c>
      <c r="K410" s="3">
        <v>0</v>
      </c>
      <c r="L410" s="3">
        <v>0</v>
      </c>
      <c r="M410" s="3">
        <v>0</v>
      </c>
      <c r="N410" s="3" t="s">
        <v>5218</v>
      </c>
      <c r="O410" s="3">
        <v>0</v>
      </c>
      <c r="P410" s="3">
        <v>0</v>
      </c>
      <c r="Q410" s="3">
        <v>0</v>
      </c>
      <c r="R410" s="3">
        <v>0</v>
      </c>
      <c r="S410" s="3">
        <v>2</v>
      </c>
      <c r="T410" s="3">
        <v>7</v>
      </c>
      <c r="U410" s="3">
        <v>18</v>
      </c>
      <c r="V410" s="3">
        <v>23</v>
      </c>
      <c r="W410" s="3"/>
      <c r="X410" s="3">
        <v>35.98</v>
      </c>
      <c r="Y410" s="3">
        <v>22.98</v>
      </c>
      <c r="Z410" s="3">
        <v>22.98</v>
      </c>
      <c r="AA410" s="3">
        <v>0</v>
      </c>
      <c r="AB410" s="3" t="s">
        <v>5223</v>
      </c>
      <c r="AC410" s="3">
        <v>27</v>
      </c>
      <c r="AD410" s="3">
        <v>22.98</v>
      </c>
      <c r="AE410" s="3">
        <v>0</v>
      </c>
      <c r="AF410" s="3">
        <v>0</v>
      </c>
      <c r="AG410" s="3">
        <v>0</v>
      </c>
      <c r="AH410" s="3">
        <v>1.11627906976744</v>
      </c>
      <c r="AI410" s="3" t="s">
        <v>5238</v>
      </c>
      <c r="AJ410" s="3" t="s">
        <v>5222</v>
      </c>
    </row>
    <row r="411" spans="1:36">
      <c r="A411" s="5">
        <v>43288</v>
      </c>
      <c r="B411" s="3" t="s">
        <v>4267</v>
      </c>
      <c r="C411" s="3" t="s">
        <v>4268</v>
      </c>
      <c r="D411" s="3" t="s">
        <v>4268</v>
      </c>
      <c r="E411" s="3" t="s">
        <v>4269</v>
      </c>
      <c r="F411" s="3" t="s">
        <v>120</v>
      </c>
      <c r="G411" s="3">
        <v>17</v>
      </c>
      <c r="H411" s="3">
        <v>0</v>
      </c>
      <c r="I411" s="3">
        <v>17</v>
      </c>
      <c r="J411" s="3">
        <v>0</v>
      </c>
      <c r="K411" s="3">
        <v>0</v>
      </c>
      <c r="L411" s="3">
        <v>0</v>
      </c>
      <c r="M411" s="3">
        <v>0</v>
      </c>
      <c r="N411" s="3" t="s">
        <v>5218</v>
      </c>
      <c r="O411" s="3">
        <v>0</v>
      </c>
      <c r="P411" s="3">
        <v>0</v>
      </c>
      <c r="Q411" s="3">
        <v>0</v>
      </c>
      <c r="R411" s="3">
        <v>0</v>
      </c>
      <c r="S411" s="3">
        <v>0</v>
      </c>
      <c r="T411" s="3">
        <v>0</v>
      </c>
      <c r="U411" s="3">
        <v>0</v>
      </c>
      <c r="V411" s="3">
        <v>1</v>
      </c>
      <c r="W411" s="3" t="s">
        <v>5227</v>
      </c>
      <c r="X411" s="3">
        <v>23.98</v>
      </c>
      <c r="Y411" s="3">
        <v>23.98</v>
      </c>
      <c r="Z411" s="3">
        <v>23.98</v>
      </c>
      <c r="AA411" s="3">
        <v>0</v>
      </c>
      <c r="AB411" s="3" t="s">
        <v>5228</v>
      </c>
      <c r="AC411" s="3">
        <v>1</v>
      </c>
      <c r="AD411" s="3">
        <v>21.29</v>
      </c>
      <c r="AE411" s="3">
        <v>217</v>
      </c>
      <c r="AF411" s="3">
        <v>0</v>
      </c>
      <c r="AG411" s="3">
        <v>378.014388</v>
      </c>
      <c r="AH411" s="3">
        <v>0.0784313725490196</v>
      </c>
      <c r="AI411" s="3" t="s">
        <v>5382</v>
      </c>
      <c r="AJ411" s="3" t="s">
        <v>5222</v>
      </c>
    </row>
    <row r="412" spans="1:36">
      <c r="A412" s="5">
        <v>43288</v>
      </c>
      <c r="B412" s="3" t="s">
        <v>1973</v>
      </c>
      <c r="C412" s="3" t="s">
        <v>140</v>
      </c>
      <c r="D412" s="3" t="s">
        <v>140</v>
      </c>
      <c r="E412" s="3" t="s">
        <v>1974</v>
      </c>
      <c r="F412" s="3" t="s">
        <v>120</v>
      </c>
      <c r="G412" s="3">
        <v>16</v>
      </c>
      <c r="H412" s="3">
        <v>0</v>
      </c>
      <c r="I412" s="3">
        <v>0</v>
      </c>
      <c r="J412" s="3">
        <v>5</v>
      </c>
      <c r="K412" s="3">
        <v>11</v>
      </c>
      <c r="L412" s="3">
        <v>0</v>
      </c>
      <c r="M412" s="3">
        <v>0</v>
      </c>
      <c r="N412" s="3" t="s">
        <v>5218</v>
      </c>
      <c r="O412" s="3">
        <v>14</v>
      </c>
      <c r="P412" s="3">
        <v>26.19</v>
      </c>
      <c r="Q412" s="3">
        <v>0</v>
      </c>
      <c r="R412" s="3">
        <v>0</v>
      </c>
      <c r="S412" s="3">
        <v>0</v>
      </c>
      <c r="T412" s="3">
        <v>2</v>
      </c>
      <c r="U412" s="3">
        <v>4</v>
      </c>
      <c r="V412" s="3">
        <v>9</v>
      </c>
      <c r="W412" s="3" t="s">
        <v>5227</v>
      </c>
      <c r="X412" s="3">
        <v>22.98</v>
      </c>
      <c r="Y412" s="3">
        <v>22.98</v>
      </c>
      <c r="Z412" s="3">
        <v>22.98</v>
      </c>
      <c r="AA412" s="3">
        <v>0</v>
      </c>
      <c r="AB412" s="3" t="s">
        <v>5223</v>
      </c>
      <c r="AC412" s="3">
        <v>16</v>
      </c>
      <c r="AD412" s="3">
        <v>22.98</v>
      </c>
      <c r="AE412" s="3">
        <v>0</v>
      </c>
      <c r="AF412" s="3">
        <v>0</v>
      </c>
      <c r="AG412" s="3">
        <v>0</v>
      </c>
      <c r="AH412" s="3">
        <v>0.455696202531645</v>
      </c>
      <c r="AI412" s="3" t="s">
        <v>5270</v>
      </c>
      <c r="AJ412" s="3" t="s">
        <v>5222</v>
      </c>
    </row>
    <row r="413" spans="1:36">
      <c r="A413" s="5">
        <v>43288</v>
      </c>
      <c r="B413" s="3" t="s">
        <v>1664</v>
      </c>
      <c r="C413" s="3" t="s">
        <v>1665</v>
      </c>
      <c r="D413" s="3" t="s">
        <v>1665</v>
      </c>
      <c r="E413" s="3" t="s">
        <v>1666</v>
      </c>
      <c r="F413" s="3" t="s">
        <v>120</v>
      </c>
      <c r="G413" s="3">
        <v>30</v>
      </c>
      <c r="H413" s="3">
        <v>0</v>
      </c>
      <c r="I413" s="3">
        <v>3</v>
      </c>
      <c r="J413" s="3">
        <v>5</v>
      </c>
      <c r="K413" s="3">
        <v>22</v>
      </c>
      <c r="L413" s="3">
        <v>0</v>
      </c>
      <c r="M413" s="3">
        <v>0</v>
      </c>
      <c r="N413" s="3" t="s">
        <v>5218</v>
      </c>
      <c r="O413" s="3">
        <v>25</v>
      </c>
      <c r="P413" s="3">
        <v>34.82</v>
      </c>
      <c r="Q413" s="3">
        <v>0</v>
      </c>
      <c r="R413" s="3">
        <v>0</v>
      </c>
      <c r="S413" s="3">
        <v>1</v>
      </c>
      <c r="T413" s="3">
        <v>10</v>
      </c>
      <c r="U413" s="3">
        <v>11</v>
      </c>
      <c r="V413" s="3">
        <v>13</v>
      </c>
      <c r="W413" s="3"/>
      <c r="X413" s="3">
        <v>18.98</v>
      </c>
      <c r="Y413" s="3">
        <v>18.98</v>
      </c>
      <c r="Z413" s="3">
        <v>18.98</v>
      </c>
      <c r="AA413" s="3">
        <v>0</v>
      </c>
      <c r="AB413" s="3" t="s">
        <v>5228</v>
      </c>
      <c r="AC413" s="3">
        <v>26</v>
      </c>
      <c r="AD413" s="3">
        <v>16.81</v>
      </c>
      <c r="AE413" s="3">
        <v>35</v>
      </c>
      <c r="AF413" s="3">
        <v>0</v>
      </c>
      <c r="AG413" s="3">
        <v>1.963513</v>
      </c>
      <c r="AH413" s="3">
        <v>0.351351351351351</v>
      </c>
      <c r="AI413" s="3" t="s">
        <v>5383</v>
      </c>
      <c r="AJ413" s="3" t="s">
        <v>5222</v>
      </c>
    </row>
    <row r="414" spans="1:36">
      <c r="A414" s="5">
        <v>43288</v>
      </c>
      <c r="B414" s="3" t="s">
        <v>2650</v>
      </c>
      <c r="C414" s="3" t="s">
        <v>2651</v>
      </c>
      <c r="D414" s="3" t="s">
        <v>2651</v>
      </c>
      <c r="E414" s="3" t="s">
        <v>2652</v>
      </c>
      <c r="F414" s="3" t="s">
        <v>120</v>
      </c>
      <c r="G414" s="3">
        <v>5</v>
      </c>
      <c r="H414" s="3">
        <v>0</v>
      </c>
      <c r="I414" s="3">
        <v>1</v>
      </c>
      <c r="J414" s="3">
        <v>1</v>
      </c>
      <c r="K414" s="3">
        <v>3</v>
      </c>
      <c r="L414" s="3">
        <v>0</v>
      </c>
      <c r="M414" s="3">
        <v>0</v>
      </c>
      <c r="N414" s="3" t="s">
        <v>5218</v>
      </c>
      <c r="O414" s="3">
        <v>3</v>
      </c>
      <c r="P414" s="3">
        <v>5.21</v>
      </c>
      <c r="Q414" s="3">
        <v>0</v>
      </c>
      <c r="R414" s="3">
        <v>0</v>
      </c>
      <c r="S414" s="3">
        <v>0</v>
      </c>
      <c r="T414" s="3">
        <v>4</v>
      </c>
      <c r="U414" s="3">
        <v>5</v>
      </c>
      <c r="V414" s="3">
        <v>7</v>
      </c>
      <c r="W414" s="3" t="s">
        <v>5219</v>
      </c>
      <c r="X414" s="3">
        <v>18.98</v>
      </c>
      <c r="Y414" s="3">
        <v>18.98</v>
      </c>
      <c r="Z414" s="3">
        <v>18.98</v>
      </c>
      <c r="AA414" s="3">
        <v>0</v>
      </c>
      <c r="AB414" s="3" t="s">
        <v>5220</v>
      </c>
      <c r="AC414" s="3">
        <v>0</v>
      </c>
      <c r="AD414" s="3">
        <v>14.77</v>
      </c>
      <c r="AE414" s="3">
        <v>105</v>
      </c>
      <c r="AF414" s="3">
        <v>0</v>
      </c>
      <c r="AG414" s="3">
        <v>63.157112</v>
      </c>
      <c r="AH414" s="3">
        <v>0.848484848484848</v>
      </c>
      <c r="AI414" s="3" t="s">
        <v>5264</v>
      </c>
      <c r="AJ414" s="3" t="s">
        <v>5222</v>
      </c>
    </row>
    <row r="415" spans="1:36">
      <c r="A415" s="5">
        <v>43288</v>
      </c>
      <c r="B415" s="3" t="s">
        <v>264</v>
      </c>
      <c r="C415" s="3" t="s">
        <v>265</v>
      </c>
      <c r="D415" s="3" t="s">
        <v>265</v>
      </c>
      <c r="E415" s="3" t="s">
        <v>266</v>
      </c>
      <c r="F415" s="3" t="s">
        <v>120</v>
      </c>
      <c r="G415" s="3">
        <v>1</v>
      </c>
      <c r="H415" s="3">
        <v>0</v>
      </c>
      <c r="I415" s="3">
        <v>0</v>
      </c>
      <c r="J415" s="3">
        <v>1</v>
      </c>
      <c r="K415" s="3">
        <v>0</v>
      </c>
      <c r="L415" s="3">
        <v>0</v>
      </c>
      <c r="M415" s="3">
        <v>0</v>
      </c>
      <c r="N415" s="3" t="s">
        <v>5218</v>
      </c>
      <c r="O415" s="3">
        <v>0</v>
      </c>
      <c r="P415" s="3">
        <v>0</v>
      </c>
      <c r="Q415" s="3">
        <v>0</v>
      </c>
      <c r="R415" s="3">
        <v>0</v>
      </c>
      <c r="S415" s="3">
        <v>0</v>
      </c>
      <c r="T415" s="3">
        <v>1</v>
      </c>
      <c r="U415" s="3">
        <v>1</v>
      </c>
      <c r="V415" s="3">
        <v>1</v>
      </c>
      <c r="W415" s="3" t="s">
        <v>5219</v>
      </c>
      <c r="X415" s="3">
        <v>65.98</v>
      </c>
      <c r="Y415" s="3">
        <v>65.98</v>
      </c>
      <c r="Z415" s="3">
        <v>65.98</v>
      </c>
      <c r="AA415" s="3">
        <v>0</v>
      </c>
      <c r="AB415" s="3" t="s">
        <v>5220</v>
      </c>
      <c r="AC415" s="3">
        <v>1</v>
      </c>
      <c r="AD415" s="3">
        <v>65.98</v>
      </c>
      <c r="AE415" s="3">
        <v>0</v>
      </c>
      <c r="AF415" s="3">
        <v>0</v>
      </c>
      <c r="AG415" s="3">
        <v>0</v>
      </c>
      <c r="AH415" s="3">
        <v>0.571428571428571</v>
      </c>
      <c r="AI415" s="3" t="s">
        <v>5384</v>
      </c>
      <c r="AJ415" s="3" t="s">
        <v>5222</v>
      </c>
    </row>
    <row r="416" spans="1:36">
      <c r="A416" s="5">
        <v>43288</v>
      </c>
      <c r="B416" s="3" t="s">
        <v>1496</v>
      </c>
      <c r="C416" s="3" t="s">
        <v>56</v>
      </c>
      <c r="D416" s="3" t="s">
        <v>56</v>
      </c>
      <c r="E416" s="3" t="s">
        <v>1497</v>
      </c>
      <c r="F416" s="3" t="s">
        <v>120</v>
      </c>
      <c r="G416" s="3">
        <v>39</v>
      </c>
      <c r="H416" s="3">
        <v>0</v>
      </c>
      <c r="I416" s="3">
        <v>3</v>
      </c>
      <c r="J416" s="3">
        <v>6</v>
      </c>
      <c r="K416" s="3">
        <v>30</v>
      </c>
      <c r="L416" s="3">
        <v>0</v>
      </c>
      <c r="M416" s="3">
        <v>0</v>
      </c>
      <c r="N416" s="3" t="s">
        <v>5218</v>
      </c>
      <c r="O416" s="3">
        <v>32</v>
      </c>
      <c r="P416" s="3">
        <v>72.76</v>
      </c>
      <c r="Q416" s="3">
        <v>0</v>
      </c>
      <c r="R416" s="3">
        <v>0</v>
      </c>
      <c r="S416" s="3">
        <v>0</v>
      </c>
      <c r="T416" s="3">
        <v>1</v>
      </c>
      <c r="U416" s="3">
        <v>4</v>
      </c>
      <c r="V416" s="3">
        <v>9</v>
      </c>
      <c r="W416" s="3" t="s">
        <v>5227</v>
      </c>
      <c r="X416" s="3">
        <v>18.98</v>
      </c>
      <c r="Y416" s="3">
        <v>18.98</v>
      </c>
      <c r="Z416" s="3">
        <v>18.98</v>
      </c>
      <c r="AA416" s="3">
        <v>0</v>
      </c>
      <c r="AB416" s="3" t="s">
        <v>5228</v>
      </c>
      <c r="AC416" s="3">
        <v>29</v>
      </c>
      <c r="AD416" s="3">
        <v>14.29</v>
      </c>
      <c r="AE416" s="3">
        <v>70</v>
      </c>
      <c r="AF416" s="3">
        <v>0</v>
      </c>
      <c r="AG416" s="3">
        <v>24.20376</v>
      </c>
      <c r="AH416" s="3">
        <v>0.215568862275449</v>
      </c>
      <c r="AI416" s="3" t="s">
        <v>5255</v>
      </c>
      <c r="AJ416" s="3" t="s">
        <v>5222</v>
      </c>
    </row>
    <row r="417" spans="1:36">
      <c r="A417" s="5">
        <v>43288</v>
      </c>
      <c r="B417" s="3" t="s">
        <v>249</v>
      </c>
      <c r="C417" s="3" t="s">
        <v>250</v>
      </c>
      <c r="D417" s="3" t="s">
        <v>250</v>
      </c>
      <c r="E417" s="3" t="s">
        <v>251</v>
      </c>
      <c r="F417" s="3" t="s">
        <v>120</v>
      </c>
      <c r="G417" s="3">
        <v>2</v>
      </c>
      <c r="H417" s="3">
        <v>0</v>
      </c>
      <c r="I417" s="3">
        <v>2</v>
      </c>
      <c r="J417" s="3">
        <v>0</v>
      </c>
      <c r="K417" s="3">
        <v>0</v>
      </c>
      <c r="L417" s="3">
        <v>0</v>
      </c>
      <c r="M417" s="3">
        <v>0</v>
      </c>
      <c r="N417" s="3" t="s">
        <v>5218</v>
      </c>
      <c r="O417" s="3">
        <v>0</v>
      </c>
      <c r="P417" s="3">
        <v>0</v>
      </c>
      <c r="Q417" s="3">
        <v>0</v>
      </c>
      <c r="R417" s="3">
        <v>0</v>
      </c>
      <c r="S417" s="3">
        <v>1</v>
      </c>
      <c r="T417" s="3">
        <v>3</v>
      </c>
      <c r="U417" s="3">
        <v>5</v>
      </c>
      <c r="V417" s="3">
        <v>5</v>
      </c>
      <c r="W417" s="3" t="s">
        <v>5219</v>
      </c>
      <c r="X417" s="3">
        <v>65.98</v>
      </c>
      <c r="Y417" s="3">
        <v>65.98</v>
      </c>
      <c r="Z417" s="3">
        <v>65.98</v>
      </c>
      <c r="AA417" s="3">
        <v>0</v>
      </c>
      <c r="AB417" s="3" t="s">
        <v>5220</v>
      </c>
      <c r="AC417" s="3">
        <v>3</v>
      </c>
      <c r="AD417" s="3">
        <v>65.98</v>
      </c>
      <c r="AE417" s="3">
        <v>0</v>
      </c>
      <c r="AF417" s="3">
        <v>0</v>
      </c>
      <c r="AG417" s="3">
        <v>0</v>
      </c>
      <c r="AH417" s="3">
        <v>1.25</v>
      </c>
      <c r="AI417" s="3" t="s">
        <v>5385</v>
      </c>
      <c r="AJ417" s="3" t="s">
        <v>5222</v>
      </c>
    </row>
    <row r="418" spans="1:36">
      <c r="A418" s="5">
        <v>43288</v>
      </c>
      <c r="B418" s="3" t="s">
        <v>4848</v>
      </c>
      <c r="C418" s="3" t="s">
        <v>4849</v>
      </c>
      <c r="D418" s="3" t="s">
        <v>4849</v>
      </c>
      <c r="E418" s="3" t="s">
        <v>4850</v>
      </c>
      <c r="F418" s="3" t="s">
        <v>120</v>
      </c>
      <c r="G418" s="3">
        <v>4</v>
      </c>
      <c r="H418" s="3">
        <v>0</v>
      </c>
      <c r="I418" s="3">
        <v>0</v>
      </c>
      <c r="J418" s="3">
        <v>1</v>
      </c>
      <c r="K418" s="3">
        <v>3</v>
      </c>
      <c r="L418" s="3">
        <v>0</v>
      </c>
      <c r="M418" s="3">
        <v>0</v>
      </c>
      <c r="N418" s="3" t="s">
        <v>5218</v>
      </c>
      <c r="O418" s="3">
        <v>3</v>
      </c>
      <c r="P418" s="3">
        <v>6.92</v>
      </c>
      <c r="Q418" s="3">
        <v>0</v>
      </c>
      <c r="R418" s="3">
        <v>0</v>
      </c>
      <c r="S418" s="3">
        <v>1</v>
      </c>
      <c r="T418" s="3">
        <v>2</v>
      </c>
      <c r="U418" s="3">
        <v>4</v>
      </c>
      <c r="V418" s="3">
        <v>5</v>
      </c>
      <c r="W418" s="3"/>
      <c r="X418" s="3">
        <v>15</v>
      </c>
      <c r="Y418" s="3">
        <v>15</v>
      </c>
      <c r="Z418" s="3">
        <v>15</v>
      </c>
      <c r="AA418" s="3">
        <v>0</v>
      </c>
      <c r="AB418" s="3" t="s">
        <v>5223</v>
      </c>
      <c r="AC418" s="3">
        <v>0</v>
      </c>
      <c r="AD418" s="3">
        <v>15</v>
      </c>
      <c r="AE418" s="3">
        <v>0</v>
      </c>
      <c r="AF418" s="3">
        <v>5</v>
      </c>
      <c r="AG418" s="3">
        <v>106.980095</v>
      </c>
      <c r="AH418" s="3">
        <v>0.74074074074074</v>
      </c>
      <c r="AI418" s="3" t="s">
        <v>5245</v>
      </c>
      <c r="AJ418" s="3" t="s">
        <v>5222</v>
      </c>
    </row>
    <row r="419" spans="1:36">
      <c r="A419" s="5">
        <v>43288</v>
      </c>
      <c r="B419" s="3" t="s">
        <v>5082</v>
      </c>
      <c r="C419" s="3" t="s">
        <v>4786</v>
      </c>
      <c r="D419" s="3" t="s">
        <v>4786</v>
      </c>
      <c r="E419" s="3" t="s">
        <v>4911</v>
      </c>
      <c r="F419" s="3" t="s">
        <v>120</v>
      </c>
      <c r="G419" s="3">
        <v>15</v>
      </c>
      <c r="H419" s="3">
        <v>0</v>
      </c>
      <c r="I419" s="3">
        <v>15</v>
      </c>
      <c r="J419" s="3">
        <v>0</v>
      </c>
      <c r="K419" s="3">
        <v>0</v>
      </c>
      <c r="L419" s="3">
        <v>0</v>
      </c>
      <c r="M419" s="3">
        <v>0</v>
      </c>
      <c r="N419" s="3" t="s">
        <v>5218</v>
      </c>
      <c r="O419" s="3">
        <v>0</v>
      </c>
      <c r="P419" s="3">
        <v>0</v>
      </c>
      <c r="Q419" s="3">
        <v>0</v>
      </c>
      <c r="R419" s="3">
        <v>0</v>
      </c>
      <c r="S419" s="3">
        <v>2</v>
      </c>
      <c r="T419" s="3">
        <v>6</v>
      </c>
      <c r="U419" s="3">
        <v>14</v>
      </c>
      <c r="V419" s="3">
        <v>19</v>
      </c>
      <c r="W419" s="3"/>
      <c r="X419" s="3">
        <v>22.98</v>
      </c>
      <c r="Y419" s="3">
        <v>22.98</v>
      </c>
      <c r="Z419" s="3">
        <v>22.98</v>
      </c>
      <c r="AA419" s="3">
        <v>0</v>
      </c>
      <c r="AB419" s="3" t="s">
        <v>5223</v>
      </c>
      <c r="AC419" s="3">
        <v>15</v>
      </c>
      <c r="AD419" s="3">
        <v>22.98</v>
      </c>
      <c r="AE419" s="3">
        <v>0</v>
      </c>
      <c r="AF419" s="3">
        <v>0</v>
      </c>
      <c r="AG419" s="3">
        <v>0</v>
      </c>
      <c r="AH419" s="3">
        <v>1.55102040816326</v>
      </c>
      <c r="AI419" s="3" t="s">
        <v>5261</v>
      </c>
      <c r="AJ419" s="3" t="s">
        <v>5222</v>
      </c>
    </row>
    <row r="420" spans="1:36">
      <c r="A420" s="5">
        <v>43288</v>
      </c>
      <c r="B420" s="3" t="s">
        <v>2963</v>
      </c>
      <c r="C420" s="3" t="s">
        <v>1432</v>
      </c>
      <c r="D420" s="3" t="s">
        <v>1432</v>
      </c>
      <c r="E420" s="3" t="s">
        <v>1433</v>
      </c>
      <c r="F420" s="3" t="s">
        <v>120</v>
      </c>
      <c r="G420" s="3">
        <v>2</v>
      </c>
      <c r="H420" s="3">
        <v>0</v>
      </c>
      <c r="I420" s="3">
        <v>2</v>
      </c>
      <c r="J420" s="3">
        <v>0</v>
      </c>
      <c r="K420" s="3">
        <v>0</v>
      </c>
      <c r="L420" s="3">
        <v>0</v>
      </c>
      <c r="M420" s="3">
        <v>0</v>
      </c>
      <c r="N420" s="3" t="s">
        <v>5218</v>
      </c>
      <c r="O420" s="3">
        <v>0</v>
      </c>
      <c r="P420" s="3">
        <v>0</v>
      </c>
      <c r="Q420" s="3">
        <v>0</v>
      </c>
      <c r="R420" s="3">
        <v>0</v>
      </c>
      <c r="S420" s="3">
        <v>1</v>
      </c>
      <c r="T420" s="3">
        <v>102</v>
      </c>
      <c r="U420" s="3">
        <v>207</v>
      </c>
      <c r="V420" s="3">
        <v>254</v>
      </c>
      <c r="W420" s="3"/>
      <c r="X420" s="3">
        <v>24.98</v>
      </c>
      <c r="Y420" s="3">
        <v>24.98</v>
      </c>
      <c r="Z420" s="3">
        <v>23.98</v>
      </c>
      <c r="AA420" s="3">
        <v>0</v>
      </c>
      <c r="AB420" s="3" t="s">
        <v>5223</v>
      </c>
      <c r="AC420" s="3">
        <v>0</v>
      </c>
      <c r="AD420" s="3">
        <v>0</v>
      </c>
      <c r="AE420" s="3">
        <v>0</v>
      </c>
      <c r="AF420" s="3">
        <v>0</v>
      </c>
      <c r="AG420" s="3">
        <v>0</v>
      </c>
      <c r="AH420" s="3">
        <v>16.983606557377</v>
      </c>
      <c r="AI420" s="3" t="s">
        <v>5236</v>
      </c>
      <c r="AJ420" s="3" t="s">
        <v>5222</v>
      </c>
    </row>
    <row r="421" spans="1:36">
      <c r="A421" s="5">
        <v>43288</v>
      </c>
      <c r="B421" s="3" t="s">
        <v>4186</v>
      </c>
      <c r="C421" s="3" t="s">
        <v>4187</v>
      </c>
      <c r="D421" s="3" t="s">
        <v>4187</v>
      </c>
      <c r="E421" s="3" t="s">
        <v>4188</v>
      </c>
      <c r="F421" s="3" t="s">
        <v>120</v>
      </c>
      <c r="G421" s="3">
        <v>25</v>
      </c>
      <c r="H421" s="3">
        <v>0</v>
      </c>
      <c r="I421" s="3">
        <v>25</v>
      </c>
      <c r="J421" s="3">
        <v>0</v>
      </c>
      <c r="K421" s="3">
        <v>0</v>
      </c>
      <c r="L421" s="3">
        <v>0</v>
      </c>
      <c r="M421" s="3">
        <v>0</v>
      </c>
      <c r="N421" s="3" t="s">
        <v>5218</v>
      </c>
      <c r="O421" s="3">
        <v>0</v>
      </c>
      <c r="P421" s="3">
        <v>0</v>
      </c>
      <c r="Q421" s="3">
        <v>0</v>
      </c>
      <c r="R421" s="3">
        <v>0</v>
      </c>
      <c r="S421" s="3">
        <v>0</v>
      </c>
      <c r="T421" s="3">
        <v>4</v>
      </c>
      <c r="U421" s="3">
        <v>13</v>
      </c>
      <c r="V421" s="3">
        <v>17</v>
      </c>
      <c r="W421" s="3"/>
      <c r="X421" s="3">
        <v>22.98</v>
      </c>
      <c r="Y421" s="3">
        <v>22.98</v>
      </c>
      <c r="Z421" s="3">
        <v>22.98</v>
      </c>
      <c r="AA421" s="3">
        <v>0</v>
      </c>
      <c r="AB421" s="3" t="s">
        <v>5223</v>
      </c>
      <c r="AC421" s="3">
        <v>25</v>
      </c>
      <c r="AD421" s="3">
        <v>22.98</v>
      </c>
      <c r="AE421" s="3">
        <v>0</v>
      </c>
      <c r="AF421" s="3">
        <v>0</v>
      </c>
      <c r="AG421" s="3">
        <v>0</v>
      </c>
      <c r="AH421" s="3">
        <v>1.33333333333333</v>
      </c>
      <c r="AI421" s="3" t="s">
        <v>5226</v>
      </c>
      <c r="AJ421" s="3" t="s">
        <v>5222</v>
      </c>
    </row>
    <row r="422" spans="1:36">
      <c r="A422" s="5">
        <v>43288</v>
      </c>
      <c r="B422" s="3" t="s">
        <v>682</v>
      </c>
      <c r="C422" s="3" t="s">
        <v>683</v>
      </c>
      <c r="D422" s="3" t="s">
        <v>683</v>
      </c>
      <c r="E422" s="3" t="s">
        <v>684</v>
      </c>
      <c r="F422" s="3" t="s">
        <v>120</v>
      </c>
      <c r="G422" s="3">
        <v>10</v>
      </c>
      <c r="H422" s="3">
        <v>0</v>
      </c>
      <c r="I422" s="3">
        <v>9</v>
      </c>
      <c r="J422" s="3">
        <v>1</v>
      </c>
      <c r="K422" s="3">
        <v>0</v>
      </c>
      <c r="L422" s="3">
        <v>0</v>
      </c>
      <c r="M422" s="3">
        <v>0</v>
      </c>
      <c r="N422" s="3" t="s">
        <v>5218</v>
      </c>
      <c r="O422" s="3">
        <v>1</v>
      </c>
      <c r="P422" s="3">
        <v>1.9</v>
      </c>
      <c r="Q422" s="3">
        <v>0</v>
      </c>
      <c r="R422" s="3">
        <v>0</v>
      </c>
      <c r="S422" s="3">
        <v>0</v>
      </c>
      <c r="T422" s="3">
        <v>1</v>
      </c>
      <c r="U422" s="3">
        <v>2</v>
      </c>
      <c r="V422" s="3">
        <v>3</v>
      </c>
      <c r="W422" s="3"/>
      <c r="X422" s="3">
        <v>24.98</v>
      </c>
      <c r="Y422" s="3">
        <v>24.98</v>
      </c>
      <c r="Z422" s="3">
        <v>24.98</v>
      </c>
      <c r="AA422" s="3">
        <v>0</v>
      </c>
      <c r="AB422" s="3" t="s">
        <v>5228</v>
      </c>
      <c r="AC422" s="3">
        <v>8</v>
      </c>
      <c r="AD422" s="3">
        <v>23.25</v>
      </c>
      <c r="AE422" s="3">
        <v>21</v>
      </c>
      <c r="AF422" s="3">
        <v>0</v>
      </c>
      <c r="AG422" s="3">
        <v>2.009989</v>
      </c>
      <c r="AH422" s="3">
        <v>0.631578947368421</v>
      </c>
      <c r="AI422" s="3" t="s">
        <v>5250</v>
      </c>
      <c r="AJ422" s="3" t="s">
        <v>5222</v>
      </c>
    </row>
    <row r="423" spans="1:36">
      <c r="A423" s="5">
        <v>43288</v>
      </c>
      <c r="B423" s="3" t="s">
        <v>5001</v>
      </c>
      <c r="C423" s="3" t="s">
        <v>5002</v>
      </c>
      <c r="D423" s="3" t="s">
        <v>5002</v>
      </c>
      <c r="E423" s="3" t="s">
        <v>5003</v>
      </c>
      <c r="F423" s="3" t="s">
        <v>120</v>
      </c>
      <c r="G423" s="3">
        <v>1</v>
      </c>
      <c r="H423" s="3">
        <v>0</v>
      </c>
      <c r="I423" s="3">
        <v>0</v>
      </c>
      <c r="J423" s="3">
        <v>1</v>
      </c>
      <c r="K423" s="3">
        <v>0</v>
      </c>
      <c r="L423" s="3">
        <v>0</v>
      </c>
      <c r="M423" s="3">
        <v>0</v>
      </c>
      <c r="N423" s="3" t="s">
        <v>5218</v>
      </c>
      <c r="O423" s="3">
        <v>0</v>
      </c>
      <c r="P423" s="3">
        <v>0</v>
      </c>
      <c r="Q423" s="3">
        <v>0</v>
      </c>
      <c r="R423" s="3">
        <v>0</v>
      </c>
      <c r="S423" s="3">
        <v>0</v>
      </c>
      <c r="T423" s="3">
        <v>2</v>
      </c>
      <c r="U423" s="3">
        <v>2</v>
      </c>
      <c r="V423" s="3">
        <v>2</v>
      </c>
      <c r="W423" s="3" t="s">
        <v>5219</v>
      </c>
      <c r="X423" s="3">
        <v>15</v>
      </c>
      <c r="Y423" s="3">
        <v>15</v>
      </c>
      <c r="Z423" s="3">
        <v>15</v>
      </c>
      <c r="AA423" s="3">
        <v>0</v>
      </c>
      <c r="AB423" s="3" t="s">
        <v>5220</v>
      </c>
      <c r="AC423" s="3">
        <v>1</v>
      </c>
      <c r="AD423" s="3">
        <v>15</v>
      </c>
      <c r="AE423" s="3">
        <v>0</v>
      </c>
      <c r="AF423" s="3">
        <v>0</v>
      </c>
      <c r="AG423" s="3">
        <v>0</v>
      </c>
      <c r="AH423" s="3">
        <v>0.8</v>
      </c>
      <c r="AI423" s="3" t="s">
        <v>5267</v>
      </c>
      <c r="AJ423" s="3" t="s">
        <v>5242</v>
      </c>
    </row>
    <row r="424" spans="1:36">
      <c r="A424" s="5">
        <v>43288</v>
      </c>
      <c r="B424" s="3" t="s">
        <v>3067</v>
      </c>
      <c r="C424" s="3" t="s">
        <v>3068</v>
      </c>
      <c r="D424" s="3" t="s">
        <v>3068</v>
      </c>
      <c r="E424" s="3" t="s">
        <v>2098</v>
      </c>
      <c r="F424" s="3" t="s">
        <v>120</v>
      </c>
      <c r="G424" s="3">
        <v>10</v>
      </c>
      <c r="H424" s="3">
        <v>0</v>
      </c>
      <c r="I424" s="3">
        <v>10</v>
      </c>
      <c r="J424" s="3">
        <v>0</v>
      </c>
      <c r="K424" s="3">
        <v>0</v>
      </c>
      <c r="L424" s="3">
        <v>0</v>
      </c>
      <c r="M424" s="3">
        <v>0</v>
      </c>
      <c r="N424" s="3" t="s">
        <v>5218</v>
      </c>
      <c r="O424" s="3">
        <v>0</v>
      </c>
      <c r="P424" s="3">
        <v>0</v>
      </c>
      <c r="Q424" s="3">
        <v>0</v>
      </c>
      <c r="R424" s="3">
        <v>0</v>
      </c>
      <c r="S424" s="3">
        <v>0</v>
      </c>
      <c r="T424" s="3">
        <v>0</v>
      </c>
      <c r="U424" s="3">
        <v>0</v>
      </c>
      <c r="V424" s="3">
        <v>0</v>
      </c>
      <c r="W424" s="3" t="s">
        <v>5219</v>
      </c>
      <c r="X424" s="3">
        <v>39.98</v>
      </c>
      <c r="Y424" s="3">
        <v>39.98</v>
      </c>
      <c r="Z424" s="3">
        <v>39.98</v>
      </c>
      <c r="AA424" s="3">
        <v>0</v>
      </c>
      <c r="AB424" s="3" t="s">
        <v>5234</v>
      </c>
      <c r="AC424" s="3">
        <v>10</v>
      </c>
      <c r="AD424" s="3">
        <v>39.98</v>
      </c>
      <c r="AE424" s="3">
        <v>0</v>
      </c>
      <c r="AF424" s="3">
        <v>0</v>
      </c>
      <c r="AG424" s="3">
        <v>0</v>
      </c>
      <c r="AH424" s="3">
        <v>0</v>
      </c>
      <c r="AI424" s="3" t="s">
        <v>5235</v>
      </c>
      <c r="AJ424" s="3" t="s">
        <v>5222</v>
      </c>
    </row>
    <row r="425" spans="1:36">
      <c r="A425" s="5">
        <v>43288</v>
      </c>
      <c r="B425" s="3" t="s">
        <v>4574</v>
      </c>
      <c r="C425" s="3" t="s">
        <v>4019</v>
      </c>
      <c r="D425" s="3" t="s">
        <v>4019</v>
      </c>
      <c r="E425" s="3" t="s">
        <v>4020</v>
      </c>
      <c r="F425" s="3" t="s">
        <v>120</v>
      </c>
      <c r="G425" s="3">
        <v>2</v>
      </c>
      <c r="H425" s="3">
        <v>0</v>
      </c>
      <c r="I425" s="3">
        <v>2</v>
      </c>
      <c r="J425" s="3">
        <v>0</v>
      </c>
      <c r="K425" s="3">
        <v>0</v>
      </c>
      <c r="L425" s="3">
        <v>0</v>
      </c>
      <c r="M425" s="3">
        <v>0</v>
      </c>
      <c r="N425" s="3" t="s">
        <v>5218</v>
      </c>
      <c r="O425" s="3">
        <v>0</v>
      </c>
      <c r="P425" s="3">
        <v>0</v>
      </c>
      <c r="Q425" s="3">
        <v>0</v>
      </c>
      <c r="R425" s="3">
        <v>0</v>
      </c>
      <c r="S425" s="3">
        <v>0</v>
      </c>
      <c r="T425" s="3">
        <v>3</v>
      </c>
      <c r="U425" s="3">
        <v>6</v>
      </c>
      <c r="V425" s="3">
        <v>9</v>
      </c>
      <c r="W425" s="3"/>
      <c r="X425" s="3"/>
      <c r="Y425" s="3"/>
      <c r="Z425" s="3">
        <v>20.98</v>
      </c>
      <c r="AA425" s="3">
        <v>-1</v>
      </c>
      <c r="AB425" s="3" t="s">
        <v>5244</v>
      </c>
      <c r="AC425" s="3">
        <v>0</v>
      </c>
      <c r="AD425" s="3">
        <v>0</v>
      </c>
      <c r="AE425" s="3">
        <v>0</v>
      </c>
      <c r="AF425" s="3">
        <v>0</v>
      </c>
      <c r="AG425" s="3">
        <v>0</v>
      </c>
      <c r="AH425" s="3">
        <v>1.71428571428571</v>
      </c>
      <c r="AI425" s="3" t="s">
        <v>5226</v>
      </c>
      <c r="AJ425" s="3" t="s">
        <v>5222</v>
      </c>
    </row>
    <row r="426" spans="1:36">
      <c r="A426" s="5">
        <v>43288</v>
      </c>
      <c r="B426" s="3" t="s">
        <v>1993</v>
      </c>
      <c r="C426" s="3" t="s">
        <v>160</v>
      </c>
      <c r="D426" s="3" t="s">
        <v>160</v>
      </c>
      <c r="E426" s="3" t="s">
        <v>1994</v>
      </c>
      <c r="F426" s="3" t="s">
        <v>120</v>
      </c>
      <c r="G426" s="3">
        <v>45</v>
      </c>
      <c r="H426" s="3">
        <v>0</v>
      </c>
      <c r="I426" s="3">
        <v>2</v>
      </c>
      <c r="J426" s="3">
        <v>1</v>
      </c>
      <c r="K426" s="3">
        <v>42</v>
      </c>
      <c r="L426" s="3">
        <v>0</v>
      </c>
      <c r="M426" s="3">
        <v>0</v>
      </c>
      <c r="N426" s="3" t="s">
        <v>5218</v>
      </c>
      <c r="O426" s="3">
        <v>43</v>
      </c>
      <c r="P426" s="3">
        <v>45.43</v>
      </c>
      <c r="Q426" s="3">
        <v>0</v>
      </c>
      <c r="R426" s="3">
        <v>0</v>
      </c>
      <c r="S426" s="3">
        <v>0</v>
      </c>
      <c r="T426" s="3">
        <v>2</v>
      </c>
      <c r="U426" s="3">
        <v>8</v>
      </c>
      <c r="V426" s="3">
        <v>10</v>
      </c>
      <c r="W426" s="3" t="s">
        <v>5227</v>
      </c>
      <c r="X426" s="3">
        <v>39.98</v>
      </c>
      <c r="Y426" s="3">
        <v>39.98</v>
      </c>
      <c r="Z426" s="3">
        <v>39.98</v>
      </c>
      <c r="AA426" s="3">
        <v>0</v>
      </c>
      <c r="AB426" s="3" t="s">
        <v>5228</v>
      </c>
      <c r="AC426" s="3">
        <v>41</v>
      </c>
      <c r="AD426" s="3">
        <v>37.13</v>
      </c>
      <c r="AE426" s="3">
        <v>35</v>
      </c>
      <c r="AF426" s="3">
        <v>0</v>
      </c>
      <c r="AG426" s="3">
        <v>1.360581</v>
      </c>
      <c r="AH426" s="3">
        <v>0.202020202020202</v>
      </c>
      <c r="AI426" s="3" t="s">
        <v>5386</v>
      </c>
      <c r="AJ426" s="3" t="s">
        <v>5222</v>
      </c>
    </row>
    <row r="427" spans="1:36">
      <c r="A427" s="5">
        <v>43288</v>
      </c>
      <c r="B427" s="3" t="s">
        <v>1256</v>
      </c>
      <c r="C427" s="3" t="s">
        <v>1257</v>
      </c>
      <c r="D427" s="3" t="s">
        <v>542</v>
      </c>
      <c r="E427" s="3" t="s">
        <v>790</v>
      </c>
      <c r="F427" s="3" t="s">
        <v>120</v>
      </c>
      <c r="G427" s="3">
        <v>19</v>
      </c>
      <c r="H427" s="3">
        <v>0</v>
      </c>
      <c r="I427" s="3">
        <v>19</v>
      </c>
      <c r="J427" s="3">
        <v>0</v>
      </c>
      <c r="K427" s="3">
        <v>0</v>
      </c>
      <c r="L427" s="3">
        <v>0</v>
      </c>
      <c r="M427" s="3">
        <v>0</v>
      </c>
      <c r="N427" s="3" t="s">
        <v>5218</v>
      </c>
      <c r="O427" s="3">
        <v>0</v>
      </c>
      <c r="P427" s="3">
        <v>0</v>
      </c>
      <c r="Q427" s="3">
        <v>0</v>
      </c>
      <c r="R427" s="3">
        <v>0</v>
      </c>
      <c r="S427" s="3">
        <v>0</v>
      </c>
      <c r="T427" s="3">
        <v>1</v>
      </c>
      <c r="U427" s="3">
        <v>1</v>
      </c>
      <c r="V427" s="3">
        <v>1</v>
      </c>
      <c r="W427" s="3" t="s">
        <v>5227</v>
      </c>
      <c r="X427" s="3">
        <v>22.98</v>
      </c>
      <c r="Y427" s="3">
        <v>22.98</v>
      </c>
      <c r="Z427" s="3">
        <v>22.98</v>
      </c>
      <c r="AA427" s="3">
        <v>0</v>
      </c>
      <c r="AB427" s="3" t="s">
        <v>5223</v>
      </c>
      <c r="AC427" s="3">
        <v>19</v>
      </c>
      <c r="AD427" s="3">
        <v>22.98</v>
      </c>
      <c r="AE427" s="3">
        <v>0</v>
      </c>
      <c r="AF427" s="3">
        <v>0</v>
      </c>
      <c r="AG427" s="3">
        <v>0</v>
      </c>
      <c r="AH427" s="3">
        <v>0.818181818181818</v>
      </c>
      <c r="AI427" s="3" t="s">
        <v>5225</v>
      </c>
      <c r="AJ427" s="3" t="s">
        <v>5222</v>
      </c>
    </row>
    <row r="428" spans="1:36">
      <c r="A428" s="5">
        <v>43288</v>
      </c>
      <c r="B428" s="3" t="s">
        <v>2289</v>
      </c>
      <c r="C428" s="3" t="s">
        <v>2290</v>
      </c>
      <c r="D428" s="3" t="s">
        <v>2290</v>
      </c>
      <c r="E428" s="3" t="s">
        <v>2291</v>
      </c>
      <c r="F428" s="3" t="s">
        <v>120</v>
      </c>
      <c r="G428" s="3">
        <v>19</v>
      </c>
      <c r="H428" s="3">
        <v>0</v>
      </c>
      <c r="I428" s="3">
        <v>19</v>
      </c>
      <c r="J428" s="3">
        <v>0</v>
      </c>
      <c r="K428" s="3">
        <v>0</v>
      </c>
      <c r="L428" s="3">
        <v>0</v>
      </c>
      <c r="M428" s="3">
        <v>0</v>
      </c>
      <c r="N428" s="3" t="s">
        <v>5218</v>
      </c>
      <c r="O428" s="3">
        <v>0</v>
      </c>
      <c r="P428" s="3">
        <v>0</v>
      </c>
      <c r="Q428" s="3">
        <v>0</v>
      </c>
      <c r="R428" s="3">
        <v>0</v>
      </c>
      <c r="S428" s="3">
        <v>0</v>
      </c>
      <c r="T428" s="3">
        <v>1</v>
      </c>
      <c r="U428" s="3">
        <v>3</v>
      </c>
      <c r="V428" s="3">
        <v>4</v>
      </c>
      <c r="W428" s="3"/>
      <c r="X428" s="3">
        <v>22.98</v>
      </c>
      <c r="Y428" s="3">
        <v>22.98</v>
      </c>
      <c r="Z428" s="3">
        <v>22.98</v>
      </c>
      <c r="AA428" s="3">
        <v>0</v>
      </c>
      <c r="AB428" s="3" t="s">
        <v>5223</v>
      </c>
      <c r="AC428" s="3">
        <v>19</v>
      </c>
      <c r="AD428" s="3">
        <v>22.98</v>
      </c>
      <c r="AE428" s="3">
        <v>0</v>
      </c>
      <c r="AF428" s="3">
        <v>0</v>
      </c>
      <c r="AG428" s="3">
        <v>0</v>
      </c>
      <c r="AH428" s="3">
        <v>0.258064516129032</v>
      </c>
      <c r="AI428" s="3" t="s">
        <v>5233</v>
      </c>
      <c r="AJ428" s="3" t="s">
        <v>5222</v>
      </c>
    </row>
    <row r="429" spans="1:36">
      <c r="A429" s="5">
        <v>43288</v>
      </c>
      <c r="B429" s="3" t="s">
        <v>2147</v>
      </c>
      <c r="C429" s="3" t="s">
        <v>2148</v>
      </c>
      <c r="D429" s="3" t="s">
        <v>2148</v>
      </c>
      <c r="E429" s="3" t="s">
        <v>2149</v>
      </c>
      <c r="F429" s="3" t="s">
        <v>120</v>
      </c>
      <c r="G429" s="3">
        <v>15</v>
      </c>
      <c r="H429" s="3">
        <v>0</v>
      </c>
      <c r="I429" s="3">
        <v>4</v>
      </c>
      <c r="J429" s="3">
        <v>11</v>
      </c>
      <c r="K429" s="3">
        <v>0</v>
      </c>
      <c r="L429" s="3">
        <v>0</v>
      </c>
      <c r="M429" s="3">
        <v>0</v>
      </c>
      <c r="N429" s="3" t="s">
        <v>5218</v>
      </c>
      <c r="O429" s="3">
        <v>0</v>
      </c>
      <c r="P429" s="3">
        <v>0</v>
      </c>
      <c r="Q429" s="3">
        <v>0</v>
      </c>
      <c r="R429" s="3">
        <v>0</v>
      </c>
      <c r="S429" s="3">
        <v>0</v>
      </c>
      <c r="T429" s="3">
        <v>0</v>
      </c>
      <c r="U429" s="3">
        <v>3</v>
      </c>
      <c r="V429" s="3">
        <v>6</v>
      </c>
      <c r="W429" s="3" t="s">
        <v>5227</v>
      </c>
      <c r="X429" s="3">
        <v>22.98</v>
      </c>
      <c r="Y429" s="3">
        <v>22.98</v>
      </c>
      <c r="Z429" s="3">
        <v>22</v>
      </c>
      <c r="AA429" s="3">
        <v>0</v>
      </c>
      <c r="AB429" s="3" t="s">
        <v>5228</v>
      </c>
      <c r="AC429" s="3">
        <v>0</v>
      </c>
      <c r="AD429" s="3">
        <v>19.87</v>
      </c>
      <c r="AE429" s="3">
        <v>266</v>
      </c>
      <c r="AF429" s="3">
        <v>0</v>
      </c>
      <c r="AG429" s="3">
        <v>368.813987</v>
      </c>
      <c r="AH429" s="3">
        <v>0.387096774193548</v>
      </c>
      <c r="AI429" s="3" t="s">
        <v>5260</v>
      </c>
      <c r="AJ429" s="3" t="s">
        <v>5222</v>
      </c>
    </row>
    <row r="430" spans="1:36">
      <c r="A430" s="5">
        <v>43288</v>
      </c>
      <c r="B430" s="3" t="s">
        <v>746</v>
      </c>
      <c r="C430" s="3" t="s">
        <v>747</v>
      </c>
      <c r="D430" s="3" t="s">
        <v>668</v>
      </c>
      <c r="E430" s="3" t="s">
        <v>669</v>
      </c>
      <c r="F430" s="3" t="s">
        <v>120</v>
      </c>
      <c r="G430" s="3">
        <v>6</v>
      </c>
      <c r="H430" s="3">
        <v>0</v>
      </c>
      <c r="I430" s="3">
        <v>6</v>
      </c>
      <c r="J430" s="3">
        <v>0</v>
      </c>
      <c r="K430" s="3">
        <v>0</v>
      </c>
      <c r="L430" s="3">
        <v>0</v>
      </c>
      <c r="M430" s="3">
        <v>0</v>
      </c>
      <c r="N430" s="3" t="s">
        <v>5218</v>
      </c>
      <c r="O430" s="3">
        <v>0</v>
      </c>
      <c r="P430" s="3">
        <v>0</v>
      </c>
      <c r="Q430" s="3">
        <v>0</v>
      </c>
      <c r="R430" s="3">
        <v>0</v>
      </c>
      <c r="S430" s="3">
        <v>0</v>
      </c>
      <c r="T430" s="3">
        <v>0</v>
      </c>
      <c r="U430" s="3">
        <v>0</v>
      </c>
      <c r="V430" s="3">
        <v>0</v>
      </c>
      <c r="W430" s="3" t="s">
        <v>5227</v>
      </c>
      <c r="X430" s="3">
        <v>24.98</v>
      </c>
      <c r="Y430" s="3">
        <v>24.98</v>
      </c>
      <c r="Z430" s="3">
        <v>24.98</v>
      </c>
      <c r="AA430" s="3">
        <v>0</v>
      </c>
      <c r="AB430" s="3" t="s">
        <v>5223</v>
      </c>
      <c r="AC430" s="3">
        <v>0</v>
      </c>
      <c r="AD430" s="3">
        <v>0</v>
      </c>
      <c r="AE430" s="3">
        <v>0</v>
      </c>
      <c r="AF430" s="3">
        <v>0</v>
      </c>
      <c r="AG430" s="3">
        <v>0</v>
      </c>
      <c r="AH430" s="3">
        <v>3.5</v>
      </c>
      <c r="AI430" s="3" t="s">
        <v>5250</v>
      </c>
      <c r="AJ430" s="3" t="s">
        <v>5222</v>
      </c>
    </row>
    <row r="431" spans="1:36">
      <c r="A431" s="5">
        <v>43288</v>
      </c>
      <c r="B431" s="3" t="s">
        <v>4403</v>
      </c>
      <c r="C431" s="3" t="s">
        <v>3466</v>
      </c>
      <c r="D431" s="3" t="s">
        <v>3466</v>
      </c>
      <c r="E431" s="3" t="s">
        <v>3467</v>
      </c>
      <c r="F431" s="3" t="s">
        <v>120</v>
      </c>
      <c r="G431" s="3">
        <v>2</v>
      </c>
      <c r="H431" s="3">
        <v>0</v>
      </c>
      <c r="I431" s="3">
        <v>0</v>
      </c>
      <c r="J431" s="3">
        <v>0</v>
      </c>
      <c r="K431" s="3">
        <v>2</v>
      </c>
      <c r="L431" s="3">
        <v>0</v>
      </c>
      <c r="M431" s="3">
        <v>0</v>
      </c>
      <c r="N431" s="3" t="s">
        <v>5218</v>
      </c>
      <c r="O431" s="3">
        <v>2</v>
      </c>
      <c r="P431" s="3">
        <v>3.09</v>
      </c>
      <c r="Q431" s="3">
        <v>0</v>
      </c>
      <c r="R431" s="3">
        <v>0</v>
      </c>
      <c r="S431" s="3">
        <v>0</v>
      </c>
      <c r="T431" s="3">
        <v>0</v>
      </c>
      <c r="U431" s="3">
        <v>1</v>
      </c>
      <c r="V431" s="3">
        <v>3</v>
      </c>
      <c r="W431" s="3" t="s">
        <v>5227</v>
      </c>
      <c r="X431" s="3">
        <v>24.98</v>
      </c>
      <c r="Y431" s="3">
        <v>24.98</v>
      </c>
      <c r="Z431" s="3">
        <v>24.98</v>
      </c>
      <c r="AA431" s="3">
        <v>0</v>
      </c>
      <c r="AB431" s="3" t="s">
        <v>5228</v>
      </c>
      <c r="AC431" s="3">
        <v>0</v>
      </c>
      <c r="AD431" s="3">
        <v>23.45</v>
      </c>
      <c r="AE431" s="3">
        <v>35</v>
      </c>
      <c r="AF431" s="3">
        <v>0</v>
      </c>
      <c r="AG431" s="3">
        <v>59.686129</v>
      </c>
      <c r="AH431" s="3">
        <v>1</v>
      </c>
      <c r="AI431" s="3" t="s">
        <v>5262</v>
      </c>
      <c r="AJ431" s="3" t="s">
        <v>5222</v>
      </c>
    </row>
    <row r="432" spans="1:36">
      <c r="A432" s="5">
        <v>43288</v>
      </c>
      <c r="B432" s="3" t="s">
        <v>3012</v>
      </c>
      <c r="C432" s="3" t="s">
        <v>3013</v>
      </c>
      <c r="D432" s="3" t="s">
        <v>3013</v>
      </c>
      <c r="E432" s="3" t="s">
        <v>3014</v>
      </c>
      <c r="F432" s="3" t="s">
        <v>120</v>
      </c>
      <c r="G432" s="3">
        <v>10</v>
      </c>
      <c r="H432" s="3">
        <v>0</v>
      </c>
      <c r="I432" s="3">
        <v>10</v>
      </c>
      <c r="J432" s="3">
        <v>0</v>
      </c>
      <c r="K432" s="3">
        <v>0</v>
      </c>
      <c r="L432" s="3">
        <v>0</v>
      </c>
      <c r="M432" s="3">
        <v>0</v>
      </c>
      <c r="N432" s="3" t="s">
        <v>5218</v>
      </c>
      <c r="O432" s="3">
        <v>0</v>
      </c>
      <c r="P432" s="3">
        <v>0</v>
      </c>
      <c r="Q432" s="3">
        <v>0</v>
      </c>
      <c r="R432" s="3">
        <v>0</v>
      </c>
      <c r="S432" s="3">
        <v>0</v>
      </c>
      <c r="T432" s="3">
        <v>0</v>
      </c>
      <c r="U432" s="3">
        <v>0</v>
      </c>
      <c r="V432" s="3">
        <v>0</v>
      </c>
      <c r="W432" s="3" t="s">
        <v>5219</v>
      </c>
      <c r="X432" s="3">
        <v>39.98</v>
      </c>
      <c r="Y432" s="3">
        <v>39.98</v>
      </c>
      <c r="Z432" s="3">
        <v>39.98</v>
      </c>
      <c r="AA432" s="3">
        <v>0</v>
      </c>
      <c r="AB432" s="3" t="s">
        <v>5220</v>
      </c>
      <c r="AC432" s="3">
        <v>10</v>
      </c>
      <c r="AD432" s="3">
        <v>39.98</v>
      </c>
      <c r="AE432" s="3">
        <v>0</v>
      </c>
      <c r="AF432" s="3">
        <v>0</v>
      </c>
      <c r="AG432" s="3">
        <v>0</v>
      </c>
      <c r="AH432" s="3">
        <v>0</v>
      </c>
      <c r="AI432" s="3" t="s">
        <v>5387</v>
      </c>
      <c r="AJ432" s="3" t="s">
        <v>5222</v>
      </c>
    </row>
    <row r="433" spans="1:36">
      <c r="A433" s="5">
        <v>43288</v>
      </c>
      <c r="B433" s="3" t="s">
        <v>1601</v>
      </c>
      <c r="C433" s="3" t="s">
        <v>1602</v>
      </c>
      <c r="D433" s="3" t="s">
        <v>1602</v>
      </c>
      <c r="E433" s="3" t="s">
        <v>1603</v>
      </c>
      <c r="F433" s="3" t="s">
        <v>120</v>
      </c>
      <c r="G433" s="3">
        <v>1</v>
      </c>
      <c r="H433" s="3">
        <v>0</v>
      </c>
      <c r="I433" s="3">
        <v>1</v>
      </c>
      <c r="J433" s="3">
        <v>0</v>
      </c>
      <c r="K433" s="3">
        <v>0</v>
      </c>
      <c r="L433" s="3">
        <v>0</v>
      </c>
      <c r="M433" s="3">
        <v>0</v>
      </c>
      <c r="N433" s="3" t="s">
        <v>5218</v>
      </c>
      <c r="O433" s="3">
        <v>0</v>
      </c>
      <c r="P433" s="3">
        <v>0</v>
      </c>
      <c r="Q433" s="3">
        <v>0</v>
      </c>
      <c r="R433" s="3">
        <v>0</v>
      </c>
      <c r="S433" s="3">
        <v>0</v>
      </c>
      <c r="T433" s="3">
        <v>0</v>
      </c>
      <c r="U433" s="3">
        <v>4</v>
      </c>
      <c r="V433" s="3">
        <v>21</v>
      </c>
      <c r="W433" s="3" t="s">
        <v>5227</v>
      </c>
      <c r="X433" s="3">
        <v>22.98</v>
      </c>
      <c r="Y433" s="3">
        <v>22.98</v>
      </c>
      <c r="Z433" s="3">
        <v>19.98</v>
      </c>
      <c r="AA433" s="3">
        <v>0</v>
      </c>
      <c r="AB433" s="3" t="s">
        <v>5223</v>
      </c>
      <c r="AC433" s="3">
        <v>1</v>
      </c>
      <c r="AD433" s="3">
        <v>22.98</v>
      </c>
      <c r="AE433" s="3">
        <v>0</v>
      </c>
      <c r="AF433" s="3">
        <v>0</v>
      </c>
      <c r="AG433" s="3">
        <v>0</v>
      </c>
      <c r="AH433" s="3">
        <v>3.65217391304347</v>
      </c>
      <c r="AI433" s="3" t="s">
        <v>5388</v>
      </c>
      <c r="AJ433" s="3" t="s">
        <v>5222</v>
      </c>
    </row>
    <row r="434" spans="1:36">
      <c r="A434" s="5">
        <v>43288</v>
      </c>
      <c r="B434" s="3" t="s">
        <v>1034</v>
      </c>
      <c r="C434" s="3" t="s">
        <v>1035</v>
      </c>
      <c r="D434" s="3" t="s">
        <v>1036</v>
      </c>
      <c r="E434" s="3" t="s">
        <v>1037</v>
      </c>
      <c r="F434" s="3" t="s">
        <v>120</v>
      </c>
      <c r="G434" s="3">
        <v>20</v>
      </c>
      <c r="H434" s="3">
        <v>0</v>
      </c>
      <c r="I434" s="3">
        <v>20</v>
      </c>
      <c r="J434" s="3">
        <v>0</v>
      </c>
      <c r="K434" s="3">
        <v>0</v>
      </c>
      <c r="L434" s="3">
        <v>0</v>
      </c>
      <c r="M434" s="3">
        <v>0</v>
      </c>
      <c r="N434" s="3" t="s">
        <v>5218</v>
      </c>
      <c r="O434" s="3">
        <v>0</v>
      </c>
      <c r="P434" s="3">
        <v>0</v>
      </c>
      <c r="Q434" s="3">
        <v>0</v>
      </c>
      <c r="R434" s="3">
        <v>0</v>
      </c>
      <c r="S434" s="3">
        <v>0</v>
      </c>
      <c r="T434" s="3">
        <v>0</v>
      </c>
      <c r="U434" s="3">
        <v>0</v>
      </c>
      <c r="V434" s="3">
        <v>0</v>
      </c>
      <c r="W434" s="3" t="s">
        <v>5219</v>
      </c>
      <c r="X434" s="3">
        <v>22.98</v>
      </c>
      <c r="Y434" s="3">
        <v>22.98</v>
      </c>
      <c r="Z434" s="3">
        <v>22.98</v>
      </c>
      <c r="AA434" s="3">
        <v>0</v>
      </c>
      <c r="AB434" s="3" t="s">
        <v>5220</v>
      </c>
      <c r="AC434" s="3">
        <v>0</v>
      </c>
      <c r="AD434" s="3">
        <v>18.38</v>
      </c>
      <c r="AE434" s="3">
        <v>63</v>
      </c>
      <c r="AF434" s="3">
        <v>0</v>
      </c>
      <c r="AG434" s="3">
        <v>193.854878</v>
      </c>
      <c r="AH434" s="3">
        <v>0</v>
      </c>
      <c r="AI434" s="3" t="s">
        <v>5389</v>
      </c>
      <c r="AJ434" s="3" t="s">
        <v>5222</v>
      </c>
    </row>
    <row r="435" spans="1:36">
      <c r="A435" s="5">
        <v>43288</v>
      </c>
      <c r="B435" s="3" t="s">
        <v>2620</v>
      </c>
      <c r="C435" s="3" t="s">
        <v>1166</v>
      </c>
      <c r="D435" s="3" t="s">
        <v>1166</v>
      </c>
      <c r="E435" s="3" t="s">
        <v>1167</v>
      </c>
      <c r="F435" s="3" t="s">
        <v>120</v>
      </c>
      <c r="G435" s="3">
        <v>33</v>
      </c>
      <c r="H435" s="3">
        <v>0</v>
      </c>
      <c r="I435" s="3">
        <v>33</v>
      </c>
      <c r="J435" s="3">
        <v>0</v>
      </c>
      <c r="K435" s="3">
        <v>0</v>
      </c>
      <c r="L435" s="3">
        <v>0</v>
      </c>
      <c r="M435" s="3">
        <v>0</v>
      </c>
      <c r="N435" s="3" t="s">
        <v>5218</v>
      </c>
      <c r="O435" s="3">
        <v>0</v>
      </c>
      <c r="P435" s="3">
        <v>0</v>
      </c>
      <c r="Q435" s="3">
        <v>0</v>
      </c>
      <c r="R435" s="3">
        <v>0</v>
      </c>
      <c r="S435" s="3">
        <v>1</v>
      </c>
      <c r="T435" s="3">
        <v>12</v>
      </c>
      <c r="U435" s="3">
        <v>26</v>
      </c>
      <c r="V435" s="3">
        <v>37</v>
      </c>
      <c r="W435" s="3"/>
      <c r="X435" s="3">
        <v>22.98</v>
      </c>
      <c r="Y435" s="3">
        <v>22.98</v>
      </c>
      <c r="Z435" s="3">
        <v>22.98</v>
      </c>
      <c r="AA435" s="3">
        <v>0</v>
      </c>
      <c r="AB435" s="3" t="s">
        <v>5223</v>
      </c>
      <c r="AC435" s="3">
        <v>34</v>
      </c>
      <c r="AD435" s="3">
        <v>22.98</v>
      </c>
      <c r="AE435" s="3">
        <v>0</v>
      </c>
      <c r="AF435" s="3">
        <v>0</v>
      </c>
      <c r="AG435" s="3">
        <v>0</v>
      </c>
      <c r="AH435" s="3">
        <v>1.76190476190476</v>
      </c>
      <c r="AI435" s="3" t="s">
        <v>5238</v>
      </c>
      <c r="AJ435" s="3" t="s">
        <v>5222</v>
      </c>
    </row>
    <row r="436" spans="1:36">
      <c r="A436" s="5">
        <v>43288</v>
      </c>
      <c r="B436" s="3" t="s">
        <v>2165</v>
      </c>
      <c r="C436" s="3" t="s">
        <v>2166</v>
      </c>
      <c r="D436" s="3" t="s">
        <v>2166</v>
      </c>
      <c r="E436" s="3" t="s">
        <v>2167</v>
      </c>
      <c r="F436" s="3" t="s">
        <v>120</v>
      </c>
      <c r="G436" s="3">
        <v>17</v>
      </c>
      <c r="H436" s="3">
        <v>0</v>
      </c>
      <c r="I436" s="3">
        <v>0</v>
      </c>
      <c r="J436" s="3">
        <v>17</v>
      </c>
      <c r="K436" s="3">
        <v>0</v>
      </c>
      <c r="L436" s="3">
        <v>0</v>
      </c>
      <c r="M436" s="3">
        <v>0</v>
      </c>
      <c r="N436" s="3" t="s">
        <v>5218</v>
      </c>
      <c r="O436" s="3">
        <v>5</v>
      </c>
      <c r="P436" s="3">
        <v>7.76</v>
      </c>
      <c r="Q436" s="3">
        <v>0</v>
      </c>
      <c r="R436" s="3">
        <v>0</v>
      </c>
      <c r="S436" s="3">
        <v>0</v>
      </c>
      <c r="T436" s="3">
        <v>1</v>
      </c>
      <c r="U436" s="3">
        <v>3</v>
      </c>
      <c r="V436" s="3">
        <v>6</v>
      </c>
      <c r="W436" s="3"/>
      <c r="X436" s="3">
        <v>22.98</v>
      </c>
      <c r="Y436" s="3">
        <v>22.98</v>
      </c>
      <c r="Z436" s="3">
        <v>22</v>
      </c>
      <c r="AA436" s="3">
        <v>0</v>
      </c>
      <c r="AB436" s="3" t="s">
        <v>5223</v>
      </c>
      <c r="AC436" s="3">
        <v>17</v>
      </c>
      <c r="AD436" s="3">
        <v>22.98</v>
      </c>
      <c r="AE436" s="3">
        <v>0</v>
      </c>
      <c r="AF436" s="3">
        <v>0</v>
      </c>
      <c r="AG436" s="3">
        <v>0</v>
      </c>
      <c r="AH436" s="3">
        <v>0.307692307692307</v>
      </c>
      <c r="AI436" s="3" t="s">
        <v>5260</v>
      </c>
      <c r="AJ436" s="3" t="s">
        <v>5222</v>
      </c>
    </row>
    <row r="437" spans="1:36">
      <c r="A437" s="5">
        <v>43288</v>
      </c>
      <c r="B437" s="3" t="s">
        <v>504</v>
      </c>
      <c r="C437" s="3" t="s">
        <v>354</v>
      </c>
      <c r="D437" s="3" t="s">
        <v>354</v>
      </c>
      <c r="E437" s="3" t="s">
        <v>480</v>
      </c>
      <c r="F437" s="3" t="s">
        <v>120</v>
      </c>
      <c r="G437" s="3">
        <v>10</v>
      </c>
      <c r="H437" s="3">
        <v>0</v>
      </c>
      <c r="I437" s="3">
        <v>2</v>
      </c>
      <c r="J437" s="3">
        <v>8</v>
      </c>
      <c r="K437" s="3">
        <v>0</v>
      </c>
      <c r="L437" s="3">
        <v>0</v>
      </c>
      <c r="M437" s="3">
        <v>0</v>
      </c>
      <c r="N437" s="3" t="s">
        <v>5218</v>
      </c>
      <c r="O437" s="3">
        <v>8</v>
      </c>
      <c r="P437" s="3">
        <v>5.49</v>
      </c>
      <c r="Q437" s="3">
        <v>0</v>
      </c>
      <c r="R437" s="3">
        <v>0</v>
      </c>
      <c r="S437" s="3">
        <v>0</v>
      </c>
      <c r="T437" s="3">
        <v>2</v>
      </c>
      <c r="U437" s="3">
        <v>4</v>
      </c>
      <c r="V437" s="3">
        <v>6</v>
      </c>
      <c r="W437" s="3"/>
      <c r="X437" s="3">
        <v>26.98</v>
      </c>
      <c r="Y437" s="3">
        <v>26.98</v>
      </c>
      <c r="Z437" s="3">
        <v>26.98</v>
      </c>
      <c r="AA437" s="3">
        <v>0</v>
      </c>
      <c r="AB437" s="3" t="s">
        <v>5223</v>
      </c>
      <c r="AC437" s="3">
        <v>10</v>
      </c>
      <c r="AD437" s="3">
        <v>26.98</v>
      </c>
      <c r="AE437" s="3">
        <v>0</v>
      </c>
      <c r="AF437" s="3">
        <v>0</v>
      </c>
      <c r="AG437" s="3">
        <v>0</v>
      </c>
      <c r="AH437" s="3">
        <v>0.5</v>
      </c>
      <c r="AI437" s="3" t="s">
        <v>5224</v>
      </c>
      <c r="AJ437" s="3" t="s">
        <v>5222</v>
      </c>
    </row>
    <row r="438" spans="1:36">
      <c r="A438" s="5">
        <v>43288</v>
      </c>
      <c r="B438" s="3" t="s">
        <v>1969</v>
      </c>
      <c r="C438" s="3" t="s">
        <v>136</v>
      </c>
      <c r="D438" s="3" t="s">
        <v>136</v>
      </c>
      <c r="E438" s="3" t="s">
        <v>1970</v>
      </c>
      <c r="F438" s="3" t="s">
        <v>120</v>
      </c>
      <c r="G438" s="3">
        <v>25</v>
      </c>
      <c r="H438" s="3">
        <v>0</v>
      </c>
      <c r="I438" s="3">
        <v>14</v>
      </c>
      <c r="J438" s="3">
        <v>4</v>
      </c>
      <c r="K438" s="3">
        <v>7</v>
      </c>
      <c r="L438" s="3">
        <v>0</v>
      </c>
      <c r="M438" s="3">
        <v>0</v>
      </c>
      <c r="N438" s="3" t="s">
        <v>5218</v>
      </c>
      <c r="O438" s="3">
        <v>10</v>
      </c>
      <c r="P438" s="3">
        <v>11.98</v>
      </c>
      <c r="Q438" s="3">
        <v>0</v>
      </c>
      <c r="R438" s="3">
        <v>0</v>
      </c>
      <c r="S438" s="3">
        <v>0</v>
      </c>
      <c r="T438" s="3">
        <v>3</v>
      </c>
      <c r="U438" s="3">
        <v>17</v>
      </c>
      <c r="V438" s="3">
        <v>27</v>
      </c>
      <c r="W438" s="3" t="s">
        <v>5227</v>
      </c>
      <c r="X438" s="3">
        <v>19.98</v>
      </c>
      <c r="Y438" s="3">
        <v>19.98</v>
      </c>
      <c r="Z438" s="3">
        <v>19.98</v>
      </c>
      <c r="AA438" s="3">
        <v>0</v>
      </c>
      <c r="AB438" s="3" t="s">
        <v>5223</v>
      </c>
      <c r="AC438" s="3">
        <v>24</v>
      </c>
      <c r="AD438" s="3">
        <v>23.98</v>
      </c>
      <c r="AE438" s="3">
        <v>0</v>
      </c>
      <c r="AF438" s="3">
        <v>0</v>
      </c>
      <c r="AG438" s="3">
        <v>0</v>
      </c>
      <c r="AH438" s="3">
        <v>0.84375</v>
      </c>
      <c r="AI438" s="3" t="s">
        <v>5390</v>
      </c>
      <c r="AJ438" s="3" t="s">
        <v>5222</v>
      </c>
    </row>
    <row r="439" spans="1:36">
      <c r="A439" s="5">
        <v>43288</v>
      </c>
      <c r="B439" s="3" t="s">
        <v>2867</v>
      </c>
      <c r="C439" s="3" t="s">
        <v>2868</v>
      </c>
      <c r="D439" s="3" t="s">
        <v>2868</v>
      </c>
      <c r="E439" s="3" t="s">
        <v>1779</v>
      </c>
      <c r="F439" s="3" t="s">
        <v>120</v>
      </c>
      <c r="G439" s="3">
        <v>9</v>
      </c>
      <c r="H439" s="3">
        <v>0</v>
      </c>
      <c r="I439" s="3">
        <v>0</v>
      </c>
      <c r="J439" s="3">
        <v>9</v>
      </c>
      <c r="K439" s="3">
        <v>0</v>
      </c>
      <c r="L439" s="3">
        <v>0</v>
      </c>
      <c r="M439" s="3">
        <v>0</v>
      </c>
      <c r="N439" s="3" t="s">
        <v>5218</v>
      </c>
      <c r="O439" s="3">
        <v>9</v>
      </c>
      <c r="P439" s="3">
        <v>16.7</v>
      </c>
      <c r="Q439" s="3">
        <v>0</v>
      </c>
      <c r="R439" s="3">
        <v>0</v>
      </c>
      <c r="S439" s="3">
        <v>0</v>
      </c>
      <c r="T439" s="3">
        <v>0</v>
      </c>
      <c r="U439" s="3">
        <v>0</v>
      </c>
      <c r="V439" s="3">
        <v>0</v>
      </c>
      <c r="W439" s="3"/>
      <c r="X439" s="3"/>
      <c r="Y439" s="3"/>
      <c r="Z439" s="3">
        <v>-1</v>
      </c>
      <c r="AA439" s="3">
        <v>-1</v>
      </c>
      <c r="AB439" s="3" t="s">
        <v>5244</v>
      </c>
      <c r="AC439" s="3">
        <v>0</v>
      </c>
      <c r="AD439" s="3">
        <v>0</v>
      </c>
      <c r="AE439" s="3">
        <v>0</v>
      </c>
      <c r="AF439" s="3">
        <v>0</v>
      </c>
      <c r="AG439" s="3">
        <v>0</v>
      </c>
      <c r="AH439" s="3">
        <v>0</v>
      </c>
      <c r="AI439" s="3" t="s">
        <v>5254</v>
      </c>
      <c r="AJ439" s="3" t="s">
        <v>5222</v>
      </c>
    </row>
    <row r="440" spans="1:36">
      <c r="A440" s="5">
        <v>43288</v>
      </c>
      <c r="B440" s="3" t="s">
        <v>255</v>
      </c>
      <c r="C440" s="3" t="s">
        <v>256</v>
      </c>
      <c r="D440" s="3" t="s">
        <v>256</v>
      </c>
      <c r="E440" s="3" t="s">
        <v>257</v>
      </c>
      <c r="F440" s="3" t="s">
        <v>120</v>
      </c>
      <c r="G440" s="3">
        <v>1</v>
      </c>
      <c r="H440" s="3">
        <v>0</v>
      </c>
      <c r="I440" s="3">
        <v>1</v>
      </c>
      <c r="J440" s="3">
        <v>0</v>
      </c>
      <c r="K440" s="3">
        <v>0</v>
      </c>
      <c r="L440" s="3">
        <v>0</v>
      </c>
      <c r="M440" s="3">
        <v>0</v>
      </c>
      <c r="N440" s="3" t="s">
        <v>5218</v>
      </c>
      <c r="O440" s="3">
        <v>0</v>
      </c>
      <c r="P440" s="3">
        <v>0</v>
      </c>
      <c r="Q440" s="3">
        <v>0</v>
      </c>
      <c r="R440" s="3">
        <v>0</v>
      </c>
      <c r="S440" s="3">
        <v>0</v>
      </c>
      <c r="T440" s="3">
        <v>0</v>
      </c>
      <c r="U440" s="3">
        <v>1</v>
      </c>
      <c r="V440" s="3">
        <v>4</v>
      </c>
      <c r="W440" s="3" t="s">
        <v>5219</v>
      </c>
      <c r="X440" s="3">
        <v>65.98</v>
      </c>
      <c r="Y440" s="3">
        <v>65.98</v>
      </c>
      <c r="Z440" s="3">
        <v>65.98</v>
      </c>
      <c r="AA440" s="3">
        <v>0</v>
      </c>
      <c r="AB440" s="3" t="s">
        <v>5220</v>
      </c>
      <c r="AC440" s="3">
        <v>1</v>
      </c>
      <c r="AD440" s="3">
        <v>65.98</v>
      </c>
      <c r="AE440" s="3">
        <v>0</v>
      </c>
      <c r="AF440" s="3">
        <v>0</v>
      </c>
      <c r="AG440" s="3">
        <v>0</v>
      </c>
      <c r="AH440" s="3">
        <v>2.66666666666666</v>
      </c>
      <c r="AI440" s="3" t="s">
        <v>5391</v>
      </c>
      <c r="AJ440" s="3" t="s">
        <v>5222</v>
      </c>
    </row>
    <row r="441" spans="1:36">
      <c r="A441" s="5">
        <v>43288</v>
      </c>
      <c r="B441" s="3" t="s">
        <v>2586</v>
      </c>
      <c r="C441" s="3" t="s">
        <v>1064</v>
      </c>
      <c r="D441" s="3" t="s">
        <v>1064</v>
      </c>
      <c r="E441" s="3" t="s">
        <v>1065</v>
      </c>
      <c r="F441" s="3" t="s">
        <v>120</v>
      </c>
      <c r="G441" s="3">
        <v>3</v>
      </c>
      <c r="H441" s="3">
        <v>0</v>
      </c>
      <c r="I441" s="3">
        <v>3</v>
      </c>
      <c r="J441" s="3">
        <v>0</v>
      </c>
      <c r="K441" s="3">
        <v>0</v>
      </c>
      <c r="L441" s="3">
        <v>0</v>
      </c>
      <c r="M441" s="3">
        <v>0</v>
      </c>
      <c r="N441" s="3" t="s">
        <v>5218</v>
      </c>
      <c r="O441" s="3">
        <v>0</v>
      </c>
      <c r="P441" s="3">
        <v>0</v>
      </c>
      <c r="Q441" s="3">
        <v>0</v>
      </c>
      <c r="R441" s="3">
        <v>0</v>
      </c>
      <c r="S441" s="3">
        <v>3</v>
      </c>
      <c r="T441" s="3">
        <v>8</v>
      </c>
      <c r="U441" s="3">
        <v>27</v>
      </c>
      <c r="V441" s="3">
        <v>28</v>
      </c>
      <c r="W441" s="3"/>
      <c r="X441" s="3">
        <v>22.98</v>
      </c>
      <c r="Y441" s="3">
        <v>22.98</v>
      </c>
      <c r="Z441" s="3">
        <v>22.98</v>
      </c>
      <c r="AA441" s="3">
        <v>0</v>
      </c>
      <c r="AB441" s="3" t="s">
        <v>5223</v>
      </c>
      <c r="AC441" s="3">
        <v>5</v>
      </c>
      <c r="AD441" s="3">
        <v>22.98</v>
      </c>
      <c r="AE441" s="3">
        <v>0</v>
      </c>
      <c r="AF441" s="3">
        <v>0</v>
      </c>
      <c r="AG441" s="3">
        <v>0</v>
      </c>
      <c r="AH441" s="3">
        <v>2.11320754716981</v>
      </c>
      <c r="AI441" s="3" t="s">
        <v>5238</v>
      </c>
      <c r="AJ441" s="3" t="s">
        <v>5222</v>
      </c>
    </row>
    <row r="442" spans="1:36">
      <c r="A442" s="5">
        <v>43288</v>
      </c>
      <c r="B442" s="3" t="s">
        <v>4528</v>
      </c>
      <c r="C442" s="3" t="s">
        <v>4529</v>
      </c>
      <c r="D442" s="3" t="s">
        <v>4529</v>
      </c>
      <c r="E442" s="3" t="s">
        <v>4530</v>
      </c>
      <c r="F442" s="3" t="s">
        <v>120</v>
      </c>
      <c r="G442" s="3">
        <v>14</v>
      </c>
      <c r="H442" s="3">
        <v>0</v>
      </c>
      <c r="I442" s="3">
        <v>14</v>
      </c>
      <c r="J442" s="3">
        <v>0</v>
      </c>
      <c r="K442" s="3">
        <v>0</v>
      </c>
      <c r="L442" s="3">
        <v>0</v>
      </c>
      <c r="M442" s="3">
        <v>0</v>
      </c>
      <c r="N442" s="3" t="s">
        <v>5218</v>
      </c>
      <c r="O442" s="3">
        <v>0</v>
      </c>
      <c r="P442" s="3">
        <v>0</v>
      </c>
      <c r="Q442" s="3">
        <v>0</v>
      </c>
      <c r="R442" s="3">
        <v>0</v>
      </c>
      <c r="S442" s="3">
        <v>1</v>
      </c>
      <c r="T442" s="3">
        <v>2</v>
      </c>
      <c r="U442" s="3">
        <v>6</v>
      </c>
      <c r="V442" s="3">
        <v>9</v>
      </c>
      <c r="W442" s="3"/>
      <c r="X442" s="3">
        <v>22.98</v>
      </c>
      <c r="Y442" s="3">
        <v>22.98</v>
      </c>
      <c r="Z442" s="3">
        <v>22.98</v>
      </c>
      <c r="AA442" s="3">
        <v>0</v>
      </c>
      <c r="AB442" s="3" t="s">
        <v>5223</v>
      </c>
      <c r="AC442" s="3">
        <v>14</v>
      </c>
      <c r="AD442" s="3">
        <v>22.98</v>
      </c>
      <c r="AE442" s="3">
        <v>0</v>
      </c>
      <c r="AF442" s="3">
        <v>0</v>
      </c>
      <c r="AG442" s="3">
        <v>0</v>
      </c>
      <c r="AH442" s="3">
        <v>0.674999999999999</v>
      </c>
      <c r="AI442" s="3" t="s">
        <v>5226</v>
      </c>
      <c r="AJ442" s="3" t="s">
        <v>5222</v>
      </c>
    </row>
    <row r="443" spans="1:36">
      <c r="A443" s="5">
        <v>43288</v>
      </c>
      <c r="B443" s="3" t="s">
        <v>2951</v>
      </c>
      <c r="C443" s="3" t="s">
        <v>1404</v>
      </c>
      <c r="D443" s="3" t="s">
        <v>1404</v>
      </c>
      <c r="E443" s="3" t="s">
        <v>1405</v>
      </c>
      <c r="F443" s="3" t="s">
        <v>120</v>
      </c>
      <c r="G443" s="3">
        <v>21</v>
      </c>
      <c r="H443" s="3">
        <v>0</v>
      </c>
      <c r="I443" s="3">
        <v>21</v>
      </c>
      <c r="J443" s="3">
        <v>0</v>
      </c>
      <c r="K443" s="3">
        <v>0</v>
      </c>
      <c r="L443" s="3">
        <v>0</v>
      </c>
      <c r="M443" s="3">
        <v>0</v>
      </c>
      <c r="N443" s="3" t="s">
        <v>5218</v>
      </c>
      <c r="O443" s="3">
        <v>0</v>
      </c>
      <c r="P443" s="3">
        <v>0</v>
      </c>
      <c r="Q443" s="3">
        <v>0</v>
      </c>
      <c r="R443" s="3">
        <v>0</v>
      </c>
      <c r="S443" s="3">
        <v>8</v>
      </c>
      <c r="T443" s="3">
        <v>39</v>
      </c>
      <c r="U443" s="3">
        <v>69</v>
      </c>
      <c r="V443" s="3">
        <v>74</v>
      </c>
      <c r="W443" s="3"/>
      <c r="X443" s="3">
        <v>19.98</v>
      </c>
      <c r="Y443" s="3">
        <v>19.98</v>
      </c>
      <c r="Z443" s="3">
        <v>19.98</v>
      </c>
      <c r="AA443" s="3">
        <v>0</v>
      </c>
      <c r="AB443" s="3" t="s">
        <v>5223</v>
      </c>
      <c r="AC443" s="3">
        <v>26</v>
      </c>
      <c r="AD443" s="3">
        <v>19.98</v>
      </c>
      <c r="AE443" s="3">
        <v>0</v>
      </c>
      <c r="AF443" s="3">
        <v>0</v>
      </c>
      <c r="AG443" s="3">
        <v>0</v>
      </c>
      <c r="AH443" s="3">
        <v>3.82758620689655</v>
      </c>
      <c r="AI443" s="3" t="s">
        <v>5236</v>
      </c>
      <c r="AJ443" s="3" t="s">
        <v>5222</v>
      </c>
    </row>
    <row r="444" spans="1:36">
      <c r="A444" s="5">
        <v>43288</v>
      </c>
      <c r="B444" s="3" t="s">
        <v>2913</v>
      </c>
      <c r="C444" s="3" t="s">
        <v>2914</v>
      </c>
      <c r="D444" s="3" t="s">
        <v>1759</v>
      </c>
      <c r="E444" s="3" t="s">
        <v>1760</v>
      </c>
      <c r="F444" s="3" t="s">
        <v>120</v>
      </c>
      <c r="G444" s="3">
        <v>5</v>
      </c>
      <c r="H444" s="3">
        <v>0</v>
      </c>
      <c r="I444" s="3">
        <v>1</v>
      </c>
      <c r="J444" s="3">
        <v>4</v>
      </c>
      <c r="K444" s="3">
        <v>0</v>
      </c>
      <c r="L444" s="3">
        <v>0</v>
      </c>
      <c r="M444" s="3">
        <v>0</v>
      </c>
      <c r="N444" s="3" t="s">
        <v>5218</v>
      </c>
      <c r="O444" s="3">
        <v>0</v>
      </c>
      <c r="P444" s="3">
        <v>0</v>
      </c>
      <c r="Q444" s="3">
        <v>0</v>
      </c>
      <c r="R444" s="3">
        <v>0</v>
      </c>
      <c r="S444" s="3">
        <v>0</v>
      </c>
      <c r="T444" s="3">
        <v>0</v>
      </c>
      <c r="U444" s="3">
        <v>1</v>
      </c>
      <c r="V444" s="3">
        <v>3</v>
      </c>
      <c r="W444" s="3" t="s">
        <v>5227</v>
      </c>
      <c r="X444" s="3">
        <v>25.98</v>
      </c>
      <c r="Y444" s="3">
        <v>25.98</v>
      </c>
      <c r="Z444" s="3">
        <v>25.98</v>
      </c>
      <c r="AA444" s="3">
        <v>0</v>
      </c>
      <c r="AB444" s="3" t="s">
        <v>5223</v>
      </c>
      <c r="AC444" s="3">
        <v>5</v>
      </c>
      <c r="AD444" s="3">
        <v>25.98</v>
      </c>
      <c r="AE444" s="3">
        <v>0</v>
      </c>
      <c r="AF444" s="3">
        <v>0</v>
      </c>
      <c r="AG444" s="3">
        <v>0</v>
      </c>
      <c r="AH444" s="3">
        <v>0.585365853658536</v>
      </c>
      <c r="AI444" s="3" t="s">
        <v>5229</v>
      </c>
      <c r="AJ444" s="3" t="s">
        <v>5222</v>
      </c>
    </row>
    <row r="445" spans="1:36">
      <c r="A445" s="5">
        <v>43288</v>
      </c>
      <c r="B445" s="3" t="s">
        <v>5112</v>
      </c>
      <c r="C445" s="3" t="s">
        <v>5113</v>
      </c>
      <c r="D445" s="3" t="s">
        <v>5113</v>
      </c>
      <c r="E445" s="3" t="s">
        <v>5114</v>
      </c>
      <c r="F445" s="3" t="s">
        <v>120</v>
      </c>
      <c r="G445" s="3">
        <v>8</v>
      </c>
      <c r="H445" s="3">
        <v>0</v>
      </c>
      <c r="I445" s="3">
        <v>0</v>
      </c>
      <c r="J445" s="3">
        <v>3</v>
      </c>
      <c r="K445" s="3">
        <v>5</v>
      </c>
      <c r="L445" s="3">
        <v>0</v>
      </c>
      <c r="M445" s="3">
        <v>0</v>
      </c>
      <c r="N445" s="3" t="s">
        <v>5218</v>
      </c>
      <c r="O445" s="3">
        <v>8</v>
      </c>
      <c r="P445" s="3">
        <v>24.02</v>
      </c>
      <c r="Q445" s="3">
        <v>0</v>
      </c>
      <c r="R445" s="3">
        <v>0</v>
      </c>
      <c r="S445" s="3">
        <v>0</v>
      </c>
      <c r="T445" s="3">
        <v>0</v>
      </c>
      <c r="U445" s="3">
        <v>0</v>
      </c>
      <c r="V445" s="3">
        <v>0</v>
      </c>
      <c r="W445" s="3" t="s">
        <v>5219</v>
      </c>
      <c r="X445" s="3">
        <v>29.98</v>
      </c>
      <c r="Y445" s="3">
        <v>29.98</v>
      </c>
      <c r="Z445" s="3">
        <v>29.98</v>
      </c>
      <c r="AA445" s="3">
        <v>0</v>
      </c>
      <c r="AB445" s="3" t="s">
        <v>5228</v>
      </c>
      <c r="AC445" s="3">
        <v>0</v>
      </c>
      <c r="AD445" s="3">
        <v>23.98</v>
      </c>
      <c r="AE445" s="3">
        <v>63</v>
      </c>
      <c r="AF445" s="3">
        <v>0</v>
      </c>
      <c r="AG445" s="3">
        <v>292.35558</v>
      </c>
      <c r="AH445" s="3">
        <v>0</v>
      </c>
      <c r="AI445" s="3" t="s">
        <v>5295</v>
      </c>
      <c r="AJ445" s="3" t="s">
        <v>5222</v>
      </c>
    </row>
    <row r="446" spans="1:36">
      <c r="A446" s="5">
        <v>43288</v>
      </c>
      <c r="B446" s="3" t="s">
        <v>3052</v>
      </c>
      <c r="C446" s="3" t="s">
        <v>3053</v>
      </c>
      <c r="D446" s="3" t="s">
        <v>3053</v>
      </c>
      <c r="E446" s="3" t="s">
        <v>3054</v>
      </c>
      <c r="F446" s="3" t="s">
        <v>120</v>
      </c>
      <c r="G446" s="3">
        <v>26</v>
      </c>
      <c r="H446" s="3">
        <v>0</v>
      </c>
      <c r="I446" s="3">
        <v>26</v>
      </c>
      <c r="J446" s="3">
        <v>0</v>
      </c>
      <c r="K446" s="3">
        <v>0</v>
      </c>
      <c r="L446" s="3">
        <v>0</v>
      </c>
      <c r="M446" s="3">
        <v>0</v>
      </c>
      <c r="N446" s="3" t="s">
        <v>5218</v>
      </c>
      <c r="O446" s="3">
        <v>0</v>
      </c>
      <c r="P446" s="3">
        <v>0</v>
      </c>
      <c r="Q446" s="3">
        <v>0</v>
      </c>
      <c r="R446" s="3">
        <v>0</v>
      </c>
      <c r="S446" s="3">
        <v>1</v>
      </c>
      <c r="T446" s="3">
        <v>9</v>
      </c>
      <c r="U446" s="3">
        <v>15</v>
      </c>
      <c r="V446" s="3">
        <v>15</v>
      </c>
      <c r="W446" s="3"/>
      <c r="X446" s="3">
        <v>23.98</v>
      </c>
      <c r="Y446" s="3">
        <v>23.98</v>
      </c>
      <c r="Z446" s="3">
        <v>23.98</v>
      </c>
      <c r="AA446" s="3">
        <v>0</v>
      </c>
      <c r="AB446" s="3" t="s">
        <v>5223</v>
      </c>
      <c r="AC446" s="3">
        <v>27</v>
      </c>
      <c r="AD446" s="3">
        <v>23.98</v>
      </c>
      <c r="AE446" s="3">
        <v>0</v>
      </c>
      <c r="AF446" s="3">
        <v>0</v>
      </c>
      <c r="AG446" s="3">
        <v>0</v>
      </c>
      <c r="AH446" s="3">
        <v>0.697674418604651</v>
      </c>
      <c r="AI446" s="3" t="s">
        <v>5381</v>
      </c>
      <c r="AJ446" s="3" t="s">
        <v>5222</v>
      </c>
    </row>
    <row r="447" spans="1:36">
      <c r="A447" s="5">
        <v>43288</v>
      </c>
      <c r="B447" s="3" t="s">
        <v>1350</v>
      </c>
      <c r="C447" s="3" t="s">
        <v>1351</v>
      </c>
      <c r="D447" s="3" t="s">
        <v>1352</v>
      </c>
      <c r="E447" s="3" t="s">
        <v>1353</v>
      </c>
      <c r="F447" s="3" t="s">
        <v>120</v>
      </c>
      <c r="G447" s="3">
        <v>20</v>
      </c>
      <c r="H447" s="3">
        <v>0</v>
      </c>
      <c r="I447" s="3">
        <v>20</v>
      </c>
      <c r="J447" s="3">
        <v>0</v>
      </c>
      <c r="K447" s="3">
        <v>0</v>
      </c>
      <c r="L447" s="3">
        <v>0</v>
      </c>
      <c r="M447" s="3">
        <v>0</v>
      </c>
      <c r="N447" s="3" t="s">
        <v>5218</v>
      </c>
      <c r="O447" s="3">
        <v>0</v>
      </c>
      <c r="P447" s="3">
        <v>0</v>
      </c>
      <c r="Q447" s="3">
        <v>0</v>
      </c>
      <c r="R447" s="3">
        <v>0</v>
      </c>
      <c r="S447" s="3">
        <v>0</v>
      </c>
      <c r="T447" s="3">
        <v>0</v>
      </c>
      <c r="U447" s="3">
        <v>0</v>
      </c>
      <c r="V447" s="3">
        <v>0</v>
      </c>
      <c r="W447" s="3" t="s">
        <v>5227</v>
      </c>
      <c r="X447" s="3">
        <v>23.98</v>
      </c>
      <c r="Y447" s="3">
        <v>23.98</v>
      </c>
      <c r="Z447" s="3">
        <v>23.98</v>
      </c>
      <c r="AA447" s="3">
        <v>0</v>
      </c>
      <c r="AB447" s="3" t="s">
        <v>5223</v>
      </c>
      <c r="AC447" s="3">
        <v>0</v>
      </c>
      <c r="AD447" s="3">
        <v>0</v>
      </c>
      <c r="AE447" s="3">
        <v>0</v>
      </c>
      <c r="AF447" s="3">
        <v>0</v>
      </c>
      <c r="AG447" s="3">
        <v>0</v>
      </c>
      <c r="AH447" s="3">
        <v>8.65</v>
      </c>
      <c r="AI447" s="3" t="s">
        <v>5236</v>
      </c>
      <c r="AJ447" s="3" t="s">
        <v>5222</v>
      </c>
    </row>
    <row r="448" spans="1:36">
      <c r="A448" s="5">
        <v>43288</v>
      </c>
      <c r="B448" s="3" t="s">
        <v>2958</v>
      </c>
      <c r="C448" s="3" t="s">
        <v>2959</v>
      </c>
      <c r="D448" s="3" t="s">
        <v>2959</v>
      </c>
      <c r="E448" s="3" t="s">
        <v>2960</v>
      </c>
      <c r="F448" s="3" t="s">
        <v>120</v>
      </c>
      <c r="G448" s="3">
        <v>17</v>
      </c>
      <c r="H448" s="3">
        <v>0</v>
      </c>
      <c r="I448" s="3">
        <v>17</v>
      </c>
      <c r="J448" s="3">
        <v>0</v>
      </c>
      <c r="K448" s="3">
        <v>0</v>
      </c>
      <c r="L448" s="3">
        <v>0</v>
      </c>
      <c r="M448" s="3">
        <v>0</v>
      </c>
      <c r="N448" s="3" t="s">
        <v>5218</v>
      </c>
      <c r="O448" s="3">
        <v>0</v>
      </c>
      <c r="P448" s="3">
        <v>0</v>
      </c>
      <c r="Q448" s="3">
        <v>0</v>
      </c>
      <c r="R448" s="3">
        <v>0</v>
      </c>
      <c r="S448" s="3">
        <v>0</v>
      </c>
      <c r="T448" s="3">
        <v>0</v>
      </c>
      <c r="U448" s="3">
        <v>0</v>
      </c>
      <c r="V448" s="3">
        <v>0</v>
      </c>
      <c r="W448" s="3" t="s">
        <v>5219</v>
      </c>
      <c r="X448" s="3">
        <v>39.98</v>
      </c>
      <c r="Y448" s="3">
        <v>39.98</v>
      </c>
      <c r="Z448" s="3">
        <v>39.98</v>
      </c>
      <c r="AA448" s="3">
        <v>0</v>
      </c>
      <c r="AB448" s="3" t="s">
        <v>5220</v>
      </c>
      <c r="AC448" s="3">
        <v>17</v>
      </c>
      <c r="AD448" s="3">
        <v>39.98</v>
      </c>
      <c r="AE448" s="3">
        <v>0</v>
      </c>
      <c r="AF448" s="3">
        <v>0</v>
      </c>
      <c r="AG448" s="3">
        <v>0</v>
      </c>
      <c r="AH448" s="3">
        <v>0</v>
      </c>
      <c r="AI448" s="3" t="s">
        <v>5236</v>
      </c>
      <c r="AJ448" s="3" t="s">
        <v>5222</v>
      </c>
    </row>
    <row r="449" spans="1:36">
      <c r="A449" s="5">
        <v>43288</v>
      </c>
      <c r="B449" s="3" t="s">
        <v>179</v>
      </c>
      <c r="C449" s="3" t="s">
        <v>180</v>
      </c>
      <c r="D449" s="3" t="s">
        <v>180</v>
      </c>
      <c r="E449" s="3" t="s">
        <v>5392</v>
      </c>
      <c r="F449" s="3" t="s">
        <v>120</v>
      </c>
      <c r="G449" s="3">
        <v>5</v>
      </c>
      <c r="H449" s="3">
        <v>0</v>
      </c>
      <c r="I449" s="3">
        <v>0</v>
      </c>
      <c r="J449" s="3">
        <v>4</v>
      </c>
      <c r="K449" s="3">
        <v>1</v>
      </c>
      <c r="L449" s="3">
        <v>0</v>
      </c>
      <c r="M449" s="3">
        <v>0</v>
      </c>
      <c r="N449" s="3" t="s">
        <v>5218</v>
      </c>
      <c r="O449" s="3">
        <v>3</v>
      </c>
      <c r="P449" s="3">
        <v>5.61</v>
      </c>
      <c r="Q449" s="3">
        <v>0</v>
      </c>
      <c r="R449" s="3">
        <v>0</v>
      </c>
      <c r="S449" s="3">
        <v>0</v>
      </c>
      <c r="T449" s="3">
        <v>0</v>
      </c>
      <c r="U449" s="3">
        <v>0</v>
      </c>
      <c r="V449" s="3">
        <v>0</v>
      </c>
      <c r="W449" s="3"/>
      <c r="X449" s="3"/>
      <c r="Y449" s="3"/>
      <c r="Z449" s="3">
        <v>-1</v>
      </c>
      <c r="AA449" s="3">
        <v>-1</v>
      </c>
      <c r="AB449" s="3" t="s">
        <v>5244</v>
      </c>
      <c r="AC449" s="3">
        <v>0</v>
      </c>
      <c r="AD449" s="3">
        <v>0</v>
      </c>
      <c r="AE449" s="3">
        <v>0</v>
      </c>
      <c r="AF449" s="3">
        <v>0</v>
      </c>
      <c r="AG449" s="3">
        <v>0</v>
      </c>
      <c r="AH449" s="3">
        <v>0.19047619047619</v>
      </c>
      <c r="AI449" s="3" t="s">
        <v>5270</v>
      </c>
      <c r="AJ449" s="3" t="s">
        <v>5222</v>
      </c>
    </row>
    <row r="450" spans="1:36">
      <c r="A450" s="5">
        <v>43288</v>
      </c>
      <c r="B450" s="3" t="s">
        <v>2558</v>
      </c>
      <c r="C450" s="3" t="s">
        <v>2559</v>
      </c>
      <c r="D450" s="3" t="s">
        <v>2559</v>
      </c>
      <c r="E450" s="3" t="s">
        <v>2560</v>
      </c>
      <c r="F450" s="3" t="s">
        <v>120</v>
      </c>
      <c r="G450" s="3">
        <v>28</v>
      </c>
      <c r="H450" s="3">
        <v>0</v>
      </c>
      <c r="I450" s="3">
        <v>13</v>
      </c>
      <c r="J450" s="3">
        <v>11</v>
      </c>
      <c r="K450" s="3">
        <v>4</v>
      </c>
      <c r="L450" s="3">
        <v>0</v>
      </c>
      <c r="M450" s="3">
        <v>0</v>
      </c>
      <c r="N450" s="3" t="s">
        <v>5218</v>
      </c>
      <c r="O450" s="3">
        <v>4</v>
      </c>
      <c r="P450" s="3">
        <v>6.99</v>
      </c>
      <c r="Q450" s="3">
        <v>0</v>
      </c>
      <c r="R450" s="3">
        <v>0</v>
      </c>
      <c r="S450" s="3">
        <v>0</v>
      </c>
      <c r="T450" s="3">
        <v>1</v>
      </c>
      <c r="U450" s="3">
        <v>4</v>
      </c>
      <c r="V450" s="3">
        <v>7</v>
      </c>
      <c r="W450" s="3"/>
      <c r="X450" s="3">
        <v>24.98</v>
      </c>
      <c r="Y450" s="3">
        <v>24.98</v>
      </c>
      <c r="Z450" s="3">
        <v>24.98</v>
      </c>
      <c r="AA450" s="3">
        <v>0</v>
      </c>
      <c r="AB450" s="3" t="s">
        <v>5228</v>
      </c>
      <c r="AC450" s="3">
        <v>0</v>
      </c>
      <c r="AD450" s="3">
        <v>19.98</v>
      </c>
      <c r="AE450" s="3">
        <v>364</v>
      </c>
      <c r="AF450" s="3">
        <v>0</v>
      </c>
      <c r="AG450" s="3">
        <v>518.969193</v>
      </c>
      <c r="AH450" s="3">
        <v>0.259259259259259</v>
      </c>
      <c r="AI450" s="3" t="s">
        <v>5393</v>
      </c>
      <c r="AJ450" s="3" t="s">
        <v>5222</v>
      </c>
    </row>
    <row r="451" spans="1:36">
      <c r="A451" s="5">
        <v>43288</v>
      </c>
      <c r="B451" s="3" t="s">
        <v>4222</v>
      </c>
      <c r="C451" s="3" t="s">
        <v>4223</v>
      </c>
      <c r="D451" s="3" t="s">
        <v>4223</v>
      </c>
      <c r="E451" s="3" t="s">
        <v>4224</v>
      </c>
      <c r="F451" s="3" t="s">
        <v>120</v>
      </c>
      <c r="G451" s="3">
        <v>22</v>
      </c>
      <c r="H451" s="3">
        <v>0</v>
      </c>
      <c r="I451" s="3">
        <v>22</v>
      </c>
      <c r="J451" s="3">
        <v>0</v>
      </c>
      <c r="K451" s="3">
        <v>0</v>
      </c>
      <c r="L451" s="3">
        <v>0</v>
      </c>
      <c r="M451" s="3">
        <v>0</v>
      </c>
      <c r="N451" s="3" t="s">
        <v>5218</v>
      </c>
      <c r="O451" s="3">
        <v>0</v>
      </c>
      <c r="P451" s="3">
        <v>0</v>
      </c>
      <c r="Q451" s="3">
        <v>0</v>
      </c>
      <c r="R451" s="3">
        <v>0</v>
      </c>
      <c r="S451" s="3">
        <v>0</v>
      </c>
      <c r="T451" s="3">
        <v>2</v>
      </c>
      <c r="U451" s="3">
        <v>7</v>
      </c>
      <c r="V451" s="3">
        <v>8</v>
      </c>
      <c r="W451" s="3"/>
      <c r="X451" s="3">
        <v>22.98</v>
      </c>
      <c r="Y451" s="3">
        <v>22.98</v>
      </c>
      <c r="Z451" s="3">
        <v>22.98</v>
      </c>
      <c r="AA451" s="3">
        <v>0</v>
      </c>
      <c r="AB451" s="3" t="s">
        <v>5223</v>
      </c>
      <c r="AC451" s="3">
        <v>22</v>
      </c>
      <c r="AD451" s="3">
        <v>22.98</v>
      </c>
      <c r="AE451" s="3">
        <v>0</v>
      </c>
      <c r="AF451" s="3">
        <v>0</v>
      </c>
      <c r="AG451" s="3">
        <v>0</v>
      </c>
      <c r="AH451" s="3">
        <v>0.627450980392156</v>
      </c>
      <c r="AI451" s="3" t="s">
        <v>5394</v>
      </c>
      <c r="AJ451" s="3" t="s">
        <v>5222</v>
      </c>
    </row>
    <row r="452" spans="1:36">
      <c r="A452" s="5">
        <v>43288</v>
      </c>
      <c r="B452" s="3" t="s">
        <v>4567</v>
      </c>
      <c r="C452" s="3" t="s">
        <v>3991</v>
      </c>
      <c r="D452" s="3" t="s">
        <v>3991</v>
      </c>
      <c r="E452" s="3" t="s">
        <v>3992</v>
      </c>
      <c r="F452" s="3" t="s">
        <v>120</v>
      </c>
      <c r="G452" s="3">
        <v>23</v>
      </c>
      <c r="H452" s="3">
        <v>0</v>
      </c>
      <c r="I452" s="3">
        <v>23</v>
      </c>
      <c r="J452" s="3">
        <v>0</v>
      </c>
      <c r="K452" s="3">
        <v>0</v>
      </c>
      <c r="L452" s="3">
        <v>0</v>
      </c>
      <c r="M452" s="3">
        <v>0</v>
      </c>
      <c r="N452" s="3" t="s">
        <v>5218</v>
      </c>
      <c r="O452" s="3">
        <v>0</v>
      </c>
      <c r="P452" s="3">
        <v>0</v>
      </c>
      <c r="Q452" s="3">
        <v>0</v>
      </c>
      <c r="R452" s="3">
        <v>0</v>
      </c>
      <c r="S452" s="3">
        <v>0</v>
      </c>
      <c r="T452" s="3">
        <v>1</v>
      </c>
      <c r="U452" s="3">
        <v>4</v>
      </c>
      <c r="V452" s="3">
        <v>8</v>
      </c>
      <c r="W452" s="3"/>
      <c r="X452" s="3">
        <v>20.98</v>
      </c>
      <c r="Y452" s="3">
        <v>20.98</v>
      </c>
      <c r="Z452" s="3">
        <v>20.98</v>
      </c>
      <c r="AA452" s="3">
        <v>0</v>
      </c>
      <c r="AB452" s="3" t="s">
        <v>5223</v>
      </c>
      <c r="AC452" s="3">
        <v>23</v>
      </c>
      <c r="AD452" s="3">
        <v>20.98</v>
      </c>
      <c r="AE452" s="3">
        <v>0</v>
      </c>
      <c r="AF452" s="3">
        <v>0</v>
      </c>
      <c r="AG452" s="3">
        <v>0</v>
      </c>
      <c r="AH452" s="3">
        <v>0.842105263157894</v>
      </c>
      <c r="AI452" s="3" t="s">
        <v>5226</v>
      </c>
      <c r="AJ452" s="3" t="s">
        <v>5222</v>
      </c>
    </row>
    <row r="453" spans="1:36">
      <c r="A453" s="5">
        <v>43288</v>
      </c>
      <c r="B453" s="3" t="s">
        <v>5171</v>
      </c>
      <c r="C453" s="3" t="s">
        <v>5172</v>
      </c>
      <c r="D453" s="3" t="s">
        <v>5172</v>
      </c>
      <c r="E453" s="3" t="s">
        <v>5173</v>
      </c>
      <c r="F453" s="3" t="s">
        <v>120</v>
      </c>
      <c r="G453" s="3">
        <v>8</v>
      </c>
      <c r="H453" s="3">
        <v>0</v>
      </c>
      <c r="I453" s="3">
        <v>0</v>
      </c>
      <c r="J453" s="3">
        <v>4</v>
      </c>
      <c r="K453" s="3">
        <v>4</v>
      </c>
      <c r="L453" s="3">
        <v>0</v>
      </c>
      <c r="M453" s="3">
        <v>0</v>
      </c>
      <c r="N453" s="3" t="s">
        <v>5218</v>
      </c>
      <c r="O453" s="3">
        <v>8</v>
      </c>
      <c r="P453" s="3">
        <v>24.85</v>
      </c>
      <c r="Q453" s="3">
        <v>0</v>
      </c>
      <c r="R453" s="3">
        <v>0</v>
      </c>
      <c r="S453" s="3">
        <v>0</v>
      </c>
      <c r="T453" s="3">
        <v>0</v>
      </c>
      <c r="U453" s="3">
        <v>0</v>
      </c>
      <c r="V453" s="3">
        <v>1</v>
      </c>
      <c r="W453" s="3" t="s">
        <v>5219</v>
      </c>
      <c r="X453" s="3">
        <v>29.98</v>
      </c>
      <c r="Y453" s="3">
        <v>29.98</v>
      </c>
      <c r="Z453" s="3">
        <v>29.98</v>
      </c>
      <c r="AA453" s="3">
        <v>0</v>
      </c>
      <c r="AB453" s="3" t="s">
        <v>5228</v>
      </c>
      <c r="AC453" s="3">
        <v>0</v>
      </c>
      <c r="AD453" s="3">
        <v>27.55</v>
      </c>
      <c r="AE453" s="3">
        <v>35</v>
      </c>
      <c r="AF453" s="3">
        <v>0</v>
      </c>
      <c r="AG453" s="3">
        <v>353.080456</v>
      </c>
      <c r="AH453" s="3">
        <v>0.121212121212121</v>
      </c>
      <c r="AI453" s="3" t="s">
        <v>5395</v>
      </c>
      <c r="AJ453" s="3" t="s">
        <v>5222</v>
      </c>
    </row>
    <row r="454" spans="1:36">
      <c r="A454" s="5">
        <v>43288</v>
      </c>
      <c r="B454" s="3" t="s">
        <v>688</v>
      </c>
      <c r="C454" s="3" t="s">
        <v>689</v>
      </c>
      <c r="D454" s="3" t="s">
        <v>689</v>
      </c>
      <c r="E454" s="3" t="s">
        <v>690</v>
      </c>
      <c r="F454" s="3" t="s">
        <v>120</v>
      </c>
      <c r="G454" s="3">
        <v>10</v>
      </c>
      <c r="H454" s="3">
        <v>0</v>
      </c>
      <c r="I454" s="3">
        <v>6</v>
      </c>
      <c r="J454" s="3">
        <v>4</v>
      </c>
      <c r="K454" s="3">
        <v>0</v>
      </c>
      <c r="L454" s="3">
        <v>0</v>
      </c>
      <c r="M454" s="3">
        <v>0</v>
      </c>
      <c r="N454" s="3" t="s">
        <v>5218</v>
      </c>
      <c r="O454" s="3">
        <v>4</v>
      </c>
      <c r="P454" s="3">
        <v>7.61</v>
      </c>
      <c r="Q454" s="3">
        <v>0</v>
      </c>
      <c r="R454" s="3">
        <v>0</v>
      </c>
      <c r="S454" s="3">
        <v>0</v>
      </c>
      <c r="T454" s="3">
        <v>0</v>
      </c>
      <c r="U454" s="3">
        <v>0</v>
      </c>
      <c r="V454" s="3">
        <v>0</v>
      </c>
      <c r="W454" s="3" t="s">
        <v>5227</v>
      </c>
      <c r="X454" s="3">
        <v>24.98</v>
      </c>
      <c r="Y454" s="3">
        <v>24.98</v>
      </c>
      <c r="Z454" s="3">
        <v>24.98</v>
      </c>
      <c r="AA454" s="3">
        <v>0</v>
      </c>
      <c r="AB454" s="3" t="s">
        <v>5228</v>
      </c>
      <c r="AC454" s="3">
        <v>5</v>
      </c>
      <c r="AD454" s="3">
        <v>23.67</v>
      </c>
      <c r="AE454" s="3">
        <v>35</v>
      </c>
      <c r="AF454" s="3">
        <v>0</v>
      </c>
      <c r="AG454" s="3">
        <v>338.632863</v>
      </c>
      <c r="AH454" s="3">
        <v>0</v>
      </c>
      <c r="AI454" s="3" t="s">
        <v>5250</v>
      </c>
      <c r="AJ454" s="3" t="s">
        <v>5222</v>
      </c>
    </row>
    <row r="455" spans="1:36">
      <c r="A455" s="5">
        <v>43288</v>
      </c>
      <c r="B455" s="3" t="s">
        <v>1014</v>
      </c>
      <c r="C455" s="3" t="s">
        <v>1015</v>
      </c>
      <c r="D455" s="3" t="s">
        <v>1016</v>
      </c>
      <c r="E455" s="3" t="s">
        <v>1017</v>
      </c>
      <c r="F455" s="3" t="s">
        <v>120</v>
      </c>
      <c r="G455" s="3">
        <v>10</v>
      </c>
      <c r="H455" s="3">
        <v>0</v>
      </c>
      <c r="I455" s="3">
        <v>10</v>
      </c>
      <c r="J455" s="3">
        <v>0</v>
      </c>
      <c r="K455" s="3">
        <v>0</v>
      </c>
      <c r="L455" s="3">
        <v>0</v>
      </c>
      <c r="M455" s="3">
        <v>0</v>
      </c>
      <c r="N455" s="3" t="s">
        <v>5218</v>
      </c>
      <c r="O455" s="3">
        <v>0</v>
      </c>
      <c r="P455" s="3">
        <v>0</v>
      </c>
      <c r="Q455" s="3">
        <v>0</v>
      </c>
      <c r="R455" s="3">
        <v>0</v>
      </c>
      <c r="S455" s="3">
        <v>0</v>
      </c>
      <c r="T455" s="3">
        <v>0</v>
      </c>
      <c r="U455" s="3">
        <v>0</v>
      </c>
      <c r="V455" s="3">
        <v>0</v>
      </c>
      <c r="W455" s="3" t="s">
        <v>5227</v>
      </c>
      <c r="X455" s="3">
        <v>24.98</v>
      </c>
      <c r="Y455" s="3">
        <v>24.98</v>
      </c>
      <c r="Z455" s="3">
        <v>24.98</v>
      </c>
      <c r="AA455" s="3">
        <v>0</v>
      </c>
      <c r="AB455" s="3" t="s">
        <v>5223</v>
      </c>
      <c r="AC455" s="3">
        <v>0</v>
      </c>
      <c r="AD455" s="3">
        <v>0</v>
      </c>
      <c r="AE455" s="3">
        <v>0</v>
      </c>
      <c r="AF455" s="3">
        <v>0</v>
      </c>
      <c r="AG455" s="3">
        <v>0</v>
      </c>
      <c r="AH455" s="3">
        <v>0.195121951219512</v>
      </c>
      <c r="AI455" s="3" t="s">
        <v>5376</v>
      </c>
      <c r="AJ455" s="3" t="s">
        <v>5222</v>
      </c>
    </row>
    <row r="456" spans="1:36">
      <c r="A456" s="5">
        <v>43288</v>
      </c>
      <c r="B456" s="3" t="s">
        <v>2915</v>
      </c>
      <c r="C456" s="3" t="s">
        <v>1313</v>
      </c>
      <c r="D456" s="3" t="s">
        <v>1313</v>
      </c>
      <c r="E456" s="3" t="s">
        <v>1314</v>
      </c>
      <c r="F456" s="3" t="s">
        <v>120</v>
      </c>
      <c r="G456" s="3">
        <v>1</v>
      </c>
      <c r="H456" s="3">
        <v>0</v>
      </c>
      <c r="I456" s="3">
        <v>1</v>
      </c>
      <c r="J456" s="3">
        <v>0</v>
      </c>
      <c r="K456" s="3">
        <v>0</v>
      </c>
      <c r="L456" s="3">
        <v>0</v>
      </c>
      <c r="M456" s="3">
        <v>0</v>
      </c>
      <c r="N456" s="3" t="s">
        <v>5218</v>
      </c>
      <c r="O456" s="3">
        <v>0</v>
      </c>
      <c r="P456" s="3">
        <v>0</v>
      </c>
      <c r="Q456" s="3">
        <v>0</v>
      </c>
      <c r="R456" s="3">
        <v>0</v>
      </c>
      <c r="S456" s="3">
        <v>1</v>
      </c>
      <c r="T456" s="3">
        <v>31</v>
      </c>
      <c r="U456" s="3">
        <v>60</v>
      </c>
      <c r="V456" s="3">
        <v>65</v>
      </c>
      <c r="W456" s="3"/>
      <c r="X456" s="3"/>
      <c r="Y456" s="3"/>
      <c r="Z456" s="3">
        <v>-1</v>
      </c>
      <c r="AA456" s="3">
        <v>-1</v>
      </c>
      <c r="AB456" s="3" t="s">
        <v>5244</v>
      </c>
      <c r="AC456" s="3">
        <v>0</v>
      </c>
      <c r="AD456" s="3">
        <v>0</v>
      </c>
      <c r="AE456" s="3">
        <v>0</v>
      </c>
      <c r="AF456" s="3">
        <v>0</v>
      </c>
      <c r="AG456" s="3">
        <v>0</v>
      </c>
      <c r="AH456" s="3">
        <v>4.64285714285714</v>
      </c>
      <c r="AI456" s="3" t="s">
        <v>5236</v>
      </c>
      <c r="AJ456" s="3" t="s">
        <v>5222</v>
      </c>
    </row>
    <row r="457" spans="1:36">
      <c r="A457" s="5">
        <v>43288</v>
      </c>
      <c r="B457" s="3" t="s">
        <v>4383</v>
      </c>
      <c r="C457" s="3" t="s">
        <v>3382</v>
      </c>
      <c r="D457" s="3" t="s">
        <v>3382</v>
      </c>
      <c r="E457" s="3" t="s">
        <v>3383</v>
      </c>
      <c r="F457" s="3" t="s">
        <v>120</v>
      </c>
      <c r="G457" s="3">
        <v>3</v>
      </c>
      <c r="H457" s="3">
        <v>0</v>
      </c>
      <c r="I457" s="3">
        <v>3</v>
      </c>
      <c r="J457" s="3">
        <v>0</v>
      </c>
      <c r="K457" s="3">
        <v>0</v>
      </c>
      <c r="L457" s="3">
        <v>0</v>
      </c>
      <c r="M457" s="3">
        <v>0</v>
      </c>
      <c r="N457" s="3" t="s">
        <v>5218</v>
      </c>
      <c r="O457" s="3">
        <v>0</v>
      </c>
      <c r="P457" s="3">
        <v>0</v>
      </c>
      <c r="Q457" s="3">
        <v>0</v>
      </c>
      <c r="R457" s="3">
        <v>0</v>
      </c>
      <c r="S457" s="3">
        <v>0</v>
      </c>
      <c r="T457" s="3">
        <v>1</v>
      </c>
      <c r="U457" s="3">
        <v>2</v>
      </c>
      <c r="V457" s="3">
        <v>2</v>
      </c>
      <c r="W457" s="3"/>
      <c r="X457" s="3">
        <v>22.98</v>
      </c>
      <c r="Y457" s="3">
        <v>22.98</v>
      </c>
      <c r="Z457" s="3">
        <v>22.98</v>
      </c>
      <c r="AA457" s="3">
        <v>0</v>
      </c>
      <c r="AB457" s="3" t="s">
        <v>5223</v>
      </c>
      <c r="AC457" s="3">
        <v>3</v>
      </c>
      <c r="AD457" s="3">
        <v>22.98</v>
      </c>
      <c r="AE457" s="3">
        <v>0</v>
      </c>
      <c r="AF457" s="3">
        <v>0</v>
      </c>
      <c r="AG457" s="3">
        <v>0</v>
      </c>
      <c r="AH457" s="3">
        <v>0.666666666666666</v>
      </c>
      <c r="AI457" s="3" t="s">
        <v>5396</v>
      </c>
      <c r="AJ457" s="3" t="s">
        <v>5222</v>
      </c>
    </row>
    <row r="458" spans="1:36">
      <c r="A458" s="5">
        <v>43288</v>
      </c>
      <c r="B458" s="3" t="s">
        <v>2331</v>
      </c>
      <c r="C458" s="3" t="s">
        <v>2332</v>
      </c>
      <c r="D458" s="3" t="s">
        <v>2332</v>
      </c>
      <c r="E458" s="3" t="s">
        <v>2333</v>
      </c>
      <c r="F458" s="3" t="s">
        <v>120</v>
      </c>
      <c r="G458" s="3">
        <v>29</v>
      </c>
      <c r="H458" s="3">
        <v>0</v>
      </c>
      <c r="I458" s="3">
        <v>29</v>
      </c>
      <c r="J458" s="3">
        <v>0</v>
      </c>
      <c r="K458" s="3">
        <v>0</v>
      </c>
      <c r="L458" s="3">
        <v>0</v>
      </c>
      <c r="M458" s="3">
        <v>0</v>
      </c>
      <c r="N458" s="3" t="s">
        <v>5218</v>
      </c>
      <c r="O458" s="3">
        <v>0</v>
      </c>
      <c r="P458" s="3">
        <v>0</v>
      </c>
      <c r="Q458" s="3">
        <v>0</v>
      </c>
      <c r="R458" s="3">
        <v>0</v>
      </c>
      <c r="S458" s="3">
        <v>0</v>
      </c>
      <c r="T458" s="3">
        <v>2</v>
      </c>
      <c r="U458" s="3">
        <v>8</v>
      </c>
      <c r="V458" s="3">
        <v>9</v>
      </c>
      <c r="W458" s="3"/>
      <c r="X458" s="3">
        <v>22.98</v>
      </c>
      <c r="Y458" s="3">
        <v>22.98</v>
      </c>
      <c r="Z458" s="3">
        <v>22.98</v>
      </c>
      <c r="AA458" s="3">
        <v>0</v>
      </c>
      <c r="AB458" s="3" t="s">
        <v>5223</v>
      </c>
      <c r="AC458" s="3">
        <v>29</v>
      </c>
      <c r="AD458" s="3">
        <v>22.98</v>
      </c>
      <c r="AE458" s="3">
        <v>0</v>
      </c>
      <c r="AF458" s="3">
        <v>0</v>
      </c>
      <c r="AG458" s="3">
        <v>0</v>
      </c>
      <c r="AH458" s="3">
        <v>0.507042253521126</v>
      </c>
      <c r="AI458" s="3" t="s">
        <v>5233</v>
      </c>
      <c r="AJ458" s="3" t="s">
        <v>5222</v>
      </c>
    </row>
    <row r="459" spans="1:36">
      <c r="A459" s="5">
        <v>43288</v>
      </c>
      <c r="B459" s="3" t="s">
        <v>2608</v>
      </c>
      <c r="C459" s="3" t="s">
        <v>1124</v>
      </c>
      <c r="D459" s="3" t="s">
        <v>1124</v>
      </c>
      <c r="E459" s="3" t="s">
        <v>1125</v>
      </c>
      <c r="F459" s="3" t="s">
        <v>120</v>
      </c>
      <c r="G459" s="3">
        <v>22</v>
      </c>
      <c r="H459" s="3">
        <v>0</v>
      </c>
      <c r="I459" s="3">
        <v>13</v>
      </c>
      <c r="J459" s="3">
        <v>1</v>
      </c>
      <c r="K459" s="3">
        <v>8</v>
      </c>
      <c r="L459" s="3">
        <v>0</v>
      </c>
      <c r="M459" s="3">
        <v>0</v>
      </c>
      <c r="N459" s="3" t="s">
        <v>5218</v>
      </c>
      <c r="O459" s="3">
        <v>8</v>
      </c>
      <c r="P459" s="3">
        <v>13.47</v>
      </c>
      <c r="Q459" s="3">
        <v>0</v>
      </c>
      <c r="R459" s="3">
        <v>0</v>
      </c>
      <c r="S459" s="3">
        <v>0</v>
      </c>
      <c r="T459" s="3">
        <v>2</v>
      </c>
      <c r="U459" s="3">
        <v>5</v>
      </c>
      <c r="V459" s="3">
        <v>8</v>
      </c>
      <c r="W459" s="3"/>
      <c r="X459" s="3">
        <v>22.98</v>
      </c>
      <c r="Y459" s="3">
        <v>22.98</v>
      </c>
      <c r="Z459" s="3">
        <v>22.98</v>
      </c>
      <c r="AA459" s="3">
        <v>0</v>
      </c>
      <c r="AB459" s="3" t="s">
        <v>5223</v>
      </c>
      <c r="AC459" s="3">
        <v>22</v>
      </c>
      <c r="AD459" s="3">
        <v>22.98</v>
      </c>
      <c r="AE459" s="3">
        <v>0</v>
      </c>
      <c r="AF459" s="3">
        <v>0</v>
      </c>
      <c r="AG459" s="3">
        <v>0</v>
      </c>
      <c r="AH459" s="3">
        <v>0.477611940298507</v>
      </c>
      <c r="AI459" s="3" t="s">
        <v>5238</v>
      </c>
      <c r="AJ459" s="3" t="s">
        <v>5222</v>
      </c>
    </row>
    <row r="460" spans="1:36">
      <c r="A460" s="5">
        <v>43288</v>
      </c>
      <c r="B460" s="3" t="s">
        <v>4498</v>
      </c>
      <c r="C460" s="3" t="s">
        <v>3719</v>
      </c>
      <c r="D460" s="3" t="s">
        <v>3719</v>
      </c>
      <c r="E460" s="3" t="s">
        <v>3720</v>
      </c>
      <c r="F460" s="3" t="s">
        <v>120</v>
      </c>
      <c r="G460" s="3">
        <v>6</v>
      </c>
      <c r="H460" s="3">
        <v>0</v>
      </c>
      <c r="I460" s="3">
        <v>2</v>
      </c>
      <c r="J460" s="3">
        <v>1</v>
      </c>
      <c r="K460" s="3">
        <v>3</v>
      </c>
      <c r="L460" s="3">
        <v>0</v>
      </c>
      <c r="M460" s="3">
        <v>0</v>
      </c>
      <c r="N460" s="3" t="s">
        <v>5218</v>
      </c>
      <c r="O460" s="3">
        <v>3</v>
      </c>
      <c r="P460" s="3">
        <v>2.98</v>
      </c>
      <c r="Q460" s="3">
        <v>0</v>
      </c>
      <c r="R460" s="3">
        <v>0</v>
      </c>
      <c r="S460" s="3">
        <v>0</v>
      </c>
      <c r="T460" s="3">
        <v>0</v>
      </c>
      <c r="U460" s="3">
        <v>1</v>
      </c>
      <c r="V460" s="3">
        <v>4</v>
      </c>
      <c r="W460" s="3" t="s">
        <v>5227</v>
      </c>
      <c r="X460" s="3">
        <v>23.98</v>
      </c>
      <c r="Y460" s="3">
        <v>23.98</v>
      </c>
      <c r="Z460" s="3">
        <v>23.98</v>
      </c>
      <c r="AA460" s="3">
        <v>0</v>
      </c>
      <c r="AB460" s="3" t="s">
        <v>5228</v>
      </c>
      <c r="AC460" s="3">
        <v>1</v>
      </c>
      <c r="AD460" s="3">
        <v>22.33</v>
      </c>
      <c r="AE460" s="3">
        <v>84</v>
      </c>
      <c r="AF460" s="3">
        <v>0</v>
      </c>
      <c r="AG460" s="3">
        <v>130.057511</v>
      </c>
      <c r="AH460" s="3">
        <v>0.64</v>
      </c>
      <c r="AI460" s="3" t="s">
        <v>5263</v>
      </c>
      <c r="AJ460" s="3" t="s">
        <v>5222</v>
      </c>
    </row>
    <row r="461" spans="1:36">
      <c r="A461" s="5">
        <v>43288</v>
      </c>
      <c r="B461" s="3" t="s">
        <v>4571</v>
      </c>
      <c r="C461" s="3" t="s">
        <v>4007</v>
      </c>
      <c r="D461" s="3" t="s">
        <v>4007</v>
      </c>
      <c r="E461" s="3" t="s">
        <v>4008</v>
      </c>
      <c r="F461" s="3" t="s">
        <v>120</v>
      </c>
      <c r="G461" s="3">
        <v>8</v>
      </c>
      <c r="H461" s="3">
        <v>0</v>
      </c>
      <c r="I461" s="3">
        <v>8</v>
      </c>
      <c r="J461" s="3">
        <v>0</v>
      </c>
      <c r="K461" s="3">
        <v>0</v>
      </c>
      <c r="L461" s="3">
        <v>0</v>
      </c>
      <c r="M461" s="3">
        <v>0</v>
      </c>
      <c r="N461" s="3" t="s">
        <v>5218</v>
      </c>
      <c r="O461" s="3">
        <v>0</v>
      </c>
      <c r="P461" s="3">
        <v>0</v>
      </c>
      <c r="Q461" s="3">
        <v>0</v>
      </c>
      <c r="R461" s="3">
        <v>0</v>
      </c>
      <c r="S461" s="3">
        <v>2</v>
      </c>
      <c r="T461" s="3">
        <v>5</v>
      </c>
      <c r="U461" s="3">
        <v>6</v>
      </c>
      <c r="V461" s="3">
        <v>6</v>
      </c>
      <c r="W461" s="3"/>
      <c r="X461" s="3">
        <v>20.98</v>
      </c>
      <c r="Y461" s="3">
        <v>20.98</v>
      </c>
      <c r="Z461" s="3">
        <v>20.98</v>
      </c>
      <c r="AA461" s="3">
        <v>0</v>
      </c>
      <c r="AB461" s="3" t="s">
        <v>5223</v>
      </c>
      <c r="AC461" s="3">
        <v>10</v>
      </c>
      <c r="AD461" s="3">
        <v>20.98</v>
      </c>
      <c r="AE461" s="3">
        <v>0</v>
      </c>
      <c r="AF461" s="3">
        <v>0</v>
      </c>
      <c r="AG461" s="3">
        <v>0</v>
      </c>
      <c r="AH461" s="3">
        <v>1.84615384615384</v>
      </c>
      <c r="AI461" s="3" t="s">
        <v>5226</v>
      </c>
      <c r="AJ461" s="3" t="s">
        <v>5222</v>
      </c>
    </row>
    <row r="462" spans="1:36">
      <c r="A462" s="5">
        <v>43288</v>
      </c>
      <c r="B462" s="3" t="s">
        <v>5092</v>
      </c>
      <c r="C462" s="3" t="s">
        <v>4811</v>
      </c>
      <c r="D462" s="3" t="s">
        <v>4811</v>
      </c>
      <c r="E462" s="3" t="s">
        <v>4937</v>
      </c>
      <c r="F462" s="3" t="s">
        <v>120</v>
      </c>
      <c r="G462" s="3">
        <v>18</v>
      </c>
      <c r="H462" s="3">
        <v>0</v>
      </c>
      <c r="I462" s="3">
        <v>18</v>
      </c>
      <c r="J462" s="3">
        <v>0</v>
      </c>
      <c r="K462" s="3">
        <v>0</v>
      </c>
      <c r="L462" s="3">
        <v>0</v>
      </c>
      <c r="M462" s="3">
        <v>0</v>
      </c>
      <c r="N462" s="3" t="s">
        <v>5218</v>
      </c>
      <c r="O462" s="3">
        <v>0</v>
      </c>
      <c r="P462" s="3">
        <v>0</v>
      </c>
      <c r="Q462" s="3">
        <v>0</v>
      </c>
      <c r="R462" s="3">
        <v>0</v>
      </c>
      <c r="S462" s="3">
        <v>1</v>
      </c>
      <c r="T462" s="3">
        <v>10</v>
      </c>
      <c r="U462" s="3">
        <v>17</v>
      </c>
      <c r="V462" s="3">
        <v>17</v>
      </c>
      <c r="W462" s="3"/>
      <c r="X462" s="3">
        <v>22.98</v>
      </c>
      <c r="Y462" s="3">
        <v>22.98</v>
      </c>
      <c r="Z462" s="3">
        <v>22.98</v>
      </c>
      <c r="AA462" s="3">
        <v>0</v>
      </c>
      <c r="AB462" s="3" t="s">
        <v>5223</v>
      </c>
      <c r="AC462" s="3">
        <v>19</v>
      </c>
      <c r="AD462" s="3">
        <v>22.98</v>
      </c>
      <c r="AE462" s="3">
        <v>0</v>
      </c>
      <c r="AF462" s="3">
        <v>0</v>
      </c>
      <c r="AG462" s="3">
        <v>0</v>
      </c>
      <c r="AH462" s="3">
        <v>1.83783783783783</v>
      </c>
      <c r="AI462" s="3" t="s">
        <v>5261</v>
      </c>
      <c r="AJ462" s="3" t="s">
        <v>5222</v>
      </c>
    </row>
    <row r="463" spans="1:36">
      <c r="A463" s="5">
        <v>43288</v>
      </c>
      <c r="B463" s="3" t="s">
        <v>1442</v>
      </c>
      <c r="C463" s="3" t="s">
        <v>1443</v>
      </c>
      <c r="D463" s="3" t="s">
        <v>1444</v>
      </c>
      <c r="E463" s="3" t="s">
        <v>1445</v>
      </c>
      <c r="F463" s="3" t="s">
        <v>120</v>
      </c>
      <c r="G463" s="3">
        <v>29</v>
      </c>
      <c r="H463" s="3">
        <v>0</v>
      </c>
      <c r="I463" s="3">
        <v>29</v>
      </c>
      <c r="J463" s="3">
        <v>0</v>
      </c>
      <c r="K463" s="3">
        <v>0</v>
      </c>
      <c r="L463" s="3">
        <v>0</v>
      </c>
      <c r="M463" s="3">
        <v>0</v>
      </c>
      <c r="N463" s="3" t="s">
        <v>5218</v>
      </c>
      <c r="O463" s="3">
        <v>0</v>
      </c>
      <c r="P463" s="3">
        <v>0</v>
      </c>
      <c r="Q463" s="3">
        <v>0</v>
      </c>
      <c r="R463" s="3">
        <v>0</v>
      </c>
      <c r="S463" s="3">
        <v>0</v>
      </c>
      <c r="T463" s="3">
        <v>0</v>
      </c>
      <c r="U463" s="3">
        <v>0</v>
      </c>
      <c r="V463" s="3">
        <v>0</v>
      </c>
      <c r="W463" s="3" t="s">
        <v>5227</v>
      </c>
      <c r="X463" s="3">
        <v>24.98</v>
      </c>
      <c r="Y463" s="3">
        <v>24.98</v>
      </c>
      <c r="Z463" s="3">
        <v>24.98</v>
      </c>
      <c r="AA463" s="3">
        <v>0</v>
      </c>
      <c r="AB463" s="3" t="s">
        <v>5223</v>
      </c>
      <c r="AC463" s="3">
        <v>0</v>
      </c>
      <c r="AD463" s="3">
        <v>0</v>
      </c>
      <c r="AE463" s="3">
        <v>0</v>
      </c>
      <c r="AF463" s="3">
        <v>0</v>
      </c>
      <c r="AG463" s="3">
        <v>0</v>
      </c>
      <c r="AH463" s="3">
        <v>11.8787878787878</v>
      </c>
      <c r="AI463" s="3" t="s">
        <v>5236</v>
      </c>
      <c r="AJ463" s="3" t="s">
        <v>5222</v>
      </c>
    </row>
    <row r="464" spans="1:36">
      <c r="A464" s="5">
        <v>43288</v>
      </c>
      <c r="B464" s="3" t="s">
        <v>5183</v>
      </c>
      <c r="C464" s="3" t="s">
        <v>5184</v>
      </c>
      <c r="D464" s="3" t="s">
        <v>5184</v>
      </c>
      <c r="E464" s="3" t="s">
        <v>5185</v>
      </c>
      <c r="F464" s="3" t="s">
        <v>120</v>
      </c>
      <c r="G464" s="3">
        <v>9</v>
      </c>
      <c r="H464" s="3">
        <v>0</v>
      </c>
      <c r="I464" s="3">
        <v>0</v>
      </c>
      <c r="J464" s="3">
        <v>4</v>
      </c>
      <c r="K464" s="3">
        <v>5</v>
      </c>
      <c r="L464" s="3">
        <v>0</v>
      </c>
      <c r="M464" s="3">
        <v>0</v>
      </c>
      <c r="N464" s="3" t="s">
        <v>5218</v>
      </c>
      <c r="O464" s="3">
        <v>9</v>
      </c>
      <c r="P464" s="3">
        <v>28.43</v>
      </c>
      <c r="Q464" s="3">
        <v>0</v>
      </c>
      <c r="R464" s="3">
        <v>0</v>
      </c>
      <c r="S464" s="3">
        <v>0</v>
      </c>
      <c r="T464" s="3">
        <v>0</v>
      </c>
      <c r="U464" s="3">
        <v>0</v>
      </c>
      <c r="V464" s="3">
        <v>0</v>
      </c>
      <c r="W464" s="3" t="s">
        <v>5219</v>
      </c>
      <c r="X464" s="3">
        <v>29.98</v>
      </c>
      <c r="Y464" s="3">
        <v>29.98</v>
      </c>
      <c r="Z464" s="3">
        <v>29.98</v>
      </c>
      <c r="AA464" s="3">
        <v>0</v>
      </c>
      <c r="AB464" s="3" t="s">
        <v>5228</v>
      </c>
      <c r="AC464" s="3">
        <v>0</v>
      </c>
      <c r="AD464" s="3">
        <v>23.98</v>
      </c>
      <c r="AE464" s="3">
        <v>63</v>
      </c>
      <c r="AF464" s="3">
        <v>0</v>
      </c>
      <c r="AG464" s="3">
        <v>345.356336</v>
      </c>
      <c r="AH464" s="3">
        <v>0</v>
      </c>
      <c r="AI464" s="3" t="s">
        <v>5397</v>
      </c>
      <c r="AJ464" s="3" t="s">
        <v>5222</v>
      </c>
    </row>
    <row r="465" spans="1:36">
      <c r="A465" s="5">
        <v>43288</v>
      </c>
      <c r="B465" s="3" t="s">
        <v>4989</v>
      </c>
      <c r="C465" s="3" t="s">
        <v>4990</v>
      </c>
      <c r="D465" s="3" t="s">
        <v>4990</v>
      </c>
      <c r="E465" s="3" t="s">
        <v>4991</v>
      </c>
      <c r="F465" s="3" t="s">
        <v>120</v>
      </c>
      <c r="G465" s="3">
        <v>1</v>
      </c>
      <c r="H465" s="3">
        <v>0</v>
      </c>
      <c r="I465" s="3">
        <v>0</v>
      </c>
      <c r="J465" s="3">
        <v>1</v>
      </c>
      <c r="K465" s="3">
        <v>0</v>
      </c>
      <c r="L465" s="3">
        <v>0</v>
      </c>
      <c r="M465" s="3">
        <v>0</v>
      </c>
      <c r="N465" s="3" t="s">
        <v>5218</v>
      </c>
      <c r="O465" s="3">
        <v>1</v>
      </c>
      <c r="P465" s="3">
        <v>0.62</v>
      </c>
      <c r="Q465" s="3">
        <v>0</v>
      </c>
      <c r="R465" s="3">
        <v>0</v>
      </c>
      <c r="S465" s="3">
        <v>0</v>
      </c>
      <c r="T465" s="3">
        <v>0</v>
      </c>
      <c r="U465" s="3">
        <v>0</v>
      </c>
      <c r="V465" s="3">
        <v>0</v>
      </c>
      <c r="W465" s="3" t="s">
        <v>5219</v>
      </c>
      <c r="X465" s="3">
        <v>25</v>
      </c>
      <c r="Y465" s="3">
        <v>25</v>
      </c>
      <c r="Z465" s="3">
        <v>25</v>
      </c>
      <c r="AA465" s="3">
        <v>0</v>
      </c>
      <c r="AB465" s="3" t="s">
        <v>5220</v>
      </c>
      <c r="AC465" s="3">
        <v>0</v>
      </c>
      <c r="AD465" s="3">
        <v>22.64</v>
      </c>
      <c r="AE465" s="3">
        <v>364</v>
      </c>
      <c r="AF465" s="3">
        <v>0</v>
      </c>
      <c r="AG465" s="3">
        <v>17.085481</v>
      </c>
      <c r="AH465" s="3">
        <v>0</v>
      </c>
      <c r="AI465" s="3" t="s">
        <v>5267</v>
      </c>
      <c r="AJ465" s="3" t="s">
        <v>5242</v>
      </c>
    </row>
    <row r="466" spans="1:36">
      <c r="A466" s="5">
        <v>43288</v>
      </c>
      <c r="B466" s="3" t="s">
        <v>199</v>
      </c>
      <c r="C466" s="3" t="s">
        <v>200</v>
      </c>
      <c r="D466" s="3" t="s">
        <v>200</v>
      </c>
      <c r="E466" s="3" t="s">
        <v>201</v>
      </c>
      <c r="F466" s="3" t="s">
        <v>120</v>
      </c>
      <c r="G466" s="3">
        <v>1</v>
      </c>
      <c r="H466" s="3">
        <v>0</v>
      </c>
      <c r="I466" s="3">
        <v>0</v>
      </c>
      <c r="J466" s="3">
        <v>1</v>
      </c>
      <c r="K466" s="3">
        <v>0</v>
      </c>
      <c r="L466" s="3">
        <v>0</v>
      </c>
      <c r="M466" s="3">
        <v>0</v>
      </c>
      <c r="N466" s="3" t="s">
        <v>5218</v>
      </c>
      <c r="O466" s="3">
        <v>1</v>
      </c>
      <c r="P466" s="3">
        <v>6.67</v>
      </c>
      <c r="Q466" s="3">
        <v>0</v>
      </c>
      <c r="R466" s="3">
        <v>0</v>
      </c>
      <c r="S466" s="3">
        <v>0</v>
      </c>
      <c r="T466" s="3">
        <v>0</v>
      </c>
      <c r="U466" s="3">
        <v>0</v>
      </c>
      <c r="V466" s="3">
        <v>0</v>
      </c>
      <c r="W466" s="3" t="s">
        <v>5219</v>
      </c>
      <c r="X466" s="3">
        <v>65.98</v>
      </c>
      <c r="Y466" s="3">
        <v>65.98</v>
      </c>
      <c r="Z466" s="3">
        <v>65.98</v>
      </c>
      <c r="AA466" s="3">
        <v>0</v>
      </c>
      <c r="AB466" s="3" t="s">
        <v>5220</v>
      </c>
      <c r="AC466" s="3">
        <v>0</v>
      </c>
      <c r="AD466" s="3">
        <v>59.68</v>
      </c>
      <c r="AE466" s="3">
        <v>161</v>
      </c>
      <c r="AF466" s="3">
        <v>0</v>
      </c>
      <c r="AG466" s="3">
        <v>89.107558</v>
      </c>
      <c r="AH466" s="3">
        <v>0</v>
      </c>
      <c r="AI466" s="3" t="s">
        <v>5398</v>
      </c>
      <c r="AJ466" s="3" t="s">
        <v>5222</v>
      </c>
    </row>
    <row r="467" spans="1:36">
      <c r="A467" s="5">
        <v>43288</v>
      </c>
      <c r="B467" s="3" t="s">
        <v>5177</v>
      </c>
      <c r="C467" s="3" t="s">
        <v>5178</v>
      </c>
      <c r="D467" s="3" t="s">
        <v>5178</v>
      </c>
      <c r="E467" s="3" t="s">
        <v>5179</v>
      </c>
      <c r="F467" s="3" t="s">
        <v>120</v>
      </c>
      <c r="G467" s="3">
        <v>2</v>
      </c>
      <c r="H467" s="3">
        <v>0</v>
      </c>
      <c r="I467" s="3">
        <v>0</v>
      </c>
      <c r="J467" s="3">
        <v>1</v>
      </c>
      <c r="K467" s="3">
        <v>1</v>
      </c>
      <c r="L467" s="3">
        <v>0</v>
      </c>
      <c r="M467" s="3">
        <v>0</v>
      </c>
      <c r="N467" s="3" t="s">
        <v>5218</v>
      </c>
      <c r="O467" s="3">
        <v>1</v>
      </c>
      <c r="P467" s="3">
        <v>3.32</v>
      </c>
      <c r="Q467" s="3">
        <v>0</v>
      </c>
      <c r="R467" s="3">
        <v>0</v>
      </c>
      <c r="S467" s="3">
        <v>0</v>
      </c>
      <c r="T467" s="3">
        <v>0</v>
      </c>
      <c r="U467" s="3">
        <v>0</v>
      </c>
      <c r="V467" s="3">
        <v>0</v>
      </c>
      <c r="W467" s="3" t="s">
        <v>5219</v>
      </c>
      <c r="X467" s="3">
        <v>29.98</v>
      </c>
      <c r="Y467" s="3">
        <v>29.98</v>
      </c>
      <c r="Z467" s="3">
        <v>29.98</v>
      </c>
      <c r="AA467" s="3">
        <v>0</v>
      </c>
      <c r="AB467" s="3" t="s">
        <v>5228</v>
      </c>
      <c r="AC467" s="3">
        <v>0</v>
      </c>
      <c r="AD467" s="3">
        <v>26.71</v>
      </c>
      <c r="AE467" s="3">
        <v>133</v>
      </c>
      <c r="AF467" s="3">
        <v>0</v>
      </c>
      <c r="AG467" s="3">
        <v>92.266797</v>
      </c>
      <c r="AH467" s="3">
        <v>0</v>
      </c>
      <c r="AI467" s="3" t="s">
        <v>5399</v>
      </c>
      <c r="AJ467" s="3" t="s">
        <v>5222</v>
      </c>
    </row>
    <row r="468" spans="1:36">
      <c r="A468" s="5">
        <v>43288</v>
      </c>
      <c r="B468" s="3" t="s">
        <v>1280</v>
      </c>
      <c r="C468" s="3" t="s">
        <v>1281</v>
      </c>
      <c r="D468" s="3" t="s">
        <v>570</v>
      </c>
      <c r="E468" s="3" t="s">
        <v>813</v>
      </c>
      <c r="F468" s="3" t="s">
        <v>120</v>
      </c>
      <c r="G468" s="3">
        <v>2</v>
      </c>
      <c r="H468" s="3">
        <v>0</v>
      </c>
      <c r="I468" s="3">
        <v>2</v>
      </c>
      <c r="J468" s="3">
        <v>0</v>
      </c>
      <c r="K468" s="3">
        <v>0</v>
      </c>
      <c r="L468" s="3">
        <v>0</v>
      </c>
      <c r="M468" s="3">
        <v>0</v>
      </c>
      <c r="N468" s="3" t="s">
        <v>5218</v>
      </c>
      <c r="O468" s="3">
        <v>0</v>
      </c>
      <c r="P468" s="3">
        <v>0</v>
      </c>
      <c r="Q468" s="3">
        <v>0</v>
      </c>
      <c r="R468" s="3">
        <v>0</v>
      </c>
      <c r="S468" s="3">
        <v>0</v>
      </c>
      <c r="T468" s="3">
        <v>0</v>
      </c>
      <c r="U468" s="3">
        <v>0</v>
      </c>
      <c r="V468" s="3">
        <v>0</v>
      </c>
      <c r="W468" s="3" t="s">
        <v>5227</v>
      </c>
      <c r="X468" s="3">
        <v>22.98</v>
      </c>
      <c r="Y468" s="3">
        <v>22.98</v>
      </c>
      <c r="Z468" s="3">
        <v>22.98</v>
      </c>
      <c r="AA468" s="3">
        <v>0</v>
      </c>
      <c r="AB468" s="3" t="s">
        <v>5223</v>
      </c>
      <c r="AC468" s="3">
        <v>2</v>
      </c>
      <c r="AD468" s="3">
        <v>22.98</v>
      </c>
      <c r="AE468" s="3">
        <v>0</v>
      </c>
      <c r="AF468" s="3">
        <v>0</v>
      </c>
      <c r="AG468" s="3">
        <v>0</v>
      </c>
      <c r="AH468" s="3">
        <v>0.409090909090909</v>
      </c>
      <c r="AI468" s="3" t="s">
        <v>5225</v>
      </c>
      <c r="AJ468" s="3" t="s">
        <v>5222</v>
      </c>
    </row>
    <row r="469" spans="1:36">
      <c r="A469" s="5">
        <v>43288</v>
      </c>
      <c r="B469" s="3" t="s">
        <v>604</v>
      </c>
      <c r="C469" s="3" t="s">
        <v>605</v>
      </c>
      <c r="D469" s="3" t="s">
        <v>605</v>
      </c>
      <c r="E469" s="3" t="s">
        <v>606</v>
      </c>
      <c r="F469" s="3" t="s">
        <v>120</v>
      </c>
      <c r="G469" s="3">
        <v>2</v>
      </c>
      <c r="H469" s="3">
        <v>0</v>
      </c>
      <c r="I469" s="3">
        <v>2</v>
      </c>
      <c r="J469" s="3">
        <v>0</v>
      </c>
      <c r="K469" s="3">
        <v>0</v>
      </c>
      <c r="L469" s="3">
        <v>0</v>
      </c>
      <c r="M469" s="3">
        <v>0</v>
      </c>
      <c r="N469" s="3" t="s">
        <v>5218</v>
      </c>
      <c r="O469" s="3">
        <v>0</v>
      </c>
      <c r="P469" s="3">
        <v>0</v>
      </c>
      <c r="Q469" s="3">
        <v>0</v>
      </c>
      <c r="R469" s="3">
        <v>0</v>
      </c>
      <c r="S469" s="3">
        <v>1</v>
      </c>
      <c r="T469" s="3">
        <v>4</v>
      </c>
      <c r="U469" s="3">
        <v>7</v>
      </c>
      <c r="V469" s="3">
        <v>9</v>
      </c>
      <c r="W469" s="3"/>
      <c r="X469" s="3">
        <v>24.98</v>
      </c>
      <c r="Y469" s="3">
        <v>24.98</v>
      </c>
      <c r="Z469" s="3">
        <v>24.98</v>
      </c>
      <c r="AA469" s="3">
        <v>0</v>
      </c>
      <c r="AB469" s="3" t="s">
        <v>5223</v>
      </c>
      <c r="AC469" s="3">
        <v>2</v>
      </c>
      <c r="AD469" s="3">
        <v>24.98</v>
      </c>
      <c r="AE469" s="3">
        <v>0</v>
      </c>
      <c r="AF469" s="3">
        <v>0</v>
      </c>
      <c r="AG469" s="3">
        <v>0</v>
      </c>
      <c r="AH469" s="3">
        <v>2.11764705882352</v>
      </c>
      <c r="AI469" s="3" t="s">
        <v>5250</v>
      </c>
      <c r="AJ469" s="3" t="s">
        <v>5222</v>
      </c>
    </row>
    <row r="470" spans="1:36">
      <c r="A470" s="5">
        <v>43288</v>
      </c>
      <c r="B470" s="3" t="s">
        <v>4800</v>
      </c>
      <c r="C470" s="3" t="s">
        <v>4801</v>
      </c>
      <c r="D470" s="3" t="s">
        <v>4801</v>
      </c>
      <c r="E470" s="3" t="s">
        <v>4802</v>
      </c>
      <c r="F470" s="3" t="s">
        <v>120</v>
      </c>
      <c r="G470" s="3">
        <v>14</v>
      </c>
      <c r="H470" s="3">
        <v>0</v>
      </c>
      <c r="I470" s="3">
        <v>14</v>
      </c>
      <c r="J470" s="3">
        <v>0</v>
      </c>
      <c r="K470" s="3">
        <v>0</v>
      </c>
      <c r="L470" s="3">
        <v>0</v>
      </c>
      <c r="M470" s="3">
        <v>0</v>
      </c>
      <c r="N470" s="3" t="s">
        <v>5218</v>
      </c>
      <c r="O470" s="3">
        <v>0</v>
      </c>
      <c r="P470" s="3">
        <v>0</v>
      </c>
      <c r="Q470" s="3">
        <v>0</v>
      </c>
      <c r="R470" s="3">
        <v>0</v>
      </c>
      <c r="S470" s="3">
        <v>4</v>
      </c>
      <c r="T470" s="3">
        <v>6</v>
      </c>
      <c r="U470" s="3">
        <v>9</v>
      </c>
      <c r="V470" s="3">
        <v>11</v>
      </c>
      <c r="W470" s="3"/>
      <c r="X470" s="3">
        <v>22.98</v>
      </c>
      <c r="Y470" s="3">
        <v>22.98</v>
      </c>
      <c r="Z470" s="3">
        <v>22.98</v>
      </c>
      <c r="AA470" s="3">
        <v>0</v>
      </c>
      <c r="AB470" s="3" t="s">
        <v>5223</v>
      </c>
      <c r="AC470" s="3">
        <v>15</v>
      </c>
      <c r="AD470" s="3">
        <v>22.98</v>
      </c>
      <c r="AE470" s="3">
        <v>0</v>
      </c>
      <c r="AF470" s="3">
        <v>0</v>
      </c>
      <c r="AG470" s="3">
        <v>0</v>
      </c>
      <c r="AH470" s="3">
        <v>0.771929824561403</v>
      </c>
      <c r="AI470" s="3" t="s">
        <v>5400</v>
      </c>
      <c r="AJ470" s="3" t="s">
        <v>5222</v>
      </c>
    </row>
    <row r="471" spans="1:36">
      <c r="A471" s="5">
        <v>43288</v>
      </c>
      <c r="B471" s="3" t="s">
        <v>2271</v>
      </c>
      <c r="C471" s="3" t="s">
        <v>2272</v>
      </c>
      <c r="D471" s="3" t="s">
        <v>2272</v>
      </c>
      <c r="E471" s="3" t="s">
        <v>2273</v>
      </c>
      <c r="F471" s="3" t="s">
        <v>120</v>
      </c>
      <c r="G471" s="3">
        <v>1</v>
      </c>
      <c r="H471" s="3">
        <v>0</v>
      </c>
      <c r="I471" s="3">
        <v>0</v>
      </c>
      <c r="J471" s="3">
        <v>1</v>
      </c>
      <c r="K471" s="3">
        <v>0</v>
      </c>
      <c r="L471" s="3">
        <v>0</v>
      </c>
      <c r="M471" s="3">
        <v>0</v>
      </c>
      <c r="N471" s="3" t="s">
        <v>5218</v>
      </c>
      <c r="O471" s="3">
        <v>0</v>
      </c>
      <c r="P471" s="3">
        <v>0</v>
      </c>
      <c r="Q471" s="3">
        <v>0</v>
      </c>
      <c r="R471" s="3">
        <v>0</v>
      </c>
      <c r="S471" s="3">
        <v>0</v>
      </c>
      <c r="T471" s="3">
        <v>0</v>
      </c>
      <c r="U471" s="3">
        <v>0</v>
      </c>
      <c r="V471" s="3">
        <v>0</v>
      </c>
      <c r="W471" s="3" t="s">
        <v>5219</v>
      </c>
      <c r="X471" s="3">
        <v>24.98</v>
      </c>
      <c r="Y471" s="3">
        <v>24.98</v>
      </c>
      <c r="Z471" s="3">
        <v>24.98</v>
      </c>
      <c r="AA471" s="3">
        <v>0</v>
      </c>
      <c r="AB471" s="3" t="s">
        <v>5220</v>
      </c>
      <c r="AC471" s="3">
        <v>1</v>
      </c>
      <c r="AD471" s="3">
        <v>24.98</v>
      </c>
      <c r="AE471" s="3">
        <v>0</v>
      </c>
      <c r="AF471" s="3">
        <v>0</v>
      </c>
      <c r="AG471" s="3">
        <v>0</v>
      </c>
      <c r="AH471" s="3">
        <v>0</v>
      </c>
      <c r="AI471" s="3" t="s">
        <v>5313</v>
      </c>
      <c r="AJ471" s="3" t="s">
        <v>5222</v>
      </c>
    </row>
    <row r="472" spans="1:36">
      <c r="A472" s="5">
        <v>43288</v>
      </c>
      <c r="B472" s="3" t="s">
        <v>1066</v>
      </c>
      <c r="C472" s="3" t="s">
        <v>1067</v>
      </c>
      <c r="D472" s="3" t="s">
        <v>1068</v>
      </c>
      <c r="E472" s="3" t="s">
        <v>1069</v>
      </c>
      <c r="F472" s="3" t="s">
        <v>120</v>
      </c>
      <c r="G472" s="3">
        <v>1</v>
      </c>
      <c r="H472" s="3">
        <v>0</v>
      </c>
      <c r="I472" s="3">
        <v>1</v>
      </c>
      <c r="J472" s="3">
        <v>0</v>
      </c>
      <c r="K472" s="3">
        <v>0</v>
      </c>
      <c r="L472" s="3">
        <v>0</v>
      </c>
      <c r="M472" s="3">
        <v>0</v>
      </c>
      <c r="N472" s="3" t="s">
        <v>5218</v>
      </c>
      <c r="O472" s="3">
        <v>0</v>
      </c>
      <c r="P472" s="3">
        <v>0</v>
      </c>
      <c r="Q472" s="3">
        <v>0</v>
      </c>
      <c r="R472" s="3">
        <v>0</v>
      </c>
      <c r="S472" s="3">
        <v>3</v>
      </c>
      <c r="T472" s="3">
        <v>4</v>
      </c>
      <c r="U472" s="3">
        <v>4</v>
      </c>
      <c r="V472" s="3">
        <v>4</v>
      </c>
      <c r="W472" s="3"/>
      <c r="X472" s="3">
        <v>22.98</v>
      </c>
      <c r="Y472" s="3">
        <v>22.98</v>
      </c>
      <c r="Z472" s="3">
        <v>22.98</v>
      </c>
      <c r="AA472" s="3">
        <v>0</v>
      </c>
      <c r="AB472" s="3" t="s">
        <v>5223</v>
      </c>
      <c r="AC472" s="3">
        <v>2</v>
      </c>
      <c r="AD472" s="3">
        <v>22.98</v>
      </c>
      <c r="AE472" s="3">
        <v>0</v>
      </c>
      <c r="AF472" s="3">
        <v>0</v>
      </c>
      <c r="AG472" s="3">
        <v>0</v>
      </c>
      <c r="AH472" s="3">
        <v>4</v>
      </c>
      <c r="AI472" s="3" t="s">
        <v>5238</v>
      </c>
      <c r="AJ472" s="3" t="s">
        <v>5222</v>
      </c>
    </row>
    <row r="473" spans="1:36">
      <c r="A473" s="5">
        <v>43288</v>
      </c>
      <c r="B473" s="3" t="s">
        <v>2931</v>
      </c>
      <c r="C473" s="3" t="s">
        <v>2932</v>
      </c>
      <c r="D473" s="3" t="s">
        <v>2932</v>
      </c>
      <c r="E473" s="3" t="s">
        <v>2933</v>
      </c>
      <c r="F473" s="3" t="s">
        <v>120</v>
      </c>
      <c r="G473" s="3">
        <v>20</v>
      </c>
      <c r="H473" s="3">
        <v>0</v>
      </c>
      <c r="I473" s="3">
        <v>20</v>
      </c>
      <c r="J473" s="3">
        <v>0</v>
      </c>
      <c r="K473" s="3">
        <v>0</v>
      </c>
      <c r="L473" s="3">
        <v>0</v>
      </c>
      <c r="M473" s="3">
        <v>0</v>
      </c>
      <c r="N473" s="3" t="s">
        <v>5218</v>
      </c>
      <c r="O473" s="3">
        <v>0</v>
      </c>
      <c r="P473" s="3">
        <v>0</v>
      </c>
      <c r="Q473" s="3">
        <v>0</v>
      </c>
      <c r="R473" s="3">
        <v>0</v>
      </c>
      <c r="S473" s="3">
        <v>0</v>
      </c>
      <c r="T473" s="3">
        <v>0</v>
      </c>
      <c r="U473" s="3">
        <v>0</v>
      </c>
      <c r="V473" s="3">
        <v>0</v>
      </c>
      <c r="W473" s="3" t="s">
        <v>5219</v>
      </c>
      <c r="X473" s="3">
        <v>39.98</v>
      </c>
      <c r="Y473" s="3">
        <v>39.98</v>
      </c>
      <c r="Z473" s="3">
        <v>39.98</v>
      </c>
      <c r="AA473" s="3">
        <v>0</v>
      </c>
      <c r="AB473" s="3" t="s">
        <v>5220</v>
      </c>
      <c r="AC473" s="3">
        <v>20</v>
      </c>
      <c r="AD473" s="3">
        <v>39.98</v>
      </c>
      <c r="AE473" s="3">
        <v>0</v>
      </c>
      <c r="AF473" s="3">
        <v>0</v>
      </c>
      <c r="AG473" s="3">
        <v>0</v>
      </c>
      <c r="AH473" s="3">
        <v>0</v>
      </c>
      <c r="AI473" s="3" t="s">
        <v>5236</v>
      </c>
      <c r="AJ473" s="3" t="s">
        <v>5222</v>
      </c>
    </row>
    <row r="474" spans="1:36">
      <c r="A474" s="5">
        <v>43288</v>
      </c>
      <c r="B474" s="3" t="s">
        <v>2581</v>
      </c>
      <c r="C474" s="3" t="s">
        <v>1044</v>
      </c>
      <c r="D474" s="3" t="s">
        <v>1044</v>
      </c>
      <c r="E474" s="3" t="s">
        <v>1045</v>
      </c>
      <c r="F474" s="3" t="s">
        <v>120</v>
      </c>
      <c r="G474" s="3">
        <v>24</v>
      </c>
      <c r="H474" s="3">
        <v>0</v>
      </c>
      <c r="I474" s="3">
        <v>13</v>
      </c>
      <c r="J474" s="3">
        <v>1</v>
      </c>
      <c r="K474" s="3">
        <v>10</v>
      </c>
      <c r="L474" s="3">
        <v>0</v>
      </c>
      <c r="M474" s="3">
        <v>0</v>
      </c>
      <c r="N474" s="3" t="s">
        <v>5218</v>
      </c>
      <c r="O474" s="3">
        <v>10</v>
      </c>
      <c r="P474" s="3">
        <v>16.84</v>
      </c>
      <c r="Q474" s="3">
        <v>0</v>
      </c>
      <c r="R474" s="3">
        <v>0</v>
      </c>
      <c r="S474" s="3">
        <v>2</v>
      </c>
      <c r="T474" s="3">
        <v>3</v>
      </c>
      <c r="U474" s="3">
        <v>5</v>
      </c>
      <c r="V474" s="3">
        <v>8</v>
      </c>
      <c r="W474" s="3"/>
      <c r="X474" s="3">
        <v>22.98</v>
      </c>
      <c r="Y474" s="3">
        <v>22.98</v>
      </c>
      <c r="Z474" s="3">
        <v>22.98</v>
      </c>
      <c r="AA474" s="3">
        <v>0</v>
      </c>
      <c r="AB474" s="3" t="s">
        <v>5228</v>
      </c>
      <c r="AC474" s="3">
        <v>14</v>
      </c>
      <c r="AD474" s="3">
        <v>18.38</v>
      </c>
      <c r="AE474" s="3">
        <v>238</v>
      </c>
      <c r="AF474" s="3">
        <v>0</v>
      </c>
      <c r="AG474" s="3">
        <v>20.855982</v>
      </c>
      <c r="AH474" s="3">
        <v>0.40506329113924</v>
      </c>
      <c r="AI474" s="3" t="s">
        <v>5238</v>
      </c>
      <c r="AJ474" s="3" t="s">
        <v>5222</v>
      </c>
    </row>
    <row r="475" spans="1:36">
      <c r="A475" s="5">
        <v>43288</v>
      </c>
      <c r="B475" s="3" t="s">
        <v>1691</v>
      </c>
      <c r="C475" s="3" t="s">
        <v>1692</v>
      </c>
      <c r="D475" s="3" t="s">
        <v>1692</v>
      </c>
      <c r="E475" s="3" t="s">
        <v>5401</v>
      </c>
      <c r="F475" s="3" t="s">
        <v>120</v>
      </c>
      <c r="G475" s="3">
        <v>1</v>
      </c>
      <c r="H475" s="3">
        <v>0</v>
      </c>
      <c r="I475" s="3">
        <v>1</v>
      </c>
      <c r="J475" s="3">
        <v>0</v>
      </c>
      <c r="K475" s="3">
        <v>0</v>
      </c>
      <c r="L475" s="3">
        <v>0</v>
      </c>
      <c r="M475" s="3">
        <v>0</v>
      </c>
      <c r="N475" s="3" t="s">
        <v>5218</v>
      </c>
      <c r="O475" s="3">
        <v>0</v>
      </c>
      <c r="P475" s="3">
        <v>0</v>
      </c>
      <c r="Q475" s="3">
        <v>0</v>
      </c>
      <c r="R475" s="3">
        <v>0</v>
      </c>
      <c r="S475" s="3">
        <v>0</v>
      </c>
      <c r="T475" s="3">
        <v>0</v>
      </c>
      <c r="U475" s="3">
        <v>4</v>
      </c>
      <c r="V475" s="3">
        <v>4</v>
      </c>
      <c r="W475" s="3"/>
      <c r="X475" s="3"/>
      <c r="Y475" s="3"/>
      <c r="Z475" s="3">
        <v>-1</v>
      </c>
      <c r="AA475" s="3">
        <v>-1</v>
      </c>
      <c r="AB475" s="3" t="s">
        <v>5244</v>
      </c>
      <c r="AC475" s="3">
        <v>0</v>
      </c>
      <c r="AD475" s="3">
        <v>0</v>
      </c>
      <c r="AE475" s="3">
        <v>0</v>
      </c>
      <c r="AF475" s="3">
        <v>0</v>
      </c>
      <c r="AG475" s="3">
        <v>0</v>
      </c>
      <c r="AH475" s="3">
        <v>1.77777777777777</v>
      </c>
      <c r="AI475" s="3" t="s">
        <v>5283</v>
      </c>
      <c r="AJ475" s="3" t="s">
        <v>5222</v>
      </c>
    </row>
    <row r="476" spans="1:36">
      <c r="A476" s="5">
        <v>43288</v>
      </c>
      <c r="B476" s="3" t="s">
        <v>818</v>
      </c>
      <c r="C476" s="3" t="s">
        <v>579</v>
      </c>
      <c r="D476" s="3" t="s">
        <v>579</v>
      </c>
      <c r="E476" s="3" t="s">
        <v>819</v>
      </c>
      <c r="F476" s="3" t="s">
        <v>120</v>
      </c>
      <c r="G476" s="3">
        <v>1</v>
      </c>
      <c r="H476" s="3">
        <v>0</v>
      </c>
      <c r="I476" s="3">
        <v>1</v>
      </c>
      <c r="J476" s="3">
        <v>0</v>
      </c>
      <c r="K476" s="3">
        <v>0</v>
      </c>
      <c r="L476" s="3">
        <v>0</v>
      </c>
      <c r="M476" s="3">
        <v>0</v>
      </c>
      <c r="N476" s="3" t="s">
        <v>5218</v>
      </c>
      <c r="O476" s="3">
        <v>0</v>
      </c>
      <c r="P476" s="3">
        <v>0</v>
      </c>
      <c r="Q476" s="3">
        <v>0</v>
      </c>
      <c r="R476" s="3">
        <v>0</v>
      </c>
      <c r="S476" s="3">
        <v>0</v>
      </c>
      <c r="T476" s="3">
        <v>1</v>
      </c>
      <c r="U476" s="3">
        <v>1</v>
      </c>
      <c r="V476" s="3">
        <v>1</v>
      </c>
      <c r="W476" s="3"/>
      <c r="X476" s="3">
        <v>22.98</v>
      </c>
      <c r="Y476" s="3">
        <v>22.98</v>
      </c>
      <c r="Z476" s="3">
        <v>22.98</v>
      </c>
      <c r="AA476" s="3">
        <v>0</v>
      </c>
      <c r="AB476" s="3" t="s">
        <v>5223</v>
      </c>
      <c r="AC476" s="3">
        <v>1</v>
      </c>
      <c r="AD476" s="3">
        <v>22.98</v>
      </c>
      <c r="AE476" s="3">
        <v>0</v>
      </c>
      <c r="AF476" s="3">
        <v>0</v>
      </c>
      <c r="AG476" s="3">
        <v>0</v>
      </c>
      <c r="AH476" s="3">
        <v>0.857142857142857</v>
      </c>
      <c r="AI476" s="3" t="s">
        <v>5225</v>
      </c>
      <c r="AJ476" s="3" t="s">
        <v>5222</v>
      </c>
    </row>
    <row r="477" spans="1:36">
      <c r="A477" s="5">
        <v>43288</v>
      </c>
      <c r="B477" s="3" t="s">
        <v>4540</v>
      </c>
      <c r="C477" s="3" t="s">
        <v>3867</v>
      </c>
      <c r="D477" s="3" t="s">
        <v>3867</v>
      </c>
      <c r="E477" s="3" t="s">
        <v>3868</v>
      </c>
      <c r="F477" s="3" t="s">
        <v>120</v>
      </c>
      <c r="G477" s="3">
        <v>15</v>
      </c>
      <c r="H477" s="3">
        <v>0</v>
      </c>
      <c r="I477" s="3">
        <v>15</v>
      </c>
      <c r="J477" s="3">
        <v>0</v>
      </c>
      <c r="K477" s="3">
        <v>0</v>
      </c>
      <c r="L477" s="3">
        <v>0</v>
      </c>
      <c r="M477" s="3">
        <v>0</v>
      </c>
      <c r="N477" s="3" t="s">
        <v>5218</v>
      </c>
      <c r="O477" s="3">
        <v>0</v>
      </c>
      <c r="P477" s="3">
        <v>0</v>
      </c>
      <c r="Q477" s="3">
        <v>0</v>
      </c>
      <c r="R477" s="3">
        <v>0</v>
      </c>
      <c r="S477" s="3">
        <v>0</v>
      </c>
      <c r="T477" s="3">
        <v>3</v>
      </c>
      <c r="U477" s="3">
        <v>5</v>
      </c>
      <c r="V477" s="3">
        <v>7</v>
      </c>
      <c r="W477" s="3"/>
      <c r="X477" s="3">
        <v>26.98</v>
      </c>
      <c r="Y477" s="3">
        <v>26.98</v>
      </c>
      <c r="Z477" s="3">
        <v>26.98</v>
      </c>
      <c r="AA477" s="3">
        <v>0</v>
      </c>
      <c r="AB477" s="3" t="s">
        <v>5223</v>
      </c>
      <c r="AC477" s="3">
        <v>15</v>
      </c>
      <c r="AD477" s="3">
        <v>26.98</v>
      </c>
      <c r="AE477" s="3">
        <v>0</v>
      </c>
      <c r="AF477" s="3">
        <v>0</v>
      </c>
      <c r="AG477" s="3">
        <v>0</v>
      </c>
      <c r="AH477" s="3">
        <v>0.571428571428571</v>
      </c>
      <c r="AI477" s="3" t="s">
        <v>5249</v>
      </c>
      <c r="AJ477" s="3" t="s">
        <v>5222</v>
      </c>
    </row>
    <row r="478" spans="1:36">
      <c r="A478" s="5">
        <v>43288</v>
      </c>
      <c r="B478" s="3" t="s">
        <v>1758</v>
      </c>
      <c r="C478" s="3" t="s">
        <v>1759</v>
      </c>
      <c r="D478" s="3" t="s">
        <v>1759</v>
      </c>
      <c r="E478" s="3" t="s">
        <v>1760</v>
      </c>
      <c r="F478" s="3" t="s">
        <v>120</v>
      </c>
      <c r="G478" s="3">
        <v>11</v>
      </c>
      <c r="H478" s="3">
        <v>0</v>
      </c>
      <c r="I478" s="3">
        <v>1</v>
      </c>
      <c r="J478" s="3">
        <v>10</v>
      </c>
      <c r="K478" s="3">
        <v>0</v>
      </c>
      <c r="L478" s="3">
        <v>0</v>
      </c>
      <c r="M478" s="3">
        <v>0</v>
      </c>
      <c r="N478" s="3" t="s">
        <v>5218</v>
      </c>
      <c r="O478" s="3">
        <v>8</v>
      </c>
      <c r="P478" s="3">
        <v>10.38</v>
      </c>
      <c r="Q478" s="3">
        <v>0</v>
      </c>
      <c r="R478" s="3">
        <v>0</v>
      </c>
      <c r="S478" s="3">
        <v>0</v>
      </c>
      <c r="T478" s="3">
        <v>3</v>
      </c>
      <c r="U478" s="3">
        <v>4</v>
      </c>
      <c r="V478" s="3">
        <v>9</v>
      </c>
      <c r="W478" s="3"/>
      <c r="X478" s="3">
        <v>25.98</v>
      </c>
      <c r="Y478" s="3">
        <v>25.98</v>
      </c>
      <c r="Z478" s="3">
        <v>25.98</v>
      </c>
      <c r="AA478" s="3">
        <v>0</v>
      </c>
      <c r="AB478" s="3" t="s">
        <v>5223</v>
      </c>
      <c r="AC478" s="3">
        <v>11</v>
      </c>
      <c r="AD478" s="3">
        <v>25.98</v>
      </c>
      <c r="AE478" s="3">
        <v>0</v>
      </c>
      <c r="AF478" s="3">
        <v>0</v>
      </c>
      <c r="AG478" s="3">
        <v>0</v>
      </c>
      <c r="AH478" s="3">
        <v>0.585365853658536</v>
      </c>
      <c r="AI478" s="3" t="s">
        <v>5229</v>
      </c>
      <c r="AJ478" s="3" t="s">
        <v>5222</v>
      </c>
    </row>
    <row r="479" spans="1:36">
      <c r="A479" s="5">
        <v>43288</v>
      </c>
      <c r="B479" s="3" t="s">
        <v>4484</v>
      </c>
      <c r="C479" s="3" t="s">
        <v>3656</v>
      </c>
      <c r="D479" s="3" t="s">
        <v>3656</v>
      </c>
      <c r="E479" s="3" t="s">
        <v>3657</v>
      </c>
      <c r="F479" s="3" t="s">
        <v>120</v>
      </c>
      <c r="G479" s="3">
        <v>7</v>
      </c>
      <c r="H479" s="3">
        <v>0</v>
      </c>
      <c r="I479" s="3">
        <v>0</v>
      </c>
      <c r="J479" s="3">
        <v>0</v>
      </c>
      <c r="K479" s="3">
        <v>7</v>
      </c>
      <c r="L479" s="3">
        <v>0</v>
      </c>
      <c r="M479" s="3">
        <v>0</v>
      </c>
      <c r="N479" s="3" t="s">
        <v>5218</v>
      </c>
      <c r="O479" s="3">
        <v>7</v>
      </c>
      <c r="P479" s="3">
        <v>6.91</v>
      </c>
      <c r="Q479" s="3">
        <v>0</v>
      </c>
      <c r="R479" s="3">
        <v>0</v>
      </c>
      <c r="S479" s="3">
        <v>0</v>
      </c>
      <c r="T479" s="3">
        <v>0</v>
      </c>
      <c r="U479" s="3">
        <v>0</v>
      </c>
      <c r="V479" s="3">
        <v>0</v>
      </c>
      <c r="W479" s="3" t="s">
        <v>5219</v>
      </c>
      <c r="X479" s="3">
        <v>23.98</v>
      </c>
      <c r="Y479" s="3">
        <v>23.98</v>
      </c>
      <c r="Z479" s="3">
        <v>23.98</v>
      </c>
      <c r="AA479" s="3">
        <v>0</v>
      </c>
      <c r="AB479" s="3" t="s">
        <v>5228</v>
      </c>
      <c r="AC479" s="3">
        <v>0</v>
      </c>
      <c r="AD479" s="3">
        <v>20.23</v>
      </c>
      <c r="AE479" s="3">
        <v>301</v>
      </c>
      <c r="AF479" s="3">
        <v>0</v>
      </c>
      <c r="AG479" s="3">
        <v>128.991475</v>
      </c>
      <c r="AH479" s="3">
        <v>0</v>
      </c>
      <c r="AI479" s="3" t="s">
        <v>5285</v>
      </c>
      <c r="AJ479" s="3" t="s">
        <v>5222</v>
      </c>
    </row>
    <row r="480" spans="1:36">
      <c r="A480" s="5">
        <v>43288</v>
      </c>
      <c r="B480" s="3" t="s">
        <v>1880</v>
      </c>
      <c r="C480" s="3" t="s">
        <v>1344</v>
      </c>
      <c r="D480" s="3" t="s">
        <v>1344</v>
      </c>
      <c r="E480" s="3" t="s">
        <v>1345</v>
      </c>
      <c r="F480" s="3" t="s">
        <v>120</v>
      </c>
      <c r="G480" s="3">
        <v>1</v>
      </c>
      <c r="H480" s="3">
        <v>0</v>
      </c>
      <c r="I480" s="3">
        <v>1</v>
      </c>
      <c r="J480" s="3">
        <v>0</v>
      </c>
      <c r="K480" s="3">
        <v>0</v>
      </c>
      <c r="L480" s="3">
        <v>0</v>
      </c>
      <c r="M480" s="3">
        <v>0</v>
      </c>
      <c r="N480" s="3" t="s">
        <v>5218</v>
      </c>
      <c r="O480" s="3">
        <v>0</v>
      </c>
      <c r="P480" s="3">
        <v>0</v>
      </c>
      <c r="Q480" s="3">
        <v>0</v>
      </c>
      <c r="R480" s="3">
        <v>0</v>
      </c>
      <c r="S480" s="3">
        <v>1</v>
      </c>
      <c r="T480" s="3">
        <v>1</v>
      </c>
      <c r="U480" s="3">
        <v>1</v>
      </c>
      <c r="V480" s="3">
        <v>1</v>
      </c>
      <c r="W480" s="3"/>
      <c r="X480" s="3">
        <v>22.98</v>
      </c>
      <c r="Y480" s="3">
        <v>22.98</v>
      </c>
      <c r="Z480" s="3">
        <v>22.98</v>
      </c>
      <c r="AA480" s="3">
        <v>0</v>
      </c>
      <c r="AB480" s="3" t="s">
        <v>5223</v>
      </c>
      <c r="AC480" s="3">
        <v>0</v>
      </c>
      <c r="AD480" s="3">
        <v>0</v>
      </c>
      <c r="AE480" s="3">
        <v>0</v>
      </c>
      <c r="AF480" s="3">
        <v>0</v>
      </c>
      <c r="AG480" s="3">
        <v>0</v>
      </c>
      <c r="AH480" s="3">
        <v>14.4705882352941</v>
      </c>
      <c r="AI480" s="3" t="s">
        <v>5236</v>
      </c>
      <c r="AJ480" s="3" t="s">
        <v>5222</v>
      </c>
    </row>
    <row r="481" spans="1:36">
      <c r="A481" s="5">
        <v>43288</v>
      </c>
      <c r="B481" s="3" t="s">
        <v>5087</v>
      </c>
      <c r="C481" s="3" t="s">
        <v>4775</v>
      </c>
      <c r="D481" s="3" t="s">
        <v>4775</v>
      </c>
      <c r="E481" s="3" t="s">
        <v>4897</v>
      </c>
      <c r="F481" s="3" t="s">
        <v>120</v>
      </c>
      <c r="G481" s="3">
        <v>12</v>
      </c>
      <c r="H481" s="3">
        <v>0</v>
      </c>
      <c r="I481" s="3">
        <v>12</v>
      </c>
      <c r="J481" s="3">
        <v>0</v>
      </c>
      <c r="K481" s="3">
        <v>0</v>
      </c>
      <c r="L481" s="3">
        <v>0</v>
      </c>
      <c r="M481" s="3">
        <v>0</v>
      </c>
      <c r="N481" s="3" t="s">
        <v>5218</v>
      </c>
      <c r="O481" s="3">
        <v>0</v>
      </c>
      <c r="P481" s="3">
        <v>0</v>
      </c>
      <c r="Q481" s="3">
        <v>0</v>
      </c>
      <c r="R481" s="3">
        <v>0</v>
      </c>
      <c r="S481" s="3">
        <v>1</v>
      </c>
      <c r="T481" s="3">
        <v>8</v>
      </c>
      <c r="U481" s="3">
        <v>17</v>
      </c>
      <c r="V481" s="3">
        <v>22</v>
      </c>
      <c r="W481" s="3"/>
      <c r="X481" s="3">
        <v>22.98</v>
      </c>
      <c r="Y481" s="3">
        <v>22.98</v>
      </c>
      <c r="Z481" s="3">
        <v>22.98</v>
      </c>
      <c r="AA481" s="3">
        <v>0</v>
      </c>
      <c r="AB481" s="3" t="s">
        <v>5223</v>
      </c>
      <c r="AC481" s="3">
        <v>12</v>
      </c>
      <c r="AD481" s="3">
        <v>22.98</v>
      </c>
      <c r="AE481" s="3">
        <v>0</v>
      </c>
      <c r="AF481" s="3">
        <v>0</v>
      </c>
      <c r="AG481" s="3">
        <v>0</v>
      </c>
      <c r="AH481" s="3">
        <v>3.03448275862068</v>
      </c>
      <c r="AI481" s="3" t="s">
        <v>5261</v>
      </c>
      <c r="AJ481" s="3" t="s">
        <v>5222</v>
      </c>
    </row>
    <row r="482" spans="1:36">
      <c r="A482" s="5">
        <v>43288</v>
      </c>
      <c r="B482" s="3" t="s">
        <v>4427</v>
      </c>
      <c r="C482" s="3" t="s">
        <v>3562</v>
      </c>
      <c r="D482" s="3" t="s">
        <v>3562</v>
      </c>
      <c r="E482" s="3" t="s">
        <v>3563</v>
      </c>
      <c r="F482" s="3" t="s">
        <v>120</v>
      </c>
      <c r="G482" s="3">
        <v>6</v>
      </c>
      <c r="H482" s="3">
        <v>0</v>
      </c>
      <c r="I482" s="3">
        <v>1</v>
      </c>
      <c r="J482" s="3">
        <v>0</v>
      </c>
      <c r="K482" s="3">
        <v>5</v>
      </c>
      <c r="L482" s="3">
        <v>0</v>
      </c>
      <c r="M482" s="3">
        <v>0</v>
      </c>
      <c r="N482" s="3" t="s">
        <v>5218</v>
      </c>
      <c r="O482" s="3">
        <v>5</v>
      </c>
      <c r="P482" s="3">
        <v>7.72</v>
      </c>
      <c r="Q482" s="3">
        <v>0</v>
      </c>
      <c r="R482" s="3">
        <v>0</v>
      </c>
      <c r="S482" s="3">
        <v>0</v>
      </c>
      <c r="T482" s="3">
        <v>0</v>
      </c>
      <c r="U482" s="3">
        <v>1</v>
      </c>
      <c r="V482" s="3">
        <v>3</v>
      </c>
      <c r="W482" s="3" t="s">
        <v>5227</v>
      </c>
      <c r="X482" s="3">
        <v>20.69</v>
      </c>
      <c r="Y482" s="3">
        <v>20.69</v>
      </c>
      <c r="Z482" s="3">
        <v>20.69</v>
      </c>
      <c r="AA482" s="3">
        <v>0</v>
      </c>
      <c r="AB482" s="3" t="s">
        <v>5228</v>
      </c>
      <c r="AC482" s="3">
        <v>0</v>
      </c>
      <c r="AD482" s="3">
        <v>18.92</v>
      </c>
      <c r="AE482" s="3">
        <v>105</v>
      </c>
      <c r="AF482" s="3">
        <v>0</v>
      </c>
      <c r="AG482" s="3">
        <v>152.335243</v>
      </c>
      <c r="AH482" s="3">
        <v>0.48</v>
      </c>
      <c r="AI482" s="3" t="s">
        <v>5262</v>
      </c>
      <c r="AJ482" s="3" t="s">
        <v>5222</v>
      </c>
    </row>
    <row r="483" spans="1:36">
      <c r="A483" s="5">
        <v>43288</v>
      </c>
      <c r="B483" s="3" t="s">
        <v>2864</v>
      </c>
      <c r="C483" s="3" t="s">
        <v>2865</v>
      </c>
      <c r="D483" s="3" t="s">
        <v>2865</v>
      </c>
      <c r="E483" s="3" t="s">
        <v>2866</v>
      </c>
      <c r="F483" s="3" t="s">
        <v>120</v>
      </c>
      <c r="G483" s="3">
        <v>27</v>
      </c>
      <c r="H483" s="3">
        <v>0</v>
      </c>
      <c r="I483" s="3">
        <v>0</v>
      </c>
      <c r="J483" s="3">
        <v>27</v>
      </c>
      <c r="K483" s="3">
        <v>0</v>
      </c>
      <c r="L483" s="3">
        <v>0</v>
      </c>
      <c r="M483" s="3">
        <v>0</v>
      </c>
      <c r="N483" s="3" t="s">
        <v>5218</v>
      </c>
      <c r="O483" s="3">
        <v>20</v>
      </c>
      <c r="P483" s="3">
        <v>37.11</v>
      </c>
      <c r="Q483" s="3">
        <v>0</v>
      </c>
      <c r="R483" s="3">
        <v>0</v>
      </c>
      <c r="S483" s="3">
        <v>0</v>
      </c>
      <c r="T483" s="3">
        <v>0</v>
      </c>
      <c r="U483" s="3">
        <v>1</v>
      </c>
      <c r="V483" s="3">
        <v>5</v>
      </c>
      <c r="W483" s="3" t="s">
        <v>5227</v>
      </c>
      <c r="X483" s="3">
        <v>23.98</v>
      </c>
      <c r="Y483" s="3">
        <v>23.98</v>
      </c>
      <c r="Z483" s="3">
        <v>23.98</v>
      </c>
      <c r="AA483" s="3">
        <v>0</v>
      </c>
      <c r="AB483" s="3" t="s">
        <v>5228</v>
      </c>
      <c r="AC483" s="3">
        <v>1</v>
      </c>
      <c r="AD483" s="3">
        <v>21.61</v>
      </c>
      <c r="AE483" s="3">
        <v>168</v>
      </c>
      <c r="AF483" s="3">
        <v>0</v>
      </c>
      <c r="AG483" s="3">
        <v>809.539282</v>
      </c>
      <c r="AH483" s="3">
        <v>0.175438596491228</v>
      </c>
      <c r="AI483" s="3" t="s">
        <v>5254</v>
      </c>
      <c r="AJ483" s="3" t="s">
        <v>5222</v>
      </c>
    </row>
    <row r="484" spans="1:36">
      <c r="A484" s="5">
        <v>43288</v>
      </c>
      <c r="B484" s="3" t="s">
        <v>1026</v>
      </c>
      <c r="C484" s="3" t="s">
        <v>1027</v>
      </c>
      <c r="D484" s="3" t="s">
        <v>312</v>
      </c>
      <c r="E484" s="3" t="s">
        <v>477</v>
      </c>
      <c r="F484" s="3" t="s">
        <v>120</v>
      </c>
      <c r="G484" s="3">
        <v>30</v>
      </c>
      <c r="H484" s="3">
        <v>0</v>
      </c>
      <c r="I484" s="3">
        <v>30</v>
      </c>
      <c r="J484" s="3">
        <v>0</v>
      </c>
      <c r="K484" s="3">
        <v>0</v>
      </c>
      <c r="L484" s="3">
        <v>0</v>
      </c>
      <c r="M484" s="3">
        <v>0</v>
      </c>
      <c r="N484" s="3" t="s">
        <v>5218</v>
      </c>
      <c r="O484" s="3">
        <v>0</v>
      </c>
      <c r="P484" s="3">
        <v>0</v>
      </c>
      <c r="Q484" s="3">
        <v>0</v>
      </c>
      <c r="R484" s="3">
        <v>0</v>
      </c>
      <c r="S484" s="3">
        <v>0</v>
      </c>
      <c r="T484" s="3">
        <v>0</v>
      </c>
      <c r="U484" s="3">
        <v>0</v>
      </c>
      <c r="V484" s="3">
        <v>0</v>
      </c>
      <c r="W484" s="3" t="s">
        <v>5227</v>
      </c>
      <c r="X484" s="3">
        <v>24.98</v>
      </c>
      <c r="Y484" s="3">
        <v>24.98</v>
      </c>
      <c r="Z484" s="3">
        <v>24.98</v>
      </c>
      <c r="AA484" s="3">
        <v>0</v>
      </c>
      <c r="AB484" s="3" t="s">
        <v>5223</v>
      </c>
      <c r="AC484" s="3">
        <v>0</v>
      </c>
      <c r="AD484" s="3">
        <v>0</v>
      </c>
      <c r="AE484" s="3">
        <v>0</v>
      </c>
      <c r="AF484" s="3">
        <v>0</v>
      </c>
      <c r="AG484" s="3">
        <v>0</v>
      </c>
      <c r="AH484" s="3">
        <v>2.03703703703703</v>
      </c>
      <c r="AI484" s="3" t="s">
        <v>5320</v>
      </c>
      <c r="AJ484" s="3" t="s">
        <v>5222</v>
      </c>
    </row>
    <row r="485" spans="1:36">
      <c r="A485" s="5">
        <v>43288</v>
      </c>
      <c r="B485" s="3" t="s">
        <v>2604</v>
      </c>
      <c r="C485" s="3" t="s">
        <v>1108</v>
      </c>
      <c r="D485" s="3" t="s">
        <v>1108</v>
      </c>
      <c r="E485" s="3" t="s">
        <v>1109</v>
      </c>
      <c r="F485" s="3" t="s">
        <v>120</v>
      </c>
      <c r="G485" s="3">
        <v>21</v>
      </c>
      <c r="H485" s="3">
        <v>0</v>
      </c>
      <c r="I485" s="3">
        <v>21</v>
      </c>
      <c r="J485" s="3">
        <v>0</v>
      </c>
      <c r="K485" s="3">
        <v>0</v>
      </c>
      <c r="L485" s="3">
        <v>0</v>
      </c>
      <c r="M485" s="3">
        <v>0</v>
      </c>
      <c r="N485" s="3" t="s">
        <v>5218</v>
      </c>
      <c r="O485" s="3">
        <v>0</v>
      </c>
      <c r="P485" s="3">
        <v>0</v>
      </c>
      <c r="Q485" s="3">
        <v>0</v>
      </c>
      <c r="R485" s="3">
        <v>0</v>
      </c>
      <c r="S485" s="3">
        <v>2</v>
      </c>
      <c r="T485" s="3">
        <v>22</v>
      </c>
      <c r="U485" s="3">
        <v>39</v>
      </c>
      <c r="V485" s="3">
        <v>52</v>
      </c>
      <c r="W485" s="3"/>
      <c r="X485" s="3">
        <v>22.98</v>
      </c>
      <c r="Y485" s="3">
        <v>22.98</v>
      </c>
      <c r="Z485" s="3">
        <v>22.98</v>
      </c>
      <c r="AA485" s="3">
        <v>0</v>
      </c>
      <c r="AB485" s="3" t="s">
        <v>5223</v>
      </c>
      <c r="AC485" s="3">
        <v>21</v>
      </c>
      <c r="AD485" s="3">
        <v>22.98</v>
      </c>
      <c r="AE485" s="3">
        <v>0</v>
      </c>
      <c r="AF485" s="3">
        <v>0</v>
      </c>
      <c r="AG485" s="3">
        <v>0</v>
      </c>
      <c r="AH485" s="3">
        <v>2.15686274509803</v>
      </c>
      <c r="AI485" s="3" t="s">
        <v>5238</v>
      </c>
      <c r="AJ485" s="3" t="s">
        <v>5222</v>
      </c>
    </row>
    <row r="486" spans="1:36">
      <c r="A486" s="5">
        <v>43288</v>
      </c>
      <c r="B486" s="3" t="s">
        <v>2607</v>
      </c>
      <c r="C486" s="3" t="s">
        <v>1120</v>
      </c>
      <c r="D486" s="3" t="s">
        <v>1120</v>
      </c>
      <c r="E486" s="3" t="s">
        <v>1121</v>
      </c>
      <c r="F486" s="3" t="s">
        <v>120</v>
      </c>
      <c r="G486" s="3">
        <v>19</v>
      </c>
      <c r="H486" s="3">
        <v>0</v>
      </c>
      <c r="I486" s="3">
        <v>19</v>
      </c>
      <c r="J486" s="3">
        <v>0</v>
      </c>
      <c r="K486" s="3">
        <v>0</v>
      </c>
      <c r="L486" s="3">
        <v>0</v>
      </c>
      <c r="M486" s="3">
        <v>0</v>
      </c>
      <c r="N486" s="3" t="s">
        <v>5218</v>
      </c>
      <c r="O486" s="3">
        <v>0</v>
      </c>
      <c r="P486" s="3">
        <v>0</v>
      </c>
      <c r="Q486" s="3">
        <v>0</v>
      </c>
      <c r="R486" s="3">
        <v>0</v>
      </c>
      <c r="S486" s="3">
        <v>3</v>
      </c>
      <c r="T486" s="3">
        <v>12</v>
      </c>
      <c r="U486" s="3">
        <v>27</v>
      </c>
      <c r="V486" s="3">
        <v>31</v>
      </c>
      <c r="W486" s="3"/>
      <c r="X486" s="3">
        <v>35.98</v>
      </c>
      <c r="Y486" s="3">
        <v>22.98</v>
      </c>
      <c r="Z486" s="3">
        <v>22.98</v>
      </c>
      <c r="AA486" s="3">
        <v>0</v>
      </c>
      <c r="AB486" s="3" t="s">
        <v>5223</v>
      </c>
      <c r="AC486" s="3">
        <v>21</v>
      </c>
      <c r="AD486" s="3">
        <v>22.98</v>
      </c>
      <c r="AE486" s="3">
        <v>0</v>
      </c>
      <c r="AF486" s="3">
        <v>0</v>
      </c>
      <c r="AG486" s="3">
        <v>0</v>
      </c>
      <c r="AH486" s="3">
        <v>1.72222222222222</v>
      </c>
      <c r="AI486" s="3" t="s">
        <v>5238</v>
      </c>
      <c r="AJ486" s="3" t="s">
        <v>5222</v>
      </c>
    </row>
    <row r="487" spans="1:36">
      <c r="A487" s="5">
        <v>43288</v>
      </c>
      <c r="B487" s="3" t="s">
        <v>1959</v>
      </c>
      <c r="C487" s="3" t="s">
        <v>126</v>
      </c>
      <c r="D487" s="3" t="s">
        <v>126</v>
      </c>
      <c r="E487" s="3" t="s">
        <v>1960</v>
      </c>
      <c r="F487" s="3" t="s">
        <v>120</v>
      </c>
      <c r="G487" s="3">
        <v>47</v>
      </c>
      <c r="H487" s="3">
        <v>0</v>
      </c>
      <c r="I487" s="3">
        <v>1</v>
      </c>
      <c r="J487" s="3">
        <v>1</v>
      </c>
      <c r="K487" s="3">
        <v>45</v>
      </c>
      <c r="L487" s="3">
        <v>0</v>
      </c>
      <c r="M487" s="3">
        <v>0</v>
      </c>
      <c r="N487" s="3" t="s">
        <v>5218</v>
      </c>
      <c r="O487" s="3">
        <v>45</v>
      </c>
      <c r="P487" s="3">
        <v>93.4</v>
      </c>
      <c r="Q487" s="3">
        <v>0</v>
      </c>
      <c r="R487" s="3">
        <v>0</v>
      </c>
      <c r="S487" s="3">
        <v>0</v>
      </c>
      <c r="T487" s="3">
        <v>2</v>
      </c>
      <c r="U487" s="3">
        <v>10</v>
      </c>
      <c r="V487" s="3">
        <v>16</v>
      </c>
      <c r="W487" s="3" t="s">
        <v>5227</v>
      </c>
      <c r="X487" s="3">
        <v>23.98</v>
      </c>
      <c r="Y487" s="3">
        <v>23.98</v>
      </c>
      <c r="Z487" s="3">
        <v>23.98</v>
      </c>
      <c r="AA487" s="3">
        <v>0</v>
      </c>
      <c r="AB487" s="3" t="s">
        <v>5228</v>
      </c>
      <c r="AC487" s="3">
        <v>27</v>
      </c>
      <c r="AD487" s="3">
        <v>19.98</v>
      </c>
      <c r="AE487" s="3">
        <v>175</v>
      </c>
      <c r="AF487" s="3">
        <v>0</v>
      </c>
      <c r="AG487" s="3">
        <v>20.055695</v>
      </c>
      <c r="AH487" s="3">
        <v>0.299065420560747</v>
      </c>
      <c r="AI487" s="3" t="s">
        <v>5402</v>
      </c>
      <c r="AJ487" s="3" t="s">
        <v>5222</v>
      </c>
    </row>
    <row r="488" spans="1:36">
      <c r="A488" s="5">
        <v>43288</v>
      </c>
      <c r="B488" s="3" t="s">
        <v>2069</v>
      </c>
      <c r="C488" s="3" t="s">
        <v>2070</v>
      </c>
      <c r="D488" s="3" t="s">
        <v>2070</v>
      </c>
      <c r="E488" s="3" t="s">
        <v>2071</v>
      </c>
      <c r="F488" s="3" t="s">
        <v>120</v>
      </c>
      <c r="G488" s="3">
        <v>25</v>
      </c>
      <c r="H488" s="3">
        <v>0</v>
      </c>
      <c r="I488" s="3">
        <v>1</v>
      </c>
      <c r="J488" s="3">
        <v>1</v>
      </c>
      <c r="K488" s="3">
        <v>23</v>
      </c>
      <c r="L488" s="3">
        <v>0</v>
      </c>
      <c r="M488" s="3">
        <v>0</v>
      </c>
      <c r="N488" s="3" t="s">
        <v>5218</v>
      </c>
      <c r="O488" s="3">
        <v>24</v>
      </c>
      <c r="P488" s="3">
        <v>21.33</v>
      </c>
      <c r="Q488" s="3">
        <v>0</v>
      </c>
      <c r="R488" s="3">
        <v>0</v>
      </c>
      <c r="S488" s="3">
        <v>1</v>
      </c>
      <c r="T488" s="3">
        <v>3</v>
      </c>
      <c r="U488" s="3">
        <v>13</v>
      </c>
      <c r="V488" s="3">
        <v>18</v>
      </c>
      <c r="W488" s="3"/>
      <c r="X488" s="3">
        <v>23.98</v>
      </c>
      <c r="Y488" s="3">
        <v>23.98</v>
      </c>
      <c r="Z488" s="3">
        <v>23.98</v>
      </c>
      <c r="AA488" s="3">
        <v>0</v>
      </c>
      <c r="AB488" s="3" t="s">
        <v>5223</v>
      </c>
      <c r="AC488" s="3">
        <v>26</v>
      </c>
      <c r="AD488" s="3">
        <v>23.98</v>
      </c>
      <c r="AE488" s="3">
        <v>0</v>
      </c>
      <c r="AF488" s="3">
        <v>0</v>
      </c>
      <c r="AG488" s="3">
        <v>0</v>
      </c>
      <c r="AH488" s="3">
        <v>0.545454545454545</v>
      </c>
      <c r="AI488" s="3" t="s">
        <v>5403</v>
      </c>
      <c r="AJ488" s="3" t="s">
        <v>5222</v>
      </c>
    </row>
    <row r="489" spans="1:36">
      <c r="A489" s="5">
        <v>43288</v>
      </c>
      <c r="B489" s="3" t="s">
        <v>493</v>
      </c>
      <c r="C489" s="3" t="s">
        <v>334</v>
      </c>
      <c r="D489" s="3" t="s">
        <v>334</v>
      </c>
      <c r="E489" s="3" t="s">
        <v>494</v>
      </c>
      <c r="F489" s="3" t="s">
        <v>120</v>
      </c>
      <c r="G489" s="3">
        <v>2</v>
      </c>
      <c r="H489" s="3">
        <v>0</v>
      </c>
      <c r="I489" s="3">
        <v>0</v>
      </c>
      <c r="J489" s="3">
        <v>2</v>
      </c>
      <c r="K489" s="3">
        <v>0</v>
      </c>
      <c r="L489" s="3">
        <v>0</v>
      </c>
      <c r="M489" s="3">
        <v>0</v>
      </c>
      <c r="N489" s="3" t="s">
        <v>5218</v>
      </c>
      <c r="O489" s="3">
        <v>2</v>
      </c>
      <c r="P489" s="3">
        <v>1.37</v>
      </c>
      <c r="Q489" s="3">
        <v>0</v>
      </c>
      <c r="R489" s="3">
        <v>0</v>
      </c>
      <c r="S489" s="3">
        <v>0</v>
      </c>
      <c r="T489" s="3">
        <v>2</v>
      </c>
      <c r="U489" s="3">
        <v>2</v>
      </c>
      <c r="V489" s="3">
        <v>3</v>
      </c>
      <c r="W489" s="3"/>
      <c r="X489" s="3">
        <v>26.98</v>
      </c>
      <c r="Y489" s="3">
        <v>26.98</v>
      </c>
      <c r="Z489" s="3">
        <v>26.98</v>
      </c>
      <c r="AA489" s="3">
        <v>0</v>
      </c>
      <c r="AB489" s="3" t="s">
        <v>5223</v>
      </c>
      <c r="AC489" s="3">
        <v>2</v>
      </c>
      <c r="AD489" s="3">
        <v>26.98</v>
      </c>
      <c r="AE489" s="3">
        <v>0</v>
      </c>
      <c r="AF489" s="3">
        <v>0</v>
      </c>
      <c r="AG489" s="3">
        <v>0</v>
      </c>
      <c r="AH489" s="3">
        <v>0.8</v>
      </c>
      <c r="AI489" s="3" t="s">
        <v>5224</v>
      </c>
      <c r="AJ489" s="3" t="s">
        <v>5222</v>
      </c>
    </row>
    <row r="490" spans="1:36">
      <c r="A490" s="5">
        <v>43288</v>
      </c>
      <c r="B490" s="3" t="s">
        <v>4585</v>
      </c>
      <c r="C490" s="3" t="s">
        <v>4063</v>
      </c>
      <c r="D490" s="3" t="s">
        <v>4063</v>
      </c>
      <c r="E490" s="3" t="s">
        <v>4064</v>
      </c>
      <c r="F490" s="3" t="s">
        <v>120</v>
      </c>
      <c r="G490" s="3">
        <v>9</v>
      </c>
      <c r="H490" s="3">
        <v>0</v>
      </c>
      <c r="I490" s="3">
        <v>9</v>
      </c>
      <c r="J490" s="3">
        <v>0</v>
      </c>
      <c r="K490" s="3">
        <v>0</v>
      </c>
      <c r="L490" s="3">
        <v>0</v>
      </c>
      <c r="M490" s="3">
        <v>0</v>
      </c>
      <c r="N490" s="3" t="s">
        <v>5218</v>
      </c>
      <c r="O490" s="3">
        <v>0</v>
      </c>
      <c r="P490" s="3">
        <v>0</v>
      </c>
      <c r="Q490" s="3">
        <v>0</v>
      </c>
      <c r="R490" s="3">
        <v>0</v>
      </c>
      <c r="S490" s="3">
        <v>1</v>
      </c>
      <c r="T490" s="3">
        <v>1</v>
      </c>
      <c r="U490" s="3">
        <v>2</v>
      </c>
      <c r="V490" s="3">
        <v>4</v>
      </c>
      <c r="W490" s="3"/>
      <c r="X490" s="3">
        <v>20.98</v>
      </c>
      <c r="Y490" s="3">
        <v>20.98</v>
      </c>
      <c r="Z490" s="3">
        <v>20.98</v>
      </c>
      <c r="AA490" s="3">
        <v>0</v>
      </c>
      <c r="AB490" s="3" t="s">
        <v>5228</v>
      </c>
      <c r="AC490" s="3">
        <v>2</v>
      </c>
      <c r="AD490" s="3">
        <v>19.6</v>
      </c>
      <c r="AE490" s="3">
        <v>105</v>
      </c>
      <c r="AF490" s="3">
        <v>0</v>
      </c>
      <c r="AG490" s="3">
        <v>178.251079</v>
      </c>
      <c r="AH490" s="3">
        <v>0.551724137931034</v>
      </c>
      <c r="AI490" s="3" t="s">
        <v>5226</v>
      </c>
      <c r="AJ490" s="3" t="s">
        <v>5222</v>
      </c>
    </row>
    <row r="491" spans="1:36">
      <c r="A491" s="5">
        <v>43288</v>
      </c>
      <c r="B491" s="3" t="s">
        <v>610</v>
      </c>
      <c r="C491" s="3" t="s">
        <v>611</v>
      </c>
      <c r="D491" s="3" t="s">
        <v>611</v>
      </c>
      <c r="E491" s="3" t="s">
        <v>612</v>
      </c>
      <c r="F491" s="3" t="s">
        <v>120</v>
      </c>
      <c r="G491" s="3">
        <v>6</v>
      </c>
      <c r="H491" s="3">
        <v>0</v>
      </c>
      <c r="I491" s="3">
        <v>0</v>
      </c>
      <c r="J491" s="3">
        <v>6</v>
      </c>
      <c r="K491" s="3">
        <v>0</v>
      </c>
      <c r="L491" s="3">
        <v>0</v>
      </c>
      <c r="M491" s="3">
        <v>0</v>
      </c>
      <c r="N491" s="3" t="s">
        <v>5218</v>
      </c>
      <c r="O491" s="3">
        <v>0</v>
      </c>
      <c r="P491" s="3">
        <v>0</v>
      </c>
      <c r="Q491" s="3">
        <v>0</v>
      </c>
      <c r="R491" s="3">
        <v>0</v>
      </c>
      <c r="S491" s="3">
        <v>1</v>
      </c>
      <c r="T491" s="3">
        <v>2</v>
      </c>
      <c r="U491" s="3">
        <v>3</v>
      </c>
      <c r="V491" s="3">
        <v>5</v>
      </c>
      <c r="W491" s="3"/>
      <c r="X491" s="3">
        <v>24.98</v>
      </c>
      <c r="Y491" s="3">
        <v>24.98</v>
      </c>
      <c r="Z491" s="3">
        <v>24.98</v>
      </c>
      <c r="AA491" s="3">
        <v>0</v>
      </c>
      <c r="AB491" s="3" t="s">
        <v>5228</v>
      </c>
      <c r="AC491" s="3">
        <v>0</v>
      </c>
      <c r="AD491" s="3">
        <v>19.98</v>
      </c>
      <c r="AE491" s="3">
        <v>343</v>
      </c>
      <c r="AF491" s="3">
        <v>0</v>
      </c>
      <c r="AG491" s="3">
        <v>99.72849</v>
      </c>
      <c r="AH491" s="3">
        <v>0.588235294117647</v>
      </c>
      <c r="AI491" s="3" t="s">
        <v>5250</v>
      </c>
      <c r="AJ491" s="3" t="s">
        <v>5222</v>
      </c>
    </row>
    <row r="492" spans="1:36">
      <c r="A492" s="5">
        <v>43288</v>
      </c>
      <c r="B492" s="3" t="s">
        <v>4649</v>
      </c>
      <c r="C492" s="3" t="s">
        <v>4650</v>
      </c>
      <c r="D492" s="3" t="s">
        <v>4193</v>
      </c>
      <c r="E492" s="3" t="s">
        <v>4194</v>
      </c>
      <c r="F492" s="3" t="s">
        <v>120</v>
      </c>
      <c r="G492" s="3">
        <v>2</v>
      </c>
      <c r="H492" s="3">
        <v>0</v>
      </c>
      <c r="I492" s="3">
        <v>2</v>
      </c>
      <c r="J492" s="3">
        <v>0</v>
      </c>
      <c r="K492" s="3">
        <v>0</v>
      </c>
      <c r="L492" s="3">
        <v>0</v>
      </c>
      <c r="M492" s="3">
        <v>0</v>
      </c>
      <c r="N492" s="3" t="s">
        <v>5218</v>
      </c>
      <c r="O492" s="3">
        <v>0</v>
      </c>
      <c r="P492" s="3">
        <v>0</v>
      </c>
      <c r="Q492" s="3">
        <v>0</v>
      </c>
      <c r="R492" s="3">
        <v>0</v>
      </c>
      <c r="S492" s="3">
        <v>1</v>
      </c>
      <c r="T492" s="3">
        <v>2</v>
      </c>
      <c r="U492" s="3">
        <v>2</v>
      </c>
      <c r="V492" s="3">
        <v>2</v>
      </c>
      <c r="W492" s="3"/>
      <c r="X492" s="3">
        <v>22.98</v>
      </c>
      <c r="Y492" s="3">
        <v>22.98</v>
      </c>
      <c r="Z492" s="3">
        <v>22.98</v>
      </c>
      <c r="AA492" s="3">
        <v>0</v>
      </c>
      <c r="AB492" s="3" t="s">
        <v>5223</v>
      </c>
      <c r="AC492" s="3">
        <v>3</v>
      </c>
      <c r="AD492" s="3">
        <v>22.98</v>
      </c>
      <c r="AE492" s="3">
        <v>0</v>
      </c>
      <c r="AF492" s="3">
        <v>0</v>
      </c>
      <c r="AG492" s="3">
        <v>0</v>
      </c>
      <c r="AH492" s="3">
        <v>3.55555555555555</v>
      </c>
      <c r="AI492" s="3" t="s">
        <v>5226</v>
      </c>
      <c r="AJ492" s="3" t="s">
        <v>5222</v>
      </c>
    </row>
    <row r="493" spans="1:36">
      <c r="A493" s="5">
        <v>43288</v>
      </c>
      <c r="B493" s="3" t="s">
        <v>2418</v>
      </c>
      <c r="C493" s="3" t="s">
        <v>2419</v>
      </c>
      <c r="D493" s="3" t="s">
        <v>2419</v>
      </c>
      <c r="E493" s="3" t="s">
        <v>2420</v>
      </c>
      <c r="F493" s="3" t="s">
        <v>120</v>
      </c>
      <c r="G493" s="3">
        <v>1</v>
      </c>
      <c r="H493" s="3">
        <v>0</v>
      </c>
      <c r="I493" s="3">
        <v>1</v>
      </c>
      <c r="J493" s="3">
        <v>0</v>
      </c>
      <c r="K493" s="3">
        <v>0</v>
      </c>
      <c r="L493" s="3">
        <v>0</v>
      </c>
      <c r="M493" s="3">
        <v>0</v>
      </c>
      <c r="N493" s="3" t="s">
        <v>5218</v>
      </c>
      <c r="O493" s="3">
        <v>0</v>
      </c>
      <c r="P493" s="3">
        <v>0</v>
      </c>
      <c r="Q493" s="3">
        <v>0</v>
      </c>
      <c r="R493" s="3">
        <v>0</v>
      </c>
      <c r="S493" s="3">
        <v>0</v>
      </c>
      <c r="T493" s="3">
        <v>0</v>
      </c>
      <c r="U493" s="3">
        <v>0</v>
      </c>
      <c r="V493" s="3">
        <v>0</v>
      </c>
      <c r="W493" s="3" t="s">
        <v>5227</v>
      </c>
      <c r="X493" s="3">
        <v>22.98</v>
      </c>
      <c r="Y493" s="3">
        <v>22.98</v>
      </c>
      <c r="Z493" s="3">
        <v>21.98</v>
      </c>
      <c r="AA493" s="3">
        <v>0</v>
      </c>
      <c r="AB493" s="3" t="s">
        <v>5228</v>
      </c>
      <c r="AC493" s="3">
        <v>0</v>
      </c>
      <c r="AD493" s="3">
        <v>18.38</v>
      </c>
      <c r="AE493" s="3">
        <v>63</v>
      </c>
      <c r="AF493" s="3">
        <v>0</v>
      </c>
      <c r="AG493" s="3">
        <v>17.27719</v>
      </c>
      <c r="AH493" s="3">
        <v>0</v>
      </c>
      <c r="AI493" s="3" t="s">
        <v>5240</v>
      </c>
      <c r="AJ493" s="3" t="s">
        <v>5222</v>
      </c>
    </row>
    <row r="494" spans="1:36">
      <c r="A494" s="5">
        <v>43288</v>
      </c>
      <c r="B494" s="3" t="s">
        <v>2720</v>
      </c>
      <c r="C494" s="3" t="s">
        <v>375</v>
      </c>
      <c r="D494" s="3" t="s">
        <v>375</v>
      </c>
      <c r="E494" s="3" t="s">
        <v>376</v>
      </c>
      <c r="F494" s="3" t="s">
        <v>120</v>
      </c>
      <c r="G494" s="3">
        <v>1</v>
      </c>
      <c r="H494" s="3">
        <v>0</v>
      </c>
      <c r="I494" s="3">
        <v>1</v>
      </c>
      <c r="J494" s="3">
        <v>0</v>
      </c>
      <c r="K494" s="3">
        <v>0</v>
      </c>
      <c r="L494" s="3">
        <v>0</v>
      </c>
      <c r="M494" s="3">
        <v>0</v>
      </c>
      <c r="N494" s="3" t="s">
        <v>5218</v>
      </c>
      <c r="O494" s="3">
        <v>0</v>
      </c>
      <c r="P494" s="3">
        <v>0</v>
      </c>
      <c r="Q494" s="3">
        <v>0</v>
      </c>
      <c r="R494" s="3">
        <v>0</v>
      </c>
      <c r="S494" s="3">
        <v>0</v>
      </c>
      <c r="T494" s="3">
        <v>4</v>
      </c>
      <c r="U494" s="3">
        <v>13</v>
      </c>
      <c r="V494" s="3">
        <v>15</v>
      </c>
      <c r="W494" s="3"/>
      <c r="X494" s="3">
        <v>17.98</v>
      </c>
      <c r="Y494" s="3">
        <v>22.98</v>
      </c>
      <c r="Z494" s="3">
        <v>22.98</v>
      </c>
      <c r="AA494" s="3">
        <v>0</v>
      </c>
      <c r="AB494" s="3" t="s">
        <v>5223</v>
      </c>
      <c r="AC494" s="3">
        <v>0</v>
      </c>
      <c r="AD494" s="3">
        <v>0</v>
      </c>
      <c r="AE494" s="3">
        <v>0</v>
      </c>
      <c r="AF494" s="3">
        <v>0</v>
      </c>
      <c r="AG494" s="3">
        <v>0</v>
      </c>
      <c r="AH494" s="3">
        <v>10</v>
      </c>
      <c r="AI494" s="3" t="s">
        <v>5404</v>
      </c>
      <c r="AJ494" s="3" t="s">
        <v>5222</v>
      </c>
    </row>
    <row r="495" spans="1:36">
      <c r="A495" s="5">
        <v>43288</v>
      </c>
      <c r="B495" s="3" t="s">
        <v>2817</v>
      </c>
      <c r="C495" s="3" t="s">
        <v>2818</v>
      </c>
      <c r="D495" s="3" t="s">
        <v>2818</v>
      </c>
      <c r="E495" s="3" t="s">
        <v>2819</v>
      </c>
      <c r="F495" s="3" t="s">
        <v>120</v>
      </c>
      <c r="G495" s="3">
        <v>45</v>
      </c>
      <c r="H495" s="3">
        <v>0</v>
      </c>
      <c r="I495" s="3">
        <v>1</v>
      </c>
      <c r="J495" s="3">
        <v>40</v>
      </c>
      <c r="K495" s="3">
        <v>4</v>
      </c>
      <c r="L495" s="3">
        <v>0</v>
      </c>
      <c r="M495" s="3">
        <v>0</v>
      </c>
      <c r="N495" s="3" t="s">
        <v>5218</v>
      </c>
      <c r="O495" s="3">
        <v>44</v>
      </c>
      <c r="P495" s="3">
        <v>86.66</v>
      </c>
      <c r="Q495" s="3">
        <v>0</v>
      </c>
      <c r="R495" s="3">
        <v>0</v>
      </c>
      <c r="S495" s="3">
        <v>0</v>
      </c>
      <c r="T495" s="3">
        <v>0</v>
      </c>
      <c r="U495" s="3">
        <v>0</v>
      </c>
      <c r="V495" s="3">
        <v>0</v>
      </c>
      <c r="W495" s="3" t="s">
        <v>5219</v>
      </c>
      <c r="X495" s="3">
        <v>21.98</v>
      </c>
      <c r="Y495" s="3">
        <v>21.98</v>
      </c>
      <c r="Z495" s="3">
        <v>21.98</v>
      </c>
      <c r="AA495" s="3">
        <v>0</v>
      </c>
      <c r="AB495" s="3" t="s">
        <v>5220</v>
      </c>
      <c r="AC495" s="3">
        <v>0</v>
      </c>
      <c r="AD495" s="3">
        <v>17.27</v>
      </c>
      <c r="AE495" s="3">
        <v>350</v>
      </c>
      <c r="AF495" s="3">
        <v>0</v>
      </c>
      <c r="AG495" s="3">
        <v>1184.719053</v>
      </c>
      <c r="AH495" s="3">
        <v>0</v>
      </c>
      <c r="AI495" s="3" t="s">
        <v>5405</v>
      </c>
      <c r="AJ495" s="3" t="s">
        <v>5222</v>
      </c>
    </row>
    <row r="496" spans="1:36">
      <c r="A496" s="5">
        <v>43288</v>
      </c>
      <c r="B496" s="3" t="s">
        <v>2316</v>
      </c>
      <c r="C496" s="3" t="s">
        <v>2317</v>
      </c>
      <c r="D496" s="3" t="s">
        <v>2317</v>
      </c>
      <c r="E496" s="3" t="s">
        <v>2318</v>
      </c>
      <c r="F496" s="3" t="s">
        <v>120</v>
      </c>
      <c r="G496" s="3">
        <v>32</v>
      </c>
      <c r="H496" s="3">
        <v>0</v>
      </c>
      <c r="I496" s="3">
        <v>32</v>
      </c>
      <c r="J496" s="3">
        <v>0</v>
      </c>
      <c r="K496" s="3">
        <v>0</v>
      </c>
      <c r="L496" s="3">
        <v>0</v>
      </c>
      <c r="M496" s="3">
        <v>0</v>
      </c>
      <c r="N496" s="3" t="s">
        <v>5218</v>
      </c>
      <c r="O496" s="3">
        <v>0</v>
      </c>
      <c r="P496" s="3">
        <v>0</v>
      </c>
      <c r="Q496" s="3">
        <v>0</v>
      </c>
      <c r="R496" s="3">
        <v>0</v>
      </c>
      <c r="S496" s="3">
        <v>0</v>
      </c>
      <c r="T496" s="3">
        <v>0</v>
      </c>
      <c r="U496" s="3">
        <v>3</v>
      </c>
      <c r="V496" s="3">
        <v>4</v>
      </c>
      <c r="W496" s="3" t="s">
        <v>5227</v>
      </c>
      <c r="X496" s="3">
        <v>22.98</v>
      </c>
      <c r="Y496" s="3">
        <v>22.98</v>
      </c>
      <c r="Z496" s="3">
        <v>22.98</v>
      </c>
      <c r="AA496" s="3">
        <v>0</v>
      </c>
      <c r="AB496" s="3" t="s">
        <v>5228</v>
      </c>
      <c r="AC496" s="3">
        <v>0</v>
      </c>
      <c r="AD496" s="3">
        <v>19.5</v>
      </c>
      <c r="AE496" s="3">
        <v>364</v>
      </c>
      <c r="AF496" s="3">
        <v>0</v>
      </c>
      <c r="AG496" s="3">
        <v>751.666834</v>
      </c>
      <c r="AH496" s="3">
        <v>0.21917808219178</v>
      </c>
      <c r="AI496" s="3" t="s">
        <v>5271</v>
      </c>
      <c r="AJ496" s="3" t="s">
        <v>5222</v>
      </c>
    </row>
    <row r="497" spans="1:36">
      <c r="A497" s="5">
        <v>43288</v>
      </c>
      <c r="B497" s="3" t="s">
        <v>1983</v>
      </c>
      <c r="C497" s="3" t="s">
        <v>150</v>
      </c>
      <c r="D497" s="3" t="s">
        <v>150</v>
      </c>
      <c r="E497" s="3" t="s">
        <v>1984</v>
      </c>
      <c r="F497" s="3" t="s">
        <v>120</v>
      </c>
      <c r="G497" s="3">
        <v>7</v>
      </c>
      <c r="H497" s="3">
        <v>0</v>
      </c>
      <c r="I497" s="3">
        <v>0</v>
      </c>
      <c r="J497" s="3">
        <v>2</v>
      </c>
      <c r="K497" s="3">
        <v>5</v>
      </c>
      <c r="L497" s="3">
        <v>0</v>
      </c>
      <c r="M497" s="3">
        <v>0</v>
      </c>
      <c r="N497" s="3" t="s">
        <v>5218</v>
      </c>
      <c r="O497" s="3">
        <v>6</v>
      </c>
      <c r="P497" s="3">
        <v>11.22</v>
      </c>
      <c r="Q497" s="3">
        <v>0</v>
      </c>
      <c r="R497" s="3">
        <v>0</v>
      </c>
      <c r="S497" s="3">
        <v>1</v>
      </c>
      <c r="T497" s="3">
        <v>2</v>
      </c>
      <c r="U497" s="3">
        <v>4</v>
      </c>
      <c r="V497" s="3">
        <v>7</v>
      </c>
      <c r="W497" s="3" t="s">
        <v>5227</v>
      </c>
      <c r="X497" s="3">
        <v>39.98</v>
      </c>
      <c r="Y497" s="3">
        <v>39.98</v>
      </c>
      <c r="Z497" s="3">
        <v>39.98</v>
      </c>
      <c r="AA497" s="3">
        <v>0</v>
      </c>
      <c r="AB497" s="3" t="s">
        <v>5223</v>
      </c>
      <c r="AC497" s="3">
        <v>7</v>
      </c>
      <c r="AD497" s="3">
        <v>39.98</v>
      </c>
      <c r="AE497" s="3">
        <v>0</v>
      </c>
      <c r="AF497" s="3">
        <v>0</v>
      </c>
      <c r="AG497" s="3">
        <v>0</v>
      </c>
      <c r="AH497" s="3">
        <v>0.682926829268292</v>
      </c>
      <c r="AI497" s="3" t="s">
        <v>5270</v>
      </c>
      <c r="AJ497" s="3" t="s">
        <v>5222</v>
      </c>
    </row>
    <row r="498" spans="1:36">
      <c r="A498" s="5">
        <v>43288</v>
      </c>
      <c r="B498" s="3" t="s">
        <v>4854</v>
      </c>
      <c r="C498" s="3" t="s">
        <v>4855</v>
      </c>
      <c r="D498" s="3" t="s">
        <v>4855</v>
      </c>
      <c r="E498" s="3" t="s">
        <v>4856</v>
      </c>
      <c r="F498" s="3" t="s">
        <v>120</v>
      </c>
      <c r="G498" s="3">
        <v>2</v>
      </c>
      <c r="H498" s="3">
        <v>0</v>
      </c>
      <c r="I498" s="3">
        <v>0</v>
      </c>
      <c r="J498" s="3">
        <v>1</v>
      </c>
      <c r="K498" s="3">
        <v>1</v>
      </c>
      <c r="L498" s="3">
        <v>0</v>
      </c>
      <c r="M498" s="3">
        <v>0</v>
      </c>
      <c r="N498" s="3" t="s">
        <v>5218</v>
      </c>
      <c r="O498" s="3">
        <v>2</v>
      </c>
      <c r="P498" s="3">
        <v>1.81</v>
      </c>
      <c r="Q498" s="3">
        <v>0</v>
      </c>
      <c r="R498" s="3">
        <v>0</v>
      </c>
      <c r="S498" s="3">
        <v>0</v>
      </c>
      <c r="T498" s="3">
        <v>1</v>
      </c>
      <c r="U498" s="3">
        <v>1</v>
      </c>
      <c r="V498" s="3">
        <v>2</v>
      </c>
      <c r="W498" s="3"/>
      <c r="X498" s="3">
        <v>12</v>
      </c>
      <c r="Y498" s="3">
        <v>12</v>
      </c>
      <c r="Z498" s="3">
        <v>12</v>
      </c>
      <c r="AA498" s="3">
        <v>0</v>
      </c>
      <c r="AB498" s="3" t="s">
        <v>5223</v>
      </c>
      <c r="AC498" s="3">
        <v>2</v>
      </c>
      <c r="AD498" s="3">
        <v>12</v>
      </c>
      <c r="AE498" s="3">
        <v>0</v>
      </c>
      <c r="AF498" s="3">
        <v>0</v>
      </c>
      <c r="AG498" s="3">
        <v>0</v>
      </c>
      <c r="AH498" s="3">
        <v>0.666666666666666</v>
      </c>
      <c r="AI498" s="3" t="s">
        <v>5406</v>
      </c>
      <c r="AJ498" s="3" t="s">
        <v>5222</v>
      </c>
    </row>
    <row r="499" spans="1:36">
      <c r="A499" s="5">
        <v>43288</v>
      </c>
      <c r="B499" s="3" t="s">
        <v>4088</v>
      </c>
      <c r="C499" s="3" t="s">
        <v>4089</v>
      </c>
      <c r="D499" s="3" t="s">
        <v>4089</v>
      </c>
      <c r="E499" s="3" t="s">
        <v>4090</v>
      </c>
      <c r="F499" s="3" t="s">
        <v>120</v>
      </c>
      <c r="G499" s="3">
        <v>1</v>
      </c>
      <c r="H499" s="3">
        <v>0</v>
      </c>
      <c r="I499" s="3">
        <v>0</v>
      </c>
      <c r="J499" s="3">
        <v>1</v>
      </c>
      <c r="K499" s="3">
        <v>0</v>
      </c>
      <c r="L499" s="3">
        <v>0</v>
      </c>
      <c r="M499" s="3">
        <v>0</v>
      </c>
      <c r="N499" s="3" t="s">
        <v>5218</v>
      </c>
      <c r="O499" s="3">
        <v>0</v>
      </c>
      <c r="P499" s="3">
        <v>0</v>
      </c>
      <c r="Q499" s="3">
        <v>0</v>
      </c>
      <c r="R499" s="3">
        <v>0</v>
      </c>
      <c r="S499" s="3">
        <v>0</v>
      </c>
      <c r="T499" s="3">
        <v>0</v>
      </c>
      <c r="U499" s="3">
        <v>0</v>
      </c>
      <c r="V499" s="3">
        <v>0</v>
      </c>
      <c r="W499" s="3" t="s">
        <v>5227</v>
      </c>
      <c r="X499" s="3">
        <v>23.98</v>
      </c>
      <c r="Y499" s="3">
        <v>23.98</v>
      </c>
      <c r="Z499" s="3">
        <v>22.98</v>
      </c>
      <c r="AA499" s="3">
        <v>0</v>
      </c>
      <c r="AB499" s="3" t="s">
        <v>5223</v>
      </c>
      <c r="AC499" s="3">
        <v>1</v>
      </c>
      <c r="AD499" s="3">
        <v>23.98</v>
      </c>
      <c r="AE499" s="3">
        <v>0</v>
      </c>
      <c r="AF499" s="3">
        <v>0</v>
      </c>
      <c r="AG499" s="3">
        <v>0</v>
      </c>
      <c r="AH499" s="3">
        <v>0</v>
      </c>
      <c r="AI499" s="3" t="s">
        <v>5288</v>
      </c>
      <c r="AJ499" s="3" t="s">
        <v>5222</v>
      </c>
    </row>
    <row r="500" spans="1:36">
      <c r="A500" s="5">
        <v>43288</v>
      </c>
      <c r="B500" s="3" t="s">
        <v>634</v>
      </c>
      <c r="C500" s="3" t="s">
        <v>635</v>
      </c>
      <c r="D500" s="3" t="s">
        <v>635</v>
      </c>
      <c r="E500" s="3" t="s">
        <v>636</v>
      </c>
      <c r="F500" s="3" t="s">
        <v>120</v>
      </c>
      <c r="G500" s="3">
        <v>4</v>
      </c>
      <c r="H500" s="3">
        <v>0</v>
      </c>
      <c r="I500" s="3">
        <v>0</v>
      </c>
      <c r="J500" s="3">
        <v>4</v>
      </c>
      <c r="K500" s="3">
        <v>0</v>
      </c>
      <c r="L500" s="3">
        <v>0</v>
      </c>
      <c r="M500" s="3">
        <v>0</v>
      </c>
      <c r="N500" s="3" t="s">
        <v>5218</v>
      </c>
      <c r="O500" s="3">
        <v>1</v>
      </c>
      <c r="P500" s="3">
        <v>1.9</v>
      </c>
      <c r="Q500" s="3">
        <v>0</v>
      </c>
      <c r="R500" s="3">
        <v>0</v>
      </c>
      <c r="S500" s="3">
        <v>0</v>
      </c>
      <c r="T500" s="3">
        <v>0</v>
      </c>
      <c r="U500" s="3">
        <v>1</v>
      </c>
      <c r="V500" s="3">
        <v>1</v>
      </c>
      <c r="W500" s="3" t="s">
        <v>5227</v>
      </c>
      <c r="X500" s="3">
        <v>24.98</v>
      </c>
      <c r="Y500" s="3">
        <v>24.98</v>
      </c>
      <c r="Z500" s="3">
        <v>24.98</v>
      </c>
      <c r="AA500" s="3">
        <v>0</v>
      </c>
      <c r="AB500" s="3" t="s">
        <v>5223</v>
      </c>
      <c r="AC500" s="3">
        <v>4</v>
      </c>
      <c r="AD500" s="3">
        <v>24.98</v>
      </c>
      <c r="AE500" s="3">
        <v>0</v>
      </c>
      <c r="AF500" s="3">
        <v>0</v>
      </c>
      <c r="AG500" s="3">
        <v>0</v>
      </c>
      <c r="AH500" s="3">
        <v>0.222222222222222</v>
      </c>
      <c r="AI500" s="3" t="s">
        <v>5250</v>
      </c>
      <c r="AJ500" s="3" t="s">
        <v>5222</v>
      </c>
    </row>
    <row r="501" spans="1:36">
      <c r="A501" s="5">
        <v>43288</v>
      </c>
      <c r="B501" s="3" t="s">
        <v>4546</v>
      </c>
      <c r="C501" s="3" t="s">
        <v>3891</v>
      </c>
      <c r="D501" s="3" t="s">
        <v>3891</v>
      </c>
      <c r="E501" s="3" t="s">
        <v>3892</v>
      </c>
      <c r="F501" s="3" t="s">
        <v>120</v>
      </c>
      <c r="G501" s="3">
        <v>19</v>
      </c>
      <c r="H501" s="3">
        <v>0</v>
      </c>
      <c r="I501" s="3">
        <v>19</v>
      </c>
      <c r="J501" s="3">
        <v>0</v>
      </c>
      <c r="K501" s="3">
        <v>0</v>
      </c>
      <c r="L501" s="3">
        <v>0</v>
      </c>
      <c r="M501" s="3">
        <v>0</v>
      </c>
      <c r="N501" s="3" t="s">
        <v>5218</v>
      </c>
      <c r="O501" s="3">
        <v>0</v>
      </c>
      <c r="P501" s="3">
        <v>0</v>
      </c>
      <c r="Q501" s="3">
        <v>0</v>
      </c>
      <c r="R501" s="3">
        <v>0</v>
      </c>
      <c r="S501" s="3">
        <v>0</v>
      </c>
      <c r="T501" s="3">
        <v>2</v>
      </c>
      <c r="U501" s="3">
        <v>2</v>
      </c>
      <c r="V501" s="3">
        <v>3</v>
      </c>
      <c r="W501" s="3"/>
      <c r="X501" s="3">
        <v>26.98</v>
      </c>
      <c r="Y501" s="3">
        <v>26.98</v>
      </c>
      <c r="Z501" s="3">
        <v>26.98</v>
      </c>
      <c r="AA501" s="3">
        <v>0</v>
      </c>
      <c r="AB501" s="3" t="s">
        <v>5223</v>
      </c>
      <c r="AC501" s="3">
        <v>19</v>
      </c>
      <c r="AD501" s="3">
        <v>26.98</v>
      </c>
      <c r="AE501" s="3">
        <v>0</v>
      </c>
      <c r="AF501" s="3">
        <v>0</v>
      </c>
      <c r="AG501" s="3">
        <v>0</v>
      </c>
      <c r="AH501" s="3">
        <v>0.206896551724137</v>
      </c>
      <c r="AI501" s="3" t="s">
        <v>5249</v>
      </c>
      <c r="AJ501" s="3" t="s">
        <v>5222</v>
      </c>
    </row>
    <row r="502" spans="1:36">
      <c r="A502" s="5">
        <v>43288</v>
      </c>
      <c r="B502" s="3" t="s">
        <v>2274</v>
      </c>
      <c r="C502" s="3" t="s">
        <v>2275</v>
      </c>
      <c r="D502" s="3" t="s">
        <v>2275</v>
      </c>
      <c r="E502" s="3" t="s">
        <v>2276</v>
      </c>
      <c r="F502" s="3" t="s">
        <v>120</v>
      </c>
      <c r="G502" s="3">
        <v>12</v>
      </c>
      <c r="H502" s="3">
        <v>0</v>
      </c>
      <c r="I502" s="3">
        <v>12</v>
      </c>
      <c r="J502" s="3">
        <v>0</v>
      </c>
      <c r="K502" s="3">
        <v>0</v>
      </c>
      <c r="L502" s="3">
        <v>0</v>
      </c>
      <c r="M502" s="3">
        <v>0</v>
      </c>
      <c r="N502" s="3" t="s">
        <v>5218</v>
      </c>
      <c r="O502" s="3">
        <v>0</v>
      </c>
      <c r="P502" s="3">
        <v>0</v>
      </c>
      <c r="Q502" s="3">
        <v>0</v>
      </c>
      <c r="R502" s="3">
        <v>0</v>
      </c>
      <c r="S502" s="3">
        <v>0</v>
      </c>
      <c r="T502" s="3">
        <v>4</v>
      </c>
      <c r="U502" s="3">
        <v>4</v>
      </c>
      <c r="V502" s="3">
        <v>8</v>
      </c>
      <c r="W502" s="3"/>
      <c r="X502" s="3">
        <v>22.98</v>
      </c>
      <c r="Y502" s="3">
        <v>22.98</v>
      </c>
      <c r="Z502" s="3">
        <v>22.98</v>
      </c>
      <c r="AA502" s="3">
        <v>0</v>
      </c>
      <c r="AB502" s="3" t="s">
        <v>5223</v>
      </c>
      <c r="AC502" s="3">
        <v>12</v>
      </c>
      <c r="AD502" s="3">
        <v>22.98</v>
      </c>
      <c r="AE502" s="3">
        <v>0</v>
      </c>
      <c r="AF502" s="3">
        <v>0</v>
      </c>
      <c r="AG502" s="3">
        <v>0</v>
      </c>
      <c r="AH502" s="3">
        <v>0.727272727272727</v>
      </c>
      <c r="AI502" s="3" t="s">
        <v>5233</v>
      </c>
      <c r="AJ502" s="3" t="s">
        <v>5222</v>
      </c>
    </row>
    <row r="503" spans="1:36">
      <c r="A503" s="5">
        <v>43288</v>
      </c>
      <c r="B503" s="3" t="s">
        <v>2442</v>
      </c>
      <c r="C503" s="3" t="s">
        <v>2443</v>
      </c>
      <c r="D503" s="3" t="s">
        <v>2443</v>
      </c>
      <c r="E503" s="3" t="s">
        <v>2444</v>
      </c>
      <c r="F503" s="3" t="s">
        <v>120</v>
      </c>
      <c r="G503" s="3">
        <v>1</v>
      </c>
      <c r="H503" s="3">
        <v>0</v>
      </c>
      <c r="I503" s="3">
        <v>1</v>
      </c>
      <c r="J503" s="3">
        <v>0</v>
      </c>
      <c r="K503" s="3">
        <v>0</v>
      </c>
      <c r="L503" s="3">
        <v>0</v>
      </c>
      <c r="M503" s="3">
        <v>0</v>
      </c>
      <c r="N503" s="3" t="s">
        <v>5218</v>
      </c>
      <c r="O503" s="3">
        <v>0</v>
      </c>
      <c r="P503" s="3">
        <v>0</v>
      </c>
      <c r="Q503" s="3">
        <v>0</v>
      </c>
      <c r="R503" s="3">
        <v>0</v>
      </c>
      <c r="S503" s="3">
        <v>0</v>
      </c>
      <c r="T503" s="3">
        <v>0</v>
      </c>
      <c r="U503" s="3">
        <v>0</v>
      </c>
      <c r="V503" s="3">
        <v>1</v>
      </c>
      <c r="W503" s="3" t="s">
        <v>5219</v>
      </c>
      <c r="X503" s="3">
        <v>22.98</v>
      </c>
      <c r="Y503" s="3">
        <v>22.98</v>
      </c>
      <c r="Z503" s="3">
        <v>22.98</v>
      </c>
      <c r="AA503" s="3">
        <v>0</v>
      </c>
      <c r="AB503" s="3" t="s">
        <v>5220</v>
      </c>
      <c r="AC503" s="3">
        <v>1</v>
      </c>
      <c r="AD503" s="3">
        <v>22.98</v>
      </c>
      <c r="AE503" s="3">
        <v>0</v>
      </c>
      <c r="AF503" s="3">
        <v>0</v>
      </c>
      <c r="AG503" s="3">
        <v>0</v>
      </c>
      <c r="AH503" s="3">
        <v>1</v>
      </c>
      <c r="AI503" s="3" t="s">
        <v>5240</v>
      </c>
      <c r="AJ503" s="3" t="s">
        <v>5222</v>
      </c>
    </row>
    <row r="504" spans="1:36">
      <c r="A504" s="5">
        <v>43288</v>
      </c>
      <c r="B504" s="3" t="s">
        <v>4588</v>
      </c>
      <c r="C504" s="3" t="s">
        <v>4075</v>
      </c>
      <c r="D504" s="3" t="s">
        <v>4075</v>
      </c>
      <c r="E504" s="3" t="s">
        <v>4076</v>
      </c>
      <c r="F504" s="3" t="s">
        <v>120</v>
      </c>
      <c r="G504" s="3">
        <v>15</v>
      </c>
      <c r="H504" s="3">
        <v>0</v>
      </c>
      <c r="I504" s="3">
        <v>15</v>
      </c>
      <c r="J504" s="3">
        <v>0</v>
      </c>
      <c r="K504" s="3">
        <v>0</v>
      </c>
      <c r="L504" s="3">
        <v>0</v>
      </c>
      <c r="M504" s="3">
        <v>0</v>
      </c>
      <c r="N504" s="3" t="s">
        <v>5218</v>
      </c>
      <c r="O504" s="3">
        <v>0</v>
      </c>
      <c r="P504" s="3">
        <v>0</v>
      </c>
      <c r="Q504" s="3">
        <v>0</v>
      </c>
      <c r="R504" s="3">
        <v>0</v>
      </c>
      <c r="S504" s="3">
        <v>3</v>
      </c>
      <c r="T504" s="3">
        <v>3</v>
      </c>
      <c r="U504" s="3">
        <v>6</v>
      </c>
      <c r="V504" s="3">
        <v>7</v>
      </c>
      <c r="W504" s="3"/>
      <c r="X504" s="3">
        <v>20.98</v>
      </c>
      <c r="Y504" s="3">
        <v>20.98</v>
      </c>
      <c r="Z504" s="3">
        <v>20.98</v>
      </c>
      <c r="AA504" s="3">
        <v>0</v>
      </c>
      <c r="AB504" s="3" t="s">
        <v>5228</v>
      </c>
      <c r="AC504" s="3">
        <v>3</v>
      </c>
      <c r="AD504" s="3">
        <v>19.25</v>
      </c>
      <c r="AE504" s="3">
        <v>147</v>
      </c>
      <c r="AF504" s="3">
        <v>0</v>
      </c>
      <c r="AG504" s="3">
        <v>264.81786</v>
      </c>
      <c r="AH504" s="3">
        <v>1.07692307692307</v>
      </c>
      <c r="AI504" s="3" t="s">
        <v>5407</v>
      </c>
      <c r="AJ504" s="3" t="s">
        <v>5222</v>
      </c>
    </row>
    <row r="505" spans="1:36">
      <c r="A505" s="5">
        <v>43288</v>
      </c>
      <c r="B505" s="3" t="s">
        <v>3171</v>
      </c>
      <c r="C505" s="3" t="s">
        <v>3172</v>
      </c>
      <c r="D505" s="3" t="s">
        <v>3172</v>
      </c>
      <c r="E505" s="3" t="s">
        <v>3173</v>
      </c>
      <c r="F505" s="3" t="s">
        <v>120</v>
      </c>
      <c r="G505" s="3">
        <v>5</v>
      </c>
      <c r="H505" s="3">
        <v>0</v>
      </c>
      <c r="I505" s="3">
        <v>0</v>
      </c>
      <c r="J505" s="3">
        <v>0</v>
      </c>
      <c r="K505" s="3">
        <v>0</v>
      </c>
      <c r="L505" s="3">
        <v>5</v>
      </c>
      <c r="M505" s="3">
        <v>0</v>
      </c>
      <c r="N505" s="3" t="s">
        <v>5218</v>
      </c>
      <c r="O505" s="3">
        <v>2</v>
      </c>
      <c r="P505" s="3">
        <v>1.79</v>
      </c>
      <c r="Q505" s="3">
        <v>3</v>
      </c>
      <c r="R505" s="3">
        <v>5.37</v>
      </c>
      <c r="S505" s="3">
        <v>0</v>
      </c>
      <c r="T505" s="3">
        <v>0</v>
      </c>
      <c r="U505" s="3">
        <v>0</v>
      </c>
      <c r="V505" s="3">
        <v>0</v>
      </c>
      <c r="W505" s="3" t="s">
        <v>5227</v>
      </c>
      <c r="X505" s="3">
        <v>15.98</v>
      </c>
      <c r="Y505" s="3">
        <v>15.98</v>
      </c>
      <c r="Z505" s="3">
        <v>15.98</v>
      </c>
      <c r="AA505" s="3">
        <v>0</v>
      </c>
      <c r="AB505" s="3" t="s">
        <v>5228</v>
      </c>
      <c r="AC505" s="3">
        <v>0</v>
      </c>
      <c r="AD505" s="3">
        <v>12.78</v>
      </c>
      <c r="AE505" s="3">
        <v>63</v>
      </c>
      <c r="AF505" s="3">
        <v>0</v>
      </c>
      <c r="AG505" s="3">
        <v>59.242057</v>
      </c>
      <c r="AH505" s="3">
        <v>0</v>
      </c>
      <c r="AI505" s="3" t="s">
        <v>5231</v>
      </c>
      <c r="AJ505" s="3" t="s">
        <v>5222</v>
      </c>
    </row>
    <row r="506" spans="1:36">
      <c r="A506" s="5">
        <v>43288</v>
      </c>
      <c r="B506" s="3" t="s">
        <v>801</v>
      </c>
      <c r="C506" s="3" t="s">
        <v>556</v>
      </c>
      <c r="D506" s="3" t="s">
        <v>556</v>
      </c>
      <c r="E506" s="3" t="s">
        <v>802</v>
      </c>
      <c r="F506" s="3" t="s">
        <v>120</v>
      </c>
      <c r="G506" s="3">
        <v>10</v>
      </c>
      <c r="H506" s="3">
        <v>0</v>
      </c>
      <c r="I506" s="3">
        <v>10</v>
      </c>
      <c r="J506" s="3">
        <v>0</v>
      </c>
      <c r="K506" s="3">
        <v>0</v>
      </c>
      <c r="L506" s="3">
        <v>0</v>
      </c>
      <c r="M506" s="3">
        <v>0</v>
      </c>
      <c r="N506" s="3" t="s">
        <v>5218</v>
      </c>
      <c r="O506" s="3">
        <v>0</v>
      </c>
      <c r="P506" s="3">
        <v>0</v>
      </c>
      <c r="Q506" s="3">
        <v>0</v>
      </c>
      <c r="R506" s="3">
        <v>0</v>
      </c>
      <c r="S506" s="3">
        <v>0</v>
      </c>
      <c r="T506" s="3">
        <v>3</v>
      </c>
      <c r="U506" s="3">
        <v>4</v>
      </c>
      <c r="V506" s="3">
        <v>6</v>
      </c>
      <c r="W506" s="3"/>
      <c r="X506" s="3">
        <v>22.98</v>
      </c>
      <c r="Y506" s="3">
        <v>22.98</v>
      </c>
      <c r="Z506" s="3">
        <v>22.98</v>
      </c>
      <c r="AA506" s="3">
        <v>0</v>
      </c>
      <c r="AB506" s="3" t="s">
        <v>5223</v>
      </c>
      <c r="AC506" s="3">
        <v>9</v>
      </c>
      <c r="AD506" s="3">
        <v>22.98</v>
      </c>
      <c r="AE506" s="3">
        <v>0</v>
      </c>
      <c r="AF506" s="3">
        <v>0</v>
      </c>
      <c r="AG506" s="3">
        <v>0</v>
      </c>
      <c r="AH506" s="3">
        <v>0.46551724137931</v>
      </c>
      <c r="AI506" s="3" t="s">
        <v>5225</v>
      </c>
      <c r="AJ506" s="3" t="s">
        <v>5222</v>
      </c>
    </row>
    <row r="507" spans="1:36">
      <c r="A507" s="5">
        <v>43288</v>
      </c>
      <c r="B507" s="3" t="s">
        <v>2301</v>
      </c>
      <c r="C507" s="3" t="s">
        <v>2302</v>
      </c>
      <c r="D507" s="3" t="s">
        <v>2302</v>
      </c>
      <c r="E507" s="3" t="s">
        <v>2303</v>
      </c>
      <c r="F507" s="3" t="s">
        <v>120</v>
      </c>
      <c r="G507" s="3">
        <v>35</v>
      </c>
      <c r="H507" s="3">
        <v>0</v>
      </c>
      <c r="I507" s="3">
        <v>35</v>
      </c>
      <c r="J507" s="3">
        <v>0</v>
      </c>
      <c r="K507" s="3">
        <v>0</v>
      </c>
      <c r="L507" s="3">
        <v>0</v>
      </c>
      <c r="M507" s="3">
        <v>0</v>
      </c>
      <c r="N507" s="3" t="s">
        <v>5218</v>
      </c>
      <c r="O507" s="3">
        <v>0</v>
      </c>
      <c r="P507" s="3">
        <v>0</v>
      </c>
      <c r="Q507" s="3">
        <v>0</v>
      </c>
      <c r="R507" s="3">
        <v>0</v>
      </c>
      <c r="S507" s="3">
        <v>0</v>
      </c>
      <c r="T507" s="3">
        <v>1</v>
      </c>
      <c r="U507" s="3">
        <v>2</v>
      </c>
      <c r="V507" s="3">
        <v>4</v>
      </c>
      <c r="W507" s="3" t="s">
        <v>5227</v>
      </c>
      <c r="X507" s="3">
        <v>22.98</v>
      </c>
      <c r="Y507" s="3">
        <v>22.98</v>
      </c>
      <c r="Z507" s="3">
        <v>22.98</v>
      </c>
      <c r="AA507" s="3">
        <v>0</v>
      </c>
      <c r="AB507" s="3" t="s">
        <v>5228</v>
      </c>
      <c r="AC507" s="3">
        <v>0</v>
      </c>
      <c r="AD507" s="3">
        <v>18.84</v>
      </c>
      <c r="AE507" s="3">
        <v>350</v>
      </c>
      <c r="AF507" s="3">
        <v>0</v>
      </c>
      <c r="AG507" s="3">
        <v>1074.476729</v>
      </c>
      <c r="AH507" s="3">
        <v>0.195121951219512</v>
      </c>
      <c r="AI507" s="3" t="s">
        <v>5233</v>
      </c>
      <c r="AJ507" s="3" t="s">
        <v>5222</v>
      </c>
    </row>
    <row r="508" spans="1:36">
      <c r="A508" s="5">
        <v>43288</v>
      </c>
      <c r="B508" s="3" t="s">
        <v>2060</v>
      </c>
      <c r="C508" s="3" t="s">
        <v>2061</v>
      </c>
      <c r="D508" s="3" t="s">
        <v>2061</v>
      </c>
      <c r="E508" s="3" t="s">
        <v>2062</v>
      </c>
      <c r="F508" s="3" t="s">
        <v>120</v>
      </c>
      <c r="G508" s="3">
        <v>20</v>
      </c>
      <c r="H508" s="3">
        <v>0</v>
      </c>
      <c r="I508" s="3">
        <v>0</v>
      </c>
      <c r="J508" s="3">
        <v>4</v>
      </c>
      <c r="K508" s="3">
        <v>16</v>
      </c>
      <c r="L508" s="3">
        <v>0</v>
      </c>
      <c r="M508" s="3">
        <v>0</v>
      </c>
      <c r="N508" s="3" t="s">
        <v>5218</v>
      </c>
      <c r="O508" s="3">
        <v>19</v>
      </c>
      <c r="P508" s="3">
        <v>24.09</v>
      </c>
      <c r="Q508" s="3">
        <v>0</v>
      </c>
      <c r="R508" s="3">
        <v>0</v>
      </c>
      <c r="S508" s="3">
        <v>1</v>
      </c>
      <c r="T508" s="3">
        <v>6</v>
      </c>
      <c r="U508" s="3">
        <v>14</v>
      </c>
      <c r="V508" s="3">
        <v>20</v>
      </c>
      <c r="W508" s="3"/>
      <c r="X508" s="3">
        <v>23.98</v>
      </c>
      <c r="Y508" s="3">
        <v>23.98</v>
      </c>
      <c r="Z508" s="3">
        <v>23.98</v>
      </c>
      <c r="AA508" s="3">
        <v>0</v>
      </c>
      <c r="AB508" s="3" t="s">
        <v>5223</v>
      </c>
      <c r="AC508" s="3">
        <v>21</v>
      </c>
      <c r="AD508" s="3">
        <v>23.98</v>
      </c>
      <c r="AE508" s="3">
        <v>0</v>
      </c>
      <c r="AF508" s="3">
        <v>0</v>
      </c>
      <c r="AG508" s="3">
        <v>0</v>
      </c>
      <c r="AH508" s="3">
        <v>0.661157024793388</v>
      </c>
      <c r="AI508" s="3" t="s">
        <v>5408</v>
      </c>
      <c r="AJ508" s="3" t="s">
        <v>5242</v>
      </c>
    </row>
    <row r="509" spans="1:36">
      <c r="A509" s="5">
        <v>43288</v>
      </c>
      <c r="B509" s="3" t="s">
        <v>2522</v>
      </c>
      <c r="C509" s="3" t="s">
        <v>2523</v>
      </c>
      <c r="D509" s="3" t="s">
        <v>2523</v>
      </c>
      <c r="E509" s="3" t="s">
        <v>2524</v>
      </c>
      <c r="F509" s="3" t="s">
        <v>120</v>
      </c>
      <c r="G509" s="3">
        <v>6</v>
      </c>
      <c r="H509" s="3">
        <v>0</v>
      </c>
      <c r="I509" s="3">
        <v>1</v>
      </c>
      <c r="J509" s="3">
        <v>1</v>
      </c>
      <c r="K509" s="3">
        <v>4</v>
      </c>
      <c r="L509" s="3">
        <v>0</v>
      </c>
      <c r="M509" s="3">
        <v>0</v>
      </c>
      <c r="N509" s="3" t="s">
        <v>5218</v>
      </c>
      <c r="O509" s="3">
        <v>4</v>
      </c>
      <c r="P509" s="3">
        <v>8.99</v>
      </c>
      <c r="Q509" s="3">
        <v>0</v>
      </c>
      <c r="R509" s="3">
        <v>0</v>
      </c>
      <c r="S509" s="3">
        <v>0</v>
      </c>
      <c r="T509" s="3">
        <v>2</v>
      </c>
      <c r="U509" s="3">
        <v>3</v>
      </c>
      <c r="V509" s="3">
        <v>5</v>
      </c>
      <c r="W509" s="3"/>
      <c r="X509" s="3">
        <v>24.98</v>
      </c>
      <c r="Y509" s="3">
        <v>24.98</v>
      </c>
      <c r="Z509" s="3">
        <v>24.98</v>
      </c>
      <c r="AA509" s="3">
        <v>0</v>
      </c>
      <c r="AB509" s="3" t="s">
        <v>5223</v>
      </c>
      <c r="AC509" s="3">
        <v>5</v>
      </c>
      <c r="AD509" s="3">
        <v>24.98</v>
      </c>
      <c r="AE509" s="3">
        <v>0</v>
      </c>
      <c r="AF509" s="3">
        <v>0</v>
      </c>
      <c r="AG509" s="3">
        <v>0</v>
      </c>
      <c r="AH509" s="3">
        <v>0.64516129032258</v>
      </c>
      <c r="AI509" s="3" t="s">
        <v>5409</v>
      </c>
      <c r="AJ509" s="3" t="s">
        <v>5222</v>
      </c>
    </row>
    <row r="510" spans="1:36">
      <c r="A510" s="5">
        <v>43288</v>
      </c>
      <c r="B510" s="3" t="s">
        <v>777</v>
      </c>
      <c r="C510" s="3" t="s">
        <v>529</v>
      </c>
      <c r="D510" s="3" t="s">
        <v>529</v>
      </c>
      <c r="E510" s="3" t="s">
        <v>778</v>
      </c>
      <c r="F510" s="3" t="s">
        <v>120</v>
      </c>
      <c r="G510" s="3">
        <v>3</v>
      </c>
      <c r="H510" s="3">
        <v>0</v>
      </c>
      <c r="I510" s="3">
        <v>3</v>
      </c>
      <c r="J510" s="3">
        <v>0</v>
      </c>
      <c r="K510" s="3">
        <v>0</v>
      </c>
      <c r="L510" s="3">
        <v>0</v>
      </c>
      <c r="M510" s="3">
        <v>0</v>
      </c>
      <c r="N510" s="3" t="s">
        <v>5218</v>
      </c>
      <c r="O510" s="3">
        <v>0</v>
      </c>
      <c r="P510" s="3">
        <v>0</v>
      </c>
      <c r="Q510" s="3">
        <v>0</v>
      </c>
      <c r="R510" s="3">
        <v>0</v>
      </c>
      <c r="S510" s="3">
        <v>0</v>
      </c>
      <c r="T510" s="3">
        <v>5</v>
      </c>
      <c r="U510" s="3">
        <v>6</v>
      </c>
      <c r="V510" s="3">
        <v>7</v>
      </c>
      <c r="W510" s="3"/>
      <c r="X510" s="3">
        <v>39.98</v>
      </c>
      <c r="Y510" s="3">
        <v>22.98</v>
      </c>
      <c r="Z510" s="3">
        <v>22.98</v>
      </c>
      <c r="AA510" s="3">
        <v>0</v>
      </c>
      <c r="AB510" s="3" t="s">
        <v>5223</v>
      </c>
      <c r="AC510" s="3">
        <v>4</v>
      </c>
      <c r="AD510" s="3">
        <v>22.98</v>
      </c>
      <c r="AE510" s="3">
        <v>0</v>
      </c>
      <c r="AF510" s="3">
        <v>0</v>
      </c>
      <c r="AG510" s="3">
        <v>0</v>
      </c>
      <c r="AH510" s="3">
        <v>0.769230769230769</v>
      </c>
      <c r="AI510" s="3" t="s">
        <v>5225</v>
      </c>
      <c r="AJ510" s="3" t="s">
        <v>5222</v>
      </c>
    </row>
    <row r="511" spans="1:36">
      <c r="A511" s="5">
        <v>43288</v>
      </c>
      <c r="B511" s="3" t="s">
        <v>4297</v>
      </c>
      <c r="C511" s="3" t="s">
        <v>4298</v>
      </c>
      <c r="D511" s="3" t="s">
        <v>4298</v>
      </c>
      <c r="E511" s="3" t="s">
        <v>4299</v>
      </c>
      <c r="F511" s="3" t="s">
        <v>120</v>
      </c>
      <c r="G511" s="3">
        <v>14</v>
      </c>
      <c r="H511" s="3">
        <v>0</v>
      </c>
      <c r="I511" s="3">
        <v>14</v>
      </c>
      <c r="J511" s="3">
        <v>0</v>
      </c>
      <c r="K511" s="3">
        <v>0</v>
      </c>
      <c r="L511" s="3">
        <v>0</v>
      </c>
      <c r="M511" s="3">
        <v>0</v>
      </c>
      <c r="N511" s="3" t="s">
        <v>5218</v>
      </c>
      <c r="O511" s="3">
        <v>0</v>
      </c>
      <c r="P511" s="3">
        <v>0</v>
      </c>
      <c r="Q511" s="3">
        <v>0</v>
      </c>
      <c r="R511" s="3">
        <v>0</v>
      </c>
      <c r="S511" s="3">
        <v>0</v>
      </c>
      <c r="T511" s="3">
        <v>1</v>
      </c>
      <c r="U511" s="3">
        <v>2</v>
      </c>
      <c r="V511" s="3">
        <v>4</v>
      </c>
      <c r="W511" s="3"/>
      <c r="X511" s="3">
        <v>23.98</v>
      </c>
      <c r="Y511" s="3">
        <v>23.98</v>
      </c>
      <c r="Z511" s="3">
        <v>23.98</v>
      </c>
      <c r="AA511" s="3">
        <v>0</v>
      </c>
      <c r="AB511" s="3" t="s">
        <v>5228</v>
      </c>
      <c r="AC511" s="3">
        <v>0</v>
      </c>
      <c r="AD511" s="3">
        <v>21.4</v>
      </c>
      <c r="AE511" s="3">
        <v>217</v>
      </c>
      <c r="AF511" s="3">
        <v>0</v>
      </c>
      <c r="AG511" s="3">
        <v>389.294225</v>
      </c>
      <c r="AH511" s="3">
        <v>0.355555555555555</v>
      </c>
      <c r="AI511" s="3" t="s">
        <v>5258</v>
      </c>
      <c r="AJ511" s="3" t="s">
        <v>5222</v>
      </c>
    </row>
    <row r="512" spans="1:36">
      <c r="A512" s="5">
        <v>43288</v>
      </c>
      <c r="B512" s="3" t="s">
        <v>313</v>
      </c>
      <c r="C512" s="3" t="s">
        <v>314</v>
      </c>
      <c r="D512" s="3" t="s">
        <v>314</v>
      </c>
      <c r="E512" s="3" t="s">
        <v>315</v>
      </c>
      <c r="F512" s="3" t="s">
        <v>120</v>
      </c>
      <c r="G512" s="3">
        <v>8</v>
      </c>
      <c r="H512" s="3">
        <v>0</v>
      </c>
      <c r="I512" s="3">
        <v>8</v>
      </c>
      <c r="J512" s="3">
        <v>0</v>
      </c>
      <c r="K512" s="3">
        <v>0</v>
      </c>
      <c r="L512" s="3">
        <v>0</v>
      </c>
      <c r="M512" s="3">
        <v>0</v>
      </c>
      <c r="N512" s="3" t="s">
        <v>5218</v>
      </c>
      <c r="O512" s="3">
        <v>0</v>
      </c>
      <c r="P512" s="3">
        <v>0</v>
      </c>
      <c r="Q512" s="3">
        <v>0</v>
      </c>
      <c r="R512" s="3">
        <v>0</v>
      </c>
      <c r="S512" s="3">
        <v>6</v>
      </c>
      <c r="T512" s="3">
        <v>12</v>
      </c>
      <c r="U512" s="3">
        <v>20</v>
      </c>
      <c r="V512" s="3">
        <v>20</v>
      </c>
      <c r="W512" s="3"/>
      <c r="X512" s="3">
        <v>22.98</v>
      </c>
      <c r="Y512" s="3">
        <v>22.98</v>
      </c>
      <c r="Z512" s="3">
        <v>22.98</v>
      </c>
      <c r="AA512" s="3">
        <v>0</v>
      </c>
      <c r="AB512" s="3" t="s">
        <v>5223</v>
      </c>
      <c r="AC512" s="3">
        <v>8</v>
      </c>
      <c r="AD512" s="3">
        <v>22.98</v>
      </c>
      <c r="AE512" s="3">
        <v>0</v>
      </c>
      <c r="AF512" s="3">
        <v>0</v>
      </c>
      <c r="AG512" s="3">
        <v>0</v>
      </c>
      <c r="AH512" s="3">
        <v>2.63157894736842</v>
      </c>
      <c r="AI512" s="3" t="s">
        <v>5224</v>
      </c>
      <c r="AJ512" s="3" t="s">
        <v>5222</v>
      </c>
    </row>
    <row r="513" spans="1:36">
      <c r="A513" s="5">
        <v>43288</v>
      </c>
      <c r="B513" s="3" t="s">
        <v>2605</v>
      </c>
      <c r="C513" s="3" t="s">
        <v>1112</v>
      </c>
      <c r="D513" s="3" t="s">
        <v>1112</v>
      </c>
      <c r="E513" s="3" t="s">
        <v>1113</v>
      </c>
      <c r="F513" s="3" t="s">
        <v>120</v>
      </c>
      <c r="G513" s="3">
        <v>13</v>
      </c>
      <c r="H513" s="3">
        <v>0</v>
      </c>
      <c r="I513" s="3">
        <v>13</v>
      </c>
      <c r="J513" s="3">
        <v>0</v>
      </c>
      <c r="K513" s="3">
        <v>0</v>
      </c>
      <c r="L513" s="3">
        <v>0</v>
      </c>
      <c r="M513" s="3">
        <v>0</v>
      </c>
      <c r="N513" s="3" t="s">
        <v>5218</v>
      </c>
      <c r="O513" s="3">
        <v>0</v>
      </c>
      <c r="P513" s="3">
        <v>0</v>
      </c>
      <c r="Q513" s="3">
        <v>0</v>
      </c>
      <c r="R513" s="3">
        <v>0</v>
      </c>
      <c r="S513" s="3">
        <v>4</v>
      </c>
      <c r="T513" s="3">
        <v>15</v>
      </c>
      <c r="U513" s="3">
        <v>30</v>
      </c>
      <c r="V513" s="3">
        <v>45</v>
      </c>
      <c r="W513" s="3"/>
      <c r="X513" s="3">
        <v>22.98</v>
      </c>
      <c r="Y513" s="3">
        <v>22.98</v>
      </c>
      <c r="Z513" s="3">
        <v>22.98</v>
      </c>
      <c r="AA513" s="3">
        <v>0</v>
      </c>
      <c r="AB513" s="3" t="s">
        <v>5223</v>
      </c>
      <c r="AC513" s="3">
        <v>14</v>
      </c>
      <c r="AD513" s="3">
        <v>22.98</v>
      </c>
      <c r="AE513" s="3">
        <v>0</v>
      </c>
      <c r="AF513" s="3">
        <v>0</v>
      </c>
      <c r="AG513" s="3">
        <v>0</v>
      </c>
      <c r="AH513" s="3">
        <v>3.91666666666666</v>
      </c>
      <c r="AI513" s="3" t="s">
        <v>5238</v>
      </c>
      <c r="AJ513" s="3" t="s">
        <v>5222</v>
      </c>
    </row>
    <row r="514" spans="1:36">
      <c r="A514" s="5">
        <v>43288</v>
      </c>
      <c r="B514" s="3" t="s">
        <v>637</v>
      </c>
      <c r="C514" s="3" t="s">
        <v>638</v>
      </c>
      <c r="D514" s="3" t="s">
        <v>638</v>
      </c>
      <c r="E514" s="3" t="s">
        <v>639</v>
      </c>
      <c r="F514" s="3" t="s">
        <v>120</v>
      </c>
      <c r="G514" s="3">
        <v>10</v>
      </c>
      <c r="H514" s="3">
        <v>0</v>
      </c>
      <c r="I514" s="3">
        <v>6</v>
      </c>
      <c r="J514" s="3">
        <v>4</v>
      </c>
      <c r="K514" s="3">
        <v>0</v>
      </c>
      <c r="L514" s="3">
        <v>0</v>
      </c>
      <c r="M514" s="3">
        <v>0</v>
      </c>
      <c r="N514" s="3" t="s">
        <v>5218</v>
      </c>
      <c r="O514" s="3">
        <v>1</v>
      </c>
      <c r="P514" s="3">
        <v>1.9</v>
      </c>
      <c r="Q514" s="3">
        <v>0</v>
      </c>
      <c r="R514" s="3">
        <v>0</v>
      </c>
      <c r="S514" s="3">
        <v>0</v>
      </c>
      <c r="T514" s="3">
        <v>1</v>
      </c>
      <c r="U514" s="3">
        <v>1</v>
      </c>
      <c r="V514" s="3">
        <v>2</v>
      </c>
      <c r="W514" s="3"/>
      <c r="X514" s="3">
        <v>24.98</v>
      </c>
      <c r="Y514" s="3">
        <v>24.98</v>
      </c>
      <c r="Z514" s="3">
        <v>24.98</v>
      </c>
      <c r="AA514" s="3">
        <v>0</v>
      </c>
      <c r="AB514" s="3" t="s">
        <v>5228</v>
      </c>
      <c r="AC514" s="3">
        <v>8</v>
      </c>
      <c r="AD514" s="3">
        <v>23.07</v>
      </c>
      <c r="AE514" s="3">
        <v>21</v>
      </c>
      <c r="AF514" s="3">
        <v>0</v>
      </c>
      <c r="AG514" s="3">
        <v>1.544224</v>
      </c>
      <c r="AH514" s="3">
        <v>0.307692307692307</v>
      </c>
      <c r="AI514" s="3" t="s">
        <v>5250</v>
      </c>
      <c r="AJ514" s="3" t="s">
        <v>5222</v>
      </c>
    </row>
    <row r="515" spans="1:36">
      <c r="A515" s="5">
        <v>43288</v>
      </c>
      <c r="B515" s="3" t="s">
        <v>2923</v>
      </c>
      <c r="C515" s="3" t="s">
        <v>1321</v>
      </c>
      <c r="D515" s="3" t="s">
        <v>1321</v>
      </c>
      <c r="E515" s="3" t="s">
        <v>1322</v>
      </c>
      <c r="F515" s="3" t="s">
        <v>120</v>
      </c>
      <c r="G515" s="3">
        <v>30</v>
      </c>
      <c r="H515" s="3">
        <v>0</v>
      </c>
      <c r="I515" s="3">
        <v>30</v>
      </c>
      <c r="J515" s="3">
        <v>0</v>
      </c>
      <c r="K515" s="3">
        <v>0</v>
      </c>
      <c r="L515" s="3">
        <v>0</v>
      </c>
      <c r="M515" s="3">
        <v>0</v>
      </c>
      <c r="N515" s="3" t="s">
        <v>5218</v>
      </c>
      <c r="O515" s="3">
        <v>0</v>
      </c>
      <c r="P515" s="3">
        <v>0</v>
      </c>
      <c r="Q515" s="3">
        <v>0</v>
      </c>
      <c r="R515" s="3">
        <v>0</v>
      </c>
      <c r="S515" s="3">
        <v>6</v>
      </c>
      <c r="T515" s="3">
        <v>34</v>
      </c>
      <c r="U515" s="3">
        <v>59</v>
      </c>
      <c r="V515" s="3">
        <v>67</v>
      </c>
      <c r="W515" s="3"/>
      <c r="X515" s="3">
        <v>22.98</v>
      </c>
      <c r="Y515" s="3">
        <v>22.98</v>
      </c>
      <c r="Z515" s="3">
        <v>22.98</v>
      </c>
      <c r="AA515" s="3">
        <v>0</v>
      </c>
      <c r="AB515" s="3" t="s">
        <v>5223</v>
      </c>
      <c r="AC515" s="3">
        <v>33</v>
      </c>
      <c r="AD515" s="3">
        <v>24.98</v>
      </c>
      <c r="AE515" s="3">
        <v>0</v>
      </c>
      <c r="AF515" s="3">
        <v>0</v>
      </c>
      <c r="AG515" s="3">
        <v>0</v>
      </c>
      <c r="AH515" s="3">
        <v>2.25210084033613</v>
      </c>
      <c r="AI515" s="3" t="s">
        <v>5236</v>
      </c>
      <c r="AJ515" s="3" t="s">
        <v>5222</v>
      </c>
    </row>
    <row r="516" spans="1:36">
      <c r="A516" s="5">
        <v>43288</v>
      </c>
      <c r="B516" s="3" t="s">
        <v>2621</v>
      </c>
      <c r="C516" s="3" t="s">
        <v>1170</v>
      </c>
      <c r="D516" s="3" t="s">
        <v>1170</v>
      </c>
      <c r="E516" s="3" t="s">
        <v>1171</v>
      </c>
      <c r="F516" s="3" t="s">
        <v>120</v>
      </c>
      <c r="G516" s="3">
        <v>20</v>
      </c>
      <c r="H516" s="3">
        <v>0</v>
      </c>
      <c r="I516" s="3">
        <v>20</v>
      </c>
      <c r="J516" s="3">
        <v>0</v>
      </c>
      <c r="K516" s="3">
        <v>0</v>
      </c>
      <c r="L516" s="3">
        <v>0</v>
      </c>
      <c r="M516" s="3">
        <v>0</v>
      </c>
      <c r="N516" s="3" t="s">
        <v>5218</v>
      </c>
      <c r="O516" s="3">
        <v>0</v>
      </c>
      <c r="P516" s="3">
        <v>0</v>
      </c>
      <c r="Q516" s="3">
        <v>0</v>
      </c>
      <c r="R516" s="3">
        <v>0</v>
      </c>
      <c r="S516" s="3">
        <v>2</v>
      </c>
      <c r="T516" s="3">
        <v>19</v>
      </c>
      <c r="U516" s="3">
        <v>33</v>
      </c>
      <c r="V516" s="3">
        <v>41</v>
      </c>
      <c r="W516" s="3"/>
      <c r="X516" s="3">
        <v>35.98</v>
      </c>
      <c r="Y516" s="3">
        <v>22.98</v>
      </c>
      <c r="Z516" s="3">
        <v>22.98</v>
      </c>
      <c r="AA516" s="3">
        <v>0</v>
      </c>
      <c r="AB516" s="3" t="s">
        <v>5223</v>
      </c>
      <c r="AC516" s="3">
        <v>22</v>
      </c>
      <c r="AD516" s="3">
        <v>22.98</v>
      </c>
      <c r="AE516" s="3">
        <v>0</v>
      </c>
      <c r="AF516" s="3">
        <v>0</v>
      </c>
      <c r="AG516" s="3">
        <v>0</v>
      </c>
      <c r="AH516" s="3">
        <v>2.35616438356164</v>
      </c>
      <c r="AI516" s="3" t="s">
        <v>5238</v>
      </c>
      <c r="AJ516" s="3" t="s">
        <v>5222</v>
      </c>
    </row>
    <row r="517" spans="1:36">
      <c r="A517" s="5">
        <v>43288</v>
      </c>
      <c r="B517" s="3" t="s">
        <v>1598</v>
      </c>
      <c r="C517" s="3" t="s">
        <v>1599</v>
      </c>
      <c r="D517" s="3" t="s">
        <v>1599</v>
      </c>
      <c r="E517" s="3" t="s">
        <v>1600</v>
      </c>
      <c r="F517" s="3" t="s">
        <v>120</v>
      </c>
      <c r="G517" s="3">
        <v>38</v>
      </c>
      <c r="H517" s="3">
        <v>0</v>
      </c>
      <c r="I517" s="3">
        <v>1</v>
      </c>
      <c r="J517" s="3">
        <v>3</v>
      </c>
      <c r="K517" s="3">
        <v>30</v>
      </c>
      <c r="L517" s="3">
        <v>4</v>
      </c>
      <c r="M517" s="3">
        <v>0</v>
      </c>
      <c r="N517" s="3" t="s">
        <v>5218</v>
      </c>
      <c r="O517" s="3">
        <v>35</v>
      </c>
      <c r="P517" s="3">
        <v>110.74</v>
      </c>
      <c r="Q517" s="3">
        <v>0</v>
      </c>
      <c r="R517" s="3">
        <v>0</v>
      </c>
      <c r="S517" s="3">
        <v>1</v>
      </c>
      <c r="T517" s="3">
        <v>1</v>
      </c>
      <c r="U517" s="3">
        <v>2</v>
      </c>
      <c r="V517" s="3">
        <v>2</v>
      </c>
      <c r="W517" s="3" t="s">
        <v>5227</v>
      </c>
      <c r="X517" s="3">
        <v>22.98</v>
      </c>
      <c r="Y517" s="3">
        <v>22.98</v>
      </c>
      <c r="Z517" s="3">
        <v>19.98</v>
      </c>
      <c r="AA517" s="3">
        <v>0</v>
      </c>
      <c r="AB517" s="3" t="s">
        <v>5228</v>
      </c>
      <c r="AC517" s="3">
        <v>2</v>
      </c>
      <c r="AD517" s="3">
        <v>18.38</v>
      </c>
      <c r="AE517" s="3">
        <v>357</v>
      </c>
      <c r="AF517" s="3">
        <v>0</v>
      </c>
      <c r="AG517" s="3">
        <v>340.391161</v>
      </c>
      <c r="AH517" s="3">
        <v>0.0512820512820512</v>
      </c>
      <c r="AI517" s="3" t="s">
        <v>5248</v>
      </c>
      <c r="AJ517" s="3" t="s">
        <v>5222</v>
      </c>
    </row>
    <row r="518" spans="1:36">
      <c r="A518" s="5">
        <v>43288</v>
      </c>
      <c r="B518" s="3" t="s">
        <v>4360</v>
      </c>
      <c r="C518" s="3" t="s">
        <v>4361</v>
      </c>
      <c r="D518" s="3" t="s">
        <v>4361</v>
      </c>
      <c r="E518" s="3" t="s">
        <v>4362</v>
      </c>
      <c r="F518" s="3" t="s">
        <v>120</v>
      </c>
      <c r="G518" s="3">
        <v>25</v>
      </c>
      <c r="H518" s="3">
        <v>0</v>
      </c>
      <c r="I518" s="3">
        <v>25</v>
      </c>
      <c r="J518" s="3">
        <v>0</v>
      </c>
      <c r="K518" s="3">
        <v>0</v>
      </c>
      <c r="L518" s="3">
        <v>0</v>
      </c>
      <c r="M518" s="3">
        <v>0</v>
      </c>
      <c r="N518" s="3" t="s">
        <v>5218</v>
      </c>
      <c r="O518" s="3">
        <v>0</v>
      </c>
      <c r="P518" s="3">
        <v>0</v>
      </c>
      <c r="Q518" s="3">
        <v>0</v>
      </c>
      <c r="R518" s="3">
        <v>0</v>
      </c>
      <c r="S518" s="3">
        <v>0</v>
      </c>
      <c r="T518" s="3">
        <v>0</v>
      </c>
      <c r="U518" s="3">
        <v>0</v>
      </c>
      <c r="V518" s="3">
        <v>3</v>
      </c>
      <c r="W518" s="3" t="s">
        <v>5227</v>
      </c>
      <c r="X518" s="3">
        <v>23.98</v>
      </c>
      <c r="Y518" s="3">
        <v>23.98</v>
      </c>
      <c r="Z518" s="3">
        <v>23.98</v>
      </c>
      <c r="AA518" s="3">
        <v>0</v>
      </c>
      <c r="AB518" s="3" t="s">
        <v>5228</v>
      </c>
      <c r="AC518" s="3">
        <v>0</v>
      </c>
      <c r="AD518" s="3">
        <v>20.95</v>
      </c>
      <c r="AE518" s="3">
        <v>301</v>
      </c>
      <c r="AF518" s="3">
        <v>0</v>
      </c>
      <c r="AG518" s="3">
        <v>666.917088</v>
      </c>
      <c r="AH518" s="3">
        <v>0.218181818181818</v>
      </c>
      <c r="AI518" s="3" t="s">
        <v>5258</v>
      </c>
      <c r="AJ518" s="3" t="s">
        <v>5222</v>
      </c>
    </row>
    <row r="519" spans="1:36">
      <c r="A519" s="5">
        <v>43288</v>
      </c>
      <c r="B519" s="3" t="s">
        <v>4569</v>
      </c>
      <c r="C519" s="3" t="s">
        <v>3999</v>
      </c>
      <c r="D519" s="3" t="s">
        <v>3999</v>
      </c>
      <c r="E519" s="3" t="s">
        <v>4000</v>
      </c>
      <c r="F519" s="3" t="s">
        <v>120</v>
      </c>
      <c r="G519" s="3">
        <v>7</v>
      </c>
      <c r="H519" s="3">
        <v>0</v>
      </c>
      <c r="I519" s="3">
        <v>7</v>
      </c>
      <c r="J519" s="3">
        <v>0</v>
      </c>
      <c r="K519" s="3">
        <v>0</v>
      </c>
      <c r="L519" s="3">
        <v>0</v>
      </c>
      <c r="M519" s="3">
        <v>0</v>
      </c>
      <c r="N519" s="3" t="s">
        <v>5218</v>
      </c>
      <c r="O519" s="3">
        <v>0</v>
      </c>
      <c r="P519" s="3">
        <v>0</v>
      </c>
      <c r="Q519" s="3">
        <v>0</v>
      </c>
      <c r="R519" s="3">
        <v>0</v>
      </c>
      <c r="S519" s="3">
        <v>0</v>
      </c>
      <c r="T519" s="3">
        <v>3</v>
      </c>
      <c r="U519" s="3">
        <v>4</v>
      </c>
      <c r="V519" s="3">
        <v>7</v>
      </c>
      <c r="W519" s="3"/>
      <c r="X519" s="3">
        <v>20.98</v>
      </c>
      <c r="Y519" s="3">
        <v>20.98</v>
      </c>
      <c r="Z519" s="3">
        <v>20.98</v>
      </c>
      <c r="AA519" s="3">
        <v>0</v>
      </c>
      <c r="AB519" s="3" t="s">
        <v>5223</v>
      </c>
      <c r="AC519" s="3">
        <v>7</v>
      </c>
      <c r="AD519" s="3">
        <v>20.98</v>
      </c>
      <c r="AE519" s="3">
        <v>0</v>
      </c>
      <c r="AF519" s="3">
        <v>0</v>
      </c>
      <c r="AG519" s="3">
        <v>0</v>
      </c>
      <c r="AH519" s="3">
        <v>1.33333333333333</v>
      </c>
      <c r="AI519" s="3" t="s">
        <v>5226</v>
      </c>
      <c r="AJ519" s="3" t="s">
        <v>5222</v>
      </c>
    </row>
    <row r="520" spans="1:36">
      <c r="A520" s="5">
        <v>43288</v>
      </c>
      <c r="B520" s="3" t="s">
        <v>822</v>
      </c>
      <c r="C520" s="3" t="s">
        <v>584</v>
      </c>
      <c r="D520" s="3" t="s">
        <v>584</v>
      </c>
      <c r="E520" s="3" t="s">
        <v>823</v>
      </c>
      <c r="F520" s="3" t="s">
        <v>120</v>
      </c>
      <c r="G520" s="3">
        <v>2</v>
      </c>
      <c r="H520" s="3">
        <v>0</v>
      </c>
      <c r="I520" s="3">
        <v>2</v>
      </c>
      <c r="J520" s="3">
        <v>0</v>
      </c>
      <c r="K520" s="3">
        <v>0</v>
      </c>
      <c r="L520" s="3">
        <v>0</v>
      </c>
      <c r="M520" s="3">
        <v>0</v>
      </c>
      <c r="N520" s="3" t="s">
        <v>5218</v>
      </c>
      <c r="O520" s="3">
        <v>0</v>
      </c>
      <c r="P520" s="3">
        <v>0</v>
      </c>
      <c r="Q520" s="3">
        <v>0</v>
      </c>
      <c r="R520" s="3">
        <v>0</v>
      </c>
      <c r="S520" s="3">
        <v>1</v>
      </c>
      <c r="T520" s="3">
        <v>6</v>
      </c>
      <c r="U520" s="3">
        <v>6</v>
      </c>
      <c r="V520" s="3">
        <v>6</v>
      </c>
      <c r="W520" s="3"/>
      <c r="X520" s="3">
        <v>22.98</v>
      </c>
      <c r="Y520" s="3">
        <v>22.98</v>
      </c>
      <c r="Z520" s="3">
        <v>22.98</v>
      </c>
      <c r="AA520" s="3">
        <v>0</v>
      </c>
      <c r="AB520" s="3" t="s">
        <v>5223</v>
      </c>
      <c r="AC520" s="3">
        <v>3</v>
      </c>
      <c r="AD520" s="3">
        <v>22.98</v>
      </c>
      <c r="AE520" s="3">
        <v>0</v>
      </c>
      <c r="AF520" s="3">
        <v>0</v>
      </c>
      <c r="AG520" s="3">
        <v>0</v>
      </c>
      <c r="AH520" s="3">
        <v>0.899999999999999</v>
      </c>
      <c r="AI520" s="3" t="s">
        <v>5225</v>
      </c>
      <c r="AJ520" s="3" t="s">
        <v>5222</v>
      </c>
    </row>
    <row r="521" spans="1:36">
      <c r="A521" s="5">
        <v>43288</v>
      </c>
      <c r="B521" s="3" t="s">
        <v>4240</v>
      </c>
      <c r="C521" s="3" t="s">
        <v>4241</v>
      </c>
      <c r="D521" s="3" t="s">
        <v>4241</v>
      </c>
      <c r="E521" s="3" t="s">
        <v>4242</v>
      </c>
      <c r="F521" s="3" t="s">
        <v>120</v>
      </c>
      <c r="G521" s="3">
        <v>2</v>
      </c>
      <c r="H521" s="3">
        <v>0</v>
      </c>
      <c r="I521" s="3">
        <v>2</v>
      </c>
      <c r="J521" s="3">
        <v>0</v>
      </c>
      <c r="K521" s="3">
        <v>0</v>
      </c>
      <c r="L521" s="3">
        <v>0</v>
      </c>
      <c r="M521" s="3">
        <v>0</v>
      </c>
      <c r="N521" s="3" t="s">
        <v>5218</v>
      </c>
      <c r="O521" s="3">
        <v>0</v>
      </c>
      <c r="P521" s="3">
        <v>0</v>
      </c>
      <c r="Q521" s="3">
        <v>0</v>
      </c>
      <c r="R521" s="3">
        <v>0</v>
      </c>
      <c r="S521" s="3">
        <v>0</v>
      </c>
      <c r="T521" s="3">
        <v>2</v>
      </c>
      <c r="U521" s="3">
        <v>3</v>
      </c>
      <c r="V521" s="3">
        <v>4</v>
      </c>
      <c r="W521" s="3" t="s">
        <v>5227</v>
      </c>
      <c r="X521" s="3">
        <v>23.98</v>
      </c>
      <c r="Y521" s="3">
        <v>23.98</v>
      </c>
      <c r="Z521" s="3">
        <v>23.98</v>
      </c>
      <c r="AA521" s="3">
        <v>0</v>
      </c>
      <c r="AB521" s="3" t="s">
        <v>5228</v>
      </c>
      <c r="AC521" s="3">
        <v>0</v>
      </c>
      <c r="AD521" s="3">
        <v>22.47</v>
      </c>
      <c r="AE521" s="3">
        <v>84</v>
      </c>
      <c r="AF521" s="3">
        <v>0</v>
      </c>
      <c r="AG521" s="3">
        <v>44.04015</v>
      </c>
      <c r="AH521" s="3">
        <v>2.66666666666666</v>
      </c>
      <c r="AI521" s="3" t="s">
        <v>5410</v>
      </c>
      <c r="AJ521" s="3" t="s">
        <v>5222</v>
      </c>
    </row>
    <row r="522" spans="1:36">
      <c r="A522" s="5">
        <v>43288</v>
      </c>
      <c r="B522" s="3" t="s">
        <v>4459</v>
      </c>
      <c r="C522" s="3" t="s">
        <v>4460</v>
      </c>
      <c r="D522" s="3" t="s">
        <v>4460</v>
      </c>
      <c r="E522" s="3" t="s">
        <v>4461</v>
      </c>
      <c r="F522" s="3" t="s">
        <v>120</v>
      </c>
      <c r="G522" s="3">
        <v>1</v>
      </c>
      <c r="H522" s="3">
        <v>0</v>
      </c>
      <c r="I522" s="3">
        <v>1</v>
      </c>
      <c r="J522" s="3">
        <v>0</v>
      </c>
      <c r="K522" s="3">
        <v>0</v>
      </c>
      <c r="L522" s="3">
        <v>0</v>
      </c>
      <c r="M522" s="3">
        <v>0</v>
      </c>
      <c r="N522" s="3" t="s">
        <v>5218</v>
      </c>
      <c r="O522" s="3">
        <v>0</v>
      </c>
      <c r="P522" s="3">
        <v>0</v>
      </c>
      <c r="Q522" s="3">
        <v>0</v>
      </c>
      <c r="R522" s="3">
        <v>0</v>
      </c>
      <c r="S522" s="3">
        <v>0</v>
      </c>
      <c r="T522" s="3">
        <v>0</v>
      </c>
      <c r="U522" s="3">
        <v>0</v>
      </c>
      <c r="V522" s="3">
        <v>0</v>
      </c>
      <c r="W522" s="3" t="s">
        <v>5227</v>
      </c>
      <c r="X522" s="3">
        <v>23.98</v>
      </c>
      <c r="Y522" s="3">
        <v>23.98</v>
      </c>
      <c r="Z522" s="3">
        <v>23.98</v>
      </c>
      <c r="AA522" s="3">
        <v>0</v>
      </c>
      <c r="AB522" s="3" t="s">
        <v>5223</v>
      </c>
      <c r="AC522" s="3">
        <v>1</v>
      </c>
      <c r="AD522" s="3">
        <v>23.98</v>
      </c>
      <c r="AE522" s="3">
        <v>0</v>
      </c>
      <c r="AF522" s="3">
        <v>0</v>
      </c>
      <c r="AG522" s="3">
        <v>0</v>
      </c>
      <c r="AH522" s="3">
        <v>0</v>
      </c>
      <c r="AI522" s="3" t="s">
        <v>5411</v>
      </c>
      <c r="AJ522" s="3" t="s">
        <v>5222</v>
      </c>
    </row>
    <row r="523" spans="1:36">
      <c r="A523" s="5">
        <v>43288</v>
      </c>
      <c r="B523" s="3" t="s">
        <v>4641</v>
      </c>
      <c r="C523" s="3" t="s">
        <v>4642</v>
      </c>
      <c r="D523" s="3" t="s">
        <v>4181</v>
      </c>
      <c r="E523" s="3" t="s">
        <v>4182</v>
      </c>
      <c r="F523" s="3" t="s">
        <v>120</v>
      </c>
      <c r="G523" s="3">
        <v>1</v>
      </c>
      <c r="H523" s="3">
        <v>0</v>
      </c>
      <c r="I523" s="3">
        <v>1</v>
      </c>
      <c r="J523" s="3">
        <v>0</v>
      </c>
      <c r="K523" s="3">
        <v>0</v>
      </c>
      <c r="L523" s="3">
        <v>0</v>
      </c>
      <c r="M523" s="3">
        <v>0</v>
      </c>
      <c r="N523" s="3" t="s">
        <v>5218</v>
      </c>
      <c r="O523" s="3">
        <v>0</v>
      </c>
      <c r="P523" s="3">
        <v>0</v>
      </c>
      <c r="Q523" s="3">
        <v>0</v>
      </c>
      <c r="R523" s="3">
        <v>0</v>
      </c>
      <c r="S523" s="3">
        <v>1</v>
      </c>
      <c r="T523" s="3">
        <v>1</v>
      </c>
      <c r="U523" s="3">
        <v>1</v>
      </c>
      <c r="V523" s="3">
        <v>1</v>
      </c>
      <c r="W523" s="3"/>
      <c r="X523" s="3">
        <v>22.98</v>
      </c>
      <c r="Y523" s="3">
        <v>22.98</v>
      </c>
      <c r="Z523" s="3">
        <v>22.98</v>
      </c>
      <c r="AA523" s="3">
        <v>0</v>
      </c>
      <c r="AB523" s="3" t="s">
        <v>5223</v>
      </c>
      <c r="AC523" s="3">
        <v>2</v>
      </c>
      <c r="AD523" s="3">
        <v>22.98</v>
      </c>
      <c r="AE523" s="3">
        <v>0</v>
      </c>
      <c r="AF523" s="3">
        <v>0</v>
      </c>
      <c r="AG523" s="3">
        <v>0</v>
      </c>
      <c r="AH523" s="3">
        <v>2.3</v>
      </c>
      <c r="AI523" s="3" t="s">
        <v>5226</v>
      </c>
      <c r="AJ523" s="3" t="s">
        <v>5222</v>
      </c>
    </row>
    <row r="524" spans="1:36">
      <c r="A524" s="5">
        <v>43288</v>
      </c>
      <c r="B524" s="3" t="s">
        <v>3129</v>
      </c>
      <c r="C524" s="3" t="s">
        <v>3130</v>
      </c>
      <c r="D524" s="3" t="s">
        <v>3130</v>
      </c>
      <c r="E524" s="3" t="s">
        <v>3131</v>
      </c>
      <c r="F524" s="3" t="s">
        <v>120</v>
      </c>
      <c r="G524" s="3">
        <v>4</v>
      </c>
      <c r="H524" s="3">
        <v>0</v>
      </c>
      <c r="I524" s="3">
        <v>0</v>
      </c>
      <c r="J524" s="3">
        <v>0</v>
      </c>
      <c r="K524" s="3">
        <v>0</v>
      </c>
      <c r="L524" s="3">
        <v>4</v>
      </c>
      <c r="M524" s="3">
        <v>0</v>
      </c>
      <c r="N524" s="3" t="s">
        <v>5218</v>
      </c>
      <c r="O524" s="3">
        <v>2</v>
      </c>
      <c r="P524" s="3">
        <v>1.79</v>
      </c>
      <c r="Q524" s="3">
        <v>2</v>
      </c>
      <c r="R524" s="3">
        <v>3.58</v>
      </c>
      <c r="S524" s="3">
        <v>0</v>
      </c>
      <c r="T524" s="3">
        <v>0</v>
      </c>
      <c r="U524" s="3">
        <v>0</v>
      </c>
      <c r="V524" s="3">
        <v>1</v>
      </c>
      <c r="W524" s="3" t="s">
        <v>5227</v>
      </c>
      <c r="X524" s="3">
        <v>15.98</v>
      </c>
      <c r="Y524" s="3">
        <v>15.98</v>
      </c>
      <c r="Z524" s="3">
        <v>15.98</v>
      </c>
      <c r="AA524" s="3">
        <v>0</v>
      </c>
      <c r="AB524" s="3" t="s">
        <v>5228</v>
      </c>
      <c r="AC524" s="3">
        <v>0</v>
      </c>
      <c r="AD524" s="3">
        <v>15.16</v>
      </c>
      <c r="AE524" s="3">
        <v>35</v>
      </c>
      <c r="AF524" s="3">
        <v>0</v>
      </c>
      <c r="AG524" s="3">
        <v>74.690661</v>
      </c>
      <c r="AH524" s="3">
        <v>0.25</v>
      </c>
      <c r="AI524" s="3" t="s">
        <v>5231</v>
      </c>
      <c r="AJ524" s="3" t="s">
        <v>5222</v>
      </c>
    </row>
    <row r="525" spans="1:36">
      <c r="A525" s="5">
        <v>43288</v>
      </c>
      <c r="B525" s="3" t="s">
        <v>469</v>
      </c>
      <c r="C525" s="3" t="s">
        <v>304</v>
      </c>
      <c r="D525" s="3" t="s">
        <v>304</v>
      </c>
      <c r="E525" s="3" t="s">
        <v>470</v>
      </c>
      <c r="F525" s="3" t="s">
        <v>120</v>
      </c>
      <c r="G525" s="3">
        <v>20</v>
      </c>
      <c r="H525" s="3">
        <v>0</v>
      </c>
      <c r="I525" s="3">
        <v>0</v>
      </c>
      <c r="J525" s="3">
        <v>20</v>
      </c>
      <c r="K525" s="3">
        <v>0</v>
      </c>
      <c r="L525" s="3">
        <v>0</v>
      </c>
      <c r="M525" s="3">
        <v>0</v>
      </c>
      <c r="N525" s="3" t="s">
        <v>5218</v>
      </c>
      <c r="O525" s="3">
        <v>0</v>
      </c>
      <c r="P525" s="3">
        <v>0</v>
      </c>
      <c r="Q525" s="3">
        <v>0</v>
      </c>
      <c r="R525" s="3">
        <v>0</v>
      </c>
      <c r="S525" s="3">
        <v>1</v>
      </c>
      <c r="T525" s="3">
        <v>3</v>
      </c>
      <c r="U525" s="3">
        <v>4</v>
      </c>
      <c r="V525" s="3">
        <v>4</v>
      </c>
      <c r="W525" s="3"/>
      <c r="X525" s="3">
        <v>24.98</v>
      </c>
      <c r="Y525" s="3">
        <v>24.98</v>
      </c>
      <c r="Z525" s="3">
        <v>24.98</v>
      </c>
      <c r="AA525" s="3">
        <v>0</v>
      </c>
      <c r="AB525" s="3" t="s">
        <v>5228</v>
      </c>
      <c r="AC525" s="3">
        <v>0</v>
      </c>
      <c r="AD525" s="3">
        <v>18.1</v>
      </c>
      <c r="AE525" s="3">
        <v>364</v>
      </c>
      <c r="AF525" s="3">
        <v>0</v>
      </c>
      <c r="AG525" s="3">
        <v>281.359619</v>
      </c>
      <c r="AH525" s="3">
        <v>0.139130434782608</v>
      </c>
      <c r="AI525" s="3" t="s">
        <v>5224</v>
      </c>
      <c r="AJ525" s="3" t="s">
        <v>5222</v>
      </c>
    </row>
    <row r="526" spans="1:36">
      <c r="A526" s="5">
        <v>43288</v>
      </c>
      <c r="B526" s="3" t="s">
        <v>2761</v>
      </c>
      <c r="C526" s="3" t="s">
        <v>2762</v>
      </c>
      <c r="D526" s="3" t="s">
        <v>2763</v>
      </c>
      <c r="E526" s="3" t="s">
        <v>1725</v>
      </c>
      <c r="F526" s="3" t="s">
        <v>120</v>
      </c>
      <c r="G526" s="3">
        <v>20</v>
      </c>
      <c r="H526" s="3">
        <v>0</v>
      </c>
      <c r="I526" s="3">
        <v>20</v>
      </c>
      <c r="J526" s="3">
        <v>0</v>
      </c>
      <c r="K526" s="3">
        <v>0</v>
      </c>
      <c r="L526" s="3">
        <v>0</v>
      </c>
      <c r="M526" s="3">
        <v>0</v>
      </c>
      <c r="N526" s="3" t="s">
        <v>5218</v>
      </c>
      <c r="O526" s="3">
        <v>0</v>
      </c>
      <c r="P526" s="3">
        <v>0</v>
      </c>
      <c r="Q526" s="3">
        <v>0</v>
      </c>
      <c r="R526" s="3">
        <v>0</v>
      </c>
      <c r="S526" s="3">
        <v>3</v>
      </c>
      <c r="T526" s="3">
        <v>11</v>
      </c>
      <c r="U526" s="3">
        <v>11</v>
      </c>
      <c r="V526" s="3">
        <v>11</v>
      </c>
      <c r="W526" s="3" t="s">
        <v>5227</v>
      </c>
      <c r="X526" s="3">
        <v>23.98</v>
      </c>
      <c r="Y526" s="3">
        <v>23.98</v>
      </c>
      <c r="Z526" s="3">
        <v>23.98</v>
      </c>
      <c r="AA526" s="3">
        <v>0</v>
      </c>
      <c r="AB526" s="3" t="s">
        <v>5223</v>
      </c>
      <c r="AC526" s="3">
        <v>20</v>
      </c>
      <c r="AD526" s="3">
        <v>24.98</v>
      </c>
      <c r="AE526" s="3">
        <v>0</v>
      </c>
      <c r="AF526" s="3">
        <v>0</v>
      </c>
      <c r="AG526" s="3">
        <v>0</v>
      </c>
      <c r="AH526" s="3">
        <v>1.1</v>
      </c>
      <c r="AI526" s="3" t="s">
        <v>5236</v>
      </c>
      <c r="AJ526" s="3" t="s">
        <v>5222</v>
      </c>
    </row>
    <row r="527" spans="1:36">
      <c r="A527" s="5">
        <v>43288</v>
      </c>
      <c r="B527" s="3" t="s">
        <v>1236</v>
      </c>
      <c r="C527" s="3" t="s">
        <v>1237</v>
      </c>
      <c r="D527" s="3" t="s">
        <v>520</v>
      </c>
      <c r="E527" s="3" t="s">
        <v>770</v>
      </c>
      <c r="F527" s="3" t="s">
        <v>120</v>
      </c>
      <c r="G527" s="3">
        <v>19</v>
      </c>
      <c r="H527" s="3">
        <v>0</v>
      </c>
      <c r="I527" s="3">
        <v>19</v>
      </c>
      <c r="J527" s="3">
        <v>0</v>
      </c>
      <c r="K527" s="3">
        <v>0</v>
      </c>
      <c r="L527" s="3">
        <v>0</v>
      </c>
      <c r="M527" s="3">
        <v>0</v>
      </c>
      <c r="N527" s="3" t="s">
        <v>5218</v>
      </c>
      <c r="O527" s="3">
        <v>0</v>
      </c>
      <c r="P527" s="3">
        <v>0</v>
      </c>
      <c r="Q527" s="3">
        <v>0</v>
      </c>
      <c r="R527" s="3">
        <v>0</v>
      </c>
      <c r="S527" s="3">
        <v>0</v>
      </c>
      <c r="T527" s="3">
        <v>0</v>
      </c>
      <c r="U527" s="3">
        <v>0</v>
      </c>
      <c r="V527" s="3">
        <v>0</v>
      </c>
      <c r="W527" s="3" t="s">
        <v>5227</v>
      </c>
      <c r="X527" s="3">
        <v>39.98</v>
      </c>
      <c r="Y527" s="3">
        <v>22.98</v>
      </c>
      <c r="Z527" s="3">
        <v>22.98</v>
      </c>
      <c r="AA527" s="3">
        <v>0</v>
      </c>
      <c r="AB527" s="3" t="s">
        <v>5223</v>
      </c>
      <c r="AC527" s="3">
        <v>20</v>
      </c>
      <c r="AD527" s="3">
        <v>22.98</v>
      </c>
      <c r="AE527" s="3">
        <v>0</v>
      </c>
      <c r="AF527" s="3">
        <v>0</v>
      </c>
      <c r="AG527" s="3">
        <v>0</v>
      </c>
      <c r="AH527" s="3">
        <v>0.545454545454545</v>
      </c>
      <c r="AI527" s="3" t="s">
        <v>5225</v>
      </c>
      <c r="AJ527" s="3" t="s">
        <v>5222</v>
      </c>
    </row>
    <row r="528" spans="1:36">
      <c r="A528" s="5">
        <v>43288</v>
      </c>
      <c r="B528" s="3" t="s">
        <v>1743</v>
      </c>
      <c r="C528" s="3" t="s">
        <v>1744</v>
      </c>
      <c r="D528" s="3" t="s">
        <v>1744</v>
      </c>
      <c r="E528" s="3" t="s">
        <v>5412</v>
      </c>
      <c r="F528" s="3" t="s">
        <v>120</v>
      </c>
      <c r="G528" s="3">
        <v>10</v>
      </c>
      <c r="H528" s="3">
        <v>0</v>
      </c>
      <c r="I528" s="3">
        <v>0</v>
      </c>
      <c r="J528" s="3">
        <v>10</v>
      </c>
      <c r="K528" s="3">
        <v>0</v>
      </c>
      <c r="L528" s="3">
        <v>0</v>
      </c>
      <c r="M528" s="3">
        <v>0</v>
      </c>
      <c r="N528" s="3" t="s">
        <v>5218</v>
      </c>
      <c r="O528" s="3">
        <v>9</v>
      </c>
      <c r="P528" s="3">
        <v>11.67</v>
      </c>
      <c r="Q528" s="3">
        <v>0</v>
      </c>
      <c r="R528" s="3">
        <v>0</v>
      </c>
      <c r="S528" s="3">
        <v>0</v>
      </c>
      <c r="T528" s="3">
        <v>0</v>
      </c>
      <c r="U528" s="3">
        <v>0</v>
      </c>
      <c r="V528" s="3">
        <v>0</v>
      </c>
      <c r="W528" s="3"/>
      <c r="X528" s="3"/>
      <c r="Y528" s="3"/>
      <c r="Z528" s="3">
        <v>-1</v>
      </c>
      <c r="AA528" s="3">
        <v>-1</v>
      </c>
      <c r="AB528" s="3" t="s">
        <v>5244</v>
      </c>
      <c r="AC528" s="3">
        <v>0</v>
      </c>
      <c r="AD528" s="3">
        <v>0</v>
      </c>
      <c r="AE528" s="3">
        <v>0</v>
      </c>
      <c r="AF528" s="3">
        <v>0</v>
      </c>
      <c r="AG528" s="3">
        <v>0</v>
      </c>
      <c r="AH528" s="3">
        <v>0</v>
      </c>
      <c r="AI528" s="3" t="s">
        <v>5229</v>
      </c>
      <c r="AJ528" s="3" t="s">
        <v>5222</v>
      </c>
    </row>
    <row r="529" spans="1:36">
      <c r="A529" s="5">
        <v>43288</v>
      </c>
      <c r="B529" s="3" t="s">
        <v>5148</v>
      </c>
      <c r="C529" s="3" t="s">
        <v>5149</v>
      </c>
      <c r="D529" s="3" t="s">
        <v>5149</v>
      </c>
      <c r="E529" s="3" t="s">
        <v>5150</v>
      </c>
      <c r="F529" s="3" t="s">
        <v>120</v>
      </c>
      <c r="G529" s="3">
        <v>7</v>
      </c>
      <c r="H529" s="3">
        <v>0</v>
      </c>
      <c r="I529" s="3">
        <v>0</v>
      </c>
      <c r="J529" s="3">
        <v>5</v>
      </c>
      <c r="K529" s="3">
        <v>2</v>
      </c>
      <c r="L529" s="3">
        <v>0</v>
      </c>
      <c r="M529" s="3">
        <v>0</v>
      </c>
      <c r="N529" s="3" t="s">
        <v>5218</v>
      </c>
      <c r="O529" s="3">
        <v>6</v>
      </c>
      <c r="P529" s="3">
        <v>17.27</v>
      </c>
      <c r="Q529" s="3">
        <v>0</v>
      </c>
      <c r="R529" s="3">
        <v>0</v>
      </c>
      <c r="S529" s="3">
        <v>0</v>
      </c>
      <c r="T529" s="3">
        <v>0</v>
      </c>
      <c r="U529" s="3">
        <v>0</v>
      </c>
      <c r="V529" s="3">
        <v>0</v>
      </c>
      <c r="W529" s="3" t="s">
        <v>5219</v>
      </c>
      <c r="X529" s="3">
        <v>29.98</v>
      </c>
      <c r="Y529" s="3">
        <v>29.98</v>
      </c>
      <c r="Z529" s="3">
        <v>29.98</v>
      </c>
      <c r="AA529" s="3">
        <v>0</v>
      </c>
      <c r="AB529" s="3" t="s">
        <v>5228</v>
      </c>
      <c r="AC529" s="3">
        <v>0</v>
      </c>
      <c r="AD529" s="3">
        <v>26.1</v>
      </c>
      <c r="AE529" s="3">
        <v>196</v>
      </c>
      <c r="AF529" s="3">
        <v>0</v>
      </c>
      <c r="AG529" s="3">
        <v>296.429618</v>
      </c>
      <c r="AH529" s="3">
        <v>0</v>
      </c>
      <c r="AI529" s="3" t="s">
        <v>5413</v>
      </c>
      <c r="AJ529" s="3" t="s">
        <v>5222</v>
      </c>
    </row>
    <row r="530" spans="1:36">
      <c r="A530" s="5">
        <v>43288</v>
      </c>
      <c r="B530" s="3" t="s">
        <v>506</v>
      </c>
      <c r="C530" s="3" t="s">
        <v>358</v>
      </c>
      <c r="D530" s="3" t="s">
        <v>358</v>
      </c>
      <c r="E530" s="3" t="s">
        <v>484</v>
      </c>
      <c r="F530" s="3" t="s">
        <v>120</v>
      </c>
      <c r="G530" s="3">
        <v>10</v>
      </c>
      <c r="H530" s="3">
        <v>0</v>
      </c>
      <c r="I530" s="3">
        <v>0</v>
      </c>
      <c r="J530" s="3">
        <v>10</v>
      </c>
      <c r="K530" s="3">
        <v>0</v>
      </c>
      <c r="L530" s="3">
        <v>0</v>
      </c>
      <c r="M530" s="3">
        <v>0</v>
      </c>
      <c r="N530" s="3" t="s">
        <v>5218</v>
      </c>
      <c r="O530" s="3">
        <v>10</v>
      </c>
      <c r="P530" s="3">
        <v>6.86</v>
      </c>
      <c r="Q530" s="3">
        <v>0</v>
      </c>
      <c r="R530" s="3">
        <v>0</v>
      </c>
      <c r="S530" s="3">
        <v>1</v>
      </c>
      <c r="T530" s="3">
        <v>1</v>
      </c>
      <c r="U530" s="3">
        <v>4</v>
      </c>
      <c r="V530" s="3">
        <v>5</v>
      </c>
      <c r="W530" s="3"/>
      <c r="X530" s="3">
        <v>26.98</v>
      </c>
      <c r="Y530" s="3">
        <v>26.98</v>
      </c>
      <c r="Z530" s="3">
        <v>26.98</v>
      </c>
      <c r="AA530" s="3">
        <v>0</v>
      </c>
      <c r="AB530" s="3" t="s">
        <v>5223</v>
      </c>
      <c r="AC530" s="3">
        <v>10</v>
      </c>
      <c r="AD530" s="3">
        <v>26.98</v>
      </c>
      <c r="AE530" s="3">
        <v>0</v>
      </c>
      <c r="AF530" s="3">
        <v>0</v>
      </c>
      <c r="AG530" s="3">
        <v>0</v>
      </c>
      <c r="AH530" s="3">
        <v>0.4</v>
      </c>
      <c r="AI530" s="3" t="s">
        <v>5224</v>
      </c>
      <c r="AJ530" s="3" t="s">
        <v>5222</v>
      </c>
    </row>
    <row r="531" spans="1:36">
      <c r="A531" s="5">
        <v>43288</v>
      </c>
      <c r="B531" s="3" t="s">
        <v>1863</v>
      </c>
      <c r="C531" s="3" t="s">
        <v>1864</v>
      </c>
      <c r="D531" s="3" t="s">
        <v>1864</v>
      </c>
      <c r="E531" s="3" t="s">
        <v>1865</v>
      </c>
      <c r="F531" s="3" t="s">
        <v>120</v>
      </c>
      <c r="G531" s="3">
        <v>10</v>
      </c>
      <c r="H531" s="3">
        <v>0</v>
      </c>
      <c r="I531" s="3">
        <v>10</v>
      </c>
      <c r="J531" s="3">
        <v>0</v>
      </c>
      <c r="K531" s="3">
        <v>0</v>
      </c>
      <c r="L531" s="3">
        <v>0</v>
      </c>
      <c r="M531" s="3">
        <v>0</v>
      </c>
      <c r="N531" s="3" t="s">
        <v>5218</v>
      </c>
      <c r="O531" s="3">
        <v>0</v>
      </c>
      <c r="P531" s="3">
        <v>0</v>
      </c>
      <c r="Q531" s="3">
        <v>0</v>
      </c>
      <c r="R531" s="3">
        <v>0</v>
      </c>
      <c r="S531" s="3">
        <v>0</v>
      </c>
      <c r="T531" s="3">
        <v>1</v>
      </c>
      <c r="U531" s="3">
        <v>3</v>
      </c>
      <c r="V531" s="3">
        <v>6</v>
      </c>
      <c r="W531" s="3" t="s">
        <v>5219</v>
      </c>
      <c r="X531" s="3">
        <v>22.98</v>
      </c>
      <c r="Y531" s="3">
        <v>22.98</v>
      </c>
      <c r="Z531" s="3">
        <v>22.98</v>
      </c>
      <c r="AA531" s="3">
        <v>0</v>
      </c>
      <c r="AB531" s="3" t="s">
        <v>5220</v>
      </c>
      <c r="AC531" s="3">
        <v>1</v>
      </c>
      <c r="AD531" s="3">
        <v>21.41</v>
      </c>
      <c r="AE531" s="3">
        <v>168</v>
      </c>
      <c r="AF531" s="3">
        <v>0</v>
      </c>
      <c r="AG531" s="3">
        <v>139.924568</v>
      </c>
      <c r="AH531" s="3">
        <v>0.727272727272727</v>
      </c>
      <c r="AI531" s="3" t="s">
        <v>5236</v>
      </c>
      <c r="AJ531" s="3" t="s">
        <v>5222</v>
      </c>
    </row>
    <row r="532" spans="1:36">
      <c r="A532" s="5">
        <v>43288</v>
      </c>
      <c r="B532" s="3" t="s">
        <v>4718</v>
      </c>
      <c r="C532" s="3" t="s">
        <v>4719</v>
      </c>
      <c r="D532" s="3" t="s">
        <v>4277</v>
      </c>
      <c r="E532" s="3" t="s">
        <v>4278</v>
      </c>
      <c r="F532" s="3" t="s">
        <v>120</v>
      </c>
      <c r="G532" s="3">
        <v>7</v>
      </c>
      <c r="H532" s="3">
        <v>0</v>
      </c>
      <c r="I532" s="3">
        <v>7</v>
      </c>
      <c r="J532" s="3">
        <v>0</v>
      </c>
      <c r="K532" s="3">
        <v>0</v>
      </c>
      <c r="L532" s="3">
        <v>0</v>
      </c>
      <c r="M532" s="3">
        <v>0</v>
      </c>
      <c r="N532" s="3" t="s">
        <v>5218</v>
      </c>
      <c r="O532" s="3">
        <v>0</v>
      </c>
      <c r="P532" s="3">
        <v>0</v>
      </c>
      <c r="Q532" s="3">
        <v>0</v>
      </c>
      <c r="R532" s="3">
        <v>0</v>
      </c>
      <c r="S532" s="3">
        <v>0</v>
      </c>
      <c r="T532" s="3">
        <v>0</v>
      </c>
      <c r="U532" s="3">
        <v>0</v>
      </c>
      <c r="V532" s="3">
        <v>0</v>
      </c>
      <c r="W532" s="3" t="s">
        <v>5227</v>
      </c>
      <c r="X532" s="3">
        <v>23.98</v>
      </c>
      <c r="Y532" s="3">
        <v>23.98</v>
      </c>
      <c r="Z532" s="3">
        <v>23.98</v>
      </c>
      <c r="AA532" s="3">
        <v>0</v>
      </c>
      <c r="AB532" s="3" t="s">
        <v>5223</v>
      </c>
      <c r="AC532" s="3">
        <v>7</v>
      </c>
      <c r="AD532" s="3">
        <v>23.98</v>
      </c>
      <c r="AE532" s="3">
        <v>0</v>
      </c>
      <c r="AF532" s="3">
        <v>0</v>
      </c>
      <c r="AG532" s="3">
        <v>0</v>
      </c>
      <c r="AH532" s="3">
        <v>1.38461538461538</v>
      </c>
      <c r="AI532" s="3" t="s">
        <v>5335</v>
      </c>
      <c r="AJ532" s="3" t="s">
        <v>5222</v>
      </c>
    </row>
    <row r="533" spans="1:36">
      <c r="A533" s="5">
        <v>43288</v>
      </c>
      <c r="B533" s="3" t="s">
        <v>4883</v>
      </c>
      <c r="C533" s="3" t="s">
        <v>4884</v>
      </c>
      <c r="D533" s="3" t="s">
        <v>4884</v>
      </c>
      <c r="E533" s="3" t="s">
        <v>4885</v>
      </c>
      <c r="F533" s="3" t="s">
        <v>120</v>
      </c>
      <c r="G533" s="3">
        <v>5</v>
      </c>
      <c r="H533" s="3">
        <v>0</v>
      </c>
      <c r="I533" s="3">
        <v>0</v>
      </c>
      <c r="J533" s="3">
        <v>0</v>
      </c>
      <c r="K533" s="3">
        <v>5</v>
      </c>
      <c r="L533" s="3">
        <v>0</v>
      </c>
      <c r="M533" s="3">
        <v>0</v>
      </c>
      <c r="N533" s="3" t="s">
        <v>5218</v>
      </c>
      <c r="O533" s="3">
        <v>5</v>
      </c>
      <c r="P533" s="3">
        <v>11.53</v>
      </c>
      <c r="Q533" s="3">
        <v>0</v>
      </c>
      <c r="R533" s="3">
        <v>0</v>
      </c>
      <c r="S533" s="3">
        <v>0</v>
      </c>
      <c r="T533" s="3">
        <v>0</v>
      </c>
      <c r="U533" s="3">
        <v>0</v>
      </c>
      <c r="V533" s="3">
        <v>1</v>
      </c>
      <c r="W533" s="3" t="s">
        <v>5227</v>
      </c>
      <c r="X533" s="3">
        <v>12</v>
      </c>
      <c r="Y533" s="3">
        <v>12</v>
      </c>
      <c r="Z533" s="3">
        <v>12</v>
      </c>
      <c r="AA533" s="3">
        <v>0</v>
      </c>
      <c r="AB533" s="3" t="s">
        <v>5223</v>
      </c>
      <c r="AC533" s="3">
        <v>0</v>
      </c>
      <c r="AD533" s="3">
        <v>12</v>
      </c>
      <c r="AE533" s="3">
        <v>63</v>
      </c>
      <c r="AF533" s="3">
        <v>0</v>
      </c>
      <c r="AG533" s="3">
        <v>137.51509</v>
      </c>
      <c r="AH533" s="3">
        <v>0.19047619047619</v>
      </c>
      <c r="AI533" s="3" t="s">
        <v>5245</v>
      </c>
      <c r="AJ533" s="3" t="s">
        <v>5222</v>
      </c>
    </row>
    <row r="534" spans="1:36">
      <c r="A534" s="5">
        <v>43288</v>
      </c>
      <c r="B534" s="3" t="s">
        <v>2653</v>
      </c>
      <c r="C534" s="3" t="s">
        <v>2654</v>
      </c>
      <c r="D534" s="3" t="s">
        <v>2654</v>
      </c>
      <c r="E534" s="3" t="s">
        <v>2655</v>
      </c>
      <c r="F534" s="3" t="s">
        <v>120</v>
      </c>
      <c r="G534" s="3">
        <v>4</v>
      </c>
      <c r="H534" s="3">
        <v>0</v>
      </c>
      <c r="I534" s="3">
        <v>0</v>
      </c>
      <c r="J534" s="3">
        <v>0</v>
      </c>
      <c r="K534" s="3">
        <v>4</v>
      </c>
      <c r="L534" s="3">
        <v>0</v>
      </c>
      <c r="M534" s="3">
        <v>0</v>
      </c>
      <c r="N534" s="3" t="s">
        <v>5218</v>
      </c>
      <c r="O534" s="3">
        <v>4</v>
      </c>
      <c r="P534" s="3">
        <v>6.95</v>
      </c>
      <c r="Q534" s="3">
        <v>0</v>
      </c>
      <c r="R534" s="3">
        <v>0</v>
      </c>
      <c r="S534" s="3">
        <v>0</v>
      </c>
      <c r="T534" s="3">
        <v>0</v>
      </c>
      <c r="U534" s="3">
        <v>1</v>
      </c>
      <c r="V534" s="3">
        <v>3</v>
      </c>
      <c r="W534" s="3" t="s">
        <v>5219</v>
      </c>
      <c r="X534" s="3">
        <v>18.98</v>
      </c>
      <c r="Y534" s="3">
        <v>18.98</v>
      </c>
      <c r="Z534" s="3">
        <v>18.98</v>
      </c>
      <c r="AA534" s="3">
        <v>0</v>
      </c>
      <c r="AB534" s="3" t="s">
        <v>5220</v>
      </c>
      <c r="AC534" s="3">
        <v>4</v>
      </c>
      <c r="AD534" s="3">
        <v>18.98</v>
      </c>
      <c r="AE534" s="3">
        <v>0</v>
      </c>
      <c r="AF534" s="3">
        <v>0</v>
      </c>
      <c r="AG534" s="3">
        <v>0</v>
      </c>
      <c r="AH534" s="3">
        <v>0.6</v>
      </c>
      <c r="AI534" s="3" t="s">
        <v>5264</v>
      </c>
      <c r="AJ534" s="3" t="s">
        <v>5222</v>
      </c>
    </row>
    <row r="535" spans="1:36">
      <c r="A535" s="5">
        <v>43288</v>
      </c>
      <c r="B535" s="3" t="s">
        <v>3043</v>
      </c>
      <c r="C535" s="3" t="s">
        <v>3044</v>
      </c>
      <c r="D535" s="3" t="s">
        <v>3044</v>
      </c>
      <c r="E535" s="3" t="s">
        <v>3045</v>
      </c>
      <c r="F535" s="3" t="s">
        <v>120</v>
      </c>
      <c r="G535" s="3">
        <v>8</v>
      </c>
      <c r="H535" s="3">
        <v>0</v>
      </c>
      <c r="I535" s="3">
        <v>8</v>
      </c>
      <c r="J535" s="3">
        <v>0</v>
      </c>
      <c r="K535" s="3">
        <v>0</v>
      </c>
      <c r="L535" s="3">
        <v>0</v>
      </c>
      <c r="M535" s="3">
        <v>0</v>
      </c>
      <c r="N535" s="3" t="s">
        <v>5218</v>
      </c>
      <c r="O535" s="3">
        <v>0</v>
      </c>
      <c r="P535" s="3">
        <v>0</v>
      </c>
      <c r="Q535" s="3">
        <v>0</v>
      </c>
      <c r="R535" s="3">
        <v>0</v>
      </c>
      <c r="S535" s="3">
        <v>0</v>
      </c>
      <c r="T535" s="3">
        <v>0</v>
      </c>
      <c r="U535" s="3">
        <v>0</v>
      </c>
      <c r="V535" s="3">
        <v>0</v>
      </c>
      <c r="W535" s="3" t="s">
        <v>5219</v>
      </c>
      <c r="X535" s="3">
        <v>39.98</v>
      </c>
      <c r="Y535" s="3">
        <v>39.98</v>
      </c>
      <c r="Z535" s="3">
        <v>39.98</v>
      </c>
      <c r="AA535" s="3">
        <v>0</v>
      </c>
      <c r="AB535" s="3" t="s">
        <v>5234</v>
      </c>
      <c r="AC535" s="3">
        <v>8</v>
      </c>
      <c r="AD535" s="3">
        <v>39.98</v>
      </c>
      <c r="AE535" s="3">
        <v>0</v>
      </c>
      <c r="AF535" s="3">
        <v>0</v>
      </c>
      <c r="AG535" s="3">
        <v>0</v>
      </c>
      <c r="AH535" s="3">
        <v>0</v>
      </c>
      <c r="AI535" s="3" t="s">
        <v>5235</v>
      </c>
      <c r="AJ535" s="3" t="s">
        <v>5222</v>
      </c>
    </row>
    <row r="536" spans="1:36">
      <c r="A536" s="5">
        <v>43288</v>
      </c>
      <c r="B536" s="3" t="s">
        <v>2427</v>
      </c>
      <c r="C536" s="3" t="s">
        <v>2428</v>
      </c>
      <c r="D536" s="3" t="s">
        <v>2428</v>
      </c>
      <c r="E536" s="3" t="s">
        <v>2429</v>
      </c>
      <c r="F536" s="3" t="s">
        <v>120</v>
      </c>
      <c r="G536" s="3">
        <v>7</v>
      </c>
      <c r="H536" s="3">
        <v>0</v>
      </c>
      <c r="I536" s="3">
        <v>2</v>
      </c>
      <c r="J536" s="3">
        <v>5</v>
      </c>
      <c r="K536" s="3">
        <v>0</v>
      </c>
      <c r="L536" s="3">
        <v>0</v>
      </c>
      <c r="M536" s="3">
        <v>0</v>
      </c>
      <c r="N536" s="3" t="s">
        <v>5218</v>
      </c>
      <c r="O536" s="3">
        <v>0</v>
      </c>
      <c r="P536" s="3">
        <v>0</v>
      </c>
      <c r="Q536" s="3">
        <v>0</v>
      </c>
      <c r="R536" s="3">
        <v>0</v>
      </c>
      <c r="S536" s="3">
        <v>0</v>
      </c>
      <c r="T536" s="3">
        <v>1</v>
      </c>
      <c r="U536" s="3">
        <v>4</v>
      </c>
      <c r="V536" s="3">
        <v>7</v>
      </c>
      <c r="W536" s="3"/>
      <c r="X536" s="3">
        <v>22.98</v>
      </c>
      <c r="Y536" s="3">
        <v>22.98</v>
      </c>
      <c r="Z536" s="3">
        <v>22</v>
      </c>
      <c r="AA536" s="3">
        <v>0</v>
      </c>
      <c r="AB536" s="3" t="s">
        <v>5223</v>
      </c>
      <c r="AC536" s="3">
        <v>7</v>
      </c>
      <c r="AD536" s="3">
        <v>22.98</v>
      </c>
      <c r="AE536" s="3">
        <v>0</v>
      </c>
      <c r="AF536" s="3">
        <v>0</v>
      </c>
      <c r="AG536" s="3">
        <v>0</v>
      </c>
      <c r="AH536" s="3">
        <v>0.756756756756756</v>
      </c>
      <c r="AI536" s="3" t="s">
        <v>5240</v>
      </c>
      <c r="AJ536" s="3" t="s">
        <v>5222</v>
      </c>
    </row>
    <row r="537" spans="1:36">
      <c r="A537" s="5">
        <v>43288</v>
      </c>
      <c r="B537" s="3" t="s">
        <v>2564</v>
      </c>
      <c r="C537" s="3" t="s">
        <v>2565</v>
      </c>
      <c r="D537" s="3" t="s">
        <v>2565</v>
      </c>
      <c r="E537" s="3" t="s">
        <v>2566</v>
      </c>
      <c r="F537" s="3" t="s">
        <v>120</v>
      </c>
      <c r="G537" s="3">
        <v>10</v>
      </c>
      <c r="H537" s="3">
        <v>0</v>
      </c>
      <c r="I537" s="3">
        <v>0</v>
      </c>
      <c r="J537" s="3">
        <v>10</v>
      </c>
      <c r="K537" s="3">
        <v>0</v>
      </c>
      <c r="L537" s="3">
        <v>0</v>
      </c>
      <c r="M537" s="3">
        <v>0</v>
      </c>
      <c r="N537" s="3" t="s">
        <v>5218</v>
      </c>
      <c r="O537" s="3">
        <v>0</v>
      </c>
      <c r="P537" s="3">
        <v>0</v>
      </c>
      <c r="Q537" s="3">
        <v>0</v>
      </c>
      <c r="R537" s="3">
        <v>0</v>
      </c>
      <c r="S537" s="3">
        <v>0</v>
      </c>
      <c r="T537" s="3">
        <v>1</v>
      </c>
      <c r="U537" s="3">
        <v>5</v>
      </c>
      <c r="V537" s="3">
        <v>12</v>
      </c>
      <c r="W537" s="3"/>
      <c r="X537" s="3">
        <v>24.98</v>
      </c>
      <c r="Y537" s="3">
        <v>24.98</v>
      </c>
      <c r="Z537" s="3">
        <v>24.98</v>
      </c>
      <c r="AA537" s="3">
        <v>0</v>
      </c>
      <c r="AB537" s="3" t="s">
        <v>5223</v>
      </c>
      <c r="AC537" s="3">
        <v>10</v>
      </c>
      <c r="AD537" s="3">
        <v>24.98</v>
      </c>
      <c r="AE537" s="3">
        <v>0</v>
      </c>
      <c r="AF537" s="3">
        <v>0</v>
      </c>
      <c r="AG537" s="3">
        <v>0</v>
      </c>
      <c r="AH537" s="3">
        <v>0.827586206896551</v>
      </c>
      <c r="AI537" s="3" t="s">
        <v>5414</v>
      </c>
      <c r="AJ537" s="3" t="s">
        <v>5222</v>
      </c>
    </row>
    <row r="538" spans="1:36">
      <c r="A538" s="5">
        <v>43288</v>
      </c>
      <c r="B538" s="3" t="s">
        <v>2659</v>
      </c>
      <c r="C538" s="3" t="s">
        <v>2660</v>
      </c>
      <c r="D538" s="3" t="s">
        <v>2660</v>
      </c>
      <c r="E538" s="3" t="s">
        <v>2236</v>
      </c>
      <c r="F538" s="3" t="s">
        <v>120</v>
      </c>
      <c r="G538" s="3">
        <v>7</v>
      </c>
      <c r="H538" s="3">
        <v>0</v>
      </c>
      <c r="I538" s="3">
        <v>2</v>
      </c>
      <c r="J538" s="3">
        <v>5</v>
      </c>
      <c r="K538" s="3">
        <v>0</v>
      </c>
      <c r="L538" s="3">
        <v>0</v>
      </c>
      <c r="M538" s="3">
        <v>0</v>
      </c>
      <c r="N538" s="3" t="s">
        <v>5218</v>
      </c>
      <c r="O538" s="3">
        <v>0</v>
      </c>
      <c r="P538" s="3">
        <v>0</v>
      </c>
      <c r="Q538" s="3">
        <v>0</v>
      </c>
      <c r="R538" s="3">
        <v>0</v>
      </c>
      <c r="S538" s="3">
        <v>0</v>
      </c>
      <c r="T538" s="3">
        <v>3</v>
      </c>
      <c r="U538" s="3">
        <v>5</v>
      </c>
      <c r="V538" s="3">
        <v>9</v>
      </c>
      <c r="W538" s="3"/>
      <c r="X538" s="3"/>
      <c r="Y538" s="3"/>
      <c r="Z538" s="3">
        <v>-1</v>
      </c>
      <c r="AA538" s="3">
        <v>-1</v>
      </c>
      <c r="AB538" s="3" t="s">
        <v>5244</v>
      </c>
      <c r="AC538" s="3">
        <v>0</v>
      </c>
      <c r="AD538" s="3">
        <v>0</v>
      </c>
      <c r="AE538" s="3">
        <v>0</v>
      </c>
      <c r="AF538" s="3">
        <v>0</v>
      </c>
      <c r="AG538" s="3">
        <v>0</v>
      </c>
      <c r="AH538" s="3">
        <v>0.878048780487804</v>
      </c>
      <c r="AI538" s="3" t="s">
        <v>5237</v>
      </c>
      <c r="AJ538" s="3" t="s">
        <v>5242</v>
      </c>
    </row>
    <row r="539" spans="1:36">
      <c r="A539" s="5">
        <v>43288</v>
      </c>
      <c r="B539" s="3" t="s">
        <v>4228</v>
      </c>
      <c r="C539" s="3" t="s">
        <v>4229</v>
      </c>
      <c r="D539" s="3" t="s">
        <v>4229</v>
      </c>
      <c r="E539" s="3" t="s">
        <v>4230</v>
      </c>
      <c r="F539" s="3" t="s">
        <v>120</v>
      </c>
      <c r="G539" s="3">
        <v>1</v>
      </c>
      <c r="H539" s="3">
        <v>0</v>
      </c>
      <c r="I539" s="3">
        <v>1</v>
      </c>
      <c r="J539" s="3">
        <v>0</v>
      </c>
      <c r="K539" s="3">
        <v>0</v>
      </c>
      <c r="L539" s="3">
        <v>0</v>
      </c>
      <c r="M539" s="3">
        <v>0</v>
      </c>
      <c r="N539" s="3" t="s">
        <v>5218</v>
      </c>
      <c r="O539" s="3">
        <v>0</v>
      </c>
      <c r="P539" s="3">
        <v>0</v>
      </c>
      <c r="Q539" s="3">
        <v>0</v>
      </c>
      <c r="R539" s="3">
        <v>0</v>
      </c>
      <c r="S539" s="3">
        <v>2</v>
      </c>
      <c r="T539" s="3">
        <v>5</v>
      </c>
      <c r="U539" s="3">
        <v>8</v>
      </c>
      <c r="V539" s="3">
        <v>10</v>
      </c>
      <c r="W539" s="3"/>
      <c r="X539" s="3">
        <v>22.98</v>
      </c>
      <c r="Y539" s="3">
        <v>22.98</v>
      </c>
      <c r="Z539" s="3">
        <v>22.98</v>
      </c>
      <c r="AA539" s="3">
        <v>0</v>
      </c>
      <c r="AB539" s="3" t="s">
        <v>5223</v>
      </c>
      <c r="AC539" s="3">
        <v>2</v>
      </c>
      <c r="AD539" s="3">
        <v>22.98</v>
      </c>
      <c r="AE539" s="3">
        <v>0</v>
      </c>
      <c r="AF539" s="3">
        <v>0</v>
      </c>
      <c r="AG539" s="3">
        <v>0</v>
      </c>
      <c r="AH539" s="3">
        <v>2.66666666666666</v>
      </c>
      <c r="AI539" s="3" t="s">
        <v>5226</v>
      </c>
      <c r="AJ539" s="3" t="s">
        <v>5222</v>
      </c>
    </row>
    <row r="540" spans="1:36">
      <c r="A540" s="5">
        <v>43288</v>
      </c>
      <c r="B540" s="3" t="s">
        <v>4586</v>
      </c>
      <c r="C540" s="3" t="s">
        <v>4067</v>
      </c>
      <c r="D540" s="3" t="s">
        <v>4067</v>
      </c>
      <c r="E540" s="3" t="s">
        <v>4068</v>
      </c>
      <c r="F540" s="3" t="s">
        <v>120</v>
      </c>
      <c r="G540" s="3">
        <v>5</v>
      </c>
      <c r="H540" s="3">
        <v>0</v>
      </c>
      <c r="I540" s="3">
        <v>5</v>
      </c>
      <c r="J540" s="3">
        <v>0</v>
      </c>
      <c r="K540" s="3">
        <v>0</v>
      </c>
      <c r="L540" s="3">
        <v>0</v>
      </c>
      <c r="M540" s="3">
        <v>0</v>
      </c>
      <c r="N540" s="3" t="s">
        <v>5218</v>
      </c>
      <c r="O540" s="3">
        <v>0</v>
      </c>
      <c r="P540" s="3">
        <v>0</v>
      </c>
      <c r="Q540" s="3">
        <v>0</v>
      </c>
      <c r="R540" s="3">
        <v>0</v>
      </c>
      <c r="S540" s="3">
        <v>2</v>
      </c>
      <c r="T540" s="3">
        <v>3</v>
      </c>
      <c r="U540" s="3">
        <v>5</v>
      </c>
      <c r="V540" s="3">
        <v>9</v>
      </c>
      <c r="W540" s="3"/>
      <c r="X540" s="3">
        <v>20.98</v>
      </c>
      <c r="Y540" s="3">
        <v>20.98</v>
      </c>
      <c r="Z540" s="3">
        <v>20.98</v>
      </c>
      <c r="AA540" s="3">
        <v>0</v>
      </c>
      <c r="AB540" s="3" t="s">
        <v>5223</v>
      </c>
      <c r="AC540" s="3">
        <v>6</v>
      </c>
      <c r="AD540" s="3">
        <v>20.98</v>
      </c>
      <c r="AE540" s="3">
        <v>0</v>
      </c>
      <c r="AF540" s="3">
        <v>0</v>
      </c>
      <c r="AG540" s="3">
        <v>0</v>
      </c>
      <c r="AH540" s="3">
        <v>2.4</v>
      </c>
      <c r="AI540" s="3" t="s">
        <v>5226</v>
      </c>
      <c r="AJ540" s="3" t="s">
        <v>5222</v>
      </c>
    </row>
    <row r="541" spans="1:36">
      <c r="A541" s="5">
        <v>43288</v>
      </c>
      <c r="B541" s="3" t="s">
        <v>1628</v>
      </c>
      <c r="C541" s="3" t="s">
        <v>1629</v>
      </c>
      <c r="D541" s="3" t="s">
        <v>1629</v>
      </c>
      <c r="E541" s="3" t="s">
        <v>1630</v>
      </c>
      <c r="F541" s="3" t="s">
        <v>120</v>
      </c>
      <c r="G541" s="3">
        <v>29</v>
      </c>
      <c r="H541" s="3">
        <v>0</v>
      </c>
      <c r="I541" s="3">
        <v>0</v>
      </c>
      <c r="J541" s="3">
        <v>0</v>
      </c>
      <c r="K541" s="3">
        <v>24</v>
      </c>
      <c r="L541" s="3">
        <v>5</v>
      </c>
      <c r="M541" s="3">
        <v>0</v>
      </c>
      <c r="N541" s="3" t="s">
        <v>5218</v>
      </c>
      <c r="O541" s="3">
        <v>29</v>
      </c>
      <c r="P541" s="3">
        <v>91.76</v>
      </c>
      <c r="Q541" s="3">
        <v>0</v>
      </c>
      <c r="R541" s="3">
        <v>0</v>
      </c>
      <c r="S541" s="3">
        <v>0</v>
      </c>
      <c r="T541" s="3">
        <v>2</v>
      </c>
      <c r="U541" s="3">
        <v>3</v>
      </c>
      <c r="V541" s="3">
        <v>5</v>
      </c>
      <c r="W541" s="3"/>
      <c r="X541" s="3">
        <v>22.98</v>
      </c>
      <c r="Y541" s="3">
        <v>22.98</v>
      </c>
      <c r="Z541" s="3">
        <v>19.98</v>
      </c>
      <c r="AA541" s="3">
        <v>0</v>
      </c>
      <c r="AB541" s="3" t="s">
        <v>5228</v>
      </c>
      <c r="AC541" s="3">
        <v>15</v>
      </c>
      <c r="AD541" s="3">
        <v>19.24</v>
      </c>
      <c r="AE541" s="3">
        <v>63</v>
      </c>
      <c r="AF541" s="3">
        <v>0</v>
      </c>
      <c r="AG541" s="3">
        <v>74.046422</v>
      </c>
      <c r="AH541" s="3">
        <v>0.158730158730158</v>
      </c>
      <c r="AI541" s="3" t="s">
        <v>5248</v>
      </c>
      <c r="AJ541" s="3" t="s">
        <v>5222</v>
      </c>
    </row>
    <row r="542" spans="1:36">
      <c r="A542" s="5">
        <v>43288</v>
      </c>
      <c r="B542" s="3" t="s">
        <v>4872</v>
      </c>
      <c r="C542" s="3" t="s">
        <v>4873</v>
      </c>
      <c r="D542" s="3" t="s">
        <v>4873</v>
      </c>
      <c r="E542" s="3" t="s">
        <v>4874</v>
      </c>
      <c r="F542" s="3" t="s">
        <v>120</v>
      </c>
      <c r="G542" s="3">
        <v>3</v>
      </c>
      <c r="H542" s="3">
        <v>0</v>
      </c>
      <c r="I542" s="3">
        <v>0</v>
      </c>
      <c r="J542" s="3">
        <v>0</v>
      </c>
      <c r="K542" s="3">
        <v>3</v>
      </c>
      <c r="L542" s="3">
        <v>0</v>
      </c>
      <c r="M542" s="3">
        <v>0</v>
      </c>
      <c r="N542" s="3" t="s">
        <v>5218</v>
      </c>
      <c r="O542" s="3">
        <v>3</v>
      </c>
      <c r="P542" s="3">
        <v>6.92</v>
      </c>
      <c r="Q542" s="3">
        <v>0</v>
      </c>
      <c r="R542" s="3">
        <v>0</v>
      </c>
      <c r="S542" s="3">
        <v>1</v>
      </c>
      <c r="T542" s="3">
        <v>1</v>
      </c>
      <c r="U542" s="3">
        <v>1</v>
      </c>
      <c r="V542" s="3">
        <v>2</v>
      </c>
      <c r="W542" s="3"/>
      <c r="X542" s="3">
        <v>12</v>
      </c>
      <c r="Y542" s="3">
        <v>12</v>
      </c>
      <c r="Z542" s="3">
        <v>12</v>
      </c>
      <c r="AA542" s="3">
        <v>0</v>
      </c>
      <c r="AB542" s="3" t="s">
        <v>5223</v>
      </c>
      <c r="AC542" s="3">
        <v>0</v>
      </c>
      <c r="AD542" s="3">
        <v>12</v>
      </c>
      <c r="AE542" s="3">
        <v>0</v>
      </c>
      <c r="AF542" s="3">
        <v>4</v>
      </c>
      <c r="AG542" s="3">
        <v>110.012072</v>
      </c>
      <c r="AH542" s="3">
        <v>0.5</v>
      </c>
      <c r="AI542" s="3" t="s">
        <v>5245</v>
      </c>
      <c r="AJ542" s="3" t="s">
        <v>5222</v>
      </c>
    </row>
    <row r="543" spans="1:36">
      <c r="A543" s="5">
        <v>43288</v>
      </c>
      <c r="B543" s="3" t="s">
        <v>1565</v>
      </c>
      <c r="C543" s="3" t="s">
        <v>1566</v>
      </c>
      <c r="D543" s="3" t="s">
        <v>1566</v>
      </c>
      <c r="E543" s="3" t="s">
        <v>1567</v>
      </c>
      <c r="F543" s="3" t="s">
        <v>120</v>
      </c>
      <c r="G543" s="3">
        <v>19</v>
      </c>
      <c r="H543" s="3">
        <v>0</v>
      </c>
      <c r="I543" s="3">
        <v>1</v>
      </c>
      <c r="J543" s="3">
        <v>2</v>
      </c>
      <c r="K543" s="3">
        <v>11</v>
      </c>
      <c r="L543" s="3">
        <v>5</v>
      </c>
      <c r="M543" s="3">
        <v>0</v>
      </c>
      <c r="N543" s="3" t="s">
        <v>5218</v>
      </c>
      <c r="O543" s="3">
        <v>17</v>
      </c>
      <c r="P543" s="3">
        <v>18.68</v>
      </c>
      <c r="Q543" s="3">
        <v>0</v>
      </c>
      <c r="R543" s="3">
        <v>0</v>
      </c>
      <c r="S543" s="3">
        <v>0</v>
      </c>
      <c r="T543" s="3">
        <v>2</v>
      </c>
      <c r="U543" s="3">
        <v>8</v>
      </c>
      <c r="V543" s="3">
        <v>10</v>
      </c>
      <c r="W543" s="3" t="s">
        <v>5227</v>
      </c>
      <c r="X543" s="3">
        <v>22.98</v>
      </c>
      <c r="Y543" s="3">
        <v>22.98</v>
      </c>
      <c r="Z543" s="3">
        <v>19.98</v>
      </c>
      <c r="AA543" s="3">
        <v>0</v>
      </c>
      <c r="AB543" s="3" t="s">
        <v>5223</v>
      </c>
      <c r="AC543" s="3">
        <v>19</v>
      </c>
      <c r="AD543" s="3">
        <v>22.98</v>
      </c>
      <c r="AE543" s="3">
        <v>0</v>
      </c>
      <c r="AF543" s="3">
        <v>0</v>
      </c>
      <c r="AG543" s="3">
        <v>0</v>
      </c>
      <c r="AH543" s="3">
        <v>0.425531914893617</v>
      </c>
      <c r="AI543" s="3" t="s">
        <v>5415</v>
      </c>
      <c r="AJ543" s="3" t="s">
        <v>5222</v>
      </c>
    </row>
    <row r="544" spans="1:36">
      <c r="A544" s="5">
        <v>43288</v>
      </c>
      <c r="B544" s="3" t="s">
        <v>2016</v>
      </c>
      <c r="C544" s="3" t="s">
        <v>2017</v>
      </c>
      <c r="D544" s="3" t="s">
        <v>2017</v>
      </c>
      <c r="E544" s="3" t="s">
        <v>2018</v>
      </c>
      <c r="F544" s="3" t="s">
        <v>120</v>
      </c>
      <c r="G544" s="3">
        <v>4</v>
      </c>
      <c r="H544" s="3">
        <v>0</v>
      </c>
      <c r="I544" s="3">
        <v>1</v>
      </c>
      <c r="J544" s="3">
        <v>3</v>
      </c>
      <c r="K544" s="3">
        <v>0</v>
      </c>
      <c r="L544" s="3">
        <v>0</v>
      </c>
      <c r="M544" s="3">
        <v>0</v>
      </c>
      <c r="N544" s="3" t="s">
        <v>5218</v>
      </c>
      <c r="O544" s="3">
        <v>0</v>
      </c>
      <c r="P544" s="3">
        <v>0</v>
      </c>
      <c r="Q544" s="3">
        <v>0</v>
      </c>
      <c r="R544" s="3">
        <v>0</v>
      </c>
      <c r="S544" s="3">
        <v>0</v>
      </c>
      <c r="T544" s="3">
        <v>5</v>
      </c>
      <c r="U544" s="3">
        <v>12</v>
      </c>
      <c r="V544" s="3">
        <v>17</v>
      </c>
      <c r="W544" s="3"/>
      <c r="X544" s="3">
        <v>23.98</v>
      </c>
      <c r="Y544" s="3">
        <v>23.98</v>
      </c>
      <c r="Z544" s="3">
        <v>23.98</v>
      </c>
      <c r="AA544" s="3">
        <v>0</v>
      </c>
      <c r="AB544" s="3" t="s">
        <v>5223</v>
      </c>
      <c r="AC544" s="3">
        <v>4</v>
      </c>
      <c r="AD544" s="3">
        <v>23.98</v>
      </c>
      <c r="AE544" s="3">
        <v>0</v>
      </c>
      <c r="AF544" s="3">
        <v>0</v>
      </c>
      <c r="AG544" s="3">
        <v>0</v>
      </c>
      <c r="AH544" s="3">
        <v>1.41666666666666</v>
      </c>
      <c r="AI544" s="3" t="s">
        <v>5416</v>
      </c>
      <c r="AJ544" s="3" t="s">
        <v>5222</v>
      </c>
    </row>
    <row r="545" spans="1:36">
      <c r="A545" s="5">
        <v>43288</v>
      </c>
      <c r="B545" s="3" t="s">
        <v>1809</v>
      </c>
      <c r="C545" s="3" t="s">
        <v>1810</v>
      </c>
      <c r="D545" s="3" t="s">
        <v>1810</v>
      </c>
      <c r="E545" s="3" t="s">
        <v>1811</v>
      </c>
      <c r="F545" s="3" t="s">
        <v>120</v>
      </c>
      <c r="G545" s="3">
        <v>13</v>
      </c>
      <c r="H545" s="3">
        <v>0</v>
      </c>
      <c r="I545" s="3">
        <v>1</v>
      </c>
      <c r="J545" s="3">
        <v>2</v>
      </c>
      <c r="K545" s="3">
        <v>10</v>
      </c>
      <c r="L545" s="3">
        <v>0</v>
      </c>
      <c r="M545" s="3">
        <v>0</v>
      </c>
      <c r="N545" s="3" t="s">
        <v>5218</v>
      </c>
      <c r="O545" s="3">
        <v>12</v>
      </c>
      <c r="P545" s="3">
        <v>15.57</v>
      </c>
      <c r="Q545" s="3">
        <v>0</v>
      </c>
      <c r="R545" s="3">
        <v>0</v>
      </c>
      <c r="S545" s="3">
        <v>0</v>
      </c>
      <c r="T545" s="3">
        <v>3</v>
      </c>
      <c r="U545" s="3">
        <v>4</v>
      </c>
      <c r="V545" s="3">
        <v>5</v>
      </c>
      <c r="W545" s="3"/>
      <c r="X545" s="3">
        <v>22.51</v>
      </c>
      <c r="Y545" s="3">
        <v>22.51</v>
      </c>
      <c r="Z545" s="3">
        <v>22.51</v>
      </c>
      <c r="AA545" s="3">
        <v>0</v>
      </c>
      <c r="AB545" s="3" t="s">
        <v>5223</v>
      </c>
      <c r="AC545" s="3">
        <v>13</v>
      </c>
      <c r="AD545" s="3">
        <v>22.51</v>
      </c>
      <c r="AE545" s="3">
        <v>0</v>
      </c>
      <c r="AF545" s="3">
        <v>0</v>
      </c>
      <c r="AG545" s="3">
        <v>0</v>
      </c>
      <c r="AH545" s="3">
        <v>0.317460317460317</v>
      </c>
      <c r="AI545" s="3" t="s">
        <v>5229</v>
      </c>
      <c r="AJ545" s="3" t="s">
        <v>5222</v>
      </c>
    </row>
    <row r="546" spans="1:36">
      <c r="A546" s="5">
        <v>43288</v>
      </c>
      <c r="B546" s="3" t="s">
        <v>1508</v>
      </c>
      <c r="C546" s="3" t="s">
        <v>68</v>
      </c>
      <c r="D546" s="3" t="s">
        <v>68</v>
      </c>
      <c r="E546" s="3" t="s">
        <v>1509</v>
      </c>
      <c r="F546" s="3" t="s">
        <v>120</v>
      </c>
      <c r="G546" s="3">
        <v>43</v>
      </c>
      <c r="H546" s="3">
        <v>0</v>
      </c>
      <c r="I546" s="3">
        <v>1</v>
      </c>
      <c r="J546" s="3">
        <v>42</v>
      </c>
      <c r="K546" s="3">
        <v>0</v>
      </c>
      <c r="L546" s="3">
        <v>0</v>
      </c>
      <c r="M546" s="3">
        <v>0</v>
      </c>
      <c r="N546" s="3" t="s">
        <v>5218</v>
      </c>
      <c r="O546" s="3">
        <v>12</v>
      </c>
      <c r="P546" s="3">
        <v>14.6</v>
      </c>
      <c r="Q546" s="3">
        <v>0</v>
      </c>
      <c r="R546" s="3">
        <v>0</v>
      </c>
      <c r="S546" s="3">
        <v>1</v>
      </c>
      <c r="T546" s="3">
        <v>3</v>
      </c>
      <c r="U546" s="3">
        <v>6</v>
      </c>
      <c r="V546" s="3">
        <v>10</v>
      </c>
      <c r="W546" s="3"/>
      <c r="X546" s="3">
        <v>22.98</v>
      </c>
      <c r="Y546" s="3">
        <v>22.98</v>
      </c>
      <c r="Z546" s="3">
        <v>19.98</v>
      </c>
      <c r="AA546" s="3">
        <v>0</v>
      </c>
      <c r="AB546" s="3" t="s">
        <v>5223</v>
      </c>
      <c r="AC546" s="3">
        <v>44</v>
      </c>
      <c r="AD546" s="3">
        <v>22.98</v>
      </c>
      <c r="AE546" s="3">
        <v>0</v>
      </c>
      <c r="AF546" s="3">
        <v>0</v>
      </c>
      <c r="AG546" s="3">
        <v>0</v>
      </c>
      <c r="AH546" s="3">
        <v>0.212765957446808</v>
      </c>
      <c r="AI546" s="3" t="s">
        <v>5417</v>
      </c>
      <c r="AJ546" s="3" t="s">
        <v>5222</v>
      </c>
    </row>
    <row r="547" spans="1:36">
      <c r="A547" s="5">
        <v>43288</v>
      </c>
      <c r="B547" s="3" t="s">
        <v>4415</v>
      </c>
      <c r="C547" s="3" t="s">
        <v>3514</v>
      </c>
      <c r="D547" s="3" t="s">
        <v>3514</v>
      </c>
      <c r="E547" s="3" t="s">
        <v>3515</v>
      </c>
      <c r="F547" s="3" t="s">
        <v>120</v>
      </c>
      <c r="G547" s="3">
        <v>7</v>
      </c>
      <c r="H547" s="3">
        <v>0</v>
      </c>
      <c r="I547" s="3">
        <v>0</v>
      </c>
      <c r="J547" s="3">
        <v>0</v>
      </c>
      <c r="K547" s="3">
        <v>7</v>
      </c>
      <c r="L547" s="3">
        <v>0</v>
      </c>
      <c r="M547" s="3">
        <v>0</v>
      </c>
      <c r="N547" s="3" t="s">
        <v>5218</v>
      </c>
      <c r="O547" s="3">
        <v>7</v>
      </c>
      <c r="P547" s="3">
        <v>10.8</v>
      </c>
      <c r="Q547" s="3">
        <v>0</v>
      </c>
      <c r="R547" s="3">
        <v>0</v>
      </c>
      <c r="S547" s="3">
        <v>0</v>
      </c>
      <c r="T547" s="3">
        <v>0</v>
      </c>
      <c r="U547" s="3">
        <v>0</v>
      </c>
      <c r="V547" s="3">
        <v>0</v>
      </c>
      <c r="W547" s="3" t="s">
        <v>5227</v>
      </c>
      <c r="X547" s="3">
        <v>24.98</v>
      </c>
      <c r="Y547" s="3">
        <v>24.98</v>
      </c>
      <c r="Z547" s="3">
        <v>24.98</v>
      </c>
      <c r="AA547" s="3">
        <v>0</v>
      </c>
      <c r="AB547" s="3" t="s">
        <v>5228</v>
      </c>
      <c r="AC547" s="3">
        <v>0</v>
      </c>
      <c r="AD547" s="3">
        <v>19.98</v>
      </c>
      <c r="AE547" s="3">
        <v>364</v>
      </c>
      <c r="AF547" s="3">
        <v>0</v>
      </c>
      <c r="AG547" s="3">
        <v>156.170889</v>
      </c>
      <c r="AH547" s="3">
        <v>0</v>
      </c>
      <c r="AI547" s="3" t="s">
        <v>5262</v>
      </c>
      <c r="AJ547" s="3" t="s">
        <v>5222</v>
      </c>
    </row>
    <row r="548" spans="1:36">
      <c r="A548" s="5">
        <v>43288</v>
      </c>
      <c r="B548" s="3" t="s">
        <v>2498</v>
      </c>
      <c r="C548" s="3" t="s">
        <v>2499</v>
      </c>
      <c r="D548" s="3" t="s">
        <v>2499</v>
      </c>
      <c r="E548" s="3" t="s">
        <v>2500</v>
      </c>
      <c r="F548" s="3" t="s">
        <v>120</v>
      </c>
      <c r="G548" s="3">
        <v>12</v>
      </c>
      <c r="H548" s="3">
        <v>0</v>
      </c>
      <c r="I548" s="3">
        <v>2</v>
      </c>
      <c r="J548" s="3">
        <v>10</v>
      </c>
      <c r="K548" s="3">
        <v>0</v>
      </c>
      <c r="L548" s="3">
        <v>0</v>
      </c>
      <c r="M548" s="3">
        <v>0</v>
      </c>
      <c r="N548" s="3" t="s">
        <v>5218</v>
      </c>
      <c r="O548" s="3">
        <v>0</v>
      </c>
      <c r="P548" s="3">
        <v>0</v>
      </c>
      <c r="Q548" s="3">
        <v>0</v>
      </c>
      <c r="R548" s="3">
        <v>0</v>
      </c>
      <c r="S548" s="3">
        <v>1</v>
      </c>
      <c r="T548" s="3">
        <v>3</v>
      </c>
      <c r="U548" s="3">
        <v>5</v>
      </c>
      <c r="V548" s="3">
        <v>5</v>
      </c>
      <c r="W548" s="3"/>
      <c r="X548" s="3">
        <v>24.98</v>
      </c>
      <c r="Y548" s="3">
        <v>24.98</v>
      </c>
      <c r="Z548" s="3">
        <v>24.98</v>
      </c>
      <c r="AA548" s="3">
        <v>0</v>
      </c>
      <c r="AB548" s="3" t="s">
        <v>5228</v>
      </c>
      <c r="AC548" s="3">
        <v>1</v>
      </c>
      <c r="AD548" s="3">
        <v>22.21</v>
      </c>
      <c r="AE548" s="3">
        <v>224</v>
      </c>
      <c r="AF548" s="3">
        <v>0</v>
      </c>
      <c r="AG548" s="3">
        <v>407.394096</v>
      </c>
      <c r="AH548" s="3">
        <v>0.327868852459016</v>
      </c>
      <c r="AI548" s="3" t="s">
        <v>5230</v>
      </c>
      <c r="AJ548" s="3" t="s">
        <v>5222</v>
      </c>
    </row>
    <row r="549" spans="1:36">
      <c r="A549" s="5">
        <v>43288</v>
      </c>
      <c r="B549" s="3" t="s">
        <v>4407</v>
      </c>
      <c r="C549" s="3" t="s">
        <v>3482</v>
      </c>
      <c r="D549" s="3" t="s">
        <v>3482</v>
      </c>
      <c r="E549" s="3" t="s">
        <v>3483</v>
      </c>
      <c r="F549" s="3" t="s">
        <v>120</v>
      </c>
      <c r="G549" s="3">
        <v>6</v>
      </c>
      <c r="H549" s="3">
        <v>0</v>
      </c>
      <c r="I549" s="3">
        <v>0</v>
      </c>
      <c r="J549" s="3">
        <v>0</v>
      </c>
      <c r="K549" s="3">
        <v>6</v>
      </c>
      <c r="L549" s="3">
        <v>0</v>
      </c>
      <c r="M549" s="3">
        <v>0</v>
      </c>
      <c r="N549" s="3" t="s">
        <v>5218</v>
      </c>
      <c r="O549" s="3">
        <v>6</v>
      </c>
      <c r="P549" s="3">
        <v>9.26</v>
      </c>
      <c r="Q549" s="3">
        <v>0</v>
      </c>
      <c r="R549" s="3">
        <v>0</v>
      </c>
      <c r="S549" s="3">
        <v>0</v>
      </c>
      <c r="T549" s="3">
        <v>0</v>
      </c>
      <c r="U549" s="3">
        <v>0</v>
      </c>
      <c r="V549" s="3">
        <v>1</v>
      </c>
      <c r="W549" s="3" t="s">
        <v>5227</v>
      </c>
      <c r="X549" s="3">
        <v>24.98</v>
      </c>
      <c r="Y549" s="3">
        <v>24.98</v>
      </c>
      <c r="Z549" s="3">
        <v>24.98</v>
      </c>
      <c r="AA549" s="3">
        <v>0</v>
      </c>
      <c r="AB549" s="3" t="s">
        <v>5228</v>
      </c>
      <c r="AC549" s="3">
        <v>0</v>
      </c>
      <c r="AD549" s="3">
        <v>20.34</v>
      </c>
      <c r="AE549" s="3">
        <v>329</v>
      </c>
      <c r="AF549" s="3">
        <v>0</v>
      </c>
      <c r="AG549" s="3">
        <v>139.734002</v>
      </c>
      <c r="AH549" s="3">
        <v>0.16</v>
      </c>
      <c r="AI549" s="3" t="s">
        <v>5262</v>
      </c>
      <c r="AJ549" s="3" t="s">
        <v>5222</v>
      </c>
    </row>
    <row r="550" spans="1:36">
      <c r="A550" s="5">
        <v>43288</v>
      </c>
      <c r="B550" s="3" t="s">
        <v>4881</v>
      </c>
      <c r="C550" s="3" t="s">
        <v>4882</v>
      </c>
      <c r="D550" s="3" t="s">
        <v>4882</v>
      </c>
      <c r="E550" s="3" t="s">
        <v>4880</v>
      </c>
      <c r="F550" s="3" t="s">
        <v>120</v>
      </c>
      <c r="G550" s="3">
        <v>9</v>
      </c>
      <c r="H550" s="3">
        <v>0</v>
      </c>
      <c r="I550" s="3">
        <v>0</v>
      </c>
      <c r="J550" s="3">
        <v>0</v>
      </c>
      <c r="K550" s="3">
        <v>9</v>
      </c>
      <c r="L550" s="3">
        <v>0</v>
      </c>
      <c r="M550" s="3">
        <v>0</v>
      </c>
      <c r="N550" s="3" t="s">
        <v>5218</v>
      </c>
      <c r="O550" s="3">
        <v>9</v>
      </c>
      <c r="P550" s="3">
        <v>20.77</v>
      </c>
      <c r="Q550" s="3">
        <v>0</v>
      </c>
      <c r="R550" s="3">
        <v>0</v>
      </c>
      <c r="S550" s="3">
        <v>0</v>
      </c>
      <c r="T550" s="3">
        <v>1</v>
      </c>
      <c r="U550" s="3">
        <v>2</v>
      </c>
      <c r="V550" s="3">
        <v>2</v>
      </c>
      <c r="W550" s="3" t="s">
        <v>5227</v>
      </c>
      <c r="X550" s="3">
        <v>15</v>
      </c>
      <c r="Y550" s="3">
        <v>15</v>
      </c>
      <c r="Z550" s="3">
        <v>15</v>
      </c>
      <c r="AA550" s="3">
        <v>0</v>
      </c>
      <c r="AB550" s="3" t="s">
        <v>5223</v>
      </c>
      <c r="AC550" s="3">
        <v>9</v>
      </c>
      <c r="AD550" s="3">
        <v>15</v>
      </c>
      <c r="AE550" s="3">
        <v>0</v>
      </c>
      <c r="AF550" s="3">
        <v>0</v>
      </c>
      <c r="AG550" s="3">
        <v>0</v>
      </c>
      <c r="AH550" s="3">
        <v>0.195121951219512</v>
      </c>
      <c r="AI550" s="3" t="s">
        <v>5245</v>
      </c>
      <c r="AJ550" s="3" t="s">
        <v>5222</v>
      </c>
    </row>
    <row r="551" spans="1:36">
      <c r="A551" s="5">
        <v>43288</v>
      </c>
      <c r="B551" s="3" t="s">
        <v>4303</v>
      </c>
      <c r="C551" s="3" t="s">
        <v>4304</v>
      </c>
      <c r="D551" s="3" t="s">
        <v>4304</v>
      </c>
      <c r="E551" s="3" t="s">
        <v>4305</v>
      </c>
      <c r="F551" s="3" t="s">
        <v>120</v>
      </c>
      <c r="G551" s="3">
        <v>19</v>
      </c>
      <c r="H551" s="3">
        <v>0</v>
      </c>
      <c r="I551" s="3">
        <v>16</v>
      </c>
      <c r="J551" s="3">
        <v>1</v>
      </c>
      <c r="K551" s="3">
        <v>2</v>
      </c>
      <c r="L551" s="3">
        <v>0</v>
      </c>
      <c r="M551" s="3">
        <v>0</v>
      </c>
      <c r="N551" s="3" t="s">
        <v>5218</v>
      </c>
      <c r="O551" s="3">
        <v>3</v>
      </c>
      <c r="P551" s="3">
        <v>5.65</v>
      </c>
      <c r="Q551" s="3">
        <v>0</v>
      </c>
      <c r="R551" s="3">
        <v>0</v>
      </c>
      <c r="S551" s="3">
        <v>0</v>
      </c>
      <c r="T551" s="3">
        <v>0</v>
      </c>
      <c r="U551" s="3">
        <v>3</v>
      </c>
      <c r="V551" s="3">
        <v>3</v>
      </c>
      <c r="W551" s="3" t="s">
        <v>5227</v>
      </c>
      <c r="X551" s="3">
        <v>23.98</v>
      </c>
      <c r="Y551" s="3">
        <v>23.98</v>
      </c>
      <c r="Z551" s="3">
        <v>23.98</v>
      </c>
      <c r="AA551" s="3">
        <v>0</v>
      </c>
      <c r="AB551" s="3" t="s">
        <v>5228</v>
      </c>
      <c r="AC551" s="3">
        <v>0</v>
      </c>
      <c r="AD551" s="3">
        <v>20.43</v>
      </c>
      <c r="AE551" s="3">
        <v>259</v>
      </c>
      <c r="AF551" s="3">
        <v>0</v>
      </c>
      <c r="AG551" s="3">
        <v>515.212665</v>
      </c>
      <c r="AH551" s="3">
        <v>0.181818181818181</v>
      </c>
      <c r="AI551" s="3" t="s">
        <v>5258</v>
      </c>
      <c r="AJ551" s="3" t="s">
        <v>5222</v>
      </c>
    </row>
    <row r="552" spans="1:36">
      <c r="A552" s="5">
        <v>43288</v>
      </c>
      <c r="B552" s="3" t="s">
        <v>1838</v>
      </c>
      <c r="C552" s="3" t="s">
        <v>1839</v>
      </c>
      <c r="D552" s="3" t="s">
        <v>1839</v>
      </c>
      <c r="E552" s="3" t="s">
        <v>1840</v>
      </c>
      <c r="F552" s="3" t="s">
        <v>120</v>
      </c>
      <c r="G552" s="3">
        <v>2</v>
      </c>
      <c r="H552" s="3">
        <v>0</v>
      </c>
      <c r="I552" s="3">
        <v>0</v>
      </c>
      <c r="J552" s="3">
        <v>2</v>
      </c>
      <c r="K552" s="3">
        <v>0</v>
      </c>
      <c r="L552" s="3">
        <v>0</v>
      </c>
      <c r="M552" s="3">
        <v>0</v>
      </c>
      <c r="N552" s="3" t="s">
        <v>5218</v>
      </c>
      <c r="O552" s="3">
        <v>2</v>
      </c>
      <c r="P552" s="3">
        <v>2.59</v>
      </c>
      <c r="Q552" s="3">
        <v>0</v>
      </c>
      <c r="R552" s="3">
        <v>0</v>
      </c>
      <c r="S552" s="3">
        <v>1</v>
      </c>
      <c r="T552" s="3">
        <v>1</v>
      </c>
      <c r="U552" s="3">
        <v>2</v>
      </c>
      <c r="V552" s="3">
        <v>3</v>
      </c>
      <c r="W552" s="3"/>
      <c r="X552" s="3">
        <v>25.98</v>
      </c>
      <c r="Y552" s="3">
        <v>25.98</v>
      </c>
      <c r="Z552" s="3">
        <v>25.98</v>
      </c>
      <c r="AA552" s="3">
        <v>0</v>
      </c>
      <c r="AB552" s="3" t="s">
        <v>5223</v>
      </c>
      <c r="AC552" s="3">
        <v>3</v>
      </c>
      <c r="AD552" s="3">
        <v>25.98</v>
      </c>
      <c r="AE552" s="3">
        <v>0</v>
      </c>
      <c r="AF552" s="3">
        <v>0</v>
      </c>
      <c r="AG552" s="3">
        <v>0</v>
      </c>
      <c r="AH552" s="3">
        <v>0.857142857142857</v>
      </c>
      <c r="AI552" s="3" t="s">
        <v>5229</v>
      </c>
      <c r="AJ552" s="3" t="s">
        <v>5222</v>
      </c>
    </row>
    <row r="553" spans="1:36">
      <c r="A553" s="5">
        <v>43288</v>
      </c>
      <c r="B553" s="3" t="s">
        <v>5124</v>
      </c>
      <c r="C553" s="3" t="s">
        <v>5125</v>
      </c>
      <c r="D553" s="3" t="s">
        <v>5125</v>
      </c>
      <c r="E553" s="3" t="s">
        <v>5126</v>
      </c>
      <c r="F553" s="3" t="s">
        <v>120</v>
      </c>
      <c r="G553" s="3">
        <v>8</v>
      </c>
      <c r="H553" s="3">
        <v>0</v>
      </c>
      <c r="I553" s="3">
        <v>0</v>
      </c>
      <c r="J553" s="3">
        <v>4</v>
      </c>
      <c r="K553" s="3">
        <v>4</v>
      </c>
      <c r="L553" s="3">
        <v>0</v>
      </c>
      <c r="M553" s="3">
        <v>0</v>
      </c>
      <c r="N553" s="3" t="s">
        <v>5218</v>
      </c>
      <c r="O553" s="3">
        <v>8</v>
      </c>
      <c r="P553" s="3">
        <v>28.37</v>
      </c>
      <c r="Q553" s="3">
        <v>0</v>
      </c>
      <c r="R553" s="3">
        <v>0</v>
      </c>
      <c r="S553" s="3">
        <v>0</v>
      </c>
      <c r="T553" s="3">
        <v>0</v>
      </c>
      <c r="U553" s="3">
        <v>0</v>
      </c>
      <c r="V553" s="3">
        <v>0</v>
      </c>
      <c r="W553" s="3" t="s">
        <v>5219</v>
      </c>
      <c r="X553" s="3">
        <v>29.98</v>
      </c>
      <c r="Y553" s="3">
        <v>29.98</v>
      </c>
      <c r="Z553" s="3">
        <v>29.98</v>
      </c>
      <c r="AA553" s="3">
        <v>0</v>
      </c>
      <c r="AB553" s="3" t="s">
        <v>5228</v>
      </c>
      <c r="AC553" s="3">
        <v>1</v>
      </c>
      <c r="AD553" s="3">
        <v>26.87</v>
      </c>
      <c r="AE553" s="3">
        <v>35</v>
      </c>
      <c r="AF553" s="3">
        <v>0</v>
      </c>
      <c r="AG553" s="3">
        <v>435.191823</v>
      </c>
      <c r="AH553" s="3">
        <v>0</v>
      </c>
      <c r="AI553" s="3" t="s">
        <v>5418</v>
      </c>
      <c r="AJ553" s="3" t="s">
        <v>5222</v>
      </c>
    </row>
    <row r="554" spans="1:36">
      <c r="A554" s="5">
        <v>43288</v>
      </c>
      <c r="B554" s="3" t="s">
        <v>4412</v>
      </c>
      <c r="C554" s="3" t="s">
        <v>3502</v>
      </c>
      <c r="D554" s="3" t="s">
        <v>3502</v>
      </c>
      <c r="E554" s="3" t="s">
        <v>3503</v>
      </c>
      <c r="F554" s="3" t="s">
        <v>120</v>
      </c>
      <c r="G554" s="3">
        <v>4</v>
      </c>
      <c r="H554" s="3">
        <v>0</v>
      </c>
      <c r="I554" s="3">
        <v>0</v>
      </c>
      <c r="J554" s="3">
        <v>0</v>
      </c>
      <c r="K554" s="3">
        <v>4</v>
      </c>
      <c r="L554" s="3">
        <v>0</v>
      </c>
      <c r="M554" s="3">
        <v>0</v>
      </c>
      <c r="N554" s="3" t="s">
        <v>5218</v>
      </c>
      <c r="O554" s="3">
        <v>4</v>
      </c>
      <c r="P554" s="3">
        <v>6.18</v>
      </c>
      <c r="Q554" s="3">
        <v>0</v>
      </c>
      <c r="R554" s="3">
        <v>0</v>
      </c>
      <c r="S554" s="3">
        <v>0</v>
      </c>
      <c r="T554" s="3">
        <v>0</v>
      </c>
      <c r="U554" s="3">
        <v>0</v>
      </c>
      <c r="V554" s="3">
        <v>0</v>
      </c>
      <c r="W554" s="3" t="s">
        <v>5227</v>
      </c>
      <c r="X554" s="3">
        <v>24.98</v>
      </c>
      <c r="Y554" s="3">
        <v>24.98</v>
      </c>
      <c r="Z554" s="3">
        <v>24.98</v>
      </c>
      <c r="AA554" s="3">
        <v>0</v>
      </c>
      <c r="AB554" s="3" t="s">
        <v>5228</v>
      </c>
      <c r="AC554" s="3">
        <v>0</v>
      </c>
      <c r="AD554" s="3">
        <v>23.38</v>
      </c>
      <c r="AE554" s="3">
        <v>35</v>
      </c>
      <c r="AF554" s="3">
        <v>0</v>
      </c>
      <c r="AG554" s="3">
        <v>119.993726</v>
      </c>
      <c r="AH554" s="3">
        <v>0</v>
      </c>
      <c r="AI554" s="3" t="s">
        <v>5262</v>
      </c>
      <c r="AJ554" s="3" t="s">
        <v>5222</v>
      </c>
    </row>
    <row r="555" spans="1:36">
      <c r="A555" s="5">
        <v>43288</v>
      </c>
      <c r="B555" s="3" t="s">
        <v>2135</v>
      </c>
      <c r="C555" s="3" t="s">
        <v>2136</v>
      </c>
      <c r="D555" s="3" t="s">
        <v>2136</v>
      </c>
      <c r="E555" s="3" t="s">
        <v>2137</v>
      </c>
      <c r="F555" s="3" t="s">
        <v>120</v>
      </c>
      <c r="G555" s="3">
        <v>27</v>
      </c>
      <c r="H555" s="3">
        <v>0</v>
      </c>
      <c r="I555" s="3">
        <v>2</v>
      </c>
      <c r="J555" s="3">
        <v>21</v>
      </c>
      <c r="K555" s="3">
        <v>4</v>
      </c>
      <c r="L555" s="3">
        <v>0</v>
      </c>
      <c r="M555" s="3">
        <v>0</v>
      </c>
      <c r="N555" s="3" t="s">
        <v>5218</v>
      </c>
      <c r="O555" s="3">
        <v>4</v>
      </c>
      <c r="P555" s="3">
        <v>6.21</v>
      </c>
      <c r="Q555" s="3">
        <v>0</v>
      </c>
      <c r="R555" s="3">
        <v>0</v>
      </c>
      <c r="S555" s="3">
        <v>0</v>
      </c>
      <c r="T555" s="3">
        <v>2</v>
      </c>
      <c r="U555" s="3">
        <v>5</v>
      </c>
      <c r="V555" s="3">
        <v>5</v>
      </c>
      <c r="W555" s="3"/>
      <c r="X555" s="3">
        <v>22.98</v>
      </c>
      <c r="Y555" s="3">
        <v>22.98</v>
      </c>
      <c r="Z555" s="3">
        <v>22</v>
      </c>
      <c r="AA555" s="3">
        <v>0</v>
      </c>
      <c r="AB555" s="3" t="s">
        <v>5228</v>
      </c>
      <c r="AC555" s="3">
        <v>0</v>
      </c>
      <c r="AD555" s="3">
        <v>16.88</v>
      </c>
      <c r="AE555" s="3">
        <v>364</v>
      </c>
      <c r="AF555" s="3">
        <v>0</v>
      </c>
      <c r="AG555" s="3">
        <v>569.889242</v>
      </c>
      <c r="AH555" s="3">
        <v>0.172413793103448</v>
      </c>
      <c r="AI555" s="3" t="s">
        <v>5260</v>
      </c>
      <c r="AJ555" s="3" t="s">
        <v>5222</v>
      </c>
    </row>
    <row r="556" spans="1:36">
      <c r="A556" s="5">
        <v>43288</v>
      </c>
      <c r="B556" s="3" t="s">
        <v>2225</v>
      </c>
      <c r="C556" s="3" t="s">
        <v>2226</v>
      </c>
      <c r="D556" s="3" t="s">
        <v>2226</v>
      </c>
      <c r="E556" s="3" t="s">
        <v>2227</v>
      </c>
      <c r="F556" s="3" t="s">
        <v>120</v>
      </c>
      <c r="G556" s="3">
        <v>29</v>
      </c>
      <c r="H556" s="3">
        <v>0</v>
      </c>
      <c r="I556" s="3">
        <v>11</v>
      </c>
      <c r="J556" s="3">
        <v>7</v>
      </c>
      <c r="K556" s="3">
        <v>11</v>
      </c>
      <c r="L556" s="3">
        <v>0</v>
      </c>
      <c r="M556" s="3">
        <v>0</v>
      </c>
      <c r="N556" s="3" t="s">
        <v>5218</v>
      </c>
      <c r="O556" s="3">
        <v>17</v>
      </c>
      <c r="P556" s="3">
        <v>26.41</v>
      </c>
      <c r="Q556" s="3">
        <v>0</v>
      </c>
      <c r="R556" s="3">
        <v>0</v>
      </c>
      <c r="S556" s="3">
        <v>0</v>
      </c>
      <c r="T556" s="3">
        <v>0</v>
      </c>
      <c r="U556" s="3">
        <v>0</v>
      </c>
      <c r="V556" s="3">
        <v>1</v>
      </c>
      <c r="W556" s="3" t="s">
        <v>5227</v>
      </c>
      <c r="X556" s="3">
        <v>22.98</v>
      </c>
      <c r="Y556" s="3">
        <v>22.98</v>
      </c>
      <c r="Z556" s="3">
        <v>22</v>
      </c>
      <c r="AA556" s="3">
        <v>0</v>
      </c>
      <c r="AB556" s="3" t="s">
        <v>5228</v>
      </c>
      <c r="AC556" s="3">
        <v>0</v>
      </c>
      <c r="AD556" s="3">
        <v>16.86</v>
      </c>
      <c r="AE556" s="3">
        <v>364</v>
      </c>
      <c r="AF556" s="3">
        <v>0</v>
      </c>
      <c r="AG556" s="3">
        <v>605.545332</v>
      </c>
      <c r="AH556" s="3">
        <v>0.0380952380952381</v>
      </c>
      <c r="AI556" s="3" t="s">
        <v>5260</v>
      </c>
      <c r="AJ556" s="3" t="s">
        <v>5222</v>
      </c>
    </row>
    <row r="557" spans="1:36">
      <c r="A557" s="5">
        <v>43288</v>
      </c>
      <c r="B557" s="3" t="s">
        <v>4413</v>
      </c>
      <c r="C557" s="3" t="s">
        <v>3506</v>
      </c>
      <c r="D557" s="3" t="s">
        <v>3506</v>
      </c>
      <c r="E557" s="3" t="s">
        <v>3507</v>
      </c>
      <c r="F557" s="3" t="s">
        <v>120</v>
      </c>
      <c r="G557" s="3">
        <v>8</v>
      </c>
      <c r="H557" s="3">
        <v>0</v>
      </c>
      <c r="I557" s="3">
        <v>0</v>
      </c>
      <c r="J557" s="3">
        <v>0</v>
      </c>
      <c r="K557" s="3">
        <v>8</v>
      </c>
      <c r="L557" s="3">
        <v>0</v>
      </c>
      <c r="M557" s="3">
        <v>0</v>
      </c>
      <c r="N557" s="3" t="s">
        <v>5218</v>
      </c>
      <c r="O557" s="3">
        <v>8</v>
      </c>
      <c r="P557" s="3">
        <v>12.35</v>
      </c>
      <c r="Q557" s="3">
        <v>0</v>
      </c>
      <c r="R557" s="3">
        <v>0</v>
      </c>
      <c r="S557" s="3">
        <v>1</v>
      </c>
      <c r="T557" s="3">
        <v>1</v>
      </c>
      <c r="U557" s="3">
        <v>1</v>
      </c>
      <c r="V557" s="3">
        <v>2</v>
      </c>
      <c r="W557" s="3"/>
      <c r="X557" s="3">
        <v>24.98</v>
      </c>
      <c r="Y557" s="3">
        <v>24.98</v>
      </c>
      <c r="Z557" s="3">
        <v>24.98</v>
      </c>
      <c r="AA557" s="3">
        <v>0</v>
      </c>
      <c r="AB557" s="3" t="s">
        <v>5228</v>
      </c>
      <c r="AC557" s="3">
        <v>0</v>
      </c>
      <c r="AD557" s="3">
        <v>19.98</v>
      </c>
      <c r="AE557" s="3">
        <v>364</v>
      </c>
      <c r="AF557" s="3">
        <v>0</v>
      </c>
      <c r="AG557" s="3">
        <v>167.771413</v>
      </c>
      <c r="AH557" s="3">
        <v>0.222222222222222</v>
      </c>
      <c r="AI557" s="3" t="s">
        <v>5262</v>
      </c>
      <c r="AJ557" s="3" t="s">
        <v>5222</v>
      </c>
    </row>
    <row r="558" spans="1:36">
      <c r="A558" s="5">
        <v>43288</v>
      </c>
      <c r="B558" s="3" t="s">
        <v>2682</v>
      </c>
      <c r="C558" s="3" t="s">
        <v>2683</v>
      </c>
      <c r="D558" s="3" t="s">
        <v>2683</v>
      </c>
      <c r="E558" s="3" t="s">
        <v>2684</v>
      </c>
      <c r="F558" s="3" t="s">
        <v>120</v>
      </c>
      <c r="G558" s="3">
        <v>5</v>
      </c>
      <c r="H558" s="3">
        <v>0</v>
      </c>
      <c r="I558" s="3">
        <v>0</v>
      </c>
      <c r="J558" s="3">
        <v>5</v>
      </c>
      <c r="K558" s="3">
        <v>0</v>
      </c>
      <c r="L558" s="3">
        <v>0</v>
      </c>
      <c r="M558" s="3">
        <v>0</v>
      </c>
      <c r="N558" s="3" t="s">
        <v>5218</v>
      </c>
      <c r="O558" s="3">
        <v>0</v>
      </c>
      <c r="P558" s="3">
        <v>0</v>
      </c>
      <c r="Q558" s="3">
        <v>0</v>
      </c>
      <c r="R558" s="3">
        <v>0</v>
      </c>
      <c r="S558" s="3">
        <v>0</v>
      </c>
      <c r="T558" s="3">
        <v>1</v>
      </c>
      <c r="U558" s="3">
        <v>3</v>
      </c>
      <c r="V558" s="3">
        <v>5</v>
      </c>
      <c r="W558" s="3"/>
      <c r="X558" s="3">
        <v>25.98</v>
      </c>
      <c r="Y558" s="3">
        <v>25.98</v>
      </c>
      <c r="Z558" s="3">
        <v>25.98</v>
      </c>
      <c r="AA558" s="3">
        <v>0</v>
      </c>
      <c r="AB558" s="3" t="s">
        <v>5228</v>
      </c>
      <c r="AC558" s="3">
        <v>0</v>
      </c>
      <c r="AD558" s="3">
        <v>23.53</v>
      </c>
      <c r="AE558" s="3">
        <v>147</v>
      </c>
      <c r="AF558" s="3">
        <v>0</v>
      </c>
      <c r="AG558" s="3">
        <v>169.731706</v>
      </c>
      <c r="AH558" s="3">
        <v>0.689655172413793</v>
      </c>
      <c r="AI558" s="3" t="s">
        <v>5237</v>
      </c>
      <c r="AJ558" s="3" t="s">
        <v>5222</v>
      </c>
    </row>
    <row r="559" spans="1:36">
      <c r="A559" s="5">
        <v>43288</v>
      </c>
      <c r="B559" s="3" t="s">
        <v>1234</v>
      </c>
      <c r="C559" s="3" t="s">
        <v>1235</v>
      </c>
      <c r="D559" s="3" t="s">
        <v>517</v>
      </c>
      <c r="E559" s="3" t="s">
        <v>768</v>
      </c>
      <c r="F559" s="3" t="s">
        <v>120</v>
      </c>
      <c r="G559" s="3">
        <v>19</v>
      </c>
      <c r="H559" s="3">
        <v>0</v>
      </c>
      <c r="I559" s="3">
        <v>19</v>
      </c>
      <c r="J559" s="3">
        <v>0</v>
      </c>
      <c r="K559" s="3">
        <v>0</v>
      </c>
      <c r="L559" s="3">
        <v>0</v>
      </c>
      <c r="M559" s="3">
        <v>0</v>
      </c>
      <c r="N559" s="3" t="s">
        <v>5218</v>
      </c>
      <c r="O559" s="3">
        <v>0</v>
      </c>
      <c r="P559" s="3">
        <v>0</v>
      </c>
      <c r="Q559" s="3">
        <v>0</v>
      </c>
      <c r="R559" s="3">
        <v>0</v>
      </c>
      <c r="S559" s="3">
        <v>0</v>
      </c>
      <c r="T559" s="3">
        <v>0</v>
      </c>
      <c r="U559" s="3">
        <v>0</v>
      </c>
      <c r="V559" s="3">
        <v>0</v>
      </c>
      <c r="W559" s="3" t="s">
        <v>5227</v>
      </c>
      <c r="X559" s="3">
        <v>22.98</v>
      </c>
      <c r="Y559" s="3">
        <v>22.98</v>
      </c>
      <c r="Z559" s="3">
        <v>22.98</v>
      </c>
      <c r="AA559" s="3">
        <v>0</v>
      </c>
      <c r="AB559" s="3" t="s">
        <v>5223</v>
      </c>
      <c r="AC559" s="3">
        <v>19</v>
      </c>
      <c r="AD559" s="3">
        <v>22.98</v>
      </c>
      <c r="AE559" s="3">
        <v>0</v>
      </c>
      <c r="AF559" s="3">
        <v>0</v>
      </c>
      <c r="AG559" s="3">
        <v>0</v>
      </c>
      <c r="AH559" s="3">
        <v>0.909090909090909</v>
      </c>
      <c r="AI559" s="3" t="s">
        <v>5225</v>
      </c>
      <c r="AJ559" s="3" t="s">
        <v>5222</v>
      </c>
    </row>
    <row r="560" spans="1:36">
      <c r="A560" s="5">
        <v>43288</v>
      </c>
      <c r="B560" s="3" t="s">
        <v>1012</v>
      </c>
      <c r="C560" s="3" t="s">
        <v>1013</v>
      </c>
      <c r="D560" s="3" t="s">
        <v>304</v>
      </c>
      <c r="E560" s="3" t="s">
        <v>470</v>
      </c>
      <c r="F560" s="3" t="s">
        <v>120</v>
      </c>
      <c r="G560" s="3">
        <v>20</v>
      </c>
      <c r="H560" s="3">
        <v>0</v>
      </c>
      <c r="I560" s="3">
        <v>20</v>
      </c>
      <c r="J560" s="3">
        <v>0</v>
      </c>
      <c r="K560" s="3">
        <v>0</v>
      </c>
      <c r="L560" s="3">
        <v>0</v>
      </c>
      <c r="M560" s="3">
        <v>0</v>
      </c>
      <c r="N560" s="3" t="s">
        <v>5218</v>
      </c>
      <c r="O560" s="3">
        <v>0</v>
      </c>
      <c r="P560" s="3">
        <v>0</v>
      </c>
      <c r="Q560" s="3">
        <v>0</v>
      </c>
      <c r="R560" s="3">
        <v>0</v>
      </c>
      <c r="S560" s="3">
        <v>0</v>
      </c>
      <c r="T560" s="3">
        <v>0</v>
      </c>
      <c r="U560" s="3">
        <v>0</v>
      </c>
      <c r="V560" s="3">
        <v>0</v>
      </c>
      <c r="W560" s="3" t="s">
        <v>5227</v>
      </c>
      <c r="X560" s="3">
        <v>24.98</v>
      </c>
      <c r="Y560" s="3">
        <v>24.98</v>
      </c>
      <c r="Z560" s="3">
        <v>24.98</v>
      </c>
      <c r="AA560" s="3">
        <v>0</v>
      </c>
      <c r="AB560" s="3" t="s">
        <v>5223</v>
      </c>
      <c r="AC560" s="3">
        <v>0</v>
      </c>
      <c r="AD560" s="3">
        <v>0</v>
      </c>
      <c r="AE560" s="3">
        <v>0</v>
      </c>
      <c r="AF560" s="3">
        <v>0</v>
      </c>
      <c r="AG560" s="3">
        <v>0</v>
      </c>
      <c r="AH560" s="3">
        <v>0.139130434782608</v>
      </c>
      <c r="AI560" s="3" t="s">
        <v>5224</v>
      </c>
      <c r="AJ560" s="3" t="s">
        <v>5222</v>
      </c>
    </row>
    <row r="561" spans="1:36">
      <c r="A561" s="5">
        <v>43288</v>
      </c>
      <c r="B561" s="3" t="s">
        <v>2869</v>
      </c>
      <c r="C561" s="3" t="s">
        <v>2870</v>
      </c>
      <c r="D561" s="3" t="s">
        <v>2870</v>
      </c>
      <c r="E561" s="3" t="s">
        <v>2871</v>
      </c>
      <c r="F561" s="3" t="s">
        <v>120</v>
      </c>
      <c r="G561" s="3">
        <v>1</v>
      </c>
      <c r="H561" s="3">
        <v>0</v>
      </c>
      <c r="I561" s="3">
        <v>1</v>
      </c>
      <c r="J561" s="3">
        <v>0</v>
      </c>
      <c r="K561" s="3">
        <v>0</v>
      </c>
      <c r="L561" s="3">
        <v>0</v>
      </c>
      <c r="M561" s="3">
        <v>0</v>
      </c>
      <c r="N561" s="3" t="s">
        <v>5218</v>
      </c>
      <c r="O561" s="3">
        <v>0</v>
      </c>
      <c r="P561" s="3">
        <v>0</v>
      </c>
      <c r="Q561" s="3">
        <v>0</v>
      </c>
      <c r="R561" s="3">
        <v>0</v>
      </c>
      <c r="S561" s="3">
        <v>1</v>
      </c>
      <c r="T561" s="3">
        <v>5</v>
      </c>
      <c r="U561" s="3">
        <v>9</v>
      </c>
      <c r="V561" s="3">
        <v>15</v>
      </c>
      <c r="W561" s="3"/>
      <c r="X561" s="3">
        <v>25.98</v>
      </c>
      <c r="Y561" s="3">
        <v>25.98</v>
      </c>
      <c r="Z561" s="3">
        <v>25.98</v>
      </c>
      <c r="AA561" s="3">
        <v>0</v>
      </c>
      <c r="AB561" s="3" t="s">
        <v>5223</v>
      </c>
      <c r="AC561" s="3">
        <v>1</v>
      </c>
      <c r="AD561" s="3">
        <v>25.98</v>
      </c>
      <c r="AE561" s="3">
        <v>0</v>
      </c>
      <c r="AF561" s="3">
        <v>0</v>
      </c>
      <c r="AG561" s="3">
        <v>0</v>
      </c>
      <c r="AH561" s="3">
        <v>1.875</v>
      </c>
      <c r="AI561" s="3" t="s">
        <v>5254</v>
      </c>
      <c r="AJ561" s="3" t="s">
        <v>5222</v>
      </c>
    </row>
    <row r="562" spans="1:36">
      <c r="A562" s="5">
        <v>43288</v>
      </c>
      <c r="B562" s="3" t="s">
        <v>4803</v>
      </c>
      <c r="C562" s="3" t="s">
        <v>4804</v>
      </c>
      <c r="D562" s="3" t="s">
        <v>4804</v>
      </c>
      <c r="E562" s="3" t="s">
        <v>4805</v>
      </c>
      <c r="F562" s="3" t="s">
        <v>120</v>
      </c>
      <c r="G562" s="3">
        <v>11</v>
      </c>
      <c r="H562" s="3">
        <v>0</v>
      </c>
      <c r="I562" s="3">
        <v>11</v>
      </c>
      <c r="J562" s="3">
        <v>0</v>
      </c>
      <c r="K562" s="3">
        <v>0</v>
      </c>
      <c r="L562" s="3">
        <v>0</v>
      </c>
      <c r="M562" s="3">
        <v>0</v>
      </c>
      <c r="N562" s="3" t="s">
        <v>5218</v>
      </c>
      <c r="O562" s="3">
        <v>0</v>
      </c>
      <c r="P562" s="3">
        <v>0</v>
      </c>
      <c r="Q562" s="3">
        <v>0</v>
      </c>
      <c r="R562" s="3">
        <v>0</v>
      </c>
      <c r="S562" s="3">
        <v>2</v>
      </c>
      <c r="T562" s="3">
        <v>7</v>
      </c>
      <c r="U562" s="3">
        <v>8</v>
      </c>
      <c r="V562" s="3">
        <v>10</v>
      </c>
      <c r="W562" s="3"/>
      <c r="X562" s="3">
        <v>22.98</v>
      </c>
      <c r="Y562" s="3">
        <v>22.98</v>
      </c>
      <c r="Z562" s="3">
        <v>22.98</v>
      </c>
      <c r="AA562" s="3">
        <v>0</v>
      </c>
      <c r="AB562" s="3" t="s">
        <v>5223</v>
      </c>
      <c r="AC562" s="3">
        <v>13</v>
      </c>
      <c r="AD562" s="3">
        <v>22.98</v>
      </c>
      <c r="AE562" s="3">
        <v>0</v>
      </c>
      <c r="AF562" s="3">
        <v>0</v>
      </c>
      <c r="AG562" s="3">
        <v>0</v>
      </c>
      <c r="AH562" s="3">
        <v>0.74074074074074</v>
      </c>
      <c r="AI562" s="3" t="s">
        <v>5419</v>
      </c>
      <c r="AJ562" s="3" t="s">
        <v>5222</v>
      </c>
    </row>
    <row r="563" spans="1:36">
      <c r="A563" s="5">
        <v>43288</v>
      </c>
      <c r="B563" s="3" t="s">
        <v>2641</v>
      </c>
      <c r="C563" s="3" t="s">
        <v>2642</v>
      </c>
      <c r="D563" s="3" t="s">
        <v>2642</v>
      </c>
      <c r="E563" s="3" t="s">
        <v>2643</v>
      </c>
      <c r="F563" s="3" t="s">
        <v>120</v>
      </c>
      <c r="G563" s="3">
        <v>18</v>
      </c>
      <c r="H563" s="3">
        <v>0</v>
      </c>
      <c r="I563" s="3">
        <v>0</v>
      </c>
      <c r="J563" s="3">
        <v>1</v>
      </c>
      <c r="K563" s="3">
        <v>17</v>
      </c>
      <c r="L563" s="3">
        <v>0</v>
      </c>
      <c r="M563" s="3">
        <v>0</v>
      </c>
      <c r="N563" s="3" t="s">
        <v>5218</v>
      </c>
      <c r="O563" s="3">
        <v>17</v>
      </c>
      <c r="P563" s="3">
        <v>27.63</v>
      </c>
      <c r="Q563" s="3">
        <v>0</v>
      </c>
      <c r="R563" s="3">
        <v>0</v>
      </c>
      <c r="S563" s="3">
        <v>0</v>
      </c>
      <c r="T563" s="3">
        <v>0</v>
      </c>
      <c r="U563" s="3">
        <v>0</v>
      </c>
      <c r="V563" s="3">
        <v>0</v>
      </c>
      <c r="W563" s="3" t="s">
        <v>5219</v>
      </c>
      <c r="X563" s="3">
        <v>18.98</v>
      </c>
      <c r="Y563" s="3">
        <v>18.98</v>
      </c>
      <c r="Z563" s="3">
        <v>18.98</v>
      </c>
      <c r="AA563" s="3">
        <v>0</v>
      </c>
      <c r="AB563" s="3" t="s">
        <v>5220</v>
      </c>
      <c r="AC563" s="3">
        <v>1</v>
      </c>
      <c r="AD563" s="3">
        <v>25.85</v>
      </c>
      <c r="AE563" s="3">
        <v>161</v>
      </c>
      <c r="AF563" s="3">
        <v>0</v>
      </c>
      <c r="AG563" s="3">
        <v>579.712367</v>
      </c>
      <c r="AH563" s="3">
        <v>0</v>
      </c>
      <c r="AI563" s="3" t="s">
        <v>5337</v>
      </c>
      <c r="AJ563" s="3" t="s">
        <v>5222</v>
      </c>
    </row>
    <row r="564" spans="1:36">
      <c r="A564" s="5">
        <v>43288</v>
      </c>
      <c r="B564" s="3" t="s">
        <v>1010</v>
      </c>
      <c r="C564" s="3" t="s">
        <v>1011</v>
      </c>
      <c r="D564" s="3" t="s">
        <v>302</v>
      </c>
      <c r="E564" s="3" t="s">
        <v>468</v>
      </c>
      <c r="F564" s="3" t="s">
        <v>120</v>
      </c>
      <c r="G564" s="3">
        <v>23</v>
      </c>
      <c r="H564" s="3">
        <v>0</v>
      </c>
      <c r="I564" s="3">
        <v>23</v>
      </c>
      <c r="J564" s="3">
        <v>0</v>
      </c>
      <c r="K564" s="3">
        <v>0</v>
      </c>
      <c r="L564" s="3">
        <v>0</v>
      </c>
      <c r="M564" s="3">
        <v>0</v>
      </c>
      <c r="N564" s="3" t="s">
        <v>5218</v>
      </c>
      <c r="O564" s="3">
        <v>0</v>
      </c>
      <c r="P564" s="3">
        <v>0</v>
      </c>
      <c r="Q564" s="3">
        <v>0</v>
      </c>
      <c r="R564" s="3">
        <v>0</v>
      </c>
      <c r="S564" s="3">
        <v>0</v>
      </c>
      <c r="T564" s="3">
        <v>0</v>
      </c>
      <c r="U564" s="3">
        <v>0</v>
      </c>
      <c r="V564" s="3">
        <v>0</v>
      </c>
      <c r="W564" s="3" t="s">
        <v>5227</v>
      </c>
      <c r="X564" s="3">
        <v>24.98</v>
      </c>
      <c r="Y564" s="3">
        <v>24.98</v>
      </c>
      <c r="Z564" s="3">
        <v>24.98</v>
      </c>
      <c r="AA564" s="3">
        <v>0</v>
      </c>
      <c r="AB564" s="3" t="s">
        <v>5223</v>
      </c>
      <c r="AC564" s="3">
        <v>0</v>
      </c>
      <c r="AD564" s="3">
        <v>0</v>
      </c>
      <c r="AE564" s="3">
        <v>0</v>
      </c>
      <c r="AF564" s="3">
        <v>0</v>
      </c>
      <c r="AG564" s="3">
        <v>0</v>
      </c>
      <c r="AH564" s="3">
        <v>0.384615384615384</v>
      </c>
      <c r="AI564" s="3" t="s">
        <v>5224</v>
      </c>
      <c r="AJ564" s="3" t="s">
        <v>5222</v>
      </c>
    </row>
    <row r="565" spans="1:36">
      <c r="A565" s="5">
        <v>43288</v>
      </c>
      <c r="B565" s="3" t="s">
        <v>4145</v>
      </c>
      <c r="C565" s="3" t="s">
        <v>4146</v>
      </c>
      <c r="D565" s="3" t="s">
        <v>4146</v>
      </c>
      <c r="E565" s="3" t="s">
        <v>4147</v>
      </c>
      <c r="F565" s="3" t="s">
        <v>120</v>
      </c>
      <c r="G565" s="3">
        <v>10</v>
      </c>
      <c r="H565" s="3">
        <v>0</v>
      </c>
      <c r="I565" s="3">
        <v>10</v>
      </c>
      <c r="J565" s="3">
        <v>0</v>
      </c>
      <c r="K565" s="3">
        <v>0</v>
      </c>
      <c r="L565" s="3">
        <v>0</v>
      </c>
      <c r="M565" s="3">
        <v>0</v>
      </c>
      <c r="N565" s="3" t="s">
        <v>5218</v>
      </c>
      <c r="O565" s="3">
        <v>0</v>
      </c>
      <c r="P565" s="3">
        <v>0</v>
      </c>
      <c r="Q565" s="3">
        <v>0</v>
      </c>
      <c r="R565" s="3">
        <v>0</v>
      </c>
      <c r="S565" s="3">
        <v>2</v>
      </c>
      <c r="T565" s="3">
        <v>14</v>
      </c>
      <c r="U565" s="3">
        <v>23</v>
      </c>
      <c r="V565" s="3">
        <v>29</v>
      </c>
      <c r="W565" s="3"/>
      <c r="X565" s="3">
        <v>22.98</v>
      </c>
      <c r="Y565" s="3">
        <v>22.98</v>
      </c>
      <c r="Z565" s="3">
        <v>22.98</v>
      </c>
      <c r="AA565" s="3">
        <v>0</v>
      </c>
      <c r="AB565" s="3" t="s">
        <v>5223</v>
      </c>
      <c r="AC565" s="3">
        <v>11</v>
      </c>
      <c r="AD565" s="3">
        <v>22.98</v>
      </c>
      <c r="AE565" s="3">
        <v>0</v>
      </c>
      <c r="AF565" s="3">
        <v>0</v>
      </c>
      <c r="AG565" s="3">
        <v>0</v>
      </c>
      <c r="AH565" s="3">
        <v>6.44444444444444</v>
      </c>
      <c r="AI565" s="3" t="s">
        <v>5226</v>
      </c>
      <c r="AJ565" s="3" t="s">
        <v>5222</v>
      </c>
    </row>
    <row r="566" spans="1:36">
      <c r="A566" s="5">
        <v>43288</v>
      </c>
      <c r="B566" s="3" t="s">
        <v>2944</v>
      </c>
      <c r="C566" s="3" t="s">
        <v>1376</v>
      </c>
      <c r="D566" s="3" t="s">
        <v>1376</v>
      </c>
      <c r="E566" s="3" t="s">
        <v>1377</v>
      </c>
      <c r="F566" s="3" t="s">
        <v>120</v>
      </c>
      <c r="G566" s="3">
        <v>1</v>
      </c>
      <c r="H566" s="3">
        <v>0</v>
      </c>
      <c r="I566" s="3">
        <v>1</v>
      </c>
      <c r="J566" s="3">
        <v>0</v>
      </c>
      <c r="K566" s="3">
        <v>0</v>
      </c>
      <c r="L566" s="3">
        <v>0</v>
      </c>
      <c r="M566" s="3">
        <v>0</v>
      </c>
      <c r="N566" s="3" t="s">
        <v>5218</v>
      </c>
      <c r="O566" s="3">
        <v>0</v>
      </c>
      <c r="P566" s="3">
        <v>0</v>
      </c>
      <c r="Q566" s="3">
        <v>0</v>
      </c>
      <c r="R566" s="3">
        <v>0</v>
      </c>
      <c r="S566" s="3">
        <v>22</v>
      </c>
      <c r="T566" s="3">
        <v>76</v>
      </c>
      <c r="U566" s="3">
        <v>136</v>
      </c>
      <c r="V566" s="3">
        <v>166</v>
      </c>
      <c r="W566" s="3"/>
      <c r="X566" s="3"/>
      <c r="Y566" s="3"/>
      <c r="Z566" s="3">
        <v>23.98</v>
      </c>
      <c r="AA566" s="3">
        <v>-1</v>
      </c>
      <c r="AB566" s="3" t="s">
        <v>5244</v>
      </c>
      <c r="AC566" s="3">
        <v>13</v>
      </c>
      <c r="AD566" s="3">
        <v>22.98</v>
      </c>
      <c r="AE566" s="3">
        <v>0</v>
      </c>
      <c r="AF566" s="3">
        <v>0</v>
      </c>
      <c r="AG566" s="3">
        <v>0</v>
      </c>
      <c r="AH566" s="3">
        <v>8.19753086419753</v>
      </c>
      <c r="AI566" s="3" t="s">
        <v>5306</v>
      </c>
      <c r="AJ566" s="3" t="s">
        <v>5222</v>
      </c>
    </row>
    <row r="567" spans="1:36">
      <c r="A567" s="5">
        <v>43288</v>
      </c>
      <c r="B567" s="3" t="s">
        <v>1737</v>
      </c>
      <c r="C567" s="3" t="s">
        <v>1738</v>
      </c>
      <c r="D567" s="3" t="s">
        <v>1738</v>
      </c>
      <c r="E567" s="3" t="s">
        <v>1739</v>
      </c>
      <c r="F567" s="3" t="s">
        <v>120</v>
      </c>
      <c r="G567" s="3">
        <v>19</v>
      </c>
      <c r="H567" s="3">
        <v>0</v>
      </c>
      <c r="I567" s="3">
        <v>1</v>
      </c>
      <c r="J567" s="3">
        <v>18</v>
      </c>
      <c r="K567" s="3">
        <v>0</v>
      </c>
      <c r="L567" s="3">
        <v>0</v>
      </c>
      <c r="M567" s="3">
        <v>0</v>
      </c>
      <c r="N567" s="3" t="s">
        <v>5218</v>
      </c>
      <c r="O567" s="3">
        <v>18</v>
      </c>
      <c r="P567" s="3">
        <v>23.35</v>
      </c>
      <c r="Q567" s="3">
        <v>0</v>
      </c>
      <c r="R567" s="3">
        <v>0</v>
      </c>
      <c r="S567" s="3">
        <v>0</v>
      </c>
      <c r="T567" s="3">
        <v>0</v>
      </c>
      <c r="U567" s="3">
        <v>1</v>
      </c>
      <c r="V567" s="3">
        <v>1</v>
      </c>
      <c r="W567" s="3" t="s">
        <v>5227</v>
      </c>
      <c r="X567" s="3">
        <v>23.98</v>
      </c>
      <c r="Y567" s="3">
        <v>23.98</v>
      </c>
      <c r="Z567" s="3">
        <v>23.98</v>
      </c>
      <c r="AA567" s="3">
        <v>0</v>
      </c>
      <c r="AB567" s="3" t="s">
        <v>5223</v>
      </c>
      <c r="AC567" s="3">
        <v>19</v>
      </c>
      <c r="AD567" s="3">
        <v>23.98</v>
      </c>
      <c r="AE567" s="3">
        <v>0</v>
      </c>
      <c r="AF567" s="3">
        <v>0</v>
      </c>
      <c r="AG567" s="3">
        <v>0</v>
      </c>
      <c r="AH567" s="3">
        <v>0.19047619047619</v>
      </c>
      <c r="AI567" s="3" t="s">
        <v>5229</v>
      </c>
      <c r="AJ567" s="3" t="s">
        <v>5222</v>
      </c>
    </row>
    <row r="568" spans="1:36">
      <c r="A568" s="5">
        <v>43288</v>
      </c>
      <c r="B568" s="3" t="s">
        <v>1526</v>
      </c>
      <c r="C568" s="3" t="s">
        <v>88</v>
      </c>
      <c r="D568" s="3" t="s">
        <v>88</v>
      </c>
      <c r="E568" s="3" t="s">
        <v>1527</v>
      </c>
      <c r="F568" s="3" t="s">
        <v>120</v>
      </c>
      <c r="G568" s="3">
        <v>4</v>
      </c>
      <c r="H568" s="3">
        <v>0</v>
      </c>
      <c r="I568" s="3">
        <v>4</v>
      </c>
      <c r="J568" s="3">
        <v>0</v>
      </c>
      <c r="K568" s="3">
        <v>0</v>
      </c>
      <c r="L568" s="3">
        <v>0</v>
      </c>
      <c r="M568" s="3">
        <v>0</v>
      </c>
      <c r="N568" s="3" t="s">
        <v>5218</v>
      </c>
      <c r="O568" s="3">
        <v>0</v>
      </c>
      <c r="P568" s="3">
        <v>0</v>
      </c>
      <c r="Q568" s="3">
        <v>0</v>
      </c>
      <c r="R568" s="3">
        <v>0</v>
      </c>
      <c r="S568" s="3">
        <v>0</v>
      </c>
      <c r="T568" s="3">
        <v>10</v>
      </c>
      <c r="U568" s="3">
        <v>16</v>
      </c>
      <c r="V568" s="3">
        <v>19</v>
      </c>
      <c r="W568" s="3"/>
      <c r="X568" s="3">
        <v>22.98</v>
      </c>
      <c r="Y568" s="3">
        <v>22.98</v>
      </c>
      <c r="Z568" s="3">
        <v>19.98</v>
      </c>
      <c r="AA568" s="3">
        <v>0</v>
      </c>
      <c r="AB568" s="3" t="s">
        <v>5223</v>
      </c>
      <c r="AC568" s="3">
        <v>4</v>
      </c>
      <c r="AD568" s="3">
        <v>22.98</v>
      </c>
      <c r="AE568" s="3">
        <v>0</v>
      </c>
      <c r="AF568" s="3">
        <v>0</v>
      </c>
      <c r="AG568" s="3">
        <v>0</v>
      </c>
      <c r="AH568" s="3">
        <v>2</v>
      </c>
      <c r="AI568" s="3" t="s">
        <v>5420</v>
      </c>
      <c r="AJ568" s="3" t="s">
        <v>5222</v>
      </c>
    </row>
    <row r="569" spans="1:36">
      <c r="A569" s="5">
        <v>43288</v>
      </c>
      <c r="B569" s="3" t="s">
        <v>497</v>
      </c>
      <c r="C569" s="3" t="s">
        <v>340</v>
      </c>
      <c r="D569" s="3" t="s">
        <v>340</v>
      </c>
      <c r="E569" s="3" t="s">
        <v>468</v>
      </c>
      <c r="F569" s="3" t="s">
        <v>120</v>
      </c>
      <c r="G569" s="3">
        <v>8</v>
      </c>
      <c r="H569" s="3">
        <v>0</v>
      </c>
      <c r="I569" s="3">
        <v>2</v>
      </c>
      <c r="J569" s="3">
        <v>6</v>
      </c>
      <c r="K569" s="3">
        <v>0</v>
      </c>
      <c r="L569" s="3">
        <v>0</v>
      </c>
      <c r="M569" s="3">
        <v>0</v>
      </c>
      <c r="N569" s="3" t="s">
        <v>5218</v>
      </c>
      <c r="O569" s="3">
        <v>6</v>
      </c>
      <c r="P569" s="3">
        <v>4.12</v>
      </c>
      <c r="Q569" s="3">
        <v>0</v>
      </c>
      <c r="R569" s="3">
        <v>0</v>
      </c>
      <c r="S569" s="3">
        <v>0</v>
      </c>
      <c r="T569" s="3">
        <v>0</v>
      </c>
      <c r="U569" s="3">
        <v>1</v>
      </c>
      <c r="V569" s="3">
        <v>2</v>
      </c>
      <c r="W569" s="3" t="s">
        <v>5227</v>
      </c>
      <c r="X569" s="3">
        <v>26.98</v>
      </c>
      <c r="Y569" s="3">
        <v>26.98</v>
      </c>
      <c r="Z569" s="3">
        <v>26.98</v>
      </c>
      <c r="AA569" s="3">
        <v>0</v>
      </c>
      <c r="AB569" s="3" t="s">
        <v>5223</v>
      </c>
      <c r="AC569" s="3">
        <v>8</v>
      </c>
      <c r="AD569" s="3">
        <v>26.98</v>
      </c>
      <c r="AE569" s="3">
        <v>0</v>
      </c>
      <c r="AF569" s="3">
        <v>0</v>
      </c>
      <c r="AG569" s="3">
        <v>0</v>
      </c>
      <c r="AH569" s="3">
        <v>0.242424242424242</v>
      </c>
      <c r="AI569" s="3" t="s">
        <v>5224</v>
      </c>
      <c r="AJ569" s="3" t="s">
        <v>5222</v>
      </c>
    </row>
    <row r="570" spans="1:36">
      <c r="A570" s="5">
        <v>43288</v>
      </c>
      <c r="B570" s="3" t="s">
        <v>190</v>
      </c>
      <c r="C570" s="3" t="s">
        <v>191</v>
      </c>
      <c r="D570" s="3" t="s">
        <v>191</v>
      </c>
      <c r="E570" s="3" t="s">
        <v>192</v>
      </c>
      <c r="F570" s="3" t="s">
        <v>120</v>
      </c>
      <c r="G570" s="3">
        <v>1</v>
      </c>
      <c r="H570" s="3">
        <v>0</v>
      </c>
      <c r="I570" s="3">
        <v>0</v>
      </c>
      <c r="J570" s="3">
        <v>1</v>
      </c>
      <c r="K570" s="3">
        <v>0</v>
      </c>
      <c r="L570" s="3">
        <v>0</v>
      </c>
      <c r="M570" s="3">
        <v>0</v>
      </c>
      <c r="N570" s="3" t="s">
        <v>5218</v>
      </c>
      <c r="O570" s="3">
        <v>1</v>
      </c>
      <c r="P570" s="3">
        <v>7.95</v>
      </c>
      <c r="Q570" s="3">
        <v>0</v>
      </c>
      <c r="R570" s="3">
        <v>0</v>
      </c>
      <c r="S570" s="3">
        <v>0</v>
      </c>
      <c r="T570" s="3">
        <v>0</v>
      </c>
      <c r="U570" s="3">
        <v>1</v>
      </c>
      <c r="V570" s="3">
        <v>1</v>
      </c>
      <c r="W570" s="3" t="s">
        <v>5219</v>
      </c>
      <c r="X570" s="3">
        <v>65.98</v>
      </c>
      <c r="Y570" s="3">
        <v>65.98</v>
      </c>
      <c r="Z570" s="3">
        <v>65.98</v>
      </c>
      <c r="AA570" s="3">
        <v>0</v>
      </c>
      <c r="AB570" s="3" t="s">
        <v>5220</v>
      </c>
      <c r="AC570" s="3">
        <v>0</v>
      </c>
      <c r="AD570" s="3">
        <v>58.27</v>
      </c>
      <c r="AE570" s="3">
        <v>35</v>
      </c>
      <c r="AF570" s="3">
        <v>0</v>
      </c>
      <c r="AG570" s="3">
        <v>97.131128</v>
      </c>
      <c r="AH570" s="3">
        <v>0.666666666666666</v>
      </c>
      <c r="AI570" s="3" t="s">
        <v>5421</v>
      </c>
      <c r="AJ570" s="3" t="s">
        <v>5222</v>
      </c>
    </row>
    <row r="571" spans="1:36">
      <c r="A571" s="5">
        <v>43288</v>
      </c>
      <c r="B571" s="3" t="s">
        <v>4324</v>
      </c>
      <c r="C571" s="3" t="s">
        <v>4325</v>
      </c>
      <c r="D571" s="3" t="s">
        <v>4325</v>
      </c>
      <c r="E571" s="3" t="s">
        <v>4326</v>
      </c>
      <c r="F571" s="3" t="s">
        <v>120</v>
      </c>
      <c r="G571" s="3">
        <v>7</v>
      </c>
      <c r="H571" s="3">
        <v>0</v>
      </c>
      <c r="I571" s="3">
        <v>7</v>
      </c>
      <c r="J571" s="3">
        <v>0</v>
      </c>
      <c r="K571" s="3">
        <v>0</v>
      </c>
      <c r="L571" s="3">
        <v>0</v>
      </c>
      <c r="M571" s="3">
        <v>0</v>
      </c>
      <c r="N571" s="3" t="s">
        <v>5218</v>
      </c>
      <c r="O571" s="3">
        <v>0</v>
      </c>
      <c r="P571" s="3">
        <v>0</v>
      </c>
      <c r="Q571" s="3">
        <v>0</v>
      </c>
      <c r="R571" s="3">
        <v>0</v>
      </c>
      <c r="S571" s="3">
        <v>0</v>
      </c>
      <c r="T571" s="3">
        <v>5</v>
      </c>
      <c r="U571" s="3">
        <v>6</v>
      </c>
      <c r="V571" s="3">
        <v>8</v>
      </c>
      <c r="W571" s="3"/>
      <c r="X571" s="3">
        <v>23.98</v>
      </c>
      <c r="Y571" s="3">
        <v>23.98</v>
      </c>
      <c r="Z571" s="3">
        <v>23.98</v>
      </c>
      <c r="AA571" s="3">
        <v>0</v>
      </c>
      <c r="AB571" s="3" t="s">
        <v>5223</v>
      </c>
      <c r="AC571" s="3">
        <v>7</v>
      </c>
      <c r="AD571" s="3">
        <v>23.98</v>
      </c>
      <c r="AE571" s="3">
        <v>0</v>
      </c>
      <c r="AF571" s="3">
        <v>0</v>
      </c>
      <c r="AG571" s="3">
        <v>0</v>
      </c>
      <c r="AH571" s="3">
        <v>1.03225806451612</v>
      </c>
      <c r="AI571" s="3" t="s">
        <v>5422</v>
      </c>
      <c r="AJ571" s="3" t="s">
        <v>5222</v>
      </c>
    </row>
    <row r="572" spans="1:36">
      <c r="A572" s="5">
        <v>43288</v>
      </c>
      <c r="B572" s="3" t="s">
        <v>4177</v>
      </c>
      <c r="C572" s="3" t="s">
        <v>4178</v>
      </c>
      <c r="D572" s="3" t="s">
        <v>4178</v>
      </c>
      <c r="E572" s="3" t="s">
        <v>4179</v>
      </c>
      <c r="F572" s="3" t="s">
        <v>120</v>
      </c>
      <c r="G572" s="3">
        <v>1</v>
      </c>
      <c r="H572" s="3">
        <v>0</v>
      </c>
      <c r="I572" s="3">
        <v>1</v>
      </c>
      <c r="J572" s="3">
        <v>0</v>
      </c>
      <c r="K572" s="3">
        <v>0</v>
      </c>
      <c r="L572" s="3">
        <v>0</v>
      </c>
      <c r="M572" s="3">
        <v>0</v>
      </c>
      <c r="N572" s="3" t="s">
        <v>5218</v>
      </c>
      <c r="O572" s="3">
        <v>0</v>
      </c>
      <c r="P572" s="3">
        <v>0</v>
      </c>
      <c r="Q572" s="3">
        <v>0</v>
      </c>
      <c r="R572" s="3">
        <v>0</v>
      </c>
      <c r="S572" s="3">
        <v>0</v>
      </c>
      <c r="T572" s="3">
        <v>0</v>
      </c>
      <c r="U572" s="3">
        <v>0</v>
      </c>
      <c r="V572" s="3">
        <v>0</v>
      </c>
      <c r="W572" s="3" t="s">
        <v>5219</v>
      </c>
      <c r="X572" s="3">
        <v>22.98</v>
      </c>
      <c r="Y572" s="3">
        <v>22.98</v>
      </c>
      <c r="Z572" s="3">
        <v>22.98</v>
      </c>
      <c r="AA572" s="3">
        <v>0</v>
      </c>
      <c r="AB572" s="3" t="s">
        <v>5220</v>
      </c>
      <c r="AC572" s="3">
        <v>1</v>
      </c>
      <c r="AD572" s="3">
        <v>22.98</v>
      </c>
      <c r="AE572" s="3">
        <v>0</v>
      </c>
      <c r="AF572" s="3">
        <v>0</v>
      </c>
      <c r="AG572" s="3">
        <v>0</v>
      </c>
      <c r="AH572" s="3">
        <v>0</v>
      </c>
      <c r="AI572" s="3" t="s">
        <v>5423</v>
      </c>
      <c r="AJ572" s="3" t="s">
        <v>5222</v>
      </c>
    </row>
    <row r="573" spans="1:36">
      <c r="A573" s="5">
        <v>43288</v>
      </c>
      <c r="B573" s="3" t="s">
        <v>661</v>
      </c>
      <c r="C573" s="3" t="s">
        <v>662</v>
      </c>
      <c r="D573" s="3" t="s">
        <v>662</v>
      </c>
      <c r="E573" s="3" t="s">
        <v>663</v>
      </c>
      <c r="F573" s="3" t="s">
        <v>120</v>
      </c>
      <c r="G573" s="3">
        <v>10</v>
      </c>
      <c r="H573" s="3">
        <v>0</v>
      </c>
      <c r="I573" s="3">
        <v>10</v>
      </c>
      <c r="J573" s="3">
        <v>0</v>
      </c>
      <c r="K573" s="3">
        <v>0</v>
      </c>
      <c r="L573" s="3">
        <v>0</v>
      </c>
      <c r="M573" s="3">
        <v>0</v>
      </c>
      <c r="N573" s="3" t="s">
        <v>5218</v>
      </c>
      <c r="O573" s="3">
        <v>0</v>
      </c>
      <c r="P573" s="3">
        <v>0</v>
      </c>
      <c r="Q573" s="3">
        <v>0</v>
      </c>
      <c r="R573" s="3">
        <v>0</v>
      </c>
      <c r="S573" s="3">
        <v>0</v>
      </c>
      <c r="T573" s="3">
        <v>1</v>
      </c>
      <c r="U573" s="3">
        <v>3</v>
      </c>
      <c r="V573" s="3">
        <v>4</v>
      </c>
      <c r="W573" s="3"/>
      <c r="X573" s="3">
        <v>24.98</v>
      </c>
      <c r="Y573" s="3">
        <v>24.98</v>
      </c>
      <c r="Z573" s="3">
        <v>24.98</v>
      </c>
      <c r="AA573" s="3">
        <v>0</v>
      </c>
      <c r="AB573" s="3" t="s">
        <v>5223</v>
      </c>
      <c r="AC573" s="3">
        <v>10</v>
      </c>
      <c r="AD573" s="3">
        <v>24.98</v>
      </c>
      <c r="AE573" s="3">
        <v>0</v>
      </c>
      <c r="AF573" s="3">
        <v>0</v>
      </c>
      <c r="AG573" s="3">
        <v>0</v>
      </c>
      <c r="AH573" s="3">
        <v>0.888888888888888</v>
      </c>
      <c r="AI573" s="3" t="s">
        <v>5250</v>
      </c>
      <c r="AJ573" s="3" t="s">
        <v>5222</v>
      </c>
    </row>
    <row r="574" spans="1:36">
      <c r="A574" s="5">
        <v>43288</v>
      </c>
      <c r="B574" s="3" t="s">
        <v>4548</v>
      </c>
      <c r="C574" s="3" t="s">
        <v>3903</v>
      </c>
      <c r="D574" s="3" t="s">
        <v>3903</v>
      </c>
      <c r="E574" s="3" t="s">
        <v>3904</v>
      </c>
      <c r="F574" s="3" t="s">
        <v>120</v>
      </c>
      <c r="G574" s="3">
        <v>3</v>
      </c>
      <c r="H574" s="3">
        <v>0</v>
      </c>
      <c r="I574" s="3">
        <v>1</v>
      </c>
      <c r="J574" s="3">
        <v>2</v>
      </c>
      <c r="K574" s="3">
        <v>0</v>
      </c>
      <c r="L574" s="3">
        <v>0</v>
      </c>
      <c r="M574" s="3">
        <v>0</v>
      </c>
      <c r="N574" s="3" t="s">
        <v>5218</v>
      </c>
      <c r="O574" s="3">
        <v>2</v>
      </c>
      <c r="P574" s="3">
        <v>2.98</v>
      </c>
      <c r="Q574" s="3">
        <v>0</v>
      </c>
      <c r="R574" s="3">
        <v>0</v>
      </c>
      <c r="S574" s="3">
        <v>0</v>
      </c>
      <c r="T574" s="3">
        <v>0</v>
      </c>
      <c r="U574" s="3">
        <v>0</v>
      </c>
      <c r="V574" s="3">
        <v>0</v>
      </c>
      <c r="W574" s="3" t="s">
        <v>5227</v>
      </c>
      <c r="X574" s="3">
        <v>26.98</v>
      </c>
      <c r="Y574" s="3">
        <v>26.98</v>
      </c>
      <c r="Z574" s="3">
        <v>26.98</v>
      </c>
      <c r="AA574" s="3">
        <v>0</v>
      </c>
      <c r="AB574" s="3" t="s">
        <v>5228</v>
      </c>
      <c r="AC574" s="3">
        <v>0</v>
      </c>
      <c r="AD574" s="3">
        <v>24.52</v>
      </c>
      <c r="AE574" s="3">
        <v>133</v>
      </c>
      <c r="AF574" s="3">
        <v>0</v>
      </c>
      <c r="AG574" s="3">
        <v>82.770309</v>
      </c>
      <c r="AH574" s="3">
        <v>0</v>
      </c>
      <c r="AI574" s="3" t="s">
        <v>5249</v>
      </c>
      <c r="AJ574" s="3" t="s">
        <v>5222</v>
      </c>
    </row>
    <row r="575" spans="1:36">
      <c r="A575" s="5">
        <v>43288</v>
      </c>
      <c r="B575" s="3" t="s">
        <v>1989</v>
      </c>
      <c r="C575" s="3" t="s">
        <v>156</v>
      </c>
      <c r="D575" s="3" t="s">
        <v>156</v>
      </c>
      <c r="E575" s="3" t="s">
        <v>1990</v>
      </c>
      <c r="F575" s="3" t="s">
        <v>120</v>
      </c>
      <c r="G575" s="3">
        <v>56</v>
      </c>
      <c r="H575" s="3">
        <v>0</v>
      </c>
      <c r="I575" s="3">
        <v>2</v>
      </c>
      <c r="J575" s="3">
        <v>1</v>
      </c>
      <c r="K575" s="3">
        <v>53</v>
      </c>
      <c r="L575" s="3">
        <v>0</v>
      </c>
      <c r="M575" s="3">
        <v>0</v>
      </c>
      <c r="N575" s="3" t="s">
        <v>5218</v>
      </c>
      <c r="O575" s="3">
        <v>54</v>
      </c>
      <c r="P575" s="3">
        <v>101.01</v>
      </c>
      <c r="Q575" s="3">
        <v>0</v>
      </c>
      <c r="R575" s="3">
        <v>0</v>
      </c>
      <c r="S575" s="3">
        <v>10</v>
      </c>
      <c r="T575" s="3">
        <v>11</v>
      </c>
      <c r="U575" s="3">
        <v>15</v>
      </c>
      <c r="V575" s="3">
        <v>17</v>
      </c>
      <c r="W575" s="3"/>
      <c r="X575" s="3">
        <v>19.98</v>
      </c>
      <c r="Y575" s="3">
        <v>19.98</v>
      </c>
      <c r="Z575" s="3">
        <v>19.98</v>
      </c>
      <c r="AA575" s="3">
        <v>0</v>
      </c>
      <c r="AB575" s="3" t="s">
        <v>5223</v>
      </c>
      <c r="AC575" s="3">
        <v>0</v>
      </c>
      <c r="AD575" s="3">
        <v>19.98</v>
      </c>
      <c r="AE575" s="3">
        <v>63</v>
      </c>
      <c r="AF575" s="3">
        <v>0</v>
      </c>
      <c r="AG575" s="3">
        <v>1304.718309</v>
      </c>
      <c r="AH575" s="3">
        <v>0.25563909774436</v>
      </c>
      <c r="AI575" s="3" t="s">
        <v>5270</v>
      </c>
      <c r="AJ575" s="3" t="s">
        <v>5222</v>
      </c>
    </row>
    <row r="576" spans="1:36">
      <c r="A576" s="5">
        <v>43288</v>
      </c>
      <c r="B576" s="3" t="s">
        <v>4390</v>
      </c>
      <c r="C576" s="3" t="s">
        <v>3414</v>
      </c>
      <c r="D576" s="3" t="s">
        <v>3414</v>
      </c>
      <c r="E576" s="3" t="s">
        <v>3415</v>
      </c>
      <c r="F576" s="3" t="s">
        <v>120</v>
      </c>
      <c r="G576" s="3">
        <v>1</v>
      </c>
      <c r="H576" s="3">
        <v>0</v>
      </c>
      <c r="I576" s="3">
        <v>1</v>
      </c>
      <c r="J576" s="3">
        <v>0</v>
      </c>
      <c r="K576" s="3">
        <v>0</v>
      </c>
      <c r="L576" s="3">
        <v>0</v>
      </c>
      <c r="M576" s="3">
        <v>0</v>
      </c>
      <c r="N576" s="3" t="s">
        <v>5218</v>
      </c>
      <c r="O576" s="3">
        <v>0</v>
      </c>
      <c r="P576" s="3">
        <v>0</v>
      </c>
      <c r="Q576" s="3">
        <v>0</v>
      </c>
      <c r="R576" s="3">
        <v>0</v>
      </c>
      <c r="S576" s="3">
        <v>1</v>
      </c>
      <c r="T576" s="3">
        <v>4</v>
      </c>
      <c r="U576" s="3">
        <v>4</v>
      </c>
      <c r="V576" s="3">
        <v>4</v>
      </c>
      <c r="W576" s="3"/>
      <c r="X576" s="3">
        <v>22.98</v>
      </c>
      <c r="Y576" s="3">
        <v>22.98</v>
      </c>
      <c r="Z576" s="3">
        <v>22.98</v>
      </c>
      <c r="AA576" s="3">
        <v>0</v>
      </c>
      <c r="AB576" s="3" t="s">
        <v>5223</v>
      </c>
      <c r="AC576" s="3">
        <v>2</v>
      </c>
      <c r="AD576" s="3">
        <v>22.98</v>
      </c>
      <c r="AE576" s="3">
        <v>0</v>
      </c>
      <c r="AF576" s="3">
        <v>0</v>
      </c>
      <c r="AG576" s="3">
        <v>0</v>
      </c>
      <c r="AH576" s="3">
        <v>1.45454545454545</v>
      </c>
      <c r="AI576" s="3" t="s">
        <v>5424</v>
      </c>
      <c r="AJ576" s="3" t="s">
        <v>5222</v>
      </c>
    </row>
    <row r="577" spans="1:36">
      <c r="A577" s="5">
        <v>43288</v>
      </c>
      <c r="B577" s="3" t="s">
        <v>2183</v>
      </c>
      <c r="C577" s="3" t="s">
        <v>2184</v>
      </c>
      <c r="D577" s="3" t="s">
        <v>2184</v>
      </c>
      <c r="E577" s="3" t="s">
        <v>2185</v>
      </c>
      <c r="F577" s="3" t="s">
        <v>120</v>
      </c>
      <c r="G577" s="3">
        <v>3</v>
      </c>
      <c r="H577" s="3">
        <v>0</v>
      </c>
      <c r="I577" s="3">
        <v>0</v>
      </c>
      <c r="J577" s="3">
        <v>3</v>
      </c>
      <c r="K577" s="3">
        <v>0</v>
      </c>
      <c r="L577" s="3">
        <v>0</v>
      </c>
      <c r="M577" s="3">
        <v>0</v>
      </c>
      <c r="N577" s="3" t="s">
        <v>5218</v>
      </c>
      <c r="O577" s="3">
        <v>0</v>
      </c>
      <c r="P577" s="3">
        <v>0</v>
      </c>
      <c r="Q577" s="3">
        <v>0</v>
      </c>
      <c r="R577" s="3">
        <v>0</v>
      </c>
      <c r="S577" s="3">
        <v>1</v>
      </c>
      <c r="T577" s="3">
        <v>4</v>
      </c>
      <c r="U577" s="3">
        <v>6</v>
      </c>
      <c r="V577" s="3">
        <v>12</v>
      </c>
      <c r="W577" s="3"/>
      <c r="X577" s="3">
        <v>22.98</v>
      </c>
      <c r="Y577" s="3">
        <v>22.98</v>
      </c>
      <c r="Z577" s="3">
        <v>22</v>
      </c>
      <c r="AA577" s="3">
        <v>0</v>
      </c>
      <c r="AB577" s="3" t="s">
        <v>5223</v>
      </c>
      <c r="AC577" s="3">
        <v>4</v>
      </c>
      <c r="AD577" s="3">
        <v>22.98</v>
      </c>
      <c r="AE577" s="3">
        <v>0</v>
      </c>
      <c r="AF577" s="3">
        <v>0</v>
      </c>
      <c r="AG577" s="3">
        <v>0</v>
      </c>
      <c r="AH577" s="3">
        <v>1.41176470588235</v>
      </c>
      <c r="AI577" s="3" t="s">
        <v>5260</v>
      </c>
      <c r="AJ577" s="3" t="s">
        <v>5222</v>
      </c>
    </row>
    <row r="578" spans="1:36">
      <c r="A578" s="5">
        <v>43288</v>
      </c>
      <c r="B578" s="3" t="s">
        <v>1260</v>
      </c>
      <c r="C578" s="3" t="s">
        <v>1261</v>
      </c>
      <c r="D578" s="3" t="s">
        <v>547</v>
      </c>
      <c r="E578" s="3" t="s">
        <v>794</v>
      </c>
      <c r="F578" s="3" t="s">
        <v>120</v>
      </c>
      <c r="G578" s="3">
        <v>24</v>
      </c>
      <c r="H578" s="3">
        <v>0</v>
      </c>
      <c r="I578" s="3">
        <v>24</v>
      </c>
      <c r="J578" s="3">
        <v>0</v>
      </c>
      <c r="K578" s="3">
        <v>0</v>
      </c>
      <c r="L578" s="3">
        <v>0</v>
      </c>
      <c r="M578" s="3">
        <v>0</v>
      </c>
      <c r="N578" s="3" t="s">
        <v>5218</v>
      </c>
      <c r="O578" s="3">
        <v>0</v>
      </c>
      <c r="P578" s="3">
        <v>0</v>
      </c>
      <c r="Q578" s="3">
        <v>0</v>
      </c>
      <c r="R578" s="3">
        <v>0</v>
      </c>
      <c r="S578" s="3">
        <v>0</v>
      </c>
      <c r="T578" s="3">
        <v>0</v>
      </c>
      <c r="U578" s="3">
        <v>0</v>
      </c>
      <c r="V578" s="3">
        <v>0</v>
      </c>
      <c r="W578" s="3" t="s">
        <v>5227</v>
      </c>
      <c r="X578" s="3">
        <v>22.98</v>
      </c>
      <c r="Y578" s="3">
        <v>22.98</v>
      </c>
      <c r="Z578" s="3">
        <v>22.98</v>
      </c>
      <c r="AA578" s="3">
        <v>0</v>
      </c>
      <c r="AB578" s="3" t="s">
        <v>5223</v>
      </c>
      <c r="AC578" s="3">
        <v>24</v>
      </c>
      <c r="AD578" s="3">
        <v>22.98</v>
      </c>
      <c r="AE578" s="3">
        <v>0</v>
      </c>
      <c r="AF578" s="3">
        <v>0</v>
      </c>
      <c r="AG578" s="3">
        <v>0</v>
      </c>
      <c r="AH578" s="3">
        <v>0.357142857142857</v>
      </c>
      <c r="AI578" s="3" t="s">
        <v>5225</v>
      </c>
      <c r="AJ578" s="3" t="s">
        <v>5222</v>
      </c>
    </row>
    <row r="579" spans="1:36">
      <c r="A579" s="5">
        <v>43288</v>
      </c>
      <c r="B579" s="3" t="s">
        <v>4589</v>
      </c>
      <c r="C579" s="3" t="s">
        <v>4079</v>
      </c>
      <c r="D579" s="3" t="s">
        <v>4079</v>
      </c>
      <c r="E579" s="3" t="s">
        <v>4080</v>
      </c>
      <c r="F579" s="3" t="s">
        <v>120</v>
      </c>
      <c r="G579" s="3">
        <v>7</v>
      </c>
      <c r="H579" s="3">
        <v>0</v>
      </c>
      <c r="I579" s="3">
        <v>6</v>
      </c>
      <c r="J579" s="3">
        <v>1</v>
      </c>
      <c r="K579" s="3">
        <v>0</v>
      </c>
      <c r="L579" s="3">
        <v>0</v>
      </c>
      <c r="M579" s="3">
        <v>0</v>
      </c>
      <c r="N579" s="3" t="s">
        <v>5218</v>
      </c>
      <c r="O579" s="3">
        <v>1</v>
      </c>
      <c r="P579" s="3">
        <v>0.94</v>
      </c>
      <c r="Q579" s="3">
        <v>0</v>
      </c>
      <c r="R579" s="3">
        <v>0</v>
      </c>
      <c r="S579" s="3">
        <v>0</v>
      </c>
      <c r="T579" s="3">
        <v>0</v>
      </c>
      <c r="U579" s="3">
        <v>0</v>
      </c>
      <c r="V579" s="3">
        <v>2</v>
      </c>
      <c r="W579" s="3" t="s">
        <v>5227</v>
      </c>
      <c r="X579" s="3">
        <v>20.98</v>
      </c>
      <c r="Y579" s="3">
        <v>20.98</v>
      </c>
      <c r="Z579" s="3">
        <v>20.98</v>
      </c>
      <c r="AA579" s="3">
        <v>0</v>
      </c>
      <c r="AB579" s="3" t="s">
        <v>5228</v>
      </c>
      <c r="AC579" s="3">
        <v>2</v>
      </c>
      <c r="AD579" s="3">
        <v>19.45</v>
      </c>
      <c r="AE579" s="3">
        <v>105</v>
      </c>
      <c r="AF579" s="3">
        <v>0</v>
      </c>
      <c r="AG579" s="3">
        <v>133.24552</v>
      </c>
      <c r="AH579" s="3">
        <v>0.444444444444444</v>
      </c>
      <c r="AI579" s="3" t="s">
        <v>5226</v>
      </c>
      <c r="AJ579" s="3" t="s">
        <v>5222</v>
      </c>
    </row>
    <row r="580" spans="1:36">
      <c r="A580" s="5">
        <v>43288</v>
      </c>
      <c r="B580" s="3" t="s">
        <v>2945</v>
      </c>
      <c r="C580" s="3" t="s">
        <v>1380</v>
      </c>
      <c r="D580" s="3" t="s">
        <v>1380</v>
      </c>
      <c r="E580" s="3" t="s">
        <v>1381</v>
      </c>
      <c r="F580" s="3" t="s">
        <v>120</v>
      </c>
      <c r="G580" s="3">
        <v>4</v>
      </c>
      <c r="H580" s="3">
        <v>0</v>
      </c>
      <c r="I580" s="3">
        <v>4</v>
      </c>
      <c r="J580" s="3">
        <v>0</v>
      </c>
      <c r="K580" s="3">
        <v>0</v>
      </c>
      <c r="L580" s="3">
        <v>0</v>
      </c>
      <c r="M580" s="3">
        <v>0</v>
      </c>
      <c r="N580" s="3" t="s">
        <v>5218</v>
      </c>
      <c r="O580" s="3">
        <v>0</v>
      </c>
      <c r="P580" s="3">
        <v>0</v>
      </c>
      <c r="Q580" s="3">
        <v>0</v>
      </c>
      <c r="R580" s="3">
        <v>0</v>
      </c>
      <c r="S580" s="3">
        <v>11</v>
      </c>
      <c r="T580" s="3">
        <v>37</v>
      </c>
      <c r="U580" s="3">
        <v>37</v>
      </c>
      <c r="V580" s="3">
        <v>37</v>
      </c>
      <c r="W580" s="3"/>
      <c r="X580" s="3">
        <v>22.98</v>
      </c>
      <c r="Y580" s="3">
        <v>22.98</v>
      </c>
      <c r="Z580" s="3">
        <v>22.98</v>
      </c>
      <c r="AA580" s="3">
        <v>0</v>
      </c>
      <c r="AB580" s="3" t="s">
        <v>5223</v>
      </c>
      <c r="AC580" s="3">
        <v>17</v>
      </c>
      <c r="AD580" s="3">
        <v>22.98</v>
      </c>
      <c r="AE580" s="3">
        <v>0</v>
      </c>
      <c r="AF580" s="3">
        <v>0</v>
      </c>
      <c r="AG580" s="3">
        <v>0</v>
      </c>
      <c r="AH580" s="3">
        <v>1.68181818181818</v>
      </c>
      <c r="AI580" s="3" t="s">
        <v>5236</v>
      </c>
      <c r="AJ580" s="3" t="s">
        <v>5222</v>
      </c>
    </row>
    <row r="581" spans="1:36">
      <c r="A581" s="5">
        <v>43288</v>
      </c>
      <c r="B581" s="3" t="s">
        <v>2256</v>
      </c>
      <c r="C581" s="3" t="s">
        <v>1030</v>
      </c>
      <c r="D581" s="3" t="s">
        <v>1030</v>
      </c>
      <c r="E581" s="3" t="s">
        <v>1031</v>
      </c>
      <c r="F581" s="3" t="s">
        <v>120</v>
      </c>
      <c r="G581" s="3">
        <v>1</v>
      </c>
      <c r="H581" s="3">
        <v>0</v>
      </c>
      <c r="I581" s="3">
        <v>1</v>
      </c>
      <c r="J581" s="3">
        <v>0</v>
      </c>
      <c r="K581" s="3">
        <v>0</v>
      </c>
      <c r="L581" s="3">
        <v>0</v>
      </c>
      <c r="M581" s="3">
        <v>0</v>
      </c>
      <c r="N581" s="3" t="s">
        <v>5218</v>
      </c>
      <c r="O581" s="3">
        <v>0</v>
      </c>
      <c r="P581" s="3">
        <v>0</v>
      </c>
      <c r="Q581" s="3">
        <v>0</v>
      </c>
      <c r="R581" s="3">
        <v>0</v>
      </c>
      <c r="S581" s="3">
        <v>0</v>
      </c>
      <c r="T581" s="3">
        <v>0</v>
      </c>
      <c r="U581" s="3">
        <v>1</v>
      </c>
      <c r="V581" s="3">
        <v>1</v>
      </c>
      <c r="W581" s="3"/>
      <c r="X581" s="3"/>
      <c r="Y581" s="3"/>
      <c r="Z581" s="3">
        <v>-1</v>
      </c>
      <c r="AA581" s="3">
        <v>-1</v>
      </c>
      <c r="AB581" s="3" t="s">
        <v>5244</v>
      </c>
      <c r="AC581" s="3">
        <v>0</v>
      </c>
      <c r="AD581" s="3">
        <v>0</v>
      </c>
      <c r="AE581" s="3">
        <v>0</v>
      </c>
      <c r="AF581" s="3">
        <v>0</v>
      </c>
      <c r="AG581" s="3">
        <v>0</v>
      </c>
      <c r="AH581" s="3">
        <v>1.33333333333333</v>
      </c>
      <c r="AI581" s="3" t="s">
        <v>5313</v>
      </c>
      <c r="AJ581" s="3" t="s">
        <v>5222</v>
      </c>
    </row>
    <row r="582" spans="1:36">
      <c r="A582" s="5">
        <v>43288</v>
      </c>
      <c r="B582" s="3" t="s">
        <v>4504</v>
      </c>
      <c r="C582" s="3" t="s">
        <v>3743</v>
      </c>
      <c r="D582" s="3" t="s">
        <v>3743</v>
      </c>
      <c r="E582" s="3" t="s">
        <v>3744</v>
      </c>
      <c r="F582" s="3" t="s">
        <v>120</v>
      </c>
      <c r="G582" s="3">
        <v>4</v>
      </c>
      <c r="H582" s="3">
        <v>0</v>
      </c>
      <c r="I582" s="3">
        <v>0</v>
      </c>
      <c r="J582" s="3">
        <v>0</v>
      </c>
      <c r="K582" s="3">
        <v>4</v>
      </c>
      <c r="L582" s="3">
        <v>0</v>
      </c>
      <c r="M582" s="3">
        <v>0</v>
      </c>
      <c r="N582" s="3" t="s">
        <v>5218</v>
      </c>
      <c r="O582" s="3">
        <v>4</v>
      </c>
      <c r="P582" s="3">
        <v>3.98</v>
      </c>
      <c r="Q582" s="3">
        <v>0</v>
      </c>
      <c r="R582" s="3">
        <v>0</v>
      </c>
      <c r="S582" s="3">
        <v>0</v>
      </c>
      <c r="T582" s="3">
        <v>0</v>
      </c>
      <c r="U582" s="3">
        <v>0</v>
      </c>
      <c r="V582" s="3">
        <v>0</v>
      </c>
      <c r="W582" s="3" t="s">
        <v>5227</v>
      </c>
      <c r="X582" s="3">
        <v>24.98</v>
      </c>
      <c r="Y582" s="3">
        <v>24.98</v>
      </c>
      <c r="Z582" s="3">
        <v>24.98</v>
      </c>
      <c r="AA582" s="3">
        <v>0</v>
      </c>
      <c r="AB582" s="3" t="s">
        <v>5223</v>
      </c>
      <c r="AC582" s="3">
        <v>4</v>
      </c>
      <c r="AD582" s="3">
        <v>24.98</v>
      </c>
      <c r="AE582" s="3">
        <v>0</v>
      </c>
      <c r="AF582" s="3">
        <v>0</v>
      </c>
      <c r="AG582" s="3">
        <v>0</v>
      </c>
      <c r="AH582" s="3">
        <v>0</v>
      </c>
      <c r="AI582" s="3" t="s">
        <v>5263</v>
      </c>
      <c r="AJ582" s="3" t="s">
        <v>5222</v>
      </c>
    </row>
    <row r="583" spans="1:36">
      <c r="A583" s="5">
        <v>43288</v>
      </c>
      <c r="B583" s="3" t="s">
        <v>1054</v>
      </c>
      <c r="C583" s="3" t="s">
        <v>1055</v>
      </c>
      <c r="D583" s="3" t="s">
        <v>1056</v>
      </c>
      <c r="E583" s="3" t="s">
        <v>1057</v>
      </c>
      <c r="F583" s="3" t="s">
        <v>120</v>
      </c>
      <c r="G583" s="3">
        <v>16</v>
      </c>
      <c r="H583" s="3">
        <v>0</v>
      </c>
      <c r="I583" s="3">
        <v>16</v>
      </c>
      <c r="J583" s="3">
        <v>0</v>
      </c>
      <c r="K583" s="3">
        <v>0</v>
      </c>
      <c r="L583" s="3">
        <v>0</v>
      </c>
      <c r="M583" s="3">
        <v>0</v>
      </c>
      <c r="N583" s="3" t="s">
        <v>5218</v>
      </c>
      <c r="O583" s="3">
        <v>0</v>
      </c>
      <c r="P583" s="3">
        <v>0</v>
      </c>
      <c r="Q583" s="3">
        <v>0</v>
      </c>
      <c r="R583" s="3">
        <v>0</v>
      </c>
      <c r="S583" s="3">
        <v>3</v>
      </c>
      <c r="T583" s="3">
        <v>3</v>
      </c>
      <c r="U583" s="3">
        <v>3</v>
      </c>
      <c r="V583" s="3">
        <v>3</v>
      </c>
      <c r="W583" s="3"/>
      <c r="X583" s="3">
        <v>22.98</v>
      </c>
      <c r="Y583" s="3">
        <v>22.98</v>
      </c>
      <c r="Z583" s="3">
        <v>22.98</v>
      </c>
      <c r="AA583" s="3">
        <v>0</v>
      </c>
      <c r="AB583" s="3" t="s">
        <v>5223</v>
      </c>
      <c r="AC583" s="3">
        <v>10</v>
      </c>
      <c r="AD583" s="3">
        <v>22.98</v>
      </c>
      <c r="AE583" s="3">
        <v>0</v>
      </c>
      <c r="AF583" s="3">
        <v>0</v>
      </c>
      <c r="AG583" s="3">
        <v>0</v>
      </c>
      <c r="AH583" s="3">
        <v>2.33333333333333</v>
      </c>
      <c r="AI583" s="3" t="s">
        <v>5252</v>
      </c>
      <c r="AJ583" s="3" t="s">
        <v>5222</v>
      </c>
    </row>
    <row r="584" spans="1:36">
      <c r="A584" s="5">
        <v>43288</v>
      </c>
      <c r="B584" s="3" t="s">
        <v>4633</v>
      </c>
      <c r="C584" s="3" t="s">
        <v>4634</v>
      </c>
      <c r="D584" s="3" t="s">
        <v>4534</v>
      </c>
      <c r="E584" s="3" t="s">
        <v>4535</v>
      </c>
      <c r="F584" s="3" t="s">
        <v>120</v>
      </c>
      <c r="G584" s="3">
        <v>10</v>
      </c>
      <c r="H584" s="3">
        <v>0</v>
      </c>
      <c r="I584" s="3">
        <v>10</v>
      </c>
      <c r="J584" s="3">
        <v>0</v>
      </c>
      <c r="K584" s="3">
        <v>0</v>
      </c>
      <c r="L584" s="3">
        <v>0</v>
      </c>
      <c r="M584" s="3">
        <v>0</v>
      </c>
      <c r="N584" s="3" t="s">
        <v>5218</v>
      </c>
      <c r="O584" s="3">
        <v>0</v>
      </c>
      <c r="P584" s="3">
        <v>0</v>
      </c>
      <c r="Q584" s="3">
        <v>0</v>
      </c>
      <c r="R584" s="3">
        <v>0</v>
      </c>
      <c r="S584" s="3">
        <v>0</v>
      </c>
      <c r="T584" s="3">
        <v>0</v>
      </c>
      <c r="U584" s="3">
        <v>0</v>
      </c>
      <c r="V584" s="3">
        <v>0</v>
      </c>
      <c r="W584" s="3" t="s">
        <v>5227</v>
      </c>
      <c r="X584" s="3">
        <v>22.98</v>
      </c>
      <c r="Y584" s="3">
        <v>22.98</v>
      </c>
      <c r="Z584" s="3">
        <v>22.98</v>
      </c>
      <c r="AA584" s="3">
        <v>0</v>
      </c>
      <c r="AB584" s="3" t="s">
        <v>5223</v>
      </c>
      <c r="AC584" s="3">
        <v>0</v>
      </c>
      <c r="AD584" s="3">
        <v>0</v>
      </c>
      <c r="AE584" s="3">
        <v>0</v>
      </c>
      <c r="AF584" s="3">
        <v>0</v>
      </c>
      <c r="AG584" s="3">
        <v>0</v>
      </c>
      <c r="AH584" s="3">
        <v>0.574468085106383</v>
      </c>
      <c r="AI584" s="3" t="s">
        <v>5226</v>
      </c>
      <c r="AJ584" s="3" t="s">
        <v>5222</v>
      </c>
    </row>
    <row r="585" spans="1:36">
      <c r="A585" s="5">
        <v>43288</v>
      </c>
      <c r="B585" s="3" t="s">
        <v>1098</v>
      </c>
      <c r="C585" s="3" t="s">
        <v>1099</v>
      </c>
      <c r="D585" s="3" t="s">
        <v>1100</v>
      </c>
      <c r="E585" s="3" t="s">
        <v>1101</v>
      </c>
      <c r="F585" s="3" t="s">
        <v>120</v>
      </c>
      <c r="G585" s="3">
        <v>23</v>
      </c>
      <c r="H585" s="3">
        <v>0</v>
      </c>
      <c r="I585" s="3">
        <v>23</v>
      </c>
      <c r="J585" s="3">
        <v>0</v>
      </c>
      <c r="K585" s="3">
        <v>0</v>
      </c>
      <c r="L585" s="3">
        <v>0</v>
      </c>
      <c r="M585" s="3">
        <v>0</v>
      </c>
      <c r="N585" s="3" t="s">
        <v>5218</v>
      </c>
      <c r="O585" s="3">
        <v>0</v>
      </c>
      <c r="P585" s="3">
        <v>0</v>
      </c>
      <c r="Q585" s="3">
        <v>0</v>
      </c>
      <c r="R585" s="3">
        <v>0</v>
      </c>
      <c r="S585" s="3">
        <v>1</v>
      </c>
      <c r="T585" s="3">
        <v>1</v>
      </c>
      <c r="U585" s="3">
        <v>1</v>
      </c>
      <c r="V585" s="3">
        <v>1</v>
      </c>
      <c r="W585" s="3"/>
      <c r="X585" s="3">
        <v>35.98</v>
      </c>
      <c r="Y585" s="3">
        <v>22.98</v>
      </c>
      <c r="Z585" s="3">
        <v>22.98</v>
      </c>
      <c r="AA585" s="3">
        <v>0</v>
      </c>
      <c r="AB585" s="3" t="s">
        <v>5228</v>
      </c>
      <c r="AC585" s="3">
        <v>1</v>
      </c>
      <c r="AD585" s="3">
        <v>18.38</v>
      </c>
      <c r="AE585" s="3">
        <v>266</v>
      </c>
      <c r="AF585" s="3">
        <v>0</v>
      </c>
      <c r="AG585" s="3">
        <v>189.92949</v>
      </c>
      <c r="AH585" s="3">
        <v>0.38095238095238</v>
      </c>
      <c r="AI585" s="3" t="s">
        <v>5238</v>
      </c>
      <c r="AJ585" s="3" t="s">
        <v>5222</v>
      </c>
    </row>
    <row r="586" spans="1:36">
      <c r="A586" s="5">
        <v>43288</v>
      </c>
      <c r="B586" s="3" t="s">
        <v>4840</v>
      </c>
      <c r="C586" s="3" t="s">
        <v>4841</v>
      </c>
      <c r="D586" s="3" t="s">
        <v>4841</v>
      </c>
      <c r="E586" s="3" t="s">
        <v>4839</v>
      </c>
      <c r="F586" s="3" t="s">
        <v>120</v>
      </c>
      <c r="G586" s="3">
        <v>7</v>
      </c>
      <c r="H586" s="3">
        <v>0</v>
      </c>
      <c r="I586" s="3">
        <v>0</v>
      </c>
      <c r="J586" s="3">
        <v>0</v>
      </c>
      <c r="K586" s="3">
        <v>7</v>
      </c>
      <c r="L586" s="3">
        <v>0</v>
      </c>
      <c r="M586" s="3">
        <v>0</v>
      </c>
      <c r="N586" s="3" t="s">
        <v>5218</v>
      </c>
      <c r="O586" s="3">
        <v>7</v>
      </c>
      <c r="P586" s="3">
        <v>16.15</v>
      </c>
      <c r="Q586" s="3">
        <v>0</v>
      </c>
      <c r="R586" s="3">
        <v>0</v>
      </c>
      <c r="S586" s="3">
        <v>0</v>
      </c>
      <c r="T586" s="3">
        <v>1</v>
      </c>
      <c r="U586" s="3">
        <v>1</v>
      </c>
      <c r="V586" s="3">
        <v>1</v>
      </c>
      <c r="W586" s="3" t="s">
        <v>5227</v>
      </c>
      <c r="X586" s="3">
        <v>15</v>
      </c>
      <c r="Y586" s="3">
        <v>15</v>
      </c>
      <c r="Z586" s="3">
        <v>15</v>
      </c>
      <c r="AA586" s="3">
        <v>0</v>
      </c>
      <c r="AB586" s="3" t="s">
        <v>5223</v>
      </c>
      <c r="AC586" s="3">
        <v>7</v>
      </c>
      <c r="AD586" s="3">
        <v>15</v>
      </c>
      <c r="AE586" s="3">
        <v>0</v>
      </c>
      <c r="AF586" s="3">
        <v>0</v>
      </c>
      <c r="AG586" s="3">
        <v>0</v>
      </c>
      <c r="AH586" s="3">
        <v>0.129032258064516</v>
      </c>
      <c r="AI586" s="3" t="s">
        <v>5245</v>
      </c>
      <c r="AJ586" s="3" t="s">
        <v>5222</v>
      </c>
    </row>
    <row r="587" spans="1:36">
      <c r="A587" s="5">
        <v>43288</v>
      </c>
      <c r="B587" s="3" t="s">
        <v>619</v>
      </c>
      <c r="C587" s="3" t="s">
        <v>620</v>
      </c>
      <c r="D587" s="3" t="s">
        <v>620</v>
      </c>
      <c r="E587" s="3" t="s">
        <v>621</v>
      </c>
      <c r="F587" s="3" t="s">
        <v>120</v>
      </c>
      <c r="G587" s="3">
        <v>10</v>
      </c>
      <c r="H587" s="3">
        <v>0</v>
      </c>
      <c r="I587" s="3">
        <v>9</v>
      </c>
      <c r="J587" s="3">
        <v>1</v>
      </c>
      <c r="K587" s="3">
        <v>0</v>
      </c>
      <c r="L587" s="3">
        <v>0</v>
      </c>
      <c r="M587" s="3">
        <v>0</v>
      </c>
      <c r="N587" s="3" t="s">
        <v>5218</v>
      </c>
      <c r="O587" s="3">
        <v>1</v>
      </c>
      <c r="P587" s="3">
        <v>1.9</v>
      </c>
      <c r="Q587" s="3">
        <v>0</v>
      </c>
      <c r="R587" s="3">
        <v>0</v>
      </c>
      <c r="S587" s="3">
        <v>0</v>
      </c>
      <c r="T587" s="3">
        <v>0</v>
      </c>
      <c r="U587" s="3">
        <v>0</v>
      </c>
      <c r="V587" s="3">
        <v>1</v>
      </c>
      <c r="W587" s="3" t="s">
        <v>5227</v>
      </c>
      <c r="X587" s="3">
        <v>24.98</v>
      </c>
      <c r="Y587" s="3">
        <v>24.98</v>
      </c>
      <c r="Z587" s="3">
        <v>24.98</v>
      </c>
      <c r="AA587" s="3">
        <v>0</v>
      </c>
      <c r="AB587" s="3" t="s">
        <v>5228</v>
      </c>
      <c r="AC587" s="3">
        <v>1</v>
      </c>
      <c r="AD587" s="3">
        <v>23.05</v>
      </c>
      <c r="AE587" s="3">
        <v>105</v>
      </c>
      <c r="AF587" s="3">
        <v>0</v>
      </c>
      <c r="AG587" s="3">
        <v>318.663682</v>
      </c>
      <c r="AH587" s="3">
        <v>0.19047619047619</v>
      </c>
      <c r="AI587" s="3" t="s">
        <v>5250</v>
      </c>
      <c r="AJ587" s="3" t="s">
        <v>5222</v>
      </c>
    </row>
    <row r="588" spans="1:36">
      <c r="A588" s="5">
        <v>43288</v>
      </c>
      <c r="B588" s="3" t="s">
        <v>473</v>
      </c>
      <c r="C588" s="3" t="s">
        <v>308</v>
      </c>
      <c r="D588" s="3" t="s">
        <v>308</v>
      </c>
      <c r="E588" s="3" t="s">
        <v>474</v>
      </c>
      <c r="F588" s="3" t="s">
        <v>120</v>
      </c>
      <c r="G588" s="3">
        <v>23</v>
      </c>
      <c r="H588" s="3">
        <v>0</v>
      </c>
      <c r="I588" s="3">
        <v>0</v>
      </c>
      <c r="J588" s="3">
        <v>23</v>
      </c>
      <c r="K588" s="3">
        <v>0</v>
      </c>
      <c r="L588" s="3">
        <v>0</v>
      </c>
      <c r="M588" s="3">
        <v>0</v>
      </c>
      <c r="N588" s="3" t="s">
        <v>5218</v>
      </c>
      <c r="O588" s="3">
        <v>8</v>
      </c>
      <c r="P588" s="3">
        <v>5.49</v>
      </c>
      <c r="Q588" s="3">
        <v>0</v>
      </c>
      <c r="R588" s="3">
        <v>0</v>
      </c>
      <c r="S588" s="3">
        <v>1</v>
      </c>
      <c r="T588" s="3">
        <v>3</v>
      </c>
      <c r="U588" s="3">
        <v>9</v>
      </c>
      <c r="V588" s="3">
        <v>10</v>
      </c>
      <c r="W588" s="3" t="s">
        <v>5219</v>
      </c>
      <c r="X588" s="3">
        <v>24.98</v>
      </c>
      <c r="Y588" s="3">
        <v>24.98</v>
      </c>
      <c r="Z588" s="3">
        <v>24.98</v>
      </c>
      <c r="AA588" s="3">
        <v>0</v>
      </c>
      <c r="AB588" s="3" t="s">
        <v>5220</v>
      </c>
      <c r="AC588" s="3">
        <v>23</v>
      </c>
      <c r="AD588" s="3">
        <v>24.98</v>
      </c>
      <c r="AE588" s="3">
        <v>0</v>
      </c>
      <c r="AF588" s="3">
        <v>0</v>
      </c>
      <c r="AG588" s="3">
        <v>0</v>
      </c>
      <c r="AH588" s="3">
        <v>0.350877192982456</v>
      </c>
      <c r="AI588" s="3" t="s">
        <v>5224</v>
      </c>
      <c r="AJ588" s="3" t="s">
        <v>5222</v>
      </c>
    </row>
    <row r="589" spans="1:36">
      <c r="A589" s="5">
        <v>43288</v>
      </c>
      <c r="B589" s="3" t="s">
        <v>4742</v>
      </c>
      <c r="C589" s="3" t="s">
        <v>4743</v>
      </c>
      <c r="D589" s="3" t="s">
        <v>4325</v>
      </c>
      <c r="E589" s="3" t="s">
        <v>4326</v>
      </c>
      <c r="F589" s="3" t="s">
        <v>120</v>
      </c>
      <c r="G589" s="3">
        <v>5</v>
      </c>
      <c r="H589" s="3">
        <v>0</v>
      </c>
      <c r="I589" s="3">
        <v>5</v>
      </c>
      <c r="J589" s="3">
        <v>0</v>
      </c>
      <c r="K589" s="3">
        <v>0</v>
      </c>
      <c r="L589" s="3">
        <v>0</v>
      </c>
      <c r="M589" s="3">
        <v>0</v>
      </c>
      <c r="N589" s="3" t="s">
        <v>5218</v>
      </c>
      <c r="O589" s="3">
        <v>0</v>
      </c>
      <c r="P589" s="3">
        <v>0</v>
      </c>
      <c r="Q589" s="3">
        <v>0</v>
      </c>
      <c r="R589" s="3">
        <v>0</v>
      </c>
      <c r="S589" s="3">
        <v>0</v>
      </c>
      <c r="T589" s="3">
        <v>0</v>
      </c>
      <c r="U589" s="3">
        <v>0</v>
      </c>
      <c r="V589" s="3">
        <v>0</v>
      </c>
      <c r="W589" s="3" t="s">
        <v>5227</v>
      </c>
      <c r="X589" s="3">
        <v>23.98</v>
      </c>
      <c r="Y589" s="3">
        <v>23.98</v>
      </c>
      <c r="Z589" s="3">
        <v>23.98</v>
      </c>
      <c r="AA589" s="3">
        <v>0</v>
      </c>
      <c r="AB589" s="3" t="s">
        <v>5223</v>
      </c>
      <c r="AC589" s="3">
        <v>5</v>
      </c>
      <c r="AD589" s="3">
        <v>23.98</v>
      </c>
      <c r="AE589" s="3">
        <v>0</v>
      </c>
      <c r="AF589" s="3">
        <v>0</v>
      </c>
      <c r="AG589" s="3">
        <v>0</v>
      </c>
      <c r="AH589" s="3">
        <v>1.03225806451612</v>
      </c>
      <c r="AI589" s="3" t="s">
        <v>5422</v>
      </c>
      <c r="AJ589" s="3" t="s">
        <v>5222</v>
      </c>
    </row>
    <row r="590" spans="1:36">
      <c r="A590" s="5">
        <v>43288</v>
      </c>
      <c r="B590" s="3" t="s">
        <v>2409</v>
      </c>
      <c r="C590" s="3" t="s">
        <v>2410</v>
      </c>
      <c r="D590" s="3" t="s">
        <v>2410</v>
      </c>
      <c r="E590" s="3" t="s">
        <v>2411</v>
      </c>
      <c r="F590" s="3" t="s">
        <v>120</v>
      </c>
      <c r="G590" s="3">
        <v>23</v>
      </c>
      <c r="H590" s="3">
        <v>0</v>
      </c>
      <c r="I590" s="3">
        <v>23</v>
      </c>
      <c r="J590" s="3">
        <v>0</v>
      </c>
      <c r="K590" s="3">
        <v>0</v>
      </c>
      <c r="L590" s="3">
        <v>0</v>
      </c>
      <c r="M590" s="3">
        <v>0</v>
      </c>
      <c r="N590" s="3" t="s">
        <v>5218</v>
      </c>
      <c r="O590" s="3">
        <v>0</v>
      </c>
      <c r="P590" s="3">
        <v>0</v>
      </c>
      <c r="Q590" s="3">
        <v>0</v>
      </c>
      <c r="R590" s="3">
        <v>0</v>
      </c>
      <c r="S590" s="3">
        <v>0</v>
      </c>
      <c r="T590" s="3">
        <v>2</v>
      </c>
      <c r="U590" s="3">
        <v>3</v>
      </c>
      <c r="V590" s="3">
        <v>8</v>
      </c>
      <c r="W590" s="3"/>
      <c r="X590" s="3">
        <v>22.98</v>
      </c>
      <c r="Y590" s="3">
        <v>22.98</v>
      </c>
      <c r="Z590" s="3">
        <v>22</v>
      </c>
      <c r="AA590" s="3">
        <v>0</v>
      </c>
      <c r="AB590" s="3" t="s">
        <v>5223</v>
      </c>
      <c r="AC590" s="3">
        <v>23</v>
      </c>
      <c r="AD590" s="3">
        <v>22.98</v>
      </c>
      <c r="AE590" s="3">
        <v>0</v>
      </c>
      <c r="AF590" s="3">
        <v>0</v>
      </c>
      <c r="AG590" s="3">
        <v>0</v>
      </c>
      <c r="AH590" s="3">
        <v>0.41025641025641</v>
      </c>
      <c r="AI590" s="3" t="s">
        <v>5240</v>
      </c>
      <c r="AJ590" s="3" t="s">
        <v>5222</v>
      </c>
    </row>
    <row r="591" spans="1:36">
      <c r="A591" s="5">
        <v>43288</v>
      </c>
      <c r="B591" s="3" t="s">
        <v>1661</v>
      </c>
      <c r="C591" s="3" t="s">
        <v>1662</v>
      </c>
      <c r="D591" s="3" t="s">
        <v>1662</v>
      </c>
      <c r="E591" s="3" t="s">
        <v>1663</v>
      </c>
      <c r="F591" s="3" t="s">
        <v>120</v>
      </c>
      <c r="G591" s="3">
        <v>25</v>
      </c>
      <c r="H591" s="3">
        <v>0</v>
      </c>
      <c r="I591" s="3">
        <v>5</v>
      </c>
      <c r="J591" s="3">
        <v>5</v>
      </c>
      <c r="K591" s="3">
        <v>15</v>
      </c>
      <c r="L591" s="3">
        <v>0</v>
      </c>
      <c r="M591" s="3">
        <v>0</v>
      </c>
      <c r="N591" s="3" t="s">
        <v>5218</v>
      </c>
      <c r="O591" s="3">
        <v>18</v>
      </c>
      <c r="P591" s="3">
        <v>20</v>
      </c>
      <c r="Q591" s="3">
        <v>0</v>
      </c>
      <c r="R591" s="3">
        <v>0</v>
      </c>
      <c r="S591" s="3">
        <v>1</v>
      </c>
      <c r="T591" s="3">
        <v>7</v>
      </c>
      <c r="U591" s="3">
        <v>11</v>
      </c>
      <c r="V591" s="3">
        <v>16</v>
      </c>
      <c r="W591" s="3"/>
      <c r="X591" s="3">
        <v>39.98</v>
      </c>
      <c r="Y591" s="3">
        <v>19.98</v>
      </c>
      <c r="Z591" s="3">
        <v>19.98</v>
      </c>
      <c r="AA591" s="3">
        <v>0</v>
      </c>
      <c r="AB591" s="3" t="s">
        <v>5223</v>
      </c>
      <c r="AC591" s="3">
        <v>27</v>
      </c>
      <c r="AD591" s="3">
        <v>19.98</v>
      </c>
      <c r="AE591" s="3">
        <v>0</v>
      </c>
      <c r="AF591" s="3">
        <v>0</v>
      </c>
      <c r="AG591" s="3">
        <v>0</v>
      </c>
      <c r="AH591" s="3">
        <v>0.484848484848484</v>
      </c>
      <c r="AI591" s="3" t="s">
        <v>5425</v>
      </c>
      <c r="AJ591" s="3" t="s">
        <v>5222</v>
      </c>
    </row>
    <row r="592" spans="1:36">
      <c r="A592" s="5">
        <v>43288</v>
      </c>
      <c r="B592" s="3" t="s">
        <v>2625</v>
      </c>
      <c r="C592" s="3" t="s">
        <v>2626</v>
      </c>
      <c r="D592" s="3" t="s">
        <v>2626</v>
      </c>
      <c r="E592" s="3" t="s">
        <v>1186</v>
      </c>
      <c r="F592" s="3" t="s">
        <v>120</v>
      </c>
      <c r="G592" s="3">
        <v>36</v>
      </c>
      <c r="H592" s="3">
        <v>0</v>
      </c>
      <c r="I592" s="3">
        <v>36</v>
      </c>
      <c r="J592" s="3">
        <v>0</v>
      </c>
      <c r="K592" s="3">
        <v>0</v>
      </c>
      <c r="L592" s="3">
        <v>0</v>
      </c>
      <c r="M592" s="3">
        <v>0</v>
      </c>
      <c r="N592" s="3" t="s">
        <v>5218</v>
      </c>
      <c r="O592" s="3">
        <v>0</v>
      </c>
      <c r="P592" s="3">
        <v>0</v>
      </c>
      <c r="Q592" s="3">
        <v>0</v>
      </c>
      <c r="R592" s="3">
        <v>0</v>
      </c>
      <c r="S592" s="3">
        <v>2</v>
      </c>
      <c r="T592" s="3">
        <v>9</v>
      </c>
      <c r="U592" s="3">
        <v>17</v>
      </c>
      <c r="V592" s="3">
        <v>29</v>
      </c>
      <c r="W592" s="3"/>
      <c r="X592" s="3">
        <v>22.98</v>
      </c>
      <c r="Y592" s="3">
        <v>22.98</v>
      </c>
      <c r="Z592" s="3">
        <v>22.98</v>
      </c>
      <c r="AA592" s="3">
        <v>0</v>
      </c>
      <c r="AB592" s="3" t="s">
        <v>5223</v>
      </c>
      <c r="AC592" s="3">
        <v>37</v>
      </c>
      <c r="AD592" s="3">
        <v>22.98</v>
      </c>
      <c r="AE592" s="3">
        <v>0</v>
      </c>
      <c r="AF592" s="3">
        <v>0</v>
      </c>
      <c r="AG592" s="3">
        <v>0</v>
      </c>
      <c r="AH592" s="3">
        <v>1.39759036144578</v>
      </c>
      <c r="AI592" s="3" t="s">
        <v>5238</v>
      </c>
      <c r="AJ592" s="3" t="s">
        <v>5222</v>
      </c>
    </row>
    <row r="593" spans="1:36">
      <c r="A593" s="5">
        <v>43288</v>
      </c>
      <c r="B593" s="3" t="s">
        <v>4512</v>
      </c>
      <c r="C593" s="3" t="s">
        <v>3775</v>
      </c>
      <c r="D593" s="3" t="s">
        <v>3775</v>
      </c>
      <c r="E593" s="3" t="s">
        <v>3776</v>
      </c>
      <c r="F593" s="3" t="s">
        <v>120</v>
      </c>
      <c r="G593" s="3">
        <v>3</v>
      </c>
      <c r="H593" s="3">
        <v>0</v>
      </c>
      <c r="I593" s="3">
        <v>0</v>
      </c>
      <c r="J593" s="3">
        <v>1</v>
      </c>
      <c r="K593" s="3">
        <v>2</v>
      </c>
      <c r="L593" s="3">
        <v>0</v>
      </c>
      <c r="M593" s="3">
        <v>0</v>
      </c>
      <c r="N593" s="3" t="s">
        <v>5218</v>
      </c>
      <c r="O593" s="3">
        <v>3</v>
      </c>
      <c r="P593" s="3">
        <v>2.98</v>
      </c>
      <c r="Q593" s="3">
        <v>0</v>
      </c>
      <c r="R593" s="3">
        <v>0</v>
      </c>
      <c r="S593" s="3">
        <v>0</v>
      </c>
      <c r="T593" s="3">
        <v>0</v>
      </c>
      <c r="U593" s="3">
        <v>0</v>
      </c>
      <c r="V593" s="3">
        <v>0</v>
      </c>
      <c r="W593" s="3" t="s">
        <v>5227</v>
      </c>
      <c r="X593" s="3">
        <v>24.98</v>
      </c>
      <c r="Y593" s="3">
        <v>24.98</v>
      </c>
      <c r="Z593" s="3">
        <v>24.98</v>
      </c>
      <c r="AA593" s="3">
        <v>0</v>
      </c>
      <c r="AB593" s="3" t="s">
        <v>5228</v>
      </c>
      <c r="AC593" s="3">
        <v>1</v>
      </c>
      <c r="AD593" s="3">
        <v>22.97</v>
      </c>
      <c r="AE593" s="3">
        <v>49</v>
      </c>
      <c r="AF593" s="3">
        <v>0</v>
      </c>
      <c r="AG593" s="3">
        <v>67.996107</v>
      </c>
      <c r="AH593" s="3">
        <v>0</v>
      </c>
      <c r="AI593" s="3" t="s">
        <v>5263</v>
      </c>
      <c r="AJ593" s="3" t="s">
        <v>5222</v>
      </c>
    </row>
    <row r="594" spans="1:36">
      <c r="A594" s="5">
        <v>43288</v>
      </c>
      <c r="B594" s="3" t="s">
        <v>4148</v>
      </c>
      <c r="C594" s="3" t="s">
        <v>4149</v>
      </c>
      <c r="D594" s="3" t="s">
        <v>4149</v>
      </c>
      <c r="E594" s="3" t="s">
        <v>4150</v>
      </c>
      <c r="F594" s="3" t="s">
        <v>120</v>
      </c>
      <c r="G594" s="3">
        <v>18</v>
      </c>
      <c r="H594" s="3">
        <v>0</v>
      </c>
      <c r="I594" s="3">
        <v>18</v>
      </c>
      <c r="J594" s="3">
        <v>0</v>
      </c>
      <c r="K594" s="3">
        <v>0</v>
      </c>
      <c r="L594" s="3">
        <v>0</v>
      </c>
      <c r="M594" s="3">
        <v>0</v>
      </c>
      <c r="N594" s="3" t="s">
        <v>5218</v>
      </c>
      <c r="O594" s="3">
        <v>0</v>
      </c>
      <c r="P594" s="3">
        <v>0</v>
      </c>
      <c r="Q594" s="3">
        <v>0</v>
      </c>
      <c r="R594" s="3">
        <v>0</v>
      </c>
      <c r="S594" s="3">
        <v>3</v>
      </c>
      <c r="T594" s="3">
        <v>13</v>
      </c>
      <c r="U594" s="3">
        <v>20</v>
      </c>
      <c r="V594" s="3">
        <v>23</v>
      </c>
      <c r="W594" s="3"/>
      <c r="X594" s="3">
        <v>22.98</v>
      </c>
      <c r="Y594" s="3">
        <v>22.98</v>
      </c>
      <c r="Z594" s="3">
        <v>22.98</v>
      </c>
      <c r="AA594" s="3">
        <v>0</v>
      </c>
      <c r="AB594" s="3" t="s">
        <v>5223</v>
      </c>
      <c r="AC594" s="3">
        <v>18</v>
      </c>
      <c r="AD594" s="3">
        <v>22.98</v>
      </c>
      <c r="AE594" s="3">
        <v>0</v>
      </c>
      <c r="AF594" s="3">
        <v>0</v>
      </c>
      <c r="AG594" s="3">
        <v>0</v>
      </c>
      <c r="AH594" s="3">
        <v>2.24390243902439</v>
      </c>
      <c r="AI594" s="3" t="s">
        <v>5226</v>
      </c>
      <c r="AJ594" s="3" t="s">
        <v>5222</v>
      </c>
    </row>
    <row r="595" spans="1:36">
      <c r="A595" s="5">
        <v>43288</v>
      </c>
      <c r="B595" s="3" t="s">
        <v>4541</v>
      </c>
      <c r="C595" s="3" t="s">
        <v>3871</v>
      </c>
      <c r="D595" s="3" t="s">
        <v>3871</v>
      </c>
      <c r="E595" s="3" t="s">
        <v>3872</v>
      </c>
      <c r="F595" s="3" t="s">
        <v>120</v>
      </c>
      <c r="G595" s="3">
        <v>5</v>
      </c>
      <c r="H595" s="3">
        <v>0</v>
      </c>
      <c r="I595" s="3">
        <v>5</v>
      </c>
      <c r="J595" s="3">
        <v>0</v>
      </c>
      <c r="K595" s="3">
        <v>0</v>
      </c>
      <c r="L595" s="3">
        <v>0</v>
      </c>
      <c r="M595" s="3">
        <v>0</v>
      </c>
      <c r="N595" s="3" t="s">
        <v>5218</v>
      </c>
      <c r="O595" s="3">
        <v>0</v>
      </c>
      <c r="P595" s="3">
        <v>0</v>
      </c>
      <c r="Q595" s="3">
        <v>0</v>
      </c>
      <c r="R595" s="3">
        <v>0</v>
      </c>
      <c r="S595" s="3">
        <v>0</v>
      </c>
      <c r="T595" s="3">
        <v>1</v>
      </c>
      <c r="U595" s="3">
        <v>2</v>
      </c>
      <c r="V595" s="3">
        <v>3</v>
      </c>
      <c r="W595" s="3" t="s">
        <v>5227</v>
      </c>
      <c r="X595" s="3">
        <v>26.98</v>
      </c>
      <c r="Y595" s="3">
        <v>26.98</v>
      </c>
      <c r="Z595" s="3">
        <v>26.98</v>
      </c>
      <c r="AA595" s="3">
        <v>0</v>
      </c>
      <c r="AB595" s="3" t="s">
        <v>5223</v>
      </c>
      <c r="AC595" s="3">
        <v>5</v>
      </c>
      <c r="AD595" s="3">
        <v>26.98</v>
      </c>
      <c r="AE595" s="3">
        <v>0</v>
      </c>
      <c r="AF595" s="3">
        <v>0</v>
      </c>
      <c r="AG595" s="3">
        <v>0</v>
      </c>
      <c r="AH595" s="3">
        <v>1</v>
      </c>
      <c r="AI595" s="3" t="s">
        <v>5249</v>
      </c>
      <c r="AJ595" s="3" t="s">
        <v>5222</v>
      </c>
    </row>
    <row r="596" spans="1:36">
      <c r="A596" s="5">
        <v>43288</v>
      </c>
      <c r="B596" s="3" t="s">
        <v>649</v>
      </c>
      <c r="C596" s="3" t="s">
        <v>650</v>
      </c>
      <c r="D596" s="3" t="s">
        <v>650</v>
      </c>
      <c r="E596" s="3" t="s">
        <v>651</v>
      </c>
      <c r="F596" s="3" t="s">
        <v>120</v>
      </c>
      <c r="G596" s="3">
        <v>10</v>
      </c>
      <c r="H596" s="3">
        <v>0</v>
      </c>
      <c r="I596" s="3">
        <v>10</v>
      </c>
      <c r="J596" s="3">
        <v>0</v>
      </c>
      <c r="K596" s="3">
        <v>0</v>
      </c>
      <c r="L596" s="3">
        <v>0</v>
      </c>
      <c r="M596" s="3">
        <v>0</v>
      </c>
      <c r="N596" s="3" t="s">
        <v>5218</v>
      </c>
      <c r="O596" s="3">
        <v>0</v>
      </c>
      <c r="P596" s="3">
        <v>0</v>
      </c>
      <c r="Q596" s="3">
        <v>0</v>
      </c>
      <c r="R596" s="3">
        <v>0</v>
      </c>
      <c r="S596" s="3">
        <v>0</v>
      </c>
      <c r="T596" s="3">
        <v>0</v>
      </c>
      <c r="U596" s="3">
        <v>3</v>
      </c>
      <c r="V596" s="3">
        <v>8</v>
      </c>
      <c r="W596" s="3" t="s">
        <v>5227</v>
      </c>
      <c r="X596" s="3">
        <v>24.98</v>
      </c>
      <c r="Y596" s="3">
        <v>24.98</v>
      </c>
      <c r="Z596" s="3">
        <v>24.98</v>
      </c>
      <c r="AA596" s="3">
        <v>0</v>
      </c>
      <c r="AB596" s="3" t="s">
        <v>5228</v>
      </c>
      <c r="AC596" s="3">
        <v>0</v>
      </c>
      <c r="AD596" s="3">
        <v>22.2</v>
      </c>
      <c r="AE596" s="3">
        <v>217</v>
      </c>
      <c r="AF596" s="3">
        <v>0</v>
      </c>
      <c r="AG596" s="3">
        <v>299.106624</v>
      </c>
      <c r="AH596" s="3">
        <v>1.28</v>
      </c>
      <c r="AI596" s="3" t="s">
        <v>5250</v>
      </c>
      <c r="AJ596" s="3" t="s">
        <v>5222</v>
      </c>
    </row>
    <row r="597" spans="1:36">
      <c r="A597" s="5">
        <v>43288</v>
      </c>
      <c r="B597" s="3" t="s">
        <v>5133</v>
      </c>
      <c r="C597" s="3" t="s">
        <v>5134</v>
      </c>
      <c r="D597" s="3" t="s">
        <v>5134</v>
      </c>
      <c r="E597" s="3" t="s">
        <v>5135</v>
      </c>
      <c r="F597" s="3" t="s">
        <v>120</v>
      </c>
      <c r="G597" s="3">
        <v>6</v>
      </c>
      <c r="H597" s="3">
        <v>0</v>
      </c>
      <c r="I597" s="3">
        <v>0</v>
      </c>
      <c r="J597" s="3">
        <v>3</v>
      </c>
      <c r="K597" s="3">
        <v>3</v>
      </c>
      <c r="L597" s="3">
        <v>0</v>
      </c>
      <c r="M597" s="3">
        <v>0</v>
      </c>
      <c r="N597" s="3" t="s">
        <v>5218</v>
      </c>
      <c r="O597" s="3">
        <v>6</v>
      </c>
      <c r="P597" s="3">
        <v>18.53</v>
      </c>
      <c r="Q597" s="3">
        <v>0</v>
      </c>
      <c r="R597" s="3">
        <v>0</v>
      </c>
      <c r="S597" s="3">
        <v>0</v>
      </c>
      <c r="T597" s="3">
        <v>0</v>
      </c>
      <c r="U597" s="3">
        <v>0</v>
      </c>
      <c r="V597" s="3">
        <v>0</v>
      </c>
      <c r="W597" s="3" t="s">
        <v>5219</v>
      </c>
      <c r="X597" s="3">
        <v>29.98</v>
      </c>
      <c r="Y597" s="3">
        <v>29.98</v>
      </c>
      <c r="Z597" s="3">
        <v>29.98</v>
      </c>
      <c r="AA597" s="3">
        <v>0</v>
      </c>
      <c r="AB597" s="3" t="s">
        <v>5228</v>
      </c>
      <c r="AC597" s="3">
        <v>0</v>
      </c>
      <c r="AD597" s="3">
        <v>24.63</v>
      </c>
      <c r="AE597" s="3">
        <v>217</v>
      </c>
      <c r="AF597" s="3">
        <v>0</v>
      </c>
      <c r="AG597" s="3">
        <v>257.572121</v>
      </c>
      <c r="AH597" s="3">
        <v>0</v>
      </c>
      <c r="AI597" s="3" t="s">
        <v>5426</v>
      </c>
      <c r="AJ597" s="3" t="s">
        <v>5222</v>
      </c>
    </row>
    <row r="598" spans="1:36">
      <c r="A598" s="5">
        <v>43288</v>
      </c>
      <c r="B598" s="3" t="s">
        <v>2991</v>
      </c>
      <c r="C598" s="3" t="s">
        <v>2992</v>
      </c>
      <c r="D598" s="3" t="s">
        <v>2992</v>
      </c>
      <c r="E598" s="3" t="s">
        <v>2993</v>
      </c>
      <c r="F598" s="3" t="s">
        <v>120</v>
      </c>
      <c r="G598" s="3">
        <v>31</v>
      </c>
      <c r="H598" s="3">
        <v>0</v>
      </c>
      <c r="I598" s="3">
        <v>4</v>
      </c>
      <c r="J598" s="3">
        <v>27</v>
      </c>
      <c r="K598" s="3">
        <v>0</v>
      </c>
      <c r="L598" s="3">
        <v>0</v>
      </c>
      <c r="M598" s="3">
        <v>0</v>
      </c>
      <c r="N598" s="3" t="s">
        <v>5218</v>
      </c>
      <c r="O598" s="3">
        <v>27</v>
      </c>
      <c r="P598" s="3">
        <v>34.86</v>
      </c>
      <c r="Q598" s="3">
        <v>0</v>
      </c>
      <c r="R598" s="3">
        <v>0</v>
      </c>
      <c r="S598" s="3">
        <v>4</v>
      </c>
      <c r="T598" s="3">
        <v>10</v>
      </c>
      <c r="U598" s="3">
        <v>26</v>
      </c>
      <c r="V598" s="3">
        <v>38</v>
      </c>
      <c r="W598" s="3"/>
      <c r="X598" s="3">
        <v>23.98</v>
      </c>
      <c r="Y598" s="3">
        <v>23.98</v>
      </c>
      <c r="Z598" s="3">
        <v>23.98</v>
      </c>
      <c r="AA598" s="3">
        <v>0</v>
      </c>
      <c r="AB598" s="3" t="s">
        <v>5228</v>
      </c>
      <c r="AC598" s="3">
        <v>3</v>
      </c>
      <c r="AD598" s="3">
        <v>15.92</v>
      </c>
      <c r="AE598" s="3">
        <v>70</v>
      </c>
      <c r="AF598" s="3">
        <v>0</v>
      </c>
      <c r="AG598" s="3">
        <v>502.88029</v>
      </c>
      <c r="AH598" s="3">
        <v>0.791666666666666</v>
      </c>
      <c r="AI598" s="3" t="s">
        <v>5427</v>
      </c>
      <c r="AJ598" s="3" t="s">
        <v>5222</v>
      </c>
    </row>
    <row r="599" spans="1:36">
      <c r="A599" s="5">
        <v>43288</v>
      </c>
      <c r="B599" s="3" t="s">
        <v>2304</v>
      </c>
      <c r="C599" s="3" t="s">
        <v>2305</v>
      </c>
      <c r="D599" s="3" t="s">
        <v>2305</v>
      </c>
      <c r="E599" s="3" t="s">
        <v>2306</v>
      </c>
      <c r="F599" s="3" t="s">
        <v>120</v>
      </c>
      <c r="G599" s="3">
        <v>37</v>
      </c>
      <c r="H599" s="3">
        <v>0</v>
      </c>
      <c r="I599" s="3">
        <v>37</v>
      </c>
      <c r="J599" s="3">
        <v>0</v>
      </c>
      <c r="K599" s="3">
        <v>0</v>
      </c>
      <c r="L599" s="3">
        <v>0</v>
      </c>
      <c r="M599" s="3">
        <v>0</v>
      </c>
      <c r="N599" s="3" t="s">
        <v>5218</v>
      </c>
      <c r="O599" s="3">
        <v>0</v>
      </c>
      <c r="P599" s="3">
        <v>0</v>
      </c>
      <c r="Q599" s="3">
        <v>0</v>
      </c>
      <c r="R599" s="3">
        <v>0</v>
      </c>
      <c r="S599" s="3">
        <v>0</v>
      </c>
      <c r="T599" s="3">
        <v>0</v>
      </c>
      <c r="U599" s="3">
        <v>2</v>
      </c>
      <c r="V599" s="3">
        <v>4</v>
      </c>
      <c r="W599" s="3" t="s">
        <v>5227</v>
      </c>
      <c r="X599" s="3">
        <v>22.98</v>
      </c>
      <c r="Y599" s="3">
        <v>22.98</v>
      </c>
      <c r="Z599" s="3">
        <v>22.98</v>
      </c>
      <c r="AA599" s="3">
        <v>0</v>
      </c>
      <c r="AB599" s="3" t="s">
        <v>5228</v>
      </c>
      <c r="AC599" s="3">
        <v>0</v>
      </c>
      <c r="AD599" s="3">
        <v>19.16</v>
      </c>
      <c r="AE599" s="3">
        <v>322</v>
      </c>
      <c r="AF599" s="3">
        <v>0</v>
      </c>
      <c r="AG599" s="3">
        <v>1158.988709</v>
      </c>
      <c r="AH599" s="3">
        <v>0.192771084337349</v>
      </c>
      <c r="AI599" s="3" t="s">
        <v>5233</v>
      </c>
      <c r="AJ599" s="3" t="s">
        <v>5222</v>
      </c>
    </row>
    <row r="600" spans="1:36">
      <c r="A600" s="5">
        <v>43288</v>
      </c>
      <c r="B600" s="3" t="s">
        <v>1250</v>
      </c>
      <c r="C600" s="3" t="s">
        <v>1251</v>
      </c>
      <c r="D600" s="3" t="s">
        <v>535</v>
      </c>
      <c r="E600" s="3" t="s">
        <v>784</v>
      </c>
      <c r="F600" s="3" t="s">
        <v>120</v>
      </c>
      <c r="G600" s="3">
        <v>22</v>
      </c>
      <c r="H600" s="3">
        <v>0</v>
      </c>
      <c r="I600" s="3">
        <v>22</v>
      </c>
      <c r="J600" s="3">
        <v>0</v>
      </c>
      <c r="K600" s="3">
        <v>0</v>
      </c>
      <c r="L600" s="3">
        <v>0</v>
      </c>
      <c r="M600" s="3">
        <v>0</v>
      </c>
      <c r="N600" s="3" t="s">
        <v>5218</v>
      </c>
      <c r="O600" s="3">
        <v>0</v>
      </c>
      <c r="P600" s="3">
        <v>0</v>
      </c>
      <c r="Q600" s="3">
        <v>0</v>
      </c>
      <c r="R600" s="3">
        <v>0</v>
      </c>
      <c r="S600" s="3">
        <v>0</v>
      </c>
      <c r="T600" s="3">
        <v>0</v>
      </c>
      <c r="U600" s="3">
        <v>0</v>
      </c>
      <c r="V600" s="3">
        <v>0</v>
      </c>
      <c r="W600" s="3" t="s">
        <v>5227</v>
      </c>
      <c r="X600" s="3">
        <v>22.98</v>
      </c>
      <c r="Y600" s="3">
        <v>22.98</v>
      </c>
      <c r="Z600" s="3">
        <v>22.98</v>
      </c>
      <c r="AA600" s="3">
        <v>0</v>
      </c>
      <c r="AB600" s="3" t="s">
        <v>5223</v>
      </c>
      <c r="AC600" s="3">
        <v>22</v>
      </c>
      <c r="AD600" s="3">
        <v>22.98</v>
      </c>
      <c r="AE600" s="3">
        <v>0</v>
      </c>
      <c r="AF600" s="3">
        <v>0</v>
      </c>
      <c r="AG600" s="3">
        <v>0</v>
      </c>
      <c r="AH600" s="3">
        <v>0.666666666666666</v>
      </c>
      <c r="AI600" s="3" t="s">
        <v>5225</v>
      </c>
      <c r="AJ600" s="3" t="s">
        <v>5222</v>
      </c>
    </row>
    <row r="601" spans="1:36">
      <c r="A601" s="5">
        <v>43288</v>
      </c>
      <c r="B601" s="3" t="s">
        <v>1651</v>
      </c>
      <c r="C601" s="3" t="s">
        <v>1652</v>
      </c>
      <c r="D601" s="3" t="s">
        <v>1652</v>
      </c>
      <c r="E601" s="3" t="s">
        <v>1653</v>
      </c>
      <c r="F601" s="3" t="s">
        <v>120</v>
      </c>
      <c r="G601" s="3">
        <v>22</v>
      </c>
      <c r="H601" s="3">
        <v>0</v>
      </c>
      <c r="I601" s="3">
        <v>2</v>
      </c>
      <c r="J601" s="3">
        <v>4</v>
      </c>
      <c r="K601" s="3">
        <v>16</v>
      </c>
      <c r="L601" s="3">
        <v>0</v>
      </c>
      <c r="M601" s="3">
        <v>0</v>
      </c>
      <c r="N601" s="3" t="s">
        <v>5218</v>
      </c>
      <c r="O601" s="3">
        <v>16</v>
      </c>
      <c r="P601" s="3">
        <v>18.12</v>
      </c>
      <c r="Q601" s="3">
        <v>0</v>
      </c>
      <c r="R601" s="3">
        <v>0</v>
      </c>
      <c r="S601" s="3">
        <v>1</v>
      </c>
      <c r="T601" s="3">
        <v>2</v>
      </c>
      <c r="U601" s="3">
        <v>2</v>
      </c>
      <c r="V601" s="3">
        <v>6</v>
      </c>
      <c r="W601" s="3" t="s">
        <v>5227</v>
      </c>
      <c r="X601" s="3">
        <v>20.98</v>
      </c>
      <c r="Y601" s="3">
        <v>20.98</v>
      </c>
      <c r="Z601" s="3">
        <v>19.98</v>
      </c>
      <c r="AA601" s="3">
        <v>0</v>
      </c>
      <c r="AB601" s="3" t="s">
        <v>5228</v>
      </c>
      <c r="AC601" s="3">
        <v>0</v>
      </c>
      <c r="AD601" s="3">
        <v>17.8</v>
      </c>
      <c r="AE601" s="3">
        <v>196</v>
      </c>
      <c r="AF601" s="3">
        <v>0</v>
      </c>
      <c r="AG601" s="3">
        <v>432.3853</v>
      </c>
      <c r="AH601" s="3">
        <v>0.252631578947368</v>
      </c>
      <c r="AI601" s="3" t="s">
        <v>5428</v>
      </c>
      <c r="AJ601" s="3" t="s">
        <v>5222</v>
      </c>
    </row>
    <row r="602" spans="1:36">
      <c r="A602" s="5">
        <v>43288</v>
      </c>
      <c r="B602" s="3" t="s">
        <v>4428</v>
      </c>
      <c r="C602" s="3" t="s">
        <v>3566</v>
      </c>
      <c r="D602" s="3" t="s">
        <v>3566</v>
      </c>
      <c r="E602" s="3" t="s">
        <v>3567</v>
      </c>
      <c r="F602" s="3" t="s">
        <v>120</v>
      </c>
      <c r="G602" s="3">
        <v>1</v>
      </c>
      <c r="H602" s="3">
        <v>0</v>
      </c>
      <c r="I602" s="3">
        <v>0</v>
      </c>
      <c r="J602" s="3">
        <v>0</v>
      </c>
      <c r="K602" s="3">
        <v>1</v>
      </c>
      <c r="L602" s="3">
        <v>0</v>
      </c>
      <c r="M602" s="3">
        <v>0</v>
      </c>
      <c r="N602" s="3" t="s">
        <v>5218</v>
      </c>
      <c r="O602" s="3">
        <v>1</v>
      </c>
      <c r="P602" s="3">
        <v>2.17</v>
      </c>
      <c r="Q602" s="3">
        <v>0</v>
      </c>
      <c r="R602" s="3">
        <v>0</v>
      </c>
      <c r="S602" s="3">
        <v>0</v>
      </c>
      <c r="T602" s="3">
        <v>0</v>
      </c>
      <c r="U602" s="3">
        <v>2</v>
      </c>
      <c r="V602" s="3">
        <v>2</v>
      </c>
      <c r="W602" s="3" t="s">
        <v>5227</v>
      </c>
      <c r="X602" s="3">
        <v>24.98</v>
      </c>
      <c r="Y602" s="3">
        <v>24.98</v>
      </c>
      <c r="Z602" s="3">
        <v>24.98</v>
      </c>
      <c r="AA602" s="3">
        <v>0</v>
      </c>
      <c r="AB602" s="3" t="s">
        <v>5223</v>
      </c>
      <c r="AC602" s="3">
        <v>1</v>
      </c>
      <c r="AD602" s="3">
        <v>24.98</v>
      </c>
      <c r="AE602" s="3">
        <v>0</v>
      </c>
      <c r="AF602" s="3">
        <v>0</v>
      </c>
      <c r="AG602" s="3">
        <v>0</v>
      </c>
      <c r="AH602" s="3">
        <v>1</v>
      </c>
      <c r="AI602" s="3" t="s">
        <v>5429</v>
      </c>
      <c r="AJ602" s="3" t="s">
        <v>5222</v>
      </c>
    </row>
    <row r="603" spans="1:36">
      <c r="A603" s="5">
        <v>43288</v>
      </c>
      <c r="B603" s="3" t="s">
        <v>2516</v>
      </c>
      <c r="C603" s="3" t="s">
        <v>2517</v>
      </c>
      <c r="D603" s="3" t="s">
        <v>2517</v>
      </c>
      <c r="E603" s="3" t="s">
        <v>2518</v>
      </c>
      <c r="F603" s="3" t="s">
        <v>120</v>
      </c>
      <c r="G603" s="3">
        <v>13</v>
      </c>
      <c r="H603" s="3">
        <v>0</v>
      </c>
      <c r="I603" s="3">
        <v>3</v>
      </c>
      <c r="J603" s="3">
        <v>1</v>
      </c>
      <c r="K603" s="3">
        <v>9</v>
      </c>
      <c r="L603" s="3">
        <v>0</v>
      </c>
      <c r="M603" s="3">
        <v>0</v>
      </c>
      <c r="N603" s="3" t="s">
        <v>5218</v>
      </c>
      <c r="O603" s="3">
        <v>10</v>
      </c>
      <c r="P603" s="3">
        <v>22.32</v>
      </c>
      <c r="Q603" s="3">
        <v>0</v>
      </c>
      <c r="R603" s="3">
        <v>0</v>
      </c>
      <c r="S603" s="3">
        <v>0</v>
      </c>
      <c r="T603" s="3">
        <v>1</v>
      </c>
      <c r="U603" s="3">
        <v>6</v>
      </c>
      <c r="V603" s="3">
        <v>9</v>
      </c>
      <c r="W603" s="3"/>
      <c r="X603" s="3">
        <v>18.41</v>
      </c>
      <c r="Y603" s="3">
        <v>18.41</v>
      </c>
      <c r="Z603" s="3">
        <v>18.41</v>
      </c>
      <c r="AA603" s="3">
        <v>0</v>
      </c>
      <c r="AB603" s="3" t="s">
        <v>5228</v>
      </c>
      <c r="AC603" s="3">
        <v>10</v>
      </c>
      <c r="AD603" s="3">
        <v>16.57</v>
      </c>
      <c r="AE603" s="3">
        <v>35</v>
      </c>
      <c r="AF603" s="3">
        <v>0</v>
      </c>
      <c r="AG603" s="3">
        <v>1.08175</v>
      </c>
      <c r="AH603" s="3">
        <v>0.610169491525423</v>
      </c>
      <c r="AI603" s="3" t="s">
        <v>5230</v>
      </c>
      <c r="AJ603" s="3" t="s">
        <v>5222</v>
      </c>
    </row>
    <row r="604" spans="1:36">
      <c r="A604" s="5">
        <v>43288</v>
      </c>
      <c r="B604" s="3" t="s">
        <v>2878</v>
      </c>
      <c r="C604" s="3" t="s">
        <v>2879</v>
      </c>
      <c r="D604" s="3" t="s">
        <v>2879</v>
      </c>
      <c r="E604" s="3" t="s">
        <v>1796</v>
      </c>
      <c r="F604" s="3" t="s">
        <v>120</v>
      </c>
      <c r="G604" s="3">
        <v>18</v>
      </c>
      <c r="H604" s="3">
        <v>0</v>
      </c>
      <c r="I604" s="3">
        <v>18</v>
      </c>
      <c r="J604" s="3">
        <v>0</v>
      </c>
      <c r="K604" s="3">
        <v>0</v>
      </c>
      <c r="L604" s="3">
        <v>0</v>
      </c>
      <c r="M604" s="3">
        <v>0</v>
      </c>
      <c r="N604" s="3" t="s">
        <v>5218</v>
      </c>
      <c r="O604" s="3">
        <v>0</v>
      </c>
      <c r="P604" s="3">
        <v>0</v>
      </c>
      <c r="Q604" s="3">
        <v>0</v>
      </c>
      <c r="R604" s="3">
        <v>0</v>
      </c>
      <c r="S604" s="3">
        <v>6</v>
      </c>
      <c r="T604" s="3">
        <v>13</v>
      </c>
      <c r="U604" s="3">
        <v>23</v>
      </c>
      <c r="V604" s="3">
        <v>34</v>
      </c>
      <c r="W604" s="3"/>
      <c r="X604" s="3">
        <v>25.98</v>
      </c>
      <c r="Y604" s="3">
        <v>25.98</v>
      </c>
      <c r="Z604" s="3">
        <v>25.98</v>
      </c>
      <c r="AA604" s="3">
        <v>0</v>
      </c>
      <c r="AB604" s="3" t="s">
        <v>5223</v>
      </c>
      <c r="AC604" s="3">
        <v>20</v>
      </c>
      <c r="AD604" s="3">
        <v>25.98</v>
      </c>
      <c r="AE604" s="3">
        <v>0</v>
      </c>
      <c r="AF604" s="3">
        <v>0</v>
      </c>
      <c r="AG604" s="3">
        <v>0</v>
      </c>
      <c r="AH604" s="3">
        <v>2.42857142857142</v>
      </c>
      <c r="AI604" s="3" t="s">
        <v>5430</v>
      </c>
      <c r="AJ604" s="3" t="s">
        <v>5222</v>
      </c>
    </row>
    <row r="605" spans="1:36">
      <c r="A605" s="5">
        <v>43288</v>
      </c>
      <c r="B605" s="3" t="s">
        <v>1559</v>
      </c>
      <c r="C605" s="3" t="s">
        <v>1560</v>
      </c>
      <c r="D605" s="3" t="s">
        <v>1560</v>
      </c>
      <c r="E605" s="3" t="s">
        <v>1561</v>
      </c>
      <c r="F605" s="3" t="s">
        <v>120</v>
      </c>
      <c r="G605" s="3">
        <v>17</v>
      </c>
      <c r="H605" s="3">
        <v>0</v>
      </c>
      <c r="I605" s="3">
        <v>2</v>
      </c>
      <c r="J605" s="3">
        <v>0</v>
      </c>
      <c r="K605" s="3">
        <v>15</v>
      </c>
      <c r="L605" s="3">
        <v>0</v>
      </c>
      <c r="M605" s="3">
        <v>0</v>
      </c>
      <c r="N605" s="3" t="s">
        <v>5218</v>
      </c>
      <c r="O605" s="3">
        <v>15</v>
      </c>
      <c r="P605" s="3">
        <v>20.67</v>
      </c>
      <c r="Q605" s="3">
        <v>0</v>
      </c>
      <c r="R605" s="3">
        <v>0</v>
      </c>
      <c r="S605" s="3">
        <v>0</v>
      </c>
      <c r="T605" s="3">
        <v>0</v>
      </c>
      <c r="U605" s="3">
        <v>2</v>
      </c>
      <c r="V605" s="3">
        <v>5</v>
      </c>
      <c r="W605" s="3" t="s">
        <v>5227</v>
      </c>
      <c r="X605" s="3">
        <v>20.98</v>
      </c>
      <c r="Y605" s="3">
        <v>20.98</v>
      </c>
      <c r="Z605" s="3">
        <v>19.98</v>
      </c>
      <c r="AA605" s="3">
        <v>0</v>
      </c>
      <c r="AB605" s="3" t="s">
        <v>5228</v>
      </c>
      <c r="AC605" s="3">
        <v>1</v>
      </c>
      <c r="AD605" s="3">
        <v>18.89</v>
      </c>
      <c r="AE605" s="3">
        <v>161</v>
      </c>
      <c r="AF605" s="3">
        <v>0</v>
      </c>
      <c r="AG605" s="3">
        <v>403.943381</v>
      </c>
      <c r="AH605" s="3">
        <v>0.285714285714285</v>
      </c>
      <c r="AI605" s="3" t="s">
        <v>5431</v>
      </c>
      <c r="AJ605" s="3" t="s">
        <v>5222</v>
      </c>
    </row>
    <row r="606" spans="1:36">
      <c r="A606" s="5">
        <v>43288</v>
      </c>
      <c r="B606" s="3" t="s">
        <v>217</v>
      </c>
      <c r="C606" s="3" t="s">
        <v>218</v>
      </c>
      <c r="D606" s="3" t="s">
        <v>218</v>
      </c>
      <c r="E606" s="3" t="s">
        <v>219</v>
      </c>
      <c r="F606" s="3" t="s">
        <v>120</v>
      </c>
      <c r="G606" s="3">
        <v>1</v>
      </c>
      <c r="H606" s="3">
        <v>0</v>
      </c>
      <c r="I606" s="3">
        <v>1</v>
      </c>
      <c r="J606" s="3">
        <v>0</v>
      </c>
      <c r="K606" s="3">
        <v>0</v>
      </c>
      <c r="L606" s="3">
        <v>0</v>
      </c>
      <c r="M606" s="3">
        <v>0</v>
      </c>
      <c r="N606" s="3" t="s">
        <v>5218</v>
      </c>
      <c r="O606" s="3">
        <v>0</v>
      </c>
      <c r="P606" s="3">
        <v>0</v>
      </c>
      <c r="Q606" s="3">
        <v>0</v>
      </c>
      <c r="R606" s="3">
        <v>0</v>
      </c>
      <c r="S606" s="3">
        <v>0</v>
      </c>
      <c r="T606" s="3">
        <v>0</v>
      </c>
      <c r="U606" s="3">
        <v>0</v>
      </c>
      <c r="V606" s="3">
        <v>1</v>
      </c>
      <c r="W606" s="3" t="s">
        <v>5219</v>
      </c>
      <c r="X606" s="3">
        <v>60.98</v>
      </c>
      <c r="Y606" s="3">
        <v>60.98</v>
      </c>
      <c r="Z606" s="3">
        <v>60.98</v>
      </c>
      <c r="AA606" s="3">
        <v>0</v>
      </c>
      <c r="AB606" s="3" t="s">
        <v>5220</v>
      </c>
      <c r="AC606" s="3">
        <v>1</v>
      </c>
      <c r="AD606" s="3">
        <v>60.98</v>
      </c>
      <c r="AE606" s="3">
        <v>0</v>
      </c>
      <c r="AF606" s="3">
        <v>0</v>
      </c>
      <c r="AG606" s="3">
        <v>0</v>
      </c>
      <c r="AH606" s="3">
        <v>1</v>
      </c>
      <c r="AI606" s="3" t="s">
        <v>5432</v>
      </c>
      <c r="AJ606" s="3" t="s">
        <v>5222</v>
      </c>
    </row>
    <row r="607" spans="1:36">
      <c r="A607" s="5">
        <v>43288</v>
      </c>
      <c r="B607" s="3" t="s">
        <v>4382</v>
      </c>
      <c r="C607" s="3" t="s">
        <v>3378</v>
      </c>
      <c r="D607" s="3" t="s">
        <v>3378</v>
      </c>
      <c r="E607" s="3" t="s">
        <v>3379</v>
      </c>
      <c r="F607" s="3" t="s">
        <v>120</v>
      </c>
      <c r="G607" s="3">
        <v>5</v>
      </c>
      <c r="H607" s="3">
        <v>0</v>
      </c>
      <c r="I607" s="3">
        <v>1</v>
      </c>
      <c r="J607" s="3">
        <v>2</v>
      </c>
      <c r="K607" s="3">
        <v>2</v>
      </c>
      <c r="L607" s="3">
        <v>0</v>
      </c>
      <c r="M607" s="3">
        <v>0</v>
      </c>
      <c r="N607" s="3" t="s">
        <v>5218</v>
      </c>
      <c r="O607" s="3">
        <v>3</v>
      </c>
      <c r="P607" s="3">
        <v>5.14</v>
      </c>
      <c r="Q607" s="3">
        <v>0</v>
      </c>
      <c r="R607" s="3">
        <v>0</v>
      </c>
      <c r="S607" s="3">
        <v>0</v>
      </c>
      <c r="T607" s="3">
        <v>3</v>
      </c>
      <c r="U607" s="3">
        <v>7</v>
      </c>
      <c r="V607" s="3">
        <v>7</v>
      </c>
      <c r="W607" s="3"/>
      <c r="X607" s="3">
        <v>22.98</v>
      </c>
      <c r="Y607" s="3">
        <v>22.98</v>
      </c>
      <c r="Z607" s="3">
        <v>22.98</v>
      </c>
      <c r="AA607" s="3">
        <v>0</v>
      </c>
      <c r="AB607" s="3" t="s">
        <v>5223</v>
      </c>
      <c r="AC607" s="3">
        <v>5</v>
      </c>
      <c r="AD607" s="3">
        <v>22.98</v>
      </c>
      <c r="AE607" s="3">
        <v>0</v>
      </c>
      <c r="AF607" s="3">
        <v>0</v>
      </c>
      <c r="AG607" s="3">
        <v>0</v>
      </c>
      <c r="AH607" s="3">
        <v>0.8</v>
      </c>
      <c r="AI607" s="3" t="s">
        <v>5433</v>
      </c>
      <c r="AJ607" s="3" t="s">
        <v>5222</v>
      </c>
    </row>
    <row r="608" spans="1:36">
      <c r="A608" s="5">
        <v>43288</v>
      </c>
      <c r="B608" s="3" t="s">
        <v>1252</v>
      </c>
      <c r="C608" s="3" t="s">
        <v>1253</v>
      </c>
      <c r="D608" s="3" t="s">
        <v>537</v>
      </c>
      <c r="E608" s="3" t="s">
        <v>786</v>
      </c>
      <c r="F608" s="3" t="s">
        <v>120</v>
      </c>
      <c r="G608" s="3">
        <v>29</v>
      </c>
      <c r="H608" s="3">
        <v>0</v>
      </c>
      <c r="I608" s="3">
        <v>29</v>
      </c>
      <c r="J608" s="3">
        <v>0</v>
      </c>
      <c r="K608" s="3">
        <v>0</v>
      </c>
      <c r="L608" s="3">
        <v>0</v>
      </c>
      <c r="M608" s="3">
        <v>0</v>
      </c>
      <c r="N608" s="3" t="s">
        <v>5218</v>
      </c>
      <c r="O608" s="3">
        <v>0</v>
      </c>
      <c r="P608" s="3">
        <v>0</v>
      </c>
      <c r="Q608" s="3">
        <v>0</v>
      </c>
      <c r="R608" s="3">
        <v>0</v>
      </c>
      <c r="S608" s="3">
        <v>1</v>
      </c>
      <c r="T608" s="3">
        <v>1</v>
      </c>
      <c r="U608" s="3">
        <v>1</v>
      </c>
      <c r="V608" s="3">
        <v>1</v>
      </c>
      <c r="W608" s="3"/>
      <c r="X608" s="3">
        <v>22.98</v>
      </c>
      <c r="Y608" s="3">
        <v>22.98</v>
      </c>
      <c r="Z608" s="3">
        <v>22.98</v>
      </c>
      <c r="AA608" s="3">
        <v>0</v>
      </c>
      <c r="AB608" s="3" t="s">
        <v>5223</v>
      </c>
      <c r="AC608" s="3">
        <v>30</v>
      </c>
      <c r="AD608" s="3">
        <v>22.98</v>
      </c>
      <c r="AE608" s="3">
        <v>0</v>
      </c>
      <c r="AF608" s="3">
        <v>0</v>
      </c>
      <c r="AG608" s="3">
        <v>0</v>
      </c>
      <c r="AH608" s="3">
        <v>0.535714285714285</v>
      </c>
      <c r="AI608" s="3" t="s">
        <v>5225</v>
      </c>
      <c r="AJ608" s="3" t="s">
        <v>5222</v>
      </c>
    </row>
    <row r="609" spans="1:36">
      <c r="A609" s="5">
        <v>43288</v>
      </c>
      <c r="B609" s="3" t="s">
        <v>2901</v>
      </c>
      <c r="C609" s="3" t="s">
        <v>2902</v>
      </c>
      <c r="D609" s="3" t="s">
        <v>2902</v>
      </c>
      <c r="E609" s="3" t="s">
        <v>1826</v>
      </c>
      <c r="F609" s="3" t="s">
        <v>120</v>
      </c>
      <c r="G609" s="3">
        <v>22</v>
      </c>
      <c r="H609" s="3">
        <v>0</v>
      </c>
      <c r="I609" s="3">
        <v>0</v>
      </c>
      <c r="J609" s="3">
        <v>22</v>
      </c>
      <c r="K609" s="3">
        <v>0</v>
      </c>
      <c r="L609" s="3">
        <v>0</v>
      </c>
      <c r="M609" s="3">
        <v>0</v>
      </c>
      <c r="N609" s="3" t="s">
        <v>5218</v>
      </c>
      <c r="O609" s="3">
        <v>8</v>
      </c>
      <c r="P609" s="3">
        <v>14.84</v>
      </c>
      <c r="Q609" s="3">
        <v>0</v>
      </c>
      <c r="R609" s="3">
        <v>0</v>
      </c>
      <c r="S609" s="3">
        <v>0</v>
      </c>
      <c r="T609" s="3">
        <v>1</v>
      </c>
      <c r="U609" s="3">
        <v>1</v>
      </c>
      <c r="V609" s="3">
        <v>2</v>
      </c>
      <c r="W609" s="3"/>
      <c r="X609" s="3">
        <v>23.98</v>
      </c>
      <c r="Y609" s="3">
        <v>23.98</v>
      </c>
      <c r="Z609" s="3">
        <v>23.98</v>
      </c>
      <c r="AA609" s="3">
        <v>0</v>
      </c>
      <c r="AB609" s="3" t="s">
        <v>5228</v>
      </c>
      <c r="AC609" s="3">
        <v>0</v>
      </c>
      <c r="AD609" s="3">
        <v>19.18</v>
      </c>
      <c r="AE609" s="3">
        <v>364</v>
      </c>
      <c r="AF609" s="3">
        <v>0</v>
      </c>
      <c r="AG609" s="3">
        <v>424.618885</v>
      </c>
      <c r="AH609" s="3">
        <v>0.0869565217391304</v>
      </c>
      <c r="AI609" s="3" t="s">
        <v>5254</v>
      </c>
      <c r="AJ609" s="3" t="s">
        <v>5222</v>
      </c>
    </row>
    <row r="610" spans="1:36">
      <c r="A610" s="5">
        <v>43288</v>
      </c>
      <c r="B610" s="3" t="s">
        <v>791</v>
      </c>
      <c r="C610" s="3" t="s">
        <v>545</v>
      </c>
      <c r="D610" s="3" t="s">
        <v>545</v>
      </c>
      <c r="E610" s="3" t="s">
        <v>792</v>
      </c>
      <c r="F610" s="3" t="s">
        <v>120</v>
      </c>
      <c r="G610" s="3">
        <v>2</v>
      </c>
      <c r="H610" s="3">
        <v>0</v>
      </c>
      <c r="I610" s="3">
        <v>2</v>
      </c>
      <c r="J610" s="3">
        <v>0</v>
      </c>
      <c r="K610" s="3">
        <v>0</v>
      </c>
      <c r="L610" s="3">
        <v>0</v>
      </c>
      <c r="M610" s="3">
        <v>0</v>
      </c>
      <c r="N610" s="3" t="s">
        <v>5218</v>
      </c>
      <c r="O610" s="3">
        <v>0</v>
      </c>
      <c r="P610" s="3">
        <v>0</v>
      </c>
      <c r="Q610" s="3">
        <v>0</v>
      </c>
      <c r="R610" s="3">
        <v>0</v>
      </c>
      <c r="S610" s="3">
        <v>1</v>
      </c>
      <c r="T610" s="3">
        <v>3</v>
      </c>
      <c r="U610" s="3">
        <v>6</v>
      </c>
      <c r="V610" s="3">
        <v>6</v>
      </c>
      <c r="W610" s="3"/>
      <c r="X610" s="3">
        <v>22.98</v>
      </c>
      <c r="Y610" s="3">
        <v>22.98</v>
      </c>
      <c r="Z610" s="3">
        <v>22.98</v>
      </c>
      <c r="AA610" s="3">
        <v>0</v>
      </c>
      <c r="AB610" s="3" t="s">
        <v>5223</v>
      </c>
      <c r="AC610" s="3">
        <v>3</v>
      </c>
      <c r="AD610" s="3">
        <v>22.98</v>
      </c>
      <c r="AE610" s="3">
        <v>0</v>
      </c>
      <c r="AF610" s="3">
        <v>0</v>
      </c>
      <c r="AG610" s="3">
        <v>0</v>
      </c>
      <c r="AH610" s="3">
        <v>0.48</v>
      </c>
      <c r="AI610" s="3" t="s">
        <v>5225</v>
      </c>
      <c r="AJ610" s="3" t="s">
        <v>5222</v>
      </c>
    </row>
    <row r="611" spans="1:36">
      <c r="A611" s="5">
        <v>43288</v>
      </c>
      <c r="B611" s="3" t="s">
        <v>2755</v>
      </c>
      <c r="C611" s="3" t="s">
        <v>2756</v>
      </c>
      <c r="D611" s="3" t="s">
        <v>2757</v>
      </c>
      <c r="E611" s="3" t="s">
        <v>1725</v>
      </c>
      <c r="F611" s="3" t="s">
        <v>120</v>
      </c>
      <c r="G611" s="3">
        <v>7</v>
      </c>
      <c r="H611" s="3">
        <v>0</v>
      </c>
      <c r="I611" s="3">
        <v>7</v>
      </c>
      <c r="J611" s="3">
        <v>0</v>
      </c>
      <c r="K611" s="3">
        <v>0</v>
      </c>
      <c r="L611" s="3">
        <v>0</v>
      </c>
      <c r="M611" s="3">
        <v>0</v>
      </c>
      <c r="N611" s="3" t="s">
        <v>5218</v>
      </c>
      <c r="O611" s="3">
        <v>0</v>
      </c>
      <c r="P611" s="3">
        <v>0</v>
      </c>
      <c r="Q611" s="3">
        <v>0</v>
      </c>
      <c r="R611" s="3">
        <v>0</v>
      </c>
      <c r="S611" s="3">
        <v>1</v>
      </c>
      <c r="T611" s="3">
        <v>2</v>
      </c>
      <c r="U611" s="3">
        <v>2</v>
      </c>
      <c r="V611" s="3">
        <v>2</v>
      </c>
      <c r="W611" s="3" t="s">
        <v>5227</v>
      </c>
      <c r="X611" s="3">
        <v>22.98</v>
      </c>
      <c r="Y611" s="3">
        <v>22.98</v>
      </c>
      <c r="Z611" s="3">
        <v>22.98</v>
      </c>
      <c r="AA611" s="3">
        <v>0</v>
      </c>
      <c r="AB611" s="3" t="s">
        <v>5223</v>
      </c>
      <c r="AC611" s="3">
        <v>7</v>
      </c>
      <c r="AD611" s="3">
        <v>22.98</v>
      </c>
      <c r="AE611" s="3">
        <v>0</v>
      </c>
      <c r="AF611" s="3">
        <v>0</v>
      </c>
      <c r="AG611" s="3">
        <v>0</v>
      </c>
      <c r="AH611" s="3">
        <v>0.571428571428571</v>
      </c>
      <c r="AI611" s="3" t="s">
        <v>5324</v>
      </c>
      <c r="AJ611" s="3" t="s">
        <v>5222</v>
      </c>
    </row>
    <row r="612" spans="1:36">
      <c r="A612" s="5">
        <v>43288</v>
      </c>
      <c r="B612" s="3" t="s">
        <v>2930</v>
      </c>
      <c r="C612" s="3" t="s">
        <v>1348</v>
      </c>
      <c r="D612" s="3" t="s">
        <v>1348</v>
      </c>
      <c r="E612" s="3" t="s">
        <v>1349</v>
      </c>
      <c r="F612" s="3" t="s">
        <v>120</v>
      </c>
      <c r="G612" s="3">
        <v>58</v>
      </c>
      <c r="H612" s="3">
        <v>0</v>
      </c>
      <c r="I612" s="3">
        <v>58</v>
      </c>
      <c r="J612" s="3">
        <v>0</v>
      </c>
      <c r="K612" s="3">
        <v>0</v>
      </c>
      <c r="L612" s="3">
        <v>0</v>
      </c>
      <c r="M612" s="3">
        <v>0</v>
      </c>
      <c r="N612" s="3" t="s">
        <v>5218</v>
      </c>
      <c r="O612" s="3">
        <v>0</v>
      </c>
      <c r="P612" s="3">
        <v>0</v>
      </c>
      <c r="Q612" s="3">
        <v>0</v>
      </c>
      <c r="R612" s="3">
        <v>0</v>
      </c>
      <c r="S612" s="3">
        <v>9</v>
      </c>
      <c r="T612" s="3">
        <v>53</v>
      </c>
      <c r="U612" s="3">
        <v>53</v>
      </c>
      <c r="V612" s="3">
        <v>53</v>
      </c>
      <c r="W612" s="3"/>
      <c r="X612" s="3">
        <v>22.98</v>
      </c>
      <c r="Y612" s="3">
        <v>22.98</v>
      </c>
      <c r="Z612" s="3">
        <v>22.98</v>
      </c>
      <c r="AA612" s="3">
        <v>0</v>
      </c>
      <c r="AB612" s="3" t="s">
        <v>5223</v>
      </c>
      <c r="AC612" s="3">
        <v>60</v>
      </c>
      <c r="AD612" s="3">
        <v>22.98</v>
      </c>
      <c r="AE612" s="3">
        <v>0</v>
      </c>
      <c r="AF612" s="3">
        <v>0</v>
      </c>
      <c r="AG612" s="3">
        <v>0</v>
      </c>
      <c r="AH612" s="3">
        <v>1.82758620689655</v>
      </c>
      <c r="AI612" s="3" t="s">
        <v>5236</v>
      </c>
      <c r="AJ612" s="3" t="s">
        <v>5222</v>
      </c>
    </row>
    <row r="613" spans="1:36">
      <c r="A613" s="5">
        <v>43288</v>
      </c>
      <c r="B613" s="3" t="s">
        <v>3041</v>
      </c>
      <c r="C613" s="3" t="s">
        <v>3042</v>
      </c>
      <c r="D613" s="3" t="s">
        <v>3042</v>
      </c>
      <c r="E613" s="3" t="s">
        <v>2026</v>
      </c>
      <c r="F613" s="3" t="s">
        <v>120</v>
      </c>
      <c r="G613" s="3">
        <v>22</v>
      </c>
      <c r="H613" s="3">
        <v>0</v>
      </c>
      <c r="I613" s="3">
        <v>22</v>
      </c>
      <c r="J613" s="3">
        <v>0</v>
      </c>
      <c r="K613" s="3">
        <v>0</v>
      </c>
      <c r="L613" s="3">
        <v>0</v>
      </c>
      <c r="M613" s="3">
        <v>0</v>
      </c>
      <c r="N613" s="3" t="s">
        <v>5218</v>
      </c>
      <c r="O613" s="3">
        <v>0</v>
      </c>
      <c r="P613" s="3">
        <v>0</v>
      </c>
      <c r="Q613" s="3">
        <v>0</v>
      </c>
      <c r="R613" s="3">
        <v>0</v>
      </c>
      <c r="S613" s="3">
        <v>0</v>
      </c>
      <c r="T613" s="3">
        <v>0</v>
      </c>
      <c r="U613" s="3">
        <v>0</v>
      </c>
      <c r="V613" s="3">
        <v>0</v>
      </c>
      <c r="W613" s="3" t="s">
        <v>5219</v>
      </c>
      <c r="X613" s="3">
        <v>39.98</v>
      </c>
      <c r="Y613" s="3">
        <v>39.98</v>
      </c>
      <c r="Z613" s="3">
        <v>39.98</v>
      </c>
      <c r="AA613" s="3">
        <v>0</v>
      </c>
      <c r="AB613" s="3" t="s">
        <v>5234</v>
      </c>
      <c r="AC613" s="3">
        <v>22</v>
      </c>
      <c r="AD613" s="3">
        <v>39.98</v>
      </c>
      <c r="AE613" s="3">
        <v>0</v>
      </c>
      <c r="AF613" s="3">
        <v>0</v>
      </c>
      <c r="AG613" s="3">
        <v>0</v>
      </c>
      <c r="AH613" s="3">
        <v>0</v>
      </c>
      <c r="AI613" s="3" t="s">
        <v>5381</v>
      </c>
      <c r="AJ613" s="3" t="s">
        <v>5222</v>
      </c>
    </row>
    <row r="614" spans="1:36">
      <c r="A614" s="5">
        <v>43288</v>
      </c>
      <c r="B614" s="3" t="s">
        <v>2003</v>
      </c>
      <c r="C614" s="3" t="s">
        <v>174</v>
      </c>
      <c r="D614" s="3" t="s">
        <v>174</v>
      </c>
      <c r="E614" s="3" t="s">
        <v>2004</v>
      </c>
      <c r="F614" s="3" t="s">
        <v>120</v>
      </c>
      <c r="G614" s="3">
        <v>7</v>
      </c>
      <c r="H614" s="3">
        <v>0</v>
      </c>
      <c r="I614" s="3">
        <v>0</v>
      </c>
      <c r="J614" s="3">
        <v>2</v>
      </c>
      <c r="K614" s="3">
        <v>5</v>
      </c>
      <c r="L614" s="3">
        <v>0</v>
      </c>
      <c r="M614" s="3">
        <v>0</v>
      </c>
      <c r="N614" s="3" t="s">
        <v>5218</v>
      </c>
      <c r="O614" s="3">
        <v>6</v>
      </c>
      <c r="P614" s="3">
        <v>1.74</v>
      </c>
      <c r="Q614" s="3">
        <v>0</v>
      </c>
      <c r="R614" s="3">
        <v>0</v>
      </c>
      <c r="S614" s="3">
        <v>2</v>
      </c>
      <c r="T614" s="3">
        <v>9</v>
      </c>
      <c r="U614" s="3">
        <v>14</v>
      </c>
      <c r="V614" s="3">
        <v>18</v>
      </c>
      <c r="W614" s="3"/>
      <c r="X614" s="3">
        <v>18.98</v>
      </c>
      <c r="Y614" s="3">
        <v>18.98</v>
      </c>
      <c r="Z614" s="3">
        <v>18.98</v>
      </c>
      <c r="AA614" s="3">
        <v>0</v>
      </c>
      <c r="AB614" s="3" t="s">
        <v>5223</v>
      </c>
      <c r="AC614" s="3">
        <v>8</v>
      </c>
      <c r="AD614" s="3">
        <v>18.98</v>
      </c>
      <c r="AE614" s="3">
        <v>0</v>
      </c>
      <c r="AF614" s="3">
        <v>0</v>
      </c>
      <c r="AG614" s="3">
        <v>0</v>
      </c>
      <c r="AH614" s="3">
        <v>1.04347826086956</v>
      </c>
      <c r="AI614" s="3" t="s">
        <v>5434</v>
      </c>
      <c r="AJ614" s="3" t="s">
        <v>5222</v>
      </c>
    </row>
    <row r="615" spans="1:36">
      <c r="A615" s="5">
        <v>43288</v>
      </c>
      <c r="B615" s="3" t="s">
        <v>2964</v>
      </c>
      <c r="C615" s="3" t="s">
        <v>1436</v>
      </c>
      <c r="D615" s="3" t="s">
        <v>1436</v>
      </c>
      <c r="E615" s="3" t="s">
        <v>1437</v>
      </c>
      <c r="F615" s="3" t="s">
        <v>120</v>
      </c>
      <c r="G615" s="3">
        <v>15</v>
      </c>
      <c r="H615" s="3">
        <v>0</v>
      </c>
      <c r="I615" s="3">
        <v>15</v>
      </c>
      <c r="J615" s="3">
        <v>0</v>
      </c>
      <c r="K615" s="3">
        <v>0</v>
      </c>
      <c r="L615" s="3">
        <v>0</v>
      </c>
      <c r="M615" s="3">
        <v>0</v>
      </c>
      <c r="N615" s="3" t="s">
        <v>5218</v>
      </c>
      <c r="O615" s="3">
        <v>0</v>
      </c>
      <c r="P615" s="3">
        <v>0</v>
      </c>
      <c r="Q615" s="3">
        <v>0</v>
      </c>
      <c r="R615" s="3">
        <v>0</v>
      </c>
      <c r="S615" s="3">
        <v>8</v>
      </c>
      <c r="T615" s="3">
        <v>83</v>
      </c>
      <c r="U615" s="3">
        <v>161</v>
      </c>
      <c r="V615" s="3">
        <v>189</v>
      </c>
      <c r="W615" s="3"/>
      <c r="X615" s="3">
        <v>22.98</v>
      </c>
      <c r="Y615" s="3">
        <v>22.98</v>
      </c>
      <c r="Z615" s="3">
        <v>22.98</v>
      </c>
      <c r="AA615" s="3">
        <v>0</v>
      </c>
      <c r="AB615" s="3" t="s">
        <v>5223</v>
      </c>
      <c r="AC615" s="3">
        <v>19</v>
      </c>
      <c r="AD615" s="3">
        <v>22.98</v>
      </c>
      <c r="AE615" s="3">
        <v>0</v>
      </c>
      <c r="AF615" s="3">
        <v>0</v>
      </c>
      <c r="AG615" s="3">
        <v>0</v>
      </c>
      <c r="AH615" s="3">
        <v>6.14634146341463</v>
      </c>
      <c r="AI615" s="3" t="s">
        <v>5236</v>
      </c>
      <c r="AJ615" s="3" t="s">
        <v>5222</v>
      </c>
    </row>
    <row r="616" spans="1:36">
      <c r="A616" s="5">
        <v>43288</v>
      </c>
      <c r="B616" s="3" t="s">
        <v>4192</v>
      </c>
      <c r="C616" s="3" t="s">
        <v>4193</v>
      </c>
      <c r="D616" s="3" t="s">
        <v>4193</v>
      </c>
      <c r="E616" s="3" t="s">
        <v>4194</v>
      </c>
      <c r="F616" s="3" t="s">
        <v>120</v>
      </c>
      <c r="G616" s="3">
        <v>8</v>
      </c>
      <c r="H616" s="3">
        <v>0</v>
      </c>
      <c r="I616" s="3">
        <v>8</v>
      </c>
      <c r="J616" s="3">
        <v>0</v>
      </c>
      <c r="K616" s="3">
        <v>0</v>
      </c>
      <c r="L616" s="3">
        <v>0</v>
      </c>
      <c r="M616" s="3">
        <v>0</v>
      </c>
      <c r="N616" s="3" t="s">
        <v>5218</v>
      </c>
      <c r="O616" s="3">
        <v>0</v>
      </c>
      <c r="P616" s="3">
        <v>0</v>
      </c>
      <c r="Q616" s="3">
        <v>0</v>
      </c>
      <c r="R616" s="3">
        <v>0</v>
      </c>
      <c r="S616" s="3">
        <v>0</v>
      </c>
      <c r="T616" s="3">
        <v>11</v>
      </c>
      <c r="U616" s="3">
        <v>24</v>
      </c>
      <c r="V616" s="3">
        <v>30</v>
      </c>
      <c r="W616" s="3"/>
      <c r="X616" s="3">
        <v>22.98</v>
      </c>
      <c r="Y616" s="3">
        <v>22.98</v>
      </c>
      <c r="Z616" s="3">
        <v>22.98</v>
      </c>
      <c r="AA616" s="3">
        <v>0</v>
      </c>
      <c r="AB616" s="3" t="s">
        <v>5223</v>
      </c>
      <c r="AC616" s="3">
        <v>7</v>
      </c>
      <c r="AD616" s="3">
        <v>22.98</v>
      </c>
      <c r="AE616" s="3">
        <v>0</v>
      </c>
      <c r="AF616" s="3">
        <v>0</v>
      </c>
      <c r="AG616" s="3">
        <v>0</v>
      </c>
      <c r="AH616" s="3">
        <v>3.55555555555555</v>
      </c>
      <c r="AI616" s="3" t="s">
        <v>5226</v>
      </c>
      <c r="AJ616" s="3" t="s">
        <v>5222</v>
      </c>
    </row>
    <row r="617" spans="1:36">
      <c r="A617" s="5">
        <v>43288</v>
      </c>
      <c r="B617" s="3" t="s">
        <v>2349</v>
      </c>
      <c r="C617" s="3" t="s">
        <v>2350</v>
      </c>
      <c r="D617" s="3" t="s">
        <v>2350</v>
      </c>
      <c r="E617" s="3" t="s">
        <v>2351</v>
      </c>
      <c r="F617" s="3" t="s">
        <v>120</v>
      </c>
      <c r="G617" s="3">
        <v>5</v>
      </c>
      <c r="H617" s="3">
        <v>0</v>
      </c>
      <c r="I617" s="3">
        <v>0</v>
      </c>
      <c r="J617" s="3">
        <v>5</v>
      </c>
      <c r="K617" s="3">
        <v>0</v>
      </c>
      <c r="L617" s="3">
        <v>0</v>
      </c>
      <c r="M617" s="3">
        <v>0</v>
      </c>
      <c r="N617" s="3" t="s">
        <v>5218</v>
      </c>
      <c r="O617" s="3">
        <v>4</v>
      </c>
      <c r="P617" s="3">
        <v>6.22</v>
      </c>
      <c r="Q617" s="3">
        <v>0</v>
      </c>
      <c r="R617" s="3">
        <v>0</v>
      </c>
      <c r="S617" s="3">
        <v>0</v>
      </c>
      <c r="T617" s="3">
        <v>1</v>
      </c>
      <c r="U617" s="3">
        <v>1</v>
      </c>
      <c r="V617" s="3">
        <v>4</v>
      </c>
      <c r="W617" s="3" t="s">
        <v>5227</v>
      </c>
      <c r="X617" s="3">
        <v>22.98</v>
      </c>
      <c r="Y617" s="3">
        <v>22.98</v>
      </c>
      <c r="Z617" s="3">
        <v>22.98</v>
      </c>
      <c r="AA617" s="3">
        <v>0</v>
      </c>
      <c r="AB617" s="3" t="s">
        <v>5223</v>
      </c>
      <c r="AC617" s="3">
        <v>5</v>
      </c>
      <c r="AD617" s="3">
        <v>22.98</v>
      </c>
      <c r="AE617" s="3">
        <v>0</v>
      </c>
      <c r="AF617" s="3">
        <v>0</v>
      </c>
      <c r="AG617" s="3">
        <v>0</v>
      </c>
      <c r="AH617" s="3">
        <v>0.615384615384615</v>
      </c>
      <c r="AI617" s="3" t="s">
        <v>5260</v>
      </c>
      <c r="AJ617" s="3" t="s">
        <v>5222</v>
      </c>
    </row>
    <row r="618" spans="1:36">
      <c r="A618" s="5">
        <v>43288</v>
      </c>
      <c r="B618" s="3" t="s">
        <v>4210</v>
      </c>
      <c r="C618" s="3" t="s">
        <v>4211</v>
      </c>
      <c r="D618" s="3" t="s">
        <v>4211</v>
      </c>
      <c r="E618" s="3" t="s">
        <v>4212</v>
      </c>
      <c r="F618" s="3" t="s">
        <v>120</v>
      </c>
      <c r="G618" s="3">
        <v>15</v>
      </c>
      <c r="H618" s="3">
        <v>0</v>
      </c>
      <c r="I618" s="3">
        <v>15</v>
      </c>
      <c r="J618" s="3">
        <v>0</v>
      </c>
      <c r="K618" s="3">
        <v>0</v>
      </c>
      <c r="L618" s="3">
        <v>0</v>
      </c>
      <c r="M618" s="3">
        <v>0</v>
      </c>
      <c r="N618" s="3" t="s">
        <v>5218</v>
      </c>
      <c r="O618" s="3">
        <v>0</v>
      </c>
      <c r="P618" s="3">
        <v>0</v>
      </c>
      <c r="Q618" s="3">
        <v>0</v>
      </c>
      <c r="R618" s="3">
        <v>0</v>
      </c>
      <c r="S618" s="3">
        <v>4</v>
      </c>
      <c r="T618" s="3">
        <v>16</v>
      </c>
      <c r="U618" s="3">
        <v>25</v>
      </c>
      <c r="V618" s="3">
        <v>34</v>
      </c>
      <c r="W618" s="3"/>
      <c r="X618" s="3">
        <v>22.98</v>
      </c>
      <c r="Y618" s="3">
        <v>22.98</v>
      </c>
      <c r="Z618" s="3">
        <v>22.98</v>
      </c>
      <c r="AA618" s="3">
        <v>0</v>
      </c>
      <c r="AB618" s="3" t="s">
        <v>5223</v>
      </c>
      <c r="AC618" s="3">
        <v>16</v>
      </c>
      <c r="AD618" s="3">
        <v>22.98</v>
      </c>
      <c r="AE618" s="3">
        <v>0</v>
      </c>
      <c r="AF618" s="3">
        <v>0</v>
      </c>
      <c r="AG618" s="3">
        <v>0</v>
      </c>
      <c r="AH618" s="3">
        <v>4.38709677419354</v>
      </c>
      <c r="AI618" s="3" t="s">
        <v>5435</v>
      </c>
      <c r="AJ618" s="3" t="s">
        <v>5222</v>
      </c>
    </row>
    <row r="619" spans="1:36">
      <c r="A619" s="5">
        <v>43288</v>
      </c>
      <c r="B619" s="3" t="s">
        <v>4157</v>
      </c>
      <c r="C619" s="3" t="s">
        <v>4158</v>
      </c>
      <c r="D619" s="3" t="s">
        <v>4158</v>
      </c>
      <c r="E619" s="3" t="s">
        <v>4159</v>
      </c>
      <c r="F619" s="3" t="s">
        <v>120</v>
      </c>
      <c r="G619" s="3">
        <v>15</v>
      </c>
      <c r="H619" s="3">
        <v>0</v>
      </c>
      <c r="I619" s="3">
        <v>15</v>
      </c>
      <c r="J619" s="3">
        <v>0</v>
      </c>
      <c r="K619" s="3">
        <v>0</v>
      </c>
      <c r="L619" s="3">
        <v>0</v>
      </c>
      <c r="M619" s="3">
        <v>0</v>
      </c>
      <c r="N619" s="3" t="s">
        <v>5218</v>
      </c>
      <c r="O619" s="3">
        <v>0</v>
      </c>
      <c r="P619" s="3">
        <v>0</v>
      </c>
      <c r="Q619" s="3">
        <v>0</v>
      </c>
      <c r="R619" s="3">
        <v>0</v>
      </c>
      <c r="S619" s="3">
        <v>1</v>
      </c>
      <c r="T619" s="3">
        <v>14</v>
      </c>
      <c r="U619" s="3">
        <v>25</v>
      </c>
      <c r="V619" s="3">
        <v>35</v>
      </c>
      <c r="W619" s="3"/>
      <c r="X619" s="3">
        <v>22.98</v>
      </c>
      <c r="Y619" s="3">
        <v>22.98</v>
      </c>
      <c r="Z619" s="3">
        <v>22.98</v>
      </c>
      <c r="AA619" s="3">
        <v>0</v>
      </c>
      <c r="AB619" s="3" t="s">
        <v>5223</v>
      </c>
      <c r="AC619" s="3">
        <v>15</v>
      </c>
      <c r="AD619" s="3">
        <v>22.98</v>
      </c>
      <c r="AE619" s="3">
        <v>0</v>
      </c>
      <c r="AF619" s="3">
        <v>0</v>
      </c>
      <c r="AG619" s="3">
        <v>0</v>
      </c>
      <c r="AH619" s="3">
        <v>3.68421052631578</v>
      </c>
      <c r="AI619" s="3" t="s">
        <v>5226</v>
      </c>
      <c r="AJ619" s="3" t="s">
        <v>5222</v>
      </c>
    </row>
    <row r="620" spans="1:36">
      <c r="A620" s="5">
        <v>43288</v>
      </c>
      <c r="B620" s="3" t="s">
        <v>2286</v>
      </c>
      <c r="C620" s="3" t="s">
        <v>2287</v>
      </c>
      <c r="D620" s="3" t="s">
        <v>2287</v>
      </c>
      <c r="E620" s="3" t="s">
        <v>2288</v>
      </c>
      <c r="F620" s="3" t="s">
        <v>120</v>
      </c>
      <c r="G620" s="3">
        <v>29</v>
      </c>
      <c r="H620" s="3">
        <v>0</v>
      </c>
      <c r="I620" s="3">
        <v>29</v>
      </c>
      <c r="J620" s="3">
        <v>0</v>
      </c>
      <c r="K620" s="3">
        <v>0</v>
      </c>
      <c r="L620" s="3">
        <v>0</v>
      </c>
      <c r="M620" s="3">
        <v>0</v>
      </c>
      <c r="N620" s="3" t="s">
        <v>5218</v>
      </c>
      <c r="O620" s="3">
        <v>0</v>
      </c>
      <c r="P620" s="3">
        <v>0</v>
      </c>
      <c r="Q620" s="3">
        <v>0</v>
      </c>
      <c r="R620" s="3">
        <v>0</v>
      </c>
      <c r="S620" s="3">
        <v>0</v>
      </c>
      <c r="T620" s="3">
        <v>4</v>
      </c>
      <c r="U620" s="3">
        <v>12</v>
      </c>
      <c r="V620" s="3">
        <v>15</v>
      </c>
      <c r="W620" s="3"/>
      <c r="X620" s="3">
        <v>22.98</v>
      </c>
      <c r="Y620" s="3">
        <v>22.98</v>
      </c>
      <c r="Z620" s="3">
        <v>22.98</v>
      </c>
      <c r="AA620" s="3">
        <v>0</v>
      </c>
      <c r="AB620" s="3" t="s">
        <v>5223</v>
      </c>
      <c r="AC620" s="3">
        <v>29</v>
      </c>
      <c r="AD620" s="3">
        <v>22.98</v>
      </c>
      <c r="AE620" s="3">
        <v>0</v>
      </c>
      <c r="AF620" s="3">
        <v>0</v>
      </c>
      <c r="AG620" s="3">
        <v>0</v>
      </c>
      <c r="AH620" s="3">
        <v>0.74074074074074</v>
      </c>
      <c r="AI620" s="3" t="s">
        <v>5260</v>
      </c>
      <c r="AJ620" s="3" t="s">
        <v>5222</v>
      </c>
    </row>
    <row r="621" spans="1:36">
      <c r="A621" s="5">
        <v>43288</v>
      </c>
      <c r="B621" s="3" t="s">
        <v>3199</v>
      </c>
      <c r="C621" s="3" t="s">
        <v>3200</v>
      </c>
      <c r="D621" s="3" t="s">
        <v>3201</v>
      </c>
      <c r="E621" s="3" t="s">
        <v>3202</v>
      </c>
      <c r="F621" s="3" t="s">
        <v>120</v>
      </c>
      <c r="G621" s="3">
        <v>30</v>
      </c>
      <c r="H621" s="3">
        <v>0</v>
      </c>
      <c r="I621" s="3">
        <v>30</v>
      </c>
      <c r="J621" s="3">
        <v>0</v>
      </c>
      <c r="K621" s="3">
        <v>0</v>
      </c>
      <c r="L621" s="3">
        <v>0</v>
      </c>
      <c r="M621" s="3">
        <v>0</v>
      </c>
      <c r="N621" s="3" t="s">
        <v>5218</v>
      </c>
      <c r="O621" s="3">
        <v>0</v>
      </c>
      <c r="P621" s="3">
        <v>0</v>
      </c>
      <c r="Q621" s="3">
        <v>0</v>
      </c>
      <c r="R621" s="3">
        <v>0</v>
      </c>
      <c r="S621" s="3">
        <v>2</v>
      </c>
      <c r="T621" s="3">
        <v>24</v>
      </c>
      <c r="U621" s="3">
        <v>24</v>
      </c>
      <c r="V621" s="3">
        <v>24</v>
      </c>
      <c r="W621" s="3"/>
      <c r="X621" s="3">
        <v>69.9</v>
      </c>
      <c r="Y621" s="3">
        <v>25.98</v>
      </c>
      <c r="Z621" s="3">
        <v>25.98</v>
      </c>
      <c r="AA621" s="3">
        <v>0</v>
      </c>
      <c r="AB621" s="3" t="s">
        <v>5223</v>
      </c>
      <c r="AC621" s="3">
        <v>0</v>
      </c>
      <c r="AD621" s="3">
        <v>0</v>
      </c>
      <c r="AE621" s="3">
        <v>0</v>
      </c>
      <c r="AF621" s="3">
        <v>0</v>
      </c>
      <c r="AG621" s="3">
        <v>0</v>
      </c>
      <c r="AH621" s="3">
        <v>2.4</v>
      </c>
      <c r="AI621" s="3" t="s">
        <v>5241</v>
      </c>
      <c r="AJ621" s="3" t="s">
        <v>5222</v>
      </c>
    </row>
    <row r="622" spans="1:36">
      <c r="A622" s="5">
        <v>43288</v>
      </c>
      <c r="B622" s="3" t="s">
        <v>1562</v>
      </c>
      <c r="C622" s="3" t="s">
        <v>1563</v>
      </c>
      <c r="D622" s="3" t="s">
        <v>1563</v>
      </c>
      <c r="E622" s="3" t="s">
        <v>1564</v>
      </c>
      <c r="F622" s="3" t="s">
        <v>120</v>
      </c>
      <c r="G622" s="3">
        <v>32</v>
      </c>
      <c r="H622" s="3">
        <v>0</v>
      </c>
      <c r="I622" s="3">
        <v>0</v>
      </c>
      <c r="J622" s="3">
        <v>0</v>
      </c>
      <c r="K622" s="3">
        <v>32</v>
      </c>
      <c r="L622" s="3">
        <v>0</v>
      </c>
      <c r="M622" s="3">
        <v>0</v>
      </c>
      <c r="N622" s="3" t="s">
        <v>5218</v>
      </c>
      <c r="O622" s="3">
        <v>32</v>
      </c>
      <c r="P622" s="3">
        <v>28.3</v>
      </c>
      <c r="Q622" s="3">
        <v>0</v>
      </c>
      <c r="R622" s="3">
        <v>0</v>
      </c>
      <c r="S622" s="3">
        <v>0</v>
      </c>
      <c r="T622" s="3">
        <v>1</v>
      </c>
      <c r="U622" s="3">
        <v>1</v>
      </c>
      <c r="V622" s="3">
        <v>1</v>
      </c>
      <c r="W622" s="3" t="s">
        <v>5227</v>
      </c>
      <c r="X622" s="3">
        <v>22.98</v>
      </c>
      <c r="Y622" s="3">
        <v>22.98</v>
      </c>
      <c r="Z622" s="3">
        <v>19.98</v>
      </c>
      <c r="AA622" s="3">
        <v>0</v>
      </c>
      <c r="AB622" s="3" t="s">
        <v>5228</v>
      </c>
      <c r="AC622" s="3">
        <v>9</v>
      </c>
      <c r="AD622" s="3">
        <v>20.33</v>
      </c>
      <c r="AE622" s="3">
        <v>196</v>
      </c>
      <c r="AF622" s="3">
        <v>0</v>
      </c>
      <c r="AG622" s="3">
        <v>33.094965</v>
      </c>
      <c r="AH622" s="3">
        <v>0.0305343511450381</v>
      </c>
      <c r="AI622" s="3" t="s">
        <v>5436</v>
      </c>
      <c r="AJ622" s="3" t="s">
        <v>5222</v>
      </c>
    </row>
    <row r="623" spans="1:36">
      <c r="A623" s="5">
        <v>43288</v>
      </c>
      <c r="B623" s="3" t="s">
        <v>4977</v>
      </c>
      <c r="C623" s="3" t="s">
        <v>4978</v>
      </c>
      <c r="D623" s="3" t="s">
        <v>4978</v>
      </c>
      <c r="E623" s="3" t="s">
        <v>4979</v>
      </c>
      <c r="F623" s="3" t="s">
        <v>120</v>
      </c>
      <c r="G623" s="3">
        <v>2</v>
      </c>
      <c r="H623" s="3">
        <v>0</v>
      </c>
      <c r="I623" s="3">
        <v>0</v>
      </c>
      <c r="J623" s="3">
        <v>0</v>
      </c>
      <c r="K623" s="3">
        <v>2</v>
      </c>
      <c r="L623" s="3">
        <v>0</v>
      </c>
      <c r="M623" s="3">
        <v>0</v>
      </c>
      <c r="N623" s="3" t="s">
        <v>5218</v>
      </c>
      <c r="O623" s="3">
        <v>2</v>
      </c>
      <c r="P623" s="3">
        <v>1.24</v>
      </c>
      <c r="Q623" s="3">
        <v>0</v>
      </c>
      <c r="R623" s="3">
        <v>0</v>
      </c>
      <c r="S623" s="3">
        <v>0</v>
      </c>
      <c r="T623" s="3">
        <v>1</v>
      </c>
      <c r="U623" s="3">
        <v>1</v>
      </c>
      <c r="V623" s="3">
        <v>1</v>
      </c>
      <c r="W623" s="3" t="s">
        <v>5219</v>
      </c>
      <c r="X623" s="3">
        <v>25</v>
      </c>
      <c r="Y623" s="3">
        <v>25</v>
      </c>
      <c r="Z623" s="3">
        <v>25</v>
      </c>
      <c r="AA623" s="3">
        <v>0</v>
      </c>
      <c r="AB623" s="3" t="s">
        <v>5223</v>
      </c>
      <c r="AC623" s="3">
        <v>2</v>
      </c>
      <c r="AD623" s="3">
        <v>25</v>
      </c>
      <c r="AE623" s="3">
        <v>0</v>
      </c>
      <c r="AF623" s="3">
        <v>0</v>
      </c>
      <c r="AG623" s="3">
        <v>0</v>
      </c>
      <c r="AH623" s="3">
        <v>0.363636363636363</v>
      </c>
      <c r="AI623" s="3" t="s">
        <v>5267</v>
      </c>
      <c r="AJ623" s="3" t="s">
        <v>5242</v>
      </c>
    </row>
    <row r="624" spans="1:36">
      <c r="A624" s="5">
        <v>43288</v>
      </c>
      <c r="B624" s="3" t="s">
        <v>1957</v>
      </c>
      <c r="C624" s="3" t="s">
        <v>124</v>
      </c>
      <c r="D624" s="3" t="s">
        <v>124</v>
      </c>
      <c r="E624" s="3" t="s">
        <v>1958</v>
      </c>
      <c r="F624" s="3" t="s">
        <v>120</v>
      </c>
      <c r="G624" s="3">
        <v>27</v>
      </c>
      <c r="H624" s="3">
        <v>0</v>
      </c>
      <c r="I624" s="3">
        <v>2</v>
      </c>
      <c r="J624" s="3">
        <v>1</v>
      </c>
      <c r="K624" s="3">
        <v>24</v>
      </c>
      <c r="L624" s="3">
        <v>0</v>
      </c>
      <c r="M624" s="3">
        <v>0</v>
      </c>
      <c r="N624" s="3" t="s">
        <v>5218</v>
      </c>
      <c r="O624" s="3">
        <v>25</v>
      </c>
      <c r="P624" s="3">
        <v>50.47</v>
      </c>
      <c r="Q624" s="3">
        <v>0</v>
      </c>
      <c r="R624" s="3">
        <v>0</v>
      </c>
      <c r="S624" s="3">
        <v>1</v>
      </c>
      <c r="T624" s="3">
        <v>5</v>
      </c>
      <c r="U624" s="3">
        <v>14</v>
      </c>
      <c r="V624" s="3">
        <v>23</v>
      </c>
      <c r="W624" s="3"/>
      <c r="X624" s="3">
        <v>39.98</v>
      </c>
      <c r="Y624" s="3">
        <v>20.98</v>
      </c>
      <c r="Z624" s="3">
        <v>20.98</v>
      </c>
      <c r="AA624" s="3">
        <v>0</v>
      </c>
      <c r="AB624" s="3" t="s">
        <v>5223</v>
      </c>
      <c r="AC624" s="3">
        <v>28</v>
      </c>
      <c r="AD624" s="3">
        <v>23.98</v>
      </c>
      <c r="AE624" s="3">
        <v>0</v>
      </c>
      <c r="AF624" s="3">
        <v>0</v>
      </c>
      <c r="AG624" s="3">
        <v>0</v>
      </c>
      <c r="AH624" s="3">
        <v>0.625850340136054</v>
      </c>
      <c r="AI624" s="3" t="s">
        <v>5437</v>
      </c>
      <c r="AJ624" s="3" t="s">
        <v>5222</v>
      </c>
    </row>
    <row r="625" spans="1:36">
      <c r="A625" s="5">
        <v>43288</v>
      </c>
      <c r="B625" s="3" t="s">
        <v>2400</v>
      </c>
      <c r="C625" s="3" t="s">
        <v>2401</v>
      </c>
      <c r="D625" s="3" t="s">
        <v>2401</v>
      </c>
      <c r="E625" s="3" t="s">
        <v>2402</v>
      </c>
      <c r="F625" s="3" t="s">
        <v>120</v>
      </c>
      <c r="G625" s="3">
        <v>12</v>
      </c>
      <c r="H625" s="3">
        <v>0</v>
      </c>
      <c r="I625" s="3">
        <v>0</v>
      </c>
      <c r="J625" s="3">
        <v>11</v>
      </c>
      <c r="K625" s="3">
        <v>1</v>
      </c>
      <c r="L625" s="3">
        <v>0</v>
      </c>
      <c r="M625" s="3">
        <v>0</v>
      </c>
      <c r="N625" s="3" t="s">
        <v>5218</v>
      </c>
      <c r="O625" s="3">
        <v>9</v>
      </c>
      <c r="P625" s="3">
        <v>14.77</v>
      </c>
      <c r="Q625" s="3">
        <v>0</v>
      </c>
      <c r="R625" s="3">
        <v>0</v>
      </c>
      <c r="S625" s="3">
        <v>0</v>
      </c>
      <c r="T625" s="3">
        <v>0</v>
      </c>
      <c r="U625" s="3">
        <v>0</v>
      </c>
      <c r="V625" s="3">
        <v>1</v>
      </c>
      <c r="W625" s="3" t="s">
        <v>5227</v>
      </c>
      <c r="X625" s="3">
        <v>22.98</v>
      </c>
      <c r="Y625" s="3">
        <v>22.98</v>
      </c>
      <c r="Z625" s="3">
        <v>22</v>
      </c>
      <c r="AA625" s="3">
        <v>0</v>
      </c>
      <c r="AB625" s="3" t="s">
        <v>5228</v>
      </c>
      <c r="AC625" s="3">
        <v>0</v>
      </c>
      <c r="AD625" s="3">
        <v>18.96</v>
      </c>
      <c r="AE625" s="3">
        <v>322</v>
      </c>
      <c r="AF625" s="3">
        <v>0</v>
      </c>
      <c r="AG625" s="3">
        <v>304.80465</v>
      </c>
      <c r="AH625" s="3">
        <v>0.0816326530612244</v>
      </c>
      <c r="AI625" s="3" t="s">
        <v>5240</v>
      </c>
      <c r="AJ625" s="3" t="s">
        <v>5222</v>
      </c>
    </row>
    <row r="626" spans="1:36">
      <c r="A626" s="5">
        <v>43288</v>
      </c>
      <c r="B626" s="3" t="s">
        <v>744</v>
      </c>
      <c r="C626" s="3" t="s">
        <v>745</v>
      </c>
      <c r="D626" s="3" t="s">
        <v>665</v>
      </c>
      <c r="E626" s="3" t="s">
        <v>666</v>
      </c>
      <c r="F626" s="3" t="s">
        <v>120</v>
      </c>
      <c r="G626" s="3">
        <v>5</v>
      </c>
      <c r="H626" s="3">
        <v>0</v>
      </c>
      <c r="I626" s="3">
        <v>5</v>
      </c>
      <c r="J626" s="3">
        <v>0</v>
      </c>
      <c r="K626" s="3">
        <v>0</v>
      </c>
      <c r="L626" s="3">
        <v>0</v>
      </c>
      <c r="M626" s="3">
        <v>0</v>
      </c>
      <c r="N626" s="3" t="s">
        <v>5218</v>
      </c>
      <c r="O626" s="3">
        <v>0</v>
      </c>
      <c r="P626" s="3">
        <v>0</v>
      </c>
      <c r="Q626" s="3">
        <v>0</v>
      </c>
      <c r="R626" s="3">
        <v>0</v>
      </c>
      <c r="S626" s="3">
        <v>0</v>
      </c>
      <c r="T626" s="3">
        <v>0</v>
      </c>
      <c r="U626" s="3">
        <v>0</v>
      </c>
      <c r="V626" s="3">
        <v>0</v>
      </c>
      <c r="W626" s="3" t="s">
        <v>5227</v>
      </c>
      <c r="X626" s="3">
        <v>24.98</v>
      </c>
      <c r="Y626" s="3">
        <v>24.98</v>
      </c>
      <c r="Z626" s="3">
        <v>24.98</v>
      </c>
      <c r="AA626" s="3">
        <v>0</v>
      </c>
      <c r="AB626" s="3" t="s">
        <v>5223</v>
      </c>
      <c r="AC626" s="3">
        <v>1</v>
      </c>
      <c r="AD626" s="3">
        <v>24.98</v>
      </c>
      <c r="AE626" s="3">
        <v>0</v>
      </c>
      <c r="AF626" s="3">
        <v>0</v>
      </c>
      <c r="AG626" s="3">
        <v>0</v>
      </c>
      <c r="AH626" s="3">
        <v>5</v>
      </c>
      <c r="AI626" s="3" t="s">
        <v>5250</v>
      </c>
      <c r="AJ626" s="3" t="s">
        <v>5222</v>
      </c>
    </row>
    <row r="627" spans="1:36">
      <c r="A627" s="5">
        <v>43288</v>
      </c>
      <c r="B627" s="3" t="s">
        <v>2924</v>
      </c>
      <c r="C627" s="3" t="s">
        <v>1325</v>
      </c>
      <c r="D627" s="3" t="s">
        <v>1325</v>
      </c>
      <c r="E627" s="3" t="s">
        <v>1326</v>
      </c>
      <c r="F627" s="3" t="s">
        <v>120</v>
      </c>
      <c r="G627" s="3">
        <v>3</v>
      </c>
      <c r="H627" s="3">
        <v>0</v>
      </c>
      <c r="I627" s="3">
        <v>3</v>
      </c>
      <c r="J627" s="3">
        <v>0</v>
      </c>
      <c r="K627" s="3">
        <v>0</v>
      </c>
      <c r="L627" s="3">
        <v>0</v>
      </c>
      <c r="M627" s="3">
        <v>0</v>
      </c>
      <c r="N627" s="3" t="s">
        <v>5218</v>
      </c>
      <c r="O627" s="3">
        <v>0</v>
      </c>
      <c r="P627" s="3">
        <v>0</v>
      </c>
      <c r="Q627" s="3">
        <v>0</v>
      </c>
      <c r="R627" s="3">
        <v>0</v>
      </c>
      <c r="S627" s="3">
        <v>16</v>
      </c>
      <c r="T627" s="3">
        <v>72</v>
      </c>
      <c r="U627" s="3">
        <v>119</v>
      </c>
      <c r="V627" s="3">
        <v>119</v>
      </c>
      <c r="W627" s="3"/>
      <c r="X627" s="3">
        <v>24.98</v>
      </c>
      <c r="Y627" s="3">
        <v>24.98</v>
      </c>
      <c r="Z627" s="3">
        <v>24.98</v>
      </c>
      <c r="AA627" s="3">
        <v>0</v>
      </c>
      <c r="AB627" s="3" t="s">
        <v>5223</v>
      </c>
      <c r="AC627" s="3">
        <v>4</v>
      </c>
      <c r="AD627" s="3">
        <v>24.98</v>
      </c>
      <c r="AE627" s="3">
        <v>0</v>
      </c>
      <c r="AF627" s="3">
        <v>0</v>
      </c>
      <c r="AG627" s="3">
        <v>0</v>
      </c>
      <c r="AH627" s="3">
        <v>5.578125</v>
      </c>
      <c r="AI627" s="3" t="s">
        <v>5236</v>
      </c>
      <c r="AJ627" s="3" t="s">
        <v>5222</v>
      </c>
    </row>
    <row r="628" spans="1:36">
      <c r="A628" s="5">
        <v>43288</v>
      </c>
      <c r="B628" s="3" t="s">
        <v>2093</v>
      </c>
      <c r="C628" s="3" t="s">
        <v>2094</v>
      </c>
      <c r="D628" s="3" t="s">
        <v>2094</v>
      </c>
      <c r="E628" s="3" t="s">
        <v>2095</v>
      </c>
      <c r="F628" s="3" t="s">
        <v>120</v>
      </c>
      <c r="G628" s="3">
        <v>28</v>
      </c>
      <c r="H628" s="3">
        <v>0</v>
      </c>
      <c r="I628" s="3">
        <v>28</v>
      </c>
      <c r="J628" s="3">
        <v>0</v>
      </c>
      <c r="K628" s="3">
        <v>0</v>
      </c>
      <c r="L628" s="3">
        <v>0</v>
      </c>
      <c r="M628" s="3">
        <v>0</v>
      </c>
      <c r="N628" s="3" t="s">
        <v>5218</v>
      </c>
      <c r="O628" s="3">
        <v>0</v>
      </c>
      <c r="P628" s="3">
        <v>0</v>
      </c>
      <c r="Q628" s="3">
        <v>0</v>
      </c>
      <c r="R628" s="3">
        <v>0</v>
      </c>
      <c r="S628" s="3">
        <v>0</v>
      </c>
      <c r="T628" s="3">
        <v>3</v>
      </c>
      <c r="U628" s="3">
        <v>16</v>
      </c>
      <c r="V628" s="3">
        <v>30</v>
      </c>
      <c r="W628" s="3" t="s">
        <v>5227</v>
      </c>
      <c r="X628" s="3">
        <v>18.98</v>
      </c>
      <c r="Y628" s="3">
        <v>23.98</v>
      </c>
      <c r="Z628" s="3">
        <v>23.98</v>
      </c>
      <c r="AA628" s="3">
        <v>0</v>
      </c>
      <c r="AB628" s="3" t="s">
        <v>5228</v>
      </c>
      <c r="AC628" s="3">
        <v>2</v>
      </c>
      <c r="AD628" s="3">
        <v>16.78</v>
      </c>
      <c r="AE628" s="3">
        <v>189</v>
      </c>
      <c r="AF628" s="3">
        <v>0</v>
      </c>
      <c r="AG628" s="3">
        <v>308.064863</v>
      </c>
      <c r="AH628" s="3">
        <v>1.07142857142857</v>
      </c>
      <c r="AI628" s="3" t="s">
        <v>5438</v>
      </c>
      <c r="AJ628" s="3" t="s">
        <v>5222</v>
      </c>
    </row>
    <row r="629" spans="1:36">
      <c r="A629" s="5">
        <v>43288</v>
      </c>
      <c r="B629" s="3" t="s">
        <v>4566</v>
      </c>
      <c r="C629" s="3" t="s">
        <v>3987</v>
      </c>
      <c r="D629" s="3" t="s">
        <v>3987</v>
      </c>
      <c r="E629" s="3" t="s">
        <v>3988</v>
      </c>
      <c r="F629" s="3" t="s">
        <v>120</v>
      </c>
      <c r="G629" s="3">
        <v>9</v>
      </c>
      <c r="H629" s="3">
        <v>0</v>
      </c>
      <c r="I629" s="3">
        <v>9</v>
      </c>
      <c r="J629" s="3">
        <v>0</v>
      </c>
      <c r="K629" s="3">
        <v>0</v>
      </c>
      <c r="L629" s="3">
        <v>0</v>
      </c>
      <c r="M629" s="3">
        <v>0</v>
      </c>
      <c r="N629" s="3" t="s">
        <v>5218</v>
      </c>
      <c r="O629" s="3">
        <v>0</v>
      </c>
      <c r="P629" s="3">
        <v>0</v>
      </c>
      <c r="Q629" s="3">
        <v>0</v>
      </c>
      <c r="R629" s="3">
        <v>0</v>
      </c>
      <c r="S629" s="3">
        <v>1</v>
      </c>
      <c r="T629" s="3">
        <v>3</v>
      </c>
      <c r="U629" s="3">
        <v>9</v>
      </c>
      <c r="V629" s="3">
        <v>12</v>
      </c>
      <c r="W629" s="3"/>
      <c r="X629" s="3">
        <v>20.98</v>
      </c>
      <c r="Y629" s="3">
        <v>20.98</v>
      </c>
      <c r="Z629" s="3">
        <v>20.98</v>
      </c>
      <c r="AA629" s="3">
        <v>0</v>
      </c>
      <c r="AB629" s="3" t="s">
        <v>5223</v>
      </c>
      <c r="AC629" s="3">
        <v>10</v>
      </c>
      <c r="AD629" s="3">
        <v>20.98</v>
      </c>
      <c r="AE629" s="3">
        <v>0</v>
      </c>
      <c r="AF629" s="3">
        <v>0</v>
      </c>
      <c r="AG629" s="3">
        <v>0</v>
      </c>
      <c r="AH629" s="3">
        <v>2.66666666666666</v>
      </c>
      <c r="AI629" s="3" t="s">
        <v>5226</v>
      </c>
      <c r="AJ629" s="3" t="s">
        <v>5222</v>
      </c>
    </row>
    <row r="630" spans="1:36">
      <c r="A630" s="5">
        <v>43288</v>
      </c>
      <c r="B630" s="3" t="s">
        <v>2195</v>
      </c>
      <c r="C630" s="3" t="s">
        <v>2196</v>
      </c>
      <c r="D630" s="3" t="s">
        <v>2196</v>
      </c>
      <c r="E630" s="3" t="s">
        <v>2197</v>
      </c>
      <c r="F630" s="3" t="s">
        <v>120</v>
      </c>
      <c r="G630" s="3">
        <v>17</v>
      </c>
      <c r="H630" s="3">
        <v>0</v>
      </c>
      <c r="I630" s="3">
        <v>10</v>
      </c>
      <c r="J630" s="3">
        <v>7</v>
      </c>
      <c r="K630" s="3">
        <v>0</v>
      </c>
      <c r="L630" s="3">
        <v>0</v>
      </c>
      <c r="M630" s="3">
        <v>0</v>
      </c>
      <c r="N630" s="3" t="s">
        <v>5218</v>
      </c>
      <c r="O630" s="3">
        <v>7</v>
      </c>
      <c r="P630" s="3">
        <v>5.04</v>
      </c>
      <c r="Q630" s="3">
        <v>0</v>
      </c>
      <c r="R630" s="3">
        <v>0</v>
      </c>
      <c r="S630" s="3">
        <v>1</v>
      </c>
      <c r="T630" s="3">
        <v>2</v>
      </c>
      <c r="U630" s="3">
        <v>5</v>
      </c>
      <c r="V630" s="3">
        <v>8</v>
      </c>
      <c r="W630" s="3"/>
      <c r="X630" s="3">
        <v>22.98</v>
      </c>
      <c r="Y630" s="3">
        <v>22.98</v>
      </c>
      <c r="Z630" s="3">
        <v>22</v>
      </c>
      <c r="AA630" s="3">
        <v>0</v>
      </c>
      <c r="AB630" s="3" t="s">
        <v>5223</v>
      </c>
      <c r="AC630" s="3">
        <v>17</v>
      </c>
      <c r="AD630" s="3">
        <v>22.98</v>
      </c>
      <c r="AE630" s="3">
        <v>0</v>
      </c>
      <c r="AF630" s="3">
        <v>0</v>
      </c>
      <c r="AG630" s="3">
        <v>0</v>
      </c>
      <c r="AH630" s="3">
        <v>0.438356164383561</v>
      </c>
      <c r="AI630" s="3" t="s">
        <v>5439</v>
      </c>
      <c r="AJ630" s="3" t="s">
        <v>5222</v>
      </c>
    </row>
    <row r="631" spans="1:36">
      <c r="A631" s="5">
        <v>43288</v>
      </c>
      <c r="B631" s="3" t="s">
        <v>1492</v>
      </c>
      <c r="C631" s="3" t="s">
        <v>52</v>
      </c>
      <c r="D631" s="3" t="s">
        <v>52</v>
      </c>
      <c r="E631" s="3" t="s">
        <v>1493</v>
      </c>
      <c r="F631" s="3" t="s">
        <v>120</v>
      </c>
      <c r="G631" s="3">
        <v>29</v>
      </c>
      <c r="H631" s="3">
        <v>0</v>
      </c>
      <c r="I631" s="3">
        <v>23</v>
      </c>
      <c r="J631" s="3">
        <v>6</v>
      </c>
      <c r="K631" s="3">
        <v>0</v>
      </c>
      <c r="L631" s="3">
        <v>0</v>
      </c>
      <c r="M631" s="3">
        <v>0</v>
      </c>
      <c r="N631" s="3" t="s">
        <v>5218</v>
      </c>
      <c r="O631" s="3">
        <v>0</v>
      </c>
      <c r="P631" s="3">
        <v>0</v>
      </c>
      <c r="Q631" s="3">
        <v>0</v>
      </c>
      <c r="R631" s="3">
        <v>0</v>
      </c>
      <c r="S631" s="3">
        <v>3</v>
      </c>
      <c r="T631" s="3">
        <v>17</v>
      </c>
      <c r="U631" s="3">
        <v>23</v>
      </c>
      <c r="V631" s="3">
        <v>40</v>
      </c>
      <c r="W631" s="3"/>
      <c r="X631" s="3">
        <v>22.98</v>
      </c>
      <c r="Y631" s="3">
        <v>22.98</v>
      </c>
      <c r="Z631" s="3">
        <v>19.98</v>
      </c>
      <c r="AA631" s="3">
        <v>0</v>
      </c>
      <c r="AB631" s="3" t="s">
        <v>5223</v>
      </c>
      <c r="AC631" s="3">
        <v>30</v>
      </c>
      <c r="AD631" s="3">
        <v>22.98</v>
      </c>
      <c r="AE631" s="3">
        <v>0</v>
      </c>
      <c r="AF631" s="3">
        <v>0</v>
      </c>
      <c r="AG631" s="3">
        <v>0</v>
      </c>
      <c r="AH631" s="3">
        <v>1.05960264900662</v>
      </c>
      <c r="AI631" s="3" t="s">
        <v>5440</v>
      </c>
      <c r="AJ631" s="3" t="s">
        <v>5222</v>
      </c>
    </row>
    <row r="632" spans="1:36">
      <c r="A632" s="5">
        <v>43288</v>
      </c>
      <c r="B632" s="3" t="s">
        <v>4142</v>
      </c>
      <c r="C632" s="3" t="s">
        <v>4143</v>
      </c>
      <c r="D632" s="3" t="s">
        <v>4143</v>
      </c>
      <c r="E632" s="3" t="s">
        <v>4144</v>
      </c>
      <c r="F632" s="3" t="s">
        <v>120</v>
      </c>
      <c r="G632" s="3">
        <v>8</v>
      </c>
      <c r="H632" s="3">
        <v>0</v>
      </c>
      <c r="I632" s="3">
        <v>8</v>
      </c>
      <c r="J632" s="3">
        <v>0</v>
      </c>
      <c r="K632" s="3">
        <v>0</v>
      </c>
      <c r="L632" s="3">
        <v>0</v>
      </c>
      <c r="M632" s="3">
        <v>0</v>
      </c>
      <c r="N632" s="3" t="s">
        <v>5218</v>
      </c>
      <c r="O632" s="3">
        <v>0</v>
      </c>
      <c r="P632" s="3">
        <v>0</v>
      </c>
      <c r="Q632" s="3">
        <v>0</v>
      </c>
      <c r="R632" s="3">
        <v>0</v>
      </c>
      <c r="S632" s="3">
        <v>0</v>
      </c>
      <c r="T632" s="3">
        <v>2</v>
      </c>
      <c r="U632" s="3">
        <v>2</v>
      </c>
      <c r="V632" s="3">
        <v>2</v>
      </c>
      <c r="W632" s="3"/>
      <c r="X632" s="3">
        <v>22.98</v>
      </c>
      <c r="Y632" s="3">
        <v>22.98</v>
      </c>
      <c r="Z632" s="3">
        <v>22.98</v>
      </c>
      <c r="AA632" s="3">
        <v>0</v>
      </c>
      <c r="AB632" s="3" t="s">
        <v>5223</v>
      </c>
      <c r="AC632" s="3">
        <v>8</v>
      </c>
      <c r="AD632" s="3">
        <v>22.98</v>
      </c>
      <c r="AE632" s="3">
        <v>0</v>
      </c>
      <c r="AF632" s="3">
        <v>0</v>
      </c>
      <c r="AG632" s="3">
        <v>0</v>
      </c>
      <c r="AH632" s="3">
        <v>0.285714285714285</v>
      </c>
      <c r="AI632" s="3" t="s">
        <v>5226</v>
      </c>
      <c r="AJ632" s="3" t="s">
        <v>5222</v>
      </c>
    </row>
    <row r="633" spans="1:36">
      <c r="A633" s="5">
        <v>43288</v>
      </c>
      <c r="B633" s="3" t="s">
        <v>4590</v>
      </c>
      <c r="C633" s="3" t="s">
        <v>4083</v>
      </c>
      <c r="D633" s="3" t="s">
        <v>4083</v>
      </c>
      <c r="E633" s="3" t="s">
        <v>4084</v>
      </c>
      <c r="F633" s="3" t="s">
        <v>120</v>
      </c>
      <c r="G633" s="3">
        <v>4</v>
      </c>
      <c r="H633" s="3">
        <v>0</v>
      </c>
      <c r="I633" s="3">
        <v>4</v>
      </c>
      <c r="J633" s="3">
        <v>0</v>
      </c>
      <c r="K633" s="3">
        <v>0</v>
      </c>
      <c r="L633" s="3">
        <v>0</v>
      </c>
      <c r="M633" s="3">
        <v>0</v>
      </c>
      <c r="N633" s="3" t="s">
        <v>5218</v>
      </c>
      <c r="O633" s="3">
        <v>0</v>
      </c>
      <c r="P633" s="3">
        <v>0</v>
      </c>
      <c r="Q633" s="3">
        <v>0</v>
      </c>
      <c r="R633" s="3">
        <v>0</v>
      </c>
      <c r="S633" s="3">
        <v>0</v>
      </c>
      <c r="T633" s="3">
        <v>6</v>
      </c>
      <c r="U633" s="3">
        <v>10</v>
      </c>
      <c r="V633" s="3">
        <v>14</v>
      </c>
      <c r="W633" s="3"/>
      <c r="X633" s="3">
        <v>20.98</v>
      </c>
      <c r="Y633" s="3">
        <v>20.98</v>
      </c>
      <c r="Z633" s="3">
        <v>20.98</v>
      </c>
      <c r="AA633" s="3">
        <v>0</v>
      </c>
      <c r="AB633" s="3" t="s">
        <v>5223</v>
      </c>
      <c r="AC633" s="3">
        <v>3</v>
      </c>
      <c r="AD633" s="3">
        <v>20.98</v>
      </c>
      <c r="AE633" s="3">
        <v>0</v>
      </c>
      <c r="AF633" s="3">
        <v>0</v>
      </c>
      <c r="AG633" s="3">
        <v>0</v>
      </c>
      <c r="AH633" s="3">
        <v>3.5</v>
      </c>
      <c r="AI633" s="3" t="s">
        <v>5226</v>
      </c>
      <c r="AJ633" s="3" t="s">
        <v>5222</v>
      </c>
    </row>
    <row r="634" spans="1:36">
      <c r="A634" s="5">
        <v>43288</v>
      </c>
      <c r="B634" s="3" t="s">
        <v>4261</v>
      </c>
      <c r="C634" s="3" t="s">
        <v>4262</v>
      </c>
      <c r="D634" s="3" t="s">
        <v>4262</v>
      </c>
      <c r="E634" s="3" t="s">
        <v>4263</v>
      </c>
      <c r="F634" s="3" t="s">
        <v>120</v>
      </c>
      <c r="G634" s="3">
        <v>12</v>
      </c>
      <c r="H634" s="3">
        <v>0</v>
      </c>
      <c r="I634" s="3">
        <v>12</v>
      </c>
      <c r="J634" s="3">
        <v>0</v>
      </c>
      <c r="K634" s="3">
        <v>0</v>
      </c>
      <c r="L634" s="3">
        <v>0</v>
      </c>
      <c r="M634" s="3">
        <v>0</v>
      </c>
      <c r="N634" s="3" t="s">
        <v>5218</v>
      </c>
      <c r="O634" s="3">
        <v>0</v>
      </c>
      <c r="P634" s="3">
        <v>0</v>
      </c>
      <c r="Q634" s="3">
        <v>0</v>
      </c>
      <c r="R634" s="3">
        <v>0</v>
      </c>
      <c r="S634" s="3">
        <v>1</v>
      </c>
      <c r="T634" s="3">
        <v>1</v>
      </c>
      <c r="U634" s="3">
        <v>2</v>
      </c>
      <c r="V634" s="3">
        <v>3</v>
      </c>
      <c r="W634" s="3" t="s">
        <v>5227</v>
      </c>
      <c r="X634" s="3">
        <v>23.98</v>
      </c>
      <c r="Y634" s="3">
        <v>23.98</v>
      </c>
      <c r="Z634" s="3">
        <v>23.98</v>
      </c>
      <c r="AA634" s="3">
        <v>0</v>
      </c>
      <c r="AB634" s="3" t="s">
        <v>5228</v>
      </c>
      <c r="AC634" s="3">
        <v>4</v>
      </c>
      <c r="AD634" s="3">
        <v>22.51</v>
      </c>
      <c r="AE634" s="3">
        <v>70</v>
      </c>
      <c r="AF634" s="3">
        <v>0</v>
      </c>
      <c r="AG634" s="3">
        <v>267.639348</v>
      </c>
      <c r="AH634" s="3">
        <v>0.307692307692307</v>
      </c>
      <c r="AI634" s="3" t="s">
        <v>5441</v>
      </c>
      <c r="AJ634" s="3" t="s">
        <v>5222</v>
      </c>
    </row>
    <row r="635" spans="1:36">
      <c r="A635" s="5">
        <v>43288</v>
      </c>
      <c r="B635" s="3" t="s">
        <v>4380</v>
      </c>
      <c r="C635" s="3" t="s">
        <v>3370</v>
      </c>
      <c r="D635" s="3" t="s">
        <v>3370</v>
      </c>
      <c r="E635" s="3" t="s">
        <v>3371</v>
      </c>
      <c r="F635" s="3" t="s">
        <v>120</v>
      </c>
      <c r="G635" s="3">
        <v>2</v>
      </c>
      <c r="H635" s="3">
        <v>0</v>
      </c>
      <c r="I635" s="3">
        <v>2</v>
      </c>
      <c r="J635" s="3">
        <v>0</v>
      </c>
      <c r="K635" s="3">
        <v>0</v>
      </c>
      <c r="L635" s="3">
        <v>0</v>
      </c>
      <c r="M635" s="3">
        <v>0</v>
      </c>
      <c r="N635" s="3" t="s">
        <v>5218</v>
      </c>
      <c r="O635" s="3">
        <v>0</v>
      </c>
      <c r="P635" s="3">
        <v>0</v>
      </c>
      <c r="Q635" s="3">
        <v>0</v>
      </c>
      <c r="R635" s="3">
        <v>0</v>
      </c>
      <c r="S635" s="3">
        <v>0</v>
      </c>
      <c r="T635" s="3">
        <v>1</v>
      </c>
      <c r="U635" s="3">
        <v>4</v>
      </c>
      <c r="V635" s="3">
        <v>4</v>
      </c>
      <c r="W635" s="3"/>
      <c r="X635" s="3">
        <v>22.98</v>
      </c>
      <c r="Y635" s="3">
        <v>22.98</v>
      </c>
      <c r="Z635" s="3">
        <v>22.98</v>
      </c>
      <c r="AA635" s="3">
        <v>0</v>
      </c>
      <c r="AB635" s="3" t="s">
        <v>5223</v>
      </c>
      <c r="AC635" s="3">
        <v>2</v>
      </c>
      <c r="AD635" s="3">
        <v>22.98</v>
      </c>
      <c r="AE635" s="3">
        <v>0</v>
      </c>
      <c r="AF635" s="3">
        <v>0</v>
      </c>
      <c r="AG635" s="3">
        <v>0</v>
      </c>
      <c r="AH635" s="3">
        <v>1.77777777777777</v>
      </c>
      <c r="AI635" s="3" t="s">
        <v>5239</v>
      </c>
      <c r="AJ635" s="3" t="s">
        <v>5222</v>
      </c>
    </row>
    <row r="636" spans="1:36">
      <c r="A636" s="5">
        <v>43288</v>
      </c>
      <c r="B636" s="3" t="s">
        <v>4273</v>
      </c>
      <c r="C636" s="3" t="s">
        <v>4274</v>
      </c>
      <c r="D636" s="3" t="s">
        <v>4274</v>
      </c>
      <c r="E636" s="3" t="s">
        <v>4275</v>
      </c>
      <c r="F636" s="3" t="s">
        <v>120</v>
      </c>
      <c r="G636" s="3">
        <v>8</v>
      </c>
      <c r="H636" s="3">
        <v>0</v>
      </c>
      <c r="I636" s="3">
        <v>8</v>
      </c>
      <c r="J636" s="3">
        <v>0</v>
      </c>
      <c r="K636" s="3">
        <v>0</v>
      </c>
      <c r="L636" s="3">
        <v>0</v>
      </c>
      <c r="M636" s="3">
        <v>0</v>
      </c>
      <c r="N636" s="3" t="s">
        <v>5218</v>
      </c>
      <c r="O636" s="3">
        <v>0</v>
      </c>
      <c r="P636" s="3">
        <v>0</v>
      </c>
      <c r="Q636" s="3">
        <v>0</v>
      </c>
      <c r="R636" s="3">
        <v>0</v>
      </c>
      <c r="S636" s="3">
        <v>0</v>
      </c>
      <c r="T636" s="3">
        <v>1</v>
      </c>
      <c r="U636" s="3">
        <v>8</v>
      </c>
      <c r="V636" s="3">
        <v>12</v>
      </c>
      <c r="W636" s="3"/>
      <c r="X636" s="3">
        <v>23.98</v>
      </c>
      <c r="Y636" s="3">
        <v>23.98</v>
      </c>
      <c r="Z636" s="3">
        <v>23.98</v>
      </c>
      <c r="AA636" s="3">
        <v>0</v>
      </c>
      <c r="AB636" s="3" t="s">
        <v>5228</v>
      </c>
      <c r="AC636" s="3">
        <v>4</v>
      </c>
      <c r="AD636" s="3">
        <v>22.68</v>
      </c>
      <c r="AE636" s="3">
        <v>42</v>
      </c>
      <c r="AF636" s="3">
        <v>0</v>
      </c>
      <c r="AG636" s="3">
        <v>163.555546</v>
      </c>
      <c r="AH636" s="3">
        <v>1.45454545454545</v>
      </c>
      <c r="AI636" s="3" t="s">
        <v>5442</v>
      </c>
      <c r="AJ636" s="3" t="s">
        <v>5222</v>
      </c>
    </row>
    <row r="637" spans="1:36">
      <c r="A637" s="5">
        <v>43288</v>
      </c>
      <c r="B637" s="3" t="s">
        <v>2908</v>
      </c>
      <c r="C637" s="3" t="s">
        <v>2909</v>
      </c>
      <c r="D637" s="3" t="s">
        <v>2909</v>
      </c>
      <c r="E637" s="3" t="s">
        <v>2910</v>
      </c>
      <c r="F637" s="3" t="s">
        <v>120</v>
      </c>
      <c r="G637" s="3">
        <v>34</v>
      </c>
      <c r="H637" s="3">
        <v>0</v>
      </c>
      <c r="I637" s="3">
        <v>0</v>
      </c>
      <c r="J637" s="3">
        <v>34</v>
      </c>
      <c r="K637" s="3">
        <v>0</v>
      </c>
      <c r="L637" s="3">
        <v>0</v>
      </c>
      <c r="M637" s="3">
        <v>0</v>
      </c>
      <c r="N637" s="3" t="s">
        <v>5218</v>
      </c>
      <c r="O637" s="3">
        <v>4</v>
      </c>
      <c r="P637" s="3">
        <v>5.19</v>
      </c>
      <c r="Q637" s="3">
        <v>0</v>
      </c>
      <c r="R637" s="3">
        <v>0</v>
      </c>
      <c r="S637" s="3">
        <v>0</v>
      </c>
      <c r="T637" s="3">
        <v>1</v>
      </c>
      <c r="U637" s="3">
        <v>1</v>
      </c>
      <c r="V637" s="3">
        <v>2</v>
      </c>
      <c r="W637" s="3"/>
      <c r="X637" s="3">
        <v>23.98</v>
      </c>
      <c r="Y637" s="3">
        <v>23.98</v>
      </c>
      <c r="Z637" s="3">
        <v>23.98</v>
      </c>
      <c r="AA637" s="3">
        <v>0</v>
      </c>
      <c r="AB637" s="3" t="s">
        <v>5228</v>
      </c>
      <c r="AC637" s="3">
        <v>8</v>
      </c>
      <c r="AD637" s="3">
        <v>18.8</v>
      </c>
      <c r="AE637" s="3">
        <v>168</v>
      </c>
      <c r="AF637" s="3">
        <v>0</v>
      </c>
      <c r="AG637" s="3">
        <v>131.588738</v>
      </c>
      <c r="AH637" s="3">
        <v>0.0571428571428571</v>
      </c>
      <c r="AI637" s="3" t="s">
        <v>5229</v>
      </c>
      <c r="AJ637" s="3" t="s">
        <v>5222</v>
      </c>
    </row>
    <row r="638" spans="1:36">
      <c r="A638" s="5">
        <v>43288</v>
      </c>
      <c r="B638" s="3" t="s">
        <v>5130</v>
      </c>
      <c r="C638" s="3" t="s">
        <v>5131</v>
      </c>
      <c r="D638" s="3" t="s">
        <v>5131</v>
      </c>
      <c r="E638" s="3" t="s">
        <v>5132</v>
      </c>
      <c r="F638" s="3" t="s">
        <v>120</v>
      </c>
      <c r="G638" s="3">
        <v>9</v>
      </c>
      <c r="H638" s="3">
        <v>0</v>
      </c>
      <c r="I638" s="3">
        <v>0</v>
      </c>
      <c r="J638" s="3">
        <v>4</v>
      </c>
      <c r="K638" s="3">
        <v>5</v>
      </c>
      <c r="L638" s="3">
        <v>0</v>
      </c>
      <c r="M638" s="3">
        <v>0</v>
      </c>
      <c r="N638" s="3" t="s">
        <v>5218</v>
      </c>
      <c r="O638" s="3">
        <v>9</v>
      </c>
      <c r="P638" s="3">
        <v>30.78</v>
      </c>
      <c r="Q638" s="3">
        <v>0</v>
      </c>
      <c r="R638" s="3">
        <v>0</v>
      </c>
      <c r="S638" s="3">
        <v>0</v>
      </c>
      <c r="T638" s="3">
        <v>0</v>
      </c>
      <c r="U638" s="3">
        <v>0</v>
      </c>
      <c r="V638" s="3">
        <v>0</v>
      </c>
      <c r="W638" s="3" t="s">
        <v>5219</v>
      </c>
      <c r="X638" s="3">
        <v>29.98</v>
      </c>
      <c r="Y638" s="3">
        <v>29.98</v>
      </c>
      <c r="Z638" s="3">
        <v>29.98</v>
      </c>
      <c r="AA638" s="3">
        <v>0</v>
      </c>
      <c r="AB638" s="3" t="s">
        <v>5228</v>
      </c>
      <c r="AC638" s="3">
        <v>0</v>
      </c>
      <c r="AD638" s="3">
        <v>23.98</v>
      </c>
      <c r="AE638" s="3">
        <v>63</v>
      </c>
      <c r="AF638" s="3">
        <v>0</v>
      </c>
      <c r="AG638" s="3">
        <v>373.326667</v>
      </c>
      <c r="AH638" s="3">
        <v>0</v>
      </c>
      <c r="AI638" s="3" t="s">
        <v>5443</v>
      </c>
      <c r="AJ638" s="3" t="s">
        <v>5222</v>
      </c>
    </row>
    <row r="639" spans="1:36">
      <c r="A639" s="5">
        <v>43288</v>
      </c>
      <c r="B639" s="3" t="s">
        <v>5091</v>
      </c>
      <c r="C639" s="3" t="s">
        <v>4809</v>
      </c>
      <c r="D639" s="3" t="s">
        <v>4809</v>
      </c>
      <c r="E639" s="3" t="s">
        <v>4934</v>
      </c>
      <c r="F639" s="3" t="s">
        <v>120</v>
      </c>
      <c r="G639" s="3">
        <v>11</v>
      </c>
      <c r="H639" s="3">
        <v>0</v>
      </c>
      <c r="I639" s="3">
        <v>11</v>
      </c>
      <c r="J639" s="3">
        <v>0</v>
      </c>
      <c r="K639" s="3">
        <v>0</v>
      </c>
      <c r="L639" s="3">
        <v>0</v>
      </c>
      <c r="M639" s="3">
        <v>0</v>
      </c>
      <c r="N639" s="3" t="s">
        <v>5218</v>
      </c>
      <c r="O639" s="3">
        <v>0</v>
      </c>
      <c r="P639" s="3">
        <v>0</v>
      </c>
      <c r="Q639" s="3">
        <v>0</v>
      </c>
      <c r="R639" s="3">
        <v>0</v>
      </c>
      <c r="S639" s="3">
        <v>1</v>
      </c>
      <c r="T639" s="3">
        <v>8</v>
      </c>
      <c r="U639" s="3">
        <v>12</v>
      </c>
      <c r="V639" s="3">
        <v>16</v>
      </c>
      <c r="W639" s="3"/>
      <c r="X639" s="3">
        <v>22.98</v>
      </c>
      <c r="Y639" s="3">
        <v>22.98</v>
      </c>
      <c r="Z639" s="3">
        <v>22.98</v>
      </c>
      <c r="AA639" s="3">
        <v>0</v>
      </c>
      <c r="AB639" s="3" t="s">
        <v>5223</v>
      </c>
      <c r="AC639" s="3">
        <v>12</v>
      </c>
      <c r="AD639" s="3">
        <v>22.98</v>
      </c>
      <c r="AE639" s="3">
        <v>0</v>
      </c>
      <c r="AF639" s="3">
        <v>0</v>
      </c>
      <c r="AG639" s="3">
        <v>0</v>
      </c>
      <c r="AH639" s="3">
        <v>1.88235294117647</v>
      </c>
      <c r="AI639" s="3" t="s">
        <v>5261</v>
      </c>
      <c r="AJ639" s="3" t="s">
        <v>5222</v>
      </c>
    </row>
    <row r="640" spans="1:36">
      <c r="A640" s="5">
        <v>43288</v>
      </c>
      <c r="B640" s="3" t="s">
        <v>1631</v>
      </c>
      <c r="C640" s="3" t="s">
        <v>1632</v>
      </c>
      <c r="D640" s="3" t="s">
        <v>1632</v>
      </c>
      <c r="E640" s="3" t="s">
        <v>1633</v>
      </c>
      <c r="F640" s="3" t="s">
        <v>120</v>
      </c>
      <c r="G640" s="3">
        <v>19</v>
      </c>
      <c r="H640" s="3">
        <v>0</v>
      </c>
      <c r="I640" s="3">
        <v>1</v>
      </c>
      <c r="J640" s="3">
        <v>4</v>
      </c>
      <c r="K640" s="3">
        <v>14</v>
      </c>
      <c r="L640" s="3">
        <v>0</v>
      </c>
      <c r="M640" s="3">
        <v>0</v>
      </c>
      <c r="N640" s="3" t="s">
        <v>5218</v>
      </c>
      <c r="O640" s="3">
        <v>15</v>
      </c>
      <c r="P640" s="3">
        <v>47.46</v>
      </c>
      <c r="Q640" s="3">
        <v>0</v>
      </c>
      <c r="R640" s="3">
        <v>0</v>
      </c>
      <c r="S640" s="3">
        <v>0</v>
      </c>
      <c r="T640" s="3">
        <v>2</v>
      </c>
      <c r="U640" s="3">
        <v>7</v>
      </c>
      <c r="V640" s="3">
        <v>12</v>
      </c>
      <c r="W640" s="3" t="s">
        <v>5227</v>
      </c>
      <c r="X640" s="3">
        <v>20.98</v>
      </c>
      <c r="Y640" s="3">
        <v>20.98</v>
      </c>
      <c r="Z640" s="3">
        <v>19.98</v>
      </c>
      <c r="AA640" s="3">
        <v>0</v>
      </c>
      <c r="AB640" s="3" t="s">
        <v>5228</v>
      </c>
      <c r="AC640" s="3">
        <v>11</v>
      </c>
      <c r="AD640" s="3">
        <v>18.16</v>
      </c>
      <c r="AE640" s="3">
        <v>35</v>
      </c>
      <c r="AF640" s="3">
        <v>0</v>
      </c>
      <c r="AG640" s="3">
        <v>5.680304</v>
      </c>
      <c r="AH640" s="3">
        <v>0.505263157894736</v>
      </c>
      <c r="AI640" s="3" t="s">
        <v>5248</v>
      </c>
      <c r="AJ640" s="3" t="s">
        <v>5222</v>
      </c>
    </row>
    <row r="641" spans="1:36">
      <c r="A641" s="5">
        <v>43288</v>
      </c>
      <c r="B641" s="3" t="s">
        <v>1919</v>
      </c>
      <c r="C641" s="3" t="s">
        <v>1920</v>
      </c>
      <c r="D641" s="3" t="s">
        <v>1920</v>
      </c>
      <c r="E641" s="3" t="s">
        <v>1921</v>
      </c>
      <c r="F641" s="3" t="s">
        <v>120</v>
      </c>
      <c r="G641" s="3">
        <v>1</v>
      </c>
      <c r="H641" s="3">
        <v>0</v>
      </c>
      <c r="I641" s="3">
        <v>0</v>
      </c>
      <c r="J641" s="3">
        <v>1</v>
      </c>
      <c r="K641" s="3">
        <v>0</v>
      </c>
      <c r="L641" s="3">
        <v>0</v>
      </c>
      <c r="M641" s="3">
        <v>0</v>
      </c>
      <c r="N641" s="3" t="s">
        <v>5218</v>
      </c>
      <c r="O641" s="3">
        <v>1</v>
      </c>
      <c r="P641" s="3">
        <v>0.51</v>
      </c>
      <c r="Q641" s="3">
        <v>0</v>
      </c>
      <c r="R641" s="3">
        <v>0</v>
      </c>
      <c r="S641" s="3">
        <v>0</v>
      </c>
      <c r="T641" s="3">
        <v>0</v>
      </c>
      <c r="U641" s="3">
        <v>0</v>
      </c>
      <c r="V641" s="3">
        <v>0</v>
      </c>
      <c r="W641" s="3"/>
      <c r="X641" s="3"/>
      <c r="Y641" s="3"/>
      <c r="Z641" s="3">
        <v>-1</v>
      </c>
      <c r="AA641" s="3">
        <v>-1</v>
      </c>
      <c r="AB641" s="3" t="s">
        <v>5244</v>
      </c>
      <c r="AC641" s="3">
        <v>0</v>
      </c>
      <c r="AD641" s="3">
        <v>0</v>
      </c>
      <c r="AE641" s="3">
        <v>0</v>
      </c>
      <c r="AF641" s="3">
        <v>0</v>
      </c>
      <c r="AG641" s="3">
        <v>0</v>
      </c>
      <c r="AH641" s="3">
        <v>0</v>
      </c>
      <c r="AI641" s="3" t="s">
        <v>5236</v>
      </c>
      <c r="AJ641" s="3" t="s">
        <v>5222</v>
      </c>
    </row>
    <row r="642" spans="1:36">
      <c r="A642" s="5">
        <v>43288</v>
      </c>
      <c r="B642" s="3" t="s">
        <v>2567</v>
      </c>
      <c r="C642" s="3" t="s">
        <v>2568</v>
      </c>
      <c r="D642" s="3" t="s">
        <v>2568</v>
      </c>
      <c r="E642" s="3" t="s">
        <v>2569</v>
      </c>
      <c r="F642" s="3" t="s">
        <v>120</v>
      </c>
      <c r="G642" s="3">
        <v>11</v>
      </c>
      <c r="H642" s="3">
        <v>0</v>
      </c>
      <c r="I642" s="3">
        <v>0</v>
      </c>
      <c r="J642" s="3">
        <v>11</v>
      </c>
      <c r="K642" s="3">
        <v>0</v>
      </c>
      <c r="L642" s="3">
        <v>0</v>
      </c>
      <c r="M642" s="3">
        <v>0</v>
      </c>
      <c r="N642" s="3" t="s">
        <v>5218</v>
      </c>
      <c r="O642" s="3">
        <v>0</v>
      </c>
      <c r="P642" s="3">
        <v>0</v>
      </c>
      <c r="Q642" s="3">
        <v>0</v>
      </c>
      <c r="R642" s="3">
        <v>0</v>
      </c>
      <c r="S642" s="3">
        <v>0</v>
      </c>
      <c r="T642" s="3">
        <v>1</v>
      </c>
      <c r="U642" s="3">
        <v>3</v>
      </c>
      <c r="V642" s="3">
        <v>7</v>
      </c>
      <c r="W642" s="3"/>
      <c r="X642" s="3">
        <v>24.98</v>
      </c>
      <c r="Y642" s="3">
        <v>24.98</v>
      </c>
      <c r="Z642" s="3">
        <v>24.98</v>
      </c>
      <c r="AA642" s="3">
        <v>0</v>
      </c>
      <c r="AB642" s="3" t="s">
        <v>5228</v>
      </c>
      <c r="AC642" s="3">
        <v>0</v>
      </c>
      <c r="AD642" s="3">
        <v>19.88</v>
      </c>
      <c r="AE642" s="3">
        <v>308</v>
      </c>
      <c r="AF642" s="3">
        <v>0</v>
      </c>
      <c r="AG642" s="3">
        <v>219.507868</v>
      </c>
      <c r="AH642" s="3">
        <v>0.509090909090909</v>
      </c>
      <c r="AI642" s="3" t="s">
        <v>5444</v>
      </c>
      <c r="AJ642" s="3" t="s">
        <v>5222</v>
      </c>
    </row>
    <row r="643" spans="1:36">
      <c r="A643" s="5">
        <v>43288</v>
      </c>
      <c r="B643" s="3" t="s">
        <v>775</v>
      </c>
      <c r="C643" s="3" t="s">
        <v>527</v>
      </c>
      <c r="D643" s="3" t="s">
        <v>527</v>
      </c>
      <c r="E643" s="3" t="s">
        <v>776</v>
      </c>
      <c r="F643" s="3" t="s">
        <v>120</v>
      </c>
      <c r="G643" s="3">
        <v>6</v>
      </c>
      <c r="H643" s="3">
        <v>0</v>
      </c>
      <c r="I643" s="3">
        <v>6</v>
      </c>
      <c r="J643" s="3">
        <v>0</v>
      </c>
      <c r="K643" s="3">
        <v>0</v>
      </c>
      <c r="L643" s="3">
        <v>0</v>
      </c>
      <c r="M643" s="3">
        <v>0</v>
      </c>
      <c r="N643" s="3" t="s">
        <v>5218</v>
      </c>
      <c r="O643" s="3">
        <v>0</v>
      </c>
      <c r="P643" s="3">
        <v>0</v>
      </c>
      <c r="Q643" s="3">
        <v>0</v>
      </c>
      <c r="R643" s="3">
        <v>0</v>
      </c>
      <c r="S643" s="3">
        <v>1</v>
      </c>
      <c r="T643" s="3">
        <v>3</v>
      </c>
      <c r="U643" s="3">
        <v>8</v>
      </c>
      <c r="V643" s="3">
        <v>10</v>
      </c>
      <c r="W643" s="3"/>
      <c r="X643" s="3">
        <v>22.98</v>
      </c>
      <c r="Y643" s="3">
        <v>22.98</v>
      </c>
      <c r="Z643" s="3">
        <v>22.98</v>
      </c>
      <c r="AA643" s="3">
        <v>0</v>
      </c>
      <c r="AB643" s="3" t="s">
        <v>5223</v>
      </c>
      <c r="AC643" s="3">
        <v>7</v>
      </c>
      <c r="AD643" s="3">
        <v>22.98</v>
      </c>
      <c r="AE643" s="3">
        <v>0</v>
      </c>
      <c r="AF643" s="3">
        <v>0</v>
      </c>
      <c r="AG643" s="3">
        <v>0</v>
      </c>
      <c r="AH643" s="3">
        <v>0.491803278688524</v>
      </c>
      <c r="AI643" s="3" t="s">
        <v>5225</v>
      </c>
      <c r="AJ643" s="3" t="s">
        <v>5222</v>
      </c>
    </row>
    <row r="644" spans="1:36">
      <c r="A644" s="5">
        <v>43288</v>
      </c>
      <c r="B644" s="3" t="s">
        <v>2849</v>
      </c>
      <c r="C644" s="3" t="s">
        <v>2850</v>
      </c>
      <c r="D644" s="3" t="s">
        <v>2850</v>
      </c>
      <c r="E644" s="3" t="s">
        <v>2851</v>
      </c>
      <c r="F644" s="3" t="s">
        <v>120</v>
      </c>
      <c r="G644" s="3">
        <v>12</v>
      </c>
      <c r="H644" s="3">
        <v>0</v>
      </c>
      <c r="I644" s="3">
        <v>0</v>
      </c>
      <c r="J644" s="3">
        <v>12</v>
      </c>
      <c r="K644" s="3">
        <v>0</v>
      </c>
      <c r="L644" s="3">
        <v>0</v>
      </c>
      <c r="M644" s="3">
        <v>0</v>
      </c>
      <c r="N644" s="3" t="s">
        <v>5218</v>
      </c>
      <c r="O644" s="3">
        <v>0</v>
      </c>
      <c r="P644" s="3">
        <v>0</v>
      </c>
      <c r="Q644" s="3">
        <v>0</v>
      </c>
      <c r="R644" s="3">
        <v>0</v>
      </c>
      <c r="S644" s="3">
        <v>2</v>
      </c>
      <c r="T644" s="3">
        <v>3</v>
      </c>
      <c r="U644" s="3">
        <v>6</v>
      </c>
      <c r="V644" s="3">
        <v>11</v>
      </c>
      <c r="W644" s="3" t="s">
        <v>5227</v>
      </c>
      <c r="X644" s="3">
        <v>39.98</v>
      </c>
      <c r="Y644" s="3">
        <v>23.98</v>
      </c>
      <c r="Z644" s="3">
        <v>23.98</v>
      </c>
      <c r="AA644" s="3">
        <v>0</v>
      </c>
      <c r="AB644" s="3" t="s">
        <v>5223</v>
      </c>
      <c r="AC644" s="3">
        <v>13</v>
      </c>
      <c r="AD644" s="3">
        <v>23.98</v>
      </c>
      <c r="AE644" s="3">
        <v>0</v>
      </c>
      <c r="AF644" s="3">
        <v>0</v>
      </c>
      <c r="AG644" s="3">
        <v>0</v>
      </c>
      <c r="AH644" s="3">
        <v>0.647058823529411</v>
      </c>
      <c r="AI644" s="3" t="s">
        <v>5254</v>
      </c>
      <c r="AJ644" s="3" t="s">
        <v>5222</v>
      </c>
    </row>
    <row r="645" spans="1:36">
      <c r="A645" s="5">
        <v>43288</v>
      </c>
      <c r="B645" s="3" t="s">
        <v>4401</v>
      </c>
      <c r="C645" s="3" t="s">
        <v>3458</v>
      </c>
      <c r="D645" s="3" t="s">
        <v>3458</v>
      </c>
      <c r="E645" s="3" t="s">
        <v>3459</v>
      </c>
      <c r="F645" s="3" t="s">
        <v>120</v>
      </c>
      <c r="G645" s="3">
        <v>6</v>
      </c>
      <c r="H645" s="3">
        <v>0</v>
      </c>
      <c r="I645" s="3">
        <v>2</v>
      </c>
      <c r="J645" s="3">
        <v>4</v>
      </c>
      <c r="K645" s="3">
        <v>0</v>
      </c>
      <c r="L645" s="3">
        <v>0</v>
      </c>
      <c r="M645" s="3">
        <v>0</v>
      </c>
      <c r="N645" s="3" t="s">
        <v>5218</v>
      </c>
      <c r="O645" s="3">
        <v>1</v>
      </c>
      <c r="P645" s="3">
        <v>2</v>
      </c>
      <c r="Q645" s="3">
        <v>0</v>
      </c>
      <c r="R645" s="3">
        <v>0</v>
      </c>
      <c r="S645" s="3">
        <v>0</v>
      </c>
      <c r="T645" s="3">
        <v>0</v>
      </c>
      <c r="U645" s="3">
        <v>4</v>
      </c>
      <c r="V645" s="3">
        <v>10</v>
      </c>
      <c r="W645" s="3" t="s">
        <v>5227</v>
      </c>
      <c r="X645" s="3">
        <v>22.98</v>
      </c>
      <c r="Y645" s="3">
        <v>22.98</v>
      </c>
      <c r="Z645" s="3">
        <v>22.98</v>
      </c>
      <c r="AA645" s="3">
        <v>0</v>
      </c>
      <c r="AB645" s="3" t="s">
        <v>5223</v>
      </c>
      <c r="AC645" s="3">
        <v>6</v>
      </c>
      <c r="AD645" s="3">
        <v>22.98</v>
      </c>
      <c r="AE645" s="3">
        <v>0</v>
      </c>
      <c r="AF645" s="3">
        <v>0</v>
      </c>
      <c r="AG645" s="3">
        <v>0</v>
      </c>
      <c r="AH645" s="3">
        <v>1.11111111111111</v>
      </c>
      <c r="AI645" s="3" t="s">
        <v>5445</v>
      </c>
      <c r="AJ645" s="3" t="s">
        <v>5222</v>
      </c>
    </row>
    <row r="646" spans="1:36">
      <c r="A646" s="5">
        <v>43288</v>
      </c>
      <c r="B646" s="3" t="s">
        <v>4609</v>
      </c>
      <c r="C646" s="3" t="s">
        <v>4610</v>
      </c>
      <c r="D646" s="3" t="s">
        <v>4364</v>
      </c>
      <c r="E646" s="3" t="s">
        <v>4365</v>
      </c>
      <c r="F646" s="3" t="s">
        <v>120</v>
      </c>
      <c r="G646" s="3">
        <v>7</v>
      </c>
      <c r="H646" s="3">
        <v>0</v>
      </c>
      <c r="I646" s="3">
        <v>7</v>
      </c>
      <c r="J646" s="3">
        <v>0</v>
      </c>
      <c r="K646" s="3">
        <v>0</v>
      </c>
      <c r="L646" s="3">
        <v>0</v>
      </c>
      <c r="M646" s="3">
        <v>0</v>
      </c>
      <c r="N646" s="3" t="s">
        <v>5218</v>
      </c>
      <c r="O646" s="3">
        <v>0</v>
      </c>
      <c r="P646" s="3">
        <v>0</v>
      </c>
      <c r="Q646" s="3">
        <v>0</v>
      </c>
      <c r="R646" s="3">
        <v>0</v>
      </c>
      <c r="S646" s="3">
        <v>0</v>
      </c>
      <c r="T646" s="3">
        <v>0</v>
      </c>
      <c r="U646" s="3">
        <v>0</v>
      </c>
      <c r="V646" s="3">
        <v>0</v>
      </c>
      <c r="W646" s="3" t="s">
        <v>5227</v>
      </c>
      <c r="X646" s="3">
        <v>22.98</v>
      </c>
      <c r="Y646" s="3">
        <v>22.98</v>
      </c>
      <c r="Z646" s="3">
        <v>22.98</v>
      </c>
      <c r="AA646" s="3">
        <v>0</v>
      </c>
      <c r="AB646" s="3" t="s">
        <v>5223</v>
      </c>
      <c r="AC646" s="3">
        <v>0</v>
      </c>
      <c r="AD646" s="3">
        <v>0</v>
      </c>
      <c r="AE646" s="3">
        <v>0</v>
      </c>
      <c r="AF646" s="3">
        <v>0</v>
      </c>
      <c r="AG646" s="3">
        <v>0</v>
      </c>
      <c r="AH646" s="3">
        <v>1.66666666666666</v>
      </c>
      <c r="AI646" s="3" t="s">
        <v>5226</v>
      </c>
      <c r="AJ646" s="3" t="s">
        <v>5222</v>
      </c>
    </row>
    <row r="647" spans="1:36">
      <c r="A647" s="5">
        <v>43288</v>
      </c>
      <c r="B647" s="3" t="s">
        <v>2618</v>
      </c>
      <c r="C647" s="3" t="s">
        <v>1158</v>
      </c>
      <c r="D647" s="3" t="s">
        <v>1158</v>
      </c>
      <c r="E647" s="3" t="s">
        <v>1159</v>
      </c>
      <c r="F647" s="3" t="s">
        <v>120</v>
      </c>
      <c r="G647" s="3">
        <v>6</v>
      </c>
      <c r="H647" s="3">
        <v>0</v>
      </c>
      <c r="I647" s="3">
        <v>6</v>
      </c>
      <c r="J647" s="3">
        <v>0</v>
      </c>
      <c r="K647" s="3">
        <v>0</v>
      </c>
      <c r="L647" s="3">
        <v>0</v>
      </c>
      <c r="M647" s="3">
        <v>0</v>
      </c>
      <c r="N647" s="3" t="s">
        <v>5218</v>
      </c>
      <c r="O647" s="3">
        <v>0</v>
      </c>
      <c r="P647" s="3">
        <v>0</v>
      </c>
      <c r="Q647" s="3">
        <v>0</v>
      </c>
      <c r="R647" s="3">
        <v>0</v>
      </c>
      <c r="S647" s="3">
        <v>2</v>
      </c>
      <c r="T647" s="3">
        <v>8</v>
      </c>
      <c r="U647" s="3">
        <v>22</v>
      </c>
      <c r="V647" s="3">
        <v>29</v>
      </c>
      <c r="W647" s="3"/>
      <c r="X647" s="3">
        <v>35.98</v>
      </c>
      <c r="Y647" s="3">
        <v>22.98</v>
      </c>
      <c r="Z647" s="3">
        <v>22.98</v>
      </c>
      <c r="AA647" s="3">
        <v>0</v>
      </c>
      <c r="AB647" s="3" t="s">
        <v>5223</v>
      </c>
      <c r="AC647" s="3">
        <v>6</v>
      </c>
      <c r="AD647" s="3">
        <v>22.98</v>
      </c>
      <c r="AE647" s="3">
        <v>0</v>
      </c>
      <c r="AF647" s="3">
        <v>0</v>
      </c>
      <c r="AG647" s="3">
        <v>0</v>
      </c>
      <c r="AH647" s="3">
        <v>1.90163934426229</v>
      </c>
      <c r="AI647" s="3" t="s">
        <v>5238</v>
      </c>
      <c r="AJ647" s="3" t="s">
        <v>5222</v>
      </c>
    </row>
    <row r="648" spans="1:36">
      <c r="A648" s="5">
        <v>43288</v>
      </c>
      <c r="B648" s="3" t="s">
        <v>1342</v>
      </c>
      <c r="C648" s="3" t="s">
        <v>1343</v>
      </c>
      <c r="D648" s="3" t="s">
        <v>1344</v>
      </c>
      <c r="E648" s="3" t="s">
        <v>1345</v>
      </c>
      <c r="F648" s="3" t="s">
        <v>120</v>
      </c>
      <c r="G648" s="3">
        <v>20</v>
      </c>
      <c r="H648" s="3">
        <v>0</v>
      </c>
      <c r="I648" s="3">
        <v>20</v>
      </c>
      <c r="J648" s="3">
        <v>0</v>
      </c>
      <c r="K648" s="3">
        <v>0</v>
      </c>
      <c r="L648" s="3">
        <v>0</v>
      </c>
      <c r="M648" s="3">
        <v>0</v>
      </c>
      <c r="N648" s="3" t="s">
        <v>5218</v>
      </c>
      <c r="O648" s="3">
        <v>0</v>
      </c>
      <c r="P648" s="3">
        <v>0</v>
      </c>
      <c r="Q648" s="3">
        <v>0</v>
      </c>
      <c r="R648" s="3">
        <v>0</v>
      </c>
      <c r="S648" s="3">
        <v>0</v>
      </c>
      <c r="T648" s="3">
        <v>0</v>
      </c>
      <c r="U648" s="3">
        <v>0</v>
      </c>
      <c r="V648" s="3">
        <v>0</v>
      </c>
      <c r="W648" s="3" t="s">
        <v>5227</v>
      </c>
      <c r="X648" s="3">
        <v>23.98</v>
      </c>
      <c r="Y648" s="3">
        <v>23.98</v>
      </c>
      <c r="Z648" s="3">
        <v>22.98</v>
      </c>
      <c r="AA648" s="3">
        <v>0</v>
      </c>
      <c r="AB648" s="3" t="s">
        <v>5223</v>
      </c>
      <c r="AC648" s="3">
        <v>0</v>
      </c>
      <c r="AD648" s="3">
        <v>0</v>
      </c>
      <c r="AE648" s="3">
        <v>0</v>
      </c>
      <c r="AF648" s="3">
        <v>0</v>
      </c>
      <c r="AG648" s="3">
        <v>0</v>
      </c>
      <c r="AH648" s="3">
        <v>14.4705882352941</v>
      </c>
      <c r="AI648" s="3" t="s">
        <v>5236</v>
      </c>
      <c r="AJ648" s="3" t="s">
        <v>5222</v>
      </c>
    </row>
    <row r="649" spans="1:36">
      <c r="A649" s="5">
        <v>43288</v>
      </c>
      <c r="B649" s="3" t="s">
        <v>1532</v>
      </c>
      <c r="C649" s="3" t="s">
        <v>94</v>
      </c>
      <c r="D649" s="3" t="s">
        <v>94</v>
      </c>
      <c r="E649" s="3" t="s">
        <v>1533</v>
      </c>
      <c r="F649" s="3" t="s">
        <v>120</v>
      </c>
      <c r="G649" s="3">
        <v>29</v>
      </c>
      <c r="H649" s="3">
        <v>0</v>
      </c>
      <c r="I649" s="3">
        <v>0</v>
      </c>
      <c r="J649" s="3">
        <v>0</v>
      </c>
      <c r="K649" s="3">
        <v>29</v>
      </c>
      <c r="L649" s="3">
        <v>0</v>
      </c>
      <c r="M649" s="3">
        <v>0</v>
      </c>
      <c r="N649" s="3" t="s">
        <v>5218</v>
      </c>
      <c r="O649" s="3">
        <v>29</v>
      </c>
      <c r="P649" s="3">
        <v>40.79</v>
      </c>
      <c r="Q649" s="3">
        <v>0</v>
      </c>
      <c r="R649" s="3">
        <v>0</v>
      </c>
      <c r="S649" s="3">
        <v>0</v>
      </c>
      <c r="T649" s="3">
        <v>8</v>
      </c>
      <c r="U649" s="3">
        <v>14</v>
      </c>
      <c r="V649" s="3">
        <v>16</v>
      </c>
      <c r="W649" s="3"/>
      <c r="X649" s="3">
        <v>22.98</v>
      </c>
      <c r="Y649" s="3">
        <v>22.98</v>
      </c>
      <c r="Z649" s="3">
        <v>22.98</v>
      </c>
      <c r="AA649" s="3">
        <v>0</v>
      </c>
      <c r="AB649" s="3" t="s">
        <v>5223</v>
      </c>
      <c r="AC649" s="3">
        <v>29</v>
      </c>
      <c r="AD649" s="3">
        <v>22.98</v>
      </c>
      <c r="AE649" s="3">
        <v>0</v>
      </c>
      <c r="AF649" s="3">
        <v>0</v>
      </c>
      <c r="AG649" s="3">
        <v>0</v>
      </c>
      <c r="AH649" s="3">
        <v>0.415584415584415</v>
      </c>
      <c r="AI649" s="3" t="s">
        <v>5446</v>
      </c>
      <c r="AJ649" s="3" t="s">
        <v>5222</v>
      </c>
    </row>
    <row r="650" spans="1:36">
      <c r="A650" s="5">
        <v>43288</v>
      </c>
      <c r="B650" s="3" t="s">
        <v>4243</v>
      </c>
      <c r="C650" s="3" t="s">
        <v>4244</v>
      </c>
      <c r="D650" s="3" t="s">
        <v>4244</v>
      </c>
      <c r="E650" s="3" t="s">
        <v>4245</v>
      </c>
      <c r="F650" s="3" t="s">
        <v>120</v>
      </c>
      <c r="G650" s="3">
        <v>23</v>
      </c>
      <c r="H650" s="3">
        <v>0</v>
      </c>
      <c r="I650" s="3">
        <v>23</v>
      </c>
      <c r="J650" s="3">
        <v>0</v>
      </c>
      <c r="K650" s="3">
        <v>0</v>
      </c>
      <c r="L650" s="3">
        <v>0</v>
      </c>
      <c r="M650" s="3">
        <v>0</v>
      </c>
      <c r="N650" s="3" t="s">
        <v>5218</v>
      </c>
      <c r="O650" s="3">
        <v>0</v>
      </c>
      <c r="P650" s="3">
        <v>0</v>
      </c>
      <c r="Q650" s="3">
        <v>0</v>
      </c>
      <c r="R650" s="3">
        <v>0</v>
      </c>
      <c r="S650" s="3">
        <v>0</v>
      </c>
      <c r="T650" s="3">
        <v>3</v>
      </c>
      <c r="U650" s="3">
        <v>4</v>
      </c>
      <c r="V650" s="3">
        <v>8</v>
      </c>
      <c r="W650" s="3"/>
      <c r="X650" s="3">
        <v>23.98</v>
      </c>
      <c r="Y650" s="3">
        <v>23.98</v>
      </c>
      <c r="Z650" s="3">
        <v>23.98</v>
      </c>
      <c r="AA650" s="3">
        <v>0</v>
      </c>
      <c r="AB650" s="3" t="s">
        <v>5228</v>
      </c>
      <c r="AC650" s="3">
        <v>3</v>
      </c>
      <c r="AD650" s="3">
        <v>22.21</v>
      </c>
      <c r="AE650" s="3">
        <v>133</v>
      </c>
      <c r="AF650" s="3">
        <v>0</v>
      </c>
      <c r="AG650" s="3">
        <v>568.302058</v>
      </c>
      <c r="AH650" s="3">
        <v>0.592592592592592</v>
      </c>
      <c r="AI650" s="3" t="s">
        <v>5447</v>
      </c>
      <c r="AJ650" s="3" t="s">
        <v>5222</v>
      </c>
    </row>
    <row r="651" spans="1:36">
      <c r="A651" s="5">
        <v>43288</v>
      </c>
      <c r="B651" s="3" t="s">
        <v>3072</v>
      </c>
      <c r="C651" s="3" t="s">
        <v>3073</v>
      </c>
      <c r="D651" s="3" t="s">
        <v>3073</v>
      </c>
      <c r="E651" s="3" t="s">
        <v>3074</v>
      </c>
      <c r="F651" s="3" t="s">
        <v>120</v>
      </c>
      <c r="G651" s="3">
        <v>11</v>
      </c>
      <c r="H651" s="3">
        <v>0</v>
      </c>
      <c r="I651" s="3">
        <v>11</v>
      </c>
      <c r="J651" s="3">
        <v>0</v>
      </c>
      <c r="K651" s="3">
        <v>0</v>
      </c>
      <c r="L651" s="3">
        <v>0</v>
      </c>
      <c r="M651" s="3">
        <v>0</v>
      </c>
      <c r="N651" s="3" t="s">
        <v>5218</v>
      </c>
      <c r="O651" s="3">
        <v>0</v>
      </c>
      <c r="P651" s="3">
        <v>0</v>
      </c>
      <c r="Q651" s="3">
        <v>0</v>
      </c>
      <c r="R651" s="3">
        <v>0</v>
      </c>
      <c r="S651" s="3">
        <v>3</v>
      </c>
      <c r="T651" s="3">
        <v>11</v>
      </c>
      <c r="U651" s="3">
        <v>21</v>
      </c>
      <c r="V651" s="3">
        <v>35</v>
      </c>
      <c r="W651" s="3"/>
      <c r="X651" s="3">
        <v>23.98</v>
      </c>
      <c r="Y651" s="3">
        <v>23.98</v>
      </c>
      <c r="Z651" s="3">
        <v>23.98</v>
      </c>
      <c r="AA651" s="3">
        <v>0</v>
      </c>
      <c r="AB651" s="3" t="s">
        <v>5223</v>
      </c>
      <c r="AC651" s="3">
        <v>11</v>
      </c>
      <c r="AD651" s="3">
        <v>23.98</v>
      </c>
      <c r="AE651" s="3">
        <v>0</v>
      </c>
      <c r="AF651" s="3">
        <v>0</v>
      </c>
      <c r="AG651" s="3">
        <v>0</v>
      </c>
      <c r="AH651" s="3">
        <v>2.29508196721311</v>
      </c>
      <c r="AI651" s="3" t="s">
        <v>5448</v>
      </c>
      <c r="AJ651" s="3" t="s">
        <v>5222</v>
      </c>
    </row>
    <row r="652" spans="1:36">
      <c r="A652" s="5">
        <v>43288</v>
      </c>
      <c r="B652" s="3" t="s">
        <v>4487</v>
      </c>
      <c r="C652" s="3" t="s">
        <v>3668</v>
      </c>
      <c r="D652" s="3" t="s">
        <v>3668</v>
      </c>
      <c r="E652" s="3" t="s">
        <v>3669</v>
      </c>
      <c r="F652" s="3" t="s">
        <v>120</v>
      </c>
      <c r="G652" s="3">
        <v>5</v>
      </c>
      <c r="H652" s="3">
        <v>0</v>
      </c>
      <c r="I652" s="3">
        <v>3</v>
      </c>
      <c r="J652" s="3">
        <v>1</v>
      </c>
      <c r="K652" s="3">
        <v>1</v>
      </c>
      <c r="L652" s="3">
        <v>0</v>
      </c>
      <c r="M652" s="3">
        <v>0</v>
      </c>
      <c r="N652" s="3" t="s">
        <v>5218</v>
      </c>
      <c r="O652" s="3">
        <v>2</v>
      </c>
      <c r="P652" s="3">
        <v>1.97</v>
      </c>
      <c r="Q652" s="3">
        <v>0</v>
      </c>
      <c r="R652" s="3">
        <v>0</v>
      </c>
      <c r="S652" s="3">
        <v>0</v>
      </c>
      <c r="T652" s="3">
        <v>0</v>
      </c>
      <c r="U652" s="3">
        <v>0</v>
      </c>
      <c r="V652" s="3">
        <v>2</v>
      </c>
      <c r="W652" s="3" t="s">
        <v>5219</v>
      </c>
      <c r="X652" s="3">
        <v>23.98</v>
      </c>
      <c r="Y652" s="3">
        <v>23.98</v>
      </c>
      <c r="Z652" s="3">
        <v>23.98</v>
      </c>
      <c r="AA652" s="3">
        <v>0</v>
      </c>
      <c r="AB652" s="3" t="s">
        <v>5220</v>
      </c>
      <c r="AC652" s="3">
        <v>0</v>
      </c>
      <c r="AD652" s="3">
        <v>21.7</v>
      </c>
      <c r="AE652" s="3">
        <v>196</v>
      </c>
      <c r="AF652" s="3">
        <v>0</v>
      </c>
      <c r="AG652" s="3">
        <v>100.886019</v>
      </c>
      <c r="AH652" s="3">
        <v>0.444444444444444</v>
      </c>
      <c r="AI652" s="3" t="s">
        <v>5285</v>
      </c>
      <c r="AJ652" s="3" t="s">
        <v>5222</v>
      </c>
    </row>
    <row r="653" spans="1:36">
      <c r="A653" s="5">
        <v>43288</v>
      </c>
      <c r="B653" s="3" t="s">
        <v>4327</v>
      </c>
      <c r="C653" s="3" t="s">
        <v>4328</v>
      </c>
      <c r="D653" s="3" t="s">
        <v>4328</v>
      </c>
      <c r="E653" s="3" t="s">
        <v>4329</v>
      </c>
      <c r="F653" s="3" t="s">
        <v>120</v>
      </c>
      <c r="G653" s="3">
        <v>22</v>
      </c>
      <c r="H653" s="3">
        <v>0</v>
      </c>
      <c r="I653" s="3">
        <v>1</v>
      </c>
      <c r="J653" s="3">
        <v>1</v>
      </c>
      <c r="K653" s="3">
        <v>20</v>
      </c>
      <c r="L653" s="3">
        <v>0</v>
      </c>
      <c r="M653" s="3">
        <v>0</v>
      </c>
      <c r="N653" s="3" t="s">
        <v>5218</v>
      </c>
      <c r="O653" s="3">
        <v>20</v>
      </c>
      <c r="P653" s="3">
        <v>37.69</v>
      </c>
      <c r="Q653" s="3">
        <v>0</v>
      </c>
      <c r="R653" s="3">
        <v>0</v>
      </c>
      <c r="S653" s="3">
        <v>0</v>
      </c>
      <c r="T653" s="3">
        <v>0</v>
      </c>
      <c r="U653" s="3">
        <v>1</v>
      </c>
      <c r="V653" s="3">
        <v>5</v>
      </c>
      <c r="W653" s="3" t="s">
        <v>5227</v>
      </c>
      <c r="X653" s="3">
        <v>23.98</v>
      </c>
      <c r="Y653" s="3">
        <v>23.98</v>
      </c>
      <c r="Z653" s="3">
        <v>23.98</v>
      </c>
      <c r="AA653" s="3">
        <v>0</v>
      </c>
      <c r="AB653" s="3" t="s">
        <v>5228</v>
      </c>
      <c r="AC653" s="3">
        <v>0</v>
      </c>
      <c r="AD653" s="3">
        <v>19.4</v>
      </c>
      <c r="AE653" s="3">
        <v>280</v>
      </c>
      <c r="AF653" s="3">
        <v>0</v>
      </c>
      <c r="AG653" s="3">
        <v>603.60594</v>
      </c>
      <c r="AH653" s="3">
        <v>0.21505376344086</v>
      </c>
      <c r="AI653" s="3" t="s">
        <v>5258</v>
      </c>
      <c r="AJ653" s="3" t="s">
        <v>5222</v>
      </c>
    </row>
    <row r="654" spans="1:36">
      <c r="A654" s="5">
        <v>43288</v>
      </c>
      <c r="B654" s="3" t="s">
        <v>5103</v>
      </c>
      <c r="C654" s="3" t="s">
        <v>5104</v>
      </c>
      <c r="D654" s="3" t="s">
        <v>5104</v>
      </c>
      <c r="E654" s="3" t="s">
        <v>5105</v>
      </c>
      <c r="F654" s="3" t="s">
        <v>120</v>
      </c>
      <c r="G654" s="3">
        <v>9</v>
      </c>
      <c r="H654" s="3">
        <v>0</v>
      </c>
      <c r="I654" s="3">
        <v>0</v>
      </c>
      <c r="J654" s="3">
        <v>4</v>
      </c>
      <c r="K654" s="3">
        <v>5</v>
      </c>
      <c r="L654" s="3">
        <v>0</v>
      </c>
      <c r="M654" s="3">
        <v>0</v>
      </c>
      <c r="N654" s="3" t="s">
        <v>5218</v>
      </c>
      <c r="O654" s="3">
        <v>9</v>
      </c>
      <c r="P654" s="3">
        <v>27.03</v>
      </c>
      <c r="Q654" s="3">
        <v>0</v>
      </c>
      <c r="R654" s="3">
        <v>0</v>
      </c>
      <c r="S654" s="3">
        <v>0</v>
      </c>
      <c r="T654" s="3">
        <v>0</v>
      </c>
      <c r="U654" s="3">
        <v>0</v>
      </c>
      <c r="V654" s="3">
        <v>0</v>
      </c>
      <c r="W654" s="3" t="s">
        <v>5219</v>
      </c>
      <c r="X654" s="3">
        <v>29.98</v>
      </c>
      <c r="Y654" s="3">
        <v>29.98</v>
      </c>
      <c r="Z654" s="3">
        <v>29.98</v>
      </c>
      <c r="AA654" s="3">
        <v>0</v>
      </c>
      <c r="AB654" s="3" t="s">
        <v>5228</v>
      </c>
      <c r="AC654" s="3">
        <v>0</v>
      </c>
      <c r="AD654" s="3">
        <v>23.98</v>
      </c>
      <c r="AE654" s="3">
        <v>63</v>
      </c>
      <c r="AF654" s="3">
        <v>0</v>
      </c>
      <c r="AG654" s="3">
        <v>328.900027</v>
      </c>
      <c r="AH654" s="3">
        <v>0</v>
      </c>
      <c r="AI654" s="3" t="s">
        <v>5295</v>
      </c>
      <c r="AJ654" s="3" t="s">
        <v>5222</v>
      </c>
    </row>
    <row r="655" spans="1:36">
      <c r="A655" s="5">
        <v>43288</v>
      </c>
      <c r="B655" s="3" t="s">
        <v>2632</v>
      </c>
      <c r="C655" s="3" t="s">
        <v>1209</v>
      </c>
      <c r="D655" s="3" t="s">
        <v>1209</v>
      </c>
      <c r="E655" s="3" t="s">
        <v>1210</v>
      </c>
      <c r="F655" s="3" t="s">
        <v>120</v>
      </c>
      <c r="G655" s="3">
        <v>46</v>
      </c>
      <c r="H655" s="3">
        <v>0</v>
      </c>
      <c r="I655" s="3">
        <v>46</v>
      </c>
      <c r="J655" s="3">
        <v>0</v>
      </c>
      <c r="K655" s="3">
        <v>0</v>
      </c>
      <c r="L655" s="3">
        <v>0</v>
      </c>
      <c r="M655" s="3">
        <v>0</v>
      </c>
      <c r="N655" s="3" t="s">
        <v>5218</v>
      </c>
      <c r="O655" s="3">
        <v>0</v>
      </c>
      <c r="P655" s="3">
        <v>0</v>
      </c>
      <c r="Q655" s="3">
        <v>0</v>
      </c>
      <c r="R655" s="3">
        <v>0</v>
      </c>
      <c r="S655" s="3">
        <v>3</v>
      </c>
      <c r="T655" s="3">
        <v>19</v>
      </c>
      <c r="U655" s="3">
        <v>40</v>
      </c>
      <c r="V655" s="3">
        <v>54</v>
      </c>
      <c r="W655" s="3"/>
      <c r="X655" s="3">
        <v>35.98</v>
      </c>
      <c r="Y655" s="3">
        <v>22.98</v>
      </c>
      <c r="Z655" s="3">
        <v>22.98</v>
      </c>
      <c r="AA655" s="3">
        <v>0</v>
      </c>
      <c r="AB655" s="3" t="s">
        <v>5223</v>
      </c>
      <c r="AC655" s="3">
        <v>30</v>
      </c>
      <c r="AD655" s="3">
        <v>22.98</v>
      </c>
      <c r="AE655" s="3">
        <v>0</v>
      </c>
      <c r="AF655" s="3">
        <v>0</v>
      </c>
      <c r="AG655" s="3">
        <v>0</v>
      </c>
      <c r="AH655" s="3">
        <v>3.08571428571428</v>
      </c>
      <c r="AI655" s="3" t="s">
        <v>5238</v>
      </c>
      <c r="AJ655" s="3" t="s">
        <v>5222</v>
      </c>
    </row>
    <row r="656" spans="1:36">
      <c r="A656" s="5">
        <v>43288</v>
      </c>
      <c r="B656" s="3" t="s">
        <v>4294</v>
      </c>
      <c r="C656" s="3" t="s">
        <v>4295</v>
      </c>
      <c r="D656" s="3" t="s">
        <v>4295</v>
      </c>
      <c r="E656" s="3" t="s">
        <v>4296</v>
      </c>
      <c r="F656" s="3" t="s">
        <v>120</v>
      </c>
      <c r="G656" s="3">
        <v>16</v>
      </c>
      <c r="H656" s="3">
        <v>0</v>
      </c>
      <c r="I656" s="3">
        <v>16</v>
      </c>
      <c r="J656" s="3">
        <v>0</v>
      </c>
      <c r="K656" s="3">
        <v>0</v>
      </c>
      <c r="L656" s="3">
        <v>0</v>
      </c>
      <c r="M656" s="3">
        <v>0</v>
      </c>
      <c r="N656" s="3" t="s">
        <v>5218</v>
      </c>
      <c r="O656" s="3">
        <v>0</v>
      </c>
      <c r="P656" s="3">
        <v>0</v>
      </c>
      <c r="Q656" s="3">
        <v>0</v>
      </c>
      <c r="R656" s="3">
        <v>0</v>
      </c>
      <c r="S656" s="3">
        <v>0</v>
      </c>
      <c r="T656" s="3">
        <v>2</v>
      </c>
      <c r="U656" s="3">
        <v>3</v>
      </c>
      <c r="V656" s="3">
        <v>4</v>
      </c>
      <c r="W656" s="3"/>
      <c r="X656" s="3">
        <v>23.98</v>
      </c>
      <c r="Y656" s="3">
        <v>23.98</v>
      </c>
      <c r="Z656" s="3">
        <v>23.98</v>
      </c>
      <c r="AA656" s="3">
        <v>0</v>
      </c>
      <c r="AB656" s="3" t="s">
        <v>5223</v>
      </c>
      <c r="AC656" s="3">
        <v>16</v>
      </c>
      <c r="AD656" s="3">
        <v>23.98</v>
      </c>
      <c r="AE656" s="3">
        <v>0</v>
      </c>
      <c r="AF656" s="3">
        <v>0</v>
      </c>
      <c r="AG656" s="3">
        <v>0</v>
      </c>
      <c r="AH656" s="3">
        <v>0.296296296296296</v>
      </c>
      <c r="AI656" s="3" t="s">
        <v>5449</v>
      </c>
      <c r="AJ656" s="3" t="s">
        <v>5222</v>
      </c>
    </row>
    <row r="657" spans="1:36">
      <c r="A657" s="5">
        <v>43288</v>
      </c>
      <c r="B657" s="3" t="s">
        <v>2703</v>
      </c>
      <c r="C657" s="3" t="s">
        <v>2704</v>
      </c>
      <c r="D657" s="3" t="s">
        <v>2704</v>
      </c>
      <c r="E657" s="3" t="s">
        <v>2705</v>
      </c>
      <c r="F657" s="3" t="s">
        <v>120</v>
      </c>
      <c r="G657" s="3">
        <v>12</v>
      </c>
      <c r="H657" s="3">
        <v>0</v>
      </c>
      <c r="I657" s="3">
        <v>8</v>
      </c>
      <c r="J657" s="3">
        <v>4</v>
      </c>
      <c r="K657" s="3">
        <v>0</v>
      </c>
      <c r="L657" s="3">
        <v>0</v>
      </c>
      <c r="M657" s="3">
        <v>0</v>
      </c>
      <c r="N657" s="3" t="s">
        <v>5218</v>
      </c>
      <c r="O657" s="3">
        <v>0</v>
      </c>
      <c r="P657" s="3">
        <v>0</v>
      </c>
      <c r="Q657" s="3">
        <v>0</v>
      </c>
      <c r="R657" s="3">
        <v>0</v>
      </c>
      <c r="S657" s="3">
        <v>0</v>
      </c>
      <c r="T657" s="3">
        <v>1</v>
      </c>
      <c r="U657" s="3">
        <v>5</v>
      </c>
      <c r="V657" s="3">
        <v>5</v>
      </c>
      <c r="W657" s="3"/>
      <c r="X657" s="3">
        <v>26.98</v>
      </c>
      <c r="Y657" s="3">
        <v>26.98</v>
      </c>
      <c r="Z657" s="3">
        <v>26.98</v>
      </c>
      <c r="AA657" s="3">
        <v>0</v>
      </c>
      <c r="AB657" s="3" t="s">
        <v>5223</v>
      </c>
      <c r="AC657" s="3">
        <v>12</v>
      </c>
      <c r="AD657" s="3">
        <v>26.98</v>
      </c>
      <c r="AE657" s="3">
        <v>0</v>
      </c>
      <c r="AF657" s="3">
        <v>0</v>
      </c>
      <c r="AG657" s="3">
        <v>0</v>
      </c>
      <c r="AH657" s="3">
        <v>0.363636363636363</v>
      </c>
      <c r="AI657" s="3" t="s">
        <v>5237</v>
      </c>
      <c r="AJ657" s="3" t="s">
        <v>5222</v>
      </c>
    </row>
    <row r="658" spans="1:36">
      <c r="A658" s="5">
        <v>43288</v>
      </c>
      <c r="B658" s="3" t="s">
        <v>2370</v>
      </c>
      <c r="C658" s="3" t="s">
        <v>2371</v>
      </c>
      <c r="D658" s="3" t="s">
        <v>2371</v>
      </c>
      <c r="E658" s="3" t="s">
        <v>2372</v>
      </c>
      <c r="F658" s="3" t="s">
        <v>120</v>
      </c>
      <c r="G658" s="3">
        <v>41</v>
      </c>
      <c r="H658" s="3">
        <v>0</v>
      </c>
      <c r="I658" s="3">
        <v>41</v>
      </c>
      <c r="J658" s="3">
        <v>0</v>
      </c>
      <c r="K658" s="3">
        <v>0</v>
      </c>
      <c r="L658" s="3">
        <v>0</v>
      </c>
      <c r="M658" s="3">
        <v>0</v>
      </c>
      <c r="N658" s="3" t="s">
        <v>5218</v>
      </c>
      <c r="O658" s="3">
        <v>0</v>
      </c>
      <c r="P658" s="3">
        <v>0</v>
      </c>
      <c r="Q658" s="3">
        <v>0</v>
      </c>
      <c r="R658" s="3">
        <v>0</v>
      </c>
      <c r="S658" s="3">
        <v>0</v>
      </c>
      <c r="T658" s="3">
        <v>5</v>
      </c>
      <c r="U658" s="3">
        <v>8</v>
      </c>
      <c r="V658" s="3">
        <v>12</v>
      </c>
      <c r="W658" s="3"/>
      <c r="X658" s="3">
        <v>22.98</v>
      </c>
      <c r="Y658" s="3">
        <v>22.98</v>
      </c>
      <c r="Z658" s="3">
        <v>22.98</v>
      </c>
      <c r="AA658" s="3">
        <v>0</v>
      </c>
      <c r="AB658" s="3" t="s">
        <v>5228</v>
      </c>
      <c r="AC658" s="3">
        <v>26</v>
      </c>
      <c r="AD658" s="3">
        <v>20.3</v>
      </c>
      <c r="AE658" s="3">
        <v>140</v>
      </c>
      <c r="AF658" s="3">
        <v>0</v>
      </c>
      <c r="AG658" s="3">
        <v>6.72852</v>
      </c>
      <c r="AH658" s="3">
        <v>0.421052631578947</v>
      </c>
      <c r="AI658" s="3" t="s">
        <v>5233</v>
      </c>
      <c r="AJ658" s="3" t="s">
        <v>5222</v>
      </c>
    </row>
    <row r="659" spans="1:36">
      <c r="A659" s="5">
        <v>43288</v>
      </c>
      <c r="B659" s="3" t="s">
        <v>1586</v>
      </c>
      <c r="C659" s="3" t="s">
        <v>1587</v>
      </c>
      <c r="D659" s="3" t="s">
        <v>1587</v>
      </c>
      <c r="E659" s="3" t="s">
        <v>1588</v>
      </c>
      <c r="F659" s="3" t="s">
        <v>120</v>
      </c>
      <c r="G659" s="3">
        <v>31</v>
      </c>
      <c r="H659" s="3">
        <v>0</v>
      </c>
      <c r="I659" s="3">
        <v>4</v>
      </c>
      <c r="J659" s="3">
        <v>1</v>
      </c>
      <c r="K659" s="3">
        <v>26</v>
      </c>
      <c r="L659" s="3">
        <v>0</v>
      </c>
      <c r="M659" s="3">
        <v>0</v>
      </c>
      <c r="N659" s="3" t="s">
        <v>5218</v>
      </c>
      <c r="O659" s="3">
        <v>27</v>
      </c>
      <c r="P659" s="3">
        <v>33.33</v>
      </c>
      <c r="Q659" s="3">
        <v>0</v>
      </c>
      <c r="R659" s="3">
        <v>0</v>
      </c>
      <c r="S659" s="3">
        <v>0</v>
      </c>
      <c r="T659" s="3">
        <v>1</v>
      </c>
      <c r="U659" s="3">
        <v>2</v>
      </c>
      <c r="V659" s="3">
        <v>8</v>
      </c>
      <c r="W659" s="3" t="s">
        <v>5227</v>
      </c>
      <c r="X659" s="3">
        <v>39.98</v>
      </c>
      <c r="Y659" s="3">
        <v>39.98</v>
      </c>
      <c r="Z659" s="3">
        <v>19.98</v>
      </c>
      <c r="AA659" s="3">
        <v>0</v>
      </c>
      <c r="AB659" s="3" t="s">
        <v>5228</v>
      </c>
      <c r="AC659" s="3">
        <v>0</v>
      </c>
      <c r="AD659" s="3">
        <v>26.79</v>
      </c>
      <c r="AE659" s="3">
        <v>364</v>
      </c>
      <c r="AF659" s="3">
        <v>0</v>
      </c>
      <c r="AG659" s="3">
        <v>761.274794</v>
      </c>
      <c r="AH659" s="3">
        <v>0.246153846153846</v>
      </c>
      <c r="AI659" s="3" t="s">
        <v>5450</v>
      </c>
      <c r="AJ659" s="3" t="s">
        <v>5222</v>
      </c>
    </row>
    <row r="660" spans="1:36">
      <c r="A660" s="5">
        <v>43288</v>
      </c>
      <c r="B660" s="3" t="s">
        <v>2406</v>
      </c>
      <c r="C660" s="3" t="s">
        <v>2407</v>
      </c>
      <c r="D660" s="3" t="s">
        <v>2407</v>
      </c>
      <c r="E660" s="3" t="s">
        <v>2408</v>
      </c>
      <c r="F660" s="3" t="s">
        <v>120</v>
      </c>
      <c r="G660" s="3">
        <v>11</v>
      </c>
      <c r="H660" s="3">
        <v>0</v>
      </c>
      <c r="I660" s="3">
        <v>4</v>
      </c>
      <c r="J660" s="3">
        <v>7</v>
      </c>
      <c r="K660" s="3">
        <v>0</v>
      </c>
      <c r="L660" s="3">
        <v>0</v>
      </c>
      <c r="M660" s="3">
        <v>0</v>
      </c>
      <c r="N660" s="3" t="s">
        <v>5218</v>
      </c>
      <c r="O660" s="3">
        <v>6</v>
      </c>
      <c r="P660" s="3">
        <v>9.85</v>
      </c>
      <c r="Q660" s="3">
        <v>0</v>
      </c>
      <c r="R660" s="3">
        <v>0</v>
      </c>
      <c r="S660" s="3">
        <v>0</v>
      </c>
      <c r="T660" s="3">
        <v>0</v>
      </c>
      <c r="U660" s="3">
        <v>1</v>
      </c>
      <c r="V660" s="3">
        <v>7</v>
      </c>
      <c r="W660" s="3" t="s">
        <v>5227</v>
      </c>
      <c r="X660" s="3">
        <v>22.98</v>
      </c>
      <c r="Y660" s="3">
        <v>22.98</v>
      </c>
      <c r="Z660" s="3">
        <v>22</v>
      </c>
      <c r="AA660" s="3">
        <v>0</v>
      </c>
      <c r="AB660" s="3" t="s">
        <v>5228</v>
      </c>
      <c r="AC660" s="3">
        <v>0</v>
      </c>
      <c r="AD660" s="3">
        <v>20.4</v>
      </c>
      <c r="AE660" s="3">
        <v>217</v>
      </c>
      <c r="AF660" s="3">
        <v>0</v>
      </c>
      <c r="AG660" s="3">
        <v>301.819728</v>
      </c>
      <c r="AH660" s="3">
        <v>0.583333333333333</v>
      </c>
      <c r="AI660" s="3" t="s">
        <v>5240</v>
      </c>
      <c r="AJ660" s="3" t="s">
        <v>5222</v>
      </c>
    </row>
    <row r="661" spans="1:36">
      <c r="A661" s="5">
        <v>43288</v>
      </c>
      <c r="B661" s="3" t="s">
        <v>4496</v>
      </c>
      <c r="C661" s="3" t="s">
        <v>3711</v>
      </c>
      <c r="D661" s="3" t="s">
        <v>3711</v>
      </c>
      <c r="E661" s="3" t="s">
        <v>3712</v>
      </c>
      <c r="F661" s="3" t="s">
        <v>120</v>
      </c>
      <c r="G661" s="3">
        <v>2</v>
      </c>
      <c r="H661" s="3">
        <v>0</v>
      </c>
      <c r="I661" s="3">
        <v>0</v>
      </c>
      <c r="J661" s="3">
        <v>0</v>
      </c>
      <c r="K661" s="3">
        <v>2</v>
      </c>
      <c r="L661" s="3">
        <v>0</v>
      </c>
      <c r="M661" s="3">
        <v>0</v>
      </c>
      <c r="N661" s="3" t="s">
        <v>5218</v>
      </c>
      <c r="O661" s="3">
        <v>2</v>
      </c>
      <c r="P661" s="3">
        <v>1.99</v>
      </c>
      <c r="Q661" s="3">
        <v>0</v>
      </c>
      <c r="R661" s="3">
        <v>0</v>
      </c>
      <c r="S661" s="3">
        <v>0</v>
      </c>
      <c r="T661" s="3">
        <v>0</v>
      </c>
      <c r="U661" s="3">
        <v>0</v>
      </c>
      <c r="V661" s="3">
        <v>1</v>
      </c>
      <c r="W661" s="3" t="s">
        <v>5227</v>
      </c>
      <c r="X661" s="3">
        <v>24.98</v>
      </c>
      <c r="Y661" s="3">
        <v>24.98</v>
      </c>
      <c r="Z661" s="3">
        <v>24.98</v>
      </c>
      <c r="AA661" s="3">
        <v>0</v>
      </c>
      <c r="AB661" s="3" t="s">
        <v>5228</v>
      </c>
      <c r="AC661" s="3">
        <v>0</v>
      </c>
      <c r="AD661" s="3">
        <v>23.38</v>
      </c>
      <c r="AE661" s="3">
        <v>35</v>
      </c>
      <c r="AF661" s="3">
        <v>0</v>
      </c>
      <c r="AG661" s="3">
        <v>46.603296</v>
      </c>
      <c r="AH661" s="3">
        <v>0.444444444444444</v>
      </c>
      <c r="AI661" s="3" t="s">
        <v>5263</v>
      </c>
      <c r="AJ661" s="3" t="s">
        <v>5222</v>
      </c>
    </row>
    <row r="662" spans="1:36">
      <c r="A662" s="5">
        <v>43288</v>
      </c>
      <c r="B662" s="3" t="s">
        <v>2599</v>
      </c>
      <c r="C662" s="3" t="s">
        <v>2600</v>
      </c>
      <c r="D662" s="3" t="s">
        <v>2600</v>
      </c>
      <c r="E662" s="3" t="s">
        <v>1093</v>
      </c>
      <c r="F662" s="3" t="s">
        <v>120</v>
      </c>
      <c r="G662" s="3">
        <v>27</v>
      </c>
      <c r="H662" s="3">
        <v>0</v>
      </c>
      <c r="I662" s="3">
        <v>27</v>
      </c>
      <c r="J662" s="3">
        <v>0</v>
      </c>
      <c r="K662" s="3">
        <v>0</v>
      </c>
      <c r="L662" s="3">
        <v>0</v>
      </c>
      <c r="M662" s="3">
        <v>0</v>
      </c>
      <c r="N662" s="3" t="s">
        <v>5218</v>
      </c>
      <c r="O662" s="3">
        <v>0</v>
      </c>
      <c r="P662" s="3">
        <v>0</v>
      </c>
      <c r="Q662" s="3">
        <v>0</v>
      </c>
      <c r="R662" s="3">
        <v>0</v>
      </c>
      <c r="S662" s="3">
        <v>2</v>
      </c>
      <c r="T662" s="3">
        <v>6</v>
      </c>
      <c r="U662" s="3">
        <v>14</v>
      </c>
      <c r="V662" s="3">
        <v>27</v>
      </c>
      <c r="W662" s="3"/>
      <c r="X662" s="3">
        <v>22.98</v>
      </c>
      <c r="Y662" s="3">
        <v>22.98</v>
      </c>
      <c r="Z662" s="3">
        <v>22.98</v>
      </c>
      <c r="AA662" s="3">
        <v>0</v>
      </c>
      <c r="AB662" s="3" t="s">
        <v>5223</v>
      </c>
      <c r="AC662" s="3">
        <v>26</v>
      </c>
      <c r="AD662" s="3">
        <v>22.98</v>
      </c>
      <c r="AE662" s="3">
        <v>0</v>
      </c>
      <c r="AF662" s="3">
        <v>0</v>
      </c>
      <c r="AG662" s="3">
        <v>0</v>
      </c>
      <c r="AH662" s="3">
        <v>1.47945205479452</v>
      </c>
      <c r="AI662" s="3" t="s">
        <v>5238</v>
      </c>
      <c r="AJ662" s="3" t="s">
        <v>5222</v>
      </c>
    </row>
    <row r="663" spans="1:36">
      <c r="A663" s="5">
        <v>43288</v>
      </c>
      <c r="B663" s="3" t="s">
        <v>3159</v>
      </c>
      <c r="C663" s="3" t="s">
        <v>3160</v>
      </c>
      <c r="D663" s="3" t="s">
        <v>3160</v>
      </c>
      <c r="E663" s="3" t="s">
        <v>3161</v>
      </c>
      <c r="F663" s="3" t="s">
        <v>120</v>
      </c>
      <c r="G663" s="3">
        <v>1</v>
      </c>
      <c r="H663" s="3">
        <v>0</v>
      </c>
      <c r="I663" s="3">
        <v>1</v>
      </c>
      <c r="J663" s="3">
        <v>0</v>
      </c>
      <c r="K663" s="3">
        <v>0</v>
      </c>
      <c r="L663" s="3">
        <v>0</v>
      </c>
      <c r="M663" s="3">
        <v>0</v>
      </c>
      <c r="N663" s="3" t="s">
        <v>5218</v>
      </c>
      <c r="O663" s="3">
        <v>0</v>
      </c>
      <c r="P663" s="3">
        <v>0</v>
      </c>
      <c r="Q663" s="3">
        <v>0</v>
      </c>
      <c r="R663" s="3">
        <v>0</v>
      </c>
      <c r="S663" s="3">
        <v>0</v>
      </c>
      <c r="T663" s="3">
        <v>0</v>
      </c>
      <c r="U663" s="3">
        <v>0</v>
      </c>
      <c r="V663" s="3">
        <v>2</v>
      </c>
      <c r="W663" s="3" t="s">
        <v>5227</v>
      </c>
      <c r="X663" s="3">
        <v>15.98</v>
      </c>
      <c r="Y663" s="3">
        <v>15.98</v>
      </c>
      <c r="Z663" s="3">
        <v>15.98</v>
      </c>
      <c r="AA663" s="3">
        <v>0</v>
      </c>
      <c r="AB663" s="3" t="s">
        <v>5223</v>
      </c>
      <c r="AC663" s="3">
        <v>1</v>
      </c>
      <c r="AD663" s="3">
        <v>15.98</v>
      </c>
      <c r="AE663" s="3">
        <v>0</v>
      </c>
      <c r="AF663" s="3">
        <v>0</v>
      </c>
      <c r="AG663" s="3">
        <v>0</v>
      </c>
      <c r="AH663" s="3">
        <v>2</v>
      </c>
      <c r="AI663" s="3" t="s">
        <v>5231</v>
      </c>
      <c r="AJ663" s="3" t="s">
        <v>5222</v>
      </c>
    </row>
    <row r="664" spans="1:36">
      <c r="A664" s="5">
        <v>43288</v>
      </c>
      <c r="B664" s="3" t="s">
        <v>1090</v>
      </c>
      <c r="C664" s="3" t="s">
        <v>1091</v>
      </c>
      <c r="D664" s="3" t="s">
        <v>1092</v>
      </c>
      <c r="E664" s="3" t="s">
        <v>1093</v>
      </c>
      <c r="F664" s="3" t="s">
        <v>120</v>
      </c>
      <c r="G664" s="3">
        <v>10</v>
      </c>
      <c r="H664" s="3">
        <v>0</v>
      </c>
      <c r="I664" s="3">
        <v>10</v>
      </c>
      <c r="J664" s="3">
        <v>0</v>
      </c>
      <c r="K664" s="3">
        <v>0</v>
      </c>
      <c r="L664" s="3">
        <v>0</v>
      </c>
      <c r="M664" s="3">
        <v>0</v>
      </c>
      <c r="N664" s="3" t="s">
        <v>5218</v>
      </c>
      <c r="O664" s="3">
        <v>0</v>
      </c>
      <c r="P664" s="3">
        <v>0</v>
      </c>
      <c r="Q664" s="3">
        <v>0</v>
      </c>
      <c r="R664" s="3">
        <v>0</v>
      </c>
      <c r="S664" s="3">
        <v>0</v>
      </c>
      <c r="T664" s="3">
        <v>0</v>
      </c>
      <c r="U664" s="3">
        <v>0</v>
      </c>
      <c r="V664" s="3">
        <v>0</v>
      </c>
      <c r="W664" s="3" t="s">
        <v>5219</v>
      </c>
      <c r="X664" s="3">
        <v>22.98</v>
      </c>
      <c r="Y664" s="3">
        <v>22.98</v>
      </c>
      <c r="Z664" s="3">
        <v>22.98</v>
      </c>
      <c r="AA664" s="3">
        <v>0</v>
      </c>
      <c r="AB664" s="3" t="s">
        <v>5220</v>
      </c>
      <c r="AC664" s="3">
        <v>0</v>
      </c>
      <c r="AD664" s="3">
        <v>18.38</v>
      </c>
      <c r="AE664" s="3">
        <v>63</v>
      </c>
      <c r="AF664" s="3">
        <v>0</v>
      </c>
      <c r="AG664" s="3">
        <v>89.542116</v>
      </c>
      <c r="AH664" s="3">
        <v>0</v>
      </c>
      <c r="AI664" s="3" t="s">
        <v>5451</v>
      </c>
      <c r="AJ664" s="3" t="s">
        <v>5222</v>
      </c>
    </row>
    <row r="665" spans="1:36">
      <c r="A665" s="5">
        <v>43288</v>
      </c>
      <c r="B665" s="3" t="s">
        <v>1903</v>
      </c>
      <c r="C665" s="3" t="s">
        <v>1904</v>
      </c>
      <c r="D665" s="3" t="s">
        <v>1904</v>
      </c>
      <c r="E665" s="3" t="s">
        <v>1905</v>
      </c>
      <c r="F665" s="3" t="s">
        <v>120</v>
      </c>
      <c r="G665" s="3">
        <v>3</v>
      </c>
      <c r="H665" s="3">
        <v>0</v>
      </c>
      <c r="I665" s="3">
        <v>3</v>
      </c>
      <c r="J665" s="3">
        <v>0</v>
      </c>
      <c r="K665" s="3">
        <v>0</v>
      </c>
      <c r="L665" s="3">
        <v>0</v>
      </c>
      <c r="M665" s="3">
        <v>0</v>
      </c>
      <c r="N665" s="3" t="s">
        <v>5218</v>
      </c>
      <c r="O665" s="3">
        <v>0</v>
      </c>
      <c r="P665" s="3">
        <v>0</v>
      </c>
      <c r="Q665" s="3">
        <v>0</v>
      </c>
      <c r="R665" s="3">
        <v>0</v>
      </c>
      <c r="S665" s="3">
        <v>0</v>
      </c>
      <c r="T665" s="3">
        <v>4</v>
      </c>
      <c r="U665" s="3">
        <v>41</v>
      </c>
      <c r="V665" s="3">
        <v>59</v>
      </c>
      <c r="W665" s="3"/>
      <c r="X665" s="3"/>
      <c r="Y665" s="3"/>
      <c r="Z665" s="3">
        <v>-1</v>
      </c>
      <c r="AA665" s="3">
        <v>-1</v>
      </c>
      <c r="AB665" s="3" t="s">
        <v>5244</v>
      </c>
      <c r="AC665" s="3">
        <v>0</v>
      </c>
      <c r="AD665" s="3">
        <v>0</v>
      </c>
      <c r="AE665" s="3">
        <v>0</v>
      </c>
      <c r="AF665" s="3">
        <v>0</v>
      </c>
      <c r="AG665" s="3">
        <v>0</v>
      </c>
      <c r="AH665" s="3">
        <v>7.15151515151515</v>
      </c>
      <c r="AI665" s="3" t="s">
        <v>5236</v>
      </c>
      <c r="AJ665" s="3" t="s">
        <v>5222</v>
      </c>
    </row>
    <row r="666" spans="1:36">
      <c r="A666" s="5">
        <v>43288</v>
      </c>
      <c r="B666" s="3" t="s">
        <v>631</v>
      </c>
      <c r="C666" s="3" t="s">
        <v>632</v>
      </c>
      <c r="D666" s="3" t="s">
        <v>632</v>
      </c>
      <c r="E666" s="3" t="s">
        <v>633</v>
      </c>
      <c r="F666" s="3" t="s">
        <v>120</v>
      </c>
      <c r="G666" s="3">
        <v>10</v>
      </c>
      <c r="H666" s="3">
        <v>0</v>
      </c>
      <c r="I666" s="3">
        <v>4</v>
      </c>
      <c r="J666" s="3">
        <v>6</v>
      </c>
      <c r="K666" s="3">
        <v>0</v>
      </c>
      <c r="L666" s="3">
        <v>0</v>
      </c>
      <c r="M666" s="3">
        <v>0</v>
      </c>
      <c r="N666" s="3" t="s">
        <v>5218</v>
      </c>
      <c r="O666" s="3">
        <v>3</v>
      </c>
      <c r="P666" s="3">
        <v>5.7</v>
      </c>
      <c r="Q666" s="3">
        <v>0</v>
      </c>
      <c r="R666" s="3">
        <v>0</v>
      </c>
      <c r="S666" s="3">
        <v>0</v>
      </c>
      <c r="T666" s="3">
        <v>1</v>
      </c>
      <c r="U666" s="3">
        <v>1</v>
      </c>
      <c r="V666" s="3">
        <v>1</v>
      </c>
      <c r="W666" s="3"/>
      <c r="X666" s="3">
        <v>24.98</v>
      </c>
      <c r="Y666" s="3">
        <v>24.98</v>
      </c>
      <c r="Z666" s="3">
        <v>24.98</v>
      </c>
      <c r="AA666" s="3">
        <v>0</v>
      </c>
      <c r="AB666" s="3" t="s">
        <v>5223</v>
      </c>
      <c r="AC666" s="3">
        <v>10</v>
      </c>
      <c r="AD666" s="3">
        <v>24.98</v>
      </c>
      <c r="AE666" s="3">
        <v>0</v>
      </c>
      <c r="AF666" s="3">
        <v>0</v>
      </c>
      <c r="AG666" s="3">
        <v>0</v>
      </c>
      <c r="AH666" s="3">
        <v>0.129032258064516</v>
      </c>
      <c r="AI666" s="3" t="s">
        <v>5250</v>
      </c>
      <c r="AJ666" s="3" t="s">
        <v>5222</v>
      </c>
    </row>
    <row r="667" spans="1:36">
      <c r="A667" s="5">
        <v>43288</v>
      </c>
      <c r="B667" s="3" t="s">
        <v>4553</v>
      </c>
      <c r="C667" s="3" t="s">
        <v>3935</v>
      </c>
      <c r="D667" s="3" t="s">
        <v>3935</v>
      </c>
      <c r="E667" s="3" t="s">
        <v>3936</v>
      </c>
      <c r="F667" s="3" t="s">
        <v>120</v>
      </c>
      <c r="G667" s="3">
        <v>5</v>
      </c>
      <c r="H667" s="3">
        <v>0</v>
      </c>
      <c r="I667" s="3">
        <v>5</v>
      </c>
      <c r="J667" s="3">
        <v>0</v>
      </c>
      <c r="K667" s="3">
        <v>0</v>
      </c>
      <c r="L667" s="3">
        <v>0</v>
      </c>
      <c r="M667" s="3">
        <v>0</v>
      </c>
      <c r="N667" s="3" t="s">
        <v>5218</v>
      </c>
      <c r="O667" s="3">
        <v>0</v>
      </c>
      <c r="P667" s="3">
        <v>0</v>
      </c>
      <c r="Q667" s="3">
        <v>0</v>
      </c>
      <c r="R667" s="3">
        <v>0</v>
      </c>
      <c r="S667" s="3">
        <v>0</v>
      </c>
      <c r="T667" s="3">
        <v>0</v>
      </c>
      <c r="U667" s="3">
        <v>0</v>
      </c>
      <c r="V667" s="3">
        <v>0</v>
      </c>
      <c r="W667" s="3" t="s">
        <v>5227</v>
      </c>
      <c r="X667" s="3">
        <v>26.98</v>
      </c>
      <c r="Y667" s="3">
        <v>26.98</v>
      </c>
      <c r="Z667" s="3">
        <v>26.98</v>
      </c>
      <c r="AA667" s="3">
        <v>0</v>
      </c>
      <c r="AB667" s="3" t="s">
        <v>5228</v>
      </c>
      <c r="AC667" s="3">
        <v>0</v>
      </c>
      <c r="AD667" s="3">
        <v>24.92</v>
      </c>
      <c r="AE667" s="3">
        <v>147</v>
      </c>
      <c r="AF667" s="3">
        <v>0</v>
      </c>
      <c r="AG667" s="3">
        <v>134.171963</v>
      </c>
      <c r="AH667" s="3">
        <v>0</v>
      </c>
      <c r="AI667" s="3" t="s">
        <v>5249</v>
      </c>
      <c r="AJ667" s="3" t="s">
        <v>5222</v>
      </c>
    </row>
    <row r="668" spans="1:36">
      <c r="A668" s="5">
        <v>43288</v>
      </c>
      <c r="B668" s="3" t="s">
        <v>4556</v>
      </c>
      <c r="C668" s="3" t="s">
        <v>3947</v>
      </c>
      <c r="D668" s="3" t="s">
        <v>3947</v>
      </c>
      <c r="E668" s="3" t="s">
        <v>3948</v>
      </c>
      <c r="F668" s="3" t="s">
        <v>120</v>
      </c>
      <c r="G668" s="3">
        <v>15</v>
      </c>
      <c r="H668" s="3">
        <v>0</v>
      </c>
      <c r="I668" s="3">
        <v>15</v>
      </c>
      <c r="J668" s="3">
        <v>0</v>
      </c>
      <c r="K668" s="3">
        <v>0</v>
      </c>
      <c r="L668" s="3">
        <v>0</v>
      </c>
      <c r="M668" s="3">
        <v>0</v>
      </c>
      <c r="N668" s="3" t="s">
        <v>5218</v>
      </c>
      <c r="O668" s="3">
        <v>0</v>
      </c>
      <c r="P668" s="3">
        <v>0</v>
      </c>
      <c r="Q668" s="3">
        <v>0</v>
      </c>
      <c r="R668" s="3">
        <v>0</v>
      </c>
      <c r="S668" s="3">
        <v>1</v>
      </c>
      <c r="T668" s="3">
        <v>4</v>
      </c>
      <c r="U668" s="3">
        <v>9</v>
      </c>
      <c r="V668" s="3">
        <v>10</v>
      </c>
      <c r="W668" s="3"/>
      <c r="X668" s="3">
        <v>26.98</v>
      </c>
      <c r="Y668" s="3">
        <v>26.98</v>
      </c>
      <c r="Z668" s="3">
        <v>26.98</v>
      </c>
      <c r="AA668" s="3">
        <v>0</v>
      </c>
      <c r="AB668" s="3" t="s">
        <v>5223</v>
      </c>
      <c r="AC668" s="3">
        <v>16</v>
      </c>
      <c r="AD668" s="3">
        <v>26.98</v>
      </c>
      <c r="AE668" s="3">
        <v>0</v>
      </c>
      <c r="AF668" s="3">
        <v>0</v>
      </c>
      <c r="AG668" s="3">
        <v>0</v>
      </c>
      <c r="AH668" s="3">
        <v>0.8</v>
      </c>
      <c r="AI668" s="3" t="s">
        <v>5249</v>
      </c>
      <c r="AJ668" s="3" t="s">
        <v>5222</v>
      </c>
    </row>
    <row r="669" spans="1:36">
      <c r="A669" s="5">
        <v>43288</v>
      </c>
      <c r="B669" s="3" t="s">
        <v>1221</v>
      </c>
      <c r="C669" s="3" t="s">
        <v>1222</v>
      </c>
      <c r="D669" s="3" t="s">
        <v>1223</v>
      </c>
      <c r="E669" s="3" t="s">
        <v>384</v>
      </c>
      <c r="F669" s="3" t="s">
        <v>120</v>
      </c>
      <c r="G669" s="3">
        <v>53</v>
      </c>
      <c r="H669" s="3">
        <v>0</v>
      </c>
      <c r="I669" s="3">
        <v>53</v>
      </c>
      <c r="J669" s="3">
        <v>0</v>
      </c>
      <c r="K669" s="3">
        <v>0</v>
      </c>
      <c r="L669" s="3">
        <v>0</v>
      </c>
      <c r="M669" s="3">
        <v>0</v>
      </c>
      <c r="N669" s="3" t="s">
        <v>5218</v>
      </c>
      <c r="O669" s="3">
        <v>0</v>
      </c>
      <c r="P669" s="3">
        <v>0</v>
      </c>
      <c r="Q669" s="3">
        <v>0</v>
      </c>
      <c r="R669" s="3">
        <v>0</v>
      </c>
      <c r="S669" s="3">
        <v>6</v>
      </c>
      <c r="T669" s="3">
        <v>6</v>
      </c>
      <c r="U669" s="3">
        <v>6</v>
      </c>
      <c r="V669" s="3">
        <v>6</v>
      </c>
      <c r="W669" s="3"/>
      <c r="X669" s="3">
        <v>23.98</v>
      </c>
      <c r="Y669" s="3">
        <v>23.98</v>
      </c>
      <c r="Z669" s="3">
        <v>23.98</v>
      </c>
      <c r="AA669" s="3">
        <v>0</v>
      </c>
      <c r="AB669" s="3" t="s">
        <v>5228</v>
      </c>
      <c r="AC669" s="3">
        <v>0</v>
      </c>
      <c r="AD669" s="3">
        <v>19.19</v>
      </c>
      <c r="AE669" s="3">
        <v>63</v>
      </c>
      <c r="AF669" s="3">
        <v>0</v>
      </c>
      <c r="AG669" s="3">
        <v>190.704444</v>
      </c>
      <c r="AH669" s="3">
        <v>0.111111111111111</v>
      </c>
      <c r="AI669" s="3" t="s">
        <v>5236</v>
      </c>
      <c r="AJ669" s="3" t="s">
        <v>5222</v>
      </c>
    </row>
    <row r="670" spans="1:36">
      <c r="A670" s="5">
        <v>43288</v>
      </c>
      <c r="B670" s="3" t="s">
        <v>2952</v>
      </c>
      <c r="C670" s="3" t="s">
        <v>1408</v>
      </c>
      <c r="D670" s="3" t="s">
        <v>1408</v>
      </c>
      <c r="E670" s="3" t="s">
        <v>1409</v>
      </c>
      <c r="F670" s="3" t="s">
        <v>120</v>
      </c>
      <c r="G670" s="3">
        <v>13</v>
      </c>
      <c r="H670" s="3">
        <v>0</v>
      </c>
      <c r="I670" s="3">
        <v>13</v>
      </c>
      <c r="J670" s="3">
        <v>0</v>
      </c>
      <c r="K670" s="3">
        <v>0</v>
      </c>
      <c r="L670" s="3">
        <v>0</v>
      </c>
      <c r="M670" s="3">
        <v>0</v>
      </c>
      <c r="N670" s="3" t="s">
        <v>5218</v>
      </c>
      <c r="O670" s="3">
        <v>0</v>
      </c>
      <c r="P670" s="3">
        <v>0</v>
      </c>
      <c r="Q670" s="3">
        <v>0</v>
      </c>
      <c r="R670" s="3">
        <v>0</v>
      </c>
      <c r="S670" s="3">
        <v>15</v>
      </c>
      <c r="T670" s="3">
        <v>68</v>
      </c>
      <c r="U670" s="3">
        <v>130</v>
      </c>
      <c r="V670" s="3">
        <v>145</v>
      </c>
      <c r="W670" s="3"/>
      <c r="X670" s="3">
        <v>24.98</v>
      </c>
      <c r="Y670" s="3">
        <v>24.98</v>
      </c>
      <c r="Z670" s="3">
        <v>24.98</v>
      </c>
      <c r="AA670" s="3">
        <v>0</v>
      </c>
      <c r="AB670" s="3" t="s">
        <v>5223</v>
      </c>
      <c r="AC670" s="3">
        <v>24</v>
      </c>
      <c r="AD670" s="3">
        <v>24.98</v>
      </c>
      <c r="AE670" s="3">
        <v>0</v>
      </c>
      <c r="AF670" s="3">
        <v>0</v>
      </c>
      <c r="AG670" s="3">
        <v>0</v>
      </c>
      <c r="AH670" s="3">
        <v>9.50819672131147</v>
      </c>
      <c r="AI670" s="3" t="s">
        <v>5236</v>
      </c>
      <c r="AJ670" s="3" t="s">
        <v>5222</v>
      </c>
    </row>
    <row r="671" spans="1:36">
      <c r="A671" s="5">
        <v>43288</v>
      </c>
      <c r="B671" s="3" t="s">
        <v>4502</v>
      </c>
      <c r="C671" s="3" t="s">
        <v>3735</v>
      </c>
      <c r="D671" s="3" t="s">
        <v>3735</v>
      </c>
      <c r="E671" s="3" t="s">
        <v>3736</v>
      </c>
      <c r="F671" s="3" t="s">
        <v>120</v>
      </c>
      <c r="G671" s="3">
        <v>6</v>
      </c>
      <c r="H671" s="3">
        <v>0</v>
      </c>
      <c r="I671" s="3">
        <v>0</v>
      </c>
      <c r="J671" s="3">
        <v>2</v>
      </c>
      <c r="K671" s="3">
        <v>4</v>
      </c>
      <c r="L671" s="3">
        <v>0</v>
      </c>
      <c r="M671" s="3">
        <v>0</v>
      </c>
      <c r="N671" s="3" t="s">
        <v>5218</v>
      </c>
      <c r="O671" s="3">
        <v>5</v>
      </c>
      <c r="P671" s="3">
        <v>4.98</v>
      </c>
      <c r="Q671" s="3">
        <v>0</v>
      </c>
      <c r="R671" s="3">
        <v>0</v>
      </c>
      <c r="S671" s="3">
        <v>0</v>
      </c>
      <c r="T671" s="3">
        <v>0</v>
      </c>
      <c r="U671" s="3">
        <v>0</v>
      </c>
      <c r="V671" s="3">
        <v>2</v>
      </c>
      <c r="W671" s="3" t="s">
        <v>5227</v>
      </c>
      <c r="X671" s="3">
        <v>24.98</v>
      </c>
      <c r="Y671" s="3">
        <v>24.98</v>
      </c>
      <c r="Z671" s="3">
        <v>24.98</v>
      </c>
      <c r="AA671" s="3">
        <v>0</v>
      </c>
      <c r="AB671" s="3" t="s">
        <v>5228</v>
      </c>
      <c r="AC671" s="3">
        <v>1</v>
      </c>
      <c r="AD671" s="3">
        <v>23</v>
      </c>
      <c r="AE671" s="3">
        <v>112</v>
      </c>
      <c r="AF671" s="3">
        <v>0</v>
      </c>
      <c r="AG671" s="3">
        <v>133.132304</v>
      </c>
      <c r="AH671" s="3">
        <v>0.307692307692307</v>
      </c>
      <c r="AI671" s="3" t="s">
        <v>5452</v>
      </c>
      <c r="AJ671" s="3" t="s">
        <v>5222</v>
      </c>
    </row>
    <row r="672" spans="1:36">
      <c r="A672" s="5">
        <v>43288</v>
      </c>
      <c r="B672" s="3" t="s">
        <v>2892</v>
      </c>
      <c r="C672" s="3" t="s">
        <v>2893</v>
      </c>
      <c r="D672" s="3" t="s">
        <v>2893</v>
      </c>
      <c r="E672" s="3" t="s">
        <v>1805</v>
      </c>
      <c r="F672" s="3" t="s">
        <v>120</v>
      </c>
      <c r="G672" s="3">
        <v>20</v>
      </c>
      <c r="H672" s="3">
        <v>0</v>
      </c>
      <c r="I672" s="3">
        <v>0</v>
      </c>
      <c r="J672" s="3">
        <v>20</v>
      </c>
      <c r="K672" s="3">
        <v>0</v>
      </c>
      <c r="L672" s="3">
        <v>0</v>
      </c>
      <c r="M672" s="3">
        <v>0</v>
      </c>
      <c r="N672" s="3" t="s">
        <v>5218</v>
      </c>
      <c r="O672" s="3">
        <v>10</v>
      </c>
      <c r="P672" s="3">
        <v>18.56</v>
      </c>
      <c r="Q672" s="3">
        <v>0</v>
      </c>
      <c r="R672" s="3">
        <v>0</v>
      </c>
      <c r="S672" s="3">
        <v>0</v>
      </c>
      <c r="T672" s="3">
        <v>0</v>
      </c>
      <c r="U672" s="3">
        <v>0</v>
      </c>
      <c r="V672" s="3">
        <v>0</v>
      </c>
      <c r="W672" s="3" t="s">
        <v>5219</v>
      </c>
      <c r="X672" s="3">
        <v>24.98</v>
      </c>
      <c r="Y672" s="3">
        <v>24.98</v>
      </c>
      <c r="Z672" s="3">
        <v>24.98</v>
      </c>
      <c r="AA672" s="3">
        <v>0</v>
      </c>
      <c r="AB672" s="3" t="s">
        <v>5220</v>
      </c>
      <c r="AC672" s="3">
        <v>0</v>
      </c>
      <c r="AD672" s="3">
        <v>23.98</v>
      </c>
      <c r="AE672" s="3">
        <v>63</v>
      </c>
      <c r="AF672" s="3">
        <v>0</v>
      </c>
      <c r="AG672" s="3">
        <v>424.865553</v>
      </c>
      <c r="AH672" s="3">
        <v>0</v>
      </c>
      <c r="AI672" s="3" t="s">
        <v>5254</v>
      </c>
      <c r="AJ672" s="3" t="s">
        <v>5222</v>
      </c>
    </row>
    <row r="673" spans="1:36">
      <c r="A673" s="5">
        <v>43288</v>
      </c>
      <c r="B673" s="3" t="s">
        <v>1466</v>
      </c>
      <c r="C673" s="3" t="s">
        <v>26</v>
      </c>
      <c r="D673" s="3" t="s">
        <v>26</v>
      </c>
      <c r="E673" s="3" t="s">
        <v>1467</v>
      </c>
      <c r="F673" s="3" t="s">
        <v>120</v>
      </c>
      <c r="G673" s="3">
        <v>9</v>
      </c>
      <c r="H673" s="3">
        <v>0</v>
      </c>
      <c r="I673" s="3">
        <v>0</v>
      </c>
      <c r="J673" s="3">
        <v>1</v>
      </c>
      <c r="K673" s="3">
        <v>8</v>
      </c>
      <c r="L673" s="3">
        <v>0</v>
      </c>
      <c r="M673" s="3">
        <v>0</v>
      </c>
      <c r="N673" s="3" t="s">
        <v>5218</v>
      </c>
      <c r="O673" s="3">
        <v>8</v>
      </c>
      <c r="P673" s="3">
        <v>14.63</v>
      </c>
      <c r="Q673" s="3">
        <v>0</v>
      </c>
      <c r="R673" s="3">
        <v>0</v>
      </c>
      <c r="S673" s="3">
        <v>0</v>
      </c>
      <c r="T673" s="3">
        <v>0</v>
      </c>
      <c r="U673" s="3">
        <v>4</v>
      </c>
      <c r="V673" s="3">
        <v>6</v>
      </c>
      <c r="W673" s="3" t="s">
        <v>5227</v>
      </c>
      <c r="X673" s="3">
        <v>18.98</v>
      </c>
      <c r="Y673" s="3">
        <v>18.98</v>
      </c>
      <c r="Z673" s="3">
        <v>18.98</v>
      </c>
      <c r="AA673" s="3">
        <v>0</v>
      </c>
      <c r="AB673" s="3" t="s">
        <v>5228</v>
      </c>
      <c r="AC673" s="3">
        <v>0</v>
      </c>
      <c r="AD673" s="3">
        <v>13.92</v>
      </c>
      <c r="AE673" s="3">
        <v>168</v>
      </c>
      <c r="AF673" s="3">
        <v>0</v>
      </c>
      <c r="AG673" s="3">
        <v>161.018478</v>
      </c>
      <c r="AH673" s="3">
        <v>0.296296296296296</v>
      </c>
      <c r="AI673" s="3" t="s">
        <v>5311</v>
      </c>
      <c r="AJ673" s="3" t="s">
        <v>5222</v>
      </c>
    </row>
    <row r="674" spans="1:36">
      <c r="A674" s="5">
        <v>43288</v>
      </c>
      <c r="B674" s="3" t="s">
        <v>1971</v>
      </c>
      <c r="C674" s="3" t="s">
        <v>138</v>
      </c>
      <c r="D674" s="3" t="s">
        <v>138</v>
      </c>
      <c r="E674" s="3" t="s">
        <v>1972</v>
      </c>
      <c r="F674" s="3" t="s">
        <v>120</v>
      </c>
      <c r="G674" s="3">
        <v>11</v>
      </c>
      <c r="H674" s="3">
        <v>0</v>
      </c>
      <c r="I674" s="3">
        <v>9</v>
      </c>
      <c r="J674" s="3">
        <v>2</v>
      </c>
      <c r="K674" s="3">
        <v>0</v>
      </c>
      <c r="L674" s="3">
        <v>0</v>
      </c>
      <c r="M674" s="3">
        <v>0</v>
      </c>
      <c r="N674" s="3" t="s">
        <v>5218</v>
      </c>
      <c r="O674" s="3">
        <v>0</v>
      </c>
      <c r="P674" s="3">
        <v>0</v>
      </c>
      <c r="Q674" s="3">
        <v>0</v>
      </c>
      <c r="R674" s="3">
        <v>0</v>
      </c>
      <c r="S674" s="3">
        <v>0</v>
      </c>
      <c r="T674" s="3">
        <v>1</v>
      </c>
      <c r="U674" s="3">
        <v>13</v>
      </c>
      <c r="V674" s="3">
        <v>26</v>
      </c>
      <c r="W674" s="3" t="s">
        <v>5227</v>
      </c>
      <c r="X674" s="3">
        <v>18.98</v>
      </c>
      <c r="Y674" s="3">
        <v>18.98</v>
      </c>
      <c r="Z674" s="3">
        <v>18.98</v>
      </c>
      <c r="AA674" s="3">
        <v>0</v>
      </c>
      <c r="AB674" s="3" t="s">
        <v>5223</v>
      </c>
      <c r="AC674" s="3">
        <v>10</v>
      </c>
      <c r="AD674" s="3">
        <v>18.98</v>
      </c>
      <c r="AE674" s="3">
        <v>0</v>
      </c>
      <c r="AF674" s="3">
        <v>0</v>
      </c>
      <c r="AG674" s="3">
        <v>0</v>
      </c>
      <c r="AH674" s="3">
        <v>1.52941176470588</v>
      </c>
      <c r="AI674" s="3" t="s">
        <v>5453</v>
      </c>
      <c r="AJ674" s="3" t="s">
        <v>5222</v>
      </c>
    </row>
    <row r="675" spans="1:36">
      <c r="A675" s="5">
        <v>43288</v>
      </c>
      <c r="B675" s="3" t="s">
        <v>2583</v>
      </c>
      <c r="C675" s="3" t="s">
        <v>1052</v>
      </c>
      <c r="D675" s="3" t="s">
        <v>1052</v>
      </c>
      <c r="E675" s="3" t="s">
        <v>1053</v>
      </c>
      <c r="F675" s="3" t="s">
        <v>120</v>
      </c>
      <c r="G675" s="3">
        <v>2</v>
      </c>
      <c r="H675" s="3">
        <v>0</v>
      </c>
      <c r="I675" s="3">
        <v>2</v>
      </c>
      <c r="J675" s="3">
        <v>0</v>
      </c>
      <c r="K675" s="3">
        <v>0</v>
      </c>
      <c r="L675" s="3">
        <v>0</v>
      </c>
      <c r="M675" s="3">
        <v>0</v>
      </c>
      <c r="N675" s="3" t="s">
        <v>5218</v>
      </c>
      <c r="O675" s="3">
        <v>0</v>
      </c>
      <c r="P675" s="3">
        <v>0</v>
      </c>
      <c r="Q675" s="3">
        <v>0</v>
      </c>
      <c r="R675" s="3">
        <v>0</v>
      </c>
      <c r="S675" s="3">
        <v>1</v>
      </c>
      <c r="T675" s="3">
        <v>15</v>
      </c>
      <c r="U675" s="3">
        <v>26</v>
      </c>
      <c r="V675" s="3">
        <v>32</v>
      </c>
      <c r="W675" s="3"/>
      <c r="X675" s="3">
        <v>22.98</v>
      </c>
      <c r="Y675" s="3">
        <v>22.98</v>
      </c>
      <c r="Z675" s="3">
        <v>22.98</v>
      </c>
      <c r="AA675" s="3">
        <v>0</v>
      </c>
      <c r="AB675" s="3" t="s">
        <v>5223</v>
      </c>
      <c r="AC675" s="3">
        <v>3</v>
      </c>
      <c r="AD675" s="3">
        <v>22.98</v>
      </c>
      <c r="AE675" s="3">
        <v>0</v>
      </c>
      <c r="AF675" s="3">
        <v>0</v>
      </c>
      <c r="AG675" s="3">
        <v>0</v>
      </c>
      <c r="AH675" s="3">
        <v>1.84615384615384</v>
      </c>
      <c r="AI675" s="3" t="s">
        <v>5238</v>
      </c>
      <c r="AJ675" s="3" t="s">
        <v>5222</v>
      </c>
    </row>
    <row r="676" spans="1:36">
      <c r="A676" s="5">
        <v>43288</v>
      </c>
      <c r="B676" s="3" t="s">
        <v>4497</v>
      </c>
      <c r="C676" s="3" t="s">
        <v>3715</v>
      </c>
      <c r="D676" s="3" t="s">
        <v>3715</v>
      </c>
      <c r="E676" s="3" t="s">
        <v>3716</v>
      </c>
      <c r="F676" s="3" t="s">
        <v>120</v>
      </c>
      <c r="G676" s="3">
        <v>1</v>
      </c>
      <c r="H676" s="3">
        <v>0</v>
      </c>
      <c r="I676" s="3">
        <v>0</v>
      </c>
      <c r="J676" s="3">
        <v>0</v>
      </c>
      <c r="K676" s="3">
        <v>1</v>
      </c>
      <c r="L676" s="3">
        <v>0</v>
      </c>
      <c r="M676" s="3">
        <v>0</v>
      </c>
      <c r="N676" s="3" t="s">
        <v>5218</v>
      </c>
      <c r="O676" s="3">
        <v>1</v>
      </c>
      <c r="P676" s="3">
        <v>0.99</v>
      </c>
      <c r="Q676" s="3">
        <v>0</v>
      </c>
      <c r="R676" s="3">
        <v>0</v>
      </c>
      <c r="S676" s="3">
        <v>0</v>
      </c>
      <c r="T676" s="3">
        <v>0</v>
      </c>
      <c r="U676" s="3">
        <v>0</v>
      </c>
      <c r="V676" s="3">
        <v>1</v>
      </c>
      <c r="W676" s="3" t="s">
        <v>5227</v>
      </c>
      <c r="X676" s="3">
        <v>24.98</v>
      </c>
      <c r="Y676" s="3">
        <v>24.98</v>
      </c>
      <c r="Z676" s="3">
        <v>24.98</v>
      </c>
      <c r="AA676" s="3">
        <v>0</v>
      </c>
      <c r="AB676" s="3" t="s">
        <v>5223</v>
      </c>
      <c r="AC676" s="3">
        <v>1</v>
      </c>
      <c r="AD676" s="3">
        <v>24.98</v>
      </c>
      <c r="AE676" s="3">
        <v>0</v>
      </c>
      <c r="AF676" s="3">
        <v>0</v>
      </c>
      <c r="AG676" s="3">
        <v>0</v>
      </c>
      <c r="AH676" s="3">
        <v>0.8</v>
      </c>
      <c r="AI676" s="3" t="s">
        <v>5263</v>
      </c>
      <c r="AJ676" s="3" t="s">
        <v>5222</v>
      </c>
    </row>
    <row r="677" spans="1:36">
      <c r="A677" s="5">
        <v>43288</v>
      </c>
      <c r="B677" s="3" t="s">
        <v>2832</v>
      </c>
      <c r="C677" s="3" t="s">
        <v>2833</v>
      </c>
      <c r="D677" s="3" t="s">
        <v>2833</v>
      </c>
      <c r="E677" s="3" t="s">
        <v>1730</v>
      </c>
      <c r="F677" s="3" t="s">
        <v>120</v>
      </c>
      <c r="G677" s="3">
        <v>44</v>
      </c>
      <c r="H677" s="3">
        <v>0</v>
      </c>
      <c r="I677" s="3">
        <v>1</v>
      </c>
      <c r="J677" s="3">
        <v>43</v>
      </c>
      <c r="K677" s="3">
        <v>0</v>
      </c>
      <c r="L677" s="3">
        <v>0</v>
      </c>
      <c r="M677" s="3">
        <v>0</v>
      </c>
      <c r="N677" s="3" t="s">
        <v>5218</v>
      </c>
      <c r="O677" s="3">
        <v>17</v>
      </c>
      <c r="P677" s="3">
        <v>31.54</v>
      </c>
      <c r="Q677" s="3">
        <v>0</v>
      </c>
      <c r="R677" s="3">
        <v>0</v>
      </c>
      <c r="S677" s="3">
        <v>0</v>
      </c>
      <c r="T677" s="3">
        <v>2</v>
      </c>
      <c r="U677" s="3">
        <v>2</v>
      </c>
      <c r="V677" s="3">
        <v>4</v>
      </c>
      <c r="W677" s="3"/>
      <c r="X677" s="3">
        <v>23.98</v>
      </c>
      <c r="Y677" s="3">
        <v>23.98</v>
      </c>
      <c r="Z677" s="3">
        <v>23.98</v>
      </c>
      <c r="AA677" s="3">
        <v>0</v>
      </c>
      <c r="AB677" s="3" t="s">
        <v>5228</v>
      </c>
      <c r="AC677" s="3">
        <v>8</v>
      </c>
      <c r="AD677" s="3">
        <v>19.33</v>
      </c>
      <c r="AE677" s="3">
        <v>217</v>
      </c>
      <c r="AF677" s="3">
        <v>0</v>
      </c>
      <c r="AG677" s="3">
        <v>239.612047</v>
      </c>
      <c r="AH677" s="3">
        <v>0.087431693989071</v>
      </c>
      <c r="AI677" s="3" t="s">
        <v>5254</v>
      </c>
      <c r="AJ677" s="3" t="s">
        <v>5222</v>
      </c>
    </row>
    <row r="678" spans="1:36">
      <c r="A678" s="5">
        <v>43288</v>
      </c>
      <c r="B678" s="3" t="s">
        <v>2453</v>
      </c>
      <c r="C678" s="3" t="s">
        <v>2454</v>
      </c>
      <c r="D678" s="3" t="s">
        <v>2454</v>
      </c>
      <c r="E678" s="3" t="s">
        <v>2455</v>
      </c>
      <c r="F678" s="3" t="s">
        <v>120</v>
      </c>
      <c r="G678" s="3">
        <v>23</v>
      </c>
      <c r="H678" s="3">
        <v>0</v>
      </c>
      <c r="I678" s="3">
        <v>16</v>
      </c>
      <c r="J678" s="3">
        <v>1</v>
      </c>
      <c r="K678" s="3">
        <v>6</v>
      </c>
      <c r="L678" s="3">
        <v>0</v>
      </c>
      <c r="M678" s="3">
        <v>0</v>
      </c>
      <c r="N678" s="3" t="s">
        <v>5218</v>
      </c>
      <c r="O678" s="3">
        <v>7</v>
      </c>
      <c r="P678" s="3">
        <v>11.49</v>
      </c>
      <c r="Q678" s="3">
        <v>0</v>
      </c>
      <c r="R678" s="3">
        <v>0</v>
      </c>
      <c r="S678" s="3">
        <v>0</v>
      </c>
      <c r="T678" s="3">
        <v>0</v>
      </c>
      <c r="U678" s="3">
        <v>1</v>
      </c>
      <c r="V678" s="3">
        <v>1</v>
      </c>
      <c r="W678" s="3" t="s">
        <v>5227</v>
      </c>
      <c r="X678" s="3">
        <v>22.98</v>
      </c>
      <c r="Y678" s="3">
        <v>22.98</v>
      </c>
      <c r="Z678" s="3">
        <v>22</v>
      </c>
      <c r="AA678" s="3">
        <v>0</v>
      </c>
      <c r="AB678" s="3" t="s">
        <v>5228</v>
      </c>
      <c r="AC678" s="3">
        <v>6</v>
      </c>
      <c r="AD678" s="3">
        <v>17.16</v>
      </c>
      <c r="AE678" s="3">
        <v>364</v>
      </c>
      <c r="AF678" s="3">
        <v>0</v>
      </c>
      <c r="AG678" s="3">
        <v>236.771453</v>
      </c>
      <c r="AH678" s="3">
        <v>0.0869565217391304</v>
      </c>
      <c r="AI678" s="3" t="s">
        <v>5240</v>
      </c>
      <c r="AJ678" s="3" t="s">
        <v>5222</v>
      </c>
    </row>
    <row r="679" spans="1:36">
      <c r="A679" s="5">
        <v>43288</v>
      </c>
      <c r="B679" s="3" t="s">
        <v>2213</v>
      </c>
      <c r="C679" s="3" t="s">
        <v>2214</v>
      </c>
      <c r="D679" s="3" t="s">
        <v>2214</v>
      </c>
      <c r="E679" s="3" t="s">
        <v>2215</v>
      </c>
      <c r="F679" s="3" t="s">
        <v>120</v>
      </c>
      <c r="G679" s="3">
        <v>3</v>
      </c>
      <c r="H679" s="3">
        <v>0</v>
      </c>
      <c r="I679" s="3">
        <v>0</v>
      </c>
      <c r="J679" s="3">
        <v>1</v>
      </c>
      <c r="K679" s="3">
        <v>0</v>
      </c>
      <c r="L679" s="3">
        <v>2</v>
      </c>
      <c r="M679" s="3">
        <v>0</v>
      </c>
      <c r="N679" s="3" t="s">
        <v>5218</v>
      </c>
      <c r="O679" s="3">
        <v>3</v>
      </c>
      <c r="P679" s="3">
        <v>4.66</v>
      </c>
      <c r="Q679" s="3">
        <v>0</v>
      </c>
      <c r="R679" s="3">
        <v>0</v>
      </c>
      <c r="S679" s="3">
        <v>0</v>
      </c>
      <c r="T679" s="3">
        <v>2</v>
      </c>
      <c r="U679" s="3">
        <v>3</v>
      </c>
      <c r="V679" s="3">
        <v>9</v>
      </c>
      <c r="W679" s="3"/>
      <c r="X679" s="3">
        <v>12.98</v>
      </c>
      <c r="Y679" s="3">
        <v>12.98</v>
      </c>
      <c r="Z679" s="3">
        <v>12.98</v>
      </c>
      <c r="AA679" s="3">
        <v>0</v>
      </c>
      <c r="AB679" s="3" t="s">
        <v>5223</v>
      </c>
      <c r="AC679" s="3">
        <v>3</v>
      </c>
      <c r="AD679" s="3">
        <v>12.98</v>
      </c>
      <c r="AE679" s="3">
        <v>0</v>
      </c>
      <c r="AF679" s="3">
        <v>0</v>
      </c>
      <c r="AG679" s="3">
        <v>0</v>
      </c>
      <c r="AH679" s="3">
        <v>1.38461538461538</v>
      </c>
      <c r="AI679" s="3" t="s">
        <v>5260</v>
      </c>
      <c r="AJ679" s="3" t="s">
        <v>5222</v>
      </c>
    </row>
    <row r="680" spans="1:36">
      <c r="A680" s="5">
        <v>43288</v>
      </c>
      <c r="B680" s="3" t="s">
        <v>4388</v>
      </c>
      <c r="C680" s="3" t="s">
        <v>3406</v>
      </c>
      <c r="D680" s="3" t="s">
        <v>3406</v>
      </c>
      <c r="E680" s="3" t="s">
        <v>3407</v>
      </c>
      <c r="F680" s="3" t="s">
        <v>120</v>
      </c>
      <c r="G680" s="3">
        <v>11</v>
      </c>
      <c r="H680" s="3">
        <v>0</v>
      </c>
      <c r="I680" s="3">
        <v>0</v>
      </c>
      <c r="J680" s="3">
        <v>2</v>
      </c>
      <c r="K680" s="3">
        <v>9</v>
      </c>
      <c r="L680" s="3">
        <v>0</v>
      </c>
      <c r="M680" s="3">
        <v>0</v>
      </c>
      <c r="N680" s="3" t="s">
        <v>5218</v>
      </c>
      <c r="O680" s="3">
        <v>10</v>
      </c>
      <c r="P680" s="3">
        <v>13.23</v>
      </c>
      <c r="Q680" s="3">
        <v>0</v>
      </c>
      <c r="R680" s="3">
        <v>0</v>
      </c>
      <c r="S680" s="3">
        <v>0</v>
      </c>
      <c r="T680" s="3">
        <v>0</v>
      </c>
      <c r="U680" s="3">
        <v>2</v>
      </c>
      <c r="V680" s="3">
        <v>6</v>
      </c>
      <c r="W680" s="3" t="s">
        <v>5227</v>
      </c>
      <c r="X680" s="3">
        <v>22.98</v>
      </c>
      <c r="Y680" s="3">
        <v>22.98</v>
      </c>
      <c r="Z680" s="3">
        <v>22.98</v>
      </c>
      <c r="AA680" s="3">
        <v>0</v>
      </c>
      <c r="AB680" s="3" t="s">
        <v>5228</v>
      </c>
      <c r="AC680" s="3">
        <v>0</v>
      </c>
      <c r="AD680" s="3">
        <v>20.12</v>
      </c>
      <c r="AE680" s="3">
        <v>217</v>
      </c>
      <c r="AF680" s="3">
        <v>0</v>
      </c>
      <c r="AG680" s="3">
        <v>267.903182</v>
      </c>
      <c r="AH680" s="3">
        <v>0.461538461538461</v>
      </c>
      <c r="AI680" s="3" t="s">
        <v>5239</v>
      </c>
      <c r="AJ680" s="3" t="s">
        <v>5222</v>
      </c>
    </row>
    <row r="681" spans="1:36">
      <c r="A681" s="5">
        <v>43288</v>
      </c>
      <c r="B681" s="3" t="s">
        <v>1755</v>
      </c>
      <c r="C681" s="3" t="s">
        <v>1756</v>
      </c>
      <c r="D681" s="3" t="s">
        <v>1756</v>
      </c>
      <c r="E681" s="3" t="s">
        <v>1757</v>
      </c>
      <c r="F681" s="3" t="s">
        <v>120</v>
      </c>
      <c r="G681" s="3">
        <v>8</v>
      </c>
      <c r="H681" s="3">
        <v>0</v>
      </c>
      <c r="I681" s="3">
        <v>2</v>
      </c>
      <c r="J681" s="3">
        <v>6</v>
      </c>
      <c r="K681" s="3">
        <v>0</v>
      </c>
      <c r="L681" s="3">
        <v>0</v>
      </c>
      <c r="M681" s="3">
        <v>0</v>
      </c>
      <c r="N681" s="3" t="s">
        <v>5218</v>
      </c>
      <c r="O681" s="3">
        <v>5</v>
      </c>
      <c r="P681" s="3">
        <v>6.48</v>
      </c>
      <c r="Q681" s="3">
        <v>0</v>
      </c>
      <c r="R681" s="3">
        <v>0</v>
      </c>
      <c r="S681" s="3">
        <v>0</v>
      </c>
      <c r="T681" s="3">
        <v>0</v>
      </c>
      <c r="U681" s="3">
        <v>2</v>
      </c>
      <c r="V681" s="3">
        <v>5</v>
      </c>
      <c r="W681" s="3" t="s">
        <v>5227</v>
      </c>
      <c r="X681" s="3">
        <v>25.98</v>
      </c>
      <c r="Y681" s="3">
        <v>25.98</v>
      </c>
      <c r="Z681" s="3">
        <v>25.98</v>
      </c>
      <c r="AA681" s="3">
        <v>0</v>
      </c>
      <c r="AB681" s="3" t="s">
        <v>5228</v>
      </c>
      <c r="AC681" s="3">
        <v>0</v>
      </c>
      <c r="AD681" s="3">
        <v>23.18</v>
      </c>
      <c r="AE681" s="3">
        <v>231</v>
      </c>
      <c r="AF681" s="3">
        <v>0</v>
      </c>
      <c r="AG681" s="3">
        <v>193.522006</v>
      </c>
      <c r="AH681" s="3">
        <v>0.54054054054054</v>
      </c>
      <c r="AI681" s="3" t="s">
        <v>5229</v>
      </c>
      <c r="AJ681" s="3" t="s">
        <v>5222</v>
      </c>
    </row>
    <row r="682" spans="1:36">
      <c r="A682" s="5">
        <v>43288</v>
      </c>
      <c r="B682" s="3" t="s">
        <v>4136</v>
      </c>
      <c r="C682" s="3" t="s">
        <v>4137</v>
      </c>
      <c r="D682" s="3" t="s">
        <v>4137</v>
      </c>
      <c r="E682" s="3" t="s">
        <v>4138</v>
      </c>
      <c r="F682" s="3" t="s">
        <v>120</v>
      </c>
      <c r="G682" s="3">
        <v>24</v>
      </c>
      <c r="H682" s="3">
        <v>0</v>
      </c>
      <c r="I682" s="3">
        <v>24</v>
      </c>
      <c r="J682" s="3">
        <v>0</v>
      </c>
      <c r="K682" s="3">
        <v>0</v>
      </c>
      <c r="L682" s="3">
        <v>0</v>
      </c>
      <c r="M682" s="3">
        <v>0</v>
      </c>
      <c r="N682" s="3" t="s">
        <v>5218</v>
      </c>
      <c r="O682" s="3">
        <v>0</v>
      </c>
      <c r="P682" s="3">
        <v>0</v>
      </c>
      <c r="Q682" s="3">
        <v>0</v>
      </c>
      <c r="R682" s="3">
        <v>0</v>
      </c>
      <c r="S682" s="3">
        <v>0</v>
      </c>
      <c r="T682" s="3">
        <v>1</v>
      </c>
      <c r="U682" s="3">
        <v>5</v>
      </c>
      <c r="V682" s="3">
        <v>6</v>
      </c>
      <c r="W682" s="3"/>
      <c r="X682" s="3">
        <v>22.98</v>
      </c>
      <c r="Y682" s="3">
        <v>22.98</v>
      </c>
      <c r="Z682" s="3">
        <v>22.98</v>
      </c>
      <c r="AA682" s="3">
        <v>0</v>
      </c>
      <c r="AB682" s="3" t="s">
        <v>5223</v>
      </c>
      <c r="AC682" s="3">
        <v>24</v>
      </c>
      <c r="AD682" s="3">
        <v>22.98</v>
      </c>
      <c r="AE682" s="3">
        <v>0</v>
      </c>
      <c r="AF682" s="3">
        <v>0</v>
      </c>
      <c r="AG682" s="3">
        <v>0</v>
      </c>
      <c r="AH682" s="3">
        <v>0.470588235294117</v>
      </c>
      <c r="AI682" s="3" t="s">
        <v>5226</v>
      </c>
      <c r="AJ682" s="3" t="s">
        <v>5222</v>
      </c>
    </row>
    <row r="683" spans="1:36">
      <c r="A683" s="5">
        <v>43288</v>
      </c>
      <c r="B683" s="3" t="s">
        <v>1156</v>
      </c>
      <c r="C683" s="3" t="s">
        <v>1157</v>
      </c>
      <c r="D683" s="3" t="s">
        <v>1158</v>
      </c>
      <c r="E683" s="3" t="s">
        <v>1159</v>
      </c>
      <c r="F683" s="3" t="s">
        <v>120</v>
      </c>
      <c r="G683" s="3">
        <v>40</v>
      </c>
      <c r="H683" s="3">
        <v>0</v>
      </c>
      <c r="I683" s="3">
        <v>40</v>
      </c>
      <c r="J683" s="3">
        <v>0</v>
      </c>
      <c r="K683" s="3">
        <v>0</v>
      </c>
      <c r="L683" s="3">
        <v>0</v>
      </c>
      <c r="M683" s="3">
        <v>0</v>
      </c>
      <c r="N683" s="3" t="s">
        <v>5218</v>
      </c>
      <c r="O683" s="3">
        <v>0</v>
      </c>
      <c r="P683" s="3">
        <v>0</v>
      </c>
      <c r="Q683" s="3">
        <v>0</v>
      </c>
      <c r="R683" s="3">
        <v>0</v>
      </c>
      <c r="S683" s="3">
        <v>0</v>
      </c>
      <c r="T683" s="3">
        <v>0</v>
      </c>
      <c r="U683" s="3">
        <v>0</v>
      </c>
      <c r="V683" s="3">
        <v>0</v>
      </c>
      <c r="W683" s="3" t="s">
        <v>5227</v>
      </c>
      <c r="X683" s="3">
        <v>22.98</v>
      </c>
      <c r="Y683" s="3">
        <v>22.98</v>
      </c>
      <c r="Z683" s="3">
        <v>22.98</v>
      </c>
      <c r="AA683" s="3">
        <v>0</v>
      </c>
      <c r="AB683" s="3" t="s">
        <v>5223</v>
      </c>
      <c r="AC683" s="3">
        <v>40</v>
      </c>
      <c r="AD683" s="3">
        <v>22.98</v>
      </c>
      <c r="AE683" s="3">
        <v>0</v>
      </c>
      <c r="AF683" s="3">
        <v>0</v>
      </c>
      <c r="AG683" s="3">
        <v>0</v>
      </c>
      <c r="AH683" s="3">
        <v>1.90163934426229</v>
      </c>
      <c r="AI683" s="3" t="s">
        <v>5238</v>
      </c>
      <c r="AJ683" s="3" t="s">
        <v>5222</v>
      </c>
    </row>
    <row r="684" spans="1:36">
      <c r="A684" s="5">
        <v>43288</v>
      </c>
      <c r="B684" s="3" t="s">
        <v>2768</v>
      </c>
      <c r="C684" s="3" t="s">
        <v>442</v>
      </c>
      <c r="D684" s="3" t="s">
        <v>442</v>
      </c>
      <c r="E684" s="3" t="s">
        <v>443</v>
      </c>
      <c r="F684" s="3" t="s">
        <v>120</v>
      </c>
      <c r="G684" s="3">
        <v>15</v>
      </c>
      <c r="H684" s="3">
        <v>0</v>
      </c>
      <c r="I684" s="3">
        <v>15</v>
      </c>
      <c r="J684" s="3">
        <v>0</v>
      </c>
      <c r="K684" s="3">
        <v>0</v>
      </c>
      <c r="L684" s="3">
        <v>0</v>
      </c>
      <c r="M684" s="3">
        <v>0</v>
      </c>
      <c r="N684" s="3" t="s">
        <v>5218</v>
      </c>
      <c r="O684" s="3">
        <v>0</v>
      </c>
      <c r="P684" s="3">
        <v>0</v>
      </c>
      <c r="Q684" s="3">
        <v>0</v>
      </c>
      <c r="R684" s="3">
        <v>0</v>
      </c>
      <c r="S684" s="3">
        <v>1</v>
      </c>
      <c r="T684" s="3">
        <v>8</v>
      </c>
      <c r="U684" s="3">
        <v>12</v>
      </c>
      <c r="V684" s="3">
        <v>16</v>
      </c>
      <c r="W684" s="3"/>
      <c r="X684" s="3">
        <v>24.98</v>
      </c>
      <c r="Y684" s="3">
        <v>23.98</v>
      </c>
      <c r="Z684" s="3">
        <v>23.98</v>
      </c>
      <c r="AA684" s="3">
        <v>0</v>
      </c>
      <c r="AB684" s="3" t="s">
        <v>5223</v>
      </c>
      <c r="AC684" s="3">
        <v>15</v>
      </c>
      <c r="AD684" s="3">
        <v>24.98</v>
      </c>
      <c r="AE684" s="3">
        <v>0</v>
      </c>
      <c r="AF684" s="3">
        <v>0</v>
      </c>
      <c r="AG684" s="3">
        <v>0</v>
      </c>
      <c r="AH684" s="3">
        <v>2.56</v>
      </c>
      <c r="AI684" s="3" t="s">
        <v>5257</v>
      </c>
      <c r="AJ684" s="3" t="s">
        <v>5222</v>
      </c>
    </row>
    <row r="685" spans="1:36">
      <c r="A685" s="5">
        <v>43288</v>
      </c>
      <c r="B685" s="3" t="s">
        <v>2246</v>
      </c>
      <c r="C685" s="3" t="s">
        <v>2247</v>
      </c>
      <c r="D685" s="3" t="s">
        <v>2247</v>
      </c>
      <c r="E685" s="3" t="s">
        <v>5454</v>
      </c>
      <c r="F685" s="3" t="s">
        <v>120</v>
      </c>
      <c r="G685" s="3">
        <v>2</v>
      </c>
      <c r="H685" s="3">
        <v>0</v>
      </c>
      <c r="I685" s="3">
        <v>0</v>
      </c>
      <c r="J685" s="3">
        <v>2</v>
      </c>
      <c r="K685" s="3">
        <v>0</v>
      </c>
      <c r="L685" s="3">
        <v>0</v>
      </c>
      <c r="M685" s="3">
        <v>0</v>
      </c>
      <c r="N685" s="3" t="s">
        <v>5218</v>
      </c>
      <c r="O685" s="3">
        <v>1</v>
      </c>
      <c r="P685" s="3">
        <v>1.14</v>
      </c>
      <c r="Q685" s="3">
        <v>0</v>
      </c>
      <c r="R685" s="3">
        <v>0</v>
      </c>
      <c r="S685" s="3">
        <v>0</v>
      </c>
      <c r="T685" s="3">
        <v>0</v>
      </c>
      <c r="U685" s="3">
        <v>0</v>
      </c>
      <c r="V685" s="3">
        <v>6</v>
      </c>
      <c r="W685" s="3"/>
      <c r="X685" s="3"/>
      <c r="Y685" s="3"/>
      <c r="Z685" s="3">
        <v>-1</v>
      </c>
      <c r="AA685" s="3">
        <v>-1</v>
      </c>
      <c r="AB685" s="3" t="s">
        <v>5244</v>
      </c>
      <c r="AC685" s="3">
        <v>0</v>
      </c>
      <c r="AD685" s="3">
        <v>0</v>
      </c>
      <c r="AE685" s="3">
        <v>0</v>
      </c>
      <c r="AF685" s="3">
        <v>0</v>
      </c>
      <c r="AG685" s="3">
        <v>0</v>
      </c>
      <c r="AH685" s="3">
        <v>1.71428571428571</v>
      </c>
      <c r="AI685" s="3" t="s">
        <v>5313</v>
      </c>
      <c r="AJ685" s="3" t="s">
        <v>5222</v>
      </c>
    </row>
    <row r="686" spans="1:36">
      <c r="A686" s="5">
        <v>43288</v>
      </c>
      <c r="B686" s="3" t="s">
        <v>2162</v>
      </c>
      <c r="C686" s="3" t="s">
        <v>2163</v>
      </c>
      <c r="D686" s="3" t="s">
        <v>2163</v>
      </c>
      <c r="E686" s="3" t="s">
        <v>2164</v>
      </c>
      <c r="F686" s="3" t="s">
        <v>120</v>
      </c>
      <c r="G686" s="3">
        <v>4</v>
      </c>
      <c r="H686" s="3">
        <v>0</v>
      </c>
      <c r="I686" s="3">
        <v>0</v>
      </c>
      <c r="J686" s="3">
        <v>4</v>
      </c>
      <c r="K686" s="3">
        <v>0</v>
      </c>
      <c r="L686" s="3">
        <v>0</v>
      </c>
      <c r="M686" s="3">
        <v>0</v>
      </c>
      <c r="N686" s="3" t="s">
        <v>5218</v>
      </c>
      <c r="O686" s="3">
        <v>0</v>
      </c>
      <c r="P686" s="3">
        <v>0</v>
      </c>
      <c r="Q686" s="3">
        <v>0</v>
      </c>
      <c r="R686" s="3">
        <v>0</v>
      </c>
      <c r="S686" s="3">
        <v>0</v>
      </c>
      <c r="T686" s="3">
        <v>1</v>
      </c>
      <c r="U686" s="3">
        <v>6</v>
      </c>
      <c r="V686" s="3">
        <v>11</v>
      </c>
      <c r="W686" s="3" t="s">
        <v>5227</v>
      </c>
      <c r="X686" s="3">
        <v>22.98</v>
      </c>
      <c r="Y686" s="3">
        <v>22.98</v>
      </c>
      <c r="Z686" s="3">
        <v>22</v>
      </c>
      <c r="AA686" s="3">
        <v>0</v>
      </c>
      <c r="AB686" s="3" t="s">
        <v>5223</v>
      </c>
      <c r="AC686" s="3">
        <v>4</v>
      </c>
      <c r="AD686" s="3">
        <v>22.98</v>
      </c>
      <c r="AE686" s="3">
        <v>0</v>
      </c>
      <c r="AF686" s="3">
        <v>0</v>
      </c>
      <c r="AG686" s="3">
        <v>0</v>
      </c>
      <c r="AH686" s="3">
        <v>1.25714285714285</v>
      </c>
      <c r="AI686" s="3" t="s">
        <v>5260</v>
      </c>
      <c r="AJ686" s="3" t="s">
        <v>5222</v>
      </c>
    </row>
    <row r="687" spans="1:36">
      <c r="A687" s="5">
        <v>43288</v>
      </c>
      <c r="B687" s="3" t="s">
        <v>2926</v>
      </c>
      <c r="C687" s="3" t="s">
        <v>1333</v>
      </c>
      <c r="D687" s="3" t="s">
        <v>1333</v>
      </c>
      <c r="E687" s="3" t="s">
        <v>1334</v>
      </c>
      <c r="F687" s="3" t="s">
        <v>120</v>
      </c>
      <c r="G687" s="3">
        <v>13</v>
      </c>
      <c r="H687" s="3">
        <v>0</v>
      </c>
      <c r="I687" s="3">
        <v>13</v>
      </c>
      <c r="J687" s="3">
        <v>0</v>
      </c>
      <c r="K687" s="3">
        <v>0</v>
      </c>
      <c r="L687" s="3">
        <v>0</v>
      </c>
      <c r="M687" s="3">
        <v>0</v>
      </c>
      <c r="N687" s="3" t="s">
        <v>5218</v>
      </c>
      <c r="O687" s="3">
        <v>0</v>
      </c>
      <c r="P687" s="3">
        <v>0</v>
      </c>
      <c r="Q687" s="3">
        <v>0</v>
      </c>
      <c r="R687" s="3">
        <v>0</v>
      </c>
      <c r="S687" s="3">
        <v>0</v>
      </c>
      <c r="T687" s="3">
        <v>2</v>
      </c>
      <c r="U687" s="3">
        <v>2</v>
      </c>
      <c r="V687" s="3">
        <v>2</v>
      </c>
      <c r="W687" s="3"/>
      <c r="X687" s="3">
        <v>39.98</v>
      </c>
      <c r="Y687" s="3">
        <v>39.98</v>
      </c>
      <c r="Z687" s="3">
        <v>21.98</v>
      </c>
      <c r="AA687" s="3">
        <v>0</v>
      </c>
      <c r="AB687" s="3" t="s">
        <v>5223</v>
      </c>
      <c r="AC687" s="3">
        <v>13</v>
      </c>
      <c r="AD687" s="3">
        <v>39.98</v>
      </c>
      <c r="AE687" s="3">
        <v>0</v>
      </c>
      <c r="AF687" s="3">
        <v>0</v>
      </c>
      <c r="AG687" s="3">
        <v>0</v>
      </c>
      <c r="AH687" s="3">
        <v>0.0784313725490196</v>
      </c>
      <c r="AI687" s="3" t="s">
        <v>5236</v>
      </c>
      <c r="AJ687" s="3" t="s">
        <v>5222</v>
      </c>
    </row>
    <row r="688" spans="1:36">
      <c r="A688" s="5">
        <v>43288</v>
      </c>
      <c r="B688" s="3" t="s">
        <v>4393</v>
      </c>
      <c r="C688" s="3" t="s">
        <v>3430</v>
      </c>
      <c r="D688" s="3" t="s">
        <v>3430</v>
      </c>
      <c r="E688" s="3" t="s">
        <v>3431</v>
      </c>
      <c r="F688" s="3" t="s">
        <v>120</v>
      </c>
      <c r="G688" s="3">
        <v>4</v>
      </c>
      <c r="H688" s="3">
        <v>0</v>
      </c>
      <c r="I688" s="3">
        <v>4</v>
      </c>
      <c r="J688" s="3">
        <v>0</v>
      </c>
      <c r="K688" s="3">
        <v>0</v>
      </c>
      <c r="L688" s="3">
        <v>0</v>
      </c>
      <c r="M688" s="3">
        <v>0</v>
      </c>
      <c r="N688" s="3" t="s">
        <v>5218</v>
      </c>
      <c r="O688" s="3">
        <v>0</v>
      </c>
      <c r="P688" s="3">
        <v>0</v>
      </c>
      <c r="Q688" s="3">
        <v>0</v>
      </c>
      <c r="R688" s="3">
        <v>0</v>
      </c>
      <c r="S688" s="3">
        <v>0</v>
      </c>
      <c r="T688" s="3">
        <v>0</v>
      </c>
      <c r="U688" s="3">
        <v>0</v>
      </c>
      <c r="V688" s="3">
        <v>1</v>
      </c>
      <c r="W688" s="3" t="s">
        <v>5227</v>
      </c>
      <c r="X688" s="3">
        <v>22.98</v>
      </c>
      <c r="Y688" s="3">
        <v>22.98</v>
      </c>
      <c r="Z688" s="3">
        <v>22.98</v>
      </c>
      <c r="AA688" s="3">
        <v>0</v>
      </c>
      <c r="AB688" s="3" t="s">
        <v>5228</v>
      </c>
      <c r="AC688" s="3">
        <v>1</v>
      </c>
      <c r="AD688" s="3">
        <v>21.62</v>
      </c>
      <c r="AE688" s="3">
        <v>70</v>
      </c>
      <c r="AF688" s="3">
        <v>0</v>
      </c>
      <c r="AG688" s="3">
        <v>99.458447</v>
      </c>
      <c r="AH688" s="3">
        <v>0.333333333333333</v>
      </c>
      <c r="AI688" s="3" t="s">
        <v>5239</v>
      </c>
      <c r="AJ688" s="3" t="s">
        <v>5222</v>
      </c>
    </row>
    <row r="689" spans="1:36">
      <c r="A689" s="5">
        <v>43288</v>
      </c>
      <c r="B689" s="3" t="s">
        <v>4986</v>
      </c>
      <c r="C689" s="3" t="s">
        <v>4987</v>
      </c>
      <c r="D689" s="3" t="s">
        <v>4987</v>
      </c>
      <c r="E689" s="3" t="s">
        <v>4988</v>
      </c>
      <c r="F689" s="3" t="s">
        <v>120</v>
      </c>
      <c r="G689" s="3">
        <v>3</v>
      </c>
      <c r="H689" s="3">
        <v>0</v>
      </c>
      <c r="I689" s="3">
        <v>0</v>
      </c>
      <c r="J689" s="3">
        <v>0</v>
      </c>
      <c r="K689" s="3">
        <v>3</v>
      </c>
      <c r="L689" s="3">
        <v>0</v>
      </c>
      <c r="M689" s="3">
        <v>0</v>
      </c>
      <c r="N689" s="3" t="s">
        <v>5218</v>
      </c>
      <c r="O689" s="3">
        <v>3</v>
      </c>
      <c r="P689" s="3">
        <v>1.86</v>
      </c>
      <c r="Q689" s="3">
        <v>0</v>
      </c>
      <c r="R689" s="3">
        <v>0</v>
      </c>
      <c r="S689" s="3">
        <v>0</v>
      </c>
      <c r="T689" s="3">
        <v>0</v>
      </c>
      <c r="U689" s="3">
        <v>0</v>
      </c>
      <c r="V689" s="3">
        <v>0</v>
      </c>
      <c r="W689" s="3" t="s">
        <v>5219</v>
      </c>
      <c r="X689" s="3">
        <v>25</v>
      </c>
      <c r="Y689" s="3">
        <v>25</v>
      </c>
      <c r="Z689" s="3">
        <v>25</v>
      </c>
      <c r="AA689" s="3">
        <v>0</v>
      </c>
      <c r="AB689" s="3" t="s">
        <v>5223</v>
      </c>
      <c r="AC689" s="3">
        <v>0</v>
      </c>
      <c r="AD689" s="3">
        <v>25</v>
      </c>
      <c r="AE689" s="3">
        <v>63</v>
      </c>
      <c r="AF689" s="3">
        <v>0</v>
      </c>
      <c r="AG689" s="3">
        <v>27.844212</v>
      </c>
      <c r="AH689" s="3">
        <v>0</v>
      </c>
      <c r="AI689" s="3" t="s">
        <v>5267</v>
      </c>
      <c r="AJ689" s="3" t="s">
        <v>5242</v>
      </c>
    </row>
    <row r="690" spans="1:36">
      <c r="A690" s="5">
        <v>43288</v>
      </c>
      <c r="B690" s="3" t="s">
        <v>4580</v>
      </c>
      <c r="C690" s="3" t="s">
        <v>4043</v>
      </c>
      <c r="D690" s="3" t="s">
        <v>4043</v>
      </c>
      <c r="E690" s="3" t="s">
        <v>4044</v>
      </c>
      <c r="F690" s="3" t="s">
        <v>120</v>
      </c>
      <c r="G690" s="3">
        <v>13</v>
      </c>
      <c r="H690" s="3">
        <v>0</v>
      </c>
      <c r="I690" s="3">
        <v>13</v>
      </c>
      <c r="J690" s="3">
        <v>0</v>
      </c>
      <c r="K690" s="3">
        <v>0</v>
      </c>
      <c r="L690" s="3">
        <v>0</v>
      </c>
      <c r="M690" s="3">
        <v>0</v>
      </c>
      <c r="N690" s="3" t="s">
        <v>5218</v>
      </c>
      <c r="O690" s="3">
        <v>0</v>
      </c>
      <c r="P690" s="3">
        <v>0</v>
      </c>
      <c r="Q690" s="3">
        <v>0</v>
      </c>
      <c r="R690" s="3">
        <v>0</v>
      </c>
      <c r="S690" s="3">
        <v>2</v>
      </c>
      <c r="T690" s="3">
        <v>3</v>
      </c>
      <c r="U690" s="3">
        <v>4</v>
      </c>
      <c r="V690" s="3">
        <v>8</v>
      </c>
      <c r="W690" s="3"/>
      <c r="X690" s="3">
        <v>20.98</v>
      </c>
      <c r="Y690" s="3">
        <v>20.98</v>
      </c>
      <c r="Z690" s="3">
        <v>20.98</v>
      </c>
      <c r="AA690" s="3">
        <v>0</v>
      </c>
      <c r="AB690" s="3" t="s">
        <v>5228</v>
      </c>
      <c r="AC690" s="3">
        <v>2</v>
      </c>
      <c r="AD690" s="3">
        <v>19.36</v>
      </c>
      <c r="AE690" s="3">
        <v>140</v>
      </c>
      <c r="AF690" s="3">
        <v>0</v>
      </c>
      <c r="AG690" s="3">
        <v>278.318938</v>
      </c>
      <c r="AH690" s="3">
        <v>1.18518518518518</v>
      </c>
      <c r="AI690" s="3" t="s">
        <v>5226</v>
      </c>
      <c r="AJ690" s="3" t="s">
        <v>5222</v>
      </c>
    </row>
    <row r="691" spans="1:36">
      <c r="A691" s="5">
        <v>43288</v>
      </c>
      <c r="B691" s="3" t="s">
        <v>592</v>
      </c>
      <c r="C691" s="3" t="s">
        <v>593</v>
      </c>
      <c r="D691" s="3" t="s">
        <v>593</v>
      </c>
      <c r="E691" s="3" t="s">
        <v>594</v>
      </c>
      <c r="F691" s="3" t="s">
        <v>120</v>
      </c>
      <c r="G691" s="3">
        <v>10</v>
      </c>
      <c r="H691" s="3">
        <v>0</v>
      </c>
      <c r="I691" s="3">
        <v>5</v>
      </c>
      <c r="J691" s="3">
        <v>5</v>
      </c>
      <c r="K691" s="3">
        <v>0</v>
      </c>
      <c r="L691" s="3">
        <v>0</v>
      </c>
      <c r="M691" s="3">
        <v>0</v>
      </c>
      <c r="N691" s="3" t="s">
        <v>5218</v>
      </c>
      <c r="O691" s="3">
        <v>5</v>
      </c>
      <c r="P691" s="3">
        <v>9.51</v>
      </c>
      <c r="Q691" s="3">
        <v>0</v>
      </c>
      <c r="R691" s="3">
        <v>0</v>
      </c>
      <c r="S691" s="3">
        <v>0</v>
      </c>
      <c r="T691" s="3">
        <v>0</v>
      </c>
      <c r="U691" s="3">
        <v>0</v>
      </c>
      <c r="V691" s="3">
        <v>0</v>
      </c>
      <c r="W691" s="3" t="s">
        <v>5227</v>
      </c>
      <c r="X691" s="3">
        <v>24.98</v>
      </c>
      <c r="Y691" s="3">
        <v>24.98</v>
      </c>
      <c r="Z691" s="3">
        <v>24.98</v>
      </c>
      <c r="AA691" s="3">
        <v>0</v>
      </c>
      <c r="AB691" s="3" t="s">
        <v>5228</v>
      </c>
      <c r="AC691" s="3">
        <v>0</v>
      </c>
      <c r="AD691" s="3">
        <v>19.98</v>
      </c>
      <c r="AE691" s="3">
        <v>63</v>
      </c>
      <c r="AF691" s="3">
        <v>0</v>
      </c>
      <c r="AG691" s="3">
        <v>217.606277</v>
      </c>
      <c r="AH691" s="3">
        <v>0</v>
      </c>
      <c r="AI691" s="3" t="s">
        <v>5250</v>
      </c>
      <c r="AJ691" s="3" t="s">
        <v>5222</v>
      </c>
    </row>
    <row r="692" spans="1:36">
      <c r="A692" s="5">
        <v>43288</v>
      </c>
      <c r="B692" s="3" t="s">
        <v>4545</v>
      </c>
      <c r="C692" s="3" t="s">
        <v>3887</v>
      </c>
      <c r="D692" s="3" t="s">
        <v>3887</v>
      </c>
      <c r="E692" s="3" t="s">
        <v>3888</v>
      </c>
      <c r="F692" s="3" t="s">
        <v>120</v>
      </c>
      <c r="G692" s="3">
        <v>7</v>
      </c>
      <c r="H692" s="3">
        <v>0</v>
      </c>
      <c r="I692" s="3">
        <v>7</v>
      </c>
      <c r="J692" s="3">
        <v>0</v>
      </c>
      <c r="K692" s="3">
        <v>0</v>
      </c>
      <c r="L692" s="3">
        <v>0</v>
      </c>
      <c r="M692" s="3">
        <v>0</v>
      </c>
      <c r="N692" s="3" t="s">
        <v>5218</v>
      </c>
      <c r="O692" s="3">
        <v>0</v>
      </c>
      <c r="P692" s="3">
        <v>0</v>
      </c>
      <c r="Q692" s="3">
        <v>0</v>
      </c>
      <c r="R692" s="3">
        <v>0</v>
      </c>
      <c r="S692" s="3">
        <v>1</v>
      </c>
      <c r="T692" s="3">
        <v>2</v>
      </c>
      <c r="U692" s="3">
        <v>5</v>
      </c>
      <c r="V692" s="3">
        <v>5</v>
      </c>
      <c r="W692" s="3"/>
      <c r="X692" s="3">
        <v>26.98</v>
      </c>
      <c r="Y692" s="3">
        <v>26.98</v>
      </c>
      <c r="Z692" s="3">
        <v>26.98</v>
      </c>
      <c r="AA692" s="3">
        <v>0</v>
      </c>
      <c r="AB692" s="3" t="s">
        <v>5228</v>
      </c>
      <c r="AC692" s="3">
        <v>0</v>
      </c>
      <c r="AD692" s="3">
        <v>13.33</v>
      </c>
      <c r="AE692" s="3">
        <v>56</v>
      </c>
      <c r="AF692" s="3">
        <v>0</v>
      </c>
      <c r="AG692" s="3">
        <v>97.366455</v>
      </c>
      <c r="AH692" s="3">
        <v>1.33333333333333</v>
      </c>
      <c r="AI692" s="3" t="s">
        <v>5249</v>
      </c>
      <c r="AJ692" s="3" t="s">
        <v>5222</v>
      </c>
    </row>
    <row r="693" spans="1:36">
      <c r="A693" s="5">
        <v>43288</v>
      </c>
      <c r="B693" s="3" t="s">
        <v>2694</v>
      </c>
      <c r="C693" s="3" t="s">
        <v>2695</v>
      </c>
      <c r="D693" s="3" t="s">
        <v>2695</v>
      </c>
      <c r="E693" s="3" t="s">
        <v>2696</v>
      </c>
      <c r="F693" s="3" t="s">
        <v>120</v>
      </c>
      <c r="G693" s="3">
        <v>2</v>
      </c>
      <c r="H693" s="3">
        <v>0</v>
      </c>
      <c r="I693" s="3">
        <v>2</v>
      </c>
      <c r="J693" s="3">
        <v>0</v>
      </c>
      <c r="K693" s="3">
        <v>0</v>
      </c>
      <c r="L693" s="3">
        <v>0</v>
      </c>
      <c r="M693" s="3">
        <v>0</v>
      </c>
      <c r="N693" s="3" t="s">
        <v>5218</v>
      </c>
      <c r="O693" s="3">
        <v>0</v>
      </c>
      <c r="P693" s="3">
        <v>0</v>
      </c>
      <c r="Q693" s="3">
        <v>0</v>
      </c>
      <c r="R693" s="3">
        <v>0</v>
      </c>
      <c r="S693" s="3">
        <v>0</v>
      </c>
      <c r="T693" s="3">
        <v>0</v>
      </c>
      <c r="U693" s="3">
        <v>2</v>
      </c>
      <c r="V693" s="3">
        <v>3</v>
      </c>
      <c r="W693" s="3" t="s">
        <v>5227</v>
      </c>
      <c r="X693" s="3">
        <v>26.98</v>
      </c>
      <c r="Y693" s="3">
        <v>26.98</v>
      </c>
      <c r="Z693" s="3">
        <v>26.98</v>
      </c>
      <c r="AA693" s="3">
        <v>0</v>
      </c>
      <c r="AB693" s="3" t="s">
        <v>5228</v>
      </c>
      <c r="AC693" s="3">
        <v>0</v>
      </c>
      <c r="AD693" s="3">
        <v>25.26</v>
      </c>
      <c r="AE693" s="3">
        <v>63</v>
      </c>
      <c r="AF693" s="3">
        <v>0</v>
      </c>
      <c r="AG693" s="3">
        <v>69.360998</v>
      </c>
      <c r="AH693" s="3">
        <v>1.33333333333333</v>
      </c>
      <c r="AI693" s="3" t="s">
        <v>5455</v>
      </c>
      <c r="AJ693" s="3" t="s">
        <v>5242</v>
      </c>
    </row>
    <row r="694" spans="1:36">
      <c r="A694" s="5">
        <v>43288</v>
      </c>
      <c r="B694" s="3" t="s">
        <v>4570</v>
      </c>
      <c r="C694" s="3" t="s">
        <v>4003</v>
      </c>
      <c r="D694" s="3" t="s">
        <v>4003</v>
      </c>
      <c r="E694" s="3" t="s">
        <v>4004</v>
      </c>
      <c r="F694" s="3" t="s">
        <v>120</v>
      </c>
      <c r="G694" s="3">
        <v>16</v>
      </c>
      <c r="H694" s="3">
        <v>0</v>
      </c>
      <c r="I694" s="3">
        <v>16</v>
      </c>
      <c r="J694" s="3">
        <v>0</v>
      </c>
      <c r="K694" s="3">
        <v>0</v>
      </c>
      <c r="L694" s="3">
        <v>0</v>
      </c>
      <c r="M694" s="3">
        <v>0</v>
      </c>
      <c r="N694" s="3" t="s">
        <v>5218</v>
      </c>
      <c r="O694" s="3">
        <v>0</v>
      </c>
      <c r="P694" s="3">
        <v>0</v>
      </c>
      <c r="Q694" s="3">
        <v>0</v>
      </c>
      <c r="R694" s="3">
        <v>0</v>
      </c>
      <c r="S694" s="3">
        <v>0</v>
      </c>
      <c r="T694" s="3">
        <v>0</v>
      </c>
      <c r="U694" s="3">
        <v>7</v>
      </c>
      <c r="V694" s="3">
        <v>13</v>
      </c>
      <c r="W694" s="3" t="s">
        <v>5227</v>
      </c>
      <c r="X694" s="3">
        <v>20.98</v>
      </c>
      <c r="Y694" s="3">
        <v>20.98</v>
      </c>
      <c r="Z694" s="3">
        <v>20.98</v>
      </c>
      <c r="AA694" s="3">
        <v>0</v>
      </c>
      <c r="AB694" s="3" t="s">
        <v>5223</v>
      </c>
      <c r="AC694" s="3">
        <v>16</v>
      </c>
      <c r="AD694" s="3">
        <v>20.98</v>
      </c>
      <c r="AE694" s="3">
        <v>0</v>
      </c>
      <c r="AF694" s="3">
        <v>0</v>
      </c>
      <c r="AG694" s="3">
        <v>0</v>
      </c>
      <c r="AH694" s="3">
        <v>1.73333333333333</v>
      </c>
      <c r="AI694" s="3" t="s">
        <v>5226</v>
      </c>
      <c r="AJ694" s="3" t="s">
        <v>5222</v>
      </c>
    </row>
    <row r="695" spans="1:36">
      <c r="A695" s="5">
        <v>43288</v>
      </c>
      <c r="B695" s="3" t="s">
        <v>4376</v>
      </c>
      <c r="C695" s="3" t="s">
        <v>3358</v>
      </c>
      <c r="D695" s="3" t="s">
        <v>3358</v>
      </c>
      <c r="E695" s="3" t="s">
        <v>3359</v>
      </c>
      <c r="F695" s="3" t="s">
        <v>120</v>
      </c>
      <c r="G695" s="3">
        <v>18</v>
      </c>
      <c r="H695" s="3">
        <v>0</v>
      </c>
      <c r="I695" s="3">
        <v>0</v>
      </c>
      <c r="J695" s="3">
        <v>1</v>
      </c>
      <c r="K695" s="3">
        <v>17</v>
      </c>
      <c r="L695" s="3">
        <v>0</v>
      </c>
      <c r="M695" s="3">
        <v>0</v>
      </c>
      <c r="N695" s="3" t="s">
        <v>5218</v>
      </c>
      <c r="O695" s="3">
        <v>17</v>
      </c>
      <c r="P695" s="3">
        <v>22.48</v>
      </c>
      <c r="Q695" s="3">
        <v>0</v>
      </c>
      <c r="R695" s="3">
        <v>0</v>
      </c>
      <c r="S695" s="3">
        <v>0</v>
      </c>
      <c r="T695" s="3">
        <v>0</v>
      </c>
      <c r="U695" s="3">
        <v>0</v>
      </c>
      <c r="V695" s="3">
        <v>2</v>
      </c>
      <c r="W695" s="3" t="s">
        <v>5227</v>
      </c>
      <c r="X695" s="3">
        <v>22.98</v>
      </c>
      <c r="Y695" s="3">
        <v>22.98</v>
      </c>
      <c r="Z695" s="3">
        <v>22.98</v>
      </c>
      <c r="AA695" s="3">
        <v>0</v>
      </c>
      <c r="AB695" s="3" t="s">
        <v>5228</v>
      </c>
      <c r="AC695" s="3">
        <v>0</v>
      </c>
      <c r="AD695" s="3">
        <v>16.91</v>
      </c>
      <c r="AE695" s="3">
        <v>364</v>
      </c>
      <c r="AF695" s="3">
        <v>0</v>
      </c>
      <c r="AG695" s="3">
        <v>346.57538</v>
      </c>
      <c r="AH695" s="3">
        <v>0.108108108108108</v>
      </c>
      <c r="AI695" s="3" t="s">
        <v>5239</v>
      </c>
      <c r="AJ695" s="3" t="s">
        <v>5222</v>
      </c>
    </row>
    <row r="696" spans="1:36">
      <c r="A696" s="5">
        <v>43288</v>
      </c>
      <c r="B696" s="3" t="s">
        <v>4139</v>
      </c>
      <c r="C696" s="3" t="s">
        <v>4140</v>
      </c>
      <c r="D696" s="3" t="s">
        <v>4140</v>
      </c>
      <c r="E696" s="3" t="s">
        <v>4141</v>
      </c>
      <c r="F696" s="3" t="s">
        <v>120</v>
      </c>
      <c r="G696" s="3">
        <v>23</v>
      </c>
      <c r="H696" s="3">
        <v>0</v>
      </c>
      <c r="I696" s="3">
        <v>23</v>
      </c>
      <c r="J696" s="3">
        <v>0</v>
      </c>
      <c r="K696" s="3">
        <v>0</v>
      </c>
      <c r="L696" s="3">
        <v>0</v>
      </c>
      <c r="M696" s="3">
        <v>0</v>
      </c>
      <c r="N696" s="3" t="s">
        <v>5218</v>
      </c>
      <c r="O696" s="3">
        <v>0</v>
      </c>
      <c r="P696" s="3">
        <v>0</v>
      </c>
      <c r="Q696" s="3">
        <v>0</v>
      </c>
      <c r="R696" s="3">
        <v>0</v>
      </c>
      <c r="S696" s="3">
        <v>0</v>
      </c>
      <c r="T696" s="3">
        <v>1</v>
      </c>
      <c r="U696" s="3">
        <v>6</v>
      </c>
      <c r="V696" s="3">
        <v>10</v>
      </c>
      <c r="W696" s="3"/>
      <c r="X696" s="3">
        <v>22.98</v>
      </c>
      <c r="Y696" s="3">
        <v>22.98</v>
      </c>
      <c r="Z696" s="3">
        <v>22.98</v>
      </c>
      <c r="AA696" s="3">
        <v>0</v>
      </c>
      <c r="AB696" s="3" t="s">
        <v>5223</v>
      </c>
      <c r="AC696" s="3">
        <v>23</v>
      </c>
      <c r="AD696" s="3">
        <v>22.98</v>
      </c>
      <c r="AE696" s="3">
        <v>0</v>
      </c>
      <c r="AF696" s="3">
        <v>0</v>
      </c>
      <c r="AG696" s="3">
        <v>0</v>
      </c>
      <c r="AH696" s="3">
        <v>0.851063829787234</v>
      </c>
      <c r="AI696" s="3" t="s">
        <v>5226</v>
      </c>
      <c r="AJ696" s="3" t="s">
        <v>5222</v>
      </c>
    </row>
    <row r="697" spans="1:36">
      <c r="A697" s="5">
        <v>43288</v>
      </c>
      <c r="B697" s="3" t="s">
        <v>1106</v>
      </c>
      <c r="C697" s="3" t="s">
        <v>1107</v>
      </c>
      <c r="D697" s="3" t="s">
        <v>1108</v>
      </c>
      <c r="E697" s="3" t="s">
        <v>1109</v>
      </c>
      <c r="F697" s="3" t="s">
        <v>120</v>
      </c>
      <c r="G697" s="3">
        <v>42</v>
      </c>
      <c r="H697" s="3">
        <v>0</v>
      </c>
      <c r="I697" s="3">
        <v>42</v>
      </c>
      <c r="J697" s="3">
        <v>0</v>
      </c>
      <c r="K697" s="3">
        <v>0</v>
      </c>
      <c r="L697" s="3">
        <v>0</v>
      </c>
      <c r="M697" s="3">
        <v>0</v>
      </c>
      <c r="N697" s="3" t="s">
        <v>5218</v>
      </c>
      <c r="O697" s="3">
        <v>0</v>
      </c>
      <c r="P697" s="3">
        <v>0</v>
      </c>
      <c r="Q697" s="3">
        <v>0</v>
      </c>
      <c r="R697" s="3">
        <v>0</v>
      </c>
      <c r="S697" s="3">
        <v>2</v>
      </c>
      <c r="T697" s="3">
        <v>3</v>
      </c>
      <c r="U697" s="3">
        <v>3</v>
      </c>
      <c r="V697" s="3">
        <v>3</v>
      </c>
      <c r="W697" s="3"/>
      <c r="X697" s="3">
        <v>35.98</v>
      </c>
      <c r="Y697" s="3">
        <v>22.98</v>
      </c>
      <c r="Z697" s="3">
        <v>22.98</v>
      </c>
      <c r="AA697" s="3">
        <v>0</v>
      </c>
      <c r="AB697" s="3" t="s">
        <v>5223</v>
      </c>
      <c r="AC697" s="3">
        <v>29</v>
      </c>
      <c r="AD697" s="3">
        <v>22.98</v>
      </c>
      <c r="AE697" s="3">
        <v>0</v>
      </c>
      <c r="AF697" s="3">
        <v>0</v>
      </c>
      <c r="AG697" s="3">
        <v>0</v>
      </c>
      <c r="AH697" s="3">
        <v>2.15686274509803</v>
      </c>
      <c r="AI697" s="3" t="s">
        <v>5238</v>
      </c>
      <c r="AJ697" s="3" t="s">
        <v>5222</v>
      </c>
    </row>
    <row r="698" spans="1:36">
      <c r="A698" s="5">
        <v>43288</v>
      </c>
      <c r="B698" s="3" t="s">
        <v>1824</v>
      </c>
      <c r="C698" s="3" t="s">
        <v>1825</v>
      </c>
      <c r="D698" s="3" t="s">
        <v>1825</v>
      </c>
      <c r="E698" s="3" t="s">
        <v>1826</v>
      </c>
      <c r="F698" s="3" t="s">
        <v>120</v>
      </c>
      <c r="G698" s="3">
        <v>9</v>
      </c>
      <c r="H698" s="3">
        <v>0</v>
      </c>
      <c r="I698" s="3">
        <v>1</v>
      </c>
      <c r="J698" s="3">
        <v>1</v>
      </c>
      <c r="K698" s="3">
        <v>7</v>
      </c>
      <c r="L698" s="3">
        <v>0</v>
      </c>
      <c r="M698" s="3">
        <v>0</v>
      </c>
      <c r="N698" s="3" t="s">
        <v>5218</v>
      </c>
      <c r="O698" s="3">
        <v>8</v>
      </c>
      <c r="P698" s="3">
        <v>10.38</v>
      </c>
      <c r="Q698" s="3">
        <v>0</v>
      </c>
      <c r="R698" s="3">
        <v>0</v>
      </c>
      <c r="S698" s="3">
        <v>0</v>
      </c>
      <c r="T698" s="3">
        <v>1</v>
      </c>
      <c r="U698" s="3">
        <v>1</v>
      </c>
      <c r="V698" s="3">
        <v>3</v>
      </c>
      <c r="W698" s="3" t="s">
        <v>5219</v>
      </c>
      <c r="X698" s="3">
        <v>25.98</v>
      </c>
      <c r="Y698" s="3">
        <v>25.98</v>
      </c>
      <c r="Z698" s="3">
        <v>25.98</v>
      </c>
      <c r="AA698" s="3">
        <v>0</v>
      </c>
      <c r="AB698" s="3" t="s">
        <v>5220</v>
      </c>
      <c r="AC698" s="3">
        <v>9</v>
      </c>
      <c r="AD698" s="3">
        <v>25.98</v>
      </c>
      <c r="AE698" s="3">
        <v>0</v>
      </c>
      <c r="AF698" s="3">
        <v>0</v>
      </c>
      <c r="AG698" s="3">
        <v>0</v>
      </c>
      <c r="AH698" s="3">
        <v>0.3</v>
      </c>
      <c r="AI698" s="3" t="s">
        <v>5229</v>
      </c>
      <c r="AJ698" s="3" t="s">
        <v>5222</v>
      </c>
    </row>
    <row r="699" spans="1:36">
      <c r="A699" s="5">
        <v>43288</v>
      </c>
      <c r="B699" s="3" t="s">
        <v>3069</v>
      </c>
      <c r="C699" s="3" t="s">
        <v>3070</v>
      </c>
      <c r="D699" s="3" t="s">
        <v>3070</v>
      </c>
      <c r="E699" s="3" t="s">
        <v>3071</v>
      </c>
      <c r="F699" s="3" t="s">
        <v>120</v>
      </c>
      <c r="G699" s="3">
        <v>29</v>
      </c>
      <c r="H699" s="3">
        <v>0</v>
      </c>
      <c r="I699" s="3">
        <v>29</v>
      </c>
      <c r="J699" s="3">
        <v>0</v>
      </c>
      <c r="K699" s="3">
        <v>0</v>
      </c>
      <c r="L699" s="3">
        <v>0</v>
      </c>
      <c r="M699" s="3">
        <v>0</v>
      </c>
      <c r="N699" s="3" t="s">
        <v>5218</v>
      </c>
      <c r="O699" s="3">
        <v>0</v>
      </c>
      <c r="P699" s="3">
        <v>0</v>
      </c>
      <c r="Q699" s="3">
        <v>0</v>
      </c>
      <c r="R699" s="3">
        <v>0</v>
      </c>
      <c r="S699" s="3">
        <v>0</v>
      </c>
      <c r="T699" s="3">
        <v>7</v>
      </c>
      <c r="U699" s="3">
        <v>26</v>
      </c>
      <c r="V699" s="3">
        <v>40</v>
      </c>
      <c r="W699" s="3"/>
      <c r="X699" s="3">
        <v>23.98</v>
      </c>
      <c r="Y699" s="3">
        <v>23.98</v>
      </c>
      <c r="Z699" s="3">
        <v>23.98</v>
      </c>
      <c r="AA699" s="3">
        <v>0</v>
      </c>
      <c r="AB699" s="3" t="s">
        <v>5223</v>
      </c>
      <c r="AC699" s="3">
        <v>29</v>
      </c>
      <c r="AD699" s="3">
        <v>23.98</v>
      </c>
      <c r="AE699" s="3">
        <v>0</v>
      </c>
      <c r="AF699" s="3">
        <v>0</v>
      </c>
      <c r="AG699" s="3">
        <v>0</v>
      </c>
      <c r="AH699" s="3">
        <v>3.13725490196078</v>
      </c>
      <c r="AI699" s="3" t="s">
        <v>5456</v>
      </c>
      <c r="AJ699" s="3" t="s">
        <v>5222</v>
      </c>
    </row>
    <row r="700" spans="1:36">
      <c r="A700" s="5">
        <v>43288</v>
      </c>
      <c r="B700" s="3" t="s">
        <v>4069</v>
      </c>
      <c r="C700" s="3" t="s">
        <v>4070</v>
      </c>
      <c r="D700" s="3" t="s">
        <v>4071</v>
      </c>
      <c r="E700" s="3" t="s">
        <v>4072</v>
      </c>
      <c r="F700" s="3" t="s">
        <v>120</v>
      </c>
      <c r="G700" s="3">
        <v>5</v>
      </c>
      <c r="H700" s="3">
        <v>0</v>
      </c>
      <c r="I700" s="3">
        <v>5</v>
      </c>
      <c r="J700" s="3">
        <v>0</v>
      </c>
      <c r="K700" s="3">
        <v>0</v>
      </c>
      <c r="L700" s="3">
        <v>0</v>
      </c>
      <c r="M700" s="3">
        <v>0</v>
      </c>
      <c r="N700" s="3" t="s">
        <v>5218</v>
      </c>
      <c r="O700" s="3">
        <v>0</v>
      </c>
      <c r="P700" s="3">
        <v>0</v>
      </c>
      <c r="Q700" s="3">
        <v>0</v>
      </c>
      <c r="R700" s="3">
        <v>0</v>
      </c>
      <c r="S700" s="3">
        <v>0</v>
      </c>
      <c r="T700" s="3">
        <v>0</v>
      </c>
      <c r="U700" s="3">
        <v>0</v>
      </c>
      <c r="V700" s="3">
        <v>0</v>
      </c>
      <c r="W700" s="3" t="s">
        <v>5227</v>
      </c>
      <c r="X700" s="3">
        <v>20.98</v>
      </c>
      <c r="Y700" s="3">
        <v>20.98</v>
      </c>
      <c r="Z700" s="3">
        <v>20.98</v>
      </c>
      <c r="AA700" s="3">
        <v>0</v>
      </c>
      <c r="AB700" s="3" t="s">
        <v>5223</v>
      </c>
      <c r="AC700" s="3">
        <v>5</v>
      </c>
      <c r="AD700" s="3">
        <v>20.98</v>
      </c>
      <c r="AE700" s="3">
        <v>0</v>
      </c>
      <c r="AF700" s="3">
        <v>0</v>
      </c>
      <c r="AG700" s="3">
        <v>0</v>
      </c>
      <c r="AH700" s="3">
        <v>1.56521739130434</v>
      </c>
      <c r="AI700" s="3" t="s">
        <v>5226</v>
      </c>
      <c r="AJ700" s="3" t="s">
        <v>5222</v>
      </c>
    </row>
    <row r="701" spans="1:36">
      <c r="A701" s="5">
        <v>43288</v>
      </c>
      <c r="B701" s="3" t="s">
        <v>4483</v>
      </c>
      <c r="C701" s="3" t="s">
        <v>3652</v>
      </c>
      <c r="D701" s="3" t="s">
        <v>3652</v>
      </c>
      <c r="E701" s="3" t="s">
        <v>3653</v>
      </c>
      <c r="F701" s="3" t="s">
        <v>120</v>
      </c>
      <c r="G701" s="3">
        <v>4</v>
      </c>
      <c r="H701" s="3">
        <v>0</v>
      </c>
      <c r="I701" s="3">
        <v>1</v>
      </c>
      <c r="J701" s="3">
        <v>3</v>
      </c>
      <c r="K701" s="3">
        <v>0</v>
      </c>
      <c r="L701" s="3">
        <v>0</v>
      </c>
      <c r="M701" s="3">
        <v>0</v>
      </c>
      <c r="N701" s="3" t="s">
        <v>5218</v>
      </c>
      <c r="O701" s="3">
        <v>1</v>
      </c>
      <c r="P701" s="3">
        <v>0.99</v>
      </c>
      <c r="Q701" s="3">
        <v>0</v>
      </c>
      <c r="R701" s="3">
        <v>0</v>
      </c>
      <c r="S701" s="3">
        <v>0</v>
      </c>
      <c r="T701" s="3">
        <v>0</v>
      </c>
      <c r="U701" s="3">
        <v>0</v>
      </c>
      <c r="V701" s="3">
        <v>0</v>
      </c>
      <c r="W701" s="3" t="s">
        <v>5219</v>
      </c>
      <c r="X701" s="3">
        <v>23.98</v>
      </c>
      <c r="Y701" s="3">
        <v>23.98</v>
      </c>
      <c r="Z701" s="3">
        <v>23.98</v>
      </c>
      <c r="AA701" s="3">
        <v>0</v>
      </c>
      <c r="AB701" s="3" t="s">
        <v>5220</v>
      </c>
      <c r="AC701" s="3">
        <v>0</v>
      </c>
      <c r="AD701" s="3">
        <v>22.07</v>
      </c>
      <c r="AE701" s="3">
        <v>154</v>
      </c>
      <c r="AF701" s="3">
        <v>0</v>
      </c>
      <c r="AG701" s="3">
        <v>81.455715</v>
      </c>
      <c r="AH701" s="3">
        <v>0</v>
      </c>
      <c r="AI701" s="3" t="s">
        <v>5285</v>
      </c>
      <c r="AJ701" s="3" t="s">
        <v>5222</v>
      </c>
    </row>
    <row r="702" spans="1:36">
      <c r="A702" s="5">
        <v>43288</v>
      </c>
      <c r="B702" s="3" t="s">
        <v>2385</v>
      </c>
      <c r="C702" s="3" t="s">
        <v>2386</v>
      </c>
      <c r="D702" s="3" t="s">
        <v>2386</v>
      </c>
      <c r="E702" s="3" t="s">
        <v>2387</v>
      </c>
      <c r="F702" s="3" t="s">
        <v>120</v>
      </c>
      <c r="G702" s="3">
        <v>5</v>
      </c>
      <c r="H702" s="3">
        <v>0</v>
      </c>
      <c r="I702" s="3">
        <v>0</v>
      </c>
      <c r="J702" s="3">
        <v>5</v>
      </c>
      <c r="K702" s="3">
        <v>0</v>
      </c>
      <c r="L702" s="3">
        <v>0</v>
      </c>
      <c r="M702" s="3">
        <v>0</v>
      </c>
      <c r="N702" s="3" t="s">
        <v>5218</v>
      </c>
      <c r="O702" s="3">
        <v>5</v>
      </c>
      <c r="P702" s="3">
        <v>8.21</v>
      </c>
      <c r="Q702" s="3">
        <v>0</v>
      </c>
      <c r="R702" s="3">
        <v>0</v>
      </c>
      <c r="S702" s="3">
        <v>1</v>
      </c>
      <c r="T702" s="3">
        <v>1</v>
      </c>
      <c r="U702" s="3">
        <v>1</v>
      </c>
      <c r="V702" s="3">
        <v>2</v>
      </c>
      <c r="W702" s="3" t="s">
        <v>5227</v>
      </c>
      <c r="X702" s="3">
        <v>22.98</v>
      </c>
      <c r="Y702" s="3">
        <v>22.98</v>
      </c>
      <c r="Z702" s="3">
        <v>22</v>
      </c>
      <c r="AA702" s="3">
        <v>0</v>
      </c>
      <c r="AB702" s="3" t="s">
        <v>5228</v>
      </c>
      <c r="AC702" s="3">
        <v>0</v>
      </c>
      <c r="AD702" s="3">
        <v>20.67</v>
      </c>
      <c r="AE702" s="3">
        <v>154</v>
      </c>
      <c r="AF702" s="3">
        <v>0</v>
      </c>
      <c r="AG702" s="3">
        <v>172.087348</v>
      </c>
      <c r="AH702" s="3">
        <v>0.333333333333333</v>
      </c>
      <c r="AI702" s="3" t="s">
        <v>5240</v>
      </c>
      <c r="AJ702" s="3" t="s">
        <v>5222</v>
      </c>
    </row>
    <row r="703" spans="1:36">
      <c r="A703" s="5">
        <v>43288</v>
      </c>
      <c r="B703" s="3" t="s">
        <v>1544</v>
      </c>
      <c r="C703" s="3" t="s">
        <v>106</v>
      </c>
      <c r="D703" s="3" t="s">
        <v>106</v>
      </c>
      <c r="E703" s="3" t="s">
        <v>1545</v>
      </c>
      <c r="F703" s="3" t="s">
        <v>120</v>
      </c>
      <c r="G703" s="3">
        <v>2</v>
      </c>
      <c r="H703" s="3">
        <v>0</v>
      </c>
      <c r="I703" s="3">
        <v>1</v>
      </c>
      <c r="J703" s="3">
        <v>1</v>
      </c>
      <c r="K703" s="3">
        <v>0</v>
      </c>
      <c r="L703" s="3">
        <v>0</v>
      </c>
      <c r="M703" s="3">
        <v>0</v>
      </c>
      <c r="N703" s="3" t="s">
        <v>5218</v>
      </c>
      <c r="O703" s="3">
        <v>1</v>
      </c>
      <c r="P703" s="3">
        <v>2.27</v>
      </c>
      <c r="Q703" s="3">
        <v>0</v>
      </c>
      <c r="R703" s="3">
        <v>0</v>
      </c>
      <c r="S703" s="3">
        <v>0</v>
      </c>
      <c r="T703" s="3">
        <v>2</v>
      </c>
      <c r="U703" s="3">
        <v>9</v>
      </c>
      <c r="V703" s="3">
        <v>28</v>
      </c>
      <c r="W703" s="3" t="s">
        <v>5227</v>
      </c>
      <c r="X703" s="3">
        <v>19.98</v>
      </c>
      <c r="Y703" s="3">
        <v>19.98</v>
      </c>
      <c r="Z703" s="3">
        <v>19.98</v>
      </c>
      <c r="AA703" s="3">
        <v>0</v>
      </c>
      <c r="AB703" s="3" t="s">
        <v>5223</v>
      </c>
      <c r="AC703" s="3">
        <v>2</v>
      </c>
      <c r="AD703" s="3">
        <v>19.98</v>
      </c>
      <c r="AE703" s="3">
        <v>0</v>
      </c>
      <c r="AF703" s="3">
        <v>0</v>
      </c>
      <c r="AG703" s="3">
        <v>0</v>
      </c>
      <c r="AH703" s="3">
        <v>2.48888888888888</v>
      </c>
      <c r="AI703" s="3" t="s">
        <v>5255</v>
      </c>
      <c r="AJ703" s="3" t="s">
        <v>5222</v>
      </c>
    </row>
    <row r="704" spans="1:36">
      <c r="A704" s="5">
        <v>43288</v>
      </c>
      <c r="B704" s="3" t="s">
        <v>4583</v>
      </c>
      <c r="C704" s="3" t="s">
        <v>4055</v>
      </c>
      <c r="D704" s="3" t="s">
        <v>4055</v>
      </c>
      <c r="E704" s="3" t="s">
        <v>4056</v>
      </c>
      <c r="F704" s="3" t="s">
        <v>120</v>
      </c>
      <c r="G704" s="3">
        <v>6</v>
      </c>
      <c r="H704" s="3">
        <v>0</v>
      </c>
      <c r="I704" s="3">
        <v>6</v>
      </c>
      <c r="J704" s="3">
        <v>0</v>
      </c>
      <c r="K704" s="3">
        <v>0</v>
      </c>
      <c r="L704" s="3">
        <v>0</v>
      </c>
      <c r="M704" s="3">
        <v>0</v>
      </c>
      <c r="N704" s="3" t="s">
        <v>5218</v>
      </c>
      <c r="O704" s="3">
        <v>0</v>
      </c>
      <c r="P704" s="3">
        <v>0</v>
      </c>
      <c r="Q704" s="3">
        <v>0</v>
      </c>
      <c r="R704" s="3">
        <v>0</v>
      </c>
      <c r="S704" s="3">
        <v>2</v>
      </c>
      <c r="T704" s="3">
        <v>7</v>
      </c>
      <c r="U704" s="3">
        <v>8</v>
      </c>
      <c r="V704" s="3">
        <v>13</v>
      </c>
      <c r="W704" s="3"/>
      <c r="X704" s="3">
        <v>20.98</v>
      </c>
      <c r="Y704" s="3">
        <v>20.98</v>
      </c>
      <c r="Z704" s="3">
        <v>20.98</v>
      </c>
      <c r="AA704" s="3">
        <v>0</v>
      </c>
      <c r="AB704" s="3" t="s">
        <v>5223</v>
      </c>
      <c r="AC704" s="3">
        <v>8</v>
      </c>
      <c r="AD704" s="3">
        <v>20.98</v>
      </c>
      <c r="AE704" s="3">
        <v>0</v>
      </c>
      <c r="AF704" s="3">
        <v>0</v>
      </c>
      <c r="AG704" s="3">
        <v>0</v>
      </c>
      <c r="AH704" s="3">
        <v>1.92592592592592</v>
      </c>
      <c r="AI704" s="3" t="s">
        <v>5226</v>
      </c>
      <c r="AJ704" s="3" t="s">
        <v>5222</v>
      </c>
    </row>
    <row r="705" spans="1:36">
      <c r="A705" s="5">
        <v>43288</v>
      </c>
      <c r="B705" s="3" t="s">
        <v>4216</v>
      </c>
      <c r="C705" s="3" t="s">
        <v>4217</v>
      </c>
      <c r="D705" s="3" t="s">
        <v>4217</v>
      </c>
      <c r="E705" s="3" t="s">
        <v>4218</v>
      </c>
      <c r="F705" s="3" t="s">
        <v>120</v>
      </c>
      <c r="G705" s="3">
        <v>1</v>
      </c>
      <c r="H705" s="3">
        <v>0</v>
      </c>
      <c r="I705" s="3">
        <v>1</v>
      </c>
      <c r="J705" s="3">
        <v>0</v>
      </c>
      <c r="K705" s="3">
        <v>0</v>
      </c>
      <c r="L705" s="3">
        <v>0</v>
      </c>
      <c r="M705" s="3">
        <v>0</v>
      </c>
      <c r="N705" s="3" t="s">
        <v>5218</v>
      </c>
      <c r="O705" s="3">
        <v>0</v>
      </c>
      <c r="P705" s="3">
        <v>0</v>
      </c>
      <c r="Q705" s="3">
        <v>0</v>
      </c>
      <c r="R705" s="3">
        <v>0</v>
      </c>
      <c r="S705" s="3">
        <v>2</v>
      </c>
      <c r="T705" s="3">
        <v>4</v>
      </c>
      <c r="U705" s="3">
        <v>7</v>
      </c>
      <c r="V705" s="3">
        <v>10</v>
      </c>
      <c r="W705" s="3"/>
      <c r="X705" s="3">
        <v>22.98</v>
      </c>
      <c r="Y705" s="3">
        <v>22.98</v>
      </c>
      <c r="Z705" s="3">
        <v>22.98</v>
      </c>
      <c r="AA705" s="3">
        <v>0</v>
      </c>
      <c r="AB705" s="3" t="s">
        <v>5223</v>
      </c>
      <c r="AC705" s="3">
        <v>3</v>
      </c>
      <c r="AD705" s="3">
        <v>22.98</v>
      </c>
      <c r="AE705" s="3">
        <v>0</v>
      </c>
      <c r="AF705" s="3">
        <v>0</v>
      </c>
      <c r="AG705" s="3">
        <v>0</v>
      </c>
      <c r="AH705" s="3">
        <v>5.71428571428571</v>
      </c>
      <c r="AI705" s="3" t="s">
        <v>5457</v>
      </c>
      <c r="AJ705" s="3" t="s">
        <v>5222</v>
      </c>
    </row>
    <row r="706" spans="1:36">
      <c r="A706" s="5">
        <v>43288</v>
      </c>
      <c r="B706" s="3" t="s">
        <v>2670</v>
      </c>
      <c r="C706" s="3" t="s">
        <v>2671</v>
      </c>
      <c r="D706" s="3" t="s">
        <v>2671</v>
      </c>
      <c r="E706" s="3" t="s">
        <v>2672</v>
      </c>
      <c r="F706" s="3" t="s">
        <v>120</v>
      </c>
      <c r="G706" s="3">
        <v>18</v>
      </c>
      <c r="H706" s="3">
        <v>0</v>
      </c>
      <c r="I706" s="3">
        <v>2</v>
      </c>
      <c r="J706" s="3">
        <v>11</v>
      </c>
      <c r="K706" s="3">
        <v>5</v>
      </c>
      <c r="L706" s="3">
        <v>0</v>
      </c>
      <c r="M706" s="3">
        <v>0</v>
      </c>
      <c r="N706" s="3" t="s">
        <v>5218</v>
      </c>
      <c r="O706" s="3">
        <v>6</v>
      </c>
      <c r="P706" s="3">
        <v>14.41</v>
      </c>
      <c r="Q706" s="3">
        <v>0</v>
      </c>
      <c r="R706" s="3">
        <v>0</v>
      </c>
      <c r="S706" s="3">
        <v>0</v>
      </c>
      <c r="T706" s="3">
        <v>0</v>
      </c>
      <c r="U706" s="3">
        <v>2</v>
      </c>
      <c r="V706" s="3">
        <v>6</v>
      </c>
      <c r="W706" s="3" t="s">
        <v>5227</v>
      </c>
      <c r="X706" s="3">
        <v>49.98</v>
      </c>
      <c r="Y706" s="3">
        <v>21.58</v>
      </c>
      <c r="Z706" s="3">
        <v>21.58</v>
      </c>
      <c r="AA706" s="3">
        <v>0</v>
      </c>
      <c r="AB706" s="3" t="s">
        <v>5228</v>
      </c>
      <c r="AC706" s="3">
        <v>6</v>
      </c>
      <c r="AD706" s="3">
        <v>17.26</v>
      </c>
      <c r="AE706" s="3">
        <v>252</v>
      </c>
      <c r="AF706" s="3">
        <v>0</v>
      </c>
      <c r="AG706" s="3">
        <v>56.359578</v>
      </c>
      <c r="AH706" s="3">
        <v>0.32</v>
      </c>
      <c r="AI706" s="3" t="s">
        <v>5237</v>
      </c>
      <c r="AJ706" s="3" t="s">
        <v>5222</v>
      </c>
    </row>
    <row r="707" spans="1:36">
      <c r="A707" s="5">
        <v>43288</v>
      </c>
      <c r="B707" s="3" t="s">
        <v>4922</v>
      </c>
      <c r="C707" s="3" t="s">
        <v>4923</v>
      </c>
      <c r="D707" s="3" t="s">
        <v>4924</v>
      </c>
      <c r="E707" s="3" t="s">
        <v>4799</v>
      </c>
      <c r="F707" s="3" t="s">
        <v>120</v>
      </c>
      <c r="G707" s="3">
        <v>8</v>
      </c>
      <c r="H707" s="3">
        <v>0</v>
      </c>
      <c r="I707" s="3">
        <v>8</v>
      </c>
      <c r="J707" s="3">
        <v>0</v>
      </c>
      <c r="K707" s="3">
        <v>0</v>
      </c>
      <c r="L707" s="3">
        <v>0</v>
      </c>
      <c r="M707" s="3">
        <v>0</v>
      </c>
      <c r="N707" s="3" t="s">
        <v>5218</v>
      </c>
      <c r="O707" s="3">
        <v>0</v>
      </c>
      <c r="P707" s="3">
        <v>0</v>
      </c>
      <c r="Q707" s="3">
        <v>0</v>
      </c>
      <c r="R707" s="3">
        <v>0</v>
      </c>
      <c r="S707" s="3">
        <v>2</v>
      </c>
      <c r="T707" s="3">
        <v>2</v>
      </c>
      <c r="U707" s="3">
        <v>2</v>
      </c>
      <c r="V707" s="3">
        <v>2</v>
      </c>
      <c r="W707" s="3"/>
      <c r="X707" s="3">
        <v>22.98</v>
      </c>
      <c r="Y707" s="3">
        <v>22.98</v>
      </c>
      <c r="Z707" s="3">
        <v>22.98</v>
      </c>
      <c r="AA707" s="3">
        <v>0</v>
      </c>
      <c r="AB707" s="3" t="s">
        <v>5228</v>
      </c>
      <c r="AC707" s="3">
        <v>0</v>
      </c>
      <c r="AD707" s="3">
        <v>18.38</v>
      </c>
      <c r="AE707" s="3">
        <v>63</v>
      </c>
      <c r="AF707" s="3">
        <v>0</v>
      </c>
      <c r="AG707" s="3">
        <v>34.35936</v>
      </c>
      <c r="AH707" s="3">
        <v>1.6</v>
      </c>
      <c r="AI707" s="3" t="s">
        <v>5289</v>
      </c>
      <c r="AJ707" s="3" t="s">
        <v>5222</v>
      </c>
    </row>
    <row r="708" spans="1:36">
      <c r="A708" s="5">
        <v>43288</v>
      </c>
      <c r="B708" s="3" t="s">
        <v>2186</v>
      </c>
      <c r="C708" s="3" t="s">
        <v>2187</v>
      </c>
      <c r="D708" s="3" t="s">
        <v>2187</v>
      </c>
      <c r="E708" s="3" t="s">
        <v>2188</v>
      </c>
      <c r="F708" s="3" t="s">
        <v>120</v>
      </c>
      <c r="G708" s="3">
        <v>11</v>
      </c>
      <c r="H708" s="3">
        <v>0</v>
      </c>
      <c r="I708" s="3">
        <v>0</v>
      </c>
      <c r="J708" s="3">
        <v>11</v>
      </c>
      <c r="K708" s="3">
        <v>0</v>
      </c>
      <c r="L708" s="3">
        <v>0</v>
      </c>
      <c r="M708" s="3">
        <v>0</v>
      </c>
      <c r="N708" s="3" t="s">
        <v>5218</v>
      </c>
      <c r="O708" s="3">
        <v>0</v>
      </c>
      <c r="P708" s="3">
        <v>0</v>
      </c>
      <c r="Q708" s="3">
        <v>0</v>
      </c>
      <c r="R708" s="3">
        <v>0</v>
      </c>
      <c r="S708" s="3">
        <v>1</v>
      </c>
      <c r="T708" s="3">
        <v>5</v>
      </c>
      <c r="U708" s="3">
        <v>8</v>
      </c>
      <c r="V708" s="3">
        <v>19</v>
      </c>
      <c r="W708" s="3"/>
      <c r="X708" s="3">
        <v>22.98</v>
      </c>
      <c r="Y708" s="3">
        <v>22.98</v>
      </c>
      <c r="Z708" s="3">
        <v>22</v>
      </c>
      <c r="AA708" s="3">
        <v>0</v>
      </c>
      <c r="AB708" s="3" t="s">
        <v>5223</v>
      </c>
      <c r="AC708" s="3">
        <v>11</v>
      </c>
      <c r="AD708" s="3">
        <v>22.98</v>
      </c>
      <c r="AE708" s="3">
        <v>0</v>
      </c>
      <c r="AF708" s="3">
        <v>0</v>
      </c>
      <c r="AG708" s="3">
        <v>0</v>
      </c>
      <c r="AH708" s="3">
        <v>1</v>
      </c>
      <c r="AI708" s="3" t="s">
        <v>5271</v>
      </c>
      <c r="AJ708" s="3" t="s">
        <v>5222</v>
      </c>
    </row>
    <row r="709" spans="1:36">
      <c r="A709" s="5">
        <v>43288</v>
      </c>
      <c r="B709" s="3" t="s">
        <v>2456</v>
      </c>
      <c r="C709" s="3" t="s">
        <v>2457</v>
      </c>
      <c r="D709" s="3" t="s">
        <v>2457</v>
      </c>
      <c r="E709" s="3" t="s">
        <v>2458</v>
      </c>
      <c r="F709" s="3" t="s">
        <v>120</v>
      </c>
      <c r="G709" s="3">
        <v>32</v>
      </c>
      <c r="H709" s="3">
        <v>0</v>
      </c>
      <c r="I709" s="3">
        <v>6</v>
      </c>
      <c r="J709" s="3">
        <v>21</v>
      </c>
      <c r="K709" s="3">
        <v>5</v>
      </c>
      <c r="L709" s="3">
        <v>0</v>
      </c>
      <c r="M709" s="3">
        <v>0</v>
      </c>
      <c r="N709" s="3" t="s">
        <v>5218</v>
      </c>
      <c r="O709" s="3">
        <v>5</v>
      </c>
      <c r="P709" s="3">
        <v>9.14</v>
      </c>
      <c r="Q709" s="3">
        <v>0</v>
      </c>
      <c r="R709" s="3">
        <v>0</v>
      </c>
      <c r="S709" s="3">
        <v>0</v>
      </c>
      <c r="T709" s="3">
        <v>2</v>
      </c>
      <c r="U709" s="3">
        <v>2</v>
      </c>
      <c r="V709" s="3">
        <v>3</v>
      </c>
      <c r="W709" s="3"/>
      <c r="X709" s="3">
        <v>18.38</v>
      </c>
      <c r="Y709" s="3">
        <v>18.38</v>
      </c>
      <c r="Z709" s="3">
        <v>18.38</v>
      </c>
      <c r="AA709" s="3">
        <v>0</v>
      </c>
      <c r="AB709" s="3" t="s">
        <v>5228</v>
      </c>
      <c r="AC709" s="3">
        <v>17</v>
      </c>
      <c r="AD709" s="3">
        <v>16.54</v>
      </c>
      <c r="AE709" s="3">
        <v>112</v>
      </c>
      <c r="AF709" s="3">
        <v>0</v>
      </c>
      <c r="AG709" s="3">
        <v>13.845237</v>
      </c>
      <c r="AH709" s="3">
        <v>0.102564102564102</v>
      </c>
      <c r="AI709" s="3" t="s">
        <v>5311</v>
      </c>
      <c r="AJ709" s="3" t="s">
        <v>5222</v>
      </c>
    </row>
    <row r="710" spans="1:36">
      <c r="A710" s="5">
        <v>43288</v>
      </c>
      <c r="B710" s="3" t="s">
        <v>2078</v>
      </c>
      <c r="C710" s="3" t="s">
        <v>2079</v>
      </c>
      <c r="D710" s="3" t="s">
        <v>2079</v>
      </c>
      <c r="E710" s="3" t="s">
        <v>2080</v>
      </c>
      <c r="F710" s="3" t="s">
        <v>120</v>
      </c>
      <c r="G710" s="3">
        <v>6</v>
      </c>
      <c r="H710" s="3">
        <v>0</v>
      </c>
      <c r="I710" s="3">
        <v>2</v>
      </c>
      <c r="J710" s="3">
        <v>4</v>
      </c>
      <c r="K710" s="3">
        <v>0</v>
      </c>
      <c r="L710" s="3">
        <v>0</v>
      </c>
      <c r="M710" s="3">
        <v>0</v>
      </c>
      <c r="N710" s="3" t="s">
        <v>5218</v>
      </c>
      <c r="O710" s="3">
        <v>2</v>
      </c>
      <c r="P710" s="3">
        <v>4.18</v>
      </c>
      <c r="Q710" s="3">
        <v>0</v>
      </c>
      <c r="R710" s="3">
        <v>0</v>
      </c>
      <c r="S710" s="3">
        <v>2</v>
      </c>
      <c r="T710" s="3">
        <v>7</v>
      </c>
      <c r="U710" s="3">
        <v>16</v>
      </c>
      <c r="V710" s="3">
        <v>23</v>
      </c>
      <c r="W710" s="3"/>
      <c r="X710" s="3">
        <v>12.98</v>
      </c>
      <c r="Y710" s="3">
        <v>12.98</v>
      </c>
      <c r="Z710" s="3">
        <v>12.98</v>
      </c>
      <c r="AA710" s="3">
        <v>0</v>
      </c>
      <c r="AB710" s="3" t="s">
        <v>5223</v>
      </c>
      <c r="AC710" s="3">
        <v>8</v>
      </c>
      <c r="AD710" s="3">
        <v>12.98</v>
      </c>
      <c r="AE710" s="3">
        <v>0</v>
      </c>
      <c r="AF710" s="3">
        <v>0</v>
      </c>
      <c r="AG710" s="3">
        <v>0</v>
      </c>
      <c r="AH710" s="3">
        <v>1.41538461538461</v>
      </c>
      <c r="AI710" s="3" t="s">
        <v>5458</v>
      </c>
      <c r="AJ710" s="3" t="s">
        <v>5222</v>
      </c>
    </row>
    <row r="711" spans="1:36">
      <c r="A711" s="5">
        <v>43288</v>
      </c>
      <c r="B711" s="3" t="s">
        <v>4601</v>
      </c>
      <c r="C711" s="3" t="s">
        <v>4602</v>
      </c>
      <c r="D711" s="3" t="s">
        <v>4529</v>
      </c>
      <c r="E711" s="3" t="s">
        <v>4530</v>
      </c>
      <c r="F711" s="3" t="s">
        <v>120</v>
      </c>
      <c r="G711" s="3">
        <v>9</v>
      </c>
      <c r="H711" s="3">
        <v>0</v>
      </c>
      <c r="I711" s="3">
        <v>9</v>
      </c>
      <c r="J711" s="3">
        <v>0</v>
      </c>
      <c r="K711" s="3">
        <v>0</v>
      </c>
      <c r="L711" s="3">
        <v>0</v>
      </c>
      <c r="M711" s="3">
        <v>0</v>
      </c>
      <c r="N711" s="3" t="s">
        <v>5218</v>
      </c>
      <c r="O711" s="3">
        <v>0</v>
      </c>
      <c r="P711" s="3">
        <v>0</v>
      </c>
      <c r="Q711" s="3">
        <v>0</v>
      </c>
      <c r="R711" s="3">
        <v>0</v>
      </c>
      <c r="S711" s="3">
        <v>0</v>
      </c>
      <c r="T711" s="3">
        <v>0</v>
      </c>
      <c r="U711" s="3">
        <v>0</v>
      </c>
      <c r="V711" s="3">
        <v>0</v>
      </c>
      <c r="W711" s="3" t="s">
        <v>5227</v>
      </c>
      <c r="X711" s="3">
        <v>22.98</v>
      </c>
      <c r="Y711" s="3">
        <v>22.98</v>
      </c>
      <c r="Z711" s="3">
        <v>22.98</v>
      </c>
      <c r="AA711" s="3">
        <v>0</v>
      </c>
      <c r="AB711" s="3" t="s">
        <v>5223</v>
      </c>
      <c r="AC711" s="3">
        <v>0</v>
      </c>
      <c r="AD711" s="3">
        <v>0</v>
      </c>
      <c r="AE711" s="3">
        <v>0</v>
      </c>
      <c r="AF711" s="3">
        <v>0</v>
      </c>
      <c r="AG711" s="3">
        <v>0</v>
      </c>
      <c r="AH711" s="3">
        <v>0.674999999999999</v>
      </c>
      <c r="AI711" s="3" t="s">
        <v>5226</v>
      </c>
      <c r="AJ711" s="3" t="s">
        <v>5222</v>
      </c>
    </row>
    <row r="712" spans="1:36">
      <c r="A712" s="5">
        <v>43288</v>
      </c>
      <c r="B712" s="3" t="s">
        <v>2845</v>
      </c>
      <c r="C712" s="3" t="s">
        <v>2846</v>
      </c>
      <c r="D712" s="3" t="s">
        <v>2846</v>
      </c>
      <c r="E712" s="3" t="s">
        <v>1747</v>
      </c>
      <c r="F712" s="3" t="s">
        <v>120</v>
      </c>
      <c r="G712" s="3">
        <v>20</v>
      </c>
      <c r="H712" s="3">
        <v>0</v>
      </c>
      <c r="I712" s="3">
        <v>1</v>
      </c>
      <c r="J712" s="3">
        <v>19</v>
      </c>
      <c r="K712" s="3">
        <v>0</v>
      </c>
      <c r="L712" s="3">
        <v>0</v>
      </c>
      <c r="M712" s="3">
        <v>0</v>
      </c>
      <c r="N712" s="3" t="s">
        <v>5218</v>
      </c>
      <c r="O712" s="3">
        <v>19</v>
      </c>
      <c r="P712" s="3">
        <v>35.26</v>
      </c>
      <c r="Q712" s="3">
        <v>0</v>
      </c>
      <c r="R712" s="3">
        <v>0</v>
      </c>
      <c r="S712" s="3">
        <v>0</v>
      </c>
      <c r="T712" s="3">
        <v>0</v>
      </c>
      <c r="U712" s="3">
        <v>1</v>
      </c>
      <c r="V712" s="3">
        <v>1</v>
      </c>
      <c r="W712" s="3" t="s">
        <v>5227</v>
      </c>
      <c r="X712" s="3">
        <v>24.98</v>
      </c>
      <c r="Y712" s="3">
        <v>24.98</v>
      </c>
      <c r="Z712" s="3">
        <v>24.98</v>
      </c>
      <c r="AA712" s="3">
        <v>0</v>
      </c>
      <c r="AB712" s="3" t="s">
        <v>5228</v>
      </c>
      <c r="AC712" s="3">
        <v>17</v>
      </c>
      <c r="AD712" s="3">
        <v>19.98</v>
      </c>
      <c r="AE712" s="3">
        <v>49</v>
      </c>
      <c r="AF712" s="3">
        <v>0</v>
      </c>
      <c r="AG712" s="3">
        <v>2.207147</v>
      </c>
      <c r="AH712" s="3">
        <v>0.050632911392405</v>
      </c>
      <c r="AI712" s="3" t="s">
        <v>5254</v>
      </c>
      <c r="AJ712" s="3" t="s">
        <v>5222</v>
      </c>
    </row>
    <row r="713" spans="1:36">
      <c r="A713" s="5">
        <v>43288</v>
      </c>
      <c r="B713" s="3" t="s">
        <v>5095</v>
      </c>
      <c r="C713" s="3" t="s">
        <v>4817</v>
      </c>
      <c r="D713" s="3" t="s">
        <v>4817</v>
      </c>
      <c r="E713" s="3" t="s">
        <v>4946</v>
      </c>
      <c r="F713" s="3" t="s">
        <v>120</v>
      </c>
      <c r="G713" s="3">
        <v>13</v>
      </c>
      <c r="H713" s="3">
        <v>0</v>
      </c>
      <c r="I713" s="3">
        <v>0</v>
      </c>
      <c r="J713" s="3">
        <v>10</v>
      </c>
      <c r="K713" s="3">
        <v>3</v>
      </c>
      <c r="L713" s="3">
        <v>0</v>
      </c>
      <c r="M713" s="3">
        <v>0</v>
      </c>
      <c r="N713" s="3" t="s">
        <v>5218</v>
      </c>
      <c r="O713" s="3">
        <v>13</v>
      </c>
      <c r="P713" s="3">
        <v>10.25</v>
      </c>
      <c r="Q713" s="3">
        <v>0</v>
      </c>
      <c r="R713" s="3">
        <v>0</v>
      </c>
      <c r="S713" s="3">
        <v>0</v>
      </c>
      <c r="T713" s="3">
        <v>0</v>
      </c>
      <c r="U713" s="3">
        <v>1</v>
      </c>
      <c r="V713" s="3">
        <v>4</v>
      </c>
      <c r="W713" s="3" t="s">
        <v>5227</v>
      </c>
      <c r="X713" s="3">
        <v>21.98</v>
      </c>
      <c r="Y713" s="3">
        <v>21.98</v>
      </c>
      <c r="Z713" s="3">
        <v>21.98</v>
      </c>
      <c r="AA713" s="3">
        <v>0</v>
      </c>
      <c r="AB713" s="3" t="s">
        <v>5228</v>
      </c>
      <c r="AC713" s="3">
        <v>0</v>
      </c>
      <c r="AD713" s="3">
        <v>17.91</v>
      </c>
      <c r="AE713" s="3">
        <v>364</v>
      </c>
      <c r="AF713" s="3">
        <v>0</v>
      </c>
      <c r="AG713" s="3">
        <v>194.088726</v>
      </c>
      <c r="AH713" s="3">
        <v>0.280701754385964</v>
      </c>
      <c r="AI713" s="3" t="s">
        <v>5261</v>
      </c>
      <c r="AJ713" s="3" t="s">
        <v>5222</v>
      </c>
    </row>
    <row r="714" spans="1:36">
      <c r="A714" s="5">
        <v>43288</v>
      </c>
      <c r="B714" s="3" t="s">
        <v>2730</v>
      </c>
      <c r="C714" s="3" t="s">
        <v>415</v>
      </c>
      <c r="D714" s="3" t="s">
        <v>415</v>
      </c>
      <c r="E714" s="3" t="s">
        <v>416</v>
      </c>
      <c r="F714" s="3" t="s">
        <v>120</v>
      </c>
      <c r="G714" s="3">
        <v>14</v>
      </c>
      <c r="H714" s="3">
        <v>0</v>
      </c>
      <c r="I714" s="3">
        <v>14</v>
      </c>
      <c r="J714" s="3">
        <v>0</v>
      </c>
      <c r="K714" s="3">
        <v>0</v>
      </c>
      <c r="L714" s="3">
        <v>0</v>
      </c>
      <c r="M714" s="3">
        <v>0</v>
      </c>
      <c r="N714" s="3" t="s">
        <v>5218</v>
      </c>
      <c r="O714" s="3">
        <v>0</v>
      </c>
      <c r="P714" s="3">
        <v>0</v>
      </c>
      <c r="Q714" s="3">
        <v>0</v>
      </c>
      <c r="R714" s="3">
        <v>0</v>
      </c>
      <c r="S714" s="3">
        <v>2</v>
      </c>
      <c r="T714" s="3">
        <v>4</v>
      </c>
      <c r="U714" s="3">
        <v>7</v>
      </c>
      <c r="V714" s="3">
        <v>10</v>
      </c>
      <c r="W714" s="3" t="s">
        <v>5227</v>
      </c>
      <c r="X714" s="3">
        <v>21.98</v>
      </c>
      <c r="Y714" s="3">
        <v>21.98</v>
      </c>
      <c r="Z714" s="3">
        <v>21.98</v>
      </c>
      <c r="AA714" s="3">
        <v>0</v>
      </c>
      <c r="AB714" s="3" t="s">
        <v>5223</v>
      </c>
      <c r="AC714" s="3">
        <v>16</v>
      </c>
      <c r="AD714" s="3">
        <v>22.98</v>
      </c>
      <c r="AE714" s="3">
        <v>0</v>
      </c>
      <c r="AF714" s="3">
        <v>0</v>
      </c>
      <c r="AG714" s="3">
        <v>0</v>
      </c>
      <c r="AH714" s="3">
        <v>1.37931034482758</v>
      </c>
      <c r="AI714" s="3" t="s">
        <v>5459</v>
      </c>
      <c r="AJ714" s="3" t="s">
        <v>5222</v>
      </c>
    </row>
    <row r="715" spans="1:36">
      <c r="A715" s="5">
        <v>43288</v>
      </c>
      <c r="B715" s="3" t="s">
        <v>4385</v>
      </c>
      <c r="C715" s="3" t="s">
        <v>3394</v>
      </c>
      <c r="D715" s="3" t="s">
        <v>3394</v>
      </c>
      <c r="E715" s="3" t="s">
        <v>3395</v>
      </c>
      <c r="F715" s="3" t="s">
        <v>120</v>
      </c>
      <c r="G715" s="3">
        <v>4</v>
      </c>
      <c r="H715" s="3">
        <v>0</v>
      </c>
      <c r="I715" s="3">
        <v>0</v>
      </c>
      <c r="J715" s="3">
        <v>1</v>
      </c>
      <c r="K715" s="3">
        <v>3</v>
      </c>
      <c r="L715" s="3">
        <v>0</v>
      </c>
      <c r="M715" s="3">
        <v>0</v>
      </c>
      <c r="N715" s="3" t="s">
        <v>5218</v>
      </c>
      <c r="O715" s="3">
        <v>4</v>
      </c>
      <c r="P715" s="3">
        <v>6.72</v>
      </c>
      <c r="Q715" s="3">
        <v>0</v>
      </c>
      <c r="R715" s="3">
        <v>0</v>
      </c>
      <c r="S715" s="3">
        <v>0</v>
      </c>
      <c r="T715" s="3">
        <v>2</v>
      </c>
      <c r="U715" s="3">
        <v>5</v>
      </c>
      <c r="V715" s="3">
        <v>9</v>
      </c>
      <c r="W715" s="3"/>
      <c r="X715" s="3">
        <v>22.98</v>
      </c>
      <c r="Y715" s="3">
        <v>22.98</v>
      </c>
      <c r="Z715" s="3">
        <v>22.98</v>
      </c>
      <c r="AA715" s="3">
        <v>0</v>
      </c>
      <c r="AB715" s="3" t="s">
        <v>5223</v>
      </c>
      <c r="AC715" s="3">
        <v>4</v>
      </c>
      <c r="AD715" s="3">
        <v>22.98</v>
      </c>
      <c r="AE715" s="3">
        <v>0</v>
      </c>
      <c r="AF715" s="3">
        <v>0</v>
      </c>
      <c r="AG715" s="3">
        <v>0</v>
      </c>
      <c r="AH715" s="3">
        <v>1.125</v>
      </c>
      <c r="AI715" s="3" t="s">
        <v>5460</v>
      </c>
      <c r="AJ715" s="3" t="s">
        <v>5222</v>
      </c>
    </row>
    <row r="716" spans="1:36">
      <c r="A716" s="5">
        <v>43288</v>
      </c>
      <c r="B716" s="3" t="s">
        <v>2240</v>
      </c>
      <c r="C716" s="3" t="s">
        <v>2241</v>
      </c>
      <c r="D716" s="3" t="s">
        <v>2241</v>
      </c>
      <c r="E716" s="3" t="s">
        <v>2242</v>
      </c>
      <c r="F716" s="3" t="s">
        <v>120</v>
      </c>
      <c r="G716" s="3">
        <v>13</v>
      </c>
      <c r="H716" s="3">
        <v>0</v>
      </c>
      <c r="I716" s="3">
        <v>1</v>
      </c>
      <c r="J716" s="3">
        <v>0</v>
      </c>
      <c r="K716" s="3">
        <v>2</v>
      </c>
      <c r="L716" s="3">
        <v>10</v>
      </c>
      <c r="M716" s="3">
        <v>0</v>
      </c>
      <c r="N716" s="3" t="s">
        <v>5218</v>
      </c>
      <c r="O716" s="3">
        <v>12</v>
      </c>
      <c r="P716" s="3">
        <v>13.63</v>
      </c>
      <c r="Q716" s="3">
        <v>0</v>
      </c>
      <c r="R716" s="3">
        <v>0</v>
      </c>
      <c r="S716" s="3">
        <v>1</v>
      </c>
      <c r="T716" s="3">
        <v>4</v>
      </c>
      <c r="U716" s="3">
        <v>7</v>
      </c>
      <c r="V716" s="3">
        <v>10</v>
      </c>
      <c r="W716" s="3"/>
      <c r="X716" s="3">
        <v>19</v>
      </c>
      <c r="Y716" s="3">
        <v>19</v>
      </c>
      <c r="Z716" s="3">
        <v>18.98</v>
      </c>
      <c r="AA716" s="3">
        <v>0</v>
      </c>
      <c r="AB716" s="3" t="s">
        <v>5223</v>
      </c>
      <c r="AC716" s="3">
        <v>12</v>
      </c>
      <c r="AD716" s="3">
        <v>19</v>
      </c>
      <c r="AE716" s="3">
        <v>0</v>
      </c>
      <c r="AF716" s="3">
        <v>0</v>
      </c>
      <c r="AG716" s="3">
        <v>0</v>
      </c>
      <c r="AH716" s="3">
        <v>0.56338028169014</v>
      </c>
      <c r="AI716" s="3" t="s">
        <v>5313</v>
      </c>
      <c r="AJ716" s="3" t="s">
        <v>5222</v>
      </c>
    </row>
    <row r="717" spans="1:36">
      <c r="A717" s="5">
        <v>43288</v>
      </c>
      <c r="B717" s="3" t="s">
        <v>2997</v>
      </c>
      <c r="C717" s="3" t="s">
        <v>2998</v>
      </c>
      <c r="D717" s="3" t="s">
        <v>2998</v>
      </c>
      <c r="E717" s="3" t="s">
        <v>2999</v>
      </c>
      <c r="F717" s="3" t="s">
        <v>120</v>
      </c>
      <c r="G717" s="3">
        <v>8</v>
      </c>
      <c r="H717" s="3">
        <v>0</v>
      </c>
      <c r="I717" s="3">
        <v>2</v>
      </c>
      <c r="J717" s="3">
        <v>6</v>
      </c>
      <c r="K717" s="3">
        <v>0</v>
      </c>
      <c r="L717" s="3">
        <v>0</v>
      </c>
      <c r="M717" s="3">
        <v>0</v>
      </c>
      <c r="N717" s="3" t="s">
        <v>5218</v>
      </c>
      <c r="O717" s="3">
        <v>4</v>
      </c>
      <c r="P717" s="3">
        <v>4.55</v>
      </c>
      <c r="Q717" s="3">
        <v>0</v>
      </c>
      <c r="R717" s="3">
        <v>0</v>
      </c>
      <c r="S717" s="3">
        <v>0</v>
      </c>
      <c r="T717" s="3">
        <v>3</v>
      </c>
      <c r="U717" s="3">
        <v>7</v>
      </c>
      <c r="V717" s="3">
        <v>13</v>
      </c>
      <c r="W717" s="3"/>
      <c r="X717" s="3">
        <v>23.98</v>
      </c>
      <c r="Y717" s="3">
        <v>23.98</v>
      </c>
      <c r="Z717" s="3">
        <v>23.98</v>
      </c>
      <c r="AA717" s="3">
        <v>0</v>
      </c>
      <c r="AB717" s="3" t="s">
        <v>5223</v>
      </c>
      <c r="AC717" s="3">
        <v>8</v>
      </c>
      <c r="AD717" s="3">
        <v>23.98</v>
      </c>
      <c r="AE717" s="3">
        <v>0</v>
      </c>
      <c r="AF717" s="3">
        <v>0</v>
      </c>
      <c r="AG717" s="3">
        <v>0</v>
      </c>
      <c r="AH717" s="3">
        <v>1</v>
      </c>
      <c r="AI717" s="3" t="s">
        <v>5461</v>
      </c>
      <c r="AJ717" s="3" t="s">
        <v>5222</v>
      </c>
    </row>
    <row r="718" spans="1:36">
      <c r="A718" s="5">
        <v>43288</v>
      </c>
      <c r="B718" s="3" t="s">
        <v>502</v>
      </c>
      <c r="C718" s="3" t="s">
        <v>350</v>
      </c>
      <c r="D718" s="3" t="s">
        <v>350</v>
      </c>
      <c r="E718" s="3" t="s">
        <v>477</v>
      </c>
      <c r="F718" s="3" t="s">
        <v>120</v>
      </c>
      <c r="G718" s="3">
        <v>11</v>
      </c>
      <c r="H718" s="3">
        <v>0</v>
      </c>
      <c r="I718" s="3">
        <v>3</v>
      </c>
      <c r="J718" s="3">
        <v>8</v>
      </c>
      <c r="K718" s="3">
        <v>0</v>
      </c>
      <c r="L718" s="3">
        <v>0</v>
      </c>
      <c r="M718" s="3">
        <v>0</v>
      </c>
      <c r="N718" s="3" t="s">
        <v>5218</v>
      </c>
      <c r="O718" s="3">
        <v>8</v>
      </c>
      <c r="P718" s="3">
        <v>5.5</v>
      </c>
      <c r="Q718" s="3">
        <v>0</v>
      </c>
      <c r="R718" s="3">
        <v>0</v>
      </c>
      <c r="S718" s="3">
        <v>0</v>
      </c>
      <c r="T718" s="3">
        <v>6</v>
      </c>
      <c r="U718" s="3">
        <v>6</v>
      </c>
      <c r="V718" s="3">
        <v>10</v>
      </c>
      <c r="W718" s="3"/>
      <c r="X718" s="3">
        <v>26.98</v>
      </c>
      <c r="Y718" s="3">
        <v>26.98</v>
      </c>
      <c r="Z718" s="3">
        <v>26.98</v>
      </c>
      <c r="AA718" s="3">
        <v>0</v>
      </c>
      <c r="AB718" s="3" t="s">
        <v>5223</v>
      </c>
      <c r="AC718" s="3">
        <v>11</v>
      </c>
      <c r="AD718" s="3">
        <v>26.98</v>
      </c>
      <c r="AE718" s="3">
        <v>0</v>
      </c>
      <c r="AF718" s="3">
        <v>0</v>
      </c>
      <c r="AG718" s="3">
        <v>0</v>
      </c>
      <c r="AH718" s="3">
        <v>0.666666666666666</v>
      </c>
      <c r="AI718" s="3" t="s">
        <v>5224</v>
      </c>
      <c r="AJ718" s="3" t="s">
        <v>5222</v>
      </c>
    </row>
    <row r="719" spans="1:36">
      <c r="A719" s="5">
        <v>43288</v>
      </c>
      <c r="B719" s="3" t="s">
        <v>2842</v>
      </c>
      <c r="C719" s="3" t="s">
        <v>2843</v>
      </c>
      <c r="D719" s="3" t="s">
        <v>2843</v>
      </c>
      <c r="E719" s="3" t="s">
        <v>2844</v>
      </c>
      <c r="F719" s="3" t="s">
        <v>120</v>
      </c>
      <c r="G719" s="3">
        <v>18</v>
      </c>
      <c r="H719" s="3">
        <v>0</v>
      </c>
      <c r="I719" s="3">
        <v>1</v>
      </c>
      <c r="J719" s="3">
        <v>17</v>
      </c>
      <c r="K719" s="3">
        <v>0</v>
      </c>
      <c r="L719" s="3">
        <v>0</v>
      </c>
      <c r="M719" s="3">
        <v>0</v>
      </c>
      <c r="N719" s="3" t="s">
        <v>5218</v>
      </c>
      <c r="O719" s="3">
        <v>7</v>
      </c>
      <c r="P719" s="3">
        <v>12.99</v>
      </c>
      <c r="Q719" s="3">
        <v>0</v>
      </c>
      <c r="R719" s="3">
        <v>0</v>
      </c>
      <c r="S719" s="3">
        <v>0</v>
      </c>
      <c r="T719" s="3">
        <v>1</v>
      </c>
      <c r="U719" s="3">
        <v>2</v>
      </c>
      <c r="V719" s="3">
        <v>3</v>
      </c>
      <c r="W719" s="3"/>
      <c r="X719" s="3">
        <v>23.98</v>
      </c>
      <c r="Y719" s="3">
        <v>23.98</v>
      </c>
      <c r="Z719" s="3">
        <v>23.98</v>
      </c>
      <c r="AA719" s="3">
        <v>0</v>
      </c>
      <c r="AB719" s="3" t="s">
        <v>5228</v>
      </c>
      <c r="AC719" s="3">
        <v>7</v>
      </c>
      <c r="AD719" s="3">
        <v>21.37</v>
      </c>
      <c r="AE719" s="3">
        <v>105</v>
      </c>
      <c r="AF719" s="3">
        <v>0</v>
      </c>
      <c r="AG719" s="3">
        <v>13.911734</v>
      </c>
      <c r="AH719" s="3">
        <v>0.162162162162162</v>
      </c>
      <c r="AI719" s="3" t="s">
        <v>5254</v>
      </c>
      <c r="AJ719" s="3" t="s">
        <v>5222</v>
      </c>
    </row>
    <row r="720" spans="1:36">
      <c r="A720" s="5">
        <v>43288</v>
      </c>
      <c r="B720" s="3" t="s">
        <v>4130</v>
      </c>
      <c r="C720" s="3" t="s">
        <v>4131</v>
      </c>
      <c r="D720" s="3" t="s">
        <v>4131</v>
      </c>
      <c r="E720" s="3" t="s">
        <v>4132</v>
      </c>
      <c r="F720" s="3" t="s">
        <v>120</v>
      </c>
      <c r="G720" s="3">
        <v>8</v>
      </c>
      <c r="H720" s="3">
        <v>0</v>
      </c>
      <c r="I720" s="3">
        <v>8</v>
      </c>
      <c r="J720" s="3">
        <v>0</v>
      </c>
      <c r="K720" s="3">
        <v>0</v>
      </c>
      <c r="L720" s="3">
        <v>0</v>
      </c>
      <c r="M720" s="3">
        <v>0</v>
      </c>
      <c r="N720" s="3" t="s">
        <v>5218</v>
      </c>
      <c r="O720" s="3">
        <v>0</v>
      </c>
      <c r="P720" s="3">
        <v>0</v>
      </c>
      <c r="Q720" s="3">
        <v>0</v>
      </c>
      <c r="R720" s="3">
        <v>0</v>
      </c>
      <c r="S720" s="3">
        <v>0</v>
      </c>
      <c r="T720" s="3">
        <v>0</v>
      </c>
      <c r="U720" s="3">
        <v>1</v>
      </c>
      <c r="V720" s="3">
        <v>2</v>
      </c>
      <c r="W720" s="3" t="s">
        <v>5227</v>
      </c>
      <c r="X720" s="3">
        <v>22.98</v>
      </c>
      <c r="Y720" s="3">
        <v>22.98</v>
      </c>
      <c r="Z720" s="3">
        <v>22.98</v>
      </c>
      <c r="AA720" s="3">
        <v>0</v>
      </c>
      <c r="AB720" s="3" t="s">
        <v>5228</v>
      </c>
      <c r="AC720" s="3">
        <v>1</v>
      </c>
      <c r="AD720" s="3">
        <v>21.21</v>
      </c>
      <c r="AE720" s="3">
        <v>168</v>
      </c>
      <c r="AF720" s="3">
        <v>0</v>
      </c>
      <c r="AG720" s="3">
        <v>164.214916</v>
      </c>
      <c r="AH720" s="3">
        <v>0.32</v>
      </c>
      <c r="AI720" s="3" t="s">
        <v>5226</v>
      </c>
      <c r="AJ720" s="3" t="s">
        <v>5222</v>
      </c>
    </row>
    <row r="721" spans="1:36">
      <c r="A721" s="5">
        <v>43288</v>
      </c>
      <c r="B721" s="3" t="s">
        <v>1950</v>
      </c>
      <c r="C721" s="3" t="s">
        <v>112</v>
      </c>
      <c r="D721" s="3" t="s">
        <v>112</v>
      </c>
      <c r="E721" s="3" t="s">
        <v>1951</v>
      </c>
      <c r="F721" s="3" t="s">
        <v>120</v>
      </c>
      <c r="G721" s="3">
        <v>37</v>
      </c>
      <c r="H721" s="3">
        <v>0</v>
      </c>
      <c r="I721" s="3">
        <v>1</v>
      </c>
      <c r="J721" s="3">
        <v>3</v>
      </c>
      <c r="K721" s="3">
        <v>33</v>
      </c>
      <c r="L721" s="3">
        <v>0</v>
      </c>
      <c r="M721" s="3">
        <v>0</v>
      </c>
      <c r="N721" s="3" t="s">
        <v>5218</v>
      </c>
      <c r="O721" s="3">
        <v>33</v>
      </c>
      <c r="P721" s="3">
        <v>42.54</v>
      </c>
      <c r="Q721" s="3">
        <v>0</v>
      </c>
      <c r="R721" s="3">
        <v>0</v>
      </c>
      <c r="S721" s="3">
        <v>0</v>
      </c>
      <c r="T721" s="3">
        <v>2</v>
      </c>
      <c r="U721" s="3">
        <v>6</v>
      </c>
      <c r="V721" s="3">
        <v>10</v>
      </c>
      <c r="W721" s="3" t="s">
        <v>5227</v>
      </c>
      <c r="X721" s="3">
        <v>39.98</v>
      </c>
      <c r="Y721" s="3">
        <v>18.98</v>
      </c>
      <c r="Z721" s="3">
        <v>18.98</v>
      </c>
      <c r="AA721" s="3">
        <v>0</v>
      </c>
      <c r="AB721" s="3" t="s">
        <v>5228</v>
      </c>
      <c r="AC721" s="3">
        <v>31</v>
      </c>
      <c r="AD721" s="3">
        <v>18.42</v>
      </c>
      <c r="AE721" s="3">
        <v>35</v>
      </c>
      <c r="AF721" s="3">
        <v>0</v>
      </c>
      <c r="AG721" s="3">
        <v>7.596119</v>
      </c>
      <c r="AH721" s="3">
        <v>0.236686390532544</v>
      </c>
      <c r="AI721" s="3" t="s">
        <v>5462</v>
      </c>
      <c r="AJ721" s="3" t="s">
        <v>5222</v>
      </c>
    </row>
    <row r="722" spans="1:36">
      <c r="A722" s="5">
        <v>43288</v>
      </c>
      <c r="B722" s="3" t="s">
        <v>4515</v>
      </c>
      <c r="C722" s="3" t="s">
        <v>3787</v>
      </c>
      <c r="D722" s="3" t="s">
        <v>3787</v>
      </c>
      <c r="E722" s="3" t="s">
        <v>3788</v>
      </c>
      <c r="F722" s="3" t="s">
        <v>120</v>
      </c>
      <c r="G722" s="3">
        <v>1</v>
      </c>
      <c r="H722" s="3">
        <v>0</v>
      </c>
      <c r="I722" s="3">
        <v>0</v>
      </c>
      <c r="J722" s="3">
        <v>0</v>
      </c>
      <c r="K722" s="3">
        <v>1</v>
      </c>
      <c r="L722" s="3">
        <v>0</v>
      </c>
      <c r="M722" s="3">
        <v>0</v>
      </c>
      <c r="N722" s="3" t="s">
        <v>5218</v>
      </c>
      <c r="O722" s="3">
        <v>1</v>
      </c>
      <c r="P722" s="3">
        <v>0.99</v>
      </c>
      <c r="Q722" s="3">
        <v>0</v>
      </c>
      <c r="R722" s="3">
        <v>0</v>
      </c>
      <c r="S722" s="3">
        <v>0</v>
      </c>
      <c r="T722" s="3">
        <v>0</v>
      </c>
      <c r="U722" s="3">
        <v>0</v>
      </c>
      <c r="V722" s="3">
        <v>0</v>
      </c>
      <c r="W722" s="3" t="s">
        <v>5227</v>
      </c>
      <c r="X722" s="3">
        <v>23.98</v>
      </c>
      <c r="Y722" s="3">
        <v>23.98</v>
      </c>
      <c r="Z722" s="3">
        <v>23.98</v>
      </c>
      <c r="AA722" s="3">
        <v>0</v>
      </c>
      <c r="AB722" s="3" t="s">
        <v>5228</v>
      </c>
      <c r="AC722" s="3">
        <v>0</v>
      </c>
      <c r="AD722" s="3">
        <v>22.54</v>
      </c>
      <c r="AE722" s="3">
        <v>14</v>
      </c>
      <c r="AF722" s="3">
        <v>0</v>
      </c>
      <c r="AG722" s="3">
        <v>22.368215</v>
      </c>
      <c r="AH722" s="3">
        <v>0</v>
      </c>
      <c r="AI722" s="3" t="s">
        <v>5263</v>
      </c>
      <c r="AJ722" s="3" t="s">
        <v>5222</v>
      </c>
    </row>
    <row r="723" spans="1:36">
      <c r="A723" s="5">
        <v>43288</v>
      </c>
      <c r="B723" s="3" t="s">
        <v>2259</v>
      </c>
      <c r="C723" s="3" t="s">
        <v>2260</v>
      </c>
      <c r="D723" s="3" t="s">
        <v>2260</v>
      </c>
      <c r="E723" s="3" t="s">
        <v>2261</v>
      </c>
      <c r="F723" s="3" t="s">
        <v>120</v>
      </c>
      <c r="G723" s="3">
        <v>38</v>
      </c>
      <c r="H723" s="3">
        <v>0</v>
      </c>
      <c r="I723" s="3">
        <v>21</v>
      </c>
      <c r="J723" s="3">
        <v>17</v>
      </c>
      <c r="K723" s="3">
        <v>0</v>
      </c>
      <c r="L723" s="3">
        <v>0</v>
      </c>
      <c r="M723" s="3">
        <v>0</v>
      </c>
      <c r="N723" s="3" t="s">
        <v>5218</v>
      </c>
      <c r="O723" s="3">
        <v>14</v>
      </c>
      <c r="P723" s="3">
        <v>15.9</v>
      </c>
      <c r="Q723" s="3">
        <v>0</v>
      </c>
      <c r="R723" s="3">
        <v>0</v>
      </c>
      <c r="S723" s="3">
        <v>0</v>
      </c>
      <c r="T723" s="3">
        <v>2</v>
      </c>
      <c r="U723" s="3">
        <v>5</v>
      </c>
      <c r="V723" s="3">
        <v>11</v>
      </c>
      <c r="W723" s="3"/>
      <c r="X723" s="3">
        <v>39.98</v>
      </c>
      <c r="Y723" s="3">
        <v>22.98</v>
      </c>
      <c r="Z723" s="3">
        <v>18.98</v>
      </c>
      <c r="AA723" s="3">
        <v>0</v>
      </c>
      <c r="AB723" s="3" t="s">
        <v>5228</v>
      </c>
      <c r="AC723" s="3">
        <v>34</v>
      </c>
      <c r="AD723" s="3">
        <v>20.45</v>
      </c>
      <c r="AE723" s="3">
        <v>35</v>
      </c>
      <c r="AF723" s="3">
        <v>0</v>
      </c>
      <c r="AG723" s="3">
        <v>3.45668</v>
      </c>
      <c r="AH723" s="3">
        <v>0.285714285714285</v>
      </c>
      <c r="AI723" s="3" t="s">
        <v>5313</v>
      </c>
      <c r="AJ723" s="3" t="s">
        <v>5222</v>
      </c>
    </row>
    <row r="724" spans="1:36">
      <c r="A724" s="5">
        <v>43288</v>
      </c>
      <c r="B724" s="3" t="s">
        <v>2019</v>
      </c>
      <c r="C724" s="3" t="s">
        <v>2020</v>
      </c>
      <c r="D724" s="3" t="s">
        <v>2020</v>
      </c>
      <c r="E724" s="3" t="s">
        <v>2021</v>
      </c>
      <c r="F724" s="3" t="s">
        <v>120</v>
      </c>
      <c r="G724" s="3">
        <v>13</v>
      </c>
      <c r="H724" s="3">
        <v>0</v>
      </c>
      <c r="I724" s="3">
        <v>6</v>
      </c>
      <c r="J724" s="3">
        <v>5</v>
      </c>
      <c r="K724" s="3">
        <v>2</v>
      </c>
      <c r="L724" s="3">
        <v>0</v>
      </c>
      <c r="M724" s="3">
        <v>0</v>
      </c>
      <c r="N724" s="3" t="s">
        <v>5218</v>
      </c>
      <c r="O724" s="3">
        <v>5</v>
      </c>
      <c r="P724" s="3">
        <v>6.4</v>
      </c>
      <c r="Q724" s="3">
        <v>0</v>
      </c>
      <c r="R724" s="3">
        <v>0</v>
      </c>
      <c r="S724" s="3">
        <v>1</v>
      </c>
      <c r="T724" s="3">
        <v>5</v>
      </c>
      <c r="U724" s="3">
        <v>10</v>
      </c>
      <c r="V724" s="3">
        <v>20</v>
      </c>
      <c r="W724" s="3" t="s">
        <v>5227</v>
      </c>
      <c r="X724" s="3">
        <v>12.98</v>
      </c>
      <c r="Y724" s="3">
        <v>12.98</v>
      </c>
      <c r="Z724" s="3">
        <v>12.98</v>
      </c>
      <c r="AA724" s="3">
        <v>0</v>
      </c>
      <c r="AB724" s="3" t="s">
        <v>5223</v>
      </c>
      <c r="AC724" s="3">
        <v>14</v>
      </c>
      <c r="AD724" s="3">
        <v>12.98</v>
      </c>
      <c r="AE724" s="3">
        <v>0</v>
      </c>
      <c r="AF724" s="3">
        <v>0</v>
      </c>
      <c r="AG724" s="3">
        <v>0</v>
      </c>
      <c r="AH724" s="3">
        <v>0.987654320987654</v>
      </c>
      <c r="AI724" s="3" t="s">
        <v>5463</v>
      </c>
      <c r="AJ724" s="3" t="s">
        <v>5222</v>
      </c>
    </row>
    <row r="725" spans="1:36">
      <c r="A725" s="5">
        <v>43288</v>
      </c>
      <c r="B725" s="3" t="s">
        <v>2722</v>
      </c>
      <c r="C725" s="3" t="s">
        <v>383</v>
      </c>
      <c r="D725" s="3" t="s">
        <v>383</v>
      </c>
      <c r="E725" s="3" t="s">
        <v>5464</v>
      </c>
      <c r="F725" s="3" t="s">
        <v>120</v>
      </c>
      <c r="G725" s="3">
        <v>5</v>
      </c>
      <c r="H725" s="3">
        <v>0</v>
      </c>
      <c r="I725" s="3">
        <v>5</v>
      </c>
      <c r="J725" s="3">
        <v>0</v>
      </c>
      <c r="K725" s="3">
        <v>0</v>
      </c>
      <c r="L725" s="3">
        <v>0</v>
      </c>
      <c r="M725" s="3">
        <v>0</v>
      </c>
      <c r="N725" s="3" t="s">
        <v>5218</v>
      </c>
      <c r="O725" s="3">
        <v>0</v>
      </c>
      <c r="P725" s="3">
        <v>0</v>
      </c>
      <c r="Q725" s="3">
        <v>0</v>
      </c>
      <c r="R725" s="3">
        <v>0</v>
      </c>
      <c r="S725" s="3">
        <v>0</v>
      </c>
      <c r="T725" s="3">
        <v>23</v>
      </c>
      <c r="U725" s="3">
        <v>64</v>
      </c>
      <c r="V725" s="3">
        <v>66</v>
      </c>
      <c r="W725" s="3"/>
      <c r="X725" s="3"/>
      <c r="Y725" s="3"/>
      <c r="Z725" s="3">
        <v>-1</v>
      </c>
      <c r="AA725" s="3">
        <v>-1</v>
      </c>
      <c r="AB725" s="3" t="s">
        <v>5244</v>
      </c>
      <c r="AC725" s="3">
        <v>0</v>
      </c>
      <c r="AD725" s="3">
        <v>0</v>
      </c>
      <c r="AE725" s="3">
        <v>0</v>
      </c>
      <c r="AF725" s="3">
        <v>0</v>
      </c>
      <c r="AG725" s="3">
        <v>0</v>
      </c>
      <c r="AH725" s="3">
        <v>37.7142857142857</v>
      </c>
      <c r="AI725" s="3" t="s">
        <v>5465</v>
      </c>
      <c r="AJ725" s="3" t="s">
        <v>5242</v>
      </c>
    </row>
    <row r="726" spans="1:36">
      <c r="A726" s="5">
        <v>43288</v>
      </c>
      <c r="B726" s="3" t="s">
        <v>4578</v>
      </c>
      <c r="C726" s="3" t="s">
        <v>4035</v>
      </c>
      <c r="D726" s="3" t="s">
        <v>4035</v>
      </c>
      <c r="E726" s="3" t="s">
        <v>4036</v>
      </c>
      <c r="F726" s="3" t="s">
        <v>120</v>
      </c>
      <c r="G726" s="3">
        <v>11</v>
      </c>
      <c r="H726" s="3">
        <v>0</v>
      </c>
      <c r="I726" s="3">
        <v>11</v>
      </c>
      <c r="J726" s="3">
        <v>0</v>
      </c>
      <c r="K726" s="3">
        <v>0</v>
      </c>
      <c r="L726" s="3">
        <v>0</v>
      </c>
      <c r="M726" s="3">
        <v>0</v>
      </c>
      <c r="N726" s="3" t="s">
        <v>5218</v>
      </c>
      <c r="O726" s="3">
        <v>0</v>
      </c>
      <c r="P726" s="3">
        <v>0</v>
      </c>
      <c r="Q726" s="3">
        <v>0</v>
      </c>
      <c r="R726" s="3">
        <v>0</v>
      </c>
      <c r="S726" s="3">
        <v>1</v>
      </c>
      <c r="T726" s="3">
        <v>6</v>
      </c>
      <c r="U726" s="3">
        <v>12</v>
      </c>
      <c r="V726" s="3">
        <v>19</v>
      </c>
      <c r="W726" s="3"/>
      <c r="X726" s="3">
        <v>20.98</v>
      </c>
      <c r="Y726" s="3">
        <v>20.98</v>
      </c>
      <c r="Z726" s="3">
        <v>20.98</v>
      </c>
      <c r="AA726" s="3">
        <v>0</v>
      </c>
      <c r="AB726" s="3" t="s">
        <v>5223</v>
      </c>
      <c r="AC726" s="3">
        <v>11</v>
      </c>
      <c r="AD726" s="3">
        <v>20.98</v>
      </c>
      <c r="AE726" s="3">
        <v>0</v>
      </c>
      <c r="AF726" s="3">
        <v>0</v>
      </c>
      <c r="AG726" s="3">
        <v>0</v>
      </c>
      <c r="AH726" s="3">
        <v>3.61904761904761</v>
      </c>
      <c r="AI726" s="3" t="s">
        <v>5226</v>
      </c>
      <c r="AJ726" s="3" t="s">
        <v>5222</v>
      </c>
    </row>
    <row r="727" spans="1:36">
      <c r="A727" s="5">
        <v>43288</v>
      </c>
      <c r="B727" s="3" t="s">
        <v>2769</v>
      </c>
      <c r="C727" s="3" t="s">
        <v>446</v>
      </c>
      <c r="D727" s="3" t="s">
        <v>446</v>
      </c>
      <c r="E727" s="3" t="s">
        <v>447</v>
      </c>
      <c r="F727" s="3" t="s">
        <v>120</v>
      </c>
      <c r="G727" s="3">
        <v>1</v>
      </c>
      <c r="H727" s="3">
        <v>0</v>
      </c>
      <c r="I727" s="3">
        <v>1</v>
      </c>
      <c r="J727" s="3">
        <v>0</v>
      </c>
      <c r="K727" s="3">
        <v>0</v>
      </c>
      <c r="L727" s="3">
        <v>0</v>
      </c>
      <c r="M727" s="3">
        <v>0</v>
      </c>
      <c r="N727" s="3" t="s">
        <v>5218</v>
      </c>
      <c r="O727" s="3">
        <v>0</v>
      </c>
      <c r="P727" s="3">
        <v>0</v>
      </c>
      <c r="Q727" s="3">
        <v>0</v>
      </c>
      <c r="R727" s="3">
        <v>0</v>
      </c>
      <c r="S727" s="3">
        <v>1</v>
      </c>
      <c r="T727" s="3">
        <v>17</v>
      </c>
      <c r="U727" s="3">
        <v>22</v>
      </c>
      <c r="V727" s="3">
        <v>25</v>
      </c>
      <c r="W727" s="3"/>
      <c r="X727" s="3"/>
      <c r="Y727" s="3"/>
      <c r="Z727" s="3">
        <v>-1</v>
      </c>
      <c r="AA727" s="3">
        <v>-1</v>
      </c>
      <c r="AB727" s="3" t="s">
        <v>5244</v>
      </c>
      <c r="AC727" s="3">
        <v>0</v>
      </c>
      <c r="AD727" s="3">
        <v>0</v>
      </c>
      <c r="AE727" s="3">
        <v>0</v>
      </c>
      <c r="AF727" s="3">
        <v>0</v>
      </c>
      <c r="AG727" s="3">
        <v>0</v>
      </c>
      <c r="AH727" s="3">
        <v>33.3333333333333</v>
      </c>
      <c r="AI727" s="3" t="s">
        <v>5257</v>
      </c>
      <c r="AJ727" s="3" t="s">
        <v>5222</v>
      </c>
    </row>
    <row r="728" spans="1:36">
      <c r="A728" s="5">
        <v>43288</v>
      </c>
      <c r="B728" s="3" t="s">
        <v>1770</v>
      </c>
      <c r="C728" s="3" t="s">
        <v>1771</v>
      </c>
      <c r="D728" s="3" t="s">
        <v>1771</v>
      </c>
      <c r="E728" s="3" t="s">
        <v>1772</v>
      </c>
      <c r="F728" s="3" t="s">
        <v>120</v>
      </c>
      <c r="G728" s="3">
        <v>28</v>
      </c>
      <c r="H728" s="3">
        <v>0</v>
      </c>
      <c r="I728" s="3">
        <v>1</v>
      </c>
      <c r="J728" s="3">
        <v>27</v>
      </c>
      <c r="K728" s="3">
        <v>0</v>
      </c>
      <c r="L728" s="3">
        <v>0</v>
      </c>
      <c r="M728" s="3">
        <v>0</v>
      </c>
      <c r="N728" s="3" t="s">
        <v>5218</v>
      </c>
      <c r="O728" s="3">
        <v>15</v>
      </c>
      <c r="P728" s="3">
        <v>19.45</v>
      </c>
      <c r="Q728" s="3">
        <v>0</v>
      </c>
      <c r="R728" s="3">
        <v>0</v>
      </c>
      <c r="S728" s="3">
        <v>0</v>
      </c>
      <c r="T728" s="3">
        <v>0</v>
      </c>
      <c r="U728" s="3">
        <v>1</v>
      </c>
      <c r="V728" s="3">
        <v>6</v>
      </c>
      <c r="W728" s="3" t="s">
        <v>5227</v>
      </c>
      <c r="X728" s="3">
        <v>23.98</v>
      </c>
      <c r="Y728" s="3">
        <v>23.98</v>
      </c>
      <c r="Z728" s="3">
        <v>23.98</v>
      </c>
      <c r="AA728" s="3">
        <v>0</v>
      </c>
      <c r="AB728" s="3" t="s">
        <v>5228</v>
      </c>
      <c r="AC728" s="3">
        <v>2</v>
      </c>
      <c r="AD728" s="3">
        <v>20.56</v>
      </c>
      <c r="AE728" s="3">
        <v>217</v>
      </c>
      <c r="AF728" s="3">
        <v>0</v>
      </c>
      <c r="AG728" s="3">
        <v>627.154718</v>
      </c>
      <c r="AH728" s="3">
        <v>0.266666666666666</v>
      </c>
      <c r="AI728" s="3" t="s">
        <v>5229</v>
      </c>
      <c r="AJ728" s="3" t="s">
        <v>5222</v>
      </c>
    </row>
    <row r="729" spans="1:36">
      <c r="A729" s="5">
        <v>43288</v>
      </c>
      <c r="B729" s="3" t="s">
        <v>2277</v>
      </c>
      <c r="C729" s="3" t="s">
        <v>2278</v>
      </c>
      <c r="D729" s="3" t="s">
        <v>2278</v>
      </c>
      <c r="E729" s="3" t="s">
        <v>2279</v>
      </c>
      <c r="F729" s="3" t="s">
        <v>120</v>
      </c>
      <c r="G729" s="3">
        <v>26</v>
      </c>
      <c r="H729" s="3">
        <v>0</v>
      </c>
      <c r="I729" s="3">
        <v>26</v>
      </c>
      <c r="J729" s="3">
        <v>0</v>
      </c>
      <c r="K729" s="3">
        <v>0</v>
      </c>
      <c r="L729" s="3">
        <v>0</v>
      </c>
      <c r="M729" s="3">
        <v>0</v>
      </c>
      <c r="N729" s="3" t="s">
        <v>5218</v>
      </c>
      <c r="O729" s="3">
        <v>0</v>
      </c>
      <c r="P729" s="3">
        <v>0</v>
      </c>
      <c r="Q729" s="3">
        <v>0</v>
      </c>
      <c r="R729" s="3">
        <v>0</v>
      </c>
      <c r="S729" s="3">
        <v>0</v>
      </c>
      <c r="T729" s="3">
        <v>4</v>
      </c>
      <c r="U729" s="3">
        <v>6</v>
      </c>
      <c r="V729" s="3">
        <v>12</v>
      </c>
      <c r="W729" s="3"/>
      <c r="X729" s="3">
        <v>22.98</v>
      </c>
      <c r="Y729" s="3">
        <v>22.98</v>
      </c>
      <c r="Z729" s="3">
        <v>22.98</v>
      </c>
      <c r="AA729" s="3">
        <v>0</v>
      </c>
      <c r="AB729" s="3" t="s">
        <v>5228</v>
      </c>
      <c r="AC729" s="3">
        <v>1</v>
      </c>
      <c r="AD729" s="3">
        <v>16.15</v>
      </c>
      <c r="AE729" s="3">
        <v>350</v>
      </c>
      <c r="AF729" s="3">
        <v>0</v>
      </c>
      <c r="AG729" s="3">
        <v>294.110755</v>
      </c>
      <c r="AH729" s="3">
        <v>0.648648648648648</v>
      </c>
      <c r="AI729" s="3" t="s">
        <v>5466</v>
      </c>
      <c r="AJ729" s="3" t="s">
        <v>5222</v>
      </c>
    </row>
    <row r="730" spans="1:36">
      <c r="A730" s="5">
        <v>43288</v>
      </c>
      <c r="B730" s="3" t="s">
        <v>2546</v>
      </c>
      <c r="C730" s="3" t="s">
        <v>2547</v>
      </c>
      <c r="D730" s="3" t="s">
        <v>2547</v>
      </c>
      <c r="E730" s="3" t="s">
        <v>2548</v>
      </c>
      <c r="F730" s="3" t="s">
        <v>120</v>
      </c>
      <c r="G730" s="3">
        <v>8</v>
      </c>
      <c r="H730" s="3">
        <v>0</v>
      </c>
      <c r="I730" s="3">
        <v>1</v>
      </c>
      <c r="J730" s="3">
        <v>2</v>
      </c>
      <c r="K730" s="3">
        <v>5</v>
      </c>
      <c r="L730" s="3">
        <v>0</v>
      </c>
      <c r="M730" s="3">
        <v>0</v>
      </c>
      <c r="N730" s="3" t="s">
        <v>5218</v>
      </c>
      <c r="O730" s="3">
        <v>5</v>
      </c>
      <c r="P730" s="3">
        <v>11.16</v>
      </c>
      <c r="Q730" s="3">
        <v>0</v>
      </c>
      <c r="R730" s="3">
        <v>0</v>
      </c>
      <c r="S730" s="3">
        <v>0</v>
      </c>
      <c r="T730" s="3">
        <v>1</v>
      </c>
      <c r="U730" s="3">
        <v>2</v>
      </c>
      <c r="V730" s="3">
        <v>4</v>
      </c>
      <c r="W730" s="3"/>
      <c r="X730" s="3">
        <v>24.98</v>
      </c>
      <c r="Y730" s="3">
        <v>24.98</v>
      </c>
      <c r="Z730" s="3">
        <v>24.98</v>
      </c>
      <c r="AA730" s="3">
        <v>0</v>
      </c>
      <c r="AB730" s="3" t="s">
        <v>5228</v>
      </c>
      <c r="AC730" s="3">
        <v>0</v>
      </c>
      <c r="AD730" s="3">
        <v>15.53</v>
      </c>
      <c r="AE730" s="3">
        <v>42</v>
      </c>
      <c r="AF730" s="3">
        <v>0</v>
      </c>
      <c r="AG730" s="3">
        <v>182.463738</v>
      </c>
      <c r="AH730" s="3">
        <v>0.444444444444444</v>
      </c>
      <c r="AI730" s="3" t="s">
        <v>5230</v>
      </c>
      <c r="AJ730" s="3" t="s">
        <v>5222</v>
      </c>
    </row>
    <row r="731" spans="1:36">
      <c r="A731" s="5">
        <v>43288</v>
      </c>
      <c r="B731" s="3" t="s">
        <v>4270</v>
      </c>
      <c r="C731" s="3" t="s">
        <v>4271</v>
      </c>
      <c r="D731" s="3" t="s">
        <v>4271</v>
      </c>
      <c r="E731" s="3" t="s">
        <v>4272</v>
      </c>
      <c r="F731" s="3" t="s">
        <v>120</v>
      </c>
      <c r="G731" s="3">
        <v>22</v>
      </c>
      <c r="H731" s="3">
        <v>0</v>
      </c>
      <c r="I731" s="3">
        <v>22</v>
      </c>
      <c r="J731" s="3">
        <v>0</v>
      </c>
      <c r="K731" s="3">
        <v>0</v>
      </c>
      <c r="L731" s="3">
        <v>0</v>
      </c>
      <c r="M731" s="3">
        <v>0</v>
      </c>
      <c r="N731" s="3" t="s">
        <v>5218</v>
      </c>
      <c r="O731" s="3">
        <v>0</v>
      </c>
      <c r="P731" s="3">
        <v>0</v>
      </c>
      <c r="Q731" s="3">
        <v>0</v>
      </c>
      <c r="R731" s="3">
        <v>0</v>
      </c>
      <c r="S731" s="3">
        <v>2</v>
      </c>
      <c r="T731" s="3">
        <v>6</v>
      </c>
      <c r="U731" s="3">
        <v>11</v>
      </c>
      <c r="V731" s="3">
        <v>16</v>
      </c>
      <c r="W731" s="3"/>
      <c r="X731" s="3">
        <v>23.98</v>
      </c>
      <c r="Y731" s="3">
        <v>23.98</v>
      </c>
      <c r="Z731" s="3">
        <v>23.98</v>
      </c>
      <c r="AA731" s="3">
        <v>0</v>
      </c>
      <c r="AB731" s="3" t="s">
        <v>5223</v>
      </c>
      <c r="AC731" s="3">
        <v>24</v>
      </c>
      <c r="AD731" s="3">
        <v>23.98</v>
      </c>
      <c r="AE731" s="3">
        <v>0</v>
      </c>
      <c r="AF731" s="3">
        <v>0</v>
      </c>
      <c r="AG731" s="3">
        <v>0</v>
      </c>
      <c r="AH731" s="3">
        <v>1.42222222222222</v>
      </c>
      <c r="AI731" s="3" t="s">
        <v>5467</v>
      </c>
      <c r="AJ731" s="3" t="s">
        <v>5222</v>
      </c>
    </row>
    <row r="732" spans="1:36">
      <c r="A732" s="5">
        <v>43288</v>
      </c>
      <c r="B732" s="3" t="s">
        <v>2138</v>
      </c>
      <c r="C732" s="3" t="s">
        <v>2139</v>
      </c>
      <c r="D732" s="3" t="s">
        <v>2139</v>
      </c>
      <c r="E732" s="3" t="s">
        <v>2140</v>
      </c>
      <c r="F732" s="3" t="s">
        <v>120</v>
      </c>
      <c r="G732" s="3">
        <v>9</v>
      </c>
      <c r="H732" s="3">
        <v>0</v>
      </c>
      <c r="I732" s="3">
        <v>0</v>
      </c>
      <c r="J732" s="3">
        <v>1</v>
      </c>
      <c r="K732" s="3">
        <v>8</v>
      </c>
      <c r="L732" s="3">
        <v>0</v>
      </c>
      <c r="M732" s="3">
        <v>0</v>
      </c>
      <c r="N732" s="3" t="s">
        <v>5218</v>
      </c>
      <c r="O732" s="3">
        <v>8</v>
      </c>
      <c r="P732" s="3">
        <v>12.43</v>
      </c>
      <c r="Q732" s="3">
        <v>0</v>
      </c>
      <c r="R732" s="3">
        <v>0</v>
      </c>
      <c r="S732" s="3">
        <v>0</v>
      </c>
      <c r="T732" s="3">
        <v>0</v>
      </c>
      <c r="U732" s="3">
        <v>1</v>
      </c>
      <c r="V732" s="3">
        <v>2</v>
      </c>
      <c r="W732" s="3" t="s">
        <v>5227</v>
      </c>
      <c r="X732" s="3">
        <v>22.98</v>
      </c>
      <c r="Y732" s="3">
        <v>22.98</v>
      </c>
      <c r="Z732" s="3">
        <v>22</v>
      </c>
      <c r="AA732" s="3">
        <v>0</v>
      </c>
      <c r="AB732" s="3" t="s">
        <v>5228</v>
      </c>
      <c r="AC732" s="3">
        <v>0</v>
      </c>
      <c r="AD732" s="3">
        <v>18.71</v>
      </c>
      <c r="AE732" s="3">
        <v>308</v>
      </c>
      <c r="AF732" s="3">
        <v>0</v>
      </c>
      <c r="AG732" s="3">
        <v>213.359866</v>
      </c>
      <c r="AH732" s="3">
        <v>0.205128205128205</v>
      </c>
      <c r="AI732" s="3" t="s">
        <v>5260</v>
      </c>
      <c r="AJ732" s="3" t="s">
        <v>5222</v>
      </c>
    </row>
    <row r="733" spans="1:36">
      <c r="A733" s="5">
        <v>43288</v>
      </c>
      <c r="B733" s="3" t="s">
        <v>1685</v>
      </c>
      <c r="C733" s="3" t="s">
        <v>1686</v>
      </c>
      <c r="D733" s="3" t="s">
        <v>1686</v>
      </c>
      <c r="E733" s="3" t="s">
        <v>1687</v>
      </c>
      <c r="F733" s="3" t="s">
        <v>120</v>
      </c>
      <c r="G733" s="3">
        <v>2</v>
      </c>
      <c r="H733" s="3">
        <v>0</v>
      </c>
      <c r="I733" s="3">
        <v>0</v>
      </c>
      <c r="J733" s="3">
        <v>2</v>
      </c>
      <c r="K733" s="3">
        <v>0</v>
      </c>
      <c r="L733" s="3">
        <v>0</v>
      </c>
      <c r="M733" s="3">
        <v>0</v>
      </c>
      <c r="N733" s="3" t="s">
        <v>5218</v>
      </c>
      <c r="O733" s="3">
        <v>2</v>
      </c>
      <c r="P733" s="3">
        <v>1.14</v>
      </c>
      <c r="Q733" s="3">
        <v>0</v>
      </c>
      <c r="R733" s="3">
        <v>0</v>
      </c>
      <c r="S733" s="3">
        <v>0</v>
      </c>
      <c r="T733" s="3">
        <v>0</v>
      </c>
      <c r="U733" s="3">
        <v>0</v>
      </c>
      <c r="V733" s="3">
        <v>0</v>
      </c>
      <c r="W733" s="3"/>
      <c r="X733" s="3"/>
      <c r="Y733" s="3"/>
      <c r="Z733" s="3">
        <v>-1</v>
      </c>
      <c r="AA733" s="3">
        <v>-1</v>
      </c>
      <c r="AB733" s="3" t="s">
        <v>5244</v>
      </c>
      <c r="AC733" s="3">
        <v>0</v>
      </c>
      <c r="AD733" s="3">
        <v>0</v>
      </c>
      <c r="AE733" s="3">
        <v>0</v>
      </c>
      <c r="AF733" s="3">
        <v>0</v>
      </c>
      <c r="AG733" s="3">
        <v>0</v>
      </c>
      <c r="AH733" s="3">
        <v>0</v>
      </c>
      <c r="AI733" s="3" t="s">
        <v>5468</v>
      </c>
      <c r="AJ733" s="3" t="s">
        <v>5222</v>
      </c>
    </row>
    <row r="734" spans="1:36">
      <c r="A734" s="5">
        <v>43288</v>
      </c>
      <c r="B734" s="3" t="s">
        <v>1242</v>
      </c>
      <c r="C734" s="3" t="s">
        <v>1243</v>
      </c>
      <c r="D734" s="3" t="s">
        <v>527</v>
      </c>
      <c r="E734" s="3" t="s">
        <v>776</v>
      </c>
      <c r="F734" s="3" t="s">
        <v>120</v>
      </c>
      <c r="G734" s="3">
        <v>38</v>
      </c>
      <c r="H734" s="3">
        <v>0</v>
      </c>
      <c r="I734" s="3">
        <v>38</v>
      </c>
      <c r="J734" s="3">
        <v>0</v>
      </c>
      <c r="K734" s="3">
        <v>0</v>
      </c>
      <c r="L734" s="3">
        <v>0</v>
      </c>
      <c r="M734" s="3">
        <v>0</v>
      </c>
      <c r="N734" s="3" t="s">
        <v>5218</v>
      </c>
      <c r="O734" s="3">
        <v>0</v>
      </c>
      <c r="P734" s="3">
        <v>0</v>
      </c>
      <c r="Q734" s="3">
        <v>0</v>
      </c>
      <c r="R734" s="3">
        <v>0</v>
      </c>
      <c r="S734" s="3">
        <v>0</v>
      </c>
      <c r="T734" s="3">
        <v>0</v>
      </c>
      <c r="U734" s="3">
        <v>0</v>
      </c>
      <c r="V734" s="3">
        <v>0</v>
      </c>
      <c r="W734" s="3" t="s">
        <v>5227</v>
      </c>
      <c r="X734" s="3">
        <v>22.98</v>
      </c>
      <c r="Y734" s="3">
        <v>22.98</v>
      </c>
      <c r="Z734" s="3">
        <v>22.98</v>
      </c>
      <c r="AA734" s="3">
        <v>0</v>
      </c>
      <c r="AB734" s="3" t="s">
        <v>5223</v>
      </c>
      <c r="AC734" s="3">
        <v>38</v>
      </c>
      <c r="AD734" s="3">
        <v>22.98</v>
      </c>
      <c r="AE734" s="3">
        <v>0</v>
      </c>
      <c r="AF734" s="3">
        <v>0</v>
      </c>
      <c r="AG734" s="3">
        <v>0</v>
      </c>
      <c r="AH734" s="3">
        <v>0.491803278688524</v>
      </c>
      <c r="AI734" s="3" t="s">
        <v>5225</v>
      </c>
      <c r="AJ734" s="3" t="s">
        <v>5222</v>
      </c>
    </row>
    <row r="735" spans="1:36">
      <c r="A735" s="5">
        <v>43288</v>
      </c>
      <c r="B735" s="3" t="s">
        <v>2661</v>
      </c>
      <c r="C735" s="3" t="s">
        <v>2662</v>
      </c>
      <c r="D735" s="3" t="s">
        <v>2662</v>
      </c>
      <c r="E735" s="3" t="s">
        <v>2663</v>
      </c>
      <c r="F735" s="3" t="s">
        <v>120</v>
      </c>
      <c r="G735" s="3">
        <v>7</v>
      </c>
      <c r="H735" s="3">
        <v>0</v>
      </c>
      <c r="I735" s="3">
        <v>0</v>
      </c>
      <c r="J735" s="3">
        <v>2</v>
      </c>
      <c r="K735" s="3">
        <v>5</v>
      </c>
      <c r="L735" s="3">
        <v>0</v>
      </c>
      <c r="M735" s="3">
        <v>0</v>
      </c>
      <c r="N735" s="3" t="s">
        <v>5218</v>
      </c>
      <c r="O735" s="3">
        <v>5</v>
      </c>
      <c r="P735" s="3">
        <v>12.01</v>
      </c>
      <c r="Q735" s="3">
        <v>0</v>
      </c>
      <c r="R735" s="3">
        <v>0</v>
      </c>
      <c r="S735" s="3">
        <v>1</v>
      </c>
      <c r="T735" s="3">
        <v>3</v>
      </c>
      <c r="U735" s="3">
        <v>5</v>
      </c>
      <c r="V735" s="3">
        <v>7</v>
      </c>
      <c r="W735" s="3"/>
      <c r="X735" s="3">
        <v>26.98</v>
      </c>
      <c r="Y735" s="3">
        <v>26.98</v>
      </c>
      <c r="Z735" s="3">
        <v>26.98</v>
      </c>
      <c r="AA735" s="3">
        <v>0</v>
      </c>
      <c r="AB735" s="3" t="s">
        <v>5223</v>
      </c>
      <c r="AC735" s="3">
        <v>6</v>
      </c>
      <c r="AD735" s="3">
        <v>26.98</v>
      </c>
      <c r="AE735" s="3">
        <v>0</v>
      </c>
      <c r="AF735" s="3">
        <v>0</v>
      </c>
      <c r="AG735" s="3">
        <v>0</v>
      </c>
      <c r="AH735" s="3">
        <v>0.636363636363636</v>
      </c>
      <c r="AI735" s="3" t="s">
        <v>5237</v>
      </c>
      <c r="AJ735" s="3" t="s">
        <v>5222</v>
      </c>
    </row>
    <row r="736" spans="1:36">
      <c r="A736" s="5">
        <v>43288</v>
      </c>
      <c r="B736" s="3" t="s">
        <v>4133</v>
      </c>
      <c r="C736" s="3" t="s">
        <v>4134</v>
      </c>
      <c r="D736" s="3" t="s">
        <v>4134</v>
      </c>
      <c r="E736" s="3" t="s">
        <v>4135</v>
      </c>
      <c r="F736" s="3" t="s">
        <v>120</v>
      </c>
      <c r="G736" s="3">
        <v>17</v>
      </c>
      <c r="H736" s="3">
        <v>0</v>
      </c>
      <c r="I736" s="3">
        <v>11</v>
      </c>
      <c r="J736" s="3">
        <v>6</v>
      </c>
      <c r="K736" s="3">
        <v>0</v>
      </c>
      <c r="L736" s="3">
        <v>0</v>
      </c>
      <c r="M736" s="3">
        <v>0</v>
      </c>
      <c r="N736" s="3" t="s">
        <v>5218</v>
      </c>
      <c r="O736" s="3">
        <v>0</v>
      </c>
      <c r="P736" s="3">
        <v>0</v>
      </c>
      <c r="Q736" s="3">
        <v>0</v>
      </c>
      <c r="R736" s="3">
        <v>0</v>
      </c>
      <c r="S736" s="3">
        <v>0</v>
      </c>
      <c r="T736" s="3">
        <v>1</v>
      </c>
      <c r="U736" s="3">
        <v>2</v>
      </c>
      <c r="V736" s="3">
        <v>4</v>
      </c>
      <c r="W736" s="3"/>
      <c r="X736" s="3">
        <v>22.98</v>
      </c>
      <c r="Y736" s="3">
        <v>22.98</v>
      </c>
      <c r="Z736" s="3">
        <v>22.98</v>
      </c>
      <c r="AA736" s="3">
        <v>0</v>
      </c>
      <c r="AB736" s="3" t="s">
        <v>5223</v>
      </c>
      <c r="AC736" s="3">
        <v>17</v>
      </c>
      <c r="AD736" s="3">
        <v>22.98</v>
      </c>
      <c r="AE736" s="3">
        <v>0</v>
      </c>
      <c r="AF736" s="3">
        <v>0</v>
      </c>
      <c r="AG736" s="3">
        <v>0</v>
      </c>
      <c r="AH736" s="3">
        <v>0.347826086956521</v>
      </c>
      <c r="AI736" s="3" t="s">
        <v>5226</v>
      </c>
      <c r="AJ736" s="3" t="s">
        <v>5222</v>
      </c>
    </row>
    <row r="737" spans="1:36">
      <c r="A737" s="5">
        <v>43288</v>
      </c>
      <c r="B737" s="3" t="s">
        <v>1896</v>
      </c>
      <c r="C737" s="3" t="s">
        <v>1897</v>
      </c>
      <c r="D737" s="3" t="s">
        <v>1897</v>
      </c>
      <c r="E737" s="3" t="s">
        <v>1898</v>
      </c>
      <c r="F737" s="3" t="s">
        <v>120</v>
      </c>
      <c r="G737" s="3">
        <v>4</v>
      </c>
      <c r="H737" s="3">
        <v>0</v>
      </c>
      <c r="I737" s="3">
        <v>4</v>
      </c>
      <c r="J737" s="3">
        <v>0</v>
      </c>
      <c r="K737" s="3">
        <v>0</v>
      </c>
      <c r="L737" s="3">
        <v>0</v>
      </c>
      <c r="M737" s="3">
        <v>0</v>
      </c>
      <c r="N737" s="3" t="s">
        <v>5218</v>
      </c>
      <c r="O737" s="3">
        <v>0</v>
      </c>
      <c r="P737" s="3">
        <v>0</v>
      </c>
      <c r="Q737" s="3">
        <v>0</v>
      </c>
      <c r="R737" s="3">
        <v>0</v>
      </c>
      <c r="S737" s="3">
        <v>0</v>
      </c>
      <c r="T737" s="3">
        <v>8</v>
      </c>
      <c r="U737" s="3">
        <v>15</v>
      </c>
      <c r="V737" s="3">
        <v>25</v>
      </c>
      <c r="W737" s="3"/>
      <c r="X737" s="3">
        <v>19.98</v>
      </c>
      <c r="Y737" s="3">
        <v>19.98</v>
      </c>
      <c r="Z737" s="3">
        <v>19.98</v>
      </c>
      <c r="AA737" s="3">
        <v>0</v>
      </c>
      <c r="AB737" s="3" t="s">
        <v>5223</v>
      </c>
      <c r="AC737" s="3">
        <v>4</v>
      </c>
      <c r="AD737" s="3">
        <v>19.98</v>
      </c>
      <c r="AE737" s="3">
        <v>0</v>
      </c>
      <c r="AF737" s="3">
        <v>0</v>
      </c>
      <c r="AG737" s="3">
        <v>0</v>
      </c>
      <c r="AH737" s="3">
        <v>2.32558139534883</v>
      </c>
      <c r="AI737" s="3" t="s">
        <v>5236</v>
      </c>
      <c r="AJ737" s="3" t="s">
        <v>5222</v>
      </c>
    </row>
    <row r="738" spans="1:36">
      <c r="A738" s="5">
        <v>43288</v>
      </c>
      <c r="B738" s="3" t="s">
        <v>4252</v>
      </c>
      <c r="C738" s="3" t="s">
        <v>4253</v>
      </c>
      <c r="D738" s="3" t="s">
        <v>4253</v>
      </c>
      <c r="E738" s="3" t="s">
        <v>4254</v>
      </c>
      <c r="F738" s="3" t="s">
        <v>120</v>
      </c>
      <c r="G738" s="3">
        <v>9</v>
      </c>
      <c r="H738" s="3">
        <v>0</v>
      </c>
      <c r="I738" s="3">
        <v>9</v>
      </c>
      <c r="J738" s="3">
        <v>0</v>
      </c>
      <c r="K738" s="3">
        <v>0</v>
      </c>
      <c r="L738" s="3">
        <v>0</v>
      </c>
      <c r="M738" s="3">
        <v>0</v>
      </c>
      <c r="N738" s="3" t="s">
        <v>5218</v>
      </c>
      <c r="O738" s="3">
        <v>0</v>
      </c>
      <c r="P738" s="3">
        <v>0</v>
      </c>
      <c r="Q738" s="3">
        <v>0</v>
      </c>
      <c r="R738" s="3">
        <v>0</v>
      </c>
      <c r="S738" s="3">
        <v>1</v>
      </c>
      <c r="T738" s="3">
        <v>2</v>
      </c>
      <c r="U738" s="3">
        <v>2</v>
      </c>
      <c r="V738" s="3">
        <v>2</v>
      </c>
      <c r="W738" s="3"/>
      <c r="X738" s="3">
        <v>23.98</v>
      </c>
      <c r="Y738" s="3">
        <v>23.98</v>
      </c>
      <c r="Z738" s="3">
        <v>23.98</v>
      </c>
      <c r="AA738" s="3">
        <v>0</v>
      </c>
      <c r="AB738" s="3" t="s">
        <v>5223</v>
      </c>
      <c r="AC738" s="3">
        <v>9</v>
      </c>
      <c r="AD738" s="3">
        <v>23.98</v>
      </c>
      <c r="AE738" s="3">
        <v>0</v>
      </c>
      <c r="AF738" s="3">
        <v>0</v>
      </c>
      <c r="AG738" s="3">
        <v>0</v>
      </c>
      <c r="AH738" s="3">
        <v>0.25</v>
      </c>
      <c r="AI738" s="3" t="s">
        <v>5469</v>
      </c>
      <c r="AJ738" s="3" t="s">
        <v>5222</v>
      </c>
    </row>
    <row r="739" spans="1:36">
      <c r="A739" s="5">
        <v>43288</v>
      </c>
      <c r="B739" s="3" t="s">
        <v>2973</v>
      </c>
      <c r="C739" s="3" t="s">
        <v>2974</v>
      </c>
      <c r="D739" s="3" t="s">
        <v>2974</v>
      </c>
      <c r="E739" s="3" t="s">
        <v>2975</v>
      </c>
      <c r="F739" s="3" t="s">
        <v>120</v>
      </c>
      <c r="G739" s="3">
        <v>18</v>
      </c>
      <c r="H739" s="3">
        <v>0</v>
      </c>
      <c r="I739" s="3">
        <v>13</v>
      </c>
      <c r="J739" s="3">
        <v>5</v>
      </c>
      <c r="K739" s="3">
        <v>0</v>
      </c>
      <c r="L739" s="3">
        <v>0</v>
      </c>
      <c r="M739" s="3">
        <v>0</v>
      </c>
      <c r="N739" s="3" t="s">
        <v>5218</v>
      </c>
      <c r="O739" s="3">
        <v>0</v>
      </c>
      <c r="P739" s="3">
        <v>0</v>
      </c>
      <c r="Q739" s="3">
        <v>0</v>
      </c>
      <c r="R739" s="3">
        <v>0</v>
      </c>
      <c r="S739" s="3">
        <v>0</v>
      </c>
      <c r="T739" s="3">
        <v>8</v>
      </c>
      <c r="U739" s="3">
        <v>23</v>
      </c>
      <c r="V739" s="3">
        <v>35</v>
      </c>
      <c r="W739" s="3"/>
      <c r="X739" s="3">
        <v>23.98</v>
      </c>
      <c r="Y739" s="3">
        <v>23.98</v>
      </c>
      <c r="Z739" s="3">
        <v>23.98</v>
      </c>
      <c r="AA739" s="3">
        <v>0</v>
      </c>
      <c r="AB739" s="3" t="s">
        <v>5223</v>
      </c>
      <c r="AC739" s="3">
        <v>20</v>
      </c>
      <c r="AD739" s="3">
        <v>23.98</v>
      </c>
      <c r="AE739" s="3">
        <v>0</v>
      </c>
      <c r="AF739" s="3">
        <v>0</v>
      </c>
      <c r="AG739" s="3">
        <v>0</v>
      </c>
      <c r="AH739" s="3">
        <v>1.11111111111111</v>
      </c>
      <c r="AI739" s="3" t="s">
        <v>5470</v>
      </c>
      <c r="AJ739" s="3" t="s">
        <v>5222</v>
      </c>
    </row>
    <row r="740" spans="1:36">
      <c r="A740" s="5">
        <v>43288</v>
      </c>
      <c r="B740" s="3" t="s">
        <v>4511</v>
      </c>
      <c r="C740" s="3" t="s">
        <v>3771</v>
      </c>
      <c r="D740" s="3" t="s">
        <v>3771</v>
      </c>
      <c r="E740" s="3" t="s">
        <v>3772</v>
      </c>
      <c r="F740" s="3" t="s">
        <v>120</v>
      </c>
      <c r="G740" s="3">
        <v>8</v>
      </c>
      <c r="H740" s="3">
        <v>0</v>
      </c>
      <c r="I740" s="3">
        <v>0</v>
      </c>
      <c r="J740" s="3">
        <v>0</v>
      </c>
      <c r="K740" s="3">
        <v>8</v>
      </c>
      <c r="L740" s="3">
        <v>0</v>
      </c>
      <c r="M740" s="3">
        <v>0</v>
      </c>
      <c r="N740" s="3" t="s">
        <v>5218</v>
      </c>
      <c r="O740" s="3">
        <v>8</v>
      </c>
      <c r="P740" s="3">
        <v>7.94</v>
      </c>
      <c r="Q740" s="3">
        <v>0</v>
      </c>
      <c r="R740" s="3">
        <v>0</v>
      </c>
      <c r="S740" s="3">
        <v>0</v>
      </c>
      <c r="T740" s="3">
        <v>0</v>
      </c>
      <c r="U740" s="3">
        <v>0</v>
      </c>
      <c r="V740" s="3">
        <v>0</v>
      </c>
      <c r="W740" s="3" t="s">
        <v>5227</v>
      </c>
      <c r="X740" s="3">
        <v>24.98</v>
      </c>
      <c r="Y740" s="3">
        <v>24.98</v>
      </c>
      <c r="Z740" s="3">
        <v>24.98</v>
      </c>
      <c r="AA740" s="3">
        <v>0</v>
      </c>
      <c r="AB740" s="3" t="s">
        <v>5228</v>
      </c>
      <c r="AC740" s="3">
        <v>0</v>
      </c>
      <c r="AD740" s="3">
        <v>21.8</v>
      </c>
      <c r="AE740" s="3">
        <v>217</v>
      </c>
      <c r="AF740" s="3">
        <v>0</v>
      </c>
      <c r="AG740" s="3">
        <v>164.438183</v>
      </c>
      <c r="AH740" s="3">
        <v>0</v>
      </c>
      <c r="AI740" s="3" t="s">
        <v>5263</v>
      </c>
      <c r="AJ740" s="3" t="s">
        <v>5222</v>
      </c>
    </row>
    <row r="741" spans="1:36">
      <c r="A741" s="5">
        <v>43288</v>
      </c>
      <c r="B741" s="3" t="s">
        <v>5151</v>
      </c>
      <c r="C741" s="3" t="s">
        <v>5152</v>
      </c>
      <c r="D741" s="3" t="s">
        <v>5152</v>
      </c>
      <c r="E741" s="3" t="s">
        <v>5153</v>
      </c>
      <c r="F741" s="3" t="s">
        <v>120</v>
      </c>
      <c r="G741" s="3">
        <v>3</v>
      </c>
      <c r="H741" s="3">
        <v>0</v>
      </c>
      <c r="I741" s="3">
        <v>0</v>
      </c>
      <c r="J741" s="3">
        <v>0</v>
      </c>
      <c r="K741" s="3">
        <v>3</v>
      </c>
      <c r="L741" s="3">
        <v>0</v>
      </c>
      <c r="M741" s="3">
        <v>0</v>
      </c>
      <c r="N741" s="3" t="s">
        <v>5218</v>
      </c>
      <c r="O741" s="3">
        <v>3</v>
      </c>
      <c r="P741" s="3">
        <v>7.98</v>
      </c>
      <c r="Q741" s="3">
        <v>0</v>
      </c>
      <c r="R741" s="3">
        <v>0</v>
      </c>
      <c r="S741" s="3">
        <v>0</v>
      </c>
      <c r="T741" s="3">
        <v>0</v>
      </c>
      <c r="U741" s="3">
        <v>0</v>
      </c>
      <c r="V741" s="3">
        <v>0</v>
      </c>
      <c r="W741" s="3" t="s">
        <v>5219</v>
      </c>
      <c r="X741" s="3">
        <v>29.98</v>
      </c>
      <c r="Y741" s="3">
        <v>29.98</v>
      </c>
      <c r="Z741" s="3">
        <v>29.98</v>
      </c>
      <c r="AA741" s="3">
        <v>0</v>
      </c>
      <c r="AB741" s="3" t="s">
        <v>5228</v>
      </c>
      <c r="AC741" s="3">
        <v>0</v>
      </c>
      <c r="AD741" s="3">
        <v>23.98</v>
      </c>
      <c r="AE741" s="3">
        <v>63</v>
      </c>
      <c r="AF741" s="3">
        <v>0</v>
      </c>
      <c r="AG741" s="3">
        <v>97.659281</v>
      </c>
      <c r="AH741" s="3">
        <v>0</v>
      </c>
      <c r="AI741" s="3" t="s">
        <v>5305</v>
      </c>
      <c r="AJ741" s="3" t="s">
        <v>5222</v>
      </c>
    </row>
    <row r="742" spans="1:36">
      <c r="A742" s="5">
        <v>43288</v>
      </c>
      <c r="B742" s="3" t="s">
        <v>4621</v>
      </c>
      <c r="C742" s="3" t="s">
        <v>4622</v>
      </c>
      <c r="D742" s="3" t="s">
        <v>4155</v>
      </c>
      <c r="E742" s="3" t="s">
        <v>4156</v>
      </c>
      <c r="F742" s="3" t="s">
        <v>120</v>
      </c>
      <c r="G742" s="3">
        <v>7</v>
      </c>
      <c r="H742" s="3">
        <v>0</v>
      </c>
      <c r="I742" s="3">
        <v>7</v>
      </c>
      <c r="J742" s="3">
        <v>0</v>
      </c>
      <c r="K742" s="3">
        <v>0</v>
      </c>
      <c r="L742" s="3">
        <v>0</v>
      </c>
      <c r="M742" s="3">
        <v>0</v>
      </c>
      <c r="N742" s="3" t="s">
        <v>5218</v>
      </c>
      <c r="O742" s="3">
        <v>0</v>
      </c>
      <c r="P742" s="3">
        <v>0</v>
      </c>
      <c r="Q742" s="3">
        <v>0</v>
      </c>
      <c r="R742" s="3">
        <v>0</v>
      </c>
      <c r="S742" s="3">
        <v>0</v>
      </c>
      <c r="T742" s="3">
        <v>0</v>
      </c>
      <c r="U742" s="3">
        <v>0</v>
      </c>
      <c r="V742" s="3">
        <v>0</v>
      </c>
      <c r="W742" s="3" t="s">
        <v>5227</v>
      </c>
      <c r="X742" s="3">
        <v>22.98</v>
      </c>
      <c r="Y742" s="3">
        <v>22.98</v>
      </c>
      <c r="Z742" s="3">
        <v>22.98</v>
      </c>
      <c r="AA742" s="3">
        <v>0</v>
      </c>
      <c r="AB742" s="3" t="s">
        <v>5223</v>
      </c>
      <c r="AC742" s="3">
        <v>7</v>
      </c>
      <c r="AD742" s="3">
        <v>22.98</v>
      </c>
      <c r="AE742" s="3">
        <v>0</v>
      </c>
      <c r="AF742" s="3">
        <v>0</v>
      </c>
      <c r="AG742" s="3">
        <v>0</v>
      </c>
      <c r="AH742" s="3">
        <v>1.81818181818181</v>
      </c>
      <c r="AI742" s="3" t="s">
        <v>5226</v>
      </c>
      <c r="AJ742" s="3" t="s">
        <v>5222</v>
      </c>
    </row>
    <row r="743" spans="1:36">
      <c r="A743" s="5">
        <v>43288</v>
      </c>
      <c r="B743" s="3" t="s">
        <v>2045</v>
      </c>
      <c r="C743" s="3" t="s">
        <v>2046</v>
      </c>
      <c r="D743" s="3" t="s">
        <v>2046</v>
      </c>
      <c r="E743" s="3" t="s">
        <v>5471</v>
      </c>
      <c r="F743" s="3" t="s">
        <v>120</v>
      </c>
      <c r="G743" s="3">
        <v>1</v>
      </c>
      <c r="H743" s="3">
        <v>0</v>
      </c>
      <c r="I743" s="3">
        <v>1</v>
      </c>
      <c r="J743" s="3">
        <v>0</v>
      </c>
      <c r="K743" s="3">
        <v>0</v>
      </c>
      <c r="L743" s="3">
        <v>0</v>
      </c>
      <c r="M743" s="3">
        <v>0</v>
      </c>
      <c r="N743" s="3" t="s">
        <v>5218</v>
      </c>
      <c r="O743" s="3">
        <v>0</v>
      </c>
      <c r="P743" s="3">
        <v>0</v>
      </c>
      <c r="Q743" s="3">
        <v>0</v>
      </c>
      <c r="R743" s="3">
        <v>0</v>
      </c>
      <c r="S743" s="3">
        <v>0</v>
      </c>
      <c r="T743" s="3">
        <v>0</v>
      </c>
      <c r="U743" s="3">
        <v>0</v>
      </c>
      <c r="V743" s="3">
        <v>8</v>
      </c>
      <c r="W743" s="3"/>
      <c r="X743" s="3"/>
      <c r="Y743" s="3"/>
      <c r="Z743" s="3">
        <v>-1</v>
      </c>
      <c r="AA743" s="3">
        <v>-1</v>
      </c>
      <c r="AB743" s="3" t="s">
        <v>5244</v>
      </c>
      <c r="AC743" s="3">
        <v>0</v>
      </c>
      <c r="AD743" s="3">
        <v>0</v>
      </c>
      <c r="AE743" s="3">
        <v>0</v>
      </c>
      <c r="AF743" s="3">
        <v>0</v>
      </c>
      <c r="AG743" s="3">
        <v>0</v>
      </c>
      <c r="AH743" s="3">
        <v>3.55555555555555</v>
      </c>
      <c r="AI743" s="3" t="s">
        <v>5472</v>
      </c>
      <c r="AJ743" s="3" t="s">
        <v>5222</v>
      </c>
    </row>
    <row r="744" spans="1:36">
      <c r="A744" s="5">
        <v>43288</v>
      </c>
      <c r="B744" s="3" t="s">
        <v>785</v>
      </c>
      <c r="C744" s="3" t="s">
        <v>537</v>
      </c>
      <c r="D744" s="3" t="s">
        <v>537</v>
      </c>
      <c r="E744" s="3" t="s">
        <v>786</v>
      </c>
      <c r="F744" s="3" t="s">
        <v>120</v>
      </c>
      <c r="G744" s="3">
        <v>7</v>
      </c>
      <c r="H744" s="3">
        <v>0</v>
      </c>
      <c r="I744" s="3">
        <v>7</v>
      </c>
      <c r="J744" s="3">
        <v>0</v>
      </c>
      <c r="K744" s="3">
        <v>0</v>
      </c>
      <c r="L744" s="3">
        <v>0</v>
      </c>
      <c r="M744" s="3">
        <v>0</v>
      </c>
      <c r="N744" s="3" t="s">
        <v>5218</v>
      </c>
      <c r="O744" s="3">
        <v>0</v>
      </c>
      <c r="P744" s="3">
        <v>0</v>
      </c>
      <c r="Q744" s="3">
        <v>0</v>
      </c>
      <c r="R744" s="3">
        <v>0</v>
      </c>
      <c r="S744" s="3">
        <v>0</v>
      </c>
      <c r="T744" s="3">
        <v>4</v>
      </c>
      <c r="U744" s="3">
        <v>8</v>
      </c>
      <c r="V744" s="3">
        <v>9</v>
      </c>
      <c r="W744" s="3"/>
      <c r="X744" s="3">
        <v>22.98</v>
      </c>
      <c r="Y744" s="3">
        <v>22.98</v>
      </c>
      <c r="Z744" s="3">
        <v>22.98</v>
      </c>
      <c r="AA744" s="3">
        <v>0</v>
      </c>
      <c r="AB744" s="3" t="s">
        <v>5223</v>
      </c>
      <c r="AC744" s="3">
        <v>7</v>
      </c>
      <c r="AD744" s="3">
        <v>22.98</v>
      </c>
      <c r="AE744" s="3">
        <v>0</v>
      </c>
      <c r="AF744" s="3">
        <v>0</v>
      </c>
      <c r="AG744" s="3">
        <v>0</v>
      </c>
      <c r="AH744" s="3">
        <v>0.535714285714285</v>
      </c>
      <c r="AI744" s="3" t="s">
        <v>5225</v>
      </c>
      <c r="AJ744" s="3" t="s">
        <v>5222</v>
      </c>
    </row>
    <row r="745" spans="1:36">
      <c r="A745" s="5">
        <v>43288</v>
      </c>
      <c r="B745" s="3" t="s">
        <v>5097</v>
      </c>
      <c r="C745" s="3" t="s">
        <v>4821</v>
      </c>
      <c r="D745" s="3" t="s">
        <v>4821</v>
      </c>
      <c r="E745" s="3" t="s">
        <v>4952</v>
      </c>
      <c r="F745" s="3" t="s">
        <v>120</v>
      </c>
      <c r="G745" s="3">
        <v>7</v>
      </c>
      <c r="H745" s="3">
        <v>0</v>
      </c>
      <c r="I745" s="3">
        <v>0</v>
      </c>
      <c r="J745" s="3">
        <v>7</v>
      </c>
      <c r="K745" s="3">
        <v>0</v>
      </c>
      <c r="L745" s="3">
        <v>0</v>
      </c>
      <c r="M745" s="3">
        <v>0</v>
      </c>
      <c r="N745" s="3" t="s">
        <v>5218</v>
      </c>
      <c r="O745" s="3">
        <v>6</v>
      </c>
      <c r="P745" s="3">
        <v>4.72</v>
      </c>
      <c r="Q745" s="3">
        <v>0</v>
      </c>
      <c r="R745" s="3">
        <v>0</v>
      </c>
      <c r="S745" s="3">
        <v>0</v>
      </c>
      <c r="T745" s="3">
        <v>2</v>
      </c>
      <c r="U745" s="3">
        <v>9</v>
      </c>
      <c r="V745" s="3">
        <v>10</v>
      </c>
      <c r="W745" s="3"/>
      <c r="X745" s="3">
        <v>22.98</v>
      </c>
      <c r="Y745" s="3">
        <v>22.98</v>
      </c>
      <c r="Z745" s="3">
        <v>22.98</v>
      </c>
      <c r="AA745" s="3">
        <v>0</v>
      </c>
      <c r="AB745" s="3" t="s">
        <v>5223</v>
      </c>
      <c r="AC745" s="3">
        <v>7</v>
      </c>
      <c r="AD745" s="3">
        <v>22.98</v>
      </c>
      <c r="AE745" s="3">
        <v>0</v>
      </c>
      <c r="AF745" s="3">
        <v>0</v>
      </c>
      <c r="AG745" s="3">
        <v>0</v>
      </c>
      <c r="AH745" s="3">
        <v>0.784313725490196</v>
      </c>
      <c r="AI745" s="3" t="s">
        <v>5261</v>
      </c>
      <c r="AJ745" s="3" t="s">
        <v>5222</v>
      </c>
    </row>
    <row r="746" spans="1:36">
      <c r="A746" s="5">
        <v>43288</v>
      </c>
      <c r="B746" s="3" t="s">
        <v>4514</v>
      </c>
      <c r="C746" s="3" t="s">
        <v>3783</v>
      </c>
      <c r="D746" s="3" t="s">
        <v>3783</v>
      </c>
      <c r="E746" s="3" t="s">
        <v>3784</v>
      </c>
      <c r="F746" s="3" t="s">
        <v>120</v>
      </c>
      <c r="G746" s="3">
        <v>1</v>
      </c>
      <c r="H746" s="3">
        <v>0</v>
      </c>
      <c r="I746" s="3">
        <v>0</v>
      </c>
      <c r="J746" s="3">
        <v>0</v>
      </c>
      <c r="K746" s="3">
        <v>1</v>
      </c>
      <c r="L746" s="3">
        <v>0</v>
      </c>
      <c r="M746" s="3">
        <v>0</v>
      </c>
      <c r="N746" s="3" t="s">
        <v>5218</v>
      </c>
      <c r="O746" s="3">
        <v>1</v>
      </c>
      <c r="P746" s="3">
        <v>0.99</v>
      </c>
      <c r="Q746" s="3">
        <v>0</v>
      </c>
      <c r="R746" s="3">
        <v>0</v>
      </c>
      <c r="S746" s="3">
        <v>0</v>
      </c>
      <c r="T746" s="3">
        <v>0</v>
      </c>
      <c r="U746" s="3">
        <v>0</v>
      </c>
      <c r="V746" s="3">
        <v>2</v>
      </c>
      <c r="W746" s="3" t="s">
        <v>5227</v>
      </c>
      <c r="X746" s="3">
        <v>23.98</v>
      </c>
      <c r="Y746" s="3">
        <v>23.98</v>
      </c>
      <c r="Z746" s="3">
        <v>23.98</v>
      </c>
      <c r="AA746" s="3">
        <v>0</v>
      </c>
      <c r="AB746" s="3" t="s">
        <v>5228</v>
      </c>
      <c r="AC746" s="3">
        <v>0</v>
      </c>
      <c r="AD746" s="3">
        <v>22.19</v>
      </c>
      <c r="AE746" s="3">
        <v>56</v>
      </c>
      <c r="AF746" s="3">
        <v>0</v>
      </c>
      <c r="AG746" s="3">
        <v>21.00166</v>
      </c>
      <c r="AH746" s="3">
        <v>1.33333333333333</v>
      </c>
      <c r="AI746" s="3" t="s">
        <v>5263</v>
      </c>
      <c r="AJ746" s="3" t="s">
        <v>5222</v>
      </c>
    </row>
    <row r="747" spans="1:36">
      <c r="A747" s="5">
        <v>43288</v>
      </c>
      <c r="B747" s="3" t="s">
        <v>2397</v>
      </c>
      <c r="C747" s="3" t="s">
        <v>2398</v>
      </c>
      <c r="D747" s="3" t="s">
        <v>2398</v>
      </c>
      <c r="E747" s="3" t="s">
        <v>2399</v>
      </c>
      <c r="F747" s="3" t="s">
        <v>120</v>
      </c>
      <c r="G747" s="3">
        <v>7</v>
      </c>
      <c r="H747" s="3">
        <v>0</v>
      </c>
      <c r="I747" s="3">
        <v>1</v>
      </c>
      <c r="J747" s="3">
        <v>6</v>
      </c>
      <c r="K747" s="3">
        <v>0</v>
      </c>
      <c r="L747" s="3">
        <v>0</v>
      </c>
      <c r="M747" s="3">
        <v>0</v>
      </c>
      <c r="N747" s="3" t="s">
        <v>5218</v>
      </c>
      <c r="O747" s="3">
        <v>5</v>
      </c>
      <c r="P747" s="3">
        <v>8.21</v>
      </c>
      <c r="Q747" s="3">
        <v>0</v>
      </c>
      <c r="R747" s="3">
        <v>0</v>
      </c>
      <c r="S747" s="3">
        <v>0</v>
      </c>
      <c r="T747" s="3">
        <v>2</v>
      </c>
      <c r="U747" s="3">
        <v>2</v>
      </c>
      <c r="V747" s="3">
        <v>4</v>
      </c>
      <c r="W747" s="3"/>
      <c r="X747" s="3">
        <v>22.98</v>
      </c>
      <c r="Y747" s="3">
        <v>22.98</v>
      </c>
      <c r="Z747" s="3">
        <v>22</v>
      </c>
      <c r="AA747" s="3">
        <v>0</v>
      </c>
      <c r="AB747" s="3" t="s">
        <v>5223</v>
      </c>
      <c r="AC747" s="3">
        <v>7</v>
      </c>
      <c r="AD747" s="3">
        <v>22.98</v>
      </c>
      <c r="AE747" s="3">
        <v>0</v>
      </c>
      <c r="AF747" s="3">
        <v>0</v>
      </c>
      <c r="AG747" s="3">
        <v>0</v>
      </c>
      <c r="AH747" s="3">
        <v>0.457142857142857</v>
      </c>
      <c r="AI747" s="3" t="s">
        <v>5240</v>
      </c>
      <c r="AJ747" s="3" t="s">
        <v>5222</v>
      </c>
    </row>
    <row r="748" spans="1:36">
      <c r="A748" s="5">
        <v>43288</v>
      </c>
      <c r="B748" s="3" t="s">
        <v>4525</v>
      </c>
      <c r="C748" s="3" t="s">
        <v>4526</v>
      </c>
      <c r="D748" s="3" t="s">
        <v>4526</v>
      </c>
      <c r="E748" s="3" t="s">
        <v>4527</v>
      </c>
      <c r="F748" s="3" t="s">
        <v>120</v>
      </c>
      <c r="G748" s="3">
        <v>2</v>
      </c>
      <c r="H748" s="3">
        <v>0</v>
      </c>
      <c r="I748" s="3">
        <v>2</v>
      </c>
      <c r="J748" s="3">
        <v>0</v>
      </c>
      <c r="K748" s="3">
        <v>0</v>
      </c>
      <c r="L748" s="3">
        <v>0</v>
      </c>
      <c r="M748" s="3">
        <v>0</v>
      </c>
      <c r="N748" s="3" t="s">
        <v>5218</v>
      </c>
      <c r="O748" s="3">
        <v>0</v>
      </c>
      <c r="P748" s="3">
        <v>0</v>
      </c>
      <c r="Q748" s="3">
        <v>0</v>
      </c>
      <c r="R748" s="3">
        <v>0</v>
      </c>
      <c r="S748" s="3">
        <v>0</v>
      </c>
      <c r="T748" s="3">
        <v>3</v>
      </c>
      <c r="U748" s="3">
        <v>9</v>
      </c>
      <c r="V748" s="3">
        <v>13</v>
      </c>
      <c r="W748" s="3" t="s">
        <v>5227</v>
      </c>
      <c r="X748" s="3">
        <v>22.98</v>
      </c>
      <c r="Y748" s="3">
        <v>22.98</v>
      </c>
      <c r="Z748" s="3">
        <v>22.98</v>
      </c>
      <c r="AA748" s="3">
        <v>0</v>
      </c>
      <c r="AB748" s="3" t="s">
        <v>5223</v>
      </c>
      <c r="AC748" s="3">
        <v>2</v>
      </c>
      <c r="AD748" s="3">
        <v>22.98</v>
      </c>
      <c r="AE748" s="3">
        <v>0</v>
      </c>
      <c r="AF748" s="3">
        <v>0</v>
      </c>
      <c r="AG748" s="3">
        <v>0</v>
      </c>
      <c r="AH748" s="3">
        <v>4.875</v>
      </c>
      <c r="AI748" s="3" t="s">
        <v>5226</v>
      </c>
      <c r="AJ748" s="3" t="s">
        <v>5222</v>
      </c>
    </row>
    <row r="749" spans="1:36">
      <c r="A749" s="5">
        <v>43288</v>
      </c>
      <c r="B749" s="3" t="s">
        <v>2962</v>
      </c>
      <c r="C749" s="3" t="s">
        <v>1428</v>
      </c>
      <c r="D749" s="3" t="s">
        <v>1428</v>
      </c>
      <c r="E749" s="3" t="s">
        <v>1429</v>
      </c>
      <c r="F749" s="3" t="s">
        <v>120</v>
      </c>
      <c r="G749" s="3">
        <v>2</v>
      </c>
      <c r="H749" s="3">
        <v>0</v>
      </c>
      <c r="I749" s="3">
        <v>2</v>
      </c>
      <c r="J749" s="3">
        <v>0</v>
      </c>
      <c r="K749" s="3">
        <v>0</v>
      </c>
      <c r="L749" s="3">
        <v>0</v>
      </c>
      <c r="M749" s="3">
        <v>0</v>
      </c>
      <c r="N749" s="3" t="s">
        <v>5218</v>
      </c>
      <c r="O749" s="3">
        <v>0</v>
      </c>
      <c r="P749" s="3">
        <v>0</v>
      </c>
      <c r="Q749" s="3">
        <v>0</v>
      </c>
      <c r="R749" s="3">
        <v>0</v>
      </c>
      <c r="S749" s="3">
        <v>6</v>
      </c>
      <c r="T749" s="3">
        <v>69</v>
      </c>
      <c r="U749" s="3">
        <v>131</v>
      </c>
      <c r="V749" s="3">
        <v>151</v>
      </c>
      <c r="W749" s="3"/>
      <c r="X749" s="3">
        <v>24.98</v>
      </c>
      <c r="Y749" s="3">
        <v>24.98</v>
      </c>
      <c r="Z749" s="3">
        <v>23.98</v>
      </c>
      <c r="AA749" s="3">
        <v>0</v>
      </c>
      <c r="AB749" s="3" t="s">
        <v>5223</v>
      </c>
      <c r="AC749" s="3">
        <v>0</v>
      </c>
      <c r="AD749" s="3">
        <v>0</v>
      </c>
      <c r="AE749" s="3">
        <v>0</v>
      </c>
      <c r="AF749" s="3">
        <v>0</v>
      </c>
      <c r="AG749" s="3">
        <v>0</v>
      </c>
      <c r="AH749" s="3">
        <v>9.19402985074626</v>
      </c>
      <c r="AI749" s="3" t="s">
        <v>5236</v>
      </c>
      <c r="AJ749" s="3" t="s">
        <v>5222</v>
      </c>
    </row>
    <row r="750" spans="1:36">
      <c r="A750" s="5">
        <v>43288</v>
      </c>
      <c r="B750" s="3" t="s">
        <v>1869</v>
      </c>
      <c r="C750" s="3" t="s">
        <v>1870</v>
      </c>
      <c r="D750" s="3" t="s">
        <v>1870</v>
      </c>
      <c r="E750" s="3" t="s">
        <v>1871</v>
      </c>
      <c r="F750" s="3" t="s">
        <v>120</v>
      </c>
      <c r="G750" s="3">
        <v>2</v>
      </c>
      <c r="H750" s="3">
        <v>0</v>
      </c>
      <c r="I750" s="3">
        <v>2</v>
      </c>
      <c r="J750" s="3">
        <v>0</v>
      </c>
      <c r="K750" s="3">
        <v>0</v>
      </c>
      <c r="L750" s="3">
        <v>0</v>
      </c>
      <c r="M750" s="3">
        <v>0</v>
      </c>
      <c r="N750" s="3" t="s">
        <v>5218</v>
      </c>
      <c r="O750" s="3">
        <v>0</v>
      </c>
      <c r="P750" s="3">
        <v>0</v>
      </c>
      <c r="Q750" s="3">
        <v>0</v>
      </c>
      <c r="R750" s="3">
        <v>0</v>
      </c>
      <c r="S750" s="3">
        <v>0</v>
      </c>
      <c r="T750" s="3">
        <v>0</v>
      </c>
      <c r="U750" s="3">
        <v>13</v>
      </c>
      <c r="V750" s="3">
        <v>30</v>
      </c>
      <c r="W750" s="3"/>
      <c r="X750" s="3"/>
      <c r="Y750" s="3"/>
      <c r="Z750" s="3">
        <v>-1</v>
      </c>
      <c r="AA750" s="3">
        <v>-1</v>
      </c>
      <c r="AB750" s="3" t="s">
        <v>5244</v>
      </c>
      <c r="AC750" s="3">
        <v>0</v>
      </c>
      <c r="AD750" s="3">
        <v>0</v>
      </c>
      <c r="AE750" s="3">
        <v>0</v>
      </c>
      <c r="AF750" s="3">
        <v>0</v>
      </c>
      <c r="AG750" s="3">
        <v>0</v>
      </c>
      <c r="AH750" s="3">
        <v>3.33333333333333</v>
      </c>
      <c r="AI750" s="3" t="s">
        <v>5251</v>
      </c>
      <c r="AJ750" s="3" t="s">
        <v>5222</v>
      </c>
    </row>
    <row r="751" spans="1:36">
      <c r="A751" s="5">
        <v>43288</v>
      </c>
      <c r="B751" s="3" t="s">
        <v>1875</v>
      </c>
      <c r="C751" s="3" t="s">
        <v>1876</v>
      </c>
      <c r="D751" s="3" t="s">
        <v>1876</v>
      </c>
      <c r="E751" s="3" t="s">
        <v>5473</v>
      </c>
      <c r="F751" s="3" t="s">
        <v>120</v>
      </c>
      <c r="G751" s="3">
        <v>1</v>
      </c>
      <c r="H751" s="3">
        <v>0</v>
      </c>
      <c r="I751" s="3">
        <v>1</v>
      </c>
      <c r="J751" s="3">
        <v>0</v>
      </c>
      <c r="K751" s="3">
        <v>0</v>
      </c>
      <c r="L751" s="3">
        <v>0</v>
      </c>
      <c r="M751" s="3">
        <v>0</v>
      </c>
      <c r="N751" s="3" t="s">
        <v>5218</v>
      </c>
      <c r="O751" s="3">
        <v>0</v>
      </c>
      <c r="P751" s="3">
        <v>0</v>
      </c>
      <c r="Q751" s="3">
        <v>0</v>
      </c>
      <c r="R751" s="3">
        <v>0</v>
      </c>
      <c r="S751" s="3">
        <v>0</v>
      </c>
      <c r="T751" s="3">
        <v>0</v>
      </c>
      <c r="U751" s="3">
        <v>0</v>
      </c>
      <c r="V751" s="3">
        <v>0</v>
      </c>
      <c r="W751" s="3"/>
      <c r="X751" s="3"/>
      <c r="Y751" s="3"/>
      <c r="Z751" s="3">
        <v>-1</v>
      </c>
      <c r="AA751" s="3">
        <v>-1</v>
      </c>
      <c r="AB751" s="3" t="s">
        <v>5244</v>
      </c>
      <c r="AC751" s="3">
        <v>0</v>
      </c>
      <c r="AD751" s="3">
        <v>0</v>
      </c>
      <c r="AE751" s="3">
        <v>0</v>
      </c>
      <c r="AF751" s="3">
        <v>0</v>
      </c>
      <c r="AG751" s="3">
        <v>0</v>
      </c>
      <c r="AH751" s="3">
        <v>0</v>
      </c>
      <c r="AI751" s="3" t="s">
        <v>5294</v>
      </c>
      <c r="AJ751" s="3" t="s">
        <v>5242</v>
      </c>
    </row>
    <row r="752" spans="1:36">
      <c r="A752" s="5">
        <v>43288</v>
      </c>
      <c r="B752" s="3" t="s">
        <v>1148</v>
      </c>
      <c r="C752" s="3" t="s">
        <v>1149</v>
      </c>
      <c r="D752" s="3" t="s">
        <v>1150</v>
      </c>
      <c r="E752" s="3" t="s">
        <v>1151</v>
      </c>
      <c r="F752" s="3" t="s">
        <v>120</v>
      </c>
      <c r="G752" s="3">
        <v>9</v>
      </c>
      <c r="H752" s="3">
        <v>0</v>
      </c>
      <c r="I752" s="3">
        <v>9</v>
      </c>
      <c r="J752" s="3">
        <v>0</v>
      </c>
      <c r="K752" s="3">
        <v>0</v>
      </c>
      <c r="L752" s="3">
        <v>0</v>
      </c>
      <c r="M752" s="3">
        <v>0</v>
      </c>
      <c r="N752" s="3" t="s">
        <v>5218</v>
      </c>
      <c r="O752" s="3">
        <v>0</v>
      </c>
      <c r="P752" s="3">
        <v>0</v>
      </c>
      <c r="Q752" s="3">
        <v>0</v>
      </c>
      <c r="R752" s="3">
        <v>0</v>
      </c>
      <c r="S752" s="3">
        <v>2</v>
      </c>
      <c r="T752" s="3">
        <v>2</v>
      </c>
      <c r="U752" s="3">
        <v>2</v>
      </c>
      <c r="V752" s="3">
        <v>2</v>
      </c>
      <c r="W752" s="3"/>
      <c r="X752" s="3">
        <v>22.98</v>
      </c>
      <c r="Y752" s="3">
        <v>22.98</v>
      </c>
      <c r="Z752" s="3">
        <v>22.98</v>
      </c>
      <c r="AA752" s="3">
        <v>0</v>
      </c>
      <c r="AB752" s="3" t="s">
        <v>5223</v>
      </c>
      <c r="AC752" s="3">
        <v>11</v>
      </c>
      <c r="AD752" s="3">
        <v>22.98</v>
      </c>
      <c r="AE752" s="3">
        <v>0</v>
      </c>
      <c r="AF752" s="3">
        <v>0</v>
      </c>
      <c r="AG752" s="3">
        <v>0</v>
      </c>
      <c r="AH752" s="3">
        <v>2.4</v>
      </c>
      <c r="AI752" s="3" t="s">
        <v>5474</v>
      </c>
      <c r="AJ752" s="3" t="s">
        <v>5222</v>
      </c>
    </row>
    <row r="753" spans="1:36">
      <c r="A753" s="5">
        <v>43288</v>
      </c>
      <c r="B753" s="3" t="s">
        <v>4744</v>
      </c>
      <c r="C753" s="3" t="s">
        <v>4745</v>
      </c>
      <c r="D753" s="3" t="s">
        <v>4523</v>
      </c>
      <c r="E753" s="3" t="s">
        <v>4524</v>
      </c>
      <c r="F753" s="3" t="s">
        <v>120</v>
      </c>
      <c r="G753" s="3">
        <v>8</v>
      </c>
      <c r="H753" s="3">
        <v>0</v>
      </c>
      <c r="I753" s="3">
        <v>8</v>
      </c>
      <c r="J753" s="3">
        <v>0</v>
      </c>
      <c r="K753" s="3">
        <v>0</v>
      </c>
      <c r="L753" s="3">
        <v>0</v>
      </c>
      <c r="M753" s="3">
        <v>0</v>
      </c>
      <c r="N753" s="3" t="s">
        <v>5218</v>
      </c>
      <c r="O753" s="3">
        <v>0</v>
      </c>
      <c r="P753" s="3">
        <v>0</v>
      </c>
      <c r="Q753" s="3">
        <v>0</v>
      </c>
      <c r="R753" s="3">
        <v>0</v>
      </c>
      <c r="S753" s="3">
        <v>0</v>
      </c>
      <c r="T753" s="3">
        <v>0</v>
      </c>
      <c r="U753" s="3">
        <v>0</v>
      </c>
      <c r="V753" s="3">
        <v>0</v>
      </c>
      <c r="W753" s="3" t="s">
        <v>5227</v>
      </c>
      <c r="X753" s="3">
        <v>23.98</v>
      </c>
      <c r="Y753" s="3">
        <v>23.98</v>
      </c>
      <c r="Z753" s="3">
        <v>23.98</v>
      </c>
      <c r="AA753" s="3">
        <v>0</v>
      </c>
      <c r="AB753" s="3" t="s">
        <v>5223</v>
      </c>
      <c r="AC753" s="3">
        <v>8</v>
      </c>
      <c r="AD753" s="3">
        <v>23.98</v>
      </c>
      <c r="AE753" s="3">
        <v>0</v>
      </c>
      <c r="AF753" s="3">
        <v>0</v>
      </c>
      <c r="AG753" s="3">
        <v>0</v>
      </c>
      <c r="AH753" s="3">
        <v>0.717391304347826</v>
      </c>
      <c r="AI753" s="3" t="s">
        <v>5352</v>
      </c>
      <c r="AJ753" s="3" t="s">
        <v>5222</v>
      </c>
    </row>
    <row r="754" spans="1:36">
      <c r="A754" s="5">
        <v>43288</v>
      </c>
      <c r="B754" s="3" t="s">
        <v>2838</v>
      </c>
      <c r="C754" s="3" t="s">
        <v>1738</v>
      </c>
      <c r="D754" s="3" t="s">
        <v>1738</v>
      </c>
      <c r="E754" s="3" t="s">
        <v>1739</v>
      </c>
      <c r="F754" s="3" t="s">
        <v>120</v>
      </c>
      <c r="G754" s="3">
        <v>19</v>
      </c>
      <c r="H754" s="3">
        <v>0</v>
      </c>
      <c r="I754" s="3">
        <v>1</v>
      </c>
      <c r="J754" s="3">
        <v>18</v>
      </c>
      <c r="K754" s="3">
        <v>0</v>
      </c>
      <c r="L754" s="3">
        <v>0</v>
      </c>
      <c r="M754" s="3">
        <v>0</v>
      </c>
      <c r="N754" s="3" t="s">
        <v>5218</v>
      </c>
      <c r="O754" s="3">
        <v>18</v>
      </c>
      <c r="P754" s="3">
        <v>23.35</v>
      </c>
      <c r="Q754" s="3">
        <v>0</v>
      </c>
      <c r="R754" s="3">
        <v>0</v>
      </c>
      <c r="S754" s="3">
        <v>0</v>
      </c>
      <c r="T754" s="3">
        <v>2</v>
      </c>
      <c r="U754" s="3">
        <v>2</v>
      </c>
      <c r="V754" s="3">
        <v>3</v>
      </c>
      <c r="W754" s="3"/>
      <c r="X754" s="3">
        <v>23.98</v>
      </c>
      <c r="Y754" s="3">
        <v>23.98</v>
      </c>
      <c r="Z754" s="3">
        <v>23.98</v>
      </c>
      <c r="AA754" s="3">
        <v>0</v>
      </c>
      <c r="AB754" s="3" t="s">
        <v>5223</v>
      </c>
      <c r="AC754" s="3">
        <v>19</v>
      </c>
      <c r="AD754" s="3">
        <v>23.98</v>
      </c>
      <c r="AE754" s="3">
        <v>0</v>
      </c>
      <c r="AF754" s="3">
        <v>0</v>
      </c>
      <c r="AG754" s="3">
        <v>0</v>
      </c>
      <c r="AH754" s="3">
        <v>0.19047619047619</v>
      </c>
      <c r="AI754" s="3" t="s">
        <v>5229</v>
      </c>
      <c r="AJ754" s="3" t="s">
        <v>5222</v>
      </c>
    </row>
    <row r="755" spans="1:36">
      <c r="A755" s="5">
        <v>43288</v>
      </c>
      <c r="B755" s="3" t="s">
        <v>1490</v>
      </c>
      <c r="C755" s="3" t="s">
        <v>50</v>
      </c>
      <c r="D755" s="3" t="s">
        <v>50</v>
      </c>
      <c r="E755" s="3" t="s">
        <v>1491</v>
      </c>
      <c r="F755" s="3" t="s">
        <v>120</v>
      </c>
      <c r="G755" s="3">
        <v>12</v>
      </c>
      <c r="H755" s="3">
        <v>0</v>
      </c>
      <c r="I755" s="3">
        <v>12</v>
      </c>
      <c r="J755" s="3">
        <v>0</v>
      </c>
      <c r="K755" s="3">
        <v>0</v>
      </c>
      <c r="L755" s="3">
        <v>0</v>
      </c>
      <c r="M755" s="3">
        <v>0</v>
      </c>
      <c r="N755" s="3" t="s">
        <v>5218</v>
      </c>
      <c r="O755" s="3">
        <v>0</v>
      </c>
      <c r="P755" s="3">
        <v>0</v>
      </c>
      <c r="Q755" s="3">
        <v>0</v>
      </c>
      <c r="R755" s="3">
        <v>0</v>
      </c>
      <c r="S755" s="3">
        <v>2</v>
      </c>
      <c r="T755" s="3">
        <v>8</v>
      </c>
      <c r="U755" s="3">
        <v>16</v>
      </c>
      <c r="V755" s="3">
        <v>35</v>
      </c>
      <c r="W755" s="3"/>
      <c r="X755" s="3">
        <v>22.98</v>
      </c>
      <c r="Y755" s="3">
        <v>22.98</v>
      </c>
      <c r="Z755" s="3">
        <v>19.98</v>
      </c>
      <c r="AA755" s="3">
        <v>0</v>
      </c>
      <c r="AB755" s="3" t="s">
        <v>5223</v>
      </c>
      <c r="AC755" s="3">
        <v>14</v>
      </c>
      <c r="AD755" s="3">
        <v>22.98</v>
      </c>
      <c r="AE755" s="3">
        <v>0</v>
      </c>
      <c r="AF755" s="3">
        <v>0</v>
      </c>
      <c r="AG755" s="3">
        <v>0</v>
      </c>
      <c r="AH755" s="3">
        <v>1.53846153846153</v>
      </c>
      <c r="AI755" s="3" t="s">
        <v>5253</v>
      </c>
      <c r="AJ755" s="3" t="s">
        <v>5222</v>
      </c>
    </row>
    <row r="756" spans="1:36">
      <c r="A756" s="5">
        <v>43288</v>
      </c>
      <c r="B756" s="3" t="s">
        <v>643</v>
      </c>
      <c r="C756" s="3" t="s">
        <v>644</v>
      </c>
      <c r="D756" s="3" t="s">
        <v>644</v>
      </c>
      <c r="E756" s="3" t="s">
        <v>645</v>
      </c>
      <c r="F756" s="3" t="s">
        <v>120</v>
      </c>
      <c r="G756" s="3">
        <v>11</v>
      </c>
      <c r="H756" s="3">
        <v>0</v>
      </c>
      <c r="I756" s="3">
        <v>5</v>
      </c>
      <c r="J756" s="3">
        <v>6</v>
      </c>
      <c r="K756" s="3">
        <v>0</v>
      </c>
      <c r="L756" s="3">
        <v>0</v>
      </c>
      <c r="M756" s="3">
        <v>0</v>
      </c>
      <c r="N756" s="3" t="s">
        <v>5218</v>
      </c>
      <c r="O756" s="3">
        <v>1</v>
      </c>
      <c r="P756" s="3">
        <v>1.9</v>
      </c>
      <c r="Q756" s="3">
        <v>0</v>
      </c>
      <c r="R756" s="3">
        <v>0</v>
      </c>
      <c r="S756" s="3">
        <v>0</v>
      </c>
      <c r="T756" s="3">
        <v>1</v>
      </c>
      <c r="U756" s="3">
        <v>2</v>
      </c>
      <c r="V756" s="3">
        <v>2</v>
      </c>
      <c r="W756" s="3"/>
      <c r="X756" s="3">
        <v>24.98</v>
      </c>
      <c r="Y756" s="3">
        <v>24.98</v>
      </c>
      <c r="Z756" s="3">
        <v>24.98</v>
      </c>
      <c r="AA756" s="3">
        <v>0</v>
      </c>
      <c r="AB756" s="3" t="s">
        <v>5223</v>
      </c>
      <c r="AC756" s="3">
        <v>11</v>
      </c>
      <c r="AD756" s="3">
        <v>24.98</v>
      </c>
      <c r="AE756" s="3">
        <v>0</v>
      </c>
      <c r="AF756" s="3">
        <v>0</v>
      </c>
      <c r="AG756" s="3">
        <v>0</v>
      </c>
      <c r="AH756" s="3">
        <v>0.235294117647058</v>
      </c>
      <c r="AI756" s="3" t="s">
        <v>5250</v>
      </c>
      <c r="AJ756" s="3" t="s">
        <v>5222</v>
      </c>
    </row>
    <row r="757" spans="1:36">
      <c r="A757" s="5">
        <v>43288</v>
      </c>
      <c r="B757" s="3" t="s">
        <v>4336</v>
      </c>
      <c r="C757" s="3" t="s">
        <v>4337</v>
      </c>
      <c r="D757" s="3" t="s">
        <v>4337</v>
      </c>
      <c r="E757" s="3" t="s">
        <v>4338</v>
      </c>
      <c r="F757" s="3" t="s">
        <v>120</v>
      </c>
      <c r="G757" s="3">
        <v>12</v>
      </c>
      <c r="H757" s="3">
        <v>0</v>
      </c>
      <c r="I757" s="3">
        <v>0</v>
      </c>
      <c r="J757" s="3">
        <v>5</v>
      </c>
      <c r="K757" s="3">
        <v>7</v>
      </c>
      <c r="L757" s="3">
        <v>0</v>
      </c>
      <c r="M757" s="3">
        <v>0</v>
      </c>
      <c r="N757" s="3" t="s">
        <v>5218</v>
      </c>
      <c r="O757" s="3">
        <v>8</v>
      </c>
      <c r="P757" s="3">
        <v>15.07</v>
      </c>
      <c r="Q757" s="3">
        <v>0</v>
      </c>
      <c r="R757" s="3">
        <v>0</v>
      </c>
      <c r="S757" s="3">
        <v>2</v>
      </c>
      <c r="T757" s="3">
        <v>2</v>
      </c>
      <c r="U757" s="3">
        <v>3</v>
      </c>
      <c r="V757" s="3">
        <v>5</v>
      </c>
      <c r="W757" s="3"/>
      <c r="X757" s="3">
        <v>23.98</v>
      </c>
      <c r="Y757" s="3">
        <v>23.98</v>
      </c>
      <c r="Z757" s="3">
        <v>23.98</v>
      </c>
      <c r="AA757" s="3">
        <v>0</v>
      </c>
      <c r="AB757" s="3" t="s">
        <v>5228</v>
      </c>
      <c r="AC757" s="3">
        <v>0</v>
      </c>
      <c r="AD757" s="3">
        <v>20.23</v>
      </c>
      <c r="AE757" s="3">
        <v>259</v>
      </c>
      <c r="AF757" s="3">
        <v>0</v>
      </c>
      <c r="AG757" s="3">
        <v>392.116746</v>
      </c>
      <c r="AH757" s="3">
        <v>0.327868852459016</v>
      </c>
      <c r="AI757" s="3" t="s">
        <v>5258</v>
      </c>
      <c r="AJ757" s="3" t="s">
        <v>5222</v>
      </c>
    </row>
    <row r="758" spans="1:36">
      <c r="A758" s="5">
        <v>43288</v>
      </c>
      <c r="B758" s="3" t="s">
        <v>4499</v>
      </c>
      <c r="C758" s="3" t="s">
        <v>3723</v>
      </c>
      <c r="D758" s="3" t="s">
        <v>3723</v>
      </c>
      <c r="E758" s="3" t="s">
        <v>3724</v>
      </c>
      <c r="F758" s="3" t="s">
        <v>120</v>
      </c>
      <c r="G758" s="3">
        <v>6</v>
      </c>
      <c r="H758" s="3">
        <v>0</v>
      </c>
      <c r="I758" s="3">
        <v>0</v>
      </c>
      <c r="J758" s="3">
        <v>1</v>
      </c>
      <c r="K758" s="3">
        <v>5</v>
      </c>
      <c r="L758" s="3">
        <v>0</v>
      </c>
      <c r="M758" s="3">
        <v>0</v>
      </c>
      <c r="N758" s="3" t="s">
        <v>5218</v>
      </c>
      <c r="O758" s="3">
        <v>5</v>
      </c>
      <c r="P758" s="3">
        <v>4.97</v>
      </c>
      <c r="Q758" s="3">
        <v>0</v>
      </c>
      <c r="R758" s="3">
        <v>0</v>
      </c>
      <c r="S758" s="3">
        <v>0</v>
      </c>
      <c r="T758" s="3">
        <v>1</v>
      </c>
      <c r="U758" s="3">
        <v>1</v>
      </c>
      <c r="V758" s="3">
        <v>1</v>
      </c>
      <c r="W758" s="3"/>
      <c r="X758" s="3">
        <v>24.98</v>
      </c>
      <c r="Y758" s="3">
        <v>24.98</v>
      </c>
      <c r="Z758" s="3">
        <v>24.98</v>
      </c>
      <c r="AA758" s="3">
        <v>0</v>
      </c>
      <c r="AB758" s="3" t="s">
        <v>5223</v>
      </c>
      <c r="AC758" s="3">
        <v>6</v>
      </c>
      <c r="AD758" s="3">
        <v>24.98</v>
      </c>
      <c r="AE758" s="3">
        <v>0</v>
      </c>
      <c r="AF758" s="3">
        <v>0</v>
      </c>
      <c r="AG758" s="3">
        <v>0</v>
      </c>
      <c r="AH758" s="3">
        <v>0.148148148148148</v>
      </c>
      <c r="AI758" s="3" t="s">
        <v>5263</v>
      </c>
      <c r="AJ758" s="3" t="s">
        <v>5222</v>
      </c>
    </row>
    <row r="759" spans="1:36">
      <c r="A759" s="5">
        <v>43288</v>
      </c>
      <c r="B759" s="3" t="s">
        <v>2771</v>
      </c>
      <c r="C759" s="3" t="s">
        <v>454</v>
      </c>
      <c r="D759" s="3" t="s">
        <v>454</v>
      </c>
      <c r="E759" s="3" t="s">
        <v>455</v>
      </c>
      <c r="F759" s="3" t="s">
        <v>120</v>
      </c>
      <c r="G759" s="3">
        <v>15</v>
      </c>
      <c r="H759" s="3">
        <v>0</v>
      </c>
      <c r="I759" s="3">
        <v>15</v>
      </c>
      <c r="J759" s="3">
        <v>0</v>
      </c>
      <c r="K759" s="3">
        <v>0</v>
      </c>
      <c r="L759" s="3">
        <v>0</v>
      </c>
      <c r="M759" s="3">
        <v>0</v>
      </c>
      <c r="N759" s="3" t="s">
        <v>5218</v>
      </c>
      <c r="O759" s="3">
        <v>0</v>
      </c>
      <c r="P759" s="3">
        <v>0</v>
      </c>
      <c r="Q759" s="3">
        <v>0</v>
      </c>
      <c r="R759" s="3">
        <v>0</v>
      </c>
      <c r="S759" s="3">
        <v>2</v>
      </c>
      <c r="T759" s="3">
        <v>7</v>
      </c>
      <c r="U759" s="3">
        <v>9</v>
      </c>
      <c r="V759" s="3">
        <v>11</v>
      </c>
      <c r="W759" s="3"/>
      <c r="X759" s="3">
        <v>17.98</v>
      </c>
      <c r="Y759" s="3">
        <v>17.98</v>
      </c>
      <c r="Z759" s="3">
        <v>17.98</v>
      </c>
      <c r="AA759" s="3">
        <v>0</v>
      </c>
      <c r="AB759" s="3" t="s">
        <v>5223</v>
      </c>
      <c r="AC759" s="3">
        <v>16</v>
      </c>
      <c r="AD759" s="3">
        <v>17.98</v>
      </c>
      <c r="AE759" s="3">
        <v>0</v>
      </c>
      <c r="AF759" s="3">
        <v>0</v>
      </c>
      <c r="AG759" s="3">
        <v>0</v>
      </c>
      <c r="AH759" s="3">
        <v>1.12820512820512</v>
      </c>
      <c r="AI759" s="3" t="s">
        <v>5475</v>
      </c>
      <c r="AJ759" s="3" t="s">
        <v>5222</v>
      </c>
    </row>
    <row r="760" spans="1:36">
      <c r="A760" s="5">
        <v>43288</v>
      </c>
      <c r="B760" s="3" t="s">
        <v>4998</v>
      </c>
      <c r="C760" s="3" t="s">
        <v>4999</v>
      </c>
      <c r="D760" s="3" t="s">
        <v>4999</v>
      </c>
      <c r="E760" s="3" t="s">
        <v>5000</v>
      </c>
      <c r="F760" s="3" t="s">
        <v>120</v>
      </c>
      <c r="G760" s="3">
        <v>3</v>
      </c>
      <c r="H760" s="3">
        <v>0</v>
      </c>
      <c r="I760" s="3">
        <v>0</v>
      </c>
      <c r="J760" s="3">
        <v>0</v>
      </c>
      <c r="K760" s="3">
        <v>3</v>
      </c>
      <c r="L760" s="3">
        <v>0</v>
      </c>
      <c r="M760" s="3">
        <v>0</v>
      </c>
      <c r="N760" s="3" t="s">
        <v>5218</v>
      </c>
      <c r="O760" s="3">
        <v>3</v>
      </c>
      <c r="P760" s="3">
        <v>1.86</v>
      </c>
      <c r="Q760" s="3">
        <v>0</v>
      </c>
      <c r="R760" s="3">
        <v>0</v>
      </c>
      <c r="S760" s="3">
        <v>0</v>
      </c>
      <c r="T760" s="3">
        <v>0</v>
      </c>
      <c r="U760" s="3">
        <v>0</v>
      </c>
      <c r="V760" s="3">
        <v>0</v>
      </c>
      <c r="W760" s="3" t="s">
        <v>5219</v>
      </c>
      <c r="X760" s="3">
        <v>15</v>
      </c>
      <c r="Y760" s="3">
        <v>15</v>
      </c>
      <c r="Z760" s="3">
        <v>15</v>
      </c>
      <c r="AA760" s="3">
        <v>0</v>
      </c>
      <c r="AB760" s="3" t="s">
        <v>5223</v>
      </c>
      <c r="AC760" s="3">
        <v>0</v>
      </c>
      <c r="AD760" s="3">
        <v>15</v>
      </c>
      <c r="AE760" s="3">
        <v>63</v>
      </c>
      <c r="AF760" s="3">
        <v>0</v>
      </c>
      <c r="AG760" s="3">
        <v>24.371337</v>
      </c>
      <c r="AH760" s="3">
        <v>0</v>
      </c>
      <c r="AI760" s="3" t="s">
        <v>5267</v>
      </c>
      <c r="AJ760" s="3" t="s">
        <v>5242</v>
      </c>
    </row>
    <row r="761" spans="1:36">
      <c r="A761" s="5">
        <v>43288</v>
      </c>
      <c r="B761" s="3" t="s">
        <v>1219</v>
      </c>
      <c r="C761" s="3" t="s">
        <v>1220</v>
      </c>
      <c r="D761" s="3" t="s">
        <v>356</v>
      </c>
      <c r="E761" s="3" t="s">
        <v>482</v>
      </c>
      <c r="F761" s="3" t="s">
        <v>120</v>
      </c>
      <c r="G761" s="3">
        <v>7</v>
      </c>
      <c r="H761" s="3">
        <v>0</v>
      </c>
      <c r="I761" s="3">
        <v>7</v>
      </c>
      <c r="J761" s="3">
        <v>0</v>
      </c>
      <c r="K761" s="3">
        <v>0</v>
      </c>
      <c r="L761" s="3">
        <v>0</v>
      </c>
      <c r="M761" s="3">
        <v>0</v>
      </c>
      <c r="N761" s="3" t="s">
        <v>5218</v>
      </c>
      <c r="O761" s="3">
        <v>0</v>
      </c>
      <c r="P761" s="3">
        <v>0</v>
      </c>
      <c r="Q761" s="3">
        <v>0</v>
      </c>
      <c r="R761" s="3">
        <v>0</v>
      </c>
      <c r="S761" s="3">
        <v>0</v>
      </c>
      <c r="T761" s="3">
        <v>0</v>
      </c>
      <c r="U761" s="3">
        <v>0</v>
      </c>
      <c r="V761" s="3">
        <v>0</v>
      </c>
      <c r="W761" s="3" t="s">
        <v>5227</v>
      </c>
      <c r="X761" s="3">
        <v>26.98</v>
      </c>
      <c r="Y761" s="3">
        <v>26.98</v>
      </c>
      <c r="Z761" s="3">
        <v>26.98</v>
      </c>
      <c r="AA761" s="3">
        <v>0</v>
      </c>
      <c r="AB761" s="3" t="s">
        <v>5223</v>
      </c>
      <c r="AC761" s="3">
        <v>0</v>
      </c>
      <c r="AD761" s="3">
        <v>0</v>
      </c>
      <c r="AE761" s="3">
        <v>0</v>
      </c>
      <c r="AF761" s="3">
        <v>0</v>
      </c>
      <c r="AG761" s="3">
        <v>0</v>
      </c>
      <c r="AH761" s="3">
        <v>0.352941176470588</v>
      </c>
      <c r="AI761" s="3" t="s">
        <v>5224</v>
      </c>
      <c r="AJ761" s="3" t="s">
        <v>5222</v>
      </c>
    </row>
    <row r="762" spans="1:36">
      <c r="A762" s="5">
        <v>43288</v>
      </c>
      <c r="B762" s="3" t="s">
        <v>2899</v>
      </c>
      <c r="C762" s="3" t="s">
        <v>2900</v>
      </c>
      <c r="D762" s="3" t="s">
        <v>2900</v>
      </c>
      <c r="E762" s="3" t="s">
        <v>1817</v>
      </c>
      <c r="F762" s="3" t="s">
        <v>120</v>
      </c>
      <c r="G762" s="3">
        <v>10</v>
      </c>
      <c r="H762" s="3">
        <v>0</v>
      </c>
      <c r="I762" s="3">
        <v>0</v>
      </c>
      <c r="J762" s="3">
        <v>10</v>
      </c>
      <c r="K762" s="3">
        <v>0</v>
      </c>
      <c r="L762" s="3">
        <v>0</v>
      </c>
      <c r="M762" s="3">
        <v>0</v>
      </c>
      <c r="N762" s="3" t="s">
        <v>5218</v>
      </c>
      <c r="O762" s="3">
        <v>0</v>
      </c>
      <c r="P762" s="3">
        <v>0</v>
      </c>
      <c r="Q762" s="3">
        <v>0</v>
      </c>
      <c r="R762" s="3">
        <v>0</v>
      </c>
      <c r="S762" s="3">
        <v>0</v>
      </c>
      <c r="T762" s="3">
        <v>0</v>
      </c>
      <c r="U762" s="3">
        <v>0</v>
      </c>
      <c r="V762" s="3">
        <v>0</v>
      </c>
      <c r="W762" s="3" t="s">
        <v>5219</v>
      </c>
      <c r="X762" s="3">
        <v>23.98</v>
      </c>
      <c r="Y762" s="3">
        <v>23.98</v>
      </c>
      <c r="Z762" s="3">
        <v>23.98</v>
      </c>
      <c r="AA762" s="3">
        <v>0</v>
      </c>
      <c r="AB762" s="3" t="s">
        <v>5220</v>
      </c>
      <c r="AC762" s="3">
        <v>0</v>
      </c>
      <c r="AD762" s="3">
        <v>19.18</v>
      </c>
      <c r="AE762" s="3">
        <v>63</v>
      </c>
      <c r="AF762" s="3">
        <v>0</v>
      </c>
      <c r="AG762" s="3">
        <v>194.288378</v>
      </c>
      <c r="AH762" s="3">
        <v>0</v>
      </c>
      <c r="AI762" s="3" t="s">
        <v>5254</v>
      </c>
      <c r="AJ762" s="3" t="s">
        <v>5222</v>
      </c>
    </row>
    <row r="763" spans="1:36">
      <c r="A763" s="5">
        <v>43288</v>
      </c>
      <c r="B763" s="3" t="s">
        <v>2388</v>
      </c>
      <c r="C763" s="3" t="s">
        <v>2389</v>
      </c>
      <c r="D763" s="3" t="s">
        <v>2389</v>
      </c>
      <c r="E763" s="3" t="s">
        <v>2390</v>
      </c>
      <c r="F763" s="3" t="s">
        <v>120</v>
      </c>
      <c r="G763" s="3">
        <v>7</v>
      </c>
      <c r="H763" s="3">
        <v>0</v>
      </c>
      <c r="I763" s="3">
        <v>3</v>
      </c>
      <c r="J763" s="3">
        <v>0</v>
      </c>
      <c r="K763" s="3">
        <v>4</v>
      </c>
      <c r="L763" s="3">
        <v>0</v>
      </c>
      <c r="M763" s="3">
        <v>0</v>
      </c>
      <c r="N763" s="3" t="s">
        <v>5218</v>
      </c>
      <c r="O763" s="3">
        <v>4</v>
      </c>
      <c r="P763" s="3">
        <v>6.57</v>
      </c>
      <c r="Q763" s="3">
        <v>0</v>
      </c>
      <c r="R763" s="3">
        <v>0</v>
      </c>
      <c r="S763" s="3">
        <v>0</v>
      </c>
      <c r="T763" s="3">
        <v>1</v>
      </c>
      <c r="U763" s="3">
        <v>1</v>
      </c>
      <c r="V763" s="3">
        <v>5</v>
      </c>
      <c r="W763" s="3"/>
      <c r="X763" s="3">
        <v>22.98</v>
      </c>
      <c r="Y763" s="3">
        <v>22.98</v>
      </c>
      <c r="Z763" s="3">
        <v>22</v>
      </c>
      <c r="AA763" s="3">
        <v>0</v>
      </c>
      <c r="AB763" s="3" t="s">
        <v>5223</v>
      </c>
      <c r="AC763" s="3">
        <v>7</v>
      </c>
      <c r="AD763" s="3">
        <v>22.98</v>
      </c>
      <c r="AE763" s="3">
        <v>0</v>
      </c>
      <c r="AF763" s="3">
        <v>0</v>
      </c>
      <c r="AG763" s="3">
        <v>0</v>
      </c>
      <c r="AH763" s="3">
        <v>0.64516129032258</v>
      </c>
      <c r="AI763" s="3" t="s">
        <v>5240</v>
      </c>
      <c r="AJ763" s="3" t="s">
        <v>5222</v>
      </c>
    </row>
    <row r="764" spans="1:36">
      <c r="A764" s="5">
        <v>43288</v>
      </c>
      <c r="B764" s="3" t="s">
        <v>4555</v>
      </c>
      <c r="C764" s="3" t="s">
        <v>3943</v>
      </c>
      <c r="D764" s="3" t="s">
        <v>3943</v>
      </c>
      <c r="E764" s="3" t="s">
        <v>3944</v>
      </c>
      <c r="F764" s="3" t="s">
        <v>120</v>
      </c>
      <c r="G764" s="3">
        <v>12</v>
      </c>
      <c r="H764" s="3">
        <v>0</v>
      </c>
      <c r="I764" s="3">
        <v>12</v>
      </c>
      <c r="J764" s="3">
        <v>0</v>
      </c>
      <c r="K764" s="3">
        <v>0</v>
      </c>
      <c r="L764" s="3">
        <v>0</v>
      </c>
      <c r="M764" s="3">
        <v>0</v>
      </c>
      <c r="N764" s="3" t="s">
        <v>5218</v>
      </c>
      <c r="O764" s="3">
        <v>0</v>
      </c>
      <c r="P764" s="3">
        <v>0</v>
      </c>
      <c r="Q764" s="3">
        <v>0</v>
      </c>
      <c r="R764" s="3">
        <v>0</v>
      </c>
      <c r="S764" s="3">
        <v>2</v>
      </c>
      <c r="T764" s="3">
        <v>6</v>
      </c>
      <c r="U764" s="3">
        <v>6</v>
      </c>
      <c r="V764" s="3">
        <v>7</v>
      </c>
      <c r="W764" s="3"/>
      <c r="X764" s="3">
        <v>26.98</v>
      </c>
      <c r="Y764" s="3">
        <v>26.98</v>
      </c>
      <c r="Z764" s="3">
        <v>26.98</v>
      </c>
      <c r="AA764" s="3">
        <v>0</v>
      </c>
      <c r="AB764" s="3" t="s">
        <v>5223</v>
      </c>
      <c r="AC764" s="3">
        <v>14</v>
      </c>
      <c r="AD764" s="3">
        <v>26.98</v>
      </c>
      <c r="AE764" s="3">
        <v>0</v>
      </c>
      <c r="AF764" s="3">
        <v>0</v>
      </c>
      <c r="AG764" s="3">
        <v>0</v>
      </c>
      <c r="AH764" s="3">
        <v>0.549019607843137</v>
      </c>
      <c r="AI764" s="3" t="s">
        <v>5249</v>
      </c>
      <c r="AJ764" s="3" t="s">
        <v>5222</v>
      </c>
    </row>
    <row r="765" spans="1:36">
      <c r="A765" s="5">
        <v>43288</v>
      </c>
      <c r="B765" s="3" t="s">
        <v>691</v>
      </c>
      <c r="C765" s="3" t="s">
        <v>692</v>
      </c>
      <c r="D765" s="3" t="s">
        <v>692</v>
      </c>
      <c r="E765" s="3" t="s">
        <v>693</v>
      </c>
      <c r="F765" s="3" t="s">
        <v>120</v>
      </c>
      <c r="G765" s="3">
        <v>3</v>
      </c>
      <c r="H765" s="3">
        <v>0</v>
      </c>
      <c r="I765" s="3">
        <v>0</v>
      </c>
      <c r="J765" s="3">
        <v>3</v>
      </c>
      <c r="K765" s="3">
        <v>0</v>
      </c>
      <c r="L765" s="3">
        <v>0</v>
      </c>
      <c r="M765" s="3">
        <v>0</v>
      </c>
      <c r="N765" s="3" t="s">
        <v>5218</v>
      </c>
      <c r="O765" s="3">
        <v>3</v>
      </c>
      <c r="P765" s="3">
        <v>5.71</v>
      </c>
      <c r="Q765" s="3">
        <v>0</v>
      </c>
      <c r="R765" s="3">
        <v>0</v>
      </c>
      <c r="S765" s="3">
        <v>0</v>
      </c>
      <c r="T765" s="3">
        <v>0</v>
      </c>
      <c r="U765" s="3">
        <v>1</v>
      </c>
      <c r="V765" s="3">
        <v>1</v>
      </c>
      <c r="W765" s="3" t="s">
        <v>5227</v>
      </c>
      <c r="X765" s="3">
        <v>24.98</v>
      </c>
      <c r="Y765" s="3">
        <v>24.98</v>
      </c>
      <c r="Z765" s="3">
        <v>24.98</v>
      </c>
      <c r="AA765" s="3">
        <v>0</v>
      </c>
      <c r="AB765" s="3" t="s">
        <v>5228</v>
      </c>
      <c r="AC765" s="3">
        <v>1</v>
      </c>
      <c r="AD765" s="3">
        <v>22.34</v>
      </c>
      <c r="AE765" s="3">
        <v>56</v>
      </c>
      <c r="AF765" s="3">
        <v>0</v>
      </c>
      <c r="AG765" s="3">
        <v>100.864548</v>
      </c>
      <c r="AH765" s="3">
        <v>0.285714285714285</v>
      </c>
      <c r="AI765" s="3" t="s">
        <v>5250</v>
      </c>
      <c r="AJ765" s="3" t="s">
        <v>5222</v>
      </c>
    </row>
    <row r="766" spans="1:36">
      <c r="A766" s="5">
        <v>43288</v>
      </c>
      <c r="B766" s="3" t="s">
        <v>4559</v>
      </c>
      <c r="C766" s="3" t="s">
        <v>3959</v>
      </c>
      <c r="D766" s="3" t="s">
        <v>3959</v>
      </c>
      <c r="E766" s="3" t="s">
        <v>3960</v>
      </c>
      <c r="F766" s="3" t="s">
        <v>120</v>
      </c>
      <c r="G766" s="3">
        <v>15</v>
      </c>
      <c r="H766" s="3">
        <v>0</v>
      </c>
      <c r="I766" s="3">
        <v>15</v>
      </c>
      <c r="J766" s="3">
        <v>0</v>
      </c>
      <c r="K766" s="3">
        <v>0</v>
      </c>
      <c r="L766" s="3">
        <v>0</v>
      </c>
      <c r="M766" s="3">
        <v>0</v>
      </c>
      <c r="N766" s="3" t="s">
        <v>5218</v>
      </c>
      <c r="O766" s="3">
        <v>0</v>
      </c>
      <c r="P766" s="3">
        <v>0</v>
      </c>
      <c r="Q766" s="3">
        <v>0</v>
      </c>
      <c r="R766" s="3">
        <v>0</v>
      </c>
      <c r="S766" s="3">
        <v>0</v>
      </c>
      <c r="T766" s="3">
        <v>3</v>
      </c>
      <c r="U766" s="3">
        <v>3</v>
      </c>
      <c r="V766" s="3">
        <v>6</v>
      </c>
      <c r="W766" s="3"/>
      <c r="X766" s="3">
        <v>26.98</v>
      </c>
      <c r="Y766" s="3">
        <v>26.98</v>
      </c>
      <c r="Z766" s="3">
        <v>26.98</v>
      </c>
      <c r="AA766" s="3">
        <v>0</v>
      </c>
      <c r="AB766" s="3" t="s">
        <v>5223</v>
      </c>
      <c r="AC766" s="3">
        <v>16</v>
      </c>
      <c r="AD766" s="3">
        <v>26.98</v>
      </c>
      <c r="AE766" s="3">
        <v>0</v>
      </c>
      <c r="AF766" s="3">
        <v>0</v>
      </c>
      <c r="AG766" s="3">
        <v>0</v>
      </c>
      <c r="AH766" s="3">
        <v>0.452830188679245</v>
      </c>
      <c r="AI766" s="3" t="s">
        <v>5249</v>
      </c>
      <c r="AJ766" s="3" t="s">
        <v>5222</v>
      </c>
    </row>
    <row r="767" spans="1:36">
      <c r="A767" s="5">
        <v>43288</v>
      </c>
      <c r="B767" s="3" t="s">
        <v>2322</v>
      </c>
      <c r="C767" s="3" t="s">
        <v>2323</v>
      </c>
      <c r="D767" s="3" t="s">
        <v>2323</v>
      </c>
      <c r="E767" s="3" t="s">
        <v>2324</v>
      </c>
      <c r="F767" s="3" t="s">
        <v>120</v>
      </c>
      <c r="G767" s="3">
        <v>28</v>
      </c>
      <c r="H767" s="3">
        <v>0</v>
      </c>
      <c r="I767" s="3">
        <v>28</v>
      </c>
      <c r="J767" s="3">
        <v>0</v>
      </c>
      <c r="K767" s="3">
        <v>0</v>
      </c>
      <c r="L767" s="3">
        <v>0</v>
      </c>
      <c r="M767" s="3">
        <v>0</v>
      </c>
      <c r="N767" s="3" t="s">
        <v>5218</v>
      </c>
      <c r="O767" s="3">
        <v>0</v>
      </c>
      <c r="P767" s="3">
        <v>0</v>
      </c>
      <c r="Q767" s="3">
        <v>0</v>
      </c>
      <c r="R767" s="3">
        <v>0</v>
      </c>
      <c r="S767" s="3">
        <v>0</v>
      </c>
      <c r="T767" s="3">
        <v>1</v>
      </c>
      <c r="U767" s="3">
        <v>3</v>
      </c>
      <c r="V767" s="3">
        <v>8</v>
      </c>
      <c r="W767" s="3"/>
      <c r="X767" s="3">
        <v>22.98</v>
      </c>
      <c r="Y767" s="3">
        <v>22.98</v>
      </c>
      <c r="Z767" s="3">
        <v>22.98</v>
      </c>
      <c r="AA767" s="3">
        <v>0</v>
      </c>
      <c r="AB767" s="3" t="s">
        <v>5228</v>
      </c>
      <c r="AC767" s="3">
        <v>12</v>
      </c>
      <c r="AD767" s="3">
        <v>19.85</v>
      </c>
      <c r="AE767" s="3">
        <v>210</v>
      </c>
      <c r="AF767" s="3">
        <v>0</v>
      </c>
      <c r="AG767" s="3">
        <v>9.416835</v>
      </c>
      <c r="AH767" s="3">
        <v>0.516129032258064</v>
      </c>
      <c r="AI767" s="3" t="s">
        <v>5233</v>
      </c>
      <c r="AJ767" s="3" t="s">
        <v>5222</v>
      </c>
    </row>
    <row r="768" spans="1:36">
      <c r="A768" s="5">
        <v>43288</v>
      </c>
      <c r="B768" s="3" t="s">
        <v>1130</v>
      </c>
      <c r="C768" s="3" t="s">
        <v>1131</v>
      </c>
      <c r="D768" s="3" t="s">
        <v>1132</v>
      </c>
      <c r="E768" s="3" t="s">
        <v>1133</v>
      </c>
      <c r="F768" s="3" t="s">
        <v>120</v>
      </c>
      <c r="G768" s="3">
        <v>11</v>
      </c>
      <c r="H768" s="3">
        <v>0</v>
      </c>
      <c r="I768" s="3">
        <v>11</v>
      </c>
      <c r="J768" s="3">
        <v>0</v>
      </c>
      <c r="K768" s="3">
        <v>0</v>
      </c>
      <c r="L768" s="3">
        <v>0</v>
      </c>
      <c r="M768" s="3">
        <v>0</v>
      </c>
      <c r="N768" s="3" t="s">
        <v>5218</v>
      </c>
      <c r="O768" s="3">
        <v>0</v>
      </c>
      <c r="P768" s="3">
        <v>0</v>
      </c>
      <c r="Q768" s="3">
        <v>0</v>
      </c>
      <c r="R768" s="3">
        <v>0</v>
      </c>
      <c r="S768" s="3">
        <v>0</v>
      </c>
      <c r="T768" s="3">
        <v>0</v>
      </c>
      <c r="U768" s="3">
        <v>0</v>
      </c>
      <c r="V768" s="3">
        <v>0</v>
      </c>
      <c r="W768" s="3" t="s">
        <v>5227</v>
      </c>
      <c r="X768" s="3">
        <v>35.98</v>
      </c>
      <c r="Y768" s="3">
        <v>22.98</v>
      </c>
      <c r="Z768" s="3">
        <v>22.98</v>
      </c>
      <c r="AA768" s="3">
        <v>0</v>
      </c>
      <c r="AB768" s="3" t="s">
        <v>5223</v>
      </c>
      <c r="AC768" s="3">
        <v>12</v>
      </c>
      <c r="AD768" s="3">
        <v>22.98</v>
      </c>
      <c r="AE768" s="3">
        <v>0</v>
      </c>
      <c r="AF768" s="3">
        <v>0</v>
      </c>
      <c r="AG768" s="3">
        <v>0</v>
      </c>
      <c r="AH768" s="3">
        <v>2.12345679012345</v>
      </c>
      <c r="AI768" s="3" t="s">
        <v>5238</v>
      </c>
      <c r="AJ768" s="3" t="s">
        <v>5222</v>
      </c>
    </row>
    <row r="769" spans="1:36">
      <c r="A769" s="5">
        <v>43288</v>
      </c>
      <c r="B769" s="3" t="s">
        <v>4832</v>
      </c>
      <c r="C769" s="3" t="s">
        <v>4833</v>
      </c>
      <c r="D769" s="3" t="s">
        <v>4833</v>
      </c>
      <c r="E769" s="3" t="s">
        <v>4834</v>
      </c>
      <c r="F769" s="3" t="s">
        <v>120</v>
      </c>
      <c r="G769" s="3">
        <v>4</v>
      </c>
      <c r="H769" s="3">
        <v>0</v>
      </c>
      <c r="I769" s="3">
        <v>0</v>
      </c>
      <c r="J769" s="3">
        <v>0</v>
      </c>
      <c r="K769" s="3">
        <v>4</v>
      </c>
      <c r="L769" s="3">
        <v>0</v>
      </c>
      <c r="M769" s="3">
        <v>0</v>
      </c>
      <c r="N769" s="3" t="s">
        <v>5218</v>
      </c>
      <c r="O769" s="3">
        <v>4</v>
      </c>
      <c r="P769" s="3">
        <v>3.63</v>
      </c>
      <c r="Q769" s="3">
        <v>0</v>
      </c>
      <c r="R769" s="3">
        <v>0</v>
      </c>
      <c r="S769" s="3">
        <v>0</v>
      </c>
      <c r="T769" s="3">
        <v>0</v>
      </c>
      <c r="U769" s="3">
        <v>0</v>
      </c>
      <c r="V769" s="3">
        <v>1</v>
      </c>
      <c r="W769" s="3" t="s">
        <v>5227</v>
      </c>
      <c r="X769" s="3">
        <v>12</v>
      </c>
      <c r="Y769" s="3">
        <v>12</v>
      </c>
      <c r="Z769" s="3">
        <v>12</v>
      </c>
      <c r="AA769" s="3">
        <v>0</v>
      </c>
      <c r="AB769" s="3" t="s">
        <v>5228</v>
      </c>
      <c r="AC769" s="3">
        <v>0</v>
      </c>
      <c r="AD769" s="3">
        <v>11.2</v>
      </c>
      <c r="AE769" s="3">
        <v>35</v>
      </c>
      <c r="AF769" s="3">
        <v>0</v>
      </c>
      <c r="AG769" s="3">
        <v>55.77754</v>
      </c>
      <c r="AH769" s="3">
        <v>0.235294117647058</v>
      </c>
      <c r="AI769" s="3" t="s">
        <v>5406</v>
      </c>
      <c r="AJ769" s="3" t="s">
        <v>5222</v>
      </c>
    </row>
    <row r="770" spans="1:36">
      <c r="A770" s="5">
        <v>43288</v>
      </c>
      <c r="B770" s="3" t="s">
        <v>2673</v>
      </c>
      <c r="C770" s="3" t="s">
        <v>2674</v>
      </c>
      <c r="D770" s="3" t="s">
        <v>2674</v>
      </c>
      <c r="E770" s="3" t="s">
        <v>2675</v>
      </c>
      <c r="F770" s="3" t="s">
        <v>120</v>
      </c>
      <c r="G770" s="3">
        <v>6</v>
      </c>
      <c r="H770" s="3">
        <v>0</v>
      </c>
      <c r="I770" s="3">
        <v>0</v>
      </c>
      <c r="J770" s="3">
        <v>2</v>
      </c>
      <c r="K770" s="3">
        <v>4</v>
      </c>
      <c r="L770" s="3">
        <v>0</v>
      </c>
      <c r="M770" s="3">
        <v>0</v>
      </c>
      <c r="N770" s="3" t="s">
        <v>5218</v>
      </c>
      <c r="O770" s="3">
        <v>6</v>
      </c>
      <c r="P770" s="3">
        <v>14.41</v>
      </c>
      <c r="Q770" s="3">
        <v>0</v>
      </c>
      <c r="R770" s="3">
        <v>0</v>
      </c>
      <c r="S770" s="3">
        <v>0</v>
      </c>
      <c r="T770" s="3">
        <v>2</v>
      </c>
      <c r="U770" s="3">
        <v>3</v>
      </c>
      <c r="V770" s="3">
        <v>3</v>
      </c>
      <c r="W770" s="3"/>
      <c r="X770" s="3">
        <v>22.5</v>
      </c>
      <c r="Y770" s="3">
        <v>22.5</v>
      </c>
      <c r="Z770" s="3">
        <v>22.5</v>
      </c>
      <c r="AA770" s="3">
        <v>0</v>
      </c>
      <c r="AB770" s="3" t="s">
        <v>5223</v>
      </c>
      <c r="AC770" s="3">
        <v>6</v>
      </c>
      <c r="AD770" s="3">
        <v>22.5</v>
      </c>
      <c r="AE770" s="3">
        <v>0</v>
      </c>
      <c r="AF770" s="3">
        <v>0</v>
      </c>
      <c r="AG770" s="3">
        <v>0</v>
      </c>
      <c r="AH770" s="3">
        <v>0.375</v>
      </c>
      <c r="AI770" s="3" t="s">
        <v>5237</v>
      </c>
      <c r="AJ770" s="3" t="s">
        <v>5222</v>
      </c>
    </row>
    <row r="771" spans="1:36">
      <c r="A771" s="5">
        <v>43288</v>
      </c>
      <c r="B771" s="3" t="s">
        <v>4575</v>
      </c>
      <c r="C771" s="3" t="s">
        <v>4023</v>
      </c>
      <c r="D771" s="3" t="s">
        <v>4023</v>
      </c>
      <c r="E771" s="3" t="s">
        <v>4024</v>
      </c>
      <c r="F771" s="3" t="s">
        <v>120</v>
      </c>
      <c r="G771" s="3">
        <v>6</v>
      </c>
      <c r="H771" s="3">
        <v>0</v>
      </c>
      <c r="I771" s="3">
        <v>6</v>
      </c>
      <c r="J771" s="3">
        <v>0</v>
      </c>
      <c r="K771" s="3">
        <v>0</v>
      </c>
      <c r="L771" s="3">
        <v>0</v>
      </c>
      <c r="M771" s="3">
        <v>0</v>
      </c>
      <c r="N771" s="3" t="s">
        <v>5218</v>
      </c>
      <c r="O771" s="3">
        <v>0</v>
      </c>
      <c r="P771" s="3">
        <v>0</v>
      </c>
      <c r="Q771" s="3">
        <v>0</v>
      </c>
      <c r="R771" s="3">
        <v>0</v>
      </c>
      <c r="S771" s="3">
        <v>2</v>
      </c>
      <c r="T771" s="3">
        <v>5</v>
      </c>
      <c r="U771" s="3">
        <v>8</v>
      </c>
      <c r="V771" s="3">
        <v>13</v>
      </c>
      <c r="W771" s="3"/>
      <c r="X771" s="3">
        <v>20.98</v>
      </c>
      <c r="Y771" s="3">
        <v>20.98</v>
      </c>
      <c r="Z771" s="3">
        <v>20.98</v>
      </c>
      <c r="AA771" s="3">
        <v>0</v>
      </c>
      <c r="AB771" s="3" t="s">
        <v>5228</v>
      </c>
      <c r="AC771" s="3">
        <v>0</v>
      </c>
      <c r="AD771" s="3">
        <v>11.85</v>
      </c>
      <c r="AE771" s="3">
        <v>84</v>
      </c>
      <c r="AF771" s="3">
        <v>0</v>
      </c>
      <c r="AG771" s="3">
        <v>87.102749</v>
      </c>
      <c r="AH771" s="3">
        <v>3.71428571428571</v>
      </c>
      <c r="AI771" s="3" t="s">
        <v>5226</v>
      </c>
      <c r="AJ771" s="3" t="s">
        <v>5222</v>
      </c>
    </row>
    <row r="772" spans="1:36">
      <c r="A772" s="5">
        <v>43288</v>
      </c>
      <c r="B772" s="3" t="s">
        <v>2773</v>
      </c>
      <c r="C772" s="3" t="s">
        <v>462</v>
      </c>
      <c r="D772" s="3" t="s">
        <v>462</v>
      </c>
      <c r="E772" s="3" t="s">
        <v>5476</v>
      </c>
      <c r="F772" s="3" t="s">
        <v>120</v>
      </c>
      <c r="G772" s="3">
        <v>11</v>
      </c>
      <c r="H772" s="3">
        <v>0</v>
      </c>
      <c r="I772" s="3">
        <v>11</v>
      </c>
      <c r="J772" s="3">
        <v>0</v>
      </c>
      <c r="K772" s="3">
        <v>0</v>
      </c>
      <c r="L772" s="3">
        <v>0</v>
      </c>
      <c r="M772" s="3">
        <v>0</v>
      </c>
      <c r="N772" s="3" t="s">
        <v>5218</v>
      </c>
      <c r="O772" s="3">
        <v>0</v>
      </c>
      <c r="P772" s="3">
        <v>0</v>
      </c>
      <c r="Q772" s="3">
        <v>0</v>
      </c>
      <c r="R772" s="3">
        <v>0</v>
      </c>
      <c r="S772" s="3">
        <v>0</v>
      </c>
      <c r="T772" s="3">
        <v>10</v>
      </c>
      <c r="U772" s="3">
        <v>16</v>
      </c>
      <c r="V772" s="3">
        <v>20</v>
      </c>
      <c r="W772" s="3"/>
      <c r="X772" s="3"/>
      <c r="Y772" s="3"/>
      <c r="Z772" s="3">
        <v>-1</v>
      </c>
      <c r="AA772" s="3">
        <v>-1</v>
      </c>
      <c r="AB772" s="3" t="s">
        <v>5244</v>
      </c>
      <c r="AC772" s="3">
        <v>0</v>
      </c>
      <c r="AD772" s="3">
        <v>0</v>
      </c>
      <c r="AE772" s="3">
        <v>0</v>
      </c>
      <c r="AF772" s="3">
        <v>0</v>
      </c>
      <c r="AG772" s="3">
        <v>0</v>
      </c>
      <c r="AH772" s="3">
        <v>5.33333333333333</v>
      </c>
      <c r="AI772" s="3" t="s">
        <v>5257</v>
      </c>
      <c r="AJ772" s="3" t="s">
        <v>5242</v>
      </c>
    </row>
    <row r="773" spans="1:36">
      <c r="A773" s="5">
        <v>43288</v>
      </c>
      <c r="B773" s="3" t="s">
        <v>2382</v>
      </c>
      <c r="C773" s="3" t="s">
        <v>2383</v>
      </c>
      <c r="D773" s="3" t="s">
        <v>2383</v>
      </c>
      <c r="E773" s="3" t="s">
        <v>2384</v>
      </c>
      <c r="F773" s="3" t="s">
        <v>120</v>
      </c>
      <c r="G773" s="3">
        <v>11</v>
      </c>
      <c r="H773" s="3">
        <v>0</v>
      </c>
      <c r="I773" s="3">
        <v>11</v>
      </c>
      <c r="J773" s="3">
        <v>0</v>
      </c>
      <c r="K773" s="3">
        <v>0</v>
      </c>
      <c r="L773" s="3">
        <v>0</v>
      </c>
      <c r="M773" s="3">
        <v>0</v>
      </c>
      <c r="N773" s="3" t="s">
        <v>5218</v>
      </c>
      <c r="O773" s="3">
        <v>0</v>
      </c>
      <c r="P773" s="3">
        <v>0</v>
      </c>
      <c r="Q773" s="3">
        <v>0</v>
      </c>
      <c r="R773" s="3">
        <v>0</v>
      </c>
      <c r="S773" s="3">
        <v>0</v>
      </c>
      <c r="T773" s="3">
        <v>1</v>
      </c>
      <c r="U773" s="3">
        <v>4</v>
      </c>
      <c r="V773" s="3">
        <v>5</v>
      </c>
      <c r="W773" s="3"/>
      <c r="X773" s="3">
        <v>22.98</v>
      </c>
      <c r="Y773" s="3">
        <v>22.98</v>
      </c>
      <c r="Z773" s="3">
        <v>22</v>
      </c>
      <c r="AA773" s="3">
        <v>0</v>
      </c>
      <c r="AB773" s="3" t="s">
        <v>5228</v>
      </c>
      <c r="AC773" s="3">
        <v>8</v>
      </c>
      <c r="AD773" s="3">
        <v>21.24</v>
      </c>
      <c r="AE773" s="3">
        <v>49</v>
      </c>
      <c r="AF773" s="3">
        <v>0</v>
      </c>
      <c r="AG773" s="3">
        <v>2.400421</v>
      </c>
      <c r="AH773" s="3">
        <v>0.54054054054054</v>
      </c>
      <c r="AI773" s="3" t="s">
        <v>5240</v>
      </c>
      <c r="AJ773" s="3" t="s">
        <v>5222</v>
      </c>
    </row>
    <row r="774" spans="1:36">
      <c r="A774" s="5">
        <v>43288</v>
      </c>
      <c r="B774" s="3" t="s">
        <v>628</v>
      </c>
      <c r="C774" s="3" t="s">
        <v>629</v>
      </c>
      <c r="D774" s="3" t="s">
        <v>629</v>
      </c>
      <c r="E774" s="3" t="s">
        <v>630</v>
      </c>
      <c r="F774" s="3" t="s">
        <v>120</v>
      </c>
      <c r="G774" s="3">
        <v>10</v>
      </c>
      <c r="H774" s="3">
        <v>0</v>
      </c>
      <c r="I774" s="3">
        <v>6</v>
      </c>
      <c r="J774" s="3">
        <v>4</v>
      </c>
      <c r="K774" s="3">
        <v>0</v>
      </c>
      <c r="L774" s="3">
        <v>0</v>
      </c>
      <c r="M774" s="3">
        <v>0</v>
      </c>
      <c r="N774" s="3" t="s">
        <v>5218</v>
      </c>
      <c r="O774" s="3">
        <v>1</v>
      </c>
      <c r="P774" s="3">
        <v>1.9</v>
      </c>
      <c r="Q774" s="3">
        <v>0</v>
      </c>
      <c r="R774" s="3">
        <v>0</v>
      </c>
      <c r="S774" s="3">
        <v>0</v>
      </c>
      <c r="T774" s="3">
        <v>0</v>
      </c>
      <c r="U774" s="3">
        <v>0</v>
      </c>
      <c r="V774" s="3">
        <v>0</v>
      </c>
      <c r="W774" s="3" t="s">
        <v>5227</v>
      </c>
      <c r="X774" s="3">
        <v>24.98</v>
      </c>
      <c r="Y774" s="3">
        <v>24.98</v>
      </c>
      <c r="Z774" s="3">
        <v>24.98</v>
      </c>
      <c r="AA774" s="3">
        <v>0</v>
      </c>
      <c r="AB774" s="3" t="s">
        <v>5228</v>
      </c>
      <c r="AC774" s="3">
        <v>1</v>
      </c>
      <c r="AD774" s="3">
        <v>22.86</v>
      </c>
      <c r="AE774" s="3">
        <v>105</v>
      </c>
      <c r="AF774" s="3">
        <v>0</v>
      </c>
      <c r="AG774" s="3">
        <v>323.113563</v>
      </c>
      <c r="AH774" s="3">
        <v>0</v>
      </c>
      <c r="AI774" s="3" t="s">
        <v>5250</v>
      </c>
      <c r="AJ774" s="3" t="s">
        <v>5222</v>
      </c>
    </row>
    <row r="775" spans="1:36">
      <c r="A775" s="5">
        <v>43288</v>
      </c>
      <c r="B775" s="3" t="s">
        <v>2615</v>
      </c>
      <c r="C775" s="3" t="s">
        <v>1146</v>
      </c>
      <c r="D775" s="3" t="s">
        <v>1146</v>
      </c>
      <c r="E775" s="3" t="s">
        <v>1147</v>
      </c>
      <c r="F775" s="3" t="s">
        <v>120</v>
      </c>
      <c r="G775" s="3">
        <v>26</v>
      </c>
      <c r="H775" s="3">
        <v>0</v>
      </c>
      <c r="I775" s="3">
        <v>26</v>
      </c>
      <c r="J775" s="3">
        <v>0</v>
      </c>
      <c r="K775" s="3">
        <v>0</v>
      </c>
      <c r="L775" s="3">
        <v>0</v>
      </c>
      <c r="M775" s="3">
        <v>0</v>
      </c>
      <c r="N775" s="3" t="s">
        <v>5218</v>
      </c>
      <c r="O775" s="3">
        <v>0</v>
      </c>
      <c r="P775" s="3">
        <v>0</v>
      </c>
      <c r="Q775" s="3">
        <v>0</v>
      </c>
      <c r="R775" s="3">
        <v>0</v>
      </c>
      <c r="S775" s="3">
        <v>7</v>
      </c>
      <c r="T775" s="3">
        <v>17</v>
      </c>
      <c r="U775" s="3">
        <v>30</v>
      </c>
      <c r="V775" s="3">
        <v>38</v>
      </c>
      <c r="W775" s="3"/>
      <c r="X775" s="3">
        <v>35.98</v>
      </c>
      <c r="Y775" s="3">
        <v>22.98</v>
      </c>
      <c r="Z775" s="3">
        <v>22.98</v>
      </c>
      <c r="AA775" s="3">
        <v>0</v>
      </c>
      <c r="AB775" s="3" t="s">
        <v>5223</v>
      </c>
      <c r="AC775" s="3">
        <v>29</v>
      </c>
      <c r="AD775" s="3">
        <v>22.98</v>
      </c>
      <c r="AE775" s="3">
        <v>0</v>
      </c>
      <c r="AF775" s="3">
        <v>0</v>
      </c>
      <c r="AG775" s="3">
        <v>0</v>
      </c>
      <c r="AH775" s="3">
        <v>2.08219178082191</v>
      </c>
      <c r="AI775" s="3" t="s">
        <v>5477</v>
      </c>
      <c r="AJ775" s="3" t="s">
        <v>5222</v>
      </c>
    </row>
    <row r="776" spans="1:36">
      <c r="A776" s="5">
        <v>43288</v>
      </c>
      <c r="B776" s="3" t="s">
        <v>5106</v>
      </c>
      <c r="C776" s="3" t="s">
        <v>5107</v>
      </c>
      <c r="D776" s="3" t="s">
        <v>5107</v>
      </c>
      <c r="E776" s="3" t="s">
        <v>5108</v>
      </c>
      <c r="F776" s="3" t="s">
        <v>120</v>
      </c>
      <c r="G776" s="3">
        <v>2</v>
      </c>
      <c r="H776" s="3">
        <v>0</v>
      </c>
      <c r="I776" s="3">
        <v>0</v>
      </c>
      <c r="J776" s="3">
        <v>0</v>
      </c>
      <c r="K776" s="3">
        <v>2</v>
      </c>
      <c r="L776" s="3">
        <v>0</v>
      </c>
      <c r="M776" s="3">
        <v>0</v>
      </c>
      <c r="N776" s="3" t="s">
        <v>5218</v>
      </c>
      <c r="O776" s="3">
        <v>2</v>
      </c>
      <c r="P776" s="3">
        <v>6.06</v>
      </c>
      <c r="Q776" s="3">
        <v>0</v>
      </c>
      <c r="R776" s="3">
        <v>0</v>
      </c>
      <c r="S776" s="3">
        <v>0</v>
      </c>
      <c r="T776" s="3">
        <v>0</v>
      </c>
      <c r="U776" s="3">
        <v>0</v>
      </c>
      <c r="V776" s="3">
        <v>1</v>
      </c>
      <c r="W776" s="3" t="s">
        <v>5219</v>
      </c>
      <c r="X776" s="3">
        <v>29.98</v>
      </c>
      <c r="Y776" s="3">
        <v>29.98</v>
      </c>
      <c r="Z776" s="3">
        <v>29.98</v>
      </c>
      <c r="AA776" s="3">
        <v>0</v>
      </c>
      <c r="AB776" s="3" t="s">
        <v>5223</v>
      </c>
      <c r="AC776" s="3">
        <v>2</v>
      </c>
      <c r="AD776" s="3">
        <v>29.98</v>
      </c>
      <c r="AE776" s="3">
        <v>0</v>
      </c>
      <c r="AF776" s="3">
        <v>0</v>
      </c>
      <c r="AG776" s="3">
        <v>0</v>
      </c>
      <c r="AH776" s="3">
        <v>0.444444444444444</v>
      </c>
      <c r="AI776" s="3" t="s">
        <v>5478</v>
      </c>
      <c r="AJ776" s="3" t="s">
        <v>5222</v>
      </c>
    </row>
    <row r="777" spans="1:36">
      <c r="A777" s="5">
        <v>43288</v>
      </c>
      <c r="B777" s="3" t="s">
        <v>658</v>
      </c>
      <c r="C777" s="3" t="s">
        <v>659</v>
      </c>
      <c r="D777" s="3" t="s">
        <v>659</v>
      </c>
      <c r="E777" s="3" t="s">
        <v>660</v>
      </c>
      <c r="F777" s="3" t="s">
        <v>120</v>
      </c>
      <c r="G777" s="3">
        <v>8</v>
      </c>
      <c r="H777" s="3">
        <v>0</v>
      </c>
      <c r="I777" s="3">
        <v>8</v>
      </c>
      <c r="J777" s="3">
        <v>0</v>
      </c>
      <c r="K777" s="3">
        <v>0</v>
      </c>
      <c r="L777" s="3">
        <v>0</v>
      </c>
      <c r="M777" s="3">
        <v>0</v>
      </c>
      <c r="N777" s="3" t="s">
        <v>5218</v>
      </c>
      <c r="O777" s="3">
        <v>0</v>
      </c>
      <c r="P777" s="3">
        <v>0</v>
      </c>
      <c r="Q777" s="3">
        <v>0</v>
      </c>
      <c r="R777" s="3">
        <v>0</v>
      </c>
      <c r="S777" s="3">
        <v>1</v>
      </c>
      <c r="T777" s="3">
        <v>2</v>
      </c>
      <c r="U777" s="3">
        <v>6</v>
      </c>
      <c r="V777" s="3">
        <v>7</v>
      </c>
      <c r="W777" s="3"/>
      <c r="X777" s="3">
        <v>24.98</v>
      </c>
      <c r="Y777" s="3">
        <v>24.98</v>
      </c>
      <c r="Z777" s="3">
        <v>24.98</v>
      </c>
      <c r="AA777" s="3">
        <v>0</v>
      </c>
      <c r="AB777" s="3" t="s">
        <v>5228</v>
      </c>
      <c r="AC777" s="3">
        <v>0</v>
      </c>
      <c r="AD777" s="3">
        <v>16.35</v>
      </c>
      <c r="AE777" s="3">
        <v>63</v>
      </c>
      <c r="AF777" s="3">
        <v>0</v>
      </c>
      <c r="AG777" s="3">
        <v>179.708766</v>
      </c>
      <c r="AH777" s="3">
        <v>1.21739130434782</v>
      </c>
      <c r="AI777" s="3" t="s">
        <v>5250</v>
      </c>
      <c r="AJ777" s="3" t="s">
        <v>5222</v>
      </c>
    </row>
    <row r="778" spans="1:36">
      <c r="A778" s="5">
        <v>43288</v>
      </c>
      <c r="B778" s="3" t="s">
        <v>5090</v>
      </c>
      <c r="C778" s="3" t="s">
        <v>4807</v>
      </c>
      <c r="D778" s="3" t="s">
        <v>4807</v>
      </c>
      <c r="E778" s="3" t="s">
        <v>4931</v>
      </c>
      <c r="F778" s="3" t="s">
        <v>120</v>
      </c>
      <c r="G778" s="3">
        <v>7</v>
      </c>
      <c r="H778" s="3">
        <v>0</v>
      </c>
      <c r="I778" s="3">
        <v>0</v>
      </c>
      <c r="J778" s="3">
        <v>7</v>
      </c>
      <c r="K778" s="3">
        <v>0</v>
      </c>
      <c r="L778" s="3">
        <v>0</v>
      </c>
      <c r="M778" s="3">
        <v>0</v>
      </c>
      <c r="N778" s="3" t="s">
        <v>5218</v>
      </c>
      <c r="O778" s="3">
        <v>0</v>
      </c>
      <c r="P778" s="3">
        <v>0</v>
      </c>
      <c r="Q778" s="3">
        <v>0</v>
      </c>
      <c r="R778" s="3">
        <v>0</v>
      </c>
      <c r="S778" s="3">
        <v>1</v>
      </c>
      <c r="T778" s="3">
        <v>2</v>
      </c>
      <c r="U778" s="3">
        <v>4</v>
      </c>
      <c r="V778" s="3">
        <v>4</v>
      </c>
      <c r="W778" s="3"/>
      <c r="X778" s="3">
        <v>22.98</v>
      </c>
      <c r="Y778" s="3">
        <v>22.98</v>
      </c>
      <c r="Z778" s="3">
        <v>22.98</v>
      </c>
      <c r="AA778" s="3">
        <v>0</v>
      </c>
      <c r="AB778" s="3" t="s">
        <v>5223</v>
      </c>
      <c r="AC778" s="3">
        <v>8</v>
      </c>
      <c r="AD778" s="3">
        <v>22.98</v>
      </c>
      <c r="AE778" s="3">
        <v>0</v>
      </c>
      <c r="AF778" s="3">
        <v>0</v>
      </c>
      <c r="AG778" s="3">
        <v>0</v>
      </c>
      <c r="AH778" s="3">
        <v>0.421052631578947</v>
      </c>
      <c r="AI778" s="3" t="s">
        <v>5261</v>
      </c>
      <c r="AJ778" s="3" t="s">
        <v>5222</v>
      </c>
    </row>
    <row r="779" spans="1:36">
      <c r="A779" s="5">
        <v>43288</v>
      </c>
      <c r="B779" s="3" t="s">
        <v>1556</v>
      </c>
      <c r="C779" s="3" t="s">
        <v>1557</v>
      </c>
      <c r="D779" s="3" t="s">
        <v>1557</v>
      </c>
      <c r="E779" s="3" t="s">
        <v>1558</v>
      </c>
      <c r="F779" s="3" t="s">
        <v>120</v>
      </c>
      <c r="G779" s="3">
        <v>2</v>
      </c>
      <c r="H779" s="3">
        <v>0</v>
      </c>
      <c r="I779" s="3">
        <v>2</v>
      </c>
      <c r="J779" s="3">
        <v>0</v>
      </c>
      <c r="K779" s="3">
        <v>0</v>
      </c>
      <c r="L779" s="3">
        <v>0</v>
      </c>
      <c r="M779" s="3">
        <v>0</v>
      </c>
      <c r="N779" s="3" t="s">
        <v>5218</v>
      </c>
      <c r="O779" s="3">
        <v>0</v>
      </c>
      <c r="P779" s="3">
        <v>0</v>
      </c>
      <c r="Q779" s="3">
        <v>0</v>
      </c>
      <c r="R779" s="3">
        <v>0</v>
      </c>
      <c r="S779" s="3">
        <v>0</v>
      </c>
      <c r="T779" s="3">
        <v>5</v>
      </c>
      <c r="U779" s="3">
        <v>6</v>
      </c>
      <c r="V779" s="3">
        <v>10</v>
      </c>
      <c r="W779" s="3"/>
      <c r="X779" s="3">
        <v>22.98</v>
      </c>
      <c r="Y779" s="3">
        <v>22.98</v>
      </c>
      <c r="Z779" s="3">
        <v>22.98</v>
      </c>
      <c r="AA779" s="3">
        <v>0</v>
      </c>
      <c r="AB779" s="3" t="s">
        <v>5223</v>
      </c>
      <c r="AC779" s="3">
        <v>2</v>
      </c>
      <c r="AD779" s="3">
        <v>22.98</v>
      </c>
      <c r="AE779" s="3">
        <v>0</v>
      </c>
      <c r="AF779" s="3">
        <v>0</v>
      </c>
      <c r="AG779" s="3">
        <v>0</v>
      </c>
      <c r="AH779" s="3">
        <v>1.53846153846153</v>
      </c>
      <c r="AI779" s="3" t="s">
        <v>5248</v>
      </c>
      <c r="AJ779" s="3" t="s">
        <v>5222</v>
      </c>
    </row>
    <row r="780" spans="1:36">
      <c r="A780" s="5">
        <v>43288</v>
      </c>
      <c r="B780" s="3" t="s">
        <v>196</v>
      </c>
      <c r="C780" s="3" t="s">
        <v>197</v>
      </c>
      <c r="D780" s="3" t="s">
        <v>197</v>
      </c>
      <c r="E780" s="3" t="s">
        <v>198</v>
      </c>
      <c r="F780" s="3" t="s">
        <v>120</v>
      </c>
      <c r="G780" s="3">
        <v>1</v>
      </c>
      <c r="H780" s="3">
        <v>0</v>
      </c>
      <c r="I780" s="3">
        <v>0</v>
      </c>
      <c r="J780" s="3">
        <v>0</v>
      </c>
      <c r="K780" s="3">
        <v>1</v>
      </c>
      <c r="L780" s="3">
        <v>0</v>
      </c>
      <c r="M780" s="3">
        <v>0</v>
      </c>
      <c r="N780" s="3" t="s">
        <v>5218</v>
      </c>
      <c r="O780" s="3">
        <v>1</v>
      </c>
      <c r="P780" s="3">
        <v>7.59</v>
      </c>
      <c r="Q780" s="3">
        <v>0</v>
      </c>
      <c r="R780" s="3">
        <v>0</v>
      </c>
      <c r="S780" s="3">
        <v>0</v>
      </c>
      <c r="T780" s="3">
        <v>0</v>
      </c>
      <c r="U780" s="3">
        <v>0</v>
      </c>
      <c r="V780" s="3">
        <v>0</v>
      </c>
      <c r="W780" s="3" t="s">
        <v>5219</v>
      </c>
      <c r="X780" s="3">
        <v>65.98</v>
      </c>
      <c r="Y780" s="3">
        <v>65.98</v>
      </c>
      <c r="Z780" s="3">
        <v>65.98</v>
      </c>
      <c r="AA780" s="3">
        <v>0</v>
      </c>
      <c r="AB780" s="3" t="s">
        <v>5220</v>
      </c>
      <c r="AC780" s="3">
        <v>0</v>
      </c>
      <c r="AD780" s="3">
        <v>58.39</v>
      </c>
      <c r="AE780" s="3">
        <v>35</v>
      </c>
      <c r="AF780" s="3">
        <v>0</v>
      </c>
      <c r="AG780" s="3">
        <v>103.871472</v>
      </c>
      <c r="AH780" s="3">
        <v>0</v>
      </c>
      <c r="AI780" s="3" t="s">
        <v>5340</v>
      </c>
      <c r="AJ780" s="3" t="s">
        <v>5222</v>
      </c>
    </row>
    <row r="781" spans="1:36">
      <c r="A781" s="5">
        <v>43288</v>
      </c>
      <c r="B781" s="3" t="s">
        <v>4312</v>
      </c>
      <c r="C781" s="3" t="s">
        <v>4313</v>
      </c>
      <c r="D781" s="3" t="s">
        <v>4313</v>
      </c>
      <c r="E781" s="3" t="s">
        <v>4314</v>
      </c>
      <c r="F781" s="3" t="s">
        <v>120</v>
      </c>
      <c r="G781" s="3">
        <v>6</v>
      </c>
      <c r="H781" s="3">
        <v>0</v>
      </c>
      <c r="I781" s="3">
        <v>6</v>
      </c>
      <c r="J781" s="3">
        <v>0</v>
      </c>
      <c r="K781" s="3">
        <v>0</v>
      </c>
      <c r="L781" s="3">
        <v>0</v>
      </c>
      <c r="M781" s="3">
        <v>0</v>
      </c>
      <c r="N781" s="3" t="s">
        <v>5218</v>
      </c>
      <c r="O781" s="3">
        <v>0</v>
      </c>
      <c r="P781" s="3">
        <v>0</v>
      </c>
      <c r="Q781" s="3">
        <v>0</v>
      </c>
      <c r="R781" s="3">
        <v>0</v>
      </c>
      <c r="S781" s="3">
        <v>0</v>
      </c>
      <c r="T781" s="3">
        <v>3</v>
      </c>
      <c r="U781" s="3">
        <v>5</v>
      </c>
      <c r="V781" s="3">
        <v>9</v>
      </c>
      <c r="W781" s="3"/>
      <c r="X781" s="3">
        <v>23.98</v>
      </c>
      <c r="Y781" s="3">
        <v>23.98</v>
      </c>
      <c r="Z781" s="3">
        <v>23.98</v>
      </c>
      <c r="AA781" s="3">
        <v>0</v>
      </c>
      <c r="AB781" s="3" t="s">
        <v>5223</v>
      </c>
      <c r="AC781" s="3">
        <v>6</v>
      </c>
      <c r="AD781" s="3">
        <v>23.98</v>
      </c>
      <c r="AE781" s="3">
        <v>0</v>
      </c>
      <c r="AF781" s="3">
        <v>0</v>
      </c>
      <c r="AG781" s="3">
        <v>0</v>
      </c>
      <c r="AH781" s="3">
        <v>1.33333333333333</v>
      </c>
      <c r="AI781" s="3" t="s">
        <v>5479</v>
      </c>
      <c r="AJ781" s="3" t="s">
        <v>5222</v>
      </c>
    </row>
    <row r="782" spans="1:36">
      <c r="A782" s="5">
        <v>43288</v>
      </c>
      <c r="B782" s="3" t="s">
        <v>2853</v>
      </c>
      <c r="C782" s="3" t="s">
        <v>2854</v>
      </c>
      <c r="D782" s="3" t="s">
        <v>2854</v>
      </c>
      <c r="E782" s="3" t="s">
        <v>1766</v>
      </c>
      <c r="F782" s="3" t="s">
        <v>120</v>
      </c>
      <c r="G782" s="3">
        <v>12</v>
      </c>
      <c r="H782" s="3">
        <v>0</v>
      </c>
      <c r="I782" s="3">
        <v>0</v>
      </c>
      <c r="J782" s="3">
        <v>12</v>
      </c>
      <c r="K782" s="3">
        <v>0</v>
      </c>
      <c r="L782" s="3">
        <v>0</v>
      </c>
      <c r="M782" s="3">
        <v>0</v>
      </c>
      <c r="N782" s="3" t="s">
        <v>5218</v>
      </c>
      <c r="O782" s="3">
        <v>2</v>
      </c>
      <c r="P782" s="3">
        <v>3.71</v>
      </c>
      <c r="Q782" s="3">
        <v>0</v>
      </c>
      <c r="R782" s="3">
        <v>0</v>
      </c>
      <c r="S782" s="3">
        <v>1</v>
      </c>
      <c r="T782" s="3">
        <v>1</v>
      </c>
      <c r="U782" s="3">
        <v>3</v>
      </c>
      <c r="V782" s="3">
        <v>6</v>
      </c>
      <c r="W782" s="3"/>
      <c r="X782" s="3">
        <v>25.98</v>
      </c>
      <c r="Y782" s="3">
        <v>25.98</v>
      </c>
      <c r="Z782" s="3">
        <v>25.98</v>
      </c>
      <c r="AA782" s="3">
        <v>0</v>
      </c>
      <c r="AB782" s="3" t="s">
        <v>5228</v>
      </c>
      <c r="AC782" s="3">
        <v>1</v>
      </c>
      <c r="AD782" s="3">
        <v>23.5</v>
      </c>
      <c r="AE782" s="3">
        <v>161</v>
      </c>
      <c r="AF782" s="3">
        <v>0</v>
      </c>
      <c r="AG782" s="3">
        <v>393.343827</v>
      </c>
      <c r="AH782" s="3">
        <v>0.413793103448275</v>
      </c>
      <c r="AI782" s="3" t="s">
        <v>5254</v>
      </c>
      <c r="AJ782" s="3" t="s">
        <v>5222</v>
      </c>
    </row>
    <row r="783" spans="1:36">
      <c r="A783" s="5">
        <v>43288</v>
      </c>
      <c r="B783" s="3" t="s">
        <v>2042</v>
      </c>
      <c r="C783" s="3" t="s">
        <v>2043</v>
      </c>
      <c r="D783" s="3" t="s">
        <v>2043</v>
      </c>
      <c r="E783" s="3" t="s">
        <v>2044</v>
      </c>
      <c r="F783" s="3" t="s">
        <v>120</v>
      </c>
      <c r="G783" s="3">
        <v>59</v>
      </c>
      <c r="H783" s="3">
        <v>0</v>
      </c>
      <c r="I783" s="3">
        <v>59</v>
      </c>
      <c r="J783" s="3">
        <v>0</v>
      </c>
      <c r="K783" s="3">
        <v>0</v>
      </c>
      <c r="L783" s="3">
        <v>0</v>
      </c>
      <c r="M783" s="3">
        <v>0</v>
      </c>
      <c r="N783" s="3" t="s">
        <v>5218</v>
      </c>
      <c r="O783" s="3">
        <v>0</v>
      </c>
      <c r="P783" s="3">
        <v>0</v>
      </c>
      <c r="Q783" s="3">
        <v>0</v>
      </c>
      <c r="R783" s="3">
        <v>0</v>
      </c>
      <c r="S783" s="3">
        <v>3</v>
      </c>
      <c r="T783" s="3">
        <v>16</v>
      </c>
      <c r="U783" s="3">
        <v>43</v>
      </c>
      <c r="V783" s="3">
        <v>58</v>
      </c>
      <c r="W783" s="3"/>
      <c r="X783" s="3">
        <v>22.98</v>
      </c>
      <c r="Y783" s="3">
        <v>22.98</v>
      </c>
      <c r="Z783" s="3">
        <v>22.98</v>
      </c>
      <c r="AA783" s="3">
        <v>0</v>
      </c>
      <c r="AB783" s="3" t="s">
        <v>5223</v>
      </c>
      <c r="AC783" s="3">
        <v>60</v>
      </c>
      <c r="AD783" s="3">
        <v>22.98</v>
      </c>
      <c r="AE783" s="3">
        <v>0</v>
      </c>
      <c r="AF783" s="3">
        <v>0</v>
      </c>
      <c r="AG783" s="3">
        <v>0</v>
      </c>
      <c r="AH783" s="3">
        <v>1.20833333333333</v>
      </c>
      <c r="AI783" s="3" t="s">
        <v>5366</v>
      </c>
      <c r="AJ783" s="3" t="s">
        <v>5222</v>
      </c>
    </row>
    <row r="784" spans="1:36">
      <c r="A784" s="5">
        <v>43288</v>
      </c>
      <c r="B784" s="3" t="s">
        <v>1884</v>
      </c>
      <c r="C784" s="3" t="s">
        <v>1885</v>
      </c>
      <c r="D784" s="3" t="s">
        <v>1885</v>
      </c>
      <c r="E784" s="3" t="s">
        <v>1886</v>
      </c>
      <c r="F784" s="3" t="s">
        <v>120</v>
      </c>
      <c r="G784" s="3">
        <v>9</v>
      </c>
      <c r="H784" s="3">
        <v>0</v>
      </c>
      <c r="I784" s="3">
        <v>9</v>
      </c>
      <c r="J784" s="3">
        <v>0</v>
      </c>
      <c r="K784" s="3">
        <v>0</v>
      </c>
      <c r="L784" s="3">
        <v>0</v>
      </c>
      <c r="M784" s="3">
        <v>0</v>
      </c>
      <c r="N784" s="3" t="s">
        <v>5218</v>
      </c>
      <c r="O784" s="3">
        <v>0</v>
      </c>
      <c r="P784" s="3">
        <v>0</v>
      </c>
      <c r="Q784" s="3">
        <v>0</v>
      </c>
      <c r="R784" s="3">
        <v>0</v>
      </c>
      <c r="S784" s="3">
        <v>1</v>
      </c>
      <c r="T784" s="3">
        <v>11</v>
      </c>
      <c r="U784" s="3">
        <v>18</v>
      </c>
      <c r="V784" s="3">
        <v>36</v>
      </c>
      <c r="W784" s="3"/>
      <c r="X784" s="3">
        <v>19.98</v>
      </c>
      <c r="Y784" s="3">
        <v>19.98</v>
      </c>
      <c r="Z784" s="3">
        <v>19.98</v>
      </c>
      <c r="AA784" s="3">
        <v>0</v>
      </c>
      <c r="AB784" s="3" t="s">
        <v>5223</v>
      </c>
      <c r="AC784" s="3">
        <v>9</v>
      </c>
      <c r="AD784" s="3">
        <v>19.98</v>
      </c>
      <c r="AE784" s="3">
        <v>0</v>
      </c>
      <c r="AF784" s="3">
        <v>0</v>
      </c>
      <c r="AG784" s="3">
        <v>0</v>
      </c>
      <c r="AH784" s="3">
        <v>3.78947368421052</v>
      </c>
      <c r="AI784" s="3" t="s">
        <v>5236</v>
      </c>
      <c r="AJ784" s="3" t="s">
        <v>5222</v>
      </c>
    </row>
    <row r="785" spans="1:36">
      <c r="A785" s="5">
        <v>43288</v>
      </c>
      <c r="B785" s="3" t="s">
        <v>2231</v>
      </c>
      <c r="C785" s="3" t="s">
        <v>2232</v>
      </c>
      <c r="D785" s="3" t="s">
        <v>2232</v>
      </c>
      <c r="E785" s="3" t="s">
        <v>2233</v>
      </c>
      <c r="F785" s="3" t="s">
        <v>120</v>
      </c>
      <c r="G785" s="3">
        <v>13</v>
      </c>
      <c r="H785" s="3">
        <v>0</v>
      </c>
      <c r="I785" s="3">
        <v>5</v>
      </c>
      <c r="J785" s="3">
        <v>8</v>
      </c>
      <c r="K785" s="3">
        <v>0</v>
      </c>
      <c r="L785" s="3">
        <v>0</v>
      </c>
      <c r="M785" s="3">
        <v>0</v>
      </c>
      <c r="N785" s="3" t="s">
        <v>5218</v>
      </c>
      <c r="O785" s="3">
        <v>0</v>
      </c>
      <c r="P785" s="3">
        <v>0</v>
      </c>
      <c r="Q785" s="3">
        <v>0</v>
      </c>
      <c r="R785" s="3">
        <v>0</v>
      </c>
      <c r="S785" s="3">
        <v>1</v>
      </c>
      <c r="T785" s="3">
        <v>4</v>
      </c>
      <c r="U785" s="3">
        <v>7</v>
      </c>
      <c r="V785" s="3">
        <v>11</v>
      </c>
      <c r="W785" s="3"/>
      <c r="X785" s="3">
        <v>22.98</v>
      </c>
      <c r="Y785" s="3">
        <v>22.98</v>
      </c>
      <c r="Z785" s="3">
        <v>22</v>
      </c>
      <c r="AA785" s="3">
        <v>0</v>
      </c>
      <c r="AB785" s="3" t="s">
        <v>5223</v>
      </c>
      <c r="AC785" s="3">
        <v>14</v>
      </c>
      <c r="AD785" s="3">
        <v>22.98</v>
      </c>
      <c r="AE785" s="3">
        <v>0</v>
      </c>
      <c r="AF785" s="3">
        <v>0</v>
      </c>
      <c r="AG785" s="3">
        <v>0</v>
      </c>
      <c r="AH785" s="3">
        <v>0.637681159420289</v>
      </c>
      <c r="AI785" s="3" t="s">
        <v>5260</v>
      </c>
      <c r="AJ785" s="3" t="s">
        <v>5222</v>
      </c>
    </row>
    <row r="786" spans="1:36">
      <c r="A786" s="5">
        <v>43288</v>
      </c>
      <c r="B786" s="3" t="s">
        <v>685</v>
      </c>
      <c r="C786" s="3" t="s">
        <v>686</v>
      </c>
      <c r="D786" s="3" t="s">
        <v>686</v>
      </c>
      <c r="E786" s="3" t="s">
        <v>687</v>
      </c>
      <c r="F786" s="3" t="s">
        <v>120</v>
      </c>
      <c r="G786" s="3">
        <v>9</v>
      </c>
      <c r="H786" s="3">
        <v>0</v>
      </c>
      <c r="I786" s="3">
        <v>7</v>
      </c>
      <c r="J786" s="3">
        <v>2</v>
      </c>
      <c r="K786" s="3">
        <v>0</v>
      </c>
      <c r="L786" s="3">
        <v>0</v>
      </c>
      <c r="M786" s="3">
        <v>0</v>
      </c>
      <c r="N786" s="3" t="s">
        <v>5218</v>
      </c>
      <c r="O786" s="3">
        <v>2</v>
      </c>
      <c r="P786" s="3">
        <v>3.8</v>
      </c>
      <c r="Q786" s="3">
        <v>0</v>
      </c>
      <c r="R786" s="3">
        <v>0</v>
      </c>
      <c r="S786" s="3">
        <v>0</v>
      </c>
      <c r="T786" s="3">
        <v>1</v>
      </c>
      <c r="U786" s="3">
        <v>1</v>
      </c>
      <c r="V786" s="3">
        <v>1</v>
      </c>
      <c r="W786" s="3"/>
      <c r="X786" s="3">
        <v>24.98</v>
      </c>
      <c r="Y786" s="3">
        <v>24.98</v>
      </c>
      <c r="Z786" s="3">
        <v>24.98</v>
      </c>
      <c r="AA786" s="3">
        <v>0</v>
      </c>
      <c r="AB786" s="3" t="s">
        <v>5228</v>
      </c>
      <c r="AC786" s="3">
        <v>7</v>
      </c>
      <c r="AD786" s="3">
        <v>23.68</v>
      </c>
      <c r="AE786" s="3">
        <v>14</v>
      </c>
      <c r="AF786" s="3">
        <v>0</v>
      </c>
      <c r="AG786" s="3">
        <v>299.685423</v>
      </c>
      <c r="AH786" s="3">
        <v>0.222222222222222</v>
      </c>
      <c r="AI786" s="3" t="s">
        <v>5250</v>
      </c>
      <c r="AJ786" s="3" t="s">
        <v>5222</v>
      </c>
    </row>
    <row r="787" spans="1:36">
      <c r="A787" s="5">
        <v>43288</v>
      </c>
      <c r="B787" s="3" t="s">
        <v>1731</v>
      </c>
      <c r="C787" s="3" t="s">
        <v>1732</v>
      </c>
      <c r="D787" s="3" t="s">
        <v>1732</v>
      </c>
      <c r="E787" s="3" t="s">
        <v>1733</v>
      </c>
      <c r="F787" s="3" t="s">
        <v>120</v>
      </c>
      <c r="G787" s="3">
        <v>3</v>
      </c>
      <c r="H787" s="3">
        <v>0</v>
      </c>
      <c r="I787" s="3">
        <v>0</v>
      </c>
      <c r="J787" s="3">
        <v>1</v>
      </c>
      <c r="K787" s="3">
        <v>2</v>
      </c>
      <c r="L787" s="3">
        <v>0</v>
      </c>
      <c r="M787" s="3">
        <v>0</v>
      </c>
      <c r="N787" s="3" t="s">
        <v>5218</v>
      </c>
      <c r="O787" s="3">
        <v>2</v>
      </c>
      <c r="P787" s="3">
        <v>2.6</v>
      </c>
      <c r="Q787" s="3">
        <v>0</v>
      </c>
      <c r="R787" s="3">
        <v>0</v>
      </c>
      <c r="S787" s="3">
        <v>1</v>
      </c>
      <c r="T787" s="3">
        <v>1</v>
      </c>
      <c r="U787" s="3">
        <v>3</v>
      </c>
      <c r="V787" s="3">
        <v>6</v>
      </c>
      <c r="W787" s="3"/>
      <c r="X787" s="3">
        <v>25.98</v>
      </c>
      <c r="Y787" s="3">
        <v>25.98</v>
      </c>
      <c r="Z787" s="3">
        <v>25.98</v>
      </c>
      <c r="AA787" s="3">
        <v>0</v>
      </c>
      <c r="AB787" s="3" t="s">
        <v>5228</v>
      </c>
      <c r="AC787" s="3">
        <v>1</v>
      </c>
      <c r="AD787" s="3">
        <v>24.06</v>
      </c>
      <c r="AE787" s="3">
        <v>63</v>
      </c>
      <c r="AF787" s="3">
        <v>0</v>
      </c>
      <c r="AG787" s="3">
        <v>67.479716</v>
      </c>
      <c r="AH787" s="3">
        <v>1.09090909090909</v>
      </c>
      <c r="AI787" s="3" t="s">
        <v>5229</v>
      </c>
      <c r="AJ787" s="3" t="s">
        <v>5222</v>
      </c>
    </row>
    <row r="788" spans="1:36">
      <c r="A788" s="5">
        <v>43288</v>
      </c>
      <c r="B788" s="3" t="s">
        <v>2480</v>
      </c>
      <c r="C788" s="3" t="s">
        <v>2481</v>
      </c>
      <c r="D788" s="3" t="s">
        <v>2481</v>
      </c>
      <c r="E788" s="3" t="s">
        <v>2482</v>
      </c>
      <c r="F788" s="3" t="s">
        <v>120</v>
      </c>
      <c r="G788" s="3">
        <v>29</v>
      </c>
      <c r="H788" s="3">
        <v>0</v>
      </c>
      <c r="I788" s="3">
        <v>27</v>
      </c>
      <c r="J788" s="3">
        <v>0</v>
      </c>
      <c r="K788" s="3">
        <v>2</v>
      </c>
      <c r="L788" s="3">
        <v>0</v>
      </c>
      <c r="M788" s="3">
        <v>0</v>
      </c>
      <c r="N788" s="3" t="s">
        <v>5218</v>
      </c>
      <c r="O788" s="3">
        <v>2</v>
      </c>
      <c r="P788" s="3">
        <v>3.66</v>
      </c>
      <c r="Q788" s="3">
        <v>0</v>
      </c>
      <c r="R788" s="3">
        <v>0</v>
      </c>
      <c r="S788" s="3">
        <v>0</v>
      </c>
      <c r="T788" s="3">
        <v>0</v>
      </c>
      <c r="U788" s="3">
        <v>0</v>
      </c>
      <c r="V788" s="3">
        <v>2</v>
      </c>
      <c r="W788" s="3" t="s">
        <v>5227</v>
      </c>
      <c r="X788" s="3">
        <v>22.98</v>
      </c>
      <c r="Y788" s="3">
        <v>22.98</v>
      </c>
      <c r="Z788" s="3">
        <v>22</v>
      </c>
      <c r="AA788" s="3">
        <v>0</v>
      </c>
      <c r="AB788" s="3" t="s">
        <v>5228</v>
      </c>
      <c r="AC788" s="3">
        <v>0</v>
      </c>
      <c r="AD788" s="3">
        <v>17.58</v>
      </c>
      <c r="AE788" s="3">
        <v>364</v>
      </c>
      <c r="AF788" s="3">
        <v>0</v>
      </c>
      <c r="AG788" s="3">
        <v>716.911578</v>
      </c>
      <c r="AH788" s="3">
        <v>0.0879120879120879</v>
      </c>
      <c r="AI788" s="3" t="s">
        <v>5311</v>
      </c>
      <c r="AJ788" s="3" t="s">
        <v>5222</v>
      </c>
    </row>
    <row r="789" spans="1:36">
      <c r="A789" s="5">
        <v>43288</v>
      </c>
      <c r="B789" s="3" t="s">
        <v>4495</v>
      </c>
      <c r="C789" s="3" t="s">
        <v>3707</v>
      </c>
      <c r="D789" s="3" t="s">
        <v>3707</v>
      </c>
      <c r="E789" s="3" t="s">
        <v>3708</v>
      </c>
      <c r="F789" s="3" t="s">
        <v>120</v>
      </c>
      <c r="G789" s="3">
        <v>5</v>
      </c>
      <c r="H789" s="3">
        <v>0</v>
      </c>
      <c r="I789" s="3">
        <v>0</v>
      </c>
      <c r="J789" s="3">
        <v>0</v>
      </c>
      <c r="K789" s="3">
        <v>5</v>
      </c>
      <c r="L789" s="3">
        <v>0</v>
      </c>
      <c r="M789" s="3">
        <v>0</v>
      </c>
      <c r="N789" s="3" t="s">
        <v>5218</v>
      </c>
      <c r="O789" s="3">
        <v>5</v>
      </c>
      <c r="P789" s="3">
        <v>4.97</v>
      </c>
      <c r="Q789" s="3">
        <v>0</v>
      </c>
      <c r="R789" s="3">
        <v>0</v>
      </c>
      <c r="S789" s="3">
        <v>0</v>
      </c>
      <c r="T789" s="3">
        <v>0</v>
      </c>
      <c r="U789" s="3">
        <v>0</v>
      </c>
      <c r="V789" s="3">
        <v>2</v>
      </c>
      <c r="W789" s="3" t="s">
        <v>5227</v>
      </c>
      <c r="X789" s="3">
        <v>24.98</v>
      </c>
      <c r="Y789" s="3">
        <v>24.98</v>
      </c>
      <c r="Z789" s="3">
        <v>24.98</v>
      </c>
      <c r="AA789" s="3">
        <v>0</v>
      </c>
      <c r="AB789" s="3" t="s">
        <v>5228</v>
      </c>
      <c r="AC789" s="3">
        <v>0</v>
      </c>
      <c r="AD789" s="3">
        <v>22.95</v>
      </c>
      <c r="AE789" s="3">
        <v>133</v>
      </c>
      <c r="AF789" s="3">
        <v>0</v>
      </c>
      <c r="AG789" s="3">
        <v>108.355596</v>
      </c>
      <c r="AH789" s="3">
        <v>0.363636363636363</v>
      </c>
      <c r="AI789" s="3" t="s">
        <v>5263</v>
      </c>
      <c r="AJ789" s="3" t="s">
        <v>5222</v>
      </c>
    </row>
    <row r="790" spans="1:36">
      <c r="A790" s="5">
        <v>43288</v>
      </c>
      <c r="B790" s="3" t="s">
        <v>2450</v>
      </c>
      <c r="C790" s="3" t="s">
        <v>2451</v>
      </c>
      <c r="D790" s="3" t="s">
        <v>2451</v>
      </c>
      <c r="E790" s="3" t="s">
        <v>2452</v>
      </c>
      <c r="F790" s="3" t="s">
        <v>120</v>
      </c>
      <c r="G790" s="3">
        <v>27</v>
      </c>
      <c r="H790" s="3">
        <v>0</v>
      </c>
      <c r="I790" s="3">
        <v>27</v>
      </c>
      <c r="J790" s="3">
        <v>0</v>
      </c>
      <c r="K790" s="3">
        <v>0</v>
      </c>
      <c r="L790" s="3">
        <v>0</v>
      </c>
      <c r="M790" s="3">
        <v>0</v>
      </c>
      <c r="N790" s="3" t="s">
        <v>5218</v>
      </c>
      <c r="O790" s="3">
        <v>0</v>
      </c>
      <c r="P790" s="3">
        <v>0</v>
      </c>
      <c r="Q790" s="3">
        <v>0</v>
      </c>
      <c r="R790" s="3">
        <v>0</v>
      </c>
      <c r="S790" s="3">
        <v>0</v>
      </c>
      <c r="T790" s="3">
        <v>1</v>
      </c>
      <c r="U790" s="3">
        <v>6</v>
      </c>
      <c r="V790" s="3">
        <v>8</v>
      </c>
      <c r="W790" s="3"/>
      <c r="X790" s="3">
        <v>22.98</v>
      </c>
      <c r="Y790" s="3">
        <v>22.98</v>
      </c>
      <c r="Z790" s="3">
        <v>22</v>
      </c>
      <c r="AA790" s="3">
        <v>0</v>
      </c>
      <c r="AB790" s="3" t="s">
        <v>5228</v>
      </c>
      <c r="AC790" s="3">
        <v>1</v>
      </c>
      <c r="AD790" s="3">
        <v>10.52</v>
      </c>
      <c r="AE790" s="3">
        <v>182</v>
      </c>
      <c r="AF790" s="3">
        <v>0</v>
      </c>
      <c r="AG790" s="3">
        <v>548.629682</v>
      </c>
      <c r="AH790" s="3">
        <v>0.484848484848484</v>
      </c>
      <c r="AI790" s="3" t="s">
        <v>5480</v>
      </c>
      <c r="AJ790" s="3" t="s">
        <v>5222</v>
      </c>
    </row>
    <row r="791" spans="1:36">
      <c r="A791" s="5">
        <v>43288</v>
      </c>
      <c r="B791" s="3" t="s">
        <v>1502</v>
      </c>
      <c r="C791" s="3" t="s">
        <v>62</v>
      </c>
      <c r="D791" s="3" t="s">
        <v>62</v>
      </c>
      <c r="E791" s="3" t="s">
        <v>1503</v>
      </c>
      <c r="F791" s="3" t="s">
        <v>120</v>
      </c>
      <c r="G791" s="3">
        <v>42</v>
      </c>
      <c r="H791" s="3">
        <v>0</v>
      </c>
      <c r="I791" s="3">
        <v>23</v>
      </c>
      <c r="J791" s="3">
        <v>19</v>
      </c>
      <c r="K791" s="3">
        <v>0</v>
      </c>
      <c r="L791" s="3">
        <v>0</v>
      </c>
      <c r="M791" s="3">
        <v>0</v>
      </c>
      <c r="N791" s="3" t="s">
        <v>5218</v>
      </c>
      <c r="O791" s="3">
        <v>12</v>
      </c>
      <c r="P791" s="3">
        <v>21.58</v>
      </c>
      <c r="Q791" s="3">
        <v>0</v>
      </c>
      <c r="R791" s="3">
        <v>0</v>
      </c>
      <c r="S791" s="3">
        <v>2</v>
      </c>
      <c r="T791" s="3">
        <v>4</v>
      </c>
      <c r="U791" s="3">
        <v>9</v>
      </c>
      <c r="V791" s="3">
        <v>11</v>
      </c>
      <c r="W791" s="3"/>
      <c r="X791" s="3">
        <v>22.98</v>
      </c>
      <c r="Y791" s="3">
        <v>22.98</v>
      </c>
      <c r="Z791" s="3">
        <v>19.98</v>
      </c>
      <c r="AA791" s="3">
        <v>0</v>
      </c>
      <c r="AB791" s="3" t="s">
        <v>5228</v>
      </c>
      <c r="AC791" s="3">
        <v>0</v>
      </c>
      <c r="AD791" s="3">
        <v>10.52</v>
      </c>
      <c r="AE791" s="3">
        <v>301</v>
      </c>
      <c r="AF791" s="3">
        <v>0</v>
      </c>
      <c r="AG791" s="3">
        <v>795.97896</v>
      </c>
      <c r="AH791" s="3">
        <v>0.260355029585798</v>
      </c>
      <c r="AI791" s="3" t="s">
        <v>5481</v>
      </c>
      <c r="AJ791" s="3" t="s">
        <v>5222</v>
      </c>
    </row>
    <row r="792" spans="1:36">
      <c r="A792" s="5">
        <v>43288</v>
      </c>
      <c r="B792" s="3" t="s">
        <v>467</v>
      </c>
      <c r="C792" s="3" t="s">
        <v>302</v>
      </c>
      <c r="D792" s="3" t="s">
        <v>302</v>
      </c>
      <c r="E792" s="3" t="s">
        <v>468</v>
      </c>
      <c r="F792" s="3" t="s">
        <v>120</v>
      </c>
      <c r="G792" s="3">
        <v>27</v>
      </c>
      <c r="H792" s="3">
        <v>0</v>
      </c>
      <c r="I792" s="3">
        <v>2</v>
      </c>
      <c r="J792" s="3">
        <v>25</v>
      </c>
      <c r="K792" s="3">
        <v>0</v>
      </c>
      <c r="L792" s="3">
        <v>0</v>
      </c>
      <c r="M792" s="3">
        <v>0</v>
      </c>
      <c r="N792" s="3" t="s">
        <v>5218</v>
      </c>
      <c r="O792" s="3">
        <v>2</v>
      </c>
      <c r="P792" s="3">
        <v>1.37</v>
      </c>
      <c r="Q792" s="3">
        <v>0</v>
      </c>
      <c r="R792" s="3">
        <v>0</v>
      </c>
      <c r="S792" s="3">
        <v>0</v>
      </c>
      <c r="T792" s="3">
        <v>4</v>
      </c>
      <c r="U792" s="3">
        <v>8</v>
      </c>
      <c r="V792" s="3">
        <v>15</v>
      </c>
      <c r="W792" s="3"/>
      <c r="X792" s="3">
        <v>24.98</v>
      </c>
      <c r="Y792" s="3">
        <v>24.98</v>
      </c>
      <c r="Z792" s="3">
        <v>24.98</v>
      </c>
      <c r="AA792" s="3">
        <v>0</v>
      </c>
      <c r="AB792" s="3" t="s">
        <v>5223</v>
      </c>
      <c r="AC792" s="3">
        <v>27</v>
      </c>
      <c r="AD792" s="3">
        <v>24.98</v>
      </c>
      <c r="AE792" s="3">
        <v>0</v>
      </c>
      <c r="AF792" s="3">
        <v>0</v>
      </c>
      <c r="AG792" s="3">
        <v>0</v>
      </c>
      <c r="AH792" s="3">
        <v>0.384615384615384</v>
      </c>
      <c r="AI792" s="3" t="s">
        <v>5224</v>
      </c>
      <c r="AJ792" s="3" t="s">
        <v>5222</v>
      </c>
    </row>
    <row r="793" spans="1:36">
      <c r="A793" s="5">
        <v>43288</v>
      </c>
      <c r="B793" s="3" t="s">
        <v>2358</v>
      </c>
      <c r="C793" s="3" t="s">
        <v>2359</v>
      </c>
      <c r="D793" s="3" t="s">
        <v>2359</v>
      </c>
      <c r="E793" s="3" t="s">
        <v>2360</v>
      </c>
      <c r="F793" s="3" t="s">
        <v>120</v>
      </c>
      <c r="G793" s="3">
        <v>11</v>
      </c>
      <c r="H793" s="3">
        <v>0</v>
      </c>
      <c r="I793" s="3">
        <v>0</v>
      </c>
      <c r="J793" s="3">
        <v>9</v>
      </c>
      <c r="K793" s="3">
        <v>2</v>
      </c>
      <c r="L793" s="3">
        <v>0</v>
      </c>
      <c r="M793" s="3">
        <v>0</v>
      </c>
      <c r="N793" s="3" t="s">
        <v>5218</v>
      </c>
      <c r="O793" s="3">
        <v>11</v>
      </c>
      <c r="P793" s="3">
        <v>16.74</v>
      </c>
      <c r="Q793" s="3">
        <v>0</v>
      </c>
      <c r="R793" s="3">
        <v>0</v>
      </c>
      <c r="S793" s="3">
        <v>0</v>
      </c>
      <c r="T793" s="3">
        <v>0</v>
      </c>
      <c r="U793" s="3">
        <v>0</v>
      </c>
      <c r="V793" s="3">
        <v>0</v>
      </c>
      <c r="W793" s="3" t="s">
        <v>5227</v>
      </c>
      <c r="X793" s="3">
        <v>22.98</v>
      </c>
      <c r="Y793" s="3">
        <v>22.98</v>
      </c>
      <c r="Z793" s="3">
        <v>22.98</v>
      </c>
      <c r="AA793" s="3">
        <v>0</v>
      </c>
      <c r="AB793" s="3" t="s">
        <v>5228</v>
      </c>
      <c r="AC793" s="3">
        <v>9</v>
      </c>
      <c r="AD793" s="3">
        <v>21.06</v>
      </c>
      <c r="AE793" s="3">
        <v>35</v>
      </c>
      <c r="AF793" s="3">
        <v>0</v>
      </c>
      <c r="AG793" s="3">
        <v>0.290377</v>
      </c>
      <c r="AH793" s="3">
        <v>0</v>
      </c>
      <c r="AI793" s="3" t="s">
        <v>5271</v>
      </c>
      <c r="AJ793" s="3" t="s">
        <v>5222</v>
      </c>
    </row>
    <row r="794" spans="1:36">
      <c r="A794" s="5">
        <v>43288</v>
      </c>
      <c r="B794" s="3" t="s">
        <v>4017</v>
      </c>
      <c r="C794" s="3" t="s">
        <v>4018</v>
      </c>
      <c r="D794" s="3" t="s">
        <v>4019</v>
      </c>
      <c r="E794" s="3" t="s">
        <v>4020</v>
      </c>
      <c r="F794" s="3" t="s">
        <v>120</v>
      </c>
      <c r="G794" s="3">
        <v>10</v>
      </c>
      <c r="H794" s="3">
        <v>0</v>
      </c>
      <c r="I794" s="3">
        <v>10</v>
      </c>
      <c r="J794" s="3">
        <v>0</v>
      </c>
      <c r="K794" s="3">
        <v>0</v>
      </c>
      <c r="L794" s="3">
        <v>0</v>
      </c>
      <c r="M794" s="3">
        <v>0</v>
      </c>
      <c r="N794" s="3" t="s">
        <v>5218</v>
      </c>
      <c r="O794" s="3">
        <v>0</v>
      </c>
      <c r="P794" s="3">
        <v>0</v>
      </c>
      <c r="Q794" s="3">
        <v>0</v>
      </c>
      <c r="R794" s="3">
        <v>0</v>
      </c>
      <c r="S794" s="3">
        <v>0</v>
      </c>
      <c r="T794" s="3">
        <v>0</v>
      </c>
      <c r="U794" s="3">
        <v>0</v>
      </c>
      <c r="V794" s="3">
        <v>0</v>
      </c>
      <c r="W794" s="3" t="s">
        <v>5227</v>
      </c>
      <c r="X794" s="3">
        <v>20.98</v>
      </c>
      <c r="Y794" s="3">
        <v>20.98</v>
      </c>
      <c r="Z794" s="3">
        <v>20.98</v>
      </c>
      <c r="AA794" s="3">
        <v>0</v>
      </c>
      <c r="AB794" s="3" t="s">
        <v>5223</v>
      </c>
      <c r="AC794" s="3">
        <v>0</v>
      </c>
      <c r="AD794" s="3">
        <v>0</v>
      </c>
      <c r="AE794" s="3">
        <v>0</v>
      </c>
      <c r="AF794" s="3">
        <v>0</v>
      </c>
      <c r="AG794" s="3">
        <v>0</v>
      </c>
      <c r="AH794" s="3">
        <v>1.71428571428571</v>
      </c>
      <c r="AI794" s="3" t="s">
        <v>5226</v>
      </c>
      <c r="AJ794" s="3" t="s">
        <v>5222</v>
      </c>
    </row>
    <row r="795" spans="1:36">
      <c r="A795" s="5">
        <v>43288</v>
      </c>
      <c r="B795" s="3" t="s">
        <v>226</v>
      </c>
      <c r="C795" s="3" t="s">
        <v>227</v>
      </c>
      <c r="D795" s="3" t="s">
        <v>227</v>
      </c>
      <c r="E795" s="3" t="s">
        <v>228</v>
      </c>
      <c r="F795" s="3" t="s">
        <v>120</v>
      </c>
      <c r="G795" s="3">
        <v>1</v>
      </c>
      <c r="H795" s="3">
        <v>0</v>
      </c>
      <c r="I795" s="3">
        <v>0</v>
      </c>
      <c r="J795" s="3">
        <v>1</v>
      </c>
      <c r="K795" s="3">
        <v>0</v>
      </c>
      <c r="L795" s="3">
        <v>0</v>
      </c>
      <c r="M795" s="3">
        <v>0</v>
      </c>
      <c r="N795" s="3" t="s">
        <v>5218</v>
      </c>
      <c r="O795" s="3">
        <v>0</v>
      </c>
      <c r="P795" s="3">
        <v>0</v>
      </c>
      <c r="Q795" s="3">
        <v>0</v>
      </c>
      <c r="R795" s="3">
        <v>0</v>
      </c>
      <c r="S795" s="3">
        <v>0</v>
      </c>
      <c r="T795" s="3">
        <v>0</v>
      </c>
      <c r="U795" s="3">
        <v>0</v>
      </c>
      <c r="V795" s="3">
        <v>0</v>
      </c>
      <c r="W795" s="3" t="s">
        <v>5219</v>
      </c>
      <c r="X795" s="3">
        <v>65.98</v>
      </c>
      <c r="Y795" s="3">
        <v>65.98</v>
      </c>
      <c r="Z795" s="3">
        <v>65.98</v>
      </c>
      <c r="AA795" s="3">
        <v>0</v>
      </c>
      <c r="AB795" s="3" t="s">
        <v>5220</v>
      </c>
      <c r="AC795" s="3">
        <v>0</v>
      </c>
      <c r="AD795" s="3">
        <v>62.48</v>
      </c>
      <c r="AE795" s="3">
        <v>7</v>
      </c>
      <c r="AF795" s="3">
        <v>0</v>
      </c>
      <c r="AG795" s="3">
        <v>111.546554</v>
      </c>
      <c r="AH795" s="3">
        <v>0</v>
      </c>
      <c r="AI795" s="3" t="s">
        <v>5482</v>
      </c>
      <c r="AJ795" s="3" t="s">
        <v>5222</v>
      </c>
    </row>
    <row r="796" spans="1:36">
      <c r="A796" s="5">
        <v>43288</v>
      </c>
      <c r="B796" s="3" t="s">
        <v>3036</v>
      </c>
      <c r="C796" s="3" t="s">
        <v>3037</v>
      </c>
      <c r="D796" s="3" t="s">
        <v>3037</v>
      </c>
      <c r="E796" s="3" t="s">
        <v>2018</v>
      </c>
      <c r="F796" s="3" t="s">
        <v>120</v>
      </c>
      <c r="G796" s="3">
        <v>25</v>
      </c>
      <c r="H796" s="3">
        <v>0</v>
      </c>
      <c r="I796" s="3">
        <v>16</v>
      </c>
      <c r="J796" s="3">
        <v>9</v>
      </c>
      <c r="K796" s="3">
        <v>0</v>
      </c>
      <c r="L796" s="3">
        <v>0</v>
      </c>
      <c r="M796" s="3">
        <v>0</v>
      </c>
      <c r="N796" s="3" t="s">
        <v>5218</v>
      </c>
      <c r="O796" s="3">
        <v>0</v>
      </c>
      <c r="P796" s="3">
        <v>0</v>
      </c>
      <c r="Q796" s="3">
        <v>0</v>
      </c>
      <c r="R796" s="3">
        <v>0</v>
      </c>
      <c r="S796" s="3">
        <v>0</v>
      </c>
      <c r="T796" s="3">
        <v>0</v>
      </c>
      <c r="U796" s="3">
        <v>1</v>
      </c>
      <c r="V796" s="3">
        <v>1</v>
      </c>
      <c r="W796" s="3" t="s">
        <v>5219</v>
      </c>
      <c r="X796" s="3">
        <v>39.98</v>
      </c>
      <c r="Y796" s="3">
        <v>39.98</v>
      </c>
      <c r="Z796" s="3">
        <v>39.98</v>
      </c>
      <c r="AA796" s="3">
        <v>0</v>
      </c>
      <c r="AB796" s="3" t="s">
        <v>5228</v>
      </c>
      <c r="AC796" s="3">
        <v>6</v>
      </c>
      <c r="AD796" s="3">
        <v>37.17</v>
      </c>
      <c r="AE796" s="3">
        <v>133</v>
      </c>
      <c r="AF796" s="3">
        <v>0</v>
      </c>
      <c r="AG796" s="3">
        <v>857.767429</v>
      </c>
      <c r="AH796" s="3">
        <v>0.0571428571428571</v>
      </c>
      <c r="AI796" s="3" t="s">
        <v>5235</v>
      </c>
      <c r="AJ796" s="3" t="s">
        <v>5222</v>
      </c>
    </row>
    <row r="797" spans="1:36">
      <c r="A797" s="5">
        <v>43288</v>
      </c>
      <c r="B797" s="3" t="s">
        <v>1262</v>
      </c>
      <c r="C797" s="3" t="s">
        <v>1263</v>
      </c>
      <c r="D797" s="3" t="s">
        <v>549</v>
      </c>
      <c r="E797" s="3" t="s">
        <v>796</v>
      </c>
      <c r="F797" s="3" t="s">
        <v>120</v>
      </c>
      <c r="G797" s="3">
        <v>33</v>
      </c>
      <c r="H797" s="3">
        <v>0</v>
      </c>
      <c r="I797" s="3">
        <v>33</v>
      </c>
      <c r="J797" s="3">
        <v>0</v>
      </c>
      <c r="K797" s="3">
        <v>0</v>
      </c>
      <c r="L797" s="3">
        <v>0</v>
      </c>
      <c r="M797" s="3">
        <v>0</v>
      </c>
      <c r="N797" s="3" t="s">
        <v>5218</v>
      </c>
      <c r="O797" s="3">
        <v>0</v>
      </c>
      <c r="P797" s="3">
        <v>0</v>
      </c>
      <c r="Q797" s="3">
        <v>0</v>
      </c>
      <c r="R797" s="3">
        <v>0</v>
      </c>
      <c r="S797" s="3">
        <v>0</v>
      </c>
      <c r="T797" s="3">
        <v>3</v>
      </c>
      <c r="U797" s="3">
        <v>3</v>
      </c>
      <c r="V797" s="3">
        <v>3</v>
      </c>
      <c r="W797" s="3" t="s">
        <v>5227</v>
      </c>
      <c r="X797" s="3">
        <v>22.98</v>
      </c>
      <c r="Y797" s="3">
        <v>22.98</v>
      </c>
      <c r="Z797" s="3">
        <v>22.98</v>
      </c>
      <c r="AA797" s="3">
        <v>0</v>
      </c>
      <c r="AB797" s="3" t="s">
        <v>5223</v>
      </c>
      <c r="AC797" s="3">
        <v>33</v>
      </c>
      <c r="AD797" s="3">
        <v>22.98</v>
      </c>
      <c r="AE797" s="3">
        <v>0</v>
      </c>
      <c r="AF797" s="3">
        <v>0</v>
      </c>
      <c r="AG797" s="3">
        <v>0</v>
      </c>
      <c r="AH797" s="3">
        <v>0.84</v>
      </c>
      <c r="AI797" s="3" t="s">
        <v>5225</v>
      </c>
      <c r="AJ797" s="3" t="s">
        <v>5222</v>
      </c>
    </row>
    <row r="798" spans="1:36">
      <c r="A798" s="5">
        <v>43288</v>
      </c>
      <c r="B798" s="3" t="s">
        <v>2216</v>
      </c>
      <c r="C798" s="3" t="s">
        <v>2217</v>
      </c>
      <c r="D798" s="3" t="s">
        <v>2217</v>
      </c>
      <c r="E798" s="3" t="s">
        <v>2218</v>
      </c>
      <c r="F798" s="3" t="s">
        <v>120</v>
      </c>
      <c r="G798" s="3">
        <v>15</v>
      </c>
      <c r="H798" s="3">
        <v>0</v>
      </c>
      <c r="I798" s="3">
        <v>11</v>
      </c>
      <c r="J798" s="3">
        <v>4</v>
      </c>
      <c r="K798" s="3">
        <v>0</v>
      </c>
      <c r="L798" s="3">
        <v>0</v>
      </c>
      <c r="M798" s="3">
        <v>0</v>
      </c>
      <c r="N798" s="3" t="s">
        <v>5218</v>
      </c>
      <c r="O798" s="3">
        <v>3</v>
      </c>
      <c r="P798" s="3">
        <v>4.66</v>
      </c>
      <c r="Q798" s="3">
        <v>0</v>
      </c>
      <c r="R798" s="3">
        <v>0</v>
      </c>
      <c r="S798" s="3">
        <v>1</v>
      </c>
      <c r="T798" s="3">
        <v>1</v>
      </c>
      <c r="U798" s="3">
        <v>3</v>
      </c>
      <c r="V798" s="3">
        <v>8</v>
      </c>
      <c r="W798" s="3"/>
      <c r="X798" s="3">
        <v>22.98</v>
      </c>
      <c r="Y798" s="3">
        <v>22.98</v>
      </c>
      <c r="Z798" s="3">
        <v>22</v>
      </c>
      <c r="AA798" s="3">
        <v>0</v>
      </c>
      <c r="AB798" s="3" t="s">
        <v>5228</v>
      </c>
      <c r="AC798" s="3">
        <v>0</v>
      </c>
      <c r="AD798" s="3">
        <v>19.43</v>
      </c>
      <c r="AE798" s="3">
        <v>252</v>
      </c>
      <c r="AF798" s="3">
        <v>0</v>
      </c>
      <c r="AG798" s="3">
        <v>398.1889</v>
      </c>
      <c r="AH798" s="3">
        <v>0.524590163934426</v>
      </c>
      <c r="AI798" s="3" t="s">
        <v>5260</v>
      </c>
      <c r="AJ798" s="3" t="s">
        <v>5222</v>
      </c>
    </row>
    <row r="799" spans="1:36">
      <c r="A799" s="5">
        <v>43288</v>
      </c>
      <c r="B799" s="3" t="s">
        <v>4419</v>
      </c>
      <c r="C799" s="3" t="s">
        <v>3530</v>
      </c>
      <c r="D799" s="3" t="s">
        <v>3530</v>
      </c>
      <c r="E799" s="3" t="s">
        <v>3531</v>
      </c>
      <c r="F799" s="3" t="s">
        <v>120</v>
      </c>
      <c r="G799" s="3">
        <v>3</v>
      </c>
      <c r="H799" s="3">
        <v>0</v>
      </c>
      <c r="I799" s="3">
        <v>2</v>
      </c>
      <c r="J799" s="3">
        <v>0</v>
      </c>
      <c r="K799" s="3">
        <v>1</v>
      </c>
      <c r="L799" s="3">
        <v>0</v>
      </c>
      <c r="M799" s="3">
        <v>0</v>
      </c>
      <c r="N799" s="3" t="s">
        <v>5218</v>
      </c>
      <c r="O799" s="3">
        <v>1</v>
      </c>
      <c r="P799" s="3">
        <v>1.54</v>
      </c>
      <c r="Q799" s="3">
        <v>0</v>
      </c>
      <c r="R799" s="3">
        <v>0</v>
      </c>
      <c r="S799" s="3">
        <v>0</v>
      </c>
      <c r="T799" s="3">
        <v>1</v>
      </c>
      <c r="U799" s="3">
        <v>2</v>
      </c>
      <c r="V799" s="3">
        <v>3</v>
      </c>
      <c r="W799" s="3"/>
      <c r="X799" s="3">
        <v>24.98</v>
      </c>
      <c r="Y799" s="3">
        <v>24.98</v>
      </c>
      <c r="Z799" s="3">
        <v>24.98</v>
      </c>
      <c r="AA799" s="3">
        <v>0</v>
      </c>
      <c r="AB799" s="3" t="s">
        <v>5228</v>
      </c>
      <c r="AC799" s="3">
        <v>0</v>
      </c>
      <c r="AD799" s="3">
        <v>20.44</v>
      </c>
      <c r="AE799" s="3">
        <v>84</v>
      </c>
      <c r="AF799" s="3">
        <v>0</v>
      </c>
      <c r="AG799" s="3">
        <v>29.395567</v>
      </c>
      <c r="AH799" s="3">
        <v>0.8</v>
      </c>
      <c r="AI799" s="3" t="s">
        <v>5262</v>
      </c>
      <c r="AJ799" s="3" t="s">
        <v>5222</v>
      </c>
    </row>
    <row r="800" spans="1:36">
      <c r="A800" s="5">
        <v>43288</v>
      </c>
      <c r="B800" s="3" t="s">
        <v>4572</v>
      </c>
      <c r="C800" s="3" t="s">
        <v>4011</v>
      </c>
      <c r="D800" s="3" t="s">
        <v>4011</v>
      </c>
      <c r="E800" s="3" t="s">
        <v>4012</v>
      </c>
      <c r="F800" s="3" t="s">
        <v>120</v>
      </c>
      <c r="G800" s="3">
        <v>4</v>
      </c>
      <c r="H800" s="3">
        <v>0</v>
      </c>
      <c r="I800" s="3">
        <v>4</v>
      </c>
      <c r="J800" s="3">
        <v>0</v>
      </c>
      <c r="K800" s="3">
        <v>0</v>
      </c>
      <c r="L800" s="3">
        <v>0</v>
      </c>
      <c r="M800" s="3">
        <v>0</v>
      </c>
      <c r="N800" s="3" t="s">
        <v>5218</v>
      </c>
      <c r="O800" s="3">
        <v>0</v>
      </c>
      <c r="P800" s="3">
        <v>0</v>
      </c>
      <c r="Q800" s="3">
        <v>0</v>
      </c>
      <c r="R800" s="3">
        <v>0</v>
      </c>
      <c r="S800" s="3">
        <v>3</v>
      </c>
      <c r="T800" s="3">
        <v>5</v>
      </c>
      <c r="U800" s="3">
        <v>7</v>
      </c>
      <c r="V800" s="3">
        <v>8</v>
      </c>
      <c r="W800" s="3"/>
      <c r="X800" s="3">
        <v>20.98</v>
      </c>
      <c r="Y800" s="3">
        <v>20.98</v>
      </c>
      <c r="Z800" s="3">
        <v>20.98</v>
      </c>
      <c r="AA800" s="3">
        <v>0</v>
      </c>
      <c r="AB800" s="3" t="s">
        <v>5228</v>
      </c>
      <c r="AC800" s="3">
        <v>0</v>
      </c>
      <c r="AD800" s="3">
        <v>19.33</v>
      </c>
      <c r="AE800" s="3">
        <v>175</v>
      </c>
      <c r="AF800" s="3">
        <v>0</v>
      </c>
      <c r="AG800" s="3">
        <v>100.784193</v>
      </c>
      <c r="AH800" s="3">
        <v>2.9090909090909</v>
      </c>
      <c r="AI800" s="3" t="s">
        <v>5226</v>
      </c>
      <c r="AJ800" s="3" t="s">
        <v>5222</v>
      </c>
    </row>
    <row r="801" spans="1:36">
      <c r="A801" s="5">
        <v>43288</v>
      </c>
      <c r="B801" s="3" t="s">
        <v>1987</v>
      </c>
      <c r="C801" s="3" t="s">
        <v>154</v>
      </c>
      <c r="D801" s="3" t="s">
        <v>154</v>
      </c>
      <c r="E801" s="3" t="s">
        <v>1988</v>
      </c>
      <c r="F801" s="3" t="s">
        <v>120</v>
      </c>
      <c r="G801" s="3">
        <v>45</v>
      </c>
      <c r="H801" s="3">
        <v>0</v>
      </c>
      <c r="I801" s="3">
        <v>2</v>
      </c>
      <c r="J801" s="3">
        <v>1</v>
      </c>
      <c r="K801" s="3">
        <v>42</v>
      </c>
      <c r="L801" s="3">
        <v>0</v>
      </c>
      <c r="M801" s="3">
        <v>0</v>
      </c>
      <c r="N801" s="3" t="s">
        <v>5218</v>
      </c>
      <c r="O801" s="3">
        <v>43</v>
      </c>
      <c r="P801" s="3">
        <v>80.44</v>
      </c>
      <c r="Q801" s="3">
        <v>0</v>
      </c>
      <c r="R801" s="3">
        <v>0</v>
      </c>
      <c r="S801" s="3">
        <v>4</v>
      </c>
      <c r="T801" s="3">
        <v>9</v>
      </c>
      <c r="U801" s="3">
        <v>14</v>
      </c>
      <c r="V801" s="3">
        <v>16</v>
      </c>
      <c r="W801" s="3"/>
      <c r="X801" s="3">
        <v>39.98</v>
      </c>
      <c r="Y801" s="3">
        <v>20.98</v>
      </c>
      <c r="Z801" s="3">
        <v>20.98</v>
      </c>
      <c r="AA801" s="3">
        <v>0</v>
      </c>
      <c r="AB801" s="3" t="s">
        <v>5223</v>
      </c>
      <c r="AC801" s="3">
        <v>40</v>
      </c>
      <c r="AD801" s="3">
        <v>20.98</v>
      </c>
      <c r="AE801" s="3">
        <v>63</v>
      </c>
      <c r="AF801" s="3">
        <v>0</v>
      </c>
      <c r="AG801" s="3">
        <v>7.112415</v>
      </c>
      <c r="AH801" s="3">
        <v>0.296296296296296</v>
      </c>
      <c r="AI801" s="3" t="s">
        <v>5270</v>
      </c>
      <c r="AJ801" s="3" t="s">
        <v>5222</v>
      </c>
    </row>
    <row r="802" spans="1:36">
      <c r="A802" s="5">
        <v>43288</v>
      </c>
      <c r="B802" s="3" t="s">
        <v>4348</v>
      </c>
      <c r="C802" s="3" t="s">
        <v>4349</v>
      </c>
      <c r="D802" s="3" t="s">
        <v>4349</v>
      </c>
      <c r="E802" s="3" t="s">
        <v>4350</v>
      </c>
      <c r="F802" s="3" t="s">
        <v>120</v>
      </c>
      <c r="G802" s="3">
        <v>26</v>
      </c>
      <c r="H802" s="3">
        <v>0</v>
      </c>
      <c r="I802" s="3">
        <v>26</v>
      </c>
      <c r="J802" s="3">
        <v>0</v>
      </c>
      <c r="K802" s="3">
        <v>0</v>
      </c>
      <c r="L802" s="3">
        <v>0</v>
      </c>
      <c r="M802" s="3">
        <v>0</v>
      </c>
      <c r="N802" s="3" t="s">
        <v>5218</v>
      </c>
      <c r="O802" s="3">
        <v>0</v>
      </c>
      <c r="P802" s="3">
        <v>0</v>
      </c>
      <c r="Q802" s="3">
        <v>0</v>
      </c>
      <c r="R802" s="3">
        <v>0</v>
      </c>
      <c r="S802" s="3">
        <v>1</v>
      </c>
      <c r="T802" s="3">
        <v>1</v>
      </c>
      <c r="U802" s="3">
        <v>1</v>
      </c>
      <c r="V802" s="3">
        <v>6</v>
      </c>
      <c r="W802" s="3"/>
      <c r="X802" s="3">
        <v>23.98</v>
      </c>
      <c r="Y802" s="3">
        <v>23.98</v>
      </c>
      <c r="Z802" s="3">
        <v>23.98</v>
      </c>
      <c r="AA802" s="3">
        <v>0</v>
      </c>
      <c r="AB802" s="3" t="s">
        <v>5228</v>
      </c>
      <c r="AC802" s="3">
        <v>1</v>
      </c>
      <c r="AD802" s="3">
        <v>21.68</v>
      </c>
      <c r="AE802" s="3">
        <v>189</v>
      </c>
      <c r="AF802" s="3">
        <v>0</v>
      </c>
      <c r="AG802" s="3">
        <v>761.494571</v>
      </c>
      <c r="AH802" s="3">
        <v>0.406779661016949</v>
      </c>
      <c r="AI802" s="3" t="s">
        <v>5258</v>
      </c>
      <c r="AJ802" s="3" t="s">
        <v>5222</v>
      </c>
    </row>
    <row r="803" spans="1:36">
      <c r="A803" s="5">
        <v>43288</v>
      </c>
      <c r="B803" s="3" t="s">
        <v>4829</v>
      </c>
      <c r="C803" s="3" t="s">
        <v>4830</v>
      </c>
      <c r="D803" s="3" t="s">
        <v>4830</v>
      </c>
      <c r="E803" s="3" t="s">
        <v>4831</v>
      </c>
      <c r="F803" s="3" t="s">
        <v>120</v>
      </c>
      <c r="G803" s="3">
        <v>6</v>
      </c>
      <c r="H803" s="3">
        <v>0</v>
      </c>
      <c r="I803" s="3">
        <v>0</v>
      </c>
      <c r="J803" s="3">
        <v>0</v>
      </c>
      <c r="K803" s="3">
        <v>6</v>
      </c>
      <c r="L803" s="3">
        <v>0</v>
      </c>
      <c r="M803" s="3">
        <v>0</v>
      </c>
      <c r="N803" s="3" t="s">
        <v>5218</v>
      </c>
      <c r="O803" s="3">
        <v>6</v>
      </c>
      <c r="P803" s="3">
        <v>5.44</v>
      </c>
      <c r="Q803" s="3">
        <v>0</v>
      </c>
      <c r="R803" s="3">
        <v>0</v>
      </c>
      <c r="S803" s="3">
        <v>0</v>
      </c>
      <c r="T803" s="3">
        <v>1</v>
      </c>
      <c r="U803" s="3">
        <v>2</v>
      </c>
      <c r="V803" s="3">
        <v>2</v>
      </c>
      <c r="W803" s="3" t="s">
        <v>5227</v>
      </c>
      <c r="X803" s="3">
        <v>15</v>
      </c>
      <c r="Y803" s="3">
        <v>15</v>
      </c>
      <c r="Z803" s="3">
        <v>15</v>
      </c>
      <c r="AA803" s="3">
        <v>0</v>
      </c>
      <c r="AB803" s="3" t="s">
        <v>5228</v>
      </c>
      <c r="AC803" s="3">
        <v>0</v>
      </c>
      <c r="AD803" s="3">
        <v>12.55</v>
      </c>
      <c r="AE803" s="3">
        <v>238</v>
      </c>
      <c r="AF803" s="3">
        <v>0</v>
      </c>
      <c r="AG803" s="3">
        <v>73.518897</v>
      </c>
      <c r="AH803" s="3">
        <v>0.275862068965517</v>
      </c>
      <c r="AI803" s="3" t="s">
        <v>5406</v>
      </c>
      <c r="AJ803" s="3" t="s">
        <v>5222</v>
      </c>
    </row>
    <row r="804" spans="1:36">
      <c r="A804" s="5">
        <v>43288</v>
      </c>
      <c r="B804" s="3" t="s">
        <v>3123</v>
      </c>
      <c r="C804" s="3" t="s">
        <v>3124</v>
      </c>
      <c r="D804" s="3" t="s">
        <v>3124</v>
      </c>
      <c r="E804" s="3" t="s">
        <v>3125</v>
      </c>
      <c r="F804" s="3" t="s">
        <v>120</v>
      </c>
      <c r="G804" s="3">
        <v>1</v>
      </c>
      <c r="H804" s="3">
        <v>0</v>
      </c>
      <c r="I804" s="3">
        <v>1</v>
      </c>
      <c r="J804" s="3">
        <v>0</v>
      </c>
      <c r="K804" s="3">
        <v>0</v>
      </c>
      <c r="L804" s="3">
        <v>0</v>
      </c>
      <c r="M804" s="3">
        <v>0</v>
      </c>
      <c r="N804" s="3" t="s">
        <v>5218</v>
      </c>
      <c r="O804" s="3">
        <v>0</v>
      </c>
      <c r="P804" s="3">
        <v>0</v>
      </c>
      <c r="Q804" s="3">
        <v>0</v>
      </c>
      <c r="R804" s="3">
        <v>0</v>
      </c>
      <c r="S804" s="3">
        <v>0</v>
      </c>
      <c r="T804" s="3">
        <v>0</v>
      </c>
      <c r="U804" s="3">
        <v>1</v>
      </c>
      <c r="V804" s="3">
        <v>1</v>
      </c>
      <c r="W804" s="3" t="s">
        <v>5227</v>
      </c>
      <c r="X804" s="3">
        <v>15.98</v>
      </c>
      <c r="Y804" s="3">
        <v>15.98</v>
      </c>
      <c r="Z804" s="3">
        <v>15.98</v>
      </c>
      <c r="AA804" s="3">
        <v>0</v>
      </c>
      <c r="AB804" s="3" t="s">
        <v>5223</v>
      </c>
      <c r="AC804" s="3">
        <v>1</v>
      </c>
      <c r="AD804" s="3">
        <v>15.98</v>
      </c>
      <c r="AE804" s="3">
        <v>0</v>
      </c>
      <c r="AF804" s="3">
        <v>0</v>
      </c>
      <c r="AG804" s="3">
        <v>0</v>
      </c>
      <c r="AH804" s="3">
        <v>1</v>
      </c>
      <c r="AI804" s="3" t="s">
        <v>5350</v>
      </c>
      <c r="AJ804" s="3" t="s">
        <v>5222</v>
      </c>
    </row>
    <row r="805" spans="1:36">
      <c r="A805" s="5">
        <v>43288</v>
      </c>
      <c r="B805" s="3" t="s">
        <v>1975</v>
      </c>
      <c r="C805" s="3" t="s">
        <v>142</v>
      </c>
      <c r="D805" s="3" t="s">
        <v>142</v>
      </c>
      <c r="E805" s="3" t="s">
        <v>1976</v>
      </c>
      <c r="F805" s="3" t="s">
        <v>120</v>
      </c>
      <c r="G805" s="3">
        <v>13</v>
      </c>
      <c r="H805" s="3">
        <v>0</v>
      </c>
      <c r="I805" s="3">
        <v>3</v>
      </c>
      <c r="J805" s="3">
        <v>3</v>
      </c>
      <c r="K805" s="3">
        <v>7</v>
      </c>
      <c r="L805" s="3">
        <v>0</v>
      </c>
      <c r="M805" s="3">
        <v>0</v>
      </c>
      <c r="N805" s="3" t="s">
        <v>5218</v>
      </c>
      <c r="O805" s="3">
        <v>8</v>
      </c>
      <c r="P805" s="3">
        <v>6.85</v>
      </c>
      <c r="Q805" s="3">
        <v>0</v>
      </c>
      <c r="R805" s="3">
        <v>0</v>
      </c>
      <c r="S805" s="3">
        <v>2</v>
      </c>
      <c r="T805" s="3">
        <v>7</v>
      </c>
      <c r="U805" s="3">
        <v>16</v>
      </c>
      <c r="V805" s="3">
        <v>26</v>
      </c>
      <c r="W805" s="3"/>
      <c r="X805" s="3">
        <v>39.98</v>
      </c>
      <c r="Y805" s="3">
        <v>22.98</v>
      </c>
      <c r="Z805" s="3">
        <v>22.98</v>
      </c>
      <c r="AA805" s="3">
        <v>0</v>
      </c>
      <c r="AB805" s="3" t="s">
        <v>5223</v>
      </c>
      <c r="AC805" s="3">
        <v>14</v>
      </c>
      <c r="AD805" s="3">
        <v>22.98</v>
      </c>
      <c r="AE805" s="3">
        <v>0</v>
      </c>
      <c r="AF805" s="3">
        <v>0</v>
      </c>
      <c r="AG805" s="3">
        <v>0</v>
      </c>
      <c r="AH805" s="3">
        <v>1.0721649484536</v>
      </c>
      <c r="AI805" s="3" t="s">
        <v>5483</v>
      </c>
      <c r="AJ805" s="3" t="s">
        <v>5222</v>
      </c>
    </row>
    <row r="806" spans="1:36">
      <c r="A806" s="5">
        <v>43288</v>
      </c>
      <c r="B806" s="3" t="s">
        <v>2376</v>
      </c>
      <c r="C806" s="3" t="s">
        <v>2377</v>
      </c>
      <c r="D806" s="3" t="s">
        <v>2377</v>
      </c>
      <c r="E806" s="3" t="s">
        <v>2378</v>
      </c>
      <c r="F806" s="3" t="s">
        <v>120</v>
      </c>
      <c r="G806" s="3">
        <v>25</v>
      </c>
      <c r="H806" s="3">
        <v>0</v>
      </c>
      <c r="I806" s="3">
        <v>25</v>
      </c>
      <c r="J806" s="3">
        <v>0</v>
      </c>
      <c r="K806" s="3">
        <v>0</v>
      </c>
      <c r="L806" s="3">
        <v>0</v>
      </c>
      <c r="M806" s="3">
        <v>0</v>
      </c>
      <c r="N806" s="3" t="s">
        <v>5218</v>
      </c>
      <c r="O806" s="3">
        <v>0</v>
      </c>
      <c r="P806" s="3">
        <v>0</v>
      </c>
      <c r="Q806" s="3">
        <v>0</v>
      </c>
      <c r="R806" s="3">
        <v>0</v>
      </c>
      <c r="S806" s="3">
        <v>2</v>
      </c>
      <c r="T806" s="3">
        <v>6</v>
      </c>
      <c r="U806" s="3">
        <v>10</v>
      </c>
      <c r="V806" s="3">
        <v>14</v>
      </c>
      <c r="W806" s="3"/>
      <c r="X806" s="3">
        <v>22.98</v>
      </c>
      <c r="Y806" s="3">
        <v>22.98</v>
      </c>
      <c r="Z806" s="3">
        <v>22.98</v>
      </c>
      <c r="AA806" s="3">
        <v>0</v>
      </c>
      <c r="AB806" s="3" t="s">
        <v>5223</v>
      </c>
      <c r="AC806" s="3">
        <v>26</v>
      </c>
      <c r="AD806" s="3">
        <v>22.98</v>
      </c>
      <c r="AE806" s="3">
        <v>0</v>
      </c>
      <c r="AF806" s="3">
        <v>0</v>
      </c>
      <c r="AG806" s="3">
        <v>0</v>
      </c>
      <c r="AH806" s="3">
        <v>0.848484848484848</v>
      </c>
      <c r="AI806" s="3" t="s">
        <v>5233</v>
      </c>
      <c r="AJ806" s="3" t="s">
        <v>5222</v>
      </c>
    </row>
    <row r="807" spans="1:36">
      <c r="A807" s="5">
        <v>43288</v>
      </c>
      <c r="B807" s="3" t="s">
        <v>1398</v>
      </c>
      <c r="C807" s="3" t="s">
        <v>1399</v>
      </c>
      <c r="D807" s="3" t="s">
        <v>1400</v>
      </c>
      <c r="E807" s="3" t="s">
        <v>1401</v>
      </c>
      <c r="F807" s="3" t="s">
        <v>120</v>
      </c>
      <c r="G807" s="3">
        <v>20</v>
      </c>
      <c r="H807" s="3">
        <v>0</v>
      </c>
      <c r="I807" s="3">
        <v>20</v>
      </c>
      <c r="J807" s="3">
        <v>0</v>
      </c>
      <c r="K807" s="3">
        <v>0</v>
      </c>
      <c r="L807" s="3">
        <v>0</v>
      </c>
      <c r="M807" s="3">
        <v>0</v>
      </c>
      <c r="N807" s="3" t="s">
        <v>5218</v>
      </c>
      <c r="O807" s="3">
        <v>0</v>
      </c>
      <c r="P807" s="3">
        <v>0</v>
      </c>
      <c r="Q807" s="3">
        <v>0</v>
      </c>
      <c r="R807" s="3">
        <v>0</v>
      </c>
      <c r="S807" s="3">
        <v>2</v>
      </c>
      <c r="T807" s="3">
        <v>2</v>
      </c>
      <c r="U807" s="3">
        <v>2</v>
      </c>
      <c r="V807" s="3">
        <v>2</v>
      </c>
      <c r="W807" s="3"/>
      <c r="X807" s="3">
        <v>23.98</v>
      </c>
      <c r="Y807" s="3">
        <v>23.98</v>
      </c>
      <c r="Z807" s="3">
        <v>22.98</v>
      </c>
      <c r="AA807" s="3">
        <v>0</v>
      </c>
      <c r="AB807" s="3" t="s">
        <v>5223</v>
      </c>
      <c r="AC807" s="3">
        <v>0</v>
      </c>
      <c r="AD807" s="3">
        <v>0</v>
      </c>
      <c r="AE807" s="3">
        <v>0</v>
      </c>
      <c r="AF807" s="3">
        <v>0</v>
      </c>
      <c r="AG807" s="3">
        <v>0</v>
      </c>
      <c r="AH807" s="3">
        <v>25.3125</v>
      </c>
      <c r="AI807" s="3" t="s">
        <v>5236</v>
      </c>
      <c r="AJ807" s="3" t="s">
        <v>5222</v>
      </c>
    </row>
    <row r="808" spans="1:36">
      <c r="A808" s="5">
        <v>43288</v>
      </c>
      <c r="B808" s="3" t="s">
        <v>2201</v>
      </c>
      <c r="C808" s="3" t="s">
        <v>2202</v>
      </c>
      <c r="D808" s="3" t="s">
        <v>2202</v>
      </c>
      <c r="E808" s="3" t="s">
        <v>2203</v>
      </c>
      <c r="F808" s="3" t="s">
        <v>120</v>
      </c>
      <c r="G808" s="3">
        <v>10</v>
      </c>
      <c r="H808" s="3">
        <v>0</v>
      </c>
      <c r="I808" s="3">
        <v>10</v>
      </c>
      <c r="J808" s="3">
        <v>0</v>
      </c>
      <c r="K808" s="3">
        <v>0</v>
      </c>
      <c r="L808" s="3">
        <v>0</v>
      </c>
      <c r="M808" s="3">
        <v>0</v>
      </c>
      <c r="N808" s="3" t="s">
        <v>5218</v>
      </c>
      <c r="O808" s="3">
        <v>0</v>
      </c>
      <c r="P808" s="3">
        <v>0</v>
      </c>
      <c r="Q808" s="3">
        <v>0</v>
      </c>
      <c r="R808" s="3">
        <v>0</v>
      </c>
      <c r="S808" s="3">
        <v>1</v>
      </c>
      <c r="T808" s="3">
        <v>3</v>
      </c>
      <c r="U808" s="3">
        <v>5</v>
      </c>
      <c r="V808" s="3">
        <v>9</v>
      </c>
      <c r="W808" s="3"/>
      <c r="X808" s="3">
        <v>22.98</v>
      </c>
      <c r="Y808" s="3">
        <v>22.98</v>
      </c>
      <c r="Z808" s="3">
        <v>22</v>
      </c>
      <c r="AA808" s="3">
        <v>0</v>
      </c>
      <c r="AB808" s="3" t="s">
        <v>5223</v>
      </c>
      <c r="AC808" s="3">
        <v>11</v>
      </c>
      <c r="AD808" s="3">
        <v>22.98</v>
      </c>
      <c r="AE808" s="3">
        <v>0</v>
      </c>
      <c r="AF808" s="3">
        <v>0</v>
      </c>
      <c r="AG808" s="3">
        <v>0</v>
      </c>
      <c r="AH808" s="3">
        <v>0.837209302325581</v>
      </c>
      <c r="AI808" s="3" t="s">
        <v>5260</v>
      </c>
      <c r="AJ808" s="3" t="s">
        <v>5222</v>
      </c>
    </row>
    <row r="809" spans="1:36">
      <c r="A809" s="5">
        <v>43288</v>
      </c>
      <c r="B809" s="3" t="s">
        <v>481</v>
      </c>
      <c r="C809" s="3" t="s">
        <v>319</v>
      </c>
      <c r="D809" s="3" t="s">
        <v>319</v>
      </c>
      <c r="E809" s="3" t="s">
        <v>482</v>
      </c>
      <c r="F809" s="3" t="s">
        <v>120</v>
      </c>
      <c r="G809" s="3">
        <v>20</v>
      </c>
      <c r="H809" s="3">
        <v>0</v>
      </c>
      <c r="I809" s="3">
        <v>20</v>
      </c>
      <c r="J809" s="3">
        <v>0</v>
      </c>
      <c r="K809" s="3">
        <v>0</v>
      </c>
      <c r="L809" s="3">
        <v>0</v>
      </c>
      <c r="M809" s="3">
        <v>0</v>
      </c>
      <c r="N809" s="3" t="s">
        <v>5218</v>
      </c>
      <c r="O809" s="3">
        <v>0</v>
      </c>
      <c r="P809" s="3">
        <v>0</v>
      </c>
      <c r="Q809" s="3">
        <v>0</v>
      </c>
      <c r="R809" s="3">
        <v>0</v>
      </c>
      <c r="S809" s="3">
        <v>2</v>
      </c>
      <c r="T809" s="3">
        <v>14</v>
      </c>
      <c r="U809" s="3">
        <v>42</v>
      </c>
      <c r="V809" s="3">
        <v>75</v>
      </c>
      <c r="W809" s="3"/>
      <c r="X809" s="3">
        <v>39.98</v>
      </c>
      <c r="Y809" s="3">
        <v>24.98</v>
      </c>
      <c r="Z809" s="3">
        <v>24.98</v>
      </c>
      <c r="AA809" s="3">
        <v>0</v>
      </c>
      <c r="AB809" s="3" t="s">
        <v>5223</v>
      </c>
      <c r="AC809" s="3">
        <v>23</v>
      </c>
      <c r="AD809" s="3">
        <v>24.98</v>
      </c>
      <c r="AE809" s="3">
        <v>0</v>
      </c>
      <c r="AF809" s="3">
        <v>0</v>
      </c>
      <c r="AG809" s="3">
        <v>0</v>
      </c>
      <c r="AH809" s="3">
        <v>2.85714285714285</v>
      </c>
      <c r="AI809" s="3" t="s">
        <v>5224</v>
      </c>
      <c r="AJ809" s="3" t="s">
        <v>5222</v>
      </c>
    </row>
    <row r="810" spans="1:36">
      <c r="A810" s="5">
        <v>43288</v>
      </c>
      <c r="B810" s="3" t="s">
        <v>4402</v>
      </c>
      <c r="C810" s="3" t="s">
        <v>3462</v>
      </c>
      <c r="D810" s="3" t="s">
        <v>3462</v>
      </c>
      <c r="E810" s="3" t="s">
        <v>3463</v>
      </c>
      <c r="F810" s="3" t="s">
        <v>120</v>
      </c>
      <c r="G810" s="3">
        <v>2</v>
      </c>
      <c r="H810" s="3">
        <v>0</v>
      </c>
      <c r="I810" s="3">
        <v>1</v>
      </c>
      <c r="J810" s="3">
        <v>1</v>
      </c>
      <c r="K810" s="3">
        <v>0</v>
      </c>
      <c r="L810" s="3">
        <v>0</v>
      </c>
      <c r="M810" s="3">
        <v>0</v>
      </c>
      <c r="N810" s="3" t="s">
        <v>5218</v>
      </c>
      <c r="O810" s="3">
        <v>1</v>
      </c>
      <c r="P810" s="3">
        <v>1.54</v>
      </c>
      <c r="Q810" s="3">
        <v>0</v>
      </c>
      <c r="R810" s="3">
        <v>0</v>
      </c>
      <c r="S810" s="3">
        <v>0</v>
      </c>
      <c r="T810" s="3">
        <v>0</v>
      </c>
      <c r="U810" s="3">
        <v>1</v>
      </c>
      <c r="V810" s="3">
        <v>2</v>
      </c>
      <c r="W810" s="3" t="s">
        <v>5227</v>
      </c>
      <c r="X810" s="3">
        <v>24.98</v>
      </c>
      <c r="Y810" s="3">
        <v>24.98</v>
      </c>
      <c r="Z810" s="3">
        <v>24.98</v>
      </c>
      <c r="AA810" s="3">
        <v>0</v>
      </c>
      <c r="AB810" s="3" t="s">
        <v>5223</v>
      </c>
      <c r="AC810" s="3">
        <v>2</v>
      </c>
      <c r="AD810" s="3">
        <v>24.98</v>
      </c>
      <c r="AE810" s="3">
        <v>0</v>
      </c>
      <c r="AF810" s="3">
        <v>0</v>
      </c>
      <c r="AG810" s="3">
        <v>0</v>
      </c>
      <c r="AH810" s="3">
        <v>1</v>
      </c>
      <c r="AI810" s="3" t="s">
        <v>5262</v>
      </c>
      <c r="AJ810" s="3" t="s">
        <v>5222</v>
      </c>
    </row>
    <row r="811" spans="1:36">
      <c r="A811" s="5">
        <v>43288</v>
      </c>
      <c r="B811" s="3" t="s">
        <v>4205</v>
      </c>
      <c r="C811" s="3" t="s">
        <v>4206</v>
      </c>
      <c r="D811" s="3" t="s">
        <v>4206</v>
      </c>
      <c r="E811" s="3" t="s">
        <v>4207</v>
      </c>
      <c r="F811" s="3" t="s">
        <v>120</v>
      </c>
      <c r="G811" s="3">
        <v>1</v>
      </c>
      <c r="H811" s="3">
        <v>0</v>
      </c>
      <c r="I811" s="3">
        <v>1</v>
      </c>
      <c r="J811" s="3">
        <v>0</v>
      </c>
      <c r="K811" s="3">
        <v>0</v>
      </c>
      <c r="L811" s="3">
        <v>0</v>
      </c>
      <c r="M811" s="3">
        <v>0</v>
      </c>
      <c r="N811" s="3" t="s">
        <v>5218</v>
      </c>
      <c r="O811" s="3">
        <v>0</v>
      </c>
      <c r="P811" s="3">
        <v>0</v>
      </c>
      <c r="Q811" s="3">
        <v>0</v>
      </c>
      <c r="R811" s="3">
        <v>0</v>
      </c>
      <c r="S811" s="3">
        <v>0</v>
      </c>
      <c r="T811" s="3">
        <v>0</v>
      </c>
      <c r="U811" s="3">
        <v>2</v>
      </c>
      <c r="V811" s="3">
        <v>4</v>
      </c>
      <c r="W811" s="3" t="s">
        <v>5227</v>
      </c>
      <c r="X811" s="3">
        <v>22.98</v>
      </c>
      <c r="Y811" s="3">
        <v>22.98</v>
      </c>
      <c r="Z811" s="3">
        <v>22.98</v>
      </c>
      <c r="AA811" s="3">
        <v>0</v>
      </c>
      <c r="AB811" s="3" t="s">
        <v>5223</v>
      </c>
      <c r="AC811" s="3">
        <v>1</v>
      </c>
      <c r="AD811" s="3">
        <v>22.98</v>
      </c>
      <c r="AE811" s="3">
        <v>0</v>
      </c>
      <c r="AF811" s="3">
        <v>0</v>
      </c>
      <c r="AG811" s="3">
        <v>0</v>
      </c>
      <c r="AH811" s="3">
        <v>2.28571428571428</v>
      </c>
      <c r="AI811" s="3" t="s">
        <v>5226</v>
      </c>
      <c r="AJ811" s="3" t="s">
        <v>5222</v>
      </c>
    </row>
    <row r="812" spans="1:36">
      <c r="A812" s="5">
        <v>43288</v>
      </c>
      <c r="B812" s="3" t="s">
        <v>1512</v>
      </c>
      <c r="C812" s="3" t="s">
        <v>74</v>
      </c>
      <c r="D812" s="3" t="s">
        <v>74</v>
      </c>
      <c r="E812" s="3" t="s">
        <v>1513</v>
      </c>
      <c r="F812" s="3" t="s">
        <v>120</v>
      </c>
      <c r="G812" s="3">
        <v>26</v>
      </c>
      <c r="H812" s="3">
        <v>0</v>
      </c>
      <c r="I812" s="3">
        <v>0</v>
      </c>
      <c r="J812" s="3">
        <v>2</v>
      </c>
      <c r="K812" s="3">
        <v>24</v>
      </c>
      <c r="L812" s="3">
        <v>0</v>
      </c>
      <c r="M812" s="3">
        <v>0</v>
      </c>
      <c r="N812" s="3" t="s">
        <v>5218</v>
      </c>
      <c r="O812" s="3">
        <v>26</v>
      </c>
      <c r="P812" s="3">
        <v>47.54</v>
      </c>
      <c r="Q812" s="3">
        <v>0</v>
      </c>
      <c r="R812" s="3">
        <v>0</v>
      </c>
      <c r="S812" s="3">
        <v>1</v>
      </c>
      <c r="T812" s="3">
        <v>3</v>
      </c>
      <c r="U812" s="3">
        <v>5</v>
      </c>
      <c r="V812" s="3">
        <v>6</v>
      </c>
      <c r="W812" s="3"/>
      <c r="X812" s="3">
        <v>22.98</v>
      </c>
      <c r="Y812" s="3">
        <v>22.98</v>
      </c>
      <c r="Z812" s="3">
        <v>19.98</v>
      </c>
      <c r="AA812" s="3">
        <v>0</v>
      </c>
      <c r="AB812" s="3" t="s">
        <v>5228</v>
      </c>
      <c r="AC812" s="3">
        <v>23</v>
      </c>
      <c r="AD812" s="3">
        <v>20.85</v>
      </c>
      <c r="AE812" s="3">
        <v>35</v>
      </c>
      <c r="AF812" s="3">
        <v>0</v>
      </c>
      <c r="AG812" s="3">
        <v>0.468885</v>
      </c>
      <c r="AH812" s="3">
        <v>0.203389830508474</v>
      </c>
      <c r="AI812" s="3" t="s">
        <v>5311</v>
      </c>
      <c r="AJ812" s="3" t="s">
        <v>5222</v>
      </c>
    </row>
    <row r="813" spans="1:36">
      <c r="A813" s="5">
        <v>43288</v>
      </c>
      <c r="B813" s="3" t="s">
        <v>328</v>
      </c>
      <c r="C813" s="3" t="s">
        <v>329</v>
      </c>
      <c r="D813" s="3" t="s">
        <v>329</v>
      </c>
      <c r="E813" s="3" t="s">
        <v>330</v>
      </c>
      <c r="F813" s="3" t="s">
        <v>120</v>
      </c>
      <c r="G813" s="3">
        <v>32</v>
      </c>
      <c r="H813" s="3">
        <v>0</v>
      </c>
      <c r="I813" s="3">
        <v>32</v>
      </c>
      <c r="J813" s="3">
        <v>0</v>
      </c>
      <c r="K813" s="3">
        <v>0</v>
      </c>
      <c r="L813" s="3">
        <v>0</v>
      </c>
      <c r="M813" s="3">
        <v>0</v>
      </c>
      <c r="N813" s="3" t="s">
        <v>5218</v>
      </c>
      <c r="O813" s="3">
        <v>0</v>
      </c>
      <c r="P813" s="3">
        <v>0</v>
      </c>
      <c r="Q813" s="3">
        <v>0</v>
      </c>
      <c r="R813" s="3">
        <v>0</v>
      </c>
      <c r="S813" s="3">
        <v>0</v>
      </c>
      <c r="T813" s="3">
        <v>0</v>
      </c>
      <c r="U813" s="3">
        <v>3</v>
      </c>
      <c r="V813" s="3">
        <v>3</v>
      </c>
      <c r="W813" s="3" t="s">
        <v>5227</v>
      </c>
      <c r="X813" s="3">
        <v>22.98</v>
      </c>
      <c r="Y813" s="3">
        <v>22.98</v>
      </c>
      <c r="Z813" s="3">
        <v>22</v>
      </c>
      <c r="AA813" s="3">
        <v>0</v>
      </c>
      <c r="AB813" s="3" t="s">
        <v>5223</v>
      </c>
      <c r="AC813" s="3">
        <v>32</v>
      </c>
      <c r="AD813" s="3">
        <v>22.98</v>
      </c>
      <c r="AE813" s="3">
        <v>0</v>
      </c>
      <c r="AF813" s="3">
        <v>0</v>
      </c>
      <c r="AG813" s="3">
        <v>0</v>
      </c>
      <c r="AH813" s="3">
        <v>0.107142857142857</v>
      </c>
      <c r="AI813" s="3" t="s">
        <v>5240</v>
      </c>
      <c r="AJ813" s="3" t="s">
        <v>5222</v>
      </c>
    </row>
    <row r="814" spans="1:36">
      <c r="A814" s="5">
        <v>43288</v>
      </c>
      <c r="B814" s="3" t="s">
        <v>4282</v>
      </c>
      <c r="C814" s="3" t="s">
        <v>4283</v>
      </c>
      <c r="D814" s="3" t="s">
        <v>4283</v>
      </c>
      <c r="E814" s="3" t="s">
        <v>4284</v>
      </c>
      <c r="F814" s="3" t="s">
        <v>120</v>
      </c>
      <c r="G814" s="3">
        <v>24</v>
      </c>
      <c r="H814" s="3">
        <v>0</v>
      </c>
      <c r="I814" s="3">
        <v>24</v>
      </c>
      <c r="J814" s="3">
        <v>0</v>
      </c>
      <c r="K814" s="3">
        <v>0</v>
      </c>
      <c r="L814" s="3">
        <v>0</v>
      </c>
      <c r="M814" s="3">
        <v>0</v>
      </c>
      <c r="N814" s="3" t="s">
        <v>5218</v>
      </c>
      <c r="O814" s="3">
        <v>0</v>
      </c>
      <c r="P814" s="3">
        <v>0</v>
      </c>
      <c r="Q814" s="3">
        <v>0</v>
      </c>
      <c r="R814" s="3">
        <v>0</v>
      </c>
      <c r="S814" s="3">
        <v>0</v>
      </c>
      <c r="T814" s="3">
        <v>3</v>
      </c>
      <c r="U814" s="3">
        <v>12</v>
      </c>
      <c r="V814" s="3">
        <v>14</v>
      </c>
      <c r="W814" s="3" t="s">
        <v>5227</v>
      </c>
      <c r="X814" s="3">
        <v>23.98</v>
      </c>
      <c r="Y814" s="3">
        <v>23.98</v>
      </c>
      <c r="Z814" s="3">
        <v>23.98</v>
      </c>
      <c r="AA814" s="3">
        <v>0</v>
      </c>
      <c r="AB814" s="3" t="s">
        <v>5223</v>
      </c>
      <c r="AC814" s="3">
        <v>23</v>
      </c>
      <c r="AD814" s="3">
        <v>23.98</v>
      </c>
      <c r="AE814" s="3">
        <v>0</v>
      </c>
      <c r="AF814" s="3">
        <v>0</v>
      </c>
      <c r="AG814" s="3">
        <v>0</v>
      </c>
      <c r="AH814" s="3">
        <v>1.16666666666666</v>
      </c>
      <c r="AI814" s="3" t="s">
        <v>5258</v>
      </c>
      <c r="AJ814" s="3" t="s">
        <v>5222</v>
      </c>
    </row>
    <row r="815" spans="1:36">
      <c r="A815" s="5">
        <v>43288</v>
      </c>
      <c r="B815" s="3" t="s">
        <v>1282</v>
      </c>
      <c r="C815" s="3" t="s">
        <v>1283</v>
      </c>
      <c r="D815" s="3" t="s">
        <v>573</v>
      </c>
      <c r="E815" s="3" t="s">
        <v>815</v>
      </c>
      <c r="F815" s="3" t="s">
        <v>120</v>
      </c>
      <c r="G815" s="3">
        <v>7</v>
      </c>
      <c r="H815" s="3">
        <v>0</v>
      </c>
      <c r="I815" s="3">
        <v>7</v>
      </c>
      <c r="J815" s="3">
        <v>0</v>
      </c>
      <c r="K815" s="3">
        <v>0</v>
      </c>
      <c r="L815" s="3">
        <v>0</v>
      </c>
      <c r="M815" s="3">
        <v>0</v>
      </c>
      <c r="N815" s="3" t="s">
        <v>5218</v>
      </c>
      <c r="O815" s="3">
        <v>0</v>
      </c>
      <c r="P815" s="3">
        <v>0</v>
      </c>
      <c r="Q815" s="3">
        <v>0</v>
      </c>
      <c r="R815" s="3">
        <v>0</v>
      </c>
      <c r="S815" s="3">
        <v>0</v>
      </c>
      <c r="T815" s="3">
        <v>0</v>
      </c>
      <c r="U815" s="3">
        <v>0</v>
      </c>
      <c r="V815" s="3">
        <v>0</v>
      </c>
      <c r="W815" s="3" t="s">
        <v>5227</v>
      </c>
      <c r="X815" s="3">
        <v>39.98</v>
      </c>
      <c r="Y815" s="3">
        <v>22.98</v>
      </c>
      <c r="Z815" s="3">
        <v>22.98</v>
      </c>
      <c r="AA815" s="3">
        <v>0</v>
      </c>
      <c r="AB815" s="3" t="s">
        <v>5223</v>
      </c>
      <c r="AC815" s="3">
        <v>8</v>
      </c>
      <c r="AD815" s="3">
        <v>22.98</v>
      </c>
      <c r="AE815" s="3">
        <v>0</v>
      </c>
      <c r="AF815" s="3">
        <v>0</v>
      </c>
      <c r="AG815" s="3">
        <v>0</v>
      </c>
      <c r="AH815" s="3">
        <v>0.483870967741935</v>
      </c>
      <c r="AI815" s="3" t="s">
        <v>5225</v>
      </c>
      <c r="AJ815" s="3" t="s">
        <v>5222</v>
      </c>
    </row>
    <row r="816" spans="1:36">
      <c r="A816" s="5">
        <v>43288</v>
      </c>
      <c r="B816" s="3" t="s">
        <v>4536</v>
      </c>
      <c r="C816" s="3" t="s">
        <v>4537</v>
      </c>
      <c r="D816" s="3" t="s">
        <v>4537</v>
      </c>
      <c r="E816" s="3" t="s">
        <v>4538</v>
      </c>
      <c r="F816" s="3" t="s">
        <v>120</v>
      </c>
      <c r="G816" s="3">
        <v>12</v>
      </c>
      <c r="H816" s="3">
        <v>0</v>
      </c>
      <c r="I816" s="3">
        <v>12</v>
      </c>
      <c r="J816" s="3">
        <v>0</v>
      </c>
      <c r="K816" s="3">
        <v>0</v>
      </c>
      <c r="L816" s="3">
        <v>0</v>
      </c>
      <c r="M816" s="3">
        <v>0</v>
      </c>
      <c r="N816" s="3" t="s">
        <v>5218</v>
      </c>
      <c r="O816" s="3">
        <v>0</v>
      </c>
      <c r="P816" s="3">
        <v>0</v>
      </c>
      <c r="Q816" s="3">
        <v>0</v>
      </c>
      <c r="R816" s="3">
        <v>0</v>
      </c>
      <c r="S816" s="3">
        <v>0</v>
      </c>
      <c r="T816" s="3">
        <v>10</v>
      </c>
      <c r="U816" s="3">
        <v>18</v>
      </c>
      <c r="V816" s="3">
        <v>22</v>
      </c>
      <c r="W816" s="3"/>
      <c r="X816" s="3">
        <v>22.98</v>
      </c>
      <c r="Y816" s="3">
        <v>22.98</v>
      </c>
      <c r="Z816" s="3">
        <v>22.98</v>
      </c>
      <c r="AA816" s="3">
        <v>0</v>
      </c>
      <c r="AB816" s="3" t="s">
        <v>5223</v>
      </c>
      <c r="AC816" s="3">
        <v>12</v>
      </c>
      <c r="AD816" s="3">
        <v>22.98</v>
      </c>
      <c r="AE816" s="3">
        <v>0</v>
      </c>
      <c r="AF816" s="3">
        <v>0</v>
      </c>
      <c r="AG816" s="3">
        <v>0</v>
      </c>
      <c r="AH816" s="3">
        <v>2</v>
      </c>
      <c r="AI816" s="3" t="s">
        <v>5226</v>
      </c>
      <c r="AJ816" s="3" t="s">
        <v>5222</v>
      </c>
    </row>
    <row r="817" spans="1:36">
      <c r="A817" s="5">
        <v>43288</v>
      </c>
      <c r="B817" s="3" t="s">
        <v>4395</v>
      </c>
      <c r="C817" s="3" t="s">
        <v>3438</v>
      </c>
      <c r="D817" s="3" t="s">
        <v>3438</v>
      </c>
      <c r="E817" s="3" t="s">
        <v>3439</v>
      </c>
      <c r="F817" s="3" t="s">
        <v>120</v>
      </c>
      <c r="G817" s="3">
        <v>10</v>
      </c>
      <c r="H817" s="3">
        <v>0</v>
      </c>
      <c r="I817" s="3">
        <v>1</v>
      </c>
      <c r="J817" s="3">
        <v>0</v>
      </c>
      <c r="K817" s="3">
        <v>9</v>
      </c>
      <c r="L817" s="3">
        <v>0</v>
      </c>
      <c r="M817" s="3">
        <v>0</v>
      </c>
      <c r="N817" s="3" t="s">
        <v>5218</v>
      </c>
      <c r="O817" s="3">
        <v>9</v>
      </c>
      <c r="P817" s="3">
        <v>13.53</v>
      </c>
      <c r="Q817" s="3">
        <v>0</v>
      </c>
      <c r="R817" s="3">
        <v>0</v>
      </c>
      <c r="S817" s="3">
        <v>0</v>
      </c>
      <c r="T817" s="3">
        <v>1</v>
      </c>
      <c r="U817" s="3">
        <v>2</v>
      </c>
      <c r="V817" s="3">
        <v>2</v>
      </c>
      <c r="W817" s="3"/>
      <c r="X817" s="3">
        <v>22.98</v>
      </c>
      <c r="Y817" s="3">
        <v>22.98</v>
      </c>
      <c r="Z817" s="3">
        <v>22.98</v>
      </c>
      <c r="AA817" s="3">
        <v>0</v>
      </c>
      <c r="AB817" s="3" t="s">
        <v>5228</v>
      </c>
      <c r="AC817" s="3">
        <v>0</v>
      </c>
      <c r="AD817" s="3">
        <v>19.2</v>
      </c>
      <c r="AE817" s="3">
        <v>259</v>
      </c>
      <c r="AF817" s="3">
        <v>0</v>
      </c>
      <c r="AG817" s="3">
        <v>242.588942</v>
      </c>
      <c r="AH817" s="3">
        <v>0.19047619047619</v>
      </c>
      <c r="AI817" s="3" t="s">
        <v>5291</v>
      </c>
      <c r="AJ817" s="3" t="s">
        <v>5222</v>
      </c>
    </row>
    <row r="818" spans="1:36">
      <c r="A818" s="5">
        <v>43288</v>
      </c>
      <c r="B818" s="3" t="s">
        <v>2237</v>
      </c>
      <c r="C818" s="3" t="s">
        <v>2238</v>
      </c>
      <c r="D818" s="3" t="s">
        <v>2238</v>
      </c>
      <c r="E818" s="3" t="s">
        <v>2239</v>
      </c>
      <c r="F818" s="3" t="s">
        <v>120</v>
      </c>
      <c r="G818" s="3">
        <v>29</v>
      </c>
      <c r="H818" s="3">
        <v>0</v>
      </c>
      <c r="I818" s="3">
        <v>1</v>
      </c>
      <c r="J818" s="3">
        <v>6</v>
      </c>
      <c r="K818" s="3">
        <v>22</v>
      </c>
      <c r="L818" s="3">
        <v>0</v>
      </c>
      <c r="M818" s="3">
        <v>0</v>
      </c>
      <c r="N818" s="3" t="s">
        <v>5218</v>
      </c>
      <c r="O818" s="3">
        <v>25</v>
      </c>
      <c r="P818" s="3">
        <v>28.41</v>
      </c>
      <c r="Q818" s="3">
        <v>0</v>
      </c>
      <c r="R818" s="3">
        <v>0</v>
      </c>
      <c r="S818" s="3">
        <v>2</v>
      </c>
      <c r="T818" s="3">
        <v>4</v>
      </c>
      <c r="U818" s="3">
        <v>8</v>
      </c>
      <c r="V818" s="3">
        <v>13</v>
      </c>
      <c r="W818" s="3"/>
      <c r="X818" s="3">
        <v>23.98</v>
      </c>
      <c r="Y818" s="3">
        <v>23.98</v>
      </c>
      <c r="Z818" s="3">
        <v>18.98</v>
      </c>
      <c r="AA818" s="3">
        <v>0</v>
      </c>
      <c r="AB818" s="3" t="s">
        <v>5223</v>
      </c>
      <c r="AC818" s="3">
        <v>31</v>
      </c>
      <c r="AD818" s="3">
        <v>23.98</v>
      </c>
      <c r="AE818" s="3">
        <v>0</v>
      </c>
      <c r="AF818" s="3">
        <v>0</v>
      </c>
      <c r="AG818" s="3">
        <v>0</v>
      </c>
      <c r="AH818" s="3">
        <v>0.37410071942446</v>
      </c>
      <c r="AI818" s="3" t="s">
        <v>5313</v>
      </c>
      <c r="AJ818" s="3" t="s">
        <v>5222</v>
      </c>
    </row>
    <row r="819" spans="1:36">
      <c r="A819" s="5">
        <v>43288</v>
      </c>
      <c r="B819" s="3" t="s">
        <v>4547</v>
      </c>
      <c r="C819" s="3" t="s">
        <v>3895</v>
      </c>
      <c r="D819" s="3" t="s">
        <v>3895</v>
      </c>
      <c r="E819" s="3" t="s">
        <v>3896</v>
      </c>
      <c r="F819" s="3" t="s">
        <v>120</v>
      </c>
      <c r="G819" s="3">
        <v>1</v>
      </c>
      <c r="H819" s="3">
        <v>0</v>
      </c>
      <c r="I819" s="3">
        <v>1</v>
      </c>
      <c r="J819" s="3">
        <v>0</v>
      </c>
      <c r="K819" s="3">
        <v>0</v>
      </c>
      <c r="L819" s="3">
        <v>0</v>
      </c>
      <c r="M819" s="3">
        <v>0</v>
      </c>
      <c r="N819" s="3" t="s">
        <v>5218</v>
      </c>
      <c r="O819" s="3">
        <v>0</v>
      </c>
      <c r="P819" s="3">
        <v>0</v>
      </c>
      <c r="Q819" s="3">
        <v>0</v>
      </c>
      <c r="R819" s="3">
        <v>0</v>
      </c>
      <c r="S819" s="3">
        <v>0</v>
      </c>
      <c r="T819" s="3">
        <v>0</v>
      </c>
      <c r="U819" s="3">
        <v>1</v>
      </c>
      <c r="V819" s="3">
        <v>1</v>
      </c>
      <c r="W819" s="3"/>
      <c r="X819" s="3"/>
      <c r="Y819" s="3"/>
      <c r="Z819" s="3">
        <v>-1</v>
      </c>
      <c r="AA819" s="3">
        <v>-1</v>
      </c>
      <c r="AB819" s="3" t="s">
        <v>5244</v>
      </c>
      <c r="AC819" s="3">
        <v>0</v>
      </c>
      <c r="AD819" s="3">
        <v>0</v>
      </c>
      <c r="AE819" s="3">
        <v>0</v>
      </c>
      <c r="AF819" s="3">
        <v>0</v>
      </c>
      <c r="AG819" s="3">
        <v>0</v>
      </c>
      <c r="AH819" s="3">
        <v>1.33333333333333</v>
      </c>
      <c r="AI819" s="3" t="s">
        <v>5249</v>
      </c>
      <c r="AJ819" s="3" t="s">
        <v>5222</v>
      </c>
    </row>
    <row r="820" spans="1:36">
      <c r="A820" s="5">
        <v>43288</v>
      </c>
      <c r="B820" s="3" t="s">
        <v>2950</v>
      </c>
      <c r="C820" s="3" t="s">
        <v>1400</v>
      </c>
      <c r="D820" s="3" t="s">
        <v>1400</v>
      </c>
      <c r="E820" s="3" t="s">
        <v>1401</v>
      </c>
      <c r="F820" s="3" t="s">
        <v>120</v>
      </c>
      <c r="G820" s="3">
        <v>1</v>
      </c>
      <c r="H820" s="3">
        <v>0</v>
      </c>
      <c r="I820" s="3">
        <v>1</v>
      </c>
      <c r="J820" s="3">
        <v>0</v>
      </c>
      <c r="K820" s="3">
        <v>0</v>
      </c>
      <c r="L820" s="3">
        <v>0</v>
      </c>
      <c r="M820" s="3">
        <v>0</v>
      </c>
      <c r="N820" s="3" t="s">
        <v>5218</v>
      </c>
      <c r="O820" s="3">
        <v>0</v>
      </c>
      <c r="P820" s="3">
        <v>0</v>
      </c>
      <c r="Q820" s="3">
        <v>0</v>
      </c>
      <c r="R820" s="3">
        <v>0</v>
      </c>
      <c r="S820" s="3">
        <v>2</v>
      </c>
      <c r="T820" s="3">
        <v>46</v>
      </c>
      <c r="U820" s="3">
        <v>109</v>
      </c>
      <c r="V820" s="3">
        <v>133</v>
      </c>
      <c r="W820" s="3"/>
      <c r="X820" s="3">
        <v>22.98</v>
      </c>
      <c r="Y820" s="3">
        <v>22.98</v>
      </c>
      <c r="Z820" s="3">
        <v>22.98</v>
      </c>
      <c r="AA820" s="3">
        <v>0</v>
      </c>
      <c r="AB820" s="3" t="s">
        <v>5223</v>
      </c>
      <c r="AC820" s="3">
        <v>2</v>
      </c>
      <c r="AD820" s="3">
        <v>22.98</v>
      </c>
      <c r="AE820" s="3">
        <v>0</v>
      </c>
      <c r="AF820" s="3">
        <v>0</v>
      </c>
      <c r="AG820" s="3">
        <v>0</v>
      </c>
      <c r="AH820" s="3">
        <v>25.3125</v>
      </c>
      <c r="AI820" s="3" t="s">
        <v>5236</v>
      </c>
      <c r="AJ820" s="3" t="s">
        <v>5222</v>
      </c>
    </row>
    <row r="821" spans="1:36">
      <c r="A821" s="5">
        <v>43288</v>
      </c>
      <c r="B821" s="3" t="s">
        <v>625</v>
      </c>
      <c r="C821" s="3" t="s">
        <v>626</v>
      </c>
      <c r="D821" s="3" t="s">
        <v>626</v>
      </c>
      <c r="E821" s="3" t="s">
        <v>627</v>
      </c>
      <c r="F821" s="3" t="s">
        <v>120</v>
      </c>
      <c r="G821" s="3">
        <v>10</v>
      </c>
      <c r="H821" s="3">
        <v>0</v>
      </c>
      <c r="I821" s="3">
        <v>8</v>
      </c>
      <c r="J821" s="3">
        <v>2</v>
      </c>
      <c r="K821" s="3">
        <v>0</v>
      </c>
      <c r="L821" s="3">
        <v>0</v>
      </c>
      <c r="M821" s="3">
        <v>0</v>
      </c>
      <c r="N821" s="3" t="s">
        <v>5218</v>
      </c>
      <c r="O821" s="3">
        <v>1</v>
      </c>
      <c r="P821" s="3">
        <v>1.9</v>
      </c>
      <c r="Q821" s="3">
        <v>0</v>
      </c>
      <c r="R821" s="3">
        <v>0</v>
      </c>
      <c r="S821" s="3">
        <v>0</v>
      </c>
      <c r="T821" s="3">
        <v>0</v>
      </c>
      <c r="U821" s="3">
        <v>1</v>
      </c>
      <c r="V821" s="3">
        <v>1</v>
      </c>
      <c r="W821" s="3" t="s">
        <v>5227</v>
      </c>
      <c r="X821" s="3">
        <v>24.98</v>
      </c>
      <c r="Y821" s="3">
        <v>24.98</v>
      </c>
      <c r="Z821" s="3">
        <v>24.98</v>
      </c>
      <c r="AA821" s="3">
        <v>0</v>
      </c>
      <c r="AB821" s="3" t="s">
        <v>5228</v>
      </c>
      <c r="AC821" s="3">
        <v>0</v>
      </c>
      <c r="AD821" s="3">
        <v>21.85</v>
      </c>
      <c r="AE821" s="3">
        <v>210</v>
      </c>
      <c r="AF821" s="3">
        <v>0</v>
      </c>
      <c r="AG821" s="3">
        <v>290.718634</v>
      </c>
      <c r="AH821" s="3">
        <v>0.222222222222222</v>
      </c>
      <c r="AI821" s="3" t="s">
        <v>5250</v>
      </c>
      <c r="AJ821" s="3" t="s">
        <v>5222</v>
      </c>
    </row>
    <row r="822" spans="1:36">
      <c r="A822" s="5">
        <v>43288</v>
      </c>
      <c r="B822" s="3" t="s">
        <v>1374</v>
      </c>
      <c r="C822" s="3" t="s">
        <v>1375</v>
      </c>
      <c r="D822" s="3" t="s">
        <v>1376</v>
      </c>
      <c r="E822" s="3" t="s">
        <v>1377</v>
      </c>
      <c r="F822" s="3" t="s">
        <v>120</v>
      </c>
      <c r="G822" s="3">
        <v>2</v>
      </c>
      <c r="H822" s="3">
        <v>0</v>
      </c>
      <c r="I822" s="3">
        <v>2</v>
      </c>
      <c r="J822" s="3">
        <v>0</v>
      </c>
      <c r="K822" s="3">
        <v>0</v>
      </c>
      <c r="L822" s="3">
        <v>0</v>
      </c>
      <c r="M822" s="3">
        <v>0</v>
      </c>
      <c r="N822" s="3" t="s">
        <v>5218</v>
      </c>
      <c r="O822" s="3">
        <v>0</v>
      </c>
      <c r="P822" s="3">
        <v>0</v>
      </c>
      <c r="Q822" s="3">
        <v>0</v>
      </c>
      <c r="R822" s="3">
        <v>0</v>
      </c>
      <c r="S822" s="3">
        <v>0</v>
      </c>
      <c r="T822" s="3">
        <v>0</v>
      </c>
      <c r="U822" s="3">
        <v>0</v>
      </c>
      <c r="V822" s="3">
        <v>0</v>
      </c>
      <c r="W822" s="3" t="s">
        <v>5227</v>
      </c>
      <c r="X822" s="3">
        <v>23.98</v>
      </c>
      <c r="Y822" s="3">
        <v>23.98</v>
      </c>
      <c r="Z822" s="3">
        <v>23.98</v>
      </c>
      <c r="AA822" s="3">
        <v>0</v>
      </c>
      <c r="AB822" s="3" t="s">
        <v>5223</v>
      </c>
      <c r="AC822" s="3">
        <v>0</v>
      </c>
      <c r="AD822" s="3">
        <v>0</v>
      </c>
      <c r="AE822" s="3">
        <v>0</v>
      </c>
      <c r="AF822" s="3">
        <v>0</v>
      </c>
      <c r="AG822" s="3">
        <v>0</v>
      </c>
      <c r="AH822" s="3">
        <v>8.19753086419753</v>
      </c>
      <c r="AI822" s="3" t="s">
        <v>5306</v>
      </c>
      <c r="AJ822" s="3" t="s">
        <v>5222</v>
      </c>
    </row>
    <row r="823" spans="1:36">
      <c r="A823" s="5">
        <v>43288</v>
      </c>
      <c r="B823" s="3" t="s">
        <v>1963</v>
      </c>
      <c r="C823" s="3" t="s">
        <v>130</v>
      </c>
      <c r="D823" s="3" t="s">
        <v>130</v>
      </c>
      <c r="E823" s="3" t="s">
        <v>1964</v>
      </c>
      <c r="F823" s="3" t="s">
        <v>120</v>
      </c>
      <c r="G823" s="3">
        <v>42</v>
      </c>
      <c r="H823" s="3">
        <v>0</v>
      </c>
      <c r="I823" s="3">
        <v>1</v>
      </c>
      <c r="J823" s="3">
        <v>3</v>
      </c>
      <c r="K823" s="3">
        <v>38</v>
      </c>
      <c r="L823" s="3">
        <v>0</v>
      </c>
      <c r="M823" s="3">
        <v>0</v>
      </c>
      <c r="N823" s="3" t="s">
        <v>5218</v>
      </c>
      <c r="O823" s="3">
        <v>41</v>
      </c>
      <c r="P823" s="3">
        <v>41.11</v>
      </c>
      <c r="Q823" s="3">
        <v>0</v>
      </c>
      <c r="R823" s="3">
        <v>0</v>
      </c>
      <c r="S823" s="3">
        <v>1</v>
      </c>
      <c r="T823" s="3">
        <v>2</v>
      </c>
      <c r="U823" s="3">
        <v>10</v>
      </c>
      <c r="V823" s="3">
        <v>15</v>
      </c>
      <c r="W823" s="3" t="s">
        <v>5227</v>
      </c>
      <c r="X823" s="3">
        <v>20.98</v>
      </c>
      <c r="Y823" s="3">
        <v>20.98</v>
      </c>
      <c r="Z823" s="3">
        <v>20.98</v>
      </c>
      <c r="AA823" s="3">
        <v>0</v>
      </c>
      <c r="AB823" s="3" t="s">
        <v>5223</v>
      </c>
      <c r="AC823" s="3">
        <v>43</v>
      </c>
      <c r="AD823" s="3">
        <v>23.98</v>
      </c>
      <c r="AE823" s="3">
        <v>0</v>
      </c>
      <c r="AF823" s="3">
        <v>0</v>
      </c>
      <c r="AG823" s="3">
        <v>0</v>
      </c>
      <c r="AH823" s="3">
        <v>0.310880829015544</v>
      </c>
      <c r="AI823" s="3" t="s">
        <v>5484</v>
      </c>
      <c r="AJ823" s="3" t="s">
        <v>5222</v>
      </c>
    </row>
    <row r="824" spans="1:36">
      <c r="A824" s="5">
        <v>43288</v>
      </c>
      <c r="B824" s="3" t="s">
        <v>3049</v>
      </c>
      <c r="C824" s="3" t="s">
        <v>3050</v>
      </c>
      <c r="D824" s="3" t="s">
        <v>3050</v>
      </c>
      <c r="E824" s="3" t="s">
        <v>3051</v>
      </c>
      <c r="F824" s="3" t="s">
        <v>120</v>
      </c>
      <c r="G824" s="3">
        <v>15</v>
      </c>
      <c r="H824" s="3">
        <v>0</v>
      </c>
      <c r="I824" s="3">
        <v>15</v>
      </c>
      <c r="J824" s="3">
        <v>0</v>
      </c>
      <c r="K824" s="3">
        <v>0</v>
      </c>
      <c r="L824" s="3">
        <v>0</v>
      </c>
      <c r="M824" s="3">
        <v>0</v>
      </c>
      <c r="N824" s="3" t="s">
        <v>5218</v>
      </c>
      <c r="O824" s="3">
        <v>0</v>
      </c>
      <c r="P824" s="3">
        <v>0</v>
      </c>
      <c r="Q824" s="3">
        <v>0</v>
      </c>
      <c r="R824" s="3">
        <v>0</v>
      </c>
      <c r="S824" s="3">
        <v>8</v>
      </c>
      <c r="T824" s="3">
        <v>15</v>
      </c>
      <c r="U824" s="3">
        <v>30</v>
      </c>
      <c r="V824" s="3">
        <v>42</v>
      </c>
      <c r="W824" s="3"/>
      <c r="X824" s="3">
        <v>23.98</v>
      </c>
      <c r="Y824" s="3">
        <v>23.98</v>
      </c>
      <c r="Z824" s="3">
        <v>23.98</v>
      </c>
      <c r="AA824" s="3">
        <v>0</v>
      </c>
      <c r="AB824" s="3" t="s">
        <v>5223</v>
      </c>
      <c r="AC824" s="3">
        <v>16</v>
      </c>
      <c r="AD824" s="3">
        <v>23.98</v>
      </c>
      <c r="AE824" s="3">
        <v>0</v>
      </c>
      <c r="AF824" s="3">
        <v>0</v>
      </c>
      <c r="AG824" s="3">
        <v>0</v>
      </c>
      <c r="AH824" s="3">
        <v>2.36619718309859</v>
      </c>
      <c r="AI824" s="3" t="s">
        <v>5485</v>
      </c>
      <c r="AJ824" s="3" t="s">
        <v>5222</v>
      </c>
    </row>
    <row r="825" spans="1:36">
      <c r="A825" s="5">
        <v>43288</v>
      </c>
      <c r="B825" s="3" t="s">
        <v>4163</v>
      </c>
      <c r="C825" s="3" t="s">
        <v>4164</v>
      </c>
      <c r="D825" s="3" t="s">
        <v>4164</v>
      </c>
      <c r="E825" s="3" t="s">
        <v>4165</v>
      </c>
      <c r="F825" s="3" t="s">
        <v>120</v>
      </c>
      <c r="G825" s="3">
        <v>22</v>
      </c>
      <c r="H825" s="3">
        <v>0</v>
      </c>
      <c r="I825" s="3">
        <v>22</v>
      </c>
      <c r="J825" s="3">
        <v>0</v>
      </c>
      <c r="K825" s="3">
        <v>0</v>
      </c>
      <c r="L825" s="3">
        <v>0</v>
      </c>
      <c r="M825" s="3">
        <v>0</v>
      </c>
      <c r="N825" s="3" t="s">
        <v>5218</v>
      </c>
      <c r="O825" s="3">
        <v>0</v>
      </c>
      <c r="P825" s="3">
        <v>0</v>
      </c>
      <c r="Q825" s="3">
        <v>0</v>
      </c>
      <c r="R825" s="3">
        <v>0</v>
      </c>
      <c r="S825" s="3">
        <v>1</v>
      </c>
      <c r="T825" s="3">
        <v>8</v>
      </c>
      <c r="U825" s="3">
        <v>17</v>
      </c>
      <c r="V825" s="3">
        <v>20</v>
      </c>
      <c r="W825" s="3"/>
      <c r="X825" s="3">
        <v>22.98</v>
      </c>
      <c r="Y825" s="3">
        <v>22.98</v>
      </c>
      <c r="Z825" s="3">
        <v>22.98</v>
      </c>
      <c r="AA825" s="3">
        <v>0</v>
      </c>
      <c r="AB825" s="3" t="s">
        <v>5223</v>
      </c>
      <c r="AC825" s="3">
        <v>22</v>
      </c>
      <c r="AD825" s="3">
        <v>22.98</v>
      </c>
      <c r="AE825" s="3">
        <v>0</v>
      </c>
      <c r="AF825" s="3">
        <v>0</v>
      </c>
      <c r="AG825" s="3">
        <v>0</v>
      </c>
      <c r="AH825" s="3">
        <v>1.6</v>
      </c>
      <c r="AI825" s="3" t="s">
        <v>5226</v>
      </c>
      <c r="AJ825" s="3" t="s">
        <v>5222</v>
      </c>
    </row>
    <row r="826" spans="1:36">
      <c r="A826" s="5">
        <v>43288</v>
      </c>
      <c r="B826" s="3" t="s">
        <v>4166</v>
      </c>
      <c r="C826" s="3" t="s">
        <v>4167</v>
      </c>
      <c r="D826" s="3" t="s">
        <v>4167</v>
      </c>
      <c r="E826" s="3" t="s">
        <v>4168</v>
      </c>
      <c r="F826" s="3" t="s">
        <v>120</v>
      </c>
      <c r="G826" s="3">
        <v>19</v>
      </c>
      <c r="H826" s="3">
        <v>0</v>
      </c>
      <c r="I826" s="3">
        <v>19</v>
      </c>
      <c r="J826" s="3">
        <v>0</v>
      </c>
      <c r="K826" s="3">
        <v>0</v>
      </c>
      <c r="L826" s="3">
        <v>0</v>
      </c>
      <c r="M826" s="3">
        <v>0</v>
      </c>
      <c r="N826" s="3" t="s">
        <v>5218</v>
      </c>
      <c r="O826" s="3">
        <v>0</v>
      </c>
      <c r="P826" s="3">
        <v>0</v>
      </c>
      <c r="Q826" s="3">
        <v>0</v>
      </c>
      <c r="R826" s="3">
        <v>0</v>
      </c>
      <c r="S826" s="3">
        <v>1</v>
      </c>
      <c r="T826" s="3">
        <v>3</v>
      </c>
      <c r="U826" s="3">
        <v>8</v>
      </c>
      <c r="V826" s="3">
        <v>11</v>
      </c>
      <c r="W826" s="3"/>
      <c r="X826" s="3">
        <v>22.98</v>
      </c>
      <c r="Y826" s="3">
        <v>22.98</v>
      </c>
      <c r="Z826" s="3">
        <v>22.98</v>
      </c>
      <c r="AA826" s="3">
        <v>0</v>
      </c>
      <c r="AB826" s="3" t="s">
        <v>5223</v>
      </c>
      <c r="AC826" s="3">
        <v>19</v>
      </c>
      <c r="AD826" s="3">
        <v>22.98</v>
      </c>
      <c r="AE826" s="3">
        <v>0</v>
      </c>
      <c r="AF826" s="3">
        <v>0</v>
      </c>
      <c r="AG826" s="3">
        <v>0</v>
      </c>
      <c r="AH826" s="3">
        <v>1</v>
      </c>
      <c r="AI826" s="3" t="s">
        <v>5226</v>
      </c>
      <c r="AJ826" s="3" t="s">
        <v>5222</v>
      </c>
    </row>
    <row r="827" spans="1:36">
      <c r="A827" s="5">
        <v>43288</v>
      </c>
      <c r="B827" s="3" t="s">
        <v>5157</v>
      </c>
      <c r="C827" s="3" t="s">
        <v>5158</v>
      </c>
      <c r="D827" s="3" t="s">
        <v>5158</v>
      </c>
      <c r="E827" s="3" t="s">
        <v>5159</v>
      </c>
      <c r="F827" s="3" t="s">
        <v>120</v>
      </c>
      <c r="G827" s="3">
        <v>9</v>
      </c>
      <c r="H827" s="3">
        <v>0</v>
      </c>
      <c r="I827" s="3">
        <v>0</v>
      </c>
      <c r="J827" s="3">
        <v>5</v>
      </c>
      <c r="K827" s="3">
        <v>4</v>
      </c>
      <c r="L827" s="3">
        <v>0</v>
      </c>
      <c r="M827" s="3">
        <v>0</v>
      </c>
      <c r="N827" s="3" t="s">
        <v>5218</v>
      </c>
      <c r="O827" s="3">
        <v>9</v>
      </c>
      <c r="P827" s="3">
        <v>30.87</v>
      </c>
      <c r="Q827" s="3">
        <v>0</v>
      </c>
      <c r="R827" s="3">
        <v>0</v>
      </c>
      <c r="S827" s="3">
        <v>0</v>
      </c>
      <c r="T827" s="3">
        <v>0</v>
      </c>
      <c r="U827" s="3">
        <v>0</v>
      </c>
      <c r="V827" s="3">
        <v>0</v>
      </c>
      <c r="W827" s="3" t="s">
        <v>5219</v>
      </c>
      <c r="X827" s="3">
        <v>29.98</v>
      </c>
      <c r="Y827" s="3">
        <v>29.98</v>
      </c>
      <c r="Z827" s="3">
        <v>29.98</v>
      </c>
      <c r="AA827" s="3">
        <v>0</v>
      </c>
      <c r="AB827" s="3" t="s">
        <v>5228</v>
      </c>
      <c r="AC827" s="3">
        <v>1</v>
      </c>
      <c r="AD827" s="3">
        <v>26.94</v>
      </c>
      <c r="AE827" s="3">
        <v>35</v>
      </c>
      <c r="AF827" s="3">
        <v>0</v>
      </c>
      <c r="AG827" s="3">
        <v>477.827298</v>
      </c>
      <c r="AH827" s="3">
        <v>0</v>
      </c>
      <c r="AI827" s="3" t="s">
        <v>5486</v>
      </c>
      <c r="AJ827" s="3" t="s">
        <v>5222</v>
      </c>
    </row>
    <row r="828" spans="1:36">
      <c r="A828" s="5">
        <v>43288</v>
      </c>
      <c r="B828" s="3" t="s">
        <v>4154</v>
      </c>
      <c r="C828" s="3" t="s">
        <v>4155</v>
      </c>
      <c r="D828" s="3" t="s">
        <v>4155</v>
      </c>
      <c r="E828" s="3" t="s">
        <v>4156</v>
      </c>
      <c r="F828" s="3" t="s">
        <v>120</v>
      </c>
      <c r="G828" s="3">
        <v>5</v>
      </c>
      <c r="H828" s="3">
        <v>0</v>
      </c>
      <c r="I828" s="3">
        <v>5</v>
      </c>
      <c r="J828" s="3">
        <v>0</v>
      </c>
      <c r="K828" s="3">
        <v>0</v>
      </c>
      <c r="L828" s="3">
        <v>0</v>
      </c>
      <c r="M828" s="3">
        <v>0</v>
      </c>
      <c r="N828" s="3" t="s">
        <v>5218</v>
      </c>
      <c r="O828" s="3">
        <v>0</v>
      </c>
      <c r="P828" s="3">
        <v>0</v>
      </c>
      <c r="Q828" s="3">
        <v>0</v>
      </c>
      <c r="R828" s="3">
        <v>0</v>
      </c>
      <c r="S828" s="3">
        <v>0</v>
      </c>
      <c r="T828" s="3">
        <v>6</v>
      </c>
      <c r="U828" s="3">
        <v>8</v>
      </c>
      <c r="V828" s="3">
        <v>10</v>
      </c>
      <c r="W828" s="3"/>
      <c r="X828" s="3">
        <v>22.98</v>
      </c>
      <c r="Y828" s="3">
        <v>22.98</v>
      </c>
      <c r="Z828" s="3">
        <v>22.98</v>
      </c>
      <c r="AA828" s="3">
        <v>0</v>
      </c>
      <c r="AB828" s="3" t="s">
        <v>5223</v>
      </c>
      <c r="AC828" s="3">
        <v>5</v>
      </c>
      <c r="AD828" s="3">
        <v>22.98</v>
      </c>
      <c r="AE828" s="3">
        <v>0</v>
      </c>
      <c r="AF828" s="3">
        <v>0</v>
      </c>
      <c r="AG828" s="3">
        <v>0</v>
      </c>
      <c r="AH828" s="3">
        <v>1.81818181818181</v>
      </c>
      <c r="AI828" s="3" t="s">
        <v>5226</v>
      </c>
      <c r="AJ828" s="3" t="s">
        <v>5222</v>
      </c>
    </row>
    <row r="829" spans="1:36">
      <c r="A829" s="5">
        <v>43288</v>
      </c>
      <c r="B829" s="3" t="s">
        <v>1470</v>
      </c>
      <c r="C829" s="3" t="s">
        <v>30</v>
      </c>
      <c r="D829" s="3" t="s">
        <v>30</v>
      </c>
      <c r="E829" s="3" t="s">
        <v>1471</v>
      </c>
      <c r="F829" s="3" t="s">
        <v>120</v>
      </c>
      <c r="G829" s="3">
        <v>14</v>
      </c>
      <c r="H829" s="3">
        <v>0</v>
      </c>
      <c r="I829" s="3">
        <v>2</v>
      </c>
      <c r="J829" s="3">
        <v>1</v>
      </c>
      <c r="K829" s="3">
        <v>11</v>
      </c>
      <c r="L829" s="3">
        <v>0</v>
      </c>
      <c r="M829" s="3">
        <v>0</v>
      </c>
      <c r="N829" s="3" t="s">
        <v>5218</v>
      </c>
      <c r="O829" s="3">
        <v>12</v>
      </c>
      <c r="P829" s="3">
        <v>21.94</v>
      </c>
      <c r="Q829" s="3">
        <v>0</v>
      </c>
      <c r="R829" s="3">
        <v>0</v>
      </c>
      <c r="S829" s="3">
        <v>0</v>
      </c>
      <c r="T829" s="3">
        <v>1</v>
      </c>
      <c r="U829" s="3">
        <v>3</v>
      </c>
      <c r="V829" s="3">
        <v>4</v>
      </c>
      <c r="W829" s="3" t="s">
        <v>5227</v>
      </c>
      <c r="X829" s="3">
        <v>22.98</v>
      </c>
      <c r="Y829" s="3">
        <v>22.98</v>
      </c>
      <c r="Z829" s="3">
        <v>19.98</v>
      </c>
      <c r="AA829" s="3">
        <v>0</v>
      </c>
      <c r="AB829" s="3" t="s">
        <v>5228</v>
      </c>
      <c r="AC829" s="3">
        <v>0</v>
      </c>
      <c r="AD829" s="3">
        <v>20.23</v>
      </c>
      <c r="AE829" s="3">
        <v>217</v>
      </c>
      <c r="AF829" s="3">
        <v>0</v>
      </c>
      <c r="AG829" s="3">
        <v>393.030325</v>
      </c>
      <c r="AH829" s="3">
        <v>0.275862068965517</v>
      </c>
      <c r="AI829" s="3" t="s">
        <v>5311</v>
      </c>
      <c r="AJ829" s="3" t="s">
        <v>5222</v>
      </c>
    </row>
    <row r="830" spans="1:36">
      <c r="A830" s="5">
        <v>43288</v>
      </c>
      <c r="B830" s="3" t="s">
        <v>2501</v>
      </c>
      <c r="C830" s="3" t="s">
        <v>2502</v>
      </c>
      <c r="D830" s="3" t="s">
        <v>2502</v>
      </c>
      <c r="E830" s="3" t="s">
        <v>2503</v>
      </c>
      <c r="F830" s="3" t="s">
        <v>120</v>
      </c>
      <c r="G830" s="3">
        <v>19</v>
      </c>
      <c r="H830" s="3">
        <v>0</v>
      </c>
      <c r="I830" s="3">
        <v>1</v>
      </c>
      <c r="J830" s="3">
        <v>18</v>
      </c>
      <c r="K830" s="3">
        <v>0</v>
      </c>
      <c r="L830" s="3">
        <v>0</v>
      </c>
      <c r="M830" s="3">
        <v>0</v>
      </c>
      <c r="N830" s="3" t="s">
        <v>5218</v>
      </c>
      <c r="O830" s="3">
        <v>7</v>
      </c>
      <c r="P830" s="3">
        <v>15.62</v>
      </c>
      <c r="Q830" s="3">
        <v>0</v>
      </c>
      <c r="R830" s="3">
        <v>0</v>
      </c>
      <c r="S830" s="3">
        <v>1</v>
      </c>
      <c r="T830" s="3">
        <v>1</v>
      </c>
      <c r="U830" s="3">
        <v>4</v>
      </c>
      <c r="V830" s="3">
        <v>7</v>
      </c>
      <c r="W830" s="3"/>
      <c r="X830" s="3">
        <v>24.98</v>
      </c>
      <c r="Y830" s="3">
        <v>24.98</v>
      </c>
      <c r="Z830" s="3">
        <v>24.98</v>
      </c>
      <c r="AA830" s="3">
        <v>0</v>
      </c>
      <c r="AB830" s="3" t="s">
        <v>5228</v>
      </c>
      <c r="AC830" s="3">
        <v>0</v>
      </c>
      <c r="AD830" s="3">
        <v>20.37</v>
      </c>
      <c r="AE830" s="3">
        <v>280</v>
      </c>
      <c r="AF830" s="3">
        <v>0</v>
      </c>
      <c r="AG830" s="3">
        <v>642.533934</v>
      </c>
      <c r="AH830" s="3">
        <v>0.325581395348837</v>
      </c>
      <c r="AI830" s="3" t="s">
        <v>5230</v>
      </c>
      <c r="AJ830" s="3" t="s">
        <v>5222</v>
      </c>
    </row>
    <row r="831" spans="1:36">
      <c r="A831" s="5">
        <v>43288</v>
      </c>
      <c r="B831" s="3" t="s">
        <v>2424</v>
      </c>
      <c r="C831" s="3" t="s">
        <v>2425</v>
      </c>
      <c r="D831" s="3" t="s">
        <v>2425</v>
      </c>
      <c r="E831" s="3" t="s">
        <v>2426</v>
      </c>
      <c r="F831" s="3" t="s">
        <v>120</v>
      </c>
      <c r="G831" s="3">
        <v>7</v>
      </c>
      <c r="H831" s="3">
        <v>0</v>
      </c>
      <c r="I831" s="3">
        <v>0</v>
      </c>
      <c r="J831" s="3">
        <v>7</v>
      </c>
      <c r="K831" s="3">
        <v>0</v>
      </c>
      <c r="L831" s="3">
        <v>0</v>
      </c>
      <c r="M831" s="3">
        <v>0</v>
      </c>
      <c r="N831" s="3" t="s">
        <v>5218</v>
      </c>
      <c r="O831" s="3">
        <v>0</v>
      </c>
      <c r="P831" s="3">
        <v>0</v>
      </c>
      <c r="Q831" s="3">
        <v>0</v>
      </c>
      <c r="R831" s="3">
        <v>0</v>
      </c>
      <c r="S831" s="3">
        <v>1</v>
      </c>
      <c r="T831" s="3">
        <v>1</v>
      </c>
      <c r="U831" s="3">
        <v>3</v>
      </c>
      <c r="V831" s="3">
        <v>4</v>
      </c>
      <c r="W831" s="3"/>
      <c r="X831" s="3">
        <v>22.98</v>
      </c>
      <c r="Y831" s="3">
        <v>22.98</v>
      </c>
      <c r="Z831" s="3">
        <v>22</v>
      </c>
      <c r="AA831" s="3">
        <v>0</v>
      </c>
      <c r="AB831" s="3" t="s">
        <v>5223</v>
      </c>
      <c r="AC831" s="3">
        <v>7</v>
      </c>
      <c r="AD831" s="3">
        <v>22.98</v>
      </c>
      <c r="AE831" s="3">
        <v>0</v>
      </c>
      <c r="AF831" s="3">
        <v>0</v>
      </c>
      <c r="AG831" s="3">
        <v>0</v>
      </c>
      <c r="AH831" s="3">
        <v>0.444444444444444</v>
      </c>
      <c r="AI831" s="3" t="s">
        <v>5240</v>
      </c>
      <c r="AJ831" s="3" t="s">
        <v>5222</v>
      </c>
    </row>
    <row r="832" spans="1:36">
      <c r="A832" s="5">
        <v>43288</v>
      </c>
      <c r="B832" s="3" t="s">
        <v>3046</v>
      </c>
      <c r="C832" s="3" t="s">
        <v>3047</v>
      </c>
      <c r="D832" s="3" t="s">
        <v>3047</v>
      </c>
      <c r="E832" s="3" t="s">
        <v>3048</v>
      </c>
      <c r="F832" s="3" t="s">
        <v>120</v>
      </c>
      <c r="G832" s="3">
        <v>52</v>
      </c>
      <c r="H832" s="3">
        <v>0</v>
      </c>
      <c r="I832" s="3">
        <v>52</v>
      </c>
      <c r="J832" s="3">
        <v>0</v>
      </c>
      <c r="K832" s="3">
        <v>0</v>
      </c>
      <c r="L832" s="3">
        <v>0</v>
      </c>
      <c r="M832" s="3">
        <v>0</v>
      </c>
      <c r="N832" s="3" t="s">
        <v>5218</v>
      </c>
      <c r="O832" s="3">
        <v>0</v>
      </c>
      <c r="P832" s="3">
        <v>0</v>
      </c>
      <c r="Q832" s="3">
        <v>0</v>
      </c>
      <c r="R832" s="3">
        <v>0</v>
      </c>
      <c r="S832" s="3">
        <v>5</v>
      </c>
      <c r="T832" s="3">
        <v>22</v>
      </c>
      <c r="U832" s="3">
        <v>44</v>
      </c>
      <c r="V832" s="3">
        <v>54</v>
      </c>
      <c r="W832" s="3"/>
      <c r="X832" s="3">
        <v>23.98</v>
      </c>
      <c r="Y832" s="3">
        <v>23.98</v>
      </c>
      <c r="Z832" s="3">
        <v>23.98</v>
      </c>
      <c r="AA832" s="3">
        <v>0</v>
      </c>
      <c r="AB832" s="3" t="s">
        <v>5223</v>
      </c>
      <c r="AC832" s="3">
        <v>51</v>
      </c>
      <c r="AD832" s="3">
        <v>23.98</v>
      </c>
      <c r="AE832" s="3">
        <v>0</v>
      </c>
      <c r="AF832" s="3">
        <v>0</v>
      </c>
      <c r="AG832" s="3">
        <v>0</v>
      </c>
      <c r="AH832" s="3">
        <v>0.93103448275862</v>
      </c>
      <c r="AI832" s="3" t="s">
        <v>5487</v>
      </c>
      <c r="AJ832" s="3" t="s">
        <v>5222</v>
      </c>
    </row>
    <row r="833" spans="1:36">
      <c r="A833" s="5">
        <v>43288</v>
      </c>
      <c r="B833" s="3" t="s">
        <v>4309</v>
      </c>
      <c r="C833" s="3" t="s">
        <v>4310</v>
      </c>
      <c r="D833" s="3" t="s">
        <v>4310</v>
      </c>
      <c r="E833" s="3" t="s">
        <v>4311</v>
      </c>
      <c r="F833" s="3" t="s">
        <v>120</v>
      </c>
      <c r="G833" s="3">
        <v>28</v>
      </c>
      <c r="H833" s="3">
        <v>0</v>
      </c>
      <c r="I833" s="3">
        <v>28</v>
      </c>
      <c r="J833" s="3">
        <v>0</v>
      </c>
      <c r="K833" s="3">
        <v>0</v>
      </c>
      <c r="L833" s="3">
        <v>0</v>
      </c>
      <c r="M833" s="3">
        <v>0</v>
      </c>
      <c r="N833" s="3" t="s">
        <v>5218</v>
      </c>
      <c r="O833" s="3">
        <v>0</v>
      </c>
      <c r="P833" s="3">
        <v>0</v>
      </c>
      <c r="Q833" s="3">
        <v>0</v>
      </c>
      <c r="R833" s="3">
        <v>0</v>
      </c>
      <c r="S833" s="3">
        <v>0</v>
      </c>
      <c r="T833" s="3">
        <v>0</v>
      </c>
      <c r="U833" s="3">
        <v>4</v>
      </c>
      <c r="V833" s="3">
        <v>16</v>
      </c>
      <c r="W833" s="3" t="s">
        <v>5227</v>
      </c>
      <c r="X833" s="3">
        <v>23.98</v>
      </c>
      <c r="Y833" s="3">
        <v>23.98</v>
      </c>
      <c r="Z833" s="3">
        <v>23.98</v>
      </c>
      <c r="AA833" s="3">
        <v>0</v>
      </c>
      <c r="AB833" s="3" t="s">
        <v>5228</v>
      </c>
      <c r="AC833" s="3">
        <v>1</v>
      </c>
      <c r="AD833" s="3">
        <v>19.18</v>
      </c>
      <c r="AE833" s="3">
        <v>364</v>
      </c>
      <c r="AF833" s="3">
        <v>0</v>
      </c>
      <c r="AG833" s="3">
        <v>251.345017</v>
      </c>
      <c r="AH833" s="3">
        <v>0.955223880597014</v>
      </c>
      <c r="AI833" s="3" t="s">
        <v>5488</v>
      </c>
      <c r="AJ833" s="3" t="s">
        <v>5222</v>
      </c>
    </row>
    <row r="834" spans="1:36">
      <c r="A834" s="5">
        <v>43288</v>
      </c>
      <c r="B834" s="3" t="s">
        <v>2355</v>
      </c>
      <c r="C834" s="3" t="s">
        <v>2356</v>
      </c>
      <c r="D834" s="3" t="s">
        <v>2356</v>
      </c>
      <c r="E834" s="3" t="s">
        <v>2357</v>
      </c>
      <c r="F834" s="3" t="s">
        <v>120</v>
      </c>
      <c r="G834" s="3">
        <v>27</v>
      </c>
      <c r="H834" s="3">
        <v>0</v>
      </c>
      <c r="I834" s="3">
        <v>20</v>
      </c>
      <c r="J834" s="3">
        <v>7</v>
      </c>
      <c r="K834" s="3">
        <v>0</v>
      </c>
      <c r="L834" s="3">
        <v>0</v>
      </c>
      <c r="M834" s="3">
        <v>0</v>
      </c>
      <c r="N834" s="3" t="s">
        <v>5218</v>
      </c>
      <c r="O834" s="3">
        <v>7</v>
      </c>
      <c r="P834" s="3">
        <v>16.79</v>
      </c>
      <c r="Q834" s="3">
        <v>0</v>
      </c>
      <c r="R834" s="3">
        <v>0</v>
      </c>
      <c r="S834" s="3">
        <v>0</v>
      </c>
      <c r="T834" s="3">
        <v>2</v>
      </c>
      <c r="U834" s="3">
        <v>3</v>
      </c>
      <c r="V834" s="3">
        <v>3</v>
      </c>
      <c r="W834" s="3"/>
      <c r="X834" s="3">
        <v>22.98</v>
      </c>
      <c r="Y834" s="3">
        <v>22.98</v>
      </c>
      <c r="Z834" s="3">
        <v>22.98</v>
      </c>
      <c r="AA834" s="3">
        <v>0</v>
      </c>
      <c r="AB834" s="3" t="s">
        <v>5228</v>
      </c>
      <c r="AC834" s="3">
        <v>0</v>
      </c>
      <c r="AD834" s="3">
        <v>18.38</v>
      </c>
      <c r="AE834" s="3">
        <v>63</v>
      </c>
      <c r="AF834" s="3">
        <v>0</v>
      </c>
      <c r="AG834" s="3">
        <v>662.504014</v>
      </c>
      <c r="AH834" s="3">
        <v>0.169014084507042</v>
      </c>
      <c r="AI834" s="3" t="s">
        <v>5233</v>
      </c>
      <c r="AJ834" s="3" t="s">
        <v>5222</v>
      </c>
    </row>
    <row r="835" spans="1:36">
      <c r="A835" s="5">
        <v>43288</v>
      </c>
      <c r="B835" s="3" t="s">
        <v>5165</v>
      </c>
      <c r="C835" s="3" t="s">
        <v>5166</v>
      </c>
      <c r="D835" s="3" t="s">
        <v>5166</v>
      </c>
      <c r="E835" s="3" t="s">
        <v>5167</v>
      </c>
      <c r="F835" s="3" t="s">
        <v>120</v>
      </c>
      <c r="G835" s="3">
        <v>6</v>
      </c>
      <c r="H835" s="3">
        <v>0</v>
      </c>
      <c r="I835" s="3">
        <v>0</v>
      </c>
      <c r="J835" s="3">
        <v>5</v>
      </c>
      <c r="K835" s="3">
        <v>1</v>
      </c>
      <c r="L835" s="3">
        <v>0</v>
      </c>
      <c r="M835" s="3">
        <v>0</v>
      </c>
      <c r="N835" s="3" t="s">
        <v>5218</v>
      </c>
      <c r="O835" s="3">
        <v>5</v>
      </c>
      <c r="P835" s="3">
        <v>13.28</v>
      </c>
      <c r="Q835" s="3">
        <v>0</v>
      </c>
      <c r="R835" s="3">
        <v>0</v>
      </c>
      <c r="S835" s="3">
        <v>0</v>
      </c>
      <c r="T835" s="3">
        <v>0</v>
      </c>
      <c r="U835" s="3">
        <v>0</v>
      </c>
      <c r="V835" s="3">
        <v>1</v>
      </c>
      <c r="W835" s="3" t="s">
        <v>5219</v>
      </c>
      <c r="X835" s="3">
        <v>29.98</v>
      </c>
      <c r="Y835" s="3">
        <v>29.98</v>
      </c>
      <c r="Z835" s="3">
        <v>29.98</v>
      </c>
      <c r="AA835" s="3">
        <v>0</v>
      </c>
      <c r="AB835" s="3" t="s">
        <v>5220</v>
      </c>
      <c r="AC835" s="3">
        <v>0</v>
      </c>
      <c r="AD835" s="3">
        <v>25.91</v>
      </c>
      <c r="AE835" s="3">
        <v>217</v>
      </c>
      <c r="AF835" s="3">
        <v>0</v>
      </c>
      <c r="AG835" s="3">
        <v>236.069612</v>
      </c>
      <c r="AH835" s="3">
        <v>0.16</v>
      </c>
      <c r="AI835" s="3" t="s">
        <v>5305</v>
      </c>
      <c r="AJ835" s="3" t="s">
        <v>5222</v>
      </c>
    </row>
    <row r="836" spans="1:36">
      <c r="A836" s="5">
        <v>43288</v>
      </c>
      <c r="B836" s="3" t="s">
        <v>2421</v>
      </c>
      <c r="C836" s="3" t="s">
        <v>2422</v>
      </c>
      <c r="D836" s="3" t="s">
        <v>2422</v>
      </c>
      <c r="E836" s="3" t="s">
        <v>2423</v>
      </c>
      <c r="F836" s="3" t="s">
        <v>120</v>
      </c>
      <c r="G836" s="3">
        <v>18</v>
      </c>
      <c r="H836" s="3">
        <v>0</v>
      </c>
      <c r="I836" s="3">
        <v>7</v>
      </c>
      <c r="J836" s="3">
        <v>11</v>
      </c>
      <c r="K836" s="3">
        <v>0</v>
      </c>
      <c r="L836" s="3">
        <v>0</v>
      </c>
      <c r="M836" s="3">
        <v>0</v>
      </c>
      <c r="N836" s="3" t="s">
        <v>5218</v>
      </c>
      <c r="O836" s="3">
        <v>0</v>
      </c>
      <c r="P836" s="3">
        <v>0</v>
      </c>
      <c r="Q836" s="3">
        <v>0</v>
      </c>
      <c r="R836" s="3">
        <v>0</v>
      </c>
      <c r="S836" s="3">
        <v>1</v>
      </c>
      <c r="T836" s="3">
        <v>3</v>
      </c>
      <c r="U836" s="3">
        <v>7</v>
      </c>
      <c r="V836" s="3">
        <v>13</v>
      </c>
      <c r="W836" s="3"/>
      <c r="X836" s="3">
        <v>22.98</v>
      </c>
      <c r="Y836" s="3">
        <v>22.98</v>
      </c>
      <c r="Z836" s="3">
        <v>22</v>
      </c>
      <c r="AA836" s="3">
        <v>0</v>
      </c>
      <c r="AB836" s="3" t="s">
        <v>5228</v>
      </c>
      <c r="AC836" s="3">
        <v>12</v>
      </c>
      <c r="AD836" s="3">
        <v>21.16</v>
      </c>
      <c r="AE836" s="3">
        <v>91</v>
      </c>
      <c r="AF836" s="3">
        <v>0</v>
      </c>
      <c r="AG836" s="3">
        <v>4.555711</v>
      </c>
      <c r="AH836" s="3">
        <v>0.59090909090909</v>
      </c>
      <c r="AI836" s="3" t="s">
        <v>5240</v>
      </c>
      <c r="AJ836" s="3" t="s">
        <v>5222</v>
      </c>
    </row>
    <row r="837" spans="1:36">
      <c r="A837" s="5">
        <v>43288</v>
      </c>
      <c r="B837" s="3" t="s">
        <v>4560</v>
      </c>
      <c r="C837" s="3" t="s">
        <v>3963</v>
      </c>
      <c r="D837" s="3" t="s">
        <v>3963</v>
      </c>
      <c r="E837" s="3" t="s">
        <v>3964</v>
      </c>
      <c r="F837" s="3" t="s">
        <v>120</v>
      </c>
      <c r="G837" s="3">
        <v>15</v>
      </c>
      <c r="H837" s="3">
        <v>0</v>
      </c>
      <c r="I837" s="3">
        <v>15</v>
      </c>
      <c r="J837" s="3">
        <v>0</v>
      </c>
      <c r="K837" s="3">
        <v>0</v>
      </c>
      <c r="L837" s="3">
        <v>0</v>
      </c>
      <c r="M837" s="3">
        <v>0</v>
      </c>
      <c r="N837" s="3" t="s">
        <v>5218</v>
      </c>
      <c r="O837" s="3">
        <v>0</v>
      </c>
      <c r="P837" s="3">
        <v>0</v>
      </c>
      <c r="Q837" s="3">
        <v>0</v>
      </c>
      <c r="R837" s="3">
        <v>0</v>
      </c>
      <c r="S837" s="3">
        <v>0</v>
      </c>
      <c r="T837" s="3">
        <v>2</v>
      </c>
      <c r="U837" s="3">
        <v>5</v>
      </c>
      <c r="V837" s="3">
        <v>5</v>
      </c>
      <c r="W837" s="3"/>
      <c r="X837" s="3">
        <v>26.98</v>
      </c>
      <c r="Y837" s="3">
        <v>26.98</v>
      </c>
      <c r="Z837" s="3">
        <v>26.98</v>
      </c>
      <c r="AA837" s="3">
        <v>0</v>
      </c>
      <c r="AB837" s="3" t="s">
        <v>5223</v>
      </c>
      <c r="AC837" s="3">
        <v>15</v>
      </c>
      <c r="AD837" s="3">
        <v>26.98</v>
      </c>
      <c r="AE837" s="3">
        <v>0</v>
      </c>
      <c r="AF837" s="3">
        <v>0</v>
      </c>
      <c r="AG837" s="3">
        <v>0</v>
      </c>
      <c r="AH837" s="3">
        <v>0.384615384615384</v>
      </c>
      <c r="AI837" s="3" t="s">
        <v>5249</v>
      </c>
      <c r="AJ837" s="3" t="s">
        <v>5222</v>
      </c>
    </row>
    <row r="838" spans="1:36">
      <c r="A838" s="5">
        <v>43288</v>
      </c>
      <c r="B838" s="3" t="s">
        <v>1782</v>
      </c>
      <c r="C838" s="3" t="s">
        <v>1783</v>
      </c>
      <c r="D838" s="3" t="s">
        <v>1783</v>
      </c>
      <c r="E838" s="3" t="s">
        <v>1784</v>
      </c>
      <c r="F838" s="3" t="s">
        <v>120</v>
      </c>
      <c r="G838" s="3">
        <v>6</v>
      </c>
      <c r="H838" s="3">
        <v>0</v>
      </c>
      <c r="I838" s="3">
        <v>0</v>
      </c>
      <c r="J838" s="3">
        <v>6</v>
      </c>
      <c r="K838" s="3">
        <v>0</v>
      </c>
      <c r="L838" s="3">
        <v>0</v>
      </c>
      <c r="M838" s="3">
        <v>0</v>
      </c>
      <c r="N838" s="3" t="s">
        <v>5218</v>
      </c>
      <c r="O838" s="3">
        <v>6</v>
      </c>
      <c r="P838" s="3">
        <v>7.78</v>
      </c>
      <c r="Q838" s="3">
        <v>0</v>
      </c>
      <c r="R838" s="3">
        <v>0</v>
      </c>
      <c r="S838" s="3">
        <v>1</v>
      </c>
      <c r="T838" s="3">
        <v>3</v>
      </c>
      <c r="U838" s="3">
        <v>5</v>
      </c>
      <c r="V838" s="3">
        <v>6</v>
      </c>
      <c r="W838" s="3"/>
      <c r="X838" s="3">
        <v>25.98</v>
      </c>
      <c r="Y838" s="3">
        <v>25.98</v>
      </c>
      <c r="Z838" s="3">
        <v>25.98</v>
      </c>
      <c r="AA838" s="3">
        <v>0</v>
      </c>
      <c r="AB838" s="3" t="s">
        <v>5223</v>
      </c>
      <c r="AC838" s="3">
        <v>7</v>
      </c>
      <c r="AD838" s="3">
        <v>25.98</v>
      </c>
      <c r="AE838" s="3">
        <v>0</v>
      </c>
      <c r="AF838" s="3">
        <v>0</v>
      </c>
      <c r="AG838" s="3">
        <v>0</v>
      </c>
      <c r="AH838" s="3">
        <v>0.631578947368421</v>
      </c>
      <c r="AI838" s="3" t="s">
        <v>5229</v>
      </c>
      <c r="AJ838" s="3" t="s">
        <v>5222</v>
      </c>
    </row>
    <row r="839" spans="1:36">
      <c r="A839" s="5">
        <v>43288</v>
      </c>
      <c r="B839" s="3" t="s">
        <v>2826</v>
      </c>
      <c r="C839" s="3" t="s">
        <v>2827</v>
      </c>
      <c r="D839" s="3" t="s">
        <v>2827</v>
      </c>
      <c r="E839" s="3" t="s">
        <v>2828</v>
      </c>
      <c r="F839" s="3" t="s">
        <v>120</v>
      </c>
      <c r="G839" s="3">
        <v>8</v>
      </c>
      <c r="H839" s="3">
        <v>0</v>
      </c>
      <c r="I839" s="3">
        <v>5</v>
      </c>
      <c r="J839" s="3">
        <v>3</v>
      </c>
      <c r="K839" s="3">
        <v>0</v>
      </c>
      <c r="L839" s="3">
        <v>0</v>
      </c>
      <c r="M839" s="3">
        <v>0</v>
      </c>
      <c r="N839" s="3" t="s">
        <v>5218</v>
      </c>
      <c r="O839" s="3">
        <v>1</v>
      </c>
      <c r="P839" s="3">
        <v>2.1</v>
      </c>
      <c r="Q839" s="3">
        <v>0</v>
      </c>
      <c r="R839" s="3">
        <v>0</v>
      </c>
      <c r="S839" s="3">
        <v>3</v>
      </c>
      <c r="T839" s="3">
        <v>11</v>
      </c>
      <c r="U839" s="3">
        <v>23</v>
      </c>
      <c r="V839" s="3">
        <v>41</v>
      </c>
      <c r="W839" s="3"/>
      <c r="X839" s="3">
        <v>18.98</v>
      </c>
      <c r="Y839" s="3">
        <v>18.98</v>
      </c>
      <c r="Z839" s="3">
        <v>18.98</v>
      </c>
      <c r="AA839" s="3">
        <v>0</v>
      </c>
      <c r="AB839" s="3" t="s">
        <v>5223</v>
      </c>
      <c r="AC839" s="3">
        <v>9</v>
      </c>
      <c r="AD839" s="3">
        <v>18.98</v>
      </c>
      <c r="AE839" s="3">
        <v>0</v>
      </c>
      <c r="AF839" s="3">
        <v>0</v>
      </c>
      <c r="AG839" s="3">
        <v>0</v>
      </c>
      <c r="AH839" s="3">
        <v>1.69072164948453</v>
      </c>
      <c r="AI839" s="3" t="s">
        <v>5489</v>
      </c>
      <c r="AJ839" s="3" t="s">
        <v>5222</v>
      </c>
    </row>
    <row r="840" spans="1:36">
      <c r="A840" s="5">
        <v>43288</v>
      </c>
      <c r="B840" s="3" t="s">
        <v>2947</v>
      </c>
      <c r="C840" s="3" t="s">
        <v>1388</v>
      </c>
      <c r="D840" s="3" t="s">
        <v>1388</v>
      </c>
      <c r="E840" s="3" t="s">
        <v>1389</v>
      </c>
      <c r="F840" s="3" t="s">
        <v>120</v>
      </c>
      <c r="G840" s="3">
        <v>17</v>
      </c>
      <c r="H840" s="3">
        <v>0</v>
      </c>
      <c r="I840" s="3">
        <v>17</v>
      </c>
      <c r="J840" s="3">
        <v>0</v>
      </c>
      <c r="K840" s="3">
        <v>0</v>
      </c>
      <c r="L840" s="3">
        <v>0</v>
      </c>
      <c r="M840" s="3">
        <v>0</v>
      </c>
      <c r="N840" s="3" t="s">
        <v>5218</v>
      </c>
      <c r="O840" s="3">
        <v>0</v>
      </c>
      <c r="P840" s="3">
        <v>0</v>
      </c>
      <c r="Q840" s="3">
        <v>0</v>
      </c>
      <c r="R840" s="3">
        <v>0</v>
      </c>
      <c r="S840" s="3">
        <v>21</v>
      </c>
      <c r="T840" s="3">
        <v>84</v>
      </c>
      <c r="U840" s="3">
        <v>148</v>
      </c>
      <c r="V840" s="3">
        <v>173</v>
      </c>
      <c r="W840" s="3"/>
      <c r="X840" s="3">
        <v>23.98</v>
      </c>
      <c r="Y840" s="3">
        <v>23.98</v>
      </c>
      <c r="Z840" s="3">
        <v>23.98</v>
      </c>
      <c r="AA840" s="3">
        <v>0</v>
      </c>
      <c r="AB840" s="3" t="s">
        <v>5223</v>
      </c>
      <c r="AC840" s="3">
        <v>29</v>
      </c>
      <c r="AD840" s="3">
        <v>24.98</v>
      </c>
      <c r="AE840" s="3">
        <v>0</v>
      </c>
      <c r="AF840" s="3">
        <v>0</v>
      </c>
      <c r="AG840" s="3">
        <v>0</v>
      </c>
      <c r="AH840" s="3">
        <v>5.86440677966101</v>
      </c>
      <c r="AI840" s="3" t="s">
        <v>5306</v>
      </c>
      <c r="AJ840" s="3" t="s">
        <v>5222</v>
      </c>
    </row>
    <row r="841" spans="1:36">
      <c r="A841" s="5">
        <v>43288</v>
      </c>
      <c r="B841" s="3" t="s">
        <v>4249</v>
      </c>
      <c r="C841" s="3" t="s">
        <v>4250</v>
      </c>
      <c r="D841" s="3" t="s">
        <v>4250</v>
      </c>
      <c r="E841" s="3" t="s">
        <v>4251</v>
      </c>
      <c r="F841" s="3" t="s">
        <v>120</v>
      </c>
      <c r="G841" s="3">
        <v>15</v>
      </c>
      <c r="H841" s="3">
        <v>0</v>
      </c>
      <c r="I841" s="3">
        <v>15</v>
      </c>
      <c r="J841" s="3">
        <v>0</v>
      </c>
      <c r="K841" s="3">
        <v>0</v>
      </c>
      <c r="L841" s="3">
        <v>0</v>
      </c>
      <c r="M841" s="3">
        <v>0</v>
      </c>
      <c r="N841" s="3" t="s">
        <v>5218</v>
      </c>
      <c r="O841" s="3">
        <v>0</v>
      </c>
      <c r="P841" s="3">
        <v>0</v>
      </c>
      <c r="Q841" s="3">
        <v>0</v>
      </c>
      <c r="R841" s="3">
        <v>0</v>
      </c>
      <c r="S841" s="3">
        <v>0</v>
      </c>
      <c r="T841" s="3">
        <v>1</v>
      </c>
      <c r="U841" s="3">
        <v>3</v>
      </c>
      <c r="V841" s="3">
        <v>6</v>
      </c>
      <c r="W841" s="3" t="s">
        <v>5227</v>
      </c>
      <c r="X841" s="3">
        <v>23.98</v>
      </c>
      <c r="Y841" s="3">
        <v>23.98</v>
      </c>
      <c r="Z841" s="3">
        <v>23.98</v>
      </c>
      <c r="AA841" s="3">
        <v>0</v>
      </c>
      <c r="AB841" s="3" t="s">
        <v>5223</v>
      </c>
      <c r="AC841" s="3">
        <v>15</v>
      </c>
      <c r="AD841" s="3">
        <v>23.98</v>
      </c>
      <c r="AE841" s="3">
        <v>0</v>
      </c>
      <c r="AF841" s="3">
        <v>0</v>
      </c>
      <c r="AG841" s="3">
        <v>0</v>
      </c>
      <c r="AH841" s="3">
        <v>0.685714285714285</v>
      </c>
      <c r="AI841" s="3" t="s">
        <v>5258</v>
      </c>
      <c r="AJ841" s="3" t="s">
        <v>5222</v>
      </c>
    </row>
    <row r="842" spans="1:36">
      <c r="A842" s="5">
        <v>43288</v>
      </c>
      <c r="B842" s="3" t="s">
        <v>804</v>
      </c>
      <c r="C842" s="3" t="s">
        <v>561</v>
      </c>
      <c r="D842" s="3" t="s">
        <v>561</v>
      </c>
      <c r="E842" s="3" t="s">
        <v>805</v>
      </c>
      <c r="F842" s="3" t="s">
        <v>120</v>
      </c>
      <c r="G842" s="3">
        <v>4</v>
      </c>
      <c r="H842" s="3">
        <v>0</v>
      </c>
      <c r="I842" s="3">
        <v>4</v>
      </c>
      <c r="J842" s="3">
        <v>0</v>
      </c>
      <c r="K842" s="3">
        <v>0</v>
      </c>
      <c r="L842" s="3">
        <v>0</v>
      </c>
      <c r="M842" s="3">
        <v>0</v>
      </c>
      <c r="N842" s="3" t="s">
        <v>5218</v>
      </c>
      <c r="O842" s="3">
        <v>0</v>
      </c>
      <c r="P842" s="3">
        <v>0</v>
      </c>
      <c r="Q842" s="3">
        <v>0</v>
      </c>
      <c r="R842" s="3">
        <v>0</v>
      </c>
      <c r="S842" s="3">
        <v>1</v>
      </c>
      <c r="T842" s="3">
        <v>3</v>
      </c>
      <c r="U842" s="3">
        <v>6</v>
      </c>
      <c r="V842" s="3">
        <v>6</v>
      </c>
      <c r="W842" s="3"/>
      <c r="X842" s="3">
        <v>22.98</v>
      </c>
      <c r="Y842" s="3">
        <v>22.98</v>
      </c>
      <c r="Z842" s="3">
        <v>22.98</v>
      </c>
      <c r="AA842" s="3">
        <v>0</v>
      </c>
      <c r="AB842" s="3" t="s">
        <v>5223</v>
      </c>
      <c r="AC842" s="3">
        <v>4</v>
      </c>
      <c r="AD842" s="3">
        <v>22.98</v>
      </c>
      <c r="AE842" s="3">
        <v>0</v>
      </c>
      <c r="AF842" s="3">
        <v>0</v>
      </c>
      <c r="AG842" s="3">
        <v>0</v>
      </c>
      <c r="AH842" s="3">
        <v>0.75</v>
      </c>
      <c r="AI842" s="3" t="s">
        <v>5225</v>
      </c>
      <c r="AJ842" s="3" t="s">
        <v>5222</v>
      </c>
    </row>
    <row r="843" spans="1:36">
      <c r="A843" s="5">
        <v>43288</v>
      </c>
      <c r="B843" s="3" t="s">
        <v>2619</v>
      </c>
      <c r="C843" s="3" t="s">
        <v>1162</v>
      </c>
      <c r="D843" s="3" t="s">
        <v>1162</v>
      </c>
      <c r="E843" s="3" t="s">
        <v>1163</v>
      </c>
      <c r="F843" s="3" t="s">
        <v>120</v>
      </c>
      <c r="G843" s="3">
        <v>7</v>
      </c>
      <c r="H843" s="3">
        <v>0</v>
      </c>
      <c r="I843" s="3">
        <v>7</v>
      </c>
      <c r="J843" s="3">
        <v>0</v>
      </c>
      <c r="K843" s="3">
        <v>0</v>
      </c>
      <c r="L843" s="3">
        <v>0</v>
      </c>
      <c r="M843" s="3">
        <v>0</v>
      </c>
      <c r="N843" s="3" t="s">
        <v>5218</v>
      </c>
      <c r="O843" s="3">
        <v>0</v>
      </c>
      <c r="P843" s="3">
        <v>0</v>
      </c>
      <c r="Q843" s="3">
        <v>0</v>
      </c>
      <c r="R843" s="3">
        <v>0</v>
      </c>
      <c r="S843" s="3">
        <v>2</v>
      </c>
      <c r="T843" s="3">
        <v>7</v>
      </c>
      <c r="U843" s="3">
        <v>16</v>
      </c>
      <c r="V843" s="3">
        <v>17</v>
      </c>
      <c r="W843" s="3"/>
      <c r="X843" s="3">
        <v>22.98</v>
      </c>
      <c r="Y843" s="3">
        <v>22.98</v>
      </c>
      <c r="Z843" s="3">
        <v>22.98</v>
      </c>
      <c r="AA843" s="3">
        <v>0</v>
      </c>
      <c r="AB843" s="3" t="s">
        <v>5223</v>
      </c>
      <c r="AC843" s="3">
        <v>8</v>
      </c>
      <c r="AD843" s="3">
        <v>22.98</v>
      </c>
      <c r="AE843" s="3">
        <v>0</v>
      </c>
      <c r="AF843" s="3">
        <v>0</v>
      </c>
      <c r="AG843" s="3">
        <v>0</v>
      </c>
      <c r="AH843" s="3">
        <v>1.51111111111111</v>
      </c>
      <c r="AI843" s="3" t="s">
        <v>5238</v>
      </c>
      <c r="AJ843" s="3" t="s">
        <v>5222</v>
      </c>
    </row>
    <row r="844" spans="1:36">
      <c r="A844" s="5">
        <v>43288</v>
      </c>
      <c r="B844" s="3" t="s">
        <v>1514</v>
      </c>
      <c r="C844" s="3" t="s">
        <v>76</v>
      </c>
      <c r="D844" s="3" t="s">
        <v>76</v>
      </c>
      <c r="E844" s="3" t="s">
        <v>1515</v>
      </c>
      <c r="F844" s="3" t="s">
        <v>120</v>
      </c>
      <c r="G844" s="3">
        <v>11</v>
      </c>
      <c r="H844" s="3">
        <v>0</v>
      </c>
      <c r="I844" s="3">
        <v>0</v>
      </c>
      <c r="J844" s="3">
        <v>3</v>
      </c>
      <c r="K844" s="3">
        <v>8</v>
      </c>
      <c r="L844" s="3">
        <v>0</v>
      </c>
      <c r="M844" s="3">
        <v>0</v>
      </c>
      <c r="N844" s="3" t="s">
        <v>5218</v>
      </c>
      <c r="O844" s="3">
        <v>11</v>
      </c>
      <c r="P844" s="3">
        <v>15.6</v>
      </c>
      <c r="Q844" s="3">
        <v>0</v>
      </c>
      <c r="R844" s="3">
        <v>0</v>
      </c>
      <c r="S844" s="3">
        <v>0</v>
      </c>
      <c r="T844" s="3">
        <v>0</v>
      </c>
      <c r="U844" s="3">
        <v>0</v>
      </c>
      <c r="V844" s="3">
        <v>0</v>
      </c>
      <c r="W844" s="3" t="s">
        <v>5227</v>
      </c>
      <c r="X844" s="3">
        <v>16.98</v>
      </c>
      <c r="Y844" s="3">
        <v>16.98</v>
      </c>
      <c r="Z844" s="3">
        <v>16.98</v>
      </c>
      <c r="AA844" s="3">
        <v>0</v>
      </c>
      <c r="AB844" s="3" t="s">
        <v>5228</v>
      </c>
      <c r="AC844" s="3">
        <v>0</v>
      </c>
      <c r="AD844" s="3">
        <v>14.32</v>
      </c>
      <c r="AE844" s="3">
        <v>217</v>
      </c>
      <c r="AF844" s="3">
        <v>0</v>
      </c>
      <c r="AG844" s="3">
        <v>231.536646</v>
      </c>
      <c r="AH844" s="3">
        <v>0</v>
      </c>
      <c r="AI844" s="3" t="s">
        <v>5490</v>
      </c>
      <c r="AJ844" s="3" t="s">
        <v>5222</v>
      </c>
    </row>
    <row r="845" spans="1:36">
      <c r="A845" s="5">
        <v>43288</v>
      </c>
      <c r="B845" s="3" t="s">
        <v>1930</v>
      </c>
      <c r="C845" s="3" t="s">
        <v>1931</v>
      </c>
      <c r="D845" s="3" t="s">
        <v>1931</v>
      </c>
      <c r="E845" s="3" t="s">
        <v>1932</v>
      </c>
      <c r="F845" s="3" t="s">
        <v>120</v>
      </c>
      <c r="G845" s="3">
        <v>1</v>
      </c>
      <c r="H845" s="3">
        <v>0</v>
      </c>
      <c r="I845" s="3">
        <v>1</v>
      </c>
      <c r="J845" s="3">
        <v>0</v>
      </c>
      <c r="K845" s="3">
        <v>0</v>
      </c>
      <c r="L845" s="3">
        <v>0</v>
      </c>
      <c r="M845" s="3">
        <v>0</v>
      </c>
      <c r="N845" s="3" t="s">
        <v>5218</v>
      </c>
      <c r="O845" s="3">
        <v>0</v>
      </c>
      <c r="P845" s="3">
        <v>0</v>
      </c>
      <c r="Q845" s="3">
        <v>0</v>
      </c>
      <c r="R845" s="3">
        <v>0</v>
      </c>
      <c r="S845" s="3">
        <v>1</v>
      </c>
      <c r="T845" s="3">
        <v>12</v>
      </c>
      <c r="U845" s="3">
        <v>26</v>
      </c>
      <c r="V845" s="3">
        <v>30</v>
      </c>
      <c r="W845" s="3" t="s">
        <v>5227</v>
      </c>
      <c r="X845" s="3">
        <v>19.98</v>
      </c>
      <c r="Y845" s="3">
        <v>19.98</v>
      </c>
      <c r="Z845" s="3">
        <v>19.98</v>
      </c>
      <c r="AA845" s="3">
        <v>0</v>
      </c>
      <c r="AB845" s="3" t="s">
        <v>5223</v>
      </c>
      <c r="AC845" s="3">
        <v>3</v>
      </c>
      <c r="AD845" s="3">
        <v>19.98</v>
      </c>
      <c r="AE845" s="3">
        <v>0</v>
      </c>
      <c r="AF845" s="3">
        <v>0</v>
      </c>
      <c r="AG845" s="3">
        <v>0</v>
      </c>
      <c r="AH845" s="3">
        <v>2.60869565217391</v>
      </c>
      <c r="AI845" s="3" t="s">
        <v>5236</v>
      </c>
      <c r="AJ845" s="3" t="s">
        <v>5222</v>
      </c>
    </row>
    <row r="846" spans="1:36">
      <c r="A846" s="5">
        <v>43288</v>
      </c>
      <c r="B846" s="3" t="s">
        <v>193</v>
      </c>
      <c r="C846" s="3" t="s">
        <v>194</v>
      </c>
      <c r="D846" s="3" t="s">
        <v>194</v>
      </c>
      <c r="E846" s="3" t="s">
        <v>195</v>
      </c>
      <c r="F846" s="3" t="s">
        <v>120</v>
      </c>
      <c r="G846" s="3">
        <v>1</v>
      </c>
      <c r="H846" s="3">
        <v>0</v>
      </c>
      <c r="I846" s="3">
        <v>0</v>
      </c>
      <c r="J846" s="3">
        <v>1</v>
      </c>
      <c r="K846" s="3">
        <v>0</v>
      </c>
      <c r="L846" s="3">
        <v>0</v>
      </c>
      <c r="M846" s="3">
        <v>0</v>
      </c>
      <c r="N846" s="3" t="s">
        <v>5218</v>
      </c>
      <c r="O846" s="3">
        <v>0</v>
      </c>
      <c r="P846" s="3">
        <v>0</v>
      </c>
      <c r="Q846" s="3">
        <v>0</v>
      </c>
      <c r="R846" s="3">
        <v>0</v>
      </c>
      <c r="S846" s="3">
        <v>0</v>
      </c>
      <c r="T846" s="3">
        <v>0</v>
      </c>
      <c r="U846" s="3">
        <v>0</v>
      </c>
      <c r="V846" s="3">
        <v>0</v>
      </c>
      <c r="W846" s="3" t="s">
        <v>5219</v>
      </c>
      <c r="X846" s="3">
        <v>65.98</v>
      </c>
      <c r="Y846" s="3">
        <v>65.98</v>
      </c>
      <c r="Z846" s="3">
        <v>65.98</v>
      </c>
      <c r="AA846" s="3">
        <v>0</v>
      </c>
      <c r="AB846" s="3" t="s">
        <v>5220</v>
      </c>
      <c r="AC846" s="3">
        <v>0</v>
      </c>
      <c r="AD846" s="3">
        <v>61.84</v>
      </c>
      <c r="AE846" s="3">
        <v>42</v>
      </c>
      <c r="AF846" s="3">
        <v>0</v>
      </c>
      <c r="AG846" s="3">
        <v>92.69821</v>
      </c>
      <c r="AH846" s="3">
        <v>0</v>
      </c>
      <c r="AI846" s="3" t="s">
        <v>5491</v>
      </c>
      <c r="AJ846" s="3" t="s">
        <v>5222</v>
      </c>
    </row>
    <row r="847" spans="1:36">
      <c r="A847" s="5">
        <v>43288</v>
      </c>
      <c r="B847" s="3" t="s">
        <v>238</v>
      </c>
      <c r="C847" s="3" t="s">
        <v>239</v>
      </c>
      <c r="D847" s="3" t="s">
        <v>239</v>
      </c>
      <c r="E847" s="3" t="s">
        <v>240</v>
      </c>
      <c r="F847" s="3" t="s">
        <v>120</v>
      </c>
      <c r="G847" s="3">
        <v>1</v>
      </c>
      <c r="H847" s="3">
        <v>0</v>
      </c>
      <c r="I847" s="3">
        <v>0</v>
      </c>
      <c r="J847" s="3">
        <v>1</v>
      </c>
      <c r="K847" s="3">
        <v>0</v>
      </c>
      <c r="L847" s="3">
        <v>0</v>
      </c>
      <c r="M847" s="3">
        <v>0</v>
      </c>
      <c r="N847" s="3" t="s">
        <v>5218</v>
      </c>
      <c r="O847" s="3">
        <v>0</v>
      </c>
      <c r="P847" s="3">
        <v>0</v>
      </c>
      <c r="Q847" s="3">
        <v>0</v>
      </c>
      <c r="R847" s="3">
        <v>0</v>
      </c>
      <c r="S847" s="3">
        <v>0</v>
      </c>
      <c r="T847" s="3">
        <v>0</v>
      </c>
      <c r="U847" s="3">
        <v>0</v>
      </c>
      <c r="V847" s="3">
        <v>0</v>
      </c>
      <c r="W847" s="3" t="s">
        <v>5219</v>
      </c>
      <c r="X847" s="3">
        <v>62.98</v>
      </c>
      <c r="Y847" s="3">
        <v>62.98</v>
      </c>
      <c r="Z847" s="3">
        <v>62.98</v>
      </c>
      <c r="AA847" s="3">
        <v>0</v>
      </c>
      <c r="AB847" s="3" t="s">
        <v>5220</v>
      </c>
      <c r="AC847" s="3">
        <v>0</v>
      </c>
      <c r="AD847" s="3">
        <v>59</v>
      </c>
      <c r="AE847" s="3">
        <v>70</v>
      </c>
      <c r="AF847" s="3">
        <v>0</v>
      </c>
      <c r="AG847" s="3">
        <v>80.53818</v>
      </c>
      <c r="AH847" s="3">
        <v>0</v>
      </c>
      <c r="AI847" s="3" t="s">
        <v>5492</v>
      </c>
      <c r="AJ847" s="3" t="s">
        <v>5222</v>
      </c>
    </row>
    <row r="848" spans="1:36">
      <c r="A848" s="5">
        <v>43288</v>
      </c>
      <c r="B848" s="3" t="s">
        <v>2024</v>
      </c>
      <c r="C848" s="3" t="s">
        <v>2025</v>
      </c>
      <c r="D848" s="3" t="s">
        <v>2025</v>
      </c>
      <c r="E848" s="3" t="s">
        <v>2026</v>
      </c>
      <c r="F848" s="3" t="s">
        <v>120</v>
      </c>
      <c r="G848" s="3">
        <v>3</v>
      </c>
      <c r="H848" s="3">
        <v>0</v>
      </c>
      <c r="I848" s="3">
        <v>3</v>
      </c>
      <c r="J848" s="3">
        <v>0</v>
      </c>
      <c r="K848" s="3">
        <v>0</v>
      </c>
      <c r="L848" s="3">
        <v>0</v>
      </c>
      <c r="M848" s="3">
        <v>0</v>
      </c>
      <c r="N848" s="3" t="s">
        <v>5218</v>
      </c>
      <c r="O848" s="3">
        <v>0</v>
      </c>
      <c r="P848" s="3">
        <v>0</v>
      </c>
      <c r="Q848" s="3">
        <v>0</v>
      </c>
      <c r="R848" s="3">
        <v>0</v>
      </c>
      <c r="S848" s="3">
        <v>0</v>
      </c>
      <c r="T848" s="3">
        <v>5</v>
      </c>
      <c r="U848" s="3">
        <v>11</v>
      </c>
      <c r="V848" s="3">
        <v>21</v>
      </c>
      <c r="W848" s="3"/>
      <c r="X848" s="3">
        <v>22.98</v>
      </c>
      <c r="Y848" s="3">
        <v>22.98</v>
      </c>
      <c r="Z848" s="3">
        <v>22.98</v>
      </c>
      <c r="AA848" s="3">
        <v>0</v>
      </c>
      <c r="AB848" s="3" t="s">
        <v>5223</v>
      </c>
      <c r="AC848" s="3">
        <v>3</v>
      </c>
      <c r="AD848" s="3">
        <v>22.98</v>
      </c>
      <c r="AE848" s="3">
        <v>0</v>
      </c>
      <c r="AF848" s="3">
        <v>0</v>
      </c>
      <c r="AG848" s="3">
        <v>0</v>
      </c>
      <c r="AH848" s="3">
        <v>2.54545454545454</v>
      </c>
      <c r="AI848" s="3" t="s">
        <v>5493</v>
      </c>
      <c r="AJ848" s="3" t="s">
        <v>5222</v>
      </c>
    </row>
    <row r="849" spans="1:36">
      <c r="A849" s="5">
        <v>43288</v>
      </c>
      <c r="B849" s="3" t="s">
        <v>1909</v>
      </c>
      <c r="C849" s="3" t="s">
        <v>1910</v>
      </c>
      <c r="D849" s="3" t="s">
        <v>1910</v>
      </c>
      <c r="E849" s="3" t="s">
        <v>1911</v>
      </c>
      <c r="F849" s="3" t="s">
        <v>120</v>
      </c>
      <c r="G849" s="3">
        <v>1</v>
      </c>
      <c r="H849" s="3">
        <v>0</v>
      </c>
      <c r="I849" s="3">
        <v>0</v>
      </c>
      <c r="J849" s="3">
        <v>1</v>
      </c>
      <c r="K849" s="3">
        <v>0</v>
      </c>
      <c r="L849" s="3">
        <v>0</v>
      </c>
      <c r="M849" s="3">
        <v>0</v>
      </c>
      <c r="N849" s="3" t="s">
        <v>5218</v>
      </c>
      <c r="O849" s="3">
        <v>0</v>
      </c>
      <c r="P849" s="3">
        <v>0</v>
      </c>
      <c r="Q849" s="3">
        <v>0</v>
      </c>
      <c r="R849" s="3">
        <v>0</v>
      </c>
      <c r="S849" s="3">
        <v>0</v>
      </c>
      <c r="T849" s="3">
        <v>0</v>
      </c>
      <c r="U849" s="3">
        <v>0</v>
      </c>
      <c r="V849" s="3">
        <v>0</v>
      </c>
      <c r="W849" s="3" t="s">
        <v>5219</v>
      </c>
      <c r="X849" s="3">
        <v>22.98</v>
      </c>
      <c r="Y849" s="3">
        <v>21.98</v>
      </c>
      <c r="Z849" s="3">
        <v>21.98</v>
      </c>
      <c r="AA849" s="3">
        <v>0</v>
      </c>
      <c r="AB849" s="3" t="s">
        <v>5220</v>
      </c>
      <c r="AC849" s="3">
        <v>1</v>
      </c>
      <c r="AD849" s="3">
        <v>21.98</v>
      </c>
      <c r="AE849" s="3">
        <v>0</v>
      </c>
      <c r="AF849" s="3">
        <v>0</v>
      </c>
      <c r="AG849" s="3">
        <v>0</v>
      </c>
      <c r="AH849" s="3">
        <v>0</v>
      </c>
      <c r="AI849" s="3" t="s">
        <v>5236</v>
      </c>
      <c r="AJ849" s="3" t="s">
        <v>5222</v>
      </c>
    </row>
    <row r="850" spans="1:36">
      <c r="A850" s="5">
        <v>43288</v>
      </c>
      <c r="B850" s="3" t="s">
        <v>2087</v>
      </c>
      <c r="C850" s="3" t="s">
        <v>2088</v>
      </c>
      <c r="D850" s="3" t="s">
        <v>2088</v>
      </c>
      <c r="E850" s="3" t="s">
        <v>2089</v>
      </c>
      <c r="F850" s="3" t="s">
        <v>120</v>
      </c>
      <c r="G850" s="3">
        <v>37</v>
      </c>
      <c r="H850" s="3">
        <v>0</v>
      </c>
      <c r="I850" s="3">
        <v>37</v>
      </c>
      <c r="J850" s="3">
        <v>0</v>
      </c>
      <c r="K850" s="3">
        <v>0</v>
      </c>
      <c r="L850" s="3">
        <v>0</v>
      </c>
      <c r="M850" s="3">
        <v>0</v>
      </c>
      <c r="N850" s="3" t="s">
        <v>5218</v>
      </c>
      <c r="O850" s="3">
        <v>0</v>
      </c>
      <c r="P850" s="3">
        <v>0</v>
      </c>
      <c r="Q850" s="3">
        <v>0</v>
      </c>
      <c r="R850" s="3">
        <v>0</v>
      </c>
      <c r="S850" s="3">
        <v>2</v>
      </c>
      <c r="T850" s="3">
        <v>16</v>
      </c>
      <c r="U850" s="3">
        <v>35</v>
      </c>
      <c r="V850" s="3">
        <v>63</v>
      </c>
      <c r="W850" s="3"/>
      <c r="X850" s="3">
        <v>23.98</v>
      </c>
      <c r="Y850" s="3">
        <v>23.98</v>
      </c>
      <c r="Z850" s="3">
        <v>23.98</v>
      </c>
      <c r="AA850" s="3">
        <v>0</v>
      </c>
      <c r="AB850" s="3" t="s">
        <v>5223</v>
      </c>
      <c r="AC850" s="3">
        <v>38</v>
      </c>
      <c r="AD850" s="3">
        <v>23.98</v>
      </c>
      <c r="AE850" s="3">
        <v>0</v>
      </c>
      <c r="AF850" s="3">
        <v>0</v>
      </c>
      <c r="AG850" s="3">
        <v>0</v>
      </c>
      <c r="AH850" s="3">
        <v>1.43181818181818</v>
      </c>
      <c r="AI850" s="3" t="s">
        <v>5494</v>
      </c>
      <c r="AJ850" s="3" t="s">
        <v>5222</v>
      </c>
    </row>
    <row r="851" spans="1:36">
      <c r="A851" s="5">
        <v>43288</v>
      </c>
      <c r="B851" s="3" t="s">
        <v>2394</v>
      </c>
      <c r="C851" s="3" t="s">
        <v>2395</v>
      </c>
      <c r="D851" s="3" t="s">
        <v>2395</v>
      </c>
      <c r="E851" s="3" t="s">
        <v>2396</v>
      </c>
      <c r="F851" s="3" t="s">
        <v>120</v>
      </c>
      <c r="G851" s="3">
        <v>13</v>
      </c>
      <c r="H851" s="3">
        <v>0</v>
      </c>
      <c r="I851" s="3">
        <v>2</v>
      </c>
      <c r="J851" s="3">
        <v>11</v>
      </c>
      <c r="K851" s="3">
        <v>0</v>
      </c>
      <c r="L851" s="3">
        <v>0</v>
      </c>
      <c r="M851" s="3">
        <v>0</v>
      </c>
      <c r="N851" s="3" t="s">
        <v>5218</v>
      </c>
      <c r="O851" s="3">
        <v>11</v>
      </c>
      <c r="P851" s="3">
        <v>18.05</v>
      </c>
      <c r="Q851" s="3">
        <v>0</v>
      </c>
      <c r="R851" s="3">
        <v>0</v>
      </c>
      <c r="S851" s="3">
        <v>0</v>
      </c>
      <c r="T851" s="3">
        <v>0</v>
      </c>
      <c r="U851" s="3">
        <v>1</v>
      </c>
      <c r="V851" s="3">
        <v>3</v>
      </c>
      <c r="W851" s="3" t="s">
        <v>5227</v>
      </c>
      <c r="X851" s="3">
        <v>22.98</v>
      </c>
      <c r="Y851" s="3">
        <v>22.98</v>
      </c>
      <c r="Z851" s="3">
        <v>22</v>
      </c>
      <c r="AA851" s="3">
        <v>0</v>
      </c>
      <c r="AB851" s="3" t="s">
        <v>5228</v>
      </c>
      <c r="AC851" s="3">
        <v>0</v>
      </c>
      <c r="AD851" s="3">
        <v>19.18</v>
      </c>
      <c r="AE851" s="3">
        <v>252</v>
      </c>
      <c r="AF851" s="3">
        <v>0</v>
      </c>
      <c r="AG851" s="3">
        <v>346.066361</v>
      </c>
      <c r="AH851" s="3">
        <v>0.23076923076923</v>
      </c>
      <c r="AI851" s="3" t="s">
        <v>5240</v>
      </c>
      <c r="AJ851" s="3" t="s">
        <v>5222</v>
      </c>
    </row>
    <row r="852" spans="1:36">
      <c r="A852" s="5">
        <v>43288</v>
      </c>
      <c r="B852" s="3" t="s">
        <v>5145</v>
      </c>
      <c r="C852" s="3" t="s">
        <v>5146</v>
      </c>
      <c r="D852" s="3" t="s">
        <v>5146</v>
      </c>
      <c r="E852" s="3" t="s">
        <v>5147</v>
      </c>
      <c r="F852" s="3" t="s">
        <v>120</v>
      </c>
      <c r="G852" s="3">
        <v>9</v>
      </c>
      <c r="H852" s="3">
        <v>0</v>
      </c>
      <c r="I852" s="3">
        <v>2</v>
      </c>
      <c r="J852" s="3">
        <v>4</v>
      </c>
      <c r="K852" s="3">
        <v>3</v>
      </c>
      <c r="L852" s="3">
        <v>0</v>
      </c>
      <c r="M852" s="3">
        <v>0</v>
      </c>
      <c r="N852" s="3" t="s">
        <v>5218</v>
      </c>
      <c r="O852" s="3">
        <v>7</v>
      </c>
      <c r="P852" s="3">
        <v>21.56</v>
      </c>
      <c r="Q852" s="3">
        <v>0</v>
      </c>
      <c r="R852" s="3">
        <v>0</v>
      </c>
      <c r="S852" s="3">
        <v>0</v>
      </c>
      <c r="T852" s="3">
        <v>0</v>
      </c>
      <c r="U852" s="3">
        <v>0</v>
      </c>
      <c r="V852" s="3">
        <v>1</v>
      </c>
      <c r="W852" s="3" t="s">
        <v>5219</v>
      </c>
      <c r="X852" s="3">
        <v>29.98</v>
      </c>
      <c r="Y852" s="3">
        <v>29.98</v>
      </c>
      <c r="Z852" s="3">
        <v>29.98</v>
      </c>
      <c r="AA852" s="3">
        <v>0</v>
      </c>
      <c r="AB852" s="3" t="s">
        <v>5228</v>
      </c>
      <c r="AC852" s="3">
        <v>0</v>
      </c>
      <c r="AD852" s="3">
        <v>26.63</v>
      </c>
      <c r="AE852" s="3">
        <v>70</v>
      </c>
      <c r="AF852" s="3">
        <v>0</v>
      </c>
      <c r="AG852" s="3">
        <v>430.544174</v>
      </c>
      <c r="AH852" s="3">
        <v>0.117647058823529</v>
      </c>
      <c r="AI852" s="3" t="s">
        <v>5495</v>
      </c>
      <c r="AJ852" s="3" t="s">
        <v>5222</v>
      </c>
    </row>
    <row r="853" spans="1:36">
      <c r="A853" s="5">
        <v>43288</v>
      </c>
      <c r="B853" s="3" t="s">
        <v>5174</v>
      </c>
      <c r="C853" s="3" t="s">
        <v>5175</v>
      </c>
      <c r="D853" s="3" t="s">
        <v>5175</v>
      </c>
      <c r="E853" s="3" t="s">
        <v>5176</v>
      </c>
      <c r="F853" s="3" t="s">
        <v>120</v>
      </c>
      <c r="G853" s="3">
        <v>7</v>
      </c>
      <c r="H853" s="3">
        <v>0</v>
      </c>
      <c r="I853" s="3">
        <v>0</v>
      </c>
      <c r="J853" s="3">
        <v>4</v>
      </c>
      <c r="K853" s="3">
        <v>3</v>
      </c>
      <c r="L853" s="3">
        <v>0</v>
      </c>
      <c r="M853" s="3">
        <v>0</v>
      </c>
      <c r="N853" s="3" t="s">
        <v>5218</v>
      </c>
      <c r="O853" s="3">
        <v>7</v>
      </c>
      <c r="P853" s="3">
        <v>20.16</v>
      </c>
      <c r="Q853" s="3">
        <v>0</v>
      </c>
      <c r="R853" s="3">
        <v>0</v>
      </c>
      <c r="S853" s="3">
        <v>0</v>
      </c>
      <c r="T853" s="3">
        <v>0</v>
      </c>
      <c r="U853" s="3">
        <v>0</v>
      </c>
      <c r="V853" s="3">
        <v>1</v>
      </c>
      <c r="W853" s="3" t="s">
        <v>5219</v>
      </c>
      <c r="X853" s="3">
        <v>29.98</v>
      </c>
      <c r="Y853" s="3">
        <v>29.98</v>
      </c>
      <c r="Z853" s="3">
        <v>29.98</v>
      </c>
      <c r="AA853" s="3">
        <v>0</v>
      </c>
      <c r="AB853" s="3" t="s">
        <v>5228</v>
      </c>
      <c r="AC853" s="3">
        <v>0</v>
      </c>
      <c r="AD853" s="3">
        <v>23.83</v>
      </c>
      <c r="AE853" s="3">
        <v>217</v>
      </c>
      <c r="AF853" s="3">
        <v>0</v>
      </c>
      <c r="AG853" s="3">
        <v>281.555635</v>
      </c>
      <c r="AH853" s="3">
        <v>0.137931034482758</v>
      </c>
      <c r="AI853" s="3" t="s">
        <v>5496</v>
      </c>
      <c r="AJ853" s="3" t="s">
        <v>5222</v>
      </c>
    </row>
    <row r="854" spans="1:36">
      <c r="A854" s="5">
        <v>43288</v>
      </c>
      <c r="B854" s="3" t="s">
        <v>4542</v>
      </c>
      <c r="C854" s="3" t="s">
        <v>3875</v>
      </c>
      <c r="D854" s="3" t="s">
        <v>3875</v>
      </c>
      <c r="E854" s="3" t="s">
        <v>3876</v>
      </c>
      <c r="F854" s="3" t="s">
        <v>120</v>
      </c>
      <c r="G854" s="3">
        <v>12</v>
      </c>
      <c r="H854" s="3">
        <v>0</v>
      </c>
      <c r="I854" s="3">
        <v>12</v>
      </c>
      <c r="J854" s="3">
        <v>0</v>
      </c>
      <c r="K854" s="3">
        <v>0</v>
      </c>
      <c r="L854" s="3">
        <v>0</v>
      </c>
      <c r="M854" s="3">
        <v>0</v>
      </c>
      <c r="N854" s="3" t="s">
        <v>5218</v>
      </c>
      <c r="O854" s="3">
        <v>0</v>
      </c>
      <c r="P854" s="3">
        <v>0</v>
      </c>
      <c r="Q854" s="3">
        <v>0</v>
      </c>
      <c r="R854" s="3">
        <v>0</v>
      </c>
      <c r="S854" s="3">
        <v>2</v>
      </c>
      <c r="T854" s="3">
        <v>4</v>
      </c>
      <c r="U854" s="3">
        <v>5</v>
      </c>
      <c r="V854" s="3">
        <v>8</v>
      </c>
      <c r="W854" s="3"/>
      <c r="X854" s="3">
        <v>26.98</v>
      </c>
      <c r="Y854" s="3">
        <v>26.98</v>
      </c>
      <c r="Z854" s="3">
        <v>26.98</v>
      </c>
      <c r="AA854" s="3">
        <v>0</v>
      </c>
      <c r="AB854" s="3" t="s">
        <v>5228</v>
      </c>
      <c r="AC854" s="3">
        <v>1</v>
      </c>
      <c r="AD854" s="3">
        <v>23.84</v>
      </c>
      <c r="AE854" s="3">
        <v>217</v>
      </c>
      <c r="AF854" s="3">
        <v>0</v>
      </c>
      <c r="AG854" s="3">
        <v>286.346469</v>
      </c>
      <c r="AH854" s="3">
        <v>0.711111111111111</v>
      </c>
      <c r="AI854" s="3" t="s">
        <v>5249</v>
      </c>
      <c r="AJ854" s="3" t="s">
        <v>5222</v>
      </c>
    </row>
    <row r="855" spans="1:36">
      <c r="A855" s="5">
        <v>43288</v>
      </c>
      <c r="B855" s="3" t="s">
        <v>294</v>
      </c>
      <c r="C855" s="3" t="s">
        <v>295</v>
      </c>
      <c r="D855" s="3" t="s">
        <v>295</v>
      </c>
      <c r="E855" s="3" t="s">
        <v>296</v>
      </c>
      <c r="F855" s="3" t="s">
        <v>120</v>
      </c>
      <c r="G855" s="3">
        <v>1</v>
      </c>
      <c r="H855" s="3">
        <v>0</v>
      </c>
      <c r="I855" s="3">
        <v>0</v>
      </c>
      <c r="J855" s="3">
        <v>1</v>
      </c>
      <c r="K855" s="3">
        <v>0</v>
      </c>
      <c r="L855" s="3">
        <v>0</v>
      </c>
      <c r="M855" s="3">
        <v>0</v>
      </c>
      <c r="N855" s="3" t="s">
        <v>5218</v>
      </c>
      <c r="O855" s="3">
        <v>0</v>
      </c>
      <c r="P855" s="3">
        <v>0</v>
      </c>
      <c r="Q855" s="3">
        <v>0</v>
      </c>
      <c r="R855" s="3">
        <v>0</v>
      </c>
      <c r="S855" s="3">
        <v>0</v>
      </c>
      <c r="T855" s="3">
        <v>0</v>
      </c>
      <c r="U855" s="3">
        <v>0</v>
      </c>
      <c r="V855" s="3">
        <v>0</v>
      </c>
      <c r="W855" s="3" t="s">
        <v>5219</v>
      </c>
      <c r="X855" s="3">
        <v>64.98</v>
      </c>
      <c r="Y855" s="3">
        <v>64.98</v>
      </c>
      <c r="Z855" s="3">
        <v>64.98</v>
      </c>
      <c r="AA855" s="3">
        <v>0</v>
      </c>
      <c r="AB855" s="3" t="s">
        <v>5220</v>
      </c>
      <c r="AC855" s="3">
        <v>0</v>
      </c>
      <c r="AD855" s="3">
        <v>60.51</v>
      </c>
      <c r="AE855" s="3">
        <v>70</v>
      </c>
      <c r="AF855" s="3">
        <v>0</v>
      </c>
      <c r="AG855" s="3">
        <v>108.665298</v>
      </c>
      <c r="AH855" s="3">
        <v>0</v>
      </c>
      <c r="AI855" s="3" t="s">
        <v>5282</v>
      </c>
      <c r="AJ855" s="3" t="s">
        <v>5222</v>
      </c>
    </row>
    <row r="856" spans="1:36">
      <c r="A856" s="5">
        <v>43288</v>
      </c>
      <c r="B856" s="3" t="s">
        <v>1740</v>
      </c>
      <c r="C856" s="3" t="s">
        <v>1741</v>
      </c>
      <c r="D856" s="3" t="s">
        <v>1741</v>
      </c>
      <c r="E856" s="3" t="s">
        <v>1742</v>
      </c>
      <c r="F856" s="3" t="s">
        <v>120</v>
      </c>
      <c r="G856" s="3">
        <v>8</v>
      </c>
      <c r="H856" s="3">
        <v>0</v>
      </c>
      <c r="I856" s="3">
        <v>0</v>
      </c>
      <c r="J856" s="3">
        <v>5</v>
      </c>
      <c r="K856" s="3">
        <v>3</v>
      </c>
      <c r="L856" s="3">
        <v>0</v>
      </c>
      <c r="M856" s="3">
        <v>0</v>
      </c>
      <c r="N856" s="3" t="s">
        <v>5218</v>
      </c>
      <c r="O856" s="3">
        <v>6</v>
      </c>
      <c r="P856" s="3">
        <v>7.78</v>
      </c>
      <c r="Q856" s="3">
        <v>0</v>
      </c>
      <c r="R856" s="3">
        <v>0</v>
      </c>
      <c r="S856" s="3">
        <v>1</v>
      </c>
      <c r="T856" s="3">
        <v>3</v>
      </c>
      <c r="U856" s="3">
        <v>4</v>
      </c>
      <c r="V856" s="3">
        <v>5</v>
      </c>
      <c r="W856" s="3"/>
      <c r="X856" s="3">
        <v>18.84</v>
      </c>
      <c r="Y856" s="3">
        <v>18.84</v>
      </c>
      <c r="Z856" s="3">
        <v>18.84</v>
      </c>
      <c r="AA856" s="3">
        <v>0</v>
      </c>
      <c r="AB856" s="3" t="s">
        <v>5223</v>
      </c>
      <c r="AC856" s="3">
        <v>8</v>
      </c>
      <c r="AD856" s="3">
        <v>18.84</v>
      </c>
      <c r="AE856" s="3">
        <v>0</v>
      </c>
      <c r="AF856" s="3">
        <v>0</v>
      </c>
      <c r="AG856" s="3">
        <v>0</v>
      </c>
      <c r="AH856" s="3">
        <v>0.454545454545454</v>
      </c>
      <c r="AI856" s="3" t="s">
        <v>5229</v>
      </c>
      <c r="AJ856" s="3" t="s">
        <v>5222</v>
      </c>
    </row>
    <row r="857" spans="1:36">
      <c r="A857" s="5">
        <v>43288</v>
      </c>
      <c r="B857" s="3" t="s">
        <v>4550</v>
      </c>
      <c r="C857" s="3" t="s">
        <v>3923</v>
      </c>
      <c r="D857" s="3" t="s">
        <v>3923</v>
      </c>
      <c r="E857" s="3" t="s">
        <v>3924</v>
      </c>
      <c r="F857" s="3" t="s">
        <v>120</v>
      </c>
      <c r="G857" s="3">
        <v>3</v>
      </c>
      <c r="H857" s="3">
        <v>0</v>
      </c>
      <c r="I857" s="3">
        <v>2</v>
      </c>
      <c r="J857" s="3">
        <v>1</v>
      </c>
      <c r="K857" s="3">
        <v>0</v>
      </c>
      <c r="L857" s="3">
        <v>0</v>
      </c>
      <c r="M857" s="3">
        <v>0</v>
      </c>
      <c r="N857" s="3" t="s">
        <v>5218</v>
      </c>
      <c r="O857" s="3">
        <v>1</v>
      </c>
      <c r="P857" s="3">
        <v>1.49</v>
      </c>
      <c r="Q857" s="3">
        <v>0</v>
      </c>
      <c r="R857" s="3">
        <v>0</v>
      </c>
      <c r="S857" s="3">
        <v>0</v>
      </c>
      <c r="T857" s="3">
        <v>0</v>
      </c>
      <c r="U857" s="3">
        <v>1</v>
      </c>
      <c r="V857" s="3">
        <v>2</v>
      </c>
      <c r="W857" s="3" t="s">
        <v>5227</v>
      </c>
      <c r="X857" s="3">
        <v>26.98</v>
      </c>
      <c r="Y857" s="3">
        <v>26.98</v>
      </c>
      <c r="Z857" s="3">
        <v>26.98</v>
      </c>
      <c r="AA857" s="3">
        <v>0</v>
      </c>
      <c r="AB857" s="3" t="s">
        <v>5228</v>
      </c>
      <c r="AC857" s="3">
        <v>0</v>
      </c>
      <c r="AD857" s="3">
        <v>25.09</v>
      </c>
      <c r="AE857" s="3">
        <v>119</v>
      </c>
      <c r="AF857" s="3">
        <v>0</v>
      </c>
      <c r="AG857" s="3">
        <v>82.192289</v>
      </c>
      <c r="AH857" s="3">
        <v>0.727272727272727</v>
      </c>
      <c r="AI857" s="3" t="s">
        <v>5249</v>
      </c>
      <c r="AJ857" s="3" t="s">
        <v>5222</v>
      </c>
    </row>
    <row r="858" spans="1:36">
      <c r="A858" s="5">
        <v>43288</v>
      </c>
      <c r="B858" s="3" t="s">
        <v>4373</v>
      </c>
      <c r="C858" s="3" t="s">
        <v>3346</v>
      </c>
      <c r="D858" s="3" t="s">
        <v>3346</v>
      </c>
      <c r="E858" s="3" t="s">
        <v>3347</v>
      </c>
      <c r="F858" s="3" t="s">
        <v>120</v>
      </c>
      <c r="G858" s="3">
        <v>15</v>
      </c>
      <c r="H858" s="3">
        <v>0</v>
      </c>
      <c r="I858" s="3">
        <v>1</v>
      </c>
      <c r="J858" s="3">
        <v>2</v>
      </c>
      <c r="K858" s="3">
        <v>12</v>
      </c>
      <c r="L858" s="3">
        <v>0</v>
      </c>
      <c r="M858" s="3">
        <v>0</v>
      </c>
      <c r="N858" s="3" t="s">
        <v>5218</v>
      </c>
      <c r="O858" s="3">
        <v>14</v>
      </c>
      <c r="P858" s="3">
        <v>18.51</v>
      </c>
      <c r="Q858" s="3">
        <v>0</v>
      </c>
      <c r="R858" s="3">
        <v>0</v>
      </c>
      <c r="S858" s="3">
        <v>0</v>
      </c>
      <c r="T858" s="3">
        <v>0</v>
      </c>
      <c r="U858" s="3">
        <v>1</v>
      </c>
      <c r="V858" s="3">
        <v>4</v>
      </c>
      <c r="W858" s="3" t="s">
        <v>5227</v>
      </c>
      <c r="X858" s="3">
        <v>22.98</v>
      </c>
      <c r="Y858" s="3">
        <v>22.98</v>
      </c>
      <c r="Z858" s="3">
        <v>22.98</v>
      </c>
      <c r="AA858" s="3">
        <v>0</v>
      </c>
      <c r="AB858" s="3" t="s">
        <v>5223</v>
      </c>
      <c r="AC858" s="3">
        <v>15</v>
      </c>
      <c r="AD858" s="3">
        <v>22.98</v>
      </c>
      <c r="AE858" s="3">
        <v>0</v>
      </c>
      <c r="AF858" s="3">
        <v>0</v>
      </c>
      <c r="AG858" s="3">
        <v>0</v>
      </c>
      <c r="AH858" s="3">
        <v>0.25</v>
      </c>
      <c r="AI858" s="3" t="s">
        <v>5239</v>
      </c>
      <c r="AJ858" s="3" t="s">
        <v>5222</v>
      </c>
    </row>
    <row r="859" spans="1:36">
      <c r="A859" s="5">
        <v>43288</v>
      </c>
      <c r="B859" s="3" t="s">
        <v>1574</v>
      </c>
      <c r="C859" s="3" t="s">
        <v>1575</v>
      </c>
      <c r="D859" s="3" t="s">
        <v>1575</v>
      </c>
      <c r="E859" s="3" t="s">
        <v>1576</v>
      </c>
      <c r="F859" s="3" t="s">
        <v>120</v>
      </c>
      <c r="G859" s="3">
        <v>11</v>
      </c>
      <c r="H859" s="3">
        <v>0</v>
      </c>
      <c r="I859" s="3">
        <v>5</v>
      </c>
      <c r="J859" s="3">
        <v>1</v>
      </c>
      <c r="K859" s="3">
        <v>5</v>
      </c>
      <c r="L859" s="3">
        <v>0</v>
      </c>
      <c r="M859" s="3">
        <v>0</v>
      </c>
      <c r="N859" s="3" t="s">
        <v>5218</v>
      </c>
      <c r="O859" s="3">
        <v>6</v>
      </c>
      <c r="P859" s="3">
        <v>18.98</v>
      </c>
      <c r="Q859" s="3">
        <v>0</v>
      </c>
      <c r="R859" s="3">
        <v>0</v>
      </c>
      <c r="S859" s="3">
        <v>1</v>
      </c>
      <c r="T859" s="3">
        <v>14</v>
      </c>
      <c r="U859" s="3">
        <v>22</v>
      </c>
      <c r="V859" s="3">
        <v>30</v>
      </c>
      <c r="W859" s="3"/>
      <c r="X859" s="3">
        <v>39.98</v>
      </c>
      <c r="Y859" s="3">
        <v>19.98</v>
      </c>
      <c r="Z859" s="3">
        <v>19.98</v>
      </c>
      <c r="AA859" s="3">
        <v>0</v>
      </c>
      <c r="AB859" s="3" t="s">
        <v>5223</v>
      </c>
      <c r="AC859" s="3">
        <v>11</v>
      </c>
      <c r="AD859" s="3">
        <v>19.98</v>
      </c>
      <c r="AE859" s="3">
        <v>0</v>
      </c>
      <c r="AF859" s="3">
        <v>0</v>
      </c>
      <c r="AG859" s="3">
        <v>0</v>
      </c>
      <c r="AH859" s="3">
        <v>1.16504854368932</v>
      </c>
      <c r="AI859" s="3" t="s">
        <v>5248</v>
      </c>
      <c r="AJ859" s="3" t="s">
        <v>5222</v>
      </c>
    </row>
    <row r="860" spans="1:36">
      <c r="A860" s="5">
        <v>43288</v>
      </c>
      <c r="B860" s="3" t="s">
        <v>3024</v>
      </c>
      <c r="C860" s="3" t="s">
        <v>3025</v>
      </c>
      <c r="D860" s="3" t="s">
        <v>3025</v>
      </c>
      <c r="E860" s="3" t="s">
        <v>3026</v>
      </c>
      <c r="F860" s="3" t="s">
        <v>120</v>
      </c>
      <c r="G860" s="3">
        <v>19</v>
      </c>
      <c r="H860" s="3">
        <v>0</v>
      </c>
      <c r="I860" s="3">
        <v>19</v>
      </c>
      <c r="J860" s="3">
        <v>0</v>
      </c>
      <c r="K860" s="3">
        <v>0</v>
      </c>
      <c r="L860" s="3">
        <v>0</v>
      </c>
      <c r="M860" s="3">
        <v>0</v>
      </c>
      <c r="N860" s="3" t="s">
        <v>5218</v>
      </c>
      <c r="O860" s="3">
        <v>0</v>
      </c>
      <c r="P860" s="3">
        <v>0</v>
      </c>
      <c r="Q860" s="3">
        <v>0</v>
      </c>
      <c r="R860" s="3">
        <v>0</v>
      </c>
      <c r="S860" s="3">
        <v>4</v>
      </c>
      <c r="T860" s="3">
        <v>13</v>
      </c>
      <c r="U860" s="3">
        <v>21</v>
      </c>
      <c r="V860" s="3">
        <v>22</v>
      </c>
      <c r="W860" s="3"/>
      <c r="X860" s="3">
        <v>23.98</v>
      </c>
      <c r="Y860" s="3">
        <v>23.98</v>
      </c>
      <c r="Z860" s="3">
        <v>23.98</v>
      </c>
      <c r="AA860" s="3">
        <v>0</v>
      </c>
      <c r="AB860" s="3" t="s">
        <v>5223</v>
      </c>
      <c r="AC860" s="3">
        <v>23</v>
      </c>
      <c r="AD860" s="3">
        <v>23.98</v>
      </c>
      <c r="AE860" s="3">
        <v>0</v>
      </c>
      <c r="AF860" s="3">
        <v>0</v>
      </c>
      <c r="AG860" s="3">
        <v>0</v>
      </c>
      <c r="AH860" s="3">
        <v>0.967032967032967</v>
      </c>
      <c r="AI860" s="3" t="s">
        <v>5497</v>
      </c>
      <c r="AJ860" s="3" t="s">
        <v>5222</v>
      </c>
    </row>
    <row r="861" spans="1:36">
      <c r="A861" s="5">
        <v>43288</v>
      </c>
      <c r="B861" s="3" t="s">
        <v>1238</v>
      </c>
      <c r="C861" s="3" t="s">
        <v>1239</v>
      </c>
      <c r="D861" s="3" t="s">
        <v>523</v>
      </c>
      <c r="E861" s="3" t="s">
        <v>772</v>
      </c>
      <c r="F861" s="3" t="s">
        <v>120</v>
      </c>
      <c r="G861" s="3">
        <v>30</v>
      </c>
      <c r="H861" s="3">
        <v>0</v>
      </c>
      <c r="I861" s="3">
        <v>30</v>
      </c>
      <c r="J861" s="3">
        <v>0</v>
      </c>
      <c r="K861" s="3">
        <v>0</v>
      </c>
      <c r="L861" s="3">
        <v>0</v>
      </c>
      <c r="M861" s="3">
        <v>0</v>
      </c>
      <c r="N861" s="3" t="s">
        <v>5218</v>
      </c>
      <c r="O861" s="3">
        <v>0</v>
      </c>
      <c r="P861" s="3">
        <v>0</v>
      </c>
      <c r="Q861" s="3">
        <v>0</v>
      </c>
      <c r="R861" s="3">
        <v>0</v>
      </c>
      <c r="S861" s="3">
        <v>0</v>
      </c>
      <c r="T861" s="3">
        <v>1</v>
      </c>
      <c r="U861" s="3">
        <v>1</v>
      </c>
      <c r="V861" s="3">
        <v>1</v>
      </c>
      <c r="W861" s="3"/>
      <c r="X861" s="3">
        <v>22.98</v>
      </c>
      <c r="Y861" s="3">
        <v>22.98</v>
      </c>
      <c r="Z861" s="3">
        <v>22.98</v>
      </c>
      <c r="AA861" s="3">
        <v>0</v>
      </c>
      <c r="AB861" s="3" t="s">
        <v>5223</v>
      </c>
      <c r="AC861" s="3">
        <v>30</v>
      </c>
      <c r="AD861" s="3">
        <v>22.98</v>
      </c>
      <c r="AE861" s="3">
        <v>0</v>
      </c>
      <c r="AF861" s="3">
        <v>0</v>
      </c>
      <c r="AG861" s="3">
        <v>0</v>
      </c>
      <c r="AH861" s="3">
        <v>0.73469387755102</v>
      </c>
      <c r="AI861" s="3" t="s">
        <v>5225</v>
      </c>
      <c r="AJ861" s="3" t="s">
        <v>5222</v>
      </c>
    </row>
    <row r="862" spans="1:36">
      <c r="A862" s="5">
        <v>43288</v>
      </c>
      <c r="B862" s="3" t="s">
        <v>220</v>
      </c>
      <c r="C862" s="3" t="s">
        <v>221</v>
      </c>
      <c r="D862" s="3" t="s">
        <v>221</v>
      </c>
      <c r="E862" s="3" t="s">
        <v>222</v>
      </c>
      <c r="F862" s="3" t="s">
        <v>120</v>
      </c>
      <c r="G862" s="3">
        <v>5</v>
      </c>
      <c r="H862" s="3">
        <v>0</v>
      </c>
      <c r="I862" s="3">
        <v>0</v>
      </c>
      <c r="J862" s="3">
        <v>5</v>
      </c>
      <c r="K862" s="3">
        <v>0</v>
      </c>
      <c r="L862" s="3">
        <v>0</v>
      </c>
      <c r="M862" s="3">
        <v>0</v>
      </c>
      <c r="N862" s="3" t="s">
        <v>5218</v>
      </c>
      <c r="O862" s="3">
        <v>4</v>
      </c>
      <c r="P862" s="3">
        <v>33.07</v>
      </c>
      <c r="Q862" s="3">
        <v>0</v>
      </c>
      <c r="R862" s="3">
        <v>0</v>
      </c>
      <c r="S862" s="3">
        <v>0</v>
      </c>
      <c r="T862" s="3">
        <v>0</v>
      </c>
      <c r="U862" s="3">
        <v>0</v>
      </c>
      <c r="V862" s="3">
        <v>0</v>
      </c>
      <c r="W862" s="3" t="s">
        <v>5219</v>
      </c>
      <c r="X862" s="3">
        <v>62.98</v>
      </c>
      <c r="Y862" s="3">
        <v>62.98</v>
      </c>
      <c r="Z862" s="3">
        <v>62.98</v>
      </c>
      <c r="AA862" s="3">
        <v>0</v>
      </c>
      <c r="AB862" s="3" t="s">
        <v>5220</v>
      </c>
      <c r="AC862" s="3">
        <v>0</v>
      </c>
      <c r="AD862" s="3">
        <v>55.1</v>
      </c>
      <c r="AE862" s="3">
        <v>49</v>
      </c>
      <c r="AF862" s="3">
        <v>0</v>
      </c>
      <c r="AG862" s="3">
        <v>549.463463</v>
      </c>
      <c r="AH862" s="3">
        <v>0</v>
      </c>
      <c r="AI862" s="3" t="s">
        <v>5498</v>
      </c>
      <c r="AJ862" s="3" t="s">
        <v>5222</v>
      </c>
    </row>
    <row r="863" spans="1:36">
      <c r="A863" s="5">
        <v>43288</v>
      </c>
      <c r="B863" s="3" t="s">
        <v>5098</v>
      </c>
      <c r="C863" s="3" t="s">
        <v>4823</v>
      </c>
      <c r="D863" s="3" t="s">
        <v>4823</v>
      </c>
      <c r="E863" s="3" t="s">
        <v>4955</v>
      </c>
      <c r="F863" s="3" t="s">
        <v>120</v>
      </c>
      <c r="G863" s="3">
        <v>8</v>
      </c>
      <c r="H863" s="3">
        <v>0</v>
      </c>
      <c r="I863" s="3">
        <v>8</v>
      </c>
      <c r="J863" s="3">
        <v>0</v>
      </c>
      <c r="K863" s="3">
        <v>0</v>
      </c>
      <c r="L863" s="3">
        <v>0</v>
      </c>
      <c r="M863" s="3">
        <v>0</v>
      </c>
      <c r="N863" s="3" t="s">
        <v>5218</v>
      </c>
      <c r="O863" s="3">
        <v>0</v>
      </c>
      <c r="P863" s="3">
        <v>0</v>
      </c>
      <c r="Q863" s="3">
        <v>0</v>
      </c>
      <c r="R863" s="3">
        <v>0</v>
      </c>
      <c r="S863" s="3">
        <v>2</v>
      </c>
      <c r="T863" s="3">
        <v>3</v>
      </c>
      <c r="U863" s="3">
        <v>4</v>
      </c>
      <c r="V863" s="3">
        <v>6</v>
      </c>
      <c r="W863" s="3"/>
      <c r="X863" s="3">
        <v>22.98</v>
      </c>
      <c r="Y863" s="3">
        <v>22.98</v>
      </c>
      <c r="Z863" s="3">
        <v>22.98</v>
      </c>
      <c r="AA863" s="3">
        <v>0</v>
      </c>
      <c r="AB863" s="3" t="s">
        <v>5223</v>
      </c>
      <c r="AC863" s="3">
        <v>9</v>
      </c>
      <c r="AD863" s="3">
        <v>22.98</v>
      </c>
      <c r="AE863" s="3">
        <v>0</v>
      </c>
      <c r="AF863" s="3">
        <v>0</v>
      </c>
      <c r="AG863" s="3">
        <v>0</v>
      </c>
      <c r="AH863" s="3">
        <v>0.685714285714285</v>
      </c>
      <c r="AI863" s="3" t="s">
        <v>5261</v>
      </c>
      <c r="AJ863" s="3" t="s">
        <v>5222</v>
      </c>
    </row>
    <row r="864" spans="1:36">
      <c r="A864" s="5">
        <v>43288</v>
      </c>
      <c r="B864" s="3" t="s">
        <v>1232</v>
      </c>
      <c r="C864" s="3" t="s">
        <v>1233</v>
      </c>
      <c r="D864" s="3" t="s">
        <v>514</v>
      </c>
      <c r="E864" s="3" t="s">
        <v>766</v>
      </c>
      <c r="F864" s="3" t="s">
        <v>120</v>
      </c>
      <c r="G864" s="3">
        <v>32</v>
      </c>
      <c r="H864" s="3">
        <v>0</v>
      </c>
      <c r="I864" s="3">
        <v>32</v>
      </c>
      <c r="J864" s="3">
        <v>0</v>
      </c>
      <c r="K864" s="3">
        <v>0</v>
      </c>
      <c r="L864" s="3">
        <v>0</v>
      </c>
      <c r="M864" s="3">
        <v>0</v>
      </c>
      <c r="N864" s="3" t="s">
        <v>5218</v>
      </c>
      <c r="O864" s="3">
        <v>0</v>
      </c>
      <c r="P864" s="3">
        <v>0</v>
      </c>
      <c r="Q864" s="3">
        <v>0</v>
      </c>
      <c r="R864" s="3">
        <v>0</v>
      </c>
      <c r="S864" s="3">
        <v>4</v>
      </c>
      <c r="T864" s="3">
        <v>4</v>
      </c>
      <c r="U864" s="3">
        <v>4</v>
      </c>
      <c r="V864" s="3">
        <v>4</v>
      </c>
      <c r="W864" s="3"/>
      <c r="X864" s="3">
        <v>39.98</v>
      </c>
      <c r="Y864" s="3">
        <v>22.98</v>
      </c>
      <c r="Z864" s="3">
        <v>22.98</v>
      </c>
      <c r="AA864" s="3">
        <v>0</v>
      </c>
      <c r="AB864" s="3" t="s">
        <v>5223</v>
      </c>
      <c r="AC864" s="3">
        <v>37</v>
      </c>
      <c r="AD864" s="3">
        <v>22.98</v>
      </c>
      <c r="AE864" s="3">
        <v>0</v>
      </c>
      <c r="AF864" s="3">
        <v>0</v>
      </c>
      <c r="AG864" s="3">
        <v>0</v>
      </c>
      <c r="AH864" s="3">
        <v>1.28571428571428</v>
      </c>
      <c r="AI864" s="3" t="s">
        <v>5225</v>
      </c>
      <c r="AJ864" s="3" t="s">
        <v>5222</v>
      </c>
    </row>
    <row r="865" spans="1:36">
      <c r="A865" s="5">
        <v>43288</v>
      </c>
      <c r="B865" s="3" t="s">
        <v>1577</v>
      </c>
      <c r="C865" s="3" t="s">
        <v>1578</v>
      </c>
      <c r="D865" s="3" t="s">
        <v>1578</v>
      </c>
      <c r="E865" s="3" t="s">
        <v>1579</v>
      </c>
      <c r="F865" s="3" t="s">
        <v>120</v>
      </c>
      <c r="G865" s="3">
        <v>13</v>
      </c>
      <c r="H865" s="3">
        <v>0</v>
      </c>
      <c r="I865" s="3">
        <v>0</v>
      </c>
      <c r="J865" s="3">
        <v>0</v>
      </c>
      <c r="K865" s="3">
        <v>13</v>
      </c>
      <c r="L865" s="3">
        <v>0</v>
      </c>
      <c r="M865" s="3">
        <v>0</v>
      </c>
      <c r="N865" s="3" t="s">
        <v>5218</v>
      </c>
      <c r="O865" s="3">
        <v>13</v>
      </c>
      <c r="P865" s="3">
        <v>0.45</v>
      </c>
      <c r="Q865" s="3">
        <v>0</v>
      </c>
      <c r="R865" s="3">
        <v>0</v>
      </c>
      <c r="S865" s="3">
        <v>1</v>
      </c>
      <c r="T865" s="3">
        <v>13</v>
      </c>
      <c r="U865" s="3">
        <v>15</v>
      </c>
      <c r="V865" s="3">
        <v>19</v>
      </c>
      <c r="W865" s="3"/>
      <c r="X865" s="3">
        <v>39.98</v>
      </c>
      <c r="Y865" s="3">
        <v>18.98</v>
      </c>
      <c r="Z865" s="3">
        <v>18.98</v>
      </c>
      <c r="AA865" s="3">
        <v>0</v>
      </c>
      <c r="AB865" s="3" t="s">
        <v>5223</v>
      </c>
      <c r="AC865" s="3">
        <v>14</v>
      </c>
      <c r="AD865" s="3">
        <v>18.98</v>
      </c>
      <c r="AE865" s="3">
        <v>0</v>
      </c>
      <c r="AF865" s="3">
        <v>0</v>
      </c>
      <c r="AG865" s="3">
        <v>0</v>
      </c>
      <c r="AH865" s="3">
        <v>0.767676767676767</v>
      </c>
      <c r="AI865" s="3" t="s">
        <v>5499</v>
      </c>
      <c r="AJ865" s="3" t="s">
        <v>5222</v>
      </c>
    </row>
    <row r="866" spans="1:36">
      <c r="A866" s="5">
        <v>43288</v>
      </c>
      <c r="B866" s="3" t="s">
        <v>1246</v>
      </c>
      <c r="C866" s="3" t="s">
        <v>1247</v>
      </c>
      <c r="D866" s="3" t="s">
        <v>531</v>
      </c>
      <c r="E866" s="3" t="s">
        <v>780</v>
      </c>
      <c r="F866" s="3" t="s">
        <v>120</v>
      </c>
      <c r="G866" s="3">
        <v>12</v>
      </c>
      <c r="H866" s="3">
        <v>0</v>
      </c>
      <c r="I866" s="3">
        <v>12</v>
      </c>
      <c r="J866" s="3">
        <v>0</v>
      </c>
      <c r="K866" s="3">
        <v>0</v>
      </c>
      <c r="L866" s="3">
        <v>0</v>
      </c>
      <c r="M866" s="3">
        <v>0</v>
      </c>
      <c r="N866" s="3" t="s">
        <v>5218</v>
      </c>
      <c r="O866" s="3">
        <v>0</v>
      </c>
      <c r="P866" s="3">
        <v>0</v>
      </c>
      <c r="Q866" s="3">
        <v>0</v>
      </c>
      <c r="R866" s="3">
        <v>0</v>
      </c>
      <c r="S866" s="3">
        <v>5</v>
      </c>
      <c r="T866" s="3">
        <v>6</v>
      </c>
      <c r="U866" s="3">
        <v>6</v>
      </c>
      <c r="V866" s="3">
        <v>6</v>
      </c>
      <c r="W866" s="3"/>
      <c r="X866" s="3">
        <v>22.98</v>
      </c>
      <c r="Y866" s="3">
        <v>22.98</v>
      </c>
      <c r="Z866" s="3">
        <v>22.98</v>
      </c>
      <c r="AA866" s="3">
        <v>0</v>
      </c>
      <c r="AB866" s="3" t="s">
        <v>5223</v>
      </c>
      <c r="AC866" s="3">
        <v>15</v>
      </c>
      <c r="AD866" s="3">
        <v>22.98</v>
      </c>
      <c r="AE866" s="3">
        <v>0</v>
      </c>
      <c r="AF866" s="3">
        <v>0</v>
      </c>
      <c r="AG866" s="3">
        <v>0</v>
      </c>
      <c r="AH866" s="3">
        <v>2.35714285714285</v>
      </c>
      <c r="AI866" s="3" t="s">
        <v>5225</v>
      </c>
      <c r="AJ866" s="3" t="s">
        <v>5222</v>
      </c>
    </row>
    <row r="867" spans="1:36">
      <c r="A867" s="5">
        <v>43288</v>
      </c>
      <c r="B867" s="3" t="s">
        <v>2638</v>
      </c>
      <c r="C867" s="3" t="s">
        <v>2639</v>
      </c>
      <c r="D867" s="3" t="s">
        <v>2639</v>
      </c>
      <c r="E867" s="3" t="s">
        <v>2640</v>
      </c>
      <c r="F867" s="3" t="s">
        <v>120</v>
      </c>
      <c r="G867" s="3">
        <v>11</v>
      </c>
      <c r="H867" s="3">
        <v>0</v>
      </c>
      <c r="I867" s="3">
        <v>0</v>
      </c>
      <c r="J867" s="3">
        <v>0</v>
      </c>
      <c r="K867" s="3">
        <v>11</v>
      </c>
      <c r="L867" s="3">
        <v>0</v>
      </c>
      <c r="M867" s="3">
        <v>0</v>
      </c>
      <c r="N867" s="3" t="s">
        <v>5218</v>
      </c>
      <c r="O867" s="3">
        <v>11</v>
      </c>
      <c r="P867" s="3">
        <v>19.12</v>
      </c>
      <c r="Q867" s="3">
        <v>0</v>
      </c>
      <c r="R867" s="3">
        <v>0</v>
      </c>
      <c r="S867" s="3">
        <v>0</v>
      </c>
      <c r="T867" s="3">
        <v>0</v>
      </c>
      <c r="U867" s="3">
        <v>0</v>
      </c>
      <c r="V867" s="3">
        <v>1</v>
      </c>
      <c r="W867" s="3" t="s">
        <v>5219</v>
      </c>
      <c r="X867" s="3">
        <v>18.98</v>
      </c>
      <c r="Y867" s="3">
        <v>18.98</v>
      </c>
      <c r="Z867" s="3">
        <v>18.98</v>
      </c>
      <c r="AA867" s="3">
        <v>0</v>
      </c>
      <c r="AB867" s="3" t="s">
        <v>5220</v>
      </c>
      <c r="AC867" s="3">
        <v>4</v>
      </c>
      <c r="AD867" s="3">
        <v>16.86</v>
      </c>
      <c r="AE867" s="3">
        <v>35</v>
      </c>
      <c r="AF867" s="3">
        <v>0</v>
      </c>
      <c r="AG867" s="3">
        <v>309.961704</v>
      </c>
      <c r="AH867" s="3">
        <v>0.0888888888888888</v>
      </c>
      <c r="AI867" s="3" t="s">
        <v>5264</v>
      </c>
      <c r="AJ867" s="3" t="s">
        <v>5222</v>
      </c>
    </row>
    <row r="868" spans="1:36">
      <c r="A868" s="5">
        <v>43288</v>
      </c>
      <c r="B868" s="3" t="s">
        <v>1498</v>
      </c>
      <c r="C868" s="3" t="s">
        <v>58</v>
      </c>
      <c r="D868" s="3" t="s">
        <v>58</v>
      </c>
      <c r="E868" s="3" t="s">
        <v>1499</v>
      </c>
      <c r="F868" s="3" t="s">
        <v>120</v>
      </c>
      <c r="G868" s="3">
        <v>89</v>
      </c>
      <c r="H868" s="3">
        <v>0</v>
      </c>
      <c r="I868" s="3">
        <v>23</v>
      </c>
      <c r="J868" s="3">
        <v>66</v>
      </c>
      <c r="K868" s="3">
        <v>0</v>
      </c>
      <c r="L868" s="3">
        <v>0</v>
      </c>
      <c r="M868" s="3">
        <v>0</v>
      </c>
      <c r="N868" s="3" t="s">
        <v>5218</v>
      </c>
      <c r="O868" s="3">
        <v>63</v>
      </c>
      <c r="P868" s="3">
        <v>36.67</v>
      </c>
      <c r="Q868" s="3">
        <v>0</v>
      </c>
      <c r="R868" s="3">
        <v>0</v>
      </c>
      <c r="S868" s="3">
        <v>1</v>
      </c>
      <c r="T868" s="3">
        <v>5</v>
      </c>
      <c r="U868" s="3">
        <v>12</v>
      </c>
      <c r="V868" s="3">
        <v>23</v>
      </c>
      <c r="W868" s="3"/>
      <c r="X868" s="3">
        <v>22.98</v>
      </c>
      <c r="Y868" s="3">
        <v>22.98</v>
      </c>
      <c r="Z868" s="3">
        <v>19.98</v>
      </c>
      <c r="AA868" s="3">
        <v>0</v>
      </c>
      <c r="AB868" s="3" t="s">
        <v>5228</v>
      </c>
      <c r="AC868" s="3">
        <v>32</v>
      </c>
      <c r="AD868" s="3">
        <v>18.38</v>
      </c>
      <c r="AE868" s="3">
        <v>364</v>
      </c>
      <c r="AF868" s="3">
        <v>0</v>
      </c>
      <c r="AG868" s="3">
        <v>227.325489</v>
      </c>
      <c r="AH868" s="3">
        <v>0.262857142857142</v>
      </c>
      <c r="AI868" s="3" t="s">
        <v>5500</v>
      </c>
      <c r="AJ868" s="3" t="s">
        <v>5222</v>
      </c>
    </row>
    <row r="869" spans="1:36">
      <c r="A869" s="5">
        <v>43288</v>
      </c>
      <c r="B869" s="3" t="s">
        <v>5096</v>
      </c>
      <c r="C869" s="3" t="s">
        <v>4819</v>
      </c>
      <c r="D869" s="3" t="s">
        <v>4819</v>
      </c>
      <c r="E869" s="3" t="s">
        <v>4949</v>
      </c>
      <c r="F869" s="3" t="s">
        <v>120</v>
      </c>
      <c r="G869" s="3">
        <v>19</v>
      </c>
      <c r="H869" s="3">
        <v>0</v>
      </c>
      <c r="I869" s="3">
        <v>19</v>
      </c>
      <c r="J869" s="3">
        <v>0</v>
      </c>
      <c r="K869" s="3">
        <v>0</v>
      </c>
      <c r="L869" s="3">
        <v>0</v>
      </c>
      <c r="M869" s="3">
        <v>0</v>
      </c>
      <c r="N869" s="3" t="s">
        <v>5218</v>
      </c>
      <c r="O869" s="3">
        <v>0</v>
      </c>
      <c r="P869" s="3">
        <v>0</v>
      </c>
      <c r="Q869" s="3">
        <v>0</v>
      </c>
      <c r="R869" s="3">
        <v>0</v>
      </c>
      <c r="S869" s="3">
        <v>1</v>
      </c>
      <c r="T869" s="3">
        <v>2</v>
      </c>
      <c r="U869" s="3">
        <v>6</v>
      </c>
      <c r="V869" s="3">
        <v>6</v>
      </c>
      <c r="W869" s="3"/>
      <c r="X869" s="3">
        <v>22.98</v>
      </c>
      <c r="Y869" s="3">
        <v>22.98</v>
      </c>
      <c r="Z869" s="3">
        <v>22.98</v>
      </c>
      <c r="AA869" s="3">
        <v>0</v>
      </c>
      <c r="AB869" s="3" t="s">
        <v>5228</v>
      </c>
      <c r="AC869" s="3">
        <v>0</v>
      </c>
      <c r="AD869" s="3">
        <v>18.75</v>
      </c>
      <c r="AE869" s="3">
        <v>364</v>
      </c>
      <c r="AF869" s="3">
        <v>0</v>
      </c>
      <c r="AG869" s="3">
        <v>291.663415</v>
      </c>
      <c r="AH869" s="3">
        <v>0.436363636363636</v>
      </c>
      <c r="AI869" s="3" t="s">
        <v>5261</v>
      </c>
      <c r="AJ869" s="3" t="s">
        <v>5222</v>
      </c>
    </row>
    <row r="870" spans="1:36">
      <c r="A870" s="5">
        <v>43288</v>
      </c>
      <c r="B870" s="3" t="s">
        <v>1430</v>
      </c>
      <c r="C870" s="3" t="s">
        <v>1431</v>
      </c>
      <c r="D870" s="3" t="s">
        <v>1432</v>
      </c>
      <c r="E870" s="3" t="s">
        <v>1433</v>
      </c>
      <c r="F870" s="3" t="s">
        <v>120</v>
      </c>
      <c r="G870" s="3">
        <v>30</v>
      </c>
      <c r="H870" s="3">
        <v>0</v>
      </c>
      <c r="I870" s="3">
        <v>30</v>
      </c>
      <c r="J870" s="3">
        <v>0</v>
      </c>
      <c r="K870" s="3">
        <v>0</v>
      </c>
      <c r="L870" s="3">
        <v>0</v>
      </c>
      <c r="M870" s="3">
        <v>0</v>
      </c>
      <c r="N870" s="3" t="s">
        <v>5218</v>
      </c>
      <c r="O870" s="3">
        <v>0</v>
      </c>
      <c r="P870" s="3">
        <v>0</v>
      </c>
      <c r="Q870" s="3">
        <v>0</v>
      </c>
      <c r="R870" s="3">
        <v>0</v>
      </c>
      <c r="S870" s="3">
        <v>5</v>
      </c>
      <c r="T870" s="3">
        <v>5</v>
      </c>
      <c r="U870" s="3">
        <v>5</v>
      </c>
      <c r="V870" s="3">
        <v>5</v>
      </c>
      <c r="W870" s="3"/>
      <c r="X870" s="3">
        <v>23.98</v>
      </c>
      <c r="Y870" s="3">
        <v>23.98</v>
      </c>
      <c r="Z870" s="3">
        <v>23.98</v>
      </c>
      <c r="AA870" s="3">
        <v>0</v>
      </c>
      <c r="AB870" s="3" t="s">
        <v>5223</v>
      </c>
      <c r="AC870" s="3">
        <v>0</v>
      </c>
      <c r="AD870" s="3">
        <v>0</v>
      </c>
      <c r="AE870" s="3">
        <v>0</v>
      </c>
      <c r="AF870" s="3">
        <v>0</v>
      </c>
      <c r="AG870" s="3">
        <v>0</v>
      </c>
      <c r="AH870" s="3">
        <v>16.983606557377</v>
      </c>
      <c r="AI870" s="3" t="s">
        <v>5236</v>
      </c>
      <c r="AJ870" s="3" t="s">
        <v>5222</v>
      </c>
    </row>
    <row r="871" spans="1:36">
      <c r="A871" s="5">
        <v>43288</v>
      </c>
      <c r="B871" s="3" t="s">
        <v>2889</v>
      </c>
      <c r="C871" s="3" t="s">
        <v>2890</v>
      </c>
      <c r="D871" s="3" t="s">
        <v>2890</v>
      </c>
      <c r="E871" s="3" t="s">
        <v>2891</v>
      </c>
      <c r="F871" s="3" t="s">
        <v>120</v>
      </c>
      <c r="G871" s="3">
        <v>23</v>
      </c>
      <c r="H871" s="3">
        <v>0</v>
      </c>
      <c r="I871" s="3">
        <v>3</v>
      </c>
      <c r="J871" s="3">
        <v>20</v>
      </c>
      <c r="K871" s="3">
        <v>0</v>
      </c>
      <c r="L871" s="3">
        <v>0</v>
      </c>
      <c r="M871" s="3">
        <v>0</v>
      </c>
      <c r="N871" s="3" t="s">
        <v>5218</v>
      </c>
      <c r="O871" s="3">
        <v>0</v>
      </c>
      <c r="P871" s="3">
        <v>0</v>
      </c>
      <c r="Q871" s="3">
        <v>0</v>
      </c>
      <c r="R871" s="3">
        <v>0</v>
      </c>
      <c r="S871" s="3">
        <v>0</v>
      </c>
      <c r="T871" s="3">
        <v>2</v>
      </c>
      <c r="U871" s="3">
        <v>5</v>
      </c>
      <c r="V871" s="3">
        <v>10</v>
      </c>
      <c r="W871" s="3"/>
      <c r="X871" s="3">
        <v>23.98</v>
      </c>
      <c r="Y871" s="3">
        <v>23.98</v>
      </c>
      <c r="Z871" s="3">
        <v>23.98</v>
      </c>
      <c r="AA871" s="3">
        <v>0</v>
      </c>
      <c r="AB871" s="3" t="s">
        <v>5223</v>
      </c>
      <c r="AC871" s="3">
        <v>23</v>
      </c>
      <c r="AD871" s="3">
        <v>23.98</v>
      </c>
      <c r="AE871" s="3">
        <v>0</v>
      </c>
      <c r="AF871" s="3">
        <v>0</v>
      </c>
      <c r="AG871" s="3">
        <v>0</v>
      </c>
      <c r="AH871" s="3">
        <v>0.388349514563106</v>
      </c>
      <c r="AI871" s="3" t="s">
        <v>5254</v>
      </c>
      <c r="AJ871" s="3" t="s">
        <v>5222</v>
      </c>
    </row>
    <row r="872" spans="1:36">
      <c r="A872" s="5">
        <v>43288</v>
      </c>
      <c r="B872" s="3" t="s">
        <v>4116</v>
      </c>
      <c r="C872" s="3" t="s">
        <v>4117</v>
      </c>
      <c r="D872" s="3" t="s">
        <v>4117</v>
      </c>
      <c r="E872" s="3" t="s">
        <v>4118</v>
      </c>
      <c r="F872" s="3" t="s">
        <v>120</v>
      </c>
      <c r="G872" s="3">
        <v>20</v>
      </c>
      <c r="H872" s="3">
        <v>0</v>
      </c>
      <c r="I872" s="3">
        <v>20</v>
      </c>
      <c r="J872" s="3">
        <v>0</v>
      </c>
      <c r="K872" s="3">
        <v>0</v>
      </c>
      <c r="L872" s="3">
        <v>0</v>
      </c>
      <c r="M872" s="3">
        <v>0</v>
      </c>
      <c r="N872" s="3" t="s">
        <v>5218</v>
      </c>
      <c r="O872" s="3">
        <v>0</v>
      </c>
      <c r="P872" s="3">
        <v>0</v>
      </c>
      <c r="Q872" s="3">
        <v>0</v>
      </c>
      <c r="R872" s="3">
        <v>0</v>
      </c>
      <c r="S872" s="3">
        <v>0</v>
      </c>
      <c r="T872" s="3">
        <v>2</v>
      </c>
      <c r="U872" s="3">
        <v>5</v>
      </c>
      <c r="V872" s="3">
        <v>11</v>
      </c>
      <c r="W872" s="3"/>
      <c r="X872" s="3">
        <v>22.98</v>
      </c>
      <c r="Y872" s="3">
        <v>22.98</v>
      </c>
      <c r="Z872" s="3">
        <v>22.98</v>
      </c>
      <c r="AA872" s="3">
        <v>0</v>
      </c>
      <c r="AB872" s="3" t="s">
        <v>5223</v>
      </c>
      <c r="AC872" s="3">
        <v>20</v>
      </c>
      <c r="AD872" s="3">
        <v>22.98</v>
      </c>
      <c r="AE872" s="3">
        <v>0</v>
      </c>
      <c r="AF872" s="3">
        <v>0</v>
      </c>
      <c r="AG872" s="3">
        <v>0</v>
      </c>
      <c r="AH872" s="3">
        <v>0.814814814814814</v>
      </c>
      <c r="AI872" s="3" t="s">
        <v>5226</v>
      </c>
      <c r="AJ872" s="3" t="s">
        <v>5222</v>
      </c>
    </row>
    <row r="873" spans="1:36">
      <c r="A873" s="5">
        <v>43288</v>
      </c>
      <c r="B873" s="3" t="s">
        <v>4406</v>
      </c>
      <c r="C873" s="3" t="s">
        <v>3478</v>
      </c>
      <c r="D873" s="3" t="s">
        <v>3478</v>
      </c>
      <c r="E873" s="3" t="s">
        <v>3479</v>
      </c>
      <c r="F873" s="3" t="s">
        <v>120</v>
      </c>
      <c r="G873" s="3">
        <v>4</v>
      </c>
      <c r="H873" s="3">
        <v>0</v>
      </c>
      <c r="I873" s="3">
        <v>0</v>
      </c>
      <c r="J873" s="3">
        <v>1</v>
      </c>
      <c r="K873" s="3">
        <v>3</v>
      </c>
      <c r="L873" s="3">
        <v>0</v>
      </c>
      <c r="M873" s="3">
        <v>0</v>
      </c>
      <c r="N873" s="3" t="s">
        <v>5218</v>
      </c>
      <c r="O873" s="3">
        <v>4</v>
      </c>
      <c r="P873" s="3">
        <v>6.18</v>
      </c>
      <c r="Q873" s="3">
        <v>0</v>
      </c>
      <c r="R873" s="3">
        <v>0</v>
      </c>
      <c r="S873" s="3">
        <v>0</v>
      </c>
      <c r="T873" s="3">
        <v>0</v>
      </c>
      <c r="U873" s="3">
        <v>1</v>
      </c>
      <c r="V873" s="3">
        <v>1</v>
      </c>
      <c r="W873" s="3" t="s">
        <v>5227</v>
      </c>
      <c r="X873" s="3">
        <v>24.98</v>
      </c>
      <c r="Y873" s="3">
        <v>24.98</v>
      </c>
      <c r="Z873" s="3">
        <v>24.98</v>
      </c>
      <c r="AA873" s="3">
        <v>0</v>
      </c>
      <c r="AB873" s="3" t="s">
        <v>5228</v>
      </c>
      <c r="AC873" s="3">
        <v>1</v>
      </c>
      <c r="AD873" s="3">
        <v>22.74</v>
      </c>
      <c r="AE873" s="3">
        <v>49</v>
      </c>
      <c r="AF873" s="3">
        <v>0</v>
      </c>
      <c r="AG873" s="3">
        <v>99.783528</v>
      </c>
      <c r="AH873" s="3">
        <v>0.222222222222222</v>
      </c>
      <c r="AI873" s="3" t="s">
        <v>5262</v>
      </c>
      <c r="AJ873" s="3" t="s">
        <v>5222</v>
      </c>
    </row>
    <row r="874" spans="1:36">
      <c r="A874" s="5">
        <v>43288</v>
      </c>
      <c r="B874" s="3" t="s">
        <v>3301</v>
      </c>
      <c r="C874" s="3" t="s">
        <v>3302</v>
      </c>
      <c r="D874" s="3" t="s">
        <v>3303</v>
      </c>
      <c r="E874" s="3" t="s">
        <v>3304</v>
      </c>
      <c r="F874" s="3" t="s">
        <v>120</v>
      </c>
      <c r="G874" s="3">
        <v>26</v>
      </c>
      <c r="H874" s="3">
        <v>0</v>
      </c>
      <c r="I874" s="3">
        <v>26</v>
      </c>
      <c r="J874" s="3">
        <v>0</v>
      </c>
      <c r="K874" s="3">
        <v>0</v>
      </c>
      <c r="L874" s="3">
        <v>0</v>
      </c>
      <c r="M874" s="3">
        <v>0</v>
      </c>
      <c r="N874" s="3" t="s">
        <v>5218</v>
      </c>
      <c r="O874" s="3">
        <v>0</v>
      </c>
      <c r="P874" s="3">
        <v>0</v>
      </c>
      <c r="Q874" s="3">
        <v>0</v>
      </c>
      <c r="R874" s="3">
        <v>0</v>
      </c>
      <c r="S874" s="3">
        <v>0</v>
      </c>
      <c r="T874" s="3">
        <v>20</v>
      </c>
      <c r="U874" s="3">
        <v>20</v>
      </c>
      <c r="V874" s="3">
        <v>20</v>
      </c>
      <c r="W874" s="3"/>
      <c r="X874" s="3">
        <v>69.9</v>
      </c>
      <c r="Y874" s="3">
        <v>24.98</v>
      </c>
      <c r="Z874" s="3">
        <v>24.98</v>
      </c>
      <c r="AA874" s="3">
        <v>0</v>
      </c>
      <c r="AB874" s="3" t="s">
        <v>5223</v>
      </c>
      <c r="AC874" s="3">
        <v>0</v>
      </c>
      <c r="AD874" s="3">
        <v>0</v>
      </c>
      <c r="AE874" s="3">
        <v>0</v>
      </c>
      <c r="AF874" s="3">
        <v>0</v>
      </c>
      <c r="AG874" s="3">
        <v>0</v>
      </c>
      <c r="AH874" s="3">
        <v>0.74074074074074</v>
      </c>
      <c r="AI874" s="3" t="s">
        <v>5241</v>
      </c>
      <c r="AJ874" s="3" t="s">
        <v>5222</v>
      </c>
    </row>
    <row r="875" spans="1:36">
      <c r="A875" s="5">
        <v>43288</v>
      </c>
      <c r="B875" s="3" t="s">
        <v>2847</v>
      </c>
      <c r="C875" s="3" t="s">
        <v>2848</v>
      </c>
      <c r="D875" s="3" t="s">
        <v>2848</v>
      </c>
      <c r="E875" s="3" t="s">
        <v>1753</v>
      </c>
      <c r="F875" s="3" t="s">
        <v>120</v>
      </c>
      <c r="G875" s="3">
        <v>17</v>
      </c>
      <c r="H875" s="3">
        <v>0</v>
      </c>
      <c r="I875" s="3">
        <v>1</v>
      </c>
      <c r="J875" s="3">
        <v>16</v>
      </c>
      <c r="K875" s="3">
        <v>0</v>
      </c>
      <c r="L875" s="3">
        <v>0</v>
      </c>
      <c r="M875" s="3">
        <v>0</v>
      </c>
      <c r="N875" s="3" t="s">
        <v>5218</v>
      </c>
      <c r="O875" s="3">
        <v>6</v>
      </c>
      <c r="P875" s="3">
        <v>11.13</v>
      </c>
      <c r="Q875" s="3">
        <v>0</v>
      </c>
      <c r="R875" s="3">
        <v>0</v>
      </c>
      <c r="S875" s="3">
        <v>0</v>
      </c>
      <c r="T875" s="3">
        <v>0</v>
      </c>
      <c r="U875" s="3">
        <v>2</v>
      </c>
      <c r="V875" s="3">
        <v>2</v>
      </c>
      <c r="W875" s="3" t="s">
        <v>5227</v>
      </c>
      <c r="X875" s="3">
        <v>24.98</v>
      </c>
      <c r="Y875" s="3">
        <v>24.98</v>
      </c>
      <c r="Z875" s="3">
        <v>24.98</v>
      </c>
      <c r="AA875" s="3">
        <v>0</v>
      </c>
      <c r="AB875" s="3" t="s">
        <v>5228</v>
      </c>
      <c r="AC875" s="3">
        <v>0</v>
      </c>
      <c r="AD875" s="3">
        <v>16.51</v>
      </c>
      <c r="AE875" s="3">
        <v>133</v>
      </c>
      <c r="AF875" s="3">
        <v>0</v>
      </c>
      <c r="AG875" s="3">
        <v>360.202317</v>
      </c>
      <c r="AH875" s="3">
        <v>0.112676056338028</v>
      </c>
      <c r="AI875" s="3" t="s">
        <v>5254</v>
      </c>
      <c r="AJ875" s="3" t="s">
        <v>5222</v>
      </c>
    </row>
    <row r="876" spans="1:36">
      <c r="A876" s="5">
        <v>43288</v>
      </c>
      <c r="B876" s="3" t="s">
        <v>5121</v>
      </c>
      <c r="C876" s="3" t="s">
        <v>5122</v>
      </c>
      <c r="D876" s="3" t="s">
        <v>5122</v>
      </c>
      <c r="E876" s="3" t="s">
        <v>5123</v>
      </c>
      <c r="F876" s="3" t="s">
        <v>120</v>
      </c>
      <c r="G876" s="3">
        <v>3</v>
      </c>
      <c r="H876" s="3">
        <v>0</v>
      </c>
      <c r="I876" s="3">
        <v>0</v>
      </c>
      <c r="J876" s="3">
        <v>0</v>
      </c>
      <c r="K876" s="3">
        <v>3</v>
      </c>
      <c r="L876" s="3">
        <v>0</v>
      </c>
      <c r="M876" s="3">
        <v>0</v>
      </c>
      <c r="N876" s="3" t="s">
        <v>5218</v>
      </c>
      <c r="O876" s="3">
        <v>3</v>
      </c>
      <c r="P876" s="3">
        <v>9.07</v>
      </c>
      <c r="Q876" s="3">
        <v>0</v>
      </c>
      <c r="R876" s="3">
        <v>0</v>
      </c>
      <c r="S876" s="3">
        <v>0</v>
      </c>
      <c r="T876" s="3">
        <v>0</v>
      </c>
      <c r="U876" s="3">
        <v>0</v>
      </c>
      <c r="V876" s="3">
        <v>0</v>
      </c>
      <c r="W876" s="3" t="s">
        <v>5219</v>
      </c>
      <c r="X876" s="3">
        <v>29.98</v>
      </c>
      <c r="Y876" s="3">
        <v>29.98</v>
      </c>
      <c r="Z876" s="3">
        <v>29.98</v>
      </c>
      <c r="AA876" s="3">
        <v>0</v>
      </c>
      <c r="AB876" s="3" t="s">
        <v>5228</v>
      </c>
      <c r="AC876" s="3">
        <v>0</v>
      </c>
      <c r="AD876" s="3">
        <v>23.98</v>
      </c>
      <c r="AE876" s="3">
        <v>63</v>
      </c>
      <c r="AF876" s="3">
        <v>0</v>
      </c>
      <c r="AG876" s="3">
        <v>110.573995</v>
      </c>
      <c r="AH876" s="3">
        <v>0</v>
      </c>
      <c r="AI876" s="3" t="s">
        <v>5501</v>
      </c>
      <c r="AJ876" s="3" t="s">
        <v>5222</v>
      </c>
    </row>
    <row r="877" spans="1:36">
      <c r="A877" s="5">
        <v>43288</v>
      </c>
      <c r="B877" s="3" t="s">
        <v>2602</v>
      </c>
      <c r="C877" s="3" t="s">
        <v>1100</v>
      </c>
      <c r="D877" s="3" t="s">
        <v>1100</v>
      </c>
      <c r="E877" s="3" t="s">
        <v>1101</v>
      </c>
      <c r="F877" s="3" t="s">
        <v>120</v>
      </c>
      <c r="G877" s="3">
        <v>31</v>
      </c>
      <c r="H877" s="3">
        <v>0</v>
      </c>
      <c r="I877" s="3">
        <v>23</v>
      </c>
      <c r="J877" s="3">
        <v>1</v>
      </c>
      <c r="K877" s="3">
        <v>7</v>
      </c>
      <c r="L877" s="3">
        <v>0</v>
      </c>
      <c r="M877" s="3">
        <v>0</v>
      </c>
      <c r="N877" s="3" t="s">
        <v>5218</v>
      </c>
      <c r="O877" s="3">
        <v>7</v>
      </c>
      <c r="P877" s="3">
        <v>11.79</v>
      </c>
      <c r="Q877" s="3">
        <v>0</v>
      </c>
      <c r="R877" s="3">
        <v>0</v>
      </c>
      <c r="S877" s="3">
        <v>0</v>
      </c>
      <c r="T877" s="3">
        <v>4</v>
      </c>
      <c r="U877" s="3">
        <v>9</v>
      </c>
      <c r="V877" s="3">
        <v>11</v>
      </c>
      <c r="W877" s="3"/>
      <c r="X877" s="3">
        <v>22.98</v>
      </c>
      <c r="Y877" s="3">
        <v>22.98</v>
      </c>
      <c r="Z877" s="3">
        <v>22.98</v>
      </c>
      <c r="AA877" s="3">
        <v>0</v>
      </c>
      <c r="AB877" s="3" t="s">
        <v>5228</v>
      </c>
      <c r="AC877" s="3">
        <v>2</v>
      </c>
      <c r="AD877" s="3">
        <v>13.08</v>
      </c>
      <c r="AE877" s="3">
        <v>203</v>
      </c>
      <c r="AF877" s="3">
        <v>0</v>
      </c>
      <c r="AG877" s="3">
        <v>516.795664</v>
      </c>
      <c r="AH877" s="3">
        <v>0.38095238095238</v>
      </c>
      <c r="AI877" s="3" t="s">
        <v>5238</v>
      </c>
      <c r="AJ877" s="3" t="s">
        <v>5222</v>
      </c>
    </row>
    <row r="878" spans="1:36">
      <c r="A878" s="5">
        <v>43288</v>
      </c>
      <c r="B878" s="3" t="s">
        <v>1474</v>
      </c>
      <c r="C878" s="3" t="s">
        <v>34</v>
      </c>
      <c r="D878" s="3" t="s">
        <v>34</v>
      </c>
      <c r="E878" s="3" t="s">
        <v>1475</v>
      </c>
      <c r="F878" s="3" t="s">
        <v>120</v>
      </c>
      <c r="G878" s="3">
        <v>3</v>
      </c>
      <c r="H878" s="3">
        <v>0</v>
      </c>
      <c r="I878" s="3">
        <v>3</v>
      </c>
      <c r="J878" s="3">
        <v>0</v>
      </c>
      <c r="K878" s="3">
        <v>0</v>
      </c>
      <c r="L878" s="3">
        <v>0</v>
      </c>
      <c r="M878" s="3">
        <v>0</v>
      </c>
      <c r="N878" s="3" t="s">
        <v>5218</v>
      </c>
      <c r="O878" s="3">
        <v>0</v>
      </c>
      <c r="P878" s="3">
        <v>0</v>
      </c>
      <c r="Q878" s="3">
        <v>0</v>
      </c>
      <c r="R878" s="3">
        <v>0</v>
      </c>
      <c r="S878" s="3">
        <v>0</v>
      </c>
      <c r="T878" s="3">
        <v>6</v>
      </c>
      <c r="U878" s="3">
        <v>9</v>
      </c>
      <c r="V878" s="3">
        <v>23</v>
      </c>
      <c r="W878" s="3"/>
      <c r="X878" s="3">
        <v>22.98</v>
      </c>
      <c r="Y878" s="3">
        <v>22.98</v>
      </c>
      <c r="Z878" s="3">
        <v>19.98</v>
      </c>
      <c r="AA878" s="3">
        <v>0</v>
      </c>
      <c r="AB878" s="3" t="s">
        <v>5223</v>
      </c>
      <c r="AC878" s="3">
        <v>3</v>
      </c>
      <c r="AD878" s="3">
        <v>22.98</v>
      </c>
      <c r="AE878" s="3">
        <v>0</v>
      </c>
      <c r="AF878" s="3">
        <v>0</v>
      </c>
      <c r="AG878" s="3">
        <v>0</v>
      </c>
      <c r="AH878" s="3">
        <v>2.42105263157894</v>
      </c>
      <c r="AI878" s="3" t="s">
        <v>5502</v>
      </c>
      <c r="AJ878" s="3" t="s">
        <v>5222</v>
      </c>
    </row>
    <row r="879" spans="1:36">
      <c r="A879" s="5">
        <v>43288</v>
      </c>
      <c r="B879" s="3" t="s">
        <v>507</v>
      </c>
      <c r="C879" s="3" t="s">
        <v>360</v>
      </c>
      <c r="D879" s="3" t="s">
        <v>360</v>
      </c>
      <c r="E879" s="3" t="s">
        <v>508</v>
      </c>
      <c r="F879" s="3" t="s">
        <v>120</v>
      </c>
      <c r="G879" s="3">
        <v>9</v>
      </c>
      <c r="H879" s="3">
        <v>0</v>
      </c>
      <c r="I879" s="3">
        <v>0</v>
      </c>
      <c r="J879" s="3">
        <v>9</v>
      </c>
      <c r="K879" s="3">
        <v>0</v>
      </c>
      <c r="L879" s="3">
        <v>0</v>
      </c>
      <c r="M879" s="3">
        <v>0</v>
      </c>
      <c r="N879" s="3" t="s">
        <v>5218</v>
      </c>
      <c r="O879" s="3">
        <v>9</v>
      </c>
      <c r="P879" s="3">
        <v>6.18</v>
      </c>
      <c r="Q879" s="3">
        <v>0</v>
      </c>
      <c r="R879" s="3">
        <v>0</v>
      </c>
      <c r="S879" s="3">
        <v>0</v>
      </c>
      <c r="T879" s="3">
        <v>1</v>
      </c>
      <c r="U879" s="3">
        <v>1</v>
      </c>
      <c r="V879" s="3">
        <v>1</v>
      </c>
      <c r="W879" s="3"/>
      <c r="X879" s="3">
        <v>26.98</v>
      </c>
      <c r="Y879" s="3">
        <v>26.98</v>
      </c>
      <c r="Z879" s="3">
        <v>26.98</v>
      </c>
      <c r="AA879" s="3">
        <v>0</v>
      </c>
      <c r="AB879" s="3" t="s">
        <v>5223</v>
      </c>
      <c r="AC879" s="3">
        <v>9</v>
      </c>
      <c r="AD879" s="3">
        <v>26.98</v>
      </c>
      <c r="AE879" s="3">
        <v>0</v>
      </c>
      <c r="AF879" s="3">
        <v>0</v>
      </c>
      <c r="AG879" s="3">
        <v>0</v>
      </c>
      <c r="AH879" s="3">
        <v>0.102564102564102</v>
      </c>
      <c r="AI879" s="3" t="s">
        <v>5224</v>
      </c>
      <c r="AJ879" s="3" t="s">
        <v>5222</v>
      </c>
    </row>
    <row r="880" spans="1:36">
      <c r="A880" s="5">
        <v>43288</v>
      </c>
      <c r="B880" s="3" t="s">
        <v>1995</v>
      </c>
      <c r="C880" s="3" t="s">
        <v>162</v>
      </c>
      <c r="D880" s="3" t="s">
        <v>162</v>
      </c>
      <c r="E880" s="3" t="s">
        <v>1996</v>
      </c>
      <c r="F880" s="3" t="s">
        <v>120</v>
      </c>
      <c r="G880" s="3">
        <v>53</v>
      </c>
      <c r="H880" s="3">
        <v>0</v>
      </c>
      <c r="I880" s="3">
        <v>1</v>
      </c>
      <c r="J880" s="3">
        <v>3</v>
      </c>
      <c r="K880" s="3">
        <v>49</v>
      </c>
      <c r="L880" s="3">
        <v>0</v>
      </c>
      <c r="M880" s="3">
        <v>0</v>
      </c>
      <c r="N880" s="3" t="s">
        <v>5218</v>
      </c>
      <c r="O880" s="3">
        <v>52</v>
      </c>
      <c r="P880" s="3">
        <v>97.27</v>
      </c>
      <c r="Q880" s="3">
        <v>0</v>
      </c>
      <c r="R880" s="3">
        <v>0</v>
      </c>
      <c r="S880" s="3">
        <v>0</v>
      </c>
      <c r="T880" s="3">
        <v>5</v>
      </c>
      <c r="U880" s="3">
        <v>6</v>
      </c>
      <c r="V880" s="3">
        <v>6</v>
      </c>
      <c r="W880" s="3"/>
      <c r="X880" s="3">
        <v>22.98</v>
      </c>
      <c r="Y880" s="3">
        <v>22.98</v>
      </c>
      <c r="Z880" s="3">
        <v>22.98</v>
      </c>
      <c r="AA880" s="3">
        <v>0</v>
      </c>
      <c r="AB880" s="3" t="s">
        <v>5228</v>
      </c>
      <c r="AC880" s="3">
        <v>9</v>
      </c>
      <c r="AD880" s="3">
        <v>18.29</v>
      </c>
      <c r="AE880" s="3">
        <v>217</v>
      </c>
      <c r="AF880" s="3">
        <v>0</v>
      </c>
      <c r="AG880" s="3">
        <v>141.601712</v>
      </c>
      <c r="AH880" s="3">
        <v>0.106194690265486</v>
      </c>
      <c r="AI880" s="3" t="s">
        <v>5270</v>
      </c>
      <c r="AJ880" s="3" t="s">
        <v>5222</v>
      </c>
    </row>
    <row r="881" spans="1:36">
      <c r="A881" s="5">
        <v>43288</v>
      </c>
      <c r="B881" s="3" t="s">
        <v>5109</v>
      </c>
      <c r="C881" s="3" t="s">
        <v>5110</v>
      </c>
      <c r="D881" s="3" t="s">
        <v>5110</v>
      </c>
      <c r="E881" s="3" t="s">
        <v>5111</v>
      </c>
      <c r="F881" s="3" t="s">
        <v>120</v>
      </c>
      <c r="G881" s="3">
        <v>10</v>
      </c>
      <c r="H881" s="3">
        <v>0</v>
      </c>
      <c r="I881" s="3">
        <v>0</v>
      </c>
      <c r="J881" s="3">
        <v>5</v>
      </c>
      <c r="K881" s="3">
        <v>5</v>
      </c>
      <c r="L881" s="3">
        <v>0</v>
      </c>
      <c r="M881" s="3">
        <v>0</v>
      </c>
      <c r="N881" s="3" t="s">
        <v>5218</v>
      </c>
      <c r="O881" s="3">
        <v>10</v>
      </c>
      <c r="P881" s="3">
        <v>30.04</v>
      </c>
      <c r="Q881" s="3">
        <v>0</v>
      </c>
      <c r="R881" s="3">
        <v>0</v>
      </c>
      <c r="S881" s="3">
        <v>0</v>
      </c>
      <c r="T881" s="3">
        <v>0</v>
      </c>
      <c r="U881" s="3">
        <v>0</v>
      </c>
      <c r="V881" s="3">
        <v>0</v>
      </c>
      <c r="W881" s="3" t="s">
        <v>5219</v>
      </c>
      <c r="X881" s="3">
        <v>29.98</v>
      </c>
      <c r="Y881" s="3">
        <v>29.98</v>
      </c>
      <c r="Z881" s="3">
        <v>29.98</v>
      </c>
      <c r="AA881" s="3">
        <v>0</v>
      </c>
      <c r="AB881" s="3" t="s">
        <v>5228</v>
      </c>
      <c r="AC881" s="3">
        <v>0</v>
      </c>
      <c r="AD881" s="3">
        <v>23.98</v>
      </c>
      <c r="AE881" s="3">
        <v>63</v>
      </c>
      <c r="AF881" s="3">
        <v>0</v>
      </c>
      <c r="AG881" s="3">
        <v>365.444475</v>
      </c>
      <c r="AH881" s="3">
        <v>0</v>
      </c>
      <c r="AI881" s="3" t="s">
        <v>5295</v>
      </c>
      <c r="AJ881" s="3" t="s">
        <v>5222</v>
      </c>
    </row>
    <row r="882" spans="1:36">
      <c r="A882" s="5">
        <v>43288</v>
      </c>
      <c r="B882" s="3" t="s">
        <v>4231</v>
      </c>
      <c r="C882" s="3" t="s">
        <v>4232</v>
      </c>
      <c r="D882" s="3" t="s">
        <v>4232</v>
      </c>
      <c r="E882" s="3" t="s">
        <v>4233</v>
      </c>
      <c r="F882" s="3" t="s">
        <v>120</v>
      </c>
      <c r="G882" s="3">
        <v>12</v>
      </c>
      <c r="H882" s="3">
        <v>0</v>
      </c>
      <c r="I882" s="3">
        <v>12</v>
      </c>
      <c r="J882" s="3">
        <v>0</v>
      </c>
      <c r="K882" s="3">
        <v>0</v>
      </c>
      <c r="L882" s="3">
        <v>0</v>
      </c>
      <c r="M882" s="3">
        <v>0</v>
      </c>
      <c r="N882" s="3" t="s">
        <v>5218</v>
      </c>
      <c r="O882" s="3">
        <v>0</v>
      </c>
      <c r="P882" s="3">
        <v>0</v>
      </c>
      <c r="Q882" s="3">
        <v>0</v>
      </c>
      <c r="R882" s="3">
        <v>0</v>
      </c>
      <c r="S882" s="3">
        <v>0</v>
      </c>
      <c r="T882" s="3">
        <v>3</v>
      </c>
      <c r="U882" s="3">
        <v>5</v>
      </c>
      <c r="V882" s="3">
        <v>14</v>
      </c>
      <c r="W882" s="3"/>
      <c r="X882" s="3">
        <v>22.98</v>
      </c>
      <c r="Y882" s="3">
        <v>22.98</v>
      </c>
      <c r="Z882" s="3">
        <v>22.98</v>
      </c>
      <c r="AA882" s="3">
        <v>0</v>
      </c>
      <c r="AB882" s="3" t="s">
        <v>5223</v>
      </c>
      <c r="AC882" s="3">
        <v>12</v>
      </c>
      <c r="AD882" s="3">
        <v>22.98</v>
      </c>
      <c r="AE882" s="3">
        <v>0</v>
      </c>
      <c r="AF882" s="3">
        <v>0</v>
      </c>
      <c r="AG882" s="3">
        <v>0</v>
      </c>
      <c r="AH882" s="3">
        <v>1.47368421052631</v>
      </c>
      <c r="AI882" s="3" t="s">
        <v>5226</v>
      </c>
      <c r="AJ882" s="3" t="s">
        <v>5222</v>
      </c>
    </row>
    <row r="883" spans="1:36">
      <c r="A883" s="5">
        <v>43288</v>
      </c>
      <c r="B883" s="3" t="s">
        <v>2343</v>
      </c>
      <c r="C883" s="3" t="s">
        <v>2344</v>
      </c>
      <c r="D883" s="3" t="s">
        <v>2344</v>
      </c>
      <c r="E883" s="3" t="s">
        <v>2345</v>
      </c>
      <c r="F883" s="3" t="s">
        <v>120</v>
      </c>
      <c r="G883" s="3">
        <v>9</v>
      </c>
      <c r="H883" s="3">
        <v>0</v>
      </c>
      <c r="I883" s="3">
        <v>2</v>
      </c>
      <c r="J883" s="3">
        <v>7</v>
      </c>
      <c r="K883" s="3">
        <v>0</v>
      </c>
      <c r="L883" s="3">
        <v>0</v>
      </c>
      <c r="M883" s="3">
        <v>0</v>
      </c>
      <c r="N883" s="3" t="s">
        <v>5218</v>
      </c>
      <c r="O883" s="3">
        <v>6</v>
      </c>
      <c r="P883" s="3">
        <v>14.4</v>
      </c>
      <c r="Q883" s="3">
        <v>0</v>
      </c>
      <c r="R883" s="3">
        <v>0</v>
      </c>
      <c r="S883" s="3">
        <v>0</v>
      </c>
      <c r="T883" s="3">
        <v>0</v>
      </c>
      <c r="U883" s="3">
        <v>0</v>
      </c>
      <c r="V883" s="3">
        <v>0</v>
      </c>
      <c r="W883" s="3" t="s">
        <v>5227</v>
      </c>
      <c r="X883" s="3">
        <v>22.98</v>
      </c>
      <c r="Y883" s="3">
        <v>22.98</v>
      </c>
      <c r="Z883" s="3">
        <v>22.98</v>
      </c>
      <c r="AA883" s="3">
        <v>0</v>
      </c>
      <c r="AB883" s="3" t="s">
        <v>5228</v>
      </c>
      <c r="AC883" s="3">
        <v>0</v>
      </c>
      <c r="AD883" s="3">
        <v>19.71</v>
      </c>
      <c r="AE883" s="3">
        <v>217</v>
      </c>
      <c r="AF883" s="3">
        <v>0</v>
      </c>
      <c r="AG883" s="3">
        <v>304.004547</v>
      </c>
      <c r="AH883" s="3">
        <v>0</v>
      </c>
      <c r="AI883" s="3" t="s">
        <v>5233</v>
      </c>
      <c r="AJ883" s="3" t="s">
        <v>5222</v>
      </c>
    </row>
    <row r="884" spans="1:36">
      <c r="A884" s="5">
        <v>43288</v>
      </c>
      <c r="B884" s="3" t="s">
        <v>1462</v>
      </c>
      <c r="C884" s="3" t="s">
        <v>22</v>
      </c>
      <c r="D884" s="3" t="s">
        <v>22</v>
      </c>
      <c r="E884" s="3" t="s">
        <v>1463</v>
      </c>
      <c r="F884" s="3" t="s">
        <v>120</v>
      </c>
      <c r="G884" s="3">
        <v>13</v>
      </c>
      <c r="H884" s="3">
        <v>0</v>
      </c>
      <c r="I884" s="3">
        <v>1</v>
      </c>
      <c r="J884" s="3">
        <v>1</v>
      </c>
      <c r="K884" s="3">
        <v>11</v>
      </c>
      <c r="L884" s="3">
        <v>0</v>
      </c>
      <c r="M884" s="3">
        <v>0</v>
      </c>
      <c r="N884" s="3" t="s">
        <v>5218</v>
      </c>
      <c r="O884" s="3">
        <v>11</v>
      </c>
      <c r="P884" s="3">
        <v>20.11</v>
      </c>
      <c r="Q884" s="3">
        <v>0</v>
      </c>
      <c r="R884" s="3">
        <v>0</v>
      </c>
      <c r="S884" s="3">
        <v>0</v>
      </c>
      <c r="T884" s="3">
        <v>5</v>
      </c>
      <c r="U884" s="3">
        <v>5</v>
      </c>
      <c r="V884" s="3">
        <v>7</v>
      </c>
      <c r="W884" s="3"/>
      <c r="X884" s="3">
        <v>22.98</v>
      </c>
      <c r="Y884" s="3">
        <v>22.98</v>
      </c>
      <c r="Z884" s="3">
        <v>19.98</v>
      </c>
      <c r="AA884" s="3">
        <v>0</v>
      </c>
      <c r="AB884" s="3" t="s">
        <v>5223</v>
      </c>
      <c r="AC884" s="3">
        <v>13</v>
      </c>
      <c r="AD884" s="3">
        <v>22.98</v>
      </c>
      <c r="AE884" s="3">
        <v>0</v>
      </c>
      <c r="AF884" s="3">
        <v>0</v>
      </c>
      <c r="AG884" s="3">
        <v>0</v>
      </c>
      <c r="AH884" s="3">
        <v>0.411764705882352</v>
      </c>
      <c r="AI884" s="3" t="s">
        <v>5311</v>
      </c>
      <c r="AJ884" s="3" t="s">
        <v>5222</v>
      </c>
    </row>
    <row r="885" spans="1:36">
      <c r="A885" s="5">
        <v>43288</v>
      </c>
      <c r="B885" s="3" t="s">
        <v>288</v>
      </c>
      <c r="C885" s="3" t="s">
        <v>289</v>
      </c>
      <c r="D885" s="3" t="s">
        <v>289</v>
      </c>
      <c r="E885" s="3" t="s">
        <v>290</v>
      </c>
      <c r="F885" s="3" t="s">
        <v>120</v>
      </c>
      <c r="G885" s="3">
        <v>1</v>
      </c>
      <c r="H885" s="3">
        <v>0</v>
      </c>
      <c r="I885" s="3">
        <v>0</v>
      </c>
      <c r="J885" s="3">
        <v>1</v>
      </c>
      <c r="K885" s="3">
        <v>0</v>
      </c>
      <c r="L885" s="3">
        <v>0</v>
      </c>
      <c r="M885" s="3">
        <v>0</v>
      </c>
      <c r="N885" s="3" t="s">
        <v>5218</v>
      </c>
      <c r="O885" s="3">
        <v>0</v>
      </c>
      <c r="P885" s="3">
        <v>0</v>
      </c>
      <c r="Q885" s="3">
        <v>0</v>
      </c>
      <c r="R885" s="3">
        <v>0</v>
      </c>
      <c r="S885" s="3">
        <v>0</v>
      </c>
      <c r="T885" s="3">
        <v>0</v>
      </c>
      <c r="U885" s="3">
        <v>0</v>
      </c>
      <c r="V885" s="3">
        <v>2</v>
      </c>
      <c r="W885" s="3" t="s">
        <v>5219</v>
      </c>
      <c r="X885" s="3">
        <v>64.98</v>
      </c>
      <c r="Y885" s="3">
        <v>64.98</v>
      </c>
      <c r="Z885" s="3">
        <v>64.98</v>
      </c>
      <c r="AA885" s="3">
        <v>0</v>
      </c>
      <c r="AB885" s="3" t="s">
        <v>5220</v>
      </c>
      <c r="AC885" s="3">
        <v>0</v>
      </c>
      <c r="AD885" s="3">
        <v>60.78</v>
      </c>
      <c r="AE885" s="3">
        <v>63</v>
      </c>
      <c r="AF885" s="3">
        <v>0</v>
      </c>
      <c r="AG885" s="3">
        <v>109.301354</v>
      </c>
      <c r="AH885" s="3">
        <v>1.33333333333333</v>
      </c>
      <c r="AI885" s="3" t="s">
        <v>5282</v>
      </c>
      <c r="AJ885" s="3" t="s">
        <v>5222</v>
      </c>
    </row>
    <row r="886" spans="1:36">
      <c r="A886" s="5">
        <v>43288</v>
      </c>
      <c r="B886" s="3" t="s">
        <v>498</v>
      </c>
      <c r="C886" s="3" t="s">
        <v>342</v>
      </c>
      <c r="D886" s="3" t="s">
        <v>342</v>
      </c>
      <c r="E886" s="3" t="s">
        <v>499</v>
      </c>
      <c r="F886" s="3" t="s">
        <v>120</v>
      </c>
      <c r="G886" s="3">
        <v>3</v>
      </c>
      <c r="H886" s="3">
        <v>0</v>
      </c>
      <c r="I886" s="3">
        <v>0</v>
      </c>
      <c r="J886" s="3">
        <v>3</v>
      </c>
      <c r="K886" s="3">
        <v>0</v>
      </c>
      <c r="L886" s="3">
        <v>0</v>
      </c>
      <c r="M886" s="3">
        <v>0</v>
      </c>
      <c r="N886" s="3" t="s">
        <v>5218</v>
      </c>
      <c r="O886" s="3">
        <v>3</v>
      </c>
      <c r="P886" s="3">
        <v>2.06</v>
      </c>
      <c r="Q886" s="3">
        <v>0</v>
      </c>
      <c r="R886" s="3">
        <v>0</v>
      </c>
      <c r="S886" s="3">
        <v>0</v>
      </c>
      <c r="T886" s="3">
        <v>2</v>
      </c>
      <c r="U886" s="3">
        <v>2</v>
      </c>
      <c r="V886" s="3">
        <v>2</v>
      </c>
      <c r="W886" s="3"/>
      <c r="X886" s="3">
        <v>26.98</v>
      </c>
      <c r="Y886" s="3">
        <v>26.98</v>
      </c>
      <c r="Z886" s="3">
        <v>26.98</v>
      </c>
      <c r="AA886" s="3">
        <v>0</v>
      </c>
      <c r="AB886" s="3" t="s">
        <v>5223</v>
      </c>
      <c r="AC886" s="3">
        <v>3</v>
      </c>
      <c r="AD886" s="3">
        <v>26.98</v>
      </c>
      <c r="AE886" s="3">
        <v>0</v>
      </c>
      <c r="AF886" s="3">
        <v>0</v>
      </c>
      <c r="AG886" s="3">
        <v>0</v>
      </c>
      <c r="AH886" s="3">
        <v>0.444444444444444</v>
      </c>
      <c r="AI886" s="3" t="s">
        <v>5224</v>
      </c>
      <c r="AJ886" s="3" t="s">
        <v>5222</v>
      </c>
    </row>
    <row r="887" spans="1:36">
      <c r="A887" s="5">
        <v>43288</v>
      </c>
      <c r="B887" s="3" t="s">
        <v>4629</v>
      </c>
      <c r="C887" s="3" t="s">
        <v>4630</v>
      </c>
      <c r="D887" s="3" t="s">
        <v>3314</v>
      </c>
      <c r="E887" s="3" t="s">
        <v>3315</v>
      </c>
      <c r="F887" s="3" t="s">
        <v>120</v>
      </c>
      <c r="G887" s="3">
        <v>2</v>
      </c>
      <c r="H887" s="3">
        <v>0</v>
      </c>
      <c r="I887" s="3">
        <v>2</v>
      </c>
      <c r="J887" s="3">
        <v>0</v>
      </c>
      <c r="K887" s="3">
        <v>0</v>
      </c>
      <c r="L887" s="3">
        <v>0</v>
      </c>
      <c r="M887" s="3">
        <v>0</v>
      </c>
      <c r="N887" s="3" t="s">
        <v>5218</v>
      </c>
      <c r="O887" s="3">
        <v>0</v>
      </c>
      <c r="P887" s="3">
        <v>0</v>
      </c>
      <c r="Q887" s="3">
        <v>0</v>
      </c>
      <c r="R887" s="3">
        <v>0</v>
      </c>
      <c r="S887" s="3">
        <v>0</v>
      </c>
      <c r="T887" s="3">
        <v>0</v>
      </c>
      <c r="U887" s="3">
        <v>0</v>
      </c>
      <c r="V887" s="3">
        <v>0</v>
      </c>
      <c r="W887" s="3" t="s">
        <v>5227</v>
      </c>
      <c r="X887" s="3">
        <v>22.98</v>
      </c>
      <c r="Y887" s="3">
        <v>22.98</v>
      </c>
      <c r="Z887" s="3">
        <v>22.98</v>
      </c>
      <c r="AA887" s="3">
        <v>0</v>
      </c>
      <c r="AB887" s="3" t="s">
        <v>5223</v>
      </c>
      <c r="AC887" s="3">
        <v>2</v>
      </c>
      <c r="AD887" s="3">
        <v>22.98</v>
      </c>
      <c r="AE887" s="3">
        <v>0</v>
      </c>
      <c r="AF887" s="3">
        <v>0</v>
      </c>
      <c r="AG887" s="3">
        <v>0</v>
      </c>
      <c r="AH887" s="3">
        <v>1.0625</v>
      </c>
      <c r="AI887" s="3" t="s">
        <v>5226</v>
      </c>
      <c r="AJ887" s="3" t="s">
        <v>5222</v>
      </c>
    </row>
    <row r="888" spans="1:36">
      <c r="A888" s="5">
        <v>43288</v>
      </c>
      <c r="B888" s="3" t="s">
        <v>1881</v>
      </c>
      <c r="C888" s="3" t="s">
        <v>1882</v>
      </c>
      <c r="D888" s="3" t="s">
        <v>1882</v>
      </c>
      <c r="E888" s="3" t="s">
        <v>1883</v>
      </c>
      <c r="F888" s="3" t="s">
        <v>120</v>
      </c>
      <c r="G888" s="3">
        <v>1</v>
      </c>
      <c r="H888" s="3">
        <v>0</v>
      </c>
      <c r="I888" s="3">
        <v>1</v>
      </c>
      <c r="J888" s="3">
        <v>0</v>
      </c>
      <c r="K888" s="3">
        <v>0</v>
      </c>
      <c r="L888" s="3">
        <v>0</v>
      </c>
      <c r="M888" s="3">
        <v>0</v>
      </c>
      <c r="N888" s="3" t="s">
        <v>5218</v>
      </c>
      <c r="O888" s="3">
        <v>0</v>
      </c>
      <c r="P888" s="3">
        <v>0</v>
      </c>
      <c r="Q888" s="3">
        <v>0</v>
      </c>
      <c r="R888" s="3">
        <v>0</v>
      </c>
      <c r="S888" s="3">
        <v>0</v>
      </c>
      <c r="T888" s="3">
        <v>24</v>
      </c>
      <c r="U888" s="3">
        <v>102</v>
      </c>
      <c r="V888" s="3">
        <v>126</v>
      </c>
      <c r="W888" s="3"/>
      <c r="X888" s="3"/>
      <c r="Y888" s="3"/>
      <c r="Z888" s="3">
        <v>-1</v>
      </c>
      <c r="AA888" s="3">
        <v>-1</v>
      </c>
      <c r="AB888" s="3" t="s">
        <v>5244</v>
      </c>
      <c r="AC888" s="3">
        <v>0</v>
      </c>
      <c r="AD888" s="3">
        <v>0</v>
      </c>
      <c r="AE888" s="3">
        <v>0</v>
      </c>
      <c r="AF888" s="3">
        <v>0</v>
      </c>
      <c r="AG888" s="3">
        <v>0</v>
      </c>
      <c r="AH888" s="3">
        <v>9.33333333333333</v>
      </c>
      <c r="AI888" s="3" t="s">
        <v>5236</v>
      </c>
      <c r="AJ888" s="3" t="s">
        <v>5222</v>
      </c>
    </row>
    <row r="889" spans="1:36">
      <c r="A889" s="5">
        <v>43288</v>
      </c>
      <c r="B889" s="3" t="s">
        <v>2970</v>
      </c>
      <c r="C889" s="3" t="s">
        <v>2971</v>
      </c>
      <c r="D889" s="3" t="s">
        <v>2971</v>
      </c>
      <c r="E889" s="3" t="s">
        <v>2972</v>
      </c>
      <c r="F889" s="3" t="s">
        <v>120</v>
      </c>
      <c r="G889" s="3">
        <v>81</v>
      </c>
      <c r="H889" s="3">
        <v>0</v>
      </c>
      <c r="I889" s="3">
        <v>16</v>
      </c>
      <c r="J889" s="3">
        <v>65</v>
      </c>
      <c r="K889" s="3">
        <v>0</v>
      </c>
      <c r="L889" s="3">
        <v>0</v>
      </c>
      <c r="M889" s="3">
        <v>0</v>
      </c>
      <c r="N889" s="3" t="s">
        <v>5218</v>
      </c>
      <c r="O889" s="3">
        <v>63</v>
      </c>
      <c r="P889" s="3">
        <v>99.9</v>
      </c>
      <c r="Q889" s="3">
        <v>0</v>
      </c>
      <c r="R889" s="3">
        <v>0</v>
      </c>
      <c r="S889" s="3">
        <v>2</v>
      </c>
      <c r="T889" s="3">
        <v>13</v>
      </c>
      <c r="U889" s="3">
        <v>31</v>
      </c>
      <c r="V889" s="3">
        <v>55</v>
      </c>
      <c r="W889" s="3"/>
      <c r="X889" s="3">
        <v>23.98</v>
      </c>
      <c r="Y889" s="3">
        <v>23.98</v>
      </c>
      <c r="Z889" s="3">
        <v>23.98</v>
      </c>
      <c r="AA889" s="3">
        <v>0</v>
      </c>
      <c r="AB889" s="3" t="s">
        <v>5228</v>
      </c>
      <c r="AC889" s="3">
        <v>69</v>
      </c>
      <c r="AD889" s="3">
        <v>21.73</v>
      </c>
      <c r="AE889" s="3">
        <v>35</v>
      </c>
      <c r="AF889" s="3">
        <v>0</v>
      </c>
      <c r="AG889" s="3">
        <v>9.632097</v>
      </c>
      <c r="AH889" s="3">
        <v>0.541871921182266</v>
      </c>
      <c r="AI889" s="3" t="s">
        <v>5503</v>
      </c>
      <c r="AJ889" s="3" t="s">
        <v>5222</v>
      </c>
    </row>
    <row r="890" spans="1:36">
      <c r="A890" s="5">
        <v>43288</v>
      </c>
      <c r="B890" s="3" t="s">
        <v>2994</v>
      </c>
      <c r="C890" s="3" t="s">
        <v>2995</v>
      </c>
      <c r="D890" s="3" t="s">
        <v>2995</v>
      </c>
      <c r="E890" s="3" t="s">
        <v>2996</v>
      </c>
      <c r="F890" s="3" t="s">
        <v>120</v>
      </c>
      <c r="G890" s="3">
        <v>15</v>
      </c>
      <c r="H890" s="3">
        <v>0</v>
      </c>
      <c r="I890" s="3">
        <v>2</v>
      </c>
      <c r="J890" s="3">
        <v>13</v>
      </c>
      <c r="K890" s="3">
        <v>0</v>
      </c>
      <c r="L890" s="3">
        <v>0</v>
      </c>
      <c r="M890" s="3">
        <v>0</v>
      </c>
      <c r="N890" s="3" t="s">
        <v>5218</v>
      </c>
      <c r="O890" s="3">
        <v>0</v>
      </c>
      <c r="P890" s="3">
        <v>0</v>
      </c>
      <c r="Q890" s="3">
        <v>0</v>
      </c>
      <c r="R890" s="3">
        <v>0</v>
      </c>
      <c r="S890" s="3">
        <v>1</v>
      </c>
      <c r="T890" s="3">
        <v>5</v>
      </c>
      <c r="U890" s="3">
        <v>17</v>
      </c>
      <c r="V890" s="3">
        <v>23</v>
      </c>
      <c r="W890" s="3"/>
      <c r="X890" s="3">
        <v>23.98</v>
      </c>
      <c r="Y890" s="3">
        <v>23.98</v>
      </c>
      <c r="Z890" s="3">
        <v>23.98</v>
      </c>
      <c r="AA890" s="3">
        <v>0</v>
      </c>
      <c r="AB890" s="3" t="s">
        <v>5223</v>
      </c>
      <c r="AC890" s="3">
        <v>16</v>
      </c>
      <c r="AD890" s="3">
        <v>23.98</v>
      </c>
      <c r="AE890" s="3">
        <v>0</v>
      </c>
      <c r="AF890" s="3">
        <v>0</v>
      </c>
      <c r="AG890" s="3">
        <v>0</v>
      </c>
      <c r="AH890" s="3">
        <v>0.929292929292929</v>
      </c>
      <c r="AI890" s="3" t="s">
        <v>5504</v>
      </c>
      <c r="AJ890" s="3" t="s">
        <v>5222</v>
      </c>
    </row>
    <row r="891" spans="1:36">
      <c r="A891" s="5">
        <v>43288</v>
      </c>
      <c r="B891" s="3" t="s">
        <v>4492</v>
      </c>
      <c r="C891" s="3" t="s">
        <v>3695</v>
      </c>
      <c r="D891" s="3" t="s">
        <v>3695</v>
      </c>
      <c r="E891" s="3" t="s">
        <v>3696</v>
      </c>
      <c r="F891" s="3" t="s">
        <v>120</v>
      </c>
      <c r="G891" s="3">
        <v>1</v>
      </c>
      <c r="H891" s="3">
        <v>0</v>
      </c>
      <c r="I891" s="3">
        <v>0</v>
      </c>
      <c r="J891" s="3">
        <v>1</v>
      </c>
      <c r="K891" s="3">
        <v>0</v>
      </c>
      <c r="L891" s="3">
        <v>0</v>
      </c>
      <c r="M891" s="3">
        <v>0</v>
      </c>
      <c r="N891" s="3" t="s">
        <v>5218</v>
      </c>
      <c r="O891" s="3">
        <v>0</v>
      </c>
      <c r="P891" s="3">
        <v>0</v>
      </c>
      <c r="Q891" s="3">
        <v>0</v>
      </c>
      <c r="R891" s="3">
        <v>0</v>
      </c>
      <c r="S891" s="3">
        <v>0</v>
      </c>
      <c r="T891" s="3">
        <v>0</v>
      </c>
      <c r="U891" s="3">
        <v>1</v>
      </c>
      <c r="V891" s="3">
        <v>1</v>
      </c>
      <c r="W891" s="3" t="s">
        <v>5219</v>
      </c>
      <c r="X891" s="3">
        <v>22.98</v>
      </c>
      <c r="Y891" s="3">
        <v>22.98</v>
      </c>
      <c r="Z891" s="3">
        <v>22.98</v>
      </c>
      <c r="AA891" s="3">
        <v>0</v>
      </c>
      <c r="AB891" s="3" t="s">
        <v>5220</v>
      </c>
      <c r="AC891" s="3">
        <v>1</v>
      </c>
      <c r="AD891" s="3">
        <v>22.98</v>
      </c>
      <c r="AE891" s="3">
        <v>0</v>
      </c>
      <c r="AF891" s="3">
        <v>0</v>
      </c>
      <c r="AG891" s="3">
        <v>0</v>
      </c>
      <c r="AH891" s="3">
        <v>0.666666666666666</v>
      </c>
      <c r="AI891" s="3" t="s">
        <v>5285</v>
      </c>
      <c r="AJ891" s="3" t="s">
        <v>5222</v>
      </c>
    </row>
    <row r="892" spans="1:36">
      <c r="A892" s="5">
        <v>43288</v>
      </c>
      <c r="B892" s="3" t="s">
        <v>5093</v>
      </c>
      <c r="C892" s="3" t="s">
        <v>4813</v>
      </c>
      <c r="D892" s="3" t="s">
        <v>4813</v>
      </c>
      <c r="E892" s="3" t="s">
        <v>4940</v>
      </c>
      <c r="F892" s="3" t="s">
        <v>120</v>
      </c>
      <c r="G892" s="3">
        <v>5</v>
      </c>
      <c r="H892" s="3">
        <v>0</v>
      </c>
      <c r="I892" s="3">
        <v>5</v>
      </c>
      <c r="J892" s="3">
        <v>0</v>
      </c>
      <c r="K892" s="3">
        <v>0</v>
      </c>
      <c r="L892" s="3">
        <v>0</v>
      </c>
      <c r="M892" s="3">
        <v>0</v>
      </c>
      <c r="N892" s="3" t="s">
        <v>5218</v>
      </c>
      <c r="O892" s="3">
        <v>0</v>
      </c>
      <c r="P892" s="3">
        <v>0</v>
      </c>
      <c r="Q892" s="3">
        <v>0</v>
      </c>
      <c r="R892" s="3">
        <v>0</v>
      </c>
      <c r="S892" s="3">
        <v>1</v>
      </c>
      <c r="T892" s="3">
        <v>5</v>
      </c>
      <c r="U892" s="3">
        <v>6</v>
      </c>
      <c r="V892" s="3">
        <v>10</v>
      </c>
      <c r="W892" s="3"/>
      <c r="X892" s="3">
        <v>22.98</v>
      </c>
      <c r="Y892" s="3">
        <v>22.98</v>
      </c>
      <c r="Z892" s="3">
        <v>22.98</v>
      </c>
      <c r="AA892" s="3">
        <v>0</v>
      </c>
      <c r="AB892" s="3" t="s">
        <v>5223</v>
      </c>
      <c r="AC892" s="3">
        <v>5</v>
      </c>
      <c r="AD892" s="3">
        <v>22.98</v>
      </c>
      <c r="AE892" s="3">
        <v>0</v>
      </c>
      <c r="AF892" s="3">
        <v>0</v>
      </c>
      <c r="AG892" s="3">
        <v>0</v>
      </c>
      <c r="AH892" s="3">
        <v>1.53846153846153</v>
      </c>
      <c r="AI892" s="3" t="s">
        <v>5261</v>
      </c>
      <c r="AJ892" s="3" t="s">
        <v>5222</v>
      </c>
    </row>
    <row r="893" spans="1:36">
      <c r="A893" s="5">
        <v>43288</v>
      </c>
      <c r="B893" s="3" t="s">
        <v>4377</v>
      </c>
      <c r="C893" s="3" t="s">
        <v>3362</v>
      </c>
      <c r="D893" s="3" t="s">
        <v>3362</v>
      </c>
      <c r="E893" s="3" t="s">
        <v>3363</v>
      </c>
      <c r="F893" s="3" t="s">
        <v>120</v>
      </c>
      <c r="G893" s="3">
        <v>17</v>
      </c>
      <c r="H893" s="3">
        <v>0</v>
      </c>
      <c r="I893" s="3">
        <v>1</v>
      </c>
      <c r="J893" s="3">
        <v>2</v>
      </c>
      <c r="K893" s="3">
        <v>14</v>
      </c>
      <c r="L893" s="3">
        <v>0</v>
      </c>
      <c r="M893" s="3">
        <v>0</v>
      </c>
      <c r="N893" s="3" t="s">
        <v>5218</v>
      </c>
      <c r="O893" s="3">
        <v>16</v>
      </c>
      <c r="P893" s="3">
        <v>21.16</v>
      </c>
      <c r="Q893" s="3">
        <v>0</v>
      </c>
      <c r="R893" s="3">
        <v>0</v>
      </c>
      <c r="S893" s="3">
        <v>0</v>
      </c>
      <c r="T893" s="3">
        <v>1</v>
      </c>
      <c r="U893" s="3">
        <v>2</v>
      </c>
      <c r="V893" s="3">
        <v>3</v>
      </c>
      <c r="W893" s="3"/>
      <c r="X893" s="3">
        <v>22.98</v>
      </c>
      <c r="Y893" s="3">
        <v>22.98</v>
      </c>
      <c r="Z893" s="3">
        <v>22.98</v>
      </c>
      <c r="AA893" s="3">
        <v>0</v>
      </c>
      <c r="AB893" s="3" t="s">
        <v>5228</v>
      </c>
      <c r="AC893" s="3">
        <v>0</v>
      </c>
      <c r="AD893" s="3">
        <v>18.79</v>
      </c>
      <c r="AE893" s="3">
        <v>259</v>
      </c>
      <c r="AF893" s="3">
        <v>0</v>
      </c>
      <c r="AG893" s="3">
        <v>388.029601</v>
      </c>
      <c r="AH893" s="3">
        <v>0.166666666666666</v>
      </c>
      <c r="AI893" s="3" t="s">
        <v>5239</v>
      </c>
      <c r="AJ893" s="3" t="s">
        <v>5222</v>
      </c>
    </row>
    <row r="894" spans="1:36">
      <c r="A894" s="5">
        <v>43288</v>
      </c>
      <c r="B894" s="3" t="s">
        <v>2723</v>
      </c>
      <c r="C894" s="3" t="s">
        <v>387</v>
      </c>
      <c r="D894" s="3" t="s">
        <v>387</v>
      </c>
      <c r="E894" s="3" t="s">
        <v>388</v>
      </c>
      <c r="F894" s="3" t="s">
        <v>120</v>
      </c>
      <c r="G894" s="3">
        <v>1</v>
      </c>
      <c r="H894" s="3">
        <v>0</v>
      </c>
      <c r="I894" s="3">
        <v>1</v>
      </c>
      <c r="J894" s="3">
        <v>0</v>
      </c>
      <c r="K894" s="3">
        <v>0</v>
      </c>
      <c r="L894" s="3">
        <v>0</v>
      </c>
      <c r="M894" s="3">
        <v>0</v>
      </c>
      <c r="N894" s="3" t="s">
        <v>5218</v>
      </c>
      <c r="O894" s="3">
        <v>0</v>
      </c>
      <c r="P894" s="3">
        <v>0</v>
      </c>
      <c r="Q894" s="3">
        <v>0</v>
      </c>
      <c r="R894" s="3">
        <v>0</v>
      </c>
      <c r="S894" s="3">
        <v>1</v>
      </c>
      <c r="T894" s="3">
        <v>18</v>
      </c>
      <c r="U894" s="3">
        <v>37</v>
      </c>
      <c r="V894" s="3">
        <v>38</v>
      </c>
      <c r="W894" s="3"/>
      <c r="X894" s="3">
        <v>24.98</v>
      </c>
      <c r="Y894" s="3">
        <v>22.98</v>
      </c>
      <c r="Z894" s="3">
        <v>22.98</v>
      </c>
      <c r="AA894" s="3">
        <v>0</v>
      </c>
      <c r="AB894" s="3" t="s">
        <v>5223</v>
      </c>
      <c r="AC894" s="3">
        <v>0</v>
      </c>
      <c r="AD894" s="3">
        <v>0</v>
      </c>
      <c r="AE894" s="3">
        <v>0</v>
      </c>
      <c r="AF894" s="3">
        <v>0</v>
      </c>
      <c r="AG894" s="3">
        <v>0</v>
      </c>
      <c r="AH894" s="3">
        <v>6.08</v>
      </c>
      <c r="AI894" s="3" t="s">
        <v>5257</v>
      </c>
      <c r="AJ894" s="3" t="s">
        <v>5222</v>
      </c>
    </row>
    <row r="895" spans="1:36">
      <c r="A895" s="5">
        <v>43288</v>
      </c>
      <c r="B895" s="3" t="s">
        <v>1394</v>
      </c>
      <c r="C895" s="3" t="s">
        <v>1395</v>
      </c>
      <c r="D895" s="3" t="s">
        <v>1396</v>
      </c>
      <c r="E895" s="3" t="s">
        <v>1397</v>
      </c>
      <c r="F895" s="3" t="s">
        <v>120</v>
      </c>
      <c r="G895" s="3">
        <v>92</v>
      </c>
      <c r="H895" s="3">
        <v>0</v>
      </c>
      <c r="I895" s="3">
        <v>92</v>
      </c>
      <c r="J895" s="3">
        <v>0</v>
      </c>
      <c r="K895" s="3">
        <v>0</v>
      </c>
      <c r="L895" s="3">
        <v>0</v>
      </c>
      <c r="M895" s="3">
        <v>0</v>
      </c>
      <c r="N895" s="3" t="s">
        <v>5218</v>
      </c>
      <c r="O895" s="3">
        <v>0</v>
      </c>
      <c r="P895" s="3">
        <v>0</v>
      </c>
      <c r="Q895" s="3">
        <v>0</v>
      </c>
      <c r="R895" s="3">
        <v>0</v>
      </c>
      <c r="S895" s="3">
        <v>2</v>
      </c>
      <c r="T895" s="3">
        <v>2</v>
      </c>
      <c r="U895" s="3">
        <v>2</v>
      </c>
      <c r="V895" s="3">
        <v>2</v>
      </c>
      <c r="W895" s="3"/>
      <c r="X895" s="3">
        <v>23.98</v>
      </c>
      <c r="Y895" s="3">
        <v>23.98</v>
      </c>
      <c r="Z895" s="3">
        <v>22.98</v>
      </c>
      <c r="AA895" s="3">
        <v>0</v>
      </c>
      <c r="AB895" s="3" t="s">
        <v>5223</v>
      </c>
      <c r="AC895" s="3">
        <v>0</v>
      </c>
      <c r="AD895" s="3">
        <v>0</v>
      </c>
      <c r="AE895" s="3">
        <v>0</v>
      </c>
      <c r="AF895" s="3">
        <v>0</v>
      </c>
      <c r="AG895" s="3">
        <v>0</v>
      </c>
      <c r="AH895" s="3">
        <v>6.88888888888888</v>
      </c>
      <c r="AI895" s="3" t="s">
        <v>5236</v>
      </c>
      <c r="AJ895" s="3" t="s">
        <v>5222</v>
      </c>
    </row>
    <row r="896" spans="1:36">
      <c r="A896" s="5">
        <v>43288</v>
      </c>
      <c r="B896" s="3" t="s">
        <v>2676</v>
      </c>
      <c r="C896" s="3" t="s">
        <v>2677</v>
      </c>
      <c r="D896" s="3" t="s">
        <v>2677</v>
      </c>
      <c r="E896" s="3" t="s">
        <v>2678</v>
      </c>
      <c r="F896" s="3" t="s">
        <v>120</v>
      </c>
      <c r="G896" s="3">
        <v>10</v>
      </c>
      <c r="H896" s="3">
        <v>0</v>
      </c>
      <c r="I896" s="3">
        <v>0</v>
      </c>
      <c r="J896" s="3">
        <v>1</v>
      </c>
      <c r="K896" s="3">
        <v>9</v>
      </c>
      <c r="L896" s="3">
        <v>0</v>
      </c>
      <c r="M896" s="3">
        <v>0</v>
      </c>
      <c r="N896" s="3" t="s">
        <v>5218</v>
      </c>
      <c r="O896" s="3">
        <v>9</v>
      </c>
      <c r="P896" s="3">
        <v>23.36</v>
      </c>
      <c r="Q896" s="3">
        <v>0</v>
      </c>
      <c r="R896" s="3">
        <v>0</v>
      </c>
      <c r="S896" s="3">
        <v>1</v>
      </c>
      <c r="T896" s="3">
        <v>5</v>
      </c>
      <c r="U896" s="3">
        <v>6</v>
      </c>
      <c r="V896" s="3">
        <v>6</v>
      </c>
      <c r="W896" s="3"/>
      <c r="X896" s="3">
        <v>21.5</v>
      </c>
      <c r="Y896" s="3">
        <v>21.5</v>
      </c>
      <c r="Z896" s="3">
        <v>21.5</v>
      </c>
      <c r="AA896" s="3">
        <v>0</v>
      </c>
      <c r="AB896" s="3" t="s">
        <v>5228</v>
      </c>
      <c r="AC896" s="3">
        <v>5</v>
      </c>
      <c r="AD896" s="3">
        <v>19</v>
      </c>
      <c r="AE896" s="3">
        <v>35</v>
      </c>
      <c r="AF896" s="3">
        <v>0</v>
      </c>
      <c r="AG896" s="3">
        <v>2.02076</v>
      </c>
      <c r="AH896" s="3">
        <v>0.421052631578947</v>
      </c>
      <c r="AI896" s="3" t="s">
        <v>5505</v>
      </c>
      <c r="AJ896" s="3" t="s">
        <v>5222</v>
      </c>
    </row>
    <row r="897" spans="1:36">
      <c r="A897" s="5">
        <v>43288</v>
      </c>
      <c r="B897" s="3" t="s">
        <v>4339</v>
      </c>
      <c r="C897" s="3" t="s">
        <v>4340</v>
      </c>
      <c r="D897" s="3" t="s">
        <v>4340</v>
      </c>
      <c r="E897" s="3" t="s">
        <v>4341</v>
      </c>
      <c r="F897" s="3" t="s">
        <v>120</v>
      </c>
      <c r="G897" s="3">
        <v>17</v>
      </c>
      <c r="H897" s="3">
        <v>0</v>
      </c>
      <c r="I897" s="3">
        <v>17</v>
      </c>
      <c r="J897" s="3">
        <v>0</v>
      </c>
      <c r="K897" s="3">
        <v>0</v>
      </c>
      <c r="L897" s="3">
        <v>0</v>
      </c>
      <c r="M897" s="3">
        <v>0</v>
      </c>
      <c r="N897" s="3" t="s">
        <v>5218</v>
      </c>
      <c r="O897" s="3">
        <v>0</v>
      </c>
      <c r="P897" s="3">
        <v>0</v>
      </c>
      <c r="Q897" s="3">
        <v>0</v>
      </c>
      <c r="R897" s="3">
        <v>0</v>
      </c>
      <c r="S897" s="3">
        <v>5</v>
      </c>
      <c r="T897" s="3">
        <v>5</v>
      </c>
      <c r="U897" s="3">
        <v>10</v>
      </c>
      <c r="V897" s="3">
        <v>14</v>
      </c>
      <c r="W897" s="3"/>
      <c r="X897" s="3">
        <v>23.98</v>
      </c>
      <c r="Y897" s="3">
        <v>23.98</v>
      </c>
      <c r="Z897" s="3">
        <v>23.98</v>
      </c>
      <c r="AA897" s="3">
        <v>0</v>
      </c>
      <c r="AB897" s="3" t="s">
        <v>5228</v>
      </c>
      <c r="AC897" s="3">
        <v>4</v>
      </c>
      <c r="AD897" s="3">
        <v>21.99</v>
      </c>
      <c r="AE897" s="3">
        <v>154</v>
      </c>
      <c r="AF897" s="3">
        <v>0</v>
      </c>
      <c r="AG897" s="3">
        <v>552.107104</v>
      </c>
      <c r="AH897" s="3">
        <v>1.0566037735849</v>
      </c>
      <c r="AI897" s="3" t="s">
        <v>5506</v>
      </c>
      <c r="AJ897" s="3" t="s">
        <v>5222</v>
      </c>
    </row>
    <row r="898" spans="1:36">
      <c r="A898" s="5">
        <v>43288</v>
      </c>
      <c r="B898" s="3" t="s">
        <v>4564</v>
      </c>
      <c r="C898" s="3" t="s">
        <v>3979</v>
      </c>
      <c r="D898" s="3" t="s">
        <v>3979</v>
      </c>
      <c r="E898" s="3" t="s">
        <v>3980</v>
      </c>
      <c r="F898" s="3" t="s">
        <v>120</v>
      </c>
      <c r="G898" s="3">
        <v>5</v>
      </c>
      <c r="H898" s="3">
        <v>0</v>
      </c>
      <c r="I898" s="3">
        <v>5</v>
      </c>
      <c r="J898" s="3">
        <v>0</v>
      </c>
      <c r="K898" s="3">
        <v>0</v>
      </c>
      <c r="L898" s="3">
        <v>0</v>
      </c>
      <c r="M898" s="3">
        <v>0</v>
      </c>
      <c r="N898" s="3" t="s">
        <v>5218</v>
      </c>
      <c r="O898" s="3">
        <v>0</v>
      </c>
      <c r="P898" s="3">
        <v>0</v>
      </c>
      <c r="Q898" s="3">
        <v>0</v>
      </c>
      <c r="R898" s="3">
        <v>0</v>
      </c>
      <c r="S898" s="3">
        <v>2</v>
      </c>
      <c r="T898" s="3">
        <v>2</v>
      </c>
      <c r="U898" s="3">
        <v>3</v>
      </c>
      <c r="V898" s="3">
        <v>5</v>
      </c>
      <c r="W898" s="3"/>
      <c r="X898" s="3">
        <v>20.98</v>
      </c>
      <c r="Y898" s="3">
        <v>20.98</v>
      </c>
      <c r="Z898" s="3">
        <v>20.98</v>
      </c>
      <c r="AA898" s="3">
        <v>0</v>
      </c>
      <c r="AB898" s="3" t="s">
        <v>5228</v>
      </c>
      <c r="AC898" s="3">
        <v>0</v>
      </c>
      <c r="AD898" s="3">
        <v>19.32</v>
      </c>
      <c r="AE898" s="3">
        <v>168</v>
      </c>
      <c r="AF898" s="3">
        <v>0</v>
      </c>
      <c r="AG898" s="3">
        <v>112.204979</v>
      </c>
      <c r="AH898" s="3">
        <v>1.66666666666666</v>
      </c>
      <c r="AI898" s="3" t="s">
        <v>5226</v>
      </c>
      <c r="AJ898" s="3" t="s">
        <v>5222</v>
      </c>
    </row>
    <row r="899" spans="1:36">
      <c r="A899" s="5">
        <v>43288</v>
      </c>
      <c r="B899" s="3" t="s">
        <v>1286</v>
      </c>
      <c r="C899" s="3" t="s">
        <v>1287</v>
      </c>
      <c r="D899" s="3" t="s">
        <v>579</v>
      </c>
      <c r="E899" s="3" t="s">
        <v>819</v>
      </c>
      <c r="F899" s="3" t="s">
        <v>120</v>
      </c>
      <c r="G899" s="3">
        <v>2</v>
      </c>
      <c r="H899" s="3">
        <v>0</v>
      </c>
      <c r="I899" s="3">
        <v>2</v>
      </c>
      <c r="J899" s="3">
        <v>0</v>
      </c>
      <c r="K899" s="3">
        <v>0</v>
      </c>
      <c r="L899" s="3">
        <v>0</v>
      </c>
      <c r="M899" s="3">
        <v>0</v>
      </c>
      <c r="N899" s="3" t="s">
        <v>5218</v>
      </c>
      <c r="O899" s="3">
        <v>0</v>
      </c>
      <c r="P899" s="3">
        <v>0</v>
      </c>
      <c r="Q899" s="3">
        <v>0</v>
      </c>
      <c r="R899" s="3">
        <v>0</v>
      </c>
      <c r="S899" s="3">
        <v>0</v>
      </c>
      <c r="T899" s="3">
        <v>1</v>
      </c>
      <c r="U899" s="3">
        <v>1</v>
      </c>
      <c r="V899" s="3">
        <v>1</v>
      </c>
      <c r="W899" s="3"/>
      <c r="X899" s="3">
        <v>22.98</v>
      </c>
      <c r="Y899" s="3">
        <v>22.98</v>
      </c>
      <c r="Z899" s="3">
        <v>22.98</v>
      </c>
      <c r="AA899" s="3">
        <v>0</v>
      </c>
      <c r="AB899" s="3" t="s">
        <v>5223</v>
      </c>
      <c r="AC899" s="3">
        <v>2</v>
      </c>
      <c r="AD899" s="3">
        <v>22.98</v>
      </c>
      <c r="AE899" s="3">
        <v>0</v>
      </c>
      <c r="AF899" s="3">
        <v>0</v>
      </c>
      <c r="AG899" s="3">
        <v>0</v>
      </c>
      <c r="AH899" s="3">
        <v>0.857142857142857</v>
      </c>
      <c r="AI899" s="3" t="s">
        <v>5225</v>
      </c>
      <c r="AJ899" s="3" t="s">
        <v>5222</v>
      </c>
    </row>
    <row r="900" spans="1:36">
      <c r="A900" s="5">
        <v>43288</v>
      </c>
      <c r="B900" s="3" t="s">
        <v>3099</v>
      </c>
      <c r="C900" s="3" t="s">
        <v>3100</v>
      </c>
      <c r="D900" s="3" t="s">
        <v>3100</v>
      </c>
      <c r="E900" s="3" t="s">
        <v>3101</v>
      </c>
      <c r="F900" s="3" t="s">
        <v>120</v>
      </c>
      <c r="G900" s="3">
        <v>3</v>
      </c>
      <c r="H900" s="3">
        <v>0</v>
      </c>
      <c r="I900" s="3">
        <v>1</v>
      </c>
      <c r="J900" s="3">
        <v>0</v>
      </c>
      <c r="K900" s="3">
        <v>0</v>
      </c>
      <c r="L900" s="3">
        <v>2</v>
      </c>
      <c r="M900" s="3">
        <v>0</v>
      </c>
      <c r="N900" s="3" t="s">
        <v>5218</v>
      </c>
      <c r="O900" s="3">
        <v>2</v>
      </c>
      <c r="P900" s="3">
        <v>3.06</v>
      </c>
      <c r="Q900" s="3">
        <v>0</v>
      </c>
      <c r="R900" s="3">
        <v>0</v>
      </c>
      <c r="S900" s="3">
        <v>0</v>
      </c>
      <c r="T900" s="3">
        <v>0</v>
      </c>
      <c r="U900" s="3">
        <v>1</v>
      </c>
      <c r="V900" s="3">
        <v>1</v>
      </c>
      <c r="W900" s="3" t="s">
        <v>5227</v>
      </c>
      <c r="X900" s="3">
        <v>10</v>
      </c>
      <c r="Y900" s="3">
        <v>10</v>
      </c>
      <c r="Z900" s="3">
        <v>10</v>
      </c>
      <c r="AA900" s="3">
        <v>0</v>
      </c>
      <c r="AB900" s="3" t="s">
        <v>5228</v>
      </c>
      <c r="AC900" s="3">
        <v>0</v>
      </c>
      <c r="AD900" s="3">
        <v>9.2</v>
      </c>
      <c r="AE900" s="3">
        <v>35</v>
      </c>
      <c r="AF900" s="3">
        <v>0</v>
      </c>
      <c r="AG900" s="3">
        <v>60.773219</v>
      </c>
      <c r="AH900" s="3">
        <v>0.363636363636363</v>
      </c>
      <c r="AI900" s="3" t="s">
        <v>5350</v>
      </c>
      <c r="AJ900" s="3" t="s">
        <v>5222</v>
      </c>
    </row>
    <row r="901" spans="1:36">
      <c r="A901" s="5">
        <v>43288</v>
      </c>
      <c r="B901" s="3" t="s">
        <v>2664</v>
      </c>
      <c r="C901" s="3" t="s">
        <v>2665</v>
      </c>
      <c r="D901" s="3" t="s">
        <v>2665</v>
      </c>
      <c r="E901" s="3" t="s">
        <v>2666</v>
      </c>
      <c r="F901" s="3" t="s">
        <v>120</v>
      </c>
      <c r="G901" s="3">
        <v>9</v>
      </c>
      <c r="H901" s="3">
        <v>0</v>
      </c>
      <c r="I901" s="3">
        <v>0</v>
      </c>
      <c r="J901" s="3">
        <v>0</v>
      </c>
      <c r="K901" s="3">
        <v>9</v>
      </c>
      <c r="L901" s="3">
        <v>0</v>
      </c>
      <c r="M901" s="3">
        <v>0</v>
      </c>
      <c r="N901" s="3" t="s">
        <v>5218</v>
      </c>
      <c r="O901" s="3">
        <v>9</v>
      </c>
      <c r="P901" s="3">
        <v>21.62</v>
      </c>
      <c r="Q901" s="3">
        <v>0</v>
      </c>
      <c r="R901" s="3">
        <v>0</v>
      </c>
      <c r="S901" s="3">
        <v>0</v>
      </c>
      <c r="T901" s="3">
        <v>0</v>
      </c>
      <c r="U901" s="3">
        <v>1</v>
      </c>
      <c r="V901" s="3">
        <v>3</v>
      </c>
      <c r="W901" s="3" t="s">
        <v>5227</v>
      </c>
      <c r="X901" s="3">
        <v>26.98</v>
      </c>
      <c r="Y901" s="3">
        <v>26.98</v>
      </c>
      <c r="Z901" s="3">
        <v>26.98</v>
      </c>
      <c r="AA901" s="3">
        <v>0</v>
      </c>
      <c r="AB901" s="3" t="s">
        <v>5228</v>
      </c>
      <c r="AC901" s="3">
        <v>0</v>
      </c>
      <c r="AD901" s="3">
        <v>23.65</v>
      </c>
      <c r="AE901" s="3">
        <v>154</v>
      </c>
      <c r="AF901" s="3">
        <v>0</v>
      </c>
      <c r="AG901" s="3">
        <v>333.749541</v>
      </c>
      <c r="AH901" s="3">
        <v>0.3</v>
      </c>
      <c r="AI901" s="3" t="s">
        <v>5237</v>
      </c>
      <c r="AJ901" s="3" t="s">
        <v>5222</v>
      </c>
    </row>
    <row r="902" spans="1:36">
      <c r="A902" s="5">
        <v>43288</v>
      </c>
      <c r="B902" s="3" t="s">
        <v>428</v>
      </c>
      <c r="C902" s="3" t="s">
        <v>429</v>
      </c>
      <c r="D902" s="3" t="s">
        <v>430</v>
      </c>
      <c r="E902" s="3" t="s">
        <v>431</v>
      </c>
      <c r="F902" s="3" t="s">
        <v>120</v>
      </c>
      <c r="G902" s="3">
        <v>22</v>
      </c>
      <c r="H902" s="3">
        <v>0</v>
      </c>
      <c r="I902" s="3">
        <v>22</v>
      </c>
      <c r="J902" s="3">
        <v>0</v>
      </c>
      <c r="K902" s="3">
        <v>0</v>
      </c>
      <c r="L902" s="3">
        <v>0</v>
      </c>
      <c r="M902" s="3">
        <v>0</v>
      </c>
      <c r="N902" s="3" t="s">
        <v>5218</v>
      </c>
      <c r="O902" s="3">
        <v>0</v>
      </c>
      <c r="P902" s="3">
        <v>0</v>
      </c>
      <c r="Q902" s="3">
        <v>0</v>
      </c>
      <c r="R902" s="3">
        <v>0</v>
      </c>
      <c r="S902" s="3">
        <v>0</v>
      </c>
      <c r="T902" s="3">
        <v>0</v>
      </c>
      <c r="U902" s="3">
        <v>0</v>
      </c>
      <c r="V902" s="3">
        <v>0</v>
      </c>
      <c r="W902" s="3" t="s">
        <v>5227</v>
      </c>
      <c r="X902" s="3">
        <v>22.98</v>
      </c>
      <c r="Y902" s="3">
        <v>22.98</v>
      </c>
      <c r="Z902" s="3">
        <v>22.98</v>
      </c>
      <c r="AA902" s="3">
        <v>0</v>
      </c>
      <c r="AB902" s="3" t="s">
        <v>5223</v>
      </c>
      <c r="AC902" s="3">
        <v>22</v>
      </c>
      <c r="AD902" s="3">
        <v>22.98</v>
      </c>
      <c r="AE902" s="3">
        <v>0</v>
      </c>
      <c r="AF902" s="3">
        <v>0</v>
      </c>
      <c r="AG902" s="3">
        <v>0</v>
      </c>
      <c r="AH902" s="3">
        <v>2.82926829268292</v>
      </c>
      <c r="AI902" s="3" t="s">
        <v>5257</v>
      </c>
      <c r="AJ902" s="3" t="s">
        <v>5222</v>
      </c>
    </row>
    <row r="903" spans="1:36">
      <c r="A903" s="5">
        <v>43288</v>
      </c>
      <c r="B903" s="3" t="s">
        <v>2728</v>
      </c>
      <c r="C903" s="3" t="s">
        <v>407</v>
      </c>
      <c r="D903" s="3" t="s">
        <v>407</v>
      </c>
      <c r="E903" s="3" t="s">
        <v>408</v>
      </c>
      <c r="F903" s="3" t="s">
        <v>120</v>
      </c>
      <c r="G903" s="3">
        <v>2</v>
      </c>
      <c r="H903" s="3">
        <v>0</v>
      </c>
      <c r="I903" s="3">
        <v>2</v>
      </c>
      <c r="J903" s="3">
        <v>0</v>
      </c>
      <c r="K903" s="3">
        <v>0</v>
      </c>
      <c r="L903" s="3">
        <v>0</v>
      </c>
      <c r="M903" s="3">
        <v>0</v>
      </c>
      <c r="N903" s="3" t="s">
        <v>5218</v>
      </c>
      <c r="O903" s="3">
        <v>0</v>
      </c>
      <c r="P903" s="3">
        <v>0</v>
      </c>
      <c r="Q903" s="3">
        <v>0</v>
      </c>
      <c r="R903" s="3">
        <v>0</v>
      </c>
      <c r="S903" s="3">
        <v>0</v>
      </c>
      <c r="T903" s="3">
        <v>26</v>
      </c>
      <c r="U903" s="3">
        <v>47</v>
      </c>
      <c r="V903" s="3">
        <v>51</v>
      </c>
      <c r="W903" s="3"/>
      <c r="X903" s="3">
        <v>24.98</v>
      </c>
      <c r="Y903" s="3">
        <v>22.98</v>
      </c>
      <c r="Z903" s="3">
        <v>22.98</v>
      </c>
      <c r="AA903" s="3">
        <v>0</v>
      </c>
      <c r="AB903" s="3" t="s">
        <v>5223</v>
      </c>
      <c r="AC903" s="3">
        <v>0</v>
      </c>
      <c r="AD903" s="3">
        <v>0</v>
      </c>
      <c r="AE903" s="3">
        <v>0</v>
      </c>
      <c r="AF903" s="3">
        <v>0</v>
      </c>
      <c r="AG903" s="3">
        <v>0</v>
      </c>
      <c r="AH903" s="3">
        <v>29.1428571428571</v>
      </c>
      <c r="AI903" s="3" t="s">
        <v>5257</v>
      </c>
      <c r="AJ903" s="3" t="s">
        <v>5222</v>
      </c>
    </row>
    <row r="904" spans="1:36">
      <c r="A904" s="5">
        <v>43288</v>
      </c>
      <c r="B904" s="3" t="s">
        <v>3061</v>
      </c>
      <c r="C904" s="3" t="s">
        <v>3062</v>
      </c>
      <c r="D904" s="3" t="s">
        <v>3062</v>
      </c>
      <c r="E904" s="3" t="s">
        <v>3063</v>
      </c>
      <c r="F904" s="3" t="s">
        <v>120</v>
      </c>
      <c r="G904" s="3">
        <v>49</v>
      </c>
      <c r="H904" s="3">
        <v>0</v>
      </c>
      <c r="I904" s="3">
        <v>49</v>
      </c>
      <c r="J904" s="3">
        <v>0</v>
      </c>
      <c r="K904" s="3">
        <v>0</v>
      </c>
      <c r="L904" s="3">
        <v>0</v>
      </c>
      <c r="M904" s="3">
        <v>0</v>
      </c>
      <c r="N904" s="3" t="s">
        <v>5218</v>
      </c>
      <c r="O904" s="3">
        <v>0</v>
      </c>
      <c r="P904" s="3">
        <v>0</v>
      </c>
      <c r="Q904" s="3">
        <v>0</v>
      </c>
      <c r="R904" s="3">
        <v>0</v>
      </c>
      <c r="S904" s="3">
        <v>0</v>
      </c>
      <c r="T904" s="3">
        <v>1</v>
      </c>
      <c r="U904" s="3">
        <v>1</v>
      </c>
      <c r="V904" s="3">
        <v>1</v>
      </c>
      <c r="W904" s="3" t="s">
        <v>5219</v>
      </c>
      <c r="X904" s="3">
        <v>19.98</v>
      </c>
      <c r="Y904" s="3">
        <v>19.98</v>
      </c>
      <c r="Z904" s="3">
        <v>19.98</v>
      </c>
      <c r="AA904" s="3">
        <v>0</v>
      </c>
      <c r="AB904" s="3" t="s">
        <v>5220</v>
      </c>
      <c r="AC904" s="3">
        <v>49</v>
      </c>
      <c r="AD904" s="3">
        <v>19.98</v>
      </c>
      <c r="AE904" s="3">
        <v>0</v>
      </c>
      <c r="AF904" s="3">
        <v>0</v>
      </c>
      <c r="AG904" s="3">
        <v>0</v>
      </c>
      <c r="AH904" s="3">
        <v>0.0303030303030303</v>
      </c>
      <c r="AI904" s="3" t="s">
        <v>5381</v>
      </c>
      <c r="AJ904" s="3" t="s">
        <v>5222</v>
      </c>
    </row>
    <row r="905" spans="1:36">
      <c r="A905" s="5">
        <v>43288</v>
      </c>
      <c r="B905" s="3" t="s">
        <v>2601</v>
      </c>
      <c r="C905" s="3" t="s">
        <v>1096</v>
      </c>
      <c r="D905" s="3" t="s">
        <v>1096</v>
      </c>
      <c r="E905" s="3" t="s">
        <v>1097</v>
      </c>
      <c r="F905" s="3" t="s">
        <v>120</v>
      </c>
      <c r="G905" s="3">
        <v>18</v>
      </c>
      <c r="H905" s="3">
        <v>0</v>
      </c>
      <c r="I905" s="3">
        <v>18</v>
      </c>
      <c r="J905" s="3">
        <v>0</v>
      </c>
      <c r="K905" s="3">
        <v>0</v>
      </c>
      <c r="L905" s="3">
        <v>0</v>
      </c>
      <c r="M905" s="3">
        <v>0</v>
      </c>
      <c r="N905" s="3" t="s">
        <v>5218</v>
      </c>
      <c r="O905" s="3">
        <v>0</v>
      </c>
      <c r="P905" s="3">
        <v>0</v>
      </c>
      <c r="Q905" s="3">
        <v>0</v>
      </c>
      <c r="R905" s="3">
        <v>0</v>
      </c>
      <c r="S905" s="3">
        <v>4</v>
      </c>
      <c r="T905" s="3">
        <v>13</v>
      </c>
      <c r="U905" s="3">
        <v>27</v>
      </c>
      <c r="V905" s="3">
        <v>41</v>
      </c>
      <c r="W905" s="3"/>
      <c r="X905" s="3">
        <v>35.98</v>
      </c>
      <c r="Y905" s="3">
        <v>22.98</v>
      </c>
      <c r="Z905" s="3">
        <v>22.98</v>
      </c>
      <c r="AA905" s="3">
        <v>0</v>
      </c>
      <c r="AB905" s="3" t="s">
        <v>5223</v>
      </c>
      <c r="AC905" s="3">
        <v>21</v>
      </c>
      <c r="AD905" s="3">
        <v>22.98</v>
      </c>
      <c r="AE905" s="3">
        <v>0</v>
      </c>
      <c r="AF905" s="3">
        <v>0</v>
      </c>
      <c r="AG905" s="3">
        <v>0</v>
      </c>
      <c r="AH905" s="3">
        <v>1.89010989010989</v>
      </c>
      <c r="AI905" s="3" t="s">
        <v>5299</v>
      </c>
      <c r="AJ905" s="3" t="s">
        <v>5222</v>
      </c>
    </row>
    <row r="906" spans="1:36">
      <c r="A906" s="5">
        <v>43288</v>
      </c>
      <c r="B906" s="3" t="s">
        <v>3120</v>
      </c>
      <c r="C906" s="3" t="s">
        <v>3121</v>
      </c>
      <c r="D906" s="3" t="s">
        <v>3121</v>
      </c>
      <c r="E906" s="3" t="s">
        <v>3122</v>
      </c>
      <c r="F906" s="3" t="s">
        <v>120</v>
      </c>
      <c r="G906" s="3">
        <v>1</v>
      </c>
      <c r="H906" s="3">
        <v>0</v>
      </c>
      <c r="I906" s="3">
        <v>1</v>
      </c>
      <c r="J906" s="3">
        <v>0</v>
      </c>
      <c r="K906" s="3">
        <v>0</v>
      </c>
      <c r="L906" s="3">
        <v>0</v>
      </c>
      <c r="M906" s="3">
        <v>0</v>
      </c>
      <c r="N906" s="3" t="s">
        <v>5218</v>
      </c>
      <c r="O906" s="3">
        <v>0</v>
      </c>
      <c r="P906" s="3">
        <v>0</v>
      </c>
      <c r="Q906" s="3">
        <v>0</v>
      </c>
      <c r="R906" s="3">
        <v>0</v>
      </c>
      <c r="S906" s="3">
        <v>0</v>
      </c>
      <c r="T906" s="3">
        <v>0</v>
      </c>
      <c r="U906" s="3">
        <v>1</v>
      </c>
      <c r="V906" s="3">
        <v>1</v>
      </c>
      <c r="W906" s="3" t="s">
        <v>5227</v>
      </c>
      <c r="X906" s="3">
        <v>10</v>
      </c>
      <c r="Y906" s="3">
        <v>10</v>
      </c>
      <c r="Z906" s="3">
        <v>10</v>
      </c>
      <c r="AA906" s="3">
        <v>0</v>
      </c>
      <c r="AB906" s="3" t="s">
        <v>5223</v>
      </c>
      <c r="AC906" s="3">
        <v>1</v>
      </c>
      <c r="AD906" s="3">
        <v>10</v>
      </c>
      <c r="AE906" s="3">
        <v>0</v>
      </c>
      <c r="AF906" s="3">
        <v>0</v>
      </c>
      <c r="AG906" s="3">
        <v>0</v>
      </c>
      <c r="AH906" s="3">
        <v>2</v>
      </c>
      <c r="AI906" s="3" t="s">
        <v>5350</v>
      </c>
      <c r="AJ906" s="3" t="s">
        <v>5222</v>
      </c>
    </row>
    <row r="907" spans="1:36">
      <c r="A907" s="5">
        <v>43288</v>
      </c>
      <c r="B907" s="3" t="s">
        <v>4584</v>
      </c>
      <c r="C907" s="3" t="s">
        <v>4059</v>
      </c>
      <c r="D907" s="3" t="s">
        <v>4059</v>
      </c>
      <c r="E907" s="3" t="s">
        <v>4060</v>
      </c>
      <c r="F907" s="3" t="s">
        <v>120</v>
      </c>
      <c r="G907" s="3">
        <v>5</v>
      </c>
      <c r="H907" s="3">
        <v>0</v>
      </c>
      <c r="I907" s="3">
        <v>5</v>
      </c>
      <c r="J907" s="3">
        <v>0</v>
      </c>
      <c r="K907" s="3">
        <v>0</v>
      </c>
      <c r="L907" s="3">
        <v>0</v>
      </c>
      <c r="M907" s="3">
        <v>0</v>
      </c>
      <c r="N907" s="3" t="s">
        <v>5218</v>
      </c>
      <c r="O907" s="3">
        <v>0</v>
      </c>
      <c r="P907" s="3">
        <v>0</v>
      </c>
      <c r="Q907" s="3">
        <v>0</v>
      </c>
      <c r="R907" s="3">
        <v>0</v>
      </c>
      <c r="S907" s="3">
        <v>5</v>
      </c>
      <c r="T907" s="3">
        <v>7</v>
      </c>
      <c r="U907" s="3">
        <v>9</v>
      </c>
      <c r="V907" s="3">
        <v>10</v>
      </c>
      <c r="W907" s="3"/>
      <c r="X907" s="3">
        <v>20.98</v>
      </c>
      <c r="Y907" s="3">
        <v>20.98</v>
      </c>
      <c r="Z907" s="3">
        <v>20.98</v>
      </c>
      <c r="AA907" s="3">
        <v>0</v>
      </c>
      <c r="AB907" s="3" t="s">
        <v>5223</v>
      </c>
      <c r="AC907" s="3">
        <v>9</v>
      </c>
      <c r="AD907" s="3">
        <v>20.98</v>
      </c>
      <c r="AE907" s="3">
        <v>0</v>
      </c>
      <c r="AF907" s="3">
        <v>0</v>
      </c>
      <c r="AG907" s="3">
        <v>0</v>
      </c>
      <c r="AH907" s="3">
        <v>2.85714285714285</v>
      </c>
      <c r="AI907" s="3" t="s">
        <v>5226</v>
      </c>
      <c r="AJ907" s="3" t="s">
        <v>5222</v>
      </c>
    </row>
    <row r="908" spans="1:36">
      <c r="A908" s="5">
        <v>43288</v>
      </c>
      <c r="B908" s="3" t="s">
        <v>2624</v>
      </c>
      <c r="C908" s="3" t="s">
        <v>1181</v>
      </c>
      <c r="D908" s="3" t="s">
        <v>1181</v>
      </c>
      <c r="E908" s="3" t="s">
        <v>1182</v>
      </c>
      <c r="F908" s="3" t="s">
        <v>120</v>
      </c>
      <c r="G908" s="3">
        <v>24</v>
      </c>
      <c r="H908" s="3">
        <v>0</v>
      </c>
      <c r="I908" s="3">
        <v>14</v>
      </c>
      <c r="J908" s="3">
        <v>1</v>
      </c>
      <c r="K908" s="3">
        <v>9</v>
      </c>
      <c r="L908" s="3">
        <v>0</v>
      </c>
      <c r="M908" s="3">
        <v>0</v>
      </c>
      <c r="N908" s="3" t="s">
        <v>5218</v>
      </c>
      <c r="O908" s="3">
        <v>9</v>
      </c>
      <c r="P908" s="3">
        <v>15.16</v>
      </c>
      <c r="Q908" s="3">
        <v>0</v>
      </c>
      <c r="R908" s="3">
        <v>0</v>
      </c>
      <c r="S908" s="3">
        <v>0</v>
      </c>
      <c r="T908" s="3">
        <v>0</v>
      </c>
      <c r="U908" s="3">
        <v>2</v>
      </c>
      <c r="V908" s="3">
        <v>5</v>
      </c>
      <c r="W908" s="3" t="s">
        <v>5227</v>
      </c>
      <c r="X908" s="3">
        <v>22.98</v>
      </c>
      <c r="Y908" s="3">
        <v>22.98</v>
      </c>
      <c r="Z908" s="3">
        <v>22.98</v>
      </c>
      <c r="AA908" s="3">
        <v>0</v>
      </c>
      <c r="AB908" s="3" t="s">
        <v>5228</v>
      </c>
      <c r="AC908" s="3">
        <v>0</v>
      </c>
      <c r="AD908" s="3">
        <v>17.62</v>
      </c>
      <c r="AE908" s="3">
        <v>364</v>
      </c>
      <c r="AF908" s="3">
        <v>0</v>
      </c>
      <c r="AG908" s="3">
        <v>476.144741</v>
      </c>
      <c r="AH908" s="3">
        <v>0.263157894736842</v>
      </c>
      <c r="AI908" s="3" t="s">
        <v>5238</v>
      </c>
      <c r="AJ908" s="3" t="s">
        <v>5222</v>
      </c>
    </row>
    <row r="909" spans="1:36">
      <c r="A909" s="5">
        <v>43288</v>
      </c>
      <c r="B909" s="3" t="s">
        <v>2084</v>
      </c>
      <c r="C909" s="3" t="s">
        <v>2085</v>
      </c>
      <c r="D909" s="3" t="s">
        <v>2085</v>
      </c>
      <c r="E909" s="3" t="s">
        <v>2086</v>
      </c>
      <c r="F909" s="3" t="s">
        <v>120</v>
      </c>
      <c r="G909" s="3">
        <v>19</v>
      </c>
      <c r="H909" s="3">
        <v>0</v>
      </c>
      <c r="I909" s="3">
        <v>0</v>
      </c>
      <c r="J909" s="3">
        <v>3</v>
      </c>
      <c r="K909" s="3">
        <v>16</v>
      </c>
      <c r="L909" s="3">
        <v>0</v>
      </c>
      <c r="M909" s="3">
        <v>0</v>
      </c>
      <c r="N909" s="3" t="s">
        <v>5218</v>
      </c>
      <c r="O909" s="3">
        <v>17</v>
      </c>
      <c r="P909" s="3">
        <v>23.86</v>
      </c>
      <c r="Q909" s="3">
        <v>0</v>
      </c>
      <c r="R909" s="3">
        <v>0</v>
      </c>
      <c r="S909" s="3">
        <v>1</v>
      </c>
      <c r="T909" s="3">
        <v>2</v>
      </c>
      <c r="U909" s="3">
        <v>5</v>
      </c>
      <c r="V909" s="3">
        <v>11</v>
      </c>
      <c r="W909" s="3" t="s">
        <v>5227</v>
      </c>
      <c r="X909" s="3">
        <v>23.98</v>
      </c>
      <c r="Y909" s="3">
        <v>23.98</v>
      </c>
      <c r="Z909" s="3">
        <v>23.98</v>
      </c>
      <c r="AA909" s="3">
        <v>0</v>
      </c>
      <c r="AB909" s="3" t="s">
        <v>5228</v>
      </c>
      <c r="AC909" s="3">
        <v>16</v>
      </c>
      <c r="AD909" s="3">
        <v>21.81</v>
      </c>
      <c r="AE909" s="3">
        <v>98</v>
      </c>
      <c r="AF909" s="3">
        <v>0</v>
      </c>
      <c r="AG909" s="3">
        <v>1.24472</v>
      </c>
      <c r="AH909" s="3">
        <v>0.468085106382978</v>
      </c>
      <c r="AI909" s="3" t="s">
        <v>5507</v>
      </c>
      <c r="AJ909" s="3" t="s">
        <v>5222</v>
      </c>
    </row>
    <row r="910" spans="1:36">
      <c r="A910" s="5">
        <v>43288</v>
      </c>
      <c r="B910" s="3" t="s">
        <v>2198</v>
      </c>
      <c r="C910" s="3" t="s">
        <v>2199</v>
      </c>
      <c r="D910" s="3" t="s">
        <v>2199</v>
      </c>
      <c r="E910" s="3" t="s">
        <v>2200</v>
      </c>
      <c r="F910" s="3" t="s">
        <v>120</v>
      </c>
      <c r="G910" s="3">
        <v>14</v>
      </c>
      <c r="H910" s="3">
        <v>0</v>
      </c>
      <c r="I910" s="3">
        <v>1</v>
      </c>
      <c r="J910" s="3">
        <v>2</v>
      </c>
      <c r="K910" s="3">
        <v>0</v>
      </c>
      <c r="L910" s="3">
        <v>11</v>
      </c>
      <c r="M910" s="3">
        <v>0</v>
      </c>
      <c r="N910" s="3" t="s">
        <v>5218</v>
      </c>
      <c r="O910" s="3">
        <v>11</v>
      </c>
      <c r="P910" s="3">
        <v>17.09</v>
      </c>
      <c r="Q910" s="3">
        <v>0</v>
      </c>
      <c r="R910" s="3">
        <v>0</v>
      </c>
      <c r="S910" s="3">
        <v>0</v>
      </c>
      <c r="T910" s="3">
        <v>1</v>
      </c>
      <c r="U910" s="3">
        <v>2</v>
      </c>
      <c r="V910" s="3">
        <v>3</v>
      </c>
      <c r="W910" s="3"/>
      <c r="X910" s="3">
        <v>12.98</v>
      </c>
      <c r="Y910" s="3">
        <v>12.98</v>
      </c>
      <c r="Z910" s="3">
        <v>12.98</v>
      </c>
      <c r="AA910" s="3">
        <v>0</v>
      </c>
      <c r="AB910" s="3" t="s">
        <v>5223</v>
      </c>
      <c r="AC910" s="3">
        <v>14</v>
      </c>
      <c r="AD910" s="3">
        <v>12.98</v>
      </c>
      <c r="AE910" s="3">
        <v>0</v>
      </c>
      <c r="AF910" s="3">
        <v>0</v>
      </c>
      <c r="AG910" s="3">
        <v>0</v>
      </c>
      <c r="AH910" s="3">
        <v>0.203389830508474</v>
      </c>
      <c r="AI910" s="3" t="s">
        <v>5260</v>
      </c>
      <c r="AJ910" s="3" t="s">
        <v>5222</v>
      </c>
    </row>
    <row r="911" spans="1:36">
      <c r="A911" s="5">
        <v>43288</v>
      </c>
      <c r="B911" s="3" t="s">
        <v>1290</v>
      </c>
      <c r="C911" s="3" t="s">
        <v>1291</v>
      </c>
      <c r="D911" s="3" t="s">
        <v>584</v>
      </c>
      <c r="E911" s="3" t="s">
        <v>823</v>
      </c>
      <c r="F911" s="3" t="s">
        <v>120</v>
      </c>
      <c r="G911" s="3">
        <v>2</v>
      </c>
      <c r="H911" s="3">
        <v>0</v>
      </c>
      <c r="I911" s="3">
        <v>2</v>
      </c>
      <c r="J911" s="3">
        <v>0</v>
      </c>
      <c r="K911" s="3">
        <v>0</v>
      </c>
      <c r="L911" s="3">
        <v>0</v>
      </c>
      <c r="M911" s="3">
        <v>0</v>
      </c>
      <c r="N911" s="3" t="s">
        <v>5218</v>
      </c>
      <c r="O911" s="3">
        <v>0</v>
      </c>
      <c r="P911" s="3">
        <v>0</v>
      </c>
      <c r="Q911" s="3">
        <v>0</v>
      </c>
      <c r="R911" s="3">
        <v>0</v>
      </c>
      <c r="S911" s="3">
        <v>0</v>
      </c>
      <c r="T911" s="3">
        <v>0</v>
      </c>
      <c r="U911" s="3">
        <v>0</v>
      </c>
      <c r="V911" s="3">
        <v>0</v>
      </c>
      <c r="W911" s="3" t="s">
        <v>5227</v>
      </c>
      <c r="X911" s="3">
        <v>22.98</v>
      </c>
      <c r="Y911" s="3">
        <v>22.98</v>
      </c>
      <c r="Z911" s="3">
        <v>22.98</v>
      </c>
      <c r="AA911" s="3">
        <v>0</v>
      </c>
      <c r="AB911" s="3" t="s">
        <v>5223</v>
      </c>
      <c r="AC911" s="3">
        <v>2</v>
      </c>
      <c r="AD911" s="3">
        <v>22.98</v>
      </c>
      <c r="AE911" s="3">
        <v>0</v>
      </c>
      <c r="AF911" s="3">
        <v>0</v>
      </c>
      <c r="AG911" s="3">
        <v>0</v>
      </c>
      <c r="AH911" s="3">
        <v>0.899999999999999</v>
      </c>
      <c r="AI911" s="3" t="s">
        <v>5225</v>
      </c>
      <c r="AJ911" s="3" t="s">
        <v>5222</v>
      </c>
    </row>
    <row r="912" spans="1:36">
      <c r="A912" s="5">
        <v>43288</v>
      </c>
      <c r="B912" s="3" t="s">
        <v>4411</v>
      </c>
      <c r="C912" s="3" t="s">
        <v>3498</v>
      </c>
      <c r="D912" s="3" t="s">
        <v>3498</v>
      </c>
      <c r="E912" s="3" t="s">
        <v>3499</v>
      </c>
      <c r="F912" s="3" t="s">
        <v>120</v>
      </c>
      <c r="G912" s="3">
        <v>8</v>
      </c>
      <c r="H912" s="3">
        <v>0</v>
      </c>
      <c r="I912" s="3">
        <v>1</v>
      </c>
      <c r="J912" s="3">
        <v>2</v>
      </c>
      <c r="K912" s="3">
        <v>5</v>
      </c>
      <c r="L912" s="3">
        <v>0</v>
      </c>
      <c r="M912" s="3">
        <v>0</v>
      </c>
      <c r="N912" s="3" t="s">
        <v>5218</v>
      </c>
      <c r="O912" s="3">
        <v>6</v>
      </c>
      <c r="P912" s="3">
        <v>9.26</v>
      </c>
      <c r="Q912" s="3">
        <v>0</v>
      </c>
      <c r="R912" s="3">
        <v>0</v>
      </c>
      <c r="S912" s="3">
        <v>0</v>
      </c>
      <c r="T912" s="3">
        <v>0</v>
      </c>
      <c r="U912" s="3">
        <v>0</v>
      </c>
      <c r="V912" s="3">
        <v>1</v>
      </c>
      <c r="W912" s="3" t="s">
        <v>5227</v>
      </c>
      <c r="X912" s="3">
        <v>24.98</v>
      </c>
      <c r="Y912" s="3">
        <v>24.98</v>
      </c>
      <c r="Z912" s="3">
        <v>24.98</v>
      </c>
      <c r="AA912" s="3">
        <v>0</v>
      </c>
      <c r="AB912" s="3" t="s">
        <v>5228</v>
      </c>
      <c r="AC912" s="3">
        <v>0</v>
      </c>
      <c r="AD912" s="3">
        <v>20.3</v>
      </c>
      <c r="AE912" s="3">
        <v>273</v>
      </c>
      <c r="AF912" s="3">
        <v>0</v>
      </c>
      <c r="AG912" s="3">
        <v>193.540983</v>
      </c>
      <c r="AH912" s="3">
        <v>0.129032258064516</v>
      </c>
      <c r="AI912" s="3" t="s">
        <v>5262</v>
      </c>
      <c r="AJ912" s="3" t="s">
        <v>5222</v>
      </c>
    </row>
    <row r="913" spans="1:36">
      <c r="A913" s="5">
        <v>43288</v>
      </c>
      <c r="B913" s="3" t="s">
        <v>2174</v>
      </c>
      <c r="C913" s="3" t="s">
        <v>2175</v>
      </c>
      <c r="D913" s="3" t="s">
        <v>2175</v>
      </c>
      <c r="E913" s="3" t="s">
        <v>2176</v>
      </c>
      <c r="F913" s="3" t="s">
        <v>120</v>
      </c>
      <c r="G913" s="3">
        <v>10</v>
      </c>
      <c r="H913" s="3">
        <v>0</v>
      </c>
      <c r="I913" s="3">
        <v>0</v>
      </c>
      <c r="J913" s="3">
        <v>10</v>
      </c>
      <c r="K913" s="3">
        <v>0</v>
      </c>
      <c r="L913" s="3">
        <v>0</v>
      </c>
      <c r="M913" s="3">
        <v>0</v>
      </c>
      <c r="N913" s="3" t="s">
        <v>5218</v>
      </c>
      <c r="O913" s="3">
        <v>0</v>
      </c>
      <c r="P913" s="3">
        <v>0</v>
      </c>
      <c r="Q913" s="3">
        <v>0</v>
      </c>
      <c r="R913" s="3">
        <v>0</v>
      </c>
      <c r="S913" s="3">
        <v>0</v>
      </c>
      <c r="T913" s="3">
        <v>1</v>
      </c>
      <c r="U913" s="3">
        <v>6</v>
      </c>
      <c r="V913" s="3">
        <v>9</v>
      </c>
      <c r="W913" s="3" t="s">
        <v>5227</v>
      </c>
      <c r="X913" s="3">
        <v>22.98</v>
      </c>
      <c r="Y913" s="3">
        <v>22.98</v>
      </c>
      <c r="Z913" s="3">
        <v>22</v>
      </c>
      <c r="AA913" s="3">
        <v>0</v>
      </c>
      <c r="AB913" s="3" t="s">
        <v>5223</v>
      </c>
      <c r="AC913" s="3">
        <v>10</v>
      </c>
      <c r="AD913" s="3">
        <v>22.98</v>
      </c>
      <c r="AE913" s="3">
        <v>0</v>
      </c>
      <c r="AF913" s="3">
        <v>0</v>
      </c>
      <c r="AG913" s="3">
        <v>0</v>
      </c>
      <c r="AH913" s="3">
        <v>0.642857142857142</v>
      </c>
      <c r="AI913" s="3" t="s">
        <v>5260</v>
      </c>
      <c r="AJ913" s="3" t="s">
        <v>5222</v>
      </c>
    </row>
    <row r="914" spans="1:36">
      <c r="A914" s="5">
        <v>43288</v>
      </c>
      <c r="B914" s="3" t="s">
        <v>2328</v>
      </c>
      <c r="C914" s="3" t="s">
        <v>2329</v>
      </c>
      <c r="D914" s="3" t="s">
        <v>2329</v>
      </c>
      <c r="E914" s="3" t="s">
        <v>2330</v>
      </c>
      <c r="F914" s="3" t="s">
        <v>120</v>
      </c>
      <c r="G914" s="3">
        <v>1</v>
      </c>
      <c r="H914" s="3">
        <v>0</v>
      </c>
      <c r="I914" s="3">
        <v>1</v>
      </c>
      <c r="J914" s="3">
        <v>0</v>
      </c>
      <c r="K914" s="3">
        <v>0</v>
      </c>
      <c r="L914" s="3">
        <v>0</v>
      </c>
      <c r="M914" s="3">
        <v>0</v>
      </c>
      <c r="N914" s="3" t="s">
        <v>5218</v>
      </c>
      <c r="O914" s="3">
        <v>0</v>
      </c>
      <c r="P914" s="3">
        <v>0</v>
      </c>
      <c r="Q914" s="3">
        <v>0</v>
      </c>
      <c r="R914" s="3">
        <v>0</v>
      </c>
      <c r="S914" s="3">
        <v>0</v>
      </c>
      <c r="T914" s="3">
        <v>0</v>
      </c>
      <c r="U914" s="3">
        <v>1</v>
      </c>
      <c r="V914" s="3">
        <v>1</v>
      </c>
      <c r="W914" s="3" t="s">
        <v>5227</v>
      </c>
      <c r="X914" s="3">
        <v>22.98</v>
      </c>
      <c r="Y914" s="3">
        <v>22.98</v>
      </c>
      <c r="Z914" s="3">
        <v>22.98</v>
      </c>
      <c r="AA914" s="3">
        <v>0</v>
      </c>
      <c r="AB914" s="3" t="s">
        <v>5228</v>
      </c>
      <c r="AC914" s="3">
        <v>0</v>
      </c>
      <c r="AD914" s="3">
        <v>21.3</v>
      </c>
      <c r="AE914" s="3">
        <v>98</v>
      </c>
      <c r="AF914" s="3">
        <v>0</v>
      </c>
      <c r="AG914" s="3">
        <v>25.185877</v>
      </c>
      <c r="AH914" s="3">
        <v>2</v>
      </c>
      <c r="AI914" s="3" t="s">
        <v>5271</v>
      </c>
      <c r="AJ914" s="3" t="s">
        <v>5222</v>
      </c>
    </row>
    <row r="915" spans="1:36">
      <c r="A915" s="5">
        <v>43288</v>
      </c>
      <c r="B915" s="3" t="s">
        <v>3973</v>
      </c>
      <c r="C915" s="3" t="s">
        <v>3974</v>
      </c>
      <c r="D915" s="3" t="s">
        <v>3975</v>
      </c>
      <c r="E915" s="3" t="s">
        <v>3976</v>
      </c>
      <c r="F915" s="3" t="s">
        <v>120</v>
      </c>
      <c r="G915" s="3">
        <v>10</v>
      </c>
      <c r="H915" s="3">
        <v>0</v>
      </c>
      <c r="I915" s="3">
        <v>10</v>
      </c>
      <c r="J915" s="3">
        <v>0</v>
      </c>
      <c r="K915" s="3">
        <v>0</v>
      </c>
      <c r="L915" s="3">
        <v>0</v>
      </c>
      <c r="M915" s="3">
        <v>0</v>
      </c>
      <c r="N915" s="3" t="s">
        <v>5218</v>
      </c>
      <c r="O915" s="3">
        <v>0</v>
      </c>
      <c r="P915" s="3">
        <v>0</v>
      </c>
      <c r="Q915" s="3">
        <v>0</v>
      </c>
      <c r="R915" s="3">
        <v>0</v>
      </c>
      <c r="S915" s="3">
        <v>0</v>
      </c>
      <c r="T915" s="3">
        <v>0</v>
      </c>
      <c r="U915" s="3">
        <v>0</v>
      </c>
      <c r="V915" s="3">
        <v>0</v>
      </c>
      <c r="W915" s="3" t="s">
        <v>5227</v>
      </c>
      <c r="X915" s="3">
        <v>20.98</v>
      </c>
      <c r="Y915" s="3">
        <v>20.98</v>
      </c>
      <c r="Z915" s="3">
        <v>20.98</v>
      </c>
      <c r="AA915" s="3">
        <v>0</v>
      </c>
      <c r="AB915" s="3" t="s">
        <v>5223</v>
      </c>
      <c r="AC915" s="3">
        <v>5</v>
      </c>
      <c r="AD915" s="3">
        <v>20.98</v>
      </c>
      <c r="AE915" s="3">
        <v>0</v>
      </c>
      <c r="AF915" s="3">
        <v>0</v>
      </c>
      <c r="AG915" s="3">
        <v>0</v>
      </c>
      <c r="AH915" s="3">
        <v>2.46153846153846</v>
      </c>
      <c r="AI915" s="3" t="s">
        <v>5326</v>
      </c>
      <c r="AJ915" s="3" t="s">
        <v>5222</v>
      </c>
    </row>
    <row r="916" spans="1:36">
      <c r="A916" s="5">
        <v>43288</v>
      </c>
      <c r="B916" s="3" t="s">
        <v>2631</v>
      </c>
      <c r="C916" s="3" t="s">
        <v>1205</v>
      </c>
      <c r="D916" s="3" t="s">
        <v>1205</v>
      </c>
      <c r="E916" s="3" t="s">
        <v>1206</v>
      </c>
      <c r="F916" s="3" t="s">
        <v>120</v>
      </c>
      <c r="G916" s="3">
        <v>42</v>
      </c>
      <c r="H916" s="3">
        <v>0</v>
      </c>
      <c r="I916" s="3">
        <v>42</v>
      </c>
      <c r="J916" s="3">
        <v>0</v>
      </c>
      <c r="K916" s="3">
        <v>0</v>
      </c>
      <c r="L916" s="3">
        <v>0</v>
      </c>
      <c r="M916" s="3">
        <v>0</v>
      </c>
      <c r="N916" s="3" t="s">
        <v>5218</v>
      </c>
      <c r="O916" s="3">
        <v>0</v>
      </c>
      <c r="P916" s="3">
        <v>0</v>
      </c>
      <c r="Q916" s="3">
        <v>0</v>
      </c>
      <c r="R916" s="3">
        <v>0</v>
      </c>
      <c r="S916" s="3">
        <v>1</v>
      </c>
      <c r="T916" s="3">
        <v>18</v>
      </c>
      <c r="U916" s="3">
        <v>46</v>
      </c>
      <c r="V916" s="3">
        <v>60</v>
      </c>
      <c r="W916" s="3"/>
      <c r="X916" s="3">
        <v>22.98</v>
      </c>
      <c r="Y916" s="3">
        <v>22.98</v>
      </c>
      <c r="Z916" s="3">
        <v>22.98</v>
      </c>
      <c r="AA916" s="3">
        <v>0</v>
      </c>
      <c r="AB916" s="3" t="s">
        <v>5223</v>
      </c>
      <c r="AC916" s="3">
        <v>12</v>
      </c>
      <c r="AD916" s="3">
        <v>22.98</v>
      </c>
      <c r="AE916" s="3">
        <v>0</v>
      </c>
      <c r="AF916" s="3">
        <v>0</v>
      </c>
      <c r="AG916" s="3">
        <v>0</v>
      </c>
      <c r="AH916" s="3">
        <v>4.70588235294117</v>
      </c>
      <c r="AI916" s="3" t="s">
        <v>5238</v>
      </c>
      <c r="AJ916" s="3" t="s">
        <v>5222</v>
      </c>
    </row>
    <row r="917" spans="1:36">
      <c r="A917" s="5">
        <v>43288</v>
      </c>
      <c r="B917" s="3" t="s">
        <v>2982</v>
      </c>
      <c r="C917" s="3" t="s">
        <v>2983</v>
      </c>
      <c r="D917" s="3" t="s">
        <v>2983</v>
      </c>
      <c r="E917" s="3" t="s">
        <v>2984</v>
      </c>
      <c r="F917" s="3" t="s">
        <v>120</v>
      </c>
      <c r="G917" s="3">
        <v>24</v>
      </c>
      <c r="H917" s="3">
        <v>0</v>
      </c>
      <c r="I917" s="3">
        <v>1</v>
      </c>
      <c r="J917" s="3">
        <v>23</v>
      </c>
      <c r="K917" s="3">
        <v>0</v>
      </c>
      <c r="L917" s="3">
        <v>0</v>
      </c>
      <c r="M917" s="3">
        <v>0</v>
      </c>
      <c r="N917" s="3" t="s">
        <v>5218</v>
      </c>
      <c r="O917" s="3">
        <v>23</v>
      </c>
      <c r="P917" s="3">
        <v>59.7</v>
      </c>
      <c r="Q917" s="3">
        <v>0</v>
      </c>
      <c r="R917" s="3">
        <v>0</v>
      </c>
      <c r="S917" s="3">
        <v>2</v>
      </c>
      <c r="T917" s="3">
        <v>4</v>
      </c>
      <c r="U917" s="3">
        <v>5</v>
      </c>
      <c r="V917" s="3">
        <v>6</v>
      </c>
      <c r="W917" s="3"/>
      <c r="X917" s="3">
        <v>20.98</v>
      </c>
      <c r="Y917" s="3">
        <v>20.98</v>
      </c>
      <c r="Z917" s="3">
        <v>20.98</v>
      </c>
      <c r="AA917" s="3">
        <v>0</v>
      </c>
      <c r="AB917" s="3" t="s">
        <v>5223</v>
      </c>
      <c r="AC917" s="3">
        <v>0</v>
      </c>
      <c r="AD917" s="3">
        <v>20.98</v>
      </c>
      <c r="AE917" s="3">
        <v>63</v>
      </c>
      <c r="AF917" s="3">
        <v>0</v>
      </c>
      <c r="AG917" s="3">
        <v>741.492657</v>
      </c>
      <c r="AH917" s="3">
        <v>0.222222222222222</v>
      </c>
      <c r="AI917" s="3" t="s">
        <v>5508</v>
      </c>
      <c r="AJ917" s="3" t="s">
        <v>5222</v>
      </c>
    </row>
    <row r="918" spans="1:36">
      <c r="A918" s="5">
        <v>43288</v>
      </c>
      <c r="B918" s="3" t="s">
        <v>2985</v>
      </c>
      <c r="C918" s="3" t="s">
        <v>2986</v>
      </c>
      <c r="D918" s="3" t="s">
        <v>2986</v>
      </c>
      <c r="E918" s="3" t="s">
        <v>2987</v>
      </c>
      <c r="F918" s="3" t="s">
        <v>120</v>
      </c>
      <c r="G918" s="3">
        <v>94</v>
      </c>
      <c r="H918" s="3">
        <v>0</v>
      </c>
      <c r="I918" s="3">
        <v>0</v>
      </c>
      <c r="J918" s="3">
        <v>94</v>
      </c>
      <c r="K918" s="3">
        <v>0</v>
      </c>
      <c r="L918" s="3">
        <v>0</v>
      </c>
      <c r="M918" s="3">
        <v>0</v>
      </c>
      <c r="N918" s="3" t="s">
        <v>5218</v>
      </c>
      <c r="O918" s="3">
        <v>94</v>
      </c>
      <c r="P918" s="3">
        <v>226.11</v>
      </c>
      <c r="Q918" s="3">
        <v>0</v>
      </c>
      <c r="R918" s="3">
        <v>0</v>
      </c>
      <c r="S918" s="3">
        <v>0</v>
      </c>
      <c r="T918" s="3">
        <v>1</v>
      </c>
      <c r="U918" s="3">
        <v>2</v>
      </c>
      <c r="V918" s="3">
        <v>3</v>
      </c>
      <c r="W918" s="3"/>
      <c r="X918" s="3">
        <v>22.98</v>
      </c>
      <c r="Y918" s="3">
        <v>22.98</v>
      </c>
      <c r="Z918" s="3">
        <v>22.98</v>
      </c>
      <c r="AA918" s="3">
        <v>0</v>
      </c>
      <c r="AB918" s="3" t="s">
        <v>5228</v>
      </c>
      <c r="AC918" s="3">
        <v>1</v>
      </c>
      <c r="AD918" s="3">
        <v>18.9</v>
      </c>
      <c r="AE918" s="3">
        <v>217</v>
      </c>
      <c r="AF918" s="3">
        <v>0</v>
      </c>
      <c r="AG918" s="3">
        <v>449.62203</v>
      </c>
      <c r="AH918" s="3">
        <v>0.031413612565445</v>
      </c>
      <c r="AI918" s="3" t="s">
        <v>5509</v>
      </c>
      <c r="AJ918" s="3" t="s">
        <v>5222</v>
      </c>
    </row>
    <row r="919" spans="1:36">
      <c r="A919" s="5">
        <v>43288</v>
      </c>
      <c r="B919" s="3" t="s">
        <v>3162</v>
      </c>
      <c r="C919" s="3" t="s">
        <v>3163</v>
      </c>
      <c r="D919" s="3" t="s">
        <v>3163</v>
      </c>
      <c r="E919" s="3" t="s">
        <v>3164</v>
      </c>
      <c r="F919" s="3" t="s">
        <v>120</v>
      </c>
      <c r="G919" s="3">
        <v>1</v>
      </c>
      <c r="H919" s="3">
        <v>0</v>
      </c>
      <c r="I919" s="3">
        <v>1</v>
      </c>
      <c r="J919" s="3">
        <v>0</v>
      </c>
      <c r="K919" s="3">
        <v>0</v>
      </c>
      <c r="L919" s="3">
        <v>0</v>
      </c>
      <c r="M919" s="3">
        <v>0</v>
      </c>
      <c r="N919" s="3" t="s">
        <v>5218</v>
      </c>
      <c r="O919" s="3">
        <v>0</v>
      </c>
      <c r="P919" s="3">
        <v>0</v>
      </c>
      <c r="Q919" s="3">
        <v>0</v>
      </c>
      <c r="R919" s="3">
        <v>0</v>
      </c>
      <c r="S919" s="3">
        <v>0</v>
      </c>
      <c r="T919" s="3">
        <v>0</v>
      </c>
      <c r="U919" s="3">
        <v>1</v>
      </c>
      <c r="V919" s="3">
        <v>1</v>
      </c>
      <c r="W919" s="3" t="s">
        <v>5227</v>
      </c>
      <c r="X919" s="3">
        <v>15.98</v>
      </c>
      <c r="Y919" s="3">
        <v>15.98</v>
      </c>
      <c r="Z919" s="3">
        <v>15.98</v>
      </c>
      <c r="AA919" s="3">
        <v>0</v>
      </c>
      <c r="AB919" s="3" t="s">
        <v>5223</v>
      </c>
      <c r="AC919" s="3">
        <v>1</v>
      </c>
      <c r="AD919" s="3">
        <v>15.98</v>
      </c>
      <c r="AE919" s="3">
        <v>0</v>
      </c>
      <c r="AF919" s="3">
        <v>0</v>
      </c>
      <c r="AG919" s="3">
        <v>0</v>
      </c>
      <c r="AH919" s="3">
        <v>1.33333333333333</v>
      </c>
      <c r="AI919" s="3" t="s">
        <v>5231</v>
      </c>
      <c r="AJ919" s="3" t="s">
        <v>5222</v>
      </c>
    </row>
    <row r="920" spans="1:36">
      <c r="A920" s="5">
        <v>43288</v>
      </c>
      <c r="B920" s="3" t="s">
        <v>2988</v>
      </c>
      <c r="C920" s="3" t="s">
        <v>2989</v>
      </c>
      <c r="D920" s="3" t="s">
        <v>2989</v>
      </c>
      <c r="E920" s="3" t="s">
        <v>2990</v>
      </c>
      <c r="F920" s="3" t="s">
        <v>120</v>
      </c>
      <c r="G920" s="3">
        <v>51</v>
      </c>
      <c r="H920" s="3">
        <v>0</v>
      </c>
      <c r="I920" s="3">
        <v>0</v>
      </c>
      <c r="J920" s="3">
        <v>51</v>
      </c>
      <c r="K920" s="3">
        <v>0</v>
      </c>
      <c r="L920" s="3">
        <v>0</v>
      </c>
      <c r="M920" s="3">
        <v>0</v>
      </c>
      <c r="N920" s="3" t="s">
        <v>5218</v>
      </c>
      <c r="O920" s="3">
        <v>51</v>
      </c>
      <c r="P920" s="3">
        <v>128.87</v>
      </c>
      <c r="Q920" s="3">
        <v>0</v>
      </c>
      <c r="R920" s="3">
        <v>0</v>
      </c>
      <c r="S920" s="3">
        <v>2</v>
      </c>
      <c r="T920" s="3">
        <v>2</v>
      </c>
      <c r="U920" s="3">
        <v>3</v>
      </c>
      <c r="V920" s="3">
        <v>6</v>
      </c>
      <c r="W920" s="3"/>
      <c r="X920" s="3">
        <v>22.98</v>
      </c>
      <c r="Y920" s="3">
        <v>22.98</v>
      </c>
      <c r="Z920" s="3">
        <v>22.98</v>
      </c>
      <c r="AA920" s="3">
        <v>0</v>
      </c>
      <c r="AB920" s="3" t="s">
        <v>5228</v>
      </c>
      <c r="AC920" s="3">
        <v>0</v>
      </c>
      <c r="AD920" s="3">
        <v>18</v>
      </c>
      <c r="AE920" s="3">
        <v>364</v>
      </c>
      <c r="AF920" s="3">
        <v>0</v>
      </c>
      <c r="AG920" s="3">
        <v>1632.014477</v>
      </c>
      <c r="AH920" s="3">
        <v>0.111627906976744</v>
      </c>
      <c r="AI920" s="3" t="s">
        <v>5510</v>
      </c>
      <c r="AJ920" s="3" t="s">
        <v>5222</v>
      </c>
    </row>
    <row r="921" spans="1:36">
      <c r="A921" s="5">
        <v>43288</v>
      </c>
      <c r="B921" s="3" t="s">
        <v>1468</v>
      </c>
      <c r="C921" s="3" t="s">
        <v>28</v>
      </c>
      <c r="D921" s="3" t="s">
        <v>28</v>
      </c>
      <c r="E921" s="3" t="s">
        <v>1469</v>
      </c>
      <c r="F921" s="3" t="s">
        <v>120</v>
      </c>
      <c r="G921" s="3">
        <v>23</v>
      </c>
      <c r="H921" s="3">
        <v>0</v>
      </c>
      <c r="I921" s="3">
        <v>2</v>
      </c>
      <c r="J921" s="3">
        <v>0</v>
      </c>
      <c r="K921" s="3">
        <v>21</v>
      </c>
      <c r="L921" s="3">
        <v>0</v>
      </c>
      <c r="M921" s="3">
        <v>0</v>
      </c>
      <c r="N921" s="3" t="s">
        <v>5218</v>
      </c>
      <c r="O921" s="3">
        <v>21</v>
      </c>
      <c r="P921" s="3">
        <v>38.39</v>
      </c>
      <c r="Q921" s="3">
        <v>0</v>
      </c>
      <c r="R921" s="3">
        <v>0</v>
      </c>
      <c r="S921" s="3">
        <v>1</v>
      </c>
      <c r="T921" s="3">
        <v>4</v>
      </c>
      <c r="U921" s="3">
        <v>4</v>
      </c>
      <c r="V921" s="3">
        <v>8</v>
      </c>
      <c r="W921" s="3"/>
      <c r="X921" s="3">
        <v>22.98</v>
      </c>
      <c r="Y921" s="3">
        <v>22.98</v>
      </c>
      <c r="Z921" s="3">
        <v>19.98</v>
      </c>
      <c r="AA921" s="3">
        <v>0</v>
      </c>
      <c r="AB921" s="3" t="s">
        <v>5223</v>
      </c>
      <c r="AC921" s="3">
        <v>23</v>
      </c>
      <c r="AD921" s="3">
        <v>22.98</v>
      </c>
      <c r="AE921" s="3">
        <v>0</v>
      </c>
      <c r="AF921" s="3">
        <v>0</v>
      </c>
      <c r="AG921" s="3">
        <v>0</v>
      </c>
      <c r="AH921" s="3">
        <v>0.307692307692307</v>
      </c>
      <c r="AI921" s="3" t="s">
        <v>5311</v>
      </c>
      <c r="AJ921" s="3" t="s">
        <v>5222</v>
      </c>
    </row>
    <row r="922" spans="1:36">
      <c r="A922" s="5">
        <v>43288</v>
      </c>
      <c r="B922" s="3" t="s">
        <v>2928</v>
      </c>
      <c r="C922" s="3" t="s">
        <v>1341</v>
      </c>
      <c r="D922" s="3" t="s">
        <v>1341</v>
      </c>
      <c r="E922" s="3" t="s">
        <v>1725</v>
      </c>
      <c r="F922" s="3" t="s">
        <v>120</v>
      </c>
      <c r="G922" s="3">
        <v>2</v>
      </c>
      <c r="H922" s="3">
        <v>0</v>
      </c>
      <c r="I922" s="3">
        <v>2</v>
      </c>
      <c r="J922" s="3">
        <v>0</v>
      </c>
      <c r="K922" s="3">
        <v>0</v>
      </c>
      <c r="L922" s="3">
        <v>0</v>
      </c>
      <c r="M922" s="3">
        <v>0</v>
      </c>
      <c r="N922" s="3" t="s">
        <v>5218</v>
      </c>
      <c r="O922" s="3">
        <v>0</v>
      </c>
      <c r="P922" s="3">
        <v>0</v>
      </c>
      <c r="Q922" s="3">
        <v>0</v>
      </c>
      <c r="R922" s="3">
        <v>0</v>
      </c>
      <c r="S922" s="3">
        <v>2</v>
      </c>
      <c r="T922" s="3">
        <v>42</v>
      </c>
      <c r="U922" s="3">
        <v>73</v>
      </c>
      <c r="V922" s="3">
        <v>79</v>
      </c>
      <c r="W922" s="3"/>
      <c r="X922" s="3">
        <v>23.98</v>
      </c>
      <c r="Y922" s="3">
        <v>23.98</v>
      </c>
      <c r="Z922" s="3">
        <v>23.98</v>
      </c>
      <c r="AA922" s="3">
        <v>0</v>
      </c>
      <c r="AB922" s="3" t="s">
        <v>5223</v>
      </c>
      <c r="AC922" s="3">
        <v>0</v>
      </c>
      <c r="AD922" s="3">
        <v>0</v>
      </c>
      <c r="AE922" s="3">
        <v>0</v>
      </c>
      <c r="AF922" s="3">
        <v>0</v>
      </c>
      <c r="AG922" s="3">
        <v>0</v>
      </c>
      <c r="AH922" s="3">
        <v>5.18032786885245</v>
      </c>
      <c r="AI922" s="3" t="s">
        <v>5236</v>
      </c>
      <c r="AJ922" s="3" t="s">
        <v>5222</v>
      </c>
    </row>
    <row r="923" spans="1:36">
      <c r="A923" s="5">
        <v>43288</v>
      </c>
      <c r="B923" s="3" t="s">
        <v>2603</v>
      </c>
      <c r="C923" s="3" t="s">
        <v>1104</v>
      </c>
      <c r="D923" s="3" t="s">
        <v>1104</v>
      </c>
      <c r="E923" s="3" t="s">
        <v>1105</v>
      </c>
      <c r="F923" s="3" t="s">
        <v>120</v>
      </c>
      <c r="G923" s="3">
        <v>25</v>
      </c>
      <c r="H923" s="3">
        <v>0</v>
      </c>
      <c r="I923" s="3">
        <v>10</v>
      </c>
      <c r="J923" s="3">
        <v>0</v>
      </c>
      <c r="K923" s="3">
        <v>15</v>
      </c>
      <c r="L923" s="3">
        <v>0</v>
      </c>
      <c r="M923" s="3">
        <v>0</v>
      </c>
      <c r="N923" s="3" t="s">
        <v>5218</v>
      </c>
      <c r="O923" s="3">
        <v>15</v>
      </c>
      <c r="P923" s="3">
        <v>25.26</v>
      </c>
      <c r="Q923" s="3">
        <v>0</v>
      </c>
      <c r="R923" s="3">
        <v>0</v>
      </c>
      <c r="S923" s="3">
        <v>1</v>
      </c>
      <c r="T923" s="3">
        <v>3</v>
      </c>
      <c r="U923" s="3">
        <v>3</v>
      </c>
      <c r="V923" s="3">
        <v>3</v>
      </c>
      <c r="W923" s="3"/>
      <c r="X923" s="3">
        <v>22.98</v>
      </c>
      <c r="Y923" s="3">
        <v>22.98</v>
      </c>
      <c r="Z923" s="3">
        <v>22.98</v>
      </c>
      <c r="AA923" s="3">
        <v>0</v>
      </c>
      <c r="AB923" s="3" t="s">
        <v>5228</v>
      </c>
      <c r="AC923" s="3">
        <v>12</v>
      </c>
      <c r="AD923" s="3">
        <v>18.38</v>
      </c>
      <c r="AE923" s="3">
        <v>210</v>
      </c>
      <c r="AF923" s="3">
        <v>0</v>
      </c>
      <c r="AG923" s="3">
        <v>11.584691</v>
      </c>
      <c r="AH923" s="3">
        <v>0.151898734177215</v>
      </c>
      <c r="AI923" s="3" t="s">
        <v>5238</v>
      </c>
      <c r="AJ923" s="3" t="s">
        <v>5222</v>
      </c>
    </row>
    <row r="924" spans="1:36">
      <c r="A924" s="5">
        <v>43288</v>
      </c>
      <c r="B924" s="3" t="s">
        <v>1248</v>
      </c>
      <c r="C924" s="3" t="s">
        <v>1249</v>
      </c>
      <c r="D924" s="3" t="s">
        <v>533</v>
      </c>
      <c r="E924" s="3" t="s">
        <v>782</v>
      </c>
      <c r="F924" s="3" t="s">
        <v>120</v>
      </c>
      <c r="G924" s="3">
        <v>24</v>
      </c>
      <c r="H924" s="3">
        <v>0</v>
      </c>
      <c r="I924" s="3">
        <v>24</v>
      </c>
      <c r="J924" s="3">
        <v>0</v>
      </c>
      <c r="K924" s="3">
        <v>0</v>
      </c>
      <c r="L924" s="3">
        <v>0</v>
      </c>
      <c r="M924" s="3">
        <v>0</v>
      </c>
      <c r="N924" s="3" t="s">
        <v>5218</v>
      </c>
      <c r="O924" s="3">
        <v>0</v>
      </c>
      <c r="P924" s="3">
        <v>0</v>
      </c>
      <c r="Q924" s="3">
        <v>0</v>
      </c>
      <c r="R924" s="3">
        <v>0</v>
      </c>
      <c r="S924" s="3">
        <v>4</v>
      </c>
      <c r="T924" s="3">
        <v>5</v>
      </c>
      <c r="U924" s="3">
        <v>5</v>
      </c>
      <c r="V924" s="3">
        <v>5</v>
      </c>
      <c r="W924" s="3"/>
      <c r="X924" s="3">
        <v>22.98</v>
      </c>
      <c r="Y924" s="3">
        <v>22.98</v>
      </c>
      <c r="Z924" s="3">
        <v>22.98</v>
      </c>
      <c r="AA924" s="3">
        <v>0</v>
      </c>
      <c r="AB924" s="3" t="s">
        <v>5223</v>
      </c>
      <c r="AC924" s="3">
        <v>25</v>
      </c>
      <c r="AD924" s="3">
        <v>22.98</v>
      </c>
      <c r="AE924" s="3">
        <v>0</v>
      </c>
      <c r="AF924" s="3">
        <v>0</v>
      </c>
      <c r="AG924" s="3">
        <v>0</v>
      </c>
      <c r="AH924" s="3">
        <v>1</v>
      </c>
      <c r="AI924" s="3" t="s">
        <v>5225</v>
      </c>
      <c r="AJ924" s="3" t="s">
        <v>5222</v>
      </c>
    </row>
    <row r="925" spans="1:36">
      <c r="A925" s="5">
        <v>43288</v>
      </c>
      <c r="B925" s="3" t="s">
        <v>676</v>
      </c>
      <c r="C925" s="3" t="s">
        <v>677</v>
      </c>
      <c r="D925" s="3" t="s">
        <v>677</v>
      </c>
      <c r="E925" s="3" t="s">
        <v>678</v>
      </c>
      <c r="F925" s="3" t="s">
        <v>120</v>
      </c>
      <c r="G925" s="3">
        <v>2</v>
      </c>
      <c r="H925" s="3">
        <v>0</v>
      </c>
      <c r="I925" s="3">
        <v>2</v>
      </c>
      <c r="J925" s="3">
        <v>0</v>
      </c>
      <c r="K925" s="3">
        <v>0</v>
      </c>
      <c r="L925" s="3">
        <v>0</v>
      </c>
      <c r="M925" s="3">
        <v>0</v>
      </c>
      <c r="N925" s="3" t="s">
        <v>5218</v>
      </c>
      <c r="O925" s="3">
        <v>0</v>
      </c>
      <c r="P925" s="3">
        <v>0</v>
      </c>
      <c r="Q925" s="3">
        <v>0</v>
      </c>
      <c r="R925" s="3">
        <v>0</v>
      </c>
      <c r="S925" s="3">
        <v>2</v>
      </c>
      <c r="T925" s="3">
        <v>5</v>
      </c>
      <c r="U925" s="3">
        <v>10</v>
      </c>
      <c r="V925" s="3">
        <v>11</v>
      </c>
      <c r="W925" s="3"/>
      <c r="X925" s="3">
        <v>24.98</v>
      </c>
      <c r="Y925" s="3">
        <v>24.98</v>
      </c>
      <c r="Z925" s="3">
        <v>24.98</v>
      </c>
      <c r="AA925" s="3">
        <v>0</v>
      </c>
      <c r="AB925" s="3" t="s">
        <v>5223</v>
      </c>
      <c r="AC925" s="3">
        <v>3</v>
      </c>
      <c r="AD925" s="3">
        <v>24.98</v>
      </c>
      <c r="AE925" s="3">
        <v>0</v>
      </c>
      <c r="AF925" s="3">
        <v>0</v>
      </c>
      <c r="AG925" s="3">
        <v>0</v>
      </c>
      <c r="AH925" s="3">
        <v>1.69230769230769</v>
      </c>
      <c r="AI925" s="3" t="s">
        <v>5250</v>
      </c>
      <c r="AJ925" s="3" t="s">
        <v>5222</v>
      </c>
    </row>
    <row r="926" spans="1:36">
      <c r="A926" s="5">
        <v>43288</v>
      </c>
      <c r="B926" s="3" t="s">
        <v>4481</v>
      </c>
      <c r="C926" s="3" t="s">
        <v>3620</v>
      </c>
      <c r="D926" s="3" t="s">
        <v>3620</v>
      </c>
      <c r="E926" s="3" t="s">
        <v>3621</v>
      </c>
      <c r="F926" s="3" t="s">
        <v>120</v>
      </c>
      <c r="G926" s="3">
        <v>1</v>
      </c>
      <c r="H926" s="3">
        <v>0</v>
      </c>
      <c r="I926" s="3">
        <v>0</v>
      </c>
      <c r="J926" s="3">
        <v>1</v>
      </c>
      <c r="K926" s="3">
        <v>0</v>
      </c>
      <c r="L926" s="3">
        <v>0</v>
      </c>
      <c r="M926" s="3">
        <v>0</v>
      </c>
      <c r="N926" s="3" t="s">
        <v>5218</v>
      </c>
      <c r="O926" s="3">
        <v>0</v>
      </c>
      <c r="P926" s="3">
        <v>0</v>
      </c>
      <c r="Q926" s="3">
        <v>0</v>
      </c>
      <c r="R926" s="3">
        <v>0</v>
      </c>
      <c r="S926" s="3">
        <v>0</v>
      </c>
      <c r="T926" s="3">
        <v>0</v>
      </c>
      <c r="U926" s="3">
        <v>0</v>
      </c>
      <c r="V926" s="3">
        <v>1</v>
      </c>
      <c r="W926" s="3" t="s">
        <v>5219</v>
      </c>
      <c r="X926" s="3">
        <v>23.98</v>
      </c>
      <c r="Y926" s="3">
        <v>23.98</v>
      </c>
      <c r="Z926" s="3">
        <v>23.98</v>
      </c>
      <c r="AA926" s="3">
        <v>0</v>
      </c>
      <c r="AB926" s="3" t="s">
        <v>5220</v>
      </c>
      <c r="AC926" s="3">
        <v>1</v>
      </c>
      <c r="AD926" s="3">
        <v>23.98</v>
      </c>
      <c r="AE926" s="3">
        <v>0</v>
      </c>
      <c r="AF926" s="3">
        <v>0</v>
      </c>
      <c r="AG926" s="3">
        <v>0</v>
      </c>
      <c r="AH926" s="3">
        <v>0.8</v>
      </c>
      <c r="AI926" s="3" t="s">
        <v>5285</v>
      </c>
      <c r="AJ926" s="3" t="s">
        <v>5222</v>
      </c>
    </row>
    <row r="927" spans="1:36">
      <c r="A927" s="5">
        <v>43288</v>
      </c>
      <c r="B927" s="3" t="s">
        <v>1134</v>
      </c>
      <c r="C927" s="3" t="s">
        <v>1135</v>
      </c>
      <c r="D927" s="3" t="s">
        <v>1136</v>
      </c>
      <c r="E927" s="3" t="s">
        <v>1137</v>
      </c>
      <c r="F927" s="3" t="s">
        <v>120</v>
      </c>
      <c r="G927" s="3">
        <v>24</v>
      </c>
      <c r="H927" s="3">
        <v>0</v>
      </c>
      <c r="I927" s="3">
        <v>24</v>
      </c>
      <c r="J927" s="3">
        <v>0</v>
      </c>
      <c r="K927" s="3">
        <v>0</v>
      </c>
      <c r="L927" s="3">
        <v>0</v>
      </c>
      <c r="M927" s="3">
        <v>0</v>
      </c>
      <c r="N927" s="3" t="s">
        <v>5218</v>
      </c>
      <c r="O927" s="3">
        <v>0</v>
      </c>
      <c r="P927" s="3">
        <v>0</v>
      </c>
      <c r="Q927" s="3">
        <v>0</v>
      </c>
      <c r="R927" s="3">
        <v>0</v>
      </c>
      <c r="S927" s="3">
        <v>1</v>
      </c>
      <c r="T927" s="3">
        <v>1</v>
      </c>
      <c r="U927" s="3">
        <v>1</v>
      </c>
      <c r="V927" s="3">
        <v>1</v>
      </c>
      <c r="W927" s="3"/>
      <c r="X927" s="3">
        <v>22.98</v>
      </c>
      <c r="Y927" s="3">
        <v>22.98</v>
      </c>
      <c r="Z927" s="3">
        <v>22.98</v>
      </c>
      <c r="AA927" s="3">
        <v>0</v>
      </c>
      <c r="AB927" s="3" t="s">
        <v>5223</v>
      </c>
      <c r="AC927" s="3">
        <v>14</v>
      </c>
      <c r="AD927" s="3">
        <v>22.98</v>
      </c>
      <c r="AE927" s="3">
        <v>0</v>
      </c>
      <c r="AF927" s="3">
        <v>0</v>
      </c>
      <c r="AG927" s="3">
        <v>0</v>
      </c>
      <c r="AH927" s="3">
        <v>1.57575757575757</v>
      </c>
      <c r="AI927" s="3" t="s">
        <v>5238</v>
      </c>
      <c r="AJ927" s="3" t="s">
        <v>5222</v>
      </c>
    </row>
    <row r="928" spans="1:36">
      <c r="A928" s="5">
        <v>43288</v>
      </c>
      <c r="B928" s="3" t="s">
        <v>781</v>
      </c>
      <c r="C928" s="3" t="s">
        <v>533</v>
      </c>
      <c r="D928" s="3" t="s">
        <v>533</v>
      </c>
      <c r="E928" s="3" t="s">
        <v>782</v>
      </c>
      <c r="F928" s="3" t="s">
        <v>120</v>
      </c>
      <c r="G928" s="3">
        <v>4</v>
      </c>
      <c r="H928" s="3">
        <v>0</v>
      </c>
      <c r="I928" s="3">
        <v>4</v>
      </c>
      <c r="J928" s="3">
        <v>0</v>
      </c>
      <c r="K928" s="3">
        <v>0</v>
      </c>
      <c r="L928" s="3">
        <v>0</v>
      </c>
      <c r="M928" s="3">
        <v>0</v>
      </c>
      <c r="N928" s="3" t="s">
        <v>5218</v>
      </c>
      <c r="O928" s="3">
        <v>0</v>
      </c>
      <c r="P928" s="3">
        <v>0</v>
      </c>
      <c r="Q928" s="3">
        <v>0</v>
      </c>
      <c r="R928" s="3">
        <v>0</v>
      </c>
      <c r="S928" s="3">
        <v>1</v>
      </c>
      <c r="T928" s="3">
        <v>2</v>
      </c>
      <c r="U928" s="3">
        <v>9</v>
      </c>
      <c r="V928" s="3">
        <v>9</v>
      </c>
      <c r="W928" s="3"/>
      <c r="X928" s="3">
        <v>22.98</v>
      </c>
      <c r="Y928" s="3">
        <v>22.98</v>
      </c>
      <c r="Z928" s="3">
        <v>22.98</v>
      </c>
      <c r="AA928" s="3">
        <v>0</v>
      </c>
      <c r="AB928" s="3" t="s">
        <v>5223</v>
      </c>
      <c r="AC928" s="3">
        <v>5</v>
      </c>
      <c r="AD928" s="3">
        <v>22.98</v>
      </c>
      <c r="AE928" s="3">
        <v>0</v>
      </c>
      <c r="AF928" s="3">
        <v>0</v>
      </c>
      <c r="AG928" s="3">
        <v>0</v>
      </c>
      <c r="AH928" s="3">
        <v>1</v>
      </c>
      <c r="AI928" s="3" t="s">
        <v>5225</v>
      </c>
      <c r="AJ928" s="3" t="s">
        <v>5222</v>
      </c>
    </row>
    <row r="929" spans="1:36">
      <c r="A929" s="5">
        <v>43288</v>
      </c>
      <c r="B929" s="3" t="s">
        <v>1110</v>
      </c>
      <c r="C929" s="3" t="s">
        <v>1111</v>
      </c>
      <c r="D929" s="3" t="s">
        <v>1112</v>
      </c>
      <c r="E929" s="3" t="s">
        <v>1113</v>
      </c>
      <c r="F929" s="3" t="s">
        <v>120</v>
      </c>
      <c r="G929" s="3">
        <v>23</v>
      </c>
      <c r="H929" s="3">
        <v>0</v>
      </c>
      <c r="I929" s="3">
        <v>23</v>
      </c>
      <c r="J929" s="3">
        <v>0</v>
      </c>
      <c r="K929" s="3">
        <v>0</v>
      </c>
      <c r="L929" s="3">
        <v>0</v>
      </c>
      <c r="M929" s="3">
        <v>0</v>
      </c>
      <c r="N929" s="3" t="s">
        <v>5218</v>
      </c>
      <c r="O929" s="3">
        <v>0</v>
      </c>
      <c r="P929" s="3">
        <v>0</v>
      </c>
      <c r="Q929" s="3">
        <v>0</v>
      </c>
      <c r="R929" s="3">
        <v>0</v>
      </c>
      <c r="S929" s="3">
        <v>2</v>
      </c>
      <c r="T929" s="3">
        <v>2</v>
      </c>
      <c r="U929" s="3">
        <v>2</v>
      </c>
      <c r="V929" s="3">
        <v>2</v>
      </c>
      <c r="W929" s="3"/>
      <c r="X929" s="3">
        <v>22.98</v>
      </c>
      <c r="Y929" s="3">
        <v>22.98</v>
      </c>
      <c r="Z929" s="3">
        <v>22.98</v>
      </c>
      <c r="AA929" s="3">
        <v>0</v>
      </c>
      <c r="AB929" s="3" t="s">
        <v>5223</v>
      </c>
      <c r="AC929" s="3">
        <v>14</v>
      </c>
      <c r="AD929" s="3">
        <v>22.98</v>
      </c>
      <c r="AE929" s="3">
        <v>0</v>
      </c>
      <c r="AF929" s="3">
        <v>0</v>
      </c>
      <c r="AG929" s="3">
        <v>0</v>
      </c>
      <c r="AH929" s="3">
        <v>3.91666666666666</v>
      </c>
      <c r="AI929" s="3" t="s">
        <v>5238</v>
      </c>
      <c r="AJ929" s="3" t="s">
        <v>5222</v>
      </c>
    </row>
    <row r="930" spans="1:36">
      <c r="A930" s="5">
        <v>43288</v>
      </c>
      <c r="B930" s="3" t="s">
        <v>1506</v>
      </c>
      <c r="C930" s="3" t="s">
        <v>66</v>
      </c>
      <c r="D930" s="3" t="s">
        <v>66</v>
      </c>
      <c r="E930" s="3" t="s">
        <v>1507</v>
      </c>
      <c r="F930" s="3" t="s">
        <v>120</v>
      </c>
      <c r="G930" s="3">
        <v>8</v>
      </c>
      <c r="H930" s="3">
        <v>0</v>
      </c>
      <c r="I930" s="3">
        <v>0</v>
      </c>
      <c r="J930" s="3">
        <v>0</v>
      </c>
      <c r="K930" s="3">
        <v>8</v>
      </c>
      <c r="L930" s="3">
        <v>0</v>
      </c>
      <c r="M930" s="3">
        <v>0</v>
      </c>
      <c r="N930" s="3" t="s">
        <v>5218</v>
      </c>
      <c r="O930" s="3">
        <v>8</v>
      </c>
      <c r="P930" s="3">
        <v>9.81</v>
      </c>
      <c r="Q930" s="3">
        <v>0</v>
      </c>
      <c r="R930" s="3">
        <v>0</v>
      </c>
      <c r="S930" s="3">
        <v>0</v>
      </c>
      <c r="T930" s="3">
        <v>1</v>
      </c>
      <c r="U930" s="3">
        <v>2</v>
      </c>
      <c r="V930" s="3">
        <v>2</v>
      </c>
      <c r="W930" s="3"/>
      <c r="X930" s="3">
        <v>19.98</v>
      </c>
      <c r="Y930" s="3">
        <v>19.98</v>
      </c>
      <c r="Z930" s="3">
        <v>19.98</v>
      </c>
      <c r="AA930" s="3">
        <v>0</v>
      </c>
      <c r="AB930" s="3" t="s">
        <v>5223</v>
      </c>
      <c r="AC930" s="3">
        <v>8</v>
      </c>
      <c r="AD930" s="3">
        <v>19.98</v>
      </c>
      <c r="AE930" s="3">
        <v>0</v>
      </c>
      <c r="AF930" s="3">
        <v>0</v>
      </c>
      <c r="AG930" s="3">
        <v>0</v>
      </c>
      <c r="AH930" s="3">
        <v>0.216216216216216</v>
      </c>
      <c r="AI930" s="3" t="s">
        <v>5511</v>
      </c>
      <c r="AJ930" s="3" t="s">
        <v>5222</v>
      </c>
    </row>
    <row r="931" spans="1:36">
      <c r="A931" s="5">
        <v>43288</v>
      </c>
      <c r="B931" s="3" t="s">
        <v>2617</v>
      </c>
      <c r="C931" s="3" t="s">
        <v>1154</v>
      </c>
      <c r="D931" s="3" t="s">
        <v>1154</v>
      </c>
      <c r="E931" s="3" t="s">
        <v>1155</v>
      </c>
      <c r="F931" s="3" t="s">
        <v>120</v>
      </c>
      <c r="G931" s="3">
        <v>17</v>
      </c>
      <c r="H931" s="3">
        <v>0</v>
      </c>
      <c r="I931" s="3">
        <v>17</v>
      </c>
      <c r="J931" s="3">
        <v>0</v>
      </c>
      <c r="K931" s="3">
        <v>0</v>
      </c>
      <c r="L931" s="3">
        <v>0</v>
      </c>
      <c r="M931" s="3">
        <v>0</v>
      </c>
      <c r="N931" s="3" t="s">
        <v>5218</v>
      </c>
      <c r="O931" s="3">
        <v>0</v>
      </c>
      <c r="P931" s="3">
        <v>0</v>
      </c>
      <c r="Q931" s="3">
        <v>0</v>
      </c>
      <c r="R931" s="3">
        <v>0</v>
      </c>
      <c r="S931" s="3">
        <v>3</v>
      </c>
      <c r="T931" s="3">
        <v>14</v>
      </c>
      <c r="U931" s="3">
        <v>32</v>
      </c>
      <c r="V931" s="3">
        <v>45</v>
      </c>
      <c r="W931" s="3"/>
      <c r="X931" s="3">
        <v>35.98</v>
      </c>
      <c r="Y931" s="3">
        <v>22.98</v>
      </c>
      <c r="Z931" s="3">
        <v>22.98</v>
      </c>
      <c r="AA931" s="3">
        <v>0</v>
      </c>
      <c r="AB931" s="3" t="s">
        <v>5223</v>
      </c>
      <c r="AC931" s="3">
        <v>21</v>
      </c>
      <c r="AD931" s="3">
        <v>22.98</v>
      </c>
      <c r="AE931" s="3">
        <v>0</v>
      </c>
      <c r="AF931" s="3">
        <v>0</v>
      </c>
      <c r="AG931" s="3">
        <v>0</v>
      </c>
      <c r="AH931" s="3">
        <v>2.22222222222222</v>
      </c>
      <c r="AI931" s="3" t="s">
        <v>5238</v>
      </c>
      <c r="AJ931" s="3" t="s">
        <v>5222</v>
      </c>
    </row>
    <row r="932" spans="1:36">
      <c r="A932" s="5">
        <v>43288</v>
      </c>
      <c r="B932" s="3" t="s">
        <v>2772</v>
      </c>
      <c r="C932" s="3" t="s">
        <v>458</v>
      </c>
      <c r="D932" s="3" t="s">
        <v>458</v>
      </c>
      <c r="E932" s="3" t="s">
        <v>459</v>
      </c>
      <c r="F932" s="3" t="s">
        <v>120</v>
      </c>
      <c r="G932" s="3">
        <v>2</v>
      </c>
      <c r="H932" s="3">
        <v>0</v>
      </c>
      <c r="I932" s="3">
        <v>2</v>
      </c>
      <c r="J932" s="3">
        <v>0</v>
      </c>
      <c r="K932" s="3">
        <v>0</v>
      </c>
      <c r="L932" s="3">
        <v>0</v>
      </c>
      <c r="M932" s="3">
        <v>0</v>
      </c>
      <c r="N932" s="3" t="s">
        <v>5218</v>
      </c>
      <c r="O932" s="3">
        <v>0</v>
      </c>
      <c r="P932" s="3">
        <v>0</v>
      </c>
      <c r="Q932" s="3">
        <v>0</v>
      </c>
      <c r="R932" s="3">
        <v>0</v>
      </c>
      <c r="S932" s="3">
        <v>5</v>
      </c>
      <c r="T932" s="3">
        <v>20</v>
      </c>
      <c r="U932" s="3">
        <v>24</v>
      </c>
      <c r="V932" s="3">
        <v>33</v>
      </c>
      <c r="W932" s="3"/>
      <c r="X932" s="3">
        <v>24.98</v>
      </c>
      <c r="Y932" s="3">
        <v>23.98</v>
      </c>
      <c r="Z932" s="3">
        <v>23.98</v>
      </c>
      <c r="AA932" s="3">
        <v>0</v>
      </c>
      <c r="AB932" s="3" t="s">
        <v>5223</v>
      </c>
      <c r="AC932" s="3">
        <v>5</v>
      </c>
      <c r="AD932" s="3">
        <v>24.98</v>
      </c>
      <c r="AE932" s="3">
        <v>0</v>
      </c>
      <c r="AF932" s="3">
        <v>0</v>
      </c>
      <c r="AG932" s="3">
        <v>0</v>
      </c>
      <c r="AH932" s="3">
        <v>12</v>
      </c>
      <c r="AI932" s="3" t="s">
        <v>5257</v>
      </c>
      <c r="AJ932" s="3" t="s">
        <v>5222</v>
      </c>
    </row>
    <row r="933" spans="1:36">
      <c r="A933" s="5">
        <v>43288</v>
      </c>
      <c r="B933" s="3" t="s">
        <v>385</v>
      </c>
      <c r="C933" s="3" t="s">
        <v>386</v>
      </c>
      <c r="D933" s="3" t="s">
        <v>387</v>
      </c>
      <c r="E933" s="3" t="s">
        <v>388</v>
      </c>
      <c r="F933" s="3" t="s">
        <v>120</v>
      </c>
      <c r="G933" s="3">
        <v>21</v>
      </c>
      <c r="H933" s="3">
        <v>0</v>
      </c>
      <c r="I933" s="3">
        <v>21</v>
      </c>
      <c r="J933" s="3">
        <v>0</v>
      </c>
      <c r="K933" s="3">
        <v>0</v>
      </c>
      <c r="L933" s="3">
        <v>0</v>
      </c>
      <c r="M933" s="3">
        <v>0</v>
      </c>
      <c r="N933" s="3" t="s">
        <v>5218</v>
      </c>
      <c r="O933" s="3">
        <v>0</v>
      </c>
      <c r="P933" s="3">
        <v>0</v>
      </c>
      <c r="Q933" s="3">
        <v>0</v>
      </c>
      <c r="R933" s="3">
        <v>0</v>
      </c>
      <c r="S933" s="3">
        <v>0</v>
      </c>
      <c r="T933" s="3">
        <v>0</v>
      </c>
      <c r="U933" s="3">
        <v>0</v>
      </c>
      <c r="V933" s="3">
        <v>0</v>
      </c>
      <c r="W933" s="3" t="s">
        <v>5227</v>
      </c>
      <c r="X933" s="3">
        <v>22.98</v>
      </c>
      <c r="Y933" s="3">
        <v>22.98</v>
      </c>
      <c r="Z933" s="3">
        <v>22.98</v>
      </c>
      <c r="AA933" s="3">
        <v>0</v>
      </c>
      <c r="AB933" s="3" t="s">
        <v>5223</v>
      </c>
      <c r="AC933" s="3">
        <v>25</v>
      </c>
      <c r="AD933" s="3">
        <v>22.98</v>
      </c>
      <c r="AE933" s="3">
        <v>0</v>
      </c>
      <c r="AF933" s="3">
        <v>0</v>
      </c>
      <c r="AG933" s="3">
        <v>0</v>
      </c>
      <c r="AH933" s="3">
        <v>6.08</v>
      </c>
      <c r="AI933" s="3" t="s">
        <v>5257</v>
      </c>
      <c r="AJ933" s="3" t="s">
        <v>5222</v>
      </c>
    </row>
    <row r="934" spans="1:36">
      <c r="A934" s="5">
        <v>43288</v>
      </c>
      <c r="B934" s="3" t="s">
        <v>2477</v>
      </c>
      <c r="C934" s="3" t="s">
        <v>2478</v>
      </c>
      <c r="D934" s="3" t="s">
        <v>2478</v>
      </c>
      <c r="E934" s="3" t="s">
        <v>2479</v>
      </c>
      <c r="F934" s="3" t="s">
        <v>120</v>
      </c>
      <c r="G934" s="3">
        <v>16</v>
      </c>
      <c r="H934" s="3">
        <v>0</v>
      </c>
      <c r="I934" s="3">
        <v>0</v>
      </c>
      <c r="J934" s="3">
        <v>0</v>
      </c>
      <c r="K934" s="3">
        <v>16</v>
      </c>
      <c r="L934" s="3">
        <v>0</v>
      </c>
      <c r="M934" s="3">
        <v>0</v>
      </c>
      <c r="N934" s="3" t="s">
        <v>5218</v>
      </c>
      <c r="O934" s="3">
        <v>16</v>
      </c>
      <c r="P934" s="3">
        <v>26.26</v>
      </c>
      <c r="Q934" s="3">
        <v>0</v>
      </c>
      <c r="R934" s="3">
        <v>0</v>
      </c>
      <c r="S934" s="3">
        <v>0</v>
      </c>
      <c r="T934" s="3">
        <v>0</v>
      </c>
      <c r="U934" s="3">
        <v>0</v>
      </c>
      <c r="V934" s="3">
        <v>2</v>
      </c>
      <c r="W934" s="3" t="s">
        <v>5227</v>
      </c>
      <c r="X934" s="3">
        <v>22.98</v>
      </c>
      <c r="Y934" s="3">
        <v>22.98</v>
      </c>
      <c r="Z934" s="3">
        <v>22</v>
      </c>
      <c r="AA934" s="3">
        <v>0</v>
      </c>
      <c r="AB934" s="3" t="s">
        <v>5228</v>
      </c>
      <c r="AC934" s="3">
        <v>0</v>
      </c>
      <c r="AD934" s="3">
        <v>17.54</v>
      </c>
      <c r="AE934" s="3">
        <v>364</v>
      </c>
      <c r="AF934" s="3">
        <v>0</v>
      </c>
      <c r="AG934" s="3">
        <v>360.454115</v>
      </c>
      <c r="AH934" s="3">
        <v>0.121212121212121</v>
      </c>
      <c r="AI934" s="3" t="s">
        <v>5240</v>
      </c>
      <c r="AJ934" s="3" t="s">
        <v>5222</v>
      </c>
    </row>
    <row r="935" spans="1:36">
      <c r="A935" s="5">
        <v>43288</v>
      </c>
      <c r="B935" s="3" t="s">
        <v>2340</v>
      </c>
      <c r="C935" s="3" t="s">
        <v>2341</v>
      </c>
      <c r="D935" s="3" t="s">
        <v>2341</v>
      </c>
      <c r="E935" s="3" t="s">
        <v>2342</v>
      </c>
      <c r="F935" s="3" t="s">
        <v>120</v>
      </c>
      <c r="G935" s="3">
        <v>15</v>
      </c>
      <c r="H935" s="3">
        <v>0</v>
      </c>
      <c r="I935" s="3">
        <v>15</v>
      </c>
      <c r="J935" s="3">
        <v>0</v>
      </c>
      <c r="K935" s="3">
        <v>0</v>
      </c>
      <c r="L935" s="3">
        <v>0</v>
      </c>
      <c r="M935" s="3">
        <v>0</v>
      </c>
      <c r="N935" s="3" t="s">
        <v>5218</v>
      </c>
      <c r="O935" s="3">
        <v>0</v>
      </c>
      <c r="P935" s="3">
        <v>0</v>
      </c>
      <c r="Q935" s="3">
        <v>0</v>
      </c>
      <c r="R935" s="3">
        <v>0</v>
      </c>
      <c r="S935" s="3">
        <v>0</v>
      </c>
      <c r="T935" s="3">
        <v>1</v>
      </c>
      <c r="U935" s="3">
        <v>3</v>
      </c>
      <c r="V935" s="3">
        <v>5</v>
      </c>
      <c r="W935" s="3"/>
      <c r="X935" s="3">
        <v>22.98</v>
      </c>
      <c r="Y935" s="3">
        <v>22.98</v>
      </c>
      <c r="Z935" s="3">
        <v>22.98</v>
      </c>
      <c r="AA935" s="3">
        <v>0</v>
      </c>
      <c r="AB935" s="3" t="s">
        <v>5223</v>
      </c>
      <c r="AC935" s="3">
        <v>15</v>
      </c>
      <c r="AD935" s="3">
        <v>22.98</v>
      </c>
      <c r="AE935" s="3">
        <v>0</v>
      </c>
      <c r="AF935" s="3">
        <v>0</v>
      </c>
      <c r="AG935" s="3">
        <v>0</v>
      </c>
      <c r="AH935" s="3">
        <v>0.444444444444444</v>
      </c>
      <c r="AI935" s="3" t="s">
        <v>5233</v>
      </c>
      <c r="AJ935" s="3" t="s">
        <v>5222</v>
      </c>
    </row>
    <row r="936" spans="1:36">
      <c r="A936" s="5">
        <v>43288</v>
      </c>
      <c r="B936" s="3" t="s">
        <v>4576</v>
      </c>
      <c r="C936" s="3" t="s">
        <v>4027</v>
      </c>
      <c r="D936" s="3" t="s">
        <v>4027</v>
      </c>
      <c r="E936" s="3" t="s">
        <v>4028</v>
      </c>
      <c r="F936" s="3" t="s">
        <v>120</v>
      </c>
      <c r="G936" s="3">
        <v>4</v>
      </c>
      <c r="H936" s="3">
        <v>0</v>
      </c>
      <c r="I936" s="3">
        <v>4</v>
      </c>
      <c r="J936" s="3">
        <v>0</v>
      </c>
      <c r="K936" s="3">
        <v>0</v>
      </c>
      <c r="L936" s="3">
        <v>0</v>
      </c>
      <c r="M936" s="3">
        <v>0</v>
      </c>
      <c r="N936" s="3" t="s">
        <v>5218</v>
      </c>
      <c r="O936" s="3">
        <v>0</v>
      </c>
      <c r="P936" s="3">
        <v>0</v>
      </c>
      <c r="Q936" s="3">
        <v>0</v>
      </c>
      <c r="R936" s="3">
        <v>0</v>
      </c>
      <c r="S936" s="3">
        <v>4</v>
      </c>
      <c r="T936" s="3">
        <v>8</v>
      </c>
      <c r="U936" s="3">
        <v>13</v>
      </c>
      <c r="V936" s="3">
        <v>17</v>
      </c>
      <c r="W936" s="3"/>
      <c r="X936" s="3">
        <v>20.98</v>
      </c>
      <c r="Y936" s="3">
        <v>20.98</v>
      </c>
      <c r="Z936" s="3">
        <v>20.98</v>
      </c>
      <c r="AA936" s="3">
        <v>0</v>
      </c>
      <c r="AB936" s="3" t="s">
        <v>5223</v>
      </c>
      <c r="AC936" s="3">
        <v>8</v>
      </c>
      <c r="AD936" s="3">
        <v>20.98</v>
      </c>
      <c r="AE936" s="3">
        <v>0</v>
      </c>
      <c r="AF936" s="3">
        <v>0</v>
      </c>
      <c r="AG936" s="3">
        <v>0</v>
      </c>
      <c r="AH936" s="3">
        <v>6.18181818181818</v>
      </c>
      <c r="AI936" s="3" t="s">
        <v>5226</v>
      </c>
      <c r="AJ936" s="3" t="s">
        <v>5222</v>
      </c>
    </row>
    <row r="937" spans="1:36">
      <c r="A937" s="5">
        <v>43288</v>
      </c>
      <c r="B937" s="3" t="s">
        <v>4862</v>
      </c>
      <c r="C937" s="3" t="s">
        <v>4863</v>
      </c>
      <c r="D937" s="3" t="s">
        <v>4863</v>
      </c>
      <c r="E937" s="3" t="s">
        <v>5512</v>
      </c>
      <c r="F937" s="3" t="s">
        <v>120</v>
      </c>
      <c r="G937" s="3">
        <v>4</v>
      </c>
      <c r="H937" s="3">
        <v>0</v>
      </c>
      <c r="I937" s="3">
        <v>1</v>
      </c>
      <c r="J937" s="3">
        <v>0</v>
      </c>
      <c r="K937" s="3">
        <v>3</v>
      </c>
      <c r="L937" s="3">
        <v>0</v>
      </c>
      <c r="M937" s="3">
        <v>0</v>
      </c>
      <c r="N937" s="3" t="s">
        <v>5218</v>
      </c>
      <c r="O937" s="3">
        <v>3</v>
      </c>
      <c r="P937" s="3">
        <v>6.92</v>
      </c>
      <c r="Q937" s="3">
        <v>0</v>
      </c>
      <c r="R937" s="3">
        <v>0</v>
      </c>
      <c r="S937" s="3">
        <v>0</v>
      </c>
      <c r="T937" s="3">
        <v>2</v>
      </c>
      <c r="U937" s="3">
        <v>3</v>
      </c>
      <c r="V937" s="3">
        <v>3</v>
      </c>
      <c r="W937" s="3"/>
      <c r="X937" s="3">
        <v>15</v>
      </c>
      <c r="Y937" s="3">
        <v>15</v>
      </c>
      <c r="Z937" s="3">
        <v>15</v>
      </c>
      <c r="AA937" s="3">
        <v>0</v>
      </c>
      <c r="AB937" s="3" t="s">
        <v>5223</v>
      </c>
      <c r="AC937" s="3">
        <v>4</v>
      </c>
      <c r="AD937" s="3">
        <v>15</v>
      </c>
      <c r="AE937" s="3">
        <v>0</v>
      </c>
      <c r="AF937" s="3">
        <v>0</v>
      </c>
      <c r="AG937" s="3">
        <v>0</v>
      </c>
      <c r="AH937" s="3">
        <v>0.545454545454545</v>
      </c>
      <c r="AI937" s="3" t="s">
        <v>5245</v>
      </c>
      <c r="AJ937" s="3" t="s">
        <v>5222</v>
      </c>
    </row>
    <row r="938" spans="1:36">
      <c r="A938" s="5">
        <v>43288</v>
      </c>
      <c r="B938" s="3" t="s">
        <v>3168</v>
      </c>
      <c r="C938" s="3" t="s">
        <v>3169</v>
      </c>
      <c r="D938" s="3" t="s">
        <v>3169</v>
      </c>
      <c r="E938" s="3" t="s">
        <v>3170</v>
      </c>
      <c r="F938" s="3" t="s">
        <v>120</v>
      </c>
      <c r="G938" s="3">
        <v>5</v>
      </c>
      <c r="H938" s="3">
        <v>0</v>
      </c>
      <c r="I938" s="3">
        <v>2</v>
      </c>
      <c r="J938" s="3">
        <v>0</v>
      </c>
      <c r="K938" s="3">
        <v>0</v>
      </c>
      <c r="L938" s="3">
        <v>3</v>
      </c>
      <c r="M938" s="3">
        <v>0</v>
      </c>
      <c r="N938" s="3" t="s">
        <v>5218</v>
      </c>
      <c r="O938" s="3">
        <v>2</v>
      </c>
      <c r="P938" s="3">
        <v>1.79</v>
      </c>
      <c r="Q938" s="3">
        <v>1</v>
      </c>
      <c r="R938" s="3">
        <v>1.79</v>
      </c>
      <c r="S938" s="3">
        <v>0</v>
      </c>
      <c r="T938" s="3">
        <v>0</v>
      </c>
      <c r="U938" s="3">
        <v>2</v>
      </c>
      <c r="V938" s="3">
        <v>2</v>
      </c>
      <c r="W938" s="3" t="s">
        <v>5227</v>
      </c>
      <c r="X938" s="3">
        <v>15.98</v>
      </c>
      <c r="Y938" s="3">
        <v>15.98</v>
      </c>
      <c r="Z938" s="3">
        <v>15.98</v>
      </c>
      <c r="AA938" s="3">
        <v>0</v>
      </c>
      <c r="AB938" s="3" t="s">
        <v>5228</v>
      </c>
      <c r="AC938" s="3">
        <v>0</v>
      </c>
      <c r="AD938" s="3">
        <v>8.26</v>
      </c>
      <c r="AE938" s="3">
        <v>35</v>
      </c>
      <c r="AF938" s="3">
        <v>0</v>
      </c>
      <c r="AG938" s="3">
        <v>35.369938</v>
      </c>
      <c r="AH938" s="3">
        <v>0.421052631578947</v>
      </c>
      <c r="AI938" s="3" t="s">
        <v>5231</v>
      </c>
      <c r="AJ938" s="3" t="s">
        <v>5222</v>
      </c>
    </row>
    <row r="939" spans="1:36">
      <c r="A939" s="5">
        <v>43288</v>
      </c>
      <c r="B939" s="3" t="s">
        <v>3075</v>
      </c>
      <c r="C939" s="3" t="s">
        <v>3076</v>
      </c>
      <c r="D939" s="3" t="s">
        <v>3076</v>
      </c>
      <c r="E939" s="3" t="s">
        <v>3077</v>
      </c>
      <c r="F939" s="3" t="s">
        <v>120</v>
      </c>
      <c r="G939" s="3">
        <v>17</v>
      </c>
      <c r="H939" s="3">
        <v>0</v>
      </c>
      <c r="I939" s="3">
        <v>17</v>
      </c>
      <c r="J939" s="3">
        <v>0</v>
      </c>
      <c r="K939" s="3">
        <v>0</v>
      </c>
      <c r="L939" s="3">
        <v>0</v>
      </c>
      <c r="M939" s="3">
        <v>0</v>
      </c>
      <c r="N939" s="3" t="s">
        <v>5218</v>
      </c>
      <c r="O939" s="3">
        <v>0</v>
      </c>
      <c r="P939" s="3">
        <v>0</v>
      </c>
      <c r="Q939" s="3">
        <v>0</v>
      </c>
      <c r="R939" s="3">
        <v>0</v>
      </c>
      <c r="S939" s="3">
        <v>2</v>
      </c>
      <c r="T939" s="3">
        <v>13</v>
      </c>
      <c r="U939" s="3">
        <v>25</v>
      </c>
      <c r="V939" s="3">
        <v>37</v>
      </c>
      <c r="W939" s="3"/>
      <c r="X939" s="3">
        <v>23.98</v>
      </c>
      <c r="Y939" s="3">
        <v>23.98</v>
      </c>
      <c r="Z939" s="3">
        <v>23.98</v>
      </c>
      <c r="AA939" s="3">
        <v>0</v>
      </c>
      <c r="AB939" s="3" t="s">
        <v>5223</v>
      </c>
      <c r="AC939" s="3">
        <v>19</v>
      </c>
      <c r="AD939" s="3">
        <v>23.98</v>
      </c>
      <c r="AE939" s="3">
        <v>0</v>
      </c>
      <c r="AF939" s="3">
        <v>0</v>
      </c>
      <c r="AG939" s="3">
        <v>0</v>
      </c>
      <c r="AH939" s="3">
        <v>2.24242424242424</v>
      </c>
      <c r="AI939" s="3" t="s">
        <v>5513</v>
      </c>
      <c r="AJ939" s="3" t="s">
        <v>5222</v>
      </c>
    </row>
    <row r="940" spans="1:36">
      <c r="A940" s="5">
        <v>43288</v>
      </c>
      <c r="B940" s="3" t="s">
        <v>1965</v>
      </c>
      <c r="C940" s="3" t="s">
        <v>132</v>
      </c>
      <c r="D940" s="3" t="s">
        <v>132</v>
      </c>
      <c r="E940" s="3" t="s">
        <v>1966</v>
      </c>
      <c r="F940" s="3" t="s">
        <v>120</v>
      </c>
      <c r="G940" s="3">
        <v>58</v>
      </c>
      <c r="H940" s="3">
        <v>0</v>
      </c>
      <c r="I940" s="3">
        <v>1</v>
      </c>
      <c r="J940" s="3">
        <v>2</v>
      </c>
      <c r="K940" s="3">
        <v>55</v>
      </c>
      <c r="L940" s="3">
        <v>0</v>
      </c>
      <c r="M940" s="3">
        <v>0</v>
      </c>
      <c r="N940" s="3" t="s">
        <v>5218</v>
      </c>
      <c r="O940" s="3">
        <v>57</v>
      </c>
      <c r="P940" s="3">
        <v>106.64</v>
      </c>
      <c r="Q940" s="3">
        <v>0</v>
      </c>
      <c r="R940" s="3">
        <v>0</v>
      </c>
      <c r="S940" s="3">
        <v>0</v>
      </c>
      <c r="T940" s="3">
        <v>0</v>
      </c>
      <c r="U940" s="3">
        <v>0</v>
      </c>
      <c r="V940" s="3">
        <v>0</v>
      </c>
      <c r="W940" s="3" t="s">
        <v>5219</v>
      </c>
      <c r="X940" s="3">
        <v>22.98</v>
      </c>
      <c r="Y940" s="3">
        <v>22.98</v>
      </c>
      <c r="Z940" s="3">
        <v>14.98</v>
      </c>
      <c r="AA940" s="3">
        <v>0</v>
      </c>
      <c r="AB940" s="3" t="s">
        <v>5228</v>
      </c>
      <c r="AC940" s="3">
        <v>0</v>
      </c>
      <c r="AD940" s="3">
        <v>14.98</v>
      </c>
      <c r="AE940" s="3">
        <v>364</v>
      </c>
      <c r="AF940" s="3">
        <v>0</v>
      </c>
      <c r="AG940" s="3">
        <v>1409.807125</v>
      </c>
      <c r="AH940" s="3">
        <v>0</v>
      </c>
      <c r="AI940" s="3" t="s">
        <v>5270</v>
      </c>
      <c r="AJ940" s="3" t="s">
        <v>5222</v>
      </c>
    </row>
    <row r="941" spans="1:36">
      <c r="A941" s="5">
        <v>43288</v>
      </c>
      <c r="B941" s="3" t="s">
        <v>2582</v>
      </c>
      <c r="C941" s="3" t="s">
        <v>1048</v>
      </c>
      <c r="D941" s="3" t="s">
        <v>1048</v>
      </c>
      <c r="E941" s="3" t="s">
        <v>1049</v>
      </c>
      <c r="F941" s="3" t="s">
        <v>120</v>
      </c>
      <c r="G941" s="3">
        <v>19</v>
      </c>
      <c r="H941" s="3">
        <v>0</v>
      </c>
      <c r="I941" s="3">
        <v>19</v>
      </c>
      <c r="J941" s="3">
        <v>0</v>
      </c>
      <c r="K941" s="3">
        <v>0</v>
      </c>
      <c r="L941" s="3">
        <v>0</v>
      </c>
      <c r="M941" s="3">
        <v>0</v>
      </c>
      <c r="N941" s="3" t="s">
        <v>5218</v>
      </c>
      <c r="O941" s="3">
        <v>0</v>
      </c>
      <c r="P941" s="3">
        <v>0</v>
      </c>
      <c r="Q941" s="3">
        <v>0</v>
      </c>
      <c r="R941" s="3">
        <v>0</v>
      </c>
      <c r="S941" s="3">
        <v>4</v>
      </c>
      <c r="T941" s="3">
        <v>19</v>
      </c>
      <c r="U941" s="3">
        <v>33</v>
      </c>
      <c r="V941" s="3">
        <v>45</v>
      </c>
      <c r="W941" s="3"/>
      <c r="X941" s="3">
        <v>35.98</v>
      </c>
      <c r="Y941" s="3">
        <v>22.98</v>
      </c>
      <c r="Z941" s="3">
        <v>22.98</v>
      </c>
      <c r="AA941" s="3">
        <v>0</v>
      </c>
      <c r="AB941" s="3" t="s">
        <v>5223</v>
      </c>
      <c r="AC941" s="3">
        <v>23</v>
      </c>
      <c r="AD941" s="3">
        <v>22.98</v>
      </c>
      <c r="AE941" s="3">
        <v>0</v>
      </c>
      <c r="AF941" s="3">
        <v>0</v>
      </c>
      <c r="AG941" s="3">
        <v>0</v>
      </c>
      <c r="AH941" s="3">
        <v>3.75</v>
      </c>
      <c r="AI941" s="3" t="s">
        <v>5238</v>
      </c>
      <c r="AJ941" s="3" t="s">
        <v>5222</v>
      </c>
    </row>
    <row r="942" spans="1:36">
      <c r="A942" s="5">
        <v>43288</v>
      </c>
      <c r="B942" s="3" t="s">
        <v>2939</v>
      </c>
      <c r="C942" s="3" t="s">
        <v>2940</v>
      </c>
      <c r="D942" s="3" t="s">
        <v>2940</v>
      </c>
      <c r="E942" s="3" t="s">
        <v>2941</v>
      </c>
      <c r="F942" s="3" t="s">
        <v>120</v>
      </c>
      <c r="G942" s="3">
        <v>6</v>
      </c>
      <c r="H942" s="3">
        <v>0</v>
      </c>
      <c r="I942" s="3">
        <v>6</v>
      </c>
      <c r="J942" s="3">
        <v>0</v>
      </c>
      <c r="K942" s="3">
        <v>0</v>
      </c>
      <c r="L942" s="3">
        <v>0</v>
      </c>
      <c r="M942" s="3">
        <v>0</v>
      </c>
      <c r="N942" s="3" t="s">
        <v>5218</v>
      </c>
      <c r="O942" s="3">
        <v>0</v>
      </c>
      <c r="P942" s="3">
        <v>0</v>
      </c>
      <c r="Q942" s="3">
        <v>0</v>
      </c>
      <c r="R942" s="3">
        <v>0</v>
      </c>
      <c r="S942" s="3">
        <v>0</v>
      </c>
      <c r="T942" s="3">
        <v>0</v>
      </c>
      <c r="U942" s="3">
        <v>0</v>
      </c>
      <c r="V942" s="3">
        <v>0</v>
      </c>
      <c r="W942" s="3" t="s">
        <v>5219</v>
      </c>
      <c r="X942" s="3">
        <v>39.98</v>
      </c>
      <c r="Y942" s="3">
        <v>39.98</v>
      </c>
      <c r="Z942" s="3">
        <v>39.98</v>
      </c>
      <c r="AA942" s="3">
        <v>0</v>
      </c>
      <c r="AB942" s="3" t="s">
        <v>5220</v>
      </c>
      <c r="AC942" s="3">
        <v>6</v>
      </c>
      <c r="AD942" s="3">
        <v>39.98</v>
      </c>
      <c r="AE942" s="3">
        <v>0</v>
      </c>
      <c r="AF942" s="3">
        <v>0</v>
      </c>
      <c r="AG942" s="3">
        <v>0</v>
      </c>
      <c r="AH942" s="3">
        <v>0</v>
      </c>
      <c r="AI942" s="3" t="s">
        <v>5236</v>
      </c>
      <c r="AJ942" s="3" t="s">
        <v>5222</v>
      </c>
    </row>
    <row r="943" spans="1:36">
      <c r="A943" s="5">
        <v>43288</v>
      </c>
      <c r="B943" s="3" t="s">
        <v>2207</v>
      </c>
      <c r="C943" s="3" t="s">
        <v>2208</v>
      </c>
      <c r="D943" s="3" t="s">
        <v>2208</v>
      </c>
      <c r="E943" s="3" t="s">
        <v>2209</v>
      </c>
      <c r="F943" s="3" t="s">
        <v>120</v>
      </c>
      <c r="G943" s="3">
        <v>5</v>
      </c>
      <c r="H943" s="3">
        <v>0</v>
      </c>
      <c r="I943" s="3">
        <v>3</v>
      </c>
      <c r="J943" s="3">
        <v>2</v>
      </c>
      <c r="K943" s="3">
        <v>0</v>
      </c>
      <c r="L943" s="3">
        <v>0</v>
      </c>
      <c r="M943" s="3">
        <v>0</v>
      </c>
      <c r="N943" s="3" t="s">
        <v>5218</v>
      </c>
      <c r="O943" s="3">
        <v>0</v>
      </c>
      <c r="P943" s="3">
        <v>0</v>
      </c>
      <c r="Q943" s="3">
        <v>0</v>
      </c>
      <c r="R943" s="3">
        <v>0</v>
      </c>
      <c r="S943" s="3">
        <v>1</v>
      </c>
      <c r="T943" s="3">
        <v>5</v>
      </c>
      <c r="U943" s="3">
        <v>8</v>
      </c>
      <c r="V943" s="3">
        <v>10</v>
      </c>
      <c r="W943" s="3"/>
      <c r="X943" s="3">
        <v>22.98</v>
      </c>
      <c r="Y943" s="3">
        <v>22.98</v>
      </c>
      <c r="Z943" s="3">
        <v>22</v>
      </c>
      <c r="AA943" s="3">
        <v>0</v>
      </c>
      <c r="AB943" s="3" t="s">
        <v>5223</v>
      </c>
      <c r="AC943" s="3">
        <v>5</v>
      </c>
      <c r="AD943" s="3">
        <v>22.98</v>
      </c>
      <c r="AE943" s="3">
        <v>0</v>
      </c>
      <c r="AF943" s="3">
        <v>0</v>
      </c>
      <c r="AG943" s="3">
        <v>0</v>
      </c>
      <c r="AH943" s="3">
        <v>1.05263157894736</v>
      </c>
      <c r="AI943" s="3" t="s">
        <v>5260</v>
      </c>
      <c r="AJ943" s="3" t="s">
        <v>5222</v>
      </c>
    </row>
    <row r="944" spans="1:36">
      <c r="A944" s="5">
        <v>43288</v>
      </c>
      <c r="B944" s="3" t="s">
        <v>2953</v>
      </c>
      <c r="C944" s="3" t="s">
        <v>1412</v>
      </c>
      <c r="D944" s="3" t="s">
        <v>1412</v>
      </c>
      <c r="E944" s="3" t="s">
        <v>1413</v>
      </c>
      <c r="F944" s="3" t="s">
        <v>120</v>
      </c>
      <c r="G944" s="3">
        <v>29</v>
      </c>
      <c r="H944" s="3">
        <v>0</v>
      </c>
      <c r="I944" s="3">
        <v>29</v>
      </c>
      <c r="J944" s="3">
        <v>0</v>
      </c>
      <c r="K944" s="3">
        <v>0</v>
      </c>
      <c r="L944" s="3">
        <v>0</v>
      </c>
      <c r="M944" s="3">
        <v>0</v>
      </c>
      <c r="N944" s="3" t="s">
        <v>5218</v>
      </c>
      <c r="O944" s="3">
        <v>0</v>
      </c>
      <c r="P944" s="3">
        <v>0</v>
      </c>
      <c r="Q944" s="3">
        <v>0</v>
      </c>
      <c r="R944" s="3">
        <v>0</v>
      </c>
      <c r="S944" s="3">
        <v>11</v>
      </c>
      <c r="T944" s="3">
        <v>52</v>
      </c>
      <c r="U944" s="3">
        <v>119</v>
      </c>
      <c r="V944" s="3">
        <v>151</v>
      </c>
      <c r="W944" s="3"/>
      <c r="X944" s="3">
        <v>24.98</v>
      </c>
      <c r="Y944" s="3">
        <v>24.98</v>
      </c>
      <c r="Z944" s="3">
        <v>24.98</v>
      </c>
      <c r="AA944" s="3">
        <v>0</v>
      </c>
      <c r="AB944" s="3" t="s">
        <v>5223</v>
      </c>
      <c r="AC944" s="3">
        <v>37</v>
      </c>
      <c r="AD944" s="3">
        <v>24.98</v>
      </c>
      <c r="AE944" s="3">
        <v>0</v>
      </c>
      <c r="AF944" s="3">
        <v>0</v>
      </c>
      <c r="AG944" s="3">
        <v>0</v>
      </c>
      <c r="AH944" s="3">
        <v>5.49090909090909</v>
      </c>
      <c r="AI944" s="3" t="s">
        <v>5236</v>
      </c>
      <c r="AJ944" s="3" t="s">
        <v>5222</v>
      </c>
    </row>
    <row r="945" spans="1:36">
      <c r="A945" s="5">
        <v>43288</v>
      </c>
      <c r="B945" s="3" t="s">
        <v>2857</v>
      </c>
      <c r="C945" s="3" t="s">
        <v>1771</v>
      </c>
      <c r="D945" s="3" t="s">
        <v>1771</v>
      </c>
      <c r="E945" s="3" t="s">
        <v>1772</v>
      </c>
      <c r="F945" s="3" t="s">
        <v>120</v>
      </c>
      <c r="G945" s="3">
        <v>28</v>
      </c>
      <c r="H945" s="3">
        <v>0</v>
      </c>
      <c r="I945" s="3">
        <v>1</v>
      </c>
      <c r="J945" s="3">
        <v>27</v>
      </c>
      <c r="K945" s="3">
        <v>0</v>
      </c>
      <c r="L945" s="3">
        <v>0</v>
      </c>
      <c r="M945" s="3">
        <v>0</v>
      </c>
      <c r="N945" s="3" t="s">
        <v>5218</v>
      </c>
      <c r="O945" s="3">
        <v>15</v>
      </c>
      <c r="P945" s="3">
        <v>19.45</v>
      </c>
      <c r="Q945" s="3">
        <v>0</v>
      </c>
      <c r="R945" s="3">
        <v>0</v>
      </c>
      <c r="S945" s="3">
        <v>0</v>
      </c>
      <c r="T945" s="3">
        <v>0</v>
      </c>
      <c r="U945" s="3">
        <v>1</v>
      </c>
      <c r="V945" s="3">
        <v>2</v>
      </c>
      <c r="W945" s="3" t="s">
        <v>5227</v>
      </c>
      <c r="X945" s="3">
        <v>23.98</v>
      </c>
      <c r="Y945" s="3">
        <v>23.98</v>
      </c>
      <c r="Z945" s="3">
        <v>23.98</v>
      </c>
      <c r="AA945" s="3">
        <v>0</v>
      </c>
      <c r="AB945" s="3" t="s">
        <v>5228</v>
      </c>
      <c r="AC945" s="3">
        <v>2</v>
      </c>
      <c r="AD945" s="3">
        <v>20.56</v>
      </c>
      <c r="AE945" s="3">
        <v>217</v>
      </c>
      <c r="AF945" s="3">
        <v>0</v>
      </c>
      <c r="AG945" s="3">
        <v>627.154718</v>
      </c>
      <c r="AH945" s="3">
        <v>0.266666666666666</v>
      </c>
      <c r="AI945" s="3" t="s">
        <v>5229</v>
      </c>
      <c r="AJ945" s="3" t="s">
        <v>5222</v>
      </c>
    </row>
    <row r="946" spans="1:36">
      <c r="A946" s="5">
        <v>43288</v>
      </c>
      <c r="B946" s="3" t="s">
        <v>2725</v>
      </c>
      <c r="C946" s="3" t="s">
        <v>395</v>
      </c>
      <c r="D946" s="3" t="s">
        <v>395</v>
      </c>
      <c r="E946" s="3" t="s">
        <v>396</v>
      </c>
      <c r="F946" s="3" t="s">
        <v>120</v>
      </c>
      <c r="G946" s="3">
        <v>13</v>
      </c>
      <c r="H946" s="3">
        <v>0</v>
      </c>
      <c r="I946" s="3">
        <v>13</v>
      </c>
      <c r="J946" s="3">
        <v>0</v>
      </c>
      <c r="K946" s="3">
        <v>0</v>
      </c>
      <c r="L946" s="3">
        <v>0</v>
      </c>
      <c r="M946" s="3">
        <v>0</v>
      </c>
      <c r="N946" s="3" t="s">
        <v>5218</v>
      </c>
      <c r="O946" s="3">
        <v>0</v>
      </c>
      <c r="P946" s="3">
        <v>0</v>
      </c>
      <c r="Q946" s="3">
        <v>0</v>
      </c>
      <c r="R946" s="3">
        <v>0</v>
      </c>
      <c r="S946" s="3">
        <v>2</v>
      </c>
      <c r="T946" s="3">
        <v>6</v>
      </c>
      <c r="U946" s="3">
        <v>10</v>
      </c>
      <c r="V946" s="3">
        <v>11</v>
      </c>
      <c r="W946" s="3"/>
      <c r="X946" s="3">
        <v>18.98</v>
      </c>
      <c r="Y946" s="3">
        <v>18.98</v>
      </c>
      <c r="Z946" s="3">
        <v>18.98</v>
      </c>
      <c r="AA946" s="3">
        <v>0</v>
      </c>
      <c r="AB946" s="3" t="s">
        <v>5223</v>
      </c>
      <c r="AC946" s="3">
        <v>14</v>
      </c>
      <c r="AD946" s="3">
        <v>18.98</v>
      </c>
      <c r="AE946" s="3">
        <v>0</v>
      </c>
      <c r="AF946" s="3">
        <v>0</v>
      </c>
      <c r="AG946" s="3">
        <v>0</v>
      </c>
      <c r="AH946" s="3">
        <v>1.22222222222222</v>
      </c>
      <c r="AI946" s="3" t="s">
        <v>5257</v>
      </c>
      <c r="AJ946" s="3" t="s">
        <v>5222</v>
      </c>
    </row>
    <row r="947" spans="1:36">
      <c r="A947" s="5">
        <v>43288</v>
      </c>
      <c r="B947" s="3" t="s">
        <v>2765</v>
      </c>
      <c r="C947" s="3" t="s">
        <v>430</v>
      </c>
      <c r="D947" s="3" t="s">
        <v>430</v>
      </c>
      <c r="E947" s="3" t="s">
        <v>431</v>
      </c>
      <c r="F947" s="3" t="s">
        <v>120</v>
      </c>
      <c r="G947" s="3">
        <v>2</v>
      </c>
      <c r="H947" s="3">
        <v>0</v>
      </c>
      <c r="I947" s="3">
        <v>2</v>
      </c>
      <c r="J947" s="3">
        <v>0</v>
      </c>
      <c r="K947" s="3">
        <v>0</v>
      </c>
      <c r="L947" s="3">
        <v>0</v>
      </c>
      <c r="M947" s="3">
        <v>0</v>
      </c>
      <c r="N947" s="3" t="s">
        <v>5218</v>
      </c>
      <c r="O947" s="3">
        <v>0</v>
      </c>
      <c r="P947" s="3">
        <v>0</v>
      </c>
      <c r="Q947" s="3">
        <v>0</v>
      </c>
      <c r="R947" s="3">
        <v>0</v>
      </c>
      <c r="S947" s="3">
        <v>4</v>
      </c>
      <c r="T947" s="3">
        <v>16</v>
      </c>
      <c r="U947" s="3">
        <v>23</v>
      </c>
      <c r="V947" s="3">
        <v>29</v>
      </c>
      <c r="W947" s="3"/>
      <c r="X947" s="3">
        <v>22.98</v>
      </c>
      <c r="Y947" s="3">
        <v>22.98</v>
      </c>
      <c r="Z947" s="3">
        <v>22.98</v>
      </c>
      <c r="AA947" s="3">
        <v>0</v>
      </c>
      <c r="AB947" s="3" t="s">
        <v>5223</v>
      </c>
      <c r="AC947" s="3">
        <v>4</v>
      </c>
      <c r="AD947" s="3">
        <v>22.98</v>
      </c>
      <c r="AE947" s="3">
        <v>0</v>
      </c>
      <c r="AF947" s="3">
        <v>0</v>
      </c>
      <c r="AG947" s="3">
        <v>0</v>
      </c>
      <c r="AH947" s="3">
        <v>2.82926829268292</v>
      </c>
      <c r="AI947" s="3" t="s">
        <v>5257</v>
      </c>
      <c r="AJ947" s="3" t="s">
        <v>5222</v>
      </c>
    </row>
    <row r="948" spans="1:36">
      <c r="A948" s="5">
        <v>43288</v>
      </c>
      <c r="B948" s="3" t="s">
        <v>4174</v>
      </c>
      <c r="C948" s="3" t="s">
        <v>4175</v>
      </c>
      <c r="D948" s="3" t="s">
        <v>4175</v>
      </c>
      <c r="E948" s="3" t="s">
        <v>4176</v>
      </c>
      <c r="F948" s="3" t="s">
        <v>120</v>
      </c>
      <c r="G948" s="3">
        <v>17</v>
      </c>
      <c r="H948" s="3">
        <v>0</v>
      </c>
      <c r="I948" s="3">
        <v>17</v>
      </c>
      <c r="J948" s="3">
        <v>0</v>
      </c>
      <c r="K948" s="3">
        <v>0</v>
      </c>
      <c r="L948" s="3">
        <v>0</v>
      </c>
      <c r="M948" s="3">
        <v>0</v>
      </c>
      <c r="N948" s="3" t="s">
        <v>5218</v>
      </c>
      <c r="O948" s="3">
        <v>0</v>
      </c>
      <c r="P948" s="3">
        <v>0</v>
      </c>
      <c r="Q948" s="3">
        <v>0</v>
      </c>
      <c r="R948" s="3">
        <v>0</v>
      </c>
      <c r="S948" s="3">
        <v>0</v>
      </c>
      <c r="T948" s="3">
        <v>2</v>
      </c>
      <c r="U948" s="3">
        <v>6</v>
      </c>
      <c r="V948" s="3">
        <v>9</v>
      </c>
      <c r="W948" s="3"/>
      <c r="X948" s="3">
        <v>22.98</v>
      </c>
      <c r="Y948" s="3">
        <v>22.98</v>
      </c>
      <c r="Z948" s="3">
        <v>22.98</v>
      </c>
      <c r="AA948" s="3">
        <v>0</v>
      </c>
      <c r="AB948" s="3" t="s">
        <v>5223</v>
      </c>
      <c r="AC948" s="3">
        <v>17</v>
      </c>
      <c r="AD948" s="3">
        <v>22.98</v>
      </c>
      <c r="AE948" s="3">
        <v>0</v>
      </c>
      <c r="AF948" s="3">
        <v>0</v>
      </c>
      <c r="AG948" s="3">
        <v>0</v>
      </c>
      <c r="AH948" s="3">
        <v>0.73469387755102</v>
      </c>
      <c r="AI948" s="3" t="s">
        <v>5226</v>
      </c>
      <c r="AJ948" s="3" t="s">
        <v>5222</v>
      </c>
    </row>
    <row r="949" spans="1:36">
      <c r="A949" s="5">
        <v>43288</v>
      </c>
      <c r="B949" s="3" t="s">
        <v>806</v>
      </c>
      <c r="C949" s="3" t="s">
        <v>564</v>
      </c>
      <c r="D949" s="3" t="s">
        <v>564</v>
      </c>
      <c r="E949" s="3" t="s">
        <v>807</v>
      </c>
      <c r="F949" s="3" t="s">
        <v>120</v>
      </c>
      <c r="G949" s="3">
        <v>2</v>
      </c>
      <c r="H949" s="3">
        <v>0</v>
      </c>
      <c r="I949" s="3">
        <v>2</v>
      </c>
      <c r="J949" s="3">
        <v>0</v>
      </c>
      <c r="K949" s="3">
        <v>0</v>
      </c>
      <c r="L949" s="3">
        <v>0</v>
      </c>
      <c r="M949" s="3">
        <v>0</v>
      </c>
      <c r="N949" s="3" t="s">
        <v>5218</v>
      </c>
      <c r="O949" s="3">
        <v>0</v>
      </c>
      <c r="P949" s="3">
        <v>0</v>
      </c>
      <c r="Q949" s="3">
        <v>0</v>
      </c>
      <c r="R949" s="3">
        <v>0</v>
      </c>
      <c r="S949" s="3">
        <v>1</v>
      </c>
      <c r="T949" s="3">
        <v>4</v>
      </c>
      <c r="U949" s="3">
        <v>6</v>
      </c>
      <c r="V949" s="3">
        <v>8</v>
      </c>
      <c r="W949" s="3" t="s">
        <v>5227</v>
      </c>
      <c r="X949" s="3">
        <v>22.98</v>
      </c>
      <c r="Y949" s="3">
        <v>22.98</v>
      </c>
      <c r="Z949" s="3">
        <v>22.98</v>
      </c>
      <c r="AA949" s="3">
        <v>0</v>
      </c>
      <c r="AB949" s="3" t="s">
        <v>5223</v>
      </c>
      <c r="AC949" s="3">
        <v>3</v>
      </c>
      <c r="AD949" s="3">
        <v>22.98</v>
      </c>
      <c r="AE949" s="3">
        <v>0</v>
      </c>
      <c r="AF949" s="3">
        <v>0</v>
      </c>
      <c r="AG949" s="3">
        <v>0</v>
      </c>
      <c r="AH949" s="3">
        <v>1.5</v>
      </c>
      <c r="AI949" s="3" t="s">
        <v>5225</v>
      </c>
      <c r="AJ949" s="3" t="s">
        <v>5222</v>
      </c>
    </row>
    <row r="950" spans="1:36">
      <c r="A950" s="5">
        <v>43288</v>
      </c>
      <c r="B950" s="3" t="s">
        <v>377</v>
      </c>
      <c r="C950" s="3" t="s">
        <v>378</v>
      </c>
      <c r="D950" s="3" t="s">
        <v>379</v>
      </c>
      <c r="E950" s="3" t="s">
        <v>380</v>
      </c>
      <c r="F950" s="3" t="s">
        <v>120</v>
      </c>
      <c r="G950" s="3">
        <v>30</v>
      </c>
      <c r="H950" s="3">
        <v>0</v>
      </c>
      <c r="I950" s="3">
        <v>30</v>
      </c>
      <c r="J950" s="3">
        <v>0</v>
      </c>
      <c r="K950" s="3">
        <v>0</v>
      </c>
      <c r="L950" s="3">
        <v>0</v>
      </c>
      <c r="M950" s="3">
        <v>0</v>
      </c>
      <c r="N950" s="3" t="s">
        <v>5218</v>
      </c>
      <c r="O950" s="3">
        <v>0</v>
      </c>
      <c r="P950" s="3">
        <v>0</v>
      </c>
      <c r="Q950" s="3">
        <v>0</v>
      </c>
      <c r="R950" s="3">
        <v>0</v>
      </c>
      <c r="S950" s="3">
        <v>0</v>
      </c>
      <c r="T950" s="3">
        <v>0</v>
      </c>
      <c r="U950" s="3">
        <v>0</v>
      </c>
      <c r="V950" s="3">
        <v>0</v>
      </c>
      <c r="W950" s="3" t="s">
        <v>5227</v>
      </c>
      <c r="X950" s="3">
        <v>23.98</v>
      </c>
      <c r="Y950" s="3">
        <v>23.98</v>
      </c>
      <c r="Z950" s="3">
        <v>23.98</v>
      </c>
      <c r="AA950" s="3">
        <v>0</v>
      </c>
      <c r="AB950" s="3" t="s">
        <v>5228</v>
      </c>
      <c r="AC950" s="3">
        <v>30</v>
      </c>
      <c r="AD950" s="3">
        <v>22.98</v>
      </c>
      <c r="AE950" s="3">
        <v>0</v>
      </c>
      <c r="AF950" s="3">
        <v>0</v>
      </c>
      <c r="AG950" s="3">
        <v>0</v>
      </c>
      <c r="AH950" s="3">
        <v>84</v>
      </c>
      <c r="AI950" s="3" t="s">
        <v>5257</v>
      </c>
      <c r="AJ950" s="3" t="s">
        <v>5222</v>
      </c>
    </row>
    <row r="951" spans="1:36">
      <c r="A951" s="5">
        <v>43288</v>
      </c>
      <c r="B951" s="3" t="s">
        <v>4357</v>
      </c>
      <c r="C951" s="3" t="s">
        <v>4358</v>
      </c>
      <c r="D951" s="3" t="s">
        <v>4358</v>
      </c>
      <c r="E951" s="3" t="s">
        <v>4359</v>
      </c>
      <c r="F951" s="3" t="s">
        <v>120</v>
      </c>
      <c r="G951" s="3">
        <v>5</v>
      </c>
      <c r="H951" s="3">
        <v>0</v>
      </c>
      <c r="I951" s="3">
        <v>3</v>
      </c>
      <c r="J951" s="3">
        <v>2</v>
      </c>
      <c r="K951" s="3">
        <v>0</v>
      </c>
      <c r="L951" s="3">
        <v>0</v>
      </c>
      <c r="M951" s="3">
        <v>0</v>
      </c>
      <c r="N951" s="3" t="s">
        <v>5218</v>
      </c>
      <c r="O951" s="3">
        <v>0</v>
      </c>
      <c r="P951" s="3">
        <v>0</v>
      </c>
      <c r="Q951" s="3">
        <v>0</v>
      </c>
      <c r="R951" s="3">
        <v>0</v>
      </c>
      <c r="S951" s="3">
        <v>0</v>
      </c>
      <c r="T951" s="3">
        <v>1</v>
      </c>
      <c r="U951" s="3">
        <v>6</v>
      </c>
      <c r="V951" s="3">
        <v>6</v>
      </c>
      <c r="W951" s="3"/>
      <c r="X951" s="3">
        <v>23.98</v>
      </c>
      <c r="Y951" s="3">
        <v>23.98</v>
      </c>
      <c r="Z951" s="3">
        <v>23.98</v>
      </c>
      <c r="AA951" s="3">
        <v>0</v>
      </c>
      <c r="AB951" s="3" t="s">
        <v>5223</v>
      </c>
      <c r="AC951" s="3">
        <v>5</v>
      </c>
      <c r="AD951" s="3">
        <v>23.98</v>
      </c>
      <c r="AE951" s="3">
        <v>0</v>
      </c>
      <c r="AF951" s="3">
        <v>0</v>
      </c>
      <c r="AG951" s="3">
        <v>0</v>
      </c>
      <c r="AH951" s="3">
        <v>0.923076923076923</v>
      </c>
      <c r="AI951" s="3" t="s">
        <v>5514</v>
      </c>
      <c r="AJ951" s="3" t="s">
        <v>5222</v>
      </c>
    </row>
    <row r="952" spans="1:36">
      <c r="A952" s="5">
        <v>43288</v>
      </c>
      <c r="B952" s="3" t="s">
        <v>2468</v>
      </c>
      <c r="C952" s="3" t="s">
        <v>2469</v>
      </c>
      <c r="D952" s="3" t="s">
        <v>2469</v>
      </c>
      <c r="E952" s="3" t="s">
        <v>2470</v>
      </c>
      <c r="F952" s="3" t="s">
        <v>120</v>
      </c>
      <c r="G952" s="3">
        <v>22</v>
      </c>
      <c r="H952" s="3">
        <v>0</v>
      </c>
      <c r="I952" s="3">
        <v>18</v>
      </c>
      <c r="J952" s="3">
        <v>0</v>
      </c>
      <c r="K952" s="3">
        <v>4</v>
      </c>
      <c r="L952" s="3">
        <v>0</v>
      </c>
      <c r="M952" s="3">
        <v>0</v>
      </c>
      <c r="N952" s="3" t="s">
        <v>5218</v>
      </c>
      <c r="O952" s="3">
        <v>4</v>
      </c>
      <c r="P952" s="3">
        <v>6.56</v>
      </c>
      <c r="Q952" s="3">
        <v>0</v>
      </c>
      <c r="R952" s="3">
        <v>0</v>
      </c>
      <c r="S952" s="3">
        <v>0</v>
      </c>
      <c r="T952" s="3">
        <v>0</v>
      </c>
      <c r="U952" s="3">
        <v>2</v>
      </c>
      <c r="V952" s="3">
        <v>2</v>
      </c>
      <c r="W952" s="3" t="s">
        <v>5227</v>
      </c>
      <c r="X952" s="3">
        <v>22.98</v>
      </c>
      <c r="Y952" s="3">
        <v>22.98</v>
      </c>
      <c r="Z952" s="3">
        <v>22</v>
      </c>
      <c r="AA952" s="3">
        <v>0</v>
      </c>
      <c r="AB952" s="3" t="s">
        <v>5228</v>
      </c>
      <c r="AC952" s="3">
        <v>8</v>
      </c>
      <c r="AD952" s="3">
        <v>18.38</v>
      </c>
      <c r="AE952" s="3">
        <v>364</v>
      </c>
      <c r="AF952" s="3">
        <v>0</v>
      </c>
      <c r="AG952" s="3">
        <v>48.924416</v>
      </c>
      <c r="AH952" s="3">
        <v>0.210526315789473</v>
      </c>
      <c r="AI952" s="3" t="s">
        <v>5240</v>
      </c>
      <c r="AJ952" s="3" t="s">
        <v>5222</v>
      </c>
    </row>
    <row r="953" spans="1:36">
      <c r="A953" s="5">
        <v>43288</v>
      </c>
      <c r="B953" s="3" t="s">
        <v>5136</v>
      </c>
      <c r="C953" s="3" t="s">
        <v>5137</v>
      </c>
      <c r="D953" s="3" t="s">
        <v>5137</v>
      </c>
      <c r="E953" s="3" t="s">
        <v>5138</v>
      </c>
      <c r="F953" s="3" t="s">
        <v>120</v>
      </c>
      <c r="G953" s="3">
        <v>3</v>
      </c>
      <c r="H953" s="3">
        <v>0</v>
      </c>
      <c r="I953" s="3">
        <v>0</v>
      </c>
      <c r="J953" s="3">
        <v>0</v>
      </c>
      <c r="K953" s="3">
        <v>3</v>
      </c>
      <c r="L953" s="3">
        <v>0</v>
      </c>
      <c r="M953" s="3">
        <v>0</v>
      </c>
      <c r="N953" s="3" t="s">
        <v>5218</v>
      </c>
      <c r="O953" s="3">
        <v>3</v>
      </c>
      <c r="P953" s="3">
        <v>7.97</v>
      </c>
      <c r="Q953" s="3">
        <v>0</v>
      </c>
      <c r="R953" s="3">
        <v>0</v>
      </c>
      <c r="S953" s="3">
        <v>0</v>
      </c>
      <c r="T953" s="3">
        <v>0</v>
      </c>
      <c r="U953" s="3">
        <v>0</v>
      </c>
      <c r="V953" s="3">
        <v>0</v>
      </c>
      <c r="W953" s="3" t="s">
        <v>5219</v>
      </c>
      <c r="X953" s="3">
        <v>29.98</v>
      </c>
      <c r="Y953" s="3">
        <v>29.98</v>
      </c>
      <c r="Z953" s="3">
        <v>29.98</v>
      </c>
      <c r="AA953" s="3">
        <v>0</v>
      </c>
      <c r="AB953" s="3" t="s">
        <v>5228</v>
      </c>
      <c r="AC953" s="3">
        <v>0</v>
      </c>
      <c r="AD953" s="3">
        <v>23.98</v>
      </c>
      <c r="AE953" s="3">
        <v>63</v>
      </c>
      <c r="AF953" s="3">
        <v>0</v>
      </c>
      <c r="AG953" s="3">
        <v>97.659281</v>
      </c>
      <c r="AH953" s="3">
        <v>0</v>
      </c>
      <c r="AI953" s="3" t="s">
        <v>5305</v>
      </c>
      <c r="AJ953" s="3" t="s">
        <v>5222</v>
      </c>
    </row>
    <row r="954" spans="1:36">
      <c r="A954" s="5">
        <v>43288</v>
      </c>
      <c r="B954" s="3" t="s">
        <v>1494</v>
      </c>
      <c r="C954" s="3" t="s">
        <v>54</v>
      </c>
      <c r="D954" s="3" t="s">
        <v>54</v>
      </c>
      <c r="E954" s="3" t="s">
        <v>1495</v>
      </c>
      <c r="F954" s="3" t="s">
        <v>120</v>
      </c>
      <c r="G954" s="3">
        <v>33</v>
      </c>
      <c r="H954" s="3">
        <v>0</v>
      </c>
      <c r="I954" s="3">
        <v>30</v>
      </c>
      <c r="J954" s="3">
        <v>3</v>
      </c>
      <c r="K954" s="3">
        <v>0</v>
      </c>
      <c r="L954" s="3">
        <v>0</v>
      </c>
      <c r="M954" s="3">
        <v>0</v>
      </c>
      <c r="N954" s="3" t="s">
        <v>5218</v>
      </c>
      <c r="O954" s="3">
        <v>1</v>
      </c>
      <c r="P954" s="3">
        <v>1.25</v>
      </c>
      <c r="Q954" s="3">
        <v>0</v>
      </c>
      <c r="R954" s="3">
        <v>0</v>
      </c>
      <c r="S954" s="3">
        <v>0</v>
      </c>
      <c r="T954" s="3">
        <v>3</v>
      </c>
      <c r="U954" s="3">
        <v>10</v>
      </c>
      <c r="V954" s="3">
        <v>17</v>
      </c>
      <c r="W954" s="3" t="s">
        <v>5227</v>
      </c>
      <c r="X954" s="3">
        <v>22.98</v>
      </c>
      <c r="Y954" s="3">
        <v>22.98</v>
      </c>
      <c r="Z954" s="3">
        <v>19.98</v>
      </c>
      <c r="AA954" s="3">
        <v>0</v>
      </c>
      <c r="AB954" s="3" t="s">
        <v>5223</v>
      </c>
      <c r="AC954" s="3">
        <v>33</v>
      </c>
      <c r="AD954" s="3">
        <v>22.98</v>
      </c>
      <c r="AE954" s="3">
        <v>0</v>
      </c>
      <c r="AF954" s="3">
        <v>0</v>
      </c>
      <c r="AG954" s="3">
        <v>0</v>
      </c>
      <c r="AH954" s="3">
        <v>0.5</v>
      </c>
      <c r="AI954" s="3" t="s">
        <v>5515</v>
      </c>
      <c r="AJ954" s="3" t="s">
        <v>5222</v>
      </c>
    </row>
    <row r="955" spans="1:36">
      <c r="A955" s="5">
        <v>43288</v>
      </c>
      <c r="B955" s="3" t="s">
        <v>2936</v>
      </c>
      <c r="C955" s="3" t="s">
        <v>2937</v>
      </c>
      <c r="D955" s="3" t="s">
        <v>2937</v>
      </c>
      <c r="E955" s="3" t="s">
        <v>1725</v>
      </c>
      <c r="F955" s="3" t="s">
        <v>120</v>
      </c>
      <c r="G955" s="3">
        <v>3</v>
      </c>
      <c r="H955" s="3">
        <v>0</v>
      </c>
      <c r="I955" s="3">
        <v>3</v>
      </c>
      <c r="J955" s="3">
        <v>0</v>
      </c>
      <c r="K955" s="3">
        <v>0</v>
      </c>
      <c r="L955" s="3">
        <v>0</v>
      </c>
      <c r="M955" s="3">
        <v>0</v>
      </c>
      <c r="N955" s="3" t="s">
        <v>5218</v>
      </c>
      <c r="O955" s="3">
        <v>0</v>
      </c>
      <c r="P955" s="3">
        <v>0</v>
      </c>
      <c r="Q955" s="3">
        <v>0</v>
      </c>
      <c r="R955" s="3">
        <v>0</v>
      </c>
      <c r="S955" s="3">
        <v>6</v>
      </c>
      <c r="T955" s="3">
        <v>45</v>
      </c>
      <c r="U955" s="3">
        <v>87</v>
      </c>
      <c r="V955" s="3">
        <v>105</v>
      </c>
      <c r="W955" s="3"/>
      <c r="X955" s="3">
        <v>22.98</v>
      </c>
      <c r="Y955" s="3">
        <v>22.98</v>
      </c>
      <c r="Z955" s="3">
        <v>22.98</v>
      </c>
      <c r="AA955" s="3">
        <v>0</v>
      </c>
      <c r="AB955" s="3" t="s">
        <v>5223</v>
      </c>
      <c r="AC955" s="3">
        <v>5</v>
      </c>
      <c r="AD955" s="3">
        <v>22.98</v>
      </c>
      <c r="AE955" s="3">
        <v>0</v>
      </c>
      <c r="AF955" s="3">
        <v>0</v>
      </c>
      <c r="AG955" s="3">
        <v>0</v>
      </c>
      <c r="AH955" s="3">
        <v>13.5483870967741</v>
      </c>
      <c r="AI955" s="3" t="s">
        <v>5306</v>
      </c>
      <c r="AJ955" s="3" t="s">
        <v>5222</v>
      </c>
    </row>
    <row r="956" spans="1:36">
      <c r="A956" s="5">
        <v>43288</v>
      </c>
      <c r="B956" s="3" t="s">
        <v>1830</v>
      </c>
      <c r="C956" s="3" t="s">
        <v>1831</v>
      </c>
      <c r="D956" s="3" t="s">
        <v>1831</v>
      </c>
      <c r="E956" s="3" t="s">
        <v>1832</v>
      </c>
      <c r="F956" s="3" t="s">
        <v>120</v>
      </c>
      <c r="G956" s="3">
        <v>3</v>
      </c>
      <c r="H956" s="3">
        <v>0</v>
      </c>
      <c r="I956" s="3">
        <v>0</v>
      </c>
      <c r="J956" s="3">
        <v>3</v>
      </c>
      <c r="K956" s="3">
        <v>0</v>
      </c>
      <c r="L956" s="3">
        <v>0</v>
      </c>
      <c r="M956" s="3">
        <v>0</v>
      </c>
      <c r="N956" s="3" t="s">
        <v>5218</v>
      </c>
      <c r="O956" s="3">
        <v>1</v>
      </c>
      <c r="P956" s="3">
        <v>1.3</v>
      </c>
      <c r="Q956" s="3">
        <v>0</v>
      </c>
      <c r="R956" s="3">
        <v>0</v>
      </c>
      <c r="S956" s="3">
        <v>1</v>
      </c>
      <c r="T956" s="3">
        <v>1</v>
      </c>
      <c r="U956" s="3">
        <v>2</v>
      </c>
      <c r="V956" s="3">
        <v>4</v>
      </c>
      <c r="W956" s="3"/>
      <c r="X956" s="3">
        <v>25.98</v>
      </c>
      <c r="Y956" s="3">
        <v>25.98</v>
      </c>
      <c r="Z956" s="3">
        <v>25.98</v>
      </c>
      <c r="AA956" s="3">
        <v>0</v>
      </c>
      <c r="AB956" s="3" t="s">
        <v>5223</v>
      </c>
      <c r="AC956" s="3">
        <v>4</v>
      </c>
      <c r="AD956" s="3">
        <v>25.98</v>
      </c>
      <c r="AE956" s="3">
        <v>0</v>
      </c>
      <c r="AF956" s="3">
        <v>0</v>
      </c>
      <c r="AG956" s="3">
        <v>0</v>
      </c>
      <c r="AH956" s="3">
        <v>0.842105263157894</v>
      </c>
      <c r="AI956" s="3" t="s">
        <v>5229</v>
      </c>
      <c r="AJ956" s="3" t="s">
        <v>5222</v>
      </c>
    </row>
    <row r="957" spans="1:36">
      <c r="A957" s="5">
        <v>43288</v>
      </c>
      <c r="B957" s="3" t="s">
        <v>1595</v>
      </c>
      <c r="C957" s="3" t="s">
        <v>1596</v>
      </c>
      <c r="D957" s="3" t="s">
        <v>1596</v>
      </c>
      <c r="E957" s="3" t="s">
        <v>1597</v>
      </c>
      <c r="F957" s="3" t="s">
        <v>120</v>
      </c>
      <c r="G957" s="3">
        <v>42</v>
      </c>
      <c r="H957" s="3">
        <v>0</v>
      </c>
      <c r="I957" s="3">
        <v>3</v>
      </c>
      <c r="J957" s="3">
        <v>1</v>
      </c>
      <c r="K957" s="3">
        <v>38</v>
      </c>
      <c r="L957" s="3">
        <v>0</v>
      </c>
      <c r="M957" s="3">
        <v>0</v>
      </c>
      <c r="N957" s="3" t="s">
        <v>5218</v>
      </c>
      <c r="O957" s="3">
        <v>38</v>
      </c>
      <c r="P957" s="3">
        <v>120.24</v>
      </c>
      <c r="Q957" s="3">
        <v>0</v>
      </c>
      <c r="R957" s="3">
        <v>0</v>
      </c>
      <c r="S957" s="3">
        <v>0</v>
      </c>
      <c r="T957" s="3">
        <v>5</v>
      </c>
      <c r="U957" s="3">
        <v>6</v>
      </c>
      <c r="V957" s="3">
        <v>9</v>
      </c>
      <c r="W957" s="3"/>
      <c r="X957" s="3">
        <v>22.98</v>
      </c>
      <c r="Y957" s="3">
        <v>22.98</v>
      </c>
      <c r="Z957" s="3">
        <v>19.98</v>
      </c>
      <c r="AA957" s="3">
        <v>0</v>
      </c>
      <c r="AB957" s="3" t="s">
        <v>5228</v>
      </c>
      <c r="AC957" s="3">
        <v>36</v>
      </c>
      <c r="AD957" s="3">
        <v>20.43</v>
      </c>
      <c r="AE957" s="3">
        <v>35</v>
      </c>
      <c r="AF957" s="3">
        <v>0</v>
      </c>
      <c r="AG957" s="3">
        <v>1.902931</v>
      </c>
      <c r="AH957" s="3">
        <v>0.194594594594594</v>
      </c>
      <c r="AI957" s="3" t="s">
        <v>5248</v>
      </c>
      <c r="AJ957" s="3" t="s">
        <v>5222</v>
      </c>
    </row>
    <row r="958" spans="1:36">
      <c r="A958" s="5">
        <v>43288</v>
      </c>
      <c r="B958" s="3" t="s">
        <v>1674</v>
      </c>
      <c r="C958" s="3" t="s">
        <v>1675</v>
      </c>
      <c r="D958" s="3" t="s">
        <v>1675</v>
      </c>
      <c r="E958" s="3" t="s">
        <v>1676</v>
      </c>
      <c r="F958" s="3" t="s">
        <v>120</v>
      </c>
      <c r="G958" s="3">
        <v>47</v>
      </c>
      <c r="H958" s="3">
        <v>0</v>
      </c>
      <c r="I958" s="3">
        <v>0</v>
      </c>
      <c r="J958" s="3">
        <v>2</v>
      </c>
      <c r="K958" s="3">
        <v>41</v>
      </c>
      <c r="L958" s="3">
        <v>4</v>
      </c>
      <c r="M958" s="3">
        <v>0</v>
      </c>
      <c r="N958" s="3" t="s">
        <v>5218</v>
      </c>
      <c r="O958" s="3">
        <v>46</v>
      </c>
      <c r="P958" s="3">
        <v>48.57</v>
      </c>
      <c r="Q958" s="3">
        <v>0</v>
      </c>
      <c r="R958" s="3">
        <v>0</v>
      </c>
      <c r="S958" s="3">
        <v>0</v>
      </c>
      <c r="T958" s="3">
        <v>0</v>
      </c>
      <c r="U958" s="3">
        <v>0</v>
      </c>
      <c r="V958" s="3">
        <v>0</v>
      </c>
      <c r="W958" s="3" t="s">
        <v>5219</v>
      </c>
      <c r="X958" s="3">
        <v>21.98</v>
      </c>
      <c r="Y958" s="3">
        <v>21.98</v>
      </c>
      <c r="Z958" s="3">
        <v>21.98</v>
      </c>
      <c r="AA958" s="3">
        <v>0</v>
      </c>
      <c r="AB958" s="3" t="s">
        <v>5228</v>
      </c>
      <c r="AC958" s="3">
        <v>2</v>
      </c>
      <c r="AD958" s="3">
        <v>18.48</v>
      </c>
      <c r="AE958" s="3">
        <v>217</v>
      </c>
      <c r="AF958" s="3">
        <v>0</v>
      </c>
      <c r="AG958" s="3">
        <v>962.396174</v>
      </c>
      <c r="AH958" s="3">
        <v>0</v>
      </c>
      <c r="AI958" s="3" t="s">
        <v>5516</v>
      </c>
      <c r="AJ958" s="3" t="s">
        <v>5222</v>
      </c>
    </row>
    <row r="959" spans="1:36">
      <c r="A959" s="5">
        <v>43288</v>
      </c>
      <c r="B959" s="3" t="s">
        <v>1032</v>
      </c>
      <c r="C959" s="3" t="s">
        <v>1033</v>
      </c>
      <c r="D959" s="3" t="s">
        <v>317</v>
      </c>
      <c r="E959" s="3" t="s">
        <v>480</v>
      </c>
      <c r="F959" s="3" t="s">
        <v>120</v>
      </c>
      <c r="G959" s="3">
        <v>30</v>
      </c>
      <c r="H959" s="3">
        <v>0</v>
      </c>
      <c r="I959" s="3">
        <v>30</v>
      </c>
      <c r="J959" s="3">
        <v>0</v>
      </c>
      <c r="K959" s="3">
        <v>0</v>
      </c>
      <c r="L959" s="3">
        <v>0</v>
      </c>
      <c r="M959" s="3">
        <v>0</v>
      </c>
      <c r="N959" s="3" t="s">
        <v>5218</v>
      </c>
      <c r="O959" s="3">
        <v>0</v>
      </c>
      <c r="P959" s="3">
        <v>0</v>
      </c>
      <c r="Q959" s="3">
        <v>0</v>
      </c>
      <c r="R959" s="3">
        <v>0</v>
      </c>
      <c r="S959" s="3">
        <v>0</v>
      </c>
      <c r="T959" s="3">
        <v>0</v>
      </c>
      <c r="U959" s="3">
        <v>0</v>
      </c>
      <c r="V959" s="3">
        <v>0</v>
      </c>
      <c r="W959" s="3" t="s">
        <v>5227</v>
      </c>
      <c r="X959" s="3">
        <v>24.98</v>
      </c>
      <c r="Y959" s="3">
        <v>24.98</v>
      </c>
      <c r="Z959" s="3">
        <v>24.98</v>
      </c>
      <c r="AA959" s="3">
        <v>0</v>
      </c>
      <c r="AB959" s="3" t="s">
        <v>5223</v>
      </c>
      <c r="AC959" s="3">
        <v>0</v>
      </c>
      <c r="AD959" s="3">
        <v>0</v>
      </c>
      <c r="AE959" s="3">
        <v>0</v>
      </c>
      <c r="AF959" s="3">
        <v>0</v>
      </c>
      <c r="AG959" s="3">
        <v>0</v>
      </c>
      <c r="AH959" s="3">
        <v>4.64</v>
      </c>
      <c r="AI959" s="3" t="s">
        <v>5517</v>
      </c>
      <c r="AJ959" s="3" t="s">
        <v>5222</v>
      </c>
    </row>
    <row r="960" spans="1:36">
      <c r="A960" s="5">
        <v>43288</v>
      </c>
      <c r="B960" s="3" t="s">
        <v>1748</v>
      </c>
      <c r="C960" s="3" t="s">
        <v>1749</v>
      </c>
      <c r="D960" s="3" t="s">
        <v>1749</v>
      </c>
      <c r="E960" s="3" t="s">
        <v>1750</v>
      </c>
      <c r="F960" s="3" t="s">
        <v>120</v>
      </c>
      <c r="G960" s="3">
        <v>5</v>
      </c>
      <c r="H960" s="3">
        <v>0</v>
      </c>
      <c r="I960" s="3">
        <v>0</v>
      </c>
      <c r="J960" s="3">
        <v>5</v>
      </c>
      <c r="K960" s="3">
        <v>0</v>
      </c>
      <c r="L960" s="3">
        <v>0</v>
      </c>
      <c r="M960" s="3">
        <v>0</v>
      </c>
      <c r="N960" s="3" t="s">
        <v>5218</v>
      </c>
      <c r="O960" s="3">
        <v>5</v>
      </c>
      <c r="P960" s="3">
        <v>6.48</v>
      </c>
      <c r="Q960" s="3">
        <v>0</v>
      </c>
      <c r="R960" s="3">
        <v>0</v>
      </c>
      <c r="S960" s="3">
        <v>0</v>
      </c>
      <c r="T960" s="3">
        <v>1</v>
      </c>
      <c r="U960" s="3">
        <v>1</v>
      </c>
      <c r="V960" s="3">
        <v>2</v>
      </c>
      <c r="W960" s="3"/>
      <c r="X960" s="3">
        <v>23.98</v>
      </c>
      <c r="Y960" s="3">
        <v>23.98</v>
      </c>
      <c r="Z960" s="3">
        <v>23.98</v>
      </c>
      <c r="AA960" s="3">
        <v>0</v>
      </c>
      <c r="AB960" s="3" t="s">
        <v>5223</v>
      </c>
      <c r="AC960" s="3">
        <v>5</v>
      </c>
      <c r="AD960" s="3">
        <v>23.98</v>
      </c>
      <c r="AE960" s="3">
        <v>0</v>
      </c>
      <c r="AF960" s="3">
        <v>0</v>
      </c>
      <c r="AG960" s="3">
        <v>0</v>
      </c>
      <c r="AH960" s="3">
        <v>0.333333333333333</v>
      </c>
      <c r="AI960" s="3" t="s">
        <v>5229</v>
      </c>
      <c r="AJ960" s="3" t="s">
        <v>5222</v>
      </c>
    </row>
    <row r="961" spans="1:36">
      <c r="A961" s="5">
        <v>43288</v>
      </c>
      <c r="B961" s="3" t="s">
        <v>1702</v>
      </c>
      <c r="C961" s="3" t="s">
        <v>1703</v>
      </c>
      <c r="D961" s="3" t="s">
        <v>1703</v>
      </c>
      <c r="E961" s="3" t="s">
        <v>1704</v>
      </c>
      <c r="F961" s="3" t="s">
        <v>120</v>
      </c>
      <c r="G961" s="3">
        <v>64</v>
      </c>
      <c r="H961" s="3">
        <v>0</v>
      </c>
      <c r="I961" s="3">
        <v>4</v>
      </c>
      <c r="J961" s="3">
        <v>1</v>
      </c>
      <c r="K961" s="3">
        <v>12</v>
      </c>
      <c r="L961" s="3">
        <v>47</v>
      </c>
      <c r="M961" s="3">
        <v>0</v>
      </c>
      <c r="N961" s="3" t="s">
        <v>5218</v>
      </c>
      <c r="O961" s="3">
        <v>60</v>
      </c>
      <c r="P961" s="3">
        <v>99.59</v>
      </c>
      <c r="Q961" s="3">
        <v>0</v>
      </c>
      <c r="R961" s="3">
        <v>0</v>
      </c>
      <c r="S961" s="3">
        <v>1</v>
      </c>
      <c r="T961" s="3">
        <v>5</v>
      </c>
      <c r="U961" s="3">
        <v>10</v>
      </c>
      <c r="V961" s="3">
        <v>13</v>
      </c>
      <c r="W961" s="3"/>
      <c r="X961" s="3">
        <v>12.86</v>
      </c>
      <c r="Y961" s="3">
        <v>12.86</v>
      </c>
      <c r="Z961" s="3">
        <v>12.86</v>
      </c>
      <c r="AA961" s="3">
        <v>0</v>
      </c>
      <c r="AB961" s="3" t="s">
        <v>5228</v>
      </c>
      <c r="AC961" s="3">
        <v>49</v>
      </c>
      <c r="AD961" s="3">
        <v>10.29</v>
      </c>
      <c r="AE961" s="3">
        <v>63</v>
      </c>
      <c r="AF961" s="3">
        <v>0</v>
      </c>
      <c r="AG961" s="3">
        <v>21.234663</v>
      </c>
      <c r="AH961" s="3">
        <v>0.18705035971223</v>
      </c>
      <c r="AI961" s="3" t="s">
        <v>5518</v>
      </c>
      <c r="AJ961" s="3" t="s">
        <v>5222</v>
      </c>
    </row>
    <row r="962" spans="1:36">
      <c r="A962" s="5">
        <v>43288</v>
      </c>
      <c r="B962" s="3" t="s">
        <v>2265</v>
      </c>
      <c r="C962" s="3" t="s">
        <v>2266</v>
      </c>
      <c r="D962" s="3" t="s">
        <v>2266</v>
      </c>
      <c r="E962" s="3" t="s">
        <v>2267</v>
      </c>
      <c r="F962" s="3" t="s">
        <v>120</v>
      </c>
      <c r="G962" s="3">
        <v>16</v>
      </c>
      <c r="H962" s="3">
        <v>0</v>
      </c>
      <c r="I962" s="3">
        <v>1</v>
      </c>
      <c r="J962" s="3">
        <v>0</v>
      </c>
      <c r="K962" s="3">
        <v>3</v>
      </c>
      <c r="L962" s="3">
        <v>12</v>
      </c>
      <c r="M962" s="3">
        <v>0</v>
      </c>
      <c r="N962" s="3" t="s">
        <v>5218</v>
      </c>
      <c r="O962" s="3">
        <v>15</v>
      </c>
      <c r="P962" s="3">
        <v>17.04</v>
      </c>
      <c r="Q962" s="3">
        <v>0</v>
      </c>
      <c r="R962" s="3">
        <v>0</v>
      </c>
      <c r="S962" s="3">
        <v>0</v>
      </c>
      <c r="T962" s="3">
        <v>2</v>
      </c>
      <c r="U962" s="3">
        <v>4</v>
      </c>
      <c r="V962" s="3">
        <v>4</v>
      </c>
      <c r="W962" s="3"/>
      <c r="X962" s="3">
        <v>22.98</v>
      </c>
      <c r="Y962" s="3">
        <v>22.98</v>
      </c>
      <c r="Z962" s="3">
        <v>18.98</v>
      </c>
      <c r="AA962" s="3">
        <v>0</v>
      </c>
      <c r="AB962" s="3" t="s">
        <v>5223</v>
      </c>
      <c r="AC962" s="3">
        <v>16</v>
      </c>
      <c r="AD962" s="3">
        <v>22.98</v>
      </c>
      <c r="AE962" s="3">
        <v>0</v>
      </c>
      <c r="AF962" s="3">
        <v>0</v>
      </c>
      <c r="AG962" s="3">
        <v>0</v>
      </c>
      <c r="AH962" s="3">
        <v>0.222222222222222</v>
      </c>
      <c r="AI962" s="3" t="s">
        <v>5313</v>
      </c>
      <c r="AJ962" s="3" t="s">
        <v>5222</v>
      </c>
    </row>
    <row r="963" spans="1:36">
      <c r="A963" s="5">
        <v>43288</v>
      </c>
      <c r="B963" s="3" t="s">
        <v>2177</v>
      </c>
      <c r="C963" s="3" t="s">
        <v>2178</v>
      </c>
      <c r="D963" s="3" t="s">
        <v>2178</v>
      </c>
      <c r="E963" s="3" t="s">
        <v>2179</v>
      </c>
      <c r="F963" s="3" t="s">
        <v>120</v>
      </c>
      <c r="G963" s="3">
        <v>32</v>
      </c>
      <c r="H963" s="3">
        <v>0</v>
      </c>
      <c r="I963" s="3">
        <v>1</v>
      </c>
      <c r="J963" s="3">
        <v>20</v>
      </c>
      <c r="K963" s="3">
        <v>11</v>
      </c>
      <c r="L963" s="3">
        <v>0</v>
      </c>
      <c r="M963" s="3">
        <v>0</v>
      </c>
      <c r="N963" s="3" t="s">
        <v>5218</v>
      </c>
      <c r="O963" s="3">
        <v>11</v>
      </c>
      <c r="P963" s="3">
        <v>17.09</v>
      </c>
      <c r="Q963" s="3">
        <v>0</v>
      </c>
      <c r="R963" s="3">
        <v>0</v>
      </c>
      <c r="S963" s="3">
        <v>0</v>
      </c>
      <c r="T963" s="3">
        <v>1</v>
      </c>
      <c r="U963" s="3">
        <v>1</v>
      </c>
      <c r="V963" s="3">
        <v>3</v>
      </c>
      <c r="W963" s="3" t="s">
        <v>5227</v>
      </c>
      <c r="X963" s="3">
        <v>22.98</v>
      </c>
      <c r="Y963" s="3">
        <v>22.98</v>
      </c>
      <c r="Z963" s="3">
        <v>22</v>
      </c>
      <c r="AA963" s="3">
        <v>0</v>
      </c>
      <c r="AB963" s="3" t="s">
        <v>5228</v>
      </c>
      <c r="AC963" s="3">
        <v>0</v>
      </c>
      <c r="AD963" s="3">
        <v>15.62</v>
      </c>
      <c r="AE963" s="3">
        <v>364</v>
      </c>
      <c r="AF963" s="3">
        <v>0</v>
      </c>
      <c r="AG963" s="3">
        <v>648.725255</v>
      </c>
      <c r="AH963" s="3">
        <v>0.0916030534351145</v>
      </c>
      <c r="AI963" s="3" t="s">
        <v>5260</v>
      </c>
      <c r="AJ963" s="3" t="s">
        <v>5222</v>
      </c>
    </row>
    <row r="964" spans="1:36">
      <c r="A964" s="5">
        <v>43288</v>
      </c>
      <c r="B964" s="3" t="s">
        <v>1276</v>
      </c>
      <c r="C964" s="3" t="s">
        <v>1277</v>
      </c>
      <c r="D964" s="3" t="s">
        <v>566</v>
      </c>
      <c r="E964" s="3" t="s">
        <v>809</v>
      </c>
      <c r="F964" s="3" t="s">
        <v>120</v>
      </c>
      <c r="G964" s="3">
        <v>3</v>
      </c>
      <c r="H964" s="3">
        <v>0</v>
      </c>
      <c r="I964" s="3">
        <v>3</v>
      </c>
      <c r="J964" s="3">
        <v>0</v>
      </c>
      <c r="K964" s="3">
        <v>0</v>
      </c>
      <c r="L964" s="3">
        <v>0</v>
      </c>
      <c r="M964" s="3">
        <v>0</v>
      </c>
      <c r="N964" s="3" t="s">
        <v>5218</v>
      </c>
      <c r="O964" s="3">
        <v>0</v>
      </c>
      <c r="P964" s="3">
        <v>0</v>
      </c>
      <c r="Q964" s="3">
        <v>0</v>
      </c>
      <c r="R964" s="3">
        <v>0</v>
      </c>
      <c r="S964" s="3">
        <v>0</v>
      </c>
      <c r="T964" s="3">
        <v>0</v>
      </c>
      <c r="U964" s="3">
        <v>0</v>
      </c>
      <c r="V964" s="3">
        <v>0</v>
      </c>
      <c r="W964" s="3" t="s">
        <v>5227</v>
      </c>
      <c r="X964" s="3">
        <v>22.98</v>
      </c>
      <c r="Y964" s="3">
        <v>22.98</v>
      </c>
      <c r="Z964" s="3">
        <v>22.98</v>
      </c>
      <c r="AA964" s="3">
        <v>0</v>
      </c>
      <c r="AB964" s="3" t="s">
        <v>5223</v>
      </c>
      <c r="AC964" s="3">
        <v>3</v>
      </c>
      <c r="AD964" s="3">
        <v>22.98</v>
      </c>
      <c r="AE964" s="3">
        <v>0</v>
      </c>
      <c r="AF964" s="3">
        <v>0</v>
      </c>
      <c r="AG964" s="3">
        <v>0</v>
      </c>
      <c r="AH964" s="3">
        <v>0.428571428571428</v>
      </c>
      <c r="AI964" s="3" t="s">
        <v>5225</v>
      </c>
      <c r="AJ964" s="3" t="s">
        <v>5222</v>
      </c>
    </row>
    <row r="965" spans="1:36">
      <c r="A965" s="5">
        <v>43288</v>
      </c>
      <c r="B965" s="3" t="s">
        <v>3081</v>
      </c>
      <c r="C965" s="3" t="s">
        <v>3082</v>
      </c>
      <c r="D965" s="3" t="s">
        <v>3082</v>
      </c>
      <c r="E965" s="3" t="s">
        <v>3083</v>
      </c>
      <c r="F965" s="3" t="s">
        <v>120</v>
      </c>
      <c r="G965" s="3">
        <v>40</v>
      </c>
      <c r="H965" s="3">
        <v>0</v>
      </c>
      <c r="I965" s="3">
        <v>40</v>
      </c>
      <c r="J965" s="3">
        <v>0</v>
      </c>
      <c r="K965" s="3">
        <v>0</v>
      </c>
      <c r="L965" s="3">
        <v>0</v>
      </c>
      <c r="M965" s="3">
        <v>0</v>
      </c>
      <c r="N965" s="3" t="s">
        <v>5218</v>
      </c>
      <c r="O965" s="3">
        <v>0</v>
      </c>
      <c r="P965" s="3">
        <v>0</v>
      </c>
      <c r="Q965" s="3">
        <v>0</v>
      </c>
      <c r="R965" s="3">
        <v>0</v>
      </c>
      <c r="S965" s="3">
        <v>0</v>
      </c>
      <c r="T965" s="3">
        <v>0</v>
      </c>
      <c r="U965" s="3">
        <v>0</v>
      </c>
      <c r="V965" s="3">
        <v>0</v>
      </c>
      <c r="W965" s="3" t="s">
        <v>5219</v>
      </c>
      <c r="X965" s="3">
        <v>39.98</v>
      </c>
      <c r="Y965" s="3">
        <v>39.98</v>
      </c>
      <c r="Z965" s="3">
        <v>39.98</v>
      </c>
      <c r="AA965" s="3">
        <v>0</v>
      </c>
      <c r="AB965" s="3" t="s">
        <v>5234</v>
      </c>
      <c r="AC965" s="3">
        <v>40</v>
      </c>
      <c r="AD965" s="3">
        <v>39.98</v>
      </c>
      <c r="AE965" s="3">
        <v>0</v>
      </c>
      <c r="AF965" s="3">
        <v>0</v>
      </c>
      <c r="AG965" s="3">
        <v>0</v>
      </c>
      <c r="AH965" s="3">
        <v>0</v>
      </c>
      <c r="AI965" s="3" t="s">
        <v>5381</v>
      </c>
      <c r="AJ965" s="3" t="s">
        <v>5222</v>
      </c>
    </row>
    <row r="966" spans="1:36">
      <c r="A966" s="5">
        <v>43288</v>
      </c>
      <c r="B966" s="3" t="s">
        <v>1761</v>
      </c>
      <c r="C966" s="3" t="s">
        <v>1762</v>
      </c>
      <c r="D966" s="3" t="s">
        <v>1762</v>
      </c>
      <c r="E966" s="3" t="s">
        <v>1763</v>
      </c>
      <c r="F966" s="3" t="s">
        <v>120</v>
      </c>
      <c r="G966" s="3">
        <v>2</v>
      </c>
      <c r="H966" s="3">
        <v>0</v>
      </c>
      <c r="I966" s="3">
        <v>2</v>
      </c>
      <c r="J966" s="3">
        <v>0</v>
      </c>
      <c r="K966" s="3">
        <v>0</v>
      </c>
      <c r="L966" s="3">
        <v>0</v>
      </c>
      <c r="M966" s="3">
        <v>0</v>
      </c>
      <c r="N966" s="3" t="s">
        <v>5218</v>
      </c>
      <c r="O966" s="3">
        <v>0</v>
      </c>
      <c r="P966" s="3">
        <v>0</v>
      </c>
      <c r="Q966" s="3">
        <v>0</v>
      </c>
      <c r="R966" s="3">
        <v>0</v>
      </c>
      <c r="S966" s="3">
        <v>0</v>
      </c>
      <c r="T966" s="3">
        <v>3</v>
      </c>
      <c r="U966" s="3">
        <v>4</v>
      </c>
      <c r="V966" s="3">
        <v>5</v>
      </c>
      <c r="W966" s="3"/>
      <c r="X966" s="3">
        <v>25.98</v>
      </c>
      <c r="Y966" s="3">
        <v>25.98</v>
      </c>
      <c r="Z966" s="3">
        <v>25.98</v>
      </c>
      <c r="AA966" s="3">
        <v>0</v>
      </c>
      <c r="AB966" s="3" t="s">
        <v>5223</v>
      </c>
      <c r="AC966" s="3">
        <v>2</v>
      </c>
      <c r="AD966" s="3">
        <v>25.98</v>
      </c>
      <c r="AE966" s="3">
        <v>0</v>
      </c>
      <c r="AF966" s="3">
        <v>0</v>
      </c>
      <c r="AG966" s="3">
        <v>0</v>
      </c>
      <c r="AH966" s="3">
        <v>1.33333333333333</v>
      </c>
      <c r="AI966" s="3" t="s">
        <v>5229</v>
      </c>
      <c r="AJ966" s="3" t="s">
        <v>5222</v>
      </c>
    </row>
    <row r="967" spans="1:36">
      <c r="A967" s="5">
        <v>43288</v>
      </c>
      <c r="B967" s="3" t="s">
        <v>2834</v>
      </c>
      <c r="C967" s="3" t="s">
        <v>2835</v>
      </c>
      <c r="D967" s="3" t="s">
        <v>2835</v>
      </c>
      <c r="E967" s="3" t="s">
        <v>1733</v>
      </c>
      <c r="F967" s="3" t="s">
        <v>120</v>
      </c>
      <c r="G967" s="3">
        <v>22</v>
      </c>
      <c r="H967" s="3">
        <v>0</v>
      </c>
      <c r="I967" s="3">
        <v>0</v>
      </c>
      <c r="J967" s="3">
        <v>22</v>
      </c>
      <c r="K967" s="3">
        <v>0</v>
      </c>
      <c r="L967" s="3">
        <v>0</v>
      </c>
      <c r="M967" s="3">
        <v>0</v>
      </c>
      <c r="N967" s="3" t="s">
        <v>5218</v>
      </c>
      <c r="O967" s="3">
        <v>12</v>
      </c>
      <c r="P967" s="3">
        <v>22.27</v>
      </c>
      <c r="Q967" s="3">
        <v>0</v>
      </c>
      <c r="R967" s="3">
        <v>0</v>
      </c>
      <c r="S967" s="3">
        <v>0</v>
      </c>
      <c r="T967" s="3">
        <v>0</v>
      </c>
      <c r="U967" s="3">
        <v>0</v>
      </c>
      <c r="V967" s="3">
        <v>3</v>
      </c>
      <c r="W967" s="3"/>
      <c r="X967" s="3"/>
      <c r="Y967" s="3"/>
      <c r="Z967" s="3">
        <v>-1</v>
      </c>
      <c r="AA967" s="3">
        <v>-1</v>
      </c>
      <c r="AB967" s="3" t="s">
        <v>5244</v>
      </c>
      <c r="AC967" s="3">
        <v>0</v>
      </c>
      <c r="AD967" s="3">
        <v>0</v>
      </c>
      <c r="AE967" s="3">
        <v>0</v>
      </c>
      <c r="AF967" s="3">
        <v>0</v>
      </c>
      <c r="AG967" s="3">
        <v>0</v>
      </c>
      <c r="AH967" s="3">
        <v>0.131868131868131</v>
      </c>
      <c r="AI967" s="3" t="s">
        <v>5254</v>
      </c>
      <c r="AJ967" s="3" t="s">
        <v>5222</v>
      </c>
    </row>
    <row r="968" spans="1:36">
      <c r="A968" s="5">
        <v>43288</v>
      </c>
      <c r="B968" s="3" t="s">
        <v>2886</v>
      </c>
      <c r="C968" s="3" t="s">
        <v>2887</v>
      </c>
      <c r="D968" s="3" t="s">
        <v>2887</v>
      </c>
      <c r="E968" s="3" t="s">
        <v>2888</v>
      </c>
      <c r="F968" s="3" t="s">
        <v>120</v>
      </c>
      <c r="G968" s="3">
        <v>2</v>
      </c>
      <c r="H968" s="3">
        <v>0</v>
      </c>
      <c r="I968" s="3">
        <v>2</v>
      </c>
      <c r="J968" s="3">
        <v>0</v>
      </c>
      <c r="K968" s="3">
        <v>0</v>
      </c>
      <c r="L968" s="3">
        <v>0</v>
      </c>
      <c r="M968" s="3">
        <v>0</v>
      </c>
      <c r="N968" s="3" t="s">
        <v>5218</v>
      </c>
      <c r="O968" s="3">
        <v>0</v>
      </c>
      <c r="P968" s="3">
        <v>0</v>
      </c>
      <c r="Q968" s="3">
        <v>0</v>
      </c>
      <c r="R968" s="3">
        <v>0</v>
      </c>
      <c r="S968" s="3">
        <v>1</v>
      </c>
      <c r="T968" s="3">
        <v>11</v>
      </c>
      <c r="U968" s="3">
        <v>26</v>
      </c>
      <c r="V968" s="3">
        <v>37</v>
      </c>
      <c r="W968" s="3"/>
      <c r="X968" s="3">
        <v>25.98</v>
      </c>
      <c r="Y968" s="3">
        <v>25.98</v>
      </c>
      <c r="Z968" s="3">
        <v>25.98</v>
      </c>
      <c r="AA968" s="3">
        <v>0</v>
      </c>
      <c r="AB968" s="3" t="s">
        <v>5223</v>
      </c>
      <c r="AC968" s="3">
        <v>3</v>
      </c>
      <c r="AD968" s="3">
        <v>25.98</v>
      </c>
      <c r="AE968" s="3">
        <v>0</v>
      </c>
      <c r="AF968" s="3">
        <v>0</v>
      </c>
      <c r="AG968" s="3">
        <v>0</v>
      </c>
      <c r="AH968" s="3">
        <v>3.44186046511627</v>
      </c>
      <c r="AI968" s="3" t="s">
        <v>5254</v>
      </c>
      <c r="AJ968" s="3" t="s">
        <v>5222</v>
      </c>
    </row>
    <row r="969" spans="1:36">
      <c r="A969" s="5">
        <v>43288</v>
      </c>
      <c r="B969" s="3" t="s">
        <v>3364</v>
      </c>
      <c r="C969" s="3" t="s">
        <v>3365</v>
      </c>
      <c r="D969" s="3" t="s">
        <v>3366</v>
      </c>
      <c r="E969" s="3" t="s">
        <v>3367</v>
      </c>
      <c r="F969" s="3" t="s">
        <v>120</v>
      </c>
      <c r="G969" s="3">
        <v>10</v>
      </c>
      <c r="H969" s="3">
        <v>0</v>
      </c>
      <c r="I969" s="3">
        <v>10</v>
      </c>
      <c r="J969" s="3">
        <v>0</v>
      </c>
      <c r="K969" s="3">
        <v>0</v>
      </c>
      <c r="L969" s="3">
        <v>0</v>
      </c>
      <c r="M969" s="3">
        <v>0</v>
      </c>
      <c r="N969" s="3" t="s">
        <v>5218</v>
      </c>
      <c r="O969" s="3">
        <v>0</v>
      </c>
      <c r="P969" s="3">
        <v>0</v>
      </c>
      <c r="Q969" s="3">
        <v>0</v>
      </c>
      <c r="R969" s="3">
        <v>0</v>
      </c>
      <c r="S969" s="3">
        <v>0</v>
      </c>
      <c r="T969" s="3">
        <v>0</v>
      </c>
      <c r="U969" s="3">
        <v>0</v>
      </c>
      <c r="V969" s="3">
        <v>0</v>
      </c>
      <c r="W969" s="3" t="s">
        <v>5227</v>
      </c>
      <c r="X969" s="3">
        <v>22.98</v>
      </c>
      <c r="Y969" s="3">
        <v>22.98</v>
      </c>
      <c r="Z969" s="3">
        <v>22.98</v>
      </c>
      <c r="AA969" s="3">
        <v>0</v>
      </c>
      <c r="AB969" s="3" t="s">
        <v>5223</v>
      </c>
      <c r="AC969" s="3">
        <v>0</v>
      </c>
      <c r="AD969" s="3">
        <v>0</v>
      </c>
      <c r="AE969" s="3">
        <v>0</v>
      </c>
      <c r="AF969" s="3">
        <v>0</v>
      </c>
      <c r="AG969" s="3">
        <v>0</v>
      </c>
      <c r="AH969" s="3">
        <v>1.33333333333333</v>
      </c>
      <c r="AI969" s="3" t="s">
        <v>5239</v>
      </c>
      <c r="AJ969" s="3" t="s">
        <v>5222</v>
      </c>
    </row>
    <row r="970" spans="1:36">
      <c r="A970" s="5">
        <v>43288</v>
      </c>
      <c r="B970" s="3" t="s">
        <v>2714</v>
      </c>
      <c r="C970" s="3" t="s">
        <v>2715</v>
      </c>
      <c r="D970" s="3" t="s">
        <v>2715</v>
      </c>
      <c r="E970" s="3" t="s">
        <v>2716</v>
      </c>
      <c r="F970" s="3" t="s">
        <v>120</v>
      </c>
      <c r="G970" s="3">
        <v>11</v>
      </c>
      <c r="H970" s="3">
        <v>0</v>
      </c>
      <c r="I970" s="3">
        <v>1</v>
      </c>
      <c r="J970" s="3">
        <v>5</v>
      </c>
      <c r="K970" s="3">
        <v>5</v>
      </c>
      <c r="L970" s="3">
        <v>0</v>
      </c>
      <c r="M970" s="3">
        <v>0</v>
      </c>
      <c r="N970" s="3" t="s">
        <v>5218</v>
      </c>
      <c r="O970" s="3">
        <v>5</v>
      </c>
      <c r="P970" s="3">
        <v>12</v>
      </c>
      <c r="Q970" s="3">
        <v>0</v>
      </c>
      <c r="R970" s="3">
        <v>0</v>
      </c>
      <c r="S970" s="3">
        <v>0</v>
      </c>
      <c r="T970" s="3">
        <v>3</v>
      </c>
      <c r="U970" s="3">
        <v>5</v>
      </c>
      <c r="V970" s="3">
        <v>5</v>
      </c>
      <c r="W970" s="3"/>
      <c r="X970" s="3">
        <v>23.91</v>
      </c>
      <c r="Y970" s="3">
        <v>23.91</v>
      </c>
      <c r="Z970" s="3">
        <v>23.91</v>
      </c>
      <c r="AA970" s="3">
        <v>0</v>
      </c>
      <c r="AB970" s="3" t="s">
        <v>5223</v>
      </c>
      <c r="AC970" s="3">
        <v>11</v>
      </c>
      <c r="AD970" s="3">
        <v>23.91</v>
      </c>
      <c r="AE970" s="3">
        <v>0</v>
      </c>
      <c r="AF970" s="3">
        <v>0</v>
      </c>
      <c r="AG970" s="3">
        <v>0</v>
      </c>
      <c r="AH970" s="3">
        <v>0.37037037037037</v>
      </c>
      <c r="AI970" s="3" t="s">
        <v>5237</v>
      </c>
      <c r="AJ970" s="3" t="s">
        <v>5222</v>
      </c>
    </row>
    <row r="971" spans="1:36">
      <c r="A971" s="5">
        <v>43288</v>
      </c>
      <c r="B971" s="3" t="s">
        <v>2836</v>
      </c>
      <c r="C971" s="3" t="s">
        <v>2837</v>
      </c>
      <c r="D971" s="3" t="s">
        <v>2837</v>
      </c>
      <c r="E971" s="3" t="s">
        <v>1736</v>
      </c>
      <c r="F971" s="3" t="s">
        <v>120</v>
      </c>
      <c r="G971" s="3">
        <v>4</v>
      </c>
      <c r="H971" s="3">
        <v>0</v>
      </c>
      <c r="I971" s="3">
        <v>0</v>
      </c>
      <c r="J971" s="3">
        <v>4</v>
      </c>
      <c r="K971" s="3">
        <v>0</v>
      </c>
      <c r="L971" s="3">
        <v>0</v>
      </c>
      <c r="M971" s="3">
        <v>0</v>
      </c>
      <c r="N971" s="3" t="s">
        <v>5218</v>
      </c>
      <c r="O971" s="3">
        <v>4</v>
      </c>
      <c r="P971" s="3">
        <v>7.43</v>
      </c>
      <c r="Q971" s="3">
        <v>0</v>
      </c>
      <c r="R971" s="3">
        <v>0</v>
      </c>
      <c r="S971" s="3">
        <v>0</v>
      </c>
      <c r="T971" s="3">
        <v>0</v>
      </c>
      <c r="U971" s="3">
        <v>0</v>
      </c>
      <c r="V971" s="3">
        <v>1</v>
      </c>
      <c r="W971" s="3"/>
      <c r="X971" s="3"/>
      <c r="Y971" s="3"/>
      <c r="Z971" s="3">
        <v>-1</v>
      </c>
      <c r="AA971" s="3">
        <v>-1</v>
      </c>
      <c r="AB971" s="3" t="s">
        <v>5244</v>
      </c>
      <c r="AC971" s="3">
        <v>0</v>
      </c>
      <c r="AD971" s="3">
        <v>0</v>
      </c>
      <c r="AE971" s="3">
        <v>0</v>
      </c>
      <c r="AF971" s="3">
        <v>0</v>
      </c>
      <c r="AG971" s="3">
        <v>0</v>
      </c>
      <c r="AH971" s="3">
        <v>0.235294117647058</v>
      </c>
      <c r="AI971" s="3" t="s">
        <v>5254</v>
      </c>
      <c r="AJ971" s="3" t="s">
        <v>5222</v>
      </c>
    </row>
    <row r="972" spans="1:36">
      <c r="A972" s="5">
        <v>43288</v>
      </c>
      <c r="B972" s="3" t="s">
        <v>1677</v>
      </c>
      <c r="C972" s="3" t="s">
        <v>1678</v>
      </c>
      <c r="D972" s="3" t="s">
        <v>1678</v>
      </c>
      <c r="E972" s="3" t="s">
        <v>5519</v>
      </c>
      <c r="F972" s="3" t="s">
        <v>120</v>
      </c>
      <c r="G972" s="3">
        <v>19</v>
      </c>
      <c r="H972" s="3">
        <v>0</v>
      </c>
      <c r="I972" s="3">
        <v>0</v>
      </c>
      <c r="J972" s="3">
        <v>2</v>
      </c>
      <c r="K972" s="3">
        <v>6</v>
      </c>
      <c r="L972" s="3">
        <v>11</v>
      </c>
      <c r="M972" s="3">
        <v>0</v>
      </c>
      <c r="N972" s="3" t="s">
        <v>5218</v>
      </c>
      <c r="O972" s="3">
        <v>18</v>
      </c>
      <c r="P972" s="3">
        <v>29.63</v>
      </c>
      <c r="Q972" s="3">
        <v>0</v>
      </c>
      <c r="R972" s="3">
        <v>0</v>
      </c>
      <c r="S972" s="3">
        <v>0</v>
      </c>
      <c r="T972" s="3">
        <v>0</v>
      </c>
      <c r="U972" s="3">
        <v>0</v>
      </c>
      <c r="V972" s="3">
        <v>0</v>
      </c>
      <c r="W972" s="3"/>
      <c r="X972" s="3"/>
      <c r="Y972" s="3"/>
      <c r="Z972" s="3">
        <v>-1</v>
      </c>
      <c r="AA972" s="3">
        <v>-1</v>
      </c>
      <c r="AB972" s="3" t="s">
        <v>5244</v>
      </c>
      <c r="AC972" s="3">
        <v>0</v>
      </c>
      <c r="AD972" s="3">
        <v>0</v>
      </c>
      <c r="AE972" s="3">
        <v>0</v>
      </c>
      <c r="AF972" s="3">
        <v>0</v>
      </c>
      <c r="AG972" s="3">
        <v>0</v>
      </c>
      <c r="AH972" s="3">
        <v>0</v>
      </c>
      <c r="AI972" s="3" t="s">
        <v>5520</v>
      </c>
      <c r="AJ972" s="3" t="s">
        <v>5222</v>
      </c>
    </row>
    <row r="973" spans="1:36">
      <c r="A973" s="5">
        <v>43288</v>
      </c>
      <c r="B973" s="3" t="s">
        <v>208</v>
      </c>
      <c r="C973" s="3" t="s">
        <v>209</v>
      </c>
      <c r="D973" s="3" t="s">
        <v>209</v>
      </c>
      <c r="E973" s="3" t="s">
        <v>210</v>
      </c>
      <c r="F973" s="3" t="s">
        <v>120</v>
      </c>
      <c r="G973" s="3">
        <v>1</v>
      </c>
      <c r="H973" s="3">
        <v>0</v>
      </c>
      <c r="I973" s="3">
        <v>0</v>
      </c>
      <c r="J973" s="3">
        <v>0</v>
      </c>
      <c r="K973" s="3">
        <v>1</v>
      </c>
      <c r="L973" s="3">
        <v>0</v>
      </c>
      <c r="M973" s="3">
        <v>0</v>
      </c>
      <c r="N973" s="3" t="s">
        <v>5218</v>
      </c>
      <c r="O973" s="3">
        <v>1</v>
      </c>
      <c r="P973" s="3">
        <v>7.59</v>
      </c>
      <c r="Q973" s="3">
        <v>0</v>
      </c>
      <c r="R973" s="3">
        <v>0</v>
      </c>
      <c r="S973" s="3">
        <v>0</v>
      </c>
      <c r="T973" s="3">
        <v>0</v>
      </c>
      <c r="U973" s="3">
        <v>0</v>
      </c>
      <c r="V973" s="3">
        <v>0</v>
      </c>
      <c r="W973" s="3" t="s">
        <v>5219</v>
      </c>
      <c r="X973" s="3">
        <v>65.98</v>
      </c>
      <c r="Y973" s="3">
        <v>65.98</v>
      </c>
      <c r="Z973" s="3">
        <v>65.98</v>
      </c>
      <c r="AA973" s="3">
        <v>0</v>
      </c>
      <c r="AB973" s="3" t="s">
        <v>5228</v>
      </c>
      <c r="AC973" s="3">
        <v>0</v>
      </c>
      <c r="AD973" s="3">
        <v>52.78</v>
      </c>
      <c r="AE973" s="3">
        <v>63</v>
      </c>
      <c r="AF973" s="3">
        <v>0</v>
      </c>
      <c r="AG973" s="3">
        <v>82.975425</v>
      </c>
      <c r="AH973" s="3">
        <v>0</v>
      </c>
      <c r="AI973" s="3" t="s">
        <v>5340</v>
      </c>
      <c r="AJ973" s="3" t="s">
        <v>5222</v>
      </c>
    </row>
    <row r="974" spans="1:36">
      <c r="A974" s="5">
        <v>43288</v>
      </c>
      <c r="B974" s="3" t="s">
        <v>1637</v>
      </c>
      <c r="C974" s="3" t="s">
        <v>1638</v>
      </c>
      <c r="D974" s="3" t="s">
        <v>1638</v>
      </c>
      <c r="E974" s="3" t="s">
        <v>1639</v>
      </c>
      <c r="F974" s="3" t="s">
        <v>120</v>
      </c>
      <c r="G974" s="3">
        <v>5</v>
      </c>
      <c r="H974" s="3">
        <v>0</v>
      </c>
      <c r="I974" s="3">
        <v>0</v>
      </c>
      <c r="J974" s="3">
        <v>5</v>
      </c>
      <c r="K974" s="3">
        <v>0</v>
      </c>
      <c r="L974" s="3">
        <v>0</v>
      </c>
      <c r="M974" s="3">
        <v>0</v>
      </c>
      <c r="N974" s="3" t="s">
        <v>5218</v>
      </c>
      <c r="O974" s="3">
        <v>1</v>
      </c>
      <c r="P974" s="3">
        <v>1.36</v>
      </c>
      <c r="Q974" s="3">
        <v>0</v>
      </c>
      <c r="R974" s="3">
        <v>0</v>
      </c>
      <c r="S974" s="3">
        <v>0</v>
      </c>
      <c r="T974" s="3">
        <v>2</v>
      </c>
      <c r="U974" s="3">
        <v>3</v>
      </c>
      <c r="V974" s="3">
        <v>6</v>
      </c>
      <c r="W974" s="3" t="s">
        <v>5227</v>
      </c>
      <c r="X974" s="3">
        <v>21.98</v>
      </c>
      <c r="Y974" s="3">
        <v>21.98</v>
      </c>
      <c r="Z974" s="3">
        <v>19.98</v>
      </c>
      <c r="AA974" s="3">
        <v>0</v>
      </c>
      <c r="AB974" s="3" t="s">
        <v>5223</v>
      </c>
      <c r="AC974" s="3">
        <v>5</v>
      </c>
      <c r="AD974" s="3">
        <v>21.98</v>
      </c>
      <c r="AE974" s="3">
        <v>0</v>
      </c>
      <c r="AF974" s="3">
        <v>0</v>
      </c>
      <c r="AG974" s="3">
        <v>0</v>
      </c>
      <c r="AH974" s="3">
        <v>0.774193548387096</v>
      </c>
      <c r="AI974" s="3" t="s">
        <v>5521</v>
      </c>
      <c r="AJ974" s="3" t="s">
        <v>5222</v>
      </c>
    </row>
    <row r="975" spans="1:36">
      <c r="A975" s="5">
        <v>43288</v>
      </c>
      <c r="B975" s="3" t="s">
        <v>2740</v>
      </c>
      <c r="C975" s="3" t="s">
        <v>2741</v>
      </c>
      <c r="D975" s="3" t="s">
        <v>2742</v>
      </c>
      <c r="E975" s="3" t="s">
        <v>1725</v>
      </c>
      <c r="F975" s="3" t="s">
        <v>120</v>
      </c>
      <c r="G975" s="3">
        <v>5</v>
      </c>
      <c r="H975" s="3">
        <v>0</v>
      </c>
      <c r="I975" s="3">
        <v>5</v>
      </c>
      <c r="J975" s="3">
        <v>0</v>
      </c>
      <c r="K975" s="3">
        <v>0</v>
      </c>
      <c r="L975" s="3">
        <v>0</v>
      </c>
      <c r="M975" s="3">
        <v>0</v>
      </c>
      <c r="N975" s="3" t="s">
        <v>5218</v>
      </c>
      <c r="O975" s="3">
        <v>0</v>
      </c>
      <c r="P975" s="3">
        <v>0</v>
      </c>
      <c r="Q975" s="3">
        <v>0</v>
      </c>
      <c r="R975" s="3">
        <v>0</v>
      </c>
      <c r="S975" s="3">
        <v>0</v>
      </c>
      <c r="T975" s="3">
        <v>1</v>
      </c>
      <c r="U975" s="3">
        <v>1</v>
      </c>
      <c r="V975" s="3">
        <v>1</v>
      </c>
      <c r="W975" s="3" t="s">
        <v>5227</v>
      </c>
      <c r="X975" s="3">
        <v>22.98</v>
      </c>
      <c r="Y975" s="3">
        <v>22.98</v>
      </c>
      <c r="Z975" s="3">
        <v>22.98</v>
      </c>
      <c r="AA975" s="3">
        <v>0</v>
      </c>
      <c r="AB975" s="3" t="s">
        <v>5223</v>
      </c>
      <c r="AC975" s="3">
        <v>8</v>
      </c>
      <c r="AD975" s="3">
        <v>22.98</v>
      </c>
      <c r="AE975" s="3">
        <v>0</v>
      </c>
      <c r="AF975" s="3">
        <v>0</v>
      </c>
      <c r="AG975" s="3">
        <v>0</v>
      </c>
      <c r="AH975" s="3">
        <v>0.25</v>
      </c>
      <c r="AI975" s="3" t="s">
        <v>5324</v>
      </c>
      <c r="AJ975" s="3" t="s">
        <v>5222</v>
      </c>
    </row>
    <row r="976" spans="1:36">
      <c r="A976" s="5">
        <v>43288</v>
      </c>
      <c r="B976" s="3" t="s">
        <v>2430</v>
      </c>
      <c r="C976" s="3" t="s">
        <v>2431</v>
      </c>
      <c r="D976" s="3" t="s">
        <v>2431</v>
      </c>
      <c r="E976" s="3" t="s">
        <v>2432</v>
      </c>
      <c r="F976" s="3" t="s">
        <v>120</v>
      </c>
      <c r="G976" s="3">
        <v>6</v>
      </c>
      <c r="H976" s="3">
        <v>0</v>
      </c>
      <c r="I976" s="3">
        <v>0</v>
      </c>
      <c r="J976" s="3">
        <v>6</v>
      </c>
      <c r="K976" s="3">
        <v>0</v>
      </c>
      <c r="L976" s="3">
        <v>0</v>
      </c>
      <c r="M976" s="3">
        <v>0</v>
      </c>
      <c r="N976" s="3" t="s">
        <v>5218</v>
      </c>
      <c r="O976" s="3">
        <v>3</v>
      </c>
      <c r="P976" s="3">
        <v>4.92</v>
      </c>
      <c r="Q976" s="3">
        <v>0</v>
      </c>
      <c r="R976" s="3">
        <v>0</v>
      </c>
      <c r="S976" s="3">
        <v>0</v>
      </c>
      <c r="T976" s="3">
        <v>1</v>
      </c>
      <c r="U976" s="3">
        <v>1</v>
      </c>
      <c r="V976" s="3">
        <v>3</v>
      </c>
      <c r="W976" s="3"/>
      <c r="X976" s="3">
        <v>22.98</v>
      </c>
      <c r="Y976" s="3">
        <v>22.98</v>
      </c>
      <c r="Z976" s="3">
        <v>22</v>
      </c>
      <c r="AA976" s="3">
        <v>0</v>
      </c>
      <c r="AB976" s="3" t="s">
        <v>5223</v>
      </c>
      <c r="AC976" s="3">
        <v>6</v>
      </c>
      <c r="AD976" s="3">
        <v>22.98</v>
      </c>
      <c r="AE976" s="3">
        <v>0</v>
      </c>
      <c r="AF976" s="3">
        <v>0</v>
      </c>
      <c r="AG976" s="3">
        <v>0</v>
      </c>
      <c r="AH976" s="3">
        <v>0.413793103448275</v>
      </c>
      <c r="AI976" s="3" t="s">
        <v>5240</v>
      </c>
      <c r="AJ976" s="3" t="s">
        <v>5222</v>
      </c>
    </row>
    <row r="977" spans="1:36">
      <c r="A977" s="5">
        <v>43288</v>
      </c>
      <c r="B977" s="3" t="s">
        <v>2280</v>
      </c>
      <c r="C977" s="3" t="s">
        <v>2281</v>
      </c>
      <c r="D977" s="3" t="s">
        <v>2281</v>
      </c>
      <c r="E977" s="3" t="s">
        <v>2282</v>
      </c>
      <c r="F977" s="3" t="s">
        <v>120</v>
      </c>
      <c r="G977" s="3">
        <v>42</v>
      </c>
      <c r="H977" s="3">
        <v>0</v>
      </c>
      <c r="I977" s="3">
        <v>42</v>
      </c>
      <c r="J977" s="3">
        <v>0</v>
      </c>
      <c r="K977" s="3">
        <v>0</v>
      </c>
      <c r="L977" s="3">
        <v>0</v>
      </c>
      <c r="M977" s="3">
        <v>0</v>
      </c>
      <c r="N977" s="3" t="s">
        <v>5218</v>
      </c>
      <c r="O977" s="3">
        <v>0</v>
      </c>
      <c r="P977" s="3">
        <v>0</v>
      </c>
      <c r="Q977" s="3">
        <v>0</v>
      </c>
      <c r="R977" s="3">
        <v>0</v>
      </c>
      <c r="S977" s="3">
        <v>0</v>
      </c>
      <c r="T977" s="3">
        <v>1</v>
      </c>
      <c r="U977" s="3">
        <v>2</v>
      </c>
      <c r="V977" s="3">
        <v>2</v>
      </c>
      <c r="W977" s="3" t="s">
        <v>5227</v>
      </c>
      <c r="X977" s="3">
        <v>22.98</v>
      </c>
      <c r="Y977" s="3">
        <v>22.98</v>
      </c>
      <c r="Z977" s="3">
        <v>22.98</v>
      </c>
      <c r="AA977" s="3">
        <v>0</v>
      </c>
      <c r="AB977" s="3" t="s">
        <v>5228</v>
      </c>
      <c r="AC977" s="3">
        <v>0</v>
      </c>
      <c r="AD977" s="3">
        <v>17.62</v>
      </c>
      <c r="AE977" s="3">
        <v>364</v>
      </c>
      <c r="AF977" s="3">
        <v>0</v>
      </c>
      <c r="AG977" s="3">
        <v>1226.094415</v>
      </c>
      <c r="AH977" s="3">
        <v>0.0747663551401869</v>
      </c>
      <c r="AI977" s="3" t="s">
        <v>5233</v>
      </c>
      <c r="AJ977" s="3" t="s">
        <v>5222</v>
      </c>
    </row>
    <row r="978" spans="1:36">
      <c r="A978" s="5">
        <v>43288</v>
      </c>
      <c r="B978" s="3" t="s">
        <v>1476</v>
      </c>
      <c r="C978" s="3" t="s">
        <v>36</v>
      </c>
      <c r="D978" s="3" t="s">
        <v>36</v>
      </c>
      <c r="E978" s="3" t="s">
        <v>1477</v>
      </c>
      <c r="F978" s="3" t="s">
        <v>120</v>
      </c>
      <c r="G978" s="3">
        <v>9</v>
      </c>
      <c r="H978" s="3">
        <v>0</v>
      </c>
      <c r="I978" s="3">
        <v>8</v>
      </c>
      <c r="J978" s="3">
        <v>0</v>
      </c>
      <c r="K978" s="3">
        <v>1</v>
      </c>
      <c r="L978" s="3">
        <v>0</v>
      </c>
      <c r="M978" s="3">
        <v>0</v>
      </c>
      <c r="N978" s="3" t="s">
        <v>5218</v>
      </c>
      <c r="O978" s="3">
        <v>1</v>
      </c>
      <c r="P978" s="3">
        <v>1.25</v>
      </c>
      <c r="Q978" s="3">
        <v>0</v>
      </c>
      <c r="R978" s="3">
        <v>0</v>
      </c>
      <c r="S978" s="3">
        <v>2</v>
      </c>
      <c r="T978" s="3">
        <v>3</v>
      </c>
      <c r="U978" s="3">
        <v>8</v>
      </c>
      <c r="V978" s="3">
        <v>25</v>
      </c>
      <c r="W978" s="3"/>
      <c r="X978" s="3">
        <v>14.43</v>
      </c>
      <c r="Y978" s="3">
        <v>14.43</v>
      </c>
      <c r="Z978" s="3">
        <v>14.43</v>
      </c>
      <c r="AA978" s="3">
        <v>0</v>
      </c>
      <c r="AB978" s="3" t="s">
        <v>5228</v>
      </c>
      <c r="AC978" s="3">
        <v>1</v>
      </c>
      <c r="AD978" s="3">
        <v>7.75</v>
      </c>
      <c r="AE978" s="3">
        <v>63</v>
      </c>
      <c r="AF978" s="3">
        <v>0</v>
      </c>
      <c r="AG978" s="3">
        <v>88.775865</v>
      </c>
      <c r="AH978" s="3">
        <v>1.88679245283018</v>
      </c>
      <c r="AI978" s="3" t="s">
        <v>5522</v>
      </c>
      <c r="AJ978" s="3" t="s">
        <v>5222</v>
      </c>
    </row>
    <row r="979" spans="1:36">
      <c r="A979" s="5">
        <v>43288</v>
      </c>
      <c r="B979" s="3" t="s">
        <v>4330</v>
      </c>
      <c r="C979" s="3" t="s">
        <v>4331</v>
      </c>
      <c r="D979" s="3" t="s">
        <v>4331</v>
      </c>
      <c r="E979" s="3" t="s">
        <v>4332</v>
      </c>
      <c r="F979" s="3" t="s">
        <v>120</v>
      </c>
      <c r="G979" s="3">
        <v>7</v>
      </c>
      <c r="H979" s="3">
        <v>0</v>
      </c>
      <c r="I979" s="3">
        <v>1</v>
      </c>
      <c r="J979" s="3">
        <v>4</v>
      </c>
      <c r="K979" s="3">
        <v>2</v>
      </c>
      <c r="L979" s="3">
        <v>0</v>
      </c>
      <c r="M979" s="3">
        <v>0</v>
      </c>
      <c r="N979" s="3" t="s">
        <v>5218</v>
      </c>
      <c r="O979" s="3">
        <v>4</v>
      </c>
      <c r="P979" s="3">
        <v>7.54</v>
      </c>
      <c r="Q979" s="3">
        <v>0</v>
      </c>
      <c r="R979" s="3">
        <v>0</v>
      </c>
      <c r="S979" s="3">
        <v>0</v>
      </c>
      <c r="T979" s="3">
        <v>1</v>
      </c>
      <c r="U979" s="3">
        <v>4</v>
      </c>
      <c r="V979" s="3">
        <v>6</v>
      </c>
      <c r="W979" s="3"/>
      <c r="X979" s="3">
        <v>23.98</v>
      </c>
      <c r="Y979" s="3">
        <v>23.98</v>
      </c>
      <c r="Z979" s="3">
        <v>23.98</v>
      </c>
      <c r="AA979" s="3">
        <v>0</v>
      </c>
      <c r="AB979" s="3" t="s">
        <v>5223</v>
      </c>
      <c r="AC979" s="3">
        <v>7</v>
      </c>
      <c r="AD979" s="3">
        <v>23.98</v>
      </c>
      <c r="AE979" s="3">
        <v>0</v>
      </c>
      <c r="AF979" s="3">
        <v>0</v>
      </c>
      <c r="AG979" s="3">
        <v>0</v>
      </c>
      <c r="AH979" s="3">
        <v>0.631578947368421</v>
      </c>
      <c r="AI979" s="3" t="s">
        <v>5258</v>
      </c>
      <c r="AJ979" s="3" t="s">
        <v>5222</v>
      </c>
    </row>
    <row r="980" spans="1:36">
      <c r="A980" s="5">
        <v>43288</v>
      </c>
      <c r="B980" s="3" t="s">
        <v>2495</v>
      </c>
      <c r="C980" s="3" t="s">
        <v>2496</v>
      </c>
      <c r="D980" s="3" t="s">
        <v>2496</v>
      </c>
      <c r="E980" s="3" t="s">
        <v>2497</v>
      </c>
      <c r="F980" s="3" t="s">
        <v>120</v>
      </c>
      <c r="G980" s="3">
        <v>16</v>
      </c>
      <c r="H980" s="3">
        <v>0</v>
      </c>
      <c r="I980" s="3">
        <v>0</v>
      </c>
      <c r="J980" s="3">
        <v>15</v>
      </c>
      <c r="K980" s="3">
        <v>1</v>
      </c>
      <c r="L980" s="3">
        <v>0</v>
      </c>
      <c r="M980" s="3">
        <v>0</v>
      </c>
      <c r="N980" s="3" t="s">
        <v>5218</v>
      </c>
      <c r="O980" s="3">
        <v>1</v>
      </c>
      <c r="P980" s="3">
        <v>2.23</v>
      </c>
      <c r="Q980" s="3">
        <v>0</v>
      </c>
      <c r="R980" s="3">
        <v>0</v>
      </c>
      <c r="S980" s="3">
        <v>0</v>
      </c>
      <c r="T980" s="3">
        <v>1</v>
      </c>
      <c r="U980" s="3">
        <v>3</v>
      </c>
      <c r="V980" s="3">
        <v>5</v>
      </c>
      <c r="W980" s="3" t="s">
        <v>5227</v>
      </c>
      <c r="X980" s="3">
        <v>24.98</v>
      </c>
      <c r="Y980" s="3">
        <v>24.98</v>
      </c>
      <c r="Z980" s="3">
        <v>24.98</v>
      </c>
      <c r="AA980" s="3">
        <v>0</v>
      </c>
      <c r="AB980" s="3" t="s">
        <v>5223</v>
      </c>
      <c r="AC980" s="3">
        <v>16</v>
      </c>
      <c r="AD980" s="3">
        <v>24.98</v>
      </c>
      <c r="AE980" s="3">
        <v>0</v>
      </c>
      <c r="AF980" s="3">
        <v>0</v>
      </c>
      <c r="AG980" s="3">
        <v>0</v>
      </c>
      <c r="AH980" s="3">
        <v>0.273972602739726</v>
      </c>
      <c r="AI980" s="3" t="s">
        <v>5230</v>
      </c>
      <c r="AJ980" s="3" t="s">
        <v>5222</v>
      </c>
    </row>
    <row r="981" spans="1:36">
      <c r="A981" s="5">
        <v>43288</v>
      </c>
      <c r="B981" s="3" t="s">
        <v>2483</v>
      </c>
      <c r="C981" s="3" t="s">
        <v>2484</v>
      </c>
      <c r="D981" s="3" t="s">
        <v>2484</v>
      </c>
      <c r="E981" s="3" t="s">
        <v>2485</v>
      </c>
      <c r="F981" s="3" t="s">
        <v>120</v>
      </c>
      <c r="G981" s="3">
        <v>21</v>
      </c>
      <c r="H981" s="3">
        <v>0</v>
      </c>
      <c r="I981" s="3">
        <v>1</v>
      </c>
      <c r="J981" s="3">
        <v>20</v>
      </c>
      <c r="K981" s="3">
        <v>0</v>
      </c>
      <c r="L981" s="3">
        <v>0</v>
      </c>
      <c r="M981" s="3">
        <v>0</v>
      </c>
      <c r="N981" s="3" t="s">
        <v>5218</v>
      </c>
      <c r="O981" s="3">
        <v>5</v>
      </c>
      <c r="P981" s="3">
        <v>11.16</v>
      </c>
      <c r="Q981" s="3">
        <v>0</v>
      </c>
      <c r="R981" s="3">
        <v>0</v>
      </c>
      <c r="S981" s="3">
        <v>0</v>
      </c>
      <c r="T981" s="3">
        <v>0</v>
      </c>
      <c r="U981" s="3">
        <v>2</v>
      </c>
      <c r="V981" s="3">
        <v>4</v>
      </c>
      <c r="W981" s="3" t="s">
        <v>5227</v>
      </c>
      <c r="X981" s="3">
        <v>24.98</v>
      </c>
      <c r="Y981" s="3">
        <v>24.98</v>
      </c>
      <c r="Z981" s="3">
        <v>24.98</v>
      </c>
      <c r="AA981" s="3">
        <v>0</v>
      </c>
      <c r="AB981" s="3" t="s">
        <v>5228</v>
      </c>
      <c r="AC981" s="3">
        <v>0</v>
      </c>
      <c r="AD981" s="3">
        <v>20.6</v>
      </c>
      <c r="AE981" s="3">
        <v>315</v>
      </c>
      <c r="AF981" s="3">
        <v>0</v>
      </c>
      <c r="AG981" s="3">
        <v>660.24827</v>
      </c>
      <c r="AH981" s="3">
        <v>0.179775280898876</v>
      </c>
      <c r="AI981" s="3" t="s">
        <v>5230</v>
      </c>
      <c r="AJ981" s="3" t="s">
        <v>5222</v>
      </c>
    </row>
    <row r="982" spans="1:36">
      <c r="A982" s="5">
        <v>43288</v>
      </c>
      <c r="B982" s="3" t="s">
        <v>369</v>
      </c>
      <c r="C982" s="3" t="s">
        <v>370</v>
      </c>
      <c r="D982" s="3" t="s">
        <v>371</v>
      </c>
      <c r="E982" s="3" t="s">
        <v>372</v>
      </c>
      <c r="F982" s="3" t="s">
        <v>120</v>
      </c>
      <c r="G982" s="3">
        <v>30</v>
      </c>
      <c r="H982" s="3">
        <v>0</v>
      </c>
      <c r="I982" s="3">
        <v>30</v>
      </c>
      <c r="J982" s="3">
        <v>0</v>
      </c>
      <c r="K982" s="3">
        <v>0</v>
      </c>
      <c r="L982" s="3">
        <v>0</v>
      </c>
      <c r="M982" s="3">
        <v>0</v>
      </c>
      <c r="N982" s="3" t="s">
        <v>5218</v>
      </c>
      <c r="O982" s="3">
        <v>0</v>
      </c>
      <c r="P982" s="3">
        <v>0</v>
      </c>
      <c r="Q982" s="3">
        <v>0</v>
      </c>
      <c r="R982" s="3">
        <v>0</v>
      </c>
      <c r="S982" s="3">
        <v>0</v>
      </c>
      <c r="T982" s="3">
        <v>0</v>
      </c>
      <c r="U982" s="3">
        <v>0</v>
      </c>
      <c r="V982" s="3">
        <v>0</v>
      </c>
      <c r="W982" s="3" t="s">
        <v>5227</v>
      </c>
      <c r="X982" s="3">
        <v>22.98</v>
      </c>
      <c r="Y982" s="3">
        <v>22.98</v>
      </c>
      <c r="Z982" s="3">
        <v>22.98</v>
      </c>
      <c r="AA982" s="3">
        <v>0</v>
      </c>
      <c r="AB982" s="3" t="s">
        <v>5223</v>
      </c>
      <c r="AC982" s="3">
        <v>30</v>
      </c>
      <c r="AD982" s="3">
        <v>22.98</v>
      </c>
      <c r="AE982" s="3">
        <v>0</v>
      </c>
      <c r="AF982" s="3">
        <v>0</v>
      </c>
      <c r="AG982" s="3">
        <v>0</v>
      </c>
      <c r="AH982" s="3">
        <v>4.8</v>
      </c>
      <c r="AI982" s="3" t="s">
        <v>5523</v>
      </c>
      <c r="AJ982" s="3" t="s">
        <v>5222</v>
      </c>
    </row>
    <row r="983" spans="1:36">
      <c r="A983" s="5">
        <v>43288</v>
      </c>
      <c r="B983" s="3" t="s">
        <v>2823</v>
      </c>
      <c r="C983" s="3" t="s">
        <v>2824</v>
      </c>
      <c r="D983" s="3" t="s">
        <v>2824</v>
      </c>
      <c r="E983" s="3" t="s">
        <v>2825</v>
      </c>
      <c r="F983" s="3" t="s">
        <v>120</v>
      </c>
      <c r="G983" s="3">
        <v>35</v>
      </c>
      <c r="H983" s="3">
        <v>0</v>
      </c>
      <c r="I983" s="3">
        <v>4</v>
      </c>
      <c r="J983" s="3">
        <v>31</v>
      </c>
      <c r="K983" s="3">
        <v>0</v>
      </c>
      <c r="L983" s="3">
        <v>0</v>
      </c>
      <c r="M983" s="3">
        <v>0</v>
      </c>
      <c r="N983" s="3" t="s">
        <v>5218</v>
      </c>
      <c r="O983" s="3">
        <v>28</v>
      </c>
      <c r="P983" s="3">
        <v>64.32</v>
      </c>
      <c r="Q983" s="3">
        <v>0</v>
      </c>
      <c r="R983" s="3">
        <v>0</v>
      </c>
      <c r="S983" s="3">
        <v>4</v>
      </c>
      <c r="T983" s="3">
        <v>7</v>
      </c>
      <c r="U983" s="3">
        <v>11</v>
      </c>
      <c r="V983" s="3">
        <v>20</v>
      </c>
      <c r="W983" s="3"/>
      <c r="X983" s="3">
        <v>22.98</v>
      </c>
      <c r="Y983" s="3">
        <v>18.98</v>
      </c>
      <c r="Z983" s="3">
        <v>18.98</v>
      </c>
      <c r="AA983" s="3">
        <v>0</v>
      </c>
      <c r="AB983" s="3" t="s">
        <v>5228</v>
      </c>
      <c r="AC983" s="3">
        <v>34</v>
      </c>
      <c r="AD983" s="3">
        <v>17.57</v>
      </c>
      <c r="AE983" s="3">
        <v>35</v>
      </c>
      <c r="AF983" s="3">
        <v>0</v>
      </c>
      <c r="AG983" s="3">
        <v>0.295024</v>
      </c>
      <c r="AH983" s="3">
        <v>0.470588235294117</v>
      </c>
      <c r="AI983" s="3" t="s">
        <v>5524</v>
      </c>
      <c r="AJ983" s="3" t="s">
        <v>5222</v>
      </c>
    </row>
    <row r="984" spans="1:36">
      <c r="A984" s="5">
        <v>43288</v>
      </c>
      <c r="B984" s="3" t="s">
        <v>2737</v>
      </c>
      <c r="C984" s="3" t="s">
        <v>2738</v>
      </c>
      <c r="D984" s="3" t="s">
        <v>2739</v>
      </c>
      <c r="E984" s="3" t="s">
        <v>1725</v>
      </c>
      <c r="F984" s="3" t="s">
        <v>120</v>
      </c>
      <c r="G984" s="3">
        <v>3</v>
      </c>
      <c r="H984" s="3">
        <v>0</v>
      </c>
      <c r="I984" s="3">
        <v>3</v>
      </c>
      <c r="J984" s="3">
        <v>0</v>
      </c>
      <c r="K984" s="3">
        <v>0</v>
      </c>
      <c r="L984" s="3">
        <v>0</v>
      </c>
      <c r="M984" s="3">
        <v>0</v>
      </c>
      <c r="N984" s="3" t="s">
        <v>5218</v>
      </c>
      <c r="O984" s="3">
        <v>0</v>
      </c>
      <c r="P984" s="3">
        <v>0</v>
      </c>
      <c r="Q984" s="3">
        <v>0</v>
      </c>
      <c r="R984" s="3">
        <v>0</v>
      </c>
      <c r="S984" s="3">
        <v>3</v>
      </c>
      <c r="T984" s="3">
        <v>13</v>
      </c>
      <c r="U984" s="3">
        <v>13</v>
      </c>
      <c r="V984" s="3">
        <v>13</v>
      </c>
      <c r="W984" s="3"/>
      <c r="X984" s="3"/>
      <c r="Y984" s="3"/>
      <c r="Z984" s="3">
        <v>-1</v>
      </c>
      <c r="AA984" s="3">
        <v>-1</v>
      </c>
      <c r="AB984" s="3" t="s">
        <v>5244</v>
      </c>
      <c r="AC984" s="3">
        <v>6</v>
      </c>
      <c r="AD984" s="3">
        <v>22.98</v>
      </c>
      <c r="AE984" s="3">
        <v>0</v>
      </c>
      <c r="AF984" s="3">
        <v>0</v>
      </c>
      <c r="AG984" s="3">
        <v>0</v>
      </c>
      <c r="AH984" s="3">
        <v>6.5</v>
      </c>
      <c r="AI984" s="3" t="s">
        <v>5236</v>
      </c>
      <c r="AJ984" s="3" t="s">
        <v>5222</v>
      </c>
    </row>
    <row r="985" spans="1:36">
      <c r="A985" s="5">
        <v>43288</v>
      </c>
      <c r="B985" s="3" t="s">
        <v>1331</v>
      </c>
      <c r="C985" s="3" t="s">
        <v>1332</v>
      </c>
      <c r="D985" s="3" t="s">
        <v>1333</v>
      </c>
      <c r="E985" s="3" t="s">
        <v>1334</v>
      </c>
      <c r="F985" s="3" t="s">
        <v>120</v>
      </c>
      <c r="G985" s="3">
        <v>37</v>
      </c>
      <c r="H985" s="3">
        <v>0</v>
      </c>
      <c r="I985" s="3">
        <v>37</v>
      </c>
      <c r="J985" s="3">
        <v>0</v>
      </c>
      <c r="K985" s="3">
        <v>0</v>
      </c>
      <c r="L985" s="3">
        <v>0</v>
      </c>
      <c r="M985" s="3">
        <v>0</v>
      </c>
      <c r="N985" s="3" t="s">
        <v>5218</v>
      </c>
      <c r="O985" s="3">
        <v>0</v>
      </c>
      <c r="P985" s="3">
        <v>0</v>
      </c>
      <c r="Q985" s="3">
        <v>0</v>
      </c>
      <c r="R985" s="3">
        <v>0</v>
      </c>
      <c r="S985" s="3">
        <v>0</v>
      </c>
      <c r="T985" s="3">
        <v>0</v>
      </c>
      <c r="U985" s="3">
        <v>0</v>
      </c>
      <c r="V985" s="3">
        <v>0</v>
      </c>
      <c r="W985" s="3" t="s">
        <v>5227</v>
      </c>
      <c r="X985" s="3">
        <v>21.98</v>
      </c>
      <c r="Y985" s="3">
        <v>21.98</v>
      </c>
      <c r="Z985" s="3">
        <v>21.98</v>
      </c>
      <c r="AA985" s="3">
        <v>0</v>
      </c>
      <c r="AB985" s="3" t="s">
        <v>5223</v>
      </c>
      <c r="AC985" s="3">
        <v>0</v>
      </c>
      <c r="AD985" s="3">
        <v>0</v>
      </c>
      <c r="AE985" s="3">
        <v>0</v>
      </c>
      <c r="AF985" s="3">
        <v>0</v>
      </c>
      <c r="AG985" s="3">
        <v>0</v>
      </c>
      <c r="AH985" s="3">
        <v>0.0784313725490196</v>
      </c>
      <c r="AI985" s="3" t="s">
        <v>5236</v>
      </c>
      <c r="AJ985" s="3" t="s">
        <v>5222</v>
      </c>
    </row>
    <row r="986" spans="1:36">
      <c r="A986" s="5">
        <v>43288</v>
      </c>
      <c r="B986" s="3" t="s">
        <v>2976</v>
      </c>
      <c r="C986" s="3" t="s">
        <v>2977</v>
      </c>
      <c r="D986" s="3" t="s">
        <v>2977</v>
      </c>
      <c r="E986" s="3" t="s">
        <v>2978</v>
      </c>
      <c r="F986" s="3" t="s">
        <v>120</v>
      </c>
      <c r="G986" s="3">
        <v>141</v>
      </c>
      <c r="H986" s="3">
        <v>0</v>
      </c>
      <c r="I986" s="3">
        <v>0</v>
      </c>
      <c r="J986" s="3">
        <v>141</v>
      </c>
      <c r="K986" s="3">
        <v>0</v>
      </c>
      <c r="L986" s="3">
        <v>0</v>
      </c>
      <c r="M986" s="3">
        <v>0</v>
      </c>
      <c r="N986" s="3" t="s">
        <v>5218</v>
      </c>
      <c r="O986" s="3">
        <v>141</v>
      </c>
      <c r="P986" s="3">
        <v>236.34</v>
      </c>
      <c r="Q986" s="3">
        <v>0</v>
      </c>
      <c r="R986" s="3">
        <v>0</v>
      </c>
      <c r="S986" s="3">
        <v>6</v>
      </c>
      <c r="T986" s="3">
        <v>8</v>
      </c>
      <c r="U986" s="3">
        <v>8</v>
      </c>
      <c r="V986" s="3">
        <v>9</v>
      </c>
      <c r="W986" s="3"/>
      <c r="X986" s="3">
        <v>22.98</v>
      </c>
      <c r="Y986" s="3">
        <v>22.98</v>
      </c>
      <c r="Z986" s="3">
        <v>22.98</v>
      </c>
      <c r="AA986" s="3">
        <v>0</v>
      </c>
      <c r="AB986" s="3" t="s">
        <v>5228</v>
      </c>
      <c r="AC986" s="3">
        <v>15</v>
      </c>
      <c r="AD986" s="3">
        <v>16.6</v>
      </c>
      <c r="AE986" s="3">
        <v>315</v>
      </c>
      <c r="AF986" s="3">
        <v>0</v>
      </c>
      <c r="AG986" s="3">
        <v>1712.851892</v>
      </c>
      <c r="AH986" s="3">
        <v>0.0611205432937181</v>
      </c>
      <c r="AI986" s="3" t="s">
        <v>5525</v>
      </c>
      <c r="AJ986" s="3" t="s">
        <v>5222</v>
      </c>
    </row>
    <row r="987" spans="1:36">
      <c r="A987" s="5">
        <v>43288</v>
      </c>
      <c r="B987" s="3" t="s">
        <v>1806</v>
      </c>
      <c r="C987" s="3" t="s">
        <v>1807</v>
      </c>
      <c r="D987" s="3" t="s">
        <v>1807</v>
      </c>
      <c r="E987" s="3" t="s">
        <v>1808</v>
      </c>
      <c r="F987" s="3" t="s">
        <v>120</v>
      </c>
      <c r="G987" s="3">
        <v>15</v>
      </c>
      <c r="H987" s="3">
        <v>0</v>
      </c>
      <c r="I987" s="3">
        <v>0</v>
      </c>
      <c r="J987" s="3">
        <v>0</v>
      </c>
      <c r="K987" s="3">
        <v>13</v>
      </c>
      <c r="L987" s="3">
        <v>2</v>
      </c>
      <c r="M987" s="3">
        <v>0</v>
      </c>
      <c r="N987" s="3" t="s">
        <v>5218</v>
      </c>
      <c r="O987" s="3">
        <v>15</v>
      </c>
      <c r="P987" s="3">
        <v>19.46</v>
      </c>
      <c r="Q987" s="3">
        <v>0</v>
      </c>
      <c r="R987" s="3">
        <v>0</v>
      </c>
      <c r="S987" s="3">
        <v>0</v>
      </c>
      <c r="T987" s="3">
        <v>1</v>
      </c>
      <c r="U987" s="3">
        <v>1</v>
      </c>
      <c r="V987" s="3">
        <v>1</v>
      </c>
      <c r="W987" s="3"/>
      <c r="X987" s="3">
        <v>22.37</v>
      </c>
      <c r="Y987" s="3">
        <v>22.37</v>
      </c>
      <c r="Z987" s="3">
        <v>22.37</v>
      </c>
      <c r="AA987" s="3">
        <v>0</v>
      </c>
      <c r="AB987" s="3" t="s">
        <v>5223</v>
      </c>
      <c r="AC987" s="3">
        <v>0</v>
      </c>
      <c r="AD987" s="3">
        <v>22.37</v>
      </c>
      <c r="AE987" s="3">
        <v>63</v>
      </c>
      <c r="AF987" s="3">
        <v>0</v>
      </c>
      <c r="AG987" s="3">
        <v>242.12752</v>
      </c>
      <c r="AH987" s="3">
        <v>0.0634920634920634</v>
      </c>
      <c r="AI987" s="3" t="s">
        <v>5229</v>
      </c>
      <c r="AJ987" s="3" t="s">
        <v>5222</v>
      </c>
    </row>
    <row r="988" spans="1:36">
      <c r="A988" s="5">
        <v>43288</v>
      </c>
      <c r="B988" s="3" t="s">
        <v>1215</v>
      </c>
      <c r="C988" s="3" t="s">
        <v>1216</v>
      </c>
      <c r="D988" s="3" t="s">
        <v>352</v>
      </c>
      <c r="E988" s="3" t="s">
        <v>315</v>
      </c>
      <c r="F988" s="3" t="s">
        <v>120</v>
      </c>
      <c r="G988" s="3">
        <v>11</v>
      </c>
      <c r="H988" s="3">
        <v>0</v>
      </c>
      <c r="I988" s="3">
        <v>11</v>
      </c>
      <c r="J988" s="3">
        <v>0</v>
      </c>
      <c r="K988" s="3">
        <v>0</v>
      </c>
      <c r="L988" s="3">
        <v>0</v>
      </c>
      <c r="M988" s="3">
        <v>0</v>
      </c>
      <c r="N988" s="3" t="s">
        <v>5218</v>
      </c>
      <c r="O988" s="3">
        <v>0</v>
      </c>
      <c r="P988" s="3">
        <v>0</v>
      </c>
      <c r="Q988" s="3">
        <v>0</v>
      </c>
      <c r="R988" s="3">
        <v>0</v>
      </c>
      <c r="S988" s="3">
        <v>0</v>
      </c>
      <c r="T988" s="3">
        <v>0</v>
      </c>
      <c r="U988" s="3">
        <v>0</v>
      </c>
      <c r="V988" s="3">
        <v>0</v>
      </c>
      <c r="W988" s="3" t="s">
        <v>5227</v>
      </c>
      <c r="X988" s="3">
        <v>26.98</v>
      </c>
      <c r="Y988" s="3">
        <v>26.98</v>
      </c>
      <c r="Z988" s="3">
        <v>26.98</v>
      </c>
      <c r="AA988" s="3">
        <v>0</v>
      </c>
      <c r="AB988" s="3" t="s">
        <v>5223</v>
      </c>
      <c r="AC988" s="3">
        <v>0</v>
      </c>
      <c r="AD988" s="3">
        <v>0</v>
      </c>
      <c r="AE988" s="3">
        <v>0</v>
      </c>
      <c r="AF988" s="3">
        <v>0</v>
      </c>
      <c r="AG988" s="3">
        <v>0</v>
      </c>
      <c r="AH988" s="3">
        <v>0.333333333333333</v>
      </c>
      <c r="AI988" s="3" t="s">
        <v>5224</v>
      </c>
      <c r="AJ988" s="3" t="s">
        <v>5222</v>
      </c>
    </row>
    <row r="989" spans="1:36">
      <c r="A989" s="5">
        <v>43288</v>
      </c>
      <c r="B989" s="3" t="s">
        <v>4053</v>
      </c>
      <c r="C989" s="3" t="s">
        <v>4054</v>
      </c>
      <c r="D989" s="3" t="s">
        <v>4055</v>
      </c>
      <c r="E989" s="3" t="s">
        <v>4056</v>
      </c>
      <c r="F989" s="3" t="s">
        <v>120</v>
      </c>
      <c r="G989" s="3">
        <v>10</v>
      </c>
      <c r="H989" s="3">
        <v>0</v>
      </c>
      <c r="I989" s="3">
        <v>10</v>
      </c>
      <c r="J989" s="3">
        <v>0</v>
      </c>
      <c r="K989" s="3">
        <v>0</v>
      </c>
      <c r="L989" s="3">
        <v>0</v>
      </c>
      <c r="M989" s="3">
        <v>0</v>
      </c>
      <c r="N989" s="3" t="s">
        <v>5218</v>
      </c>
      <c r="O989" s="3">
        <v>0</v>
      </c>
      <c r="P989" s="3">
        <v>0</v>
      </c>
      <c r="Q989" s="3">
        <v>0</v>
      </c>
      <c r="R989" s="3">
        <v>0</v>
      </c>
      <c r="S989" s="3">
        <v>0</v>
      </c>
      <c r="T989" s="3">
        <v>0</v>
      </c>
      <c r="U989" s="3">
        <v>0</v>
      </c>
      <c r="V989" s="3">
        <v>0</v>
      </c>
      <c r="W989" s="3" t="s">
        <v>5227</v>
      </c>
      <c r="X989" s="3">
        <v>20.98</v>
      </c>
      <c r="Y989" s="3">
        <v>20.98</v>
      </c>
      <c r="Z989" s="3">
        <v>20.98</v>
      </c>
      <c r="AA989" s="3">
        <v>0</v>
      </c>
      <c r="AB989" s="3" t="s">
        <v>5223</v>
      </c>
      <c r="AC989" s="3">
        <v>5</v>
      </c>
      <c r="AD989" s="3">
        <v>20.98</v>
      </c>
      <c r="AE989" s="3">
        <v>0</v>
      </c>
      <c r="AF989" s="3">
        <v>0</v>
      </c>
      <c r="AG989" s="3">
        <v>0</v>
      </c>
      <c r="AH989" s="3">
        <v>1.92592592592592</v>
      </c>
      <c r="AI989" s="3" t="s">
        <v>5226</v>
      </c>
      <c r="AJ989" s="3" t="s">
        <v>5222</v>
      </c>
    </row>
    <row r="990" spans="1:36">
      <c r="A990" s="5">
        <v>43288</v>
      </c>
      <c r="B990" s="3" t="s">
        <v>1018</v>
      </c>
      <c r="C990" s="3" t="s">
        <v>1019</v>
      </c>
      <c r="D990" s="3" t="s">
        <v>306</v>
      </c>
      <c r="E990" s="3" t="s">
        <v>472</v>
      </c>
      <c r="F990" s="3" t="s">
        <v>120</v>
      </c>
      <c r="G990" s="3">
        <v>23</v>
      </c>
      <c r="H990" s="3">
        <v>0</v>
      </c>
      <c r="I990" s="3">
        <v>23</v>
      </c>
      <c r="J990" s="3">
        <v>0</v>
      </c>
      <c r="K990" s="3">
        <v>0</v>
      </c>
      <c r="L990" s="3">
        <v>0</v>
      </c>
      <c r="M990" s="3">
        <v>0</v>
      </c>
      <c r="N990" s="3" t="s">
        <v>5218</v>
      </c>
      <c r="O990" s="3">
        <v>0</v>
      </c>
      <c r="P990" s="3">
        <v>0</v>
      </c>
      <c r="Q990" s="3">
        <v>0</v>
      </c>
      <c r="R990" s="3">
        <v>0</v>
      </c>
      <c r="S990" s="3">
        <v>0</v>
      </c>
      <c r="T990" s="3">
        <v>0</v>
      </c>
      <c r="U990" s="3">
        <v>0</v>
      </c>
      <c r="V990" s="3">
        <v>0</v>
      </c>
      <c r="W990" s="3" t="s">
        <v>5227</v>
      </c>
      <c r="X990" s="3">
        <v>24.98</v>
      </c>
      <c r="Y990" s="3">
        <v>24.98</v>
      </c>
      <c r="Z990" s="3">
        <v>24.98</v>
      </c>
      <c r="AA990" s="3">
        <v>0</v>
      </c>
      <c r="AB990" s="3" t="s">
        <v>5223</v>
      </c>
      <c r="AC990" s="3">
        <v>0</v>
      </c>
      <c r="AD990" s="3">
        <v>0</v>
      </c>
      <c r="AE990" s="3">
        <v>0</v>
      </c>
      <c r="AF990" s="3">
        <v>0</v>
      </c>
      <c r="AG990" s="3">
        <v>0</v>
      </c>
      <c r="AH990" s="3">
        <v>0.504504504504504</v>
      </c>
      <c r="AI990" s="3" t="s">
        <v>5224</v>
      </c>
      <c r="AJ990" s="3" t="s">
        <v>5222</v>
      </c>
    </row>
    <row r="991" spans="1:36">
      <c r="A991" s="5">
        <v>43288</v>
      </c>
      <c r="B991" s="3" t="s">
        <v>1640</v>
      </c>
      <c r="C991" s="3" t="s">
        <v>1641</v>
      </c>
      <c r="D991" s="3" t="s">
        <v>1641</v>
      </c>
      <c r="E991" s="3" t="s">
        <v>1642</v>
      </c>
      <c r="F991" s="3" t="s">
        <v>120</v>
      </c>
      <c r="G991" s="3">
        <v>29</v>
      </c>
      <c r="H991" s="3">
        <v>0</v>
      </c>
      <c r="I991" s="3">
        <v>1</v>
      </c>
      <c r="J991" s="3">
        <v>2</v>
      </c>
      <c r="K991" s="3">
        <v>26</v>
      </c>
      <c r="L991" s="3">
        <v>0</v>
      </c>
      <c r="M991" s="3">
        <v>0</v>
      </c>
      <c r="N991" s="3" t="s">
        <v>5218</v>
      </c>
      <c r="O991" s="3">
        <v>28</v>
      </c>
      <c r="P991" s="3">
        <v>88.6</v>
      </c>
      <c r="Q991" s="3">
        <v>0</v>
      </c>
      <c r="R991" s="3">
        <v>0</v>
      </c>
      <c r="S991" s="3">
        <v>0</v>
      </c>
      <c r="T991" s="3">
        <v>6</v>
      </c>
      <c r="U991" s="3">
        <v>8</v>
      </c>
      <c r="V991" s="3">
        <v>11</v>
      </c>
      <c r="W991" s="3"/>
      <c r="X991" s="3">
        <v>20.98</v>
      </c>
      <c r="Y991" s="3">
        <v>20.98</v>
      </c>
      <c r="Z991" s="3">
        <v>19.98</v>
      </c>
      <c r="AA991" s="3">
        <v>0</v>
      </c>
      <c r="AB991" s="3" t="s">
        <v>5228</v>
      </c>
      <c r="AC991" s="3">
        <v>1</v>
      </c>
      <c r="AD991" s="3">
        <v>15.43</v>
      </c>
      <c r="AE991" s="3">
        <v>70</v>
      </c>
      <c r="AF991" s="3">
        <v>0</v>
      </c>
      <c r="AG991" s="3">
        <v>0</v>
      </c>
      <c r="AH991" s="3">
        <v>0.314285714285714</v>
      </c>
      <c r="AI991" s="3" t="s">
        <v>5248</v>
      </c>
      <c r="AJ991" s="3" t="s">
        <v>5222</v>
      </c>
    </row>
    <row r="992" spans="1:36">
      <c r="A992" s="5">
        <v>43288</v>
      </c>
      <c r="B992" s="3" t="s">
        <v>2283</v>
      </c>
      <c r="C992" s="3" t="s">
        <v>2284</v>
      </c>
      <c r="D992" s="3" t="s">
        <v>2284</v>
      </c>
      <c r="E992" s="3" t="s">
        <v>2285</v>
      </c>
      <c r="F992" s="3" t="s">
        <v>120</v>
      </c>
      <c r="G992" s="3">
        <v>3</v>
      </c>
      <c r="H992" s="3">
        <v>0</v>
      </c>
      <c r="I992" s="3">
        <v>2</v>
      </c>
      <c r="J992" s="3">
        <v>0</v>
      </c>
      <c r="K992" s="3">
        <v>1</v>
      </c>
      <c r="L992" s="3">
        <v>0</v>
      </c>
      <c r="M992" s="3">
        <v>0</v>
      </c>
      <c r="N992" s="3" t="s">
        <v>5218</v>
      </c>
      <c r="O992" s="3">
        <v>1</v>
      </c>
      <c r="P992" s="3">
        <v>2.4</v>
      </c>
      <c r="Q992" s="3">
        <v>0</v>
      </c>
      <c r="R992" s="3">
        <v>0</v>
      </c>
      <c r="S992" s="3">
        <v>0</v>
      </c>
      <c r="T992" s="3">
        <v>1</v>
      </c>
      <c r="U992" s="3">
        <v>1</v>
      </c>
      <c r="V992" s="3">
        <v>1</v>
      </c>
      <c r="W992" s="3"/>
      <c r="X992" s="3">
        <v>22.98</v>
      </c>
      <c r="Y992" s="3">
        <v>22.98</v>
      </c>
      <c r="Z992" s="3">
        <v>22.98</v>
      </c>
      <c r="AA992" s="3">
        <v>0</v>
      </c>
      <c r="AB992" s="3" t="s">
        <v>5223</v>
      </c>
      <c r="AC992" s="3">
        <v>3</v>
      </c>
      <c r="AD992" s="3">
        <v>22.98</v>
      </c>
      <c r="AE992" s="3">
        <v>0</v>
      </c>
      <c r="AF992" s="3">
        <v>0</v>
      </c>
      <c r="AG992" s="3">
        <v>0</v>
      </c>
      <c r="AH992" s="3">
        <v>0.363636363636363</v>
      </c>
      <c r="AI992" s="3" t="s">
        <v>5233</v>
      </c>
      <c r="AJ992" s="3" t="s">
        <v>5222</v>
      </c>
    </row>
    <row r="993" spans="1:36">
      <c r="A993" s="5">
        <v>43288</v>
      </c>
      <c r="B993" s="3" t="s">
        <v>616</v>
      </c>
      <c r="C993" s="3" t="s">
        <v>617</v>
      </c>
      <c r="D993" s="3" t="s">
        <v>617</v>
      </c>
      <c r="E993" s="3" t="s">
        <v>618</v>
      </c>
      <c r="F993" s="3" t="s">
        <v>120</v>
      </c>
      <c r="G993" s="3">
        <v>8</v>
      </c>
      <c r="H993" s="3">
        <v>0</v>
      </c>
      <c r="I993" s="3">
        <v>8</v>
      </c>
      <c r="J993" s="3">
        <v>0</v>
      </c>
      <c r="K993" s="3">
        <v>0</v>
      </c>
      <c r="L993" s="3">
        <v>0</v>
      </c>
      <c r="M993" s="3">
        <v>0</v>
      </c>
      <c r="N993" s="3" t="s">
        <v>5218</v>
      </c>
      <c r="O993" s="3">
        <v>0</v>
      </c>
      <c r="P993" s="3">
        <v>0</v>
      </c>
      <c r="Q993" s="3">
        <v>0</v>
      </c>
      <c r="R993" s="3">
        <v>0</v>
      </c>
      <c r="S993" s="3">
        <v>1</v>
      </c>
      <c r="T993" s="3">
        <v>3</v>
      </c>
      <c r="U993" s="3">
        <v>3</v>
      </c>
      <c r="V993" s="3">
        <v>5</v>
      </c>
      <c r="W993" s="3"/>
      <c r="X993" s="3">
        <v>24.98</v>
      </c>
      <c r="Y993" s="3">
        <v>24.98</v>
      </c>
      <c r="Z993" s="3">
        <v>24.98</v>
      </c>
      <c r="AA993" s="3">
        <v>0</v>
      </c>
      <c r="AB993" s="3" t="s">
        <v>5223</v>
      </c>
      <c r="AC993" s="3">
        <v>9</v>
      </c>
      <c r="AD993" s="3">
        <v>24.98</v>
      </c>
      <c r="AE993" s="3">
        <v>0</v>
      </c>
      <c r="AF993" s="3">
        <v>0</v>
      </c>
      <c r="AG993" s="3">
        <v>0</v>
      </c>
      <c r="AH993" s="3">
        <v>0.689655172413793</v>
      </c>
      <c r="AI993" s="3" t="s">
        <v>5250</v>
      </c>
      <c r="AJ993" s="3" t="s">
        <v>5222</v>
      </c>
    </row>
    <row r="994" spans="1:36">
      <c r="A994" s="5">
        <v>43288</v>
      </c>
      <c r="B994" s="3" t="s">
        <v>2510</v>
      </c>
      <c r="C994" s="3" t="s">
        <v>2511</v>
      </c>
      <c r="D994" s="3" t="s">
        <v>2511</v>
      </c>
      <c r="E994" s="3" t="s">
        <v>2512</v>
      </c>
      <c r="F994" s="3" t="s">
        <v>120</v>
      </c>
      <c r="G994" s="3">
        <v>16</v>
      </c>
      <c r="H994" s="3">
        <v>0</v>
      </c>
      <c r="I994" s="3">
        <v>2</v>
      </c>
      <c r="J994" s="3">
        <v>11</v>
      </c>
      <c r="K994" s="3">
        <v>3</v>
      </c>
      <c r="L994" s="3">
        <v>0</v>
      </c>
      <c r="M994" s="3">
        <v>0</v>
      </c>
      <c r="N994" s="3" t="s">
        <v>5218</v>
      </c>
      <c r="O994" s="3">
        <v>3</v>
      </c>
      <c r="P994" s="3">
        <v>6.7</v>
      </c>
      <c r="Q994" s="3">
        <v>0</v>
      </c>
      <c r="R994" s="3">
        <v>0</v>
      </c>
      <c r="S994" s="3">
        <v>1</v>
      </c>
      <c r="T994" s="3">
        <v>2</v>
      </c>
      <c r="U994" s="3">
        <v>3</v>
      </c>
      <c r="V994" s="3">
        <v>5</v>
      </c>
      <c r="W994" s="3"/>
      <c r="X994" s="3">
        <v>24.98</v>
      </c>
      <c r="Y994" s="3">
        <v>24.98</v>
      </c>
      <c r="Z994" s="3">
        <v>24.98</v>
      </c>
      <c r="AA994" s="3">
        <v>0</v>
      </c>
      <c r="AB994" s="3" t="s">
        <v>5228</v>
      </c>
      <c r="AC994" s="3">
        <v>0</v>
      </c>
      <c r="AD994" s="3">
        <v>19.38</v>
      </c>
      <c r="AE994" s="3">
        <v>245</v>
      </c>
      <c r="AF994" s="3">
        <v>0</v>
      </c>
      <c r="AG994" s="3">
        <v>498.423684</v>
      </c>
      <c r="AH994" s="3">
        <v>0.28169014084507</v>
      </c>
      <c r="AI994" s="3" t="s">
        <v>5230</v>
      </c>
      <c r="AJ994" s="3" t="s">
        <v>5222</v>
      </c>
    </row>
    <row r="995" spans="1:36">
      <c r="A995" s="5">
        <v>43288</v>
      </c>
      <c r="B995" s="3" t="s">
        <v>4384</v>
      </c>
      <c r="C995" s="3" t="s">
        <v>3386</v>
      </c>
      <c r="D995" s="3" t="s">
        <v>3386</v>
      </c>
      <c r="E995" s="3" t="s">
        <v>3387</v>
      </c>
      <c r="F995" s="3" t="s">
        <v>120</v>
      </c>
      <c r="G995" s="3">
        <v>3</v>
      </c>
      <c r="H995" s="3">
        <v>0</v>
      </c>
      <c r="I995" s="3">
        <v>3</v>
      </c>
      <c r="J995" s="3">
        <v>0</v>
      </c>
      <c r="K995" s="3">
        <v>0</v>
      </c>
      <c r="L995" s="3">
        <v>0</v>
      </c>
      <c r="M995" s="3">
        <v>0</v>
      </c>
      <c r="N995" s="3" t="s">
        <v>5218</v>
      </c>
      <c r="O995" s="3">
        <v>0</v>
      </c>
      <c r="P995" s="3">
        <v>0</v>
      </c>
      <c r="Q995" s="3">
        <v>0</v>
      </c>
      <c r="R995" s="3">
        <v>0</v>
      </c>
      <c r="S995" s="3">
        <v>0</v>
      </c>
      <c r="T995" s="3">
        <v>0</v>
      </c>
      <c r="U995" s="3">
        <v>3</v>
      </c>
      <c r="V995" s="3">
        <v>3</v>
      </c>
      <c r="W995" s="3" t="s">
        <v>5227</v>
      </c>
      <c r="X995" s="3">
        <v>22.98</v>
      </c>
      <c r="Y995" s="3">
        <v>22.98</v>
      </c>
      <c r="Z995" s="3">
        <v>22.98</v>
      </c>
      <c r="AA995" s="3">
        <v>0</v>
      </c>
      <c r="AB995" s="3" t="s">
        <v>5223</v>
      </c>
      <c r="AC995" s="3">
        <v>3</v>
      </c>
      <c r="AD995" s="3">
        <v>22.98</v>
      </c>
      <c r="AE995" s="3">
        <v>0</v>
      </c>
      <c r="AF995" s="3">
        <v>0</v>
      </c>
      <c r="AG995" s="3">
        <v>0</v>
      </c>
      <c r="AH995" s="3">
        <v>1.09090909090909</v>
      </c>
      <c r="AI995" s="3" t="s">
        <v>5291</v>
      </c>
      <c r="AJ995" s="3" t="s">
        <v>5222</v>
      </c>
    </row>
    <row r="996" spans="1:36">
      <c r="A996" s="5">
        <v>43288</v>
      </c>
      <c r="B996" s="3" t="s">
        <v>2875</v>
      </c>
      <c r="C996" s="3" t="s">
        <v>1786</v>
      </c>
      <c r="D996" s="3" t="s">
        <v>1786</v>
      </c>
      <c r="E996" s="3" t="s">
        <v>1787</v>
      </c>
      <c r="F996" s="3" t="s">
        <v>120</v>
      </c>
      <c r="G996" s="3">
        <v>5</v>
      </c>
      <c r="H996" s="3">
        <v>0</v>
      </c>
      <c r="I996" s="3">
        <v>3</v>
      </c>
      <c r="J996" s="3">
        <v>2</v>
      </c>
      <c r="K996" s="3">
        <v>0</v>
      </c>
      <c r="L996" s="3">
        <v>0</v>
      </c>
      <c r="M996" s="3">
        <v>0</v>
      </c>
      <c r="N996" s="3" t="s">
        <v>5218</v>
      </c>
      <c r="O996" s="3">
        <v>2</v>
      </c>
      <c r="P996" s="3">
        <v>2.59</v>
      </c>
      <c r="Q996" s="3">
        <v>0</v>
      </c>
      <c r="R996" s="3">
        <v>0</v>
      </c>
      <c r="S996" s="3">
        <v>1</v>
      </c>
      <c r="T996" s="3">
        <v>4</v>
      </c>
      <c r="U996" s="3">
        <v>4</v>
      </c>
      <c r="V996" s="3">
        <v>10</v>
      </c>
      <c r="W996" s="3"/>
      <c r="X996" s="3">
        <v>23.98</v>
      </c>
      <c r="Y996" s="3">
        <v>23.98</v>
      </c>
      <c r="Z996" s="3">
        <v>23.98</v>
      </c>
      <c r="AA996" s="3">
        <v>0</v>
      </c>
      <c r="AB996" s="3" t="s">
        <v>5223</v>
      </c>
      <c r="AC996" s="3">
        <v>5</v>
      </c>
      <c r="AD996" s="3">
        <v>23.98</v>
      </c>
      <c r="AE996" s="3">
        <v>0</v>
      </c>
      <c r="AF996" s="3">
        <v>0</v>
      </c>
      <c r="AG996" s="3">
        <v>0</v>
      </c>
      <c r="AH996" s="3">
        <v>1.25714285714285</v>
      </c>
      <c r="AI996" s="3" t="s">
        <v>5229</v>
      </c>
      <c r="AJ996" s="3" t="s">
        <v>5222</v>
      </c>
    </row>
    <row r="997" spans="1:36">
      <c r="A997" s="5">
        <v>43288</v>
      </c>
      <c r="B997" s="3" t="s">
        <v>2956</v>
      </c>
      <c r="C997" s="3" t="s">
        <v>1416</v>
      </c>
      <c r="D997" s="3" t="s">
        <v>1416</v>
      </c>
      <c r="E997" s="3" t="s">
        <v>1417</v>
      </c>
      <c r="F997" s="3" t="s">
        <v>120</v>
      </c>
      <c r="G997" s="3">
        <v>15</v>
      </c>
      <c r="H997" s="3">
        <v>0</v>
      </c>
      <c r="I997" s="3">
        <v>15</v>
      </c>
      <c r="J997" s="3">
        <v>0</v>
      </c>
      <c r="K997" s="3">
        <v>0</v>
      </c>
      <c r="L997" s="3">
        <v>0</v>
      </c>
      <c r="M997" s="3">
        <v>0</v>
      </c>
      <c r="N997" s="3" t="s">
        <v>5218</v>
      </c>
      <c r="O997" s="3">
        <v>0</v>
      </c>
      <c r="P997" s="3">
        <v>0</v>
      </c>
      <c r="Q997" s="3">
        <v>0</v>
      </c>
      <c r="R997" s="3">
        <v>0</v>
      </c>
      <c r="S997" s="3">
        <v>24</v>
      </c>
      <c r="T997" s="3">
        <v>104</v>
      </c>
      <c r="U997" s="3">
        <v>163</v>
      </c>
      <c r="V997" s="3">
        <v>189</v>
      </c>
      <c r="W997" s="3"/>
      <c r="X997" s="3">
        <v>24.98</v>
      </c>
      <c r="Y997" s="3">
        <v>24.98</v>
      </c>
      <c r="Z997" s="3">
        <v>23.98</v>
      </c>
      <c r="AA997" s="3">
        <v>0</v>
      </c>
      <c r="AB997" s="3" t="s">
        <v>5223</v>
      </c>
      <c r="AC997" s="3">
        <v>30</v>
      </c>
      <c r="AD997" s="3">
        <v>24.98</v>
      </c>
      <c r="AE997" s="3">
        <v>0</v>
      </c>
      <c r="AF997" s="3">
        <v>0</v>
      </c>
      <c r="AG997" s="3">
        <v>0</v>
      </c>
      <c r="AH997" s="3">
        <v>8.89411764705882</v>
      </c>
      <c r="AI997" s="3" t="s">
        <v>5323</v>
      </c>
      <c r="AJ997" s="3" t="s">
        <v>5222</v>
      </c>
    </row>
    <row r="998" spans="1:36">
      <c r="A998" s="5">
        <v>43288</v>
      </c>
      <c r="B998" s="3" t="s">
        <v>816</v>
      </c>
      <c r="C998" s="3" t="s">
        <v>576</v>
      </c>
      <c r="D998" s="3" t="s">
        <v>576</v>
      </c>
      <c r="E998" s="3" t="s">
        <v>817</v>
      </c>
      <c r="F998" s="3" t="s">
        <v>120</v>
      </c>
      <c r="G998" s="3">
        <v>2</v>
      </c>
      <c r="H998" s="3">
        <v>0</v>
      </c>
      <c r="I998" s="3">
        <v>2</v>
      </c>
      <c r="J998" s="3">
        <v>0</v>
      </c>
      <c r="K998" s="3">
        <v>0</v>
      </c>
      <c r="L998" s="3">
        <v>0</v>
      </c>
      <c r="M998" s="3">
        <v>0</v>
      </c>
      <c r="N998" s="3" t="s">
        <v>5218</v>
      </c>
      <c r="O998" s="3">
        <v>0</v>
      </c>
      <c r="P998" s="3">
        <v>0</v>
      </c>
      <c r="Q998" s="3">
        <v>0</v>
      </c>
      <c r="R998" s="3">
        <v>0</v>
      </c>
      <c r="S998" s="3">
        <v>1</v>
      </c>
      <c r="T998" s="3">
        <v>5</v>
      </c>
      <c r="U998" s="3">
        <v>6</v>
      </c>
      <c r="V998" s="3">
        <v>8</v>
      </c>
      <c r="W998" s="3" t="s">
        <v>5227</v>
      </c>
      <c r="X998" s="3">
        <v>22.98</v>
      </c>
      <c r="Y998" s="3">
        <v>22.98</v>
      </c>
      <c r="Z998" s="3">
        <v>22.98</v>
      </c>
      <c r="AA998" s="3">
        <v>0</v>
      </c>
      <c r="AB998" s="3" t="s">
        <v>5223</v>
      </c>
      <c r="AC998" s="3">
        <v>2</v>
      </c>
      <c r="AD998" s="3">
        <v>22.98</v>
      </c>
      <c r="AE998" s="3">
        <v>0</v>
      </c>
      <c r="AF998" s="3">
        <v>0</v>
      </c>
      <c r="AG998" s="3">
        <v>0</v>
      </c>
      <c r="AH998" s="3">
        <v>1.41176470588235</v>
      </c>
      <c r="AI998" s="3" t="s">
        <v>5225</v>
      </c>
      <c r="AJ998" s="3" t="s">
        <v>5222</v>
      </c>
    </row>
    <row r="999" spans="1:36">
      <c r="A999" s="5">
        <v>43288</v>
      </c>
      <c r="B999" s="3" t="s">
        <v>2459</v>
      </c>
      <c r="C999" s="3" t="s">
        <v>2460</v>
      </c>
      <c r="D999" s="3" t="s">
        <v>2460</v>
      </c>
      <c r="E999" s="3" t="s">
        <v>2461</v>
      </c>
      <c r="F999" s="3" t="s">
        <v>120</v>
      </c>
      <c r="G999" s="3">
        <v>31</v>
      </c>
      <c r="H999" s="3">
        <v>0</v>
      </c>
      <c r="I999" s="3">
        <v>0</v>
      </c>
      <c r="J999" s="3">
        <v>15</v>
      </c>
      <c r="K999" s="3">
        <v>16</v>
      </c>
      <c r="L999" s="3">
        <v>0</v>
      </c>
      <c r="M999" s="3">
        <v>0</v>
      </c>
      <c r="N999" s="3" t="s">
        <v>5218</v>
      </c>
      <c r="O999" s="3">
        <v>16</v>
      </c>
      <c r="P999" s="3">
        <v>29.25</v>
      </c>
      <c r="Q999" s="3">
        <v>0</v>
      </c>
      <c r="R999" s="3">
        <v>0</v>
      </c>
      <c r="S999" s="3">
        <v>0</v>
      </c>
      <c r="T999" s="3">
        <v>0</v>
      </c>
      <c r="U999" s="3">
        <v>0</v>
      </c>
      <c r="V999" s="3">
        <v>0</v>
      </c>
      <c r="W999" s="3" t="s">
        <v>5227</v>
      </c>
      <c r="X999" s="3">
        <v>22.98</v>
      </c>
      <c r="Y999" s="3">
        <v>22.98</v>
      </c>
      <c r="Z999" s="3">
        <v>22</v>
      </c>
      <c r="AA999" s="3">
        <v>0</v>
      </c>
      <c r="AB999" s="3" t="s">
        <v>5228</v>
      </c>
      <c r="AC999" s="3">
        <v>0</v>
      </c>
      <c r="AD999" s="3">
        <v>16.07</v>
      </c>
      <c r="AE999" s="3">
        <v>364</v>
      </c>
      <c r="AF999" s="3">
        <v>0</v>
      </c>
      <c r="AG999" s="3">
        <v>690.717474</v>
      </c>
      <c r="AH999" s="3">
        <v>0</v>
      </c>
      <c r="AI999" s="3" t="s">
        <v>5311</v>
      </c>
      <c r="AJ999" s="3" t="s">
        <v>5222</v>
      </c>
    </row>
    <row r="1000" spans="1:36">
      <c r="A1000" s="5">
        <v>43288</v>
      </c>
      <c r="B1000" s="3" t="s">
        <v>2616</v>
      </c>
      <c r="C1000" s="3" t="s">
        <v>1150</v>
      </c>
      <c r="D1000" s="3" t="s">
        <v>1150</v>
      </c>
      <c r="E1000" s="3" t="s">
        <v>1151</v>
      </c>
      <c r="F1000" s="3" t="s">
        <v>120</v>
      </c>
      <c r="G1000" s="3">
        <v>21</v>
      </c>
      <c r="H1000" s="3">
        <v>0</v>
      </c>
      <c r="I1000" s="3">
        <v>21</v>
      </c>
      <c r="J1000" s="3">
        <v>0</v>
      </c>
      <c r="K1000" s="3">
        <v>0</v>
      </c>
      <c r="L1000" s="3">
        <v>0</v>
      </c>
      <c r="M1000" s="3">
        <v>0</v>
      </c>
      <c r="N1000" s="3" t="s">
        <v>5218</v>
      </c>
      <c r="O1000" s="3">
        <v>0</v>
      </c>
      <c r="P1000" s="3">
        <v>0</v>
      </c>
      <c r="Q1000" s="3">
        <v>0</v>
      </c>
      <c r="R1000" s="3">
        <v>0</v>
      </c>
      <c r="S1000" s="3">
        <v>1</v>
      </c>
      <c r="T1000" s="3">
        <v>18</v>
      </c>
      <c r="U1000" s="3">
        <v>32</v>
      </c>
      <c r="V1000" s="3">
        <v>40</v>
      </c>
      <c r="W1000" s="3"/>
      <c r="X1000" s="3">
        <v>22.98</v>
      </c>
      <c r="Y1000" s="3">
        <v>22.98</v>
      </c>
      <c r="Z1000" s="3">
        <v>22.98</v>
      </c>
      <c r="AA1000" s="3">
        <v>0</v>
      </c>
      <c r="AB1000" s="3" t="s">
        <v>5223</v>
      </c>
      <c r="AC1000" s="3">
        <v>20</v>
      </c>
      <c r="AD1000" s="3">
        <v>22.98</v>
      </c>
      <c r="AE1000" s="3">
        <v>0</v>
      </c>
      <c r="AF1000" s="3">
        <v>0</v>
      </c>
      <c r="AG1000" s="3">
        <v>0</v>
      </c>
      <c r="AH1000" s="3">
        <v>2.4</v>
      </c>
      <c r="AI1000" s="3" t="s">
        <v>5474</v>
      </c>
      <c r="AJ1000" s="3" t="s">
        <v>5222</v>
      </c>
    </row>
    <row r="1001" spans="1:36">
      <c r="A1001" s="5">
        <v>43288</v>
      </c>
      <c r="B1001" s="3" t="s">
        <v>495</v>
      </c>
      <c r="C1001" s="3" t="s">
        <v>336</v>
      </c>
      <c r="D1001" s="3" t="s">
        <v>336</v>
      </c>
      <c r="E1001" s="3" t="s">
        <v>464</v>
      </c>
      <c r="F1001" s="3" t="s">
        <v>120</v>
      </c>
      <c r="G1001" s="3">
        <v>3</v>
      </c>
      <c r="H1001" s="3">
        <v>0</v>
      </c>
      <c r="I1001" s="3">
        <v>0</v>
      </c>
      <c r="J1001" s="3">
        <v>3</v>
      </c>
      <c r="K1001" s="3">
        <v>0</v>
      </c>
      <c r="L1001" s="3">
        <v>0</v>
      </c>
      <c r="M1001" s="3">
        <v>0</v>
      </c>
      <c r="N1001" s="3" t="s">
        <v>5218</v>
      </c>
      <c r="O1001" s="3">
        <v>3</v>
      </c>
      <c r="P1001" s="3">
        <v>2.06</v>
      </c>
      <c r="Q1001" s="3">
        <v>0</v>
      </c>
      <c r="R1001" s="3">
        <v>0</v>
      </c>
      <c r="S1001" s="3">
        <v>1</v>
      </c>
      <c r="T1001" s="3">
        <v>3</v>
      </c>
      <c r="U1001" s="3">
        <v>3</v>
      </c>
      <c r="V1001" s="3">
        <v>7</v>
      </c>
      <c r="W1001" s="3"/>
      <c r="X1001" s="3">
        <v>49.98</v>
      </c>
      <c r="Y1001" s="3">
        <v>26.98</v>
      </c>
      <c r="Z1001" s="3">
        <v>26.98</v>
      </c>
      <c r="AA1001" s="3">
        <v>0</v>
      </c>
      <c r="AB1001" s="3" t="s">
        <v>5223</v>
      </c>
      <c r="AC1001" s="3">
        <v>4</v>
      </c>
      <c r="AD1001" s="3">
        <v>26.98</v>
      </c>
      <c r="AE1001" s="3">
        <v>0</v>
      </c>
      <c r="AF1001" s="3">
        <v>0</v>
      </c>
      <c r="AG1001" s="3">
        <v>0</v>
      </c>
      <c r="AH1001" s="3">
        <v>1.12</v>
      </c>
      <c r="AI1001" s="3" t="s">
        <v>5224</v>
      </c>
      <c r="AJ1001" s="3" t="s">
        <v>5222</v>
      </c>
    </row>
    <row r="1002" spans="1:36">
      <c r="A1002" s="5">
        <v>43288</v>
      </c>
      <c r="B1002" s="3" t="s">
        <v>4565</v>
      </c>
      <c r="C1002" s="3" t="s">
        <v>3983</v>
      </c>
      <c r="D1002" s="3" t="s">
        <v>3983</v>
      </c>
      <c r="E1002" s="3" t="s">
        <v>3984</v>
      </c>
      <c r="F1002" s="3" t="s">
        <v>120</v>
      </c>
      <c r="G1002" s="3">
        <v>2</v>
      </c>
      <c r="H1002" s="3">
        <v>0</v>
      </c>
      <c r="I1002" s="3">
        <v>1</v>
      </c>
      <c r="J1002" s="3">
        <v>1</v>
      </c>
      <c r="K1002" s="3">
        <v>0</v>
      </c>
      <c r="L1002" s="3">
        <v>0</v>
      </c>
      <c r="M1002" s="3">
        <v>0</v>
      </c>
      <c r="N1002" s="3" t="s">
        <v>5218</v>
      </c>
      <c r="O1002" s="3">
        <v>0</v>
      </c>
      <c r="P1002" s="3">
        <v>0</v>
      </c>
      <c r="Q1002" s="3">
        <v>0</v>
      </c>
      <c r="R1002" s="3">
        <v>0</v>
      </c>
      <c r="S1002" s="3">
        <v>0</v>
      </c>
      <c r="T1002" s="3">
        <v>0</v>
      </c>
      <c r="U1002" s="3">
        <v>0</v>
      </c>
      <c r="V1002" s="3">
        <v>0</v>
      </c>
      <c r="W1002" s="3" t="s">
        <v>5227</v>
      </c>
      <c r="X1002" s="3">
        <v>20.98</v>
      </c>
      <c r="Y1002" s="3">
        <v>20.98</v>
      </c>
      <c r="Z1002" s="3">
        <v>20.98</v>
      </c>
      <c r="AA1002" s="3">
        <v>0</v>
      </c>
      <c r="AB1002" s="3" t="s">
        <v>5223</v>
      </c>
      <c r="AC1002" s="3">
        <v>2</v>
      </c>
      <c r="AD1002" s="3">
        <v>20.98</v>
      </c>
      <c r="AE1002" s="3">
        <v>0</v>
      </c>
      <c r="AF1002" s="3">
        <v>0</v>
      </c>
      <c r="AG1002" s="3">
        <v>0</v>
      </c>
      <c r="AH1002" s="3">
        <v>0</v>
      </c>
      <c r="AI1002" s="3" t="s">
        <v>5226</v>
      </c>
      <c r="AJ1002" s="3" t="s">
        <v>5222</v>
      </c>
    </row>
    <row r="1003" spans="1:36">
      <c r="A1003" s="5">
        <v>43288</v>
      </c>
      <c r="B1003" s="3" t="s">
        <v>2629</v>
      </c>
      <c r="C1003" s="3" t="s">
        <v>1197</v>
      </c>
      <c r="D1003" s="3" t="s">
        <v>1197</v>
      </c>
      <c r="E1003" s="3" t="s">
        <v>1198</v>
      </c>
      <c r="F1003" s="3" t="s">
        <v>120</v>
      </c>
      <c r="G1003" s="3">
        <v>23</v>
      </c>
      <c r="H1003" s="3">
        <v>0</v>
      </c>
      <c r="I1003" s="3">
        <v>23</v>
      </c>
      <c r="J1003" s="3">
        <v>0</v>
      </c>
      <c r="K1003" s="3">
        <v>0</v>
      </c>
      <c r="L1003" s="3">
        <v>0</v>
      </c>
      <c r="M1003" s="3">
        <v>0</v>
      </c>
      <c r="N1003" s="3" t="s">
        <v>5218</v>
      </c>
      <c r="O1003" s="3">
        <v>0</v>
      </c>
      <c r="P1003" s="3">
        <v>0</v>
      </c>
      <c r="Q1003" s="3">
        <v>0</v>
      </c>
      <c r="R1003" s="3">
        <v>0</v>
      </c>
      <c r="S1003" s="3">
        <v>0</v>
      </c>
      <c r="T1003" s="3">
        <v>15</v>
      </c>
      <c r="U1003" s="3">
        <v>27</v>
      </c>
      <c r="V1003" s="3">
        <v>34</v>
      </c>
      <c r="W1003" s="3"/>
      <c r="X1003" s="3">
        <v>22.98</v>
      </c>
      <c r="Y1003" s="3">
        <v>22.98</v>
      </c>
      <c r="Z1003" s="3">
        <v>22.98</v>
      </c>
      <c r="AA1003" s="3">
        <v>0</v>
      </c>
      <c r="AB1003" s="3" t="s">
        <v>5223</v>
      </c>
      <c r="AC1003" s="3">
        <v>23</v>
      </c>
      <c r="AD1003" s="3">
        <v>22.98</v>
      </c>
      <c r="AE1003" s="3">
        <v>0</v>
      </c>
      <c r="AF1003" s="3">
        <v>0</v>
      </c>
      <c r="AG1003" s="3">
        <v>0</v>
      </c>
      <c r="AH1003" s="3">
        <v>2.02985074626865</v>
      </c>
      <c r="AI1003" s="3" t="s">
        <v>5238</v>
      </c>
      <c r="AJ1003" s="3" t="s">
        <v>5222</v>
      </c>
    </row>
    <row r="1004" spans="1:36">
      <c r="A1004" s="5">
        <v>43288</v>
      </c>
      <c r="B1004" s="3" t="s">
        <v>4494</v>
      </c>
      <c r="C1004" s="3" t="s">
        <v>3703</v>
      </c>
      <c r="D1004" s="3" t="s">
        <v>3703</v>
      </c>
      <c r="E1004" s="3" t="s">
        <v>3704</v>
      </c>
      <c r="F1004" s="3" t="s">
        <v>120</v>
      </c>
      <c r="G1004" s="3">
        <v>1</v>
      </c>
      <c r="H1004" s="3">
        <v>0</v>
      </c>
      <c r="I1004" s="3">
        <v>1</v>
      </c>
      <c r="J1004" s="3">
        <v>0</v>
      </c>
      <c r="K1004" s="3">
        <v>0</v>
      </c>
      <c r="L1004" s="3">
        <v>0</v>
      </c>
      <c r="M1004" s="3">
        <v>0</v>
      </c>
      <c r="N1004" s="3" t="s">
        <v>5218</v>
      </c>
      <c r="O1004" s="3">
        <v>0</v>
      </c>
      <c r="P1004" s="3">
        <v>0</v>
      </c>
      <c r="Q1004" s="3">
        <v>0</v>
      </c>
      <c r="R1004" s="3">
        <v>0</v>
      </c>
      <c r="S1004" s="3">
        <v>0</v>
      </c>
      <c r="T1004" s="3">
        <v>0</v>
      </c>
      <c r="U1004" s="3">
        <v>1</v>
      </c>
      <c r="V1004" s="3">
        <v>3</v>
      </c>
      <c r="W1004" s="3" t="s">
        <v>5227</v>
      </c>
      <c r="X1004" s="3">
        <v>23.98</v>
      </c>
      <c r="Y1004" s="3">
        <v>23.98</v>
      </c>
      <c r="Z1004" s="3">
        <v>23.98</v>
      </c>
      <c r="AA1004" s="3">
        <v>0</v>
      </c>
      <c r="AB1004" s="3" t="s">
        <v>5223</v>
      </c>
      <c r="AC1004" s="3">
        <v>1</v>
      </c>
      <c r="AD1004" s="3">
        <v>23.98</v>
      </c>
      <c r="AE1004" s="3">
        <v>0</v>
      </c>
      <c r="AF1004" s="3">
        <v>0</v>
      </c>
      <c r="AG1004" s="3">
        <v>0</v>
      </c>
      <c r="AH1004" s="3">
        <v>3</v>
      </c>
      <c r="AI1004" s="3" t="s">
        <v>5263</v>
      </c>
      <c r="AJ1004" s="3" t="s">
        <v>5222</v>
      </c>
    </row>
    <row r="1005" spans="1:36">
      <c r="A1005" s="5">
        <v>43288</v>
      </c>
      <c r="B1005" s="3" t="s">
        <v>1619</v>
      </c>
      <c r="C1005" s="3" t="s">
        <v>1620</v>
      </c>
      <c r="D1005" s="3" t="s">
        <v>1620</v>
      </c>
      <c r="E1005" s="3" t="s">
        <v>1621</v>
      </c>
      <c r="F1005" s="3" t="s">
        <v>120</v>
      </c>
      <c r="G1005" s="3">
        <v>33</v>
      </c>
      <c r="H1005" s="3">
        <v>0</v>
      </c>
      <c r="I1005" s="3">
        <v>0</v>
      </c>
      <c r="J1005" s="3">
        <v>2</v>
      </c>
      <c r="K1005" s="3">
        <v>23</v>
      </c>
      <c r="L1005" s="3">
        <v>8</v>
      </c>
      <c r="M1005" s="3">
        <v>0</v>
      </c>
      <c r="N1005" s="3" t="s">
        <v>5218</v>
      </c>
      <c r="O1005" s="3">
        <v>32</v>
      </c>
      <c r="P1005" s="3">
        <v>47.58</v>
      </c>
      <c r="Q1005" s="3">
        <v>0</v>
      </c>
      <c r="R1005" s="3">
        <v>0</v>
      </c>
      <c r="S1005" s="3">
        <v>0</v>
      </c>
      <c r="T1005" s="3">
        <v>6</v>
      </c>
      <c r="U1005" s="3">
        <v>6</v>
      </c>
      <c r="V1005" s="3">
        <v>6</v>
      </c>
      <c r="W1005" s="3"/>
      <c r="X1005" s="3">
        <v>20.98</v>
      </c>
      <c r="Y1005" s="3">
        <v>20.98</v>
      </c>
      <c r="Z1005" s="3">
        <v>19.98</v>
      </c>
      <c r="AA1005" s="3">
        <v>0</v>
      </c>
      <c r="AB1005" s="3" t="s">
        <v>5228</v>
      </c>
      <c r="AC1005" s="3">
        <v>4</v>
      </c>
      <c r="AD1005" s="3">
        <v>17.62</v>
      </c>
      <c r="AE1005" s="3">
        <v>217</v>
      </c>
      <c r="AF1005" s="3">
        <v>0</v>
      </c>
      <c r="AG1005" s="3">
        <v>102.49152</v>
      </c>
      <c r="AH1005" s="3">
        <v>0.16</v>
      </c>
      <c r="AI1005" s="3" t="s">
        <v>5526</v>
      </c>
      <c r="AJ1005" s="3" t="s">
        <v>5222</v>
      </c>
    </row>
    <row r="1006" spans="1:36">
      <c r="A1006" s="5">
        <v>43288</v>
      </c>
      <c r="B1006" s="3" t="s">
        <v>2346</v>
      </c>
      <c r="C1006" s="3" t="s">
        <v>2347</v>
      </c>
      <c r="D1006" s="3" t="s">
        <v>2347</v>
      </c>
      <c r="E1006" s="3" t="s">
        <v>2348</v>
      </c>
      <c r="F1006" s="3" t="s">
        <v>120</v>
      </c>
      <c r="G1006" s="3">
        <v>21</v>
      </c>
      <c r="H1006" s="3">
        <v>0</v>
      </c>
      <c r="I1006" s="3">
        <v>21</v>
      </c>
      <c r="J1006" s="3">
        <v>0</v>
      </c>
      <c r="K1006" s="3">
        <v>0</v>
      </c>
      <c r="L1006" s="3">
        <v>0</v>
      </c>
      <c r="M1006" s="3">
        <v>0</v>
      </c>
      <c r="N1006" s="3" t="s">
        <v>5218</v>
      </c>
      <c r="O1006" s="3">
        <v>0</v>
      </c>
      <c r="P1006" s="3">
        <v>0</v>
      </c>
      <c r="Q1006" s="3">
        <v>0</v>
      </c>
      <c r="R1006" s="3">
        <v>0</v>
      </c>
      <c r="S1006" s="3">
        <v>0</v>
      </c>
      <c r="T1006" s="3">
        <v>2</v>
      </c>
      <c r="U1006" s="3">
        <v>3</v>
      </c>
      <c r="V1006" s="3">
        <v>9</v>
      </c>
      <c r="W1006" s="3"/>
      <c r="X1006" s="3">
        <v>22.98</v>
      </c>
      <c r="Y1006" s="3">
        <v>22.98</v>
      </c>
      <c r="Z1006" s="3">
        <v>22.98</v>
      </c>
      <c r="AA1006" s="3">
        <v>0</v>
      </c>
      <c r="AB1006" s="3" t="s">
        <v>5228</v>
      </c>
      <c r="AC1006" s="3">
        <v>0</v>
      </c>
      <c r="AD1006" s="3">
        <v>18.38</v>
      </c>
      <c r="AE1006" s="3">
        <v>364</v>
      </c>
      <c r="AF1006" s="3">
        <v>0</v>
      </c>
      <c r="AG1006" s="3">
        <v>312.681611</v>
      </c>
      <c r="AH1006" s="3">
        <v>0.467532467532467</v>
      </c>
      <c r="AI1006" s="3" t="s">
        <v>5271</v>
      </c>
      <c r="AJ1006" s="3" t="s">
        <v>5222</v>
      </c>
    </row>
    <row r="1007" spans="1:36">
      <c r="A1007" s="5">
        <v>43288</v>
      </c>
      <c r="B1007" s="3" t="s">
        <v>4593</v>
      </c>
      <c r="C1007" s="3" t="s">
        <v>4594</v>
      </c>
      <c r="D1007" s="3" t="s">
        <v>4161</v>
      </c>
      <c r="E1007" s="3" t="s">
        <v>4162</v>
      </c>
      <c r="F1007" s="3" t="s">
        <v>120</v>
      </c>
      <c r="G1007" s="3">
        <v>12</v>
      </c>
      <c r="H1007" s="3">
        <v>0</v>
      </c>
      <c r="I1007" s="3">
        <v>12</v>
      </c>
      <c r="J1007" s="3">
        <v>0</v>
      </c>
      <c r="K1007" s="3">
        <v>0</v>
      </c>
      <c r="L1007" s="3">
        <v>0</v>
      </c>
      <c r="M1007" s="3">
        <v>0</v>
      </c>
      <c r="N1007" s="3" t="s">
        <v>5218</v>
      </c>
      <c r="O1007" s="3">
        <v>0</v>
      </c>
      <c r="P1007" s="3">
        <v>0</v>
      </c>
      <c r="Q1007" s="3">
        <v>0</v>
      </c>
      <c r="R1007" s="3">
        <v>0</v>
      </c>
      <c r="S1007" s="3">
        <v>2</v>
      </c>
      <c r="T1007" s="3">
        <v>3</v>
      </c>
      <c r="U1007" s="3">
        <v>3</v>
      </c>
      <c r="V1007" s="3">
        <v>3</v>
      </c>
      <c r="W1007" s="3"/>
      <c r="X1007" s="3">
        <v>22.98</v>
      </c>
      <c r="Y1007" s="3">
        <v>22.98</v>
      </c>
      <c r="Z1007" s="3">
        <v>22.98</v>
      </c>
      <c r="AA1007" s="3">
        <v>0</v>
      </c>
      <c r="AB1007" s="3" t="s">
        <v>5223</v>
      </c>
      <c r="AC1007" s="3">
        <v>5</v>
      </c>
      <c r="AD1007" s="3">
        <v>22.98</v>
      </c>
      <c r="AE1007" s="3">
        <v>0</v>
      </c>
      <c r="AF1007" s="3">
        <v>0</v>
      </c>
      <c r="AG1007" s="3">
        <v>0</v>
      </c>
      <c r="AH1007" s="3">
        <v>3.4074074074074</v>
      </c>
      <c r="AI1007" s="3" t="s">
        <v>5279</v>
      </c>
      <c r="AJ1007" s="3" t="s">
        <v>5222</v>
      </c>
    </row>
    <row r="1008" spans="1:36">
      <c r="A1008" s="5">
        <v>43288</v>
      </c>
      <c r="B1008" s="3" t="s">
        <v>1142</v>
      </c>
      <c r="C1008" s="3" t="s">
        <v>1143</v>
      </c>
      <c r="D1008" s="3" t="s">
        <v>1140</v>
      </c>
      <c r="E1008" s="3" t="s">
        <v>1141</v>
      </c>
      <c r="F1008" s="3" t="s">
        <v>120</v>
      </c>
      <c r="G1008" s="3">
        <v>15</v>
      </c>
      <c r="H1008" s="3">
        <v>0</v>
      </c>
      <c r="I1008" s="3">
        <v>15</v>
      </c>
      <c r="J1008" s="3">
        <v>0</v>
      </c>
      <c r="K1008" s="3">
        <v>0</v>
      </c>
      <c r="L1008" s="3">
        <v>0</v>
      </c>
      <c r="M1008" s="3">
        <v>0</v>
      </c>
      <c r="N1008" s="3" t="s">
        <v>5218</v>
      </c>
      <c r="O1008" s="3">
        <v>0</v>
      </c>
      <c r="P1008" s="3">
        <v>0</v>
      </c>
      <c r="Q1008" s="3">
        <v>0</v>
      </c>
      <c r="R1008" s="3">
        <v>0</v>
      </c>
      <c r="S1008" s="3">
        <v>0</v>
      </c>
      <c r="T1008" s="3">
        <v>0</v>
      </c>
      <c r="U1008" s="3">
        <v>0</v>
      </c>
      <c r="V1008" s="3">
        <v>0</v>
      </c>
      <c r="W1008" s="3"/>
      <c r="X1008" s="3"/>
      <c r="Y1008" s="3"/>
      <c r="Z1008" s="3">
        <v>22.98</v>
      </c>
      <c r="AA1008" s="3">
        <v>-1</v>
      </c>
      <c r="AB1008" s="3" t="s">
        <v>5244</v>
      </c>
      <c r="AC1008" s="3">
        <v>0</v>
      </c>
      <c r="AD1008" s="3">
        <v>0</v>
      </c>
      <c r="AE1008" s="3">
        <v>0</v>
      </c>
      <c r="AF1008" s="3">
        <v>0</v>
      </c>
      <c r="AG1008" s="3">
        <v>0</v>
      </c>
      <c r="AH1008" s="3">
        <v>0.545454545454545</v>
      </c>
      <c r="AI1008" s="3" t="s">
        <v>5238</v>
      </c>
      <c r="AJ1008" s="3" t="s">
        <v>5222</v>
      </c>
    </row>
    <row r="1009" spans="1:36">
      <c r="A1009" s="5">
        <v>43288</v>
      </c>
      <c r="B1009" s="3" t="s">
        <v>4421</v>
      </c>
      <c r="C1009" s="3" t="s">
        <v>3538</v>
      </c>
      <c r="D1009" s="3" t="s">
        <v>3538</v>
      </c>
      <c r="E1009" s="3" t="s">
        <v>3539</v>
      </c>
      <c r="F1009" s="3" t="s">
        <v>120</v>
      </c>
      <c r="G1009" s="3">
        <v>5</v>
      </c>
      <c r="H1009" s="3">
        <v>0</v>
      </c>
      <c r="I1009" s="3">
        <v>0</v>
      </c>
      <c r="J1009" s="3">
        <v>1</v>
      </c>
      <c r="K1009" s="3">
        <v>4</v>
      </c>
      <c r="L1009" s="3">
        <v>0</v>
      </c>
      <c r="M1009" s="3">
        <v>0</v>
      </c>
      <c r="N1009" s="3" t="s">
        <v>5218</v>
      </c>
      <c r="O1009" s="3">
        <v>5</v>
      </c>
      <c r="P1009" s="3">
        <v>7.72</v>
      </c>
      <c r="Q1009" s="3">
        <v>0</v>
      </c>
      <c r="R1009" s="3">
        <v>0</v>
      </c>
      <c r="S1009" s="3">
        <v>0</v>
      </c>
      <c r="T1009" s="3">
        <v>1</v>
      </c>
      <c r="U1009" s="3">
        <v>1</v>
      </c>
      <c r="V1009" s="3">
        <v>1</v>
      </c>
      <c r="W1009" s="3"/>
      <c r="X1009" s="3">
        <v>24.98</v>
      </c>
      <c r="Y1009" s="3">
        <v>24.98</v>
      </c>
      <c r="Z1009" s="3">
        <v>24.98</v>
      </c>
      <c r="AA1009" s="3">
        <v>0</v>
      </c>
      <c r="AB1009" s="3" t="s">
        <v>5223</v>
      </c>
      <c r="AC1009" s="3">
        <v>5</v>
      </c>
      <c r="AD1009" s="3">
        <v>24.98</v>
      </c>
      <c r="AE1009" s="3">
        <v>0</v>
      </c>
      <c r="AF1009" s="3">
        <v>0</v>
      </c>
      <c r="AG1009" s="3">
        <v>0</v>
      </c>
      <c r="AH1009" s="3">
        <v>0.17391304347826</v>
      </c>
      <c r="AI1009" s="3" t="s">
        <v>5262</v>
      </c>
      <c r="AJ1009" s="3" t="s">
        <v>5222</v>
      </c>
    </row>
    <row r="1010" spans="1:36">
      <c r="A1010" s="5">
        <v>43288</v>
      </c>
      <c r="B1010" s="3" t="s">
        <v>2954</v>
      </c>
      <c r="C1010" s="3" t="s">
        <v>2955</v>
      </c>
      <c r="D1010" s="3" t="s">
        <v>1424</v>
      </c>
      <c r="E1010" s="3" t="s">
        <v>1425</v>
      </c>
      <c r="F1010" s="3" t="s">
        <v>120</v>
      </c>
      <c r="G1010" s="3">
        <v>52</v>
      </c>
      <c r="H1010" s="3">
        <v>0</v>
      </c>
      <c r="I1010" s="3">
        <v>52</v>
      </c>
      <c r="J1010" s="3">
        <v>0</v>
      </c>
      <c r="K1010" s="3">
        <v>0</v>
      </c>
      <c r="L1010" s="3">
        <v>0</v>
      </c>
      <c r="M1010" s="3">
        <v>0</v>
      </c>
      <c r="N1010" s="3" t="s">
        <v>5218</v>
      </c>
      <c r="O1010" s="3">
        <v>0</v>
      </c>
      <c r="P1010" s="3">
        <v>0</v>
      </c>
      <c r="Q1010" s="3">
        <v>0</v>
      </c>
      <c r="R1010" s="3">
        <v>0</v>
      </c>
      <c r="S1010" s="3">
        <v>20</v>
      </c>
      <c r="T1010" s="3">
        <v>93</v>
      </c>
      <c r="U1010" s="3">
        <v>164</v>
      </c>
      <c r="V1010" s="3">
        <v>181</v>
      </c>
      <c r="W1010" s="3"/>
      <c r="X1010" s="3">
        <v>24.98</v>
      </c>
      <c r="Y1010" s="3">
        <v>24.98</v>
      </c>
      <c r="Z1010" s="3">
        <v>24.98</v>
      </c>
      <c r="AA1010" s="3">
        <v>0</v>
      </c>
      <c r="AB1010" s="3" t="s">
        <v>5223</v>
      </c>
      <c r="AC1010" s="3">
        <v>66</v>
      </c>
      <c r="AD1010" s="3">
        <v>24.98</v>
      </c>
      <c r="AE1010" s="3">
        <v>0</v>
      </c>
      <c r="AF1010" s="3">
        <v>0</v>
      </c>
      <c r="AG1010" s="3">
        <v>0</v>
      </c>
      <c r="AH1010" s="3">
        <v>7.16190476190476</v>
      </c>
      <c r="AI1010" s="3" t="s">
        <v>5236</v>
      </c>
      <c r="AJ1010" s="3" t="s">
        <v>5222</v>
      </c>
    </row>
    <row r="1011" spans="1:36">
      <c r="A1011" s="5">
        <v>43288</v>
      </c>
      <c r="B1011" s="3" t="s">
        <v>2412</v>
      </c>
      <c r="C1011" s="3" t="s">
        <v>2413</v>
      </c>
      <c r="D1011" s="3" t="s">
        <v>2413</v>
      </c>
      <c r="E1011" s="3" t="s">
        <v>2414</v>
      </c>
      <c r="F1011" s="3" t="s">
        <v>120</v>
      </c>
      <c r="G1011" s="3">
        <v>17</v>
      </c>
      <c r="H1011" s="3">
        <v>0</v>
      </c>
      <c r="I1011" s="3">
        <v>1</v>
      </c>
      <c r="J1011" s="3">
        <v>16</v>
      </c>
      <c r="K1011" s="3">
        <v>0</v>
      </c>
      <c r="L1011" s="3">
        <v>0</v>
      </c>
      <c r="M1011" s="3">
        <v>0</v>
      </c>
      <c r="N1011" s="3" t="s">
        <v>5218</v>
      </c>
      <c r="O1011" s="3">
        <v>0</v>
      </c>
      <c r="P1011" s="3">
        <v>0</v>
      </c>
      <c r="Q1011" s="3">
        <v>0</v>
      </c>
      <c r="R1011" s="3">
        <v>0</v>
      </c>
      <c r="S1011" s="3">
        <v>0</v>
      </c>
      <c r="T1011" s="3">
        <v>3</v>
      </c>
      <c r="U1011" s="3">
        <v>4</v>
      </c>
      <c r="V1011" s="3">
        <v>15</v>
      </c>
      <c r="W1011" s="3"/>
      <c r="X1011" s="3">
        <v>22.98</v>
      </c>
      <c r="Y1011" s="3">
        <v>22.98</v>
      </c>
      <c r="Z1011" s="3">
        <v>22</v>
      </c>
      <c r="AA1011" s="3">
        <v>0</v>
      </c>
      <c r="AB1011" s="3" t="s">
        <v>5223</v>
      </c>
      <c r="AC1011" s="3">
        <v>17</v>
      </c>
      <c r="AD1011" s="3">
        <v>22.98</v>
      </c>
      <c r="AE1011" s="3">
        <v>0</v>
      </c>
      <c r="AF1011" s="3">
        <v>0</v>
      </c>
      <c r="AG1011" s="3">
        <v>0</v>
      </c>
      <c r="AH1011" s="3">
        <v>0.681818181818181</v>
      </c>
      <c r="AI1011" s="3" t="s">
        <v>5240</v>
      </c>
      <c r="AJ1011" s="3" t="s">
        <v>5222</v>
      </c>
    </row>
    <row r="1012" spans="1:36">
      <c r="A1012" s="5">
        <v>43288</v>
      </c>
      <c r="B1012" s="3" t="s">
        <v>2916</v>
      </c>
      <c r="C1012" s="3" t="s">
        <v>2917</v>
      </c>
      <c r="D1012" s="3" t="s">
        <v>2917</v>
      </c>
      <c r="E1012" s="3" t="s">
        <v>2918</v>
      </c>
      <c r="F1012" s="3" t="s">
        <v>120</v>
      </c>
      <c r="G1012" s="3">
        <v>50</v>
      </c>
      <c r="H1012" s="3">
        <v>0</v>
      </c>
      <c r="I1012" s="3">
        <v>50</v>
      </c>
      <c r="J1012" s="3">
        <v>0</v>
      </c>
      <c r="K1012" s="3">
        <v>0</v>
      </c>
      <c r="L1012" s="3">
        <v>0</v>
      </c>
      <c r="M1012" s="3">
        <v>0</v>
      </c>
      <c r="N1012" s="3" t="s">
        <v>5218</v>
      </c>
      <c r="O1012" s="3">
        <v>0</v>
      </c>
      <c r="P1012" s="3">
        <v>0</v>
      </c>
      <c r="Q1012" s="3">
        <v>0</v>
      </c>
      <c r="R1012" s="3">
        <v>0</v>
      </c>
      <c r="S1012" s="3">
        <v>0</v>
      </c>
      <c r="T1012" s="3">
        <v>0</v>
      </c>
      <c r="U1012" s="3">
        <v>0</v>
      </c>
      <c r="V1012" s="3">
        <v>0</v>
      </c>
      <c r="W1012" s="3" t="s">
        <v>5219</v>
      </c>
      <c r="X1012" s="3">
        <v>39.98</v>
      </c>
      <c r="Y1012" s="3">
        <v>39.98</v>
      </c>
      <c r="Z1012" s="3">
        <v>39.98</v>
      </c>
      <c r="AA1012" s="3">
        <v>0</v>
      </c>
      <c r="AB1012" s="3" t="s">
        <v>5220</v>
      </c>
      <c r="AC1012" s="3">
        <v>50</v>
      </c>
      <c r="AD1012" s="3">
        <v>39.98</v>
      </c>
      <c r="AE1012" s="3">
        <v>0</v>
      </c>
      <c r="AF1012" s="3">
        <v>0</v>
      </c>
      <c r="AG1012" s="3">
        <v>0</v>
      </c>
      <c r="AH1012" s="3">
        <v>0</v>
      </c>
      <c r="AI1012" s="3" t="s">
        <v>5236</v>
      </c>
      <c r="AJ1012" s="3" t="s">
        <v>5222</v>
      </c>
    </row>
    <row r="1013" spans="1:36">
      <c r="A1013" s="5">
        <v>43288</v>
      </c>
      <c r="B1013" s="3" t="s">
        <v>1522</v>
      </c>
      <c r="C1013" s="3" t="s">
        <v>84</v>
      </c>
      <c r="D1013" s="3" t="s">
        <v>84</v>
      </c>
      <c r="E1013" s="3" t="s">
        <v>1523</v>
      </c>
      <c r="F1013" s="3" t="s">
        <v>120</v>
      </c>
      <c r="G1013" s="3">
        <v>31</v>
      </c>
      <c r="H1013" s="3">
        <v>0</v>
      </c>
      <c r="I1013" s="3">
        <v>3</v>
      </c>
      <c r="J1013" s="3">
        <v>5</v>
      </c>
      <c r="K1013" s="3">
        <v>23</v>
      </c>
      <c r="L1013" s="3">
        <v>0</v>
      </c>
      <c r="M1013" s="3">
        <v>0</v>
      </c>
      <c r="N1013" s="3" t="s">
        <v>5218</v>
      </c>
      <c r="O1013" s="3">
        <v>26</v>
      </c>
      <c r="P1013" s="3">
        <v>11.87</v>
      </c>
      <c r="Q1013" s="3">
        <v>0</v>
      </c>
      <c r="R1013" s="3">
        <v>0</v>
      </c>
      <c r="S1013" s="3">
        <v>2</v>
      </c>
      <c r="T1013" s="3">
        <v>6</v>
      </c>
      <c r="U1013" s="3">
        <v>9</v>
      </c>
      <c r="V1013" s="3">
        <v>14</v>
      </c>
      <c r="W1013" s="3"/>
      <c r="X1013" s="3">
        <v>22.98</v>
      </c>
      <c r="Y1013" s="3">
        <v>22.98</v>
      </c>
      <c r="Z1013" s="3">
        <v>19.98</v>
      </c>
      <c r="AA1013" s="3">
        <v>0</v>
      </c>
      <c r="AB1013" s="3" t="s">
        <v>5223</v>
      </c>
      <c r="AC1013" s="3">
        <v>33</v>
      </c>
      <c r="AD1013" s="3">
        <v>22.98</v>
      </c>
      <c r="AE1013" s="3">
        <v>0</v>
      </c>
      <c r="AF1013" s="3">
        <v>0</v>
      </c>
      <c r="AG1013" s="3">
        <v>0</v>
      </c>
      <c r="AH1013" s="3">
        <v>0.378378378378378</v>
      </c>
      <c r="AI1013" s="3" t="s">
        <v>5527</v>
      </c>
      <c r="AJ1013" s="3" t="s">
        <v>5222</v>
      </c>
    </row>
    <row r="1014" spans="1:36">
      <c r="A1014" s="5">
        <v>43288</v>
      </c>
      <c r="B1014" s="3" t="s">
        <v>1979</v>
      </c>
      <c r="C1014" s="3" t="s">
        <v>146</v>
      </c>
      <c r="D1014" s="3" t="s">
        <v>146</v>
      </c>
      <c r="E1014" s="3" t="s">
        <v>1980</v>
      </c>
      <c r="F1014" s="3" t="s">
        <v>120</v>
      </c>
      <c r="G1014" s="3">
        <v>11</v>
      </c>
      <c r="H1014" s="3">
        <v>0</v>
      </c>
      <c r="I1014" s="3">
        <v>2</v>
      </c>
      <c r="J1014" s="3">
        <v>1</v>
      </c>
      <c r="K1014" s="3">
        <v>8</v>
      </c>
      <c r="L1014" s="3">
        <v>0</v>
      </c>
      <c r="M1014" s="3">
        <v>0</v>
      </c>
      <c r="N1014" s="3" t="s">
        <v>5218</v>
      </c>
      <c r="O1014" s="3">
        <v>8</v>
      </c>
      <c r="P1014" s="3">
        <v>14.96</v>
      </c>
      <c r="Q1014" s="3">
        <v>0</v>
      </c>
      <c r="R1014" s="3">
        <v>0</v>
      </c>
      <c r="S1014" s="3">
        <v>0</v>
      </c>
      <c r="T1014" s="3">
        <v>2</v>
      </c>
      <c r="U1014" s="3">
        <v>3</v>
      </c>
      <c r="V1014" s="3">
        <v>3</v>
      </c>
      <c r="W1014" s="3" t="s">
        <v>5227</v>
      </c>
      <c r="X1014" s="3">
        <v>17.98</v>
      </c>
      <c r="Y1014" s="3">
        <v>17.98</v>
      </c>
      <c r="Z1014" s="3">
        <v>17.98</v>
      </c>
      <c r="AA1014" s="3">
        <v>0</v>
      </c>
      <c r="AB1014" s="3" t="s">
        <v>5223</v>
      </c>
      <c r="AC1014" s="3">
        <v>11</v>
      </c>
      <c r="AD1014" s="3">
        <v>17.98</v>
      </c>
      <c r="AE1014" s="3">
        <v>0</v>
      </c>
      <c r="AF1014" s="3">
        <v>0</v>
      </c>
      <c r="AG1014" s="3">
        <v>0</v>
      </c>
      <c r="AH1014" s="3">
        <v>0.25</v>
      </c>
      <c r="AI1014" s="3" t="s">
        <v>5270</v>
      </c>
      <c r="AJ1014" s="3" t="s">
        <v>5222</v>
      </c>
    </row>
    <row r="1015" spans="1:36">
      <c r="A1015" s="5">
        <v>43288</v>
      </c>
      <c r="B1015" s="3" t="s">
        <v>2942</v>
      </c>
      <c r="C1015" s="3" t="s">
        <v>1368</v>
      </c>
      <c r="D1015" s="3" t="s">
        <v>1368</v>
      </c>
      <c r="E1015" s="3" t="s">
        <v>1369</v>
      </c>
      <c r="F1015" s="3" t="s">
        <v>120</v>
      </c>
      <c r="G1015" s="3">
        <v>7</v>
      </c>
      <c r="H1015" s="3">
        <v>0</v>
      </c>
      <c r="I1015" s="3">
        <v>7</v>
      </c>
      <c r="J1015" s="3">
        <v>0</v>
      </c>
      <c r="K1015" s="3">
        <v>0</v>
      </c>
      <c r="L1015" s="3">
        <v>0</v>
      </c>
      <c r="M1015" s="3">
        <v>0</v>
      </c>
      <c r="N1015" s="3" t="s">
        <v>5218</v>
      </c>
      <c r="O1015" s="3">
        <v>0</v>
      </c>
      <c r="P1015" s="3">
        <v>0</v>
      </c>
      <c r="Q1015" s="3">
        <v>0</v>
      </c>
      <c r="R1015" s="3">
        <v>0</v>
      </c>
      <c r="S1015" s="3">
        <v>4</v>
      </c>
      <c r="T1015" s="3">
        <v>26</v>
      </c>
      <c r="U1015" s="3">
        <v>64</v>
      </c>
      <c r="V1015" s="3">
        <v>76</v>
      </c>
      <c r="W1015" s="3"/>
      <c r="X1015" s="3">
        <v>23.98</v>
      </c>
      <c r="Y1015" s="3">
        <v>23.98</v>
      </c>
      <c r="Z1015" s="3">
        <v>23.98</v>
      </c>
      <c r="AA1015" s="3">
        <v>0</v>
      </c>
      <c r="AB1015" s="3" t="s">
        <v>5223</v>
      </c>
      <c r="AC1015" s="3">
        <v>9</v>
      </c>
      <c r="AD1015" s="3">
        <v>24.98</v>
      </c>
      <c r="AE1015" s="3">
        <v>0</v>
      </c>
      <c r="AF1015" s="3">
        <v>0</v>
      </c>
      <c r="AG1015" s="3">
        <v>0</v>
      </c>
      <c r="AH1015" s="3">
        <v>6.46808510638297</v>
      </c>
      <c r="AI1015" s="3" t="s">
        <v>5306</v>
      </c>
      <c r="AJ1015" s="3" t="s">
        <v>5222</v>
      </c>
    </row>
    <row r="1016" spans="1:36">
      <c r="A1016" s="5">
        <v>43288</v>
      </c>
      <c r="B1016" s="3" t="s">
        <v>4371</v>
      </c>
      <c r="C1016" s="3" t="s">
        <v>3338</v>
      </c>
      <c r="D1016" s="3" t="s">
        <v>3338</v>
      </c>
      <c r="E1016" s="3" t="s">
        <v>3339</v>
      </c>
      <c r="F1016" s="3" t="s">
        <v>120</v>
      </c>
      <c r="G1016" s="3">
        <v>6</v>
      </c>
      <c r="H1016" s="3">
        <v>0</v>
      </c>
      <c r="I1016" s="3">
        <v>1</v>
      </c>
      <c r="J1016" s="3">
        <v>5</v>
      </c>
      <c r="K1016" s="3">
        <v>0</v>
      </c>
      <c r="L1016" s="3">
        <v>0</v>
      </c>
      <c r="M1016" s="3">
        <v>0</v>
      </c>
      <c r="N1016" s="3" t="s">
        <v>5218</v>
      </c>
      <c r="O1016" s="3">
        <v>5</v>
      </c>
      <c r="P1016" s="3">
        <v>2.35</v>
      </c>
      <c r="Q1016" s="3">
        <v>0</v>
      </c>
      <c r="R1016" s="3">
        <v>0</v>
      </c>
      <c r="S1016" s="3">
        <v>1</v>
      </c>
      <c r="T1016" s="3">
        <v>1</v>
      </c>
      <c r="U1016" s="3">
        <v>2</v>
      </c>
      <c r="V1016" s="3">
        <v>3</v>
      </c>
      <c r="W1016" s="3"/>
      <c r="X1016" s="3">
        <v>22.98</v>
      </c>
      <c r="Y1016" s="3">
        <v>22.98</v>
      </c>
      <c r="Z1016" s="3">
        <v>22.98</v>
      </c>
      <c r="AA1016" s="3">
        <v>0</v>
      </c>
      <c r="AB1016" s="3" t="s">
        <v>5228</v>
      </c>
      <c r="AC1016" s="3">
        <v>5</v>
      </c>
      <c r="AD1016" s="3">
        <v>21.36</v>
      </c>
      <c r="AE1016" s="3">
        <v>21</v>
      </c>
      <c r="AF1016" s="3">
        <v>0</v>
      </c>
      <c r="AG1016" s="3">
        <v>128.433838</v>
      </c>
      <c r="AH1016" s="3">
        <v>0.428571428571428</v>
      </c>
      <c r="AI1016" s="3" t="s">
        <v>5528</v>
      </c>
      <c r="AJ1016" s="3" t="s">
        <v>5222</v>
      </c>
    </row>
    <row r="1017" spans="1:36">
      <c r="A1017" s="5">
        <v>43288</v>
      </c>
      <c r="B1017" s="3" t="s">
        <v>1857</v>
      </c>
      <c r="C1017" s="3" t="s">
        <v>1858</v>
      </c>
      <c r="D1017" s="3" t="s">
        <v>1858</v>
      </c>
      <c r="E1017" s="3" t="s">
        <v>1859</v>
      </c>
      <c r="F1017" s="3" t="s">
        <v>120</v>
      </c>
      <c r="G1017" s="3">
        <v>7</v>
      </c>
      <c r="H1017" s="3">
        <v>0</v>
      </c>
      <c r="I1017" s="3">
        <v>7</v>
      </c>
      <c r="J1017" s="3">
        <v>0</v>
      </c>
      <c r="K1017" s="3">
        <v>0</v>
      </c>
      <c r="L1017" s="3">
        <v>0</v>
      </c>
      <c r="M1017" s="3">
        <v>0</v>
      </c>
      <c r="N1017" s="3" t="s">
        <v>5218</v>
      </c>
      <c r="O1017" s="3">
        <v>0</v>
      </c>
      <c r="P1017" s="3">
        <v>0</v>
      </c>
      <c r="Q1017" s="3">
        <v>0</v>
      </c>
      <c r="R1017" s="3">
        <v>0</v>
      </c>
      <c r="S1017" s="3">
        <v>4</v>
      </c>
      <c r="T1017" s="3">
        <v>10</v>
      </c>
      <c r="U1017" s="3">
        <v>24</v>
      </c>
      <c r="V1017" s="3">
        <v>30</v>
      </c>
      <c r="W1017" s="3"/>
      <c r="X1017" s="3">
        <v>14.98</v>
      </c>
      <c r="Y1017" s="3">
        <v>14.98</v>
      </c>
      <c r="Z1017" s="3">
        <v>14.98</v>
      </c>
      <c r="AA1017" s="3">
        <v>0</v>
      </c>
      <c r="AB1017" s="3" t="s">
        <v>5223</v>
      </c>
      <c r="AC1017" s="3">
        <v>12</v>
      </c>
      <c r="AD1017" s="3">
        <v>14.98</v>
      </c>
      <c r="AE1017" s="3">
        <v>0</v>
      </c>
      <c r="AF1017" s="3">
        <v>0</v>
      </c>
      <c r="AG1017" s="3">
        <v>0</v>
      </c>
      <c r="AH1017" s="3">
        <v>1.53846153846153</v>
      </c>
      <c r="AI1017" s="3" t="s">
        <v>5236</v>
      </c>
      <c r="AJ1017" s="3" t="s">
        <v>5222</v>
      </c>
    </row>
    <row r="1018" spans="1:36">
      <c r="A1018" s="5">
        <v>43288</v>
      </c>
      <c r="B1018" s="3" t="s">
        <v>2540</v>
      </c>
      <c r="C1018" s="3" t="s">
        <v>2541</v>
      </c>
      <c r="D1018" s="3" t="s">
        <v>2541</v>
      </c>
      <c r="E1018" s="3" t="s">
        <v>2542</v>
      </c>
      <c r="F1018" s="3" t="s">
        <v>120</v>
      </c>
      <c r="G1018" s="3">
        <v>23</v>
      </c>
      <c r="H1018" s="3">
        <v>0</v>
      </c>
      <c r="I1018" s="3">
        <v>23</v>
      </c>
      <c r="J1018" s="3">
        <v>0</v>
      </c>
      <c r="K1018" s="3">
        <v>0</v>
      </c>
      <c r="L1018" s="3">
        <v>0</v>
      </c>
      <c r="M1018" s="3">
        <v>0</v>
      </c>
      <c r="N1018" s="3" t="s">
        <v>5218</v>
      </c>
      <c r="O1018" s="3">
        <v>0</v>
      </c>
      <c r="P1018" s="3">
        <v>0</v>
      </c>
      <c r="Q1018" s="3">
        <v>0</v>
      </c>
      <c r="R1018" s="3">
        <v>0</v>
      </c>
      <c r="S1018" s="3">
        <v>0</v>
      </c>
      <c r="T1018" s="3">
        <v>2</v>
      </c>
      <c r="U1018" s="3">
        <v>4</v>
      </c>
      <c r="V1018" s="3">
        <v>6</v>
      </c>
      <c r="W1018" s="3"/>
      <c r="X1018" s="3">
        <v>24.98</v>
      </c>
      <c r="Y1018" s="3">
        <v>24.98</v>
      </c>
      <c r="Z1018" s="3">
        <v>24.98</v>
      </c>
      <c r="AA1018" s="3">
        <v>0</v>
      </c>
      <c r="AB1018" s="3" t="s">
        <v>5223</v>
      </c>
      <c r="AC1018" s="3">
        <v>23</v>
      </c>
      <c r="AD1018" s="3">
        <v>24.98</v>
      </c>
      <c r="AE1018" s="3">
        <v>0</v>
      </c>
      <c r="AF1018" s="3">
        <v>0</v>
      </c>
      <c r="AG1018" s="3">
        <v>0</v>
      </c>
      <c r="AH1018" s="3">
        <v>0.421052631578947</v>
      </c>
      <c r="AI1018" s="3" t="s">
        <v>5230</v>
      </c>
      <c r="AJ1018" s="3" t="s">
        <v>5222</v>
      </c>
    </row>
    <row r="1019" spans="1:36">
      <c r="A1019" s="5">
        <v>43288</v>
      </c>
      <c r="B1019" s="3" t="s">
        <v>4513</v>
      </c>
      <c r="C1019" s="3" t="s">
        <v>3779</v>
      </c>
      <c r="D1019" s="3" t="s">
        <v>3779</v>
      </c>
      <c r="E1019" s="3" t="s">
        <v>3780</v>
      </c>
      <c r="F1019" s="3" t="s">
        <v>120</v>
      </c>
      <c r="G1019" s="3">
        <v>8</v>
      </c>
      <c r="H1019" s="3">
        <v>0</v>
      </c>
      <c r="I1019" s="3">
        <v>0</v>
      </c>
      <c r="J1019" s="3">
        <v>0</v>
      </c>
      <c r="K1019" s="3">
        <v>8</v>
      </c>
      <c r="L1019" s="3">
        <v>0</v>
      </c>
      <c r="M1019" s="3">
        <v>0</v>
      </c>
      <c r="N1019" s="3" t="s">
        <v>5218</v>
      </c>
      <c r="O1019" s="3">
        <v>8</v>
      </c>
      <c r="P1019" s="3">
        <v>7.94</v>
      </c>
      <c r="Q1019" s="3">
        <v>0</v>
      </c>
      <c r="R1019" s="3">
        <v>0</v>
      </c>
      <c r="S1019" s="3">
        <v>0</v>
      </c>
      <c r="T1019" s="3">
        <v>0</v>
      </c>
      <c r="U1019" s="3">
        <v>0</v>
      </c>
      <c r="V1019" s="3">
        <v>2</v>
      </c>
      <c r="W1019" s="3" t="s">
        <v>5227</v>
      </c>
      <c r="X1019" s="3">
        <v>24.98</v>
      </c>
      <c r="Y1019" s="3">
        <v>24.98</v>
      </c>
      <c r="Z1019" s="3">
        <v>24.98</v>
      </c>
      <c r="AA1019" s="3">
        <v>0</v>
      </c>
      <c r="AB1019" s="3" t="s">
        <v>5228</v>
      </c>
      <c r="AC1019" s="3">
        <v>0</v>
      </c>
      <c r="AD1019" s="3">
        <v>21.39</v>
      </c>
      <c r="AE1019" s="3">
        <v>196</v>
      </c>
      <c r="AF1019" s="3">
        <v>0</v>
      </c>
      <c r="AG1019" s="3">
        <v>163.470139</v>
      </c>
      <c r="AH1019" s="3">
        <v>0.235294117647058</v>
      </c>
      <c r="AI1019" s="3" t="s">
        <v>5263</v>
      </c>
      <c r="AJ1019" s="3" t="s">
        <v>5222</v>
      </c>
    </row>
    <row r="1020" spans="1:36">
      <c r="A1020" s="5">
        <v>43288</v>
      </c>
      <c r="B1020" s="3" t="s">
        <v>4794</v>
      </c>
      <c r="C1020" s="3" t="s">
        <v>4795</v>
      </c>
      <c r="D1020" s="3" t="s">
        <v>4795</v>
      </c>
      <c r="E1020" s="3" t="s">
        <v>4796</v>
      </c>
      <c r="F1020" s="3" t="s">
        <v>120</v>
      </c>
      <c r="G1020" s="3">
        <v>14</v>
      </c>
      <c r="H1020" s="3">
        <v>0</v>
      </c>
      <c r="I1020" s="3">
        <v>14</v>
      </c>
      <c r="J1020" s="3">
        <v>0</v>
      </c>
      <c r="K1020" s="3">
        <v>0</v>
      </c>
      <c r="L1020" s="3">
        <v>0</v>
      </c>
      <c r="M1020" s="3">
        <v>0</v>
      </c>
      <c r="N1020" s="3" t="s">
        <v>5218</v>
      </c>
      <c r="O1020" s="3">
        <v>0</v>
      </c>
      <c r="P1020" s="3">
        <v>0</v>
      </c>
      <c r="Q1020" s="3">
        <v>0</v>
      </c>
      <c r="R1020" s="3">
        <v>0</v>
      </c>
      <c r="S1020" s="3">
        <v>2</v>
      </c>
      <c r="T1020" s="3">
        <v>7</v>
      </c>
      <c r="U1020" s="3">
        <v>12</v>
      </c>
      <c r="V1020" s="3">
        <v>18</v>
      </c>
      <c r="W1020" s="3"/>
      <c r="X1020" s="3">
        <v>22.98</v>
      </c>
      <c r="Y1020" s="3">
        <v>22.98</v>
      </c>
      <c r="Z1020" s="3">
        <v>22.98</v>
      </c>
      <c r="AA1020" s="3">
        <v>0</v>
      </c>
      <c r="AB1020" s="3" t="s">
        <v>5223</v>
      </c>
      <c r="AC1020" s="3">
        <v>16</v>
      </c>
      <c r="AD1020" s="3">
        <v>22.98</v>
      </c>
      <c r="AE1020" s="3">
        <v>0</v>
      </c>
      <c r="AF1020" s="3">
        <v>0</v>
      </c>
      <c r="AG1020" s="3">
        <v>0</v>
      </c>
      <c r="AH1020" s="3">
        <v>1.84615384615384</v>
      </c>
      <c r="AI1020" s="3" t="s">
        <v>5362</v>
      </c>
      <c r="AJ1020" s="3" t="s">
        <v>5222</v>
      </c>
    </row>
    <row r="1021" spans="1:36">
      <c r="A1021" s="5">
        <v>43288</v>
      </c>
      <c r="B1021" s="3" t="s">
        <v>4321</v>
      </c>
      <c r="C1021" s="3" t="s">
        <v>4322</v>
      </c>
      <c r="D1021" s="3" t="s">
        <v>4322</v>
      </c>
      <c r="E1021" s="3" t="s">
        <v>4323</v>
      </c>
      <c r="F1021" s="3" t="s">
        <v>120</v>
      </c>
      <c r="G1021" s="3">
        <v>16</v>
      </c>
      <c r="H1021" s="3">
        <v>0</v>
      </c>
      <c r="I1021" s="3">
        <v>16</v>
      </c>
      <c r="J1021" s="3">
        <v>0</v>
      </c>
      <c r="K1021" s="3">
        <v>0</v>
      </c>
      <c r="L1021" s="3">
        <v>0</v>
      </c>
      <c r="M1021" s="3">
        <v>0</v>
      </c>
      <c r="N1021" s="3" t="s">
        <v>5218</v>
      </c>
      <c r="O1021" s="3">
        <v>0</v>
      </c>
      <c r="P1021" s="3">
        <v>0</v>
      </c>
      <c r="Q1021" s="3">
        <v>0</v>
      </c>
      <c r="R1021" s="3">
        <v>0</v>
      </c>
      <c r="S1021" s="3">
        <v>0</v>
      </c>
      <c r="T1021" s="3">
        <v>7</v>
      </c>
      <c r="U1021" s="3">
        <v>25</v>
      </c>
      <c r="V1021" s="3">
        <v>28</v>
      </c>
      <c r="W1021" s="3"/>
      <c r="X1021" s="3">
        <v>23.98</v>
      </c>
      <c r="Y1021" s="3">
        <v>23.98</v>
      </c>
      <c r="Z1021" s="3">
        <v>23.98</v>
      </c>
      <c r="AA1021" s="3">
        <v>0</v>
      </c>
      <c r="AB1021" s="3" t="s">
        <v>5223</v>
      </c>
      <c r="AC1021" s="3">
        <v>16</v>
      </c>
      <c r="AD1021" s="3">
        <v>23.98</v>
      </c>
      <c r="AE1021" s="3">
        <v>0</v>
      </c>
      <c r="AF1021" s="3">
        <v>0</v>
      </c>
      <c r="AG1021" s="3">
        <v>0</v>
      </c>
      <c r="AH1021" s="3">
        <v>2.07407407407407</v>
      </c>
      <c r="AI1021" s="3" t="s">
        <v>5529</v>
      </c>
      <c r="AJ1021" s="3" t="s">
        <v>5222</v>
      </c>
    </row>
    <row r="1022" spans="1:36">
      <c r="A1022" s="5">
        <v>43288</v>
      </c>
      <c r="B1022" s="3" t="s">
        <v>417</v>
      </c>
      <c r="C1022" s="3" t="s">
        <v>418</v>
      </c>
      <c r="D1022" s="3" t="s">
        <v>419</v>
      </c>
      <c r="E1022" s="3" t="s">
        <v>420</v>
      </c>
      <c r="F1022" s="3" t="s">
        <v>120</v>
      </c>
      <c r="G1022" s="3">
        <v>16</v>
      </c>
      <c r="H1022" s="3">
        <v>0</v>
      </c>
      <c r="I1022" s="3">
        <v>16</v>
      </c>
      <c r="J1022" s="3">
        <v>0</v>
      </c>
      <c r="K1022" s="3">
        <v>0</v>
      </c>
      <c r="L1022" s="3">
        <v>0</v>
      </c>
      <c r="M1022" s="3">
        <v>0</v>
      </c>
      <c r="N1022" s="3" t="s">
        <v>5218</v>
      </c>
      <c r="O1022" s="3">
        <v>0</v>
      </c>
      <c r="P1022" s="3">
        <v>0</v>
      </c>
      <c r="Q1022" s="3">
        <v>0</v>
      </c>
      <c r="R1022" s="3">
        <v>0</v>
      </c>
      <c r="S1022" s="3">
        <v>0</v>
      </c>
      <c r="T1022" s="3">
        <v>0</v>
      </c>
      <c r="U1022" s="3">
        <v>0</v>
      </c>
      <c r="V1022" s="3">
        <v>0</v>
      </c>
      <c r="W1022" s="3" t="s">
        <v>5227</v>
      </c>
      <c r="X1022" s="3">
        <v>23.98</v>
      </c>
      <c r="Y1022" s="3">
        <v>23.98</v>
      </c>
      <c r="Z1022" s="3">
        <v>23.98</v>
      </c>
      <c r="AA1022" s="3">
        <v>0</v>
      </c>
      <c r="AB1022" s="3" t="s">
        <v>5228</v>
      </c>
      <c r="AC1022" s="3">
        <v>17</v>
      </c>
      <c r="AD1022" s="3">
        <v>22.98</v>
      </c>
      <c r="AE1022" s="3">
        <v>0</v>
      </c>
      <c r="AF1022" s="3">
        <v>0</v>
      </c>
      <c r="AG1022" s="3">
        <v>0</v>
      </c>
      <c r="AH1022" s="3">
        <v>6.17142857142857</v>
      </c>
      <c r="AI1022" s="3" t="s">
        <v>5257</v>
      </c>
      <c r="AJ1022" s="3" t="s">
        <v>5222</v>
      </c>
    </row>
    <row r="1023" spans="1:36">
      <c r="A1023" s="5">
        <v>43288</v>
      </c>
      <c r="B1023" s="3" t="s">
        <v>2814</v>
      </c>
      <c r="C1023" s="3" t="s">
        <v>2815</v>
      </c>
      <c r="D1023" s="3" t="s">
        <v>2815</v>
      </c>
      <c r="E1023" s="3" t="s">
        <v>2816</v>
      </c>
      <c r="F1023" s="3" t="s">
        <v>120</v>
      </c>
      <c r="G1023" s="3">
        <v>28</v>
      </c>
      <c r="H1023" s="3">
        <v>0</v>
      </c>
      <c r="I1023" s="3">
        <v>2</v>
      </c>
      <c r="J1023" s="3">
        <v>26</v>
      </c>
      <c r="K1023" s="3">
        <v>0</v>
      </c>
      <c r="L1023" s="3">
        <v>0</v>
      </c>
      <c r="M1023" s="3">
        <v>0</v>
      </c>
      <c r="N1023" s="3" t="s">
        <v>5218</v>
      </c>
      <c r="O1023" s="3">
        <v>26</v>
      </c>
      <c r="P1023" s="3">
        <v>51.14</v>
      </c>
      <c r="Q1023" s="3">
        <v>0</v>
      </c>
      <c r="R1023" s="3">
        <v>0</v>
      </c>
      <c r="S1023" s="3">
        <v>2</v>
      </c>
      <c r="T1023" s="3">
        <v>6</v>
      </c>
      <c r="U1023" s="3">
        <v>10</v>
      </c>
      <c r="V1023" s="3">
        <v>10</v>
      </c>
      <c r="W1023" s="3"/>
      <c r="X1023" s="3">
        <v>18.98</v>
      </c>
      <c r="Y1023" s="3">
        <v>18.98</v>
      </c>
      <c r="Z1023" s="3">
        <v>18.98</v>
      </c>
      <c r="AA1023" s="3">
        <v>0</v>
      </c>
      <c r="AB1023" s="3" t="s">
        <v>5228</v>
      </c>
      <c r="AC1023" s="3">
        <v>0</v>
      </c>
      <c r="AD1023" s="3">
        <v>13.95</v>
      </c>
      <c r="AE1023" s="3">
        <v>189</v>
      </c>
      <c r="AF1023" s="3">
        <v>0</v>
      </c>
      <c r="AG1023" s="3">
        <v>629.802285</v>
      </c>
      <c r="AH1023" s="3">
        <v>0.303030303030303</v>
      </c>
      <c r="AI1023" s="3" t="s">
        <v>5530</v>
      </c>
      <c r="AJ1023" s="3" t="s">
        <v>5222</v>
      </c>
    </row>
    <row r="1024" spans="1:36">
      <c r="A1024" s="5">
        <v>43288</v>
      </c>
      <c r="B1024" s="3" t="s">
        <v>4389</v>
      </c>
      <c r="C1024" s="3" t="s">
        <v>3410</v>
      </c>
      <c r="D1024" s="3" t="s">
        <v>3410</v>
      </c>
      <c r="E1024" s="3" t="s">
        <v>3411</v>
      </c>
      <c r="F1024" s="3" t="s">
        <v>120</v>
      </c>
      <c r="G1024" s="3">
        <v>12</v>
      </c>
      <c r="H1024" s="3">
        <v>0</v>
      </c>
      <c r="I1024" s="3">
        <v>2</v>
      </c>
      <c r="J1024" s="3">
        <v>3</v>
      </c>
      <c r="K1024" s="3">
        <v>7</v>
      </c>
      <c r="L1024" s="3">
        <v>0</v>
      </c>
      <c r="M1024" s="3">
        <v>0</v>
      </c>
      <c r="N1024" s="3" t="s">
        <v>5218</v>
      </c>
      <c r="O1024" s="3">
        <v>9</v>
      </c>
      <c r="P1024" s="3">
        <v>11.89</v>
      </c>
      <c r="Q1024" s="3">
        <v>0</v>
      </c>
      <c r="R1024" s="3">
        <v>0</v>
      </c>
      <c r="S1024" s="3">
        <v>1</v>
      </c>
      <c r="T1024" s="3">
        <v>1</v>
      </c>
      <c r="U1024" s="3">
        <v>4</v>
      </c>
      <c r="V1024" s="3">
        <v>7</v>
      </c>
      <c r="W1024" s="3"/>
      <c r="X1024" s="3">
        <v>22.98</v>
      </c>
      <c r="Y1024" s="3">
        <v>22.98</v>
      </c>
      <c r="Z1024" s="3">
        <v>22.98</v>
      </c>
      <c r="AA1024" s="3">
        <v>0</v>
      </c>
      <c r="AB1024" s="3" t="s">
        <v>5228</v>
      </c>
      <c r="AC1024" s="3">
        <v>0</v>
      </c>
      <c r="AD1024" s="3">
        <v>20.83</v>
      </c>
      <c r="AE1024" s="3">
        <v>217</v>
      </c>
      <c r="AF1024" s="3">
        <v>0</v>
      </c>
      <c r="AG1024" s="3">
        <v>291.833442</v>
      </c>
      <c r="AH1024" s="3">
        <v>0.482758620689655</v>
      </c>
      <c r="AI1024" s="3" t="s">
        <v>5239</v>
      </c>
      <c r="AJ1024" s="3" t="s">
        <v>5222</v>
      </c>
    </row>
    <row r="1025" spans="1:36">
      <c r="A1025" s="5">
        <v>43288</v>
      </c>
      <c r="B1025" s="3" t="s">
        <v>2489</v>
      </c>
      <c r="C1025" s="3" t="s">
        <v>2490</v>
      </c>
      <c r="D1025" s="3" t="s">
        <v>2490</v>
      </c>
      <c r="E1025" s="3" t="s">
        <v>2491</v>
      </c>
      <c r="F1025" s="3" t="s">
        <v>120</v>
      </c>
      <c r="G1025" s="3">
        <v>20</v>
      </c>
      <c r="H1025" s="3">
        <v>0</v>
      </c>
      <c r="I1025" s="3">
        <v>0</v>
      </c>
      <c r="J1025" s="3">
        <v>3</v>
      </c>
      <c r="K1025" s="3">
        <v>17</v>
      </c>
      <c r="L1025" s="3">
        <v>0</v>
      </c>
      <c r="M1025" s="3">
        <v>0</v>
      </c>
      <c r="N1025" s="3" t="s">
        <v>5218</v>
      </c>
      <c r="O1025" s="3">
        <v>18</v>
      </c>
      <c r="P1025" s="3">
        <v>40.18</v>
      </c>
      <c r="Q1025" s="3">
        <v>0</v>
      </c>
      <c r="R1025" s="3">
        <v>0</v>
      </c>
      <c r="S1025" s="3">
        <v>0</v>
      </c>
      <c r="T1025" s="3">
        <v>0</v>
      </c>
      <c r="U1025" s="3">
        <v>0</v>
      </c>
      <c r="V1025" s="3">
        <v>1</v>
      </c>
      <c r="W1025" s="3" t="s">
        <v>5227</v>
      </c>
      <c r="X1025" s="3">
        <v>19.98</v>
      </c>
      <c r="Y1025" s="3">
        <v>19.98</v>
      </c>
      <c r="Z1025" s="3">
        <v>19.98</v>
      </c>
      <c r="AA1025" s="3">
        <v>0</v>
      </c>
      <c r="AB1025" s="3" t="s">
        <v>5228</v>
      </c>
      <c r="AC1025" s="3">
        <v>0</v>
      </c>
      <c r="AD1025" s="3">
        <v>16.11</v>
      </c>
      <c r="AE1025" s="3">
        <v>364</v>
      </c>
      <c r="AF1025" s="3">
        <v>0</v>
      </c>
      <c r="AG1025" s="3">
        <v>564.125895</v>
      </c>
      <c r="AH1025" s="3">
        <v>0.0493827160493827</v>
      </c>
      <c r="AI1025" s="3" t="s">
        <v>5230</v>
      </c>
      <c r="AJ1025" s="3" t="s">
        <v>5222</v>
      </c>
    </row>
    <row r="1026" spans="1:36">
      <c r="A1026" s="5">
        <v>43288</v>
      </c>
      <c r="B1026" s="3" t="s">
        <v>4342</v>
      </c>
      <c r="C1026" s="3" t="s">
        <v>4343</v>
      </c>
      <c r="D1026" s="3" t="s">
        <v>4343</v>
      </c>
      <c r="E1026" s="3" t="s">
        <v>4344</v>
      </c>
      <c r="F1026" s="3" t="s">
        <v>120</v>
      </c>
      <c r="G1026" s="3">
        <v>28</v>
      </c>
      <c r="H1026" s="3">
        <v>0</v>
      </c>
      <c r="I1026" s="3">
        <v>28</v>
      </c>
      <c r="J1026" s="3">
        <v>0</v>
      </c>
      <c r="K1026" s="3">
        <v>0</v>
      </c>
      <c r="L1026" s="3">
        <v>0</v>
      </c>
      <c r="M1026" s="3">
        <v>0</v>
      </c>
      <c r="N1026" s="3" t="s">
        <v>5218</v>
      </c>
      <c r="O1026" s="3">
        <v>0</v>
      </c>
      <c r="P1026" s="3">
        <v>0</v>
      </c>
      <c r="Q1026" s="3">
        <v>0</v>
      </c>
      <c r="R1026" s="3">
        <v>0</v>
      </c>
      <c r="S1026" s="3">
        <v>0</v>
      </c>
      <c r="T1026" s="3">
        <v>1</v>
      </c>
      <c r="U1026" s="3">
        <v>5</v>
      </c>
      <c r="V1026" s="3">
        <v>8</v>
      </c>
      <c r="W1026" s="3"/>
      <c r="X1026" s="3">
        <v>23.98</v>
      </c>
      <c r="Y1026" s="3">
        <v>23.98</v>
      </c>
      <c r="Z1026" s="3">
        <v>23.98</v>
      </c>
      <c r="AA1026" s="3">
        <v>0</v>
      </c>
      <c r="AB1026" s="3" t="s">
        <v>5223</v>
      </c>
      <c r="AC1026" s="3">
        <v>28</v>
      </c>
      <c r="AD1026" s="3">
        <v>23.98</v>
      </c>
      <c r="AE1026" s="3">
        <v>0</v>
      </c>
      <c r="AF1026" s="3">
        <v>0</v>
      </c>
      <c r="AG1026" s="3">
        <v>0</v>
      </c>
      <c r="AH1026" s="3">
        <v>0.533333333333333</v>
      </c>
      <c r="AI1026" s="3" t="s">
        <v>5258</v>
      </c>
      <c r="AJ1026" s="3" t="s">
        <v>5222</v>
      </c>
    </row>
    <row r="1027" spans="1:36">
      <c r="A1027" s="5">
        <v>43288</v>
      </c>
      <c r="B1027" s="3" t="s">
        <v>2132</v>
      </c>
      <c r="C1027" s="3" t="s">
        <v>2133</v>
      </c>
      <c r="D1027" s="3" t="s">
        <v>2133</v>
      </c>
      <c r="E1027" s="3" t="s">
        <v>2134</v>
      </c>
      <c r="F1027" s="3" t="s">
        <v>120</v>
      </c>
      <c r="G1027" s="3">
        <v>15</v>
      </c>
      <c r="H1027" s="3">
        <v>0</v>
      </c>
      <c r="I1027" s="3">
        <v>1</v>
      </c>
      <c r="J1027" s="3">
        <v>14</v>
      </c>
      <c r="K1027" s="3">
        <v>0</v>
      </c>
      <c r="L1027" s="3">
        <v>0</v>
      </c>
      <c r="M1027" s="3">
        <v>0</v>
      </c>
      <c r="N1027" s="3" t="s">
        <v>5218</v>
      </c>
      <c r="O1027" s="3">
        <v>6</v>
      </c>
      <c r="P1027" s="3">
        <v>9.32</v>
      </c>
      <c r="Q1027" s="3">
        <v>0</v>
      </c>
      <c r="R1027" s="3">
        <v>0</v>
      </c>
      <c r="S1027" s="3">
        <v>0</v>
      </c>
      <c r="T1027" s="3">
        <v>1</v>
      </c>
      <c r="U1027" s="3">
        <v>3</v>
      </c>
      <c r="V1027" s="3">
        <v>4</v>
      </c>
      <c r="W1027" s="3" t="s">
        <v>5227</v>
      </c>
      <c r="X1027" s="3">
        <v>22.98</v>
      </c>
      <c r="Y1027" s="3">
        <v>22.98</v>
      </c>
      <c r="Z1027" s="3">
        <v>22</v>
      </c>
      <c r="AA1027" s="3">
        <v>0</v>
      </c>
      <c r="AB1027" s="3" t="s">
        <v>5223</v>
      </c>
      <c r="AC1027" s="3">
        <v>15</v>
      </c>
      <c r="AD1027" s="3">
        <v>22.98</v>
      </c>
      <c r="AE1027" s="3">
        <v>0</v>
      </c>
      <c r="AF1027" s="3">
        <v>0</v>
      </c>
      <c r="AG1027" s="3">
        <v>0</v>
      </c>
      <c r="AH1027" s="3">
        <v>0.238805970149253</v>
      </c>
      <c r="AI1027" s="3" t="s">
        <v>5260</v>
      </c>
      <c r="AJ1027" s="3" t="s">
        <v>5222</v>
      </c>
    </row>
    <row r="1028" spans="1:36">
      <c r="A1028" s="5">
        <v>43288</v>
      </c>
      <c r="B1028" s="3" t="s">
        <v>1767</v>
      </c>
      <c r="C1028" s="3" t="s">
        <v>1768</v>
      </c>
      <c r="D1028" s="3" t="s">
        <v>1768</v>
      </c>
      <c r="E1028" s="3" t="s">
        <v>1769</v>
      </c>
      <c r="F1028" s="3" t="s">
        <v>120</v>
      </c>
      <c r="G1028" s="3">
        <v>4</v>
      </c>
      <c r="H1028" s="3">
        <v>0</v>
      </c>
      <c r="I1028" s="3">
        <v>0</v>
      </c>
      <c r="J1028" s="3">
        <v>4</v>
      </c>
      <c r="K1028" s="3">
        <v>0</v>
      </c>
      <c r="L1028" s="3">
        <v>0</v>
      </c>
      <c r="M1028" s="3">
        <v>0</v>
      </c>
      <c r="N1028" s="3" t="s">
        <v>5218</v>
      </c>
      <c r="O1028" s="3">
        <v>3</v>
      </c>
      <c r="P1028" s="3">
        <v>3.89</v>
      </c>
      <c r="Q1028" s="3">
        <v>0</v>
      </c>
      <c r="R1028" s="3">
        <v>0</v>
      </c>
      <c r="S1028" s="3">
        <v>0</v>
      </c>
      <c r="T1028" s="3">
        <v>2</v>
      </c>
      <c r="U1028" s="3">
        <v>3</v>
      </c>
      <c r="V1028" s="3">
        <v>6</v>
      </c>
      <c r="W1028" s="3"/>
      <c r="X1028" s="3">
        <v>25.98</v>
      </c>
      <c r="Y1028" s="3">
        <v>25.98</v>
      </c>
      <c r="Z1028" s="3">
        <v>25.98</v>
      </c>
      <c r="AA1028" s="3">
        <v>0</v>
      </c>
      <c r="AB1028" s="3" t="s">
        <v>5223</v>
      </c>
      <c r="AC1028" s="3">
        <v>4</v>
      </c>
      <c r="AD1028" s="3">
        <v>25.98</v>
      </c>
      <c r="AE1028" s="3">
        <v>0</v>
      </c>
      <c r="AF1028" s="3">
        <v>0</v>
      </c>
      <c r="AG1028" s="3">
        <v>0</v>
      </c>
      <c r="AH1028" s="3">
        <v>0.888888888888888</v>
      </c>
      <c r="AI1028" s="3" t="s">
        <v>5229</v>
      </c>
      <c r="AJ1028" s="3" t="s">
        <v>5222</v>
      </c>
    </row>
    <row r="1029" spans="1:36">
      <c r="A1029" s="5">
        <v>43288</v>
      </c>
      <c r="B1029" s="3" t="s">
        <v>2462</v>
      </c>
      <c r="C1029" s="3" t="s">
        <v>2463</v>
      </c>
      <c r="D1029" s="3" t="s">
        <v>2463</v>
      </c>
      <c r="E1029" s="3" t="s">
        <v>2464</v>
      </c>
      <c r="F1029" s="3" t="s">
        <v>120</v>
      </c>
      <c r="G1029" s="3">
        <v>16</v>
      </c>
      <c r="H1029" s="3">
        <v>0</v>
      </c>
      <c r="I1029" s="3">
        <v>0</v>
      </c>
      <c r="J1029" s="3">
        <v>0</v>
      </c>
      <c r="K1029" s="3">
        <v>16</v>
      </c>
      <c r="L1029" s="3">
        <v>0</v>
      </c>
      <c r="M1029" s="3">
        <v>0</v>
      </c>
      <c r="N1029" s="3" t="s">
        <v>5218</v>
      </c>
      <c r="O1029" s="3">
        <v>16</v>
      </c>
      <c r="P1029" s="3">
        <v>26.26</v>
      </c>
      <c r="Q1029" s="3">
        <v>0</v>
      </c>
      <c r="R1029" s="3">
        <v>0</v>
      </c>
      <c r="S1029" s="3">
        <v>0</v>
      </c>
      <c r="T1029" s="3">
        <v>0</v>
      </c>
      <c r="U1029" s="3">
        <v>0</v>
      </c>
      <c r="V1029" s="3">
        <v>1</v>
      </c>
      <c r="W1029" s="3" t="s">
        <v>5227</v>
      </c>
      <c r="X1029" s="3">
        <v>22.98</v>
      </c>
      <c r="Y1029" s="3">
        <v>22.98</v>
      </c>
      <c r="Z1029" s="3">
        <v>22</v>
      </c>
      <c r="AA1029" s="3">
        <v>0</v>
      </c>
      <c r="AB1029" s="3" t="s">
        <v>5228</v>
      </c>
      <c r="AC1029" s="3">
        <v>0</v>
      </c>
      <c r="AD1029" s="3">
        <v>17.94</v>
      </c>
      <c r="AE1029" s="3">
        <v>364</v>
      </c>
      <c r="AF1029" s="3">
        <v>0</v>
      </c>
      <c r="AG1029" s="3">
        <v>354.855086</v>
      </c>
      <c r="AH1029" s="3">
        <v>0.0615384615384615</v>
      </c>
      <c r="AI1029" s="3" t="s">
        <v>5240</v>
      </c>
      <c r="AJ1029" s="3" t="s">
        <v>5222</v>
      </c>
    </row>
    <row r="1030" spans="1:36">
      <c r="A1030" s="5">
        <v>43288</v>
      </c>
      <c r="B1030" s="3" t="s">
        <v>2528</v>
      </c>
      <c r="C1030" s="3" t="s">
        <v>2529</v>
      </c>
      <c r="D1030" s="3" t="s">
        <v>2529</v>
      </c>
      <c r="E1030" s="3" t="s">
        <v>2530</v>
      </c>
      <c r="F1030" s="3" t="s">
        <v>120</v>
      </c>
      <c r="G1030" s="3">
        <v>3</v>
      </c>
      <c r="H1030" s="3">
        <v>0</v>
      </c>
      <c r="I1030" s="3">
        <v>3</v>
      </c>
      <c r="J1030" s="3">
        <v>0</v>
      </c>
      <c r="K1030" s="3">
        <v>0</v>
      </c>
      <c r="L1030" s="3">
        <v>0</v>
      </c>
      <c r="M1030" s="3">
        <v>0</v>
      </c>
      <c r="N1030" s="3" t="s">
        <v>5218</v>
      </c>
      <c r="O1030" s="3">
        <v>0</v>
      </c>
      <c r="P1030" s="3">
        <v>0</v>
      </c>
      <c r="Q1030" s="3">
        <v>0</v>
      </c>
      <c r="R1030" s="3">
        <v>0</v>
      </c>
      <c r="S1030" s="3">
        <v>0</v>
      </c>
      <c r="T1030" s="3">
        <v>3</v>
      </c>
      <c r="U1030" s="3">
        <v>6</v>
      </c>
      <c r="V1030" s="3">
        <v>8</v>
      </c>
      <c r="W1030" s="3"/>
      <c r="X1030" s="3">
        <v>24.98</v>
      </c>
      <c r="Y1030" s="3">
        <v>24.98</v>
      </c>
      <c r="Z1030" s="3">
        <v>24.98</v>
      </c>
      <c r="AA1030" s="3">
        <v>0</v>
      </c>
      <c r="AB1030" s="3" t="s">
        <v>5223</v>
      </c>
      <c r="AC1030" s="3">
        <v>3</v>
      </c>
      <c r="AD1030" s="3">
        <v>24.98</v>
      </c>
      <c r="AE1030" s="3">
        <v>0</v>
      </c>
      <c r="AF1030" s="3">
        <v>0</v>
      </c>
      <c r="AG1030" s="3">
        <v>0</v>
      </c>
      <c r="AH1030" s="3">
        <v>1.33333333333333</v>
      </c>
      <c r="AI1030" s="3" t="s">
        <v>5531</v>
      </c>
      <c r="AJ1030" s="3" t="s">
        <v>5222</v>
      </c>
    </row>
    <row r="1031" spans="1:36">
      <c r="A1031" s="5">
        <v>43288</v>
      </c>
      <c r="B1031" s="3" t="s">
        <v>2011</v>
      </c>
      <c r="C1031" s="3" t="s">
        <v>184</v>
      </c>
      <c r="D1031" s="3" t="s">
        <v>184</v>
      </c>
      <c r="E1031" s="3" t="s">
        <v>2012</v>
      </c>
      <c r="F1031" s="3" t="s">
        <v>120</v>
      </c>
      <c r="G1031" s="3">
        <v>31</v>
      </c>
      <c r="H1031" s="3">
        <v>0</v>
      </c>
      <c r="I1031" s="3">
        <v>2</v>
      </c>
      <c r="J1031" s="3">
        <v>0</v>
      </c>
      <c r="K1031" s="3">
        <v>29</v>
      </c>
      <c r="L1031" s="3">
        <v>0</v>
      </c>
      <c r="M1031" s="3">
        <v>0</v>
      </c>
      <c r="N1031" s="3" t="s">
        <v>5218</v>
      </c>
      <c r="O1031" s="3">
        <v>29</v>
      </c>
      <c r="P1031" s="3">
        <v>54.89</v>
      </c>
      <c r="Q1031" s="3">
        <v>0</v>
      </c>
      <c r="R1031" s="3">
        <v>0</v>
      </c>
      <c r="S1031" s="3">
        <v>0</v>
      </c>
      <c r="T1031" s="3">
        <v>1</v>
      </c>
      <c r="U1031" s="3">
        <v>4</v>
      </c>
      <c r="V1031" s="3">
        <v>7</v>
      </c>
      <c r="W1031" s="3" t="s">
        <v>5227</v>
      </c>
      <c r="X1031" s="3">
        <v>20.98</v>
      </c>
      <c r="Y1031" s="3">
        <v>20.98</v>
      </c>
      <c r="Z1031" s="3">
        <v>20.98</v>
      </c>
      <c r="AA1031" s="3">
        <v>0</v>
      </c>
      <c r="AB1031" s="3" t="s">
        <v>5228</v>
      </c>
      <c r="AC1031" s="3">
        <v>1</v>
      </c>
      <c r="AD1031" s="3">
        <v>17.19</v>
      </c>
      <c r="AE1031" s="3">
        <v>294</v>
      </c>
      <c r="AF1031" s="3">
        <v>0</v>
      </c>
      <c r="AG1031" s="3">
        <v>803.216744</v>
      </c>
      <c r="AH1031" s="3">
        <v>0.210526315789473</v>
      </c>
      <c r="AI1031" s="3" t="s">
        <v>5532</v>
      </c>
      <c r="AJ1031" s="3" t="s">
        <v>5222</v>
      </c>
    </row>
    <row r="1032" spans="1:36">
      <c r="A1032" s="5">
        <v>43288</v>
      </c>
      <c r="B1032" s="3" t="s">
        <v>2922</v>
      </c>
      <c r="C1032" s="3" t="s">
        <v>1317</v>
      </c>
      <c r="D1032" s="3" t="s">
        <v>1317</v>
      </c>
      <c r="E1032" s="3" t="s">
        <v>1318</v>
      </c>
      <c r="F1032" s="3" t="s">
        <v>120</v>
      </c>
      <c r="G1032" s="3">
        <v>39</v>
      </c>
      <c r="H1032" s="3">
        <v>0</v>
      </c>
      <c r="I1032" s="3">
        <v>39</v>
      </c>
      <c r="J1032" s="3">
        <v>0</v>
      </c>
      <c r="K1032" s="3">
        <v>0</v>
      </c>
      <c r="L1032" s="3">
        <v>0</v>
      </c>
      <c r="M1032" s="3">
        <v>0</v>
      </c>
      <c r="N1032" s="3" t="s">
        <v>5218</v>
      </c>
      <c r="O1032" s="3">
        <v>0</v>
      </c>
      <c r="P1032" s="3">
        <v>0</v>
      </c>
      <c r="Q1032" s="3">
        <v>0</v>
      </c>
      <c r="R1032" s="3">
        <v>0</v>
      </c>
      <c r="S1032" s="3">
        <v>8</v>
      </c>
      <c r="T1032" s="3">
        <v>36</v>
      </c>
      <c r="U1032" s="3">
        <v>69</v>
      </c>
      <c r="V1032" s="3">
        <v>75</v>
      </c>
      <c r="W1032" s="3"/>
      <c r="X1032" s="3">
        <v>22.98</v>
      </c>
      <c r="Y1032" s="3">
        <v>22.98</v>
      </c>
      <c r="Z1032" s="3">
        <v>22.98</v>
      </c>
      <c r="AA1032" s="3">
        <v>0</v>
      </c>
      <c r="AB1032" s="3" t="s">
        <v>5223</v>
      </c>
      <c r="AC1032" s="3">
        <v>44</v>
      </c>
      <c r="AD1032" s="3">
        <v>22.98</v>
      </c>
      <c r="AE1032" s="3">
        <v>0</v>
      </c>
      <c r="AF1032" s="3">
        <v>0</v>
      </c>
      <c r="AG1032" s="3">
        <v>0</v>
      </c>
      <c r="AH1032" s="3">
        <v>4</v>
      </c>
      <c r="AI1032" s="3" t="s">
        <v>5533</v>
      </c>
      <c r="AJ1032" s="3" t="s">
        <v>5222</v>
      </c>
    </row>
    <row r="1033" spans="1:36">
      <c r="A1033" s="5">
        <v>43288</v>
      </c>
      <c r="B1033" s="3" t="s">
        <v>223</v>
      </c>
      <c r="C1033" s="3" t="s">
        <v>224</v>
      </c>
      <c r="D1033" s="3" t="s">
        <v>224</v>
      </c>
      <c r="E1033" s="3" t="s">
        <v>225</v>
      </c>
      <c r="F1033" s="3" t="s">
        <v>120</v>
      </c>
      <c r="G1033" s="3">
        <v>1</v>
      </c>
      <c r="H1033" s="3">
        <v>0</v>
      </c>
      <c r="I1033" s="3">
        <v>0</v>
      </c>
      <c r="J1033" s="3">
        <v>1</v>
      </c>
      <c r="K1033" s="3">
        <v>0</v>
      </c>
      <c r="L1033" s="3">
        <v>0</v>
      </c>
      <c r="M1033" s="3">
        <v>0</v>
      </c>
      <c r="N1033" s="3" t="s">
        <v>5218</v>
      </c>
      <c r="O1033" s="3">
        <v>0</v>
      </c>
      <c r="P1033" s="3">
        <v>0</v>
      </c>
      <c r="Q1033" s="3">
        <v>0</v>
      </c>
      <c r="R1033" s="3">
        <v>0</v>
      </c>
      <c r="S1033" s="3">
        <v>0</v>
      </c>
      <c r="T1033" s="3">
        <v>0</v>
      </c>
      <c r="U1033" s="3">
        <v>0</v>
      </c>
      <c r="V1033" s="3">
        <v>0</v>
      </c>
      <c r="W1033" s="3" t="s">
        <v>5219</v>
      </c>
      <c r="X1033" s="3">
        <v>65.98</v>
      </c>
      <c r="Y1033" s="3">
        <v>65.98</v>
      </c>
      <c r="Z1033" s="3">
        <v>65.98</v>
      </c>
      <c r="AA1033" s="3">
        <v>0</v>
      </c>
      <c r="AB1033" s="3" t="s">
        <v>5220</v>
      </c>
      <c r="AC1033" s="3">
        <v>0</v>
      </c>
      <c r="AD1033" s="3">
        <v>61.32</v>
      </c>
      <c r="AE1033" s="3">
        <v>98</v>
      </c>
      <c r="AF1033" s="3">
        <v>0</v>
      </c>
      <c r="AG1033" s="3">
        <v>102.089624</v>
      </c>
      <c r="AH1033" s="3">
        <v>0</v>
      </c>
      <c r="AI1033" s="3" t="s">
        <v>5534</v>
      </c>
      <c r="AJ1033" s="3" t="s">
        <v>5222</v>
      </c>
    </row>
    <row r="1034" spans="1:36">
      <c r="A1034" s="5">
        <v>43288</v>
      </c>
      <c r="B1034" s="3" t="s">
        <v>4408</v>
      </c>
      <c r="C1034" s="3" t="s">
        <v>3486</v>
      </c>
      <c r="D1034" s="3" t="s">
        <v>3486</v>
      </c>
      <c r="E1034" s="3" t="s">
        <v>3487</v>
      </c>
      <c r="F1034" s="3" t="s">
        <v>120</v>
      </c>
      <c r="G1034" s="3">
        <v>3</v>
      </c>
      <c r="H1034" s="3">
        <v>0</v>
      </c>
      <c r="I1034" s="3">
        <v>0</v>
      </c>
      <c r="J1034" s="3">
        <v>0</v>
      </c>
      <c r="K1034" s="3">
        <v>3</v>
      </c>
      <c r="L1034" s="3">
        <v>0</v>
      </c>
      <c r="M1034" s="3">
        <v>0</v>
      </c>
      <c r="N1034" s="3" t="s">
        <v>5218</v>
      </c>
      <c r="O1034" s="3">
        <v>3</v>
      </c>
      <c r="P1034" s="3">
        <v>4.64</v>
      </c>
      <c r="Q1034" s="3">
        <v>0</v>
      </c>
      <c r="R1034" s="3">
        <v>0</v>
      </c>
      <c r="S1034" s="3">
        <v>0</v>
      </c>
      <c r="T1034" s="3">
        <v>0</v>
      </c>
      <c r="U1034" s="3">
        <v>1</v>
      </c>
      <c r="V1034" s="3">
        <v>1</v>
      </c>
      <c r="W1034" s="3" t="s">
        <v>5227</v>
      </c>
      <c r="X1034" s="3">
        <v>24.98</v>
      </c>
      <c r="Y1034" s="3">
        <v>24.98</v>
      </c>
      <c r="Z1034" s="3">
        <v>24.98</v>
      </c>
      <c r="AA1034" s="3">
        <v>0</v>
      </c>
      <c r="AB1034" s="3" t="s">
        <v>5223</v>
      </c>
      <c r="AC1034" s="3">
        <v>3</v>
      </c>
      <c r="AD1034" s="3">
        <v>24.98</v>
      </c>
      <c r="AE1034" s="3">
        <v>0</v>
      </c>
      <c r="AF1034" s="3">
        <v>0</v>
      </c>
      <c r="AG1034" s="3">
        <v>0</v>
      </c>
      <c r="AH1034" s="3">
        <v>0.285714285714285</v>
      </c>
      <c r="AI1034" s="3" t="s">
        <v>5535</v>
      </c>
      <c r="AJ1034" s="3" t="s">
        <v>5222</v>
      </c>
    </row>
    <row r="1035" spans="1:36">
      <c r="A1035" s="5">
        <v>43288</v>
      </c>
      <c r="B1035" s="3" t="s">
        <v>4225</v>
      </c>
      <c r="C1035" s="3" t="s">
        <v>4226</v>
      </c>
      <c r="D1035" s="3" t="s">
        <v>4226</v>
      </c>
      <c r="E1035" s="3" t="s">
        <v>4227</v>
      </c>
      <c r="F1035" s="3" t="s">
        <v>120</v>
      </c>
      <c r="G1035" s="3">
        <v>19</v>
      </c>
      <c r="H1035" s="3">
        <v>0</v>
      </c>
      <c r="I1035" s="3">
        <v>19</v>
      </c>
      <c r="J1035" s="3">
        <v>0</v>
      </c>
      <c r="K1035" s="3">
        <v>0</v>
      </c>
      <c r="L1035" s="3">
        <v>0</v>
      </c>
      <c r="M1035" s="3">
        <v>0</v>
      </c>
      <c r="N1035" s="3" t="s">
        <v>5218</v>
      </c>
      <c r="O1035" s="3">
        <v>0</v>
      </c>
      <c r="P1035" s="3">
        <v>0</v>
      </c>
      <c r="Q1035" s="3">
        <v>0</v>
      </c>
      <c r="R1035" s="3">
        <v>0</v>
      </c>
      <c r="S1035" s="3">
        <v>1</v>
      </c>
      <c r="T1035" s="3">
        <v>4</v>
      </c>
      <c r="U1035" s="3">
        <v>7</v>
      </c>
      <c r="V1035" s="3">
        <v>11</v>
      </c>
      <c r="W1035" s="3"/>
      <c r="X1035" s="3">
        <v>22.98</v>
      </c>
      <c r="Y1035" s="3">
        <v>22.98</v>
      </c>
      <c r="Z1035" s="3">
        <v>22.98</v>
      </c>
      <c r="AA1035" s="3">
        <v>0</v>
      </c>
      <c r="AB1035" s="3" t="s">
        <v>5223</v>
      </c>
      <c r="AC1035" s="3">
        <v>19</v>
      </c>
      <c r="AD1035" s="3">
        <v>22.98</v>
      </c>
      <c r="AE1035" s="3">
        <v>0</v>
      </c>
      <c r="AF1035" s="3">
        <v>0</v>
      </c>
      <c r="AG1035" s="3">
        <v>0</v>
      </c>
      <c r="AH1035" s="3">
        <v>0.956521739130434</v>
      </c>
      <c r="AI1035" s="3" t="s">
        <v>5226</v>
      </c>
      <c r="AJ1035" s="3" t="s">
        <v>5222</v>
      </c>
    </row>
    <row r="1036" spans="1:36">
      <c r="A1036" s="5">
        <v>43288</v>
      </c>
      <c r="B1036" s="3" t="s">
        <v>1530</v>
      </c>
      <c r="C1036" s="3" t="s">
        <v>92</v>
      </c>
      <c r="D1036" s="3" t="s">
        <v>92</v>
      </c>
      <c r="E1036" s="3" t="s">
        <v>1531</v>
      </c>
      <c r="F1036" s="3" t="s">
        <v>120</v>
      </c>
      <c r="G1036" s="3">
        <v>50</v>
      </c>
      <c r="H1036" s="3">
        <v>0</v>
      </c>
      <c r="I1036" s="3">
        <v>1</v>
      </c>
      <c r="J1036" s="3">
        <v>37</v>
      </c>
      <c r="K1036" s="3">
        <v>12</v>
      </c>
      <c r="L1036" s="3">
        <v>0</v>
      </c>
      <c r="M1036" s="3">
        <v>0</v>
      </c>
      <c r="N1036" s="3" t="s">
        <v>5218</v>
      </c>
      <c r="O1036" s="3">
        <v>48</v>
      </c>
      <c r="P1036" s="3">
        <v>76.5</v>
      </c>
      <c r="Q1036" s="3">
        <v>0</v>
      </c>
      <c r="R1036" s="3">
        <v>0</v>
      </c>
      <c r="S1036" s="3">
        <v>1</v>
      </c>
      <c r="T1036" s="3">
        <v>8</v>
      </c>
      <c r="U1036" s="3">
        <v>16</v>
      </c>
      <c r="V1036" s="3">
        <v>20</v>
      </c>
      <c r="W1036" s="3"/>
      <c r="X1036" s="3">
        <v>22.98</v>
      </c>
      <c r="Y1036" s="3">
        <v>22.98</v>
      </c>
      <c r="Z1036" s="3">
        <v>22.98</v>
      </c>
      <c r="AA1036" s="3">
        <v>0</v>
      </c>
      <c r="AB1036" s="3" t="s">
        <v>5223</v>
      </c>
      <c r="AC1036" s="3">
        <v>51</v>
      </c>
      <c r="AD1036" s="3">
        <v>22.98</v>
      </c>
      <c r="AE1036" s="3">
        <v>0</v>
      </c>
      <c r="AF1036" s="3">
        <v>0</v>
      </c>
      <c r="AG1036" s="3">
        <v>0</v>
      </c>
      <c r="AH1036" s="3">
        <v>0.331950207468879</v>
      </c>
      <c r="AI1036" s="3" t="s">
        <v>5536</v>
      </c>
      <c r="AJ1036" s="3" t="s">
        <v>5222</v>
      </c>
    </row>
    <row r="1037" spans="1:36">
      <c r="A1037" s="5">
        <v>43288</v>
      </c>
      <c r="B1037" s="3" t="s">
        <v>1244</v>
      </c>
      <c r="C1037" s="3" t="s">
        <v>1245</v>
      </c>
      <c r="D1037" s="3" t="s">
        <v>529</v>
      </c>
      <c r="E1037" s="3" t="s">
        <v>778</v>
      </c>
      <c r="F1037" s="3" t="s">
        <v>120</v>
      </c>
      <c r="G1037" s="3">
        <v>17</v>
      </c>
      <c r="H1037" s="3">
        <v>0</v>
      </c>
      <c r="I1037" s="3">
        <v>17</v>
      </c>
      <c r="J1037" s="3">
        <v>0</v>
      </c>
      <c r="K1037" s="3">
        <v>0</v>
      </c>
      <c r="L1037" s="3">
        <v>0</v>
      </c>
      <c r="M1037" s="3">
        <v>0</v>
      </c>
      <c r="N1037" s="3" t="s">
        <v>5218</v>
      </c>
      <c r="O1037" s="3">
        <v>0</v>
      </c>
      <c r="P1037" s="3">
        <v>0</v>
      </c>
      <c r="Q1037" s="3">
        <v>0</v>
      </c>
      <c r="R1037" s="3">
        <v>0</v>
      </c>
      <c r="S1037" s="3">
        <v>1</v>
      </c>
      <c r="T1037" s="3">
        <v>3</v>
      </c>
      <c r="U1037" s="3">
        <v>3</v>
      </c>
      <c r="V1037" s="3">
        <v>3</v>
      </c>
      <c r="W1037" s="3"/>
      <c r="X1037" s="3">
        <v>39.98</v>
      </c>
      <c r="Y1037" s="3">
        <v>22.98</v>
      </c>
      <c r="Z1037" s="3">
        <v>22.98</v>
      </c>
      <c r="AA1037" s="3">
        <v>0</v>
      </c>
      <c r="AB1037" s="3" t="s">
        <v>5223</v>
      </c>
      <c r="AC1037" s="3">
        <v>16</v>
      </c>
      <c r="AD1037" s="3">
        <v>22.98</v>
      </c>
      <c r="AE1037" s="3">
        <v>0</v>
      </c>
      <c r="AF1037" s="3">
        <v>0</v>
      </c>
      <c r="AG1037" s="3">
        <v>0</v>
      </c>
      <c r="AH1037" s="3">
        <v>0.769230769230769</v>
      </c>
      <c r="AI1037" s="3" t="s">
        <v>5225</v>
      </c>
      <c r="AJ1037" s="3" t="s">
        <v>5222</v>
      </c>
    </row>
    <row r="1038" spans="1:36">
      <c r="A1038" s="5">
        <v>43288</v>
      </c>
      <c r="B1038" s="3" t="s">
        <v>2262</v>
      </c>
      <c r="C1038" s="3" t="s">
        <v>2263</v>
      </c>
      <c r="D1038" s="3" t="s">
        <v>2263</v>
      </c>
      <c r="E1038" s="3" t="s">
        <v>2264</v>
      </c>
      <c r="F1038" s="3" t="s">
        <v>120</v>
      </c>
      <c r="G1038" s="3">
        <v>1</v>
      </c>
      <c r="H1038" s="3">
        <v>0</v>
      </c>
      <c r="I1038" s="3">
        <v>1</v>
      </c>
      <c r="J1038" s="3">
        <v>0</v>
      </c>
      <c r="K1038" s="3">
        <v>0</v>
      </c>
      <c r="L1038" s="3">
        <v>0</v>
      </c>
      <c r="M1038" s="3">
        <v>0</v>
      </c>
      <c r="N1038" s="3" t="s">
        <v>5218</v>
      </c>
      <c r="O1038" s="3">
        <v>0</v>
      </c>
      <c r="P1038" s="3">
        <v>0</v>
      </c>
      <c r="Q1038" s="3">
        <v>0</v>
      </c>
      <c r="R1038" s="3">
        <v>0</v>
      </c>
      <c r="S1038" s="3">
        <v>0</v>
      </c>
      <c r="T1038" s="3">
        <v>7</v>
      </c>
      <c r="U1038" s="3">
        <v>15</v>
      </c>
      <c r="V1038" s="3">
        <v>17</v>
      </c>
      <c r="W1038" s="3"/>
      <c r="X1038" s="3"/>
      <c r="Y1038" s="3"/>
      <c r="Z1038" s="3">
        <v>-1</v>
      </c>
      <c r="AA1038" s="3">
        <v>-1</v>
      </c>
      <c r="AB1038" s="3" t="s">
        <v>5244</v>
      </c>
      <c r="AC1038" s="3">
        <v>0</v>
      </c>
      <c r="AD1038" s="3">
        <v>0</v>
      </c>
      <c r="AE1038" s="3">
        <v>0</v>
      </c>
      <c r="AF1038" s="3">
        <v>0</v>
      </c>
      <c r="AG1038" s="3">
        <v>0</v>
      </c>
      <c r="AH1038" s="3">
        <v>1.7</v>
      </c>
      <c r="AI1038" s="3" t="s">
        <v>5313</v>
      </c>
      <c r="AJ1038" s="3" t="s">
        <v>5222</v>
      </c>
    </row>
    <row r="1039" spans="1:36">
      <c r="A1039" s="5">
        <v>43288</v>
      </c>
      <c r="B1039" s="3" t="s">
        <v>4778</v>
      </c>
      <c r="C1039" s="3" t="s">
        <v>4779</v>
      </c>
      <c r="D1039" s="3" t="s">
        <v>4779</v>
      </c>
      <c r="E1039" s="3" t="s">
        <v>4780</v>
      </c>
      <c r="F1039" s="3" t="s">
        <v>120</v>
      </c>
      <c r="G1039" s="3">
        <v>23</v>
      </c>
      <c r="H1039" s="3">
        <v>0</v>
      </c>
      <c r="I1039" s="3">
        <v>23</v>
      </c>
      <c r="J1039" s="3">
        <v>0</v>
      </c>
      <c r="K1039" s="3">
        <v>0</v>
      </c>
      <c r="L1039" s="3">
        <v>0</v>
      </c>
      <c r="M1039" s="3">
        <v>0</v>
      </c>
      <c r="N1039" s="3" t="s">
        <v>5218</v>
      </c>
      <c r="O1039" s="3">
        <v>0</v>
      </c>
      <c r="P1039" s="3">
        <v>0</v>
      </c>
      <c r="Q1039" s="3">
        <v>0</v>
      </c>
      <c r="R1039" s="3">
        <v>0</v>
      </c>
      <c r="S1039" s="3">
        <v>1</v>
      </c>
      <c r="T1039" s="3">
        <v>5</v>
      </c>
      <c r="U1039" s="3">
        <v>6</v>
      </c>
      <c r="V1039" s="3">
        <v>8</v>
      </c>
      <c r="W1039" s="3"/>
      <c r="X1039" s="3">
        <v>39.98</v>
      </c>
      <c r="Y1039" s="3">
        <v>21.98</v>
      </c>
      <c r="Z1039" s="3">
        <v>21.98</v>
      </c>
      <c r="AA1039" s="3">
        <v>0</v>
      </c>
      <c r="AB1039" s="3" t="s">
        <v>5223</v>
      </c>
      <c r="AC1039" s="3">
        <v>24</v>
      </c>
      <c r="AD1039" s="3">
        <v>21.98</v>
      </c>
      <c r="AE1039" s="3">
        <v>0</v>
      </c>
      <c r="AF1039" s="3">
        <v>0</v>
      </c>
      <c r="AG1039" s="3">
        <v>0</v>
      </c>
      <c r="AH1039" s="3">
        <v>0.790123456790123</v>
      </c>
      <c r="AI1039" s="3" t="s">
        <v>5261</v>
      </c>
      <c r="AJ1039" s="3" t="s">
        <v>5222</v>
      </c>
    </row>
    <row r="1040" spans="1:36">
      <c r="A1040" s="5">
        <v>43288</v>
      </c>
      <c r="B1040" s="3" t="s">
        <v>3038</v>
      </c>
      <c r="C1040" s="3" t="s">
        <v>3039</v>
      </c>
      <c r="D1040" s="3" t="s">
        <v>3039</v>
      </c>
      <c r="E1040" s="3" t="s">
        <v>3040</v>
      </c>
      <c r="F1040" s="3" t="s">
        <v>120</v>
      </c>
      <c r="G1040" s="3">
        <v>30</v>
      </c>
      <c r="H1040" s="3">
        <v>0</v>
      </c>
      <c r="I1040" s="3">
        <v>30</v>
      </c>
      <c r="J1040" s="3">
        <v>0</v>
      </c>
      <c r="K1040" s="3">
        <v>0</v>
      </c>
      <c r="L1040" s="3">
        <v>0</v>
      </c>
      <c r="M1040" s="3">
        <v>0</v>
      </c>
      <c r="N1040" s="3" t="s">
        <v>5218</v>
      </c>
      <c r="O1040" s="3">
        <v>0</v>
      </c>
      <c r="P1040" s="3">
        <v>0</v>
      </c>
      <c r="Q1040" s="3">
        <v>0</v>
      </c>
      <c r="R1040" s="3">
        <v>0</v>
      </c>
      <c r="S1040" s="3">
        <v>0</v>
      </c>
      <c r="T1040" s="3">
        <v>3</v>
      </c>
      <c r="U1040" s="3">
        <v>13</v>
      </c>
      <c r="V1040" s="3">
        <v>20</v>
      </c>
      <c r="W1040" s="3" t="s">
        <v>5227</v>
      </c>
      <c r="X1040" s="3">
        <v>23.98</v>
      </c>
      <c r="Y1040" s="3">
        <v>23.98</v>
      </c>
      <c r="Z1040" s="3">
        <v>23.98</v>
      </c>
      <c r="AA1040" s="3">
        <v>0</v>
      </c>
      <c r="AB1040" s="3" t="s">
        <v>5223</v>
      </c>
      <c r="AC1040" s="3">
        <v>30</v>
      </c>
      <c r="AD1040" s="3">
        <v>23.98</v>
      </c>
      <c r="AE1040" s="3">
        <v>0</v>
      </c>
      <c r="AF1040" s="3">
        <v>0</v>
      </c>
      <c r="AG1040" s="3">
        <v>0</v>
      </c>
      <c r="AH1040" s="3">
        <v>0.727272727272727</v>
      </c>
      <c r="AI1040" s="3" t="s">
        <v>5537</v>
      </c>
      <c r="AJ1040" s="3" t="s">
        <v>5222</v>
      </c>
    </row>
    <row r="1041" spans="1:36">
      <c r="A1041" s="5">
        <v>43288</v>
      </c>
      <c r="B1041" s="3" t="s">
        <v>5118</v>
      </c>
      <c r="C1041" s="3" t="s">
        <v>5119</v>
      </c>
      <c r="D1041" s="3" t="s">
        <v>5119</v>
      </c>
      <c r="E1041" s="3" t="s">
        <v>5120</v>
      </c>
      <c r="F1041" s="3" t="s">
        <v>120</v>
      </c>
      <c r="G1041" s="3">
        <v>6</v>
      </c>
      <c r="H1041" s="3">
        <v>0</v>
      </c>
      <c r="I1041" s="3">
        <v>0</v>
      </c>
      <c r="J1041" s="3">
        <v>4</v>
      </c>
      <c r="K1041" s="3">
        <v>2</v>
      </c>
      <c r="L1041" s="3">
        <v>0</v>
      </c>
      <c r="M1041" s="3">
        <v>0</v>
      </c>
      <c r="N1041" s="3" t="s">
        <v>5218</v>
      </c>
      <c r="O1041" s="3">
        <v>6</v>
      </c>
      <c r="P1041" s="3">
        <v>17.04</v>
      </c>
      <c r="Q1041" s="3">
        <v>0</v>
      </c>
      <c r="R1041" s="3">
        <v>0</v>
      </c>
      <c r="S1041" s="3">
        <v>0</v>
      </c>
      <c r="T1041" s="3">
        <v>0</v>
      </c>
      <c r="U1041" s="3">
        <v>0</v>
      </c>
      <c r="V1041" s="3">
        <v>1</v>
      </c>
      <c r="W1041" s="3" t="s">
        <v>5219</v>
      </c>
      <c r="X1041" s="3">
        <v>29.98</v>
      </c>
      <c r="Y1041" s="3">
        <v>29.98</v>
      </c>
      <c r="Z1041" s="3">
        <v>29.98</v>
      </c>
      <c r="AA1041" s="3">
        <v>0</v>
      </c>
      <c r="AB1041" s="3" t="s">
        <v>5228</v>
      </c>
      <c r="AC1041" s="3">
        <v>0</v>
      </c>
      <c r="AD1041" s="3">
        <v>23.27</v>
      </c>
      <c r="AE1041" s="3">
        <v>259</v>
      </c>
      <c r="AF1041" s="3">
        <v>0</v>
      </c>
      <c r="AG1041" s="3">
        <v>229.044703</v>
      </c>
      <c r="AH1041" s="3">
        <v>0.16</v>
      </c>
      <c r="AI1041" s="3" t="s">
        <v>5538</v>
      </c>
      <c r="AJ1041" s="3" t="s">
        <v>5222</v>
      </c>
    </row>
    <row r="1042" spans="1:36">
      <c r="A1042" s="5">
        <v>43288</v>
      </c>
      <c r="B1042" s="3" t="s">
        <v>436</v>
      </c>
      <c r="C1042" s="3" t="s">
        <v>437</v>
      </c>
      <c r="D1042" s="3" t="s">
        <v>438</v>
      </c>
      <c r="E1042" s="3" t="s">
        <v>439</v>
      </c>
      <c r="F1042" s="3" t="s">
        <v>120</v>
      </c>
      <c r="G1042" s="3">
        <v>9</v>
      </c>
      <c r="H1042" s="3">
        <v>0</v>
      </c>
      <c r="I1042" s="3">
        <v>9</v>
      </c>
      <c r="J1042" s="3">
        <v>0</v>
      </c>
      <c r="K1042" s="3">
        <v>0</v>
      </c>
      <c r="L1042" s="3">
        <v>0</v>
      </c>
      <c r="M1042" s="3">
        <v>0</v>
      </c>
      <c r="N1042" s="3" t="s">
        <v>5218</v>
      </c>
      <c r="O1042" s="3">
        <v>0</v>
      </c>
      <c r="P1042" s="3">
        <v>0</v>
      </c>
      <c r="Q1042" s="3">
        <v>0</v>
      </c>
      <c r="R1042" s="3">
        <v>0</v>
      </c>
      <c r="S1042" s="3">
        <v>1</v>
      </c>
      <c r="T1042" s="3">
        <v>1</v>
      </c>
      <c r="U1042" s="3">
        <v>1</v>
      </c>
      <c r="V1042" s="3">
        <v>1</v>
      </c>
      <c r="W1042" s="3"/>
      <c r="X1042" s="3">
        <v>23.98</v>
      </c>
      <c r="Y1042" s="3">
        <v>23.98</v>
      </c>
      <c r="Z1042" s="3">
        <v>23.98</v>
      </c>
      <c r="AA1042" s="3">
        <v>0</v>
      </c>
      <c r="AB1042" s="3" t="s">
        <v>5223</v>
      </c>
      <c r="AC1042" s="3">
        <v>10</v>
      </c>
      <c r="AD1042" s="3">
        <v>22.98</v>
      </c>
      <c r="AE1042" s="3">
        <v>0</v>
      </c>
      <c r="AF1042" s="3">
        <v>0</v>
      </c>
      <c r="AG1042" s="3">
        <v>0</v>
      </c>
      <c r="AH1042" s="3">
        <v>12.3636363636363</v>
      </c>
      <c r="AI1042" s="3" t="s">
        <v>5257</v>
      </c>
      <c r="AJ1042" s="3" t="s">
        <v>5222</v>
      </c>
    </row>
    <row r="1043" spans="1:36">
      <c r="A1043" s="5">
        <v>43288</v>
      </c>
      <c r="B1043" s="3" t="s">
        <v>4507</v>
      </c>
      <c r="C1043" s="3" t="s">
        <v>3755</v>
      </c>
      <c r="D1043" s="3" t="s">
        <v>3755</v>
      </c>
      <c r="E1043" s="3" t="s">
        <v>3756</v>
      </c>
      <c r="F1043" s="3" t="s">
        <v>120</v>
      </c>
      <c r="G1043" s="3">
        <v>9</v>
      </c>
      <c r="H1043" s="3">
        <v>0</v>
      </c>
      <c r="I1043" s="3">
        <v>0</v>
      </c>
      <c r="J1043" s="3">
        <v>0</v>
      </c>
      <c r="K1043" s="3">
        <v>9</v>
      </c>
      <c r="L1043" s="3">
        <v>0</v>
      </c>
      <c r="M1043" s="3">
        <v>0</v>
      </c>
      <c r="N1043" s="3" t="s">
        <v>5218</v>
      </c>
      <c r="O1043" s="3">
        <v>9</v>
      </c>
      <c r="P1043" s="3">
        <v>8.96</v>
      </c>
      <c r="Q1043" s="3">
        <v>0</v>
      </c>
      <c r="R1043" s="3">
        <v>0</v>
      </c>
      <c r="S1043" s="3">
        <v>0</v>
      </c>
      <c r="T1043" s="3">
        <v>0</v>
      </c>
      <c r="U1043" s="3">
        <v>0</v>
      </c>
      <c r="V1043" s="3">
        <v>0</v>
      </c>
      <c r="W1043" s="3" t="s">
        <v>5227</v>
      </c>
      <c r="X1043" s="3">
        <v>24.98</v>
      </c>
      <c r="Y1043" s="3">
        <v>24.98</v>
      </c>
      <c r="Z1043" s="3">
        <v>24.98</v>
      </c>
      <c r="AA1043" s="3">
        <v>0</v>
      </c>
      <c r="AB1043" s="3" t="s">
        <v>5228</v>
      </c>
      <c r="AC1043" s="3">
        <v>5</v>
      </c>
      <c r="AD1043" s="3">
        <v>23.59</v>
      </c>
      <c r="AE1043" s="3">
        <v>21</v>
      </c>
      <c r="AF1043" s="3">
        <v>0</v>
      </c>
      <c r="AG1043" s="3">
        <v>213.125254</v>
      </c>
      <c r="AH1043" s="3">
        <v>0</v>
      </c>
      <c r="AI1043" s="3" t="s">
        <v>5452</v>
      </c>
      <c r="AJ1043" s="3" t="s">
        <v>5222</v>
      </c>
    </row>
    <row r="1044" spans="1:36">
      <c r="A1044" s="5">
        <v>43288</v>
      </c>
      <c r="B1044" s="3" t="s">
        <v>2298</v>
      </c>
      <c r="C1044" s="3" t="s">
        <v>2299</v>
      </c>
      <c r="D1044" s="3" t="s">
        <v>2299</v>
      </c>
      <c r="E1044" s="3" t="s">
        <v>2300</v>
      </c>
      <c r="F1044" s="3" t="s">
        <v>120</v>
      </c>
      <c r="G1044" s="3">
        <v>8</v>
      </c>
      <c r="H1044" s="3">
        <v>0</v>
      </c>
      <c r="I1044" s="3">
        <v>1</v>
      </c>
      <c r="J1044" s="3">
        <v>7</v>
      </c>
      <c r="K1044" s="3">
        <v>0</v>
      </c>
      <c r="L1044" s="3">
        <v>0</v>
      </c>
      <c r="M1044" s="3">
        <v>0</v>
      </c>
      <c r="N1044" s="3" t="s">
        <v>5218</v>
      </c>
      <c r="O1044" s="3">
        <v>0</v>
      </c>
      <c r="P1044" s="3">
        <v>0</v>
      </c>
      <c r="Q1044" s="3">
        <v>0</v>
      </c>
      <c r="R1044" s="3">
        <v>0</v>
      </c>
      <c r="S1044" s="3">
        <v>0</v>
      </c>
      <c r="T1044" s="3">
        <v>0</v>
      </c>
      <c r="U1044" s="3">
        <v>1</v>
      </c>
      <c r="V1044" s="3">
        <v>1</v>
      </c>
      <c r="W1044" s="3" t="s">
        <v>5227</v>
      </c>
      <c r="X1044" s="3">
        <v>22.98</v>
      </c>
      <c r="Y1044" s="3">
        <v>22.98</v>
      </c>
      <c r="Z1044" s="3">
        <v>22.98</v>
      </c>
      <c r="AA1044" s="3">
        <v>0</v>
      </c>
      <c r="AB1044" s="3" t="s">
        <v>5228</v>
      </c>
      <c r="AC1044" s="3">
        <v>0</v>
      </c>
      <c r="AD1044" s="3">
        <v>18.58</v>
      </c>
      <c r="AE1044" s="3">
        <v>315</v>
      </c>
      <c r="AF1044" s="3">
        <v>0</v>
      </c>
      <c r="AG1044" s="3">
        <v>238.329309</v>
      </c>
      <c r="AH1044" s="3">
        <v>0.125</v>
      </c>
      <c r="AI1044" s="3" t="s">
        <v>5233</v>
      </c>
      <c r="AJ1044" s="3" t="s">
        <v>5222</v>
      </c>
    </row>
    <row r="1045" spans="1:36">
      <c r="A1045" s="5">
        <v>43288</v>
      </c>
      <c r="B1045" s="3" t="s">
        <v>1518</v>
      </c>
      <c r="C1045" s="3" t="s">
        <v>80</v>
      </c>
      <c r="D1045" s="3" t="s">
        <v>80</v>
      </c>
      <c r="E1045" s="3" t="s">
        <v>1519</v>
      </c>
      <c r="F1045" s="3" t="s">
        <v>120</v>
      </c>
      <c r="G1045" s="3">
        <v>18</v>
      </c>
      <c r="H1045" s="3">
        <v>0</v>
      </c>
      <c r="I1045" s="3">
        <v>18</v>
      </c>
      <c r="J1045" s="3">
        <v>0</v>
      </c>
      <c r="K1045" s="3">
        <v>0</v>
      </c>
      <c r="L1045" s="3">
        <v>0</v>
      </c>
      <c r="M1045" s="3">
        <v>0</v>
      </c>
      <c r="N1045" s="3" t="s">
        <v>5218</v>
      </c>
      <c r="O1045" s="3">
        <v>0</v>
      </c>
      <c r="P1045" s="3">
        <v>0</v>
      </c>
      <c r="Q1045" s="3">
        <v>0</v>
      </c>
      <c r="R1045" s="3">
        <v>0</v>
      </c>
      <c r="S1045" s="3">
        <v>0</v>
      </c>
      <c r="T1045" s="3">
        <v>7</v>
      </c>
      <c r="U1045" s="3">
        <v>10</v>
      </c>
      <c r="V1045" s="3">
        <v>15</v>
      </c>
      <c r="W1045" s="3"/>
      <c r="X1045" s="3">
        <v>22.98</v>
      </c>
      <c r="Y1045" s="3">
        <v>22.98</v>
      </c>
      <c r="Z1045" s="3">
        <v>19.98</v>
      </c>
      <c r="AA1045" s="3">
        <v>0</v>
      </c>
      <c r="AB1045" s="3" t="s">
        <v>5223</v>
      </c>
      <c r="AC1045" s="3">
        <v>18</v>
      </c>
      <c r="AD1045" s="3">
        <v>22.98</v>
      </c>
      <c r="AE1045" s="3">
        <v>0</v>
      </c>
      <c r="AF1045" s="3">
        <v>0</v>
      </c>
      <c r="AG1045" s="3">
        <v>0</v>
      </c>
      <c r="AH1045" s="3">
        <v>0.983606557377049</v>
      </c>
      <c r="AI1045" s="3" t="s">
        <v>5255</v>
      </c>
      <c r="AJ1045" s="3" t="s">
        <v>5222</v>
      </c>
    </row>
    <row r="1046" spans="1:36">
      <c r="A1046" s="5">
        <v>43288</v>
      </c>
      <c r="B1046" s="3" t="s">
        <v>4562</v>
      </c>
      <c r="C1046" s="3" t="s">
        <v>3971</v>
      </c>
      <c r="D1046" s="3" t="s">
        <v>3971</v>
      </c>
      <c r="E1046" s="3" t="s">
        <v>3972</v>
      </c>
      <c r="F1046" s="3" t="s">
        <v>120</v>
      </c>
      <c r="G1046" s="3">
        <v>14</v>
      </c>
      <c r="H1046" s="3">
        <v>0</v>
      </c>
      <c r="I1046" s="3">
        <v>14</v>
      </c>
      <c r="J1046" s="3">
        <v>0</v>
      </c>
      <c r="K1046" s="3">
        <v>0</v>
      </c>
      <c r="L1046" s="3">
        <v>0</v>
      </c>
      <c r="M1046" s="3">
        <v>0</v>
      </c>
      <c r="N1046" s="3" t="s">
        <v>5218</v>
      </c>
      <c r="O1046" s="3">
        <v>0</v>
      </c>
      <c r="P1046" s="3">
        <v>0</v>
      </c>
      <c r="Q1046" s="3">
        <v>0</v>
      </c>
      <c r="R1046" s="3">
        <v>0</v>
      </c>
      <c r="S1046" s="3">
        <v>1</v>
      </c>
      <c r="T1046" s="3">
        <v>3</v>
      </c>
      <c r="U1046" s="3">
        <v>3</v>
      </c>
      <c r="V1046" s="3">
        <v>6</v>
      </c>
      <c r="W1046" s="3"/>
      <c r="X1046" s="3">
        <v>26.98</v>
      </c>
      <c r="Y1046" s="3">
        <v>26.98</v>
      </c>
      <c r="Z1046" s="3">
        <v>26.98</v>
      </c>
      <c r="AA1046" s="3">
        <v>0</v>
      </c>
      <c r="AB1046" s="3" t="s">
        <v>5223</v>
      </c>
      <c r="AC1046" s="3">
        <v>14</v>
      </c>
      <c r="AD1046" s="3">
        <v>26.98</v>
      </c>
      <c r="AE1046" s="3">
        <v>0</v>
      </c>
      <c r="AF1046" s="3">
        <v>0</v>
      </c>
      <c r="AG1046" s="3">
        <v>0</v>
      </c>
      <c r="AH1046" s="3">
        <v>0.5</v>
      </c>
      <c r="AI1046" s="3" t="s">
        <v>5249</v>
      </c>
      <c r="AJ1046" s="3" t="s">
        <v>5222</v>
      </c>
    </row>
    <row r="1047" spans="1:36">
      <c r="A1047" s="5">
        <v>43288</v>
      </c>
      <c r="B1047" s="3" t="s">
        <v>4431</v>
      </c>
      <c r="C1047" s="3" t="s">
        <v>3578</v>
      </c>
      <c r="D1047" s="3" t="s">
        <v>3578</v>
      </c>
      <c r="E1047" s="3" t="s">
        <v>3579</v>
      </c>
      <c r="F1047" s="3" t="s">
        <v>120</v>
      </c>
      <c r="G1047" s="3">
        <v>10</v>
      </c>
      <c r="H1047" s="3">
        <v>0</v>
      </c>
      <c r="I1047" s="3">
        <v>1</v>
      </c>
      <c r="J1047" s="3">
        <v>0</v>
      </c>
      <c r="K1047" s="3">
        <v>9</v>
      </c>
      <c r="L1047" s="3">
        <v>0</v>
      </c>
      <c r="M1047" s="3">
        <v>0</v>
      </c>
      <c r="N1047" s="3" t="s">
        <v>5218</v>
      </c>
      <c r="O1047" s="3">
        <v>9</v>
      </c>
      <c r="P1047" s="3">
        <v>13.9</v>
      </c>
      <c r="Q1047" s="3">
        <v>0</v>
      </c>
      <c r="R1047" s="3">
        <v>0</v>
      </c>
      <c r="S1047" s="3">
        <v>0</v>
      </c>
      <c r="T1047" s="3">
        <v>0</v>
      </c>
      <c r="U1047" s="3">
        <v>1</v>
      </c>
      <c r="V1047" s="3">
        <v>1</v>
      </c>
      <c r="W1047" s="3" t="s">
        <v>5227</v>
      </c>
      <c r="X1047" s="3">
        <v>24.98</v>
      </c>
      <c r="Y1047" s="3">
        <v>24.98</v>
      </c>
      <c r="Z1047" s="3">
        <v>24.98</v>
      </c>
      <c r="AA1047" s="3">
        <v>0</v>
      </c>
      <c r="AB1047" s="3" t="s">
        <v>5228</v>
      </c>
      <c r="AC1047" s="3">
        <v>5</v>
      </c>
      <c r="AD1047" s="3">
        <v>19.98</v>
      </c>
      <c r="AE1047" s="3">
        <v>140</v>
      </c>
      <c r="AF1047" s="3">
        <v>0</v>
      </c>
      <c r="AG1047" s="3">
        <v>19.013826</v>
      </c>
      <c r="AH1047" s="3">
        <v>0.1</v>
      </c>
      <c r="AI1047" s="3" t="s">
        <v>5262</v>
      </c>
      <c r="AJ1047" s="3" t="s">
        <v>5222</v>
      </c>
    </row>
    <row r="1048" spans="1:36">
      <c r="A1048" s="5">
        <v>43288</v>
      </c>
      <c r="B1048" s="3" t="s">
        <v>2156</v>
      </c>
      <c r="C1048" s="3" t="s">
        <v>2157</v>
      </c>
      <c r="D1048" s="3" t="s">
        <v>2157</v>
      </c>
      <c r="E1048" s="3" t="s">
        <v>2158</v>
      </c>
      <c r="F1048" s="3" t="s">
        <v>120</v>
      </c>
      <c r="G1048" s="3">
        <v>7</v>
      </c>
      <c r="H1048" s="3">
        <v>0</v>
      </c>
      <c r="I1048" s="3">
        <v>7</v>
      </c>
      <c r="J1048" s="3">
        <v>0</v>
      </c>
      <c r="K1048" s="3">
        <v>0</v>
      </c>
      <c r="L1048" s="3">
        <v>0</v>
      </c>
      <c r="M1048" s="3">
        <v>0</v>
      </c>
      <c r="N1048" s="3" t="s">
        <v>5218</v>
      </c>
      <c r="O1048" s="3">
        <v>0</v>
      </c>
      <c r="P1048" s="3">
        <v>0</v>
      </c>
      <c r="Q1048" s="3">
        <v>0</v>
      </c>
      <c r="R1048" s="3">
        <v>0</v>
      </c>
      <c r="S1048" s="3">
        <v>1</v>
      </c>
      <c r="T1048" s="3">
        <v>1</v>
      </c>
      <c r="U1048" s="3">
        <v>2</v>
      </c>
      <c r="V1048" s="3">
        <v>6</v>
      </c>
      <c r="W1048" s="3" t="s">
        <v>5227</v>
      </c>
      <c r="X1048" s="3">
        <v>22.98</v>
      </c>
      <c r="Y1048" s="3">
        <v>22.98</v>
      </c>
      <c r="Z1048" s="3">
        <v>22</v>
      </c>
      <c r="AA1048" s="3">
        <v>0</v>
      </c>
      <c r="AB1048" s="3" t="s">
        <v>5228</v>
      </c>
      <c r="AC1048" s="3">
        <v>0</v>
      </c>
      <c r="AD1048" s="3">
        <v>20.67</v>
      </c>
      <c r="AE1048" s="3">
        <v>203</v>
      </c>
      <c r="AF1048" s="3">
        <v>0</v>
      </c>
      <c r="AG1048" s="3">
        <v>179.265895</v>
      </c>
      <c r="AH1048" s="3">
        <v>1.04347826086956</v>
      </c>
      <c r="AI1048" s="3" t="s">
        <v>5260</v>
      </c>
      <c r="AJ1048" s="3" t="s">
        <v>5222</v>
      </c>
    </row>
    <row r="1049" spans="1:36">
      <c r="A1049" s="5">
        <v>43288</v>
      </c>
      <c r="B1049" s="3" t="s">
        <v>4579</v>
      </c>
      <c r="C1049" s="3" t="s">
        <v>4039</v>
      </c>
      <c r="D1049" s="3" t="s">
        <v>4039</v>
      </c>
      <c r="E1049" s="3" t="s">
        <v>4040</v>
      </c>
      <c r="F1049" s="3" t="s">
        <v>120</v>
      </c>
      <c r="G1049" s="3">
        <v>15</v>
      </c>
      <c r="H1049" s="3">
        <v>0</v>
      </c>
      <c r="I1049" s="3">
        <v>15</v>
      </c>
      <c r="J1049" s="3">
        <v>0</v>
      </c>
      <c r="K1049" s="3">
        <v>0</v>
      </c>
      <c r="L1049" s="3">
        <v>0</v>
      </c>
      <c r="M1049" s="3">
        <v>0</v>
      </c>
      <c r="N1049" s="3" t="s">
        <v>5218</v>
      </c>
      <c r="O1049" s="3">
        <v>0</v>
      </c>
      <c r="P1049" s="3">
        <v>0</v>
      </c>
      <c r="Q1049" s="3">
        <v>0</v>
      </c>
      <c r="R1049" s="3">
        <v>0</v>
      </c>
      <c r="S1049" s="3">
        <v>2</v>
      </c>
      <c r="T1049" s="3">
        <v>5</v>
      </c>
      <c r="U1049" s="3">
        <v>8</v>
      </c>
      <c r="V1049" s="3">
        <v>12</v>
      </c>
      <c r="W1049" s="3"/>
      <c r="X1049" s="3">
        <v>20.98</v>
      </c>
      <c r="Y1049" s="3">
        <v>20.98</v>
      </c>
      <c r="Z1049" s="3">
        <v>20.98</v>
      </c>
      <c r="AA1049" s="3">
        <v>0</v>
      </c>
      <c r="AB1049" s="3" t="s">
        <v>5223</v>
      </c>
      <c r="AC1049" s="3">
        <v>17</v>
      </c>
      <c r="AD1049" s="3">
        <v>20.98</v>
      </c>
      <c r="AE1049" s="3">
        <v>0</v>
      </c>
      <c r="AF1049" s="3">
        <v>0</v>
      </c>
      <c r="AG1049" s="3">
        <v>0</v>
      </c>
      <c r="AH1049" s="3">
        <v>1.84615384615384</v>
      </c>
      <c r="AI1049" s="3" t="s">
        <v>5226</v>
      </c>
      <c r="AJ1049" s="3" t="s">
        <v>5222</v>
      </c>
    </row>
    <row r="1050" spans="1:36">
      <c r="A1050" s="5">
        <v>43288</v>
      </c>
      <c r="B1050" s="3" t="s">
        <v>4587</v>
      </c>
      <c r="C1050" s="3" t="s">
        <v>4071</v>
      </c>
      <c r="D1050" s="3" t="s">
        <v>4071</v>
      </c>
      <c r="E1050" s="3" t="s">
        <v>4072</v>
      </c>
      <c r="F1050" s="3" t="s">
        <v>120</v>
      </c>
      <c r="G1050" s="3">
        <v>4</v>
      </c>
      <c r="H1050" s="3">
        <v>0</v>
      </c>
      <c r="I1050" s="3">
        <v>4</v>
      </c>
      <c r="J1050" s="3">
        <v>0</v>
      </c>
      <c r="K1050" s="3">
        <v>0</v>
      </c>
      <c r="L1050" s="3">
        <v>0</v>
      </c>
      <c r="M1050" s="3">
        <v>0</v>
      </c>
      <c r="N1050" s="3" t="s">
        <v>5218</v>
      </c>
      <c r="O1050" s="3">
        <v>0</v>
      </c>
      <c r="P1050" s="3">
        <v>0</v>
      </c>
      <c r="Q1050" s="3">
        <v>0</v>
      </c>
      <c r="R1050" s="3">
        <v>0</v>
      </c>
      <c r="S1050" s="3">
        <v>2</v>
      </c>
      <c r="T1050" s="3">
        <v>4</v>
      </c>
      <c r="U1050" s="3">
        <v>6</v>
      </c>
      <c r="V1050" s="3">
        <v>9</v>
      </c>
      <c r="W1050" s="3"/>
      <c r="X1050" s="3">
        <v>20.98</v>
      </c>
      <c r="Y1050" s="3">
        <v>20.98</v>
      </c>
      <c r="Z1050" s="3">
        <v>20.98</v>
      </c>
      <c r="AA1050" s="3">
        <v>0</v>
      </c>
      <c r="AB1050" s="3" t="s">
        <v>5223</v>
      </c>
      <c r="AC1050" s="3">
        <v>6</v>
      </c>
      <c r="AD1050" s="3">
        <v>20.98</v>
      </c>
      <c r="AE1050" s="3">
        <v>0</v>
      </c>
      <c r="AF1050" s="3">
        <v>0</v>
      </c>
      <c r="AG1050" s="3">
        <v>0</v>
      </c>
      <c r="AH1050" s="3">
        <v>1.56521739130434</v>
      </c>
      <c r="AI1050" s="3" t="s">
        <v>5226</v>
      </c>
      <c r="AJ1050" s="3" t="s">
        <v>5222</v>
      </c>
    </row>
    <row r="1051" spans="1:36">
      <c r="A1051" s="5">
        <v>43288</v>
      </c>
      <c r="B1051" s="3" t="s">
        <v>1948</v>
      </c>
      <c r="C1051" s="3" t="s">
        <v>110</v>
      </c>
      <c r="D1051" s="3" t="s">
        <v>110</v>
      </c>
      <c r="E1051" s="3" t="s">
        <v>1949</v>
      </c>
      <c r="F1051" s="3" t="s">
        <v>120</v>
      </c>
      <c r="G1051" s="3">
        <v>42</v>
      </c>
      <c r="H1051" s="3">
        <v>0</v>
      </c>
      <c r="I1051" s="3">
        <v>12</v>
      </c>
      <c r="J1051" s="3">
        <v>6</v>
      </c>
      <c r="K1051" s="3">
        <v>24</v>
      </c>
      <c r="L1051" s="3">
        <v>0</v>
      </c>
      <c r="M1051" s="3">
        <v>0</v>
      </c>
      <c r="N1051" s="3" t="s">
        <v>5218</v>
      </c>
      <c r="O1051" s="3">
        <v>27</v>
      </c>
      <c r="P1051" s="3">
        <v>55.34</v>
      </c>
      <c r="Q1051" s="3">
        <v>0</v>
      </c>
      <c r="R1051" s="3">
        <v>0</v>
      </c>
      <c r="S1051" s="3">
        <v>5</v>
      </c>
      <c r="T1051" s="3">
        <v>7</v>
      </c>
      <c r="U1051" s="3">
        <v>14</v>
      </c>
      <c r="V1051" s="3">
        <v>21</v>
      </c>
      <c r="W1051" s="3"/>
      <c r="X1051" s="3">
        <v>20.98</v>
      </c>
      <c r="Y1051" s="3">
        <v>20.98</v>
      </c>
      <c r="Z1051" s="3">
        <v>20.98</v>
      </c>
      <c r="AA1051" s="3">
        <v>0</v>
      </c>
      <c r="AB1051" s="3" t="s">
        <v>5228</v>
      </c>
      <c r="AC1051" s="3">
        <v>0</v>
      </c>
      <c r="AD1051" s="3">
        <v>12.71</v>
      </c>
      <c r="AE1051" s="3">
        <v>7</v>
      </c>
      <c r="AF1051" s="3">
        <v>44</v>
      </c>
      <c r="AG1051" s="3">
        <v>1044.673996</v>
      </c>
      <c r="AH1051" s="3">
        <v>0.451612903225806</v>
      </c>
      <c r="AI1051" s="3" t="s">
        <v>5539</v>
      </c>
      <c r="AJ1051" s="3" t="s">
        <v>5222</v>
      </c>
    </row>
    <row r="1052" spans="1:36">
      <c r="A1052" s="5">
        <v>43288</v>
      </c>
      <c r="B1052" s="3" t="s">
        <v>211</v>
      </c>
      <c r="C1052" s="3" t="s">
        <v>212</v>
      </c>
      <c r="D1052" s="3" t="s">
        <v>212</v>
      </c>
      <c r="E1052" s="3" t="s">
        <v>213</v>
      </c>
      <c r="F1052" s="3" t="s">
        <v>120</v>
      </c>
      <c r="G1052" s="3">
        <v>1</v>
      </c>
      <c r="H1052" s="3">
        <v>0</v>
      </c>
      <c r="I1052" s="3">
        <v>0</v>
      </c>
      <c r="J1052" s="3">
        <v>0</v>
      </c>
      <c r="K1052" s="3">
        <v>1</v>
      </c>
      <c r="L1052" s="3">
        <v>0</v>
      </c>
      <c r="M1052" s="3">
        <v>0</v>
      </c>
      <c r="N1052" s="3" t="s">
        <v>5218</v>
      </c>
      <c r="O1052" s="3">
        <v>1</v>
      </c>
      <c r="P1052" s="3">
        <v>7.59</v>
      </c>
      <c r="Q1052" s="3">
        <v>0</v>
      </c>
      <c r="R1052" s="3">
        <v>0</v>
      </c>
      <c r="S1052" s="3">
        <v>0</v>
      </c>
      <c r="T1052" s="3">
        <v>0</v>
      </c>
      <c r="U1052" s="3">
        <v>0</v>
      </c>
      <c r="V1052" s="3">
        <v>0</v>
      </c>
      <c r="W1052" s="3" t="s">
        <v>5219</v>
      </c>
      <c r="X1052" s="3">
        <v>60.98</v>
      </c>
      <c r="Y1052" s="3">
        <v>60.98</v>
      </c>
      <c r="Z1052" s="3">
        <v>60.98</v>
      </c>
      <c r="AA1052" s="3">
        <v>0</v>
      </c>
      <c r="AB1052" s="3" t="s">
        <v>5228</v>
      </c>
      <c r="AC1052" s="3">
        <v>0</v>
      </c>
      <c r="AD1052" s="3">
        <v>54.95</v>
      </c>
      <c r="AE1052" s="3">
        <v>147</v>
      </c>
      <c r="AF1052" s="3">
        <v>0</v>
      </c>
      <c r="AG1052" s="3">
        <v>95.097604</v>
      </c>
      <c r="AH1052" s="3">
        <v>0</v>
      </c>
      <c r="AI1052" s="3" t="s">
        <v>5340</v>
      </c>
      <c r="AJ1052" s="3" t="s">
        <v>5222</v>
      </c>
    </row>
    <row r="1053" spans="1:36">
      <c r="A1053" s="5">
        <v>43288</v>
      </c>
      <c r="B1053" s="3" t="s">
        <v>2946</v>
      </c>
      <c r="C1053" s="3" t="s">
        <v>1384</v>
      </c>
      <c r="D1053" s="3" t="s">
        <v>1384</v>
      </c>
      <c r="E1053" s="3" t="s">
        <v>1385</v>
      </c>
      <c r="F1053" s="3" t="s">
        <v>120</v>
      </c>
      <c r="G1053" s="3">
        <v>13</v>
      </c>
      <c r="H1053" s="3">
        <v>0</v>
      </c>
      <c r="I1053" s="3">
        <v>13</v>
      </c>
      <c r="J1053" s="3">
        <v>0</v>
      </c>
      <c r="K1053" s="3">
        <v>0</v>
      </c>
      <c r="L1053" s="3">
        <v>0</v>
      </c>
      <c r="M1053" s="3">
        <v>0</v>
      </c>
      <c r="N1053" s="3" t="s">
        <v>5218</v>
      </c>
      <c r="O1053" s="3">
        <v>0</v>
      </c>
      <c r="P1053" s="3">
        <v>0</v>
      </c>
      <c r="Q1053" s="3">
        <v>0</v>
      </c>
      <c r="R1053" s="3">
        <v>0</v>
      </c>
      <c r="S1053" s="3">
        <v>3</v>
      </c>
      <c r="T1053" s="3">
        <v>7</v>
      </c>
      <c r="U1053" s="3">
        <v>7</v>
      </c>
      <c r="V1053" s="3">
        <v>7</v>
      </c>
      <c r="W1053" s="3"/>
      <c r="X1053" s="3">
        <v>19.98</v>
      </c>
      <c r="Y1053" s="3">
        <v>19.98</v>
      </c>
      <c r="Z1053" s="3">
        <v>19.98</v>
      </c>
      <c r="AA1053" s="3">
        <v>0</v>
      </c>
      <c r="AB1053" s="3" t="s">
        <v>5223</v>
      </c>
      <c r="AC1053" s="3">
        <v>5</v>
      </c>
      <c r="AD1053" s="3">
        <v>19.98</v>
      </c>
      <c r="AE1053" s="3">
        <v>0</v>
      </c>
      <c r="AF1053" s="3">
        <v>0</v>
      </c>
      <c r="AG1053" s="3">
        <v>0</v>
      </c>
      <c r="AH1053" s="3">
        <v>0.608695652173913</v>
      </c>
      <c r="AI1053" s="3" t="s">
        <v>5236</v>
      </c>
      <c r="AJ1053" s="3" t="s">
        <v>5222</v>
      </c>
    </row>
    <row r="1054" spans="1:36">
      <c r="A1054" s="5">
        <v>43288</v>
      </c>
      <c r="B1054" s="3" t="s">
        <v>4368</v>
      </c>
      <c r="C1054" s="3" t="s">
        <v>3326</v>
      </c>
      <c r="D1054" s="3" t="s">
        <v>3326</v>
      </c>
      <c r="E1054" s="3" t="s">
        <v>3327</v>
      </c>
      <c r="F1054" s="3" t="s">
        <v>120</v>
      </c>
      <c r="G1054" s="3">
        <v>1</v>
      </c>
      <c r="H1054" s="3">
        <v>0</v>
      </c>
      <c r="I1054" s="3">
        <v>0</v>
      </c>
      <c r="J1054" s="3">
        <v>1</v>
      </c>
      <c r="K1054" s="3">
        <v>0</v>
      </c>
      <c r="L1054" s="3">
        <v>0</v>
      </c>
      <c r="M1054" s="3">
        <v>0</v>
      </c>
      <c r="N1054" s="3" t="s">
        <v>5218</v>
      </c>
      <c r="O1054" s="3">
        <v>0</v>
      </c>
      <c r="P1054" s="3">
        <v>0</v>
      </c>
      <c r="Q1054" s="3">
        <v>0</v>
      </c>
      <c r="R1054" s="3">
        <v>0</v>
      </c>
      <c r="S1054" s="3">
        <v>0</v>
      </c>
      <c r="T1054" s="3">
        <v>0</v>
      </c>
      <c r="U1054" s="3">
        <v>1</v>
      </c>
      <c r="V1054" s="3">
        <v>1</v>
      </c>
      <c r="W1054" s="3" t="s">
        <v>5227</v>
      </c>
      <c r="X1054" s="3">
        <v>22.98</v>
      </c>
      <c r="Y1054" s="3">
        <v>22.98</v>
      </c>
      <c r="Z1054" s="3">
        <v>22.98</v>
      </c>
      <c r="AA1054" s="3">
        <v>0</v>
      </c>
      <c r="AB1054" s="3" t="s">
        <v>5223</v>
      </c>
      <c r="AC1054" s="3">
        <v>1</v>
      </c>
      <c r="AD1054" s="3">
        <v>22.98</v>
      </c>
      <c r="AE1054" s="3">
        <v>0</v>
      </c>
      <c r="AF1054" s="3">
        <v>0</v>
      </c>
      <c r="AG1054" s="3">
        <v>0</v>
      </c>
      <c r="AH1054" s="3">
        <v>0.666666666666666</v>
      </c>
      <c r="AI1054" s="3" t="s">
        <v>5239</v>
      </c>
      <c r="AJ1054" s="3" t="s">
        <v>5222</v>
      </c>
    </row>
    <row r="1055" spans="1:36">
      <c r="A1055" s="5">
        <v>43288</v>
      </c>
      <c r="B1055" s="3" t="s">
        <v>4426</v>
      </c>
      <c r="C1055" s="3" t="s">
        <v>3558</v>
      </c>
      <c r="D1055" s="3" t="s">
        <v>3558</v>
      </c>
      <c r="E1055" s="3" t="s">
        <v>3559</v>
      </c>
      <c r="F1055" s="3" t="s">
        <v>120</v>
      </c>
      <c r="G1055" s="3">
        <v>6</v>
      </c>
      <c r="H1055" s="3">
        <v>0</v>
      </c>
      <c r="I1055" s="3">
        <v>0</v>
      </c>
      <c r="J1055" s="3">
        <v>1</v>
      </c>
      <c r="K1055" s="3">
        <v>5</v>
      </c>
      <c r="L1055" s="3">
        <v>0</v>
      </c>
      <c r="M1055" s="3">
        <v>0</v>
      </c>
      <c r="N1055" s="3" t="s">
        <v>5218</v>
      </c>
      <c r="O1055" s="3">
        <v>6</v>
      </c>
      <c r="P1055" s="3">
        <v>9.26</v>
      </c>
      <c r="Q1055" s="3">
        <v>0</v>
      </c>
      <c r="R1055" s="3">
        <v>0</v>
      </c>
      <c r="S1055" s="3">
        <v>0</v>
      </c>
      <c r="T1055" s="3">
        <v>0</v>
      </c>
      <c r="U1055" s="3">
        <v>0</v>
      </c>
      <c r="V1055" s="3">
        <v>1</v>
      </c>
      <c r="W1055" s="3" t="s">
        <v>5227</v>
      </c>
      <c r="X1055" s="3">
        <v>24.98</v>
      </c>
      <c r="Y1055" s="3">
        <v>24.98</v>
      </c>
      <c r="Z1055" s="3">
        <v>24.98</v>
      </c>
      <c r="AA1055" s="3">
        <v>0</v>
      </c>
      <c r="AB1055" s="3" t="s">
        <v>5228</v>
      </c>
      <c r="AC1055" s="3">
        <v>0</v>
      </c>
      <c r="AD1055" s="3">
        <v>20.7</v>
      </c>
      <c r="AE1055" s="3">
        <v>315</v>
      </c>
      <c r="AF1055" s="3">
        <v>0</v>
      </c>
      <c r="AG1055" s="3">
        <v>143.290942</v>
      </c>
      <c r="AH1055" s="3">
        <v>0.16</v>
      </c>
      <c r="AI1055" s="3" t="s">
        <v>5262</v>
      </c>
      <c r="AJ1055" s="3" t="s">
        <v>5222</v>
      </c>
    </row>
    <row r="1056" spans="1:36">
      <c r="A1056" s="5">
        <v>43288</v>
      </c>
      <c r="B1056" s="3" t="s">
        <v>1773</v>
      </c>
      <c r="C1056" s="3" t="s">
        <v>1774</v>
      </c>
      <c r="D1056" s="3" t="s">
        <v>1774</v>
      </c>
      <c r="E1056" s="3" t="s">
        <v>5540</v>
      </c>
      <c r="F1056" s="3" t="s">
        <v>120</v>
      </c>
      <c r="G1056" s="3">
        <v>2</v>
      </c>
      <c r="H1056" s="3">
        <v>0</v>
      </c>
      <c r="I1056" s="3">
        <v>2</v>
      </c>
      <c r="J1056" s="3">
        <v>0</v>
      </c>
      <c r="K1056" s="3">
        <v>0</v>
      </c>
      <c r="L1056" s="3">
        <v>0</v>
      </c>
      <c r="M1056" s="3">
        <v>0</v>
      </c>
      <c r="N1056" s="3" t="s">
        <v>5218</v>
      </c>
      <c r="O1056" s="3">
        <v>0</v>
      </c>
      <c r="P1056" s="3">
        <v>0</v>
      </c>
      <c r="Q1056" s="3">
        <v>0</v>
      </c>
      <c r="R1056" s="3">
        <v>0</v>
      </c>
      <c r="S1056" s="3">
        <v>0</v>
      </c>
      <c r="T1056" s="3">
        <v>0</v>
      </c>
      <c r="U1056" s="3">
        <v>0</v>
      </c>
      <c r="V1056" s="3">
        <v>1</v>
      </c>
      <c r="W1056" s="3"/>
      <c r="X1056" s="3"/>
      <c r="Y1056" s="3"/>
      <c r="Z1056" s="3">
        <v>-1</v>
      </c>
      <c r="AA1056" s="3">
        <v>-1</v>
      </c>
      <c r="AB1056" s="3" t="s">
        <v>5244</v>
      </c>
      <c r="AC1056" s="3">
        <v>0</v>
      </c>
      <c r="AD1056" s="3">
        <v>0</v>
      </c>
      <c r="AE1056" s="3">
        <v>0</v>
      </c>
      <c r="AF1056" s="3">
        <v>0</v>
      </c>
      <c r="AG1056" s="3">
        <v>0</v>
      </c>
      <c r="AH1056" s="3">
        <v>0.666666666666666</v>
      </c>
      <c r="AI1056" s="3" t="s">
        <v>5229</v>
      </c>
      <c r="AJ1056" s="3" t="s">
        <v>5222</v>
      </c>
    </row>
    <row r="1057" spans="1:36">
      <c r="A1057" s="5">
        <v>43288</v>
      </c>
      <c r="B1057" s="3" t="s">
        <v>4315</v>
      </c>
      <c r="C1057" s="3" t="s">
        <v>4316</v>
      </c>
      <c r="D1057" s="3" t="s">
        <v>4316</v>
      </c>
      <c r="E1057" s="3" t="s">
        <v>4317</v>
      </c>
      <c r="F1057" s="3" t="s">
        <v>120</v>
      </c>
      <c r="G1057" s="3">
        <v>17</v>
      </c>
      <c r="H1057" s="3">
        <v>0</v>
      </c>
      <c r="I1057" s="3">
        <v>17</v>
      </c>
      <c r="J1057" s="3">
        <v>0</v>
      </c>
      <c r="K1057" s="3">
        <v>0</v>
      </c>
      <c r="L1057" s="3">
        <v>0</v>
      </c>
      <c r="M1057" s="3">
        <v>0</v>
      </c>
      <c r="N1057" s="3" t="s">
        <v>5218</v>
      </c>
      <c r="O1057" s="3">
        <v>0</v>
      </c>
      <c r="P1057" s="3">
        <v>0</v>
      </c>
      <c r="Q1057" s="3">
        <v>0</v>
      </c>
      <c r="R1057" s="3">
        <v>0</v>
      </c>
      <c r="S1057" s="3">
        <v>0</v>
      </c>
      <c r="T1057" s="3">
        <v>1</v>
      </c>
      <c r="U1057" s="3">
        <v>8</v>
      </c>
      <c r="V1057" s="3">
        <v>10</v>
      </c>
      <c r="W1057" s="3"/>
      <c r="X1057" s="3">
        <v>23.98</v>
      </c>
      <c r="Y1057" s="3">
        <v>23.98</v>
      </c>
      <c r="Z1057" s="3">
        <v>23.98</v>
      </c>
      <c r="AA1057" s="3">
        <v>0</v>
      </c>
      <c r="AB1057" s="3" t="s">
        <v>5228</v>
      </c>
      <c r="AC1057" s="3">
        <v>0</v>
      </c>
      <c r="AD1057" s="3">
        <v>19.18</v>
      </c>
      <c r="AE1057" s="3">
        <v>364</v>
      </c>
      <c r="AF1057" s="3">
        <v>0</v>
      </c>
      <c r="AG1057" s="3">
        <v>303.357857</v>
      </c>
      <c r="AH1057" s="3">
        <v>1</v>
      </c>
      <c r="AI1057" s="3" t="s">
        <v>5258</v>
      </c>
      <c r="AJ1057" s="3" t="s">
        <v>5222</v>
      </c>
    </row>
    <row r="1058" spans="1:36">
      <c r="A1058" s="5">
        <v>43288</v>
      </c>
      <c r="B1058" s="3" t="s">
        <v>4367</v>
      </c>
      <c r="C1058" s="3" t="s">
        <v>3322</v>
      </c>
      <c r="D1058" s="3" t="s">
        <v>3322</v>
      </c>
      <c r="E1058" s="3" t="s">
        <v>3323</v>
      </c>
      <c r="F1058" s="3" t="s">
        <v>120</v>
      </c>
      <c r="G1058" s="3">
        <v>1</v>
      </c>
      <c r="H1058" s="3">
        <v>0</v>
      </c>
      <c r="I1058" s="3">
        <v>1</v>
      </c>
      <c r="J1058" s="3">
        <v>0</v>
      </c>
      <c r="K1058" s="3">
        <v>0</v>
      </c>
      <c r="L1058" s="3">
        <v>0</v>
      </c>
      <c r="M1058" s="3">
        <v>0</v>
      </c>
      <c r="N1058" s="3" t="s">
        <v>5218</v>
      </c>
      <c r="O1058" s="3">
        <v>0</v>
      </c>
      <c r="P1058" s="3">
        <v>0</v>
      </c>
      <c r="Q1058" s="3">
        <v>0</v>
      </c>
      <c r="R1058" s="3">
        <v>0</v>
      </c>
      <c r="S1058" s="3">
        <v>0</v>
      </c>
      <c r="T1058" s="3">
        <v>1</v>
      </c>
      <c r="U1058" s="3">
        <v>3</v>
      </c>
      <c r="V1058" s="3">
        <v>5</v>
      </c>
      <c r="W1058" s="3"/>
      <c r="X1058" s="3">
        <v>22.98</v>
      </c>
      <c r="Y1058" s="3">
        <v>22.98</v>
      </c>
      <c r="Z1058" s="3">
        <v>22.98</v>
      </c>
      <c r="AA1058" s="3">
        <v>0</v>
      </c>
      <c r="AB1058" s="3" t="s">
        <v>5223</v>
      </c>
      <c r="AC1058" s="3">
        <v>1</v>
      </c>
      <c r="AD1058" s="3">
        <v>22.98</v>
      </c>
      <c r="AE1058" s="3">
        <v>0</v>
      </c>
      <c r="AF1058" s="3">
        <v>0</v>
      </c>
      <c r="AG1058" s="3">
        <v>0</v>
      </c>
      <c r="AH1058" s="3">
        <v>4</v>
      </c>
      <c r="AI1058" s="3" t="s">
        <v>5239</v>
      </c>
      <c r="AJ1058" s="3" t="s">
        <v>5222</v>
      </c>
    </row>
    <row r="1059" spans="1:36">
      <c r="A1059" s="5">
        <v>43288</v>
      </c>
      <c r="B1059" s="3" t="s">
        <v>4549</v>
      </c>
      <c r="C1059" s="3" t="s">
        <v>3919</v>
      </c>
      <c r="D1059" s="3" t="s">
        <v>3919</v>
      </c>
      <c r="E1059" s="3" t="s">
        <v>3920</v>
      </c>
      <c r="F1059" s="3" t="s">
        <v>120</v>
      </c>
      <c r="G1059" s="3">
        <v>4</v>
      </c>
      <c r="H1059" s="3">
        <v>0</v>
      </c>
      <c r="I1059" s="3">
        <v>4</v>
      </c>
      <c r="J1059" s="3">
        <v>0</v>
      </c>
      <c r="K1059" s="3">
        <v>0</v>
      </c>
      <c r="L1059" s="3">
        <v>0</v>
      </c>
      <c r="M1059" s="3">
        <v>0</v>
      </c>
      <c r="N1059" s="3" t="s">
        <v>5218</v>
      </c>
      <c r="O1059" s="3">
        <v>0</v>
      </c>
      <c r="P1059" s="3">
        <v>0</v>
      </c>
      <c r="Q1059" s="3">
        <v>0</v>
      </c>
      <c r="R1059" s="3">
        <v>0</v>
      </c>
      <c r="S1059" s="3">
        <v>1</v>
      </c>
      <c r="T1059" s="3">
        <v>1</v>
      </c>
      <c r="U1059" s="3">
        <v>1</v>
      </c>
      <c r="V1059" s="3">
        <v>1</v>
      </c>
      <c r="W1059" s="3"/>
      <c r="X1059" s="3">
        <v>26.98</v>
      </c>
      <c r="Y1059" s="3">
        <v>26.98</v>
      </c>
      <c r="Z1059" s="3">
        <v>26.98</v>
      </c>
      <c r="AA1059" s="3">
        <v>0</v>
      </c>
      <c r="AB1059" s="3" t="s">
        <v>5228</v>
      </c>
      <c r="AC1059" s="3">
        <v>1</v>
      </c>
      <c r="AD1059" s="3">
        <v>25.05</v>
      </c>
      <c r="AE1059" s="3">
        <v>126</v>
      </c>
      <c r="AF1059" s="3">
        <v>0</v>
      </c>
      <c r="AG1059" s="3">
        <v>135.274455</v>
      </c>
      <c r="AH1059" s="3">
        <v>0.266666666666666</v>
      </c>
      <c r="AI1059" s="3" t="s">
        <v>5249</v>
      </c>
      <c r="AJ1059" s="3" t="s">
        <v>5222</v>
      </c>
    </row>
    <row r="1060" spans="1:36">
      <c r="A1060" s="5">
        <v>43288</v>
      </c>
      <c r="B1060" s="3" t="s">
        <v>2706</v>
      </c>
      <c r="C1060" s="3" t="s">
        <v>2707</v>
      </c>
      <c r="D1060" s="3" t="s">
        <v>2707</v>
      </c>
      <c r="E1060" s="3" t="s">
        <v>486</v>
      </c>
      <c r="F1060" s="3" t="s">
        <v>120</v>
      </c>
      <c r="G1060" s="3">
        <v>17</v>
      </c>
      <c r="H1060" s="3">
        <v>0</v>
      </c>
      <c r="I1060" s="3">
        <v>1</v>
      </c>
      <c r="J1060" s="3">
        <v>10</v>
      </c>
      <c r="K1060" s="3">
        <v>6</v>
      </c>
      <c r="L1060" s="3">
        <v>0</v>
      </c>
      <c r="M1060" s="3">
        <v>0</v>
      </c>
      <c r="N1060" s="3" t="s">
        <v>5218</v>
      </c>
      <c r="O1060" s="3">
        <v>6</v>
      </c>
      <c r="P1060" s="3">
        <v>14.41</v>
      </c>
      <c r="Q1060" s="3">
        <v>0</v>
      </c>
      <c r="R1060" s="3">
        <v>0</v>
      </c>
      <c r="S1060" s="3">
        <v>0</v>
      </c>
      <c r="T1060" s="3">
        <v>0</v>
      </c>
      <c r="U1060" s="3">
        <v>1</v>
      </c>
      <c r="V1060" s="3">
        <v>2</v>
      </c>
      <c r="W1060" s="3" t="s">
        <v>5227</v>
      </c>
      <c r="X1060" s="3">
        <v>26.98</v>
      </c>
      <c r="Y1060" s="3">
        <v>26.98</v>
      </c>
      <c r="Z1060" s="3">
        <v>26.98</v>
      </c>
      <c r="AA1060" s="3">
        <v>0</v>
      </c>
      <c r="AB1060" s="3" t="s">
        <v>5228</v>
      </c>
      <c r="AC1060" s="3">
        <v>0</v>
      </c>
      <c r="AD1060" s="3">
        <v>22.97</v>
      </c>
      <c r="AE1060" s="3">
        <v>231</v>
      </c>
      <c r="AF1060" s="3">
        <v>0</v>
      </c>
      <c r="AG1060" s="3">
        <v>612.137037</v>
      </c>
      <c r="AH1060" s="3">
        <v>0.10958904109589</v>
      </c>
      <c r="AI1060" s="3" t="s">
        <v>5237</v>
      </c>
      <c r="AJ1060" s="3" t="s">
        <v>5222</v>
      </c>
    </row>
    <row r="1061" spans="1:36">
      <c r="A1061" s="5">
        <v>43288</v>
      </c>
      <c r="B1061" s="3" t="s">
        <v>4758</v>
      </c>
      <c r="C1061" s="3" t="s">
        <v>4759</v>
      </c>
      <c r="D1061" s="3" t="s">
        <v>4358</v>
      </c>
      <c r="E1061" s="3" t="s">
        <v>4359</v>
      </c>
      <c r="F1061" s="3" t="s">
        <v>120</v>
      </c>
      <c r="G1061" s="3">
        <v>5</v>
      </c>
      <c r="H1061" s="3">
        <v>0</v>
      </c>
      <c r="I1061" s="3">
        <v>5</v>
      </c>
      <c r="J1061" s="3">
        <v>0</v>
      </c>
      <c r="K1061" s="3">
        <v>0</v>
      </c>
      <c r="L1061" s="3">
        <v>0</v>
      </c>
      <c r="M1061" s="3">
        <v>0</v>
      </c>
      <c r="N1061" s="3" t="s">
        <v>5218</v>
      </c>
      <c r="O1061" s="3">
        <v>0</v>
      </c>
      <c r="P1061" s="3">
        <v>0</v>
      </c>
      <c r="Q1061" s="3">
        <v>0</v>
      </c>
      <c r="R1061" s="3">
        <v>0</v>
      </c>
      <c r="S1061" s="3">
        <v>0</v>
      </c>
      <c r="T1061" s="3">
        <v>0</v>
      </c>
      <c r="U1061" s="3">
        <v>0</v>
      </c>
      <c r="V1061" s="3">
        <v>0</v>
      </c>
      <c r="W1061" s="3" t="s">
        <v>5227</v>
      </c>
      <c r="X1061" s="3">
        <v>23.98</v>
      </c>
      <c r="Y1061" s="3">
        <v>23.98</v>
      </c>
      <c r="Z1061" s="3">
        <v>23.98</v>
      </c>
      <c r="AA1061" s="3">
        <v>0</v>
      </c>
      <c r="AB1061" s="3" t="s">
        <v>5223</v>
      </c>
      <c r="AC1061" s="3">
        <v>2</v>
      </c>
      <c r="AD1061" s="3">
        <v>23.98</v>
      </c>
      <c r="AE1061" s="3">
        <v>0</v>
      </c>
      <c r="AF1061" s="3">
        <v>0</v>
      </c>
      <c r="AG1061" s="3">
        <v>0</v>
      </c>
      <c r="AH1061" s="3">
        <v>0.923076923076923</v>
      </c>
      <c r="AI1061" s="3" t="s">
        <v>5514</v>
      </c>
      <c r="AJ1061" s="3" t="s">
        <v>5222</v>
      </c>
    </row>
    <row r="1062" spans="1:36">
      <c r="A1062" s="5">
        <v>43288</v>
      </c>
      <c r="B1062" s="3" t="s">
        <v>1480</v>
      </c>
      <c r="C1062" s="3" t="s">
        <v>40</v>
      </c>
      <c r="D1062" s="3" t="s">
        <v>40</v>
      </c>
      <c r="E1062" s="3" t="s">
        <v>1481</v>
      </c>
      <c r="F1062" s="3" t="s">
        <v>120</v>
      </c>
      <c r="G1062" s="3">
        <v>14</v>
      </c>
      <c r="H1062" s="3">
        <v>0</v>
      </c>
      <c r="I1062" s="3">
        <v>1</v>
      </c>
      <c r="J1062" s="3">
        <v>13</v>
      </c>
      <c r="K1062" s="3">
        <v>0</v>
      </c>
      <c r="L1062" s="3">
        <v>0</v>
      </c>
      <c r="M1062" s="3">
        <v>0</v>
      </c>
      <c r="N1062" s="3" t="s">
        <v>5218</v>
      </c>
      <c r="O1062" s="3">
        <v>11</v>
      </c>
      <c r="P1062" s="3">
        <v>25.02</v>
      </c>
      <c r="Q1062" s="3">
        <v>0</v>
      </c>
      <c r="R1062" s="3">
        <v>0</v>
      </c>
      <c r="S1062" s="3">
        <v>0</v>
      </c>
      <c r="T1062" s="3">
        <v>4</v>
      </c>
      <c r="U1062" s="3">
        <v>8</v>
      </c>
      <c r="V1062" s="3">
        <v>11</v>
      </c>
      <c r="W1062" s="3"/>
      <c r="X1062" s="3">
        <v>22.98</v>
      </c>
      <c r="Y1062" s="3">
        <v>22.98</v>
      </c>
      <c r="Z1062" s="3">
        <v>19.98</v>
      </c>
      <c r="AA1062" s="3">
        <v>0</v>
      </c>
      <c r="AB1062" s="3" t="s">
        <v>5223</v>
      </c>
      <c r="AC1062" s="3">
        <v>14</v>
      </c>
      <c r="AD1062" s="3">
        <v>22.98</v>
      </c>
      <c r="AE1062" s="3">
        <v>0</v>
      </c>
      <c r="AF1062" s="3">
        <v>0</v>
      </c>
      <c r="AG1062" s="3">
        <v>0</v>
      </c>
      <c r="AH1062" s="3">
        <v>0.564102564102564</v>
      </c>
      <c r="AI1062" s="3" t="s">
        <v>5255</v>
      </c>
      <c r="AJ1062" s="3" t="s">
        <v>5222</v>
      </c>
    </row>
    <row r="1063" spans="1:36">
      <c r="A1063" s="5">
        <v>43288</v>
      </c>
      <c r="B1063" s="3" t="s">
        <v>607</v>
      </c>
      <c r="C1063" s="3" t="s">
        <v>608</v>
      </c>
      <c r="D1063" s="3" t="s">
        <v>608</v>
      </c>
      <c r="E1063" s="3" t="s">
        <v>609</v>
      </c>
      <c r="F1063" s="3" t="s">
        <v>120</v>
      </c>
      <c r="G1063" s="3">
        <v>7</v>
      </c>
      <c r="H1063" s="3">
        <v>0</v>
      </c>
      <c r="I1063" s="3">
        <v>7</v>
      </c>
      <c r="J1063" s="3">
        <v>0</v>
      </c>
      <c r="K1063" s="3">
        <v>0</v>
      </c>
      <c r="L1063" s="3">
        <v>0</v>
      </c>
      <c r="M1063" s="3">
        <v>0</v>
      </c>
      <c r="N1063" s="3" t="s">
        <v>5218</v>
      </c>
      <c r="O1063" s="3">
        <v>0</v>
      </c>
      <c r="P1063" s="3">
        <v>0</v>
      </c>
      <c r="Q1063" s="3">
        <v>0</v>
      </c>
      <c r="R1063" s="3">
        <v>0</v>
      </c>
      <c r="S1063" s="3">
        <v>2</v>
      </c>
      <c r="T1063" s="3">
        <v>3</v>
      </c>
      <c r="U1063" s="3">
        <v>4</v>
      </c>
      <c r="V1063" s="3">
        <v>9</v>
      </c>
      <c r="W1063" s="3"/>
      <c r="X1063" s="3">
        <v>24.98</v>
      </c>
      <c r="Y1063" s="3">
        <v>24.98</v>
      </c>
      <c r="Z1063" s="3">
        <v>24.98</v>
      </c>
      <c r="AA1063" s="3">
        <v>0</v>
      </c>
      <c r="AB1063" s="3" t="s">
        <v>5223</v>
      </c>
      <c r="AC1063" s="3">
        <v>9</v>
      </c>
      <c r="AD1063" s="3">
        <v>24.98</v>
      </c>
      <c r="AE1063" s="3">
        <v>0</v>
      </c>
      <c r="AF1063" s="3">
        <v>0</v>
      </c>
      <c r="AG1063" s="3">
        <v>0</v>
      </c>
      <c r="AH1063" s="3">
        <v>1.56521739130434</v>
      </c>
      <c r="AI1063" s="3" t="s">
        <v>5250</v>
      </c>
      <c r="AJ1063" s="3" t="s">
        <v>5222</v>
      </c>
    </row>
    <row r="1064" spans="1:36">
      <c r="A1064" s="5">
        <v>43288</v>
      </c>
      <c r="B1064" s="3" t="s">
        <v>3210</v>
      </c>
      <c r="C1064" s="3" t="s">
        <v>3211</v>
      </c>
      <c r="D1064" s="3" t="s">
        <v>3212</v>
      </c>
      <c r="E1064" s="3" t="s">
        <v>3213</v>
      </c>
      <c r="F1064" s="3" t="s">
        <v>120</v>
      </c>
      <c r="G1064" s="3">
        <v>30</v>
      </c>
      <c r="H1064" s="3">
        <v>0</v>
      </c>
      <c r="I1064" s="3">
        <v>30</v>
      </c>
      <c r="J1064" s="3">
        <v>0</v>
      </c>
      <c r="K1064" s="3">
        <v>0</v>
      </c>
      <c r="L1064" s="3">
        <v>0</v>
      </c>
      <c r="M1064" s="3">
        <v>0</v>
      </c>
      <c r="N1064" s="3" t="s">
        <v>5218</v>
      </c>
      <c r="O1064" s="3">
        <v>0</v>
      </c>
      <c r="P1064" s="3">
        <v>0</v>
      </c>
      <c r="Q1064" s="3">
        <v>0</v>
      </c>
      <c r="R1064" s="3">
        <v>0</v>
      </c>
      <c r="S1064" s="3">
        <v>6</v>
      </c>
      <c r="T1064" s="3">
        <v>28</v>
      </c>
      <c r="U1064" s="3">
        <v>28</v>
      </c>
      <c r="V1064" s="3">
        <v>28</v>
      </c>
      <c r="W1064" s="3"/>
      <c r="X1064" s="3">
        <v>69.9</v>
      </c>
      <c r="Y1064" s="3">
        <v>25.98</v>
      </c>
      <c r="Z1064" s="3">
        <v>25.98</v>
      </c>
      <c r="AA1064" s="3">
        <v>0</v>
      </c>
      <c r="AB1064" s="3" t="s">
        <v>5223</v>
      </c>
      <c r="AC1064" s="3">
        <v>0</v>
      </c>
      <c r="AD1064" s="3">
        <v>0</v>
      </c>
      <c r="AE1064" s="3">
        <v>0</v>
      </c>
      <c r="AF1064" s="3">
        <v>0</v>
      </c>
      <c r="AG1064" s="3">
        <v>0</v>
      </c>
      <c r="AH1064" s="3">
        <v>1.86666666666666</v>
      </c>
      <c r="AI1064" s="3" t="s">
        <v>5241</v>
      </c>
      <c r="AJ1064" s="3" t="s">
        <v>5222</v>
      </c>
    </row>
    <row r="1065" spans="1:36">
      <c r="A1065" s="5">
        <v>43288</v>
      </c>
      <c r="B1065" s="3" t="s">
        <v>2307</v>
      </c>
      <c r="C1065" s="3" t="s">
        <v>2308</v>
      </c>
      <c r="D1065" s="3" t="s">
        <v>2308</v>
      </c>
      <c r="E1065" s="3" t="s">
        <v>2309</v>
      </c>
      <c r="F1065" s="3" t="s">
        <v>120</v>
      </c>
      <c r="G1065" s="3">
        <v>15</v>
      </c>
      <c r="H1065" s="3">
        <v>0</v>
      </c>
      <c r="I1065" s="3">
        <v>15</v>
      </c>
      <c r="J1065" s="3">
        <v>0</v>
      </c>
      <c r="K1065" s="3">
        <v>0</v>
      </c>
      <c r="L1065" s="3">
        <v>0</v>
      </c>
      <c r="M1065" s="3">
        <v>0</v>
      </c>
      <c r="N1065" s="3" t="s">
        <v>5218</v>
      </c>
      <c r="O1065" s="3">
        <v>0</v>
      </c>
      <c r="P1065" s="3">
        <v>0</v>
      </c>
      <c r="Q1065" s="3">
        <v>0</v>
      </c>
      <c r="R1065" s="3">
        <v>0</v>
      </c>
      <c r="S1065" s="3">
        <v>0</v>
      </c>
      <c r="T1065" s="3">
        <v>2</v>
      </c>
      <c r="U1065" s="3">
        <v>5</v>
      </c>
      <c r="V1065" s="3">
        <v>16</v>
      </c>
      <c r="W1065" s="3"/>
      <c r="X1065" s="3">
        <v>22.98</v>
      </c>
      <c r="Y1065" s="3">
        <v>22.98</v>
      </c>
      <c r="Z1065" s="3">
        <v>22.98</v>
      </c>
      <c r="AA1065" s="3">
        <v>0</v>
      </c>
      <c r="AB1065" s="3" t="s">
        <v>5228</v>
      </c>
      <c r="AC1065" s="3">
        <v>1</v>
      </c>
      <c r="AD1065" s="3">
        <v>10.52</v>
      </c>
      <c r="AE1065" s="3">
        <v>98</v>
      </c>
      <c r="AF1065" s="3">
        <v>0</v>
      </c>
      <c r="AG1065" s="3">
        <v>191.267051</v>
      </c>
      <c r="AH1065" s="3">
        <v>1.77777777777777</v>
      </c>
      <c r="AI1065" s="3" t="s">
        <v>5271</v>
      </c>
      <c r="AJ1065" s="3" t="s">
        <v>5222</v>
      </c>
    </row>
    <row r="1066" spans="1:36">
      <c r="A1066" s="5">
        <v>43288</v>
      </c>
      <c r="B1066" s="3" t="s">
        <v>4791</v>
      </c>
      <c r="C1066" s="3" t="s">
        <v>4792</v>
      </c>
      <c r="D1066" s="3" t="s">
        <v>4792</v>
      </c>
      <c r="E1066" s="3" t="s">
        <v>4793</v>
      </c>
      <c r="F1066" s="3" t="s">
        <v>120</v>
      </c>
      <c r="G1066" s="3">
        <v>14</v>
      </c>
      <c r="H1066" s="3">
        <v>0</v>
      </c>
      <c r="I1066" s="3">
        <v>10</v>
      </c>
      <c r="J1066" s="3">
        <v>4</v>
      </c>
      <c r="K1066" s="3">
        <v>0</v>
      </c>
      <c r="L1066" s="3">
        <v>0</v>
      </c>
      <c r="M1066" s="3">
        <v>0</v>
      </c>
      <c r="N1066" s="3" t="s">
        <v>5218</v>
      </c>
      <c r="O1066" s="3">
        <v>3</v>
      </c>
      <c r="P1066" s="3">
        <v>2.01</v>
      </c>
      <c r="Q1066" s="3">
        <v>0</v>
      </c>
      <c r="R1066" s="3">
        <v>0</v>
      </c>
      <c r="S1066" s="3">
        <v>1</v>
      </c>
      <c r="T1066" s="3">
        <v>2</v>
      </c>
      <c r="U1066" s="3">
        <v>3</v>
      </c>
      <c r="V1066" s="3">
        <v>5</v>
      </c>
      <c r="W1066" s="3"/>
      <c r="X1066" s="3">
        <v>22.98</v>
      </c>
      <c r="Y1066" s="3">
        <v>22.98</v>
      </c>
      <c r="Z1066" s="3">
        <v>22.98</v>
      </c>
      <c r="AA1066" s="3">
        <v>0</v>
      </c>
      <c r="AB1066" s="3" t="s">
        <v>5228</v>
      </c>
      <c r="AC1066" s="3">
        <v>0</v>
      </c>
      <c r="AD1066" s="3">
        <v>12.04</v>
      </c>
      <c r="AE1066" s="3">
        <v>105</v>
      </c>
      <c r="AF1066" s="3">
        <v>0</v>
      </c>
      <c r="AG1066" s="3">
        <v>108.401899</v>
      </c>
      <c r="AH1066" s="3">
        <v>0.357142857142857</v>
      </c>
      <c r="AI1066" s="3" t="s">
        <v>5541</v>
      </c>
      <c r="AJ1066" s="3" t="s">
        <v>5222</v>
      </c>
    </row>
    <row r="1067" spans="1:36">
      <c r="A1067" s="5">
        <v>43288</v>
      </c>
      <c r="B1067" s="3" t="s">
        <v>5084</v>
      </c>
      <c r="C1067" s="3" t="s">
        <v>4790</v>
      </c>
      <c r="D1067" s="3" t="s">
        <v>4790</v>
      </c>
      <c r="E1067" s="3" t="s">
        <v>4917</v>
      </c>
      <c r="F1067" s="3" t="s">
        <v>120</v>
      </c>
      <c r="G1067" s="3">
        <v>18</v>
      </c>
      <c r="H1067" s="3">
        <v>0</v>
      </c>
      <c r="I1067" s="3">
        <v>18</v>
      </c>
      <c r="J1067" s="3">
        <v>0</v>
      </c>
      <c r="K1067" s="3">
        <v>0</v>
      </c>
      <c r="L1067" s="3">
        <v>0</v>
      </c>
      <c r="M1067" s="3">
        <v>0</v>
      </c>
      <c r="N1067" s="3" t="s">
        <v>5218</v>
      </c>
      <c r="O1067" s="3">
        <v>0</v>
      </c>
      <c r="P1067" s="3">
        <v>0</v>
      </c>
      <c r="Q1067" s="3">
        <v>0</v>
      </c>
      <c r="R1067" s="3">
        <v>0</v>
      </c>
      <c r="S1067" s="3">
        <v>1</v>
      </c>
      <c r="T1067" s="3">
        <v>2</v>
      </c>
      <c r="U1067" s="3">
        <v>7</v>
      </c>
      <c r="V1067" s="3">
        <v>9</v>
      </c>
      <c r="W1067" s="3"/>
      <c r="X1067" s="3">
        <v>22.98</v>
      </c>
      <c r="Y1067" s="3">
        <v>22.98</v>
      </c>
      <c r="Z1067" s="3">
        <v>22.98</v>
      </c>
      <c r="AA1067" s="3">
        <v>0</v>
      </c>
      <c r="AB1067" s="3" t="s">
        <v>5223</v>
      </c>
      <c r="AC1067" s="3">
        <v>19</v>
      </c>
      <c r="AD1067" s="3">
        <v>22.98</v>
      </c>
      <c r="AE1067" s="3">
        <v>0</v>
      </c>
      <c r="AF1067" s="3">
        <v>0</v>
      </c>
      <c r="AG1067" s="3">
        <v>0</v>
      </c>
      <c r="AH1067" s="3">
        <v>0.72</v>
      </c>
      <c r="AI1067" s="3" t="s">
        <v>5261</v>
      </c>
      <c r="AJ1067" s="3" t="s">
        <v>5222</v>
      </c>
    </row>
    <row r="1068" spans="1:36">
      <c r="A1068" s="5">
        <v>43288</v>
      </c>
      <c r="B1068" s="3" t="s">
        <v>4433</v>
      </c>
      <c r="C1068" s="3" t="s">
        <v>3586</v>
      </c>
      <c r="D1068" s="3" t="s">
        <v>3586</v>
      </c>
      <c r="E1068" s="3" t="s">
        <v>3587</v>
      </c>
      <c r="F1068" s="3" t="s">
        <v>120</v>
      </c>
      <c r="G1068" s="3">
        <v>7</v>
      </c>
      <c r="H1068" s="3">
        <v>0</v>
      </c>
      <c r="I1068" s="3">
        <v>0</v>
      </c>
      <c r="J1068" s="3">
        <v>0</v>
      </c>
      <c r="K1068" s="3">
        <v>7</v>
      </c>
      <c r="L1068" s="3">
        <v>0</v>
      </c>
      <c r="M1068" s="3">
        <v>0</v>
      </c>
      <c r="N1068" s="3" t="s">
        <v>5218</v>
      </c>
      <c r="O1068" s="3">
        <v>7</v>
      </c>
      <c r="P1068" s="3">
        <v>10.81</v>
      </c>
      <c r="Q1068" s="3">
        <v>0</v>
      </c>
      <c r="R1068" s="3">
        <v>0</v>
      </c>
      <c r="S1068" s="3">
        <v>0</v>
      </c>
      <c r="T1068" s="3">
        <v>0</v>
      </c>
      <c r="U1068" s="3">
        <v>0</v>
      </c>
      <c r="V1068" s="3">
        <v>0</v>
      </c>
      <c r="W1068" s="3" t="s">
        <v>5227</v>
      </c>
      <c r="X1068" s="3">
        <v>21.86</v>
      </c>
      <c r="Y1068" s="3">
        <v>21.86</v>
      </c>
      <c r="Z1068" s="3">
        <v>21.86</v>
      </c>
      <c r="AA1068" s="3">
        <v>0</v>
      </c>
      <c r="AB1068" s="3" t="s">
        <v>5228</v>
      </c>
      <c r="AC1068" s="3">
        <v>0</v>
      </c>
      <c r="AD1068" s="3">
        <v>17.84</v>
      </c>
      <c r="AE1068" s="3">
        <v>203</v>
      </c>
      <c r="AF1068" s="3">
        <v>0</v>
      </c>
      <c r="AG1068" s="3">
        <v>163.513824</v>
      </c>
      <c r="AH1068" s="3">
        <v>0</v>
      </c>
      <c r="AI1068" s="3" t="s">
        <v>5262</v>
      </c>
      <c r="AJ1068" s="3" t="s">
        <v>5222</v>
      </c>
    </row>
    <row r="1069" spans="1:36">
      <c r="A1069" s="5">
        <v>43288</v>
      </c>
      <c r="B1069" s="3" t="s">
        <v>548</v>
      </c>
      <c r="C1069" s="3" t="s">
        <v>549</v>
      </c>
      <c r="D1069" s="3" t="s">
        <v>549</v>
      </c>
      <c r="E1069" s="3" t="s">
        <v>796</v>
      </c>
      <c r="F1069" s="3" t="s">
        <v>120</v>
      </c>
      <c r="G1069" s="3">
        <v>5</v>
      </c>
      <c r="H1069" s="3">
        <v>0</v>
      </c>
      <c r="I1069" s="3">
        <v>5</v>
      </c>
      <c r="J1069" s="3">
        <v>0</v>
      </c>
      <c r="K1069" s="3">
        <v>0</v>
      </c>
      <c r="L1069" s="3">
        <v>0</v>
      </c>
      <c r="M1069" s="3">
        <v>0</v>
      </c>
      <c r="N1069" s="3" t="s">
        <v>5218</v>
      </c>
      <c r="O1069" s="3">
        <v>0</v>
      </c>
      <c r="P1069" s="3">
        <v>0</v>
      </c>
      <c r="Q1069" s="3">
        <v>0</v>
      </c>
      <c r="R1069" s="3">
        <v>0</v>
      </c>
      <c r="S1069" s="3">
        <v>0</v>
      </c>
      <c r="T1069" s="3">
        <v>0</v>
      </c>
      <c r="U1069" s="3">
        <v>0</v>
      </c>
      <c r="V1069" s="3">
        <v>0</v>
      </c>
      <c r="W1069" s="3"/>
      <c r="X1069" s="3"/>
      <c r="Y1069" s="3"/>
      <c r="Z1069" s="3">
        <v>22.98</v>
      </c>
      <c r="AA1069" s="3">
        <v>-1</v>
      </c>
      <c r="AB1069" s="3" t="s">
        <v>5244</v>
      </c>
      <c r="AC1069" s="3">
        <v>0</v>
      </c>
      <c r="AD1069" s="3">
        <v>0</v>
      </c>
      <c r="AE1069" s="3">
        <v>0</v>
      </c>
      <c r="AF1069" s="3">
        <v>0</v>
      </c>
      <c r="AG1069" s="3">
        <v>0</v>
      </c>
      <c r="AH1069" s="3">
        <v>0.84</v>
      </c>
      <c r="AI1069" s="3" t="s">
        <v>5225</v>
      </c>
      <c r="AJ1069" s="3" t="s">
        <v>5222</v>
      </c>
    </row>
    <row r="1070" spans="1:36">
      <c r="A1070" s="5">
        <v>43288</v>
      </c>
      <c r="B1070" s="3" t="s">
        <v>2337</v>
      </c>
      <c r="C1070" s="3" t="s">
        <v>2338</v>
      </c>
      <c r="D1070" s="3" t="s">
        <v>2338</v>
      </c>
      <c r="E1070" s="3" t="s">
        <v>2339</v>
      </c>
      <c r="F1070" s="3" t="s">
        <v>120</v>
      </c>
      <c r="G1070" s="3">
        <v>15</v>
      </c>
      <c r="H1070" s="3">
        <v>0</v>
      </c>
      <c r="I1070" s="3">
        <v>15</v>
      </c>
      <c r="J1070" s="3">
        <v>0</v>
      </c>
      <c r="K1070" s="3">
        <v>0</v>
      </c>
      <c r="L1070" s="3">
        <v>0</v>
      </c>
      <c r="M1070" s="3">
        <v>0</v>
      </c>
      <c r="N1070" s="3" t="s">
        <v>5218</v>
      </c>
      <c r="O1070" s="3">
        <v>0</v>
      </c>
      <c r="P1070" s="3">
        <v>0</v>
      </c>
      <c r="Q1070" s="3">
        <v>0</v>
      </c>
      <c r="R1070" s="3">
        <v>0</v>
      </c>
      <c r="S1070" s="3">
        <v>0</v>
      </c>
      <c r="T1070" s="3">
        <v>1</v>
      </c>
      <c r="U1070" s="3">
        <v>4</v>
      </c>
      <c r="V1070" s="3">
        <v>11</v>
      </c>
      <c r="W1070" s="3"/>
      <c r="X1070" s="3">
        <v>22.98</v>
      </c>
      <c r="Y1070" s="3">
        <v>22.98</v>
      </c>
      <c r="Z1070" s="3">
        <v>22.98</v>
      </c>
      <c r="AA1070" s="3">
        <v>0</v>
      </c>
      <c r="AB1070" s="3" t="s">
        <v>5228</v>
      </c>
      <c r="AC1070" s="3">
        <v>0</v>
      </c>
      <c r="AD1070" s="3">
        <v>20.54</v>
      </c>
      <c r="AE1070" s="3">
        <v>196</v>
      </c>
      <c r="AF1070" s="3">
        <v>0</v>
      </c>
      <c r="AG1070" s="3">
        <v>505.818533</v>
      </c>
      <c r="AH1070" s="3">
        <v>0.814814814814814</v>
      </c>
      <c r="AI1070" s="3" t="s">
        <v>5233</v>
      </c>
      <c r="AJ1070" s="3" t="s">
        <v>5222</v>
      </c>
    </row>
    <row r="1071" spans="1:36">
      <c r="A1071" s="5">
        <v>43288</v>
      </c>
      <c r="B1071" s="3" t="s">
        <v>2611</v>
      </c>
      <c r="C1071" s="3" t="s">
        <v>1136</v>
      </c>
      <c r="D1071" s="3" t="s">
        <v>1136</v>
      </c>
      <c r="E1071" s="3" t="s">
        <v>1137</v>
      </c>
      <c r="F1071" s="3" t="s">
        <v>120</v>
      </c>
      <c r="G1071" s="3">
        <v>24</v>
      </c>
      <c r="H1071" s="3">
        <v>0</v>
      </c>
      <c r="I1071" s="3">
        <v>24</v>
      </c>
      <c r="J1071" s="3">
        <v>0</v>
      </c>
      <c r="K1071" s="3">
        <v>0</v>
      </c>
      <c r="L1071" s="3">
        <v>0</v>
      </c>
      <c r="M1071" s="3">
        <v>0</v>
      </c>
      <c r="N1071" s="3" t="s">
        <v>5218</v>
      </c>
      <c r="O1071" s="3">
        <v>0</v>
      </c>
      <c r="P1071" s="3">
        <v>0</v>
      </c>
      <c r="Q1071" s="3">
        <v>0</v>
      </c>
      <c r="R1071" s="3">
        <v>0</v>
      </c>
      <c r="S1071" s="3">
        <v>3</v>
      </c>
      <c r="T1071" s="3">
        <v>14</v>
      </c>
      <c r="U1071" s="3">
        <v>28</v>
      </c>
      <c r="V1071" s="3">
        <v>38</v>
      </c>
      <c r="W1071" s="3"/>
      <c r="X1071" s="3">
        <v>35.98</v>
      </c>
      <c r="Y1071" s="3">
        <v>22.98</v>
      </c>
      <c r="Z1071" s="3">
        <v>22.98</v>
      </c>
      <c r="AA1071" s="3">
        <v>0</v>
      </c>
      <c r="AB1071" s="3" t="s">
        <v>5223</v>
      </c>
      <c r="AC1071" s="3">
        <v>25</v>
      </c>
      <c r="AD1071" s="3">
        <v>22.98</v>
      </c>
      <c r="AE1071" s="3">
        <v>0</v>
      </c>
      <c r="AF1071" s="3">
        <v>0</v>
      </c>
      <c r="AG1071" s="3">
        <v>0</v>
      </c>
      <c r="AH1071" s="3">
        <v>1.57575757575757</v>
      </c>
      <c r="AI1071" s="3" t="s">
        <v>5238</v>
      </c>
      <c r="AJ1071" s="3" t="s">
        <v>5222</v>
      </c>
    </row>
    <row r="1072" spans="1:36">
      <c r="A1072" s="5">
        <v>43288</v>
      </c>
      <c r="B1072" s="3" t="s">
        <v>2596</v>
      </c>
      <c r="C1072" s="3" t="s">
        <v>1080</v>
      </c>
      <c r="D1072" s="3" t="s">
        <v>1080</v>
      </c>
      <c r="E1072" s="3" t="s">
        <v>1081</v>
      </c>
      <c r="F1072" s="3" t="s">
        <v>120</v>
      </c>
      <c r="G1072" s="3">
        <v>46</v>
      </c>
      <c r="H1072" s="3">
        <v>0</v>
      </c>
      <c r="I1072" s="3">
        <v>46</v>
      </c>
      <c r="J1072" s="3">
        <v>0</v>
      </c>
      <c r="K1072" s="3">
        <v>0</v>
      </c>
      <c r="L1072" s="3">
        <v>0</v>
      </c>
      <c r="M1072" s="3">
        <v>0</v>
      </c>
      <c r="N1072" s="3" t="s">
        <v>5218</v>
      </c>
      <c r="O1072" s="3">
        <v>0</v>
      </c>
      <c r="P1072" s="3">
        <v>0</v>
      </c>
      <c r="Q1072" s="3">
        <v>0</v>
      </c>
      <c r="R1072" s="3">
        <v>0</v>
      </c>
      <c r="S1072" s="3">
        <v>1</v>
      </c>
      <c r="T1072" s="3">
        <v>5</v>
      </c>
      <c r="U1072" s="3">
        <v>9</v>
      </c>
      <c r="V1072" s="3">
        <v>20</v>
      </c>
      <c r="W1072" s="3"/>
      <c r="X1072" s="3">
        <v>35.98</v>
      </c>
      <c r="Y1072" s="3">
        <v>22.98</v>
      </c>
      <c r="Z1072" s="3">
        <v>22.98</v>
      </c>
      <c r="AA1072" s="3">
        <v>0</v>
      </c>
      <c r="AB1072" s="3" t="s">
        <v>5228</v>
      </c>
      <c r="AC1072" s="3">
        <v>38</v>
      </c>
      <c r="AD1072" s="3">
        <v>21.47</v>
      </c>
      <c r="AE1072" s="3">
        <v>98</v>
      </c>
      <c r="AF1072" s="3">
        <v>0</v>
      </c>
      <c r="AG1072" s="3">
        <v>0.899081</v>
      </c>
      <c r="AH1072" s="3">
        <v>0.65040650406504</v>
      </c>
      <c r="AI1072" s="3" t="s">
        <v>5238</v>
      </c>
      <c r="AJ1072" s="3" t="s">
        <v>5222</v>
      </c>
    </row>
    <row r="1073" spans="1:36">
      <c r="A1073" s="5">
        <v>43288</v>
      </c>
      <c r="B1073" s="3" t="s">
        <v>4950</v>
      </c>
      <c r="C1073" s="3" t="s">
        <v>4951</v>
      </c>
      <c r="D1073" s="3" t="s">
        <v>4821</v>
      </c>
      <c r="E1073" s="3" t="s">
        <v>4952</v>
      </c>
      <c r="F1073" s="3" t="s">
        <v>120</v>
      </c>
      <c r="G1073" s="3">
        <v>10</v>
      </c>
      <c r="H1073" s="3">
        <v>0</v>
      </c>
      <c r="I1073" s="3">
        <v>10</v>
      </c>
      <c r="J1073" s="3">
        <v>0</v>
      </c>
      <c r="K1073" s="3">
        <v>0</v>
      </c>
      <c r="L1073" s="3">
        <v>0</v>
      </c>
      <c r="M1073" s="3">
        <v>0</v>
      </c>
      <c r="N1073" s="3" t="s">
        <v>5218</v>
      </c>
      <c r="O1073" s="3">
        <v>0</v>
      </c>
      <c r="P1073" s="3">
        <v>0</v>
      </c>
      <c r="Q1073" s="3">
        <v>0</v>
      </c>
      <c r="R1073" s="3">
        <v>0</v>
      </c>
      <c r="S1073" s="3">
        <v>0</v>
      </c>
      <c r="T1073" s="3">
        <v>0</v>
      </c>
      <c r="U1073" s="3">
        <v>0</v>
      </c>
      <c r="V1073" s="3">
        <v>0</v>
      </c>
      <c r="W1073" s="3" t="s">
        <v>5227</v>
      </c>
      <c r="X1073" s="3">
        <v>22.98</v>
      </c>
      <c r="Y1073" s="3">
        <v>22.98</v>
      </c>
      <c r="Z1073" s="3">
        <v>22.98</v>
      </c>
      <c r="AA1073" s="3">
        <v>0</v>
      </c>
      <c r="AB1073" s="3" t="s">
        <v>5223</v>
      </c>
      <c r="AC1073" s="3">
        <v>2</v>
      </c>
      <c r="AD1073" s="3">
        <v>22.98</v>
      </c>
      <c r="AE1073" s="3">
        <v>0</v>
      </c>
      <c r="AF1073" s="3">
        <v>0</v>
      </c>
      <c r="AG1073" s="3">
        <v>0</v>
      </c>
      <c r="AH1073" s="3">
        <v>0.784313725490196</v>
      </c>
      <c r="AI1073" s="3" t="s">
        <v>5261</v>
      </c>
      <c r="AJ1073" s="3" t="s">
        <v>5222</v>
      </c>
    </row>
    <row r="1074" spans="1:36">
      <c r="A1074" s="5">
        <v>43288</v>
      </c>
      <c r="B1074" s="3" t="s">
        <v>5099</v>
      </c>
      <c r="C1074" s="3" t="s">
        <v>4825</v>
      </c>
      <c r="D1074" s="3" t="s">
        <v>4825</v>
      </c>
      <c r="E1074" s="3" t="s">
        <v>4958</v>
      </c>
      <c r="F1074" s="3" t="s">
        <v>120</v>
      </c>
      <c r="G1074" s="3">
        <v>21</v>
      </c>
      <c r="H1074" s="3">
        <v>0</v>
      </c>
      <c r="I1074" s="3">
        <v>20</v>
      </c>
      <c r="J1074" s="3">
        <v>0</v>
      </c>
      <c r="K1074" s="3">
        <v>1</v>
      </c>
      <c r="L1074" s="3">
        <v>0</v>
      </c>
      <c r="M1074" s="3">
        <v>0</v>
      </c>
      <c r="N1074" s="3" t="s">
        <v>5218</v>
      </c>
      <c r="O1074" s="3">
        <v>1</v>
      </c>
      <c r="P1074" s="3">
        <v>0.79</v>
      </c>
      <c r="Q1074" s="3">
        <v>0</v>
      </c>
      <c r="R1074" s="3">
        <v>0</v>
      </c>
      <c r="S1074" s="3">
        <v>0</v>
      </c>
      <c r="T1074" s="3">
        <v>1</v>
      </c>
      <c r="U1074" s="3">
        <v>2</v>
      </c>
      <c r="V1074" s="3">
        <v>2</v>
      </c>
      <c r="W1074" s="3"/>
      <c r="X1074" s="3">
        <v>22.98</v>
      </c>
      <c r="Y1074" s="3">
        <v>22.98</v>
      </c>
      <c r="Z1074" s="3">
        <v>22.98</v>
      </c>
      <c r="AA1074" s="3">
        <v>0</v>
      </c>
      <c r="AB1074" s="3" t="s">
        <v>5228</v>
      </c>
      <c r="AC1074" s="3">
        <v>0</v>
      </c>
      <c r="AD1074" s="3">
        <v>15.66</v>
      </c>
      <c r="AE1074" s="3">
        <v>364</v>
      </c>
      <c r="AF1074" s="3">
        <v>0</v>
      </c>
      <c r="AG1074" s="3">
        <v>254.362658</v>
      </c>
      <c r="AH1074" s="3">
        <v>0.135593220338983</v>
      </c>
      <c r="AI1074" s="3" t="s">
        <v>5261</v>
      </c>
      <c r="AJ1074" s="3" t="s">
        <v>5222</v>
      </c>
    </row>
    <row r="1075" spans="1:36">
      <c r="A1075" s="5">
        <v>43288</v>
      </c>
      <c r="B1075" s="3" t="s">
        <v>4582</v>
      </c>
      <c r="C1075" s="3" t="s">
        <v>4051</v>
      </c>
      <c r="D1075" s="3" t="s">
        <v>4051</v>
      </c>
      <c r="E1075" s="3" t="s">
        <v>4052</v>
      </c>
      <c r="F1075" s="3" t="s">
        <v>120</v>
      </c>
      <c r="G1075" s="3">
        <v>12</v>
      </c>
      <c r="H1075" s="3">
        <v>0</v>
      </c>
      <c r="I1075" s="3">
        <v>12</v>
      </c>
      <c r="J1075" s="3">
        <v>0</v>
      </c>
      <c r="K1075" s="3">
        <v>0</v>
      </c>
      <c r="L1075" s="3">
        <v>0</v>
      </c>
      <c r="M1075" s="3">
        <v>0</v>
      </c>
      <c r="N1075" s="3" t="s">
        <v>5218</v>
      </c>
      <c r="O1075" s="3">
        <v>0</v>
      </c>
      <c r="P1075" s="3">
        <v>0</v>
      </c>
      <c r="Q1075" s="3">
        <v>0</v>
      </c>
      <c r="R1075" s="3">
        <v>0</v>
      </c>
      <c r="S1075" s="3">
        <v>0</v>
      </c>
      <c r="T1075" s="3">
        <v>1</v>
      </c>
      <c r="U1075" s="3">
        <v>8</v>
      </c>
      <c r="V1075" s="3">
        <v>11</v>
      </c>
      <c r="W1075" s="3"/>
      <c r="X1075" s="3">
        <v>20.98</v>
      </c>
      <c r="Y1075" s="3">
        <v>20.98</v>
      </c>
      <c r="Z1075" s="3">
        <v>20.98</v>
      </c>
      <c r="AA1075" s="3">
        <v>0</v>
      </c>
      <c r="AB1075" s="3" t="s">
        <v>5223</v>
      </c>
      <c r="AC1075" s="3">
        <v>12</v>
      </c>
      <c r="AD1075" s="3">
        <v>20.98</v>
      </c>
      <c r="AE1075" s="3">
        <v>0</v>
      </c>
      <c r="AF1075" s="3">
        <v>0</v>
      </c>
      <c r="AG1075" s="3">
        <v>0</v>
      </c>
      <c r="AH1075" s="3">
        <v>1.25714285714285</v>
      </c>
      <c r="AI1075" s="3" t="s">
        <v>5542</v>
      </c>
      <c r="AJ1075" s="3" t="s">
        <v>5222</v>
      </c>
    </row>
    <row r="1076" spans="1:36">
      <c r="A1076" s="5">
        <v>43288</v>
      </c>
      <c r="B1076" s="3" t="s">
        <v>712</v>
      </c>
      <c r="C1076" s="3" t="s">
        <v>713</v>
      </c>
      <c r="D1076" s="3" t="s">
        <v>617</v>
      </c>
      <c r="E1076" s="3" t="s">
        <v>618</v>
      </c>
      <c r="F1076" s="3" t="s">
        <v>120</v>
      </c>
      <c r="G1076" s="3">
        <v>5</v>
      </c>
      <c r="H1076" s="3">
        <v>0</v>
      </c>
      <c r="I1076" s="3">
        <v>5</v>
      </c>
      <c r="J1076" s="3">
        <v>0</v>
      </c>
      <c r="K1076" s="3">
        <v>0</v>
      </c>
      <c r="L1076" s="3">
        <v>0</v>
      </c>
      <c r="M1076" s="3">
        <v>0</v>
      </c>
      <c r="N1076" s="3" t="s">
        <v>5218</v>
      </c>
      <c r="O1076" s="3">
        <v>0</v>
      </c>
      <c r="P1076" s="3">
        <v>0</v>
      </c>
      <c r="Q1076" s="3">
        <v>0</v>
      </c>
      <c r="R1076" s="3">
        <v>0</v>
      </c>
      <c r="S1076" s="3">
        <v>0</v>
      </c>
      <c r="T1076" s="3">
        <v>0</v>
      </c>
      <c r="U1076" s="3">
        <v>0</v>
      </c>
      <c r="V1076" s="3">
        <v>0</v>
      </c>
      <c r="W1076" s="3" t="s">
        <v>5227</v>
      </c>
      <c r="X1076" s="3">
        <v>24.98</v>
      </c>
      <c r="Y1076" s="3">
        <v>24.98</v>
      </c>
      <c r="Z1076" s="3">
        <v>24.98</v>
      </c>
      <c r="AA1076" s="3">
        <v>0</v>
      </c>
      <c r="AB1076" s="3" t="s">
        <v>5223</v>
      </c>
      <c r="AC1076" s="3">
        <v>0</v>
      </c>
      <c r="AD1076" s="3">
        <v>0</v>
      </c>
      <c r="AE1076" s="3">
        <v>0</v>
      </c>
      <c r="AF1076" s="3">
        <v>0</v>
      </c>
      <c r="AG1076" s="3">
        <v>0</v>
      </c>
      <c r="AH1076" s="3">
        <v>0.689655172413793</v>
      </c>
      <c r="AI1076" s="3" t="s">
        <v>5250</v>
      </c>
      <c r="AJ1076" s="3" t="s">
        <v>5222</v>
      </c>
    </row>
    <row r="1077" spans="1:36">
      <c r="A1077" s="5">
        <v>43288</v>
      </c>
      <c r="B1077" s="3" t="s">
        <v>2234</v>
      </c>
      <c r="C1077" s="3" t="s">
        <v>2235</v>
      </c>
      <c r="D1077" s="3" t="s">
        <v>2235</v>
      </c>
      <c r="E1077" s="3" t="s">
        <v>2236</v>
      </c>
      <c r="F1077" s="3" t="s">
        <v>120</v>
      </c>
      <c r="G1077" s="3">
        <v>22</v>
      </c>
      <c r="H1077" s="3">
        <v>0</v>
      </c>
      <c r="I1077" s="3">
        <v>2</v>
      </c>
      <c r="J1077" s="3">
        <v>20</v>
      </c>
      <c r="K1077" s="3">
        <v>0</v>
      </c>
      <c r="L1077" s="3">
        <v>0</v>
      </c>
      <c r="M1077" s="3">
        <v>0</v>
      </c>
      <c r="N1077" s="3" t="s">
        <v>5218</v>
      </c>
      <c r="O1077" s="3">
        <v>19</v>
      </c>
      <c r="P1077" s="3">
        <v>21.58</v>
      </c>
      <c r="Q1077" s="3">
        <v>0</v>
      </c>
      <c r="R1077" s="3">
        <v>0</v>
      </c>
      <c r="S1077" s="3">
        <v>1</v>
      </c>
      <c r="T1077" s="3">
        <v>3</v>
      </c>
      <c r="U1077" s="3">
        <v>14</v>
      </c>
      <c r="V1077" s="3">
        <v>15</v>
      </c>
      <c r="W1077" s="3"/>
      <c r="X1077" s="3">
        <v>23.98</v>
      </c>
      <c r="Y1077" s="3">
        <v>23.98</v>
      </c>
      <c r="Z1077" s="3">
        <v>18.98</v>
      </c>
      <c r="AA1077" s="3">
        <v>0</v>
      </c>
      <c r="AB1077" s="3" t="s">
        <v>5223</v>
      </c>
      <c r="AC1077" s="3">
        <v>23</v>
      </c>
      <c r="AD1077" s="3">
        <v>23.98</v>
      </c>
      <c r="AE1077" s="3">
        <v>0</v>
      </c>
      <c r="AF1077" s="3">
        <v>0</v>
      </c>
      <c r="AG1077" s="3">
        <v>0</v>
      </c>
      <c r="AH1077" s="3">
        <v>0.508474576271186</v>
      </c>
      <c r="AI1077" s="3" t="s">
        <v>5313</v>
      </c>
      <c r="AJ1077" s="3" t="s">
        <v>5222</v>
      </c>
    </row>
    <row r="1078" spans="1:36">
      <c r="A1078" s="5">
        <v>43288</v>
      </c>
      <c r="B1078" s="3" t="s">
        <v>2295</v>
      </c>
      <c r="C1078" s="3" t="s">
        <v>2296</v>
      </c>
      <c r="D1078" s="3" t="s">
        <v>2296</v>
      </c>
      <c r="E1078" s="3" t="s">
        <v>2297</v>
      </c>
      <c r="F1078" s="3" t="s">
        <v>120</v>
      </c>
      <c r="G1078" s="3">
        <v>37</v>
      </c>
      <c r="H1078" s="3">
        <v>0</v>
      </c>
      <c r="I1078" s="3">
        <v>37</v>
      </c>
      <c r="J1078" s="3">
        <v>0</v>
      </c>
      <c r="K1078" s="3">
        <v>0</v>
      </c>
      <c r="L1078" s="3">
        <v>0</v>
      </c>
      <c r="M1078" s="3">
        <v>0</v>
      </c>
      <c r="N1078" s="3" t="s">
        <v>5218</v>
      </c>
      <c r="O1078" s="3">
        <v>0</v>
      </c>
      <c r="P1078" s="3">
        <v>0</v>
      </c>
      <c r="Q1078" s="3">
        <v>0</v>
      </c>
      <c r="R1078" s="3">
        <v>0</v>
      </c>
      <c r="S1078" s="3">
        <v>0</v>
      </c>
      <c r="T1078" s="3">
        <v>2</v>
      </c>
      <c r="U1078" s="3">
        <v>4</v>
      </c>
      <c r="V1078" s="3">
        <v>5</v>
      </c>
      <c r="W1078" s="3"/>
      <c r="X1078" s="3">
        <v>22.98</v>
      </c>
      <c r="Y1078" s="3">
        <v>22.98</v>
      </c>
      <c r="Z1078" s="3">
        <v>22.98</v>
      </c>
      <c r="AA1078" s="3">
        <v>0</v>
      </c>
      <c r="AB1078" s="3" t="s">
        <v>5228</v>
      </c>
      <c r="AC1078" s="3">
        <v>27</v>
      </c>
      <c r="AD1078" s="3">
        <v>21.09</v>
      </c>
      <c r="AE1078" s="3">
        <v>140</v>
      </c>
      <c r="AF1078" s="3">
        <v>0</v>
      </c>
      <c r="AG1078" s="3">
        <v>2.507689</v>
      </c>
      <c r="AH1078" s="3">
        <v>0.240963855421686</v>
      </c>
      <c r="AI1078" s="3" t="s">
        <v>5271</v>
      </c>
      <c r="AJ1078" s="3" t="s">
        <v>5222</v>
      </c>
    </row>
    <row r="1079" spans="1:36">
      <c r="A1079" s="5">
        <v>43288</v>
      </c>
      <c r="B1079" s="3" t="s">
        <v>1981</v>
      </c>
      <c r="C1079" s="3" t="s">
        <v>148</v>
      </c>
      <c r="D1079" s="3" t="s">
        <v>148</v>
      </c>
      <c r="E1079" s="3" t="s">
        <v>1982</v>
      </c>
      <c r="F1079" s="3" t="s">
        <v>120</v>
      </c>
      <c r="G1079" s="3">
        <v>5</v>
      </c>
      <c r="H1079" s="3">
        <v>0</v>
      </c>
      <c r="I1079" s="3">
        <v>0</v>
      </c>
      <c r="J1079" s="3">
        <v>1</v>
      </c>
      <c r="K1079" s="3">
        <v>4</v>
      </c>
      <c r="L1079" s="3">
        <v>0</v>
      </c>
      <c r="M1079" s="3">
        <v>0</v>
      </c>
      <c r="N1079" s="3" t="s">
        <v>5218</v>
      </c>
      <c r="O1079" s="3">
        <v>5</v>
      </c>
      <c r="P1079" s="3">
        <v>9.35</v>
      </c>
      <c r="Q1079" s="3">
        <v>0</v>
      </c>
      <c r="R1079" s="3">
        <v>0</v>
      </c>
      <c r="S1079" s="3">
        <v>2</v>
      </c>
      <c r="T1079" s="3">
        <v>5</v>
      </c>
      <c r="U1079" s="3">
        <v>9</v>
      </c>
      <c r="V1079" s="3">
        <v>11</v>
      </c>
      <c r="W1079" s="3"/>
      <c r="X1079" s="3">
        <v>14.98</v>
      </c>
      <c r="Y1079" s="3">
        <v>14.98</v>
      </c>
      <c r="Z1079" s="3">
        <v>14.98</v>
      </c>
      <c r="AA1079" s="3">
        <v>0</v>
      </c>
      <c r="AB1079" s="3" t="s">
        <v>5223</v>
      </c>
      <c r="AC1079" s="3">
        <v>7</v>
      </c>
      <c r="AD1079" s="3">
        <v>14.98</v>
      </c>
      <c r="AE1079" s="3">
        <v>0</v>
      </c>
      <c r="AF1079" s="3">
        <v>0</v>
      </c>
      <c r="AG1079" s="3">
        <v>0</v>
      </c>
      <c r="AH1079" s="3">
        <v>0.977777777777777</v>
      </c>
      <c r="AI1079" s="3" t="s">
        <v>5270</v>
      </c>
      <c r="AJ1079" s="3" t="s">
        <v>5222</v>
      </c>
    </row>
    <row r="1080" spans="1:36">
      <c r="A1080" s="5">
        <v>43288</v>
      </c>
      <c r="B1080" s="3" t="s">
        <v>2587</v>
      </c>
      <c r="C1080" s="3" t="s">
        <v>1068</v>
      </c>
      <c r="D1080" s="3" t="s">
        <v>1068</v>
      </c>
      <c r="E1080" s="3" t="s">
        <v>1069</v>
      </c>
      <c r="F1080" s="3" t="s">
        <v>120</v>
      </c>
      <c r="G1080" s="3">
        <v>18</v>
      </c>
      <c r="H1080" s="3">
        <v>0</v>
      </c>
      <c r="I1080" s="3">
        <v>18</v>
      </c>
      <c r="J1080" s="3">
        <v>0</v>
      </c>
      <c r="K1080" s="3">
        <v>0</v>
      </c>
      <c r="L1080" s="3">
        <v>0</v>
      </c>
      <c r="M1080" s="3">
        <v>0</v>
      </c>
      <c r="N1080" s="3" t="s">
        <v>5218</v>
      </c>
      <c r="O1080" s="3">
        <v>0</v>
      </c>
      <c r="P1080" s="3">
        <v>0</v>
      </c>
      <c r="Q1080" s="3">
        <v>0</v>
      </c>
      <c r="R1080" s="3">
        <v>0</v>
      </c>
      <c r="S1080" s="3">
        <v>2</v>
      </c>
      <c r="T1080" s="3">
        <v>24</v>
      </c>
      <c r="U1080" s="3">
        <v>41</v>
      </c>
      <c r="V1080" s="3">
        <v>52</v>
      </c>
      <c r="W1080" s="3"/>
      <c r="X1080" s="3">
        <v>22.98</v>
      </c>
      <c r="Y1080" s="3">
        <v>22.98</v>
      </c>
      <c r="Z1080" s="3">
        <v>22.98</v>
      </c>
      <c r="AA1080" s="3">
        <v>0</v>
      </c>
      <c r="AB1080" s="3" t="s">
        <v>5223</v>
      </c>
      <c r="AC1080" s="3">
        <v>19</v>
      </c>
      <c r="AD1080" s="3">
        <v>22.98</v>
      </c>
      <c r="AE1080" s="3">
        <v>0</v>
      </c>
      <c r="AF1080" s="3">
        <v>0</v>
      </c>
      <c r="AG1080" s="3">
        <v>0</v>
      </c>
      <c r="AH1080" s="3">
        <v>4</v>
      </c>
      <c r="AI1080" s="3" t="s">
        <v>5238</v>
      </c>
      <c r="AJ1080" s="3" t="s">
        <v>5222</v>
      </c>
    </row>
    <row r="1081" spans="1:36">
      <c r="A1081" s="5">
        <v>43288</v>
      </c>
      <c r="B1081" s="3" t="s">
        <v>1616</v>
      </c>
      <c r="C1081" s="3" t="s">
        <v>1617</v>
      </c>
      <c r="D1081" s="3" t="s">
        <v>1617</v>
      </c>
      <c r="E1081" s="3" t="s">
        <v>1618</v>
      </c>
      <c r="F1081" s="3" t="s">
        <v>120</v>
      </c>
      <c r="G1081" s="3">
        <v>20</v>
      </c>
      <c r="H1081" s="3">
        <v>0</v>
      </c>
      <c r="I1081" s="3">
        <v>1</v>
      </c>
      <c r="J1081" s="3">
        <v>0</v>
      </c>
      <c r="K1081" s="3">
        <v>19</v>
      </c>
      <c r="L1081" s="3">
        <v>0</v>
      </c>
      <c r="M1081" s="3">
        <v>0</v>
      </c>
      <c r="N1081" s="3" t="s">
        <v>5218</v>
      </c>
      <c r="O1081" s="3">
        <v>19</v>
      </c>
      <c r="P1081" s="3">
        <v>60.12</v>
      </c>
      <c r="Q1081" s="3">
        <v>0</v>
      </c>
      <c r="R1081" s="3">
        <v>0</v>
      </c>
      <c r="S1081" s="3">
        <v>0</v>
      </c>
      <c r="T1081" s="3">
        <v>4</v>
      </c>
      <c r="U1081" s="3">
        <v>6</v>
      </c>
      <c r="V1081" s="3">
        <v>9</v>
      </c>
      <c r="W1081" s="3"/>
      <c r="X1081" s="3">
        <v>20.98</v>
      </c>
      <c r="Y1081" s="3">
        <v>20.98</v>
      </c>
      <c r="Z1081" s="3">
        <v>19.98</v>
      </c>
      <c r="AA1081" s="3">
        <v>0</v>
      </c>
      <c r="AB1081" s="3" t="s">
        <v>5228</v>
      </c>
      <c r="AC1081" s="3">
        <v>11</v>
      </c>
      <c r="AD1081" s="3">
        <v>17.29</v>
      </c>
      <c r="AE1081" s="3">
        <v>35</v>
      </c>
      <c r="AF1081" s="3">
        <v>0</v>
      </c>
      <c r="AG1081" s="3">
        <v>14.36169</v>
      </c>
      <c r="AH1081" s="3">
        <v>0.371134020618556</v>
      </c>
      <c r="AI1081" s="3" t="s">
        <v>5248</v>
      </c>
      <c r="AJ1081" s="3" t="s">
        <v>5222</v>
      </c>
    </row>
    <row r="1082" spans="1:1">
      <c r="A1082" s="6"/>
    </row>
    <row r="1083" spans="1:1">
      <c r="A1083" s="6"/>
    </row>
    <row r="1084" spans="1:1">
      <c r="A1084" s="6"/>
    </row>
    <row r="1085" spans="1:1">
      <c r="A1085" s="6"/>
    </row>
    <row r="1086" spans="1:1">
      <c r="A1086" s="6"/>
    </row>
    <row r="1087" spans="1:1">
      <c r="A1087" s="6"/>
    </row>
    <row r="1088" spans="1:1">
      <c r="A1088" s="6"/>
    </row>
    <row r="1089" spans="1:1">
      <c r="A1089" s="6"/>
    </row>
    <row r="1090" spans="1:1">
      <c r="A1090" s="6"/>
    </row>
    <row r="1091" spans="1:1">
      <c r="A1091" s="6"/>
    </row>
    <row r="1092" spans="1:1">
      <c r="A1092" s="6"/>
    </row>
    <row r="1093" spans="1:1">
      <c r="A1093" s="6"/>
    </row>
    <row r="1094" spans="1:1">
      <c r="A1094" s="6"/>
    </row>
    <row r="1095" spans="1:1">
      <c r="A1095" s="6"/>
    </row>
    <row r="1096" spans="1:1">
      <c r="A1096" s="6"/>
    </row>
    <row r="1097" spans="1:1">
      <c r="A1097" s="6"/>
    </row>
    <row r="1098" spans="1:1">
      <c r="A1098" s="6"/>
    </row>
    <row r="1099" spans="1:1">
      <c r="A1099" s="6"/>
    </row>
    <row r="1100" spans="1:1">
      <c r="A1100" s="6"/>
    </row>
    <row r="1101" spans="1:1">
      <c r="A1101" s="6"/>
    </row>
    <row r="1102" spans="1:1">
      <c r="A1102" s="6"/>
    </row>
    <row r="1103" spans="1:1">
      <c r="A1103" s="6"/>
    </row>
    <row r="1104" spans="1:1">
      <c r="A1104" s="6"/>
    </row>
    <row r="1105" spans="1:1">
      <c r="A1105" s="6"/>
    </row>
    <row r="1106" spans="1:1">
      <c r="A1106" s="6"/>
    </row>
    <row r="1107" spans="1:1">
      <c r="A1107" s="6"/>
    </row>
    <row r="1108" spans="1:1">
      <c r="A1108" s="6"/>
    </row>
    <row r="1109" spans="1:1">
      <c r="A1109" s="6"/>
    </row>
    <row r="1110" spans="1:1">
      <c r="A1110" s="6"/>
    </row>
    <row r="1111" spans="1:1">
      <c r="A1111" s="6"/>
    </row>
    <row r="1112" spans="1:1">
      <c r="A1112" s="6"/>
    </row>
    <row r="1113" spans="1:1">
      <c r="A1113" s="6"/>
    </row>
    <row r="1114" spans="1:1">
      <c r="A1114" s="6"/>
    </row>
    <row r="1115" spans="1:1">
      <c r="A1115" s="6"/>
    </row>
    <row r="1116" spans="1:1">
      <c r="A1116" s="6"/>
    </row>
    <row r="1117" spans="1:1">
      <c r="A1117" s="6"/>
    </row>
    <row r="1118" spans="1:1">
      <c r="A1118" s="6"/>
    </row>
    <row r="1119" spans="1:1">
      <c r="A1119" s="6"/>
    </row>
    <row r="1120" spans="1:1">
      <c r="A1120" s="6"/>
    </row>
    <row r="1121" spans="1:1">
      <c r="A1121" s="6"/>
    </row>
    <row r="1122" spans="1:1">
      <c r="A1122" s="6"/>
    </row>
    <row r="1123" spans="1:1">
      <c r="A1123" s="6"/>
    </row>
    <row r="1124" spans="1:1">
      <c r="A1124" s="6"/>
    </row>
    <row r="1125" spans="1:1">
      <c r="A1125" s="6"/>
    </row>
    <row r="1126" spans="1:1">
      <c r="A1126" s="6"/>
    </row>
    <row r="1127" spans="1:1">
      <c r="A1127" s="6"/>
    </row>
    <row r="1128" spans="1:1">
      <c r="A1128" s="6"/>
    </row>
    <row r="1129" spans="1:1">
      <c r="A1129" s="6"/>
    </row>
    <row r="1130" spans="1:1">
      <c r="A1130" s="6"/>
    </row>
    <row r="1131" spans="1:1">
      <c r="A1131" s="6"/>
    </row>
    <row r="1132" spans="1:1">
      <c r="A1132" s="6"/>
    </row>
    <row r="1133" spans="1:1">
      <c r="A1133" s="6"/>
    </row>
    <row r="1134" spans="1:1">
      <c r="A1134" s="6"/>
    </row>
    <row r="1135" spans="1:1">
      <c r="A1135" s="6"/>
    </row>
    <row r="1136" spans="1:1">
      <c r="A1136" s="6"/>
    </row>
    <row r="1137" spans="1:1">
      <c r="A1137" s="6"/>
    </row>
    <row r="1138" spans="1:1">
      <c r="A1138" s="6"/>
    </row>
    <row r="1139" spans="1:1">
      <c r="A1139" s="6"/>
    </row>
    <row r="1140" spans="1:1">
      <c r="A1140" s="6"/>
    </row>
    <row r="1141" spans="1:1">
      <c r="A1141" s="6"/>
    </row>
    <row r="1142" spans="1:1">
      <c r="A1142" s="6"/>
    </row>
    <row r="1143" spans="1:1">
      <c r="A1143" s="6"/>
    </row>
    <row r="1144" spans="1:1">
      <c r="A1144" s="6"/>
    </row>
    <row r="1145" spans="1:1">
      <c r="A1145" s="6"/>
    </row>
    <row r="1146" spans="1:1">
      <c r="A1146" s="6"/>
    </row>
    <row r="1147" spans="1:1">
      <c r="A1147" s="6"/>
    </row>
    <row r="1148" spans="1:1">
      <c r="A1148" s="6"/>
    </row>
    <row r="1149" spans="1:1">
      <c r="A1149" s="6"/>
    </row>
    <row r="1150" spans="1:1">
      <c r="A1150" s="6"/>
    </row>
    <row r="1151" spans="1:1">
      <c r="A1151" s="6"/>
    </row>
    <row r="1152" spans="1:1">
      <c r="A1152" s="6"/>
    </row>
    <row r="1153" spans="1:1">
      <c r="A1153" s="6"/>
    </row>
    <row r="1154" spans="1:1">
      <c r="A1154" s="6"/>
    </row>
    <row r="1155" spans="1:1">
      <c r="A1155" s="6"/>
    </row>
    <row r="1156" spans="1:1">
      <c r="A1156" s="6"/>
    </row>
    <row r="1157" spans="1:1">
      <c r="A1157" s="6"/>
    </row>
    <row r="1158" spans="1:1">
      <c r="A1158" s="6"/>
    </row>
    <row r="1159" spans="1:1">
      <c r="A1159" s="6"/>
    </row>
    <row r="1160" spans="1:1">
      <c r="A1160" s="6"/>
    </row>
    <row r="1161" spans="1:1">
      <c r="A1161" s="6"/>
    </row>
    <row r="1162" spans="1:1">
      <c r="A1162" s="6"/>
    </row>
    <row r="1163" spans="1:1">
      <c r="A1163" s="6"/>
    </row>
    <row r="1164" spans="1:1">
      <c r="A1164" s="6"/>
    </row>
    <row r="1165" spans="1:1">
      <c r="A1165" s="6"/>
    </row>
    <row r="1166" spans="1:1">
      <c r="A1166" s="6"/>
    </row>
    <row r="1167" spans="1:1">
      <c r="A1167" s="6"/>
    </row>
    <row r="1168" spans="1:1">
      <c r="A1168" s="6"/>
    </row>
    <row r="1169" spans="1:1">
      <c r="A1169" s="6"/>
    </row>
    <row r="1170" spans="1:1">
      <c r="A1170" s="6"/>
    </row>
    <row r="1171" spans="1:1">
      <c r="A1171" s="6"/>
    </row>
    <row r="1172" spans="1:1">
      <c r="A1172" s="6"/>
    </row>
    <row r="1173" spans="1:1">
      <c r="A1173" s="6"/>
    </row>
    <row r="1174" spans="1:1">
      <c r="A1174" s="6"/>
    </row>
    <row r="1175" spans="1:1">
      <c r="A1175" s="6"/>
    </row>
    <row r="1176" spans="1:1">
      <c r="A1176" s="6"/>
    </row>
    <row r="1177" spans="1:1">
      <c r="A1177" s="6"/>
    </row>
    <row r="1178" spans="1:1">
      <c r="A1178" s="6"/>
    </row>
    <row r="1179" spans="1:1">
      <c r="A1179" s="6"/>
    </row>
    <row r="1180" spans="1:1">
      <c r="A1180" s="6"/>
    </row>
    <row r="1181" spans="1:1">
      <c r="A1181" s="6"/>
    </row>
    <row r="1182" spans="1:1">
      <c r="A1182" s="6"/>
    </row>
    <row r="1183" spans="1:1">
      <c r="A1183" s="6"/>
    </row>
    <row r="1184" spans="1:1">
      <c r="A1184" s="6"/>
    </row>
    <row r="1185" spans="1:1">
      <c r="A1185" s="6"/>
    </row>
    <row r="1186" spans="1:1">
      <c r="A1186" s="6"/>
    </row>
    <row r="1187" spans="1:1">
      <c r="A1187" s="6"/>
    </row>
    <row r="1188" spans="1:1">
      <c r="A1188" s="6"/>
    </row>
    <row r="1189" spans="1:1">
      <c r="A1189" s="6"/>
    </row>
    <row r="1190" spans="1:1">
      <c r="A1190" s="6"/>
    </row>
    <row r="1191" spans="1:1">
      <c r="A1191" s="6"/>
    </row>
    <row r="1192" spans="1:1">
      <c r="A1192" s="6"/>
    </row>
    <row r="1193" spans="1:1">
      <c r="A1193" s="6"/>
    </row>
    <row r="1194" spans="1:1">
      <c r="A1194" s="6"/>
    </row>
    <row r="1195" spans="1:1">
      <c r="A1195" s="6"/>
    </row>
    <row r="1196" spans="1:1">
      <c r="A1196" s="6"/>
    </row>
    <row r="1197" spans="1:1">
      <c r="A1197" s="6"/>
    </row>
    <row r="1198" spans="1:1">
      <c r="A1198" s="6"/>
    </row>
    <row r="1199" spans="1:1">
      <c r="A1199" s="6"/>
    </row>
    <row r="1200" spans="1:1">
      <c r="A1200" s="6"/>
    </row>
    <row r="1201" spans="1:1">
      <c r="A1201" s="6"/>
    </row>
    <row r="1202" spans="1:1">
      <c r="A1202" s="6"/>
    </row>
    <row r="1203" spans="1:1">
      <c r="A1203" s="6"/>
    </row>
    <row r="1204" spans="1:1">
      <c r="A1204" s="6"/>
    </row>
    <row r="1205" spans="1:1">
      <c r="A1205" s="6"/>
    </row>
    <row r="1206" spans="1:1">
      <c r="A1206" s="6"/>
    </row>
    <row r="1207" spans="1:1">
      <c r="A1207" s="6"/>
    </row>
    <row r="1208" spans="1:1">
      <c r="A1208" s="6"/>
    </row>
    <row r="1209" spans="1:1">
      <c r="A1209" s="6"/>
    </row>
    <row r="1210" spans="1:1">
      <c r="A1210" s="6"/>
    </row>
    <row r="1211" spans="1:1">
      <c r="A1211" s="6"/>
    </row>
    <row r="1212" spans="1:1">
      <c r="A1212" s="6"/>
    </row>
    <row r="1213" spans="1:1">
      <c r="A1213" s="6"/>
    </row>
    <row r="1214" spans="1:1">
      <c r="A1214" s="6"/>
    </row>
    <row r="1215" spans="1:1">
      <c r="A1215" s="6"/>
    </row>
    <row r="1216" spans="1:1">
      <c r="A1216" s="6"/>
    </row>
    <row r="1217" spans="1:1">
      <c r="A1217" s="6"/>
    </row>
    <row r="1218" spans="1:1">
      <c r="A1218" s="6"/>
    </row>
    <row r="1219" spans="1:1">
      <c r="A1219" s="6"/>
    </row>
    <row r="1220" spans="1:1">
      <c r="A1220" s="6"/>
    </row>
    <row r="1221" spans="1:1">
      <c r="A1221" s="6"/>
    </row>
    <row r="1222" spans="1:1">
      <c r="A1222" s="6"/>
    </row>
    <row r="1223" spans="1:1">
      <c r="A1223" s="6"/>
    </row>
    <row r="1224" spans="1:1">
      <c r="A1224" s="6"/>
    </row>
    <row r="1225" spans="1:1">
      <c r="A1225" s="6"/>
    </row>
    <row r="1226" spans="1:1">
      <c r="A1226" s="6"/>
    </row>
    <row r="1227" spans="1:1">
      <c r="A1227" s="6"/>
    </row>
    <row r="1228" spans="1:1">
      <c r="A1228" s="6"/>
    </row>
    <row r="1229" spans="1:1">
      <c r="A1229" s="6"/>
    </row>
    <row r="1230" spans="1:1">
      <c r="A1230" s="6"/>
    </row>
    <row r="1231" spans="1:1">
      <c r="A1231" s="6"/>
    </row>
    <row r="1232" spans="1:1">
      <c r="A1232" s="6"/>
    </row>
    <row r="1233" spans="1:1">
      <c r="A1233" s="6"/>
    </row>
    <row r="1234" spans="1:1">
      <c r="A1234" s="6"/>
    </row>
    <row r="1235" spans="1:1">
      <c r="A1235" s="6"/>
    </row>
    <row r="1236" spans="1:1">
      <c r="A1236" s="6"/>
    </row>
    <row r="1237" spans="1:1">
      <c r="A1237" s="6"/>
    </row>
    <row r="1238" spans="1:1">
      <c r="A1238" s="6"/>
    </row>
    <row r="1239" spans="1:1">
      <c r="A1239" s="6"/>
    </row>
    <row r="1240" spans="1:1">
      <c r="A1240" s="6"/>
    </row>
    <row r="1241" spans="1:1">
      <c r="A1241" s="6"/>
    </row>
    <row r="1242" spans="1:1">
      <c r="A1242" s="6"/>
    </row>
    <row r="1243" spans="1:1">
      <c r="A1243" s="6"/>
    </row>
    <row r="1244" spans="1:1">
      <c r="A1244" s="6"/>
    </row>
    <row r="1245" spans="1:1">
      <c r="A1245" s="6"/>
    </row>
    <row r="1246" spans="1:1">
      <c r="A1246" s="6"/>
    </row>
    <row r="1247" spans="1:1">
      <c r="A1247" s="6"/>
    </row>
    <row r="1248" spans="1:1">
      <c r="A1248" s="6"/>
    </row>
    <row r="1249" spans="1:1">
      <c r="A1249" s="6"/>
    </row>
    <row r="1250" spans="1:1">
      <c r="A1250" s="6"/>
    </row>
    <row r="1251" spans="1:1">
      <c r="A1251" s="6"/>
    </row>
    <row r="1252" spans="1:1">
      <c r="A1252" s="6"/>
    </row>
    <row r="1253" spans="1:1">
      <c r="A1253" s="6"/>
    </row>
    <row r="1254" spans="1:1">
      <c r="A1254" s="6"/>
    </row>
    <row r="1255" spans="1:1">
      <c r="A1255" s="6"/>
    </row>
    <row r="1256" spans="1:1">
      <c r="A1256" s="6"/>
    </row>
    <row r="1257" spans="1:1">
      <c r="A1257" s="6"/>
    </row>
    <row r="1258" spans="1:1">
      <c r="A1258" s="6"/>
    </row>
    <row r="1259" spans="1:1">
      <c r="A1259" s="6"/>
    </row>
    <row r="1260" spans="1:1">
      <c r="A1260" s="6"/>
    </row>
    <row r="1261" spans="1:1">
      <c r="A1261" s="6"/>
    </row>
    <row r="1262" spans="1:1">
      <c r="A1262" s="6"/>
    </row>
    <row r="1263" spans="1:1">
      <c r="A1263" s="6"/>
    </row>
    <row r="1264" spans="1:1">
      <c r="A1264" s="6"/>
    </row>
    <row r="1265" spans="1:1">
      <c r="A1265" s="6"/>
    </row>
    <row r="1266" spans="1:1">
      <c r="A1266" s="6"/>
    </row>
    <row r="1267" spans="1:1">
      <c r="A1267" s="6"/>
    </row>
    <row r="1268" spans="1:1">
      <c r="A1268" s="6"/>
    </row>
    <row r="1269" spans="1:1">
      <c r="A1269" s="6"/>
    </row>
    <row r="1270" spans="1:1">
      <c r="A1270" s="6"/>
    </row>
    <row r="1271" spans="1:1">
      <c r="A1271" s="6"/>
    </row>
    <row r="1272" spans="1:1">
      <c r="A1272" s="6"/>
    </row>
    <row r="1273" spans="1:1">
      <c r="A1273" s="6"/>
    </row>
    <row r="1274" spans="1:1">
      <c r="A1274" s="6"/>
    </row>
    <row r="1275" spans="1:1">
      <c r="A1275" s="6"/>
    </row>
    <row r="1276" spans="1:1">
      <c r="A1276" s="6"/>
    </row>
    <row r="1277" spans="1:1">
      <c r="A1277" s="6"/>
    </row>
    <row r="1278" spans="1:1">
      <c r="A1278" s="6"/>
    </row>
    <row r="1279" spans="1:1">
      <c r="A1279" s="6"/>
    </row>
    <row r="1280" spans="1:1">
      <c r="A1280" s="6"/>
    </row>
    <row r="1281" spans="1:1">
      <c r="A1281" s="6"/>
    </row>
    <row r="1282" spans="1:1">
      <c r="A1282" s="6"/>
    </row>
    <row r="1283" spans="1:1">
      <c r="A1283" s="6"/>
    </row>
    <row r="1284" spans="1:1">
      <c r="A1284" s="6"/>
    </row>
    <row r="1285" spans="1:1">
      <c r="A1285" s="6"/>
    </row>
    <row r="1286" spans="1:1">
      <c r="A1286" s="6"/>
    </row>
    <row r="1287" spans="1:1">
      <c r="A1287" s="6"/>
    </row>
    <row r="1288" spans="1:1">
      <c r="A1288" s="6"/>
    </row>
    <row r="1289" spans="1:1">
      <c r="A1289" s="6"/>
    </row>
    <row r="1290" spans="1:1">
      <c r="A1290" s="6"/>
    </row>
    <row r="1291" spans="1:1">
      <c r="A1291" s="6"/>
    </row>
    <row r="1292" spans="1:1">
      <c r="A1292" s="6"/>
    </row>
    <row r="1293" spans="1:1">
      <c r="A1293" s="6"/>
    </row>
    <row r="1294" spans="1:1">
      <c r="A1294" s="6"/>
    </row>
    <row r="1295" spans="1:1">
      <c r="A1295" s="6"/>
    </row>
    <row r="1296" spans="1:1">
      <c r="A1296" s="6"/>
    </row>
    <row r="1297" spans="1:1">
      <c r="A1297" s="6"/>
    </row>
    <row r="1298" spans="1:1">
      <c r="A1298" s="6"/>
    </row>
    <row r="1299" spans="1:1">
      <c r="A1299" s="6"/>
    </row>
    <row r="1300" spans="1:1">
      <c r="A1300" s="6"/>
    </row>
    <row r="1301" spans="1:1">
      <c r="A1301" s="6"/>
    </row>
    <row r="1302" spans="1:1">
      <c r="A1302" s="6"/>
    </row>
    <row r="1303" spans="1:1">
      <c r="A1303" s="6"/>
    </row>
    <row r="1304" spans="1:1">
      <c r="A1304" s="6"/>
    </row>
    <row r="1305" spans="1:1">
      <c r="A1305" s="6"/>
    </row>
    <row r="1306" spans="1:1">
      <c r="A1306" s="6"/>
    </row>
    <row r="1307" spans="1:1">
      <c r="A1307" s="6"/>
    </row>
    <row r="1308" spans="1:1">
      <c r="A1308" s="6"/>
    </row>
    <row r="1309" spans="1:1">
      <c r="A1309" s="6"/>
    </row>
    <row r="1310" spans="1:1">
      <c r="A1310" s="6"/>
    </row>
    <row r="1311" spans="1:1">
      <c r="A1311" s="6"/>
    </row>
    <row r="1312" spans="1:1">
      <c r="A1312" s="6"/>
    </row>
    <row r="1313" spans="1:1">
      <c r="A1313" s="6"/>
    </row>
    <row r="1314" spans="1:1">
      <c r="A1314" s="6"/>
    </row>
    <row r="1315" spans="1:1">
      <c r="A1315" s="6"/>
    </row>
    <row r="1316" spans="1:1">
      <c r="A1316" s="6"/>
    </row>
    <row r="1317" spans="1:1">
      <c r="A1317" s="6"/>
    </row>
    <row r="1318" spans="1:1">
      <c r="A1318" s="6"/>
    </row>
    <row r="1319" spans="1:1">
      <c r="A1319" s="6"/>
    </row>
    <row r="1320" spans="1:1">
      <c r="A1320" s="6"/>
    </row>
    <row r="1321" spans="1:1">
      <c r="A1321" s="6"/>
    </row>
    <row r="1322" spans="1:1">
      <c r="A1322" s="6"/>
    </row>
    <row r="1323" spans="1:1">
      <c r="A1323" s="6"/>
    </row>
    <row r="1324" spans="1:1">
      <c r="A1324" s="6"/>
    </row>
    <row r="1325" spans="1:1">
      <c r="A1325" s="6"/>
    </row>
    <row r="1326" spans="1:1">
      <c r="A1326" s="6"/>
    </row>
    <row r="1327" spans="1:1">
      <c r="A1327" s="6"/>
    </row>
    <row r="1328" spans="1:1">
      <c r="A1328" s="6"/>
    </row>
    <row r="1329" spans="1:1">
      <c r="A1329" s="6"/>
    </row>
    <row r="1330" spans="1:1">
      <c r="A1330" s="6"/>
    </row>
    <row r="1331" spans="1:1">
      <c r="A1331" s="6"/>
    </row>
    <row r="1332" spans="1:1">
      <c r="A1332" s="6"/>
    </row>
    <row r="1333" spans="1:1">
      <c r="A1333" s="6"/>
    </row>
    <row r="1334" spans="1:1">
      <c r="A1334" s="6"/>
    </row>
    <row r="1335" spans="1:1">
      <c r="A1335" s="6"/>
    </row>
    <row r="1336" spans="1:1">
      <c r="A1336" s="6"/>
    </row>
    <row r="1337" spans="1:1">
      <c r="A1337" s="6"/>
    </row>
    <row r="1338" spans="1:1">
      <c r="A1338" s="6"/>
    </row>
    <row r="1339" spans="1:1">
      <c r="A1339" s="6"/>
    </row>
    <row r="1340" spans="1:1">
      <c r="A1340" s="6"/>
    </row>
    <row r="1341" spans="1:1">
      <c r="A1341" s="6"/>
    </row>
    <row r="1342" spans="1:1">
      <c r="A1342" s="6"/>
    </row>
    <row r="1343" spans="1:1">
      <c r="A1343" s="6"/>
    </row>
    <row r="1344" spans="1:1">
      <c r="A1344" s="6"/>
    </row>
    <row r="1345" spans="1:1">
      <c r="A1345" s="6"/>
    </row>
    <row r="1346" spans="1:1">
      <c r="A1346" s="6"/>
    </row>
    <row r="1347" spans="1:1">
      <c r="A1347" s="6"/>
    </row>
    <row r="1348" spans="1:1">
      <c r="A1348" s="6"/>
    </row>
    <row r="1349" spans="1:1">
      <c r="A1349" s="6"/>
    </row>
    <row r="1350" spans="1:1">
      <c r="A1350" s="6"/>
    </row>
    <row r="1351" spans="1:1">
      <c r="A1351" s="6"/>
    </row>
    <row r="1352" spans="1:1">
      <c r="A1352" s="6"/>
    </row>
    <row r="1353" spans="1:1">
      <c r="A1353" s="6"/>
    </row>
    <row r="1354" spans="1:1">
      <c r="A1354" s="6"/>
    </row>
    <row r="1355" spans="1:1">
      <c r="A1355" s="6"/>
    </row>
    <row r="1356" spans="1:1">
      <c r="A1356" s="6"/>
    </row>
    <row r="1357" spans="1:1">
      <c r="A1357" s="6"/>
    </row>
    <row r="1358" spans="1:1">
      <c r="A1358" s="6"/>
    </row>
    <row r="1359" spans="1:1">
      <c r="A1359" s="6"/>
    </row>
    <row r="1360" spans="1:1">
      <c r="A1360" s="6"/>
    </row>
    <row r="1361" spans="1:1">
      <c r="A1361" s="6"/>
    </row>
    <row r="1362" spans="1:1">
      <c r="A1362" s="6"/>
    </row>
    <row r="1363" spans="1:1">
      <c r="A1363" s="6"/>
    </row>
    <row r="1364" spans="1:1">
      <c r="A1364" s="6"/>
    </row>
    <row r="1365" spans="1:1">
      <c r="A1365" s="6"/>
    </row>
    <row r="1366" spans="1:1">
      <c r="A1366" s="6"/>
    </row>
    <row r="1367" spans="1:1">
      <c r="A1367" s="6"/>
    </row>
    <row r="1368" spans="1:1">
      <c r="A1368" s="6"/>
    </row>
    <row r="1369" spans="1:1">
      <c r="A1369" s="6"/>
    </row>
    <row r="1370" spans="1:1">
      <c r="A1370" s="6"/>
    </row>
    <row r="1371" spans="1:1">
      <c r="A1371" s="6"/>
    </row>
    <row r="1372" spans="1:1">
      <c r="A1372" s="6"/>
    </row>
    <row r="1373" spans="1:1">
      <c r="A1373" s="6"/>
    </row>
    <row r="1374" spans="1:1">
      <c r="A1374" s="6"/>
    </row>
    <row r="1375" spans="1:1">
      <c r="A1375" s="6"/>
    </row>
    <row r="1376" spans="1:1">
      <c r="A1376" s="6"/>
    </row>
    <row r="1377" spans="1:1">
      <c r="A1377" s="6"/>
    </row>
    <row r="1378" spans="1:1">
      <c r="A1378" s="6"/>
    </row>
    <row r="1379" spans="1:1">
      <c r="A1379" s="6"/>
    </row>
    <row r="1380" spans="1:1">
      <c r="A1380" s="6"/>
    </row>
    <row r="1381" spans="1:1">
      <c r="A1381" s="6"/>
    </row>
    <row r="1382" spans="1:1">
      <c r="A1382" s="6"/>
    </row>
    <row r="1383" spans="1:1">
      <c r="A1383" s="6"/>
    </row>
    <row r="1384" spans="1:1">
      <c r="A1384" s="6"/>
    </row>
    <row r="1385" spans="1:1">
      <c r="A1385" s="6"/>
    </row>
    <row r="1386" spans="1:1">
      <c r="A1386" s="6"/>
    </row>
    <row r="1387" spans="1:1">
      <c r="A1387" s="6"/>
    </row>
    <row r="1388" spans="1:1">
      <c r="A1388" s="6"/>
    </row>
    <row r="1389" spans="1:1">
      <c r="A1389" s="6"/>
    </row>
    <row r="1390" spans="1:1">
      <c r="A1390" s="6"/>
    </row>
    <row r="1391" spans="1:1">
      <c r="A1391" s="6"/>
    </row>
    <row r="1392" spans="1:1">
      <c r="A1392" s="6"/>
    </row>
    <row r="1393" spans="1:1">
      <c r="A1393" s="6"/>
    </row>
    <row r="1394" spans="1:1">
      <c r="A1394" s="6"/>
    </row>
    <row r="1395" spans="1:1">
      <c r="A1395" s="6"/>
    </row>
    <row r="1396" spans="1:1">
      <c r="A1396" s="6"/>
    </row>
    <row r="1397" spans="1:1">
      <c r="A1397" s="6"/>
    </row>
    <row r="1398" spans="1:1">
      <c r="A1398" s="6"/>
    </row>
    <row r="1399" spans="1:1">
      <c r="A1399" s="6"/>
    </row>
    <row r="1400" spans="1:1">
      <c r="A1400" s="6"/>
    </row>
    <row r="1401" spans="1:1">
      <c r="A1401" s="6"/>
    </row>
    <row r="1402" spans="1:1">
      <c r="A1402" s="6"/>
    </row>
    <row r="1403" spans="1:1">
      <c r="A1403" s="6"/>
    </row>
    <row r="1404" spans="1:1">
      <c r="A1404" s="6"/>
    </row>
    <row r="1405" spans="1:1">
      <c r="A1405" s="6"/>
    </row>
    <row r="1406" spans="1:1">
      <c r="A1406" s="6"/>
    </row>
    <row r="1407" spans="1:1">
      <c r="A1407" s="6"/>
    </row>
    <row r="1408" spans="1:1">
      <c r="A1408" s="6"/>
    </row>
    <row r="1409" spans="1:1">
      <c r="A1409" s="6"/>
    </row>
    <row r="1410" spans="1:1">
      <c r="A1410" s="6"/>
    </row>
    <row r="1411" spans="1:1">
      <c r="A1411" s="6"/>
    </row>
    <row r="1412" spans="1:1">
      <c r="A1412" s="6"/>
    </row>
    <row r="1413" spans="1:1">
      <c r="A1413" s="6"/>
    </row>
    <row r="1414" spans="1:1">
      <c r="A1414" s="6"/>
    </row>
    <row r="1415" spans="1:1">
      <c r="A1415" s="6"/>
    </row>
    <row r="1416" spans="1:1">
      <c r="A1416" s="6"/>
    </row>
    <row r="1417" spans="1:1">
      <c r="A1417" s="6"/>
    </row>
    <row r="1418" spans="1:1">
      <c r="A1418" s="6"/>
    </row>
    <row r="1419" spans="1:1">
      <c r="A1419" s="6"/>
    </row>
    <row r="1420" spans="1:1">
      <c r="A1420" s="6"/>
    </row>
    <row r="1421" spans="1:1">
      <c r="A1421" s="6"/>
    </row>
    <row r="1422" spans="1:1">
      <c r="A1422" s="6"/>
    </row>
    <row r="1423" spans="1:1">
      <c r="A1423" s="6"/>
    </row>
    <row r="1424" spans="1:1">
      <c r="A1424" s="6"/>
    </row>
    <row r="1425" spans="1:1">
      <c r="A1425" s="6"/>
    </row>
    <row r="1426" spans="1:1">
      <c r="A1426" s="6"/>
    </row>
    <row r="1427" spans="1:1">
      <c r="A1427" s="6"/>
    </row>
    <row r="1428" spans="1:1">
      <c r="A1428" s="6"/>
    </row>
    <row r="1429" spans="1:1">
      <c r="A1429" s="6"/>
    </row>
    <row r="1430" spans="1:1">
      <c r="A1430" s="6"/>
    </row>
    <row r="1431" spans="1:1">
      <c r="A1431" s="6"/>
    </row>
    <row r="1432" spans="1:1">
      <c r="A1432" s="6"/>
    </row>
    <row r="1433" spans="1:1">
      <c r="A1433" s="6"/>
    </row>
    <row r="1434" spans="1:1">
      <c r="A1434" s="6"/>
    </row>
    <row r="1435" spans="1:1">
      <c r="A1435" s="6"/>
    </row>
    <row r="1436" spans="1:1">
      <c r="A1436" s="6"/>
    </row>
    <row r="1437" spans="1:1">
      <c r="A1437" s="6"/>
    </row>
    <row r="1438" spans="1:1">
      <c r="A1438" s="6"/>
    </row>
    <row r="1439" spans="1:1">
      <c r="A1439" s="6"/>
    </row>
    <row r="1440" spans="1:1">
      <c r="A1440" s="6"/>
    </row>
    <row r="1441" spans="1:1">
      <c r="A1441" s="6"/>
    </row>
    <row r="1442" spans="1:1">
      <c r="A1442" s="6"/>
    </row>
    <row r="1443" spans="1:1">
      <c r="A1443" s="6"/>
    </row>
    <row r="1444" spans="1:1">
      <c r="A1444" s="6"/>
    </row>
    <row r="1445" spans="1:1">
      <c r="A1445" s="6"/>
    </row>
    <row r="1446" spans="1:1">
      <c r="A1446" s="6"/>
    </row>
    <row r="1447" spans="1:1">
      <c r="A1447" s="6"/>
    </row>
    <row r="1448" spans="1:1">
      <c r="A1448" s="6"/>
    </row>
    <row r="1449" spans="1:1">
      <c r="A1449" s="6"/>
    </row>
    <row r="1450" spans="1:1">
      <c r="A1450" s="6"/>
    </row>
    <row r="1451" spans="1:1">
      <c r="A1451" s="6"/>
    </row>
    <row r="1452" spans="1:1">
      <c r="A1452" s="6"/>
    </row>
    <row r="1453" spans="1:1">
      <c r="A1453" s="6"/>
    </row>
    <row r="1454" spans="1:1">
      <c r="A1454" s="6"/>
    </row>
    <row r="1455" spans="1:1">
      <c r="A1455" s="6"/>
    </row>
    <row r="1456" spans="1:1">
      <c r="A1456" s="6"/>
    </row>
    <row r="1457" spans="1:1">
      <c r="A1457" s="6"/>
    </row>
    <row r="1458" spans="1:1">
      <c r="A1458" s="6"/>
    </row>
    <row r="1459" spans="1:1">
      <c r="A1459" s="6"/>
    </row>
    <row r="1460" spans="1:1">
      <c r="A1460" s="6"/>
    </row>
    <row r="1461" spans="1:1">
      <c r="A1461" s="6"/>
    </row>
    <row r="1462" spans="1:1">
      <c r="A1462" s="6"/>
    </row>
    <row r="1463" spans="1:1">
      <c r="A1463" s="6"/>
    </row>
    <row r="1464" spans="1:1">
      <c r="A1464" s="6"/>
    </row>
    <row r="1465" spans="1:1">
      <c r="A1465" s="6"/>
    </row>
    <row r="1466" spans="1:1">
      <c r="A1466" s="6"/>
    </row>
    <row r="1467" spans="1:1">
      <c r="A1467" s="6"/>
    </row>
    <row r="1468" spans="1:1">
      <c r="A1468" s="6"/>
    </row>
    <row r="1469" spans="1:1">
      <c r="A1469" s="6"/>
    </row>
    <row r="1470" spans="1:1">
      <c r="A1470" s="6"/>
    </row>
    <row r="1471" spans="1:1">
      <c r="A1471" s="6"/>
    </row>
    <row r="1472" spans="1:1">
      <c r="A1472" s="6"/>
    </row>
    <row r="1473" spans="1:1">
      <c r="A1473" s="6"/>
    </row>
    <row r="1474" spans="1:1">
      <c r="A1474" s="6"/>
    </row>
    <row r="1475" spans="1:1">
      <c r="A1475" s="6"/>
    </row>
    <row r="1476" spans="1:1">
      <c r="A1476" s="6"/>
    </row>
    <row r="1477" spans="1:1">
      <c r="A1477" s="6"/>
    </row>
    <row r="1478" spans="1:1">
      <c r="A1478" s="6"/>
    </row>
    <row r="1479" spans="1:1">
      <c r="A1479" s="6"/>
    </row>
    <row r="1480" spans="1:1">
      <c r="A1480" s="6"/>
    </row>
    <row r="1481" spans="1:1">
      <c r="A1481" s="6"/>
    </row>
    <row r="1482" spans="1:1">
      <c r="A1482" s="6"/>
    </row>
    <row r="1483" spans="1:1">
      <c r="A1483" s="6"/>
    </row>
    <row r="1484" spans="1:1">
      <c r="A1484" s="6"/>
    </row>
    <row r="1485" spans="1:1">
      <c r="A1485" s="6"/>
    </row>
    <row r="1486" spans="1:1">
      <c r="A1486" s="6"/>
    </row>
    <row r="1487" spans="1:1">
      <c r="A1487" s="6"/>
    </row>
    <row r="1488" spans="1:1">
      <c r="A1488" s="6"/>
    </row>
    <row r="1489" spans="1:1">
      <c r="A1489" s="6"/>
    </row>
    <row r="1490" spans="1:1">
      <c r="A1490" s="6"/>
    </row>
    <row r="1491" spans="1:1">
      <c r="A1491" s="6"/>
    </row>
    <row r="1492" spans="1:1">
      <c r="A1492" s="6"/>
    </row>
    <row r="1493" spans="1:1">
      <c r="A1493" s="6"/>
    </row>
    <row r="1494" spans="1:1">
      <c r="A1494" s="6"/>
    </row>
    <row r="1495" spans="1:1">
      <c r="A1495" s="6"/>
    </row>
    <row r="1496" spans="1:1">
      <c r="A1496" s="6"/>
    </row>
    <row r="1497" spans="1:1">
      <c r="A1497" s="6"/>
    </row>
    <row r="1498" spans="1:1">
      <c r="A1498" s="6"/>
    </row>
    <row r="1499" spans="1:1">
      <c r="A1499" s="6"/>
    </row>
    <row r="1500" spans="1:1">
      <c r="A1500" s="6"/>
    </row>
    <row r="1501" spans="1:1">
      <c r="A1501" s="6"/>
    </row>
    <row r="1502" spans="1:1">
      <c r="A1502" s="6"/>
    </row>
    <row r="1503" spans="1:1">
      <c r="A1503" s="6"/>
    </row>
    <row r="1504" spans="1:1">
      <c r="A1504" s="6"/>
    </row>
    <row r="1505" spans="1:1">
      <c r="A1505" s="6"/>
    </row>
    <row r="1506" spans="1:1">
      <c r="A1506" s="6"/>
    </row>
    <row r="1507" spans="1:1">
      <c r="A1507" s="6"/>
    </row>
    <row r="1508" spans="1:1">
      <c r="A1508" s="6"/>
    </row>
    <row r="1509" spans="1:1">
      <c r="A1509" s="6"/>
    </row>
    <row r="1510" spans="1:1">
      <c r="A1510" s="6"/>
    </row>
    <row r="1511" spans="1:1">
      <c r="A1511" s="6"/>
    </row>
    <row r="1512" spans="1:1">
      <c r="A1512" s="6"/>
    </row>
    <row r="1513" spans="1:1">
      <c r="A1513" s="6"/>
    </row>
    <row r="1514" spans="1:1">
      <c r="A1514" s="6"/>
    </row>
    <row r="1515" spans="1:1">
      <c r="A1515" s="6"/>
    </row>
    <row r="1516" spans="1:1">
      <c r="A1516" s="6"/>
    </row>
    <row r="1517" spans="1:1">
      <c r="A1517" s="6"/>
    </row>
    <row r="1518" spans="1:1">
      <c r="A1518" s="6"/>
    </row>
    <row r="1519" spans="1:1">
      <c r="A1519" s="6"/>
    </row>
    <row r="1520" spans="1:1">
      <c r="A1520" s="6"/>
    </row>
    <row r="1521" spans="1:1">
      <c r="A1521" s="6"/>
    </row>
    <row r="1522" spans="1:1">
      <c r="A1522" s="6"/>
    </row>
    <row r="1523" spans="1:1">
      <c r="A1523" s="6"/>
    </row>
    <row r="1524" spans="1:1">
      <c r="A1524" s="6"/>
    </row>
    <row r="1525" spans="1:1">
      <c r="A1525" s="6"/>
    </row>
    <row r="1526" spans="1:1">
      <c r="A1526" s="6"/>
    </row>
    <row r="1527" spans="1:1">
      <c r="A1527" s="6"/>
    </row>
    <row r="1528" spans="1:1">
      <c r="A1528" s="6"/>
    </row>
    <row r="1529" spans="1:1">
      <c r="A1529" s="6"/>
    </row>
    <row r="1530" spans="1:1">
      <c r="A1530" s="6"/>
    </row>
    <row r="1531" spans="1:1">
      <c r="A1531" s="6"/>
    </row>
    <row r="1532" spans="1:1">
      <c r="A1532" s="6"/>
    </row>
    <row r="1533" spans="1:1">
      <c r="A1533" s="6"/>
    </row>
    <row r="1534" spans="1:1">
      <c r="A1534" s="6"/>
    </row>
    <row r="1535" spans="1:1">
      <c r="A1535" s="6"/>
    </row>
    <row r="1536" spans="1:1">
      <c r="A1536" s="6"/>
    </row>
    <row r="1537" spans="1:1">
      <c r="A1537" s="6"/>
    </row>
    <row r="1538" spans="1:1">
      <c r="A1538" s="6"/>
    </row>
    <row r="1539" spans="1:1">
      <c r="A1539" s="6"/>
    </row>
    <row r="1540" spans="1:1">
      <c r="A1540" s="6"/>
    </row>
    <row r="1541" spans="1:1">
      <c r="A1541" s="6"/>
    </row>
    <row r="1542" spans="1:1">
      <c r="A1542" s="6"/>
    </row>
    <row r="1543" spans="1:1">
      <c r="A1543" s="6"/>
    </row>
    <row r="1544" spans="1:1">
      <c r="A1544" s="6"/>
    </row>
    <row r="1545" spans="1:1">
      <c r="A1545" s="6"/>
    </row>
    <row r="1546" spans="1:1">
      <c r="A1546" s="6"/>
    </row>
    <row r="1547" spans="1:1">
      <c r="A1547" s="6"/>
    </row>
    <row r="1548" spans="1:1">
      <c r="A1548" s="6"/>
    </row>
    <row r="1549" spans="1:1">
      <c r="A1549" s="6"/>
    </row>
    <row r="1550" spans="1:1">
      <c r="A1550" s="6"/>
    </row>
    <row r="1551" spans="1:1">
      <c r="A1551" s="6"/>
    </row>
    <row r="1552" spans="1:1">
      <c r="A1552" s="6"/>
    </row>
    <row r="1553" spans="1:1">
      <c r="A1553" s="6"/>
    </row>
    <row r="1554" spans="1:1">
      <c r="A1554" s="6"/>
    </row>
    <row r="1555" spans="1:1">
      <c r="A1555" s="6"/>
    </row>
    <row r="1556" spans="1:1">
      <c r="A1556" s="6"/>
    </row>
    <row r="1557" spans="1:1">
      <c r="A1557" s="6"/>
    </row>
    <row r="1558" spans="1:1">
      <c r="A1558" s="6"/>
    </row>
    <row r="1559" spans="1:1">
      <c r="A1559" s="6"/>
    </row>
    <row r="1560" spans="1:1">
      <c r="A1560" s="6"/>
    </row>
    <row r="1561" spans="1:1">
      <c r="A1561" s="6"/>
    </row>
    <row r="1562" spans="1:1">
      <c r="A1562" s="6"/>
    </row>
    <row r="1563" spans="1:1">
      <c r="A1563" s="6"/>
    </row>
    <row r="1564" spans="1:1">
      <c r="A1564" s="6"/>
    </row>
    <row r="1565" spans="1:1">
      <c r="A1565" s="6"/>
    </row>
    <row r="1566" spans="1:1">
      <c r="A1566" s="6"/>
    </row>
    <row r="1567" spans="1:1">
      <c r="A1567" s="6"/>
    </row>
    <row r="1568" spans="1:1">
      <c r="A1568" s="6"/>
    </row>
    <row r="1569" spans="1:1">
      <c r="A1569" s="6"/>
    </row>
    <row r="1570" spans="1:1">
      <c r="A1570" s="6"/>
    </row>
    <row r="1571" spans="1:1">
      <c r="A1571" s="6"/>
    </row>
    <row r="1572" spans="1:1">
      <c r="A1572" s="6"/>
    </row>
    <row r="1573" spans="1:1">
      <c r="A1573" s="6"/>
    </row>
    <row r="1574" spans="1:1">
      <c r="A1574" s="6"/>
    </row>
    <row r="1575" spans="1:1">
      <c r="A1575" s="6"/>
    </row>
    <row r="1576" spans="1:1">
      <c r="A1576" s="6"/>
    </row>
    <row r="1577" spans="1:1">
      <c r="A1577" s="6"/>
    </row>
    <row r="1578" spans="1:1">
      <c r="A1578" s="6"/>
    </row>
    <row r="1579" spans="1:1">
      <c r="A1579" s="6"/>
    </row>
    <row r="1580" spans="1:1">
      <c r="A1580" s="6"/>
    </row>
    <row r="1581" spans="1:1">
      <c r="A1581" s="6"/>
    </row>
    <row r="1582" spans="1:1">
      <c r="A1582" s="6"/>
    </row>
    <row r="1583" spans="1:1">
      <c r="A1583" s="6"/>
    </row>
    <row r="1584" spans="1:1">
      <c r="A1584" s="6"/>
    </row>
    <row r="1585" spans="1:1">
      <c r="A1585" s="6"/>
    </row>
    <row r="1586" spans="1:1">
      <c r="A1586" s="6"/>
    </row>
    <row r="1587" spans="1:1">
      <c r="A1587" s="6"/>
    </row>
    <row r="1588" spans="1:1">
      <c r="A1588" s="6"/>
    </row>
    <row r="1589" spans="1:1">
      <c r="A1589" s="6"/>
    </row>
    <row r="1590" spans="1:1">
      <c r="A1590" s="6"/>
    </row>
    <row r="1591" spans="1:1">
      <c r="A1591" s="6"/>
    </row>
    <row r="1592" spans="1:1">
      <c r="A1592" s="6"/>
    </row>
    <row r="1593" spans="1:1">
      <c r="A1593" s="6"/>
    </row>
    <row r="1594" spans="1:1">
      <c r="A1594" s="6"/>
    </row>
    <row r="1595" spans="1:1">
      <c r="A1595" s="6"/>
    </row>
    <row r="1596" spans="1:1">
      <c r="A1596" s="6"/>
    </row>
    <row r="1597" spans="1:1">
      <c r="A1597" s="6"/>
    </row>
    <row r="1598" spans="1:1">
      <c r="A1598" s="6"/>
    </row>
    <row r="1599" spans="1:1">
      <c r="A1599" s="6"/>
    </row>
    <row r="1600" spans="1:1">
      <c r="A1600" s="6"/>
    </row>
    <row r="1601" spans="1:1">
      <c r="A1601" s="6"/>
    </row>
    <row r="1602" spans="1:1">
      <c r="A1602" s="6"/>
    </row>
    <row r="1603" spans="1:1">
      <c r="A1603" s="6"/>
    </row>
    <row r="1604" spans="1:1">
      <c r="A1604" s="6"/>
    </row>
    <row r="1605" spans="1:1">
      <c r="A1605" s="6"/>
    </row>
    <row r="1606" spans="1:1">
      <c r="A1606" s="6"/>
    </row>
    <row r="1607" spans="1:1">
      <c r="A1607" s="6"/>
    </row>
    <row r="1608" spans="1:1">
      <c r="A1608" s="6"/>
    </row>
    <row r="1609" spans="1:1">
      <c r="A1609" s="6"/>
    </row>
    <row r="1610" spans="1:1">
      <c r="A1610" s="6"/>
    </row>
    <row r="1611" spans="1:1">
      <c r="A1611" s="6"/>
    </row>
    <row r="1612" spans="1:1">
      <c r="A1612" s="6"/>
    </row>
    <row r="1613" spans="1:1">
      <c r="A1613" s="6"/>
    </row>
    <row r="1614" spans="1:1">
      <c r="A1614" s="6"/>
    </row>
    <row r="1615" spans="1:1">
      <c r="A1615" s="6"/>
    </row>
    <row r="1616" spans="1:1">
      <c r="A1616" s="6"/>
    </row>
    <row r="1617" spans="1:1">
      <c r="A1617" s="6"/>
    </row>
    <row r="1618" spans="1:1">
      <c r="A1618" s="6"/>
    </row>
    <row r="1619" spans="1:1">
      <c r="A1619" s="6"/>
    </row>
    <row r="1620" spans="1:1">
      <c r="A1620" s="6"/>
    </row>
    <row r="1621" spans="1:1">
      <c r="A1621" s="6"/>
    </row>
    <row r="1622" spans="1:1">
      <c r="A1622" s="6"/>
    </row>
    <row r="1623" spans="1:1">
      <c r="A1623" s="6"/>
    </row>
    <row r="1624" spans="1:1">
      <c r="A1624" s="6"/>
    </row>
    <row r="1625" spans="1:1">
      <c r="A1625" s="6"/>
    </row>
    <row r="1626" spans="1:1">
      <c r="A1626" s="6"/>
    </row>
    <row r="1627" spans="1:1">
      <c r="A1627" s="6"/>
    </row>
    <row r="1628" spans="1:1">
      <c r="A1628" s="6"/>
    </row>
    <row r="1629" spans="1:1">
      <c r="A1629" s="6"/>
    </row>
    <row r="1630" spans="1:1">
      <c r="A1630" s="6"/>
    </row>
    <row r="1631" spans="1:1">
      <c r="A1631" s="6"/>
    </row>
    <row r="1632" spans="1:1">
      <c r="A1632" s="6"/>
    </row>
    <row r="1633" spans="1:1">
      <c r="A1633" s="6"/>
    </row>
    <row r="1634" spans="1:1">
      <c r="A1634" s="6"/>
    </row>
    <row r="1635" spans="1:1">
      <c r="A1635" s="6"/>
    </row>
    <row r="1636" spans="1:1">
      <c r="A1636" s="6"/>
    </row>
    <row r="1637" spans="1:1">
      <c r="A1637" s="6"/>
    </row>
    <row r="1638" spans="1:1">
      <c r="A1638" s="6"/>
    </row>
    <row r="1639" spans="1:1">
      <c r="A1639" s="6"/>
    </row>
    <row r="1640" spans="1:1">
      <c r="A1640" s="6"/>
    </row>
    <row r="1641" spans="1:1">
      <c r="A1641" s="6"/>
    </row>
    <row r="1642" spans="1:1">
      <c r="A1642" s="6"/>
    </row>
    <row r="1643" spans="1:1">
      <c r="A1643" s="6"/>
    </row>
    <row r="1644" spans="1:1">
      <c r="A1644" s="6"/>
    </row>
    <row r="1645" spans="1:1">
      <c r="A1645" s="6"/>
    </row>
    <row r="1646" spans="1:1">
      <c r="A1646" s="6"/>
    </row>
    <row r="1647" spans="1:1">
      <c r="A1647" s="6"/>
    </row>
    <row r="1648" spans="1:1">
      <c r="A1648" s="6"/>
    </row>
    <row r="1649" spans="1:1">
      <c r="A1649" s="6"/>
    </row>
    <row r="1650" spans="1:1">
      <c r="A1650" s="6"/>
    </row>
    <row r="1651" spans="1:1">
      <c r="A1651" s="6"/>
    </row>
    <row r="1652" spans="1:1">
      <c r="A1652" s="6"/>
    </row>
    <row r="1653" spans="1:1">
      <c r="A1653" s="6"/>
    </row>
    <row r="1654" spans="1:1">
      <c r="A1654" s="6"/>
    </row>
    <row r="1655" spans="1:1">
      <c r="A1655" s="6"/>
    </row>
    <row r="1656" spans="1:1">
      <c r="A1656" s="6"/>
    </row>
    <row r="1657" spans="1:1">
      <c r="A1657" s="6"/>
    </row>
    <row r="1658" spans="1:1">
      <c r="A1658" s="6"/>
    </row>
    <row r="1659" spans="1:1">
      <c r="A1659" s="6"/>
    </row>
    <row r="1660" spans="1:1">
      <c r="A1660" s="6"/>
    </row>
    <row r="1661" spans="1:1">
      <c r="A1661" s="6"/>
    </row>
    <row r="1662" spans="1:1">
      <c r="A1662" s="6"/>
    </row>
    <row r="1663" spans="1:1">
      <c r="A1663" s="6"/>
    </row>
    <row r="1664" spans="1:1">
      <c r="A1664" s="6"/>
    </row>
    <row r="1665" spans="1:1">
      <c r="A1665" s="6"/>
    </row>
    <row r="1666" spans="1:1">
      <c r="A1666" s="6"/>
    </row>
    <row r="1667" spans="1:1">
      <c r="A1667" s="6"/>
    </row>
    <row r="1668" spans="1:1">
      <c r="A1668" s="6"/>
    </row>
    <row r="1669" spans="1:1">
      <c r="A1669" s="6"/>
    </row>
    <row r="1670" spans="1:1">
      <c r="A1670" s="6"/>
    </row>
    <row r="1671" spans="1:1">
      <c r="A1671" s="6"/>
    </row>
    <row r="1672" spans="1:1">
      <c r="A1672" s="6"/>
    </row>
    <row r="1673" spans="1:1">
      <c r="A1673" s="6"/>
    </row>
    <row r="1674" spans="1:1">
      <c r="A1674" s="6"/>
    </row>
    <row r="1675" spans="1:1">
      <c r="A1675" s="6"/>
    </row>
    <row r="1676" spans="1:1">
      <c r="A1676" s="6"/>
    </row>
    <row r="1677" spans="1:1">
      <c r="A1677" s="6"/>
    </row>
    <row r="1678" spans="1:1">
      <c r="A1678" s="6"/>
    </row>
    <row r="1679" spans="1:1">
      <c r="A1679" s="6"/>
    </row>
    <row r="1680" spans="1:1">
      <c r="A1680" s="6"/>
    </row>
    <row r="1681" spans="1:1">
      <c r="A1681" s="6"/>
    </row>
    <row r="1682" spans="1:1">
      <c r="A1682" s="6"/>
    </row>
    <row r="1683" spans="1:1">
      <c r="A1683" s="6"/>
    </row>
    <row r="1684" spans="1:1">
      <c r="A1684" s="6"/>
    </row>
    <row r="1685" spans="1:1">
      <c r="A1685" s="6"/>
    </row>
    <row r="1686" spans="1:1">
      <c r="A1686" s="6"/>
    </row>
    <row r="1687" spans="1:1">
      <c r="A1687" s="6"/>
    </row>
    <row r="1688" spans="1:1">
      <c r="A1688" s="6"/>
    </row>
    <row r="1689" spans="1:1">
      <c r="A1689" s="6"/>
    </row>
    <row r="1690" spans="1:1">
      <c r="A1690" s="6"/>
    </row>
    <row r="1691" spans="1:1">
      <c r="A1691" s="6"/>
    </row>
    <row r="1692" spans="1:1">
      <c r="A1692" s="6"/>
    </row>
    <row r="1693" spans="1:1">
      <c r="A1693" s="6"/>
    </row>
    <row r="1694" spans="1:1">
      <c r="A1694" s="6"/>
    </row>
    <row r="1695" spans="1:1">
      <c r="A1695" s="6"/>
    </row>
    <row r="1696" spans="1:1">
      <c r="A1696" s="6"/>
    </row>
    <row r="1697" spans="1:1">
      <c r="A1697" s="6"/>
    </row>
    <row r="1698" spans="1:1">
      <c r="A1698" s="6"/>
    </row>
    <row r="1699" spans="1:1">
      <c r="A1699" s="6"/>
    </row>
    <row r="1700" spans="1:1">
      <c r="A1700" s="6"/>
    </row>
    <row r="1701" spans="1:1">
      <c r="A1701" s="6"/>
    </row>
    <row r="1702" spans="1:1">
      <c r="A1702" s="6"/>
    </row>
    <row r="1703" spans="1:1">
      <c r="A1703" s="6"/>
    </row>
    <row r="1704" spans="1:1">
      <c r="A1704" s="6"/>
    </row>
    <row r="1705" spans="1:1">
      <c r="A1705" s="6"/>
    </row>
    <row r="1706" spans="1:1">
      <c r="A1706" s="6"/>
    </row>
    <row r="1707" spans="1:1">
      <c r="A1707" s="6"/>
    </row>
    <row r="1708" spans="1:1">
      <c r="A1708" s="6"/>
    </row>
    <row r="1709" spans="1:1">
      <c r="A1709" s="6"/>
    </row>
    <row r="1710" spans="1:1">
      <c r="A1710" s="6"/>
    </row>
    <row r="1711" spans="1:1">
      <c r="A1711" s="6"/>
    </row>
    <row r="1712" spans="1:1">
      <c r="A1712" s="6"/>
    </row>
    <row r="1713" spans="1:1">
      <c r="A1713" s="6"/>
    </row>
    <row r="1714" spans="1:1">
      <c r="A1714" s="6"/>
    </row>
    <row r="1715" spans="1:1">
      <c r="A1715" s="6"/>
    </row>
    <row r="1716" spans="1:1">
      <c r="A1716" s="6"/>
    </row>
    <row r="1717" spans="1:1">
      <c r="A1717" s="6"/>
    </row>
    <row r="1718" spans="1:1">
      <c r="A1718" s="6"/>
    </row>
    <row r="1719" spans="1:1">
      <c r="A1719" s="6"/>
    </row>
    <row r="1720" spans="1:1">
      <c r="A1720" s="6"/>
    </row>
    <row r="1721" spans="1:1">
      <c r="A1721" s="6"/>
    </row>
    <row r="1722" spans="1:1">
      <c r="A1722" s="6"/>
    </row>
    <row r="1723" spans="1:1">
      <c r="A1723" s="6"/>
    </row>
    <row r="1724" spans="1:1">
      <c r="A1724" s="6"/>
    </row>
    <row r="1725" spans="1:1">
      <c r="A1725" s="6"/>
    </row>
    <row r="1726" spans="1:1">
      <c r="A1726" s="6"/>
    </row>
    <row r="1727" spans="1:1">
      <c r="A1727" s="6"/>
    </row>
    <row r="1728" spans="1:1">
      <c r="A1728" s="6"/>
    </row>
    <row r="1729" spans="1:1">
      <c r="A1729" s="6"/>
    </row>
    <row r="1730" spans="1:1">
      <c r="A1730" s="6"/>
    </row>
    <row r="1731" spans="1:1">
      <c r="A1731" s="6"/>
    </row>
    <row r="1732" spans="1:1">
      <c r="A1732" s="6"/>
    </row>
    <row r="1733" spans="1:1">
      <c r="A1733" s="6"/>
    </row>
    <row r="1734" spans="1:1">
      <c r="A1734" s="6"/>
    </row>
    <row r="1735" spans="1:1">
      <c r="A1735" s="6"/>
    </row>
    <row r="1736" spans="1:1">
      <c r="A1736" s="6"/>
    </row>
    <row r="1737" spans="1:1">
      <c r="A1737" s="6"/>
    </row>
    <row r="1738" spans="1:1">
      <c r="A1738" s="6"/>
    </row>
    <row r="1739" spans="1:1">
      <c r="A1739" s="6"/>
    </row>
    <row r="1740" spans="1:1">
      <c r="A1740" s="6"/>
    </row>
    <row r="1741" spans="1:1">
      <c r="A1741" s="6"/>
    </row>
    <row r="1742" spans="1:1">
      <c r="A1742" s="6"/>
    </row>
    <row r="1743" spans="1:1">
      <c r="A1743" s="6"/>
    </row>
    <row r="1744" spans="1:1">
      <c r="A1744" s="6"/>
    </row>
    <row r="1745" spans="1:1">
      <c r="A1745" s="6"/>
    </row>
    <row r="1746" spans="1:1">
      <c r="A1746" s="6"/>
    </row>
    <row r="1747" spans="1:1">
      <c r="A1747" s="6"/>
    </row>
    <row r="1748" spans="1:1">
      <c r="A1748" s="6"/>
    </row>
    <row r="1749" spans="1:1">
      <c r="A1749" s="6"/>
    </row>
    <row r="1750" spans="1:1">
      <c r="A1750" s="6"/>
    </row>
    <row r="1751" spans="1:1">
      <c r="A1751" s="6"/>
    </row>
    <row r="1752" spans="1:1">
      <c r="A1752" s="6"/>
    </row>
    <row r="1753" spans="1:1">
      <c r="A1753" s="6"/>
    </row>
    <row r="1754" spans="1:1">
      <c r="A1754" s="6"/>
    </row>
    <row r="1755" spans="1:1">
      <c r="A1755" s="6"/>
    </row>
    <row r="1756" spans="1:1">
      <c r="A1756" s="6"/>
    </row>
    <row r="1757" spans="1:1">
      <c r="A1757" s="6"/>
    </row>
    <row r="1758" spans="1:1">
      <c r="A1758" s="6"/>
    </row>
    <row r="1759" spans="1:1">
      <c r="A1759" s="6"/>
    </row>
    <row r="1760" spans="1:1">
      <c r="A1760" s="6"/>
    </row>
    <row r="1761" spans="1:1">
      <c r="A1761" s="6"/>
    </row>
    <row r="1762" spans="1:1">
      <c r="A1762" s="6"/>
    </row>
    <row r="1763" spans="1:1">
      <c r="A1763" s="6"/>
    </row>
    <row r="1764" spans="1:1">
      <c r="A1764" s="6"/>
    </row>
    <row r="1765" spans="1:1">
      <c r="A1765" s="6"/>
    </row>
    <row r="1766" spans="1:1">
      <c r="A1766" s="6"/>
    </row>
    <row r="1767" spans="1:1">
      <c r="A1767" s="6"/>
    </row>
    <row r="1768" spans="1:1">
      <c r="A1768" s="6"/>
    </row>
    <row r="1769" spans="1:1">
      <c r="A1769" s="6"/>
    </row>
    <row r="1770" spans="1:1">
      <c r="A1770" s="6"/>
    </row>
    <row r="1771" spans="1:1">
      <c r="A1771" s="6"/>
    </row>
    <row r="1772" spans="1:1">
      <c r="A1772" s="6"/>
    </row>
    <row r="1773" spans="1:1">
      <c r="A1773" s="6"/>
    </row>
    <row r="1774" spans="1:1">
      <c r="A1774" s="6"/>
    </row>
    <row r="1775" spans="1:1">
      <c r="A1775" s="6"/>
    </row>
    <row r="1776" spans="1:1">
      <c r="A1776" s="6"/>
    </row>
    <row r="1777" spans="1:1">
      <c r="A1777" s="6"/>
    </row>
    <row r="1778" spans="1:1">
      <c r="A1778" s="6"/>
    </row>
    <row r="1779" spans="1:1">
      <c r="A1779" s="6"/>
    </row>
    <row r="1780" spans="1:1">
      <c r="A1780" s="6"/>
    </row>
    <row r="1781" spans="1:1">
      <c r="A1781" s="6"/>
    </row>
    <row r="1782" spans="1:1">
      <c r="A1782" s="6"/>
    </row>
    <row r="1783" spans="1:1">
      <c r="A1783" s="6"/>
    </row>
    <row r="1784" spans="1:1">
      <c r="A1784" s="6"/>
    </row>
    <row r="1785" spans="1:1">
      <c r="A1785" s="6"/>
    </row>
    <row r="1786" spans="1:1">
      <c r="A1786" s="6"/>
    </row>
    <row r="1787" spans="1:1">
      <c r="A1787" s="6"/>
    </row>
    <row r="1788" spans="1:1">
      <c r="A1788" s="6"/>
    </row>
    <row r="1789" spans="1:1">
      <c r="A1789" s="6"/>
    </row>
    <row r="1790" spans="1:1">
      <c r="A1790" s="6"/>
    </row>
    <row r="1791" spans="1:1">
      <c r="A1791" s="6"/>
    </row>
    <row r="1792" spans="1:1">
      <c r="A1792" s="6"/>
    </row>
    <row r="1793" spans="1:1">
      <c r="A1793" s="6"/>
    </row>
    <row r="1794" spans="1:1">
      <c r="A1794" s="6"/>
    </row>
    <row r="1795" spans="1:1">
      <c r="A1795" s="6"/>
    </row>
    <row r="1796" spans="1:1">
      <c r="A1796" s="6"/>
    </row>
    <row r="1797" spans="1:1">
      <c r="A1797" s="6"/>
    </row>
    <row r="1798" spans="1:1">
      <c r="A1798" s="6"/>
    </row>
    <row r="1799" spans="1:1">
      <c r="A1799" s="6"/>
    </row>
    <row r="1800" spans="1:1">
      <c r="A1800" s="6"/>
    </row>
    <row r="1801" spans="1:1">
      <c r="A1801" s="6"/>
    </row>
    <row r="1802" spans="1:1">
      <c r="A1802" s="6"/>
    </row>
    <row r="1803" spans="1:1">
      <c r="A1803" s="6"/>
    </row>
    <row r="1804" spans="1:1">
      <c r="A1804" s="6"/>
    </row>
    <row r="1805" spans="1:1">
      <c r="A1805" s="6"/>
    </row>
    <row r="1806" spans="1:1">
      <c r="A1806" s="6"/>
    </row>
    <row r="1807" spans="1:1">
      <c r="A1807" s="6"/>
    </row>
    <row r="1808" spans="1:1">
      <c r="A1808" s="6"/>
    </row>
    <row r="1809" spans="1:1">
      <c r="A1809" s="6"/>
    </row>
    <row r="1810" spans="1:1">
      <c r="A1810" s="6"/>
    </row>
    <row r="1811" spans="1:1">
      <c r="A1811" s="6"/>
    </row>
    <row r="1812" spans="1:1">
      <c r="A1812" s="6"/>
    </row>
    <row r="1813" spans="1:1">
      <c r="A1813" s="6"/>
    </row>
    <row r="1814" spans="1:1">
      <c r="A1814" s="6"/>
    </row>
    <row r="1815" spans="1:1">
      <c r="A1815" s="6"/>
    </row>
    <row r="1816" spans="1:1">
      <c r="A1816" s="6"/>
    </row>
    <row r="1817" spans="1:1">
      <c r="A1817" s="6"/>
    </row>
    <row r="1818" spans="1:1">
      <c r="A1818" s="6"/>
    </row>
    <row r="1819" spans="1:1">
      <c r="A1819" s="6"/>
    </row>
    <row r="1820" spans="1:1">
      <c r="A1820" s="6"/>
    </row>
    <row r="1821" spans="1:1">
      <c r="A1821" s="6"/>
    </row>
    <row r="1822" spans="1:1">
      <c r="A1822" s="6"/>
    </row>
    <row r="1823" spans="1:1">
      <c r="A1823" s="6"/>
    </row>
    <row r="1824" spans="1:1">
      <c r="A1824" s="6"/>
    </row>
    <row r="1825" spans="1:1">
      <c r="A1825" s="6"/>
    </row>
    <row r="1826" spans="1:1">
      <c r="A1826" s="6"/>
    </row>
    <row r="1827" spans="1:1">
      <c r="A1827" s="6"/>
    </row>
    <row r="1828" spans="1:1">
      <c r="A1828" s="6"/>
    </row>
    <row r="1829" spans="1:1">
      <c r="A1829" s="6"/>
    </row>
    <row r="1830" spans="1:1">
      <c r="A1830" s="6"/>
    </row>
    <row r="1831" spans="1:1">
      <c r="A1831" s="6"/>
    </row>
    <row r="1832" spans="1:1">
      <c r="A1832" s="6"/>
    </row>
    <row r="1833" spans="1:1">
      <c r="A1833" s="6"/>
    </row>
    <row r="1834" spans="1:1">
      <c r="A1834" s="6"/>
    </row>
    <row r="1835" spans="1:1">
      <c r="A1835" s="6"/>
    </row>
    <row r="1836" spans="1:1">
      <c r="A1836" s="6"/>
    </row>
    <row r="1837" spans="1:1">
      <c r="A1837" s="6"/>
    </row>
    <row r="1838" spans="1:1">
      <c r="A1838" s="6"/>
    </row>
    <row r="1839" spans="1:1">
      <c r="A1839" s="6"/>
    </row>
    <row r="1840" spans="1:1">
      <c r="A1840" s="6"/>
    </row>
    <row r="1841" spans="1:1">
      <c r="A1841" s="6"/>
    </row>
    <row r="1842" spans="1:1">
      <c r="A1842" s="6"/>
    </row>
    <row r="1843" spans="1:1">
      <c r="A1843" s="6"/>
    </row>
    <row r="1844" spans="1:1">
      <c r="A1844" s="6"/>
    </row>
    <row r="1845" spans="1:1">
      <c r="A1845" s="6"/>
    </row>
    <row r="1846" spans="1:1">
      <c r="A1846" s="6"/>
    </row>
    <row r="1847" spans="1:1">
      <c r="A1847" s="6"/>
    </row>
    <row r="1848" spans="1:1">
      <c r="A1848" s="6"/>
    </row>
    <row r="1849" spans="1:1">
      <c r="A1849" s="6"/>
    </row>
    <row r="1850" spans="1:1">
      <c r="A1850" s="6"/>
    </row>
    <row r="1851" spans="1:1">
      <c r="A1851" s="6"/>
    </row>
    <row r="1852" spans="1:1">
      <c r="A1852" s="6"/>
    </row>
    <row r="1853" spans="1:1">
      <c r="A1853" s="6"/>
    </row>
    <row r="1854" spans="1:1">
      <c r="A1854" s="6"/>
    </row>
    <row r="1855" spans="1:1">
      <c r="A1855" s="6"/>
    </row>
    <row r="1856" spans="1:1">
      <c r="A1856" s="6"/>
    </row>
    <row r="1857" spans="1:1">
      <c r="A1857" s="6"/>
    </row>
    <row r="1858" spans="1:1">
      <c r="A1858" s="6"/>
    </row>
    <row r="1859" spans="1:1">
      <c r="A1859" s="6"/>
    </row>
    <row r="1860" spans="1:1">
      <c r="A1860" s="6"/>
    </row>
    <row r="1861" spans="1:1">
      <c r="A1861" s="6"/>
    </row>
    <row r="1862" spans="1:1">
      <c r="A1862" s="6"/>
    </row>
    <row r="1863" spans="1:1">
      <c r="A1863" s="6"/>
    </row>
    <row r="1864" spans="1:1">
      <c r="A1864" s="6"/>
    </row>
    <row r="1865" spans="1:1">
      <c r="A1865" s="6"/>
    </row>
    <row r="1866" spans="1:1">
      <c r="A1866" s="6"/>
    </row>
    <row r="1867" spans="1:1">
      <c r="A1867" s="6"/>
    </row>
    <row r="1868" spans="1:1">
      <c r="A1868" s="6"/>
    </row>
    <row r="1869" spans="1:1">
      <c r="A1869" s="6"/>
    </row>
    <row r="1870" spans="1:1">
      <c r="A1870" s="6"/>
    </row>
    <row r="1871" spans="1:1">
      <c r="A1871" s="6"/>
    </row>
    <row r="1872" spans="1:1">
      <c r="A1872" s="6"/>
    </row>
    <row r="1873" spans="1:1">
      <c r="A1873" s="6"/>
    </row>
    <row r="1874" spans="1:1">
      <c r="A1874" s="6"/>
    </row>
    <row r="1875" spans="1:1">
      <c r="A1875" s="6"/>
    </row>
    <row r="1876" spans="1:1">
      <c r="A1876" s="6"/>
    </row>
    <row r="1877" spans="1:1">
      <c r="A1877" s="6"/>
    </row>
    <row r="1878" spans="1:1">
      <c r="A1878" s="6"/>
    </row>
    <row r="1879" spans="1:1">
      <c r="A1879" s="6"/>
    </row>
    <row r="1880" spans="1:1">
      <c r="A1880" s="6"/>
    </row>
    <row r="1881" spans="1:1">
      <c r="A1881" s="6"/>
    </row>
    <row r="1882" spans="1:1">
      <c r="A1882" s="6"/>
    </row>
    <row r="1883" spans="1:1">
      <c r="A1883" s="6"/>
    </row>
    <row r="1884" spans="1:1">
      <c r="A1884" s="6"/>
    </row>
    <row r="1885" spans="1:1">
      <c r="A1885" s="6"/>
    </row>
    <row r="1886" spans="1:1">
      <c r="A1886" s="6"/>
    </row>
    <row r="1887" spans="1:1">
      <c r="A1887" s="6"/>
    </row>
    <row r="1888" spans="1:1">
      <c r="A1888" s="6"/>
    </row>
    <row r="1889" spans="1:1">
      <c r="A1889" s="6"/>
    </row>
    <row r="1890" spans="1:1">
      <c r="A1890" s="6"/>
    </row>
    <row r="1891" spans="1:1">
      <c r="A1891" s="6"/>
    </row>
    <row r="1892" spans="1:1">
      <c r="A1892" s="6"/>
    </row>
    <row r="1893" spans="1:1">
      <c r="A1893" s="6"/>
    </row>
    <row r="1894" spans="1:1">
      <c r="A1894" s="6"/>
    </row>
    <row r="1895" spans="1:1">
      <c r="A1895" s="6"/>
    </row>
    <row r="1896" spans="1:1">
      <c r="A1896" s="6"/>
    </row>
    <row r="1897" spans="1:1">
      <c r="A1897" s="6"/>
    </row>
    <row r="1898" spans="1:1">
      <c r="A1898" s="6"/>
    </row>
    <row r="1899" spans="1:1">
      <c r="A1899" s="6"/>
    </row>
    <row r="1900" spans="1:1">
      <c r="A1900" s="6"/>
    </row>
    <row r="1901" spans="1:1">
      <c r="A1901" s="6"/>
    </row>
    <row r="1902" spans="1:1">
      <c r="A1902" s="6"/>
    </row>
    <row r="1903" spans="1:1">
      <c r="A1903" s="6"/>
    </row>
    <row r="1904" spans="1:1">
      <c r="A1904" s="6"/>
    </row>
    <row r="1905" spans="1:1">
      <c r="A1905" s="6"/>
    </row>
    <row r="1906" spans="1:1">
      <c r="A1906" s="6"/>
    </row>
    <row r="1907" spans="1:1">
      <c r="A1907" s="6"/>
    </row>
    <row r="1908" spans="1:1">
      <c r="A1908" s="6"/>
    </row>
    <row r="1909" spans="1:1">
      <c r="A1909" s="6"/>
    </row>
    <row r="1910" spans="1:1">
      <c r="A1910" s="6"/>
    </row>
    <row r="1911" spans="1:1">
      <c r="A1911" s="6"/>
    </row>
    <row r="1912" spans="1:1">
      <c r="A1912" s="6"/>
    </row>
    <row r="1913" spans="1:1">
      <c r="A1913" s="6"/>
    </row>
    <row r="1914" spans="1:1">
      <c r="A1914" s="6"/>
    </row>
    <row r="1915" spans="1:1">
      <c r="A1915" s="6"/>
    </row>
    <row r="1916" spans="1:1">
      <c r="A1916" s="6"/>
    </row>
    <row r="1917" spans="1:1">
      <c r="A1917" s="6"/>
    </row>
    <row r="1918" spans="1:1">
      <c r="A1918" s="6"/>
    </row>
    <row r="1919" spans="1:1">
      <c r="A1919" s="6"/>
    </row>
    <row r="1920" spans="1:1">
      <c r="A1920" s="6"/>
    </row>
    <row r="1921" spans="1:1">
      <c r="A1921" s="6"/>
    </row>
    <row r="1922" spans="1:1">
      <c r="A1922" s="6"/>
    </row>
    <row r="1923" spans="1:1">
      <c r="A1923" s="6"/>
    </row>
    <row r="1924" spans="1:1">
      <c r="A1924" s="6"/>
    </row>
    <row r="1925" spans="1:1">
      <c r="A1925" s="6"/>
    </row>
    <row r="1926" spans="1:1">
      <c r="A1926" s="6"/>
    </row>
    <row r="1927" spans="1:1">
      <c r="A1927" s="6"/>
    </row>
    <row r="1928" spans="1:1">
      <c r="A1928" s="6"/>
    </row>
    <row r="1929" spans="1:1">
      <c r="A1929" s="6"/>
    </row>
    <row r="1930" spans="1:1">
      <c r="A1930" s="6"/>
    </row>
    <row r="1931" spans="1:1">
      <c r="A1931" s="6"/>
    </row>
    <row r="1932" spans="1:1">
      <c r="A1932" s="6"/>
    </row>
    <row r="1933" spans="1:1">
      <c r="A1933" s="6"/>
    </row>
    <row r="1934" spans="1:1">
      <c r="A1934" s="6"/>
    </row>
    <row r="1935" spans="1:1">
      <c r="A1935" s="6"/>
    </row>
    <row r="1936" spans="1:1">
      <c r="A1936" s="6"/>
    </row>
    <row r="1937" spans="1:1">
      <c r="A1937" s="6"/>
    </row>
    <row r="1938" spans="1:1">
      <c r="A1938" s="6"/>
    </row>
    <row r="1939" spans="1:1">
      <c r="A1939" s="6"/>
    </row>
    <row r="1940" spans="1:1">
      <c r="A1940" s="6"/>
    </row>
    <row r="1941" spans="1:1">
      <c r="A1941" s="6"/>
    </row>
    <row r="1942" spans="1:1">
      <c r="A1942" s="6"/>
    </row>
    <row r="1943" spans="1:1">
      <c r="A1943" s="6"/>
    </row>
    <row r="1944" spans="1:1">
      <c r="A1944" s="6"/>
    </row>
    <row r="1945" spans="1:1">
      <c r="A1945" s="6"/>
    </row>
    <row r="1946" spans="1:1">
      <c r="A1946" s="6"/>
    </row>
    <row r="1947" spans="1:1">
      <c r="A1947" s="6"/>
    </row>
    <row r="1948" spans="1:1">
      <c r="A1948" s="6"/>
    </row>
    <row r="1949" spans="1:1">
      <c r="A1949" s="6"/>
    </row>
    <row r="1950" spans="1:1">
      <c r="A1950" s="6"/>
    </row>
    <row r="1951" spans="1:1">
      <c r="A1951" s="6"/>
    </row>
    <row r="1952" spans="1:1">
      <c r="A1952" s="6"/>
    </row>
    <row r="1953" spans="1:1">
      <c r="A1953" s="6"/>
    </row>
    <row r="1954" spans="1:1">
      <c r="A1954" s="6"/>
    </row>
    <row r="1955" spans="1:1">
      <c r="A1955" s="6"/>
    </row>
    <row r="1956" spans="1:1">
      <c r="A1956" s="6"/>
    </row>
    <row r="1957" spans="1:1">
      <c r="A1957" s="6"/>
    </row>
    <row r="1958" spans="1:1">
      <c r="A1958" s="6"/>
    </row>
    <row r="1959" spans="1:1">
      <c r="A1959" s="6"/>
    </row>
    <row r="1960" spans="1:1">
      <c r="A1960" s="6"/>
    </row>
    <row r="1961" spans="1:1">
      <c r="A1961" s="6"/>
    </row>
    <row r="1962" spans="1:1">
      <c r="A1962" s="6"/>
    </row>
    <row r="1963" spans="1:1">
      <c r="A1963" s="6"/>
    </row>
    <row r="1964" spans="1:1">
      <c r="A1964" s="6"/>
    </row>
    <row r="1965" spans="1:1">
      <c r="A1965" s="6"/>
    </row>
    <row r="1966" spans="1:1">
      <c r="A1966" s="6"/>
    </row>
    <row r="1967" spans="1:1">
      <c r="A1967" s="6"/>
    </row>
    <row r="1968" spans="1:1">
      <c r="A1968" s="6"/>
    </row>
    <row r="1969" spans="1:1">
      <c r="A1969" s="6"/>
    </row>
    <row r="1970" spans="1:1">
      <c r="A1970" s="6"/>
    </row>
    <row r="1971" spans="1:1">
      <c r="A1971" s="6"/>
    </row>
    <row r="1972" spans="1:1">
      <c r="A1972" s="6"/>
    </row>
    <row r="1973" spans="1:1">
      <c r="A1973" s="6"/>
    </row>
    <row r="1974" spans="1:1">
      <c r="A1974" s="6"/>
    </row>
    <row r="1975" spans="1:1">
      <c r="A1975" s="6"/>
    </row>
    <row r="1976" spans="1:1">
      <c r="A1976" s="6"/>
    </row>
    <row r="1977" spans="1:1">
      <c r="A1977" s="6"/>
    </row>
    <row r="1978" spans="1:1">
      <c r="A1978" s="6"/>
    </row>
    <row r="1979" spans="1:1">
      <c r="A1979" s="6"/>
    </row>
    <row r="1980" spans="1:1">
      <c r="A1980" s="6"/>
    </row>
    <row r="1981" spans="1:1">
      <c r="A1981" s="6"/>
    </row>
    <row r="1982" spans="1:1">
      <c r="A1982" s="6"/>
    </row>
    <row r="1983" spans="1:1">
      <c r="A1983" s="6"/>
    </row>
    <row r="1984" spans="1:1">
      <c r="A1984" s="6"/>
    </row>
    <row r="1985" spans="1:1">
      <c r="A1985" s="6"/>
    </row>
    <row r="1986" spans="1:1">
      <c r="A1986" s="6"/>
    </row>
    <row r="1987" spans="1:1">
      <c r="A1987" s="6"/>
    </row>
    <row r="1988" spans="1:1">
      <c r="A1988" s="6"/>
    </row>
    <row r="1989" spans="1:1">
      <c r="A1989" s="6"/>
    </row>
    <row r="1990" spans="1:1">
      <c r="A1990" s="6"/>
    </row>
    <row r="1991" spans="1:1">
      <c r="A1991" s="6"/>
    </row>
    <row r="1992" spans="1:1">
      <c r="A1992" s="6"/>
    </row>
    <row r="1993" spans="1:1">
      <c r="A1993" s="6"/>
    </row>
    <row r="1994" spans="1:1">
      <c r="A1994" s="6"/>
    </row>
    <row r="1995" spans="1:1">
      <c r="A1995" s="6"/>
    </row>
    <row r="1996" spans="1:1">
      <c r="A1996" s="6"/>
    </row>
    <row r="1997" spans="1:1">
      <c r="A1997" s="6"/>
    </row>
    <row r="1998" spans="1:1">
      <c r="A1998" s="6"/>
    </row>
    <row r="1999" spans="1:1">
      <c r="A1999" s="6"/>
    </row>
    <row r="2000" spans="1:1">
      <c r="A2000" s="6"/>
    </row>
    <row r="2001" spans="1:1">
      <c r="A2001" s="6"/>
    </row>
    <row r="2002" spans="1:1">
      <c r="A2002" s="6"/>
    </row>
    <row r="2003" spans="1:1">
      <c r="A2003" s="6"/>
    </row>
    <row r="2004" spans="1:1">
      <c r="A2004" s="6"/>
    </row>
    <row r="2005" spans="1:1">
      <c r="A2005" s="6"/>
    </row>
    <row r="2006" spans="1:1">
      <c r="A2006" s="6"/>
    </row>
    <row r="2007" spans="1:1">
      <c r="A2007" s="6"/>
    </row>
    <row r="2008" spans="1:1">
      <c r="A2008" s="6"/>
    </row>
    <row r="2009" spans="1:1">
      <c r="A2009" s="6"/>
    </row>
    <row r="2010" spans="1:1">
      <c r="A2010" s="6"/>
    </row>
    <row r="2011" spans="1:1">
      <c r="A2011" s="6"/>
    </row>
    <row r="2012" spans="1:1">
      <c r="A2012" s="6"/>
    </row>
    <row r="2013" spans="1:1">
      <c r="A2013" s="6"/>
    </row>
    <row r="2014" spans="1:1">
      <c r="A2014" s="6"/>
    </row>
    <row r="2015" spans="1:1">
      <c r="A2015" s="6"/>
    </row>
    <row r="2016" spans="1:1">
      <c r="A2016" s="6"/>
    </row>
    <row r="2017" spans="1:1">
      <c r="A2017" s="6"/>
    </row>
    <row r="2018" spans="1:1">
      <c r="A2018" s="6"/>
    </row>
    <row r="2019" spans="1:1">
      <c r="A2019" s="6"/>
    </row>
    <row r="2020" spans="1:1">
      <c r="A2020" s="6"/>
    </row>
    <row r="2021" spans="1:1">
      <c r="A2021" s="6"/>
    </row>
    <row r="2022" spans="1:1">
      <c r="A2022" s="6"/>
    </row>
    <row r="2023" spans="1:1">
      <c r="A2023" s="6"/>
    </row>
    <row r="2024" spans="1:1">
      <c r="A2024" s="6"/>
    </row>
    <row r="2025" spans="1:1">
      <c r="A2025" s="6"/>
    </row>
    <row r="2026" spans="1:1">
      <c r="A2026" s="6"/>
    </row>
    <row r="2027" spans="1:1">
      <c r="A2027" s="6"/>
    </row>
    <row r="2028" spans="1:1">
      <c r="A2028" s="6"/>
    </row>
    <row r="2029" spans="1:1">
      <c r="A2029" s="6"/>
    </row>
    <row r="2030" spans="1:1">
      <c r="A2030" s="6"/>
    </row>
    <row r="2031" spans="1:1">
      <c r="A2031" s="6"/>
    </row>
    <row r="2032" spans="1:1">
      <c r="A2032" s="6"/>
    </row>
    <row r="2033" spans="1:1">
      <c r="A2033" s="6"/>
    </row>
    <row r="2034" spans="1:1">
      <c r="A2034" s="6"/>
    </row>
    <row r="2035" spans="1:1">
      <c r="A2035" s="6"/>
    </row>
    <row r="2036" spans="1:1">
      <c r="A2036" s="6"/>
    </row>
    <row r="2037" spans="1:1">
      <c r="A2037" s="6"/>
    </row>
    <row r="2038" spans="1:1">
      <c r="A2038" s="6"/>
    </row>
    <row r="2039" spans="1:1">
      <c r="A2039" s="6"/>
    </row>
    <row r="2040" spans="1:1">
      <c r="A2040" s="6"/>
    </row>
    <row r="2041" spans="1:1">
      <c r="A2041" s="6"/>
    </row>
    <row r="2042" spans="1:1">
      <c r="A2042" s="6"/>
    </row>
    <row r="2043" spans="1:1">
      <c r="A2043" s="6"/>
    </row>
    <row r="2044" spans="1:1">
      <c r="A2044" s="6"/>
    </row>
    <row r="2045" spans="1:1">
      <c r="A2045" s="6"/>
    </row>
    <row r="2046" spans="1:1">
      <c r="A2046" s="6"/>
    </row>
    <row r="2047" spans="1:1">
      <c r="A2047" s="6"/>
    </row>
    <row r="2048" spans="1:1">
      <c r="A2048" s="6"/>
    </row>
    <row r="2049" spans="1:1">
      <c r="A2049" s="6"/>
    </row>
    <row r="2050" spans="1:1">
      <c r="A2050" s="6"/>
    </row>
    <row r="2051" spans="1:1">
      <c r="A2051" s="6"/>
    </row>
    <row r="2052" spans="1:1">
      <c r="A2052" s="6"/>
    </row>
    <row r="2053" spans="1:1">
      <c r="A2053" s="6"/>
    </row>
    <row r="2054" spans="1:1">
      <c r="A2054" s="6"/>
    </row>
    <row r="2055" spans="1:1">
      <c r="A2055" s="6"/>
    </row>
    <row r="2056" spans="1:1">
      <c r="A2056" s="6"/>
    </row>
    <row r="2057" spans="1:1">
      <c r="A2057" s="6"/>
    </row>
    <row r="2058" spans="1:1">
      <c r="A2058" s="6"/>
    </row>
    <row r="2059" spans="1:1">
      <c r="A2059" s="6"/>
    </row>
    <row r="2060" spans="1:1">
      <c r="A2060" s="6"/>
    </row>
    <row r="2061" spans="1:1">
      <c r="A2061" s="6"/>
    </row>
    <row r="2062" spans="1:1">
      <c r="A2062" s="6"/>
    </row>
    <row r="2063" spans="1:1">
      <c r="A2063" s="6"/>
    </row>
    <row r="2064" spans="1:1">
      <c r="A2064" s="6"/>
    </row>
    <row r="2065" spans="1:1">
      <c r="A2065" s="6"/>
    </row>
    <row r="2066" spans="1:1">
      <c r="A2066" s="6"/>
    </row>
    <row r="2067" spans="1:1">
      <c r="A2067" s="6"/>
    </row>
    <row r="2068" spans="1:1">
      <c r="A2068" s="6"/>
    </row>
    <row r="2069" spans="1:1">
      <c r="A2069" s="6"/>
    </row>
    <row r="2070" spans="1:1">
      <c r="A2070" s="6"/>
    </row>
    <row r="2071" spans="1:1">
      <c r="A2071" s="6"/>
    </row>
    <row r="2072" spans="1:1">
      <c r="A2072" s="6"/>
    </row>
    <row r="2073" spans="1:1">
      <c r="A2073" s="6"/>
    </row>
    <row r="2074" spans="1:1">
      <c r="A2074" s="6"/>
    </row>
    <row r="2075" spans="1:1">
      <c r="A2075" s="6"/>
    </row>
    <row r="2076" spans="1:1">
      <c r="A2076" s="6"/>
    </row>
    <row r="2077" spans="1:1">
      <c r="A2077" s="6"/>
    </row>
    <row r="2078" spans="1:1">
      <c r="A2078" s="6"/>
    </row>
    <row r="2079" spans="1:1">
      <c r="A2079" s="6"/>
    </row>
    <row r="2080" spans="1:1">
      <c r="A2080" s="6"/>
    </row>
    <row r="2081" spans="1:1">
      <c r="A2081" s="6"/>
    </row>
    <row r="2082" spans="1:1">
      <c r="A2082" s="6"/>
    </row>
    <row r="2083" spans="1:1">
      <c r="A2083" s="6"/>
    </row>
    <row r="2084" spans="1:1">
      <c r="A2084" s="6"/>
    </row>
    <row r="2085" spans="1:1">
      <c r="A2085" s="6"/>
    </row>
    <row r="2086" spans="1:1">
      <c r="A2086" s="6"/>
    </row>
    <row r="2087" spans="1:1">
      <c r="A2087" s="6"/>
    </row>
    <row r="2088" spans="1:1">
      <c r="A2088" s="6"/>
    </row>
    <row r="2089" spans="1:1">
      <c r="A2089" s="6"/>
    </row>
    <row r="2090" spans="1:1">
      <c r="A2090" s="6"/>
    </row>
    <row r="2091" spans="1:1">
      <c r="A2091" s="6"/>
    </row>
    <row r="2092" spans="1:1">
      <c r="A2092" s="6"/>
    </row>
    <row r="2093" spans="1:1">
      <c r="A2093" s="6"/>
    </row>
    <row r="2094" spans="1:1">
      <c r="A2094" s="6"/>
    </row>
    <row r="2095" spans="1:1">
      <c r="A2095" s="6"/>
    </row>
    <row r="2096" spans="1:1">
      <c r="A2096" s="6"/>
    </row>
    <row r="2097" spans="1:1">
      <c r="A2097" s="6"/>
    </row>
    <row r="2098" spans="1:1">
      <c r="A2098" s="6"/>
    </row>
    <row r="2099" spans="1:1">
      <c r="A2099" s="6"/>
    </row>
    <row r="2100" spans="1:1">
      <c r="A2100" s="6"/>
    </row>
    <row r="2101" spans="1:1">
      <c r="A2101" s="6"/>
    </row>
    <row r="2102" spans="1:1">
      <c r="A2102" s="6"/>
    </row>
    <row r="2103" spans="1:1">
      <c r="A2103" s="6"/>
    </row>
    <row r="2104" spans="1:1">
      <c r="A2104" s="6"/>
    </row>
    <row r="2105" spans="1:1">
      <c r="A2105" s="6"/>
    </row>
    <row r="2106" spans="1:1">
      <c r="A2106" s="6"/>
    </row>
    <row r="2107" spans="1:1">
      <c r="A2107" s="6"/>
    </row>
    <row r="2108" spans="1:1">
      <c r="A2108" s="6"/>
    </row>
    <row r="2109" spans="1:1">
      <c r="A2109" s="6"/>
    </row>
    <row r="2110" spans="1:1">
      <c r="A2110" s="6"/>
    </row>
    <row r="2111" spans="1:1">
      <c r="A2111" s="6"/>
    </row>
    <row r="2112" spans="1:1">
      <c r="A2112" s="6"/>
    </row>
    <row r="2113" spans="1:1">
      <c r="A2113" s="6"/>
    </row>
    <row r="2114" spans="1:1">
      <c r="A2114" s="6"/>
    </row>
    <row r="2115" spans="1:1">
      <c r="A2115" s="6"/>
    </row>
    <row r="2116" spans="1:1">
      <c r="A2116" s="6"/>
    </row>
    <row r="2117" spans="1:1">
      <c r="A2117" s="6"/>
    </row>
    <row r="2118" spans="1:1">
      <c r="A2118" s="6"/>
    </row>
    <row r="2119" spans="1:1">
      <c r="A2119" s="6"/>
    </row>
    <row r="2120" spans="1:1">
      <c r="A2120" s="6"/>
    </row>
    <row r="2121" spans="1:1">
      <c r="A2121" s="6"/>
    </row>
    <row r="2122" spans="1:1">
      <c r="A2122" s="6"/>
    </row>
    <row r="2123" spans="1:1">
      <c r="A2123" s="6"/>
    </row>
    <row r="2124" spans="1:1">
      <c r="A2124" s="6"/>
    </row>
    <row r="2125" spans="1:1">
      <c r="A2125" s="6"/>
    </row>
    <row r="2126" spans="1:1">
      <c r="A2126" s="6"/>
    </row>
    <row r="2127" spans="1:1">
      <c r="A2127" s="6"/>
    </row>
    <row r="2128" spans="1:1">
      <c r="A2128" s="6"/>
    </row>
    <row r="2129" spans="1:1">
      <c r="A2129" s="6"/>
    </row>
    <row r="2130" spans="1:1">
      <c r="A2130" s="6"/>
    </row>
    <row r="2131" spans="1:1">
      <c r="A2131" s="6"/>
    </row>
    <row r="2132" spans="1:1">
      <c r="A2132" s="6"/>
    </row>
    <row r="2133" spans="1:1">
      <c r="A2133" s="6"/>
    </row>
    <row r="2134" spans="1:1">
      <c r="A2134" s="6"/>
    </row>
    <row r="2135" spans="1:1">
      <c r="A2135" s="6"/>
    </row>
    <row r="2136" spans="1:1">
      <c r="A2136" s="6"/>
    </row>
    <row r="2137" spans="1:1">
      <c r="A2137" s="6"/>
    </row>
    <row r="2138" spans="1:1">
      <c r="A2138" s="6"/>
    </row>
    <row r="2139" spans="1:1">
      <c r="A2139" s="6"/>
    </row>
    <row r="2140" spans="1:1">
      <c r="A2140" s="6"/>
    </row>
    <row r="2141" spans="1:1">
      <c r="A2141" s="6"/>
    </row>
    <row r="2142" spans="1:1">
      <c r="A2142" s="6"/>
    </row>
    <row r="2143" spans="1:1">
      <c r="A2143" s="6"/>
    </row>
    <row r="2144" spans="1:1">
      <c r="A2144" s="6"/>
    </row>
    <row r="2145" spans="1:1">
      <c r="A2145" s="6"/>
    </row>
    <row r="2146" spans="1:1">
      <c r="A2146" s="6"/>
    </row>
    <row r="2147" spans="1:1">
      <c r="A2147" s="6"/>
    </row>
    <row r="2148" spans="1:1">
      <c r="A2148" s="6"/>
    </row>
    <row r="2149" spans="1:1">
      <c r="A2149" s="6"/>
    </row>
    <row r="2150" spans="1:1">
      <c r="A2150" s="6"/>
    </row>
    <row r="2151" spans="1:1">
      <c r="A2151" s="6"/>
    </row>
    <row r="2152" spans="1:1">
      <c r="A2152" s="6"/>
    </row>
    <row r="2153" spans="1:1">
      <c r="A2153" s="6"/>
    </row>
    <row r="2154" spans="1:1">
      <c r="A2154" s="6"/>
    </row>
    <row r="2155" spans="1:1">
      <c r="A2155" s="6"/>
    </row>
    <row r="2156" spans="1:1">
      <c r="A2156" s="6"/>
    </row>
    <row r="2157" spans="1:1">
      <c r="A2157" s="6"/>
    </row>
    <row r="2158" spans="1:1">
      <c r="A2158" s="6"/>
    </row>
    <row r="2159" spans="1:1">
      <c r="A2159" s="6"/>
    </row>
    <row r="2160" spans="1:1">
      <c r="A2160" s="6"/>
    </row>
    <row r="2161" spans="1:1">
      <c r="A2161" s="6"/>
    </row>
    <row r="2162" spans="1:1">
      <c r="A2162" s="6"/>
    </row>
    <row r="2163" spans="1:1">
      <c r="A2163" s="6"/>
    </row>
    <row r="2164" spans="1:1">
      <c r="A2164" s="6"/>
    </row>
    <row r="2165" spans="1:1">
      <c r="A2165" s="6"/>
    </row>
    <row r="2166" spans="1:1">
      <c r="A2166" s="6"/>
    </row>
    <row r="2167" spans="1:1">
      <c r="A2167" s="6"/>
    </row>
    <row r="2168" spans="1:1">
      <c r="A2168" s="6"/>
    </row>
    <row r="2169" spans="1:1">
      <c r="A2169" s="6"/>
    </row>
    <row r="2170" spans="1:1">
      <c r="A2170" s="6"/>
    </row>
    <row r="2171" spans="1:1">
      <c r="A2171" s="6"/>
    </row>
    <row r="2172" spans="1:1">
      <c r="A2172" s="6"/>
    </row>
    <row r="2173" spans="1:1">
      <c r="A2173" s="6"/>
    </row>
    <row r="2174" spans="1:1">
      <c r="A2174" s="6"/>
    </row>
    <row r="2175" spans="1:1">
      <c r="A2175" s="6"/>
    </row>
    <row r="2176" spans="1:1">
      <c r="A2176" s="6"/>
    </row>
    <row r="2177" spans="1:1">
      <c r="A2177" s="6"/>
    </row>
    <row r="2178" spans="1:1">
      <c r="A2178" s="6"/>
    </row>
    <row r="2179" spans="1:1">
      <c r="A2179" s="6"/>
    </row>
    <row r="2180" spans="1:1">
      <c r="A2180" s="6"/>
    </row>
    <row r="2181" spans="1:1">
      <c r="A2181" s="6"/>
    </row>
    <row r="2182" spans="1:1">
      <c r="A2182" s="6"/>
    </row>
    <row r="2183" spans="1:1">
      <c r="A2183" s="6"/>
    </row>
    <row r="2184" spans="1:1">
      <c r="A2184" s="6"/>
    </row>
    <row r="2185" spans="1:1">
      <c r="A2185" s="6"/>
    </row>
    <row r="2186" spans="1:1">
      <c r="A2186" s="6"/>
    </row>
    <row r="2187" spans="1:1">
      <c r="A2187" s="6"/>
    </row>
    <row r="2188" spans="1:1">
      <c r="A2188" s="6"/>
    </row>
    <row r="2189" spans="1:1">
      <c r="A2189" s="6"/>
    </row>
    <row r="2190" spans="1:1">
      <c r="A2190" s="6"/>
    </row>
    <row r="2191" spans="1:1">
      <c r="A2191" s="6"/>
    </row>
    <row r="2192" spans="1:1">
      <c r="A2192" s="6"/>
    </row>
    <row r="2193" spans="1:1">
      <c r="A2193" s="6"/>
    </row>
    <row r="2194" spans="1:1">
      <c r="A2194" s="6"/>
    </row>
    <row r="2195" spans="1:1">
      <c r="A2195" s="6"/>
    </row>
    <row r="2196" spans="1:1">
      <c r="A2196" s="6"/>
    </row>
    <row r="2197" spans="1:1">
      <c r="A2197" s="6"/>
    </row>
    <row r="2198" spans="1:1">
      <c r="A2198" s="6"/>
    </row>
    <row r="2199" spans="1:1">
      <c r="A2199" s="6"/>
    </row>
    <row r="2200" spans="1:1">
      <c r="A2200" s="6"/>
    </row>
    <row r="2201" spans="1:1">
      <c r="A2201" s="6"/>
    </row>
    <row r="2202" spans="1:1">
      <c r="A2202" s="6"/>
    </row>
    <row r="2203" spans="1:1">
      <c r="A2203" s="6"/>
    </row>
    <row r="2204" spans="1:1">
      <c r="A2204" s="6"/>
    </row>
    <row r="2205" spans="1:1">
      <c r="A2205" s="6"/>
    </row>
    <row r="2206" spans="1:1">
      <c r="A2206" s="6"/>
    </row>
    <row r="2207" spans="1:1">
      <c r="A2207" s="6"/>
    </row>
    <row r="2208" spans="1:1">
      <c r="A2208" s="6"/>
    </row>
    <row r="2209" spans="1:1">
      <c r="A2209" s="6"/>
    </row>
    <row r="2210" spans="1:1">
      <c r="A2210" s="6"/>
    </row>
    <row r="2211" spans="1:1">
      <c r="A2211" s="6"/>
    </row>
    <row r="2212" spans="1:1">
      <c r="A2212" s="6"/>
    </row>
    <row r="2213" spans="1:1">
      <c r="A2213" s="6"/>
    </row>
    <row r="2214" spans="1:1">
      <c r="A2214" s="6"/>
    </row>
    <row r="2215" spans="1:1">
      <c r="A2215" s="6"/>
    </row>
    <row r="2216" spans="1:1">
      <c r="A2216" s="6"/>
    </row>
    <row r="2217" spans="1:1">
      <c r="A2217" s="6"/>
    </row>
    <row r="2218" spans="1:1">
      <c r="A2218" s="6"/>
    </row>
    <row r="2219" spans="1:1">
      <c r="A2219" s="6"/>
    </row>
    <row r="2220" spans="1:1">
      <c r="A2220" s="6"/>
    </row>
    <row r="2221" spans="1:1">
      <c r="A2221" s="6"/>
    </row>
    <row r="2222" spans="1:1">
      <c r="A2222" s="6"/>
    </row>
    <row r="2223" spans="1:1">
      <c r="A2223" s="6"/>
    </row>
    <row r="2224" spans="1:1">
      <c r="A2224" s="6"/>
    </row>
    <row r="2225" spans="1:1">
      <c r="A2225" s="6"/>
    </row>
    <row r="2226" spans="1:1">
      <c r="A2226" s="6"/>
    </row>
    <row r="2227" spans="1:1">
      <c r="A2227" s="6"/>
    </row>
    <row r="2228" spans="1:1">
      <c r="A2228" s="6"/>
    </row>
    <row r="2229" spans="1:1">
      <c r="A2229" s="6"/>
    </row>
    <row r="2230" spans="1:1">
      <c r="A2230" s="6"/>
    </row>
    <row r="2231" spans="1:1">
      <c r="A2231" s="6"/>
    </row>
    <row r="2232" spans="1:1">
      <c r="A2232" s="6"/>
    </row>
    <row r="2233" spans="1:1">
      <c r="A2233" s="6"/>
    </row>
    <row r="2234" spans="1:1">
      <c r="A2234" s="6"/>
    </row>
    <row r="2235" spans="1:1">
      <c r="A2235" s="6"/>
    </row>
    <row r="2236" spans="1:1">
      <c r="A2236" s="6"/>
    </row>
    <row r="2237" spans="1:1">
      <c r="A2237" s="6"/>
    </row>
    <row r="2238" spans="1:1">
      <c r="A2238" s="6"/>
    </row>
    <row r="2239" spans="1:1">
      <c r="A2239" s="6"/>
    </row>
    <row r="2240" spans="1:1">
      <c r="A2240" s="6"/>
    </row>
    <row r="2241" spans="1:1">
      <c r="A2241" s="6"/>
    </row>
    <row r="2242" spans="1:1">
      <c r="A2242" s="6"/>
    </row>
    <row r="2243" spans="1:1">
      <c r="A2243" s="6"/>
    </row>
    <row r="2244" spans="1:1">
      <c r="A2244" s="6"/>
    </row>
    <row r="2245" spans="1:1">
      <c r="A2245" s="6"/>
    </row>
    <row r="2246" spans="1:1">
      <c r="A2246" s="6"/>
    </row>
    <row r="2247" spans="1:1">
      <c r="A2247" s="6"/>
    </row>
    <row r="2248" spans="1:1">
      <c r="A2248" s="6"/>
    </row>
    <row r="2249" spans="1:1">
      <c r="A2249" s="6"/>
    </row>
    <row r="2250" spans="1:1">
      <c r="A2250" s="6"/>
    </row>
    <row r="2251" spans="1:1">
      <c r="A2251" s="6"/>
    </row>
    <row r="2252" spans="1:1">
      <c r="A2252" s="6"/>
    </row>
    <row r="2253" spans="1:1">
      <c r="A2253" s="6"/>
    </row>
    <row r="2254" spans="1:1">
      <c r="A2254" s="6"/>
    </row>
    <row r="2255" spans="1:1">
      <c r="A2255" s="6"/>
    </row>
    <row r="2256" spans="1:1">
      <c r="A2256" s="6"/>
    </row>
    <row r="2257" spans="1:1">
      <c r="A2257" s="6"/>
    </row>
    <row r="2258" spans="1:1">
      <c r="A2258" s="6"/>
    </row>
    <row r="2259" spans="1:1">
      <c r="A2259" s="6"/>
    </row>
    <row r="2260" spans="1:1">
      <c r="A2260" s="6"/>
    </row>
    <row r="2261" spans="1:1">
      <c r="A2261" s="6"/>
    </row>
    <row r="2262" spans="1:1">
      <c r="A2262" s="6"/>
    </row>
    <row r="2263" spans="1:1">
      <c r="A2263" s="6"/>
    </row>
    <row r="2264" spans="1:1">
      <c r="A2264" s="6"/>
    </row>
    <row r="2265" spans="1:1">
      <c r="A2265" s="6"/>
    </row>
    <row r="2266" spans="1:1">
      <c r="A2266" s="6"/>
    </row>
    <row r="2267" spans="1:1">
      <c r="A2267" s="6"/>
    </row>
    <row r="2268" spans="1:1">
      <c r="A2268" s="6"/>
    </row>
    <row r="2269" spans="1:1">
      <c r="A2269" s="6"/>
    </row>
    <row r="2270" spans="1:1">
      <c r="A2270" s="6"/>
    </row>
    <row r="2271" spans="1:1">
      <c r="A2271" s="6"/>
    </row>
    <row r="2272" spans="1:1">
      <c r="A2272" s="6"/>
    </row>
    <row r="2273" spans="1:1">
      <c r="A2273" s="6"/>
    </row>
    <row r="2274" spans="1:1">
      <c r="A2274" s="6"/>
    </row>
    <row r="2275" spans="1:1">
      <c r="A2275" s="6"/>
    </row>
    <row r="2276" spans="1:1">
      <c r="A2276" s="6"/>
    </row>
    <row r="2277" spans="1:1">
      <c r="A2277" s="6"/>
    </row>
    <row r="2278" spans="1:1">
      <c r="A2278" s="6"/>
    </row>
    <row r="2279" spans="1:1">
      <c r="A2279" s="6"/>
    </row>
    <row r="2280" spans="1:1">
      <c r="A2280" s="6"/>
    </row>
    <row r="2281" spans="1:1">
      <c r="A2281" s="6"/>
    </row>
    <row r="2282" spans="1:1">
      <c r="A2282" s="6"/>
    </row>
    <row r="2283" spans="1:1">
      <c r="A2283" s="6"/>
    </row>
    <row r="2284" spans="1:1">
      <c r="A2284" s="6"/>
    </row>
    <row r="2285" spans="1:1">
      <c r="A2285" s="6"/>
    </row>
    <row r="2286" spans="1:1">
      <c r="A2286" s="6"/>
    </row>
    <row r="2287" spans="1:1">
      <c r="A2287" s="6"/>
    </row>
    <row r="2288" spans="1:1">
      <c r="A2288" s="6"/>
    </row>
    <row r="2289" spans="1:1">
      <c r="A2289" s="6"/>
    </row>
    <row r="2290" spans="1:1">
      <c r="A2290" s="6"/>
    </row>
    <row r="2291" spans="1:1">
      <c r="A2291" s="6"/>
    </row>
    <row r="2292" spans="1:1">
      <c r="A2292" s="6"/>
    </row>
    <row r="2293" spans="1:1">
      <c r="A2293" s="6"/>
    </row>
    <row r="2294" spans="1:1">
      <c r="A2294" s="6"/>
    </row>
    <row r="2295" spans="1:1">
      <c r="A2295" s="6"/>
    </row>
    <row r="2296" spans="1:1">
      <c r="A2296" s="6"/>
    </row>
    <row r="2297" spans="1:1">
      <c r="A2297" s="6"/>
    </row>
    <row r="2298" spans="1:1">
      <c r="A2298" s="6"/>
    </row>
    <row r="2299" spans="1:1">
      <c r="A2299" s="6"/>
    </row>
    <row r="2300" spans="1:1">
      <c r="A2300" s="6"/>
    </row>
    <row r="2301" spans="1:1">
      <c r="A2301" s="6"/>
    </row>
    <row r="2302" spans="1:1">
      <c r="A2302" s="6"/>
    </row>
    <row r="2303" spans="1:1">
      <c r="A2303" s="6"/>
    </row>
    <row r="2304" spans="1:1">
      <c r="A2304" s="6"/>
    </row>
    <row r="2305" spans="1:1">
      <c r="A2305" s="6"/>
    </row>
    <row r="2306" spans="1:1">
      <c r="A2306" s="6"/>
    </row>
    <row r="2307" spans="1:1">
      <c r="A2307" s="6"/>
    </row>
    <row r="2308" spans="1:1">
      <c r="A2308" s="6"/>
    </row>
    <row r="2309" spans="1:1">
      <c r="A2309" s="6"/>
    </row>
    <row r="2310" spans="1:1">
      <c r="A2310" s="6"/>
    </row>
    <row r="2311" spans="1:1">
      <c r="A2311" s="6"/>
    </row>
    <row r="2312" spans="1:1">
      <c r="A2312" s="6"/>
    </row>
    <row r="2313" spans="1:1">
      <c r="A2313" s="6"/>
    </row>
    <row r="2314" spans="1:1">
      <c r="A2314" s="6"/>
    </row>
    <row r="2315" spans="1:1">
      <c r="A2315" s="6"/>
    </row>
    <row r="2316" spans="1:1">
      <c r="A2316" s="6"/>
    </row>
    <row r="2317" spans="1:1">
      <c r="A2317" s="6"/>
    </row>
    <row r="2318" spans="1:1">
      <c r="A2318" s="6"/>
    </row>
    <row r="2319" spans="1:1">
      <c r="A2319" s="6"/>
    </row>
    <row r="2320" spans="1:1">
      <c r="A2320" s="6"/>
    </row>
    <row r="2321" spans="1:1">
      <c r="A2321" s="6"/>
    </row>
    <row r="2322" spans="1:1">
      <c r="A2322" s="6"/>
    </row>
    <row r="2323" spans="1:1">
      <c r="A2323" s="6"/>
    </row>
    <row r="2324" spans="1:1">
      <c r="A2324" s="6"/>
    </row>
    <row r="2325" spans="1:1">
      <c r="A2325" s="6"/>
    </row>
    <row r="2326" spans="1:1">
      <c r="A2326" s="6"/>
    </row>
    <row r="2327" spans="1:1">
      <c r="A2327" s="6"/>
    </row>
    <row r="2328" spans="1:1">
      <c r="A2328" s="6"/>
    </row>
    <row r="2329" spans="1:1">
      <c r="A2329" s="6"/>
    </row>
    <row r="2330" spans="1:1">
      <c r="A2330" s="6"/>
    </row>
    <row r="2331" spans="1:1">
      <c r="A2331" s="6"/>
    </row>
    <row r="2332" spans="1:1">
      <c r="A2332" s="6"/>
    </row>
    <row r="2333" spans="1:1">
      <c r="A2333" s="6"/>
    </row>
    <row r="2334" spans="1:1">
      <c r="A2334" s="6"/>
    </row>
    <row r="2335" spans="1:1">
      <c r="A2335" s="6"/>
    </row>
    <row r="2336" spans="1:1">
      <c r="A2336" s="6"/>
    </row>
    <row r="2337" spans="1:1">
      <c r="A2337" s="6"/>
    </row>
    <row r="2338" spans="1:1">
      <c r="A2338" s="6"/>
    </row>
    <row r="2339" spans="1:1">
      <c r="A2339" s="6"/>
    </row>
    <row r="2340" spans="1:1">
      <c r="A2340" s="6"/>
    </row>
    <row r="2341" spans="1:1">
      <c r="A2341" s="6"/>
    </row>
    <row r="2342" spans="1:1">
      <c r="A2342" s="6"/>
    </row>
    <row r="2343" spans="1:1">
      <c r="A2343" s="6"/>
    </row>
    <row r="2344" spans="1:1">
      <c r="A2344" s="6"/>
    </row>
    <row r="2345" spans="1:1">
      <c r="A2345" s="6"/>
    </row>
    <row r="2346" spans="1:1">
      <c r="A2346" s="6"/>
    </row>
    <row r="2347" spans="1:1">
      <c r="A2347" s="6"/>
    </row>
    <row r="2348" spans="1:1">
      <c r="A2348" s="6"/>
    </row>
    <row r="2349" spans="1:1">
      <c r="A2349" s="6"/>
    </row>
    <row r="2350" spans="1:1">
      <c r="A2350" s="6"/>
    </row>
    <row r="2351" spans="1:1">
      <c r="A2351" s="6"/>
    </row>
    <row r="2352" spans="1:1">
      <c r="A2352" s="6"/>
    </row>
    <row r="2353" spans="1:1">
      <c r="A2353" s="6"/>
    </row>
    <row r="2354" spans="1:1">
      <c r="A2354" s="6"/>
    </row>
    <row r="2355" spans="1:1">
      <c r="A2355" s="6"/>
    </row>
    <row r="2356" spans="1:1">
      <c r="A2356" s="6"/>
    </row>
    <row r="2357" spans="1:1">
      <c r="A2357" s="6"/>
    </row>
    <row r="2358" spans="1:1">
      <c r="A2358" s="6"/>
    </row>
    <row r="2359" spans="1:1">
      <c r="A2359" s="6"/>
    </row>
    <row r="2360" spans="1:1">
      <c r="A2360" s="6"/>
    </row>
    <row r="2361" spans="1:1">
      <c r="A2361" s="6"/>
    </row>
    <row r="2362" spans="1:1">
      <c r="A2362" s="6"/>
    </row>
    <row r="2363" spans="1:1">
      <c r="A2363" s="6"/>
    </row>
    <row r="2364" spans="1:1">
      <c r="A2364" s="6"/>
    </row>
    <row r="2365" spans="1:1">
      <c r="A2365" s="6"/>
    </row>
    <row r="2366" spans="1:1">
      <c r="A2366" s="6"/>
    </row>
    <row r="2367" spans="1:1">
      <c r="A2367" s="6"/>
    </row>
    <row r="2368" spans="1:1">
      <c r="A2368" s="6"/>
    </row>
    <row r="2369" spans="1:1">
      <c r="A2369" s="6"/>
    </row>
    <row r="2370" spans="1:1">
      <c r="A2370" s="6"/>
    </row>
    <row r="2371" spans="1:1">
      <c r="A2371" s="6"/>
    </row>
    <row r="2372" spans="1:1">
      <c r="A2372" s="6"/>
    </row>
    <row r="2373" spans="1:1">
      <c r="A2373" s="6"/>
    </row>
    <row r="2374" spans="1:1">
      <c r="A2374" s="6"/>
    </row>
    <row r="2375" spans="1:1">
      <c r="A2375" s="6"/>
    </row>
    <row r="2376" spans="1:1">
      <c r="A2376" s="6"/>
    </row>
    <row r="2377" spans="1:1">
      <c r="A2377" s="6"/>
    </row>
    <row r="2378" spans="1:1">
      <c r="A2378" s="6"/>
    </row>
    <row r="2379" spans="1:1">
      <c r="A2379" s="6"/>
    </row>
    <row r="2380" spans="1:1">
      <c r="A2380" s="6"/>
    </row>
    <row r="2381" spans="1:1">
      <c r="A2381" s="6"/>
    </row>
    <row r="2382" spans="1:1">
      <c r="A2382" s="6"/>
    </row>
    <row r="2383" spans="1:1">
      <c r="A2383" s="6"/>
    </row>
    <row r="2384" spans="1:1">
      <c r="A2384" s="6"/>
    </row>
    <row r="2385" spans="1:1">
      <c r="A2385" s="6"/>
    </row>
    <row r="2386" spans="1:1">
      <c r="A2386" s="6"/>
    </row>
    <row r="2387" spans="1:1">
      <c r="A2387" s="6"/>
    </row>
    <row r="2388" spans="1:1">
      <c r="A2388" s="6"/>
    </row>
    <row r="2389" spans="1:1">
      <c r="A2389" s="6"/>
    </row>
    <row r="2390" spans="1:1">
      <c r="A2390" s="6"/>
    </row>
    <row r="2391" spans="1:1">
      <c r="A2391" s="6"/>
    </row>
    <row r="2392" spans="1:1">
      <c r="A2392" s="6"/>
    </row>
    <row r="2393" spans="1:1">
      <c r="A2393" s="6"/>
    </row>
    <row r="2394" spans="1:1">
      <c r="A2394" s="6"/>
    </row>
    <row r="2395" spans="1:1">
      <c r="A2395" s="6"/>
    </row>
    <row r="2396" spans="1:1">
      <c r="A2396" s="6"/>
    </row>
    <row r="2397" spans="1:1">
      <c r="A2397" s="6"/>
    </row>
    <row r="2398" spans="1:1">
      <c r="A2398" s="6"/>
    </row>
    <row r="2399" spans="1:1">
      <c r="A2399" s="6"/>
    </row>
    <row r="2400" spans="1:1">
      <c r="A2400" s="6"/>
    </row>
    <row r="2401" spans="1:1">
      <c r="A2401" s="6"/>
    </row>
    <row r="2402" spans="1:1">
      <c r="A2402" s="6"/>
    </row>
    <row r="2403" spans="1:1">
      <c r="A2403" s="6"/>
    </row>
    <row r="2404" spans="1:1">
      <c r="A2404" s="6"/>
    </row>
    <row r="2405" spans="1:1">
      <c r="A2405" s="6"/>
    </row>
    <row r="2406" spans="1:1">
      <c r="A2406" s="6"/>
    </row>
    <row r="2407" spans="1:1">
      <c r="A2407" s="6"/>
    </row>
    <row r="2408" spans="1:1">
      <c r="A2408" s="6"/>
    </row>
    <row r="2409" spans="1:1">
      <c r="A2409" s="6"/>
    </row>
    <row r="2410" spans="1:1">
      <c r="A2410" s="6"/>
    </row>
    <row r="2411" spans="1:1">
      <c r="A2411" s="6"/>
    </row>
    <row r="2412" spans="1:1">
      <c r="A2412" s="6"/>
    </row>
    <row r="2413" spans="1:1">
      <c r="A2413" s="6"/>
    </row>
    <row r="2414" spans="1:1">
      <c r="A2414" s="6"/>
    </row>
    <row r="2415" spans="1:1">
      <c r="A2415" s="6"/>
    </row>
    <row r="2416" spans="1:1">
      <c r="A2416" s="6"/>
    </row>
    <row r="2417" spans="1:1">
      <c r="A2417" s="6"/>
    </row>
    <row r="2418" spans="1:1">
      <c r="A2418" s="6"/>
    </row>
    <row r="2419" spans="1:1">
      <c r="A2419" s="6"/>
    </row>
    <row r="2420" spans="1:1">
      <c r="A2420" s="6"/>
    </row>
    <row r="2421" spans="1:1">
      <c r="A2421" s="6"/>
    </row>
    <row r="2422" spans="1:1">
      <c r="A2422" s="6"/>
    </row>
    <row r="2423" spans="1:1">
      <c r="A2423" s="6"/>
    </row>
    <row r="2424" spans="1:1">
      <c r="A2424" s="6"/>
    </row>
    <row r="2425" spans="1:1">
      <c r="A2425" s="6"/>
    </row>
    <row r="2426" spans="1:1">
      <c r="A2426" s="6"/>
    </row>
    <row r="2427" spans="1:1">
      <c r="A2427" s="6"/>
    </row>
    <row r="2428" spans="1:1">
      <c r="A2428" s="6"/>
    </row>
    <row r="2429" spans="1:1">
      <c r="A2429" s="6"/>
    </row>
    <row r="2430" spans="1:1">
      <c r="A2430" s="6"/>
    </row>
    <row r="2431" spans="1:1">
      <c r="A2431" s="6"/>
    </row>
    <row r="2432" spans="1:1">
      <c r="A2432" s="6"/>
    </row>
    <row r="2433" spans="1:1">
      <c r="A2433" s="6"/>
    </row>
    <row r="2434" spans="1:1">
      <c r="A2434" s="6"/>
    </row>
    <row r="2435" spans="1:1">
      <c r="A2435" s="6"/>
    </row>
    <row r="2436" spans="1:1">
      <c r="A2436" s="6"/>
    </row>
    <row r="2437" spans="1:1">
      <c r="A2437" s="6"/>
    </row>
    <row r="2438" spans="1:1">
      <c r="A2438" s="6"/>
    </row>
    <row r="2439" spans="1:1">
      <c r="A2439" s="6"/>
    </row>
    <row r="2440" spans="1:1">
      <c r="A2440" s="6"/>
    </row>
    <row r="2441" spans="1:1">
      <c r="A2441" s="6"/>
    </row>
    <row r="2442" spans="1:1">
      <c r="A2442" s="6"/>
    </row>
    <row r="2443" spans="1:1">
      <c r="A2443" s="6"/>
    </row>
    <row r="2444" spans="1:1">
      <c r="A2444" s="6"/>
    </row>
    <row r="2445" spans="1:1">
      <c r="A2445" s="6"/>
    </row>
    <row r="2446" spans="1:1">
      <c r="A2446" s="6"/>
    </row>
    <row r="2447" spans="1:1">
      <c r="A2447" s="6"/>
    </row>
    <row r="2448" spans="1:1">
      <c r="A2448" s="6"/>
    </row>
    <row r="2449" spans="1:1">
      <c r="A2449" s="6"/>
    </row>
    <row r="2450" spans="1:1">
      <c r="A2450" s="6"/>
    </row>
    <row r="2451" spans="1:1">
      <c r="A2451" s="6"/>
    </row>
    <row r="2452" spans="1:1">
      <c r="A2452" s="6"/>
    </row>
    <row r="2453" spans="1:1">
      <c r="A2453" s="6"/>
    </row>
    <row r="2454" spans="1:1">
      <c r="A2454" s="6"/>
    </row>
    <row r="2455" spans="1:1">
      <c r="A2455" s="6"/>
    </row>
    <row r="2456" spans="1:1">
      <c r="A2456" s="6"/>
    </row>
    <row r="2457" spans="1:1">
      <c r="A2457" s="6"/>
    </row>
    <row r="2458" spans="1:1">
      <c r="A2458" s="6"/>
    </row>
    <row r="2459" spans="1:1">
      <c r="A2459" s="6"/>
    </row>
    <row r="2460" spans="1:1">
      <c r="A2460" s="6"/>
    </row>
    <row r="2461" spans="1:1">
      <c r="A2461" s="6"/>
    </row>
    <row r="2462" spans="1:1">
      <c r="A2462" s="6"/>
    </row>
    <row r="2463" spans="1:1">
      <c r="A2463" s="6"/>
    </row>
    <row r="2464" spans="1:1">
      <c r="A2464" s="6"/>
    </row>
    <row r="2465" spans="1:1">
      <c r="A2465" s="6"/>
    </row>
    <row r="2466" spans="1:1">
      <c r="A2466" s="6"/>
    </row>
    <row r="2467" spans="1:1">
      <c r="A2467" s="6"/>
    </row>
    <row r="2468" spans="1:1">
      <c r="A2468" s="6"/>
    </row>
    <row r="2469" spans="1:1">
      <c r="A2469" s="6"/>
    </row>
    <row r="2470" spans="1:1">
      <c r="A2470" s="6"/>
    </row>
    <row r="2471" spans="1:1">
      <c r="A2471" s="6"/>
    </row>
    <row r="2472" spans="1:1">
      <c r="A2472" s="6"/>
    </row>
    <row r="2473" spans="1:1">
      <c r="A2473" s="6"/>
    </row>
    <row r="2474" spans="1:1">
      <c r="A2474" s="6"/>
    </row>
    <row r="2475" spans="1:1">
      <c r="A2475" s="6"/>
    </row>
    <row r="2476" spans="1:1">
      <c r="A2476" s="6"/>
    </row>
    <row r="2477" spans="1:1">
      <c r="A2477" s="6"/>
    </row>
    <row r="2478" spans="1:1">
      <c r="A2478" s="6"/>
    </row>
    <row r="2479" spans="1:1">
      <c r="A2479" s="6"/>
    </row>
    <row r="2480" spans="1:1">
      <c r="A2480" s="6"/>
    </row>
    <row r="2481" spans="1:1">
      <c r="A2481" s="6"/>
    </row>
    <row r="2482" spans="1:1">
      <c r="A2482" s="6"/>
    </row>
    <row r="2483" spans="1:1">
      <c r="A2483" s="6"/>
    </row>
    <row r="2484" spans="1:1">
      <c r="A2484" s="6"/>
    </row>
    <row r="2485" spans="1:1">
      <c r="A2485" s="6"/>
    </row>
    <row r="2486" spans="1:1">
      <c r="A2486" s="6"/>
    </row>
    <row r="2487" spans="1:1">
      <c r="A2487" s="6"/>
    </row>
    <row r="2488" spans="1:1">
      <c r="A2488" s="6"/>
    </row>
    <row r="2489" spans="1:1">
      <c r="A2489" s="6"/>
    </row>
    <row r="2490" spans="1:1">
      <c r="A2490" s="6"/>
    </row>
    <row r="2491" spans="1:1">
      <c r="A2491" s="6"/>
    </row>
    <row r="2492" spans="1:1">
      <c r="A2492" s="6"/>
    </row>
    <row r="2493" spans="1:1">
      <c r="A2493" s="6"/>
    </row>
    <row r="2494" spans="1:1">
      <c r="A2494" s="6"/>
    </row>
    <row r="2495" spans="1:1">
      <c r="A2495" s="6"/>
    </row>
    <row r="2496" spans="1:1">
      <c r="A2496" s="6"/>
    </row>
    <row r="2497" spans="1:1">
      <c r="A2497" s="6"/>
    </row>
    <row r="2498" spans="1:1">
      <c r="A2498" s="6"/>
    </row>
    <row r="2499" spans="1:1">
      <c r="A2499" s="6"/>
    </row>
    <row r="2500" spans="1:1">
      <c r="A2500" s="6"/>
    </row>
    <row r="2501" spans="1:1">
      <c r="A2501" s="6"/>
    </row>
    <row r="2502" spans="1:1">
      <c r="A2502" s="6"/>
    </row>
    <row r="2503" spans="1:1">
      <c r="A2503" s="6"/>
    </row>
    <row r="2504" spans="1:1">
      <c r="A2504" s="6"/>
    </row>
    <row r="2505" spans="1:1">
      <c r="A2505" s="6"/>
    </row>
    <row r="2506" spans="1:1">
      <c r="A2506" s="6"/>
    </row>
    <row r="2507" spans="1:1">
      <c r="A2507" s="6"/>
    </row>
    <row r="2508" spans="1:1">
      <c r="A2508" s="6"/>
    </row>
    <row r="2509" spans="1:1">
      <c r="A2509" s="6"/>
    </row>
    <row r="2510" spans="1:1">
      <c r="A2510" s="6"/>
    </row>
    <row r="2511" spans="1:1">
      <c r="A2511" s="6"/>
    </row>
    <row r="2512" spans="1:1">
      <c r="A2512" s="6"/>
    </row>
    <row r="2513" spans="1:1">
      <c r="A2513" s="6"/>
    </row>
    <row r="2514" spans="1:1">
      <c r="A2514" s="6"/>
    </row>
    <row r="2515" spans="1:1">
      <c r="A2515" s="6"/>
    </row>
    <row r="2516" spans="1:1">
      <c r="A2516" s="6"/>
    </row>
    <row r="2517" spans="1:1">
      <c r="A2517" s="6"/>
    </row>
    <row r="2518" spans="1:1">
      <c r="A2518" s="6"/>
    </row>
    <row r="2519" spans="1:1">
      <c r="A2519" s="6"/>
    </row>
    <row r="2520" spans="1:1">
      <c r="A2520" s="6"/>
    </row>
    <row r="2521" spans="1:1">
      <c r="A2521" s="6"/>
    </row>
    <row r="2522" spans="1:1">
      <c r="A2522" s="6"/>
    </row>
    <row r="2523" spans="1:1">
      <c r="A2523" s="6"/>
    </row>
    <row r="2524" spans="1:1">
      <c r="A2524" s="6"/>
    </row>
    <row r="2525" spans="1:1">
      <c r="A2525" s="6"/>
    </row>
    <row r="2526" spans="1:1">
      <c r="A2526" s="6"/>
    </row>
    <row r="2527" spans="1:1">
      <c r="A2527" s="6"/>
    </row>
    <row r="2528" spans="1:1">
      <c r="A2528" s="6"/>
    </row>
    <row r="2529" spans="1:1">
      <c r="A2529" s="6"/>
    </row>
    <row r="2530" spans="1:1">
      <c r="A2530" s="6"/>
    </row>
    <row r="2531" spans="1:1">
      <c r="A2531" s="6"/>
    </row>
    <row r="2532" spans="1:1">
      <c r="A2532" s="6"/>
    </row>
    <row r="2533" spans="1:1">
      <c r="A2533" s="6"/>
    </row>
    <row r="2534" spans="1:1">
      <c r="A2534" s="6"/>
    </row>
    <row r="2535" spans="1:1">
      <c r="A2535" s="6"/>
    </row>
    <row r="2536" spans="1:1">
      <c r="A2536" s="6"/>
    </row>
    <row r="2537" spans="1:1">
      <c r="A2537" s="6"/>
    </row>
    <row r="2538" spans="1:1">
      <c r="A2538" s="6"/>
    </row>
    <row r="2539" spans="1:1">
      <c r="A2539" s="6"/>
    </row>
    <row r="2540" spans="1:1">
      <c r="A2540" s="6"/>
    </row>
    <row r="2541" spans="1:1">
      <c r="A2541" s="6"/>
    </row>
    <row r="2542" spans="1:1">
      <c r="A2542" s="6"/>
    </row>
    <row r="2543" spans="1:1">
      <c r="A2543" s="6"/>
    </row>
    <row r="2544" spans="1:1">
      <c r="A2544" s="6"/>
    </row>
    <row r="2545" spans="1:1">
      <c r="A2545" s="6"/>
    </row>
    <row r="2546" spans="1:1">
      <c r="A2546" s="6"/>
    </row>
    <row r="2547" spans="1:1">
      <c r="A2547" s="6"/>
    </row>
    <row r="2548" spans="1:1">
      <c r="A2548" s="6"/>
    </row>
    <row r="2549" spans="1:1">
      <c r="A2549" s="6"/>
    </row>
    <row r="2550" spans="1:1">
      <c r="A2550" s="6"/>
    </row>
    <row r="2551" spans="1:1">
      <c r="A2551" s="6"/>
    </row>
    <row r="2552" spans="1:1">
      <c r="A2552" s="6"/>
    </row>
    <row r="2553" spans="1:1">
      <c r="A2553" s="6"/>
    </row>
    <row r="2554" spans="1:1">
      <c r="A2554" s="6"/>
    </row>
    <row r="2555" spans="1:1">
      <c r="A2555" s="6"/>
    </row>
    <row r="2556" spans="1:1">
      <c r="A2556" s="6"/>
    </row>
    <row r="2557" spans="1:1">
      <c r="A2557" s="6"/>
    </row>
    <row r="2558" spans="1:1">
      <c r="A2558" s="6"/>
    </row>
    <row r="2559" spans="1:1">
      <c r="A2559" s="6"/>
    </row>
    <row r="2560" spans="1:1">
      <c r="A2560" s="6"/>
    </row>
    <row r="2561" spans="1:1">
      <c r="A2561" s="6"/>
    </row>
    <row r="2562" spans="1:1">
      <c r="A2562" s="6"/>
    </row>
    <row r="2563" spans="1:1">
      <c r="A2563" s="6"/>
    </row>
    <row r="2564" spans="1:1">
      <c r="A2564" s="6"/>
    </row>
    <row r="2565" spans="1:1">
      <c r="A2565" s="6"/>
    </row>
    <row r="2566" spans="1:1">
      <c r="A2566" s="6"/>
    </row>
    <row r="2567" spans="1:1">
      <c r="A2567" s="6"/>
    </row>
    <row r="2568" spans="1:1">
      <c r="A2568" s="6"/>
    </row>
    <row r="2569" spans="1:1">
      <c r="A2569" s="6"/>
    </row>
    <row r="2570" spans="1:1">
      <c r="A2570" s="6"/>
    </row>
    <row r="2571" spans="1:1">
      <c r="A2571" s="6"/>
    </row>
    <row r="2572" spans="1:1">
      <c r="A2572" s="6"/>
    </row>
    <row r="2573" spans="1:1">
      <c r="A2573" s="6"/>
    </row>
    <row r="2574" spans="1:1">
      <c r="A2574" s="6"/>
    </row>
    <row r="2575" spans="1:1">
      <c r="A2575" s="6"/>
    </row>
    <row r="2576" spans="1:1">
      <c r="A2576" s="6"/>
    </row>
    <row r="2577" spans="1:1">
      <c r="A2577" s="6"/>
    </row>
    <row r="2578" spans="1:1">
      <c r="A2578" s="6"/>
    </row>
    <row r="2579" spans="1:1">
      <c r="A2579" s="6"/>
    </row>
    <row r="2580" spans="1:1">
      <c r="A2580" s="6"/>
    </row>
    <row r="2581" spans="1:1">
      <c r="A2581" s="6"/>
    </row>
    <row r="2582" spans="1:1">
      <c r="A2582" s="6"/>
    </row>
    <row r="2583" spans="1:1">
      <c r="A2583" s="6"/>
    </row>
    <row r="2584" spans="1:1">
      <c r="A2584" s="6"/>
    </row>
    <row r="2585" spans="1:1">
      <c r="A2585" s="6"/>
    </row>
    <row r="2586" spans="1:1">
      <c r="A2586" s="6"/>
    </row>
    <row r="2587" spans="1:1">
      <c r="A2587" s="6"/>
    </row>
    <row r="2588" spans="1:1">
      <c r="A2588" s="6"/>
    </row>
    <row r="2589" spans="1:1">
      <c r="A2589" s="6"/>
    </row>
    <row r="2590" spans="1:1">
      <c r="A2590" s="6"/>
    </row>
    <row r="2591" spans="1:1">
      <c r="A2591" s="6"/>
    </row>
    <row r="2592" spans="1:1">
      <c r="A2592" s="6"/>
    </row>
    <row r="2593" spans="1:1">
      <c r="A2593" s="6"/>
    </row>
    <row r="2594" spans="1:1">
      <c r="A2594" s="6"/>
    </row>
    <row r="2595" spans="1:1">
      <c r="A2595" s="6"/>
    </row>
    <row r="2596" spans="1:1">
      <c r="A2596" s="6"/>
    </row>
    <row r="2597" spans="1:1">
      <c r="A2597" s="6"/>
    </row>
    <row r="2598" spans="1:1">
      <c r="A2598" s="6"/>
    </row>
    <row r="2599" spans="1:1">
      <c r="A2599" s="6"/>
    </row>
    <row r="2600" spans="1:1">
      <c r="A2600" s="6"/>
    </row>
    <row r="2601" spans="1:1">
      <c r="A2601" s="6"/>
    </row>
    <row r="2602" spans="1:1">
      <c r="A2602" s="6"/>
    </row>
    <row r="2603" spans="1:1">
      <c r="A2603" s="6"/>
    </row>
    <row r="2604" spans="1:1">
      <c r="A2604" s="6"/>
    </row>
    <row r="2605" spans="1:1">
      <c r="A2605" s="6"/>
    </row>
    <row r="2606" spans="1:1">
      <c r="A2606" s="6"/>
    </row>
    <row r="2607" spans="1:1">
      <c r="A2607" s="6"/>
    </row>
    <row r="2608" spans="1:1">
      <c r="A2608" s="6"/>
    </row>
    <row r="2609" spans="1:1">
      <c r="A2609" s="6"/>
    </row>
    <row r="2610" spans="1:1">
      <c r="A2610" s="6"/>
    </row>
    <row r="2611" spans="1:1">
      <c r="A2611" s="6"/>
    </row>
    <row r="2612" spans="1:1">
      <c r="A2612" s="6"/>
    </row>
    <row r="2613" spans="1:1">
      <c r="A2613" s="6"/>
    </row>
    <row r="2614" spans="1:1">
      <c r="A2614" s="6"/>
    </row>
    <row r="2615" spans="1:1">
      <c r="A2615" s="6"/>
    </row>
    <row r="2616" spans="1:1">
      <c r="A2616" s="6"/>
    </row>
    <row r="2617" spans="1:1">
      <c r="A2617" s="6"/>
    </row>
    <row r="2618" spans="1:1">
      <c r="A2618" s="6"/>
    </row>
    <row r="2619" spans="1:1">
      <c r="A2619" s="6"/>
    </row>
    <row r="2620" spans="1:1">
      <c r="A2620" s="6"/>
    </row>
    <row r="2621" spans="1:1">
      <c r="A2621" s="6"/>
    </row>
    <row r="2622" spans="1:1">
      <c r="A2622" s="6"/>
    </row>
    <row r="2623" spans="1:1">
      <c r="A2623" s="6"/>
    </row>
    <row r="2624" spans="1:1">
      <c r="A2624" s="6"/>
    </row>
    <row r="2625" spans="1:1">
      <c r="A2625" s="6"/>
    </row>
    <row r="2626" spans="1:1">
      <c r="A2626" s="6"/>
    </row>
    <row r="2627" spans="1:1">
      <c r="A2627" s="6"/>
    </row>
    <row r="2628" spans="1:1">
      <c r="A2628" s="6"/>
    </row>
    <row r="2629" spans="1:1">
      <c r="A2629" s="6"/>
    </row>
    <row r="2630" spans="1:1">
      <c r="A2630" s="6"/>
    </row>
    <row r="2631" spans="1:1">
      <c r="A2631" s="6"/>
    </row>
    <row r="2632" spans="1:1">
      <c r="A2632" s="6"/>
    </row>
    <row r="2633" spans="1:1">
      <c r="A2633" s="6"/>
    </row>
    <row r="2634" spans="1:1">
      <c r="A2634" s="6"/>
    </row>
    <row r="2635" spans="1:1">
      <c r="A2635" s="6"/>
    </row>
    <row r="2636" spans="1:1">
      <c r="A2636" s="6"/>
    </row>
    <row r="2637" spans="1:1">
      <c r="A2637" s="6"/>
    </row>
    <row r="2638" spans="1:1">
      <c r="A2638" s="6"/>
    </row>
    <row r="2639" spans="1:1">
      <c r="A2639" s="6"/>
    </row>
    <row r="2640" spans="1:1">
      <c r="A2640" s="6"/>
    </row>
    <row r="2641" spans="1:1">
      <c r="A2641" s="6"/>
    </row>
    <row r="2642" spans="1:1">
      <c r="A2642" s="6"/>
    </row>
    <row r="2643" spans="1:1">
      <c r="A2643" s="6"/>
    </row>
    <row r="2644" spans="1:1">
      <c r="A2644" s="6"/>
    </row>
    <row r="2645" spans="1:1">
      <c r="A2645" s="6"/>
    </row>
    <row r="2646" spans="1:1">
      <c r="A2646" s="6"/>
    </row>
    <row r="2647" spans="1:1">
      <c r="A2647" s="6"/>
    </row>
    <row r="2648" spans="1:1">
      <c r="A2648" s="6"/>
    </row>
    <row r="2649" spans="1:1">
      <c r="A2649" s="6"/>
    </row>
    <row r="2650" spans="1:1">
      <c r="A2650" s="6"/>
    </row>
    <row r="2651" spans="1:1">
      <c r="A2651" s="6"/>
    </row>
    <row r="2652" spans="1:1">
      <c r="A2652" s="6"/>
    </row>
    <row r="2653" spans="1:1">
      <c r="A2653" s="6"/>
    </row>
    <row r="2654" spans="1:1">
      <c r="A2654" s="6"/>
    </row>
    <row r="2655" spans="1:1">
      <c r="A2655" s="6"/>
    </row>
    <row r="2656" spans="1:1">
      <c r="A2656" s="6"/>
    </row>
    <row r="2657" spans="1:1">
      <c r="A2657" s="6"/>
    </row>
    <row r="2658" spans="1:1">
      <c r="A2658" s="6"/>
    </row>
    <row r="2659" spans="1:1">
      <c r="A2659" s="6"/>
    </row>
    <row r="2660" spans="1:1">
      <c r="A2660" s="6"/>
    </row>
    <row r="2661" spans="1:1">
      <c r="A2661" s="6"/>
    </row>
    <row r="2662" spans="1:1">
      <c r="A2662" s="6"/>
    </row>
    <row r="2663" spans="1:1">
      <c r="A2663" s="6"/>
    </row>
    <row r="2664" spans="1:1">
      <c r="A2664" s="6"/>
    </row>
    <row r="2665" spans="1:1">
      <c r="A2665" s="6"/>
    </row>
    <row r="2666" spans="1:1">
      <c r="A2666" s="6"/>
    </row>
    <row r="2667" spans="1:1">
      <c r="A2667" s="6"/>
    </row>
    <row r="2668" spans="1:1">
      <c r="A2668" s="6"/>
    </row>
    <row r="2669" spans="1:1">
      <c r="A2669" s="6"/>
    </row>
    <row r="2670" spans="1:1">
      <c r="A2670" s="6"/>
    </row>
    <row r="2671" spans="1:1">
      <c r="A2671" s="6"/>
    </row>
    <row r="2672" spans="1:1">
      <c r="A2672" s="6"/>
    </row>
    <row r="2673" spans="1:1">
      <c r="A2673" s="6"/>
    </row>
    <row r="2674" spans="1:1">
      <c r="A2674" s="6"/>
    </row>
    <row r="2675" spans="1:1">
      <c r="A2675" s="6"/>
    </row>
    <row r="2676" spans="1:1">
      <c r="A2676" s="6"/>
    </row>
    <row r="2677" spans="1:1">
      <c r="A2677" s="6"/>
    </row>
    <row r="2678" spans="1:1">
      <c r="A2678" s="6"/>
    </row>
    <row r="2679" spans="1:1">
      <c r="A2679" s="6"/>
    </row>
    <row r="2680" spans="1:1">
      <c r="A2680" s="6"/>
    </row>
    <row r="2681" spans="1:1">
      <c r="A2681" s="6"/>
    </row>
    <row r="2682" spans="1:1">
      <c r="A2682" s="6"/>
    </row>
    <row r="2683" spans="1:1">
      <c r="A2683" s="6"/>
    </row>
    <row r="2684" spans="1:1">
      <c r="A2684" s="6"/>
    </row>
    <row r="2685" spans="1:1">
      <c r="A2685" s="6"/>
    </row>
    <row r="2686" spans="1:1">
      <c r="A2686" s="6"/>
    </row>
    <row r="2687" spans="1:1">
      <c r="A2687" s="6"/>
    </row>
    <row r="2688" spans="1:1">
      <c r="A2688" s="6"/>
    </row>
    <row r="2689" spans="1:1">
      <c r="A2689" s="6"/>
    </row>
    <row r="2690" spans="1:1">
      <c r="A2690" s="6"/>
    </row>
    <row r="2691" spans="1:1">
      <c r="A2691" s="6"/>
    </row>
    <row r="2692" spans="1:1">
      <c r="A2692" s="6"/>
    </row>
    <row r="2693" spans="1:1">
      <c r="A2693" s="6"/>
    </row>
    <row r="2694" spans="1:1">
      <c r="A2694" s="6"/>
    </row>
    <row r="2695" spans="1:1">
      <c r="A2695" s="6"/>
    </row>
    <row r="2696" spans="1:1">
      <c r="A2696" s="6"/>
    </row>
    <row r="2697" spans="1:1">
      <c r="A2697" s="6"/>
    </row>
    <row r="2698" spans="1:1">
      <c r="A2698" s="6"/>
    </row>
    <row r="2699" spans="1:1">
      <c r="A2699" s="6"/>
    </row>
    <row r="2700" spans="1:1">
      <c r="A2700" s="6"/>
    </row>
    <row r="2701" spans="1:1">
      <c r="A2701" s="6"/>
    </row>
    <row r="2702" spans="1:1">
      <c r="A2702" s="6"/>
    </row>
    <row r="2703" spans="1:1">
      <c r="A2703" s="6"/>
    </row>
    <row r="2704" spans="1:1">
      <c r="A2704" s="6"/>
    </row>
    <row r="2705" spans="1:1">
      <c r="A2705" s="6"/>
    </row>
    <row r="2706" spans="1:1">
      <c r="A2706" s="6"/>
    </row>
    <row r="2707" spans="1:1">
      <c r="A2707" s="6"/>
    </row>
    <row r="2708" spans="1:1">
      <c r="A2708" s="6"/>
    </row>
    <row r="2709" spans="1:1">
      <c r="A2709" s="6"/>
    </row>
    <row r="2710" spans="1:1">
      <c r="A2710" s="6"/>
    </row>
    <row r="2711" spans="1:1">
      <c r="A2711" s="6"/>
    </row>
    <row r="2712" spans="1:1">
      <c r="A2712" s="6"/>
    </row>
    <row r="2713" spans="1:1">
      <c r="A2713" s="6"/>
    </row>
    <row r="2714" spans="1:1">
      <c r="A2714" s="6"/>
    </row>
    <row r="2715" spans="1:1">
      <c r="A2715" s="6"/>
    </row>
    <row r="2716" spans="1:1">
      <c r="A2716" s="6"/>
    </row>
    <row r="2717" spans="1:1">
      <c r="A2717" s="6"/>
    </row>
    <row r="2718" spans="1:1">
      <c r="A2718" s="6"/>
    </row>
    <row r="2719" spans="1:1">
      <c r="A2719" s="6"/>
    </row>
    <row r="2720" spans="1:1">
      <c r="A2720" s="6"/>
    </row>
    <row r="2721" spans="1:1">
      <c r="A2721" s="6"/>
    </row>
    <row r="2722" spans="1:1">
      <c r="A2722" s="6"/>
    </row>
    <row r="2723" spans="1:1">
      <c r="A2723" s="6"/>
    </row>
    <row r="2724" spans="1:1">
      <c r="A2724" s="6"/>
    </row>
    <row r="2725" spans="1:1">
      <c r="A2725" s="6"/>
    </row>
    <row r="2726" spans="1:1">
      <c r="A2726" s="6"/>
    </row>
    <row r="2727" spans="1:1">
      <c r="A2727" s="6"/>
    </row>
    <row r="2728" spans="1:1">
      <c r="A2728" s="6"/>
    </row>
    <row r="2729" spans="1:1">
      <c r="A2729" s="6"/>
    </row>
    <row r="2730" spans="1:1">
      <c r="A2730" s="6"/>
    </row>
    <row r="2731" spans="1:1">
      <c r="A2731" s="6"/>
    </row>
    <row r="2732" spans="1:1">
      <c r="A2732" s="6"/>
    </row>
    <row r="2733" spans="1:1">
      <c r="A2733" s="6"/>
    </row>
    <row r="2734" spans="1:1">
      <c r="A2734" s="6"/>
    </row>
    <row r="2735" spans="1:1">
      <c r="A2735" s="6"/>
    </row>
    <row r="2736" spans="1:1">
      <c r="A2736" s="6"/>
    </row>
    <row r="2737" spans="1:1">
      <c r="A2737" s="6"/>
    </row>
    <row r="2738" spans="1:1">
      <c r="A2738" s="6"/>
    </row>
    <row r="2739" spans="1:1">
      <c r="A2739" s="6"/>
    </row>
    <row r="2740" spans="1:1">
      <c r="A2740" s="6"/>
    </row>
    <row r="2741" spans="1:1">
      <c r="A2741" s="6"/>
    </row>
    <row r="2742" spans="1:1">
      <c r="A2742" s="6"/>
    </row>
    <row r="2743" spans="1:1">
      <c r="A2743" s="6"/>
    </row>
    <row r="2744" spans="1:1">
      <c r="A2744" s="6"/>
    </row>
    <row r="2745" spans="1:1">
      <c r="A2745" s="6"/>
    </row>
    <row r="2746" spans="1:1">
      <c r="A2746" s="6"/>
    </row>
    <row r="2747" spans="1:1">
      <c r="A2747" s="6"/>
    </row>
    <row r="2748" spans="1:1">
      <c r="A2748" s="6"/>
    </row>
    <row r="2749" spans="1:1">
      <c r="A2749" s="6"/>
    </row>
    <row r="2750" spans="1:1">
      <c r="A2750" s="6"/>
    </row>
    <row r="2751" spans="1:1">
      <c r="A2751" s="6"/>
    </row>
    <row r="2752" spans="1:1">
      <c r="A2752" s="6"/>
    </row>
    <row r="2753" spans="1:1">
      <c r="A2753" s="6"/>
    </row>
    <row r="2754" spans="1:1">
      <c r="A2754" s="6"/>
    </row>
    <row r="2755" spans="1:1">
      <c r="A2755" s="6"/>
    </row>
    <row r="2756" spans="1:1">
      <c r="A2756" s="6"/>
    </row>
    <row r="2757" spans="1:1">
      <c r="A2757" s="6"/>
    </row>
    <row r="2758" spans="1:1">
      <c r="A2758" s="6"/>
    </row>
    <row r="2759" spans="1:1">
      <c r="A2759" s="6"/>
    </row>
    <row r="2760" spans="1:1">
      <c r="A2760" s="6"/>
    </row>
    <row r="2761" spans="1:1">
      <c r="A2761" s="6"/>
    </row>
    <row r="2762" spans="1:1">
      <c r="A2762" s="6"/>
    </row>
    <row r="2763" spans="1:1">
      <c r="A2763" s="6"/>
    </row>
    <row r="2764" spans="1:1">
      <c r="A2764" s="6"/>
    </row>
    <row r="2765" spans="1:1">
      <c r="A2765" s="6"/>
    </row>
    <row r="2766" spans="1:1">
      <c r="A2766" s="6"/>
    </row>
    <row r="2767" spans="1:1">
      <c r="A2767" s="6"/>
    </row>
    <row r="2768" spans="1:1">
      <c r="A2768" s="6"/>
    </row>
    <row r="2769" spans="1:1">
      <c r="A2769" s="6"/>
    </row>
    <row r="2770" spans="1:1">
      <c r="A2770" s="6"/>
    </row>
    <row r="2771" spans="1:1">
      <c r="A2771" s="6"/>
    </row>
    <row r="2772" spans="1:1">
      <c r="A2772" s="6"/>
    </row>
    <row r="2773" spans="1:1">
      <c r="A2773" s="6"/>
    </row>
    <row r="2774" spans="1:1">
      <c r="A2774" s="6"/>
    </row>
    <row r="2775" spans="1:1">
      <c r="A2775" s="6"/>
    </row>
    <row r="2776" spans="1:1">
      <c r="A2776" s="6"/>
    </row>
    <row r="2777" spans="1:1">
      <c r="A2777" s="6"/>
    </row>
    <row r="2778" spans="1:1">
      <c r="A2778" s="6"/>
    </row>
    <row r="2779" spans="1:1">
      <c r="A2779" s="6"/>
    </row>
    <row r="2780" spans="1:1">
      <c r="A2780" s="6"/>
    </row>
    <row r="2781" spans="1:1">
      <c r="A2781" s="6"/>
    </row>
    <row r="2782" spans="1:1">
      <c r="A2782" s="6"/>
    </row>
    <row r="2783" spans="1:1">
      <c r="A2783" s="6"/>
    </row>
    <row r="2784" spans="1:1">
      <c r="A2784" s="6"/>
    </row>
    <row r="2785" spans="1:1">
      <c r="A2785" s="6"/>
    </row>
    <row r="2786" spans="1:1">
      <c r="A2786" s="6"/>
    </row>
    <row r="2787" spans="1:1">
      <c r="A2787" s="6"/>
    </row>
    <row r="2788" spans="1:1">
      <c r="A2788" s="6"/>
    </row>
    <row r="2789" spans="1:1">
      <c r="A2789" s="6"/>
    </row>
    <row r="2790" spans="1:1">
      <c r="A2790" s="6"/>
    </row>
    <row r="2791" spans="1:1">
      <c r="A2791" s="6"/>
    </row>
    <row r="2792" spans="1:1">
      <c r="A2792" s="6"/>
    </row>
    <row r="2793" spans="1:1">
      <c r="A2793" s="6"/>
    </row>
    <row r="2794" spans="1:1">
      <c r="A2794" s="6"/>
    </row>
    <row r="2795" spans="1:1">
      <c r="A2795" s="6"/>
    </row>
    <row r="2796" spans="1:1">
      <c r="A2796" s="6"/>
    </row>
    <row r="2797" spans="1:1">
      <c r="A2797" s="6"/>
    </row>
    <row r="2798" spans="1:1">
      <c r="A2798" s="6"/>
    </row>
    <row r="2799" spans="1:1">
      <c r="A2799" s="6"/>
    </row>
    <row r="2800" spans="1:1">
      <c r="A2800" s="6"/>
    </row>
    <row r="2801" spans="1:1">
      <c r="A2801" s="6"/>
    </row>
    <row r="2802" spans="1:1">
      <c r="A2802" s="6"/>
    </row>
    <row r="2803" spans="1:1">
      <c r="A2803" s="6"/>
    </row>
    <row r="2804" spans="1:1">
      <c r="A2804" s="6"/>
    </row>
    <row r="2805" spans="1:1">
      <c r="A2805" s="6"/>
    </row>
    <row r="2806" spans="1:1">
      <c r="A2806" s="6"/>
    </row>
    <row r="2807" spans="1:1">
      <c r="A2807" s="6"/>
    </row>
    <row r="2808" spans="1:1">
      <c r="A2808" s="6"/>
    </row>
    <row r="2809" spans="1:1">
      <c r="A2809" s="6"/>
    </row>
    <row r="2810" spans="1:1">
      <c r="A2810" s="6"/>
    </row>
    <row r="2811" spans="1:1">
      <c r="A2811" s="6"/>
    </row>
    <row r="2812" spans="1:1">
      <c r="A2812" s="6"/>
    </row>
    <row r="2813" spans="1:1">
      <c r="A2813" s="6"/>
    </row>
    <row r="2814" spans="1:1">
      <c r="A2814" s="6"/>
    </row>
    <row r="2815" spans="1:1">
      <c r="A2815" s="6"/>
    </row>
    <row r="2816" spans="1:1">
      <c r="A2816" s="6"/>
    </row>
    <row r="2817" spans="1:1">
      <c r="A2817" s="6"/>
    </row>
    <row r="2818" spans="1:1">
      <c r="A2818" s="6"/>
    </row>
    <row r="2819" spans="1:1">
      <c r="A2819" s="6"/>
    </row>
    <row r="2820" spans="1:1">
      <c r="A2820" s="6"/>
    </row>
    <row r="2821" spans="1:1">
      <c r="A2821" s="6"/>
    </row>
    <row r="2822" spans="1:1">
      <c r="A2822" s="6"/>
    </row>
    <row r="2823" spans="1:1">
      <c r="A2823" s="6"/>
    </row>
    <row r="2824" spans="1:1">
      <c r="A2824" s="6"/>
    </row>
    <row r="2825" spans="1:1">
      <c r="A2825" s="6"/>
    </row>
    <row r="2826" spans="1:1">
      <c r="A2826" s="6"/>
    </row>
    <row r="2827" spans="1:1">
      <c r="A2827" s="6"/>
    </row>
    <row r="2828" spans="1:1">
      <c r="A2828" s="6"/>
    </row>
    <row r="2829" spans="1:1">
      <c r="A2829" s="6"/>
    </row>
    <row r="2830" spans="1:1">
      <c r="A2830" s="6"/>
    </row>
    <row r="2831" spans="1:1">
      <c r="A2831" s="6"/>
    </row>
    <row r="2832" spans="1:1">
      <c r="A2832" s="6"/>
    </row>
    <row r="2833" spans="1:1">
      <c r="A2833" s="6"/>
    </row>
    <row r="2834" spans="1:1">
      <c r="A2834" s="6"/>
    </row>
    <row r="2835" spans="1:1">
      <c r="A2835" s="6"/>
    </row>
    <row r="2836" spans="1:1">
      <c r="A2836" s="6"/>
    </row>
    <row r="2837" spans="1:1">
      <c r="A2837" s="6"/>
    </row>
    <row r="2838" spans="1:1">
      <c r="A2838" s="6"/>
    </row>
    <row r="2839" spans="1:1">
      <c r="A2839" s="6"/>
    </row>
    <row r="2840" spans="1:1">
      <c r="A2840" s="6"/>
    </row>
    <row r="2841" spans="1:1">
      <c r="A2841" s="6"/>
    </row>
    <row r="2842" spans="1:1">
      <c r="A2842" s="6"/>
    </row>
    <row r="2843" spans="1:1">
      <c r="A2843" s="6"/>
    </row>
    <row r="2844" spans="1:1">
      <c r="A2844" s="6"/>
    </row>
    <row r="2845" spans="1:1">
      <c r="A2845" s="6"/>
    </row>
    <row r="2846" spans="1:1">
      <c r="A2846" s="6"/>
    </row>
    <row r="2847" spans="1:1">
      <c r="A2847" s="6"/>
    </row>
    <row r="2848" spans="1:1">
      <c r="A2848" s="6"/>
    </row>
    <row r="2849" spans="1:1">
      <c r="A2849" s="6"/>
    </row>
    <row r="2850" spans="1:1">
      <c r="A2850" s="6"/>
    </row>
    <row r="2851" spans="1:1">
      <c r="A2851" s="6"/>
    </row>
    <row r="2852" spans="1:1">
      <c r="A2852" s="6"/>
    </row>
    <row r="2853" spans="1:1">
      <c r="A2853" s="6"/>
    </row>
    <row r="2854" spans="1:1">
      <c r="A2854" s="6"/>
    </row>
    <row r="2855" spans="1:1">
      <c r="A2855" s="6"/>
    </row>
    <row r="2856" spans="1:1">
      <c r="A2856" s="6"/>
    </row>
    <row r="2857" spans="1:1">
      <c r="A2857" s="6"/>
    </row>
    <row r="2858" spans="1:1">
      <c r="A2858" s="6"/>
    </row>
    <row r="2859" spans="1:1">
      <c r="A2859" s="6"/>
    </row>
    <row r="2860" spans="1:1">
      <c r="A2860" s="6"/>
    </row>
    <row r="2861" spans="1:1">
      <c r="A2861" s="6"/>
    </row>
    <row r="2862" spans="1:1">
      <c r="A2862" s="6"/>
    </row>
    <row r="2863" spans="1:1">
      <c r="A2863" s="6"/>
    </row>
    <row r="2864" spans="1:1">
      <c r="A2864" s="6"/>
    </row>
    <row r="2865" spans="1:1">
      <c r="A2865" s="6"/>
    </row>
    <row r="2866" spans="1:1">
      <c r="A2866" s="6"/>
    </row>
    <row r="2867" spans="1:1">
      <c r="A2867" s="6"/>
    </row>
    <row r="2868" spans="1:1">
      <c r="A2868" s="6"/>
    </row>
    <row r="2869" spans="1:1">
      <c r="A2869" s="6"/>
    </row>
    <row r="2870" spans="1:1">
      <c r="A2870" s="6"/>
    </row>
    <row r="2871" spans="1:1">
      <c r="A2871" s="6"/>
    </row>
    <row r="2872" spans="1:1">
      <c r="A2872" s="6"/>
    </row>
    <row r="2873" spans="1:1">
      <c r="A2873" s="6"/>
    </row>
    <row r="2874" spans="1:1">
      <c r="A2874" s="6"/>
    </row>
    <row r="2875" spans="1:1">
      <c r="A2875" s="6"/>
    </row>
    <row r="2876" spans="1:1">
      <c r="A2876" s="6"/>
    </row>
    <row r="2877" spans="1:1">
      <c r="A2877" s="6"/>
    </row>
    <row r="2878" spans="1:1">
      <c r="A2878" s="6"/>
    </row>
    <row r="2879" spans="1:1">
      <c r="A2879" s="6"/>
    </row>
    <row r="2880" spans="1:1">
      <c r="A2880" s="6"/>
    </row>
    <row r="2881" spans="1:1">
      <c r="A2881" s="6"/>
    </row>
    <row r="2882" spans="1:1">
      <c r="A2882" s="6"/>
    </row>
    <row r="2883" spans="1:1">
      <c r="A2883" s="6"/>
    </row>
    <row r="2884" spans="1:1">
      <c r="A2884" s="6"/>
    </row>
    <row r="2885" spans="1:1">
      <c r="A2885" s="6"/>
    </row>
    <row r="2886" spans="1:1">
      <c r="A2886" s="6"/>
    </row>
    <row r="2887" spans="1:1">
      <c r="A2887" s="6"/>
    </row>
    <row r="2888" spans="1:1">
      <c r="A2888" s="6"/>
    </row>
    <row r="2889" spans="1:1">
      <c r="A2889" s="6"/>
    </row>
    <row r="2890" spans="1:1">
      <c r="A2890" s="6"/>
    </row>
    <row r="2891" spans="1:1">
      <c r="A2891" s="6"/>
    </row>
    <row r="2892" spans="1:1">
      <c r="A2892" s="6"/>
    </row>
    <row r="2893" spans="1:1">
      <c r="A2893" s="6"/>
    </row>
    <row r="2894" spans="1:1">
      <c r="A2894" s="6"/>
    </row>
    <row r="2895" spans="1:1">
      <c r="A2895" s="6"/>
    </row>
    <row r="2896" spans="1:1">
      <c r="A2896" s="6"/>
    </row>
    <row r="2897" spans="1:1">
      <c r="A2897" s="6"/>
    </row>
    <row r="2898" spans="1:1">
      <c r="A2898" s="6"/>
    </row>
    <row r="2899" spans="1:1">
      <c r="A2899" s="6"/>
    </row>
    <row r="2900" spans="1:1">
      <c r="A2900" s="6"/>
    </row>
    <row r="2901" spans="1:1">
      <c r="A2901" s="6"/>
    </row>
    <row r="2902" spans="1:1">
      <c r="A2902" s="6"/>
    </row>
    <row r="2903" spans="1:1">
      <c r="A2903" s="6"/>
    </row>
    <row r="2904" spans="1:1">
      <c r="A2904" s="6"/>
    </row>
    <row r="2905" spans="1:1">
      <c r="A2905" s="6"/>
    </row>
    <row r="2906" spans="1:1">
      <c r="A2906" s="6"/>
    </row>
    <row r="2907" spans="1:1">
      <c r="A2907" s="6"/>
    </row>
    <row r="2908" spans="1:1">
      <c r="A2908" s="6"/>
    </row>
    <row r="2909" spans="1:1">
      <c r="A2909" s="6"/>
    </row>
    <row r="2910" spans="1:1">
      <c r="A2910" s="6"/>
    </row>
    <row r="2911" spans="1:1">
      <c r="A2911" s="6"/>
    </row>
    <row r="2912" spans="1:1">
      <c r="A2912" s="6"/>
    </row>
    <row r="2913" spans="1:1">
      <c r="A2913" s="6"/>
    </row>
    <row r="2914" spans="1:1">
      <c r="A2914" s="6"/>
    </row>
    <row r="2915" spans="1:1">
      <c r="A2915" s="6"/>
    </row>
    <row r="2916" spans="1:1">
      <c r="A2916" s="6"/>
    </row>
    <row r="2917" spans="1:1">
      <c r="A2917" s="6"/>
    </row>
    <row r="2918" spans="1:1">
      <c r="A2918" s="6"/>
    </row>
    <row r="2919" spans="1:1">
      <c r="A2919" s="6"/>
    </row>
    <row r="2920" spans="1:1">
      <c r="A2920" s="6"/>
    </row>
    <row r="2921" spans="1:1">
      <c r="A2921" s="6"/>
    </row>
    <row r="2922" spans="1:1">
      <c r="A2922" s="6"/>
    </row>
    <row r="2923" spans="1:1">
      <c r="A2923" s="6"/>
    </row>
    <row r="2924" spans="1:1">
      <c r="A2924" s="6"/>
    </row>
    <row r="2925" spans="1:1">
      <c r="A2925" s="6"/>
    </row>
    <row r="2926" spans="1:1">
      <c r="A2926" s="6"/>
    </row>
    <row r="2927" spans="1:1">
      <c r="A2927" s="6"/>
    </row>
    <row r="2928" spans="1:1">
      <c r="A2928" s="6"/>
    </row>
    <row r="2929" spans="1:1">
      <c r="A2929" s="6"/>
    </row>
    <row r="2930" spans="1:1">
      <c r="A2930" s="6"/>
    </row>
    <row r="2931" spans="1:1">
      <c r="A2931" s="6"/>
    </row>
    <row r="2932" spans="1:1">
      <c r="A2932" s="6"/>
    </row>
    <row r="2933" spans="1:1">
      <c r="A2933" s="6"/>
    </row>
    <row r="2934" spans="1:1">
      <c r="A2934" s="6"/>
    </row>
    <row r="2935" spans="1:1">
      <c r="A2935" s="6"/>
    </row>
    <row r="2936" spans="1:1">
      <c r="A2936" s="6"/>
    </row>
    <row r="2937" spans="1:1">
      <c r="A2937" s="6"/>
    </row>
    <row r="2938" spans="1:1">
      <c r="A2938" s="6"/>
    </row>
    <row r="2939" spans="1:1">
      <c r="A2939" s="6"/>
    </row>
    <row r="2940" spans="1:1">
      <c r="A2940" s="6"/>
    </row>
    <row r="2941" spans="1:1">
      <c r="A2941" s="6"/>
    </row>
    <row r="2942" spans="1:1">
      <c r="A2942" s="6"/>
    </row>
    <row r="2943" spans="1:1">
      <c r="A2943" s="6"/>
    </row>
    <row r="2944" spans="1:1">
      <c r="A2944" s="6"/>
    </row>
    <row r="2945" spans="1:1">
      <c r="A2945" s="6"/>
    </row>
    <row r="2946" spans="1:1">
      <c r="A2946" s="6"/>
    </row>
    <row r="2947" spans="1:1">
      <c r="A2947" s="6"/>
    </row>
    <row r="2948" spans="1:1">
      <c r="A2948" s="6"/>
    </row>
    <row r="2949" spans="1:1">
      <c r="A2949" s="6"/>
    </row>
    <row r="2950" spans="1:1">
      <c r="A2950" s="6"/>
    </row>
    <row r="2951" spans="1:1">
      <c r="A2951" s="6"/>
    </row>
    <row r="2952" spans="1:1">
      <c r="A2952" s="6"/>
    </row>
    <row r="2953" spans="1:1">
      <c r="A2953" s="6"/>
    </row>
    <row r="2954" spans="1:1">
      <c r="A2954" s="6"/>
    </row>
    <row r="2955" spans="1:1">
      <c r="A2955" s="6"/>
    </row>
    <row r="2956" spans="1:1">
      <c r="A2956" s="6"/>
    </row>
    <row r="2957" spans="1:1">
      <c r="A2957" s="6"/>
    </row>
    <row r="2958" spans="1:1">
      <c r="A2958" s="6"/>
    </row>
    <row r="2959" spans="1:1">
      <c r="A2959" s="6"/>
    </row>
    <row r="2960" spans="1:1">
      <c r="A2960" s="6"/>
    </row>
    <row r="2961" spans="1:1">
      <c r="A2961" s="6"/>
    </row>
    <row r="2962" spans="1:1">
      <c r="A2962" s="6"/>
    </row>
    <row r="2963" spans="1:1">
      <c r="A2963" s="6"/>
    </row>
    <row r="2964" spans="1:1">
      <c r="A2964" s="6"/>
    </row>
    <row r="2965" spans="1:1">
      <c r="A2965" s="6"/>
    </row>
    <row r="2966" spans="1:1">
      <c r="A2966" s="6"/>
    </row>
    <row r="2967" spans="1:1">
      <c r="A2967" s="6"/>
    </row>
    <row r="2968" spans="1:1">
      <c r="A2968" s="6"/>
    </row>
    <row r="2969" spans="1:1">
      <c r="A2969" s="6"/>
    </row>
    <row r="2970" spans="1:1">
      <c r="A2970" s="6"/>
    </row>
    <row r="2971" spans="1:1">
      <c r="A2971" s="6"/>
    </row>
    <row r="2972" spans="1:1">
      <c r="A2972" s="6"/>
    </row>
    <row r="2973" spans="1:1">
      <c r="A2973" s="6"/>
    </row>
    <row r="2974" spans="1:1">
      <c r="A2974" s="6"/>
    </row>
    <row r="2975" spans="1:1">
      <c r="A2975" s="6"/>
    </row>
    <row r="2976" spans="1:1">
      <c r="A2976" s="6"/>
    </row>
    <row r="2977" spans="1:1">
      <c r="A2977" s="6"/>
    </row>
    <row r="2978" spans="1:1">
      <c r="A2978" s="6"/>
    </row>
    <row r="2979" spans="1:1">
      <c r="A2979" s="6"/>
    </row>
    <row r="2980" spans="1:1">
      <c r="A2980" s="6"/>
    </row>
    <row r="2981" spans="1:1">
      <c r="A2981" s="6"/>
    </row>
    <row r="2982" spans="1:1">
      <c r="A2982" s="6"/>
    </row>
    <row r="2983" spans="1:1">
      <c r="A2983" s="6"/>
    </row>
    <row r="2984" spans="1:1">
      <c r="A2984" s="6"/>
    </row>
    <row r="2985" spans="1:1">
      <c r="A2985" s="6"/>
    </row>
    <row r="2986" spans="1:1">
      <c r="A2986" s="6"/>
    </row>
    <row r="2987" spans="1:1">
      <c r="A2987" s="6"/>
    </row>
    <row r="2988" spans="1:1">
      <c r="A2988" s="6"/>
    </row>
    <row r="2989" spans="1:1">
      <c r="A2989" s="6"/>
    </row>
    <row r="2990" spans="1:1">
      <c r="A2990" s="6"/>
    </row>
    <row r="2991" spans="1:1">
      <c r="A2991" s="6"/>
    </row>
    <row r="2992" spans="1:1">
      <c r="A2992" s="6"/>
    </row>
    <row r="2993" spans="1:1">
      <c r="A2993" s="6"/>
    </row>
    <row r="2994" spans="1:1">
      <c r="A2994" s="6"/>
    </row>
    <row r="2995" spans="1:1">
      <c r="A2995" s="6"/>
    </row>
    <row r="2996" spans="1:1">
      <c r="A2996" s="6"/>
    </row>
    <row r="2997" spans="1:1">
      <c r="A2997" s="6"/>
    </row>
    <row r="2998" spans="1:1">
      <c r="A2998" s="6"/>
    </row>
    <row r="2999" spans="1:1">
      <c r="A2999" s="6"/>
    </row>
    <row r="3000" spans="1:1">
      <c r="A3000" s="6"/>
    </row>
    <row r="3001" spans="1:1">
      <c r="A3001" s="6"/>
    </row>
    <row r="3002" spans="1:1">
      <c r="A3002" s="6"/>
    </row>
    <row r="3003" spans="1:1">
      <c r="A3003" s="6"/>
    </row>
    <row r="3004" spans="1:1">
      <c r="A3004" s="6"/>
    </row>
    <row r="3005" spans="1:1">
      <c r="A3005" s="6"/>
    </row>
    <row r="3006" spans="1:1">
      <c r="A3006" s="6"/>
    </row>
    <row r="3007" spans="1:1">
      <c r="A3007" s="6"/>
    </row>
    <row r="3008" spans="1:1">
      <c r="A3008" s="6"/>
    </row>
    <row r="3009" spans="1:1">
      <c r="A3009" s="6"/>
    </row>
    <row r="3010" spans="1:1">
      <c r="A3010" s="6"/>
    </row>
    <row r="3011" spans="1:1">
      <c r="A3011" s="6"/>
    </row>
    <row r="3012" spans="1:1">
      <c r="A3012" s="6"/>
    </row>
    <row r="3013" spans="1:1">
      <c r="A3013" s="6"/>
    </row>
    <row r="3014" spans="1:1">
      <c r="A3014" s="6"/>
    </row>
    <row r="3015" spans="1:1">
      <c r="A3015" s="6"/>
    </row>
    <row r="3016" spans="1:1">
      <c r="A3016" s="6"/>
    </row>
    <row r="3017" spans="1:1">
      <c r="A3017" s="6"/>
    </row>
    <row r="3018" spans="1:1">
      <c r="A3018" s="6"/>
    </row>
    <row r="3019" spans="1:1">
      <c r="A3019" s="6"/>
    </row>
    <row r="3020" spans="1:1">
      <c r="A3020" s="6"/>
    </row>
    <row r="3021" spans="1:1">
      <c r="A3021" s="6"/>
    </row>
    <row r="3022" spans="1:1">
      <c r="A3022" s="6"/>
    </row>
    <row r="3023" spans="1:1">
      <c r="A3023" s="6"/>
    </row>
    <row r="3024" spans="1:1">
      <c r="A3024" s="6"/>
    </row>
    <row r="3025" spans="1:1">
      <c r="A3025" s="6"/>
    </row>
    <row r="3026" spans="1:1">
      <c r="A3026" s="6"/>
    </row>
    <row r="3027" spans="1:1">
      <c r="A3027" s="6"/>
    </row>
    <row r="3028" spans="1:1">
      <c r="A3028" s="6"/>
    </row>
    <row r="3029" spans="1:1">
      <c r="A3029" s="6"/>
    </row>
    <row r="3030" spans="1:1">
      <c r="A3030" s="6"/>
    </row>
    <row r="3031" spans="1:1">
      <c r="A3031" s="6"/>
    </row>
    <row r="3032" spans="1:1">
      <c r="A3032" s="6"/>
    </row>
    <row r="3033" spans="1:1">
      <c r="A3033" s="6"/>
    </row>
    <row r="3034" spans="1:1">
      <c r="A3034" s="6"/>
    </row>
    <row r="3035" spans="1:1">
      <c r="A3035" s="6"/>
    </row>
    <row r="3036" spans="1:1">
      <c r="A3036" s="6"/>
    </row>
    <row r="3037" spans="1:1">
      <c r="A3037" s="6"/>
    </row>
    <row r="3038" spans="1:1">
      <c r="A3038" s="6"/>
    </row>
    <row r="3039" spans="1:1">
      <c r="A3039" s="6"/>
    </row>
    <row r="3040" spans="1:1">
      <c r="A3040" s="6"/>
    </row>
    <row r="3041" spans="1:1">
      <c r="A3041" s="6"/>
    </row>
    <row r="3042" spans="1:1">
      <c r="A3042" s="6"/>
    </row>
    <row r="3043" spans="1:1">
      <c r="A3043" s="6"/>
    </row>
    <row r="3044" spans="1:1">
      <c r="A3044" s="6"/>
    </row>
    <row r="3045" spans="1:1">
      <c r="A3045" s="6"/>
    </row>
    <row r="3046" spans="1:1">
      <c r="A3046" s="6"/>
    </row>
    <row r="3047" spans="1:1">
      <c r="A3047" s="6"/>
    </row>
    <row r="3048" spans="1:1">
      <c r="A3048" s="6"/>
    </row>
    <row r="3049" spans="1:1">
      <c r="A3049" s="6"/>
    </row>
    <row r="3050" spans="1:1">
      <c r="A3050" s="6"/>
    </row>
    <row r="3051" spans="1:1">
      <c r="A3051" s="6"/>
    </row>
    <row r="3052" spans="1:1">
      <c r="A3052" s="6"/>
    </row>
    <row r="3053" spans="1:1">
      <c r="A3053" s="6"/>
    </row>
    <row r="3054" spans="1:1">
      <c r="A3054" s="6"/>
    </row>
    <row r="3055" spans="1:1">
      <c r="A3055" s="6"/>
    </row>
    <row r="3056" spans="1:1">
      <c r="A3056" s="6"/>
    </row>
    <row r="3057" spans="1:1">
      <c r="A3057" s="6"/>
    </row>
    <row r="3058" spans="1:1">
      <c r="A3058" s="6"/>
    </row>
    <row r="3059" spans="1:1">
      <c r="A3059" s="6"/>
    </row>
    <row r="3060" spans="1:1">
      <c r="A3060" s="6"/>
    </row>
    <row r="3061" spans="1:1">
      <c r="A3061" s="6"/>
    </row>
    <row r="3062" spans="1:1">
      <c r="A3062" s="6"/>
    </row>
    <row r="3063" spans="1:1">
      <c r="A3063" s="6"/>
    </row>
    <row r="3064" spans="1:1">
      <c r="A3064" s="6"/>
    </row>
    <row r="3065" spans="1:1">
      <c r="A3065" s="6"/>
    </row>
    <row r="3066" spans="1:1">
      <c r="A3066" s="6"/>
    </row>
    <row r="3067" spans="1:1">
      <c r="A3067" s="6"/>
    </row>
    <row r="3068" spans="1:1">
      <c r="A3068" s="6"/>
    </row>
    <row r="3069" spans="1:1">
      <c r="A3069" s="6"/>
    </row>
    <row r="3070" spans="1:1">
      <c r="A3070" s="6"/>
    </row>
    <row r="3071" spans="1:1">
      <c r="A3071" s="6"/>
    </row>
    <row r="3072" spans="1:1">
      <c r="A3072" s="6"/>
    </row>
    <row r="3073" spans="1:1">
      <c r="A3073" s="6"/>
    </row>
    <row r="3074" spans="1:1">
      <c r="A3074" s="6"/>
    </row>
    <row r="3075" spans="1:1">
      <c r="A3075" s="6"/>
    </row>
    <row r="3076" spans="1:1">
      <c r="A3076" s="6"/>
    </row>
    <row r="3077" spans="1:1">
      <c r="A3077" s="6"/>
    </row>
    <row r="3078" spans="1:1">
      <c r="A3078" s="6"/>
    </row>
    <row r="3079" spans="1:1">
      <c r="A3079" s="6"/>
    </row>
    <row r="3080" spans="1:1">
      <c r="A3080" s="6"/>
    </row>
    <row r="3081" spans="1:1">
      <c r="A3081" s="6"/>
    </row>
    <row r="3082" spans="1:1">
      <c r="A3082" s="6"/>
    </row>
    <row r="3083" spans="1:1">
      <c r="A3083" s="6"/>
    </row>
    <row r="3084" spans="1:1">
      <c r="A3084" s="6"/>
    </row>
    <row r="3085" spans="1:1">
      <c r="A3085" s="6"/>
    </row>
    <row r="3086" spans="1:1">
      <c r="A3086" s="6"/>
    </row>
    <row r="3087" spans="1:1">
      <c r="A3087" s="6"/>
    </row>
    <row r="3088" spans="1:1">
      <c r="A3088" s="6"/>
    </row>
    <row r="3089" spans="1:1">
      <c r="A3089" s="6"/>
    </row>
    <row r="3090" spans="1:1">
      <c r="A3090" s="6"/>
    </row>
    <row r="3091" spans="1:1">
      <c r="A3091" s="6"/>
    </row>
    <row r="3092" spans="1:1">
      <c r="A3092" s="6"/>
    </row>
    <row r="3093" spans="1:1">
      <c r="A3093" s="6"/>
    </row>
    <row r="3094" spans="1:1">
      <c r="A3094" s="6"/>
    </row>
    <row r="3095" spans="1:1">
      <c r="A3095" s="6"/>
    </row>
    <row r="3096" spans="1:1">
      <c r="A3096" s="6"/>
    </row>
    <row r="3097" spans="1:1">
      <c r="A3097" s="6"/>
    </row>
    <row r="3098" spans="1:1">
      <c r="A3098" s="6"/>
    </row>
    <row r="3099" spans="1:1">
      <c r="A3099" s="6"/>
    </row>
    <row r="3100" spans="1:1">
      <c r="A3100" s="6"/>
    </row>
    <row r="3101" spans="1:1">
      <c r="A3101" s="6"/>
    </row>
    <row r="3102" spans="1:1">
      <c r="A3102" s="6"/>
    </row>
    <row r="3103" spans="1:1">
      <c r="A3103" s="6"/>
    </row>
    <row r="3104" spans="1:1">
      <c r="A3104" s="6"/>
    </row>
    <row r="3105" spans="1:1">
      <c r="A3105" s="6"/>
    </row>
    <row r="3106" spans="1:1">
      <c r="A3106" s="6"/>
    </row>
    <row r="3107" spans="1:1">
      <c r="A3107" s="6"/>
    </row>
    <row r="3108" spans="1:1">
      <c r="A3108" s="6"/>
    </row>
    <row r="3109" spans="1:1">
      <c r="A3109" s="6"/>
    </row>
    <row r="3110" spans="1:1">
      <c r="A3110" s="6"/>
    </row>
    <row r="3111" spans="1:1">
      <c r="A3111" s="6"/>
    </row>
    <row r="3112" spans="1:1">
      <c r="A3112" s="6"/>
    </row>
    <row r="3113" spans="1:1">
      <c r="A3113" s="6"/>
    </row>
    <row r="3114" spans="1:1">
      <c r="A3114" s="6"/>
    </row>
    <row r="3115" spans="1:1">
      <c r="A3115" s="6"/>
    </row>
    <row r="3116" spans="1:1">
      <c r="A3116" s="6"/>
    </row>
    <row r="3117" spans="1:1">
      <c r="A3117" s="6"/>
    </row>
    <row r="3118" spans="1:1">
      <c r="A3118" s="6"/>
    </row>
    <row r="3119" spans="1:1">
      <c r="A3119" s="6"/>
    </row>
    <row r="3120" spans="1:1">
      <c r="A3120" s="6"/>
    </row>
    <row r="3121" spans="1:1">
      <c r="A3121" s="6"/>
    </row>
    <row r="3122" spans="1:1">
      <c r="A3122" s="6"/>
    </row>
    <row r="3123" spans="1:1">
      <c r="A3123" s="6"/>
    </row>
    <row r="3124" spans="1:1">
      <c r="A3124" s="6"/>
    </row>
    <row r="3125" spans="1:1">
      <c r="A3125" s="6"/>
    </row>
    <row r="3126" spans="1:1">
      <c r="A3126" s="6"/>
    </row>
    <row r="3127" spans="1:1">
      <c r="A3127" s="6"/>
    </row>
    <row r="3128" spans="1:1">
      <c r="A3128" s="6"/>
    </row>
    <row r="3129" spans="1:1">
      <c r="A3129" s="6"/>
    </row>
    <row r="3130" spans="1:1">
      <c r="A3130" s="6"/>
    </row>
    <row r="3131" spans="1:1">
      <c r="A3131" s="6"/>
    </row>
    <row r="3132" spans="1:1">
      <c r="A3132" s="6"/>
    </row>
    <row r="3133" spans="1:1">
      <c r="A3133" s="6"/>
    </row>
    <row r="3134" spans="1:1">
      <c r="A3134" s="6"/>
    </row>
    <row r="3135" spans="1:1">
      <c r="A3135" s="6"/>
    </row>
    <row r="3136" spans="1:1">
      <c r="A3136" s="6"/>
    </row>
    <row r="3137" spans="1:1">
      <c r="A3137" s="6"/>
    </row>
    <row r="3138" spans="1:1">
      <c r="A3138" s="6"/>
    </row>
    <row r="3139" spans="1:1">
      <c r="A3139" s="6"/>
    </row>
    <row r="3140" spans="1:1">
      <c r="A3140" s="6"/>
    </row>
    <row r="3141" spans="1:1">
      <c r="A3141" s="6"/>
    </row>
    <row r="3142" spans="1:1">
      <c r="A3142" s="6"/>
    </row>
    <row r="3143" spans="1:1">
      <c r="A3143" s="6"/>
    </row>
    <row r="3144" spans="1:1">
      <c r="A3144" s="6"/>
    </row>
    <row r="3145" spans="1:1">
      <c r="A3145" s="6"/>
    </row>
    <row r="3146" spans="1:1">
      <c r="A3146" s="6"/>
    </row>
    <row r="3147" spans="1:1">
      <c r="A3147" s="6"/>
    </row>
    <row r="3148" spans="1:1">
      <c r="A3148" s="6"/>
    </row>
    <row r="3149" spans="1:1">
      <c r="A3149" s="6"/>
    </row>
    <row r="3150" spans="1:1">
      <c r="A3150" s="6"/>
    </row>
    <row r="3151" spans="1:1">
      <c r="A3151" s="6"/>
    </row>
    <row r="3152" spans="1:1">
      <c r="A3152" s="6"/>
    </row>
    <row r="3153" spans="1:1">
      <c r="A3153" s="6"/>
    </row>
    <row r="3154" spans="1:1">
      <c r="A3154" s="6"/>
    </row>
    <row r="3155" spans="1:1">
      <c r="A3155" s="6"/>
    </row>
    <row r="3156" spans="1:1">
      <c r="A3156" s="6"/>
    </row>
    <row r="3157" spans="1:1">
      <c r="A3157" s="6"/>
    </row>
    <row r="3158" spans="1:1">
      <c r="A3158" s="6"/>
    </row>
    <row r="3159" spans="1:1">
      <c r="A3159" s="6"/>
    </row>
    <row r="3160" spans="1:1">
      <c r="A3160" s="6"/>
    </row>
    <row r="3161" spans="1:1">
      <c r="A3161" s="6"/>
    </row>
    <row r="3162" spans="1:1">
      <c r="A3162" s="6"/>
    </row>
    <row r="3163" spans="1:1">
      <c r="A3163" s="6"/>
    </row>
    <row r="3164" spans="1:1">
      <c r="A3164" s="6"/>
    </row>
    <row r="3165" spans="1:1">
      <c r="A3165" s="6"/>
    </row>
    <row r="3166" spans="1:1">
      <c r="A3166" s="6"/>
    </row>
    <row r="3167" spans="1:1">
      <c r="A3167" s="6"/>
    </row>
    <row r="3168" spans="1:1">
      <c r="A3168" s="6"/>
    </row>
    <row r="3169" spans="1:1">
      <c r="A3169" s="6"/>
    </row>
    <row r="3170" spans="1:1">
      <c r="A3170" s="6"/>
    </row>
    <row r="3171" spans="1:1">
      <c r="A3171" s="6"/>
    </row>
    <row r="3172" spans="1:1">
      <c r="A3172" s="6"/>
    </row>
    <row r="3173" spans="1:1">
      <c r="A3173" s="6"/>
    </row>
    <row r="3174" spans="1:1">
      <c r="A3174" s="6"/>
    </row>
    <row r="3175" spans="1:1">
      <c r="A3175" s="6"/>
    </row>
    <row r="3176" spans="1:1">
      <c r="A3176" s="6"/>
    </row>
    <row r="3177" spans="1:1">
      <c r="A3177" s="6"/>
    </row>
    <row r="3178" spans="1:1">
      <c r="A3178" s="6"/>
    </row>
    <row r="3179" spans="1:1">
      <c r="A3179" s="6"/>
    </row>
    <row r="3180" spans="1:1">
      <c r="A3180" s="6"/>
    </row>
    <row r="3181" spans="1:1">
      <c r="A3181" s="6"/>
    </row>
    <row r="3182" spans="1:1">
      <c r="A3182" s="6"/>
    </row>
    <row r="3183" spans="1:1">
      <c r="A3183" s="6"/>
    </row>
    <row r="3184" spans="1:1">
      <c r="A3184" s="6"/>
    </row>
    <row r="3185" spans="1:1">
      <c r="A3185" s="6"/>
    </row>
    <row r="3186" spans="1:1">
      <c r="A3186" s="6"/>
    </row>
    <row r="3187" spans="1:1">
      <c r="A3187" s="6"/>
    </row>
    <row r="3188" spans="1:1">
      <c r="A3188" s="6"/>
    </row>
    <row r="3189" spans="1:1">
      <c r="A3189" s="6"/>
    </row>
    <row r="3190" spans="1:1">
      <c r="A3190" s="6"/>
    </row>
    <row r="3191" spans="1:1">
      <c r="A3191" s="6"/>
    </row>
    <row r="3192" spans="1:1">
      <c r="A3192" s="6"/>
    </row>
    <row r="3193" spans="1:1">
      <c r="A3193" s="6"/>
    </row>
    <row r="3194" spans="1:1">
      <c r="A3194" s="6"/>
    </row>
    <row r="3195" spans="1:1">
      <c r="A3195" s="6"/>
    </row>
    <row r="3196" spans="1:1">
      <c r="A3196" s="6"/>
    </row>
    <row r="3197" spans="1:1">
      <c r="A3197" s="6"/>
    </row>
    <row r="3198" spans="1:1">
      <c r="A3198" s="6"/>
    </row>
    <row r="3199" spans="1:1">
      <c r="A3199" s="6"/>
    </row>
    <row r="3200" spans="1:1">
      <c r="A3200" s="6"/>
    </row>
    <row r="3201" spans="1:1">
      <c r="A3201" s="6"/>
    </row>
    <row r="3202" spans="1:1">
      <c r="A3202" s="6"/>
    </row>
    <row r="3203" spans="1:1">
      <c r="A3203" s="6"/>
    </row>
    <row r="3204" spans="1:1">
      <c r="A3204" s="6"/>
    </row>
    <row r="3205" spans="1:1">
      <c r="A3205" s="6"/>
    </row>
    <row r="3206" spans="1:1">
      <c r="A3206" s="6"/>
    </row>
    <row r="3207" spans="1:1">
      <c r="A3207" s="6"/>
    </row>
    <row r="3208" spans="1:1">
      <c r="A3208" s="6"/>
    </row>
    <row r="3209" spans="1:1">
      <c r="A3209" s="6"/>
    </row>
    <row r="3210" spans="1:1">
      <c r="A3210" s="6"/>
    </row>
    <row r="3211" spans="1:1">
      <c r="A3211" s="6"/>
    </row>
    <row r="3212" spans="1:1">
      <c r="A3212" s="6"/>
    </row>
    <row r="3213" spans="1:1">
      <c r="A3213" s="6"/>
    </row>
    <row r="3214" spans="1:1">
      <c r="A3214" s="6"/>
    </row>
    <row r="3215" spans="1:1">
      <c r="A3215" s="6"/>
    </row>
    <row r="3216" spans="1:1">
      <c r="A3216" s="6"/>
    </row>
    <row r="3217" spans="1:1">
      <c r="A3217" s="6"/>
    </row>
    <row r="3218" spans="1:1">
      <c r="A3218" s="6"/>
    </row>
    <row r="3219" spans="1:1">
      <c r="A3219" s="6"/>
    </row>
    <row r="3220" spans="1:1">
      <c r="A3220" s="6"/>
    </row>
    <row r="3221" spans="1:1">
      <c r="A3221" s="6"/>
    </row>
    <row r="3222" spans="1:1">
      <c r="A3222" s="6"/>
    </row>
    <row r="3223" spans="1:1">
      <c r="A3223" s="6"/>
    </row>
    <row r="3224" spans="1:1">
      <c r="A3224" s="6"/>
    </row>
    <row r="3225" spans="1:1">
      <c r="A3225" s="6"/>
    </row>
    <row r="3226" spans="1:1">
      <c r="A3226" s="6"/>
    </row>
    <row r="3227" spans="1:1">
      <c r="A3227" s="6"/>
    </row>
    <row r="3228" spans="1:1">
      <c r="A3228" s="6"/>
    </row>
    <row r="3229" spans="1:1">
      <c r="A3229" s="6"/>
    </row>
    <row r="3230" spans="1:1">
      <c r="A3230" s="6"/>
    </row>
    <row r="3231" spans="1:1">
      <c r="A3231" s="6"/>
    </row>
    <row r="3232" spans="1:1">
      <c r="A3232" s="6"/>
    </row>
    <row r="3233" spans="1:1">
      <c r="A3233" s="6"/>
    </row>
    <row r="3234" spans="1:1">
      <c r="A3234" s="6"/>
    </row>
    <row r="3235" spans="1:1">
      <c r="A3235" s="6"/>
    </row>
    <row r="3236" spans="1:1">
      <c r="A3236" s="6"/>
    </row>
    <row r="3237" spans="1:1">
      <c r="A3237" s="6"/>
    </row>
    <row r="3238" spans="1:1">
      <c r="A3238" s="6"/>
    </row>
    <row r="3239" spans="1:1">
      <c r="A3239" s="6"/>
    </row>
    <row r="3240" spans="1:1">
      <c r="A3240" s="6"/>
    </row>
    <row r="3241" spans="1:1">
      <c r="A3241" s="6"/>
    </row>
    <row r="3242" spans="1:1">
      <c r="A3242" s="6"/>
    </row>
    <row r="3243" spans="1:1">
      <c r="A3243" s="6"/>
    </row>
    <row r="3244" spans="1:1">
      <c r="A3244" s="6"/>
    </row>
    <row r="3245" spans="1:1">
      <c r="A3245" s="6"/>
    </row>
    <row r="3246" spans="1:1">
      <c r="A3246" s="6"/>
    </row>
    <row r="3247" spans="1:1">
      <c r="A3247" s="6"/>
    </row>
    <row r="3248" spans="1:1">
      <c r="A3248" s="6"/>
    </row>
    <row r="3249" spans="1:1">
      <c r="A3249" s="6"/>
    </row>
    <row r="3250" spans="1:1">
      <c r="A3250" s="6"/>
    </row>
    <row r="3251" spans="1:1">
      <c r="A3251" s="6"/>
    </row>
    <row r="3252" spans="1:1">
      <c r="A3252" s="6"/>
    </row>
    <row r="3253" spans="1:1">
      <c r="A3253" s="6"/>
    </row>
    <row r="3254" spans="1:1">
      <c r="A3254" s="6"/>
    </row>
    <row r="3255" spans="1:1">
      <c r="A3255" s="6"/>
    </row>
    <row r="3256" spans="1:1">
      <c r="A3256" s="6"/>
    </row>
    <row r="3257" spans="1:1">
      <c r="A3257" s="6"/>
    </row>
    <row r="3258" spans="1:1">
      <c r="A3258" s="6"/>
    </row>
    <row r="3259" spans="1:1">
      <c r="A3259" s="6"/>
    </row>
    <row r="3260" spans="1:1">
      <c r="A3260" s="6"/>
    </row>
    <row r="3261" spans="1:1">
      <c r="A3261" s="6"/>
    </row>
    <row r="3262" spans="1:1">
      <c r="A3262" s="6"/>
    </row>
    <row r="3263" spans="1:1">
      <c r="A3263" s="6"/>
    </row>
    <row r="3264" spans="1:1">
      <c r="A3264" s="6"/>
    </row>
    <row r="3265" spans="1:1">
      <c r="A3265" s="6"/>
    </row>
    <row r="3266" spans="1:1">
      <c r="A3266" s="6"/>
    </row>
    <row r="3267" spans="1:1">
      <c r="A3267" s="6"/>
    </row>
    <row r="3268" spans="1:1">
      <c r="A3268" s="6"/>
    </row>
    <row r="3269" spans="1:1">
      <c r="A3269" s="6"/>
    </row>
    <row r="3270" spans="1:1">
      <c r="A3270" s="6"/>
    </row>
    <row r="3271" spans="1:1">
      <c r="A3271" s="6"/>
    </row>
    <row r="3272" spans="1:1">
      <c r="A3272" s="6"/>
    </row>
    <row r="3273" spans="1:1">
      <c r="A3273" s="6"/>
    </row>
    <row r="3274" spans="1:1">
      <c r="A3274" s="6"/>
    </row>
    <row r="3275" spans="1:1">
      <c r="A3275" s="6"/>
    </row>
    <row r="3276" spans="1:1">
      <c r="A3276" s="6"/>
    </row>
    <row r="3277" spans="1:1">
      <c r="A3277" s="6"/>
    </row>
    <row r="3278" spans="1:1">
      <c r="A3278" s="6"/>
    </row>
    <row r="3279" spans="1:1">
      <c r="A3279" s="6"/>
    </row>
    <row r="3280" spans="1:1">
      <c r="A3280" s="6"/>
    </row>
    <row r="3281" spans="1:1">
      <c r="A3281" s="6"/>
    </row>
    <row r="3282" spans="1:1">
      <c r="A3282" s="6"/>
    </row>
    <row r="3283" spans="1:1">
      <c r="A3283" s="6"/>
    </row>
    <row r="3284" spans="1:1">
      <c r="A3284" s="6"/>
    </row>
    <row r="3285" spans="1:1">
      <c r="A3285" s="6"/>
    </row>
    <row r="3286" spans="1:1">
      <c r="A3286" s="6"/>
    </row>
    <row r="3287" spans="1:1">
      <c r="A3287" s="6"/>
    </row>
    <row r="3288" spans="1:1">
      <c r="A3288" s="6"/>
    </row>
    <row r="3289" spans="1:1">
      <c r="A3289" s="6"/>
    </row>
    <row r="3290" spans="1:1">
      <c r="A3290" s="6"/>
    </row>
    <row r="3291" spans="1:1">
      <c r="A3291" s="6"/>
    </row>
    <row r="3292" spans="1:1">
      <c r="A3292" s="6"/>
    </row>
    <row r="3293" spans="1:1">
      <c r="A3293" s="6"/>
    </row>
    <row r="3294" spans="1:1">
      <c r="A3294" s="6"/>
    </row>
    <row r="3295" spans="1:1">
      <c r="A3295" s="6"/>
    </row>
    <row r="3296" spans="1:1">
      <c r="A3296" s="6"/>
    </row>
    <row r="3297" spans="1:1">
      <c r="A3297" s="6"/>
    </row>
    <row r="3298" spans="1:1">
      <c r="A3298" s="6"/>
    </row>
    <row r="3299" spans="1:1">
      <c r="A3299" s="6"/>
    </row>
    <row r="3300" spans="1:1">
      <c r="A3300" s="6"/>
    </row>
    <row r="3301" spans="1:1">
      <c r="A3301" s="6"/>
    </row>
    <row r="3302" spans="1:1">
      <c r="A3302" s="6"/>
    </row>
    <row r="3303" spans="1:1">
      <c r="A3303" s="6"/>
    </row>
    <row r="3304" spans="1:1">
      <c r="A3304" s="6"/>
    </row>
    <row r="3305" spans="1:1">
      <c r="A3305" s="6"/>
    </row>
    <row r="3306" spans="1:1">
      <c r="A3306" s="6"/>
    </row>
    <row r="3307" spans="1:1">
      <c r="A3307" s="6"/>
    </row>
    <row r="3308" spans="1:1">
      <c r="A3308" s="6"/>
    </row>
    <row r="3309" spans="1:1">
      <c r="A3309" s="6"/>
    </row>
    <row r="3310" spans="1:1">
      <c r="A3310" s="6"/>
    </row>
    <row r="3311" spans="1:1">
      <c r="A3311" s="6"/>
    </row>
    <row r="3312" spans="1:1">
      <c r="A3312" s="6"/>
    </row>
    <row r="3313" spans="1:1">
      <c r="A3313" s="6"/>
    </row>
    <row r="3314" spans="1:1">
      <c r="A3314" s="6"/>
    </row>
    <row r="3315" spans="1:1">
      <c r="A3315" s="6"/>
    </row>
    <row r="3316" spans="1:1">
      <c r="A3316" s="6"/>
    </row>
    <row r="3317" spans="1:1">
      <c r="A3317" s="6"/>
    </row>
    <row r="3318" spans="1:1">
      <c r="A3318" s="6"/>
    </row>
    <row r="3319" spans="1:1">
      <c r="A3319" s="6"/>
    </row>
    <row r="3320" spans="1:1">
      <c r="A3320" s="6"/>
    </row>
    <row r="3321" spans="1:1">
      <c r="A3321" s="6"/>
    </row>
    <row r="3322" spans="1:1">
      <c r="A3322" s="6"/>
    </row>
    <row r="3323" spans="1:1">
      <c r="A3323" s="6"/>
    </row>
    <row r="3324" spans="1:1">
      <c r="A3324" s="6"/>
    </row>
    <row r="3325" spans="1:1">
      <c r="A3325" s="6"/>
    </row>
    <row r="3326" spans="1:1">
      <c r="A3326" s="6"/>
    </row>
    <row r="3327" spans="1:1">
      <c r="A3327" s="6"/>
    </row>
    <row r="3328" spans="1:1">
      <c r="A3328" s="6"/>
    </row>
    <row r="3329" spans="1:1">
      <c r="A3329" s="6"/>
    </row>
    <row r="3330" spans="1:1">
      <c r="A3330" s="6"/>
    </row>
    <row r="3331" spans="1:1">
      <c r="A3331" s="6"/>
    </row>
    <row r="3332" spans="1:1">
      <c r="A3332" s="6"/>
    </row>
    <row r="3333" spans="1:1">
      <c r="A3333" s="6"/>
    </row>
    <row r="3334" spans="1:1">
      <c r="A3334" s="6"/>
    </row>
    <row r="3335" spans="1:1">
      <c r="A3335" s="6"/>
    </row>
    <row r="3336" spans="1:1">
      <c r="A3336" s="6"/>
    </row>
    <row r="3337" spans="1:1">
      <c r="A3337" s="6"/>
    </row>
    <row r="3338" spans="1:1">
      <c r="A3338" s="6"/>
    </row>
    <row r="3339" spans="1:1">
      <c r="A3339" s="6"/>
    </row>
    <row r="3340" spans="1:1">
      <c r="A3340" s="6"/>
    </row>
    <row r="3341" spans="1:1">
      <c r="A3341" s="6"/>
    </row>
    <row r="3342" spans="1:1">
      <c r="A3342" s="6"/>
    </row>
    <row r="3343" spans="1:1">
      <c r="A3343" s="6"/>
    </row>
    <row r="3344" spans="1:1">
      <c r="A3344" s="6"/>
    </row>
    <row r="3345" spans="1:1">
      <c r="A3345" s="6"/>
    </row>
    <row r="3346" spans="1:1">
      <c r="A3346" s="6"/>
    </row>
    <row r="3347" spans="1:1">
      <c r="A3347" s="6"/>
    </row>
    <row r="3348" spans="1:1">
      <c r="A3348" s="6"/>
    </row>
    <row r="3349" spans="1:1">
      <c r="A3349" s="6"/>
    </row>
    <row r="3350" spans="1:1">
      <c r="A3350" s="6"/>
    </row>
    <row r="3351" spans="1:1">
      <c r="A3351" s="6"/>
    </row>
    <row r="3352" spans="1:1">
      <c r="A3352" s="6"/>
    </row>
    <row r="3353" spans="1:1">
      <c r="A3353" s="6"/>
    </row>
    <row r="3354" spans="1:1">
      <c r="A3354" s="6"/>
    </row>
    <row r="3355" spans="1:1">
      <c r="A3355" s="6"/>
    </row>
    <row r="3356" spans="1:1">
      <c r="A3356" s="6"/>
    </row>
    <row r="3357" spans="1:1">
      <c r="A3357" s="6"/>
    </row>
    <row r="3358" spans="1:1">
      <c r="A3358" s="6"/>
    </row>
    <row r="3359" spans="1:1">
      <c r="A3359" s="6"/>
    </row>
    <row r="3360" spans="1:1">
      <c r="A3360" s="6"/>
    </row>
    <row r="3361" spans="1:1">
      <c r="A3361" s="6"/>
    </row>
    <row r="3362" spans="1:1">
      <c r="A3362" s="6"/>
    </row>
    <row r="3363" spans="1:1">
      <c r="A3363" s="6"/>
    </row>
    <row r="3364" spans="1:1">
      <c r="A3364" s="6"/>
    </row>
    <row r="3365" spans="1:1">
      <c r="A3365" s="6"/>
    </row>
    <row r="3366" spans="1:1">
      <c r="A3366" s="6"/>
    </row>
    <row r="3367" spans="1:1">
      <c r="A3367" s="6"/>
    </row>
    <row r="3368" spans="1:1">
      <c r="A3368" s="6"/>
    </row>
    <row r="3369" spans="1:1">
      <c r="A3369" s="6"/>
    </row>
    <row r="3370" spans="1:1">
      <c r="A3370" s="6"/>
    </row>
    <row r="3371" spans="1:1">
      <c r="A3371" s="6"/>
    </row>
    <row r="3372" spans="1:1">
      <c r="A3372" s="6"/>
    </row>
    <row r="3373" spans="1:1">
      <c r="A3373" s="6"/>
    </row>
    <row r="3374" spans="1:1">
      <c r="A3374" s="6"/>
    </row>
    <row r="3375" spans="1:1">
      <c r="A3375" s="6"/>
    </row>
    <row r="3376" spans="1:1">
      <c r="A3376" s="6"/>
    </row>
    <row r="3377" spans="1:1">
      <c r="A3377" s="6"/>
    </row>
    <row r="3378" spans="1:1">
      <c r="A3378" s="6"/>
    </row>
    <row r="3379" spans="1:1">
      <c r="A3379" s="6"/>
    </row>
    <row r="3380" spans="1:1">
      <c r="A3380" s="6"/>
    </row>
    <row r="3381" spans="1:1">
      <c r="A3381" s="6"/>
    </row>
    <row r="3382" spans="1:1">
      <c r="A3382" s="6"/>
    </row>
    <row r="3383" spans="1:1">
      <c r="A3383" s="6"/>
    </row>
    <row r="3384" spans="1:1">
      <c r="A3384" s="6"/>
    </row>
    <row r="3385" spans="1:1">
      <c r="A3385" s="6"/>
    </row>
    <row r="3386" spans="1:1">
      <c r="A3386" s="6"/>
    </row>
    <row r="3387" spans="1:1">
      <c r="A3387" s="6"/>
    </row>
    <row r="3388" spans="1:1">
      <c r="A3388" s="6"/>
    </row>
    <row r="3389" spans="1:1">
      <c r="A3389" s="6"/>
    </row>
    <row r="3390" spans="1:1">
      <c r="A3390" s="6"/>
    </row>
    <row r="3391" spans="1:1">
      <c r="A3391" s="6"/>
    </row>
    <row r="3392" spans="1:1">
      <c r="A3392" s="6"/>
    </row>
    <row r="3393" spans="1:1">
      <c r="A3393" s="6"/>
    </row>
    <row r="3394" spans="1:1">
      <c r="A3394" s="6"/>
    </row>
    <row r="3395" spans="1:1">
      <c r="A3395" s="6"/>
    </row>
    <row r="3396" spans="1:1">
      <c r="A3396" s="6"/>
    </row>
    <row r="3397" spans="1:1">
      <c r="A3397" s="6"/>
    </row>
    <row r="3398" spans="1:1">
      <c r="A3398" s="6"/>
    </row>
    <row r="3399" spans="1:1">
      <c r="A3399" s="6"/>
    </row>
    <row r="3400" spans="1:1">
      <c r="A3400" s="6"/>
    </row>
    <row r="3401" spans="1:1">
      <c r="A3401" s="6"/>
    </row>
    <row r="3402" spans="1:1">
      <c r="A3402" s="6"/>
    </row>
    <row r="3403" spans="1:1">
      <c r="A3403" s="6"/>
    </row>
    <row r="3404" spans="1:1">
      <c r="A3404" s="6"/>
    </row>
    <row r="3405" spans="1:1">
      <c r="A3405" s="6"/>
    </row>
    <row r="3406" spans="1:1">
      <c r="A3406" s="6"/>
    </row>
    <row r="3407" spans="1:1">
      <c r="A3407" s="6"/>
    </row>
    <row r="3408" spans="1:1">
      <c r="A3408" s="6"/>
    </row>
    <row r="3409" spans="1:1">
      <c r="A3409" s="6"/>
    </row>
    <row r="3410" spans="1:1">
      <c r="A3410" s="6"/>
    </row>
    <row r="3411" spans="1:1">
      <c r="A3411" s="6"/>
    </row>
    <row r="3412" spans="1:1">
      <c r="A3412" s="6"/>
    </row>
    <row r="3413" spans="1:1">
      <c r="A3413" s="6"/>
    </row>
    <row r="3414" spans="1:1">
      <c r="A3414" s="6"/>
    </row>
    <row r="3415" spans="1:1">
      <c r="A3415" s="6"/>
    </row>
    <row r="3416" spans="1:1">
      <c r="A3416" s="6"/>
    </row>
    <row r="3417" spans="1:1">
      <c r="A3417" s="6"/>
    </row>
    <row r="3418" spans="1:1">
      <c r="A3418" s="6"/>
    </row>
    <row r="3419" spans="1:1">
      <c r="A3419" s="6"/>
    </row>
    <row r="3420" spans="1:1">
      <c r="A3420" s="6"/>
    </row>
    <row r="3421" spans="1:1">
      <c r="A3421" s="6"/>
    </row>
    <row r="3422" spans="1:1">
      <c r="A3422" s="6"/>
    </row>
    <row r="3423" spans="1:1">
      <c r="A3423" s="6"/>
    </row>
    <row r="3424" spans="1:1">
      <c r="A3424" s="6"/>
    </row>
    <row r="3425" spans="1:1">
      <c r="A3425" s="6"/>
    </row>
    <row r="3426" spans="1:1">
      <c r="A3426" s="6"/>
    </row>
    <row r="3427" spans="1:1">
      <c r="A3427" s="6"/>
    </row>
    <row r="3428" spans="1:1">
      <c r="A3428" s="6"/>
    </row>
    <row r="3429" spans="1:1">
      <c r="A3429" s="6"/>
    </row>
    <row r="3430" spans="1:1">
      <c r="A3430" s="6"/>
    </row>
    <row r="3431" spans="1:1">
      <c r="A3431" s="6"/>
    </row>
    <row r="3432" spans="1:1">
      <c r="A3432" s="6"/>
    </row>
    <row r="3433" spans="1:1">
      <c r="A3433" s="6"/>
    </row>
    <row r="3434" spans="1:1">
      <c r="A3434" s="6"/>
    </row>
    <row r="3435" spans="1:1">
      <c r="A3435" s="6"/>
    </row>
    <row r="3436" spans="1:1">
      <c r="A3436" s="6"/>
    </row>
    <row r="3437" spans="1:1">
      <c r="A3437" s="6"/>
    </row>
    <row r="3438" spans="1:1">
      <c r="A3438" s="6"/>
    </row>
    <row r="3439" spans="1:1">
      <c r="A3439" s="6"/>
    </row>
    <row r="3440" spans="1:1">
      <c r="A3440" s="6"/>
    </row>
    <row r="3441" spans="1:1">
      <c r="A3441" s="6"/>
    </row>
    <row r="3442" spans="1:1">
      <c r="A3442" s="6"/>
    </row>
    <row r="3443" spans="1:1">
      <c r="A3443" s="6"/>
    </row>
    <row r="3444" spans="1:1">
      <c r="A3444" s="6"/>
    </row>
    <row r="3445" spans="1:1">
      <c r="A3445" s="6"/>
    </row>
    <row r="3446" spans="1:1">
      <c r="A3446" s="6"/>
    </row>
    <row r="3447" spans="1:1">
      <c r="A3447" s="6"/>
    </row>
    <row r="3448" spans="1:1">
      <c r="A3448" s="6"/>
    </row>
    <row r="3449" spans="1:1">
      <c r="A3449" s="6"/>
    </row>
    <row r="3450" spans="1:1">
      <c r="A3450" s="6"/>
    </row>
    <row r="3451" spans="1:1">
      <c r="A3451" s="6"/>
    </row>
    <row r="3452" spans="1:1">
      <c r="A3452" s="6"/>
    </row>
    <row r="3453" spans="1:1">
      <c r="A3453" s="6"/>
    </row>
    <row r="3454" spans="1:1">
      <c r="A3454" s="6"/>
    </row>
    <row r="3455" spans="1:1">
      <c r="A3455" s="6"/>
    </row>
    <row r="3456" spans="1:1">
      <c r="A3456" s="6"/>
    </row>
    <row r="3457" spans="1:1">
      <c r="A3457" s="6"/>
    </row>
    <row r="3458" spans="1:1">
      <c r="A3458" s="6"/>
    </row>
    <row r="3459" spans="1:1">
      <c r="A3459" s="6"/>
    </row>
    <row r="3460" spans="1:1">
      <c r="A3460" s="6"/>
    </row>
    <row r="3461" spans="1:1">
      <c r="A3461" s="6"/>
    </row>
    <row r="3462" spans="1:1">
      <c r="A3462" s="6"/>
    </row>
    <row r="3463" spans="1:1">
      <c r="A3463" s="6"/>
    </row>
    <row r="3464" spans="1:1">
      <c r="A3464" s="6"/>
    </row>
    <row r="3465" spans="1:1">
      <c r="A3465" s="6"/>
    </row>
    <row r="3466" spans="1:1">
      <c r="A3466" s="6"/>
    </row>
    <row r="3467" spans="1:1">
      <c r="A3467" s="6"/>
    </row>
    <row r="3468" spans="1:1">
      <c r="A3468" s="6"/>
    </row>
    <row r="3469" spans="1:1">
      <c r="A3469" s="6"/>
    </row>
    <row r="3470" spans="1:1">
      <c r="A3470" s="6"/>
    </row>
    <row r="3471" spans="1:1">
      <c r="A3471" s="6"/>
    </row>
    <row r="3472" spans="1:1">
      <c r="A3472" s="6"/>
    </row>
    <row r="3473" spans="1:1">
      <c r="A3473" s="6"/>
    </row>
    <row r="3474" spans="1:1">
      <c r="A3474" s="6"/>
    </row>
    <row r="3475" spans="1:1">
      <c r="A3475" s="6"/>
    </row>
    <row r="3476" spans="1:1">
      <c r="A3476" s="6"/>
    </row>
    <row r="3477" spans="1:1">
      <c r="A3477" s="6"/>
    </row>
    <row r="3478" spans="1:1">
      <c r="A3478" s="6"/>
    </row>
    <row r="3479" spans="1:1">
      <c r="A3479" s="6"/>
    </row>
    <row r="3480" spans="1:1">
      <c r="A3480" s="6"/>
    </row>
    <row r="3481" spans="1:1">
      <c r="A3481" s="6"/>
    </row>
    <row r="3482" spans="1:1">
      <c r="A3482" s="6"/>
    </row>
    <row r="3483" spans="1:1">
      <c r="A3483" s="6"/>
    </row>
    <row r="3484" spans="1:1">
      <c r="A3484" s="6"/>
    </row>
    <row r="3485" spans="1:1">
      <c r="A3485" s="6"/>
    </row>
    <row r="3486" spans="1:1">
      <c r="A3486" s="6"/>
    </row>
    <row r="3487" spans="1:1">
      <c r="A3487" s="6"/>
    </row>
    <row r="3488" spans="1:1">
      <c r="A3488" s="6"/>
    </row>
    <row r="3489" spans="1:1">
      <c r="A3489" s="6"/>
    </row>
    <row r="3490" spans="1:1">
      <c r="A3490" s="6"/>
    </row>
    <row r="3491" spans="1:1">
      <c r="A3491" s="6"/>
    </row>
    <row r="3492" spans="1:1">
      <c r="A3492" s="6"/>
    </row>
    <row r="3493" spans="1:1">
      <c r="A3493" s="6"/>
    </row>
    <row r="3494" spans="1:1">
      <c r="A3494" s="6"/>
    </row>
    <row r="3495" spans="1:1">
      <c r="A3495" s="6"/>
    </row>
    <row r="3496" spans="1:1">
      <c r="A3496" s="6"/>
    </row>
    <row r="3497" spans="1:1">
      <c r="A3497" s="6"/>
    </row>
    <row r="3498" spans="1:1">
      <c r="A3498" s="6"/>
    </row>
    <row r="3499" spans="1:1">
      <c r="A3499" s="6"/>
    </row>
    <row r="3500" spans="1:1">
      <c r="A3500" s="6"/>
    </row>
    <row r="3501" spans="1:1">
      <c r="A3501" s="6"/>
    </row>
    <row r="3502" spans="1:1">
      <c r="A3502" s="6"/>
    </row>
    <row r="3503" spans="1:1">
      <c r="A3503" s="6"/>
    </row>
    <row r="3504" spans="1:1">
      <c r="A3504" s="6"/>
    </row>
    <row r="3505" spans="1:1">
      <c r="A3505" s="6"/>
    </row>
    <row r="3506" spans="1:1">
      <c r="A3506" s="6"/>
    </row>
    <row r="3507" spans="1:1">
      <c r="A3507" s="6"/>
    </row>
    <row r="3508" spans="1:1">
      <c r="A3508" s="6"/>
    </row>
    <row r="3509" spans="1:1">
      <c r="A3509" s="6"/>
    </row>
    <row r="3510" spans="1:1">
      <c r="A3510" s="6"/>
    </row>
    <row r="3511" spans="1:1">
      <c r="A3511" s="6"/>
    </row>
    <row r="3512" spans="1:1">
      <c r="A3512" s="6"/>
    </row>
    <row r="3513" spans="1:1">
      <c r="A3513" s="6"/>
    </row>
    <row r="3514" spans="1:1">
      <c r="A3514" s="6"/>
    </row>
    <row r="3515" spans="1:1">
      <c r="A3515" s="6"/>
    </row>
    <row r="3516" spans="1:1">
      <c r="A3516" s="6"/>
    </row>
    <row r="3517" spans="1:1">
      <c r="A3517" s="6"/>
    </row>
    <row r="3518" spans="1:1">
      <c r="A3518" s="6"/>
    </row>
    <row r="3519" spans="1:1">
      <c r="A3519" s="6"/>
    </row>
    <row r="3520" spans="1:1">
      <c r="A3520" s="6"/>
    </row>
    <row r="3521" spans="1:1">
      <c r="A3521" s="6"/>
    </row>
    <row r="3522" spans="1:1">
      <c r="A3522" s="6"/>
    </row>
    <row r="3523" spans="1:1">
      <c r="A3523" s="6"/>
    </row>
    <row r="3524" spans="1:1">
      <c r="A3524" s="6"/>
    </row>
    <row r="3525" spans="1:1">
      <c r="A3525" s="6"/>
    </row>
    <row r="3526" spans="1:1">
      <c r="A3526" s="6"/>
    </row>
    <row r="3527" spans="1:1">
      <c r="A3527" s="6"/>
    </row>
    <row r="3528" spans="1:1">
      <c r="A3528" s="6"/>
    </row>
    <row r="3529" spans="1:1">
      <c r="A3529" s="6"/>
    </row>
    <row r="3530" spans="1:1">
      <c r="A3530" s="6"/>
    </row>
    <row r="3531" spans="1:1">
      <c r="A3531" s="6"/>
    </row>
    <row r="3532" spans="1:1">
      <c r="A3532" s="6"/>
    </row>
    <row r="3533" spans="1:1">
      <c r="A3533" s="6"/>
    </row>
    <row r="3534" spans="1:1">
      <c r="A3534" s="6"/>
    </row>
    <row r="3535" spans="1:1">
      <c r="A3535" s="6"/>
    </row>
    <row r="3536" spans="1:1">
      <c r="A3536" s="6"/>
    </row>
    <row r="3537" spans="1:1">
      <c r="A3537" s="6"/>
    </row>
    <row r="3538" spans="1:1">
      <c r="A3538" s="6"/>
    </row>
    <row r="3539" spans="1:1">
      <c r="A3539" s="6"/>
    </row>
    <row r="3540" spans="1:1">
      <c r="A3540" s="6"/>
    </row>
    <row r="3541" spans="1:1">
      <c r="A3541" s="6"/>
    </row>
    <row r="3542" spans="1:1">
      <c r="A3542" s="6"/>
    </row>
    <row r="3543" spans="1:1">
      <c r="A3543" s="6"/>
    </row>
    <row r="3544" spans="1:1">
      <c r="A3544" s="6"/>
    </row>
    <row r="3545" spans="1:1">
      <c r="A3545" s="6"/>
    </row>
    <row r="3546" spans="1:1">
      <c r="A3546" s="6"/>
    </row>
    <row r="3547" spans="1:1">
      <c r="A3547" s="6"/>
    </row>
    <row r="3548" spans="1:1">
      <c r="A3548" s="6"/>
    </row>
    <row r="3549" spans="1:1">
      <c r="A3549" s="6"/>
    </row>
    <row r="3550" spans="1:1">
      <c r="A3550" s="6"/>
    </row>
    <row r="3551" spans="1:1">
      <c r="A3551" s="6"/>
    </row>
    <row r="3552" spans="1:1">
      <c r="A3552" s="6"/>
    </row>
    <row r="3553" spans="1:1">
      <c r="A3553" s="6"/>
    </row>
    <row r="3554" spans="1:1">
      <c r="A3554" s="6"/>
    </row>
    <row r="3555" spans="1:1">
      <c r="A3555" s="6"/>
    </row>
    <row r="3556" spans="1:1">
      <c r="A3556" s="6"/>
    </row>
    <row r="3557" spans="1:1">
      <c r="A3557" s="6"/>
    </row>
    <row r="3558" spans="1:1">
      <c r="A3558" s="6"/>
    </row>
    <row r="3559" spans="1:1">
      <c r="A3559" s="6"/>
    </row>
    <row r="3560" spans="1:1">
      <c r="A3560" s="6"/>
    </row>
    <row r="3561" spans="1:1">
      <c r="A3561" s="6"/>
    </row>
    <row r="3562" spans="1:1">
      <c r="A3562" s="6"/>
    </row>
    <row r="3563" spans="1:1">
      <c r="A3563" s="6"/>
    </row>
    <row r="3564" spans="1:1">
      <c r="A3564" s="6"/>
    </row>
    <row r="3565" spans="1:1">
      <c r="A3565" s="6"/>
    </row>
    <row r="3566" spans="1:1">
      <c r="A3566" s="6"/>
    </row>
    <row r="3567" spans="1:1">
      <c r="A3567" s="6"/>
    </row>
    <row r="3568" spans="1:1">
      <c r="A3568" s="6"/>
    </row>
    <row r="3569" spans="1:1">
      <c r="A3569" s="6"/>
    </row>
    <row r="3570" spans="1:1">
      <c r="A3570" s="6"/>
    </row>
    <row r="3571" spans="1:1">
      <c r="A3571" s="6"/>
    </row>
    <row r="3572" spans="1:1">
      <c r="A3572" s="6"/>
    </row>
    <row r="3573" spans="1:1">
      <c r="A3573" s="6"/>
    </row>
    <row r="3574" spans="1:1">
      <c r="A3574" s="6"/>
    </row>
    <row r="3575" spans="1:1">
      <c r="A3575" s="6"/>
    </row>
    <row r="3576" spans="1:1">
      <c r="A3576" s="6"/>
    </row>
    <row r="3577" spans="1:1">
      <c r="A3577" s="6"/>
    </row>
    <row r="3578" spans="1:1">
      <c r="A3578" s="6"/>
    </row>
    <row r="3579" spans="1:1">
      <c r="A3579" s="6"/>
    </row>
    <row r="3580" spans="1:1">
      <c r="A3580" s="6"/>
    </row>
    <row r="3581" spans="1:1">
      <c r="A3581" s="6"/>
    </row>
    <row r="3582" spans="1:1">
      <c r="A3582" s="6"/>
    </row>
    <row r="3583" spans="1:1">
      <c r="A3583" s="6"/>
    </row>
    <row r="3584" spans="1:1">
      <c r="A3584" s="6"/>
    </row>
    <row r="3585" spans="1:1">
      <c r="A3585" s="6"/>
    </row>
    <row r="3586" spans="1:1">
      <c r="A3586" s="6"/>
    </row>
    <row r="3587" spans="1:1">
      <c r="A3587" s="6"/>
    </row>
    <row r="3588" spans="1:1">
      <c r="A3588" s="6"/>
    </row>
    <row r="3589" spans="1:1">
      <c r="A3589" s="6"/>
    </row>
    <row r="3590" spans="1:1">
      <c r="A3590" s="6"/>
    </row>
    <row r="3591" spans="1:1">
      <c r="A3591" s="6"/>
    </row>
    <row r="3592" spans="1:1">
      <c r="A3592" s="6"/>
    </row>
    <row r="3593" spans="1:1">
      <c r="A3593" s="6"/>
    </row>
    <row r="3594" spans="1:1">
      <c r="A3594" s="6"/>
    </row>
    <row r="3595" spans="1:1">
      <c r="A3595" s="6"/>
    </row>
    <row r="3596" spans="1:1">
      <c r="A3596" s="6"/>
    </row>
    <row r="3597" spans="1:1">
      <c r="A3597" s="6"/>
    </row>
    <row r="3598" spans="1:1">
      <c r="A3598" s="6"/>
    </row>
    <row r="3599" spans="1:1">
      <c r="A3599" s="6"/>
    </row>
    <row r="3600" spans="1:1">
      <c r="A3600" s="6"/>
    </row>
    <row r="3601" spans="1:1">
      <c r="A3601" s="6"/>
    </row>
    <row r="3602" spans="1:1">
      <c r="A3602" s="6"/>
    </row>
    <row r="3603" spans="1:1">
      <c r="A3603" s="6"/>
    </row>
    <row r="3604" spans="1:1">
      <c r="A3604" s="6"/>
    </row>
    <row r="3605" spans="1:1">
      <c r="A3605" s="6"/>
    </row>
    <row r="3606" spans="1:1">
      <c r="A3606" s="6"/>
    </row>
    <row r="3607" spans="1:1">
      <c r="A3607" s="6"/>
    </row>
    <row r="3608" spans="1:1">
      <c r="A3608" s="6"/>
    </row>
    <row r="3609" spans="1:1">
      <c r="A3609" s="6"/>
    </row>
    <row r="3610" spans="1:1">
      <c r="A3610" s="6"/>
    </row>
    <row r="3611" spans="1:1">
      <c r="A3611" s="6"/>
    </row>
    <row r="3612" spans="1:1">
      <c r="A3612" s="6"/>
    </row>
    <row r="3613" spans="1:1">
      <c r="A3613" s="6"/>
    </row>
    <row r="3614" spans="1:1">
      <c r="A3614" s="6"/>
    </row>
    <row r="3615" spans="1:1">
      <c r="A3615" s="6"/>
    </row>
    <row r="3616" spans="1:1">
      <c r="A3616" s="6"/>
    </row>
    <row r="3617" spans="1:1">
      <c r="A3617" s="6"/>
    </row>
    <row r="3618" spans="1:1">
      <c r="A3618" s="6"/>
    </row>
    <row r="3619" spans="1:1">
      <c r="A3619" s="6"/>
    </row>
    <row r="3620" spans="1:1">
      <c r="A3620" s="6"/>
    </row>
    <row r="3621" spans="1:1">
      <c r="A3621" s="6"/>
    </row>
    <row r="3622" spans="1:1">
      <c r="A3622" s="6"/>
    </row>
    <row r="3623" spans="1:1">
      <c r="A3623" s="6"/>
    </row>
    <row r="3624" spans="1:1">
      <c r="A3624" s="6"/>
    </row>
    <row r="3625" spans="1:1">
      <c r="A3625" s="6"/>
    </row>
    <row r="3626" spans="1:1">
      <c r="A3626" s="6"/>
    </row>
    <row r="3627" spans="1:1">
      <c r="A3627" s="6"/>
    </row>
    <row r="3628" spans="1:1">
      <c r="A3628" s="6"/>
    </row>
    <row r="3629" spans="1:1">
      <c r="A3629" s="6"/>
    </row>
    <row r="3630" spans="1:1">
      <c r="A3630" s="6"/>
    </row>
    <row r="3631" spans="1:1">
      <c r="A3631" s="6"/>
    </row>
    <row r="3632" spans="1:1">
      <c r="A3632" s="6"/>
    </row>
    <row r="3633" spans="1:1">
      <c r="A3633" s="6"/>
    </row>
    <row r="3634" spans="1:1">
      <c r="A3634" s="6"/>
    </row>
    <row r="3635" spans="1:1">
      <c r="A3635" s="6"/>
    </row>
    <row r="3636" spans="1:1">
      <c r="A3636" s="6"/>
    </row>
    <row r="3637" spans="1:1">
      <c r="A3637" s="6"/>
    </row>
    <row r="3638" spans="1:1">
      <c r="A3638" s="6"/>
    </row>
    <row r="3639" spans="1:1">
      <c r="A3639" s="6"/>
    </row>
    <row r="3640" spans="1:1">
      <c r="A3640" s="6"/>
    </row>
    <row r="3641" spans="1:1">
      <c r="A3641" s="6"/>
    </row>
    <row r="3642" spans="1:1">
      <c r="A3642" s="6"/>
    </row>
    <row r="3643" spans="1:1">
      <c r="A3643" s="6"/>
    </row>
    <row r="3644" spans="1:1">
      <c r="A3644" s="6"/>
    </row>
    <row r="3645" spans="1:1">
      <c r="A3645" s="6"/>
    </row>
    <row r="3646" spans="1:1">
      <c r="A3646" s="6"/>
    </row>
    <row r="3647" spans="1:1">
      <c r="A3647" s="6"/>
    </row>
    <row r="3648" spans="1:1">
      <c r="A3648" s="6"/>
    </row>
    <row r="3649" spans="1:1">
      <c r="A3649" s="6"/>
    </row>
    <row r="3650" spans="1:1">
      <c r="A3650" s="6"/>
    </row>
    <row r="3651" spans="1:1">
      <c r="A3651" s="6"/>
    </row>
    <row r="3652" spans="1:1">
      <c r="A3652" s="6"/>
    </row>
    <row r="3653" spans="1:1">
      <c r="A3653" s="6"/>
    </row>
    <row r="3654" spans="1:1">
      <c r="A3654" s="6"/>
    </row>
    <row r="3655" spans="1:1">
      <c r="A3655" s="6"/>
    </row>
    <row r="3656" spans="1:1">
      <c r="A3656" s="6"/>
    </row>
    <row r="3657" spans="1:1">
      <c r="A3657" s="6"/>
    </row>
    <row r="3658" spans="1:1">
      <c r="A3658" s="6"/>
    </row>
    <row r="3659" spans="1:1">
      <c r="A3659" s="6"/>
    </row>
    <row r="3660" spans="1:1">
      <c r="A3660" s="6"/>
    </row>
    <row r="3661" spans="1:1">
      <c r="A3661" s="6"/>
    </row>
    <row r="3662" spans="1:1">
      <c r="A3662" s="6"/>
    </row>
    <row r="3663" spans="1:1">
      <c r="A3663" s="6"/>
    </row>
    <row r="3664" spans="1:1">
      <c r="A3664" s="6"/>
    </row>
    <row r="3665" spans="1:1">
      <c r="A3665" s="6"/>
    </row>
    <row r="3666" spans="1:1">
      <c r="A3666" s="6"/>
    </row>
    <row r="3667" spans="1:1">
      <c r="A3667" s="6"/>
    </row>
    <row r="3668" spans="1:1">
      <c r="A3668" s="6"/>
    </row>
    <row r="3669" spans="1:1">
      <c r="A3669" s="6"/>
    </row>
    <row r="3670" spans="1:1">
      <c r="A3670" s="6"/>
    </row>
    <row r="3671" spans="1:1">
      <c r="A3671" s="6"/>
    </row>
    <row r="3672" spans="1:1">
      <c r="A3672" s="6"/>
    </row>
    <row r="3673" spans="1:1">
      <c r="A3673" s="6"/>
    </row>
    <row r="3674" spans="1:1">
      <c r="A3674" s="6"/>
    </row>
    <row r="3675" spans="1:1">
      <c r="A3675" s="6"/>
    </row>
    <row r="3676" spans="1:1">
      <c r="A3676" s="6"/>
    </row>
    <row r="3677" spans="1:1">
      <c r="A3677" s="6"/>
    </row>
    <row r="3678" spans="1:1">
      <c r="A3678" s="6"/>
    </row>
    <row r="3679" spans="1:1">
      <c r="A3679" s="6"/>
    </row>
    <row r="3680" spans="1:1">
      <c r="A3680" s="6"/>
    </row>
    <row r="3681" spans="1:1">
      <c r="A3681" s="6"/>
    </row>
    <row r="3682" spans="1:1">
      <c r="A3682" s="6"/>
    </row>
    <row r="3683" spans="1:1">
      <c r="A3683" s="6"/>
    </row>
    <row r="3684" spans="1:1">
      <c r="A3684" s="6"/>
    </row>
    <row r="3685" spans="1:1">
      <c r="A3685" s="6"/>
    </row>
    <row r="3686" spans="1:1">
      <c r="A3686" s="6"/>
    </row>
    <row r="3687" spans="1:1">
      <c r="A3687" s="6"/>
    </row>
    <row r="3688" spans="1:1">
      <c r="A3688" s="6"/>
    </row>
    <row r="3689" spans="1:1">
      <c r="A3689" s="6"/>
    </row>
    <row r="3690" spans="1:1">
      <c r="A3690" s="6"/>
    </row>
    <row r="3691" spans="1:1">
      <c r="A3691" s="6"/>
    </row>
    <row r="3692" spans="1:1">
      <c r="A3692" s="6"/>
    </row>
    <row r="3693" spans="1:1">
      <c r="A3693" s="6"/>
    </row>
    <row r="3694" spans="1:1">
      <c r="A3694" s="6"/>
    </row>
    <row r="3695" spans="1:1">
      <c r="A3695" s="6"/>
    </row>
    <row r="3696" spans="1:1">
      <c r="A3696" s="6"/>
    </row>
    <row r="3697" spans="1:1">
      <c r="A3697" s="6"/>
    </row>
    <row r="3698" spans="1:1">
      <c r="A3698" s="6"/>
    </row>
    <row r="3699" spans="1:1">
      <c r="A3699" s="6"/>
    </row>
    <row r="3700" spans="1:1">
      <c r="A3700" s="6"/>
    </row>
    <row r="3701" spans="1:1">
      <c r="A3701" s="6"/>
    </row>
    <row r="3702" spans="1:1">
      <c r="A3702" s="6"/>
    </row>
    <row r="3703" spans="1:1">
      <c r="A3703" s="6"/>
    </row>
    <row r="3704" spans="1:1">
      <c r="A3704" s="6"/>
    </row>
    <row r="3705" spans="1:1">
      <c r="A3705" s="6"/>
    </row>
    <row r="3706" spans="1:1">
      <c r="A3706" s="6"/>
    </row>
    <row r="3707" spans="1:1">
      <c r="A3707" s="6"/>
    </row>
    <row r="3708" spans="1:1">
      <c r="A3708" s="6"/>
    </row>
    <row r="3709" spans="1:1">
      <c r="A3709" s="6"/>
    </row>
    <row r="3710" spans="1:1">
      <c r="A3710" s="6"/>
    </row>
    <row r="3711" spans="1:1">
      <c r="A3711" s="6"/>
    </row>
    <row r="3712" spans="1:1">
      <c r="A3712" s="6"/>
    </row>
    <row r="3713" spans="1:1">
      <c r="A3713" s="6"/>
    </row>
    <row r="3714" spans="1:1">
      <c r="A3714" s="6"/>
    </row>
    <row r="3715" spans="1:1">
      <c r="A3715" s="6"/>
    </row>
    <row r="3716" spans="1:1">
      <c r="A3716" s="6"/>
    </row>
    <row r="3717" spans="1:1">
      <c r="A3717" s="6"/>
    </row>
    <row r="3718" spans="1:1">
      <c r="A3718" s="6"/>
    </row>
    <row r="3719" spans="1:1">
      <c r="A3719" s="6"/>
    </row>
    <row r="3720" spans="1:1">
      <c r="A3720" s="6"/>
    </row>
    <row r="3721" spans="1:1">
      <c r="A3721" s="6"/>
    </row>
    <row r="3722" spans="1:1">
      <c r="A3722" s="6"/>
    </row>
    <row r="3723" spans="1:1">
      <c r="A3723" s="6"/>
    </row>
    <row r="3724" spans="1:1">
      <c r="A3724" s="6"/>
    </row>
    <row r="3725" spans="1:1">
      <c r="A3725" s="6"/>
    </row>
    <row r="3726" spans="1:1">
      <c r="A3726" s="6"/>
    </row>
    <row r="3727" spans="1:1">
      <c r="A3727" s="6"/>
    </row>
    <row r="3728" spans="1:1">
      <c r="A3728" s="6"/>
    </row>
    <row r="3729" spans="1:1">
      <c r="A3729" s="6"/>
    </row>
    <row r="3730" spans="1:1">
      <c r="A3730" s="6"/>
    </row>
    <row r="3731" spans="1:1">
      <c r="A3731" s="6"/>
    </row>
    <row r="3732" spans="1:1">
      <c r="A3732" s="6"/>
    </row>
    <row r="3733" spans="1:1">
      <c r="A3733" s="6"/>
    </row>
    <row r="3734" spans="1:1">
      <c r="A3734" s="6"/>
    </row>
    <row r="3735" spans="1:1">
      <c r="A3735" s="6"/>
    </row>
    <row r="3736" spans="1:1">
      <c r="A3736" s="6"/>
    </row>
    <row r="3737" spans="1:1">
      <c r="A3737" s="6"/>
    </row>
    <row r="3738" spans="1:1">
      <c r="A3738" s="6"/>
    </row>
    <row r="3739" spans="1:1">
      <c r="A3739" s="6"/>
    </row>
    <row r="3740" spans="1:1">
      <c r="A3740" s="6"/>
    </row>
    <row r="3741" spans="1:1">
      <c r="A3741" s="6"/>
    </row>
    <row r="3742" spans="1:1">
      <c r="A3742" s="6"/>
    </row>
    <row r="3743" spans="1:1">
      <c r="A3743" s="6"/>
    </row>
    <row r="3744" spans="1:1">
      <c r="A3744" s="6"/>
    </row>
    <row r="3745" spans="1:1">
      <c r="A3745" s="6"/>
    </row>
    <row r="3746" spans="1:1">
      <c r="A3746" s="6"/>
    </row>
    <row r="3747" spans="1:1">
      <c r="A3747" s="6"/>
    </row>
    <row r="3748" spans="1:1">
      <c r="A3748" s="6"/>
    </row>
    <row r="3749" spans="1:1">
      <c r="A3749" s="6"/>
    </row>
    <row r="3750" spans="1:1">
      <c r="A3750" s="6"/>
    </row>
    <row r="3751" spans="1:1">
      <c r="A3751" s="6"/>
    </row>
    <row r="3752" spans="1:1">
      <c r="A3752" s="6"/>
    </row>
    <row r="3753" spans="1:1">
      <c r="A3753" s="6"/>
    </row>
    <row r="3754" spans="1:1">
      <c r="A3754" s="6"/>
    </row>
    <row r="3755" spans="1:1">
      <c r="A3755" s="6"/>
    </row>
    <row r="3756" spans="1:1">
      <c r="A3756" s="6"/>
    </row>
    <row r="3757" spans="1:1">
      <c r="A3757" s="6"/>
    </row>
    <row r="3758" spans="1:1">
      <c r="A3758" s="6"/>
    </row>
    <row r="3759" spans="1:1">
      <c r="A3759" s="6"/>
    </row>
    <row r="3760" spans="1:1">
      <c r="A3760" s="6"/>
    </row>
    <row r="3761" spans="1:1">
      <c r="A3761" s="6"/>
    </row>
    <row r="3762" spans="1:1">
      <c r="A3762" s="6"/>
    </row>
    <row r="3763" spans="1:1">
      <c r="A3763" s="6"/>
    </row>
    <row r="3764" spans="1:1">
      <c r="A3764" s="6"/>
    </row>
    <row r="3765" spans="1:1">
      <c r="A3765" s="6"/>
    </row>
    <row r="3766" spans="1:1">
      <c r="A3766" s="6"/>
    </row>
    <row r="3767" spans="1:1">
      <c r="A3767" s="6"/>
    </row>
    <row r="3768" spans="1:1">
      <c r="A3768" s="6"/>
    </row>
    <row r="3769" spans="1:1">
      <c r="A3769" s="6"/>
    </row>
    <row r="3770" spans="1:1">
      <c r="A3770" s="6"/>
    </row>
    <row r="3771" spans="1:1">
      <c r="A3771" s="6"/>
    </row>
    <row r="3772" spans="1:1">
      <c r="A3772" s="6"/>
    </row>
    <row r="3773" spans="1:1">
      <c r="A3773" s="6"/>
    </row>
    <row r="3774" spans="1:1">
      <c r="A3774" s="6"/>
    </row>
    <row r="3775" spans="1:1">
      <c r="A3775" s="6"/>
    </row>
    <row r="3776" spans="1:1">
      <c r="A3776" s="6"/>
    </row>
    <row r="3777" spans="1:1">
      <c r="A3777" s="6"/>
    </row>
    <row r="3778" spans="1:1">
      <c r="A3778" s="6"/>
    </row>
    <row r="3779" spans="1:1">
      <c r="A3779" s="6"/>
    </row>
    <row r="3780" spans="1:1">
      <c r="A3780" s="6"/>
    </row>
    <row r="3781" spans="1:1">
      <c r="A3781" s="6"/>
    </row>
    <row r="3782" spans="1:1">
      <c r="A3782" s="6"/>
    </row>
    <row r="3783" spans="1:1">
      <c r="A3783" s="6"/>
    </row>
    <row r="3784" spans="1:1">
      <c r="A3784" s="6"/>
    </row>
    <row r="3785" spans="1:1">
      <c r="A3785" s="6"/>
    </row>
    <row r="3786" spans="1:1">
      <c r="A3786" s="6"/>
    </row>
    <row r="3787" spans="1:1">
      <c r="A3787" s="6"/>
    </row>
    <row r="3788" spans="1:1">
      <c r="A3788" s="6"/>
    </row>
    <row r="3789" spans="1:1">
      <c r="A3789" s="6"/>
    </row>
    <row r="3790" spans="1:1">
      <c r="A3790" s="6"/>
    </row>
    <row r="3791" spans="1:1">
      <c r="A3791" s="6"/>
    </row>
    <row r="3792" spans="1:1">
      <c r="A3792" s="6"/>
    </row>
    <row r="3793" spans="1:1">
      <c r="A3793" s="6"/>
    </row>
    <row r="3794" spans="1:1">
      <c r="A3794" s="6"/>
    </row>
    <row r="3795" spans="1:1">
      <c r="A3795" s="6"/>
    </row>
    <row r="3796" spans="1:1">
      <c r="A3796" s="6"/>
    </row>
    <row r="3797" spans="1:1">
      <c r="A3797" s="6"/>
    </row>
    <row r="3798" spans="1:1">
      <c r="A3798" s="6"/>
    </row>
    <row r="3799" spans="1:1">
      <c r="A3799" s="6"/>
    </row>
    <row r="3800" spans="1:1">
      <c r="A3800" s="6"/>
    </row>
    <row r="3801" spans="1:1">
      <c r="A3801" s="6"/>
    </row>
    <row r="3802" spans="1:1">
      <c r="A3802" s="6"/>
    </row>
    <row r="3803" spans="1:1">
      <c r="A3803" s="6"/>
    </row>
    <row r="3804" spans="1:1">
      <c r="A3804" s="6"/>
    </row>
    <row r="3805" spans="1:1">
      <c r="A3805" s="6"/>
    </row>
    <row r="3806" spans="1:1">
      <c r="A3806" s="6"/>
    </row>
    <row r="3807" spans="1:1">
      <c r="A3807" s="6"/>
    </row>
    <row r="3808" spans="1:1">
      <c r="A3808" s="6"/>
    </row>
    <row r="3809" spans="1:1">
      <c r="A3809" s="6"/>
    </row>
    <row r="3810" spans="1:1">
      <c r="A3810" s="6"/>
    </row>
    <row r="3811" spans="1:1">
      <c r="A3811" s="6"/>
    </row>
    <row r="3812" spans="1:1">
      <c r="A3812" s="6"/>
    </row>
    <row r="3813" spans="1:1">
      <c r="A3813" s="6"/>
    </row>
    <row r="3814" spans="1:1">
      <c r="A3814" s="6"/>
    </row>
    <row r="3815" spans="1:1">
      <c r="A3815" s="6"/>
    </row>
    <row r="3816" spans="1:1">
      <c r="A3816" s="6"/>
    </row>
    <row r="3817" spans="1:1">
      <c r="A3817" s="6"/>
    </row>
    <row r="3818" spans="1:1">
      <c r="A3818" s="6"/>
    </row>
    <row r="3819" spans="1:1">
      <c r="A3819" s="6"/>
    </row>
    <row r="3820" spans="1:1">
      <c r="A3820" s="6"/>
    </row>
    <row r="3821" spans="1:1">
      <c r="A3821" s="6"/>
    </row>
    <row r="3822" spans="1:1">
      <c r="A3822" s="6"/>
    </row>
    <row r="3823" spans="1:1">
      <c r="A3823" s="6"/>
    </row>
    <row r="3824" spans="1:1">
      <c r="A3824" s="6"/>
    </row>
    <row r="3825" spans="1:1">
      <c r="A3825" s="6"/>
    </row>
    <row r="3826" spans="1:1">
      <c r="A3826" s="6"/>
    </row>
    <row r="3827" spans="1:1">
      <c r="A3827" s="6"/>
    </row>
    <row r="3828" spans="1:1">
      <c r="A3828" s="6"/>
    </row>
    <row r="3829" spans="1:1">
      <c r="A3829" s="6"/>
    </row>
    <row r="3830" spans="1:1">
      <c r="A3830" s="6"/>
    </row>
    <row r="3831" spans="1:1">
      <c r="A3831" s="6"/>
    </row>
    <row r="3832" spans="1:1">
      <c r="A3832" s="6"/>
    </row>
    <row r="3833" spans="1:1">
      <c r="A3833" s="6"/>
    </row>
    <row r="3834" spans="1:1">
      <c r="A3834" s="6"/>
    </row>
    <row r="3835" spans="1:1">
      <c r="A3835" s="6"/>
    </row>
    <row r="3836" spans="1:1">
      <c r="A3836" s="6"/>
    </row>
    <row r="3837" spans="1:1">
      <c r="A3837" s="6"/>
    </row>
    <row r="3838" spans="1:1">
      <c r="A3838" s="6"/>
    </row>
    <row r="3839" spans="1:1">
      <c r="A3839" s="6"/>
    </row>
    <row r="3840" spans="1:1">
      <c r="A3840" s="6"/>
    </row>
    <row r="3841" spans="1:1">
      <c r="A3841" s="6"/>
    </row>
    <row r="3842" spans="1:1">
      <c r="A3842" s="6"/>
    </row>
    <row r="3843" spans="1:1">
      <c r="A3843" s="6"/>
    </row>
    <row r="3844" spans="1:1">
      <c r="A3844" s="6"/>
    </row>
    <row r="3845" spans="1:1">
      <c r="A3845" s="6"/>
    </row>
    <row r="3846" spans="1:1">
      <c r="A3846" s="6"/>
    </row>
    <row r="3847" spans="1:1">
      <c r="A3847" s="6"/>
    </row>
    <row r="3848" spans="1:1">
      <c r="A3848" s="6"/>
    </row>
    <row r="3849" spans="1:1">
      <c r="A3849" s="6"/>
    </row>
    <row r="3850" spans="1:1">
      <c r="A3850" s="6"/>
    </row>
    <row r="3851" spans="1:1">
      <c r="A3851" s="6"/>
    </row>
    <row r="3852" spans="1:1">
      <c r="A3852" s="6"/>
    </row>
    <row r="3853" spans="1:1">
      <c r="A3853" s="6"/>
    </row>
    <row r="3854" spans="1:1">
      <c r="A3854" s="6"/>
    </row>
    <row r="3855" spans="1:1">
      <c r="A3855" s="6"/>
    </row>
    <row r="3856" spans="1:1">
      <c r="A3856" s="6"/>
    </row>
    <row r="3857" spans="1:1">
      <c r="A3857" s="6"/>
    </row>
    <row r="3858" spans="1:1">
      <c r="A3858" s="6"/>
    </row>
    <row r="3859" spans="1:1">
      <c r="A3859" s="6"/>
    </row>
    <row r="3860" spans="1:1">
      <c r="A3860" s="6"/>
    </row>
    <row r="3861" spans="1:1">
      <c r="A3861" s="6"/>
    </row>
    <row r="3862" spans="1:1">
      <c r="A3862" s="6"/>
    </row>
    <row r="3863" spans="1:1">
      <c r="A3863" s="6"/>
    </row>
    <row r="3864" spans="1:1">
      <c r="A3864" s="6"/>
    </row>
    <row r="3865" spans="1:1">
      <c r="A3865" s="6"/>
    </row>
    <row r="3866" spans="1:1">
      <c r="A3866" s="6"/>
    </row>
    <row r="3867" spans="1:1">
      <c r="A3867" s="6"/>
    </row>
    <row r="3868" spans="1:1">
      <c r="A3868" s="6"/>
    </row>
    <row r="3869" spans="1:1">
      <c r="A3869" s="6"/>
    </row>
    <row r="3870" spans="1:1">
      <c r="A3870" s="6"/>
    </row>
    <row r="3871" spans="1:1">
      <c r="A3871" s="6"/>
    </row>
    <row r="3872" spans="1:1">
      <c r="A3872" s="6"/>
    </row>
    <row r="3873" spans="1:1">
      <c r="A3873" s="6"/>
    </row>
    <row r="3874" spans="1:1">
      <c r="A3874" s="6"/>
    </row>
    <row r="3875" spans="1:1">
      <c r="A3875" s="6"/>
    </row>
    <row r="3876" spans="1:1">
      <c r="A3876" s="6"/>
    </row>
    <row r="3877" spans="1:1">
      <c r="A3877" s="6"/>
    </row>
    <row r="3878" spans="1:1">
      <c r="A3878" s="6"/>
    </row>
    <row r="3879" spans="1:1">
      <c r="A3879" s="6"/>
    </row>
    <row r="3880" spans="1:1">
      <c r="A3880" s="6"/>
    </row>
    <row r="3881" spans="1:1">
      <c r="A3881" s="6"/>
    </row>
    <row r="3882" spans="1:1">
      <c r="A3882" s="6"/>
    </row>
    <row r="3883" spans="1:1">
      <c r="A3883" s="6"/>
    </row>
    <row r="3884" spans="1:1">
      <c r="A3884" s="6"/>
    </row>
    <row r="3885" spans="1:1">
      <c r="A3885" s="6"/>
    </row>
    <row r="3886" spans="1:1">
      <c r="A3886" s="6"/>
    </row>
    <row r="3887" spans="1:1">
      <c r="A3887" s="6"/>
    </row>
    <row r="3888" spans="1:1">
      <c r="A3888" s="6"/>
    </row>
    <row r="3889" spans="1:1">
      <c r="A3889" s="6"/>
    </row>
    <row r="3890" spans="1:1">
      <c r="A3890" s="6"/>
    </row>
    <row r="3891" spans="1:1">
      <c r="A3891" s="6"/>
    </row>
    <row r="3892" spans="1:1">
      <c r="A3892" s="6"/>
    </row>
    <row r="3893" spans="1:1">
      <c r="A3893" s="6"/>
    </row>
    <row r="3894" spans="1:1">
      <c r="A3894" s="6"/>
    </row>
    <row r="3895" spans="1:1">
      <c r="A3895" s="6"/>
    </row>
    <row r="3896" spans="1:1">
      <c r="A3896" s="6"/>
    </row>
    <row r="3897" spans="1:1">
      <c r="A3897" s="6"/>
    </row>
    <row r="3898" spans="1:1">
      <c r="A3898" s="6"/>
    </row>
    <row r="3899" spans="1:1">
      <c r="A3899" s="6"/>
    </row>
    <row r="3900" spans="1:1">
      <c r="A3900" s="6"/>
    </row>
    <row r="3901" spans="1:1">
      <c r="A3901" s="6"/>
    </row>
    <row r="3902" spans="1:1">
      <c r="A3902" s="6"/>
    </row>
    <row r="3903" spans="1:1">
      <c r="A3903" s="6"/>
    </row>
    <row r="3904" spans="1:1">
      <c r="A3904" s="6"/>
    </row>
    <row r="3905" spans="1:1">
      <c r="A3905" s="6"/>
    </row>
    <row r="3906" spans="1:1">
      <c r="A3906" s="6"/>
    </row>
    <row r="3907" spans="1:1">
      <c r="A3907" s="6"/>
    </row>
    <row r="3908" spans="1:1">
      <c r="A3908" s="6"/>
    </row>
    <row r="3909" spans="1:1">
      <c r="A3909" s="6"/>
    </row>
    <row r="3910" spans="1:1">
      <c r="A3910" s="6"/>
    </row>
    <row r="3911" spans="1:1">
      <c r="A3911" s="6"/>
    </row>
    <row r="3912" spans="1:1">
      <c r="A3912" s="6"/>
    </row>
    <row r="3913" spans="1:1">
      <c r="A3913" s="6"/>
    </row>
    <row r="3914" spans="1:1">
      <c r="A3914" s="6"/>
    </row>
    <row r="3915" spans="1:1">
      <c r="A3915" s="6"/>
    </row>
    <row r="3916" spans="1:1">
      <c r="A3916" s="6"/>
    </row>
    <row r="3917" spans="1:1">
      <c r="A3917" s="6"/>
    </row>
    <row r="3918" spans="1:1">
      <c r="A3918" s="6"/>
    </row>
    <row r="3919" spans="1:1">
      <c r="A3919" s="6"/>
    </row>
    <row r="3920" spans="1:1">
      <c r="A3920" s="6"/>
    </row>
    <row r="3921" spans="1:1">
      <c r="A3921" s="6"/>
    </row>
    <row r="3922" spans="1:1">
      <c r="A3922" s="6"/>
    </row>
    <row r="3923" spans="1:1">
      <c r="A3923" s="6"/>
    </row>
    <row r="3924" spans="1:1">
      <c r="A3924" s="6"/>
    </row>
    <row r="3925" spans="1:1">
      <c r="A3925" s="6"/>
    </row>
    <row r="3926" spans="1:1">
      <c r="A3926" s="6"/>
    </row>
    <row r="3927" spans="1:1">
      <c r="A3927" s="6"/>
    </row>
    <row r="3928" spans="1:1">
      <c r="A3928" s="6"/>
    </row>
    <row r="3929" spans="1:1">
      <c r="A3929" s="6"/>
    </row>
    <row r="3930" spans="1:1">
      <c r="A3930" s="6"/>
    </row>
    <row r="3931" spans="1:1">
      <c r="A3931" s="6"/>
    </row>
    <row r="3932" spans="1:1">
      <c r="A3932" s="6"/>
    </row>
    <row r="3933" spans="1:1">
      <c r="A3933" s="6"/>
    </row>
    <row r="3934" spans="1:1">
      <c r="A3934" s="6"/>
    </row>
    <row r="3935" spans="1:1">
      <c r="A3935" s="6"/>
    </row>
    <row r="3936" spans="1:1">
      <c r="A3936" s="6"/>
    </row>
    <row r="3937" spans="1:1">
      <c r="A3937" s="6"/>
    </row>
    <row r="3938" spans="1:1">
      <c r="A3938" s="6"/>
    </row>
    <row r="3939" spans="1:1">
      <c r="A3939" s="6"/>
    </row>
    <row r="3940" spans="1:1">
      <c r="A3940" s="6"/>
    </row>
    <row r="3941" spans="1:1">
      <c r="A3941" s="6"/>
    </row>
    <row r="3942" spans="1:1">
      <c r="A3942" s="6"/>
    </row>
    <row r="3943" spans="1:1">
      <c r="A3943" s="6"/>
    </row>
    <row r="3944" spans="1:1">
      <c r="A3944" s="6"/>
    </row>
    <row r="3945" spans="1:1">
      <c r="A3945" s="6"/>
    </row>
    <row r="3946" spans="1:1">
      <c r="A3946" s="6"/>
    </row>
    <row r="3947" spans="1:1">
      <c r="A3947" s="6"/>
    </row>
    <row r="3948" spans="1:1">
      <c r="A3948" s="6"/>
    </row>
    <row r="3949" spans="1:1">
      <c r="A3949" s="6"/>
    </row>
    <row r="3950" spans="1:1">
      <c r="A3950" s="6"/>
    </row>
    <row r="3951" spans="1:1">
      <c r="A3951" s="6"/>
    </row>
    <row r="3952" spans="1:1">
      <c r="A3952" s="6"/>
    </row>
    <row r="3953" spans="1:1">
      <c r="A3953" s="6"/>
    </row>
    <row r="3954" spans="1:1">
      <c r="A3954" s="6"/>
    </row>
    <row r="3955" spans="1:1">
      <c r="A3955" s="6"/>
    </row>
    <row r="3956" spans="1:1">
      <c r="A3956" s="6"/>
    </row>
    <row r="3957" spans="1:1">
      <c r="A3957" s="6"/>
    </row>
    <row r="3958" spans="1:1">
      <c r="A3958" s="6"/>
    </row>
    <row r="3959" spans="1:1">
      <c r="A3959" s="6"/>
    </row>
    <row r="3960" spans="1:1">
      <c r="A3960" s="6"/>
    </row>
    <row r="3961" spans="1:1">
      <c r="A3961" s="6"/>
    </row>
    <row r="3962" spans="1:1">
      <c r="A3962" s="6"/>
    </row>
    <row r="3963" spans="1:1">
      <c r="A3963" s="6"/>
    </row>
    <row r="3964" spans="1:1">
      <c r="A3964" s="6"/>
    </row>
    <row r="3965" spans="1:1">
      <c r="A3965" s="6"/>
    </row>
    <row r="3966" spans="1:1">
      <c r="A3966" s="6"/>
    </row>
    <row r="3967" spans="1:1">
      <c r="A3967" s="6"/>
    </row>
    <row r="3968" spans="1:1">
      <c r="A3968" s="6"/>
    </row>
    <row r="3969" spans="1:1">
      <c r="A3969" s="6"/>
    </row>
    <row r="3970" spans="1:1">
      <c r="A3970" s="6"/>
    </row>
    <row r="3971" spans="1:1">
      <c r="A3971" s="6"/>
    </row>
    <row r="3972" spans="1:1">
      <c r="A3972" s="6"/>
    </row>
    <row r="3973" spans="1:1">
      <c r="A3973" s="6"/>
    </row>
    <row r="3974" spans="1:1">
      <c r="A3974" s="6"/>
    </row>
    <row r="3975" spans="1:1">
      <c r="A3975" s="6"/>
    </row>
    <row r="3976" spans="1:1">
      <c r="A3976" s="6"/>
    </row>
    <row r="3977" spans="1:1">
      <c r="A3977" s="6"/>
    </row>
    <row r="3978" spans="1:1">
      <c r="A3978" s="6"/>
    </row>
    <row r="3979" spans="1:1">
      <c r="A3979" s="6"/>
    </row>
    <row r="3980" spans="1:1">
      <c r="A3980" s="6"/>
    </row>
    <row r="3981" spans="1:1">
      <c r="A3981" s="6"/>
    </row>
    <row r="3982" spans="1:1">
      <c r="A3982" s="6"/>
    </row>
    <row r="3983" spans="1:1">
      <c r="A3983" s="6"/>
    </row>
    <row r="3984" spans="1:1">
      <c r="A3984" s="6"/>
    </row>
    <row r="3985" spans="1:1">
      <c r="A3985" s="6"/>
    </row>
    <row r="3986" spans="1:1">
      <c r="A3986" s="6"/>
    </row>
    <row r="3987" spans="1:1">
      <c r="A3987" s="6"/>
    </row>
    <row r="3988" spans="1:1">
      <c r="A3988" s="6"/>
    </row>
    <row r="3989" spans="1:1">
      <c r="A3989" s="6"/>
    </row>
    <row r="3990" spans="1:1">
      <c r="A3990" s="6"/>
    </row>
    <row r="3991" spans="1:1">
      <c r="A3991" s="6"/>
    </row>
    <row r="3992" spans="1:1">
      <c r="A3992" s="6"/>
    </row>
    <row r="3993" spans="1:1">
      <c r="A3993" s="6"/>
    </row>
    <row r="3994" spans="1:1">
      <c r="A3994" s="6"/>
    </row>
    <row r="3995" spans="1:1">
      <c r="A3995" s="6"/>
    </row>
    <row r="3996" spans="1:1">
      <c r="A3996" s="6"/>
    </row>
    <row r="3997" spans="1:1">
      <c r="A3997" s="6"/>
    </row>
    <row r="3998" spans="1:1">
      <c r="A3998" s="6"/>
    </row>
    <row r="3999" spans="1:1">
      <c r="A3999" s="6"/>
    </row>
    <row r="4000" spans="1:1">
      <c r="A4000" s="6"/>
    </row>
    <row r="4001" spans="1:1">
      <c r="A4001" s="6"/>
    </row>
    <row r="4002" spans="1:1">
      <c r="A4002" s="6"/>
    </row>
    <row r="4003" spans="1:1">
      <c r="A4003" s="6"/>
    </row>
    <row r="4004" spans="1:1">
      <c r="A4004" s="6"/>
    </row>
    <row r="4005" spans="1:1">
      <c r="A4005" s="6"/>
    </row>
    <row r="4006" spans="1:1">
      <c r="A4006" s="6"/>
    </row>
    <row r="4007" spans="1:1">
      <c r="A4007" s="6"/>
    </row>
    <row r="4008" spans="1:1">
      <c r="A4008" s="6"/>
    </row>
    <row r="4009" spans="1:1">
      <c r="A4009" s="6"/>
    </row>
    <row r="4010" spans="1:1">
      <c r="A4010" s="6"/>
    </row>
    <row r="4011" spans="1:1">
      <c r="A4011" s="6"/>
    </row>
    <row r="4012" spans="1:1">
      <c r="A4012" s="6"/>
    </row>
    <row r="4013" spans="1:1">
      <c r="A4013" s="6"/>
    </row>
    <row r="4014" spans="1:1">
      <c r="A4014" s="6"/>
    </row>
    <row r="4015" spans="1:1">
      <c r="A4015" s="6"/>
    </row>
    <row r="4016" spans="1:1">
      <c r="A4016" s="6"/>
    </row>
    <row r="4017" spans="1:1">
      <c r="A4017" s="6"/>
    </row>
    <row r="4018" spans="1:1">
      <c r="A4018" s="6"/>
    </row>
    <row r="4019" spans="1:1">
      <c r="A4019" s="6"/>
    </row>
    <row r="4020" spans="1:1">
      <c r="A4020" s="6"/>
    </row>
    <row r="4021" spans="1:1">
      <c r="A4021" s="6"/>
    </row>
    <row r="4022" spans="1:1">
      <c r="A4022" s="6"/>
    </row>
    <row r="4023" spans="1:1">
      <c r="A4023" s="6"/>
    </row>
    <row r="4024" spans="1:1">
      <c r="A4024" s="6"/>
    </row>
    <row r="4025" spans="1:1">
      <c r="A4025" s="6"/>
    </row>
    <row r="4026" spans="1:1">
      <c r="A4026" s="6"/>
    </row>
    <row r="4027" spans="1:1">
      <c r="A4027" s="6"/>
    </row>
    <row r="4028" spans="1:1">
      <c r="A4028" s="6"/>
    </row>
    <row r="4029" spans="1:1">
      <c r="A4029" s="6"/>
    </row>
    <row r="4030" spans="1:1">
      <c r="A4030" s="6"/>
    </row>
    <row r="4031" spans="1:1">
      <c r="A4031" s="6"/>
    </row>
    <row r="4032" spans="1:1">
      <c r="A4032" s="6"/>
    </row>
    <row r="4033" spans="1:1">
      <c r="A4033" s="6"/>
    </row>
    <row r="4034" spans="1:1">
      <c r="A4034" s="6"/>
    </row>
    <row r="4035" spans="1:1">
      <c r="A4035" s="6"/>
    </row>
    <row r="4036" spans="1:1">
      <c r="A4036" s="6"/>
    </row>
    <row r="4037" spans="1:1">
      <c r="A4037" s="6"/>
    </row>
    <row r="4038" spans="1:1">
      <c r="A4038" s="6"/>
    </row>
    <row r="4039" spans="1:1">
      <c r="A4039" s="6"/>
    </row>
    <row r="4040" spans="1:1">
      <c r="A4040" s="6"/>
    </row>
    <row r="4041" spans="1:1">
      <c r="A4041" s="6"/>
    </row>
    <row r="4042" spans="1:1">
      <c r="A4042" s="6"/>
    </row>
    <row r="4043" spans="1:1">
      <c r="A4043" s="6"/>
    </row>
    <row r="4044" spans="1:1">
      <c r="A4044" s="6"/>
    </row>
    <row r="4045" spans="1:1">
      <c r="A4045" s="6"/>
    </row>
    <row r="4046" spans="1:1">
      <c r="A4046" s="6"/>
    </row>
    <row r="4047" spans="1:1">
      <c r="A4047" s="6"/>
    </row>
    <row r="4048" spans="1:1">
      <c r="A4048" s="6"/>
    </row>
    <row r="4049" spans="1:1">
      <c r="A4049" s="6"/>
    </row>
    <row r="4050" spans="1:1">
      <c r="A4050" s="6"/>
    </row>
    <row r="4051" spans="1:1">
      <c r="A4051" s="6"/>
    </row>
    <row r="4052" spans="1:1">
      <c r="A4052" s="6"/>
    </row>
    <row r="4053" spans="1:1">
      <c r="A4053" s="6"/>
    </row>
    <row r="4054" spans="1:1">
      <c r="A4054" s="6"/>
    </row>
    <row r="4055" spans="1:1">
      <c r="A4055" s="6"/>
    </row>
    <row r="4056" spans="1:1">
      <c r="A4056" s="6"/>
    </row>
    <row r="4057" spans="1:1">
      <c r="A4057" s="6"/>
    </row>
    <row r="4058" spans="1:1">
      <c r="A4058" s="6"/>
    </row>
    <row r="4059" spans="1:1">
      <c r="A4059" s="6"/>
    </row>
    <row r="4060" spans="1:1">
      <c r="A4060" s="6"/>
    </row>
    <row r="4061" spans="1:1">
      <c r="A4061" s="6"/>
    </row>
    <row r="4062" spans="1:1">
      <c r="A4062" s="6"/>
    </row>
    <row r="4063" spans="1:1">
      <c r="A4063" s="6"/>
    </row>
    <row r="4064" spans="1:1">
      <c r="A4064" s="6"/>
    </row>
    <row r="4065" spans="1:1">
      <c r="A4065" s="6"/>
    </row>
    <row r="4066" spans="1:1">
      <c r="A4066" s="6"/>
    </row>
    <row r="4067" spans="1:1">
      <c r="A4067" s="6"/>
    </row>
    <row r="4068" spans="1:1">
      <c r="A4068" s="6"/>
    </row>
    <row r="4069" spans="1:1">
      <c r="A4069" s="6"/>
    </row>
    <row r="4070" spans="1:1">
      <c r="A4070" s="6"/>
    </row>
    <row r="4071" spans="1:1">
      <c r="A4071" s="6"/>
    </row>
    <row r="4072" spans="1:1">
      <c r="A4072" s="6"/>
    </row>
    <row r="4073" spans="1:1">
      <c r="A4073" s="6"/>
    </row>
    <row r="4074" spans="1:1">
      <c r="A4074" s="6"/>
    </row>
    <row r="4075" spans="1:1">
      <c r="A4075" s="6"/>
    </row>
    <row r="4076" spans="1:1">
      <c r="A4076" s="6"/>
    </row>
    <row r="4077" spans="1:1">
      <c r="A4077" s="6"/>
    </row>
    <row r="4078" spans="1:1">
      <c r="A4078" s="6"/>
    </row>
    <row r="4079" spans="1:1">
      <c r="A4079" s="6"/>
    </row>
    <row r="4080" spans="1:1">
      <c r="A4080" s="6"/>
    </row>
    <row r="4081" spans="1:1">
      <c r="A4081" s="6"/>
    </row>
    <row r="4082" spans="1:1">
      <c r="A4082" s="6"/>
    </row>
    <row r="4083" spans="1:1">
      <c r="A4083" s="6"/>
    </row>
    <row r="4084" spans="1:1">
      <c r="A4084" s="6"/>
    </row>
    <row r="4085" spans="1:1">
      <c r="A4085" s="6"/>
    </row>
    <row r="4086" spans="1:1">
      <c r="A4086" s="6"/>
    </row>
    <row r="4087" spans="1:1">
      <c r="A4087" s="6"/>
    </row>
    <row r="4088" spans="1:1">
      <c r="A4088" s="6"/>
    </row>
    <row r="4089" spans="1:1">
      <c r="A4089" s="6"/>
    </row>
    <row r="4090" spans="1:1">
      <c r="A4090" s="6"/>
    </row>
    <row r="4091" spans="1:1">
      <c r="A4091" s="6"/>
    </row>
    <row r="4092" spans="1:1">
      <c r="A4092" s="6"/>
    </row>
    <row r="4093" spans="1:1">
      <c r="A4093" s="6"/>
    </row>
    <row r="4094" spans="1:1">
      <c r="A4094" s="6"/>
    </row>
    <row r="4095" spans="1:1">
      <c r="A4095" s="6"/>
    </row>
    <row r="4096" spans="1:1">
      <c r="A4096" s="6"/>
    </row>
    <row r="4097" spans="1:1">
      <c r="A4097" s="6"/>
    </row>
    <row r="4098" spans="1:1">
      <c r="A4098" s="6"/>
    </row>
    <row r="4099" spans="1:1">
      <c r="A4099" s="6"/>
    </row>
    <row r="4100" spans="1:1">
      <c r="A4100" s="6"/>
    </row>
    <row r="4101" spans="1:1">
      <c r="A4101" s="6"/>
    </row>
    <row r="4102" spans="1:1">
      <c r="A4102" s="6"/>
    </row>
    <row r="4103" spans="1:1">
      <c r="A4103" s="6"/>
    </row>
    <row r="4104" spans="1:1">
      <c r="A4104" s="6"/>
    </row>
    <row r="4105" spans="1:1">
      <c r="A4105" s="6"/>
    </row>
    <row r="4106" spans="1:1">
      <c r="A4106" s="6"/>
    </row>
    <row r="4107" spans="1:1">
      <c r="A4107" s="6"/>
    </row>
    <row r="4108" spans="1:1">
      <c r="A4108" s="6"/>
    </row>
    <row r="4109" spans="1:1">
      <c r="A4109" s="6"/>
    </row>
    <row r="4110" spans="1:1">
      <c r="A4110" s="6"/>
    </row>
    <row r="4111" spans="1:1">
      <c r="A4111" s="6"/>
    </row>
    <row r="4112" spans="1:1">
      <c r="A4112" s="6"/>
    </row>
    <row r="4113" spans="1:1">
      <c r="A4113" s="6"/>
    </row>
    <row r="4114" spans="1:1">
      <c r="A4114" s="6"/>
    </row>
    <row r="4115" spans="1:1">
      <c r="A4115" s="6"/>
    </row>
    <row r="4116" spans="1:1">
      <c r="A4116" s="6"/>
    </row>
    <row r="4117" spans="1:1">
      <c r="A4117" s="6"/>
    </row>
    <row r="4118" spans="1:1">
      <c r="A4118" s="6"/>
    </row>
    <row r="4119" spans="1:1">
      <c r="A4119" s="6"/>
    </row>
    <row r="4120" spans="1:1">
      <c r="A4120" s="6"/>
    </row>
    <row r="4121" spans="1:1">
      <c r="A4121" s="6"/>
    </row>
    <row r="4122" spans="1:1">
      <c r="A4122" s="6"/>
    </row>
    <row r="4123" spans="1:1">
      <c r="A4123" s="6"/>
    </row>
    <row r="4124" spans="1:1">
      <c r="A4124" s="6"/>
    </row>
    <row r="4125" spans="1:1">
      <c r="A4125" s="6"/>
    </row>
    <row r="4126" spans="1:1">
      <c r="A4126" s="6"/>
    </row>
    <row r="4127" spans="1:1">
      <c r="A4127" s="6"/>
    </row>
    <row r="4128" spans="1:1">
      <c r="A4128" s="6"/>
    </row>
    <row r="4129" spans="1:1">
      <c r="A4129" s="6"/>
    </row>
    <row r="4130" spans="1:1">
      <c r="A4130" s="6"/>
    </row>
    <row r="4131" spans="1:1">
      <c r="A4131" s="6"/>
    </row>
    <row r="4132" spans="1:1">
      <c r="A4132" s="6"/>
    </row>
    <row r="4133" spans="1:1">
      <c r="A4133" s="6"/>
    </row>
    <row r="4134" spans="1:1">
      <c r="A4134" s="6"/>
    </row>
    <row r="4135" spans="1:1">
      <c r="A4135" s="6"/>
    </row>
    <row r="4136" spans="1:1">
      <c r="A4136" s="6"/>
    </row>
    <row r="4137" spans="1:1">
      <c r="A4137" s="6"/>
    </row>
    <row r="4138" spans="1:1">
      <c r="A4138" s="6"/>
    </row>
    <row r="4139" spans="1:1">
      <c r="A4139" s="6"/>
    </row>
    <row r="4140" spans="1:1">
      <c r="A4140" s="6"/>
    </row>
    <row r="4141" spans="1:1">
      <c r="A4141" s="6"/>
    </row>
    <row r="4142" spans="1:1">
      <c r="A4142" s="6"/>
    </row>
    <row r="4143" spans="1:1">
      <c r="A4143" s="6"/>
    </row>
    <row r="4144" spans="1:1">
      <c r="A4144" s="6"/>
    </row>
    <row r="4145" spans="1:1">
      <c r="A4145" s="6"/>
    </row>
    <row r="4146" spans="1:1">
      <c r="A4146" s="6"/>
    </row>
    <row r="4147" spans="1:1">
      <c r="A4147" s="6"/>
    </row>
    <row r="4148" spans="1:1">
      <c r="A4148" s="6"/>
    </row>
    <row r="4149" spans="1:1">
      <c r="A4149" s="6"/>
    </row>
    <row r="4150" spans="1:1">
      <c r="A4150" s="6"/>
    </row>
    <row r="4151" spans="1:1">
      <c r="A4151" s="6"/>
    </row>
    <row r="4152" spans="1:1">
      <c r="A4152" s="6"/>
    </row>
    <row r="4153" spans="1:1">
      <c r="A4153" s="6"/>
    </row>
    <row r="4154" spans="1:1">
      <c r="A4154" s="6"/>
    </row>
    <row r="4155" spans="1:1">
      <c r="A4155" s="6"/>
    </row>
    <row r="4156" spans="1:1">
      <c r="A4156" s="6"/>
    </row>
    <row r="4157" spans="1:1">
      <c r="A4157" s="6"/>
    </row>
    <row r="4158" spans="1:1">
      <c r="A4158" s="6"/>
    </row>
    <row r="4159" spans="1:1">
      <c r="A4159" s="6"/>
    </row>
    <row r="4160" spans="1:1">
      <c r="A4160" s="6"/>
    </row>
    <row r="4161" spans="1:1">
      <c r="A4161" s="6"/>
    </row>
    <row r="4162" spans="1:1">
      <c r="A4162" s="6"/>
    </row>
    <row r="4163" spans="1:1">
      <c r="A4163" s="6"/>
    </row>
    <row r="4164" spans="1:1">
      <c r="A4164" s="6"/>
    </row>
    <row r="4165" spans="1:1">
      <c r="A4165" s="6"/>
    </row>
    <row r="4166" spans="1:1">
      <c r="A4166" s="6"/>
    </row>
    <row r="4167" spans="1:1">
      <c r="A4167" s="6"/>
    </row>
    <row r="4168" spans="1:1">
      <c r="A4168" s="6"/>
    </row>
    <row r="4169" spans="1:1">
      <c r="A4169" s="6"/>
    </row>
    <row r="4170" spans="1:1">
      <c r="A4170" s="6"/>
    </row>
    <row r="4171" spans="1:1">
      <c r="A4171" s="6"/>
    </row>
    <row r="4172" spans="1:1">
      <c r="A4172" s="6"/>
    </row>
    <row r="4173" spans="1:1">
      <c r="A4173" s="6"/>
    </row>
    <row r="4174" spans="1:1">
      <c r="A4174" s="6"/>
    </row>
    <row r="4175" spans="1:1">
      <c r="A4175" s="6"/>
    </row>
    <row r="4176" spans="1:1">
      <c r="A4176" s="6"/>
    </row>
    <row r="4177" spans="1:1">
      <c r="A4177" s="6"/>
    </row>
    <row r="4178" spans="1:1">
      <c r="A4178" s="6"/>
    </row>
    <row r="4179" spans="1:1">
      <c r="A4179" s="6"/>
    </row>
    <row r="4180" spans="1:1">
      <c r="A4180" s="6"/>
    </row>
    <row r="4181" spans="1:1">
      <c r="A4181" s="6"/>
    </row>
    <row r="4182" spans="1:1">
      <c r="A4182" s="6"/>
    </row>
    <row r="4183" spans="1:1">
      <c r="A4183" s="6"/>
    </row>
    <row r="4184" spans="1:1">
      <c r="A4184" s="6"/>
    </row>
    <row r="4185" spans="1:1">
      <c r="A4185" s="6"/>
    </row>
    <row r="4186" spans="1:1">
      <c r="A4186" s="6"/>
    </row>
    <row r="4187" spans="1:1">
      <c r="A4187" s="6"/>
    </row>
    <row r="4188" spans="1:1">
      <c r="A4188" s="6"/>
    </row>
    <row r="4189" spans="1:1">
      <c r="A4189" s="6"/>
    </row>
    <row r="4190" spans="1:1">
      <c r="A4190" s="6"/>
    </row>
    <row r="4191" spans="1:1">
      <c r="A4191" s="6"/>
    </row>
    <row r="4192" spans="1:1">
      <c r="A4192" s="6"/>
    </row>
    <row r="4193" spans="1:1">
      <c r="A4193" s="6"/>
    </row>
    <row r="4194" spans="1:1">
      <c r="A4194" s="6"/>
    </row>
    <row r="4195" spans="1:1">
      <c r="A4195" s="6"/>
    </row>
    <row r="4196" spans="1:1">
      <c r="A4196" s="6"/>
    </row>
    <row r="4197" spans="1:1">
      <c r="A4197" s="6"/>
    </row>
    <row r="4198" spans="1:1">
      <c r="A4198" s="6"/>
    </row>
    <row r="4199" spans="1:1">
      <c r="A4199" s="6"/>
    </row>
    <row r="4200" spans="1:1">
      <c r="A4200" s="6"/>
    </row>
    <row r="4201" spans="1:1">
      <c r="A4201" s="6"/>
    </row>
    <row r="4202" spans="1:1">
      <c r="A4202" s="6"/>
    </row>
    <row r="4203" spans="1:1">
      <c r="A4203" s="6"/>
    </row>
    <row r="4204" spans="1:1">
      <c r="A4204" s="6"/>
    </row>
    <row r="4205" spans="1:1">
      <c r="A4205" s="6"/>
    </row>
    <row r="4206" spans="1:1">
      <c r="A4206" s="6"/>
    </row>
    <row r="4207" spans="1:1">
      <c r="A4207" s="6"/>
    </row>
    <row r="4208" spans="1:1">
      <c r="A4208" s="6"/>
    </row>
    <row r="4209" spans="1:1">
      <c r="A4209" s="6"/>
    </row>
    <row r="4210" spans="1:1">
      <c r="A4210" s="6"/>
    </row>
    <row r="4211" spans="1:1">
      <c r="A4211" s="6"/>
    </row>
    <row r="4212" spans="1:1">
      <c r="A4212" s="6"/>
    </row>
    <row r="4213" spans="1:1">
      <c r="A4213" s="6"/>
    </row>
    <row r="4214" spans="1:1">
      <c r="A4214" s="6"/>
    </row>
    <row r="4215" spans="1:1">
      <c r="A4215" s="6"/>
    </row>
    <row r="4216" spans="1:1">
      <c r="A4216" s="6"/>
    </row>
    <row r="4217" spans="1:1">
      <c r="A4217" s="6"/>
    </row>
    <row r="4218" spans="1:1">
      <c r="A4218" s="6"/>
    </row>
    <row r="4219" spans="1:1">
      <c r="A4219" s="6"/>
    </row>
    <row r="4220" spans="1:1">
      <c r="A4220" s="6"/>
    </row>
    <row r="4221" spans="1:1">
      <c r="A4221" s="6"/>
    </row>
    <row r="4222" spans="1:1">
      <c r="A4222" s="6"/>
    </row>
    <row r="4223" spans="1:1">
      <c r="A4223" s="6"/>
    </row>
    <row r="4224" spans="1:1">
      <c r="A4224" s="6"/>
    </row>
    <row r="4225" spans="1:1">
      <c r="A4225" s="6"/>
    </row>
    <row r="4226" spans="1:1">
      <c r="A4226" s="6"/>
    </row>
    <row r="4227" spans="1:1">
      <c r="A4227" s="6"/>
    </row>
    <row r="4228" spans="1:1">
      <c r="A4228" s="6"/>
    </row>
    <row r="4229" spans="1:1">
      <c r="A4229" s="6"/>
    </row>
    <row r="4230" spans="1:1">
      <c r="A4230" s="6"/>
    </row>
    <row r="4231" spans="1:1">
      <c r="A4231" s="6"/>
    </row>
    <row r="4232" spans="1:1">
      <c r="A4232" s="6"/>
    </row>
    <row r="4233" spans="1:1">
      <c r="A4233" s="6"/>
    </row>
    <row r="4234" spans="1:1">
      <c r="A4234" s="6"/>
    </row>
    <row r="4235" spans="1:1">
      <c r="A4235" s="6"/>
    </row>
    <row r="4236" spans="1:1">
      <c r="A4236" s="6"/>
    </row>
    <row r="4237" spans="1:1">
      <c r="A4237" s="6"/>
    </row>
    <row r="4238" spans="1:1">
      <c r="A4238" s="6"/>
    </row>
    <row r="4239" spans="1:1">
      <c r="A4239" s="6"/>
    </row>
    <row r="4240" spans="1:1">
      <c r="A4240" s="6"/>
    </row>
    <row r="4241" spans="1:1">
      <c r="A4241" s="6"/>
    </row>
    <row r="4242" spans="1:1">
      <c r="A4242" s="6"/>
    </row>
    <row r="4243" spans="1:1">
      <c r="A4243" s="6"/>
    </row>
    <row r="4244" spans="1:1">
      <c r="A4244" s="6"/>
    </row>
    <row r="4245" spans="1:1">
      <c r="A4245" s="6"/>
    </row>
    <row r="4246" spans="1:1">
      <c r="A4246" s="6"/>
    </row>
    <row r="4247" spans="1:1">
      <c r="A4247" s="6"/>
    </row>
    <row r="4248" spans="1:1">
      <c r="A4248" s="6"/>
    </row>
    <row r="4249" spans="1:1">
      <c r="A4249" s="6"/>
    </row>
    <row r="4250" spans="1:1">
      <c r="A4250" s="6"/>
    </row>
    <row r="4251" spans="1:1">
      <c r="A4251" s="6"/>
    </row>
    <row r="4252" spans="1:1">
      <c r="A4252" s="6"/>
    </row>
    <row r="4253" spans="1:1">
      <c r="A4253" s="6"/>
    </row>
    <row r="4254" spans="1:1">
      <c r="A4254" s="6"/>
    </row>
    <row r="4255" spans="1:1">
      <c r="A4255" s="6"/>
    </row>
    <row r="4256" spans="1:1">
      <c r="A4256" s="6"/>
    </row>
    <row r="4257" spans="1:1">
      <c r="A4257" s="6"/>
    </row>
    <row r="4258" spans="1:1">
      <c r="A4258" s="6"/>
    </row>
    <row r="4259" spans="1:1">
      <c r="A4259" s="6"/>
    </row>
    <row r="4260" spans="1:1">
      <c r="A4260" s="6"/>
    </row>
    <row r="4261" spans="1:1">
      <c r="A4261" s="6"/>
    </row>
    <row r="4262" spans="1:1">
      <c r="A4262" s="6"/>
    </row>
    <row r="4263" spans="1:1">
      <c r="A4263" s="6"/>
    </row>
    <row r="4264" spans="1:1">
      <c r="A4264" s="6"/>
    </row>
    <row r="4265" spans="1:1">
      <c r="A4265" s="6"/>
    </row>
    <row r="4266" spans="1:1">
      <c r="A4266" s="6"/>
    </row>
    <row r="4267" spans="1:1">
      <c r="A4267" s="6"/>
    </row>
    <row r="4268" spans="1:1">
      <c r="A4268" s="6"/>
    </row>
    <row r="4269" spans="1:1">
      <c r="A4269" s="6"/>
    </row>
    <row r="4270" spans="1:1">
      <c r="A4270" s="6"/>
    </row>
    <row r="4271" spans="1:1">
      <c r="A4271" s="6"/>
    </row>
    <row r="4272" spans="1:1">
      <c r="A4272" s="6"/>
    </row>
    <row r="4273" spans="1:1">
      <c r="A4273" s="6"/>
    </row>
    <row r="4274" spans="1:1">
      <c r="A4274" s="6"/>
    </row>
    <row r="4275" spans="1:1">
      <c r="A4275" s="6"/>
    </row>
    <row r="4276" spans="1:1">
      <c r="A4276" s="6"/>
    </row>
    <row r="4277" spans="1:1">
      <c r="A4277" s="6"/>
    </row>
    <row r="4278" spans="1:1">
      <c r="A4278" s="6"/>
    </row>
    <row r="4279" spans="1:1">
      <c r="A4279" s="6"/>
    </row>
    <row r="4280" spans="1:1">
      <c r="A4280" s="6"/>
    </row>
    <row r="4281" spans="1:1">
      <c r="A4281" s="6"/>
    </row>
    <row r="4282" spans="1:1">
      <c r="A4282" s="6"/>
    </row>
    <row r="4283" spans="1:1">
      <c r="A4283" s="6"/>
    </row>
    <row r="4284" spans="1:1">
      <c r="A4284" s="6"/>
    </row>
    <row r="4285" spans="1:1">
      <c r="A4285" s="6"/>
    </row>
    <row r="4286" spans="1:1">
      <c r="A4286" s="6"/>
    </row>
    <row r="4287" spans="1:1">
      <c r="A4287" s="6"/>
    </row>
    <row r="4288" spans="1:1">
      <c r="A4288" s="6"/>
    </row>
    <row r="4289" spans="1:1">
      <c r="A4289" s="6"/>
    </row>
    <row r="4290" spans="1:1">
      <c r="A4290" s="6"/>
    </row>
    <row r="4291" spans="1:1">
      <c r="A4291" s="6"/>
    </row>
    <row r="4292" spans="1:1">
      <c r="A4292" s="6"/>
    </row>
    <row r="4293" spans="1:1">
      <c r="A4293" s="6"/>
    </row>
    <row r="4294" spans="1:1">
      <c r="A4294" s="6"/>
    </row>
    <row r="4295" spans="1:1">
      <c r="A4295" s="6"/>
    </row>
    <row r="4296" spans="1:1">
      <c r="A4296" s="6"/>
    </row>
    <row r="4297" spans="1:1">
      <c r="A4297" s="6"/>
    </row>
    <row r="4298" spans="1:1">
      <c r="A4298" s="6"/>
    </row>
    <row r="4299" spans="1:1">
      <c r="A4299" s="6"/>
    </row>
    <row r="4300" spans="1:1">
      <c r="A4300" s="6"/>
    </row>
    <row r="4301" spans="1:1">
      <c r="A4301" s="6"/>
    </row>
    <row r="4302" spans="1:1">
      <c r="A4302" s="6"/>
    </row>
    <row r="4303" spans="1:1">
      <c r="A4303" s="6"/>
    </row>
    <row r="4304" spans="1:1">
      <c r="A4304" s="6"/>
    </row>
    <row r="4305" spans="1:1">
      <c r="A4305" s="6"/>
    </row>
    <row r="4306" spans="1:1">
      <c r="A4306" s="6"/>
    </row>
    <row r="4307" spans="1:1">
      <c r="A4307" s="6"/>
    </row>
    <row r="4308" spans="1:1">
      <c r="A4308" s="6"/>
    </row>
    <row r="4309" spans="1:1">
      <c r="A4309" s="6"/>
    </row>
    <row r="4310" spans="1:1">
      <c r="A4310" s="6"/>
    </row>
    <row r="4311" spans="1:1">
      <c r="A4311" s="6"/>
    </row>
    <row r="4312" spans="1:1">
      <c r="A4312" s="6"/>
    </row>
    <row r="4313" spans="1:1">
      <c r="A4313" s="6"/>
    </row>
    <row r="4314" spans="1:1">
      <c r="A4314" s="6"/>
    </row>
    <row r="4315" spans="1:1">
      <c r="A4315" s="6"/>
    </row>
    <row r="4316" spans="1:1">
      <c r="A4316" s="6"/>
    </row>
    <row r="4317" spans="1:1">
      <c r="A4317" s="6"/>
    </row>
    <row r="4318" spans="1:1">
      <c r="A4318" s="6"/>
    </row>
    <row r="4319" spans="1:1">
      <c r="A4319" s="6"/>
    </row>
    <row r="4320" spans="1:1">
      <c r="A4320" s="6"/>
    </row>
    <row r="4321" spans="1:1">
      <c r="A4321" s="6"/>
    </row>
    <row r="4322" spans="1:1">
      <c r="A4322" s="6"/>
    </row>
    <row r="4323" spans="1:1">
      <c r="A4323" s="6"/>
    </row>
    <row r="4324" spans="1:1">
      <c r="A4324" s="6"/>
    </row>
    <row r="4325" spans="1:1">
      <c r="A4325" s="6"/>
    </row>
    <row r="4326" spans="1:1">
      <c r="A4326" s="6"/>
    </row>
    <row r="4327" spans="1:1">
      <c r="A4327" s="6"/>
    </row>
    <row r="4328" spans="1:1">
      <c r="A4328" s="6"/>
    </row>
    <row r="4329" spans="1:1">
      <c r="A4329" s="6"/>
    </row>
    <row r="4330" spans="1:1">
      <c r="A4330" s="6"/>
    </row>
    <row r="4331" spans="1:1">
      <c r="A4331" s="6"/>
    </row>
    <row r="4332" spans="1:1">
      <c r="A4332" s="6"/>
    </row>
    <row r="4333" spans="1:1">
      <c r="A4333" s="6"/>
    </row>
    <row r="4334" spans="1:1">
      <c r="A4334" s="6"/>
    </row>
    <row r="4335" spans="1:1">
      <c r="A4335" s="6"/>
    </row>
    <row r="4336" spans="1:1">
      <c r="A4336" s="6"/>
    </row>
    <row r="4337" spans="1:1">
      <c r="A4337" s="6"/>
    </row>
    <row r="4338" spans="1:1">
      <c r="A4338" s="6"/>
    </row>
    <row r="4339" spans="1:1">
      <c r="A4339" s="6"/>
    </row>
    <row r="4340" spans="1:1">
      <c r="A4340" s="6"/>
    </row>
    <row r="4341" spans="1:1">
      <c r="A4341" s="6"/>
    </row>
    <row r="4342" spans="1:1">
      <c r="A4342" s="6"/>
    </row>
    <row r="4343" spans="1:1">
      <c r="A4343" s="6"/>
    </row>
    <row r="4344" spans="1:1">
      <c r="A4344" s="6"/>
    </row>
    <row r="4345" spans="1:1">
      <c r="A4345" s="6"/>
    </row>
    <row r="4346" spans="1:1">
      <c r="A4346" s="6"/>
    </row>
    <row r="4347" spans="1:1">
      <c r="A4347" s="6"/>
    </row>
    <row r="4348" spans="1:1">
      <c r="A4348" s="6"/>
    </row>
    <row r="4349" spans="1:1">
      <c r="A4349" s="6"/>
    </row>
    <row r="4350" spans="1:1">
      <c r="A4350" s="6"/>
    </row>
    <row r="4351" spans="1:1">
      <c r="A4351" s="6"/>
    </row>
    <row r="4352" spans="1:1">
      <c r="A4352" s="6"/>
    </row>
    <row r="4353" spans="1:1">
      <c r="A4353" s="6"/>
    </row>
    <row r="4354" spans="1:1">
      <c r="A4354" s="6"/>
    </row>
    <row r="4355" spans="1:1">
      <c r="A4355" s="6"/>
    </row>
    <row r="4356" spans="1:1">
      <c r="A4356" s="6"/>
    </row>
    <row r="4357" spans="1:1">
      <c r="A4357" s="6"/>
    </row>
    <row r="4358" spans="1:1">
      <c r="A4358" s="6"/>
    </row>
    <row r="4359" spans="1:1">
      <c r="A4359" s="6"/>
    </row>
    <row r="4360" spans="1:1">
      <c r="A4360" s="6"/>
    </row>
    <row r="4361" spans="1:1">
      <c r="A4361" s="6"/>
    </row>
    <row r="4362" spans="1:1">
      <c r="A4362" s="6"/>
    </row>
    <row r="4363" spans="1:1">
      <c r="A4363" s="6"/>
    </row>
    <row r="4364" spans="1:1">
      <c r="A4364" s="6"/>
    </row>
    <row r="4365" spans="1:1">
      <c r="A4365" s="6"/>
    </row>
    <row r="4366" spans="1:1">
      <c r="A4366" s="6"/>
    </row>
    <row r="4367" spans="1:1">
      <c r="A4367" s="6"/>
    </row>
    <row r="4368" spans="1:1">
      <c r="A4368" s="6"/>
    </row>
    <row r="4369" spans="1:1">
      <c r="A4369" s="6"/>
    </row>
    <row r="4370" spans="1:1">
      <c r="A4370" s="6"/>
    </row>
    <row r="4371" spans="1:1">
      <c r="A4371" s="6"/>
    </row>
    <row r="4372" spans="1:1">
      <c r="A4372" s="6"/>
    </row>
    <row r="4373" spans="1:1">
      <c r="A4373" s="6"/>
    </row>
    <row r="4374" spans="1:1">
      <c r="A4374" s="6"/>
    </row>
    <row r="4375" spans="1:1">
      <c r="A4375" s="6"/>
    </row>
    <row r="4376" spans="1:1">
      <c r="A4376" s="6"/>
    </row>
    <row r="4377" spans="1:1">
      <c r="A4377" s="6"/>
    </row>
    <row r="4378" spans="1:1">
      <c r="A4378" s="6"/>
    </row>
    <row r="4379" spans="1:1">
      <c r="A4379" s="6"/>
    </row>
    <row r="4380" spans="1:1">
      <c r="A4380" s="6"/>
    </row>
    <row r="4381" spans="1:1">
      <c r="A4381" s="6"/>
    </row>
    <row r="4382" spans="1:1">
      <c r="A4382" s="6"/>
    </row>
    <row r="4383" spans="1:1">
      <c r="A4383" s="6"/>
    </row>
    <row r="4384" spans="1:1">
      <c r="A4384" s="6"/>
    </row>
    <row r="4385" spans="1:1">
      <c r="A4385" s="6"/>
    </row>
    <row r="4386" spans="1:1">
      <c r="A4386" s="6"/>
    </row>
    <row r="4387" spans="1:1">
      <c r="A4387" s="6"/>
    </row>
    <row r="4388" spans="1:1">
      <c r="A4388" s="6"/>
    </row>
    <row r="4389" spans="1:1">
      <c r="A4389" s="6"/>
    </row>
    <row r="4390" spans="1:1">
      <c r="A4390" s="6"/>
    </row>
    <row r="4391" spans="1:1">
      <c r="A4391" s="6"/>
    </row>
    <row r="4392" spans="1:1">
      <c r="A4392" s="6"/>
    </row>
    <row r="4393" spans="1:1">
      <c r="A4393" s="6"/>
    </row>
    <row r="4394" spans="1:1">
      <c r="A4394" s="6"/>
    </row>
    <row r="4395" spans="1:1">
      <c r="A4395" s="6"/>
    </row>
    <row r="4396" spans="1:1">
      <c r="A4396" s="6"/>
    </row>
    <row r="4397" spans="1:1">
      <c r="A4397" s="6"/>
    </row>
    <row r="4398" spans="1:1">
      <c r="A4398" s="6"/>
    </row>
    <row r="4399" spans="1:1">
      <c r="A4399" s="6"/>
    </row>
    <row r="4400" spans="1:1">
      <c r="A4400" s="6"/>
    </row>
    <row r="4401" spans="1:1">
      <c r="A4401" s="6"/>
    </row>
    <row r="4402" spans="1:1">
      <c r="A4402" s="6"/>
    </row>
    <row r="4403" spans="1:1">
      <c r="A4403" s="6"/>
    </row>
    <row r="4404" spans="1:1">
      <c r="A4404" s="6"/>
    </row>
    <row r="4405" spans="1:1">
      <c r="A4405" s="6"/>
    </row>
    <row r="4406" spans="1:1">
      <c r="A4406" s="6"/>
    </row>
    <row r="4407" spans="1:1">
      <c r="A4407" s="6"/>
    </row>
    <row r="4408" spans="1:1">
      <c r="A4408" s="6"/>
    </row>
    <row r="4409" spans="1:1">
      <c r="A4409" s="6"/>
    </row>
    <row r="4410" spans="1:1">
      <c r="A4410" s="6"/>
    </row>
    <row r="4411" spans="1:1">
      <c r="A4411" s="6"/>
    </row>
    <row r="4412" spans="1:1">
      <c r="A4412" s="6"/>
    </row>
    <row r="4413" spans="1:1">
      <c r="A4413" s="6"/>
    </row>
    <row r="4414" spans="1:1">
      <c r="A4414" s="6"/>
    </row>
    <row r="4415" spans="1:1">
      <c r="A4415" s="6"/>
    </row>
    <row r="4416" spans="1:1">
      <c r="A4416" s="6"/>
    </row>
    <row r="4417" spans="1:1">
      <c r="A4417" s="6"/>
    </row>
    <row r="4418" spans="1:1">
      <c r="A4418" s="6"/>
    </row>
    <row r="4419" spans="1:1">
      <c r="A4419" s="6"/>
    </row>
    <row r="4420" spans="1:1">
      <c r="A4420" s="6"/>
    </row>
    <row r="4421" spans="1:1">
      <c r="A4421" s="6"/>
    </row>
    <row r="4422" spans="1:1">
      <c r="A4422" s="6"/>
    </row>
    <row r="4423" spans="1:1">
      <c r="A4423" s="6"/>
    </row>
    <row r="4424" spans="1:1">
      <c r="A4424" s="6"/>
    </row>
    <row r="4425" spans="1:1">
      <c r="A4425" s="6"/>
    </row>
    <row r="4426" spans="1:1">
      <c r="A4426" s="6"/>
    </row>
    <row r="4427" spans="1:1">
      <c r="A4427" s="6"/>
    </row>
    <row r="4428" spans="1:1">
      <c r="A4428" s="6"/>
    </row>
    <row r="4429" spans="1:1">
      <c r="A4429" s="6"/>
    </row>
    <row r="4430" spans="1:1">
      <c r="A4430" s="6"/>
    </row>
    <row r="4431" spans="1:1">
      <c r="A4431" s="6"/>
    </row>
    <row r="4432" spans="1:1">
      <c r="A4432" s="6"/>
    </row>
    <row r="4433" spans="1:1">
      <c r="A4433" s="6"/>
    </row>
    <row r="4434" spans="1:1">
      <c r="A4434" s="6"/>
    </row>
    <row r="4435" spans="1:1">
      <c r="A4435" s="6"/>
    </row>
    <row r="4436" spans="1:1">
      <c r="A4436" s="6"/>
    </row>
    <row r="4437" spans="1:1">
      <c r="A4437" s="6"/>
    </row>
    <row r="4438" spans="1:1">
      <c r="A4438" s="6"/>
    </row>
    <row r="4439" spans="1:1">
      <c r="A4439" s="6"/>
    </row>
    <row r="4440" spans="1:1">
      <c r="A4440" s="6"/>
    </row>
    <row r="4441" spans="1:1">
      <c r="A4441" s="6"/>
    </row>
    <row r="4442" spans="1:1">
      <c r="A4442" s="6"/>
    </row>
    <row r="4443" spans="1:1">
      <c r="A4443" s="6"/>
    </row>
    <row r="4444" spans="1:1">
      <c r="A4444" s="6"/>
    </row>
    <row r="4445" spans="1:1">
      <c r="A4445" s="6"/>
    </row>
    <row r="4446" spans="1:1">
      <c r="A4446" s="6"/>
    </row>
    <row r="4447" spans="1:1">
      <c r="A4447" s="6"/>
    </row>
    <row r="4448" spans="1:1">
      <c r="A4448" s="6"/>
    </row>
    <row r="4449" spans="1:1">
      <c r="A4449" s="6"/>
    </row>
    <row r="4450" spans="1:1">
      <c r="A4450" s="6"/>
    </row>
    <row r="4451" spans="1:1">
      <c r="A4451" s="6"/>
    </row>
    <row r="4452" spans="1:1">
      <c r="A4452" s="6"/>
    </row>
    <row r="4453" spans="1:1">
      <c r="A4453" s="6"/>
    </row>
    <row r="4454" spans="1:1">
      <c r="A4454" s="6"/>
    </row>
    <row r="4455" spans="1:1">
      <c r="A4455" s="6"/>
    </row>
    <row r="4456" spans="1:1">
      <c r="A4456" s="6"/>
    </row>
    <row r="4457" spans="1:1">
      <c r="A4457" s="6"/>
    </row>
    <row r="4458" spans="1:1">
      <c r="A4458" s="6"/>
    </row>
    <row r="4459" spans="1:1">
      <c r="A4459" s="6"/>
    </row>
    <row r="4460" spans="1:1">
      <c r="A4460" s="6"/>
    </row>
    <row r="4461" spans="1:1">
      <c r="A4461" s="6"/>
    </row>
    <row r="4462" spans="1:1">
      <c r="A4462" s="6"/>
    </row>
    <row r="4463" spans="1:1">
      <c r="A4463" s="6"/>
    </row>
    <row r="4464" spans="1:1">
      <c r="A4464" s="6"/>
    </row>
    <row r="4465" spans="1:1">
      <c r="A4465" s="6"/>
    </row>
    <row r="4466" spans="1:1">
      <c r="A4466" s="6"/>
    </row>
    <row r="4467" spans="1:1">
      <c r="A4467" s="6"/>
    </row>
    <row r="4468" spans="1:1">
      <c r="A4468" s="6"/>
    </row>
    <row r="4469" spans="1:1">
      <c r="A4469" s="6"/>
    </row>
    <row r="4470" spans="1:1">
      <c r="A4470" s="6"/>
    </row>
    <row r="4471" spans="1:1">
      <c r="A4471" s="6"/>
    </row>
    <row r="4472" spans="1:1">
      <c r="A4472" s="6"/>
    </row>
    <row r="4473" spans="1:1">
      <c r="A4473" s="6"/>
    </row>
    <row r="4474" spans="1:1">
      <c r="A4474" s="6"/>
    </row>
    <row r="4475" spans="1:1">
      <c r="A4475" s="6"/>
    </row>
    <row r="4476" spans="1:1">
      <c r="A4476" s="6"/>
    </row>
    <row r="4477" spans="1:1">
      <c r="A4477" s="6"/>
    </row>
    <row r="4478" spans="1:1">
      <c r="A4478" s="6"/>
    </row>
    <row r="4479" spans="1:1">
      <c r="A4479" s="6"/>
    </row>
    <row r="4480" spans="1:1">
      <c r="A4480" s="6"/>
    </row>
    <row r="4481" spans="1:1">
      <c r="A4481" s="6"/>
    </row>
    <row r="4482" spans="1:1">
      <c r="A4482" s="6"/>
    </row>
    <row r="4483" spans="1:1">
      <c r="A4483" s="6"/>
    </row>
    <row r="4484" spans="1:1">
      <c r="A4484" s="6"/>
    </row>
    <row r="4485" spans="1:1">
      <c r="A4485" s="6"/>
    </row>
    <row r="4486" spans="1:1">
      <c r="A4486" s="6"/>
    </row>
    <row r="4487" spans="1:1">
      <c r="A4487" s="6"/>
    </row>
    <row r="4488" spans="1:1">
      <c r="A4488" s="6"/>
    </row>
    <row r="4489" spans="1:1">
      <c r="A4489" s="6"/>
    </row>
    <row r="4490" spans="1:1">
      <c r="A4490" s="6"/>
    </row>
    <row r="4491" spans="1:1">
      <c r="A4491" s="6"/>
    </row>
    <row r="4492" spans="1:1">
      <c r="A4492" s="6"/>
    </row>
    <row r="4493" spans="1:1">
      <c r="A4493" s="6"/>
    </row>
    <row r="4494" spans="1:1">
      <c r="A4494" s="6"/>
    </row>
    <row r="4495" spans="1:1">
      <c r="A4495" s="6"/>
    </row>
    <row r="4496" spans="1:1">
      <c r="A4496" s="6"/>
    </row>
    <row r="4497" spans="1:1">
      <c r="A4497" s="6"/>
    </row>
    <row r="4498" spans="1:1">
      <c r="A4498" s="6"/>
    </row>
    <row r="4499" spans="1:1">
      <c r="A4499" s="6"/>
    </row>
    <row r="4500" spans="1:1">
      <c r="A4500" s="6"/>
    </row>
    <row r="4501" spans="1:1">
      <c r="A4501" s="6"/>
    </row>
    <row r="4502" spans="1:1">
      <c r="A4502" s="6"/>
    </row>
    <row r="4503" spans="1:1">
      <c r="A4503" s="6"/>
    </row>
    <row r="4504" spans="1:1">
      <c r="A4504" s="6"/>
    </row>
    <row r="4505" spans="1:1">
      <c r="A4505" s="6"/>
    </row>
    <row r="4506" spans="1:1">
      <c r="A4506" s="6"/>
    </row>
    <row r="4507" spans="1:1">
      <c r="A4507" s="6"/>
    </row>
    <row r="4508" spans="1:1">
      <c r="A4508" s="6"/>
    </row>
    <row r="4509" spans="1:1">
      <c r="A4509" s="6"/>
    </row>
    <row r="4510" spans="1:1">
      <c r="A4510" s="6"/>
    </row>
    <row r="4511" spans="1:1">
      <c r="A4511" s="6"/>
    </row>
    <row r="4512" spans="1:1">
      <c r="A4512" s="6"/>
    </row>
    <row r="4513" spans="1:1">
      <c r="A4513" s="6"/>
    </row>
    <row r="4514" spans="1:1">
      <c r="A4514" s="6"/>
    </row>
    <row r="4515" spans="1:1">
      <c r="A4515" s="6"/>
    </row>
    <row r="4516" spans="1:1">
      <c r="A4516" s="6"/>
    </row>
    <row r="4517" spans="1:1">
      <c r="A4517" s="6"/>
    </row>
    <row r="4518" spans="1:1">
      <c r="A4518" s="6"/>
    </row>
    <row r="4519" spans="1:1">
      <c r="A4519" s="6"/>
    </row>
    <row r="4520" spans="1:1">
      <c r="A4520" s="6"/>
    </row>
    <row r="4521" spans="1:1">
      <c r="A4521" s="6"/>
    </row>
    <row r="4522" spans="1:1">
      <c r="A4522" s="6"/>
    </row>
    <row r="4523" spans="1:1">
      <c r="A4523" s="6"/>
    </row>
    <row r="4524" spans="1:1">
      <c r="A4524" s="6"/>
    </row>
    <row r="4525" spans="1:1">
      <c r="A4525" s="6"/>
    </row>
    <row r="4526" spans="1:1">
      <c r="A4526" s="6"/>
    </row>
    <row r="4527" spans="1:1">
      <c r="A4527" s="6"/>
    </row>
    <row r="4528" spans="1:1">
      <c r="A4528" s="6"/>
    </row>
    <row r="4529" spans="1:1">
      <c r="A4529" s="6"/>
    </row>
    <row r="4530" spans="1:1">
      <c r="A4530" s="6"/>
    </row>
    <row r="4531" spans="1:1">
      <c r="A4531" s="6"/>
    </row>
    <row r="4532" spans="1:1">
      <c r="A4532" s="6"/>
    </row>
    <row r="4533" spans="1:1">
      <c r="A4533" s="6"/>
    </row>
    <row r="4534" spans="1:1">
      <c r="A4534" s="6"/>
    </row>
    <row r="4535" spans="1:1">
      <c r="A4535" s="6"/>
    </row>
    <row r="4536" spans="1:1">
      <c r="A4536" s="6"/>
    </row>
    <row r="4537" spans="1:1">
      <c r="A4537" s="6"/>
    </row>
    <row r="4538" spans="1:1">
      <c r="A4538" s="6"/>
    </row>
    <row r="4539" spans="1:1">
      <c r="A4539" s="6"/>
    </row>
    <row r="4540" spans="1:1">
      <c r="A4540" s="6"/>
    </row>
    <row r="4541" spans="1:1">
      <c r="A4541" s="6"/>
    </row>
    <row r="4542" spans="1:1">
      <c r="A4542" s="6"/>
    </row>
    <row r="4543" spans="1:1">
      <c r="A4543" s="6"/>
    </row>
    <row r="4544" spans="1:1">
      <c r="A4544" s="6"/>
    </row>
    <row r="4545" spans="1:1">
      <c r="A4545" s="6"/>
    </row>
    <row r="4546" spans="1:1">
      <c r="A4546" s="6"/>
    </row>
    <row r="4547" spans="1:1">
      <c r="A4547" s="6"/>
    </row>
    <row r="4548" spans="1:1">
      <c r="A4548" s="6"/>
    </row>
    <row r="4549" spans="1:1">
      <c r="A4549" s="6"/>
    </row>
    <row r="4550" spans="1:1">
      <c r="A4550" s="6"/>
    </row>
    <row r="4551" spans="1:1">
      <c r="A4551" s="6"/>
    </row>
    <row r="4552" spans="1:1">
      <c r="A4552" s="6"/>
    </row>
    <row r="4553" spans="1:1">
      <c r="A4553" s="6"/>
    </row>
    <row r="4554" spans="1:1">
      <c r="A4554" s="6"/>
    </row>
    <row r="4555" spans="1:1">
      <c r="A4555" s="6"/>
    </row>
    <row r="4556" spans="1:1">
      <c r="A4556" s="6"/>
    </row>
    <row r="4557" spans="1:1">
      <c r="A4557" s="6"/>
    </row>
    <row r="4558" spans="1:1">
      <c r="A4558" s="6"/>
    </row>
    <row r="4559" spans="1:1">
      <c r="A4559" s="6"/>
    </row>
    <row r="4560" spans="1:1">
      <c r="A4560" s="6"/>
    </row>
    <row r="4561" spans="1:1">
      <c r="A4561" s="6"/>
    </row>
    <row r="4562" spans="1:1">
      <c r="A4562" s="6"/>
    </row>
    <row r="4563" spans="1:1">
      <c r="A4563" s="6"/>
    </row>
    <row r="4564" spans="1:1">
      <c r="A4564" s="6"/>
    </row>
    <row r="4565" spans="1:1">
      <c r="A4565" s="6"/>
    </row>
    <row r="4566" spans="1:1">
      <c r="A4566" s="6"/>
    </row>
    <row r="4567" spans="1:1">
      <c r="A4567" s="6"/>
    </row>
    <row r="4568" spans="1:1">
      <c r="A4568" s="6"/>
    </row>
    <row r="4569" spans="1:1">
      <c r="A4569" s="6"/>
    </row>
    <row r="4570" spans="1:1">
      <c r="A4570" s="6"/>
    </row>
    <row r="4571" spans="1:1">
      <c r="A4571" s="6"/>
    </row>
    <row r="4572" spans="1:1">
      <c r="A4572" s="6"/>
    </row>
    <row r="4573" spans="1:1">
      <c r="A4573" s="6"/>
    </row>
    <row r="4574" spans="1:1">
      <c r="A4574" s="6"/>
    </row>
    <row r="4575" spans="1:1">
      <c r="A4575" s="6"/>
    </row>
    <row r="4576" spans="1:1">
      <c r="A4576" s="6"/>
    </row>
    <row r="4577" spans="1:1">
      <c r="A4577" s="6"/>
    </row>
    <row r="4578" spans="1:1">
      <c r="A4578" s="6"/>
    </row>
    <row r="4579" spans="1:1">
      <c r="A4579" s="6"/>
    </row>
    <row r="4580" spans="1:1">
      <c r="A4580" s="6"/>
    </row>
    <row r="4581" spans="1:1">
      <c r="A4581" s="6"/>
    </row>
    <row r="4582" spans="1:1">
      <c r="A4582" s="6"/>
    </row>
    <row r="4583" spans="1:1">
      <c r="A4583" s="6"/>
    </row>
    <row r="4584" spans="1:1">
      <c r="A4584" s="6"/>
    </row>
    <row r="4585" spans="1:1">
      <c r="A4585" s="6"/>
    </row>
    <row r="4586" spans="1:1">
      <c r="A4586" s="6"/>
    </row>
    <row r="4587" spans="1:1">
      <c r="A4587" s="6"/>
    </row>
    <row r="4588" spans="1:1">
      <c r="A4588" s="6"/>
    </row>
    <row r="4589" spans="1:1">
      <c r="A4589" s="6"/>
    </row>
    <row r="4590" spans="1:1">
      <c r="A4590" s="6"/>
    </row>
    <row r="4591" spans="1:1">
      <c r="A4591" s="6"/>
    </row>
    <row r="4592" spans="1:1">
      <c r="A4592" s="6"/>
    </row>
    <row r="4593" spans="1:1">
      <c r="A4593" s="6"/>
    </row>
    <row r="4594" spans="1:1">
      <c r="A4594" s="6"/>
    </row>
    <row r="4595" spans="1:1">
      <c r="A4595" s="6"/>
    </row>
    <row r="4596" spans="1:1">
      <c r="A4596" s="6"/>
    </row>
    <row r="4597" spans="1:1">
      <c r="A4597" s="6"/>
    </row>
    <row r="4598" spans="1:1">
      <c r="A4598" s="6"/>
    </row>
    <row r="4599" spans="1:1">
      <c r="A4599" s="6"/>
    </row>
    <row r="4600" spans="1:1">
      <c r="A4600" s="6"/>
    </row>
    <row r="4601" spans="1:1">
      <c r="A4601" s="6"/>
    </row>
    <row r="4602" spans="1:1">
      <c r="A4602" s="6"/>
    </row>
    <row r="4603" spans="1:1">
      <c r="A4603" s="6"/>
    </row>
    <row r="4604" spans="1:1">
      <c r="A4604" s="6"/>
    </row>
    <row r="4605" spans="1:1">
      <c r="A4605" s="6"/>
    </row>
    <row r="4606" spans="1:1">
      <c r="A4606" s="6"/>
    </row>
    <row r="4607" spans="1:1">
      <c r="A4607" s="6"/>
    </row>
    <row r="4608" spans="1:1">
      <c r="A4608" s="6"/>
    </row>
    <row r="4609" spans="1:1">
      <c r="A4609" s="6"/>
    </row>
    <row r="4610" spans="1:1">
      <c r="A4610" s="6"/>
    </row>
    <row r="4611" spans="1:1">
      <c r="A4611" s="6"/>
    </row>
    <row r="4612" spans="1:1">
      <c r="A4612" s="6"/>
    </row>
    <row r="4613" spans="1:1">
      <c r="A4613" s="6"/>
    </row>
    <row r="4614" spans="1:1">
      <c r="A4614" s="6"/>
    </row>
    <row r="4615" spans="1:1">
      <c r="A4615" s="6"/>
    </row>
    <row r="4616" spans="1:1">
      <c r="A4616" s="6"/>
    </row>
    <row r="4617" spans="1:1">
      <c r="A4617" s="6"/>
    </row>
    <row r="4618" spans="1:1">
      <c r="A4618" s="6"/>
    </row>
    <row r="4619" spans="1:1">
      <c r="A4619" s="6"/>
    </row>
    <row r="4620" spans="1:1">
      <c r="A4620" s="6"/>
    </row>
    <row r="4621" spans="1:1">
      <c r="A4621" s="6"/>
    </row>
    <row r="4622" spans="1:1">
      <c r="A4622" s="6"/>
    </row>
    <row r="4623" spans="1:1">
      <c r="A4623" s="6"/>
    </row>
    <row r="4624" spans="1:1">
      <c r="A4624" s="6"/>
    </row>
    <row r="4625" spans="1:1">
      <c r="A4625" s="6"/>
    </row>
    <row r="4626" spans="1:1">
      <c r="A4626" s="6"/>
    </row>
    <row r="4627" spans="1:1">
      <c r="A4627" s="6"/>
    </row>
    <row r="4628" spans="1:1">
      <c r="A4628" s="6"/>
    </row>
    <row r="4629" spans="1:1">
      <c r="A4629" s="6"/>
    </row>
    <row r="4630" spans="1:1">
      <c r="A4630" s="6"/>
    </row>
    <row r="4631" spans="1:1">
      <c r="A4631" s="6"/>
    </row>
    <row r="4632" spans="1:1">
      <c r="A4632" s="6"/>
    </row>
    <row r="4633" spans="1:1">
      <c r="A4633" s="6"/>
    </row>
    <row r="4634" spans="1:1">
      <c r="A4634" s="6"/>
    </row>
    <row r="4635" spans="1:1">
      <c r="A4635" s="6"/>
    </row>
    <row r="4636" spans="1:1">
      <c r="A4636" s="6"/>
    </row>
    <row r="4637" spans="1:1">
      <c r="A4637" s="6"/>
    </row>
    <row r="4638" spans="1:1">
      <c r="A4638" s="6"/>
    </row>
    <row r="4639" spans="1:1">
      <c r="A4639" s="6"/>
    </row>
    <row r="4640" spans="1:1">
      <c r="A4640" s="6"/>
    </row>
    <row r="4641" spans="1:1">
      <c r="A4641" s="6"/>
    </row>
    <row r="4642" spans="1:1">
      <c r="A4642" s="6"/>
    </row>
    <row r="4643" spans="1:1">
      <c r="A4643" s="6"/>
    </row>
    <row r="4644" spans="1:1">
      <c r="A4644" s="6"/>
    </row>
    <row r="4645" spans="1:1">
      <c r="A4645" s="6"/>
    </row>
    <row r="4646" spans="1:1">
      <c r="A4646" s="6"/>
    </row>
    <row r="4647" spans="1:1">
      <c r="A4647" s="6"/>
    </row>
    <row r="4648" spans="1:1">
      <c r="A4648" s="6"/>
    </row>
    <row r="4649" spans="1:1">
      <c r="A4649" s="6"/>
    </row>
    <row r="4650" spans="1:1">
      <c r="A4650" s="6"/>
    </row>
    <row r="4651" spans="1:1">
      <c r="A4651" s="6"/>
    </row>
    <row r="4652" spans="1:1">
      <c r="A4652" s="6"/>
    </row>
    <row r="4653" spans="1:1">
      <c r="A4653" s="6"/>
    </row>
    <row r="4654" spans="1:1">
      <c r="A4654" s="6"/>
    </row>
    <row r="4655" spans="1:1">
      <c r="A4655" s="6"/>
    </row>
    <row r="4656" spans="1:1">
      <c r="A4656" s="6"/>
    </row>
    <row r="4657" spans="1:1">
      <c r="A4657" s="6"/>
    </row>
    <row r="4658" spans="1:1">
      <c r="A4658" s="6"/>
    </row>
    <row r="4659" spans="1:1">
      <c r="A4659" s="6"/>
    </row>
    <row r="4660" spans="1:1">
      <c r="A4660" s="6"/>
    </row>
    <row r="4661" spans="1:1">
      <c r="A4661" s="6"/>
    </row>
    <row r="4662" spans="1:1">
      <c r="A4662" s="6"/>
    </row>
    <row r="4663" spans="1:1">
      <c r="A4663" s="6"/>
    </row>
    <row r="4664" spans="1:1">
      <c r="A4664" s="6"/>
    </row>
    <row r="4665" spans="1:1">
      <c r="A4665" s="6"/>
    </row>
    <row r="4666" spans="1:1">
      <c r="A4666" s="6"/>
    </row>
    <row r="4667" spans="1:1">
      <c r="A4667" s="6"/>
    </row>
    <row r="4668" spans="1:1">
      <c r="A4668" s="6"/>
    </row>
    <row r="4669" spans="1:1">
      <c r="A4669" s="6"/>
    </row>
    <row r="4670" spans="1:1">
      <c r="A4670" s="6"/>
    </row>
    <row r="4671" spans="1:1">
      <c r="A4671" s="6"/>
    </row>
    <row r="4672" spans="1:1">
      <c r="A4672" s="6"/>
    </row>
    <row r="4673" spans="1:1">
      <c r="A4673" s="6"/>
    </row>
    <row r="4674" spans="1:1">
      <c r="A4674" s="6"/>
    </row>
    <row r="4675" spans="1:1">
      <c r="A4675" s="6"/>
    </row>
    <row r="4676" spans="1:1">
      <c r="A4676" s="6"/>
    </row>
    <row r="4677" spans="1:1">
      <c r="A4677" s="6"/>
    </row>
    <row r="4678" spans="1:1">
      <c r="A4678" s="6"/>
    </row>
    <row r="4679" spans="1:1">
      <c r="A4679" s="6"/>
    </row>
    <row r="4680" spans="1:1">
      <c r="A4680" s="6"/>
    </row>
    <row r="4681" spans="1:1">
      <c r="A4681" s="6"/>
    </row>
    <row r="4682" spans="1:1">
      <c r="A4682" s="6"/>
    </row>
    <row r="4683" spans="1:1">
      <c r="A4683" s="6"/>
    </row>
    <row r="4684" spans="1:1">
      <c r="A4684" s="6"/>
    </row>
    <row r="4685" spans="1:1">
      <c r="A4685" s="6"/>
    </row>
    <row r="4686" spans="1:1">
      <c r="A4686" s="6"/>
    </row>
    <row r="4687" spans="1:1">
      <c r="A4687" s="6"/>
    </row>
    <row r="4688" spans="1:1">
      <c r="A4688" s="6"/>
    </row>
    <row r="4689" spans="1:1">
      <c r="A4689" s="6"/>
    </row>
    <row r="4690" spans="1:1">
      <c r="A4690" s="6"/>
    </row>
    <row r="4691" spans="1:1">
      <c r="A4691" s="6"/>
    </row>
    <row r="4692" spans="1:1">
      <c r="A4692" s="6"/>
    </row>
    <row r="4693" spans="1:1">
      <c r="A4693" s="6"/>
    </row>
    <row r="4694" spans="1:1">
      <c r="A4694" s="6"/>
    </row>
    <row r="4695" spans="1:1">
      <c r="A4695" s="6"/>
    </row>
    <row r="4696" spans="1:1">
      <c r="A4696" s="6"/>
    </row>
    <row r="4697" spans="1:1">
      <c r="A4697" s="6"/>
    </row>
    <row r="4698" spans="1:1">
      <c r="A4698" s="6"/>
    </row>
    <row r="4699" spans="1:1">
      <c r="A4699" s="6"/>
    </row>
    <row r="4700" spans="1:1">
      <c r="A4700" s="6"/>
    </row>
    <row r="4701" spans="1:1">
      <c r="A4701" s="6"/>
    </row>
    <row r="4702" spans="1:1">
      <c r="A4702" s="6"/>
    </row>
    <row r="4703" spans="1:1">
      <c r="A4703" s="6"/>
    </row>
    <row r="4704" spans="1:1">
      <c r="A4704" s="6"/>
    </row>
    <row r="4705" spans="1:1">
      <c r="A4705" s="6"/>
    </row>
    <row r="4706" spans="1:1">
      <c r="A4706" s="6"/>
    </row>
    <row r="4707" spans="1:1">
      <c r="A4707" s="6"/>
    </row>
    <row r="4708" spans="1:1">
      <c r="A4708" s="6"/>
    </row>
    <row r="4709" spans="1:1">
      <c r="A4709" s="6"/>
    </row>
    <row r="4710" spans="1:1">
      <c r="A4710" s="6"/>
    </row>
    <row r="4711" spans="1:1">
      <c r="A4711" s="6"/>
    </row>
    <row r="4712" spans="1:1">
      <c r="A4712" s="6"/>
    </row>
    <row r="4713" spans="1:1">
      <c r="A4713" s="6"/>
    </row>
    <row r="4714" spans="1:1">
      <c r="A4714" s="6"/>
    </row>
    <row r="4715" spans="1:1">
      <c r="A4715" s="6"/>
    </row>
    <row r="4716" spans="1:1">
      <c r="A4716" s="6"/>
    </row>
    <row r="4717" spans="1:1">
      <c r="A4717" s="6"/>
    </row>
    <row r="4718" spans="1:1">
      <c r="A4718" s="6"/>
    </row>
    <row r="4719" spans="1:1">
      <c r="A4719" s="6"/>
    </row>
    <row r="4720" spans="1:1">
      <c r="A4720" s="6"/>
    </row>
    <row r="4721" spans="1:1">
      <c r="A4721" s="6"/>
    </row>
    <row r="4722" spans="1:1">
      <c r="A4722" s="6"/>
    </row>
    <row r="4723" spans="1:1">
      <c r="A4723" s="6"/>
    </row>
    <row r="4724" spans="1:1">
      <c r="A4724" s="6"/>
    </row>
    <row r="4725" spans="1:1">
      <c r="A4725" s="6"/>
    </row>
    <row r="4726" spans="1:1">
      <c r="A4726" s="6"/>
    </row>
    <row r="4727" spans="1:1">
      <c r="A4727" s="6"/>
    </row>
    <row r="4728" spans="1:1">
      <c r="A4728" s="6"/>
    </row>
    <row r="4729" spans="1:1">
      <c r="A4729" s="6"/>
    </row>
    <row r="4730" spans="1:1">
      <c r="A4730" s="6"/>
    </row>
    <row r="4731" spans="1:1">
      <c r="A4731" s="6"/>
    </row>
    <row r="4732" spans="1:1">
      <c r="A4732" s="6"/>
    </row>
    <row r="4733" spans="1:1">
      <c r="A4733" s="6"/>
    </row>
    <row r="4734" spans="1:1">
      <c r="A4734" s="6"/>
    </row>
    <row r="4735" spans="1:1">
      <c r="A4735" s="6"/>
    </row>
    <row r="4736" spans="1:1">
      <c r="A4736" s="6"/>
    </row>
    <row r="4737" spans="1:1">
      <c r="A4737" s="6"/>
    </row>
    <row r="4738" spans="1:1">
      <c r="A4738" s="6"/>
    </row>
    <row r="4739" spans="1:1">
      <c r="A4739" s="6"/>
    </row>
    <row r="4740" spans="1:1">
      <c r="A4740" s="6"/>
    </row>
    <row r="4741" spans="1:1">
      <c r="A4741" s="6"/>
    </row>
    <row r="4742" spans="1:1">
      <c r="A4742" s="6"/>
    </row>
    <row r="4743" spans="1:1">
      <c r="A4743" s="6"/>
    </row>
    <row r="4744" spans="1:1">
      <c r="A4744" s="6"/>
    </row>
    <row r="4745" spans="1:1">
      <c r="A4745" s="6"/>
    </row>
    <row r="4746" spans="1:1">
      <c r="A4746" s="6"/>
    </row>
    <row r="4747" spans="1:1">
      <c r="A4747" s="6"/>
    </row>
    <row r="4748" spans="1:1">
      <c r="A4748" s="6"/>
    </row>
    <row r="4749" spans="1:1">
      <c r="A4749" s="6"/>
    </row>
    <row r="4750" spans="1:1">
      <c r="A4750" s="6"/>
    </row>
    <row r="4751" spans="1:1">
      <c r="A4751" s="6"/>
    </row>
    <row r="4752" spans="1:1">
      <c r="A4752" s="6"/>
    </row>
    <row r="4753" spans="1:1">
      <c r="A4753" s="6"/>
    </row>
    <row r="4754" spans="1:1">
      <c r="A4754" s="6"/>
    </row>
    <row r="4755" spans="1:1">
      <c r="A4755" s="6"/>
    </row>
    <row r="4756" spans="1:1">
      <c r="A4756" s="6"/>
    </row>
    <row r="4757" spans="1:1">
      <c r="A4757" s="6"/>
    </row>
    <row r="4758" spans="1:1">
      <c r="A4758" s="6"/>
    </row>
    <row r="4759" spans="1:1">
      <c r="A4759" s="6"/>
    </row>
    <row r="4760" spans="1:1">
      <c r="A4760" s="6"/>
    </row>
    <row r="4761" spans="1:1">
      <c r="A4761" s="6"/>
    </row>
    <row r="4762" spans="1:1">
      <c r="A4762" s="6"/>
    </row>
    <row r="4763" spans="1:1">
      <c r="A4763" s="6"/>
    </row>
    <row r="4764" spans="1:1">
      <c r="A4764" s="6"/>
    </row>
    <row r="4765" spans="1:1">
      <c r="A4765" s="6"/>
    </row>
    <row r="4766" spans="1:1">
      <c r="A4766" s="6"/>
    </row>
    <row r="4767" spans="1:1">
      <c r="A4767" s="6"/>
    </row>
    <row r="4768" spans="1:1">
      <c r="A4768" s="6"/>
    </row>
    <row r="4769" spans="1:1">
      <c r="A4769" s="6"/>
    </row>
    <row r="4770" spans="1:1">
      <c r="A4770" s="6"/>
    </row>
    <row r="4771" spans="1:1">
      <c r="A4771" s="6"/>
    </row>
    <row r="4772" spans="1:1">
      <c r="A4772" s="6"/>
    </row>
    <row r="4773" spans="1:1">
      <c r="A4773" s="6"/>
    </row>
    <row r="4774" spans="1:1">
      <c r="A4774" s="6"/>
    </row>
    <row r="4775" spans="1:1">
      <c r="A4775" s="6"/>
    </row>
    <row r="4776" spans="1:1">
      <c r="A4776" s="6"/>
    </row>
    <row r="4777" spans="1:1">
      <c r="A4777" s="6"/>
    </row>
    <row r="4778" spans="1:1">
      <c r="A4778" s="6"/>
    </row>
    <row r="4779" spans="1:1">
      <c r="A4779" s="6"/>
    </row>
    <row r="4780" spans="1:1">
      <c r="A4780" s="6"/>
    </row>
    <row r="4781" spans="1:1">
      <c r="A4781" s="6"/>
    </row>
    <row r="4782" spans="1:1">
      <c r="A4782" s="6"/>
    </row>
    <row r="4783" spans="1:1">
      <c r="A4783" s="6"/>
    </row>
    <row r="4784" spans="1:1">
      <c r="A4784" s="6"/>
    </row>
    <row r="4785" spans="1:1">
      <c r="A4785" s="6"/>
    </row>
    <row r="4786" spans="1:1">
      <c r="A4786" s="6"/>
    </row>
    <row r="4787" spans="1:1">
      <c r="A4787" s="6"/>
    </row>
    <row r="4788" spans="1:1">
      <c r="A4788" s="6"/>
    </row>
    <row r="4789" spans="1:1">
      <c r="A4789" s="6"/>
    </row>
    <row r="4790" spans="1:1">
      <c r="A4790" s="6"/>
    </row>
    <row r="4791" spans="1:1">
      <c r="A4791" s="6"/>
    </row>
    <row r="4792" spans="1:1">
      <c r="A4792" s="6"/>
    </row>
    <row r="4793" spans="1:1">
      <c r="A4793" s="6"/>
    </row>
    <row r="4794" spans="1:1">
      <c r="A4794" s="6"/>
    </row>
    <row r="4795" spans="1:1">
      <c r="A4795" s="6"/>
    </row>
    <row r="4796" spans="1:1">
      <c r="A4796" s="6"/>
    </row>
    <row r="4797" spans="1:1">
      <c r="A4797" s="6"/>
    </row>
    <row r="4798" spans="1:1">
      <c r="A4798" s="6"/>
    </row>
    <row r="4799" spans="1:1">
      <c r="A4799" s="6"/>
    </row>
    <row r="4800" spans="1:1">
      <c r="A4800" s="6"/>
    </row>
    <row r="4801" spans="1:1">
      <c r="A4801" s="6"/>
    </row>
    <row r="4802" spans="1:1">
      <c r="A4802" s="6"/>
    </row>
    <row r="4803" spans="1:1">
      <c r="A4803" s="6"/>
    </row>
    <row r="4804" spans="1:1">
      <c r="A4804" s="6"/>
    </row>
    <row r="4805" spans="1:1">
      <c r="A4805" s="6"/>
    </row>
    <row r="4806" spans="1:1">
      <c r="A4806" s="6"/>
    </row>
    <row r="4807" spans="1:1">
      <c r="A4807" s="6"/>
    </row>
    <row r="4808" spans="1:1">
      <c r="A4808" s="6"/>
    </row>
    <row r="4809" spans="1:1">
      <c r="A4809" s="6"/>
    </row>
    <row r="4810" spans="1:1">
      <c r="A4810" s="6"/>
    </row>
    <row r="4811" spans="1:1">
      <c r="A4811" s="6"/>
    </row>
    <row r="4812" spans="1:1">
      <c r="A4812" s="6"/>
    </row>
    <row r="4813" spans="1:1">
      <c r="A4813" s="6"/>
    </row>
    <row r="4814" spans="1:1">
      <c r="A4814" s="6"/>
    </row>
    <row r="4815" spans="1:1">
      <c r="A4815" s="6"/>
    </row>
    <row r="4816" spans="1:1">
      <c r="A4816" s="6"/>
    </row>
    <row r="4817" spans="1:1">
      <c r="A4817" s="6"/>
    </row>
    <row r="4818" spans="1:1">
      <c r="A4818" s="6"/>
    </row>
    <row r="4819" spans="1:1">
      <c r="A4819" s="6"/>
    </row>
    <row r="4820" spans="1:1">
      <c r="A4820" s="6"/>
    </row>
    <row r="4821" spans="1:1">
      <c r="A4821" s="6"/>
    </row>
    <row r="4822" spans="1:1">
      <c r="A4822" s="6"/>
    </row>
    <row r="4823" spans="1:1">
      <c r="A4823" s="6"/>
    </row>
    <row r="4824" spans="1:1">
      <c r="A4824" s="6"/>
    </row>
    <row r="4825" spans="1:1">
      <c r="A4825" s="6"/>
    </row>
    <row r="4826" spans="1:1">
      <c r="A4826" s="6"/>
    </row>
    <row r="4827" spans="1:1">
      <c r="A4827" s="6"/>
    </row>
    <row r="4828" spans="1:1">
      <c r="A4828" s="6"/>
    </row>
    <row r="4829" spans="1:1">
      <c r="A4829" s="6"/>
    </row>
    <row r="4830" spans="1:1">
      <c r="A4830" s="6"/>
    </row>
    <row r="4831" spans="1:1">
      <c r="A4831" s="6"/>
    </row>
    <row r="4832" spans="1:1">
      <c r="A4832" s="6"/>
    </row>
    <row r="4833" spans="1:1">
      <c r="A4833" s="6"/>
    </row>
    <row r="4834" spans="1:1">
      <c r="A4834" s="6"/>
    </row>
    <row r="4835" spans="1:1">
      <c r="A4835" s="6"/>
    </row>
    <row r="4836" spans="1:1">
      <c r="A4836" s="6"/>
    </row>
    <row r="4837" spans="1:1">
      <c r="A4837" s="6"/>
    </row>
    <row r="4838" spans="1:1">
      <c r="A4838" s="6"/>
    </row>
    <row r="4839" spans="1:1">
      <c r="A4839" s="6"/>
    </row>
    <row r="4840" spans="1:1">
      <c r="A4840" s="6"/>
    </row>
    <row r="4841" spans="1:1">
      <c r="A4841" s="6"/>
    </row>
    <row r="4842" spans="1:1">
      <c r="A4842" s="6"/>
    </row>
    <row r="4843" spans="1:1">
      <c r="A4843" s="6"/>
    </row>
    <row r="4844" spans="1:1">
      <c r="A4844" s="6"/>
    </row>
    <row r="4845" spans="1:1">
      <c r="A4845" s="6"/>
    </row>
    <row r="4846" spans="1:1">
      <c r="A4846" s="6"/>
    </row>
    <row r="4847" spans="1:1">
      <c r="A4847" s="6"/>
    </row>
    <row r="4848" spans="1:1">
      <c r="A4848" s="6"/>
    </row>
    <row r="4849" spans="1:1">
      <c r="A4849" s="6"/>
    </row>
    <row r="4850" spans="1:1">
      <c r="A4850" s="6"/>
    </row>
    <row r="4851" spans="1:1">
      <c r="A4851" s="6"/>
    </row>
    <row r="4852" spans="1:1">
      <c r="A4852" s="6"/>
    </row>
    <row r="4853" spans="1:1">
      <c r="A4853" s="6"/>
    </row>
    <row r="4854" spans="1:1">
      <c r="A4854" s="6"/>
    </row>
    <row r="4855" spans="1:1">
      <c r="A4855" s="6"/>
    </row>
    <row r="4856" spans="1:1">
      <c r="A4856" s="6"/>
    </row>
    <row r="4857" spans="1:1">
      <c r="A4857" s="6"/>
    </row>
    <row r="4858" spans="1:1">
      <c r="A4858" s="6"/>
    </row>
    <row r="4859" spans="1:1">
      <c r="A4859" s="6"/>
    </row>
    <row r="4860" spans="1:1">
      <c r="A4860" s="6"/>
    </row>
    <row r="4861" spans="1:1">
      <c r="A4861" s="6"/>
    </row>
    <row r="4862" spans="1:1">
      <c r="A4862" s="6"/>
    </row>
    <row r="4863" spans="1:1">
      <c r="A4863" s="6"/>
    </row>
    <row r="4864" spans="1:1">
      <c r="A4864" s="6"/>
    </row>
    <row r="4865" spans="1:1">
      <c r="A4865" s="6"/>
    </row>
    <row r="4866" spans="1:1">
      <c r="A4866" s="6"/>
    </row>
    <row r="4867" spans="1:1">
      <c r="A4867" s="6"/>
    </row>
    <row r="4868" spans="1:1">
      <c r="A4868" s="6"/>
    </row>
    <row r="4869" spans="1:1">
      <c r="A4869" s="6"/>
    </row>
    <row r="4870" spans="1:1">
      <c r="A4870" s="6"/>
    </row>
    <row r="4871" spans="1:1">
      <c r="A4871" s="6"/>
    </row>
    <row r="4872" spans="1:1">
      <c r="A4872" s="6"/>
    </row>
    <row r="4873" spans="1:1">
      <c r="A4873" s="6"/>
    </row>
    <row r="4874" spans="1:1">
      <c r="A4874" s="6"/>
    </row>
    <row r="4875" spans="1:1">
      <c r="A4875" s="6"/>
    </row>
    <row r="4876" spans="1:1">
      <c r="A4876" s="6"/>
    </row>
    <row r="4877" spans="1:1">
      <c r="A4877" s="6"/>
    </row>
    <row r="4878" spans="1:1">
      <c r="A4878" s="6"/>
    </row>
    <row r="4879" spans="1:1">
      <c r="A4879" s="6"/>
    </row>
    <row r="4880" spans="1:1">
      <c r="A4880" s="6"/>
    </row>
    <row r="4881" spans="1:1">
      <c r="A4881" s="6"/>
    </row>
    <row r="4882" spans="1:1">
      <c r="A4882" s="6"/>
    </row>
    <row r="4883" spans="1:1">
      <c r="A4883" s="6"/>
    </row>
    <row r="4884" spans="1:1">
      <c r="A4884" s="6"/>
    </row>
    <row r="4885" spans="1:1">
      <c r="A4885" s="6"/>
    </row>
    <row r="4886" spans="1:1">
      <c r="A4886" s="6"/>
    </row>
    <row r="4887" spans="1:1">
      <c r="A4887" s="6"/>
    </row>
    <row r="4888" spans="1:1">
      <c r="A4888" s="6"/>
    </row>
    <row r="4889" spans="1:1">
      <c r="A4889" s="6"/>
    </row>
    <row r="4890" spans="1:1">
      <c r="A4890" s="6"/>
    </row>
    <row r="4891" spans="1:1">
      <c r="A4891" s="6"/>
    </row>
    <row r="4892" spans="1:1">
      <c r="A4892" s="6"/>
    </row>
    <row r="4893" spans="1:1">
      <c r="A4893" s="6"/>
    </row>
    <row r="4894" spans="1:1">
      <c r="A4894" s="6"/>
    </row>
    <row r="4895" spans="1:1">
      <c r="A4895" s="6"/>
    </row>
    <row r="4896" spans="1:1">
      <c r="A4896" s="6"/>
    </row>
    <row r="4897" spans="1:1">
      <c r="A4897" s="6"/>
    </row>
    <row r="4898" spans="1:1">
      <c r="A4898" s="6"/>
    </row>
    <row r="4899" spans="1:1">
      <c r="A4899" s="6"/>
    </row>
    <row r="4900" spans="1:1">
      <c r="A4900" s="6"/>
    </row>
    <row r="4901" spans="1:1">
      <c r="A4901" s="6"/>
    </row>
    <row r="4902" spans="1:1">
      <c r="A4902" s="6"/>
    </row>
    <row r="4903" spans="1:1">
      <c r="A4903" s="6"/>
    </row>
    <row r="4904" spans="1:1">
      <c r="A4904" s="6"/>
    </row>
    <row r="4905" spans="1:1">
      <c r="A4905" s="6"/>
    </row>
    <row r="4906" spans="1:1">
      <c r="A4906" s="6"/>
    </row>
    <row r="4907" spans="1:1">
      <c r="A4907" s="6"/>
    </row>
    <row r="4908" spans="1:1">
      <c r="A4908" s="6"/>
    </row>
    <row r="4909" spans="1:1">
      <c r="A4909" s="6"/>
    </row>
    <row r="4910" spans="1:1">
      <c r="A4910" s="6"/>
    </row>
    <row r="4911" spans="1:1">
      <c r="A4911" s="6"/>
    </row>
    <row r="4912" spans="1:1">
      <c r="A4912" s="6"/>
    </row>
    <row r="4913" spans="1:1">
      <c r="A4913" s="6"/>
    </row>
    <row r="4914" spans="1:1">
      <c r="A4914" s="6"/>
    </row>
    <row r="4915" spans="1:1">
      <c r="A4915" s="6"/>
    </row>
    <row r="4916" spans="1:1">
      <c r="A4916" s="6"/>
    </row>
    <row r="4917" spans="1:1">
      <c r="A4917" s="6"/>
    </row>
    <row r="4918" spans="1:1">
      <c r="A4918" s="6"/>
    </row>
    <row r="4919" spans="1:1">
      <c r="A4919" s="6"/>
    </row>
    <row r="4920" spans="1:1">
      <c r="A4920" s="6"/>
    </row>
    <row r="4921" spans="1:1">
      <c r="A4921" s="6"/>
    </row>
    <row r="4922" spans="1:1">
      <c r="A4922" s="6"/>
    </row>
    <row r="4923" spans="1:1">
      <c r="A4923" s="6"/>
    </row>
    <row r="4924" spans="1:1">
      <c r="A4924" s="6"/>
    </row>
    <row r="4925" spans="1:1">
      <c r="A4925" s="6"/>
    </row>
    <row r="4926" spans="1:1">
      <c r="A4926" s="6"/>
    </row>
    <row r="4927" spans="1:1">
      <c r="A4927" s="6"/>
    </row>
    <row r="4928" spans="1:1">
      <c r="A4928" s="6"/>
    </row>
    <row r="4929" spans="1:1">
      <c r="A4929" s="6"/>
    </row>
    <row r="4930" spans="1:1">
      <c r="A4930" s="6"/>
    </row>
    <row r="4931" spans="1:1">
      <c r="A4931" s="6"/>
    </row>
    <row r="4932" spans="1:1">
      <c r="A4932" s="6"/>
    </row>
    <row r="4933" spans="1:1">
      <c r="A4933" s="6"/>
    </row>
    <row r="4934" spans="1:1">
      <c r="A4934" s="6"/>
    </row>
    <row r="4935" spans="1:1">
      <c r="A4935" s="6"/>
    </row>
    <row r="4936" spans="1:1">
      <c r="A4936" s="6"/>
    </row>
    <row r="4937" spans="1:1">
      <c r="A4937" s="6"/>
    </row>
    <row r="4938" spans="1:1">
      <c r="A4938" s="6"/>
    </row>
    <row r="4939" spans="1:1">
      <c r="A4939" s="6"/>
    </row>
    <row r="4940" spans="1:1">
      <c r="A4940" s="6"/>
    </row>
    <row r="4941" spans="1:1">
      <c r="A4941" s="6"/>
    </row>
    <row r="4942" spans="1:1">
      <c r="A4942" s="6"/>
    </row>
    <row r="4943" spans="1:1">
      <c r="A4943" s="6"/>
    </row>
    <row r="4944" spans="1:1">
      <c r="A4944" s="6"/>
    </row>
    <row r="4945" spans="1:1">
      <c r="A4945" s="6"/>
    </row>
    <row r="4946" spans="1:1">
      <c r="A4946" s="6"/>
    </row>
    <row r="4947" spans="1:1">
      <c r="A4947" s="6"/>
    </row>
    <row r="4948" spans="1:1">
      <c r="A4948" s="6"/>
    </row>
    <row r="4949" spans="1:1">
      <c r="A4949" s="6"/>
    </row>
    <row r="4950" spans="1:1">
      <c r="A4950" s="6"/>
    </row>
    <row r="4951" spans="1:1">
      <c r="A4951" s="6"/>
    </row>
    <row r="4952" spans="1:1">
      <c r="A4952" s="6"/>
    </row>
    <row r="4953" spans="1:1">
      <c r="A4953" s="6"/>
    </row>
    <row r="4954" spans="1:1">
      <c r="A4954" s="6"/>
    </row>
    <row r="4955" spans="1:1">
      <c r="A4955" s="6"/>
    </row>
    <row r="4956" spans="1:1">
      <c r="A4956" s="6"/>
    </row>
    <row r="4957" spans="1:1">
      <c r="A4957" s="6"/>
    </row>
    <row r="4958" spans="1:1">
      <c r="A4958" s="6"/>
    </row>
    <row r="4959" spans="1:1">
      <c r="A4959" s="6"/>
    </row>
    <row r="4960" spans="1:1">
      <c r="A4960" s="6"/>
    </row>
    <row r="4961" spans="1:1">
      <c r="A4961" s="6"/>
    </row>
    <row r="4962" spans="1:1">
      <c r="A4962" s="6"/>
    </row>
    <row r="4963" spans="1:1">
      <c r="A4963" s="6"/>
    </row>
    <row r="4964" spans="1:1">
      <c r="A4964" s="6"/>
    </row>
    <row r="4965" spans="1:1">
      <c r="A4965" s="6"/>
    </row>
    <row r="4966" spans="1:1">
      <c r="A4966" s="6"/>
    </row>
    <row r="4967" spans="1:1">
      <c r="A4967" s="6"/>
    </row>
    <row r="4968" spans="1:1">
      <c r="A4968" s="6"/>
    </row>
    <row r="4969" spans="1:1">
      <c r="A4969" s="6"/>
    </row>
    <row r="4970" spans="1:1">
      <c r="A4970" s="6"/>
    </row>
    <row r="4971" spans="1:1">
      <c r="A4971" s="6"/>
    </row>
    <row r="4972" spans="1:1">
      <c r="A4972" s="6"/>
    </row>
    <row r="4973" spans="1:1">
      <c r="A4973" s="6"/>
    </row>
    <row r="4974" spans="1:1">
      <c r="A4974" s="6"/>
    </row>
    <row r="4975" spans="1:1">
      <c r="A4975" s="6"/>
    </row>
    <row r="4976" spans="1:1">
      <c r="A4976" s="6"/>
    </row>
    <row r="4977" spans="1:1">
      <c r="A4977" s="6"/>
    </row>
    <row r="4978" spans="1:1">
      <c r="A4978" s="6"/>
    </row>
    <row r="4979" spans="1:1">
      <c r="A4979" s="6"/>
    </row>
    <row r="4980" spans="1:1">
      <c r="A4980" s="6"/>
    </row>
    <row r="4981" spans="1:1">
      <c r="A4981" s="6"/>
    </row>
    <row r="4982" spans="1:1">
      <c r="A4982" s="6"/>
    </row>
    <row r="4983" spans="1:1">
      <c r="A4983" s="6"/>
    </row>
    <row r="4984" spans="1:1">
      <c r="A4984" s="6"/>
    </row>
    <row r="4985" spans="1:1">
      <c r="A4985" s="6"/>
    </row>
    <row r="4986" spans="1:1">
      <c r="A4986" s="6"/>
    </row>
    <row r="4987" spans="1:1">
      <c r="A4987" s="6"/>
    </row>
    <row r="4988" spans="1:1">
      <c r="A4988" s="6"/>
    </row>
    <row r="4989" spans="1:1">
      <c r="A4989" s="6"/>
    </row>
    <row r="4990" spans="1:1">
      <c r="A4990" s="6"/>
    </row>
    <row r="4991" spans="1:1">
      <c r="A4991" s="6"/>
    </row>
    <row r="4992" spans="1:1">
      <c r="A4992" s="6"/>
    </row>
    <row r="4993" spans="1:1">
      <c r="A4993" s="6"/>
    </row>
    <row r="4994" spans="1:1">
      <c r="A4994" s="6"/>
    </row>
    <row r="4995" spans="1:1">
      <c r="A4995" s="6"/>
    </row>
    <row r="4996" spans="1:1">
      <c r="A4996" s="6"/>
    </row>
    <row r="4997" spans="1:1">
      <c r="A4997" s="6"/>
    </row>
    <row r="4998" spans="1:1">
      <c r="A4998" s="6"/>
    </row>
    <row r="4999" spans="1:1">
      <c r="A4999" s="6"/>
    </row>
    <row r="5000" spans="1:1">
      <c r="A5000" s="6"/>
    </row>
    <row r="5001" spans="1:1">
      <c r="A5001" s="6"/>
    </row>
    <row r="5002" spans="1:1">
      <c r="A5002" s="6"/>
    </row>
    <row r="5003" spans="1:1">
      <c r="A5003" s="6"/>
    </row>
    <row r="5004" spans="1:1">
      <c r="A5004" s="6"/>
    </row>
    <row r="5005" spans="1:1">
      <c r="A5005" s="6"/>
    </row>
    <row r="5006" spans="1:1">
      <c r="A5006" s="6"/>
    </row>
    <row r="5007" spans="1:1">
      <c r="A5007" s="6"/>
    </row>
    <row r="5008" spans="1:1">
      <c r="A5008" s="6"/>
    </row>
    <row r="5009" spans="1:1">
      <c r="A5009" s="6"/>
    </row>
    <row r="5010" spans="1:1">
      <c r="A5010" s="6"/>
    </row>
    <row r="5011" spans="1:1">
      <c r="A5011" s="6"/>
    </row>
    <row r="5012" spans="1:1">
      <c r="A5012" s="6"/>
    </row>
    <row r="5013" spans="1:1">
      <c r="A5013" s="6"/>
    </row>
    <row r="5014" spans="1:1">
      <c r="A5014" s="6"/>
    </row>
    <row r="5015" spans="1:1">
      <c r="A5015" s="6"/>
    </row>
    <row r="5016" spans="1:1">
      <c r="A5016" s="6"/>
    </row>
    <row r="5017" spans="1:1">
      <c r="A5017" s="6"/>
    </row>
    <row r="5018" spans="1:1">
      <c r="A5018" s="6"/>
    </row>
    <row r="5019" spans="1:1">
      <c r="A5019" s="6"/>
    </row>
    <row r="5020" spans="1:1">
      <c r="A5020" s="6"/>
    </row>
    <row r="5021" spans="1:1">
      <c r="A5021" s="6"/>
    </row>
    <row r="5022" spans="1:1">
      <c r="A5022" s="6"/>
    </row>
    <row r="5023" spans="1:1">
      <c r="A5023" s="6"/>
    </row>
    <row r="5024" spans="1:1">
      <c r="A5024" s="6"/>
    </row>
    <row r="5025" spans="1:1">
      <c r="A5025" s="6"/>
    </row>
    <row r="5026" spans="1:1">
      <c r="A5026" s="6"/>
    </row>
    <row r="5027" spans="1:1">
      <c r="A5027" s="6"/>
    </row>
    <row r="5028" spans="1:1">
      <c r="A5028" s="6"/>
    </row>
    <row r="5029" spans="1:1">
      <c r="A5029" s="6"/>
    </row>
    <row r="5030" spans="1:1">
      <c r="A5030" s="6"/>
    </row>
    <row r="5031" spans="1:1">
      <c r="A5031" s="6"/>
    </row>
    <row r="5032" spans="1:1">
      <c r="A5032" s="6"/>
    </row>
    <row r="5033" spans="1:1">
      <c r="A5033" s="6"/>
    </row>
    <row r="5034" spans="1:1">
      <c r="A5034" s="6"/>
    </row>
    <row r="5035" spans="1:1">
      <c r="A5035" s="6"/>
    </row>
    <row r="5036" spans="1:1">
      <c r="A5036" s="6"/>
    </row>
    <row r="5037" spans="1:1">
      <c r="A5037" s="6"/>
    </row>
    <row r="5038" spans="1:1">
      <c r="A5038" s="6"/>
    </row>
    <row r="5039" spans="1:1">
      <c r="A5039" s="6"/>
    </row>
    <row r="5040" spans="1:1">
      <c r="A5040" s="6"/>
    </row>
    <row r="5041" spans="1:1">
      <c r="A5041" s="6"/>
    </row>
    <row r="5042" spans="1:1">
      <c r="A5042" s="6"/>
    </row>
    <row r="5043" spans="1:1">
      <c r="A5043" s="6"/>
    </row>
    <row r="5044" spans="1:1">
      <c r="A5044" s="6"/>
    </row>
    <row r="5045" spans="1:1">
      <c r="A5045" s="6"/>
    </row>
    <row r="5046" spans="1:1">
      <c r="A5046" s="6"/>
    </row>
    <row r="5047" spans="1:1">
      <c r="A5047" s="6"/>
    </row>
    <row r="5048" spans="1:1">
      <c r="A5048" s="6"/>
    </row>
    <row r="5049" spans="1:1">
      <c r="A5049" s="6"/>
    </row>
    <row r="5050" spans="1:1">
      <c r="A5050" s="6"/>
    </row>
    <row r="5051" spans="1:1">
      <c r="A5051" s="6"/>
    </row>
    <row r="5052" spans="1:1">
      <c r="A5052" s="6"/>
    </row>
    <row r="5053" spans="1:1">
      <c r="A5053" s="6"/>
    </row>
    <row r="5054" spans="1:1">
      <c r="A5054" s="6"/>
    </row>
    <row r="5055" spans="1:1">
      <c r="A5055" s="6"/>
    </row>
    <row r="5056" spans="1:1">
      <c r="A5056" s="6"/>
    </row>
    <row r="5057" spans="1:1">
      <c r="A5057" s="6"/>
    </row>
    <row r="5058" spans="1:1">
      <c r="A5058" s="6"/>
    </row>
    <row r="5059" spans="1:1">
      <c r="A5059" s="6"/>
    </row>
    <row r="5060" spans="1:1">
      <c r="A5060" s="6"/>
    </row>
    <row r="5061" spans="1:1">
      <c r="A5061" s="6"/>
    </row>
    <row r="5062" spans="1:1">
      <c r="A5062" s="6"/>
    </row>
    <row r="5063" spans="1:1">
      <c r="A5063" s="6"/>
    </row>
    <row r="5064" spans="1:1">
      <c r="A5064" s="6"/>
    </row>
    <row r="5065" spans="1:1">
      <c r="A5065" s="6"/>
    </row>
    <row r="5066" spans="1:1">
      <c r="A5066" s="6"/>
    </row>
    <row r="5067" spans="1:1">
      <c r="A5067" s="6"/>
    </row>
    <row r="5068" spans="1:1">
      <c r="A5068" s="6"/>
    </row>
    <row r="5069" spans="1:1">
      <c r="A5069" s="6"/>
    </row>
    <row r="5070" spans="1:1">
      <c r="A5070" s="6"/>
    </row>
    <row r="5071" spans="1:1">
      <c r="A5071" s="6"/>
    </row>
    <row r="5072" spans="1:1">
      <c r="A5072" s="6"/>
    </row>
    <row r="5073" spans="1:1">
      <c r="A5073" s="6"/>
    </row>
    <row r="5074" spans="1:1">
      <c r="A5074" s="6"/>
    </row>
    <row r="5075" spans="1:1">
      <c r="A5075" s="6"/>
    </row>
    <row r="5076" spans="1:1">
      <c r="A5076" s="6"/>
    </row>
    <row r="5077" spans="1:1">
      <c r="A5077" s="6"/>
    </row>
    <row r="5078" spans="1:1">
      <c r="A5078" s="6"/>
    </row>
    <row r="5079" spans="1:1">
      <c r="A5079" s="6"/>
    </row>
    <row r="5080" spans="1:1">
      <c r="A5080" s="6"/>
    </row>
    <row r="5081" spans="1:1">
      <c r="A5081" s="6"/>
    </row>
    <row r="5082" spans="1:1">
      <c r="A5082" s="6"/>
    </row>
    <row r="5083" spans="1:1">
      <c r="A5083" s="6"/>
    </row>
    <row r="5084" spans="1:1">
      <c r="A5084" s="6"/>
    </row>
    <row r="5085" spans="1:1">
      <c r="A5085" s="6"/>
    </row>
    <row r="5086" spans="1:1">
      <c r="A5086" s="6"/>
    </row>
    <row r="5087" spans="1:1">
      <c r="A5087" s="6"/>
    </row>
    <row r="5088" spans="1:1">
      <c r="A5088" s="6"/>
    </row>
    <row r="5089" spans="1:1">
      <c r="A5089" s="6"/>
    </row>
    <row r="5090" spans="1:1">
      <c r="A5090" s="6"/>
    </row>
    <row r="5091" spans="1:1">
      <c r="A5091" s="6"/>
    </row>
    <row r="5092" spans="1:1">
      <c r="A5092" s="6"/>
    </row>
    <row r="5093" spans="1:1">
      <c r="A5093" s="6"/>
    </row>
    <row r="5094" spans="1:1">
      <c r="A5094" s="6"/>
    </row>
    <row r="5095" spans="1:1">
      <c r="A5095" s="6"/>
    </row>
    <row r="5096" spans="1:1">
      <c r="A5096" s="6"/>
    </row>
    <row r="5097" spans="1:1">
      <c r="A5097" s="6"/>
    </row>
    <row r="5098" spans="1:1">
      <c r="A5098" s="6"/>
    </row>
    <row r="5099" spans="1:1">
      <c r="A5099" s="6"/>
    </row>
    <row r="5100" spans="1:1">
      <c r="A5100" s="6"/>
    </row>
    <row r="5101" spans="1:1">
      <c r="A5101" s="6"/>
    </row>
    <row r="5102" spans="1:1">
      <c r="A5102" s="6"/>
    </row>
    <row r="5103" spans="1:1">
      <c r="A5103" s="6"/>
    </row>
    <row r="5104" spans="1:1">
      <c r="A5104" s="6"/>
    </row>
    <row r="5105" spans="1:1">
      <c r="A5105" s="6"/>
    </row>
    <row r="5106" spans="1:1">
      <c r="A5106" s="6"/>
    </row>
    <row r="5107" spans="1:1">
      <c r="A5107" s="6"/>
    </row>
    <row r="5108" spans="1:1">
      <c r="A5108" s="6"/>
    </row>
    <row r="5109" spans="1:1">
      <c r="A5109" s="6"/>
    </row>
    <row r="5110" spans="1:1">
      <c r="A5110" s="6"/>
    </row>
    <row r="5111" spans="1:1">
      <c r="A5111" s="6"/>
    </row>
    <row r="5112" spans="1:1">
      <c r="A5112" s="6"/>
    </row>
    <row r="5113" spans="1:1">
      <c r="A5113" s="6"/>
    </row>
    <row r="5114" spans="1:1">
      <c r="A5114" s="6"/>
    </row>
    <row r="5115" spans="1:1">
      <c r="A5115" s="6"/>
    </row>
    <row r="5116" spans="1:1">
      <c r="A5116" s="6"/>
    </row>
    <row r="5117" spans="1:1">
      <c r="A5117" s="6"/>
    </row>
    <row r="5118" spans="1:1">
      <c r="A5118" s="6"/>
    </row>
    <row r="5119" spans="1:1">
      <c r="A5119" s="6"/>
    </row>
    <row r="5120" spans="1:1">
      <c r="A5120" s="6"/>
    </row>
    <row r="5121" spans="1:1">
      <c r="A5121" s="6"/>
    </row>
    <row r="5122" spans="1:1">
      <c r="A5122" s="6"/>
    </row>
    <row r="5123" spans="1:1">
      <c r="A5123" s="6"/>
    </row>
    <row r="5124" spans="1:1">
      <c r="A5124" s="6"/>
    </row>
    <row r="5125" spans="1:1">
      <c r="A5125" s="6"/>
    </row>
    <row r="5126" spans="1:1">
      <c r="A5126" s="6"/>
    </row>
    <row r="5127" spans="1:1">
      <c r="A5127" s="6"/>
    </row>
    <row r="5128" spans="1:1">
      <c r="A5128" s="6"/>
    </row>
    <row r="5129" spans="1:1">
      <c r="A5129" s="6"/>
    </row>
    <row r="5130" spans="1:1">
      <c r="A5130" s="6"/>
    </row>
    <row r="5131" spans="1:1">
      <c r="A5131" s="6"/>
    </row>
    <row r="5132" spans="1:1">
      <c r="A5132" s="6"/>
    </row>
    <row r="5133" spans="1:1">
      <c r="A5133" s="6"/>
    </row>
    <row r="5134" spans="1:1">
      <c r="A5134" s="6"/>
    </row>
    <row r="5135" spans="1:1">
      <c r="A5135" s="6"/>
    </row>
    <row r="5136" spans="1:1">
      <c r="A5136" s="6"/>
    </row>
    <row r="5137" spans="1:1">
      <c r="A5137" s="6"/>
    </row>
    <row r="5138" spans="1:1">
      <c r="A5138" s="6"/>
    </row>
    <row r="5139" spans="1:1">
      <c r="A5139" s="6"/>
    </row>
    <row r="5140" spans="1:1">
      <c r="A5140" s="6"/>
    </row>
    <row r="5141" spans="1:1">
      <c r="A5141" s="6"/>
    </row>
    <row r="5142" spans="1:1">
      <c r="A5142" s="6"/>
    </row>
    <row r="5143" spans="1:1">
      <c r="A5143" s="6"/>
    </row>
    <row r="5144" spans="1:1">
      <c r="A5144" s="6"/>
    </row>
    <row r="5145" spans="1:1">
      <c r="A5145" s="6"/>
    </row>
    <row r="5146" spans="1:1">
      <c r="A5146" s="6"/>
    </row>
    <row r="5147" spans="1:1">
      <c r="A5147" s="6"/>
    </row>
    <row r="5148" spans="1:1">
      <c r="A5148" s="6"/>
    </row>
    <row r="5149" spans="1:1">
      <c r="A5149" s="6"/>
    </row>
    <row r="5150" spans="1:1">
      <c r="A5150" s="6"/>
    </row>
    <row r="5151" spans="1:1">
      <c r="A5151" s="6"/>
    </row>
    <row r="5152" spans="1:1">
      <c r="A5152" s="6"/>
    </row>
    <row r="5153" spans="1:1">
      <c r="A5153" s="6"/>
    </row>
    <row r="5154" spans="1:1">
      <c r="A5154" s="6"/>
    </row>
    <row r="5155" spans="1:1">
      <c r="A5155" s="6"/>
    </row>
    <row r="5156" spans="1:1">
      <c r="A5156" s="6"/>
    </row>
    <row r="5157" spans="1:1">
      <c r="A5157" s="6"/>
    </row>
    <row r="5158" spans="1:1">
      <c r="A5158" s="6"/>
    </row>
    <row r="5159" spans="1:1">
      <c r="A5159" s="6"/>
    </row>
    <row r="5160" spans="1:1">
      <c r="A5160" s="6"/>
    </row>
    <row r="5161" spans="1:1">
      <c r="A5161" s="6"/>
    </row>
    <row r="5162" spans="1:1">
      <c r="A5162" s="6"/>
    </row>
    <row r="5163" spans="1:1">
      <c r="A5163" s="6"/>
    </row>
    <row r="5164" spans="1:1">
      <c r="A5164" s="6"/>
    </row>
    <row r="5165" spans="1:1">
      <c r="A5165" s="6"/>
    </row>
    <row r="5166" spans="1:1">
      <c r="A5166" s="6"/>
    </row>
    <row r="5167" spans="1:1">
      <c r="A5167" s="6"/>
    </row>
    <row r="5168" spans="1:1">
      <c r="A5168" s="6"/>
    </row>
    <row r="5169" spans="1:1">
      <c r="A5169" s="6"/>
    </row>
    <row r="5170" spans="1:1">
      <c r="A5170" s="6"/>
    </row>
    <row r="5171" spans="1:1">
      <c r="A5171" s="6"/>
    </row>
    <row r="5172" spans="1:1">
      <c r="A5172" s="6"/>
    </row>
    <row r="5173" spans="1:1">
      <c r="A5173" s="6"/>
    </row>
    <row r="5174" spans="1:1">
      <c r="A5174" s="6"/>
    </row>
    <row r="5175" spans="1:1">
      <c r="A5175" s="6"/>
    </row>
    <row r="5176" spans="1:1">
      <c r="A5176" s="6"/>
    </row>
    <row r="5177" spans="1:1">
      <c r="A5177" s="6"/>
    </row>
    <row r="5178" spans="1:1">
      <c r="A5178" s="6"/>
    </row>
    <row r="5179" spans="1:1">
      <c r="A5179" s="6"/>
    </row>
    <row r="5180" spans="1:1">
      <c r="A5180" s="6"/>
    </row>
    <row r="5181" spans="1:1">
      <c r="A5181" s="6"/>
    </row>
    <row r="5182" spans="1:1">
      <c r="A5182" s="6"/>
    </row>
    <row r="5183" spans="1:1">
      <c r="A5183" s="6"/>
    </row>
    <row r="5184" spans="1:1">
      <c r="A5184" s="6"/>
    </row>
    <row r="5185" spans="1:1">
      <c r="A5185" s="6"/>
    </row>
    <row r="5186" spans="1:1">
      <c r="A5186" s="6"/>
    </row>
    <row r="5187" spans="1:1">
      <c r="A5187" s="6"/>
    </row>
    <row r="5188" spans="1:1">
      <c r="A5188" s="6"/>
    </row>
    <row r="5189" spans="1:1">
      <c r="A5189" s="6"/>
    </row>
    <row r="5190" spans="1:1">
      <c r="A5190" s="6"/>
    </row>
    <row r="5191" spans="1:1">
      <c r="A5191" s="6"/>
    </row>
    <row r="5192" spans="1:1">
      <c r="A5192" s="6"/>
    </row>
    <row r="5193" spans="1:1">
      <c r="A5193" s="6"/>
    </row>
    <row r="5194" spans="1:1">
      <c r="A5194" s="6"/>
    </row>
    <row r="5195" spans="1:1">
      <c r="A5195" s="6"/>
    </row>
    <row r="5196" spans="1:1">
      <c r="A5196" s="6"/>
    </row>
    <row r="5197" spans="1:1">
      <c r="A5197" s="6"/>
    </row>
    <row r="5198" spans="1:1">
      <c r="A5198" s="6"/>
    </row>
    <row r="5199" spans="1:1">
      <c r="A5199" s="6"/>
    </row>
    <row r="5200" spans="1:1">
      <c r="A5200" s="6"/>
    </row>
    <row r="5201" spans="1:1">
      <c r="A5201" s="6"/>
    </row>
    <row r="5202" spans="1:1">
      <c r="A5202" s="6"/>
    </row>
    <row r="5203" spans="1:1">
      <c r="A5203" s="6"/>
    </row>
    <row r="5204" spans="1:1">
      <c r="A5204" s="6"/>
    </row>
    <row r="5205" spans="1:1">
      <c r="A5205" s="6"/>
    </row>
    <row r="5206" spans="1:1">
      <c r="A5206" s="6"/>
    </row>
    <row r="5207" spans="1:1">
      <c r="A5207" s="6"/>
    </row>
    <row r="5208" spans="1:1">
      <c r="A5208" s="6"/>
    </row>
    <row r="5209" spans="1:1">
      <c r="A5209" s="6"/>
    </row>
    <row r="5210" spans="1:1">
      <c r="A5210" s="6"/>
    </row>
    <row r="5211" spans="1:1">
      <c r="A5211" s="6"/>
    </row>
    <row r="5212" spans="1:1">
      <c r="A5212" s="6"/>
    </row>
    <row r="5213" spans="1:1">
      <c r="A5213" s="6"/>
    </row>
    <row r="5214" spans="1:1">
      <c r="A5214" s="6"/>
    </row>
    <row r="5215" spans="1:1">
      <c r="A5215" s="6"/>
    </row>
    <row r="5216" spans="1:1">
      <c r="A5216" s="6"/>
    </row>
    <row r="5217" spans="1:1">
      <c r="A5217" s="6"/>
    </row>
    <row r="5218" spans="1:1">
      <c r="A5218" s="6"/>
    </row>
    <row r="5219" spans="1:1">
      <c r="A5219" s="6"/>
    </row>
    <row r="5220" spans="1:1">
      <c r="A5220" s="6"/>
    </row>
    <row r="5221" spans="1:1">
      <c r="A5221" s="6"/>
    </row>
    <row r="5222" spans="1:1">
      <c r="A5222" s="6"/>
    </row>
    <row r="5223" spans="1:1">
      <c r="A5223" s="6"/>
    </row>
    <row r="5224" spans="1:1">
      <c r="A5224" s="6"/>
    </row>
    <row r="5225" spans="1:1">
      <c r="A5225" s="6"/>
    </row>
    <row r="5226" spans="1:1">
      <c r="A5226" s="6"/>
    </row>
    <row r="5227" spans="1:1">
      <c r="A5227" s="6"/>
    </row>
    <row r="5228" spans="1:1">
      <c r="A5228" s="6"/>
    </row>
    <row r="5229" spans="1:1">
      <c r="A5229" s="6"/>
    </row>
    <row r="5230" spans="1:1">
      <c r="A5230" s="6"/>
    </row>
    <row r="5231" spans="1:1">
      <c r="A5231" s="6"/>
    </row>
    <row r="5232" spans="1:1">
      <c r="A5232" s="6"/>
    </row>
    <row r="5233" spans="1:1">
      <c r="A5233" s="6"/>
    </row>
    <row r="5234" spans="1:1">
      <c r="A5234" s="6"/>
    </row>
    <row r="5235" spans="1:1">
      <c r="A5235" s="6"/>
    </row>
    <row r="5236" spans="1:1">
      <c r="A5236" s="6"/>
    </row>
    <row r="5237" spans="1:1">
      <c r="A5237" s="6"/>
    </row>
    <row r="5238" spans="1:1">
      <c r="A5238" s="6"/>
    </row>
    <row r="5239" spans="1:1">
      <c r="A5239" s="6"/>
    </row>
    <row r="5240" spans="1:1">
      <c r="A5240" s="6"/>
    </row>
    <row r="5241" spans="1:1">
      <c r="A5241" s="6"/>
    </row>
    <row r="5242" spans="1:1">
      <c r="A5242" s="6"/>
    </row>
    <row r="5243" spans="1:1">
      <c r="A5243" s="6"/>
    </row>
    <row r="5244" spans="1:1">
      <c r="A5244" s="6"/>
    </row>
    <row r="5245" spans="1:1">
      <c r="A5245" s="6"/>
    </row>
    <row r="5246" spans="1:1">
      <c r="A5246" s="6"/>
    </row>
    <row r="5247" spans="1:1">
      <c r="A5247" s="6"/>
    </row>
    <row r="5248" spans="1:1">
      <c r="A5248" s="6"/>
    </row>
    <row r="5249" spans="1:1">
      <c r="A5249" s="6"/>
    </row>
    <row r="5250" spans="1:1">
      <c r="A5250" s="6"/>
    </row>
    <row r="5251" spans="1:1">
      <c r="A5251" s="6"/>
    </row>
    <row r="5252" spans="1:1">
      <c r="A5252" s="6"/>
    </row>
    <row r="5253" spans="1:1">
      <c r="A5253" s="6"/>
    </row>
    <row r="5254" spans="1:1">
      <c r="A5254" s="6"/>
    </row>
    <row r="5255" spans="1:1">
      <c r="A5255" s="6"/>
    </row>
    <row r="5256" spans="1:1">
      <c r="A5256" s="6"/>
    </row>
    <row r="5257" spans="1:1">
      <c r="A5257" s="6"/>
    </row>
    <row r="5258" spans="1:1">
      <c r="A5258" s="6"/>
    </row>
    <row r="5259" spans="1:1">
      <c r="A5259" s="6"/>
    </row>
    <row r="5260" spans="1:1">
      <c r="A5260" s="6"/>
    </row>
    <row r="5261" spans="1:1">
      <c r="A5261" s="6"/>
    </row>
    <row r="5262" spans="1:1">
      <c r="A5262" s="6"/>
    </row>
    <row r="5263" spans="1:1">
      <c r="A5263" s="6"/>
    </row>
    <row r="5264" spans="1:1">
      <c r="A5264" s="6"/>
    </row>
    <row r="5265" spans="1:1">
      <c r="A5265" s="6"/>
    </row>
    <row r="5266" spans="1:1">
      <c r="A5266" s="6"/>
    </row>
    <row r="5267" spans="1:1">
      <c r="A5267" s="6"/>
    </row>
    <row r="5268" spans="1:1">
      <c r="A5268" s="6"/>
    </row>
    <row r="5269" spans="1:1">
      <c r="A5269" s="6"/>
    </row>
    <row r="5270" spans="1:1">
      <c r="A5270" s="6"/>
    </row>
    <row r="5271" spans="1:1">
      <c r="A5271" s="6"/>
    </row>
    <row r="5272" spans="1:1">
      <c r="A5272" s="6"/>
    </row>
    <row r="5273" spans="1:1">
      <c r="A5273" s="6"/>
    </row>
    <row r="5274" spans="1:1">
      <c r="A5274" s="6"/>
    </row>
    <row r="5275" spans="1:1">
      <c r="A5275" s="6"/>
    </row>
    <row r="5276" spans="1:1">
      <c r="A5276" s="6"/>
    </row>
    <row r="5277" spans="1:1">
      <c r="A5277" s="6"/>
    </row>
    <row r="5278" spans="1:1">
      <c r="A5278" s="6"/>
    </row>
    <row r="5279" spans="1:1">
      <c r="A5279" s="6"/>
    </row>
    <row r="5280" spans="1:1">
      <c r="A5280" s="6"/>
    </row>
    <row r="5281" spans="1:1">
      <c r="A5281" s="6"/>
    </row>
    <row r="5282" spans="1:1">
      <c r="A5282" s="6"/>
    </row>
    <row r="5283" spans="1:1">
      <c r="A5283" s="6"/>
    </row>
    <row r="5284" spans="1:1">
      <c r="A5284" s="6"/>
    </row>
    <row r="5285" spans="1:1">
      <c r="A5285" s="6"/>
    </row>
    <row r="5286" spans="1:1">
      <c r="A5286" s="6"/>
    </row>
    <row r="5287" spans="1:1">
      <c r="A5287" s="6"/>
    </row>
    <row r="5288" spans="1:1">
      <c r="A5288" s="6"/>
    </row>
    <row r="5289" spans="1:1">
      <c r="A5289" s="6"/>
    </row>
    <row r="5290" spans="1:1">
      <c r="A5290" s="6"/>
    </row>
    <row r="5291" spans="1:1">
      <c r="A5291" s="6"/>
    </row>
    <row r="5292" spans="1:1">
      <c r="A5292" s="6"/>
    </row>
    <row r="5293" spans="1:1">
      <c r="A5293" s="6"/>
    </row>
    <row r="5294" spans="1:1">
      <c r="A5294" s="6"/>
    </row>
    <row r="5295" spans="1:1">
      <c r="A5295" s="6"/>
    </row>
    <row r="5296" spans="1:1">
      <c r="A5296" s="6"/>
    </row>
    <row r="5297" spans="1:1">
      <c r="A5297" s="6"/>
    </row>
    <row r="5298" spans="1:1">
      <c r="A5298" s="6"/>
    </row>
    <row r="5299" spans="1:1">
      <c r="A5299" s="6"/>
    </row>
    <row r="5300" spans="1:1">
      <c r="A5300" s="6"/>
    </row>
    <row r="5301" spans="1:1">
      <c r="A5301" s="6"/>
    </row>
    <row r="5302" spans="1:1">
      <c r="A5302" s="6"/>
    </row>
    <row r="5303" spans="1:1">
      <c r="A5303" s="6"/>
    </row>
    <row r="5304" spans="1:1">
      <c r="A5304" s="6"/>
    </row>
    <row r="5305" spans="1:1">
      <c r="A5305" s="6"/>
    </row>
    <row r="5306" spans="1:1">
      <c r="A5306" s="6"/>
    </row>
    <row r="5307" spans="1:1">
      <c r="A5307" s="6"/>
    </row>
    <row r="5308" spans="1:1">
      <c r="A5308" s="6"/>
    </row>
    <row r="5309" spans="1:1">
      <c r="A5309" s="6"/>
    </row>
    <row r="5310" spans="1:1">
      <c r="A5310" s="6"/>
    </row>
    <row r="5311" spans="1:1">
      <c r="A5311" s="6"/>
    </row>
    <row r="5312" spans="1:1">
      <c r="A5312" s="6"/>
    </row>
    <row r="5313" spans="1:1">
      <c r="A5313" s="6"/>
    </row>
    <row r="5314" spans="1:1">
      <c r="A5314" s="6"/>
    </row>
    <row r="5315" spans="1:1">
      <c r="A5315" s="6"/>
    </row>
    <row r="5316" spans="1:1">
      <c r="A5316" s="6"/>
    </row>
    <row r="5317" spans="1:1">
      <c r="A5317" s="6"/>
    </row>
    <row r="5318" spans="1:1">
      <c r="A5318" s="6"/>
    </row>
    <row r="5319" spans="1:1">
      <c r="A5319" s="6"/>
    </row>
    <row r="5320" spans="1:1">
      <c r="A5320" s="6"/>
    </row>
    <row r="5321" spans="1:1">
      <c r="A5321" s="6"/>
    </row>
    <row r="5322" spans="1:1">
      <c r="A5322" s="6"/>
    </row>
    <row r="5323" spans="1:1">
      <c r="A5323" s="6"/>
    </row>
    <row r="5324" spans="1:1">
      <c r="A5324" s="6"/>
    </row>
    <row r="5325" spans="1:1">
      <c r="A5325" s="6"/>
    </row>
    <row r="5326" spans="1:1">
      <c r="A5326" s="6"/>
    </row>
    <row r="5327" spans="1:1">
      <c r="A5327" s="6"/>
    </row>
    <row r="5328" spans="1:1">
      <c r="A5328" s="6"/>
    </row>
    <row r="5329" spans="1:1">
      <c r="A5329" s="6"/>
    </row>
    <row r="5330" spans="1:1">
      <c r="A5330" s="6"/>
    </row>
    <row r="5331" spans="1:1">
      <c r="A5331" s="6"/>
    </row>
    <row r="5332" spans="1:1">
      <c r="A5332" s="6"/>
    </row>
    <row r="5333" spans="1:1">
      <c r="A5333" s="6"/>
    </row>
    <row r="5334" spans="1:1">
      <c r="A5334" s="6"/>
    </row>
    <row r="5335" spans="1:1">
      <c r="A5335" s="6"/>
    </row>
    <row r="5336" spans="1:1">
      <c r="A5336" s="6"/>
    </row>
    <row r="5337" spans="1:1">
      <c r="A5337" s="6"/>
    </row>
    <row r="5338" spans="1:1">
      <c r="A5338" s="6"/>
    </row>
    <row r="5339" spans="1:1">
      <c r="A5339" s="6"/>
    </row>
    <row r="5340" spans="1:1">
      <c r="A5340" s="6"/>
    </row>
    <row r="5341" spans="1:1">
      <c r="A5341" s="6"/>
    </row>
    <row r="5342" spans="1:1">
      <c r="A5342" s="6"/>
    </row>
    <row r="5343" spans="1:1">
      <c r="A5343" s="6"/>
    </row>
    <row r="5344" spans="1:1">
      <c r="A5344" s="6"/>
    </row>
    <row r="5345" spans="1:1">
      <c r="A5345" s="6"/>
    </row>
    <row r="5346" spans="1:1">
      <c r="A5346" s="6"/>
    </row>
    <row r="5347" spans="1:1">
      <c r="A5347" s="6"/>
    </row>
    <row r="5348" spans="1:1">
      <c r="A5348" s="6"/>
    </row>
    <row r="5349" spans="1:1">
      <c r="A5349" s="6"/>
    </row>
    <row r="5350" spans="1:1">
      <c r="A5350" s="6"/>
    </row>
    <row r="5351" spans="1:1">
      <c r="A5351" s="6"/>
    </row>
    <row r="5352" spans="1:1">
      <c r="A5352" s="6"/>
    </row>
    <row r="5353" spans="1:1">
      <c r="A5353" s="6"/>
    </row>
    <row r="5354" spans="1:1">
      <c r="A5354" s="6"/>
    </row>
    <row r="5355" spans="1:1">
      <c r="A5355" s="6"/>
    </row>
    <row r="5356" spans="1:1">
      <c r="A5356" s="6"/>
    </row>
    <row r="5357" spans="1:1">
      <c r="A5357" s="6"/>
    </row>
    <row r="5358" spans="1:1">
      <c r="A5358" s="6"/>
    </row>
    <row r="5359" spans="1:1">
      <c r="A5359" s="6"/>
    </row>
    <row r="5360" spans="1:1">
      <c r="A5360" s="6"/>
    </row>
    <row r="5361" spans="1:1">
      <c r="A5361" s="6"/>
    </row>
    <row r="5362" spans="1:1">
      <c r="A5362" s="6"/>
    </row>
    <row r="5363" spans="1:1">
      <c r="A5363" s="6"/>
    </row>
    <row r="5364" spans="1:1">
      <c r="A5364" s="6"/>
    </row>
    <row r="5365" spans="1:1">
      <c r="A5365" s="6"/>
    </row>
    <row r="5366" spans="1:1">
      <c r="A5366" s="6"/>
    </row>
    <row r="5367" spans="1:1">
      <c r="A5367" s="6"/>
    </row>
    <row r="5368" spans="1:1">
      <c r="A5368" s="6"/>
    </row>
    <row r="5369" spans="1:1">
      <c r="A5369" s="6"/>
    </row>
    <row r="5370" spans="1:1">
      <c r="A5370" s="6"/>
    </row>
    <row r="5371" spans="1:1">
      <c r="A5371" s="6"/>
    </row>
    <row r="5372" spans="1:1">
      <c r="A5372" s="6"/>
    </row>
    <row r="5373" spans="1:1">
      <c r="A5373" s="6"/>
    </row>
    <row r="5374" spans="1:1">
      <c r="A5374" s="6"/>
    </row>
    <row r="5375" spans="1:1">
      <c r="A5375" s="6"/>
    </row>
    <row r="5376" spans="1:1">
      <c r="A5376" s="6"/>
    </row>
    <row r="5377" spans="1:1">
      <c r="A5377" s="6"/>
    </row>
    <row r="5378" spans="1:1">
      <c r="A5378" s="6"/>
    </row>
    <row r="5379" spans="1:1">
      <c r="A5379" s="6"/>
    </row>
    <row r="5380" spans="1:1">
      <c r="A5380" s="6"/>
    </row>
    <row r="5381" spans="1:1">
      <c r="A5381" s="6"/>
    </row>
    <row r="5382" spans="1:1">
      <c r="A5382" s="6"/>
    </row>
    <row r="5383" spans="1:1">
      <c r="A5383" s="6"/>
    </row>
    <row r="5384" spans="1:1">
      <c r="A5384" s="6"/>
    </row>
    <row r="5385" spans="1:1">
      <c r="A5385" s="6"/>
    </row>
    <row r="5386" spans="1:1">
      <c r="A5386" s="6"/>
    </row>
    <row r="5387" spans="1:1">
      <c r="A5387" s="6"/>
    </row>
    <row r="5388" spans="1:1">
      <c r="A5388" s="6"/>
    </row>
    <row r="5389" spans="1:1">
      <c r="A5389" s="6"/>
    </row>
    <row r="5390" spans="1:1">
      <c r="A5390" s="6"/>
    </row>
    <row r="5391" spans="1:1">
      <c r="A5391" s="6"/>
    </row>
    <row r="5392" spans="1:1">
      <c r="A5392" s="6"/>
    </row>
    <row r="5393" spans="1:1">
      <c r="A5393" s="6"/>
    </row>
    <row r="5394" spans="1:1">
      <c r="A5394" s="6"/>
    </row>
    <row r="5395" spans="1:1">
      <c r="A5395" s="6"/>
    </row>
    <row r="5396" spans="1:1">
      <c r="A5396" s="6"/>
    </row>
    <row r="5397" spans="1:1">
      <c r="A5397" s="6"/>
    </row>
    <row r="5398" spans="1:1">
      <c r="A5398" s="6"/>
    </row>
    <row r="5399" spans="1:1">
      <c r="A5399" s="6"/>
    </row>
    <row r="5400" spans="1:1">
      <c r="A5400" s="6"/>
    </row>
    <row r="5401" spans="1:1">
      <c r="A5401" s="6"/>
    </row>
    <row r="5402" spans="1:1">
      <c r="A5402" s="6"/>
    </row>
    <row r="5403" spans="1:1">
      <c r="A5403" s="6"/>
    </row>
    <row r="5404" spans="1:1">
      <c r="A5404" s="6"/>
    </row>
    <row r="5405" spans="1:1">
      <c r="A5405" s="6"/>
    </row>
    <row r="5406" spans="1:1">
      <c r="A5406" s="6"/>
    </row>
    <row r="5407" spans="1:1">
      <c r="A5407" s="6"/>
    </row>
    <row r="5408" spans="1:1">
      <c r="A5408" s="6"/>
    </row>
    <row r="5409" spans="1:1">
      <c r="A5409" s="6"/>
    </row>
    <row r="5410" spans="1:1">
      <c r="A5410" s="6"/>
    </row>
    <row r="5411" spans="1:1">
      <c r="A5411" s="6"/>
    </row>
    <row r="5412" spans="1:1">
      <c r="A5412" s="6"/>
    </row>
    <row r="5413" spans="1:1">
      <c r="A5413" s="6"/>
    </row>
    <row r="5414" spans="1:1">
      <c r="A5414" s="6"/>
    </row>
    <row r="5415" spans="1:1">
      <c r="A5415" s="6"/>
    </row>
    <row r="5416" spans="1:1">
      <c r="A5416" s="6"/>
    </row>
    <row r="5417" spans="1:1">
      <c r="A5417" s="6"/>
    </row>
    <row r="5418" spans="1:1">
      <c r="A5418" s="6"/>
    </row>
    <row r="5419" spans="1:1">
      <c r="A5419" s="6"/>
    </row>
    <row r="5420" spans="1:1">
      <c r="A5420" s="6"/>
    </row>
    <row r="5421" spans="1:1">
      <c r="A5421" s="6"/>
    </row>
    <row r="5422" spans="1:1">
      <c r="A5422" s="6"/>
    </row>
    <row r="5423" spans="1:1">
      <c r="A5423" s="6"/>
    </row>
    <row r="5424" spans="1:1">
      <c r="A5424" s="6"/>
    </row>
    <row r="5425" spans="1:1">
      <c r="A5425" s="6"/>
    </row>
    <row r="5426" spans="1:1">
      <c r="A5426" s="6"/>
    </row>
    <row r="5427" spans="1:1">
      <c r="A5427" s="6"/>
    </row>
    <row r="5428" spans="1:1">
      <c r="A5428" s="6"/>
    </row>
    <row r="5429" spans="1:1">
      <c r="A5429" s="6"/>
    </row>
    <row r="5430" spans="1:1">
      <c r="A5430" s="6"/>
    </row>
    <row r="5431" spans="1:1">
      <c r="A5431" s="6"/>
    </row>
    <row r="5432" spans="1:1">
      <c r="A5432" s="6"/>
    </row>
    <row r="5433" spans="1:1">
      <c r="A5433" s="6"/>
    </row>
    <row r="5434" spans="1:1">
      <c r="A5434" s="6"/>
    </row>
    <row r="5435" spans="1:1">
      <c r="A5435" s="6"/>
    </row>
    <row r="5436" spans="1:1">
      <c r="A5436" s="6"/>
    </row>
    <row r="5437" spans="1:1">
      <c r="A5437" s="6"/>
    </row>
    <row r="5438" spans="1:1">
      <c r="A5438" s="6"/>
    </row>
    <row r="5439" spans="1:1">
      <c r="A5439" s="6"/>
    </row>
    <row r="5440" spans="1:1">
      <c r="A5440" s="6"/>
    </row>
    <row r="5441" spans="1:1">
      <c r="A5441" s="6"/>
    </row>
    <row r="5442" spans="1:1">
      <c r="A5442" s="6"/>
    </row>
    <row r="5443" spans="1:1">
      <c r="A5443" s="6"/>
    </row>
    <row r="5444" spans="1:1">
      <c r="A5444" s="6"/>
    </row>
    <row r="5445" spans="1:1">
      <c r="A5445" s="6"/>
    </row>
    <row r="5446" spans="1:1">
      <c r="A5446" s="6"/>
    </row>
    <row r="5447" spans="1:1">
      <c r="A5447" s="6"/>
    </row>
    <row r="5448" spans="1:1">
      <c r="A5448" s="6"/>
    </row>
    <row r="5449" spans="1:1">
      <c r="A5449" s="6"/>
    </row>
    <row r="5450" spans="1:1">
      <c r="A5450" s="6"/>
    </row>
    <row r="5451" spans="1:1">
      <c r="A5451" s="6"/>
    </row>
    <row r="5452" spans="1:1">
      <c r="A5452" s="6"/>
    </row>
    <row r="5453" spans="1:1">
      <c r="A5453" s="6"/>
    </row>
    <row r="5454" spans="1:1">
      <c r="A5454" s="6"/>
    </row>
    <row r="5455" spans="1:1">
      <c r="A5455" s="6"/>
    </row>
    <row r="5456" spans="1:1">
      <c r="A5456" s="6"/>
    </row>
    <row r="5457" spans="1:1">
      <c r="A5457" s="6"/>
    </row>
    <row r="5458" spans="1:1">
      <c r="A5458" s="6"/>
    </row>
    <row r="5459" spans="1:1">
      <c r="A5459" s="6"/>
    </row>
    <row r="5460" spans="1:1">
      <c r="A5460" s="6"/>
    </row>
    <row r="5461" spans="1:1">
      <c r="A5461" s="6"/>
    </row>
    <row r="5462" spans="1:1">
      <c r="A5462" s="6"/>
    </row>
    <row r="5463" spans="1:1">
      <c r="A5463" s="6"/>
    </row>
    <row r="5464" spans="1:1">
      <c r="A5464" s="6"/>
    </row>
    <row r="5465" spans="1:1">
      <c r="A5465" s="6"/>
    </row>
    <row r="5466" spans="1:1">
      <c r="A5466" s="6"/>
    </row>
    <row r="5467" spans="1:1">
      <c r="A5467" s="6"/>
    </row>
    <row r="5468" spans="1:1">
      <c r="A5468" s="6"/>
    </row>
    <row r="5469" spans="1:1">
      <c r="A5469" s="6"/>
    </row>
    <row r="5470" spans="1:1">
      <c r="A5470" s="6"/>
    </row>
    <row r="5471" spans="1:1">
      <c r="A5471" s="6"/>
    </row>
    <row r="5472" spans="1:1">
      <c r="A5472" s="6"/>
    </row>
    <row r="5473" spans="1:1">
      <c r="A5473" s="6"/>
    </row>
    <row r="5474" spans="1:1">
      <c r="A5474" s="6"/>
    </row>
    <row r="5475" spans="1:1">
      <c r="A5475" s="6"/>
    </row>
    <row r="5476" spans="1:1">
      <c r="A5476" s="6"/>
    </row>
    <row r="5477" spans="1:1">
      <c r="A5477" s="6"/>
    </row>
    <row r="5478" spans="1:1">
      <c r="A5478" s="6"/>
    </row>
    <row r="5479" spans="1:1">
      <c r="A5479" s="6"/>
    </row>
    <row r="5480" spans="1:1">
      <c r="A5480" s="6"/>
    </row>
    <row r="5481" spans="1:1">
      <c r="A5481" s="6"/>
    </row>
    <row r="5482" spans="1:1">
      <c r="A5482" s="6"/>
    </row>
    <row r="5483" spans="1:1">
      <c r="A5483" s="6"/>
    </row>
    <row r="5484" spans="1:1">
      <c r="A5484" s="6"/>
    </row>
    <row r="5485" spans="1:1">
      <c r="A5485" s="6"/>
    </row>
    <row r="5486" spans="1:1">
      <c r="A5486" s="6"/>
    </row>
    <row r="5487" spans="1:1">
      <c r="A5487" s="6"/>
    </row>
    <row r="5488" spans="1:1">
      <c r="A5488" s="6"/>
    </row>
    <row r="5489" spans="1:1">
      <c r="A5489" s="6"/>
    </row>
    <row r="5490" spans="1:1">
      <c r="A5490" s="6"/>
    </row>
    <row r="5491" spans="1:1">
      <c r="A5491" s="6"/>
    </row>
    <row r="5492" spans="1:1">
      <c r="A5492" s="6"/>
    </row>
    <row r="5493" spans="1:1">
      <c r="A5493" s="6"/>
    </row>
    <row r="5494" spans="1:1">
      <c r="A5494" s="6"/>
    </row>
    <row r="5495" spans="1:1">
      <c r="A5495" s="6"/>
    </row>
    <row r="5496" spans="1:1">
      <c r="A5496" s="6"/>
    </row>
    <row r="5497" spans="1:1">
      <c r="A5497" s="6"/>
    </row>
    <row r="5498" spans="1:1">
      <c r="A5498" s="6"/>
    </row>
    <row r="5499" spans="1:1">
      <c r="A5499" s="6"/>
    </row>
    <row r="5500" spans="1:1">
      <c r="A5500" s="6"/>
    </row>
    <row r="5501" spans="1:1">
      <c r="A5501" s="6"/>
    </row>
    <row r="5502" spans="1:1">
      <c r="A5502" s="6"/>
    </row>
    <row r="5503" spans="1:1">
      <c r="A5503" s="6"/>
    </row>
    <row r="5504" spans="1:1">
      <c r="A5504" s="6"/>
    </row>
    <row r="5505" spans="1:1">
      <c r="A5505" s="6"/>
    </row>
    <row r="5506" spans="1:1">
      <c r="A5506" s="6"/>
    </row>
    <row r="5507" spans="1:1">
      <c r="A5507" s="6"/>
    </row>
    <row r="5508" spans="1:1">
      <c r="A5508" s="6"/>
    </row>
    <row r="5509" spans="1:1">
      <c r="A5509" s="6"/>
    </row>
    <row r="5510" spans="1:1">
      <c r="A5510" s="6"/>
    </row>
    <row r="5511" spans="1:1">
      <c r="A5511" s="6"/>
    </row>
    <row r="5512" spans="1:1">
      <c r="A5512" s="6"/>
    </row>
    <row r="5513" spans="1:1">
      <c r="A5513" s="6"/>
    </row>
    <row r="5514" spans="1:1">
      <c r="A5514" s="6"/>
    </row>
    <row r="5515" spans="1:1">
      <c r="A5515" s="6"/>
    </row>
    <row r="5516" spans="1:1">
      <c r="A5516" s="6"/>
    </row>
    <row r="5517" spans="1:1">
      <c r="A5517" s="6"/>
    </row>
    <row r="5518" spans="1:1">
      <c r="A5518" s="6"/>
    </row>
    <row r="5519" spans="1:1">
      <c r="A5519" s="6"/>
    </row>
    <row r="5520" spans="1:1">
      <c r="A5520" s="6"/>
    </row>
    <row r="5521" spans="1:1">
      <c r="A5521" s="6"/>
    </row>
    <row r="5522" spans="1:1">
      <c r="A5522" s="6"/>
    </row>
    <row r="5523" spans="1:1">
      <c r="A5523" s="6"/>
    </row>
    <row r="5524" spans="1:1">
      <c r="A5524" s="6"/>
    </row>
    <row r="5525" spans="1:1">
      <c r="A5525" s="6"/>
    </row>
    <row r="5526" spans="1:1">
      <c r="A5526" s="6"/>
    </row>
    <row r="5527" spans="1:1">
      <c r="A5527" s="6"/>
    </row>
    <row r="5528" spans="1:1">
      <c r="A5528" s="6"/>
    </row>
    <row r="5529" spans="1:1">
      <c r="A5529" s="6"/>
    </row>
    <row r="5530" spans="1:1">
      <c r="A5530" s="6"/>
    </row>
    <row r="5531" spans="1:1">
      <c r="A5531" s="6"/>
    </row>
    <row r="5532" spans="1:1">
      <c r="A5532" s="6"/>
    </row>
    <row r="5533" spans="1:1">
      <c r="A5533" s="6"/>
    </row>
    <row r="5534" spans="1:1">
      <c r="A5534" s="6"/>
    </row>
    <row r="5535" spans="1:1">
      <c r="A5535" s="6"/>
    </row>
    <row r="5536" spans="1:1">
      <c r="A5536" s="6"/>
    </row>
    <row r="5537" spans="1:1">
      <c r="A5537" s="6"/>
    </row>
    <row r="5538" spans="1:1">
      <c r="A5538" s="6"/>
    </row>
    <row r="5539" spans="1:1">
      <c r="A5539" s="6"/>
    </row>
    <row r="5540" spans="1:1">
      <c r="A5540" s="6"/>
    </row>
    <row r="5541" spans="1:1">
      <c r="A5541" s="6"/>
    </row>
    <row r="5542" spans="1:1">
      <c r="A5542" s="6"/>
    </row>
    <row r="5543" spans="1:1">
      <c r="A5543" s="6"/>
    </row>
    <row r="5544" spans="1:1">
      <c r="A5544" s="6"/>
    </row>
    <row r="5545" spans="1:1">
      <c r="A5545" s="6"/>
    </row>
    <row r="5546" spans="1:1">
      <c r="A5546" s="6"/>
    </row>
    <row r="5547" spans="1:1">
      <c r="A5547" s="6"/>
    </row>
    <row r="5548" spans="1:1">
      <c r="A5548" s="6"/>
    </row>
    <row r="5549" spans="1:1">
      <c r="A5549" s="6"/>
    </row>
    <row r="5550" spans="1:1">
      <c r="A5550" s="6"/>
    </row>
    <row r="5551" spans="1:1">
      <c r="A5551" s="6"/>
    </row>
    <row r="5552" spans="1:1">
      <c r="A5552" s="6"/>
    </row>
    <row r="5553" spans="1:1">
      <c r="A5553" s="6"/>
    </row>
    <row r="5554" spans="1:1">
      <c r="A5554" s="6"/>
    </row>
    <row r="5555" spans="1:1">
      <c r="A5555" s="6"/>
    </row>
    <row r="5556" spans="1:1">
      <c r="A5556" s="6"/>
    </row>
    <row r="5557" spans="1:1">
      <c r="A5557" s="6"/>
    </row>
    <row r="5558" spans="1:1">
      <c r="A5558" s="6"/>
    </row>
    <row r="5559" spans="1:1">
      <c r="A5559" s="6"/>
    </row>
    <row r="5560" spans="1:1">
      <c r="A5560" s="6"/>
    </row>
    <row r="5561" spans="1:1">
      <c r="A5561" s="6"/>
    </row>
    <row r="5562" spans="1:1">
      <c r="A5562" s="6"/>
    </row>
    <row r="5563" spans="1:1">
      <c r="A5563" s="6"/>
    </row>
    <row r="5564" spans="1:1">
      <c r="A5564" s="6"/>
    </row>
    <row r="5565" spans="1:1">
      <c r="A5565" s="6"/>
    </row>
    <row r="5566" spans="1:1">
      <c r="A5566" s="6"/>
    </row>
    <row r="5567" spans="1:1">
      <c r="A5567" s="6"/>
    </row>
    <row r="5568" spans="1:1">
      <c r="A5568" s="6"/>
    </row>
    <row r="5569" spans="1:1">
      <c r="A5569" s="6"/>
    </row>
    <row r="5570" spans="1:1">
      <c r="A5570" s="6"/>
    </row>
    <row r="5571" spans="1:1">
      <c r="A5571" s="6"/>
    </row>
    <row r="5572" spans="1:1">
      <c r="A5572" s="6"/>
    </row>
    <row r="5573" spans="1:1">
      <c r="A5573" s="6"/>
    </row>
    <row r="5574" spans="1:1">
      <c r="A5574" s="6"/>
    </row>
    <row r="5575" spans="1:1">
      <c r="A5575" s="6"/>
    </row>
    <row r="5576" spans="1:1">
      <c r="A5576" s="6"/>
    </row>
    <row r="5577" spans="1:1">
      <c r="A5577" s="6"/>
    </row>
    <row r="5578" spans="1:1">
      <c r="A5578" s="6"/>
    </row>
    <row r="5579" spans="1:1">
      <c r="A5579" s="6"/>
    </row>
    <row r="5580" spans="1:1">
      <c r="A5580" s="6"/>
    </row>
    <row r="5581" spans="1:1">
      <c r="A5581" s="6"/>
    </row>
    <row r="5582" spans="1:1">
      <c r="A5582" s="6"/>
    </row>
    <row r="5583" spans="1:1">
      <c r="A5583" s="6"/>
    </row>
    <row r="5584" spans="1:1">
      <c r="A5584" s="6"/>
    </row>
    <row r="5585" spans="1:1">
      <c r="A5585" s="6"/>
    </row>
    <row r="5586" spans="1:1">
      <c r="A5586" s="6"/>
    </row>
    <row r="5587" spans="1:1">
      <c r="A5587" s="6"/>
    </row>
    <row r="5588" spans="1:1">
      <c r="A5588" s="6"/>
    </row>
    <row r="5589" spans="1:1">
      <c r="A5589" s="6"/>
    </row>
    <row r="5590" spans="1:1">
      <c r="A5590" s="6"/>
    </row>
    <row r="5591" spans="1:1">
      <c r="A5591" s="6"/>
    </row>
    <row r="5592" spans="1:1">
      <c r="A5592" s="6"/>
    </row>
    <row r="5593" spans="1:1">
      <c r="A5593" s="6"/>
    </row>
    <row r="5594" spans="1:1">
      <c r="A5594" s="6"/>
    </row>
    <row r="5595" spans="1:1">
      <c r="A5595" s="6"/>
    </row>
    <row r="5596" spans="1:1">
      <c r="A5596" s="6"/>
    </row>
    <row r="5597" spans="1:1">
      <c r="A5597" s="6"/>
    </row>
    <row r="5598" spans="1:1">
      <c r="A5598" s="6"/>
    </row>
    <row r="5599" spans="1:1">
      <c r="A5599" s="6"/>
    </row>
    <row r="5600" spans="1:1">
      <c r="A5600" s="6"/>
    </row>
    <row r="5601" spans="1:1">
      <c r="A5601" s="6"/>
    </row>
    <row r="5602" spans="1:1">
      <c r="A5602" s="6"/>
    </row>
    <row r="5603" spans="1:1">
      <c r="A5603" s="6"/>
    </row>
    <row r="5604" spans="1:1">
      <c r="A5604" s="6"/>
    </row>
    <row r="5605" spans="1:1">
      <c r="A5605" s="6"/>
    </row>
    <row r="5606" spans="1:1">
      <c r="A5606" s="6"/>
    </row>
    <row r="5607" spans="1:1">
      <c r="A5607" s="6"/>
    </row>
    <row r="5608" spans="1:1">
      <c r="A5608" s="6"/>
    </row>
    <row r="5609" spans="1:1">
      <c r="A5609" s="6"/>
    </row>
    <row r="5610" spans="1:1">
      <c r="A5610" s="6"/>
    </row>
    <row r="5611" spans="1:1">
      <c r="A5611" s="6"/>
    </row>
    <row r="5612" spans="1:1">
      <c r="A5612" s="6"/>
    </row>
    <row r="5613" spans="1:1">
      <c r="A5613" s="6"/>
    </row>
    <row r="5614" spans="1:1">
      <c r="A5614" s="6"/>
    </row>
    <row r="5615" spans="1:1">
      <c r="A5615" s="6"/>
    </row>
    <row r="5616" spans="1:1">
      <c r="A5616" s="6"/>
    </row>
    <row r="5617" spans="1:1">
      <c r="A5617" s="6"/>
    </row>
    <row r="5618" spans="1:1">
      <c r="A5618" s="6"/>
    </row>
    <row r="5619" spans="1:1">
      <c r="A5619" s="6"/>
    </row>
    <row r="5620" spans="1:1">
      <c r="A5620" s="6"/>
    </row>
    <row r="5621" spans="1:1">
      <c r="A5621" s="6"/>
    </row>
    <row r="5622" spans="1:1">
      <c r="A5622" s="6"/>
    </row>
    <row r="5623" spans="1:1">
      <c r="A5623" s="6"/>
    </row>
    <row r="5624" spans="1:1">
      <c r="A5624" s="6"/>
    </row>
    <row r="5625" spans="1:1">
      <c r="A5625" s="6"/>
    </row>
    <row r="5626" spans="1:1">
      <c r="A5626" s="6"/>
    </row>
    <row r="5627" spans="1:1">
      <c r="A5627" s="6"/>
    </row>
    <row r="5628" spans="1:1">
      <c r="A5628" s="6"/>
    </row>
    <row r="5629" spans="1:1">
      <c r="A5629" s="6"/>
    </row>
    <row r="5630" spans="1:1">
      <c r="A5630" s="6"/>
    </row>
    <row r="5631" spans="1:1">
      <c r="A5631" s="6"/>
    </row>
    <row r="5632" spans="1:1">
      <c r="A5632" s="6"/>
    </row>
    <row r="5633" spans="1:1">
      <c r="A5633" s="6"/>
    </row>
    <row r="5634" spans="1:1">
      <c r="A5634" s="6"/>
    </row>
    <row r="5635" spans="1:1">
      <c r="A5635" s="6"/>
    </row>
    <row r="5636" spans="1:1">
      <c r="A5636" s="6"/>
    </row>
    <row r="5637" spans="1:1">
      <c r="A5637" s="6"/>
    </row>
    <row r="5638" spans="1:1">
      <c r="A5638" s="6"/>
    </row>
    <row r="5639" spans="1:1">
      <c r="A5639" s="6"/>
    </row>
    <row r="5640" spans="1:1">
      <c r="A5640" s="6"/>
    </row>
    <row r="5641" spans="1:1">
      <c r="A5641" s="6"/>
    </row>
    <row r="5642" spans="1:1">
      <c r="A5642" s="6"/>
    </row>
    <row r="5643" spans="1:1">
      <c r="A5643" s="6"/>
    </row>
    <row r="5644" spans="1:1">
      <c r="A5644" s="6"/>
    </row>
    <row r="5645" spans="1:1">
      <c r="A5645" s="6"/>
    </row>
    <row r="5646" spans="1:1">
      <c r="A5646" s="6"/>
    </row>
    <row r="5647" spans="1:1">
      <c r="A5647" s="6"/>
    </row>
    <row r="5648" spans="1:1">
      <c r="A5648" s="6"/>
    </row>
    <row r="5649" spans="1:1">
      <c r="A5649" s="6"/>
    </row>
    <row r="5650" spans="1:1">
      <c r="A5650" s="6"/>
    </row>
    <row r="5651" spans="1:1">
      <c r="A5651" s="6"/>
    </row>
    <row r="5652" spans="1:1">
      <c r="A5652" s="6"/>
    </row>
    <row r="5653" spans="1:1">
      <c r="A5653" s="6"/>
    </row>
    <row r="5654" spans="1:1">
      <c r="A5654" s="6"/>
    </row>
    <row r="5655" spans="1:1">
      <c r="A5655" s="6"/>
    </row>
    <row r="5656" spans="1:1">
      <c r="A5656" s="6"/>
    </row>
    <row r="5657" spans="1:1">
      <c r="A5657" s="6"/>
    </row>
    <row r="5658" spans="1:1">
      <c r="A5658" s="6"/>
    </row>
    <row r="5659" spans="1:1">
      <c r="A5659" s="6"/>
    </row>
    <row r="5660" spans="1:1">
      <c r="A5660" s="6"/>
    </row>
    <row r="5661" spans="1:1">
      <c r="A5661" s="6"/>
    </row>
    <row r="5662" spans="1:1">
      <c r="A5662" s="6"/>
    </row>
    <row r="5663" spans="1:1">
      <c r="A5663" s="6"/>
    </row>
    <row r="5664" spans="1:1">
      <c r="A5664" s="6"/>
    </row>
    <row r="5665" spans="1:1">
      <c r="A5665" s="6"/>
    </row>
    <row r="5666" spans="1:1">
      <c r="A5666" s="6"/>
    </row>
    <row r="5667" spans="1:1">
      <c r="A5667" s="6"/>
    </row>
    <row r="5668" spans="1:1">
      <c r="A5668" s="6"/>
    </row>
    <row r="5669" spans="1:1">
      <c r="A5669" s="6"/>
    </row>
    <row r="5670" spans="1:1">
      <c r="A5670" s="6"/>
    </row>
    <row r="5671" spans="1:1">
      <c r="A5671" s="6"/>
    </row>
    <row r="5672" spans="1:1">
      <c r="A5672" s="6"/>
    </row>
    <row r="5673" spans="1:1">
      <c r="A5673" s="6"/>
    </row>
    <row r="5674" spans="1:1">
      <c r="A5674" s="6"/>
    </row>
    <row r="5675" spans="1:1">
      <c r="A5675" s="6"/>
    </row>
    <row r="5676" spans="1:1">
      <c r="A5676" s="6"/>
    </row>
    <row r="5677" spans="1:1">
      <c r="A5677" s="6"/>
    </row>
    <row r="5678" spans="1:1">
      <c r="A5678" s="6"/>
    </row>
    <row r="5679" spans="1:1">
      <c r="A5679" s="6"/>
    </row>
    <row r="5680" spans="1:1">
      <c r="A5680" s="6"/>
    </row>
    <row r="5681" spans="1:1">
      <c r="A5681" s="6"/>
    </row>
    <row r="5682" spans="1:1">
      <c r="A5682" s="6"/>
    </row>
    <row r="5683" spans="1:1">
      <c r="A5683" s="6"/>
    </row>
    <row r="5684" spans="1:1">
      <c r="A5684" s="6"/>
    </row>
    <row r="5685" spans="1:1">
      <c r="A5685" s="6"/>
    </row>
    <row r="5686" spans="1:1">
      <c r="A5686" s="6"/>
    </row>
    <row r="5687" spans="1:1">
      <c r="A5687" s="6"/>
    </row>
    <row r="5688" spans="1:1">
      <c r="A5688" s="6"/>
    </row>
    <row r="5689" spans="1:1">
      <c r="A5689" s="6"/>
    </row>
    <row r="5690" spans="1:1">
      <c r="A5690" s="6"/>
    </row>
    <row r="5691" spans="1:1">
      <c r="A5691" s="6"/>
    </row>
    <row r="5692" spans="1:1">
      <c r="A5692" s="6"/>
    </row>
    <row r="5693" spans="1:1">
      <c r="A5693" s="6"/>
    </row>
    <row r="5694" spans="1:1">
      <c r="A5694" s="6"/>
    </row>
    <row r="5695" spans="1:1">
      <c r="A5695" s="6"/>
    </row>
    <row r="5696" spans="1:1">
      <c r="A5696" s="6"/>
    </row>
    <row r="5697" spans="1:1">
      <c r="A5697" s="6"/>
    </row>
    <row r="5698" spans="1:1">
      <c r="A5698" s="6"/>
    </row>
    <row r="5699" spans="1:1">
      <c r="A5699" s="6"/>
    </row>
    <row r="5700" spans="1:1">
      <c r="A5700" s="6"/>
    </row>
    <row r="5701" spans="1:1">
      <c r="A5701" s="6"/>
    </row>
    <row r="5702" spans="1:1">
      <c r="A5702" s="6"/>
    </row>
    <row r="5703" spans="1:1">
      <c r="A5703" s="6"/>
    </row>
    <row r="5704" spans="1:1">
      <c r="A5704" s="6"/>
    </row>
    <row r="5705" spans="1:1">
      <c r="A5705" s="6"/>
    </row>
    <row r="5706" spans="1:1">
      <c r="A5706" s="6"/>
    </row>
    <row r="5707" spans="1:1">
      <c r="A5707" s="6"/>
    </row>
    <row r="5708" spans="1:1">
      <c r="A5708" s="6"/>
    </row>
    <row r="5709" spans="1:1">
      <c r="A5709" s="6"/>
    </row>
    <row r="5710" spans="1:1">
      <c r="A5710" s="6"/>
    </row>
    <row r="5711" spans="1:1">
      <c r="A5711" s="6"/>
    </row>
    <row r="5712" spans="1:1">
      <c r="A5712" s="6"/>
    </row>
    <row r="5713" spans="1:1">
      <c r="A5713" s="6"/>
    </row>
    <row r="5714" spans="1:1">
      <c r="A5714" s="6"/>
    </row>
    <row r="5715" spans="1:1">
      <c r="A5715" s="6"/>
    </row>
    <row r="5716" spans="1:1">
      <c r="A5716" s="6"/>
    </row>
    <row r="5717" spans="1:1">
      <c r="A5717" s="6"/>
    </row>
    <row r="5718" spans="1:1">
      <c r="A5718" s="6"/>
    </row>
    <row r="5719" spans="1:1">
      <c r="A5719" s="6"/>
    </row>
    <row r="5720" spans="1:1">
      <c r="A5720" s="6"/>
    </row>
    <row r="5721" spans="1:1">
      <c r="A5721" s="6"/>
    </row>
    <row r="5722" spans="1:1">
      <c r="A5722" s="6"/>
    </row>
    <row r="5723" spans="1:1">
      <c r="A5723" s="6"/>
    </row>
    <row r="5724" spans="1:1">
      <c r="A5724" s="6"/>
    </row>
    <row r="5725" spans="1:1">
      <c r="A5725" s="6"/>
    </row>
    <row r="5726" spans="1:1">
      <c r="A5726" s="6"/>
    </row>
    <row r="5727" spans="1:1">
      <c r="A5727" s="6"/>
    </row>
    <row r="5728" spans="1:1">
      <c r="A5728" s="6"/>
    </row>
    <row r="5729" spans="1:1">
      <c r="A5729" s="6"/>
    </row>
    <row r="5730" spans="1:1">
      <c r="A5730" s="6"/>
    </row>
    <row r="5731" spans="1:1">
      <c r="A5731" s="6"/>
    </row>
    <row r="5732" spans="1:1">
      <c r="A5732" s="6"/>
    </row>
    <row r="5733" spans="1:1">
      <c r="A5733" s="6"/>
    </row>
    <row r="5734" spans="1:1">
      <c r="A5734" s="6"/>
    </row>
    <row r="5735" spans="1:1">
      <c r="A5735" s="6"/>
    </row>
    <row r="5736" spans="1:1">
      <c r="A5736" s="6"/>
    </row>
    <row r="5737" spans="1:1">
      <c r="A5737" s="6"/>
    </row>
    <row r="5738" spans="1:1">
      <c r="A5738" s="6"/>
    </row>
    <row r="5739" spans="1:1">
      <c r="A5739" s="6"/>
    </row>
    <row r="5740" spans="1:1">
      <c r="A5740" s="6"/>
    </row>
    <row r="5741" spans="1:1">
      <c r="A5741" s="6"/>
    </row>
    <row r="5742" spans="1:1">
      <c r="A5742" s="6"/>
    </row>
    <row r="5743" spans="1:1">
      <c r="A5743" s="6"/>
    </row>
    <row r="5744" spans="1:1">
      <c r="A5744" s="6"/>
    </row>
    <row r="5745" spans="1:1">
      <c r="A5745" s="6"/>
    </row>
    <row r="5746" spans="1:1">
      <c r="A5746" s="6"/>
    </row>
    <row r="5747" spans="1:1">
      <c r="A5747" s="6"/>
    </row>
    <row r="5748" spans="1:1">
      <c r="A5748" s="6"/>
    </row>
    <row r="5749" spans="1:1">
      <c r="A5749" s="6"/>
    </row>
    <row r="5750" spans="1:1">
      <c r="A5750" s="6"/>
    </row>
    <row r="5751" spans="1:1">
      <c r="A5751" s="6"/>
    </row>
    <row r="5752" spans="1:1">
      <c r="A5752" s="6"/>
    </row>
    <row r="5753" spans="1:1">
      <c r="A5753" s="6"/>
    </row>
    <row r="5754" spans="1:1">
      <c r="A5754" s="6"/>
    </row>
    <row r="5755" spans="1:1">
      <c r="A5755" s="6"/>
    </row>
    <row r="5756" spans="1:1">
      <c r="A5756" s="6"/>
    </row>
    <row r="5757" spans="1:1">
      <c r="A5757" s="6"/>
    </row>
    <row r="5758" spans="1:1">
      <c r="A5758" s="6"/>
    </row>
    <row r="5759" spans="1:1">
      <c r="A5759" s="6"/>
    </row>
    <row r="5760" spans="1:1">
      <c r="A5760" s="6"/>
    </row>
    <row r="5761" spans="1:1">
      <c r="A5761" s="6"/>
    </row>
    <row r="5762" spans="1:1">
      <c r="A5762" s="6"/>
    </row>
    <row r="5763" spans="1:1">
      <c r="A5763" s="6"/>
    </row>
    <row r="5764" spans="1:1">
      <c r="A5764" s="6"/>
    </row>
    <row r="5765" spans="1:1">
      <c r="A5765" s="6"/>
    </row>
    <row r="5766" spans="1:1">
      <c r="A5766" s="6"/>
    </row>
    <row r="5767" spans="1:1">
      <c r="A5767" s="6"/>
    </row>
    <row r="5768" spans="1:1">
      <c r="A5768" s="6"/>
    </row>
    <row r="5769" spans="1:1">
      <c r="A5769" s="6"/>
    </row>
    <row r="5770" spans="1:1">
      <c r="A5770" s="6"/>
    </row>
    <row r="5771" spans="1:1">
      <c r="A5771" s="6"/>
    </row>
    <row r="5772" spans="1:1">
      <c r="A5772" s="6"/>
    </row>
    <row r="5773" spans="1:1">
      <c r="A5773" s="6"/>
    </row>
    <row r="5774" spans="1:1">
      <c r="A5774" s="6"/>
    </row>
    <row r="5775" spans="1:1">
      <c r="A5775" s="6"/>
    </row>
    <row r="5776" spans="1:1">
      <c r="A5776" s="6"/>
    </row>
    <row r="5777" spans="1:1">
      <c r="A5777" s="6"/>
    </row>
    <row r="5778" spans="1:1">
      <c r="A5778" s="6"/>
    </row>
    <row r="5779" spans="1:1">
      <c r="A5779" s="6"/>
    </row>
    <row r="5780" spans="1:1">
      <c r="A5780" s="6"/>
    </row>
    <row r="5781" spans="1:1">
      <c r="A5781" s="6"/>
    </row>
    <row r="5782" spans="1:1">
      <c r="A5782" s="6"/>
    </row>
    <row r="5783" spans="1:1">
      <c r="A5783" s="6"/>
    </row>
    <row r="5784" spans="1:1">
      <c r="A5784" s="6"/>
    </row>
    <row r="5785" spans="1:1">
      <c r="A5785" s="6"/>
    </row>
    <row r="5786" spans="1:1">
      <c r="A5786" s="6"/>
    </row>
    <row r="5787" spans="1:1">
      <c r="A5787" s="6"/>
    </row>
    <row r="5788" spans="1:1">
      <c r="A5788" s="6"/>
    </row>
    <row r="5789" spans="1:1">
      <c r="A5789" s="6"/>
    </row>
    <row r="5790" spans="1:1">
      <c r="A5790" s="6"/>
    </row>
    <row r="5791" spans="1:1">
      <c r="A5791" s="6"/>
    </row>
    <row r="5792" spans="1:1">
      <c r="A5792" s="6"/>
    </row>
    <row r="5793" spans="1:1">
      <c r="A5793" s="6"/>
    </row>
    <row r="5794" spans="1:1">
      <c r="A5794" s="6"/>
    </row>
    <row r="5795" spans="1:1">
      <c r="A5795" s="6"/>
    </row>
    <row r="5796" spans="1:1">
      <c r="A5796" s="6"/>
    </row>
    <row r="5797" spans="1:1">
      <c r="A5797" s="6"/>
    </row>
    <row r="5798" spans="1:1">
      <c r="A5798" s="6"/>
    </row>
    <row r="5799" spans="1:1">
      <c r="A5799" s="6"/>
    </row>
    <row r="5800" spans="1:1">
      <c r="A5800" s="6"/>
    </row>
    <row r="5801" spans="1:1">
      <c r="A5801" s="6"/>
    </row>
    <row r="5802" spans="1:1">
      <c r="A5802" s="6"/>
    </row>
    <row r="5803" spans="1:1">
      <c r="A5803" s="6"/>
    </row>
    <row r="5804" spans="1:1">
      <c r="A5804" s="6"/>
    </row>
    <row r="5805" spans="1:1">
      <c r="A5805" s="6"/>
    </row>
    <row r="5806" spans="1:1">
      <c r="A5806" s="6"/>
    </row>
    <row r="5807" spans="1:1">
      <c r="A5807" s="6"/>
    </row>
    <row r="5808" spans="1:1">
      <c r="A5808" s="6"/>
    </row>
    <row r="5809" spans="1:1">
      <c r="A5809" s="6"/>
    </row>
    <row r="5810" spans="1:1">
      <c r="A5810" s="6"/>
    </row>
    <row r="5811" spans="1:1">
      <c r="A5811" s="6"/>
    </row>
    <row r="5812" spans="1:1">
      <c r="A5812" s="6"/>
    </row>
    <row r="5813" spans="1:1">
      <c r="A5813" s="6"/>
    </row>
    <row r="5814" spans="1:1">
      <c r="A5814" s="6"/>
    </row>
    <row r="5815" spans="1:1">
      <c r="A5815" s="6"/>
    </row>
    <row r="5816" spans="1:1">
      <c r="A5816" s="6"/>
    </row>
    <row r="5817" spans="1:1">
      <c r="A5817" s="6"/>
    </row>
    <row r="5818" spans="1:1">
      <c r="A5818" s="6"/>
    </row>
    <row r="5819" spans="1:1">
      <c r="A5819" s="6"/>
    </row>
    <row r="5820" spans="1:1">
      <c r="A5820" s="6"/>
    </row>
    <row r="5821" spans="1:1">
      <c r="A5821" s="6"/>
    </row>
    <row r="5822" spans="1:1">
      <c r="A5822" s="6"/>
    </row>
    <row r="5823" spans="1:1">
      <c r="A5823" s="6"/>
    </row>
    <row r="5824" spans="1:1">
      <c r="A5824" s="6"/>
    </row>
    <row r="5825" spans="1:1">
      <c r="A5825" s="6"/>
    </row>
    <row r="5826" spans="1:1">
      <c r="A5826" s="6"/>
    </row>
    <row r="5827" spans="1:1">
      <c r="A5827" s="6"/>
    </row>
    <row r="5828" spans="1:1">
      <c r="A5828" s="6"/>
    </row>
    <row r="5829" spans="1:1">
      <c r="A5829" s="6"/>
    </row>
    <row r="5830" spans="1:1">
      <c r="A5830" s="6"/>
    </row>
    <row r="5831" spans="1:1">
      <c r="A5831" s="6"/>
    </row>
    <row r="5832" spans="1:1">
      <c r="A5832" s="6"/>
    </row>
    <row r="5833" spans="1:1">
      <c r="A5833" s="6"/>
    </row>
    <row r="5834" spans="1:1">
      <c r="A5834" s="6"/>
    </row>
    <row r="5835" spans="1:1">
      <c r="A5835" s="6"/>
    </row>
    <row r="5836" spans="1:1">
      <c r="A5836" s="6"/>
    </row>
    <row r="5837" spans="1:1">
      <c r="A5837" s="6"/>
    </row>
    <row r="5838" spans="1:1">
      <c r="A5838" s="6"/>
    </row>
    <row r="5839" spans="1:1">
      <c r="A5839" s="6"/>
    </row>
    <row r="5840" spans="1:1">
      <c r="A5840" s="6"/>
    </row>
    <row r="5841" spans="1:1">
      <c r="A5841" s="6"/>
    </row>
    <row r="5842" spans="1:1">
      <c r="A5842" s="6"/>
    </row>
    <row r="5843" spans="1:1">
      <c r="A5843" s="6"/>
    </row>
    <row r="5844" spans="1:1">
      <c r="A5844" s="6"/>
    </row>
    <row r="5845" spans="1:1">
      <c r="A5845" s="6"/>
    </row>
    <row r="5846" spans="1:1">
      <c r="A5846" s="6"/>
    </row>
    <row r="5847" spans="1:1">
      <c r="A5847" s="6"/>
    </row>
    <row r="5848" spans="1:1">
      <c r="A5848" s="6"/>
    </row>
    <row r="5849" spans="1:1">
      <c r="A5849" s="6"/>
    </row>
    <row r="5850" spans="1:1">
      <c r="A5850" s="6"/>
    </row>
    <row r="5851" spans="1:1">
      <c r="A5851" s="6"/>
    </row>
    <row r="5852" spans="1:1">
      <c r="A5852" s="6"/>
    </row>
    <row r="5853" spans="1:1">
      <c r="A5853" s="6"/>
    </row>
    <row r="5854" spans="1:1">
      <c r="A5854" s="6"/>
    </row>
    <row r="5855" spans="1:1">
      <c r="A5855" s="6"/>
    </row>
    <row r="5856" spans="1:1">
      <c r="A5856" s="6"/>
    </row>
    <row r="5857" spans="1:1">
      <c r="A5857" s="6"/>
    </row>
    <row r="5858" spans="1:1">
      <c r="A5858" s="6"/>
    </row>
    <row r="5859" spans="1:1">
      <c r="A5859" s="6"/>
    </row>
    <row r="5860" spans="1:1">
      <c r="A5860" s="6"/>
    </row>
    <row r="5861" spans="1:1">
      <c r="A5861" s="6"/>
    </row>
    <row r="5862" spans="1:1">
      <c r="A5862" s="6"/>
    </row>
    <row r="5863" spans="1:1">
      <c r="A5863" s="6"/>
    </row>
    <row r="5864" spans="1:1">
      <c r="A5864" s="6"/>
    </row>
    <row r="5865" spans="1:1">
      <c r="A5865" s="6"/>
    </row>
    <row r="5866" spans="1:1">
      <c r="A5866" s="6"/>
    </row>
    <row r="5867" spans="1:1">
      <c r="A5867" s="6"/>
    </row>
    <row r="5868" spans="1:1">
      <c r="A5868" s="6"/>
    </row>
    <row r="5869" spans="1:1">
      <c r="A5869" s="6"/>
    </row>
    <row r="5870" spans="1:1">
      <c r="A5870" s="6"/>
    </row>
    <row r="5871" spans="1:1">
      <c r="A5871" s="6"/>
    </row>
    <row r="5872" spans="1:1">
      <c r="A5872" s="6"/>
    </row>
    <row r="5873" spans="1:1">
      <c r="A5873" s="6"/>
    </row>
    <row r="5874" spans="1:1">
      <c r="A5874" s="6"/>
    </row>
    <row r="5875" spans="1:1">
      <c r="A5875" s="6"/>
    </row>
    <row r="5876" spans="1:1">
      <c r="A5876" s="6"/>
    </row>
    <row r="5877" spans="1:1">
      <c r="A5877" s="6"/>
    </row>
    <row r="5878" spans="1:1">
      <c r="A5878" s="6"/>
    </row>
    <row r="5879" spans="1:1">
      <c r="A5879" s="6"/>
    </row>
    <row r="5880" spans="1:1">
      <c r="A5880" s="6"/>
    </row>
    <row r="5881" spans="1:1">
      <c r="A5881" s="6"/>
    </row>
    <row r="5882" spans="1:1">
      <c r="A5882" s="6"/>
    </row>
    <row r="5883" spans="1:1">
      <c r="A5883" s="6"/>
    </row>
    <row r="5884" spans="1:1">
      <c r="A5884" s="6"/>
    </row>
    <row r="5885" spans="1:1">
      <c r="A5885" s="6"/>
    </row>
    <row r="5886" spans="1:1">
      <c r="A5886" s="6"/>
    </row>
    <row r="5887" spans="1:1">
      <c r="A5887" s="6"/>
    </row>
    <row r="5888" spans="1:1">
      <c r="A5888" s="6"/>
    </row>
    <row r="5889" spans="1:1">
      <c r="A5889" s="6"/>
    </row>
    <row r="5890" spans="1:1">
      <c r="A5890" s="6"/>
    </row>
    <row r="5891" spans="1:1">
      <c r="A5891" s="6"/>
    </row>
    <row r="5892" spans="1:1">
      <c r="A5892" s="6"/>
    </row>
    <row r="5893" spans="1:1">
      <c r="A5893" s="6"/>
    </row>
    <row r="5894" spans="1:1">
      <c r="A5894" s="6"/>
    </row>
    <row r="5895" spans="1:1">
      <c r="A5895" s="6"/>
    </row>
    <row r="5896" spans="1:1">
      <c r="A5896" s="6"/>
    </row>
    <row r="5897" spans="1:1">
      <c r="A5897" s="6"/>
    </row>
    <row r="5898" spans="1:1">
      <c r="A5898" s="6"/>
    </row>
    <row r="5899" spans="1:1">
      <c r="A5899" s="6"/>
    </row>
    <row r="5900" spans="1:1">
      <c r="A5900" s="6"/>
    </row>
    <row r="5901" spans="1:1">
      <c r="A5901" s="6"/>
    </row>
    <row r="5902" spans="1:1">
      <c r="A5902" s="6"/>
    </row>
    <row r="5903" spans="1:1">
      <c r="A5903" s="6"/>
    </row>
    <row r="5904" spans="1:1">
      <c r="A5904" s="6"/>
    </row>
    <row r="5905" spans="1:1">
      <c r="A5905" s="6"/>
    </row>
    <row r="5906" spans="1:1">
      <c r="A5906" s="6"/>
    </row>
    <row r="5907" spans="1:1">
      <c r="A5907" s="6"/>
    </row>
    <row r="5908" spans="1:1">
      <c r="A5908" s="6"/>
    </row>
    <row r="5909" spans="1:1">
      <c r="A5909" s="6"/>
    </row>
    <row r="5910" spans="1:1">
      <c r="A5910" s="6"/>
    </row>
    <row r="5911" spans="1:1">
      <c r="A5911" s="6"/>
    </row>
    <row r="5912" spans="1:1">
      <c r="A5912" s="6"/>
    </row>
    <row r="5913" spans="1:1">
      <c r="A5913" s="6"/>
    </row>
    <row r="5914" spans="1:1">
      <c r="A5914" s="6"/>
    </row>
    <row r="5915" spans="1:1">
      <c r="A5915" s="6"/>
    </row>
    <row r="5916" spans="1:1">
      <c r="A5916" s="6"/>
    </row>
    <row r="5917" spans="1:1">
      <c r="A5917" s="6"/>
    </row>
    <row r="5918" spans="1:1">
      <c r="A5918" s="6"/>
    </row>
    <row r="5919" spans="1:1">
      <c r="A5919" s="6"/>
    </row>
    <row r="5920" spans="1:1">
      <c r="A5920" s="6"/>
    </row>
    <row r="5921" spans="1:1">
      <c r="A5921" s="6"/>
    </row>
    <row r="5922" spans="1:1">
      <c r="A5922" s="6"/>
    </row>
    <row r="5923" spans="1:1">
      <c r="A5923" s="6"/>
    </row>
    <row r="5924" spans="1:1">
      <c r="A5924" s="6"/>
    </row>
    <row r="5925" spans="1:1">
      <c r="A5925" s="6"/>
    </row>
    <row r="5926" spans="1:1">
      <c r="A5926" s="6"/>
    </row>
    <row r="5927" spans="1:1">
      <c r="A5927" s="6"/>
    </row>
    <row r="5928" spans="1:1">
      <c r="A5928" s="6"/>
    </row>
    <row r="5929" spans="1:1">
      <c r="A5929" s="6"/>
    </row>
    <row r="5930" spans="1:1">
      <c r="A5930" s="6"/>
    </row>
    <row r="5931" spans="1:1">
      <c r="A5931" s="6"/>
    </row>
    <row r="5932" spans="1:1">
      <c r="A5932" s="6"/>
    </row>
    <row r="5933" spans="1:1">
      <c r="A5933" s="6"/>
    </row>
    <row r="5934" spans="1:1">
      <c r="A5934" s="6"/>
    </row>
    <row r="5935" spans="1:1">
      <c r="A5935" s="6"/>
    </row>
    <row r="5936" spans="1:1">
      <c r="A5936" s="6"/>
    </row>
    <row r="5937" spans="1:1">
      <c r="A5937" s="6"/>
    </row>
    <row r="5938" spans="1:1">
      <c r="A5938" s="6"/>
    </row>
    <row r="5939" spans="1:1">
      <c r="A5939" s="6"/>
    </row>
    <row r="5940" spans="1:1">
      <c r="A5940" s="6"/>
    </row>
    <row r="5941" spans="1:1">
      <c r="A5941" s="6"/>
    </row>
    <row r="5942" spans="1:1">
      <c r="A5942" s="6"/>
    </row>
    <row r="5943" spans="1:1">
      <c r="A5943" s="6"/>
    </row>
    <row r="5944" spans="1:1">
      <c r="A5944" s="6"/>
    </row>
    <row r="5945" spans="1:1">
      <c r="A5945" s="6"/>
    </row>
    <row r="5946" spans="1:1">
      <c r="A5946" s="6"/>
    </row>
    <row r="5947" spans="1:1">
      <c r="A5947" s="6"/>
    </row>
    <row r="5948" spans="1:1">
      <c r="A5948" s="6"/>
    </row>
    <row r="5949" spans="1:1">
      <c r="A5949" s="6"/>
    </row>
    <row r="5950" spans="1:1">
      <c r="A5950" s="6"/>
    </row>
    <row r="5951" spans="1:1">
      <c r="A5951" s="6"/>
    </row>
    <row r="5952" spans="1:1">
      <c r="A5952" s="6"/>
    </row>
    <row r="5953" spans="1:1">
      <c r="A5953" s="6"/>
    </row>
    <row r="5954" spans="1:1">
      <c r="A5954" s="6"/>
    </row>
    <row r="5955" spans="1:1">
      <c r="A5955" s="6"/>
    </row>
    <row r="5956" spans="1:1">
      <c r="A5956" s="6"/>
    </row>
    <row r="5957" spans="1:1">
      <c r="A5957" s="6"/>
    </row>
    <row r="5958" spans="1:1">
      <c r="A5958" s="6"/>
    </row>
    <row r="5959" spans="1:1">
      <c r="A5959" s="6"/>
    </row>
    <row r="5960" spans="1:1">
      <c r="A5960" s="6"/>
    </row>
    <row r="5961" spans="1:1">
      <c r="A5961" s="6"/>
    </row>
    <row r="5962" spans="1:1">
      <c r="A5962" s="6"/>
    </row>
    <row r="5963" spans="1:1">
      <c r="A5963" s="6"/>
    </row>
    <row r="5964" spans="1:1">
      <c r="A5964" s="6"/>
    </row>
    <row r="5965" spans="1:1">
      <c r="A5965" s="6"/>
    </row>
    <row r="5966" spans="1:1">
      <c r="A5966" s="6"/>
    </row>
    <row r="5967" spans="1:1">
      <c r="A5967" s="6"/>
    </row>
    <row r="5968" spans="1:1">
      <c r="A5968" s="6"/>
    </row>
    <row r="5969" spans="1:1">
      <c r="A5969" s="6"/>
    </row>
    <row r="5970" spans="1:1">
      <c r="A5970" s="6"/>
    </row>
    <row r="5971" spans="1:1">
      <c r="A5971" s="6"/>
    </row>
    <row r="5972" spans="1:1">
      <c r="A5972" s="6"/>
    </row>
    <row r="5973" spans="1:1">
      <c r="A5973" s="6"/>
    </row>
    <row r="5974" spans="1:1">
      <c r="A5974" s="6"/>
    </row>
    <row r="5975" spans="1:1">
      <c r="A5975" s="6"/>
    </row>
    <row r="5976" spans="1:1">
      <c r="A5976" s="6"/>
    </row>
    <row r="5977" spans="1:1">
      <c r="A5977" s="6"/>
    </row>
    <row r="5978" spans="1:1">
      <c r="A5978" s="6"/>
    </row>
    <row r="5979" spans="1:1">
      <c r="A5979" s="6"/>
    </row>
    <row r="5980" spans="1:1">
      <c r="A5980" s="6"/>
    </row>
    <row r="5981" spans="1:1">
      <c r="A5981" s="6"/>
    </row>
    <row r="5982" spans="1:1">
      <c r="A5982" s="6"/>
    </row>
    <row r="5983" spans="1:1">
      <c r="A5983" s="6"/>
    </row>
    <row r="5984" spans="1:1">
      <c r="A5984" s="6"/>
    </row>
    <row r="5985" spans="1:1">
      <c r="A5985" s="6"/>
    </row>
    <row r="5986" spans="1:1">
      <c r="A5986" s="6"/>
    </row>
    <row r="5987" spans="1:1">
      <c r="A5987" s="6"/>
    </row>
    <row r="5988" spans="1:1">
      <c r="A5988" s="6"/>
    </row>
    <row r="5989" spans="1:1">
      <c r="A5989" s="6"/>
    </row>
    <row r="5990" spans="1:1">
      <c r="A5990" s="6"/>
    </row>
    <row r="5991" spans="1:1">
      <c r="A5991" s="6"/>
    </row>
    <row r="5992" spans="1:1">
      <c r="A5992" s="6"/>
    </row>
    <row r="5993" spans="1:1">
      <c r="A5993" s="6"/>
    </row>
    <row r="5994" spans="1:1">
      <c r="A5994" s="6"/>
    </row>
    <row r="5995" spans="1:1">
      <c r="A5995" s="6"/>
    </row>
    <row r="5996" spans="1:1">
      <c r="A5996" s="6"/>
    </row>
    <row r="5997" spans="1:1">
      <c r="A5997" s="6"/>
    </row>
    <row r="5998" spans="1:1">
      <c r="A5998" s="6"/>
    </row>
    <row r="5999" spans="1:1">
      <c r="A5999" s="6"/>
    </row>
    <row r="6000" spans="1:1">
      <c r="A6000" s="6"/>
    </row>
    <row r="6001" spans="1:1">
      <c r="A6001" s="6"/>
    </row>
    <row r="6002" spans="1:1">
      <c r="A6002" s="6"/>
    </row>
    <row r="6003" spans="1:1">
      <c r="A6003" s="6"/>
    </row>
    <row r="6004" spans="1:1">
      <c r="A6004" s="6"/>
    </row>
    <row r="6005" spans="1:1">
      <c r="A6005" s="6"/>
    </row>
    <row r="6006" spans="1:1">
      <c r="A6006" s="6"/>
    </row>
    <row r="6007" spans="1:1">
      <c r="A6007" s="6"/>
    </row>
    <row r="6008" spans="1:1">
      <c r="A6008" s="6"/>
    </row>
    <row r="6009" spans="1:1">
      <c r="A6009" s="6"/>
    </row>
    <row r="6010" spans="1:1">
      <c r="A6010" s="6"/>
    </row>
    <row r="6011" spans="1:1">
      <c r="A6011" s="6"/>
    </row>
    <row r="6012" spans="1:1">
      <c r="A6012" s="6"/>
    </row>
    <row r="6013" spans="1:1">
      <c r="A6013" s="6"/>
    </row>
    <row r="6014" spans="1:1">
      <c r="A6014" s="6"/>
    </row>
    <row r="6015" spans="1:1">
      <c r="A6015" s="6"/>
    </row>
    <row r="6016" spans="1:1">
      <c r="A6016" s="6"/>
    </row>
    <row r="6017" spans="1:1">
      <c r="A6017" s="6"/>
    </row>
    <row r="6018" spans="1:1">
      <c r="A6018" s="6"/>
    </row>
    <row r="6019" spans="1:1">
      <c r="A6019" s="6"/>
    </row>
    <row r="6020" spans="1:1">
      <c r="A6020" s="6"/>
    </row>
    <row r="6021" spans="1:1">
      <c r="A6021" s="6"/>
    </row>
    <row r="6022" spans="1:1">
      <c r="A6022" s="6"/>
    </row>
    <row r="6023" spans="1:1">
      <c r="A6023" s="6"/>
    </row>
    <row r="6024" spans="1:1">
      <c r="A6024" s="6"/>
    </row>
    <row r="6025" spans="1:1">
      <c r="A6025" s="6"/>
    </row>
    <row r="6026" spans="1:1">
      <c r="A6026" s="6"/>
    </row>
    <row r="6027" spans="1:1">
      <c r="A6027" s="6"/>
    </row>
    <row r="6028" spans="1:1">
      <c r="A6028" s="6"/>
    </row>
    <row r="6029" spans="1:1">
      <c r="A6029" s="6"/>
    </row>
    <row r="6030" spans="1:1">
      <c r="A6030" s="6"/>
    </row>
    <row r="6031" spans="1:1">
      <c r="A6031" s="6"/>
    </row>
    <row r="6032" spans="1:1">
      <c r="A6032" s="6"/>
    </row>
    <row r="6033" spans="1:1">
      <c r="A6033" s="6"/>
    </row>
    <row r="6034" spans="1:1">
      <c r="A6034" s="6"/>
    </row>
    <row r="6035" spans="1:1">
      <c r="A6035" s="6"/>
    </row>
    <row r="6036" spans="1:1">
      <c r="A6036" s="6"/>
    </row>
    <row r="6037" spans="1:1">
      <c r="A6037" s="6"/>
    </row>
    <row r="6038" spans="1:1">
      <c r="A6038" s="6"/>
    </row>
    <row r="6039" spans="1:1">
      <c r="A6039" s="6"/>
    </row>
    <row r="6040" spans="1:1">
      <c r="A6040" s="6"/>
    </row>
    <row r="6041" spans="1:1">
      <c r="A6041" s="6"/>
    </row>
    <row r="6042" spans="1:1">
      <c r="A6042" s="6"/>
    </row>
    <row r="6043" spans="1:1">
      <c r="A6043" s="6"/>
    </row>
    <row r="6044" spans="1:1">
      <c r="A6044" s="6"/>
    </row>
    <row r="6045" spans="1:1">
      <c r="A6045" s="6"/>
    </row>
    <row r="6046" spans="1:1">
      <c r="A6046" s="6"/>
    </row>
    <row r="6047" spans="1:1">
      <c r="A6047" s="6"/>
    </row>
    <row r="6048" spans="1:1">
      <c r="A6048" s="6"/>
    </row>
    <row r="6049" spans="1:1">
      <c r="A6049" s="6"/>
    </row>
    <row r="6050" spans="1:1">
      <c r="A6050" s="6"/>
    </row>
    <row r="6051" spans="1:1">
      <c r="A6051" s="6"/>
    </row>
    <row r="6052" spans="1:1">
      <c r="A6052" s="6"/>
    </row>
    <row r="6053" spans="1:1">
      <c r="A6053" s="6"/>
    </row>
    <row r="6054" spans="1:1">
      <c r="A6054" s="6"/>
    </row>
    <row r="6055" spans="1:1">
      <c r="A6055" s="6"/>
    </row>
    <row r="6056" spans="1:1">
      <c r="A6056" s="6"/>
    </row>
    <row r="6057" spans="1:1">
      <c r="A6057" s="6"/>
    </row>
    <row r="6058" spans="1:1">
      <c r="A6058" s="6"/>
    </row>
    <row r="6059" spans="1:1">
      <c r="A6059" s="6"/>
    </row>
    <row r="6060" spans="1:1">
      <c r="A6060" s="6"/>
    </row>
    <row r="6061" spans="1:1">
      <c r="A6061" s="6"/>
    </row>
    <row r="6062" spans="1:1">
      <c r="A6062" s="6"/>
    </row>
    <row r="6063" spans="1:1">
      <c r="A6063" s="6"/>
    </row>
    <row r="6064" spans="1:1">
      <c r="A6064" s="6"/>
    </row>
    <row r="6065" spans="1:1">
      <c r="A6065" s="6"/>
    </row>
    <row r="6066" spans="1:1">
      <c r="A6066" s="6"/>
    </row>
    <row r="6067" spans="1:1">
      <c r="A6067" s="6"/>
    </row>
    <row r="6068" spans="1:1">
      <c r="A6068" s="6"/>
    </row>
    <row r="6069" spans="1:1">
      <c r="A6069" s="6"/>
    </row>
    <row r="6070" spans="1:1">
      <c r="A6070" s="6"/>
    </row>
    <row r="6071" spans="1:1">
      <c r="A6071" s="6"/>
    </row>
    <row r="6072" spans="1:1">
      <c r="A6072" s="6"/>
    </row>
    <row r="6073" spans="1:1">
      <c r="A6073" s="6"/>
    </row>
    <row r="6074" spans="1:1">
      <c r="A6074" s="6"/>
    </row>
    <row r="6075" spans="1:1">
      <c r="A6075" s="6"/>
    </row>
    <row r="6076" spans="1:1">
      <c r="A6076" s="6"/>
    </row>
    <row r="6077" spans="1:1">
      <c r="A6077" s="6"/>
    </row>
    <row r="6078" spans="1:1">
      <c r="A6078" s="6"/>
    </row>
    <row r="6079" spans="1:1">
      <c r="A6079" s="6"/>
    </row>
    <row r="6080" spans="1:1">
      <c r="A6080" s="6"/>
    </row>
    <row r="6081" spans="1:1">
      <c r="A6081" s="6"/>
    </row>
    <row r="6082" spans="1:1">
      <c r="A6082" s="6"/>
    </row>
    <row r="6083" spans="1:1">
      <c r="A6083" s="6"/>
    </row>
    <row r="6084" spans="1:1">
      <c r="A6084" s="6"/>
    </row>
    <row r="6085" spans="1:1">
      <c r="A6085" s="6"/>
    </row>
    <row r="6086" spans="1:1">
      <c r="A6086" s="6"/>
    </row>
    <row r="6087" spans="1:1">
      <c r="A6087" s="6"/>
    </row>
    <row r="6088" spans="1:1">
      <c r="A6088" s="6"/>
    </row>
    <row r="6089" spans="1:1">
      <c r="A6089" s="6"/>
    </row>
    <row r="6090" spans="1:1">
      <c r="A6090" s="6"/>
    </row>
    <row r="6091" spans="1:1">
      <c r="A6091" s="6"/>
    </row>
    <row r="6092" spans="1:1">
      <c r="A6092" s="6"/>
    </row>
    <row r="6093" spans="1:1">
      <c r="A6093" s="6"/>
    </row>
    <row r="6094" spans="1:1">
      <c r="A6094" s="6"/>
    </row>
    <row r="6095" spans="1:1">
      <c r="A6095" s="6"/>
    </row>
    <row r="6096" spans="1:1">
      <c r="A6096" s="6"/>
    </row>
    <row r="6097" spans="1:1">
      <c r="A6097" s="6"/>
    </row>
    <row r="6098" spans="1:1">
      <c r="A6098" s="6"/>
    </row>
    <row r="6099" spans="1:1">
      <c r="A6099" s="6"/>
    </row>
    <row r="6100" spans="1:1">
      <c r="A6100" s="6"/>
    </row>
    <row r="6101" spans="1:1">
      <c r="A6101" s="6"/>
    </row>
    <row r="6102" spans="1:1">
      <c r="A6102" s="6"/>
    </row>
    <row r="6103" spans="1:1">
      <c r="A6103" s="6"/>
    </row>
    <row r="6104" spans="1:1">
      <c r="A6104" s="6"/>
    </row>
    <row r="6105" spans="1:1">
      <c r="A6105" s="6"/>
    </row>
    <row r="6106" spans="1:1">
      <c r="A6106" s="6"/>
    </row>
    <row r="6107" spans="1:1">
      <c r="A6107" s="6"/>
    </row>
    <row r="6108" spans="1:1">
      <c r="A6108" s="6"/>
    </row>
    <row r="6109" spans="1:1">
      <c r="A6109" s="6"/>
    </row>
    <row r="6110" spans="1:1">
      <c r="A6110" s="6"/>
    </row>
    <row r="6111" spans="1:1">
      <c r="A6111" s="6"/>
    </row>
    <row r="6112" spans="1:1">
      <c r="A6112" s="6"/>
    </row>
    <row r="6113" spans="1:1">
      <c r="A6113" s="6"/>
    </row>
    <row r="6114" spans="1:1">
      <c r="A6114" s="6"/>
    </row>
    <row r="6115" spans="1:1">
      <c r="A6115" s="6"/>
    </row>
    <row r="6116" spans="1:1">
      <c r="A6116" s="6"/>
    </row>
    <row r="6117" spans="1:1">
      <c r="A6117" s="6"/>
    </row>
    <row r="6118" spans="1:1">
      <c r="A6118" s="6"/>
    </row>
    <row r="6119" spans="1:1">
      <c r="A6119" s="6"/>
    </row>
    <row r="6120" spans="1:1">
      <c r="A6120" s="6"/>
    </row>
    <row r="6121" spans="1:1">
      <c r="A6121" s="6"/>
    </row>
    <row r="6122" spans="1:1">
      <c r="A6122" s="6"/>
    </row>
    <row r="6123" spans="1:1">
      <c r="A6123" s="6"/>
    </row>
    <row r="6124" spans="1:1">
      <c r="A6124" s="6"/>
    </row>
    <row r="6125" spans="1:1">
      <c r="A6125" s="6"/>
    </row>
    <row r="6126" spans="1:1">
      <c r="A6126" s="6"/>
    </row>
    <row r="6127" spans="1:1">
      <c r="A6127" s="6"/>
    </row>
    <row r="6128" spans="1:1">
      <c r="A6128" s="6"/>
    </row>
    <row r="6129" spans="1:1">
      <c r="A6129" s="6"/>
    </row>
    <row r="6130" spans="1:1">
      <c r="A6130" s="6"/>
    </row>
    <row r="6131" spans="1:1">
      <c r="A6131" s="6"/>
    </row>
    <row r="6132" spans="1:1">
      <c r="A6132" s="6"/>
    </row>
    <row r="6133" spans="1:1">
      <c r="A6133" s="6"/>
    </row>
    <row r="6134" spans="1:1">
      <c r="A6134" s="6"/>
    </row>
    <row r="6135" spans="1:1">
      <c r="A6135" s="6"/>
    </row>
    <row r="6136" spans="1:1">
      <c r="A6136" s="6"/>
    </row>
    <row r="6137" spans="1:1">
      <c r="A6137" s="6"/>
    </row>
    <row r="6138" spans="1:1">
      <c r="A6138" s="6"/>
    </row>
    <row r="6139" spans="1:1">
      <c r="A6139" s="6"/>
    </row>
    <row r="6140" spans="1:1">
      <c r="A6140" s="6"/>
    </row>
    <row r="6141" spans="1:1">
      <c r="A6141" s="6"/>
    </row>
    <row r="6142" spans="1:1">
      <c r="A6142" s="6"/>
    </row>
    <row r="6143" spans="1:1">
      <c r="A6143" s="6"/>
    </row>
    <row r="6144" spans="1:1">
      <c r="A6144" s="6"/>
    </row>
    <row r="6145" spans="1:1">
      <c r="A6145" s="6"/>
    </row>
    <row r="6146" spans="1:1">
      <c r="A6146" s="6"/>
    </row>
    <row r="6147" spans="1:1">
      <c r="A6147" s="6"/>
    </row>
    <row r="6148" spans="1:1">
      <c r="A6148" s="6"/>
    </row>
    <row r="6149" spans="1:1">
      <c r="A6149" s="6"/>
    </row>
    <row r="6150" spans="1:1">
      <c r="A6150" s="6"/>
    </row>
    <row r="6151" spans="1:1">
      <c r="A6151" s="6"/>
    </row>
    <row r="6152" spans="1:1">
      <c r="A6152" s="6"/>
    </row>
    <row r="6153" spans="1:1">
      <c r="A6153" s="6"/>
    </row>
    <row r="6154" spans="1:1">
      <c r="A6154" s="6"/>
    </row>
    <row r="6155" spans="1:1">
      <c r="A6155" s="6"/>
    </row>
    <row r="6156" spans="1:1">
      <c r="A6156" s="6"/>
    </row>
    <row r="6157" spans="1:1">
      <c r="A6157" s="6"/>
    </row>
    <row r="6158" spans="1:1">
      <c r="A6158" s="6"/>
    </row>
    <row r="6159" spans="1:1">
      <c r="A6159" s="6"/>
    </row>
    <row r="6160" spans="1:1">
      <c r="A6160" s="6"/>
    </row>
    <row r="6161" spans="1:1">
      <c r="A6161" s="6"/>
    </row>
    <row r="6162" spans="1:1">
      <c r="A6162" s="6"/>
    </row>
    <row r="6163" spans="1:1">
      <c r="A6163" s="6"/>
    </row>
    <row r="6164" spans="1:1">
      <c r="A6164" s="6"/>
    </row>
    <row r="6165" spans="1:1">
      <c r="A6165" s="6"/>
    </row>
    <row r="6166" spans="1:1">
      <c r="A6166" s="6"/>
    </row>
    <row r="6167" spans="1:1">
      <c r="A6167" s="6"/>
    </row>
    <row r="6168" spans="1:1">
      <c r="A6168" s="6"/>
    </row>
    <row r="6169" spans="1:1">
      <c r="A6169" s="6"/>
    </row>
    <row r="6170" spans="1:1">
      <c r="A6170" s="6"/>
    </row>
    <row r="6171" spans="1:1">
      <c r="A6171" s="6"/>
    </row>
    <row r="6172" spans="1:1">
      <c r="A6172" s="6"/>
    </row>
    <row r="6173" spans="1:1">
      <c r="A6173" s="6"/>
    </row>
    <row r="6174" spans="1:1">
      <c r="A6174" s="6"/>
    </row>
    <row r="6175" spans="1:1">
      <c r="A6175" s="6"/>
    </row>
    <row r="6176" spans="1:1">
      <c r="A6176" s="6"/>
    </row>
    <row r="6177" spans="1:1">
      <c r="A6177" s="6"/>
    </row>
    <row r="6178" spans="1:1">
      <c r="A6178" s="6"/>
    </row>
    <row r="6179" spans="1:1">
      <c r="A6179" s="6"/>
    </row>
    <row r="6180" spans="1:1">
      <c r="A6180" s="6"/>
    </row>
    <row r="6181" spans="1:1">
      <c r="A6181" s="6"/>
    </row>
    <row r="6182" spans="1:1">
      <c r="A6182" s="6"/>
    </row>
    <row r="6183" spans="1:1">
      <c r="A6183" s="6"/>
    </row>
    <row r="6184" spans="1:1">
      <c r="A6184" s="6"/>
    </row>
    <row r="6185" spans="1:1">
      <c r="A6185" s="6"/>
    </row>
    <row r="6186" spans="1:1">
      <c r="A6186" s="6"/>
    </row>
    <row r="6187" spans="1:1">
      <c r="A6187" s="6"/>
    </row>
    <row r="6188" spans="1:1">
      <c r="A6188" s="6"/>
    </row>
    <row r="6189" spans="1:1">
      <c r="A6189" s="6"/>
    </row>
    <row r="6190" spans="1:1">
      <c r="A6190" s="6"/>
    </row>
    <row r="6191" spans="1:1">
      <c r="A6191" s="6"/>
    </row>
    <row r="6192" spans="1:1">
      <c r="A6192" s="6"/>
    </row>
    <row r="6193" spans="1:1">
      <c r="A6193" s="6"/>
    </row>
    <row r="6194" spans="1:1">
      <c r="A6194" s="6"/>
    </row>
    <row r="6195" spans="1:1">
      <c r="A6195" s="6"/>
    </row>
    <row r="6196" spans="1:1">
      <c r="A6196" s="6"/>
    </row>
    <row r="6197" spans="1:1">
      <c r="A6197" s="6"/>
    </row>
    <row r="6198" spans="1:1">
      <c r="A6198" s="6"/>
    </row>
    <row r="6199" spans="1:1">
      <c r="A6199" s="6"/>
    </row>
    <row r="6200" spans="1:1">
      <c r="A6200" s="6"/>
    </row>
    <row r="6201" spans="1:1">
      <c r="A6201" s="6"/>
    </row>
    <row r="6202" spans="1:1">
      <c r="A6202" s="6"/>
    </row>
    <row r="6203" spans="1:1">
      <c r="A6203" s="6"/>
    </row>
    <row r="6204" spans="1:1">
      <c r="A6204" s="6"/>
    </row>
    <row r="6205" spans="1:1">
      <c r="A6205" s="6"/>
    </row>
    <row r="6206" spans="1:1">
      <c r="A6206" s="6"/>
    </row>
    <row r="6207" spans="1:1">
      <c r="A6207" s="6"/>
    </row>
    <row r="6208" spans="1:1">
      <c r="A6208" s="6"/>
    </row>
    <row r="6209" spans="1:1">
      <c r="A6209" s="6"/>
    </row>
    <row r="6210" spans="1:1">
      <c r="A6210" s="6"/>
    </row>
    <row r="6211" spans="1:1">
      <c r="A6211" s="6"/>
    </row>
    <row r="6212" spans="1:1">
      <c r="A6212" s="6"/>
    </row>
    <row r="6213" spans="1:1">
      <c r="A6213" s="6"/>
    </row>
    <row r="6214" spans="1:1">
      <c r="A6214" s="6"/>
    </row>
    <row r="6215" spans="1:1">
      <c r="A6215" s="6"/>
    </row>
    <row r="6216" spans="1:1">
      <c r="A6216" s="6"/>
    </row>
    <row r="6217" spans="1:1">
      <c r="A6217" s="6"/>
    </row>
    <row r="6218" spans="1:1">
      <c r="A6218" s="6"/>
    </row>
    <row r="6219" spans="1:1">
      <c r="A6219" s="6"/>
    </row>
    <row r="6220" spans="1:1">
      <c r="A6220" s="6"/>
    </row>
    <row r="6221" spans="1:1">
      <c r="A6221" s="6"/>
    </row>
    <row r="6222" spans="1:1">
      <c r="A6222" s="6"/>
    </row>
    <row r="6223" spans="1:1">
      <c r="A6223" s="6"/>
    </row>
    <row r="6224" spans="1:1">
      <c r="A6224" s="6"/>
    </row>
    <row r="6225" spans="1:1">
      <c r="A6225" s="6"/>
    </row>
    <row r="6226" spans="1:1">
      <c r="A6226" s="6"/>
    </row>
    <row r="6227" spans="1:1">
      <c r="A6227" s="6"/>
    </row>
    <row r="6228" spans="1:1">
      <c r="A6228" s="6"/>
    </row>
    <row r="6229" spans="1:1">
      <c r="A6229" s="6"/>
    </row>
    <row r="6230" spans="1:1">
      <c r="A6230" s="6"/>
    </row>
    <row r="6231" spans="1:1">
      <c r="A6231" s="6"/>
    </row>
    <row r="6232" spans="1:1">
      <c r="A6232" s="6"/>
    </row>
    <row r="6233" spans="1:1">
      <c r="A6233" s="6"/>
    </row>
    <row r="6234" spans="1:1">
      <c r="A6234" s="6"/>
    </row>
    <row r="6235" spans="1:1">
      <c r="A6235" s="6"/>
    </row>
    <row r="6236" spans="1:1">
      <c r="A6236" s="6"/>
    </row>
    <row r="6237" spans="1:1">
      <c r="A6237" s="6"/>
    </row>
    <row r="6238" spans="1:1">
      <c r="A6238" s="6"/>
    </row>
    <row r="6239" spans="1:1">
      <c r="A6239" s="6"/>
    </row>
    <row r="6240" spans="1:1">
      <c r="A6240" s="6"/>
    </row>
    <row r="6241" spans="1:1">
      <c r="A6241" s="6"/>
    </row>
    <row r="6242" spans="1:1">
      <c r="A6242" s="6"/>
    </row>
    <row r="6243" spans="1:1">
      <c r="A6243" s="6"/>
    </row>
    <row r="6244" spans="1:1">
      <c r="A6244" s="6"/>
    </row>
    <row r="6245" spans="1:1">
      <c r="A6245" s="6"/>
    </row>
    <row r="6246" spans="1:1">
      <c r="A6246" s="6"/>
    </row>
    <row r="6247" spans="1:1">
      <c r="A6247" s="6"/>
    </row>
    <row r="6248" spans="1:1">
      <c r="A6248" s="6"/>
    </row>
    <row r="6249" spans="1:1">
      <c r="A6249" s="6"/>
    </row>
    <row r="6250" spans="1:1">
      <c r="A6250" s="6"/>
    </row>
    <row r="6251" spans="1:1">
      <c r="A6251" s="6"/>
    </row>
    <row r="6252" spans="1:1">
      <c r="A6252" s="6"/>
    </row>
    <row r="6253" spans="1:1">
      <c r="A6253" s="6"/>
    </row>
    <row r="6254" spans="1:1">
      <c r="A6254" s="6"/>
    </row>
    <row r="6255" spans="1:1">
      <c r="A6255" s="6"/>
    </row>
    <row r="6256" spans="1:1">
      <c r="A6256" s="6"/>
    </row>
    <row r="6257" spans="1:1">
      <c r="A6257" s="6"/>
    </row>
    <row r="6258" spans="1:1">
      <c r="A6258" s="6"/>
    </row>
    <row r="6259" spans="1:1">
      <c r="A6259" s="6"/>
    </row>
    <row r="6260" spans="1:1">
      <c r="A6260" s="6"/>
    </row>
    <row r="6261" spans="1:1">
      <c r="A6261" s="6"/>
    </row>
    <row r="6262" spans="1:1">
      <c r="A6262" s="6"/>
    </row>
    <row r="6263" spans="1:1">
      <c r="A6263" s="6"/>
    </row>
    <row r="6264" spans="1:1">
      <c r="A6264" s="6"/>
    </row>
    <row r="6265" spans="1:1">
      <c r="A6265" s="6"/>
    </row>
    <row r="6266" spans="1:1">
      <c r="A6266" s="6"/>
    </row>
    <row r="6267" spans="1:1">
      <c r="A6267" s="6"/>
    </row>
    <row r="6268" spans="1:1">
      <c r="A6268" s="6"/>
    </row>
    <row r="6269" spans="1:1">
      <c r="A6269" s="6"/>
    </row>
    <row r="6270" spans="1:1">
      <c r="A6270" s="6"/>
    </row>
    <row r="6271" spans="1:1">
      <c r="A6271" s="6"/>
    </row>
    <row r="6272" spans="1:1">
      <c r="A6272" s="6"/>
    </row>
    <row r="6273" spans="1:1">
      <c r="A6273" s="6"/>
    </row>
    <row r="6274" spans="1:1">
      <c r="A6274" s="6"/>
    </row>
    <row r="6275" spans="1:1">
      <c r="A6275" s="6"/>
    </row>
    <row r="6276" spans="1:1">
      <c r="A6276" s="6"/>
    </row>
    <row r="6277" spans="1:1">
      <c r="A6277" s="6"/>
    </row>
    <row r="6278" spans="1:1">
      <c r="A6278" s="6"/>
    </row>
    <row r="6279" spans="1:1">
      <c r="A6279" s="6"/>
    </row>
    <row r="6280" spans="1:1">
      <c r="A6280" s="6"/>
    </row>
    <row r="6281" spans="1:1">
      <c r="A6281" s="6"/>
    </row>
    <row r="6282" spans="1:1">
      <c r="A6282" s="6"/>
    </row>
    <row r="6283" spans="1:1">
      <c r="A6283" s="6"/>
    </row>
    <row r="6284" spans="1:1">
      <c r="A6284" s="6"/>
    </row>
    <row r="6285" spans="1:1">
      <c r="A6285" s="6"/>
    </row>
    <row r="6286" spans="1:1">
      <c r="A6286" s="6"/>
    </row>
    <row r="6287" spans="1:1">
      <c r="A6287" s="6"/>
    </row>
    <row r="6288" spans="1:1">
      <c r="A6288" s="6"/>
    </row>
    <row r="6289" spans="1:1">
      <c r="A6289" s="6"/>
    </row>
    <row r="6290" spans="1:1">
      <c r="A6290" s="6"/>
    </row>
    <row r="6291" spans="1:1">
      <c r="A6291" s="6"/>
    </row>
    <row r="6292" spans="1:1">
      <c r="A6292" s="6"/>
    </row>
    <row r="6293" spans="1:1">
      <c r="A6293" s="6"/>
    </row>
    <row r="6294" spans="1:1">
      <c r="A6294" s="6"/>
    </row>
    <row r="6295" spans="1:1">
      <c r="A6295" s="6"/>
    </row>
    <row r="6296" spans="1:1">
      <c r="A6296" s="6"/>
    </row>
    <row r="6297" spans="1:1">
      <c r="A6297" s="6"/>
    </row>
    <row r="6298" spans="1:1">
      <c r="A6298" s="6"/>
    </row>
    <row r="6299" spans="1:1">
      <c r="A6299" s="6"/>
    </row>
    <row r="6300" spans="1:1">
      <c r="A6300" s="6"/>
    </row>
    <row r="6301" spans="1:1">
      <c r="A6301" s="6"/>
    </row>
    <row r="6302" spans="1:1">
      <c r="A6302" s="6"/>
    </row>
    <row r="6303" spans="1:1">
      <c r="A6303" s="6"/>
    </row>
    <row r="6304" spans="1:1">
      <c r="A6304" s="6"/>
    </row>
    <row r="6305" spans="1:1">
      <c r="A6305" s="6"/>
    </row>
    <row r="6306" spans="1:1">
      <c r="A6306" s="6"/>
    </row>
    <row r="6307" spans="1:1">
      <c r="A6307" s="6"/>
    </row>
    <row r="6308" spans="1:1">
      <c r="A6308" s="6"/>
    </row>
    <row r="6309" spans="1:1">
      <c r="A6309" s="6"/>
    </row>
    <row r="6310" spans="1:1">
      <c r="A6310" s="6"/>
    </row>
    <row r="6311" spans="1:1">
      <c r="A6311" s="6"/>
    </row>
    <row r="6312" spans="1:1">
      <c r="A6312" s="6"/>
    </row>
    <row r="6313" spans="1:1">
      <c r="A6313" s="6"/>
    </row>
    <row r="6314" spans="1:1">
      <c r="A6314" s="6"/>
    </row>
    <row r="6315" spans="1:1">
      <c r="A6315" s="6"/>
    </row>
    <row r="6316" spans="1:1">
      <c r="A6316" s="6"/>
    </row>
    <row r="6317" spans="1:1">
      <c r="A6317" s="6"/>
    </row>
    <row r="6318" spans="1:1">
      <c r="A6318" s="6"/>
    </row>
    <row r="6319" spans="1:1">
      <c r="A6319" s="6"/>
    </row>
    <row r="6320" spans="1:1">
      <c r="A6320" s="6"/>
    </row>
    <row r="6321" spans="1:1">
      <c r="A6321" s="6"/>
    </row>
    <row r="6322" spans="1:1">
      <c r="A6322" s="6"/>
    </row>
    <row r="6323" spans="1:1">
      <c r="A6323" s="6"/>
    </row>
    <row r="6324" spans="1:1">
      <c r="A6324" s="6"/>
    </row>
    <row r="6325" spans="1:1">
      <c r="A6325" s="6"/>
    </row>
    <row r="6326" spans="1:1">
      <c r="A6326" s="6"/>
    </row>
    <row r="6327" spans="1:1">
      <c r="A6327" s="6"/>
    </row>
    <row r="6328" spans="1:1">
      <c r="A6328" s="6"/>
    </row>
    <row r="6329" spans="1:1">
      <c r="A6329" s="6"/>
    </row>
    <row r="6330" spans="1:1">
      <c r="A6330" s="6"/>
    </row>
    <row r="6331" spans="1:1">
      <c r="A6331" s="6"/>
    </row>
    <row r="6332" spans="1:1">
      <c r="A6332" s="6"/>
    </row>
    <row r="6333" spans="1:1">
      <c r="A6333" s="6"/>
    </row>
    <row r="6334" spans="1:1">
      <c r="A6334" s="6"/>
    </row>
    <row r="6335" spans="1:1">
      <c r="A6335" s="6"/>
    </row>
    <row r="6336" spans="1:1">
      <c r="A6336" s="6"/>
    </row>
    <row r="6337" spans="1:1">
      <c r="A6337" s="6"/>
    </row>
    <row r="6338" spans="1:1">
      <c r="A6338" s="6"/>
    </row>
    <row r="6339" spans="1:1">
      <c r="A6339" s="6"/>
    </row>
    <row r="6340" spans="1:1">
      <c r="A6340" s="6"/>
    </row>
    <row r="6341" spans="1:1">
      <c r="A6341" s="6"/>
    </row>
    <row r="6342" spans="1:1">
      <c r="A6342" s="6"/>
    </row>
    <row r="6343" spans="1:1">
      <c r="A6343" s="6"/>
    </row>
    <row r="6344" spans="1:1">
      <c r="A6344" s="6"/>
    </row>
    <row r="6345" spans="1:1">
      <c r="A6345" s="6"/>
    </row>
    <row r="6346" spans="1:1">
      <c r="A6346" s="6"/>
    </row>
    <row r="6347" spans="1:1">
      <c r="A6347" s="6"/>
    </row>
    <row r="6348" spans="1:1">
      <c r="A6348" s="6"/>
    </row>
    <row r="6349" spans="1:1">
      <c r="A6349" s="6"/>
    </row>
    <row r="6350" spans="1:1">
      <c r="A6350" s="6"/>
    </row>
    <row r="6351" spans="1:1">
      <c r="A6351" s="6"/>
    </row>
    <row r="6352" spans="1:1">
      <c r="A6352" s="6"/>
    </row>
    <row r="6353" spans="1:1">
      <c r="A6353" s="6"/>
    </row>
    <row r="6354" spans="1:1">
      <c r="A6354" s="6"/>
    </row>
    <row r="6355" spans="1:1">
      <c r="A6355" s="6"/>
    </row>
    <row r="6356" spans="1:1">
      <c r="A6356" s="6"/>
    </row>
    <row r="6357" spans="1:1">
      <c r="A6357" s="6"/>
    </row>
    <row r="6358" spans="1:1">
      <c r="A6358" s="6"/>
    </row>
    <row r="6359" spans="1:1">
      <c r="A6359" s="6"/>
    </row>
    <row r="6360" spans="1:1">
      <c r="A6360" s="6"/>
    </row>
    <row r="6361" spans="1:1">
      <c r="A6361" s="6"/>
    </row>
    <row r="6362" spans="1:1">
      <c r="A6362" s="6"/>
    </row>
    <row r="6363" spans="1:1">
      <c r="A6363" s="6"/>
    </row>
    <row r="6364" spans="1:1">
      <c r="A6364" s="6"/>
    </row>
    <row r="6365" spans="1:1">
      <c r="A6365" s="6"/>
    </row>
    <row r="6366" spans="1:1">
      <c r="A6366" s="6"/>
    </row>
    <row r="6367" spans="1:1">
      <c r="A6367" s="6"/>
    </row>
    <row r="6368" spans="1:1">
      <c r="A6368" s="6"/>
    </row>
    <row r="6369" spans="1:1">
      <c r="A6369" s="6"/>
    </row>
    <row r="6370" spans="1:1">
      <c r="A6370" s="6"/>
    </row>
    <row r="6371" spans="1:1">
      <c r="A6371" s="6"/>
    </row>
    <row r="6372" spans="1:1">
      <c r="A6372" s="6"/>
    </row>
    <row r="6373" spans="1:1">
      <c r="A6373" s="6"/>
    </row>
    <row r="6374" spans="1:1">
      <c r="A6374" s="6"/>
    </row>
    <row r="6375" spans="1:1">
      <c r="A6375" s="6"/>
    </row>
    <row r="6376" spans="1:1">
      <c r="A6376" s="6"/>
    </row>
    <row r="6377" spans="1:1">
      <c r="A6377" s="6"/>
    </row>
    <row r="6378" spans="1:1">
      <c r="A6378" s="6"/>
    </row>
    <row r="6379" spans="1:1">
      <c r="A6379" s="6"/>
    </row>
    <row r="6380" spans="1:1">
      <c r="A6380" s="6"/>
    </row>
    <row r="6381" spans="1:1">
      <c r="A6381" s="6"/>
    </row>
    <row r="6382" spans="1:1">
      <c r="A6382" s="6"/>
    </row>
    <row r="6383" spans="1:1">
      <c r="A6383" s="6"/>
    </row>
    <row r="6384" spans="1:1">
      <c r="A6384" s="6"/>
    </row>
    <row r="6385" spans="1:1">
      <c r="A6385" s="6"/>
    </row>
    <row r="6386" spans="1:1">
      <c r="A6386" s="6"/>
    </row>
    <row r="6387" spans="1:1">
      <c r="A6387" s="6"/>
    </row>
    <row r="6388" spans="1:1">
      <c r="A6388" s="6"/>
    </row>
    <row r="6389" spans="1:1">
      <c r="A6389" s="6"/>
    </row>
    <row r="6390" spans="1:1">
      <c r="A6390" s="6"/>
    </row>
    <row r="6391" spans="1:1">
      <c r="A6391" s="6"/>
    </row>
    <row r="6392" spans="1:1">
      <c r="A6392" s="6"/>
    </row>
    <row r="6393" spans="1:1">
      <c r="A6393" s="6"/>
    </row>
    <row r="6394" spans="1:1">
      <c r="A6394" s="6"/>
    </row>
    <row r="6395" spans="1:1">
      <c r="A6395" s="6"/>
    </row>
    <row r="6396" spans="1:1">
      <c r="A6396" s="6"/>
    </row>
    <row r="6397" spans="1:1">
      <c r="A6397" s="6"/>
    </row>
    <row r="6398" spans="1:1">
      <c r="A6398" s="6"/>
    </row>
    <row r="6399" spans="1:1">
      <c r="A6399" s="6"/>
    </row>
    <row r="6400" spans="1:1">
      <c r="A6400" s="6"/>
    </row>
    <row r="6401" spans="1:1">
      <c r="A6401" s="6"/>
    </row>
    <row r="6402" spans="1:1">
      <c r="A6402" s="6"/>
    </row>
    <row r="6403" spans="1:1">
      <c r="A6403" s="6"/>
    </row>
    <row r="6404" spans="1:1">
      <c r="A6404" s="6"/>
    </row>
    <row r="6405" spans="1:1">
      <c r="A6405" s="6"/>
    </row>
    <row r="6406" spans="1:1">
      <c r="A6406" s="6"/>
    </row>
    <row r="6407" spans="1:1">
      <c r="A6407" s="6"/>
    </row>
    <row r="6408" spans="1:1">
      <c r="A6408" s="6"/>
    </row>
    <row r="6409" spans="1:1">
      <c r="A6409" s="6"/>
    </row>
    <row r="6410" spans="1:1">
      <c r="A6410" s="6"/>
    </row>
    <row r="6411" spans="1:1">
      <c r="A6411" s="6"/>
    </row>
    <row r="6412" spans="1:1">
      <c r="A6412" s="6"/>
    </row>
    <row r="6413" spans="1:1">
      <c r="A6413" s="6"/>
    </row>
    <row r="6414" spans="1:1">
      <c r="A6414" s="6"/>
    </row>
    <row r="6415" spans="1:1">
      <c r="A6415" s="6"/>
    </row>
    <row r="6416" spans="1:1">
      <c r="A6416" s="6"/>
    </row>
    <row r="6417" spans="1:1">
      <c r="A6417" s="6"/>
    </row>
    <row r="6418" spans="1:1">
      <c r="A6418" s="6"/>
    </row>
    <row r="6419" spans="1:1">
      <c r="A6419" s="6"/>
    </row>
    <row r="6420" spans="1:1">
      <c r="A6420" s="6"/>
    </row>
    <row r="6421" spans="1:1">
      <c r="A6421" s="6"/>
    </row>
    <row r="6422" spans="1:1">
      <c r="A6422" s="6"/>
    </row>
    <row r="6423" spans="1:1">
      <c r="A6423" s="6"/>
    </row>
    <row r="6424" spans="1:1">
      <c r="A6424" s="6"/>
    </row>
    <row r="6425" spans="1:1">
      <c r="A6425" s="6"/>
    </row>
    <row r="6426" spans="1:1">
      <c r="A6426" s="6"/>
    </row>
    <row r="6427" spans="1:1">
      <c r="A6427" s="6"/>
    </row>
    <row r="6428" spans="1:1">
      <c r="A6428" s="6"/>
    </row>
    <row r="6429" spans="1:1">
      <c r="A6429" s="6"/>
    </row>
    <row r="6430" spans="1:1">
      <c r="A6430" s="6"/>
    </row>
    <row r="6431" spans="1:1">
      <c r="A6431" s="6"/>
    </row>
    <row r="6432" spans="1:1">
      <c r="A6432" s="6"/>
    </row>
    <row r="6433" spans="1:1">
      <c r="A6433" s="6"/>
    </row>
    <row r="6434" spans="1:1">
      <c r="A6434" s="6"/>
    </row>
    <row r="6435" spans="1:1">
      <c r="A6435" s="6"/>
    </row>
    <row r="6436" spans="1:1">
      <c r="A6436" s="6"/>
    </row>
    <row r="6437" spans="1:1">
      <c r="A6437" s="6"/>
    </row>
    <row r="6438" spans="1:1">
      <c r="A6438" s="6"/>
    </row>
    <row r="6439" spans="1:1">
      <c r="A6439" s="6"/>
    </row>
    <row r="6440" spans="1:1">
      <c r="A6440" s="6"/>
    </row>
    <row r="6441" spans="1:1">
      <c r="A6441" s="6"/>
    </row>
    <row r="6442" spans="1:1">
      <c r="A6442" s="6"/>
    </row>
    <row r="6443" spans="1:1">
      <c r="A6443" s="6"/>
    </row>
    <row r="6444" spans="1:1">
      <c r="A6444" s="6"/>
    </row>
    <row r="6445" spans="1:1">
      <c r="A6445" s="6"/>
    </row>
    <row r="6446" spans="1:1">
      <c r="A6446" s="6"/>
    </row>
    <row r="6447" spans="1:1">
      <c r="A6447" s="6"/>
    </row>
    <row r="6448" spans="1:1">
      <c r="A6448" s="6"/>
    </row>
    <row r="6449" spans="1:1">
      <c r="A6449" s="6"/>
    </row>
    <row r="6450" spans="1:1">
      <c r="A6450" s="6"/>
    </row>
    <row r="6451" spans="1:1">
      <c r="A6451" s="6"/>
    </row>
    <row r="6452" spans="1:1">
      <c r="A6452" s="6"/>
    </row>
    <row r="6453" spans="1:1">
      <c r="A6453" s="6"/>
    </row>
    <row r="6454" spans="1:1">
      <c r="A6454" s="6"/>
    </row>
    <row r="6455" spans="1:1">
      <c r="A6455" s="6"/>
    </row>
    <row r="6456" spans="1:1">
      <c r="A6456" s="6"/>
    </row>
    <row r="6457" spans="1:1">
      <c r="A6457" s="6"/>
    </row>
    <row r="6458" spans="1:1">
      <c r="A6458" s="6"/>
    </row>
    <row r="6459" spans="1:1">
      <c r="A6459" s="6"/>
    </row>
    <row r="6460" spans="1:1">
      <c r="A6460" s="6"/>
    </row>
    <row r="6461" spans="1:1">
      <c r="A6461" s="6"/>
    </row>
    <row r="6462" spans="1:1">
      <c r="A6462" s="6"/>
    </row>
    <row r="6463" spans="1:1">
      <c r="A6463" s="6"/>
    </row>
    <row r="6464" spans="1:1">
      <c r="A6464" s="6"/>
    </row>
    <row r="6465" spans="1:1">
      <c r="A6465" s="6"/>
    </row>
    <row r="6466" spans="1:1">
      <c r="A6466" s="6"/>
    </row>
    <row r="6467" spans="1:1">
      <c r="A6467" s="6"/>
    </row>
    <row r="6468" spans="1:1">
      <c r="A6468" s="6"/>
    </row>
    <row r="6469" spans="1:1">
      <c r="A6469" s="6"/>
    </row>
    <row r="6470" spans="1:1">
      <c r="A6470" s="6"/>
    </row>
    <row r="6471" spans="1:1">
      <c r="A6471" s="6"/>
    </row>
    <row r="6472" spans="1:1">
      <c r="A6472" s="6"/>
    </row>
    <row r="6473" spans="1:1">
      <c r="A6473" s="6"/>
    </row>
    <row r="6474" spans="1:1">
      <c r="A6474" s="6"/>
    </row>
    <row r="6475" spans="1:1">
      <c r="A6475" s="6"/>
    </row>
    <row r="6476" spans="1:1">
      <c r="A6476" s="6"/>
    </row>
    <row r="6477" spans="1:1">
      <c r="A6477" s="6"/>
    </row>
    <row r="6478" spans="1:1">
      <c r="A6478" s="6"/>
    </row>
    <row r="6479" spans="1:1">
      <c r="A6479" s="6"/>
    </row>
    <row r="6480" spans="1:1">
      <c r="A6480" s="6"/>
    </row>
    <row r="6481" spans="1:1">
      <c r="A6481" s="6"/>
    </row>
    <row r="6482" spans="1:1">
      <c r="A6482" s="6"/>
    </row>
    <row r="6483" spans="1:1">
      <c r="A6483" s="6"/>
    </row>
    <row r="6484" spans="1:1">
      <c r="A6484" s="6"/>
    </row>
    <row r="6485" spans="1:1">
      <c r="A6485" s="6"/>
    </row>
    <row r="6486" spans="1:1">
      <c r="A6486" s="6"/>
    </row>
    <row r="6487" spans="1:1">
      <c r="A6487" s="6"/>
    </row>
    <row r="6488" spans="1:1">
      <c r="A6488" s="6"/>
    </row>
    <row r="6489" spans="1:1">
      <c r="A6489" s="6"/>
    </row>
    <row r="6490" spans="1:1">
      <c r="A6490" s="6"/>
    </row>
    <row r="6491" spans="1:1">
      <c r="A6491" s="6"/>
    </row>
    <row r="6492" spans="1:1">
      <c r="A6492" s="6"/>
    </row>
    <row r="6493" spans="1:1">
      <c r="A6493" s="6"/>
    </row>
    <row r="6494" spans="1:1">
      <c r="A6494" s="6"/>
    </row>
    <row r="6495" spans="1:1">
      <c r="A6495" s="6"/>
    </row>
    <row r="6496" spans="1:1">
      <c r="A6496" s="6"/>
    </row>
    <row r="6497" spans="1:1">
      <c r="A6497" s="6"/>
    </row>
    <row r="6498" spans="1:1">
      <c r="A6498" s="6"/>
    </row>
    <row r="6499" spans="1:1">
      <c r="A6499" s="6"/>
    </row>
    <row r="6500" spans="1:1">
      <c r="A6500" s="6"/>
    </row>
    <row r="6501" spans="1:1">
      <c r="A6501" s="6"/>
    </row>
    <row r="6502" spans="1:1">
      <c r="A6502" s="6"/>
    </row>
    <row r="6503" spans="1:1">
      <c r="A6503" s="6"/>
    </row>
    <row r="6504" spans="1:1">
      <c r="A6504" s="6"/>
    </row>
    <row r="6505" spans="1:1">
      <c r="A6505" s="6"/>
    </row>
    <row r="6506" spans="1:1">
      <c r="A6506" s="6"/>
    </row>
    <row r="6507" spans="1:1">
      <c r="A6507" s="6"/>
    </row>
    <row r="6508" spans="1:1">
      <c r="A6508" s="6"/>
    </row>
    <row r="6509" spans="1:1">
      <c r="A6509" s="6"/>
    </row>
    <row r="6510" spans="1:1">
      <c r="A6510" s="6"/>
    </row>
    <row r="6511" spans="1:1">
      <c r="A6511" s="6"/>
    </row>
    <row r="6512" spans="1:1">
      <c r="A6512" s="6"/>
    </row>
    <row r="6513" spans="1:1">
      <c r="A6513" s="6"/>
    </row>
    <row r="6514" spans="1:1">
      <c r="A6514" s="6"/>
    </row>
    <row r="6515" spans="1:1">
      <c r="A6515" s="6"/>
    </row>
    <row r="6516" spans="1:1">
      <c r="A6516" s="6"/>
    </row>
    <row r="6517" spans="1:1">
      <c r="A6517" s="6"/>
    </row>
    <row r="6518" spans="1:1">
      <c r="A6518" s="6"/>
    </row>
    <row r="6519" spans="1:1">
      <c r="A6519" s="6"/>
    </row>
    <row r="6520" spans="1:1">
      <c r="A6520" s="6"/>
    </row>
    <row r="6521" spans="1:1">
      <c r="A6521" s="6"/>
    </row>
    <row r="6522" spans="1:1">
      <c r="A6522" s="6"/>
    </row>
    <row r="6523" spans="1:1">
      <c r="A6523" s="6"/>
    </row>
    <row r="6524" spans="1:1">
      <c r="A6524" s="6"/>
    </row>
    <row r="6525" spans="1:1">
      <c r="A6525" s="6"/>
    </row>
    <row r="6526" spans="1:1">
      <c r="A6526" s="6"/>
    </row>
    <row r="6527" spans="1:1">
      <c r="A6527" s="6"/>
    </row>
    <row r="6528" spans="1:1">
      <c r="A6528" s="6"/>
    </row>
    <row r="6529" spans="1:1">
      <c r="A6529" s="6"/>
    </row>
    <row r="6530" spans="1:1">
      <c r="A6530" s="6"/>
    </row>
    <row r="6531" spans="1:1">
      <c r="A6531" s="6"/>
    </row>
    <row r="6532" spans="1:1">
      <c r="A6532" s="6"/>
    </row>
    <row r="6533" spans="1:1">
      <c r="A6533" s="6"/>
    </row>
    <row r="6534" spans="1:1">
      <c r="A6534" s="6"/>
    </row>
    <row r="6535" spans="1:1">
      <c r="A6535" s="6"/>
    </row>
    <row r="6536" spans="1:1">
      <c r="A6536" s="6"/>
    </row>
    <row r="6537" spans="1:1">
      <c r="A6537" s="6"/>
    </row>
    <row r="6538" spans="1:1">
      <c r="A6538" s="6"/>
    </row>
    <row r="6539" spans="1:1">
      <c r="A6539" s="6"/>
    </row>
    <row r="6540" spans="1:1">
      <c r="A6540" s="6"/>
    </row>
    <row r="6541" spans="1:1">
      <c r="A6541" s="6"/>
    </row>
    <row r="6542" spans="1:1">
      <c r="A6542" s="6"/>
    </row>
    <row r="6543" spans="1:1">
      <c r="A6543" s="6"/>
    </row>
    <row r="6544" spans="1:1">
      <c r="A6544" s="6"/>
    </row>
    <row r="6545" spans="1:1">
      <c r="A6545" s="6"/>
    </row>
    <row r="6546" spans="1:1">
      <c r="A6546" s="6"/>
    </row>
    <row r="6547" spans="1:1">
      <c r="A6547" s="6"/>
    </row>
    <row r="6548" spans="1:1">
      <c r="A6548" s="6"/>
    </row>
    <row r="6549" spans="1:1">
      <c r="A6549" s="6"/>
    </row>
    <row r="6550" spans="1:1">
      <c r="A6550" s="6"/>
    </row>
    <row r="6551" spans="1:1">
      <c r="A6551" s="6"/>
    </row>
    <row r="6552" spans="1:1">
      <c r="A6552" s="6"/>
    </row>
    <row r="6553" spans="1:1">
      <c r="A6553" s="6"/>
    </row>
    <row r="6554" spans="1:1">
      <c r="A6554" s="6"/>
    </row>
    <row r="6555" spans="1:1">
      <c r="A6555" s="6"/>
    </row>
    <row r="6556" spans="1:1">
      <c r="A6556" s="6"/>
    </row>
    <row r="6557" spans="1:1">
      <c r="A6557" s="6"/>
    </row>
    <row r="6558" spans="1:1">
      <c r="A6558" s="6"/>
    </row>
    <row r="6559" spans="1:1">
      <c r="A6559" s="6"/>
    </row>
    <row r="6560" spans="1:1">
      <c r="A6560" s="6"/>
    </row>
    <row r="6561" spans="1:1">
      <c r="A6561" s="6"/>
    </row>
    <row r="6562" spans="1:1">
      <c r="A6562" s="6"/>
    </row>
    <row r="6563" spans="1:1">
      <c r="A6563" s="6"/>
    </row>
    <row r="6564" spans="1:1">
      <c r="A6564" s="6"/>
    </row>
    <row r="6565" spans="1:1">
      <c r="A6565" s="6"/>
    </row>
    <row r="6566" spans="1:1">
      <c r="A6566" s="6"/>
    </row>
    <row r="6567" spans="1:1">
      <c r="A6567" s="6"/>
    </row>
    <row r="6568" spans="1:1">
      <c r="A6568" s="6"/>
    </row>
    <row r="6569" spans="1:1">
      <c r="A6569" s="6"/>
    </row>
    <row r="6570" spans="1:1">
      <c r="A6570" s="6"/>
    </row>
    <row r="6571" spans="1:1">
      <c r="A6571" s="6"/>
    </row>
    <row r="6572" spans="1:1">
      <c r="A6572" s="6"/>
    </row>
    <row r="6573" spans="1:1">
      <c r="A6573" s="6"/>
    </row>
    <row r="6574" spans="1:1">
      <c r="A6574" s="6"/>
    </row>
    <row r="6575" spans="1:1">
      <c r="A6575" s="6"/>
    </row>
    <row r="6576" spans="1:1">
      <c r="A6576" s="6"/>
    </row>
    <row r="6577" spans="1:1">
      <c r="A6577" s="6"/>
    </row>
    <row r="6578" spans="1:1">
      <c r="A6578" s="6"/>
    </row>
    <row r="6579" spans="1:1">
      <c r="A6579" s="6"/>
    </row>
    <row r="6580" spans="1:1">
      <c r="A6580" s="6"/>
    </row>
    <row r="6581" spans="1:1">
      <c r="A6581" s="6"/>
    </row>
    <row r="6582" spans="1:1">
      <c r="A6582" s="6"/>
    </row>
    <row r="6583" spans="1:1">
      <c r="A6583" s="6"/>
    </row>
    <row r="6584" spans="1:1">
      <c r="A6584" s="6"/>
    </row>
    <row r="6585" spans="1:1">
      <c r="A6585" s="6"/>
    </row>
    <row r="6586" spans="1:1">
      <c r="A6586" s="6"/>
    </row>
    <row r="6587" spans="1:1">
      <c r="A6587" s="6"/>
    </row>
    <row r="6588" spans="1:1">
      <c r="A6588" s="6"/>
    </row>
    <row r="6589" spans="1:1">
      <c r="A6589" s="6"/>
    </row>
    <row r="6590" spans="1:1">
      <c r="A6590" s="6"/>
    </row>
    <row r="6591" spans="1:1">
      <c r="A6591" s="6"/>
    </row>
    <row r="6592" spans="1:1">
      <c r="A6592" s="6"/>
    </row>
    <row r="6593" spans="1:1">
      <c r="A6593" s="6"/>
    </row>
    <row r="6594" spans="1:1">
      <c r="A6594" s="6"/>
    </row>
    <row r="6595" spans="1:1">
      <c r="A6595" s="6"/>
    </row>
    <row r="6596" spans="1:1">
      <c r="A6596" s="6"/>
    </row>
    <row r="6597" spans="1:1">
      <c r="A6597" s="6"/>
    </row>
    <row r="6598" spans="1:1">
      <c r="A6598" s="6"/>
    </row>
    <row r="6599" spans="1:1">
      <c r="A6599" s="6"/>
    </row>
    <row r="6600" spans="1:1">
      <c r="A6600" s="6"/>
    </row>
    <row r="6601" spans="1:1">
      <c r="A6601" s="6"/>
    </row>
    <row r="6602" spans="1:1">
      <c r="A6602" s="6"/>
    </row>
    <row r="6603" spans="1:1">
      <c r="A6603" s="6"/>
    </row>
    <row r="6604" spans="1:1">
      <c r="A6604" s="6"/>
    </row>
    <row r="6605" spans="1:1">
      <c r="A6605" s="6"/>
    </row>
    <row r="6606" spans="1:1">
      <c r="A6606" s="6"/>
    </row>
    <row r="6607" spans="1:1">
      <c r="A6607" s="6"/>
    </row>
    <row r="6608" spans="1:1">
      <c r="A6608" s="6"/>
    </row>
    <row r="6609" spans="1:1">
      <c r="A6609" s="6"/>
    </row>
    <row r="6610" spans="1:1">
      <c r="A6610" s="6"/>
    </row>
    <row r="6611" spans="1:1">
      <c r="A6611" s="6"/>
    </row>
    <row r="6612" spans="1:1">
      <c r="A6612" s="6"/>
    </row>
    <row r="6613" spans="1:1">
      <c r="A6613" s="6"/>
    </row>
    <row r="6614" spans="1:1">
      <c r="A6614" s="6"/>
    </row>
    <row r="6615" spans="1:1">
      <c r="A6615" s="6"/>
    </row>
    <row r="6616" spans="1:1">
      <c r="A6616" s="6"/>
    </row>
    <row r="6617" spans="1:1">
      <c r="A6617" s="6"/>
    </row>
    <row r="6618" spans="1:1">
      <c r="A6618" s="6"/>
    </row>
    <row r="6619" spans="1:1">
      <c r="A6619" s="6"/>
    </row>
    <row r="6620" spans="1:1">
      <c r="A6620" s="6"/>
    </row>
    <row r="6621" spans="1:1">
      <c r="A6621" s="6"/>
    </row>
    <row r="6622" spans="1:1">
      <c r="A6622" s="6"/>
    </row>
    <row r="6623" spans="1:1">
      <c r="A6623" s="6"/>
    </row>
    <row r="6624" spans="1:1">
      <c r="A6624" s="6"/>
    </row>
    <row r="6625" spans="1:1">
      <c r="A6625" s="6"/>
    </row>
    <row r="6626" spans="1:1">
      <c r="A6626" s="6"/>
    </row>
    <row r="6627" spans="1:1">
      <c r="A6627" s="6"/>
    </row>
    <row r="6628" spans="1:1">
      <c r="A6628" s="6"/>
    </row>
    <row r="6629" spans="1:1">
      <c r="A6629" s="6"/>
    </row>
    <row r="6630" spans="1:1">
      <c r="A6630" s="6"/>
    </row>
    <row r="6631" spans="1:1">
      <c r="A6631" s="6"/>
    </row>
    <row r="6632" spans="1:1">
      <c r="A6632" s="6"/>
    </row>
    <row r="6633" spans="1:1">
      <c r="A6633" s="6"/>
    </row>
    <row r="6634" spans="1:1">
      <c r="A6634" s="6"/>
    </row>
    <row r="6635" spans="1:1">
      <c r="A6635" s="6"/>
    </row>
    <row r="6636" spans="1:1">
      <c r="A6636" s="6"/>
    </row>
    <row r="6637" spans="1:1">
      <c r="A6637" s="6"/>
    </row>
    <row r="6638" spans="1:1">
      <c r="A6638" s="6"/>
    </row>
    <row r="6639" spans="1:1">
      <c r="A6639" s="6"/>
    </row>
    <row r="6640" spans="1:1">
      <c r="A6640" s="6"/>
    </row>
    <row r="6641" spans="1:1">
      <c r="A6641" s="6"/>
    </row>
    <row r="6642" spans="1:1">
      <c r="A6642" s="6"/>
    </row>
    <row r="6643" spans="1:1">
      <c r="A6643" s="6"/>
    </row>
    <row r="6644" spans="1:1">
      <c r="A6644" s="6"/>
    </row>
    <row r="6645" spans="1:1">
      <c r="A6645" s="6"/>
    </row>
    <row r="6646" spans="1:1">
      <c r="A6646" s="6"/>
    </row>
    <row r="6647" spans="1:1">
      <c r="A6647" s="6"/>
    </row>
    <row r="6648" spans="1:1">
      <c r="A6648" s="6"/>
    </row>
    <row r="6649" spans="1:1">
      <c r="A6649" s="6"/>
    </row>
    <row r="6650" spans="1:1">
      <c r="A6650" s="6"/>
    </row>
    <row r="6651" spans="1:1">
      <c r="A6651" s="6"/>
    </row>
    <row r="6652" spans="1:1">
      <c r="A6652" s="6"/>
    </row>
    <row r="6653" spans="1:1">
      <c r="A6653" s="6"/>
    </row>
    <row r="6654" spans="1:1">
      <c r="A6654" s="6"/>
    </row>
    <row r="6655" spans="1:1">
      <c r="A6655" s="6"/>
    </row>
    <row r="6656" spans="1:1">
      <c r="A6656" s="6"/>
    </row>
    <row r="6657" spans="1:1">
      <c r="A6657" s="6"/>
    </row>
    <row r="6658" spans="1:1">
      <c r="A6658" s="6"/>
    </row>
    <row r="6659" spans="1:1">
      <c r="A6659" s="6"/>
    </row>
    <row r="6660" spans="1:1">
      <c r="A6660" s="6"/>
    </row>
    <row r="6661" spans="1:1">
      <c r="A6661" s="6"/>
    </row>
    <row r="6662" spans="1:1">
      <c r="A6662" s="6"/>
    </row>
    <row r="6663" spans="1:1">
      <c r="A6663" s="6"/>
    </row>
    <row r="6664" spans="1:1">
      <c r="A6664" s="6"/>
    </row>
    <row r="6665" spans="1:1">
      <c r="A6665" s="6"/>
    </row>
    <row r="6666" spans="1:1">
      <c r="A6666" s="6"/>
    </row>
    <row r="6667" spans="1:1">
      <c r="A6667" s="6"/>
    </row>
    <row r="6668" spans="1:1">
      <c r="A6668" s="6"/>
    </row>
    <row r="6669" spans="1:1">
      <c r="A6669" s="6"/>
    </row>
    <row r="6670" spans="1:1">
      <c r="A6670" s="6"/>
    </row>
    <row r="6671" spans="1:1">
      <c r="A6671" s="6"/>
    </row>
    <row r="6672" spans="1:1">
      <c r="A6672" s="6"/>
    </row>
    <row r="6673" spans="1:1">
      <c r="A6673" s="6"/>
    </row>
    <row r="6674" spans="1:1">
      <c r="A6674" s="6"/>
    </row>
    <row r="6675" spans="1:1">
      <c r="A6675" s="6"/>
    </row>
    <row r="6676" spans="1:1">
      <c r="A6676" s="6"/>
    </row>
    <row r="6677" spans="1:1">
      <c r="A6677" s="6"/>
    </row>
    <row r="6678" spans="1:1">
      <c r="A6678" s="6"/>
    </row>
    <row r="6679" spans="1:1">
      <c r="A6679" s="6"/>
    </row>
    <row r="6680" spans="1:1">
      <c r="A6680" s="6"/>
    </row>
    <row r="6681" spans="1:1">
      <c r="A6681" s="6"/>
    </row>
    <row r="6682" spans="1:1">
      <c r="A6682" s="6"/>
    </row>
    <row r="6683" spans="1:1">
      <c r="A6683" s="6"/>
    </row>
    <row r="6684" spans="1:1">
      <c r="A6684" s="6"/>
    </row>
    <row r="6685" spans="1:1">
      <c r="A6685" s="6"/>
    </row>
    <row r="6686" spans="1:1">
      <c r="A6686" s="6"/>
    </row>
    <row r="6687" spans="1:1">
      <c r="A6687" s="6"/>
    </row>
    <row r="6688" spans="1:1">
      <c r="A6688" s="6"/>
    </row>
    <row r="6689" spans="1:1">
      <c r="A6689" s="6"/>
    </row>
    <row r="6690" spans="1:1">
      <c r="A6690" s="6"/>
    </row>
    <row r="6691" spans="1:1">
      <c r="A6691" s="6"/>
    </row>
    <row r="6692" spans="1:1">
      <c r="A6692" s="6"/>
    </row>
    <row r="6693" spans="1:1">
      <c r="A6693" s="6"/>
    </row>
    <row r="6694" spans="1:1">
      <c r="A6694" s="6"/>
    </row>
    <row r="6695" spans="1:1">
      <c r="A6695" s="6"/>
    </row>
    <row r="6696" spans="1:1">
      <c r="A6696" s="6"/>
    </row>
    <row r="6697" spans="1:1">
      <c r="A6697" s="6"/>
    </row>
    <row r="6698" spans="1:1">
      <c r="A6698" s="6"/>
    </row>
    <row r="6699" spans="1:1">
      <c r="A6699" s="6"/>
    </row>
    <row r="6700" spans="1:1">
      <c r="A6700" s="6"/>
    </row>
    <row r="6701" spans="1:1">
      <c r="A6701" s="6"/>
    </row>
    <row r="6702" spans="1:1">
      <c r="A6702" s="6"/>
    </row>
    <row r="6703" spans="1:1">
      <c r="A6703" s="6"/>
    </row>
    <row r="6704" spans="1:1">
      <c r="A6704" s="6"/>
    </row>
    <row r="6705" spans="1:1">
      <c r="A6705" s="6"/>
    </row>
    <row r="6706" spans="1:1">
      <c r="A6706" s="6"/>
    </row>
    <row r="6707" spans="1:1">
      <c r="A6707" s="6"/>
    </row>
    <row r="6708" spans="1:1">
      <c r="A6708" s="6"/>
    </row>
    <row r="6709" spans="1:1">
      <c r="A6709" s="6"/>
    </row>
    <row r="6710" spans="1:1">
      <c r="A6710" s="6"/>
    </row>
    <row r="6711" spans="1:1">
      <c r="A6711" s="6"/>
    </row>
    <row r="6712" spans="1:1">
      <c r="A6712" s="6"/>
    </row>
    <row r="6713" spans="1:1">
      <c r="A6713" s="6"/>
    </row>
    <row r="6714" spans="1:1">
      <c r="A6714" s="6"/>
    </row>
    <row r="6715" spans="1:1">
      <c r="A6715" s="6"/>
    </row>
    <row r="6716" spans="1:1">
      <c r="A6716" s="6"/>
    </row>
    <row r="6717" spans="1:1">
      <c r="A6717" s="6"/>
    </row>
    <row r="6718" spans="1:1">
      <c r="A6718" s="6"/>
    </row>
    <row r="6719" spans="1:1">
      <c r="A6719" s="6"/>
    </row>
    <row r="6720" spans="1:1">
      <c r="A6720" s="6"/>
    </row>
    <row r="6721" spans="1:1">
      <c r="A6721" s="6"/>
    </row>
    <row r="6722" spans="1:1">
      <c r="A6722" s="6"/>
    </row>
    <row r="6723" spans="1:1">
      <c r="A6723" s="6"/>
    </row>
    <row r="6724" spans="1:1">
      <c r="A6724" s="6"/>
    </row>
    <row r="6725" spans="1:1">
      <c r="A6725" s="6"/>
    </row>
    <row r="6726" spans="1:1">
      <c r="A6726" s="6"/>
    </row>
    <row r="6727" spans="1:1">
      <c r="A6727" s="6"/>
    </row>
    <row r="6728" spans="1:1">
      <c r="A6728" s="6"/>
    </row>
    <row r="6729" spans="1:1">
      <c r="A6729" s="6"/>
    </row>
    <row r="6730" spans="1:1">
      <c r="A6730" s="6"/>
    </row>
    <row r="6731" spans="1:1">
      <c r="A6731" s="6"/>
    </row>
    <row r="6732" spans="1:1">
      <c r="A6732" s="6"/>
    </row>
    <row r="6733" spans="1:1">
      <c r="A6733" s="6"/>
    </row>
    <row r="6734" spans="1:1">
      <c r="A6734" s="6"/>
    </row>
    <row r="6735" spans="1:1">
      <c r="A6735" s="6"/>
    </row>
    <row r="6736" spans="1:1">
      <c r="A6736" s="6"/>
    </row>
    <row r="6737" spans="1:1">
      <c r="A6737" s="6"/>
    </row>
    <row r="6738" spans="1:1">
      <c r="A6738" s="6"/>
    </row>
    <row r="6739" spans="1:1">
      <c r="A6739" s="6"/>
    </row>
    <row r="6740" spans="1:1">
      <c r="A6740" s="6"/>
    </row>
    <row r="6741" spans="1:1">
      <c r="A6741" s="6"/>
    </row>
    <row r="6742" spans="1:1">
      <c r="A6742" s="6"/>
    </row>
    <row r="6743" spans="1:1">
      <c r="A6743" s="6"/>
    </row>
    <row r="6744" spans="1:1">
      <c r="A6744" s="6"/>
    </row>
    <row r="6745" spans="1:1">
      <c r="A6745" s="6"/>
    </row>
    <row r="6746" spans="1:1">
      <c r="A6746" s="6"/>
    </row>
    <row r="6747" spans="1:1">
      <c r="A6747" s="6"/>
    </row>
    <row r="6748" spans="1:1">
      <c r="A6748" s="6"/>
    </row>
    <row r="6749" spans="1:1">
      <c r="A6749" s="6"/>
    </row>
    <row r="6750" spans="1:1">
      <c r="A6750" s="6"/>
    </row>
    <row r="6751" spans="1:1">
      <c r="A6751" s="6"/>
    </row>
    <row r="6752" spans="1:1">
      <c r="A6752" s="6"/>
    </row>
    <row r="6753" spans="1:1">
      <c r="A6753" s="6"/>
    </row>
    <row r="6754" spans="1:1">
      <c r="A6754" s="6"/>
    </row>
    <row r="6755" spans="1:1">
      <c r="A6755" s="6"/>
    </row>
    <row r="6756" spans="1:1">
      <c r="A6756" s="6"/>
    </row>
    <row r="6757" spans="1:1">
      <c r="A6757" s="6"/>
    </row>
    <row r="6758" spans="1:1">
      <c r="A6758" s="6"/>
    </row>
    <row r="6759" spans="1:1">
      <c r="A6759" s="6"/>
    </row>
    <row r="6760" spans="1:1">
      <c r="A6760" s="6"/>
    </row>
    <row r="6761" spans="1:1">
      <c r="A6761" s="6"/>
    </row>
    <row r="6762" spans="1:1">
      <c r="A6762" s="6"/>
    </row>
    <row r="6763" spans="1:1">
      <c r="A6763" s="6"/>
    </row>
    <row r="6764" spans="1:1">
      <c r="A6764" s="6"/>
    </row>
    <row r="6765" spans="1:1">
      <c r="A6765" s="6"/>
    </row>
    <row r="6766" spans="1:1">
      <c r="A6766" s="6"/>
    </row>
    <row r="6767" spans="1:1">
      <c r="A6767" s="6"/>
    </row>
    <row r="6768" spans="1:1">
      <c r="A6768" s="6"/>
    </row>
    <row r="6769" spans="1:1">
      <c r="A6769" s="6"/>
    </row>
    <row r="6770" spans="1:1">
      <c r="A6770" s="6"/>
    </row>
    <row r="6771" spans="1:1">
      <c r="A6771" s="6"/>
    </row>
    <row r="6772" spans="1:1">
      <c r="A6772" s="6"/>
    </row>
    <row r="6773" spans="1:1">
      <c r="A6773" s="6"/>
    </row>
    <row r="6774" spans="1:1">
      <c r="A6774" s="6"/>
    </row>
    <row r="6775" spans="1:1">
      <c r="A6775" s="6"/>
    </row>
    <row r="6776" spans="1:1">
      <c r="A6776" s="6"/>
    </row>
    <row r="6777" spans="1:1">
      <c r="A6777" s="6"/>
    </row>
    <row r="6778" spans="1:1">
      <c r="A6778" s="6"/>
    </row>
    <row r="6779" spans="1:1">
      <c r="A6779" s="6"/>
    </row>
    <row r="6780" spans="1:1">
      <c r="A6780" s="6"/>
    </row>
    <row r="6781" spans="1:1">
      <c r="A6781" s="6"/>
    </row>
    <row r="6782" spans="1:1">
      <c r="A6782" s="6"/>
    </row>
    <row r="6783" spans="1:1">
      <c r="A6783" s="6"/>
    </row>
    <row r="6784" spans="1:1">
      <c r="A6784" s="6"/>
    </row>
    <row r="6785" spans="1:1">
      <c r="A6785" s="6"/>
    </row>
    <row r="6786" spans="1:1">
      <c r="A6786" s="6"/>
    </row>
    <row r="6787" spans="1:1">
      <c r="A6787" s="6"/>
    </row>
    <row r="6788" spans="1:1">
      <c r="A6788" s="6"/>
    </row>
    <row r="6789" spans="1:1">
      <c r="A6789" s="6"/>
    </row>
    <row r="6790" spans="1:1">
      <c r="A6790" s="6"/>
    </row>
    <row r="6791" spans="1:1">
      <c r="A6791" s="6"/>
    </row>
    <row r="6792" spans="1:1">
      <c r="A6792" s="6"/>
    </row>
    <row r="6793" spans="1:1">
      <c r="A6793" s="6"/>
    </row>
    <row r="6794" spans="1:1">
      <c r="A6794" s="6"/>
    </row>
    <row r="6795" spans="1:1">
      <c r="A6795" s="6"/>
    </row>
    <row r="6796" spans="1:1">
      <c r="A6796" s="6"/>
    </row>
    <row r="6797" spans="1:1">
      <c r="A6797" s="6"/>
    </row>
    <row r="6798" spans="1:1">
      <c r="A6798" s="6"/>
    </row>
    <row r="6799" spans="1:1">
      <c r="A6799" s="6"/>
    </row>
    <row r="6800" spans="1:1">
      <c r="A6800" s="6"/>
    </row>
    <row r="6801" spans="1:1">
      <c r="A6801" s="6"/>
    </row>
    <row r="6802" spans="1:1">
      <c r="A6802" s="6"/>
    </row>
    <row r="6803" spans="1:1">
      <c r="A6803" s="6"/>
    </row>
    <row r="6804" spans="1:1">
      <c r="A6804" s="6"/>
    </row>
    <row r="6805" spans="1:1">
      <c r="A6805" s="6"/>
    </row>
    <row r="6806" spans="1:1">
      <c r="A6806" s="6"/>
    </row>
    <row r="6807" spans="1:1">
      <c r="A6807" s="6"/>
    </row>
    <row r="6808" spans="1:1">
      <c r="A6808" s="6"/>
    </row>
    <row r="6809" spans="1:1">
      <c r="A6809" s="6"/>
    </row>
    <row r="6810" spans="1:1">
      <c r="A6810" s="6"/>
    </row>
    <row r="6811" spans="1:1">
      <c r="A6811" s="6"/>
    </row>
    <row r="6812" spans="1:1">
      <c r="A6812" s="6"/>
    </row>
    <row r="6813" spans="1:1">
      <c r="A6813" s="6"/>
    </row>
    <row r="6814" spans="1:1">
      <c r="A6814" s="6"/>
    </row>
    <row r="6815" spans="1:1">
      <c r="A6815" s="6"/>
    </row>
    <row r="6816" spans="1:1">
      <c r="A6816" s="6"/>
    </row>
    <row r="6817" spans="1:1">
      <c r="A6817" s="6"/>
    </row>
    <row r="6818" spans="1:1">
      <c r="A6818" s="6"/>
    </row>
    <row r="6819" spans="1:1">
      <c r="A6819" s="6"/>
    </row>
    <row r="6820" spans="1:1">
      <c r="A6820" s="6"/>
    </row>
    <row r="6821" spans="1:1">
      <c r="A6821" s="6"/>
    </row>
    <row r="6822" spans="1:1">
      <c r="A6822" s="6"/>
    </row>
    <row r="6823" spans="1:1">
      <c r="A6823" s="6"/>
    </row>
    <row r="6824" spans="1:1">
      <c r="A6824" s="6"/>
    </row>
    <row r="6825" spans="1:1">
      <c r="A6825" s="6"/>
    </row>
    <row r="6826" spans="1:1">
      <c r="A6826" s="6"/>
    </row>
    <row r="6827" spans="1:1">
      <c r="A6827" s="6"/>
    </row>
    <row r="6828" spans="1:1">
      <c r="A6828" s="6"/>
    </row>
    <row r="6829" spans="1:1">
      <c r="A6829" s="6"/>
    </row>
    <row r="6830" spans="1:1">
      <c r="A6830" s="6"/>
    </row>
    <row r="6831" spans="1:1">
      <c r="A6831" s="6"/>
    </row>
    <row r="6832" spans="1:1">
      <c r="A6832" s="6"/>
    </row>
    <row r="6833" spans="1:1">
      <c r="A6833" s="6"/>
    </row>
    <row r="6834" spans="1:1">
      <c r="A6834" s="6"/>
    </row>
    <row r="6835" spans="1:1">
      <c r="A6835" s="6"/>
    </row>
    <row r="6836" spans="1:1">
      <c r="A6836" s="6"/>
    </row>
    <row r="6837" spans="1:1">
      <c r="A6837" s="6"/>
    </row>
    <row r="6838" spans="1:1">
      <c r="A6838" s="6"/>
    </row>
    <row r="6839" spans="1:1">
      <c r="A6839" s="6"/>
    </row>
    <row r="6840" spans="1:1">
      <c r="A6840" s="6"/>
    </row>
    <row r="6841" spans="1:1">
      <c r="A6841" s="6"/>
    </row>
    <row r="6842" spans="1:1">
      <c r="A6842" s="6"/>
    </row>
    <row r="6843" spans="1:1">
      <c r="A6843" s="6"/>
    </row>
    <row r="6844" spans="1:1">
      <c r="A6844" s="6"/>
    </row>
    <row r="6845" spans="1:1">
      <c r="A6845" s="6"/>
    </row>
    <row r="6846" spans="1:1">
      <c r="A6846" s="6"/>
    </row>
    <row r="6847" spans="1:1">
      <c r="A6847" s="6"/>
    </row>
    <row r="6848" spans="1:1">
      <c r="A6848" s="6"/>
    </row>
    <row r="6849" spans="1:1">
      <c r="A6849" s="6"/>
    </row>
    <row r="6850" spans="1:1">
      <c r="A6850" s="6"/>
    </row>
    <row r="6851" spans="1:1">
      <c r="A6851" s="6"/>
    </row>
    <row r="6852" spans="1:1">
      <c r="A6852" s="6"/>
    </row>
    <row r="6853" spans="1:1">
      <c r="A6853" s="6"/>
    </row>
    <row r="6854" spans="1:1">
      <c r="A6854" s="6"/>
    </row>
    <row r="6855" spans="1:1">
      <c r="A6855" s="6"/>
    </row>
    <row r="6856" spans="1:1">
      <c r="A6856" s="6"/>
    </row>
    <row r="6857" spans="1:1">
      <c r="A6857" s="6"/>
    </row>
    <row r="6858" spans="1:1">
      <c r="A6858" s="6"/>
    </row>
    <row r="6859" spans="1:1">
      <c r="A6859" s="6"/>
    </row>
    <row r="6860" spans="1:1">
      <c r="A6860" s="6"/>
    </row>
    <row r="6861" spans="1:1">
      <c r="A6861" s="6"/>
    </row>
    <row r="6862" spans="1:1">
      <c r="A6862" s="6"/>
    </row>
    <row r="6863" spans="1:1">
      <c r="A6863" s="6"/>
    </row>
    <row r="6864" spans="1:1">
      <c r="A6864" s="6"/>
    </row>
    <row r="6865" spans="1:1">
      <c r="A6865" s="6"/>
    </row>
    <row r="6866" spans="1:1">
      <c r="A6866" s="6"/>
    </row>
    <row r="6867" spans="1:1">
      <c r="A6867" s="6"/>
    </row>
    <row r="6868" spans="1:1">
      <c r="A6868" s="6"/>
    </row>
    <row r="6869" spans="1:1">
      <c r="A6869" s="6"/>
    </row>
    <row r="6870" spans="1:1">
      <c r="A6870" s="6"/>
    </row>
    <row r="6871" spans="1:1">
      <c r="A6871" s="6"/>
    </row>
    <row r="6872" spans="1:1">
      <c r="A6872" s="6"/>
    </row>
    <row r="6873" spans="1:1">
      <c r="A6873" s="6"/>
    </row>
    <row r="6874" spans="1:1">
      <c r="A6874" s="6"/>
    </row>
    <row r="6875" spans="1:1">
      <c r="A6875" s="6"/>
    </row>
    <row r="6876" spans="1:1">
      <c r="A6876" s="6"/>
    </row>
    <row r="6877" spans="1:1">
      <c r="A6877" s="6"/>
    </row>
    <row r="6878" spans="1:1">
      <c r="A6878" s="6"/>
    </row>
    <row r="6879" spans="1:1">
      <c r="A6879" s="6"/>
    </row>
    <row r="6880" spans="1:1">
      <c r="A6880" s="6"/>
    </row>
    <row r="6881" spans="1:1">
      <c r="A6881" s="6"/>
    </row>
    <row r="6882" spans="1:1">
      <c r="A6882" s="6"/>
    </row>
    <row r="6883" spans="1:1">
      <c r="A6883" s="6"/>
    </row>
    <row r="6884" spans="1:1">
      <c r="A6884" s="6"/>
    </row>
    <row r="6885" spans="1:1">
      <c r="A6885" s="6"/>
    </row>
    <row r="6886" spans="1:1">
      <c r="A6886" s="6"/>
    </row>
    <row r="6887" spans="1:1">
      <c r="A6887" s="6"/>
    </row>
    <row r="6888" spans="1:1">
      <c r="A6888" s="6"/>
    </row>
    <row r="6889" spans="1:1">
      <c r="A6889" s="6"/>
    </row>
    <row r="6890" spans="1:1">
      <c r="A6890" s="6"/>
    </row>
    <row r="6891" spans="1:1">
      <c r="A6891" s="6"/>
    </row>
    <row r="6892" spans="1:1">
      <c r="A6892" s="6"/>
    </row>
    <row r="6893" spans="1:1">
      <c r="A6893" s="6"/>
    </row>
    <row r="6894" spans="1:1">
      <c r="A6894" s="6"/>
    </row>
    <row r="6895" spans="1:1">
      <c r="A6895" s="6"/>
    </row>
    <row r="6896" spans="1:1">
      <c r="A6896" s="6"/>
    </row>
    <row r="6897" spans="1:1">
      <c r="A6897" s="6"/>
    </row>
    <row r="6898" spans="1:1">
      <c r="A6898" s="6"/>
    </row>
    <row r="6899" spans="1:1">
      <c r="A6899" s="6"/>
    </row>
    <row r="6900" spans="1:1">
      <c r="A6900" s="6"/>
    </row>
    <row r="6901" spans="1:1">
      <c r="A6901" s="6"/>
    </row>
    <row r="6902" spans="1:1">
      <c r="A6902" s="6"/>
    </row>
    <row r="6903" spans="1:1">
      <c r="A6903" s="6"/>
    </row>
    <row r="6904" spans="1:1">
      <c r="A6904" s="6"/>
    </row>
    <row r="6905" spans="1:1">
      <c r="A6905" s="6"/>
    </row>
    <row r="6906" spans="1:1">
      <c r="A6906" s="6"/>
    </row>
    <row r="6907" spans="1:1">
      <c r="A6907" s="6"/>
    </row>
    <row r="6908" spans="1:1">
      <c r="A6908" s="6"/>
    </row>
    <row r="6909" spans="1:1">
      <c r="A6909" s="6"/>
    </row>
    <row r="6910" spans="1:1">
      <c r="A6910" s="6"/>
    </row>
    <row r="6911" spans="1:1">
      <c r="A6911" s="6"/>
    </row>
    <row r="6912" spans="1:1">
      <c r="A6912" s="6"/>
    </row>
    <row r="6913" spans="1:1">
      <c r="A6913" s="6"/>
    </row>
    <row r="6914" spans="1:1">
      <c r="A6914" s="6"/>
    </row>
    <row r="6915" spans="1:1">
      <c r="A6915" s="6"/>
    </row>
    <row r="6916" spans="1:1">
      <c r="A6916" s="6"/>
    </row>
    <row r="6917" spans="1:1">
      <c r="A6917" s="6"/>
    </row>
    <row r="6918" spans="1:1">
      <c r="A6918" s="6"/>
    </row>
    <row r="6919" spans="1:1">
      <c r="A6919" s="6"/>
    </row>
    <row r="6920" spans="1:1">
      <c r="A6920" s="6"/>
    </row>
    <row r="6921" spans="1:1">
      <c r="A6921" s="6"/>
    </row>
    <row r="6922" spans="1:1">
      <c r="A6922" s="6"/>
    </row>
    <row r="6923" spans="1:1">
      <c r="A6923" s="6"/>
    </row>
    <row r="6924" spans="1:1">
      <c r="A6924" s="6"/>
    </row>
    <row r="6925" spans="1:1">
      <c r="A6925" s="6"/>
    </row>
    <row r="6926" spans="1:1">
      <c r="A6926" s="6"/>
    </row>
    <row r="6927" spans="1:1">
      <c r="A6927" s="6"/>
    </row>
    <row r="6928" spans="1:1">
      <c r="A6928" s="6"/>
    </row>
    <row r="6929" spans="1:1">
      <c r="A6929" s="6"/>
    </row>
    <row r="6930" spans="1:1">
      <c r="A6930" s="6"/>
    </row>
    <row r="6931" spans="1:1">
      <c r="A6931" s="6"/>
    </row>
    <row r="6932" spans="1:1">
      <c r="A6932" s="6"/>
    </row>
    <row r="6933" spans="1:1">
      <c r="A6933" s="6"/>
    </row>
    <row r="6934" spans="1:1">
      <c r="A6934" s="6"/>
    </row>
    <row r="6935" spans="1:1">
      <c r="A6935" s="6"/>
    </row>
    <row r="6936" spans="1:1">
      <c r="A6936" s="6"/>
    </row>
    <row r="6937" spans="1:1">
      <c r="A6937" s="6"/>
    </row>
    <row r="6938" spans="1:1">
      <c r="A6938" s="6"/>
    </row>
    <row r="6939" spans="1:1">
      <c r="A6939" s="6"/>
    </row>
    <row r="6940" spans="1:1">
      <c r="A6940" s="6"/>
    </row>
    <row r="6941" spans="1:1">
      <c r="A6941" s="6"/>
    </row>
    <row r="6942" spans="1:1">
      <c r="A6942" s="6"/>
    </row>
    <row r="6943" spans="1:1">
      <c r="A6943" s="6"/>
    </row>
    <row r="6944" spans="1:1">
      <c r="A6944" s="6"/>
    </row>
    <row r="6945" spans="1:1">
      <c r="A6945" s="6"/>
    </row>
    <row r="6946" spans="1:1">
      <c r="A6946" s="6"/>
    </row>
    <row r="6947" spans="1:1">
      <c r="A6947" s="6"/>
    </row>
    <row r="6948" spans="1:1">
      <c r="A6948" s="6"/>
    </row>
    <row r="6949" spans="1:1">
      <c r="A6949" s="6"/>
    </row>
    <row r="6950" spans="1:1">
      <c r="A6950" s="6"/>
    </row>
    <row r="6951" spans="1:1">
      <c r="A6951" s="6"/>
    </row>
    <row r="6952" spans="1:1">
      <c r="A6952" s="6"/>
    </row>
    <row r="6953" spans="1:1">
      <c r="A6953" s="6"/>
    </row>
    <row r="6954" spans="1:1">
      <c r="A6954" s="6"/>
    </row>
    <row r="6955" spans="1:1">
      <c r="A6955" s="6"/>
    </row>
    <row r="6956" spans="1:1">
      <c r="A6956" s="6"/>
    </row>
    <row r="6957" spans="1:1">
      <c r="A6957" s="6"/>
    </row>
    <row r="6958" spans="1:1">
      <c r="A6958" s="6"/>
    </row>
    <row r="6959" spans="1:1">
      <c r="A6959" s="6"/>
    </row>
    <row r="6960" spans="1:1">
      <c r="A6960" s="6"/>
    </row>
    <row r="6961" spans="1:1">
      <c r="A6961" s="6"/>
    </row>
    <row r="6962" spans="1:1">
      <c r="A6962" s="6"/>
    </row>
    <row r="6963" spans="1:1">
      <c r="A6963" s="6"/>
    </row>
    <row r="6964" spans="1:1">
      <c r="A6964" s="6"/>
    </row>
    <row r="6965" spans="1:1">
      <c r="A6965" s="6"/>
    </row>
    <row r="6966" spans="1:1">
      <c r="A6966" s="6"/>
    </row>
    <row r="6967" spans="1:1">
      <c r="A6967" s="6"/>
    </row>
    <row r="6968" spans="1:1">
      <c r="A6968" s="6"/>
    </row>
    <row r="6969" spans="1:1">
      <c r="A6969" s="6"/>
    </row>
    <row r="6970" spans="1:1">
      <c r="A6970" s="6"/>
    </row>
    <row r="6971" spans="1:1">
      <c r="A6971" s="6"/>
    </row>
    <row r="6972" spans="1:1">
      <c r="A6972" s="6"/>
    </row>
    <row r="6973" spans="1:1">
      <c r="A6973" s="6"/>
    </row>
    <row r="6974" spans="1:1">
      <c r="A6974" s="6"/>
    </row>
    <row r="6975" spans="1:1">
      <c r="A6975" s="6"/>
    </row>
    <row r="6976" spans="1:1">
      <c r="A6976" s="6"/>
    </row>
    <row r="6977" spans="1:1">
      <c r="A6977" s="6"/>
    </row>
    <row r="6978" spans="1:1">
      <c r="A6978" s="6"/>
    </row>
    <row r="6979" spans="1:1">
      <c r="A6979" s="6"/>
    </row>
    <row r="6980" spans="1:1">
      <c r="A6980" s="6"/>
    </row>
    <row r="6981" spans="1:1">
      <c r="A6981" s="6"/>
    </row>
    <row r="6982" spans="1:1">
      <c r="A6982" s="6"/>
    </row>
    <row r="6983" spans="1:1">
      <c r="A6983" s="6"/>
    </row>
    <row r="6984" spans="1:1">
      <c r="A6984" s="6"/>
    </row>
    <row r="6985" spans="1:1">
      <c r="A6985" s="6"/>
    </row>
    <row r="6986" spans="1:1">
      <c r="A6986" s="6"/>
    </row>
    <row r="6987" spans="1:1">
      <c r="A6987" s="6"/>
    </row>
    <row r="6988" spans="1:1">
      <c r="A6988" s="6"/>
    </row>
    <row r="6989" spans="1:1">
      <c r="A6989" s="6"/>
    </row>
    <row r="6990" spans="1:1">
      <c r="A6990" s="6"/>
    </row>
    <row r="6991" spans="1:1">
      <c r="A6991" s="6"/>
    </row>
    <row r="6992" spans="1:1">
      <c r="A6992" s="6"/>
    </row>
    <row r="6993" spans="1:1">
      <c r="A6993" s="6"/>
    </row>
    <row r="6994" spans="1:1">
      <c r="A6994" s="6"/>
    </row>
    <row r="6995" spans="1:1">
      <c r="A6995" s="6"/>
    </row>
    <row r="6996" spans="1:1">
      <c r="A6996" s="6"/>
    </row>
    <row r="6997" spans="1:1">
      <c r="A6997" s="6"/>
    </row>
    <row r="6998" spans="1:1">
      <c r="A6998" s="6"/>
    </row>
    <row r="6999" spans="1:1">
      <c r="A6999" s="6"/>
    </row>
    <row r="7000" spans="1:1">
      <c r="A7000" s="6"/>
    </row>
    <row r="7001" spans="1:1">
      <c r="A7001" s="6"/>
    </row>
    <row r="7002" spans="1:1">
      <c r="A7002" s="6"/>
    </row>
    <row r="7003" spans="1:1">
      <c r="A7003" s="6"/>
    </row>
    <row r="7004" spans="1:1">
      <c r="A7004" s="6"/>
    </row>
    <row r="7005" spans="1:1">
      <c r="A7005" s="6"/>
    </row>
    <row r="7006" spans="1:1">
      <c r="A7006" s="6"/>
    </row>
    <row r="7007" spans="1:1">
      <c r="A7007" s="6"/>
    </row>
    <row r="7008" spans="1:1">
      <c r="A7008" s="6"/>
    </row>
    <row r="7009" spans="1:1">
      <c r="A7009" s="6"/>
    </row>
    <row r="7010" spans="1:1">
      <c r="A7010" s="6"/>
    </row>
    <row r="7011" spans="1:1">
      <c r="A7011" s="6"/>
    </row>
    <row r="7012" spans="1:1">
      <c r="A7012" s="6"/>
    </row>
    <row r="7013" spans="1:1">
      <c r="A7013" s="6"/>
    </row>
    <row r="7014" spans="1:1">
      <c r="A7014" s="6"/>
    </row>
    <row r="7015" spans="1:1">
      <c r="A7015" s="6"/>
    </row>
    <row r="7016" spans="1:1">
      <c r="A7016" s="6"/>
    </row>
    <row r="7017" spans="1:1">
      <c r="A7017" s="6"/>
    </row>
    <row r="7018" spans="1:1">
      <c r="A7018" s="6"/>
    </row>
    <row r="7019" spans="1:1">
      <c r="A7019" s="6"/>
    </row>
    <row r="7020" spans="1:1">
      <c r="A7020" s="6"/>
    </row>
    <row r="7021" spans="1:1">
      <c r="A7021" s="6"/>
    </row>
    <row r="7022" spans="1:1">
      <c r="A7022" s="6"/>
    </row>
    <row r="7023" spans="1:1">
      <c r="A7023" s="6"/>
    </row>
    <row r="7024" spans="1:1">
      <c r="A7024" s="6"/>
    </row>
    <row r="7025" spans="1:1">
      <c r="A7025" s="6"/>
    </row>
    <row r="7026" spans="1:1">
      <c r="A7026" s="6"/>
    </row>
    <row r="7027" spans="1:1">
      <c r="A7027" s="6"/>
    </row>
    <row r="7028" spans="1:1">
      <c r="A7028" s="6"/>
    </row>
    <row r="7029" spans="1:1">
      <c r="A7029" s="6"/>
    </row>
    <row r="7030" spans="1:1">
      <c r="A7030" s="6"/>
    </row>
    <row r="7031" spans="1:1">
      <c r="A7031" s="6"/>
    </row>
    <row r="7032" spans="1:1">
      <c r="A7032" s="6"/>
    </row>
    <row r="7033" spans="1:1">
      <c r="A7033" s="6"/>
    </row>
    <row r="7034" spans="1:1">
      <c r="A7034" s="6"/>
    </row>
    <row r="7035" spans="1:1">
      <c r="A7035" s="6"/>
    </row>
    <row r="7036" spans="1:1">
      <c r="A7036" s="6"/>
    </row>
    <row r="7037" spans="1:1">
      <c r="A7037" s="6"/>
    </row>
    <row r="7038" spans="1:1">
      <c r="A7038" s="6"/>
    </row>
    <row r="7039" spans="1:1">
      <c r="A7039" s="6"/>
    </row>
    <row r="7040" spans="1:1">
      <c r="A7040" s="6"/>
    </row>
    <row r="7041" spans="1:1">
      <c r="A7041" s="6"/>
    </row>
    <row r="7042" spans="1:1">
      <c r="A7042" s="6"/>
    </row>
    <row r="7043" spans="1:1">
      <c r="A7043" s="6"/>
    </row>
    <row r="7044" spans="1:1">
      <c r="A7044" s="6"/>
    </row>
    <row r="7045" spans="1:1">
      <c r="A7045" s="6"/>
    </row>
    <row r="7046" spans="1:1">
      <c r="A7046" s="6"/>
    </row>
    <row r="7047" spans="1:1">
      <c r="A7047" s="6"/>
    </row>
    <row r="7048" spans="1:1">
      <c r="A7048" s="6"/>
    </row>
    <row r="7049" spans="1:1">
      <c r="A7049" s="6"/>
    </row>
    <row r="7050" spans="1:1">
      <c r="A7050" s="6"/>
    </row>
    <row r="7051" spans="1:1">
      <c r="A7051" s="6"/>
    </row>
    <row r="7052" spans="1:1">
      <c r="A7052" s="6"/>
    </row>
    <row r="7053" spans="1:1">
      <c r="A7053" s="6"/>
    </row>
    <row r="7054" spans="1:1">
      <c r="A7054" s="6"/>
    </row>
    <row r="7055" spans="1:1">
      <c r="A7055" s="6"/>
    </row>
    <row r="7056" spans="1:1">
      <c r="A7056" s="6"/>
    </row>
    <row r="7057" spans="1:1">
      <c r="A7057" s="6"/>
    </row>
    <row r="7058" spans="1:1">
      <c r="A7058" s="6"/>
    </row>
    <row r="7059" spans="1:1">
      <c r="A7059" s="6"/>
    </row>
    <row r="7060" spans="1:1">
      <c r="A7060" s="6"/>
    </row>
    <row r="7061" spans="1:1">
      <c r="A7061" s="6"/>
    </row>
    <row r="7062" spans="1:1">
      <c r="A7062" s="6"/>
    </row>
    <row r="7063" spans="1:1">
      <c r="A7063" s="6"/>
    </row>
    <row r="7064" spans="1:1">
      <c r="A7064" s="6"/>
    </row>
    <row r="7065" spans="1:1">
      <c r="A7065" s="6"/>
    </row>
    <row r="7066" spans="1:1">
      <c r="A7066" s="6"/>
    </row>
    <row r="7067" spans="1:1">
      <c r="A7067" s="6"/>
    </row>
    <row r="7068" spans="1:1">
      <c r="A7068" s="6"/>
    </row>
    <row r="7069" spans="1:1">
      <c r="A7069" s="6"/>
    </row>
    <row r="7070" spans="1:1">
      <c r="A7070" s="6"/>
    </row>
    <row r="7071" spans="1:1">
      <c r="A7071" s="6"/>
    </row>
    <row r="7072" spans="1:1">
      <c r="A7072" s="6"/>
    </row>
    <row r="7073" spans="1:1">
      <c r="A7073" s="6"/>
    </row>
    <row r="7074" spans="1:1">
      <c r="A7074" s="6"/>
    </row>
    <row r="7075" spans="1:1">
      <c r="A7075" s="6"/>
    </row>
    <row r="7076" spans="1:1">
      <c r="A7076" s="6"/>
    </row>
    <row r="7077" spans="1:1">
      <c r="A7077" s="6"/>
    </row>
    <row r="7078" spans="1:1">
      <c r="A7078" s="6"/>
    </row>
    <row r="7079" spans="1:1">
      <c r="A7079" s="6"/>
    </row>
    <row r="7080" spans="1:1">
      <c r="A7080" s="6"/>
    </row>
    <row r="7081" spans="1:1">
      <c r="A7081" s="6"/>
    </row>
    <row r="7082" spans="1:1">
      <c r="A7082" s="6"/>
    </row>
    <row r="7083" spans="1:1">
      <c r="A7083" s="6"/>
    </row>
    <row r="7084" spans="1:1">
      <c r="A7084" s="6"/>
    </row>
    <row r="7085" spans="1:1">
      <c r="A7085" s="6"/>
    </row>
    <row r="7086" spans="1:1">
      <c r="A7086" s="6"/>
    </row>
    <row r="7087" spans="1:1">
      <c r="A7087" s="6"/>
    </row>
    <row r="7088" spans="1:1">
      <c r="A7088" s="6"/>
    </row>
    <row r="7089" spans="1:1">
      <c r="A7089" s="6"/>
    </row>
    <row r="7090" spans="1:1">
      <c r="A7090" s="6"/>
    </row>
    <row r="7091" spans="1:1">
      <c r="A7091" s="6"/>
    </row>
    <row r="7092" spans="1:1">
      <c r="A7092" s="6"/>
    </row>
    <row r="7093" spans="1:1">
      <c r="A7093" s="6"/>
    </row>
    <row r="7094" spans="1:1">
      <c r="A7094" s="6"/>
    </row>
    <row r="7095" spans="1:1">
      <c r="A7095" s="6"/>
    </row>
    <row r="7096" spans="1:1">
      <c r="A7096" s="6"/>
    </row>
    <row r="7097" spans="1:1">
      <c r="A7097" s="6"/>
    </row>
    <row r="7098" spans="1:1">
      <c r="A7098" s="6"/>
    </row>
    <row r="7099" spans="1:1">
      <c r="A7099" s="6"/>
    </row>
    <row r="7100" spans="1:1">
      <c r="A7100" s="6"/>
    </row>
    <row r="7101" spans="1:1">
      <c r="A7101" s="6"/>
    </row>
    <row r="7102" spans="1:1">
      <c r="A7102" s="6"/>
    </row>
    <row r="7103" spans="1:1">
      <c r="A7103" s="6"/>
    </row>
    <row r="7104" spans="1:1">
      <c r="A7104" s="6"/>
    </row>
    <row r="7105" spans="1:1">
      <c r="A7105" s="6"/>
    </row>
    <row r="7106" spans="1:1">
      <c r="A7106" s="6"/>
    </row>
    <row r="7107" spans="1:1">
      <c r="A7107" s="6"/>
    </row>
    <row r="7108" spans="1:1">
      <c r="A7108" s="6"/>
    </row>
    <row r="7109" spans="1:1">
      <c r="A7109" s="6"/>
    </row>
    <row r="7110" spans="1:1">
      <c r="A7110" s="6"/>
    </row>
    <row r="7111" spans="1:1">
      <c r="A7111" s="6"/>
    </row>
    <row r="7112" spans="1:1">
      <c r="A7112" s="6"/>
    </row>
    <row r="7113" spans="1:1">
      <c r="A7113" s="6"/>
    </row>
    <row r="7114" spans="1:1">
      <c r="A7114" s="6"/>
    </row>
    <row r="7115" spans="1:1">
      <c r="A7115" s="6"/>
    </row>
    <row r="7116" spans="1:1">
      <c r="A7116" s="6"/>
    </row>
    <row r="7117" spans="1:1">
      <c r="A7117" s="6"/>
    </row>
    <row r="7118" spans="1:1">
      <c r="A7118" s="6"/>
    </row>
    <row r="7119" spans="1:1">
      <c r="A7119" s="6"/>
    </row>
    <row r="7120" spans="1:1">
      <c r="A7120" s="6"/>
    </row>
    <row r="7121" spans="1:1">
      <c r="A7121" s="6"/>
    </row>
    <row r="7122" spans="1:1">
      <c r="A7122" s="6"/>
    </row>
    <row r="7123" spans="1:1">
      <c r="A7123" s="6"/>
    </row>
    <row r="7124" spans="1:1">
      <c r="A7124" s="6"/>
    </row>
    <row r="7125" spans="1:1">
      <c r="A7125" s="6"/>
    </row>
    <row r="7126" spans="1:1">
      <c r="A7126" s="6"/>
    </row>
    <row r="7127" spans="1:1">
      <c r="A7127" s="6"/>
    </row>
    <row r="7128" spans="1:1">
      <c r="A7128" s="6"/>
    </row>
    <row r="7129" spans="1:1">
      <c r="A7129" s="6"/>
    </row>
    <row r="7130" spans="1:1">
      <c r="A7130" s="6"/>
    </row>
    <row r="7131" spans="1:1">
      <c r="A7131" s="6"/>
    </row>
    <row r="7132" spans="1:1">
      <c r="A7132" s="6"/>
    </row>
    <row r="7133" spans="1:1">
      <c r="A7133" s="6"/>
    </row>
    <row r="7134" spans="1:1">
      <c r="A7134" s="6"/>
    </row>
    <row r="7135" spans="1:1">
      <c r="A7135" s="6"/>
    </row>
    <row r="7136" spans="1:1">
      <c r="A7136" s="6"/>
    </row>
    <row r="7137" spans="1:1">
      <c r="A7137" s="6"/>
    </row>
    <row r="7138" spans="1:1">
      <c r="A7138" s="6"/>
    </row>
    <row r="7139" spans="1:1">
      <c r="A7139" s="6"/>
    </row>
    <row r="7140" spans="1:1">
      <c r="A7140" s="6"/>
    </row>
    <row r="7141" spans="1:1">
      <c r="A7141" s="6"/>
    </row>
    <row r="7142" spans="1:1">
      <c r="A7142" s="6"/>
    </row>
    <row r="7143" spans="1:1">
      <c r="A7143" s="6"/>
    </row>
    <row r="7144" spans="1:1">
      <c r="A7144" s="6"/>
    </row>
    <row r="7145" spans="1:1">
      <c r="A7145" s="6"/>
    </row>
    <row r="7146" spans="1:1">
      <c r="A7146" s="6"/>
    </row>
    <row r="7147" spans="1:1">
      <c r="A7147" s="6"/>
    </row>
    <row r="7148" spans="1:1">
      <c r="A7148" s="6"/>
    </row>
    <row r="7149" spans="1:1">
      <c r="A7149" s="6"/>
    </row>
    <row r="7150" spans="1:1">
      <c r="A7150" s="6"/>
    </row>
    <row r="7151" spans="1:1">
      <c r="A7151" s="6"/>
    </row>
    <row r="7152" spans="1:1">
      <c r="A7152" s="6"/>
    </row>
    <row r="7153" spans="1:1">
      <c r="A7153" s="6"/>
    </row>
    <row r="7154" spans="1:1">
      <c r="A7154" s="6"/>
    </row>
    <row r="7155" spans="1:1">
      <c r="A7155" s="6"/>
    </row>
    <row r="7156" spans="1:1">
      <c r="A7156" s="6"/>
    </row>
    <row r="7157" spans="1:1">
      <c r="A7157" s="6"/>
    </row>
    <row r="7158" spans="1:1">
      <c r="A7158" s="6"/>
    </row>
    <row r="7159" spans="1:1">
      <c r="A7159" s="6"/>
    </row>
    <row r="7160" spans="1:1">
      <c r="A7160" s="6"/>
    </row>
    <row r="7161" spans="1:1">
      <c r="A7161" s="6"/>
    </row>
    <row r="7162" spans="1:1">
      <c r="A7162" s="6"/>
    </row>
    <row r="7163" spans="1:1">
      <c r="A7163" s="6"/>
    </row>
    <row r="7164" spans="1:1">
      <c r="A7164" s="6"/>
    </row>
    <row r="7165" spans="1:1">
      <c r="A7165" s="6"/>
    </row>
    <row r="7166" spans="1:1">
      <c r="A7166" s="6"/>
    </row>
    <row r="7167" spans="1:1">
      <c r="A7167" s="6"/>
    </row>
    <row r="7168" spans="1:1">
      <c r="A7168" s="6"/>
    </row>
    <row r="7169" spans="1:1">
      <c r="A7169" s="6"/>
    </row>
    <row r="7170" spans="1:1">
      <c r="A7170" s="6"/>
    </row>
    <row r="7171" spans="1:1">
      <c r="A7171" s="6"/>
    </row>
    <row r="7172" spans="1:1">
      <c r="A7172" s="6"/>
    </row>
    <row r="7173" spans="1:1">
      <c r="A7173" s="6"/>
    </row>
    <row r="7174" spans="1:1">
      <c r="A7174" s="6"/>
    </row>
    <row r="7175" spans="1:1">
      <c r="A7175" s="6"/>
    </row>
    <row r="7176" spans="1:1">
      <c r="A7176" s="6"/>
    </row>
    <row r="7177" spans="1:1">
      <c r="A7177" s="6"/>
    </row>
    <row r="7178" spans="1:1">
      <c r="A7178" s="6"/>
    </row>
    <row r="7179" spans="1:1">
      <c r="A7179" s="6"/>
    </row>
    <row r="7180" spans="1:1">
      <c r="A7180" s="6"/>
    </row>
    <row r="7181" spans="1:1">
      <c r="A7181" s="6"/>
    </row>
    <row r="7182" spans="1:1">
      <c r="A7182" s="6"/>
    </row>
    <row r="7183" spans="1:1">
      <c r="A7183" s="6"/>
    </row>
    <row r="7184" spans="1:1">
      <c r="A7184" s="6"/>
    </row>
    <row r="7185" spans="1:1">
      <c r="A7185" s="6"/>
    </row>
    <row r="7186" spans="1:1">
      <c r="A7186" s="6"/>
    </row>
    <row r="7187" spans="1:1">
      <c r="A7187" s="6"/>
    </row>
    <row r="7188" spans="1:1">
      <c r="A7188" s="6"/>
    </row>
    <row r="7189" spans="1:1">
      <c r="A7189" s="6"/>
    </row>
    <row r="7190" spans="1:1">
      <c r="A7190" s="6"/>
    </row>
    <row r="7191" spans="1:1">
      <c r="A7191" s="6"/>
    </row>
    <row r="7192" spans="1:1">
      <c r="A7192" s="6"/>
    </row>
    <row r="7193" spans="1:1">
      <c r="A7193" s="6"/>
    </row>
    <row r="7194" spans="1:1">
      <c r="A7194" s="6"/>
    </row>
    <row r="7195" spans="1:1">
      <c r="A7195" s="6"/>
    </row>
    <row r="7196" spans="1:1">
      <c r="A7196" s="6"/>
    </row>
    <row r="7197" spans="1:1">
      <c r="A7197" s="6"/>
    </row>
    <row r="7198" spans="1:1">
      <c r="A7198" s="6"/>
    </row>
    <row r="7199" spans="1:1">
      <c r="A7199" s="6"/>
    </row>
    <row r="7200" spans="1:1">
      <c r="A7200" s="6"/>
    </row>
    <row r="7201" spans="1:1">
      <c r="A7201" s="6"/>
    </row>
    <row r="7202" spans="1:1">
      <c r="A7202" s="6"/>
    </row>
    <row r="7203" spans="1:1">
      <c r="A7203" s="6"/>
    </row>
    <row r="7204" spans="1:1">
      <c r="A7204" s="6"/>
    </row>
    <row r="7205" spans="1:1">
      <c r="A7205" s="6"/>
    </row>
    <row r="7206" spans="1:1">
      <c r="A7206" s="6"/>
    </row>
    <row r="7207" spans="1:1">
      <c r="A7207" s="6"/>
    </row>
    <row r="7208" spans="1:1">
      <c r="A7208" s="6"/>
    </row>
    <row r="7209" spans="1:1">
      <c r="A7209" s="6"/>
    </row>
    <row r="7210" spans="1:1">
      <c r="A7210" s="6"/>
    </row>
    <row r="7211" spans="1:1">
      <c r="A7211" s="6"/>
    </row>
    <row r="7212" spans="1:1">
      <c r="A7212" s="6"/>
    </row>
    <row r="7213" spans="1:1">
      <c r="A7213" s="6"/>
    </row>
    <row r="7214" spans="1:1">
      <c r="A7214" s="6"/>
    </row>
    <row r="7215" spans="1:1">
      <c r="A7215" s="6"/>
    </row>
    <row r="7216" spans="1:1">
      <c r="A7216" s="6"/>
    </row>
    <row r="7217" spans="1:1">
      <c r="A7217" s="6"/>
    </row>
    <row r="7218" spans="1:1">
      <c r="A7218" s="6"/>
    </row>
    <row r="7219" spans="1:1">
      <c r="A7219" s="6"/>
    </row>
    <row r="7220" spans="1:1">
      <c r="A7220" s="6"/>
    </row>
    <row r="7221" spans="1:1">
      <c r="A7221" s="6"/>
    </row>
    <row r="7222" spans="1:1">
      <c r="A7222" s="6"/>
    </row>
    <row r="7223" spans="1:1">
      <c r="A7223" s="6"/>
    </row>
    <row r="7224" spans="1:1">
      <c r="A7224" s="6"/>
    </row>
    <row r="7225" spans="1:1">
      <c r="A7225" s="6"/>
    </row>
    <row r="7226" spans="1:1">
      <c r="A7226" s="6"/>
    </row>
    <row r="7227" spans="1:1">
      <c r="A7227" s="6"/>
    </row>
    <row r="7228" spans="1:1">
      <c r="A7228" s="6"/>
    </row>
    <row r="7229" spans="1:1">
      <c r="A7229" s="6"/>
    </row>
    <row r="7230" spans="1:1">
      <c r="A7230" s="6"/>
    </row>
    <row r="7231" spans="1:1">
      <c r="A7231" s="6"/>
    </row>
    <row r="7232" spans="1:1">
      <c r="A7232" s="6"/>
    </row>
    <row r="7233" spans="1:1">
      <c r="A7233" s="6"/>
    </row>
    <row r="7234" spans="1:1">
      <c r="A7234" s="6"/>
    </row>
    <row r="7235" spans="1:1">
      <c r="A7235" s="6"/>
    </row>
    <row r="7236" spans="1:1">
      <c r="A7236" s="6"/>
    </row>
    <row r="7237" spans="1:1">
      <c r="A7237" s="6"/>
    </row>
    <row r="7238" spans="1:1">
      <c r="A7238" s="6"/>
    </row>
    <row r="7239" spans="1:1">
      <c r="A7239" s="6"/>
    </row>
    <row r="7240" spans="1:1">
      <c r="A7240" s="6"/>
    </row>
    <row r="7241" spans="1:1">
      <c r="A7241" s="6"/>
    </row>
    <row r="7242" spans="1:1">
      <c r="A7242" s="6"/>
    </row>
    <row r="7243" spans="1:1">
      <c r="A7243" s="6"/>
    </row>
    <row r="7244" spans="1:1">
      <c r="A7244" s="6"/>
    </row>
    <row r="7245" spans="1:1">
      <c r="A7245" s="6"/>
    </row>
    <row r="7246" spans="1:1">
      <c r="A7246" s="6"/>
    </row>
    <row r="7247" spans="1:1">
      <c r="A7247" s="6"/>
    </row>
    <row r="7248" spans="1:1">
      <c r="A7248" s="6"/>
    </row>
    <row r="7249" spans="1:1">
      <c r="A7249" s="6"/>
    </row>
    <row r="7250" spans="1:1">
      <c r="A7250" s="6"/>
    </row>
    <row r="7251" spans="1:1">
      <c r="A7251" s="6"/>
    </row>
    <row r="7252" spans="1:1">
      <c r="A7252" s="6"/>
    </row>
    <row r="7253" spans="1:1">
      <c r="A7253" s="6"/>
    </row>
    <row r="7254" spans="1:1">
      <c r="A7254" s="6"/>
    </row>
    <row r="7255" spans="1:1">
      <c r="A7255" s="6"/>
    </row>
    <row r="7256" spans="1:1">
      <c r="A7256" s="6"/>
    </row>
    <row r="7257" spans="1:1">
      <c r="A7257" s="6"/>
    </row>
    <row r="7258" spans="1:1">
      <c r="A7258" s="6"/>
    </row>
    <row r="7259" spans="1:1">
      <c r="A7259" s="6"/>
    </row>
    <row r="7260" spans="1:1">
      <c r="A7260" s="6"/>
    </row>
    <row r="7261" spans="1:1">
      <c r="A7261" s="6"/>
    </row>
    <row r="7262" spans="1:1">
      <c r="A7262" s="6"/>
    </row>
    <row r="7263" spans="1:1">
      <c r="A7263" s="6"/>
    </row>
    <row r="7264" spans="1:1">
      <c r="A7264" s="6"/>
    </row>
    <row r="7265" spans="1:1">
      <c r="A7265" s="6"/>
    </row>
    <row r="7266" spans="1:1">
      <c r="A7266" s="6"/>
    </row>
    <row r="7267" spans="1:1">
      <c r="A7267" s="6"/>
    </row>
    <row r="7268" spans="1:1">
      <c r="A7268" s="6"/>
    </row>
    <row r="7269" spans="1:1">
      <c r="A7269" s="6"/>
    </row>
    <row r="7270" spans="1:1">
      <c r="A7270" s="6"/>
    </row>
    <row r="7271" spans="1:1">
      <c r="A7271" s="6"/>
    </row>
    <row r="7272" spans="1:1">
      <c r="A7272" s="6"/>
    </row>
    <row r="7273" spans="1:1">
      <c r="A7273" s="6"/>
    </row>
    <row r="7274" spans="1:1">
      <c r="A7274" s="6"/>
    </row>
    <row r="7275" spans="1:1">
      <c r="A7275" s="6"/>
    </row>
    <row r="7276" spans="1:1">
      <c r="A7276" s="6"/>
    </row>
    <row r="7277" spans="1:1">
      <c r="A7277" s="6"/>
    </row>
    <row r="7278" spans="1:1">
      <c r="A7278" s="6"/>
    </row>
    <row r="7279" spans="1:1">
      <c r="A7279" s="6"/>
    </row>
    <row r="7280" spans="1:1">
      <c r="A7280" s="6"/>
    </row>
    <row r="7281" spans="1:1">
      <c r="A7281" s="6"/>
    </row>
    <row r="7282" spans="1:1">
      <c r="A7282" s="6"/>
    </row>
    <row r="7283" spans="1:1">
      <c r="A7283" s="6"/>
    </row>
    <row r="7284" spans="1:1">
      <c r="A7284" s="6"/>
    </row>
    <row r="7285" spans="1:1">
      <c r="A7285" s="6"/>
    </row>
    <row r="7286" spans="1:1">
      <c r="A7286" s="6"/>
    </row>
    <row r="7287" spans="1:1">
      <c r="A7287" s="6"/>
    </row>
    <row r="7288" spans="1:1">
      <c r="A7288" s="6"/>
    </row>
    <row r="7289" spans="1:1">
      <c r="A7289" s="6"/>
    </row>
    <row r="7290" spans="1:1">
      <c r="A7290" s="6"/>
    </row>
    <row r="7291" spans="1:1">
      <c r="A7291" s="6"/>
    </row>
    <row r="7292" spans="1:1">
      <c r="A7292" s="6"/>
    </row>
    <row r="7293" spans="1:1">
      <c r="A7293" s="6"/>
    </row>
    <row r="7294" spans="1:1">
      <c r="A7294" s="6"/>
    </row>
    <row r="7295" spans="1:1">
      <c r="A7295" s="6"/>
    </row>
    <row r="7296" spans="1:1">
      <c r="A7296" s="6"/>
    </row>
    <row r="7297" spans="1:1">
      <c r="A7297" s="6"/>
    </row>
    <row r="7298" spans="1:1">
      <c r="A7298" s="6"/>
    </row>
    <row r="7299" spans="1:1">
      <c r="A7299" s="6"/>
    </row>
    <row r="7300" spans="1:1">
      <c r="A7300" s="6"/>
    </row>
    <row r="7301" spans="1:1">
      <c r="A7301" s="6"/>
    </row>
    <row r="7302" spans="1:1">
      <c r="A7302" s="6"/>
    </row>
    <row r="7303" spans="1:1">
      <c r="A7303" s="6"/>
    </row>
    <row r="7304" spans="1:1">
      <c r="A7304" s="6"/>
    </row>
    <row r="7305" spans="1:1">
      <c r="A7305" s="6"/>
    </row>
    <row r="7306" spans="1:1">
      <c r="A7306" s="6"/>
    </row>
    <row r="7307" spans="1:1">
      <c r="A7307" s="6"/>
    </row>
    <row r="7308" spans="1:1">
      <c r="A7308" s="6"/>
    </row>
    <row r="7309" spans="1:1">
      <c r="A7309" s="6"/>
    </row>
    <row r="7310" spans="1:1">
      <c r="A7310" s="6"/>
    </row>
    <row r="7311" spans="1:1">
      <c r="A7311" s="6"/>
    </row>
    <row r="7312" spans="1:1">
      <c r="A7312" s="6"/>
    </row>
    <row r="7313" spans="1:1">
      <c r="A7313" s="6"/>
    </row>
    <row r="7314" spans="1:1">
      <c r="A7314" s="6"/>
    </row>
    <row r="7315" spans="1:1">
      <c r="A7315" s="6"/>
    </row>
    <row r="7316" spans="1:1">
      <c r="A7316" s="6"/>
    </row>
    <row r="7317" spans="1:1">
      <c r="A7317" s="6"/>
    </row>
    <row r="7318" spans="1:1">
      <c r="A7318" s="6"/>
    </row>
    <row r="7319" spans="1:1">
      <c r="A7319" s="6"/>
    </row>
    <row r="7320" spans="1:1">
      <c r="A7320" s="6"/>
    </row>
    <row r="7321" spans="1:1">
      <c r="A7321" s="6"/>
    </row>
    <row r="7322" spans="1:1">
      <c r="A7322" s="6"/>
    </row>
    <row r="7323" spans="1:1">
      <c r="A7323" s="6"/>
    </row>
    <row r="7324" spans="1:1">
      <c r="A7324" s="6"/>
    </row>
    <row r="7325" spans="1:1">
      <c r="A7325" s="6"/>
    </row>
    <row r="7326" spans="1:1">
      <c r="A7326" s="6"/>
    </row>
    <row r="7327" spans="1:1">
      <c r="A7327" s="6"/>
    </row>
    <row r="7328" spans="1:1">
      <c r="A7328" s="6"/>
    </row>
    <row r="7329" spans="1:1">
      <c r="A7329" s="6"/>
    </row>
    <row r="7330" spans="1:1">
      <c r="A7330" s="6"/>
    </row>
    <row r="7331" spans="1:1">
      <c r="A7331" s="6"/>
    </row>
    <row r="7332" spans="1:1">
      <c r="A7332" s="6"/>
    </row>
    <row r="7333" spans="1:1">
      <c r="A7333" s="6"/>
    </row>
    <row r="7334" spans="1:1">
      <c r="A7334" s="6"/>
    </row>
    <row r="7335" spans="1:1">
      <c r="A7335" s="6"/>
    </row>
    <row r="7336" spans="1:1">
      <c r="A7336" s="6"/>
    </row>
    <row r="7337" spans="1:1">
      <c r="A7337" s="6"/>
    </row>
    <row r="7338" spans="1:1">
      <c r="A7338" s="6"/>
    </row>
    <row r="7339" spans="1:1">
      <c r="A7339" s="6"/>
    </row>
    <row r="7340" spans="1:1">
      <c r="A7340" s="6"/>
    </row>
    <row r="7341" spans="1:1">
      <c r="A7341" s="6"/>
    </row>
    <row r="7342" spans="1:1">
      <c r="A7342" s="6"/>
    </row>
    <row r="7343" spans="1:1">
      <c r="A7343" s="6"/>
    </row>
    <row r="7344" spans="1:1">
      <c r="A7344" s="6"/>
    </row>
    <row r="7345" spans="1:1">
      <c r="A7345" s="6"/>
    </row>
    <row r="7346" spans="1:1">
      <c r="A7346" s="6"/>
    </row>
    <row r="7347" spans="1:1">
      <c r="A7347" s="6"/>
    </row>
    <row r="7348" spans="1:1">
      <c r="A7348" s="6"/>
    </row>
    <row r="7349" spans="1:1">
      <c r="A7349" s="6"/>
    </row>
    <row r="7350" spans="1:1">
      <c r="A7350" s="6"/>
    </row>
    <row r="7351" spans="1:1">
      <c r="A7351" s="6"/>
    </row>
    <row r="7352" spans="1:1">
      <c r="A7352" s="6"/>
    </row>
    <row r="7353" spans="1:1">
      <c r="A7353" s="6"/>
    </row>
    <row r="7354" spans="1:1">
      <c r="A7354" s="6"/>
    </row>
    <row r="7355" spans="1:1">
      <c r="A7355" s="6"/>
    </row>
    <row r="7356" spans="1:1">
      <c r="A7356" s="6"/>
    </row>
    <row r="7357" spans="1:1">
      <c r="A7357" s="6"/>
    </row>
    <row r="7358" spans="1:1">
      <c r="A7358" s="6"/>
    </row>
    <row r="7359" spans="1:1">
      <c r="A7359" s="6"/>
    </row>
    <row r="7360" spans="1:1">
      <c r="A7360" s="6"/>
    </row>
    <row r="7361" spans="1:1">
      <c r="A7361" s="6"/>
    </row>
    <row r="7362" spans="1:1">
      <c r="A7362" s="6"/>
    </row>
    <row r="7363" spans="1:1">
      <c r="A7363" s="6"/>
    </row>
    <row r="7364" spans="1:1">
      <c r="A7364" s="6"/>
    </row>
    <row r="7365" spans="1:1">
      <c r="A7365" s="6"/>
    </row>
    <row r="7366" spans="1:1">
      <c r="A7366" s="6"/>
    </row>
    <row r="7367" spans="1:1">
      <c r="A7367" s="6"/>
    </row>
    <row r="7368" spans="1:1">
      <c r="A7368" s="6"/>
    </row>
    <row r="7369" spans="1:1">
      <c r="A7369" s="6"/>
    </row>
    <row r="7370" spans="1:1">
      <c r="A7370" s="6"/>
    </row>
    <row r="7371" spans="1:1">
      <c r="A7371" s="6"/>
    </row>
    <row r="7372" spans="1:1">
      <c r="A7372" s="6"/>
    </row>
    <row r="7373" spans="1:1">
      <c r="A7373" s="6"/>
    </row>
    <row r="7374" spans="1:1">
      <c r="A7374" s="6"/>
    </row>
    <row r="7375" spans="1:1">
      <c r="A7375" s="6"/>
    </row>
    <row r="7376" spans="1:1">
      <c r="A7376" s="6"/>
    </row>
    <row r="7377" spans="1:1">
      <c r="A7377" s="6"/>
    </row>
    <row r="7378" spans="1:1">
      <c r="A7378" s="6"/>
    </row>
    <row r="7379" spans="1:1">
      <c r="A7379" s="6"/>
    </row>
    <row r="7380" spans="1:1">
      <c r="A7380" s="6"/>
    </row>
    <row r="7381" spans="1:1">
      <c r="A7381" s="6"/>
    </row>
    <row r="7382" spans="1:1">
      <c r="A7382" s="6"/>
    </row>
    <row r="7383" spans="1:1">
      <c r="A7383" s="6"/>
    </row>
    <row r="7384" spans="1:1">
      <c r="A7384" s="6"/>
    </row>
    <row r="7385" spans="1:1">
      <c r="A7385" s="6"/>
    </row>
    <row r="7386" spans="1:1">
      <c r="A7386" s="6"/>
    </row>
    <row r="7387" spans="1:1">
      <c r="A7387" s="6"/>
    </row>
    <row r="7388" spans="1:1">
      <c r="A7388" s="6"/>
    </row>
    <row r="7389" spans="1:1">
      <c r="A7389" s="6"/>
    </row>
    <row r="7390" spans="1:1">
      <c r="A7390" s="6"/>
    </row>
    <row r="7391" spans="1:1">
      <c r="A7391" s="6"/>
    </row>
    <row r="7392" spans="1:1">
      <c r="A7392" s="6"/>
    </row>
    <row r="7393" spans="1:1">
      <c r="A7393" s="6"/>
    </row>
    <row r="7394" spans="1:1">
      <c r="A7394" s="6"/>
    </row>
    <row r="7395" spans="1:1">
      <c r="A7395" s="6"/>
    </row>
    <row r="7396" spans="1:1">
      <c r="A7396" s="6"/>
    </row>
    <row r="7397" spans="1:1">
      <c r="A7397" s="6"/>
    </row>
    <row r="7398" spans="1:1">
      <c r="A7398" s="6"/>
    </row>
    <row r="7399" spans="1:1">
      <c r="A7399" s="6"/>
    </row>
    <row r="7400" spans="1:1">
      <c r="A7400" s="6"/>
    </row>
    <row r="7401" spans="1:1">
      <c r="A7401" s="6"/>
    </row>
    <row r="7402" spans="1:1">
      <c r="A7402" s="6"/>
    </row>
    <row r="7403" spans="1:1">
      <c r="A7403" s="6"/>
    </row>
    <row r="7404" spans="1:1">
      <c r="A7404" s="6"/>
    </row>
    <row r="7405" spans="1:1">
      <c r="A7405" s="6"/>
    </row>
    <row r="7406" spans="1:1">
      <c r="A7406" s="6"/>
    </row>
    <row r="7407" spans="1:1">
      <c r="A7407" s="6"/>
    </row>
    <row r="7408" spans="1:1">
      <c r="A7408" s="6"/>
    </row>
    <row r="7409" spans="1:1">
      <c r="A7409" s="6"/>
    </row>
    <row r="7410" spans="1:1">
      <c r="A7410" s="6"/>
    </row>
    <row r="7411" spans="1:1">
      <c r="A7411" s="6"/>
    </row>
    <row r="7412" spans="1:1">
      <c r="A7412" s="6"/>
    </row>
    <row r="7413" spans="1:1">
      <c r="A7413" s="6"/>
    </row>
    <row r="7414" spans="1:1">
      <c r="A7414" s="6"/>
    </row>
    <row r="7415" spans="1:1">
      <c r="A7415" s="6"/>
    </row>
    <row r="7416" spans="1:1">
      <c r="A7416" s="6"/>
    </row>
    <row r="7417" spans="1:1">
      <c r="A7417" s="6"/>
    </row>
    <row r="7418" spans="1:1">
      <c r="A7418" s="6"/>
    </row>
    <row r="7419" spans="1:1">
      <c r="A7419" s="6"/>
    </row>
    <row r="7420" spans="1:1">
      <c r="A7420" s="6"/>
    </row>
    <row r="7421" spans="1:1">
      <c r="A7421" s="6"/>
    </row>
    <row r="7422" spans="1:1">
      <c r="A7422" s="6"/>
    </row>
    <row r="7423" spans="1:1">
      <c r="A7423" s="6"/>
    </row>
    <row r="7424" spans="1:1">
      <c r="A7424" s="6"/>
    </row>
    <row r="7425" spans="1:1">
      <c r="A7425" s="6"/>
    </row>
    <row r="7426" spans="1:1">
      <c r="A7426" s="6"/>
    </row>
    <row r="7427" spans="1:1">
      <c r="A7427" s="6"/>
    </row>
    <row r="7428" spans="1:1">
      <c r="A7428" s="6"/>
    </row>
    <row r="7429" spans="1:1">
      <c r="A7429" s="6"/>
    </row>
    <row r="7430" spans="1:1">
      <c r="A7430" s="6"/>
    </row>
    <row r="7431" spans="1:1">
      <c r="A7431" s="6"/>
    </row>
    <row r="7432" spans="1:1">
      <c r="A7432" s="6"/>
    </row>
    <row r="7433" spans="1:1">
      <c r="A7433" s="6"/>
    </row>
    <row r="7434" spans="1:1">
      <c r="A7434" s="6"/>
    </row>
    <row r="7435" spans="1:1">
      <c r="A7435" s="6"/>
    </row>
    <row r="7436" spans="1:1">
      <c r="A7436" s="6"/>
    </row>
    <row r="7437" spans="1:1">
      <c r="A7437" s="6"/>
    </row>
    <row r="7438" spans="1:1">
      <c r="A7438" s="6"/>
    </row>
    <row r="7439" spans="1:1">
      <c r="A7439" s="6"/>
    </row>
    <row r="7440" spans="1:1">
      <c r="A7440" s="6"/>
    </row>
    <row r="7441" spans="1:1">
      <c r="A7441" s="6"/>
    </row>
    <row r="7442" spans="1:1">
      <c r="A7442" s="6"/>
    </row>
    <row r="7443" spans="1:1">
      <c r="A7443" s="6"/>
    </row>
    <row r="7444" spans="1:1">
      <c r="A7444" s="6"/>
    </row>
    <row r="7445" spans="1:1">
      <c r="A7445" s="6"/>
    </row>
    <row r="7446" spans="1:1">
      <c r="A7446" s="6"/>
    </row>
    <row r="7447" spans="1:1">
      <c r="A7447" s="6"/>
    </row>
    <row r="7448" spans="1:1">
      <c r="A7448" s="6"/>
    </row>
    <row r="7449" spans="1:1">
      <c r="A7449" s="6"/>
    </row>
    <row r="7450" spans="1:1">
      <c r="A7450" s="6"/>
    </row>
    <row r="7451" spans="1:1">
      <c r="A7451" s="6"/>
    </row>
    <row r="7452" spans="1:1">
      <c r="A7452" s="6"/>
    </row>
    <row r="7453" spans="1:1">
      <c r="A7453" s="6"/>
    </row>
    <row r="7454" spans="1:1">
      <c r="A7454" s="6"/>
    </row>
    <row r="7455" spans="1:1">
      <c r="A7455" s="6"/>
    </row>
    <row r="7456" spans="1:1">
      <c r="A7456" s="6"/>
    </row>
    <row r="7457" spans="1:1">
      <c r="A7457" s="6"/>
    </row>
    <row r="7458" spans="1:1">
      <c r="A7458" s="6"/>
    </row>
    <row r="7459" spans="1:1">
      <c r="A7459" s="6"/>
    </row>
    <row r="7460" spans="1:1">
      <c r="A7460" s="6"/>
    </row>
    <row r="7461" spans="1:1">
      <c r="A7461" s="6"/>
    </row>
    <row r="7462" spans="1:1">
      <c r="A7462" s="6"/>
    </row>
    <row r="7463" spans="1:1">
      <c r="A7463" s="6"/>
    </row>
    <row r="7464" spans="1:1">
      <c r="A7464" s="6"/>
    </row>
    <row r="7465" spans="1:1">
      <c r="A7465" s="6"/>
    </row>
    <row r="7466" spans="1:1">
      <c r="A7466" s="6"/>
    </row>
    <row r="7467" spans="1:1">
      <c r="A7467" s="6"/>
    </row>
    <row r="7468" spans="1:1">
      <c r="A7468" s="6"/>
    </row>
    <row r="7469" spans="1:1">
      <c r="A7469" s="6"/>
    </row>
    <row r="7470" spans="1:1">
      <c r="A7470" s="6"/>
    </row>
    <row r="7471" spans="1:1">
      <c r="A7471" s="6"/>
    </row>
    <row r="7472" spans="1:1">
      <c r="A7472" s="6"/>
    </row>
    <row r="7473" spans="1:1">
      <c r="A7473" s="6"/>
    </row>
    <row r="7474" spans="1:1">
      <c r="A7474" s="6"/>
    </row>
    <row r="7475" spans="1:1">
      <c r="A7475" s="6"/>
    </row>
    <row r="7476" spans="1:1">
      <c r="A7476" s="6"/>
    </row>
    <row r="7477" spans="1:1">
      <c r="A7477" s="6"/>
    </row>
    <row r="7478" spans="1:1">
      <c r="A7478" s="6"/>
    </row>
    <row r="7479" spans="1:1">
      <c r="A7479" s="6"/>
    </row>
    <row r="7480" spans="1:1">
      <c r="A7480" s="6"/>
    </row>
    <row r="7481" spans="1:1">
      <c r="A7481" s="6"/>
    </row>
    <row r="7482" spans="1:1">
      <c r="A7482" s="6"/>
    </row>
    <row r="7483" spans="1:1">
      <c r="A7483" s="6"/>
    </row>
    <row r="7484" spans="1:1">
      <c r="A7484" s="6"/>
    </row>
    <row r="7485" spans="1:1">
      <c r="A7485" s="6"/>
    </row>
    <row r="7486" spans="1:1">
      <c r="A7486" s="6"/>
    </row>
    <row r="7487" spans="1:1">
      <c r="A7487" s="6"/>
    </row>
    <row r="7488" spans="1:1">
      <c r="A7488" s="6"/>
    </row>
    <row r="7489" spans="1:1">
      <c r="A7489" s="6"/>
    </row>
    <row r="7490" spans="1:1">
      <c r="A7490" s="6"/>
    </row>
    <row r="7491" spans="1:1">
      <c r="A7491" s="6"/>
    </row>
    <row r="7492" spans="1:1">
      <c r="A7492" s="6"/>
    </row>
    <row r="7493" spans="1:1">
      <c r="A7493" s="6"/>
    </row>
    <row r="7494" spans="1:1">
      <c r="A7494" s="6"/>
    </row>
    <row r="7495" spans="1:1">
      <c r="A7495" s="6"/>
    </row>
    <row r="7496" spans="1:1">
      <c r="A7496" s="6"/>
    </row>
    <row r="7497" spans="1:1">
      <c r="A7497" s="6"/>
    </row>
    <row r="7498" spans="1:1">
      <c r="A7498" s="6"/>
    </row>
    <row r="7499" spans="1:1">
      <c r="A7499" s="6"/>
    </row>
    <row r="7500" spans="1:1">
      <c r="A7500" s="6"/>
    </row>
    <row r="7501" spans="1:1">
      <c r="A7501" s="6"/>
    </row>
    <row r="7502" spans="1:1">
      <c r="A7502" s="6"/>
    </row>
    <row r="7503" spans="1:1">
      <c r="A7503" s="6"/>
    </row>
    <row r="7504" spans="1:1">
      <c r="A7504" s="6"/>
    </row>
    <row r="7505" spans="1:1">
      <c r="A7505" s="6"/>
    </row>
    <row r="7506" spans="1:1">
      <c r="A7506" s="6"/>
    </row>
    <row r="7507" spans="1:1">
      <c r="A7507" s="6"/>
    </row>
    <row r="7508" spans="1:1">
      <c r="A7508" s="6"/>
    </row>
    <row r="7509" spans="1:1">
      <c r="A7509" s="6"/>
    </row>
    <row r="7510" spans="1:1">
      <c r="A7510" s="6"/>
    </row>
    <row r="7511" spans="1:1">
      <c r="A7511" s="6"/>
    </row>
    <row r="7512" spans="1:1">
      <c r="A7512" s="6"/>
    </row>
    <row r="7513" spans="1:1">
      <c r="A7513" s="6"/>
    </row>
    <row r="7514" spans="1:1">
      <c r="A7514" s="6"/>
    </row>
    <row r="7515" spans="1:1">
      <c r="A7515" s="6"/>
    </row>
    <row r="7516" spans="1:1">
      <c r="A7516" s="6"/>
    </row>
    <row r="7517" spans="1:1">
      <c r="A7517" s="6"/>
    </row>
    <row r="7518" spans="1:1">
      <c r="A7518" s="6"/>
    </row>
    <row r="7519" spans="1:1">
      <c r="A7519" s="6"/>
    </row>
    <row r="7520" spans="1:1">
      <c r="A7520" s="6"/>
    </row>
    <row r="7521" spans="1:1">
      <c r="A7521" s="6"/>
    </row>
    <row r="7522" spans="1:1">
      <c r="A7522" s="6"/>
    </row>
    <row r="7523" spans="1:1">
      <c r="A7523" s="6"/>
    </row>
    <row r="7524" spans="1:1">
      <c r="A7524" s="6"/>
    </row>
    <row r="7525" spans="1:1">
      <c r="A7525" s="6"/>
    </row>
    <row r="7526" spans="1:1">
      <c r="A7526" s="6"/>
    </row>
    <row r="7527" spans="1:1">
      <c r="A7527" s="6"/>
    </row>
    <row r="7528" spans="1:1">
      <c r="A7528" s="6"/>
    </row>
    <row r="7529" spans="1:1">
      <c r="A7529" s="6"/>
    </row>
    <row r="7530" spans="1:1">
      <c r="A7530" s="6"/>
    </row>
    <row r="7531" spans="1:1">
      <c r="A7531" s="6"/>
    </row>
    <row r="7532" spans="1:1">
      <c r="A7532" s="6"/>
    </row>
    <row r="7533" spans="1:1">
      <c r="A7533" s="6"/>
    </row>
    <row r="7534" spans="1:1">
      <c r="A7534" s="6"/>
    </row>
    <row r="7535" spans="1:1">
      <c r="A7535" s="6"/>
    </row>
    <row r="7536" spans="1:1">
      <c r="A7536" s="6"/>
    </row>
    <row r="7537" spans="1:1">
      <c r="A7537" s="6"/>
    </row>
    <row r="7538" spans="1:1">
      <c r="A7538" s="6"/>
    </row>
    <row r="7539" spans="1:1">
      <c r="A7539" s="6"/>
    </row>
    <row r="7540" spans="1:1">
      <c r="A7540" s="6"/>
    </row>
    <row r="7541" spans="1:1">
      <c r="A7541" s="6"/>
    </row>
    <row r="7542" spans="1:1">
      <c r="A7542" s="6"/>
    </row>
    <row r="7543" spans="1:1">
      <c r="A7543" s="6"/>
    </row>
    <row r="7544" spans="1:1">
      <c r="A7544" s="6"/>
    </row>
    <row r="7545" spans="1:1">
      <c r="A7545" s="6"/>
    </row>
    <row r="7546" spans="1:1">
      <c r="A7546" s="6"/>
    </row>
    <row r="7547" spans="1:1">
      <c r="A7547" s="6"/>
    </row>
    <row r="7548" spans="1:1">
      <c r="A7548" s="6"/>
    </row>
    <row r="7549" spans="1:1">
      <c r="A7549" s="6"/>
    </row>
    <row r="7550" spans="1:1">
      <c r="A7550" s="6"/>
    </row>
    <row r="7551" spans="1:1">
      <c r="A7551" s="6"/>
    </row>
    <row r="7552" spans="1:1">
      <c r="A7552" s="6"/>
    </row>
    <row r="7553" spans="1:1">
      <c r="A7553" s="6"/>
    </row>
    <row r="7554" spans="1:1">
      <c r="A7554" s="6"/>
    </row>
    <row r="7555" spans="1:1">
      <c r="A7555" s="6"/>
    </row>
    <row r="7556" spans="1:1">
      <c r="A7556" s="6"/>
    </row>
    <row r="7557" spans="1:1">
      <c r="A7557" s="6"/>
    </row>
    <row r="7558" spans="1:1">
      <c r="A7558" s="6"/>
    </row>
    <row r="7559" spans="1:1">
      <c r="A7559" s="6"/>
    </row>
    <row r="7560" spans="1:1">
      <c r="A7560" s="6"/>
    </row>
    <row r="7561" spans="1:1">
      <c r="A7561" s="6"/>
    </row>
    <row r="7562" spans="1:1">
      <c r="A7562" s="6"/>
    </row>
    <row r="7563" spans="1:1">
      <c r="A7563" s="6"/>
    </row>
    <row r="7564" spans="1:1">
      <c r="A7564" s="6"/>
    </row>
    <row r="7565" spans="1:1">
      <c r="A7565" s="6"/>
    </row>
    <row r="7566" spans="1:1">
      <c r="A7566" s="6"/>
    </row>
    <row r="7567" spans="1:1">
      <c r="A7567" s="6"/>
    </row>
    <row r="7568" spans="1:1">
      <c r="A7568" s="6"/>
    </row>
    <row r="7569" spans="1:1">
      <c r="A7569" s="6"/>
    </row>
    <row r="7570" spans="1:1">
      <c r="A7570" s="6"/>
    </row>
    <row r="7571" spans="1:1">
      <c r="A7571" s="6"/>
    </row>
    <row r="7572" spans="1:1">
      <c r="A7572" s="6"/>
    </row>
    <row r="7573" spans="1:1">
      <c r="A7573" s="6"/>
    </row>
    <row r="7574" spans="1:1">
      <c r="A7574" s="6"/>
    </row>
    <row r="7575" spans="1:1">
      <c r="A7575" s="6"/>
    </row>
    <row r="7576" spans="1:1">
      <c r="A7576" s="6"/>
    </row>
    <row r="7577" spans="1:1">
      <c r="A7577" s="6"/>
    </row>
    <row r="7578" spans="1:1">
      <c r="A7578" s="6"/>
    </row>
    <row r="7579" spans="1:1">
      <c r="A7579" s="6"/>
    </row>
    <row r="7580" spans="1:1">
      <c r="A7580" s="6"/>
    </row>
    <row r="7581" spans="1:1">
      <c r="A7581" s="6"/>
    </row>
    <row r="7582" spans="1:1">
      <c r="A7582" s="6"/>
    </row>
    <row r="7583" spans="1:1">
      <c r="A7583" s="6"/>
    </row>
    <row r="7584" spans="1:1">
      <c r="A7584" s="6"/>
    </row>
    <row r="7585" spans="1:1">
      <c r="A7585" s="6"/>
    </row>
    <row r="7586" spans="1:1">
      <c r="A7586" s="6"/>
    </row>
    <row r="7587" spans="1:1">
      <c r="A7587" s="6"/>
    </row>
    <row r="7588" spans="1:1">
      <c r="A7588" s="6"/>
    </row>
    <row r="7589" spans="1:1">
      <c r="A7589" s="6"/>
    </row>
    <row r="7590" spans="1:1">
      <c r="A7590" s="6"/>
    </row>
    <row r="7591" spans="1:1">
      <c r="A7591" s="6"/>
    </row>
    <row r="7592" spans="1:1">
      <c r="A7592" s="6"/>
    </row>
    <row r="7593" spans="1:1">
      <c r="A7593" s="6"/>
    </row>
    <row r="7594" spans="1:1">
      <c r="A7594" s="6"/>
    </row>
    <row r="7595" spans="1:1">
      <c r="A7595" s="6"/>
    </row>
    <row r="7596" spans="1:1">
      <c r="A7596" s="6"/>
    </row>
    <row r="7597" spans="1:1">
      <c r="A7597" s="6"/>
    </row>
    <row r="7598" spans="1:1">
      <c r="A7598" s="6"/>
    </row>
    <row r="7599" spans="1:1">
      <c r="A7599" s="6"/>
    </row>
    <row r="7600" spans="1:1">
      <c r="A7600" s="6"/>
    </row>
    <row r="7601" spans="1:1">
      <c r="A7601" s="6"/>
    </row>
    <row r="7602" spans="1:1">
      <c r="A7602" s="6"/>
    </row>
    <row r="7603" spans="1:1">
      <c r="A7603" s="6"/>
    </row>
    <row r="7604" spans="1:1">
      <c r="A7604" s="6"/>
    </row>
    <row r="7605" spans="1:1">
      <c r="A7605" s="6"/>
    </row>
    <row r="7606" spans="1:1">
      <c r="A7606" s="6"/>
    </row>
    <row r="7607" spans="1:1">
      <c r="A7607" s="6"/>
    </row>
    <row r="7608" spans="1:1">
      <c r="A7608" s="6"/>
    </row>
    <row r="7609" spans="1:1">
      <c r="A7609" s="6"/>
    </row>
    <row r="7610" spans="1:1">
      <c r="A7610" s="6"/>
    </row>
    <row r="7611" spans="1:1">
      <c r="A7611" s="6"/>
    </row>
    <row r="7612" spans="1:1">
      <c r="A7612" s="6"/>
    </row>
    <row r="7613" spans="1:1">
      <c r="A7613" s="6"/>
    </row>
    <row r="7614" spans="1:1">
      <c r="A7614" s="6"/>
    </row>
    <row r="7615" spans="1:1">
      <c r="A7615" s="6"/>
    </row>
    <row r="7616" spans="1:1">
      <c r="A7616" s="6"/>
    </row>
    <row r="7617" spans="1:1">
      <c r="A7617" s="6"/>
    </row>
    <row r="7618" spans="1:1">
      <c r="A7618" s="6"/>
    </row>
    <row r="7619" spans="1:1">
      <c r="A7619" s="6"/>
    </row>
    <row r="7620" spans="1:1">
      <c r="A7620" s="6"/>
    </row>
    <row r="7621" spans="1:1">
      <c r="A7621" s="6"/>
    </row>
    <row r="7622" spans="1:1">
      <c r="A7622" s="6"/>
    </row>
    <row r="7623" spans="1:1">
      <c r="A7623" s="6"/>
    </row>
    <row r="7624" spans="1:1">
      <c r="A7624" s="6"/>
    </row>
    <row r="7625" spans="1:1">
      <c r="A7625" s="6"/>
    </row>
    <row r="7626" spans="1:1">
      <c r="A7626" s="6"/>
    </row>
    <row r="7627" spans="1:1">
      <c r="A7627" s="6"/>
    </row>
    <row r="7628" spans="1:1">
      <c r="A7628" s="6"/>
    </row>
    <row r="7629" spans="1:1">
      <c r="A7629" s="6"/>
    </row>
    <row r="7630" spans="1:1">
      <c r="A7630" s="6"/>
    </row>
    <row r="7631" spans="1:1">
      <c r="A7631" s="6"/>
    </row>
    <row r="7632" spans="1:1">
      <c r="A7632" s="6"/>
    </row>
    <row r="7633" spans="1:1">
      <c r="A7633" s="6"/>
    </row>
    <row r="7634" spans="1:1">
      <c r="A7634" s="6"/>
    </row>
    <row r="7635" spans="1:1">
      <c r="A7635" s="6"/>
    </row>
    <row r="7636" spans="1:1">
      <c r="A7636" s="6"/>
    </row>
    <row r="7637" spans="1:1">
      <c r="A7637" s="6"/>
    </row>
    <row r="7638" spans="1:1">
      <c r="A7638" s="6"/>
    </row>
    <row r="7639" spans="1:1">
      <c r="A7639" s="6"/>
    </row>
    <row r="7640" spans="1:1">
      <c r="A7640" s="6"/>
    </row>
    <row r="7641" spans="1:1">
      <c r="A7641" s="6"/>
    </row>
    <row r="7642" spans="1:1">
      <c r="A7642" s="6"/>
    </row>
    <row r="7643" spans="1:1">
      <c r="A7643" s="6"/>
    </row>
    <row r="7644" spans="1:1">
      <c r="A7644" s="6"/>
    </row>
    <row r="7645" spans="1:1">
      <c r="A7645" s="6"/>
    </row>
    <row r="7646" spans="1:1">
      <c r="A7646" s="6"/>
    </row>
    <row r="7647" spans="1:1">
      <c r="A7647" s="6"/>
    </row>
    <row r="7648" spans="1:1">
      <c r="A7648" s="6"/>
    </row>
    <row r="7649" spans="1:1">
      <c r="A7649" s="6"/>
    </row>
    <row r="7650" spans="1:1">
      <c r="A7650" s="6"/>
    </row>
    <row r="7651" spans="1:1">
      <c r="A7651" s="6"/>
    </row>
    <row r="7652" spans="1:1">
      <c r="A7652" s="6"/>
    </row>
    <row r="7653" spans="1:1">
      <c r="A7653" s="6"/>
    </row>
    <row r="7654" spans="1:1">
      <c r="A7654" s="6"/>
    </row>
    <row r="7655" spans="1:1">
      <c r="A7655" s="6"/>
    </row>
    <row r="7656" spans="1:1">
      <c r="A7656" s="6"/>
    </row>
    <row r="7657" spans="1:1">
      <c r="A7657" s="6"/>
    </row>
    <row r="7658" spans="1:1">
      <c r="A7658" s="6"/>
    </row>
    <row r="7659" spans="1:1">
      <c r="A7659" s="6"/>
    </row>
    <row r="7660" spans="1:1">
      <c r="A7660" s="6"/>
    </row>
    <row r="7661" spans="1:1">
      <c r="A7661" s="6"/>
    </row>
    <row r="7662" spans="1:1">
      <c r="A7662" s="6"/>
    </row>
    <row r="7663" spans="1:1">
      <c r="A7663" s="6"/>
    </row>
    <row r="7664" spans="1:1">
      <c r="A7664" s="6"/>
    </row>
    <row r="7665" spans="1:1">
      <c r="A7665" s="6"/>
    </row>
    <row r="7666" spans="1:1">
      <c r="A7666" s="6"/>
    </row>
    <row r="7667" spans="1:1">
      <c r="A7667" s="6"/>
    </row>
    <row r="7668" spans="1:1">
      <c r="A7668" s="6"/>
    </row>
    <row r="7669" spans="1:1">
      <c r="A7669" s="6"/>
    </row>
    <row r="7670" spans="1:1">
      <c r="A7670" s="6"/>
    </row>
    <row r="7671" spans="1:1">
      <c r="A7671" s="6"/>
    </row>
    <row r="7672" spans="1:1">
      <c r="A7672" s="6"/>
    </row>
    <row r="7673" spans="1:1">
      <c r="A7673" s="6"/>
    </row>
    <row r="7674" spans="1:1">
      <c r="A7674" s="6"/>
    </row>
    <row r="7675" spans="1:1">
      <c r="A7675" s="6"/>
    </row>
    <row r="7676" spans="1:1">
      <c r="A7676" s="6"/>
    </row>
    <row r="7677" spans="1:1">
      <c r="A7677" s="6"/>
    </row>
    <row r="7678" spans="1:1">
      <c r="A7678" s="6"/>
    </row>
    <row r="7679" spans="1:1">
      <c r="A7679" s="6"/>
    </row>
    <row r="7680" spans="1:1">
      <c r="A7680" s="6"/>
    </row>
    <row r="7681" spans="1:1">
      <c r="A7681" s="6"/>
    </row>
    <row r="7682" spans="1:1">
      <c r="A7682" s="6"/>
    </row>
    <row r="7683" spans="1:1">
      <c r="A7683" s="6"/>
    </row>
    <row r="7684" spans="1:1">
      <c r="A7684" s="6"/>
    </row>
    <row r="7685" spans="1:1">
      <c r="A7685" s="6"/>
    </row>
    <row r="7686" spans="1:1">
      <c r="A7686" s="6"/>
    </row>
    <row r="7687" spans="1:1">
      <c r="A7687" s="6"/>
    </row>
    <row r="7688" spans="1:1">
      <c r="A7688" s="6"/>
    </row>
    <row r="7689" spans="1:1">
      <c r="A7689" s="6"/>
    </row>
    <row r="7690" spans="1:1">
      <c r="A7690" s="6"/>
    </row>
    <row r="7691" spans="1:1">
      <c r="A7691" s="6"/>
    </row>
    <row r="7692" spans="1:1">
      <c r="A7692" s="6"/>
    </row>
    <row r="7693" spans="1:1">
      <c r="A7693" s="6"/>
    </row>
    <row r="7694" spans="1:1">
      <c r="A7694" s="6"/>
    </row>
    <row r="7695" spans="1:1">
      <c r="A7695" s="6"/>
    </row>
    <row r="7696" spans="1:1">
      <c r="A7696" s="6"/>
    </row>
    <row r="7697" spans="1:1">
      <c r="A7697" s="6"/>
    </row>
    <row r="7698" spans="1:1">
      <c r="A7698" s="6"/>
    </row>
    <row r="7699" spans="1:1">
      <c r="A7699" s="6"/>
    </row>
    <row r="7700" spans="1:1">
      <c r="A7700" s="6"/>
    </row>
    <row r="7701" spans="1:1">
      <c r="A7701" s="6"/>
    </row>
    <row r="7702" spans="1:1">
      <c r="A7702" s="6"/>
    </row>
    <row r="7703" spans="1:1">
      <c r="A7703" s="6"/>
    </row>
    <row r="7704" spans="1:1">
      <c r="A7704" s="6"/>
    </row>
    <row r="7705" spans="1:1">
      <c r="A7705" s="6"/>
    </row>
    <row r="7706" spans="1:1">
      <c r="A7706" s="6"/>
    </row>
    <row r="7707" spans="1:1">
      <c r="A7707" s="6"/>
    </row>
    <row r="7708" spans="1:1">
      <c r="A7708" s="6"/>
    </row>
    <row r="7709" spans="1:1">
      <c r="A7709" s="6"/>
    </row>
    <row r="7710" spans="1:1">
      <c r="A7710" s="6"/>
    </row>
    <row r="7711" spans="1:1">
      <c r="A7711" s="6"/>
    </row>
    <row r="7712" spans="1:1">
      <c r="A7712" s="6"/>
    </row>
    <row r="7713" spans="1:1">
      <c r="A7713" s="6"/>
    </row>
    <row r="7714" spans="1:1">
      <c r="A7714" s="6"/>
    </row>
    <row r="7715" spans="1:1">
      <c r="A7715" s="6"/>
    </row>
    <row r="7716" spans="1:1">
      <c r="A7716" s="6"/>
    </row>
    <row r="7717" spans="1:1">
      <c r="A7717" s="6"/>
    </row>
    <row r="7718" spans="1:1">
      <c r="A7718" s="6"/>
    </row>
    <row r="7719" spans="1:1">
      <c r="A7719" s="6"/>
    </row>
    <row r="7720" spans="1:1">
      <c r="A7720" s="6"/>
    </row>
    <row r="7721" spans="1:1">
      <c r="A7721" s="6"/>
    </row>
    <row r="7722" spans="1:1">
      <c r="A7722" s="6"/>
    </row>
    <row r="7723" spans="1:1">
      <c r="A7723" s="6"/>
    </row>
    <row r="7724" spans="1:1">
      <c r="A7724" s="6"/>
    </row>
    <row r="7725" spans="1:1">
      <c r="A7725" s="6"/>
    </row>
    <row r="7726" spans="1:1">
      <c r="A7726" s="6"/>
    </row>
    <row r="7727" spans="1:1">
      <c r="A7727" s="6"/>
    </row>
    <row r="7728" spans="1:1">
      <c r="A7728" s="6"/>
    </row>
    <row r="7729" spans="1:1">
      <c r="A7729" s="6"/>
    </row>
    <row r="7730" spans="1:1">
      <c r="A7730" s="6"/>
    </row>
    <row r="7731" spans="1:1">
      <c r="A7731" s="6"/>
    </row>
    <row r="7732" spans="1:1">
      <c r="A7732" s="6"/>
    </row>
    <row r="7733" spans="1:1">
      <c r="A7733" s="6"/>
    </row>
    <row r="7734" spans="1:1">
      <c r="A7734" s="6"/>
    </row>
    <row r="7735" spans="1:1">
      <c r="A7735" s="6"/>
    </row>
    <row r="7736" spans="1:1">
      <c r="A7736" s="6"/>
    </row>
    <row r="7737" spans="1:1">
      <c r="A7737" s="6"/>
    </row>
    <row r="7738" spans="1:1">
      <c r="A7738" s="6"/>
    </row>
    <row r="7739" spans="1:1">
      <c r="A7739" s="6"/>
    </row>
    <row r="7740" spans="1:1">
      <c r="A7740" s="6"/>
    </row>
    <row r="7741" spans="1:1">
      <c r="A7741" s="6"/>
    </row>
    <row r="7742" spans="1:1">
      <c r="A7742" s="6"/>
    </row>
    <row r="7743" spans="1:1">
      <c r="A7743" s="6"/>
    </row>
    <row r="7744" spans="1:1">
      <c r="A7744" s="6"/>
    </row>
    <row r="7745" spans="1:1">
      <c r="A7745" s="6"/>
    </row>
    <row r="7746" spans="1:1">
      <c r="A7746" s="6"/>
    </row>
    <row r="7747" spans="1:1">
      <c r="A7747" s="6"/>
    </row>
    <row r="7748" spans="1:1">
      <c r="A7748" s="6"/>
    </row>
    <row r="7749" spans="1:1">
      <c r="A7749" s="6"/>
    </row>
    <row r="7750" spans="1:1">
      <c r="A7750" s="6"/>
    </row>
    <row r="7751" spans="1:1">
      <c r="A7751" s="6"/>
    </row>
    <row r="7752" spans="1:1">
      <c r="A7752" s="6"/>
    </row>
    <row r="7753" spans="1:1">
      <c r="A7753" s="6"/>
    </row>
    <row r="7754" spans="1:1">
      <c r="A7754" s="6"/>
    </row>
    <row r="7755" spans="1:1">
      <c r="A7755" s="6"/>
    </row>
    <row r="7756" spans="1:1">
      <c r="A7756" s="6"/>
    </row>
    <row r="7757" spans="1:1">
      <c r="A7757" s="6"/>
    </row>
    <row r="7758" spans="1:1">
      <c r="A7758" s="6"/>
    </row>
    <row r="7759" spans="1:1">
      <c r="A7759" s="6"/>
    </row>
    <row r="7760" spans="1:1">
      <c r="A7760" s="6"/>
    </row>
    <row r="7761" spans="1:1">
      <c r="A7761" s="6"/>
    </row>
    <row r="7762" spans="1:1">
      <c r="A7762" s="6"/>
    </row>
    <row r="7763" spans="1:1">
      <c r="A7763" s="6"/>
    </row>
    <row r="7764" spans="1:1">
      <c r="A7764" s="6"/>
    </row>
    <row r="7765" spans="1:1">
      <c r="A7765" s="6"/>
    </row>
    <row r="7766" spans="1:1">
      <c r="A7766" s="6"/>
    </row>
    <row r="7767" spans="1:1">
      <c r="A7767" s="6"/>
    </row>
    <row r="7768" spans="1:1">
      <c r="A7768" s="6"/>
    </row>
    <row r="7769" spans="1:1">
      <c r="A7769" s="6"/>
    </row>
    <row r="7770" spans="1:1">
      <c r="A7770" s="6"/>
    </row>
    <row r="7771" spans="1:1">
      <c r="A7771" s="6"/>
    </row>
    <row r="7772" spans="1:1">
      <c r="A7772" s="6"/>
    </row>
    <row r="7773" spans="1:1">
      <c r="A7773" s="6"/>
    </row>
    <row r="7774" spans="1:1">
      <c r="A7774" s="6"/>
    </row>
    <row r="7775" spans="1:1">
      <c r="A7775" s="6"/>
    </row>
    <row r="7776" spans="1:1">
      <c r="A7776" s="6"/>
    </row>
    <row r="7777" spans="1:1">
      <c r="A7777" s="6"/>
    </row>
    <row r="7778" spans="1:1">
      <c r="A7778" s="6"/>
    </row>
    <row r="7779" spans="1:1">
      <c r="A7779" s="6"/>
    </row>
    <row r="7780" spans="1:1">
      <c r="A7780" s="6"/>
    </row>
    <row r="7781" spans="1:1">
      <c r="A7781" s="6"/>
    </row>
    <row r="7782" spans="1:1">
      <c r="A7782" s="6"/>
    </row>
    <row r="7783" spans="1:1">
      <c r="A7783" s="6"/>
    </row>
    <row r="7784" spans="1:1">
      <c r="A7784" s="6"/>
    </row>
    <row r="7785" spans="1:1">
      <c r="A7785" s="6"/>
    </row>
    <row r="7786" spans="1:1">
      <c r="A7786" s="6"/>
    </row>
    <row r="7787" spans="1:1">
      <c r="A7787" s="6"/>
    </row>
    <row r="7788" spans="1:1">
      <c r="A7788" s="6"/>
    </row>
    <row r="7789" spans="1:1">
      <c r="A7789" s="6"/>
    </row>
    <row r="7790" spans="1:1">
      <c r="A7790" s="6"/>
    </row>
    <row r="7791" spans="1:1">
      <c r="A7791" s="6"/>
    </row>
    <row r="7792" spans="1:1">
      <c r="A7792" s="6"/>
    </row>
    <row r="7793" spans="1:1">
      <c r="A7793" s="6"/>
    </row>
    <row r="7794" spans="1:1">
      <c r="A7794" s="6"/>
    </row>
    <row r="7795" spans="1:1">
      <c r="A7795" s="6"/>
    </row>
    <row r="7796" spans="1:1">
      <c r="A7796" s="6"/>
    </row>
    <row r="7797" spans="1:1">
      <c r="A7797" s="6"/>
    </row>
    <row r="7798" spans="1:1">
      <c r="A7798" s="6"/>
    </row>
    <row r="7799" spans="1:1">
      <c r="A7799" s="6"/>
    </row>
    <row r="7800" spans="1:1">
      <c r="A7800" s="6"/>
    </row>
    <row r="7801" spans="1:1">
      <c r="A7801" s="6"/>
    </row>
    <row r="7802" spans="1:1">
      <c r="A7802" s="6"/>
    </row>
    <row r="7803" spans="1:1">
      <c r="A7803" s="6"/>
    </row>
    <row r="7804" spans="1:1">
      <c r="A7804" s="6"/>
    </row>
    <row r="7805" spans="1:1">
      <c r="A7805" s="6"/>
    </row>
    <row r="7806" spans="1:1">
      <c r="A7806" s="6"/>
    </row>
    <row r="7807" spans="1:1">
      <c r="A7807" s="6"/>
    </row>
    <row r="7808" spans="1:1">
      <c r="A7808" s="6"/>
    </row>
    <row r="7809" spans="1:1">
      <c r="A7809" s="6"/>
    </row>
    <row r="7810" spans="1:1">
      <c r="A7810" s="6"/>
    </row>
    <row r="7811" spans="1:1">
      <c r="A7811" s="6"/>
    </row>
    <row r="7812" spans="1:1">
      <c r="A7812" s="6"/>
    </row>
    <row r="7813" spans="1:1">
      <c r="A7813" s="6"/>
    </row>
    <row r="7814" spans="1:1">
      <c r="A7814" s="6"/>
    </row>
    <row r="7815" spans="1:1">
      <c r="A7815" s="6"/>
    </row>
    <row r="7816" spans="1:1">
      <c r="A7816" s="6"/>
    </row>
    <row r="7817" spans="1:1">
      <c r="A7817" s="6"/>
    </row>
    <row r="7818" spans="1:1">
      <c r="A7818" s="6"/>
    </row>
    <row r="7819" spans="1:1">
      <c r="A7819" s="6"/>
    </row>
    <row r="7820" spans="1:1">
      <c r="A7820" s="6"/>
    </row>
    <row r="7821" spans="1:1">
      <c r="A7821" s="6"/>
    </row>
    <row r="7822" spans="1:1">
      <c r="A7822" s="6"/>
    </row>
    <row r="7823" spans="1:1">
      <c r="A7823" s="6"/>
    </row>
    <row r="7824" spans="1:1">
      <c r="A7824" s="6"/>
    </row>
    <row r="7825" spans="1:1">
      <c r="A7825" s="6"/>
    </row>
    <row r="7826" spans="1:1">
      <c r="A7826" s="6"/>
    </row>
    <row r="7827" spans="1:1">
      <c r="A7827" s="6"/>
    </row>
    <row r="7828" spans="1:1">
      <c r="A7828" s="6"/>
    </row>
    <row r="7829" spans="1:1">
      <c r="A7829" s="6"/>
    </row>
    <row r="7830" spans="1:1">
      <c r="A7830" s="6"/>
    </row>
    <row r="7831" spans="1:1">
      <c r="A7831" s="6"/>
    </row>
    <row r="7832" spans="1:1">
      <c r="A7832" s="6"/>
    </row>
    <row r="7833" spans="1:1">
      <c r="A7833" s="6"/>
    </row>
    <row r="7834" spans="1:1">
      <c r="A7834" s="6"/>
    </row>
    <row r="7835" spans="1:1">
      <c r="A7835" s="6"/>
    </row>
    <row r="7836" spans="1:1">
      <c r="A7836" s="6"/>
    </row>
    <row r="7837" spans="1:1">
      <c r="A7837" s="6"/>
    </row>
    <row r="7838" spans="1:1">
      <c r="A7838" s="6"/>
    </row>
    <row r="7839" spans="1:1">
      <c r="A7839" s="6"/>
    </row>
    <row r="7840" spans="1:1">
      <c r="A7840" s="6"/>
    </row>
    <row r="7841" spans="1:1">
      <c r="A7841" s="6"/>
    </row>
    <row r="7842" spans="1:1">
      <c r="A7842" s="6"/>
    </row>
    <row r="7843" spans="1:1">
      <c r="A7843" s="6"/>
    </row>
    <row r="7844" spans="1:1">
      <c r="A7844" s="6"/>
    </row>
    <row r="7845" spans="1:1">
      <c r="A7845" s="6"/>
    </row>
    <row r="7846" spans="1:1">
      <c r="A7846" s="6"/>
    </row>
    <row r="7847" spans="1:1">
      <c r="A7847" s="6"/>
    </row>
    <row r="7848" spans="1:1">
      <c r="A7848" s="6"/>
    </row>
    <row r="7849" spans="1:1">
      <c r="A7849" s="6"/>
    </row>
    <row r="7850" spans="1:1">
      <c r="A7850" s="6"/>
    </row>
    <row r="7851" spans="1:1">
      <c r="A7851" s="6"/>
    </row>
    <row r="7852" spans="1:1">
      <c r="A7852" s="6"/>
    </row>
    <row r="7853" spans="1:1">
      <c r="A7853" s="6"/>
    </row>
    <row r="7854" spans="1:1">
      <c r="A7854" s="6"/>
    </row>
    <row r="7855" spans="1:1">
      <c r="A7855" s="6"/>
    </row>
    <row r="7856" spans="1:1">
      <c r="A7856" s="6"/>
    </row>
    <row r="7857" spans="1:1">
      <c r="A7857" s="6"/>
    </row>
    <row r="7858" spans="1:1">
      <c r="A7858" s="6"/>
    </row>
    <row r="7859" spans="1:1">
      <c r="A7859" s="6"/>
    </row>
    <row r="7860" spans="1:1">
      <c r="A7860" s="6"/>
    </row>
    <row r="7861" spans="1:1">
      <c r="A7861" s="6"/>
    </row>
    <row r="7862" spans="1:1">
      <c r="A7862" s="6"/>
    </row>
    <row r="7863" spans="1:1">
      <c r="A7863" s="6"/>
    </row>
    <row r="7864" spans="1:1">
      <c r="A7864" s="6"/>
    </row>
    <row r="7865" spans="1:1">
      <c r="A7865" s="6"/>
    </row>
    <row r="7866" spans="1:1">
      <c r="A7866" s="6"/>
    </row>
    <row r="7867" spans="1:1">
      <c r="A7867" s="6"/>
    </row>
    <row r="7868" spans="1:1">
      <c r="A7868" s="6"/>
    </row>
    <row r="7869" spans="1:1">
      <c r="A7869" s="6"/>
    </row>
    <row r="7870" spans="1:1">
      <c r="A7870" s="6"/>
    </row>
    <row r="7871" spans="1:1">
      <c r="A7871" s="6"/>
    </row>
    <row r="7872" spans="1:1">
      <c r="A7872" s="6"/>
    </row>
    <row r="7873" spans="1:1">
      <c r="A7873" s="6"/>
    </row>
    <row r="7874" spans="1:1">
      <c r="A7874" s="6"/>
    </row>
    <row r="7875" spans="1:1">
      <c r="A7875" s="6"/>
    </row>
    <row r="7876" spans="1:1">
      <c r="A7876" s="6"/>
    </row>
    <row r="7877" spans="1:1">
      <c r="A7877" s="6"/>
    </row>
    <row r="7878" spans="1:1">
      <c r="A7878" s="6"/>
    </row>
    <row r="7879" spans="1:1">
      <c r="A7879" s="6"/>
    </row>
    <row r="7880" spans="1:1">
      <c r="A7880" s="6"/>
    </row>
    <row r="7881" spans="1:1">
      <c r="A7881" s="6"/>
    </row>
    <row r="7882" spans="1:1">
      <c r="A7882" s="6"/>
    </row>
    <row r="7883" spans="1:1">
      <c r="A7883" s="6"/>
    </row>
    <row r="7884" spans="1:1">
      <c r="A7884" s="6"/>
    </row>
    <row r="7885" spans="1:1">
      <c r="A7885" s="6"/>
    </row>
    <row r="7886" spans="1:1">
      <c r="A7886" s="6"/>
    </row>
    <row r="7887" spans="1:1">
      <c r="A7887" s="6"/>
    </row>
    <row r="7888" spans="1:1">
      <c r="A7888" s="6"/>
    </row>
    <row r="7889" spans="1:1">
      <c r="A7889" s="6"/>
    </row>
    <row r="7890" spans="1:1">
      <c r="A7890" s="6"/>
    </row>
    <row r="7891" spans="1:1">
      <c r="A7891" s="6"/>
    </row>
    <row r="7892" spans="1:1">
      <c r="A7892" s="6"/>
    </row>
    <row r="7893" spans="1:1">
      <c r="A7893" s="6"/>
    </row>
    <row r="7894" spans="1:1">
      <c r="A7894" s="6"/>
    </row>
    <row r="7895" spans="1:1">
      <c r="A7895" s="6"/>
    </row>
    <row r="7896" spans="1:1">
      <c r="A7896" s="6"/>
    </row>
    <row r="7897" spans="1:1">
      <c r="A7897" s="6"/>
    </row>
    <row r="7898" spans="1:1">
      <c r="A7898" s="6"/>
    </row>
    <row r="7899" spans="1:1">
      <c r="A7899" s="6"/>
    </row>
    <row r="7900" spans="1:1">
      <c r="A7900" s="6"/>
    </row>
    <row r="7901" spans="1:1">
      <c r="A7901" s="6"/>
    </row>
    <row r="7902" spans="1:1">
      <c r="A7902" s="6"/>
    </row>
    <row r="7903" spans="1:1">
      <c r="A7903" s="6"/>
    </row>
    <row r="7904" spans="1:1">
      <c r="A7904" s="6"/>
    </row>
    <row r="7905" spans="1:1">
      <c r="A7905" s="6"/>
    </row>
    <row r="7906" spans="1:1">
      <c r="A7906" s="6"/>
    </row>
    <row r="7907" spans="1:1">
      <c r="A7907" s="6"/>
    </row>
    <row r="7908" spans="1:1">
      <c r="A7908" s="6"/>
    </row>
    <row r="7909" spans="1:1">
      <c r="A7909" s="6"/>
    </row>
    <row r="7910" spans="1:1">
      <c r="A7910" s="6"/>
    </row>
    <row r="7911" spans="1:1">
      <c r="A7911" s="6"/>
    </row>
    <row r="7912" spans="1:1">
      <c r="A7912" s="6"/>
    </row>
    <row r="7913" spans="1:1">
      <c r="A7913" s="6"/>
    </row>
    <row r="7914" spans="1:1">
      <c r="A7914" s="6"/>
    </row>
    <row r="7915" spans="1:1">
      <c r="A7915" s="6"/>
    </row>
    <row r="7916" spans="1:1">
      <c r="A7916" s="6"/>
    </row>
    <row r="7917" spans="1:1">
      <c r="A7917" s="6"/>
    </row>
    <row r="7918" spans="1:1">
      <c r="A7918" s="6"/>
    </row>
    <row r="7919" spans="1:1">
      <c r="A7919" s="6"/>
    </row>
    <row r="7920" spans="1:1">
      <c r="A7920" s="6"/>
    </row>
    <row r="7921" spans="1:1">
      <c r="A7921" s="6"/>
    </row>
    <row r="7922" spans="1:1">
      <c r="A7922" s="6"/>
    </row>
    <row r="7923" spans="1:1">
      <c r="A7923" s="6"/>
    </row>
    <row r="7924" spans="1:1">
      <c r="A7924" s="6"/>
    </row>
    <row r="7925" spans="1:1">
      <c r="A7925" s="6"/>
    </row>
    <row r="7926" spans="1:1">
      <c r="A7926" s="6"/>
    </row>
    <row r="7927" spans="1:1">
      <c r="A7927" s="6"/>
    </row>
    <row r="7928" spans="1:1">
      <c r="A7928" s="6"/>
    </row>
    <row r="7929" spans="1:1">
      <c r="A7929" s="6"/>
    </row>
    <row r="7930" spans="1:1">
      <c r="A7930" s="6"/>
    </row>
    <row r="7931" spans="1:1">
      <c r="A7931" s="6"/>
    </row>
    <row r="7932" spans="1:1">
      <c r="A7932" s="6"/>
    </row>
    <row r="7933" spans="1:1">
      <c r="A7933" s="6"/>
    </row>
    <row r="7934" spans="1:1">
      <c r="A7934" s="6"/>
    </row>
    <row r="7935" spans="1:1">
      <c r="A7935" s="6"/>
    </row>
    <row r="7936" spans="1:1">
      <c r="A7936" s="6"/>
    </row>
    <row r="7937" spans="1:1">
      <c r="A7937" s="6"/>
    </row>
    <row r="7938" spans="1:1">
      <c r="A7938" s="6"/>
    </row>
    <row r="7939" spans="1:1">
      <c r="A7939" s="6"/>
    </row>
    <row r="7940" spans="1:1">
      <c r="A7940" s="6"/>
    </row>
    <row r="7941" spans="1:1">
      <c r="A7941" s="6"/>
    </row>
    <row r="7942" spans="1:1">
      <c r="A7942" s="6"/>
    </row>
    <row r="7943" spans="1:1">
      <c r="A7943" s="6"/>
    </row>
    <row r="7944" spans="1:1">
      <c r="A7944" s="6"/>
    </row>
    <row r="7945" spans="1:1">
      <c r="A7945" s="6"/>
    </row>
    <row r="7946" spans="1:1">
      <c r="A7946" s="6"/>
    </row>
    <row r="7947" spans="1:1">
      <c r="A7947" s="6"/>
    </row>
    <row r="7948" spans="1:1">
      <c r="A7948" s="6"/>
    </row>
    <row r="7949" spans="1:1">
      <c r="A7949" s="6"/>
    </row>
    <row r="7950" spans="1:1">
      <c r="A7950" s="6"/>
    </row>
    <row r="7951" spans="1:1">
      <c r="A7951" s="6"/>
    </row>
    <row r="7952" spans="1:1">
      <c r="A7952" s="6"/>
    </row>
    <row r="7953" spans="1:1">
      <c r="A7953" s="6"/>
    </row>
    <row r="7954" spans="1:1">
      <c r="A7954" s="6"/>
    </row>
    <row r="7955" spans="1:1">
      <c r="A7955" s="6"/>
    </row>
    <row r="7956" spans="1:1">
      <c r="A7956" s="6"/>
    </row>
    <row r="7957" spans="1:1">
      <c r="A7957" s="6"/>
    </row>
    <row r="7958" spans="1:1">
      <c r="A7958" s="6"/>
    </row>
    <row r="7959" spans="1:1">
      <c r="A7959" s="6"/>
    </row>
    <row r="7960" spans="1:1">
      <c r="A7960" s="6"/>
    </row>
    <row r="7961" spans="1:1">
      <c r="A7961" s="6"/>
    </row>
    <row r="7962" spans="1:1">
      <c r="A7962" s="6"/>
    </row>
    <row r="7963" spans="1:1">
      <c r="A7963" s="6"/>
    </row>
    <row r="7964" spans="1:1">
      <c r="A7964" s="6"/>
    </row>
    <row r="7965" spans="1:1">
      <c r="A7965" s="6"/>
    </row>
    <row r="7966" spans="1:1">
      <c r="A7966" s="6"/>
    </row>
    <row r="7967" spans="1:1">
      <c r="A7967" s="6"/>
    </row>
    <row r="7968" spans="1:1">
      <c r="A7968" s="6"/>
    </row>
    <row r="7969" spans="1:1">
      <c r="A7969" s="6"/>
    </row>
    <row r="7970" spans="1:1">
      <c r="A7970" s="6"/>
    </row>
    <row r="7971" spans="1:1">
      <c r="A7971" s="6"/>
    </row>
    <row r="7972" spans="1:1">
      <c r="A7972" s="6"/>
    </row>
    <row r="7973" spans="1:1">
      <c r="A7973" s="6"/>
    </row>
    <row r="7974" spans="1:1">
      <c r="A7974" s="6"/>
    </row>
    <row r="7975" spans="1:1">
      <c r="A7975" s="6"/>
    </row>
    <row r="7976" spans="1:1">
      <c r="A7976" s="6"/>
    </row>
    <row r="7977" spans="1:1">
      <c r="A7977" s="6"/>
    </row>
    <row r="7978" spans="1:1">
      <c r="A7978" s="6"/>
    </row>
    <row r="7979" spans="1:1">
      <c r="A7979" s="6"/>
    </row>
    <row r="7980" spans="1:1">
      <c r="A7980" s="6"/>
    </row>
    <row r="7981" spans="1:1">
      <c r="A7981" s="6"/>
    </row>
    <row r="7982" spans="1:1">
      <c r="A7982" s="6"/>
    </row>
    <row r="7983" spans="1:1">
      <c r="A7983" s="6"/>
    </row>
    <row r="7984" spans="1:1">
      <c r="A7984" s="6"/>
    </row>
    <row r="7985" spans="1:1">
      <c r="A7985" s="6"/>
    </row>
    <row r="7986" spans="1:1">
      <c r="A7986" s="6"/>
    </row>
    <row r="7987" spans="1:1">
      <c r="A7987" s="6"/>
    </row>
    <row r="7988" spans="1:1">
      <c r="A7988" s="6"/>
    </row>
    <row r="7989" spans="1:1">
      <c r="A7989" s="6"/>
    </row>
    <row r="7990" spans="1:1">
      <c r="A7990" s="6"/>
    </row>
    <row r="7991" spans="1:1">
      <c r="A7991" s="6"/>
    </row>
    <row r="7992" spans="1:1">
      <c r="A7992" s="6"/>
    </row>
    <row r="7993" spans="1:1">
      <c r="A7993" s="6"/>
    </row>
    <row r="7994" spans="1:1">
      <c r="A7994" s="6"/>
    </row>
    <row r="7995" spans="1:1">
      <c r="A7995" s="6"/>
    </row>
    <row r="7996" spans="1:1">
      <c r="A7996" s="6"/>
    </row>
    <row r="7997" spans="1:1">
      <c r="A7997" s="6"/>
    </row>
    <row r="7998" spans="1:1">
      <c r="A7998" s="6"/>
    </row>
    <row r="7999" spans="1:1">
      <c r="A7999" s="6"/>
    </row>
    <row r="8000" spans="1:1">
      <c r="A8000" s="6"/>
    </row>
    <row r="8001" spans="1:1">
      <c r="A8001" s="6"/>
    </row>
    <row r="8002" spans="1:1">
      <c r="A8002" s="6"/>
    </row>
    <row r="8003" spans="1:1">
      <c r="A8003" s="6"/>
    </row>
    <row r="8004" spans="1:1">
      <c r="A8004" s="6"/>
    </row>
    <row r="8005" spans="1:1">
      <c r="A8005" s="6"/>
    </row>
    <row r="8006" spans="1:1">
      <c r="A8006" s="6"/>
    </row>
    <row r="8007" spans="1:1">
      <c r="A8007" s="6"/>
    </row>
    <row r="8008" spans="1:1">
      <c r="A8008" s="6"/>
    </row>
    <row r="8009" spans="1:1">
      <c r="A8009" s="6"/>
    </row>
    <row r="8010" spans="1:1">
      <c r="A8010" s="6"/>
    </row>
    <row r="8011" spans="1:1">
      <c r="A8011" s="6"/>
    </row>
    <row r="8012" spans="1:1">
      <c r="A8012" s="6"/>
    </row>
    <row r="8013" spans="1:1">
      <c r="A8013" s="6"/>
    </row>
    <row r="8014" spans="1:1">
      <c r="A8014" s="6"/>
    </row>
    <row r="8015" spans="1:1">
      <c r="A8015" s="6"/>
    </row>
    <row r="8016" spans="1:1">
      <c r="A8016" s="6"/>
    </row>
    <row r="8017" spans="1:1">
      <c r="A8017" s="6"/>
    </row>
    <row r="8018" spans="1:1">
      <c r="A8018" s="6"/>
    </row>
    <row r="8019" spans="1:1">
      <c r="A8019" s="6"/>
    </row>
    <row r="8020" spans="1:1">
      <c r="A8020" s="6"/>
    </row>
    <row r="8021" spans="1:1">
      <c r="A8021" s="6"/>
    </row>
    <row r="8022" spans="1:1">
      <c r="A8022" s="6"/>
    </row>
    <row r="8023" spans="1:1">
      <c r="A8023" s="6"/>
    </row>
    <row r="8024" spans="1:1">
      <c r="A8024" s="6"/>
    </row>
    <row r="8025" spans="1:1">
      <c r="A8025" s="6"/>
    </row>
    <row r="8026" spans="1:1">
      <c r="A8026" s="6"/>
    </row>
    <row r="8027" spans="1:1">
      <c r="A8027" s="6"/>
    </row>
    <row r="8028" spans="1:1">
      <c r="A8028" s="6"/>
    </row>
    <row r="8029" spans="1:1">
      <c r="A8029" s="6"/>
    </row>
    <row r="8030" spans="1:1">
      <c r="A8030" s="6"/>
    </row>
    <row r="8031" spans="1:1">
      <c r="A8031" s="6"/>
    </row>
    <row r="8032" spans="1:1">
      <c r="A8032" s="6"/>
    </row>
    <row r="8033" spans="1:1">
      <c r="A8033" s="6"/>
    </row>
    <row r="8034" spans="1:1">
      <c r="A8034" s="6"/>
    </row>
    <row r="8035" spans="1:1">
      <c r="A8035" s="6"/>
    </row>
    <row r="8036" spans="1:1">
      <c r="A8036" s="6"/>
    </row>
    <row r="8037" spans="1:1">
      <c r="A8037" s="6"/>
    </row>
    <row r="8038" spans="1:1">
      <c r="A8038" s="6"/>
    </row>
    <row r="8039" spans="1:1">
      <c r="A8039" s="6"/>
    </row>
    <row r="8040" spans="1:1">
      <c r="A8040" s="6"/>
    </row>
    <row r="8041" spans="1:1">
      <c r="A8041" s="6"/>
    </row>
    <row r="8042" spans="1:1">
      <c r="A8042" s="6"/>
    </row>
    <row r="8043" spans="1:1">
      <c r="A8043" s="6"/>
    </row>
    <row r="8044" spans="1:1">
      <c r="A8044" s="6"/>
    </row>
    <row r="8045" spans="1:1">
      <c r="A8045" s="6"/>
    </row>
    <row r="8046" spans="1:1">
      <c r="A8046" s="6"/>
    </row>
    <row r="8047" spans="1:1">
      <c r="A8047" s="6"/>
    </row>
    <row r="8048" spans="1:1">
      <c r="A8048" s="6"/>
    </row>
    <row r="8049" spans="1:1">
      <c r="A8049" s="6"/>
    </row>
    <row r="8050" spans="1:1">
      <c r="A8050" s="6"/>
    </row>
    <row r="8051" spans="1:1">
      <c r="A8051" s="6"/>
    </row>
    <row r="8052" spans="1:1">
      <c r="A8052" s="6"/>
    </row>
    <row r="8053" spans="1:1">
      <c r="A8053" s="6"/>
    </row>
    <row r="8054" spans="1:1">
      <c r="A8054" s="6"/>
    </row>
    <row r="8055" spans="1:1">
      <c r="A8055" s="6"/>
    </row>
    <row r="8056" spans="1:1">
      <c r="A8056" s="6"/>
    </row>
    <row r="8057" spans="1:1">
      <c r="A8057" s="6"/>
    </row>
    <row r="8058" spans="1:1">
      <c r="A8058" s="6"/>
    </row>
    <row r="8059" spans="1:1">
      <c r="A8059" s="6"/>
    </row>
    <row r="8060" spans="1:1">
      <c r="A8060" s="6"/>
    </row>
    <row r="8061" spans="1:1">
      <c r="A8061" s="6"/>
    </row>
    <row r="8062" spans="1:1">
      <c r="A8062" s="6"/>
    </row>
    <row r="8063" spans="1:1">
      <c r="A8063" s="6"/>
    </row>
    <row r="8064" spans="1:1">
      <c r="A8064" s="6"/>
    </row>
    <row r="8065" spans="1:1">
      <c r="A8065" s="6"/>
    </row>
    <row r="8066" spans="1:1">
      <c r="A8066" s="6"/>
    </row>
    <row r="8067" spans="1:1">
      <c r="A8067" s="6"/>
    </row>
    <row r="8068" spans="1:1">
      <c r="A8068" s="6"/>
    </row>
    <row r="8069" spans="1:1">
      <c r="A8069" s="6"/>
    </row>
    <row r="8070" spans="1:1">
      <c r="A8070" s="6"/>
    </row>
    <row r="8071" spans="1:1">
      <c r="A8071" s="6"/>
    </row>
    <row r="8072" spans="1:1">
      <c r="A8072" s="6"/>
    </row>
    <row r="8073" spans="1:1">
      <c r="A8073" s="6"/>
    </row>
    <row r="8074" spans="1:1">
      <c r="A8074" s="6"/>
    </row>
    <row r="8075" spans="1:1">
      <c r="A8075" s="6"/>
    </row>
    <row r="8076" spans="1:1">
      <c r="A8076" s="6"/>
    </row>
    <row r="8077" spans="1:1">
      <c r="A8077" s="6"/>
    </row>
    <row r="8078" spans="1:1">
      <c r="A8078" s="6"/>
    </row>
    <row r="8079" spans="1:1">
      <c r="A8079" s="6"/>
    </row>
    <row r="8080" spans="1:1">
      <c r="A8080" s="6"/>
    </row>
    <row r="8081" spans="1:1">
      <c r="A8081" s="6"/>
    </row>
    <row r="8082" spans="1:1">
      <c r="A8082" s="6"/>
    </row>
    <row r="8083" spans="1:1">
      <c r="A8083" s="6"/>
    </row>
    <row r="8084" spans="1:1">
      <c r="A8084" s="6"/>
    </row>
    <row r="8085" spans="1:1">
      <c r="A8085" s="6"/>
    </row>
    <row r="8086" spans="1:1">
      <c r="A8086" s="6"/>
    </row>
    <row r="8087" spans="1:1">
      <c r="A8087" s="6"/>
    </row>
    <row r="8088" spans="1:1">
      <c r="A8088" s="6"/>
    </row>
    <row r="8089" spans="1:1">
      <c r="A8089" s="6"/>
    </row>
    <row r="8090" spans="1:1">
      <c r="A8090" s="6"/>
    </row>
    <row r="8091" spans="1:1">
      <c r="A8091" s="6"/>
    </row>
    <row r="8092" spans="1:1">
      <c r="A8092" s="6"/>
    </row>
    <row r="8093" spans="1:1">
      <c r="A8093" s="6"/>
    </row>
    <row r="8094" spans="1:1">
      <c r="A8094" s="6"/>
    </row>
    <row r="8095" spans="1:1">
      <c r="A8095" s="6"/>
    </row>
    <row r="8096" spans="1:1">
      <c r="A8096" s="6"/>
    </row>
    <row r="8097" spans="1:1">
      <c r="A8097" s="6"/>
    </row>
    <row r="8098" spans="1:1">
      <c r="A8098" s="6"/>
    </row>
    <row r="8099" spans="1:1">
      <c r="A8099" s="6"/>
    </row>
    <row r="8100" spans="1:1">
      <c r="A8100" s="6"/>
    </row>
    <row r="8101" spans="1:1">
      <c r="A8101" s="6"/>
    </row>
    <row r="8102" spans="1:1">
      <c r="A8102" s="6"/>
    </row>
    <row r="8103" spans="1:1">
      <c r="A8103" s="6"/>
    </row>
    <row r="8104" spans="1:1">
      <c r="A8104" s="6"/>
    </row>
    <row r="8105" spans="1:1">
      <c r="A8105" s="6"/>
    </row>
    <row r="8106" spans="1:1">
      <c r="A8106" s="6"/>
    </row>
    <row r="8107" spans="1:1">
      <c r="A8107" s="6"/>
    </row>
    <row r="8108" spans="1:1">
      <c r="A8108" s="6"/>
    </row>
    <row r="8109" spans="1:1">
      <c r="A8109" s="6"/>
    </row>
    <row r="8110" spans="1:1">
      <c r="A8110" s="6"/>
    </row>
    <row r="8111" spans="1:1">
      <c r="A8111" s="6"/>
    </row>
    <row r="8112" spans="1:1">
      <c r="A8112" s="6"/>
    </row>
    <row r="8113" spans="1:1">
      <c r="A8113" s="6"/>
    </row>
    <row r="8114" spans="1:1">
      <c r="A8114" s="6"/>
    </row>
    <row r="8115" spans="1:1">
      <c r="A8115" s="6"/>
    </row>
    <row r="8116" spans="1:1">
      <c r="A8116" s="6"/>
    </row>
    <row r="8117" spans="1:1">
      <c r="A8117" s="6"/>
    </row>
    <row r="8118" spans="1:1">
      <c r="A8118" s="6"/>
    </row>
    <row r="8119" spans="1:1">
      <c r="A8119" s="6"/>
    </row>
    <row r="8120" spans="1:1">
      <c r="A8120" s="6"/>
    </row>
    <row r="8121" spans="1:1">
      <c r="A8121" s="6"/>
    </row>
    <row r="8122" spans="1:1">
      <c r="A8122" s="6"/>
    </row>
    <row r="8123" spans="1:1">
      <c r="A8123" s="6"/>
    </row>
    <row r="8124" spans="1:1">
      <c r="A8124" s="6"/>
    </row>
    <row r="8125" spans="1:1">
      <c r="A8125" s="6"/>
    </row>
    <row r="8126" spans="1:1">
      <c r="A8126" s="6"/>
    </row>
    <row r="8127" spans="1:1">
      <c r="A8127" s="6"/>
    </row>
    <row r="8128" spans="1:1">
      <c r="A8128" s="6"/>
    </row>
    <row r="8129" spans="1:1">
      <c r="A8129" s="6"/>
    </row>
    <row r="8130" spans="1:1">
      <c r="A8130" s="6"/>
    </row>
    <row r="8131" spans="1:1">
      <c r="A8131" s="6"/>
    </row>
    <row r="8132" spans="1:1">
      <c r="A8132" s="6"/>
    </row>
    <row r="8133" spans="1:1">
      <c r="A8133" s="6"/>
    </row>
    <row r="8134" spans="1:1">
      <c r="A8134" s="6"/>
    </row>
    <row r="8135" spans="1:1">
      <c r="A8135" s="6"/>
    </row>
    <row r="8136" spans="1:1">
      <c r="A8136" s="6"/>
    </row>
    <row r="8137" spans="1:1">
      <c r="A8137" s="6"/>
    </row>
    <row r="8138" spans="1:1">
      <c r="A8138" s="6"/>
    </row>
    <row r="8139" spans="1:1">
      <c r="A8139" s="6"/>
    </row>
    <row r="8140" spans="1:1">
      <c r="A8140" s="6"/>
    </row>
    <row r="8141" spans="1:1">
      <c r="A8141" s="6"/>
    </row>
    <row r="8142" spans="1:1">
      <c r="A8142" s="6"/>
    </row>
    <row r="8143" spans="1:1">
      <c r="A8143" s="6"/>
    </row>
    <row r="8144" spans="1:1">
      <c r="A8144" s="6"/>
    </row>
    <row r="8145" spans="1:1">
      <c r="A8145" s="6"/>
    </row>
    <row r="8146" spans="1:1">
      <c r="A8146" s="6"/>
    </row>
    <row r="8147" spans="1:1">
      <c r="A8147" s="6"/>
    </row>
    <row r="8148" spans="1:1">
      <c r="A8148" s="6"/>
    </row>
    <row r="8149" spans="1:1">
      <c r="A8149" s="6"/>
    </row>
    <row r="8150" spans="1:1">
      <c r="A8150" s="6"/>
    </row>
    <row r="8151" spans="1:1">
      <c r="A8151" s="6"/>
    </row>
    <row r="8152" spans="1:1">
      <c r="A8152" s="6"/>
    </row>
    <row r="8153" spans="1:1">
      <c r="A8153" s="6"/>
    </row>
    <row r="8154" spans="1:1">
      <c r="A8154" s="6"/>
    </row>
    <row r="8155" spans="1:1">
      <c r="A8155" s="6"/>
    </row>
    <row r="8156" spans="1:1">
      <c r="A8156" s="6"/>
    </row>
    <row r="8157" spans="1:1">
      <c r="A8157" s="6"/>
    </row>
    <row r="8158" spans="1:1">
      <c r="A8158" s="6"/>
    </row>
    <row r="8159" spans="1:1">
      <c r="A8159" s="6"/>
    </row>
    <row r="8160" spans="1:1">
      <c r="A8160" s="6"/>
    </row>
    <row r="8161" spans="1:1">
      <c r="A8161" s="6"/>
    </row>
    <row r="8162" spans="1:1">
      <c r="A8162" s="6"/>
    </row>
    <row r="8163" spans="1:1">
      <c r="A8163" s="6"/>
    </row>
    <row r="8164" spans="1:1">
      <c r="A8164" s="6"/>
    </row>
    <row r="8165" spans="1:1">
      <c r="A8165" s="6"/>
    </row>
    <row r="8166" spans="1:1">
      <c r="A8166" s="6"/>
    </row>
    <row r="8167" spans="1:1">
      <c r="A8167" s="6"/>
    </row>
    <row r="8168" spans="1:1">
      <c r="A8168" s="6"/>
    </row>
    <row r="8169" spans="1:1">
      <c r="A8169" s="6"/>
    </row>
    <row r="8170" spans="1:1">
      <c r="A8170" s="6"/>
    </row>
    <row r="8171" spans="1:1">
      <c r="A8171" s="6"/>
    </row>
    <row r="8172" spans="1:1">
      <c r="A8172" s="6"/>
    </row>
    <row r="8173" spans="1:1">
      <c r="A8173" s="6"/>
    </row>
    <row r="8174" spans="1:1">
      <c r="A8174" s="6"/>
    </row>
    <row r="8175" spans="1:1">
      <c r="A8175" s="6"/>
    </row>
    <row r="8176" spans="1:1">
      <c r="A8176" s="6"/>
    </row>
    <row r="8177" spans="1:1">
      <c r="A8177" s="6"/>
    </row>
    <row r="8178" spans="1:1">
      <c r="A8178" s="6"/>
    </row>
    <row r="8179" spans="1:1">
      <c r="A8179" s="6"/>
    </row>
    <row r="8180" spans="1:1">
      <c r="A8180" s="6"/>
    </row>
    <row r="8181" spans="1:1">
      <c r="A8181" s="6"/>
    </row>
    <row r="8182" spans="1:1">
      <c r="A8182" s="6"/>
    </row>
    <row r="8183" spans="1:1">
      <c r="A8183" s="6"/>
    </row>
    <row r="8184" spans="1:1">
      <c r="A8184" s="6"/>
    </row>
    <row r="8185" spans="1:1">
      <c r="A8185" s="6"/>
    </row>
    <row r="8186" spans="1:1">
      <c r="A8186" s="6"/>
    </row>
    <row r="8187" spans="1:1">
      <c r="A8187" s="6"/>
    </row>
    <row r="8188" spans="1:1">
      <c r="A8188" s="6"/>
    </row>
    <row r="8189" spans="1:1">
      <c r="A8189" s="6"/>
    </row>
    <row r="8190" spans="1:1">
      <c r="A8190" s="6"/>
    </row>
    <row r="8191" spans="1:1">
      <c r="A8191" s="6"/>
    </row>
    <row r="8192" spans="1:1">
      <c r="A8192" s="6"/>
    </row>
    <row r="8193" spans="1:1">
      <c r="A8193" s="6"/>
    </row>
    <row r="8194" spans="1:1">
      <c r="A8194" s="6"/>
    </row>
    <row r="8195" spans="1:1">
      <c r="A8195" s="6"/>
    </row>
    <row r="8196" spans="1:1">
      <c r="A8196" s="6"/>
    </row>
    <row r="8197" spans="1:1">
      <c r="A8197" s="6"/>
    </row>
    <row r="8198" spans="1:1">
      <c r="A8198" s="6"/>
    </row>
    <row r="8199" spans="1:1">
      <c r="A8199" s="6"/>
    </row>
    <row r="8200" spans="1:1">
      <c r="A8200" s="6"/>
    </row>
    <row r="8201" spans="1:1">
      <c r="A8201" s="6"/>
    </row>
    <row r="8202" spans="1:1">
      <c r="A8202" s="6"/>
    </row>
    <row r="8203" spans="1:1">
      <c r="A8203" s="6"/>
    </row>
    <row r="8204" spans="1:1">
      <c r="A8204" s="6"/>
    </row>
    <row r="8205" spans="1:1">
      <c r="A8205" s="6"/>
    </row>
    <row r="8206" spans="1:1">
      <c r="A8206" s="6"/>
    </row>
    <row r="8207" spans="1:1">
      <c r="A8207" s="6"/>
    </row>
    <row r="8208" spans="1:1">
      <c r="A8208" s="6"/>
    </row>
    <row r="8209" spans="1:1">
      <c r="A8209" s="6"/>
    </row>
    <row r="8210" spans="1:1">
      <c r="A8210" s="6"/>
    </row>
    <row r="8211" spans="1:1">
      <c r="A8211" s="6"/>
    </row>
    <row r="8212" spans="1:1">
      <c r="A8212" s="6"/>
    </row>
    <row r="8213" spans="1:1">
      <c r="A8213" s="6"/>
    </row>
    <row r="8214" spans="1:1">
      <c r="A8214" s="6"/>
    </row>
    <row r="8215" spans="1:1">
      <c r="A8215" s="6"/>
    </row>
    <row r="8216" spans="1:1">
      <c r="A8216" s="6"/>
    </row>
    <row r="8217" spans="1:1">
      <c r="A8217" s="6"/>
    </row>
    <row r="8218" spans="1:1">
      <c r="A8218" s="6"/>
    </row>
    <row r="8219" spans="1:1">
      <c r="A8219" s="6"/>
    </row>
    <row r="8220" spans="1:1">
      <c r="A8220" s="6"/>
    </row>
    <row r="8221" spans="1:1">
      <c r="A8221" s="6"/>
    </row>
    <row r="8222" spans="1:1">
      <c r="A8222" s="6"/>
    </row>
    <row r="8223" spans="1:1">
      <c r="A8223" s="6"/>
    </row>
    <row r="8224" spans="1:1">
      <c r="A8224" s="6"/>
    </row>
    <row r="8225" spans="1:1">
      <c r="A8225" s="6"/>
    </row>
    <row r="8226" spans="1:1">
      <c r="A8226" s="6"/>
    </row>
    <row r="8227" spans="1:1">
      <c r="A8227" s="6"/>
    </row>
    <row r="8228" spans="1:1">
      <c r="A8228" s="6"/>
    </row>
    <row r="8229" spans="1:1">
      <c r="A8229" s="6"/>
    </row>
    <row r="8230" spans="1:1">
      <c r="A8230" s="6"/>
    </row>
    <row r="8231" spans="1:1">
      <c r="A8231" s="6"/>
    </row>
    <row r="8232" spans="1:1">
      <c r="A8232" s="6"/>
    </row>
    <row r="8233" spans="1:1">
      <c r="A8233" s="6"/>
    </row>
    <row r="8234" spans="1:1">
      <c r="A8234" s="6"/>
    </row>
    <row r="8235" spans="1:1">
      <c r="A8235" s="6"/>
    </row>
    <row r="8236" spans="1:1">
      <c r="A8236" s="6"/>
    </row>
    <row r="8237" spans="1:1">
      <c r="A8237" s="6"/>
    </row>
    <row r="8238" spans="1:1">
      <c r="A8238" s="6"/>
    </row>
    <row r="8239" spans="1:1">
      <c r="A8239" s="6"/>
    </row>
    <row r="8240" spans="1:1">
      <c r="A8240" s="6"/>
    </row>
    <row r="8241" spans="1:1">
      <c r="A8241" s="6"/>
    </row>
    <row r="8242" spans="1:1">
      <c r="A8242" s="6"/>
    </row>
    <row r="8243" spans="1:1">
      <c r="A8243" s="6"/>
    </row>
    <row r="8244" spans="1:1">
      <c r="A8244" s="6"/>
    </row>
    <row r="8245" spans="1:1">
      <c r="A8245" s="6"/>
    </row>
    <row r="8246" spans="1:1">
      <c r="A8246" s="6"/>
    </row>
    <row r="8247" spans="1:1">
      <c r="A8247" s="6"/>
    </row>
    <row r="8248" spans="1:1">
      <c r="A8248" s="6"/>
    </row>
    <row r="8249" spans="1:1">
      <c r="A8249" s="6"/>
    </row>
    <row r="8250" spans="1:1">
      <c r="A8250" s="6"/>
    </row>
    <row r="8251" spans="1:1">
      <c r="A8251" s="6"/>
    </row>
    <row r="8252" spans="1:1">
      <c r="A8252" s="6"/>
    </row>
    <row r="8253" spans="1:1">
      <c r="A8253" s="6"/>
    </row>
    <row r="8254" spans="1:1">
      <c r="A8254" s="6"/>
    </row>
    <row r="8255" spans="1:1">
      <c r="A8255" s="6"/>
    </row>
    <row r="8256" spans="1:1">
      <c r="A8256" s="6"/>
    </row>
    <row r="8257" spans="1:1">
      <c r="A8257" s="6"/>
    </row>
    <row r="8258" spans="1:1">
      <c r="A8258" s="6"/>
    </row>
    <row r="8259" spans="1:1">
      <c r="A8259" s="6"/>
    </row>
    <row r="8260" spans="1:1">
      <c r="A8260" s="6"/>
    </row>
    <row r="8261" spans="1:1">
      <c r="A8261" s="6"/>
    </row>
    <row r="8262" spans="1:1">
      <c r="A8262" s="6"/>
    </row>
    <row r="8263" spans="1:1">
      <c r="A8263" s="6"/>
    </row>
    <row r="8264" spans="1:1">
      <c r="A8264" s="6"/>
    </row>
    <row r="8265" spans="1:1">
      <c r="A8265" s="6"/>
    </row>
    <row r="8266" spans="1:1">
      <c r="A8266" s="6"/>
    </row>
    <row r="8267" spans="1:1">
      <c r="A8267" s="6"/>
    </row>
    <row r="8268" spans="1:1">
      <c r="A8268" s="6"/>
    </row>
    <row r="8269" spans="1:1">
      <c r="A8269" s="6"/>
    </row>
    <row r="8270" spans="1:1">
      <c r="A8270" s="6"/>
    </row>
    <row r="8271" spans="1:1">
      <c r="A8271" s="6"/>
    </row>
    <row r="8272" spans="1:1">
      <c r="A8272" s="6"/>
    </row>
    <row r="8273" spans="1:1">
      <c r="A8273" s="6"/>
    </row>
    <row r="8274" spans="1:1">
      <c r="A8274" s="6"/>
    </row>
    <row r="8275" spans="1:1">
      <c r="A8275" s="6"/>
    </row>
    <row r="8276" spans="1:1">
      <c r="A8276" s="6"/>
    </row>
    <row r="8277" spans="1:1">
      <c r="A8277" s="6"/>
    </row>
    <row r="8278" spans="1:1">
      <c r="A8278" s="6"/>
    </row>
    <row r="8279" spans="1:1">
      <c r="A8279" s="6"/>
    </row>
    <row r="8280" spans="1:1">
      <c r="A8280" s="6"/>
    </row>
    <row r="8281" spans="1:1">
      <c r="A8281" s="6"/>
    </row>
    <row r="8282" spans="1:1">
      <c r="A8282" s="6"/>
    </row>
    <row r="8283" spans="1:1">
      <c r="A8283" s="6"/>
    </row>
    <row r="8284" spans="1:1">
      <c r="A8284" s="6"/>
    </row>
    <row r="8285" spans="1:1">
      <c r="A8285" s="6"/>
    </row>
    <row r="8286" spans="1:1">
      <c r="A8286" s="6"/>
    </row>
    <row r="8287" spans="1:1">
      <c r="A8287" s="6"/>
    </row>
    <row r="8288" spans="1:1">
      <c r="A8288" s="6"/>
    </row>
    <row r="8289" spans="1:1">
      <c r="A8289" s="6"/>
    </row>
    <row r="8290" spans="1:1">
      <c r="A8290" s="6"/>
    </row>
    <row r="8291" spans="1:1">
      <c r="A8291" s="6"/>
    </row>
    <row r="8292" spans="1:1">
      <c r="A8292" s="6"/>
    </row>
    <row r="8293" spans="1:1">
      <c r="A8293" s="6"/>
    </row>
    <row r="8294" spans="1:1">
      <c r="A8294" s="6"/>
    </row>
    <row r="8295" spans="1:1">
      <c r="A8295" s="6"/>
    </row>
    <row r="8296" spans="1:1">
      <c r="A8296" s="6"/>
    </row>
    <row r="8297" spans="1:1">
      <c r="A8297" s="6"/>
    </row>
    <row r="8298" spans="1:1">
      <c r="A8298" s="6"/>
    </row>
    <row r="8299" spans="1:1">
      <c r="A8299" s="6"/>
    </row>
    <row r="8300" spans="1:1">
      <c r="A8300" s="6"/>
    </row>
    <row r="8301" spans="1:1">
      <c r="A8301" s="6"/>
    </row>
    <row r="8302" spans="1:1">
      <c r="A8302" s="6"/>
    </row>
    <row r="8303" spans="1:1">
      <c r="A8303" s="6"/>
    </row>
    <row r="8304" spans="1:1">
      <c r="A8304" s="6"/>
    </row>
    <row r="8305" spans="1:1">
      <c r="A8305" s="6"/>
    </row>
    <row r="8306" spans="1:1">
      <c r="A8306" s="6"/>
    </row>
    <row r="8307" spans="1:1">
      <c r="A8307" s="6"/>
    </row>
    <row r="8308" spans="1:1">
      <c r="A8308" s="6"/>
    </row>
    <row r="8309" spans="1:1">
      <c r="A8309" s="6"/>
    </row>
    <row r="8310" spans="1:1">
      <c r="A8310" s="6"/>
    </row>
    <row r="8311" spans="1:1">
      <c r="A8311" s="6"/>
    </row>
    <row r="8312" spans="1:1">
      <c r="A8312" s="6"/>
    </row>
    <row r="8313" spans="1:1">
      <c r="A8313" s="6"/>
    </row>
    <row r="8314" spans="1:1">
      <c r="A8314" s="6"/>
    </row>
    <row r="8315" spans="1:1">
      <c r="A8315" s="6"/>
    </row>
    <row r="8316" spans="1:1">
      <c r="A8316" s="6"/>
    </row>
    <row r="8317" spans="1:1">
      <c r="A8317" s="6"/>
    </row>
    <row r="8318" spans="1:1">
      <c r="A8318" s="6"/>
    </row>
    <row r="8319" spans="1:1">
      <c r="A8319" s="6"/>
    </row>
    <row r="8320" spans="1:1">
      <c r="A8320" s="6"/>
    </row>
    <row r="8321" spans="1:1">
      <c r="A8321" s="6"/>
    </row>
    <row r="8322" spans="1:1">
      <c r="A8322" s="6"/>
    </row>
    <row r="8323" spans="1:1">
      <c r="A8323" s="6"/>
    </row>
    <row r="8324" spans="1:1">
      <c r="A8324" s="6"/>
    </row>
    <row r="8325" spans="1:1">
      <c r="A8325" s="6"/>
    </row>
    <row r="8326" spans="1:1">
      <c r="A8326" s="6"/>
    </row>
    <row r="8327" spans="1:1">
      <c r="A8327" s="6"/>
    </row>
    <row r="8328" spans="1:1">
      <c r="A8328" s="6"/>
    </row>
    <row r="8329" spans="1:1">
      <c r="A8329" s="6"/>
    </row>
    <row r="8330" spans="1:1">
      <c r="A8330" s="6"/>
    </row>
    <row r="8331" spans="1:1">
      <c r="A8331" s="6"/>
    </row>
    <row r="8332" spans="1:1">
      <c r="A8332" s="6"/>
    </row>
    <row r="8333" spans="1:1">
      <c r="A8333" s="6"/>
    </row>
    <row r="8334" spans="1:1">
      <c r="A8334" s="6"/>
    </row>
    <row r="8335" spans="1:1">
      <c r="A8335" s="6"/>
    </row>
    <row r="8336" spans="1:1">
      <c r="A8336" s="6"/>
    </row>
    <row r="8337" spans="1:1">
      <c r="A8337" s="6"/>
    </row>
    <row r="8338" spans="1:1">
      <c r="A8338" s="6"/>
    </row>
    <row r="8339" spans="1:1">
      <c r="A8339" s="6"/>
    </row>
    <row r="8340" spans="1:1">
      <c r="A8340" s="6"/>
    </row>
    <row r="8341" spans="1:1">
      <c r="A8341" s="6"/>
    </row>
    <row r="8342" spans="1:1">
      <c r="A8342" s="6"/>
    </row>
    <row r="8343" spans="1:1">
      <c r="A8343" s="6"/>
    </row>
    <row r="8344" spans="1:1">
      <c r="A8344" s="6"/>
    </row>
    <row r="8345" spans="1:1">
      <c r="A8345" s="6"/>
    </row>
    <row r="8346" spans="1:1">
      <c r="A8346" s="6"/>
    </row>
    <row r="8347" spans="1:1">
      <c r="A8347" s="6"/>
    </row>
    <row r="8348" spans="1:1">
      <c r="A8348" s="6"/>
    </row>
    <row r="8349" spans="1:1">
      <c r="A8349" s="6"/>
    </row>
    <row r="8350" spans="1:1">
      <c r="A8350" s="6"/>
    </row>
    <row r="8351" spans="1:1">
      <c r="A8351" s="6"/>
    </row>
    <row r="8352" spans="1:1">
      <c r="A8352" s="6"/>
    </row>
    <row r="8353" spans="1:1">
      <c r="A8353" s="6"/>
    </row>
    <row r="8354" spans="1:1">
      <c r="A8354" s="6"/>
    </row>
    <row r="8355" spans="1:1">
      <c r="A8355" s="6"/>
    </row>
    <row r="8356" spans="1:1">
      <c r="A8356" s="6"/>
    </row>
    <row r="8357" spans="1:1">
      <c r="A8357" s="6"/>
    </row>
    <row r="8358" spans="1:1">
      <c r="A8358" s="6"/>
    </row>
    <row r="8359" spans="1:1">
      <c r="A8359" s="6"/>
    </row>
    <row r="8360" spans="1:1">
      <c r="A8360" s="6"/>
    </row>
    <row r="8361" spans="1:1">
      <c r="A8361" s="6"/>
    </row>
    <row r="8362" spans="1:1">
      <c r="A8362" s="6"/>
    </row>
    <row r="8363" spans="1:1">
      <c r="A8363" s="6"/>
    </row>
    <row r="8364" spans="1:1">
      <c r="A8364" s="6"/>
    </row>
    <row r="8365" spans="1:1">
      <c r="A8365" s="6"/>
    </row>
    <row r="8366" spans="1:1">
      <c r="A8366" s="6"/>
    </row>
    <row r="8367" spans="1:1">
      <c r="A8367" s="6"/>
    </row>
    <row r="8368" spans="1:1">
      <c r="A8368" s="6"/>
    </row>
    <row r="8369" spans="1:1">
      <c r="A8369" s="6"/>
    </row>
    <row r="8370" spans="1:1">
      <c r="A8370" s="6"/>
    </row>
    <row r="8371" spans="1:1">
      <c r="A8371" s="6"/>
    </row>
    <row r="8372" spans="1:1">
      <c r="A8372" s="6"/>
    </row>
    <row r="8373" spans="1:1">
      <c r="A8373" s="6"/>
    </row>
    <row r="8374" spans="1:1">
      <c r="A8374" s="6"/>
    </row>
    <row r="8375" spans="1:1">
      <c r="A8375" s="6"/>
    </row>
    <row r="8376" spans="1:1">
      <c r="A8376" s="6"/>
    </row>
    <row r="8377" spans="1:1">
      <c r="A8377" s="6"/>
    </row>
    <row r="8378" spans="1:1">
      <c r="A8378" s="6"/>
    </row>
    <row r="8379" spans="1:1">
      <c r="A8379" s="6"/>
    </row>
    <row r="8380" spans="1:1">
      <c r="A8380" s="6"/>
    </row>
    <row r="8381" spans="1:1">
      <c r="A8381" s="6"/>
    </row>
    <row r="8382" spans="1:1">
      <c r="A8382" s="6"/>
    </row>
    <row r="8383" spans="1:1">
      <c r="A8383" s="6"/>
    </row>
    <row r="8384" spans="1:1">
      <c r="A8384" s="6"/>
    </row>
    <row r="8385" spans="1:1">
      <c r="A8385" s="6"/>
    </row>
    <row r="8386" spans="1:1">
      <c r="A8386" s="6"/>
    </row>
    <row r="8387" spans="1:1">
      <c r="A8387" s="6"/>
    </row>
    <row r="8388" spans="1:1">
      <c r="A8388" s="6"/>
    </row>
    <row r="8389" spans="1:1">
      <c r="A8389" s="6"/>
    </row>
    <row r="8390" spans="1:1">
      <c r="A8390" s="6"/>
    </row>
    <row r="8391" spans="1:1">
      <c r="A8391" s="6"/>
    </row>
    <row r="8392" spans="1:1">
      <c r="A8392" s="6"/>
    </row>
    <row r="8393" spans="1:1">
      <c r="A8393" s="6"/>
    </row>
    <row r="8394" spans="1:1">
      <c r="A8394" s="6"/>
    </row>
    <row r="8395" spans="1:1">
      <c r="A8395" s="6"/>
    </row>
    <row r="8396" spans="1:1">
      <c r="A8396" s="6"/>
    </row>
    <row r="8397" spans="1:1">
      <c r="A8397" s="6"/>
    </row>
    <row r="8398" spans="1:1">
      <c r="A8398" s="6"/>
    </row>
    <row r="8399" spans="1:1">
      <c r="A8399" s="6"/>
    </row>
    <row r="8400" spans="1:1">
      <c r="A8400" s="6"/>
    </row>
    <row r="8401" spans="1:1">
      <c r="A8401" s="6"/>
    </row>
    <row r="8402" spans="1:1">
      <c r="A8402" s="6"/>
    </row>
    <row r="8403" spans="1:1">
      <c r="A8403" s="6"/>
    </row>
    <row r="8404" spans="1:1">
      <c r="A8404" s="6"/>
    </row>
    <row r="8405" spans="1:1">
      <c r="A8405" s="6"/>
    </row>
    <row r="8406" spans="1:1">
      <c r="A8406" s="6"/>
    </row>
    <row r="8407" spans="1:1">
      <c r="A8407" s="6"/>
    </row>
    <row r="8408" spans="1:1">
      <c r="A8408" s="6"/>
    </row>
    <row r="8409" spans="1:1">
      <c r="A8409" s="6"/>
    </row>
    <row r="8410" spans="1:1">
      <c r="A8410" s="6"/>
    </row>
    <row r="8411" spans="1:1">
      <c r="A8411" s="6"/>
    </row>
    <row r="8412" spans="1:1">
      <c r="A8412" s="6"/>
    </row>
    <row r="8413" spans="1:1">
      <c r="A8413" s="6"/>
    </row>
    <row r="8414" spans="1:1">
      <c r="A8414" s="6"/>
    </row>
    <row r="8415" spans="1:1">
      <c r="A8415" s="6"/>
    </row>
    <row r="8416" spans="1:1">
      <c r="A8416" s="6"/>
    </row>
    <row r="8417" spans="1:1">
      <c r="A8417" s="6"/>
    </row>
    <row r="8418" spans="1:1">
      <c r="A8418" s="6"/>
    </row>
    <row r="8419" spans="1:1">
      <c r="A8419" s="6"/>
    </row>
    <row r="8420" spans="1:1">
      <c r="A8420" s="6"/>
    </row>
    <row r="8421" spans="1:1">
      <c r="A8421" s="6"/>
    </row>
    <row r="8422" spans="1:1">
      <c r="A8422" s="6"/>
    </row>
    <row r="8423" spans="1:1">
      <c r="A8423" s="6"/>
    </row>
    <row r="8424" spans="1:1">
      <c r="A8424" s="6"/>
    </row>
    <row r="8425" spans="1:1">
      <c r="A8425" s="6"/>
    </row>
    <row r="8426" spans="1:1">
      <c r="A8426" s="6"/>
    </row>
    <row r="8427" spans="1:1">
      <c r="A8427" s="6"/>
    </row>
    <row r="8428" spans="1:1">
      <c r="A8428" s="6"/>
    </row>
    <row r="8429" spans="1:1">
      <c r="A8429" s="6"/>
    </row>
    <row r="8430" spans="1:1">
      <c r="A8430" s="6"/>
    </row>
    <row r="8431" spans="1:1">
      <c r="A8431" s="6"/>
    </row>
    <row r="8432" spans="1:1">
      <c r="A8432" s="6"/>
    </row>
    <row r="8433" spans="1:1">
      <c r="A8433" s="6"/>
    </row>
    <row r="8434" spans="1:1">
      <c r="A8434" s="6"/>
    </row>
    <row r="8435" spans="1:1">
      <c r="A8435" s="6"/>
    </row>
    <row r="8436" spans="1:1">
      <c r="A8436" s="6"/>
    </row>
    <row r="8437" spans="1:1">
      <c r="A8437" s="6"/>
    </row>
    <row r="8438" spans="1:1">
      <c r="A8438" s="6"/>
    </row>
    <row r="8439" spans="1:1">
      <c r="A8439" s="6"/>
    </row>
    <row r="8440" spans="1:1">
      <c r="A8440" s="6"/>
    </row>
    <row r="8441" spans="1:1">
      <c r="A8441" s="6"/>
    </row>
    <row r="8442" spans="1:1">
      <c r="A8442" s="6"/>
    </row>
    <row r="8443" spans="1:1">
      <c r="A8443" s="6"/>
    </row>
    <row r="8444" spans="1:1">
      <c r="A8444" s="6"/>
    </row>
    <row r="8445" spans="1:1">
      <c r="A8445" s="6"/>
    </row>
    <row r="8446" spans="1:1">
      <c r="A8446" s="6"/>
    </row>
    <row r="8447" spans="1:1">
      <c r="A8447" s="6"/>
    </row>
    <row r="8448" spans="1:1">
      <c r="A8448" s="6"/>
    </row>
    <row r="8449" spans="1:1">
      <c r="A8449" s="6"/>
    </row>
    <row r="8450" spans="1:1">
      <c r="A8450" s="6"/>
    </row>
    <row r="8451" spans="1:1">
      <c r="A8451" s="6"/>
    </row>
    <row r="8452" spans="1:1">
      <c r="A8452" s="6"/>
    </row>
    <row r="8453" spans="1:1">
      <c r="A8453" s="6"/>
    </row>
    <row r="8454" spans="1:1">
      <c r="A8454" s="6"/>
    </row>
    <row r="8455" spans="1:1">
      <c r="A8455" s="6"/>
    </row>
    <row r="8456" spans="1:1">
      <c r="A8456" s="6"/>
    </row>
    <row r="8457" spans="1:1">
      <c r="A8457" s="6"/>
    </row>
    <row r="8458" spans="1:1">
      <c r="A8458" s="6"/>
    </row>
    <row r="8459" spans="1:1">
      <c r="A8459" s="6"/>
    </row>
    <row r="8460" spans="1:1">
      <c r="A8460" s="6"/>
    </row>
    <row r="8461" spans="1:1">
      <c r="A8461" s="6"/>
    </row>
    <row r="8462" spans="1:1">
      <c r="A8462" s="6"/>
    </row>
    <row r="8463" spans="1:1">
      <c r="A8463" s="6"/>
    </row>
    <row r="8464" spans="1:1">
      <c r="A8464" s="6"/>
    </row>
    <row r="8465" spans="1:1">
      <c r="A8465" s="6"/>
    </row>
    <row r="8466" spans="1:1">
      <c r="A8466" s="6"/>
    </row>
    <row r="8467" spans="1:1">
      <c r="A8467" s="6"/>
    </row>
    <row r="8468" spans="1:1">
      <c r="A8468" s="6"/>
    </row>
    <row r="8469" spans="1:1">
      <c r="A8469" s="6"/>
    </row>
    <row r="8470" spans="1:1">
      <c r="A8470" s="6"/>
    </row>
    <row r="8471" spans="1:1">
      <c r="A8471" s="6"/>
    </row>
    <row r="8472" spans="1:1">
      <c r="A8472" s="6"/>
    </row>
    <row r="8473" spans="1:1">
      <c r="A8473" s="6"/>
    </row>
    <row r="8474" spans="1:1">
      <c r="A8474" s="6"/>
    </row>
    <row r="8475" spans="1:1">
      <c r="A8475" s="6"/>
    </row>
    <row r="8476" spans="1:1">
      <c r="A8476" s="6"/>
    </row>
    <row r="8477" spans="1:1">
      <c r="A8477" s="6"/>
    </row>
    <row r="8478" spans="1:1">
      <c r="A8478" s="6"/>
    </row>
    <row r="8479" spans="1:1">
      <c r="A8479" s="6"/>
    </row>
    <row r="8480" spans="1:1">
      <c r="A8480" s="6"/>
    </row>
    <row r="8481" spans="1:1">
      <c r="A8481" s="6"/>
    </row>
    <row r="8482" spans="1:1">
      <c r="A8482" s="6"/>
    </row>
    <row r="8483" spans="1:1">
      <c r="A8483" s="6"/>
    </row>
    <row r="8484" spans="1:1">
      <c r="A8484" s="6"/>
    </row>
    <row r="8485" spans="1:1">
      <c r="A8485" s="6"/>
    </row>
    <row r="8486" spans="1:1">
      <c r="A8486" s="6"/>
    </row>
    <row r="8487" spans="1:1">
      <c r="A8487" s="6"/>
    </row>
    <row r="8488" spans="1:1">
      <c r="A8488" s="6"/>
    </row>
    <row r="8489" spans="1:1">
      <c r="A8489" s="6"/>
    </row>
    <row r="8490" spans="1:1">
      <c r="A8490" s="6"/>
    </row>
    <row r="8491" spans="1:1">
      <c r="A8491" s="6"/>
    </row>
    <row r="8492" spans="1:1">
      <c r="A8492" s="6"/>
    </row>
    <row r="8493" spans="1:1">
      <c r="A8493" s="6"/>
    </row>
    <row r="8494" spans="1:1">
      <c r="A8494" s="6"/>
    </row>
    <row r="8495" spans="1:1">
      <c r="A8495" s="6"/>
    </row>
    <row r="8496" spans="1:1">
      <c r="A8496" s="6"/>
    </row>
    <row r="8497" spans="1:1">
      <c r="A8497" s="6"/>
    </row>
    <row r="8498" spans="1:1">
      <c r="A8498" s="6"/>
    </row>
    <row r="8499" spans="1:1">
      <c r="A8499" s="6"/>
    </row>
    <row r="8500" spans="1:1">
      <c r="A8500" s="6"/>
    </row>
    <row r="8501" spans="1:1">
      <c r="A8501" s="6"/>
    </row>
    <row r="8502" spans="1:1">
      <c r="A8502" s="6"/>
    </row>
    <row r="8503" spans="1:1">
      <c r="A8503" s="6"/>
    </row>
    <row r="8504" spans="1:1">
      <c r="A8504" s="6"/>
    </row>
    <row r="8505" spans="1:1">
      <c r="A8505" s="6"/>
    </row>
    <row r="8506" spans="1:1">
      <c r="A8506" s="6"/>
    </row>
    <row r="8507" spans="1:1">
      <c r="A8507" s="6"/>
    </row>
    <row r="8508" spans="1:1">
      <c r="A8508" s="6"/>
    </row>
    <row r="8509" spans="1:1">
      <c r="A8509" s="6"/>
    </row>
    <row r="8510" spans="1:1">
      <c r="A8510" s="6"/>
    </row>
    <row r="8511" spans="1:1">
      <c r="A8511" s="6"/>
    </row>
    <row r="8512" spans="1:1">
      <c r="A8512" s="6"/>
    </row>
    <row r="8513" spans="1:1">
      <c r="A8513" s="6"/>
    </row>
    <row r="8514" spans="1:1">
      <c r="A8514" s="6"/>
    </row>
    <row r="8515" spans="1:1">
      <c r="A8515" s="6"/>
    </row>
    <row r="8516" spans="1:1">
      <c r="A8516" s="6"/>
    </row>
    <row r="8517" spans="1:1">
      <c r="A8517" s="6"/>
    </row>
    <row r="8518" spans="1:1">
      <c r="A8518" s="6"/>
    </row>
    <row r="8519" spans="1:1">
      <c r="A8519" s="6"/>
    </row>
    <row r="8520" spans="1:1">
      <c r="A8520" s="6"/>
    </row>
    <row r="8521" spans="1:1">
      <c r="A8521" s="6"/>
    </row>
    <row r="8522" spans="1:1">
      <c r="A8522" s="6"/>
    </row>
    <row r="8523" spans="1:1">
      <c r="A8523" s="6"/>
    </row>
    <row r="8524" spans="1:1">
      <c r="A8524" s="6"/>
    </row>
    <row r="8525" spans="1:1">
      <c r="A8525" s="6"/>
    </row>
    <row r="8526" spans="1:1">
      <c r="A8526" s="6"/>
    </row>
    <row r="8527" spans="1:1">
      <c r="A8527" s="6"/>
    </row>
    <row r="8528" spans="1:1">
      <c r="A8528" s="6"/>
    </row>
    <row r="8529" spans="1:1">
      <c r="A8529" s="6"/>
    </row>
    <row r="8530" spans="1:1">
      <c r="A8530" s="6"/>
    </row>
    <row r="8531" spans="1:1">
      <c r="A8531" s="6"/>
    </row>
    <row r="8532" spans="1:1">
      <c r="A8532" s="6"/>
    </row>
    <row r="8533" spans="1:1">
      <c r="A8533" s="6"/>
    </row>
    <row r="8534" spans="1:1">
      <c r="A8534" s="6"/>
    </row>
    <row r="8535" spans="1:1">
      <c r="A8535" s="6"/>
    </row>
    <row r="8536" spans="1:1">
      <c r="A8536" s="6"/>
    </row>
    <row r="8537" spans="1:1">
      <c r="A8537" s="6"/>
    </row>
    <row r="8538" spans="1:1">
      <c r="A8538" s="6"/>
    </row>
    <row r="8539" spans="1:1">
      <c r="A8539" s="6"/>
    </row>
    <row r="8540" spans="1:1">
      <c r="A8540" s="6"/>
    </row>
    <row r="8541" spans="1:1">
      <c r="A8541" s="6"/>
    </row>
    <row r="8542" spans="1:1">
      <c r="A8542" s="6"/>
    </row>
    <row r="8543" spans="1:1">
      <c r="A8543" s="6"/>
    </row>
    <row r="8544" spans="1:1">
      <c r="A8544" s="6"/>
    </row>
    <row r="8545" spans="1:1">
      <c r="A8545" s="6"/>
    </row>
    <row r="8546" spans="1:1">
      <c r="A8546" s="6"/>
    </row>
    <row r="8547" spans="1:1">
      <c r="A8547" s="6"/>
    </row>
    <row r="8548" spans="1:1">
      <c r="A8548" s="6"/>
    </row>
    <row r="8549" spans="1:1">
      <c r="A8549" s="6"/>
    </row>
    <row r="8550" spans="1:1">
      <c r="A8550" s="6"/>
    </row>
    <row r="8551" spans="1:1">
      <c r="A8551" s="6"/>
    </row>
    <row r="8552" spans="1:1">
      <c r="A8552" s="6"/>
    </row>
    <row r="8553" spans="1:1">
      <c r="A8553" s="6"/>
    </row>
    <row r="8554" spans="1:1">
      <c r="A8554" s="6"/>
    </row>
    <row r="8555" spans="1:1">
      <c r="A8555" s="6"/>
    </row>
    <row r="8556" spans="1:1">
      <c r="A8556" s="6"/>
    </row>
    <row r="8557" spans="1:1">
      <c r="A8557" s="6"/>
    </row>
    <row r="8558" spans="1:1">
      <c r="A8558" s="6"/>
    </row>
    <row r="8559" spans="1:1">
      <c r="A8559" s="6"/>
    </row>
    <row r="8560" spans="1:1">
      <c r="A8560" s="6"/>
    </row>
    <row r="8561" spans="1:1">
      <c r="A8561" s="6"/>
    </row>
    <row r="8562" spans="1:1">
      <c r="A8562" s="6"/>
    </row>
    <row r="8563" spans="1:1">
      <c r="A8563" s="6"/>
    </row>
    <row r="8564" spans="1:1">
      <c r="A8564" s="6"/>
    </row>
    <row r="8565" spans="1:1">
      <c r="A8565" s="6"/>
    </row>
    <row r="8566" spans="1:1">
      <c r="A8566" s="6"/>
    </row>
    <row r="8567" spans="1:1">
      <c r="A8567" s="6"/>
    </row>
    <row r="8568" spans="1:1">
      <c r="A8568" s="6"/>
    </row>
    <row r="8569" spans="1:1">
      <c r="A8569" s="6"/>
    </row>
    <row r="8570" spans="1:1">
      <c r="A8570" s="6"/>
    </row>
    <row r="8571" spans="1:1">
      <c r="A8571" s="6"/>
    </row>
    <row r="8572" spans="1:1">
      <c r="A8572" s="6"/>
    </row>
    <row r="8573" spans="1:1">
      <c r="A8573" s="6"/>
    </row>
    <row r="8574" spans="1:1">
      <c r="A8574" s="6"/>
    </row>
    <row r="8575" spans="1:1">
      <c r="A8575" s="6"/>
    </row>
    <row r="8576" spans="1:1">
      <c r="A8576" s="6"/>
    </row>
    <row r="8577" spans="1:1">
      <c r="A8577" s="6"/>
    </row>
    <row r="8578" spans="1:1">
      <c r="A8578" s="6"/>
    </row>
    <row r="8579" spans="1:1">
      <c r="A8579" s="6"/>
    </row>
    <row r="8580" spans="1:1">
      <c r="A8580" s="6"/>
    </row>
    <row r="8581" spans="1:1">
      <c r="A8581" s="6"/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R2095"/>
  <sheetViews>
    <sheetView zoomScale="115" zoomScaleNormal="115" workbookViewId="0">
      <selection activeCell="A1" sqref="A1:R2053"/>
    </sheetView>
  </sheetViews>
  <sheetFormatPr defaultColWidth="9" defaultRowHeight="14.25"/>
  <sheetData>
    <row r="1" spans="1:18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</row>
    <row r="2" spans="1:18">
      <c r="A2" s="3" t="s">
        <v>18</v>
      </c>
      <c r="B2" s="3" t="s">
        <v>19</v>
      </c>
      <c r="C2" s="3" t="s">
        <v>18</v>
      </c>
      <c r="D2" s="3"/>
      <c r="E2" s="3" t="s">
        <v>20</v>
      </c>
      <c r="F2" s="3"/>
      <c r="G2" s="3"/>
      <c r="H2" s="3"/>
      <c r="I2" s="3"/>
      <c r="J2" s="3">
        <v>0</v>
      </c>
      <c r="K2" s="3">
        <v>0</v>
      </c>
      <c r="L2" s="3">
        <v>0</v>
      </c>
      <c r="M2" s="3">
        <v>0</v>
      </c>
      <c r="N2" s="3">
        <v>0</v>
      </c>
      <c r="O2" s="3"/>
      <c r="P2" s="3">
        <v>0</v>
      </c>
      <c r="Q2" s="3">
        <v>0</v>
      </c>
      <c r="R2" s="3">
        <v>0</v>
      </c>
    </row>
    <row r="3" spans="1:18">
      <c r="A3" s="3" t="s">
        <v>21</v>
      </c>
      <c r="B3" s="3" t="s">
        <v>22</v>
      </c>
      <c r="C3" s="3" t="s">
        <v>22</v>
      </c>
      <c r="D3" s="3"/>
      <c r="E3" s="3" t="s">
        <v>20</v>
      </c>
      <c r="F3" s="3"/>
      <c r="G3" s="3"/>
      <c r="H3" s="3"/>
      <c r="I3" s="3"/>
      <c r="J3" s="3">
        <v>13</v>
      </c>
      <c r="K3" s="3">
        <v>13</v>
      </c>
      <c r="L3" s="3">
        <v>0</v>
      </c>
      <c r="M3" s="3">
        <v>0</v>
      </c>
      <c r="N3" s="3">
        <v>13</v>
      </c>
      <c r="O3" s="3"/>
      <c r="P3" s="3">
        <v>0</v>
      </c>
      <c r="Q3" s="3">
        <v>0</v>
      </c>
      <c r="R3" s="3">
        <v>0</v>
      </c>
    </row>
    <row r="4" spans="1:18">
      <c r="A4" s="3" t="s">
        <v>23</v>
      </c>
      <c r="B4" s="3" t="s">
        <v>24</v>
      </c>
      <c r="C4" s="3" t="s">
        <v>24</v>
      </c>
      <c r="D4" s="3"/>
      <c r="E4" s="3" t="s">
        <v>20</v>
      </c>
      <c r="F4" s="3"/>
      <c r="G4" s="3"/>
      <c r="H4" s="3"/>
      <c r="I4" s="3"/>
      <c r="J4" s="3">
        <v>46</v>
      </c>
      <c r="K4" s="3">
        <v>45</v>
      </c>
      <c r="L4" s="3">
        <v>0</v>
      </c>
      <c r="M4" s="3">
        <v>1</v>
      </c>
      <c r="N4" s="3">
        <v>46</v>
      </c>
      <c r="O4" s="3"/>
      <c r="P4" s="3">
        <v>0</v>
      </c>
      <c r="Q4" s="3">
        <v>0</v>
      </c>
      <c r="R4" s="3">
        <v>0</v>
      </c>
    </row>
    <row r="5" spans="1:18">
      <c r="A5" s="3" t="s">
        <v>25</v>
      </c>
      <c r="B5" s="3" t="s">
        <v>26</v>
      </c>
      <c r="C5" s="3" t="s">
        <v>26</v>
      </c>
      <c r="D5" s="3"/>
      <c r="E5" s="3" t="s">
        <v>20</v>
      </c>
      <c r="F5" s="3"/>
      <c r="G5" s="3"/>
      <c r="H5" s="3"/>
      <c r="I5" s="3"/>
      <c r="J5" s="3">
        <v>9</v>
      </c>
      <c r="K5" s="3">
        <v>8</v>
      </c>
      <c r="L5" s="3">
        <v>0</v>
      </c>
      <c r="M5" s="3">
        <v>1</v>
      </c>
      <c r="N5" s="3">
        <v>9</v>
      </c>
      <c r="O5" s="3"/>
      <c r="P5" s="3">
        <v>0</v>
      </c>
      <c r="Q5" s="3">
        <v>0</v>
      </c>
      <c r="R5" s="3">
        <v>0</v>
      </c>
    </row>
    <row r="6" spans="1:18">
      <c r="A6" s="3" t="s">
        <v>27</v>
      </c>
      <c r="B6" s="3" t="s">
        <v>28</v>
      </c>
      <c r="C6" s="3" t="s">
        <v>28</v>
      </c>
      <c r="D6" s="3"/>
      <c r="E6" s="3" t="s">
        <v>20</v>
      </c>
      <c r="F6" s="3"/>
      <c r="G6" s="3"/>
      <c r="H6" s="3"/>
      <c r="I6" s="3"/>
      <c r="J6" s="3">
        <v>23</v>
      </c>
      <c r="K6" s="3">
        <v>22</v>
      </c>
      <c r="L6" s="3">
        <v>0</v>
      </c>
      <c r="M6" s="3">
        <v>1</v>
      </c>
      <c r="N6" s="3">
        <v>23</v>
      </c>
      <c r="O6" s="3"/>
      <c r="P6" s="3">
        <v>0</v>
      </c>
      <c r="Q6" s="3">
        <v>0</v>
      </c>
      <c r="R6" s="3">
        <v>0</v>
      </c>
    </row>
    <row r="7" spans="1:18">
      <c r="A7" s="3" t="s">
        <v>29</v>
      </c>
      <c r="B7" s="3" t="s">
        <v>30</v>
      </c>
      <c r="C7" s="3" t="s">
        <v>30</v>
      </c>
      <c r="D7" s="3"/>
      <c r="E7" s="3" t="s">
        <v>20</v>
      </c>
      <c r="F7" s="3"/>
      <c r="G7" s="3"/>
      <c r="H7" s="3"/>
      <c r="I7" s="3"/>
      <c r="J7" s="3">
        <v>14</v>
      </c>
      <c r="K7" s="3">
        <v>14</v>
      </c>
      <c r="L7" s="3">
        <v>0</v>
      </c>
      <c r="M7" s="3">
        <v>0</v>
      </c>
      <c r="N7" s="3">
        <v>14</v>
      </c>
      <c r="O7" s="3"/>
      <c r="P7" s="3">
        <v>0</v>
      </c>
      <c r="Q7" s="3">
        <v>0</v>
      </c>
      <c r="R7" s="3">
        <v>0</v>
      </c>
    </row>
    <row r="8" spans="1:18">
      <c r="A8" s="3" t="s">
        <v>31</v>
      </c>
      <c r="B8" s="3" t="s">
        <v>32</v>
      </c>
      <c r="C8" s="3" t="s">
        <v>32</v>
      </c>
      <c r="D8" s="3"/>
      <c r="E8" s="3" t="s">
        <v>20</v>
      </c>
      <c r="F8" s="3"/>
      <c r="G8" s="3"/>
      <c r="H8" s="3"/>
      <c r="I8" s="3"/>
      <c r="J8" s="3">
        <v>27</v>
      </c>
      <c r="K8" s="3">
        <v>27</v>
      </c>
      <c r="L8" s="3">
        <v>0</v>
      </c>
      <c r="M8" s="3">
        <v>0</v>
      </c>
      <c r="N8" s="3">
        <v>27</v>
      </c>
      <c r="O8" s="3"/>
      <c r="P8" s="3">
        <v>0</v>
      </c>
      <c r="Q8" s="3">
        <v>0</v>
      </c>
      <c r="R8" s="3">
        <v>0</v>
      </c>
    </row>
    <row r="9" spans="1:18">
      <c r="A9" s="3" t="s">
        <v>33</v>
      </c>
      <c r="B9" s="3" t="s">
        <v>34</v>
      </c>
      <c r="C9" s="3" t="s">
        <v>34</v>
      </c>
      <c r="D9" s="3"/>
      <c r="E9" s="3" t="s">
        <v>20</v>
      </c>
      <c r="F9" s="3"/>
      <c r="G9" s="3"/>
      <c r="H9" s="3"/>
      <c r="I9" s="3"/>
      <c r="J9" s="3">
        <v>3</v>
      </c>
      <c r="K9" s="3">
        <v>3</v>
      </c>
      <c r="L9" s="3">
        <v>0</v>
      </c>
      <c r="M9" s="3">
        <v>0</v>
      </c>
      <c r="N9" s="3">
        <v>3</v>
      </c>
      <c r="O9" s="3"/>
      <c r="P9" s="3">
        <v>0</v>
      </c>
      <c r="Q9" s="3">
        <v>0</v>
      </c>
      <c r="R9" s="3">
        <v>0</v>
      </c>
    </row>
    <row r="10" spans="1:18">
      <c r="A10" s="3" t="s">
        <v>35</v>
      </c>
      <c r="B10" s="3" t="s">
        <v>36</v>
      </c>
      <c r="C10" s="3" t="s">
        <v>36</v>
      </c>
      <c r="D10" s="3"/>
      <c r="E10" s="3" t="s">
        <v>20</v>
      </c>
      <c r="F10" s="3"/>
      <c r="G10" s="3"/>
      <c r="H10" s="3"/>
      <c r="I10" s="3"/>
      <c r="J10" s="3">
        <v>9</v>
      </c>
      <c r="K10" s="3">
        <v>9</v>
      </c>
      <c r="L10" s="3">
        <v>0</v>
      </c>
      <c r="M10" s="3">
        <v>0</v>
      </c>
      <c r="N10" s="3">
        <v>9</v>
      </c>
      <c r="O10" s="3"/>
      <c r="P10" s="3">
        <v>0</v>
      </c>
      <c r="Q10" s="3">
        <v>0</v>
      </c>
      <c r="R10" s="3">
        <v>0</v>
      </c>
    </row>
    <row r="11" spans="1:18">
      <c r="A11" s="3" t="s">
        <v>37</v>
      </c>
      <c r="B11" s="3" t="s">
        <v>38</v>
      </c>
      <c r="C11" s="3" t="s">
        <v>38</v>
      </c>
      <c r="D11" s="3"/>
      <c r="E11" s="3" t="s">
        <v>20</v>
      </c>
      <c r="F11" s="3"/>
      <c r="G11" s="3"/>
      <c r="H11" s="3"/>
      <c r="I11" s="3"/>
      <c r="J11" s="3">
        <v>22</v>
      </c>
      <c r="K11" s="3">
        <v>22</v>
      </c>
      <c r="L11" s="3">
        <v>0</v>
      </c>
      <c r="M11" s="3">
        <v>0</v>
      </c>
      <c r="N11" s="3">
        <v>22</v>
      </c>
      <c r="O11" s="3"/>
      <c r="P11" s="3">
        <v>0</v>
      </c>
      <c r="Q11" s="3">
        <v>0</v>
      </c>
      <c r="R11" s="3">
        <v>0</v>
      </c>
    </row>
    <row r="12" spans="1:18">
      <c r="A12" s="3" t="s">
        <v>39</v>
      </c>
      <c r="B12" s="3" t="s">
        <v>40</v>
      </c>
      <c r="C12" s="3" t="s">
        <v>40</v>
      </c>
      <c r="D12" s="3"/>
      <c r="E12" s="3" t="s">
        <v>20</v>
      </c>
      <c r="F12" s="3"/>
      <c r="G12" s="3"/>
      <c r="H12" s="3"/>
      <c r="I12" s="3"/>
      <c r="J12" s="3">
        <v>14</v>
      </c>
      <c r="K12" s="3">
        <v>14</v>
      </c>
      <c r="L12" s="3">
        <v>0</v>
      </c>
      <c r="M12" s="3">
        <v>0</v>
      </c>
      <c r="N12" s="3">
        <v>14</v>
      </c>
      <c r="O12" s="3"/>
      <c r="P12" s="3">
        <v>0</v>
      </c>
      <c r="Q12" s="3">
        <v>0</v>
      </c>
      <c r="R12" s="3">
        <v>0</v>
      </c>
    </row>
    <row r="13" spans="1:18">
      <c r="A13" s="3" t="s">
        <v>41</v>
      </c>
      <c r="B13" s="3" t="s">
        <v>42</v>
      </c>
      <c r="C13" s="3" t="s">
        <v>42</v>
      </c>
      <c r="D13" s="3"/>
      <c r="E13" s="3" t="s">
        <v>20</v>
      </c>
      <c r="F13" s="3"/>
      <c r="G13" s="3"/>
      <c r="H13" s="3"/>
      <c r="I13" s="3"/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/>
      <c r="P13" s="3">
        <v>0</v>
      </c>
      <c r="Q13" s="3">
        <v>0</v>
      </c>
      <c r="R13" s="3">
        <v>0</v>
      </c>
    </row>
    <row r="14" spans="1:18">
      <c r="A14" s="3" t="s">
        <v>43</v>
      </c>
      <c r="B14" s="3" t="s">
        <v>44</v>
      </c>
      <c r="C14" s="3" t="s">
        <v>44</v>
      </c>
      <c r="D14" s="3"/>
      <c r="E14" s="3" t="s">
        <v>20</v>
      </c>
      <c r="F14" s="3"/>
      <c r="G14" s="3"/>
      <c r="H14" s="3"/>
      <c r="I14" s="3"/>
      <c r="J14" s="3">
        <v>12</v>
      </c>
      <c r="K14" s="3">
        <v>12</v>
      </c>
      <c r="L14" s="3">
        <v>0</v>
      </c>
      <c r="M14" s="3">
        <v>0</v>
      </c>
      <c r="N14" s="3">
        <v>12</v>
      </c>
      <c r="O14" s="3"/>
      <c r="P14" s="3">
        <v>0</v>
      </c>
      <c r="Q14" s="3">
        <v>0</v>
      </c>
      <c r="R14" s="3">
        <v>0</v>
      </c>
    </row>
    <row r="15" spans="1:18">
      <c r="A15" s="3" t="s">
        <v>45</v>
      </c>
      <c r="B15" s="3" t="s">
        <v>46</v>
      </c>
      <c r="C15" s="3" t="s">
        <v>46</v>
      </c>
      <c r="D15" s="3"/>
      <c r="E15" s="3" t="s">
        <v>20</v>
      </c>
      <c r="F15" s="3"/>
      <c r="G15" s="3"/>
      <c r="H15" s="3"/>
      <c r="I15" s="3"/>
      <c r="J15" s="3">
        <v>0</v>
      </c>
      <c r="K15" s="3">
        <v>0</v>
      </c>
      <c r="L15" s="3">
        <v>0</v>
      </c>
      <c r="M15" s="3">
        <v>0</v>
      </c>
      <c r="N15" s="3">
        <v>0</v>
      </c>
      <c r="O15" s="3"/>
      <c r="P15" s="3">
        <v>0</v>
      </c>
      <c r="Q15" s="3">
        <v>0</v>
      </c>
      <c r="R15" s="3">
        <v>0</v>
      </c>
    </row>
    <row r="16" spans="1:18">
      <c r="A16" s="3" t="s">
        <v>47</v>
      </c>
      <c r="B16" s="3" t="s">
        <v>48</v>
      </c>
      <c r="C16" s="3" t="s">
        <v>48</v>
      </c>
      <c r="D16" s="3"/>
      <c r="E16" s="3" t="s">
        <v>20</v>
      </c>
      <c r="F16" s="3"/>
      <c r="G16" s="3"/>
      <c r="H16" s="3"/>
      <c r="I16" s="3"/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/>
      <c r="P16" s="3">
        <v>0</v>
      </c>
      <c r="Q16" s="3">
        <v>0</v>
      </c>
      <c r="R16" s="3">
        <v>0</v>
      </c>
    </row>
    <row r="17" spans="1:18">
      <c r="A17" s="3" t="s">
        <v>49</v>
      </c>
      <c r="B17" s="3" t="s">
        <v>50</v>
      </c>
      <c r="C17" s="3" t="s">
        <v>50</v>
      </c>
      <c r="D17" s="3"/>
      <c r="E17" s="3" t="s">
        <v>20</v>
      </c>
      <c r="F17" s="3"/>
      <c r="G17" s="3"/>
      <c r="H17" s="3"/>
      <c r="I17" s="3"/>
      <c r="J17" s="3">
        <v>12</v>
      </c>
      <c r="K17" s="3">
        <v>12</v>
      </c>
      <c r="L17" s="3">
        <v>0</v>
      </c>
      <c r="M17" s="3">
        <v>0</v>
      </c>
      <c r="N17" s="3">
        <v>12</v>
      </c>
      <c r="O17" s="3"/>
      <c r="P17" s="3">
        <v>0</v>
      </c>
      <c r="Q17" s="3">
        <v>0</v>
      </c>
      <c r="R17" s="3">
        <v>0</v>
      </c>
    </row>
    <row r="18" spans="1:18">
      <c r="A18" s="3" t="s">
        <v>51</v>
      </c>
      <c r="B18" s="3" t="s">
        <v>52</v>
      </c>
      <c r="C18" s="3" t="s">
        <v>52</v>
      </c>
      <c r="D18" s="3"/>
      <c r="E18" s="3" t="s">
        <v>20</v>
      </c>
      <c r="F18" s="3"/>
      <c r="G18" s="3"/>
      <c r="H18" s="3"/>
      <c r="I18" s="3"/>
      <c r="J18" s="3">
        <v>30</v>
      </c>
      <c r="K18" s="3">
        <v>29</v>
      </c>
      <c r="L18" s="3">
        <v>0</v>
      </c>
      <c r="M18" s="3">
        <v>1</v>
      </c>
      <c r="N18" s="3">
        <v>30</v>
      </c>
      <c r="O18" s="3"/>
      <c r="P18" s="3">
        <v>0</v>
      </c>
      <c r="Q18" s="3">
        <v>0</v>
      </c>
      <c r="R18" s="3">
        <v>0</v>
      </c>
    </row>
    <row r="19" spans="1:18">
      <c r="A19" s="3" t="s">
        <v>53</v>
      </c>
      <c r="B19" s="3" t="s">
        <v>54</v>
      </c>
      <c r="C19" s="3" t="s">
        <v>54</v>
      </c>
      <c r="D19" s="3"/>
      <c r="E19" s="3" t="s">
        <v>20</v>
      </c>
      <c r="F19" s="3"/>
      <c r="G19" s="3"/>
      <c r="H19" s="3"/>
      <c r="I19" s="3"/>
      <c r="J19" s="3">
        <v>33</v>
      </c>
      <c r="K19" s="3">
        <v>33</v>
      </c>
      <c r="L19" s="3">
        <v>0</v>
      </c>
      <c r="M19" s="3">
        <v>0</v>
      </c>
      <c r="N19" s="3">
        <v>33</v>
      </c>
      <c r="O19" s="3"/>
      <c r="P19" s="3">
        <v>0</v>
      </c>
      <c r="Q19" s="3">
        <v>0</v>
      </c>
      <c r="R19" s="3">
        <v>0</v>
      </c>
    </row>
    <row r="20" spans="1:18">
      <c r="A20" s="3" t="s">
        <v>55</v>
      </c>
      <c r="B20" s="3" t="s">
        <v>56</v>
      </c>
      <c r="C20" s="3" t="s">
        <v>56</v>
      </c>
      <c r="D20" s="3"/>
      <c r="E20" s="3" t="s">
        <v>20</v>
      </c>
      <c r="F20" s="3"/>
      <c r="G20" s="3"/>
      <c r="H20" s="3"/>
      <c r="I20" s="3"/>
      <c r="J20" s="3">
        <v>39</v>
      </c>
      <c r="K20" s="3">
        <v>38</v>
      </c>
      <c r="L20" s="3">
        <v>0</v>
      </c>
      <c r="M20" s="3">
        <v>1</v>
      </c>
      <c r="N20" s="3">
        <v>39</v>
      </c>
      <c r="O20" s="3"/>
      <c r="P20" s="3">
        <v>0</v>
      </c>
      <c r="Q20" s="3">
        <v>0</v>
      </c>
      <c r="R20" s="3">
        <v>0</v>
      </c>
    </row>
    <row r="21" spans="1:18">
      <c r="A21" s="3" t="s">
        <v>57</v>
      </c>
      <c r="B21" s="3" t="s">
        <v>58</v>
      </c>
      <c r="C21" s="3" t="s">
        <v>58</v>
      </c>
      <c r="D21" s="3"/>
      <c r="E21" s="3" t="s">
        <v>20</v>
      </c>
      <c r="F21" s="3"/>
      <c r="G21" s="3"/>
      <c r="H21" s="3"/>
      <c r="I21" s="3"/>
      <c r="J21" s="3">
        <v>89</v>
      </c>
      <c r="K21" s="3">
        <v>87</v>
      </c>
      <c r="L21" s="3">
        <v>0</v>
      </c>
      <c r="M21" s="3">
        <v>2</v>
      </c>
      <c r="N21" s="3">
        <v>89</v>
      </c>
      <c r="O21" s="3"/>
      <c r="P21" s="3">
        <v>0</v>
      </c>
      <c r="Q21" s="3">
        <v>0</v>
      </c>
      <c r="R21" s="3">
        <v>0</v>
      </c>
    </row>
    <row r="22" spans="1:18">
      <c r="A22" s="3" t="s">
        <v>59</v>
      </c>
      <c r="B22" s="3" t="s">
        <v>60</v>
      </c>
      <c r="C22" s="3" t="s">
        <v>60</v>
      </c>
      <c r="D22" s="3"/>
      <c r="E22" s="3" t="s">
        <v>20</v>
      </c>
      <c r="F22" s="3"/>
      <c r="G22" s="3"/>
      <c r="H22" s="3"/>
      <c r="I22" s="3"/>
      <c r="J22" s="3">
        <v>31</v>
      </c>
      <c r="K22" s="3">
        <v>31</v>
      </c>
      <c r="L22" s="3">
        <v>0</v>
      </c>
      <c r="M22" s="3">
        <v>0</v>
      </c>
      <c r="N22" s="3">
        <v>31</v>
      </c>
      <c r="O22" s="3"/>
      <c r="P22" s="3">
        <v>0</v>
      </c>
      <c r="Q22" s="3">
        <v>0</v>
      </c>
      <c r="R22" s="3">
        <v>0</v>
      </c>
    </row>
    <row r="23" spans="1:18">
      <c r="A23" s="3" t="s">
        <v>61</v>
      </c>
      <c r="B23" s="3" t="s">
        <v>62</v>
      </c>
      <c r="C23" s="3" t="s">
        <v>62</v>
      </c>
      <c r="D23" s="3"/>
      <c r="E23" s="3" t="s">
        <v>20</v>
      </c>
      <c r="F23" s="3"/>
      <c r="G23" s="3"/>
      <c r="H23" s="3"/>
      <c r="I23" s="3"/>
      <c r="J23" s="3">
        <v>42</v>
      </c>
      <c r="K23" s="3">
        <v>42</v>
      </c>
      <c r="L23" s="3">
        <v>0</v>
      </c>
      <c r="M23" s="3">
        <v>0</v>
      </c>
      <c r="N23" s="3">
        <v>42</v>
      </c>
      <c r="O23" s="3"/>
      <c r="P23" s="3">
        <v>0</v>
      </c>
      <c r="Q23" s="3">
        <v>0</v>
      </c>
      <c r="R23" s="3">
        <v>0</v>
      </c>
    </row>
    <row r="24" spans="1:18">
      <c r="A24" s="3" t="s">
        <v>63</v>
      </c>
      <c r="B24" s="3" t="s">
        <v>64</v>
      </c>
      <c r="C24" s="3" t="s">
        <v>64</v>
      </c>
      <c r="D24" s="3"/>
      <c r="E24" s="3" t="s">
        <v>20</v>
      </c>
      <c r="F24" s="3"/>
      <c r="G24" s="3"/>
      <c r="H24" s="3"/>
      <c r="I24" s="3"/>
      <c r="J24" s="3">
        <v>18</v>
      </c>
      <c r="K24" s="3">
        <v>18</v>
      </c>
      <c r="L24" s="3">
        <v>0</v>
      </c>
      <c r="M24" s="3">
        <v>0</v>
      </c>
      <c r="N24" s="3">
        <v>18</v>
      </c>
      <c r="O24" s="3"/>
      <c r="P24" s="3">
        <v>0</v>
      </c>
      <c r="Q24" s="3">
        <v>0</v>
      </c>
      <c r="R24" s="3">
        <v>0</v>
      </c>
    </row>
    <row r="25" spans="1:18">
      <c r="A25" s="3" t="s">
        <v>65</v>
      </c>
      <c r="B25" s="3" t="s">
        <v>66</v>
      </c>
      <c r="C25" s="3" t="s">
        <v>66</v>
      </c>
      <c r="D25" s="3"/>
      <c r="E25" s="3" t="s">
        <v>20</v>
      </c>
      <c r="F25" s="3"/>
      <c r="G25" s="3"/>
      <c r="H25" s="3"/>
      <c r="I25" s="3"/>
      <c r="J25" s="3">
        <v>8</v>
      </c>
      <c r="K25" s="3">
        <v>8</v>
      </c>
      <c r="L25" s="3">
        <v>0</v>
      </c>
      <c r="M25" s="3">
        <v>0</v>
      </c>
      <c r="N25" s="3">
        <v>8</v>
      </c>
      <c r="O25" s="3"/>
      <c r="P25" s="3">
        <v>0</v>
      </c>
      <c r="Q25" s="3">
        <v>0</v>
      </c>
      <c r="R25" s="3">
        <v>0</v>
      </c>
    </row>
    <row r="26" spans="1:18">
      <c r="A26" s="3" t="s">
        <v>67</v>
      </c>
      <c r="B26" s="3" t="s">
        <v>68</v>
      </c>
      <c r="C26" s="3" t="s">
        <v>68</v>
      </c>
      <c r="D26" s="3"/>
      <c r="E26" s="3" t="s">
        <v>20</v>
      </c>
      <c r="F26" s="3"/>
      <c r="G26" s="3"/>
      <c r="H26" s="3"/>
      <c r="I26" s="3"/>
      <c r="J26" s="3">
        <v>43</v>
      </c>
      <c r="K26" s="3">
        <v>43</v>
      </c>
      <c r="L26" s="3">
        <v>0</v>
      </c>
      <c r="M26" s="3">
        <v>0</v>
      </c>
      <c r="N26" s="3">
        <v>43</v>
      </c>
      <c r="O26" s="3"/>
      <c r="P26" s="3">
        <v>0</v>
      </c>
      <c r="Q26" s="3">
        <v>0</v>
      </c>
      <c r="R26" s="3">
        <v>0</v>
      </c>
    </row>
    <row r="27" spans="1:18">
      <c r="A27" s="3" t="s">
        <v>69</v>
      </c>
      <c r="B27" s="3" t="s">
        <v>70</v>
      </c>
      <c r="C27" s="3" t="s">
        <v>70</v>
      </c>
      <c r="D27" s="3"/>
      <c r="E27" s="3" t="s">
        <v>20</v>
      </c>
      <c r="F27" s="3"/>
      <c r="G27" s="3"/>
      <c r="H27" s="3"/>
      <c r="I27" s="3"/>
      <c r="J27" s="3">
        <v>51</v>
      </c>
      <c r="K27" s="3">
        <v>51</v>
      </c>
      <c r="L27" s="3">
        <v>0</v>
      </c>
      <c r="M27" s="3">
        <v>0</v>
      </c>
      <c r="N27" s="3">
        <v>51</v>
      </c>
      <c r="O27" s="3"/>
      <c r="P27" s="3">
        <v>0</v>
      </c>
      <c r="Q27" s="3">
        <v>0</v>
      </c>
      <c r="R27" s="3">
        <v>0</v>
      </c>
    </row>
    <row r="28" spans="1:18">
      <c r="A28" s="3" t="s">
        <v>71</v>
      </c>
      <c r="B28" s="3" t="s">
        <v>72</v>
      </c>
      <c r="C28" s="3" t="s">
        <v>72</v>
      </c>
      <c r="D28" s="3"/>
      <c r="E28" s="3" t="s">
        <v>20</v>
      </c>
      <c r="F28" s="3"/>
      <c r="G28" s="3"/>
      <c r="H28" s="3"/>
      <c r="I28" s="3"/>
      <c r="J28" s="3">
        <v>12</v>
      </c>
      <c r="K28" s="3">
        <v>12</v>
      </c>
      <c r="L28" s="3">
        <v>0</v>
      </c>
      <c r="M28" s="3">
        <v>0</v>
      </c>
      <c r="N28" s="3">
        <v>12</v>
      </c>
      <c r="O28" s="3"/>
      <c r="P28" s="3">
        <v>0</v>
      </c>
      <c r="Q28" s="3">
        <v>0</v>
      </c>
      <c r="R28" s="3">
        <v>0</v>
      </c>
    </row>
    <row r="29" spans="1:18">
      <c r="A29" s="3" t="s">
        <v>73</v>
      </c>
      <c r="B29" s="3" t="s">
        <v>74</v>
      </c>
      <c r="C29" s="3" t="s">
        <v>74</v>
      </c>
      <c r="D29" s="3"/>
      <c r="E29" s="3" t="s">
        <v>20</v>
      </c>
      <c r="F29" s="3"/>
      <c r="G29" s="3"/>
      <c r="H29" s="3"/>
      <c r="I29" s="3"/>
      <c r="J29" s="3">
        <v>26</v>
      </c>
      <c r="K29" s="3">
        <v>26</v>
      </c>
      <c r="L29" s="3">
        <v>0</v>
      </c>
      <c r="M29" s="3">
        <v>0</v>
      </c>
      <c r="N29" s="3">
        <v>26</v>
      </c>
      <c r="O29" s="3"/>
      <c r="P29" s="3">
        <v>0</v>
      </c>
      <c r="Q29" s="3">
        <v>0</v>
      </c>
      <c r="R29" s="3">
        <v>0</v>
      </c>
    </row>
    <row r="30" spans="1:18">
      <c r="A30" s="3" t="s">
        <v>75</v>
      </c>
      <c r="B30" s="3" t="s">
        <v>76</v>
      </c>
      <c r="C30" s="3" t="s">
        <v>76</v>
      </c>
      <c r="D30" s="3"/>
      <c r="E30" s="3" t="s">
        <v>20</v>
      </c>
      <c r="F30" s="3"/>
      <c r="G30" s="3"/>
      <c r="H30" s="3"/>
      <c r="I30" s="3"/>
      <c r="J30" s="3">
        <v>11</v>
      </c>
      <c r="K30" s="3">
        <v>11</v>
      </c>
      <c r="L30" s="3">
        <v>0</v>
      </c>
      <c r="M30" s="3">
        <v>0</v>
      </c>
      <c r="N30" s="3">
        <v>11</v>
      </c>
      <c r="O30" s="3"/>
      <c r="P30" s="3">
        <v>0</v>
      </c>
      <c r="Q30" s="3">
        <v>0</v>
      </c>
      <c r="R30" s="3">
        <v>0</v>
      </c>
    </row>
    <row r="31" spans="1:18">
      <c r="A31" s="3" t="s">
        <v>77</v>
      </c>
      <c r="B31" s="3" t="s">
        <v>78</v>
      </c>
      <c r="C31" s="3" t="s">
        <v>78</v>
      </c>
      <c r="D31" s="3"/>
      <c r="E31" s="3" t="s">
        <v>20</v>
      </c>
      <c r="F31" s="3"/>
      <c r="G31" s="3"/>
      <c r="H31" s="3"/>
      <c r="I31" s="3"/>
      <c r="J31" s="3">
        <v>33</v>
      </c>
      <c r="K31" s="3">
        <v>33</v>
      </c>
      <c r="L31" s="3">
        <v>0</v>
      </c>
      <c r="M31" s="3">
        <v>0</v>
      </c>
      <c r="N31" s="3">
        <v>33</v>
      </c>
      <c r="O31" s="3"/>
      <c r="P31" s="3">
        <v>0</v>
      </c>
      <c r="Q31" s="3">
        <v>0</v>
      </c>
      <c r="R31" s="3">
        <v>0</v>
      </c>
    </row>
    <row r="32" spans="1:18">
      <c r="A32" s="3" t="s">
        <v>79</v>
      </c>
      <c r="B32" s="3" t="s">
        <v>80</v>
      </c>
      <c r="C32" s="3" t="s">
        <v>80</v>
      </c>
      <c r="D32" s="3"/>
      <c r="E32" s="3" t="s">
        <v>20</v>
      </c>
      <c r="F32" s="3"/>
      <c r="G32" s="3"/>
      <c r="H32" s="3"/>
      <c r="I32" s="3"/>
      <c r="J32" s="3">
        <v>18</v>
      </c>
      <c r="K32" s="3">
        <v>18</v>
      </c>
      <c r="L32" s="3">
        <v>0</v>
      </c>
      <c r="M32" s="3">
        <v>0</v>
      </c>
      <c r="N32" s="3">
        <v>18</v>
      </c>
      <c r="O32" s="3"/>
      <c r="P32" s="3">
        <v>0</v>
      </c>
      <c r="Q32" s="3">
        <v>0</v>
      </c>
      <c r="R32" s="3">
        <v>0</v>
      </c>
    </row>
    <row r="33" spans="1:18">
      <c r="A33" s="3" t="s">
        <v>81</v>
      </c>
      <c r="B33" s="3" t="s">
        <v>82</v>
      </c>
      <c r="C33" s="3" t="s">
        <v>82</v>
      </c>
      <c r="D33" s="3"/>
      <c r="E33" s="3" t="s">
        <v>20</v>
      </c>
      <c r="F33" s="3"/>
      <c r="G33" s="3"/>
      <c r="H33" s="3"/>
      <c r="I33" s="3"/>
      <c r="J33" s="3">
        <v>33</v>
      </c>
      <c r="K33" s="3">
        <v>33</v>
      </c>
      <c r="L33" s="3">
        <v>0</v>
      </c>
      <c r="M33" s="3">
        <v>0</v>
      </c>
      <c r="N33" s="3">
        <v>33</v>
      </c>
      <c r="O33" s="3"/>
      <c r="P33" s="3">
        <v>0</v>
      </c>
      <c r="Q33" s="3">
        <v>0</v>
      </c>
      <c r="R33" s="3">
        <v>0</v>
      </c>
    </row>
    <row r="34" spans="1:18">
      <c r="A34" s="3" t="s">
        <v>83</v>
      </c>
      <c r="B34" s="3" t="s">
        <v>84</v>
      </c>
      <c r="C34" s="3" t="s">
        <v>84</v>
      </c>
      <c r="D34" s="3"/>
      <c r="E34" s="3" t="s">
        <v>20</v>
      </c>
      <c r="F34" s="3"/>
      <c r="G34" s="3"/>
      <c r="H34" s="3"/>
      <c r="I34" s="3"/>
      <c r="J34" s="3">
        <v>31</v>
      </c>
      <c r="K34" s="3">
        <v>31</v>
      </c>
      <c r="L34" s="3">
        <v>0</v>
      </c>
      <c r="M34" s="3">
        <v>0</v>
      </c>
      <c r="N34" s="3">
        <v>31</v>
      </c>
      <c r="O34" s="3"/>
      <c r="P34" s="3">
        <v>0</v>
      </c>
      <c r="Q34" s="3">
        <v>0</v>
      </c>
      <c r="R34" s="3">
        <v>0</v>
      </c>
    </row>
    <row r="35" spans="1:18">
      <c r="A35" s="3" t="s">
        <v>85</v>
      </c>
      <c r="B35" s="3" t="s">
        <v>86</v>
      </c>
      <c r="C35" s="3" t="s">
        <v>86</v>
      </c>
      <c r="D35" s="3"/>
      <c r="E35" s="3" t="s">
        <v>20</v>
      </c>
      <c r="F35" s="3"/>
      <c r="G35" s="3"/>
      <c r="H35" s="3"/>
      <c r="I35" s="3"/>
      <c r="J35" s="3">
        <v>11</v>
      </c>
      <c r="K35" s="3">
        <v>11</v>
      </c>
      <c r="L35" s="3">
        <v>0</v>
      </c>
      <c r="M35" s="3">
        <v>0</v>
      </c>
      <c r="N35" s="3">
        <v>11</v>
      </c>
      <c r="O35" s="3"/>
      <c r="P35" s="3">
        <v>0</v>
      </c>
      <c r="Q35" s="3">
        <v>0</v>
      </c>
      <c r="R35" s="3">
        <v>0</v>
      </c>
    </row>
    <row r="36" spans="1:18">
      <c r="A36" s="3" t="s">
        <v>87</v>
      </c>
      <c r="B36" s="3" t="s">
        <v>88</v>
      </c>
      <c r="C36" s="3" t="s">
        <v>88</v>
      </c>
      <c r="D36" s="3"/>
      <c r="E36" s="3" t="s">
        <v>20</v>
      </c>
      <c r="F36" s="3"/>
      <c r="G36" s="3"/>
      <c r="H36" s="3"/>
      <c r="I36" s="3"/>
      <c r="J36" s="3">
        <v>4</v>
      </c>
      <c r="K36" s="3">
        <v>3</v>
      </c>
      <c r="L36" s="3">
        <v>0</v>
      </c>
      <c r="M36" s="3">
        <v>1</v>
      </c>
      <c r="N36" s="3">
        <v>4</v>
      </c>
      <c r="O36" s="3"/>
      <c r="P36" s="3">
        <v>0</v>
      </c>
      <c r="Q36" s="3">
        <v>0</v>
      </c>
      <c r="R36" s="3">
        <v>0</v>
      </c>
    </row>
    <row r="37" spans="1:18">
      <c r="A37" s="3" t="s">
        <v>89</v>
      </c>
      <c r="B37" s="3" t="s">
        <v>90</v>
      </c>
      <c r="C37" s="3" t="s">
        <v>90</v>
      </c>
      <c r="D37" s="3"/>
      <c r="E37" s="3" t="s">
        <v>20</v>
      </c>
      <c r="F37" s="3"/>
      <c r="G37" s="3"/>
      <c r="H37" s="3"/>
      <c r="I37" s="3"/>
      <c r="J37" s="3">
        <v>8</v>
      </c>
      <c r="K37" s="3">
        <v>8</v>
      </c>
      <c r="L37" s="3">
        <v>0</v>
      </c>
      <c r="M37" s="3">
        <v>0</v>
      </c>
      <c r="N37" s="3">
        <v>8</v>
      </c>
      <c r="O37" s="3"/>
      <c r="P37" s="3">
        <v>0</v>
      </c>
      <c r="Q37" s="3">
        <v>0</v>
      </c>
      <c r="R37" s="3">
        <v>0</v>
      </c>
    </row>
    <row r="38" spans="1:18">
      <c r="A38" s="3" t="s">
        <v>91</v>
      </c>
      <c r="B38" s="3" t="s">
        <v>92</v>
      </c>
      <c r="C38" s="3" t="s">
        <v>92</v>
      </c>
      <c r="D38" s="3"/>
      <c r="E38" s="3" t="s">
        <v>20</v>
      </c>
      <c r="F38" s="3"/>
      <c r="G38" s="3"/>
      <c r="H38" s="3"/>
      <c r="I38" s="3"/>
      <c r="J38" s="3">
        <v>48</v>
      </c>
      <c r="K38" s="3">
        <v>48</v>
      </c>
      <c r="L38" s="3">
        <v>0</v>
      </c>
      <c r="M38" s="3">
        <v>0</v>
      </c>
      <c r="N38" s="3">
        <v>48</v>
      </c>
      <c r="O38" s="3"/>
      <c r="P38" s="3">
        <v>0</v>
      </c>
      <c r="Q38" s="3">
        <v>0</v>
      </c>
      <c r="R38" s="3">
        <v>0</v>
      </c>
    </row>
    <row r="39" spans="1:18">
      <c r="A39" s="3" t="s">
        <v>93</v>
      </c>
      <c r="B39" s="3" t="s">
        <v>94</v>
      </c>
      <c r="C39" s="3" t="s">
        <v>94</v>
      </c>
      <c r="D39" s="3"/>
      <c r="E39" s="3" t="s">
        <v>20</v>
      </c>
      <c r="F39" s="3"/>
      <c r="G39" s="3"/>
      <c r="H39" s="3"/>
      <c r="I39" s="3"/>
      <c r="J39" s="3">
        <v>29</v>
      </c>
      <c r="K39" s="3">
        <v>29</v>
      </c>
      <c r="L39" s="3">
        <v>0</v>
      </c>
      <c r="M39" s="3">
        <v>0</v>
      </c>
      <c r="N39" s="3">
        <v>29</v>
      </c>
      <c r="O39" s="3"/>
      <c r="P39" s="3">
        <v>0</v>
      </c>
      <c r="Q39" s="3">
        <v>0</v>
      </c>
      <c r="R39" s="3">
        <v>0</v>
      </c>
    </row>
    <row r="40" spans="1:18">
      <c r="A40" s="3" t="s">
        <v>95</v>
      </c>
      <c r="B40" s="3" t="s">
        <v>96</v>
      </c>
      <c r="C40" s="3" t="s">
        <v>96</v>
      </c>
      <c r="D40" s="3"/>
      <c r="E40" s="3" t="s">
        <v>20</v>
      </c>
      <c r="F40" s="3"/>
      <c r="G40" s="3"/>
      <c r="H40" s="3"/>
      <c r="I40" s="3"/>
      <c r="J40" s="3">
        <v>0</v>
      </c>
      <c r="K40" s="3">
        <v>0</v>
      </c>
      <c r="L40" s="3">
        <v>0</v>
      </c>
      <c r="M40" s="3">
        <v>0</v>
      </c>
      <c r="N40" s="3">
        <v>0</v>
      </c>
      <c r="O40" s="3"/>
      <c r="P40" s="3">
        <v>0</v>
      </c>
      <c r="Q40" s="3">
        <v>0</v>
      </c>
      <c r="R40" s="3">
        <v>0</v>
      </c>
    </row>
    <row r="41" spans="1:18">
      <c r="A41" s="3" t="s">
        <v>97</v>
      </c>
      <c r="B41" s="3" t="s">
        <v>98</v>
      </c>
      <c r="C41" s="3" t="s">
        <v>98</v>
      </c>
      <c r="D41" s="3"/>
      <c r="E41" s="3" t="s">
        <v>20</v>
      </c>
      <c r="F41" s="3"/>
      <c r="G41" s="3"/>
      <c r="H41" s="3"/>
      <c r="I41" s="3"/>
      <c r="J41" s="3">
        <v>42</v>
      </c>
      <c r="K41" s="3">
        <v>42</v>
      </c>
      <c r="L41" s="3">
        <v>0</v>
      </c>
      <c r="M41" s="3">
        <v>0</v>
      </c>
      <c r="N41" s="3">
        <v>42</v>
      </c>
      <c r="O41" s="3"/>
      <c r="P41" s="3">
        <v>0</v>
      </c>
      <c r="Q41" s="3">
        <v>0</v>
      </c>
      <c r="R41" s="3">
        <v>0</v>
      </c>
    </row>
    <row r="42" spans="1:18">
      <c r="A42" s="3" t="s">
        <v>99</v>
      </c>
      <c r="B42" s="3" t="s">
        <v>100</v>
      </c>
      <c r="C42" s="3" t="s">
        <v>100</v>
      </c>
      <c r="D42" s="3"/>
      <c r="E42" s="3" t="s">
        <v>20</v>
      </c>
      <c r="F42" s="3"/>
      <c r="G42" s="3"/>
      <c r="H42" s="3"/>
      <c r="I42" s="3"/>
      <c r="J42" s="3">
        <v>47</v>
      </c>
      <c r="K42" s="3">
        <v>47</v>
      </c>
      <c r="L42" s="3">
        <v>0</v>
      </c>
      <c r="M42" s="3">
        <v>0</v>
      </c>
      <c r="N42" s="3">
        <v>47</v>
      </c>
      <c r="O42" s="3"/>
      <c r="P42" s="3">
        <v>0</v>
      </c>
      <c r="Q42" s="3">
        <v>0</v>
      </c>
      <c r="R42" s="3">
        <v>0</v>
      </c>
    </row>
    <row r="43" spans="1:18">
      <c r="A43" s="3" t="s">
        <v>101</v>
      </c>
      <c r="B43" s="3" t="s">
        <v>102</v>
      </c>
      <c r="C43" s="3" t="s">
        <v>102</v>
      </c>
      <c r="D43" s="3"/>
      <c r="E43" s="3" t="s">
        <v>20</v>
      </c>
      <c r="F43" s="3"/>
      <c r="G43" s="3"/>
      <c r="H43" s="3"/>
      <c r="I43" s="3"/>
      <c r="J43" s="3">
        <v>0</v>
      </c>
      <c r="K43" s="3">
        <v>0</v>
      </c>
      <c r="L43" s="3">
        <v>0</v>
      </c>
      <c r="M43" s="3">
        <v>0</v>
      </c>
      <c r="N43" s="3">
        <v>0</v>
      </c>
      <c r="O43" s="3"/>
      <c r="P43" s="3">
        <v>0</v>
      </c>
      <c r="Q43" s="3">
        <v>0</v>
      </c>
      <c r="R43" s="3">
        <v>0</v>
      </c>
    </row>
    <row r="44" spans="1:18">
      <c r="A44" s="3" t="s">
        <v>103</v>
      </c>
      <c r="B44" s="3" t="s">
        <v>104</v>
      </c>
      <c r="C44" s="3" t="s">
        <v>104</v>
      </c>
      <c r="D44" s="3"/>
      <c r="E44" s="3" t="s">
        <v>20</v>
      </c>
      <c r="F44" s="3"/>
      <c r="G44" s="3"/>
      <c r="H44" s="3"/>
      <c r="I44" s="3"/>
      <c r="J44" s="3">
        <v>5</v>
      </c>
      <c r="K44" s="3">
        <v>5</v>
      </c>
      <c r="L44" s="3">
        <v>0</v>
      </c>
      <c r="M44" s="3">
        <v>0</v>
      </c>
      <c r="N44" s="3">
        <v>5</v>
      </c>
      <c r="O44" s="3"/>
      <c r="P44" s="3">
        <v>0</v>
      </c>
      <c r="Q44" s="3">
        <v>0</v>
      </c>
      <c r="R44" s="3">
        <v>0</v>
      </c>
    </row>
    <row r="45" spans="1:18">
      <c r="A45" s="3" t="s">
        <v>105</v>
      </c>
      <c r="B45" s="3" t="s">
        <v>106</v>
      </c>
      <c r="C45" s="3" t="s">
        <v>106</v>
      </c>
      <c r="D45" s="3"/>
      <c r="E45" s="3" t="s">
        <v>20</v>
      </c>
      <c r="F45" s="3"/>
      <c r="G45" s="3"/>
      <c r="H45" s="3"/>
      <c r="I45" s="3"/>
      <c r="J45" s="3">
        <v>2</v>
      </c>
      <c r="K45" s="3">
        <v>2</v>
      </c>
      <c r="L45" s="3">
        <v>0</v>
      </c>
      <c r="M45" s="3">
        <v>0</v>
      </c>
      <c r="N45" s="3">
        <v>2</v>
      </c>
      <c r="O45" s="3"/>
      <c r="P45" s="3">
        <v>0</v>
      </c>
      <c r="Q45" s="3">
        <v>0</v>
      </c>
      <c r="R45" s="3">
        <v>0</v>
      </c>
    </row>
    <row r="46" spans="1:18">
      <c r="A46" s="3" t="s">
        <v>107</v>
      </c>
      <c r="B46" s="3" t="s">
        <v>108</v>
      </c>
      <c r="C46" s="3" t="s">
        <v>108</v>
      </c>
      <c r="D46" s="3"/>
      <c r="E46" s="3" t="s">
        <v>20</v>
      </c>
      <c r="F46" s="3"/>
      <c r="G46" s="3"/>
      <c r="H46" s="3"/>
      <c r="I46" s="3"/>
      <c r="J46" s="3">
        <v>9</v>
      </c>
      <c r="K46" s="3">
        <v>9</v>
      </c>
      <c r="L46" s="3">
        <v>0</v>
      </c>
      <c r="M46" s="3">
        <v>0</v>
      </c>
      <c r="N46" s="3">
        <v>9</v>
      </c>
      <c r="O46" s="3"/>
      <c r="P46" s="3">
        <v>0</v>
      </c>
      <c r="Q46" s="3">
        <v>0</v>
      </c>
      <c r="R46" s="3">
        <v>0</v>
      </c>
    </row>
    <row r="47" spans="1:18">
      <c r="A47" s="3" t="s">
        <v>109</v>
      </c>
      <c r="B47" s="3" t="s">
        <v>110</v>
      </c>
      <c r="C47" s="3" t="s">
        <v>110</v>
      </c>
      <c r="D47" s="3"/>
      <c r="E47" s="3" t="s">
        <v>20</v>
      </c>
      <c r="F47" s="3"/>
      <c r="G47" s="3"/>
      <c r="H47" s="3"/>
      <c r="I47" s="3"/>
      <c r="J47" s="3">
        <v>42</v>
      </c>
      <c r="K47" s="3">
        <v>42</v>
      </c>
      <c r="L47" s="3">
        <v>0</v>
      </c>
      <c r="M47" s="3">
        <v>0</v>
      </c>
      <c r="N47" s="3">
        <v>42</v>
      </c>
      <c r="O47" s="3"/>
      <c r="P47" s="3">
        <v>0</v>
      </c>
      <c r="Q47" s="3">
        <v>0</v>
      </c>
      <c r="R47" s="3">
        <v>0</v>
      </c>
    </row>
    <row r="48" spans="1:18">
      <c r="A48" s="3" t="s">
        <v>111</v>
      </c>
      <c r="B48" s="3" t="s">
        <v>112</v>
      </c>
      <c r="C48" s="3" t="s">
        <v>112</v>
      </c>
      <c r="D48" s="3"/>
      <c r="E48" s="3" t="s">
        <v>20</v>
      </c>
      <c r="F48" s="3"/>
      <c r="G48" s="3"/>
      <c r="H48" s="3"/>
      <c r="I48" s="3"/>
      <c r="J48" s="3">
        <v>37</v>
      </c>
      <c r="K48" s="3">
        <v>36</v>
      </c>
      <c r="L48" s="3">
        <v>0</v>
      </c>
      <c r="M48" s="3">
        <v>1</v>
      </c>
      <c r="N48" s="3">
        <v>37</v>
      </c>
      <c r="O48" s="3"/>
      <c r="P48" s="3">
        <v>0</v>
      </c>
      <c r="Q48" s="3">
        <v>0</v>
      </c>
      <c r="R48" s="3">
        <v>0</v>
      </c>
    </row>
    <row r="49" spans="1:18">
      <c r="A49" s="3" t="s">
        <v>113</v>
      </c>
      <c r="B49" s="3" t="s">
        <v>114</v>
      </c>
      <c r="C49" s="3" t="s">
        <v>114</v>
      </c>
      <c r="D49" s="3"/>
      <c r="E49" s="3" t="s">
        <v>20</v>
      </c>
      <c r="F49" s="3"/>
      <c r="G49" s="3"/>
      <c r="H49" s="3"/>
      <c r="I49" s="3"/>
      <c r="J49" s="3">
        <v>39</v>
      </c>
      <c r="K49" s="3">
        <v>39</v>
      </c>
      <c r="L49" s="3">
        <v>0</v>
      </c>
      <c r="M49" s="3">
        <v>0</v>
      </c>
      <c r="N49" s="3">
        <v>39</v>
      </c>
      <c r="O49" s="3"/>
      <c r="P49" s="3">
        <v>0</v>
      </c>
      <c r="Q49" s="3">
        <v>0</v>
      </c>
      <c r="R49" s="3">
        <v>0</v>
      </c>
    </row>
    <row r="50" spans="1:18">
      <c r="A50" s="3" t="s">
        <v>115</v>
      </c>
      <c r="B50" s="3" t="s">
        <v>116</v>
      </c>
      <c r="C50" s="3" t="s">
        <v>116</v>
      </c>
      <c r="D50" s="3"/>
      <c r="E50" s="3" t="s">
        <v>20</v>
      </c>
      <c r="F50" s="3"/>
      <c r="G50" s="3"/>
      <c r="H50" s="3"/>
      <c r="I50" s="3"/>
      <c r="J50" s="3">
        <v>23</v>
      </c>
      <c r="K50" s="3">
        <v>23</v>
      </c>
      <c r="L50" s="3">
        <v>0</v>
      </c>
      <c r="M50" s="3">
        <v>0</v>
      </c>
      <c r="N50" s="3">
        <v>23</v>
      </c>
      <c r="O50" s="3"/>
      <c r="P50" s="3">
        <v>0</v>
      </c>
      <c r="Q50" s="3">
        <v>0</v>
      </c>
      <c r="R50" s="3">
        <v>0</v>
      </c>
    </row>
    <row r="51" spans="1:18">
      <c r="A51" s="3" t="s">
        <v>117</v>
      </c>
      <c r="B51" s="3" t="s">
        <v>118</v>
      </c>
      <c r="C51" s="3" t="s">
        <v>118</v>
      </c>
      <c r="D51" s="3" t="s">
        <v>119</v>
      </c>
      <c r="E51" s="3" t="s">
        <v>120</v>
      </c>
      <c r="F51" s="3">
        <v>22.98</v>
      </c>
      <c r="G51" s="3" t="s">
        <v>121</v>
      </c>
      <c r="H51" s="3"/>
      <c r="I51" s="3" t="s">
        <v>122</v>
      </c>
      <c r="J51" s="3">
        <v>15</v>
      </c>
      <c r="K51" s="3">
        <v>15</v>
      </c>
      <c r="L51" s="3">
        <v>0</v>
      </c>
      <c r="M51" s="3">
        <v>0</v>
      </c>
      <c r="N51" s="3">
        <v>15</v>
      </c>
      <c r="O51" s="3">
        <v>0.17</v>
      </c>
      <c r="P51" s="3">
        <v>0</v>
      </c>
      <c r="Q51" s="3">
        <v>0</v>
      </c>
      <c r="R51" s="3">
        <v>0</v>
      </c>
    </row>
    <row r="52" spans="1:18">
      <c r="A52" s="3" t="s">
        <v>123</v>
      </c>
      <c r="B52" s="3" t="s">
        <v>124</v>
      </c>
      <c r="C52" s="3" t="s">
        <v>124</v>
      </c>
      <c r="D52" s="3"/>
      <c r="E52" s="3" t="s">
        <v>20</v>
      </c>
      <c r="F52" s="3"/>
      <c r="G52" s="3"/>
      <c r="H52" s="3"/>
      <c r="I52" s="3"/>
      <c r="J52" s="3">
        <v>27</v>
      </c>
      <c r="K52" s="3">
        <v>25</v>
      </c>
      <c r="L52" s="3">
        <v>0</v>
      </c>
      <c r="M52" s="3">
        <v>2</v>
      </c>
      <c r="N52" s="3">
        <v>27</v>
      </c>
      <c r="O52" s="3"/>
      <c r="P52" s="3">
        <v>0</v>
      </c>
      <c r="Q52" s="3">
        <v>0</v>
      </c>
      <c r="R52" s="3">
        <v>0</v>
      </c>
    </row>
    <row r="53" spans="1:18">
      <c r="A53" s="3" t="s">
        <v>125</v>
      </c>
      <c r="B53" s="3" t="s">
        <v>126</v>
      </c>
      <c r="C53" s="3" t="s">
        <v>126</v>
      </c>
      <c r="D53" s="3"/>
      <c r="E53" s="3" t="s">
        <v>20</v>
      </c>
      <c r="F53" s="3"/>
      <c r="G53" s="3"/>
      <c r="H53" s="3"/>
      <c r="I53" s="3"/>
      <c r="J53" s="3">
        <v>47</v>
      </c>
      <c r="K53" s="3">
        <v>47</v>
      </c>
      <c r="L53" s="3">
        <v>0</v>
      </c>
      <c r="M53" s="3">
        <v>0</v>
      </c>
      <c r="N53" s="3">
        <v>47</v>
      </c>
      <c r="O53" s="3"/>
      <c r="P53" s="3">
        <v>0</v>
      </c>
      <c r="Q53" s="3">
        <v>0</v>
      </c>
      <c r="R53" s="3">
        <v>0</v>
      </c>
    </row>
    <row r="54" spans="1:18">
      <c r="A54" s="3" t="s">
        <v>127</v>
      </c>
      <c r="B54" s="3" t="s">
        <v>128</v>
      </c>
      <c r="C54" s="3" t="s">
        <v>128</v>
      </c>
      <c r="D54" s="3"/>
      <c r="E54" s="3" t="s">
        <v>20</v>
      </c>
      <c r="F54" s="3"/>
      <c r="G54" s="3"/>
      <c r="H54" s="3"/>
      <c r="I54" s="3"/>
      <c r="J54" s="3">
        <v>51</v>
      </c>
      <c r="K54" s="3">
        <v>51</v>
      </c>
      <c r="L54" s="3">
        <v>0</v>
      </c>
      <c r="M54" s="3">
        <v>0</v>
      </c>
      <c r="N54" s="3">
        <v>51</v>
      </c>
      <c r="O54" s="3"/>
      <c r="P54" s="3">
        <v>0</v>
      </c>
      <c r="Q54" s="3">
        <v>0</v>
      </c>
      <c r="R54" s="3">
        <v>0</v>
      </c>
    </row>
    <row r="55" spans="1:18">
      <c r="A55" s="3" t="s">
        <v>129</v>
      </c>
      <c r="B55" s="3" t="s">
        <v>130</v>
      </c>
      <c r="C55" s="3" t="s">
        <v>130</v>
      </c>
      <c r="D55" s="3"/>
      <c r="E55" s="3" t="s">
        <v>20</v>
      </c>
      <c r="F55" s="3"/>
      <c r="G55" s="3"/>
      <c r="H55" s="3"/>
      <c r="I55" s="3"/>
      <c r="J55" s="3">
        <v>42</v>
      </c>
      <c r="K55" s="3">
        <v>42</v>
      </c>
      <c r="L55" s="3">
        <v>0</v>
      </c>
      <c r="M55" s="3">
        <v>0</v>
      </c>
      <c r="N55" s="3">
        <v>42</v>
      </c>
      <c r="O55" s="3"/>
      <c r="P55" s="3">
        <v>0</v>
      </c>
      <c r="Q55" s="3">
        <v>0</v>
      </c>
      <c r="R55" s="3">
        <v>0</v>
      </c>
    </row>
    <row r="56" spans="1:18">
      <c r="A56" s="3" t="s">
        <v>131</v>
      </c>
      <c r="B56" s="3" t="s">
        <v>132</v>
      </c>
      <c r="C56" s="3" t="s">
        <v>132</v>
      </c>
      <c r="D56" s="3"/>
      <c r="E56" s="3" t="s">
        <v>20</v>
      </c>
      <c r="F56" s="3"/>
      <c r="G56" s="3"/>
      <c r="H56" s="3"/>
      <c r="I56" s="3"/>
      <c r="J56" s="3">
        <v>58</v>
      </c>
      <c r="K56" s="3">
        <v>58</v>
      </c>
      <c r="L56" s="3">
        <v>0</v>
      </c>
      <c r="M56" s="3">
        <v>0</v>
      </c>
      <c r="N56" s="3">
        <v>58</v>
      </c>
      <c r="O56" s="3"/>
      <c r="P56" s="3">
        <v>0</v>
      </c>
      <c r="Q56" s="3">
        <v>0</v>
      </c>
      <c r="R56" s="3">
        <v>0</v>
      </c>
    </row>
    <row r="57" spans="1:18">
      <c r="A57" s="3" t="s">
        <v>133</v>
      </c>
      <c r="B57" s="3" t="s">
        <v>134</v>
      </c>
      <c r="C57" s="3" t="s">
        <v>134</v>
      </c>
      <c r="D57" s="3"/>
      <c r="E57" s="3" t="s">
        <v>20</v>
      </c>
      <c r="F57" s="3"/>
      <c r="G57" s="3"/>
      <c r="H57" s="3"/>
      <c r="I57" s="3"/>
      <c r="J57" s="3">
        <v>1</v>
      </c>
      <c r="K57" s="3">
        <v>1</v>
      </c>
      <c r="L57" s="3">
        <v>0</v>
      </c>
      <c r="M57" s="3">
        <v>0</v>
      </c>
      <c r="N57" s="3">
        <v>1</v>
      </c>
      <c r="O57" s="3"/>
      <c r="P57" s="3">
        <v>0</v>
      </c>
      <c r="Q57" s="3">
        <v>0</v>
      </c>
      <c r="R57" s="3">
        <v>0</v>
      </c>
    </row>
    <row r="58" spans="1:18">
      <c r="A58" s="3" t="s">
        <v>135</v>
      </c>
      <c r="B58" s="3" t="s">
        <v>136</v>
      </c>
      <c r="C58" s="3" t="s">
        <v>136</v>
      </c>
      <c r="D58" s="3"/>
      <c r="E58" s="3" t="s">
        <v>20</v>
      </c>
      <c r="F58" s="3"/>
      <c r="G58" s="3"/>
      <c r="H58" s="3"/>
      <c r="I58" s="3"/>
      <c r="J58" s="3">
        <v>25</v>
      </c>
      <c r="K58" s="3">
        <v>25</v>
      </c>
      <c r="L58" s="3">
        <v>0</v>
      </c>
      <c r="M58" s="3">
        <v>0</v>
      </c>
      <c r="N58" s="3">
        <v>25</v>
      </c>
      <c r="O58" s="3"/>
      <c r="P58" s="3">
        <v>0</v>
      </c>
      <c r="Q58" s="3">
        <v>0</v>
      </c>
      <c r="R58" s="3">
        <v>0</v>
      </c>
    </row>
    <row r="59" spans="1:18">
      <c r="A59" s="3" t="s">
        <v>137</v>
      </c>
      <c r="B59" s="3" t="s">
        <v>138</v>
      </c>
      <c r="C59" s="3" t="s">
        <v>138</v>
      </c>
      <c r="D59" s="3"/>
      <c r="E59" s="3" t="s">
        <v>20</v>
      </c>
      <c r="F59" s="3"/>
      <c r="G59" s="3"/>
      <c r="H59" s="3"/>
      <c r="I59" s="3"/>
      <c r="J59" s="3">
        <v>11</v>
      </c>
      <c r="K59" s="3">
        <v>10</v>
      </c>
      <c r="L59" s="3">
        <v>0</v>
      </c>
      <c r="M59" s="3">
        <v>1</v>
      </c>
      <c r="N59" s="3">
        <v>11</v>
      </c>
      <c r="O59" s="3"/>
      <c r="P59" s="3">
        <v>0</v>
      </c>
      <c r="Q59" s="3">
        <v>0</v>
      </c>
      <c r="R59" s="3">
        <v>0</v>
      </c>
    </row>
    <row r="60" spans="1:18">
      <c r="A60" s="3" t="s">
        <v>139</v>
      </c>
      <c r="B60" s="3" t="s">
        <v>140</v>
      </c>
      <c r="C60" s="3" t="s">
        <v>140</v>
      </c>
      <c r="D60" s="3"/>
      <c r="E60" s="3" t="s">
        <v>20</v>
      </c>
      <c r="F60" s="3"/>
      <c r="G60" s="3"/>
      <c r="H60" s="3"/>
      <c r="I60" s="3"/>
      <c r="J60" s="3">
        <v>16</v>
      </c>
      <c r="K60" s="3">
        <v>16</v>
      </c>
      <c r="L60" s="3">
        <v>0</v>
      </c>
      <c r="M60" s="3">
        <v>0</v>
      </c>
      <c r="N60" s="3">
        <v>16</v>
      </c>
      <c r="O60" s="3"/>
      <c r="P60" s="3">
        <v>0</v>
      </c>
      <c r="Q60" s="3">
        <v>0</v>
      </c>
      <c r="R60" s="3">
        <v>0</v>
      </c>
    </row>
    <row r="61" spans="1:18">
      <c r="A61" s="3" t="s">
        <v>141</v>
      </c>
      <c r="B61" s="3" t="s">
        <v>142</v>
      </c>
      <c r="C61" s="3" t="s">
        <v>142</v>
      </c>
      <c r="D61" s="3"/>
      <c r="E61" s="3" t="s">
        <v>20</v>
      </c>
      <c r="F61" s="3"/>
      <c r="G61" s="3"/>
      <c r="H61" s="3"/>
      <c r="I61" s="3"/>
      <c r="J61" s="3">
        <v>12</v>
      </c>
      <c r="K61" s="3">
        <v>12</v>
      </c>
      <c r="L61" s="3">
        <v>0</v>
      </c>
      <c r="M61" s="3">
        <v>0</v>
      </c>
      <c r="N61" s="3">
        <v>12</v>
      </c>
      <c r="O61" s="3"/>
      <c r="P61" s="3">
        <v>0</v>
      </c>
      <c r="Q61" s="3">
        <v>0</v>
      </c>
      <c r="R61" s="3">
        <v>0</v>
      </c>
    </row>
    <row r="62" spans="1:18">
      <c r="A62" s="3" t="s">
        <v>143</v>
      </c>
      <c r="B62" s="3" t="s">
        <v>144</v>
      </c>
      <c r="C62" s="3" t="s">
        <v>144</v>
      </c>
      <c r="D62" s="3"/>
      <c r="E62" s="3" t="s">
        <v>20</v>
      </c>
      <c r="F62" s="3"/>
      <c r="G62" s="3"/>
      <c r="H62" s="3"/>
      <c r="I62" s="3"/>
      <c r="J62" s="3">
        <v>0</v>
      </c>
      <c r="K62" s="3">
        <v>0</v>
      </c>
      <c r="L62" s="3">
        <v>0</v>
      </c>
      <c r="M62" s="3">
        <v>0</v>
      </c>
      <c r="N62" s="3">
        <v>0</v>
      </c>
      <c r="O62" s="3"/>
      <c r="P62" s="3">
        <v>0</v>
      </c>
      <c r="Q62" s="3">
        <v>0</v>
      </c>
      <c r="R62" s="3">
        <v>0</v>
      </c>
    </row>
    <row r="63" spans="1:18">
      <c r="A63" s="3" t="s">
        <v>145</v>
      </c>
      <c r="B63" s="3" t="s">
        <v>146</v>
      </c>
      <c r="C63" s="3" t="s">
        <v>146</v>
      </c>
      <c r="D63" s="3"/>
      <c r="E63" s="3" t="s">
        <v>20</v>
      </c>
      <c r="F63" s="3"/>
      <c r="G63" s="3"/>
      <c r="H63" s="3"/>
      <c r="I63" s="3"/>
      <c r="J63" s="3">
        <v>11</v>
      </c>
      <c r="K63" s="3">
        <v>11</v>
      </c>
      <c r="L63" s="3">
        <v>0</v>
      </c>
      <c r="M63" s="3">
        <v>0</v>
      </c>
      <c r="N63" s="3">
        <v>11</v>
      </c>
      <c r="O63" s="3"/>
      <c r="P63" s="3">
        <v>0</v>
      </c>
      <c r="Q63" s="3">
        <v>0</v>
      </c>
      <c r="R63" s="3">
        <v>0</v>
      </c>
    </row>
    <row r="64" spans="1:18">
      <c r="A64" s="3" t="s">
        <v>147</v>
      </c>
      <c r="B64" s="3" t="s">
        <v>148</v>
      </c>
      <c r="C64" s="3" t="s">
        <v>148</v>
      </c>
      <c r="D64" s="3"/>
      <c r="E64" s="3" t="s">
        <v>20</v>
      </c>
      <c r="F64" s="3"/>
      <c r="G64" s="3"/>
      <c r="H64" s="3"/>
      <c r="I64" s="3"/>
      <c r="J64" s="3">
        <v>4</v>
      </c>
      <c r="K64" s="3">
        <v>4</v>
      </c>
      <c r="L64" s="3">
        <v>0</v>
      </c>
      <c r="M64" s="3">
        <v>0</v>
      </c>
      <c r="N64" s="3">
        <v>4</v>
      </c>
      <c r="O64" s="3"/>
      <c r="P64" s="3">
        <v>0</v>
      </c>
      <c r="Q64" s="3">
        <v>0</v>
      </c>
      <c r="R64" s="3">
        <v>0</v>
      </c>
    </row>
    <row r="65" spans="1:18">
      <c r="A65" s="3" t="s">
        <v>149</v>
      </c>
      <c r="B65" s="3" t="s">
        <v>150</v>
      </c>
      <c r="C65" s="3" t="s">
        <v>150</v>
      </c>
      <c r="D65" s="3"/>
      <c r="E65" s="3" t="s">
        <v>20</v>
      </c>
      <c r="F65" s="3"/>
      <c r="G65" s="3"/>
      <c r="H65" s="3"/>
      <c r="I65" s="3"/>
      <c r="J65" s="3">
        <v>7</v>
      </c>
      <c r="K65" s="3">
        <v>7</v>
      </c>
      <c r="L65" s="3">
        <v>0</v>
      </c>
      <c r="M65" s="3">
        <v>0</v>
      </c>
      <c r="N65" s="3">
        <v>7</v>
      </c>
      <c r="O65" s="3"/>
      <c r="P65" s="3">
        <v>0</v>
      </c>
      <c r="Q65" s="3">
        <v>0</v>
      </c>
      <c r="R65" s="3">
        <v>0</v>
      </c>
    </row>
    <row r="66" spans="1:18">
      <c r="A66" s="3" t="s">
        <v>151</v>
      </c>
      <c r="B66" s="3" t="s">
        <v>152</v>
      </c>
      <c r="C66" s="3" t="s">
        <v>152</v>
      </c>
      <c r="D66" s="3"/>
      <c r="E66" s="3" t="s">
        <v>20</v>
      </c>
      <c r="F66" s="3"/>
      <c r="G66" s="3"/>
      <c r="H66" s="3"/>
      <c r="I66" s="3"/>
      <c r="J66" s="3">
        <v>9</v>
      </c>
      <c r="K66" s="3">
        <v>9</v>
      </c>
      <c r="L66" s="3">
        <v>0</v>
      </c>
      <c r="M66" s="3">
        <v>0</v>
      </c>
      <c r="N66" s="3">
        <v>9</v>
      </c>
      <c r="O66" s="3"/>
      <c r="P66" s="3">
        <v>0</v>
      </c>
      <c r="Q66" s="3">
        <v>0</v>
      </c>
      <c r="R66" s="3">
        <v>0</v>
      </c>
    </row>
    <row r="67" spans="1:18">
      <c r="A67" s="3" t="s">
        <v>153</v>
      </c>
      <c r="B67" s="3" t="s">
        <v>154</v>
      </c>
      <c r="C67" s="3" t="s">
        <v>154</v>
      </c>
      <c r="D67" s="3"/>
      <c r="E67" s="3" t="s">
        <v>20</v>
      </c>
      <c r="F67" s="3"/>
      <c r="G67" s="3"/>
      <c r="H67" s="3"/>
      <c r="I67" s="3"/>
      <c r="J67" s="3">
        <v>45</v>
      </c>
      <c r="K67" s="3">
        <v>45</v>
      </c>
      <c r="L67" s="3">
        <v>0</v>
      </c>
      <c r="M67" s="3">
        <v>0</v>
      </c>
      <c r="N67" s="3">
        <v>45</v>
      </c>
      <c r="O67" s="3"/>
      <c r="P67" s="3">
        <v>0</v>
      </c>
      <c r="Q67" s="3">
        <v>0</v>
      </c>
      <c r="R67" s="3">
        <v>0</v>
      </c>
    </row>
    <row r="68" spans="1:18">
      <c r="A68" s="3" t="s">
        <v>155</v>
      </c>
      <c r="B68" s="3" t="s">
        <v>156</v>
      </c>
      <c r="C68" s="3" t="s">
        <v>156</v>
      </c>
      <c r="D68" s="3"/>
      <c r="E68" s="3" t="s">
        <v>20</v>
      </c>
      <c r="F68" s="3"/>
      <c r="G68" s="3"/>
      <c r="H68" s="3"/>
      <c r="I68" s="3"/>
      <c r="J68" s="3">
        <v>57</v>
      </c>
      <c r="K68" s="3">
        <v>56</v>
      </c>
      <c r="L68" s="3">
        <v>1</v>
      </c>
      <c r="M68" s="3">
        <v>0</v>
      </c>
      <c r="N68" s="3">
        <v>57</v>
      </c>
      <c r="O68" s="3"/>
      <c r="P68" s="3">
        <v>0</v>
      </c>
      <c r="Q68" s="3">
        <v>0</v>
      </c>
      <c r="R68" s="3">
        <v>0</v>
      </c>
    </row>
    <row r="69" spans="1:18">
      <c r="A69" s="3" t="s">
        <v>157</v>
      </c>
      <c r="B69" s="3" t="s">
        <v>158</v>
      </c>
      <c r="C69" s="3" t="s">
        <v>158</v>
      </c>
      <c r="D69" s="3"/>
      <c r="E69" s="3" t="s">
        <v>20</v>
      </c>
      <c r="F69" s="3"/>
      <c r="G69" s="3"/>
      <c r="H69" s="3"/>
      <c r="I69" s="3"/>
      <c r="J69" s="3">
        <v>8</v>
      </c>
      <c r="K69" s="3">
        <v>7</v>
      </c>
      <c r="L69" s="3">
        <v>1</v>
      </c>
      <c r="M69" s="3">
        <v>0</v>
      </c>
      <c r="N69" s="3">
        <v>8</v>
      </c>
      <c r="O69" s="3"/>
      <c r="P69" s="3">
        <v>0</v>
      </c>
      <c r="Q69" s="3">
        <v>0</v>
      </c>
      <c r="R69" s="3">
        <v>0</v>
      </c>
    </row>
    <row r="70" spans="1:18">
      <c r="A70" s="3" t="s">
        <v>159</v>
      </c>
      <c r="B70" s="3" t="s">
        <v>160</v>
      </c>
      <c r="C70" s="3" t="s">
        <v>160</v>
      </c>
      <c r="D70" s="3"/>
      <c r="E70" s="3" t="s">
        <v>20</v>
      </c>
      <c r="F70" s="3"/>
      <c r="G70" s="3"/>
      <c r="H70" s="3"/>
      <c r="I70" s="3"/>
      <c r="J70" s="3">
        <v>45</v>
      </c>
      <c r="K70" s="3">
        <v>45</v>
      </c>
      <c r="L70" s="3">
        <v>0</v>
      </c>
      <c r="M70" s="3">
        <v>0</v>
      </c>
      <c r="N70" s="3">
        <v>45</v>
      </c>
      <c r="O70" s="3"/>
      <c r="P70" s="3">
        <v>0</v>
      </c>
      <c r="Q70" s="3">
        <v>0</v>
      </c>
      <c r="R70" s="3">
        <v>0</v>
      </c>
    </row>
    <row r="71" spans="1:18">
      <c r="A71" s="3" t="s">
        <v>161</v>
      </c>
      <c r="B71" s="3" t="s">
        <v>162</v>
      </c>
      <c r="C71" s="3" t="s">
        <v>162</v>
      </c>
      <c r="D71" s="3"/>
      <c r="E71" s="3" t="s">
        <v>20</v>
      </c>
      <c r="F71" s="3"/>
      <c r="G71" s="3"/>
      <c r="H71" s="3"/>
      <c r="I71" s="3"/>
      <c r="J71" s="3">
        <v>52</v>
      </c>
      <c r="K71" s="3">
        <v>52</v>
      </c>
      <c r="L71" s="3">
        <v>0</v>
      </c>
      <c r="M71" s="3">
        <v>0</v>
      </c>
      <c r="N71" s="3">
        <v>52</v>
      </c>
      <c r="O71" s="3"/>
      <c r="P71" s="3">
        <v>0</v>
      </c>
      <c r="Q71" s="3">
        <v>0</v>
      </c>
      <c r="R71" s="3">
        <v>0</v>
      </c>
    </row>
    <row r="72" spans="1:18">
      <c r="A72" s="3" t="s">
        <v>163</v>
      </c>
      <c r="B72" s="3" t="s">
        <v>164</v>
      </c>
      <c r="C72" s="3" t="s">
        <v>164</v>
      </c>
      <c r="D72" s="3"/>
      <c r="E72" s="3" t="s">
        <v>20</v>
      </c>
      <c r="F72" s="3"/>
      <c r="G72" s="3"/>
      <c r="H72" s="3"/>
      <c r="I72" s="3"/>
      <c r="J72" s="3">
        <v>0</v>
      </c>
      <c r="K72" s="3">
        <v>0</v>
      </c>
      <c r="L72" s="3">
        <v>0</v>
      </c>
      <c r="M72" s="3">
        <v>0</v>
      </c>
      <c r="N72" s="3">
        <v>0</v>
      </c>
      <c r="O72" s="3"/>
      <c r="P72" s="3">
        <v>0</v>
      </c>
      <c r="Q72" s="3">
        <v>0</v>
      </c>
      <c r="R72" s="3">
        <v>0</v>
      </c>
    </row>
    <row r="73" spans="1:18">
      <c r="A73" s="3" t="s">
        <v>165</v>
      </c>
      <c r="B73" s="3" t="s">
        <v>166</v>
      </c>
      <c r="C73" s="3" t="s">
        <v>166</v>
      </c>
      <c r="D73" s="3"/>
      <c r="E73" s="3" t="s">
        <v>20</v>
      </c>
      <c r="F73" s="3"/>
      <c r="G73" s="3"/>
      <c r="H73" s="3"/>
      <c r="I73" s="3"/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/>
      <c r="P73" s="3">
        <v>0</v>
      </c>
      <c r="Q73" s="3">
        <v>0</v>
      </c>
      <c r="R73" s="3">
        <v>0</v>
      </c>
    </row>
    <row r="74" spans="1:18">
      <c r="A74" s="3" t="s">
        <v>167</v>
      </c>
      <c r="B74" s="3" t="s">
        <v>168</v>
      </c>
      <c r="C74" s="3" t="s">
        <v>168</v>
      </c>
      <c r="D74" s="3"/>
      <c r="E74" s="3" t="s">
        <v>20</v>
      </c>
      <c r="F74" s="3"/>
      <c r="G74" s="3"/>
      <c r="H74" s="3"/>
      <c r="I74" s="3"/>
      <c r="J74" s="3">
        <v>0</v>
      </c>
      <c r="K74" s="3">
        <v>0</v>
      </c>
      <c r="L74" s="3">
        <v>0</v>
      </c>
      <c r="M74" s="3">
        <v>0</v>
      </c>
      <c r="N74" s="3">
        <v>0</v>
      </c>
      <c r="O74" s="3"/>
      <c r="P74" s="3">
        <v>0</v>
      </c>
      <c r="Q74" s="3">
        <v>0</v>
      </c>
      <c r="R74" s="3">
        <v>0</v>
      </c>
    </row>
    <row r="75" spans="1:18">
      <c r="A75" s="3" t="s">
        <v>169</v>
      </c>
      <c r="B75" s="3" t="s">
        <v>170</v>
      </c>
      <c r="C75" s="3" t="s">
        <v>170</v>
      </c>
      <c r="D75" s="3"/>
      <c r="E75" s="3" t="s">
        <v>20</v>
      </c>
      <c r="F75" s="3"/>
      <c r="G75" s="3"/>
      <c r="H75" s="3"/>
      <c r="I75" s="3"/>
      <c r="J75" s="3">
        <v>0</v>
      </c>
      <c r="K75" s="3">
        <v>0</v>
      </c>
      <c r="L75" s="3">
        <v>0</v>
      </c>
      <c r="M75" s="3">
        <v>0</v>
      </c>
      <c r="N75" s="3">
        <v>0</v>
      </c>
      <c r="O75" s="3"/>
      <c r="P75" s="3">
        <v>0</v>
      </c>
      <c r="Q75" s="3">
        <v>0</v>
      </c>
      <c r="R75" s="3">
        <v>0</v>
      </c>
    </row>
    <row r="76" spans="1:18">
      <c r="A76" s="3" t="s">
        <v>171</v>
      </c>
      <c r="B76" s="3" t="s">
        <v>172</v>
      </c>
      <c r="C76" s="3" t="s">
        <v>172</v>
      </c>
      <c r="D76" s="3"/>
      <c r="E76" s="3" t="s">
        <v>20</v>
      </c>
      <c r="F76" s="3"/>
      <c r="G76" s="3"/>
      <c r="H76" s="3"/>
      <c r="I76" s="3"/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/>
      <c r="P76" s="3">
        <v>0</v>
      </c>
      <c r="Q76" s="3">
        <v>0</v>
      </c>
      <c r="R76" s="3">
        <v>0</v>
      </c>
    </row>
    <row r="77" spans="1:18">
      <c r="A77" s="3" t="s">
        <v>173</v>
      </c>
      <c r="B77" s="3" t="s">
        <v>174</v>
      </c>
      <c r="C77" s="3" t="s">
        <v>174</v>
      </c>
      <c r="D77" s="3"/>
      <c r="E77" s="3" t="s">
        <v>20</v>
      </c>
      <c r="F77" s="3"/>
      <c r="G77" s="3"/>
      <c r="H77" s="3"/>
      <c r="I77" s="3"/>
      <c r="J77" s="3">
        <v>7</v>
      </c>
      <c r="K77" s="3">
        <v>7</v>
      </c>
      <c r="L77" s="3">
        <v>0</v>
      </c>
      <c r="M77" s="3">
        <v>0</v>
      </c>
      <c r="N77" s="3">
        <v>7</v>
      </c>
      <c r="O77" s="3"/>
      <c r="P77" s="3">
        <v>0</v>
      </c>
      <c r="Q77" s="3">
        <v>0</v>
      </c>
      <c r="R77" s="3">
        <v>0</v>
      </c>
    </row>
    <row r="78" spans="1:18">
      <c r="A78" s="3" t="s">
        <v>175</v>
      </c>
      <c r="B78" s="3" t="s">
        <v>176</v>
      </c>
      <c r="C78" s="3" t="s">
        <v>176</v>
      </c>
      <c r="D78" s="3"/>
      <c r="E78" s="3" t="s">
        <v>20</v>
      </c>
      <c r="F78" s="3"/>
      <c r="G78" s="3"/>
      <c r="H78" s="3"/>
      <c r="I78" s="3"/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/>
      <c r="P78" s="3">
        <v>0</v>
      </c>
      <c r="Q78" s="3">
        <v>0</v>
      </c>
      <c r="R78" s="3">
        <v>0</v>
      </c>
    </row>
    <row r="79" spans="1:18">
      <c r="A79" s="3" t="s">
        <v>177</v>
      </c>
      <c r="B79" s="3" t="s">
        <v>178</v>
      </c>
      <c r="C79" s="3" t="s">
        <v>178</v>
      </c>
      <c r="D79" s="3"/>
      <c r="E79" s="3" t="s">
        <v>20</v>
      </c>
      <c r="F79" s="3"/>
      <c r="G79" s="3"/>
      <c r="H79" s="3"/>
      <c r="I79" s="3"/>
      <c r="J79" s="3">
        <v>0</v>
      </c>
      <c r="K79" s="3">
        <v>0</v>
      </c>
      <c r="L79" s="3">
        <v>0</v>
      </c>
      <c r="M79" s="3">
        <v>0</v>
      </c>
      <c r="N79" s="3">
        <v>0</v>
      </c>
      <c r="O79" s="3"/>
      <c r="P79" s="3">
        <v>0</v>
      </c>
      <c r="Q79" s="3">
        <v>0</v>
      </c>
      <c r="R79" s="3">
        <v>0</v>
      </c>
    </row>
    <row r="80" spans="1:18">
      <c r="A80" s="3" t="s">
        <v>179</v>
      </c>
      <c r="B80" s="3" t="s">
        <v>180</v>
      </c>
      <c r="C80" s="3" t="s">
        <v>180</v>
      </c>
      <c r="D80" s="3"/>
      <c r="E80" s="3" t="s">
        <v>20</v>
      </c>
      <c r="F80" s="3"/>
      <c r="G80" s="3"/>
      <c r="H80" s="3"/>
      <c r="I80" s="3"/>
      <c r="J80" s="3">
        <v>5</v>
      </c>
      <c r="K80" s="3">
        <v>5</v>
      </c>
      <c r="L80" s="3">
        <v>0</v>
      </c>
      <c r="M80" s="3">
        <v>0</v>
      </c>
      <c r="N80" s="3">
        <v>5</v>
      </c>
      <c r="O80" s="3"/>
      <c r="P80" s="3">
        <v>0</v>
      </c>
      <c r="Q80" s="3">
        <v>0</v>
      </c>
      <c r="R80" s="3">
        <v>0</v>
      </c>
    </row>
    <row r="81" spans="1:18">
      <c r="A81" s="3" t="s">
        <v>181</v>
      </c>
      <c r="B81" s="3" t="s">
        <v>182</v>
      </c>
      <c r="C81" s="3" t="s">
        <v>182</v>
      </c>
      <c r="D81" s="3"/>
      <c r="E81" s="3" t="s">
        <v>20</v>
      </c>
      <c r="F81" s="3"/>
      <c r="G81" s="3"/>
      <c r="H81" s="3"/>
      <c r="I81" s="3"/>
      <c r="J81" s="3">
        <v>32</v>
      </c>
      <c r="K81" s="3">
        <v>31</v>
      </c>
      <c r="L81" s="3">
        <v>1</v>
      </c>
      <c r="M81" s="3">
        <v>0</v>
      </c>
      <c r="N81" s="3">
        <v>32</v>
      </c>
      <c r="O81" s="3"/>
      <c r="P81" s="3">
        <v>0</v>
      </c>
      <c r="Q81" s="3">
        <v>0</v>
      </c>
      <c r="R81" s="3">
        <v>0</v>
      </c>
    </row>
    <row r="82" spans="1:18">
      <c r="A82" s="3" t="s">
        <v>183</v>
      </c>
      <c r="B82" s="3" t="s">
        <v>184</v>
      </c>
      <c r="C82" s="3" t="s">
        <v>184</v>
      </c>
      <c r="D82" s="3"/>
      <c r="E82" s="3" t="s">
        <v>20</v>
      </c>
      <c r="F82" s="3"/>
      <c r="G82" s="3"/>
      <c r="H82" s="3"/>
      <c r="I82" s="3"/>
      <c r="J82" s="3">
        <v>31</v>
      </c>
      <c r="K82" s="3">
        <v>31</v>
      </c>
      <c r="L82" s="3">
        <v>0</v>
      </c>
      <c r="M82" s="3">
        <v>0</v>
      </c>
      <c r="N82" s="3">
        <v>31</v>
      </c>
      <c r="O82" s="3"/>
      <c r="P82" s="3">
        <v>0</v>
      </c>
      <c r="Q82" s="3">
        <v>0</v>
      </c>
      <c r="R82" s="3">
        <v>0</v>
      </c>
    </row>
    <row r="83" spans="1:18">
      <c r="A83" s="3" t="s">
        <v>185</v>
      </c>
      <c r="B83" s="3" t="s">
        <v>186</v>
      </c>
      <c r="C83" s="3" t="s">
        <v>186</v>
      </c>
      <c r="D83" s="3"/>
      <c r="E83" s="3" t="s">
        <v>20</v>
      </c>
      <c r="F83" s="3"/>
      <c r="G83" s="3"/>
      <c r="H83" s="3"/>
      <c r="I83" s="3"/>
      <c r="J83" s="3">
        <v>0</v>
      </c>
      <c r="K83" s="3">
        <v>0</v>
      </c>
      <c r="L83" s="3">
        <v>0</v>
      </c>
      <c r="M83" s="3">
        <v>0</v>
      </c>
      <c r="N83" s="3">
        <v>0</v>
      </c>
      <c r="O83" s="3"/>
      <c r="P83" s="3">
        <v>0</v>
      </c>
      <c r="Q83" s="3">
        <v>0</v>
      </c>
      <c r="R83" s="3">
        <v>0</v>
      </c>
    </row>
    <row r="84" spans="1:18">
      <c r="A84" s="3" t="s">
        <v>187</v>
      </c>
      <c r="B84" s="3" t="s">
        <v>188</v>
      </c>
      <c r="C84" s="3" t="s">
        <v>188</v>
      </c>
      <c r="D84" s="3" t="s">
        <v>189</v>
      </c>
      <c r="E84" s="3" t="s">
        <v>120</v>
      </c>
      <c r="F84" s="3">
        <v>179</v>
      </c>
      <c r="G84" s="3" t="s">
        <v>121</v>
      </c>
      <c r="H84" s="3"/>
      <c r="I84" s="3" t="s">
        <v>122</v>
      </c>
      <c r="J84" s="3">
        <v>0</v>
      </c>
      <c r="K84" s="3">
        <v>0</v>
      </c>
      <c r="L84" s="3">
        <v>0</v>
      </c>
      <c r="M84" s="3">
        <v>0</v>
      </c>
      <c r="N84" s="3">
        <v>0</v>
      </c>
      <c r="O84" s="3">
        <v>0.52</v>
      </c>
      <c r="P84" s="3">
        <v>0</v>
      </c>
      <c r="Q84" s="3">
        <v>0</v>
      </c>
      <c r="R84" s="3">
        <v>0</v>
      </c>
    </row>
    <row r="85" spans="1:18">
      <c r="A85" s="3" t="s">
        <v>190</v>
      </c>
      <c r="B85" s="3" t="s">
        <v>191</v>
      </c>
      <c r="C85" s="3" t="s">
        <v>191</v>
      </c>
      <c r="D85" s="3" t="s">
        <v>192</v>
      </c>
      <c r="E85" s="3" t="s">
        <v>120</v>
      </c>
      <c r="F85" s="3">
        <v>179</v>
      </c>
      <c r="G85" s="3" t="s">
        <v>121</v>
      </c>
      <c r="H85" s="3"/>
      <c r="I85" s="3" t="s">
        <v>122</v>
      </c>
      <c r="J85" s="3">
        <v>1</v>
      </c>
      <c r="K85" s="3">
        <v>1</v>
      </c>
      <c r="L85" s="3">
        <v>0</v>
      </c>
      <c r="M85" s="3">
        <v>0</v>
      </c>
      <c r="N85" s="3">
        <v>1</v>
      </c>
      <c r="O85" s="3">
        <v>0.71</v>
      </c>
      <c r="P85" s="3">
        <v>0</v>
      </c>
      <c r="Q85" s="3">
        <v>0</v>
      </c>
      <c r="R85" s="3">
        <v>0</v>
      </c>
    </row>
    <row r="86" spans="1:18">
      <c r="A86" s="3" t="s">
        <v>193</v>
      </c>
      <c r="B86" s="3" t="s">
        <v>194</v>
      </c>
      <c r="C86" s="3" t="s">
        <v>194</v>
      </c>
      <c r="D86" s="3" t="s">
        <v>195</v>
      </c>
      <c r="E86" s="3" t="s">
        <v>120</v>
      </c>
      <c r="F86" s="3">
        <v>179</v>
      </c>
      <c r="G86" s="3" t="s">
        <v>121</v>
      </c>
      <c r="H86" s="3"/>
      <c r="I86" s="3" t="s">
        <v>122</v>
      </c>
      <c r="J86" s="3">
        <v>1</v>
      </c>
      <c r="K86" s="3">
        <v>1</v>
      </c>
      <c r="L86" s="3">
        <v>0</v>
      </c>
      <c r="M86" s="3">
        <v>0</v>
      </c>
      <c r="N86" s="3">
        <v>1</v>
      </c>
      <c r="O86" s="3">
        <v>0.53</v>
      </c>
      <c r="P86" s="3">
        <v>0</v>
      </c>
      <c r="Q86" s="3">
        <v>0</v>
      </c>
      <c r="R86" s="3">
        <v>0</v>
      </c>
    </row>
    <row r="87" spans="1:18">
      <c r="A87" s="3" t="s">
        <v>196</v>
      </c>
      <c r="B87" s="3" t="s">
        <v>197</v>
      </c>
      <c r="C87" s="3" t="s">
        <v>197</v>
      </c>
      <c r="D87" s="3" t="s">
        <v>198</v>
      </c>
      <c r="E87" s="3" t="s">
        <v>120</v>
      </c>
      <c r="F87" s="3">
        <v>179</v>
      </c>
      <c r="G87" s="3" t="s">
        <v>121</v>
      </c>
      <c r="H87" s="3"/>
      <c r="I87" s="3" t="s">
        <v>122</v>
      </c>
      <c r="J87" s="3">
        <v>1</v>
      </c>
      <c r="K87" s="3">
        <v>1</v>
      </c>
      <c r="L87" s="3">
        <v>0</v>
      </c>
      <c r="M87" s="3">
        <v>0</v>
      </c>
      <c r="N87" s="3">
        <v>1</v>
      </c>
      <c r="O87" s="3">
        <v>0.68</v>
      </c>
      <c r="P87" s="3">
        <v>0</v>
      </c>
      <c r="Q87" s="3">
        <v>0</v>
      </c>
      <c r="R87" s="3">
        <v>0</v>
      </c>
    </row>
    <row r="88" spans="1:18">
      <c r="A88" s="3" t="s">
        <v>199</v>
      </c>
      <c r="B88" s="3" t="s">
        <v>200</v>
      </c>
      <c r="C88" s="3" t="s">
        <v>200</v>
      </c>
      <c r="D88" s="3" t="s">
        <v>201</v>
      </c>
      <c r="E88" s="3" t="s">
        <v>120</v>
      </c>
      <c r="F88" s="3">
        <v>179</v>
      </c>
      <c r="G88" s="3" t="s">
        <v>121</v>
      </c>
      <c r="H88" s="3"/>
      <c r="I88" s="3" t="s">
        <v>122</v>
      </c>
      <c r="J88" s="3">
        <v>1</v>
      </c>
      <c r="K88" s="3">
        <v>1</v>
      </c>
      <c r="L88" s="3">
        <v>0</v>
      </c>
      <c r="M88" s="3">
        <v>0</v>
      </c>
      <c r="N88" s="3">
        <v>1</v>
      </c>
      <c r="O88" s="3">
        <v>0.59</v>
      </c>
      <c r="P88" s="3">
        <v>0</v>
      </c>
      <c r="Q88" s="3">
        <v>0</v>
      </c>
      <c r="R88" s="3">
        <v>0</v>
      </c>
    </row>
    <row r="89" spans="1:18">
      <c r="A89" s="3" t="s">
        <v>202</v>
      </c>
      <c r="B89" s="3" t="s">
        <v>203</v>
      </c>
      <c r="C89" s="3" t="s">
        <v>203</v>
      </c>
      <c r="D89" s="3" t="s">
        <v>204</v>
      </c>
      <c r="E89" s="3" t="s">
        <v>120</v>
      </c>
      <c r="F89" s="3">
        <v>179</v>
      </c>
      <c r="G89" s="3" t="s">
        <v>121</v>
      </c>
      <c r="H89" s="3"/>
      <c r="I89" s="3" t="s">
        <v>122</v>
      </c>
      <c r="J89" s="3">
        <v>1</v>
      </c>
      <c r="K89" s="3">
        <v>1</v>
      </c>
      <c r="L89" s="3">
        <v>0</v>
      </c>
      <c r="M89" s="3">
        <v>0</v>
      </c>
      <c r="N89" s="3">
        <v>1</v>
      </c>
      <c r="O89" s="3">
        <v>0.46</v>
      </c>
      <c r="P89" s="3">
        <v>0</v>
      </c>
      <c r="Q89" s="3">
        <v>0</v>
      </c>
      <c r="R89" s="3">
        <v>0</v>
      </c>
    </row>
    <row r="90" spans="1:18">
      <c r="A90" s="3" t="s">
        <v>205</v>
      </c>
      <c r="B90" s="3" t="s">
        <v>206</v>
      </c>
      <c r="C90" s="3" t="s">
        <v>206</v>
      </c>
      <c r="D90" s="3" t="s">
        <v>207</v>
      </c>
      <c r="E90" s="3" t="s">
        <v>120</v>
      </c>
      <c r="F90" s="3">
        <v>179</v>
      </c>
      <c r="G90" s="3" t="s">
        <v>121</v>
      </c>
      <c r="H90" s="3"/>
      <c r="I90" s="3" t="s">
        <v>122</v>
      </c>
      <c r="J90" s="3">
        <v>0</v>
      </c>
      <c r="K90" s="3">
        <v>0</v>
      </c>
      <c r="L90" s="3">
        <v>0</v>
      </c>
      <c r="M90" s="3">
        <v>0</v>
      </c>
      <c r="N90" s="3">
        <v>0</v>
      </c>
      <c r="O90" s="3">
        <v>0.38</v>
      </c>
      <c r="P90" s="3">
        <v>0</v>
      </c>
      <c r="Q90" s="3">
        <v>0</v>
      </c>
      <c r="R90" s="3">
        <v>0</v>
      </c>
    </row>
    <row r="91" spans="1:18">
      <c r="A91" s="3" t="s">
        <v>208</v>
      </c>
      <c r="B91" s="3" t="s">
        <v>209</v>
      </c>
      <c r="C91" s="3" t="s">
        <v>209</v>
      </c>
      <c r="D91" s="3" t="s">
        <v>210</v>
      </c>
      <c r="E91" s="3" t="s">
        <v>120</v>
      </c>
      <c r="F91" s="3">
        <v>179</v>
      </c>
      <c r="G91" s="3" t="s">
        <v>121</v>
      </c>
      <c r="H91" s="3"/>
      <c r="I91" s="3" t="s">
        <v>122</v>
      </c>
      <c r="J91" s="3">
        <v>1</v>
      </c>
      <c r="K91" s="3">
        <v>1</v>
      </c>
      <c r="L91" s="3">
        <v>0</v>
      </c>
      <c r="M91" s="3">
        <v>0</v>
      </c>
      <c r="N91" s="3">
        <v>1</v>
      </c>
      <c r="O91" s="3">
        <v>0.68</v>
      </c>
      <c r="P91" s="3">
        <v>0</v>
      </c>
      <c r="Q91" s="3">
        <v>0</v>
      </c>
      <c r="R91" s="3">
        <v>0</v>
      </c>
    </row>
    <row r="92" spans="1:18">
      <c r="A92" s="3" t="s">
        <v>211</v>
      </c>
      <c r="B92" s="3" t="s">
        <v>212</v>
      </c>
      <c r="C92" s="3" t="s">
        <v>212</v>
      </c>
      <c r="D92" s="3" t="s">
        <v>213</v>
      </c>
      <c r="E92" s="3" t="s">
        <v>120</v>
      </c>
      <c r="F92" s="3">
        <v>65.98</v>
      </c>
      <c r="G92" s="3" t="s">
        <v>121</v>
      </c>
      <c r="H92" s="3"/>
      <c r="I92" s="3" t="s">
        <v>122</v>
      </c>
      <c r="J92" s="3">
        <v>1</v>
      </c>
      <c r="K92" s="3">
        <v>1</v>
      </c>
      <c r="L92" s="3">
        <v>0</v>
      </c>
      <c r="M92" s="3">
        <v>0</v>
      </c>
      <c r="N92" s="3">
        <v>1</v>
      </c>
      <c r="O92" s="3">
        <v>0.68</v>
      </c>
      <c r="P92" s="3">
        <v>0</v>
      </c>
      <c r="Q92" s="3">
        <v>0</v>
      </c>
      <c r="R92" s="3">
        <v>0</v>
      </c>
    </row>
    <row r="93" spans="1:18">
      <c r="A93" s="3" t="s">
        <v>214</v>
      </c>
      <c r="B93" s="3" t="s">
        <v>215</v>
      </c>
      <c r="C93" s="3" t="s">
        <v>215</v>
      </c>
      <c r="D93" s="3" t="s">
        <v>216</v>
      </c>
      <c r="E93" s="3" t="s">
        <v>120</v>
      </c>
      <c r="F93" s="3">
        <v>60.98</v>
      </c>
      <c r="G93" s="3" t="s">
        <v>121</v>
      </c>
      <c r="H93" s="3"/>
      <c r="I93" s="3" t="s">
        <v>122</v>
      </c>
      <c r="J93" s="3">
        <v>1</v>
      </c>
      <c r="K93" s="3">
        <v>1</v>
      </c>
      <c r="L93" s="3">
        <v>0</v>
      </c>
      <c r="M93" s="3">
        <v>0</v>
      </c>
      <c r="N93" s="3">
        <v>1</v>
      </c>
      <c r="O93" s="3">
        <v>0.68</v>
      </c>
      <c r="P93" s="3">
        <v>0</v>
      </c>
      <c r="Q93" s="3">
        <v>0</v>
      </c>
      <c r="R93" s="3">
        <v>0</v>
      </c>
    </row>
    <row r="94" spans="1:18">
      <c r="A94" s="3" t="s">
        <v>217</v>
      </c>
      <c r="B94" s="3" t="s">
        <v>218</v>
      </c>
      <c r="C94" s="3" t="s">
        <v>218</v>
      </c>
      <c r="D94" s="3" t="s">
        <v>219</v>
      </c>
      <c r="E94" s="3" t="s">
        <v>120</v>
      </c>
      <c r="F94" s="3">
        <v>60.98</v>
      </c>
      <c r="G94" s="3" t="s">
        <v>121</v>
      </c>
      <c r="H94" s="3"/>
      <c r="I94" s="3" t="s">
        <v>122</v>
      </c>
      <c r="J94" s="3">
        <v>1</v>
      </c>
      <c r="K94" s="3">
        <v>1</v>
      </c>
      <c r="L94" s="3">
        <v>0</v>
      </c>
      <c r="M94" s="3">
        <v>0</v>
      </c>
      <c r="N94" s="3">
        <v>1</v>
      </c>
      <c r="O94" s="3">
        <v>0.4</v>
      </c>
      <c r="P94" s="3">
        <v>0</v>
      </c>
      <c r="Q94" s="3">
        <v>0</v>
      </c>
      <c r="R94" s="3">
        <v>0</v>
      </c>
    </row>
    <row r="95" spans="1:18">
      <c r="A95" s="3" t="s">
        <v>220</v>
      </c>
      <c r="B95" s="3" t="s">
        <v>221</v>
      </c>
      <c r="C95" s="3" t="s">
        <v>221</v>
      </c>
      <c r="D95" s="3" t="s">
        <v>222</v>
      </c>
      <c r="E95" s="3" t="s">
        <v>120</v>
      </c>
      <c r="F95" s="3">
        <v>179</v>
      </c>
      <c r="G95" s="3" t="s">
        <v>121</v>
      </c>
      <c r="H95" s="3"/>
      <c r="I95" s="3" t="s">
        <v>122</v>
      </c>
      <c r="J95" s="3">
        <v>5</v>
      </c>
      <c r="K95" s="3">
        <v>5</v>
      </c>
      <c r="L95" s="3">
        <v>0</v>
      </c>
      <c r="M95" s="3">
        <v>0</v>
      </c>
      <c r="N95" s="3">
        <v>5</v>
      </c>
      <c r="O95" s="3">
        <v>0.73</v>
      </c>
      <c r="P95" s="3">
        <v>0</v>
      </c>
      <c r="Q95" s="3">
        <v>0</v>
      </c>
      <c r="R95" s="3">
        <v>0</v>
      </c>
    </row>
    <row r="96" spans="1:18">
      <c r="A96" s="3" t="s">
        <v>223</v>
      </c>
      <c r="B96" s="3" t="s">
        <v>224</v>
      </c>
      <c r="C96" s="3" t="s">
        <v>224</v>
      </c>
      <c r="D96" s="3" t="s">
        <v>225</v>
      </c>
      <c r="E96" s="3" t="s">
        <v>120</v>
      </c>
      <c r="F96" s="3">
        <v>179</v>
      </c>
      <c r="G96" s="3" t="s">
        <v>121</v>
      </c>
      <c r="H96" s="3"/>
      <c r="I96" s="3" t="s">
        <v>122</v>
      </c>
      <c r="J96" s="3">
        <v>1</v>
      </c>
      <c r="K96" s="3">
        <v>1</v>
      </c>
      <c r="L96" s="3">
        <v>0</v>
      </c>
      <c r="M96" s="3">
        <v>0</v>
      </c>
      <c r="N96" s="3">
        <v>1</v>
      </c>
      <c r="O96" s="3">
        <v>0.78</v>
      </c>
      <c r="P96" s="3">
        <v>0</v>
      </c>
      <c r="Q96" s="3">
        <v>0</v>
      </c>
      <c r="R96" s="3">
        <v>0</v>
      </c>
    </row>
    <row r="97" spans="1:18">
      <c r="A97" s="3" t="s">
        <v>226</v>
      </c>
      <c r="B97" s="3" t="s">
        <v>227</v>
      </c>
      <c r="C97" s="3" t="s">
        <v>227</v>
      </c>
      <c r="D97" s="3" t="s">
        <v>228</v>
      </c>
      <c r="E97" s="3" t="s">
        <v>120</v>
      </c>
      <c r="F97" s="3">
        <v>179</v>
      </c>
      <c r="G97" s="3" t="s">
        <v>121</v>
      </c>
      <c r="H97" s="3"/>
      <c r="I97" s="3" t="s">
        <v>122</v>
      </c>
      <c r="J97" s="3">
        <v>1</v>
      </c>
      <c r="K97" s="3">
        <v>1</v>
      </c>
      <c r="L97" s="3">
        <v>0</v>
      </c>
      <c r="M97" s="3">
        <v>0</v>
      </c>
      <c r="N97" s="3">
        <v>1</v>
      </c>
      <c r="O97" s="3">
        <v>0.83</v>
      </c>
      <c r="P97" s="3">
        <v>0</v>
      </c>
      <c r="Q97" s="3">
        <v>0</v>
      </c>
      <c r="R97" s="3">
        <v>0</v>
      </c>
    </row>
    <row r="98" spans="1:18">
      <c r="A98" s="3" t="s">
        <v>229</v>
      </c>
      <c r="B98" s="3" t="s">
        <v>230</v>
      </c>
      <c r="C98" s="3" t="s">
        <v>230</v>
      </c>
      <c r="D98" s="3" t="s">
        <v>231</v>
      </c>
      <c r="E98" s="3" t="s">
        <v>120</v>
      </c>
      <c r="F98" s="3">
        <v>65.98</v>
      </c>
      <c r="G98" s="3" t="s">
        <v>121</v>
      </c>
      <c r="H98" s="3"/>
      <c r="I98" s="3" t="s">
        <v>122</v>
      </c>
      <c r="J98" s="3">
        <v>0</v>
      </c>
      <c r="K98" s="3">
        <v>0</v>
      </c>
      <c r="L98" s="3">
        <v>0</v>
      </c>
      <c r="M98" s="3">
        <v>0</v>
      </c>
      <c r="N98" s="3">
        <v>0</v>
      </c>
      <c r="O98" s="3">
        <v>0.46</v>
      </c>
      <c r="P98" s="3">
        <v>0</v>
      </c>
      <c r="Q98" s="3">
        <v>0</v>
      </c>
      <c r="R98" s="3">
        <v>0</v>
      </c>
    </row>
    <row r="99" spans="1:18">
      <c r="A99" s="3" t="s">
        <v>232</v>
      </c>
      <c r="B99" s="3" t="s">
        <v>233</v>
      </c>
      <c r="C99" s="3" t="s">
        <v>233</v>
      </c>
      <c r="D99" s="3" t="s">
        <v>234</v>
      </c>
      <c r="E99" s="3" t="s">
        <v>120</v>
      </c>
      <c r="F99" s="3">
        <v>65.98</v>
      </c>
      <c r="G99" s="3" t="s">
        <v>121</v>
      </c>
      <c r="H99" s="3"/>
      <c r="I99" s="3" t="s">
        <v>122</v>
      </c>
      <c r="J99" s="3">
        <v>1</v>
      </c>
      <c r="K99" s="3">
        <v>1</v>
      </c>
      <c r="L99" s="3">
        <v>0</v>
      </c>
      <c r="M99" s="3">
        <v>0</v>
      </c>
      <c r="N99" s="3">
        <v>1</v>
      </c>
      <c r="O99" s="3">
        <v>0.94</v>
      </c>
      <c r="P99" s="3">
        <v>0</v>
      </c>
      <c r="Q99" s="3">
        <v>0</v>
      </c>
      <c r="R99" s="3">
        <v>0</v>
      </c>
    </row>
    <row r="100" spans="1:18">
      <c r="A100" s="3" t="s">
        <v>235</v>
      </c>
      <c r="B100" s="3" t="s">
        <v>236</v>
      </c>
      <c r="C100" s="3" t="s">
        <v>236</v>
      </c>
      <c r="D100" s="3" t="s">
        <v>237</v>
      </c>
      <c r="E100" s="3" t="s">
        <v>120</v>
      </c>
      <c r="F100" s="3">
        <v>65.98</v>
      </c>
      <c r="G100" s="3" t="s">
        <v>121</v>
      </c>
      <c r="H100" s="3"/>
      <c r="I100" s="3" t="s">
        <v>122</v>
      </c>
      <c r="J100" s="3">
        <v>1</v>
      </c>
      <c r="K100" s="3">
        <v>1</v>
      </c>
      <c r="L100" s="3">
        <v>0</v>
      </c>
      <c r="M100" s="3">
        <v>0</v>
      </c>
      <c r="N100" s="3">
        <v>1</v>
      </c>
      <c r="O100" s="3">
        <v>0.58</v>
      </c>
      <c r="P100" s="3">
        <v>0</v>
      </c>
      <c r="Q100" s="3">
        <v>0</v>
      </c>
      <c r="R100" s="3">
        <v>0</v>
      </c>
    </row>
    <row r="101" spans="1:18">
      <c r="A101" s="3" t="s">
        <v>238</v>
      </c>
      <c r="B101" s="3" t="s">
        <v>239</v>
      </c>
      <c r="C101" s="3" t="s">
        <v>239</v>
      </c>
      <c r="D101" s="3" t="s">
        <v>240</v>
      </c>
      <c r="E101" s="3" t="s">
        <v>120</v>
      </c>
      <c r="F101" s="3">
        <v>65.98</v>
      </c>
      <c r="G101" s="3" t="s">
        <v>121</v>
      </c>
      <c r="H101" s="3"/>
      <c r="I101" s="3" t="s">
        <v>122</v>
      </c>
      <c r="J101" s="3">
        <v>1</v>
      </c>
      <c r="K101" s="3">
        <v>1</v>
      </c>
      <c r="L101" s="3">
        <v>0</v>
      </c>
      <c r="M101" s="3">
        <v>0</v>
      </c>
      <c r="N101" s="3">
        <v>1</v>
      </c>
      <c r="O101" s="3">
        <v>0.54</v>
      </c>
      <c r="P101" s="3">
        <v>0</v>
      </c>
      <c r="Q101" s="3">
        <v>0</v>
      </c>
      <c r="R101" s="3">
        <v>0</v>
      </c>
    </row>
    <row r="102" spans="1:18">
      <c r="A102" s="3" t="s">
        <v>241</v>
      </c>
      <c r="B102" s="3" t="s">
        <v>242</v>
      </c>
      <c r="C102" s="3" t="s">
        <v>242</v>
      </c>
      <c r="D102" s="3" t="s">
        <v>243</v>
      </c>
      <c r="E102" s="3" t="s">
        <v>120</v>
      </c>
      <c r="F102" s="3">
        <v>62.98</v>
      </c>
      <c r="G102" s="3" t="s">
        <v>121</v>
      </c>
      <c r="H102" s="3"/>
      <c r="I102" s="3" t="s">
        <v>122</v>
      </c>
      <c r="J102" s="3">
        <v>1</v>
      </c>
      <c r="K102" s="3">
        <v>1</v>
      </c>
      <c r="L102" s="3">
        <v>0</v>
      </c>
      <c r="M102" s="3">
        <v>0</v>
      </c>
      <c r="N102" s="3">
        <v>1</v>
      </c>
      <c r="O102" s="3">
        <v>0.44</v>
      </c>
      <c r="P102" s="3">
        <v>0</v>
      </c>
      <c r="Q102" s="3">
        <v>0</v>
      </c>
      <c r="R102" s="3">
        <v>0</v>
      </c>
    </row>
    <row r="103" spans="1:18">
      <c r="A103" s="3" t="s">
        <v>244</v>
      </c>
      <c r="B103" s="3" t="s">
        <v>245</v>
      </c>
      <c r="C103" s="3" t="s">
        <v>245</v>
      </c>
      <c r="D103" s="3"/>
      <c r="E103" s="3" t="s">
        <v>20</v>
      </c>
      <c r="F103" s="3"/>
      <c r="G103" s="3"/>
      <c r="H103" s="3"/>
      <c r="I103" s="3"/>
      <c r="J103" s="3">
        <v>1</v>
      </c>
      <c r="K103" s="3">
        <v>1</v>
      </c>
      <c r="L103" s="3">
        <v>0</v>
      </c>
      <c r="M103" s="3">
        <v>0</v>
      </c>
      <c r="N103" s="3">
        <v>1</v>
      </c>
      <c r="O103" s="3"/>
      <c r="P103" s="3">
        <v>0</v>
      </c>
      <c r="Q103" s="3">
        <v>0</v>
      </c>
      <c r="R103" s="3">
        <v>0</v>
      </c>
    </row>
    <row r="104" spans="1:18">
      <c r="A104" s="3" t="s">
        <v>246</v>
      </c>
      <c r="B104" s="3" t="s">
        <v>247</v>
      </c>
      <c r="C104" s="3" t="s">
        <v>247</v>
      </c>
      <c r="D104" s="3" t="s">
        <v>248</v>
      </c>
      <c r="E104" s="3" t="s">
        <v>120</v>
      </c>
      <c r="F104" s="3">
        <v>65.98</v>
      </c>
      <c r="G104" s="3" t="s">
        <v>121</v>
      </c>
      <c r="H104" s="3"/>
      <c r="I104" s="3" t="s">
        <v>122</v>
      </c>
      <c r="J104" s="3">
        <v>0</v>
      </c>
      <c r="K104" s="3">
        <v>0</v>
      </c>
      <c r="L104" s="3">
        <v>0</v>
      </c>
      <c r="M104" s="3">
        <v>0</v>
      </c>
      <c r="N104" s="3">
        <v>0</v>
      </c>
      <c r="O104" s="3">
        <v>0.84</v>
      </c>
      <c r="P104" s="3">
        <v>0</v>
      </c>
      <c r="Q104" s="3">
        <v>0</v>
      </c>
      <c r="R104" s="3">
        <v>0</v>
      </c>
    </row>
    <row r="105" spans="1:18">
      <c r="A105" s="3" t="s">
        <v>249</v>
      </c>
      <c r="B105" s="3" t="s">
        <v>250</v>
      </c>
      <c r="C105" s="3" t="s">
        <v>250</v>
      </c>
      <c r="D105" s="3" t="s">
        <v>251</v>
      </c>
      <c r="E105" s="3" t="s">
        <v>120</v>
      </c>
      <c r="F105" s="3">
        <v>65.98</v>
      </c>
      <c r="G105" s="3" t="s">
        <v>121</v>
      </c>
      <c r="H105" s="3"/>
      <c r="I105" s="3" t="s">
        <v>122</v>
      </c>
      <c r="J105" s="3">
        <v>2</v>
      </c>
      <c r="K105" s="3">
        <v>1</v>
      </c>
      <c r="L105" s="3">
        <v>0</v>
      </c>
      <c r="M105" s="3">
        <v>1</v>
      </c>
      <c r="N105" s="3">
        <v>2</v>
      </c>
      <c r="O105" s="3">
        <v>0.73</v>
      </c>
      <c r="P105" s="3">
        <v>0</v>
      </c>
      <c r="Q105" s="3">
        <v>0</v>
      </c>
      <c r="R105" s="3">
        <v>0</v>
      </c>
    </row>
    <row r="106" spans="1:18">
      <c r="A106" s="3" t="s">
        <v>252</v>
      </c>
      <c r="B106" s="3" t="s">
        <v>253</v>
      </c>
      <c r="C106" s="3" t="s">
        <v>253</v>
      </c>
      <c r="D106" s="3" t="s">
        <v>254</v>
      </c>
      <c r="E106" s="3" t="s">
        <v>120</v>
      </c>
      <c r="F106" s="3">
        <v>65.98</v>
      </c>
      <c r="G106" s="3" t="s">
        <v>121</v>
      </c>
      <c r="H106" s="3"/>
      <c r="I106" s="3" t="s">
        <v>122</v>
      </c>
      <c r="J106" s="3">
        <v>0</v>
      </c>
      <c r="K106" s="3">
        <v>0</v>
      </c>
      <c r="L106" s="3">
        <v>0</v>
      </c>
      <c r="M106" s="3">
        <v>0</v>
      </c>
      <c r="N106" s="3">
        <v>0</v>
      </c>
      <c r="O106" s="3">
        <v>0.51</v>
      </c>
      <c r="P106" s="3">
        <v>0</v>
      </c>
      <c r="Q106" s="3">
        <v>0</v>
      </c>
      <c r="R106" s="3">
        <v>0</v>
      </c>
    </row>
    <row r="107" spans="1:18">
      <c r="A107" s="3" t="s">
        <v>255</v>
      </c>
      <c r="B107" s="3" t="s">
        <v>256</v>
      </c>
      <c r="C107" s="3" t="s">
        <v>256</v>
      </c>
      <c r="D107" s="3" t="s">
        <v>257</v>
      </c>
      <c r="E107" s="3" t="s">
        <v>120</v>
      </c>
      <c r="F107" s="3">
        <v>65.98</v>
      </c>
      <c r="G107" s="3" t="s">
        <v>121</v>
      </c>
      <c r="H107" s="3"/>
      <c r="I107" s="3" t="s">
        <v>122</v>
      </c>
      <c r="J107" s="3">
        <v>1</v>
      </c>
      <c r="K107" s="3">
        <v>1</v>
      </c>
      <c r="L107" s="3">
        <v>0</v>
      </c>
      <c r="M107" s="3">
        <v>0</v>
      </c>
      <c r="N107" s="3">
        <v>1</v>
      </c>
      <c r="O107" s="3">
        <v>0.55</v>
      </c>
      <c r="P107" s="3">
        <v>0</v>
      </c>
      <c r="Q107" s="3">
        <v>0</v>
      </c>
      <c r="R107" s="3">
        <v>0</v>
      </c>
    </row>
    <row r="108" spans="1:18">
      <c r="A108" s="3" t="s">
        <v>258</v>
      </c>
      <c r="B108" s="3" t="s">
        <v>259</v>
      </c>
      <c r="C108" s="3" t="s">
        <v>259</v>
      </c>
      <c r="D108" s="3" t="s">
        <v>260</v>
      </c>
      <c r="E108" s="3" t="s">
        <v>120</v>
      </c>
      <c r="F108" s="3">
        <v>65.98</v>
      </c>
      <c r="G108" s="3" t="s">
        <v>121</v>
      </c>
      <c r="H108" s="3"/>
      <c r="I108" s="3" t="s">
        <v>122</v>
      </c>
      <c r="J108" s="3">
        <v>0</v>
      </c>
      <c r="K108" s="3">
        <v>0</v>
      </c>
      <c r="L108" s="3">
        <v>0</v>
      </c>
      <c r="M108" s="3">
        <v>0</v>
      </c>
      <c r="N108" s="3">
        <v>0</v>
      </c>
      <c r="O108" s="3">
        <v>0.9</v>
      </c>
      <c r="P108" s="3">
        <v>0</v>
      </c>
      <c r="Q108" s="3">
        <v>0</v>
      </c>
      <c r="R108" s="3">
        <v>0</v>
      </c>
    </row>
    <row r="109" spans="1:18">
      <c r="A109" s="3" t="s">
        <v>261</v>
      </c>
      <c r="B109" s="3" t="s">
        <v>262</v>
      </c>
      <c r="C109" s="3" t="s">
        <v>262</v>
      </c>
      <c r="D109" s="3" t="s">
        <v>263</v>
      </c>
      <c r="E109" s="3" t="s">
        <v>120</v>
      </c>
      <c r="F109" s="3">
        <v>65.98</v>
      </c>
      <c r="G109" s="3" t="s">
        <v>121</v>
      </c>
      <c r="H109" s="3"/>
      <c r="I109" s="3" t="s">
        <v>122</v>
      </c>
      <c r="J109" s="3">
        <v>2</v>
      </c>
      <c r="K109" s="3">
        <v>2</v>
      </c>
      <c r="L109" s="3">
        <v>0</v>
      </c>
      <c r="M109" s="3">
        <v>0</v>
      </c>
      <c r="N109" s="3">
        <v>2</v>
      </c>
      <c r="O109" s="3">
        <v>0.49</v>
      </c>
      <c r="P109" s="3">
        <v>0</v>
      </c>
      <c r="Q109" s="3">
        <v>0</v>
      </c>
      <c r="R109" s="3">
        <v>0</v>
      </c>
    </row>
    <row r="110" spans="1:18">
      <c r="A110" s="3" t="s">
        <v>264</v>
      </c>
      <c r="B110" s="3" t="s">
        <v>265</v>
      </c>
      <c r="C110" s="3" t="s">
        <v>265</v>
      </c>
      <c r="D110" s="3" t="s">
        <v>266</v>
      </c>
      <c r="E110" s="3" t="s">
        <v>120</v>
      </c>
      <c r="F110" s="3">
        <v>65.98</v>
      </c>
      <c r="G110" s="3" t="s">
        <v>121</v>
      </c>
      <c r="H110" s="3"/>
      <c r="I110" s="3" t="s">
        <v>122</v>
      </c>
      <c r="J110" s="3">
        <v>1</v>
      </c>
      <c r="K110" s="3">
        <v>1</v>
      </c>
      <c r="L110" s="3">
        <v>0</v>
      </c>
      <c r="M110" s="3">
        <v>0</v>
      </c>
      <c r="N110" s="3">
        <v>1</v>
      </c>
      <c r="O110" s="3">
        <v>0.63</v>
      </c>
      <c r="P110" s="3">
        <v>0</v>
      </c>
      <c r="Q110" s="3">
        <v>0</v>
      </c>
      <c r="R110" s="3">
        <v>0</v>
      </c>
    </row>
    <row r="111" spans="1:18">
      <c r="A111" s="3" t="s">
        <v>267</v>
      </c>
      <c r="B111" s="3" t="s">
        <v>268</v>
      </c>
      <c r="C111" s="3" t="s">
        <v>268</v>
      </c>
      <c r="D111" s="3" t="s">
        <v>269</v>
      </c>
      <c r="E111" s="3" t="s">
        <v>120</v>
      </c>
      <c r="F111" s="3">
        <v>65.98</v>
      </c>
      <c r="G111" s="3" t="s">
        <v>121</v>
      </c>
      <c r="H111" s="3"/>
      <c r="I111" s="3" t="s">
        <v>122</v>
      </c>
      <c r="J111" s="3">
        <v>0</v>
      </c>
      <c r="K111" s="3">
        <v>0</v>
      </c>
      <c r="L111" s="3">
        <v>0</v>
      </c>
      <c r="M111" s="3">
        <v>0</v>
      </c>
      <c r="N111" s="3">
        <v>0</v>
      </c>
      <c r="O111" s="3">
        <v>1.03</v>
      </c>
      <c r="P111" s="3">
        <v>0</v>
      </c>
      <c r="Q111" s="3">
        <v>0</v>
      </c>
      <c r="R111" s="3">
        <v>0</v>
      </c>
    </row>
    <row r="112" spans="1:18">
      <c r="A112" s="3" t="s">
        <v>270</v>
      </c>
      <c r="B112" s="3" t="s">
        <v>271</v>
      </c>
      <c r="C112" s="3" t="s">
        <v>271</v>
      </c>
      <c r="D112" s="3" t="s">
        <v>272</v>
      </c>
      <c r="E112" s="3" t="s">
        <v>120</v>
      </c>
      <c r="F112" s="3">
        <v>64.98</v>
      </c>
      <c r="G112" s="3" t="s">
        <v>121</v>
      </c>
      <c r="H112" s="3"/>
      <c r="I112" s="3" t="s">
        <v>122</v>
      </c>
      <c r="J112" s="3">
        <v>2</v>
      </c>
      <c r="K112" s="3">
        <v>2</v>
      </c>
      <c r="L112" s="3">
        <v>0</v>
      </c>
      <c r="M112" s="3">
        <v>0</v>
      </c>
      <c r="N112" s="3">
        <v>2</v>
      </c>
      <c r="O112" s="3">
        <v>0.7</v>
      </c>
      <c r="P112" s="3">
        <v>0</v>
      </c>
      <c r="Q112" s="3">
        <v>0</v>
      </c>
      <c r="R112" s="3">
        <v>0</v>
      </c>
    </row>
    <row r="113" spans="1:18">
      <c r="A113" s="3" t="s">
        <v>273</v>
      </c>
      <c r="B113" s="3" t="s">
        <v>274</v>
      </c>
      <c r="C113" s="3" t="s">
        <v>274</v>
      </c>
      <c r="D113" s="3" t="s">
        <v>275</v>
      </c>
      <c r="E113" s="3" t="s">
        <v>120</v>
      </c>
      <c r="F113" s="3">
        <v>64.98</v>
      </c>
      <c r="G113" s="3" t="s">
        <v>121</v>
      </c>
      <c r="H113" s="3"/>
      <c r="I113" s="3" t="s">
        <v>122</v>
      </c>
      <c r="J113" s="3">
        <v>0</v>
      </c>
      <c r="K113" s="3">
        <v>0</v>
      </c>
      <c r="L113" s="3">
        <v>0</v>
      </c>
      <c r="M113" s="3">
        <v>0</v>
      </c>
      <c r="N113" s="3">
        <v>0</v>
      </c>
      <c r="O113" s="3">
        <v>0.7</v>
      </c>
      <c r="P113" s="3">
        <v>0</v>
      </c>
      <c r="Q113" s="3">
        <v>0</v>
      </c>
      <c r="R113" s="3">
        <v>0</v>
      </c>
    </row>
    <row r="114" spans="1:18">
      <c r="A114" s="3" t="s">
        <v>276</v>
      </c>
      <c r="B114" s="3" t="s">
        <v>277</v>
      </c>
      <c r="C114" s="3" t="s">
        <v>277</v>
      </c>
      <c r="D114" s="3" t="s">
        <v>278</v>
      </c>
      <c r="E114" s="3" t="s">
        <v>120</v>
      </c>
      <c r="F114" s="3">
        <v>64.98</v>
      </c>
      <c r="G114" s="3" t="s">
        <v>121</v>
      </c>
      <c r="H114" s="3"/>
      <c r="I114" s="3" t="s">
        <v>122</v>
      </c>
      <c r="J114" s="3">
        <v>1</v>
      </c>
      <c r="K114" s="3">
        <v>1</v>
      </c>
      <c r="L114" s="3">
        <v>0</v>
      </c>
      <c r="M114" s="3">
        <v>0</v>
      </c>
      <c r="N114" s="3">
        <v>1</v>
      </c>
      <c r="O114" s="3">
        <v>0.7</v>
      </c>
      <c r="P114" s="3">
        <v>0</v>
      </c>
      <c r="Q114" s="3">
        <v>0</v>
      </c>
      <c r="R114" s="3">
        <v>0</v>
      </c>
    </row>
    <row r="115" spans="1:18">
      <c r="A115" s="3" t="s">
        <v>279</v>
      </c>
      <c r="B115" s="3" t="s">
        <v>280</v>
      </c>
      <c r="C115" s="3" t="s">
        <v>280</v>
      </c>
      <c r="D115" s="3" t="s">
        <v>281</v>
      </c>
      <c r="E115" s="3" t="s">
        <v>120</v>
      </c>
      <c r="F115" s="3">
        <v>64.98</v>
      </c>
      <c r="G115" s="3" t="s">
        <v>121</v>
      </c>
      <c r="H115" s="3"/>
      <c r="I115" s="3" t="s">
        <v>122</v>
      </c>
      <c r="J115" s="3">
        <v>0</v>
      </c>
      <c r="K115" s="3">
        <v>0</v>
      </c>
      <c r="L115" s="3">
        <v>0</v>
      </c>
      <c r="M115" s="3">
        <v>0</v>
      </c>
      <c r="N115" s="3">
        <v>0</v>
      </c>
      <c r="O115" s="3">
        <v>0.34</v>
      </c>
      <c r="P115" s="3">
        <v>0</v>
      </c>
      <c r="Q115" s="3">
        <v>0</v>
      </c>
      <c r="R115" s="3">
        <v>0</v>
      </c>
    </row>
    <row r="116" spans="1:18">
      <c r="A116" s="3" t="s">
        <v>282</v>
      </c>
      <c r="B116" s="3" t="s">
        <v>283</v>
      </c>
      <c r="C116" s="3" t="s">
        <v>283</v>
      </c>
      <c r="D116" s="3" t="s">
        <v>284</v>
      </c>
      <c r="E116" s="3" t="s">
        <v>120</v>
      </c>
      <c r="F116" s="3">
        <v>64.98</v>
      </c>
      <c r="G116" s="3" t="s">
        <v>121</v>
      </c>
      <c r="H116" s="3"/>
      <c r="I116" s="3" t="s">
        <v>122</v>
      </c>
      <c r="J116" s="3">
        <v>0</v>
      </c>
      <c r="K116" s="3">
        <v>0</v>
      </c>
      <c r="L116" s="3">
        <v>0</v>
      </c>
      <c r="M116" s="3">
        <v>0</v>
      </c>
      <c r="N116" s="3">
        <v>0</v>
      </c>
      <c r="O116" s="3">
        <v>0.7</v>
      </c>
      <c r="P116" s="3">
        <v>0</v>
      </c>
      <c r="Q116" s="3">
        <v>0</v>
      </c>
      <c r="R116" s="3">
        <v>0</v>
      </c>
    </row>
    <row r="117" spans="1:18">
      <c r="A117" s="3" t="s">
        <v>285</v>
      </c>
      <c r="B117" s="3" t="s">
        <v>286</v>
      </c>
      <c r="C117" s="3" t="s">
        <v>286</v>
      </c>
      <c r="D117" s="3" t="s">
        <v>287</v>
      </c>
      <c r="E117" s="3" t="s">
        <v>120</v>
      </c>
      <c r="F117" s="3">
        <v>64.98</v>
      </c>
      <c r="G117" s="3" t="s">
        <v>121</v>
      </c>
      <c r="H117" s="3"/>
      <c r="I117" s="3" t="s">
        <v>122</v>
      </c>
      <c r="J117" s="3">
        <v>1</v>
      </c>
      <c r="K117" s="3">
        <v>1</v>
      </c>
      <c r="L117" s="3">
        <v>0</v>
      </c>
      <c r="M117" s="3">
        <v>0</v>
      </c>
      <c r="N117" s="3">
        <v>1</v>
      </c>
      <c r="O117" s="3">
        <v>0.7</v>
      </c>
      <c r="P117" s="3">
        <v>0</v>
      </c>
      <c r="Q117" s="3">
        <v>0</v>
      </c>
      <c r="R117" s="3">
        <v>0</v>
      </c>
    </row>
    <row r="118" spans="1:18">
      <c r="A118" s="3" t="s">
        <v>288</v>
      </c>
      <c r="B118" s="3" t="s">
        <v>289</v>
      </c>
      <c r="C118" s="3" t="s">
        <v>289</v>
      </c>
      <c r="D118" s="3" t="s">
        <v>290</v>
      </c>
      <c r="E118" s="3" t="s">
        <v>120</v>
      </c>
      <c r="F118" s="3">
        <v>64.98</v>
      </c>
      <c r="G118" s="3" t="s">
        <v>121</v>
      </c>
      <c r="H118" s="3"/>
      <c r="I118" s="3" t="s">
        <v>122</v>
      </c>
      <c r="J118" s="3">
        <v>1</v>
      </c>
      <c r="K118" s="3">
        <v>1</v>
      </c>
      <c r="L118" s="3">
        <v>0</v>
      </c>
      <c r="M118" s="3">
        <v>0</v>
      </c>
      <c r="N118" s="3">
        <v>1</v>
      </c>
      <c r="O118" s="3">
        <v>0.7</v>
      </c>
      <c r="P118" s="3">
        <v>0</v>
      </c>
      <c r="Q118" s="3">
        <v>0</v>
      </c>
      <c r="R118" s="3">
        <v>0</v>
      </c>
    </row>
    <row r="119" spans="1:18">
      <c r="A119" s="3" t="s">
        <v>291</v>
      </c>
      <c r="B119" s="3" t="s">
        <v>292</v>
      </c>
      <c r="C119" s="3" t="s">
        <v>292</v>
      </c>
      <c r="D119" s="3" t="s">
        <v>293</v>
      </c>
      <c r="E119" s="3" t="s">
        <v>120</v>
      </c>
      <c r="F119" s="3">
        <v>64.98</v>
      </c>
      <c r="G119" s="3" t="s">
        <v>121</v>
      </c>
      <c r="H119" s="3"/>
      <c r="I119" s="3" t="s">
        <v>122</v>
      </c>
      <c r="J119" s="3">
        <v>1</v>
      </c>
      <c r="K119" s="3">
        <v>1</v>
      </c>
      <c r="L119" s="3">
        <v>0</v>
      </c>
      <c r="M119" s="3">
        <v>0</v>
      </c>
      <c r="N119" s="3">
        <v>1</v>
      </c>
      <c r="O119" s="3">
        <v>0.7</v>
      </c>
      <c r="P119" s="3">
        <v>0</v>
      </c>
      <c r="Q119" s="3">
        <v>0</v>
      </c>
      <c r="R119" s="3">
        <v>0</v>
      </c>
    </row>
    <row r="120" spans="1:18">
      <c r="A120" s="3" t="s">
        <v>294</v>
      </c>
      <c r="B120" s="3" t="s">
        <v>295</v>
      </c>
      <c r="C120" s="3" t="s">
        <v>295</v>
      </c>
      <c r="D120" s="3" t="s">
        <v>296</v>
      </c>
      <c r="E120" s="3" t="s">
        <v>120</v>
      </c>
      <c r="F120" s="3">
        <v>64.98</v>
      </c>
      <c r="G120" s="3" t="s">
        <v>121</v>
      </c>
      <c r="H120" s="3"/>
      <c r="I120" s="3" t="s">
        <v>122</v>
      </c>
      <c r="J120" s="3">
        <v>1</v>
      </c>
      <c r="K120" s="3">
        <v>1</v>
      </c>
      <c r="L120" s="3">
        <v>0</v>
      </c>
      <c r="M120" s="3">
        <v>0</v>
      </c>
      <c r="N120" s="3">
        <v>1</v>
      </c>
      <c r="O120" s="3">
        <v>0.7</v>
      </c>
      <c r="P120" s="3">
        <v>0</v>
      </c>
      <c r="Q120" s="3">
        <v>0</v>
      </c>
      <c r="R120" s="3">
        <v>0</v>
      </c>
    </row>
    <row r="121" spans="1:18">
      <c r="A121" s="3" t="s">
        <v>297</v>
      </c>
      <c r="B121" s="3" t="s">
        <v>298</v>
      </c>
      <c r="C121" s="3" t="s">
        <v>298</v>
      </c>
      <c r="D121" s="3"/>
      <c r="E121" s="3" t="s">
        <v>20</v>
      </c>
      <c r="F121" s="3"/>
      <c r="G121" s="3"/>
      <c r="H121" s="3"/>
      <c r="I121" s="3"/>
      <c r="J121" s="3">
        <v>29</v>
      </c>
      <c r="K121" s="3">
        <v>29</v>
      </c>
      <c r="L121" s="3">
        <v>0</v>
      </c>
      <c r="M121" s="3">
        <v>0</v>
      </c>
      <c r="N121" s="3">
        <v>29</v>
      </c>
      <c r="O121" s="3"/>
      <c r="P121" s="3">
        <v>0</v>
      </c>
      <c r="Q121" s="3">
        <v>0</v>
      </c>
      <c r="R121" s="3">
        <v>0</v>
      </c>
    </row>
    <row r="122" spans="1:18">
      <c r="A122" s="3" t="s">
        <v>299</v>
      </c>
      <c r="B122" s="3" t="s">
        <v>300</v>
      </c>
      <c r="C122" s="3" t="s">
        <v>300</v>
      </c>
      <c r="D122" s="3"/>
      <c r="E122" s="3" t="s">
        <v>20</v>
      </c>
      <c r="F122" s="3"/>
      <c r="G122" s="3"/>
      <c r="H122" s="3"/>
      <c r="I122" s="3"/>
      <c r="J122" s="3">
        <v>10</v>
      </c>
      <c r="K122" s="3">
        <v>10</v>
      </c>
      <c r="L122" s="3">
        <v>0</v>
      </c>
      <c r="M122" s="3">
        <v>0</v>
      </c>
      <c r="N122" s="3">
        <v>10</v>
      </c>
      <c r="O122" s="3"/>
      <c r="P122" s="3">
        <v>0</v>
      </c>
      <c r="Q122" s="3">
        <v>0</v>
      </c>
      <c r="R122" s="3">
        <v>0</v>
      </c>
    </row>
    <row r="123" spans="1:18">
      <c r="A123" s="3" t="s">
        <v>301</v>
      </c>
      <c r="B123" s="3" t="s">
        <v>302</v>
      </c>
      <c r="C123" s="3" t="s">
        <v>302</v>
      </c>
      <c r="D123" s="3"/>
      <c r="E123" s="3" t="s">
        <v>20</v>
      </c>
      <c r="F123" s="3"/>
      <c r="G123" s="3"/>
      <c r="H123" s="3"/>
      <c r="I123" s="3"/>
      <c r="J123" s="3">
        <v>27</v>
      </c>
      <c r="K123" s="3">
        <v>27</v>
      </c>
      <c r="L123" s="3">
        <v>0</v>
      </c>
      <c r="M123" s="3">
        <v>0</v>
      </c>
      <c r="N123" s="3">
        <v>27</v>
      </c>
      <c r="O123" s="3"/>
      <c r="P123" s="3">
        <v>0</v>
      </c>
      <c r="Q123" s="3">
        <v>0</v>
      </c>
      <c r="R123" s="3">
        <v>0</v>
      </c>
    </row>
    <row r="124" spans="1:18">
      <c r="A124" s="3" t="s">
        <v>303</v>
      </c>
      <c r="B124" s="3" t="s">
        <v>304</v>
      </c>
      <c r="C124" s="3" t="s">
        <v>304</v>
      </c>
      <c r="D124" s="3"/>
      <c r="E124" s="3" t="s">
        <v>20</v>
      </c>
      <c r="F124" s="3"/>
      <c r="G124" s="3"/>
      <c r="H124" s="3"/>
      <c r="I124" s="3"/>
      <c r="J124" s="3">
        <v>20</v>
      </c>
      <c r="K124" s="3">
        <v>20</v>
      </c>
      <c r="L124" s="3">
        <v>0</v>
      </c>
      <c r="M124" s="3">
        <v>0</v>
      </c>
      <c r="N124" s="3">
        <v>20</v>
      </c>
      <c r="O124" s="3"/>
      <c r="P124" s="3">
        <v>0</v>
      </c>
      <c r="Q124" s="3">
        <v>0</v>
      </c>
      <c r="R124" s="3">
        <v>0</v>
      </c>
    </row>
    <row r="125" spans="1:18">
      <c r="A125" s="3" t="s">
        <v>305</v>
      </c>
      <c r="B125" s="3" t="s">
        <v>306</v>
      </c>
      <c r="C125" s="3" t="s">
        <v>306</v>
      </c>
      <c r="D125" s="3"/>
      <c r="E125" s="3" t="s">
        <v>20</v>
      </c>
      <c r="F125" s="3"/>
      <c r="G125" s="3"/>
      <c r="H125" s="3"/>
      <c r="I125" s="3"/>
      <c r="J125" s="3">
        <v>16</v>
      </c>
      <c r="K125" s="3">
        <v>16</v>
      </c>
      <c r="L125" s="3">
        <v>0</v>
      </c>
      <c r="M125" s="3">
        <v>0</v>
      </c>
      <c r="N125" s="3">
        <v>16</v>
      </c>
      <c r="O125" s="3"/>
      <c r="P125" s="3">
        <v>0</v>
      </c>
      <c r="Q125" s="3">
        <v>0</v>
      </c>
      <c r="R125" s="3">
        <v>0</v>
      </c>
    </row>
    <row r="126" spans="1:18">
      <c r="A126" s="3" t="s">
        <v>307</v>
      </c>
      <c r="B126" s="3" t="s">
        <v>308</v>
      </c>
      <c r="C126" s="3" t="s">
        <v>308</v>
      </c>
      <c r="D126" s="3"/>
      <c r="E126" s="3" t="s">
        <v>20</v>
      </c>
      <c r="F126" s="3"/>
      <c r="G126" s="3"/>
      <c r="H126" s="3"/>
      <c r="I126" s="3"/>
      <c r="J126" s="3">
        <v>23</v>
      </c>
      <c r="K126" s="3">
        <v>23</v>
      </c>
      <c r="L126" s="3">
        <v>0</v>
      </c>
      <c r="M126" s="3">
        <v>0</v>
      </c>
      <c r="N126" s="3">
        <v>23</v>
      </c>
      <c r="O126" s="3"/>
      <c r="P126" s="3">
        <v>0</v>
      </c>
      <c r="Q126" s="3">
        <v>0</v>
      </c>
      <c r="R126" s="3">
        <v>0</v>
      </c>
    </row>
    <row r="127" spans="1:18">
      <c r="A127" s="3" t="s">
        <v>309</v>
      </c>
      <c r="B127" s="3" t="s">
        <v>310</v>
      </c>
      <c r="C127" s="3" t="s">
        <v>310</v>
      </c>
      <c r="D127" s="3"/>
      <c r="E127" s="3" t="s">
        <v>20</v>
      </c>
      <c r="F127" s="3"/>
      <c r="G127" s="3"/>
      <c r="H127" s="3"/>
      <c r="I127" s="3"/>
      <c r="J127" s="3">
        <v>26</v>
      </c>
      <c r="K127" s="3">
        <v>24</v>
      </c>
      <c r="L127" s="3">
        <v>0</v>
      </c>
      <c r="M127" s="3">
        <v>2</v>
      </c>
      <c r="N127" s="3">
        <v>36</v>
      </c>
      <c r="O127" s="3"/>
      <c r="P127" s="3">
        <v>0</v>
      </c>
      <c r="Q127" s="3">
        <v>0</v>
      </c>
      <c r="R127" s="3">
        <v>10</v>
      </c>
    </row>
    <row r="128" spans="1:18">
      <c r="A128" s="3" t="s">
        <v>311</v>
      </c>
      <c r="B128" s="3" t="s">
        <v>312</v>
      </c>
      <c r="C128" s="3" t="s">
        <v>312</v>
      </c>
      <c r="D128" s="3"/>
      <c r="E128" s="3" t="s">
        <v>20</v>
      </c>
      <c r="F128" s="3"/>
      <c r="G128" s="3"/>
      <c r="H128" s="3"/>
      <c r="I128" s="3"/>
      <c r="J128" s="3">
        <v>19</v>
      </c>
      <c r="K128" s="3">
        <v>17</v>
      </c>
      <c r="L128" s="3">
        <v>0</v>
      </c>
      <c r="M128" s="3">
        <v>2</v>
      </c>
      <c r="N128" s="3">
        <v>19</v>
      </c>
      <c r="O128" s="3"/>
      <c r="P128" s="3">
        <v>0</v>
      </c>
      <c r="Q128" s="3">
        <v>0</v>
      </c>
      <c r="R128" s="3">
        <v>0</v>
      </c>
    </row>
    <row r="129" spans="1:18">
      <c r="A129" s="3" t="s">
        <v>313</v>
      </c>
      <c r="B129" s="3" t="s">
        <v>314</v>
      </c>
      <c r="C129" s="3" t="s">
        <v>314</v>
      </c>
      <c r="D129" s="3" t="s">
        <v>315</v>
      </c>
      <c r="E129" s="3" t="s">
        <v>120</v>
      </c>
      <c r="F129" s="3">
        <v>24.98</v>
      </c>
      <c r="G129" s="3" t="s">
        <v>121</v>
      </c>
      <c r="H129" s="3"/>
      <c r="I129" s="3" t="s">
        <v>122</v>
      </c>
      <c r="J129" s="3">
        <v>7</v>
      </c>
      <c r="K129" s="3">
        <v>7</v>
      </c>
      <c r="L129" s="3">
        <v>0</v>
      </c>
      <c r="M129" s="3">
        <v>0</v>
      </c>
      <c r="N129" s="3">
        <v>7</v>
      </c>
      <c r="O129" s="3">
        <v>0.06</v>
      </c>
      <c r="P129" s="3">
        <v>0</v>
      </c>
      <c r="Q129" s="3">
        <v>0</v>
      </c>
      <c r="R129" s="3">
        <v>0</v>
      </c>
    </row>
    <row r="130" spans="1:18">
      <c r="A130" s="3" t="s">
        <v>316</v>
      </c>
      <c r="B130" s="3" t="s">
        <v>317</v>
      </c>
      <c r="C130" s="3" t="s">
        <v>317</v>
      </c>
      <c r="D130" s="3"/>
      <c r="E130" s="3" t="s">
        <v>20</v>
      </c>
      <c r="F130" s="3"/>
      <c r="G130" s="3"/>
      <c r="H130" s="3"/>
      <c r="I130" s="3"/>
      <c r="J130" s="3">
        <v>0</v>
      </c>
      <c r="K130" s="3">
        <v>0</v>
      </c>
      <c r="L130" s="3">
        <v>0</v>
      </c>
      <c r="M130" s="3">
        <v>0</v>
      </c>
      <c r="N130" s="3">
        <v>0</v>
      </c>
      <c r="O130" s="3"/>
      <c r="P130" s="3">
        <v>0</v>
      </c>
      <c r="Q130" s="3">
        <v>0</v>
      </c>
      <c r="R130" s="3">
        <v>0</v>
      </c>
    </row>
    <row r="131" spans="1:18">
      <c r="A131" s="3" t="s">
        <v>318</v>
      </c>
      <c r="B131" s="3" t="s">
        <v>319</v>
      </c>
      <c r="C131" s="3" t="s">
        <v>319</v>
      </c>
      <c r="D131" s="3"/>
      <c r="E131" s="3" t="s">
        <v>20</v>
      </c>
      <c r="F131" s="3"/>
      <c r="G131" s="3"/>
      <c r="H131" s="3"/>
      <c r="I131" s="3"/>
      <c r="J131" s="3">
        <v>19</v>
      </c>
      <c r="K131" s="3">
        <v>19</v>
      </c>
      <c r="L131" s="3">
        <v>0</v>
      </c>
      <c r="M131" s="3">
        <v>0</v>
      </c>
      <c r="N131" s="3">
        <v>19</v>
      </c>
      <c r="O131" s="3"/>
      <c r="P131" s="3">
        <v>0</v>
      </c>
      <c r="Q131" s="3">
        <v>0</v>
      </c>
      <c r="R131" s="3">
        <v>0</v>
      </c>
    </row>
    <row r="132" spans="1:18">
      <c r="A132" s="3" t="s">
        <v>320</v>
      </c>
      <c r="B132" s="3" t="s">
        <v>321</v>
      </c>
      <c r="C132" s="3" t="s">
        <v>321</v>
      </c>
      <c r="D132" s="3"/>
      <c r="E132" s="3" t="s">
        <v>20</v>
      </c>
      <c r="F132" s="3"/>
      <c r="G132" s="3"/>
      <c r="H132" s="3"/>
      <c r="I132" s="3"/>
      <c r="J132" s="3">
        <v>3</v>
      </c>
      <c r="K132" s="3">
        <v>3</v>
      </c>
      <c r="L132" s="3">
        <v>0</v>
      </c>
      <c r="M132" s="3">
        <v>0</v>
      </c>
      <c r="N132" s="3">
        <v>3</v>
      </c>
      <c r="O132" s="3"/>
      <c r="P132" s="3">
        <v>0</v>
      </c>
      <c r="Q132" s="3">
        <v>0</v>
      </c>
      <c r="R132" s="3">
        <v>0</v>
      </c>
    </row>
    <row r="133" spans="1:18">
      <c r="A133" s="3" t="s">
        <v>322</v>
      </c>
      <c r="B133" s="3" t="s">
        <v>323</v>
      </c>
      <c r="C133" s="3" t="s">
        <v>323</v>
      </c>
      <c r="D133" s="3"/>
      <c r="E133" s="3" t="s">
        <v>20</v>
      </c>
      <c r="F133" s="3"/>
      <c r="G133" s="3"/>
      <c r="H133" s="3"/>
      <c r="I133" s="3"/>
      <c r="J133" s="3">
        <v>16</v>
      </c>
      <c r="K133" s="3">
        <v>16</v>
      </c>
      <c r="L133" s="3">
        <v>0</v>
      </c>
      <c r="M133" s="3">
        <v>0</v>
      </c>
      <c r="N133" s="3">
        <v>16</v>
      </c>
      <c r="O133" s="3"/>
      <c r="P133" s="3">
        <v>0</v>
      </c>
      <c r="Q133" s="3">
        <v>0</v>
      </c>
      <c r="R133" s="3">
        <v>0</v>
      </c>
    </row>
    <row r="134" spans="1:18">
      <c r="A134" s="3" t="s">
        <v>324</v>
      </c>
      <c r="B134" s="3" t="s">
        <v>325</v>
      </c>
      <c r="C134" s="3" t="s">
        <v>325</v>
      </c>
      <c r="D134" s="3"/>
      <c r="E134" s="3" t="s">
        <v>20</v>
      </c>
      <c r="F134" s="3"/>
      <c r="G134" s="3"/>
      <c r="H134" s="3"/>
      <c r="I134" s="3"/>
      <c r="J134" s="3">
        <v>34</v>
      </c>
      <c r="K134" s="3">
        <v>34</v>
      </c>
      <c r="L134" s="3">
        <v>0</v>
      </c>
      <c r="M134" s="3">
        <v>0</v>
      </c>
      <c r="N134" s="3">
        <v>34</v>
      </c>
      <c r="O134" s="3"/>
      <c r="P134" s="3">
        <v>0</v>
      </c>
      <c r="Q134" s="3">
        <v>0</v>
      </c>
      <c r="R134" s="3">
        <v>0</v>
      </c>
    </row>
    <row r="135" spans="1:18">
      <c r="A135" s="3" t="s">
        <v>326</v>
      </c>
      <c r="B135" s="3" t="s">
        <v>327</v>
      </c>
      <c r="C135" s="3" t="s">
        <v>327</v>
      </c>
      <c r="D135" s="3"/>
      <c r="E135" s="3" t="s">
        <v>20</v>
      </c>
      <c r="F135" s="3"/>
      <c r="G135" s="3"/>
      <c r="H135" s="3"/>
      <c r="I135" s="3"/>
      <c r="J135" s="3">
        <v>23</v>
      </c>
      <c r="K135" s="3">
        <v>23</v>
      </c>
      <c r="L135" s="3">
        <v>0</v>
      </c>
      <c r="M135" s="3">
        <v>0</v>
      </c>
      <c r="N135" s="3">
        <v>23</v>
      </c>
      <c r="O135" s="3"/>
      <c r="P135" s="3">
        <v>0</v>
      </c>
      <c r="Q135" s="3">
        <v>0</v>
      </c>
      <c r="R135" s="3">
        <v>0</v>
      </c>
    </row>
    <row r="136" spans="1:18">
      <c r="A136" s="3" t="s">
        <v>328</v>
      </c>
      <c r="B136" s="3" t="s">
        <v>329</v>
      </c>
      <c r="C136" s="3" t="s">
        <v>329</v>
      </c>
      <c r="D136" s="3" t="s">
        <v>330</v>
      </c>
      <c r="E136" s="3" t="s">
        <v>120</v>
      </c>
      <c r="F136" s="3">
        <v>22.98</v>
      </c>
      <c r="G136" s="3" t="s">
        <v>121</v>
      </c>
      <c r="H136" s="3"/>
      <c r="I136" s="3" t="s">
        <v>122</v>
      </c>
      <c r="J136" s="3">
        <v>32</v>
      </c>
      <c r="K136" s="3">
        <v>32</v>
      </c>
      <c r="L136" s="3">
        <v>0</v>
      </c>
      <c r="M136" s="3">
        <v>0</v>
      </c>
      <c r="N136" s="3">
        <v>32</v>
      </c>
      <c r="O136" s="3">
        <v>0.15</v>
      </c>
      <c r="P136" s="3">
        <v>0</v>
      </c>
      <c r="Q136" s="3">
        <v>0</v>
      </c>
      <c r="R136" s="3">
        <v>0</v>
      </c>
    </row>
    <row r="137" spans="1:18">
      <c r="A137" s="3" t="s">
        <v>331</v>
      </c>
      <c r="B137" s="3" t="s">
        <v>332</v>
      </c>
      <c r="C137" s="3" t="s">
        <v>332</v>
      </c>
      <c r="D137" s="3"/>
      <c r="E137" s="3" t="s">
        <v>20</v>
      </c>
      <c r="F137" s="3"/>
      <c r="G137" s="3"/>
      <c r="H137" s="3"/>
      <c r="I137" s="3"/>
      <c r="J137" s="3">
        <v>6</v>
      </c>
      <c r="K137" s="3">
        <v>6</v>
      </c>
      <c r="L137" s="3">
        <v>0</v>
      </c>
      <c r="M137" s="3">
        <v>0</v>
      </c>
      <c r="N137" s="3">
        <v>6</v>
      </c>
      <c r="O137" s="3"/>
      <c r="P137" s="3">
        <v>0</v>
      </c>
      <c r="Q137" s="3">
        <v>0</v>
      </c>
      <c r="R137" s="3">
        <v>0</v>
      </c>
    </row>
    <row r="138" spans="1:18">
      <c r="A138" s="3" t="s">
        <v>333</v>
      </c>
      <c r="B138" s="3" t="s">
        <v>334</v>
      </c>
      <c r="C138" s="3" t="s">
        <v>334</v>
      </c>
      <c r="D138" s="3"/>
      <c r="E138" s="3" t="s">
        <v>20</v>
      </c>
      <c r="F138" s="3"/>
      <c r="G138" s="3"/>
      <c r="H138" s="3"/>
      <c r="I138" s="3"/>
      <c r="J138" s="3">
        <v>2</v>
      </c>
      <c r="K138" s="3">
        <v>2</v>
      </c>
      <c r="L138" s="3">
        <v>0</v>
      </c>
      <c r="M138" s="3">
        <v>0</v>
      </c>
      <c r="N138" s="3">
        <v>2</v>
      </c>
      <c r="O138" s="3"/>
      <c r="P138" s="3">
        <v>0</v>
      </c>
      <c r="Q138" s="3">
        <v>0</v>
      </c>
      <c r="R138" s="3">
        <v>0</v>
      </c>
    </row>
    <row r="139" spans="1:18">
      <c r="A139" s="3" t="s">
        <v>335</v>
      </c>
      <c r="B139" s="3" t="s">
        <v>336</v>
      </c>
      <c r="C139" s="3" t="s">
        <v>336</v>
      </c>
      <c r="D139" s="3"/>
      <c r="E139" s="3" t="s">
        <v>20</v>
      </c>
      <c r="F139" s="3"/>
      <c r="G139" s="3"/>
      <c r="H139" s="3"/>
      <c r="I139" s="3"/>
      <c r="J139" s="3">
        <v>3</v>
      </c>
      <c r="K139" s="3">
        <v>3</v>
      </c>
      <c r="L139" s="3">
        <v>0</v>
      </c>
      <c r="M139" s="3">
        <v>0</v>
      </c>
      <c r="N139" s="3">
        <v>3</v>
      </c>
      <c r="O139" s="3"/>
      <c r="P139" s="3">
        <v>0</v>
      </c>
      <c r="Q139" s="3">
        <v>0</v>
      </c>
      <c r="R139" s="3">
        <v>0</v>
      </c>
    </row>
    <row r="140" spans="1:18">
      <c r="A140" s="3" t="s">
        <v>337</v>
      </c>
      <c r="B140" s="3" t="s">
        <v>338</v>
      </c>
      <c r="C140" s="3" t="s">
        <v>338</v>
      </c>
      <c r="D140" s="3"/>
      <c r="E140" s="3" t="s">
        <v>20</v>
      </c>
      <c r="F140" s="3"/>
      <c r="G140" s="3"/>
      <c r="H140" s="3"/>
      <c r="I140" s="3"/>
      <c r="J140" s="3">
        <v>0</v>
      </c>
      <c r="K140" s="3">
        <v>0</v>
      </c>
      <c r="L140" s="3">
        <v>0</v>
      </c>
      <c r="M140" s="3">
        <v>0</v>
      </c>
      <c r="N140" s="3">
        <v>0</v>
      </c>
      <c r="O140" s="3"/>
      <c r="P140" s="3">
        <v>0</v>
      </c>
      <c r="Q140" s="3">
        <v>0</v>
      </c>
      <c r="R140" s="3">
        <v>0</v>
      </c>
    </row>
    <row r="141" spans="1:18">
      <c r="A141" s="3" t="s">
        <v>339</v>
      </c>
      <c r="B141" s="3" t="s">
        <v>340</v>
      </c>
      <c r="C141" s="3" t="s">
        <v>340</v>
      </c>
      <c r="D141" s="3"/>
      <c r="E141" s="3" t="s">
        <v>20</v>
      </c>
      <c r="F141" s="3"/>
      <c r="G141" s="3"/>
      <c r="H141" s="3"/>
      <c r="I141" s="3"/>
      <c r="J141" s="3">
        <v>8</v>
      </c>
      <c r="K141" s="3">
        <v>8</v>
      </c>
      <c r="L141" s="3">
        <v>0</v>
      </c>
      <c r="M141" s="3">
        <v>0</v>
      </c>
      <c r="N141" s="3">
        <v>8</v>
      </c>
      <c r="O141" s="3"/>
      <c r="P141" s="3">
        <v>0</v>
      </c>
      <c r="Q141" s="3">
        <v>0</v>
      </c>
      <c r="R141" s="3">
        <v>0</v>
      </c>
    </row>
    <row r="142" spans="1:18">
      <c r="A142" s="3" t="s">
        <v>341</v>
      </c>
      <c r="B142" s="3" t="s">
        <v>342</v>
      </c>
      <c r="C142" s="3" t="s">
        <v>342</v>
      </c>
      <c r="D142" s="3"/>
      <c r="E142" s="3" t="s">
        <v>20</v>
      </c>
      <c r="F142" s="3"/>
      <c r="G142" s="3"/>
      <c r="H142" s="3"/>
      <c r="I142" s="3"/>
      <c r="J142" s="3">
        <v>3</v>
      </c>
      <c r="K142" s="3">
        <v>3</v>
      </c>
      <c r="L142" s="3">
        <v>0</v>
      </c>
      <c r="M142" s="3">
        <v>0</v>
      </c>
      <c r="N142" s="3">
        <v>3</v>
      </c>
      <c r="O142" s="3"/>
      <c r="P142" s="3">
        <v>0</v>
      </c>
      <c r="Q142" s="3">
        <v>0</v>
      </c>
      <c r="R142" s="3">
        <v>0</v>
      </c>
    </row>
    <row r="143" spans="1:18">
      <c r="A143" s="3" t="s">
        <v>343</v>
      </c>
      <c r="B143" s="3" t="s">
        <v>344</v>
      </c>
      <c r="C143" s="3" t="s">
        <v>344</v>
      </c>
      <c r="D143" s="3" t="s">
        <v>345</v>
      </c>
      <c r="E143" s="3" t="s">
        <v>120</v>
      </c>
      <c r="F143" s="3">
        <v>26.98</v>
      </c>
      <c r="G143" s="3" t="s">
        <v>121</v>
      </c>
      <c r="H143" s="3"/>
      <c r="I143" s="3" t="s">
        <v>122</v>
      </c>
      <c r="J143" s="3">
        <v>18</v>
      </c>
      <c r="K143" s="3">
        <v>18</v>
      </c>
      <c r="L143" s="3">
        <v>0</v>
      </c>
      <c r="M143" s="3">
        <v>0</v>
      </c>
      <c r="N143" s="3">
        <v>18</v>
      </c>
      <c r="O143" s="3">
        <v>0.06</v>
      </c>
      <c r="P143" s="3">
        <v>0</v>
      </c>
      <c r="Q143" s="3">
        <v>0</v>
      </c>
      <c r="R143" s="3">
        <v>0</v>
      </c>
    </row>
    <row r="144" spans="1:18">
      <c r="A144" s="3" t="s">
        <v>346</v>
      </c>
      <c r="B144" s="3" t="s">
        <v>347</v>
      </c>
      <c r="C144" s="3" t="s">
        <v>347</v>
      </c>
      <c r="D144" s="3" t="s">
        <v>348</v>
      </c>
      <c r="E144" s="3" t="s">
        <v>120</v>
      </c>
      <c r="F144" s="3">
        <v>26.98</v>
      </c>
      <c r="G144" s="3" t="s">
        <v>121</v>
      </c>
      <c r="H144" s="3"/>
      <c r="I144" s="3" t="s">
        <v>122</v>
      </c>
      <c r="J144" s="3">
        <v>0</v>
      </c>
      <c r="K144" s="3">
        <v>0</v>
      </c>
      <c r="L144" s="3">
        <v>0</v>
      </c>
      <c r="M144" s="3">
        <v>0</v>
      </c>
      <c r="N144" s="3">
        <v>0</v>
      </c>
      <c r="O144" s="3">
        <v>0.06</v>
      </c>
      <c r="P144" s="3">
        <v>0</v>
      </c>
      <c r="Q144" s="3">
        <v>0</v>
      </c>
      <c r="R144" s="3">
        <v>0</v>
      </c>
    </row>
    <row r="145" spans="1:18">
      <c r="A145" s="3" t="s">
        <v>349</v>
      </c>
      <c r="B145" s="3" t="s">
        <v>350</v>
      </c>
      <c r="C145" s="3" t="s">
        <v>350</v>
      </c>
      <c r="D145" s="3"/>
      <c r="E145" s="3" t="s">
        <v>20</v>
      </c>
      <c r="F145" s="3"/>
      <c r="G145" s="3"/>
      <c r="H145" s="3"/>
      <c r="I145" s="3"/>
      <c r="J145" s="3">
        <v>11</v>
      </c>
      <c r="K145" s="3">
        <v>11</v>
      </c>
      <c r="L145" s="3">
        <v>0</v>
      </c>
      <c r="M145" s="3">
        <v>0</v>
      </c>
      <c r="N145" s="3">
        <v>11</v>
      </c>
      <c r="O145" s="3"/>
      <c r="P145" s="3">
        <v>0</v>
      </c>
      <c r="Q145" s="3">
        <v>0</v>
      </c>
      <c r="R145" s="3">
        <v>0</v>
      </c>
    </row>
    <row r="146" spans="1:18">
      <c r="A146" s="3" t="s">
        <v>351</v>
      </c>
      <c r="B146" s="3" t="s">
        <v>352</v>
      </c>
      <c r="C146" s="3" t="s">
        <v>352</v>
      </c>
      <c r="D146" s="3"/>
      <c r="E146" s="3" t="s">
        <v>20</v>
      </c>
      <c r="F146" s="3"/>
      <c r="G146" s="3"/>
      <c r="H146" s="3"/>
      <c r="I146" s="3"/>
      <c r="J146" s="3">
        <v>2</v>
      </c>
      <c r="K146" s="3">
        <v>2</v>
      </c>
      <c r="L146" s="3">
        <v>0</v>
      </c>
      <c r="M146" s="3">
        <v>0</v>
      </c>
      <c r="N146" s="3">
        <v>2</v>
      </c>
      <c r="O146" s="3"/>
      <c r="P146" s="3">
        <v>0</v>
      </c>
      <c r="Q146" s="3">
        <v>0</v>
      </c>
      <c r="R146" s="3">
        <v>0</v>
      </c>
    </row>
    <row r="147" spans="1:18">
      <c r="A147" s="3" t="s">
        <v>353</v>
      </c>
      <c r="B147" s="3" t="s">
        <v>354</v>
      </c>
      <c r="C147" s="3" t="s">
        <v>354</v>
      </c>
      <c r="D147" s="3"/>
      <c r="E147" s="3" t="s">
        <v>20</v>
      </c>
      <c r="F147" s="3"/>
      <c r="G147" s="3"/>
      <c r="H147" s="3"/>
      <c r="I147" s="3"/>
      <c r="J147" s="3">
        <v>10</v>
      </c>
      <c r="K147" s="3">
        <v>10</v>
      </c>
      <c r="L147" s="3">
        <v>0</v>
      </c>
      <c r="M147" s="3">
        <v>0</v>
      </c>
      <c r="N147" s="3">
        <v>10</v>
      </c>
      <c r="O147" s="3"/>
      <c r="P147" s="3">
        <v>0</v>
      </c>
      <c r="Q147" s="3">
        <v>0</v>
      </c>
      <c r="R147" s="3">
        <v>0</v>
      </c>
    </row>
    <row r="148" spans="1:18">
      <c r="A148" s="3" t="s">
        <v>355</v>
      </c>
      <c r="B148" s="3" t="s">
        <v>356</v>
      </c>
      <c r="C148" s="3" t="s">
        <v>356</v>
      </c>
      <c r="D148" s="3"/>
      <c r="E148" s="3" t="s">
        <v>20</v>
      </c>
      <c r="F148" s="3"/>
      <c r="G148" s="3"/>
      <c r="H148" s="3"/>
      <c r="I148" s="3"/>
      <c r="J148" s="3">
        <v>6</v>
      </c>
      <c r="K148" s="3">
        <v>6</v>
      </c>
      <c r="L148" s="3">
        <v>0</v>
      </c>
      <c r="M148" s="3">
        <v>0</v>
      </c>
      <c r="N148" s="3">
        <v>6</v>
      </c>
      <c r="O148" s="3"/>
      <c r="P148" s="3">
        <v>0</v>
      </c>
      <c r="Q148" s="3">
        <v>0</v>
      </c>
      <c r="R148" s="3">
        <v>0</v>
      </c>
    </row>
    <row r="149" spans="1:18">
      <c r="A149" s="3" t="s">
        <v>357</v>
      </c>
      <c r="B149" s="3" t="s">
        <v>358</v>
      </c>
      <c r="C149" s="3" t="s">
        <v>358</v>
      </c>
      <c r="D149" s="3"/>
      <c r="E149" s="3" t="s">
        <v>20</v>
      </c>
      <c r="F149" s="3"/>
      <c r="G149" s="3"/>
      <c r="H149" s="3"/>
      <c r="I149" s="3"/>
      <c r="J149" s="3">
        <v>8</v>
      </c>
      <c r="K149" s="3">
        <v>8</v>
      </c>
      <c r="L149" s="3">
        <v>0</v>
      </c>
      <c r="M149" s="3">
        <v>0</v>
      </c>
      <c r="N149" s="3">
        <v>8</v>
      </c>
      <c r="O149" s="3"/>
      <c r="P149" s="3">
        <v>0</v>
      </c>
      <c r="Q149" s="3">
        <v>0</v>
      </c>
      <c r="R149" s="3">
        <v>0</v>
      </c>
    </row>
    <row r="150" spans="1:18">
      <c r="A150" s="3" t="s">
        <v>359</v>
      </c>
      <c r="B150" s="3" t="s">
        <v>360</v>
      </c>
      <c r="C150" s="3" t="s">
        <v>360</v>
      </c>
      <c r="D150" s="3"/>
      <c r="E150" s="3" t="s">
        <v>20</v>
      </c>
      <c r="F150" s="3"/>
      <c r="G150" s="3"/>
      <c r="H150" s="3"/>
      <c r="I150" s="3"/>
      <c r="J150" s="3">
        <v>9</v>
      </c>
      <c r="K150" s="3">
        <v>9</v>
      </c>
      <c r="L150" s="3">
        <v>0</v>
      </c>
      <c r="M150" s="3">
        <v>0</v>
      </c>
      <c r="N150" s="3">
        <v>9</v>
      </c>
      <c r="O150" s="3"/>
      <c r="P150" s="3">
        <v>0</v>
      </c>
      <c r="Q150" s="3">
        <v>0</v>
      </c>
      <c r="R150" s="3">
        <v>0</v>
      </c>
    </row>
    <row r="151" spans="1:18">
      <c r="A151" s="3" t="s">
        <v>361</v>
      </c>
      <c r="B151" s="3" t="s">
        <v>362</v>
      </c>
      <c r="C151" s="3" t="s">
        <v>362</v>
      </c>
      <c r="D151" s="3"/>
      <c r="E151" s="3" t="s">
        <v>20</v>
      </c>
      <c r="F151" s="3"/>
      <c r="G151" s="3"/>
      <c r="H151" s="3"/>
      <c r="I151" s="3"/>
      <c r="J151" s="3">
        <v>9</v>
      </c>
      <c r="K151" s="3">
        <v>9</v>
      </c>
      <c r="L151" s="3">
        <v>0</v>
      </c>
      <c r="M151" s="3">
        <v>0</v>
      </c>
      <c r="N151" s="3">
        <v>9</v>
      </c>
      <c r="O151" s="3"/>
      <c r="P151" s="3">
        <v>0</v>
      </c>
      <c r="Q151" s="3">
        <v>0</v>
      </c>
      <c r="R151" s="3">
        <v>0</v>
      </c>
    </row>
    <row r="152" spans="1:18">
      <c r="A152" s="3" t="s">
        <v>363</v>
      </c>
      <c r="B152" s="3" t="s">
        <v>364</v>
      </c>
      <c r="C152" s="3" t="s">
        <v>364</v>
      </c>
      <c r="D152" s="3"/>
      <c r="E152" s="3" t="s">
        <v>20</v>
      </c>
      <c r="F152" s="3"/>
      <c r="G152" s="3"/>
      <c r="H152" s="3"/>
      <c r="I152" s="3"/>
      <c r="J152" s="3">
        <v>0</v>
      </c>
      <c r="K152" s="3">
        <v>0</v>
      </c>
      <c r="L152" s="3">
        <v>0</v>
      </c>
      <c r="M152" s="3">
        <v>0</v>
      </c>
      <c r="N152" s="3">
        <v>0</v>
      </c>
      <c r="O152" s="3"/>
      <c r="P152" s="3">
        <v>0</v>
      </c>
      <c r="Q152" s="3">
        <v>0</v>
      </c>
      <c r="R152" s="3">
        <v>0</v>
      </c>
    </row>
    <row r="153" spans="1:18">
      <c r="A153" s="3" t="s">
        <v>365</v>
      </c>
      <c r="B153" s="3" t="s">
        <v>366</v>
      </c>
      <c r="C153" s="3" t="s">
        <v>367</v>
      </c>
      <c r="D153" s="3" t="s">
        <v>368</v>
      </c>
      <c r="E153" s="3" t="s">
        <v>120</v>
      </c>
      <c r="F153" s="3">
        <v>22.98</v>
      </c>
      <c r="G153" s="3" t="s">
        <v>121</v>
      </c>
      <c r="H153" s="3"/>
      <c r="I153" s="3" t="s">
        <v>122</v>
      </c>
      <c r="J153" s="3">
        <v>23</v>
      </c>
      <c r="K153" s="3">
        <v>19</v>
      </c>
      <c r="L153" s="3">
        <v>0</v>
      </c>
      <c r="M153" s="3">
        <v>4</v>
      </c>
      <c r="N153" s="3">
        <v>63</v>
      </c>
      <c r="O153" s="3">
        <v>0.04</v>
      </c>
      <c r="P153" s="3">
        <v>0</v>
      </c>
      <c r="Q153" s="3">
        <v>40</v>
      </c>
      <c r="R153" s="3">
        <v>0</v>
      </c>
    </row>
    <row r="154" spans="1:18">
      <c r="A154" s="3" t="s">
        <v>369</v>
      </c>
      <c r="B154" s="3" t="s">
        <v>370</v>
      </c>
      <c r="C154" s="3" t="s">
        <v>371</v>
      </c>
      <c r="D154" s="3" t="s">
        <v>372</v>
      </c>
      <c r="E154" s="3" t="s">
        <v>120</v>
      </c>
      <c r="F154" s="3">
        <v>22.98</v>
      </c>
      <c r="G154" s="3" t="s">
        <v>121</v>
      </c>
      <c r="H154" s="3"/>
      <c r="I154" s="3" t="s">
        <v>122</v>
      </c>
      <c r="J154" s="3">
        <v>30</v>
      </c>
      <c r="K154" s="3">
        <v>27</v>
      </c>
      <c r="L154" s="3">
        <v>0</v>
      </c>
      <c r="M154" s="3">
        <v>3</v>
      </c>
      <c r="N154" s="3">
        <v>50</v>
      </c>
      <c r="O154" s="3">
        <v>0.04</v>
      </c>
      <c r="P154" s="3">
        <v>0</v>
      </c>
      <c r="Q154" s="3">
        <v>20</v>
      </c>
      <c r="R154" s="3">
        <v>0</v>
      </c>
    </row>
    <row r="155" spans="1:18">
      <c r="A155" s="3" t="s">
        <v>373</v>
      </c>
      <c r="B155" s="3" t="s">
        <v>374</v>
      </c>
      <c r="C155" s="3" t="s">
        <v>375</v>
      </c>
      <c r="D155" s="3" t="s">
        <v>376</v>
      </c>
      <c r="E155" s="3" t="s">
        <v>120</v>
      </c>
      <c r="F155" s="3">
        <v>22.98</v>
      </c>
      <c r="G155" s="3" t="s">
        <v>121</v>
      </c>
      <c r="H155" s="3"/>
      <c r="I155" s="3" t="s">
        <v>122</v>
      </c>
      <c r="J155" s="3">
        <v>0</v>
      </c>
      <c r="K155" s="3">
        <v>0</v>
      </c>
      <c r="L155" s="3">
        <v>0</v>
      </c>
      <c r="M155" s="3">
        <v>0</v>
      </c>
      <c r="N155" s="3">
        <v>0</v>
      </c>
      <c r="O155" s="3">
        <v>0.04</v>
      </c>
      <c r="P155" s="3">
        <v>0</v>
      </c>
      <c r="Q155" s="3">
        <v>0</v>
      </c>
      <c r="R155" s="3">
        <v>0</v>
      </c>
    </row>
    <row r="156" spans="1:18">
      <c r="A156" s="3" t="s">
        <v>377</v>
      </c>
      <c r="B156" s="3" t="s">
        <v>378</v>
      </c>
      <c r="C156" s="3" t="s">
        <v>379</v>
      </c>
      <c r="D156" s="3" t="s">
        <v>380</v>
      </c>
      <c r="E156" s="3" t="s">
        <v>120</v>
      </c>
      <c r="F156" s="3">
        <v>23.98</v>
      </c>
      <c r="G156" s="3" t="s">
        <v>121</v>
      </c>
      <c r="H156" s="3"/>
      <c r="I156" s="3" t="s">
        <v>122</v>
      </c>
      <c r="J156" s="3">
        <v>30</v>
      </c>
      <c r="K156" s="3">
        <v>22</v>
      </c>
      <c r="L156" s="3">
        <v>0</v>
      </c>
      <c r="M156" s="3">
        <v>8</v>
      </c>
      <c r="N156" s="3">
        <v>70</v>
      </c>
      <c r="O156" s="3">
        <v>0.07</v>
      </c>
      <c r="P156" s="3">
        <v>0</v>
      </c>
      <c r="Q156" s="3">
        <v>40</v>
      </c>
      <c r="R156" s="3">
        <v>0</v>
      </c>
    </row>
    <row r="157" spans="1:18">
      <c r="A157" s="3" t="s">
        <v>381</v>
      </c>
      <c r="B157" s="3" t="s">
        <v>382</v>
      </c>
      <c r="C157" s="3" t="s">
        <v>383</v>
      </c>
      <c r="D157" s="3" t="s">
        <v>384</v>
      </c>
      <c r="E157" s="3" t="s">
        <v>120</v>
      </c>
      <c r="F157" s="3">
        <v>23.98</v>
      </c>
      <c r="G157" s="3" t="s">
        <v>121</v>
      </c>
      <c r="H157" s="3"/>
      <c r="I157" s="3" t="s">
        <v>122</v>
      </c>
      <c r="J157" s="3">
        <v>0</v>
      </c>
      <c r="K157" s="3">
        <v>0</v>
      </c>
      <c r="L157" s="3">
        <v>0</v>
      </c>
      <c r="M157" s="3">
        <v>0</v>
      </c>
      <c r="N157" s="3">
        <v>0</v>
      </c>
      <c r="O157" s="3">
        <v>0.05</v>
      </c>
      <c r="P157" s="3">
        <v>0</v>
      </c>
      <c r="Q157" s="3">
        <v>0</v>
      </c>
      <c r="R157" s="3">
        <v>0</v>
      </c>
    </row>
    <row r="158" spans="1:18">
      <c r="A158" s="3" t="s">
        <v>385</v>
      </c>
      <c r="B158" s="3" t="s">
        <v>386</v>
      </c>
      <c r="C158" s="3" t="s">
        <v>387</v>
      </c>
      <c r="D158" s="3" t="s">
        <v>388</v>
      </c>
      <c r="E158" s="3" t="s">
        <v>120</v>
      </c>
      <c r="F158" s="3">
        <v>22.98</v>
      </c>
      <c r="G158" s="3" t="s">
        <v>121</v>
      </c>
      <c r="H158" s="3"/>
      <c r="I158" s="3" t="s">
        <v>122</v>
      </c>
      <c r="J158" s="3">
        <v>23</v>
      </c>
      <c r="K158" s="3">
        <v>18</v>
      </c>
      <c r="L158" s="3">
        <v>0</v>
      </c>
      <c r="M158" s="3">
        <v>5</v>
      </c>
      <c r="N158" s="3">
        <v>63</v>
      </c>
      <c r="O158" s="3">
        <v>0.07</v>
      </c>
      <c r="P158" s="3">
        <v>0</v>
      </c>
      <c r="Q158" s="3">
        <v>40</v>
      </c>
      <c r="R158" s="3">
        <v>0</v>
      </c>
    </row>
    <row r="159" spans="1:18">
      <c r="A159" s="3" t="s">
        <v>389</v>
      </c>
      <c r="B159" s="3" t="s">
        <v>390</v>
      </c>
      <c r="C159" s="3" t="s">
        <v>391</v>
      </c>
      <c r="D159" s="3" t="s">
        <v>392</v>
      </c>
      <c r="E159" s="3" t="s">
        <v>120</v>
      </c>
      <c r="F159" s="3">
        <v>22.98</v>
      </c>
      <c r="G159" s="3" t="s">
        <v>121</v>
      </c>
      <c r="H159" s="3"/>
      <c r="I159" s="3" t="s">
        <v>122</v>
      </c>
      <c r="J159" s="3">
        <v>15</v>
      </c>
      <c r="K159" s="3">
        <v>15</v>
      </c>
      <c r="L159" s="3">
        <v>0</v>
      </c>
      <c r="M159" s="3">
        <v>0</v>
      </c>
      <c r="N159" s="3">
        <v>55</v>
      </c>
      <c r="O159" s="3">
        <v>0.07</v>
      </c>
      <c r="P159" s="3">
        <v>0</v>
      </c>
      <c r="Q159" s="3">
        <v>40</v>
      </c>
      <c r="R159" s="3">
        <v>0</v>
      </c>
    </row>
    <row r="160" spans="1:18">
      <c r="A160" s="3" t="s">
        <v>393</v>
      </c>
      <c r="B160" s="3" t="s">
        <v>394</v>
      </c>
      <c r="C160" s="3" t="s">
        <v>395</v>
      </c>
      <c r="D160" s="3" t="s">
        <v>396</v>
      </c>
      <c r="E160" s="3" t="s">
        <v>120</v>
      </c>
      <c r="F160" s="3">
        <v>22.98</v>
      </c>
      <c r="G160" s="3" t="s">
        <v>121</v>
      </c>
      <c r="H160" s="3"/>
      <c r="I160" s="3" t="s">
        <v>122</v>
      </c>
      <c r="J160" s="3">
        <v>0</v>
      </c>
      <c r="K160" s="3">
        <v>0</v>
      </c>
      <c r="L160" s="3">
        <v>0</v>
      </c>
      <c r="M160" s="3">
        <v>0</v>
      </c>
      <c r="N160" s="3">
        <v>0</v>
      </c>
      <c r="O160" s="3">
        <v>0.07</v>
      </c>
      <c r="P160" s="3">
        <v>0</v>
      </c>
      <c r="Q160" s="3">
        <v>0</v>
      </c>
      <c r="R160" s="3">
        <v>0</v>
      </c>
    </row>
    <row r="161" spans="1:18">
      <c r="A161" s="3" t="s">
        <v>397</v>
      </c>
      <c r="B161" s="3" t="s">
        <v>398</v>
      </c>
      <c r="C161" s="3" t="s">
        <v>399</v>
      </c>
      <c r="D161" s="3" t="s">
        <v>400</v>
      </c>
      <c r="E161" s="3" t="s">
        <v>120</v>
      </c>
      <c r="F161" s="3">
        <v>23.98</v>
      </c>
      <c r="G161" s="3" t="s">
        <v>121</v>
      </c>
      <c r="H161" s="3"/>
      <c r="I161" s="3" t="s">
        <v>122</v>
      </c>
      <c r="J161" s="3">
        <v>27</v>
      </c>
      <c r="K161" s="3">
        <v>24</v>
      </c>
      <c r="L161" s="3">
        <v>0</v>
      </c>
      <c r="M161" s="3">
        <v>3</v>
      </c>
      <c r="N161" s="3">
        <v>67</v>
      </c>
      <c r="O161" s="3">
        <v>0.07</v>
      </c>
      <c r="P161" s="3">
        <v>0</v>
      </c>
      <c r="Q161" s="3">
        <v>40</v>
      </c>
      <c r="R161" s="3">
        <v>0</v>
      </c>
    </row>
    <row r="162" spans="1:18">
      <c r="A162" s="3" t="s">
        <v>401</v>
      </c>
      <c r="B162" s="3" t="s">
        <v>402</v>
      </c>
      <c r="C162" s="3" t="s">
        <v>403</v>
      </c>
      <c r="D162" s="3" t="s">
        <v>404</v>
      </c>
      <c r="E162" s="3" t="s">
        <v>120</v>
      </c>
      <c r="F162" s="3">
        <v>23.98</v>
      </c>
      <c r="G162" s="3" t="s">
        <v>121</v>
      </c>
      <c r="H162" s="3"/>
      <c r="I162" s="3" t="s">
        <v>122</v>
      </c>
      <c r="J162" s="3">
        <v>18</v>
      </c>
      <c r="K162" s="3">
        <v>17</v>
      </c>
      <c r="L162" s="3">
        <v>0</v>
      </c>
      <c r="M162" s="3">
        <v>1</v>
      </c>
      <c r="N162" s="3">
        <v>58</v>
      </c>
      <c r="O162" s="3">
        <v>0.07</v>
      </c>
      <c r="P162" s="3">
        <v>0</v>
      </c>
      <c r="Q162" s="3">
        <v>40</v>
      </c>
      <c r="R162" s="3">
        <v>0</v>
      </c>
    </row>
    <row r="163" spans="1:18">
      <c r="A163" s="3" t="s">
        <v>405</v>
      </c>
      <c r="B163" s="3" t="s">
        <v>406</v>
      </c>
      <c r="C163" s="3" t="s">
        <v>407</v>
      </c>
      <c r="D163" s="3" t="s">
        <v>408</v>
      </c>
      <c r="E163" s="3" t="s">
        <v>120</v>
      </c>
      <c r="F163" s="3">
        <v>22.98</v>
      </c>
      <c r="G163" s="3" t="s">
        <v>121</v>
      </c>
      <c r="H163" s="3"/>
      <c r="I163" s="3" t="s">
        <v>122</v>
      </c>
      <c r="J163" s="3">
        <v>38</v>
      </c>
      <c r="K163" s="3">
        <v>30</v>
      </c>
      <c r="L163" s="3">
        <v>0</v>
      </c>
      <c r="M163" s="3">
        <v>8</v>
      </c>
      <c r="N163" s="3">
        <v>118</v>
      </c>
      <c r="O163" s="3">
        <v>0.07</v>
      </c>
      <c r="P163" s="3">
        <v>0</v>
      </c>
      <c r="Q163" s="3">
        <v>80</v>
      </c>
      <c r="R163" s="3">
        <v>0</v>
      </c>
    </row>
    <row r="164" spans="1:18">
      <c r="A164" s="3" t="s">
        <v>409</v>
      </c>
      <c r="B164" s="3" t="s">
        <v>410</v>
      </c>
      <c r="C164" s="3" t="s">
        <v>411</v>
      </c>
      <c r="D164" s="3" t="s">
        <v>412</v>
      </c>
      <c r="E164" s="3" t="s">
        <v>120</v>
      </c>
      <c r="F164" s="3">
        <v>22.98</v>
      </c>
      <c r="G164" s="3" t="s">
        <v>121</v>
      </c>
      <c r="H164" s="3"/>
      <c r="I164" s="3" t="s">
        <v>122</v>
      </c>
      <c r="J164" s="3">
        <v>0</v>
      </c>
      <c r="K164" s="3">
        <v>0</v>
      </c>
      <c r="L164" s="3">
        <v>0</v>
      </c>
      <c r="M164" s="3">
        <v>0</v>
      </c>
      <c r="N164" s="3">
        <v>20</v>
      </c>
      <c r="O164" s="3">
        <v>0.07</v>
      </c>
      <c r="P164" s="3">
        <v>0</v>
      </c>
      <c r="Q164" s="3">
        <v>20</v>
      </c>
      <c r="R164" s="3">
        <v>0</v>
      </c>
    </row>
    <row r="165" spans="1:18">
      <c r="A165" s="3" t="s">
        <v>413</v>
      </c>
      <c r="B165" s="3" t="s">
        <v>414</v>
      </c>
      <c r="C165" s="3" t="s">
        <v>415</v>
      </c>
      <c r="D165" s="3" t="s">
        <v>416</v>
      </c>
      <c r="E165" s="3" t="s">
        <v>120</v>
      </c>
      <c r="F165" s="3">
        <v>22.98</v>
      </c>
      <c r="G165" s="3" t="s">
        <v>121</v>
      </c>
      <c r="H165" s="3"/>
      <c r="I165" s="3" t="s">
        <v>122</v>
      </c>
      <c r="J165" s="3">
        <v>0</v>
      </c>
      <c r="K165" s="3">
        <v>0</v>
      </c>
      <c r="L165" s="3">
        <v>0</v>
      </c>
      <c r="M165" s="3">
        <v>0</v>
      </c>
      <c r="N165" s="3">
        <v>0</v>
      </c>
      <c r="O165" s="3">
        <v>0.05</v>
      </c>
      <c r="P165" s="3">
        <v>0</v>
      </c>
      <c r="Q165" s="3">
        <v>0</v>
      </c>
      <c r="R165" s="3">
        <v>0</v>
      </c>
    </row>
    <row r="166" spans="1:18">
      <c r="A166" s="3" t="s">
        <v>417</v>
      </c>
      <c r="B166" s="3" t="s">
        <v>418</v>
      </c>
      <c r="C166" s="3" t="s">
        <v>419</v>
      </c>
      <c r="D166" s="3" t="s">
        <v>420</v>
      </c>
      <c r="E166" s="3" t="s">
        <v>120</v>
      </c>
      <c r="F166" s="3">
        <v>23.98</v>
      </c>
      <c r="G166" s="3" t="s">
        <v>121</v>
      </c>
      <c r="H166" s="3"/>
      <c r="I166" s="3" t="s">
        <v>122</v>
      </c>
      <c r="J166" s="3">
        <v>16</v>
      </c>
      <c r="K166" s="3">
        <v>15</v>
      </c>
      <c r="L166" s="3">
        <v>0</v>
      </c>
      <c r="M166" s="3">
        <v>1</v>
      </c>
      <c r="N166" s="3">
        <v>56</v>
      </c>
      <c r="O166" s="3">
        <v>0.07</v>
      </c>
      <c r="P166" s="3">
        <v>0</v>
      </c>
      <c r="Q166" s="3">
        <v>40</v>
      </c>
      <c r="R166" s="3">
        <v>0</v>
      </c>
    </row>
    <row r="167" spans="1:18">
      <c r="A167" s="3" t="s">
        <v>421</v>
      </c>
      <c r="B167" s="3" t="s">
        <v>422</v>
      </c>
      <c r="C167" s="3" t="s">
        <v>423</v>
      </c>
      <c r="D167" s="3"/>
      <c r="E167" s="3" t="s">
        <v>20</v>
      </c>
      <c r="F167" s="3"/>
      <c r="G167" s="3"/>
      <c r="H167" s="3"/>
      <c r="I167" s="3"/>
      <c r="J167" s="3">
        <v>0</v>
      </c>
      <c r="K167" s="3">
        <v>0</v>
      </c>
      <c r="L167" s="3">
        <v>0</v>
      </c>
      <c r="M167" s="3">
        <v>0</v>
      </c>
      <c r="N167" s="3">
        <v>0</v>
      </c>
      <c r="O167" s="3"/>
      <c r="P167" s="3">
        <v>0</v>
      </c>
      <c r="Q167" s="3">
        <v>0</v>
      </c>
      <c r="R167" s="3">
        <v>0</v>
      </c>
    </row>
    <row r="168" spans="1:18">
      <c r="A168" s="3" t="s">
        <v>424</v>
      </c>
      <c r="B168" s="3" t="s">
        <v>425</v>
      </c>
      <c r="C168" s="3" t="s">
        <v>426</v>
      </c>
      <c r="D168" s="3" t="s">
        <v>427</v>
      </c>
      <c r="E168" s="3" t="s">
        <v>120</v>
      </c>
      <c r="F168" s="3">
        <v>22.98</v>
      </c>
      <c r="G168" s="3" t="s">
        <v>121</v>
      </c>
      <c r="H168" s="3"/>
      <c r="I168" s="3" t="s">
        <v>122</v>
      </c>
      <c r="J168" s="3">
        <v>17</v>
      </c>
      <c r="K168" s="3">
        <v>16</v>
      </c>
      <c r="L168" s="3">
        <v>0</v>
      </c>
      <c r="M168" s="3">
        <v>1</v>
      </c>
      <c r="N168" s="3">
        <v>57</v>
      </c>
      <c r="O168" s="3">
        <v>0.07</v>
      </c>
      <c r="P168" s="3">
        <v>0</v>
      </c>
      <c r="Q168" s="3">
        <v>40</v>
      </c>
      <c r="R168" s="3">
        <v>0</v>
      </c>
    </row>
    <row r="169" spans="1:18">
      <c r="A169" s="3" t="s">
        <v>428</v>
      </c>
      <c r="B169" s="3" t="s">
        <v>429</v>
      </c>
      <c r="C169" s="3" t="s">
        <v>430</v>
      </c>
      <c r="D169" s="3" t="s">
        <v>431</v>
      </c>
      <c r="E169" s="3" t="s">
        <v>120</v>
      </c>
      <c r="F169" s="3">
        <v>22.98</v>
      </c>
      <c r="G169" s="3" t="s">
        <v>121</v>
      </c>
      <c r="H169" s="3"/>
      <c r="I169" s="3" t="s">
        <v>122</v>
      </c>
      <c r="J169" s="3">
        <v>22</v>
      </c>
      <c r="K169" s="3">
        <v>22</v>
      </c>
      <c r="L169" s="3">
        <v>0</v>
      </c>
      <c r="M169" s="3">
        <v>0</v>
      </c>
      <c r="N169" s="3">
        <v>62</v>
      </c>
      <c r="O169" s="3">
        <v>0.07</v>
      </c>
      <c r="P169" s="3">
        <v>0</v>
      </c>
      <c r="Q169" s="3">
        <v>40</v>
      </c>
      <c r="R169" s="3">
        <v>0</v>
      </c>
    </row>
    <row r="170" spans="1:18">
      <c r="A170" s="3" t="s">
        <v>432</v>
      </c>
      <c r="B170" s="3" t="s">
        <v>433</v>
      </c>
      <c r="C170" s="3" t="s">
        <v>434</v>
      </c>
      <c r="D170" s="3" t="s">
        <v>435</v>
      </c>
      <c r="E170" s="3" t="s">
        <v>120</v>
      </c>
      <c r="F170" s="3">
        <v>22.98</v>
      </c>
      <c r="G170" s="3" t="s">
        <v>121</v>
      </c>
      <c r="H170" s="3"/>
      <c r="I170" s="3" t="s">
        <v>122</v>
      </c>
      <c r="J170" s="3">
        <v>0</v>
      </c>
      <c r="K170" s="3">
        <v>0</v>
      </c>
      <c r="L170" s="3">
        <v>0</v>
      </c>
      <c r="M170" s="3">
        <v>0</v>
      </c>
      <c r="N170" s="3">
        <v>0</v>
      </c>
      <c r="O170" s="3">
        <v>0.07</v>
      </c>
      <c r="P170" s="3">
        <v>0</v>
      </c>
      <c r="Q170" s="3">
        <v>0</v>
      </c>
      <c r="R170" s="3">
        <v>0</v>
      </c>
    </row>
    <row r="171" spans="1:18">
      <c r="A171" s="3" t="s">
        <v>436</v>
      </c>
      <c r="B171" s="3" t="s">
        <v>437</v>
      </c>
      <c r="C171" s="3" t="s">
        <v>438</v>
      </c>
      <c r="D171" s="3" t="s">
        <v>439</v>
      </c>
      <c r="E171" s="3" t="s">
        <v>120</v>
      </c>
      <c r="F171" s="3">
        <v>23.98</v>
      </c>
      <c r="G171" s="3" t="s">
        <v>121</v>
      </c>
      <c r="H171" s="3"/>
      <c r="I171" s="3" t="s">
        <v>122</v>
      </c>
      <c r="J171" s="3">
        <v>8</v>
      </c>
      <c r="K171" s="3">
        <v>7</v>
      </c>
      <c r="L171" s="3">
        <v>0</v>
      </c>
      <c r="M171" s="3">
        <v>1</v>
      </c>
      <c r="N171" s="3">
        <v>48</v>
      </c>
      <c r="O171" s="3">
        <v>0.07</v>
      </c>
      <c r="P171" s="3">
        <v>0</v>
      </c>
      <c r="Q171" s="3">
        <v>40</v>
      </c>
      <c r="R171" s="3">
        <v>0</v>
      </c>
    </row>
    <row r="172" spans="1:18">
      <c r="A172" s="3" t="s">
        <v>440</v>
      </c>
      <c r="B172" s="3" t="s">
        <v>441</v>
      </c>
      <c r="C172" s="3" t="s">
        <v>442</v>
      </c>
      <c r="D172" s="3" t="s">
        <v>443</v>
      </c>
      <c r="E172" s="3" t="s">
        <v>120</v>
      </c>
      <c r="F172" s="3">
        <v>23.98</v>
      </c>
      <c r="G172" s="3" t="s">
        <v>121</v>
      </c>
      <c r="H172" s="3"/>
      <c r="I172" s="3" t="s">
        <v>122</v>
      </c>
      <c r="J172" s="3">
        <v>5</v>
      </c>
      <c r="K172" s="3">
        <v>5</v>
      </c>
      <c r="L172" s="3">
        <v>0</v>
      </c>
      <c r="M172" s="3">
        <v>0</v>
      </c>
      <c r="N172" s="3">
        <v>15</v>
      </c>
      <c r="O172" s="3">
        <v>0.07</v>
      </c>
      <c r="P172" s="3">
        <v>0</v>
      </c>
      <c r="Q172" s="3">
        <v>10</v>
      </c>
      <c r="R172" s="3">
        <v>0</v>
      </c>
    </row>
    <row r="173" spans="1:18">
      <c r="A173" s="3" t="s">
        <v>444</v>
      </c>
      <c r="B173" s="3" t="s">
        <v>445</v>
      </c>
      <c r="C173" s="3" t="s">
        <v>446</v>
      </c>
      <c r="D173" s="3" t="s">
        <v>447</v>
      </c>
      <c r="E173" s="3" t="s">
        <v>120</v>
      </c>
      <c r="F173" s="3">
        <v>22.98</v>
      </c>
      <c r="G173" s="3" t="s">
        <v>121</v>
      </c>
      <c r="H173" s="3"/>
      <c r="I173" s="3" t="s">
        <v>122</v>
      </c>
      <c r="J173" s="3">
        <v>0</v>
      </c>
      <c r="K173" s="3">
        <v>0</v>
      </c>
      <c r="L173" s="3">
        <v>0</v>
      </c>
      <c r="M173" s="3">
        <v>0</v>
      </c>
      <c r="N173" s="3">
        <v>0</v>
      </c>
      <c r="O173" s="3">
        <v>0.07</v>
      </c>
      <c r="P173" s="3">
        <v>0</v>
      </c>
      <c r="Q173" s="3">
        <v>0</v>
      </c>
      <c r="R173" s="3">
        <v>0</v>
      </c>
    </row>
    <row r="174" spans="1:18">
      <c r="A174" s="3" t="s">
        <v>448</v>
      </c>
      <c r="B174" s="3" t="s">
        <v>449</v>
      </c>
      <c r="C174" s="3" t="s">
        <v>450</v>
      </c>
      <c r="D174" s="3" t="s">
        <v>451</v>
      </c>
      <c r="E174" s="3" t="s">
        <v>120</v>
      </c>
      <c r="F174" s="3">
        <v>22.98</v>
      </c>
      <c r="G174" s="3" t="s">
        <v>121</v>
      </c>
      <c r="H174" s="3"/>
      <c r="I174" s="3" t="s">
        <v>122</v>
      </c>
      <c r="J174" s="3">
        <v>0</v>
      </c>
      <c r="K174" s="3">
        <v>0</v>
      </c>
      <c r="L174" s="3">
        <v>0</v>
      </c>
      <c r="M174" s="3">
        <v>0</v>
      </c>
      <c r="N174" s="3">
        <v>0</v>
      </c>
      <c r="O174" s="3">
        <v>0.07</v>
      </c>
      <c r="P174" s="3">
        <v>0</v>
      </c>
      <c r="Q174" s="3">
        <v>0</v>
      </c>
      <c r="R174" s="3">
        <v>0</v>
      </c>
    </row>
    <row r="175" spans="1:18">
      <c r="A175" s="3" t="s">
        <v>452</v>
      </c>
      <c r="B175" s="3" t="s">
        <v>453</v>
      </c>
      <c r="C175" s="3" t="s">
        <v>454</v>
      </c>
      <c r="D175" s="3" t="s">
        <v>455</v>
      </c>
      <c r="E175" s="3" t="s">
        <v>120</v>
      </c>
      <c r="F175" s="3">
        <v>22.98</v>
      </c>
      <c r="G175" s="3" t="s">
        <v>121</v>
      </c>
      <c r="H175" s="3"/>
      <c r="I175" s="3" t="s">
        <v>122</v>
      </c>
      <c r="J175" s="3">
        <v>0</v>
      </c>
      <c r="K175" s="3">
        <v>0</v>
      </c>
      <c r="L175" s="3">
        <v>0</v>
      </c>
      <c r="M175" s="3">
        <v>0</v>
      </c>
      <c r="N175" s="3">
        <v>0</v>
      </c>
      <c r="O175" s="3">
        <v>0.07</v>
      </c>
      <c r="P175" s="3">
        <v>0</v>
      </c>
      <c r="Q175" s="3">
        <v>0</v>
      </c>
      <c r="R175" s="3">
        <v>0</v>
      </c>
    </row>
    <row r="176" spans="1:18">
      <c r="A176" s="3" t="s">
        <v>456</v>
      </c>
      <c r="B176" s="3" t="s">
        <v>457</v>
      </c>
      <c r="C176" s="3" t="s">
        <v>458</v>
      </c>
      <c r="D176" s="3" t="s">
        <v>459</v>
      </c>
      <c r="E176" s="3" t="s">
        <v>120</v>
      </c>
      <c r="F176" s="3">
        <v>23.98</v>
      </c>
      <c r="G176" s="3" t="s">
        <v>121</v>
      </c>
      <c r="H176" s="3"/>
      <c r="I176" s="3" t="s">
        <v>122</v>
      </c>
      <c r="J176" s="3">
        <v>0</v>
      </c>
      <c r="K176" s="3">
        <v>0</v>
      </c>
      <c r="L176" s="3">
        <v>0</v>
      </c>
      <c r="M176" s="3">
        <v>0</v>
      </c>
      <c r="N176" s="3">
        <v>0</v>
      </c>
      <c r="O176" s="3">
        <v>0.07</v>
      </c>
      <c r="P176" s="3">
        <v>0</v>
      </c>
      <c r="Q176" s="3">
        <v>0</v>
      </c>
      <c r="R176" s="3">
        <v>0</v>
      </c>
    </row>
    <row r="177" spans="1:18">
      <c r="A177" s="3" t="s">
        <v>460</v>
      </c>
      <c r="B177" s="3" t="s">
        <v>461</v>
      </c>
      <c r="C177" s="3" t="s">
        <v>462</v>
      </c>
      <c r="D177" s="3"/>
      <c r="E177" s="3" t="s">
        <v>20</v>
      </c>
      <c r="F177" s="3"/>
      <c r="G177" s="3"/>
      <c r="H177" s="3"/>
      <c r="I177" s="3"/>
      <c r="J177" s="3">
        <v>0</v>
      </c>
      <c r="K177" s="3">
        <v>0</v>
      </c>
      <c r="L177" s="3">
        <v>0</v>
      </c>
      <c r="M177" s="3">
        <v>0</v>
      </c>
      <c r="N177" s="3">
        <v>0</v>
      </c>
      <c r="O177" s="3"/>
      <c r="P177" s="3">
        <v>0</v>
      </c>
      <c r="Q177" s="3">
        <v>0</v>
      </c>
      <c r="R177" s="3">
        <v>0</v>
      </c>
    </row>
    <row r="178" spans="1:18">
      <c r="A178" s="3" t="s">
        <v>463</v>
      </c>
      <c r="B178" s="3" t="s">
        <v>298</v>
      </c>
      <c r="C178" s="3" t="s">
        <v>298</v>
      </c>
      <c r="D178" s="3" t="s">
        <v>464</v>
      </c>
      <c r="E178" s="3" t="s">
        <v>120</v>
      </c>
      <c r="F178" s="3">
        <v>39.98</v>
      </c>
      <c r="G178" s="3" t="s">
        <v>121</v>
      </c>
      <c r="H178" s="3"/>
      <c r="I178" s="3" t="s">
        <v>122</v>
      </c>
      <c r="J178" s="3">
        <v>29</v>
      </c>
      <c r="K178" s="3">
        <v>29</v>
      </c>
      <c r="L178" s="3">
        <v>0</v>
      </c>
      <c r="M178" s="3">
        <v>0</v>
      </c>
      <c r="N178" s="3">
        <v>29</v>
      </c>
      <c r="O178" s="3">
        <v>0.06</v>
      </c>
      <c r="P178" s="3">
        <v>0</v>
      </c>
      <c r="Q178" s="3">
        <v>0</v>
      </c>
      <c r="R178" s="3">
        <v>0</v>
      </c>
    </row>
    <row r="179" spans="1:18">
      <c r="A179" s="3" t="s">
        <v>465</v>
      </c>
      <c r="B179" s="3" t="s">
        <v>300</v>
      </c>
      <c r="C179" s="3" t="s">
        <v>300</v>
      </c>
      <c r="D179" s="3" t="s">
        <v>466</v>
      </c>
      <c r="E179" s="3" t="s">
        <v>120</v>
      </c>
      <c r="F179" s="3">
        <v>24.98</v>
      </c>
      <c r="G179" s="3" t="s">
        <v>121</v>
      </c>
      <c r="H179" s="3"/>
      <c r="I179" s="3" t="s">
        <v>122</v>
      </c>
      <c r="J179" s="3">
        <v>10</v>
      </c>
      <c r="K179" s="3">
        <v>10</v>
      </c>
      <c r="L179" s="3">
        <v>0</v>
      </c>
      <c r="M179" s="3">
        <v>0</v>
      </c>
      <c r="N179" s="3">
        <v>10</v>
      </c>
      <c r="O179" s="3">
        <v>0.06</v>
      </c>
      <c r="P179" s="3">
        <v>0</v>
      </c>
      <c r="Q179" s="3">
        <v>0</v>
      </c>
      <c r="R179" s="3">
        <v>0</v>
      </c>
    </row>
    <row r="180" spans="1:18">
      <c r="A180" s="3" t="s">
        <v>467</v>
      </c>
      <c r="B180" s="3" t="s">
        <v>302</v>
      </c>
      <c r="C180" s="3" t="s">
        <v>302</v>
      </c>
      <c r="D180" s="3" t="s">
        <v>468</v>
      </c>
      <c r="E180" s="3" t="s">
        <v>120</v>
      </c>
      <c r="F180" s="3">
        <v>39.98</v>
      </c>
      <c r="G180" s="3" t="s">
        <v>121</v>
      </c>
      <c r="H180" s="3"/>
      <c r="I180" s="3" t="s">
        <v>122</v>
      </c>
      <c r="J180" s="3">
        <v>27</v>
      </c>
      <c r="K180" s="3">
        <v>27</v>
      </c>
      <c r="L180" s="3">
        <v>0</v>
      </c>
      <c r="M180" s="3">
        <v>0</v>
      </c>
      <c r="N180" s="3">
        <v>27</v>
      </c>
      <c r="O180" s="3">
        <v>0.06</v>
      </c>
      <c r="P180" s="3">
        <v>0</v>
      </c>
      <c r="Q180" s="3">
        <v>0</v>
      </c>
      <c r="R180" s="3">
        <v>0</v>
      </c>
    </row>
    <row r="181" spans="1:18">
      <c r="A181" s="3" t="s">
        <v>469</v>
      </c>
      <c r="B181" s="3" t="s">
        <v>304</v>
      </c>
      <c r="C181" s="3" t="s">
        <v>304</v>
      </c>
      <c r="D181" s="3" t="s">
        <v>470</v>
      </c>
      <c r="E181" s="3" t="s">
        <v>120</v>
      </c>
      <c r="F181" s="3">
        <v>24.98</v>
      </c>
      <c r="G181" s="3" t="s">
        <v>121</v>
      </c>
      <c r="H181" s="3"/>
      <c r="I181" s="3" t="s">
        <v>122</v>
      </c>
      <c r="J181" s="3">
        <v>20</v>
      </c>
      <c r="K181" s="3">
        <v>20</v>
      </c>
      <c r="L181" s="3">
        <v>0</v>
      </c>
      <c r="M181" s="3">
        <v>0</v>
      </c>
      <c r="N181" s="3">
        <v>20</v>
      </c>
      <c r="O181" s="3">
        <v>0.06</v>
      </c>
      <c r="P181" s="3">
        <v>0</v>
      </c>
      <c r="Q181" s="3">
        <v>0</v>
      </c>
      <c r="R181" s="3">
        <v>0</v>
      </c>
    </row>
    <row r="182" spans="1:18">
      <c r="A182" s="3" t="s">
        <v>471</v>
      </c>
      <c r="B182" s="3" t="s">
        <v>306</v>
      </c>
      <c r="C182" s="3" t="s">
        <v>306</v>
      </c>
      <c r="D182" s="3" t="s">
        <v>472</v>
      </c>
      <c r="E182" s="3" t="s">
        <v>120</v>
      </c>
      <c r="F182" s="3">
        <v>39.98</v>
      </c>
      <c r="G182" s="3" t="s">
        <v>121</v>
      </c>
      <c r="H182" s="3"/>
      <c r="I182" s="3" t="s">
        <v>122</v>
      </c>
      <c r="J182" s="3">
        <v>16</v>
      </c>
      <c r="K182" s="3">
        <v>16</v>
      </c>
      <c r="L182" s="3">
        <v>0</v>
      </c>
      <c r="M182" s="3">
        <v>0</v>
      </c>
      <c r="N182" s="3">
        <v>16</v>
      </c>
      <c r="O182" s="3">
        <v>0.06</v>
      </c>
      <c r="P182" s="3">
        <v>0</v>
      </c>
      <c r="Q182" s="3">
        <v>0</v>
      </c>
      <c r="R182" s="3">
        <v>0</v>
      </c>
    </row>
    <row r="183" spans="1:18">
      <c r="A183" s="3" t="s">
        <v>473</v>
      </c>
      <c r="B183" s="3" t="s">
        <v>308</v>
      </c>
      <c r="C183" s="3" t="s">
        <v>308</v>
      </c>
      <c r="D183" s="3" t="s">
        <v>474</v>
      </c>
      <c r="E183" s="3" t="s">
        <v>120</v>
      </c>
      <c r="F183" s="3">
        <v>24.98</v>
      </c>
      <c r="G183" s="3" t="s">
        <v>121</v>
      </c>
      <c r="H183" s="3"/>
      <c r="I183" s="3" t="s">
        <v>122</v>
      </c>
      <c r="J183" s="3">
        <v>23</v>
      </c>
      <c r="K183" s="3">
        <v>23</v>
      </c>
      <c r="L183" s="3">
        <v>0</v>
      </c>
      <c r="M183" s="3">
        <v>0</v>
      </c>
      <c r="N183" s="3">
        <v>23</v>
      </c>
      <c r="O183" s="3">
        <v>0.06</v>
      </c>
      <c r="P183" s="3">
        <v>0</v>
      </c>
      <c r="Q183" s="3">
        <v>0</v>
      </c>
      <c r="R183" s="3">
        <v>0</v>
      </c>
    </row>
    <row r="184" spans="1:18">
      <c r="A184" s="3" t="s">
        <v>475</v>
      </c>
      <c r="B184" s="3" t="s">
        <v>310</v>
      </c>
      <c r="C184" s="3" t="s">
        <v>310</v>
      </c>
      <c r="D184" s="3" t="s">
        <v>348</v>
      </c>
      <c r="E184" s="3" t="s">
        <v>120</v>
      </c>
      <c r="F184" s="3">
        <v>39.98</v>
      </c>
      <c r="G184" s="3" t="s">
        <v>121</v>
      </c>
      <c r="H184" s="3"/>
      <c r="I184" s="3" t="s">
        <v>122</v>
      </c>
      <c r="J184" s="3">
        <v>26</v>
      </c>
      <c r="K184" s="3">
        <v>24</v>
      </c>
      <c r="L184" s="3">
        <v>0</v>
      </c>
      <c r="M184" s="3">
        <v>2</v>
      </c>
      <c r="N184" s="3">
        <v>36</v>
      </c>
      <c r="O184" s="3">
        <v>0.06</v>
      </c>
      <c r="P184" s="3">
        <v>0</v>
      </c>
      <c r="Q184" s="3">
        <v>0</v>
      </c>
      <c r="R184" s="3">
        <v>10</v>
      </c>
    </row>
    <row r="185" spans="1:18">
      <c r="A185" s="3" t="s">
        <v>476</v>
      </c>
      <c r="B185" s="3" t="s">
        <v>312</v>
      </c>
      <c r="C185" s="3" t="s">
        <v>312</v>
      </c>
      <c r="D185" s="3" t="s">
        <v>477</v>
      </c>
      <c r="E185" s="3" t="s">
        <v>120</v>
      </c>
      <c r="F185" s="3">
        <v>24.98</v>
      </c>
      <c r="G185" s="3" t="s">
        <v>121</v>
      </c>
      <c r="H185" s="3"/>
      <c r="I185" s="3" t="s">
        <v>122</v>
      </c>
      <c r="J185" s="3">
        <v>19</v>
      </c>
      <c r="K185" s="3">
        <v>17</v>
      </c>
      <c r="L185" s="3">
        <v>0</v>
      </c>
      <c r="M185" s="3">
        <v>2</v>
      </c>
      <c r="N185" s="3">
        <v>19</v>
      </c>
      <c r="O185" s="3">
        <v>0.21</v>
      </c>
      <c r="P185" s="3">
        <v>0</v>
      </c>
      <c r="Q185" s="3">
        <v>0</v>
      </c>
      <c r="R185" s="3">
        <v>0</v>
      </c>
    </row>
    <row r="186" spans="1:18">
      <c r="A186" s="3" t="s">
        <v>478</v>
      </c>
      <c r="B186" s="3" t="s">
        <v>314</v>
      </c>
      <c r="C186" s="3" t="s">
        <v>314</v>
      </c>
      <c r="D186" s="3"/>
      <c r="E186" s="3" t="s">
        <v>20</v>
      </c>
      <c r="F186" s="3"/>
      <c r="G186" s="3"/>
      <c r="H186" s="3"/>
      <c r="I186" s="3"/>
      <c r="J186" s="3">
        <v>7</v>
      </c>
      <c r="K186" s="3">
        <v>7</v>
      </c>
      <c r="L186" s="3">
        <v>0</v>
      </c>
      <c r="M186" s="3">
        <v>0</v>
      </c>
      <c r="N186" s="3">
        <v>7</v>
      </c>
      <c r="O186" s="3"/>
      <c r="P186" s="3">
        <v>0</v>
      </c>
      <c r="Q186" s="3">
        <v>0</v>
      </c>
      <c r="R186" s="3">
        <v>0</v>
      </c>
    </row>
    <row r="187" spans="1:18">
      <c r="A187" s="3" t="s">
        <v>479</v>
      </c>
      <c r="B187" s="3" t="s">
        <v>317</v>
      </c>
      <c r="C187" s="3" t="s">
        <v>317</v>
      </c>
      <c r="D187" s="3" t="s">
        <v>480</v>
      </c>
      <c r="E187" s="3" t="s">
        <v>120</v>
      </c>
      <c r="F187" s="3">
        <v>39.98</v>
      </c>
      <c r="G187" s="3" t="s">
        <v>121</v>
      </c>
      <c r="H187" s="3"/>
      <c r="I187" s="3" t="s">
        <v>122</v>
      </c>
      <c r="J187" s="3">
        <v>0</v>
      </c>
      <c r="K187" s="3">
        <v>0</v>
      </c>
      <c r="L187" s="3">
        <v>0</v>
      </c>
      <c r="M187" s="3">
        <v>0</v>
      </c>
      <c r="N187" s="3">
        <v>0</v>
      </c>
      <c r="O187" s="3">
        <v>0.06</v>
      </c>
      <c r="P187" s="3">
        <v>0</v>
      </c>
      <c r="Q187" s="3">
        <v>0</v>
      </c>
      <c r="R187" s="3">
        <v>0</v>
      </c>
    </row>
    <row r="188" spans="1:18">
      <c r="A188" s="3" t="s">
        <v>481</v>
      </c>
      <c r="B188" s="3" t="s">
        <v>319</v>
      </c>
      <c r="C188" s="3" t="s">
        <v>319</v>
      </c>
      <c r="D188" s="3" t="s">
        <v>482</v>
      </c>
      <c r="E188" s="3" t="s">
        <v>120</v>
      </c>
      <c r="F188" s="3">
        <v>39.98</v>
      </c>
      <c r="G188" s="3" t="s">
        <v>121</v>
      </c>
      <c r="H188" s="3"/>
      <c r="I188" s="3" t="s">
        <v>122</v>
      </c>
      <c r="J188" s="3">
        <v>19</v>
      </c>
      <c r="K188" s="3">
        <v>19</v>
      </c>
      <c r="L188" s="3">
        <v>0</v>
      </c>
      <c r="M188" s="3">
        <v>0</v>
      </c>
      <c r="N188" s="3">
        <v>19</v>
      </c>
      <c r="O188" s="3">
        <v>0.06</v>
      </c>
      <c r="P188" s="3">
        <v>0</v>
      </c>
      <c r="Q188" s="3">
        <v>0</v>
      </c>
      <c r="R188" s="3">
        <v>0</v>
      </c>
    </row>
    <row r="189" spans="1:18">
      <c r="A189" s="3" t="s">
        <v>483</v>
      </c>
      <c r="B189" s="3" t="s">
        <v>321</v>
      </c>
      <c r="C189" s="3" t="s">
        <v>321</v>
      </c>
      <c r="D189" s="3" t="s">
        <v>484</v>
      </c>
      <c r="E189" s="3" t="s">
        <v>120</v>
      </c>
      <c r="F189" s="3">
        <v>39.98</v>
      </c>
      <c r="G189" s="3" t="s">
        <v>121</v>
      </c>
      <c r="H189" s="3"/>
      <c r="I189" s="3" t="s">
        <v>122</v>
      </c>
      <c r="J189" s="3">
        <v>3</v>
      </c>
      <c r="K189" s="3">
        <v>3</v>
      </c>
      <c r="L189" s="3">
        <v>0</v>
      </c>
      <c r="M189" s="3">
        <v>0</v>
      </c>
      <c r="N189" s="3">
        <v>3</v>
      </c>
      <c r="O189" s="3">
        <v>0.06</v>
      </c>
      <c r="P189" s="3">
        <v>0</v>
      </c>
      <c r="Q189" s="3">
        <v>0</v>
      </c>
      <c r="R189" s="3">
        <v>0</v>
      </c>
    </row>
    <row r="190" spans="1:18">
      <c r="A190" s="3" t="s">
        <v>485</v>
      </c>
      <c r="B190" s="3" t="s">
        <v>323</v>
      </c>
      <c r="C190" s="3" t="s">
        <v>323</v>
      </c>
      <c r="D190" s="3" t="s">
        <v>486</v>
      </c>
      <c r="E190" s="3" t="s">
        <v>120</v>
      </c>
      <c r="F190" s="3">
        <v>24.98</v>
      </c>
      <c r="G190" s="3" t="s">
        <v>121</v>
      </c>
      <c r="H190" s="3"/>
      <c r="I190" s="3" t="s">
        <v>122</v>
      </c>
      <c r="J190" s="3">
        <v>16</v>
      </c>
      <c r="K190" s="3">
        <v>16</v>
      </c>
      <c r="L190" s="3">
        <v>0</v>
      </c>
      <c r="M190" s="3">
        <v>0</v>
      </c>
      <c r="N190" s="3">
        <v>16</v>
      </c>
      <c r="O190" s="3">
        <v>0.06</v>
      </c>
      <c r="P190" s="3">
        <v>0</v>
      </c>
      <c r="Q190" s="3">
        <v>0</v>
      </c>
      <c r="R190" s="3">
        <v>0</v>
      </c>
    </row>
    <row r="191" spans="1:18">
      <c r="A191" s="3" t="s">
        <v>487</v>
      </c>
      <c r="B191" s="3" t="s">
        <v>325</v>
      </c>
      <c r="C191" s="3" t="s">
        <v>325</v>
      </c>
      <c r="D191" s="3" t="s">
        <v>488</v>
      </c>
      <c r="E191" s="3" t="s">
        <v>120</v>
      </c>
      <c r="F191" s="3">
        <v>39.98</v>
      </c>
      <c r="G191" s="3" t="s">
        <v>121</v>
      </c>
      <c r="H191" s="3"/>
      <c r="I191" s="3" t="s">
        <v>122</v>
      </c>
      <c r="J191" s="3">
        <v>34</v>
      </c>
      <c r="K191" s="3">
        <v>34</v>
      </c>
      <c r="L191" s="3">
        <v>0</v>
      </c>
      <c r="M191" s="3">
        <v>0</v>
      </c>
      <c r="N191" s="3">
        <v>34</v>
      </c>
      <c r="O191" s="3">
        <v>0.06</v>
      </c>
      <c r="P191" s="3">
        <v>0</v>
      </c>
      <c r="Q191" s="3">
        <v>0</v>
      </c>
      <c r="R191" s="3">
        <v>0</v>
      </c>
    </row>
    <row r="192" spans="1:18">
      <c r="A192" s="3" t="s">
        <v>489</v>
      </c>
      <c r="B192" s="3" t="s">
        <v>327</v>
      </c>
      <c r="C192" s="3" t="s">
        <v>327</v>
      </c>
      <c r="D192" s="3" t="s">
        <v>490</v>
      </c>
      <c r="E192" s="3" t="s">
        <v>120</v>
      </c>
      <c r="F192" s="3">
        <v>24.98</v>
      </c>
      <c r="G192" s="3" t="s">
        <v>121</v>
      </c>
      <c r="H192" s="3"/>
      <c r="I192" s="3" t="s">
        <v>122</v>
      </c>
      <c r="J192" s="3">
        <v>23</v>
      </c>
      <c r="K192" s="3">
        <v>23</v>
      </c>
      <c r="L192" s="3">
        <v>0</v>
      </c>
      <c r="M192" s="3">
        <v>0</v>
      </c>
      <c r="N192" s="3">
        <v>23</v>
      </c>
      <c r="O192" s="3">
        <v>0.06</v>
      </c>
      <c r="P192" s="3">
        <v>0</v>
      </c>
      <c r="Q192" s="3">
        <v>0</v>
      </c>
      <c r="R192" s="3">
        <v>0</v>
      </c>
    </row>
    <row r="193" spans="1:18">
      <c r="A193" s="3" t="s">
        <v>491</v>
      </c>
      <c r="B193" s="3" t="s">
        <v>332</v>
      </c>
      <c r="C193" s="3" t="s">
        <v>332</v>
      </c>
      <c r="D193" s="3" t="s">
        <v>492</v>
      </c>
      <c r="E193" s="3" t="s">
        <v>120</v>
      </c>
      <c r="F193" s="3">
        <v>49.98</v>
      </c>
      <c r="G193" s="3" t="s">
        <v>121</v>
      </c>
      <c r="H193" s="3"/>
      <c r="I193" s="3" t="s">
        <v>122</v>
      </c>
      <c r="J193" s="3">
        <v>6</v>
      </c>
      <c r="K193" s="3">
        <v>6</v>
      </c>
      <c r="L193" s="3">
        <v>0</v>
      </c>
      <c r="M193" s="3">
        <v>0</v>
      </c>
      <c r="N193" s="3">
        <v>6</v>
      </c>
      <c r="O193" s="3">
        <v>0.06</v>
      </c>
      <c r="P193" s="3">
        <v>0</v>
      </c>
      <c r="Q193" s="3">
        <v>0</v>
      </c>
      <c r="R193" s="3">
        <v>0</v>
      </c>
    </row>
    <row r="194" spans="1:18">
      <c r="A194" s="3" t="s">
        <v>493</v>
      </c>
      <c r="B194" s="3" t="s">
        <v>334</v>
      </c>
      <c r="C194" s="3" t="s">
        <v>334</v>
      </c>
      <c r="D194" s="3" t="s">
        <v>494</v>
      </c>
      <c r="E194" s="3" t="s">
        <v>120</v>
      </c>
      <c r="F194" s="3">
        <v>49.98</v>
      </c>
      <c r="G194" s="3" t="s">
        <v>121</v>
      </c>
      <c r="H194" s="3"/>
      <c r="I194" s="3" t="s">
        <v>122</v>
      </c>
      <c r="J194" s="3">
        <v>2</v>
      </c>
      <c r="K194" s="3">
        <v>2</v>
      </c>
      <c r="L194" s="3">
        <v>0</v>
      </c>
      <c r="M194" s="3">
        <v>0</v>
      </c>
      <c r="N194" s="3">
        <v>2</v>
      </c>
      <c r="O194" s="3">
        <v>0.06</v>
      </c>
      <c r="P194" s="3">
        <v>0</v>
      </c>
      <c r="Q194" s="3">
        <v>0</v>
      </c>
      <c r="R194" s="3">
        <v>0</v>
      </c>
    </row>
    <row r="195" spans="1:18">
      <c r="A195" s="3" t="s">
        <v>495</v>
      </c>
      <c r="B195" s="3" t="s">
        <v>336</v>
      </c>
      <c r="C195" s="3" t="s">
        <v>336</v>
      </c>
      <c r="D195" s="3" t="s">
        <v>464</v>
      </c>
      <c r="E195" s="3" t="s">
        <v>120</v>
      </c>
      <c r="F195" s="3">
        <v>49.98</v>
      </c>
      <c r="G195" s="3" t="s">
        <v>121</v>
      </c>
      <c r="H195" s="3"/>
      <c r="I195" s="3" t="s">
        <v>122</v>
      </c>
      <c r="J195" s="3">
        <v>3</v>
      </c>
      <c r="K195" s="3">
        <v>3</v>
      </c>
      <c r="L195" s="3">
        <v>0</v>
      </c>
      <c r="M195" s="3">
        <v>0</v>
      </c>
      <c r="N195" s="3">
        <v>3</v>
      </c>
      <c r="O195" s="3">
        <v>0.06</v>
      </c>
      <c r="P195" s="3">
        <v>0</v>
      </c>
      <c r="Q195" s="3">
        <v>0</v>
      </c>
      <c r="R195" s="3">
        <v>0</v>
      </c>
    </row>
    <row r="196" spans="1:18">
      <c r="A196" s="3" t="s">
        <v>496</v>
      </c>
      <c r="B196" s="3" t="s">
        <v>338</v>
      </c>
      <c r="C196" s="3" t="s">
        <v>338</v>
      </c>
      <c r="D196" s="3" t="s">
        <v>466</v>
      </c>
      <c r="E196" s="3" t="s">
        <v>120</v>
      </c>
      <c r="F196" s="3">
        <v>49.98</v>
      </c>
      <c r="G196" s="3" t="s">
        <v>121</v>
      </c>
      <c r="H196" s="3"/>
      <c r="I196" s="3" t="s">
        <v>122</v>
      </c>
      <c r="J196" s="3">
        <v>0</v>
      </c>
      <c r="K196" s="3">
        <v>0</v>
      </c>
      <c r="L196" s="3">
        <v>0</v>
      </c>
      <c r="M196" s="3">
        <v>0</v>
      </c>
      <c r="N196" s="3">
        <v>0</v>
      </c>
      <c r="O196" s="3">
        <v>0.06</v>
      </c>
      <c r="P196" s="3">
        <v>0</v>
      </c>
      <c r="Q196" s="3">
        <v>0</v>
      </c>
      <c r="R196" s="3">
        <v>0</v>
      </c>
    </row>
    <row r="197" spans="1:18">
      <c r="A197" s="3" t="s">
        <v>497</v>
      </c>
      <c r="B197" s="3" t="s">
        <v>340</v>
      </c>
      <c r="C197" s="3" t="s">
        <v>340</v>
      </c>
      <c r="D197" s="3" t="s">
        <v>468</v>
      </c>
      <c r="E197" s="3" t="s">
        <v>120</v>
      </c>
      <c r="F197" s="3">
        <v>26.98</v>
      </c>
      <c r="G197" s="3" t="s">
        <v>121</v>
      </c>
      <c r="H197" s="3"/>
      <c r="I197" s="3" t="s">
        <v>122</v>
      </c>
      <c r="J197" s="3">
        <v>8</v>
      </c>
      <c r="K197" s="3">
        <v>8</v>
      </c>
      <c r="L197" s="3">
        <v>0</v>
      </c>
      <c r="M197" s="3">
        <v>0</v>
      </c>
      <c r="N197" s="3">
        <v>8</v>
      </c>
      <c r="O197" s="3">
        <v>0.06</v>
      </c>
      <c r="P197" s="3">
        <v>0</v>
      </c>
      <c r="Q197" s="3">
        <v>0</v>
      </c>
      <c r="R197" s="3">
        <v>0</v>
      </c>
    </row>
    <row r="198" spans="1:18">
      <c r="A198" s="3" t="s">
        <v>498</v>
      </c>
      <c r="B198" s="3" t="s">
        <v>342</v>
      </c>
      <c r="C198" s="3" t="s">
        <v>342</v>
      </c>
      <c r="D198" s="3" t="s">
        <v>499</v>
      </c>
      <c r="E198" s="3" t="s">
        <v>120</v>
      </c>
      <c r="F198" s="3">
        <v>26.98</v>
      </c>
      <c r="G198" s="3" t="s">
        <v>121</v>
      </c>
      <c r="H198" s="3"/>
      <c r="I198" s="3" t="s">
        <v>122</v>
      </c>
      <c r="J198" s="3">
        <v>3</v>
      </c>
      <c r="K198" s="3">
        <v>3</v>
      </c>
      <c r="L198" s="3">
        <v>0</v>
      </c>
      <c r="M198" s="3">
        <v>0</v>
      </c>
      <c r="N198" s="3">
        <v>3</v>
      </c>
      <c r="O198" s="3">
        <v>0.06</v>
      </c>
      <c r="P198" s="3">
        <v>0</v>
      </c>
      <c r="Q198" s="3">
        <v>0</v>
      </c>
      <c r="R198" s="3">
        <v>0</v>
      </c>
    </row>
    <row r="199" spans="1:18">
      <c r="A199" s="3" t="s">
        <v>500</v>
      </c>
      <c r="B199" s="3" t="s">
        <v>344</v>
      </c>
      <c r="C199" s="3" t="s">
        <v>344</v>
      </c>
      <c r="D199" s="3"/>
      <c r="E199" s="3" t="s">
        <v>20</v>
      </c>
      <c r="F199" s="3"/>
      <c r="G199" s="3"/>
      <c r="H199" s="3"/>
      <c r="I199" s="3"/>
      <c r="J199" s="3">
        <v>18</v>
      </c>
      <c r="K199" s="3">
        <v>18</v>
      </c>
      <c r="L199" s="3">
        <v>0</v>
      </c>
      <c r="M199" s="3">
        <v>0</v>
      </c>
      <c r="N199" s="3">
        <v>18</v>
      </c>
      <c r="O199" s="3"/>
      <c r="P199" s="3">
        <v>0</v>
      </c>
      <c r="Q199" s="3">
        <v>0</v>
      </c>
      <c r="R199" s="3">
        <v>0</v>
      </c>
    </row>
    <row r="200" spans="1:18">
      <c r="A200" s="3" t="s">
        <v>501</v>
      </c>
      <c r="B200" s="3" t="s">
        <v>347</v>
      </c>
      <c r="C200" s="3" t="s">
        <v>347</v>
      </c>
      <c r="D200" s="3" t="s">
        <v>348</v>
      </c>
      <c r="E200" s="3" t="s">
        <v>120</v>
      </c>
      <c r="F200" s="3">
        <v>26.98</v>
      </c>
      <c r="G200" s="3" t="s">
        <v>121</v>
      </c>
      <c r="H200" s="3"/>
      <c r="I200" s="3" t="s">
        <v>122</v>
      </c>
      <c r="J200" s="3">
        <v>0</v>
      </c>
      <c r="K200" s="3">
        <v>0</v>
      </c>
      <c r="L200" s="3">
        <v>0</v>
      </c>
      <c r="M200" s="3">
        <v>0</v>
      </c>
      <c r="N200" s="3">
        <v>0</v>
      </c>
      <c r="O200" s="3">
        <v>0.06</v>
      </c>
      <c r="P200" s="3">
        <v>0</v>
      </c>
      <c r="Q200" s="3">
        <v>0</v>
      </c>
      <c r="R200" s="3">
        <v>0</v>
      </c>
    </row>
    <row r="201" spans="1:18">
      <c r="A201" s="3" t="s">
        <v>502</v>
      </c>
      <c r="B201" s="3" t="s">
        <v>350</v>
      </c>
      <c r="C201" s="3" t="s">
        <v>350</v>
      </c>
      <c r="D201" s="3" t="s">
        <v>477</v>
      </c>
      <c r="E201" s="3" t="s">
        <v>120</v>
      </c>
      <c r="F201" s="3">
        <v>26.98</v>
      </c>
      <c r="G201" s="3" t="s">
        <v>121</v>
      </c>
      <c r="H201" s="3"/>
      <c r="I201" s="3" t="s">
        <v>122</v>
      </c>
      <c r="J201" s="3">
        <v>11</v>
      </c>
      <c r="K201" s="3">
        <v>11</v>
      </c>
      <c r="L201" s="3">
        <v>0</v>
      </c>
      <c r="M201" s="3">
        <v>0</v>
      </c>
      <c r="N201" s="3">
        <v>11</v>
      </c>
      <c r="O201" s="3">
        <v>0.06</v>
      </c>
      <c r="P201" s="3">
        <v>0</v>
      </c>
      <c r="Q201" s="3">
        <v>0</v>
      </c>
      <c r="R201" s="3">
        <v>0</v>
      </c>
    </row>
    <row r="202" spans="1:18">
      <c r="A202" s="3" t="s">
        <v>503</v>
      </c>
      <c r="B202" s="3" t="s">
        <v>352</v>
      </c>
      <c r="C202" s="3" t="s">
        <v>352</v>
      </c>
      <c r="D202" s="3" t="s">
        <v>315</v>
      </c>
      <c r="E202" s="3" t="s">
        <v>120</v>
      </c>
      <c r="F202" s="3">
        <v>26.98</v>
      </c>
      <c r="G202" s="3" t="s">
        <v>121</v>
      </c>
      <c r="H202" s="3"/>
      <c r="I202" s="3" t="s">
        <v>122</v>
      </c>
      <c r="J202" s="3">
        <v>2</v>
      </c>
      <c r="K202" s="3">
        <v>2</v>
      </c>
      <c r="L202" s="3">
        <v>0</v>
      </c>
      <c r="M202" s="3">
        <v>0</v>
      </c>
      <c r="N202" s="3">
        <v>2</v>
      </c>
      <c r="O202" s="3">
        <v>0.06</v>
      </c>
      <c r="P202" s="3">
        <v>0</v>
      </c>
      <c r="Q202" s="3">
        <v>0</v>
      </c>
      <c r="R202" s="3">
        <v>0</v>
      </c>
    </row>
    <row r="203" spans="1:18">
      <c r="A203" s="3" t="s">
        <v>504</v>
      </c>
      <c r="B203" s="3" t="s">
        <v>354</v>
      </c>
      <c r="C203" s="3" t="s">
        <v>354</v>
      </c>
      <c r="D203" s="3" t="s">
        <v>480</v>
      </c>
      <c r="E203" s="3" t="s">
        <v>120</v>
      </c>
      <c r="F203" s="3">
        <v>26.98</v>
      </c>
      <c r="G203" s="3" t="s">
        <v>121</v>
      </c>
      <c r="H203" s="3"/>
      <c r="I203" s="3" t="s">
        <v>122</v>
      </c>
      <c r="J203" s="3">
        <v>10</v>
      </c>
      <c r="K203" s="3">
        <v>10</v>
      </c>
      <c r="L203" s="3">
        <v>0</v>
      </c>
      <c r="M203" s="3">
        <v>0</v>
      </c>
      <c r="N203" s="3">
        <v>10</v>
      </c>
      <c r="O203" s="3">
        <v>0.06</v>
      </c>
      <c r="P203" s="3">
        <v>0</v>
      </c>
      <c r="Q203" s="3">
        <v>0</v>
      </c>
      <c r="R203" s="3">
        <v>0</v>
      </c>
    </row>
    <row r="204" spans="1:18">
      <c r="A204" s="3" t="s">
        <v>505</v>
      </c>
      <c r="B204" s="3" t="s">
        <v>356</v>
      </c>
      <c r="C204" s="3" t="s">
        <v>356</v>
      </c>
      <c r="D204" s="3" t="s">
        <v>482</v>
      </c>
      <c r="E204" s="3" t="s">
        <v>120</v>
      </c>
      <c r="F204" s="3">
        <v>26.98</v>
      </c>
      <c r="G204" s="3" t="s">
        <v>121</v>
      </c>
      <c r="H204" s="3"/>
      <c r="I204" s="3" t="s">
        <v>122</v>
      </c>
      <c r="J204" s="3">
        <v>6</v>
      </c>
      <c r="K204" s="3">
        <v>6</v>
      </c>
      <c r="L204" s="3">
        <v>0</v>
      </c>
      <c r="M204" s="3">
        <v>0</v>
      </c>
      <c r="N204" s="3">
        <v>6</v>
      </c>
      <c r="O204" s="3">
        <v>0.06</v>
      </c>
      <c r="P204" s="3">
        <v>0</v>
      </c>
      <c r="Q204" s="3">
        <v>0</v>
      </c>
      <c r="R204" s="3">
        <v>0</v>
      </c>
    </row>
    <row r="205" spans="1:18">
      <c r="A205" s="3" t="s">
        <v>506</v>
      </c>
      <c r="B205" s="3" t="s">
        <v>358</v>
      </c>
      <c r="C205" s="3" t="s">
        <v>358</v>
      </c>
      <c r="D205" s="3" t="s">
        <v>484</v>
      </c>
      <c r="E205" s="3" t="s">
        <v>120</v>
      </c>
      <c r="F205" s="3">
        <v>26.98</v>
      </c>
      <c r="G205" s="3" t="s">
        <v>121</v>
      </c>
      <c r="H205" s="3"/>
      <c r="I205" s="3" t="s">
        <v>122</v>
      </c>
      <c r="J205" s="3">
        <v>8</v>
      </c>
      <c r="K205" s="3">
        <v>8</v>
      </c>
      <c r="L205" s="3">
        <v>0</v>
      </c>
      <c r="M205" s="3">
        <v>0</v>
      </c>
      <c r="N205" s="3">
        <v>8</v>
      </c>
      <c r="O205" s="3">
        <v>0.06</v>
      </c>
      <c r="P205" s="3">
        <v>0</v>
      </c>
      <c r="Q205" s="3">
        <v>0</v>
      </c>
      <c r="R205" s="3">
        <v>0</v>
      </c>
    </row>
    <row r="206" spans="1:18">
      <c r="A206" s="3" t="s">
        <v>507</v>
      </c>
      <c r="B206" s="3" t="s">
        <v>360</v>
      </c>
      <c r="C206" s="3" t="s">
        <v>360</v>
      </c>
      <c r="D206" s="3" t="s">
        <v>508</v>
      </c>
      <c r="E206" s="3" t="s">
        <v>120</v>
      </c>
      <c r="F206" s="3">
        <v>26.98</v>
      </c>
      <c r="G206" s="3" t="s">
        <v>121</v>
      </c>
      <c r="H206" s="3"/>
      <c r="I206" s="3" t="s">
        <v>122</v>
      </c>
      <c r="J206" s="3">
        <v>9</v>
      </c>
      <c r="K206" s="3">
        <v>9</v>
      </c>
      <c r="L206" s="3">
        <v>0</v>
      </c>
      <c r="M206" s="3">
        <v>0</v>
      </c>
      <c r="N206" s="3">
        <v>9</v>
      </c>
      <c r="O206" s="3">
        <v>0.06</v>
      </c>
      <c r="P206" s="3">
        <v>0</v>
      </c>
      <c r="Q206" s="3">
        <v>0</v>
      </c>
      <c r="R206" s="3">
        <v>0</v>
      </c>
    </row>
    <row r="207" spans="1:18">
      <c r="A207" s="3" t="s">
        <v>509</v>
      </c>
      <c r="B207" s="3" t="s">
        <v>362</v>
      </c>
      <c r="C207" s="3" t="s">
        <v>362</v>
      </c>
      <c r="D207" s="3" t="s">
        <v>488</v>
      </c>
      <c r="E207" s="3" t="s">
        <v>120</v>
      </c>
      <c r="F207" s="3">
        <v>26.98</v>
      </c>
      <c r="G207" s="3" t="s">
        <v>121</v>
      </c>
      <c r="H207" s="3"/>
      <c r="I207" s="3" t="s">
        <v>122</v>
      </c>
      <c r="J207" s="3">
        <v>9</v>
      </c>
      <c r="K207" s="3">
        <v>9</v>
      </c>
      <c r="L207" s="3">
        <v>0</v>
      </c>
      <c r="M207" s="3">
        <v>0</v>
      </c>
      <c r="N207" s="3">
        <v>9</v>
      </c>
      <c r="O207" s="3">
        <v>0.06</v>
      </c>
      <c r="P207" s="3">
        <v>0</v>
      </c>
      <c r="Q207" s="3">
        <v>0</v>
      </c>
      <c r="R207" s="3">
        <v>0</v>
      </c>
    </row>
    <row r="208" spans="1:18">
      <c r="A208" s="3" t="s">
        <v>510</v>
      </c>
      <c r="B208" s="3" t="s">
        <v>364</v>
      </c>
      <c r="C208" s="3" t="s">
        <v>364</v>
      </c>
      <c r="D208" s="3" t="s">
        <v>490</v>
      </c>
      <c r="E208" s="3" t="s">
        <v>120</v>
      </c>
      <c r="F208" s="3">
        <v>26.98</v>
      </c>
      <c r="G208" s="3" t="s">
        <v>121</v>
      </c>
      <c r="H208" s="3"/>
      <c r="I208" s="3" t="s">
        <v>122</v>
      </c>
      <c r="J208" s="3">
        <v>0</v>
      </c>
      <c r="K208" s="3">
        <v>0</v>
      </c>
      <c r="L208" s="3">
        <v>0</v>
      </c>
      <c r="M208" s="3">
        <v>0</v>
      </c>
      <c r="N208" s="3">
        <v>0</v>
      </c>
      <c r="O208" s="3">
        <v>0.06</v>
      </c>
      <c r="P208" s="3">
        <v>0</v>
      </c>
      <c r="Q208" s="3">
        <v>0</v>
      </c>
      <c r="R208" s="3">
        <v>0</v>
      </c>
    </row>
    <row r="209" spans="1:18">
      <c r="A209" s="3" t="s">
        <v>511</v>
      </c>
      <c r="B209" s="3" t="s">
        <v>367</v>
      </c>
      <c r="C209" s="3" t="s">
        <v>367</v>
      </c>
      <c r="D209" s="3" t="s">
        <v>368</v>
      </c>
      <c r="E209" s="3" t="s">
        <v>120</v>
      </c>
      <c r="F209" s="3">
        <v>23.98</v>
      </c>
      <c r="G209" s="3" t="s">
        <v>121</v>
      </c>
      <c r="H209" s="3"/>
      <c r="I209" s="3" t="s">
        <v>122</v>
      </c>
      <c r="J209" s="3">
        <v>4</v>
      </c>
      <c r="K209" s="3">
        <v>1</v>
      </c>
      <c r="L209" s="3">
        <v>0</v>
      </c>
      <c r="M209" s="3">
        <v>3</v>
      </c>
      <c r="N209" s="3">
        <v>4</v>
      </c>
      <c r="O209" s="3">
        <v>0.04</v>
      </c>
      <c r="P209" s="3">
        <v>0</v>
      </c>
      <c r="Q209" s="3">
        <v>0</v>
      </c>
      <c r="R209" s="3">
        <v>0</v>
      </c>
    </row>
    <row r="210" spans="1:18">
      <c r="A210" s="3" t="s">
        <v>512</v>
      </c>
      <c r="B210" s="3" t="s">
        <v>513</v>
      </c>
      <c r="C210" s="3" t="s">
        <v>514</v>
      </c>
      <c r="D210" s="3"/>
      <c r="E210" s="3" t="s">
        <v>20</v>
      </c>
      <c r="F210" s="3"/>
      <c r="G210" s="3"/>
      <c r="H210" s="3"/>
      <c r="I210" s="3"/>
      <c r="J210" s="3">
        <v>0</v>
      </c>
      <c r="K210" s="3">
        <v>0</v>
      </c>
      <c r="L210" s="3">
        <v>0</v>
      </c>
      <c r="M210" s="3">
        <v>0</v>
      </c>
      <c r="N210" s="3">
        <v>0</v>
      </c>
      <c r="O210" s="3"/>
      <c r="P210" s="3">
        <v>0</v>
      </c>
      <c r="Q210" s="3">
        <v>0</v>
      </c>
      <c r="R210" s="3">
        <v>0</v>
      </c>
    </row>
    <row r="211" spans="1:18">
      <c r="A211" s="3" t="s">
        <v>515</v>
      </c>
      <c r="B211" s="3" t="s">
        <v>516</v>
      </c>
      <c r="C211" s="3" t="s">
        <v>517</v>
      </c>
      <c r="D211" s="3"/>
      <c r="E211" s="3" t="s">
        <v>20</v>
      </c>
      <c r="F211" s="3"/>
      <c r="G211" s="3"/>
      <c r="H211" s="3"/>
      <c r="I211" s="3"/>
      <c r="J211" s="3">
        <v>0</v>
      </c>
      <c r="K211" s="3">
        <v>0</v>
      </c>
      <c r="L211" s="3">
        <v>0</v>
      </c>
      <c r="M211" s="3">
        <v>0</v>
      </c>
      <c r="N211" s="3">
        <v>0</v>
      </c>
      <c r="O211" s="3"/>
      <c r="P211" s="3">
        <v>0</v>
      </c>
      <c r="Q211" s="3">
        <v>0</v>
      </c>
      <c r="R211" s="3">
        <v>0</v>
      </c>
    </row>
    <row r="212" spans="1:18">
      <c r="A212" s="3" t="s">
        <v>518</v>
      </c>
      <c r="B212" s="3" t="s">
        <v>519</v>
      </c>
      <c r="C212" s="3" t="s">
        <v>520</v>
      </c>
      <c r="D212" s="3"/>
      <c r="E212" s="3" t="s">
        <v>20</v>
      </c>
      <c r="F212" s="3"/>
      <c r="G212" s="3"/>
      <c r="H212" s="3"/>
      <c r="I212" s="3"/>
      <c r="J212" s="3">
        <v>0</v>
      </c>
      <c r="K212" s="3">
        <v>0</v>
      </c>
      <c r="L212" s="3">
        <v>0</v>
      </c>
      <c r="M212" s="3">
        <v>0</v>
      </c>
      <c r="N212" s="3">
        <v>0</v>
      </c>
      <c r="O212" s="3"/>
      <c r="P212" s="3">
        <v>0</v>
      </c>
      <c r="Q212" s="3">
        <v>0</v>
      </c>
      <c r="R212" s="3">
        <v>0</v>
      </c>
    </row>
    <row r="213" spans="1:18">
      <c r="A213" s="3" t="s">
        <v>521</v>
      </c>
      <c r="B213" s="3" t="s">
        <v>522</v>
      </c>
      <c r="C213" s="3" t="s">
        <v>523</v>
      </c>
      <c r="D213" s="3"/>
      <c r="E213" s="3" t="s">
        <v>20</v>
      </c>
      <c r="F213" s="3"/>
      <c r="G213" s="3"/>
      <c r="H213" s="3"/>
      <c r="I213" s="3"/>
      <c r="J213" s="3">
        <v>0</v>
      </c>
      <c r="K213" s="3">
        <v>0</v>
      </c>
      <c r="L213" s="3">
        <v>0</v>
      </c>
      <c r="M213" s="3">
        <v>0</v>
      </c>
      <c r="N213" s="3">
        <v>0</v>
      </c>
      <c r="O213" s="3"/>
      <c r="P213" s="3">
        <v>0</v>
      </c>
      <c r="Q213" s="3">
        <v>0</v>
      </c>
      <c r="R213" s="3">
        <v>0</v>
      </c>
    </row>
    <row r="214" spans="1:18">
      <c r="A214" s="3" t="s">
        <v>524</v>
      </c>
      <c r="B214" s="3" t="s">
        <v>525</v>
      </c>
      <c r="C214" s="3" t="s">
        <v>525</v>
      </c>
      <c r="D214" s="3"/>
      <c r="E214" s="3" t="s">
        <v>20</v>
      </c>
      <c r="F214" s="3"/>
      <c r="G214" s="3"/>
      <c r="H214" s="3"/>
      <c r="I214" s="3"/>
      <c r="J214" s="3">
        <v>0</v>
      </c>
      <c r="K214" s="3">
        <v>0</v>
      </c>
      <c r="L214" s="3">
        <v>0</v>
      </c>
      <c r="M214" s="3">
        <v>0</v>
      </c>
      <c r="N214" s="3">
        <v>0</v>
      </c>
      <c r="O214" s="3"/>
      <c r="P214" s="3">
        <v>0</v>
      </c>
      <c r="Q214" s="3">
        <v>0</v>
      </c>
      <c r="R214" s="3">
        <v>0</v>
      </c>
    </row>
    <row r="215" spans="1:18">
      <c r="A215" s="3" t="s">
        <v>526</v>
      </c>
      <c r="B215" s="3" t="s">
        <v>527</v>
      </c>
      <c r="C215" s="3" t="s">
        <v>527</v>
      </c>
      <c r="D215" s="3"/>
      <c r="E215" s="3" t="s">
        <v>20</v>
      </c>
      <c r="F215" s="3"/>
      <c r="G215" s="3"/>
      <c r="H215" s="3"/>
      <c r="I215" s="3"/>
      <c r="J215" s="3">
        <v>5</v>
      </c>
      <c r="K215" s="3">
        <v>5</v>
      </c>
      <c r="L215" s="3">
        <v>0</v>
      </c>
      <c r="M215" s="3">
        <v>0</v>
      </c>
      <c r="N215" s="3">
        <v>5</v>
      </c>
      <c r="O215" s="3"/>
      <c r="P215" s="3">
        <v>0</v>
      </c>
      <c r="Q215" s="3">
        <v>0</v>
      </c>
      <c r="R215" s="3">
        <v>0</v>
      </c>
    </row>
    <row r="216" spans="1:18">
      <c r="A216" s="3" t="s">
        <v>528</v>
      </c>
      <c r="B216" s="3" t="s">
        <v>529</v>
      </c>
      <c r="C216" s="3" t="s">
        <v>529</v>
      </c>
      <c r="D216" s="3"/>
      <c r="E216" s="3" t="s">
        <v>20</v>
      </c>
      <c r="F216" s="3"/>
      <c r="G216" s="3"/>
      <c r="H216" s="3"/>
      <c r="I216" s="3"/>
      <c r="J216" s="3">
        <v>3</v>
      </c>
      <c r="K216" s="3">
        <v>3</v>
      </c>
      <c r="L216" s="3">
        <v>0</v>
      </c>
      <c r="M216" s="3">
        <v>0</v>
      </c>
      <c r="N216" s="3">
        <v>3</v>
      </c>
      <c r="O216" s="3"/>
      <c r="P216" s="3">
        <v>0</v>
      </c>
      <c r="Q216" s="3">
        <v>0</v>
      </c>
      <c r="R216" s="3">
        <v>0</v>
      </c>
    </row>
    <row r="217" spans="1:18">
      <c r="A217" s="3" t="s">
        <v>530</v>
      </c>
      <c r="B217" s="3" t="s">
        <v>531</v>
      </c>
      <c r="C217" s="3" t="s">
        <v>531</v>
      </c>
      <c r="D217" s="3"/>
      <c r="E217" s="3" t="s">
        <v>20</v>
      </c>
      <c r="F217" s="3"/>
      <c r="G217" s="3"/>
      <c r="H217" s="3"/>
      <c r="I217" s="3"/>
      <c r="J217" s="3">
        <v>0</v>
      </c>
      <c r="K217" s="3">
        <v>0</v>
      </c>
      <c r="L217" s="3">
        <v>0</v>
      </c>
      <c r="M217" s="3">
        <v>0</v>
      </c>
      <c r="N217" s="3">
        <v>0</v>
      </c>
      <c r="O217" s="3"/>
      <c r="P217" s="3">
        <v>0</v>
      </c>
      <c r="Q217" s="3">
        <v>0</v>
      </c>
      <c r="R217" s="3">
        <v>0</v>
      </c>
    </row>
    <row r="218" spans="1:18">
      <c r="A218" s="3" t="s">
        <v>532</v>
      </c>
      <c r="B218" s="3" t="s">
        <v>533</v>
      </c>
      <c r="C218" s="3" t="s">
        <v>533</v>
      </c>
      <c r="D218" s="3"/>
      <c r="E218" s="3" t="s">
        <v>20</v>
      </c>
      <c r="F218" s="3"/>
      <c r="G218" s="3"/>
      <c r="H218" s="3"/>
      <c r="I218" s="3"/>
      <c r="J218" s="3">
        <v>4</v>
      </c>
      <c r="K218" s="3">
        <v>4</v>
      </c>
      <c r="L218" s="3">
        <v>0</v>
      </c>
      <c r="M218" s="3">
        <v>0</v>
      </c>
      <c r="N218" s="3">
        <v>4</v>
      </c>
      <c r="O218" s="3"/>
      <c r="P218" s="3">
        <v>0</v>
      </c>
      <c r="Q218" s="3">
        <v>0</v>
      </c>
      <c r="R218" s="3">
        <v>0</v>
      </c>
    </row>
    <row r="219" spans="1:18">
      <c r="A219" s="3" t="s">
        <v>534</v>
      </c>
      <c r="B219" s="3" t="s">
        <v>535</v>
      </c>
      <c r="C219" s="3" t="s">
        <v>535</v>
      </c>
      <c r="D219" s="3"/>
      <c r="E219" s="3" t="s">
        <v>20</v>
      </c>
      <c r="F219" s="3"/>
      <c r="G219" s="3"/>
      <c r="H219" s="3"/>
      <c r="I219" s="3"/>
      <c r="J219" s="3">
        <v>2</v>
      </c>
      <c r="K219" s="3">
        <v>2</v>
      </c>
      <c r="L219" s="3">
        <v>0</v>
      </c>
      <c r="M219" s="3">
        <v>0</v>
      </c>
      <c r="N219" s="3">
        <v>2</v>
      </c>
      <c r="O219" s="3"/>
      <c r="P219" s="3">
        <v>0</v>
      </c>
      <c r="Q219" s="3">
        <v>0</v>
      </c>
      <c r="R219" s="3">
        <v>0</v>
      </c>
    </row>
    <row r="220" spans="1:18">
      <c r="A220" s="3" t="s">
        <v>536</v>
      </c>
      <c r="B220" s="3" t="s">
        <v>537</v>
      </c>
      <c r="C220" s="3" t="s">
        <v>537</v>
      </c>
      <c r="D220" s="3"/>
      <c r="E220" s="3" t="s">
        <v>20</v>
      </c>
      <c r="F220" s="3"/>
      <c r="G220" s="3"/>
      <c r="H220" s="3"/>
      <c r="I220" s="3"/>
      <c r="J220" s="3">
        <v>7</v>
      </c>
      <c r="K220" s="3">
        <v>7</v>
      </c>
      <c r="L220" s="3">
        <v>0</v>
      </c>
      <c r="M220" s="3">
        <v>0</v>
      </c>
      <c r="N220" s="3">
        <v>7</v>
      </c>
      <c r="O220" s="3"/>
      <c r="P220" s="3">
        <v>0</v>
      </c>
      <c r="Q220" s="3">
        <v>0</v>
      </c>
      <c r="R220" s="3">
        <v>0</v>
      </c>
    </row>
    <row r="221" spans="1:18">
      <c r="A221" s="3" t="s">
        <v>538</v>
      </c>
      <c r="B221" s="3" t="s">
        <v>539</v>
      </c>
      <c r="C221" s="3" t="s">
        <v>539</v>
      </c>
      <c r="D221" s="3"/>
      <c r="E221" s="3" t="s">
        <v>20</v>
      </c>
      <c r="F221" s="3"/>
      <c r="G221" s="3"/>
      <c r="H221" s="3"/>
      <c r="I221" s="3"/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/>
      <c r="P221" s="3">
        <v>0</v>
      </c>
      <c r="Q221" s="3">
        <v>0</v>
      </c>
      <c r="R221" s="3">
        <v>0</v>
      </c>
    </row>
    <row r="222" spans="1:18">
      <c r="A222" s="3" t="s">
        <v>540</v>
      </c>
      <c r="B222" s="3" t="s">
        <v>541</v>
      </c>
      <c r="C222" s="3" t="s">
        <v>542</v>
      </c>
      <c r="D222" s="3"/>
      <c r="E222" s="3" t="s">
        <v>20</v>
      </c>
      <c r="F222" s="3"/>
      <c r="G222" s="3"/>
      <c r="H222" s="3"/>
      <c r="I222" s="3"/>
      <c r="J222" s="3">
        <v>0</v>
      </c>
      <c r="K222" s="3">
        <v>0</v>
      </c>
      <c r="L222" s="3">
        <v>0</v>
      </c>
      <c r="M222" s="3">
        <v>0</v>
      </c>
      <c r="N222" s="3">
        <v>0</v>
      </c>
      <c r="O222" s="3"/>
      <c r="P222" s="3">
        <v>0</v>
      </c>
      <c r="Q222" s="3">
        <v>0</v>
      </c>
      <c r="R222" s="3">
        <v>0</v>
      </c>
    </row>
    <row r="223" spans="1:18">
      <c r="A223" s="3" t="s">
        <v>543</v>
      </c>
      <c r="B223" s="3" t="s">
        <v>544</v>
      </c>
      <c r="C223" s="3" t="s">
        <v>545</v>
      </c>
      <c r="D223" s="3"/>
      <c r="E223" s="3" t="s">
        <v>20</v>
      </c>
      <c r="F223" s="3"/>
      <c r="G223" s="3"/>
      <c r="H223" s="3"/>
      <c r="I223" s="3"/>
      <c r="J223" s="3">
        <v>0</v>
      </c>
      <c r="K223" s="3">
        <v>0</v>
      </c>
      <c r="L223" s="3">
        <v>0</v>
      </c>
      <c r="M223" s="3">
        <v>0</v>
      </c>
      <c r="N223" s="3">
        <v>0</v>
      </c>
      <c r="O223" s="3"/>
      <c r="P223" s="3">
        <v>0</v>
      </c>
      <c r="Q223" s="3">
        <v>0</v>
      </c>
      <c r="R223" s="3">
        <v>0</v>
      </c>
    </row>
    <row r="224" spans="1:18">
      <c r="A224" s="3" t="s">
        <v>546</v>
      </c>
      <c r="B224" s="3" t="s">
        <v>547</v>
      </c>
      <c r="C224" s="3" t="s">
        <v>547</v>
      </c>
      <c r="D224" s="3"/>
      <c r="E224" s="3" t="s">
        <v>20</v>
      </c>
      <c r="F224" s="3"/>
      <c r="G224" s="3"/>
      <c r="H224" s="3"/>
      <c r="I224" s="3"/>
      <c r="J224" s="3">
        <v>4</v>
      </c>
      <c r="K224" s="3">
        <v>4</v>
      </c>
      <c r="L224" s="3">
        <v>0</v>
      </c>
      <c r="M224" s="3">
        <v>0</v>
      </c>
      <c r="N224" s="3">
        <v>4</v>
      </c>
      <c r="O224" s="3"/>
      <c r="P224" s="3">
        <v>0</v>
      </c>
      <c r="Q224" s="3">
        <v>0</v>
      </c>
      <c r="R224" s="3">
        <v>0</v>
      </c>
    </row>
    <row r="225" spans="1:18">
      <c r="A225" s="3" t="s">
        <v>548</v>
      </c>
      <c r="B225" s="3" t="s">
        <v>549</v>
      </c>
      <c r="C225" s="3" t="s">
        <v>549</v>
      </c>
      <c r="D225" s="3"/>
      <c r="E225" s="3" t="s">
        <v>20</v>
      </c>
      <c r="F225" s="3"/>
      <c r="G225" s="3"/>
      <c r="H225" s="3"/>
      <c r="I225" s="3"/>
      <c r="J225" s="3">
        <v>5</v>
      </c>
      <c r="K225" s="3">
        <v>5</v>
      </c>
      <c r="L225" s="3">
        <v>0</v>
      </c>
      <c r="M225" s="3">
        <v>0</v>
      </c>
      <c r="N225" s="3">
        <v>5</v>
      </c>
      <c r="O225" s="3"/>
      <c r="P225" s="3">
        <v>0</v>
      </c>
      <c r="Q225" s="3">
        <v>0</v>
      </c>
      <c r="R225" s="3">
        <v>0</v>
      </c>
    </row>
    <row r="226" spans="1:18">
      <c r="A226" s="3" t="s">
        <v>550</v>
      </c>
      <c r="B226" s="3" t="s">
        <v>551</v>
      </c>
      <c r="C226" s="3" t="s">
        <v>552</v>
      </c>
      <c r="D226" s="3"/>
      <c r="E226" s="3" t="s">
        <v>20</v>
      </c>
      <c r="F226" s="3"/>
      <c r="G226" s="3"/>
      <c r="H226" s="3"/>
      <c r="I226" s="3"/>
      <c r="J226" s="3">
        <v>0</v>
      </c>
      <c r="K226" s="3">
        <v>0</v>
      </c>
      <c r="L226" s="3">
        <v>0</v>
      </c>
      <c r="M226" s="3">
        <v>0</v>
      </c>
      <c r="N226" s="3">
        <v>0</v>
      </c>
      <c r="O226" s="3"/>
      <c r="P226" s="3">
        <v>0</v>
      </c>
      <c r="Q226" s="3">
        <v>0</v>
      </c>
      <c r="R226" s="3">
        <v>0</v>
      </c>
    </row>
    <row r="227" spans="1:18">
      <c r="A227" s="3" t="s">
        <v>553</v>
      </c>
      <c r="B227" s="3" t="s">
        <v>554</v>
      </c>
      <c r="C227" s="3" t="s">
        <v>554</v>
      </c>
      <c r="D227" s="3"/>
      <c r="E227" s="3" t="s">
        <v>20</v>
      </c>
      <c r="F227" s="3"/>
      <c r="G227" s="3"/>
      <c r="H227" s="3"/>
      <c r="I227" s="3"/>
      <c r="J227" s="3">
        <v>0</v>
      </c>
      <c r="K227" s="3">
        <v>0</v>
      </c>
      <c r="L227" s="3">
        <v>0</v>
      </c>
      <c r="M227" s="3">
        <v>0</v>
      </c>
      <c r="N227" s="3">
        <v>0</v>
      </c>
      <c r="O227" s="3"/>
      <c r="P227" s="3">
        <v>0</v>
      </c>
      <c r="Q227" s="3">
        <v>0</v>
      </c>
      <c r="R227" s="3">
        <v>0</v>
      </c>
    </row>
    <row r="228" spans="1:18">
      <c r="A228" s="3" t="s">
        <v>555</v>
      </c>
      <c r="B228" s="3" t="s">
        <v>556</v>
      </c>
      <c r="C228" s="3" t="s">
        <v>556</v>
      </c>
      <c r="D228" s="3"/>
      <c r="E228" s="3" t="s">
        <v>20</v>
      </c>
      <c r="F228" s="3"/>
      <c r="G228" s="3"/>
      <c r="H228" s="3"/>
      <c r="I228" s="3"/>
      <c r="J228" s="3">
        <v>10</v>
      </c>
      <c r="K228" s="3">
        <v>10</v>
      </c>
      <c r="L228" s="3">
        <v>0</v>
      </c>
      <c r="M228" s="3">
        <v>0</v>
      </c>
      <c r="N228" s="3">
        <v>10</v>
      </c>
      <c r="O228" s="3"/>
      <c r="P228" s="3">
        <v>0</v>
      </c>
      <c r="Q228" s="3">
        <v>0</v>
      </c>
      <c r="R228" s="3">
        <v>0</v>
      </c>
    </row>
    <row r="229" spans="1:18">
      <c r="A229" s="3" t="s">
        <v>557</v>
      </c>
      <c r="B229" s="3" t="s">
        <v>558</v>
      </c>
      <c r="C229" s="3" t="s">
        <v>558</v>
      </c>
      <c r="D229" s="3"/>
      <c r="E229" s="3" t="s">
        <v>20</v>
      </c>
      <c r="F229" s="3"/>
      <c r="G229" s="3"/>
      <c r="H229" s="3"/>
      <c r="I229" s="3"/>
      <c r="J229" s="3">
        <v>6</v>
      </c>
      <c r="K229" s="3">
        <v>6</v>
      </c>
      <c r="L229" s="3">
        <v>0</v>
      </c>
      <c r="M229" s="3">
        <v>0</v>
      </c>
      <c r="N229" s="3">
        <v>6</v>
      </c>
      <c r="O229" s="3"/>
      <c r="P229" s="3">
        <v>0</v>
      </c>
      <c r="Q229" s="3">
        <v>0</v>
      </c>
      <c r="R229" s="3">
        <v>0</v>
      </c>
    </row>
    <row r="230" spans="1:18">
      <c r="A230" s="3" t="s">
        <v>559</v>
      </c>
      <c r="B230" s="3" t="s">
        <v>560</v>
      </c>
      <c r="C230" s="3" t="s">
        <v>561</v>
      </c>
      <c r="D230" s="3"/>
      <c r="E230" s="3" t="s">
        <v>20</v>
      </c>
      <c r="F230" s="3"/>
      <c r="G230" s="3"/>
      <c r="H230" s="3"/>
      <c r="I230" s="3"/>
      <c r="J230" s="3">
        <v>0</v>
      </c>
      <c r="K230" s="3">
        <v>0</v>
      </c>
      <c r="L230" s="3">
        <v>0</v>
      </c>
      <c r="M230" s="3">
        <v>0</v>
      </c>
      <c r="N230" s="3">
        <v>0</v>
      </c>
      <c r="O230" s="3"/>
      <c r="P230" s="3">
        <v>0</v>
      </c>
      <c r="Q230" s="3">
        <v>0</v>
      </c>
      <c r="R230" s="3">
        <v>0</v>
      </c>
    </row>
    <row r="231" spans="1:18">
      <c r="A231" s="3" t="s">
        <v>562</v>
      </c>
      <c r="B231" s="3" t="s">
        <v>563</v>
      </c>
      <c r="C231" s="3" t="s">
        <v>564</v>
      </c>
      <c r="D231" s="3"/>
      <c r="E231" s="3" t="s">
        <v>20</v>
      </c>
      <c r="F231" s="3"/>
      <c r="G231" s="3"/>
      <c r="H231" s="3"/>
      <c r="I231" s="3"/>
      <c r="J231" s="3">
        <v>0</v>
      </c>
      <c r="K231" s="3">
        <v>0</v>
      </c>
      <c r="L231" s="3">
        <v>0</v>
      </c>
      <c r="M231" s="3">
        <v>0</v>
      </c>
      <c r="N231" s="3">
        <v>0</v>
      </c>
      <c r="O231" s="3"/>
      <c r="P231" s="3">
        <v>0</v>
      </c>
      <c r="Q231" s="3">
        <v>0</v>
      </c>
      <c r="R231" s="3">
        <v>0</v>
      </c>
    </row>
    <row r="232" spans="1:18">
      <c r="A232" s="3" t="s">
        <v>565</v>
      </c>
      <c r="B232" s="3" t="s">
        <v>566</v>
      </c>
      <c r="C232" s="3" t="s">
        <v>566</v>
      </c>
      <c r="D232" s="3"/>
      <c r="E232" s="3" t="s">
        <v>20</v>
      </c>
      <c r="F232" s="3"/>
      <c r="G232" s="3"/>
      <c r="H232" s="3"/>
      <c r="I232" s="3"/>
      <c r="J232" s="3">
        <v>1</v>
      </c>
      <c r="K232" s="3">
        <v>1</v>
      </c>
      <c r="L232" s="3">
        <v>0</v>
      </c>
      <c r="M232" s="3">
        <v>0</v>
      </c>
      <c r="N232" s="3">
        <v>1</v>
      </c>
      <c r="O232" s="3"/>
      <c r="P232" s="3">
        <v>0</v>
      </c>
      <c r="Q232" s="3">
        <v>0</v>
      </c>
      <c r="R232" s="3">
        <v>0</v>
      </c>
    </row>
    <row r="233" spans="1:18">
      <c r="A233" s="3" t="s">
        <v>567</v>
      </c>
      <c r="B233" s="3" t="s">
        <v>568</v>
      </c>
      <c r="C233" s="3" t="s">
        <v>568</v>
      </c>
      <c r="D233" s="3"/>
      <c r="E233" s="3" t="s">
        <v>20</v>
      </c>
      <c r="F233" s="3"/>
      <c r="G233" s="3"/>
      <c r="H233" s="3"/>
      <c r="I233" s="3"/>
      <c r="J233" s="3">
        <v>6</v>
      </c>
      <c r="K233" s="3">
        <v>6</v>
      </c>
      <c r="L233" s="3">
        <v>0</v>
      </c>
      <c r="M233" s="3">
        <v>0</v>
      </c>
      <c r="N233" s="3">
        <v>6</v>
      </c>
      <c r="O233" s="3"/>
      <c r="P233" s="3">
        <v>0</v>
      </c>
      <c r="Q233" s="3">
        <v>0</v>
      </c>
      <c r="R233" s="3">
        <v>0</v>
      </c>
    </row>
    <row r="234" spans="1:18">
      <c r="A234" s="3" t="s">
        <v>569</v>
      </c>
      <c r="B234" s="3" t="s">
        <v>570</v>
      </c>
      <c r="C234" s="3" t="s">
        <v>570</v>
      </c>
      <c r="D234" s="3"/>
      <c r="E234" s="3" t="s">
        <v>20</v>
      </c>
      <c r="F234" s="3"/>
      <c r="G234" s="3"/>
      <c r="H234" s="3"/>
      <c r="I234" s="3"/>
      <c r="J234" s="3">
        <v>6</v>
      </c>
      <c r="K234" s="3">
        <v>6</v>
      </c>
      <c r="L234" s="3">
        <v>0</v>
      </c>
      <c r="M234" s="3">
        <v>0</v>
      </c>
      <c r="N234" s="3">
        <v>6</v>
      </c>
      <c r="O234" s="3"/>
      <c r="P234" s="3">
        <v>0</v>
      </c>
      <c r="Q234" s="3">
        <v>0</v>
      </c>
      <c r="R234" s="3">
        <v>0</v>
      </c>
    </row>
    <row r="235" spans="1:18">
      <c r="A235" s="3" t="s">
        <v>571</v>
      </c>
      <c r="B235" s="3" t="s">
        <v>572</v>
      </c>
      <c r="C235" s="3" t="s">
        <v>573</v>
      </c>
      <c r="D235" s="3"/>
      <c r="E235" s="3" t="s">
        <v>20</v>
      </c>
      <c r="F235" s="3"/>
      <c r="G235" s="3"/>
      <c r="H235" s="3"/>
      <c r="I235" s="3"/>
      <c r="J235" s="3">
        <v>0</v>
      </c>
      <c r="K235" s="3">
        <v>0</v>
      </c>
      <c r="L235" s="3">
        <v>0</v>
      </c>
      <c r="M235" s="3">
        <v>0</v>
      </c>
      <c r="N235" s="3">
        <v>0</v>
      </c>
      <c r="O235" s="3"/>
      <c r="P235" s="3">
        <v>0</v>
      </c>
      <c r="Q235" s="3">
        <v>0</v>
      </c>
      <c r="R235" s="3">
        <v>0</v>
      </c>
    </row>
    <row r="236" spans="1:18">
      <c r="A236" s="3" t="s">
        <v>574</v>
      </c>
      <c r="B236" s="3" t="s">
        <v>575</v>
      </c>
      <c r="C236" s="3" t="s">
        <v>576</v>
      </c>
      <c r="D236" s="3"/>
      <c r="E236" s="3" t="s">
        <v>20</v>
      </c>
      <c r="F236" s="3"/>
      <c r="G236" s="3"/>
      <c r="H236" s="3"/>
      <c r="I236" s="3"/>
      <c r="J236" s="3">
        <v>0</v>
      </c>
      <c r="K236" s="3">
        <v>0</v>
      </c>
      <c r="L236" s="3">
        <v>0</v>
      </c>
      <c r="M236" s="3">
        <v>0</v>
      </c>
      <c r="N236" s="3">
        <v>0</v>
      </c>
      <c r="O236" s="3"/>
      <c r="P236" s="3">
        <v>0</v>
      </c>
      <c r="Q236" s="3">
        <v>0</v>
      </c>
      <c r="R236" s="3">
        <v>0</v>
      </c>
    </row>
    <row r="237" spans="1:18">
      <c r="A237" s="3" t="s">
        <v>577</v>
      </c>
      <c r="B237" s="3" t="s">
        <v>578</v>
      </c>
      <c r="C237" s="3" t="s">
        <v>579</v>
      </c>
      <c r="D237" s="3"/>
      <c r="E237" s="3" t="s">
        <v>20</v>
      </c>
      <c r="F237" s="3"/>
      <c r="G237" s="3"/>
      <c r="H237" s="3"/>
      <c r="I237" s="3"/>
      <c r="J237" s="3">
        <v>0</v>
      </c>
      <c r="K237" s="3">
        <v>0</v>
      </c>
      <c r="L237" s="3">
        <v>0</v>
      </c>
      <c r="M237" s="3">
        <v>0</v>
      </c>
      <c r="N237" s="3">
        <v>0</v>
      </c>
      <c r="O237" s="3"/>
      <c r="P237" s="3">
        <v>0</v>
      </c>
      <c r="Q237" s="3">
        <v>0</v>
      </c>
      <c r="R237" s="3">
        <v>0</v>
      </c>
    </row>
    <row r="238" spans="1:18">
      <c r="A238" s="3" t="s">
        <v>580</v>
      </c>
      <c r="B238" s="3" t="s">
        <v>581</v>
      </c>
      <c r="C238" s="3" t="s">
        <v>581</v>
      </c>
      <c r="D238" s="3"/>
      <c r="E238" s="3" t="s">
        <v>20</v>
      </c>
      <c r="F238" s="3"/>
      <c r="G238" s="3"/>
      <c r="H238" s="3"/>
      <c r="I238" s="3"/>
      <c r="J238" s="3">
        <v>2</v>
      </c>
      <c r="K238" s="3">
        <v>2</v>
      </c>
      <c r="L238" s="3">
        <v>0</v>
      </c>
      <c r="M238" s="3">
        <v>0</v>
      </c>
      <c r="N238" s="3">
        <v>2</v>
      </c>
      <c r="O238" s="3"/>
      <c r="P238" s="3">
        <v>0</v>
      </c>
      <c r="Q238" s="3">
        <v>0</v>
      </c>
      <c r="R238" s="3">
        <v>0</v>
      </c>
    </row>
    <row r="239" spans="1:18">
      <c r="A239" s="3" t="s">
        <v>582</v>
      </c>
      <c r="B239" s="3" t="s">
        <v>583</v>
      </c>
      <c r="C239" s="3" t="s">
        <v>584</v>
      </c>
      <c r="D239" s="3"/>
      <c r="E239" s="3" t="s">
        <v>20</v>
      </c>
      <c r="F239" s="3"/>
      <c r="G239" s="3"/>
      <c r="H239" s="3"/>
      <c r="I239" s="3"/>
      <c r="J239" s="3">
        <v>0</v>
      </c>
      <c r="K239" s="3">
        <v>0</v>
      </c>
      <c r="L239" s="3">
        <v>0</v>
      </c>
      <c r="M239" s="3">
        <v>0</v>
      </c>
      <c r="N239" s="3">
        <v>0</v>
      </c>
      <c r="O239" s="3"/>
      <c r="P239" s="3">
        <v>0</v>
      </c>
      <c r="Q239" s="3">
        <v>0</v>
      </c>
      <c r="R239" s="3">
        <v>0</v>
      </c>
    </row>
    <row r="240" spans="1:18">
      <c r="A240" s="3" t="s">
        <v>585</v>
      </c>
      <c r="B240" s="3" t="s">
        <v>586</v>
      </c>
      <c r="C240" s="3" t="s">
        <v>587</v>
      </c>
      <c r="D240" s="3" t="s">
        <v>588</v>
      </c>
      <c r="E240" s="3" t="s">
        <v>120</v>
      </c>
      <c r="F240" s="3">
        <v>39.98</v>
      </c>
      <c r="G240" s="3" t="s">
        <v>122</v>
      </c>
      <c r="H240" s="3">
        <v>6</v>
      </c>
      <c r="I240" s="3" t="s">
        <v>121</v>
      </c>
      <c r="J240" s="3">
        <v>0</v>
      </c>
      <c r="K240" s="3">
        <v>0</v>
      </c>
      <c r="L240" s="3">
        <v>0</v>
      </c>
      <c r="M240" s="3">
        <v>0</v>
      </c>
      <c r="N240" s="3">
        <v>0</v>
      </c>
      <c r="O240" s="3">
        <v>0.09</v>
      </c>
      <c r="P240" s="3">
        <v>0</v>
      </c>
      <c r="Q240" s="3">
        <v>0</v>
      </c>
      <c r="R240" s="3">
        <v>0</v>
      </c>
    </row>
    <row r="241" spans="1:18">
      <c r="A241" s="3" t="s">
        <v>589</v>
      </c>
      <c r="B241" s="3" t="s">
        <v>590</v>
      </c>
      <c r="C241" s="3" t="s">
        <v>590</v>
      </c>
      <c r="D241" s="3" t="s">
        <v>591</v>
      </c>
      <c r="E241" s="3" t="s">
        <v>120</v>
      </c>
      <c r="F241" s="3">
        <v>24.98</v>
      </c>
      <c r="G241" s="3" t="s">
        <v>121</v>
      </c>
      <c r="H241" s="3"/>
      <c r="I241" s="3" t="s">
        <v>122</v>
      </c>
      <c r="J241" s="3">
        <v>10</v>
      </c>
      <c r="K241" s="3">
        <v>10</v>
      </c>
      <c r="L241" s="3">
        <v>0</v>
      </c>
      <c r="M241" s="3">
        <v>0</v>
      </c>
      <c r="N241" s="3">
        <v>10</v>
      </c>
      <c r="O241" s="3">
        <v>0.17</v>
      </c>
      <c r="P241" s="3">
        <v>0</v>
      </c>
      <c r="Q241" s="3">
        <v>0</v>
      </c>
      <c r="R241" s="3">
        <v>0</v>
      </c>
    </row>
    <row r="242" spans="1:18">
      <c r="A242" s="3" t="s">
        <v>592</v>
      </c>
      <c r="B242" s="3" t="s">
        <v>593</v>
      </c>
      <c r="C242" s="3" t="s">
        <v>593</v>
      </c>
      <c r="D242" s="3" t="s">
        <v>594</v>
      </c>
      <c r="E242" s="3" t="s">
        <v>120</v>
      </c>
      <c r="F242" s="3">
        <v>24.98</v>
      </c>
      <c r="G242" s="3" t="s">
        <v>121</v>
      </c>
      <c r="H242" s="3"/>
      <c r="I242" s="3" t="s">
        <v>122</v>
      </c>
      <c r="J242" s="3">
        <v>10</v>
      </c>
      <c r="K242" s="3">
        <v>10</v>
      </c>
      <c r="L242" s="3">
        <v>0</v>
      </c>
      <c r="M242" s="3">
        <v>0</v>
      </c>
      <c r="N242" s="3">
        <v>10</v>
      </c>
      <c r="O242" s="3">
        <v>0.17</v>
      </c>
      <c r="P242" s="3">
        <v>0</v>
      </c>
      <c r="Q242" s="3">
        <v>0</v>
      </c>
      <c r="R242" s="3">
        <v>0</v>
      </c>
    </row>
    <row r="243" spans="1:18">
      <c r="A243" s="3" t="s">
        <v>595</v>
      </c>
      <c r="B243" s="3" t="s">
        <v>596</v>
      </c>
      <c r="C243" s="3" t="s">
        <v>596</v>
      </c>
      <c r="D243" s="3" t="s">
        <v>597</v>
      </c>
      <c r="E243" s="3" t="s">
        <v>120</v>
      </c>
      <c r="F243" s="3">
        <v>24.98</v>
      </c>
      <c r="G243" s="3" t="s">
        <v>121</v>
      </c>
      <c r="H243" s="3"/>
      <c r="I243" s="3" t="s">
        <v>122</v>
      </c>
      <c r="J243" s="3">
        <v>10</v>
      </c>
      <c r="K243" s="3">
        <v>10</v>
      </c>
      <c r="L243" s="3">
        <v>0</v>
      </c>
      <c r="M243" s="3">
        <v>0</v>
      </c>
      <c r="N243" s="3">
        <v>10</v>
      </c>
      <c r="O243" s="3">
        <v>0.17</v>
      </c>
      <c r="P243" s="3">
        <v>0</v>
      </c>
      <c r="Q243" s="3">
        <v>0</v>
      </c>
      <c r="R243" s="3">
        <v>0</v>
      </c>
    </row>
    <row r="244" spans="1:18">
      <c r="A244" s="3" t="s">
        <v>598</v>
      </c>
      <c r="B244" s="3" t="s">
        <v>599</v>
      </c>
      <c r="C244" s="3" t="s">
        <v>599</v>
      </c>
      <c r="D244" s="3" t="s">
        <v>600</v>
      </c>
      <c r="E244" s="3" t="s">
        <v>120</v>
      </c>
      <c r="F244" s="3">
        <v>24.98</v>
      </c>
      <c r="G244" s="3" t="s">
        <v>121</v>
      </c>
      <c r="H244" s="3"/>
      <c r="I244" s="3" t="s">
        <v>122</v>
      </c>
      <c r="J244" s="3">
        <v>5</v>
      </c>
      <c r="K244" s="3">
        <v>5</v>
      </c>
      <c r="L244" s="3">
        <v>0</v>
      </c>
      <c r="M244" s="3">
        <v>0</v>
      </c>
      <c r="N244" s="3">
        <v>5</v>
      </c>
      <c r="O244" s="3">
        <v>0.17</v>
      </c>
      <c r="P244" s="3">
        <v>0</v>
      </c>
      <c r="Q244" s="3">
        <v>0</v>
      </c>
      <c r="R244" s="3">
        <v>0</v>
      </c>
    </row>
    <row r="245" spans="1:18">
      <c r="A245" s="3" t="s">
        <v>601</v>
      </c>
      <c r="B245" s="3" t="s">
        <v>602</v>
      </c>
      <c r="C245" s="3" t="s">
        <v>602</v>
      </c>
      <c r="D245" s="3" t="s">
        <v>603</v>
      </c>
      <c r="E245" s="3" t="s">
        <v>120</v>
      </c>
      <c r="F245" s="3">
        <v>24.98</v>
      </c>
      <c r="G245" s="3" t="s">
        <v>121</v>
      </c>
      <c r="H245" s="3"/>
      <c r="I245" s="3" t="s">
        <v>122</v>
      </c>
      <c r="J245" s="3">
        <v>1</v>
      </c>
      <c r="K245" s="3">
        <v>1</v>
      </c>
      <c r="L245" s="3">
        <v>0</v>
      </c>
      <c r="M245" s="3">
        <v>0</v>
      </c>
      <c r="N245" s="3">
        <v>1</v>
      </c>
      <c r="O245" s="3">
        <v>0.17</v>
      </c>
      <c r="P245" s="3">
        <v>0</v>
      </c>
      <c r="Q245" s="3">
        <v>0</v>
      </c>
      <c r="R245" s="3">
        <v>0</v>
      </c>
    </row>
    <row r="246" spans="1:18">
      <c r="A246" s="3" t="s">
        <v>604</v>
      </c>
      <c r="B246" s="3" t="s">
        <v>605</v>
      </c>
      <c r="C246" s="3" t="s">
        <v>605</v>
      </c>
      <c r="D246" s="3" t="s">
        <v>606</v>
      </c>
      <c r="E246" s="3" t="s">
        <v>120</v>
      </c>
      <c r="F246" s="3">
        <v>24.98</v>
      </c>
      <c r="G246" s="3" t="s">
        <v>121</v>
      </c>
      <c r="H246" s="3"/>
      <c r="I246" s="3" t="s">
        <v>122</v>
      </c>
      <c r="J246" s="3">
        <v>1</v>
      </c>
      <c r="K246" s="3">
        <v>0</v>
      </c>
      <c r="L246" s="3">
        <v>0</v>
      </c>
      <c r="M246" s="3">
        <v>1</v>
      </c>
      <c r="N246" s="3">
        <v>1</v>
      </c>
      <c r="O246" s="3">
        <v>0.17</v>
      </c>
      <c r="P246" s="3">
        <v>0</v>
      </c>
      <c r="Q246" s="3">
        <v>0</v>
      </c>
      <c r="R246" s="3">
        <v>0</v>
      </c>
    </row>
    <row r="247" spans="1:18">
      <c r="A247" s="3" t="s">
        <v>607</v>
      </c>
      <c r="B247" s="3" t="s">
        <v>608</v>
      </c>
      <c r="C247" s="3" t="s">
        <v>608</v>
      </c>
      <c r="D247" s="3" t="s">
        <v>609</v>
      </c>
      <c r="E247" s="3" t="s">
        <v>120</v>
      </c>
      <c r="F247" s="3">
        <v>24.98</v>
      </c>
      <c r="G247" s="3" t="s">
        <v>121</v>
      </c>
      <c r="H247" s="3"/>
      <c r="I247" s="3" t="s">
        <v>122</v>
      </c>
      <c r="J247" s="3">
        <v>7</v>
      </c>
      <c r="K247" s="3">
        <v>7</v>
      </c>
      <c r="L247" s="3">
        <v>0</v>
      </c>
      <c r="M247" s="3">
        <v>0</v>
      </c>
      <c r="N247" s="3">
        <v>7</v>
      </c>
      <c r="O247" s="3">
        <v>0.17</v>
      </c>
      <c r="P247" s="3">
        <v>0</v>
      </c>
      <c r="Q247" s="3">
        <v>0</v>
      </c>
      <c r="R247" s="3">
        <v>0</v>
      </c>
    </row>
    <row r="248" spans="1:18">
      <c r="A248" s="3" t="s">
        <v>610</v>
      </c>
      <c r="B248" s="3" t="s">
        <v>611</v>
      </c>
      <c r="C248" s="3" t="s">
        <v>611</v>
      </c>
      <c r="D248" s="3" t="s">
        <v>612</v>
      </c>
      <c r="E248" s="3" t="s">
        <v>120</v>
      </c>
      <c r="F248" s="3">
        <v>24.98</v>
      </c>
      <c r="G248" s="3" t="s">
        <v>121</v>
      </c>
      <c r="H248" s="3"/>
      <c r="I248" s="3" t="s">
        <v>122</v>
      </c>
      <c r="J248" s="3">
        <v>6</v>
      </c>
      <c r="K248" s="3">
        <v>6</v>
      </c>
      <c r="L248" s="3">
        <v>0</v>
      </c>
      <c r="M248" s="3">
        <v>0</v>
      </c>
      <c r="N248" s="3">
        <v>6</v>
      </c>
      <c r="O248" s="3">
        <v>0.17</v>
      </c>
      <c r="P248" s="3">
        <v>0</v>
      </c>
      <c r="Q248" s="3">
        <v>0</v>
      </c>
      <c r="R248" s="3">
        <v>0</v>
      </c>
    </row>
    <row r="249" spans="1:18">
      <c r="A249" s="3" t="s">
        <v>613</v>
      </c>
      <c r="B249" s="3" t="s">
        <v>614</v>
      </c>
      <c r="C249" s="3" t="s">
        <v>614</v>
      </c>
      <c r="D249" s="3" t="s">
        <v>615</v>
      </c>
      <c r="E249" s="3" t="s">
        <v>120</v>
      </c>
      <c r="F249" s="3">
        <v>24.98</v>
      </c>
      <c r="G249" s="3" t="s">
        <v>121</v>
      </c>
      <c r="H249" s="3"/>
      <c r="I249" s="3" t="s">
        <v>122</v>
      </c>
      <c r="J249" s="3">
        <v>9</v>
      </c>
      <c r="K249" s="3">
        <v>9</v>
      </c>
      <c r="L249" s="3">
        <v>0</v>
      </c>
      <c r="M249" s="3">
        <v>0</v>
      </c>
      <c r="N249" s="3">
        <v>9</v>
      </c>
      <c r="O249" s="3">
        <v>0.17</v>
      </c>
      <c r="P249" s="3">
        <v>0</v>
      </c>
      <c r="Q249" s="3">
        <v>0</v>
      </c>
      <c r="R249" s="3">
        <v>0</v>
      </c>
    </row>
    <row r="250" spans="1:18">
      <c r="A250" s="3" t="s">
        <v>616</v>
      </c>
      <c r="B250" s="3" t="s">
        <v>617</v>
      </c>
      <c r="C250" s="3" t="s">
        <v>617</v>
      </c>
      <c r="D250" s="3" t="s">
        <v>618</v>
      </c>
      <c r="E250" s="3" t="s">
        <v>120</v>
      </c>
      <c r="F250" s="3">
        <v>24.98</v>
      </c>
      <c r="G250" s="3" t="s">
        <v>121</v>
      </c>
      <c r="H250" s="3"/>
      <c r="I250" s="3" t="s">
        <v>122</v>
      </c>
      <c r="J250" s="3">
        <v>8</v>
      </c>
      <c r="K250" s="3">
        <v>8</v>
      </c>
      <c r="L250" s="3">
        <v>0</v>
      </c>
      <c r="M250" s="3">
        <v>0</v>
      </c>
      <c r="N250" s="3">
        <v>8</v>
      </c>
      <c r="O250" s="3">
        <v>0.17</v>
      </c>
      <c r="P250" s="3">
        <v>0</v>
      </c>
      <c r="Q250" s="3">
        <v>0</v>
      </c>
      <c r="R250" s="3">
        <v>0</v>
      </c>
    </row>
    <row r="251" spans="1:18">
      <c r="A251" s="3" t="s">
        <v>619</v>
      </c>
      <c r="B251" s="3" t="s">
        <v>620</v>
      </c>
      <c r="C251" s="3" t="s">
        <v>620</v>
      </c>
      <c r="D251" s="3" t="s">
        <v>621</v>
      </c>
      <c r="E251" s="3" t="s">
        <v>120</v>
      </c>
      <c r="F251" s="3">
        <v>24.98</v>
      </c>
      <c r="G251" s="3" t="s">
        <v>121</v>
      </c>
      <c r="H251" s="3"/>
      <c r="I251" s="3" t="s">
        <v>122</v>
      </c>
      <c r="J251" s="3">
        <v>10</v>
      </c>
      <c r="K251" s="3">
        <v>10</v>
      </c>
      <c r="L251" s="3">
        <v>0</v>
      </c>
      <c r="M251" s="3">
        <v>0</v>
      </c>
      <c r="N251" s="3">
        <v>10</v>
      </c>
      <c r="O251" s="3">
        <v>0.17</v>
      </c>
      <c r="P251" s="3">
        <v>0</v>
      </c>
      <c r="Q251" s="3">
        <v>0</v>
      </c>
      <c r="R251" s="3">
        <v>0</v>
      </c>
    </row>
    <row r="252" spans="1:18">
      <c r="A252" s="3" t="s">
        <v>622</v>
      </c>
      <c r="B252" s="3" t="s">
        <v>623</v>
      </c>
      <c r="C252" s="3" t="s">
        <v>623</v>
      </c>
      <c r="D252" s="3" t="s">
        <v>624</v>
      </c>
      <c r="E252" s="3" t="s">
        <v>120</v>
      </c>
      <c r="F252" s="3">
        <v>24.98</v>
      </c>
      <c r="G252" s="3" t="s">
        <v>121</v>
      </c>
      <c r="H252" s="3"/>
      <c r="I252" s="3" t="s">
        <v>122</v>
      </c>
      <c r="J252" s="3">
        <v>10</v>
      </c>
      <c r="K252" s="3">
        <v>10</v>
      </c>
      <c r="L252" s="3">
        <v>0</v>
      </c>
      <c r="M252" s="3">
        <v>0</v>
      </c>
      <c r="N252" s="3">
        <v>10</v>
      </c>
      <c r="O252" s="3">
        <v>0.17</v>
      </c>
      <c r="P252" s="3">
        <v>0</v>
      </c>
      <c r="Q252" s="3">
        <v>0</v>
      </c>
      <c r="R252" s="3">
        <v>0</v>
      </c>
    </row>
    <row r="253" spans="1:18">
      <c r="A253" s="3" t="s">
        <v>625</v>
      </c>
      <c r="B253" s="3" t="s">
        <v>626</v>
      </c>
      <c r="C253" s="3" t="s">
        <v>626</v>
      </c>
      <c r="D253" s="3" t="s">
        <v>627</v>
      </c>
      <c r="E253" s="3" t="s">
        <v>120</v>
      </c>
      <c r="F253" s="3">
        <v>24.98</v>
      </c>
      <c r="G253" s="3" t="s">
        <v>121</v>
      </c>
      <c r="H253" s="3"/>
      <c r="I253" s="3" t="s">
        <v>122</v>
      </c>
      <c r="J253" s="3">
        <v>10</v>
      </c>
      <c r="K253" s="3">
        <v>10</v>
      </c>
      <c r="L253" s="3">
        <v>0</v>
      </c>
      <c r="M253" s="3">
        <v>0</v>
      </c>
      <c r="N253" s="3">
        <v>10</v>
      </c>
      <c r="O253" s="3">
        <v>0.17</v>
      </c>
      <c r="P253" s="3">
        <v>0</v>
      </c>
      <c r="Q253" s="3">
        <v>0</v>
      </c>
      <c r="R253" s="3">
        <v>0</v>
      </c>
    </row>
    <row r="254" spans="1:18">
      <c r="A254" s="3" t="s">
        <v>628</v>
      </c>
      <c r="B254" s="3" t="s">
        <v>629</v>
      </c>
      <c r="C254" s="3" t="s">
        <v>629</v>
      </c>
      <c r="D254" s="3" t="s">
        <v>630</v>
      </c>
      <c r="E254" s="3" t="s">
        <v>120</v>
      </c>
      <c r="F254" s="3">
        <v>24.98</v>
      </c>
      <c r="G254" s="3" t="s">
        <v>121</v>
      </c>
      <c r="H254" s="3"/>
      <c r="I254" s="3" t="s">
        <v>122</v>
      </c>
      <c r="J254" s="3">
        <v>10</v>
      </c>
      <c r="K254" s="3">
        <v>10</v>
      </c>
      <c r="L254" s="3">
        <v>0</v>
      </c>
      <c r="M254" s="3">
        <v>0</v>
      </c>
      <c r="N254" s="3">
        <v>10</v>
      </c>
      <c r="O254" s="3">
        <v>0.17</v>
      </c>
      <c r="P254" s="3">
        <v>0</v>
      </c>
      <c r="Q254" s="3">
        <v>0</v>
      </c>
      <c r="R254" s="3">
        <v>0</v>
      </c>
    </row>
    <row r="255" spans="1:18">
      <c r="A255" s="3" t="s">
        <v>631</v>
      </c>
      <c r="B255" s="3" t="s">
        <v>632</v>
      </c>
      <c r="C255" s="3" t="s">
        <v>632</v>
      </c>
      <c r="D255" s="3" t="s">
        <v>633</v>
      </c>
      <c r="E255" s="3" t="s">
        <v>120</v>
      </c>
      <c r="F255" s="3">
        <v>24.98</v>
      </c>
      <c r="G255" s="3" t="s">
        <v>121</v>
      </c>
      <c r="H255" s="3"/>
      <c r="I255" s="3" t="s">
        <v>122</v>
      </c>
      <c r="J255" s="3">
        <v>10</v>
      </c>
      <c r="K255" s="3">
        <v>10</v>
      </c>
      <c r="L255" s="3">
        <v>0</v>
      </c>
      <c r="M255" s="3">
        <v>0</v>
      </c>
      <c r="N255" s="3">
        <v>10</v>
      </c>
      <c r="O255" s="3">
        <v>0.17</v>
      </c>
      <c r="P255" s="3">
        <v>0</v>
      </c>
      <c r="Q255" s="3">
        <v>0</v>
      </c>
      <c r="R255" s="3">
        <v>0</v>
      </c>
    </row>
    <row r="256" spans="1:18">
      <c r="A256" s="3" t="s">
        <v>634</v>
      </c>
      <c r="B256" s="3" t="s">
        <v>635</v>
      </c>
      <c r="C256" s="3" t="s">
        <v>635</v>
      </c>
      <c r="D256" s="3" t="s">
        <v>636</v>
      </c>
      <c r="E256" s="3" t="s">
        <v>120</v>
      </c>
      <c r="F256" s="3">
        <v>24.98</v>
      </c>
      <c r="G256" s="3" t="s">
        <v>121</v>
      </c>
      <c r="H256" s="3"/>
      <c r="I256" s="3" t="s">
        <v>122</v>
      </c>
      <c r="J256" s="3">
        <v>4</v>
      </c>
      <c r="K256" s="3">
        <v>4</v>
      </c>
      <c r="L256" s="3">
        <v>0</v>
      </c>
      <c r="M256" s="3">
        <v>0</v>
      </c>
      <c r="N256" s="3">
        <v>4</v>
      </c>
      <c r="O256" s="3">
        <v>0.17</v>
      </c>
      <c r="P256" s="3">
        <v>0</v>
      </c>
      <c r="Q256" s="3">
        <v>0</v>
      </c>
      <c r="R256" s="3">
        <v>0</v>
      </c>
    </row>
    <row r="257" spans="1:18">
      <c r="A257" s="3" t="s">
        <v>637</v>
      </c>
      <c r="B257" s="3" t="s">
        <v>638</v>
      </c>
      <c r="C257" s="3" t="s">
        <v>638</v>
      </c>
      <c r="D257" s="3" t="s">
        <v>639</v>
      </c>
      <c r="E257" s="3" t="s">
        <v>120</v>
      </c>
      <c r="F257" s="3">
        <v>24.98</v>
      </c>
      <c r="G257" s="3" t="s">
        <v>121</v>
      </c>
      <c r="H257" s="3"/>
      <c r="I257" s="3" t="s">
        <v>122</v>
      </c>
      <c r="J257" s="3">
        <v>10</v>
      </c>
      <c r="K257" s="3">
        <v>10</v>
      </c>
      <c r="L257" s="3">
        <v>0</v>
      </c>
      <c r="M257" s="3">
        <v>0</v>
      </c>
      <c r="N257" s="3">
        <v>10</v>
      </c>
      <c r="O257" s="3">
        <v>0.17</v>
      </c>
      <c r="P257" s="3">
        <v>0</v>
      </c>
      <c r="Q257" s="3">
        <v>0</v>
      </c>
      <c r="R257" s="3">
        <v>0</v>
      </c>
    </row>
    <row r="258" spans="1:18">
      <c r="A258" s="3" t="s">
        <v>640</v>
      </c>
      <c r="B258" s="3" t="s">
        <v>641</v>
      </c>
      <c r="C258" s="3" t="s">
        <v>641</v>
      </c>
      <c r="D258" s="3" t="s">
        <v>642</v>
      </c>
      <c r="E258" s="3" t="s">
        <v>120</v>
      </c>
      <c r="F258" s="3">
        <v>24.98</v>
      </c>
      <c r="G258" s="3" t="s">
        <v>121</v>
      </c>
      <c r="H258" s="3"/>
      <c r="I258" s="3" t="s">
        <v>122</v>
      </c>
      <c r="J258" s="3">
        <v>10</v>
      </c>
      <c r="K258" s="3">
        <v>10</v>
      </c>
      <c r="L258" s="3">
        <v>0</v>
      </c>
      <c r="M258" s="3">
        <v>0</v>
      </c>
      <c r="N258" s="3">
        <v>10</v>
      </c>
      <c r="O258" s="3">
        <v>0.17</v>
      </c>
      <c r="P258" s="3">
        <v>0</v>
      </c>
      <c r="Q258" s="3">
        <v>0</v>
      </c>
      <c r="R258" s="3">
        <v>0</v>
      </c>
    </row>
    <row r="259" spans="1:18">
      <c r="A259" s="3" t="s">
        <v>643</v>
      </c>
      <c r="B259" s="3" t="s">
        <v>644</v>
      </c>
      <c r="C259" s="3" t="s">
        <v>644</v>
      </c>
      <c r="D259" s="3" t="s">
        <v>645</v>
      </c>
      <c r="E259" s="3" t="s">
        <v>120</v>
      </c>
      <c r="F259" s="3">
        <v>24.98</v>
      </c>
      <c r="G259" s="3" t="s">
        <v>121</v>
      </c>
      <c r="H259" s="3"/>
      <c r="I259" s="3" t="s">
        <v>122</v>
      </c>
      <c r="J259" s="3">
        <v>11</v>
      </c>
      <c r="K259" s="3">
        <v>11</v>
      </c>
      <c r="L259" s="3">
        <v>0</v>
      </c>
      <c r="M259" s="3">
        <v>0</v>
      </c>
      <c r="N259" s="3">
        <v>11</v>
      </c>
      <c r="O259" s="3">
        <v>0.17</v>
      </c>
      <c r="P259" s="3">
        <v>0</v>
      </c>
      <c r="Q259" s="3">
        <v>0</v>
      </c>
      <c r="R259" s="3">
        <v>0</v>
      </c>
    </row>
    <row r="260" spans="1:18">
      <c r="A260" s="3" t="s">
        <v>646</v>
      </c>
      <c r="B260" s="3" t="s">
        <v>647</v>
      </c>
      <c r="C260" s="3" t="s">
        <v>647</v>
      </c>
      <c r="D260" s="3" t="s">
        <v>648</v>
      </c>
      <c r="E260" s="3" t="s">
        <v>120</v>
      </c>
      <c r="F260" s="3">
        <v>24.98</v>
      </c>
      <c r="G260" s="3" t="s">
        <v>121</v>
      </c>
      <c r="H260" s="3"/>
      <c r="I260" s="3" t="s">
        <v>122</v>
      </c>
      <c r="J260" s="3">
        <v>7</v>
      </c>
      <c r="K260" s="3">
        <v>7</v>
      </c>
      <c r="L260" s="3">
        <v>0</v>
      </c>
      <c r="M260" s="3">
        <v>0</v>
      </c>
      <c r="N260" s="3">
        <v>7</v>
      </c>
      <c r="O260" s="3">
        <v>0.17</v>
      </c>
      <c r="P260" s="3">
        <v>0</v>
      </c>
      <c r="Q260" s="3">
        <v>0</v>
      </c>
      <c r="R260" s="3">
        <v>0</v>
      </c>
    </row>
    <row r="261" spans="1:18">
      <c r="A261" s="3" t="s">
        <v>649</v>
      </c>
      <c r="B261" s="3" t="s">
        <v>650</v>
      </c>
      <c r="C261" s="3" t="s">
        <v>650</v>
      </c>
      <c r="D261" s="3" t="s">
        <v>651</v>
      </c>
      <c r="E261" s="3" t="s">
        <v>120</v>
      </c>
      <c r="F261" s="3">
        <v>24.98</v>
      </c>
      <c r="G261" s="3" t="s">
        <v>121</v>
      </c>
      <c r="H261" s="3"/>
      <c r="I261" s="3" t="s">
        <v>122</v>
      </c>
      <c r="J261" s="3">
        <v>10</v>
      </c>
      <c r="K261" s="3">
        <v>10</v>
      </c>
      <c r="L261" s="3">
        <v>0</v>
      </c>
      <c r="M261" s="3">
        <v>0</v>
      </c>
      <c r="N261" s="3">
        <v>10</v>
      </c>
      <c r="O261" s="3">
        <v>0.17</v>
      </c>
      <c r="P261" s="3">
        <v>0</v>
      </c>
      <c r="Q261" s="3">
        <v>0</v>
      </c>
      <c r="R261" s="3">
        <v>0</v>
      </c>
    </row>
    <row r="262" spans="1:18">
      <c r="A262" s="3" t="s">
        <v>652</v>
      </c>
      <c r="B262" s="3" t="s">
        <v>653</v>
      </c>
      <c r="C262" s="3" t="s">
        <v>653</v>
      </c>
      <c r="D262" s="3" t="s">
        <v>654</v>
      </c>
      <c r="E262" s="3" t="s">
        <v>120</v>
      </c>
      <c r="F262" s="3">
        <v>24.98</v>
      </c>
      <c r="G262" s="3" t="s">
        <v>121</v>
      </c>
      <c r="H262" s="3"/>
      <c r="I262" s="3" t="s">
        <v>122</v>
      </c>
      <c r="J262" s="3">
        <v>11</v>
      </c>
      <c r="K262" s="3">
        <v>11</v>
      </c>
      <c r="L262" s="3">
        <v>0</v>
      </c>
      <c r="M262" s="3">
        <v>0</v>
      </c>
      <c r="N262" s="3">
        <v>11</v>
      </c>
      <c r="O262" s="3">
        <v>0.17</v>
      </c>
      <c r="P262" s="3">
        <v>0</v>
      </c>
      <c r="Q262" s="3">
        <v>0</v>
      </c>
      <c r="R262" s="3">
        <v>0</v>
      </c>
    </row>
    <row r="263" spans="1:18">
      <c r="A263" s="3" t="s">
        <v>655</v>
      </c>
      <c r="B263" s="3" t="s">
        <v>656</v>
      </c>
      <c r="C263" s="3" t="s">
        <v>656</v>
      </c>
      <c r="D263" s="3" t="s">
        <v>657</v>
      </c>
      <c r="E263" s="3" t="s">
        <v>120</v>
      </c>
      <c r="F263" s="3">
        <v>24.98</v>
      </c>
      <c r="G263" s="3" t="s">
        <v>121</v>
      </c>
      <c r="H263" s="3"/>
      <c r="I263" s="3" t="s">
        <v>122</v>
      </c>
      <c r="J263" s="3">
        <v>10</v>
      </c>
      <c r="K263" s="3">
        <v>10</v>
      </c>
      <c r="L263" s="3">
        <v>0</v>
      </c>
      <c r="M263" s="3">
        <v>0</v>
      </c>
      <c r="N263" s="3">
        <v>10</v>
      </c>
      <c r="O263" s="3">
        <v>0.17</v>
      </c>
      <c r="P263" s="3">
        <v>0</v>
      </c>
      <c r="Q263" s="3">
        <v>0</v>
      </c>
      <c r="R263" s="3">
        <v>0</v>
      </c>
    </row>
    <row r="264" spans="1:18">
      <c r="A264" s="3" t="s">
        <v>658</v>
      </c>
      <c r="B264" s="3" t="s">
        <v>659</v>
      </c>
      <c r="C264" s="3" t="s">
        <v>659</v>
      </c>
      <c r="D264" s="3" t="s">
        <v>660</v>
      </c>
      <c r="E264" s="3" t="s">
        <v>120</v>
      </c>
      <c r="F264" s="3">
        <v>24.98</v>
      </c>
      <c r="G264" s="3" t="s">
        <v>121</v>
      </c>
      <c r="H264" s="3"/>
      <c r="I264" s="3" t="s">
        <v>122</v>
      </c>
      <c r="J264" s="3">
        <v>8</v>
      </c>
      <c r="K264" s="3">
        <v>8</v>
      </c>
      <c r="L264" s="3">
        <v>0</v>
      </c>
      <c r="M264" s="3">
        <v>0</v>
      </c>
      <c r="N264" s="3">
        <v>8</v>
      </c>
      <c r="O264" s="3">
        <v>0.17</v>
      </c>
      <c r="P264" s="3">
        <v>0</v>
      </c>
      <c r="Q264" s="3">
        <v>0</v>
      </c>
      <c r="R264" s="3">
        <v>0</v>
      </c>
    </row>
    <row r="265" spans="1:18">
      <c r="A265" s="3" t="s">
        <v>661</v>
      </c>
      <c r="B265" s="3" t="s">
        <v>662</v>
      </c>
      <c r="C265" s="3" t="s">
        <v>662</v>
      </c>
      <c r="D265" s="3" t="s">
        <v>663</v>
      </c>
      <c r="E265" s="3" t="s">
        <v>120</v>
      </c>
      <c r="F265" s="3">
        <v>24.98</v>
      </c>
      <c r="G265" s="3" t="s">
        <v>121</v>
      </c>
      <c r="H265" s="3"/>
      <c r="I265" s="3" t="s">
        <v>122</v>
      </c>
      <c r="J265" s="3">
        <v>10</v>
      </c>
      <c r="K265" s="3">
        <v>10</v>
      </c>
      <c r="L265" s="3">
        <v>0</v>
      </c>
      <c r="M265" s="3">
        <v>0</v>
      </c>
      <c r="N265" s="3">
        <v>10</v>
      </c>
      <c r="O265" s="3">
        <v>0.17</v>
      </c>
      <c r="P265" s="3">
        <v>0</v>
      </c>
      <c r="Q265" s="3">
        <v>0</v>
      </c>
      <c r="R265" s="3">
        <v>0</v>
      </c>
    </row>
    <row r="266" spans="1:18">
      <c r="A266" s="3" t="s">
        <v>664</v>
      </c>
      <c r="B266" s="3" t="s">
        <v>665</v>
      </c>
      <c r="C266" s="3" t="s">
        <v>665</v>
      </c>
      <c r="D266" s="3" t="s">
        <v>666</v>
      </c>
      <c r="E266" s="3" t="s">
        <v>120</v>
      </c>
      <c r="F266" s="3">
        <v>24.98</v>
      </c>
      <c r="G266" s="3" t="s">
        <v>121</v>
      </c>
      <c r="H266" s="3"/>
      <c r="I266" s="3" t="s">
        <v>122</v>
      </c>
      <c r="J266" s="3">
        <v>3</v>
      </c>
      <c r="K266" s="3">
        <v>3</v>
      </c>
      <c r="L266" s="3">
        <v>0</v>
      </c>
      <c r="M266" s="3">
        <v>0</v>
      </c>
      <c r="N266" s="3">
        <v>3</v>
      </c>
      <c r="O266" s="3">
        <v>0.17</v>
      </c>
      <c r="P266" s="3">
        <v>0</v>
      </c>
      <c r="Q266" s="3">
        <v>0</v>
      </c>
      <c r="R266" s="3">
        <v>0</v>
      </c>
    </row>
    <row r="267" spans="1:18">
      <c r="A267" s="3" t="s">
        <v>667</v>
      </c>
      <c r="B267" s="3" t="s">
        <v>668</v>
      </c>
      <c r="C267" s="3" t="s">
        <v>668</v>
      </c>
      <c r="D267" s="3" t="s">
        <v>669</v>
      </c>
      <c r="E267" s="3" t="s">
        <v>120</v>
      </c>
      <c r="F267" s="3">
        <v>24.98</v>
      </c>
      <c r="G267" s="3" t="s">
        <v>121</v>
      </c>
      <c r="H267" s="3"/>
      <c r="I267" s="3" t="s">
        <v>122</v>
      </c>
      <c r="J267" s="3">
        <v>6</v>
      </c>
      <c r="K267" s="3">
        <v>6</v>
      </c>
      <c r="L267" s="3">
        <v>0</v>
      </c>
      <c r="M267" s="3">
        <v>0</v>
      </c>
      <c r="N267" s="3">
        <v>6</v>
      </c>
      <c r="O267" s="3">
        <v>0.17</v>
      </c>
      <c r="P267" s="3">
        <v>0</v>
      </c>
      <c r="Q267" s="3">
        <v>0</v>
      </c>
      <c r="R267" s="3">
        <v>0</v>
      </c>
    </row>
    <row r="268" spans="1:18">
      <c r="A268" s="3" t="s">
        <v>670</v>
      </c>
      <c r="B268" s="3" t="s">
        <v>671</v>
      </c>
      <c r="C268" s="3" t="s">
        <v>671</v>
      </c>
      <c r="D268" s="3" t="s">
        <v>672</v>
      </c>
      <c r="E268" s="3" t="s">
        <v>120</v>
      </c>
      <c r="F268" s="3">
        <v>24.98</v>
      </c>
      <c r="G268" s="3" t="s">
        <v>121</v>
      </c>
      <c r="H268" s="3"/>
      <c r="I268" s="3" t="s">
        <v>122</v>
      </c>
      <c r="J268" s="3">
        <v>0</v>
      </c>
      <c r="K268" s="3">
        <v>0</v>
      </c>
      <c r="L268" s="3">
        <v>0</v>
      </c>
      <c r="M268" s="3">
        <v>0</v>
      </c>
      <c r="N268" s="3">
        <v>0</v>
      </c>
      <c r="O268" s="3">
        <v>0.17</v>
      </c>
      <c r="P268" s="3">
        <v>0</v>
      </c>
      <c r="Q268" s="3">
        <v>0</v>
      </c>
      <c r="R268" s="3">
        <v>0</v>
      </c>
    </row>
    <row r="269" spans="1:18">
      <c r="A269" s="3" t="s">
        <v>673</v>
      </c>
      <c r="B269" s="3" t="s">
        <v>674</v>
      </c>
      <c r="C269" s="3" t="s">
        <v>674</v>
      </c>
      <c r="D269" s="3" t="s">
        <v>675</v>
      </c>
      <c r="E269" s="3" t="s">
        <v>120</v>
      </c>
      <c r="F269" s="3">
        <v>24.98</v>
      </c>
      <c r="G269" s="3" t="s">
        <v>121</v>
      </c>
      <c r="H269" s="3"/>
      <c r="I269" s="3" t="s">
        <v>122</v>
      </c>
      <c r="J269" s="3">
        <v>0</v>
      </c>
      <c r="K269" s="3">
        <v>0</v>
      </c>
      <c r="L269" s="3">
        <v>0</v>
      </c>
      <c r="M269" s="3">
        <v>0</v>
      </c>
      <c r="N269" s="3">
        <v>0</v>
      </c>
      <c r="O269" s="3">
        <v>0.17</v>
      </c>
      <c r="P269" s="3">
        <v>0</v>
      </c>
      <c r="Q269" s="3">
        <v>0</v>
      </c>
      <c r="R269" s="3">
        <v>0</v>
      </c>
    </row>
    <row r="270" spans="1:18">
      <c r="A270" s="3" t="s">
        <v>676</v>
      </c>
      <c r="B270" s="3" t="s">
        <v>677</v>
      </c>
      <c r="C270" s="3" t="s">
        <v>677</v>
      </c>
      <c r="D270" s="3" t="s">
        <v>678</v>
      </c>
      <c r="E270" s="3" t="s">
        <v>120</v>
      </c>
      <c r="F270" s="3">
        <v>24.98</v>
      </c>
      <c r="G270" s="3" t="s">
        <v>121</v>
      </c>
      <c r="H270" s="3"/>
      <c r="I270" s="3" t="s">
        <v>122</v>
      </c>
      <c r="J270" s="3">
        <v>2</v>
      </c>
      <c r="K270" s="3">
        <v>2</v>
      </c>
      <c r="L270" s="3">
        <v>0</v>
      </c>
      <c r="M270" s="3">
        <v>0</v>
      </c>
      <c r="N270" s="3">
        <v>2</v>
      </c>
      <c r="O270" s="3">
        <v>0.17</v>
      </c>
      <c r="P270" s="3">
        <v>0</v>
      </c>
      <c r="Q270" s="3">
        <v>0</v>
      </c>
      <c r="R270" s="3">
        <v>0</v>
      </c>
    </row>
    <row r="271" spans="1:18">
      <c r="A271" s="3" t="s">
        <v>679</v>
      </c>
      <c r="B271" s="3" t="s">
        <v>680</v>
      </c>
      <c r="C271" s="3" t="s">
        <v>680</v>
      </c>
      <c r="D271" s="3" t="s">
        <v>681</v>
      </c>
      <c r="E271" s="3" t="s">
        <v>120</v>
      </c>
      <c r="F271" s="3">
        <v>24.98</v>
      </c>
      <c r="G271" s="3" t="s">
        <v>121</v>
      </c>
      <c r="H271" s="3"/>
      <c r="I271" s="3" t="s">
        <v>122</v>
      </c>
      <c r="J271" s="3">
        <v>10</v>
      </c>
      <c r="K271" s="3">
        <v>10</v>
      </c>
      <c r="L271" s="3">
        <v>0</v>
      </c>
      <c r="M271" s="3">
        <v>0</v>
      </c>
      <c r="N271" s="3">
        <v>10</v>
      </c>
      <c r="O271" s="3">
        <v>0.17</v>
      </c>
      <c r="P271" s="3">
        <v>0</v>
      </c>
      <c r="Q271" s="3">
        <v>0</v>
      </c>
      <c r="R271" s="3">
        <v>0</v>
      </c>
    </row>
    <row r="272" spans="1:18">
      <c r="A272" s="3" t="s">
        <v>682</v>
      </c>
      <c r="B272" s="3" t="s">
        <v>683</v>
      </c>
      <c r="C272" s="3" t="s">
        <v>683</v>
      </c>
      <c r="D272" s="3" t="s">
        <v>684</v>
      </c>
      <c r="E272" s="3" t="s">
        <v>120</v>
      </c>
      <c r="F272" s="3">
        <v>24.98</v>
      </c>
      <c r="G272" s="3" t="s">
        <v>121</v>
      </c>
      <c r="H272" s="3"/>
      <c r="I272" s="3" t="s">
        <v>122</v>
      </c>
      <c r="J272" s="3">
        <v>9</v>
      </c>
      <c r="K272" s="3">
        <v>9</v>
      </c>
      <c r="L272" s="3">
        <v>0</v>
      </c>
      <c r="M272" s="3">
        <v>0</v>
      </c>
      <c r="N272" s="3">
        <v>9</v>
      </c>
      <c r="O272" s="3">
        <v>0.17</v>
      </c>
      <c r="P272" s="3">
        <v>0</v>
      </c>
      <c r="Q272" s="3">
        <v>0</v>
      </c>
      <c r="R272" s="3">
        <v>0</v>
      </c>
    </row>
    <row r="273" spans="1:18">
      <c r="A273" s="3" t="s">
        <v>685</v>
      </c>
      <c r="B273" s="3" t="s">
        <v>686</v>
      </c>
      <c r="C273" s="3" t="s">
        <v>686</v>
      </c>
      <c r="D273" s="3" t="s">
        <v>687</v>
      </c>
      <c r="E273" s="3" t="s">
        <v>120</v>
      </c>
      <c r="F273" s="3">
        <v>24.98</v>
      </c>
      <c r="G273" s="3" t="s">
        <v>121</v>
      </c>
      <c r="H273" s="3"/>
      <c r="I273" s="3" t="s">
        <v>122</v>
      </c>
      <c r="J273" s="3">
        <v>9</v>
      </c>
      <c r="K273" s="3">
        <v>9</v>
      </c>
      <c r="L273" s="3">
        <v>0</v>
      </c>
      <c r="M273" s="3">
        <v>0</v>
      </c>
      <c r="N273" s="3">
        <v>9</v>
      </c>
      <c r="O273" s="3">
        <v>0.17</v>
      </c>
      <c r="P273" s="3">
        <v>0</v>
      </c>
      <c r="Q273" s="3">
        <v>0</v>
      </c>
      <c r="R273" s="3">
        <v>0</v>
      </c>
    </row>
    <row r="274" spans="1:18">
      <c r="A274" s="3" t="s">
        <v>688</v>
      </c>
      <c r="B274" s="3" t="s">
        <v>689</v>
      </c>
      <c r="C274" s="3" t="s">
        <v>689</v>
      </c>
      <c r="D274" s="3" t="s">
        <v>690</v>
      </c>
      <c r="E274" s="3" t="s">
        <v>120</v>
      </c>
      <c r="F274" s="3">
        <v>24.98</v>
      </c>
      <c r="G274" s="3" t="s">
        <v>121</v>
      </c>
      <c r="H274" s="3"/>
      <c r="I274" s="3" t="s">
        <v>122</v>
      </c>
      <c r="J274" s="3">
        <v>10</v>
      </c>
      <c r="K274" s="3">
        <v>10</v>
      </c>
      <c r="L274" s="3">
        <v>0</v>
      </c>
      <c r="M274" s="3">
        <v>0</v>
      </c>
      <c r="N274" s="3">
        <v>10</v>
      </c>
      <c r="O274" s="3">
        <v>0.17</v>
      </c>
      <c r="P274" s="3">
        <v>0</v>
      </c>
      <c r="Q274" s="3">
        <v>0</v>
      </c>
      <c r="R274" s="3">
        <v>0</v>
      </c>
    </row>
    <row r="275" spans="1:18">
      <c r="A275" s="3" t="s">
        <v>691</v>
      </c>
      <c r="B275" s="3" t="s">
        <v>692</v>
      </c>
      <c r="C275" s="3" t="s">
        <v>692</v>
      </c>
      <c r="D275" s="3" t="s">
        <v>693</v>
      </c>
      <c r="E275" s="3" t="s">
        <v>120</v>
      </c>
      <c r="F275" s="3">
        <v>24.98</v>
      </c>
      <c r="G275" s="3" t="s">
        <v>121</v>
      </c>
      <c r="H275" s="3"/>
      <c r="I275" s="3" t="s">
        <v>122</v>
      </c>
      <c r="J275" s="3">
        <v>3</v>
      </c>
      <c r="K275" s="3">
        <v>3</v>
      </c>
      <c r="L275" s="3">
        <v>0</v>
      </c>
      <c r="M275" s="3">
        <v>0</v>
      </c>
      <c r="N275" s="3">
        <v>3</v>
      </c>
      <c r="O275" s="3">
        <v>0.17</v>
      </c>
      <c r="P275" s="3">
        <v>0</v>
      </c>
      <c r="Q275" s="3">
        <v>0</v>
      </c>
      <c r="R275" s="3">
        <v>0</v>
      </c>
    </row>
    <row r="276" spans="1:18">
      <c r="A276" s="3" t="s">
        <v>694</v>
      </c>
      <c r="B276" s="3" t="s">
        <v>695</v>
      </c>
      <c r="C276" s="3" t="s">
        <v>590</v>
      </c>
      <c r="D276" s="3" t="s">
        <v>591</v>
      </c>
      <c r="E276" s="3" t="s">
        <v>120</v>
      </c>
      <c r="F276" s="3">
        <v>24.98</v>
      </c>
      <c r="G276" s="3" t="s">
        <v>121</v>
      </c>
      <c r="H276" s="3"/>
      <c r="I276" s="3" t="s">
        <v>122</v>
      </c>
      <c r="J276" s="3">
        <v>0</v>
      </c>
      <c r="K276" s="3">
        <v>0</v>
      </c>
      <c r="L276" s="3">
        <v>0</v>
      </c>
      <c r="M276" s="3">
        <v>0</v>
      </c>
      <c r="N276" s="3">
        <v>0</v>
      </c>
      <c r="O276" s="3">
        <v>0.17</v>
      </c>
      <c r="P276" s="3">
        <v>0</v>
      </c>
      <c r="Q276" s="3">
        <v>0</v>
      </c>
      <c r="R276" s="3">
        <v>0</v>
      </c>
    </row>
    <row r="277" spans="1:18">
      <c r="A277" s="3" t="s">
        <v>696</v>
      </c>
      <c r="B277" s="3" t="s">
        <v>697</v>
      </c>
      <c r="C277" s="3" t="s">
        <v>593</v>
      </c>
      <c r="D277" s="3" t="s">
        <v>594</v>
      </c>
      <c r="E277" s="3" t="s">
        <v>120</v>
      </c>
      <c r="F277" s="3">
        <v>24.98</v>
      </c>
      <c r="G277" s="3" t="s">
        <v>121</v>
      </c>
      <c r="H277" s="3"/>
      <c r="I277" s="3" t="s">
        <v>122</v>
      </c>
      <c r="J277" s="3">
        <v>0</v>
      </c>
      <c r="K277" s="3">
        <v>0</v>
      </c>
      <c r="L277" s="3">
        <v>0</v>
      </c>
      <c r="M277" s="3">
        <v>0</v>
      </c>
      <c r="N277" s="3">
        <v>0</v>
      </c>
      <c r="O277" s="3">
        <v>0.17</v>
      </c>
      <c r="P277" s="3">
        <v>0</v>
      </c>
      <c r="Q277" s="3">
        <v>0</v>
      </c>
      <c r="R277" s="3">
        <v>0</v>
      </c>
    </row>
    <row r="278" spans="1:18">
      <c r="A278" s="3" t="s">
        <v>698</v>
      </c>
      <c r="B278" s="3" t="s">
        <v>699</v>
      </c>
      <c r="C278" s="3" t="s">
        <v>596</v>
      </c>
      <c r="D278" s="3" t="s">
        <v>597</v>
      </c>
      <c r="E278" s="3" t="s">
        <v>120</v>
      </c>
      <c r="F278" s="3">
        <v>24.98</v>
      </c>
      <c r="G278" s="3" t="s">
        <v>121</v>
      </c>
      <c r="H278" s="3"/>
      <c r="I278" s="3" t="s">
        <v>122</v>
      </c>
      <c r="J278" s="3">
        <v>0</v>
      </c>
      <c r="K278" s="3">
        <v>0</v>
      </c>
      <c r="L278" s="3">
        <v>0</v>
      </c>
      <c r="M278" s="3">
        <v>0</v>
      </c>
      <c r="N278" s="3">
        <v>0</v>
      </c>
      <c r="O278" s="3">
        <v>0.17</v>
      </c>
      <c r="P278" s="3">
        <v>0</v>
      </c>
      <c r="Q278" s="3">
        <v>0</v>
      </c>
      <c r="R278" s="3">
        <v>0</v>
      </c>
    </row>
    <row r="279" spans="1:18">
      <c r="A279" s="3" t="s">
        <v>700</v>
      </c>
      <c r="B279" s="3" t="s">
        <v>701</v>
      </c>
      <c r="C279" s="3" t="s">
        <v>599</v>
      </c>
      <c r="D279" s="3" t="s">
        <v>600</v>
      </c>
      <c r="E279" s="3" t="s">
        <v>120</v>
      </c>
      <c r="F279" s="3">
        <v>24.98</v>
      </c>
      <c r="G279" s="3" t="s">
        <v>121</v>
      </c>
      <c r="H279" s="3"/>
      <c r="I279" s="3" t="s">
        <v>122</v>
      </c>
      <c r="J279" s="3">
        <v>0</v>
      </c>
      <c r="K279" s="3">
        <v>0</v>
      </c>
      <c r="L279" s="3">
        <v>0</v>
      </c>
      <c r="M279" s="3">
        <v>0</v>
      </c>
      <c r="N279" s="3">
        <v>0</v>
      </c>
      <c r="O279" s="3">
        <v>0.17</v>
      </c>
      <c r="P279" s="3">
        <v>0</v>
      </c>
      <c r="Q279" s="3">
        <v>0</v>
      </c>
      <c r="R279" s="3">
        <v>0</v>
      </c>
    </row>
    <row r="280" spans="1:18">
      <c r="A280" s="3" t="s">
        <v>702</v>
      </c>
      <c r="B280" s="3" t="s">
        <v>703</v>
      </c>
      <c r="C280" s="3" t="s">
        <v>602</v>
      </c>
      <c r="D280" s="3" t="s">
        <v>603</v>
      </c>
      <c r="E280" s="3" t="s">
        <v>120</v>
      </c>
      <c r="F280" s="3">
        <v>24.98</v>
      </c>
      <c r="G280" s="3" t="s">
        <v>121</v>
      </c>
      <c r="H280" s="3"/>
      <c r="I280" s="3" t="s">
        <v>122</v>
      </c>
      <c r="J280" s="3">
        <v>0</v>
      </c>
      <c r="K280" s="3">
        <v>0</v>
      </c>
      <c r="L280" s="3">
        <v>0</v>
      </c>
      <c r="M280" s="3">
        <v>0</v>
      </c>
      <c r="N280" s="3">
        <v>0</v>
      </c>
      <c r="O280" s="3">
        <v>0.17</v>
      </c>
      <c r="P280" s="3">
        <v>0</v>
      </c>
      <c r="Q280" s="3">
        <v>0</v>
      </c>
      <c r="R280" s="3">
        <v>0</v>
      </c>
    </row>
    <row r="281" spans="1:18">
      <c r="A281" s="3" t="s">
        <v>704</v>
      </c>
      <c r="B281" s="3" t="s">
        <v>705</v>
      </c>
      <c r="C281" s="3" t="s">
        <v>605</v>
      </c>
      <c r="D281" s="3" t="s">
        <v>606</v>
      </c>
      <c r="E281" s="3" t="s">
        <v>120</v>
      </c>
      <c r="F281" s="3">
        <v>24.98</v>
      </c>
      <c r="G281" s="3" t="s">
        <v>121</v>
      </c>
      <c r="H281" s="3"/>
      <c r="I281" s="3" t="s">
        <v>122</v>
      </c>
      <c r="J281" s="3">
        <v>0</v>
      </c>
      <c r="K281" s="3">
        <v>0</v>
      </c>
      <c r="L281" s="3">
        <v>0</v>
      </c>
      <c r="M281" s="3">
        <v>0</v>
      </c>
      <c r="N281" s="3">
        <v>0</v>
      </c>
      <c r="O281" s="3">
        <v>0.17</v>
      </c>
      <c r="P281" s="3">
        <v>0</v>
      </c>
      <c r="Q281" s="3">
        <v>0</v>
      </c>
      <c r="R281" s="3">
        <v>0</v>
      </c>
    </row>
    <row r="282" spans="1:18">
      <c r="A282" s="3" t="s">
        <v>706</v>
      </c>
      <c r="B282" s="3" t="s">
        <v>707</v>
      </c>
      <c r="C282" s="3" t="s">
        <v>608</v>
      </c>
      <c r="D282" s="3" t="s">
        <v>609</v>
      </c>
      <c r="E282" s="3" t="s">
        <v>120</v>
      </c>
      <c r="F282" s="3">
        <v>24.98</v>
      </c>
      <c r="G282" s="3" t="s">
        <v>121</v>
      </c>
      <c r="H282" s="3"/>
      <c r="I282" s="3" t="s">
        <v>122</v>
      </c>
      <c r="J282" s="3">
        <v>0</v>
      </c>
      <c r="K282" s="3">
        <v>0</v>
      </c>
      <c r="L282" s="3">
        <v>0</v>
      </c>
      <c r="M282" s="3">
        <v>0</v>
      </c>
      <c r="N282" s="3">
        <v>0</v>
      </c>
      <c r="O282" s="3">
        <v>0.17</v>
      </c>
      <c r="P282" s="3">
        <v>0</v>
      </c>
      <c r="Q282" s="3">
        <v>0</v>
      </c>
      <c r="R282" s="3">
        <v>0</v>
      </c>
    </row>
    <row r="283" spans="1:18">
      <c r="A283" s="3" t="s">
        <v>708</v>
      </c>
      <c r="B283" s="3" t="s">
        <v>709</v>
      </c>
      <c r="C283" s="3" t="s">
        <v>611</v>
      </c>
      <c r="D283" s="3" t="s">
        <v>612</v>
      </c>
      <c r="E283" s="3" t="s">
        <v>120</v>
      </c>
      <c r="F283" s="3">
        <v>24.98</v>
      </c>
      <c r="G283" s="3" t="s">
        <v>121</v>
      </c>
      <c r="H283" s="3"/>
      <c r="I283" s="3" t="s">
        <v>122</v>
      </c>
      <c r="J283" s="3">
        <v>0</v>
      </c>
      <c r="K283" s="3">
        <v>0</v>
      </c>
      <c r="L283" s="3">
        <v>0</v>
      </c>
      <c r="M283" s="3">
        <v>0</v>
      </c>
      <c r="N283" s="3">
        <v>0</v>
      </c>
      <c r="O283" s="3">
        <v>0.17</v>
      </c>
      <c r="P283" s="3">
        <v>0</v>
      </c>
      <c r="Q283" s="3">
        <v>0</v>
      </c>
      <c r="R283" s="3">
        <v>0</v>
      </c>
    </row>
    <row r="284" spans="1:18">
      <c r="A284" s="3" t="s">
        <v>710</v>
      </c>
      <c r="B284" s="3" t="s">
        <v>711</v>
      </c>
      <c r="C284" s="3" t="s">
        <v>614</v>
      </c>
      <c r="D284" s="3" t="s">
        <v>615</v>
      </c>
      <c r="E284" s="3" t="s">
        <v>120</v>
      </c>
      <c r="F284" s="3">
        <v>24.98</v>
      </c>
      <c r="G284" s="3" t="s">
        <v>121</v>
      </c>
      <c r="H284" s="3"/>
      <c r="I284" s="3" t="s">
        <v>122</v>
      </c>
      <c r="J284" s="3">
        <v>5</v>
      </c>
      <c r="K284" s="3">
        <v>5</v>
      </c>
      <c r="L284" s="3">
        <v>0</v>
      </c>
      <c r="M284" s="3">
        <v>0</v>
      </c>
      <c r="N284" s="3">
        <v>5</v>
      </c>
      <c r="O284" s="3">
        <v>0.17</v>
      </c>
      <c r="P284" s="3">
        <v>0</v>
      </c>
      <c r="Q284" s="3">
        <v>0</v>
      </c>
      <c r="R284" s="3">
        <v>0</v>
      </c>
    </row>
    <row r="285" spans="1:18">
      <c r="A285" s="3" t="s">
        <v>712</v>
      </c>
      <c r="B285" s="3" t="s">
        <v>713</v>
      </c>
      <c r="C285" s="3" t="s">
        <v>617</v>
      </c>
      <c r="D285" s="3" t="s">
        <v>618</v>
      </c>
      <c r="E285" s="3" t="s">
        <v>120</v>
      </c>
      <c r="F285" s="3">
        <v>24.98</v>
      </c>
      <c r="G285" s="3" t="s">
        <v>121</v>
      </c>
      <c r="H285" s="3"/>
      <c r="I285" s="3" t="s">
        <v>122</v>
      </c>
      <c r="J285" s="3">
        <v>5</v>
      </c>
      <c r="K285" s="3">
        <v>5</v>
      </c>
      <c r="L285" s="3">
        <v>0</v>
      </c>
      <c r="M285" s="3">
        <v>0</v>
      </c>
      <c r="N285" s="3">
        <v>5</v>
      </c>
      <c r="O285" s="3">
        <v>0.17</v>
      </c>
      <c r="P285" s="3">
        <v>0</v>
      </c>
      <c r="Q285" s="3">
        <v>0</v>
      </c>
      <c r="R285" s="3">
        <v>0</v>
      </c>
    </row>
    <row r="286" spans="1:18">
      <c r="A286" s="3" t="s">
        <v>714</v>
      </c>
      <c r="B286" s="3" t="s">
        <v>715</v>
      </c>
      <c r="C286" s="3" t="s">
        <v>620</v>
      </c>
      <c r="D286" s="3" t="s">
        <v>621</v>
      </c>
      <c r="E286" s="3" t="s">
        <v>120</v>
      </c>
      <c r="F286" s="3">
        <v>24.98</v>
      </c>
      <c r="G286" s="3" t="s">
        <v>121</v>
      </c>
      <c r="H286" s="3"/>
      <c r="I286" s="3" t="s">
        <v>122</v>
      </c>
      <c r="J286" s="3">
        <v>0</v>
      </c>
      <c r="K286" s="3">
        <v>0</v>
      </c>
      <c r="L286" s="3">
        <v>0</v>
      </c>
      <c r="M286" s="3">
        <v>0</v>
      </c>
      <c r="N286" s="3">
        <v>0</v>
      </c>
      <c r="O286" s="3">
        <v>0.17</v>
      </c>
      <c r="P286" s="3">
        <v>0</v>
      </c>
      <c r="Q286" s="3">
        <v>0</v>
      </c>
      <c r="R286" s="3">
        <v>0</v>
      </c>
    </row>
    <row r="287" spans="1:18">
      <c r="A287" s="3" t="s">
        <v>716</v>
      </c>
      <c r="B287" s="3" t="s">
        <v>717</v>
      </c>
      <c r="C287" s="3" t="s">
        <v>623</v>
      </c>
      <c r="D287" s="3" t="s">
        <v>624</v>
      </c>
      <c r="E287" s="3" t="s">
        <v>120</v>
      </c>
      <c r="F287" s="3">
        <v>24.98</v>
      </c>
      <c r="G287" s="3" t="s">
        <v>121</v>
      </c>
      <c r="H287" s="3"/>
      <c r="I287" s="3" t="s">
        <v>122</v>
      </c>
      <c r="J287" s="3">
        <v>0</v>
      </c>
      <c r="K287" s="3">
        <v>0</v>
      </c>
      <c r="L287" s="3">
        <v>0</v>
      </c>
      <c r="M287" s="3">
        <v>0</v>
      </c>
      <c r="N287" s="3">
        <v>0</v>
      </c>
      <c r="O287" s="3">
        <v>0.17</v>
      </c>
      <c r="P287" s="3">
        <v>0</v>
      </c>
      <c r="Q287" s="3">
        <v>0</v>
      </c>
      <c r="R287" s="3">
        <v>0</v>
      </c>
    </row>
    <row r="288" spans="1:18">
      <c r="A288" s="3" t="s">
        <v>718</v>
      </c>
      <c r="B288" s="3" t="s">
        <v>719</v>
      </c>
      <c r="C288" s="3" t="s">
        <v>626</v>
      </c>
      <c r="D288" s="3" t="s">
        <v>627</v>
      </c>
      <c r="E288" s="3" t="s">
        <v>120</v>
      </c>
      <c r="F288" s="3">
        <v>24.98</v>
      </c>
      <c r="G288" s="3" t="s">
        <v>121</v>
      </c>
      <c r="H288" s="3"/>
      <c r="I288" s="3" t="s">
        <v>122</v>
      </c>
      <c r="J288" s="3">
        <v>0</v>
      </c>
      <c r="K288" s="3">
        <v>0</v>
      </c>
      <c r="L288" s="3">
        <v>0</v>
      </c>
      <c r="M288" s="3">
        <v>0</v>
      </c>
      <c r="N288" s="3">
        <v>0</v>
      </c>
      <c r="O288" s="3">
        <v>0.17</v>
      </c>
      <c r="P288" s="3">
        <v>0</v>
      </c>
      <c r="Q288" s="3">
        <v>0</v>
      </c>
      <c r="R288" s="3">
        <v>0</v>
      </c>
    </row>
    <row r="289" spans="1:18">
      <c r="A289" s="3" t="s">
        <v>720</v>
      </c>
      <c r="B289" s="3" t="s">
        <v>721</v>
      </c>
      <c r="C289" s="3" t="s">
        <v>629</v>
      </c>
      <c r="D289" s="3" t="s">
        <v>630</v>
      </c>
      <c r="E289" s="3" t="s">
        <v>120</v>
      </c>
      <c r="F289" s="3">
        <v>24.98</v>
      </c>
      <c r="G289" s="3" t="s">
        <v>121</v>
      </c>
      <c r="H289" s="3"/>
      <c r="I289" s="3" t="s">
        <v>122</v>
      </c>
      <c r="J289" s="3">
        <v>0</v>
      </c>
      <c r="K289" s="3">
        <v>0</v>
      </c>
      <c r="L289" s="3">
        <v>0</v>
      </c>
      <c r="M289" s="3">
        <v>0</v>
      </c>
      <c r="N289" s="3">
        <v>0</v>
      </c>
      <c r="O289" s="3">
        <v>0.17</v>
      </c>
      <c r="P289" s="3">
        <v>0</v>
      </c>
      <c r="Q289" s="3">
        <v>0</v>
      </c>
      <c r="R289" s="3">
        <v>0</v>
      </c>
    </row>
    <row r="290" spans="1:18">
      <c r="A290" s="3" t="s">
        <v>722</v>
      </c>
      <c r="B290" s="3" t="s">
        <v>723</v>
      </c>
      <c r="C290" s="3" t="s">
        <v>632</v>
      </c>
      <c r="D290" s="3" t="s">
        <v>633</v>
      </c>
      <c r="E290" s="3" t="s">
        <v>120</v>
      </c>
      <c r="F290" s="3">
        <v>24.98</v>
      </c>
      <c r="G290" s="3" t="s">
        <v>121</v>
      </c>
      <c r="H290" s="3"/>
      <c r="I290" s="3" t="s">
        <v>122</v>
      </c>
      <c r="J290" s="3">
        <v>0</v>
      </c>
      <c r="K290" s="3">
        <v>0</v>
      </c>
      <c r="L290" s="3">
        <v>0</v>
      </c>
      <c r="M290" s="3">
        <v>0</v>
      </c>
      <c r="N290" s="3">
        <v>0</v>
      </c>
      <c r="O290" s="3">
        <v>0.17</v>
      </c>
      <c r="P290" s="3">
        <v>0</v>
      </c>
      <c r="Q290" s="3">
        <v>0</v>
      </c>
      <c r="R290" s="3">
        <v>0</v>
      </c>
    </row>
    <row r="291" spans="1:18">
      <c r="A291" s="3" t="s">
        <v>724</v>
      </c>
      <c r="B291" s="3" t="s">
        <v>725</v>
      </c>
      <c r="C291" s="3" t="s">
        <v>635</v>
      </c>
      <c r="D291" s="3" t="s">
        <v>636</v>
      </c>
      <c r="E291" s="3" t="s">
        <v>120</v>
      </c>
      <c r="F291" s="3">
        <v>24.98</v>
      </c>
      <c r="G291" s="3" t="s">
        <v>121</v>
      </c>
      <c r="H291" s="3"/>
      <c r="I291" s="3" t="s">
        <v>122</v>
      </c>
      <c r="J291" s="3">
        <v>0</v>
      </c>
      <c r="K291" s="3">
        <v>0</v>
      </c>
      <c r="L291" s="3">
        <v>0</v>
      </c>
      <c r="M291" s="3">
        <v>0</v>
      </c>
      <c r="N291" s="3">
        <v>0</v>
      </c>
      <c r="O291" s="3">
        <v>0.17</v>
      </c>
      <c r="P291" s="3">
        <v>0</v>
      </c>
      <c r="Q291" s="3">
        <v>0</v>
      </c>
      <c r="R291" s="3">
        <v>0</v>
      </c>
    </row>
    <row r="292" spans="1:18">
      <c r="A292" s="3" t="s">
        <v>726</v>
      </c>
      <c r="B292" s="3" t="s">
        <v>727</v>
      </c>
      <c r="C292" s="3" t="s">
        <v>638</v>
      </c>
      <c r="D292" s="3" t="s">
        <v>639</v>
      </c>
      <c r="E292" s="3" t="s">
        <v>120</v>
      </c>
      <c r="F292" s="3">
        <v>24.98</v>
      </c>
      <c r="G292" s="3" t="s">
        <v>121</v>
      </c>
      <c r="H292" s="3"/>
      <c r="I292" s="3" t="s">
        <v>122</v>
      </c>
      <c r="J292" s="3">
        <v>0</v>
      </c>
      <c r="K292" s="3">
        <v>0</v>
      </c>
      <c r="L292" s="3">
        <v>0</v>
      </c>
      <c r="M292" s="3">
        <v>0</v>
      </c>
      <c r="N292" s="3">
        <v>0</v>
      </c>
      <c r="O292" s="3">
        <v>0.17</v>
      </c>
      <c r="P292" s="3">
        <v>0</v>
      </c>
      <c r="Q292" s="3">
        <v>0</v>
      </c>
      <c r="R292" s="3">
        <v>0</v>
      </c>
    </row>
    <row r="293" spans="1:18">
      <c r="A293" s="3" t="s">
        <v>728</v>
      </c>
      <c r="B293" s="3" t="s">
        <v>729</v>
      </c>
      <c r="C293" s="3" t="s">
        <v>641</v>
      </c>
      <c r="D293" s="3" t="s">
        <v>642</v>
      </c>
      <c r="E293" s="3" t="s">
        <v>120</v>
      </c>
      <c r="F293" s="3">
        <v>24.98</v>
      </c>
      <c r="G293" s="3" t="s">
        <v>121</v>
      </c>
      <c r="H293" s="3"/>
      <c r="I293" s="3" t="s">
        <v>122</v>
      </c>
      <c r="J293" s="3">
        <v>0</v>
      </c>
      <c r="K293" s="3">
        <v>0</v>
      </c>
      <c r="L293" s="3">
        <v>0</v>
      </c>
      <c r="M293" s="3">
        <v>0</v>
      </c>
      <c r="N293" s="3">
        <v>0</v>
      </c>
      <c r="O293" s="3">
        <v>0.17</v>
      </c>
      <c r="P293" s="3">
        <v>0</v>
      </c>
      <c r="Q293" s="3">
        <v>0</v>
      </c>
      <c r="R293" s="3">
        <v>0</v>
      </c>
    </row>
    <row r="294" spans="1:18">
      <c r="A294" s="3" t="s">
        <v>730</v>
      </c>
      <c r="B294" s="3" t="s">
        <v>731</v>
      </c>
      <c r="C294" s="3" t="s">
        <v>644</v>
      </c>
      <c r="D294" s="3" t="s">
        <v>645</v>
      </c>
      <c r="E294" s="3" t="s">
        <v>120</v>
      </c>
      <c r="F294" s="3">
        <v>24.98</v>
      </c>
      <c r="G294" s="3" t="s">
        <v>121</v>
      </c>
      <c r="H294" s="3"/>
      <c r="I294" s="3" t="s">
        <v>122</v>
      </c>
      <c r="J294" s="3">
        <v>0</v>
      </c>
      <c r="K294" s="3">
        <v>0</v>
      </c>
      <c r="L294" s="3">
        <v>0</v>
      </c>
      <c r="M294" s="3">
        <v>0</v>
      </c>
      <c r="N294" s="3">
        <v>0</v>
      </c>
      <c r="O294" s="3">
        <v>0.17</v>
      </c>
      <c r="P294" s="3">
        <v>0</v>
      </c>
      <c r="Q294" s="3">
        <v>0</v>
      </c>
      <c r="R294" s="3">
        <v>0</v>
      </c>
    </row>
    <row r="295" spans="1:18">
      <c r="A295" s="3" t="s">
        <v>732</v>
      </c>
      <c r="B295" s="3" t="s">
        <v>733</v>
      </c>
      <c r="C295" s="3" t="s">
        <v>647</v>
      </c>
      <c r="D295" s="3" t="s">
        <v>648</v>
      </c>
      <c r="E295" s="3" t="s">
        <v>120</v>
      </c>
      <c r="F295" s="3">
        <v>24.98</v>
      </c>
      <c r="G295" s="3" t="s">
        <v>121</v>
      </c>
      <c r="H295" s="3"/>
      <c r="I295" s="3" t="s">
        <v>122</v>
      </c>
      <c r="J295" s="3">
        <v>0</v>
      </c>
      <c r="K295" s="3">
        <v>0</v>
      </c>
      <c r="L295" s="3">
        <v>0</v>
      </c>
      <c r="M295" s="3">
        <v>0</v>
      </c>
      <c r="N295" s="3">
        <v>0</v>
      </c>
      <c r="O295" s="3">
        <v>0.17</v>
      </c>
      <c r="P295" s="3">
        <v>0</v>
      </c>
      <c r="Q295" s="3">
        <v>0</v>
      </c>
      <c r="R295" s="3">
        <v>0</v>
      </c>
    </row>
    <row r="296" spans="1:18">
      <c r="A296" s="3" t="s">
        <v>734</v>
      </c>
      <c r="B296" s="3" t="s">
        <v>735</v>
      </c>
      <c r="C296" s="3" t="s">
        <v>650</v>
      </c>
      <c r="D296" s="3" t="s">
        <v>651</v>
      </c>
      <c r="E296" s="3" t="s">
        <v>120</v>
      </c>
      <c r="F296" s="3">
        <v>24.98</v>
      </c>
      <c r="G296" s="3" t="s">
        <v>121</v>
      </c>
      <c r="H296" s="3"/>
      <c r="I296" s="3" t="s">
        <v>122</v>
      </c>
      <c r="J296" s="3">
        <v>0</v>
      </c>
      <c r="K296" s="3">
        <v>0</v>
      </c>
      <c r="L296" s="3">
        <v>0</v>
      </c>
      <c r="M296" s="3">
        <v>0</v>
      </c>
      <c r="N296" s="3">
        <v>0</v>
      </c>
      <c r="O296" s="3">
        <v>0.17</v>
      </c>
      <c r="P296" s="3">
        <v>0</v>
      </c>
      <c r="Q296" s="3">
        <v>0</v>
      </c>
      <c r="R296" s="3">
        <v>0</v>
      </c>
    </row>
    <row r="297" spans="1:18">
      <c r="A297" s="3" t="s">
        <v>736</v>
      </c>
      <c r="B297" s="3" t="s">
        <v>737</v>
      </c>
      <c r="C297" s="3" t="s">
        <v>653</v>
      </c>
      <c r="D297" s="3" t="s">
        <v>654</v>
      </c>
      <c r="E297" s="3" t="s">
        <v>120</v>
      </c>
      <c r="F297" s="3">
        <v>24.98</v>
      </c>
      <c r="G297" s="3" t="s">
        <v>121</v>
      </c>
      <c r="H297" s="3"/>
      <c r="I297" s="3" t="s">
        <v>122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0.17</v>
      </c>
      <c r="P297" s="3">
        <v>0</v>
      </c>
      <c r="Q297" s="3">
        <v>0</v>
      </c>
      <c r="R297" s="3">
        <v>0</v>
      </c>
    </row>
    <row r="298" spans="1:18">
      <c r="A298" s="3" t="s">
        <v>738</v>
      </c>
      <c r="B298" s="3" t="s">
        <v>739</v>
      </c>
      <c r="C298" s="3" t="s">
        <v>656</v>
      </c>
      <c r="D298" s="3" t="s">
        <v>657</v>
      </c>
      <c r="E298" s="3" t="s">
        <v>120</v>
      </c>
      <c r="F298" s="3">
        <v>24.98</v>
      </c>
      <c r="G298" s="3" t="s">
        <v>121</v>
      </c>
      <c r="H298" s="3"/>
      <c r="I298" s="3" t="s">
        <v>122</v>
      </c>
      <c r="J298" s="3">
        <v>0</v>
      </c>
      <c r="K298" s="3">
        <v>0</v>
      </c>
      <c r="L298" s="3">
        <v>0</v>
      </c>
      <c r="M298" s="3">
        <v>0</v>
      </c>
      <c r="N298" s="3">
        <v>0</v>
      </c>
      <c r="O298" s="3">
        <v>0.17</v>
      </c>
      <c r="P298" s="3">
        <v>0</v>
      </c>
      <c r="Q298" s="3">
        <v>0</v>
      </c>
      <c r="R298" s="3">
        <v>0</v>
      </c>
    </row>
    <row r="299" spans="1:18">
      <c r="A299" s="3" t="s">
        <v>740</v>
      </c>
      <c r="B299" s="3" t="s">
        <v>741</v>
      </c>
      <c r="C299" s="3" t="s">
        <v>659</v>
      </c>
      <c r="D299" s="3" t="s">
        <v>660</v>
      </c>
      <c r="E299" s="3" t="s">
        <v>120</v>
      </c>
      <c r="F299" s="3">
        <v>24.98</v>
      </c>
      <c r="G299" s="3" t="s">
        <v>121</v>
      </c>
      <c r="H299" s="3"/>
      <c r="I299" s="3" t="s">
        <v>122</v>
      </c>
      <c r="J299" s="3">
        <v>0</v>
      </c>
      <c r="K299" s="3">
        <v>0</v>
      </c>
      <c r="L299" s="3">
        <v>0</v>
      </c>
      <c r="M299" s="3">
        <v>0</v>
      </c>
      <c r="N299" s="3">
        <v>0</v>
      </c>
      <c r="O299" s="3">
        <v>0.17</v>
      </c>
      <c r="P299" s="3">
        <v>0</v>
      </c>
      <c r="Q299" s="3">
        <v>0</v>
      </c>
      <c r="R299" s="3">
        <v>0</v>
      </c>
    </row>
    <row r="300" spans="1:18">
      <c r="A300" s="3" t="s">
        <v>742</v>
      </c>
      <c r="B300" s="3" t="s">
        <v>743</v>
      </c>
      <c r="C300" s="3" t="s">
        <v>662</v>
      </c>
      <c r="D300" s="3" t="s">
        <v>663</v>
      </c>
      <c r="E300" s="3" t="s">
        <v>120</v>
      </c>
      <c r="F300" s="3">
        <v>24.98</v>
      </c>
      <c r="G300" s="3" t="s">
        <v>121</v>
      </c>
      <c r="H300" s="3"/>
      <c r="I300" s="3" t="s">
        <v>122</v>
      </c>
      <c r="J300" s="3">
        <v>0</v>
      </c>
      <c r="K300" s="3">
        <v>0</v>
      </c>
      <c r="L300" s="3">
        <v>0</v>
      </c>
      <c r="M300" s="3">
        <v>0</v>
      </c>
      <c r="N300" s="3">
        <v>0</v>
      </c>
      <c r="O300" s="3">
        <v>0.17</v>
      </c>
      <c r="P300" s="3">
        <v>0</v>
      </c>
      <c r="Q300" s="3">
        <v>0</v>
      </c>
      <c r="R300" s="3">
        <v>0</v>
      </c>
    </row>
    <row r="301" spans="1:18">
      <c r="A301" s="3" t="s">
        <v>744</v>
      </c>
      <c r="B301" s="3" t="s">
        <v>745</v>
      </c>
      <c r="C301" s="3" t="s">
        <v>665</v>
      </c>
      <c r="D301" s="3" t="s">
        <v>666</v>
      </c>
      <c r="E301" s="3" t="s">
        <v>120</v>
      </c>
      <c r="F301" s="3">
        <v>24.98</v>
      </c>
      <c r="G301" s="3" t="s">
        <v>121</v>
      </c>
      <c r="H301" s="3"/>
      <c r="I301" s="3" t="s">
        <v>122</v>
      </c>
      <c r="J301" s="3">
        <v>5</v>
      </c>
      <c r="K301" s="3">
        <v>5</v>
      </c>
      <c r="L301" s="3">
        <v>0</v>
      </c>
      <c r="M301" s="3">
        <v>0</v>
      </c>
      <c r="N301" s="3">
        <v>5</v>
      </c>
      <c r="O301" s="3">
        <v>0.17</v>
      </c>
      <c r="P301" s="3">
        <v>0</v>
      </c>
      <c r="Q301" s="3">
        <v>0</v>
      </c>
      <c r="R301" s="3">
        <v>0</v>
      </c>
    </row>
    <row r="302" spans="1:18">
      <c r="A302" s="3" t="s">
        <v>746</v>
      </c>
      <c r="B302" s="3" t="s">
        <v>747</v>
      </c>
      <c r="C302" s="3" t="s">
        <v>668</v>
      </c>
      <c r="D302" s="3" t="s">
        <v>669</v>
      </c>
      <c r="E302" s="3" t="s">
        <v>120</v>
      </c>
      <c r="F302" s="3">
        <v>24.98</v>
      </c>
      <c r="G302" s="3" t="s">
        <v>121</v>
      </c>
      <c r="H302" s="3"/>
      <c r="I302" s="3" t="s">
        <v>122</v>
      </c>
      <c r="J302" s="3">
        <v>6</v>
      </c>
      <c r="K302" s="3">
        <v>6</v>
      </c>
      <c r="L302" s="3">
        <v>0</v>
      </c>
      <c r="M302" s="3">
        <v>0</v>
      </c>
      <c r="N302" s="3">
        <v>6</v>
      </c>
      <c r="O302" s="3">
        <v>0.17</v>
      </c>
      <c r="P302" s="3">
        <v>0</v>
      </c>
      <c r="Q302" s="3">
        <v>0</v>
      </c>
      <c r="R302" s="3">
        <v>0</v>
      </c>
    </row>
    <row r="303" spans="1:18">
      <c r="A303" s="3" t="s">
        <v>748</v>
      </c>
      <c r="B303" s="3" t="s">
        <v>749</v>
      </c>
      <c r="C303" s="3" t="s">
        <v>750</v>
      </c>
      <c r="D303" s="3" t="s">
        <v>672</v>
      </c>
      <c r="E303" s="3" t="s">
        <v>120</v>
      </c>
      <c r="F303" s="3">
        <v>24.98</v>
      </c>
      <c r="G303" s="3" t="s">
        <v>121</v>
      </c>
      <c r="H303" s="3"/>
      <c r="I303" s="3" t="s">
        <v>122</v>
      </c>
      <c r="J303" s="3">
        <v>0</v>
      </c>
      <c r="K303" s="3">
        <v>0</v>
      </c>
      <c r="L303" s="3">
        <v>0</v>
      </c>
      <c r="M303" s="3">
        <v>0</v>
      </c>
      <c r="N303" s="3">
        <v>0</v>
      </c>
      <c r="O303" s="3">
        <v>0</v>
      </c>
      <c r="P303" s="3">
        <v>0</v>
      </c>
      <c r="Q303" s="3">
        <v>0</v>
      </c>
      <c r="R303" s="3">
        <v>0</v>
      </c>
    </row>
    <row r="304" spans="1:18">
      <c r="A304" s="3" t="s">
        <v>751</v>
      </c>
      <c r="B304" s="3" t="s">
        <v>752</v>
      </c>
      <c r="C304" s="3" t="s">
        <v>674</v>
      </c>
      <c r="D304" s="3" t="s">
        <v>675</v>
      </c>
      <c r="E304" s="3" t="s">
        <v>120</v>
      </c>
      <c r="F304" s="3">
        <v>24.98</v>
      </c>
      <c r="G304" s="3" t="s">
        <v>121</v>
      </c>
      <c r="H304" s="3"/>
      <c r="I304" s="3" t="s">
        <v>122</v>
      </c>
      <c r="J304" s="3">
        <v>28</v>
      </c>
      <c r="K304" s="3">
        <v>28</v>
      </c>
      <c r="L304" s="3">
        <v>0</v>
      </c>
      <c r="M304" s="3">
        <v>0</v>
      </c>
      <c r="N304" s="3">
        <v>28</v>
      </c>
      <c r="O304" s="3">
        <v>0.17</v>
      </c>
      <c r="P304" s="3">
        <v>0</v>
      </c>
      <c r="Q304" s="3">
        <v>0</v>
      </c>
      <c r="R304" s="3">
        <v>0</v>
      </c>
    </row>
    <row r="305" spans="1:18">
      <c r="A305" s="3" t="s">
        <v>753</v>
      </c>
      <c r="B305" s="3" t="s">
        <v>754</v>
      </c>
      <c r="C305" s="3" t="s">
        <v>677</v>
      </c>
      <c r="D305" s="3" t="s">
        <v>678</v>
      </c>
      <c r="E305" s="3" t="s">
        <v>120</v>
      </c>
      <c r="F305" s="3">
        <v>24.98</v>
      </c>
      <c r="G305" s="3" t="s">
        <v>121</v>
      </c>
      <c r="H305" s="3"/>
      <c r="I305" s="3" t="s">
        <v>122</v>
      </c>
      <c r="J305" s="3">
        <v>10</v>
      </c>
      <c r="K305" s="3">
        <v>10</v>
      </c>
      <c r="L305" s="3">
        <v>0</v>
      </c>
      <c r="M305" s="3">
        <v>0</v>
      </c>
      <c r="N305" s="3">
        <v>10</v>
      </c>
      <c r="O305" s="3">
        <v>0.17</v>
      </c>
      <c r="P305" s="3">
        <v>0</v>
      </c>
      <c r="Q305" s="3">
        <v>0</v>
      </c>
      <c r="R305" s="3">
        <v>0</v>
      </c>
    </row>
    <row r="306" spans="1:18">
      <c r="A306" s="3" t="s">
        <v>755</v>
      </c>
      <c r="B306" s="3" t="s">
        <v>756</v>
      </c>
      <c r="C306" s="3" t="s">
        <v>680</v>
      </c>
      <c r="D306" s="3" t="s">
        <v>681</v>
      </c>
      <c r="E306" s="3" t="s">
        <v>120</v>
      </c>
      <c r="F306" s="3">
        <v>24.98</v>
      </c>
      <c r="G306" s="3" t="s">
        <v>121</v>
      </c>
      <c r="H306" s="3"/>
      <c r="I306" s="3" t="s">
        <v>122</v>
      </c>
      <c r="J306" s="3">
        <v>0</v>
      </c>
      <c r="K306" s="3">
        <v>0</v>
      </c>
      <c r="L306" s="3">
        <v>0</v>
      </c>
      <c r="M306" s="3">
        <v>0</v>
      </c>
      <c r="N306" s="3">
        <v>0</v>
      </c>
      <c r="O306" s="3">
        <v>0.17</v>
      </c>
      <c r="P306" s="3">
        <v>0</v>
      </c>
      <c r="Q306" s="3">
        <v>0</v>
      </c>
      <c r="R306" s="3">
        <v>0</v>
      </c>
    </row>
    <row r="307" spans="1:18">
      <c r="A307" s="3" t="s">
        <v>757</v>
      </c>
      <c r="B307" s="3" t="s">
        <v>758</v>
      </c>
      <c r="C307" s="3" t="s">
        <v>683</v>
      </c>
      <c r="D307" s="3" t="s">
        <v>684</v>
      </c>
      <c r="E307" s="3" t="s">
        <v>120</v>
      </c>
      <c r="F307" s="3">
        <v>24.98</v>
      </c>
      <c r="G307" s="3" t="s">
        <v>121</v>
      </c>
      <c r="H307" s="3"/>
      <c r="I307" s="3" t="s">
        <v>122</v>
      </c>
      <c r="J307" s="3">
        <v>0</v>
      </c>
      <c r="K307" s="3">
        <v>0</v>
      </c>
      <c r="L307" s="3">
        <v>0</v>
      </c>
      <c r="M307" s="3">
        <v>0</v>
      </c>
      <c r="N307" s="3">
        <v>0</v>
      </c>
      <c r="O307" s="3">
        <v>0.17</v>
      </c>
      <c r="P307" s="3">
        <v>0</v>
      </c>
      <c r="Q307" s="3">
        <v>0</v>
      </c>
      <c r="R307" s="3">
        <v>0</v>
      </c>
    </row>
    <row r="308" spans="1:18">
      <c r="A308" s="3" t="s">
        <v>759</v>
      </c>
      <c r="B308" s="3" t="s">
        <v>760</v>
      </c>
      <c r="C308" s="3" t="s">
        <v>686</v>
      </c>
      <c r="D308" s="3" t="s">
        <v>687</v>
      </c>
      <c r="E308" s="3" t="s">
        <v>120</v>
      </c>
      <c r="F308" s="3">
        <v>24.98</v>
      </c>
      <c r="G308" s="3" t="s">
        <v>121</v>
      </c>
      <c r="H308" s="3"/>
      <c r="I308" s="3" t="s">
        <v>122</v>
      </c>
      <c r="J308" s="3">
        <v>0</v>
      </c>
      <c r="K308" s="3">
        <v>0</v>
      </c>
      <c r="L308" s="3">
        <v>0</v>
      </c>
      <c r="M308" s="3">
        <v>0</v>
      </c>
      <c r="N308" s="3">
        <v>0</v>
      </c>
      <c r="O308" s="3">
        <v>0.17</v>
      </c>
      <c r="P308" s="3">
        <v>0</v>
      </c>
      <c r="Q308" s="3">
        <v>0</v>
      </c>
      <c r="R308" s="3">
        <v>0</v>
      </c>
    </row>
    <row r="309" spans="1:18">
      <c r="A309" s="3" t="s">
        <v>761</v>
      </c>
      <c r="B309" s="3" t="s">
        <v>762</v>
      </c>
      <c r="C309" s="3" t="s">
        <v>689</v>
      </c>
      <c r="D309" s="3" t="s">
        <v>690</v>
      </c>
      <c r="E309" s="3" t="s">
        <v>120</v>
      </c>
      <c r="F309" s="3">
        <v>24.98</v>
      </c>
      <c r="G309" s="3" t="s">
        <v>121</v>
      </c>
      <c r="H309" s="3"/>
      <c r="I309" s="3" t="s">
        <v>122</v>
      </c>
      <c r="J309" s="3">
        <v>0</v>
      </c>
      <c r="K309" s="3">
        <v>0</v>
      </c>
      <c r="L309" s="3">
        <v>0</v>
      </c>
      <c r="M309" s="3">
        <v>0</v>
      </c>
      <c r="N309" s="3">
        <v>0</v>
      </c>
      <c r="O309" s="3">
        <v>0.17</v>
      </c>
      <c r="P309" s="3">
        <v>0</v>
      </c>
      <c r="Q309" s="3">
        <v>0</v>
      </c>
      <c r="R309" s="3">
        <v>0</v>
      </c>
    </row>
    <row r="310" spans="1:18">
      <c r="A310" s="3" t="s">
        <v>763</v>
      </c>
      <c r="B310" s="3" t="s">
        <v>764</v>
      </c>
      <c r="C310" s="3" t="s">
        <v>692</v>
      </c>
      <c r="D310" s="3" t="s">
        <v>693</v>
      </c>
      <c r="E310" s="3" t="s">
        <v>120</v>
      </c>
      <c r="F310" s="3">
        <v>24.98</v>
      </c>
      <c r="G310" s="3" t="s">
        <v>121</v>
      </c>
      <c r="H310" s="3"/>
      <c r="I310" s="3" t="s">
        <v>122</v>
      </c>
      <c r="J310" s="3">
        <v>0</v>
      </c>
      <c r="K310" s="3">
        <v>0</v>
      </c>
      <c r="L310" s="3">
        <v>0</v>
      </c>
      <c r="M310" s="3">
        <v>0</v>
      </c>
      <c r="N310" s="3">
        <v>0</v>
      </c>
      <c r="O310" s="3">
        <v>0.17</v>
      </c>
      <c r="P310" s="3">
        <v>0</v>
      </c>
      <c r="Q310" s="3">
        <v>0</v>
      </c>
      <c r="R310" s="3">
        <v>0</v>
      </c>
    </row>
    <row r="311" spans="1:18">
      <c r="A311" s="3" t="s">
        <v>765</v>
      </c>
      <c r="B311" s="3" t="s">
        <v>514</v>
      </c>
      <c r="C311" s="3" t="s">
        <v>514</v>
      </c>
      <c r="D311" s="3" t="s">
        <v>766</v>
      </c>
      <c r="E311" s="3" t="s">
        <v>120</v>
      </c>
      <c r="F311" s="3">
        <v>39.98</v>
      </c>
      <c r="G311" s="3" t="s">
        <v>121</v>
      </c>
      <c r="H311" s="3"/>
      <c r="I311" s="3" t="s">
        <v>122</v>
      </c>
      <c r="J311" s="3">
        <v>0</v>
      </c>
      <c r="K311" s="3">
        <v>0</v>
      </c>
      <c r="L311" s="3">
        <v>0</v>
      </c>
      <c r="M311" s="3">
        <v>0</v>
      </c>
      <c r="N311" s="3">
        <v>0</v>
      </c>
      <c r="O311" s="3">
        <v>0.09</v>
      </c>
      <c r="P311" s="3">
        <v>0</v>
      </c>
      <c r="Q311" s="3">
        <v>0</v>
      </c>
      <c r="R311" s="3">
        <v>0</v>
      </c>
    </row>
    <row r="312" spans="1:18">
      <c r="A312" s="3" t="s">
        <v>767</v>
      </c>
      <c r="B312" s="3" t="s">
        <v>517</v>
      </c>
      <c r="C312" s="3" t="s">
        <v>517</v>
      </c>
      <c r="D312" s="3" t="s">
        <v>768</v>
      </c>
      <c r="E312" s="3" t="s">
        <v>120</v>
      </c>
      <c r="F312" s="3">
        <v>39.98</v>
      </c>
      <c r="G312" s="3" t="s">
        <v>121</v>
      </c>
      <c r="H312" s="3"/>
      <c r="I312" s="3" t="s">
        <v>122</v>
      </c>
      <c r="J312" s="3">
        <v>1</v>
      </c>
      <c r="K312" s="3">
        <v>0</v>
      </c>
      <c r="L312" s="3">
        <v>0</v>
      </c>
      <c r="M312" s="3">
        <v>1</v>
      </c>
      <c r="N312" s="3">
        <v>1</v>
      </c>
      <c r="O312" s="3">
        <v>0.09</v>
      </c>
      <c r="P312" s="3">
        <v>0</v>
      </c>
      <c r="Q312" s="3">
        <v>0</v>
      </c>
      <c r="R312" s="3">
        <v>0</v>
      </c>
    </row>
    <row r="313" spans="1:18">
      <c r="A313" s="3" t="s">
        <v>769</v>
      </c>
      <c r="B313" s="3" t="s">
        <v>520</v>
      </c>
      <c r="C313" s="3" t="s">
        <v>520</v>
      </c>
      <c r="D313" s="3" t="s">
        <v>770</v>
      </c>
      <c r="E313" s="3" t="s">
        <v>120</v>
      </c>
      <c r="F313" s="3">
        <v>39.98</v>
      </c>
      <c r="G313" s="3" t="s">
        <v>121</v>
      </c>
      <c r="H313" s="3"/>
      <c r="I313" s="3" t="s">
        <v>122</v>
      </c>
      <c r="J313" s="3">
        <v>1</v>
      </c>
      <c r="K313" s="3">
        <v>1</v>
      </c>
      <c r="L313" s="3">
        <v>0</v>
      </c>
      <c r="M313" s="3">
        <v>0</v>
      </c>
      <c r="N313" s="3">
        <v>1</v>
      </c>
      <c r="O313" s="3">
        <v>0.09</v>
      </c>
      <c r="P313" s="3">
        <v>0</v>
      </c>
      <c r="Q313" s="3">
        <v>0</v>
      </c>
      <c r="R313" s="3">
        <v>0</v>
      </c>
    </row>
    <row r="314" spans="1:18">
      <c r="A314" s="3" t="s">
        <v>771</v>
      </c>
      <c r="B314" s="3" t="s">
        <v>523</v>
      </c>
      <c r="C314" s="3" t="s">
        <v>523</v>
      </c>
      <c r="D314" s="3" t="s">
        <v>772</v>
      </c>
      <c r="E314" s="3" t="s">
        <v>120</v>
      </c>
      <c r="F314" s="3">
        <v>39.98</v>
      </c>
      <c r="G314" s="3" t="s">
        <v>121</v>
      </c>
      <c r="H314" s="3"/>
      <c r="I314" s="3" t="s">
        <v>122</v>
      </c>
      <c r="J314" s="3">
        <v>4</v>
      </c>
      <c r="K314" s="3">
        <v>4</v>
      </c>
      <c r="L314" s="3">
        <v>0</v>
      </c>
      <c r="M314" s="3">
        <v>0</v>
      </c>
      <c r="N314" s="3">
        <v>4</v>
      </c>
      <c r="O314" s="3">
        <v>0.09</v>
      </c>
      <c r="P314" s="3">
        <v>0</v>
      </c>
      <c r="Q314" s="3">
        <v>0</v>
      </c>
      <c r="R314" s="3">
        <v>0</v>
      </c>
    </row>
    <row r="315" spans="1:18">
      <c r="A315" s="3" t="s">
        <v>773</v>
      </c>
      <c r="B315" s="3" t="s">
        <v>525</v>
      </c>
      <c r="C315" s="3" t="s">
        <v>525</v>
      </c>
      <c r="D315" s="3" t="s">
        <v>774</v>
      </c>
      <c r="E315" s="3" t="s">
        <v>120</v>
      </c>
      <c r="F315" s="3">
        <v>39.98</v>
      </c>
      <c r="G315" s="3" t="s">
        <v>121</v>
      </c>
      <c r="H315" s="3"/>
      <c r="I315" s="3" t="s">
        <v>122</v>
      </c>
      <c r="J315" s="3">
        <v>0</v>
      </c>
      <c r="K315" s="3">
        <v>0</v>
      </c>
      <c r="L315" s="3">
        <v>0</v>
      </c>
      <c r="M315" s="3">
        <v>0</v>
      </c>
      <c r="N315" s="3">
        <v>0</v>
      </c>
      <c r="O315" s="3">
        <v>0.09</v>
      </c>
      <c r="P315" s="3">
        <v>0</v>
      </c>
      <c r="Q315" s="3">
        <v>0</v>
      </c>
      <c r="R315" s="3">
        <v>0</v>
      </c>
    </row>
    <row r="316" spans="1:18">
      <c r="A316" s="3" t="s">
        <v>775</v>
      </c>
      <c r="B316" s="3" t="s">
        <v>527</v>
      </c>
      <c r="C316" s="3" t="s">
        <v>527</v>
      </c>
      <c r="D316" s="3" t="s">
        <v>776</v>
      </c>
      <c r="E316" s="3" t="s">
        <v>120</v>
      </c>
      <c r="F316" s="3">
        <v>39.98</v>
      </c>
      <c r="G316" s="3" t="s">
        <v>121</v>
      </c>
      <c r="H316" s="3"/>
      <c r="I316" s="3" t="s">
        <v>122</v>
      </c>
      <c r="J316" s="3">
        <v>5</v>
      </c>
      <c r="K316" s="3">
        <v>5</v>
      </c>
      <c r="L316" s="3">
        <v>0</v>
      </c>
      <c r="M316" s="3">
        <v>0</v>
      </c>
      <c r="N316" s="3">
        <v>5</v>
      </c>
      <c r="O316" s="3">
        <v>0.09</v>
      </c>
      <c r="P316" s="3">
        <v>0</v>
      </c>
      <c r="Q316" s="3">
        <v>0</v>
      </c>
      <c r="R316" s="3">
        <v>0</v>
      </c>
    </row>
    <row r="317" spans="1:18">
      <c r="A317" s="3" t="s">
        <v>777</v>
      </c>
      <c r="B317" s="3" t="s">
        <v>529</v>
      </c>
      <c r="C317" s="3" t="s">
        <v>529</v>
      </c>
      <c r="D317" s="3" t="s">
        <v>778</v>
      </c>
      <c r="E317" s="3" t="s">
        <v>120</v>
      </c>
      <c r="F317" s="3">
        <v>39.98</v>
      </c>
      <c r="G317" s="3" t="s">
        <v>121</v>
      </c>
      <c r="H317" s="3"/>
      <c r="I317" s="3" t="s">
        <v>122</v>
      </c>
      <c r="J317" s="3">
        <v>3</v>
      </c>
      <c r="K317" s="3">
        <v>3</v>
      </c>
      <c r="L317" s="3">
        <v>0</v>
      </c>
      <c r="M317" s="3">
        <v>0</v>
      </c>
      <c r="N317" s="3">
        <v>3</v>
      </c>
      <c r="O317" s="3">
        <v>0.09</v>
      </c>
      <c r="P317" s="3">
        <v>0</v>
      </c>
      <c r="Q317" s="3">
        <v>0</v>
      </c>
      <c r="R317" s="3">
        <v>0</v>
      </c>
    </row>
    <row r="318" spans="1:18">
      <c r="A318" s="3" t="s">
        <v>779</v>
      </c>
      <c r="B318" s="3" t="s">
        <v>531</v>
      </c>
      <c r="C318" s="3" t="s">
        <v>531</v>
      </c>
      <c r="D318" s="3" t="s">
        <v>780</v>
      </c>
      <c r="E318" s="3" t="s">
        <v>120</v>
      </c>
      <c r="F318" s="3">
        <v>39.98</v>
      </c>
      <c r="G318" s="3" t="s">
        <v>121</v>
      </c>
      <c r="H318" s="3"/>
      <c r="I318" s="3" t="s">
        <v>122</v>
      </c>
      <c r="J318" s="3">
        <v>0</v>
      </c>
      <c r="K318" s="3">
        <v>0</v>
      </c>
      <c r="L318" s="3">
        <v>0</v>
      </c>
      <c r="M318" s="3">
        <v>0</v>
      </c>
      <c r="N318" s="3">
        <v>0</v>
      </c>
      <c r="O318" s="3">
        <v>0.09</v>
      </c>
      <c r="P318" s="3">
        <v>0</v>
      </c>
      <c r="Q318" s="3">
        <v>0</v>
      </c>
      <c r="R318" s="3">
        <v>0</v>
      </c>
    </row>
    <row r="319" spans="1:18">
      <c r="A319" s="3" t="s">
        <v>781</v>
      </c>
      <c r="B319" s="3" t="s">
        <v>533</v>
      </c>
      <c r="C319" s="3" t="s">
        <v>533</v>
      </c>
      <c r="D319" s="3" t="s">
        <v>782</v>
      </c>
      <c r="E319" s="3" t="s">
        <v>120</v>
      </c>
      <c r="F319" s="3">
        <v>39.98</v>
      </c>
      <c r="G319" s="3" t="s">
        <v>121</v>
      </c>
      <c r="H319" s="3"/>
      <c r="I319" s="3" t="s">
        <v>122</v>
      </c>
      <c r="J319" s="3">
        <v>4</v>
      </c>
      <c r="K319" s="3">
        <v>4</v>
      </c>
      <c r="L319" s="3">
        <v>0</v>
      </c>
      <c r="M319" s="3">
        <v>0</v>
      </c>
      <c r="N319" s="3">
        <v>4</v>
      </c>
      <c r="O319" s="3">
        <v>0.09</v>
      </c>
      <c r="P319" s="3">
        <v>0</v>
      </c>
      <c r="Q319" s="3">
        <v>0</v>
      </c>
      <c r="R319" s="3">
        <v>0</v>
      </c>
    </row>
    <row r="320" spans="1:18">
      <c r="A320" s="3" t="s">
        <v>783</v>
      </c>
      <c r="B320" s="3" t="s">
        <v>535</v>
      </c>
      <c r="C320" s="3" t="s">
        <v>535</v>
      </c>
      <c r="D320" s="3" t="s">
        <v>784</v>
      </c>
      <c r="E320" s="3" t="s">
        <v>120</v>
      </c>
      <c r="F320" s="3">
        <v>39.98</v>
      </c>
      <c r="G320" s="3" t="s">
        <v>121</v>
      </c>
      <c r="H320" s="3"/>
      <c r="I320" s="3" t="s">
        <v>122</v>
      </c>
      <c r="J320" s="3">
        <v>2</v>
      </c>
      <c r="K320" s="3">
        <v>2</v>
      </c>
      <c r="L320" s="3">
        <v>0</v>
      </c>
      <c r="M320" s="3">
        <v>0</v>
      </c>
      <c r="N320" s="3">
        <v>2</v>
      </c>
      <c r="O320" s="3">
        <v>0.09</v>
      </c>
      <c r="P320" s="3">
        <v>0</v>
      </c>
      <c r="Q320" s="3">
        <v>0</v>
      </c>
      <c r="R320" s="3">
        <v>0</v>
      </c>
    </row>
    <row r="321" spans="1:18">
      <c r="A321" s="3" t="s">
        <v>785</v>
      </c>
      <c r="B321" s="3" t="s">
        <v>537</v>
      </c>
      <c r="C321" s="3" t="s">
        <v>537</v>
      </c>
      <c r="D321" s="3" t="s">
        <v>786</v>
      </c>
      <c r="E321" s="3" t="s">
        <v>120</v>
      </c>
      <c r="F321" s="3">
        <v>39.98</v>
      </c>
      <c r="G321" s="3" t="s">
        <v>121</v>
      </c>
      <c r="H321" s="3"/>
      <c r="I321" s="3" t="s">
        <v>122</v>
      </c>
      <c r="J321" s="3">
        <v>7</v>
      </c>
      <c r="K321" s="3">
        <v>7</v>
      </c>
      <c r="L321" s="3">
        <v>0</v>
      </c>
      <c r="M321" s="3">
        <v>0</v>
      </c>
      <c r="N321" s="3">
        <v>7</v>
      </c>
      <c r="O321" s="3">
        <v>0.09</v>
      </c>
      <c r="P321" s="3">
        <v>0</v>
      </c>
      <c r="Q321" s="3">
        <v>0</v>
      </c>
      <c r="R321" s="3">
        <v>0</v>
      </c>
    </row>
    <row r="322" spans="1:18">
      <c r="A322" s="3" t="s">
        <v>787</v>
      </c>
      <c r="B322" s="3" t="s">
        <v>539</v>
      </c>
      <c r="C322" s="3" t="s">
        <v>539</v>
      </c>
      <c r="D322" s="3" t="s">
        <v>788</v>
      </c>
      <c r="E322" s="3" t="s">
        <v>120</v>
      </c>
      <c r="F322" s="3">
        <v>39.98</v>
      </c>
      <c r="G322" s="3" t="s">
        <v>121</v>
      </c>
      <c r="H322" s="3"/>
      <c r="I322" s="3" t="s">
        <v>122</v>
      </c>
      <c r="J322" s="3">
        <v>0</v>
      </c>
      <c r="K322" s="3">
        <v>0</v>
      </c>
      <c r="L322" s="3">
        <v>0</v>
      </c>
      <c r="M322" s="3">
        <v>0</v>
      </c>
      <c r="N322" s="3">
        <v>0</v>
      </c>
      <c r="O322" s="3">
        <v>0.09</v>
      </c>
      <c r="P322" s="3">
        <v>0</v>
      </c>
      <c r="Q322" s="3">
        <v>0</v>
      </c>
      <c r="R322" s="3">
        <v>0</v>
      </c>
    </row>
    <row r="323" spans="1:18">
      <c r="A323" s="3" t="s">
        <v>789</v>
      </c>
      <c r="B323" s="3" t="s">
        <v>542</v>
      </c>
      <c r="C323" s="3" t="s">
        <v>542</v>
      </c>
      <c r="D323" s="3" t="s">
        <v>790</v>
      </c>
      <c r="E323" s="3" t="s">
        <v>120</v>
      </c>
      <c r="F323" s="3">
        <v>39.98</v>
      </c>
      <c r="G323" s="3" t="s">
        <v>121</v>
      </c>
      <c r="H323" s="3"/>
      <c r="I323" s="3" t="s">
        <v>122</v>
      </c>
      <c r="J323" s="3">
        <v>0</v>
      </c>
      <c r="K323" s="3">
        <v>0</v>
      </c>
      <c r="L323" s="3">
        <v>0</v>
      </c>
      <c r="M323" s="3">
        <v>0</v>
      </c>
      <c r="N323" s="3">
        <v>0</v>
      </c>
      <c r="O323" s="3">
        <v>0.09</v>
      </c>
      <c r="P323" s="3">
        <v>0</v>
      </c>
      <c r="Q323" s="3">
        <v>0</v>
      </c>
      <c r="R323" s="3">
        <v>0</v>
      </c>
    </row>
    <row r="324" spans="1:18">
      <c r="A324" s="3" t="s">
        <v>791</v>
      </c>
      <c r="B324" s="3" t="s">
        <v>545</v>
      </c>
      <c r="C324" s="3" t="s">
        <v>545</v>
      </c>
      <c r="D324" s="3" t="s">
        <v>792</v>
      </c>
      <c r="E324" s="3" t="s">
        <v>120</v>
      </c>
      <c r="F324" s="3">
        <v>39.98</v>
      </c>
      <c r="G324" s="3" t="s">
        <v>121</v>
      </c>
      <c r="H324" s="3"/>
      <c r="I324" s="3" t="s">
        <v>122</v>
      </c>
      <c r="J324" s="3">
        <v>2</v>
      </c>
      <c r="K324" s="3">
        <v>2</v>
      </c>
      <c r="L324" s="3">
        <v>0</v>
      </c>
      <c r="M324" s="3">
        <v>0</v>
      </c>
      <c r="N324" s="3">
        <v>2</v>
      </c>
      <c r="O324" s="3">
        <v>0.09</v>
      </c>
      <c r="P324" s="3">
        <v>0</v>
      </c>
      <c r="Q324" s="3">
        <v>0</v>
      </c>
      <c r="R324" s="3">
        <v>0</v>
      </c>
    </row>
    <row r="325" spans="1:18">
      <c r="A325" s="3" t="s">
        <v>793</v>
      </c>
      <c r="B325" s="3" t="s">
        <v>547</v>
      </c>
      <c r="C325" s="3" t="s">
        <v>547</v>
      </c>
      <c r="D325" s="3" t="s">
        <v>794</v>
      </c>
      <c r="E325" s="3" t="s">
        <v>120</v>
      </c>
      <c r="F325" s="3">
        <v>39.98</v>
      </c>
      <c r="G325" s="3" t="s">
        <v>121</v>
      </c>
      <c r="H325" s="3"/>
      <c r="I325" s="3" t="s">
        <v>122</v>
      </c>
      <c r="J325" s="3">
        <v>4</v>
      </c>
      <c r="K325" s="3">
        <v>4</v>
      </c>
      <c r="L325" s="3">
        <v>0</v>
      </c>
      <c r="M325" s="3">
        <v>0</v>
      </c>
      <c r="N325" s="3">
        <v>4</v>
      </c>
      <c r="O325" s="3">
        <v>0.09</v>
      </c>
      <c r="P325" s="3">
        <v>0</v>
      </c>
      <c r="Q325" s="3">
        <v>0</v>
      </c>
      <c r="R325" s="3">
        <v>0</v>
      </c>
    </row>
    <row r="326" spans="1:18">
      <c r="A326" s="3" t="s">
        <v>795</v>
      </c>
      <c r="B326" s="3" t="s">
        <v>549</v>
      </c>
      <c r="C326" s="3" t="s">
        <v>549</v>
      </c>
      <c r="D326" s="3" t="s">
        <v>796</v>
      </c>
      <c r="E326" s="3" t="s">
        <v>120</v>
      </c>
      <c r="F326" s="3">
        <v>39.98</v>
      </c>
      <c r="G326" s="3" t="s">
        <v>121</v>
      </c>
      <c r="H326" s="3"/>
      <c r="I326" s="3" t="s">
        <v>122</v>
      </c>
      <c r="J326" s="3">
        <v>5</v>
      </c>
      <c r="K326" s="3">
        <v>5</v>
      </c>
      <c r="L326" s="3">
        <v>0</v>
      </c>
      <c r="M326" s="3">
        <v>0</v>
      </c>
      <c r="N326" s="3">
        <v>5</v>
      </c>
      <c r="O326" s="3">
        <v>0.09</v>
      </c>
      <c r="P326" s="3">
        <v>0</v>
      </c>
      <c r="Q326" s="3">
        <v>0</v>
      </c>
      <c r="R326" s="3">
        <v>0</v>
      </c>
    </row>
    <row r="327" spans="1:18">
      <c r="A327" s="3" t="s">
        <v>797</v>
      </c>
      <c r="B327" s="3" t="s">
        <v>552</v>
      </c>
      <c r="C327" s="3" t="s">
        <v>552</v>
      </c>
      <c r="D327" s="3" t="s">
        <v>798</v>
      </c>
      <c r="E327" s="3" t="s">
        <v>120</v>
      </c>
      <c r="F327" s="3">
        <v>39.98</v>
      </c>
      <c r="G327" s="3" t="s">
        <v>121</v>
      </c>
      <c r="H327" s="3"/>
      <c r="I327" s="3" t="s">
        <v>122</v>
      </c>
      <c r="J327" s="3">
        <v>0</v>
      </c>
      <c r="K327" s="3">
        <v>0</v>
      </c>
      <c r="L327" s="3">
        <v>0</v>
      </c>
      <c r="M327" s="3">
        <v>0</v>
      </c>
      <c r="N327" s="3">
        <v>0</v>
      </c>
      <c r="O327" s="3">
        <v>0.09</v>
      </c>
      <c r="P327" s="3">
        <v>0</v>
      </c>
      <c r="Q327" s="3">
        <v>0</v>
      </c>
      <c r="R327" s="3">
        <v>0</v>
      </c>
    </row>
    <row r="328" spans="1:18">
      <c r="A328" s="3" t="s">
        <v>799</v>
      </c>
      <c r="B328" s="3" t="s">
        <v>554</v>
      </c>
      <c r="C328" s="3" t="s">
        <v>554</v>
      </c>
      <c r="D328" s="3" t="s">
        <v>800</v>
      </c>
      <c r="E328" s="3" t="s">
        <v>120</v>
      </c>
      <c r="F328" s="3">
        <v>39.98</v>
      </c>
      <c r="G328" s="3" t="s">
        <v>121</v>
      </c>
      <c r="H328" s="3"/>
      <c r="I328" s="3" t="s">
        <v>122</v>
      </c>
      <c r="J328" s="3">
        <v>0</v>
      </c>
      <c r="K328" s="3">
        <v>0</v>
      </c>
      <c r="L328" s="3">
        <v>0</v>
      </c>
      <c r="M328" s="3">
        <v>0</v>
      </c>
      <c r="N328" s="3">
        <v>0</v>
      </c>
      <c r="O328" s="3">
        <v>0.09</v>
      </c>
      <c r="P328" s="3">
        <v>0</v>
      </c>
      <c r="Q328" s="3">
        <v>0</v>
      </c>
      <c r="R328" s="3">
        <v>0</v>
      </c>
    </row>
    <row r="329" spans="1:18">
      <c r="A329" s="3" t="s">
        <v>801</v>
      </c>
      <c r="B329" s="3" t="s">
        <v>556</v>
      </c>
      <c r="C329" s="3" t="s">
        <v>556</v>
      </c>
      <c r="D329" s="3" t="s">
        <v>802</v>
      </c>
      <c r="E329" s="3" t="s">
        <v>120</v>
      </c>
      <c r="F329" s="3">
        <v>39.98</v>
      </c>
      <c r="G329" s="3" t="s">
        <v>121</v>
      </c>
      <c r="H329" s="3"/>
      <c r="I329" s="3" t="s">
        <v>122</v>
      </c>
      <c r="J329" s="3">
        <v>10</v>
      </c>
      <c r="K329" s="3">
        <v>10</v>
      </c>
      <c r="L329" s="3">
        <v>0</v>
      </c>
      <c r="M329" s="3">
        <v>0</v>
      </c>
      <c r="N329" s="3">
        <v>10</v>
      </c>
      <c r="O329" s="3">
        <v>0.09</v>
      </c>
      <c r="P329" s="3">
        <v>0</v>
      </c>
      <c r="Q329" s="3">
        <v>0</v>
      </c>
      <c r="R329" s="3">
        <v>0</v>
      </c>
    </row>
    <row r="330" spans="1:18">
      <c r="A330" s="3" t="s">
        <v>803</v>
      </c>
      <c r="B330" s="3" t="s">
        <v>558</v>
      </c>
      <c r="C330" s="3" t="s">
        <v>558</v>
      </c>
      <c r="D330" s="3" t="s">
        <v>588</v>
      </c>
      <c r="E330" s="3" t="s">
        <v>120</v>
      </c>
      <c r="F330" s="3">
        <v>22.98</v>
      </c>
      <c r="G330" s="3" t="s">
        <v>121</v>
      </c>
      <c r="H330" s="3"/>
      <c r="I330" s="3" t="s">
        <v>122</v>
      </c>
      <c r="J330" s="3">
        <v>6</v>
      </c>
      <c r="K330" s="3">
        <v>6</v>
      </c>
      <c r="L330" s="3">
        <v>0</v>
      </c>
      <c r="M330" s="3">
        <v>0</v>
      </c>
      <c r="N330" s="3">
        <v>6</v>
      </c>
      <c r="O330" s="3">
        <v>0.09</v>
      </c>
      <c r="P330" s="3">
        <v>0</v>
      </c>
      <c r="Q330" s="3">
        <v>0</v>
      </c>
      <c r="R330" s="3">
        <v>0</v>
      </c>
    </row>
    <row r="331" spans="1:18">
      <c r="A331" s="3" t="s">
        <v>804</v>
      </c>
      <c r="B331" s="3" t="s">
        <v>561</v>
      </c>
      <c r="C331" s="3" t="s">
        <v>561</v>
      </c>
      <c r="D331" s="3" t="s">
        <v>805</v>
      </c>
      <c r="E331" s="3" t="s">
        <v>120</v>
      </c>
      <c r="F331" s="3">
        <v>39.98</v>
      </c>
      <c r="G331" s="3" t="s">
        <v>121</v>
      </c>
      <c r="H331" s="3"/>
      <c r="I331" s="3" t="s">
        <v>122</v>
      </c>
      <c r="J331" s="3">
        <v>4</v>
      </c>
      <c r="K331" s="3">
        <v>4</v>
      </c>
      <c r="L331" s="3">
        <v>0</v>
      </c>
      <c r="M331" s="3">
        <v>0</v>
      </c>
      <c r="N331" s="3">
        <v>4</v>
      </c>
      <c r="O331" s="3">
        <v>0.09</v>
      </c>
      <c r="P331" s="3">
        <v>0</v>
      </c>
      <c r="Q331" s="3">
        <v>0</v>
      </c>
      <c r="R331" s="3">
        <v>0</v>
      </c>
    </row>
    <row r="332" spans="1:18">
      <c r="A332" s="3" t="s">
        <v>806</v>
      </c>
      <c r="B332" s="3" t="s">
        <v>564</v>
      </c>
      <c r="C332" s="3" t="s">
        <v>564</v>
      </c>
      <c r="D332" s="3" t="s">
        <v>807</v>
      </c>
      <c r="E332" s="3" t="s">
        <v>120</v>
      </c>
      <c r="F332" s="3">
        <v>39.98</v>
      </c>
      <c r="G332" s="3" t="s">
        <v>121</v>
      </c>
      <c r="H332" s="3"/>
      <c r="I332" s="3" t="s">
        <v>122</v>
      </c>
      <c r="J332" s="3">
        <v>2</v>
      </c>
      <c r="K332" s="3">
        <v>2</v>
      </c>
      <c r="L332" s="3">
        <v>0</v>
      </c>
      <c r="M332" s="3">
        <v>0</v>
      </c>
      <c r="N332" s="3">
        <v>2</v>
      </c>
      <c r="O332" s="3">
        <v>0.09</v>
      </c>
      <c r="P332" s="3">
        <v>0</v>
      </c>
      <c r="Q332" s="3">
        <v>0</v>
      </c>
      <c r="R332" s="3">
        <v>0</v>
      </c>
    </row>
    <row r="333" spans="1:18">
      <c r="A333" s="3" t="s">
        <v>808</v>
      </c>
      <c r="B333" s="3" t="s">
        <v>566</v>
      </c>
      <c r="C333" s="3" t="s">
        <v>566</v>
      </c>
      <c r="D333" s="3" t="s">
        <v>809</v>
      </c>
      <c r="E333" s="3" t="s">
        <v>120</v>
      </c>
      <c r="F333" s="3">
        <v>39.98</v>
      </c>
      <c r="G333" s="3" t="s">
        <v>121</v>
      </c>
      <c r="H333" s="3"/>
      <c r="I333" s="3" t="s">
        <v>122</v>
      </c>
      <c r="J333" s="3">
        <v>1</v>
      </c>
      <c r="K333" s="3">
        <v>1</v>
      </c>
      <c r="L333" s="3">
        <v>0</v>
      </c>
      <c r="M333" s="3">
        <v>0</v>
      </c>
      <c r="N333" s="3">
        <v>1</v>
      </c>
      <c r="O333" s="3">
        <v>0.09</v>
      </c>
      <c r="P333" s="3">
        <v>0</v>
      </c>
      <c r="Q333" s="3">
        <v>0</v>
      </c>
      <c r="R333" s="3">
        <v>0</v>
      </c>
    </row>
    <row r="334" spans="1:18">
      <c r="A334" s="3" t="s">
        <v>810</v>
      </c>
      <c r="B334" s="3" t="s">
        <v>568</v>
      </c>
      <c r="C334" s="3" t="s">
        <v>568</v>
      </c>
      <c r="D334" s="3" t="s">
        <v>811</v>
      </c>
      <c r="E334" s="3" t="s">
        <v>120</v>
      </c>
      <c r="F334" s="3">
        <v>39.98</v>
      </c>
      <c r="G334" s="3" t="s">
        <v>121</v>
      </c>
      <c r="H334" s="3"/>
      <c r="I334" s="3" t="s">
        <v>122</v>
      </c>
      <c r="J334" s="3">
        <v>6</v>
      </c>
      <c r="K334" s="3">
        <v>6</v>
      </c>
      <c r="L334" s="3">
        <v>0</v>
      </c>
      <c r="M334" s="3">
        <v>0</v>
      </c>
      <c r="N334" s="3">
        <v>6</v>
      </c>
      <c r="O334" s="3">
        <v>0.09</v>
      </c>
      <c r="P334" s="3">
        <v>0</v>
      </c>
      <c r="Q334" s="3">
        <v>0</v>
      </c>
      <c r="R334" s="3">
        <v>0</v>
      </c>
    </row>
    <row r="335" spans="1:18">
      <c r="A335" s="3" t="s">
        <v>812</v>
      </c>
      <c r="B335" s="3" t="s">
        <v>570</v>
      </c>
      <c r="C335" s="3" t="s">
        <v>570</v>
      </c>
      <c r="D335" s="3" t="s">
        <v>813</v>
      </c>
      <c r="E335" s="3" t="s">
        <v>120</v>
      </c>
      <c r="F335" s="3">
        <v>39.98</v>
      </c>
      <c r="G335" s="3" t="s">
        <v>121</v>
      </c>
      <c r="H335" s="3"/>
      <c r="I335" s="3" t="s">
        <v>122</v>
      </c>
      <c r="J335" s="3">
        <v>6</v>
      </c>
      <c r="K335" s="3">
        <v>6</v>
      </c>
      <c r="L335" s="3">
        <v>0</v>
      </c>
      <c r="M335" s="3">
        <v>0</v>
      </c>
      <c r="N335" s="3">
        <v>6</v>
      </c>
      <c r="O335" s="3">
        <v>0.09</v>
      </c>
      <c r="P335" s="3">
        <v>0</v>
      </c>
      <c r="Q335" s="3">
        <v>0</v>
      </c>
      <c r="R335" s="3">
        <v>0</v>
      </c>
    </row>
    <row r="336" spans="1:18">
      <c r="A336" s="3" t="s">
        <v>814</v>
      </c>
      <c r="B336" s="3" t="s">
        <v>573</v>
      </c>
      <c r="C336" s="3" t="s">
        <v>573</v>
      </c>
      <c r="D336" s="3" t="s">
        <v>815</v>
      </c>
      <c r="E336" s="3" t="s">
        <v>120</v>
      </c>
      <c r="F336" s="3">
        <v>39.98</v>
      </c>
      <c r="G336" s="3" t="s">
        <v>121</v>
      </c>
      <c r="H336" s="3"/>
      <c r="I336" s="3" t="s">
        <v>122</v>
      </c>
      <c r="J336" s="3">
        <v>4</v>
      </c>
      <c r="K336" s="3">
        <v>4</v>
      </c>
      <c r="L336" s="3">
        <v>0</v>
      </c>
      <c r="M336" s="3">
        <v>0</v>
      </c>
      <c r="N336" s="3">
        <v>4</v>
      </c>
      <c r="O336" s="3">
        <v>0.09</v>
      </c>
      <c r="P336" s="3">
        <v>0</v>
      </c>
      <c r="Q336" s="3">
        <v>0</v>
      </c>
      <c r="R336" s="3">
        <v>0</v>
      </c>
    </row>
    <row r="337" spans="1:18">
      <c r="A337" s="3" t="s">
        <v>816</v>
      </c>
      <c r="B337" s="3" t="s">
        <v>576</v>
      </c>
      <c r="C337" s="3" t="s">
        <v>576</v>
      </c>
      <c r="D337" s="3" t="s">
        <v>817</v>
      </c>
      <c r="E337" s="3" t="s">
        <v>120</v>
      </c>
      <c r="F337" s="3">
        <v>39.98</v>
      </c>
      <c r="G337" s="3" t="s">
        <v>121</v>
      </c>
      <c r="H337" s="3"/>
      <c r="I337" s="3" t="s">
        <v>122</v>
      </c>
      <c r="J337" s="3">
        <v>1</v>
      </c>
      <c r="K337" s="3">
        <v>1</v>
      </c>
      <c r="L337" s="3">
        <v>0</v>
      </c>
      <c r="M337" s="3">
        <v>0</v>
      </c>
      <c r="N337" s="3">
        <v>1</v>
      </c>
      <c r="O337" s="3">
        <v>0.09</v>
      </c>
      <c r="P337" s="3">
        <v>0</v>
      </c>
      <c r="Q337" s="3">
        <v>0</v>
      </c>
      <c r="R337" s="3">
        <v>0</v>
      </c>
    </row>
    <row r="338" spans="1:18">
      <c r="A338" s="3" t="s">
        <v>818</v>
      </c>
      <c r="B338" s="3" t="s">
        <v>579</v>
      </c>
      <c r="C338" s="3" t="s">
        <v>579</v>
      </c>
      <c r="D338" s="3" t="s">
        <v>819</v>
      </c>
      <c r="E338" s="3" t="s">
        <v>120</v>
      </c>
      <c r="F338" s="3">
        <v>39.98</v>
      </c>
      <c r="G338" s="3" t="s">
        <v>121</v>
      </c>
      <c r="H338" s="3"/>
      <c r="I338" s="3" t="s">
        <v>122</v>
      </c>
      <c r="J338" s="3">
        <v>1</v>
      </c>
      <c r="K338" s="3">
        <v>1</v>
      </c>
      <c r="L338" s="3">
        <v>0</v>
      </c>
      <c r="M338" s="3">
        <v>0</v>
      </c>
      <c r="N338" s="3">
        <v>1</v>
      </c>
      <c r="O338" s="3">
        <v>0.09</v>
      </c>
      <c r="P338" s="3">
        <v>0</v>
      </c>
      <c r="Q338" s="3">
        <v>0</v>
      </c>
      <c r="R338" s="3">
        <v>0</v>
      </c>
    </row>
    <row r="339" spans="1:18">
      <c r="A339" s="3" t="s">
        <v>820</v>
      </c>
      <c r="B339" s="3" t="s">
        <v>581</v>
      </c>
      <c r="C339" s="3" t="s">
        <v>581</v>
      </c>
      <c r="D339" s="3" t="s">
        <v>821</v>
      </c>
      <c r="E339" s="3" t="s">
        <v>120</v>
      </c>
      <c r="F339" s="3">
        <v>39.98</v>
      </c>
      <c r="G339" s="3" t="s">
        <v>121</v>
      </c>
      <c r="H339" s="3"/>
      <c r="I339" s="3" t="s">
        <v>122</v>
      </c>
      <c r="J339" s="3">
        <v>2</v>
      </c>
      <c r="K339" s="3">
        <v>2</v>
      </c>
      <c r="L339" s="3">
        <v>0</v>
      </c>
      <c r="M339" s="3">
        <v>0</v>
      </c>
      <c r="N339" s="3">
        <v>2</v>
      </c>
      <c r="O339" s="3">
        <v>0.09</v>
      </c>
      <c r="P339" s="3">
        <v>0</v>
      </c>
      <c r="Q339" s="3">
        <v>0</v>
      </c>
      <c r="R339" s="3">
        <v>0</v>
      </c>
    </row>
    <row r="340" spans="1:18">
      <c r="A340" s="3" t="s">
        <v>822</v>
      </c>
      <c r="B340" s="3" t="s">
        <v>584</v>
      </c>
      <c r="C340" s="3" t="s">
        <v>584</v>
      </c>
      <c r="D340" s="3" t="s">
        <v>823</v>
      </c>
      <c r="E340" s="3" t="s">
        <v>120</v>
      </c>
      <c r="F340" s="3">
        <v>39.98</v>
      </c>
      <c r="G340" s="3" t="s">
        <v>121</v>
      </c>
      <c r="H340" s="3"/>
      <c r="I340" s="3" t="s">
        <v>122</v>
      </c>
      <c r="J340" s="3">
        <v>2</v>
      </c>
      <c r="K340" s="3">
        <v>0</v>
      </c>
      <c r="L340" s="3">
        <v>0</v>
      </c>
      <c r="M340" s="3">
        <v>2</v>
      </c>
      <c r="N340" s="3">
        <v>2</v>
      </c>
      <c r="O340" s="3">
        <v>0.09</v>
      </c>
      <c r="P340" s="3">
        <v>0</v>
      </c>
      <c r="Q340" s="3">
        <v>0</v>
      </c>
      <c r="R340" s="3">
        <v>0</v>
      </c>
    </row>
    <row r="341" spans="1:18">
      <c r="A341" s="3" t="s">
        <v>824</v>
      </c>
      <c r="B341" s="3" t="s">
        <v>825</v>
      </c>
      <c r="C341" s="3" t="s">
        <v>826</v>
      </c>
      <c r="D341" s="3"/>
      <c r="E341" s="3" t="s">
        <v>20</v>
      </c>
      <c r="F341" s="3"/>
      <c r="G341" s="3"/>
      <c r="H341" s="3"/>
      <c r="I341" s="3"/>
      <c r="J341" s="3">
        <v>0</v>
      </c>
      <c r="K341" s="3">
        <v>0</v>
      </c>
      <c r="L341" s="3">
        <v>0</v>
      </c>
      <c r="M341" s="3">
        <v>0</v>
      </c>
      <c r="N341" s="3">
        <v>0</v>
      </c>
      <c r="O341" s="3"/>
      <c r="P341" s="3">
        <v>0</v>
      </c>
      <c r="Q341" s="3">
        <v>0</v>
      </c>
      <c r="R341" s="3">
        <v>0</v>
      </c>
    </row>
    <row r="342" spans="1:18">
      <c r="A342" s="3" t="s">
        <v>827</v>
      </c>
      <c r="B342" s="3" t="s">
        <v>828</v>
      </c>
      <c r="C342" s="3" t="s">
        <v>829</v>
      </c>
      <c r="D342" s="3"/>
      <c r="E342" s="3" t="s">
        <v>20</v>
      </c>
      <c r="F342" s="3"/>
      <c r="G342" s="3"/>
      <c r="H342" s="3"/>
      <c r="I342" s="3"/>
      <c r="J342" s="3">
        <v>0</v>
      </c>
      <c r="K342" s="3">
        <v>0</v>
      </c>
      <c r="L342" s="3">
        <v>0</v>
      </c>
      <c r="M342" s="3">
        <v>0</v>
      </c>
      <c r="N342" s="3">
        <v>0</v>
      </c>
      <c r="O342" s="3"/>
      <c r="P342" s="3">
        <v>0</v>
      </c>
      <c r="Q342" s="3">
        <v>0</v>
      </c>
      <c r="R342" s="3">
        <v>0</v>
      </c>
    </row>
    <row r="343" spans="1:18">
      <c r="A343" s="3" t="s">
        <v>830</v>
      </c>
      <c r="B343" s="3" t="s">
        <v>831</v>
      </c>
      <c r="C343" s="3" t="s">
        <v>832</v>
      </c>
      <c r="D343" s="3"/>
      <c r="E343" s="3" t="s">
        <v>20</v>
      </c>
      <c r="F343" s="3"/>
      <c r="G343" s="3"/>
      <c r="H343" s="3"/>
      <c r="I343" s="3"/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/>
      <c r="P343" s="3">
        <v>0</v>
      </c>
      <c r="Q343" s="3">
        <v>0</v>
      </c>
      <c r="R343" s="3">
        <v>0</v>
      </c>
    </row>
    <row r="344" spans="1:18">
      <c r="A344" s="3" t="s">
        <v>833</v>
      </c>
      <c r="B344" s="3" t="s">
        <v>834</v>
      </c>
      <c r="C344" s="3" t="s">
        <v>835</v>
      </c>
      <c r="D344" s="3"/>
      <c r="E344" s="3" t="s">
        <v>20</v>
      </c>
      <c r="F344" s="3"/>
      <c r="G344" s="3"/>
      <c r="H344" s="3"/>
      <c r="I344" s="3"/>
      <c r="J344" s="3">
        <v>0</v>
      </c>
      <c r="K344" s="3">
        <v>0</v>
      </c>
      <c r="L344" s="3">
        <v>0</v>
      </c>
      <c r="M344" s="3">
        <v>0</v>
      </c>
      <c r="N344" s="3">
        <v>0</v>
      </c>
      <c r="O344" s="3"/>
      <c r="P344" s="3">
        <v>0</v>
      </c>
      <c r="Q344" s="3">
        <v>0</v>
      </c>
      <c r="R344" s="3">
        <v>0</v>
      </c>
    </row>
    <row r="345" spans="1:18">
      <c r="A345" s="3" t="s">
        <v>836</v>
      </c>
      <c r="B345" s="3" t="s">
        <v>837</v>
      </c>
      <c r="C345" s="3" t="s">
        <v>838</v>
      </c>
      <c r="D345" s="3"/>
      <c r="E345" s="3" t="s">
        <v>20</v>
      </c>
      <c r="F345" s="3"/>
      <c r="G345" s="3"/>
      <c r="H345" s="3"/>
      <c r="I345" s="3"/>
      <c r="J345" s="3">
        <v>0</v>
      </c>
      <c r="K345" s="3">
        <v>0</v>
      </c>
      <c r="L345" s="3">
        <v>0</v>
      </c>
      <c r="M345" s="3">
        <v>0</v>
      </c>
      <c r="N345" s="3">
        <v>0</v>
      </c>
      <c r="O345" s="3"/>
      <c r="P345" s="3">
        <v>0</v>
      </c>
      <c r="Q345" s="3">
        <v>0</v>
      </c>
      <c r="R345" s="3">
        <v>0</v>
      </c>
    </row>
    <row r="346" spans="1:18">
      <c r="A346" s="3" t="s">
        <v>839</v>
      </c>
      <c r="B346" s="3" t="s">
        <v>840</v>
      </c>
      <c r="C346" s="3" t="s">
        <v>841</v>
      </c>
      <c r="D346" s="3"/>
      <c r="E346" s="3" t="s">
        <v>20</v>
      </c>
      <c r="F346" s="3"/>
      <c r="G346" s="3"/>
      <c r="H346" s="3"/>
      <c r="I346" s="3"/>
      <c r="J346" s="3">
        <v>0</v>
      </c>
      <c r="K346" s="3">
        <v>0</v>
      </c>
      <c r="L346" s="3">
        <v>0</v>
      </c>
      <c r="M346" s="3">
        <v>0</v>
      </c>
      <c r="N346" s="3">
        <v>0</v>
      </c>
      <c r="O346" s="3"/>
      <c r="P346" s="3">
        <v>0</v>
      </c>
      <c r="Q346" s="3">
        <v>0</v>
      </c>
      <c r="R346" s="3">
        <v>0</v>
      </c>
    </row>
    <row r="347" spans="1:18">
      <c r="A347" s="3" t="s">
        <v>842</v>
      </c>
      <c r="B347" s="3" t="s">
        <v>843</v>
      </c>
      <c r="C347" s="3" t="s">
        <v>844</v>
      </c>
      <c r="D347" s="3"/>
      <c r="E347" s="3" t="s">
        <v>20</v>
      </c>
      <c r="F347" s="3"/>
      <c r="G347" s="3"/>
      <c r="H347" s="3"/>
      <c r="I347" s="3"/>
      <c r="J347" s="3">
        <v>0</v>
      </c>
      <c r="K347" s="3">
        <v>0</v>
      </c>
      <c r="L347" s="3">
        <v>0</v>
      </c>
      <c r="M347" s="3">
        <v>0</v>
      </c>
      <c r="N347" s="3">
        <v>0</v>
      </c>
      <c r="O347" s="3"/>
      <c r="P347" s="3">
        <v>0</v>
      </c>
      <c r="Q347" s="3">
        <v>0</v>
      </c>
      <c r="R347" s="3">
        <v>0</v>
      </c>
    </row>
    <row r="348" spans="1:18">
      <c r="A348" s="3" t="s">
        <v>845</v>
      </c>
      <c r="B348" s="3" t="s">
        <v>846</v>
      </c>
      <c r="C348" s="3" t="s">
        <v>847</v>
      </c>
      <c r="D348" s="3"/>
      <c r="E348" s="3" t="s">
        <v>20</v>
      </c>
      <c r="F348" s="3"/>
      <c r="G348" s="3"/>
      <c r="H348" s="3"/>
      <c r="I348" s="3"/>
      <c r="J348" s="3">
        <v>0</v>
      </c>
      <c r="K348" s="3">
        <v>0</v>
      </c>
      <c r="L348" s="3">
        <v>0</v>
      </c>
      <c r="M348" s="3">
        <v>0</v>
      </c>
      <c r="N348" s="3">
        <v>0</v>
      </c>
      <c r="O348" s="3"/>
      <c r="P348" s="3">
        <v>0</v>
      </c>
      <c r="Q348" s="3">
        <v>0</v>
      </c>
      <c r="R348" s="3">
        <v>0</v>
      </c>
    </row>
    <row r="349" spans="1:18">
      <c r="A349" s="3" t="s">
        <v>848</v>
      </c>
      <c r="B349" s="3" t="s">
        <v>849</v>
      </c>
      <c r="C349" s="3" t="s">
        <v>850</v>
      </c>
      <c r="D349" s="3"/>
      <c r="E349" s="3" t="s">
        <v>20</v>
      </c>
      <c r="F349" s="3"/>
      <c r="G349" s="3"/>
      <c r="H349" s="3"/>
      <c r="I349" s="3"/>
      <c r="J349" s="3">
        <v>0</v>
      </c>
      <c r="K349" s="3">
        <v>0</v>
      </c>
      <c r="L349" s="3">
        <v>0</v>
      </c>
      <c r="M349" s="3">
        <v>0</v>
      </c>
      <c r="N349" s="3">
        <v>0</v>
      </c>
      <c r="O349" s="3"/>
      <c r="P349" s="3">
        <v>0</v>
      </c>
      <c r="Q349" s="3">
        <v>0</v>
      </c>
      <c r="R349" s="3">
        <v>0</v>
      </c>
    </row>
    <row r="350" spans="1:18">
      <c r="A350" s="3" t="s">
        <v>851</v>
      </c>
      <c r="B350" s="3" t="s">
        <v>852</v>
      </c>
      <c r="C350" s="3" t="s">
        <v>853</v>
      </c>
      <c r="D350" s="3"/>
      <c r="E350" s="3" t="s">
        <v>20</v>
      </c>
      <c r="F350" s="3"/>
      <c r="G350" s="3"/>
      <c r="H350" s="3"/>
      <c r="I350" s="3"/>
      <c r="J350" s="3">
        <v>0</v>
      </c>
      <c r="K350" s="3">
        <v>0</v>
      </c>
      <c r="L350" s="3">
        <v>0</v>
      </c>
      <c r="M350" s="3">
        <v>0</v>
      </c>
      <c r="N350" s="3">
        <v>0</v>
      </c>
      <c r="O350" s="3"/>
      <c r="P350" s="3">
        <v>0</v>
      </c>
      <c r="Q350" s="3">
        <v>0</v>
      </c>
      <c r="R350" s="3">
        <v>0</v>
      </c>
    </row>
    <row r="351" spans="1:18">
      <c r="A351" s="3" t="s">
        <v>854</v>
      </c>
      <c r="B351" s="3" t="s">
        <v>855</v>
      </c>
      <c r="C351" s="3" t="s">
        <v>856</v>
      </c>
      <c r="D351" s="3"/>
      <c r="E351" s="3" t="s">
        <v>20</v>
      </c>
      <c r="F351" s="3"/>
      <c r="G351" s="3"/>
      <c r="H351" s="3"/>
      <c r="I351" s="3"/>
      <c r="J351" s="3">
        <v>0</v>
      </c>
      <c r="K351" s="3">
        <v>0</v>
      </c>
      <c r="L351" s="3">
        <v>0</v>
      </c>
      <c r="M351" s="3">
        <v>0</v>
      </c>
      <c r="N351" s="3">
        <v>0</v>
      </c>
      <c r="O351" s="3"/>
      <c r="P351" s="3">
        <v>0</v>
      </c>
      <c r="Q351" s="3">
        <v>0</v>
      </c>
      <c r="R351" s="3">
        <v>0</v>
      </c>
    </row>
    <row r="352" spans="1:18">
      <c r="A352" s="3" t="s">
        <v>857</v>
      </c>
      <c r="B352" s="3" t="s">
        <v>858</v>
      </c>
      <c r="C352" s="3" t="s">
        <v>859</v>
      </c>
      <c r="D352" s="3"/>
      <c r="E352" s="3" t="s">
        <v>20</v>
      </c>
      <c r="F352" s="3"/>
      <c r="G352" s="3"/>
      <c r="H352" s="3"/>
      <c r="I352" s="3"/>
      <c r="J352" s="3">
        <v>0</v>
      </c>
      <c r="K352" s="3">
        <v>0</v>
      </c>
      <c r="L352" s="3">
        <v>0</v>
      </c>
      <c r="M352" s="3">
        <v>0</v>
      </c>
      <c r="N352" s="3">
        <v>0</v>
      </c>
      <c r="O352" s="3"/>
      <c r="P352" s="3">
        <v>0</v>
      </c>
      <c r="Q352" s="3">
        <v>0</v>
      </c>
      <c r="R352" s="3">
        <v>0</v>
      </c>
    </row>
    <row r="353" spans="1:18">
      <c r="A353" s="3" t="s">
        <v>860</v>
      </c>
      <c r="B353" s="3" t="s">
        <v>861</v>
      </c>
      <c r="C353" s="3" t="s">
        <v>862</v>
      </c>
      <c r="D353" s="3"/>
      <c r="E353" s="3" t="s">
        <v>20</v>
      </c>
      <c r="F353" s="3"/>
      <c r="G353" s="3"/>
      <c r="H353" s="3"/>
      <c r="I353" s="3"/>
      <c r="J353" s="3">
        <v>0</v>
      </c>
      <c r="K353" s="3">
        <v>0</v>
      </c>
      <c r="L353" s="3">
        <v>0</v>
      </c>
      <c r="M353" s="3">
        <v>0</v>
      </c>
      <c r="N353" s="3">
        <v>0</v>
      </c>
      <c r="O353" s="3"/>
      <c r="P353" s="3">
        <v>0</v>
      </c>
      <c r="Q353" s="3">
        <v>0</v>
      </c>
      <c r="R353" s="3">
        <v>0</v>
      </c>
    </row>
    <row r="354" spans="1:18">
      <c r="A354" s="3" t="s">
        <v>863</v>
      </c>
      <c r="B354" s="3" t="s">
        <v>864</v>
      </c>
      <c r="C354" s="3" t="s">
        <v>865</v>
      </c>
      <c r="D354" s="3"/>
      <c r="E354" s="3" t="s">
        <v>20</v>
      </c>
      <c r="F354" s="3"/>
      <c r="G354" s="3"/>
      <c r="H354" s="3"/>
      <c r="I354" s="3"/>
      <c r="J354" s="3">
        <v>0</v>
      </c>
      <c r="K354" s="3">
        <v>0</v>
      </c>
      <c r="L354" s="3">
        <v>0</v>
      </c>
      <c r="M354" s="3">
        <v>0</v>
      </c>
      <c r="N354" s="3">
        <v>0</v>
      </c>
      <c r="O354" s="3"/>
      <c r="P354" s="3">
        <v>0</v>
      </c>
      <c r="Q354" s="3">
        <v>0</v>
      </c>
      <c r="R354" s="3">
        <v>0</v>
      </c>
    </row>
    <row r="355" spans="1:18">
      <c r="A355" s="3" t="s">
        <v>866</v>
      </c>
      <c r="B355" s="3" t="s">
        <v>867</v>
      </c>
      <c r="C355" s="3" t="s">
        <v>868</v>
      </c>
      <c r="D355" s="3"/>
      <c r="E355" s="3" t="s">
        <v>20</v>
      </c>
      <c r="F355" s="3"/>
      <c r="G355" s="3"/>
      <c r="H355" s="3"/>
      <c r="I355" s="3"/>
      <c r="J355" s="3">
        <v>0</v>
      </c>
      <c r="K355" s="3">
        <v>0</v>
      </c>
      <c r="L355" s="3">
        <v>0</v>
      </c>
      <c r="M355" s="3">
        <v>0</v>
      </c>
      <c r="N355" s="3">
        <v>0</v>
      </c>
      <c r="O355" s="3"/>
      <c r="P355" s="3">
        <v>0</v>
      </c>
      <c r="Q355" s="3">
        <v>0</v>
      </c>
      <c r="R355" s="3">
        <v>0</v>
      </c>
    </row>
    <row r="356" spans="1:18">
      <c r="A356" s="3" t="s">
        <v>869</v>
      </c>
      <c r="B356" s="3" t="s">
        <v>870</v>
      </c>
      <c r="C356" s="3" t="s">
        <v>871</v>
      </c>
      <c r="D356" s="3"/>
      <c r="E356" s="3" t="s">
        <v>20</v>
      </c>
      <c r="F356" s="3"/>
      <c r="G356" s="3"/>
      <c r="H356" s="3"/>
      <c r="I356" s="3"/>
      <c r="J356" s="3">
        <v>0</v>
      </c>
      <c r="K356" s="3">
        <v>0</v>
      </c>
      <c r="L356" s="3">
        <v>0</v>
      </c>
      <c r="M356" s="3">
        <v>0</v>
      </c>
      <c r="N356" s="3">
        <v>0</v>
      </c>
      <c r="O356" s="3"/>
      <c r="P356" s="3">
        <v>0</v>
      </c>
      <c r="Q356" s="3">
        <v>0</v>
      </c>
      <c r="R356" s="3">
        <v>0</v>
      </c>
    </row>
    <row r="357" spans="1:18">
      <c r="A357" s="3" t="s">
        <v>872</v>
      </c>
      <c r="B357" s="3" t="s">
        <v>873</v>
      </c>
      <c r="C357" s="3" t="s">
        <v>874</v>
      </c>
      <c r="D357" s="3"/>
      <c r="E357" s="3" t="s">
        <v>20</v>
      </c>
      <c r="F357" s="3"/>
      <c r="G357" s="3"/>
      <c r="H357" s="3"/>
      <c r="I357" s="3"/>
      <c r="J357" s="3">
        <v>0</v>
      </c>
      <c r="K357" s="3">
        <v>0</v>
      </c>
      <c r="L357" s="3">
        <v>0</v>
      </c>
      <c r="M357" s="3">
        <v>0</v>
      </c>
      <c r="N357" s="3">
        <v>0</v>
      </c>
      <c r="O357" s="3"/>
      <c r="P357" s="3">
        <v>0</v>
      </c>
      <c r="Q357" s="3">
        <v>0</v>
      </c>
      <c r="R357" s="3">
        <v>0</v>
      </c>
    </row>
    <row r="358" spans="1:18">
      <c r="A358" s="3" t="s">
        <v>875</v>
      </c>
      <c r="B358" s="3" t="s">
        <v>876</v>
      </c>
      <c r="C358" s="3" t="s">
        <v>877</v>
      </c>
      <c r="D358" s="3"/>
      <c r="E358" s="3" t="s">
        <v>20</v>
      </c>
      <c r="F358" s="3"/>
      <c r="G358" s="3"/>
      <c r="H358" s="3"/>
      <c r="I358" s="3"/>
      <c r="J358" s="3">
        <v>0</v>
      </c>
      <c r="K358" s="3">
        <v>0</v>
      </c>
      <c r="L358" s="3">
        <v>0</v>
      </c>
      <c r="M358" s="3">
        <v>0</v>
      </c>
      <c r="N358" s="3">
        <v>0</v>
      </c>
      <c r="O358" s="3"/>
      <c r="P358" s="3">
        <v>0</v>
      </c>
      <c r="Q358" s="3">
        <v>0</v>
      </c>
      <c r="R358" s="3">
        <v>0</v>
      </c>
    </row>
    <row r="359" spans="1:18">
      <c r="A359" s="3" t="s">
        <v>878</v>
      </c>
      <c r="B359" s="3" t="s">
        <v>879</v>
      </c>
      <c r="C359" s="3" t="s">
        <v>880</v>
      </c>
      <c r="D359" s="3"/>
      <c r="E359" s="3" t="s">
        <v>20</v>
      </c>
      <c r="F359" s="3"/>
      <c r="G359" s="3"/>
      <c r="H359" s="3"/>
      <c r="I359" s="3"/>
      <c r="J359" s="3">
        <v>0</v>
      </c>
      <c r="K359" s="3">
        <v>0</v>
      </c>
      <c r="L359" s="3">
        <v>0</v>
      </c>
      <c r="M359" s="3">
        <v>0</v>
      </c>
      <c r="N359" s="3">
        <v>0</v>
      </c>
      <c r="O359" s="3"/>
      <c r="P359" s="3">
        <v>0</v>
      </c>
      <c r="Q359" s="3">
        <v>0</v>
      </c>
      <c r="R359" s="3">
        <v>0</v>
      </c>
    </row>
    <row r="360" spans="1:18">
      <c r="A360" s="3" t="s">
        <v>881</v>
      </c>
      <c r="B360" s="3" t="s">
        <v>882</v>
      </c>
      <c r="C360" s="3" t="s">
        <v>883</v>
      </c>
      <c r="D360" s="3"/>
      <c r="E360" s="3" t="s">
        <v>20</v>
      </c>
      <c r="F360" s="3"/>
      <c r="G360" s="3"/>
      <c r="H360" s="3"/>
      <c r="I360" s="3"/>
      <c r="J360" s="3">
        <v>0</v>
      </c>
      <c r="K360" s="3">
        <v>0</v>
      </c>
      <c r="L360" s="3">
        <v>0</v>
      </c>
      <c r="M360" s="3">
        <v>0</v>
      </c>
      <c r="N360" s="3">
        <v>0</v>
      </c>
      <c r="O360" s="3"/>
      <c r="P360" s="3">
        <v>0</v>
      </c>
      <c r="Q360" s="3">
        <v>0</v>
      </c>
      <c r="R360" s="3">
        <v>0</v>
      </c>
    </row>
    <row r="361" spans="1:18">
      <c r="A361" s="3" t="s">
        <v>884</v>
      </c>
      <c r="B361" s="3" t="s">
        <v>885</v>
      </c>
      <c r="C361" s="3" t="s">
        <v>886</v>
      </c>
      <c r="D361" s="3"/>
      <c r="E361" s="3" t="s">
        <v>20</v>
      </c>
      <c r="F361" s="3"/>
      <c r="G361" s="3"/>
      <c r="H361" s="3"/>
      <c r="I361" s="3"/>
      <c r="J361" s="3">
        <v>0</v>
      </c>
      <c r="K361" s="3">
        <v>0</v>
      </c>
      <c r="L361" s="3">
        <v>0</v>
      </c>
      <c r="M361" s="3">
        <v>0</v>
      </c>
      <c r="N361" s="3">
        <v>0</v>
      </c>
      <c r="O361" s="3"/>
      <c r="P361" s="3">
        <v>0</v>
      </c>
      <c r="Q361" s="3">
        <v>0</v>
      </c>
      <c r="R361" s="3">
        <v>0</v>
      </c>
    </row>
    <row r="362" spans="1:18">
      <c r="A362" s="3" t="s">
        <v>887</v>
      </c>
      <c r="B362" s="3" t="s">
        <v>888</v>
      </c>
      <c r="C362" s="3" t="s">
        <v>889</v>
      </c>
      <c r="D362" s="3"/>
      <c r="E362" s="3" t="s">
        <v>20</v>
      </c>
      <c r="F362" s="3"/>
      <c r="G362" s="3"/>
      <c r="H362" s="3"/>
      <c r="I362" s="3"/>
      <c r="J362" s="3">
        <v>0</v>
      </c>
      <c r="K362" s="3">
        <v>0</v>
      </c>
      <c r="L362" s="3">
        <v>0</v>
      </c>
      <c r="M362" s="3">
        <v>0</v>
      </c>
      <c r="N362" s="3">
        <v>0</v>
      </c>
      <c r="O362" s="3"/>
      <c r="P362" s="3">
        <v>0</v>
      </c>
      <c r="Q362" s="3">
        <v>0</v>
      </c>
      <c r="R362" s="3">
        <v>0</v>
      </c>
    </row>
    <row r="363" spans="1:18">
      <c r="A363" s="3" t="s">
        <v>890</v>
      </c>
      <c r="B363" s="3" t="s">
        <v>891</v>
      </c>
      <c r="C363" s="3" t="s">
        <v>892</v>
      </c>
      <c r="D363" s="3"/>
      <c r="E363" s="3" t="s">
        <v>20</v>
      </c>
      <c r="F363" s="3"/>
      <c r="G363" s="3"/>
      <c r="H363" s="3"/>
      <c r="I363" s="3"/>
      <c r="J363" s="3">
        <v>0</v>
      </c>
      <c r="K363" s="3">
        <v>0</v>
      </c>
      <c r="L363" s="3">
        <v>0</v>
      </c>
      <c r="M363" s="3">
        <v>0</v>
      </c>
      <c r="N363" s="3">
        <v>0</v>
      </c>
      <c r="O363" s="3"/>
      <c r="P363" s="3">
        <v>0</v>
      </c>
      <c r="Q363" s="3">
        <v>0</v>
      </c>
      <c r="R363" s="3">
        <v>0</v>
      </c>
    </row>
    <row r="364" spans="1:18">
      <c r="A364" s="3" t="s">
        <v>893</v>
      </c>
      <c r="B364" s="3" t="s">
        <v>894</v>
      </c>
      <c r="C364" s="3" t="s">
        <v>895</v>
      </c>
      <c r="D364" s="3"/>
      <c r="E364" s="3" t="s">
        <v>20</v>
      </c>
      <c r="F364" s="3"/>
      <c r="G364" s="3"/>
      <c r="H364" s="3"/>
      <c r="I364" s="3"/>
      <c r="J364" s="3">
        <v>0</v>
      </c>
      <c r="K364" s="3">
        <v>0</v>
      </c>
      <c r="L364" s="3">
        <v>0</v>
      </c>
      <c r="M364" s="3">
        <v>0</v>
      </c>
      <c r="N364" s="3">
        <v>0</v>
      </c>
      <c r="O364" s="3"/>
      <c r="P364" s="3">
        <v>0</v>
      </c>
      <c r="Q364" s="3">
        <v>0</v>
      </c>
      <c r="R364" s="3">
        <v>0</v>
      </c>
    </row>
    <row r="365" spans="1:18">
      <c r="A365" s="3" t="s">
        <v>896</v>
      </c>
      <c r="B365" s="3" t="s">
        <v>897</v>
      </c>
      <c r="C365" s="3" t="s">
        <v>898</v>
      </c>
      <c r="D365" s="3"/>
      <c r="E365" s="3" t="s">
        <v>20</v>
      </c>
      <c r="F365" s="3"/>
      <c r="G365" s="3"/>
      <c r="H365" s="3"/>
      <c r="I365" s="3"/>
      <c r="J365" s="3">
        <v>0</v>
      </c>
      <c r="K365" s="3">
        <v>0</v>
      </c>
      <c r="L365" s="3">
        <v>0</v>
      </c>
      <c r="M365" s="3">
        <v>0</v>
      </c>
      <c r="N365" s="3">
        <v>0</v>
      </c>
      <c r="O365" s="3"/>
      <c r="P365" s="3">
        <v>0</v>
      </c>
      <c r="Q365" s="3">
        <v>0</v>
      </c>
      <c r="R365" s="3">
        <v>0</v>
      </c>
    </row>
    <row r="366" spans="1:18">
      <c r="A366" s="3" t="s">
        <v>899</v>
      </c>
      <c r="B366" s="3" t="s">
        <v>900</v>
      </c>
      <c r="C366" s="3" t="s">
        <v>901</v>
      </c>
      <c r="D366" s="3"/>
      <c r="E366" s="3" t="s">
        <v>20</v>
      </c>
      <c r="F366" s="3"/>
      <c r="G366" s="3"/>
      <c r="H366" s="3"/>
      <c r="I366" s="3"/>
      <c r="J366" s="3">
        <v>0</v>
      </c>
      <c r="K366" s="3">
        <v>0</v>
      </c>
      <c r="L366" s="3">
        <v>0</v>
      </c>
      <c r="M366" s="3">
        <v>0</v>
      </c>
      <c r="N366" s="3">
        <v>0</v>
      </c>
      <c r="O366" s="3"/>
      <c r="P366" s="3">
        <v>0</v>
      </c>
      <c r="Q366" s="3">
        <v>0</v>
      </c>
      <c r="R366" s="3">
        <v>0</v>
      </c>
    </row>
    <row r="367" spans="1:18">
      <c r="A367" s="3" t="s">
        <v>902</v>
      </c>
      <c r="B367" s="3" t="s">
        <v>903</v>
      </c>
      <c r="C367" s="3" t="s">
        <v>904</v>
      </c>
      <c r="D367" s="3"/>
      <c r="E367" s="3" t="s">
        <v>20</v>
      </c>
      <c r="F367" s="3"/>
      <c r="G367" s="3"/>
      <c r="H367" s="3"/>
      <c r="I367" s="3"/>
      <c r="J367" s="3">
        <v>0</v>
      </c>
      <c r="K367" s="3">
        <v>0</v>
      </c>
      <c r="L367" s="3">
        <v>0</v>
      </c>
      <c r="M367" s="3">
        <v>0</v>
      </c>
      <c r="N367" s="3">
        <v>0</v>
      </c>
      <c r="O367" s="3"/>
      <c r="P367" s="3">
        <v>0</v>
      </c>
      <c r="Q367" s="3">
        <v>0</v>
      </c>
      <c r="R367" s="3">
        <v>0</v>
      </c>
    </row>
    <row r="368" spans="1:18">
      <c r="A368" s="3" t="s">
        <v>905</v>
      </c>
      <c r="B368" s="3" t="s">
        <v>906</v>
      </c>
      <c r="C368" s="3" t="s">
        <v>907</v>
      </c>
      <c r="D368" s="3"/>
      <c r="E368" s="3" t="s">
        <v>20</v>
      </c>
      <c r="F368" s="3"/>
      <c r="G368" s="3"/>
      <c r="H368" s="3"/>
      <c r="I368" s="3"/>
      <c r="J368" s="3">
        <v>0</v>
      </c>
      <c r="K368" s="3">
        <v>0</v>
      </c>
      <c r="L368" s="3">
        <v>0</v>
      </c>
      <c r="M368" s="3">
        <v>0</v>
      </c>
      <c r="N368" s="3">
        <v>0</v>
      </c>
      <c r="O368" s="3"/>
      <c r="P368" s="3">
        <v>0</v>
      </c>
      <c r="Q368" s="3">
        <v>0</v>
      </c>
      <c r="R368" s="3">
        <v>0</v>
      </c>
    </row>
    <row r="369" spans="1:18">
      <c r="A369" s="3" t="s">
        <v>908</v>
      </c>
      <c r="B369" s="3" t="s">
        <v>909</v>
      </c>
      <c r="C369" s="3" t="s">
        <v>910</v>
      </c>
      <c r="D369" s="3"/>
      <c r="E369" s="3" t="s">
        <v>20</v>
      </c>
      <c r="F369" s="3"/>
      <c r="G369" s="3"/>
      <c r="H369" s="3"/>
      <c r="I369" s="3"/>
      <c r="J369" s="3">
        <v>0</v>
      </c>
      <c r="K369" s="3">
        <v>0</v>
      </c>
      <c r="L369" s="3">
        <v>0</v>
      </c>
      <c r="M369" s="3">
        <v>0</v>
      </c>
      <c r="N369" s="3">
        <v>0</v>
      </c>
      <c r="O369" s="3"/>
      <c r="P369" s="3">
        <v>0</v>
      </c>
      <c r="Q369" s="3">
        <v>0</v>
      </c>
      <c r="R369" s="3">
        <v>0</v>
      </c>
    </row>
    <row r="370" spans="1:18">
      <c r="A370" s="3" t="s">
        <v>911</v>
      </c>
      <c r="B370" s="3" t="s">
        <v>912</v>
      </c>
      <c r="C370" s="3" t="s">
        <v>913</v>
      </c>
      <c r="D370" s="3"/>
      <c r="E370" s="3" t="s">
        <v>20</v>
      </c>
      <c r="F370" s="3"/>
      <c r="G370" s="3"/>
      <c r="H370" s="3"/>
      <c r="I370" s="3"/>
      <c r="J370" s="3">
        <v>0</v>
      </c>
      <c r="K370" s="3">
        <v>0</v>
      </c>
      <c r="L370" s="3">
        <v>0</v>
      </c>
      <c r="M370" s="3">
        <v>0</v>
      </c>
      <c r="N370" s="3">
        <v>0</v>
      </c>
      <c r="O370" s="3"/>
      <c r="P370" s="3">
        <v>0</v>
      </c>
      <c r="Q370" s="3">
        <v>0</v>
      </c>
      <c r="R370" s="3">
        <v>0</v>
      </c>
    </row>
    <row r="371" spans="1:18">
      <c r="A371" s="3" t="s">
        <v>914</v>
      </c>
      <c r="B371" s="3" t="s">
        <v>915</v>
      </c>
      <c r="C371" s="3" t="s">
        <v>916</v>
      </c>
      <c r="D371" s="3"/>
      <c r="E371" s="3" t="s">
        <v>20</v>
      </c>
      <c r="F371" s="3"/>
      <c r="G371" s="3"/>
      <c r="H371" s="3"/>
      <c r="I371" s="3"/>
      <c r="J371" s="3">
        <v>0</v>
      </c>
      <c r="K371" s="3">
        <v>0</v>
      </c>
      <c r="L371" s="3">
        <v>0</v>
      </c>
      <c r="M371" s="3">
        <v>0</v>
      </c>
      <c r="N371" s="3">
        <v>0</v>
      </c>
      <c r="O371" s="3"/>
      <c r="P371" s="3">
        <v>0</v>
      </c>
      <c r="Q371" s="3">
        <v>0</v>
      </c>
      <c r="R371" s="3">
        <v>0</v>
      </c>
    </row>
    <row r="372" spans="1:18">
      <c r="A372" s="3" t="s">
        <v>917</v>
      </c>
      <c r="B372" s="3" t="s">
        <v>918</v>
      </c>
      <c r="C372" s="3" t="s">
        <v>919</v>
      </c>
      <c r="D372" s="3"/>
      <c r="E372" s="3" t="s">
        <v>20</v>
      </c>
      <c r="F372" s="3"/>
      <c r="G372" s="3"/>
      <c r="H372" s="3"/>
      <c r="I372" s="3"/>
      <c r="J372" s="3">
        <v>0</v>
      </c>
      <c r="K372" s="3">
        <v>0</v>
      </c>
      <c r="L372" s="3">
        <v>0</v>
      </c>
      <c r="M372" s="3">
        <v>0</v>
      </c>
      <c r="N372" s="3">
        <v>0</v>
      </c>
      <c r="O372" s="3"/>
      <c r="P372" s="3">
        <v>0</v>
      </c>
      <c r="Q372" s="3">
        <v>0</v>
      </c>
      <c r="R372" s="3">
        <v>0</v>
      </c>
    </row>
    <row r="373" spans="1:18">
      <c r="A373" s="3" t="s">
        <v>920</v>
      </c>
      <c r="B373" s="3" t="s">
        <v>921</v>
      </c>
      <c r="C373" s="3" t="s">
        <v>922</v>
      </c>
      <c r="D373" s="3"/>
      <c r="E373" s="3" t="s">
        <v>20</v>
      </c>
      <c r="F373" s="3"/>
      <c r="G373" s="3"/>
      <c r="H373" s="3"/>
      <c r="I373" s="3"/>
      <c r="J373" s="3">
        <v>0</v>
      </c>
      <c r="K373" s="3">
        <v>0</v>
      </c>
      <c r="L373" s="3">
        <v>0</v>
      </c>
      <c r="M373" s="3">
        <v>0</v>
      </c>
      <c r="N373" s="3">
        <v>0</v>
      </c>
      <c r="O373" s="3"/>
      <c r="P373" s="3">
        <v>0</v>
      </c>
      <c r="Q373" s="3">
        <v>0</v>
      </c>
      <c r="R373" s="3">
        <v>0</v>
      </c>
    </row>
    <row r="374" spans="1:18">
      <c r="A374" s="3" t="s">
        <v>923</v>
      </c>
      <c r="B374" s="3" t="s">
        <v>924</v>
      </c>
      <c r="C374" s="3" t="s">
        <v>925</v>
      </c>
      <c r="D374" s="3"/>
      <c r="E374" s="3" t="s">
        <v>20</v>
      </c>
      <c r="F374" s="3"/>
      <c r="G374" s="3"/>
      <c r="H374" s="3"/>
      <c r="I374" s="3"/>
      <c r="J374" s="3">
        <v>0</v>
      </c>
      <c r="K374" s="3">
        <v>0</v>
      </c>
      <c r="L374" s="3">
        <v>0</v>
      </c>
      <c r="M374" s="3">
        <v>0</v>
      </c>
      <c r="N374" s="3">
        <v>0</v>
      </c>
      <c r="O374" s="3"/>
      <c r="P374" s="3">
        <v>0</v>
      </c>
      <c r="Q374" s="3">
        <v>0</v>
      </c>
      <c r="R374" s="3">
        <v>0</v>
      </c>
    </row>
    <row r="375" spans="1:18">
      <c r="A375" s="3" t="s">
        <v>926</v>
      </c>
      <c r="B375" s="3" t="s">
        <v>927</v>
      </c>
      <c r="C375" s="3" t="s">
        <v>928</v>
      </c>
      <c r="D375" s="3"/>
      <c r="E375" s="3" t="s">
        <v>20</v>
      </c>
      <c r="F375" s="3"/>
      <c r="G375" s="3"/>
      <c r="H375" s="3"/>
      <c r="I375" s="3"/>
      <c r="J375" s="3">
        <v>0</v>
      </c>
      <c r="K375" s="3">
        <v>0</v>
      </c>
      <c r="L375" s="3">
        <v>0</v>
      </c>
      <c r="M375" s="3">
        <v>0</v>
      </c>
      <c r="N375" s="3">
        <v>0</v>
      </c>
      <c r="O375" s="3"/>
      <c r="P375" s="3">
        <v>0</v>
      </c>
      <c r="Q375" s="3">
        <v>0</v>
      </c>
      <c r="R375" s="3">
        <v>0</v>
      </c>
    </row>
    <row r="376" spans="1:18">
      <c r="A376" s="3" t="s">
        <v>929</v>
      </c>
      <c r="B376" s="3" t="s">
        <v>930</v>
      </c>
      <c r="C376" s="3" t="s">
        <v>931</v>
      </c>
      <c r="D376" s="3"/>
      <c r="E376" s="3" t="s">
        <v>20</v>
      </c>
      <c r="F376" s="3"/>
      <c r="G376" s="3"/>
      <c r="H376" s="3"/>
      <c r="I376" s="3"/>
      <c r="J376" s="3">
        <v>0</v>
      </c>
      <c r="K376" s="3">
        <v>0</v>
      </c>
      <c r="L376" s="3">
        <v>0</v>
      </c>
      <c r="M376" s="3">
        <v>0</v>
      </c>
      <c r="N376" s="3">
        <v>0</v>
      </c>
      <c r="O376" s="3"/>
      <c r="P376" s="3">
        <v>0</v>
      </c>
      <c r="Q376" s="3">
        <v>0</v>
      </c>
      <c r="R376" s="3">
        <v>0</v>
      </c>
    </row>
    <row r="377" spans="1:18">
      <c r="A377" s="3" t="s">
        <v>932</v>
      </c>
      <c r="B377" s="3" t="s">
        <v>933</v>
      </c>
      <c r="C377" s="3" t="s">
        <v>934</v>
      </c>
      <c r="D377" s="3"/>
      <c r="E377" s="3" t="s">
        <v>20</v>
      </c>
      <c r="F377" s="3"/>
      <c r="G377" s="3"/>
      <c r="H377" s="3"/>
      <c r="I377" s="3"/>
      <c r="J377" s="3">
        <v>0</v>
      </c>
      <c r="K377" s="3">
        <v>0</v>
      </c>
      <c r="L377" s="3">
        <v>0</v>
      </c>
      <c r="M377" s="3">
        <v>0</v>
      </c>
      <c r="N377" s="3">
        <v>0</v>
      </c>
      <c r="O377" s="3"/>
      <c r="P377" s="3">
        <v>0</v>
      </c>
      <c r="Q377" s="3">
        <v>0</v>
      </c>
      <c r="R377" s="3">
        <v>0</v>
      </c>
    </row>
    <row r="378" spans="1:18">
      <c r="A378" s="3" t="s">
        <v>935</v>
      </c>
      <c r="B378" s="3" t="s">
        <v>936</v>
      </c>
      <c r="C378" s="3" t="s">
        <v>937</v>
      </c>
      <c r="D378" s="3"/>
      <c r="E378" s="3" t="s">
        <v>20</v>
      </c>
      <c r="F378" s="3"/>
      <c r="G378" s="3"/>
      <c r="H378" s="3"/>
      <c r="I378" s="3"/>
      <c r="J378" s="3">
        <v>0</v>
      </c>
      <c r="K378" s="3">
        <v>0</v>
      </c>
      <c r="L378" s="3">
        <v>0</v>
      </c>
      <c r="M378" s="3">
        <v>0</v>
      </c>
      <c r="N378" s="3">
        <v>0</v>
      </c>
      <c r="O378" s="3"/>
      <c r="P378" s="3">
        <v>0</v>
      </c>
      <c r="Q378" s="3">
        <v>0</v>
      </c>
      <c r="R378" s="3">
        <v>0</v>
      </c>
    </row>
    <row r="379" spans="1:18">
      <c r="A379" s="3" t="s">
        <v>938</v>
      </c>
      <c r="B379" s="3" t="s">
        <v>939</v>
      </c>
      <c r="C379" s="3" t="s">
        <v>940</v>
      </c>
      <c r="D379" s="3"/>
      <c r="E379" s="3" t="s">
        <v>20</v>
      </c>
      <c r="F379" s="3"/>
      <c r="G379" s="3"/>
      <c r="H379" s="3"/>
      <c r="I379" s="3"/>
      <c r="J379" s="3">
        <v>0</v>
      </c>
      <c r="K379" s="3">
        <v>0</v>
      </c>
      <c r="L379" s="3">
        <v>0</v>
      </c>
      <c r="M379" s="3">
        <v>0</v>
      </c>
      <c r="N379" s="3">
        <v>0</v>
      </c>
      <c r="O379" s="3"/>
      <c r="P379" s="3">
        <v>0</v>
      </c>
      <c r="Q379" s="3">
        <v>0</v>
      </c>
      <c r="R379" s="3">
        <v>0</v>
      </c>
    </row>
    <row r="380" spans="1:18">
      <c r="A380" s="3" t="s">
        <v>941</v>
      </c>
      <c r="B380" s="3" t="s">
        <v>942</v>
      </c>
      <c r="C380" s="3" t="s">
        <v>943</v>
      </c>
      <c r="D380" s="3"/>
      <c r="E380" s="3" t="s">
        <v>20</v>
      </c>
      <c r="F380" s="3"/>
      <c r="G380" s="3"/>
      <c r="H380" s="3"/>
      <c r="I380" s="3"/>
      <c r="J380" s="3">
        <v>0</v>
      </c>
      <c r="K380" s="3">
        <v>0</v>
      </c>
      <c r="L380" s="3">
        <v>0</v>
      </c>
      <c r="M380" s="3">
        <v>0</v>
      </c>
      <c r="N380" s="3">
        <v>0</v>
      </c>
      <c r="O380" s="3"/>
      <c r="P380" s="3">
        <v>0</v>
      </c>
      <c r="Q380" s="3">
        <v>0</v>
      </c>
      <c r="R380" s="3">
        <v>0</v>
      </c>
    </row>
    <row r="381" spans="1:18">
      <c r="A381" s="3" t="s">
        <v>944</v>
      </c>
      <c r="B381" s="3" t="s">
        <v>945</v>
      </c>
      <c r="C381" s="3" t="s">
        <v>946</v>
      </c>
      <c r="D381" s="3"/>
      <c r="E381" s="3" t="s">
        <v>20</v>
      </c>
      <c r="F381" s="3"/>
      <c r="G381" s="3"/>
      <c r="H381" s="3"/>
      <c r="I381" s="3"/>
      <c r="J381" s="3">
        <v>0</v>
      </c>
      <c r="K381" s="3">
        <v>0</v>
      </c>
      <c r="L381" s="3">
        <v>0</v>
      </c>
      <c r="M381" s="3">
        <v>0</v>
      </c>
      <c r="N381" s="3">
        <v>0</v>
      </c>
      <c r="O381" s="3"/>
      <c r="P381" s="3">
        <v>0</v>
      </c>
      <c r="Q381" s="3">
        <v>0</v>
      </c>
      <c r="R381" s="3">
        <v>0</v>
      </c>
    </row>
    <row r="382" spans="1:18">
      <c r="A382" s="3" t="s">
        <v>947</v>
      </c>
      <c r="B382" s="3" t="s">
        <v>948</v>
      </c>
      <c r="C382" s="3" t="s">
        <v>949</v>
      </c>
      <c r="D382" s="3"/>
      <c r="E382" s="3" t="s">
        <v>20</v>
      </c>
      <c r="F382" s="3"/>
      <c r="G382" s="3"/>
      <c r="H382" s="3"/>
      <c r="I382" s="3"/>
      <c r="J382" s="3">
        <v>0</v>
      </c>
      <c r="K382" s="3">
        <v>0</v>
      </c>
      <c r="L382" s="3">
        <v>0</v>
      </c>
      <c r="M382" s="3">
        <v>0</v>
      </c>
      <c r="N382" s="3">
        <v>0</v>
      </c>
      <c r="O382" s="3"/>
      <c r="P382" s="3">
        <v>0</v>
      </c>
      <c r="Q382" s="3">
        <v>0</v>
      </c>
      <c r="R382" s="3">
        <v>0</v>
      </c>
    </row>
    <row r="383" spans="1:18">
      <c r="A383" s="3" t="s">
        <v>950</v>
      </c>
      <c r="B383" s="3" t="s">
        <v>951</v>
      </c>
      <c r="C383" s="3" t="s">
        <v>952</v>
      </c>
      <c r="D383" s="3"/>
      <c r="E383" s="3" t="s">
        <v>20</v>
      </c>
      <c r="F383" s="3"/>
      <c r="G383" s="3"/>
      <c r="H383" s="3"/>
      <c r="I383" s="3"/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/>
      <c r="P383" s="3">
        <v>0</v>
      </c>
      <c r="Q383" s="3">
        <v>0</v>
      </c>
      <c r="R383" s="3">
        <v>0</v>
      </c>
    </row>
    <row r="384" spans="1:18">
      <c r="A384" s="3" t="s">
        <v>953</v>
      </c>
      <c r="B384" s="3" t="s">
        <v>954</v>
      </c>
      <c r="C384" s="3" t="s">
        <v>955</v>
      </c>
      <c r="D384" s="3"/>
      <c r="E384" s="3" t="s">
        <v>20</v>
      </c>
      <c r="F384" s="3"/>
      <c r="G384" s="3"/>
      <c r="H384" s="3"/>
      <c r="I384" s="3"/>
      <c r="J384" s="3">
        <v>0</v>
      </c>
      <c r="K384" s="3">
        <v>0</v>
      </c>
      <c r="L384" s="3">
        <v>0</v>
      </c>
      <c r="M384" s="3">
        <v>0</v>
      </c>
      <c r="N384" s="3">
        <v>0</v>
      </c>
      <c r="O384" s="3"/>
      <c r="P384" s="3">
        <v>0</v>
      </c>
      <c r="Q384" s="3">
        <v>0</v>
      </c>
      <c r="R384" s="3">
        <v>0</v>
      </c>
    </row>
    <row r="385" spans="1:18">
      <c r="A385" s="3" t="s">
        <v>956</v>
      </c>
      <c r="B385" s="3" t="s">
        <v>957</v>
      </c>
      <c r="C385" s="3" t="s">
        <v>958</v>
      </c>
      <c r="D385" s="3"/>
      <c r="E385" s="3" t="s">
        <v>20</v>
      </c>
      <c r="F385" s="3"/>
      <c r="G385" s="3"/>
      <c r="H385" s="3"/>
      <c r="I385" s="3"/>
      <c r="J385" s="3">
        <v>0</v>
      </c>
      <c r="K385" s="3">
        <v>0</v>
      </c>
      <c r="L385" s="3">
        <v>0</v>
      </c>
      <c r="M385" s="3">
        <v>0</v>
      </c>
      <c r="N385" s="3">
        <v>0</v>
      </c>
      <c r="O385" s="3"/>
      <c r="P385" s="3">
        <v>0</v>
      </c>
      <c r="Q385" s="3">
        <v>0</v>
      </c>
      <c r="R385" s="3">
        <v>0</v>
      </c>
    </row>
    <row r="386" spans="1:18">
      <c r="A386" s="3" t="s">
        <v>959</v>
      </c>
      <c r="B386" s="3" t="s">
        <v>960</v>
      </c>
      <c r="C386" s="3" t="s">
        <v>961</v>
      </c>
      <c r="D386" s="3"/>
      <c r="E386" s="3" t="s">
        <v>20</v>
      </c>
      <c r="F386" s="3"/>
      <c r="G386" s="3"/>
      <c r="H386" s="3"/>
      <c r="I386" s="3"/>
      <c r="J386" s="3">
        <v>0</v>
      </c>
      <c r="K386" s="3">
        <v>0</v>
      </c>
      <c r="L386" s="3">
        <v>0</v>
      </c>
      <c r="M386" s="3">
        <v>0</v>
      </c>
      <c r="N386" s="3">
        <v>0</v>
      </c>
      <c r="O386" s="3"/>
      <c r="P386" s="3">
        <v>0</v>
      </c>
      <c r="Q386" s="3">
        <v>0</v>
      </c>
      <c r="R386" s="3">
        <v>0</v>
      </c>
    </row>
    <row r="387" spans="1:18">
      <c r="A387" s="3" t="s">
        <v>962</v>
      </c>
      <c r="B387" s="3" t="s">
        <v>963</v>
      </c>
      <c r="C387" s="3" t="s">
        <v>964</v>
      </c>
      <c r="D387" s="3"/>
      <c r="E387" s="3" t="s">
        <v>20</v>
      </c>
      <c r="F387" s="3"/>
      <c r="G387" s="3"/>
      <c r="H387" s="3"/>
      <c r="I387" s="3"/>
      <c r="J387" s="3">
        <v>0</v>
      </c>
      <c r="K387" s="3">
        <v>0</v>
      </c>
      <c r="L387" s="3">
        <v>0</v>
      </c>
      <c r="M387" s="3">
        <v>0</v>
      </c>
      <c r="N387" s="3">
        <v>0</v>
      </c>
      <c r="O387" s="3"/>
      <c r="P387" s="3">
        <v>0</v>
      </c>
      <c r="Q387" s="3">
        <v>0</v>
      </c>
      <c r="R387" s="3">
        <v>0</v>
      </c>
    </row>
    <row r="388" spans="1:18">
      <c r="A388" s="3" t="s">
        <v>965</v>
      </c>
      <c r="B388" s="3" t="s">
        <v>966</v>
      </c>
      <c r="C388" s="3" t="s">
        <v>967</v>
      </c>
      <c r="D388" s="3"/>
      <c r="E388" s="3" t="s">
        <v>20</v>
      </c>
      <c r="F388" s="3"/>
      <c r="G388" s="3"/>
      <c r="H388" s="3"/>
      <c r="I388" s="3"/>
      <c r="J388" s="3">
        <v>0</v>
      </c>
      <c r="K388" s="3">
        <v>0</v>
      </c>
      <c r="L388" s="3">
        <v>0</v>
      </c>
      <c r="M388" s="3">
        <v>0</v>
      </c>
      <c r="N388" s="3">
        <v>0</v>
      </c>
      <c r="O388" s="3"/>
      <c r="P388" s="3">
        <v>0</v>
      </c>
      <c r="Q388" s="3">
        <v>0</v>
      </c>
      <c r="R388" s="3">
        <v>0</v>
      </c>
    </row>
    <row r="389" spans="1:18">
      <c r="A389" s="3" t="s">
        <v>968</v>
      </c>
      <c r="B389" s="3" t="s">
        <v>969</v>
      </c>
      <c r="C389" s="3" t="s">
        <v>970</v>
      </c>
      <c r="D389" s="3"/>
      <c r="E389" s="3" t="s">
        <v>20</v>
      </c>
      <c r="F389" s="3"/>
      <c r="G389" s="3"/>
      <c r="H389" s="3"/>
      <c r="I389" s="3"/>
      <c r="J389" s="3">
        <v>0</v>
      </c>
      <c r="K389" s="3">
        <v>0</v>
      </c>
      <c r="L389" s="3">
        <v>0</v>
      </c>
      <c r="M389" s="3">
        <v>0</v>
      </c>
      <c r="N389" s="3">
        <v>0</v>
      </c>
      <c r="O389" s="3"/>
      <c r="P389" s="3">
        <v>0</v>
      </c>
      <c r="Q389" s="3">
        <v>0</v>
      </c>
      <c r="R389" s="3">
        <v>0</v>
      </c>
    </row>
    <row r="390" spans="1:18">
      <c r="A390" s="3" t="s">
        <v>971</v>
      </c>
      <c r="B390" s="3" t="s">
        <v>972</v>
      </c>
      <c r="C390" s="3" t="s">
        <v>973</v>
      </c>
      <c r="D390" s="3"/>
      <c r="E390" s="3" t="s">
        <v>20</v>
      </c>
      <c r="F390" s="3"/>
      <c r="G390" s="3"/>
      <c r="H390" s="3"/>
      <c r="I390" s="3"/>
      <c r="J390" s="3">
        <v>0</v>
      </c>
      <c r="K390" s="3">
        <v>0</v>
      </c>
      <c r="L390" s="3">
        <v>0</v>
      </c>
      <c r="M390" s="3">
        <v>0</v>
      </c>
      <c r="N390" s="3">
        <v>0</v>
      </c>
      <c r="O390" s="3"/>
      <c r="P390" s="3">
        <v>0</v>
      </c>
      <c r="Q390" s="3">
        <v>0</v>
      </c>
      <c r="R390" s="3">
        <v>0</v>
      </c>
    </row>
    <row r="391" spans="1:18">
      <c r="A391" s="3" t="s">
        <v>974</v>
      </c>
      <c r="B391" s="3" t="s">
        <v>975</v>
      </c>
      <c r="C391" s="3" t="s">
        <v>976</v>
      </c>
      <c r="D391" s="3"/>
      <c r="E391" s="3" t="s">
        <v>20</v>
      </c>
      <c r="F391" s="3"/>
      <c r="G391" s="3"/>
      <c r="H391" s="3"/>
      <c r="I391" s="3"/>
      <c r="J391" s="3">
        <v>0</v>
      </c>
      <c r="K391" s="3">
        <v>0</v>
      </c>
      <c r="L391" s="3">
        <v>0</v>
      </c>
      <c r="M391" s="3">
        <v>0</v>
      </c>
      <c r="N391" s="3">
        <v>0</v>
      </c>
      <c r="O391" s="3"/>
      <c r="P391" s="3">
        <v>0</v>
      </c>
      <c r="Q391" s="3">
        <v>0</v>
      </c>
      <c r="R391" s="3">
        <v>0</v>
      </c>
    </row>
    <row r="392" spans="1:18">
      <c r="A392" s="3" t="s">
        <v>977</v>
      </c>
      <c r="B392" s="3" t="s">
        <v>978</v>
      </c>
      <c r="C392" s="3" t="s">
        <v>979</v>
      </c>
      <c r="D392" s="3"/>
      <c r="E392" s="3" t="s">
        <v>20</v>
      </c>
      <c r="F392" s="3"/>
      <c r="G392" s="3"/>
      <c r="H392" s="3"/>
      <c r="I392" s="3"/>
      <c r="J392" s="3">
        <v>0</v>
      </c>
      <c r="K392" s="3">
        <v>0</v>
      </c>
      <c r="L392" s="3">
        <v>0</v>
      </c>
      <c r="M392" s="3">
        <v>0</v>
      </c>
      <c r="N392" s="3">
        <v>0</v>
      </c>
      <c r="O392" s="3"/>
      <c r="P392" s="3">
        <v>0</v>
      </c>
      <c r="Q392" s="3">
        <v>0</v>
      </c>
      <c r="R392" s="3">
        <v>0</v>
      </c>
    </row>
    <row r="393" spans="1:18">
      <c r="A393" s="3" t="s">
        <v>980</v>
      </c>
      <c r="B393" s="3" t="s">
        <v>981</v>
      </c>
      <c r="C393" s="3" t="s">
        <v>982</v>
      </c>
      <c r="D393" s="3"/>
      <c r="E393" s="3" t="s">
        <v>20</v>
      </c>
      <c r="F393" s="3"/>
      <c r="G393" s="3"/>
      <c r="H393" s="3"/>
      <c r="I393" s="3"/>
      <c r="J393" s="3">
        <v>0</v>
      </c>
      <c r="K393" s="3">
        <v>0</v>
      </c>
      <c r="L393" s="3">
        <v>0</v>
      </c>
      <c r="M393" s="3">
        <v>0</v>
      </c>
      <c r="N393" s="3">
        <v>0</v>
      </c>
      <c r="O393" s="3"/>
      <c r="P393" s="3">
        <v>0</v>
      </c>
      <c r="Q393" s="3">
        <v>0</v>
      </c>
      <c r="R393" s="3">
        <v>0</v>
      </c>
    </row>
    <row r="394" spans="1:18">
      <c r="A394" s="3" t="s">
        <v>983</v>
      </c>
      <c r="B394" s="3" t="s">
        <v>984</v>
      </c>
      <c r="C394" s="3" t="s">
        <v>985</v>
      </c>
      <c r="D394" s="3"/>
      <c r="E394" s="3" t="s">
        <v>20</v>
      </c>
      <c r="F394" s="3"/>
      <c r="G394" s="3"/>
      <c r="H394" s="3"/>
      <c r="I394" s="3"/>
      <c r="J394" s="3">
        <v>0</v>
      </c>
      <c r="K394" s="3">
        <v>0</v>
      </c>
      <c r="L394" s="3">
        <v>0</v>
      </c>
      <c r="M394" s="3">
        <v>0</v>
      </c>
      <c r="N394" s="3">
        <v>0</v>
      </c>
      <c r="O394" s="3"/>
      <c r="P394" s="3">
        <v>0</v>
      </c>
      <c r="Q394" s="3">
        <v>0</v>
      </c>
      <c r="R394" s="3">
        <v>0</v>
      </c>
    </row>
    <row r="395" spans="1:18">
      <c r="A395" s="3" t="s">
        <v>986</v>
      </c>
      <c r="B395" s="3" t="s">
        <v>987</v>
      </c>
      <c r="C395" s="3" t="s">
        <v>988</v>
      </c>
      <c r="D395" s="3"/>
      <c r="E395" s="3" t="s">
        <v>20</v>
      </c>
      <c r="F395" s="3"/>
      <c r="G395" s="3"/>
      <c r="H395" s="3"/>
      <c r="I395" s="3"/>
      <c r="J395" s="3">
        <v>0</v>
      </c>
      <c r="K395" s="3">
        <v>0</v>
      </c>
      <c r="L395" s="3">
        <v>0</v>
      </c>
      <c r="M395" s="3">
        <v>0</v>
      </c>
      <c r="N395" s="3">
        <v>0</v>
      </c>
      <c r="O395" s="3"/>
      <c r="P395" s="3">
        <v>0</v>
      </c>
      <c r="Q395" s="3">
        <v>0</v>
      </c>
      <c r="R395" s="3">
        <v>0</v>
      </c>
    </row>
    <row r="396" spans="1:18">
      <c r="A396" s="3" t="s">
        <v>989</v>
      </c>
      <c r="B396" s="3" t="s">
        <v>990</v>
      </c>
      <c r="C396" s="3" t="s">
        <v>991</v>
      </c>
      <c r="D396" s="3"/>
      <c r="E396" s="3" t="s">
        <v>20</v>
      </c>
      <c r="F396" s="3"/>
      <c r="G396" s="3"/>
      <c r="H396" s="3"/>
      <c r="I396" s="3"/>
      <c r="J396" s="3">
        <v>0</v>
      </c>
      <c r="K396" s="3">
        <v>0</v>
      </c>
      <c r="L396" s="3">
        <v>0</v>
      </c>
      <c r="M396" s="3">
        <v>0</v>
      </c>
      <c r="N396" s="3">
        <v>0</v>
      </c>
      <c r="O396" s="3"/>
      <c r="P396" s="3">
        <v>0</v>
      </c>
      <c r="Q396" s="3">
        <v>0</v>
      </c>
      <c r="R396" s="3">
        <v>0</v>
      </c>
    </row>
    <row r="397" spans="1:18">
      <c r="A397" s="3" t="s">
        <v>992</v>
      </c>
      <c r="B397" s="3" t="s">
        <v>993</v>
      </c>
      <c r="C397" s="3" t="s">
        <v>994</v>
      </c>
      <c r="D397" s="3"/>
      <c r="E397" s="3" t="s">
        <v>20</v>
      </c>
      <c r="F397" s="3"/>
      <c r="G397" s="3"/>
      <c r="H397" s="3"/>
      <c r="I397" s="3"/>
      <c r="J397" s="3">
        <v>0</v>
      </c>
      <c r="K397" s="3">
        <v>0</v>
      </c>
      <c r="L397" s="3">
        <v>0</v>
      </c>
      <c r="M397" s="3">
        <v>0</v>
      </c>
      <c r="N397" s="3">
        <v>0</v>
      </c>
      <c r="O397" s="3"/>
      <c r="P397" s="3">
        <v>0</v>
      </c>
      <c r="Q397" s="3">
        <v>0</v>
      </c>
      <c r="R397" s="3">
        <v>0</v>
      </c>
    </row>
    <row r="398" spans="1:18">
      <c r="A398" s="3" t="s">
        <v>995</v>
      </c>
      <c r="B398" s="3" t="s">
        <v>996</v>
      </c>
      <c r="C398" s="3" t="s">
        <v>997</v>
      </c>
      <c r="D398" s="3"/>
      <c r="E398" s="3" t="s">
        <v>20</v>
      </c>
      <c r="F398" s="3"/>
      <c r="G398" s="3"/>
      <c r="H398" s="3"/>
      <c r="I398" s="3"/>
      <c r="J398" s="3">
        <v>0</v>
      </c>
      <c r="K398" s="3">
        <v>0</v>
      </c>
      <c r="L398" s="3">
        <v>0</v>
      </c>
      <c r="M398" s="3">
        <v>0</v>
      </c>
      <c r="N398" s="3">
        <v>0</v>
      </c>
      <c r="O398" s="3"/>
      <c r="P398" s="3">
        <v>0</v>
      </c>
      <c r="Q398" s="3">
        <v>0</v>
      </c>
      <c r="R398" s="3">
        <v>0</v>
      </c>
    </row>
    <row r="399" spans="1:18">
      <c r="A399" s="3" t="s">
        <v>998</v>
      </c>
      <c r="B399" s="3" t="s">
        <v>999</v>
      </c>
      <c r="C399" s="3" t="s">
        <v>1000</v>
      </c>
      <c r="D399" s="3"/>
      <c r="E399" s="3" t="s">
        <v>20</v>
      </c>
      <c r="F399" s="3"/>
      <c r="G399" s="3"/>
      <c r="H399" s="3"/>
      <c r="I399" s="3"/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/>
      <c r="P399" s="3">
        <v>0</v>
      </c>
      <c r="Q399" s="3">
        <v>0</v>
      </c>
      <c r="R399" s="3">
        <v>0</v>
      </c>
    </row>
    <row r="400" spans="1:18">
      <c r="A400" s="3" t="s">
        <v>1001</v>
      </c>
      <c r="B400" s="3" t="s">
        <v>1002</v>
      </c>
      <c r="C400" s="3" t="s">
        <v>1003</v>
      </c>
      <c r="D400" s="3"/>
      <c r="E400" s="3" t="s">
        <v>20</v>
      </c>
      <c r="F400" s="3"/>
      <c r="G400" s="3"/>
      <c r="H400" s="3"/>
      <c r="I400" s="3"/>
      <c r="J400" s="3">
        <v>0</v>
      </c>
      <c r="K400" s="3">
        <v>0</v>
      </c>
      <c r="L400" s="3">
        <v>0</v>
      </c>
      <c r="M400" s="3">
        <v>0</v>
      </c>
      <c r="N400" s="3">
        <v>0</v>
      </c>
      <c r="O400" s="3"/>
      <c r="P400" s="3">
        <v>0</v>
      </c>
      <c r="Q400" s="3">
        <v>0</v>
      </c>
      <c r="R400" s="3">
        <v>0</v>
      </c>
    </row>
    <row r="401" spans="1:18">
      <c r="A401" s="3" t="s">
        <v>1004</v>
      </c>
      <c r="B401" s="3" t="s">
        <v>1005</v>
      </c>
      <c r="C401" s="3" t="s">
        <v>1006</v>
      </c>
      <c r="D401" s="3"/>
      <c r="E401" s="3" t="s">
        <v>20</v>
      </c>
      <c r="F401" s="3"/>
      <c r="G401" s="3"/>
      <c r="H401" s="3"/>
      <c r="I401" s="3"/>
      <c r="J401" s="3">
        <v>0</v>
      </c>
      <c r="K401" s="3">
        <v>0</v>
      </c>
      <c r="L401" s="3">
        <v>0</v>
      </c>
      <c r="M401" s="3">
        <v>0</v>
      </c>
      <c r="N401" s="3">
        <v>0</v>
      </c>
      <c r="O401" s="3"/>
      <c r="P401" s="3">
        <v>0</v>
      </c>
      <c r="Q401" s="3">
        <v>0</v>
      </c>
      <c r="R401" s="3">
        <v>0</v>
      </c>
    </row>
    <row r="402" spans="1:18">
      <c r="A402" s="3" t="s">
        <v>1007</v>
      </c>
      <c r="B402" s="3" t="s">
        <v>1008</v>
      </c>
      <c r="C402" s="3" t="s">
        <v>1009</v>
      </c>
      <c r="D402" s="3"/>
      <c r="E402" s="3" t="s">
        <v>20</v>
      </c>
      <c r="F402" s="3"/>
      <c r="G402" s="3"/>
      <c r="H402" s="3"/>
      <c r="I402" s="3"/>
      <c r="J402" s="3">
        <v>0</v>
      </c>
      <c r="K402" s="3">
        <v>0</v>
      </c>
      <c r="L402" s="3">
        <v>0</v>
      </c>
      <c r="M402" s="3">
        <v>0</v>
      </c>
      <c r="N402" s="3">
        <v>0</v>
      </c>
      <c r="O402" s="3"/>
      <c r="P402" s="3">
        <v>0</v>
      </c>
      <c r="Q402" s="3">
        <v>0</v>
      </c>
      <c r="R402" s="3">
        <v>0</v>
      </c>
    </row>
    <row r="403" spans="1:18">
      <c r="A403" s="3" t="s">
        <v>1010</v>
      </c>
      <c r="B403" s="3" t="s">
        <v>1011</v>
      </c>
      <c r="C403" s="3" t="s">
        <v>302</v>
      </c>
      <c r="D403" s="3" t="s">
        <v>468</v>
      </c>
      <c r="E403" s="3" t="s">
        <v>120</v>
      </c>
      <c r="F403" s="3">
        <v>24.98</v>
      </c>
      <c r="G403" s="3" t="s">
        <v>121</v>
      </c>
      <c r="H403" s="3"/>
      <c r="I403" s="3" t="s">
        <v>122</v>
      </c>
      <c r="J403" s="3">
        <v>23</v>
      </c>
      <c r="K403" s="3">
        <v>23</v>
      </c>
      <c r="L403" s="3">
        <v>0</v>
      </c>
      <c r="M403" s="3">
        <v>0</v>
      </c>
      <c r="N403" s="3">
        <v>23</v>
      </c>
      <c r="O403" s="3">
        <v>0.06</v>
      </c>
      <c r="P403" s="3">
        <v>0</v>
      </c>
      <c r="Q403" s="3">
        <v>0</v>
      </c>
      <c r="R403" s="3">
        <v>0</v>
      </c>
    </row>
    <row r="404" spans="1:18">
      <c r="A404" s="3" t="s">
        <v>1012</v>
      </c>
      <c r="B404" s="3" t="s">
        <v>1013</v>
      </c>
      <c r="C404" s="3" t="s">
        <v>304</v>
      </c>
      <c r="D404" s="3" t="s">
        <v>470</v>
      </c>
      <c r="E404" s="3" t="s">
        <v>120</v>
      </c>
      <c r="F404" s="3">
        <v>24.98</v>
      </c>
      <c r="G404" s="3" t="s">
        <v>121</v>
      </c>
      <c r="H404" s="3"/>
      <c r="I404" s="3" t="s">
        <v>122</v>
      </c>
      <c r="J404" s="3">
        <v>20</v>
      </c>
      <c r="K404" s="3">
        <v>20</v>
      </c>
      <c r="L404" s="3">
        <v>0</v>
      </c>
      <c r="M404" s="3">
        <v>0</v>
      </c>
      <c r="N404" s="3">
        <v>20</v>
      </c>
      <c r="O404" s="3">
        <v>0.06</v>
      </c>
      <c r="P404" s="3">
        <v>0</v>
      </c>
      <c r="Q404" s="3">
        <v>0</v>
      </c>
      <c r="R404" s="3">
        <v>0</v>
      </c>
    </row>
    <row r="405" spans="1:18">
      <c r="A405" s="3" t="s">
        <v>1014</v>
      </c>
      <c r="B405" s="3" t="s">
        <v>1015</v>
      </c>
      <c r="C405" s="3" t="s">
        <v>1016</v>
      </c>
      <c r="D405" s="3" t="s">
        <v>1017</v>
      </c>
      <c r="E405" s="3" t="s">
        <v>120</v>
      </c>
      <c r="F405" s="3">
        <v>24.98</v>
      </c>
      <c r="G405" s="3" t="s">
        <v>121</v>
      </c>
      <c r="H405" s="3"/>
      <c r="I405" s="3" t="s">
        <v>122</v>
      </c>
      <c r="J405" s="3">
        <v>10</v>
      </c>
      <c r="K405" s="3">
        <v>10</v>
      </c>
      <c r="L405" s="3">
        <v>0</v>
      </c>
      <c r="M405" s="3">
        <v>0</v>
      </c>
      <c r="N405" s="3">
        <v>10</v>
      </c>
      <c r="O405" s="3">
        <v>0.12</v>
      </c>
      <c r="P405" s="3">
        <v>0</v>
      </c>
      <c r="Q405" s="3">
        <v>0</v>
      </c>
      <c r="R405" s="3">
        <v>0</v>
      </c>
    </row>
    <row r="406" spans="1:18">
      <c r="A406" s="3" t="s">
        <v>1018</v>
      </c>
      <c r="B406" s="3" t="s">
        <v>1019</v>
      </c>
      <c r="C406" s="3" t="s">
        <v>306</v>
      </c>
      <c r="D406" s="3" t="s">
        <v>472</v>
      </c>
      <c r="E406" s="3" t="s">
        <v>120</v>
      </c>
      <c r="F406" s="3">
        <v>24.98</v>
      </c>
      <c r="G406" s="3" t="s">
        <v>121</v>
      </c>
      <c r="H406" s="3"/>
      <c r="I406" s="3" t="s">
        <v>122</v>
      </c>
      <c r="J406" s="3">
        <v>23</v>
      </c>
      <c r="K406" s="3">
        <v>23</v>
      </c>
      <c r="L406" s="3">
        <v>0</v>
      </c>
      <c r="M406" s="3">
        <v>0</v>
      </c>
      <c r="N406" s="3">
        <v>23</v>
      </c>
      <c r="O406" s="3">
        <v>0.06</v>
      </c>
      <c r="P406" s="3">
        <v>0</v>
      </c>
      <c r="Q406" s="3">
        <v>0</v>
      </c>
      <c r="R406" s="3">
        <v>0</v>
      </c>
    </row>
    <row r="407" spans="1:18">
      <c r="A407" s="3" t="s">
        <v>1020</v>
      </c>
      <c r="B407" s="3" t="s">
        <v>1021</v>
      </c>
      <c r="C407" s="3" t="s">
        <v>1022</v>
      </c>
      <c r="D407" s="3" t="s">
        <v>1023</v>
      </c>
      <c r="E407" s="3" t="s">
        <v>120</v>
      </c>
      <c r="F407" s="3">
        <v>24.98</v>
      </c>
      <c r="G407" s="3" t="s">
        <v>121</v>
      </c>
      <c r="H407" s="3"/>
      <c r="I407" s="3" t="s">
        <v>122</v>
      </c>
      <c r="J407" s="3">
        <v>23</v>
      </c>
      <c r="K407" s="3">
        <v>23</v>
      </c>
      <c r="L407" s="3">
        <v>0</v>
      </c>
      <c r="M407" s="3">
        <v>0</v>
      </c>
      <c r="N407" s="3">
        <v>23</v>
      </c>
      <c r="O407" s="3">
        <v>0.1</v>
      </c>
      <c r="P407" s="3">
        <v>0</v>
      </c>
      <c r="Q407" s="3">
        <v>0</v>
      </c>
      <c r="R407" s="3">
        <v>0</v>
      </c>
    </row>
    <row r="408" spans="1:18">
      <c r="A408" s="3" t="s">
        <v>1024</v>
      </c>
      <c r="B408" s="3" t="s">
        <v>1025</v>
      </c>
      <c r="C408" s="3" t="s">
        <v>310</v>
      </c>
      <c r="D408" s="3" t="s">
        <v>348</v>
      </c>
      <c r="E408" s="3" t="s">
        <v>120</v>
      </c>
      <c r="F408" s="3">
        <v>24.98</v>
      </c>
      <c r="G408" s="3" t="s">
        <v>121</v>
      </c>
      <c r="H408" s="3"/>
      <c r="I408" s="3" t="s">
        <v>122</v>
      </c>
      <c r="J408" s="3">
        <v>0</v>
      </c>
      <c r="K408" s="3">
        <v>0</v>
      </c>
      <c r="L408" s="3">
        <v>0</v>
      </c>
      <c r="M408" s="3">
        <v>0</v>
      </c>
      <c r="N408" s="3">
        <v>0</v>
      </c>
      <c r="O408" s="3">
        <v>0.06</v>
      </c>
      <c r="P408" s="3">
        <v>0</v>
      </c>
      <c r="Q408" s="3">
        <v>0</v>
      </c>
      <c r="R408" s="3">
        <v>0</v>
      </c>
    </row>
    <row r="409" spans="1:18">
      <c r="A409" s="3" t="s">
        <v>1026</v>
      </c>
      <c r="B409" s="3" t="s">
        <v>1027</v>
      </c>
      <c r="C409" s="3" t="s">
        <v>312</v>
      </c>
      <c r="D409" s="3" t="s">
        <v>477</v>
      </c>
      <c r="E409" s="3" t="s">
        <v>120</v>
      </c>
      <c r="F409" s="3">
        <v>24.98</v>
      </c>
      <c r="G409" s="3" t="s">
        <v>121</v>
      </c>
      <c r="H409" s="3"/>
      <c r="I409" s="3" t="s">
        <v>122</v>
      </c>
      <c r="J409" s="3">
        <v>29</v>
      </c>
      <c r="K409" s="3">
        <v>29</v>
      </c>
      <c r="L409" s="3">
        <v>0</v>
      </c>
      <c r="M409" s="3">
        <v>0</v>
      </c>
      <c r="N409" s="3">
        <v>39</v>
      </c>
      <c r="O409" s="3">
        <v>0.21</v>
      </c>
      <c r="P409" s="3">
        <v>0</v>
      </c>
      <c r="Q409" s="3">
        <v>0</v>
      </c>
      <c r="R409" s="3">
        <v>10</v>
      </c>
    </row>
    <row r="410" spans="1:18">
      <c r="A410" s="3" t="s">
        <v>1028</v>
      </c>
      <c r="B410" s="3" t="s">
        <v>1029</v>
      </c>
      <c r="C410" s="3" t="s">
        <v>1030</v>
      </c>
      <c r="D410" s="3" t="s">
        <v>1031</v>
      </c>
      <c r="E410" s="3" t="s">
        <v>120</v>
      </c>
      <c r="F410" s="3">
        <v>24.98</v>
      </c>
      <c r="G410" s="3" t="s">
        <v>121</v>
      </c>
      <c r="H410" s="3"/>
      <c r="I410" s="3" t="s">
        <v>122</v>
      </c>
      <c r="J410" s="3">
        <v>0</v>
      </c>
      <c r="K410" s="3">
        <v>0</v>
      </c>
      <c r="L410" s="3">
        <v>0</v>
      </c>
      <c r="M410" s="3">
        <v>0</v>
      </c>
      <c r="N410" s="3">
        <v>0</v>
      </c>
      <c r="O410" s="3">
        <v>0.1</v>
      </c>
      <c r="P410" s="3">
        <v>0</v>
      </c>
      <c r="Q410" s="3">
        <v>0</v>
      </c>
      <c r="R410" s="3">
        <v>0</v>
      </c>
    </row>
    <row r="411" spans="1:18">
      <c r="A411" s="3" t="s">
        <v>1032</v>
      </c>
      <c r="B411" s="3" t="s">
        <v>1033</v>
      </c>
      <c r="C411" s="3" t="s">
        <v>317</v>
      </c>
      <c r="D411" s="3" t="s">
        <v>480</v>
      </c>
      <c r="E411" s="3" t="s">
        <v>120</v>
      </c>
      <c r="F411" s="3">
        <v>24.98</v>
      </c>
      <c r="G411" s="3" t="s">
        <v>121</v>
      </c>
      <c r="H411" s="3"/>
      <c r="I411" s="3" t="s">
        <v>122</v>
      </c>
      <c r="J411" s="3">
        <v>30</v>
      </c>
      <c r="K411" s="3">
        <v>30</v>
      </c>
      <c r="L411" s="3">
        <v>0</v>
      </c>
      <c r="M411" s="3">
        <v>0</v>
      </c>
      <c r="N411" s="3">
        <v>30</v>
      </c>
      <c r="O411" s="3">
        <v>0.06</v>
      </c>
      <c r="P411" s="3">
        <v>0</v>
      </c>
      <c r="Q411" s="3">
        <v>0</v>
      </c>
      <c r="R411" s="3">
        <v>0</v>
      </c>
    </row>
    <row r="412" spans="1:18">
      <c r="A412" s="3" t="s">
        <v>1034</v>
      </c>
      <c r="B412" s="3" t="s">
        <v>1035</v>
      </c>
      <c r="C412" s="3" t="s">
        <v>1036</v>
      </c>
      <c r="D412" s="3" t="s">
        <v>1037</v>
      </c>
      <c r="E412" s="3" t="s">
        <v>120</v>
      </c>
      <c r="F412" s="3">
        <v>35.98</v>
      </c>
      <c r="G412" s="3" t="s">
        <v>121</v>
      </c>
      <c r="H412" s="3"/>
      <c r="I412" s="3" t="s">
        <v>122</v>
      </c>
      <c r="J412" s="3">
        <v>20</v>
      </c>
      <c r="K412" s="3">
        <v>20</v>
      </c>
      <c r="L412" s="3">
        <v>0</v>
      </c>
      <c r="M412" s="3">
        <v>0</v>
      </c>
      <c r="N412" s="3">
        <v>20</v>
      </c>
      <c r="O412" s="3">
        <v>0.07</v>
      </c>
      <c r="P412" s="3">
        <v>0</v>
      </c>
      <c r="Q412" s="3">
        <v>0</v>
      </c>
      <c r="R412" s="3">
        <v>0</v>
      </c>
    </row>
    <row r="413" spans="1:18">
      <c r="A413" s="3" t="s">
        <v>1038</v>
      </c>
      <c r="B413" s="3" t="s">
        <v>1039</v>
      </c>
      <c r="C413" s="3" t="s">
        <v>1040</v>
      </c>
      <c r="D413" s="3" t="s">
        <v>1041</v>
      </c>
      <c r="E413" s="3" t="s">
        <v>120</v>
      </c>
      <c r="F413" s="3">
        <v>35.98</v>
      </c>
      <c r="G413" s="3" t="s">
        <v>121</v>
      </c>
      <c r="H413" s="3"/>
      <c r="I413" s="3" t="s">
        <v>122</v>
      </c>
      <c r="J413" s="3">
        <v>23</v>
      </c>
      <c r="K413" s="3">
        <v>23</v>
      </c>
      <c r="L413" s="3">
        <v>0</v>
      </c>
      <c r="M413" s="3">
        <v>0</v>
      </c>
      <c r="N413" s="3">
        <v>23</v>
      </c>
      <c r="O413" s="3">
        <v>0.15</v>
      </c>
      <c r="P413" s="3">
        <v>0</v>
      </c>
      <c r="Q413" s="3">
        <v>0</v>
      </c>
      <c r="R413" s="3">
        <v>0</v>
      </c>
    </row>
    <row r="414" spans="1:18">
      <c r="A414" s="3" t="s">
        <v>1042</v>
      </c>
      <c r="B414" s="3" t="s">
        <v>1043</v>
      </c>
      <c r="C414" s="3" t="s">
        <v>1044</v>
      </c>
      <c r="D414" s="3" t="s">
        <v>1045</v>
      </c>
      <c r="E414" s="3" t="s">
        <v>120</v>
      </c>
      <c r="F414" s="3">
        <v>35.98</v>
      </c>
      <c r="G414" s="3" t="s">
        <v>121</v>
      </c>
      <c r="H414" s="3"/>
      <c r="I414" s="3" t="s">
        <v>122</v>
      </c>
      <c r="J414" s="3">
        <v>0</v>
      </c>
      <c r="K414" s="3">
        <v>0</v>
      </c>
      <c r="L414" s="3">
        <v>0</v>
      </c>
      <c r="M414" s="3">
        <v>0</v>
      </c>
      <c r="N414" s="3">
        <v>0</v>
      </c>
      <c r="O414" s="3">
        <v>0.15</v>
      </c>
      <c r="P414" s="3">
        <v>0</v>
      </c>
      <c r="Q414" s="3">
        <v>0</v>
      </c>
      <c r="R414" s="3">
        <v>0</v>
      </c>
    </row>
    <row r="415" spans="1:18">
      <c r="A415" s="3" t="s">
        <v>1046</v>
      </c>
      <c r="B415" s="3" t="s">
        <v>1047</v>
      </c>
      <c r="C415" s="3" t="s">
        <v>1048</v>
      </c>
      <c r="D415" s="3" t="s">
        <v>1049</v>
      </c>
      <c r="E415" s="3" t="s">
        <v>120</v>
      </c>
      <c r="F415" s="3">
        <v>35.98</v>
      </c>
      <c r="G415" s="3" t="s">
        <v>121</v>
      </c>
      <c r="H415" s="3"/>
      <c r="I415" s="3" t="s">
        <v>122</v>
      </c>
      <c r="J415" s="3">
        <v>0</v>
      </c>
      <c r="K415" s="3">
        <v>0</v>
      </c>
      <c r="L415" s="3">
        <v>0</v>
      </c>
      <c r="M415" s="3">
        <v>0</v>
      </c>
      <c r="N415" s="3">
        <v>0</v>
      </c>
      <c r="O415" s="3">
        <v>0.15</v>
      </c>
      <c r="P415" s="3">
        <v>0</v>
      </c>
      <c r="Q415" s="3">
        <v>0</v>
      </c>
      <c r="R415" s="3">
        <v>0</v>
      </c>
    </row>
    <row r="416" spans="1:18">
      <c r="A416" s="3" t="s">
        <v>1050</v>
      </c>
      <c r="B416" s="3" t="s">
        <v>1051</v>
      </c>
      <c r="C416" s="3" t="s">
        <v>1052</v>
      </c>
      <c r="D416" s="3" t="s">
        <v>1053</v>
      </c>
      <c r="E416" s="3" t="s">
        <v>120</v>
      </c>
      <c r="F416" s="3">
        <v>35.98</v>
      </c>
      <c r="G416" s="3" t="s">
        <v>121</v>
      </c>
      <c r="H416" s="3"/>
      <c r="I416" s="3" t="s">
        <v>122</v>
      </c>
      <c r="J416" s="3">
        <v>46</v>
      </c>
      <c r="K416" s="3">
        <v>46</v>
      </c>
      <c r="L416" s="3">
        <v>0</v>
      </c>
      <c r="M416" s="3">
        <v>0</v>
      </c>
      <c r="N416" s="3">
        <v>46</v>
      </c>
      <c r="O416" s="3">
        <v>0.15</v>
      </c>
      <c r="P416" s="3">
        <v>0</v>
      </c>
      <c r="Q416" s="3">
        <v>0</v>
      </c>
      <c r="R416" s="3">
        <v>0</v>
      </c>
    </row>
    <row r="417" spans="1:18">
      <c r="A417" s="3" t="s">
        <v>1054</v>
      </c>
      <c r="B417" s="3" t="s">
        <v>1055</v>
      </c>
      <c r="C417" s="3" t="s">
        <v>1056</v>
      </c>
      <c r="D417" s="3" t="s">
        <v>1057</v>
      </c>
      <c r="E417" s="3" t="s">
        <v>120</v>
      </c>
      <c r="F417" s="3">
        <v>35.98</v>
      </c>
      <c r="G417" s="3" t="s">
        <v>121</v>
      </c>
      <c r="H417" s="3"/>
      <c r="I417" s="3" t="s">
        <v>122</v>
      </c>
      <c r="J417" s="3">
        <v>15</v>
      </c>
      <c r="K417" s="3">
        <v>15</v>
      </c>
      <c r="L417" s="3">
        <v>0</v>
      </c>
      <c r="M417" s="3">
        <v>0</v>
      </c>
      <c r="N417" s="3">
        <v>15</v>
      </c>
      <c r="O417" s="3">
        <v>0.12</v>
      </c>
      <c r="P417" s="3">
        <v>0</v>
      </c>
      <c r="Q417" s="3">
        <v>0</v>
      </c>
      <c r="R417" s="3">
        <v>0</v>
      </c>
    </row>
    <row r="418" spans="1:18">
      <c r="A418" s="3" t="s">
        <v>1058</v>
      </c>
      <c r="B418" s="3" t="s">
        <v>1059</v>
      </c>
      <c r="C418" s="3" t="s">
        <v>1060</v>
      </c>
      <c r="D418" s="3" t="s">
        <v>1061</v>
      </c>
      <c r="E418" s="3" t="s">
        <v>120</v>
      </c>
      <c r="F418" s="3">
        <v>35.98</v>
      </c>
      <c r="G418" s="3" t="s">
        <v>121</v>
      </c>
      <c r="H418" s="3"/>
      <c r="I418" s="3" t="s">
        <v>122</v>
      </c>
      <c r="J418" s="3">
        <v>0</v>
      </c>
      <c r="K418" s="3">
        <v>0</v>
      </c>
      <c r="L418" s="3">
        <v>0</v>
      </c>
      <c r="M418" s="3">
        <v>0</v>
      </c>
      <c r="N418" s="3">
        <v>0</v>
      </c>
      <c r="O418" s="3">
        <v>0.15</v>
      </c>
      <c r="P418" s="3">
        <v>0</v>
      </c>
      <c r="Q418" s="3">
        <v>0</v>
      </c>
      <c r="R418" s="3">
        <v>0</v>
      </c>
    </row>
    <row r="419" spans="1:18">
      <c r="A419" s="3" t="s">
        <v>1062</v>
      </c>
      <c r="B419" s="3" t="s">
        <v>1063</v>
      </c>
      <c r="C419" s="3" t="s">
        <v>1064</v>
      </c>
      <c r="D419" s="3" t="s">
        <v>1065</v>
      </c>
      <c r="E419" s="3" t="s">
        <v>120</v>
      </c>
      <c r="F419" s="3">
        <v>35.98</v>
      </c>
      <c r="G419" s="3" t="s">
        <v>121</v>
      </c>
      <c r="H419" s="3"/>
      <c r="I419" s="3" t="s">
        <v>122</v>
      </c>
      <c r="J419" s="3">
        <v>0</v>
      </c>
      <c r="K419" s="3">
        <v>0</v>
      </c>
      <c r="L419" s="3">
        <v>0</v>
      </c>
      <c r="M419" s="3">
        <v>0</v>
      </c>
      <c r="N419" s="3">
        <v>0</v>
      </c>
      <c r="O419" s="3">
        <v>0.15</v>
      </c>
      <c r="P419" s="3">
        <v>0</v>
      </c>
      <c r="Q419" s="3">
        <v>0</v>
      </c>
      <c r="R419" s="3">
        <v>0</v>
      </c>
    </row>
    <row r="420" spans="1:18">
      <c r="A420" s="3" t="s">
        <v>1066</v>
      </c>
      <c r="B420" s="3" t="s">
        <v>1067</v>
      </c>
      <c r="C420" s="3" t="s">
        <v>1068</v>
      </c>
      <c r="D420" s="3" t="s">
        <v>1069</v>
      </c>
      <c r="E420" s="3" t="s">
        <v>120</v>
      </c>
      <c r="F420" s="3">
        <v>35.98</v>
      </c>
      <c r="G420" s="3" t="s">
        <v>121</v>
      </c>
      <c r="H420" s="3"/>
      <c r="I420" s="3" t="s">
        <v>122</v>
      </c>
      <c r="J420" s="3">
        <v>0</v>
      </c>
      <c r="K420" s="3">
        <v>0</v>
      </c>
      <c r="L420" s="3">
        <v>0</v>
      </c>
      <c r="M420" s="3">
        <v>0</v>
      </c>
      <c r="N420" s="3">
        <v>0</v>
      </c>
      <c r="O420" s="3">
        <v>0.15</v>
      </c>
      <c r="P420" s="3">
        <v>0</v>
      </c>
      <c r="Q420" s="3">
        <v>0</v>
      </c>
      <c r="R420" s="3">
        <v>0</v>
      </c>
    </row>
    <row r="421" spans="1:18">
      <c r="A421" s="3" t="s">
        <v>1070</v>
      </c>
      <c r="B421" s="3" t="s">
        <v>1071</v>
      </c>
      <c r="C421" s="3" t="s">
        <v>1072</v>
      </c>
      <c r="D421" s="3" t="s">
        <v>1073</v>
      </c>
      <c r="E421" s="3" t="s">
        <v>120</v>
      </c>
      <c r="F421" s="3">
        <v>35.98</v>
      </c>
      <c r="G421" s="3" t="s">
        <v>121</v>
      </c>
      <c r="H421" s="3"/>
      <c r="I421" s="3" t="s">
        <v>122</v>
      </c>
      <c r="J421" s="3">
        <v>0</v>
      </c>
      <c r="K421" s="3">
        <v>0</v>
      </c>
      <c r="L421" s="3">
        <v>0</v>
      </c>
      <c r="M421" s="3">
        <v>0</v>
      </c>
      <c r="N421" s="3">
        <v>0</v>
      </c>
      <c r="O421" s="3">
        <v>0.15</v>
      </c>
      <c r="P421" s="3">
        <v>0</v>
      </c>
      <c r="Q421" s="3">
        <v>0</v>
      </c>
      <c r="R421" s="3">
        <v>0</v>
      </c>
    </row>
    <row r="422" spans="1:18">
      <c r="A422" s="3" t="s">
        <v>1074</v>
      </c>
      <c r="B422" s="3" t="s">
        <v>1075</v>
      </c>
      <c r="C422" s="3" t="s">
        <v>1076</v>
      </c>
      <c r="D422" s="3" t="s">
        <v>1077</v>
      </c>
      <c r="E422" s="3" t="s">
        <v>120</v>
      </c>
      <c r="F422" s="3">
        <v>35.98</v>
      </c>
      <c r="G422" s="3" t="s">
        <v>121</v>
      </c>
      <c r="H422" s="3"/>
      <c r="I422" s="3" t="s">
        <v>122</v>
      </c>
      <c r="J422" s="3">
        <v>14</v>
      </c>
      <c r="K422" s="3">
        <v>14</v>
      </c>
      <c r="L422" s="3">
        <v>0</v>
      </c>
      <c r="M422" s="3">
        <v>0</v>
      </c>
      <c r="N422" s="3">
        <v>14</v>
      </c>
      <c r="O422" s="3">
        <v>0.15</v>
      </c>
      <c r="P422" s="3">
        <v>0</v>
      </c>
      <c r="Q422" s="3">
        <v>0</v>
      </c>
      <c r="R422" s="3">
        <v>0</v>
      </c>
    </row>
    <row r="423" spans="1:18">
      <c r="A423" s="3" t="s">
        <v>1078</v>
      </c>
      <c r="B423" s="3" t="s">
        <v>1079</v>
      </c>
      <c r="C423" s="3" t="s">
        <v>1080</v>
      </c>
      <c r="D423" s="3" t="s">
        <v>1081</v>
      </c>
      <c r="E423" s="3" t="s">
        <v>120</v>
      </c>
      <c r="F423" s="3">
        <v>35.98</v>
      </c>
      <c r="G423" s="3" t="s">
        <v>121</v>
      </c>
      <c r="H423" s="3"/>
      <c r="I423" s="3" t="s">
        <v>122</v>
      </c>
      <c r="J423" s="3">
        <v>0</v>
      </c>
      <c r="K423" s="3">
        <v>0</v>
      </c>
      <c r="L423" s="3">
        <v>0</v>
      </c>
      <c r="M423" s="3">
        <v>0</v>
      </c>
      <c r="N423" s="3">
        <v>0</v>
      </c>
      <c r="O423" s="3">
        <v>0.15</v>
      </c>
      <c r="P423" s="3">
        <v>0</v>
      </c>
      <c r="Q423" s="3">
        <v>0</v>
      </c>
      <c r="R423" s="3">
        <v>0</v>
      </c>
    </row>
    <row r="424" spans="1:18">
      <c r="A424" s="3" t="s">
        <v>1082</v>
      </c>
      <c r="B424" s="3" t="s">
        <v>1083</v>
      </c>
      <c r="C424" s="3" t="s">
        <v>1084</v>
      </c>
      <c r="D424" s="3" t="s">
        <v>1085</v>
      </c>
      <c r="E424" s="3" t="s">
        <v>120</v>
      </c>
      <c r="F424" s="3">
        <v>35.98</v>
      </c>
      <c r="G424" s="3" t="s">
        <v>121</v>
      </c>
      <c r="H424" s="3"/>
      <c r="I424" s="3" t="s">
        <v>122</v>
      </c>
      <c r="J424" s="3">
        <v>0</v>
      </c>
      <c r="K424" s="3">
        <v>0</v>
      </c>
      <c r="L424" s="3">
        <v>0</v>
      </c>
      <c r="M424" s="3">
        <v>0</v>
      </c>
      <c r="N424" s="3">
        <v>0</v>
      </c>
      <c r="O424" s="3">
        <v>0.15</v>
      </c>
      <c r="P424" s="3">
        <v>0</v>
      </c>
      <c r="Q424" s="3">
        <v>0</v>
      </c>
      <c r="R424" s="3">
        <v>0</v>
      </c>
    </row>
    <row r="425" spans="1:18">
      <c r="A425" s="3" t="s">
        <v>1086</v>
      </c>
      <c r="B425" s="3" t="s">
        <v>1087</v>
      </c>
      <c r="C425" s="3" t="s">
        <v>1088</v>
      </c>
      <c r="D425" s="3" t="s">
        <v>1089</v>
      </c>
      <c r="E425" s="3" t="s">
        <v>120</v>
      </c>
      <c r="F425" s="3">
        <v>35.98</v>
      </c>
      <c r="G425" s="3" t="s">
        <v>121</v>
      </c>
      <c r="H425" s="3"/>
      <c r="I425" s="3" t="s">
        <v>122</v>
      </c>
      <c r="J425" s="3">
        <v>7</v>
      </c>
      <c r="K425" s="3">
        <v>7</v>
      </c>
      <c r="L425" s="3">
        <v>0</v>
      </c>
      <c r="M425" s="3">
        <v>0</v>
      </c>
      <c r="N425" s="3">
        <v>7</v>
      </c>
      <c r="O425" s="3">
        <v>0.15</v>
      </c>
      <c r="P425" s="3">
        <v>0</v>
      </c>
      <c r="Q425" s="3">
        <v>0</v>
      </c>
      <c r="R425" s="3">
        <v>0</v>
      </c>
    </row>
    <row r="426" spans="1:18">
      <c r="A426" s="3" t="s">
        <v>1090</v>
      </c>
      <c r="B426" s="3" t="s">
        <v>1091</v>
      </c>
      <c r="C426" s="3" t="s">
        <v>1092</v>
      </c>
      <c r="D426" s="3" t="s">
        <v>1093</v>
      </c>
      <c r="E426" s="3" t="s">
        <v>120</v>
      </c>
      <c r="F426" s="3">
        <v>35.98</v>
      </c>
      <c r="G426" s="3" t="s">
        <v>121</v>
      </c>
      <c r="H426" s="3"/>
      <c r="I426" s="3" t="s">
        <v>122</v>
      </c>
      <c r="J426" s="3">
        <v>10</v>
      </c>
      <c r="K426" s="3">
        <v>10</v>
      </c>
      <c r="L426" s="3">
        <v>0</v>
      </c>
      <c r="M426" s="3">
        <v>0</v>
      </c>
      <c r="N426" s="3">
        <v>10</v>
      </c>
      <c r="O426" s="3">
        <v>0.07</v>
      </c>
      <c r="P426" s="3">
        <v>0</v>
      </c>
      <c r="Q426" s="3">
        <v>0</v>
      </c>
      <c r="R426" s="3">
        <v>0</v>
      </c>
    </row>
    <row r="427" spans="1:18">
      <c r="A427" s="3" t="s">
        <v>1094</v>
      </c>
      <c r="B427" s="3" t="s">
        <v>1095</v>
      </c>
      <c r="C427" s="3" t="s">
        <v>1096</v>
      </c>
      <c r="D427" s="3" t="s">
        <v>1097</v>
      </c>
      <c r="E427" s="3" t="s">
        <v>120</v>
      </c>
      <c r="F427" s="3">
        <v>35.98</v>
      </c>
      <c r="G427" s="3" t="s">
        <v>121</v>
      </c>
      <c r="H427" s="3"/>
      <c r="I427" s="3" t="s">
        <v>122</v>
      </c>
      <c r="J427" s="3">
        <v>37</v>
      </c>
      <c r="K427" s="3">
        <v>37</v>
      </c>
      <c r="L427" s="3">
        <v>0</v>
      </c>
      <c r="M427" s="3">
        <v>0</v>
      </c>
      <c r="N427" s="3">
        <v>37</v>
      </c>
      <c r="O427" s="3">
        <v>0.12</v>
      </c>
      <c r="P427" s="3">
        <v>0</v>
      </c>
      <c r="Q427" s="3">
        <v>0</v>
      </c>
      <c r="R427" s="3">
        <v>0</v>
      </c>
    </row>
    <row r="428" spans="1:18">
      <c r="A428" s="3" t="s">
        <v>1098</v>
      </c>
      <c r="B428" s="3" t="s">
        <v>1099</v>
      </c>
      <c r="C428" s="3" t="s">
        <v>1100</v>
      </c>
      <c r="D428" s="3" t="s">
        <v>1101</v>
      </c>
      <c r="E428" s="3" t="s">
        <v>120</v>
      </c>
      <c r="F428" s="3">
        <v>35.98</v>
      </c>
      <c r="G428" s="3" t="s">
        <v>121</v>
      </c>
      <c r="H428" s="3"/>
      <c r="I428" s="3" t="s">
        <v>122</v>
      </c>
      <c r="J428" s="3">
        <v>23</v>
      </c>
      <c r="K428" s="3">
        <v>23</v>
      </c>
      <c r="L428" s="3">
        <v>0</v>
      </c>
      <c r="M428" s="3">
        <v>0</v>
      </c>
      <c r="N428" s="3">
        <v>23</v>
      </c>
      <c r="O428" s="3">
        <v>0.15</v>
      </c>
      <c r="P428" s="3">
        <v>0</v>
      </c>
      <c r="Q428" s="3">
        <v>0</v>
      </c>
      <c r="R428" s="3">
        <v>0</v>
      </c>
    </row>
    <row r="429" spans="1:18">
      <c r="A429" s="3" t="s">
        <v>1102</v>
      </c>
      <c r="B429" s="3" t="s">
        <v>1103</v>
      </c>
      <c r="C429" s="3" t="s">
        <v>1104</v>
      </c>
      <c r="D429" s="3" t="s">
        <v>1105</v>
      </c>
      <c r="E429" s="3" t="s">
        <v>120</v>
      </c>
      <c r="F429" s="3">
        <v>35.98</v>
      </c>
      <c r="G429" s="3" t="s">
        <v>121</v>
      </c>
      <c r="H429" s="3"/>
      <c r="I429" s="3" t="s">
        <v>122</v>
      </c>
      <c r="J429" s="3">
        <v>0</v>
      </c>
      <c r="K429" s="3">
        <v>0</v>
      </c>
      <c r="L429" s="3">
        <v>0</v>
      </c>
      <c r="M429" s="3">
        <v>0</v>
      </c>
      <c r="N429" s="3">
        <v>0</v>
      </c>
      <c r="O429" s="3">
        <v>0.15</v>
      </c>
      <c r="P429" s="3">
        <v>0</v>
      </c>
      <c r="Q429" s="3">
        <v>0</v>
      </c>
      <c r="R429" s="3">
        <v>0</v>
      </c>
    </row>
    <row r="430" spans="1:18">
      <c r="A430" s="3" t="s">
        <v>1106</v>
      </c>
      <c r="B430" s="3" t="s">
        <v>1107</v>
      </c>
      <c r="C430" s="3" t="s">
        <v>1108</v>
      </c>
      <c r="D430" s="3" t="s">
        <v>1109</v>
      </c>
      <c r="E430" s="3" t="s">
        <v>120</v>
      </c>
      <c r="F430" s="3">
        <v>35.98</v>
      </c>
      <c r="G430" s="3" t="s">
        <v>121</v>
      </c>
      <c r="H430" s="3"/>
      <c r="I430" s="3" t="s">
        <v>122</v>
      </c>
      <c r="J430" s="3">
        <v>42</v>
      </c>
      <c r="K430" s="3">
        <v>41</v>
      </c>
      <c r="L430" s="3">
        <v>0</v>
      </c>
      <c r="M430" s="3">
        <v>1</v>
      </c>
      <c r="N430" s="3">
        <v>42</v>
      </c>
      <c r="O430" s="3">
        <v>0.15</v>
      </c>
      <c r="P430" s="3">
        <v>0</v>
      </c>
      <c r="Q430" s="3">
        <v>0</v>
      </c>
      <c r="R430" s="3">
        <v>0</v>
      </c>
    </row>
    <row r="431" spans="1:18">
      <c r="A431" s="3" t="s">
        <v>1110</v>
      </c>
      <c r="B431" s="3" t="s">
        <v>1111</v>
      </c>
      <c r="C431" s="3" t="s">
        <v>1112</v>
      </c>
      <c r="D431" s="3" t="s">
        <v>1113</v>
      </c>
      <c r="E431" s="3" t="s">
        <v>120</v>
      </c>
      <c r="F431" s="3">
        <v>35.98</v>
      </c>
      <c r="G431" s="3" t="s">
        <v>121</v>
      </c>
      <c r="H431" s="3"/>
      <c r="I431" s="3" t="s">
        <v>122</v>
      </c>
      <c r="J431" s="3">
        <v>23</v>
      </c>
      <c r="K431" s="3">
        <v>23</v>
      </c>
      <c r="L431" s="3">
        <v>0</v>
      </c>
      <c r="M431" s="3">
        <v>0</v>
      </c>
      <c r="N431" s="3">
        <v>23</v>
      </c>
      <c r="O431" s="3">
        <v>0.15</v>
      </c>
      <c r="P431" s="3">
        <v>0</v>
      </c>
      <c r="Q431" s="3">
        <v>0</v>
      </c>
      <c r="R431" s="3">
        <v>0</v>
      </c>
    </row>
    <row r="432" spans="1:18">
      <c r="A432" s="3" t="s">
        <v>1114</v>
      </c>
      <c r="B432" s="3" t="s">
        <v>1115</v>
      </c>
      <c r="C432" s="3" t="s">
        <v>1116</v>
      </c>
      <c r="D432" s="3" t="s">
        <v>1117</v>
      </c>
      <c r="E432" s="3" t="s">
        <v>120</v>
      </c>
      <c r="F432" s="3">
        <v>35.98</v>
      </c>
      <c r="G432" s="3" t="s">
        <v>121</v>
      </c>
      <c r="H432" s="3"/>
      <c r="I432" s="3" t="s">
        <v>122</v>
      </c>
      <c r="J432" s="3">
        <v>9</v>
      </c>
      <c r="K432" s="3">
        <v>9</v>
      </c>
      <c r="L432" s="3">
        <v>0</v>
      </c>
      <c r="M432" s="3">
        <v>0</v>
      </c>
      <c r="N432" s="3">
        <v>9</v>
      </c>
      <c r="O432" s="3">
        <v>0.15</v>
      </c>
      <c r="P432" s="3">
        <v>0</v>
      </c>
      <c r="Q432" s="3">
        <v>0</v>
      </c>
      <c r="R432" s="3">
        <v>0</v>
      </c>
    </row>
    <row r="433" spans="1:18">
      <c r="A433" s="3" t="s">
        <v>1118</v>
      </c>
      <c r="B433" s="3" t="s">
        <v>1119</v>
      </c>
      <c r="C433" s="3" t="s">
        <v>1120</v>
      </c>
      <c r="D433" s="3" t="s">
        <v>1121</v>
      </c>
      <c r="E433" s="3" t="s">
        <v>120</v>
      </c>
      <c r="F433" s="3">
        <v>35.98</v>
      </c>
      <c r="G433" s="3" t="s">
        <v>121</v>
      </c>
      <c r="H433" s="3"/>
      <c r="I433" s="3" t="s">
        <v>122</v>
      </c>
      <c r="J433" s="3">
        <v>0</v>
      </c>
      <c r="K433" s="3">
        <v>0</v>
      </c>
      <c r="L433" s="3">
        <v>0</v>
      </c>
      <c r="M433" s="3">
        <v>0</v>
      </c>
      <c r="N433" s="3">
        <v>0</v>
      </c>
      <c r="O433" s="3">
        <v>0.15</v>
      </c>
      <c r="P433" s="3">
        <v>0</v>
      </c>
      <c r="Q433" s="3">
        <v>0</v>
      </c>
      <c r="R433" s="3">
        <v>0</v>
      </c>
    </row>
    <row r="434" spans="1:18">
      <c r="A434" s="3" t="s">
        <v>1122</v>
      </c>
      <c r="B434" s="3" t="s">
        <v>1123</v>
      </c>
      <c r="C434" s="3" t="s">
        <v>1124</v>
      </c>
      <c r="D434" s="3" t="s">
        <v>1125</v>
      </c>
      <c r="E434" s="3" t="s">
        <v>120</v>
      </c>
      <c r="F434" s="3">
        <v>35.98</v>
      </c>
      <c r="G434" s="3" t="s">
        <v>121</v>
      </c>
      <c r="H434" s="3"/>
      <c r="I434" s="3" t="s">
        <v>122</v>
      </c>
      <c r="J434" s="3">
        <v>0</v>
      </c>
      <c r="K434" s="3">
        <v>0</v>
      </c>
      <c r="L434" s="3">
        <v>0</v>
      </c>
      <c r="M434" s="3">
        <v>0</v>
      </c>
      <c r="N434" s="3">
        <v>0</v>
      </c>
      <c r="O434" s="3">
        <v>0.15</v>
      </c>
      <c r="P434" s="3">
        <v>0</v>
      </c>
      <c r="Q434" s="3">
        <v>0</v>
      </c>
      <c r="R434" s="3">
        <v>0</v>
      </c>
    </row>
    <row r="435" spans="1:18">
      <c r="A435" s="3" t="s">
        <v>1126</v>
      </c>
      <c r="B435" s="3" t="s">
        <v>1127</v>
      </c>
      <c r="C435" s="3" t="s">
        <v>1128</v>
      </c>
      <c r="D435" s="3" t="s">
        <v>1129</v>
      </c>
      <c r="E435" s="3" t="s">
        <v>120</v>
      </c>
      <c r="F435" s="3">
        <v>35.98</v>
      </c>
      <c r="G435" s="3" t="s">
        <v>121</v>
      </c>
      <c r="H435" s="3"/>
      <c r="I435" s="3" t="s">
        <v>122</v>
      </c>
      <c r="J435" s="3">
        <v>12</v>
      </c>
      <c r="K435" s="3">
        <v>12</v>
      </c>
      <c r="L435" s="3">
        <v>0</v>
      </c>
      <c r="M435" s="3">
        <v>0</v>
      </c>
      <c r="N435" s="3">
        <v>12</v>
      </c>
      <c r="O435" s="3">
        <v>0.15</v>
      </c>
      <c r="P435" s="3">
        <v>0</v>
      </c>
      <c r="Q435" s="3">
        <v>0</v>
      </c>
      <c r="R435" s="3">
        <v>0</v>
      </c>
    </row>
    <row r="436" spans="1:18">
      <c r="A436" s="3" t="s">
        <v>1130</v>
      </c>
      <c r="B436" s="3" t="s">
        <v>1131</v>
      </c>
      <c r="C436" s="3" t="s">
        <v>1132</v>
      </c>
      <c r="D436" s="3" t="s">
        <v>1133</v>
      </c>
      <c r="E436" s="3" t="s">
        <v>120</v>
      </c>
      <c r="F436" s="3">
        <v>35.98</v>
      </c>
      <c r="G436" s="3" t="s">
        <v>121</v>
      </c>
      <c r="H436" s="3"/>
      <c r="I436" s="3" t="s">
        <v>122</v>
      </c>
      <c r="J436" s="3">
        <v>10</v>
      </c>
      <c r="K436" s="3">
        <v>10</v>
      </c>
      <c r="L436" s="3">
        <v>0</v>
      </c>
      <c r="M436" s="3">
        <v>0</v>
      </c>
      <c r="N436" s="3">
        <v>10</v>
      </c>
      <c r="O436" s="3">
        <v>0.15</v>
      </c>
      <c r="P436" s="3">
        <v>0</v>
      </c>
      <c r="Q436" s="3">
        <v>0</v>
      </c>
      <c r="R436" s="3">
        <v>0</v>
      </c>
    </row>
    <row r="437" spans="1:18">
      <c r="A437" s="3" t="s">
        <v>1134</v>
      </c>
      <c r="B437" s="3" t="s">
        <v>1135</v>
      </c>
      <c r="C437" s="3" t="s">
        <v>1136</v>
      </c>
      <c r="D437" s="3" t="s">
        <v>1137</v>
      </c>
      <c r="E437" s="3" t="s">
        <v>120</v>
      </c>
      <c r="F437" s="3">
        <v>35.98</v>
      </c>
      <c r="G437" s="3" t="s">
        <v>121</v>
      </c>
      <c r="H437" s="3"/>
      <c r="I437" s="3" t="s">
        <v>122</v>
      </c>
      <c r="J437" s="3">
        <v>24</v>
      </c>
      <c r="K437" s="3">
        <v>24</v>
      </c>
      <c r="L437" s="3">
        <v>0</v>
      </c>
      <c r="M437" s="3">
        <v>0</v>
      </c>
      <c r="N437" s="3">
        <v>24</v>
      </c>
      <c r="O437" s="3">
        <v>0.15</v>
      </c>
      <c r="P437" s="3">
        <v>0</v>
      </c>
      <c r="Q437" s="3">
        <v>0</v>
      </c>
      <c r="R437" s="3">
        <v>0</v>
      </c>
    </row>
    <row r="438" spans="1:18">
      <c r="A438" s="3" t="s">
        <v>1138</v>
      </c>
      <c r="B438" s="3" t="s">
        <v>1139</v>
      </c>
      <c r="C438" s="3" t="s">
        <v>1140</v>
      </c>
      <c r="D438" s="3" t="s">
        <v>1141</v>
      </c>
      <c r="E438" s="3" t="s">
        <v>120</v>
      </c>
      <c r="F438" s="3">
        <v>35.98</v>
      </c>
      <c r="G438" s="3" t="s">
        <v>121</v>
      </c>
      <c r="H438" s="3"/>
      <c r="I438" s="3" t="s">
        <v>122</v>
      </c>
      <c r="J438" s="3">
        <v>14</v>
      </c>
      <c r="K438" s="3">
        <v>12</v>
      </c>
      <c r="L438" s="3">
        <v>0</v>
      </c>
      <c r="M438" s="3">
        <v>2</v>
      </c>
      <c r="N438" s="3">
        <v>14</v>
      </c>
      <c r="O438" s="3">
        <v>0.15</v>
      </c>
      <c r="P438" s="3">
        <v>0</v>
      </c>
      <c r="Q438" s="3">
        <v>0</v>
      </c>
      <c r="R438" s="3">
        <v>0</v>
      </c>
    </row>
    <row r="439" spans="1:18">
      <c r="A439" s="3" t="s">
        <v>1142</v>
      </c>
      <c r="B439" s="3" t="s">
        <v>1143</v>
      </c>
      <c r="C439" s="3" t="s">
        <v>1140</v>
      </c>
      <c r="D439" s="3" t="s">
        <v>1141</v>
      </c>
      <c r="E439" s="3" t="s">
        <v>120</v>
      </c>
      <c r="F439" s="3">
        <v>35.98</v>
      </c>
      <c r="G439" s="3" t="s">
        <v>122</v>
      </c>
      <c r="H439" s="3">
        <v>0</v>
      </c>
      <c r="I439" s="3" t="s">
        <v>121</v>
      </c>
      <c r="J439" s="3">
        <v>15</v>
      </c>
      <c r="K439" s="3">
        <v>15</v>
      </c>
      <c r="L439" s="3">
        <v>0</v>
      </c>
      <c r="M439" s="3">
        <v>0</v>
      </c>
      <c r="N439" s="3">
        <v>15</v>
      </c>
      <c r="O439" s="3">
        <v>0.15</v>
      </c>
      <c r="P439" s="3">
        <v>0</v>
      </c>
      <c r="Q439" s="3">
        <v>0</v>
      </c>
      <c r="R439" s="3">
        <v>0</v>
      </c>
    </row>
    <row r="440" spans="1:18">
      <c r="A440" s="3" t="s">
        <v>1144</v>
      </c>
      <c r="B440" s="3" t="s">
        <v>1145</v>
      </c>
      <c r="C440" s="3" t="s">
        <v>1146</v>
      </c>
      <c r="D440" s="3" t="s">
        <v>1147</v>
      </c>
      <c r="E440" s="3" t="s">
        <v>120</v>
      </c>
      <c r="F440" s="3">
        <v>35.98</v>
      </c>
      <c r="G440" s="3" t="s">
        <v>121</v>
      </c>
      <c r="H440" s="3"/>
      <c r="I440" s="3" t="s">
        <v>122</v>
      </c>
      <c r="J440" s="3">
        <v>0</v>
      </c>
      <c r="K440" s="3">
        <v>0</v>
      </c>
      <c r="L440" s="3">
        <v>0</v>
      </c>
      <c r="M440" s="3">
        <v>0</v>
      </c>
      <c r="N440" s="3">
        <v>0</v>
      </c>
      <c r="O440" s="3">
        <v>0.14</v>
      </c>
      <c r="P440" s="3">
        <v>0</v>
      </c>
      <c r="Q440" s="3">
        <v>0</v>
      </c>
      <c r="R440" s="3">
        <v>0</v>
      </c>
    </row>
    <row r="441" spans="1:18">
      <c r="A441" s="3" t="s">
        <v>1148</v>
      </c>
      <c r="B441" s="3" t="s">
        <v>1149</v>
      </c>
      <c r="C441" s="3" t="s">
        <v>1150</v>
      </c>
      <c r="D441" s="3" t="s">
        <v>1151</v>
      </c>
      <c r="E441" s="3" t="s">
        <v>120</v>
      </c>
      <c r="F441" s="3">
        <v>35.98</v>
      </c>
      <c r="G441" s="3" t="s">
        <v>121</v>
      </c>
      <c r="H441" s="3"/>
      <c r="I441" s="3" t="s">
        <v>122</v>
      </c>
      <c r="J441" s="3">
        <v>9</v>
      </c>
      <c r="K441" s="3">
        <v>9</v>
      </c>
      <c r="L441" s="3">
        <v>0</v>
      </c>
      <c r="M441" s="3">
        <v>0</v>
      </c>
      <c r="N441" s="3">
        <v>9</v>
      </c>
      <c r="O441" s="3">
        <v>0.14</v>
      </c>
      <c r="P441" s="3">
        <v>0</v>
      </c>
      <c r="Q441" s="3">
        <v>0</v>
      </c>
      <c r="R441" s="3">
        <v>0</v>
      </c>
    </row>
    <row r="442" spans="1:18">
      <c r="A442" s="3" t="s">
        <v>1152</v>
      </c>
      <c r="B442" s="3" t="s">
        <v>1153</v>
      </c>
      <c r="C442" s="3" t="s">
        <v>1154</v>
      </c>
      <c r="D442" s="3" t="s">
        <v>1155</v>
      </c>
      <c r="E442" s="3" t="s">
        <v>120</v>
      </c>
      <c r="F442" s="3">
        <v>35.98</v>
      </c>
      <c r="G442" s="3" t="s">
        <v>121</v>
      </c>
      <c r="H442" s="3"/>
      <c r="I442" s="3" t="s">
        <v>122</v>
      </c>
      <c r="J442" s="3">
        <v>40</v>
      </c>
      <c r="K442" s="3">
        <v>39</v>
      </c>
      <c r="L442" s="3">
        <v>0</v>
      </c>
      <c r="M442" s="3">
        <v>1</v>
      </c>
      <c r="N442" s="3">
        <v>40</v>
      </c>
      <c r="O442" s="3">
        <v>0.15</v>
      </c>
      <c r="P442" s="3">
        <v>0</v>
      </c>
      <c r="Q442" s="3">
        <v>0</v>
      </c>
      <c r="R442" s="3">
        <v>0</v>
      </c>
    </row>
    <row r="443" spans="1:18">
      <c r="A443" s="3" t="s">
        <v>1156</v>
      </c>
      <c r="B443" s="3" t="s">
        <v>1157</v>
      </c>
      <c r="C443" s="3" t="s">
        <v>1158</v>
      </c>
      <c r="D443" s="3" t="s">
        <v>1159</v>
      </c>
      <c r="E443" s="3" t="s">
        <v>120</v>
      </c>
      <c r="F443" s="3">
        <v>35.98</v>
      </c>
      <c r="G443" s="3" t="s">
        <v>121</v>
      </c>
      <c r="H443" s="3"/>
      <c r="I443" s="3" t="s">
        <v>122</v>
      </c>
      <c r="J443" s="3">
        <v>40</v>
      </c>
      <c r="K443" s="3">
        <v>40</v>
      </c>
      <c r="L443" s="3">
        <v>0</v>
      </c>
      <c r="M443" s="3">
        <v>0</v>
      </c>
      <c r="N443" s="3">
        <v>40</v>
      </c>
      <c r="O443" s="3">
        <v>0.15</v>
      </c>
      <c r="P443" s="3">
        <v>0</v>
      </c>
      <c r="Q443" s="3">
        <v>0</v>
      </c>
      <c r="R443" s="3">
        <v>0</v>
      </c>
    </row>
    <row r="444" spans="1:18">
      <c r="A444" s="3" t="s">
        <v>1160</v>
      </c>
      <c r="B444" s="3" t="s">
        <v>1161</v>
      </c>
      <c r="C444" s="3" t="s">
        <v>1162</v>
      </c>
      <c r="D444" s="3" t="s">
        <v>1163</v>
      </c>
      <c r="E444" s="3" t="s">
        <v>120</v>
      </c>
      <c r="F444" s="3">
        <v>35.98</v>
      </c>
      <c r="G444" s="3" t="s">
        <v>121</v>
      </c>
      <c r="H444" s="3"/>
      <c r="I444" s="3" t="s">
        <v>122</v>
      </c>
      <c r="J444" s="3">
        <v>0</v>
      </c>
      <c r="K444" s="3">
        <v>0</v>
      </c>
      <c r="L444" s="3">
        <v>0</v>
      </c>
      <c r="M444" s="3">
        <v>0</v>
      </c>
      <c r="N444" s="3">
        <v>0</v>
      </c>
      <c r="O444" s="3">
        <v>0.15</v>
      </c>
      <c r="P444" s="3">
        <v>0</v>
      </c>
      <c r="Q444" s="3">
        <v>0</v>
      </c>
      <c r="R444" s="3">
        <v>0</v>
      </c>
    </row>
    <row r="445" spans="1:18">
      <c r="A445" s="3" t="s">
        <v>1164</v>
      </c>
      <c r="B445" s="3" t="s">
        <v>1165</v>
      </c>
      <c r="C445" s="3" t="s">
        <v>1166</v>
      </c>
      <c r="D445" s="3" t="s">
        <v>1167</v>
      </c>
      <c r="E445" s="3" t="s">
        <v>120</v>
      </c>
      <c r="F445" s="3">
        <v>35.98</v>
      </c>
      <c r="G445" s="3" t="s">
        <v>121</v>
      </c>
      <c r="H445" s="3"/>
      <c r="I445" s="3" t="s">
        <v>122</v>
      </c>
      <c r="J445" s="3">
        <v>11</v>
      </c>
      <c r="K445" s="3">
        <v>11</v>
      </c>
      <c r="L445" s="3">
        <v>0</v>
      </c>
      <c r="M445" s="3">
        <v>0</v>
      </c>
      <c r="N445" s="3">
        <v>11</v>
      </c>
      <c r="O445" s="3">
        <v>0.15</v>
      </c>
      <c r="P445" s="3">
        <v>0</v>
      </c>
      <c r="Q445" s="3">
        <v>0</v>
      </c>
      <c r="R445" s="3">
        <v>0</v>
      </c>
    </row>
    <row r="446" spans="1:18">
      <c r="A446" s="3" t="s">
        <v>1168</v>
      </c>
      <c r="B446" s="3" t="s">
        <v>1169</v>
      </c>
      <c r="C446" s="3" t="s">
        <v>1170</v>
      </c>
      <c r="D446" s="3" t="s">
        <v>1171</v>
      </c>
      <c r="E446" s="3" t="s">
        <v>120</v>
      </c>
      <c r="F446" s="3">
        <v>35.98</v>
      </c>
      <c r="G446" s="3" t="s">
        <v>121</v>
      </c>
      <c r="H446" s="3"/>
      <c r="I446" s="3" t="s">
        <v>122</v>
      </c>
      <c r="J446" s="3">
        <v>0</v>
      </c>
      <c r="K446" s="3">
        <v>0</v>
      </c>
      <c r="L446" s="3">
        <v>0</v>
      </c>
      <c r="M446" s="3">
        <v>0</v>
      </c>
      <c r="N446" s="3">
        <v>0</v>
      </c>
      <c r="O446" s="3">
        <v>0.15</v>
      </c>
      <c r="P446" s="3">
        <v>0</v>
      </c>
      <c r="Q446" s="3">
        <v>0</v>
      </c>
      <c r="R446" s="3">
        <v>0</v>
      </c>
    </row>
    <row r="447" spans="1:18">
      <c r="A447" s="3" t="s">
        <v>1172</v>
      </c>
      <c r="B447" s="3" t="s">
        <v>1173</v>
      </c>
      <c r="C447" s="3" t="s">
        <v>1174</v>
      </c>
      <c r="D447" s="3" t="s">
        <v>1175</v>
      </c>
      <c r="E447" s="3" t="s">
        <v>120</v>
      </c>
      <c r="F447" s="3">
        <v>35.98</v>
      </c>
      <c r="G447" s="3" t="s">
        <v>121</v>
      </c>
      <c r="H447" s="3"/>
      <c r="I447" s="3" t="s">
        <v>122</v>
      </c>
      <c r="J447" s="3">
        <v>0</v>
      </c>
      <c r="K447" s="3">
        <v>0</v>
      </c>
      <c r="L447" s="3">
        <v>0</v>
      </c>
      <c r="M447" s="3">
        <v>0</v>
      </c>
      <c r="N447" s="3">
        <v>0</v>
      </c>
      <c r="O447" s="3">
        <v>0.15</v>
      </c>
      <c r="P447" s="3">
        <v>0</v>
      </c>
      <c r="Q447" s="3">
        <v>0</v>
      </c>
      <c r="R447" s="3">
        <v>0</v>
      </c>
    </row>
    <row r="448" spans="1:18">
      <c r="A448" s="3" t="s">
        <v>1176</v>
      </c>
      <c r="B448" s="3" t="s">
        <v>1177</v>
      </c>
      <c r="C448" s="3" t="s">
        <v>18</v>
      </c>
      <c r="D448" s="3" t="s">
        <v>1178</v>
      </c>
      <c r="E448" s="3" t="s">
        <v>120</v>
      </c>
      <c r="F448" s="3">
        <v>35.98</v>
      </c>
      <c r="G448" s="3" t="s">
        <v>121</v>
      </c>
      <c r="H448" s="3"/>
      <c r="I448" s="3" t="s">
        <v>122</v>
      </c>
      <c r="J448" s="3">
        <v>0</v>
      </c>
      <c r="K448" s="3">
        <v>0</v>
      </c>
      <c r="L448" s="3">
        <v>0</v>
      </c>
      <c r="M448" s="3">
        <v>0</v>
      </c>
      <c r="N448" s="3">
        <v>0</v>
      </c>
      <c r="O448" s="3">
        <v>0.15</v>
      </c>
      <c r="P448" s="3">
        <v>0</v>
      </c>
      <c r="Q448" s="3">
        <v>0</v>
      </c>
      <c r="R448" s="3">
        <v>0</v>
      </c>
    </row>
    <row r="449" spans="1:18">
      <c r="A449" s="3" t="s">
        <v>1179</v>
      </c>
      <c r="B449" s="3" t="s">
        <v>1180</v>
      </c>
      <c r="C449" s="3" t="s">
        <v>1181</v>
      </c>
      <c r="D449" s="3" t="s">
        <v>1182</v>
      </c>
      <c r="E449" s="3" t="s">
        <v>120</v>
      </c>
      <c r="F449" s="3">
        <v>35.98</v>
      </c>
      <c r="G449" s="3" t="s">
        <v>121</v>
      </c>
      <c r="H449" s="3"/>
      <c r="I449" s="3" t="s">
        <v>122</v>
      </c>
      <c r="J449" s="3">
        <v>0</v>
      </c>
      <c r="K449" s="3">
        <v>0</v>
      </c>
      <c r="L449" s="3">
        <v>0</v>
      </c>
      <c r="M449" s="3">
        <v>0</v>
      </c>
      <c r="N449" s="3">
        <v>0</v>
      </c>
      <c r="O449" s="3">
        <v>0.15</v>
      </c>
      <c r="P449" s="3">
        <v>0</v>
      </c>
      <c r="Q449" s="3">
        <v>0</v>
      </c>
      <c r="R449" s="3">
        <v>0</v>
      </c>
    </row>
    <row r="450" spans="1:18">
      <c r="A450" s="3" t="s">
        <v>1183</v>
      </c>
      <c r="B450" s="3" t="s">
        <v>1184</v>
      </c>
      <c r="C450" s="3" t="s">
        <v>1185</v>
      </c>
      <c r="D450" s="3" t="s">
        <v>1186</v>
      </c>
      <c r="E450" s="3" t="s">
        <v>120</v>
      </c>
      <c r="F450" s="3">
        <v>35.98</v>
      </c>
      <c r="G450" s="3" t="s">
        <v>121</v>
      </c>
      <c r="H450" s="3"/>
      <c r="I450" s="3" t="s">
        <v>122</v>
      </c>
      <c r="J450" s="3">
        <v>0</v>
      </c>
      <c r="K450" s="3">
        <v>0</v>
      </c>
      <c r="L450" s="3">
        <v>0</v>
      </c>
      <c r="M450" s="3">
        <v>0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</row>
    <row r="451" spans="1:18">
      <c r="A451" s="3" t="s">
        <v>1187</v>
      </c>
      <c r="B451" s="3" t="s">
        <v>1188</v>
      </c>
      <c r="C451" s="3" t="s">
        <v>1189</v>
      </c>
      <c r="D451" s="3" t="s">
        <v>1190</v>
      </c>
      <c r="E451" s="3" t="s">
        <v>120</v>
      </c>
      <c r="F451" s="3">
        <v>35.98</v>
      </c>
      <c r="G451" s="3" t="s">
        <v>121</v>
      </c>
      <c r="H451" s="3"/>
      <c r="I451" s="3" t="s">
        <v>122</v>
      </c>
      <c r="J451" s="3">
        <v>9</v>
      </c>
      <c r="K451" s="3">
        <v>9</v>
      </c>
      <c r="L451" s="3">
        <v>0</v>
      </c>
      <c r="M451" s="3">
        <v>0</v>
      </c>
      <c r="N451" s="3">
        <v>9</v>
      </c>
      <c r="O451" s="3">
        <v>0.15</v>
      </c>
      <c r="P451" s="3">
        <v>0</v>
      </c>
      <c r="Q451" s="3">
        <v>0</v>
      </c>
      <c r="R451" s="3">
        <v>0</v>
      </c>
    </row>
    <row r="452" spans="1:18">
      <c r="A452" s="3" t="s">
        <v>1191</v>
      </c>
      <c r="B452" s="3" t="s">
        <v>1192</v>
      </c>
      <c r="C452" s="3" t="s">
        <v>1193</v>
      </c>
      <c r="D452" s="3" t="s">
        <v>1194</v>
      </c>
      <c r="E452" s="3" t="s">
        <v>120</v>
      </c>
      <c r="F452" s="3">
        <v>35.98</v>
      </c>
      <c r="G452" s="3" t="s">
        <v>121</v>
      </c>
      <c r="H452" s="3"/>
      <c r="I452" s="3" t="s">
        <v>122</v>
      </c>
      <c r="J452" s="3">
        <v>0</v>
      </c>
      <c r="K452" s="3">
        <v>0</v>
      </c>
      <c r="L452" s="3">
        <v>0</v>
      </c>
      <c r="M452" s="3">
        <v>0</v>
      </c>
      <c r="N452" s="3">
        <v>0</v>
      </c>
      <c r="O452" s="3">
        <v>0.15</v>
      </c>
      <c r="P452" s="3">
        <v>0</v>
      </c>
      <c r="Q452" s="3">
        <v>0</v>
      </c>
      <c r="R452" s="3">
        <v>0</v>
      </c>
    </row>
    <row r="453" spans="1:18">
      <c r="A453" s="3" t="s">
        <v>1195</v>
      </c>
      <c r="B453" s="3" t="s">
        <v>1196</v>
      </c>
      <c r="C453" s="3" t="s">
        <v>1197</v>
      </c>
      <c r="D453" s="3" t="s">
        <v>1198</v>
      </c>
      <c r="E453" s="3" t="s">
        <v>120</v>
      </c>
      <c r="F453" s="3">
        <v>35.98</v>
      </c>
      <c r="G453" s="3" t="s">
        <v>121</v>
      </c>
      <c r="H453" s="3"/>
      <c r="I453" s="3" t="s">
        <v>122</v>
      </c>
      <c r="J453" s="3">
        <v>0</v>
      </c>
      <c r="K453" s="3">
        <v>0</v>
      </c>
      <c r="L453" s="3">
        <v>0</v>
      </c>
      <c r="M453" s="3">
        <v>0</v>
      </c>
      <c r="N453" s="3">
        <v>0</v>
      </c>
      <c r="O453" s="3">
        <v>0.15</v>
      </c>
      <c r="P453" s="3">
        <v>0</v>
      </c>
      <c r="Q453" s="3">
        <v>0</v>
      </c>
      <c r="R453" s="3">
        <v>0</v>
      </c>
    </row>
    <row r="454" spans="1:18">
      <c r="A454" s="3" t="s">
        <v>1199</v>
      </c>
      <c r="B454" s="3" t="s">
        <v>1200</v>
      </c>
      <c r="C454" s="3" t="s">
        <v>1201</v>
      </c>
      <c r="D454" s="3" t="s">
        <v>1202</v>
      </c>
      <c r="E454" s="3" t="s">
        <v>120</v>
      </c>
      <c r="F454" s="3">
        <v>35.98</v>
      </c>
      <c r="G454" s="3" t="s">
        <v>121</v>
      </c>
      <c r="H454" s="3"/>
      <c r="I454" s="3" t="s">
        <v>122</v>
      </c>
      <c r="J454" s="3">
        <v>0</v>
      </c>
      <c r="K454" s="3">
        <v>0</v>
      </c>
      <c r="L454" s="3">
        <v>0</v>
      </c>
      <c r="M454" s="3">
        <v>0</v>
      </c>
      <c r="N454" s="3">
        <v>0</v>
      </c>
      <c r="O454" s="3">
        <v>0.15</v>
      </c>
      <c r="P454" s="3">
        <v>0</v>
      </c>
      <c r="Q454" s="3">
        <v>0</v>
      </c>
      <c r="R454" s="3">
        <v>0</v>
      </c>
    </row>
    <row r="455" spans="1:18">
      <c r="A455" s="3" t="s">
        <v>1203</v>
      </c>
      <c r="B455" s="3" t="s">
        <v>1204</v>
      </c>
      <c r="C455" s="3" t="s">
        <v>1205</v>
      </c>
      <c r="D455" s="3" t="s">
        <v>1206</v>
      </c>
      <c r="E455" s="3" t="s">
        <v>120</v>
      </c>
      <c r="F455" s="3">
        <v>35.98</v>
      </c>
      <c r="G455" s="3" t="s">
        <v>121</v>
      </c>
      <c r="H455" s="3"/>
      <c r="I455" s="3" t="s">
        <v>122</v>
      </c>
      <c r="J455" s="3">
        <v>0</v>
      </c>
      <c r="K455" s="3">
        <v>0</v>
      </c>
      <c r="L455" s="3">
        <v>0</v>
      </c>
      <c r="M455" s="3">
        <v>0</v>
      </c>
      <c r="N455" s="3">
        <v>0</v>
      </c>
      <c r="O455" s="3">
        <v>0.15</v>
      </c>
      <c r="P455" s="3">
        <v>0</v>
      </c>
      <c r="Q455" s="3">
        <v>0</v>
      </c>
      <c r="R455" s="3">
        <v>0</v>
      </c>
    </row>
    <row r="456" spans="1:18">
      <c r="A456" s="3" t="s">
        <v>1207</v>
      </c>
      <c r="B456" s="3" t="s">
        <v>1208</v>
      </c>
      <c r="C456" s="3" t="s">
        <v>1209</v>
      </c>
      <c r="D456" s="3" t="s">
        <v>1210</v>
      </c>
      <c r="E456" s="3" t="s">
        <v>120</v>
      </c>
      <c r="F456" s="3">
        <v>35.98</v>
      </c>
      <c r="G456" s="3" t="s">
        <v>121</v>
      </c>
      <c r="H456" s="3"/>
      <c r="I456" s="3" t="s">
        <v>122</v>
      </c>
      <c r="J456" s="3">
        <v>0</v>
      </c>
      <c r="K456" s="3">
        <v>0</v>
      </c>
      <c r="L456" s="3">
        <v>0</v>
      </c>
      <c r="M456" s="3">
        <v>0</v>
      </c>
      <c r="N456" s="3">
        <v>0</v>
      </c>
      <c r="O456" s="3">
        <v>0.15</v>
      </c>
      <c r="P456" s="3">
        <v>0</v>
      </c>
      <c r="Q456" s="3">
        <v>0</v>
      </c>
      <c r="R456" s="3">
        <v>0</v>
      </c>
    </row>
    <row r="457" spans="1:18">
      <c r="A457" s="3" t="s">
        <v>1211</v>
      </c>
      <c r="B457" s="3" t="s">
        <v>1212</v>
      </c>
      <c r="C457" s="3" t="s">
        <v>347</v>
      </c>
      <c r="D457" s="3" t="s">
        <v>348</v>
      </c>
      <c r="E457" s="3" t="s">
        <v>120</v>
      </c>
      <c r="F457" s="3">
        <v>26.98</v>
      </c>
      <c r="G457" s="3" t="s">
        <v>121</v>
      </c>
      <c r="H457" s="3"/>
      <c r="I457" s="3" t="s">
        <v>122</v>
      </c>
      <c r="J457" s="3">
        <v>0</v>
      </c>
      <c r="K457" s="3">
        <v>0</v>
      </c>
      <c r="L457" s="3">
        <v>0</v>
      </c>
      <c r="M457" s="3">
        <v>0</v>
      </c>
      <c r="N457" s="3">
        <v>0</v>
      </c>
      <c r="O457" s="3">
        <v>0.06</v>
      </c>
      <c r="P457" s="3">
        <v>0</v>
      </c>
      <c r="Q457" s="3">
        <v>0</v>
      </c>
      <c r="R457" s="3">
        <v>0</v>
      </c>
    </row>
    <row r="458" spans="1:18">
      <c r="A458" s="3" t="s">
        <v>1213</v>
      </c>
      <c r="B458" s="3" t="s">
        <v>1214</v>
      </c>
      <c r="C458" s="3" t="s">
        <v>350</v>
      </c>
      <c r="D458" s="3" t="s">
        <v>477</v>
      </c>
      <c r="E458" s="3" t="s">
        <v>120</v>
      </c>
      <c r="F458" s="3">
        <v>26.98</v>
      </c>
      <c r="G458" s="3" t="s">
        <v>121</v>
      </c>
      <c r="H458" s="3"/>
      <c r="I458" s="3" t="s">
        <v>122</v>
      </c>
      <c r="J458" s="3">
        <v>0</v>
      </c>
      <c r="K458" s="3">
        <v>0</v>
      </c>
      <c r="L458" s="3">
        <v>0</v>
      </c>
      <c r="M458" s="3">
        <v>0</v>
      </c>
      <c r="N458" s="3">
        <v>0</v>
      </c>
      <c r="O458" s="3">
        <v>0.06</v>
      </c>
      <c r="P458" s="3">
        <v>0</v>
      </c>
      <c r="Q458" s="3">
        <v>0</v>
      </c>
      <c r="R458" s="3">
        <v>0</v>
      </c>
    </row>
    <row r="459" spans="1:18">
      <c r="A459" s="3" t="s">
        <v>1215</v>
      </c>
      <c r="B459" s="3" t="s">
        <v>1216</v>
      </c>
      <c r="C459" s="3" t="s">
        <v>352</v>
      </c>
      <c r="D459" s="3" t="s">
        <v>315</v>
      </c>
      <c r="E459" s="3" t="s">
        <v>120</v>
      </c>
      <c r="F459" s="3">
        <v>26.98</v>
      </c>
      <c r="G459" s="3" t="s">
        <v>121</v>
      </c>
      <c r="H459" s="3"/>
      <c r="I459" s="3" t="s">
        <v>122</v>
      </c>
      <c r="J459" s="3">
        <v>11</v>
      </c>
      <c r="K459" s="3">
        <v>11</v>
      </c>
      <c r="L459" s="3">
        <v>0</v>
      </c>
      <c r="M459" s="3">
        <v>0</v>
      </c>
      <c r="N459" s="3">
        <v>11</v>
      </c>
      <c r="O459" s="3">
        <v>0.06</v>
      </c>
      <c r="P459" s="3">
        <v>0</v>
      </c>
      <c r="Q459" s="3">
        <v>0</v>
      </c>
      <c r="R459" s="3">
        <v>0</v>
      </c>
    </row>
    <row r="460" spans="1:18">
      <c r="A460" s="3" t="s">
        <v>1217</v>
      </c>
      <c r="B460" s="3" t="s">
        <v>1218</v>
      </c>
      <c r="C460" s="3" t="s">
        <v>354</v>
      </c>
      <c r="D460" s="3" t="s">
        <v>480</v>
      </c>
      <c r="E460" s="3" t="s">
        <v>120</v>
      </c>
      <c r="F460" s="3">
        <v>26.98</v>
      </c>
      <c r="G460" s="3" t="s">
        <v>121</v>
      </c>
      <c r="H460" s="3"/>
      <c r="I460" s="3" t="s">
        <v>122</v>
      </c>
      <c r="J460" s="3">
        <v>0</v>
      </c>
      <c r="K460" s="3">
        <v>0</v>
      </c>
      <c r="L460" s="3">
        <v>0</v>
      </c>
      <c r="M460" s="3">
        <v>0</v>
      </c>
      <c r="N460" s="3">
        <v>0</v>
      </c>
      <c r="O460" s="3">
        <v>0.06</v>
      </c>
      <c r="P460" s="3">
        <v>0</v>
      </c>
      <c r="Q460" s="3">
        <v>0</v>
      </c>
      <c r="R460" s="3">
        <v>0</v>
      </c>
    </row>
    <row r="461" spans="1:18">
      <c r="A461" s="3" t="s">
        <v>1219</v>
      </c>
      <c r="B461" s="3" t="s">
        <v>1220</v>
      </c>
      <c r="C461" s="3" t="s">
        <v>356</v>
      </c>
      <c r="D461" s="3" t="s">
        <v>482</v>
      </c>
      <c r="E461" s="3" t="s">
        <v>120</v>
      </c>
      <c r="F461" s="3">
        <v>26.98</v>
      </c>
      <c r="G461" s="3" t="s">
        <v>121</v>
      </c>
      <c r="H461" s="3"/>
      <c r="I461" s="3" t="s">
        <v>122</v>
      </c>
      <c r="J461" s="3">
        <v>7</v>
      </c>
      <c r="K461" s="3">
        <v>7</v>
      </c>
      <c r="L461" s="3">
        <v>0</v>
      </c>
      <c r="M461" s="3">
        <v>0</v>
      </c>
      <c r="N461" s="3">
        <v>7</v>
      </c>
      <c r="O461" s="3">
        <v>0.06</v>
      </c>
      <c r="P461" s="3">
        <v>0</v>
      </c>
      <c r="Q461" s="3">
        <v>0</v>
      </c>
      <c r="R461" s="3">
        <v>0</v>
      </c>
    </row>
    <row r="462" spans="1:18">
      <c r="A462" s="3" t="s">
        <v>1221</v>
      </c>
      <c r="B462" s="3" t="s">
        <v>1222</v>
      </c>
      <c r="C462" s="3" t="s">
        <v>1223</v>
      </c>
      <c r="D462" s="3" t="s">
        <v>384</v>
      </c>
      <c r="E462" s="3" t="s">
        <v>120</v>
      </c>
      <c r="F462" s="3">
        <v>23.98</v>
      </c>
      <c r="G462" s="3" t="s">
        <v>121</v>
      </c>
      <c r="H462" s="3"/>
      <c r="I462" s="3" t="s">
        <v>122</v>
      </c>
      <c r="J462" s="3">
        <v>53</v>
      </c>
      <c r="K462" s="3">
        <v>52</v>
      </c>
      <c r="L462" s="3">
        <v>0</v>
      </c>
      <c r="M462" s="3">
        <v>1</v>
      </c>
      <c r="N462" s="3">
        <v>53</v>
      </c>
      <c r="O462" s="3">
        <v>0.05</v>
      </c>
      <c r="P462" s="3">
        <v>0</v>
      </c>
      <c r="Q462" s="3">
        <v>0</v>
      </c>
      <c r="R462" s="3">
        <v>0</v>
      </c>
    </row>
    <row r="463" spans="1:18">
      <c r="A463" s="3" t="s">
        <v>1224</v>
      </c>
      <c r="B463" s="3" t="s">
        <v>1225</v>
      </c>
      <c r="C463" s="3" t="s">
        <v>1226</v>
      </c>
      <c r="D463" s="3" t="s">
        <v>1227</v>
      </c>
      <c r="E463" s="3" t="s">
        <v>120</v>
      </c>
      <c r="F463" s="3">
        <v>35.99</v>
      </c>
      <c r="G463" s="3" t="s">
        <v>121</v>
      </c>
      <c r="H463" s="3"/>
      <c r="I463" s="3" t="s">
        <v>122</v>
      </c>
      <c r="J463" s="3">
        <v>0</v>
      </c>
      <c r="K463" s="3">
        <v>0</v>
      </c>
      <c r="L463" s="3">
        <v>0</v>
      </c>
      <c r="M463" s="3">
        <v>0</v>
      </c>
      <c r="N463" s="3">
        <v>0</v>
      </c>
      <c r="O463" s="3">
        <v>0.02</v>
      </c>
      <c r="P463" s="3">
        <v>0</v>
      </c>
      <c r="Q463" s="3">
        <v>0</v>
      </c>
      <c r="R463" s="3">
        <v>0</v>
      </c>
    </row>
    <row r="464" spans="1:18">
      <c r="A464" s="3" t="s">
        <v>1228</v>
      </c>
      <c r="B464" s="3" t="s">
        <v>1229</v>
      </c>
      <c r="C464" s="3" t="s">
        <v>1230</v>
      </c>
      <c r="D464" s="3" t="s">
        <v>1231</v>
      </c>
      <c r="E464" s="3" t="s">
        <v>120</v>
      </c>
      <c r="F464" s="3">
        <v>23.98</v>
      </c>
      <c r="G464" s="3" t="s">
        <v>121</v>
      </c>
      <c r="H464" s="3"/>
      <c r="I464" s="3" t="s">
        <v>122</v>
      </c>
      <c r="J464" s="3">
        <v>0</v>
      </c>
      <c r="K464" s="3">
        <v>0</v>
      </c>
      <c r="L464" s="3">
        <v>0</v>
      </c>
      <c r="M464" s="3">
        <v>0</v>
      </c>
      <c r="N464" s="3">
        <v>0</v>
      </c>
      <c r="O464" s="3">
        <v>0.02</v>
      </c>
      <c r="P464" s="3">
        <v>0</v>
      </c>
      <c r="Q464" s="3">
        <v>0</v>
      </c>
      <c r="R464" s="3">
        <v>0</v>
      </c>
    </row>
    <row r="465" spans="1:18">
      <c r="A465" s="3" t="s">
        <v>1232</v>
      </c>
      <c r="B465" s="3" t="s">
        <v>1233</v>
      </c>
      <c r="C465" s="3" t="s">
        <v>514</v>
      </c>
      <c r="D465" s="3" t="s">
        <v>766</v>
      </c>
      <c r="E465" s="3" t="s">
        <v>120</v>
      </c>
      <c r="F465" s="3">
        <v>39.98</v>
      </c>
      <c r="G465" s="3" t="s">
        <v>121</v>
      </c>
      <c r="H465" s="3"/>
      <c r="I465" s="3" t="s">
        <v>122</v>
      </c>
      <c r="J465" s="3">
        <v>32</v>
      </c>
      <c r="K465" s="3">
        <v>31</v>
      </c>
      <c r="L465" s="3">
        <v>0</v>
      </c>
      <c r="M465" s="3">
        <v>1</v>
      </c>
      <c r="N465" s="3">
        <v>32</v>
      </c>
      <c r="O465" s="3">
        <v>0.09</v>
      </c>
      <c r="P465" s="3">
        <v>0</v>
      </c>
      <c r="Q465" s="3">
        <v>0</v>
      </c>
      <c r="R465" s="3">
        <v>0</v>
      </c>
    </row>
    <row r="466" spans="1:18">
      <c r="A466" s="3" t="s">
        <v>1234</v>
      </c>
      <c r="B466" s="3" t="s">
        <v>1235</v>
      </c>
      <c r="C466" s="3" t="s">
        <v>517</v>
      </c>
      <c r="D466" s="3" t="s">
        <v>768</v>
      </c>
      <c r="E466" s="3" t="s">
        <v>120</v>
      </c>
      <c r="F466" s="3">
        <v>39.98</v>
      </c>
      <c r="G466" s="3" t="s">
        <v>121</v>
      </c>
      <c r="H466" s="3"/>
      <c r="I466" s="3" t="s">
        <v>122</v>
      </c>
      <c r="J466" s="3">
        <v>19</v>
      </c>
      <c r="K466" s="3">
        <v>19</v>
      </c>
      <c r="L466" s="3">
        <v>0</v>
      </c>
      <c r="M466" s="3">
        <v>0</v>
      </c>
      <c r="N466" s="3">
        <v>19</v>
      </c>
      <c r="O466" s="3">
        <v>0.09</v>
      </c>
      <c r="P466" s="3">
        <v>0</v>
      </c>
      <c r="Q466" s="3">
        <v>0</v>
      </c>
      <c r="R466" s="3">
        <v>0</v>
      </c>
    </row>
    <row r="467" spans="1:18">
      <c r="A467" s="3" t="s">
        <v>1236</v>
      </c>
      <c r="B467" s="3" t="s">
        <v>1237</v>
      </c>
      <c r="C467" s="3" t="s">
        <v>520</v>
      </c>
      <c r="D467" s="3" t="s">
        <v>770</v>
      </c>
      <c r="E467" s="3" t="s">
        <v>120</v>
      </c>
      <c r="F467" s="3">
        <v>39.98</v>
      </c>
      <c r="G467" s="3" t="s">
        <v>121</v>
      </c>
      <c r="H467" s="3"/>
      <c r="I467" s="3" t="s">
        <v>122</v>
      </c>
      <c r="J467" s="3">
        <v>19</v>
      </c>
      <c r="K467" s="3">
        <v>19</v>
      </c>
      <c r="L467" s="3">
        <v>0</v>
      </c>
      <c r="M467" s="3">
        <v>0</v>
      </c>
      <c r="N467" s="3">
        <v>19</v>
      </c>
      <c r="O467" s="3">
        <v>0.09</v>
      </c>
      <c r="P467" s="3">
        <v>0</v>
      </c>
      <c r="Q467" s="3">
        <v>0</v>
      </c>
      <c r="R467" s="3">
        <v>0</v>
      </c>
    </row>
    <row r="468" spans="1:18">
      <c r="A468" s="3" t="s">
        <v>1238</v>
      </c>
      <c r="B468" s="3" t="s">
        <v>1239</v>
      </c>
      <c r="C468" s="3" t="s">
        <v>523</v>
      </c>
      <c r="D468" s="3" t="s">
        <v>772</v>
      </c>
      <c r="E468" s="3" t="s">
        <v>120</v>
      </c>
      <c r="F468" s="3">
        <v>39.98</v>
      </c>
      <c r="G468" s="3" t="s">
        <v>121</v>
      </c>
      <c r="H468" s="3"/>
      <c r="I468" s="3" t="s">
        <v>122</v>
      </c>
      <c r="J468" s="3">
        <v>29</v>
      </c>
      <c r="K468" s="3">
        <v>29</v>
      </c>
      <c r="L468" s="3">
        <v>0</v>
      </c>
      <c r="M468" s="3">
        <v>0</v>
      </c>
      <c r="N468" s="3">
        <v>29</v>
      </c>
      <c r="O468" s="3">
        <v>0.09</v>
      </c>
      <c r="P468" s="3">
        <v>0</v>
      </c>
      <c r="Q468" s="3">
        <v>0</v>
      </c>
      <c r="R468" s="3">
        <v>0</v>
      </c>
    </row>
    <row r="469" spans="1:18">
      <c r="A469" s="3" t="s">
        <v>1240</v>
      </c>
      <c r="B469" s="3" t="s">
        <v>1241</v>
      </c>
      <c r="C469" s="3" t="s">
        <v>525</v>
      </c>
      <c r="D469" s="3" t="s">
        <v>774</v>
      </c>
      <c r="E469" s="3" t="s">
        <v>120</v>
      </c>
      <c r="F469" s="3">
        <v>39.98</v>
      </c>
      <c r="G469" s="3" t="s">
        <v>121</v>
      </c>
      <c r="H469" s="3"/>
      <c r="I469" s="3" t="s">
        <v>122</v>
      </c>
      <c r="J469" s="3">
        <v>14</v>
      </c>
      <c r="K469" s="3">
        <v>14</v>
      </c>
      <c r="L469" s="3">
        <v>0</v>
      </c>
      <c r="M469" s="3">
        <v>0</v>
      </c>
      <c r="N469" s="3">
        <v>14</v>
      </c>
      <c r="O469" s="3">
        <v>0.09</v>
      </c>
      <c r="P469" s="3">
        <v>0</v>
      </c>
      <c r="Q469" s="3">
        <v>0</v>
      </c>
      <c r="R469" s="3">
        <v>0</v>
      </c>
    </row>
    <row r="470" spans="1:18">
      <c r="A470" s="3" t="s">
        <v>1242</v>
      </c>
      <c r="B470" s="3" t="s">
        <v>1243</v>
      </c>
      <c r="C470" s="3" t="s">
        <v>527</v>
      </c>
      <c r="D470" s="3" t="s">
        <v>776</v>
      </c>
      <c r="E470" s="3" t="s">
        <v>120</v>
      </c>
      <c r="F470" s="3">
        <v>39.98</v>
      </c>
      <c r="G470" s="3" t="s">
        <v>121</v>
      </c>
      <c r="H470" s="3"/>
      <c r="I470" s="3" t="s">
        <v>122</v>
      </c>
      <c r="J470" s="3">
        <v>38</v>
      </c>
      <c r="K470" s="3">
        <v>38</v>
      </c>
      <c r="L470" s="3">
        <v>0</v>
      </c>
      <c r="M470" s="3">
        <v>0</v>
      </c>
      <c r="N470" s="3">
        <v>38</v>
      </c>
      <c r="O470" s="3">
        <v>0.09</v>
      </c>
      <c r="P470" s="3">
        <v>0</v>
      </c>
      <c r="Q470" s="3">
        <v>0</v>
      </c>
      <c r="R470" s="3">
        <v>0</v>
      </c>
    </row>
    <row r="471" spans="1:18">
      <c r="A471" s="3" t="s">
        <v>1244</v>
      </c>
      <c r="B471" s="3" t="s">
        <v>1245</v>
      </c>
      <c r="C471" s="3" t="s">
        <v>529</v>
      </c>
      <c r="D471" s="3" t="s">
        <v>778</v>
      </c>
      <c r="E471" s="3" t="s">
        <v>120</v>
      </c>
      <c r="F471" s="3">
        <v>39.98</v>
      </c>
      <c r="G471" s="3" t="s">
        <v>121</v>
      </c>
      <c r="H471" s="3"/>
      <c r="I471" s="3" t="s">
        <v>122</v>
      </c>
      <c r="J471" s="3">
        <v>17</v>
      </c>
      <c r="K471" s="3">
        <v>17</v>
      </c>
      <c r="L471" s="3">
        <v>0</v>
      </c>
      <c r="M471" s="3">
        <v>0</v>
      </c>
      <c r="N471" s="3">
        <v>17</v>
      </c>
      <c r="O471" s="3">
        <v>0.09</v>
      </c>
      <c r="P471" s="3">
        <v>0</v>
      </c>
      <c r="Q471" s="3">
        <v>0</v>
      </c>
      <c r="R471" s="3">
        <v>0</v>
      </c>
    </row>
    <row r="472" spans="1:18">
      <c r="A472" s="3" t="s">
        <v>1246</v>
      </c>
      <c r="B472" s="3" t="s">
        <v>1247</v>
      </c>
      <c r="C472" s="3" t="s">
        <v>531</v>
      </c>
      <c r="D472" s="3" t="s">
        <v>780</v>
      </c>
      <c r="E472" s="3" t="s">
        <v>120</v>
      </c>
      <c r="F472" s="3">
        <v>39.98</v>
      </c>
      <c r="G472" s="3" t="s">
        <v>121</v>
      </c>
      <c r="H472" s="3"/>
      <c r="I472" s="3" t="s">
        <v>122</v>
      </c>
      <c r="J472" s="3">
        <v>12</v>
      </c>
      <c r="K472" s="3">
        <v>12</v>
      </c>
      <c r="L472" s="3">
        <v>0</v>
      </c>
      <c r="M472" s="3">
        <v>0</v>
      </c>
      <c r="N472" s="3">
        <v>12</v>
      </c>
      <c r="O472" s="3">
        <v>0.09</v>
      </c>
      <c r="P472" s="3">
        <v>0</v>
      </c>
      <c r="Q472" s="3">
        <v>0</v>
      </c>
      <c r="R472" s="3">
        <v>0</v>
      </c>
    </row>
    <row r="473" spans="1:18">
      <c r="A473" s="3" t="s">
        <v>1248</v>
      </c>
      <c r="B473" s="3" t="s">
        <v>1249</v>
      </c>
      <c r="C473" s="3" t="s">
        <v>533</v>
      </c>
      <c r="D473" s="3" t="s">
        <v>782</v>
      </c>
      <c r="E473" s="3" t="s">
        <v>120</v>
      </c>
      <c r="F473" s="3">
        <v>39.98</v>
      </c>
      <c r="G473" s="3" t="s">
        <v>121</v>
      </c>
      <c r="H473" s="3"/>
      <c r="I473" s="3" t="s">
        <v>122</v>
      </c>
      <c r="J473" s="3">
        <v>24</v>
      </c>
      <c r="K473" s="3">
        <v>24</v>
      </c>
      <c r="L473" s="3">
        <v>0</v>
      </c>
      <c r="M473" s="3">
        <v>0</v>
      </c>
      <c r="N473" s="3">
        <v>24</v>
      </c>
      <c r="O473" s="3">
        <v>0.09</v>
      </c>
      <c r="P473" s="3">
        <v>0</v>
      </c>
      <c r="Q473" s="3">
        <v>0</v>
      </c>
      <c r="R473" s="3">
        <v>0</v>
      </c>
    </row>
    <row r="474" spans="1:18">
      <c r="A474" s="3" t="s">
        <v>1250</v>
      </c>
      <c r="B474" s="3" t="s">
        <v>1251</v>
      </c>
      <c r="C474" s="3" t="s">
        <v>535</v>
      </c>
      <c r="D474" s="3" t="s">
        <v>784</v>
      </c>
      <c r="E474" s="3" t="s">
        <v>120</v>
      </c>
      <c r="F474" s="3">
        <v>39.98</v>
      </c>
      <c r="G474" s="3" t="s">
        <v>121</v>
      </c>
      <c r="H474" s="3"/>
      <c r="I474" s="3" t="s">
        <v>122</v>
      </c>
      <c r="J474" s="3">
        <v>22</v>
      </c>
      <c r="K474" s="3">
        <v>22</v>
      </c>
      <c r="L474" s="3">
        <v>0</v>
      </c>
      <c r="M474" s="3">
        <v>0</v>
      </c>
      <c r="N474" s="3">
        <v>22</v>
      </c>
      <c r="O474" s="3">
        <v>0.09</v>
      </c>
      <c r="P474" s="3">
        <v>0</v>
      </c>
      <c r="Q474" s="3">
        <v>0</v>
      </c>
      <c r="R474" s="3">
        <v>0</v>
      </c>
    </row>
    <row r="475" spans="1:18">
      <c r="A475" s="3" t="s">
        <v>1252</v>
      </c>
      <c r="B475" s="3" t="s">
        <v>1253</v>
      </c>
      <c r="C475" s="3" t="s">
        <v>537</v>
      </c>
      <c r="D475" s="3" t="s">
        <v>786</v>
      </c>
      <c r="E475" s="3" t="s">
        <v>120</v>
      </c>
      <c r="F475" s="3">
        <v>39.98</v>
      </c>
      <c r="G475" s="3" t="s">
        <v>121</v>
      </c>
      <c r="H475" s="3"/>
      <c r="I475" s="3" t="s">
        <v>122</v>
      </c>
      <c r="J475" s="3">
        <v>29</v>
      </c>
      <c r="K475" s="3">
        <v>29</v>
      </c>
      <c r="L475" s="3">
        <v>0</v>
      </c>
      <c r="M475" s="3">
        <v>0</v>
      </c>
      <c r="N475" s="3">
        <v>29</v>
      </c>
      <c r="O475" s="3">
        <v>0.09</v>
      </c>
      <c r="P475" s="3">
        <v>0</v>
      </c>
      <c r="Q475" s="3">
        <v>0</v>
      </c>
      <c r="R475" s="3">
        <v>0</v>
      </c>
    </row>
    <row r="476" spans="1:18">
      <c r="A476" s="3" t="s">
        <v>1254</v>
      </c>
      <c r="B476" s="3" t="s">
        <v>1255</v>
      </c>
      <c r="C476" s="3" t="s">
        <v>539</v>
      </c>
      <c r="D476" s="3" t="s">
        <v>788</v>
      </c>
      <c r="E476" s="3" t="s">
        <v>120</v>
      </c>
      <c r="F476" s="3">
        <v>39.98</v>
      </c>
      <c r="G476" s="3" t="s">
        <v>121</v>
      </c>
      <c r="H476" s="3"/>
      <c r="I476" s="3" t="s">
        <v>122</v>
      </c>
      <c r="J476" s="3">
        <v>17</v>
      </c>
      <c r="K476" s="3">
        <v>16</v>
      </c>
      <c r="L476" s="3">
        <v>0</v>
      </c>
      <c r="M476" s="3">
        <v>1</v>
      </c>
      <c r="N476" s="3">
        <v>17</v>
      </c>
      <c r="O476" s="3">
        <v>0.09</v>
      </c>
      <c r="P476" s="3">
        <v>0</v>
      </c>
      <c r="Q476" s="3">
        <v>0</v>
      </c>
      <c r="R476" s="3">
        <v>0</v>
      </c>
    </row>
    <row r="477" spans="1:18">
      <c r="A477" s="3" t="s">
        <v>1256</v>
      </c>
      <c r="B477" s="3" t="s">
        <v>1257</v>
      </c>
      <c r="C477" s="3" t="s">
        <v>542</v>
      </c>
      <c r="D477" s="3" t="s">
        <v>790</v>
      </c>
      <c r="E477" s="3" t="s">
        <v>120</v>
      </c>
      <c r="F477" s="3">
        <v>39.98</v>
      </c>
      <c r="G477" s="3" t="s">
        <v>121</v>
      </c>
      <c r="H477" s="3"/>
      <c r="I477" s="3" t="s">
        <v>122</v>
      </c>
      <c r="J477" s="3">
        <v>19</v>
      </c>
      <c r="K477" s="3">
        <v>17</v>
      </c>
      <c r="L477" s="3">
        <v>0</v>
      </c>
      <c r="M477" s="3">
        <v>2</v>
      </c>
      <c r="N477" s="3">
        <v>19</v>
      </c>
      <c r="O477" s="3">
        <v>0.09</v>
      </c>
      <c r="P477" s="3">
        <v>0</v>
      </c>
      <c r="Q477" s="3">
        <v>0</v>
      </c>
      <c r="R477" s="3">
        <v>0</v>
      </c>
    </row>
    <row r="478" spans="1:18">
      <c r="A478" s="3" t="s">
        <v>1258</v>
      </c>
      <c r="B478" s="3" t="s">
        <v>1259</v>
      </c>
      <c r="C478" s="3" t="s">
        <v>545</v>
      </c>
      <c r="D478" s="3" t="s">
        <v>792</v>
      </c>
      <c r="E478" s="3" t="s">
        <v>120</v>
      </c>
      <c r="F478" s="3">
        <v>39.98</v>
      </c>
      <c r="G478" s="3" t="s">
        <v>121</v>
      </c>
      <c r="H478" s="3"/>
      <c r="I478" s="3" t="s">
        <v>122</v>
      </c>
      <c r="J478" s="3">
        <v>35</v>
      </c>
      <c r="K478" s="3">
        <v>33</v>
      </c>
      <c r="L478" s="3">
        <v>0</v>
      </c>
      <c r="M478" s="3">
        <v>2</v>
      </c>
      <c r="N478" s="3">
        <v>35</v>
      </c>
      <c r="O478" s="3">
        <v>0.09</v>
      </c>
      <c r="P478" s="3">
        <v>0</v>
      </c>
      <c r="Q478" s="3">
        <v>0</v>
      </c>
      <c r="R478" s="3">
        <v>0</v>
      </c>
    </row>
    <row r="479" spans="1:18">
      <c r="A479" s="3" t="s">
        <v>1260</v>
      </c>
      <c r="B479" s="3" t="s">
        <v>1261</v>
      </c>
      <c r="C479" s="3" t="s">
        <v>547</v>
      </c>
      <c r="D479" s="3" t="s">
        <v>794</v>
      </c>
      <c r="E479" s="3" t="s">
        <v>120</v>
      </c>
      <c r="F479" s="3">
        <v>39.98</v>
      </c>
      <c r="G479" s="3" t="s">
        <v>121</v>
      </c>
      <c r="H479" s="3"/>
      <c r="I479" s="3" t="s">
        <v>122</v>
      </c>
      <c r="J479" s="3">
        <v>24</v>
      </c>
      <c r="K479" s="3">
        <v>24</v>
      </c>
      <c r="L479" s="3">
        <v>0</v>
      </c>
      <c r="M479" s="3">
        <v>0</v>
      </c>
      <c r="N479" s="3">
        <v>24</v>
      </c>
      <c r="O479" s="3">
        <v>0.09</v>
      </c>
      <c r="P479" s="3">
        <v>0</v>
      </c>
      <c r="Q479" s="3">
        <v>0</v>
      </c>
      <c r="R479" s="3">
        <v>0</v>
      </c>
    </row>
    <row r="480" spans="1:18">
      <c r="A480" s="3" t="s">
        <v>1262</v>
      </c>
      <c r="B480" s="3" t="s">
        <v>1263</v>
      </c>
      <c r="C480" s="3" t="s">
        <v>549</v>
      </c>
      <c r="D480" s="3" t="s">
        <v>796</v>
      </c>
      <c r="E480" s="3" t="s">
        <v>120</v>
      </c>
      <c r="F480" s="3">
        <v>39.98</v>
      </c>
      <c r="G480" s="3" t="s">
        <v>121</v>
      </c>
      <c r="H480" s="3"/>
      <c r="I480" s="3" t="s">
        <v>122</v>
      </c>
      <c r="J480" s="3">
        <v>33</v>
      </c>
      <c r="K480" s="3">
        <v>32</v>
      </c>
      <c r="L480" s="3">
        <v>0</v>
      </c>
      <c r="M480" s="3">
        <v>1</v>
      </c>
      <c r="N480" s="3">
        <v>33</v>
      </c>
      <c r="O480" s="3">
        <v>0.09</v>
      </c>
      <c r="P480" s="3">
        <v>0</v>
      </c>
      <c r="Q480" s="3">
        <v>0</v>
      </c>
      <c r="R480" s="3">
        <v>0</v>
      </c>
    </row>
    <row r="481" spans="1:18">
      <c r="A481" s="3" t="s">
        <v>1264</v>
      </c>
      <c r="B481" s="3" t="s">
        <v>1265</v>
      </c>
      <c r="C481" s="3" t="s">
        <v>552</v>
      </c>
      <c r="D481" s="3" t="s">
        <v>798</v>
      </c>
      <c r="E481" s="3" t="s">
        <v>120</v>
      </c>
      <c r="F481" s="3">
        <v>39.98</v>
      </c>
      <c r="G481" s="3" t="s">
        <v>121</v>
      </c>
      <c r="H481" s="3"/>
      <c r="I481" s="3" t="s">
        <v>122</v>
      </c>
      <c r="J481" s="3">
        <v>18</v>
      </c>
      <c r="K481" s="3">
        <v>18</v>
      </c>
      <c r="L481" s="3">
        <v>0</v>
      </c>
      <c r="M481" s="3">
        <v>0</v>
      </c>
      <c r="N481" s="3">
        <v>18</v>
      </c>
      <c r="O481" s="3">
        <v>0.09</v>
      </c>
      <c r="P481" s="3">
        <v>0</v>
      </c>
      <c r="Q481" s="3">
        <v>0</v>
      </c>
      <c r="R481" s="3">
        <v>0</v>
      </c>
    </row>
    <row r="482" spans="1:18">
      <c r="A482" s="3" t="s">
        <v>1266</v>
      </c>
      <c r="B482" s="3" t="s">
        <v>1267</v>
      </c>
      <c r="C482" s="3" t="s">
        <v>554</v>
      </c>
      <c r="D482" s="3" t="s">
        <v>800</v>
      </c>
      <c r="E482" s="3" t="s">
        <v>120</v>
      </c>
      <c r="F482" s="3">
        <v>39.98</v>
      </c>
      <c r="G482" s="3" t="s">
        <v>121</v>
      </c>
      <c r="H482" s="3"/>
      <c r="I482" s="3" t="s">
        <v>122</v>
      </c>
      <c r="J482" s="3">
        <v>20</v>
      </c>
      <c r="K482" s="3">
        <v>19</v>
      </c>
      <c r="L482" s="3">
        <v>0</v>
      </c>
      <c r="M482" s="3">
        <v>1</v>
      </c>
      <c r="N482" s="3">
        <v>20</v>
      </c>
      <c r="O482" s="3">
        <v>0.09</v>
      </c>
      <c r="P482" s="3">
        <v>0</v>
      </c>
      <c r="Q482" s="3">
        <v>0</v>
      </c>
      <c r="R482" s="3">
        <v>0</v>
      </c>
    </row>
    <row r="483" spans="1:18">
      <c r="A483" s="3" t="s">
        <v>1268</v>
      </c>
      <c r="B483" s="3" t="s">
        <v>1269</v>
      </c>
      <c r="C483" s="3" t="s">
        <v>556</v>
      </c>
      <c r="D483" s="3" t="s">
        <v>802</v>
      </c>
      <c r="E483" s="3" t="s">
        <v>120</v>
      </c>
      <c r="F483" s="3">
        <v>39.98</v>
      </c>
      <c r="G483" s="3" t="s">
        <v>121</v>
      </c>
      <c r="H483" s="3"/>
      <c r="I483" s="3" t="s">
        <v>122</v>
      </c>
      <c r="J483" s="3">
        <v>30</v>
      </c>
      <c r="K483" s="3">
        <v>30</v>
      </c>
      <c r="L483" s="3">
        <v>0</v>
      </c>
      <c r="M483" s="3">
        <v>0</v>
      </c>
      <c r="N483" s="3">
        <v>30</v>
      </c>
      <c r="O483" s="3">
        <v>0.09</v>
      </c>
      <c r="P483" s="3">
        <v>0</v>
      </c>
      <c r="Q483" s="3">
        <v>0</v>
      </c>
      <c r="R483" s="3">
        <v>0</v>
      </c>
    </row>
    <row r="484" spans="1:18">
      <c r="A484" s="3" t="s">
        <v>1270</v>
      </c>
      <c r="B484" s="3" t="s">
        <v>1271</v>
      </c>
      <c r="C484" s="3" t="s">
        <v>587</v>
      </c>
      <c r="D484" s="3" t="s">
        <v>588</v>
      </c>
      <c r="E484" s="3" t="s">
        <v>120</v>
      </c>
      <c r="F484" s="3">
        <v>39.98</v>
      </c>
      <c r="G484" s="3" t="s">
        <v>121</v>
      </c>
      <c r="H484" s="3"/>
      <c r="I484" s="3" t="s">
        <v>122</v>
      </c>
      <c r="J484" s="3">
        <v>30</v>
      </c>
      <c r="K484" s="3">
        <v>30</v>
      </c>
      <c r="L484" s="3">
        <v>0</v>
      </c>
      <c r="M484" s="3">
        <v>0</v>
      </c>
      <c r="N484" s="3">
        <v>30</v>
      </c>
      <c r="O484" s="3">
        <v>0.09</v>
      </c>
      <c r="P484" s="3">
        <v>0</v>
      </c>
      <c r="Q484" s="3">
        <v>0</v>
      </c>
      <c r="R484" s="3">
        <v>0</v>
      </c>
    </row>
    <row r="485" spans="1:18">
      <c r="A485" s="3" t="s">
        <v>1272</v>
      </c>
      <c r="B485" s="3" t="s">
        <v>1273</v>
      </c>
      <c r="C485" s="3" t="s">
        <v>561</v>
      </c>
      <c r="D485" s="3" t="s">
        <v>805</v>
      </c>
      <c r="E485" s="3" t="s">
        <v>120</v>
      </c>
      <c r="F485" s="3">
        <v>39.98</v>
      </c>
      <c r="G485" s="3" t="s">
        <v>121</v>
      </c>
      <c r="H485" s="3"/>
      <c r="I485" s="3" t="s">
        <v>122</v>
      </c>
      <c r="J485" s="3">
        <v>6</v>
      </c>
      <c r="K485" s="3">
        <v>6</v>
      </c>
      <c r="L485" s="3">
        <v>0</v>
      </c>
      <c r="M485" s="3">
        <v>0</v>
      </c>
      <c r="N485" s="3">
        <v>6</v>
      </c>
      <c r="O485" s="3">
        <v>0.09</v>
      </c>
      <c r="P485" s="3">
        <v>0</v>
      </c>
      <c r="Q485" s="3">
        <v>0</v>
      </c>
      <c r="R485" s="3">
        <v>0</v>
      </c>
    </row>
    <row r="486" spans="1:18">
      <c r="A486" s="3" t="s">
        <v>1274</v>
      </c>
      <c r="B486" s="3" t="s">
        <v>1275</v>
      </c>
      <c r="C486" s="3" t="s">
        <v>564</v>
      </c>
      <c r="D486" s="3" t="s">
        <v>807</v>
      </c>
      <c r="E486" s="3" t="s">
        <v>120</v>
      </c>
      <c r="F486" s="3">
        <v>39.98</v>
      </c>
      <c r="G486" s="3" t="s">
        <v>121</v>
      </c>
      <c r="H486" s="3"/>
      <c r="I486" s="3" t="s">
        <v>122</v>
      </c>
      <c r="J486" s="3">
        <v>0</v>
      </c>
      <c r="K486" s="3">
        <v>0</v>
      </c>
      <c r="L486" s="3">
        <v>0</v>
      </c>
      <c r="M486" s="3">
        <v>0</v>
      </c>
      <c r="N486" s="3">
        <v>0</v>
      </c>
      <c r="O486" s="3">
        <v>0.09</v>
      </c>
      <c r="P486" s="3">
        <v>0</v>
      </c>
      <c r="Q486" s="3">
        <v>0</v>
      </c>
      <c r="R486" s="3">
        <v>0</v>
      </c>
    </row>
    <row r="487" spans="1:18">
      <c r="A487" s="3" t="s">
        <v>1276</v>
      </c>
      <c r="B487" s="3" t="s">
        <v>1277</v>
      </c>
      <c r="C487" s="3" t="s">
        <v>566</v>
      </c>
      <c r="D487" s="3" t="s">
        <v>809</v>
      </c>
      <c r="E487" s="3" t="s">
        <v>120</v>
      </c>
      <c r="F487" s="3">
        <v>39.98</v>
      </c>
      <c r="G487" s="3" t="s">
        <v>121</v>
      </c>
      <c r="H487" s="3"/>
      <c r="I487" s="3" t="s">
        <v>122</v>
      </c>
      <c r="J487" s="3">
        <v>3</v>
      </c>
      <c r="K487" s="3">
        <v>3</v>
      </c>
      <c r="L487" s="3">
        <v>0</v>
      </c>
      <c r="M487" s="3">
        <v>0</v>
      </c>
      <c r="N487" s="3">
        <v>3</v>
      </c>
      <c r="O487" s="3">
        <v>0.09</v>
      </c>
      <c r="P487" s="3">
        <v>0</v>
      </c>
      <c r="Q487" s="3">
        <v>0</v>
      </c>
      <c r="R487" s="3">
        <v>0</v>
      </c>
    </row>
    <row r="488" spans="1:18">
      <c r="A488" s="3" t="s">
        <v>1278</v>
      </c>
      <c r="B488" s="3" t="s">
        <v>1279</v>
      </c>
      <c r="C488" s="3" t="s">
        <v>568</v>
      </c>
      <c r="D488" s="3" t="s">
        <v>811</v>
      </c>
      <c r="E488" s="3" t="s">
        <v>120</v>
      </c>
      <c r="F488" s="3">
        <v>39.98</v>
      </c>
      <c r="G488" s="3" t="s">
        <v>121</v>
      </c>
      <c r="H488" s="3"/>
      <c r="I488" s="3" t="s">
        <v>122</v>
      </c>
      <c r="J488" s="3">
        <v>9</v>
      </c>
      <c r="K488" s="3">
        <v>9</v>
      </c>
      <c r="L488" s="3">
        <v>0</v>
      </c>
      <c r="M488" s="3">
        <v>0</v>
      </c>
      <c r="N488" s="3">
        <v>9</v>
      </c>
      <c r="O488" s="3">
        <v>0.09</v>
      </c>
      <c r="P488" s="3">
        <v>0</v>
      </c>
      <c r="Q488" s="3">
        <v>0</v>
      </c>
      <c r="R488" s="3">
        <v>0</v>
      </c>
    </row>
    <row r="489" spans="1:18">
      <c r="A489" s="3" t="s">
        <v>1280</v>
      </c>
      <c r="B489" s="3" t="s">
        <v>1281</v>
      </c>
      <c r="C489" s="3" t="s">
        <v>570</v>
      </c>
      <c r="D489" s="3" t="s">
        <v>813</v>
      </c>
      <c r="E489" s="3" t="s">
        <v>120</v>
      </c>
      <c r="F489" s="3">
        <v>39.98</v>
      </c>
      <c r="G489" s="3" t="s">
        <v>121</v>
      </c>
      <c r="H489" s="3"/>
      <c r="I489" s="3" t="s">
        <v>122</v>
      </c>
      <c r="J489" s="3">
        <v>2</v>
      </c>
      <c r="K489" s="3">
        <v>2</v>
      </c>
      <c r="L489" s="3">
        <v>0</v>
      </c>
      <c r="M489" s="3">
        <v>0</v>
      </c>
      <c r="N489" s="3">
        <v>2</v>
      </c>
      <c r="O489" s="3">
        <v>0.09</v>
      </c>
      <c r="P489" s="3">
        <v>0</v>
      </c>
      <c r="Q489" s="3">
        <v>0</v>
      </c>
      <c r="R489" s="3">
        <v>0</v>
      </c>
    </row>
    <row r="490" spans="1:18">
      <c r="A490" s="3" t="s">
        <v>1282</v>
      </c>
      <c r="B490" s="3" t="s">
        <v>1283</v>
      </c>
      <c r="C490" s="3" t="s">
        <v>573</v>
      </c>
      <c r="D490" s="3" t="s">
        <v>815</v>
      </c>
      <c r="E490" s="3" t="s">
        <v>120</v>
      </c>
      <c r="F490" s="3">
        <v>39.98</v>
      </c>
      <c r="G490" s="3" t="s">
        <v>121</v>
      </c>
      <c r="H490" s="3"/>
      <c r="I490" s="3" t="s">
        <v>122</v>
      </c>
      <c r="J490" s="3">
        <v>7</v>
      </c>
      <c r="K490" s="3">
        <v>7</v>
      </c>
      <c r="L490" s="3">
        <v>0</v>
      </c>
      <c r="M490" s="3">
        <v>0</v>
      </c>
      <c r="N490" s="3">
        <v>7</v>
      </c>
      <c r="O490" s="3">
        <v>0.09</v>
      </c>
      <c r="P490" s="3">
        <v>0</v>
      </c>
      <c r="Q490" s="3">
        <v>0</v>
      </c>
      <c r="R490" s="3">
        <v>0</v>
      </c>
    </row>
    <row r="491" spans="1:18">
      <c r="A491" s="3" t="s">
        <v>1284</v>
      </c>
      <c r="B491" s="3" t="s">
        <v>1285</v>
      </c>
      <c r="C491" s="3" t="s">
        <v>576</v>
      </c>
      <c r="D491" s="3" t="s">
        <v>817</v>
      </c>
      <c r="E491" s="3" t="s">
        <v>120</v>
      </c>
      <c r="F491" s="3">
        <v>39.98</v>
      </c>
      <c r="G491" s="3" t="s">
        <v>121</v>
      </c>
      <c r="H491" s="3"/>
      <c r="I491" s="3" t="s">
        <v>122</v>
      </c>
      <c r="J491" s="3">
        <v>0</v>
      </c>
      <c r="K491" s="3">
        <v>0</v>
      </c>
      <c r="L491" s="3">
        <v>0</v>
      </c>
      <c r="M491" s="3">
        <v>0</v>
      </c>
      <c r="N491" s="3">
        <v>0</v>
      </c>
      <c r="O491" s="3">
        <v>0.09</v>
      </c>
      <c r="P491" s="3">
        <v>0</v>
      </c>
      <c r="Q491" s="3">
        <v>0</v>
      </c>
      <c r="R491" s="3">
        <v>0</v>
      </c>
    </row>
    <row r="492" spans="1:18">
      <c r="A492" s="3" t="s">
        <v>1286</v>
      </c>
      <c r="B492" s="3" t="s">
        <v>1287</v>
      </c>
      <c r="C492" s="3" t="s">
        <v>579</v>
      </c>
      <c r="D492" s="3" t="s">
        <v>819</v>
      </c>
      <c r="E492" s="3" t="s">
        <v>120</v>
      </c>
      <c r="F492" s="3">
        <v>39.98</v>
      </c>
      <c r="G492" s="3" t="s">
        <v>121</v>
      </c>
      <c r="H492" s="3"/>
      <c r="I492" s="3" t="s">
        <v>122</v>
      </c>
      <c r="J492" s="3">
        <v>2</v>
      </c>
      <c r="K492" s="3">
        <v>2</v>
      </c>
      <c r="L492" s="3">
        <v>0</v>
      </c>
      <c r="M492" s="3">
        <v>0</v>
      </c>
      <c r="N492" s="3">
        <v>2</v>
      </c>
      <c r="O492" s="3">
        <v>0.09</v>
      </c>
      <c r="P492" s="3">
        <v>0</v>
      </c>
      <c r="Q492" s="3">
        <v>0</v>
      </c>
      <c r="R492" s="3">
        <v>0</v>
      </c>
    </row>
    <row r="493" spans="1:18">
      <c r="A493" s="3" t="s">
        <v>1288</v>
      </c>
      <c r="B493" s="3" t="s">
        <v>1289</v>
      </c>
      <c r="C493" s="3" t="s">
        <v>581</v>
      </c>
      <c r="D493" s="3" t="s">
        <v>821</v>
      </c>
      <c r="E493" s="3" t="s">
        <v>120</v>
      </c>
      <c r="F493" s="3">
        <v>39.98</v>
      </c>
      <c r="G493" s="3" t="s">
        <v>121</v>
      </c>
      <c r="H493" s="3"/>
      <c r="I493" s="3" t="s">
        <v>122</v>
      </c>
      <c r="J493" s="3">
        <v>9</v>
      </c>
      <c r="K493" s="3">
        <v>9</v>
      </c>
      <c r="L493" s="3">
        <v>0</v>
      </c>
      <c r="M493" s="3">
        <v>0</v>
      </c>
      <c r="N493" s="3">
        <v>9</v>
      </c>
      <c r="O493" s="3">
        <v>0.09</v>
      </c>
      <c r="P493" s="3">
        <v>0</v>
      </c>
      <c r="Q493" s="3">
        <v>0</v>
      </c>
      <c r="R493" s="3">
        <v>0</v>
      </c>
    </row>
    <row r="494" spans="1:18">
      <c r="A494" s="3" t="s">
        <v>1290</v>
      </c>
      <c r="B494" s="3" t="s">
        <v>1291</v>
      </c>
      <c r="C494" s="3" t="s">
        <v>584</v>
      </c>
      <c r="D494" s="3" t="s">
        <v>823</v>
      </c>
      <c r="E494" s="3" t="s">
        <v>120</v>
      </c>
      <c r="F494" s="3">
        <v>39.98</v>
      </c>
      <c r="G494" s="3" t="s">
        <v>121</v>
      </c>
      <c r="H494" s="3"/>
      <c r="I494" s="3" t="s">
        <v>122</v>
      </c>
      <c r="J494" s="3">
        <v>2</v>
      </c>
      <c r="K494" s="3">
        <v>2</v>
      </c>
      <c r="L494" s="3">
        <v>0</v>
      </c>
      <c r="M494" s="3">
        <v>0</v>
      </c>
      <c r="N494" s="3">
        <v>2</v>
      </c>
      <c r="O494" s="3">
        <v>0.09</v>
      </c>
      <c r="P494" s="3">
        <v>0</v>
      </c>
      <c r="Q494" s="3">
        <v>0</v>
      </c>
      <c r="R494" s="3">
        <v>0</v>
      </c>
    </row>
    <row r="495" spans="1:18">
      <c r="A495" s="3" t="s">
        <v>1292</v>
      </c>
      <c r="B495" s="3" t="s">
        <v>1293</v>
      </c>
      <c r="C495" s="3" t="s">
        <v>1294</v>
      </c>
      <c r="D495" s="3" t="s">
        <v>368</v>
      </c>
      <c r="E495" s="3" t="s">
        <v>120</v>
      </c>
      <c r="F495" s="3">
        <v>39.98</v>
      </c>
      <c r="G495" s="3" t="s">
        <v>121</v>
      </c>
      <c r="H495" s="3"/>
      <c r="I495" s="3" t="s">
        <v>122</v>
      </c>
      <c r="J495" s="3">
        <v>0</v>
      </c>
      <c r="K495" s="3">
        <v>0</v>
      </c>
      <c r="L495" s="3">
        <v>0</v>
      </c>
      <c r="M495" s="3">
        <v>0</v>
      </c>
      <c r="N495" s="3">
        <v>0</v>
      </c>
      <c r="O495" s="3">
        <v>0.12</v>
      </c>
      <c r="P495" s="3">
        <v>0</v>
      </c>
      <c r="Q495" s="3">
        <v>0</v>
      </c>
      <c r="R495" s="3">
        <v>0</v>
      </c>
    </row>
    <row r="496" spans="1:18">
      <c r="A496" s="3" t="s">
        <v>1295</v>
      </c>
      <c r="B496" s="3" t="s">
        <v>1296</v>
      </c>
      <c r="C496" s="3" t="s">
        <v>1297</v>
      </c>
      <c r="D496" s="3" t="s">
        <v>1298</v>
      </c>
      <c r="E496" s="3" t="s">
        <v>120</v>
      </c>
      <c r="F496" s="3">
        <v>39.98</v>
      </c>
      <c r="G496" s="3" t="s">
        <v>121</v>
      </c>
      <c r="H496" s="3"/>
      <c r="I496" s="3" t="s">
        <v>122</v>
      </c>
      <c r="J496" s="3">
        <v>0</v>
      </c>
      <c r="K496" s="3">
        <v>0</v>
      </c>
      <c r="L496" s="3">
        <v>0</v>
      </c>
      <c r="M496" s="3">
        <v>0</v>
      </c>
      <c r="N496" s="3">
        <v>0</v>
      </c>
      <c r="O496" s="3">
        <v>0.12</v>
      </c>
      <c r="P496" s="3">
        <v>0</v>
      </c>
      <c r="Q496" s="3">
        <v>0</v>
      </c>
      <c r="R496" s="3">
        <v>0</v>
      </c>
    </row>
    <row r="497" spans="1:18">
      <c r="A497" s="3" t="s">
        <v>1299</v>
      </c>
      <c r="B497" s="3" t="s">
        <v>1300</v>
      </c>
      <c r="C497" s="3" t="s">
        <v>1301</v>
      </c>
      <c r="D497" s="3" t="s">
        <v>1302</v>
      </c>
      <c r="E497" s="3" t="s">
        <v>120</v>
      </c>
      <c r="F497" s="3">
        <v>39.98</v>
      </c>
      <c r="G497" s="3" t="s">
        <v>121</v>
      </c>
      <c r="H497" s="3"/>
      <c r="I497" s="3" t="s">
        <v>122</v>
      </c>
      <c r="J497" s="3">
        <v>0</v>
      </c>
      <c r="K497" s="3">
        <v>0</v>
      </c>
      <c r="L497" s="3">
        <v>0</v>
      </c>
      <c r="M497" s="3">
        <v>0</v>
      </c>
      <c r="N497" s="3">
        <v>0</v>
      </c>
      <c r="O497" s="3">
        <v>0.12</v>
      </c>
      <c r="P497" s="3">
        <v>0</v>
      </c>
      <c r="Q497" s="3">
        <v>0</v>
      </c>
      <c r="R497" s="3">
        <v>0</v>
      </c>
    </row>
    <row r="498" spans="1:18">
      <c r="A498" s="3" t="s">
        <v>1303</v>
      </c>
      <c r="B498" s="3" t="s">
        <v>1304</v>
      </c>
      <c r="C498" s="3" t="s">
        <v>1305</v>
      </c>
      <c r="D498" s="3" t="s">
        <v>1306</v>
      </c>
      <c r="E498" s="3" t="s">
        <v>120</v>
      </c>
      <c r="F498" s="3">
        <v>39.98</v>
      </c>
      <c r="G498" s="3" t="s">
        <v>121</v>
      </c>
      <c r="H498" s="3"/>
      <c r="I498" s="3" t="s">
        <v>122</v>
      </c>
      <c r="J498" s="3">
        <v>0</v>
      </c>
      <c r="K498" s="3">
        <v>0</v>
      </c>
      <c r="L498" s="3">
        <v>0</v>
      </c>
      <c r="M498" s="3">
        <v>0</v>
      </c>
      <c r="N498" s="3">
        <v>0</v>
      </c>
      <c r="O498" s="3">
        <v>0.12</v>
      </c>
      <c r="P498" s="3">
        <v>0</v>
      </c>
      <c r="Q498" s="3">
        <v>0</v>
      </c>
      <c r="R498" s="3">
        <v>0</v>
      </c>
    </row>
    <row r="499" spans="1:18">
      <c r="A499" s="3" t="s">
        <v>1307</v>
      </c>
      <c r="B499" s="3" t="s">
        <v>1308</v>
      </c>
      <c r="C499" s="3" t="s">
        <v>1309</v>
      </c>
      <c r="D499" s="3" t="s">
        <v>1310</v>
      </c>
      <c r="E499" s="3" t="s">
        <v>120</v>
      </c>
      <c r="F499" s="3">
        <v>39.98</v>
      </c>
      <c r="G499" s="3" t="s">
        <v>121</v>
      </c>
      <c r="H499" s="3"/>
      <c r="I499" s="3" t="s">
        <v>122</v>
      </c>
      <c r="J499" s="3">
        <v>0</v>
      </c>
      <c r="K499" s="3">
        <v>0</v>
      </c>
      <c r="L499" s="3">
        <v>0</v>
      </c>
      <c r="M499" s="3">
        <v>0</v>
      </c>
      <c r="N499" s="3">
        <v>0</v>
      </c>
      <c r="O499" s="3">
        <v>0.12</v>
      </c>
      <c r="P499" s="3">
        <v>0</v>
      </c>
      <c r="Q499" s="3">
        <v>0</v>
      </c>
      <c r="R499" s="3">
        <v>0</v>
      </c>
    </row>
    <row r="500" spans="1:18">
      <c r="A500" s="3" t="s">
        <v>1311</v>
      </c>
      <c r="B500" s="3" t="s">
        <v>1312</v>
      </c>
      <c r="C500" s="3" t="s">
        <v>1313</v>
      </c>
      <c r="D500" s="3" t="s">
        <v>1314</v>
      </c>
      <c r="E500" s="3" t="s">
        <v>120</v>
      </c>
      <c r="F500" s="3">
        <v>23.98</v>
      </c>
      <c r="G500" s="3" t="s">
        <v>121</v>
      </c>
      <c r="H500" s="3"/>
      <c r="I500" s="3" t="s">
        <v>122</v>
      </c>
      <c r="J500" s="3">
        <v>0</v>
      </c>
      <c r="K500" s="3">
        <v>0</v>
      </c>
      <c r="L500" s="3">
        <v>0</v>
      </c>
      <c r="M500" s="3">
        <v>0</v>
      </c>
      <c r="N500" s="3">
        <v>0</v>
      </c>
      <c r="O500" s="3">
        <v>0.05</v>
      </c>
      <c r="P500" s="3">
        <v>0</v>
      </c>
      <c r="Q500" s="3">
        <v>0</v>
      </c>
      <c r="R500" s="3">
        <v>0</v>
      </c>
    </row>
    <row r="501" spans="1:18">
      <c r="A501" s="3" t="s">
        <v>1315</v>
      </c>
      <c r="B501" s="3" t="s">
        <v>1316</v>
      </c>
      <c r="C501" s="3" t="s">
        <v>1317</v>
      </c>
      <c r="D501" s="3" t="s">
        <v>1318</v>
      </c>
      <c r="E501" s="3" t="s">
        <v>120</v>
      </c>
      <c r="F501" s="3">
        <v>23.98</v>
      </c>
      <c r="G501" s="3" t="s">
        <v>121</v>
      </c>
      <c r="H501" s="3"/>
      <c r="I501" s="3" t="s">
        <v>122</v>
      </c>
      <c r="J501" s="3">
        <v>0</v>
      </c>
      <c r="K501" s="3">
        <v>0</v>
      </c>
      <c r="L501" s="3">
        <v>0</v>
      </c>
      <c r="M501" s="3">
        <v>0</v>
      </c>
      <c r="N501" s="3">
        <v>0</v>
      </c>
      <c r="O501" s="3">
        <v>0.12</v>
      </c>
      <c r="P501" s="3">
        <v>0</v>
      </c>
      <c r="Q501" s="3">
        <v>0</v>
      </c>
      <c r="R501" s="3">
        <v>0</v>
      </c>
    </row>
    <row r="502" spans="1:18">
      <c r="A502" s="3" t="s">
        <v>1319</v>
      </c>
      <c r="B502" s="3" t="s">
        <v>1320</v>
      </c>
      <c r="C502" s="3" t="s">
        <v>1321</v>
      </c>
      <c r="D502" s="3" t="s">
        <v>1322</v>
      </c>
      <c r="E502" s="3" t="s">
        <v>120</v>
      </c>
      <c r="F502" s="3">
        <v>23.98</v>
      </c>
      <c r="G502" s="3" t="s">
        <v>121</v>
      </c>
      <c r="H502" s="3"/>
      <c r="I502" s="3" t="s">
        <v>122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0.05</v>
      </c>
      <c r="P502" s="3">
        <v>0</v>
      </c>
      <c r="Q502" s="3">
        <v>0</v>
      </c>
      <c r="R502" s="3">
        <v>0</v>
      </c>
    </row>
    <row r="503" spans="1:18">
      <c r="A503" s="3" t="s">
        <v>1323</v>
      </c>
      <c r="B503" s="3" t="s">
        <v>1324</v>
      </c>
      <c r="C503" s="3" t="s">
        <v>1325</v>
      </c>
      <c r="D503" s="3" t="s">
        <v>1326</v>
      </c>
      <c r="E503" s="3" t="s">
        <v>120</v>
      </c>
      <c r="F503" s="3">
        <v>23.98</v>
      </c>
      <c r="G503" s="3" t="s">
        <v>122</v>
      </c>
      <c r="H503" s="3">
        <v>1</v>
      </c>
      <c r="I503" s="3" t="s">
        <v>121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0.05</v>
      </c>
      <c r="P503" s="3">
        <v>0</v>
      </c>
      <c r="Q503" s="3">
        <v>0</v>
      </c>
      <c r="R503" s="3">
        <v>0</v>
      </c>
    </row>
    <row r="504" spans="1:18">
      <c r="A504" s="3" t="s">
        <v>1327</v>
      </c>
      <c r="B504" s="3" t="s">
        <v>1328</v>
      </c>
      <c r="C504" s="3" t="s">
        <v>1329</v>
      </c>
      <c r="D504" s="3" t="s">
        <v>1330</v>
      </c>
      <c r="E504" s="3" t="s">
        <v>120</v>
      </c>
      <c r="F504" s="3">
        <v>23.98</v>
      </c>
      <c r="G504" s="3" t="s">
        <v>122</v>
      </c>
      <c r="H504" s="3">
        <v>2</v>
      </c>
      <c r="I504" s="3" t="s">
        <v>121</v>
      </c>
      <c r="J504" s="3">
        <v>0</v>
      </c>
      <c r="K504" s="3">
        <v>0</v>
      </c>
      <c r="L504" s="3">
        <v>0</v>
      </c>
      <c r="M504" s="3">
        <v>0</v>
      </c>
      <c r="N504" s="3">
        <v>0</v>
      </c>
      <c r="O504" s="3">
        <v>0.05</v>
      </c>
      <c r="P504" s="3">
        <v>0</v>
      </c>
      <c r="Q504" s="3">
        <v>0</v>
      </c>
      <c r="R504" s="3">
        <v>0</v>
      </c>
    </row>
    <row r="505" spans="1:18">
      <c r="A505" s="3" t="s">
        <v>1331</v>
      </c>
      <c r="B505" s="3" t="s">
        <v>1332</v>
      </c>
      <c r="C505" s="3" t="s">
        <v>1333</v>
      </c>
      <c r="D505" s="3" t="s">
        <v>1334</v>
      </c>
      <c r="E505" s="3" t="s">
        <v>120</v>
      </c>
      <c r="F505" s="3">
        <v>17.98</v>
      </c>
      <c r="G505" s="3" t="s">
        <v>121</v>
      </c>
      <c r="H505" s="3"/>
      <c r="I505" s="3" t="s">
        <v>122</v>
      </c>
      <c r="J505" s="3">
        <v>37</v>
      </c>
      <c r="K505" s="3">
        <v>37</v>
      </c>
      <c r="L505" s="3">
        <v>0</v>
      </c>
      <c r="M505" s="3">
        <v>0</v>
      </c>
      <c r="N505" s="3">
        <v>37</v>
      </c>
      <c r="O505" s="3">
        <v>0.05</v>
      </c>
      <c r="P505" s="3">
        <v>0</v>
      </c>
      <c r="Q505" s="3">
        <v>0</v>
      </c>
      <c r="R505" s="3">
        <v>0</v>
      </c>
    </row>
    <row r="506" spans="1:18">
      <c r="A506" s="3" t="s">
        <v>1335</v>
      </c>
      <c r="B506" s="3" t="s">
        <v>1336</v>
      </c>
      <c r="C506" s="3" t="s">
        <v>1337</v>
      </c>
      <c r="D506" s="3" t="s">
        <v>1338</v>
      </c>
      <c r="E506" s="3" t="s">
        <v>120</v>
      </c>
      <c r="F506" s="3">
        <v>23.98</v>
      </c>
      <c r="G506" s="3" t="s">
        <v>121</v>
      </c>
      <c r="H506" s="3"/>
      <c r="I506" s="3" t="s">
        <v>122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0.05</v>
      </c>
      <c r="P506" s="3">
        <v>0</v>
      </c>
      <c r="Q506" s="3">
        <v>0</v>
      </c>
      <c r="R506" s="3">
        <v>0</v>
      </c>
    </row>
    <row r="507" spans="1:18">
      <c r="A507" s="3" t="s">
        <v>1339</v>
      </c>
      <c r="B507" s="3" t="s">
        <v>1340</v>
      </c>
      <c r="C507" s="3" t="s">
        <v>1341</v>
      </c>
      <c r="D507" s="3"/>
      <c r="E507" s="3" t="s">
        <v>20</v>
      </c>
      <c r="F507" s="3"/>
      <c r="G507" s="3"/>
      <c r="H507" s="3"/>
      <c r="I507" s="3"/>
      <c r="J507" s="3">
        <v>0</v>
      </c>
      <c r="K507" s="3">
        <v>0</v>
      </c>
      <c r="L507" s="3">
        <v>0</v>
      </c>
      <c r="M507" s="3">
        <v>0</v>
      </c>
      <c r="N507" s="3">
        <v>0</v>
      </c>
      <c r="O507" s="3"/>
      <c r="P507" s="3">
        <v>0</v>
      </c>
      <c r="Q507" s="3">
        <v>0</v>
      </c>
      <c r="R507" s="3">
        <v>0</v>
      </c>
    </row>
    <row r="508" spans="1:18">
      <c r="A508" s="3" t="s">
        <v>1342</v>
      </c>
      <c r="B508" s="3" t="s">
        <v>1343</v>
      </c>
      <c r="C508" s="3" t="s">
        <v>1344</v>
      </c>
      <c r="D508" s="3" t="s">
        <v>1345</v>
      </c>
      <c r="E508" s="3" t="s">
        <v>120</v>
      </c>
      <c r="F508" s="3">
        <v>23.98</v>
      </c>
      <c r="G508" s="3" t="s">
        <v>121</v>
      </c>
      <c r="H508" s="3"/>
      <c r="I508" s="3" t="s">
        <v>122</v>
      </c>
      <c r="J508" s="3">
        <v>20</v>
      </c>
      <c r="K508" s="3">
        <v>10</v>
      </c>
      <c r="L508" s="3">
        <v>0</v>
      </c>
      <c r="M508" s="3">
        <v>10</v>
      </c>
      <c r="N508" s="3">
        <v>140</v>
      </c>
      <c r="O508" s="3">
        <v>0.05</v>
      </c>
      <c r="P508" s="3">
        <v>0</v>
      </c>
      <c r="Q508" s="3">
        <v>90</v>
      </c>
      <c r="R508" s="3">
        <v>30</v>
      </c>
    </row>
    <row r="509" spans="1:18">
      <c r="A509" s="3" t="s">
        <v>1346</v>
      </c>
      <c r="B509" s="3" t="s">
        <v>1347</v>
      </c>
      <c r="C509" s="3" t="s">
        <v>1348</v>
      </c>
      <c r="D509" s="3" t="s">
        <v>1349</v>
      </c>
      <c r="E509" s="3" t="s">
        <v>120</v>
      </c>
      <c r="F509" s="3">
        <v>23.98</v>
      </c>
      <c r="G509" s="3" t="s">
        <v>121</v>
      </c>
      <c r="H509" s="3"/>
      <c r="I509" s="3" t="s">
        <v>122</v>
      </c>
      <c r="J509" s="3">
        <v>0</v>
      </c>
      <c r="K509" s="3">
        <v>0</v>
      </c>
      <c r="L509" s="3">
        <v>0</v>
      </c>
      <c r="M509" s="3">
        <v>0</v>
      </c>
      <c r="N509" s="3">
        <v>75</v>
      </c>
      <c r="O509" s="3">
        <v>0.05</v>
      </c>
      <c r="P509" s="3">
        <v>0</v>
      </c>
      <c r="Q509" s="3">
        <v>75</v>
      </c>
      <c r="R509" s="3">
        <v>0</v>
      </c>
    </row>
    <row r="510" spans="1:18">
      <c r="A510" s="3" t="s">
        <v>1350</v>
      </c>
      <c r="B510" s="3" t="s">
        <v>1351</v>
      </c>
      <c r="C510" s="3" t="s">
        <v>1352</v>
      </c>
      <c r="D510" s="3" t="s">
        <v>1353</v>
      </c>
      <c r="E510" s="3" t="s">
        <v>120</v>
      </c>
      <c r="F510" s="3">
        <v>23.98</v>
      </c>
      <c r="G510" s="3" t="s">
        <v>121</v>
      </c>
      <c r="H510" s="3"/>
      <c r="I510" s="3" t="s">
        <v>122</v>
      </c>
      <c r="J510" s="3">
        <v>40</v>
      </c>
      <c r="K510" s="3">
        <v>38</v>
      </c>
      <c r="L510" s="3">
        <v>0</v>
      </c>
      <c r="M510" s="3">
        <v>2</v>
      </c>
      <c r="N510" s="3">
        <v>80</v>
      </c>
      <c r="O510" s="3">
        <v>0.05</v>
      </c>
      <c r="P510" s="3">
        <v>0</v>
      </c>
      <c r="Q510" s="3">
        <v>40</v>
      </c>
      <c r="R510" s="3">
        <v>0</v>
      </c>
    </row>
    <row r="511" spans="1:18">
      <c r="A511" s="3" t="s">
        <v>1354</v>
      </c>
      <c r="B511" s="3" t="s">
        <v>1355</v>
      </c>
      <c r="C511" s="3" t="s">
        <v>1356</v>
      </c>
      <c r="D511" s="3" t="s">
        <v>1357</v>
      </c>
      <c r="E511" s="3" t="s">
        <v>120</v>
      </c>
      <c r="F511" s="3">
        <v>23.98</v>
      </c>
      <c r="G511" s="3" t="s">
        <v>121</v>
      </c>
      <c r="H511" s="3"/>
      <c r="I511" s="3" t="s">
        <v>122</v>
      </c>
      <c r="J511" s="3">
        <v>18</v>
      </c>
      <c r="K511" s="3">
        <v>18</v>
      </c>
      <c r="L511" s="3">
        <v>0</v>
      </c>
      <c r="M511" s="3">
        <v>0</v>
      </c>
      <c r="N511" s="3">
        <v>33</v>
      </c>
      <c r="O511" s="3">
        <v>0.12</v>
      </c>
      <c r="P511" s="3">
        <v>0</v>
      </c>
      <c r="Q511" s="3">
        <v>15</v>
      </c>
      <c r="R511" s="3">
        <v>0</v>
      </c>
    </row>
    <row r="512" spans="1:18">
      <c r="A512" s="3" t="s">
        <v>1358</v>
      </c>
      <c r="B512" s="3" t="s">
        <v>1359</v>
      </c>
      <c r="C512" s="3" t="s">
        <v>1360</v>
      </c>
      <c r="D512" s="3" t="s">
        <v>1361</v>
      </c>
      <c r="E512" s="3" t="s">
        <v>120</v>
      </c>
      <c r="F512" s="3">
        <v>39.98</v>
      </c>
      <c r="G512" s="3" t="s">
        <v>121</v>
      </c>
      <c r="H512" s="3"/>
      <c r="I512" s="3" t="s">
        <v>122</v>
      </c>
      <c r="J512" s="3">
        <v>0</v>
      </c>
      <c r="K512" s="3">
        <v>0</v>
      </c>
      <c r="L512" s="3">
        <v>0</v>
      </c>
      <c r="M512" s="3">
        <v>0</v>
      </c>
      <c r="N512" s="3">
        <v>0</v>
      </c>
      <c r="O512" s="3">
        <v>0.12</v>
      </c>
      <c r="P512" s="3">
        <v>0</v>
      </c>
      <c r="Q512" s="3">
        <v>0</v>
      </c>
      <c r="R512" s="3">
        <v>0</v>
      </c>
    </row>
    <row r="513" spans="1:18">
      <c r="A513" s="3" t="s">
        <v>1362</v>
      </c>
      <c r="B513" s="3" t="s">
        <v>1363</v>
      </c>
      <c r="C513" s="3" t="s">
        <v>1364</v>
      </c>
      <c r="D513" s="3" t="s">
        <v>1365</v>
      </c>
      <c r="E513" s="3" t="s">
        <v>120</v>
      </c>
      <c r="F513" s="3">
        <v>23.98</v>
      </c>
      <c r="G513" s="3" t="s">
        <v>121</v>
      </c>
      <c r="H513" s="3"/>
      <c r="I513" s="3" t="s">
        <v>122</v>
      </c>
      <c r="J513" s="3">
        <v>0</v>
      </c>
      <c r="K513" s="3">
        <v>0</v>
      </c>
      <c r="L513" s="3">
        <v>0</v>
      </c>
      <c r="M513" s="3">
        <v>0</v>
      </c>
      <c r="N513" s="3">
        <v>0</v>
      </c>
      <c r="O513" s="3">
        <v>0.12</v>
      </c>
      <c r="P513" s="3">
        <v>0</v>
      </c>
      <c r="Q513" s="3">
        <v>0</v>
      </c>
      <c r="R513" s="3">
        <v>0</v>
      </c>
    </row>
    <row r="514" spans="1:18">
      <c r="A514" s="3" t="s">
        <v>1366</v>
      </c>
      <c r="B514" s="3" t="s">
        <v>1367</v>
      </c>
      <c r="C514" s="3" t="s">
        <v>1368</v>
      </c>
      <c r="D514" s="3" t="s">
        <v>1369</v>
      </c>
      <c r="E514" s="3" t="s">
        <v>120</v>
      </c>
      <c r="F514" s="3">
        <v>23.98</v>
      </c>
      <c r="G514" s="3" t="s">
        <v>121</v>
      </c>
      <c r="H514" s="3"/>
      <c r="I514" s="3" t="s">
        <v>122</v>
      </c>
      <c r="J514" s="3">
        <v>0</v>
      </c>
      <c r="K514" s="3">
        <v>0</v>
      </c>
      <c r="L514" s="3">
        <v>0</v>
      </c>
      <c r="M514" s="3">
        <v>0</v>
      </c>
      <c r="N514" s="3">
        <v>0</v>
      </c>
      <c r="O514" s="3">
        <v>0.12</v>
      </c>
      <c r="P514" s="3">
        <v>0</v>
      </c>
      <c r="Q514" s="3">
        <v>0</v>
      </c>
      <c r="R514" s="3">
        <v>0</v>
      </c>
    </row>
    <row r="515" spans="1:18">
      <c r="A515" s="3" t="s">
        <v>1370</v>
      </c>
      <c r="B515" s="3" t="s">
        <v>1371</v>
      </c>
      <c r="C515" s="3" t="s">
        <v>1372</v>
      </c>
      <c r="D515" s="3" t="s">
        <v>1373</v>
      </c>
      <c r="E515" s="3" t="s">
        <v>120</v>
      </c>
      <c r="F515" s="3">
        <v>23.98</v>
      </c>
      <c r="G515" s="3" t="s">
        <v>121</v>
      </c>
      <c r="H515" s="3"/>
      <c r="I515" s="3" t="s">
        <v>122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0.12</v>
      </c>
      <c r="P515" s="3">
        <v>0</v>
      </c>
      <c r="Q515" s="3">
        <v>0</v>
      </c>
      <c r="R515" s="3">
        <v>0</v>
      </c>
    </row>
    <row r="516" spans="1:18">
      <c r="A516" s="3" t="s">
        <v>1374</v>
      </c>
      <c r="B516" s="3" t="s">
        <v>1375</v>
      </c>
      <c r="C516" s="3" t="s">
        <v>1376</v>
      </c>
      <c r="D516" s="3" t="s">
        <v>1377</v>
      </c>
      <c r="E516" s="3" t="s">
        <v>120</v>
      </c>
      <c r="F516" s="3">
        <v>23.98</v>
      </c>
      <c r="G516" s="3" t="s">
        <v>121</v>
      </c>
      <c r="H516" s="3"/>
      <c r="I516" s="3" t="s">
        <v>122</v>
      </c>
      <c r="J516" s="3">
        <v>2</v>
      </c>
      <c r="K516" s="3">
        <v>0</v>
      </c>
      <c r="L516" s="3">
        <v>0</v>
      </c>
      <c r="M516" s="3">
        <v>2</v>
      </c>
      <c r="N516" s="3">
        <v>22</v>
      </c>
      <c r="O516" s="3">
        <v>0.12</v>
      </c>
      <c r="P516" s="3">
        <v>0</v>
      </c>
      <c r="Q516" s="3">
        <v>0</v>
      </c>
      <c r="R516" s="3">
        <v>20</v>
      </c>
    </row>
    <row r="517" spans="1:18">
      <c r="A517" s="3" t="s">
        <v>1378</v>
      </c>
      <c r="B517" s="3" t="s">
        <v>1379</v>
      </c>
      <c r="C517" s="3" t="s">
        <v>1380</v>
      </c>
      <c r="D517" s="3" t="s">
        <v>1381</v>
      </c>
      <c r="E517" s="3" t="s">
        <v>120</v>
      </c>
      <c r="F517" s="3">
        <v>23.98</v>
      </c>
      <c r="G517" s="3" t="s">
        <v>121</v>
      </c>
      <c r="H517" s="3"/>
      <c r="I517" s="3" t="s">
        <v>122</v>
      </c>
      <c r="J517" s="3">
        <v>14</v>
      </c>
      <c r="K517" s="3">
        <v>14</v>
      </c>
      <c r="L517" s="3">
        <v>0</v>
      </c>
      <c r="M517" s="3">
        <v>0</v>
      </c>
      <c r="N517" s="3">
        <v>14</v>
      </c>
      <c r="O517" s="3">
        <v>0.05</v>
      </c>
      <c r="P517" s="3">
        <v>0</v>
      </c>
      <c r="Q517" s="3">
        <v>0</v>
      </c>
      <c r="R517" s="3">
        <v>0</v>
      </c>
    </row>
    <row r="518" spans="1:18">
      <c r="A518" s="3" t="s">
        <v>1382</v>
      </c>
      <c r="B518" s="3" t="s">
        <v>1383</v>
      </c>
      <c r="C518" s="3" t="s">
        <v>1384</v>
      </c>
      <c r="D518" s="3" t="s">
        <v>1385</v>
      </c>
      <c r="E518" s="3" t="s">
        <v>120</v>
      </c>
      <c r="F518" s="3">
        <v>23.98</v>
      </c>
      <c r="G518" s="3" t="s">
        <v>121</v>
      </c>
      <c r="H518" s="3"/>
      <c r="I518" s="3" t="s">
        <v>122</v>
      </c>
      <c r="J518" s="3">
        <v>14</v>
      </c>
      <c r="K518" s="3">
        <v>14</v>
      </c>
      <c r="L518" s="3">
        <v>0</v>
      </c>
      <c r="M518" s="3">
        <v>0</v>
      </c>
      <c r="N518" s="3">
        <v>14</v>
      </c>
      <c r="O518" s="3">
        <v>0.05</v>
      </c>
      <c r="P518" s="3">
        <v>0</v>
      </c>
      <c r="Q518" s="3">
        <v>0</v>
      </c>
      <c r="R518" s="3">
        <v>0</v>
      </c>
    </row>
    <row r="519" spans="1:18">
      <c r="A519" s="3" t="s">
        <v>1386</v>
      </c>
      <c r="B519" s="3" t="s">
        <v>1387</v>
      </c>
      <c r="C519" s="3" t="s">
        <v>1388</v>
      </c>
      <c r="D519" s="3" t="s">
        <v>1389</v>
      </c>
      <c r="E519" s="3" t="s">
        <v>120</v>
      </c>
      <c r="F519" s="3">
        <v>23.98</v>
      </c>
      <c r="G519" s="3" t="s">
        <v>121</v>
      </c>
      <c r="H519" s="3"/>
      <c r="I519" s="3" t="s">
        <v>122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0.12</v>
      </c>
      <c r="P519" s="3">
        <v>0</v>
      </c>
      <c r="Q519" s="3">
        <v>0</v>
      </c>
      <c r="R519" s="3">
        <v>0</v>
      </c>
    </row>
    <row r="520" spans="1:18">
      <c r="A520" s="3" t="s">
        <v>1390</v>
      </c>
      <c r="B520" s="3" t="s">
        <v>1391</v>
      </c>
      <c r="C520" s="3" t="s">
        <v>1392</v>
      </c>
      <c r="D520" s="3" t="s">
        <v>1393</v>
      </c>
      <c r="E520" s="3" t="s">
        <v>120</v>
      </c>
      <c r="F520" s="3">
        <v>23.98</v>
      </c>
      <c r="G520" s="3" t="s">
        <v>121</v>
      </c>
      <c r="H520" s="3"/>
      <c r="I520" s="3" t="s">
        <v>122</v>
      </c>
      <c r="J520" s="3">
        <v>0</v>
      </c>
      <c r="K520" s="3">
        <v>0</v>
      </c>
      <c r="L520" s="3">
        <v>0</v>
      </c>
      <c r="M520" s="3">
        <v>0</v>
      </c>
      <c r="N520" s="3">
        <v>0</v>
      </c>
      <c r="O520" s="3">
        <v>0.12</v>
      </c>
      <c r="P520" s="3">
        <v>0</v>
      </c>
      <c r="Q520" s="3">
        <v>0</v>
      </c>
      <c r="R520" s="3">
        <v>0</v>
      </c>
    </row>
    <row r="521" spans="1:18">
      <c r="A521" s="3" t="s">
        <v>1394</v>
      </c>
      <c r="B521" s="3" t="s">
        <v>1395</v>
      </c>
      <c r="C521" s="3" t="s">
        <v>1396</v>
      </c>
      <c r="D521" s="3" t="s">
        <v>1397</v>
      </c>
      <c r="E521" s="3" t="s">
        <v>120</v>
      </c>
      <c r="F521" s="3">
        <v>23.98</v>
      </c>
      <c r="G521" s="3" t="s">
        <v>121</v>
      </c>
      <c r="H521" s="3"/>
      <c r="I521" s="3" t="s">
        <v>122</v>
      </c>
      <c r="J521" s="3">
        <v>139</v>
      </c>
      <c r="K521" s="3">
        <v>138</v>
      </c>
      <c r="L521" s="3">
        <v>0</v>
      </c>
      <c r="M521" s="3">
        <v>1</v>
      </c>
      <c r="N521" s="3">
        <v>179</v>
      </c>
      <c r="O521" s="3">
        <v>0.05</v>
      </c>
      <c r="P521" s="3">
        <v>0</v>
      </c>
      <c r="Q521" s="3">
        <v>20</v>
      </c>
      <c r="R521" s="3">
        <v>20</v>
      </c>
    </row>
    <row r="522" spans="1:18">
      <c r="A522" s="3" t="s">
        <v>1398</v>
      </c>
      <c r="B522" s="3" t="s">
        <v>1399</v>
      </c>
      <c r="C522" s="3" t="s">
        <v>1400</v>
      </c>
      <c r="D522" s="3" t="s">
        <v>1401</v>
      </c>
      <c r="E522" s="3" t="s">
        <v>120</v>
      </c>
      <c r="F522" s="3">
        <v>23.98</v>
      </c>
      <c r="G522" s="3" t="s">
        <v>121</v>
      </c>
      <c r="H522" s="3"/>
      <c r="I522" s="3" t="s">
        <v>122</v>
      </c>
      <c r="J522" s="3">
        <v>89</v>
      </c>
      <c r="K522" s="3">
        <v>88</v>
      </c>
      <c r="L522" s="3">
        <v>0</v>
      </c>
      <c r="M522" s="3">
        <v>1</v>
      </c>
      <c r="N522" s="3">
        <v>119</v>
      </c>
      <c r="O522" s="3">
        <v>0.05</v>
      </c>
      <c r="P522" s="3">
        <v>0</v>
      </c>
      <c r="Q522" s="3">
        <v>30</v>
      </c>
      <c r="R522" s="3">
        <v>0</v>
      </c>
    </row>
    <row r="523" spans="1:18">
      <c r="A523" s="3" t="s">
        <v>1402</v>
      </c>
      <c r="B523" s="3" t="s">
        <v>1403</v>
      </c>
      <c r="C523" s="3" t="s">
        <v>1404</v>
      </c>
      <c r="D523" s="3" t="s">
        <v>1405</v>
      </c>
      <c r="E523" s="3" t="s">
        <v>120</v>
      </c>
      <c r="F523" s="3">
        <v>23.98</v>
      </c>
      <c r="G523" s="3" t="s">
        <v>121</v>
      </c>
      <c r="H523" s="3"/>
      <c r="I523" s="3" t="s">
        <v>122</v>
      </c>
      <c r="J523" s="3">
        <v>0</v>
      </c>
      <c r="K523" s="3">
        <v>0</v>
      </c>
      <c r="L523" s="3">
        <v>0</v>
      </c>
      <c r="M523" s="3">
        <v>0</v>
      </c>
      <c r="N523" s="3">
        <v>0</v>
      </c>
      <c r="O523" s="3">
        <v>0.05</v>
      </c>
      <c r="P523" s="3">
        <v>0</v>
      </c>
      <c r="Q523" s="3">
        <v>0</v>
      </c>
      <c r="R523" s="3">
        <v>0</v>
      </c>
    </row>
    <row r="524" spans="1:18">
      <c r="A524" s="3" t="s">
        <v>1406</v>
      </c>
      <c r="B524" s="3" t="s">
        <v>1407</v>
      </c>
      <c r="C524" s="3" t="s">
        <v>1408</v>
      </c>
      <c r="D524" s="3" t="s">
        <v>1409</v>
      </c>
      <c r="E524" s="3" t="s">
        <v>120</v>
      </c>
      <c r="F524" s="3">
        <v>23.98</v>
      </c>
      <c r="G524" s="3" t="s">
        <v>121</v>
      </c>
      <c r="H524" s="3"/>
      <c r="I524" s="3" t="s">
        <v>122</v>
      </c>
      <c r="J524" s="3">
        <v>28</v>
      </c>
      <c r="K524" s="3">
        <v>23</v>
      </c>
      <c r="L524" s="3">
        <v>0</v>
      </c>
      <c r="M524" s="3">
        <v>5</v>
      </c>
      <c r="N524" s="3">
        <v>58</v>
      </c>
      <c r="O524" s="3">
        <v>0.05</v>
      </c>
      <c r="P524" s="3">
        <v>0</v>
      </c>
      <c r="Q524" s="3">
        <v>30</v>
      </c>
      <c r="R524" s="3">
        <v>0</v>
      </c>
    </row>
    <row r="525" spans="1:18">
      <c r="A525" s="3" t="s">
        <v>1410</v>
      </c>
      <c r="B525" s="3" t="s">
        <v>1411</v>
      </c>
      <c r="C525" s="3" t="s">
        <v>1412</v>
      </c>
      <c r="D525" s="3" t="s">
        <v>1413</v>
      </c>
      <c r="E525" s="3" t="s">
        <v>120</v>
      </c>
      <c r="F525" s="3">
        <v>23.98</v>
      </c>
      <c r="G525" s="3" t="s">
        <v>121</v>
      </c>
      <c r="H525" s="3"/>
      <c r="I525" s="3" t="s">
        <v>122</v>
      </c>
      <c r="J525" s="3">
        <v>0</v>
      </c>
      <c r="K525" s="3">
        <v>0</v>
      </c>
      <c r="L525" s="3">
        <v>0</v>
      </c>
      <c r="M525" s="3">
        <v>0</v>
      </c>
      <c r="N525" s="3">
        <v>15</v>
      </c>
      <c r="O525" s="3">
        <v>0.05</v>
      </c>
      <c r="P525" s="3">
        <v>0</v>
      </c>
      <c r="Q525" s="3">
        <v>15</v>
      </c>
      <c r="R525" s="3">
        <v>0</v>
      </c>
    </row>
    <row r="526" spans="1:18">
      <c r="A526" s="3" t="s">
        <v>1414</v>
      </c>
      <c r="B526" s="3" t="s">
        <v>1415</v>
      </c>
      <c r="C526" s="3" t="s">
        <v>1416</v>
      </c>
      <c r="D526" s="3" t="s">
        <v>1417</v>
      </c>
      <c r="E526" s="3" t="s">
        <v>120</v>
      </c>
      <c r="F526" s="3">
        <v>23.98</v>
      </c>
      <c r="G526" s="3" t="s">
        <v>121</v>
      </c>
      <c r="H526" s="3"/>
      <c r="I526" s="3" t="s">
        <v>122</v>
      </c>
      <c r="J526" s="3">
        <v>30</v>
      </c>
      <c r="K526" s="3">
        <v>28</v>
      </c>
      <c r="L526" s="3">
        <v>0</v>
      </c>
      <c r="M526" s="3">
        <v>2</v>
      </c>
      <c r="N526" s="3">
        <v>100</v>
      </c>
      <c r="O526" s="3">
        <v>0.17</v>
      </c>
      <c r="P526" s="3">
        <v>0</v>
      </c>
      <c r="Q526" s="3">
        <v>55</v>
      </c>
      <c r="R526" s="3">
        <v>15</v>
      </c>
    </row>
    <row r="527" spans="1:18">
      <c r="A527" s="3" t="s">
        <v>1418</v>
      </c>
      <c r="B527" s="3" t="s">
        <v>1419</v>
      </c>
      <c r="C527" s="3" t="s">
        <v>1420</v>
      </c>
      <c r="D527" s="3" t="s">
        <v>1421</v>
      </c>
      <c r="E527" s="3" t="s">
        <v>120</v>
      </c>
      <c r="F527" s="3">
        <v>23.98</v>
      </c>
      <c r="G527" s="3" t="s">
        <v>121</v>
      </c>
      <c r="H527" s="3"/>
      <c r="I527" s="3" t="s">
        <v>122</v>
      </c>
      <c r="J527" s="3">
        <v>0</v>
      </c>
      <c r="K527" s="3">
        <v>0</v>
      </c>
      <c r="L527" s="3">
        <v>0</v>
      </c>
      <c r="M527" s="3">
        <v>0</v>
      </c>
      <c r="N527" s="3">
        <v>55</v>
      </c>
      <c r="O527" s="3">
        <v>0.11</v>
      </c>
      <c r="P527" s="3">
        <v>0</v>
      </c>
      <c r="Q527" s="3">
        <v>55</v>
      </c>
      <c r="R527" s="3">
        <v>0</v>
      </c>
    </row>
    <row r="528" spans="1:18">
      <c r="A528" s="3" t="s">
        <v>1422</v>
      </c>
      <c r="B528" s="3" t="s">
        <v>1423</v>
      </c>
      <c r="C528" s="3" t="s">
        <v>1424</v>
      </c>
      <c r="D528" s="3" t="s">
        <v>1425</v>
      </c>
      <c r="E528" s="3" t="s">
        <v>120</v>
      </c>
      <c r="F528" s="3">
        <v>23.98</v>
      </c>
      <c r="G528" s="3" t="s">
        <v>121</v>
      </c>
      <c r="H528" s="3"/>
      <c r="I528" s="3" t="s">
        <v>122</v>
      </c>
      <c r="J528" s="3">
        <v>0</v>
      </c>
      <c r="K528" s="3">
        <v>0</v>
      </c>
      <c r="L528" s="3">
        <v>0</v>
      </c>
      <c r="M528" s="3">
        <v>0</v>
      </c>
      <c r="N528" s="3">
        <v>75</v>
      </c>
      <c r="O528" s="3">
        <v>0.05</v>
      </c>
      <c r="P528" s="3">
        <v>0</v>
      </c>
      <c r="Q528" s="3">
        <v>75</v>
      </c>
      <c r="R528" s="3">
        <v>0</v>
      </c>
    </row>
    <row r="529" spans="1:18">
      <c r="A529" s="3" t="s">
        <v>1426</v>
      </c>
      <c r="B529" s="3" t="s">
        <v>1427</v>
      </c>
      <c r="C529" s="3" t="s">
        <v>1428</v>
      </c>
      <c r="D529" s="3" t="s">
        <v>1429</v>
      </c>
      <c r="E529" s="3" t="s">
        <v>120</v>
      </c>
      <c r="F529" s="3">
        <v>23.98</v>
      </c>
      <c r="G529" s="3" t="s">
        <v>121</v>
      </c>
      <c r="H529" s="3"/>
      <c r="I529" s="3" t="s">
        <v>122</v>
      </c>
      <c r="J529" s="3">
        <v>75</v>
      </c>
      <c r="K529" s="3">
        <v>70</v>
      </c>
      <c r="L529" s="3">
        <v>0</v>
      </c>
      <c r="M529" s="3">
        <v>5</v>
      </c>
      <c r="N529" s="3">
        <v>75</v>
      </c>
      <c r="O529" s="3">
        <v>0.05</v>
      </c>
      <c r="P529" s="3">
        <v>0</v>
      </c>
      <c r="Q529" s="3">
        <v>0</v>
      </c>
      <c r="R529" s="3">
        <v>0</v>
      </c>
    </row>
    <row r="530" spans="1:18">
      <c r="A530" s="3" t="s">
        <v>1430</v>
      </c>
      <c r="B530" s="3" t="s">
        <v>1431</v>
      </c>
      <c r="C530" s="3" t="s">
        <v>1432</v>
      </c>
      <c r="D530" s="3" t="s">
        <v>1433</v>
      </c>
      <c r="E530" s="3" t="s">
        <v>120</v>
      </c>
      <c r="F530" s="3">
        <v>23.98</v>
      </c>
      <c r="G530" s="3" t="s">
        <v>121</v>
      </c>
      <c r="H530" s="3"/>
      <c r="I530" s="3" t="s">
        <v>122</v>
      </c>
      <c r="J530" s="3">
        <v>40</v>
      </c>
      <c r="K530" s="3">
        <v>36</v>
      </c>
      <c r="L530" s="3">
        <v>0</v>
      </c>
      <c r="M530" s="3">
        <v>4</v>
      </c>
      <c r="N530" s="3">
        <v>150</v>
      </c>
      <c r="O530" s="3">
        <v>0.05</v>
      </c>
      <c r="P530" s="3">
        <v>0</v>
      </c>
      <c r="Q530" s="3">
        <v>90</v>
      </c>
      <c r="R530" s="3">
        <v>20</v>
      </c>
    </row>
    <row r="531" spans="1:18">
      <c r="A531" s="3" t="s">
        <v>1434</v>
      </c>
      <c r="B531" s="3" t="s">
        <v>1435</v>
      </c>
      <c r="C531" s="3" t="s">
        <v>1436</v>
      </c>
      <c r="D531" s="3" t="s">
        <v>1437</v>
      </c>
      <c r="E531" s="3" t="s">
        <v>120</v>
      </c>
      <c r="F531" s="3">
        <v>23.98</v>
      </c>
      <c r="G531" s="3" t="s">
        <v>121</v>
      </c>
      <c r="H531" s="3"/>
      <c r="I531" s="3" t="s">
        <v>122</v>
      </c>
      <c r="J531" s="3">
        <v>40</v>
      </c>
      <c r="K531" s="3">
        <v>40</v>
      </c>
      <c r="L531" s="3">
        <v>0</v>
      </c>
      <c r="M531" s="3">
        <v>0</v>
      </c>
      <c r="N531" s="3">
        <v>90</v>
      </c>
      <c r="O531" s="3">
        <v>0.05</v>
      </c>
      <c r="P531" s="3">
        <v>0</v>
      </c>
      <c r="Q531" s="3">
        <v>50</v>
      </c>
      <c r="R531" s="3">
        <v>0</v>
      </c>
    </row>
    <row r="532" spans="1:18">
      <c r="A532" s="3" t="s">
        <v>1438</v>
      </c>
      <c r="B532" s="3" t="s">
        <v>1439</v>
      </c>
      <c r="C532" s="3" t="s">
        <v>1440</v>
      </c>
      <c r="D532" s="3" t="s">
        <v>1441</v>
      </c>
      <c r="E532" s="3" t="s">
        <v>120</v>
      </c>
      <c r="F532" s="3">
        <v>23.98</v>
      </c>
      <c r="G532" s="3" t="s">
        <v>121</v>
      </c>
      <c r="H532" s="3"/>
      <c r="I532" s="3" t="s">
        <v>122</v>
      </c>
      <c r="J532" s="3">
        <v>0</v>
      </c>
      <c r="K532" s="3">
        <v>0</v>
      </c>
      <c r="L532" s="3">
        <v>0</v>
      </c>
      <c r="M532" s="3">
        <v>0</v>
      </c>
      <c r="N532" s="3">
        <v>0</v>
      </c>
      <c r="O532" s="3">
        <v>0.05</v>
      </c>
      <c r="P532" s="3">
        <v>0</v>
      </c>
      <c r="Q532" s="3">
        <v>0</v>
      </c>
      <c r="R532" s="3">
        <v>0</v>
      </c>
    </row>
    <row r="533" spans="1:18">
      <c r="A533" s="3" t="s">
        <v>1442</v>
      </c>
      <c r="B533" s="3" t="s">
        <v>1443</v>
      </c>
      <c r="C533" s="3" t="s">
        <v>1444</v>
      </c>
      <c r="D533" s="3" t="s">
        <v>1445</v>
      </c>
      <c r="E533" s="3" t="s">
        <v>120</v>
      </c>
      <c r="F533" s="3">
        <v>24.98</v>
      </c>
      <c r="G533" s="3" t="s">
        <v>121</v>
      </c>
      <c r="H533" s="3"/>
      <c r="I533" s="3" t="s">
        <v>122</v>
      </c>
      <c r="J533" s="3">
        <v>24</v>
      </c>
      <c r="K533" s="3">
        <v>18</v>
      </c>
      <c r="L533" s="3">
        <v>0</v>
      </c>
      <c r="M533" s="3">
        <v>6</v>
      </c>
      <c r="N533" s="3">
        <v>124</v>
      </c>
      <c r="O533" s="3">
        <v>0.05</v>
      </c>
      <c r="P533" s="3">
        <v>0</v>
      </c>
      <c r="Q533" s="3">
        <v>70</v>
      </c>
      <c r="R533" s="3">
        <v>30</v>
      </c>
    </row>
    <row r="534" spans="1:18">
      <c r="A534" s="3" t="s">
        <v>1446</v>
      </c>
      <c r="B534" s="3" t="s">
        <v>1447</v>
      </c>
      <c r="C534" s="3" t="s">
        <v>1448</v>
      </c>
      <c r="D534" s="3" t="s">
        <v>1449</v>
      </c>
      <c r="E534" s="3" t="s">
        <v>120</v>
      </c>
      <c r="F534" s="3">
        <v>23.98</v>
      </c>
      <c r="G534" s="3" t="s">
        <v>121</v>
      </c>
      <c r="H534" s="3"/>
      <c r="I534" s="3" t="s">
        <v>122</v>
      </c>
      <c r="J534" s="3">
        <v>36</v>
      </c>
      <c r="K534" s="3">
        <v>29</v>
      </c>
      <c r="L534" s="3">
        <v>0</v>
      </c>
      <c r="M534" s="3">
        <v>7</v>
      </c>
      <c r="N534" s="3">
        <v>78</v>
      </c>
      <c r="O534" s="3">
        <v>0.05</v>
      </c>
      <c r="P534" s="3">
        <v>0</v>
      </c>
      <c r="Q534" s="3">
        <v>40</v>
      </c>
      <c r="R534" s="3">
        <v>2</v>
      </c>
    </row>
    <row r="535" spans="1:18">
      <c r="A535" s="3" t="s">
        <v>1450</v>
      </c>
      <c r="B535" s="3" t="s">
        <v>1451</v>
      </c>
      <c r="C535" s="3" t="s">
        <v>1452</v>
      </c>
      <c r="D535" s="3" t="s">
        <v>1310</v>
      </c>
      <c r="E535" s="3" t="s">
        <v>120</v>
      </c>
      <c r="F535" s="3">
        <v>39.98</v>
      </c>
      <c r="G535" s="3" t="s">
        <v>121</v>
      </c>
      <c r="H535" s="3"/>
      <c r="I535" s="3" t="s">
        <v>122</v>
      </c>
      <c r="J535" s="3">
        <v>0</v>
      </c>
      <c r="K535" s="3">
        <v>0</v>
      </c>
      <c r="L535" s="3">
        <v>0</v>
      </c>
      <c r="M535" s="3">
        <v>0</v>
      </c>
      <c r="N535" s="3">
        <v>0</v>
      </c>
      <c r="O535" s="3">
        <v>0.12</v>
      </c>
      <c r="P535" s="3">
        <v>0</v>
      </c>
      <c r="Q535" s="3">
        <v>0</v>
      </c>
      <c r="R535" s="3">
        <v>0</v>
      </c>
    </row>
    <row r="536" spans="1:18">
      <c r="A536" s="3" t="s">
        <v>1453</v>
      </c>
      <c r="B536" s="3" t="s">
        <v>1454</v>
      </c>
      <c r="C536" s="3" t="s">
        <v>1454</v>
      </c>
      <c r="D536" s="3" t="s">
        <v>1455</v>
      </c>
      <c r="E536" s="3" t="s">
        <v>120</v>
      </c>
      <c r="F536" s="3">
        <v>23.98</v>
      </c>
      <c r="G536" s="3" t="s">
        <v>122</v>
      </c>
      <c r="H536" s="3">
        <v>0</v>
      </c>
      <c r="I536" s="3" t="s">
        <v>121</v>
      </c>
      <c r="J536" s="3">
        <v>0</v>
      </c>
      <c r="K536" s="3">
        <v>0</v>
      </c>
      <c r="L536" s="3">
        <v>0</v>
      </c>
      <c r="M536" s="3">
        <v>0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</row>
    <row r="537" spans="1:18">
      <c r="A537" s="3" t="s">
        <v>1456</v>
      </c>
      <c r="B537" s="3" t="s">
        <v>1457</v>
      </c>
      <c r="C537" s="3" t="s">
        <v>1457</v>
      </c>
      <c r="D537" s="3"/>
      <c r="E537" s="3" t="s">
        <v>20</v>
      </c>
      <c r="F537" s="3"/>
      <c r="G537" s="3"/>
      <c r="H537" s="3"/>
      <c r="I537" s="3"/>
      <c r="J537" s="3">
        <v>0</v>
      </c>
      <c r="K537" s="3">
        <v>0</v>
      </c>
      <c r="L537" s="3">
        <v>0</v>
      </c>
      <c r="M537" s="3">
        <v>0</v>
      </c>
      <c r="N537" s="3">
        <v>0</v>
      </c>
      <c r="O537" s="3"/>
      <c r="P537" s="3">
        <v>0</v>
      </c>
      <c r="Q537" s="3">
        <v>0</v>
      </c>
      <c r="R537" s="3">
        <v>0</v>
      </c>
    </row>
    <row r="538" spans="1:18">
      <c r="A538" s="3" t="s">
        <v>1458</v>
      </c>
      <c r="B538" s="3" t="s">
        <v>1459</v>
      </c>
      <c r="C538" s="3" t="s">
        <v>1459</v>
      </c>
      <c r="D538" s="3"/>
      <c r="E538" s="3" t="s">
        <v>20</v>
      </c>
      <c r="F538" s="3"/>
      <c r="G538" s="3"/>
      <c r="H538" s="3"/>
      <c r="I538" s="3"/>
      <c r="J538" s="3">
        <v>0</v>
      </c>
      <c r="K538" s="3">
        <v>0</v>
      </c>
      <c r="L538" s="3">
        <v>0</v>
      </c>
      <c r="M538" s="3">
        <v>0</v>
      </c>
      <c r="N538" s="3">
        <v>0</v>
      </c>
      <c r="O538" s="3"/>
      <c r="P538" s="3">
        <v>0</v>
      </c>
      <c r="Q538" s="3">
        <v>0</v>
      </c>
      <c r="R538" s="3">
        <v>0</v>
      </c>
    </row>
    <row r="539" spans="1:18">
      <c r="A539" s="3" t="s">
        <v>1460</v>
      </c>
      <c r="B539" s="3" t="s">
        <v>1461</v>
      </c>
      <c r="C539" s="3" t="s">
        <v>1461</v>
      </c>
      <c r="D539" s="3"/>
      <c r="E539" s="3" t="s">
        <v>20</v>
      </c>
      <c r="F539" s="3"/>
      <c r="G539" s="3"/>
      <c r="H539" s="3"/>
      <c r="I539" s="3"/>
      <c r="J539" s="3">
        <v>0</v>
      </c>
      <c r="K539" s="3">
        <v>0</v>
      </c>
      <c r="L539" s="3">
        <v>0</v>
      </c>
      <c r="M539" s="3">
        <v>0</v>
      </c>
      <c r="N539" s="3">
        <v>0</v>
      </c>
      <c r="O539" s="3"/>
      <c r="P539" s="3">
        <v>0</v>
      </c>
      <c r="Q539" s="3">
        <v>0</v>
      </c>
      <c r="R539" s="3">
        <v>0</v>
      </c>
    </row>
    <row r="540" spans="1:18">
      <c r="A540" s="3" t="s">
        <v>1462</v>
      </c>
      <c r="B540" s="3" t="s">
        <v>22</v>
      </c>
      <c r="C540" s="3" t="s">
        <v>22</v>
      </c>
      <c r="D540" s="3" t="s">
        <v>1463</v>
      </c>
      <c r="E540" s="3" t="s">
        <v>120</v>
      </c>
      <c r="F540" s="3">
        <v>22.98</v>
      </c>
      <c r="G540" s="3" t="s">
        <v>121</v>
      </c>
      <c r="H540" s="3"/>
      <c r="I540" s="3" t="s">
        <v>122</v>
      </c>
      <c r="J540" s="3">
        <v>13</v>
      </c>
      <c r="K540" s="3">
        <v>13</v>
      </c>
      <c r="L540" s="3">
        <v>0</v>
      </c>
      <c r="M540" s="3">
        <v>0</v>
      </c>
      <c r="N540" s="3">
        <v>13</v>
      </c>
      <c r="O540" s="3">
        <v>0.16</v>
      </c>
      <c r="P540" s="3">
        <v>0</v>
      </c>
      <c r="Q540" s="3">
        <v>0</v>
      </c>
      <c r="R540" s="3">
        <v>0</v>
      </c>
    </row>
    <row r="541" spans="1:18">
      <c r="A541" s="3" t="s">
        <v>1464</v>
      </c>
      <c r="B541" s="3" t="s">
        <v>24</v>
      </c>
      <c r="C541" s="3" t="s">
        <v>24</v>
      </c>
      <c r="D541" s="3" t="s">
        <v>1465</v>
      </c>
      <c r="E541" s="3" t="s">
        <v>120</v>
      </c>
      <c r="F541" s="3">
        <v>22.98</v>
      </c>
      <c r="G541" s="3" t="s">
        <v>121</v>
      </c>
      <c r="H541" s="3"/>
      <c r="I541" s="3" t="s">
        <v>122</v>
      </c>
      <c r="J541" s="3">
        <v>46</v>
      </c>
      <c r="K541" s="3">
        <v>45</v>
      </c>
      <c r="L541" s="3">
        <v>0</v>
      </c>
      <c r="M541" s="3">
        <v>1</v>
      </c>
      <c r="N541" s="3">
        <v>46</v>
      </c>
      <c r="O541" s="3">
        <v>0.16</v>
      </c>
      <c r="P541" s="3">
        <v>0</v>
      </c>
      <c r="Q541" s="3">
        <v>0</v>
      </c>
      <c r="R541" s="3">
        <v>0</v>
      </c>
    </row>
    <row r="542" spans="1:18">
      <c r="A542" s="3" t="s">
        <v>1466</v>
      </c>
      <c r="B542" s="3" t="s">
        <v>26</v>
      </c>
      <c r="C542" s="3" t="s">
        <v>26</v>
      </c>
      <c r="D542" s="3" t="s">
        <v>1467</v>
      </c>
      <c r="E542" s="3" t="s">
        <v>120</v>
      </c>
      <c r="F542" s="3">
        <v>18.98</v>
      </c>
      <c r="G542" s="3" t="s">
        <v>121</v>
      </c>
      <c r="H542" s="3"/>
      <c r="I542" s="3" t="s">
        <v>122</v>
      </c>
      <c r="J542" s="3">
        <v>9</v>
      </c>
      <c r="K542" s="3">
        <v>8</v>
      </c>
      <c r="L542" s="3">
        <v>0</v>
      </c>
      <c r="M542" s="3">
        <v>1</v>
      </c>
      <c r="N542" s="3">
        <v>9</v>
      </c>
      <c r="O542" s="3">
        <v>0.16</v>
      </c>
      <c r="P542" s="3">
        <v>0</v>
      </c>
      <c r="Q542" s="3">
        <v>0</v>
      </c>
      <c r="R542" s="3">
        <v>0</v>
      </c>
    </row>
    <row r="543" spans="1:18">
      <c r="A543" s="3" t="s">
        <v>1468</v>
      </c>
      <c r="B543" s="3" t="s">
        <v>28</v>
      </c>
      <c r="C543" s="3" t="s">
        <v>28</v>
      </c>
      <c r="D543" s="3" t="s">
        <v>1469</v>
      </c>
      <c r="E543" s="3" t="s">
        <v>120</v>
      </c>
      <c r="F543" s="3">
        <v>22.98</v>
      </c>
      <c r="G543" s="3" t="s">
        <v>121</v>
      </c>
      <c r="H543" s="3"/>
      <c r="I543" s="3" t="s">
        <v>122</v>
      </c>
      <c r="J543" s="3">
        <v>23</v>
      </c>
      <c r="K543" s="3">
        <v>22</v>
      </c>
      <c r="L543" s="3">
        <v>0</v>
      </c>
      <c r="M543" s="3">
        <v>1</v>
      </c>
      <c r="N543" s="3">
        <v>23</v>
      </c>
      <c r="O543" s="3">
        <v>0.16</v>
      </c>
      <c r="P543" s="3">
        <v>0</v>
      </c>
      <c r="Q543" s="3">
        <v>0</v>
      </c>
      <c r="R543" s="3">
        <v>0</v>
      </c>
    </row>
    <row r="544" spans="1:18">
      <c r="A544" s="3" t="s">
        <v>1470</v>
      </c>
      <c r="B544" s="3" t="s">
        <v>30</v>
      </c>
      <c r="C544" s="3" t="s">
        <v>30</v>
      </c>
      <c r="D544" s="3" t="s">
        <v>1471</v>
      </c>
      <c r="E544" s="3" t="s">
        <v>120</v>
      </c>
      <c r="F544" s="3">
        <v>22.98</v>
      </c>
      <c r="G544" s="3" t="s">
        <v>121</v>
      </c>
      <c r="H544" s="3"/>
      <c r="I544" s="3" t="s">
        <v>122</v>
      </c>
      <c r="J544" s="3">
        <v>14</v>
      </c>
      <c r="K544" s="3">
        <v>14</v>
      </c>
      <c r="L544" s="3">
        <v>0</v>
      </c>
      <c r="M544" s="3">
        <v>0</v>
      </c>
      <c r="N544" s="3">
        <v>14</v>
      </c>
      <c r="O544" s="3">
        <v>0.16</v>
      </c>
      <c r="P544" s="3">
        <v>0</v>
      </c>
      <c r="Q544" s="3">
        <v>0</v>
      </c>
      <c r="R544" s="3">
        <v>0</v>
      </c>
    </row>
    <row r="545" spans="1:18">
      <c r="A545" s="3" t="s">
        <v>1472</v>
      </c>
      <c r="B545" s="3" t="s">
        <v>32</v>
      </c>
      <c r="C545" s="3" t="s">
        <v>32</v>
      </c>
      <c r="D545" s="3" t="s">
        <v>1473</v>
      </c>
      <c r="E545" s="3" t="s">
        <v>120</v>
      </c>
      <c r="F545" s="3">
        <v>22.98</v>
      </c>
      <c r="G545" s="3" t="s">
        <v>121</v>
      </c>
      <c r="H545" s="3"/>
      <c r="I545" s="3" t="s">
        <v>122</v>
      </c>
      <c r="J545" s="3">
        <v>27</v>
      </c>
      <c r="K545" s="3">
        <v>27</v>
      </c>
      <c r="L545" s="3">
        <v>0</v>
      </c>
      <c r="M545" s="3">
        <v>0</v>
      </c>
      <c r="N545" s="3">
        <v>27</v>
      </c>
      <c r="O545" s="3">
        <v>0.19</v>
      </c>
      <c r="P545" s="3">
        <v>0</v>
      </c>
      <c r="Q545" s="3">
        <v>0</v>
      </c>
      <c r="R545" s="3">
        <v>0</v>
      </c>
    </row>
    <row r="546" spans="1:18">
      <c r="A546" s="3" t="s">
        <v>1474</v>
      </c>
      <c r="B546" s="3" t="s">
        <v>34</v>
      </c>
      <c r="C546" s="3" t="s">
        <v>34</v>
      </c>
      <c r="D546" s="3" t="s">
        <v>1475</v>
      </c>
      <c r="E546" s="3" t="s">
        <v>120</v>
      </c>
      <c r="F546" s="3">
        <v>22.98</v>
      </c>
      <c r="G546" s="3" t="s">
        <v>121</v>
      </c>
      <c r="H546" s="3"/>
      <c r="I546" s="3" t="s">
        <v>122</v>
      </c>
      <c r="J546" s="3">
        <v>3</v>
      </c>
      <c r="K546" s="3">
        <v>3</v>
      </c>
      <c r="L546" s="3">
        <v>0</v>
      </c>
      <c r="M546" s="3">
        <v>0</v>
      </c>
      <c r="N546" s="3">
        <v>3</v>
      </c>
      <c r="O546" s="3">
        <v>0.13</v>
      </c>
      <c r="P546" s="3">
        <v>0</v>
      </c>
      <c r="Q546" s="3">
        <v>0</v>
      </c>
      <c r="R546" s="3">
        <v>0</v>
      </c>
    </row>
    <row r="547" spans="1:18">
      <c r="A547" s="3" t="s">
        <v>1476</v>
      </c>
      <c r="B547" s="3" t="s">
        <v>36</v>
      </c>
      <c r="C547" s="3" t="s">
        <v>36</v>
      </c>
      <c r="D547" s="3" t="s">
        <v>1477</v>
      </c>
      <c r="E547" s="3" t="s">
        <v>120</v>
      </c>
      <c r="F547" s="3">
        <v>14.43</v>
      </c>
      <c r="G547" s="3" t="s">
        <v>121</v>
      </c>
      <c r="H547" s="3"/>
      <c r="I547" s="3" t="s">
        <v>122</v>
      </c>
      <c r="J547" s="3">
        <v>9</v>
      </c>
      <c r="K547" s="3">
        <v>9</v>
      </c>
      <c r="L547" s="3">
        <v>0</v>
      </c>
      <c r="M547" s="3">
        <v>0</v>
      </c>
      <c r="N547" s="3">
        <v>9</v>
      </c>
      <c r="O547" s="3">
        <v>0.11</v>
      </c>
      <c r="P547" s="3">
        <v>0</v>
      </c>
      <c r="Q547" s="3">
        <v>0</v>
      </c>
      <c r="R547" s="3">
        <v>0</v>
      </c>
    </row>
    <row r="548" spans="1:18">
      <c r="A548" s="3" t="s">
        <v>1478</v>
      </c>
      <c r="B548" s="3" t="s">
        <v>38</v>
      </c>
      <c r="C548" s="3" t="s">
        <v>38</v>
      </c>
      <c r="D548" s="3" t="s">
        <v>1479</v>
      </c>
      <c r="E548" s="3" t="s">
        <v>120</v>
      </c>
      <c r="F548" s="3">
        <v>39.98</v>
      </c>
      <c r="G548" s="3" t="s">
        <v>121</v>
      </c>
      <c r="H548" s="3"/>
      <c r="I548" s="3" t="s">
        <v>122</v>
      </c>
      <c r="J548" s="3">
        <v>22</v>
      </c>
      <c r="K548" s="3">
        <v>22</v>
      </c>
      <c r="L548" s="3">
        <v>0</v>
      </c>
      <c r="M548" s="3">
        <v>0</v>
      </c>
      <c r="N548" s="3">
        <v>22</v>
      </c>
      <c r="O548" s="3">
        <v>0.11</v>
      </c>
      <c r="P548" s="3">
        <v>0</v>
      </c>
      <c r="Q548" s="3">
        <v>0</v>
      </c>
      <c r="R548" s="3">
        <v>0</v>
      </c>
    </row>
    <row r="549" spans="1:18">
      <c r="A549" s="3" t="s">
        <v>1480</v>
      </c>
      <c r="B549" s="3" t="s">
        <v>40</v>
      </c>
      <c r="C549" s="3" t="s">
        <v>40</v>
      </c>
      <c r="D549" s="3" t="s">
        <v>1481</v>
      </c>
      <c r="E549" s="3" t="s">
        <v>120</v>
      </c>
      <c r="F549" s="3">
        <v>22.98</v>
      </c>
      <c r="G549" s="3" t="s">
        <v>121</v>
      </c>
      <c r="H549" s="3"/>
      <c r="I549" s="3" t="s">
        <v>122</v>
      </c>
      <c r="J549" s="3">
        <v>14</v>
      </c>
      <c r="K549" s="3">
        <v>14</v>
      </c>
      <c r="L549" s="3">
        <v>0</v>
      </c>
      <c r="M549" s="3">
        <v>0</v>
      </c>
      <c r="N549" s="3">
        <v>14</v>
      </c>
      <c r="O549" s="3">
        <v>0.2</v>
      </c>
      <c r="P549" s="3">
        <v>0</v>
      </c>
      <c r="Q549" s="3">
        <v>0</v>
      </c>
      <c r="R549" s="3">
        <v>0</v>
      </c>
    </row>
    <row r="550" spans="1:18">
      <c r="A550" s="3" t="s">
        <v>1482</v>
      </c>
      <c r="B550" s="3" t="s">
        <v>42</v>
      </c>
      <c r="C550" s="3" t="s">
        <v>42</v>
      </c>
      <c r="D550" s="3" t="s">
        <v>1483</v>
      </c>
      <c r="E550" s="3" t="s">
        <v>120</v>
      </c>
      <c r="F550" s="3">
        <v>39.98</v>
      </c>
      <c r="G550" s="3" t="s">
        <v>121</v>
      </c>
      <c r="H550" s="3"/>
      <c r="I550" s="3" t="s">
        <v>122</v>
      </c>
      <c r="J550" s="3">
        <v>0</v>
      </c>
      <c r="K550" s="3">
        <v>0</v>
      </c>
      <c r="L550" s="3">
        <v>0</v>
      </c>
      <c r="M550" s="3">
        <v>0</v>
      </c>
      <c r="N550" s="3">
        <v>0</v>
      </c>
      <c r="O550" s="3">
        <v>0.07</v>
      </c>
      <c r="P550" s="3">
        <v>0</v>
      </c>
      <c r="Q550" s="3">
        <v>0</v>
      </c>
      <c r="R550" s="3">
        <v>0</v>
      </c>
    </row>
    <row r="551" spans="1:18">
      <c r="A551" s="3" t="s">
        <v>1484</v>
      </c>
      <c r="B551" s="3" t="s">
        <v>44</v>
      </c>
      <c r="C551" s="3" t="s">
        <v>44</v>
      </c>
      <c r="D551" s="3" t="s">
        <v>1485</v>
      </c>
      <c r="E551" s="3" t="s">
        <v>120</v>
      </c>
      <c r="F551" s="3">
        <v>22.98</v>
      </c>
      <c r="G551" s="3" t="s">
        <v>121</v>
      </c>
      <c r="H551" s="3"/>
      <c r="I551" s="3" t="s">
        <v>122</v>
      </c>
      <c r="J551" s="3">
        <v>12</v>
      </c>
      <c r="K551" s="3">
        <v>12</v>
      </c>
      <c r="L551" s="3">
        <v>0</v>
      </c>
      <c r="M551" s="3">
        <v>0</v>
      </c>
      <c r="N551" s="3">
        <v>12</v>
      </c>
      <c r="O551" s="3">
        <v>0.17</v>
      </c>
      <c r="P551" s="3">
        <v>0</v>
      </c>
      <c r="Q551" s="3">
        <v>0</v>
      </c>
      <c r="R551" s="3">
        <v>0</v>
      </c>
    </row>
    <row r="552" spans="1:18">
      <c r="A552" s="3" t="s">
        <v>1486</v>
      </c>
      <c r="B552" s="3" t="s">
        <v>46</v>
      </c>
      <c r="C552" s="3" t="s">
        <v>46</v>
      </c>
      <c r="D552" s="3" t="s">
        <v>1487</v>
      </c>
      <c r="E552" s="3" t="s">
        <v>120</v>
      </c>
      <c r="F552" s="3">
        <v>39.98</v>
      </c>
      <c r="G552" s="3" t="s">
        <v>121</v>
      </c>
      <c r="H552" s="3"/>
      <c r="I552" s="3" t="s">
        <v>122</v>
      </c>
      <c r="J552" s="3">
        <v>0</v>
      </c>
      <c r="K552" s="3">
        <v>0</v>
      </c>
      <c r="L552" s="3">
        <v>0</v>
      </c>
      <c r="M552" s="3">
        <v>0</v>
      </c>
      <c r="N552" s="3">
        <v>0</v>
      </c>
      <c r="O552" s="3">
        <v>0.22</v>
      </c>
      <c r="P552" s="3">
        <v>0</v>
      </c>
      <c r="Q552" s="3">
        <v>0</v>
      </c>
      <c r="R552" s="3">
        <v>0</v>
      </c>
    </row>
    <row r="553" spans="1:18">
      <c r="A553" s="3" t="s">
        <v>1488</v>
      </c>
      <c r="B553" s="3" t="s">
        <v>48</v>
      </c>
      <c r="C553" s="3" t="s">
        <v>48</v>
      </c>
      <c r="D553" s="3" t="s">
        <v>1489</v>
      </c>
      <c r="E553" s="3" t="s">
        <v>120</v>
      </c>
      <c r="F553" s="3">
        <v>39.98</v>
      </c>
      <c r="G553" s="3" t="s">
        <v>121</v>
      </c>
      <c r="H553" s="3"/>
      <c r="I553" s="3" t="s">
        <v>122</v>
      </c>
      <c r="J553" s="3">
        <v>0</v>
      </c>
      <c r="K553" s="3">
        <v>0</v>
      </c>
      <c r="L553" s="3">
        <v>0</v>
      </c>
      <c r="M553" s="3">
        <v>0</v>
      </c>
      <c r="N553" s="3">
        <v>0</v>
      </c>
      <c r="O553" s="3">
        <v>0.08</v>
      </c>
      <c r="P553" s="3">
        <v>0</v>
      </c>
      <c r="Q553" s="3">
        <v>0</v>
      </c>
      <c r="R553" s="3">
        <v>0</v>
      </c>
    </row>
    <row r="554" spans="1:18">
      <c r="A554" s="3" t="s">
        <v>1490</v>
      </c>
      <c r="B554" s="3" t="s">
        <v>50</v>
      </c>
      <c r="C554" s="3" t="s">
        <v>50</v>
      </c>
      <c r="D554" s="3" t="s">
        <v>1491</v>
      </c>
      <c r="E554" s="3" t="s">
        <v>120</v>
      </c>
      <c r="F554" s="3">
        <v>22.98</v>
      </c>
      <c r="G554" s="3" t="s">
        <v>121</v>
      </c>
      <c r="H554" s="3"/>
      <c r="I554" s="3" t="s">
        <v>122</v>
      </c>
      <c r="J554" s="3">
        <v>12</v>
      </c>
      <c r="K554" s="3">
        <v>12</v>
      </c>
      <c r="L554" s="3">
        <v>0</v>
      </c>
      <c r="M554" s="3">
        <v>0</v>
      </c>
      <c r="N554" s="3">
        <v>12</v>
      </c>
      <c r="O554" s="3">
        <v>0.13</v>
      </c>
      <c r="P554" s="3">
        <v>0</v>
      </c>
      <c r="Q554" s="3">
        <v>0</v>
      </c>
      <c r="R554" s="3">
        <v>0</v>
      </c>
    </row>
    <row r="555" spans="1:18">
      <c r="A555" s="3" t="s">
        <v>1492</v>
      </c>
      <c r="B555" s="3" t="s">
        <v>52</v>
      </c>
      <c r="C555" s="3" t="s">
        <v>52</v>
      </c>
      <c r="D555" s="3" t="s">
        <v>1493</v>
      </c>
      <c r="E555" s="3" t="s">
        <v>120</v>
      </c>
      <c r="F555" s="3">
        <v>22.98</v>
      </c>
      <c r="G555" s="3" t="s">
        <v>121</v>
      </c>
      <c r="H555" s="3"/>
      <c r="I555" s="3" t="s">
        <v>122</v>
      </c>
      <c r="J555" s="3">
        <v>30</v>
      </c>
      <c r="K555" s="3">
        <v>29</v>
      </c>
      <c r="L555" s="3">
        <v>0</v>
      </c>
      <c r="M555" s="3">
        <v>1</v>
      </c>
      <c r="N555" s="3">
        <v>30</v>
      </c>
      <c r="O555" s="3">
        <v>0.1</v>
      </c>
      <c r="P555" s="3">
        <v>0</v>
      </c>
      <c r="Q555" s="3">
        <v>0</v>
      </c>
      <c r="R555" s="3">
        <v>0</v>
      </c>
    </row>
    <row r="556" spans="1:18">
      <c r="A556" s="3" t="s">
        <v>1494</v>
      </c>
      <c r="B556" s="3" t="s">
        <v>54</v>
      </c>
      <c r="C556" s="3" t="s">
        <v>54</v>
      </c>
      <c r="D556" s="3" t="s">
        <v>1495</v>
      </c>
      <c r="E556" s="3" t="s">
        <v>120</v>
      </c>
      <c r="F556" s="3">
        <v>22.98</v>
      </c>
      <c r="G556" s="3" t="s">
        <v>121</v>
      </c>
      <c r="H556" s="3"/>
      <c r="I556" s="3" t="s">
        <v>122</v>
      </c>
      <c r="J556" s="3">
        <v>33</v>
      </c>
      <c r="K556" s="3">
        <v>33</v>
      </c>
      <c r="L556" s="3">
        <v>0</v>
      </c>
      <c r="M556" s="3">
        <v>0</v>
      </c>
      <c r="N556" s="3">
        <v>33</v>
      </c>
      <c r="O556" s="3">
        <v>0.11</v>
      </c>
      <c r="P556" s="3">
        <v>0</v>
      </c>
      <c r="Q556" s="3">
        <v>0</v>
      </c>
      <c r="R556" s="3">
        <v>0</v>
      </c>
    </row>
    <row r="557" spans="1:18">
      <c r="A557" s="3" t="s">
        <v>1496</v>
      </c>
      <c r="B557" s="3" t="s">
        <v>56</v>
      </c>
      <c r="C557" s="3" t="s">
        <v>56</v>
      </c>
      <c r="D557" s="3" t="s">
        <v>1497</v>
      </c>
      <c r="E557" s="3" t="s">
        <v>120</v>
      </c>
      <c r="F557" s="3">
        <v>18.98</v>
      </c>
      <c r="G557" s="3" t="s">
        <v>121</v>
      </c>
      <c r="H557" s="3"/>
      <c r="I557" s="3" t="s">
        <v>122</v>
      </c>
      <c r="J557" s="3">
        <v>39</v>
      </c>
      <c r="K557" s="3">
        <v>38</v>
      </c>
      <c r="L557" s="3">
        <v>0</v>
      </c>
      <c r="M557" s="3">
        <v>1</v>
      </c>
      <c r="N557" s="3">
        <v>39</v>
      </c>
      <c r="O557" s="3">
        <v>0.2</v>
      </c>
      <c r="P557" s="3">
        <v>0</v>
      </c>
      <c r="Q557" s="3">
        <v>0</v>
      </c>
      <c r="R557" s="3">
        <v>0</v>
      </c>
    </row>
    <row r="558" spans="1:18">
      <c r="A558" s="3" t="s">
        <v>1498</v>
      </c>
      <c r="B558" s="3" t="s">
        <v>58</v>
      </c>
      <c r="C558" s="3" t="s">
        <v>58</v>
      </c>
      <c r="D558" s="3" t="s">
        <v>1499</v>
      </c>
      <c r="E558" s="3" t="s">
        <v>120</v>
      </c>
      <c r="F558" s="3">
        <v>22.98</v>
      </c>
      <c r="G558" s="3" t="s">
        <v>121</v>
      </c>
      <c r="H558" s="3"/>
      <c r="I558" s="3" t="s">
        <v>122</v>
      </c>
      <c r="J558" s="3">
        <v>89</v>
      </c>
      <c r="K558" s="3">
        <v>87</v>
      </c>
      <c r="L558" s="3">
        <v>0</v>
      </c>
      <c r="M558" s="3">
        <v>2</v>
      </c>
      <c r="N558" s="3">
        <v>89</v>
      </c>
      <c r="O558" s="3">
        <v>0.05</v>
      </c>
      <c r="P558" s="3">
        <v>0</v>
      </c>
      <c r="Q558" s="3">
        <v>0</v>
      </c>
      <c r="R558" s="3">
        <v>0</v>
      </c>
    </row>
    <row r="559" spans="1:18">
      <c r="A559" s="3" t="s">
        <v>1500</v>
      </c>
      <c r="B559" s="3" t="s">
        <v>60</v>
      </c>
      <c r="C559" s="3" t="s">
        <v>60</v>
      </c>
      <c r="D559" s="3" t="s">
        <v>1501</v>
      </c>
      <c r="E559" s="3" t="s">
        <v>120</v>
      </c>
      <c r="F559" s="3">
        <v>0</v>
      </c>
      <c r="G559" s="3" t="s">
        <v>121</v>
      </c>
      <c r="H559" s="3"/>
      <c r="I559" s="3" t="s">
        <v>122</v>
      </c>
      <c r="J559" s="3">
        <v>31</v>
      </c>
      <c r="K559" s="3">
        <v>31</v>
      </c>
      <c r="L559" s="3">
        <v>0</v>
      </c>
      <c r="M559" s="3">
        <v>0</v>
      </c>
      <c r="N559" s="3">
        <v>31</v>
      </c>
      <c r="O559" s="3">
        <v>0.2</v>
      </c>
      <c r="P559" s="3">
        <v>0</v>
      </c>
      <c r="Q559" s="3">
        <v>0</v>
      </c>
      <c r="R559" s="3">
        <v>0</v>
      </c>
    </row>
    <row r="560" spans="1:18">
      <c r="A560" s="3" t="s">
        <v>1502</v>
      </c>
      <c r="B560" s="3" t="s">
        <v>62</v>
      </c>
      <c r="C560" s="3" t="s">
        <v>62</v>
      </c>
      <c r="D560" s="3" t="s">
        <v>1503</v>
      </c>
      <c r="E560" s="3" t="s">
        <v>120</v>
      </c>
      <c r="F560" s="3">
        <v>22.98</v>
      </c>
      <c r="G560" s="3" t="s">
        <v>121</v>
      </c>
      <c r="H560" s="3"/>
      <c r="I560" s="3" t="s">
        <v>122</v>
      </c>
      <c r="J560" s="3">
        <v>42</v>
      </c>
      <c r="K560" s="3">
        <v>42</v>
      </c>
      <c r="L560" s="3">
        <v>0</v>
      </c>
      <c r="M560" s="3">
        <v>0</v>
      </c>
      <c r="N560" s="3">
        <v>42</v>
      </c>
      <c r="O560" s="3">
        <v>0.16</v>
      </c>
      <c r="P560" s="3">
        <v>0</v>
      </c>
      <c r="Q560" s="3">
        <v>0</v>
      </c>
      <c r="R560" s="3">
        <v>0</v>
      </c>
    </row>
    <row r="561" spans="1:18">
      <c r="A561" s="3" t="s">
        <v>1504</v>
      </c>
      <c r="B561" s="3" t="s">
        <v>64</v>
      </c>
      <c r="C561" s="3" t="s">
        <v>64</v>
      </c>
      <c r="D561" s="3" t="s">
        <v>1505</v>
      </c>
      <c r="E561" s="3" t="s">
        <v>120</v>
      </c>
      <c r="F561" s="3">
        <v>22.98</v>
      </c>
      <c r="G561" s="3" t="s">
        <v>121</v>
      </c>
      <c r="H561" s="3"/>
      <c r="I561" s="3" t="s">
        <v>122</v>
      </c>
      <c r="J561" s="3">
        <v>18</v>
      </c>
      <c r="K561" s="3">
        <v>18</v>
      </c>
      <c r="L561" s="3">
        <v>0</v>
      </c>
      <c r="M561" s="3">
        <v>0</v>
      </c>
      <c r="N561" s="3">
        <v>18</v>
      </c>
      <c r="O561" s="3">
        <v>0.1</v>
      </c>
      <c r="P561" s="3">
        <v>0</v>
      </c>
      <c r="Q561" s="3">
        <v>0</v>
      </c>
      <c r="R561" s="3">
        <v>0</v>
      </c>
    </row>
    <row r="562" spans="1:18">
      <c r="A562" s="3" t="s">
        <v>1506</v>
      </c>
      <c r="B562" s="3" t="s">
        <v>66</v>
      </c>
      <c r="C562" s="3" t="s">
        <v>66</v>
      </c>
      <c r="D562" s="3" t="s">
        <v>1507</v>
      </c>
      <c r="E562" s="3" t="s">
        <v>120</v>
      </c>
      <c r="F562" s="3">
        <v>19.98</v>
      </c>
      <c r="G562" s="3" t="s">
        <v>121</v>
      </c>
      <c r="H562" s="3"/>
      <c r="I562" s="3" t="s">
        <v>122</v>
      </c>
      <c r="J562" s="3">
        <v>8</v>
      </c>
      <c r="K562" s="3">
        <v>8</v>
      </c>
      <c r="L562" s="3">
        <v>0</v>
      </c>
      <c r="M562" s="3">
        <v>0</v>
      </c>
      <c r="N562" s="3">
        <v>8</v>
      </c>
      <c r="O562" s="3">
        <v>0.11</v>
      </c>
      <c r="P562" s="3">
        <v>0</v>
      </c>
      <c r="Q562" s="3">
        <v>0</v>
      </c>
      <c r="R562" s="3">
        <v>0</v>
      </c>
    </row>
    <row r="563" spans="1:18">
      <c r="A563" s="3" t="s">
        <v>1508</v>
      </c>
      <c r="B563" s="3" t="s">
        <v>68</v>
      </c>
      <c r="C563" s="3" t="s">
        <v>68</v>
      </c>
      <c r="D563" s="3" t="s">
        <v>1509</v>
      </c>
      <c r="E563" s="3" t="s">
        <v>120</v>
      </c>
      <c r="F563" s="3">
        <v>22.98</v>
      </c>
      <c r="G563" s="3" t="s">
        <v>121</v>
      </c>
      <c r="H563" s="3"/>
      <c r="I563" s="3" t="s">
        <v>122</v>
      </c>
      <c r="J563" s="3">
        <v>43</v>
      </c>
      <c r="K563" s="3">
        <v>43</v>
      </c>
      <c r="L563" s="3">
        <v>0</v>
      </c>
      <c r="M563" s="3">
        <v>0</v>
      </c>
      <c r="N563" s="3">
        <v>43</v>
      </c>
      <c r="O563" s="3">
        <v>0.11</v>
      </c>
      <c r="P563" s="3">
        <v>0</v>
      </c>
      <c r="Q563" s="3">
        <v>0</v>
      </c>
      <c r="R563" s="3">
        <v>0</v>
      </c>
    </row>
    <row r="564" spans="1:18">
      <c r="A564" s="3" t="s">
        <v>1510</v>
      </c>
      <c r="B564" s="3" t="s">
        <v>72</v>
      </c>
      <c r="C564" s="3" t="s">
        <v>72</v>
      </c>
      <c r="D564" s="3" t="s">
        <v>1511</v>
      </c>
      <c r="E564" s="3" t="s">
        <v>120</v>
      </c>
      <c r="F564" s="3">
        <v>22.98</v>
      </c>
      <c r="G564" s="3" t="s">
        <v>121</v>
      </c>
      <c r="H564" s="3"/>
      <c r="I564" s="3" t="s">
        <v>122</v>
      </c>
      <c r="J564" s="3">
        <v>12</v>
      </c>
      <c r="K564" s="3">
        <v>12</v>
      </c>
      <c r="L564" s="3">
        <v>0</v>
      </c>
      <c r="M564" s="3">
        <v>0</v>
      </c>
      <c r="N564" s="3">
        <v>12</v>
      </c>
      <c r="O564" s="3">
        <v>0.11</v>
      </c>
      <c r="P564" s="3">
        <v>0</v>
      </c>
      <c r="Q564" s="3">
        <v>0</v>
      </c>
      <c r="R564" s="3">
        <v>0</v>
      </c>
    </row>
    <row r="565" spans="1:18">
      <c r="A565" s="3" t="s">
        <v>1512</v>
      </c>
      <c r="B565" s="3" t="s">
        <v>74</v>
      </c>
      <c r="C565" s="3" t="s">
        <v>74</v>
      </c>
      <c r="D565" s="3" t="s">
        <v>1513</v>
      </c>
      <c r="E565" s="3" t="s">
        <v>120</v>
      </c>
      <c r="F565" s="3">
        <v>22.98</v>
      </c>
      <c r="G565" s="3" t="s">
        <v>121</v>
      </c>
      <c r="H565" s="3"/>
      <c r="I565" s="3" t="s">
        <v>122</v>
      </c>
      <c r="J565" s="3">
        <v>26</v>
      </c>
      <c r="K565" s="3">
        <v>26</v>
      </c>
      <c r="L565" s="3">
        <v>0</v>
      </c>
      <c r="M565" s="3">
        <v>0</v>
      </c>
      <c r="N565" s="3">
        <v>26</v>
      </c>
      <c r="O565" s="3">
        <v>0.16</v>
      </c>
      <c r="P565" s="3">
        <v>0</v>
      </c>
      <c r="Q565" s="3">
        <v>0</v>
      </c>
      <c r="R565" s="3">
        <v>0</v>
      </c>
    </row>
    <row r="566" spans="1:18">
      <c r="A566" s="3" t="s">
        <v>1514</v>
      </c>
      <c r="B566" s="3" t="s">
        <v>76</v>
      </c>
      <c r="C566" s="3" t="s">
        <v>76</v>
      </c>
      <c r="D566" s="3" t="s">
        <v>1515</v>
      </c>
      <c r="E566" s="3" t="s">
        <v>120</v>
      </c>
      <c r="F566" s="3">
        <v>16.98</v>
      </c>
      <c r="G566" s="3" t="s">
        <v>121</v>
      </c>
      <c r="H566" s="3"/>
      <c r="I566" s="3" t="s">
        <v>122</v>
      </c>
      <c r="J566" s="3">
        <v>11</v>
      </c>
      <c r="K566" s="3">
        <v>11</v>
      </c>
      <c r="L566" s="3">
        <v>0</v>
      </c>
      <c r="M566" s="3">
        <v>0</v>
      </c>
      <c r="N566" s="3">
        <v>11</v>
      </c>
      <c r="O566" s="3">
        <v>0.13</v>
      </c>
      <c r="P566" s="3">
        <v>0</v>
      </c>
      <c r="Q566" s="3">
        <v>0</v>
      </c>
      <c r="R566" s="3">
        <v>0</v>
      </c>
    </row>
    <row r="567" spans="1:18">
      <c r="A567" s="3" t="s">
        <v>1516</v>
      </c>
      <c r="B567" s="3" t="s">
        <v>78</v>
      </c>
      <c r="C567" s="3" t="s">
        <v>78</v>
      </c>
      <c r="D567" s="3" t="s">
        <v>1517</v>
      </c>
      <c r="E567" s="3" t="s">
        <v>120</v>
      </c>
      <c r="F567" s="3">
        <v>22.98</v>
      </c>
      <c r="G567" s="3" t="s">
        <v>121</v>
      </c>
      <c r="H567" s="3"/>
      <c r="I567" s="3" t="s">
        <v>122</v>
      </c>
      <c r="J567" s="3">
        <v>33</v>
      </c>
      <c r="K567" s="3">
        <v>33</v>
      </c>
      <c r="L567" s="3">
        <v>0</v>
      </c>
      <c r="M567" s="3">
        <v>0</v>
      </c>
      <c r="N567" s="3">
        <v>33</v>
      </c>
      <c r="O567" s="3">
        <v>0.13</v>
      </c>
      <c r="P567" s="3">
        <v>0</v>
      </c>
      <c r="Q567" s="3">
        <v>0</v>
      </c>
      <c r="R567" s="3">
        <v>0</v>
      </c>
    </row>
    <row r="568" spans="1:18">
      <c r="A568" s="3" t="s">
        <v>1518</v>
      </c>
      <c r="B568" s="3" t="s">
        <v>80</v>
      </c>
      <c r="C568" s="3" t="s">
        <v>80</v>
      </c>
      <c r="D568" s="3" t="s">
        <v>1519</v>
      </c>
      <c r="E568" s="3" t="s">
        <v>120</v>
      </c>
      <c r="F568" s="3">
        <v>22.98</v>
      </c>
      <c r="G568" s="3" t="s">
        <v>121</v>
      </c>
      <c r="H568" s="3"/>
      <c r="I568" s="3" t="s">
        <v>122</v>
      </c>
      <c r="J568" s="3">
        <v>18</v>
      </c>
      <c r="K568" s="3">
        <v>18</v>
      </c>
      <c r="L568" s="3">
        <v>0</v>
      </c>
      <c r="M568" s="3">
        <v>0</v>
      </c>
      <c r="N568" s="3">
        <v>18</v>
      </c>
      <c r="O568" s="3">
        <v>0.2</v>
      </c>
      <c r="P568" s="3">
        <v>0</v>
      </c>
      <c r="Q568" s="3">
        <v>0</v>
      </c>
      <c r="R568" s="3">
        <v>0</v>
      </c>
    </row>
    <row r="569" spans="1:18">
      <c r="A569" s="3" t="s">
        <v>1520</v>
      </c>
      <c r="B569" s="3" t="s">
        <v>82</v>
      </c>
      <c r="C569" s="3" t="s">
        <v>82</v>
      </c>
      <c r="D569" s="3" t="s">
        <v>1521</v>
      </c>
      <c r="E569" s="3" t="s">
        <v>120</v>
      </c>
      <c r="F569" s="3">
        <v>22.98</v>
      </c>
      <c r="G569" s="3" t="s">
        <v>121</v>
      </c>
      <c r="H569" s="3"/>
      <c r="I569" s="3" t="s">
        <v>122</v>
      </c>
      <c r="J569" s="3">
        <v>33</v>
      </c>
      <c r="K569" s="3">
        <v>33</v>
      </c>
      <c r="L569" s="3">
        <v>0</v>
      </c>
      <c r="M569" s="3">
        <v>0</v>
      </c>
      <c r="N569" s="3">
        <v>33</v>
      </c>
      <c r="O569" s="3">
        <v>0.2</v>
      </c>
      <c r="P569" s="3">
        <v>0</v>
      </c>
      <c r="Q569" s="3">
        <v>0</v>
      </c>
      <c r="R569" s="3">
        <v>0</v>
      </c>
    </row>
    <row r="570" spans="1:18">
      <c r="A570" s="3" t="s">
        <v>1522</v>
      </c>
      <c r="B570" s="3" t="s">
        <v>84</v>
      </c>
      <c r="C570" s="3" t="s">
        <v>84</v>
      </c>
      <c r="D570" s="3" t="s">
        <v>1523</v>
      </c>
      <c r="E570" s="3" t="s">
        <v>120</v>
      </c>
      <c r="F570" s="3">
        <v>22.98</v>
      </c>
      <c r="G570" s="3" t="s">
        <v>121</v>
      </c>
      <c r="H570" s="3"/>
      <c r="I570" s="3" t="s">
        <v>122</v>
      </c>
      <c r="J570" s="3">
        <v>31</v>
      </c>
      <c r="K570" s="3">
        <v>31</v>
      </c>
      <c r="L570" s="3">
        <v>0</v>
      </c>
      <c r="M570" s="3">
        <v>0</v>
      </c>
      <c r="N570" s="3">
        <v>31</v>
      </c>
      <c r="O570" s="3">
        <v>0.04</v>
      </c>
      <c r="P570" s="3">
        <v>0</v>
      </c>
      <c r="Q570" s="3">
        <v>0</v>
      </c>
      <c r="R570" s="3">
        <v>0</v>
      </c>
    </row>
    <row r="571" spans="1:18">
      <c r="A571" s="3" t="s">
        <v>1524</v>
      </c>
      <c r="B571" s="3" t="s">
        <v>86</v>
      </c>
      <c r="C571" s="3" t="s">
        <v>86</v>
      </c>
      <c r="D571" s="3" t="s">
        <v>1525</v>
      </c>
      <c r="E571" s="3" t="s">
        <v>120</v>
      </c>
      <c r="F571" s="3">
        <v>18.98</v>
      </c>
      <c r="G571" s="3" t="s">
        <v>121</v>
      </c>
      <c r="H571" s="3"/>
      <c r="I571" s="3" t="s">
        <v>122</v>
      </c>
      <c r="J571" s="3">
        <v>11</v>
      </c>
      <c r="K571" s="3">
        <v>11</v>
      </c>
      <c r="L571" s="3">
        <v>0</v>
      </c>
      <c r="M571" s="3">
        <v>0</v>
      </c>
      <c r="N571" s="3">
        <v>11</v>
      </c>
      <c r="O571" s="3">
        <v>0.13</v>
      </c>
      <c r="P571" s="3">
        <v>0</v>
      </c>
      <c r="Q571" s="3">
        <v>0</v>
      </c>
      <c r="R571" s="3">
        <v>0</v>
      </c>
    </row>
    <row r="572" spans="1:18">
      <c r="A572" s="3" t="s">
        <v>1526</v>
      </c>
      <c r="B572" s="3" t="s">
        <v>88</v>
      </c>
      <c r="C572" s="3" t="s">
        <v>88</v>
      </c>
      <c r="D572" s="3" t="s">
        <v>1527</v>
      </c>
      <c r="E572" s="3" t="s">
        <v>120</v>
      </c>
      <c r="F572" s="3">
        <v>22.98</v>
      </c>
      <c r="G572" s="3" t="s">
        <v>121</v>
      </c>
      <c r="H572" s="3"/>
      <c r="I572" s="3" t="s">
        <v>122</v>
      </c>
      <c r="J572" s="3">
        <v>4</v>
      </c>
      <c r="K572" s="3">
        <v>3</v>
      </c>
      <c r="L572" s="3">
        <v>0</v>
      </c>
      <c r="M572" s="3">
        <v>1</v>
      </c>
      <c r="N572" s="3">
        <v>4</v>
      </c>
      <c r="O572" s="3">
        <v>0.12</v>
      </c>
      <c r="P572" s="3">
        <v>0</v>
      </c>
      <c r="Q572" s="3">
        <v>0</v>
      </c>
      <c r="R572" s="3">
        <v>0</v>
      </c>
    </row>
    <row r="573" spans="1:18">
      <c r="A573" s="3" t="s">
        <v>1528</v>
      </c>
      <c r="B573" s="3" t="s">
        <v>90</v>
      </c>
      <c r="C573" s="3" t="s">
        <v>90</v>
      </c>
      <c r="D573" s="3" t="s">
        <v>1529</v>
      </c>
      <c r="E573" s="3" t="s">
        <v>120</v>
      </c>
      <c r="F573" s="3">
        <v>22.98</v>
      </c>
      <c r="G573" s="3" t="s">
        <v>121</v>
      </c>
      <c r="H573" s="3"/>
      <c r="I573" s="3" t="s">
        <v>122</v>
      </c>
      <c r="J573" s="3">
        <v>8</v>
      </c>
      <c r="K573" s="3">
        <v>8</v>
      </c>
      <c r="L573" s="3">
        <v>0</v>
      </c>
      <c r="M573" s="3">
        <v>0</v>
      </c>
      <c r="N573" s="3">
        <v>8</v>
      </c>
      <c r="O573" s="3">
        <v>0.2</v>
      </c>
      <c r="P573" s="3">
        <v>0</v>
      </c>
      <c r="Q573" s="3">
        <v>0</v>
      </c>
      <c r="R573" s="3">
        <v>0</v>
      </c>
    </row>
    <row r="574" spans="1:18">
      <c r="A574" s="3" t="s">
        <v>1530</v>
      </c>
      <c r="B574" s="3" t="s">
        <v>92</v>
      </c>
      <c r="C574" s="3" t="s">
        <v>92</v>
      </c>
      <c r="D574" s="3" t="s">
        <v>1531</v>
      </c>
      <c r="E574" s="3" t="s">
        <v>120</v>
      </c>
      <c r="F574" s="3">
        <v>22.98</v>
      </c>
      <c r="G574" s="3" t="s">
        <v>121</v>
      </c>
      <c r="H574" s="3"/>
      <c r="I574" s="3" t="s">
        <v>122</v>
      </c>
      <c r="J574" s="3">
        <v>48</v>
      </c>
      <c r="K574" s="3">
        <v>48</v>
      </c>
      <c r="L574" s="3">
        <v>0</v>
      </c>
      <c r="M574" s="3">
        <v>0</v>
      </c>
      <c r="N574" s="3">
        <v>48</v>
      </c>
      <c r="O574" s="3">
        <v>0.14</v>
      </c>
      <c r="P574" s="3">
        <v>0</v>
      </c>
      <c r="Q574" s="3">
        <v>0</v>
      </c>
      <c r="R574" s="3">
        <v>0</v>
      </c>
    </row>
    <row r="575" spans="1:18">
      <c r="A575" s="3" t="s">
        <v>1532</v>
      </c>
      <c r="B575" s="3" t="s">
        <v>94</v>
      </c>
      <c r="C575" s="3" t="s">
        <v>94</v>
      </c>
      <c r="D575" s="3" t="s">
        <v>1533</v>
      </c>
      <c r="E575" s="3" t="s">
        <v>120</v>
      </c>
      <c r="F575" s="3">
        <v>22.98</v>
      </c>
      <c r="G575" s="3" t="s">
        <v>121</v>
      </c>
      <c r="H575" s="3"/>
      <c r="I575" s="3" t="s">
        <v>122</v>
      </c>
      <c r="J575" s="3">
        <v>29</v>
      </c>
      <c r="K575" s="3">
        <v>29</v>
      </c>
      <c r="L575" s="3">
        <v>0</v>
      </c>
      <c r="M575" s="3">
        <v>0</v>
      </c>
      <c r="N575" s="3">
        <v>29</v>
      </c>
      <c r="O575" s="3">
        <v>0.13</v>
      </c>
      <c r="P575" s="3">
        <v>0</v>
      </c>
      <c r="Q575" s="3">
        <v>0</v>
      </c>
      <c r="R575" s="3">
        <v>0</v>
      </c>
    </row>
    <row r="576" spans="1:18">
      <c r="A576" s="3" t="s">
        <v>1534</v>
      </c>
      <c r="B576" s="3" t="s">
        <v>96</v>
      </c>
      <c r="C576" s="3" t="s">
        <v>96</v>
      </c>
      <c r="D576" s="3" t="s">
        <v>1535</v>
      </c>
      <c r="E576" s="3" t="s">
        <v>120</v>
      </c>
      <c r="F576" s="3">
        <v>11.03</v>
      </c>
      <c r="G576" s="3" t="s">
        <v>121</v>
      </c>
      <c r="H576" s="3"/>
      <c r="I576" s="3" t="s">
        <v>122</v>
      </c>
      <c r="J576" s="3">
        <v>0</v>
      </c>
      <c r="K576" s="3">
        <v>0</v>
      </c>
      <c r="L576" s="3">
        <v>0</v>
      </c>
      <c r="M576" s="3">
        <v>0</v>
      </c>
      <c r="N576" s="3">
        <v>0</v>
      </c>
      <c r="O576" s="3">
        <v>0.13</v>
      </c>
      <c r="P576" s="3">
        <v>0</v>
      </c>
      <c r="Q576" s="3">
        <v>0</v>
      </c>
      <c r="R576" s="3">
        <v>0</v>
      </c>
    </row>
    <row r="577" spans="1:18">
      <c r="A577" s="3" t="s">
        <v>1536</v>
      </c>
      <c r="B577" s="3" t="s">
        <v>98</v>
      </c>
      <c r="C577" s="3" t="s">
        <v>98</v>
      </c>
      <c r="D577" s="3" t="s">
        <v>1537</v>
      </c>
      <c r="E577" s="3" t="s">
        <v>120</v>
      </c>
      <c r="F577" s="3">
        <v>22.98</v>
      </c>
      <c r="G577" s="3" t="s">
        <v>121</v>
      </c>
      <c r="H577" s="3"/>
      <c r="I577" s="3" t="s">
        <v>122</v>
      </c>
      <c r="J577" s="3">
        <v>42</v>
      </c>
      <c r="K577" s="3">
        <v>42</v>
      </c>
      <c r="L577" s="3">
        <v>0</v>
      </c>
      <c r="M577" s="3">
        <v>0</v>
      </c>
      <c r="N577" s="3">
        <v>42</v>
      </c>
      <c r="O577" s="3">
        <v>0.16</v>
      </c>
      <c r="P577" s="3">
        <v>0</v>
      </c>
      <c r="Q577" s="3">
        <v>0</v>
      </c>
      <c r="R577" s="3">
        <v>0</v>
      </c>
    </row>
    <row r="578" spans="1:18">
      <c r="A578" s="3" t="s">
        <v>1538</v>
      </c>
      <c r="B578" s="3" t="s">
        <v>100</v>
      </c>
      <c r="C578" s="3" t="s">
        <v>100</v>
      </c>
      <c r="D578" s="3" t="s">
        <v>1539</v>
      </c>
      <c r="E578" s="3" t="s">
        <v>120</v>
      </c>
      <c r="F578" s="3">
        <v>22.98</v>
      </c>
      <c r="G578" s="3" t="s">
        <v>121</v>
      </c>
      <c r="H578" s="3"/>
      <c r="I578" s="3" t="s">
        <v>122</v>
      </c>
      <c r="J578" s="3">
        <v>47</v>
      </c>
      <c r="K578" s="3">
        <v>47</v>
      </c>
      <c r="L578" s="3">
        <v>0</v>
      </c>
      <c r="M578" s="3">
        <v>0</v>
      </c>
      <c r="N578" s="3">
        <v>47</v>
      </c>
      <c r="O578" s="3">
        <v>0.2</v>
      </c>
      <c r="P578" s="3">
        <v>0</v>
      </c>
      <c r="Q578" s="3">
        <v>0</v>
      </c>
      <c r="R578" s="3">
        <v>0</v>
      </c>
    </row>
    <row r="579" spans="1:18">
      <c r="A579" s="3" t="s">
        <v>1540</v>
      </c>
      <c r="B579" s="3" t="s">
        <v>102</v>
      </c>
      <c r="C579" s="3" t="s">
        <v>102</v>
      </c>
      <c r="D579" s="3" t="s">
        <v>1541</v>
      </c>
      <c r="E579" s="3" t="s">
        <v>120</v>
      </c>
      <c r="F579" s="3">
        <v>22.98</v>
      </c>
      <c r="G579" s="3" t="s">
        <v>121</v>
      </c>
      <c r="H579" s="3"/>
      <c r="I579" s="3" t="s">
        <v>122</v>
      </c>
      <c r="J579" s="3">
        <v>0</v>
      </c>
      <c r="K579" s="3">
        <v>0</v>
      </c>
      <c r="L579" s="3">
        <v>0</v>
      </c>
      <c r="M579" s="3">
        <v>0</v>
      </c>
      <c r="N579" s="3">
        <v>0</v>
      </c>
      <c r="O579" s="3">
        <v>0.09</v>
      </c>
      <c r="P579" s="3">
        <v>0</v>
      </c>
      <c r="Q579" s="3">
        <v>0</v>
      </c>
      <c r="R579" s="3">
        <v>0</v>
      </c>
    </row>
    <row r="580" spans="1:18">
      <c r="A580" s="3" t="s">
        <v>1542</v>
      </c>
      <c r="B580" s="3" t="s">
        <v>104</v>
      </c>
      <c r="C580" s="3" t="s">
        <v>104</v>
      </c>
      <c r="D580" s="3" t="s">
        <v>1543</v>
      </c>
      <c r="E580" s="3" t="s">
        <v>120</v>
      </c>
      <c r="F580" s="3">
        <v>22.98</v>
      </c>
      <c r="G580" s="3" t="s">
        <v>121</v>
      </c>
      <c r="H580" s="3"/>
      <c r="I580" s="3" t="s">
        <v>122</v>
      </c>
      <c r="J580" s="3">
        <v>5</v>
      </c>
      <c r="K580" s="3">
        <v>5</v>
      </c>
      <c r="L580" s="3">
        <v>0</v>
      </c>
      <c r="M580" s="3">
        <v>0</v>
      </c>
      <c r="N580" s="3">
        <v>5</v>
      </c>
      <c r="O580" s="3">
        <v>0.12</v>
      </c>
      <c r="P580" s="3">
        <v>0</v>
      </c>
      <c r="Q580" s="3">
        <v>0</v>
      </c>
      <c r="R580" s="3">
        <v>0</v>
      </c>
    </row>
    <row r="581" spans="1:18">
      <c r="A581" s="3" t="s">
        <v>1544</v>
      </c>
      <c r="B581" s="3" t="s">
        <v>106</v>
      </c>
      <c r="C581" s="3" t="s">
        <v>106</v>
      </c>
      <c r="D581" s="3" t="s">
        <v>1545</v>
      </c>
      <c r="E581" s="3" t="s">
        <v>120</v>
      </c>
      <c r="F581" s="3">
        <v>19.98</v>
      </c>
      <c r="G581" s="3" t="s">
        <v>121</v>
      </c>
      <c r="H581" s="3"/>
      <c r="I581" s="3" t="s">
        <v>122</v>
      </c>
      <c r="J581" s="3">
        <v>2</v>
      </c>
      <c r="K581" s="3">
        <v>2</v>
      </c>
      <c r="L581" s="3">
        <v>0</v>
      </c>
      <c r="M581" s="3">
        <v>0</v>
      </c>
      <c r="N581" s="3">
        <v>2</v>
      </c>
      <c r="O581" s="3">
        <v>0.2</v>
      </c>
      <c r="P581" s="3">
        <v>0</v>
      </c>
      <c r="Q581" s="3">
        <v>0</v>
      </c>
      <c r="R581" s="3">
        <v>0</v>
      </c>
    </row>
    <row r="582" spans="1:18">
      <c r="A582" s="3" t="s">
        <v>1546</v>
      </c>
      <c r="B582" s="3" t="s">
        <v>108</v>
      </c>
      <c r="C582" s="3" t="s">
        <v>108</v>
      </c>
      <c r="D582" s="3" t="s">
        <v>1547</v>
      </c>
      <c r="E582" s="3" t="s">
        <v>120</v>
      </c>
      <c r="F582" s="3">
        <v>22.98</v>
      </c>
      <c r="G582" s="3" t="s">
        <v>121</v>
      </c>
      <c r="H582" s="3"/>
      <c r="I582" s="3" t="s">
        <v>122</v>
      </c>
      <c r="J582" s="3">
        <v>9</v>
      </c>
      <c r="K582" s="3">
        <v>9</v>
      </c>
      <c r="L582" s="3">
        <v>0</v>
      </c>
      <c r="M582" s="3">
        <v>0</v>
      </c>
      <c r="N582" s="3">
        <v>9</v>
      </c>
      <c r="O582" s="3">
        <v>0.2</v>
      </c>
      <c r="P582" s="3">
        <v>0</v>
      </c>
      <c r="Q582" s="3">
        <v>0</v>
      </c>
      <c r="R582" s="3">
        <v>0</v>
      </c>
    </row>
    <row r="583" spans="1:18">
      <c r="A583" s="3" t="s">
        <v>1548</v>
      </c>
      <c r="B583" s="3" t="s">
        <v>1549</v>
      </c>
      <c r="C583" s="3" t="s">
        <v>1549</v>
      </c>
      <c r="D583" s="3" t="s">
        <v>1550</v>
      </c>
      <c r="E583" s="3" t="s">
        <v>120</v>
      </c>
      <c r="F583" s="3">
        <v>39.98</v>
      </c>
      <c r="G583" s="3" t="s">
        <v>121</v>
      </c>
      <c r="H583" s="3"/>
      <c r="I583" s="3" t="s">
        <v>122</v>
      </c>
      <c r="J583" s="3">
        <v>0</v>
      </c>
      <c r="K583" s="3">
        <v>0</v>
      </c>
      <c r="L583" s="3">
        <v>0</v>
      </c>
      <c r="M583" s="3">
        <v>0</v>
      </c>
      <c r="N583" s="3">
        <v>0</v>
      </c>
      <c r="O583" s="3">
        <v>0.21</v>
      </c>
      <c r="P583" s="3">
        <v>0</v>
      </c>
      <c r="Q583" s="3">
        <v>0</v>
      </c>
      <c r="R583" s="3">
        <v>0</v>
      </c>
    </row>
    <row r="584" spans="1:18">
      <c r="A584" s="3" t="s">
        <v>1551</v>
      </c>
      <c r="B584" s="3" t="s">
        <v>1552</v>
      </c>
      <c r="C584" s="3" t="s">
        <v>1552</v>
      </c>
      <c r="D584" s="3" t="s">
        <v>1553</v>
      </c>
      <c r="E584" s="3" t="s">
        <v>120</v>
      </c>
      <c r="F584" s="3">
        <v>39.98</v>
      </c>
      <c r="G584" s="3" t="s">
        <v>121</v>
      </c>
      <c r="H584" s="3"/>
      <c r="I584" s="3" t="s">
        <v>122</v>
      </c>
      <c r="J584" s="3">
        <v>3</v>
      </c>
      <c r="K584" s="3">
        <v>2</v>
      </c>
      <c r="L584" s="3">
        <v>0</v>
      </c>
      <c r="M584" s="3">
        <v>1</v>
      </c>
      <c r="N584" s="3">
        <v>3</v>
      </c>
      <c r="O584" s="3">
        <v>0.11</v>
      </c>
      <c r="P584" s="3">
        <v>0</v>
      </c>
      <c r="Q584" s="3">
        <v>0</v>
      </c>
      <c r="R584" s="3">
        <v>0</v>
      </c>
    </row>
    <row r="585" spans="1:18">
      <c r="A585" s="3" t="s">
        <v>1554</v>
      </c>
      <c r="B585" s="3" t="s">
        <v>1555</v>
      </c>
      <c r="C585" s="3" t="s">
        <v>1555</v>
      </c>
      <c r="D585" s="3"/>
      <c r="E585" s="3" t="s">
        <v>20</v>
      </c>
      <c r="F585" s="3"/>
      <c r="G585" s="3"/>
      <c r="H585" s="3"/>
      <c r="I585" s="3"/>
      <c r="J585" s="3">
        <v>0</v>
      </c>
      <c r="K585" s="3">
        <v>0</v>
      </c>
      <c r="L585" s="3">
        <v>0</v>
      </c>
      <c r="M585" s="3">
        <v>0</v>
      </c>
      <c r="N585" s="3">
        <v>0</v>
      </c>
      <c r="O585" s="3"/>
      <c r="P585" s="3">
        <v>0</v>
      </c>
      <c r="Q585" s="3">
        <v>0</v>
      </c>
      <c r="R585" s="3">
        <v>0</v>
      </c>
    </row>
    <row r="586" spans="1:18">
      <c r="A586" s="3" t="s">
        <v>1556</v>
      </c>
      <c r="B586" s="3" t="s">
        <v>1557</v>
      </c>
      <c r="C586" s="3" t="s">
        <v>1557</v>
      </c>
      <c r="D586" s="3" t="s">
        <v>1558</v>
      </c>
      <c r="E586" s="3" t="s">
        <v>120</v>
      </c>
      <c r="F586" s="3">
        <v>39.98</v>
      </c>
      <c r="G586" s="3" t="s">
        <v>121</v>
      </c>
      <c r="H586" s="3"/>
      <c r="I586" s="3" t="s">
        <v>122</v>
      </c>
      <c r="J586" s="3">
        <v>2</v>
      </c>
      <c r="K586" s="3">
        <v>2</v>
      </c>
      <c r="L586" s="3">
        <v>0</v>
      </c>
      <c r="M586" s="3">
        <v>0</v>
      </c>
      <c r="N586" s="3">
        <v>2</v>
      </c>
      <c r="O586" s="3">
        <v>0.28</v>
      </c>
      <c r="P586" s="3">
        <v>0</v>
      </c>
      <c r="Q586" s="3">
        <v>0</v>
      </c>
      <c r="R586" s="3">
        <v>0</v>
      </c>
    </row>
    <row r="587" spans="1:18">
      <c r="A587" s="3" t="s">
        <v>1559</v>
      </c>
      <c r="B587" s="3" t="s">
        <v>1560</v>
      </c>
      <c r="C587" s="3" t="s">
        <v>1560</v>
      </c>
      <c r="D587" s="3" t="s">
        <v>1561</v>
      </c>
      <c r="E587" s="3" t="s">
        <v>120</v>
      </c>
      <c r="F587" s="3">
        <v>39.98</v>
      </c>
      <c r="G587" s="3" t="s">
        <v>121</v>
      </c>
      <c r="H587" s="3"/>
      <c r="I587" s="3" t="s">
        <v>122</v>
      </c>
      <c r="J587" s="3">
        <v>17</v>
      </c>
      <c r="K587" s="3">
        <v>17</v>
      </c>
      <c r="L587" s="3">
        <v>0</v>
      </c>
      <c r="M587" s="3">
        <v>0</v>
      </c>
      <c r="N587" s="3">
        <v>17</v>
      </c>
      <c r="O587" s="3">
        <v>0.12</v>
      </c>
      <c r="P587" s="3">
        <v>0</v>
      </c>
      <c r="Q587" s="3">
        <v>0</v>
      </c>
      <c r="R587" s="3">
        <v>0</v>
      </c>
    </row>
    <row r="588" spans="1:18">
      <c r="A588" s="3" t="s">
        <v>1562</v>
      </c>
      <c r="B588" s="3" t="s">
        <v>1563</v>
      </c>
      <c r="C588" s="3" t="s">
        <v>1563</v>
      </c>
      <c r="D588" s="3" t="s">
        <v>1564</v>
      </c>
      <c r="E588" s="3" t="s">
        <v>120</v>
      </c>
      <c r="F588" s="3">
        <v>39.98</v>
      </c>
      <c r="G588" s="3" t="s">
        <v>121</v>
      </c>
      <c r="H588" s="3"/>
      <c r="I588" s="3" t="s">
        <v>122</v>
      </c>
      <c r="J588" s="3">
        <v>32</v>
      </c>
      <c r="K588" s="3">
        <v>32</v>
      </c>
      <c r="L588" s="3">
        <v>0</v>
      </c>
      <c r="M588" s="3">
        <v>0</v>
      </c>
      <c r="N588" s="3">
        <v>32</v>
      </c>
      <c r="O588" s="3">
        <v>0.08</v>
      </c>
      <c r="P588" s="3">
        <v>0</v>
      </c>
      <c r="Q588" s="3">
        <v>0</v>
      </c>
      <c r="R588" s="3">
        <v>0</v>
      </c>
    </row>
    <row r="589" spans="1:18">
      <c r="A589" s="3" t="s">
        <v>1565</v>
      </c>
      <c r="B589" s="3" t="s">
        <v>1566</v>
      </c>
      <c r="C589" s="3" t="s">
        <v>1566</v>
      </c>
      <c r="D589" s="3" t="s">
        <v>1567</v>
      </c>
      <c r="E589" s="3" t="s">
        <v>120</v>
      </c>
      <c r="F589" s="3">
        <v>39.98</v>
      </c>
      <c r="G589" s="3" t="s">
        <v>121</v>
      </c>
      <c r="H589" s="3"/>
      <c r="I589" s="3" t="s">
        <v>122</v>
      </c>
      <c r="J589" s="3">
        <v>19</v>
      </c>
      <c r="K589" s="3">
        <v>19</v>
      </c>
      <c r="L589" s="3">
        <v>0</v>
      </c>
      <c r="M589" s="3">
        <v>0</v>
      </c>
      <c r="N589" s="3">
        <v>19</v>
      </c>
      <c r="O589" s="3">
        <v>0.1</v>
      </c>
      <c r="P589" s="3">
        <v>0</v>
      </c>
      <c r="Q589" s="3">
        <v>0</v>
      </c>
      <c r="R589" s="3">
        <v>0</v>
      </c>
    </row>
    <row r="590" spans="1:18">
      <c r="A590" s="3" t="s">
        <v>1568</v>
      </c>
      <c r="B590" s="3" t="s">
        <v>1569</v>
      </c>
      <c r="C590" s="3" t="s">
        <v>1569</v>
      </c>
      <c r="D590" s="3" t="s">
        <v>1570</v>
      </c>
      <c r="E590" s="3" t="s">
        <v>120</v>
      </c>
      <c r="F590" s="3">
        <v>39.98</v>
      </c>
      <c r="G590" s="3" t="s">
        <v>121</v>
      </c>
      <c r="H590" s="3"/>
      <c r="I590" s="3" t="s">
        <v>122</v>
      </c>
      <c r="J590" s="3">
        <v>9</v>
      </c>
      <c r="K590" s="3">
        <v>9</v>
      </c>
      <c r="L590" s="3">
        <v>0</v>
      </c>
      <c r="M590" s="3">
        <v>0</v>
      </c>
      <c r="N590" s="3">
        <v>9</v>
      </c>
      <c r="O590" s="3">
        <v>0.28</v>
      </c>
      <c r="P590" s="3">
        <v>0</v>
      </c>
      <c r="Q590" s="3">
        <v>0</v>
      </c>
      <c r="R590" s="3">
        <v>0</v>
      </c>
    </row>
    <row r="591" spans="1:18">
      <c r="A591" s="3" t="s">
        <v>1571</v>
      </c>
      <c r="B591" s="3" t="s">
        <v>1572</v>
      </c>
      <c r="C591" s="3" t="s">
        <v>1572</v>
      </c>
      <c r="D591" s="3" t="s">
        <v>1573</v>
      </c>
      <c r="E591" s="3" t="s">
        <v>120</v>
      </c>
      <c r="F591" s="3">
        <v>39.98</v>
      </c>
      <c r="G591" s="3" t="s">
        <v>121</v>
      </c>
      <c r="H591" s="3"/>
      <c r="I591" s="3" t="s">
        <v>122</v>
      </c>
      <c r="J591" s="3">
        <v>0</v>
      </c>
      <c r="K591" s="3">
        <v>0</v>
      </c>
      <c r="L591" s="3">
        <v>0</v>
      </c>
      <c r="M591" s="3">
        <v>0</v>
      </c>
      <c r="N591" s="3">
        <v>0</v>
      </c>
      <c r="O591" s="3">
        <v>0.28</v>
      </c>
      <c r="P591" s="3">
        <v>0</v>
      </c>
      <c r="Q591" s="3">
        <v>0</v>
      </c>
      <c r="R591" s="3">
        <v>0</v>
      </c>
    </row>
    <row r="592" spans="1:18">
      <c r="A592" s="3" t="s">
        <v>1574</v>
      </c>
      <c r="B592" s="3" t="s">
        <v>1575</v>
      </c>
      <c r="C592" s="3" t="s">
        <v>1575</v>
      </c>
      <c r="D592" s="3" t="s">
        <v>1576</v>
      </c>
      <c r="E592" s="3" t="s">
        <v>120</v>
      </c>
      <c r="F592" s="3">
        <v>39.98</v>
      </c>
      <c r="G592" s="3" t="s">
        <v>121</v>
      </c>
      <c r="H592" s="3"/>
      <c r="I592" s="3" t="s">
        <v>122</v>
      </c>
      <c r="J592" s="3">
        <v>11</v>
      </c>
      <c r="K592" s="3">
        <v>10</v>
      </c>
      <c r="L592" s="3">
        <v>0</v>
      </c>
      <c r="M592" s="3">
        <v>1</v>
      </c>
      <c r="N592" s="3">
        <v>11</v>
      </c>
      <c r="O592" s="3">
        <v>0.28</v>
      </c>
      <c r="P592" s="3">
        <v>0</v>
      </c>
      <c r="Q592" s="3">
        <v>0</v>
      </c>
      <c r="R592" s="3">
        <v>0</v>
      </c>
    </row>
    <row r="593" spans="1:18">
      <c r="A593" s="3" t="s">
        <v>1577</v>
      </c>
      <c r="B593" s="3" t="s">
        <v>1578</v>
      </c>
      <c r="C593" s="3" t="s">
        <v>1578</v>
      </c>
      <c r="D593" s="3" t="s">
        <v>1579</v>
      </c>
      <c r="E593" s="3" t="s">
        <v>120</v>
      </c>
      <c r="F593" s="3">
        <v>39.98</v>
      </c>
      <c r="G593" s="3" t="s">
        <v>121</v>
      </c>
      <c r="H593" s="3"/>
      <c r="I593" s="3" t="s">
        <v>122</v>
      </c>
      <c r="J593" s="3">
        <v>13</v>
      </c>
      <c r="K593" s="3">
        <v>13</v>
      </c>
      <c r="L593" s="3">
        <v>0</v>
      </c>
      <c r="M593" s="3">
        <v>0</v>
      </c>
      <c r="N593" s="3">
        <v>13</v>
      </c>
      <c r="O593" s="3">
        <v>0</v>
      </c>
      <c r="P593" s="3">
        <v>0</v>
      </c>
      <c r="Q593" s="3">
        <v>0</v>
      </c>
      <c r="R593" s="3">
        <v>0</v>
      </c>
    </row>
    <row r="594" spans="1:18">
      <c r="A594" s="3" t="s">
        <v>1580</v>
      </c>
      <c r="B594" s="3" t="s">
        <v>1581</v>
      </c>
      <c r="C594" s="3" t="s">
        <v>1581</v>
      </c>
      <c r="D594" s="3" t="s">
        <v>1582</v>
      </c>
      <c r="E594" s="3" t="s">
        <v>120</v>
      </c>
      <c r="F594" s="3">
        <v>39.98</v>
      </c>
      <c r="G594" s="3" t="s">
        <v>121</v>
      </c>
      <c r="H594" s="3"/>
      <c r="I594" s="3" t="s">
        <v>122</v>
      </c>
      <c r="J594" s="3">
        <v>0</v>
      </c>
      <c r="K594" s="3">
        <v>0</v>
      </c>
      <c r="L594" s="3">
        <v>0</v>
      </c>
      <c r="M594" s="3">
        <v>0</v>
      </c>
      <c r="N594" s="3">
        <v>0</v>
      </c>
      <c r="O594" s="3">
        <v>0.28</v>
      </c>
      <c r="P594" s="3">
        <v>0</v>
      </c>
      <c r="Q594" s="3">
        <v>0</v>
      </c>
      <c r="R594" s="3">
        <v>0</v>
      </c>
    </row>
    <row r="595" spans="1:18">
      <c r="A595" s="3" t="s">
        <v>1583</v>
      </c>
      <c r="B595" s="3" t="s">
        <v>1584</v>
      </c>
      <c r="C595" s="3" t="s">
        <v>1584</v>
      </c>
      <c r="D595" s="3" t="s">
        <v>1585</v>
      </c>
      <c r="E595" s="3" t="s">
        <v>120</v>
      </c>
      <c r="F595" s="3">
        <v>39.98</v>
      </c>
      <c r="G595" s="3" t="s">
        <v>121</v>
      </c>
      <c r="H595" s="3"/>
      <c r="I595" s="3" t="s">
        <v>122</v>
      </c>
      <c r="J595" s="3">
        <v>8</v>
      </c>
      <c r="K595" s="3">
        <v>8</v>
      </c>
      <c r="L595" s="3">
        <v>0</v>
      </c>
      <c r="M595" s="3">
        <v>0</v>
      </c>
      <c r="N595" s="3">
        <v>8</v>
      </c>
      <c r="O595" s="3">
        <v>0.09</v>
      </c>
      <c r="P595" s="3">
        <v>0</v>
      </c>
      <c r="Q595" s="3">
        <v>0</v>
      </c>
      <c r="R595" s="3">
        <v>0</v>
      </c>
    </row>
    <row r="596" spans="1:18">
      <c r="A596" s="3" t="s">
        <v>1586</v>
      </c>
      <c r="B596" s="3" t="s">
        <v>1587</v>
      </c>
      <c r="C596" s="3" t="s">
        <v>1587</v>
      </c>
      <c r="D596" s="3" t="s">
        <v>1588</v>
      </c>
      <c r="E596" s="3" t="s">
        <v>120</v>
      </c>
      <c r="F596" s="3">
        <v>39.98</v>
      </c>
      <c r="G596" s="3" t="s">
        <v>121</v>
      </c>
      <c r="H596" s="3"/>
      <c r="I596" s="3" t="s">
        <v>122</v>
      </c>
      <c r="J596" s="3">
        <v>31</v>
      </c>
      <c r="K596" s="3">
        <v>31</v>
      </c>
      <c r="L596" s="3">
        <v>0</v>
      </c>
      <c r="M596" s="3">
        <v>0</v>
      </c>
      <c r="N596" s="3">
        <v>31</v>
      </c>
      <c r="O596" s="3">
        <v>0.11</v>
      </c>
      <c r="P596" s="3">
        <v>0</v>
      </c>
      <c r="Q596" s="3">
        <v>0</v>
      </c>
      <c r="R596" s="3">
        <v>0</v>
      </c>
    </row>
    <row r="597" spans="1:18">
      <c r="A597" s="3" t="s">
        <v>1589</v>
      </c>
      <c r="B597" s="3" t="s">
        <v>1590</v>
      </c>
      <c r="C597" s="3" t="s">
        <v>1590</v>
      </c>
      <c r="D597" s="3" t="s">
        <v>1591</v>
      </c>
      <c r="E597" s="3" t="s">
        <v>120</v>
      </c>
      <c r="F597" s="3">
        <v>39.98</v>
      </c>
      <c r="G597" s="3" t="s">
        <v>121</v>
      </c>
      <c r="H597" s="3"/>
      <c r="I597" s="3" t="s">
        <v>122</v>
      </c>
      <c r="J597" s="3">
        <v>30</v>
      </c>
      <c r="K597" s="3">
        <v>30</v>
      </c>
      <c r="L597" s="3">
        <v>0</v>
      </c>
      <c r="M597" s="3">
        <v>0</v>
      </c>
      <c r="N597" s="3">
        <v>30</v>
      </c>
      <c r="O597" s="3">
        <v>0.03</v>
      </c>
      <c r="P597" s="3">
        <v>0</v>
      </c>
      <c r="Q597" s="3">
        <v>0</v>
      </c>
      <c r="R597" s="3">
        <v>0</v>
      </c>
    </row>
    <row r="598" spans="1:18">
      <c r="A598" s="3" t="s">
        <v>1592</v>
      </c>
      <c r="B598" s="3" t="s">
        <v>1593</v>
      </c>
      <c r="C598" s="3" t="s">
        <v>1593</v>
      </c>
      <c r="D598" s="3" t="s">
        <v>1594</v>
      </c>
      <c r="E598" s="3" t="s">
        <v>120</v>
      </c>
      <c r="F598" s="3">
        <v>39.98</v>
      </c>
      <c r="G598" s="3" t="s">
        <v>121</v>
      </c>
      <c r="H598" s="3"/>
      <c r="I598" s="3" t="s">
        <v>122</v>
      </c>
      <c r="J598" s="3">
        <v>31</v>
      </c>
      <c r="K598" s="3">
        <v>29</v>
      </c>
      <c r="L598" s="3">
        <v>0</v>
      </c>
      <c r="M598" s="3">
        <v>2</v>
      </c>
      <c r="N598" s="3">
        <v>31</v>
      </c>
      <c r="O598" s="3">
        <v>0.09</v>
      </c>
      <c r="P598" s="3">
        <v>0</v>
      </c>
      <c r="Q598" s="3">
        <v>0</v>
      </c>
      <c r="R598" s="3">
        <v>0</v>
      </c>
    </row>
    <row r="599" spans="1:18">
      <c r="A599" s="3" t="s">
        <v>1595</v>
      </c>
      <c r="B599" s="3" t="s">
        <v>1596</v>
      </c>
      <c r="C599" s="3" t="s">
        <v>1596</v>
      </c>
      <c r="D599" s="3" t="s">
        <v>1597</v>
      </c>
      <c r="E599" s="3" t="s">
        <v>120</v>
      </c>
      <c r="F599" s="3">
        <v>39.98</v>
      </c>
      <c r="G599" s="3" t="s">
        <v>121</v>
      </c>
      <c r="H599" s="3"/>
      <c r="I599" s="3" t="s">
        <v>122</v>
      </c>
      <c r="J599" s="3">
        <v>42</v>
      </c>
      <c r="K599" s="3">
        <v>42</v>
      </c>
      <c r="L599" s="3">
        <v>0</v>
      </c>
      <c r="M599" s="3">
        <v>0</v>
      </c>
      <c r="N599" s="3">
        <v>42</v>
      </c>
      <c r="O599" s="3">
        <v>0.28</v>
      </c>
      <c r="P599" s="3">
        <v>0</v>
      </c>
      <c r="Q599" s="3">
        <v>0</v>
      </c>
      <c r="R599" s="3">
        <v>0</v>
      </c>
    </row>
    <row r="600" spans="1:18">
      <c r="A600" s="3" t="s">
        <v>1598</v>
      </c>
      <c r="B600" s="3" t="s">
        <v>1599</v>
      </c>
      <c r="C600" s="3" t="s">
        <v>1599</v>
      </c>
      <c r="D600" s="3" t="s">
        <v>1600</v>
      </c>
      <c r="E600" s="3" t="s">
        <v>120</v>
      </c>
      <c r="F600" s="3">
        <v>39.98</v>
      </c>
      <c r="G600" s="3" t="s">
        <v>121</v>
      </c>
      <c r="H600" s="3"/>
      <c r="I600" s="3" t="s">
        <v>122</v>
      </c>
      <c r="J600" s="3">
        <v>38</v>
      </c>
      <c r="K600" s="3">
        <v>38</v>
      </c>
      <c r="L600" s="3">
        <v>0</v>
      </c>
      <c r="M600" s="3">
        <v>0</v>
      </c>
      <c r="N600" s="3">
        <v>38</v>
      </c>
      <c r="O600" s="3">
        <v>0.28</v>
      </c>
      <c r="P600" s="3">
        <v>0</v>
      </c>
      <c r="Q600" s="3">
        <v>0</v>
      </c>
      <c r="R600" s="3">
        <v>0</v>
      </c>
    </row>
    <row r="601" spans="1:18">
      <c r="A601" s="3" t="s">
        <v>1601</v>
      </c>
      <c r="B601" s="3" t="s">
        <v>1602</v>
      </c>
      <c r="C601" s="3" t="s">
        <v>1602</v>
      </c>
      <c r="D601" s="3" t="s">
        <v>1603</v>
      </c>
      <c r="E601" s="3" t="s">
        <v>120</v>
      </c>
      <c r="F601" s="3">
        <v>39.98</v>
      </c>
      <c r="G601" s="3" t="s">
        <v>121</v>
      </c>
      <c r="H601" s="3"/>
      <c r="I601" s="3" t="s">
        <v>122</v>
      </c>
      <c r="J601" s="3">
        <v>1</v>
      </c>
      <c r="K601" s="3">
        <v>1</v>
      </c>
      <c r="L601" s="3">
        <v>0</v>
      </c>
      <c r="M601" s="3">
        <v>0</v>
      </c>
      <c r="N601" s="3">
        <v>1</v>
      </c>
      <c r="O601" s="3">
        <v>0.13</v>
      </c>
      <c r="P601" s="3">
        <v>0</v>
      </c>
      <c r="Q601" s="3">
        <v>0</v>
      </c>
      <c r="R601" s="3">
        <v>0</v>
      </c>
    </row>
    <row r="602" spans="1:18">
      <c r="A602" s="3" t="s">
        <v>1604</v>
      </c>
      <c r="B602" s="3" t="s">
        <v>1605</v>
      </c>
      <c r="C602" s="3" t="s">
        <v>1605</v>
      </c>
      <c r="D602" s="3" t="s">
        <v>1606</v>
      </c>
      <c r="E602" s="3" t="s">
        <v>120</v>
      </c>
      <c r="F602" s="3">
        <v>39.98</v>
      </c>
      <c r="G602" s="3" t="s">
        <v>121</v>
      </c>
      <c r="H602" s="3"/>
      <c r="I602" s="3" t="s">
        <v>122</v>
      </c>
      <c r="J602" s="3">
        <v>0</v>
      </c>
      <c r="K602" s="3">
        <v>0</v>
      </c>
      <c r="L602" s="3">
        <v>0</v>
      </c>
      <c r="M602" s="3">
        <v>0</v>
      </c>
      <c r="N602" s="3">
        <v>0</v>
      </c>
      <c r="O602" s="3">
        <v>0.28</v>
      </c>
      <c r="P602" s="3">
        <v>0</v>
      </c>
      <c r="Q602" s="3">
        <v>0</v>
      </c>
      <c r="R602" s="3">
        <v>0</v>
      </c>
    </row>
    <row r="603" spans="1:18">
      <c r="A603" s="3" t="s">
        <v>1607</v>
      </c>
      <c r="B603" s="3" t="s">
        <v>1608</v>
      </c>
      <c r="C603" s="3" t="s">
        <v>1608</v>
      </c>
      <c r="D603" s="3" t="s">
        <v>1609</v>
      </c>
      <c r="E603" s="3" t="s">
        <v>120</v>
      </c>
      <c r="F603" s="3">
        <v>39.98</v>
      </c>
      <c r="G603" s="3" t="s">
        <v>121</v>
      </c>
      <c r="H603" s="3"/>
      <c r="I603" s="3" t="s">
        <v>122</v>
      </c>
      <c r="J603" s="3">
        <v>0</v>
      </c>
      <c r="K603" s="3">
        <v>0</v>
      </c>
      <c r="L603" s="3">
        <v>0</v>
      </c>
      <c r="M603" s="3">
        <v>0</v>
      </c>
      <c r="N603" s="3">
        <v>0</v>
      </c>
      <c r="O603" s="3">
        <v>0.24</v>
      </c>
      <c r="P603" s="3">
        <v>0</v>
      </c>
      <c r="Q603" s="3">
        <v>0</v>
      </c>
      <c r="R603" s="3">
        <v>0</v>
      </c>
    </row>
    <row r="604" spans="1:18">
      <c r="A604" s="3" t="s">
        <v>1610</v>
      </c>
      <c r="B604" s="3" t="s">
        <v>1611</v>
      </c>
      <c r="C604" s="3" t="s">
        <v>1611</v>
      </c>
      <c r="D604" s="3" t="s">
        <v>1612</v>
      </c>
      <c r="E604" s="3" t="s">
        <v>120</v>
      </c>
      <c r="F604" s="3">
        <v>17.98</v>
      </c>
      <c r="G604" s="3" t="s">
        <v>121</v>
      </c>
      <c r="H604" s="3"/>
      <c r="I604" s="3" t="s">
        <v>122</v>
      </c>
      <c r="J604" s="3">
        <v>17</v>
      </c>
      <c r="K604" s="3">
        <v>17</v>
      </c>
      <c r="L604" s="3">
        <v>0</v>
      </c>
      <c r="M604" s="3">
        <v>0</v>
      </c>
      <c r="N604" s="3">
        <v>17</v>
      </c>
      <c r="O604" s="3">
        <v>0.28</v>
      </c>
      <c r="P604" s="3">
        <v>0</v>
      </c>
      <c r="Q604" s="3">
        <v>0</v>
      </c>
      <c r="R604" s="3">
        <v>0</v>
      </c>
    </row>
    <row r="605" spans="1:18">
      <c r="A605" s="3" t="s">
        <v>1613</v>
      </c>
      <c r="B605" s="3" t="s">
        <v>1614</v>
      </c>
      <c r="C605" s="3" t="s">
        <v>1614</v>
      </c>
      <c r="D605" s="3" t="s">
        <v>1615</v>
      </c>
      <c r="E605" s="3" t="s">
        <v>120</v>
      </c>
      <c r="F605" s="3">
        <v>39.98</v>
      </c>
      <c r="G605" s="3" t="s">
        <v>121</v>
      </c>
      <c r="H605" s="3"/>
      <c r="I605" s="3" t="s">
        <v>122</v>
      </c>
      <c r="J605" s="3">
        <v>20</v>
      </c>
      <c r="K605" s="3">
        <v>20</v>
      </c>
      <c r="L605" s="3">
        <v>0</v>
      </c>
      <c r="M605" s="3">
        <v>0</v>
      </c>
      <c r="N605" s="3">
        <v>20</v>
      </c>
      <c r="O605" s="3">
        <v>0.08</v>
      </c>
      <c r="P605" s="3">
        <v>0</v>
      </c>
      <c r="Q605" s="3">
        <v>0</v>
      </c>
      <c r="R605" s="3">
        <v>0</v>
      </c>
    </row>
    <row r="606" spans="1:18">
      <c r="A606" s="3" t="s">
        <v>1616</v>
      </c>
      <c r="B606" s="3" t="s">
        <v>1617</v>
      </c>
      <c r="C606" s="3" t="s">
        <v>1617</v>
      </c>
      <c r="D606" s="3" t="s">
        <v>1618</v>
      </c>
      <c r="E606" s="3" t="s">
        <v>120</v>
      </c>
      <c r="F606" s="3">
        <v>39.98</v>
      </c>
      <c r="G606" s="3" t="s">
        <v>121</v>
      </c>
      <c r="H606" s="3"/>
      <c r="I606" s="3" t="s">
        <v>122</v>
      </c>
      <c r="J606" s="3">
        <v>20</v>
      </c>
      <c r="K606" s="3">
        <v>20</v>
      </c>
      <c r="L606" s="3">
        <v>0</v>
      </c>
      <c r="M606" s="3">
        <v>0</v>
      </c>
      <c r="N606" s="3">
        <v>20</v>
      </c>
      <c r="O606" s="3">
        <v>0.28</v>
      </c>
      <c r="P606" s="3">
        <v>0</v>
      </c>
      <c r="Q606" s="3">
        <v>0</v>
      </c>
      <c r="R606" s="3">
        <v>0</v>
      </c>
    </row>
    <row r="607" spans="1:18">
      <c r="A607" s="3" t="s">
        <v>1619</v>
      </c>
      <c r="B607" s="3" t="s">
        <v>1620</v>
      </c>
      <c r="C607" s="3" t="s">
        <v>1620</v>
      </c>
      <c r="D607" s="3" t="s">
        <v>1621</v>
      </c>
      <c r="E607" s="3" t="s">
        <v>120</v>
      </c>
      <c r="F607" s="3">
        <v>39.98</v>
      </c>
      <c r="G607" s="3" t="s">
        <v>121</v>
      </c>
      <c r="H607" s="3"/>
      <c r="I607" s="3" t="s">
        <v>122</v>
      </c>
      <c r="J607" s="3">
        <v>33</v>
      </c>
      <c r="K607" s="3">
        <v>33</v>
      </c>
      <c r="L607" s="3">
        <v>0</v>
      </c>
      <c r="M607" s="3">
        <v>0</v>
      </c>
      <c r="N607" s="3">
        <v>33</v>
      </c>
      <c r="O607" s="3">
        <v>0.13</v>
      </c>
      <c r="P607" s="3">
        <v>0</v>
      </c>
      <c r="Q607" s="3">
        <v>0</v>
      </c>
      <c r="R607" s="3">
        <v>0</v>
      </c>
    </row>
    <row r="608" spans="1:18">
      <c r="A608" s="3" t="s">
        <v>1622</v>
      </c>
      <c r="B608" s="3" t="s">
        <v>1623</v>
      </c>
      <c r="C608" s="3" t="s">
        <v>1623</v>
      </c>
      <c r="D608" s="3" t="s">
        <v>1624</v>
      </c>
      <c r="E608" s="3" t="s">
        <v>120</v>
      </c>
      <c r="F608" s="3">
        <v>39.98</v>
      </c>
      <c r="G608" s="3" t="s">
        <v>121</v>
      </c>
      <c r="H608" s="3"/>
      <c r="I608" s="3" t="s">
        <v>122</v>
      </c>
      <c r="J608" s="3">
        <v>0</v>
      </c>
      <c r="K608" s="3">
        <v>0</v>
      </c>
      <c r="L608" s="3">
        <v>0</v>
      </c>
      <c r="M608" s="3">
        <v>0</v>
      </c>
      <c r="N608" s="3">
        <v>0</v>
      </c>
      <c r="O608" s="3">
        <v>0.19</v>
      </c>
      <c r="P608" s="3">
        <v>0</v>
      </c>
      <c r="Q608" s="3">
        <v>0</v>
      </c>
      <c r="R608" s="3">
        <v>0</v>
      </c>
    </row>
    <row r="609" spans="1:18">
      <c r="A609" s="3" t="s">
        <v>1625</v>
      </c>
      <c r="B609" s="3" t="s">
        <v>1626</v>
      </c>
      <c r="C609" s="3" t="s">
        <v>1626</v>
      </c>
      <c r="D609" s="3" t="s">
        <v>1627</v>
      </c>
      <c r="E609" s="3" t="s">
        <v>120</v>
      </c>
      <c r="F609" s="3">
        <v>39.98</v>
      </c>
      <c r="G609" s="3" t="s">
        <v>121</v>
      </c>
      <c r="H609" s="3"/>
      <c r="I609" s="3" t="s">
        <v>122</v>
      </c>
      <c r="J609" s="3">
        <v>22</v>
      </c>
      <c r="K609" s="3">
        <v>22</v>
      </c>
      <c r="L609" s="3">
        <v>0</v>
      </c>
      <c r="M609" s="3">
        <v>0</v>
      </c>
      <c r="N609" s="3">
        <v>22</v>
      </c>
      <c r="O609" s="3">
        <v>0.12</v>
      </c>
      <c r="P609" s="3">
        <v>0</v>
      </c>
      <c r="Q609" s="3">
        <v>0</v>
      </c>
      <c r="R609" s="3">
        <v>0</v>
      </c>
    </row>
    <row r="610" spans="1:18">
      <c r="A610" s="3" t="s">
        <v>1628</v>
      </c>
      <c r="B610" s="3" t="s">
        <v>1629</v>
      </c>
      <c r="C610" s="3" t="s">
        <v>1629</v>
      </c>
      <c r="D610" s="3" t="s">
        <v>1630</v>
      </c>
      <c r="E610" s="3" t="s">
        <v>120</v>
      </c>
      <c r="F610" s="3">
        <v>39.98</v>
      </c>
      <c r="G610" s="3" t="s">
        <v>121</v>
      </c>
      <c r="H610" s="3"/>
      <c r="I610" s="3" t="s">
        <v>122</v>
      </c>
      <c r="J610" s="3">
        <v>29</v>
      </c>
      <c r="K610" s="3">
        <v>29</v>
      </c>
      <c r="L610" s="3">
        <v>0</v>
      </c>
      <c r="M610" s="3">
        <v>0</v>
      </c>
      <c r="N610" s="3">
        <v>29</v>
      </c>
      <c r="O610" s="3">
        <v>0.28</v>
      </c>
      <c r="P610" s="3">
        <v>0</v>
      </c>
      <c r="Q610" s="3">
        <v>0</v>
      </c>
      <c r="R610" s="3">
        <v>0</v>
      </c>
    </row>
    <row r="611" spans="1:18">
      <c r="A611" s="3" t="s">
        <v>1631</v>
      </c>
      <c r="B611" s="3" t="s">
        <v>1632</v>
      </c>
      <c r="C611" s="3" t="s">
        <v>1632</v>
      </c>
      <c r="D611" s="3" t="s">
        <v>1633</v>
      </c>
      <c r="E611" s="3" t="s">
        <v>120</v>
      </c>
      <c r="F611" s="3">
        <v>39.98</v>
      </c>
      <c r="G611" s="3" t="s">
        <v>121</v>
      </c>
      <c r="H611" s="3"/>
      <c r="I611" s="3" t="s">
        <v>122</v>
      </c>
      <c r="J611" s="3">
        <v>19</v>
      </c>
      <c r="K611" s="3">
        <v>17</v>
      </c>
      <c r="L611" s="3">
        <v>0</v>
      </c>
      <c r="M611" s="3">
        <v>2</v>
      </c>
      <c r="N611" s="3">
        <v>19</v>
      </c>
      <c r="O611" s="3">
        <v>0.28</v>
      </c>
      <c r="P611" s="3">
        <v>0</v>
      </c>
      <c r="Q611" s="3">
        <v>0</v>
      </c>
      <c r="R611" s="3">
        <v>0</v>
      </c>
    </row>
    <row r="612" spans="1:18">
      <c r="A612" s="3" t="s">
        <v>1634</v>
      </c>
      <c r="B612" s="3" t="s">
        <v>1635</v>
      </c>
      <c r="C612" s="3" t="s">
        <v>1635</v>
      </c>
      <c r="D612" s="3" t="s">
        <v>1636</v>
      </c>
      <c r="E612" s="3" t="s">
        <v>120</v>
      </c>
      <c r="F612" s="3">
        <v>39.98</v>
      </c>
      <c r="G612" s="3" t="s">
        <v>121</v>
      </c>
      <c r="H612" s="3"/>
      <c r="I612" s="3" t="s">
        <v>122</v>
      </c>
      <c r="J612" s="3">
        <v>38</v>
      </c>
      <c r="K612" s="3">
        <v>38</v>
      </c>
      <c r="L612" s="3">
        <v>0</v>
      </c>
      <c r="M612" s="3">
        <v>0</v>
      </c>
      <c r="N612" s="3">
        <v>38</v>
      </c>
      <c r="O612" s="3">
        <v>0.28</v>
      </c>
      <c r="P612" s="3">
        <v>0</v>
      </c>
      <c r="Q612" s="3">
        <v>0</v>
      </c>
      <c r="R612" s="3">
        <v>0</v>
      </c>
    </row>
    <row r="613" spans="1:18">
      <c r="A613" s="3" t="s">
        <v>1637</v>
      </c>
      <c r="B613" s="3" t="s">
        <v>1638</v>
      </c>
      <c r="C613" s="3" t="s">
        <v>1638</v>
      </c>
      <c r="D613" s="3" t="s">
        <v>1639</v>
      </c>
      <c r="E613" s="3" t="s">
        <v>120</v>
      </c>
      <c r="F613" s="3">
        <v>39.98</v>
      </c>
      <c r="G613" s="3" t="s">
        <v>121</v>
      </c>
      <c r="H613" s="3"/>
      <c r="I613" s="3" t="s">
        <v>122</v>
      </c>
      <c r="J613" s="3">
        <v>5</v>
      </c>
      <c r="K613" s="3">
        <v>5</v>
      </c>
      <c r="L613" s="3">
        <v>0</v>
      </c>
      <c r="M613" s="3">
        <v>0</v>
      </c>
      <c r="N613" s="3">
        <v>5</v>
      </c>
      <c r="O613" s="3">
        <v>0.12</v>
      </c>
      <c r="P613" s="3">
        <v>0</v>
      </c>
      <c r="Q613" s="3">
        <v>0</v>
      </c>
      <c r="R613" s="3">
        <v>0</v>
      </c>
    </row>
    <row r="614" spans="1:18">
      <c r="A614" s="3" t="s">
        <v>1640</v>
      </c>
      <c r="B614" s="3" t="s">
        <v>1641</v>
      </c>
      <c r="C614" s="3" t="s">
        <v>1641</v>
      </c>
      <c r="D614" s="3" t="s">
        <v>1642</v>
      </c>
      <c r="E614" s="3" t="s">
        <v>120</v>
      </c>
      <c r="F614" s="3">
        <v>39.98</v>
      </c>
      <c r="G614" s="3" t="s">
        <v>121</v>
      </c>
      <c r="H614" s="3"/>
      <c r="I614" s="3" t="s">
        <v>122</v>
      </c>
      <c r="J614" s="3">
        <v>29</v>
      </c>
      <c r="K614" s="3">
        <v>29</v>
      </c>
      <c r="L614" s="3">
        <v>0</v>
      </c>
      <c r="M614" s="3">
        <v>0</v>
      </c>
      <c r="N614" s="3">
        <v>29</v>
      </c>
      <c r="O614" s="3">
        <v>0.28</v>
      </c>
      <c r="P614" s="3">
        <v>0</v>
      </c>
      <c r="Q614" s="3">
        <v>0</v>
      </c>
      <c r="R614" s="3">
        <v>0</v>
      </c>
    </row>
    <row r="615" spans="1:18">
      <c r="A615" s="3" t="s">
        <v>1643</v>
      </c>
      <c r="B615" s="3" t="s">
        <v>1644</v>
      </c>
      <c r="C615" s="3" t="s">
        <v>1644</v>
      </c>
      <c r="D615" s="3" t="s">
        <v>1645</v>
      </c>
      <c r="E615" s="3" t="s">
        <v>120</v>
      </c>
      <c r="F615" s="3">
        <v>39.98</v>
      </c>
      <c r="G615" s="3" t="s">
        <v>121</v>
      </c>
      <c r="H615" s="3"/>
      <c r="I615" s="3" t="s">
        <v>122</v>
      </c>
      <c r="J615" s="3">
        <v>0</v>
      </c>
      <c r="K615" s="3">
        <v>0</v>
      </c>
      <c r="L615" s="3">
        <v>0</v>
      </c>
      <c r="M615" s="3">
        <v>0</v>
      </c>
      <c r="N615" s="3">
        <v>0</v>
      </c>
      <c r="O615" s="3">
        <v>0.28</v>
      </c>
      <c r="P615" s="3">
        <v>0</v>
      </c>
      <c r="Q615" s="3">
        <v>0</v>
      </c>
      <c r="R615" s="3">
        <v>0</v>
      </c>
    </row>
    <row r="616" spans="1:18">
      <c r="A616" s="3" t="s">
        <v>1646</v>
      </c>
      <c r="B616" s="3" t="s">
        <v>1647</v>
      </c>
      <c r="C616" s="3" t="s">
        <v>1647</v>
      </c>
      <c r="D616" s="3"/>
      <c r="E616" s="3" t="s">
        <v>20</v>
      </c>
      <c r="F616" s="3"/>
      <c r="G616" s="3"/>
      <c r="H616" s="3"/>
      <c r="I616" s="3"/>
      <c r="J616" s="3">
        <v>0</v>
      </c>
      <c r="K616" s="3">
        <v>0</v>
      </c>
      <c r="L616" s="3">
        <v>0</v>
      </c>
      <c r="M616" s="3">
        <v>0</v>
      </c>
      <c r="N616" s="3">
        <v>0</v>
      </c>
      <c r="O616" s="3"/>
      <c r="P616" s="3">
        <v>0</v>
      </c>
      <c r="Q616" s="3">
        <v>0</v>
      </c>
      <c r="R616" s="3">
        <v>0</v>
      </c>
    </row>
    <row r="617" spans="1:18">
      <c r="A617" s="3" t="s">
        <v>1648</v>
      </c>
      <c r="B617" s="3" t="s">
        <v>1649</v>
      </c>
      <c r="C617" s="3" t="s">
        <v>1649</v>
      </c>
      <c r="D617" s="3" t="s">
        <v>1650</v>
      </c>
      <c r="E617" s="3" t="s">
        <v>120</v>
      </c>
      <c r="F617" s="3">
        <v>39.98</v>
      </c>
      <c r="G617" s="3" t="s">
        <v>121</v>
      </c>
      <c r="H617" s="3"/>
      <c r="I617" s="3" t="s">
        <v>122</v>
      </c>
      <c r="J617" s="3">
        <v>15</v>
      </c>
      <c r="K617" s="3">
        <v>14</v>
      </c>
      <c r="L617" s="3">
        <v>0</v>
      </c>
      <c r="M617" s="3">
        <v>1</v>
      </c>
      <c r="N617" s="3">
        <v>15</v>
      </c>
      <c r="O617" s="3">
        <v>0.08</v>
      </c>
      <c r="P617" s="3">
        <v>0</v>
      </c>
      <c r="Q617" s="3">
        <v>0</v>
      </c>
      <c r="R617" s="3">
        <v>0</v>
      </c>
    </row>
    <row r="618" spans="1:18">
      <c r="A618" s="3" t="s">
        <v>1651</v>
      </c>
      <c r="B618" s="3" t="s">
        <v>1652</v>
      </c>
      <c r="C618" s="3" t="s">
        <v>1652</v>
      </c>
      <c r="D618" s="3" t="s">
        <v>1653</v>
      </c>
      <c r="E618" s="3" t="s">
        <v>120</v>
      </c>
      <c r="F618" s="3">
        <v>39.98</v>
      </c>
      <c r="G618" s="3" t="s">
        <v>121</v>
      </c>
      <c r="H618" s="3"/>
      <c r="I618" s="3" t="s">
        <v>122</v>
      </c>
      <c r="J618" s="3">
        <v>22</v>
      </c>
      <c r="K618" s="3">
        <v>22</v>
      </c>
      <c r="L618" s="3">
        <v>0</v>
      </c>
      <c r="M618" s="3">
        <v>0</v>
      </c>
      <c r="N618" s="3">
        <v>22</v>
      </c>
      <c r="O618" s="3">
        <v>0.1</v>
      </c>
      <c r="P618" s="3">
        <v>0</v>
      </c>
      <c r="Q618" s="3">
        <v>0</v>
      </c>
      <c r="R618" s="3">
        <v>0</v>
      </c>
    </row>
    <row r="619" spans="1:18">
      <c r="A619" s="3" t="s">
        <v>1654</v>
      </c>
      <c r="B619" s="3" t="s">
        <v>1655</v>
      </c>
      <c r="C619" s="3" t="s">
        <v>1655</v>
      </c>
      <c r="D619" s="3"/>
      <c r="E619" s="3" t="s">
        <v>20</v>
      </c>
      <c r="F619" s="3"/>
      <c r="G619" s="3"/>
      <c r="H619" s="3"/>
      <c r="I619" s="3"/>
      <c r="J619" s="3">
        <v>0</v>
      </c>
      <c r="K619" s="3">
        <v>0</v>
      </c>
      <c r="L619" s="3">
        <v>0</v>
      </c>
      <c r="M619" s="3">
        <v>0</v>
      </c>
      <c r="N619" s="3">
        <v>0</v>
      </c>
      <c r="O619" s="3"/>
      <c r="P619" s="3">
        <v>0</v>
      </c>
      <c r="Q619" s="3">
        <v>0</v>
      </c>
      <c r="R619" s="3">
        <v>0</v>
      </c>
    </row>
    <row r="620" spans="1:18">
      <c r="A620" s="3" t="s">
        <v>1656</v>
      </c>
      <c r="B620" s="3" t="s">
        <v>1657</v>
      </c>
      <c r="C620" s="3" t="s">
        <v>1657</v>
      </c>
      <c r="D620" s="3" t="s">
        <v>1658</v>
      </c>
      <c r="E620" s="3" t="s">
        <v>120</v>
      </c>
      <c r="F620" s="3">
        <v>39.98</v>
      </c>
      <c r="G620" s="3" t="s">
        <v>121</v>
      </c>
      <c r="H620" s="3"/>
      <c r="I620" s="3" t="s">
        <v>122</v>
      </c>
      <c r="J620" s="3">
        <v>9</v>
      </c>
      <c r="K620" s="3">
        <v>9</v>
      </c>
      <c r="L620" s="3">
        <v>0</v>
      </c>
      <c r="M620" s="3">
        <v>0</v>
      </c>
      <c r="N620" s="3">
        <v>9</v>
      </c>
      <c r="O620" s="3">
        <v>0.15</v>
      </c>
      <c r="P620" s="3">
        <v>0</v>
      </c>
      <c r="Q620" s="3">
        <v>0</v>
      </c>
      <c r="R620" s="3">
        <v>0</v>
      </c>
    </row>
    <row r="621" spans="1:18">
      <c r="A621" s="3" t="s">
        <v>1659</v>
      </c>
      <c r="B621" s="3" t="s">
        <v>1660</v>
      </c>
      <c r="C621" s="3" t="s">
        <v>1660</v>
      </c>
      <c r="D621" s="3"/>
      <c r="E621" s="3" t="s">
        <v>20</v>
      </c>
      <c r="F621" s="3"/>
      <c r="G621" s="3"/>
      <c r="H621" s="3"/>
      <c r="I621" s="3"/>
      <c r="J621" s="3">
        <v>0</v>
      </c>
      <c r="K621" s="3">
        <v>0</v>
      </c>
      <c r="L621" s="3">
        <v>0</v>
      </c>
      <c r="M621" s="3">
        <v>0</v>
      </c>
      <c r="N621" s="3">
        <v>0</v>
      </c>
      <c r="O621" s="3"/>
      <c r="P621" s="3">
        <v>0</v>
      </c>
      <c r="Q621" s="3">
        <v>0</v>
      </c>
      <c r="R621" s="3">
        <v>0</v>
      </c>
    </row>
    <row r="622" spans="1:18">
      <c r="A622" s="3" t="s">
        <v>1661</v>
      </c>
      <c r="B622" s="3" t="s">
        <v>1662</v>
      </c>
      <c r="C622" s="3" t="s">
        <v>1662</v>
      </c>
      <c r="D622" s="3" t="s">
        <v>1663</v>
      </c>
      <c r="E622" s="3" t="s">
        <v>120</v>
      </c>
      <c r="F622" s="3">
        <v>39.98</v>
      </c>
      <c r="G622" s="3" t="s">
        <v>121</v>
      </c>
      <c r="H622" s="3"/>
      <c r="I622" s="3" t="s">
        <v>122</v>
      </c>
      <c r="J622" s="3">
        <v>25</v>
      </c>
      <c r="K622" s="3">
        <v>24</v>
      </c>
      <c r="L622" s="3">
        <v>0</v>
      </c>
      <c r="M622" s="3">
        <v>1</v>
      </c>
      <c r="N622" s="3">
        <v>25</v>
      </c>
      <c r="O622" s="3">
        <v>0.1</v>
      </c>
      <c r="P622" s="3">
        <v>0</v>
      </c>
      <c r="Q622" s="3">
        <v>0</v>
      </c>
      <c r="R622" s="3">
        <v>0</v>
      </c>
    </row>
    <row r="623" spans="1:18">
      <c r="A623" s="3" t="s">
        <v>1664</v>
      </c>
      <c r="B623" s="3" t="s">
        <v>1665</v>
      </c>
      <c r="C623" s="3" t="s">
        <v>1665</v>
      </c>
      <c r="D623" s="3" t="s">
        <v>1666</v>
      </c>
      <c r="E623" s="3" t="s">
        <v>120</v>
      </c>
      <c r="F623" s="3">
        <v>39.98</v>
      </c>
      <c r="G623" s="3" t="s">
        <v>121</v>
      </c>
      <c r="H623" s="3"/>
      <c r="I623" s="3" t="s">
        <v>122</v>
      </c>
      <c r="J623" s="3">
        <v>30</v>
      </c>
      <c r="K623" s="3">
        <v>30</v>
      </c>
      <c r="L623" s="3">
        <v>0</v>
      </c>
      <c r="M623" s="3">
        <v>0</v>
      </c>
      <c r="N623" s="3">
        <v>30</v>
      </c>
      <c r="O623" s="3">
        <v>0.12</v>
      </c>
      <c r="P623" s="3">
        <v>0</v>
      </c>
      <c r="Q623" s="3">
        <v>0</v>
      </c>
      <c r="R623" s="3">
        <v>0</v>
      </c>
    </row>
    <row r="624" spans="1:18">
      <c r="A624" s="3" t="s">
        <v>1667</v>
      </c>
      <c r="B624" s="3" t="s">
        <v>1668</v>
      </c>
      <c r="C624" s="3" t="s">
        <v>1668</v>
      </c>
      <c r="D624" s="3"/>
      <c r="E624" s="3" t="s">
        <v>20</v>
      </c>
      <c r="F624" s="3"/>
      <c r="G624" s="3"/>
      <c r="H624" s="3"/>
      <c r="I624" s="3"/>
      <c r="J624" s="3">
        <v>0</v>
      </c>
      <c r="K624" s="3">
        <v>0</v>
      </c>
      <c r="L624" s="3">
        <v>0</v>
      </c>
      <c r="M624" s="3">
        <v>0</v>
      </c>
      <c r="N624" s="3">
        <v>0</v>
      </c>
      <c r="O624" s="3"/>
      <c r="P624" s="3">
        <v>0</v>
      </c>
      <c r="Q624" s="3">
        <v>0</v>
      </c>
      <c r="R624" s="3">
        <v>0</v>
      </c>
    </row>
    <row r="625" spans="1:18">
      <c r="A625" s="3" t="s">
        <v>1669</v>
      </c>
      <c r="B625" s="3" t="s">
        <v>1670</v>
      </c>
      <c r="C625" s="3" t="s">
        <v>1670</v>
      </c>
      <c r="D625" s="3"/>
      <c r="E625" s="3" t="s">
        <v>20</v>
      </c>
      <c r="F625" s="3"/>
      <c r="G625" s="3"/>
      <c r="H625" s="3"/>
      <c r="I625" s="3"/>
      <c r="J625" s="3">
        <v>0</v>
      </c>
      <c r="K625" s="3">
        <v>0</v>
      </c>
      <c r="L625" s="3">
        <v>0</v>
      </c>
      <c r="M625" s="3">
        <v>0</v>
      </c>
      <c r="N625" s="3">
        <v>0</v>
      </c>
      <c r="O625" s="3"/>
      <c r="P625" s="3">
        <v>0</v>
      </c>
      <c r="Q625" s="3">
        <v>0</v>
      </c>
      <c r="R625" s="3">
        <v>0</v>
      </c>
    </row>
    <row r="626" spans="1:18">
      <c r="A626" s="3" t="s">
        <v>1671</v>
      </c>
      <c r="B626" s="3" t="s">
        <v>1672</v>
      </c>
      <c r="C626" s="3" t="s">
        <v>1672</v>
      </c>
      <c r="D626" s="3" t="s">
        <v>1673</v>
      </c>
      <c r="E626" s="3" t="s">
        <v>120</v>
      </c>
      <c r="F626" s="3">
        <v>22</v>
      </c>
      <c r="G626" s="3" t="s">
        <v>121</v>
      </c>
      <c r="H626" s="3"/>
      <c r="I626" s="3" t="s">
        <v>122</v>
      </c>
      <c r="J626" s="3">
        <v>0</v>
      </c>
      <c r="K626" s="3">
        <v>0</v>
      </c>
      <c r="L626" s="3">
        <v>0</v>
      </c>
      <c r="M626" s="3">
        <v>0</v>
      </c>
      <c r="N626" s="3">
        <v>0</v>
      </c>
      <c r="O626" s="3">
        <v>0.11</v>
      </c>
      <c r="P626" s="3">
        <v>0</v>
      </c>
      <c r="Q626" s="3">
        <v>0</v>
      </c>
      <c r="R626" s="3">
        <v>0</v>
      </c>
    </row>
    <row r="627" spans="1:18">
      <c r="A627" s="3" t="s">
        <v>1674</v>
      </c>
      <c r="B627" s="3" t="s">
        <v>1675</v>
      </c>
      <c r="C627" s="3" t="s">
        <v>1675</v>
      </c>
      <c r="D627" s="3" t="s">
        <v>1676</v>
      </c>
      <c r="E627" s="3" t="s">
        <v>120</v>
      </c>
      <c r="F627" s="3">
        <v>17.98</v>
      </c>
      <c r="G627" s="3" t="s">
        <v>121</v>
      </c>
      <c r="H627" s="3"/>
      <c r="I627" s="3" t="s">
        <v>122</v>
      </c>
      <c r="J627" s="3">
        <v>47</v>
      </c>
      <c r="K627" s="3">
        <v>47</v>
      </c>
      <c r="L627" s="3">
        <v>0</v>
      </c>
      <c r="M627" s="3">
        <v>0</v>
      </c>
      <c r="N627" s="3">
        <v>47</v>
      </c>
      <c r="O627" s="3">
        <v>0.09</v>
      </c>
      <c r="P627" s="3">
        <v>0</v>
      </c>
      <c r="Q627" s="3">
        <v>0</v>
      </c>
      <c r="R627" s="3">
        <v>0</v>
      </c>
    </row>
    <row r="628" spans="1:18">
      <c r="A628" s="3" t="s">
        <v>1677</v>
      </c>
      <c r="B628" s="3" t="s">
        <v>1678</v>
      </c>
      <c r="C628" s="3" t="s">
        <v>1678</v>
      </c>
      <c r="D628" s="3"/>
      <c r="E628" s="3" t="s">
        <v>20</v>
      </c>
      <c r="F628" s="3"/>
      <c r="G628" s="3"/>
      <c r="H628" s="3"/>
      <c r="I628" s="3"/>
      <c r="J628" s="3">
        <v>19</v>
      </c>
      <c r="K628" s="3">
        <v>19</v>
      </c>
      <c r="L628" s="3">
        <v>0</v>
      </c>
      <c r="M628" s="3">
        <v>0</v>
      </c>
      <c r="N628" s="3">
        <v>19</v>
      </c>
      <c r="O628" s="3"/>
      <c r="P628" s="3">
        <v>0</v>
      </c>
      <c r="Q628" s="3">
        <v>0</v>
      </c>
      <c r="R628" s="3">
        <v>0</v>
      </c>
    </row>
    <row r="629" spans="1:18">
      <c r="A629" s="3" t="s">
        <v>1679</v>
      </c>
      <c r="B629" s="3" t="s">
        <v>1680</v>
      </c>
      <c r="C629" s="3" t="s">
        <v>1680</v>
      </c>
      <c r="D629" s="3" t="s">
        <v>1681</v>
      </c>
      <c r="E629" s="3" t="s">
        <v>120</v>
      </c>
      <c r="F629" s="3">
        <v>22.98</v>
      </c>
      <c r="G629" s="3" t="s">
        <v>121</v>
      </c>
      <c r="H629" s="3"/>
      <c r="I629" s="3" t="s">
        <v>122</v>
      </c>
      <c r="J629" s="3">
        <v>0</v>
      </c>
      <c r="K629" s="3">
        <v>0</v>
      </c>
      <c r="L629" s="3">
        <v>0</v>
      </c>
      <c r="M629" s="3">
        <v>0</v>
      </c>
      <c r="N629" s="3">
        <v>0</v>
      </c>
      <c r="O629" s="3">
        <v>0.2</v>
      </c>
      <c r="P629" s="3">
        <v>0</v>
      </c>
      <c r="Q629" s="3">
        <v>0</v>
      </c>
      <c r="R629" s="3">
        <v>0</v>
      </c>
    </row>
    <row r="630" spans="1:18">
      <c r="A630" s="3" t="s">
        <v>1682</v>
      </c>
      <c r="B630" s="3" t="s">
        <v>1683</v>
      </c>
      <c r="C630" s="3" t="s">
        <v>1683</v>
      </c>
      <c r="D630" s="3" t="s">
        <v>1684</v>
      </c>
      <c r="E630" s="3" t="s">
        <v>120</v>
      </c>
      <c r="F630" s="3">
        <v>18.98</v>
      </c>
      <c r="G630" s="3" t="s">
        <v>121</v>
      </c>
      <c r="H630" s="3"/>
      <c r="I630" s="3" t="s">
        <v>122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0.2</v>
      </c>
      <c r="P630" s="3">
        <v>0</v>
      </c>
      <c r="Q630" s="3">
        <v>0</v>
      </c>
      <c r="R630" s="3">
        <v>0</v>
      </c>
    </row>
    <row r="631" spans="1:18">
      <c r="A631" s="3" t="s">
        <v>1685</v>
      </c>
      <c r="B631" s="3" t="s">
        <v>1686</v>
      </c>
      <c r="C631" s="3" t="s">
        <v>1686</v>
      </c>
      <c r="D631" s="3" t="s">
        <v>1687</v>
      </c>
      <c r="E631" s="3" t="s">
        <v>120</v>
      </c>
      <c r="F631" s="3">
        <v>39.98</v>
      </c>
      <c r="G631" s="3" t="s">
        <v>121</v>
      </c>
      <c r="H631" s="3"/>
      <c r="I631" s="3" t="s">
        <v>122</v>
      </c>
      <c r="J631" s="3">
        <v>2</v>
      </c>
      <c r="K631" s="3">
        <v>2</v>
      </c>
      <c r="L631" s="3">
        <v>0</v>
      </c>
      <c r="M631" s="3">
        <v>0</v>
      </c>
      <c r="N631" s="3">
        <v>2</v>
      </c>
      <c r="O631" s="3">
        <v>0.05</v>
      </c>
      <c r="P631" s="3">
        <v>0</v>
      </c>
      <c r="Q631" s="3">
        <v>0</v>
      </c>
      <c r="R631" s="3">
        <v>0</v>
      </c>
    </row>
    <row r="632" spans="1:18">
      <c r="A632" s="3" t="s">
        <v>1688</v>
      </c>
      <c r="B632" s="3" t="s">
        <v>1689</v>
      </c>
      <c r="C632" s="3" t="s">
        <v>1689</v>
      </c>
      <c r="D632" s="3" t="s">
        <v>1690</v>
      </c>
      <c r="E632" s="3" t="s">
        <v>120</v>
      </c>
      <c r="F632" s="3">
        <v>21.98</v>
      </c>
      <c r="G632" s="3" t="s">
        <v>121</v>
      </c>
      <c r="H632" s="3"/>
      <c r="I632" s="3" t="s">
        <v>122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0.12</v>
      </c>
      <c r="P632" s="3">
        <v>0</v>
      </c>
      <c r="Q632" s="3">
        <v>0</v>
      </c>
      <c r="R632" s="3">
        <v>0</v>
      </c>
    </row>
    <row r="633" spans="1:18">
      <c r="A633" s="3" t="s">
        <v>1691</v>
      </c>
      <c r="B633" s="3" t="s">
        <v>1692</v>
      </c>
      <c r="C633" s="3" t="s">
        <v>1692</v>
      </c>
      <c r="D633" s="3"/>
      <c r="E633" s="3" t="s">
        <v>20</v>
      </c>
      <c r="F633" s="3"/>
      <c r="G633" s="3"/>
      <c r="H633" s="3"/>
      <c r="I633" s="3"/>
      <c r="J633" s="3">
        <v>1</v>
      </c>
      <c r="K633" s="3">
        <v>1</v>
      </c>
      <c r="L633" s="3">
        <v>0</v>
      </c>
      <c r="M633" s="3">
        <v>0</v>
      </c>
      <c r="N633" s="3">
        <v>1</v>
      </c>
      <c r="O633" s="3"/>
      <c r="P633" s="3">
        <v>0</v>
      </c>
      <c r="Q633" s="3">
        <v>0</v>
      </c>
      <c r="R633" s="3">
        <v>0</v>
      </c>
    </row>
    <row r="634" spans="1:18">
      <c r="A634" s="3" t="s">
        <v>1693</v>
      </c>
      <c r="B634" s="3" t="s">
        <v>1694</v>
      </c>
      <c r="C634" s="3" t="s">
        <v>1694</v>
      </c>
      <c r="D634" s="3" t="s">
        <v>1695</v>
      </c>
      <c r="E634" s="3" t="s">
        <v>120</v>
      </c>
      <c r="F634" s="3">
        <v>19.98</v>
      </c>
      <c r="G634" s="3" t="s">
        <v>121</v>
      </c>
      <c r="H634" s="3"/>
      <c r="I634" s="3" t="s">
        <v>122</v>
      </c>
      <c r="J634" s="3">
        <v>0</v>
      </c>
      <c r="K634" s="3">
        <v>0</v>
      </c>
      <c r="L634" s="3">
        <v>0</v>
      </c>
      <c r="M634" s="3">
        <v>0</v>
      </c>
      <c r="N634" s="3">
        <v>0</v>
      </c>
      <c r="O634" s="3">
        <v>0.09</v>
      </c>
      <c r="P634" s="3">
        <v>0</v>
      </c>
      <c r="Q634" s="3">
        <v>0</v>
      </c>
      <c r="R634" s="3">
        <v>0</v>
      </c>
    </row>
    <row r="635" spans="1:18">
      <c r="A635" s="3" t="s">
        <v>1696</v>
      </c>
      <c r="B635" s="3" t="s">
        <v>1697</v>
      </c>
      <c r="C635" s="3" t="s">
        <v>1697</v>
      </c>
      <c r="D635" s="3" t="s">
        <v>1698</v>
      </c>
      <c r="E635" s="3" t="s">
        <v>120</v>
      </c>
      <c r="F635" s="3">
        <v>19.98</v>
      </c>
      <c r="G635" s="3" t="s">
        <v>121</v>
      </c>
      <c r="H635" s="3"/>
      <c r="I635" s="3" t="s">
        <v>122</v>
      </c>
      <c r="J635" s="3">
        <v>11</v>
      </c>
      <c r="K635" s="3">
        <v>11</v>
      </c>
      <c r="L635" s="3">
        <v>0</v>
      </c>
      <c r="M635" s="3">
        <v>0</v>
      </c>
      <c r="N635" s="3">
        <v>11</v>
      </c>
      <c r="O635" s="3">
        <v>0.12</v>
      </c>
      <c r="P635" s="3">
        <v>0</v>
      </c>
      <c r="Q635" s="3">
        <v>0</v>
      </c>
      <c r="R635" s="3">
        <v>0</v>
      </c>
    </row>
    <row r="636" spans="1:18">
      <c r="A636" s="3" t="s">
        <v>1699</v>
      </c>
      <c r="B636" s="3" t="s">
        <v>1700</v>
      </c>
      <c r="C636" s="3" t="s">
        <v>1700</v>
      </c>
      <c r="D636" s="3" t="s">
        <v>1701</v>
      </c>
      <c r="E636" s="3" t="s">
        <v>120</v>
      </c>
      <c r="F636" s="3">
        <v>19.98</v>
      </c>
      <c r="G636" s="3" t="s">
        <v>121</v>
      </c>
      <c r="H636" s="3"/>
      <c r="I636" s="3" t="s">
        <v>122</v>
      </c>
      <c r="J636" s="3">
        <v>12</v>
      </c>
      <c r="K636" s="3">
        <v>12</v>
      </c>
      <c r="L636" s="3">
        <v>0</v>
      </c>
      <c r="M636" s="3">
        <v>0</v>
      </c>
      <c r="N636" s="3">
        <v>12</v>
      </c>
      <c r="O636" s="3">
        <v>0.13</v>
      </c>
      <c r="P636" s="3">
        <v>0</v>
      </c>
      <c r="Q636" s="3">
        <v>0</v>
      </c>
      <c r="R636" s="3">
        <v>0</v>
      </c>
    </row>
    <row r="637" spans="1:18">
      <c r="A637" s="3" t="s">
        <v>1702</v>
      </c>
      <c r="B637" s="3" t="s">
        <v>1703</v>
      </c>
      <c r="C637" s="3" t="s">
        <v>1703</v>
      </c>
      <c r="D637" s="3" t="s">
        <v>1704</v>
      </c>
      <c r="E637" s="3" t="s">
        <v>120</v>
      </c>
      <c r="F637" s="3">
        <v>19.98</v>
      </c>
      <c r="G637" s="3" t="s">
        <v>121</v>
      </c>
      <c r="H637" s="3"/>
      <c r="I637" s="3" t="s">
        <v>122</v>
      </c>
      <c r="J637" s="3">
        <v>64</v>
      </c>
      <c r="K637" s="3">
        <v>64</v>
      </c>
      <c r="L637" s="3">
        <v>0</v>
      </c>
      <c r="M637" s="3">
        <v>0</v>
      </c>
      <c r="N637" s="3">
        <v>64</v>
      </c>
      <c r="O637" s="3">
        <v>0.15</v>
      </c>
      <c r="P637" s="3">
        <v>0</v>
      </c>
      <c r="Q637" s="3">
        <v>0</v>
      </c>
      <c r="R637" s="3">
        <v>0</v>
      </c>
    </row>
    <row r="638" spans="1:18">
      <c r="A638" s="3" t="s">
        <v>1705</v>
      </c>
      <c r="B638" s="3" t="s">
        <v>1706</v>
      </c>
      <c r="C638" s="3" t="s">
        <v>1706</v>
      </c>
      <c r="D638" s="3" t="s">
        <v>1707</v>
      </c>
      <c r="E638" s="3" t="s">
        <v>120</v>
      </c>
      <c r="F638" s="3">
        <v>19.98</v>
      </c>
      <c r="G638" s="3" t="s">
        <v>121</v>
      </c>
      <c r="H638" s="3"/>
      <c r="I638" s="3" t="s">
        <v>122</v>
      </c>
      <c r="J638" s="3">
        <v>23</v>
      </c>
      <c r="K638" s="3">
        <v>23</v>
      </c>
      <c r="L638" s="3">
        <v>0</v>
      </c>
      <c r="M638" s="3">
        <v>0</v>
      </c>
      <c r="N638" s="3">
        <v>23</v>
      </c>
      <c r="O638" s="3">
        <v>0.2</v>
      </c>
      <c r="P638" s="3">
        <v>0</v>
      </c>
      <c r="Q638" s="3">
        <v>0</v>
      </c>
      <c r="R638" s="3">
        <v>0</v>
      </c>
    </row>
    <row r="639" spans="1:18">
      <c r="A639" s="3" t="s">
        <v>1708</v>
      </c>
      <c r="B639" s="3" t="s">
        <v>1709</v>
      </c>
      <c r="C639" s="3" t="s">
        <v>1709</v>
      </c>
      <c r="D639" s="3"/>
      <c r="E639" s="3" t="s">
        <v>20</v>
      </c>
      <c r="F639" s="3"/>
      <c r="G639" s="3"/>
      <c r="H639" s="3"/>
      <c r="I639" s="3"/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/>
      <c r="P639" s="3">
        <v>0</v>
      </c>
      <c r="Q639" s="3">
        <v>0</v>
      </c>
      <c r="R639" s="3">
        <v>0</v>
      </c>
    </row>
    <row r="640" spans="1:18">
      <c r="A640" s="3" t="s">
        <v>1710</v>
      </c>
      <c r="B640" s="3" t="s">
        <v>1711</v>
      </c>
      <c r="C640" s="3" t="s">
        <v>1711</v>
      </c>
      <c r="D640" s="3" t="s">
        <v>1712</v>
      </c>
      <c r="E640" s="3" t="s">
        <v>120</v>
      </c>
      <c r="F640" s="3">
        <v>39.98</v>
      </c>
      <c r="G640" s="3" t="s">
        <v>121</v>
      </c>
      <c r="H640" s="3"/>
      <c r="I640" s="3" t="s">
        <v>122</v>
      </c>
      <c r="J640" s="3">
        <v>0</v>
      </c>
      <c r="K640" s="3">
        <v>0</v>
      </c>
      <c r="L640" s="3">
        <v>0</v>
      </c>
      <c r="M640" s="3">
        <v>0</v>
      </c>
      <c r="N640" s="3">
        <v>0</v>
      </c>
      <c r="O640" s="3">
        <v>0.14</v>
      </c>
      <c r="P640" s="3">
        <v>0</v>
      </c>
      <c r="Q640" s="3">
        <v>0</v>
      </c>
      <c r="R640" s="3">
        <v>0</v>
      </c>
    </row>
    <row r="641" spans="1:18">
      <c r="A641" s="3" t="s">
        <v>1713</v>
      </c>
      <c r="B641" s="3" t="s">
        <v>1714</v>
      </c>
      <c r="C641" s="3" t="s">
        <v>1714</v>
      </c>
      <c r="D641" s="3"/>
      <c r="E641" s="3" t="s">
        <v>20</v>
      </c>
      <c r="F641" s="3"/>
      <c r="G641" s="3"/>
      <c r="H641" s="3"/>
      <c r="I641" s="3"/>
      <c r="J641" s="3">
        <v>0</v>
      </c>
      <c r="K641" s="3">
        <v>0</v>
      </c>
      <c r="L641" s="3">
        <v>0</v>
      </c>
      <c r="M641" s="3">
        <v>0</v>
      </c>
      <c r="N641" s="3">
        <v>0</v>
      </c>
      <c r="O641" s="3"/>
      <c r="P641" s="3">
        <v>0</v>
      </c>
      <c r="Q641" s="3">
        <v>0</v>
      </c>
      <c r="R641" s="3">
        <v>0</v>
      </c>
    </row>
    <row r="642" spans="1:18">
      <c r="A642" s="3" t="s">
        <v>1715</v>
      </c>
      <c r="B642" s="3" t="s">
        <v>1716</v>
      </c>
      <c r="C642" s="3" t="s">
        <v>1716</v>
      </c>
      <c r="D642" s="3"/>
      <c r="E642" s="3" t="s">
        <v>20</v>
      </c>
      <c r="F642" s="3"/>
      <c r="G642" s="3"/>
      <c r="H642" s="3"/>
      <c r="I642" s="3"/>
      <c r="J642" s="3">
        <v>0</v>
      </c>
      <c r="K642" s="3">
        <v>0</v>
      </c>
      <c r="L642" s="3">
        <v>0</v>
      </c>
      <c r="M642" s="3">
        <v>0</v>
      </c>
      <c r="N642" s="3">
        <v>0</v>
      </c>
      <c r="O642" s="3"/>
      <c r="P642" s="3">
        <v>0</v>
      </c>
      <c r="Q642" s="3">
        <v>0</v>
      </c>
      <c r="R642" s="3">
        <v>0</v>
      </c>
    </row>
    <row r="643" spans="1:18">
      <c r="A643" s="3" t="s">
        <v>1717</v>
      </c>
      <c r="B643" s="3" t="s">
        <v>1718</v>
      </c>
      <c r="C643" s="3" t="s">
        <v>1718</v>
      </c>
      <c r="D643" s="3" t="s">
        <v>1719</v>
      </c>
      <c r="E643" s="3" t="s">
        <v>120</v>
      </c>
      <c r="F643" s="3">
        <v>39.98</v>
      </c>
      <c r="G643" s="3" t="s">
        <v>121</v>
      </c>
      <c r="H643" s="3"/>
      <c r="I643" s="3" t="s">
        <v>122</v>
      </c>
      <c r="J643" s="3">
        <v>0</v>
      </c>
      <c r="K643" s="3">
        <v>0</v>
      </c>
      <c r="L643" s="3">
        <v>0</v>
      </c>
      <c r="M643" s="3">
        <v>0</v>
      </c>
      <c r="N643" s="3">
        <v>0</v>
      </c>
      <c r="O643" s="3">
        <v>0.14</v>
      </c>
      <c r="P643" s="3">
        <v>0</v>
      </c>
      <c r="Q643" s="3">
        <v>0</v>
      </c>
      <c r="R643" s="3">
        <v>0</v>
      </c>
    </row>
    <row r="644" spans="1:18">
      <c r="A644" s="3" t="s">
        <v>1720</v>
      </c>
      <c r="B644" s="3" t="s">
        <v>1721</v>
      </c>
      <c r="C644" s="3" t="s">
        <v>1721</v>
      </c>
      <c r="D644" s="3" t="s">
        <v>1722</v>
      </c>
      <c r="E644" s="3" t="s">
        <v>120</v>
      </c>
      <c r="F644" s="3">
        <v>39.98</v>
      </c>
      <c r="G644" s="3" t="s">
        <v>121</v>
      </c>
      <c r="H644" s="3"/>
      <c r="I644" s="3" t="s">
        <v>122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0.14</v>
      </c>
      <c r="P644" s="3">
        <v>0</v>
      </c>
      <c r="Q644" s="3">
        <v>0</v>
      </c>
      <c r="R644" s="3">
        <v>0</v>
      </c>
    </row>
    <row r="645" spans="1:18">
      <c r="A645" s="3" t="s">
        <v>1723</v>
      </c>
      <c r="B645" s="3" t="s">
        <v>1724</v>
      </c>
      <c r="C645" s="3" t="s">
        <v>1724</v>
      </c>
      <c r="D645" s="3" t="s">
        <v>1725</v>
      </c>
      <c r="E645" s="3" t="s">
        <v>120</v>
      </c>
      <c r="F645" s="3">
        <v>24.98</v>
      </c>
      <c r="G645" s="3" t="s">
        <v>121</v>
      </c>
      <c r="H645" s="3"/>
      <c r="I645" s="3" t="s">
        <v>122</v>
      </c>
      <c r="J645" s="3">
        <v>0</v>
      </c>
      <c r="K645" s="3">
        <v>0</v>
      </c>
      <c r="L645" s="3">
        <v>0</v>
      </c>
      <c r="M645" s="3">
        <v>0</v>
      </c>
      <c r="N645" s="3">
        <v>0</v>
      </c>
      <c r="O645" s="3">
        <v>0.14</v>
      </c>
      <c r="P645" s="3">
        <v>0</v>
      </c>
      <c r="Q645" s="3">
        <v>0</v>
      </c>
      <c r="R645" s="3">
        <v>0</v>
      </c>
    </row>
    <row r="646" spans="1:18">
      <c r="A646" s="3" t="s">
        <v>1726</v>
      </c>
      <c r="B646" s="3" t="s">
        <v>1727</v>
      </c>
      <c r="C646" s="3" t="s">
        <v>1727</v>
      </c>
      <c r="D646" s="3"/>
      <c r="E646" s="3" t="s">
        <v>20</v>
      </c>
      <c r="F646" s="3"/>
      <c r="G646" s="3"/>
      <c r="H646" s="3"/>
      <c r="I646" s="3"/>
      <c r="J646" s="3">
        <v>0</v>
      </c>
      <c r="K646" s="3">
        <v>0</v>
      </c>
      <c r="L646" s="3">
        <v>0</v>
      </c>
      <c r="M646" s="3">
        <v>0</v>
      </c>
      <c r="N646" s="3">
        <v>0</v>
      </c>
      <c r="O646" s="3"/>
      <c r="P646" s="3">
        <v>0</v>
      </c>
      <c r="Q646" s="3">
        <v>0</v>
      </c>
      <c r="R646" s="3">
        <v>0</v>
      </c>
    </row>
    <row r="647" spans="1:18">
      <c r="A647" s="3" t="s">
        <v>1728</v>
      </c>
      <c r="B647" s="3" t="s">
        <v>1729</v>
      </c>
      <c r="C647" s="3" t="s">
        <v>1729</v>
      </c>
      <c r="D647" s="3" t="s">
        <v>1730</v>
      </c>
      <c r="E647" s="3" t="s">
        <v>120</v>
      </c>
      <c r="F647" s="3">
        <v>24.98</v>
      </c>
      <c r="G647" s="3" t="s">
        <v>121</v>
      </c>
      <c r="H647" s="3"/>
      <c r="I647" s="3" t="s">
        <v>122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0.12</v>
      </c>
      <c r="P647" s="3">
        <v>0</v>
      </c>
      <c r="Q647" s="3">
        <v>0</v>
      </c>
      <c r="R647" s="3">
        <v>0</v>
      </c>
    </row>
    <row r="648" spans="1:18">
      <c r="A648" s="3" t="s">
        <v>1731</v>
      </c>
      <c r="B648" s="3" t="s">
        <v>1732</v>
      </c>
      <c r="C648" s="3" t="s">
        <v>1732</v>
      </c>
      <c r="D648" s="3" t="s">
        <v>1733</v>
      </c>
      <c r="E648" s="3" t="s">
        <v>120</v>
      </c>
      <c r="F648" s="3">
        <v>39.98</v>
      </c>
      <c r="G648" s="3" t="s">
        <v>121</v>
      </c>
      <c r="H648" s="3"/>
      <c r="I648" s="3" t="s">
        <v>122</v>
      </c>
      <c r="J648" s="3">
        <v>3</v>
      </c>
      <c r="K648" s="3">
        <v>3</v>
      </c>
      <c r="L648" s="3">
        <v>0</v>
      </c>
      <c r="M648" s="3">
        <v>0</v>
      </c>
      <c r="N648" s="3">
        <v>3</v>
      </c>
      <c r="O648" s="3">
        <v>0.12</v>
      </c>
      <c r="P648" s="3">
        <v>0</v>
      </c>
      <c r="Q648" s="3">
        <v>0</v>
      </c>
      <c r="R648" s="3">
        <v>0</v>
      </c>
    </row>
    <row r="649" spans="1:18">
      <c r="A649" s="3" t="s">
        <v>1734</v>
      </c>
      <c r="B649" s="3" t="s">
        <v>1735</v>
      </c>
      <c r="C649" s="3" t="s">
        <v>1735</v>
      </c>
      <c r="D649" s="3" t="s">
        <v>1736</v>
      </c>
      <c r="E649" s="3" t="s">
        <v>120</v>
      </c>
      <c r="F649" s="3">
        <v>39.98</v>
      </c>
      <c r="G649" s="3" t="s">
        <v>121</v>
      </c>
      <c r="H649" s="3"/>
      <c r="I649" s="3" t="s">
        <v>122</v>
      </c>
      <c r="J649" s="3">
        <v>8</v>
      </c>
      <c r="K649" s="3">
        <v>8</v>
      </c>
      <c r="L649" s="3">
        <v>0</v>
      </c>
      <c r="M649" s="3">
        <v>0</v>
      </c>
      <c r="N649" s="3">
        <v>8</v>
      </c>
      <c r="O649" s="3">
        <v>0.12</v>
      </c>
      <c r="P649" s="3">
        <v>0</v>
      </c>
      <c r="Q649" s="3">
        <v>0</v>
      </c>
      <c r="R649" s="3">
        <v>0</v>
      </c>
    </row>
    <row r="650" spans="1:18">
      <c r="A650" s="3" t="s">
        <v>1737</v>
      </c>
      <c r="B650" s="3" t="s">
        <v>1738</v>
      </c>
      <c r="C650" s="3" t="s">
        <v>1738</v>
      </c>
      <c r="D650" s="3" t="s">
        <v>1739</v>
      </c>
      <c r="E650" s="3" t="s">
        <v>120</v>
      </c>
      <c r="F650" s="3">
        <v>39.98</v>
      </c>
      <c r="G650" s="3" t="s">
        <v>121</v>
      </c>
      <c r="H650" s="3"/>
      <c r="I650" s="3" t="s">
        <v>122</v>
      </c>
      <c r="J650" s="3">
        <v>19</v>
      </c>
      <c r="K650" s="3">
        <v>19</v>
      </c>
      <c r="L650" s="3">
        <v>0</v>
      </c>
      <c r="M650" s="3">
        <v>0</v>
      </c>
      <c r="N650" s="3">
        <v>19</v>
      </c>
      <c r="O650" s="3">
        <v>0.12</v>
      </c>
      <c r="P650" s="3">
        <v>0</v>
      </c>
      <c r="Q650" s="3">
        <v>0</v>
      </c>
      <c r="R650" s="3">
        <v>0</v>
      </c>
    </row>
    <row r="651" spans="1:18">
      <c r="A651" s="3" t="s">
        <v>1740</v>
      </c>
      <c r="B651" s="3" t="s">
        <v>1741</v>
      </c>
      <c r="C651" s="3" t="s">
        <v>1741</v>
      </c>
      <c r="D651" s="3" t="s">
        <v>1742</v>
      </c>
      <c r="E651" s="3" t="s">
        <v>120</v>
      </c>
      <c r="F651" s="3">
        <v>39.98</v>
      </c>
      <c r="G651" s="3" t="s">
        <v>121</v>
      </c>
      <c r="H651" s="3"/>
      <c r="I651" s="3" t="s">
        <v>122</v>
      </c>
      <c r="J651" s="3">
        <v>8</v>
      </c>
      <c r="K651" s="3">
        <v>8</v>
      </c>
      <c r="L651" s="3">
        <v>0</v>
      </c>
      <c r="M651" s="3">
        <v>0</v>
      </c>
      <c r="N651" s="3">
        <v>8</v>
      </c>
      <c r="O651" s="3">
        <v>0.12</v>
      </c>
      <c r="P651" s="3">
        <v>0</v>
      </c>
      <c r="Q651" s="3">
        <v>0</v>
      </c>
      <c r="R651" s="3">
        <v>0</v>
      </c>
    </row>
    <row r="652" spans="1:18">
      <c r="A652" s="3" t="s">
        <v>1743</v>
      </c>
      <c r="B652" s="3" t="s">
        <v>1744</v>
      </c>
      <c r="C652" s="3" t="s">
        <v>1744</v>
      </c>
      <c r="D652" s="3"/>
      <c r="E652" s="3" t="s">
        <v>20</v>
      </c>
      <c r="F652" s="3"/>
      <c r="G652" s="3"/>
      <c r="H652" s="3"/>
      <c r="I652" s="3"/>
      <c r="J652" s="3">
        <v>10</v>
      </c>
      <c r="K652" s="3">
        <v>10</v>
      </c>
      <c r="L652" s="3">
        <v>0</v>
      </c>
      <c r="M652" s="3">
        <v>0</v>
      </c>
      <c r="N652" s="3">
        <v>10</v>
      </c>
      <c r="O652" s="3"/>
      <c r="P652" s="3">
        <v>0</v>
      </c>
      <c r="Q652" s="3">
        <v>0</v>
      </c>
      <c r="R652" s="3">
        <v>0</v>
      </c>
    </row>
    <row r="653" spans="1:18">
      <c r="A653" s="3" t="s">
        <v>1745</v>
      </c>
      <c r="B653" s="3" t="s">
        <v>1746</v>
      </c>
      <c r="C653" s="3" t="s">
        <v>1746</v>
      </c>
      <c r="D653" s="3" t="s">
        <v>1747</v>
      </c>
      <c r="E653" s="3" t="s">
        <v>120</v>
      </c>
      <c r="F653" s="3">
        <v>39.98</v>
      </c>
      <c r="G653" s="3" t="s">
        <v>121</v>
      </c>
      <c r="H653" s="3"/>
      <c r="I653" s="3" t="s">
        <v>122</v>
      </c>
      <c r="J653" s="3">
        <v>0</v>
      </c>
      <c r="K653" s="3">
        <v>0</v>
      </c>
      <c r="L653" s="3">
        <v>0</v>
      </c>
      <c r="M653" s="3">
        <v>0</v>
      </c>
      <c r="N653" s="3">
        <v>0</v>
      </c>
      <c r="O653" s="3">
        <v>0.11</v>
      </c>
      <c r="P653" s="3">
        <v>0</v>
      </c>
      <c r="Q653" s="3">
        <v>0</v>
      </c>
      <c r="R653" s="3">
        <v>0</v>
      </c>
    </row>
    <row r="654" spans="1:18">
      <c r="A654" s="3" t="s">
        <v>1748</v>
      </c>
      <c r="B654" s="3" t="s">
        <v>1749</v>
      </c>
      <c r="C654" s="3" t="s">
        <v>1749</v>
      </c>
      <c r="D654" s="3" t="s">
        <v>1750</v>
      </c>
      <c r="E654" s="3" t="s">
        <v>120</v>
      </c>
      <c r="F654" s="3">
        <v>39.98</v>
      </c>
      <c r="G654" s="3" t="s">
        <v>121</v>
      </c>
      <c r="H654" s="3"/>
      <c r="I654" s="3" t="s">
        <v>122</v>
      </c>
      <c r="J654" s="3">
        <v>5</v>
      </c>
      <c r="K654" s="3">
        <v>5</v>
      </c>
      <c r="L654" s="3">
        <v>0</v>
      </c>
      <c r="M654" s="3">
        <v>0</v>
      </c>
      <c r="N654" s="3">
        <v>5</v>
      </c>
      <c r="O654" s="3">
        <v>0.12</v>
      </c>
      <c r="P654" s="3">
        <v>0</v>
      </c>
      <c r="Q654" s="3">
        <v>0</v>
      </c>
      <c r="R654" s="3">
        <v>0</v>
      </c>
    </row>
    <row r="655" spans="1:18">
      <c r="A655" s="3" t="s">
        <v>1751</v>
      </c>
      <c r="B655" s="3" t="s">
        <v>1752</v>
      </c>
      <c r="C655" s="3" t="s">
        <v>1752</v>
      </c>
      <c r="D655" s="3" t="s">
        <v>1753</v>
      </c>
      <c r="E655" s="3" t="s">
        <v>120</v>
      </c>
      <c r="F655" s="3">
        <v>25.98</v>
      </c>
      <c r="G655" s="3" t="s">
        <v>121</v>
      </c>
      <c r="H655" s="3"/>
      <c r="I655" s="3" t="s">
        <v>122</v>
      </c>
      <c r="J655" s="3">
        <v>0</v>
      </c>
      <c r="K655" s="3">
        <v>0</v>
      </c>
      <c r="L655" s="3">
        <v>0</v>
      </c>
      <c r="M655" s="3">
        <v>0</v>
      </c>
      <c r="N655" s="3">
        <v>0</v>
      </c>
      <c r="O655" s="3">
        <v>0.19</v>
      </c>
      <c r="P655" s="3">
        <v>0</v>
      </c>
      <c r="Q655" s="3">
        <v>0</v>
      </c>
      <c r="R655" s="3">
        <v>0</v>
      </c>
    </row>
    <row r="656" spans="1:18">
      <c r="A656" s="3" t="s">
        <v>1754</v>
      </c>
      <c r="B656" s="3" t="s">
        <v>1752</v>
      </c>
      <c r="C656" s="3" t="s">
        <v>1752</v>
      </c>
      <c r="D656" s="3"/>
      <c r="E656" s="3" t="s">
        <v>20</v>
      </c>
      <c r="F656" s="3"/>
      <c r="G656" s="3"/>
      <c r="H656" s="3"/>
      <c r="I656" s="3"/>
      <c r="J656" s="3">
        <v>0</v>
      </c>
      <c r="K656" s="3">
        <v>0</v>
      </c>
      <c r="L656" s="3">
        <v>0</v>
      </c>
      <c r="M656" s="3">
        <v>0</v>
      </c>
      <c r="N656" s="3">
        <v>0</v>
      </c>
      <c r="O656" s="3"/>
      <c r="P656" s="3">
        <v>0</v>
      </c>
      <c r="Q656" s="3">
        <v>0</v>
      </c>
      <c r="R656" s="3">
        <v>0</v>
      </c>
    </row>
    <row r="657" spans="1:18">
      <c r="A657" s="3" t="s">
        <v>1755</v>
      </c>
      <c r="B657" s="3" t="s">
        <v>1756</v>
      </c>
      <c r="C657" s="3" t="s">
        <v>1756</v>
      </c>
      <c r="D657" s="3" t="s">
        <v>1757</v>
      </c>
      <c r="E657" s="3" t="s">
        <v>120</v>
      </c>
      <c r="F657" s="3">
        <v>25.98</v>
      </c>
      <c r="G657" s="3" t="s">
        <v>121</v>
      </c>
      <c r="H657" s="3"/>
      <c r="I657" s="3" t="s">
        <v>122</v>
      </c>
      <c r="J657" s="3">
        <v>8</v>
      </c>
      <c r="K657" s="3">
        <v>8</v>
      </c>
      <c r="L657" s="3">
        <v>0</v>
      </c>
      <c r="M657" s="3">
        <v>0</v>
      </c>
      <c r="N657" s="3">
        <v>8</v>
      </c>
      <c r="O657" s="3">
        <v>0.12</v>
      </c>
      <c r="P657" s="3">
        <v>0</v>
      </c>
      <c r="Q657" s="3">
        <v>0</v>
      </c>
      <c r="R657" s="3">
        <v>0</v>
      </c>
    </row>
    <row r="658" spans="1:18">
      <c r="A658" s="3" t="s">
        <v>1758</v>
      </c>
      <c r="B658" s="3" t="s">
        <v>1759</v>
      </c>
      <c r="C658" s="3" t="s">
        <v>1759</v>
      </c>
      <c r="D658" s="3" t="s">
        <v>1760</v>
      </c>
      <c r="E658" s="3" t="s">
        <v>120</v>
      </c>
      <c r="F658" s="3">
        <v>39.98</v>
      </c>
      <c r="G658" s="3" t="s">
        <v>121</v>
      </c>
      <c r="H658" s="3"/>
      <c r="I658" s="3" t="s">
        <v>122</v>
      </c>
      <c r="J658" s="3">
        <v>11</v>
      </c>
      <c r="K658" s="3">
        <v>11</v>
      </c>
      <c r="L658" s="3">
        <v>0</v>
      </c>
      <c r="M658" s="3">
        <v>0</v>
      </c>
      <c r="N658" s="3">
        <v>11</v>
      </c>
      <c r="O658" s="3">
        <v>0.12</v>
      </c>
      <c r="P658" s="3">
        <v>0</v>
      </c>
      <c r="Q658" s="3">
        <v>0</v>
      </c>
      <c r="R658" s="3">
        <v>0</v>
      </c>
    </row>
    <row r="659" spans="1:18">
      <c r="A659" s="3" t="s">
        <v>1761</v>
      </c>
      <c r="B659" s="3" t="s">
        <v>1762</v>
      </c>
      <c r="C659" s="3" t="s">
        <v>1762</v>
      </c>
      <c r="D659" s="3" t="s">
        <v>1763</v>
      </c>
      <c r="E659" s="3" t="s">
        <v>120</v>
      </c>
      <c r="F659" s="3">
        <v>39.98</v>
      </c>
      <c r="G659" s="3" t="s">
        <v>121</v>
      </c>
      <c r="H659" s="3"/>
      <c r="I659" s="3" t="s">
        <v>122</v>
      </c>
      <c r="J659" s="3">
        <v>2</v>
      </c>
      <c r="K659" s="3">
        <v>1</v>
      </c>
      <c r="L659" s="3">
        <v>0</v>
      </c>
      <c r="M659" s="3">
        <v>1</v>
      </c>
      <c r="N659" s="3">
        <v>2</v>
      </c>
      <c r="O659" s="3">
        <v>0.12</v>
      </c>
      <c r="P659" s="3">
        <v>0</v>
      </c>
      <c r="Q659" s="3">
        <v>0</v>
      </c>
      <c r="R659" s="3">
        <v>0</v>
      </c>
    </row>
    <row r="660" spans="1:18">
      <c r="A660" s="3" t="s">
        <v>1764</v>
      </c>
      <c r="B660" s="3" t="s">
        <v>1765</v>
      </c>
      <c r="C660" s="3" t="s">
        <v>1765</v>
      </c>
      <c r="D660" s="3" t="s">
        <v>1766</v>
      </c>
      <c r="E660" s="3" t="s">
        <v>120</v>
      </c>
      <c r="F660" s="3">
        <v>39.98</v>
      </c>
      <c r="G660" s="3" t="s">
        <v>121</v>
      </c>
      <c r="H660" s="3"/>
      <c r="I660" s="3" t="s">
        <v>122</v>
      </c>
      <c r="J660" s="3">
        <v>0</v>
      </c>
      <c r="K660" s="3">
        <v>0</v>
      </c>
      <c r="L660" s="3">
        <v>0</v>
      </c>
      <c r="M660" s="3">
        <v>0</v>
      </c>
      <c r="N660" s="3">
        <v>0</v>
      </c>
      <c r="O660" s="3">
        <v>0.12</v>
      </c>
      <c r="P660" s="3">
        <v>0</v>
      </c>
      <c r="Q660" s="3">
        <v>0</v>
      </c>
      <c r="R660" s="3">
        <v>0</v>
      </c>
    </row>
    <row r="661" spans="1:18">
      <c r="A661" s="3" t="s">
        <v>1767</v>
      </c>
      <c r="B661" s="3" t="s">
        <v>1768</v>
      </c>
      <c r="C661" s="3" t="s">
        <v>1768</v>
      </c>
      <c r="D661" s="3" t="s">
        <v>1769</v>
      </c>
      <c r="E661" s="3" t="s">
        <v>120</v>
      </c>
      <c r="F661" s="3">
        <v>39.98</v>
      </c>
      <c r="G661" s="3" t="s">
        <v>121</v>
      </c>
      <c r="H661" s="3"/>
      <c r="I661" s="3" t="s">
        <v>122</v>
      </c>
      <c r="J661" s="3">
        <v>4</v>
      </c>
      <c r="K661" s="3">
        <v>4</v>
      </c>
      <c r="L661" s="3">
        <v>0</v>
      </c>
      <c r="M661" s="3">
        <v>0</v>
      </c>
      <c r="N661" s="3">
        <v>4</v>
      </c>
      <c r="O661" s="3">
        <v>0.12</v>
      </c>
      <c r="P661" s="3">
        <v>0</v>
      </c>
      <c r="Q661" s="3">
        <v>0</v>
      </c>
      <c r="R661" s="3">
        <v>0</v>
      </c>
    </row>
    <row r="662" spans="1:18">
      <c r="A662" s="3" t="s">
        <v>1770</v>
      </c>
      <c r="B662" s="3" t="s">
        <v>1771</v>
      </c>
      <c r="C662" s="3" t="s">
        <v>1771</v>
      </c>
      <c r="D662" s="3" t="s">
        <v>1772</v>
      </c>
      <c r="E662" s="3" t="s">
        <v>120</v>
      </c>
      <c r="F662" s="3">
        <v>25.98</v>
      </c>
      <c r="G662" s="3" t="s">
        <v>121</v>
      </c>
      <c r="H662" s="3"/>
      <c r="I662" s="3" t="s">
        <v>122</v>
      </c>
      <c r="J662" s="3">
        <v>28</v>
      </c>
      <c r="K662" s="3">
        <v>28</v>
      </c>
      <c r="L662" s="3">
        <v>0</v>
      </c>
      <c r="M662" s="3">
        <v>0</v>
      </c>
      <c r="N662" s="3">
        <v>28</v>
      </c>
      <c r="O662" s="3">
        <v>0.12</v>
      </c>
      <c r="P662" s="3">
        <v>0</v>
      </c>
      <c r="Q662" s="3">
        <v>0</v>
      </c>
      <c r="R662" s="3">
        <v>0</v>
      </c>
    </row>
    <row r="663" spans="1:18">
      <c r="A663" s="3" t="s">
        <v>1773</v>
      </c>
      <c r="B663" s="3" t="s">
        <v>1774</v>
      </c>
      <c r="C663" s="3" t="s">
        <v>1774</v>
      </c>
      <c r="D663" s="3"/>
      <c r="E663" s="3" t="s">
        <v>20</v>
      </c>
      <c r="F663" s="3"/>
      <c r="G663" s="3"/>
      <c r="H663" s="3"/>
      <c r="I663" s="3"/>
      <c r="J663" s="3">
        <v>2</v>
      </c>
      <c r="K663" s="3">
        <v>2</v>
      </c>
      <c r="L663" s="3">
        <v>0</v>
      </c>
      <c r="M663" s="3">
        <v>0</v>
      </c>
      <c r="N663" s="3">
        <v>2</v>
      </c>
      <c r="O663" s="3"/>
      <c r="P663" s="3">
        <v>0</v>
      </c>
      <c r="Q663" s="3">
        <v>0</v>
      </c>
      <c r="R663" s="3">
        <v>0</v>
      </c>
    </row>
    <row r="664" spans="1:18">
      <c r="A664" s="3" t="s">
        <v>1775</v>
      </c>
      <c r="B664" s="3" t="s">
        <v>1776</v>
      </c>
      <c r="C664" s="3" t="s">
        <v>1776</v>
      </c>
      <c r="D664" s="3"/>
      <c r="E664" s="3" t="s">
        <v>20</v>
      </c>
      <c r="F664" s="3"/>
      <c r="G664" s="3"/>
      <c r="H664" s="3"/>
      <c r="I664" s="3"/>
      <c r="J664" s="3">
        <v>0</v>
      </c>
      <c r="K664" s="3">
        <v>0</v>
      </c>
      <c r="L664" s="3">
        <v>0</v>
      </c>
      <c r="M664" s="3">
        <v>0</v>
      </c>
      <c r="N664" s="3">
        <v>0</v>
      </c>
      <c r="O664" s="3"/>
      <c r="P664" s="3">
        <v>0</v>
      </c>
      <c r="Q664" s="3">
        <v>0</v>
      </c>
      <c r="R664" s="3">
        <v>0</v>
      </c>
    </row>
    <row r="665" spans="1:18">
      <c r="A665" s="3" t="s">
        <v>1777</v>
      </c>
      <c r="B665" s="3" t="s">
        <v>1778</v>
      </c>
      <c r="C665" s="3" t="s">
        <v>1778</v>
      </c>
      <c r="D665" s="3" t="s">
        <v>1779</v>
      </c>
      <c r="E665" s="3" t="s">
        <v>120</v>
      </c>
      <c r="F665" s="3">
        <v>39.98</v>
      </c>
      <c r="G665" s="3" t="s">
        <v>121</v>
      </c>
      <c r="H665" s="3"/>
      <c r="I665" s="3" t="s">
        <v>122</v>
      </c>
      <c r="J665" s="3">
        <v>9</v>
      </c>
      <c r="K665" s="3">
        <v>9</v>
      </c>
      <c r="L665" s="3">
        <v>0</v>
      </c>
      <c r="M665" s="3">
        <v>0</v>
      </c>
      <c r="N665" s="3">
        <v>9</v>
      </c>
      <c r="O665" s="3">
        <v>0.12</v>
      </c>
      <c r="P665" s="3">
        <v>0</v>
      </c>
      <c r="Q665" s="3">
        <v>0</v>
      </c>
      <c r="R665" s="3">
        <v>0</v>
      </c>
    </row>
    <row r="666" spans="1:18">
      <c r="A666" s="3" t="s">
        <v>1780</v>
      </c>
      <c r="B666" s="3" t="s">
        <v>1781</v>
      </c>
      <c r="C666" s="3" t="s">
        <v>1781</v>
      </c>
      <c r="D666" s="3"/>
      <c r="E666" s="3" t="s">
        <v>20</v>
      </c>
      <c r="F666" s="3"/>
      <c r="G666" s="3"/>
      <c r="H666" s="3"/>
      <c r="I666" s="3"/>
      <c r="J666" s="3">
        <v>22</v>
      </c>
      <c r="K666" s="3">
        <v>22</v>
      </c>
      <c r="L666" s="3">
        <v>0</v>
      </c>
      <c r="M666" s="3">
        <v>0</v>
      </c>
      <c r="N666" s="3">
        <v>22</v>
      </c>
      <c r="O666" s="3"/>
      <c r="P666" s="3">
        <v>0</v>
      </c>
      <c r="Q666" s="3">
        <v>0</v>
      </c>
      <c r="R666" s="3">
        <v>0</v>
      </c>
    </row>
    <row r="667" spans="1:18">
      <c r="A667" s="3" t="s">
        <v>1782</v>
      </c>
      <c r="B667" s="3" t="s">
        <v>1783</v>
      </c>
      <c r="C667" s="3" t="s">
        <v>1783</v>
      </c>
      <c r="D667" s="3" t="s">
        <v>1784</v>
      </c>
      <c r="E667" s="3" t="s">
        <v>120</v>
      </c>
      <c r="F667" s="3">
        <v>39.98</v>
      </c>
      <c r="G667" s="3" t="s">
        <v>121</v>
      </c>
      <c r="H667" s="3"/>
      <c r="I667" s="3" t="s">
        <v>122</v>
      </c>
      <c r="J667" s="3">
        <v>6</v>
      </c>
      <c r="K667" s="3">
        <v>6</v>
      </c>
      <c r="L667" s="3">
        <v>0</v>
      </c>
      <c r="M667" s="3">
        <v>0</v>
      </c>
      <c r="N667" s="3">
        <v>6</v>
      </c>
      <c r="O667" s="3">
        <v>0.12</v>
      </c>
      <c r="P667" s="3">
        <v>0</v>
      </c>
      <c r="Q667" s="3">
        <v>0</v>
      </c>
      <c r="R667" s="3">
        <v>0</v>
      </c>
    </row>
    <row r="668" spans="1:18">
      <c r="A668" s="3" t="s">
        <v>1785</v>
      </c>
      <c r="B668" s="3" t="s">
        <v>1786</v>
      </c>
      <c r="C668" s="3" t="s">
        <v>1786</v>
      </c>
      <c r="D668" s="3" t="s">
        <v>1787</v>
      </c>
      <c r="E668" s="3" t="s">
        <v>120</v>
      </c>
      <c r="F668" s="3">
        <v>25.98</v>
      </c>
      <c r="G668" s="3" t="s">
        <v>121</v>
      </c>
      <c r="H668" s="3"/>
      <c r="I668" s="3" t="s">
        <v>122</v>
      </c>
      <c r="J668" s="3">
        <v>5</v>
      </c>
      <c r="K668" s="3">
        <v>5</v>
      </c>
      <c r="L668" s="3">
        <v>0</v>
      </c>
      <c r="M668" s="3">
        <v>0</v>
      </c>
      <c r="N668" s="3">
        <v>5</v>
      </c>
      <c r="O668" s="3">
        <v>0.12</v>
      </c>
      <c r="P668" s="3">
        <v>0</v>
      </c>
      <c r="Q668" s="3">
        <v>0</v>
      </c>
      <c r="R668" s="3">
        <v>0</v>
      </c>
    </row>
    <row r="669" spans="1:18">
      <c r="A669" s="3" t="s">
        <v>1788</v>
      </c>
      <c r="B669" s="3" t="s">
        <v>1789</v>
      </c>
      <c r="C669" s="3" t="s">
        <v>1789</v>
      </c>
      <c r="D669" s="3" t="s">
        <v>1790</v>
      </c>
      <c r="E669" s="3" t="s">
        <v>120</v>
      </c>
      <c r="F669" s="3">
        <v>25.98</v>
      </c>
      <c r="G669" s="3" t="s">
        <v>121</v>
      </c>
      <c r="H669" s="3"/>
      <c r="I669" s="3" t="s">
        <v>122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0.16</v>
      </c>
      <c r="P669" s="3">
        <v>0</v>
      </c>
      <c r="Q669" s="3">
        <v>0</v>
      </c>
      <c r="R669" s="3">
        <v>0</v>
      </c>
    </row>
    <row r="670" spans="1:18">
      <c r="A670" s="3" t="s">
        <v>1791</v>
      </c>
      <c r="B670" s="3" t="s">
        <v>1792</v>
      </c>
      <c r="C670" s="3" t="s">
        <v>1792</v>
      </c>
      <c r="D670" s="3" t="s">
        <v>1793</v>
      </c>
      <c r="E670" s="3" t="s">
        <v>120</v>
      </c>
      <c r="F670" s="3">
        <v>39.98</v>
      </c>
      <c r="G670" s="3" t="s">
        <v>121</v>
      </c>
      <c r="H670" s="3"/>
      <c r="I670" s="3" t="s">
        <v>122</v>
      </c>
      <c r="J670" s="3">
        <v>9</v>
      </c>
      <c r="K670" s="3">
        <v>9</v>
      </c>
      <c r="L670" s="3">
        <v>0</v>
      </c>
      <c r="M670" s="3">
        <v>0</v>
      </c>
      <c r="N670" s="3">
        <v>9</v>
      </c>
      <c r="O670" s="3">
        <v>0.12</v>
      </c>
      <c r="P670" s="3">
        <v>0</v>
      </c>
      <c r="Q670" s="3">
        <v>0</v>
      </c>
      <c r="R670" s="3">
        <v>0</v>
      </c>
    </row>
    <row r="671" spans="1:18">
      <c r="A671" s="3" t="s">
        <v>1794</v>
      </c>
      <c r="B671" s="3" t="s">
        <v>1795</v>
      </c>
      <c r="C671" s="3" t="s">
        <v>1795</v>
      </c>
      <c r="D671" s="3" t="s">
        <v>1796</v>
      </c>
      <c r="E671" s="3" t="s">
        <v>120</v>
      </c>
      <c r="F671" s="3">
        <v>25.98</v>
      </c>
      <c r="G671" s="3" t="s">
        <v>121</v>
      </c>
      <c r="H671" s="3"/>
      <c r="I671" s="3" t="s">
        <v>122</v>
      </c>
      <c r="J671" s="3">
        <v>0</v>
      </c>
      <c r="K671" s="3">
        <v>0</v>
      </c>
      <c r="L671" s="3">
        <v>0</v>
      </c>
      <c r="M671" s="3">
        <v>0</v>
      </c>
      <c r="N671" s="3">
        <v>0</v>
      </c>
      <c r="O671" s="3">
        <v>0.12</v>
      </c>
      <c r="P671" s="3">
        <v>0</v>
      </c>
      <c r="Q671" s="3">
        <v>0</v>
      </c>
      <c r="R671" s="3">
        <v>0</v>
      </c>
    </row>
    <row r="672" spans="1:18">
      <c r="A672" s="3" t="s">
        <v>1797</v>
      </c>
      <c r="B672" s="3" t="s">
        <v>1798</v>
      </c>
      <c r="C672" s="3" t="s">
        <v>1798</v>
      </c>
      <c r="D672" s="3"/>
      <c r="E672" s="3" t="s">
        <v>20</v>
      </c>
      <c r="F672" s="3"/>
      <c r="G672" s="3"/>
      <c r="H672" s="3"/>
      <c r="I672" s="3"/>
      <c r="J672" s="3">
        <v>0</v>
      </c>
      <c r="K672" s="3">
        <v>0</v>
      </c>
      <c r="L672" s="3">
        <v>0</v>
      </c>
      <c r="M672" s="3">
        <v>0</v>
      </c>
      <c r="N672" s="3">
        <v>0</v>
      </c>
      <c r="O672" s="3"/>
      <c r="P672" s="3">
        <v>0</v>
      </c>
      <c r="Q672" s="3">
        <v>0</v>
      </c>
      <c r="R672" s="3">
        <v>0</v>
      </c>
    </row>
    <row r="673" spans="1:18">
      <c r="A673" s="3" t="s">
        <v>1799</v>
      </c>
      <c r="B673" s="3" t="s">
        <v>1800</v>
      </c>
      <c r="C673" s="3" t="s">
        <v>1800</v>
      </c>
      <c r="D673" s="3"/>
      <c r="E673" s="3" t="s">
        <v>20</v>
      </c>
      <c r="F673" s="3"/>
      <c r="G673" s="3"/>
      <c r="H673" s="3"/>
      <c r="I673" s="3"/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/>
      <c r="P673" s="3">
        <v>0</v>
      </c>
      <c r="Q673" s="3">
        <v>0</v>
      </c>
      <c r="R673" s="3">
        <v>0</v>
      </c>
    </row>
    <row r="674" spans="1:18">
      <c r="A674" s="3" t="s">
        <v>1801</v>
      </c>
      <c r="B674" s="3" t="s">
        <v>1802</v>
      </c>
      <c r="C674" s="3" t="s">
        <v>1802</v>
      </c>
      <c r="D674" s="3"/>
      <c r="E674" s="3" t="s">
        <v>20</v>
      </c>
      <c r="F674" s="3"/>
      <c r="G674" s="3"/>
      <c r="H674" s="3"/>
      <c r="I674" s="3"/>
      <c r="J674" s="3">
        <v>0</v>
      </c>
      <c r="K674" s="3">
        <v>0</v>
      </c>
      <c r="L674" s="3">
        <v>0</v>
      </c>
      <c r="M674" s="3">
        <v>0</v>
      </c>
      <c r="N674" s="3">
        <v>0</v>
      </c>
      <c r="O674" s="3"/>
      <c r="P674" s="3">
        <v>0</v>
      </c>
      <c r="Q674" s="3">
        <v>0</v>
      </c>
      <c r="R674" s="3">
        <v>0</v>
      </c>
    </row>
    <row r="675" spans="1:18">
      <c r="A675" s="3" t="s">
        <v>1803</v>
      </c>
      <c r="B675" s="3" t="s">
        <v>1804</v>
      </c>
      <c r="C675" s="3" t="s">
        <v>1804</v>
      </c>
      <c r="D675" s="3" t="s">
        <v>1805</v>
      </c>
      <c r="E675" s="3" t="s">
        <v>120</v>
      </c>
      <c r="F675" s="3">
        <v>39.98</v>
      </c>
      <c r="G675" s="3" t="s">
        <v>121</v>
      </c>
      <c r="H675" s="3"/>
      <c r="I675" s="3" t="s">
        <v>122</v>
      </c>
      <c r="J675" s="3">
        <v>3</v>
      </c>
      <c r="K675" s="3">
        <v>3</v>
      </c>
      <c r="L675" s="3">
        <v>0</v>
      </c>
      <c r="M675" s="3">
        <v>0</v>
      </c>
      <c r="N675" s="3">
        <v>3</v>
      </c>
      <c r="O675" s="3">
        <v>0.12</v>
      </c>
      <c r="P675" s="3">
        <v>0</v>
      </c>
      <c r="Q675" s="3">
        <v>0</v>
      </c>
      <c r="R675" s="3">
        <v>0</v>
      </c>
    </row>
    <row r="676" spans="1:18">
      <c r="A676" s="3" t="s">
        <v>1806</v>
      </c>
      <c r="B676" s="3" t="s">
        <v>1807</v>
      </c>
      <c r="C676" s="3" t="s">
        <v>1807</v>
      </c>
      <c r="D676" s="3" t="s">
        <v>1808</v>
      </c>
      <c r="E676" s="3" t="s">
        <v>120</v>
      </c>
      <c r="F676" s="3">
        <v>39.98</v>
      </c>
      <c r="G676" s="3" t="s">
        <v>121</v>
      </c>
      <c r="H676" s="3"/>
      <c r="I676" s="3" t="s">
        <v>122</v>
      </c>
      <c r="J676" s="3">
        <v>15</v>
      </c>
      <c r="K676" s="3">
        <v>15</v>
      </c>
      <c r="L676" s="3">
        <v>0</v>
      </c>
      <c r="M676" s="3">
        <v>0</v>
      </c>
      <c r="N676" s="3">
        <v>15</v>
      </c>
      <c r="O676" s="3">
        <v>0.12</v>
      </c>
      <c r="P676" s="3">
        <v>0</v>
      </c>
      <c r="Q676" s="3">
        <v>0</v>
      </c>
      <c r="R676" s="3">
        <v>0</v>
      </c>
    </row>
    <row r="677" spans="1:18">
      <c r="A677" s="3" t="s">
        <v>1809</v>
      </c>
      <c r="B677" s="3" t="s">
        <v>1810</v>
      </c>
      <c r="C677" s="3" t="s">
        <v>1810</v>
      </c>
      <c r="D677" s="3" t="s">
        <v>1811</v>
      </c>
      <c r="E677" s="3" t="s">
        <v>120</v>
      </c>
      <c r="F677" s="3">
        <v>39.98</v>
      </c>
      <c r="G677" s="3" t="s">
        <v>121</v>
      </c>
      <c r="H677" s="3"/>
      <c r="I677" s="3" t="s">
        <v>122</v>
      </c>
      <c r="J677" s="3">
        <v>13</v>
      </c>
      <c r="K677" s="3">
        <v>13</v>
      </c>
      <c r="L677" s="3">
        <v>0</v>
      </c>
      <c r="M677" s="3">
        <v>0</v>
      </c>
      <c r="N677" s="3">
        <v>13</v>
      </c>
      <c r="O677" s="3">
        <v>0.12</v>
      </c>
      <c r="P677" s="3">
        <v>0</v>
      </c>
      <c r="Q677" s="3">
        <v>0</v>
      </c>
      <c r="R677" s="3">
        <v>0</v>
      </c>
    </row>
    <row r="678" spans="1:18">
      <c r="A678" s="3" t="s">
        <v>1812</v>
      </c>
      <c r="B678" s="3" t="s">
        <v>1813</v>
      </c>
      <c r="C678" s="3" t="s">
        <v>1813</v>
      </c>
      <c r="D678" s="3" t="s">
        <v>1814</v>
      </c>
      <c r="E678" s="3" t="s">
        <v>120</v>
      </c>
      <c r="F678" s="3">
        <v>24.98</v>
      </c>
      <c r="G678" s="3" t="s">
        <v>121</v>
      </c>
      <c r="H678" s="3"/>
      <c r="I678" s="3" t="s">
        <v>122</v>
      </c>
      <c r="J678" s="3">
        <v>0</v>
      </c>
      <c r="K678" s="3">
        <v>0</v>
      </c>
      <c r="L678" s="3">
        <v>0</v>
      </c>
      <c r="M678" s="3">
        <v>0</v>
      </c>
      <c r="N678" s="3">
        <v>0</v>
      </c>
      <c r="O678" s="3">
        <v>0.15</v>
      </c>
      <c r="P678" s="3">
        <v>0</v>
      </c>
      <c r="Q678" s="3">
        <v>0</v>
      </c>
      <c r="R678" s="3">
        <v>0</v>
      </c>
    </row>
    <row r="679" spans="1:18">
      <c r="A679" s="3" t="s">
        <v>1815</v>
      </c>
      <c r="B679" s="3" t="s">
        <v>1816</v>
      </c>
      <c r="C679" s="3" t="s">
        <v>1816</v>
      </c>
      <c r="D679" s="3" t="s">
        <v>1817</v>
      </c>
      <c r="E679" s="3" t="s">
        <v>120</v>
      </c>
      <c r="F679" s="3">
        <v>39.98</v>
      </c>
      <c r="G679" s="3" t="s">
        <v>121</v>
      </c>
      <c r="H679" s="3"/>
      <c r="I679" s="3" t="s">
        <v>122</v>
      </c>
      <c r="J679" s="3">
        <v>12</v>
      </c>
      <c r="K679" s="3">
        <v>12</v>
      </c>
      <c r="L679" s="3">
        <v>0</v>
      </c>
      <c r="M679" s="3">
        <v>0</v>
      </c>
      <c r="N679" s="3">
        <v>12</v>
      </c>
      <c r="O679" s="3">
        <v>0.12</v>
      </c>
      <c r="P679" s="3">
        <v>0</v>
      </c>
      <c r="Q679" s="3">
        <v>0</v>
      </c>
      <c r="R679" s="3">
        <v>0</v>
      </c>
    </row>
    <row r="680" spans="1:18">
      <c r="A680" s="3" t="s">
        <v>1818</v>
      </c>
      <c r="B680" s="3" t="s">
        <v>1819</v>
      </c>
      <c r="C680" s="3" t="s">
        <v>1819</v>
      </c>
      <c r="D680" s="3" t="s">
        <v>1820</v>
      </c>
      <c r="E680" s="3" t="s">
        <v>120</v>
      </c>
      <c r="F680" s="3">
        <v>39.98</v>
      </c>
      <c r="G680" s="3" t="s">
        <v>121</v>
      </c>
      <c r="H680" s="3"/>
      <c r="I680" s="3" t="s">
        <v>122</v>
      </c>
      <c r="J680" s="3">
        <v>0</v>
      </c>
      <c r="K680" s="3">
        <v>0</v>
      </c>
      <c r="L680" s="3">
        <v>0</v>
      </c>
      <c r="M680" s="3">
        <v>0</v>
      </c>
      <c r="N680" s="3">
        <v>0</v>
      </c>
      <c r="O680" s="3">
        <v>0.12</v>
      </c>
      <c r="P680" s="3">
        <v>0</v>
      </c>
      <c r="Q680" s="3">
        <v>0</v>
      </c>
      <c r="R680" s="3">
        <v>0</v>
      </c>
    </row>
    <row r="681" spans="1:18">
      <c r="A681" s="3" t="s">
        <v>1821</v>
      </c>
      <c r="B681" s="3" t="s">
        <v>1822</v>
      </c>
      <c r="C681" s="3" t="s">
        <v>1822</v>
      </c>
      <c r="D681" s="3" t="s">
        <v>1823</v>
      </c>
      <c r="E681" s="3" t="s">
        <v>120</v>
      </c>
      <c r="F681" s="3">
        <v>25.98</v>
      </c>
      <c r="G681" s="3" t="s">
        <v>121</v>
      </c>
      <c r="H681" s="3"/>
      <c r="I681" s="3" t="s">
        <v>122</v>
      </c>
      <c r="J681" s="3">
        <v>8</v>
      </c>
      <c r="K681" s="3">
        <v>8</v>
      </c>
      <c r="L681" s="3">
        <v>0</v>
      </c>
      <c r="M681" s="3">
        <v>0</v>
      </c>
      <c r="N681" s="3">
        <v>8</v>
      </c>
      <c r="O681" s="3">
        <v>0.12</v>
      </c>
      <c r="P681" s="3">
        <v>0</v>
      </c>
      <c r="Q681" s="3">
        <v>0</v>
      </c>
      <c r="R681" s="3">
        <v>0</v>
      </c>
    </row>
    <row r="682" spans="1:18">
      <c r="A682" s="3" t="s">
        <v>1824</v>
      </c>
      <c r="B682" s="3" t="s">
        <v>1825</v>
      </c>
      <c r="C682" s="3" t="s">
        <v>1825</v>
      </c>
      <c r="D682" s="3" t="s">
        <v>1826</v>
      </c>
      <c r="E682" s="3" t="s">
        <v>120</v>
      </c>
      <c r="F682" s="3">
        <v>25.98</v>
      </c>
      <c r="G682" s="3" t="s">
        <v>121</v>
      </c>
      <c r="H682" s="3"/>
      <c r="I682" s="3" t="s">
        <v>122</v>
      </c>
      <c r="J682" s="3">
        <v>9</v>
      </c>
      <c r="K682" s="3">
        <v>9</v>
      </c>
      <c r="L682" s="3">
        <v>0</v>
      </c>
      <c r="M682" s="3">
        <v>0</v>
      </c>
      <c r="N682" s="3">
        <v>9</v>
      </c>
      <c r="O682" s="3">
        <v>0.12</v>
      </c>
      <c r="P682" s="3">
        <v>0</v>
      </c>
      <c r="Q682" s="3">
        <v>0</v>
      </c>
      <c r="R682" s="3">
        <v>0</v>
      </c>
    </row>
    <row r="683" spans="1:18">
      <c r="A683" s="3" t="s">
        <v>1827</v>
      </c>
      <c r="B683" s="3" t="s">
        <v>1828</v>
      </c>
      <c r="C683" s="3" t="s">
        <v>1828</v>
      </c>
      <c r="D683" s="3" t="s">
        <v>1829</v>
      </c>
      <c r="E683" s="3" t="s">
        <v>120</v>
      </c>
      <c r="F683" s="3">
        <v>39.98</v>
      </c>
      <c r="G683" s="3" t="s">
        <v>121</v>
      </c>
      <c r="H683" s="3"/>
      <c r="I683" s="3" t="s">
        <v>122</v>
      </c>
      <c r="J683" s="3">
        <v>0</v>
      </c>
      <c r="K683" s="3">
        <v>0</v>
      </c>
      <c r="L683" s="3">
        <v>0</v>
      </c>
      <c r="M683" s="3">
        <v>0</v>
      </c>
      <c r="N683" s="3">
        <v>0</v>
      </c>
      <c r="O683" s="3">
        <v>0.13</v>
      </c>
      <c r="P683" s="3">
        <v>0</v>
      </c>
      <c r="Q683" s="3">
        <v>0</v>
      </c>
      <c r="R683" s="3">
        <v>0</v>
      </c>
    </row>
    <row r="684" spans="1:18">
      <c r="A684" s="3" t="s">
        <v>1830</v>
      </c>
      <c r="B684" s="3" t="s">
        <v>1831</v>
      </c>
      <c r="C684" s="3" t="s">
        <v>1831</v>
      </c>
      <c r="D684" s="3" t="s">
        <v>1832</v>
      </c>
      <c r="E684" s="3" t="s">
        <v>120</v>
      </c>
      <c r="F684" s="3">
        <v>39.98</v>
      </c>
      <c r="G684" s="3" t="s">
        <v>121</v>
      </c>
      <c r="H684" s="3"/>
      <c r="I684" s="3" t="s">
        <v>122</v>
      </c>
      <c r="J684" s="3">
        <v>3</v>
      </c>
      <c r="K684" s="3">
        <v>3</v>
      </c>
      <c r="L684" s="3">
        <v>0</v>
      </c>
      <c r="M684" s="3">
        <v>0</v>
      </c>
      <c r="N684" s="3">
        <v>3</v>
      </c>
      <c r="O684" s="3">
        <v>0.12</v>
      </c>
      <c r="P684" s="3">
        <v>0</v>
      </c>
      <c r="Q684" s="3">
        <v>0</v>
      </c>
      <c r="R684" s="3">
        <v>0</v>
      </c>
    </row>
    <row r="685" spans="1:18">
      <c r="A685" s="3" t="s">
        <v>1833</v>
      </c>
      <c r="B685" s="3" t="s">
        <v>1834</v>
      </c>
      <c r="C685" s="3" t="s">
        <v>1834</v>
      </c>
      <c r="D685" s="3" t="s">
        <v>1835</v>
      </c>
      <c r="E685" s="3" t="s">
        <v>120</v>
      </c>
      <c r="F685" s="3">
        <v>39.98</v>
      </c>
      <c r="G685" s="3" t="s">
        <v>121</v>
      </c>
      <c r="H685" s="3"/>
      <c r="I685" s="3" t="s">
        <v>122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0.12</v>
      </c>
      <c r="P685" s="3">
        <v>0</v>
      </c>
      <c r="Q685" s="3">
        <v>0</v>
      </c>
      <c r="R685" s="3">
        <v>0</v>
      </c>
    </row>
    <row r="686" spans="1:18">
      <c r="A686" s="3" t="s">
        <v>1836</v>
      </c>
      <c r="B686" s="3" t="s">
        <v>1837</v>
      </c>
      <c r="C686" s="3" t="s">
        <v>1837</v>
      </c>
      <c r="D686" s="3"/>
      <c r="E686" s="3" t="s">
        <v>20</v>
      </c>
      <c r="F686" s="3"/>
      <c r="G686" s="3"/>
      <c r="H686" s="3"/>
      <c r="I686" s="3"/>
      <c r="J686" s="3">
        <v>0</v>
      </c>
      <c r="K686" s="3">
        <v>0</v>
      </c>
      <c r="L686" s="3">
        <v>0</v>
      </c>
      <c r="M686" s="3">
        <v>0</v>
      </c>
      <c r="N686" s="3">
        <v>0</v>
      </c>
      <c r="O686" s="3"/>
      <c r="P686" s="3">
        <v>0</v>
      </c>
      <c r="Q686" s="3">
        <v>0</v>
      </c>
      <c r="R686" s="3">
        <v>0</v>
      </c>
    </row>
    <row r="687" spans="1:18">
      <c r="A687" s="3" t="s">
        <v>1838</v>
      </c>
      <c r="B687" s="3" t="s">
        <v>1839</v>
      </c>
      <c r="C687" s="3" t="s">
        <v>1839</v>
      </c>
      <c r="D687" s="3" t="s">
        <v>1840</v>
      </c>
      <c r="E687" s="3" t="s">
        <v>120</v>
      </c>
      <c r="F687" s="3">
        <v>39.98</v>
      </c>
      <c r="G687" s="3" t="s">
        <v>121</v>
      </c>
      <c r="H687" s="3"/>
      <c r="I687" s="3" t="s">
        <v>122</v>
      </c>
      <c r="J687" s="3">
        <v>2</v>
      </c>
      <c r="K687" s="3">
        <v>2</v>
      </c>
      <c r="L687" s="3">
        <v>0</v>
      </c>
      <c r="M687" s="3">
        <v>0</v>
      </c>
      <c r="N687" s="3">
        <v>2</v>
      </c>
      <c r="O687" s="3">
        <v>0.12</v>
      </c>
      <c r="P687" s="3">
        <v>0</v>
      </c>
      <c r="Q687" s="3">
        <v>0</v>
      </c>
      <c r="R687" s="3">
        <v>0</v>
      </c>
    </row>
    <row r="688" spans="1:18">
      <c r="A688" s="3" t="s">
        <v>1841</v>
      </c>
      <c r="B688" s="3" t="s">
        <v>1842</v>
      </c>
      <c r="C688" s="3" t="s">
        <v>1842</v>
      </c>
      <c r="D688" s="3" t="s">
        <v>1843</v>
      </c>
      <c r="E688" s="3" t="s">
        <v>120</v>
      </c>
      <c r="F688" s="3">
        <v>39.98</v>
      </c>
      <c r="G688" s="3" t="s">
        <v>121</v>
      </c>
      <c r="H688" s="3"/>
      <c r="I688" s="3" t="s">
        <v>122</v>
      </c>
      <c r="J688" s="3">
        <v>0</v>
      </c>
      <c r="K688" s="3">
        <v>0</v>
      </c>
      <c r="L688" s="3">
        <v>0</v>
      </c>
      <c r="M688" s="3">
        <v>0</v>
      </c>
      <c r="N688" s="3">
        <v>0</v>
      </c>
      <c r="O688" s="3">
        <v>0.16</v>
      </c>
      <c r="P688" s="3">
        <v>0</v>
      </c>
      <c r="Q688" s="3">
        <v>0</v>
      </c>
      <c r="R688" s="3">
        <v>0</v>
      </c>
    </row>
    <row r="689" spans="1:18">
      <c r="A689" s="3" t="s">
        <v>1844</v>
      </c>
      <c r="B689" s="3" t="s">
        <v>1845</v>
      </c>
      <c r="C689" s="3" t="s">
        <v>1845</v>
      </c>
      <c r="D689" s="3" t="s">
        <v>1381</v>
      </c>
      <c r="E689" s="3" t="s">
        <v>120</v>
      </c>
      <c r="F689" s="3">
        <v>22.98</v>
      </c>
      <c r="G689" s="3" t="s">
        <v>121</v>
      </c>
      <c r="H689" s="3"/>
      <c r="I689" s="3" t="s">
        <v>122</v>
      </c>
      <c r="J689" s="3">
        <v>0</v>
      </c>
      <c r="K689" s="3">
        <v>0</v>
      </c>
      <c r="L689" s="3">
        <v>0</v>
      </c>
      <c r="M689" s="3">
        <v>0</v>
      </c>
      <c r="N689" s="3">
        <v>0</v>
      </c>
      <c r="O689" s="3">
        <v>0.16</v>
      </c>
      <c r="P689" s="3">
        <v>0</v>
      </c>
      <c r="Q689" s="3">
        <v>0</v>
      </c>
      <c r="R689" s="3">
        <v>0</v>
      </c>
    </row>
    <row r="690" spans="1:18">
      <c r="A690" s="3" t="s">
        <v>1846</v>
      </c>
      <c r="B690" s="3" t="s">
        <v>1847</v>
      </c>
      <c r="C690" s="3" t="s">
        <v>1847</v>
      </c>
      <c r="D690" s="3" t="s">
        <v>1848</v>
      </c>
      <c r="E690" s="3" t="s">
        <v>120</v>
      </c>
      <c r="F690" s="3">
        <v>12.98</v>
      </c>
      <c r="G690" s="3" t="s">
        <v>121</v>
      </c>
      <c r="H690" s="3"/>
      <c r="I690" s="3" t="s">
        <v>122</v>
      </c>
      <c r="J690" s="3">
        <v>0</v>
      </c>
      <c r="K690" s="3">
        <v>0</v>
      </c>
      <c r="L690" s="3">
        <v>0</v>
      </c>
      <c r="M690" s="3">
        <v>0</v>
      </c>
      <c r="N690" s="3">
        <v>0</v>
      </c>
      <c r="O690" s="3">
        <v>0.16</v>
      </c>
      <c r="P690" s="3">
        <v>0</v>
      </c>
      <c r="Q690" s="3">
        <v>0</v>
      </c>
      <c r="R690" s="3">
        <v>0</v>
      </c>
    </row>
    <row r="691" spans="1:18">
      <c r="A691" s="3" t="s">
        <v>1849</v>
      </c>
      <c r="B691" s="3" t="s">
        <v>1850</v>
      </c>
      <c r="C691" s="3" t="s">
        <v>1850</v>
      </c>
      <c r="D691" s="3"/>
      <c r="E691" s="3" t="s">
        <v>20</v>
      </c>
      <c r="F691" s="3"/>
      <c r="G691" s="3"/>
      <c r="H691" s="3"/>
      <c r="I691" s="3"/>
      <c r="J691" s="3">
        <v>0</v>
      </c>
      <c r="K691" s="3">
        <v>0</v>
      </c>
      <c r="L691" s="3">
        <v>0</v>
      </c>
      <c r="M691" s="3">
        <v>0</v>
      </c>
      <c r="N691" s="3">
        <v>0</v>
      </c>
      <c r="O691" s="3"/>
      <c r="P691" s="3">
        <v>0</v>
      </c>
      <c r="Q691" s="3">
        <v>0</v>
      </c>
      <c r="R691" s="3">
        <v>0</v>
      </c>
    </row>
    <row r="692" spans="1:18">
      <c r="A692" s="3" t="s">
        <v>1851</v>
      </c>
      <c r="B692" s="3" t="s">
        <v>1852</v>
      </c>
      <c r="C692" s="3" t="s">
        <v>1852</v>
      </c>
      <c r="D692" s="3" t="s">
        <v>1853</v>
      </c>
      <c r="E692" s="3" t="s">
        <v>120</v>
      </c>
      <c r="F692" s="3">
        <v>24.98</v>
      </c>
      <c r="G692" s="3" t="s">
        <v>121</v>
      </c>
      <c r="H692" s="3"/>
      <c r="I692" s="3" t="s">
        <v>122</v>
      </c>
      <c r="J692" s="3">
        <v>0</v>
      </c>
      <c r="K692" s="3">
        <v>0</v>
      </c>
      <c r="L692" s="3">
        <v>0</v>
      </c>
      <c r="M692" s="3">
        <v>0</v>
      </c>
      <c r="N692" s="3">
        <v>0</v>
      </c>
      <c r="O692" s="3">
        <v>0.05</v>
      </c>
      <c r="P692" s="3">
        <v>0</v>
      </c>
      <c r="Q692" s="3">
        <v>0</v>
      </c>
      <c r="R692" s="3">
        <v>0</v>
      </c>
    </row>
    <row r="693" spans="1:18">
      <c r="A693" s="3" t="s">
        <v>1854</v>
      </c>
      <c r="B693" s="3" t="s">
        <v>1855</v>
      </c>
      <c r="C693" s="3" t="s">
        <v>1855</v>
      </c>
      <c r="D693" s="3" t="s">
        <v>1856</v>
      </c>
      <c r="E693" s="3" t="s">
        <v>120</v>
      </c>
      <c r="F693" s="3">
        <v>22.98</v>
      </c>
      <c r="G693" s="3" t="s">
        <v>121</v>
      </c>
      <c r="H693" s="3"/>
      <c r="I693" s="3" t="s">
        <v>122</v>
      </c>
      <c r="J693" s="3">
        <v>0</v>
      </c>
      <c r="K693" s="3">
        <v>0</v>
      </c>
      <c r="L693" s="3">
        <v>0</v>
      </c>
      <c r="M693" s="3">
        <v>0</v>
      </c>
      <c r="N693" s="3">
        <v>0</v>
      </c>
      <c r="O693" s="3">
        <v>0.05</v>
      </c>
      <c r="P693" s="3">
        <v>0</v>
      </c>
      <c r="Q693" s="3">
        <v>0</v>
      </c>
      <c r="R693" s="3">
        <v>0</v>
      </c>
    </row>
    <row r="694" spans="1:18">
      <c r="A694" s="3" t="s">
        <v>1857</v>
      </c>
      <c r="B694" s="3" t="s">
        <v>1858</v>
      </c>
      <c r="C694" s="3" t="s">
        <v>1858</v>
      </c>
      <c r="D694" s="3" t="s">
        <v>1859</v>
      </c>
      <c r="E694" s="3" t="s">
        <v>120</v>
      </c>
      <c r="F694" s="3">
        <v>14.98</v>
      </c>
      <c r="G694" s="3" t="s">
        <v>121</v>
      </c>
      <c r="H694" s="3"/>
      <c r="I694" s="3" t="s">
        <v>122</v>
      </c>
      <c r="J694" s="3">
        <v>7</v>
      </c>
      <c r="K694" s="3">
        <v>6</v>
      </c>
      <c r="L694" s="3">
        <v>0</v>
      </c>
      <c r="M694" s="3">
        <v>1</v>
      </c>
      <c r="N694" s="3">
        <v>7</v>
      </c>
      <c r="O694" s="3">
        <v>0.05</v>
      </c>
      <c r="P694" s="3">
        <v>0</v>
      </c>
      <c r="Q694" s="3">
        <v>0</v>
      </c>
      <c r="R694" s="3">
        <v>0</v>
      </c>
    </row>
    <row r="695" spans="1:18">
      <c r="A695" s="3" t="s">
        <v>1860</v>
      </c>
      <c r="B695" s="3" t="s">
        <v>1861</v>
      </c>
      <c r="C695" s="3" t="s">
        <v>1861</v>
      </c>
      <c r="D695" s="3" t="s">
        <v>1862</v>
      </c>
      <c r="E695" s="3" t="s">
        <v>120</v>
      </c>
      <c r="F695" s="3">
        <v>24.98</v>
      </c>
      <c r="G695" s="3" t="s">
        <v>122</v>
      </c>
      <c r="H695" s="3">
        <v>0</v>
      </c>
      <c r="I695" s="3" t="s">
        <v>121</v>
      </c>
      <c r="J695" s="3">
        <v>0</v>
      </c>
      <c r="K695" s="3">
        <v>0</v>
      </c>
      <c r="L695" s="3">
        <v>0</v>
      </c>
      <c r="M695" s="3">
        <v>0</v>
      </c>
      <c r="N695" s="3">
        <v>0</v>
      </c>
      <c r="O695" s="3">
        <v>0.05</v>
      </c>
      <c r="P695" s="3">
        <v>0</v>
      </c>
      <c r="Q695" s="3">
        <v>0</v>
      </c>
      <c r="R695" s="3">
        <v>0</v>
      </c>
    </row>
    <row r="696" spans="1:18">
      <c r="A696" s="3" t="s">
        <v>1863</v>
      </c>
      <c r="B696" s="3" t="s">
        <v>1864</v>
      </c>
      <c r="C696" s="3" t="s">
        <v>1864</v>
      </c>
      <c r="D696" s="3" t="s">
        <v>1865</v>
      </c>
      <c r="E696" s="3" t="s">
        <v>120</v>
      </c>
      <c r="F696" s="3">
        <v>22.98</v>
      </c>
      <c r="G696" s="3" t="s">
        <v>121</v>
      </c>
      <c r="H696" s="3"/>
      <c r="I696" s="3" t="s">
        <v>122</v>
      </c>
      <c r="J696" s="3">
        <v>10</v>
      </c>
      <c r="K696" s="3">
        <v>10</v>
      </c>
      <c r="L696" s="3">
        <v>0</v>
      </c>
      <c r="M696" s="3">
        <v>0</v>
      </c>
      <c r="N696" s="3">
        <v>10</v>
      </c>
      <c r="O696" s="3">
        <v>0.05</v>
      </c>
      <c r="P696" s="3">
        <v>0</v>
      </c>
      <c r="Q696" s="3">
        <v>0</v>
      </c>
      <c r="R696" s="3">
        <v>0</v>
      </c>
    </row>
    <row r="697" spans="1:18">
      <c r="A697" s="3" t="s">
        <v>1866</v>
      </c>
      <c r="B697" s="3" t="s">
        <v>1867</v>
      </c>
      <c r="C697" s="3" t="s">
        <v>1867</v>
      </c>
      <c r="D697" s="3" t="s">
        <v>1868</v>
      </c>
      <c r="E697" s="3" t="s">
        <v>120</v>
      </c>
      <c r="F697" s="3">
        <v>22.98</v>
      </c>
      <c r="G697" s="3" t="s">
        <v>122</v>
      </c>
      <c r="H697" s="3">
        <v>0</v>
      </c>
      <c r="I697" s="3" t="s">
        <v>121</v>
      </c>
      <c r="J697" s="3">
        <v>1</v>
      </c>
      <c r="K697" s="3">
        <v>1</v>
      </c>
      <c r="L697" s="3">
        <v>0</v>
      </c>
      <c r="M697" s="3">
        <v>0</v>
      </c>
      <c r="N697" s="3">
        <v>1</v>
      </c>
      <c r="O697" s="3">
        <v>0.05</v>
      </c>
      <c r="P697" s="3">
        <v>0</v>
      </c>
      <c r="Q697" s="3">
        <v>0</v>
      </c>
      <c r="R697" s="3">
        <v>0</v>
      </c>
    </row>
    <row r="698" spans="1:18">
      <c r="A698" s="3" t="s">
        <v>1869</v>
      </c>
      <c r="B698" s="3" t="s">
        <v>1870</v>
      </c>
      <c r="C698" s="3" t="s">
        <v>1870</v>
      </c>
      <c r="D698" s="3" t="s">
        <v>1871</v>
      </c>
      <c r="E698" s="3" t="s">
        <v>120</v>
      </c>
      <c r="F698" s="3">
        <v>22.98</v>
      </c>
      <c r="G698" s="3" t="s">
        <v>122</v>
      </c>
      <c r="H698" s="3">
        <v>0</v>
      </c>
      <c r="I698" s="3" t="s">
        <v>121</v>
      </c>
      <c r="J698" s="3">
        <v>2</v>
      </c>
      <c r="K698" s="3">
        <v>2</v>
      </c>
      <c r="L698" s="3">
        <v>0</v>
      </c>
      <c r="M698" s="3">
        <v>0</v>
      </c>
      <c r="N698" s="3">
        <v>2</v>
      </c>
      <c r="O698" s="3">
        <v>0.02</v>
      </c>
      <c r="P698" s="3">
        <v>0</v>
      </c>
      <c r="Q698" s="3">
        <v>0</v>
      </c>
      <c r="R698" s="3">
        <v>0</v>
      </c>
    </row>
    <row r="699" spans="1:18">
      <c r="A699" s="3" t="s">
        <v>1872</v>
      </c>
      <c r="B699" s="3" t="s">
        <v>1873</v>
      </c>
      <c r="C699" s="3" t="s">
        <v>1873</v>
      </c>
      <c r="D699" s="3" t="s">
        <v>1874</v>
      </c>
      <c r="E699" s="3" t="s">
        <v>20</v>
      </c>
      <c r="F699" s="3"/>
      <c r="G699" s="3"/>
      <c r="H699" s="3"/>
      <c r="I699" s="3"/>
      <c r="J699" s="3">
        <v>2</v>
      </c>
      <c r="K699" s="3">
        <v>2</v>
      </c>
      <c r="L699" s="3">
        <v>0</v>
      </c>
      <c r="M699" s="3">
        <v>0</v>
      </c>
      <c r="N699" s="3">
        <v>2</v>
      </c>
      <c r="O699" s="3">
        <v>0.02</v>
      </c>
      <c r="P699" s="3">
        <v>0</v>
      </c>
      <c r="Q699" s="3">
        <v>0</v>
      </c>
      <c r="R699" s="3">
        <v>0</v>
      </c>
    </row>
    <row r="700" spans="1:18">
      <c r="A700" s="3" t="s">
        <v>1875</v>
      </c>
      <c r="B700" s="3" t="s">
        <v>1876</v>
      </c>
      <c r="C700" s="3" t="s">
        <v>1876</v>
      </c>
      <c r="D700" s="3"/>
      <c r="E700" s="3" t="s">
        <v>20</v>
      </c>
      <c r="F700" s="3"/>
      <c r="G700" s="3"/>
      <c r="H700" s="3"/>
      <c r="I700" s="3"/>
      <c r="J700" s="3">
        <v>1</v>
      </c>
      <c r="K700" s="3">
        <v>1</v>
      </c>
      <c r="L700" s="3">
        <v>0</v>
      </c>
      <c r="M700" s="3">
        <v>0</v>
      </c>
      <c r="N700" s="3">
        <v>1</v>
      </c>
      <c r="O700" s="3"/>
      <c r="P700" s="3">
        <v>0</v>
      </c>
      <c r="Q700" s="3">
        <v>0</v>
      </c>
      <c r="R700" s="3">
        <v>0</v>
      </c>
    </row>
    <row r="701" spans="1:18">
      <c r="A701" s="3" t="s">
        <v>1877</v>
      </c>
      <c r="B701" s="3" t="s">
        <v>1878</v>
      </c>
      <c r="C701" s="3" t="s">
        <v>1878</v>
      </c>
      <c r="D701" s="3" t="s">
        <v>1879</v>
      </c>
      <c r="E701" s="3" t="s">
        <v>120</v>
      </c>
      <c r="F701" s="3">
        <v>22.98</v>
      </c>
      <c r="G701" s="3" t="s">
        <v>121</v>
      </c>
      <c r="H701" s="3"/>
      <c r="I701" s="3" t="s">
        <v>122</v>
      </c>
      <c r="J701" s="3">
        <v>0</v>
      </c>
      <c r="K701" s="3">
        <v>0</v>
      </c>
      <c r="L701" s="3">
        <v>0</v>
      </c>
      <c r="M701" s="3">
        <v>0</v>
      </c>
      <c r="N701" s="3">
        <v>0</v>
      </c>
      <c r="O701" s="3">
        <v>0.05</v>
      </c>
      <c r="P701" s="3">
        <v>0</v>
      </c>
      <c r="Q701" s="3">
        <v>0</v>
      </c>
      <c r="R701" s="3">
        <v>0</v>
      </c>
    </row>
    <row r="702" spans="1:18">
      <c r="A702" s="3" t="s">
        <v>1880</v>
      </c>
      <c r="B702" s="3" t="s">
        <v>1344</v>
      </c>
      <c r="C702" s="3" t="s">
        <v>1344</v>
      </c>
      <c r="D702" s="3" t="s">
        <v>1345</v>
      </c>
      <c r="E702" s="3" t="s">
        <v>120</v>
      </c>
      <c r="F702" s="3">
        <v>22.98</v>
      </c>
      <c r="G702" s="3" t="s">
        <v>121</v>
      </c>
      <c r="H702" s="3"/>
      <c r="I702" s="3" t="s">
        <v>122</v>
      </c>
      <c r="J702" s="3">
        <v>1</v>
      </c>
      <c r="K702" s="3">
        <v>0</v>
      </c>
      <c r="L702" s="3">
        <v>0</v>
      </c>
      <c r="M702" s="3">
        <v>1</v>
      </c>
      <c r="N702" s="3">
        <v>1</v>
      </c>
      <c r="O702" s="3">
        <v>0.05</v>
      </c>
      <c r="P702" s="3">
        <v>0</v>
      </c>
      <c r="Q702" s="3">
        <v>0</v>
      </c>
      <c r="R702" s="3">
        <v>0</v>
      </c>
    </row>
    <row r="703" spans="1:18">
      <c r="A703" s="3" t="s">
        <v>1881</v>
      </c>
      <c r="B703" s="3" t="s">
        <v>1882</v>
      </c>
      <c r="C703" s="3" t="s">
        <v>1882</v>
      </c>
      <c r="D703" s="3" t="s">
        <v>1883</v>
      </c>
      <c r="E703" s="3" t="s">
        <v>20</v>
      </c>
      <c r="F703" s="3">
        <v>0</v>
      </c>
      <c r="G703" s="3" t="s">
        <v>121</v>
      </c>
      <c r="H703" s="3"/>
      <c r="I703" s="3" t="s">
        <v>122</v>
      </c>
      <c r="J703" s="3">
        <v>1</v>
      </c>
      <c r="K703" s="3">
        <v>1</v>
      </c>
      <c r="L703" s="3">
        <v>0</v>
      </c>
      <c r="M703" s="3">
        <v>0</v>
      </c>
      <c r="N703" s="3">
        <v>1</v>
      </c>
      <c r="O703" s="3">
        <v>0.05</v>
      </c>
      <c r="P703" s="3">
        <v>0</v>
      </c>
      <c r="Q703" s="3">
        <v>0</v>
      </c>
      <c r="R703" s="3">
        <v>0</v>
      </c>
    </row>
    <row r="704" spans="1:18">
      <c r="A704" s="3" t="s">
        <v>1884</v>
      </c>
      <c r="B704" s="3" t="s">
        <v>1885</v>
      </c>
      <c r="C704" s="3" t="s">
        <v>1885</v>
      </c>
      <c r="D704" s="3" t="s">
        <v>1886</v>
      </c>
      <c r="E704" s="3" t="s">
        <v>120</v>
      </c>
      <c r="F704" s="3">
        <v>19.98</v>
      </c>
      <c r="G704" s="3" t="s">
        <v>121</v>
      </c>
      <c r="H704" s="3"/>
      <c r="I704" s="3" t="s">
        <v>122</v>
      </c>
      <c r="J704" s="3">
        <v>8</v>
      </c>
      <c r="K704" s="3">
        <v>7</v>
      </c>
      <c r="L704" s="3">
        <v>0</v>
      </c>
      <c r="M704" s="3">
        <v>1</v>
      </c>
      <c r="N704" s="3">
        <v>8</v>
      </c>
      <c r="O704" s="3">
        <v>0.05</v>
      </c>
      <c r="P704" s="3">
        <v>0</v>
      </c>
      <c r="Q704" s="3">
        <v>0</v>
      </c>
      <c r="R704" s="3">
        <v>0</v>
      </c>
    </row>
    <row r="705" spans="1:18">
      <c r="A705" s="3" t="s">
        <v>1887</v>
      </c>
      <c r="B705" s="3" t="s">
        <v>1888</v>
      </c>
      <c r="C705" s="3" t="s">
        <v>1888</v>
      </c>
      <c r="D705" s="3" t="s">
        <v>1889</v>
      </c>
      <c r="E705" s="3" t="s">
        <v>120</v>
      </c>
      <c r="F705" s="3">
        <v>24.98</v>
      </c>
      <c r="G705" s="3" t="s">
        <v>121</v>
      </c>
      <c r="H705" s="3"/>
      <c r="I705" s="3" t="s">
        <v>122</v>
      </c>
      <c r="J705" s="3">
        <v>0</v>
      </c>
      <c r="K705" s="3">
        <v>0</v>
      </c>
      <c r="L705" s="3">
        <v>0</v>
      </c>
      <c r="M705" s="3">
        <v>0</v>
      </c>
      <c r="N705" s="3">
        <v>0</v>
      </c>
      <c r="O705" s="3">
        <v>0.05</v>
      </c>
      <c r="P705" s="3">
        <v>0</v>
      </c>
      <c r="Q705" s="3">
        <v>0</v>
      </c>
      <c r="R705" s="3">
        <v>0</v>
      </c>
    </row>
    <row r="706" spans="1:18">
      <c r="A706" s="3" t="s">
        <v>1890</v>
      </c>
      <c r="B706" s="3" t="s">
        <v>1891</v>
      </c>
      <c r="C706" s="3" t="s">
        <v>1891</v>
      </c>
      <c r="D706" s="3" t="s">
        <v>1892</v>
      </c>
      <c r="E706" s="3" t="s">
        <v>120</v>
      </c>
      <c r="F706" s="3">
        <v>22.98</v>
      </c>
      <c r="G706" s="3" t="s">
        <v>121</v>
      </c>
      <c r="H706" s="3"/>
      <c r="I706" s="3" t="s">
        <v>122</v>
      </c>
      <c r="J706" s="3">
        <v>0</v>
      </c>
      <c r="K706" s="3">
        <v>0</v>
      </c>
      <c r="L706" s="3">
        <v>0</v>
      </c>
      <c r="M706" s="3">
        <v>0</v>
      </c>
      <c r="N706" s="3">
        <v>0</v>
      </c>
      <c r="O706" s="3">
        <v>0.05</v>
      </c>
      <c r="P706" s="3">
        <v>0</v>
      </c>
      <c r="Q706" s="3">
        <v>0</v>
      </c>
      <c r="R706" s="3">
        <v>0</v>
      </c>
    </row>
    <row r="707" spans="1:18">
      <c r="A707" s="3" t="s">
        <v>1893</v>
      </c>
      <c r="B707" s="3" t="s">
        <v>1894</v>
      </c>
      <c r="C707" s="3" t="s">
        <v>1894</v>
      </c>
      <c r="D707" s="3" t="s">
        <v>1895</v>
      </c>
      <c r="E707" s="3" t="s">
        <v>120</v>
      </c>
      <c r="F707" s="3">
        <v>22.98</v>
      </c>
      <c r="G707" s="3" t="s">
        <v>121</v>
      </c>
      <c r="H707" s="3"/>
      <c r="I707" s="3" t="s">
        <v>122</v>
      </c>
      <c r="J707" s="3">
        <v>0</v>
      </c>
      <c r="K707" s="3">
        <v>0</v>
      </c>
      <c r="L707" s="3">
        <v>0</v>
      </c>
      <c r="M707" s="3">
        <v>0</v>
      </c>
      <c r="N707" s="3">
        <v>0</v>
      </c>
      <c r="O707" s="3">
        <v>0.05</v>
      </c>
      <c r="P707" s="3">
        <v>0</v>
      </c>
      <c r="Q707" s="3">
        <v>0</v>
      </c>
      <c r="R707" s="3">
        <v>0</v>
      </c>
    </row>
    <row r="708" spans="1:18">
      <c r="A708" s="3" t="s">
        <v>1896</v>
      </c>
      <c r="B708" s="3" t="s">
        <v>1897</v>
      </c>
      <c r="C708" s="3" t="s">
        <v>1897</v>
      </c>
      <c r="D708" s="3" t="s">
        <v>1898</v>
      </c>
      <c r="E708" s="3" t="s">
        <v>120</v>
      </c>
      <c r="F708" s="3">
        <v>19.98</v>
      </c>
      <c r="G708" s="3" t="s">
        <v>121</v>
      </c>
      <c r="H708" s="3"/>
      <c r="I708" s="3" t="s">
        <v>122</v>
      </c>
      <c r="J708" s="3">
        <v>4</v>
      </c>
      <c r="K708" s="3">
        <v>4</v>
      </c>
      <c r="L708" s="3">
        <v>0</v>
      </c>
      <c r="M708" s="3">
        <v>0</v>
      </c>
      <c r="N708" s="3">
        <v>4</v>
      </c>
      <c r="O708" s="3">
        <v>0.05</v>
      </c>
      <c r="P708" s="3">
        <v>0</v>
      </c>
      <c r="Q708" s="3">
        <v>0</v>
      </c>
      <c r="R708" s="3">
        <v>0</v>
      </c>
    </row>
    <row r="709" spans="1:18">
      <c r="A709" s="3" t="s">
        <v>1899</v>
      </c>
      <c r="B709" s="3" t="s">
        <v>1900</v>
      </c>
      <c r="C709" s="3" t="s">
        <v>1900</v>
      </c>
      <c r="D709" s="3" t="s">
        <v>1369</v>
      </c>
      <c r="E709" s="3" t="s">
        <v>120</v>
      </c>
      <c r="F709" s="3">
        <v>22.98</v>
      </c>
      <c r="G709" s="3" t="s">
        <v>121</v>
      </c>
      <c r="H709" s="3"/>
      <c r="I709" s="3" t="s">
        <v>122</v>
      </c>
      <c r="J709" s="3">
        <v>0</v>
      </c>
      <c r="K709" s="3">
        <v>0</v>
      </c>
      <c r="L709" s="3">
        <v>0</v>
      </c>
      <c r="M709" s="3">
        <v>0</v>
      </c>
      <c r="N709" s="3">
        <v>0</v>
      </c>
      <c r="O709" s="3">
        <v>0.05</v>
      </c>
      <c r="P709" s="3">
        <v>0</v>
      </c>
      <c r="Q709" s="3">
        <v>0</v>
      </c>
      <c r="R709" s="3">
        <v>0</v>
      </c>
    </row>
    <row r="710" spans="1:18">
      <c r="A710" s="3" t="s">
        <v>1901</v>
      </c>
      <c r="B710" s="3" t="s">
        <v>1902</v>
      </c>
      <c r="C710" s="3" t="s">
        <v>1902</v>
      </c>
      <c r="D710" s="3" t="s">
        <v>1373</v>
      </c>
      <c r="E710" s="3" t="s">
        <v>120</v>
      </c>
      <c r="F710" s="3">
        <v>22.98</v>
      </c>
      <c r="G710" s="3" t="s">
        <v>121</v>
      </c>
      <c r="H710" s="3"/>
      <c r="I710" s="3" t="s">
        <v>122</v>
      </c>
      <c r="J710" s="3">
        <v>0</v>
      </c>
      <c r="K710" s="3">
        <v>0</v>
      </c>
      <c r="L710" s="3">
        <v>0</v>
      </c>
      <c r="M710" s="3">
        <v>0</v>
      </c>
      <c r="N710" s="3">
        <v>0</v>
      </c>
      <c r="O710" s="3">
        <v>0.05</v>
      </c>
      <c r="P710" s="3">
        <v>0</v>
      </c>
      <c r="Q710" s="3">
        <v>0</v>
      </c>
      <c r="R710" s="3">
        <v>0</v>
      </c>
    </row>
    <row r="711" spans="1:18">
      <c r="A711" s="3" t="s">
        <v>1903</v>
      </c>
      <c r="B711" s="3" t="s">
        <v>1904</v>
      </c>
      <c r="C711" s="3" t="s">
        <v>1904</v>
      </c>
      <c r="D711" s="3" t="s">
        <v>1905</v>
      </c>
      <c r="E711" s="3" t="s">
        <v>120</v>
      </c>
      <c r="F711" s="3">
        <v>22.98</v>
      </c>
      <c r="G711" s="3" t="s">
        <v>122</v>
      </c>
      <c r="H711" s="3">
        <v>0</v>
      </c>
      <c r="I711" s="3" t="s">
        <v>121</v>
      </c>
      <c r="J711" s="3">
        <v>3</v>
      </c>
      <c r="K711" s="3">
        <v>3</v>
      </c>
      <c r="L711" s="3">
        <v>0</v>
      </c>
      <c r="M711" s="3">
        <v>0</v>
      </c>
      <c r="N711" s="3">
        <v>3</v>
      </c>
      <c r="O711" s="3">
        <v>0.05</v>
      </c>
      <c r="P711" s="3">
        <v>0</v>
      </c>
      <c r="Q711" s="3">
        <v>0</v>
      </c>
      <c r="R711" s="3">
        <v>0</v>
      </c>
    </row>
    <row r="712" spans="1:18">
      <c r="A712" s="3" t="s">
        <v>1906</v>
      </c>
      <c r="B712" s="3" t="s">
        <v>1907</v>
      </c>
      <c r="C712" s="3" t="s">
        <v>1907</v>
      </c>
      <c r="D712" s="3" t="s">
        <v>1908</v>
      </c>
      <c r="E712" s="3" t="s">
        <v>120</v>
      </c>
      <c r="F712" s="3">
        <v>22.98</v>
      </c>
      <c r="G712" s="3" t="s">
        <v>121</v>
      </c>
      <c r="H712" s="3"/>
      <c r="I712" s="3" t="s">
        <v>122</v>
      </c>
      <c r="J712" s="3">
        <v>0</v>
      </c>
      <c r="K712" s="3">
        <v>0</v>
      </c>
      <c r="L712" s="3">
        <v>0</v>
      </c>
      <c r="M712" s="3">
        <v>0</v>
      </c>
      <c r="N712" s="3">
        <v>0</v>
      </c>
      <c r="O712" s="3">
        <v>0.05</v>
      </c>
      <c r="P712" s="3">
        <v>0</v>
      </c>
      <c r="Q712" s="3">
        <v>0</v>
      </c>
      <c r="R712" s="3">
        <v>0</v>
      </c>
    </row>
    <row r="713" spans="1:18">
      <c r="A713" s="3" t="s">
        <v>1909</v>
      </c>
      <c r="B713" s="3" t="s">
        <v>1910</v>
      </c>
      <c r="C713" s="3" t="s">
        <v>1910</v>
      </c>
      <c r="D713" s="3" t="s">
        <v>1911</v>
      </c>
      <c r="E713" s="3" t="s">
        <v>120</v>
      </c>
      <c r="F713" s="3">
        <v>23.98</v>
      </c>
      <c r="G713" s="3" t="s">
        <v>121</v>
      </c>
      <c r="H713" s="3"/>
      <c r="I713" s="3" t="s">
        <v>122</v>
      </c>
      <c r="J713" s="3">
        <v>1</v>
      </c>
      <c r="K713" s="3">
        <v>1</v>
      </c>
      <c r="L713" s="3">
        <v>0</v>
      </c>
      <c r="M713" s="3">
        <v>0</v>
      </c>
      <c r="N713" s="3">
        <v>1</v>
      </c>
      <c r="O713" s="3">
        <v>0.05</v>
      </c>
      <c r="P713" s="3">
        <v>0</v>
      </c>
      <c r="Q713" s="3">
        <v>0</v>
      </c>
      <c r="R713" s="3">
        <v>0</v>
      </c>
    </row>
    <row r="714" spans="1:18">
      <c r="A714" s="3" t="s">
        <v>1912</v>
      </c>
      <c r="B714" s="3" t="s">
        <v>1396</v>
      </c>
      <c r="C714" s="3" t="s">
        <v>1396</v>
      </c>
      <c r="D714" s="3" t="s">
        <v>1397</v>
      </c>
      <c r="E714" s="3" t="s">
        <v>120</v>
      </c>
      <c r="F714" s="3">
        <v>22.98</v>
      </c>
      <c r="G714" s="3" t="s">
        <v>121</v>
      </c>
      <c r="H714" s="3"/>
      <c r="I714" s="3" t="s">
        <v>122</v>
      </c>
      <c r="J714" s="3">
        <v>5</v>
      </c>
      <c r="K714" s="3">
        <v>2</v>
      </c>
      <c r="L714" s="3">
        <v>1</v>
      </c>
      <c r="M714" s="3">
        <v>2</v>
      </c>
      <c r="N714" s="3">
        <v>5</v>
      </c>
      <c r="O714" s="3">
        <v>0.05</v>
      </c>
      <c r="P714" s="3">
        <v>0</v>
      </c>
      <c r="Q714" s="3">
        <v>0</v>
      </c>
      <c r="R714" s="3">
        <v>0</v>
      </c>
    </row>
    <row r="715" spans="1:18">
      <c r="A715" s="3" t="s">
        <v>1913</v>
      </c>
      <c r="B715" s="3" t="s">
        <v>1914</v>
      </c>
      <c r="C715" s="3" t="s">
        <v>1914</v>
      </c>
      <c r="D715" s="3" t="s">
        <v>1915</v>
      </c>
      <c r="E715" s="3" t="s">
        <v>120</v>
      </c>
      <c r="F715" s="3">
        <v>22.98</v>
      </c>
      <c r="G715" s="3" t="s">
        <v>121</v>
      </c>
      <c r="H715" s="3"/>
      <c r="I715" s="3" t="s">
        <v>122</v>
      </c>
      <c r="J715" s="3">
        <v>0</v>
      </c>
      <c r="K715" s="3">
        <v>0</v>
      </c>
      <c r="L715" s="3">
        <v>0</v>
      </c>
      <c r="M715" s="3">
        <v>0</v>
      </c>
      <c r="N715" s="3">
        <v>0</v>
      </c>
      <c r="O715" s="3">
        <v>0.05</v>
      </c>
      <c r="P715" s="3">
        <v>0</v>
      </c>
      <c r="Q715" s="3">
        <v>0</v>
      </c>
      <c r="R715" s="3">
        <v>0</v>
      </c>
    </row>
    <row r="716" spans="1:18">
      <c r="A716" s="3" t="s">
        <v>1916</v>
      </c>
      <c r="B716" s="3" t="s">
        <v>1917</v>
      </c>
      <c r="C716" s="3" t="s">
        <v>1917</v>
      </c>
      <c r="D716" s="3" t="s">
        <v>1918</v>
      </c>
      <c r="E716" s="3" t="s">
        <v>120</v>
      </c>
      <c r="F716" s="3">
        <v>22.98</v>
      </c>
      <c r="G716" s="3" t="s">
        <v>121</v>
      </c>
      <c r="H716" s="3"/>
      <c r="I716" s="3" t="s">
        <v>122</v>
      </c>
      <c r="J716" s="3">
        <v>0</v>
      </c>
      <c r="K716" s="3">
        <v>0</v>
      </c>
      <c r="L716" s="3">
        <v>0</v>
      </c>
      <c r="M716" s="3">
        <v>0</v>
      </c>
      <c r="N716" s="3">
        <v>0</v>
      </c>
      <c r="O716" s="3">
        <v>0.05</v>
      </c>
      <c r="P716" s="3">
        <v>0</v>
      </c>
      <c r="Q716" s="3">
        <v>0</v>
      </c>
      <c r="R716" s="3">
        <v>0</v>
      </c>
    </row>
    <row r="717" spans="1:18">
      <c r="A717" s="3" t="s">
        <v>1919</v>
      </c>
      <c r="B717" s="3" t="s">
        <v>1920</v>
      </c>
      <c r="C717" s="3" t="s">
        <v>1920</v>
      </c>
      <c r="D717" s="3" t="s">
        <v>1921</v>
      </c>
      <c r="E717" s="3" t="s">
        <v>120</v>
      </c>
      <c r="F717" s="3">
        <v>24.98</v>
      </c>
      <c r="G717" s="3" t="s">
        <v>122</v>
      </c>
      <c r="H717" s="3">
        <v>0</v>
      </c>
      <c r="I717" s="3" t="s">
        <v>121</v>
      </c>
      <c r="J717" s="3">
        <v>1</v>
      </c>
      <c r="K717" s="3">
        <v>1</v>
      </c>
      <c r="L717" s="3">
        <v>0</v>
      </c>
      <c r="M717" s="3">
        <v>0</v>
      </c>
      <c r="N717" s="3">
        <v>1</v>
      </c>
      <c r="O717" s="3">
        <v>0.05</v>
      </c>
      <c r="P717" s="3">
        <v>0</v>
      </c>
      <c r="Q717" s="3">
        <v>0</v>
      </c>
      <c r="R717" s="3">
        <v>0</v>
      </c>
    </row>
    <row r="718" spans="1:18">
      <c r="A718" s="3" t="s">
        <v>1922</v>
      </c>
      <c r="B718" s="3" t="s">
        <v>1923</v>
      </c>
      <c r="C718" s="3" t="s">
        <v>1923</v>
      </c>
      <c r="D718" s="3"/>
      <c r="E718" s="3" t="s">
        <v>20</v>
      </c>
      <c r="F718" s="3"/>
      <c r="G718" s="3"/>
      <c r="H718" s="3"/>
      <c r="I718" s="3"/>
      <c r="J718" s="3">
        <v>0</v>
      </c>
      <c r="K718" s="3">
        <v>0</v>
      </c>
      <c r="L718" s="3">
        <v>0</v>
      </c>
      <c r="M718" s="3">
        <v>0</v>
      </c>
      <c r="N718" s="3">
        <v>0</v>
      </c>
      <c r="O718" s="3"/>
      <c r="P718" s="3">
        <v>0</v>
      </c>
      <c r="Q718" s="3">
        <v>0</v>
      </c>
      <c r="R718" s="3">
        <v>0</v>
      </c>
    </row>
    <row r="719" spans="1:18">
      <c r="A719" s="3" t="s">
        <v>1924</v>
      </c>
      <c r="B719" s="3" t="s">
        <v>1925</v>
      </c>
      <c r="C719" s="3" t="s">
        <v>1925</v>
      </c>
      <c r="D719" s="3" t="s">
        <v>1926</v>
      </c>
      <c r="E719" s="3" t="s">
        <v>120</v>
      </c>
      <c r="F719" s="3">
        <v>22.98</v>
      </c>
      <c r="G719" s="3" t="s">
        <v>121</v>
      </c>
      <c r="H719" s="3"/>
      <c r="I719" s="3" t="s">
        <v>122</v>
      </c>
      <c r="J719" s="3">
        <v>0</v>
      </c>
      <c r="K719" s="3">
        <v>0</v>
      </c>
      <c r="L719" s="3">
        <v>0</v>
      </c>
      <c r="M719" s="3">
        <v>0</v>
      </c>
      <c r="N719" s="3">
        <v>0</v>
      </c>
      <c r="O719" s="3">
        <v>0.05</v>
      </c>
      <c r="P719" s="3">
        <v>0</v>
      </c>
      <c r="Q719" s="3">
        <v>0</v>
      </c>
      <c r="R719" s="3">
        <v>0</v>
      </c>
    </row>
    <row r="720" spans="1:18">
      <c r="A720" s="3" t="s">
        <v>1927</v>
      </c>
      <c r="B720" s="3" t="s">
        <v>1928</v>
      </c>
      <c r="C720" s="3" t="s">
        <v>1928</v>
      </c>
      <c r="D720" s="3" t="s">
        <v>1929</v>
      </c>
      <c r="E720" s="3" t="s">
        <v>120</v>
      </c>
      <c r="F720" s="3">
        <v>23.98</v>
      </c>
      <c r="G720" s="3" t="s">
        <v>121</v>
      </c>
      <c r="H720" s="3"/>
      <c r="I720" s="3" t="s">
        <v>122</v>
      </c>
      <c r="J720" s="3">
        <v>0</v>
      </c>
      <c r="K720" s="3">
        <v>0</v>
      </c>
      <c r="L720" s="3">
        <v>0</v>
      </c>
      <c r="M720" s="3">
        <v>0</v>
      </c>
      <c r="N720" s="3">
        <v>0</v>
      </c>
      <c r="O720" s="3">
        <v>0.05</v>
      </c>
      <c r="P720" s="3">
        <v>0</v>
      </c>
      <c r="Q720" s="3">
        <v>0</v>
      </c>
      <c r="R720" s="3">
        <v>0</v>
      </c>
    </row>
    <row r="721" spans="1:18">
      <c r="A721" s="3" t="s">
        <v>1930</v>
      </c>
      <c r="B721" s="3" t="s">
        <v>1931</v>
      </c>
      <c r="C721" s="3" t="s">
        <v>1931</v>
      </c>
      <c r="D721" s="3" t="s">
        <v>1932</v>
      </c>
      <c r="E721" s="3" t="s">
        <v>120</v>
      </c>
      <c r="F721" s="3">
        <v>19.98</v>
      </c>
      <c r="G721" s="3" t="s">
        <v>121</v>
      </c>
      <c r="H721" s="3"/>
      <c r="I721" s="3" t="s">
        <v>122</v>
      </c>
      <c r="J721" s="3">
        <v>1</v>
      </c>
      <c r="K721" s="3">
        <v>1</v>
      </c>
      <c r="L721" s="3">
        <v>0</v>
      </c>
      <c r="M721" s="3">
        <v>0</v>
      </c>
      <c r="N721" s="3">
        <v>1</v>
      </c>
      <c r="O721" s="3">
        <v>0.05</v>
      </c>
      <c r="P721" s="3">
        <v>0</v>
      </c>
      <c r="Q721" s="3">
        <v>0</v>
      </c>
      <c r="R721" s="3">
        <v>0</v>
      </c>
    </row>
    <row r="722" spans="1:18">
      <c r="A722" s="3" t="s">
        <v>1933</v>
      </c>
      <c r="B722" s="3" t="s">
        <v>1424</v>
      </c>
      <c r="C722" s="3" t="s">
        <v>1424</v>
      </c>
      <c r="D722" s="3"/>
      <c r="E722" s="3" t="s">
        <v>20</v>
      </c>
      <c r="F722" s="3"/>
      <c r="G722" s="3"/>
      <c r="H722" s="3"/>
      <c r="I722" s="3"/>
      <c r="J722" s="3">
        <v>0</v>
      </c>
      <c r="K722" s="3">
        <v>0</v>
      </c>
      <c r="L722" s="3">
        <v>0</v>
      </c>
      <c r="M722" s="3">
        <v>0</v>
      </c>
      <c r="N722" s="3">
        <v>0</v>
      </c>
      <c r="O722" s="3"/>
      <c r="P722" s="3">
        <v>0</v>
      </c>
      <c r="Q722" s="3">
        <v>0</v>
      </c>
      <c r="R722" s="3">
        <v>0</v>
      </c>
    </row>
    <row r="723" spans="1:18">
      <c r="A723" s="3" t="s">
        <v>1934</v>
      </c>
      <c r="B723" s="3" t="s">
        <v>1935</v>
      </c>
      <c r="C723" s="3" t="s">
        <v>1935</v>
      </c>
      <c r="D723" s="3"/>
      <c r="E723" s="3" t="s">
        <v>20</v>
      </c>
      <c r="F723" s="3"/>
      <c r="G723" s="3"/>
      <c r="H723" s="3"/>
      <c r="I723" s="3"/>
      <c r="J723" s="3">
        <v>0</v>
      </c>
      <c r="K723" s="3">
        <v>0</v>
      </c>
      <c r="L723" s="3">
        <v>0</v>
      </c>
      <c r="M723" s="3">
        <v>0</v>
      </c>
      <c r="N723" s="3">
        <v>0</v>
      </c>
      <c r="O723" s="3"/>
      <c r="P723" s="3">
        <v>0</v>
      </c>
      <c r="Q723" s="3">
        <v>0</v>
      </c>
      <c r="R723" s="3">
        <v>0</v>
      </c>
    </row>
    <row r="724" spans="1:18">
      <c r="A724" s="3" t="s">
        <v>1936</v>
      </c>
      <c r="B724" s="3" t="s">
        <v>1937</v>
      </c>
      <c r="C724" s="3" t="s">
        <v>1937</v>
      </c>
      <c r="D724" s="3" t="s">
        <v>1938</v>
      </c>
      <c r="E724" s="3" t="s">
        <v>120</v>
      </c>
      <c r="F724" s="3">
        <v>39.98</v>
      </c>
      <c r="G724" s="3" t="s">
        <v>121</v>
      </c>
      <c r="H724" s="3"/>
      <c r="I724" s="3" t="s">
        <v>122</v>
      </c>
      <c r="J724" s="3">
        <v>0</v>
      </c>
      <c r="K724" s="3">
        <v>0</v>
      </c>
      <c r="L724" s="3">
        <v>0</v>
      </c>
      <c r="M724" s="3">
        <v>0</v>
      </c>
      <c r="N724" s="3">
        <v>0</v>
      </c>
      <c r="O724" s="3">
        <v>0.05</v>
      </c>
      <c r="P724" s="3">
        <v>0</v>
      </c>
      <c r="Q724" s="3">
        <v>0</v>
      </c>
      <c r="R724" s="3">
        <v>0</v>
      </c>
    </row>
    <row r="725" spans="1:18">
      <c r="A725" s="3" t="s">
        <v>1939</v>
      </c>
      <c r="B725" s="3" t="s">
        <v>1940</v>
      </c>
      <c r="C725" s="3" t="s">
        <v>1940</v>
      </c>
      <c r="D725" s="3" t="s">
        <v>1941</v>
      </c>
      <c r="E725" s="3" t="s">
        <v>120</v>
      </c>
      <c r="F725" s="3">
        <v>39.98</v>
      </c>
      <c r="G725" s="3" t="s">
        <v>121</v>
      </c>
      <c r="H725" s="3"/>
      <c r="I725" s="3" t="s">
        <v>122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0.05</v>
      </c>
      <c r="P725" s="3">
        <v>0</v>
      </c>
      <c r="Q725" s="3">
        <v>0</v>
      </c>
      <c r="R725" s="3">
        <v>0</v>
      </c>
    </row>
    <row r="726" spans="1:18">
      <c r="A726" s="3" t="s">
        <v>1942</v>
      </c>
      <c r="B726" s="3" t="s">
        <v>1943</v>
      </c>
      <c r="C726" s="3" t="s">
        <v>1943</v>
      </c>
      <c r="D726" s="3" t="s">
        <v>1944</v>
      </c>
      <c r="E726" s="3" t="s">
        <v>120</v>
      </c>
      <c r="F726" s="3">
        <v>21.98</v>
      </c>
      <c r="G726" s="3" t="s">
        <v>121</v>
      </c>
      <c r="H726" s="3"/>
      <c r="I726" s="3" t="s">
        <v>122</v>
      </c>
      <c r="J726" s="3">
        <v>1</v>
      </c>
      <c r="K726" s="3">
        <v>0</v>
      </c>
      <c r="L726" s="3">
        <v>0</v>
      </c>
      <c r="M726" s="3">
        <v>1</v>
      </c>
      <c r="N726" s="3">
        <v>1</v>
      </c>
      <c r="O726" s="3">
        <v>0.07</v>
      </c>
      <c r="P726" s="3">
        <v>0</v>
      </c>
      <c r="Q726" s="3">
        <v>0</v>
      </c>
      <c r="R726" s="3">
        <v>0</v>
      </c>
    </row>
    <row r="727" spans="1:18">
      <c r="A727" s="3" t="s">
        <v>1945</v>
      </c>
      <c r="B727" s="3" t="s">
        <v>1946</v>
      </c>
      <c r="C727" s="3" t="s">
        <v>1946</v>
      </c>
      <c r="D727" s="3" t="s">
        <v>1947</v>
      </c>
      <c r="E727" s="3" t="s">
        <v>120</v>
      </c>
      <c r="F727" s="3">
        <v>22.98</v>
      </c>
      <c r="G727" s="3" t="s">
        <v>121</v>
      </c>
      <c r="H727" s="3"/>
      <c r="I727" s="3" t="s">
        <v>122</v>
      </c>
      <c r="J727" s="3">
        <v>0</v>
      </c>
      <c r="K727" s="3">
        <v>0</v>
      </c>
      <c r="L727" s="3">
        <v>0</v>
      </c>
      <c r="M727" s="3">
        <v>0</v>
      </c>
      <c r="N727" s="3">
        <v>0</v>
      </c>
      <c r="O727" s="3">
        <v>0.05</v>
      </c>
      <c r="P727" s="3">
        <v>0</v>
      </c>
      <c r="Q727" s="3">
        <v>0</v>
      </c>
      <c r="R727" s="3">
        <v>0</v>
      </c>
    </row>
    <row r="728" spans="1:18">
      <c r="A728" s="3" t="s">
        <v>1948</v>
      </c>
      <c r="B728" s="3" t="s">
        <v>110</v>
      </c>
      <c r="C728" s="3" t="s">
        <v>110</v>
      </c>
      <c r="D728" s="3" t="s">
        <v>1949</v>
      </c>
      <c r="E728" s="3" t="s">
        <v>120</v>
      </c>
      <c r="F728" s="3">
        <v>39.98</v>
      </c>
      <c r="G728" s="3" t="s">
        <v>121</v>
      </c>
      <c r="H728" s="3"/>
      <c r="I728" s="3" t="s">
        <v>122</v>
      </c>
      <c r="J728" s="3">
        <v>42</v>
      </c>
      <c r="K728" s="3">
        <v>42</v>
      </c>
      <c r="L728" s="3">
        <v>0</v>
      </c>
      <c r="M728" s="3">
        <v>0</v>
      </c>
      <c r="N728" s="3">
        <v>42</v>
      </c>
      <c r="O728" s="3">
        <v>0.18</v>
      </c>
      <c r="P728" s="3">
        <v>0</v>
      </c>
      <c r="Q728" s="3">
        <v>0</v>
      </c>
      <c r="R728" s="3">
        <v>0</v>
      </c>
    </row>
    <row r="729" spans="1:18">
      <c r="A729" s="3" t="s">
        <v>1950</v>
      </c>
      <c r="B729" s="3" t="s">
        <v>112</v>
      </c>
      <c r="C729" s="3" t="s">
        <v>112</v>
      </c>
      <c r="D729" s="3" t="s">
        <v>1951</v>
      </c>
      <c r="E729" s="3" t="s">
        <v>120</v>
      </c>
      <c r="F729" s="3">
        <v>39.98</v>
      </c>
      <c r="G729" s="3" t="s">
        <v>121</v>
      </c>
      <c r="H729" s="3"/>
      <c r="I729" s="3" t="s">
        <v>122</v>
      </c>
      <c r="J729" s="3">
        <v>37</v>
      </c>
      <c r="K729" s="3">
        <v>36</v>
      </c>
      <c r="L729" s="3">
        <v>0</v>
      </c>
      <c r="M729" s="3">
        <v>1</v>
      </c>
      <c r="N729" s="3">
        <v>37</v>
      </c>
      <c r="O729" s="3">
        <v>0.11</v>
      </c>
      <c r="P729" s="3">
        <v>0</v>
      </c>
      <c r="Q729" s="3">
        <v>0</v>
      </c>
      <c r="R729" s="3">
        <v>0</v>
      </c>
    </row>
    <row r="730" spans="1:18">
      <c r="A730" s="3" t="s">
        <v>1952</v>
      </c>
      <c r="B730" s="3" t="s">
        <v>114</v>
      </c>
      <c r="C730" s="3" t="s">
        <v>114</v>
      </c>
      <c r="D730" s="3" t="s">
        <v>1953</v>
      </c>
      <c r="E730" s="3" t="s">
        <v>120</v>
      </c>
      <c r="F730" s="3">
        <v>39.98</v>
      </c>
      <c r="G730" s="3" t="s">
        <v>121</v>
      </c>
      <c r="H730" s="3"/>
      <c r="I730" s="3" t="s">
        <v>122</v>
      </c>
      <c r="J730" s="3">
        <v>39</v>
      </c>
      <c r="K730" s="3">
        <v>39</v>
      </c>
      <c r="L730" s="3">
        <v>0</v>
      </c>
      <c r="M730" s="3">
        <v>0</v>
      </c>
      <c r="N730" s="3">
        <v>39</v>
      </c>
      <c r="O730" s="3">
        <v>0.17</v>
      </c>
      <c r="P730" s="3">
        <v>0</v>
      </c>
      <c r="Q730" s="3">
        <v>0</v>
      </c>
      <c r="R730" s="3">
        <v>0</v>
      </c>
    </row>
    <row r="731" spans="1:18">
      <c r="A731" s="3" t="s">
        <v>1954</v>
      </c>
      <c r="B731" s="3" t="s">
        <v>116</v>
      </c>
      <c r="C731" s="3" t="s">
        <v>116</v>
      </c>
      <c r="D731" s="3" t="s">
        <v>1955</v>
      </c>
      <c r="E731" s="3" t="s">
        <v>120</v>
      </c>
      <c r="F731" s="3">
        <v>39.98</v>
      </c>
      <c r="G731" s="3" t="s">
        <v>121</v>
      </c>
      <c r="H731" s="3"/>
      <c r="I731" s="3" t="s">
        <v>122</v>
      </c>
      <c r="J731" s="3">
        <v>23</v>
      </c>
      <c r="K731" s="3">
        <v>23</v>
      </c>
      <c r="L731" s="3">
        <v>0</v>
      </c>
      <c r="M731" s="3">
        <v>0</v>
      </c>
      <c r="N731" s="3">
        <v>23</v>
      </c>
      <c r="O731" s="3">
        <v>0.14</v>
      </c>
      <c r="P731" s="3">
        <v>0</v>
      </c>
      <c r="Q731" s="3">
        <v>0</v>
      </c>
      <c r="R731" s="3">
        <v>0</v>
      </c>
    </row>
    <row r="732" spans="1:18">
      <c r="A732" s="3" t="s">
        <v>1956</v>
      </c>
      <c r="B732" s="3" t="s">
        <v>118</v>
      </c>
      <c r="C732" s="3" t="s">
        <v>118</v>
      </c>
      <c r="D732" s="3"/>
      <c r="E732" s="3" t="s">
        <v>20</v>
      </c>
      <c r="F732" s="3"/>
      <c r="G732" s="3"/>
      <c r="H732" s="3"/>
      <c r="I732" s="3"/>
      <c r="J732" s="3">
        <v>15</v>
      </c>
      <c r="K732" s="3">
        <v>15</v>
      </c>
      <c r="L732" s="3">
        <v>0</v>
      </c>
      <c r="M732" s="3">
        <v>0</v>
      </c>
      <c r="N732" s="3">
        <v>15</v>
      </c>
      <c r="O732" s="3"/>
      <c r="P732" s="3">
        <v>0</v>
      </c>
      <c r="Q732" s="3">
        <v>0</v>
      </c>
      <c r="R732" s="3">
        <v>0</v>
      </c>
    </row>
    <row r="733" spans="1:18">
      <c r="A733" s="3" t="s">
        <v>1957</v>
      </c>
      <c r="B733" s="3" t="s">
        <v>124</v>
      </c>
      <c r="C733" s="3" t="s">
        <v>124</v>
      </c>
      <c r="D733" s="3" t="s">
        <v>1958</v>
      </c>
      <c r="E733" s="3" t="s">
        <v>120</v>
      </c>
      <c r="F733" s="3">
        <v>39.98</v>
      </c>
      <c r="G733" s="3" t="s">
        <v>121</v>
      </c>
      <c r="H733" s="3"/>
      <c r="I733" s="3" t="s">
        <v>122</v>
      </c>
      <c r="J733" s="3">
        <v>27</v>
      </c>
      <c r="K733" s="3">
        <v>25</v>
      </c>
      <c r="L733" s="3">
        <v>0</v>
      </c>
      <c r="M733" s="3">
        <v>2</v>
      </c>
      <c r="N733" s="3">
        <v>27</v>
      </c>
      <c r="O733" s="3">
        <v>0.18</v>
      </c>
      <c r="P733" s="3">
        <v>0</v>
      </c>
      <c r="Q733" s="3">
        <v>0</v>
      </c>
      <c r="R733" s="3">
        <v>0</v>
      </c>
    </row>
    <row r="734" spans="1:18">
      <c r="A734" s="3" t="s">
        <v>1959</v>
      </c>
      <c r="B734" s="3" t="s">
        <v>126</v>
      </c>
      <c r="C734" s="3" t="s">
        <v>126</v>
      </c>
      <c r="D734" s="3" t="s">
        <v>1960</v>
      </c>
      <c r="E734" s="3" t="s">
        <v>120</v>
      </c>
      <c r="F734" s="3">
        <v>39.98</v>
      </c>
      <c r="G734" s="3" t="s">
        <v>121</v>
      </c>
      <c r="H734" s="3"/>
      <c r="I734" s="3" t="s">
        <v>122</v>
      </c>
      <c r="J734" s="3">
        <v>47</v>
      </c>
      <c r="K734" s="3">
        <v>47</v>
      </c>
      <c r="L734" s="3">
        <v>0</v>
      </c>
      <c r="M734" s="3">
        <v>0</v>
      </c>
      <c r="N734" s="3">
        <v>47</v>
      </c>
      <c r="O734" s="3">
        <v>0.18</v>
      </c>
      <c r="P734" s="3">
        <v>0</v>
      </c>
      <c r="Q734" s="3">
        <v>0</v>
      </c>
      <c r="R734" s="3">
        <v>0</v>
      </c>
    </row>
    <row r="735" spans="1:18">
      <c r="A735" s="3" t="s">
        <v>1961</v>
      </c>
      <c r="B735" s="3" t="s">
        <v>128</v>
      </c>
      <c r="C735" s="3" t="s">
        <v>128</v>
      </c>
      <c r="D735" s="3" t="s">
        <v>1962</v>
      </c>
      <c r="E735" s="3" t="s">
        <v>120</v>
      </c>
      <c r="F735" s="3">
        <v>39.98</v>
      </c>
      <c r="G735" s="3" t="s">
        <v>121</v>
      </c>
      <c r="H735" s="3"/>
      <c r="I735" s="3" t="s">
        <v>122</v>
      </c>
      <c r="J735" s="3">
        <v>51</v>
      </c>
      <c r="K735" s="3">
        <v>51</v>
      </c>
      <c r="L735" s="3">
        <v>0</v>
      </c>
      <c r="M735" s="3">
        <v>0</v>
      </c>
      <c r="N735" s="3">
        <v>51</v>
      </c>
      <c r="O735" s="3">
        <v>0.13</v>
      </c>
      <c r="P735" s="3">
        <v>0</v>
      </c>
      <c r="Q735" s="3">
        <v>0</v>
      </c>
      <c r="R735" s="3">
        <v>0</v>
      </c>
    </row>
    <row r="736" spans="1:18">
      <c r="A736" s="3" t="s">
        <v>1963</v>
      </c>
      <c r="B736" s="3" t="s">
        <v>130</v>
      </c>
      <c r="C736" s="3" t="s">
        <v>130</v>
      </c>
      <c r="D736" s="3" t="s">
        <v>1964</v>
      </c>
      <c r="E736" s="3" t="s">
        <v>120</v>
      </c>
      <c r="F736" s="3">
        <v>39.98</v>
      </c>
      <c r="G736" s="3" t="s">
        <v>121</v>
      </c>
      <c r="H736" s="3"/>
      <c r="I736" s="3" t="s">
        <v>122</v>
      </c>
      <c r="J736" s="3">
        <v>42</v>
      </c>
      <c r="K736" s="3">
        <v>42</v>
      </c>
      <c r="L736" s="3">
        <v>0</v>
      </c>
      <c r="M736" s="3">
        <v>0</v>
      </c>
      <c r="N736" s="3">
        <v>42</v>
      </c>
      <c r="O736" s="3">
        <v>0.09</v>
      </c>
      <c r="P736" s="3">
        <v>0</v>
      </c>
      <c r="Q736" s="3">
        <v>0</v>
      </c>
      <c r="R736" s="3">
        <v>0</v>
      </c>
    </row>
    <row r="737" spans="1:18">
      <c r="A737" s="3" t="s">
        <v>1965</v>
      </c>
      <c r="B737" s="3" t="s">
        <v>132</v>
      </c>
      <c r="C737" s="3" t="s">
        <v>132</v>
      </c>
      <c r="D737" s="3" t="s">
        <v>1966</v>
      </c>
      <c r="E737" s="3" t="s">
        <v>120</v>
      </c>
      <c r="F737" s="3">
        <v>39.98</v>
      </c>
      <c r="G737" s="3" t="s">
        <v>121</v>
      </c>
      <c r="H737" s="3"/>
      <c r="I737" s="3" t="s">
        <v>122</v>
      </c>
      <c r="J737" s="3">
        <v>58</v>
      </c>
      <c r="K737" s="3">
        <v>58</v>
      </c>
      <c r="L737" s="3">
        <v>0</v>
      </c>
      <c r="M737" s="3">
        <v>0</v>
      </c>
      <c r="N737" s="3">
        <v>58</v>
      </c>
      <c r="O737" s="3">
        <v>0.17</v>
      </c>
      <c r="P737" s="3">
        <v>0</v>
      </c>
      <c r="Q737" s="3">
        <v>0</v>
      </c>
      <c r="R737" s="3">
        <v>0</v>
      </c>
    </row>
    <row r="738" spans="1:18">
      <c r="A738" s="3" t="s">
        <v>1967</v>
      </c>
      <c r="B738" s="3" t="s">
        <v>134</v>
      </c>
      <c r="C738" s="3" t="s">
        <v>134</v>
      </c>
      <c r="D738" s="3" t="s">
        <v>1968</v>
      </c>
      <c r="E738" s="3" t="s">
        <v>120</v>
      </c>
      <c r="F738" s="3">
        <v>39.98</v>
      </c>
      <c r="G738" s="3" t="s">
        <v>121</v>
      </c>
      <c r="H738" s="3"/>
      <c r="I738" s="3" t="s">
        <v>122</v>
      </c>
      <c r="J738" s="3">
        <v>1</v>
      </c>
      <c r="K738" s="3">
        <v>1</v>
      </c>
      <c r="L738" s="3">
        <v>0</v>
      </c>
      <c r="M738" s="3">
        <v>0</v>
      </c>
      <c r="N738" s="3">
        <v>1</v>
      </c>
      <c r="O738" s="3">
        <v>0.17</v>
      </c>
      <c r="P738" s="3">
        <v>0</v>
      </c>
      <c r="Q738" s="3">
        <v>0</v>
      </c>
      <c r="R738" s="3">
        <v>0</v>
      </c>
    </row>
    <row r="739" spans="1:18">
      <c r="A739" s="3" t="s">
        <v>1969</v>
      </c>
      <c r="B739" s="3" t="s">
        <v>136</v>
      </c>
      <c r="C739" s="3" t="s">
        <v>136</v>
      </c>
      <c r="D739" s="3" t="s">
        <v>1970</v>
      </c>
      <c r="E739" s="3" t="s">
        <v>120</v>
      </c>
      <c r="F739" s="3">
        <v>39.98</v>
      </c>
      <c r="G739" s="3" t="s">
        <v>121</v>
      </c>
      <c r="H739" s="3"/>
      <c r="I739" s="3" t="s">
        <v>122</v>
      </c>
      <c r="J739" s="3">
        <v>25</v>
      </c>
      <c r="K739" s="3">
        <v>25</v>
      </c>
      <c r="L739" s="3">
        <v>0</v>
      </c>
      <c r="M739" s="3">
        <v>0</v>
      </c>
      <c r="N739" s="3">
        <v>25</v>
      </c>
      <c r="O739" s="3">
        <v>0.11</v>
      </c>
      <c r="P739" s="3">
        <v>0</v>
      </c>
      <c r="Q739" s="3">
        <v>0</v>
      </c>
      <c r="R739" s="3">
        <v>0</v>
      </c>
    </row>
    <row r="740" spans="1:18">
      <c r="A740" s="3" t="s">
        <v>1971</v>
      </c>
      <c r="B740" s="3" t="s">
        <v>138</v>
      </c>
      <c r="C740" s="3" t="s">
        <v>138</v>
      </c>
      <c r="D740" s="3" t="s">
        <v>1972</v>
      </c>
      <c r="E740" s="3" t="s">
        <v>120</v>
      </c>
      <c r="F740" s="3">
        <v>39.98</v>
      </c>
      <c r="G740" s="3" t="s">
        <v>121</v>
      </c>
      <c r="H740" s="3"/>
      <c r="I740" s="3" t="s">
        <v>122</v>
      </c>
      <c r="J740" s="3">
        <v>11</v>
      </c>
      <c r="K740" s="3">
        <v>10</v>
      </c>
      <c r="L740" s="3">
        <v>0</v>
      </c>
      <c r="M740" s="3">
        <v>1</v>
      </c>
      <c r="N740" s="3">
        <v>11</v>
      </c>
      <c r="O740" s="3">
        <v>0.06</v>
      </c>
      <c r="P740" s="3">
        <v>0</v>
      </c>
      <c r="Q740" s="3">
        <v>0</v>
      </c>
      <c r="R740" s="3">
        <v>0</v>
      </c>
    </row>
    <row r="741" spans="1:18">
      <c r="A741" s="3" t="s">
        <v>1973</v>
      </c>
      <c r="B741" s="3" t="s">
        <v>140</v>
      </c>
      <c r="C741" s="3" t="s">
        <v>140</v>
      </c>
      <c r="D741" s="3" t="s">
        <v>1974</v>
      </c>
      <c r="E741" s="3" t="s">
        <v>120</v>
      </c>
      <c r="F741" s="3">
        <v>39.98</v>
      </c>
      <c r="G741" s="3" t="s">
        <v>121</v>
      </c>
      <c r="H741" s="3"/>
      <c r="I741" s="3" t="s">
        <v>122</v>
      </c>
      <c r="J741" s="3">
        <v>16</v>
      </c>
      <c r="K741" s="3">
        <v>16</v>
      </c>
      <c r="L741" s="3">
        <v>0</v>
      </c>
      <c r="M741" s="3">
        <v>0</v>
      </c>
      <c r="N741" s="3">
        <v>16</v>
      </c>
      <c r="O741" s="3">
        <v>0.17</v>
      </c>
      <c r="P741" s="3">
        <v>0</v>
      </c>
      <c r="Q741" s="3">
        <v>0</v>
      </c>
      <c r="R741" s="3">
        <v>0</v>
      </c>
    </row>
    <row r="742" spans="1:18">
      <c r="A742" s="3" t="s">
        <v>1975</v>
      </c>
      <c r="B742" s="3" t="s">
        <v>142</v>
      </c>
      <c r="C742" s="3" t="s">
        <v>142</v>
      </c>
      <c r="D742" s="3" t="s">
        <v>1976</v>
      </c>
      <c r="E742" s="3" t="s">
        <v>120</v>
      </c>
      <c r="F742" s="3">
        <v>39.98</v>
      </c>
      <c r="G742" s="3" t="s">
        <v>121</v>
      </c>
      <c r="H742" s="3"/>
      <c r="I742" s="3" t="s">
        <v>122</v>
      </c>
      <c r="J742" s="3">
        <v>12</v>
      </c>
      <c r="K742" s="3">
        <v>12</v>
      </c>
      <c r="L742" s="3">
        <v>0</v>
      </c>
      <c r="M742" s="3">
        <v>0</v>
      </c>
      <c r="N742" s="3">
        <v>12</v>
      </c>
      <c r="O742" s="3">
        <v>0.08</v>
      </c>
      <c r="P742" s="3">
        <v>0</v>
      </c>
      <c r="Q742" s="3">
        <v>0</v>
      </c>
      <c r="R742" s="3">
        <v>0</v>
      </c>
    </row>
    <row r="743" spans="1:18">
      <c r="A743" s="3" t="s">
        <v>1977</v>
      </c>
      <c r="B743" s="3" t="s">
        <v>144</v>
      </c>
      <c r="C743" s="3" t="s">
        <v>144</v>
      </c>
      <c r="D743" s="3" t="s">
        <v>1978</v>
      </c>
      <c r="E743" s="3" t="s">
        <v>120</v>
      </c>
      <c r="F743" s="3">
        <v>39.98</v>
      </c>
      <c r="G743" s="3" t="s">
        <v>121</v>
      </c>
      <c r="H743" s="3"/>
      <c r="I743" s="3" t="s">
        <v>122</v>
      </c>
      <c r="J743" s="3">
        <v>0</v>
      </c>
      <c r="K743" s="3">
        <v>0</v>
      </c>
      <c r="L743" s="3">
        <v>0</v>
      </c>
      <c r="M743" s="3">
        <v>0</v>
      </c>
      <c r="N743" s="3">
        <v>0</v>
      </c>
      <c r="O743" s="3">
        <v>0.17</v>
      </c>
      <c r="P743" s="3">
        <v>0</v>
      </c>
      <c r="Q743" s="3">
        <v>0</v>
      </c>
      <c r="R743" s="3">
        <v>0</v>
      </c>
    </row>
    <row r="744" spans="1:18">
      <c r="A744" s="3" t="s">
        <v>1979</v>
      </c>
      <c r="B744" s="3" t="s">
        <v>146</v>
      </c>
      <c r="C744" s="3" t="s">
        <v>146</v>
      </c>
      <c r="D744" s="3" t="s">
        <v>1980</v>
      </c>
      <c r="E744" s="3" t="s">
        <v>120</v>
      </c>
      <c r="F744" s="3">
        <v>39.98</v>
      </c>
      <c r="G744" s="3" t="s">
        <v>121</v>
      </c>
      <c r="H744" s="3"/>
      <c r="I744" s="3" t="s">
        <v>122</v>
      </c>
      <c r="J744" s="3">
        <v>11</v>
      </c>
      <c r="K744" s="3">
        <v>11</v>
      </c>
      <c r="L744" s="3">
        <v>0</v>
      </c>
      <c r="M744" s="3">
        <v>0</v>
      </c>
      <c r="N744" s="3">
        <v>11</v>
      </c>
      <c r="O744" s="3">
        <v>0.17</v>
      </c>
      <c r="P744" s="3">
        <v>0</v>
      </c>
      <c r="Q744" s="3">
        <v>0</v>
      </c>
      <c r="R744" s="3">
        <v>0</v>
      </c>
    </row>
    <row r="745" spans="1:18">
      <c r="A745" s="3" t="s">
        <v>1981</v>
      </c>
      <c r="B745" s="3" t="s">
        <v>148</v>
      </c>
      <c r="C745" s="3" t="s">
        <v>148</v>
      </c>
      <c r="D745" s="3" t="s">
        <v>1982</v>
      </c>
      <c r="E745" s="3" t="s">
        <v>120</v>
      </c>
      <c r="F745" s="3">
        <v>39.98</v>
      </c>
      <c r="G745" s="3" t="s">
        <v>121</v>
      </c>
      <c r="H745" s="3"/>
      <c r="I745" s="3" t="s">
        <v>122</v>
      </c>
      <c r="J745" s="3">
        <v>4</v>
      </c>
      <c r="K745" s="3">
        <v>4</v>
      </c>
      <c r="L745" s="3">
        <v>0</v>
      </c>
      <c r="M745" s="3">
        <v>0</v>
      </c>
      <c r="N745" s="3">
        <v>4</v>
      </c>
      <c r="O745" s="3">
        <v>0.17</v>
      </c>
      <c r="P745" s="3">
        <v>0</v>
      </c>
      <c r="Q745" s="3">
        <v>0</v>
      </c>
      <c r="R745" s="3">
        <v>0</v>
      </c>
    </row>
    <row r="746" spans="1:18">
      <c r="A746" s="3" t="s">
        <v>1983</v>
      </c>
      <c r="B746" s="3" t="s">
        <v>150</v>
      </c>
      <c r="C746" s="3" t="s">
        <v>150</v>
      </c>
      <c r="D746" s="3" t="s">
        <v>1984</v>
      </c>
      <c r="E746" s="3" t="s">
        <v>120</v>
      </c>
      <c r="F746" s="3">
        <v>39.98</v>
      </c>
      <c r="G746" s="3" t="s">
        <v>121</v>
      </c>
      <c r="H746" s="3"/>
      <c r="I746" s="3" t="s">
        <v>122</v>
      </c>
      <c r="J746" s="3">
        <v>7</v>
      </c>
      <c r="K746" s="3">
        <v>7</v>
      </c>
      <c r="L746" s="3">
        <v>0</v>
      </c>
      <c r="M746" s="3">
        <v>0</v>
      </c>
      <c r="N746" s="3">
        <v>7</v>
      </c>
      <c r="O746" s="3">
        <v>0.17</v>
      </c>
      <c r="P746" s="3">
        <v>0</v>
      </c>
      <c r="Q746" s="3">
        <v>0</v>
      </c>
      <c r="R746" s="3">
        <v>0</v>
      </c>
    </row>
    <row r="747" spans="1:18">
      <c r="A747" s="3" t="s">
        <v>1985</v>
      </c>
      <c r="B747" s="3" t="s">
        <v>152</v>
      </c>
      <c r="C747" s="3" t="s">
        <v>152</v>
      </c>
      <c r="D747" s="3" t="s">
        <v>1986</v>
      </c>
      <c r="E747" s="3" t="s">
        <v>120</v>
      </c>
      <c r="F747" s="3">
        <v>39.98</v>
      </c>
      <c r="G747" s="3" t="s">
        <v>121</v>
      </c>
      <c r="H747" s="3"/>
      <c r="I747" s="3" t="s">
        <v>122</v>
      </c>
      <c r="J747" s="3">
        <v>9</v>
      </c>
      <c r="K747" s="3">
        <v>9</v>
      </c>
      <c r="L747" s="3">
        <v>0</v>
      </c>
      <c r="M747" s="3">
        <v>0</v>
      </c>
      <c r="N747" s="3">
        <v>9</v>
      </c>
      <c r="O747" s="3">
        <v>0.12</v>
      </c>
      <c r="P747" s="3">
        <v>0</v>
      </c>
      <c r="Q747" s="3">
        <v>0</v>
      </c>
      <c r="R747" s="3">
        <v>0</v>
      </c>
    </row>
    <row r="748" spans="1:18">
      <c r="A748" s="3" t="s">
        <v>1987</v>
      </c>
      <c r="B748" s="3" t="s">
        <v>154</v>
      </c>
      <c r="C748" s="3" t="s">
        <v>154</v>
      </c>
      <c r="D748" s="3" t="s">
        <v>1988</v>
      </c>
      <c r="E748" s="3" t="s">
        <v>120</v>
      </c>
      <c r="F748" s="3">
        <v>39.98</v>
      </c>
      <c r="G748" s="3" t="s">
        <v>121</v>
      </c>
      <c r="H748" s="3"/>
      <c r="I748" s="3" t="s">
        <v>122</v>
      </c>
      <c r="J748" s="3">
        <v>45</v>
      </c>
      <c r="K748" s="3">
        <v>45</v>
      </c>
      <c r="L748" s="3">
        <v>0</v>
      </c>
      <c r="M748" s="3">
        <v>0</v>
      </c>
      <c r="N748" s="3">
        <v>45</v>
      </c>
      <c r="O748" s="3">
        <v>0.17</v>
      </c>
      <c r="P748" s="3">
        <v>0</v>
      </c>
      <c r="Q748" s="3">
        <v>0</v>
      </c>
      <c r="R748" s="3">
        <v>0</v>
      </c>
    </row>
    <row r="749" spans="1:18">
      <c r="A749" s="3" t="s">
        <v>1989</v>
      </c>
      <c r="B749" s="3" t="s">
        <v>156</v>
      </c>
      <c r="C749" s="3" t="s">
        <v>156</v>
      </c>
      <c r="D749" s="3" t="s">
        <v>1990</v>
      </c>
      <c r="E749" s="3" t="s">
        <v>120</v>
      </c>
      <c r="F749" s="3">
        <v>39.98</v>
      </c>
      <c r="G749" s="3" t="s">
        <v>121</v>
      </c>
      <c r="H749" s="3"/>
      <c r="I749" s="3" t="s">
        <v>122</v>
      </c>
      <c r="J749" s="3">
        <v>57</v>
      </c>
      <c r="K749" s="3">
        <v>56</v>
      </c>
      <c r="L749" s="3">
        <v>1</v>
      </c>
      <c r="M749" s="3">
        <v>0</v>
      </c>
      <c r="N749" s="3">
        <v>57</v>
      </c>
      <c r="O749" s="3">
        <v>0.17</v>
      </c>
      <c r="P749" s="3">
        <v>0</v>
      </c>
      <c r="Q749" s="3">
        <v>0</v>
      </c>
      <c r="R749" s="3">
        <v>0</v>
      </c>
    </row>
    <row r="750" spans="1:18">
      <c r="A750" s="3" t="s">
        <v>1991</v>
      </c>
      <c r="B750" s="3" t="s">
        <v>158</v>
      </c>
      <c r="C750" s="3" t="s">
        <v>158</v>
      </c>
      <c r="D750" s="3" t="s">
        <v>1992</v>
      </c>
      <c r="E750" s="3" t="s">
        <v>120</v>
      </c>
      <c r="F750" s="3">
        <v>39.98</v>
      </c>
      <c r="G750" s="3" t="s">
        <v>121</v>
      </c>
      <c r="H750" s="3"/>
      <c r="I750" s="3" t="s">
        <v>122</v>
      </c>
      <c r="J750" s="3">
        <v>8</v>
      </c>
      <c r="K750" s="3">
        <v>7</v>
      </c>
      <c r="L750" s="3">
        <v>1</v>
      </c>
      <c r="M750" s="3">
        <v>0</v>
      </c>
      <c r="N750" s="3">
        <v>8</v>
      </c>
      <c r="O750" s="3">
        <v>0.17</v>
      </c>
      <c r="P750" s="3">
        <v>0</v>
      </c>
      <c r="Q750" s="3">
        <v>0</v>
      </c>
      <c r="R750" s="3">
        <v>0</v>
      </c>
    </row>
    <row r="751" spans="1:18">
      <c r="A751" s="3" t="s">
        <v>1993</v>
      </c>
      <c r="B751" s="3" t="s">
        <v>160</v>
      </c>
      <c r="C751" s="3" t="s">
        <v>160</v>
      </c>
      <c r="D751" s="3" t="s">
        <v>1994</v>
      </c>
      <c r="E751" s="3" t="s">
        <v>120</v>
      </c>
      <c r="F751" s="3">
        <v>39.98</v>
      </c>
      <c r="G751" s="3" t="s">
        <v>121</v>
      </c>
      <c r="H751" s="3"/>
      <c r="I751" s="3" t="s">
        <v>122</v>
      </c>
      <c r="J751" s="3">
        <v>45</v>
      </c>
      <c r="K751" s="3">
        <v>45</v>
      </c>
      <c r="L751" s="3">
        <v>0</v>
      </c>
      <c r="M751" s="3">
        <v>0</v>
      </c>
      <c r="N751" s="3">
        <v>45</v>
      </c>
      <c r="O751" s="3">
        <v>0.09</v>
      </c>
      <c r="P751" s="3">
        <v>0</v>
      </c>
      <c r="Q751" s="3">
        <v>0</v>
      </c>
      <c r="R751" s="3">
        <v>0</v>
      </c>
    </row>
    <row r="752" spans="1:18">
      <c r="A752" s="3" t="s">
        <v>1995</v>
      </c>
      <c r="B752" s="3" t="s">
        <v>162</v>
      </c>
      <c r="C752" s="3" t="s">
        <v>162</v>
      </c>
      <c r="D752" s="3" t="s">
        <v>1996</v>
      </c>
      <c r="E752" s="3" t="s">
        <v>120</v>
      </c>
      <c r="F752" s="3">
        <v>39.98</v>
      </c>
      <c r="G752" s="3" t="s">
        <v>121</v>
      </c>
      <c r="H752" s="3"/>
      <c r="I752" s="3" t="s">
        <v>122</v>
      </c>
      <c r="J752" s="3">
        <v>52</v>
      </c>
      <c r="K752" s="3">
        <v>52</v>
      </c>
      <c r="L752" s="3">
        <v>0</v>
      </c>
      <c r="M752" s="3">
        <v>0</v>
      </c>
      <c r="N752" s="3">
        <v>52</v>
      </c>
      <c r="O752" s="3">
        <v>0.17</v>
      </c>
      <c r="P752" s="3">
        <v>0</v>
      </c>
      <c r="Q752" s="3">
        <v>0</v>
      </c>
      <c r="R752" s="3">
        <v>0</v>
      </c>
    </row>
    <row r="753" spans="1:18">
      <c r="A753" s="3" t="s">
        <v>1997</v>
      </c>
      <c r="B753" s="3" t="s">
        <v>164</v>
      </c>
      <c r="C753" s="3" t="s">
        <v>164</v>
      </c>
      <c r="D753" s="3"/>
      <c r="E753" s="3" t="s">
        <v>20</v>
      </c>
      <c r="F753" s="3"/>
      <c r="G753" s="3"/>
      <c r="H753" s="3"/>
      <c r="I753" s="3"/>
      <c r="J753" s="3">
        <v>0</v>
      </c>
      <c r="K753" s="3">
        <v>0</v>
      </c>
      <c r="L753" s="3">
        <v>0</v>
      </c>
      <c r="M753" s="3">
        <v>0</v>
      </c>
      <c r="N753" s="3">
        <v>0</v>
      </c>
      <c r="O753" s="3"/>
      <c r="P753" s="3">
        <v>0</v>
      </c>
      <c r="Q753" s="3">
        <v>0</v>
      </c>
      <c r="R753" s="3">
        <v>0</v>
      </c>
    </row>
    <row r="754" spans="1:18">
      <c r="A754" s="3" t="s">
        <v>1998</v>
      </c>
      <c r="B754" s="3" t="s">
        <v>166</v>
      </c>
      <c r="C754" s="3" t="s">
        <v>166</v>
      </c>
      <c r="D754" s="3"/>
      <c r="E754" s="3" t="s">
        <v>20</v>
      </c>
      <c r="F754" s="3"/>
      <c r="G754" s="3"/>
      <c r="H754" s="3"/>
      <c r="I754" s="3"/>
      <c r="J754" s="3">
        <v>0</v>
      </c>
      <c r="K754" s="3">
        <v>0</v>
      </c>
      <c r="L754" s="3">
        <v>0</v>
      </c>
      <c r="M754" s="3">
        <v>0</v>
      </c>
      <c r="N754" s="3">
        <v>0</v>
      </c>
      <c r="O754" s="3"/>
      <c r="P754" s="3">
        <v>0</v>
      </c>
      <c r="Q754" s="3">
        <v>0</v>
      </c>
      <c r="R754" s="3">
        <v>0</v>
      </c>
    </row>
    <row r="755" spans="1:18">
      <c r="A755" s="3" t="s">
        <v>1999</v>
      </c>
      <c r="B755" s="3" t="s">
        <v>168</v>
      </c>
      <c r="C755" s="3" t="s">
        <v>168</v>
      </c>
      <c r="D755" s="3" t="s">
        <v>2000</v>
      </c>
      <c r="E755" s="3" t="s">
        <v>120</v>
      </c>
      <c r="F755" s="3">
        <v>39.98</v>
      </c>
      <c r="G755" s="3" t="s">
        <v>121</v>
      </c>
      <c r="H755" s="3"/>
      <c r="I755" s="3" t="s">
        <v>122</v>
      </c>
      <c r="J755" s="3">
        <v>0</v>
      </c>
      <c r="K755" s="3">
        <v>0</v>
      </c>
      <c r="L755" s="3">
        <v>0</v>
      </c>
      <c r="M755" s="3">
        <v>0</v>
      </c>
      <c r="N755" s="3">
        <v>0</v>
      </c>
      <c r="O755" s="3">
        <v>0.17</v>
      </c>
      <c r="P755" s="3">
        <v>0</v>
      </c>
      <c r="Q755" s="3">
        <v>0</v>
      </c>
      <c r="R755" s="3">
        <v>0</v>
      </c>
    </row>
    <row r="756" spans="1:18">
      <c r="A756" s="3" t="s">
        <v>2001</v>
      </c>
      <c r="B756" s="3" t="s">
        <v>170</v>
      </c>
      <c r="C756" s="3" t="s">
        <v>170</v>
      </c>
      <c r="D756" s="3"/>
      <c r="E756" s="3" t="s">
        <v>20</v>
      </c>
      <c r="F756" s="3"/>
      <c r="G756" s="3"/>
      <c r="H756" s="3"/>
      <c r="I756" s="3"/>
      <c r="J756" s="3">
        <v>0</v>
      </c>
      <c r="K756" s="3">
        <v>0</v>
      </c>
      <c r="L756" s="3">
        <v>0</v>
      </c>
      <c r="M756" s="3">
        <v>0</v>
      </c>
      <c r="N756" s="3">
        <v>0</v>
      </c>
      <c r="O756" s="3"/>
      <c r="P756" s="3">
        <v>0</v>
      </c>
      <c r="Q756" s="3">
        <v>0</v>
      </c>
      <c r="R756" s="3">
        <v>0</v>
      </c>
    </row>
    <row r="757" spans="1:18">
      <c r="A757" s="3" t="s">
        <v>2002</v>
      </c>
      <c r="B757" s="3" t="s">
        <v>172</v>
      </c>
      <c r="C757" s="3" t="s">
        <v>172</v>
      </c>
      <c r="D757" s="3"/>
      <c r="E757" s="3" t="s">
        <v>20</v>
      </c>
      <c r="F757" s="3"/>
      <c r="G757" s="3"/>
      <c r="H757" s="3"/>
      <c r="I757" s="3"/>
      <c r="J757" s="3">
        <v>0</v>
      </c>
      <c r="K757" s="3">
        <v>0</v>
      </c>
      <c r="L757" s="3">
        <v>0</v>
      </c>
      <c r="M757" s="3">
        <v>0</v>
      </c>
      <c r="N757" s="3">
        <v>0</v>
      </c>
      <c r="O757" s="3"/>
      <c r="P757" s="3">
        <v>0</v>
      </c>
      <c r="Q757" s="3">
        <v>0</v>
      </c>
      <c r="R757" s="3">
        <v>0</v>
      </c>
    </row>
    <row r="758" spans="1:18">
      <c r="A758" s="3" t="s">
        <v>2003</v>
      </c>
      <c r="B758" s="3" t="s">
        <v>174</v>
      </c>
      <c r="C758" s="3" t="s">
        <v>174</v>
      </c>
      <c r="D758" s="3" t="s">
        <v>2004</v>
      </c>
      <c r="E758" s="3" t="s">
        <v>120</v>
      </c>
      <c r="F758" s="3">
        <v>39.98</v>
      </c>
      <c r="G758" s="3" t="s">
        <v>121</v>
      </c>
      <c r="H758" s="3"/>
      <c r="I758" s="3" t="s">
        <v>122</v>
      </c>
      <c r="J758" s="3">
        <v>7</v>
      </c>
      <c r="K758" s="3">
        <v>7</v>
      </c>
      <c r="L758" s="3">
        <v>0</v>
      </c>
      <c r="M758" s="3">
        <v>0</v>
      </c>
      <c r="N758" s="3">
        <v>7</v>
      </c>
      <c r="O758" s="3">
        <v>0.03</v>
      </c>
      <c r="P758" s="3">
        <v>0</v>
      </c>
      <c r="Q758" s="3">
        <v>0</v>
      </c>
      <c r="R758" s="3">
        <v>0</v>
      </c>
    </row>
    <row r="759" spans="1:18">
      <c r="A759" s="3" t="s">
        <v>2005</v>
      </c>
      <c r="B759" s="3" t="s">
        <v>176</v>
      </c>
      <c r="C759" s="3" t="s">
        <v>176</v>
      </c>
      <c r="D759" s="3"/>
      <c r="E759" s="3" t="s">
        <v>20</v>
      </c>
      <c r="F759" s="3"/>
      <c r="G759" s="3"/>
      <c r="H759" s="3"/>
      <c r="I759" s="3"/>
      <c r="J759" s="3">
        <v>0</v>
      </c>
      <c r="K759" s="3">
        <v>0</v>
      </c>
      <c r="L759" s="3">
        <v>0</v>
      </c>
      <c r="M759" s="3">
        <v>0</v>
      </c>
      <c r="N759" s="3">
        <v>0</v>
      </c>
      <c r="O759" s="3"/>
      <c r="P759" s="3">
        <v>0</v>
      </c>
      <c r="Q759" s="3">
        <v>0</v>
      </c>
      <c r="R759" s="3">
        <v>0</v>
      </c>
    </row>
    <row r="760" spans="1:18">
      <c r="A760" s="3" t="s">
        <v>2006</v>
      </c>
      <c r="B760" s="3" t="s">
        <v>178</v>
      </c>
      <c r="C760" s="3" t="s">
        <v>178</v>
      </c>
      <c r="D760" s="3" t="s">
        <v>2007</v>
      </c>
      <c r="E760" s="3" t="s">
        <v>120</v>
      </c>
      <c r="F760" s="3">
        <v>39.98</v>
      </c>
      <c r="G760" s="3" t="s">
        <v>121</v>
      </c>
      <c r="H760" s="3"/>
      <c r="I760" s="3" t="s">
        <v>122</v>
      </c>
      <c r="J760" s="3">
        <v>0</v>
      </c>
      <c r="K760" s="3">
        <v>0</v>
      </c>
      <c r="L760" s="3">
        <v>0</v>
      </c>
      <c r="M760" s="3">
        <v>0</v>
      </c>
      <c r="N760" s="3">
        <v>0</v>
      </c>
      <c r="O760" s="3">
        <v>0.17</v>
      </c>
      <c r="P760" s="3">
        <v>0</v>
      </c>
      <c r="Q760" s="3">
        <v>0</v>
      </c>
      <c r="R760" s="3">
        <v>0</v>
      </c>
    </row>
    <row r="761" spans="1:18">
      <c r="A761" s="3" t="s">
        <v>2008</v>
      </c>
      <c r="B761" s="3" t="s">
        <v>180</v>
      </c>
      <c r="C761" s="3" t="s">
        <v>180</v>
      </c>
      <c r="D761" s="3"/>
      <c r="E761" s="3" t="s">
        <v>20</v>
      </c>
      <c r="F761" s="3"/>
      <c r="G761" s="3"/>
      <c r="H761" s="3"/>
      <c r="I761" s="3"/>
      <c r="J761" s="3">
        <v>5</v>
      </c>
      <c r="K761" s="3">
        <v>5</v>
      </c>
      <c r="L761" s="3">
        <v>0</v>
      </c>
      <c r="M761" s="3">
        <v>0</v>
      </c>
      <c r="N761" s="3">
        <v>5</v>
      </c>
      <c r="O761" s="3"/>
      <c r="P761" s="3">
        <v>0</v>
      </c>
      <c r="Q761" s="3">
        <v>0</v>
      </c>
      <c r="R761" s="3">
        <v>0</v>
      </c>
    </row>
    <row r="762" spans="1:18">
      <c r="A762" s="3" t="s">
        <v>2009</v>
      </c>
      <c r="B762" s="3" t="s">
        <v>182</v>
      </c>
      <c r="C762" s="3" t="s">
        <v>182</v>
      </c>
      <c r="D762" s="3" t="s">
        <v>2010</v>
      </c>
      <c r="E762" s="3" t="s">
        <v>120</v>
      </c>
      <c r="F762" s="3">
        <v>39.98</v>
      </c>
      <c r="G762" s="3" t="s">
        <v>121</v>
      </c>
      <c r="H762" s="3"/>
      <c r="I762" s="3" t="s">
        <v>122</v>
      </c>
      <c r="J762" s="3">
        <v>32</v>
      </c>
      <c r="K762" s="3">
        <v>31</v>
      </c>
      <c r="L762" s="3">
        <v>1</v>
      </c>
      <c r="M762" s="3">
        <v>0</v>
      </c>
      <c r="N762" s="3">
        <v>32</v>
      </c>
      <c r="O762" s="3">
        <v>0.17</v>
      </c>
      <c r="P762" s="3">
        <v>0</v>
      </c>
      <c r="Q762" s="3">
        <v>0</v>
      </c>
      <c r="R762" s="3">
        <v>0</v>
      </c>
    </row>
    <row r="763" spans="1:18">
      <c r="A763" s="3" t="s">
        <v>2011</v>
      </c>
      <c r="B763" s="3" t="s">
        <v>184</v>
      </c>
      <c r="C763" s="3" t="s">
        <v>184</v>
      </c>
      <c r="D763" s="3" t="s">
        <v>2012</v>
      </c>
      <c r="E763" s="3" t="s">
        <v>120</v>
      </c>
      <c r="F763" s="3">
        <v>39.98</v>
      </c>
      <c r="G763" s="3" t="s">
        <v>121</v>
      </c>
      <c r="H763" s="3"/>
      <c r="I763" s="3" t="s">
        <v>122</v>
      </c>
      <c r="J763" s="3">
        <v>31</v>
      </c>
      <c r="K763" s="3">
        <v>31</v>
      </c>
      <c r="L763" s="3">
        <v>0</v>
      </c>
      <c r="M763" s="3">
        <v>0</v>
      </c>
      <c r="N763" s="3">
        <v>31</v>
      </c>
      <c r="O763" s="3">
        <v>0.17</v>
      </c>
      <c r="P763" s="3">
        <v>0</v>
      </c>
      <c r="Q763" s="3">
        <v>0</v>
      </c>
      <c r="R763" s="3">
        <v>0</v>
      </c>
    </row>
    <row r="764" spans="1:18">
      <c r="A764" s="3" t="s">
        <v>2013</v>
      </c>
      <c r="B764" s="3" t="s">
        <v>186</v>
      </c>
      <c r="C764" s="3" t="s">
        <v>186</v>
      </c>
      <c r="D764" s="3"/>
      <c r="E764" s="3" t="s">
        <v>20</v>
      </c>
      <c r="F764" s="3"/>
      <c r="G764" s="3"/>
      <c r="H764" s="3"/>
      <c r="I764" s="3"/>
      <c r="J764" s="3">
        <v>0</v>
      </c>
      <c r="K764" s="3">
        <v>0</v>
      </c>
      <c r="L764" s="3">
        <v>0</v>
      </c>
      <c r="M764" s="3">
        <v>0</v>
      </c>
      <c r="N764" s="3">
        <v>0</v>
      </c>
      <c r="O764" s="3"/>
      <c r="P764" s="3">
        <v>0</v>
      </c>
      <c r="Q764" s="3">
        <v>0</v>
      </c>
      <c r="R764" s="3">
        <v>0</v>
      </c>
    </row>
    <row r="765" spans="1:18">
      <c r="A765" s="3" t="s">
        <v>2014</v>
      </c>
      <c r="B765" s="3" t="s">
        <v>2015</v>
      </c>
      <c r="C765" s="3" t="s">
        <v>2015</v>
      </c>
      <c r="D765" s="3"/>
      <c r="E765" s="3" t="s">
        <v>20</v>
      </c>
      <c r="F765" s="3"/>
      <c r="G765" s="3"/>
      <c r="H765" s="3"/>
      <c r="I765" s="3"/>
      <c r="J765" s="3">
        <v>0</v>
      </c>
      <c r="K765" s="3">
        <v>0</v>
      </c>
      <c r="L765" s="3">
        <v>0</v>
      </c>
      <c r="M765" s="3">
        <v>0</v>
      </c>
      <c r="N765" s="3">
        <v>0</v>
      </c>
      <c r="O765" s="3"/>
      <c r="P765" s="3">
        <v>0</v>
      </c>
      <c r="Q765" s="3">
        <v>0</v>
      </c>
      <c r="R765" s="3">
        <v>0</v>
      </c>
    </row>
    <row r="766" spans="1:18">
      <c r="A766" s="3" t="s">
        <v>2016</v>
      </c>
      <c r="B766" s="3" t="s">
        <v>2017</v>
      </c>
      <c r="C766" s="3" t="s">
        <v>2017</v>
      </c>
      <c r="D766" s="3" t="s">
        <v>2018</v>
      </c>
      <c r="E766" s="3" t="s">
        <v>120</v>
      </c>
      <c r="F766" s="3">
        <v>23.98</v>
      </c>
      <c r="G766" s="3" t="s">
        <v>121</v>
      </c>
      <c r="H766" s="3"/>
      <c r="I766" s="3" t="s">
        <v>122</v>
      </c>
      <c r="J766" s="3">
        <v>4</v>
      </c>
      <c r="K766" s="3">
        <v>4</v>
      </c>
      <c r="L766" s="3">
        <v>0</v>
      </c>
      <c r="M766" s="3">
        <v>0</v>
      </c>
      <c r="N766" s="3">
        <v>4</v>
      </c>
      <c r="O766" s="3">
        <v>0.09</v>
      </c>
      <c r="P766" s="3">
        <v>0</v>
      </c>
      <c r="Q766" s="3">
        <v>0</v>
      </c>
      <c r="R766" s="3">
        <v>0</v>
      </c>
    </row>
    <row r="767" spans="1:18">
      <c r="A767" s="3" t="s">
        <v>2019</v>
      </c>
      <c r="B767" s="3" t="s">
        <v>2020</v>
      </c>
      <c r="C767" s="3" t="s">
        <v>2020</v>
      </c>
      <c r="D767" s="3" t="s">
        <v>2021</v>
      </c>
      <c r="E767" s="3" t="s">
        <v>120</v>
      </c>
      <c r="F767" s="3">
        <v>12.98</v>
      </c>
      <c r="G767" s="3" t="s">
        <v>121</v>
      </c>
      <c r="H767" s="3"/>
      <c r="I767" s="3" t="s">
        <v>122</v>
      </c>
      <c r="J767" s="3">
        <v>13</v>
      </c>
      <c r="K767" s="3">
        <v>12</v>
      </c>
      <c r="L767" s="3">
        <v>0</v>
      </c>
      <c r="M767" s="3">
        <v>1</v>
      </c>
      <c r="N767" s="3">
        <v>13</v>
      </c>
      <c r="O767" s="3">
        <v>0.11</v>
      </c>
      <c r="P767" s="3">
        <v>0</v>
      </c>
      <c r="Q767" s="3">
        <v>0</v>
      </c>
      <c r="R767" s="3">
        <v>0</v>
      </c>
    </row>
    <row r="768" spans="1:18">
      <c r="A768" s="3" t="s">
        <v>2022</v>
      </c>
      <c r="B768" s="3" t="s">
        <v>2023</v>
      </c>
      <c r="C768" s="3" t="s">
        <v>2023</v>
      </c>
      <c r="D768" s="3"/>
      <c r="E768" s="3" t="s">
        <v>20</v>
      </c>
      <c r="F768" s="3"/>
      <c r="G768" s="3"/>
      <c r="H768" s="3"/>
      <c r="I768" s="3"/>
      <c r="J768" s="3">
        <v>0</v>
      </c>
      <c r="K768" s="3">
        <v>0</v>
      </c>
      <c r="L768" s="3">
        <v>0</v>
      </c>
      <c r="M768" s="3">
        <v>0</v>
      </c>
      <c r="N768" s="3">
        <v>0</v>
      </c>
      <c r="O768" s="3"/>
      <c r="P768" s="3">
        <v>0</v>
      </c>
      <c r="Q768" s="3">
        <v>0</v>
      </c>
      <c r="R768" s="3">
        <v>0</v>
      </c>
    </row>
    <row r="769" spans="1:18">
      <c r="A769" s="3" t="s">
        <v>2024</v>
      </c>
      <c r="B769" s="3" t="s">
        <v>2025</v>
      </c>
      <c r="C769" s="3" t="s">
        <v>2025</v>
      </c>
      <c r="D769" s="3" t="s">
        <v>2026</v>
      </c>
      <c r="E769" s="3" t="s">
        <v>120</v>
      </c>
      <c r="F769" s="3">
        <v>22.98</v>
      </c>
      <c r="G769" s="3" t="s">
        <v>121</v>
      </c>
      <c r="H769" s="3"/>
      <c r="I769" s="3" t="s">
        <v>122</v>
      </c>
      <c r="J769" s="3">
        <v>3</v>
      </c>
      <c r="K769" s="3">
        <v>3</v>
      </c>
      <c r="L769" s="3">
        <v>0</v>
      </c>
      <c r="M769" s="3">
        <v>0</v>
      </c>
      <c r="N769" s="3">
        <v>3</v>
      </c>
      <c r="O769" s="3">
        <v>0.16</v>
      </c>
      <c r="P769" s="3">
        <v>0</v>
      </c>
      <c r="Q769" s="3">
        <v>0</v>
      </c>
      <c r="R769" s="3">
        <v>0</v>
      </c>
    </row>
    <row r="770" spans="1:18">
      <c r="A770" s="3" t="s">
        <v>2027</v>
      </c>
      <c r="B770" s="3" t="s">
        <v>2028</v>
      </c>
      <c r="C770" s="3" t="s">
        <v>2028</v>
      </c>
      <c r="D770" s="3" t="s">
        <v>2029</v>
      </c>
      <c r="E770" s="3" t="s">
        <v>120</v>
      </c>
      <c r="F770" s="3">
        <v>23.98</v>
      </c>
      <c r="G770" s="3" t="s">
        <v>121</v>
      </c>
      <c r="H770" s="3"/>
      <c r="I770" s="3" t="s">
        <v>122</v>
      </c>
      <c r="J770" s="3">
        <v>15</v>
      </c>
      <c r="K770" s="3">
        <v>15</v>
      </c>
      <c r="L770" s="3">
        <v>0</v>
      </c>
      <c r="M770" s="3">
        <v>0</v>
      </c>
      <c r="N770" s="3">
        <v>15</v>
      </c>
      <c r="O770" s="3">
        <v>0.09</v>
      </c>
      <c r="P770" s="3">
        <v>0</v>
      </c>
      <c r="Q770" s="3">
        <v>0</v>
      </c>
      <c r="R770" s="3">
        <v>0</v>
      </c>
    </row>
    <row r="771" spans="1:18">
      <c r="A771" s="3" t="s">
        <v>2030</v>
      </c>
      <c r="B771" s="3" t="s">
        <v>2031</v>
      </c>
      <c r="C771" s="3" t="s">
        <v>2031</v>
      </c>
      <c r="D771" s="3" t="s">
        <v>2032</v>
      </c>
      <c r="E771" s="3" t="s">
        <v>120</v>
      </c>
      <c r="F771" s="3">
        <v>23.98</v>
      </c>
      <c r="G771" s="3" t="s">
        <v>121</v>
      </c>
      <c r="H771" s="3"/>
      <c r="I771" s="3" t="s">
        <v>122</v>
      </c>
      <c r="J771" s="3">
        <v>32</v>
      </c>
      <c r="K771" s="3">
        <v>31</v>
      </c>
      <c r="L771" s="3">
        <v>0</v>
      </c>
      <c r="M771" s="3">
        <v>1</v>
      </c>
      <c r="N771" s="3">
        <v>32</v>
      </c>
      <c r="O771" s="3">
        <v>0.11</v>
      </c>
      <c r="P771" s="3">
        <v>0</v>
      </c>
      <c r="Q771" s="3">
        <v>0</v>
      </c>
      <c r="R771" s="3">
        <v>0</v>
      </c>
    </row>
    <row r="772" spans="1:18">
      <c r="A772" s="3" t="s">
        <v>2033</v>
      </c>
      <c r="B772" s="3" t="s">
        <v>2034</v>
      </c>
      <c r="C772" s="3" t="s">
        <v>2034</v>
      </c>
      <c r="D772" s="3" t="s">
        <v>2035</v>
      </c>
      <c r="E772" s="3" t="s">
        <v>120</v>
      </c>
      <c r="F772" s="3">
        <v>23.98</v>
      </c>
      <c r="G772" s="3" t="s">
        <v>121</v>
      </c>
      <c r="H772" s="3"/>
      <c r="I772" s="3" t="s">
        <v>122</v>
      </c>
      <c r="J772" s="3">
        <v>13</v>
      </c>
      <c r="K772" s="3">
        <v>13</v>
      </c>
      <c r="L772" s="3">
        <v>0</v>
      </c>
      <c r="M772" s="3">
        <v>0</v>
      </c>
      <c r="N772" s="3">
        <v>13</v>
      </c>
      <c r="O772" s="3">
        <v>0.1</v>
      </c>
      <c r="P772" s="3">
        <v>0</v>
      </c>
      <c r="Q772" s="3">
        <v>0</v>
      </c>
      <c r="R772" s="3">
        <v>0</v>
      </c>
    </row>
    <row r="773" spans="1:18">
      <c r="A773" s="3" t="s">
        <v>2036</v>
      </c>
      <c r="B773" s="3" t="s">
        <v>2037</v>
      </c>
      <c r="C773" s="3" t="s">
        <v>2037</v>
      </c>
      <c r="D773" s="3" t="s">
        <v>2038</v>
      </c>
      <c r="E773" s="3" t="s">
        <v>120</v>
      </c>
      <c r="F773" s="3">
        <v>23.98</v>
      </c>
      <c r="G773" s="3" t="s">
        <v>121</v>
      </c>
      <c r="H773" s="3"/>
      <c r="I773" s="3" t="s">
        <v>122</v>
      </c>
      <c r="J773" s="3">
        <v>20</v>
      </c>
      <c r="K773" s="3">
        <v>20</v>
      </c>
      <c r="L773" s="3">
        <v>0</v>
      </c>
      <c r="M773" s="3">
        <v>0</v>
      </c>
      <c r="N773" s="3">
        <v>20</v>
      </c>
      <c r="O773" s="3">
        <v>0.17</v>
      </c>
      <c r="P773" s="3">
        <v>0</v>
      </c>
      <c r="Q773" s="3">
        <v>0</v>
      </c>
      <c r="R773" s="3">
        <v>0</v>
      </c>
    </row>
    <row r="774" spans="1:18">
      <c r="A774" s="3" t="s">
        <v>2039</v>
      </c>
      <c r="B774" s="3" t="s">
        <v>2040</v>
      </c>
      <c r="C774" s="3" t="s">
        <v>2040</v>
      </c>
      <c r="D774" s="3" t="s">
        <v>2041</v>
      </c>
      <c r="E774" s="3" t="s">
        <v>120</v>
      </c>
      <c r="F774" s="3">
        <v>23.98</v>
      </c>
      <c r="G774" s="3" t="s">
        <v>121</v>
      </c>
      <c r="H774" s="3"/>
      <c r="I774" s="3" t="s">
        <v>122</v>
      </c>
      <c r="J774" s="3">
        <v>31</v>
      </c>
      <c r="K774" s="3">
        <v>31</v>
      </c>
      <c r="L774" s="3">
        <v>0</v>
      </c>
      <c r="M774" s="3">
        <v>0</v>
      </c>
      <c r="N774" s="3">
        <v>31</v>
      </c>
      <c r="O774" s="3">
        <v>0.08</v>
      </c>
      <c r="P774" s="3">
        <v>0</v>
      </c>
      <c r="Q774" s="3">
        <v>0</v>
      </c>
      <c r="R774" s="3">
        <v>0</v>
      </c>
    </row>
    <row r="775" spans="1:18">
      <c r="A775" s="3" t="s">
        <v>2042</v>
      </c>
      <c r="B775" s="3" t="s">
        <v>2043</v>
      </c>
      <c r="C775" s="3" t="s">
        <v>2043</v>
      </c>
      <c r="D775" s="3" t="s">
        <v>2044</v>
      </c>
      <c r="E775" s="3" t="s">
        <v>120</v>
      </c>
      <c r="F775" s="3">
        <v>39.98</v>
      </c>
      <c r="G775" s="3" t="s">
        <v>121</v>
      </c>
      <c r="H775" s="3"/>
      <c r="I775" s="3" t="s">
        <v>122</v>
      </c>
      <c r="J775" s="3">
        <v>57</v>
      </c>
      <c r="K775" s="3">
        <v>57</v>
      </c>
      <c r="L775" s="3">
        <v>0</v>
      </c>
      <c r="M775" s="3">
        <v>0</v>
      </c>
      <c r="N775" s="3">
        <v>57</v>
      </c>
      <c r="O775" s="3">
        <v>0.07</v>
      </c>
      <c r="P775" s="3">
        <v>0</v>
      </c>
      <c r="Q775" s="3">
        <v>0</v>
      </c>
      <c r="R775" s="3">
        <v>0</v>
      </c>
    </row>
    <row r="776" spans="1:18">
      <c r="A776" s="3" t="s">
        <v>2045</v>
      </c>
      <c r="B776" s="3" t="s">
        <v>2046</v>
      </c>
      <c r="C776" s="3" t="s">
        <v>2046</v>
      </c>
      <c r="D776" s="3"/>
      <c r="E776" s="3" t="s">
        <v>20</v>
      </c>
      <c r="F776" s="3"/>
      <c r="G776" s="3"/>
      <c r="H776" s="3"/>
      <c r="I776" s="3"/>
      <c r="J776" s="3">
        <v>1</v>
      </c>
      <c r="K776" s="3">
        <v>1</v>
      </c>
      <c r="L776" s="3">
        <v>0</v>
      </c>
      <c r="M776" s="3">
        <v>0</v>
      </c>
      <c r="N776" s="3">
        <v>1</v>
      </c>
      <c r="O776" s="3"/>
      <c r="P776" s="3">
        <v>0</v>
      </c>
      <c r="Q776" s="3">
        <v>0</v>
      </c>
      <c r="R776" s="3">
        <v>0</v>
      </c>
    </row>
    <row r="777" spans="1:18">
      <c r="A777" s="3" t="s">
        <v>2047</v>
      </c>
      <c r="B777" s="3" t="s">
        <v>2043</v>
      </c>
      <c r="C777" s="3" t="s">
        <v>2043</v>
      </c>
      <c r="D777" s="3" t="s">
        <v>2044</v>
      </c>
      <c r="E777" s="3" t="s">
        <v>120</v>
      </c>
      <c r="F777" s="3">
        <v>23.98</v>
      </c>
      <c r="G777" s="3" t="s">
        <v>121</v>
      </c>
      <c r="H777" s="3"/>
      <c r="I777" s="3" t="s">
        <v>122</v>
      </c>
      <c r="J777" s="3">
        <v>57</v>
      </c>
      <c r="K777" s="3">
        <v>57</v>
      </c>
      <c r="L777" s="3">
        <v>0</v>
      </c>
      <c r="M777" s="3">
        <v>0</v>
      </c>
      <c r="N777" s="3">
        <v>57</v>
      </c>
      <c r="O777" s="3">
        <v>0.07</v>
      </c>
      <c r="P777" s="3">
        <v>0</v>
      </c>
      <c r="Q777" s="3">
        <v>0</v>
      </c>
      <c r="R777" s="3">
        <v>0</v>
      </c>
    </row>
    <row r="778" spans="1:18">
      <c r="A778" s="3" t="s">
        <v>2048</v>
      </c>
      <c r="B778" s="3" t="s">
        <v>2049</v>
      </c>
      <c r="C778" s="3" t="s">
        <v>2049</v>
      </c>
      <c r="D778" s="3" t="s">
        <v>2050</v>
      </c>
      <c r="E778" s="3" t="s">
        <v>120</v>
      </c>
      <c r="F778" s="3">
        <v>23.98</v>
      </c>
      <c r="G778" s="3" t="s">
        <v>121</v>
      </c>
      <c r="H778" s="3"/>
      <c r="I778" s="3" t="s">
        <v>122</v>
      </c>
      <c r="J778" s="3">
        <v>16</v>
      </c>
      <c r="K778" s="3">
        <v>16</v>
      </c>
      <c r="L778" s="3">
        <v>0</v>
      </c>
      <c r="M778" s="3">
        <v>0</v>
      </c>
      <c r="N778" s="3">
        <v>16</v>
      </c>
      <c r="O778" s="3">
        <v>0.03</v>
      </c>
      <c r="P778" s="3">
        <v>0</v>
      </c>
      <c r="Q778" s="3">
        <v>0</v>
      </c>
      <c r="R778" s="3">
        <v>0</v>
      </c>
    </row>
    <row r="779" spans="1:18">
      <c r="A779" s="3" t="s">
        <v>2051</v>
      </c>
      <c r="B779" s="3" t="s">
        <v>2052</v>
      </c>
      <c r="C779" s="3" t="s">
        <v>2052</v>
      </c>
      <c r="D779" s="3" t="s">
        <v>2053</v>
      </c>
      <c r="E779" s="3" t="s">
        <v>120</v>
      </c>
      <c r="F779" s="3">
        <v>39.98</v>
      </c>
      <c r="G779" s="3" t="s">
        <v>121</v>
      </c>
      <c r="H779" s="3"/>
      <c r="I779" s="3" t="s">
        <v>122</v>
      </c>
      <c r="J779" s="3">
        <v>0</v>
      </c>
      <c r="K779" s="3">
        <v>0</v>
      </c>
      <c r="L779" s="3">
        <v>0</v>
      </c>
      <c r="M779" s="3">
        <v>0</v>
      </c>
      <c r="N779" s="3">
        <v>0</v>
      </c>
      <c r="O779" s="3">
        <v>0.16</v>
      </c>
      <c r="P779" s="3">
        <v>0</v>
      </c>
      <c r="Q779" s="3">
        <v>0</v>
      </c>
      <c r="R779" s="3">
        <v>0</v>
      </c>
    </row>
    <row r="780" spans="1:18">
      <c r="A780" s="3" t="s">
        <v>2054</v>
      </c>
      <c r="B780" s="3" t="s">
        <v>2055</v>
      </c>
      <c r="C780" s="3" t="s">
        <v>2055</v>
      </c>
      <c r="D780" s="3" t="s">
        <v>2056</v>
      </c>
      <c r="E780" s="3" t="s">
        <v>120</v>
      </c>
      <c r="F780" s="3">
        <v>23.98</v>
      </c>
      <c r="G780" s="3" t="s">
        <v>121</v>
      </c>
      <c r="H780" s="3"/>
      <c r="I780" s="3" t="s">
        <v>122</v>
      </c>
      <c r="J780" s="3">
        <v>0</v>
      </c>
      <c r="K780" s="3">
        <v>0</v>
      </c>
      <c r="L780" s="3">
        <v>0</v>
      </c>
      <c r="M780" s="3">
        <v>0</v>
      </c>
      <c r="N780" s="3">
        <v>0</v>
      </c>
      <c r="O780" s="3">
        <v>0.09</v>
      </c>
      <c r="P780" s="3">
        <v>0</v>
      </c>
      <c r="Q780" s="3">
        <v>0</v>
      </c>
      <c r="R780" s="3">
        <v>0</v>
      </c>
    </row>
    <row r="781" spans="1:18">
      <c r="A781" s="3" t="s">
        <v>2057</v>
      </c>
      <c r="B781" s="3" t="s">
        <v>2058</v>
      </c>
      <c r="C781" s="3" t="s">
        <v>2058</v>
      </c>
      <c r="D781" s="3" t="s">
        <v>2059</v>
      </c>
      <c r="E781" s="3" t="s">
        <v>120</v>
      </c>
      <c r="F781" s="3">
        <v>23.98</v>
      </c>
      <c r="G781" s="3" t="s">
        <v>121</v>
      </c>
      <c r="H781" s="3"/>
      <c r="I781" s="3" t="s">
        <v>122</v>
      </c>
      <c r="J781" s="3">
        <v>0</v>
      </c>
      <c r="K781" s="3">
        <v>0</v>
      </c>
      <c r="L781" s="3">
        <v>0</v>
      </c>
      <c r="M781" s="3">
        <v>0</v>
      </c>
      <c r="N781" s="3">
        <v>0</v>
      </c>
      <c r="O781" s="3">
        <v>0.12</v>
      </c>
      <c r="P781" s="3">
        <v>0</v>
      </c>
      <c r="Q781" s="3">
        <v>0</v>
      </c>
      <c r="R781" s="3">
        <v>0</v>
      </c>
    </row>
    <row r="782" spans="1:18">
      <c r="A782" s="3" t="s">
        <v>2060</v>
      </c>
      <c r="B782" s="3" t="s">
        <v>2061</v>
      </c>
      <c r="C782" s="3" t="s">
        <v>2061</v>
      </c>
      <c r="D782" s="3" t="s">
        <v>2062</v>
      </c>
      <c r="E782" s="3" t="s">
        <v>120</v>
      </c>
      <c r="F782" s="3">
        <v>23.98</v>
      </c>
      <c r="G782" s="3" t="s">
        <v>121</v>
      </c>
      <c r="H782" s="3"/>
      <c r="I782" s="3" t="s">
        <v>122</v>
      </c>
      <c r="J782" s="3">
        <v>20</v>
      </c>
      <c r="K782" s="3">
        <v>20</v>
      </c>
      <c r="L782" s="3">
        <v>0</v>
      </c>
      <c r="M782" s="3">
        <v>0</v>
      </c>
      <c r="N782" s="3">
        <v>20</v>
      </c>
      <c r="O782" s="3">
        <v>0.11</v>
      </c>
      <c r="P782" s="3">
        <v>0</v>
      </c>
      <c r="Q782" s="3">
        <v>0</v>
      </c>
      <c r="R782" s="3">
        <v>0</v>
      </c>
    </row>
    <row r="783" spans="1:18">
      <c r="A783" s="3" t="s">
        <v>2063</v>
      </c>
      <c r="B783" s="3" t="s">
        <v>2064</v>
      </c>
      <c r="C783" s="3" t="s">
        <v>2064</v>
      </c>
      <c r="D783" s="3" t="s">
        <v>2065</v>
      </c>
      <c r="E783" s="3" t="s">
        <v>120</v>
      </c>
      <c r="F783" s="3">
        <v>23.98</v>
      </c>
      <c r="G783" s="3" t="s">
        <v>121</v>
      </c>
      <c r="H783" s="3"/>
      <c r="I783" s="3" t="s">
        <v>122</v>
      </c>
      <c r="J783" s="3">
        <v>2</v>
      </c>
      <c r="K783" s="3">
        <v>2</v>
      </c>
      <c r="L783" s="3">
        <v>0</v>
      </c>
      <c r="M783" s="3">
        <v>0</v>
      </c>
      <c r="N783" s="3">
        <v>2</v>
      </c>
      <c r="O783" s="3">
        <v>0.14</v>
      </c>
      <c r="P783" s="3">
        <v>0</v>
      </c>
      <c r="Q783" s="3">
        <v>0</v>
      </c>
      <c r="R783" s="3">
        <v>0</v>
      </c>
    </row>
    <row r="784" spans="1:18">
      <c r="A784" s="3" t="s">
        <v>2066</v>
      </c>
      <c r="B784" s="3" t="s">
        <v>2067</v>
      </c>
      <c r="C784" s="3" t="s">
        <v>2067</v>
      </c>
      <c r="D784" s="3" t="s">
        <v>2068</v>
      </c>
      <c r="E784" s="3" t="s">
        <v>120</v>
      </c>
      <c r="F784" s="3">
        <v>20.98</v>
      </c>
      <c r="G784" s="3" t="s">
        <v>121</v>
      </c>
      <c r="H784" s="3"/>
      <c r="I784" s="3" t="s">
        <v>122</v>
      </c>
      <c r="J784" s="3">
        <v>28</v>
      </c>
      <c r="K784" s="3">
        <v>28</v>
      </c>
      <c r="L784" s="3">
        <v>0</v>
      </c>
      <c r="M784" s="3">
        <v>0</v>
      </c>
      <c r="N784" s="3">
        <v>28</v>
      </c>
      <c r="O784" s="3">
        <v>0.1</v>
      </c>
      <c r="P784" s="3">
        <v>0</v>
      </c>
      <c r="Q784" s="3">
        <v>0</v>
      </c>
      <c r="R784" s="3">
        <v>0</v>
      </c>
    </row>
    <row r="785" spans="1:18">
      <c r="A785" s="3" t="s">
        <v>2069</v>
      </c>
      <c r="B785" s="3" t="s">
        <v>2070</v>
      </c>
      <c r="C785" s="3" t="s">
        <v>2070</v>
      </c>
      <c r="D785" s="3" t="s">
        <v>2071</v>
      </c>
      <c r="E785" s="3" t="s">
        <v>120</v>
      </c>
      <c r="F785" s="3">
        <v>23.98</v>
      </c>
      <c r="G785" s="3" t="s">
        <v>121</v>
      </c>
      <c r="H785" s="3"/>
      <c r="I785" s="3" t="s">
        <v>122</v>
      </c>
      <c r="J785" s="3">
        <v>25</v>
      </c>
      <c r="K785" s="3">
        <v>25</v>
      </c>
      <c r="L785" s="3">
        <v>0</v>
      </c>
      <c r="M785" s="3">
        <v>0</v>
      </c>
      <c r="N785" s="3">
        <v>25</v>
      </c>
      <c r="O785" s="3">
        <v>0.08</v>
      </c>
      <c r="P785" s="3">
        <v>0</v>
      </c>
      <c r="Q785" s="3">
        <v>0</v>
      </c>
      <c r="R785" s="3">
        <v>0</v>
      </c>
    </row>
    <row r="786" spans="1:18">
      <c r="A786" s="3" t="s">
        <v>2072</v>
      </c>
      <c r="B786" s="3" t="s">
        <v>2073</v>
      </c>
      <c r="C786" s="3" t="s">
        <v>2073</v>
      </c>
      <c r="D786" s="3" t="s">
        <v>2074</v>
      </c>
      <c r="E786" s="3" t="s">
        <v>120</v>
      </c>
      <c r="F786" s="3">
        <v>23.98</v>
      </c>
      <c r="G786" s="3" t="s">
        <v>121</v>
      </c>
      <c r="H786" s="3"/>
      <c r="I786" s="3" t="s">
        <v>122</v>
      </c>
      <c r="J786" s="3">
        <v>18</v>
      </c>
      <c r="K786" s="3">
        <v>16</v>
      </c>
      <c r="L786" s="3">
        <v>0</v>
      </c>
      <c r="M786" s="3">
        <v>2</v>
      </c>
      <c r="N786" s="3">
        <v>18</v>
      </c>
      <c r="O786" s="3">
        <v>0.16</v>
      </c>
      <c r="P786" s="3">
        <v>0</v>
      </c>
      <c r="Q786" s="3">
        <v>0</v>
      </c>
      <c r="R786" s="3">
        <v>0</v>
      </c>
    </row>
    <row r="787" spans="1:18">
      <c r="A787" s="3" t="s">
        <v>2075</v>
      </c>
      <c r="B787" s="3" t="s">
        <v>2076</v>
      </c>
      <c r="C787" s="3" t="s">
        <v>2076</v>
      </c>
      <c r="D787" s="3" t="s">
        <v>2077</v>
      </c>
      <c r="E787" s="3" t="s">
        <v>120</v>
      </c>
      <c r="F787" s="3">
        <v>23.98</v>
      </c>
      <c r="G787" s="3" t="s">
        <v>121</v>
      </c>
      <c r="H787" s="3"/>
      <c r="I787" s="3" t="s">
        <v>122</v>
      </c>
      <c r="J787" s="3">
        <v>52</v>
      </c>
      <c r="K787" s="3">
        <v>52</v>
      </c>
      <c r="L787" s="3">
        <v>0</v>
      </c>
      <c r="M787" s="3">
        <v>0</v>
      </c>
      <c r="N787" s="3">
        <v>52</v>
      </c>
      <c r="O787" s="3">
        <v>0.22</v>
      </c>
      <c r="P787" s="3">
        <v>0</v>
      </c>
      <c r="Q787" s="3">
        <v>0</v>
      </c>
      <c r="R787" s="3">
        <v>0</v>
      </c>
    </row>
    <row r="788" spans="1:18">
      <c r="A788" s="3" t="s">
        <v>2078</v>
      </c>
      <c r="B788" s="3" t="s">
        <v>2079</v>
      </c>
      <c r="C788" s="3" t="s">
        <v>2079</v>
      </c>
      <c r="D788" s="3" t="s">
        <v>2080</v>
      </c>
      <c r="E788" s="3" t="s">
        <v>120</v>
      </c>
      <c r="F788" s="3">
        <v>12.98</v>
      </c>
      <c r="G788" s="3" t="s">
        <v>121</v>
      </c>
      <c r="H788" s="3"/>
      <c r="I788" s="3" t="s">
        <v>122</v>
      </c>
      <c r="J788" s="3">
        <v>6</v>
      </c>
      <c r="K788" s="3">
        <v>6</v>
      </c>
      <c r="L788" s="3">
        <v>0</v>
      </c>
      <c r="M788" s="3">
        <v>0</v>
      </c>
      <c r="N788" s="3">
        <v>6</v>
      </c>
      <c r="O788" s="3">
        <v>0.19</v>
      </c>
      <c r="P788" s="3">
        <v>0</v>
      </c>
      <c r="Q788" s="3">
        <v>0</v>
      </c>
      <c r="R788" s="3">
        <v>0</v>
      </c>
    </row>
    <row r="789" spans="1:18">
      <c r="A789" s="3" t="s">
        <v>2081</v>
      </c>
      <c r="B789" s="3" t="s">
        <v>2082</v>
      </c>
      <c r="C789" s="3" t="s">
        <v>2082</v>
      </c>
      <c r="D789" s="3" t="s">
        <v>2083</v>
      </c>
      <c r="E789" s="3" t="s">
        <v>120</v>
      </c>
      <c r="F789" s="3">
        <v>23.98</v>
      </c>
      <c r="G789" s="3" t="s">
        <v>121</v>
      </c>
      <c r="H789" s="3"/>
      <c r="I789" s="3" t="s">
        <v>122</v>
      </c>
      <c r="J789" s="3">
        <v>10</v>
      </c>
      <c r="K789" s="3">
        <v>10</v>
      </c>
      <c r="L789" s="3">
        <v>0</v>
      </c>
      <c r="M789" s="3">
        <v>0</v>
      </c>
      <c r="N789" s="3">
        <v>10</v>
      </c>
      <c r="O789" s="3">
        <v>0.14</v>
      </c>
      <c r="P789" s="3">
        <v>0</v>
      </c>
      <c r="Q789" s="3">
        <v>0</v>
      </c>
      <c r="R789" s="3">
        <v>0</v>
      </c>
    </row>
    <row r="790" spans="1:18">
      <c r="A790" s="3" t="s">
        <v>2084</v>
      </c>
      <c r="B790" s="3" t="s">
        <v>2085</v>
      </c>
      <c r="C790" s="3" t="s">
        <v>2085</v>
      </c>
      <c r="D790" s="3" t="s">
        <v>2086</v>
      </c>
      <c r="E790" s="3" t="s">
        <v>120</v>
      </c>
      <c r="F790" s="3">
        <v>23.98</v>
      </c>
      <c r="G790" s="3" t="s">
        <v>121</v>
      </c>
      <c r="H790" s="3"/>
      <c r="I790" s="3" t="s">
        <v>122</v>
      </c>
      <c r="J790" s="3">
        <v>19</v>
      </c>
      <c r="K790" s="3">
        <v>18</v>
      </c>
      <c r="L790" s="3">
        <v>0</v>
      </c>
      <c r="M790" s="3">
        <v>1</v>
      </c>
      <c r="N790" s="3">
        <v>19</v>
      </c>
      <c r="O790" s="3">
        <v>0.12</v>
      </c>
      <c r="P790" s="3">
        <v>0</v>
      </c>
      <c r="Q790" s="3">
        <v>0</v>
      </c>
      <c r="R790" s="3">
        <v>0</v>
      </c>
    </row>
    <row r="791" spans="1:18">
      <c r="A791" s="3" t="s">
        <v>2087</v>
      </c>
      <c r="B791" s="3" t="s">
        <v>2088</v>
      </c>
      <c r="C791" s="3" t="s">
        <v>2088</v>
      </c>
      <c r="D791" s="3" t="s">
        <v>2089</v>
      </c>
      <c r="E791" s="3" t="s">
        <v>120</v>
      </c>
      <c r="F791" s="3">
        <v>23.98</v>
      </c>
      <c r="G791" s="3" t="s">
        <v>121</v>
      </c>
      <c r="H791" s="3"/>
      <c r="I791" s="3" t="s">
        <v>122</v>
      </c>
      <c r="J791" s="3">
        <v>37</v>
      </c>
      <c r="K791" s="3">
        <v>37</v>
      </c>
      <c r="L791" s="3">
        <v>0</v>
      </c>
      <c r="M791" s="3">
        <v>0</v>
      </c>
      <c r="N791" s="3">
        <v>37</v>
      </c>
      <c r="O791" s="3">
        <v>0.13</v>
      </c>
      <c r="P791" s="3">
        <v>0</v>
      </c>
      <c r="Q791" s="3">
        <v>0</v>
      </c>
      <c r="R791" s="3">
        <v>0</v>
      </c>
    </row>
    <row r="792" spans="1:18">
      <c r="A792" s="3" t="s">
        <v>2090</v>
      </c>
      <c r="B792" s="3" t="s">
        <v>2091</v>
      </c>
      <c r="C792" s="3" t="s">
        <v>2091</v>
      </c>
      <c r="D792" s="3" t="s">
        <v>2092</v>
      </c>
      <c r="E792" s="3" t="s">
        <v>120</v>
      </c>
      <c r="F792" s="3">
        <v>23.98</v>
      </c>
      <c r="G792" s="3" t="s">
        <v>121</v>
      </c>
      <c r="H792" s="3"/>
      <c r="I792" s="3" t="s">
        <v>122</v>
      </c>
      <c r="J792" s="3">
        <v>16</v>
      </c>
      <c r="K792" s="3">
        <v>16</v>
      </c>
      <c r="L792" s="3">
        <v>0</v>
      </c>
      <c r="M792" s="3">
        <v>0</v>
      </c>
      <c r="N792" s="3">
        <v>16</v>
      </c>
      <c r="O792" s="3">
        <v>0.12</v>
      </c>
      <c r="P792" s="3">
        <v>0</v>
      </c>
      <c r="Q792" s="3">
        <v>0</v>
      </c>
      <c r="R792" s="3">
        <v>0</v>
      </c>
    </row>
    <row r="793" spans="1:18">
      <c r="A793" s="3" t="s">
        <v>2093</v>
      </c>
      <c r="B793" s="3" t="s">
        <v>2094</v>
      </c>
      <c r="C793" s="3" t="s">
        <v>2094</v>
      </c>
      <c r="D793" s="3" t="s">
        <v>2095</v>
      </c>
      <c r="E793" s="3" t="s">
        <v>120</v>
      </c>
      <c r="F793" s="3">
        <v>18.98</v>
      </c>
      <c r="G793" s="3" t="s">
        <v>121</v>
      </c>
      <c r="H793" s="3"/>
      <c r="I793" s="3" t="s">
        <v>122</v>
      </c>
      <c r="J793" s="3">
        <v>27</v>
      </c>
      <c r="K793" s="3">
        <v>27</v>
      </c>
      <c r="L793" s="3">
        <v>0</v>
      </c>
      <c r="M793" s="3">
        <v>0</v>
      </c>
      <c r="N793" s="3">
        <v>27</v>
      </c>
      <c r="O793" s="3">
        <v>0.1</v>
      </c>
      <c r="P793" s="3">
        <v>0</v>
      </c>
      <c r="Q793" s="3">
        <v>0</v>
      </c>
      <c r="R793" s="3">
        <v>0</v>
      </c>
    </row>
    <row r="794" spans="1:18">
      <c r="A794" s="3" t="s">
        <v>2096</v>
      </c>
      <c r="B794" s="3" t="s">
        <v>2097</v>
      </c>
      <c r="C794" s="3" t="s">
        <v>2097</v>
      </c>
      <c r="D794" s="3" t="s">
        <v>2098</v>
      </c>
      <c r="E794" s="3" t="s">
        <v>120</v>
      </c>
      <c r="F794" s="3">
        <v>23.98</v>
      </c>
      <c r="G794" s="3" t="s">
        <v>121</v>
      </c>
      <c r="H794" s="3"/>
      <c r="I794" s="3" t="s">
        <v>122</v>
      </c>
      <c r="J794" s="3">
        <v>1</v>
      </c>
      <c r="K794" s="3">
        <v>1</v>
      </c>
      <c r="L794" s="3">
        <v>0</v>
      </c>
      <c r="M794" s="3">
        <v>0</v>
      </c>
      <c r="N794" s="3">
        <v>1</v>
      </c>
      <c r="O794" s="3">
        <v>0.11</v>
      </c>
      <c r="P794" s="3">
        <v>0</v>
      </c>
      <c r="Q794" s="3">
        <v>0</v>
      </c>
      <c r="R794" s="3">
        <v>0</v>
      </c>
    </row>
    <row r="795" spans="1:18">
      <c r="A795" s="3" t="s">
        <v>2099</v>
      </c>
      <c r="B795" s="3" t="s">
        <v>2100</v>
      </c>
      <c r="C795" s="3" t="s">
        <v>2100</v>
      </c>
      <c r="D795" s="3" t="s">
        <v>2101</v>
      </c>
      <c r="E795" s="3" t="s">
        <v>120</v>
      </c>
      <c r="F795" s="3">
        <v>23.98</v>
      </c>
      <c r="G795" s="3" t="s">
        <v>121</v>
      </c>
      <c r="H795" s="3"/>
      <c r="I795" s="3" t="s">
        <v>122</v>
      </c>
      <c r="J795" s="3">
        <v>0</v>
      </c>
      <c r="K795" s="3">
        <v>0</v>
      </c>
      <c r="L795" s="3">
        <v>0</v>
      </c>
      <c r="M795" s="3">
        <v>0</v>
      </c>
      <c r="N795" s="3">
        <v>0</v>
      </c>
      <c r="O795" s="3">
        <v>0.13</v>
      </c>
      <c r="P795" s="3">
        <v>0</v>
      </c>
      <c r="Q795" s="3">
        <v>0</v>
      </c>
      <c r="R795" s="3">
        <v>0</v>
      </c>
    </row>
    <row r="796" spans="1:18">
      <c r="A796" s="3" t="s">
        <v>2102</v>
      </c>
      <c r="B796" s="3" t="s">
        <v>2103</v>
      </c>
      <c r="C796" s="3" t="s">
        <v>2103</v>
      </c>
      <c r="D796" s="3" t="s">
        <v>2104</v>
      </c>
      <c r="E796" s="3" t="s">
        <v>120</v>
      </c>
      <c r="F796" s="3">
        <v>23.98</v>
      </c>
      <c r="G796" s="3" t="s">
        <v>121</v>
      </c>
      <c r="H796" s="3"/>
      <c r="I796" s="3" t="s">
        <v>122</v>
      </c>
      <c r="J796" s="3">
        <v>0</v>
      </c>
      <c r="K796" s="3">
        <v>0</v>
      </c>
      <c r="L796" s="3">
        <v>0</v>
      </c>
      <c r="M796" s="3">
        <v>0</v>
      </c>
      <c r="N796" s="3">
        <v>0</v>
      </c>
      <c r="O796" s="3">
        <v>0.16</v>
      </c>
      <c r="P796" s="3">
        <v>0</v>
      </c>
      <c r="Q796" s="3">
        <v>0</v>
      </c>
      <c r="R796" s="3">
        <v>0</v>
      </c>
    </row>
    <row r="797" spans="1:18">
      <c r="A797" s="3" t="s">
        <v>2105</v>
      </c>
      <c r="B797" s="3" t="s">
        <v>2106</v>
      </c>
      <c r="C797" s="3" t="s">
        <v>2106</v>
      </c>
      <c r="D797" s="3"/>
      <c r="E797" s="3" t="s">
        <v>20</v>
      </c>
      <c r="F797" s="3"/>
      <c r="G797" s="3"/>
      <c r="H797" s="3"/>
      <c r="I797" s="3"/>
      <c r="J797" s="3">
        <v>0</v>
      </c>
      <c r="K797" s="3">
        <v>0</v>
      </c>
      <c r="L797" s="3">
        <v>0</v>
      </c>
      <c r="M797" s="3">
        <v>0</v>
      </c>
      <c r="N797" s="3">
        <v>0</v>
      </c>
      <c r="O797" s="3"/>
      <c r="P797" s="3">
        <v>0</v>
      </c>
      <c r="Q797" s="3">
        <v>0</v>
      </c>
      <c r="R797" s="3">
        <v>0</v>
      </c>
    </row>
    <row r="798" spans="1:18">
      <c r="A798" s="3" t="s">
        <v>2107</v>
      </c>
      <c r="B798" s="3" t="s">
        <v>2108</v>
      </c>
      <c r="C798" s="3" t="s">
        <v>2108</v>
      </c>
      <c r="D798" s="3"/>
      <c r="E798" s="3" t="s">
        <v>20</v>
      </c>
      <c r="F798" s="3"/>
      <c r="G798" s="3"/>
      <c r="H798" s="3"/>
      <c r="I798" s="3"/>
      <c r="J798" s="3">
        <v>0</v>
      </c>
      <c r="K798" s="3">
        <v>0</v>
      </c>
      <c r="L798" s="3">
        <v>0</v>
      </c>
      <c r="M798" s="3">
        <v>0</v>
      </c>
      <c r="N798" s="3">
        <v>0</v>
      </c>
      <c r="O798" s="3"/>
      <c r="P798" s="3">
        <v>0</v>
      </c>
      <c r="Q798" s="3">
        <v>0</v>
      </c>
      <c r="R798" s="3">
        <v>0</v>
      </c>
    </row>
    <row r="799" spans="1:18">
      <c r="A799" s="3" t="s">
        <v>2109</v>
      </c>
      <c r="B799" s="3" t="s">
        <v>2110</v>
      </c>
      <c r="C799" s="3" t="s">
        <v>2110</v>
      </c>
      <c r="D799" s="3"/>
      <c r="E799" s="3" t="s">
        <v>20</v>
      </c>
      <c r="F799" s="3"/>
      <c r="G799" s="3"/>
      <c r="H799" s="3"/>
      <c r="I799" s="3"/>
      <c r="J799" s="3">
        <v>0</v>
      </c>
      <c r="K799" s="3">
        <v>0</v>
      </c>
      <c r="L799" s="3">
        <v>0</v>
      </c>
      <c r="M799" s="3">
        <v>0</v>
      </c>
      <c r="N799" s="3">
        <v>0</v>
      </c>
      <c r="O799" s="3"/>
      <c r="P799" s="3">
        <v>0</v>
      </c>
      <c r="Q799" s="3">
        <v>0</v>
      </c>
      <c r="R799" s="3">
        <v>0</v>
      </c>
    </row>
    <row r="800" spans="1:18">
      <c r="A800" s="3" t="s">
        <v>2111</v>
      </c>
      <c r="B800" s="3" t="s">
        <v>2112</v>
      </c>
      <c r="C800" s="3" t="s">
        <v>2112</v>
      </c>
      <c r="D800" s="3" t="s">
        <v>2113</v>
      </c>
      <c r="E800" s="3" t="s">
        <v>120</v>
      </c>
      <c r="F800" s="3">
        <v>23.98</v>
      </c>
      <c r="G800" s="3" t="s">
        <v>121</v>
      </c>
      <c r="H800" s="3"/>
      <c r="I800" s="3" t="s">
        <v>122</v>
      </c>
      <c r="J800" s="3">
        <v>0</v>
      </c>
      <c r="K800" s="3">
        <v>0</v>
      </c>
      <c r="L800" s="3">
        <v>0</v>
      </c>
      <c r="M800" s="3">
        <v>0</v>
      </c>
      <c r="N800" s="3">
        <v>0</v>
      </c>
      <c r="O800" s="3">
        <v>0.16</v>
      </c>
      <c r="P800" s="3">
        <v>0</v>
      </c>
      <c r="Q800" s="3">
        <v>0</v>
      </c>
      <c r="R800" s="3">
        <v>0</v>
      </c>
    </row>
    <row r="801" spans="1:18">
      <c r="A801" s="3" t="s">
        <v>2114</v>
      </c>
      <c r="B801" s="3" t="s">
        <v>2115</v>
      </c>
      <c r="C801" s="3" t="s">
        <v>2115</v>
      </c>
      <c r="D801" s="3"/>
      <c r="E801" s="3" t="s">
        <v>20</v>
      </c>
      <c r="F801" s="3"/>
      <c r="G801" s="3"/>
      <c r="H801" s="3"/>
      <c r="I801" s="3"/>
      <c r="J801" s="3">
        <v>0</v>
      </c>
      <c r="K801" s="3">
        <v>0</v>
      </c>
      <c r="L801" s="3">
        <v>0</v>
      </c>
      <c r="M801" s="3">
        <v>0</v>
      </c>
      <c r="N801" s="3">
        <v>0</v>
      </c>
      <c r="O801" s="3"/>
      <c r="P801" s="3">
        <v>0</v>
      </c>
      <c r="Q801" s="3">
        <v>0</v>
      </c>
      <c r="R801" s="3">
        <v>0</v>
      </c>
    </row>
    <row r="802" spans="1:18">
      <c r="A802" s="3" t="s">
        <v>2116</v>
      </c>
      <c r="B802" s="3" t="s">
        <v>2117</v>
      </c>
      <c r="C802" s="3" t="s">
        <v>2117</v>
      </c>
      <c r="D802" s="3" t="s">
        <v>2118</v>
      </c>
      <c r="E802" s="3" t="s">
        <v>120</v>
      </c>
      <c r="F802" s="3">
        <v>23.98</v>
      </c>
      <c r="G802" s="3" t="s">
        <v>121</v>
      </c>
      <c r="H802" s="3"/>
      <c r="I802" s="3" t="s">
        <v>122</v>
      </c>
      <c r="J802" s="3">
        <v>3</v>
      </c>
      <c r="K802" s="3">
        <v>3</v>
      </c>
      <c r="L802" s="3">
        <v>0</v>
      </c>
      <c r="M802" s="3">
        <v>0</v>
      </c>
      <c r="N802" s="3">
        <v>3</v>
      </c>
      <c r="O802" s="3">
        <v>0.08</v>
      </c>
      <c r="P802" s="3">
        <v>0</v>
      </c>
      <c r="Q802" s="3">
        <v>0</v>
      </c>
      <c r="R802" s="3">
        <v>0</v>
      </c>
    </row>
    <row r="803" spans="1:18">
      <c r="A803" s="3" t="s">
        <v>2119</v>
      </c>
      <c r="B803" s="3" t="s">
        <v>2120</v>
      </c>
      <c r="C803" s="3" t="s">
        <v>2120</v>
      </c>
      <c r="D803" s="3" t="s">
        <v>2121</v>
      </c>
      <c r="E803" s="3" t="s">
        <v>120</v>
      </c>
      <c r="F803" s="3">
        <v>23.98</v>
      </c>
      <c r="G803" s="3" t="s">
        <v>121</v>
      </c>
      <c r="H803" s="3"/>
      <c r="I803" s="3" t="s">
        <v>122</v>
      </c>
      <c r="J803" s="3">
        <v>25</v>
      </c>
      <c r="K803" s="3">
        <v>25</v>
      </c>
      <c r="L803" s="3">
        <v>0</v>
      </c>
      <c r="M803" s="3">
        <v>0</v>
      </c>
      <c r="N803" s="3">
        <v>38</v>
      </c>
      <c r="O803" s="3">
        <v>0.11</v>
      </c>
      <c r="P803" s="3">
        <v>0</v>
      </c>
      <c r="Q803" s="3">
        <v>13</v>
      </c>
      <c r="R803" s="3">
        <v>0</v>
      </c>
    </row>
    <row r="804" spans="1:18">
      <c r="A804" s="3" t="s">
        <v>2122</v>
      </c>
      <c r="B804" s="3" t="s">
        <v>2123</v>
      </c>
      <c r="C804" s="3" t="s">
        <v>2123</v>
      </c>
      <c r="D804" s="3" t="s">
        <v>2124</v>
      </c>
      <c r="E804" s="3" t="s">
        <v>120</v>
      </c>
      <c r="F804" s="3">
        <v>23.98</v>
      </c>
      <c r="G804" s="3" t="s">
        <v>121</v>
      </c>
      <c r="H804" s="3"/>
      <c r="I804" s="3" t="s">
        <v>122</v>
      </c>
      <c r="J804" s="3">
        <v>11</v>
      </c>
      <c r="K804" s="3">
        <v>11</v>
      </c>
      <c r="L804" s="3">
        <v>0</v>
      </c>
      <c r="M804" s="3">
        <v>0</v>
      </c>
      <c r="N804" s="3">
        <v>11</v>
      </c>
      <c r="O804" s="3">
        <v>0.12</v>
      </c>
      <c r="P804" s="3">
        <v>0</v>
      </c>
      <c r="Q804" s="3">
        <v>0</v>
      </c>
      <c r="R804" s="3">
        <v>0</v>
      </c>
    </row>
    <row r="805" spans="1:18">
      <c r="A805" s="3" t="s">
        <v>2125</v>
      </c>
      <c r="B805" s="3" t="s">
        <v>2115</v>
      </c>
      <c r="C805" s="3" t="s">
        <v>2115</v>
      </c>
      <c r="D805" s="3"/>
      <c r="E805" s="3" t="s">
        <v>20</v>
      </c>
      <c r="F805" s="3"/>
      <c r="G805" s="3"/>
      <c r="H805" s="3"/>
      <c r="I805" s="3"/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/>
      <c r="P805" s="3">
        <v>0</v>
      </c>
      <c r="Q805" s="3">
        <v>0</v>
      </c>
      <c r="R805" s="3">
        <v>0</v>
      </c>
    </row>
    <row r="806" spans="1:18">
      <c r="A806" s="3" t="s">
        <v>2126</v>
      </c>
      <c r="B806" s="3" t="s">
        <v>2127</v>
      </c>
      <c r="C806" s="3" t="s">
        <v>2127</v>
      </c>
      <c r="D806" s="3" t="s">
        <v>2128</v>
      </c>
      <c r="E806" s="3" t="s">
        <v>120</v>
      </c>
      <c r="F806" s="3">
        <v>23.98</v>
      </c>
      <c r="G806" s="3" t="s">
        <v>121</v>
      </c>
      <c r="H806" s="3"/>
      <c r="I806" s="3" t="s">
        <v>122</v>
      </c>
      <c r="J806" s="3">
        <v>0</v>
      </c>
      <c r="K806" s="3">
        <v>0</v>
      </c>
      <c r="L806" s="3">
        <v>0</v>
      </c>
      <c r="M806" s="3">
        <v>0</v>
      </c>
      <c r="N806" s="3">
        <v>0</v>
      </c>
      <c r="O806" s="3">
        <v>0.07</v>
      </c>
      <c r="P806" s="3">
        <v>0</v>
      </c>
      <c r="Q806" s="3">
        <v>0</v>
      </c>
      <c r="R806" s="3">
        <v>0</v>
      </c>
    </row>
    <row r="807" spans="1:18">
      <c r="A807" s="3" t="s">
        <v>2129</v>
      </c>
      <c r="B807" s="3" t="s">
        <v>2130</v>
      </c>
      <c r="C807" s="3" t="s">
        <v>2130</v>
      </c>
      <c r="D807" s="3" t="s">
        <v>2131</v>
      </c>
      <c r="E807" s="3" t="s">
        <v>120</v>
      </c>
      <c r="F807" s="3">
        <v>22.98</v>
      </c>
      <c r="G807" s="3" t="s">
        <v>121</v>
      </c>
      <c r="H807" s="3"/>
      <c r="I807" s="3" t="s">
        <v>122</v>
      </c>
      <c r="J807" s="3">
        <v>0</v>
      </c>
      <c r="K807" s="3">
        <v>0</v>
      </c>
      <c r="L807" s="3">
        <v>0</v>
      </c>
      <c r="M807" s="3">
        <v>0</v>
      </c>
      <c r="N807" s="3">
        <v>0</v>
      </c>
      <c r="O807" s="3">
        <v>0.14</v>
      </c>
      <c r="P807" s="3">
        <v>0</v>
      </c>
      <c r="Q807" s="3">
        <v>0</v>
      </c>
      <c r="R807" s="3">
        <v>0</v>
      </c>
    </row>
    <row r="808" spans="1:18">
      <c r="A808" s="3" t="s">
        <v>2132</v>
      </c>
      <c r="B808" s="3" t="s">
        <v>2133</v>
      </c>
      <c r="C808" s="3" t="s">
        <v>2133</v>
      </c>
      <c r="D808" s="3" t="s">
        <v>2134</v>
      </c>
      <c r="E808" s="3" t="s">
        <v>120</v>
      </c>
      <c r="F808" s="3">
        <v>22.98</v>
      </c>
      <c r="G808" s="3" t="s">
        <v>121</v>
      </c>
      <c r="H808" s="3"/>
      <c r="I808" s="3" t="s">
        <v>122</v>
      </c>
      <c r="J808" s="3">
        <v>15</v>
      </c>
      <c r="K808" s="3">
        <v>15</v>
      </c>
      <c r="L808" s="3">
        <v>0</v>
      </c>
      <c r="M808" s="3">
        <v>0</v>
      </c>
      <c r="N808" s="3">
        <v>15</v>
      </c>
      <c r="O808" s="3">
        <v>0.14</v>
      </c>
      <c r="P808" s="3">
        <v>0</v>
      </c>
      <c r="Q808" s="3">
        <v>0</v>
      </c>
      <c r="R808" s="3">
        <v>0</v>
      </c>
    </row>
    <row r="809" spans="1:18">
      <c r="A809" s="3" t="s">
        <v>2135</v>
      </c>
      <c r="B809" s="3" t="s">
        <v>2136</v>
      </c>
      <c r="C809" s="3" t="s">
        <v>2136</v>
      </c>
      <c r="D809" s="3" t="s">
        <v>2137</v>
      </c>
      <c r="E809" s="3" t="s">
        <v>120</v>
      </c>
      <c r="F809" s="3">
        <v>22.98</v>
      </c>
      <c r="G809" s="3" t="s">
        <v>121</v>
      </c>
      <c r="H809" s="3"/>
      <c r="I809" s="3" t="s">
        <v>122</v>
      </c>
      <c r="J809" s="3">
        <v>27</v>
      </c>
      <c r="K809" s="3">
        <v>25</v>
      </c>
      <c r="L809" s="3">
        <v>0</v>
      </c>
      <c r="M809" s="3">
        <v>2</v>
      </c>
      <c r="N809" s="3">
        <v>39</v>
      </c>
      <c r="O809" s="3">
        <v>0.14</v>
      </c>
      <c r="P809" s="3">
        <v>0</v>
      </c>
      <c r="Q809" s="3">
        <v>12</v>
      </c>
      <c r="R809" s="3">
        <v>0</v>
      </c>
    </row>
    <row r="810" spans="1:18">
      <c r="A810" s="3" t="s">
        <v>2138</v>
      </c>
      <c r="B810" s="3" t="s">
        <v>2139</v>
      </c>
      <c r="C810" s="3" t="s">
        <v>2139</v>
      </c>
      <c r="D810" s="3" t="s">
        <v>2140</v>
      </c>
      <c r="E810" s="3" t="s">
        <v>120</v>
      </c>
      <c r="F810" s="3">
        <v>22.98</v>
      </c>
      <c r="G810" s="3" t="s">
        <v>121</v>
      </c>
      <c r="H810" s="3"/>
      <c r="I810" s="3" t="s">
        <v>122</v>
      </c>
      <c r="J810" s="3">
        <v>9</v>
      </c>
      <c r="K810" s="3">
        <v>9</v>
      </c>
      <c r="L810" s="3">
        <v>0</v>
      </c>
      <c r="M810" s="3">
        <v>0</v>
      </c>
      <c r="N810" s="3">
        <v>9</v>
      </c>
      <c r="O810" s="3">
        <v>0.14</v>
      </c>
      <c r="P810" s="3">
        <v>0</v>
      </c>
      <c r="Q810" s="3">
        <v>0</v>
      </c>
      <c r="R810" s="3">
        <v>0</v>
      </c>
    </row>
    <row r="811" spans="1:18">
      <c r="A811" s="3" t="s">
        <v>2141</v>
      </c>
      <c r="B811" s="3" t="s">
        <v>2142</v>
      </c>
      <c r="C811" s="3" t="s">
        <v>2142</v>
      </c>
      <c r="D811" s="3" t="s">
        <v>2143</v>
      </c>
      <c r="E811" s="3" t="s">
        <v>120</v>
      </c>
      <c r="F811" s="3">
        <v>22.98</v>
      </c>
      <c r="G811" s="3" t="s">
        <v>121</v>
      </c>
      <c r="H811" s="3"/>
      <c r="I811" s="3" t="s">
        <v>122</v>
      </c>
      <c r="J811" s="3">
        <v>0</v>
      </c>
      <c r="K811" s="3">
        <v>0</v>
      </c>
      <c r="L811" s="3">
        <v>0</v>
      </c>
      <c r="M811" s="3">
        <v>0</v>
      </c>
      <c r="N811" s="3">
        <v>0</v>
      </c>
      <c r="O811" s="3">
        <v>0.14</v>
      </c>
      <c r="P811" s="3">
        <v>0</v>
      </c>
      <c r="Q811" s="3">
        <v>0</v>
      </c>
      <c r="R811" s="3">
        <v>0</v>
      </c>
    </row>
    <row r="812" spans="1:18">
      <c r="A812" s="3" t="s">
        <v>2144</v>
      </c>
      <c r="B812" s="3" t="s">
        <v>2145</v>
      </c>
      <c r="C812" s="3" t="s">
        <v>2145</v>
      </c>
      <c r="D812" s="3" t="s">
        <v>2146</v>
      </c>
      <c r="E812" s="3" t="s">
        <v>120</v>
      </c>
      <c r="F812" s="3">
        <v>22.98</v>
      </c>
      <c r="G812" s="3" t="s">
        <v>121</v>
      </c>
      <c r="H812" s="3"/>
      <c r="I812" s="3" t="s">
        <v>122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0.14</v>
      </c>
      <c r="P812" s="3">
        <v>0</v>
      </c>
      <c r="Q812" s="3">
        <v>0</v>
      </c>
      <c r="R812" s="3">
        <v>0</v>
      </c>
    </row>
    <row r="813" spans="1:18">
      <c r="A813" s="3" t="s">
        <v>2147</v>
      </c>
      <c r="B813" s="3" t="s">
        <v>2148</v>
      </c>
      <c r="C813" s="3" t="s">
        <v>2148</v>
      </c>
      <c r="D813" s="3" t="s">
        <v>2149</v>
      </c>
      <c r="E813" s="3" t="s">
        <v>120</v>
      </c>
      <c r="F813" s="3">
        <v>22.98</v>
      </c>
      <c r="G813" s="3" t="s">
        <v>121</v>
      </c>
      <c r="H813" s="3"/>
      <c r="I813" s="3" t="s">
        <v>122</v>
      </c>
      <c r="J813" s="3">
        <v>15</v>
      </c>
      <c r="K813" s="3">
        <v>15</v>
      </c>
      <c r="L813" s="3">
        <v>0</v>
      </c>
      <c r="M813" s="3">
        <v>0</v>
      </c>
      <c r="N813" s="3">
        <v>15</v>
      </c>
      <c r="O813" s="3">
        <v>0.14</v>
      </c>
      <c r="P813" s="3">
        <v>0</v>
      </c>
      <c r="Q813" s="3">
        <v>0</v>
      </c>
      <c r="R813" s="3">
        <v>0</v>
      </c>
    </row>
    <row r="814" spans="1:18">
      <c r="A814" s="3" t="s">
        <v>2150</v>
      </c>
      <c r="B814" s="3" t="s">
        <v>2151</v>
      </c>
      <c r="C814" s="3" t="s">
        <v>2151</v>
      </c>
      <c r="D814" s="3" t="s">
        <v>2152</v>
      </c>
      <c r="E814" s="3" t="s">
        <v>120</v>
      </c>
      <c r="F814" s="3">
        <v>22.98</v>
      </c>
      <c r="G814" s="3" t="s">
        <v>121</v>
      </c>
      <c r="H814" s="3"/>
      <c r="I814" s="3" t="s">
        <v>122</v>
      </c>
      <c r="J814" s="3">
        <v>5</v>
      </c>
      <c r="K814" s="3">
        <v>4</v>
      </c>
      <c r="L814" s="3">
        <v>0</v>
      </c>
      <c r="M814" s="3">
        <v>1</v>
      </c>
      <c r="N814" s="3">
        <v>5</v>
      </c>
      <c r="O814" s="3">
        <v>0.14</v>
      </c>
      <c r="P814" s="3">
        <v>0</v>
      </c>
      <c r="Q814" s="3">
        <v>0</v>
      </c>
      <c r="R814" s="3">
        <v>0</v>
      </c>
    </row>
    <row r="815" spans="1:18">
      <c r="A815" s="3" t="s">
        <v>2153</v>
      </c>
      <c r="B815" s="3" t="s">
        <v>2154</v>
      </c>
      <c r="C815" s="3" t="s">
        <v>2154</v>
      </c>
      <c r="D815" s="3" t="s">
        <v>2155</v>
      </c>
      <c r="E815" s="3" t="s">
        <v>120</v>
      </c>
      <c r="F815" s="3">
        <v>22.98</v>
      </c>
      <c r="G815" s="3" t="s">
        <v>121</v>
      </c>
      <c r="H815" s="3"/>
      <c r="I815" s="3" t="s">
        <v>122</v>
      </c>
      <c r="J815" s="3">
        <v>0</v>
      </c>
      <c r="K815" s="3">
        <v>0</v>
      </c>
      <c r="L815" s="3">
        <v>0</v>
      </c>
      <c r="M815" s="3">
        <v>0</v>
      </c>
      <c r="N815" s="3">
        <v>11</v>
      </c>
      <c r="O815" s="3">
        <v>0.14</v>
      </c>
      <c r="P815" s="3">
        <v>0</v>
      </c>
      <c r="Q815" s="3">
        <v>11</v>
      </c>
      <c r="R815" s="3">
        <v>0</v>
      </c>
    </row>
    <row r="816" spans="1:18">
      <c r="A816" s="3" t="s">
        <v>2156</v>
      </c>
      <c r="B816" s="3" t="s">
        <v>2157</v>
      </c>
      <c r="C816" s="3" t="s">
        <v>2157</v>
      </c>
      <c r="D816" s="3" t="s">
        <v>2158</v>
      </c>
      <c r="E816" s="3" t="s">
        <v>120</v>
      </c>
      <c r="F816" s="3">
        <v>22.98</v>
      </c>
      <c r="G816" s="3" t="s">
        <v>121</v>
      </c>
      <c r="H816" s="3"/>
      <c r="I816" s="3" t="s">
        <v>122</v>
      </c>
      <c r="J816" s="3">
        <v>7</v>
      </c>
      <c r="K816" s="3">
        <v>7</v>
      </c>
      <c r="L816" s="3">
        <v>0</v>
      </c>
      <c r="M816" s="3">
        <v>0</v>
      </c>
      <c r="N816" s="3">
        <v>7</v>
      </c>
      <c r="O816" s="3">
        <v>0.14</v>
      </c>
      <c r="P816" s="3">
        <v>0</v>
      </c>
      <c r="Q816" s="3">
        <v>0</v>
      </c>
      <c r="R816" s="3">
        <v>0</v>
      </c>
    </row>
    <row r="817" spans="1:18">
      <c r="A817" s="3" t="s">
        <v>2159</v>
      </c>
      <c r="B817" s="3" t="s">
        <v>2160</v>
      </c>
      <c r="C817" s="3" t="s">
        <v>2160</v>
      </c>
      <c r="D817" s="3" t="s">
        <v>2161</v>
      </c>
      <c r="E817" s="3" t="s">
        <v>120</v>
      </c>
      <c r="F817" s="3">
        <v>22.98</v>
      </c>
      <c r="G817" s="3" t="s">
        <v>121</v>
      </c>
      <c r="H817" s="3"/>
      <c r="I817" s="3" t="s">
        <v>122</v>
      </c>
      <c r="J817" s="3">
        <v>0</v>
      </c>
      <c r="K817" s="3">
        <v>0</v>
      </c>
      <c r="L817" s="3">
        <v>0</v>
      </c>
      <c r="M817" s="3">
        <v>0</v>
      </c>
      <c r="N817" s="3">
        <v>0</v>
      </c>
      <c r="O817" s="3">
        <v>0.14</v>
      </c>
      <c r="P817" s="3">
        <v>0</v>
      </c>
      <c r="Q817" s="3">
        <v>0</v>
      </c>
      <c r="R817" s="3">
        <v>0</v>
      </c>
    </row>
    <row r="818" spans="1:18">
      <c r="A818" s="3" t="s">
        <v>2162</v>
      </c>
      <c r="B818" s="3" t="s">
        <v>2163</v>
      </c>
      <c r="C818" s="3" t="s">
        <v>2163</v>
      </c>
      <c r="D818" s="3" t="s">
        <v>2164</v>
      </c>
      <c r="E818" s="3" t="s">
        <v>120</v>
      </c>
      <c r="F818" s="3">
        <v>22.98</v>
      </c>
      <c r="G818" s="3" t="s">
        <v>121</v>
      </c>
      <c r="H818" s="3"/>
      <c r="I818" s="3" t="s">
        <v>122</v>
      </c>
      <c r="J818" s="3">
        <v>4</v>
      </c>
      <c r="K818" s="3">
        <v>4</v>
      </c>
      <c r="L818" s="3">
        <v>0</v>
      </c>
      <c r="M818" s="3">
        <v>0</v>
      </c>
      <c r="N818" s="3">
        <v>18</v>
      </c>
      <c r="O818" s="3">
        <v>0.14</v>
      </c>
      <c r="P818" s="3">
        <v>0</v>
      </c>
      <c r="Q818" s="3">
        <v>14</v>
      </c>
      <c r="R818" s="3">
        <v>0</v>
      </c>
    </row>
    <row r="819" spans="1:18">
      <c r="A819" s="3" t="s">
        <v>2165</v>
      </c>
      <c r="B819" s="3" t="s">
        <v>2166</v>
      </c>
      <c r="C819" s="3" t="s">
        <v>2166</v>
      </c>
      <c r="D819" s="3" t="s">
        <v>2167</v>
      </c>
      <c r="E819" s="3" t="s">
        <v>120</v>
      </c>
      <c r="F819" s="3">
        <v>22.98</v>
      </c>
      <c r="G819" s="3" t="s">
        <v>121</v>
      </c>
      <c r="H819" s="3"/>
      <c r="I819" s="3" t="s">
        <v>122</v>
      </c>
      <c r="J819" s="3">
        <v>17</v>
      </c>
      <c r="K819" s="3">
        <v>17</v>
      </c>
      <c r="L819" s="3">
        <v>0</v>
      </c>
      <c r="M819" s="3">
        <v>0</v>
      </c>
      <c r="N819" s="3">
        <v>17</v>
      </c>
      <c r="O819" s="3">
        <v>0.14</v>
      </c>
      <c r="P819" s="3">
        <v>0</v>
      </c>
      <c r="Q819" s="3">
        <v>0</v>
      </c>
      <c r="R819" s="3">
        <v>0</v>
      </c>
    </row>
    <row r="820" spans="1:18">
      <c r="A820" s="3" t="s">
        <v>2168</v>
      </c>
      <c r="B820" s="3" t="s">
        <v>2169</v>
      </c>
      <c r="C820" s="3" t="s">
        <v>2169</v>
      </c>
      <c r="D820" s="3" t="s">
        <v>2170</v>
      </c>
      <c r="E820" s="3" t="s">
        <v>120</v>
      </c>
      <c r="F820" s="3">
        <v>22.98</v>
      </c>
      <c r="G820" s="3" t="s">
        <v>121</v>
      </c>
      <c r="H820" s="3"/>
      <c r="I820" s="3" t="s">
        <v>122</v>
      </c>
      <c r="J820" s="3">
        <v>5</v>
      </c>
      <c r="K820" s="3">
        <v>5</v>
      </c>
      <c r="L820" s="3">
        <v>0</v>
      </c>
      <c r="M820" s="3">
        <v>0</v>
      </c>
      <c r="N820" s="3">
        <v>5</v>
      </c>
      <c r="O820" s="3">
        <v>0.14</v>
      </c>
      <c r="P820" s="3">
        <v>0</v>
      </c>
      <c r="Q820" s="3">
        <v>0</v>
      </c>
      <c r="R820" s="3">
        <v>0</v>
      </c>
    </row>
    <row r="821" spans="1:18">
      <c r="A821" s="3" t="s">
        <v>2171</v>
      </c>
      <c r="B821" s="3" t="s">
        <v>2172</v>
      </c>
      <c r="C821" s="3" t="s">
        <v>2172</v>
      </c>
      <c r="D821" s="3" t="s">
        <v>2173</v>
      </c>
      <c r="E821" s="3" t="s">
        <v>120</v>
      </c>
      <c r="F821" s="3">
        <v>22.98</v>
      </c>
      <c r="G821" s="3" t="s">
        <v>121</v>
      </c>
      <c r="H821" s="3"/>
      <c r="I821" s="3" t="s">
        <v>122</v>
      </c>
      <c r="J821" s="3">
        <v>0</v>
      </c>
      <c r="K821" s="3">
        <v>0</v>
      </c>
      <c r="L821" s="3">
        <v>0</v>
      </c>
      <c r="M821" s="3">
        <v>0</v>
      </c>
      <c r="N821" s="3">
        <v>0</v>
      </c>
      <c r="O821" s="3">
        <v>0.14</v>
      </c>
      <c r="P821" s="3">
        <v>0</v>
      </c>
      <c r="Q821" s="3">
        <v>0</v>
      </c>
      <c r="R821" s="3">
        <v>0</v>
      </c>
    </row>
    <row r="822" spans="1:18">
      <c r="A822" s="3" t="s">
        <v>2174</v>
      </c>
      <c r="B822" s="3" t="s">
        <v>2175</v>
      </c>
      <c r="C822" s="3" t="s">
        <v>2175</v>
      </c>
      <c r="D822" s="3" t="s">
        <v>2176</v>
      </c>
      <c r="E822" s="3" t="s">
        <v>120</v>
      </c>
      <c r="F822" s="3">
        <v>22.98</v>
      </c>
      <c r="G822" s="3" t="s">
        <v>121</v>
      </c>
      <c r="H822" s="3"/>
      <c r="I822" s="3" t="s">
        <v>122</v>
      </c>
      <c r="J822" s="3">
        <v>10</v>
      </c>
      <c r="K822" s="3">
        <v>10</v>
      </c>
      <c r="L822" s="3">
        <v>0</v>
      </c>
      <c r="M822" s="3">
        <v>0</v>
      </c>
      <c r="N822" s="3">
        <v>10</v>
      </c>
      <c r="O822" s="3">
        <v>0.14</v>
      </c>
      <c r="P822" s="3">
        <v>0</v>
      </c>
      <c r="Q822" s="3">
        <v>0</v>
      </c>
      <c r="R822" s="3">
        <v>0</v>
      </c>
    </row>
    <row r="823" spans="1:18">
      <c r="A823" s="3" t="s">
        <v>2177</v>
      </c>
      <c r="B823" s="3" t="s">
        <v>2178</v>
      </c>
      <c r="C823" s="3" t="s">
        <v>2178</v>
      </c>
      <c r="D823" s="3" t="s">
        <v>2179</v>
      </c>
      <c r="E823" s="3" t="s">
        <v>120</v>
      </c>
      <c r="F823" s="3">
        <v>22.98</v>
      </c>
      <c r="G823" s="3" t="s">
        <v>121</v>
      </c>
      <c r="H823" s="3"/>
      <c r="I823" s="3" t="s">
        <v>122</v>
      </c>
      <c r="J823" s="3">
        <v>32</v>
      </c>
      <c r="K823" s="3">
        <v>32</v>
      </c>
      <c r="L823" s="3">
        <v>0</v>
      </c>
      <c r="M823" s="3">
        <v>0</v>
      </c>
      <c r="N823" s="3">
        <v>52</v>
      </c>
      <c r="O823" s="3">
        <v>0.14</v>
      </c>
      <c r="P823" s="3">
        <v>0</v>
      </c>
      <c r="Q823" s="3">
        <v>20</v>
      </c>
      <c r="R823" s="3">
        <v>0</v>
      </c>
    </row>
    <row r="824" spans="1:18">
      <c r="A824" s="3" t="s">
        <v>2180</v>
      </c>
      <c r="B824" s="3" t="s">
        <v>2181</v>
      </c>
      <c r="C824" s="3" t="s">
        <v>2181</v>
      </c>
      <c r="D824" s="3" t="s">
        <v>2182</v>
      </c>
      <c r="E824" s="3" t="s">
        <v>120</v>
      </c>
      <c r="F824" s="3">
        <v>22.98</v>
      </c>
      <c r="G824" s="3" t="s">
        <v>121</v>
      </c>
      <c r="H824" s="3"/>
      <c r="I824" s="3" t="s">
        <v>122</v>
      </c>
      <c r="J824" s="3">
        <v>14</v>
      </c>
      <c r="K824" s="3">
        <v>14</v>
      </c>
      <c r="L824" s="3">
        <v>0</v>
      </c>
      <c r="M824" s="3">
        <v>0</v>
      </c>
      <c r="N824" s="3">
        <v>14</v>
      </c>
      <c r="O824" s="3">
        <v>0.14</v>
      </c>
      <c r="P824" s="3">
        <v>0</v>
      </c>
      <c r="Q824" s="3">
        <v>0</v>
      </c>
      <c r="R824" s="3">
        <v>0</v>
      </c>
    </row>
    <row r="825" spans="1:18">
      <c r="A825" s="3" t="s">
        <v>2183</v>
      </c>
      <c r="B825" s="3" t="s">
        <v>2184</v>
      </c>
      <c r="C825" s="3" t="s">
        <v>2184</v>
      </c>
      <c r="D825" s="3" t="s">
        <v>2185</v>
      </c>
      <c r="E825" s="3" t="s">
        <v>120</v>
      </c>
      <c r="F825" s="3">
        <v>22.98</v>
      </c>
      <c r="G825" s="3" t="s">
        <v>121</v>
      </c>
      <c r="H825" s="3"/>
      <c r="I825" s="3" t="s">
        <v>122</v>
      </c>
      <c r="J825" s="3">
        <v>3</v>
      </c>
      <c r="K825" s="3">
        <v>3</v>
      </c>
      <c r="L825" s="3">
        <v>0</v>
      </c>
      <c r="M825" s="3">
        <v>0</v>
      </c>
      <c r="N825" s="3">
        <v>3</v>
      </c>
      <c r="O825" s="3">
        <v>0.14</v>
      </c>
      <c r="P825" s="3">
        <v>0</v>
      </c>
      <c r="Q825" s="3">
        <v>0</v>
      </c>
      <c r="R825" s="3">
        <v>0</v>
      </c>
    </row>
    <row r="826" spans="1:18">
      <c r="A826" s="3" t="s">
        <v>2186</v>
      </c>
      <c r="B826" s="3" t="s">
        <v>2187</v>
      </c>
      <c r="C826" s="3" t="s">
        <v>2187</v>
      </c>
      <c r="D826" s="3" t="s">
        <v>2188</v>
      </c>
      <c r="E826" s="3" t="s">
        <v>120</v>
      </c>
      <c r="F826" s="3">
        <v>22.98</v>
      </c>
      <c r="G826" s="3" t="s">
        <v>121</v>
      </c>
      <c r="H826" s="3"/>
      <c r="I826" s="3" t="s">
        <v>122</v>
      </c>
      <c r="J826" s="3">
        <v>11</v>
      </c>
      <c r="K826" s="3">
        <v>11</v>
      </c>
      <c r="L826" s="3">
        <v>0</v>
      </c>
      <c r="M826" s="3">
        <v>0</v>
      </c>
      <c r="N826" s="3">
        <v>11</v>
      </c>
      <c r="O826" s="3">
        <v>0.14</v>
      </c>
      <c r="P826" s="3">
        <v>0</v>
      </c>
      <c r="Q826" s="3">
        <v>0</v>
      </c>
      <c r="R826" s="3">
        <v>0</v>
      </c>
    </row>
    <row r="827" spans="1:18">
      <c r="A827" s="3" t="s">
        <v>2189</v>
      </c>
      <c r="B827" s="3" t="s">
        <v>2190</v>
      </c>
      <c r="C827" s="3" t="s">
        <v>2190</v>
      </c>
      <c r="D827" s="3" t="s">
        <v>2191</v>
      </c>
      <c r="E827" s="3" t="s">
        <v>120</v>
      </c>
      <c r="F827" s="3">
        <v>22.98</v>
      </c>
      <c r="G827" s="3" t="s">
        <v>121</v>
      </c>
      <c r="H827" s="3"/>
      <c r="I827" s="3" t="s">
        <v>122</v>
      </c>
      <c r="J827" s="3">
        <v>20</v>
      </c>
      <c r="K827" s="3">
        <v>20</v>
      </c>
      <c r="L827" s="3">
        <v>0</v>
      </c>
      <c r="M827" s="3">
        <v>0</v>
      </c>
      <c r="N827" s="3">
        <v>20</v>
      </c>
      <c r="O827" s="3">
        <v>0.14</v>
      </c>
      <c r="P827" s="3">
        <v>0</v>
      </c>
      <c r="Q827" s="3">
        <v>0</v>
      </c>
      <c r="R827" s="3">
        <v>0</v>
      </c>
    </row>
    <row r="828" spans="1:18">
      <c r="A828" s="3" t="s">
        <v>2192</v>
      </c>
      <c r="B828" s="3" t="s">
        <v>2193</v>
      </c>
      <c r="C828" s="3" t="s">
        <v>2193</v>
      </c>
      <c r="D828" s="3" t="s">
        <v>2194</v>
      </c>
      <c r="E828" s="3" t="s">
        <v>120</v>
      </c>
      <c r="F828" s="3">
        <v>22.98</v>
      </c>
      <c r="G828" s="3" t="s">
        <v>121</v>
      </c>
      <c r="H828" s="3"/>
      <c r="I828" s="3" t="s">
        <v>122</v>
      </c>
      <c r="J828" s="3">
        <v>9</v>
      </c>
      <c r="K828" s="3">
        <v>9</v>
      </c>
      <c r="L828" s="3">
        <v>0</v>
      </c>
      <c r="M828" s="3">
        <v>0</v>
      </c>
      <c r="N828" s="3">
        <v>9</v>
      </c>
      <c r="O828" s="3">
        <v>0.14</v>
      </c>
      <c r="P828" s="3">
        <v>0</v>
      </c>
      <c r="Q828" s="3">
        <v>0</v>
      </c>
      <c r="R828" s="3">
        <v>0</v>
      </c>
    </row>
    <row r="829" spans="1:18">
      <c r="A829" s="3" t="s">
        <v>2195</v>
      </c>
      <c r="B829" s="3" t="s">
        <v>2196</v>
      </c>
      <c r="C829" s="3" t="s">
        <v>2196</v>
      </c>
      <c r="D829" s="3" t="s">
        <v>2197</v>
      </c>
      <c r="E829" s="3" t="s">
        <v>120</v>
      </c>
      <c r="F829" s="3">
        <v>22.98</v>
      </c>
      <c r="G829" s="3" t="s">
        <v>121</v>
      </c>
      <c r="H829" s="3"/>
      <c r="I829" s="3" t="s">
        <v>122</v>
      </c>
      <c r="J829" s="3">
        <v>17</v>
      </c>
      <c r="K829" s="3">
        <v>17</v>
      </c>
      <c r="L829" s="3">
        <v>0</v>
      </c>
      <c r="M829" s="3">
        <v>0</v>
      </c>
      <c r="N829" s="3">
        <v>17</v>
      </c>
      <c r="O829" s="3">
        <v>0.06</v>
      </c>
      <c r="P829" s="3">
        <v>0</v>
      </c>
      <c r="Q829" s="3">
        <v>0</v>
      </c>
      <c r="R829" s="3">
        <v>0</v>
      </c>
    </row>
    <row r="830" spans="1:18">
      <c r="A830" s="3" t="s">
        <v>2198</v>
      </c>
      <c r="B830" s="3" t="s">
        <v>2199</v>
      </c>
      <c r="C830" s="3" t="s">
        <v>2199</v>
      </c>
      <c r="D830" s="3" t="s">
        <v>2200</v>
      </c>
      <c r="E830" s="3" t="s">
        <v>120</v>
      </c>
      <c r="F830" s="3">
        <v>22.98</v>
      </c>
      <c r="G830" s="3" t="s">
        <v>121</v>
      </c>
      <c r="H830" s="3"/>
      <c r="I830" s="3" t="s">
        <v>122</v>
      </c>
      <c r="J830" s="3">
        <v>14</v>
      </c>
      <c r="K830" s="3">
        <v>14</v>
      </c>
      <c r="L830" s="3">
        <v>0</v>
      </c>
      <c r="M830" s="3">
        <v>0</v>
      </c>
      <c r="N830" s="3">
        <v>14</v>
      </c>
      <c r="O830" s="3">
        <v>0.14</v>
      </c>
      <c r="P830" s="3">
        <v>0</v>
      </c>
      <c r="Q830" s="3">
        <v>0</v>
      </c>
      <c r="R830" s="3">
        <v>0</v>
      </c>
    </row>
    <row r="831" spans="1:18">
      <c r="A831" s="3" t="s">
        <v>2201</v>
      </c>
      <c r="B831" s="3" t="s">
        <v>2202</v>
      </c>
      <c r="C831" s="3" t="s">
        <v>2202</v>
      </c>
      <c r="D831" s="3" t="s">
        <v>2203</v>
      </c>
      <c r="E831" s="3" t="s">
        <v>120</v>
      </c>
      <c r="F831" s="3">
        <v>22.98</v>
      </c>
      <c r="G831" s="3" t="s">
        <v>121</v>
      </c>
      <c r="H831" s="3"/>
      <c r="I831" s="3" t="s">
        <v>122</v>
      </c>
      <c r="J831" s="3">
        <v>10</v>
      </c>
      <c r="K831" s="3">
        <v>10</v>
      </c>
      <c r="L831" s="3">
        <v>0</v>
      </c>
      <c r="M831" s="3">
        <v>0</v>
      </c>
      <c r="N831" s="3">
        <v>10</v>
      </c>
      <c r="O831" s="3">
        <v>0.14</v>
      </c>
      <c r="P831" s="3">
        <v>0</v>
      </c>
      <c r="Q831" s="3">
        <v>0</v>
      </c>
      <c r="R831" s="3">
        <v>0</v>
      </c>
    </row>
    <row r="832" spans="1:18">
      <c r="A832" s="3" t="s">
        <v>2204</v>
      </c>
      <c r="B832" s="3" t="s">
        <v>2205</v>
      </c>
      <c r="C832" s="3" t="s">
        <v>2205</v>
      </c>
      <c r="D832" s="3" t="s">
        <v>2206</v>
      </c>
      <c r="E832" s="3" t="s">
        <v>120</v>
      </c>
      <c r="F832" s="3">
        <v>22.98</v>
      </c>
      <c r="G832" s="3" t="s">
        <v>121</v>
      </c>
      <c r="H832" s="3"/>
      <c r="I832" s="3" t="s">
        <v>122</v>
      </c>
      <c r="J832" s="3">
        <v>11</v>
      </c>
      <c r="K832" s="3">
        <v>11</v>
      </c>
      <c r="L832" s="3">
        <v>0</v>
      </c>
      <c r="M832" s="3">
        <v>0</v>
      </c>
      <c r="N832" s="3">
        <v>11</v>
      </c>
      <c r="O832" s="3">
        <v>0.14</v>
      </c>
      <c r="P832" s="3">
        <v>0</v>
      </c>
      <c r="Q832" s="3">
        <v>0</v>
      </c>
      <c r="R832" s="3">
        <v>0</v>
      </c>
    </row>
    <row r="833" spans="1:18">
      <c r="A833" s="3" t="s">
        <v>2207</v>
      </c>
      <c r="B833" s="3" t="s">
        <v>2208</v>
      </c>
      <c r="C833" s="3" t="s">
        <v>2208</v>
      </c>
      <c r="D833" s="3" t="s">
        <v>2209</v>
      </c>
      <c r="E833" s="3" t="s">
        <v>120</v>
      </c>
      <c r="F833" s="3">
        <v>22.98</v>
      </c>
      <c r="G833" s="3" t="s">
        <v>121</v>
      </c>
      <c r="H833" s="3"/>
      <c r="I833" s="3" t="s">
        <v>122</v>
      </c>
      <c r="J833" s="3">
        <v>5</v>
      </c>
      <c r="K833" s="3">
        <v>4</v>
      </c>
      <c r="L833" s="3">
        <v>0</v>
      </c>
      <c r="M833" s="3">
        <v>1</v>
      </c>
      <c r="N833" s="3">
        <v>21</v>
      </c>
      <c r="O833" s="3">
        <v>0.14</v>
      </c>
      <c r="P833" s="3">
        <v>0</v>
      </c>
      <c r="Q833" s="3">
        <v>16</v>
      </c>
      <c r="R833" s="3">
        <v>0</v>
      </c>
    </row>
    <row r="834" spans="1:18">
      <c r="A834" s="3" t="s">
        <v>2210</v>
      </c>
      <c r="B834" s="3" t="s">
        <v>2211</v>
      </c>
      <c r="C834" s="3" t="s">
        <v>2211</v>
      </c>
      <c r="D834" s="3" t="s">
        <v>2212</v>
      </c>
      <c r="E834" s="3" t="s">
        <v>120</v>
      </c>
      <c r="F834" s="3">
        <v>22.98</v>
      </c>
      <c r="G834" s="3" t="s">
        <v>121</v>
      </c>
      <c r="H834" s="3"/>
      <c r="I834" s="3" t="s">
        <v>122</v>
      </c>
      <c r="J834" s="3">
        <v>14</v>
      </c>
      <c r="K834" s="3">
        <v>14</v>
      </c>
      <c r="L834" s="3">
        <v>0</v>
      </c>
      <c r="M834" s="3">
        <v>0</v>
      </c>
      <c r="N834" s="3">
        <v>14</v>
      </c>
      <c r="O834" s="3">
        <v>0.14</v>
      </c>
      <c r="P834" s="3">
        <v>0</v>
      </c>
      <c r="Q834" s="3">
        <v>0</v>
      </c>
      <c r="R834" s="3">
        <v>0</v>
      </c>
    </row>
    <row r="835" spans="1:18">
      <c r="A835" s="3" t="s">
        <v>2213</v>
      </c>
      <c r="B835" s="3" t="s">
        <v>2214</v>
      </c>
      <c r="C835" s="3" t="s">
        <v>2214</v>
      </c>
      <c r="D835" s="3" t="s">
        <v>2215</v>
      </c>
      <c r="E835" s="3" t="s">
        <v>120</v>
      </c>
      <c r="F835" s="3">
        <v>22.98</v>
      </c>
      <c r="G835" s="3" t="s">
        <v>121</v>
      </c>
      <c r="H835" s="3"/>
      <c r="I835" s="3" t="s">
        <v>122</v>
      </c>
      <c r="J835" s="3">
        <v>3</v>
      </c>
      <c r="K835" s="3">
        <v>3</v>
      </c>
      <c r="L835" s="3">
        <v>0</v>
      </c>
      <c r="M835" s="3">
        <v>0</v>
      </c>
      <c r="N835" s="3">
        <v>3</v>
      </c>
      <c r="O835" s="3">
        <v>0.14</v>
      </c>
      <c r="P835" s="3">
        <v>0</v>
      </c>
      <c r="Q835" s="3">
        <v>0</v>
      </c>
      <c r="R835" s="3">
        <v>0</v>
      </c>
    </row>
    <row r="836" spans="1:18">
      <c r="A836" s="3" t="s">
        <v>2216</v>
      </c>
      <c r="B836" s="3" t="s">
        <v>2217</v>
      </c>
      <c r="C836" s="3" t="s">
        <v>2217</v>
      </c>
      <c r="D836" s="3" t="s">
        <v>2218</v>
      </c>
      <c r="E836" s="3" t="s">
        <v>120</v>
      </c>
      <c r="F836" s="3">
        <v>22.98</v>
      </c>
      <c r="G836" s="3" t="s">
        <v>121</v>
      </c>
      <c r="H836" s="3"/>
      <c r="I836" s="3" t="s">
        <v>122</v>
      </c>
      <c r="J836" s="3">
        <v>15</v>
      </c>
      <c r="K836" s="3">
        <v>15</v>
      </c>
      <c r="L836" s="3">
        <v>0</v>
      </c>
      <c r="M836" s="3">
        <v>0</v>
      </c>
      <c r="N836" s="3">
        <v>15</v>
      </c>
      <c r="O836" s="3">
        <v>0.14</v>
      </c>
      <c r="P836" s="3">
        <v>0</v>
      </c>
      <c r="Q836" s="3">
        <v>0</v>
      </c>
      <c r="R836" s="3">
        <v>0</v>
      </c>
    </row>
    <row r="837" spans="1:18">
      <c r="A837" s="3" t="s">
        <v>2219</v>
      </c>
      <c r="B837" s="3" t="s">
        <v>2220</v>
      </c>
      <c r="C837" s="3" t="s">
        <v>2220</v>
      </c>
      <c r="D837" s="3" t="s">
        <v>2221</v>
      </c>
      <c r="E837" s="3" t="s">
        <v>120</v>
      </c>
      <c r="F837" s="3">
        <v>22.98</v>
      </c>
      <c r="G837" s="3" t="s">
        <v>121</v>
      </c>
      <c r="H837" s="3"/>
      <c r="I837" s="3" t="s">
        <v>122</v>
      </c>
      <c r="J837" s="3">
        <v>10</v>
      </c>
      <c r="K837" s="3">
        <v>10</v>
      </c>
      <c r="L837" s="3">
        <v>0</v>
      </c>
      <c r="M837" s="3">
        <v>0</v>
      </c>
      <c r="N837" s="3">
        <v>10</v>
      </c>
      <c r="O837" s="3">
        <v>0.14</v>
      </c>
      <c r="P837" s="3">
        <v>0</v>
      </c>
      <c r="Q837" s="3">
        <v>0</v>
      </c>
      <c r="R837" s="3">
        <v>0</v>
      </c>
    </row>
    <row r="838" spans="1:18">
      <c r="A838" s="3" t="s">
        <v>2222</v>
      </c>
      <c r="B838" s="3" t="s">
        <v>2223</v>
      </c>
      <c r="C838" s="3" t="s">
        <v>2223</v>
      </c>
      <c r="D838" s="3" t="s">
        <v>2224</v>
      </c>
      <c r="E838" s="3" t="s">
        <v>120</v>
      </c>
      <c r="F838" s="3">
        <v>22.98</v>
      </c>
      <c r="G838" s="3" t="s">
        <v>121</v>
      </c>
      <c r="H838" s="3"/>
      <c r="I838" s="3" t="s">
        <v>122</v>
      </c>
      <c r="J838" s="3">
        <v>25</v>
      </c>
      <c r="K838" s="3">
        <v>24</v>
      </c>
      <c r="L838" s="3">
        <v>0</v>
      </c>
      <c r="M838" s="3">
        <v>1</v>
      </c>
      <c r="N838" s="3">
        <v>25</v>
      </c>
      <c r="O838" s="3">
        <v>0.14</v>
      </c>
      <c r="P838" s="3">
        <v>0</v>
      </c>
      <c r="Q838" s="3">
        <v>0</v>
      </c>
      <c r="R838" s="3">
        <v>0</v>
      </c>
    </row>
    <row r="839" spans="1:18">
      <c r="A839" s="3" t="s">
        <v>2225</v>
      </c>
      <c r="B839" s="3" t="s">
        <v>2226</v>
      </c>
      <c r="C839" s="3" t="s">
        <v>2226</v>
      </c>
      <c r="D839" s="3" t="s">
        <v>2227</v>
      </c>
      <c r="E839" s="3" t="s">
        <v>120</v>
      </c>
      <c r="F839" s="3">
        <v>22.98</v>
      </c>
      <c r="G839" s="3" t="s">
        <v>121</v>
      </c>
      <c r="H839" s="3"/>
      <c r="I839" s="3" t="s">
        <v>122</v>
      </c>
      <c r="J839" s="3">
        <v>29</v>
      </c>
      <c r="K839" s="3">
        <v>29</v>
      </c>
      <c r="L839" s="3">
        <v>0</v>
      </c>
      <c r="M839" s="3">
        <v>0</v>
      </c>
      <c r="N839" s="3">
        <v>29</v>
      </c>
      <c r="O839" s="3">
        <v>0.14</v>
      </c>
      <c r="P839" s="3">
        <v>0</v>
      </c>
      <c r="Q839" s="3">
        <v>0</v>
      </c>
      <c r="R839" s="3">
        <v>0</v>
      </c>
    </row>
    <row r="840" spans="1:18">
      <c r="A840" s="3" t="s">
        <v>2228</v>
      </c>
      <c r="B840" s="3" t="s">
        <v>2229</v>
      </c>
      <c r="C840" s="3" t="s">
        <v>2229</v>
      </c>
      <c r="D840" s="3" t="s">
        <v>2230</v>
      </c>
      <c r="E840" s="3" t="s">
        <v>120</v>
      </c>
      <c r="F840" s="3">
        <v>22.98</v>
      </c>
      <c r="G840" s="3" t="s">
        <v>121</v>
      </c>
      <c r="H840" s="3"/>
      <c r="I840" s="3" t="s">
        <v>122</v>
      </c>
      <c r="J840" s="3">
        <v>11</v>
      </c>
      <c r="K840" s="3">
        <v>11</v>
      </c>
      <c r="L840" s="3">
        <v>0</v>
      </c>
      <c r="M840" s="3">
        <v>0</v>
      </c>
      <c r="N840" s="3">
        <v>11</v>
      </c>
      <c r="O840" s="3">
        <v>0.14</v>
      </c>
      <c r="P840" s="3">
        <v>0</v>
      </c>
      <c r="Q840" s="3">
        <v>0</v>
      </c>
      <c r="R840" s="3">
        <v>0</v>
      </c>
    </row>
    <row r="841" spans="1:18">
      <c r="A841" s="3" t="s">
        <v>2231</v>
      </c>
      <c r="B841" s="3" t="s">
        <v>2232</v>
      </c>
      <c r="C841" s="3" t="s">
        <v>2232</v>
      </c>
      <c r="D841" s="3" t="s">
        <v>2233</v>
      </c>
      <c r="E841" s="3" t="s">
        <v>120</v>
      </c>
      <c r="F841" s="3">
        <v>22.98</v>
      </c>
      <c r="G841" s="3" t="s">
        <v>121</v>
      </c>
      <c r="H841" s="3"/>
      <c r="I841" s="3" t="s">
        <v>122</v>
      </c>
      <c r="J841" s="3">
        <v>13</v>
      </c>
      <c r="K841" s="3">
        <v>13</v>
      </c>
      <c r="L841" s="3">
        <v>0</v>
      </c>
      <c r="M841" s="3">
        <v>0</v>
      </c>
      <c r="N841" s="3">
        <v>13</v>
      </c>
      <c r="O841" s="3">
        <v>0.14</v>
      </c>
      <c r="P841" s="3">
        <v>0</v>
      </c>
      <c r="Q841" s="3">
        <v>0</v>
      </c>
      <c r="R841" s="3">
        <v>0</v>
      </c>
    </row>
    <row r="842" spans="1:18">
      <c r="A842" s="3" t="s">
        <v>2234</v>
      </c>
      <c r="B842" s="3" t="s">
        <v>2235</v>
      </c>
      <c r="C842" s="3" t="s">
        <v>2235</v>
      </c>
      <c r="D842" s="3" t="s">
        <v>2236</v>
      </c>
      <c r="E842" s="3" t="s">
        <v>120</v>
      </c>
      <c r="F842" s="3">
        <v>39.98</v>
      </c>
      <c r="G842" s="3" t="s">
        <v>121</v>
      </c>
      <c r="H842" s="3"/>
      <c r="I842" s="3" t="s">
        <v>122</v>
      </c>
      <c r="J842" s="3">
        <v>23</v>
      </c>
      <c r="K842" s="3">
        <v>21</v>
      </c>
      <c r="L842" s="3">
        <v>0</v>
      </c>
      <c r="M842" s="3">
        <v>2</v>
      </c>
      <c r="N842" s="3">
        <v>23</v>
      </c>
      <c r="O842" s="3">
        <v>0.1</v>
      </c>
      <c r="P842" s="3">
        <v>0</v>
      </c>
      <c r="Q842" s="3">
        <v>0</v>
      </c>
      <c r="R842" s="3">
        <v>0</v>
      </c>
    </row>
    <row r="843" spans="1:18">
      <c r="A843" s="3" t="s">
        <v>2237</v>
      </c>
      <c r="B843" s="3" t="s">
        <v>2238</v>
      </c>
      <c r="C843" s="3" t="s">
        <v>2238</v>
      </c>
      <c r="D843" s="3" t="s">
        <v>2239</v>
      </c>
      <c r="E843" s="3" t="s">
        <v>120</v>
      </c>
      <c r="F843" s="3">
        <v>39.98</v>
      </c>
      <c r="G843" s="3" t="s">
        <v>121</v>
      </c>
      <c r="H843" s="3"/>
      <c r="I843" s="3" t="s">
        <v>122</v>
      </c>
      <c r="J843" s="3">
        <v>29</v>
      </c>
      <c r="K843" s="3">
        <v>29</v>
      </c>
      <c r="L843" s="3">
        <v>0</v>
      </c>
      <c r="M843" s="3">
        <v>0</v>
      </c>
      <c r="N843" s="3">
        <v>29</v>
      </c>
      <c r="O843" s="3">
        <v>0.1</v>
      </c>
      <c r="P843" s="3">
        <v>0</v>
      </c>
      <c r="Q843" s="3">
        <v>0</v>
      </c>
      <c r="R843" s="3">
        <v>0</v>
      </c>
    </row>
    <row r="844" spans="1:18">
      <c r="A844" s="3" t="s">
        <v>2240</v>
      </c>
      <c r="B844" s="3" t="s">
        <v>2241</v>
      </c>
      <c r="C844" s="3" t="s">
        <v>2241</v>
      </c>
      <c r="D844" s="3" t="s">
        <v>2242</v>
      </c>
      <c r="E844" s="3" t="s">
        <v>120</v>
      </c>
      <c r="F844" s="3">
        <v>39.98</v>
      </c>
      <c r="G844" s="3" t="s">
        <v>121</v>
      </c>
      <c r="H844" s="3"/>
      <c r="I844" s="3" t="s">
        <v>122</v>
      </c>
      <c r="J844" s="3">
        <v>14</v>
      </c>
      <c r="K844" s="3">
        <v>13</v>
      </c>
      <c r="L844" s="3">
        <v>1</v>
      </c>
      <c r="M844" s="3">
        <v>0</v>
      </c>
      <c r="N844" s="3">
        <v>14</v>
      </c>
      <c r="O844" s="3">
        <v>0.1</v>
      </c>
      <c r="P844" s="3">
        <v>0</v>
      </c>
      <c r="Q844" s="3">
        <v>0</v>
      </c>
      <c r="R844" s="3">
        <v>0</v>
      </c>
    </row>
    <row r="845" spans="1:18">
      <c r="A845" s="3" t="s">
        <v>2243</v>
      </c>
      <c r="B845" s="3" t="s">
        <v>2244</v>
      </c>
      <c r="C845" s="3" t="s">
        <v>2244</v>
      </c>
      <c r="D845" s="3" t="s">
        <v>2245</v>
      </c>
      <c r="E845" s="3" t="s">
        <v>120</v>
      </c>
      <c r="F845" s="3">
        <v>39.98</v>
      </c>
      <c r="G845" s="3" t="s">
        <v>121</v>
      </c>
      <c r="H845" s="3"/>
      <c r="I845" s="3" t="s">
        <v>122</v>
      </c>
      <c r="J845" s="3">
        <v>1</v>
      </c>
      <c r="K845" s="3">
        <v>0</v>
      </c>
      <c r="L845" s="3">
        <v>0</v>
      </c>
      <c r="M845" s="3">
        <v>1</v>
      </c>
      <c r="N845" s="3">
        <v>1</v>
      </c>
      <c r="O845" s="3">
        <v>0.1</v>
      </c>
      <c r="P845" s="3">
        <v>0</v>
      </c>
      <c r="Q845" s="3">
        <v>0</v>
      </c>
      <c r="R845" s="3">
        <v>0</v>
      </c>
    </row>
    <row r="846" spans="1:18">
      <c r="A846" s="3" t="s">
        <v>2246</v>
      </c>
      <c r="B846" s="3" t="s">
        <v>2247</v>
      </c>
      <c r="C846" s="3" t="s">
        <v>2247</v>
      </c>
      <c r="D846" s="3"/>
      <c r="E846" s="3" t="s">
        <v>20</v>
      </c>
      <c r="F846" s="3"/>
      <c r="G846" s="3"/>
      <c r="H846" s="3"/>
      <c r="I846" s="3"/>
      <c r="J846" s="3">
        <v>2</v>
      </c>
      <c r="K846" s="3">
        <v>2</v>
      </c>
      <c r="L846" s="3">
        <v>0</v>
      </c>
      <c r="M846" s="3">
        <v>0</v>
      </c>
      <c r="N846" s="3">
        <v>2</v>
      </c>
      <c r="O846" s="3"/>
      <c r="P846" s="3">
        <v>0</v>
      </c>
      <c r="Q846" s="3">
        <v>0</v>
      </c>
      <c r="R846" s="3">
        <v>0</v>
      </c>
    </row>
    <row r="847" spans="1:18">
      <c r="A847" s="3" t="s">
        <v>2248</v>
      </c>
      <c r="B847" s="3" t="s">
        <v>2249</v>
      </c>
      <c r="C847" s="3" t="s">
        <v>2249</v>
      </c>
      <c r="D847" s="3" t="s">
        <v>2250</v>
      </c>
      <c r="E847" s="3" t="s">
        <v>120</v>
      </c>
      <c r="F847" s="3">
        <v>24.98</v>
      </c>
      <c r="G847" s="3" t="s">
        <v>121</v>
      </c>
      <c r="H847" s="3"/>
      <c r="I847" s="3" t="s">
        <v>122</v>
      </c>
      <c r="J847" s="3">
        <v>1</v>
      </c>
      <c r="K847" s="3">
        <v>1</v>
      </c>
      <c r="L847" s="3">
        <v>0</v>
      </c>
      <c r="M847" s="3">
        <v>0</v>
      </c>
      <c r="N847" s="3">
        <v>1</v>
      </c>
      <c r="O847" s="3">
        <v>0.15</v>
      </c>
      <c r="P847" s="3">
        <v>0</v>
      </c>
      <c r="Q847" s="3">
        <v>0</v>
      </c>
      <c r="R847" s="3">
        <v>0</v>
      </c>
    </row>
    <row r="848" spans="1:18">
      <c r="A848" s="3" t="s">
        <v>2251</v>
      </c>
      <c r="B848" s="3" t="s">
        <v>1016</v>
      </c>
      <c r="C848" s="3" t="s">
        <v>1016</v>
      </c>
      <c r="D848" s="3" t="s">
        <v>1017</v>
      </c>
      <c r="E848" s="3" t="s">
        <v>120</v>
      </c>
      <c r="F848" s="3">
        <v>39.98</v>
      </c>
      <c r="G848" s="3" t="s">
        <v>121</v>
      </c>
      <c r="H848" s="3"/>
      <c r="I848" s="3" t="s">
        <v>122</v>
      </c>
      <c r="J848" s="3">
        <v>17</v>
      </c>
      <c r="K848" s="3">
        <v>17</v>
      </c>
      <c r="L848" s="3">
        <v>0</v>
      </c>
      <c r="M848" s="3">
        <v>0</v>
      </c>
      <c r="N848" s="3">
        <v>17</v>
      </c>
      <c r="O848" s="3">
        <v>0.12</v>
      </c>
      <c r="P848" s="3">
        <v>0</v>
      </c>
      <c r="Q848" s="3">
        <v>0</v>
      </c>
      <c r="R848" s="3">
        <v>0</v>
      </c>
    </row>
    <row r="849" spans="1:18">
      <c r="A849" s="3" t="s">
        <v>2252</v>
      </c>
      <c r="B849" s="3" t="s">
        <v>1022</v>
      </c>
      <c r="C849" s="3" t="s">
        <v>1022</v>
      </c>
      <c r="D849" s="3" t="s">
        <v>1023</v>
      </c>
      <c r="E849" s="3" t="s">
        <v>120</v>
      </c>
      <c r="F849" s="3">
        <v>24.98</v>
      </c>
      <c r="G849" s="3" t="s">
        <v>121</v>
      </c>
      <c r="H849" s="3"/>
      <c r="I849" s="3" t="s">
        <v>122</v>
      </c>
      <c r="J849" s="3">
        <v>0</v>
      </c>
      <c r="K849" s="3">
        <v>0</v>
      </c>
      <c r="L849" s="3">
        <v>0</v>
      </c>
      <c r="M849" s="3">
        <v>0</v>
      </c>
      <c r="N849" s="3">
        <v>0</v>
      </c>
      <c r="O849" s="3">
        <v>0.1</v>
      </c>
      <c r="P849" s="3">
        <v>0</v>
      </c>
      <c r="Q849" s="3">
        <v>0</v>
      </c>
      <c r="R849" s="3">
        <v>0</v>
      </c>
    </row>
    <row r="850" spans="1:18">
      <c r="A850" s="3" t="s">
        <v>2253</v>
      </c>
      <c r="B850" s="3" t="s">
        <v>2254</v>
      </c>
      <c r="C850" s="3" t="s">
        <v>2254</v>
      </c>
      <c r="D850" s="3" t="s">
        <v>2255</v>
      </c>
      <c r="E850" s="3" t="s">
        <v>120</v>
      </c>
      <c r="F850" s="3">
        <v>24.98</v>
      </c>
      <c r="G850" s="3" t="s">
        <v>121</v>
      </c>
      <c r="H850" s="3"/>
      <c r="I850" s="3" t="s">
        <v>122</v>
      </c>
      <c r="J850" s="3">
        <v>0</v>
      </c>
      <c r="K850" s="3">
        <v>0</v>
      </c>
      <c r="L850" s="3">
        <v>0</v>
      </c>
      <c r="M850" s="3">
        <v>0</v>
      </c>
      <c r="N850" s="3">
        <v>0</v>
      </c>
      <c r="O850" s="3">
        <v>0.1</v>
      </c>
      <c r="P850" s="3">
        <v>0</v>
      </c>
      <c r="Q850" s="3">
        <v>0</v>
      </c>
      <c r="R850" s="3">
        <v>0</v>
      </c>
    </row>
    <row r="851" spans="1:18">
      <c r="A851" s="3" t="s">
        <v>2256</v>
      </c>
      <c r="B851" s="3" t="s">
        <v>1030</v>
      </c>
      <c r="C851" s="3" t="s">
        <v>1030</v>
      </c>
      <c r="D851" s="3" t="s">
        <v>1031</v>
      </c>
      <c r="E851" s="3" t="s">
        <v>120</v>
      </c>
      <c r="F851" s="3">
        <v>24.98</v>
      </c>
      <c r="G851" s="3" t="s">
        <v>122</v>
      </c>
      <c r="H851" s="3">
        <v>0</v>
      </c>
      <c r="I851" s="3" t="s">
        <v>121</v>
      </c>
      <c r="J851" s="3">
        <v>1</v>
      </c>
      <c r="K851" s="3">
        <v>1</v>
      </c>
      <c r="L851" s="3">
        <v>0</v>
      </c>
      <c r="M851" s="3">
        <v>0</v>
      </c>
      <c r="N851" s="3">
        <v>1</v>
      </c>
      <c r="O851" s="3">
        <v>0.1</v>
      </c>
      <c r="P851" s="3">
        <v>0</v>
      </c>
      <c r="Q851" s="3">
        <v>0</v>
      </c>
      <c r="R851" s="3">
        <v>0</v>
      </c>
    </row>
    <row r="852" spans="1:18">
      <c r="A852" s="3" t="s">
        <v>2257</v>
      </c>
      <c r="B852" s="3" t="s">
        <v>2258</v>
      </c>
      <c r="C852" s="3" t="s">
        <v>2258</v>
      </c>
      <c r="D852" s="3"/>
      <c r="E852" s="3" t="s">
        <v>20</v>
      </c>
      <c r="F852" s="3"/>
      <c r="G852" s="3"/>
      <c r="H852" s="3"/>
      <c r="I852" s="3"/>
      <c r="J852" s="3">
        <v>0</v>
      </c>
      <c r="K852" s="3">
        <v>0</v>
      </c>
      <c r="L852" s="3">
        <v>0</v>
      </c>
      <c r="M852" s="3">
        <v>0</v>
      </c>
      <c r="N852" s="3">
        <v>0</v>
      </c>
      <c r="O852" s="3"/>
      <c r="P852" s="3">
        <v>0</v>
      </c>
      <c r="Q852" s="3">
        <v>0</v>
      </c>
      <c r="R852" s="3">
        <v>0</v>
      </c>
    </row>
    <row r="853" spans="1:18">
      <c r="A853" s="3" t="s">
        <v>2259</v>
      </c>
      <c r="B853" s="3" t="s">
        <v>2260</v>
      </c>
      <c r="C853" s="3" t="s">
        <v>2260</v>
      </c>
      <c r="D853" s="3" t="s">
        <v>2261</v>
      </c>
      <c r="E853" s="3" t="s">
        <v>120</v>
      </c>
      <c r="F853" s="3">
        <v>39.98</v>
      </c>
      <c r="G853" s="3" t="s">
        <v>121</v>
      </c>
      <c r="H853" s="3"/>
      <c r="I853" s="3" t="s">
        <v>122</v>
      </c>
      <c r="J853" s="3">
        <v>38</v>
      </c>
      <c r="K853" s="3">
        <v>37</v>
      </c>
      <c r="L853" s="3">
        <v>0</v>
      </c>
      <c r="M853" s="3">
        <v>1</v>
      </c>
      <c r="N853" s="3">
        <v>38</v>
      </c>
      <c r="O853" s="3">
        <v>0.1</v>
      </c>
      <c r="P853" s="3">
        <v>0</v>
      </c>
      <c r="Q853" s="3">
        <v>0</v>
      </c>
      <c r="R853" s="3">
        <v>0</v>
      </c>
    </row>
    <row r="854" spans="1:18">
      <c r="A854" s="3" t="s">
        <v>2262</v>
      </c>
      <c r="B854" s="3" t="s">
        <v>2263</v>
      </c>
      <c r="C854" s="3" t="s">
        <v>2263</v>
      </c>
      <c r="D854" s="3" t="s">
        <v>2264</v>
      </c>
      <c r="E854" s="3" t="s">
        <v>120</v>
      </c>
      <c r="F854" s="3">
        <v>39.98</v>
      </c>
      <c r="G854" s="3" t="s">
        <v>122</v>
      </c>
      <c r="H854" s="3">
        <v>0</v>
      </c>
      <c r="I854" s="3" t="s">
        <v>121</v>
      </c>
      <c r="J854" s="3">
        <v>1</v>
      </c>
      <c r="K854" s="3">
        <v>1</v>
      </c>
      <c r="L854" s="3">
        <v>0</v>
      </c>
      <c r="M854" s="3">
        <v>0</v>
      </c>
      <c r="N854" s="3">
        <v>1</v>
      </c>
      <c r="O854" s="3">
        <v>0.1</v>
      </c>
      <c r="P854" s="3">
        <v>0</v>
      </c>
      <c r="Q854" s="3">
        <v>0</v>
      </c>
      <c r="R854" s="3">
        <v>0</v>
      </c>
    </row>
    <row r="855" spans="1:18">
      <c r="A855" s="3" t="s">
        <v>2265</v>
      </c>
      <c r="B855" s="3" t="s">
        <v>2266</v>
      </c>
      <c r="C855" s="3" t="s">
        <v>2266</v>
      </c>
      <c r="D855" s="3" t="s">
        <v>2267</v>
      </c>
      <c r="E855" s="3" t="s">
        <v>120</v>
      </c>
      <c r="F855" s="3">
        <v>39.98</v>
      </c>
      <c r="G855" s="3" t="s">
        <v>121</v>
      </c>
      <c r="H855" s="3"/>
      <c r="I855" s="3" t="s">
        <v>122</v>
      </c>
      <c r="J855" s="3">
        <v>16</v>
      </c>
      <c r="K855" s="3">
        <v>16</v>
      </c>
      <c r="L855" s="3">
        <v>0</v>
      </c>
      <c r="M855" s="3">
        <v>0</v>
      </c>
      <c r="N855" s="3">
        <v>16</v>
      </c>
      <c r="O855" s="3">
        <v>0.1</v>
      </c>
      <c r="P855" s="3">
        <v>0</v>
      </c>
      <c r="Q855" s="3">
        <v>0</v>
      </c>
      <c r="R855" s="3">
        <v>0</v>
      </c>
    </row>
    <row r="856" spans="1:18">
      <c r="A856" s="3" t="s">
        <v>2268</v>
      </c>
      <c r="B856" s="3" t="s">
        <v>2269</v>
      </c>
      <c r="C856" s="3" t="s">
        <v>2269</v>
      </c>
      <c r="D856" s="3" t="s">
        <v>2270</v>
      </c>
      <c r="E856" s="3" t="s">
        <v>120</v>
      </c>
      <c r="F856" s="3">
        <v>39.98</v>
      </c>
      <c r="G856" s="3" t="s">
        <v>121</v>
      </c>
      <c r="H856" s="3"/>
      <c r="I856" s="3" t="s">
        <v>122</v>
      </c>
      <c r="J856" s="3">
        <v>0</v>
      </c>
      <c r="K856" s="3">
        <v>0</v>
      </c>
      <c r="L856" s="3">
        <v>0</v>
      </c>
      <c r="M856" s="3">
        <v>0</v>
      </c>
      <c r="N856" s="3">
        <v>0</v>
      </c>
      <c r="O856" s="3">
        <v>0.1</v>
      </c>
      <c r="P856" s="3">
        <v>0</v>
      </c>
      <c r="Q856" s="3">
        <v>0</v>
      </c>
      <c r="R856" s="3">
        <v>0</v>
      </c>
    </row>
    <row r="857" spans="1:18">
      <c r="A857" s="3" t="s">
        <v>2271</v>
      </c>
      <c r="B857" s="3" t="s">
        <v>2272</v>
      </c>
      <c r="C857" s="3" t="s">
        <v>2272</v>
      </c>
      <c r="D857" s="3" t="s">
        <v>2273</v>
      </c>
      <c r="E857" s="3" t="s">
        <v>120</v>
      </c>
      <c r="F857" s="3">
        <v>23.98</v>
      </c>
      <c r="G857" s="3" t="s">
        <v>121</v>
      </c>
      <c r="H857" s="3"/>
      <c r="I857" s="3" t="s">
        <v>122</v>
      </c>
      <c r="J857" s="3">
        <v>1</v>
      </c>
      <c r="K857" s="3">
        <v>1</v>
      </c>
      <c r="L857" s="3">
        <v>0</v>
      </c>
      <c r="M857" s="3">
        <v>0</v>
      </c>
      <c r="N857" s="3">
        <v>1</v>
      </c>
      <c r="O857" s="3">
        <v>0.1</v>
      </c>
      <c r="P857" s="3">
        <v>0</v>
      </c>
      <c r="Q857" s="3">
        <v>0</v>
      </c>
      <c r="R857" s="3">
        <v>0</v>
      </c>
    </row>
    <row r="858" spans="1:18">
      <c r="A858" s="3" t="s">
        <v>2274</v>
      </c>
      <c r="B858" s="3" t="s">
        <v>2275</v>
      </c>
      <c r="C858" s="3" t="s">
        <v>2275</v>
      </c>
      <c r="D858" s="3" t="s">
        <v>2276</v>
      </c>
      <c r="E858" s="3" t="s">
        <v>120</v>
      </c>
      <c r="F858" s="3">
        <v>39.98</v>
      </c>
      <c r="G858" s="3" t="s">
        <v>121</v>
      </c>
      <c r="H858" s="3"/>
      <c r="I858" s="3" t="s">
        <v>122</v>
      </c>
      <c r="J858" s="3">
        <v>11</v>
      </c>
      <c r="K858" s="3">
        <v>11</v>
      </c>
      <c r="L858" s="3">
        <v>0</v>
      </c>
      <c r="M858" s="3">
        <v>0</v>
      </c>
      <c r="N858" s="3">
        <v>11</v>
      </c>
      <c r="O858" s="3">
        <v>0.21</v>
      </c>
      <c r="P858" s="3">
        <v>0</v>
      </c>
      <c r="Q858" s="3">
        <v>0</v>
      </c>
      <c r="R858" s="3">
        <v>0</v>
      </c>
    </row>
    <row r="859" spans="1:18">
      <c r="A859" s="3" t="s">
        <v>2277</v>
      </c>
      <c r="B859" s="3" t="s">
        <v>2278</v>
      </c>
      <c r="C859" s="3" t="s">
        <v>2278</v>
      </c>
      <c r="D859" s="3" t="s">
        <v>2279</v>
      </c>
      <c r="E859" s="3" t="s">
        <v>120</v>
      </c>
      <c r="F859" s="3">
        <v>39.98</v>
      </c>
      <c r="G859" s="3" t="s">
        <v>121</v>
      </c>
      <c r="H859" s="3"/>
      <c r="I859" s="3" t="s">
        <v>122</v>
      </c>
      <c r="J859" s="3">
        <v>26</v>
      </c>
      <c r="K859" s="3">
        <v>26</v>
      </c>
      <c r="L859" s="3">
        <v>0</v>
      </c>
      <c r="M859" s="3">
        <v>0</v>
      </c>
      <c r="N859" s="3">
        <v>26</v>
      </c>
      <c r="O859" s="3">
        <v>0.1</v>
      </c>
      <c r="P859" s="3">
        <v>0</v>
      </c>
      <c r="Q859" s="3">
        <v>0</v>
      </c>
      <c r="R859" s="3">
        <v>0</v>
      </c>
    </row>
    <row r="860" spans="1:18">
      <c r="A860" s="3" t="s">
        <v>2280</v>
      </c>
      <c r="B860" s="3" t="s">
        <v>2281</v>
      </c>
      <c r="C860" s="3" t="s">
        <v>2281</v>
      </c>
      <c r="D860" s="3" t="s">
        <v>2282</v>
      </c>
      <c r="E860" s="3" t="s">
        <v>120</v>
      </c>
      <c r="F860" s="3">
        <v>39.98</v>
      </c>
      <c r="G860" s="3" t="s">
        <v>121</v>
      </c>
      <c r="H860" s="3"/>
      <c r="I860" s="3" t="s">
        <v>122</v>
      </c>
      <c r="J860" s="3">
        <v>42</v>
      </c>
      <c r="K860" s="3">
        <v>42</v>
      </c>
      <c r="L860" s="3">
        <v>0</v>
      </c>
      <c r="M860" s="3">
        <v>0</v>
      </c>
      <c r="N860" s="3">
        <v>42</v>
      </c>
      <c r="O860" s="3">
        <v>0.21</v>
      </c>
      <c r="P860" s="3">
        <v>0</v>
      </c>
      <c r="Q860" s="3">
        <v>0</v>
      </c>
      <c r="R860" s="3">
        <v>0</v>
      </c>
    </row>
    <row r="861" spans="1:18">
      <c r="A861" s="3" t="s">
        <v>2283</v>
      </c>
      <c r="B861" s="3" t="s">
        <v>2284</v>
      </c>
      <c r="C861" s="3" t="s">
        <v>2284</v>
      </c>
      <c r="D861" s="3" t="s">
        <v>2285</v>
      </c>
      <c r="E861" s="3" t="s">
        <v>120</v>
      </c>
      <c r="F861" s="3">
        <v>39.98</v>
      </c>
      <c r="G861" s="3" t="s">
        <v>121</v>
      </c>
      <c r="H861" s="3"/>
      <c r="I861" s="3" t="s">
        <v>122</v>
      </c>
      <c r="J861" s="3">
        <v>3</v>
      </c>
      <c r="K861" s="3">
        <v>3</v>
      </c>
      <c r="L861" s="3">
        <v>0</v>
      </c>
      <c r="M861" s="3">
        <v>0</v>
      </c>
      <c r="N861" s="3">
        <v>3</v>
      </c>
      <c r="O861" s="3">
        <v>0.21</v>
      </c>
      <c r="P861" s="3">
        <v>0</v>
      </c>
      <c r="Q861" s="3">
        <v>0</v>
      </c>
      <c r="R861" s="3">
        <v>0</v>
      </c>
    </row>
    <row r="862" spans="1:18">
      <c r="A862" s="3" t="s">
        <v>2286</v>
      </c>
      <c r="B862" s="3" t="s">
        <v>2287</v>
      </c>
      <c r="C862" s="3" t="s">
        <v>2287</v>
      </c>
      <c r="D862" s="3" t="s">
        <v>2288</v>
      </c>
      <c r="E862" s="3" t="s">
        <v>120</v>
      </c>
      <c r="F862" s="3">
        <v>39.98</v>
      </c>
      <c r="G862" s="3" t="s">
        <v>121</v>
      </c>
      <c r="H862" s="3"/>
      <c r="I862" s="3" t="s">
        <v>122</v>
      </c>
      <c r="J862" s="3">
        <v>29</v>
      </c>
      <c r="K862" s="3">
        <v>29</v>
      </c>
      <c r="L862" s="3">
        <v>0</v>
      </c>
      <c r="M862" s="3">
        <v>0</v>
      </c>
      <c r="N862" s="3">
        <v>29</v>
      </c>
      <c r="O862" s="3">
        <v>0.14</v>
      </c>
      <c r="P862" s="3">
        <v>0</v>
      </c>
      <c r="Q862" s="3">
        <v>0</v>
      </c>
      <c r="R862" s="3">
        <v>0</v>
      </c>
    </row>
    <row r="863" spans="1:18">
      <c r="A863" s="3" t="s">
        <v>2289</v>
      </c>
      <c r="B863" s="3" t="s">
        <v>2290</v>
      </c>
      <c r="C863" s="3" t="s">
        <v>2290</v>
      </c>
      <c r="D863" s="3" t="s">
        <v>2291</v>
      </c>
      <c r="E863" s="3" t="s">
        <v>120</v>
      </c>
      <c r="F863" s="3">
        <v>39.98</v>
      </c>
      <c r="G863" s="3" t="s">
        <v>121</v>
      </c>
      <c r="H863" s="3"/>
      <c r="I863" s="3" t="s">
        <v>122</v>
      </c>
      <c r="J863" s="3">
        <v>19</v>
      </c>
      <c r="K863" s="3">
        <v>19</v>
      </c>
      <c r="L863" s="3">
        <v>0</v>
      </c>
      <c r="M863" s="3">
        <v>0</v>
      </c>
      <c r="N863" s="3">
        <v>19</v>
      </c>
      <c r="O863" s="3">
        <v>0.21</v>
      </c>
      <c r="P863" s="3">
        <v>0</v>
      </c>
      <c r="Q863" s="3">
        <v>0</v>
      </c>
      <c r="R863" s="3">
        <v>0</v>
      </c>
    </row>
    <row r="864" spans="1:18">
      <c r="A864" s="3" t="s">
        <v>2292</v>
      </c>
      <c r="B864" s="3" t="s">
        <v>2293</v>
      </c>
      <c r="C864" s="3" t="s">
        <v>2293</v>
      </c>
      <c r="D864" s="3" t="s">
        <v>2294</v>
      </c>
      <c r="E864" s="3" t="s">
        <v>120</v>
      </c>
      <c r="F864" s="3">
        <v>39.98</v>
      </c>
      <c r="G864" s="3" t="s">
        <v>121</v>
      </c>
      <c r="H864" s="3"/>
      <c r="I864" s="3" t="s">
        <v>122</v>
      </c>
      <c r="J864" s="3">
        <v>36</v>
      </c>
      <c r="K864" s="3">
        <v>36</v>
      </c>
      <c r="L864" s="3">
        <v>0</v>
      </c>
      <c r="M864" s="3">
        <v>0</v>
      </c>
      <c r="N864" s="3">
        <v>36</v>
      </c>
      <c r="O864" s="3">
        <v>0.21</v>
      </c>
      <c r="P864" s="3">
        <v>0</v>
      </c>
      <c r="Q864" s="3">
        <v>0</v>
      </c>
      <c r="R864" s="3">
        <v>0</v>
      </c>
    </row>
    <row r="865" spans="1:18">
      <c r="A865" s="3" t="s">
        <v>2295</v>
      </c>
      <c r="B865" s="3" t="s">
        <v>2296</v>
      </c>
      <c r="C865" s="3" t="s">
        <v>2296</v>
      </c>
      <c r="D865" s="3" t="s">
        <v>2297</v>
      </c>
      <c r="E865" s="3" t="s">
        <v>120</v>
      </c>
      <c r="F865" s="3">
        <v>39.98</v>
      </c>
      <c r="G865" s="3" t="s">
        <v>121</v>
      </c>
      <c r="H865" s="3"/>
      <c r="I865" s="3" t="s">
        <v>122</v>
      </c>
      <c r="J865" s="3">
        <v>37</v>
      </c>
      <c r="K865" s="3">
        <v>37</v>
      </c>
      <c r="L865" s="3">
        <v>0</v>
      </c>
      <c r="M865" s="3">
        <v>0</v>
      </c>
      <c r="N865" s="3">
        <v>37</v>
      </c>
      <c r="O865" s="3">
        <v>0.14</v>
      </c>
      <c r="P865" s="3">
        <v>0</v>
      </c>
      <c r="Q865" s="3">
        <v>0</v>
      </c>
      <c r="R865" s="3">
        <v>0</v>
      </c>
    </row>
    <row r="866" spans="1:18">
      <c r="A866" s="3" t="s">
        <v>2298</v>
      </c>
      <c r="B866" s="3" t="s">
        <v>2299</v>
      </c>
      <c r="C866" s="3" t="s">
        <v>2299</v>
      </c>
      <c r="D866" s="3" t="s">
        <v>2300</v>
      </c>
      <c r="E866" s="3" t="s">
        <v>120</v>
      </c>
      <c r="F866" s="3">
        <v>39.98</v>
      </c>
      <c r="G866" s="3" t="s">
        <v>121</v>
      </c>
      <c r="H866" s="3"/>
      <c r="I866" s="3" t="s">
        <v>122</v>
      </c>
      <c r="J866" s="3">
        <v>8</v>
      </c>
      <c r="K866" s="3">
        <v>8</v>
      </c>
      <c r="L866" s="3">
        <v>0</v>
      </c>
      <c r="M866" s="3">
        <v>0</v>
      </c>
      <c r="N866" s="3">
        <v>8</v>
      </c>
      <c r="O866" s="3">
        <v>0.21</v>
      </c>
      <c r="P866" s="3">
        <v>0</v>
      </c>
      <c r="Q866" s="3">
        <v>0</v>
      </c>
      <c r="R866" s="3">
        <v>0</v>
      </c>
    </row>
    <row r="867" spans="1:18">
      <c r="A867" s="3" t="s">
        <v>2301</v>
      </c>
      <c r="B867" s="3" t="s">
        <v>2302</v>
      </c>
      <c r="C867" s="3" t="s">
        <v>2302</v>
      </c>
      <c r="D867" s="3" t="s">
        <v>2303</v>
      </c>
      <c r="E867" s="3" t="s">
        <v>120</v>
      </c>
      <c r="F867" s="3">
        <v>39.98</v>
      </c>
      <c r="G867" s="3" t="s">
        <v>121</v>
      </c>
      <c r="H867" s="3"/>
      <c r="I867" s="3" t="s">
        <v>122</v>
      </c>
      <c r="J867" s="3">
        <v>35</v>
      </c>
      <c r="K867" s="3">
        <v>35</v>
      </c>
      <c r="L867" s="3">
        <v>0</v>
      </c>
      <c r="M867" s="3">
        <v>0</v>
      </c>
      <c r="N867" s="3">
        <v>35</v>
      </c>
      <c r="O867" s="3">
        <v>0.21</v>
      </c>
      <c r="P867" s="3">
        <v>0</v>
      </c>
      <c r="Q867" s="3">
        <v>0</v>
      </c>
      <c r="R867" s="3">
        <v>0</v>
      </c>
    </row>
    <row r="868" spans="1:18">
      <c r="A868" s="3" t="s">
        <v>2304</v>
      </c>
      <c r="B868" s="3" t="s">
        <v>2305</v>
      </c>
      <c r="C868" s="3" t="s">
        <v>2305</v>
      </c>
      <c r="D868" s="3" t="s">
        <v>2306</v>
      </c>
      <c r="E868" s="3" t="s">
        <v>120</v>
      </c>
      <c r="F868" s="3">
        <v>39.98</v>
      </c>
      <c r="G868" s="3" t="s">
        <v>121</v>
      </c>
      <c r="H868" s="3"/>
      <c r="I868" s="3" t="s">
        <v>122</v>
      </c>
      <c r="J868" s="3">
        <v>37</v>
      </c>
      <c r="K868" s="3">
        <v>37</v>
      </c>
      <c r="L868" s="3">
        <v>0</v>
      </c>
      <c r="M868" s="3">
        <v>0</v>
      </c>
      <c r="N868" s="3">
        <v>37</v>
      </c>
      <c r="O868" s="3">
        <v>0.21</v>
      </c>
      <c r="P868" s="3">
        <v>0</v>
      </c>
      <c r="Q868" s="3">
        <v>0</v>
      </c>
      <c r="R868" s="3">
        <v>0</v>
      </c>
    </row>
    <row r="869" spans="1:18">
      <c r="A869" s="3" t="s">
        <v>2307</v>
      </c>
      <c r="B869" s="3" t="s">
        <v>2308</v>
      </c>
      <c r="C869" s="3" t="s">
        <v>2308</v>
      </c>
      <c r="D869" s="3" t="s">
        <v>2309</v>
      </c>
      <c r="E869" s="3" t="s">
        <v>120</v>
      </c>
      <c r="F869" s="3">
        <v>39.98</v>
      </c>
      <c r="G869" s="3" t="s">
        <v>121</v>
      </c>
      <c r="H869" s="3"/>
      <c r="I869" s="3" t="s">
        <v>122</v>
      </c>
      <c r="J869" s="3">
        <v>15</v>
      </c>
      <c r="K869" s="3">
        <v>15</v>
      </c>
      <c r="L869" s="3">
        <v>0</v>
      </c>
      <c r="M869" s="3">
        <v>0</v>
      </c>
      <c r="N869" s="3">
        <v>15</v>
      </c>
      <c r="O869" s="3">
        <v>0.14</v>
      </c>
      <c r="P869" s="3">
        <v>0</v>
      </c>
      <c r="Q869" s="3">
        <v>0</v>
      </c>
      <c r="R869" s="3">
        <v>0</v>
      </c>
    </row>
    <row r="870" spans="1:18">
      <c r="A870" s="3" t="s">
        <v>2310</v>
      </c>
      <c r="B870" s="3" t="s">
        <v>2311</v>
      </c>
      <c r="C870" s="3" t="s">
        <v>2311</v>
      </c>
      <c r="D870" s="3" t="s">
        <v>2312</v>
      </c>
      <c r="E870" s="3" t="s">
        <v>120</v>
      </c>
      <c r="F870" s="3">
        <v>39.98</v>
      </c>
      <c r="G870" s="3" t="s">
        <v>121</v>
      </c>
      <c r="H870" s="3"/>
      <c r="I870" s="3" t="s">
        <v>122</v>
      </c>
      <c r="J870" s="3">
        <v>39</v>
      </c>
      <c r="K870" s="3">
        <v>39</v>
      </c>
      <c r="L870" s="3">
        <v>0</v>
      </c>
      <c r="M870" s="3">
        <v>0</v>
      </c>
      <c r="N870" s="3">
        <v>39</v>
      </c>
      <c r="O870" s="3">
        <v>0.21</v>
      </c>
      <c r="P870" s="3">
        <v>0</v>
      </c>
      <c r="Q870" s="3">
        <v>0</v>
      </c>
      <c r="R870" s="3">
        <v>0</v>
      </c>
    </row>
    <row r="871" spans="1:18">
      <c r="A871" s="3" t="s">
        <v>2313</v>
      </c>
      <c r="B871" s="3" t="s">
        <v>2314</v>
      </c>
      <c r="C871" s="3" t="s">
        <v>2314</v>
      </c>
      <c r="D871" s="3" t="s">
        <v>2315</v>
      </c>
      <c r="E871" s="3" t="s">
        <v>120</v>
      </c>
      <c r="F871" s="3">
        <v>39.98</v>
      </c>
      <c r="G871" s="3" t="s">
        <v>121</v>
      </c>
      <c r="H871" s="3"/>
      <c r="I871" s="3" t="s">
        <v>122</v>
      </c>
      <c r="J871" s="3">
        <v>3</v>
      </c>
      <c r="K871" s="3">
        <v>3</v>
      </c>
      <c r="L871" s="3">
        <v>0</v>
      </c>
      <c r="M871" s="3">
        <v>0</v>
      </c>
      <c r="N871" s="3">
        <v>3</v>
      </c>
      <c r="O871" s="3">
        <v>0.14</v>
      </c>
      <c r="P871" s="3">
        <v>0</v>
      </c>
      <c r="Q871" s="3">
        <v>0</v>
      </c>
      <c r="R871" s="3">
        <v>0</v>
      </c>
    </row>
    <row r="872" spans="1:18">
      <c r="A872" s="3" t="s">
        <v>2316</v>
      </c>
      <c r="B872" s="3" t="s">
        <v>2317</v>
      </c>
      <c r="C872" s="3" t="s">
        <v>2317</v>
      </c>
      <c r="D872" s="3" t="s">
        <v>2318</v>
      </c>
      <c r="E872" s="3" t="s">
        <v>120</v>
      </c>
      <c r="F872" s="3">
        <v>39.98</v>
      </c>
      <c r="G872" s="3" t="s">
        <v>121</v>
      </c>
      <c r="H872" s="3"/>
      <c r="I872" s="3" t="s">
        <v>122</v>
      </c>
      <c r="J872" s="3">
        <v>32</v>
      </c>
      <c r="K872" s="3">
        <v>32</v>
      </c>
      <c r="L872" s="3">
        <v>0</v>
      </c>
      <c r="M872" s="3">
        <v>0</v>
      </c>
      <c r="N872" s="3">
        <v>32</v>
      </c>
      <c r="O872" s="3">
        <v>0.14</v>
      </c>
      <c r="P872" s="3">
        <v>0</v>
      </c>
      <c r="Q872" s="3">
        <v>0</v>
      </c>
      <c r="R872" s="3">
        <v>0</v>
      </c>
    </row>
    <row r="873" spans="1:18">
      <c r="A873" s="3" t="s">
        <v>2319</v>
      </c>
      <c r="B873" s="3" t="s">
        <v>2320</v>
      </c>
      <c r="C873" s="3" t="s">
        <v>2320</v>
      </c>
      <c r="D873" s="3" t="s">
        <v>2321</v>
      </c>
      <c r="E873" s="3" t="s">
        <v>120</v>
      </c>
      <c r="F873" s="3">
        <v>39.98</v>
      </c>
      <c r="G873" s="3" t="s">
        <v>121</v>
      </c>
      <c r="H873" s="3"/>
      <c r="I873" s="3" t="s">
        <v>122</v>
      </c>
      <c r="J873" s="3">
        <v>37</v>
      </c>
      <c r="K873" s="3">
        <v>37</v>
      </c>
      <c r="L873" s="3">
        <v>0</v>
      </c>
      <c r="M873" s="3">
        <v>0</v>
      </c>
      <c r="N873" s="3">
        <v>37</v>
      </c>
      <c r="O873" s="3">
        <v>0.14</v>
      </c>
      <c r="P873" s="3">
        <v>0</v>
      </c>
      <c r="Q873" s="3">
        <v>0</v>
      </c>
      <c r="R873" s="3">
        <v>0</v>
      </c>
    </row>
    <row r="874" spans="1:18">
      <c r="A874" s="3" t="s">
        <v>2322</v>
      </c>
      <c r="B874" s="3" t="s">
        <v>2323</v>
      </c>
      <c r="C874" s="3" t="s">
        <v>2323</v>
      </c>
      <c r="D874" s="3" t="s">
        <v>2324</v>
      </c>
      <c r="E874" s="3" t="s">
        <v>120</v>
      </c>
      <c r="F874" s="3">
        <v>39.98</v>
      </c>
      <c r="G874" s="3" t="s">
        <v>121</v>
      </c>
      <c r="H874" s="3"/>
      <c r="I874" s="3" t="s">
        <v>122</v>
      </c>
      <c r="J874" s="3">
        <v>28</v>
      </c>
      <c r="K874" s="3">
        <v>28</v>
      </c>
      <c r="L874" s="3">
        <v>0</v>
      </c>
      <c r="M874" s="3">
        <v>0</v>
      </c>
      <c r="N874" s="3">
        <v>28</v>
      </c>
      <c r="O874" s="3">
        <v>0.21</v>
      </c>
      <c r="P874" s="3">
        <v>0</v>
      </c>
      <c r="Q874" s="3">
        <v>0</v>
      </c>
      <c r="R874" s="3">
        <v>0</v>
      </c>
    </row>
    <row r="875" spans="1:18">
      <c r="A875" s="3" t="s">
        <v>2325</v>
      </c>
      <c r="B875" s="3" t="s">
        <v>2326</v>
      </c>
      <c r="C875" s="3" t="s">
        <v>2326</v>
      </c>
      <c r="D875" s="3" t="s">
        <v>2327</v>
      </c>
      <c r="E875" s="3" t="s">
        <v>120</v>
      </c>
      <c r="F875" s="3">
        <v>39.98</v>
      </c>
      <c r="G875" s="3" t="s">
        <v>121</v>
      </c>
      <c r="H875" s="3"/>
      <c r="I875" s="3" t="s">
        <v>122</v>
      </c>
      <c r="J875" s="3">
        <v>36</v>
      </c>
      <c r="K875" s="3">
        <v>36</v>
      </c>
      <c r="L875" s="3">
        <v>0</v>
      </c>
      <c r="M875" s="3">
        <v>0</v>
      </c>
      <c r="N875" s="3">
        <v>36</v>
      </c>
      <c r="O875" s="3">
        <v>0.21</v>
      </c>
      <c r="P875" s="3">
        <v>0</v>
      </c>
      <c r="Q875" s="3">
        <v>0</v>
      </c>
      <c r="R875" s="3">
        <v>0</v>
      </c>
    </row>
    <row r="876" spans="1:18">
      <c r="A876" s="3" t="s">
        <v>2328</v>
      </c>
      <c r="B876" s="3" t="s">
        <v>2329</v>
      </c>
      <c r="C876" s="3" t="s">
        <v>2329</v>
      </c>
      <c r="D876" s="3" t="s">
        <v>2330</v>
      </c>
      <c r="E876" s="3" t="s">
        <v>120</v>
      </c>
      <c r="F876" s="3">
        <v>39.98</v>
      </c>
      <c r="G876" s="3" t="s">
        <v>121</v>
      </c>
      <c r="H876" s="3"/>
      <c r="I876" s="3" t="s">
        <v>122</v>
      </c>
      <c r="J876" s="3">
        <v>1</v>
      </c>
      <c r="K876" s="3">
        <v>1</v>
      </c>
      <c r="L876" s="3">
        <v>0</v>
      </c>
      <c r="M876" s="3">
        <v>0</v>
      </c>
      <c r="N876" s="3">
        <v>1</v>
      </c>
      <c r="O876" s="3">
        <v>0.14</v>
      </c>
      <c r="P876" s="3">
        <v>0</v>
      </c>
      <c r="Q876" s="3">
        <v>0</v>
      </c>
      <c r="R876" s="3">
        <v>0</v>
      </c>
    </row>
    <row r="877" spans="1:18">
      <c r="A877" s="3" t="s">
        <v>2331</v>
      </c>
      <c r="B877" s="3" t="s">
        <v>2332</v>
      </c>
      <c r="C877" s="3" t="s">
        <v>2332</v>
      </c>
      <c r="D877" s="3" t="s">
        <v>2333</v>
      </c>
      <c r="E877" s="3" t="s">
        <v>120</v>
      </c>
      <c r="F877" s="3">
        <v>39.98</v>
      </c>
      <c r="G877" s="3" t="s">
        <v>121</v>
      </c>
      <c r="H877" s="3"/>
      <c r="I877" s="3" t="s">
        <v>122</v>
      </c>
      <c r="J877" s="3">
        <v>29</v>
      </c>
      <c r="K877" s="3">
        <v>29</v>
      </c>
      <c r="L877" s="3">
        <v>0</v>
      </c>
      <c r="M877" s="3">
        <v>0</v>
      </c>
      <c r="N877" s="3">
        <v>29</v>
      </c>
      <c r="O877" s="3">
        <v>0.21</v>
      </c>
      <c r="P877" s="3">
        <v>0</v>
      </c>
      <c r="Q877" s="3">
        <v>0</v>
      </c>
      <c r="R877" s="3">
        <v>0</v>
      </c>
    </row>
    <row r="878" spans="1:18">
      <c r="A878" s="3" t="s">
        <v>2334</v>
      </c>
      <c r="B878" s="3" t="s">
        <v>2335</v>
      </c>
      <c r="C878" s="3" t="s">
        <v>2335</v>
      </c>
      <c r="D878" s="3" t="s">
        <v>2336</v>
      </c>
      <c r="E878" s="3" t="s">
        <v>120</v>
      </c>
      <c r="F878" s="3">
        <v>39.98</v>
      </c>
      <c r="G878" s="3" t="s">
        <v>121</v>
      </c>
      <c r="H878" s="3"/>
      <c r="I878" s="3" t="s">
        <v>122</v>
      </c>
      <c r="J878" s="3">
        <v>0</v>
      </c>
      <c r="K878" s="3">
        <v>0</v>
      </c>
      <c r="L878" s="3">
        <v>0</v>
      </c>
      <c r="M878" s="3">
        <v>0</v>
      </c>
      <c r="N878" s="3">
        <v>0</v>
      </c>
      <c r="O878" s="3">
        <v>0.14</v>
      </c>
      <c r="P878" s="3">
        <v>0</v>
      </c>
      <c r="Q878" s="3">
        <v>0</v>
      </c>
      <c r="R878" s="3">
        <v>0</v>
      </c>
    </row>
    <row r="879" spans="1:18">
      <c r="A879" s="3" t="s">
        <v>2337</v>
      </c>
      <c r="B879" s="3" t="s">
        <v>2338</v>
      </c>
      <c r="C879" s="3" t="s">
        <v>2338</v>
      </c>
      <c r="D879" s="3" t="s">
        <v>2339</v>
      </c>
      <c r="E879" s="3" t="s">
        <v>120</v>
      </c>
      <c r="F879" s="3">
        <v>39.98</v>
      </c>
      <c r="G879" s="3" t="s">
        <v>121</v>
      </c>
      <c r="H879" s="3"/>
      <c r="I879" s="3" t="s">
        <v>122</v>
      </c>
      <c r="J879" s="3">
        <v>15</v>
      </c>
      <c r="K879" s="3">
        <v>15</v>
      </c>
      <c r="L879" s="3">
        <v>0</v>
      </c>
      <c r="M879" s="3">
        <v>0</v>
      </c>
      <c r="N879" s="3">
        <v>15</v>
      </c>
      <c r="O879" s="3">
        <v>0.21</v>
      </c>
      <c r="P879" s="3">
        <v>0</v>
      </c>
      <c r="Q879" s="3">
        <v>0</v>
      </c>
      <c r="R879" s="3">
        <v>0</v>
      </c>
    </row>
    <row r="880" spans="1:18">
      <c r="A880" s="3" t="s">
        <v>2340</v>
      </c>
      <c r="B880" s="3" t="s">
        <v>2341</v>
      </c>
      <c r="C880" s="3" t="s">
        <v>2341</v>
      </c>
      <c r="D880" s="3" t="s">
        <v>2342</v>
      </c>
      <c r="E880" s="3" t="s">
        <v>120</v>
      </c>
      <c r="F880" s="3">
        <v>39.98</v>
      </c>
      <c r="G880" s="3" t="s">
        <v>121</v>
      </c>
      <c r="H880" s="3"/>
      <c r="I880" s="3" t="s">
        <v>122</v>
      </c>
      <c r="J880" s="3">
        <v>15</v>
      </c>
      <c r="K880" s="3">
        <v>15</v>
      </c>
      <c r="L880" s="3">
        <v>0</v>
      </c>
      <c r="M880" s="3">
        <v>0</v>
      </c>
      <c r="N880" s="3">
        <v>15</v>
      </c>
      <c r="O880" s="3">
        <v>0.21</v>
      </c>
      <c r="P880" s="3">
        <v>0</v>
      </c>
      <c r="Q880" s="3">
        <v>0</v>
      </c>
      <c r="R880" s="3">
        <v>0</v>
      </c>
    </row>
    <row r="881" spans="1:18">
      <c r="A881" s="3" t="s">
        <v>2343</v>
      </c>
      <c r="B881" s="3" t="s">
        <v>2344</v>
      </c>
      <c r="C881" s="3" t="s">
        <v>2344</v>
      </c>
      <c r="D881" s="3" t="s">
        <v>2345</v>
      </c>
      <c r="E881" s="3" t="s">
        <v>120</v>
      </c>
      <c r="F881" s="3">
        <v>39.98</v>
      </c>
      <c r="G881" s="3" t="s">
        <v>121</v>
      </c>
      <c r="H881" s="3"/>
      <c r="I881" s="3" t="s">
        <v>122</v>
      </c>
      <c r="J881" s="3">
        <v>9</v>
      </c>
      <c r="K881" s="3">
        <v>9</v>
      </c>
      <c r="L881" s="3">
        <v>0</v>
      </c>
      <c r="M881" s="3">
        <v>0</v>
      </c>
      <c r="N881" s="3">
        <v>9</v>
      </c>
      <c r="O881" s="3">
        <v>0.21</v>
      </c>
      <c r="P881" s="3">
        <v>0</v>
      </c>
      <c r="Q881" s="3">
        <v>0</v>
      </c>
      <c r="R881" s="3">
        <v>0</v>
      </c>
    </row>
    <row r="882" spans="1:18">
      <c r="A882" s="3" t="s">
        <v>2346</v>
      </c>
      <c r="B882" s="3" t="s">
        <v>2347</v>
      </c>
      <c r="C882" s="3" t="s">
        <v>2347</v>
      </c>
      <c r="D882" s="3" t="s">
        <v>2348</v>
      </c>
      <c r="E882" s="3" t="s">
        <v>120</v>
      </c>
      <c r="F882" s="3">
        <v>39.98</v>
      </c>
      <c r="G882" s="3" t="s">
        <v>121</v>
      </c>
      <c r="H882" s="3"/>
      <c r="I882" s="3" t="s">
        <v>122</v>
      </c>
      <c r="J882" s="3">
        <v>21</v>
      </c>
      <c r="K882" s="3">
        <v>21</v>
      </c>
      <c r="L882" s="3">
        <v>0</v>
      </c>
      <c r="M882" s="3">
        <v>0</v>
      </c>
      <c r="N882" s="3">
        <v>21</v>
      </c>
      <c r="O882" s="3">
        <v>0.14</v>
      </c>
      <c r="P882" s="3">
        <v>0</v>
      </c>
      <c r="Q882" s="3">
        <v>0</v>
      </c>
      <c r="R882" s="3">
        <v>0</v>
      </c>
    </row>
    <row r="883" spans="1:18">
      <c r="A883" s="3" t="s">
        <v>2349</v>
      </c>
      <c r="B883" s="3" t="s">
        <v>2350</v>
      </c>
      <c r="C883" s="3" t="s">
        <v>2350</v>
      </c>
      <c r="D883" s="3" t="s">
        <v>2351</v>
      </c>
      <c r="E883" s="3" t="s">
        <v>120</v>
      </c>
      <c r="F883" s="3">
        <v>39.98</v>
      </c>
      <c r="G883" s="3" t="s">
        <v>121</v>
      </c>
      <c r="H883" s="3"/>
      <c r="I883" s="3" t="s">
        <v>122</v>
      </c>
      <c r="J883" s="3">
        <v>5</v>
      </c>
      <c r="K883" s="3">
        <v>5</v>
      </c>
      <c r="L883" s="3">
        <v>0</v>
      </c>
      <c r="M883" s="3">
        <v>0</v>
      </c>
      <c r="N883" s="3">
        <v>5</v>
      </c>
      <c r="O883" s="3">
        <v>0.14</v>
      </c>
      <c r="P883" s="3">
        <v>0</v>
      </c>
      <c r="Q883" s="3">
        <v>0</v>
      </c>
      <c r="R883" s="3">
        <v>0</v>
      </c>
    </row>
    <row r="884" spans="1:18">
      <c r="A884" s="3" t="s">
        <v>2352</v>
      </c>
      <c r="B884" s="3" t="s">
        <v>2353</v>
      </c>
      <c r="C884" s="3" t="s">
        <v>2353</v>
      </c>
      <c r="D884" s="3" t="s">
        <v>2354</v>
      </c>
      <c r="E884" s="3" t="s">
        <v>120</v>
      </c>
      <c r="F884" s="3">
        <v>39.98</v>
      </c>
      <c r="G884" s="3" t="s">
        <v>121</v>
      </c>
      <c r="H884" s="3"/>
      <c r="I884" s="3" t="s">
        <v>122</v>
      </c>
      <c r="J884" s="3">
        <v>30</v>
      </c>
      <c r="K884" s="3">
        <v>30</v>
      </c>
      <c r="L884" s="3">
        <v>0</v>
      </c>
      <c r="M884" s="3">
        <v>0</v>
      </c>
      <c r="N884" s="3">
        <v>30</v>
      </c>
      <c r="O884" s="3">
        <v>0.21</v>
      </c>
      <c r="P884" s="3">
        <v>0</v>
      </c>
      <c r="Q884" s="3">
        <v>0</v>
      </c>
      <c r="R884" s="3">
        <v>0</v>
      </c>
    </row>
    <row r="885" spans="1:18">
      <c r="A885" s="3" t="s">
        <v>2355</v>
      </c>
      <c r="B885" s="3" t="s">
        <v>2356</v>
      </c>
      <c r="C885" s="3" t="s">
        <v>2356</v>
      </c>
      <c r="D885" s="3" t="s">
        <v>2357</v>
      </c>
      <c r="E885" s="3" t="s">
        <v>120</v>
      </c>
      <c r="F885" s="3">
        <v>39.98</v>
      </c>
      <c r="G885" s="3" t="s">
        <v>121</v>
      </c>
      <c r="H885" s="3"/>
      <c r="I885" s="3" t="s">
        <v>122</v>
      </c>
      <c r="J885" s="3">
        <v>27</v>
      </c>
      <c r="K885" s="3">
        <v>27</v>
      </c>
      <c r="L885" s="3">
        <v>0</v>
      </c>
      <c r="M885" s="3">
        <v>0</v>
      </c>
      <c r="N885" s="3">
        <v>27</v>
      </c>
      <c r="O885" s="3">
        <v>0.21</v>
      </c>
      <c r="P885" s="3">
        <v>0</v>
      </c>
      <c r="Q885" s="3">
        <v>0</v>
      </c>
      <c r="R885" s="3">
        <v>0</v>
      </c>
    </row>
    <row r="886" spans="1:18">
      <c r="A886" s="3" t="s">
        <v>2358</v>
      </c>
      <c r="B886" s="3" t="s">
        <v>2359</v>
      </c>
      <c r="C886" s="3" t="s">
        <v>2359</v>
      </c>
      <c r="D886" s="3" t="s">
        <v>2360</v>
      </c>
      <c r="E886" s="3" t="s">
        <v>120</v>
      </c>
      <c r="F886" s="3">
        <v>39.98</v>
      </c>
      <c r="G886" s="3" t="s">
        <v>121</v>
      </c>
      <c r="H886" s="3"/>
      <c r="I886" s="3" t="s">
        <v>122</v>
      </c>
      <c r="J886" s="3">
        <v>11</v>
      </c>
      <c r="K886" s="3">
        <v>11</v>
      </c>
      <c r="L886" s="3">
        <v>0</v>
      </c>
      <c r="M886" s="3">
        <v>0</v>
      </c>
      <c r="N886" s="3">
        <v>11</v>
      </c>
      <c r="O886" s="3">
        <v>0.14</v>
      </c>
      <c r="P886" s="3">
        <v>0</v>
      </c>
      <c r="Q886" s="3">
        <v>0</v>
      </c>
      <c r="R886" s="3">
        <v>0</v>
      </c>
    </row>
    <row r="887" spans="1:18">
      <c r="A887" s="3" t="s">
        <v>2361</v>
      </c>
      <c r="B887" s="3" t="s">
        <v>2362</v>
      </c>
      <c r="C887" s="3" t="s">
        <v>2362</v>
      </c>
      <c r="D887" s="3" t="s">
        <v>2363</v>
      </c>
      <c r="E887" s="3" t="s">
        <v>120</v>
      </c>
      <c r="F887" s="3">
        <v>39.98</v>
      </c>
      <c r="G887" s="3" t="s">
        <v>121</v>
      </c>
      <c r="H887" s="3"/>
      <c r="I887" s="3" t="s">
        <v>122</v>
      </c>
      <c r="J887" s="3">
        <v>22</v>
      </c>
      <c r="K887" s="3">
        <v>22</v>
      </c>
      <c r="L887" s="3">
        <v>0</v>
      </c>
      <c r="M887" s="3">
        <v>0</v>
      </c>
      <c r="N887" s="3">
        <v>22</v>
      </c>
      <c r="O887" s="3">
        <v>0.14</v>
      </c>
      <c r="P887" s="3">
        <v>0</v>
      </c>
      <c r="Q887" s="3">
        <v>0</v>
      </c>
      <c r="R887" s="3">
        <v>0</v>
      </c>
    </row>
    <row r="888" spans="1:18">
      <c r="A888" s="3" t="s">
        <v>2364</v>
      </c>
      <c r="B888" s="3" t="s">
        <v>2365</v>
      </c>
      <c r="C888" s="3" t="s">
        <v>2365</v>
      </c>
      <c r="D888" s="3" t="s">
        <v>2366</v>
      </c>
      <c r="E888" s="3" t="s">
        <v>120</v>
      </c>
      <c r="F888" s="3">
        <v>39.98</v>
      </c>
      <c r="G888" s="3" t="s">
        <v>121</v>
      </c>
      <c r="H888" s="3"/>
      <c r="I888" s="3" t="s">
        <v>122</v>
      </c>
      <c r="J888" s="3">
        <v>0</v>
      </c>
      <c r="K888" s="3">
        <v>0</v>
      </c>
      <c r="L888" s="3">
        <v>0</v>
      </c>
      <c r="M888" s="3">
        <v>0</v>
      </c>
      <c r="N888" s="3">
        <v>0</v>
      </c>
      <c r="O888" s="3">
        <v>0.14</v>
      </c>
      <c r="P888" s="3">
        <v>0</v>
      </c>
      <c r="Q888" s="3">
        <v>0</v>
      </c>
      <c r="R888" s="3">
        <v>0</v>
      </c>
    </row>
    <row r="889" spans="1:18">
      <c r="A889" s="3" t="s">
        <v>2367</v>
      </c>
      <c r="B889" s="3" t="s">
        <v>2368</v>
      </c>
      <c r="C889" s="3" t="s">
        <v>2368</v>
      </c>
      <c r="D889" s="3" t="s">
        <v>2369</v>
      </c>
      <c r="E889" s="3" t="s">
        <v>120</v>
      </c>
      <c r="F889" s="3">
        <v>39.98</v>
      </c>
      <c r="G889" s="3" t="s">
        <v>121</v>
      </c>
      <c r="H889" s="3"/>
      <c r="I889" s="3" t="s">
        <v>122</v>
      </c>
      <c r="J889" s="3">
        <v>35</v>
      </c>
      <c r="K889" s="3">
        <v>35</v>
      </c>
      <c r="L889" s="3">
        <v>0</v>
      </c>
      <c r="M889" s="3">
        <v>0</v>
      </c>
      <c r="N889" s="3">
        <v>35</v>
      </c>
      <c r="O889" s="3">
        <v>0.21</v>
      </c>
      <c r="P889" s="3">
        <v>0</v>
      </c>
      <c r="Q889" s="3">
        <v>0</v>
      </c>
      <c r="R889" s="3">
        <v>0</v>
      </c>
    </row>
    <row r="890" spans="1:18">
      <c r="A890" s="3" t="s">
        <v>2370</v>
      </c>
      <c r="B890" s="3" t="s">
        <v>2371</v>
      </c>
      <c r="C890" s="3" t="s">
        <v>2371</v>
      </c>
      <c r="D890" s="3" t="s">
        <v>2372</v>
      </c>
      <c r="E890" s="3" t="s">
        <v>120</v>
      </c>
      <c r="F890" s="3">
        <v>39.98</v>
      </c>
      <c r="G890" s="3" t="s">
        <v>121</v>
      </c>
      <c r="H890" s="3"/>
      <c r="I890" s="3" t="s">
        <v>122</v>
      </c>
      <c r="J890" s="3">
        <v>41</v>
      </c>
      <c r="K890" s="3">
        <v>41</v>
      </c>
      <c r="L890" s="3">
        <v>0</v>
      </c>
      <c r="M890" s="3">
        <v>0</v>
      </c>
      <c r="N890" s="3">
        <v>41</v>
      </c>
      <c r="O890" s="3">
        <v>0.21</v>
      </c>
      <c r="P890" s="3">
        <v>0</v>
      </c>
      <c r="Q890" s="3">
        <v>0</v>
      </c>
      <c r="R890" s="3">
        <v>0</v>
      </c>
    </row>
    <row r="891" spans="1:18">
      <c r="A891" s="3" t="s">
        <v>2373</v>
      </c>
      <c r="B891" s="3" t="s">
        <v>2374</v>
      </c>
      <c r="C891" s="3" t="s">
        <v>2374</v>
      </c>
      <c r="D891" s="3" t="s">
        <v>2375</v>
      </c>
      <c r="E891" s="3" t="s">
        <v>120</v>
      </c>
      <c r="F891" s="3">
        <v>39.98</v>
      </c>
      <c r="G891" s="3" t="s">
        <v>121</v>
      </c>
      <c r="H891" s="3"/>
      <c r="I891" s="3" t="s">
        <v>122</v>
      </c>
      <c r="J891" s="3">
        <v>13</v>
      </c>
      <c r="K891" s="3">
        <v>13</v>
      </c>
      <c r="L891" s="3">
        <v>0</v>
      </c>
      <c r="M891" s="3">
        <v>0</v>
      </c>
      <c r="N891" s="3">
        <v>13</v>
      </c>
      <c r="O891" s="3">
        <v>0.14</v>
      </c>
      <c r="P891" s="3">
        <v>0</v>
      </c>
      <c r="Q891" s="3">
        <v>0</v>
      </c>
      <c r="R891" s="3">
        <v>0</v>
      </c>
    </row>
    <row r="892" spans="1:18">
      <c r="A892" s="3" t="s">
        <v>2376</v>
      </c>
      <c r="B892" s="3" t="s">
        <v>2377</v>
      </c>
      <c r="C892" s="3" t="s">
        <v>2377</v>
      </c>
      <c r="D892" s="3" t="s">
        <v>2378</v>
      </c>
      <c r="E892" s="3" t="s">
        <v>120</v>
      </c>
      <c r="F892" s="3">
        <v>39.98</v>
      </c>
      <c r="G892" s="3" t="s">
        <v>121</v>
      </c>
      <c r="H892" s="3"/>
      <c r="I892" s="3" t="s">
        <v>122</v>
      </c>
      <c r="J892" s="3">
        <v>26</v>
      </c>
      <c r="K892" s="3">
        <v>26</v>
      </c>
      <c r="L892" s="3">
        <v>0</v>
      </c>
      <c r="M892" s="3">
        <v>0</v>
      </c>
      <c r="N892" s="3">
        <v>26</v>
      </c>
      <c r="O892" s="3">
        <v>0.21</v>
      </c>
      <c r="P892" s="3">
        <v>0</v>
      </c>
      <c r="Q892" s="3">
        <v>0</v>
      </c>
      <c r="R892" s="3">
        <v>0</v>
      </c>
    </row>
    <row r="893" spans="1:18">
      <c r="A893" s="3" t="s">
        <v>2379</v>
      </c>
      <c r="B893" s="3" t="s">
        <v>2380</v>
      </c>
      <c r="C893" s="3" t="s">
        <v>2380</v>
      </c>
      <c r="D893" s="3" t="s">
        <v>2381</v>
      </c>
      <c r="E893" s="3" t="s">
        <v>120</v>
      </c>
      <c r="F893" s="3">
        <v>22.98</v>
      </c>
      <c r="G893" s="3" t="s">
        <v>121</v>
      </c>
      <c r="H893" s="3"/>
      <c r="I893" s="3" t="s">
        <v>122</v>
      </c>
      <c r="J893" s="3">
        <v>11</v>
      </c>
      <c r="K893" s="3">
        <v>11</v>
      </c>
      <c r="L893" s="3">
        <v>0</v>
      </c>
      <c r="M893" s="3">
        <v>0</v>
      </c>
      <c r="N893" s="3">
        <v>11</v>
      </c>
      <c r="O893" s="3">
        <v>0.15</v>
      </c>
      <c r="P893" s="3">
        <v>0</v>
      </c>
      <c r="Q893" s="3">
        <v>0</v>
      </c>
      <c r="R893" s="3">
        <v>0</v>
      </c>
    </row>
    <row r="894" spans="1:18">
      <c r="A894" s="3" t="s">
        <v>2382</v>
      </c>
      <c r="B894" s="3" t="s">
        <v>2383</v>
      </c>
      <c r="C894" s="3" t="s">
        <v>2383</v>
      </c>
      <c r="D894" s="3" t="s">
        <v>2384</v>
      </c>
      <c r="E894" s="3" t="s">
        <v>120</v>
      </c>
      <c r="F894" s="3">
        <v>22.98</v>
      </c>
      <c r="G894" s="3" t="s">
        <v>121</v>
      </c>
      <c r="H894" s="3"/>
      <c r="I894" s="3" t="s">
        <v>122</v>
      </c>
      <c r="J894" s="3">
        <v>11</v>
      </c>
      <c r="K894" s="3">
        <v>11</v>
      </c>
      <c r="L894" s="3">
        <v>0</v>
      </c>
      <c r="M894" s="3">
        <v>0</v>
      </c>
      <c r="N894" s="3">
        <v>11</v>
      </c>
      <c r="O894" s="3">
        <v>0.15</v>
      </c>
      <c r="P894" s="3">
        <v>0</v>
      </c>
      <c r="Q894" s="3">
        <v>0</v>
      </c>
      <c r="R894" s="3">
        <v>0</v>
      </c>
    </row>
    <row r="895" spans="1:18">
      <c r="A895" s="3" t="s">
        <v>2385</v>
      </c>
      <c r="B895" s="3" t="s">
        <v>2386</v>
      </c>
      <c r="C895" s="3" t="s">
        <v>2386</v>
      </c>
      <c r="D895" s="3" t="s">
        <v>2387</v>
      </c>
      <c r="E895" s="3" t="s">
        <v>120</v>
      </c>
      <c r="F895" s="3">
        <v>22.98</v>
      </c>
      <c r="G895" s="3" t="s">
        <v>121</v>
      </c>
      <c r="H895" s="3"/>
      <c r="I895" s="3" t="s">
        <v>122</v>
      </c>
      <c r="J895" s="3">
        <v>5</v>
      </c>
      <c r="K895" s="3">
        <v>5</v>
      </c>
      <c r="L895" s="3">
        <v>0</v>
      </c>
      <c r="M895" s="3">
        <v>0</v>
      </c>
      <c r="N895" s="3">
        <v>5</v>
      </c>
      <c r="O895" s="3">
        <v>0.15</v>
      </c>
      <c r="P895" s="3">
        <v>0</v>
      </c>
      <c r="Q895" s="3">
        <v>0</v>
      </c>
      <c r="R895" s="3">
        <v>0</v>
      </c>
    </row>
    <row r="896" spans="1:18">
      <c r="A896" s="3" t="s">
        <v>2388</v>
      </c>
      <c r="B896" s="3" t="s">
        <v>2389</v>
      </c>
      <c r="C896" s="3" t="s">
        <v>2389</v>
      </c>
      <c r="D896" s="3" t="s">
        <v>2390</v>
      </c>
      <c r="E896" s="3" t="s">
        <v>120</v>
      </c>
      <c r="F896" s="3">
        <v>22.98</v>
      </c>
      <c r="G896" s="3" t="s">
        <v>121</v>
      </c>
      <c r="H896" s="3"/>
      <c r="I896" s="3" t="s">
        <v>122</v>
      </c>
      <c r="J896" s="3">
        <v>7</v>
      </c>
      <c r="K896" s="3">
        <v>7</v>
      </c>
      <c r="L896" s="3">
        <v>0</v>
      </c>
      <c r="M896" s="3">
        <v>0</v>
      </c>
      <c r="N896" s="3">
        <v>7</v>
      </c>
      <c r="O896" s="3">
        <v>0.15</v>
      </c>
      <c r="P896" s="3">
        <v>0</v>
      </c>
      <c r="Q896" s="3">
        <v>0</v>
      </c>
      <c r="R896" s="3">
        <v>0</v>
      </c>
    </row>
    <row r="897" spans="1:18">
      <c r="A897" s="3" t="s">
        <v>2391</v>
      </c>
      <c r="B897" s="3" t="s">
        <v>2392</v>
      </c>
      <c r="C897" s="3" t="s">
        <v>2392</v>
      </c>
      <c r="D897" s="3" t="s">
        <v>2393</v>
      </c>
      <c r="E897" s="3" t="s">
        <v>120</v>
      </c>
      <c r="F897" s="3">
        <v>22.98</v>
      </c>
      <c r="G897" s="3" t="s">
        <v>121</v>
      </c>
      <c r="H897" s="3"/>
      <c r="I897" s="3" t="s">
        <v>122</v>
      </c>
      <c r="J897" s="3">
        <v>11</v>
      </c>
      <c r="K897" s="3">
        <v>11</v>
      </c>
      <c r="L897" s="3">
        <v>0</v>
      </c>
      <c r="M897" s="3">
        <v>0</v>
      </c>
      <c r="N897" s="3">
        <v>11</v>
      </c>
      <c r="O897" s="3">
        <v>0.15</v>
      </c>
      <c r="P897" s="3">
        <v>0</v>
      </c>
      <c r="Q897" s="3">
        <v>0</v>
      </c>
      <c r="R897" s="3">
        <v>0</v>
      </c>
    </row>
    <row r="898" spans="1:18">
      <c r="A898" s="3" t="s">
        <v>2394</v>
      </c>
      <c r="B898" s="3" t="s">
        <v>2395</v>
      </c>
      <c r="C898" s="3" t="s">
        <v>2395</v>
      </c>
      <c r="D898" s="3" t="s">
        <v>2396</v>
      </c>
      <c r="E898" s="3" t="s">
        <v>120</v>
      </c>
      <c r="F898" s="3">
        <v>22.98</v>
      </c>
      <c r="G898" s="3" t="s">
        <v>121</v>
      </c>
      <c r="H898" s="3"/>
      <c r="I898" s="3" t="s">
        <v>122</v>
      </c>
      <c r="J898" s="3">
        <v>12</v>
      </c>
      <c r="K898" s="3">
        <v>12</v>
      </c>
      <c r="L898" s="3">
        <v>0</v>
      </c>
      <c r="M898" s="3">
        <v>0</v>
      </c>
      <c r="N898" s="3">
        <v>12</v>
      </c>
      <c r="O898" s="3">
        <v>0.15</v>
      </c>
      <c r="P898" s="3">
        <v>0</v>
      </c>
      <c r="Q898" s="3">
        <v>0</v>
      </c>
      <c r="R898" s="3">
        <v>0</v>
      </c>
    </row>
    <row r="899" spans="1:18">
      <c r="A899" s="3" t="s">
        <v>2397</v>
      </c>
      <c r="B899" s="3" t="s">
        <v>2398</v>
      </c>
      <c r="C899" s="3" t="s">
        <v>2398</v>
      </c>
      <c r="D899" s="3" t="s">
        <v>2399</v>
      </c>
      <c r="E899" s="3" t="s">
        <v>120</v>
      </c>
      <c r="F899" s="3">
        <v>22.98</v>
      </c>
      <c r="G899" s="3" t="s">
        <v>121</v>
      </c>
      <c r="H899" s="3"/>
      <c r="I899" s="3" t="s">
        <v>122</v>
      </c>
      <c r="J899" s="3">
        <v>7</v>
      </c>
      <c r="K899" s="3">
        <v>7</v>
      </c>
      <c r="L899" s="3">
        <v>0</v>
      </c>
      <c r="M899" s="3">
        <v>0</v>
      </c>
      <c r="N899" s="3">
        <v>7</v>
      </c>
      <c r="O899" s="3">
        <v>0.15</v>
      </c>
      <c r="P899" s="3">
        <v>0</v>
      </c>
      <c r="Q899" s="3">
        <v>0</v>
      </c>
      <c r="R899" s="3">
        <v>0</v>
      </c>
    </row>
    <row r="900" spans="1:18">
      <c r="A900" s="3" t="s">
        <v>2400</v>
      </c>
      <c r="B900" s="3" t="s">
        <v>2401</v>
      </c>
      <c r="C900" s="3" t="s">
        <v>2401</v>
      </c>
      <c r="D900" s="3" t="s">
        <v>2402</v>
      </c>
      <c r="E900" s="3" t="s">
        <v>120</v>
      </c>
      <c r="F900" s="3">
        <v>22.98</v>
      </c>
      <c r="G900" s="3" t="s">
        <v>121</v>
      </c>
      <c r="H900" s="3"/>
      <c r="I900" s="3" t="s">
        <v>122</v>
      </c>
      <c r="J900" s="3">
        <v>12</v>
      </c>
      <c r="K900" s="3">
        <v>12</v>
      </c>
      <c r="L900" s="3">
        <v>0</v>
      </c>
      <c r="M900" s="3">
        <v>0</v>
      </c>
      <c r="N900" s="3">
        <v>12</v>
      </c>
      <c r="O900" s="3">
        <v>0.15</v>
      </c>
      <c r="P900" s="3">
        <v>0</v>
      </c>
      <c r="Q900" s="3">
        <v>0</v>
      </c>
      <c r="R900" s="3">
        <v>0</v>
      </c>
    </row>
    <row r="901" spans="1:18">
      <c r="A901" s="3" t="s">
        <v>2403</v>
      </c>
      <c r="B901" s="3" t="s">
        <v>2404</v>
      </c>
      <c r="C901" s="3" t="s">
        <v>2404</v>
      </c>
      <c r="D901" s="3" t="s">
        <v>2405</v>
      </c>
      <c r="E901" s="3" t="s">
        <v>120</v>
      </c>
      <c r="F901" s="3">
        <v>22.98</v>
      </c>
      <c r="G901" s="3" t="s">
        <v>121</v>
      </c>
      <c r="H901" s="3"/>
      <c r="I901" s="3" t="s">
        <v>122</v>
      </c>
      <c r="J901" s="3">
        <v>1</v>
      </c>
      <c r="K901" s="3">
        <v>1</v>
      </c>
      <c r="L901" s="3">
        <v>0</v>
      </c>
      <c r="M901" s="3">
        <v>0</v>
      </c>
      <c r="N901" s="3">
        <v>1</v>
      </c>
      <c r="O901" s="3">
        <v>0.15</v>
      </c>
      <c r="P901" s="3">
        <v>0</v>
      </c>
      <c r="Q901" s="3">
        <v>0</v>
      </c>
      <c r="R901" s="3">
        <v>0</v>
      </c>
    </row>
    <row r="902" spans="1:18">
      <c r="A902" s="3" t="s">
        <v>2406</v>
      </c>
      <c r="B902" s="3" t="s">
        <v>2407</v>
      </c>
      <c r="C902" s="3" t="s">
        <v>2407</v>
      </c>
      <c r="D902" s="3" t="s">
        <v>2408</v>
      </c>
      <c r="E902" s="3" t="s">
        <v>120</v>
      </c>
      <c r="F902" s="3">
        <v>22.98</v>
      </c>
      <c r="G902" s="3" t="s">
        <v>121</v>
      </c>
      <c r="H902" s="3"/>
      <c r="I902" s="3" t="s">
        <v>122</v>
      </c>
      <c r="J902" s="3">
        <v>11</v>
      </c>
      <c r="K902" s="3">
        <v>11</v>
      </c>
      <c r="L902" s="3">
        <v>0</v>
      </c>
      <c r="M902" s="3">
        <v>0</v>
      </c>
      <c r="N902" s="3">
        <v>11</v>
      </c>
      <c r="O902" s="3">
        <v>0.15</v>
      </c>
      <c r="P902" s="3">
        <v>0</v>
      </c>
      <c r="Q902" s="3">
        <v>0</v>
      </c>
      <c r="R902" s="3">
        <v>0</v>
      </c>
    </row>
    <row r="903" spans="1:18">
      <c r="A903" s="3" t="s">
        <v>2409</v>
      </c>
      <c r="B903" s="3" t="s">
        <v>2410</v>
      </c>
      <c r="C903" s="3" t="s">
        <v>2410</v>
      </c>
      <c r="D903" s="3" t="s">
        <v>2411</v>
      </c>
      <c r="E903" s="3" t="s">
        <v>120</v>
      </c>
      <c r="F903" s="3">
        <v>22.98</v>
      </c>
      <c r="G903" s="3" t="s">
        <v>121</v>
      </c>
      <c r="H903" s="3"/>
      <c r="I903" s="3" t="s">
        <v>122</v>
      </c>
      <c r="J903" s="3">
        <v>23</v>
      </c>
      <c r="K903" s="3">
        <v>23</v>
      </c>
      <c r="L903" s="3">
        <v>0</v>
      </c>
      <c r="M903" s="3">
        <v>0</v>
      </c>
      <c r="N903" s="3">
        <v>23</v>
      </c>
      <c r="O903" s="3">
        <v>0.15</v>
      </c>
      <c r="P903" s="3">
        <v>0</v>
      </c>
      <c r="Q903" s="3">
        <v>0</v>
      </c>
      <c r="R903" s="3">
        <v>0</v>
      </c>
    </row>
    <row r="904" spans="1:18">
      <c r="A904" s="3" t="s">
        <v>2412</v>
      </c>
      <c r="B904" s="3" t="s">
        <v>2413</v>
      </c>
      <c r="C904" s="3" t="s">
        <v>2413</v>
      </c>
      <c r="D904" s="3" t="s">
        <v>2414</v>
      </c>
      <c r="E904" s="3" t="s">
        <v>120</v>
      </c>
      <c r="F904" s="3">
        <v>22.98</v>
      </c>
      <c r="G904" s="3" t="s">
        <v>121</v>
      </c>
      <c r="H904" s="3"/>
      <c r="I904" s="3" t="s">
        <v>122</v>
      </c>
      <c r="J904" s="3">
        <v>17</v>
      </c>
      <c r="K904" s="3">
        <v>17</v>
      </c>
      <c r="L904" s="3">
        <v>0</v>
      </c>
      <c r="M904" s="3">
        <v>0</v>
      </c>
      <c r="N904" s="3">
        <v>17</v>
      </c>
      <c r="O904" s="3">
        <v>0.15</v>
      </c>
      <c r="P904" s="3">
        <v>0</v>
      </c>
      <c r="Q904" s="3">
        <v>0</v>
      </c>
      <c r="R904" s="3">
        <v>0</v>
      </c>
    </row>
    <row r="905" spans="1:18">
      <c r="A905" s="3" t="s">
        <v>2415</v>
      </c>
      <c r="B905" s="3" t="s">
        <v>2416</v>
      </c>
      <c r="C905" s="3" t="s">
        <v>2416</v>
      </c>
      <c r="D905" s="3" t="s">
        <v>2417</v>
      </c>
      <c r="E905" s="3" t="s">
        <v>120</v>
      </c>
      <c r="F905" s="3">
        <v>22.98</v>
      </c>
      <c r="G905" s="3" t="s">
        <v>121</v>
      </c>
      <c r="H905" s="3"/>
      <c r="I905" s="3" t="s">
        <v>122</v>
      </c>
      <c r="J905" s="3">
        <v>13</v>
      </c>
      <c r="K905" s="3">
        <v>13</v>
      </c>
      <c r="L905" s="3">
        <v>0</v>
      </c>
      <c r="M905" s="3">
        <v>0</v>
      </c>
      <c r="N905" s="3">
        <v>13</v>
      </c>
      <c r="O905" s="3">
        <v>0.15</v>
      </c>
      <c r="P905" s="3">
        <v>0</v>
      </c>
      <c r="Q905" s="3">
        <v>0</v>
      </c>
      <c r="R905" s="3">
        <v>0</v>
      </c>
    </row>
    <row r="906" spans="1:18">
      <c r="A906" s="3" t="s">
        <v>2418</v>
      </c>
      <c r="B906" s="3" t="s">
        <v>2419</v>
      </c>
      <c r="C906" s="3" t="s">
        <v>2419</v>
      </c>
      <c r="D906" s="3" t="s">
        <v>2420</v>
      </c>
      <c r="E906" s="3" t="s">
        <v>120</v>
      </c>
      <c r="F906" s="3">
        <v>22.98</v>
      </c>
      <c r="G906" s="3" t="s">
        <v>121</v>
      </c>
      <c r="H906" s="3"/>
      <c r="I906" s="3" t="s">
        <v>122</v>
      </c>
      <c r="J906" s="3">
        <v>1</v>
      </c>
      <c r="K906" s="3">
        <v>1</v>
      </c>
      <c r="L906" s="3">
        <v>0</v>
      </c>
      <c r="M906" s="3">
        <v>0</v>
      </c>
      <c r="N906" s="3">
        <v>1</v>
      </c>
      <c r="O906" s="3">
        <v>0.15</v>
      </c>
      <c r="P906" s="3">
        <v>0</v>
      </c>
      <c r="Q906" s="3">
        <v>0</v>
      </c>
      <c r="R906" s="3">
        <v>0</v>
      </c>
    </row>
    <row r="907" spans="1:18">
      <c r="A907" s="3" t="s">
        <v>2421</v>
      </c>
      <c r="B907" s="3" t="s">
        <v>2422</v>
      </c>
      <c r="C907" s="3" t="s">
        <v>2422</v>
      </c>
      <c r="D907" s="3" t="s">
        <v>2423</v>
      </c>
      <c r="E907" s="3" t="s">
        <v>120</v>
      </c>
      <c r="F907" s="3">
        <v>22.98</v>
      </c>
      <c r="G907" s="3" t="s">
        <v>121</v>
      </c>
      <c r="H907" s="3"/>
      <c r="I907" s="3" t="s">
        <v>122</v>
      </c>
      <c r="J907" s="3">
        <v>18</v>
      </c>
      <c r="K907" s="3">
        <v>18</v>
      </c>
      <c r="L907" s="3">
        <v>0</v>
      </c>
      <c r="M907" s="3">
        <v>0</v>
      </c>
      <c r="N907" s="3">
        <v>18</v>
      </c>
      <c r="O907" s="3">
        <v>0.15</v>
      </c>
      <c r="P907" s="3">
        <v>0</v>
      </c>
      <c r="Q907" s="3">
        <v>0</v>
      </c>
      <c r="R907" s="3">
        <v>0</v>
      </c>
    </row>
    <row r="908" spans="1:18">
      <c r="A908" s="3" t="s">
        <v>2424</v>
      </c>
      <c r="B908" s="3" t="s">
        <v>2425</v>
      </c>
      <c r="C908" s="3" t="s">
        <v>2425</v>
      </c>
      <c r="D908" s="3" t="s">
        <v>2426</v>
      </c>
      <c r="E908" s="3" t="s">
        <v>120</v>
      </c>
      <c r="F908" s="3">
        <v>22.98</v>
      </c>
      <c r="G908" s="3" t="s">
        <v>121</v>
      </c>
      <c r="H908" s="3"/>
      <c r="I908" s="3" t="s">
        <v>122</v>
      </c>
      <c r="J908" s="3">
        <v>7</v>
      </c>
      <c r="K908" s="3">
        <v>7</v>
      </c>
      <c r="L908" s="3">
        <v>0</v>
      </c>
      <c r="M908" s="3">
        <v>0</v>
      </c>
      <c r="N908" s="3">
        <v>7</v>
      </c>
      <c r="O908" s="3">
        <v>0.15</v>
      </c>
      <c r="P908" s="3">
        <v>0</v>
      </c>
      <c r="Q908" s="3">
        <v>0</v>
      </c>
      <c r="R908" s="3">
        <v>0</v>
      </c>
    </row>
    <row r="909" spans="1:18">
      <c r="A909" s="3" t="s">
        <v>2427</v>
      </c>
      <c r="B909" s="3" t="s">
        <v>2428</v>
      </c>
      <c r="C909" s="3" t="s">
        <v>2428</v>
      </c>
      <c r="D909" s="3" t="s">
        <v>2429</v>
      </c>
      <c r="E909" s="3" t="s">
        <v>120</v>
      </c>
      <c r="F909" s="3">
        <v>22.98</v>
      </c>
      <c r="G909" s="3" t="s">
        <v>121</v>
      </c>
      <c r="H909" s="3"/>
      <c r="I909" s="3" t="s">
        <v>122</v>
      </c>
      <c r="J909" s="3">
        <v>7</v>
      </c>
      <c r="K909" s="3">
        <v>7</v>
      </c>
      <c r="L909" s="3">
        <v>0</v>
      </c>
      <c r="M909" s="3">
        <v>0</v>
      </c>
      <c r="N909" s="3">
        <v>7</v>
      </c>
      <c r="O909" s="3">
        <v>0.15</v>
      </c>
      <c r="P909" s="3">
        <v>0</v>
      </c>
      <c r="Q909" s="3">
        <v>0</v>
      </c>
      <c r="R909" s="3">
        <v>0</v>
      </c>
    </row>
    <row r="910" spans="1:18">
      <c r="A910" s="3" t="s">
        <v>2430</v>
      </c>
      <c r="B910" s="3" t="s">
        <v>2431</v>
      </c>
      <c r="C910" s="3" t="s">
        <v>2431</v>
      </c>
      <c r="D910" s="3" t="s">
        <v>2432</v>
      </c>
      <c r="E910" s="3" t="s">
        <v>120</v>
      </c>
      <c r="F910" s="3">
        <v>22.98</v>
      </c>
      <c r="G910" s="3" t="s">
        <v>121</v>
      </c>
      <c r="H910" s="3"/>
      <c r="I910" s="3" t="s">
        <v>122</v>
      </c>
      <c r="J910" s="3">
        <v>6</v>
      </c>
      <c r="K910" s="3">
        <v>6</v>
      </c>
      <c r="L910" s="3">
        <v>0</v>
      </c>
      <c r="M910" s="3">
        <v>0</v>
      </c>
      <c r="N910" s="3">
        <v>6</v>
      </c>
      <c r="O910" s="3">
        <v>0.15</v>
      </c>
      <c r="P910" s="3">
        <v>0</v>
      </c>
      <c r="Q910" s="3">
        <v>0</v>
      </c>
      <c r="R910" s="3">
        <v>0</v>
      </c>
    </row>
    <row r="911" spans="1:18">
      <c r="A911" s="3" t="s">
        <v>2433</v>
      </c>
      <c r="B911" s="3" t="s">
        <v>2434</v>
      </c>
      <c r="C911" s="3" t="s">
        <v>2434</v>
      </c>
      <c r="D911" s="3" t="s">
        <v>2435</v>
      </c>
      <c r="E911" s="3" t="s">
        <v>120</v>
      </c>
      <c r="F911" s="3">
        <v>22.98</v>
      </c>
      <c r="G911" s="3" t="s">
        <v>121</v>
      </c>
      <c r="H911" s="3"/>
      <c r="I911" s="3" t="s">
        <v>122</v>
      </c>
      <c r="J911" s="3">
        <v>1</v>
      </c>
      <c r="K911" s="3">
        <v>1</v>
      </c>
      <c r="L911" s="3">
        <v>0</v>
      </c>
      <c r="M911" s="3">
        <v>0</v>
      </c>
      <c r="N911" s="3">
        <v>1</v>
      </c>
      <c r="O911" s="3">
        <v>0.15</v>
      </c>
      <c r="P911" s="3">
        <v>0</v>
      </c>
      <c r="Q911" s="3">
        <v>0</v>
      </c>
      <c r="R911" s="3">
        <v>0</v>
      </c>
    </row>
    <row r="912" spans="1:18">
      <c r="A912" s="3" t="s">
        <v>2436</v>
      </c>
      <c r="B912" s="3" t="s">
        <v>2437</v>
      </c>
      <c r="C912" s="3" t="s">
        <v>2437</v>
      </c>
      <c r="D912" s="3" t="s">
        <v>2438</v>
      </c>
      <c r="E912" s="3" t="s">
        <v>120</v>
      </c>
      <c r="F912" s="3">
        <v>22.98</v>
      </c>
      <c r="G912" s="3" t="s">
        <v>121</v>
      </c>
      <c r="H912" s="3"/>
      <c r="I912" s="3" t="s">
        <v>122</v>
      </c>
      <c r="J912" s="3">
        <v>0</v>
      </c>
      <c r="K912" s="3">
        <v>0</v>
      </c>
      <c r="L912" s="3">
        <v>0</v>
      </c>
      <c r="M912" s="3">
        <v>0</v>
      </c>
      <c r="N912" s="3">
        <v>0</v>
      </c>
      <c r="O912" s="3">
        <v>0.15</v>
      </c>
      <c r="P912" s="3">
        <v>0</v>
      </c>
      <c r="Q912" s="3">
        <v>0</v>
      </c>
      <c r="R912" s="3">
        <v>0</v>
      </c>
    </row>
    <row r="913" spans="1:18">
      <c r="A913" s="3" t="s">
        <v>2439</v>
      </c>
      <c r="B913" s="3" t="s">
        <v>2440</v>
      </c>
      <c r="C913" s="3" t="s">
        <v>2440</v>
      </c>
      <c r="D913" s="3" t="s">
        <v>2441</v>
      </c>
      <c r="E913" s="3" t="s">
        <v>120</v>
      </c>
      <c r="F913" s="3">
        <v>22.98</v>
      </c>
      <c r="G913" s="3" t="s">
        <v>121</v>
      </c>
      <c r="H913" s="3"/>
      <c r="I913" s="3" t="s">
        <v>122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0.15</v>
      </c>
      <c r="P913" s="3">
        <v>0</v>
      </c>
      <c r="Q913" s="3">
        <v>0</v>
      </c>
      <c r="R913" s="3">
        <v>0</v>
      </c>
    </row>
    <row r="914" spans="1:18">
      <c r="A914" s="3" t="s">
        <v>2442</v>
      </c>
      <c r="B914" s="3" t="s">
        <v>2443</v>
      </c>
      <c r="C914" s="3" t="s">
        <v>2443</v>
      </c>
      <c r="D914" s="3" t="s">
        <v>2444</v>
      </c>
      <c r="E914" s="3" t="s">
        <v>120</v>
      </c>
      <c r="F914" s="3">
        <v>22.98</v>
      </c>
      <c r="G914" s="3" t="s">
        <v>121</v>
      </c>
      <c r="H914" s="3"/>
      <c r="I914" s="3" t="s">
        <v>122</v>
      </c>
      <c r="J914" s="3">
        <v>1</v>
      </c>
      <c r="K914" s="3">
        <v>1</v>
      </c>
      <c r="L914" s="3">
        <v>0</v>
      </c>
      <c r="M914" s="3">
        <v>0</v>
      </c>
      <c r="N914" s="3">
        <v>1</v>
      </c>
      <c r="O914" s="3">
        <v>0.15</v>
      </c>
      <c r="P914" s="3">
        <v>0</v>
      </c>
      <c r="Q914" s="3">
        <v>0</v>
      </c>
      <c r="R914" s="3">
        <v>0</v>
      </c>
    </row>
    <row r="915" spans="1:18">
      <c r="A915" s="3" t="s">
        <v>2445</v>
      </c>
      <c r="B915" s="3" t="s">
        <v>2446</v>
      </c>
      <c r="C915" s="3" t="s">
        <v>2446</v>
      </c>
      <c r="D915" s="3" t="s">
        <v>330</v>
      </c>
      <c r="E915" s="3" t="s">
        <v>120</v>
      </c>
      <c r="F915" s="3">
        <v>22.98</v>
      </c>
      <c r="G915" s="3" t="s">
        <v>121</v>
      </c>
      <c r="H915" s="3"/>
      <c r="I915" s="3" t="s">
        <v>122</v>
      </c>
      <c r="J915" s="3">
        <v>33</v>
      </c>
      <c r="K915" s="3">
        <v>33</v>
      </c>
      <c r="L915" s="3">
        <v>0</v>
      </c>
      <c r="M915" s="3">
        <v>0</v>
      </c>
      <c r="N915" s="3">
        <v>33</v>
      </c>
      <c r="O915" s="3">
        <v>0.15</v>
      </c>
      <c r="P915" s="3">
        <v>0</v>
      </c>
      <c r="Q915" s="3">
        <v>0</v>
      </c>
      <c r="R915" s="3">
        <v>0</v>
      </c>
    </row>
    <row r="916" spans="1:18">
      <c r="A916" s="3" t="s">
        <v>2447</v>
      </c>
      <c r="B916" s="3" t="s">
        <v>2448</v>
      </c>
      <c r="C916" s="3" t="s">
        <v>2448</v>
      </c>
      <c r="D916" s="3" t="s">
        <v>2449</v>
      </c>
      <c r="E916" s="3" t="s">
        <v>120</v>
      </c>
      <c r="F916" s="3">
        <v>22.98</v>
      </c>
      <c r="G916" s="3" t="s">
        <v>121</v>
      </c>
      <c r="H916" s="3"/>
      <c r="I916" s="3" t="s">
        <v>122</v>
      </c>
      <c r="J916" s="3">
        <v>1</v>
      </c>
      <c r="K916" s="3">
        <v>1</v>
      </c>
      <c r="L916" s="3">
        <v>0</v>
      </c>
      <c r="M916" s="3">
        <v>0</v>
      </c>
      <c r="N916" s="3">
        <v>1</v>
      </c>
      <c r="O916" s="3">
        <v>0.15</v>
      </c>
      <c r="P916" s="3">
        <v>0</v>
      </c>
      <c r="Q916" s="3">
        <v>0</v>
      </c>
      <c r="R916" s="3">
        <v>0</v>
      </c>
    </row>
    <row r="917" spans="1:18">
      <c r="A917" s="3" t="s">
        <v>2450</v>
      </c>
      <c r="B917" s="3" t="s">
        <v>2451</v>
      </c>
      <c r="C917" s="3" t="s">
        <v>2451</v>
      </c>
      <c r="D917" s="3" t="s">
        <v>2452</v>
      </c>
      <c r="E917" s="3" t="s">
        <v>120</v>
      </c>
      <c r="F917" s="3">
        <v>22.98</v>
      </c>
      <c r="G917" s="3" t="s">
        <v>121</v>
      </c>
      <c r="H917" s="3"/>
      <c r="I917" s="3" t="s">
        <v>122</v>
      </c>
      <c r="J917" s="3">
        <v>27</v>
      </c>
      <c r="K917" s="3">
        <v>27</v>
      </c>
      <c r="L917" s="3">
        <v>0</v>
      </c>
      <c r="M917" s="3">
        <v>0</v>
      </c>
      <c r="N917" s="3">
        <v>27</v>
      </c>
      <c r="O917" s="3">
        <v>0.19</v>
      </c>
      <c r="P917" s="3">
        <v>0</v>
      </c>
      <c r="Q917" s="3">
        <v>0</v>
      </c>
      <c r="R917" s="3">
        <v>0</v>
      </c>
    </row>
    <row r="918" spans="1:18">
      <c r="A918" s="3" t="s">
        <v>2453</v>
      </c>
      <c r="B918" s="3" t="s">
        <v>2454</v>
      </c>
      <c r="C918" s="3" t="s">
        <v>2454</v>
      </c>
      <c r="D918" s="3" t="s">
        <v>2455</v>
      </c>
      <c r="E918" s="3" t="s">
        <v>120</v>
      </c>
      <c r="F918" s="3">
        <v>22.98</v>
      </c>
      <c r="G918" s="3" t="s">
        <v>121</v>
      </c>
      <c r="H918" s="3"/>
      <c r="I918" s="3" t="s">
        <v>122</v>
      </c>
      <c r="J918" s="3">
        <v>23</v>
      </c>
      <c r="K918" s="3">
        <v>23</v>
      </c>
      <c r="L918" s="3">
        <v>0</v>
      </c>
      <c r="M918" s="3">
        <v>0</v>
      </c>
      <c r="N918" s="3">
        <v>23</v>
      </c>
      <c r="O918" s="3">
        <v>0.15</v>
      </c>
      <c r="P918" s="3">
        <v>0</v>
      </c>
      <c r="Q918" s="3">
        <v>0</v>
      </c>
      <c r="R918" s="3">
        <v>0</v>
      </c>
    </row>
    <row r="919" spans="1:18">
      <c r="A919" s="3" t="s">
        <v>2456</v>
      </c>
      <c r="B919" s="3" t="s">
        <v>2457</v>
      </c>
      <c r="C919" s="3" t="s">
        <v>2457</v>
      </c>
      <c r="D919" s="3" t="s">
        <v>2458</v>
      </c>
      <c r="E919" s="3" t="s">
        <v>120</v>
      </c>
      <c r="F919" s="3">
        <v>22.98</v>
      </c>
      <c r="G919" s="3" t="s">
        <v>121</v>
      </c>
      <c r="H919" s="3"/>
      <c r="I919" s="3" t="s">
        <v>122</v>
      </c>
      <c r="J919" s="3">
        <v>32</v>
      </c>
      <c r="K919" s="3">
        <v>32</v>
      </c>
      <c r="L919" s="3">
        <v>0</v>
      </c>
      <c r="M919" s="3">
        <v>0</v>
      </c>
      <c r="N919" s="3">
        <v>32</v>
      </c>
      <c r="O919" s="3">
        <v>0.16</v>
      </c>
      <c r="P919" s="3">
        <v>0</v>
      </c>
      <c r="Q919" s="3">
        <v>0</v>
      </c>
      <c r="R919" s="3">
        <v>0</v>
      </c>
    </row>
    <row r="920" spans="1:18">
      <c r="A920" s="3" t="s">
        <v>2459</v>
      </c>
      <c r="B920" s="3" t="s">
        <v>2460</v>
      </c>
      <c r="C920" s="3" t="s">
        <v>2460</v>
      </c>
      <c r="D920" s="3" t="s">
        <v>2461</v>
      </c>
      <c r="E920" s="3" t="s">
        <v>120</v>
      </c>
      <c r="F920" s="3">
        <v>22.98</v>
      </c>
      <c r="G920" s="3" t="s">
        <v>121</v>
      </c>
      <c r="H920" s="3"/>
      <c r="I920" s="3" t="s">
        <v>122</v>
      </c>
      <c r="J920" s="3">
        <v>31</v>
      </c>
      <c r="K920" s="3">
        <v>31</v>
      </c>
      <c r="L920" s="3">
        <v>0</v>
      </c>
      <c r="M920" s="3">
        <v>0</v>
      </c>
      <c r="N920" s="3">
        <v>31</v>
      </c>
      <c r="O920" s="3">
        <v>0.16</v>
      </c>
      <c r="P920" s="3">
        <v>0</v>
      </c>
      <c r="Q920" s="3">
        <v>0</v>
      </c>
      <c r="R920" s="3">
        <v>0</v>
      </c>
    </row>
    <row r="921" spans="1:18">
      <c r="A921" s="3" t="s">
        <v>2462</v>
      </c>
      <c r="B921" s="3" t="s">
        <v>2463</v>
      </c>
      <c r="C921" s="3" t="s">
        <v>2463</v>
      </c>
      <c r="D921" s="3" t="s">
        <v>2464</v>
      </c>
      <c r="E921" s="3" t="s">
        <v>120</v>
      </c>
      <c r="F921" s="3">
        <v>22.98</v>
      </c>
      <c r="G921" s="3" t="s">
        <v>121</v>
      </c>
      <c r="H921" s="3"/>
      <c r="I921" s="3" t="s">
        <v>122</v>
      </c>
      <c r="J921" s="3">
        <v>16</v>
      </c>
      <c r="K921" s="3">
        <v>16</v>
      </c>
      <c r="L921" s="3">
        <v>0</v>
      </c>
      <c r="M921" s="3">
        <v>0</v>
      </c>
      <c r="N921" s="3">
        <v>16</v>
      </c>
      <c r="O921" s="3">
        <v>0.15</v>
      </c>
      <c r="P921" s="3">
        <v>0</v>
      </c>
      <c r="Q921" s="3">
        <v>0</v>
      </c>
      <c r="R921" s="3">
        <v>0</v>
      </c>
    </row>
    <row r="922" spans="1:18">
      <c r="A922" s="3" t="s">
        <v>2465</v>
      </c>
      <c r="B922" s="3" t="s">
        <v>2466</v>
      </c>
      <c r="C922" s="3" t="s">
        <v>2466</v>
      </c>
      <c r="D922" s="3" t="s">
        <v>2467</v>
      </c>
      <c r="E922" s="3" t="s">
        <v>120</v>
      </c>
      <c r="F922" s="3">
        <v>22.98</v>
      </c>
      <c r="G922" s="3" t="s">
        <v>121</v>
      </c>
      <c r="H922" s="3"/>
      <c r="I922" s="3" t="s">
        <v>122</v>
      </c>
      <c r="J922" s="3">
        <v>27</v>
      </c>
      <c r="K922" s="3">
        <v>27</v>
      </c>
      <c r="L922" s="3">
        <v>0</v>
      </c>
      <c r="M922" s="3">
        <v>0</v>
      </c>
      <c r="N922" s="3">
        <v>27</v>
      </c>
      <c r="O922" s="3">
        <v>0.15</v>
      </c>
      <c r="P922" s="3">
        <v>0</v>
      </c>
      <c r="Q922" s="3">
        <v>0</v>
      </c>
      <c r="R922" s="3">
        <v>0</v>
      </c>
    </row>
    <row r="923" spans="1:18">
      <c r="A923" s="3" t="s">
        <v>2468</v>
      </c>
      <c r="B923" s="3" t="s">
        <v>2469</v>
      </c>
      <c r="C923" s="3" t="s">
        <v>2469</v>
      </c>
      <c r="D923" s="3" t="s">
        <v>2470</v>
      </c>
      <c r="E923" s="3" t="s">
        <v>120</v>
      </c>
      <c r="F923" s="3">
        <v>22.98</v>
      </c>
      <c r="G923" s="3" t="s">
        <v>121</v>
      </c>
      <c r="H923" s="3"/>
      <c r="I923" s="3" t="s">
        <v>122</v>
      </c>
      <c r="J923" s="3">
        <v>22</v>
      </c>
      <c r="K923" s="3">
        <v>22</v>
      </c>
      <c r="L923" s="3">
        <v>0</v>
      </c>
      <c r="M923" s="3">
        <v>0</v>
      </c>
      <c r="N923" s="3">
        <v>22</v>
      </c>
      <c r="O923" s="3">
        <v>0.15</v>
      </c>
      <c r="P923" s="3">
        <v>0</v>
      </c>
      <c r="Q923" s="3">
        <v>0</v>
      </c>
      <c r="R923" s="3">
        <v>0</v>
      </c>
    </row>
    <row r="924" spans="1:18">
      <c r="A924" s="3" t="s">
        <v>2471</v>
      </c>
      <c r="B924" s="3" t="s">
        <v>2472</v>
      </c>
      <c r="C924" s="3" t="s">
        <v>2472</v>
      </c>
      <c r="D924" s="3" t="s">
        <v>2473</v>
      </c>
      <c r="E924" s="3" t="s">
        <v>120</v>
      </c>
      <c r="F924" s="3">
        <v>22.98</v>
      </c>
      <c r="G924" s="3" t="s">
        <v>121</v>
      </c>
      <c r="H924" s="3"/>
      <c r="I924" s="3" t="s">
        <v>122</v>
      </c>
      <c r="J924" s="3">
        <v>28</v>
      </c>
      <c r="K924" s="3">
        <v>28</v>
      </c>
      <c r="L924" s="3">
        <v>0</v>
      </c>
      <c r="M924" s="3">
        <v>0</v>
      </c>
      <c r="N924" s="3">
        <v>28</v>
      </c>
      <c r="O924" s="3">
        <v>0.16</v>
      </c>
      <c r="P924" s="3">
        <v>0</v>
      </c>
      <c r="Q924" s="3">
        <v>0</v>
      </c>
      <c r="R924" s="3">
        <v>0</v>
      </c>
    </row>
    <row r="925" spans="1:18">
      <c r="A925" s="3" t="s">
        <v>2474</v>
      </c>
      <c r="B925" s="3" t="s">
        <v>2475</v>
      </c>
      <c r="C925" s="3" t="s">
        <v>2475</v>
      </c>
      <c r="D925" s="3" t="s">
        <v>2476</v>
      </c>
      <c r="E925" s="3" t="s">
        <v>120</v>
      </c>
      <c r="F925" s="3">
        <v>22.98</v>
      </c>
      <c r="G925" s="3" t="s">
        <v>121</v>
      </c>
      <c r="H925" s="3"/>
      <c r="I925" s="3" t="s">
        <v>122</v>
      </c>
      <c r="J925" s="3">
        <v>23</v>
      </c>
      <c r="K925" s="3">
        <v>23</v>
      </c>
      <c r="L925" s="3">
        <v>0</v>
      </c>
      <c r="M925" s="3">
        <v>0</v>
      </c>
      <c r="N925" s="3">
        <v>23</v>
      </c>
      <c r="O925" s="3">
        <v>0.16</v>
      </c>
      <c r="P925" s="3">
        <v>0</v>
      </c>
      <c r="Q925" s="3">
        <v>0</v>
      </c>
      <c r="R925" s="3">
        <v>0</v>
      </c>
    </row>
    <row r="926" spans="1:18">
      <c r="A926" s="3" t="s">
        <v>2477</v>
      </c>
      <c r="B926" s="3" t="s">
        <v>2478</v>
      </c>
      <c r="C926" s="3" t="s">
        <v>2478</v>
      </c>
      <c r="D926" s="3" t="s">
        <v>2479</v>
      </c>
      <c r="E926" s="3" t="s">
        <v>120</v>
      </c>
      <c r="F926" s="3">
        <v>22.98</v>
      </c>
      <c r="G926" s="3" t="s">
        <v>121</v>
      </c>
      <c r="H926" s="3"/>
      <c r="I926" s="3" t="s">
        <v>122</v>
      </c>
      <c r="J926" s="3">
        <v>16</v>
      </c>
      <c r="K926" s="3">
        <v>16</v>
      </c>
      <c r="L926" s="3">
        <v>0</v>
      </c>
      <c r="M926" s="3">
        <v>0</v>
      </c>
      <c r="N926" s="3">
        <v>16</v>
      </c>
      <c r="O926" s="3">
        <v>0.15</v>
      </c>
      <c r="P926" s="3">
        <v>0</v>
      </c>
      <c r="Q926" s="3">
        <v>0</v>
      </c>
      <c r="R926" s="3">
        <v>0</v>
      </c>
    </row>
    <row r="927" spans="1:18">
      <c r="A927" s="3" t="s">
        <v>2480</v>
      </c>
      <c r="B927" s="3" t="s">
        <v>2481</v>
      </c>
      <c r="C927" s="3" t="s">
        <v>2481</v>
      </c>
      <c r="D927" s="3" t="s">
        <v>2482</v>
      </c>
      <c r="E927" s="3" t="s">
        <v>120</v>
      </c>
      <c r="F927" s="3">
        <v>22.98</v>
      </c>
      <c r="G927" s="3" t="s">
        <v>121</v>
      </c>
      <c r="H927" s="3"/>
      <c r="I927" s="3" t="s">
        <v>122</v>
      </c>
      <c r="J927" s="3">
        <v>29</v>
      </c>
      <c r="K927" s="3">
        <v>28</v>
      </c>
      <c r="L927" s="3">
        <v>0</v>
      </c>
      <c r="M927" s="3">
        <v>1</v>
      </c>
      <c r="N927" s="3">
        <v>29</v>
      </c>
      <c r="O927" s="3">
        <v>0.16</v>
      </c>
      <c r="P927" s="3">
        <v>0</v>
      </c>
      <c r="Q927" s="3">
        <v>0</v>
      </c>
      <c r="R927" s="3">
        <v>0</v>
      </c>
    </row>
    <row r="928" spans="1:18">
      <c r="A928" s="3" t="s">
        <v>2483</v>
      </c>
      <c r="B928" s="3" t="s">
        <v>2484</v>
      </c>
      <c r="C928" s="3" t="s">
        <v>2484</v>
      </c>
      <c r="D928" s="3" t="s">
        <v>2485</v>
      </c>
      <c r="E928" s="3" t="s">
        <v>120</v>
      </c>
      <c r="F928" s="3">
        <v>32.99</v>
      </c>
      <c r="G928" s="3" t="s">
        <v>121</v>
      </c>
      <c r="H928" s="3"/>
      <c r="I928" s="3" t="s">
        <v>122</v>
      </c>
      <c r="J928" s="3">
        <v>21</v>
      </c>
      <c r="K928" s="3">
        <v>21</v>
      </c>
      <c r="L928" s="3">
        <v>0</v>
      </c>
      <c r="M928" s="3">
        <v>0</v>
      </c>
      <c r="N928" s="3">
        <v>21</v>
      </c>
      <c r="O928" s="3">
        <v>0.2</v>
      </c>
      <c r="P928" s="3">
        <v>0</v>
      </c>
      <c r="Q928" s="3">
        <v>0</v>
      </c>
      <c r="R928" s="3">
        <v>0</v>
      </c>
    </row>
    <row r="929" spans="1:18">
      <c r="A929" s="3" t="s">
        <v>2486</v>
      </c>
      <c r="B929" s="3" t="s">
        <v>2487</v>
      </c>
      <c r="C929" s="3" t="s">
        <v>2487</v>
      </c>
      <c r="D929" s="3" t="s">
        <v>2488</v>
      </c>
      <c r="E929" s="3" t="s">
        <v>120</v>
      </c>
      <c r="F929" s="3">
        <v>32.99</v>
      </c>
      <c r="G929" s="3" t="s">
        <v>121</v>
      </c>
      <c r="H929" s="3"/>
      <c r="I929" s="3" t="s">
        <v>122</v>
      </c>
      <c r="J929" s="3">
        <v>15</v>
      </c>
      <c r="K929" s="3">
        <v>15</v>
      </c>
      <c r="L929" s="3">
        <v>0</v>
      </c>
      <c r="M929" s="3">
        <v>0</v>
      </c>
      <c r="N929" s="3">
        <v>15</v>
      </c>
      <c r="O929" s="3">
        <v>0.2</v>
      </c>
      <c r="P929" s="3">
        <v>0</v>
      </c>
      <c r="Q929" s="3">
        <v>0</v>
      </c>
      <c r="R929" s="3">
        <v>0</v>
      </c>
    </row>
    <row r="930" spans="1:18">
      <c r="A930" s="3" t="s">
        <v>2489</v>
      </c>
      <c r="B930" s="3" t="s">
        <v>2490</v>
      </c>
      <c r="C930" s="3" t="s">
        <v>2490</v>
      </c>
      <c r="D930" s="3" t="s">
        <v>2491</v>
      </c>
      <c r="E930" s="3" t="s">
        <v>120</v>
      </c>
      <c r="F930" s="3">
        <v>19.98</v>
      </c>
      <c r="G930" s="3" t="s">
        <v>121</v>
      </c>
      <c r="H930" s="3"/>
      <c r="I930" s="3" t="s">
        <v>122</v>
      </c>
      <c r="J930" s="3">
        <v>20</v>
      </c>
      <c r="K930" s="3">
        <v>20</v>
      </c>
      <c r="L930" s="3">
        <v>0</v>
      </c>
      <c r="M930" s="3">
        <v>0</v>
      </c>
      <c r="N930" s="3">
        <v>20</v>
      </c>
      <c r="O930" s="3">
        <v>0.2</v>
      </c>
      <c r="P930" s="3">
        <v>0</v>
      </c>
      <c r="Q930" s="3">
        <v>0</v>
      </c>
      <c r="R930" s="3">
        <v>0</v>
      </c>
    </row>
    <row r="931" spans="1:18">
      <c r="A931" s="3" t="s">
        <v>2492</v>
      </c>
      <c r="B931" s="3" t="s">
        <v>2493</v>
      </c>
      <c r="C931" s="3" t="s">
        <v>2493</v>
      </c>
      <c r="D931" s="3" t="s">
        <v>2494</v>
      </c>
      <c r="E931" s="3" t="s">
        <v>120</v>
      </c>
      <c r="F931" s="3">
        <v>32.99</v>
      </c>
      <c r="G931" s="3" t="s">
        <v>121</v>
      </c>
      <c r="H931" s="3"/>
      <c r="I931" s="3" t="s">
        <v>122</v>
      </c>
      <c r="J931" s="3">
        <v>19</v>
      </c>
      <c r="K931" s="3">
        <v>19</v>
      </c>
      <c r="L931" s="3">
        <v>0</v>
      </c>
      <c r="M931" s="3">
        <v>0</v>
      </c>
      <c r="N931" s="3">
        <v>19</v>
      </c>
      <c r="O931" s="3">
        <v>0.2</v>
      </c>
      <c r="P931" s="3">
        <v>0</v>
      </c>
      <c r="Q931" s="3">
        <v>0</v>
      </c>
      <c r="R931" s="3">
        <v>0</v>
      </c>
    </row>
    <row r="932" spans="1:18">
      <c r="A932" s="3" t="s">
        <v>2495</v>
      </c>
      <c r="B932" s="3" t="s">
        <v>2496</v>
      </c>
      <c r="C932" s="3" t="s">
        <v>2496</v>
      </c>
      <c r="D932" s="3" t="s">
        <v>2497</v>
      </c>
      <c r="E932" s="3" t="s">
        <v>120</v>
      </c>
      <c r="F932" s="3">
        <v>32.99</v>
      </c>
      <c r="G932" s="3" t="s">
        <v>121</v>
      </c>
      <c r="H932" s="3"/>
      <c r="I932" s="3" t="s">
        <v>122</v>
      </c>
      <c r="J932" s="3">
        <v>14</v>
      </c>
      <c r="K932" s="3">
        <v>14</v>
      </c>
      <c r="L932" s="3">
        <v>0</v>
      </c>
      <c r="M932" s="3">
        <v>0</v>
      </c>
      <c r="N932" s="3">
        <v>14</v>
      </c>
      <c r="O932" s="3">
        <v>0.2</v>
      </c>
      <c r="P932" s="3">
        <v>0</v>
      </c>
      <c r="Q932" s="3">
        <v>0</v>
      </c>
      <c r="R932" s="3">
        <v>0</v>
      </c>
    </row>
    <row r="933" spans="1:18">
      <c r="A933" s="3" t="s">
        <v>2498</v>
      </c>
      <c r="B933" s="3" t="s">
        <v>2499</v>
      </c>
      <c r="C933" s="3" t="s">
        <v>2499</v>
      </c>
      <c r="D933" s="3" t="s">
        <v>2500</v>
      </c>
      <c r="E933" s="3" t="s">
        <v>120</v>
      </c>
      <c r="F933" s="3">
        <v>32.99</v>
      </c>
      <c r="G933" s="3" t="s">
        <v>121</v>
      </c>
      <c r="H933" s="3"/>
      <c r="I933" s="3" t="s">
        <v>122</v>
      </c>
      <c r="J933" s="3">
        <v>12</v>
      </c>
      <c r="K933" s="3">
        <v>12</v>
      </c>
      <c r="L933" s="3">
        <v>0</v>
      </c>
      <c r="M933" s="3">
        <v>0</v>
      </c>
      <c r="N933" s="3">
        <v>12</v>
      </c>
      <c r="O933" s="3">
        <v>0.2</v>
      </c>
      <c r="P933" s="3">
        <v>0</v>
      </c>
      <c r="Q933" s="3">
        <v>0</v>
      </c>
      <c r="R933" s="3">
        <v>0</v>
      </c>
    </row>
    <row r="934" spans="1:18">
      <c r="A934" s="3" t="s">
        <v>2501</v>
      </c>
      <c r="B934" s="3" t="s">
        <v>2502</v>
      </c>
      <c r="C934" s="3" t="s">
        <v>2502</v>
      </c>
      <c r="D934" s="3" t="s">
        <v>2503</v>
      </c>
      <c r="E934" s="3" t="s">
        <v>120</v>
      </c>
      <c r="F934" s="3">
        <v>32.99</v>
      </c>
      <c r="G934" s="3" t="s">
        <v>121</v>
      </c>
      <c r="H934" s="3"/>
      <c r="I934" s="3" t="s">
        <v>122</v>
      </c>
      <c r="J934" s="3">
        <v>19</v>
      </c>
      <c r="K934" s="3">
        <v>19</v>
      </c>
      <c r="L934" s="3">
        <v>0</v>
      </c>
      <c r="M934" s="3">
        <v>0</v>
      </c>
      <c r="N934" s="3">
        <v>19</v>
      </c>
      <c r="O934" s="3">
        <v>0.2</v>
      </c>
      <c r="P934" s="3">
        <v>0</v>
      </c>
      <c r="Q934" s="3">
        <v>0</v>
      </c>
      <c r="R934" s="3">
        <v>0</v>
      </c>
    </row>
    <row r="935" spans="1:18">
      <c r="A935" s="3" t="s">
        <v>2504</v>
      </c>
      <c r="B935" s="3" t="s">
        <v>2505</v>
      </c>
      <c r="C935" s="3" t="s">
        <v>2505</v>
      </c>
      <c r="D935" s="3" t="s">
        <v>2506</v>
      </c>
      <c r="E935" s="3" t="s">
        <v>120</v>
      </c>
      <c r="F935" s="3">
        <v>32.99</v>
      </c>
      <c r="G935" s="3" t="s">
        <v>121</v>
      </c>
      <c r="H935" s="3"/>
      <c r="I935" s="3" t="s">
        <v>122</v>
      </c>
      <c r="J935" s="3">
        <v>17</v>
      </c>
      <c r="K935" s="3">
        <v>17</v>
      </c>
      <c r="L935" s="3">
        <v>0</v>
      </c>
      <c r="M935" s="3">
        <v>0</v>
      </c>
      <c r="N935" s="3">
        <v>17</v>
      </c>
      <c r="O935" s="3">
        <v>0.2</v>
      </c>
      <c r="P935" s="3">
        <v>0</v>
      </c>
      <c r="Q935" s="3">
        <v>0</v>
      </c>
      <c r="R935" s="3">
        <v>0</v>
      </c>
    </row>
    <row r="936" spans="1:18">
      <c r="A936" s="3" t="s">
        <v>2507</v>
      </c>
      <c r="B936" s="3" t="s">
        <v>2508</v>
      </c>
      <c r="C936" s="3" t="s">
        <v>2508</v>
      </c>
      <c r="D936" s="3" t="s">
        <v>2509</v>
      </c>
      <c r="E936" s="3" t="s">
        <v>120</v>
      </c>
      <c r="F936" s="3">
        <v>32.99</v>
      </c>
      <c r="G936" s="3" t="s">
        <v>121</v>
      </c>
      <c r="H936" s="3"/>
      <c r="I936" s="3" t="s">
        <v>122</v>
      </c>
      <c r="J936" s="3">
        <v>25</v>
      </c>
      <c r="K936" s="3">
        <v>25</v>
      </c>
      <c r="L936" s="3">
        <v>0</v>
      </c>
      <c r="M936" s="3">
        <v>0</v>
      </c>
      <c r="N936" s="3">
        <v>25</v>
      </c>
      <c r="O936" s="3">
        <v>0.2</v>
      </c>
      <c r="P936" s="3">
        <v>0</v>
      </c>
      <c r="Q936" s="3">
        <v>0</v>
      </c>
      <c r="R936" s="3">
        <v>0</v>
      </c>
    </row>
    <row r="937" spans="1:18">
      <c r="A937" s="3" t="s">
        <v>2510</v>
      </c>
      <c r="B937" s="3" t="s">
        <v>2511</v>
      </c>
      <c r="C937" s="3" t="s">
        <v>2511</v>
      </c>
      <c r="D937" s="3" t="s">
        <v>2512</v>
      </c>
      <c r="E937" s="3" t="s">
        <v>120</v>
      </c>
      <c r="F937" s="3">
        <v>32.99</v>
      </c>
      <c r="G937" s="3" t="s">
        <v>121</v>
      </c>
      <c r="H937" s="3"/>
      <c r="I937" s="3" t="s">
        <v>122</v>
      </c>
      <c r="J937" s="3">
        <v>16</v>
      </c>
      <c r="K937" s="3">
        <v>16</v>
      </c>
      <c r="L937" s="3">
        <v>0</v>
      </c>
      <c r="M937" s="3">
        <v>0</v>
      </c>
      <c r="N937" s="3">
        <v>16</v>
      </c>
      <c r="O937" s="3">
        <v>0.2</v>
      </c>
      <c r="P937" s="3">
        <v>0</v>
      </c>
      <c r="Q937" s="3">
        <v>0</v>
      </c>
      <c r="R937" s="3">
        <v>0</v>
      </c>
    </row>
    <row r="938" spans="1:18">
      <c r="A938" s="3" t="s">
        <v>2513</v>
      </c>
      <c r="B938" s="3" t="s">
        <v>2514</v>
      </c>
      <c r="C938" s="3" t="s">
        <v>2514</v>
      </c>
      <c r="D938" s="3" t="s">
        <v>2515</v>
      </c>
      <c r="E938" s="3" t="s">
        <v>120</v>
      </c>
      <c r="F938" s="3">
        <v>32.99</v>
      </c>
      <c r="G938" s="3" t="s">
        <v>121</v>
      </c>
      <c r="H938" s="3"/>
      <c r="I938" s="3" t="s">
        <v>122</v>
      </c>
      <c r="J938" s="3">
        <v>6</v>
      </c>
      <c r="K938" s="3">
        <v>6</v>
      </c>
      <c r="L938" s="3">
        <v>0</v>
      </c>
      <c r="M938" s="3">
        <v>0</v>
      </c>
      <c r="N938" s="3">
        <v>6</v>
      </c>
      <c r="O938" s="3">
        <v>0.2</v>
      </c>
      <c r="P938" s="3">
        <v>0</v>
      </c>
      <c r="Q938" s="3">
        <v>0</v>
      </c>
      <c r="R938" s="3">
        <v>0</v>
      </c>
    </row>
    <row r="939" spans="1:18">
      <c r="A939" s="3" t="s">
        <v>2516</v>
      </c>
      <c r="B939" s="3" t="s">
        <v>2517</v>
      </c>
      <c r="C939" s="3" t="s">
        <v>2517</v>
      </c>
      <c r="D939" s="3" t="s">
        <v>2518</v>
      </c>
      <c r="E939" s="3" t="s">
        <v>120</v>
      </c>
      <c r="F939" s="3">
        <v>32.99</v>
      </c>
      <c r="G939" s="3" t="s">
        <v>121</v>
      </c>
      <c r="H939" s="3"/>
      <c r="I939" s="3" t="s">
        <v>122</v>
      </c>
      <c r="J939" s="3">
        <v>13</v>
      </c>
      <c r="K939" s="3">
        <v>13</v>
      </c>
      <c r="L939" s="3">
        <v>0</v>
      </c>
      <c r="M939" s="3">
        <v>0</v>
      </c>
      <c r="N939" s="3">
        <v>13</v>
      </c>
      <c r="O939" s="3">
        <v>0.2</v>
      </c>
      <c r="P939" s="3">
        <v>0</v>
      </c>
      <c r="Q939" s="3">
        <v>0</v>
      </c>
      <c r="R939" s="3">
        <v>0</v>
      </c>
    </row>
    <row r="940" spans="1:18">
      <c r="A940" s="3" t="s">
        <v>2519</v>
      </c>
      <c r="B940" s="3" t="s">
        <v>2520</v>
      </c>
      <c r="C940" s="3" t="s">
        <v>2520</v>
      </c>
      <c r="D940" s="3" t="s">
        <v>2521</v>
      </c>
      <c r="E940" s="3" t="s">
        <v>120</v>
      </c>
      <c r="F940" s="3">
        <v>32.99</v>
      </c>
      <c r="G940" s="3" t="s">
        <v>121</v>
      </c>
      <c r="H940" s="3"/>
      <c r="I940" s="3" t="s">
        <v>122</v>
      </c>
      <c r="J940" s="3">
        <v>21</v>
      </c>
      <c r="K940" s="3">
        <v>21</v>
      </c>
      <c r="L940" s="3">
        <v>0</v>
      </c>
      <c r="M940" s="3">
        <v>0</v>
      </c>
      <c r="N940" s="3">
        <v>21</v>
      </c>
      <c r="O940" s="3">
        <v>0.2</v>
      </c>
      <c r="P940" s="3">
        <v>0</v>
      </c>
      <c r="Q940" s="3">
        <v>0</v>
      </c>
      <c r="R940" s="3">
        <v>0</v>
      </c>
    </row>
    <row r="941" spans="1:18">
      <c r="A941" s="3" t="s">
        <v>2522</v>
      </c>
      <c r="B941" s="3" t="s">
        <v>2523</v>
      </c>
      <c r="C941" s="3" t="s">
        <v>2523</v>
      </c>
      <c r="D941" s="3" t="s">
        <v>2524</v>
      </c>
      <c r="E941" s="3" t="s">
        <v>120</v>
      </c>
      <c r="F941" s="3">
        <v>32.99</v>
      </c>
      <c r="G941" s="3" t="s">
        <v>121</v>
      </c>
      <c r="H941" s="3"/>
      <c r="I941" s="3" t="s">
        <v>122</v>
      </c>
      <c r="J941" s="3">
        <v>6</v>
      </c>
      <c r="K941" s="3">
        <v>6</v>
      </c>
      <c r="L941" s="3">
        <v>0</v>
      </c>
      <c r="M941" s="3">
        <v>0</v>
      </c>
      <c r="N941" s="3">
        <v>6</v>
      </c>
      <c r="O941" s="3">
        <v>0.2</v>
      </c>
      <c r="P941" s="3">
        <v>0</v>
      </c>
      <c r="Q941" s="3">
        <v>0</v>
      </c>
      <c r="R941" s="3">
        <v>0</v>
      </c>
    </row>
    <row r="942" spans="1:18">
      <c r="A942" s="3" t="s">
        <v>2525</v>
      </c>
      <c r="B942" s="3" t="s">
        <v>2526</v>
      </c>
      <c r="C942" s="3" t="s">
        <v>2526</v>
      </c>
      <c r="D942" s="3" t="s">
        <v>2527</v>
      </c>
      <c r="E942" s="3" t="s">
        <v>120</v>
      </c>
      <c r="F942" s="3">
        <v>32.99</v>
      </c>
      <c r="G942" s="3" t="s">
        <v>121</v>
      </c>
      <c r="H942" s="3"/>
      <c r="I942" s="3" t="s">
        <v>122</v>
      </c>
      <c r="J942" s="3">
        <v>16</v>
      </c>
      <c r="K942" s="3">
        <v>16</v>
      </c>
      <c r="L942" s="3">
        <v>0</v>
      </c>
      <c r="M942" s="3">
        <v>0</v>
      </c>
      <c r="N942" s="3">
        <v>16</v>
      </c>
      <c r="O942" s="3">
        <v>0.2</v>
      </c>
      <c r="P942" s="3">
        <v>0</v>
      </c>
      <c r="Q942" s="3">
        <v>0</v>
      </c>
      <c r="R942" s="3">
        <v>0</v>
      </c>
    </row>
    <row r="943" spans="1:18">
      <c r="A943" s="3" t="s">
        <v>2528</v>
      </c>
      <c r="B943" s="3" t="s">
        <v>2529</v>
      </c>
      <c r="C943" s="3" t="s">
        <v>2529</v>
      </c>
      <c r="D943" s="3" t="s">
        <v>2530</v>
      </c>
      <c r="E943" s="3" t="s">
        <v>120</v>
      </c>
      <c r="F943" s="3">
        <v>32.99</v>
      </c>
      <c r="G943" s="3" t="s">
        <v>121</v>
      </c>
      <c r="H943" s="3"/>
      <c r="I943" s="3" t="s">
        <v>122</v>
      </c>
      <c r="J943" s="3">
        <v>3</v>
      </c>
      <c r="K943" s="3">
        <v>3</v>
      </c>
      <c r="L943" s="3">
        <v>0</v>
      </c>
      <c r="M943" s="3">
        <v>0</v>
      </c>
      <c r="N943" s="3">
        <v>3</v>
      </c>
      <c r="O943" s="3">
        <v>0.25</v>
      </c>
      <c r="P943" s="3">
        <v>0</v>
      </c>
      <c r="Q943" s="3">
        <v>0</v>
      </c>
      <c r="R943" s="3">
        <v>0</v>
      </c>
    </row>
    <row r="944" spans="1:18">
      <c r="A944" s="3" t="s">
        <v>2531</v>
      </c>
      <c r="B944" s="3" t="s">
        <v>2532</v>
      </c>
      <c r="C944" s="3" t="s">
        <v>2532</v>
      </c>
      <c r="D944" s="3" t="s">
        <v>2533</v>
      </c>
      <c r="E944" s="3" t="s">
        <v>120</v>
      </c>
      <c r="F944" s="3">
        <v>32.99</v>
      </c>
      <c r="G944" s="3" t="s">
        <v>121</v>
      </c>
      <c r="H944" s="3"/>
      <c r="I944" s="3" t="s">
        <v>122</v>
      </c>
      <c r="J944" s="3">
        <v>20</v>
      </c>
      <c r="K944" s="3">
        <v>20</v>
      </c>
      <c r="L944" s="3">
        <v>0</v>
      </c>
      <c r="M944" s="3">
        <v>0</v>
      </c>
      <c r="N944" s="3">
        <v>20</v>
      </c>
      <c r="O944" s="3">
        <v>0.2</v>
      </c>
      <c r="P944" s="3">
        <v>0</v>
      </c>
      <c r="Q944" s="3">
        <v>0</v>
      </c>
      <c r="R944" s="3">
        <v>0</v>
      </c>
    </row>
    <row r="945" spans="1:18">
      <c r="A945" s="3" t="s">
        <v>2534</v>
      </c>
      <c r="B945" s="3" t="s">
        <v>2535</v>
      </c>
      <c r="C945" s="3" t="s">
        <v>2535</v>
      </c>
      <c r="D945" s="3" t="s">
        <v>2536</v>
      </c>
      <c r="E945" s="3" t="s">
        <v>120</v>
      </c>
      <c r="F945" s="3">
        <v>32.99</v>
      </c>
      <c r="G945" s="3" t="s">
        <v>121</v>
      </c>
      <c r="H945" s="3"/>
      <c r="I945" s="3" t="s">
        <v>122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0.2</v>
      </c>
      <c r="P945" s="3">
        <v>0</v>
      </c>
      <c r="Q945" s="3">
        <v>0</v>
      </c>
      <c r="R945" s="3">
        <v>0</v>
      </c>
    </row>
    <row r="946" spans="1:18">
      <c r="A946" s="3" t="s">
        <v>2537</v>
      </c>
      <c r="B946" s="3" t="s">
        <v>2538</v>
      </c>
      <c r="C946" s="3" t="s">
        <v>2538</v>
      </c>
      <c r="D946" s="3" t="s">
        <v>2539</v>
      </c>
      <c r="E946" s="3" t="s">
        <v>120</v>
      </c>
      <c r="F946" s="3">
        <v>32.99</v>
      </c>
      <c r="G946" s="3" t="s">
        <v>121</v>
      </c>
      <c r="H946" s="3"/>
      <c r="I946" s="3" t="s">
        <v>122</v>
      </c>
      <c r="J946" s="3">
        <v>3</v>
      </c>
      <c r="K946" s="3">
        <v>2</v>
      </c>
      <c r="L946" s="3">
        <v>0</v>
      </c>
      <c r="M946" s="3">
        <v>1</v>
      </c>
      <c r="N946" s="3">
        <v>3</v>
      </c>
      <c r="O946" s="3">
        <v>0.2</v>
      </c>
      <c r="P946" s="3">
        <v>0</v>
      </c>
      <c r="Q946" s="3">
        <v>0</v>
      </c>
      <c r="R946" s="3">
        <v>0</v>
      </c>
    </row>
    <row r="947" spans="1:18">
      <c r="A947" s="3" t="s">
        <v>2540</v>
      </c>
      <c r="B947" s="3" t="s">
        <v>2541</v>
      </c>
      <c r="C947" s="3" t="s">
        <v>2541</v>
      </c>
      <c r="D947" s="3" t="s">
        <v>2542</v>
      </c>
      <c r="E947" s="3" t="s">
        <v>120</v>
      </c>
      <c r="F947" s="3">
        <v>32.99</v>
      </c>
      <c r="G947" s="3" t="s">
        <v>121</v>
      </c>
      <c r="H947" s="3"/>
      <c r="I947" s="3" t="s">
        <v>122</v>
      </c>
      <c r="J947" s="3">
        <v>23</v>
      </c>
      <c r="K947" s="3">
        <v>23</v>
      </c>
      <c r="L947" s="3">
        <v>0</v>
      </c>
      <c r="M947" s="3">
        <v>0</v>
      </c>
      <c r="N947" s="3">
        <v>23</v>
      </c>
      <c r="O947" s="3">
        <v>0.2</v>
      </c>
      <c r="P947" s="3">
        <v>0</v>
      </c>
      <c r="Q947" s="3">
        <v>0</v>
      </c>
      <c r="R947" s="3">
        <v>0</v>
      </c>
    </row>
    <row r="948" spans="1:18">
      <c r="A948" s="3" t="s">
        <v>2543</v>
      </c>
      <c r="B948" s="3" t="s">
        <v>2544</v>
      </c>
      <c r="C948" s="3" t="s">
        <v>2544</v>
      </c>
      <c r="D948" s="3" t="s">
        <v>2545</v>
      </c>
      <c r="E948" s="3" t="s">
        <v>120</v>
      </c>
      <c r="F948" s="3">
        <v>32.99</v>
      </c>
      <c r="G948" s="3" t="s">
        <v>121</v>
      </c>
      <c r="H948" s="3"/>
      <c r="I948" s="3" t="s">
        <v>122</v>
      </c>
      <c r="J948" s="3">
        <v>7</v>
      </c>
      <c r="K948" s="3">
        <v>7</v>
      </c>
      <c r="L948" s="3">
        <v>0</v>
      </c>
      <c r="M948" s="3">
        <v>0</v>
      </c>
      <c r="N948" s="3">
        <v>7</v>
      </c>
      <c r="O948" s="3">
        <v>0.2</v>
      </c>
      <c r="P948" s="3">
        <v>0</v>
      </c>
      <c r="Q948" s="3">
        <v>0</v>
      </c>
      <c r="R948" s="3">
        <v>0</v>
      </c>
    </row>
    <row r="949" spans="1:18">
      <c r="A949" s="3" t="s">
        <v>2546</v>
      </c>
      <c r="B949" s="3" t="s">
        <v>2547</v>
      </c>
      <c r="C949" s="3" t="s">
        <v>2547</v>
      </c>
      <c r="D949" s="3" t="s">
        <v>2548</v>
      </c>
      <c r="E949" s="3" t="s">
        <v>120</v>
      </c>
      <c r="F949" s="3">
        <v>32.99</v>
      </c>
      <c r="G949" s="3" t="s">
        <v>121</v>
      </c>
      <c r="H949" s="3"/>
      <c r="I949" s="3" t="s">
        <v>122</v>
      </c>
      <c r="J949" s="3">
        <v>8</v>
      </c>
      <c r="K949" s="3">
        <v>8</v>
      </c>
      <c r="L949" s="3">
        <v>0</v>
      </c>
      <c r="M949" s="3">
        <v>0</v>
      </c>
      <c r="N949" s="3">
        <v>8</v>
      </c>
      <c r="O949" s="3">
        <v>0.2</v>
      </c>
      <c r="P949" s="3">
        <v>0</v>
      </c>
      <c r="Q949" s="3">
        <v>0</v>
      </c>
      <c r="R949" s="3">
        <v>0</v>
      </c>
    </row>
    <row r="950" spans="1:18">
      <c r="A950" s="3" t="s">
        <v>2549</v>
      </c>
      <c r="B950" s="3" t="s">
        <v>2550</v>
      </c>
      <c r="C950" s="3" t="s">
        <v>2550</v>
      </c>
      <c r="D950" s="3" t="s">
        <v>2551</v>
      </c>
      <c r="E950" s="3" t="s">
        <v>120</v>
      </c>
      <c r="F950" s="3">
        <v>32.99</v>
      </c>
      <c r="G950" s="3" t="s">
        <v>121</v>
      </c>
      <c r="H950" s="3"/>
      <c r="I950" s="3" t="s">
        <v>122</v>
      </c>
      <c r="J950" s="3">
        <v>0</v>
      </c>
      <c r="K950" s="3">
        <v>0</v>
      </c>
      <c r="L950" s="3">
        <v>0</v>
      </c>
      <c r="M950" s="3">
        <v>0</v>
      </c>
      <c r="N950" s="3">
        <v>0</v>
      </c>
      <c r="O950" s="3">
        <v>0.2</v>
      </c>
      <c r="P950" s="3">
        <v>0</v>
      </c>
      <c r="Q950" s="3">
        <v>0</v>
      </c>
      <c r="R950" s="3">
        <v>0</v>
      </c>
    </row>
    <row r="951" spans="1:18">
      <c r="A951" s="3" t="s">
        <v>2552</v>
      </c>
      <c r="B951" s="3" t="s">
        <v>2553</v>
      </c>
      <c r="C951" s="3" t="s">
        <v>2553</v>
      </c>
      <c r="D951" s="3" t="s">
        <v>2554</v>
      </c>
      <c r="E951" s="3" t="s">
        <v>120</v>
      </c>
      <c r="F951" s="3">
        <v>32.99</v>
      </c>
      <c r="G951" s="3" t="s">
        <v>121</v>
      </c>
      <c r="H951" s="3"/>
      <c r="I951" s="3" t="s">
        <v>122</v>
      </c>
      <c r="J951" s="3">
        <v>24</v>
      </c>
      <c r="K951" s="3">
        <v>24</v>
      </c>
      <c r="L951" s="3">
        <v>0</v>
      </c>
      <c r="M951" s="3">
        <v>0</v>
      </c>
      <c r="N951" s="3">
        <v>24</v>
      </c>
      <c r="O951" s="3">
        <v>0.2</v>
      </c>
      <c r="P951" s="3">
        <v>0</v>
      </c>
      <c r="Q951" s="3">
        <v>0</v>
      </c>
      <c r="R951" s="3">
        <v>0</v>
      </c>
    </row>
    <row r="952" spans="1:18">
      <c r="A952" s="3" t="s">
        <v>2555</v>
      </c>
      <c r="B952" s="3" t="s">
        <v>2556</v>
      </c>
      <c r="C952" s="3" t="s">
        <v>2556</v>
      </c>
      <c r="D952" s="3" t="s">
        <v>2557</v>
      </c>
      <c r="E952" s="3" t="s">
        <v>120</v>
      </c>
      <c r="F952" s="3">
        <v>32.99</v>
      </c>
      <c r="G952" s="3" t="s">
        <v>121</v>
      </c>
      <c r="H952" s="3"/>
      <c r="I952" s="3" t="s">
        <v>122</v>
      </c>
      <c r="J952" s="3">
        <v>21</v>
      </c>
      <c r="K952" s="3">
        <v>21</v>
      </c>
      <c r="L952" s="3">
        <v>0</v>
      </c>
      <c r="M952" s="3">
        <v>0</v>
      </c>
      <c r="N952" s="3">
        <v>21</v>
      </c>
      <c r="O952" s="3">
        <v>0.15</v>
      </c>
      <c r="P952" s="3">
        <v>0</v>
      </c>
      <c r="Q952" s="3">
        <v>0</v>
      </c>
      <c r="R952" s="3">
        <v>0</v>
      </c>
    </row>
    <row r="953" spans="1:18">
      <c r="A953" s="3" t="s">
        <v>2558</v>
      </c>
      <c r="B953" s="3" t="s">
        <v>2559</v>
      </c>
      <c r="C953" s="3" t="s">
        <v>2559</v>
      </c>
      <c r="D953" s="3" t="s">
        <v>2560</v>
      </c>
      <c r="E953" s="3" t="s">
        <v>120</v>
      </c>
      <c r="F953" s="3">
        <v>32.99</v>
      </c>
      <c r="G953" s="3" t="s">
        <v>121</v>
      </c>
      <c r="H953" s="3"/>
      <c r="I953" s="3" t="s">
        <v>122</v>
      </c>
      <c r="J953" s="3">
        <v>28</v>
      </c>
      <c r="K953" s="3">
        <v>28</v>
      </c>
      <c r="L953" s="3">
        <v>0</v>
      </c>
      <c r="M953" s="3">
        <v>0</v>
      </c>
      <c r="N953" s="3">
        <v>28</v>
      </c>
      <c r="O953" s="3">
        <v>0.16</v>
      </c>
      <c r="P953" s="3">
        <v>0</v>
      </c>
      <c r="Q953" s="3">
        <v>0</v>
      </c>
      <c r="R953" s="3">
        <v>0</v>
      </c>
    </row>
    <row r="954" spans="1:18">
      <c r="A954" s="3" t="s">
        <v>2561</v>
      </c>
      <c r="B954" s="3" t="s">
        <v>2562</v>
      </c>
      <c r="C954" s="3" t="s">
        <v>2562</v>
      </c>
      <c r="D954" s="3" t="s">
        <v>2563</v>
      </c>
      <c r="E954" s="3" t="s">
        <v>120</v>
      </c>
      <c r="F954" s="3">
        <v>32.99</v>
      </c>
      <c r="G954" s="3" t="s">
        <v>121</v>
      </c>
      <c r="H954" s="3"/>
      <c r="I954" s="3" t="s">
        <v>122</v>
      </c>
      <c r="J954" s="3">
        <v>16</v>
      </c>
      <c r="K954" s="3">
        <v>16</v>
      </c>
      <c r="L954" s="3">
        <v>0</v>
      </c>
      <c r="M954" s="3">
        <v>0</v>
      </c>
      <c r="N954" s="3">
        <v>16</v>
      </c>
      <c r="O954" s="3">
        <v>0.2</v>
      </c>
      <c r="P954" s="3">
        <v>0</v>
      </c>
      <c r="Q954" s="3">
        <v>0</v>
      </c>
      <c r="R954" s="3">
        <v>0</v>
      </c>
    </row>
    <row r="955" spans="1:18">
      <c r="A955" s="3" t="s">
        <v>2564</v>
      </c>
      <c r="B955" s="3" t="s">
        <v>2565</v>
      </c>
      <c r="C955" s="3" t="s">
        <v>2565</v>
      </c>
      <c r="D955" s="3" t="s">
        <v>2566</v>
      </c>
      <c r="E955" s="3" t="s">
        <v>120</v>
      </c>
      <c r="F955" s="3">
        <v>32.99</v>
      </c>
      <c r="G955" s="3" t="s">
        <v>121</v>
      </c>
      <c r="H955" s="3"/>
      <c r="I955" s="3" t="s">
        <v>122</v>
      </c>
      <c r="J955" s="3">
        <v>10</v>
      </c>
      <c r="K955" s="3">
        <v>10</v>
      </c>
      <c r="L955" s="3">
        <v>0</v>
      </c>
      <c r="M955" s="3">
        <v>0</v>
      </c>
      <c r="N955" s="3">
        <v>10</v>
      </c>
      <c r="O955" s="3">
        <v>0.2</v>
      </c>
      <c r="P955" s="3">
        <v>0</v>
      </c>
      <c r="Q955" s="3">
        <v>0</v>
      </c>
      <c r="R955" s="3">
        <v>0</v>
      </c>
    </row>
    <row r="956" spans="1:18">
      <c r="A956" s="3" t="s">
        <v>2567</v>
      </c>
      <c r="B956" s="3" t="s">
        <v>2568</v>
      </c>
      <c r="C956" s="3" t="s">
        <v>2568</v>
      </c>
      <c r="D956" s="3" t="s">
        <v>2569</v>
      </c>
      <c r="E956" s="3" t="s">
        <v>120</v>
      </c>
      <c r="F956" s="3">
        <v>32.99</v>
      </c>
      <c r="G956" s="3" t="s">
        <v>121</v>
      </c>
      <c r="H956" s="3"/>
      <c r="I956" s="3" t="s">
        <v>122</v>
      </c>
      <c r="J956" s="3">
        <v>11</v>
      </c>
      <c r="K956" s="3">
        <v>11</v>
      </c>
      <c r="L956" s="3">
        <v>0</v>
      </c>
      <c r="M956" s="3">
        <v>0</v>
      </c>
      <c r="N956" s="3">
        <v>11</v>
      </c>
      <c r="O956" s="3">
        <v>0.2</v>
      </c>
      <c r="P956" s="3">
        <v>0</v>
      </c>
      <c r="Q956" s="3">
        <v>0</v>
      </c>
      <c r="R956" s="3">
        <v>0</v>
      </c>
    </row>
    <row r="957" spans="1:18">
      <c r="A957" s="3" t="s">
        <v>2570</v>
      </c>
      <c r="B957" s="3" t="s">
        <v>2571</v>
      </c>
      <c r="C957" s="3" t="s">
        <v>2571</v>
      </c>
      <c r="D957" s="3" t="s">
        <v>1725</v>
      </c>
      <c r="E957" s="3" t="s">
        <v>120</v>
      </c>
      <c r="F957" s="3">
        <v>24.98</v>
      </c>
      <c r="G957" s="3" t="s">
        <v>121</v>
      </c>
      <c r="H957" s="3"/>
      <c r="I957" s="3" t="s">
        <v>122</v>
      </c>
      <c r="J957" s="3">
        <v>0</v>
      </c>
      <c r="K957" s="3">
        <v>0</v>
      </c>
      <c r="L957" s="3">
        <v>0</v>
      </c>
      <c r="M957" s="3">
        <v>0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</row>
    <row r="958" spans="1:18">
      <c r="A958" s="3" t="s">
        <v>2572</v>
      </c>
      <c r="B958" s="3" t="s">
        <v>2573</v>
      </c>
      <c r="C958" s="3" t="s">
        <v>2573</v>
      </c>
      <c r="D958" s="3" t="s">
        <v>1725</v>
      </c>
      <c r="E958" s="3" t="s">
        <v>120</v>
      </c>
      <c r="F958" s="3">
        <v>24.98</v>
      </c>
      <c r="G958" s="3" t="s">
        <v>121</v>
      </c>
      <c r="H958" s="3"/>
      <c r="I958" s="3" t="s">
        <v>122</v>
      </c>
      <c r="J958" s="3">
        <v>0</v>
      </c>
      <c r="K958" s="3">
        <v>0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</row>
    <row r="959" spans="1:18">
      <c r="A959" s="3" t="s">
        <v>2574</v>
      </c>
      <c r="B959" s="3" t="s">
        <v>2575</v>
      </c>
      <c r="C959" s="3" t="s">
        <v>2575</v>
      </c>
      <c r="D959" s="3" t="s">
        <v>1725</v>
      </c>
      <c r="E959" s="3" t="s">
        <v>120</v>
      </c>
      <c r="F959" s="3">
        <v>22.98</v>
      </c>
      <c r="G959" s="3" t="s">
        <v>121</v>
      </c>
      <c r="H959" s="3"/>
      <c r="I959" s="3" t="s">
        <v>122</v>
      </c>
      <c r="J959" s="3">
        <v>0</v>
      </c>
      <c r="K959" s="3">
        <v>0</v>
      </c>
      <c r="L959" s="3">
        <v>0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</row>
    <row r="960" spans="1:18">
      <c r="A960" s="3" t="s">
        <v>2576</v>
      </c>
      <c r="B960" s="3" t="s">
        <v>2577</v>
      </c>
      <c r="C960" s="3" t="s">
        <v>2577</v>
      </c>
      <c r="D960" s="3"/>
      <c r="E960" s="3" t="s">
        <v>20</v>
      </c>
      <c r="F960" s="3"/>
      <c r="G960" s="3"/>
      <c r="H960" s="3"/>
      <c r="I960" s="3"/>
      <c r="J960" s="3">
        <v>0</v>
      </c>
      <c r="K960" s="3">
        <v>0</v>
      </c>
      <c r="L960" s="3">
        <v>0</v>
      </c>
      <c r="M960" s="3">
        <v>0</v>
      </c>
      <c r="N960" s="3">
        <v>0</v>
      </c>
      <c r="O960" s="3"/>
      <c r="P960" s="3">
        <v>0</v>
      </c>
      <c r="Q960" s="3">
        <v>0</v>
      </c>
      <c r="R960" s="3">
        <v>0</v>
      </c>
    </row>
    <row r="961" spans="1:18">
      <c r="A961" s="3" t="s">
        <v>2578</v>
      </c>
      <c r="B961" s="3" t="s">
        <v>2579</v>
      </c>
      <c r="C961" s="3" t="s">
        <v>2579</v>
      </c>
      <c r="D961" s="3" t="s">
        <v>1037</v>
      </c>
      <c r="E961" s="3" t="s">
        <v>120</v>
      </c>
      <c r="F961" s="3">
        <v>35.98</v>
      </c>
      <c r="G961" s="3" t="s">
        <v>121</v>
      </c>
      <c r="H961" s="3"/>
      <c r="I961" s="3" t="s">
        <v>122</v>
      </c>
      <c r="J961" s="3">
        <v>15</v>
      </c>
      <c r="K961" s="3">
        <v>14</v>
      </c>
      <c r="L961" s="3">
        <v>0</v>
      </c>
      <c r="M961" s="3">
        <v>1</v>
      </c>
      <c r="N961" s="3">
        <v>15</v>
      </c>
      <c r="O961" s="3">
        <v>0.15</v>
      </c>
      <c r="P961" s="3">
        <v>0</v>
      </c>
      <c r="Q961" s="3">
        <v>0</v>
      </c>
      <c r="R961" s="3">
        <v>0</v>
      </c>
    </row>
    <row r="962" spans="1:18">
      <c r="A962" s="3" t="s">
        <v>2580</v>
      </c>
      <c r="B962" s="3" t="s">
        <v>1040</v>
      </c>
      <c r="C962" s="3" t="s">
        <v>1040</v>
      </c>
      <c r="D962" s="3" t="s">
        <v>1041</v>
      </c>
      <c r="E962" s="3" t="s">
        <v>120</v>
      </c>
      <c r="F962" s="3">
        <v>35.98</v>
      </c>
      <c r="G962" s="3" t="s">
        <v>121</v>
      </c>
      <c r="H962" s="3"/>
      <c r="I962" s="3" t="s">
        <v>122</v>
      </c>
      <c r="J962" s="3">
        <v>32</v>
      </c>
      <c r="K962" s="3">
        <v>32</v>
      </c>
      <c r="L962" s="3">
        <v>0</v>
      </c>
      <c r="M962" s="3">
        <v>0</v>
      </c>
      <c r="N962" s="3">
        <v>32</v>
      </c>
      <c r="O962" s="3">
        <v>0.15</v>
      </c>
      <c r="P962" s="3">
        <v>0</v>
      </c>
      <c r="Q962" s="3">
        <v>0</v>
      </c>
      <c r="R962" s="3">
        <v>0</v>
      </c>
    </row>
    <row r="963" spans="1:18">
      <c r="A963" s="3" t="s">
        <v>2581</v>
      </c>
      <c r="B963" s="3" t="s">
        <v>1044</v>
      </c>
      <c r="C963" s="3" t="s">
        <v>1044</v>
      </c>
      <c r="D963" s="3" t="s">
        <v>1045</v>
      </c>
      <c r="E963" s="3" t="s">
        <v>120</v>
      </c>
      <c r="F963" s="3">
        <v>35.98</v>
      </c>
      <c r="G963" s="3" t="s">
        <v>121</v>
      </c>
      <c r="H963" s="3"/>
      <c r="I963" s="3" t="s">
        <v>122</v>
      </c>
      <c r="J963" s="3">
        <v>24</v>
      </c>
      <c r="K963" s="3">
        <v>24</v>
      </c>
      <c r="L963" s="3">
        <v>0</v>
      </c>
      <c r="M963" s="3">
        <v>0</v>
      </c>
      <c r="N963" s="3">
        <v>24</v>
      </c>
      <c r="O963" s="3">
        <v>0.15</v>
      </c>
      <c r="P963" s="3">
        <v>0</v>
      </c>
      <c r="Q963" s="3">
        <v>0</v>
      </c>
      <c r="R963" s="3">
        <v>0</v>
      </c>
    </row>
    <row r="964" spans="1:18">
      <c r="A964" s="3" t="s">
        <v>2582</v>
      </c>
      <c r="B964" s="3" t="s">
        <v>1048</v>
      </c>
      <c r="C964" s="3" t="s">
        <v>1048</v>
      </c>
      <c r="D964" s="3" t="s">
        <v>1049</v>
      </c>
      <c r="E964" s="3" t="s">
        <v>120</v>
      </c>
      <c r="F964" s="3">
        <v>35.98</v>
      </c>
      <c r="G964" s="3" t="s">
        <v>121</v>
      </c>
      <c r="H964" s="3"/>
      <c r="I964" s="3" t="s">
        <v>122</v>
      </c>
      <c r="J964" s="3">
        <v>19</v>
      </c>
      <c r="K964" s="3">
        <v>19</v>
      </c>
      <c r="L964" s="3">
        <v>0</v>
      </c>
      <c r="M964" s="3">
        <v>0</v>
      </c>
      <c r="N964" s="3">
        <v>19</v>
      </c>
      <c r="O964" s="3">
        <v>0.15</v>
      </c>
      <c r="P964" s="3">
        <v>0</v>
      </c>
      <c r="Q964" s="3">
        <v>0</v>
      </c>
      <c r="R964" s="3">
        <v>0</v>
      </c>
    </row>
    <row r="965" spans="1:18">
      <c r="A965" s="3" t="s">
        <v>2583</v>
      </c>
      <c r="B965" s="3" t="s">
        <v>1052</v>
      </c>
      <c r="C965" s="3" t="s">
        <v>1052</v>
      </c>
      <c r="D965" s="3" t="s">
        <v>1053</v>
      </c>
      <c r="E965" s="3" t="s">
        <v>120</v>
      </c>
      <c r="F965" s="3">
        <v>35.98</v>
      </c>
      <c r="G965" s="3" t="s">
        <v>121</v>
      </c>
      <c r="H965" s="3"/>
      <c r="I965" s="3" t="s">
        <v>122</v>
      </c>
      <c r="J965" s="3">
        <v>2</v>
      </c>
      <c r="K965" s="3">
        <v>0</v>
      </c>
      <c r="L965" s="3">
        <v>0</v>
      </c>
      <c r="M965" s="3">
        <v>2</v>
      </c>
      <c r="N965" s="3">
        <v>2</v>
      </c>
      <c r="O965" s="3">
        <v>0.15</v>
      </c>
      <c r="P965" s="3">
        <v>0</v>
      </c>
      <c r="Q965" s="3">
        <v>0</v>
      </c>
      <c r="R965" s="3">
        <v>0</v>
      </c>
    </row>
    <row r="966" spans="1:18">
      <c r="A966" s="3" t="s">
        <v>2584</v>
      </c>
      <c r="B966" s="3" t="s">
        <v>1056</v>
      </c>
      <c r="C966" s="3" t="s">
        <v>1056</v>
      </c>
      <c r="D966" s="3" t="s">
        <v>1057</v>
      </c>
      <c r="E966" s="3" t="s">
        <v>120</v>
      </c>
      <c r="F966" s="3">
        <v>35.98</v>
      </c>
      <c r="G966" s="3" t="s">
        <v>121</v>
      </c>
      <c r="H966" s="3"/>
      <c r="I966" s="3" t="s">
        <v>122</v>
      </c>
      <c r="J966" s="3">
        <v>12</v>
      </c>
      <c r="K966" s="3">
        <v>10</v>
      </c>
      <c r="L966" s="3">
        <v>0</v>
      </c>
      <c r="M966" s="3">
        <v>2</v>
      </c>
      <c r="N966" s="3">
        <v>12</v>
      </c>
      <c r="O966" s="3">
        <v>0.12</v>
      </c>
      <c r="P966" s="3">
        <v>0</v>
      </c>
      <c r="Q966" s="3">
        <v>0</v>
      </c>
      <c r="R966" s="3">
        <v>0</v>
      </c>
    </row>
    <row r="967" spans="1:18">
      <c r="A967" s="3" t="s">
        <v>2585</v>
      </c>
      <c r="B967" s="3" t="s">
        <v>1060</v>
      </c>
      <c r="C967" s="3" t="s">
        <v>1060</v>
      </c>
      <c r="D967" s="3" t="s">
        <v>1061</v>
      </c>
      <c r="E967" s="3" t="s">
        <v>120</v>
      </c>
      <c r="F967" s="3">
        <v>35.98</v>
      </c>
      <c r="G967" s="3" t="s">
        <v>121</v>
      </c>
      <c r="H967" s="3"/>
      <c r="I967" s="3" t="s">
        <v>122</v>
      </c>
      <c r="J967" s="3">
        <v>19</v>
      </c>
      <c r="K967" s="3">
        <v>19</v>
      </c>
      <c r="L967" s="3">
        <v>0</v>
      </c>
      <c r="M967" s="3">
        <v>0</v>
      </c>
      <c r="N967" s="3">
        <v>19</v>
      </c>
      <c r="O967" s="3">
        <v>0.15</v>
      </c>
      <c r="P967" s="3">
        <v>0</v>
      </c>
      <c r="Q967" s="3">
        <v>0</v>
      </c>
      <c r="R967" s="3">
        <v>0</v>
      </c>
    </row>
    <row r="968" spans="1:18">
      <c r="A968" s="3" t="s">
        <v>2586</v>
      </c>
      <c r="B968" s="3" t="s">
        <v>1064</v>
      </c>
      <c r="C968" s="3" t="s">
        <v>1064</v>
      </c>
      <c r="D968" s="3" t="s">
        <v>1065</v>
      </c>
      <c r="E968" s="3" t="s">
        <v>120</v>
      </c>
      <c r="F968" s="3">
        <v>35.98</v>
      </c>
      <c r="G968" s="3" t="s">
        <v>121</v>
      </c>
      <c r="H968" s="3"/>
      <c r="I968" s="3" t="s">
        <v>122</v>
      </c>
      <c r="J968" s="3">
        <v>3</v>
      </c>
      <c r="K968" s="3">
        <v>3</v>
      </c>
      <c r="L968" s="3">
        <v>0</v>
      </c>
      <c r="M968" s="3">
        <v>0</v>
      </c>
      <c r="N968" s="3">
        <v>3</v>
      </c>
      <c r="O968" s="3">
        <v>0.15</v>
      </c>
      <c r="P968" s="3">
        <v>0</v>
      </c>
      <c r="Q968" s="3">
        <v>0</v>
      </c>
      <c r="R968" s="3">
        <v>0</v>
      </c>
    </row>
    <row r="969" spans="1:18">
      <c r="A969" s="3" t="s">
        <v>2587</v>
      </c>
      <c r="B969" s="3" t="s">
        <v>1068</v>
      </c>
      <c r="C969" s="3" t="s">
        <v>1068</v>
      </c>
      <c r="D969" s="3" t="s">
        <v>1069</v>
      </c>
      <c r="E969" s="3" t="s">
        <v>120</v>
      </c>
      <c r="F969" s="3">
        <v>35.98</v>
      </c>
      <c r="G969" s="3" t="s">
        <v>121</v>
      </c>
      <c r="H969" s="3"/>
      <c r="I969" s="3" t="s">
        <v>122</v>
      </c>
      <c r="J969" s="3">
        <v>18</v>
      </c>
      <c r="K969" s="3">
        <v>17</v>
      </c>
      <c r="L969" s="3">
        <v>0</v>
      </c>
      <c r="M969" s="3">
        <v>1</v>
      </c>
      <c r="N969" s="3">
        <v>18</v>
      </c>
      <c r="O969" s="3">
        <v>0.15</v>
      </c>
      <c r="P969" s="3">
        <v>0</v>
      </c>
      <c r="Q969" s="3">
        <v>0</v>
      </c>
      <c r="R969" s="3">
        <v>0</v>
      </c>
    </row>
    <row r="970" spans="1:18">
      <c r="A970" s="3" t="s">
        <v>2588</v>
      </c>
      <c r="B970" s="3" t="s">
        <v>1072</v>
      </c>
      <c r="C970" s="3" t="s">
        <v>1072</v>
      </c>
      <c r="D970" s="3" t="s">
        <v>1073</v>
      </c>
      <c r="E970" s="3" t="s">
        <v>120</v>
      </c>
      <c r="F970" s="3">
        <v>35.98</v>
      </c>
      <c r="G970" s="3" t="s">
        <v>121</v>
      </c>
      <c r="H970" s="3"/>
      <c r="I970" s="3" t="s">
        <v>122</v>
      </c>
      <c r="J970" s="3">
        <v>17</v>
      </c>
      <c r="K970" s="3">
        <v>13</v>
      </c>
      <c r="L970" s="3">
        <v>0</v>
      </c>
      <c r="M970" s="3">
        <v>4</v>
      </c>
      <c r="N970" s="3">
        <v>17</v>
      </c>
      <c r="O970" s="3">
        <v>0.15</v>
      </c>
      <c r="P970" s="3">
        <v>0</v>
      </c>
      <c r="Q970" s="3">
        <v>0</v>
      </c>
      <c r="R970" s="3">
        <v>0</v>
      </c>
    </row>
    <row r="971" spans="1:18">
      <c r="A971" s="3" t="s">
        <v>2589</v>
      </c>
      <c r="B971" s="3" t="s">
        <v>2590</v>
      </c>
      <c r="C971" s="3" t="s">
        <v>2590</v>
      </c>
      <c r="D971" s="3"/>
      <c r="E971" s="3" t="s">
        <v>20</v>
      </c>
      <c r="F971" s="3"/>
      <c r="G971" s="3"/>
      <c r="H971" s="3"/>
      <c r="I971" s="3"/>
      <c r="J971" s="3">
        <v>20</v>
      </c>
      <c r="K971" s="3">
        <v>20</v>
      </c>
      <c r="L971" s="3">
        <v>0</v>
      </c>
      <c r="M971" s="3">
        <v>0</v>
      </c>
      <c r="N971" s="3">
        <v>20</v>
      </c>
      <c r="O971" s="3"/>
      <c r="P971" s="3">
        <v>0</v>
      </c>
      <c r="Q971" s="3">
        <v>0</v>
      </c>
      <c r="R971" s="3">
        <v>0</v>
      </c>
    </row>
    <row r="972" spans="1:18">
      <c r="A972" s="3" t="s">
        <v>2591</v>
      </c>
      <c r="B972" s="3" t="s">
        <v>1140</v>
      </c>
      <c r="C972" s="3" t="s">
        <v>1140</v>
      </c>
      <c r="D972" s="3"/>
      <c r="E972" s="3" t="s">
        <v>20</v>
      </c>
      <c r="F972" s="3"/>
      <c r="G972" s="3"/>
      <c r="H972" s="3"/>
      <c r="I972" s="3"/>
      <c r="J972" s="3">
        <v>32</v>
      </c>
      <c r="K972" s="3">
        <v>32</v>
      </c>
      <c r="L972" s="3">
        <v>0</v>
      </c>
      <c r="M972" s="3">
        <v>0</v>
      </c>
      <c r="N972" s="3">
        <v>32</v>
      </c>
      <c r="O972" s="3"/>
      <c r="P972" s="3">
        <v>0</v>
      </c>
      <c r="Q972" s="3">
        <v>0</v>
      </c>
      <c r="R972" s="3">
        <v>0</v>
      </c>
    </row>
    <row r="973" spans="1:18">
      <c r="A973" s="3" t="s">
        <v>2592</v>
      </c>
      <c r="B973" s="3" t="s">
        <v>1136</v>
      </c>
      <c r="C973" s="3" t="s">
        <v>1136</v>
      </c>
      <c r="D973" s="3"/>
      <c r="E973" s="3" t="s">
        <v>20</v>
      </c>
      <c r="F973" s="3"/>
      <c r="G973" s="3"/>
      <c r="H973" s="3"/>
      <c r="I973" s="3"/>
      <c r="J973" s="3">
        <v>24</v>
      </c>
      <c r="K973" s="3">
        <v>24</v>
      </c>
      <c r="L973" s="3">
        <v>0</v>
      </c>
      <c r="M973" s="3">
        <v>0</v>
      </c>
      <c r="N973" s="3">
        <v>25</v>
      </c>
      <c r="O973" s="3"/>
      <c r="P973" s="3">
        <v>0</v>
      </c>
      <c r="Q973" s="3">
        <v>0</v>
      </c>
      <c r="R973" s="3">
        <v>1</v>
      </c>
    </row>
    <row r="974" spans="1:18">
      <c r="A974" s="3" t="s">
        <v>2593</v>
      </c>
      <c r="B974" s="3" t="s">
        <v>1146</v>
      </c>
      <c r="C974" s="3" t="s">
        <v>1146</v>
      </c>
      <c r="D974" s="3"/>
      <c r="E974" s="3" t="s">
        <v>20</v>
      </c>
      <c r="F974" s="3"/>
      <c r="G974" s="3"/>
      <c r="H974" s="3"/>
      <c r="I974" s="3"/>
      <c r="J974" s="3">
        <v>26</v>
      </c>
      <c r="K974" s="3">
        <v>26</v>
      </c>
      <c r="L974" s="3">
        <v>0</v>
      </c>
      <c r="M974" s="3">
        <v>0</v>
      </c>
      <c r="N974" s="3">
        <v>26</v>
      </c>
      <c r="O974" s="3"/>
      <c r="P974" s="3">
        <v>0</v>
      </c>
      <c r="Q974" s="3">
        <v>0</v>
      </c>
      <c r="R974" s="3">
        <v>0</v>
      </c>
    </row>
    <row r="975" spans="1:18">
      <c r="A975" s="3" t="s">
        <v>2594</v>
      </c>
      <c r="B975" s="3" t="s">
        <v>1150</v>
      </c>
      <c r="C975" s="3" t="s">
        <v>1150</v>
      </c>
      <c r="D975" s="3"/>
      <c r="E975" s="3" t="s">
        <v>20</v>
      </c>
      <c r="F975" s="3"/>
      <c r="G975" s="3"/>
      <c r="H975" s="3"/>
      <c r="I975" s="3"/>
      <c r="J975" s="3">
        <v>20</v>
      </c>
      <c r="K975" s="3">
        <v>20</v>
      </c>
      <c r="L975" s="3">
        <v>0</v>
      </c>
      <c r="M975" s="3">
        <v>0</v>
      </c>
      <c r="N975" s="3">
        <v>20</v>
      </c>
      <c r="O975" s="3"/>
      <c r="P975" s="3">
        <v>0</v>
      </c>
      <c r="Q975" s="3">
        <v>0</v>
      </c>
      <c r="R975" s="3">
        <v>0</v>
      </c>
    </row>
    <row r="976" spans="1:18">
      <c r="A976" s="3" t="s">
        <v>2595</v>
      </c>
      <c r="B976" s="3" t="s">
        <v>1076</v>
      </c>
      <c r="C976" s="3" t="s">
        <v>1076</v>
      </c>
      <c r="D976" s="3" t="s">
        <v>1077</v>
      </c>
      <c r="E976" s="3" t="s">
        <v>120</v>
      </c>
      <c r="F976" s="3">
        <v>35.98</v>
      </c>
      <c r="G976" s="3" t="s">
        <v>121</v>
      </c>
      <c r="H976" s="3"/>
      <c r="I976" s="3" t="s">
        <v>122</v>
      </c>
      <c r="J976" s="3">
        <v>38</v>
      </c>
      <c r="K976" s="3">
        <v>37</v>
      </c>
      <c r="L976" s="3">
        <v>0</v>
      </c>
      <c r="M976" s="3">
        <v>1</v>
      </c>
      <c r="N976" s="3">
        <v>38</v>
      </c>
      <c r="O976" s="3">
        <v>0.15</v>
      </c>
      <c r="P976" s="3">
        <v>0</v>
      </c>
      <c r="Q976" s="3">
        <v>0</v>
      </c>
      <c r="R976" s="3">
        <v>0</v>
      </c>
    </row>
    <row r="977" spans="1:18">
      <c r="A977" s="3" t="s">
        <v>2596</v>
      </c>
      <c r="B977" s="3" t="s">
        <v>1080</v>
      </c>
      <c r="C977" s="3" t="s">
        <v>1080</v>
      </c>
      <c r="D977" s="3" t="s">
        <v>1081</v>
      </c>
      <c r="E977" s="3" t="s">
        <v>120</v>
      </c>
      <c r="F977" s="3">
        <v>35.98</v>
      </c>
      <c r="G977" s="3" t="s">
        <v>121</v>
      </c>
      <c r="H977" s="3"/>
      <c r="I977" s="3" t="s">
        <v>122</v>
      </c>
      <c r="J977" s="3">
        <v>45</v>
      </c>
      <c r="K977" s="3">
        <v>45</v>
      </c>
      <c r="L977" s="3">
        <v>0</v>
      </c>
      <c r="M977" s="3">
        <v>0</v>
      </c>
      <c r="N977" s="3">
        <v>45</v>
      </c>
      <c r="O977" s="3">
        <v>0.15</v>
      </c>
      <c r="P977" s="3">
        <v>0</v>
      </c>
      <c r="Q977" s="3">
        <v>0</v>
      </c>
      <c r="R977" s="3">
        <v>0</v>
      </c>
    </row>
    <row r="978" spans="1:18">
      <c r="A978" s="3" t="s">
        <v>2597</v>
      </c>
      <c r="B978" s="3" t="s">
        <v>1084</v>
      </c>
      <c r="C978" s="3" t="s">
        <v>1084</v>
      </c>
      <c r="D978" s="3" t="s">
        <v>1085</v>
      </c>
      <c r="E978" s="3" t="s">
        <v>120</v>
      </c>
      <c r="F978" s="3">
        <v>35.98</v>
      </c>
      <c r="G978" s="3" t="s">
        <v>121</v>
      </c>
      <c r="H978" s="3"/>
      <c r="I978" s="3" t="s">
        <v>122</v>
      </c>
      <c r="J978" s="3">
        <v>29</v>
      </c>
      <c r="K978" s="3">
        <v>29</v>
      </c>
      <c r="L978" s="3">
        <v>0</v>
      </c>
      <c r="M978" s="3">
        <v>0</v>
      </c>
      <c r="N978" s="3">
        <v>29</v>
      </c>
      <c r="O978" s="3">
        <v>0.15</v>
      </c>
      <c r="P978" s="3">
        <v>0</v>
      </c>
      <c r="Q978" s="3">
        <v>0</v>
      </c>
      <c r="R978" s="3">
        <v>0</v>
      </c>
    </row>
    <row r="979" spans="1:18">
      <c r="A979" s="3" t="s">
        <v>2598</v>
      </c>
      <c r="B979" s="3" t="s">
        <v>1088</v>
      </c>
      <c r="C979" s="3" t="s">
        <v>1088</v>
      </c>
      <c r="D979" s="3" t="s">
        <v>1089</v>
      </c>
      <c r="E979" s="3" t="s">
        <v>120</v>
      </c>
      <c r="F979" s="3">
        <v>35.98</v>
      </c>
      <c r="G979" s="3" t="s">
        <v>121</v>
      </c>
      <c r="H979" s="3"/>
      <c r="I979" s="3" t="s">
        <v>122</v>
      </c>
      <c r="J979" s="3">
        <v>37</v>
      </c>
      <c r="K979" s="3">
        <v>37</v>
      </c>
      <c r="L979" s="3">
        <v>0</v>
      </c>
      <c r="M979" s="3">
        <v>0</v>
      </c>
      <c r="N979" s="3">
        <v>37</v>
      </c>
      <c r="O979" s="3">
        <v>0.15</v>
      </c>
      <c r="P979" s="3">
        <v>0</v>
      </c>
      <c r="Q979" s="3">
        <v>0</v>
      </c>
      <c r="R979" s="3">
        <v>0</v>
      </c>
    </row>
    <row r="980" spans="1:18">
      <c r="A980" s="3" t="s">
        <v>2599</v>
      </c>
      <c r="B980" s="3" t="s">
        <v>2600</v>
      </c>
      <c r="C980" s="3" t="s">
        <v>2600</v>
      </c>
      <c r="D980" s="3" t="s">
        <v>1093</v>
      </c>
      <c r="E980" s="3" t="s">
        <v>120</v>
      </c>
      <c r="F980" s="3">
        <v>35.98</v>
      </c>
      <c r="G980" s="3" t="s">
        <v>121</v>
      </c>
      <c r="H980" s="3"/>
      <c r="I980" s="3" t="s">
        <v>122</v>
      </c>
      <c r="J980" s="3">
        <v>27</v>
      </c>
      <c r="K980" s="3">
        <v>26</v>
      </c>
      <c r="L980" s="3">
        <v>0</v>
      </c>
      <c r="M980" s="3">
        <v>1</v>
      </c>
      <c r="N980" s="3">
        <v>27</v>
      </c>
      <c r="O980" s="3">
        <v>0.15</v>
      </c>
      <c r="P980" s="3">
        <v>0</v>
      </c>
      <c r="Q980" s="3">
        <v>0</v>
      </c>
      <c r="R980" s="3">
        <v>0</v>
      </c>
    </row>
    <row r="981" spans="1:18">
      <c r="A981" s="3" t="s">
        <v>2601</v>
      </c>
      <c r="B981" s="3" t="s">
        <v>1096</v>
      </c>
      <c r="C981" s="3" t="s">
        <v>1096</v>
      </c>
      <c r="D981" s="3" t="s">
        <v>1097</v>
      </c>
      <c r="E981" s="3" t="s">
        <v>120</v>
      </c>
      <c r="F981" s="3">
        <v>35.98</v>
      </c>
      <c r="G981" s="3" t="s">
        <v>121</v>
      </c>
      <c r="H981" s="3"/>
      <c r="I981" s="3" t="s">
        <v>122</v>
      </c>
      <c r="J981" s="3">
        <v>18</v>
      </c>
      <c r="K981" s="3">
        <v>17</v>
      </c>
      <c r="L981" s="3">
        <v>0</v>
      </c>
      <c r="M981" s="3">
        <v>1</v>
      </c>
      <c r="N981" s="3">
        <v>18</v>
      </c>
      <c r="O981" s="3">
        <v>0.12</v>
      </c>
      <c r="P981" s="3">
        <v>0</v>
      </c>
      <c r="Q981" s="3">
        <v>0</v>
      </c>
      <c r="R981" s="3">
        <v>0</v>
      </c>
    </row>
    <row r="982" spans="1:18">
      <c r="A982" s="3" t="s">
        <v>2602</v>
      </c>
      <c r="B982" s="3" t="s">
        <v>1100</v>
      </c>
      <c r="C982" s="3" t="s">
        <v>1100</v>
      </c>
      <c r="D982" s="3" t="s">
        <v>1101</v>
      </c>
      <c r="E982" s="3" t="s">
        <v>120</v>
      </c>
      <c r="F982" s="3">
        <v>35.98</v>
      </c>
      <c r="G982" s="3" t="s">
        <v>121</v>
      </c>
      <c r="H982" s="3"/>
      <c r="I982" s="3" t="s">
        <v>122</v>
      </c>
      <c r="J982" s="3">
        <v>31</v>
      </c>
      <c r="K982" s="3">
        <v>30</v>
      </c>
      <c r="L982" s="3">
        <v>0</v>
      </c>
      <c r="M982" s="3">
        <v>1</v>
      </c>
      <c r="N982" s="3">
        <v>31</v>
      </c>
      <c r="O982" s="3">
        <v>0.15</v>
      </c>
      <c r="P982" s="3">
        <v>0</v>
      </c>
      <c r="Q982" s="3">
        <v>0</v>
      </c>
      <c r="R982" s="3">
        <v>0</v>
      </c>
    </row>
    <row r="983" spans="1:18">
      <c r="A983" s="3" t="s">
        <v>2603</v>
      </c>
      <c r="B983" s="3" t="s">
        <v>1104</v>
      </c>
      <c r="C983" s="3" t="s">
        <v>1104</v>
      </c>
      <c r="D983" s="3" t="s">
        <v>1105</v>
      </c>
      <c r="E983" s="3" t="s">
        <v>120</v>
      </c>
      <c r="F983" s="3">
        <v>35.98</v>
      </c>
      <c r="G983" s="3" t="s">
        <v>121</v>
      </c>
      <c r="H983" s="3"/>
      <c r="I983" s="3" t="s">
        <v>122</v>
      </c>
      <c r="J983" s="3">
        <v>25</v>
      </c>
      <c r="K983" s="3">
        <v>25</v>
      </c>
      <c r="L983" s="3">
        <v>0</v>
      </c>
      <c r="M983" s="3">
        <v>0</v>
      </c>
      <c r="N983" s="3">
        <v>25</v>
      </c>
      <c r="O983" s="3">
        <v>0.15</v>
      </c>
      <c r="P983" s="3">
        <v>0</v>
      </c>
      <c r="Q983" s="3">
        <v>0</v>
      </c>
      <c r="R983" s="3">
        <v>0</v>
      </c>
    </row>
    <row r="984" spans="1:18">
      <c r="A984" s="3" t="s">
        <v>2604</v>
      </c>
      <c r="B984" s="3" t="s">
        <v>1108</v>
      </c>
      <c r="C984" s="3" t="s">
        <v>1108</v>
      </c>
      <c r="D984" s="3" t="s">
        <v>1109</v>
      </c>
      <c r="E984" s="3" t="s">
        <v>120</v>
      </c>
      <c r="F984" s="3">
        <v>35.98</v>
      </c>
      <c r="G984" s="3" t="s">
        <v>121</v>
      </c>
      <c r="H984" s="3"/>
      <c r="I984" s="3" t="s">
        <v>122</v>
      </c>
      <c r="J984" s="3">
        <v>21</v>
      </c>
      <c r="K984" s="3">
        <v>21</v>
      </c>
      <c r="L984" s="3">
        <v>0</v>
      </c>
      <c r="M984" s="3">
        <v>0</v>
      </c>
      <c r="N984" s="3">
        <v>21</v>
      </c>
      <c r="O984" s="3">
        <v>0.15</v>
      </c>
      <c r="P984" s="3">
        <v>0</v>
      </c>
      <c r="Q984" s="3">
        <v>0</v>
      </c>
      <c r="R984" s="3">
        <v>0</v>
      </c>
    </row>
    <row r="985" spans="1:18">
      <c r="A985" s="3" t="s">
        <v>2605</v>
      </c>
      <c r="B985" s="3" t="s">
        <v>1112</v>
      </c>
      <c r="C985" s="3" t="s">
        <v>1112</v>
      </c>
      <c r="D985" s="3" t="s">
        <v>1113</v>
      </c>
      <c r="E985" s="3" t="s">
        <v>120</v>
      </c>
      <c r="F985" s="3">
        <v>35.98</v>
      </c>
      <c r="G985" s="3" t="s">
        <v>121</v>
      </c>
      <c r="H985" s="3"/>
      <c r="I985" s="3" t="s">
        <v>122</v>
      </c>
      <c r="J985" s="3">
        <v>13</v>
      </c>
      <c r="K985" s="3">
        <v>12</v>
      </c>
      <c r="L985" s="3">
        <v>0</v>
      </c>
      <c r="M985" s="3">
        <v>1</v>
      </c>
      <c r="N985" s="3">
        <v>13</v>
      </c>
      <c r="O985" s="3">
        <v>0.15</v>
      </c>
      <c r="P985" s="3">
        <v>0</v>
      </c>
      <c r="Q985" s="3">
        <v>0</v>
      </c>
      <c r="R985" s="3">
        <v>0</v>
      </c>
    </row>
    <row r="986" spans="1:18">
      <c r="A986" s="3" t="s">
        <v>2606</v>
      </c>
      <c r="B986" s="3" t="s">
        <v>1116</v>
      </c>
      <c r="C986" s="3" t="s">
        <v>1116</v>
      </c>
      <c r="D986" s="3" t="s">
        <v>1117</v>
      </c>
      <c r="E986" s="3" t="s">
        <v>120</v>
      </c>
      <c r="F986" s="3">
        <v>35.98</v>
      </c>
      <c r="G986" s="3" t="s">
        <v>121</v>
      </c>
      <c r="H986" s="3"/>
      <c r="I986" s="3" t="s">
        <v>122</v>
      </c>
      <c r="J986" s="3">
        <v>23</v>
      </c>
      <c r="K986" s="3">
        <v>23</v>
      </c>
      <c r="L986" s="3">
        <v>0</v>
      </c>
      <c r="M986" s="3">
        <v>0</v>
      </c>
      <c r="N986" s="3">
        <v>23</v>
      </c>
      <c r="O986" s="3">
        <v>0.15</v>
      </c>
      <c r="P986" s="3">
        <v>0</v>
      </c>
      <c r="Q986" s="3">
        <v>0</v>
      </c>
      <c r="R986" s="3">
        <v>0</v>
      </c>
    </row>
    <row r="987" spans="1:18">
      <c r="A987" s="3" t="s">
        <v>2607</v>
      </c>
      <c r="B987" s="3" t="s">
        <v>1120</v>
      </c>
      <c r="C987" s="3" t="s">
        <v>1120</v>
      </c>
      <c r="D987" s="3" t="s">
        <v>1121</v>
      </c>
      <c r="E987" s="3" t="s">
        <v>120</v>
      </c>
      <c r="F987" s="3">
        <v>35.98</v>
      </c>
      <c r="G987" s="3" t="s">
        <v>121</v>
      </c>
      <c r="H987" s="3"/>
      <c r="I987" s="3" t="s">
        <v>122</v>
      </c>
      <c r="J987" s="3">
        <v>20</v>
      </c>
      <c r="K987" s="3">
        <v>19</v>
      </c>
      <c r="L987" s="3">
        <v>1</v>
      </c>
      <c r="M987" s="3">
        <v>0</v>
      </c>
      <c r="N987" s="3">
        <v>20</v>
      </c>
      <c r="O987" s="3">
        <v>0.15</v>
      </c>
      <c r="P987" s="3">
        <v>0</v>
      </c>
      <c r="Q987" s="3">
        <v>0</v>
      </c>
      <c r="R987" s="3">
        <v>0</v>
      </c>
    </row>
    <row r="988" spans="1:18">
      <c r="A988" s="3" t="s">
        <v>2608</v>
      </c>
      <c r="B988" s="3" t="s">
        <v>1124</v>
      </c>
      <c r="C988" s="3" t="s">
        <v>1124</v>
      </c>
      <c r="D988" s="3" t="s">
        <v>1125</v>
      </c>
      <c r="E988" s="3" t="s">
        <v>120</v>
      </c>
      <c r="F988" s="3">
        <v>35.98</v>
      </c>
      <c r="G988" s="3" t="s">
        <v>121</v>
      </c>
      <c r="H988" s="3"/>
      <c r="I988" s="3" t="s">
        <v>122</v>
      </c>
      <c r="J988" s="3">
        <v>22</v>
      </c>
      <c r="K988" s="3">
        <v>22</v>
      </c>
      <c r="L988" s="3">
        <v>0</v>
      </c>
      <c r="M988" s="3">
        <v>0</v>
      </c>
      <c r="N988" s="3">
        <v>22</v>
      </c>
      <c r="O988" s="3">
        <v>0.15</v>
      </c>
      <c r="P988" s="3">
        <v>0</v>
      </c>
      <c r="Q988" s="3">
        <v>0</v>
      </c>
      <c r="R988" s="3">
        <v>0</v>
      </c>
    </row>
    <row r="989" spans="1:18">
      <c r="A989" s="3" t="s">
        <v>2609</v>
      </c>
      <c r="B989" s="3" t="s">
        <v>1128</v>
      </c>
      <c r="C989" s="3" t="s">
        <v>1128</v>
      </c>
      <c r="D989" s="3" t="s">
        <v>1129</v>
      </c>
      <c r="E989" s="3" t="s">
        <v>120</v>
      </c>
      <c r="F989" s="3">
        <v>35.98</v>
      </c>
      <c r="G989" s="3" t="s">
        <v>121</v>
      </c>
      <c r="H989" s="3"/>
      <c r="I989" s="3" t="s">
        <v>122</v>
      </c>
      <c r="J989" s="3">
        <v>15</v>
      </c>
      <c r="K989" s="3">
        <v>13</v>
      </c>
      <c r="L989" s="3">
        <v>0</v>
      </c>
      <c r="M989" s="3">
        <v>2</v>
      </c>
      <c r="N989" s="3">
        <v>17</v>
      </c>
      <c r="O989" s="3">
        <v>0.15</v>
      </c>
      <c r="P989" s="3">
        <v>0</v>
      </c>
      <c r="Q989" s="3">
        <v>0</v>
      </c>
      <c r="R989" s="3">
        <v>2</v>
      </c>
    </row>
    <row r="990" spans="1:18">
      <c r="A990" s="3" t="s">
        <v>2610</v>
      </c>
      <c r="B990" s="3" t="s">
        <v>1132</v>
      </c>
      <c r="C990" s="3" t="s">
        <v>1132</v>
      </c>
      <c r="D990" s="3" t="s">
        <v>1133</v>
      </c>
      <c r="E990" s="3" t="s">
        <v>120</v>
      </c>
      <c r="F990" s="3">
        <v>35.98</v>
      </c>
      <c r="G990" s="3" t="s">
        <v>121</v>
      </c>
      <c r="H990" s="3"/>
      <c r="I990" s="3" t="s">
        <v>122</v>
      </c>
      <c r="J990" s="3">
        <v>22</v>
      </c>
      <c r="K990" s="3">
        <v>22</v>
      </c>
      <c r="L990" s="3">
        <v>0</v>
      </c>
      <c r="M990" s="3">
        <v>0</v>
      </c>
      <c r="N990" s="3">
        <v>22</v>
      </c>
      <c r="O990" s="3">
        <v>0.15</v>
      </c>
      <c r="P990" s="3">
        <v>0</v>
      </c>
      <c r="Q990" s="3">
        <v>0</v>
      </c>
      <c r="R990" s="3">
        <v>0</v>
      </c>
    </row>
    <row r="991" spans="1:18">
      <c r="A991" s="3" t="s">
        <v>2611</v>
      </c>
      <c r="B991" s="3" t="s">
        <v>1136</v>
      </c>
      <c r="C991" s="3" t="s">
        <v>1136</v>
      </c>
      <c r="D991" s="3" t="s">
        <v>1137</v>
      </c>
      <c r="E991" s="3" t="s">
        <v>120</v>
      </c>
      <c r="F991" s="3">
        <v>35.98</v>
      </c>
      <c r="G991" s="3" t="s">
        <v>121</v>
      </c>
      <c r="H991" s="3"/>
      <c r="I991" s="3" t="s">
        <v>122</v>
      </c>
      <c r="J991" s="3">
        <v>24</v>
      </c>
      <c r="K991" s="3">
        <v>24</v>
      </c>
      <c r="L991" s="3">
        <v>0</v>
      </c>
      <c r="M991" s="3">
        <v>0</v>
      </c>
      <c r="N991" s="3">
        <v>25</v>
      </c>
      <c r="O991" s="3">
        <v>0.15</v>
      </c>
      <c r="P991" s="3">
        <v>0</v>
      </c>
      <c r="Q991" s="3">
        <v>0</v>
      </c>
      <c r="R991" s="3">
        <v>1</v>
      </c>
    </row>
    <row r="992" spans="1:18">
      <c r="A992" s="3" t="s">
        <v>2612</v>
      </c>
      <c r="B992" s="3" t="s">
        <v>1140</v>
      </c>
      <c r="C992" s="3" t="s">
        <v>1140</v>
      </c>
      <c r="D992" s="3" t="s">
        <v>1141</v>
      </c>
      <c r="E992" s="3" t="s">
        <v>120</v>
      </c>
      <c r="F992" s="3">
        <v>35.98</v>
      </c>
      <c r="G992" s="3" t="s">
        <v>121</v>
      </c>
      <c r="H992" s="3"/>
      <c r="I992" s="3" t="s">
        <v>122</v>
      </c>
      <c r="J992" s="3">
        <v>32</v>
      </c>
      <c r="K992" s="3">
        <v>32</v>
      </c>
      <c r="L992" s="3">
        <v>0</v>
      </c>
      <c r="M992" s="3">
        <v>0</v>
      </c>
      <c r="N992" s="3">
        <v>32</v>
      </c>
      <c r="O992" s="3">
        <v>0.15</v>
      </c>
      <c r="P992" s="3">
        <v>0</v>
      </c>
      <c r="Q992" s="3">
        <v>0</v>
      </c>
      <c r="R992" s="3">
        <v>0</v>
      </c>
    </row>
    <row r="993" spans="1:18">
      <c r="A993" s="3" t="s">
        <v>2613</v>
      </c>
      <c r="B993" s="3" t="s">
        <v>2590</v>
      </c>
      <c r="C993" s="3" t="s">
        <v>2590</v>
      </c>
      <c r="D993" s="3" t="s">
        <v>2614</v>
      </c>
      <c r="E993" s="3" t="s">
        <v>120</v>
      </c>
      <c r="F993" s="3">
        <v>35.98</v>
      </c>
      <c r="G993" s="3" t="s">
        <v>121</v>
      </c>
      <c r="H993" s="3"/>
      <c r="I993" s="3" t="s">
        <v>122</v>
      </c>
      <c r="J993" s="3">
        <v>20</v>
      </c>
      <c r="K993" s="3">
        <v>20</v>
      </c>
      <c r="L993" s="3">
        <v>0</v>
      </c>
      <c r="M993" s="3">
        <v>0</v>
      </c>
      <c r="N993" s="3">
        <v>20</v>
      </c>
      <c r="O993" s="3">
        <v>0.15</v>
      </c>
      <c r="P993" s="3">
        <v>0</v>
      </c>
      <c r="Q993" s="3">
        <v>0</v>
      </c>
      <c r="R993" s="3">
        <v>0</v>
      </c>
    </row>
    <row r="994" spans="1:18">
      <c r="A994" s="3" t="s">
        <v>2615</v>
      </c>
      <c r="B994" s="3" t="s">
        <v>1146</v>
      </c>
      <c r="C994" s="3" t="s">
        <v>1146</v>
      </c>
      <c r="D994" s="3" t="s">
        <v>1147</v>
      </c>
      <c r="E994" s="3" t="s">
        <v>120</v>
      </c>
      <c r="F994" s="3">
        <v>35.98</v>
      </c>
      <c r="G994" s="3" t="s">
        <v>121</v>
      </c>
      <c r="H994" s="3"/>
      <c r="I994" s="3" t="s">
        <v>122</v>
      </c>
      <c r="J994" s="3">
        <v>26</v>
      </c>
      <c r="K994" s="3">
        <v>26</v>
      </c>
      <c r="L994" s="3">
        <v>0</v>
      </c>
      <c r="M994" s="3">
        <v>0</v>
      </c>
      <c r="N994" s="3">
        <v>26</v>
      </c>
      <c r="O994" s="3">
        <v>0.14</v>
      </c>
      <c r="P994" s="3">
        <v>0</v>
      </c>
      <c r="Q994" s="3">
        <v>0</v>
      </c>
      <c r="R994" s="3">
        <v>0</v>
      </c>
    </row>
    <row r="995" spans="1:18">
      <c r="A995" s="3" t="s">
        <v>2616</v>
      </c>
      <c r="B995" s="3" t="s">
        <v>1150</v>
      </c>
      <c r="C995" s="3" t="s">
        <v>1150</v>
      </c>
      <c r="D995" s="3" t="s">
        <v>1151</v>
      </c>
      <c r="E995" s="3" t="s">
        <v>120</v>
      </c>
      <c r="F995" s="3">
        <v>35.98</v>
      </c>
      <c r="G995" s="3" t="s">
        <v>121</v>
      </c>
      <c r="H995" s="3"/>
      <c r="I995" s="3" t="s">
        <v>122</v>
      </c>
      <c r="J995" s="3">
        <v>20</v>
      </c>
      <c r="K995" s="3">
        <v>20</v>
      </c>
      <c r="L995" s="3">
        <v>0</v>
      </c>
      <c r="M995" s="3">
        <v>0</v>
      </c>
      <c r="N995" s="3">
        <v>20</v>
      </c>
      <c r="O995" s="3">
        <v>0.14</v>
      </c>
      <c r="P995" s="3">
        <v>0</v>
      </c>
      <c r="Q995" s="3">
        <v>0</v>
      </c>
      <c r="R995" s="3">
        <v>0</v>
      </c>
    </row>
    <row r="996" spans="1:18">
      <c r="A996" s="3" t="s">
        <v>2617</v>
      </c>
      <c r="B996" s="3" t="s">
        <v>1154</v>
      </c>
      <c r="C996" s="3" t="s">
        <v>1154</v>
      </c>
      <c r="D996" s="3" t="s">
        <v>1155</v>
      </c>
      <c r="E996" s="3" t="s">
        <v>120</v>
      </c>
      <c r="F996" s="3">
        <v>35.98</v>
      </c>
      <c r="G996" s="3" t="s">
        <v>121</v>
      </c>
      <c r="H996" s="3"/>
      <c r="I996" s="3" t="s">
        <v>122</v>
      </c>
      <c r="J996" s="3">
        <v>17</v>
      </c>
      <c r="K996" s="3">
        <v>17</v>
      </c>
      <c r="L996" s="3">
        <v>0</v>
      </c>
      <c r="M996" s="3">
        <v>0</v>
      </c>
      <c r="N996" s="3">
        <v>17</v>
      </c>
      <c r="O996" s="3">
        <v>0.15</v>
      </c>
      <c r="P996" s="3">
        <v>0</v>
      </c>
      <c r="Q996" s="3">
        <v>0</v>
      </c>
      <c r="R996" s="3">
        <v>0</v>
      </c>
    </row>
    <row r="997" spans="1:18">
      <c r="A997" s="3" t="s">
        <v>2618</v>
      </c>
      <c r="B997" s="3" t="s">
        <v>1158</v>
      </c>
      <c r="C997" s="3" t="s">
        <v>1158</v>
      </c>
      <c r="D997" s="3" t="s">
        <v>1159</v>
      </c>
      <c r="E997" s="3" t="s">
        <v>120</v>
      </c>
      <c r="F997" s="3">
        <v>35.98</v>
      </c>
      <c r="G997" s="3" t="s">
        <v>121</v>
      </c>
      <c r="H997" s="3"/>
      <c r="I997" s="3" t="s">
        <v>122</v>
      </c>
      <c r="J997" s="3">
        <v>6</v>
      </c>
      <c r="K997" s="3">
        <v>5</v>
      </c>
      <c r="L997" s="3">
        <v>0</v>
      </c>
      <c r="M997" s="3">
        <v>1</v>
      </c>
      <c r="N997" s="3">
        <v>6</v>
      </c>
      <c r="O997" s="3">
        <v>0.15</v>
      </c>
      <c r="P997" s="3">
        <v>0</v>
      </c>
      <c r="Q997" s="3">
        <v>0</v>
      </c>
      <c r="R997" s="3">
        <v>0</v>
      </c>
    </row>
    <row r="998" spans="1:18">
      <c r="A998" s="3" t="s">
        <v>2619</v>
      </c>
      <c r="B998" s="3" t="s">
        <v>1162</v>
      </c>
      <c r="C998" s="3" t="s">
        <v>1162</v>
      </c>
      <c r="D998" s="3" t="s">
        <v>1163</v>
      </c>
      <c r="E998" s="3" t="s">
        <v>120</v>
      </c>
      <c r="F998" s="3">
        <v>35.98</v>
      </c>
      <c r="G998" s="3" t="s">
        <v>121</v>
      </c>
      <c r="H998" s="3"/>
      <c r="I998" s="3" t="s">
        <v>122</v>
      </c>
      <c r="J998" s="3">
        <v>7</v>
      </c>
      <c r="K998" s="3">
        <v>7</v>
      </c>
      <c r="L998" s="3">
        <v>0</v>
      </c>
      <c r="M998" s="3">
        <v>0</v>
      </c>
      <c r="N998" s="3">
        <v>7</v>
      </c>
      <c r="O998" s="3">
        <v>0.15</v>
      </c>
      <c r="P998" s="3">
        <v>0</v>
      </c>
      <c r="Q998" s="3">
        <v>0</v>
      </c>
      <c r="R998" s="3">
        <v>0</v>
      </c>
    </row>
    <row r="999" spans="1:18">
      <c r="A999" s="3" t="s">
        <v>2620</v>
      </c>
      <c r="B999" s="3" t="s">
        <v>1166</v>
      </c>
      <c r="C999" s="3" t="s">
        <v>1166</v>
      </c>
      <c r="D999" s="3" t="s">
        <v>1167</v>
      </c>
      <c r="E999" s="3" t="s">
        <v>120</v>
      </c>
      <c r="F999" s="3">
        <v>35.98</v>
      </c>
      <c r="G999" s="3" t="s">
        <v>121</v>
      </c>
      <c r="H999" s="3"/>
      <c r="I999" s="3" t="s">
        <v>122</v>
      </c>
      <c r="J999" s="3">
        <v>33</v>
      </c>
      <c r="K999" s="3">
        <v>33</v>
      </c>
      <c r="L999" s="3">
        <v>0</v>
      </c>
      <c r="M999" s="3">
        <v>0</v>
      </c>
      <c r="N999" s="3">
        <v>33</v>
      </c>
      <c r="O999" s="3">
        <v>0.15</v>
      </c>
      <c r="P999" s="3">
        <v>0</v>
      </c>
      <c r="Q999" s="3">
        <v>0</v>
      </c>
      <c r="R999" s="3">
        <v>0</v>
      </c>
    </row>
    <row r="1000" spans="1:18">
      <c r="A1000" s="3" t="s">
        <v>2621</v>
      </c>
      <c r="B1000" s="3" t="s">
        <v>1170</v>
      </c>
      <c r="C1000" s="3" t="s">
        <v>1170</v>
      </c>
      <c r="D1000" s="3" t="s">
        <v>1171</v>
      </c>
      <c r="E1000" s="3" t="s">
        <v>120</v>
      </c>
      <c r="F1000" s="3">
        <v>35.98</v>
      </c>
      <c r="G1000" s="3" t="s">
        <v>121</v>
      </c>
      <c r="H1000" s="3"/>
      <c r="I1000" s="3" t="s">
        <v>122</v>
      </c>
      <c r="J1000" s="3">
        <v>17</v>
      </c>
      <c r="K1000" s="3">
        <v>16</v>
      </c>
      <c r="L1000" s="3">
        <v>0</v>
      </c>
      <c r="M1000" s="3">
        <v>1</v>
      </c>
      <c r="N1000" s="3">
        <v>17</v>
      </c>
      <c r="O1000" s="3">
        <v>0.15</v>
      </c>
      <c r="P1000" s="3">
        <v>0</v>
      </c>
      <c r="Q1000" s="3">
        <v>0</v>
      </c>
      <c r="R1000" s="3">
        <v>0</v>
      </c>
    </row>
    <row r="1001" spans="1:18">
      <c r="A1001" s="3" t="s">
        <v>2622</v>
      </c>
      <c r="B1001" s="3" t="s">
        <v>1174</v>
      </c>
      <c r="C1001" s="3" t="s">
        <v>1174</v>
      </c>
      <c r="D1001" s="3" t="s">
        <v>1175</v>
      </c>
      <c r="E1001" s="3" t="s">
        <v>120</v>
      </c>
      <c r="F1001" s="3">
        <v>35.98</v>
      </c>
      <c r="G1001" s="3" t="s">
        <v>121</v>
      </c>
      <c r="H1001" s="3"/>
      <c r="I1001" s="3" t="s">
        <v>122</v>
      </c>
      <c r="J1001" s="3">
        <v>27</v>
      </c>
      <c r="K1001" s="3">
        <v>26</v>
      </c>
      <c r="L1001" s="3">
        <v>0</v>
      </c>
      <c r="M1001" s="3">
        <v>1</v>
      </c>
      <c r="N1001" s="3">
        <v>27</v>
      </c>
      <c r="O1001" s="3">
        <v>0.15</v>
      </c>
      <c r="P1001" s="3">
        <v>0</v>
      </c>
      <c r="Q1001" s="3">
        <v>0</v>
      </c>
      <c r="R1001" s="3">
        <v>0</v>
      </c>
    </row>
    <row r="1002" spans="1:18">
      <c r="A1002" s="3" t="s">
        <v>2623</v>
      </c>
      <c r="B1002" s="3" t="s">
        <v>18</v>
      </c>
      <c r="C1002" s="3" t="s">
        <v>18</v>
      </c>
      <c r="D1002" s="3" t="s">
        <v>1178</v>
      </c>
      <c r="E1002" s="3" t="s">
        <v>120</v>
      </c>
      <c r="F1002" s="3">
        <v>35.98</v>
      </c>
      <c r="G1002" s="3" t="s">
        <v>121</v>
      </c>
      <c r="H1002" s="3"/>
      <c r="I1002" s="3" t="s">
        <v>122</v>
      </c>
      <c r="J1002" s="3">
        <v>25</v>
      </c>
      <c r="K1002" s="3">
        <v>24</v>
      </c>
      <c r="L1002" s="3">
        <v>0</v>
      </c>
      <c r="M1002" s="3">
        <v>1</v>
      </c>
      <c r="N1002" s="3">
        <v>25</v>
      </c>
      <c r="O1002" s="3">
        <v>0.15</v>
      </c>
      <c r="P1002" s="3">
        <v>0</v>
      </c>
      <c r="Q1002" s="3">
        <v>0</v>
      </c>
      <c r="R1002" s="3">
        <v>0</v>
      </c>
    </row>
    <row r="1003" spans="1:18">
      <c r="A1003" s="3" t="s">
        <v>2624</v>
      </c>
      <c r="B1003" s="3" t="s">
        <v>1181</v>
      </c>
      <c r="C1003" s="3" t="s">
        <v>1181</v>
      </c>
      <c r="D1003" s="3" t="s">
        <v>1182</v>
      </c>
      <c r="E1003" s="3" t="s">
        <v>120</v>
      </c>
      <c r="F1003" s="3">
        <v>35.98</v>
      </c>
      <c r="G1003" s="3" t="s">
        <v>121</v>
      </c>
      <c r="H1003" s="3"/>
      <c r="I1003" s="3" t="s">
        <v>122</v>
      </c>
      <c r="J1003" s="3">
        <v>21</v>
      </c>
      <c r="K1003" s="3">
        <v>21</v>
      </c>
      <c r="L1003" s="3">
        <v>0</v>
      </c>
      <c r="M1003" s="3">
        <v>0</v>
      </c>
      <c r="N1003" s="3">
        <v>21</v>
      </c>
      <c r="O1003" s="3">
        <v>0.15</v>
      </c>
      <c r="P1003" s="3">
        <v>0</v>
      </c>
      <c r="Q1003" s="3">
        <v>0</v>
      </c>
      <c r="R1003" s="3">
        <v>0</v>
      </c>
    </row>
    <row r="1004" spans="1:18">
      <c r="A1004" s="3" t="s">
        <v>2625</v>
      </c>
      <c r="B1004" s="3" t="s">
        <v>2626</v>
      </c>
      <c r="C1004" s="3" t="s">
        <v>2626</v>
      </c>
      <c r="D1004" s="3" t="s">
        <v>1186</v>
      </c>
      <c r="E1004" s="3" t="s">
        <v>120</v>
      </c>
      <c r="F1004" s="3">
        <v>35.98</v>
      </c>
      <c r="G1004" s="3" t="s">
        <v>121</v>
      </c>
      <c r="H1004" s="3"/>
      <c r="I1004" s="3" t="s">
        <v>122</v>
      </c>
      <c r="J1004" s="3">
        <v>35</v>
      </c>
      <c r="K1004" s="3">
        <v>35</v>
      </c>
      <c r="L1004" s="3">
        <v>0</v>
      </c>
      <c r="M1004" s="3">
        <v>0</v>
      </c>
      <c r="N1004" s="3">
        <v>35</v>
      </c>
      <c r="O1004" s="3">
        <v>0.15</v>
      </c>
      <c r="P1004" s="3">
        <v>0</v>
      </c>
      <c r="Q1004" s="3">
        <v>0</v>
      </c>
      <c r="R1004" s="3">
        <v>0</v>
      </c>
    </row>
    <row r="1005" spans="1:18">
      <c r="A1005" s="3" t="s">
        <v>2627</v>
      </c>
      <c r="B1005" s="3" t="s">
        <v>1189</v>
      </c>
      <c r="C1005" s="3" t="s">
        <v>1189</v>
      </c>
      <c r="D1005" s="3" t="s">
        <v>1190</v>
      </c>
      <c r="E1005" s="3" t="s">
        <v>120</v>
      </c>
      <c r="F1005" s="3">
        <v>35.98</v>
      </c>
      <c r="G1005" s="3" t="s">
        <v>121</v>
      </c>
      <c r="H1005" s="3"/>
      <c r="I1005" s="3" t="s">
        <v>122</v>
      </c>
      <c r="J1005" s="3">
        <v>32</v>
      </c>
      <c r="K1005" s="3">
        <v>32</v>
      </c>
      <c r="L1005" s="3">
        <v>0</v>
      </c>
      <c r="M1005" s="3">
        <v>0</v>
      </c>
      <c r="N1005" s="3">
        <v>32</v>
      </c>
      <c r="O1005" s="3">
        <v>0.15</v>
      </c>
      <c r="P1005" s="3">
        <v>0</v>
      </c>
      <c r="Q1005" s="3">
        <v>0</v>
      </c>
      <c r="R1005" s="3">
        <v>0</v>
      </c>
    </row>
    <row r="1006" spans="1:18">
      <c r="A1006" s="3" t="s">
        <v>2628</v>
      </c>
      <c r="B1006" s="3" t="s">
        <v>1193</v>
      </c>
      <c r="C1006" s="3" t="s">
        <v>1193</v>
      </c>
      <c r="D1006" s="3" t="s">
        <v>1194</v>
      </c>
      <c r="E1006" s="3" t="s">
        <v>120</v>
      </c>
      <c r="F1006" s="3">
        <v>35.98</v>
      </c>
      <c r="G1006" s="3" t="s">
        <v>121</v>
      </c>
      <c r="H1006" s="3"/>
      <c r="I1006" s="3" t="s">
        <v>122</v>
      </c>
      <c r="J1006" s="3">
        <v>43</v>
      </c>
      <c r="K1006" s="3">
        <v>40</v>
      </c>
      <c r="L1006" s="3">
        <v>0</v>
      </c>
      <c r="M1006" s="3">
        <v>3</v>
      </c>
      <c r="N1006" s="3">
        <v>43</v>
      </c>
      <c r="O1006" s="3">
        <v>0.15</v>
      </c>
      <c r="P1006" s="3">
        <v>0</v>
      </c>
      <c r="Q1006" s="3">
        <v>0</v>
      </c>
      <c r="R1006" s="3">
        <v>0</v>
      </c>
    </row>
    <row r="1007" spans="1:18">
      <c r="A1007" s="3" t="s">
        <v>2629</v>
      </c>
      <c r="B1007" s="3" t="s">
        <v>1197</v>
      </c>
      <c r="C1007" s="3" t="s">
        <v>1197</v>
      </c>
      <c r="D1007" s="3" t="s">
        <v>1198</v>
      </c>
      <c r="E1007" s="3" t="s">
        <v>120</v>
      </c>
      <c r="F1007" s="3">
        <v>35.98</v>
      </c>
      <c r="G1007" s="3" t="s">
        <v>121</v>
      </c>
      <c r="H1007" s="3"/>
      <c r="I1007" s="3" t="s">
        <v>122</v>
      </c>
      <c r="J1007" s="3">
        <v>23</v>
      </c>
      <c r="K1007" s="3">
        <v>23</v>
      </c>
      <c r="L1007" s="3">
        <v>0</v>
      </c>
      <c r="M1007" s="3">
        <v>0</v>
      </c>
      <c r="N1007" s="3">
        <v>23</v>
      </c>
      <c r="O1007" s="3">
        <v>0.15</v>
      </c>
      <c r="P1007" s="3">
        <v>0</v>
      </c>
      <c r="Q1007" s="3">
        <v>0</v>
      </c>
      <c r="R1007" s="3">
        <v>0</v>
      </c>
    </row>
    <row r="1008" spans="1:18">
      <c r="A1008" s="3" t="s">
        <v>2630</v>
      </c>
      <c r="B1008" s="3" t="s">
        <v>1201</v>
      </c>
      <c r="C1008" s="3" t="s">
        <v>1201</v>
      </c>
      <c r="D1008" s="3" t="s">
        <v>1202</v>
      </c>
      <c r="E1008" s="3" t="s">
        <v>120</v>
      </c>
      <c r="F1008" s="3">
        <v>35.98</v>
      </c>
      <c r="G1008" s="3" t="s">
        <v>121</v>
      </c>
      <c r="H1008" s="3"/>
      <c r="I1008" s="3" t="s">
        <v>122</v>
      </c>
      <c r="J1008" s="3">
        <v>24</v>
      </c>
      <c r="K1008" s="3">
        <v>24</v>
      </c>
      <c r="L1008" s="3">
        <v>0</v>
      </c>
      <c r="M1008" s="3">
        <v>0</v>
      </c>
      <c r="N1008" s="3">
        <v>24</v>
      </c>
      <c r="O1008" s="3">
        <v>0.15</v>
      </c>
      <c r="P1008" s="3">
        <v>0</v>
      </c>
      <c r="Q1008" s="3">
        <v>0</v>
      </c>
      <c r="R1008" s="3">
        <v>0</v>
      </c>
    </row>
    <row r="1009" spans="1:18">
      <c r="A1009" s="3" t="s">
        <v>2631</v>
      </c>
      <c r="B1009" s="3" t="s">
        <v>1205</v>
      </c>
      <c r="C1009" s="3" t="s">
        <v>1205</v>
      </c>
      <c r="D1009" s="3" t="s">
        <v>1206</v>
      </c>
      <c r="E1009" s="3" t="s">
        <v>120</v>
      </c>
      <c r="F1009" s="3">
        <v>35.98</v>
      </c>
      <c r="G1009" s="3" t="s">
        <v>121</v>
      </c>
      <c r="H1009" s="3"/>
      <c r="I1009" s="3" t="s">
        <v>122</v>
      </c>
      <c r="J1009" s="3">
        <v>41</v>
      </c>
      <c r="K1009" s="3">
        <v>40</v>
      </c>
      <c r="L1009" s="3">
        <v>0</v>
      </c>
      <c r="M1009" s="3">
        <v>1</v>
      </c>
      <c r="N1009" s="3">
        <v>41</v>
      </c>
      <c r="O1009" s="3">
        <v>0.15</v>
      </c>
      <c r="P1009" s="3">
        <v>0</v>
      </c>
      <c r="Q1009" s="3">
        <v>0</v>
      </c>
      <c r="R1009" s="3">
        <v>0</v>
      </c>
    </row>
    <row r="1010" spans="1:18">
      <c r="A1010" s="3" t="s">
        <v>2632</v>
      </c>
      <c r="B1010" s="3" t="s">
        <v>1209</v>
      </c>
      <c r="C1010" s="3" t="s">
        <v>1209</v>
      </c>
      <c r="D1010" s="3" t="s">
        <v>1210</v>
      </c>
      <c r="E1010" s="3" t="s">
        <v>120</v>
      </c>
      <c r="F1010" s="3">
        <v>35.98</v>
      </c>
      <c r="G1010" s="3" t="s">
        <v>121</v>
      </c>
      <c r="H1010" s="3"/>
      <c r="I1010" s="3" t="s">
        <v>122</v>
      </c>
      <c r="J1010" s="3">
        <v>44</v>
      </c>
      <c r="K1010" s="3">
        <v>41</v>
      </c>
      <c r="L1010" s="3">
        <v>0</v>
      </c>
      <c r="M1010" s="3">
        <v>3</v>
      </c>
      <c r="N1010" s="3">
        <v>44</v>
      </c>
      <c r="O1010" s="3">
        <v>0.15</v>
      </c>
      <c r="P1010" s="3">
        <v>0</v>
      </c>
      <c r="Q1010" s="3">
        <v>0</v>
      </c>
      <c r="R1010" s="3">
        <v>0</v>
      </c>
    </row>
    <row r="1011" spans="1:18">
      <c r="A1011" s="3" t="s">
        <v>2633</v>
      </c>
      <c r="B1011" s="3" t="s">
        <v>2634</v>
      </c>
      <c r="C1011" s="3" t="s">
        <v>2634</v>
      </c>
      <c r="D1011" s="3" t="s">
        <v>2635</v>
      </c>
      <c r="E1011" s="3" t="s">
        <v>120</v>
      </c>
      <c r="F1011" s="3">
        <v>69.98</v>
      </c>
      <c r="G1011" s="3" t="s">
        <v>121</v>
      </c>
      <c r="H1011" s="3"/>
      <c r="I1011" s="3" t="s">
        <v>122</v>
      </c>
      <c r="J1011" s="3">
        <v>11</v>
      </c>
      <c r="K1011" s="3">
        <v>11</v>
      </c>
      <c r="L1011" s="3">
        <v>0</v>
      </c>
      <c r="M1011" s="3">
        <v>0</v>
      </c>
      <c r="N1011" s="3">
        <v>11</v>
      </c>
      <c r="O1011" s="3">
        <v>0.15</v>
      </c>
      <c r="P1011" s="3">
        <v>0</v>
      </c>
      <c r="Q1011" s="3">
        <v>0</v>
      </c>
      <c r="R1011" s="3">
        <v>0</v>
      </c>
    </row>
    <row r="1012" spans="1:18">
      <c r="A1012" s="3" t="s">
        <v>2636</v>
      </c>
      <c r="B1012" s="3" t="s">
        <v>2637</v>
      </c>
      <c r="C1012" s="3" t="s">
        <v>2637</v>
      </c>
      <c r="D1012" s="3"/>
      <c r="E1012" s="3" t="s">
        <v>20</v>
      </c>
      <c r="F1012" s="3"/>
      <c r="G1012" s="3"/>
      <c r="H1012" s="3"/>
      <c r="I1012" s="3"/>
      <c r="J1012" s="3">
        <v>7</v>
      </c>
      <c r="K1012" s="3">
        <v>7</v>
      </c>
      <c r="L1012" s="3">
        <v>0</v>
      </c>
      <c r="M1012" s="3">
        <v>0</v>
      </c>
      <c r="N1012" s="3">
        <v>7</v>
      </c>
      <c r="O1012" s="3"/>
      <c r="P1012" s="3">
        <v>0</v>
      </c>
      <c r="Q1012" s="3">
        <v>0</v>
      </c>
      <c r="R1012" s="3">
        <v>0</v>
      </c>
    </row>
    <row r="1013" spans="1:18">
      <c r="A1013" s="3" t="s">
        <v>2638</v>
      </c>
      <c r="B1013" s="3" t="s">
        <v>2639</v>
      </c>
      <c r="C1013" s="3" t="s">
        <v>2639</v>
      </c>
      <c r="D1013" s="3" t="s">
        <v>2640</v>
      </c>
      <c r="E1013" s="3" t="s">
        <v>120</v>
      </c>
      <c r="F1013" s="3">
        <v>69.98</v>
      </c>
      <c r="G1013" s="3" t="s">
        <v>121</v>
      </c>
      <c r="H1013" s="3"/>
      <c r="I1013" s="3" t="s">
        <v>122</v>
      </c>
      <c r="J1013" s="3">
        <v>11</v>
      </c>
      <c r="K1013" s="3">
        <v>11</v>
      </c>
      <c r="L1013" s="3">
        <v>0</v>
      </c>
      <c r="M1013" s="3">
        <v>0</v>
      </c>
      <c r="N1013" s="3">
        <v>11</v>
      </c>
      <c r="O1013" s="3">
        <v>0.15</v>
      </c>
      <c r="P1013" s="3">
        <v>0</v>
      </c>
      <c r="Q1013" s="3">
        <v>0</v>
      </c>
      <c r="R1013" s="3">
        <v>0</v>
      </c>
    </row>
    <row r="1014" spans="1:18">
      <c r="A1014" s="3" t="s">
        <v>2641</v>
      </c>
      <c r="B1014" s="3" t="s">
        <v>2642</v>
      </c>
      <c r="C1014" s="3" t="s">
        <v>2642</v>
      </c>
      <c r="D1014" s="3" t="s">
        <v>2643</v>
      </c>
      <c r="E1014" s="3" t="s">
        <v>120</v>
      </c>
      <c r="F1014" s="3">
        <v>69.98</v>
      </c>
      <c r="G1014" s="3" t="s">
        <v>121</v>
      </c>
      <c r="H1014" s="3"/>
      <c r="I1014" s="3" t="s">
        <v>122</v>
      </c>
      <c r="J1014" s="3">
        <v>18</v>
      </c>
      <c r="K1014" s="3">
        <v>18</v>
      </c>
      <c r="L1014" s="3">
        <v>0</v>
      </c>
      <c r="M1014" s="3">
        <v>0</v>
      </c>
      <c r="N1014" s="3">
        <v>18</v>
      </c>
      <c r="O1014" s="3">
        <v>0.14</v>
      </c>
      <c r="P1014" s="3">
        <v>0</v>
      </c>
      <c r="Q1014" s="3">
        <v>0</v>
      </c>
      <c r="R1014" s="3">
        <v>0</v>
      </c>
    </row>
    <row r="1015" spans="1:18">
      <c r="A1015" s="3" t="s">
        <v>2644</v>
      </c>
      <c r="B1015" s="3" t="s">
        <v>2645</v>
      </c>
      <c r="C1015" s="3" t="s">
        <v>2645</v>
      </c>
      <c r="D1015" s="3" t="s">
        <v>2646</v>
      </c>
      <c r="E1015" s="3" t="s">
        <v>120</v>
      </c>
      <c r="F1015" s="3">
        <v>69.98</v>
      </c>
      <c r="G1015" s="3" t="s">
        <v>121</v>
      </c>
      <c r="H1015" s="3"/>
      <c r="I1015" s="3" t="s">
        <v>122</v>
      </c>
      <c r="J1015" s="3">
        <v>9</v>
      </c>
      <c r="K1015" s="3">
        <v>9</v>
      </c>
      <c r="L1015" s="3">
        <v>0</v>
      </c>
      <c r="M1015" s="3">
        <v>0</v>
      </c>
      <c r="N1015" s="3">
        <v>9</v>
      </c>
      <c r="O1015" s="3">
        <v>0.15</v>
      </c>
      <c r="P1015" s="3">
        <v>0</v>
      </c>
      <c r="Q1015" s="3">
        <v>0</v>
      </c>
      <c r="R1015" s="3">
        <v>0</v>
      </c>
    </row>
    <row r="1016" spans="1:18">
      <c r="A1016" s="3" t="s">
        <v>2647</v>
      </c>
      <c r="B1016" s="3" t="s">
        <v>2648</v>
      </c>
      <c r="C1016" s="3" t="s">
        <v>2648</v>
      </c>
      <c r="D1016" s="3" t="s">
        <v>2649</v>
      </c>
      <c r="E1016" s="3" t="s">
        <v>120</v>
      </c>
      <c r="F1016" s="3">
        <v>26.98</v>
      </c>
      <c r="G1016" s="3" t="s">
        <v>121</v>
      </c>
      <c r="H1016" s="3"/>
      <c r="I1016" s="3" t="s">
        <v>122</v>
      </c>
      <c r="J1016" s="3">
        <v>11</v>
      </c>
      <c r="K1016" s="3">
        <v>11</v>
      </c>
      <c r="L1016" s="3">
        <v>0</v>
      </c>
      <c r="M1016" s="3">
        <v>0</v>
      </c>
      <c r="N1016" s="3">
        <v>11</v>
      </c>
      <c r="O1016" s="3">
        <v>0.15</v>
      </c>
      <c r="P1016" s="3">
        <v>0</v>
      </c>
      <c r="Q1016" s="3">
        <v>0</v>
      </c>
      <c r="R1016" s="3">
        <v>0</v>
      </c>
    </row>
    <row r="1017" spans="1:18">
      <c r="A1017" s="3" t="s">
        <v>2650</v>
      </c>
      <c r="B1017" s="3" t="s">
        <v>2651</v>
      </c>
      <c r="C1017" s="3" t="s">
        <v>2651</v>
      </c>
      <c r="D1017" s="3" t="s">
        <v>2652</v>
      </c>
      <c r="E1017" s="3" t="s">
        <v>120</v>
      </c>
      <c r="F1017" s="3">
        <v>69.98</v>
      </c>
      <c r="G1017" s="3" t="s">
        <v>121</v>
      </c>
      <c r="H1017" s="3"/>
      <c r="I1017" s="3" t="s">
        <v>122</v>
      </c>
      <c r="J1017" s="3">
        <v>5</v>
      </c>
      <c r="K1017" s="3">
        <v>5</v>
      </c>
      <c r="L1017" s="3">
        <v>0</v>
      </c>
      <c r="M1017" s="3">
        <v>0</v>
      </c>
      <c r="N1017" s="3">
        <v>5</v>
      </c>
      <c r="O1017" s="3">
        <v>0.15</v>
      </c>
      <c r="P1017" s="3">
        <v>0</v>
      </c>
      <c r="Q1017" s="3">
        <v>0</v>
      </c>
      <c r="R1017" s="3">
        <v>0</v>
      </c>
    </row>
    <row r="1018" spans="1:18">
      <c r="A1018" s="3" t="s">
        <v>2653</v>
      </c>
      <c r="B1018" s="3" t="s">
        <v>2654</v>
      </c>
      <c r="C1018" s="3" t="s">
        <v>2654</v>
      </c>
      <c r="D1018" s="3" t="s">
        <v>2655</v>
      </c>
      <c r="E1018" s="3" t="s">
        <v>120</v>
      </c>
      <c r="F1018" s="3">
        <v>69.98</v>
      </c>
      <c r="G1018" s="3" t="s">
        <v>121</v>
      </c>
      <c r="H1018" s="3"/>
      <c r="I1018" s="3" t="s">
        <v>122</v>
      </c>
      <c r="J1018" s="3">
        <v>4</v>
      </c>
      <c r="K1018" s="3">
        <v>4</v>
      </c>
      <c r="L1018" s="3">
        <v>0</v>
      </c>
      <c r="M1018" s="3">
        <v>0</v>
      </c>
      <c r="N1018" s="3">
        <v>4</v>
      </c>
      <c r="O1018" s="3">
        <v>0.15</v>
      </c>
      <c r="P1018" s="3">
        <v>0</v>
      </c>
      <c r="Q1018" s="3">
        <v>0</v>
      </c>
      <c r="R1018" s="3">
        <v>0</v>
      </c>
    </row>
    <row r="1019" spans="1:18">
      <c r="A1019" s="3" t="s">
        <v>2656</v>
      </c>
      <c r="B1019" s="3" t="s">
        <v>2657</v>
      </c>
      <c r="C1019" s="3" t="s">
        <v>2657</v>
      </c>
      <c r="D1019" s="3" t="s">
        <v>2658</v>
      </c>
      <c r="E1019" s="3" t="s">
        <v>120</v>
      </c>
      <c r="F1019" s="3">
        <v>69.98</v>
      </c>
      <c r="G1019" s="3" t="s">
        <v>121</v>
      </c>
      <c r="H1019" s="3"/>
      <c r="I1019" s="3" t="s">
        <v>122</v>
      </c>
      <c r="J1019" s="3">
        <v>8</v>
      </c>
      <c r="K1019" s="3">
        <v>8</v>
      </c>
      <c r="L1019" s="3">
        <v>0</v>
      </c>
      <c r="M1019" s="3">
        <v>0</v>
      </c>
      <c r="N1019" s="3">
        <v>8</v>
      </c>
      <c r="O1019" s="3">
        <v>0.15</v>
      </c>
      <c r="P1019" s="3">
        <v>0</v>
      </c>
      <c r="Q1019" s="3">
        <v>0</v>
      </c>
      <c r="R1019" s="3">
        <v>0</v>
      </c>
    </row>
    <row r="1020" spans="1:18">
      <c r="A1020" s="3" t="s">
        <v>2659</v>
      </c>
      <c r="B1020" s="3" t="s">
        <v>2660</v>
      </c>
      <c r="C1020" s="3" t="s">
        <v>2660</v>
      </c>
      <c r="D1020" s="3"/>
      <c r="E1020" s="3" t="s">
        <v>20</v>
      </c>
      <c r="F1020" s="3"/>
      <c r="G1020" s="3"/>
      <c r="H1020" s="3"/>
      <c r="I1020" s="3"/>
      <c r="J1020" s="3">
        <v>7</v>
      </c>
      <c r="K1020" s="3">
        <v>7</v>
      </c>
      <c r="L1020" s="3">
        <v>0</v>
      </c>
      <c r="M1020" s="3">
        <v>0</v>
      </c>
      <c r="N1020" s="3">
        <v>7</v>
      </c>
      <c r="O1020" s="3"/>
      <c r="P1020" s="3">
        <v>0</v>
      </c>
      <c r="Q1020" s="3">
        <v>0</v>
      </c>
      <c r="R1020" s="3">
        <v>0</v>
      </c>
    </row>
    <row r="1021" spans="1:18">
      <c r="A1021" s="3" t="s">
        <v>2661</v>
      </c>
      <c r="B1021" s="3" t="s">
        <v>2662</v>
      </c>
      <c r="C1021" s="3" t="s">
        <v>2662</v>
      </c>
      <c r="D1021" s="3" t="s">
        <v>2663</v>
      </c>
      <c r="E1021" s="3" t="s">
        <v>120</v>
      </c>
      <c r="F1021" s="3">
        <v>49.98</v>
      </c>
      <c r="G1021" s="3" t="s">
        <v>121</v>
      </c>
      <c r="H1021" s="3"/>
      <c r="I1021" s="3" t="s">
        <v>122</v>
      </c>
      <c r="J1021" s="3">
        <v>8</v>
      </c>
      <c r="K1021" s="3">
        <v>7</v>
      </c>
      <c r="L1021" s="3">
        <v>1</v>
      </c>
      <c r="M1021" s="3">
        <v>0</v>
      </c>
      <c r="N1021" s="3">
        <v>8</v>
      </c>
      <c r="O1021" s="3">
        <v>0.21</v>
      </c>
      <c r="P1021" s="3">
        <v>0</v>
      </c>
      <c r="Q1021" s="3">
        <v>0</v>
      </c>
      <c r="R1021" s="3">
        <v>0</v>
      </c>
    </row>
    <row r="1022" spans="1:18">
      <c r="A1022" s="3" t="s">
        <v>2664</v>
      </c>
      <c r="B1022" s="3" t="s">
        <v>2665</v>
      </c>
      <c r="C1022" s="3" t="s">
        <v>2665</v>
      </c>
      <c r="D1022" s="3" t="s">
        <v>2666</v>
      </c>
      <c r="E1022" s="3" t="s">
        <v>120</v>
      </c>
      <c r="F1022" s="3">
        <v>26.98</v>
      </c>
      <c r="G1022" s="3" t="s">
        <v>121</v>
      </c>
      <c r="H1022" s="3"/>
      <c r="I1022" s="3" t="s">
        <v>122</v>
      </c>
      <c r="J1022" s="3">
        <v>9</v>
      </c>
      <c r="K1022" s="3">
        <v>9</v>
      </c>
      <c r="L1022" s="3">
        <v>0</v>
      </c>
      <c r="M1022" s="3">
        <v>0</v>
      </c>
      <c r="N1022" s="3">
        <v>9</v>
      </c>
      <c r="O1022" s="3">
        <v>0.21</v>
      </c>
      <c r="P1022" s="3">
        <v>0</v>
      </c>
      <c r="Q1022" s="3">
        <v>0</v>
      </c>
      <c r="R1022" s="3">
        <v>0</v>
      </c>
    </row>
    <row r="1023" spans="1:18">
      <c r="A1023" s="3" t="s">
        <v>2667</v>
      </c>
      <c r="B1023" s="3" t="s">
        <v>2668</v>
      </c>
      <c r="C1023" s="3" t="s">
        <v>2668</v>
      </c>
      <c r="D1023" s="3" t="s">
        <v>2669</v>
      </c>
      <c r="E1023" s="3" t="s">
        <v>120</v>
      </c>
      <c r="F1023" s="3">
        <v>49.98</v>
      </c>
      <c r="G1023" s="3" t="s">
        <v>121</v>
      </c>
      <c r="H1023" s="3"/>
      <c r="I1023" s="3" t="s">
        <v>122</v>
      </c>
      <c r="J1023" s="3">
        <v>11</v>
      </c>
      <c r="K1023" s="3">
        <v>11</v>
      </c>
      <c r="L1023" s="3">
        <v>0</v>
      </c>
      <c r="M1023" s="3">
        <v>0</v>
      </c>
      <c r="N1023" s="3">
        <v>11</v>
      </c>
      <c r="O1023" s="3">
        <v>0.21</v>
      </c>
      <c r="P1023" s="3">
        <v>0</v>
      </c>
      <c r="Q1023" s="3">
        <v>0</v>
      </c>
      <c r="R1023" s="3">
        <v>0</v>
      </c>
    </row>
    <row r="1024" spans="1:18">
      <c r="A1024" s="3" t="s">
        <v>2670</v>
      </c>
      <c r="B1024" s="3" t="s">
        <v>2671</v>
      </c>
      <c r="C1024" s="3" t="s">
        <v>2671</v>
      </c>
      <c r="D1024" s="3" t="s">
        <v>2672</v>
      </c>
      <c r="E1024" s="3" t="s">
        <v>120</v>
      </c>
      <c r="F1024" s="3">
        <v>49.98</v>
      </c>
      <c r="G1024" s="3" t="s">
        <v>121</v>
      </c>
      <c r="H1024" s="3"/>
      <c r="I1024" s="3" t="s">
        <v>122</v>
      </c>
      <c r="J1024" s="3">
        <v>18</v>
      </c>
      <c r="K1024" s="3">
        <v>18</v>
      </c>
      <c r="L1024" s="3">
        <v>0</v>
      </c>
      <c r="M1024" s="3">
        <v>0</v>
      </c>
      <c r="N1024" s="3">
        <v>18</v>
      </c>
      <c r="O1024" s="3">
        <v>0.21</v>
      </c>
      <c r="P1024" s="3">
        <v>0</v>
      </c>
      <c r="Q1024" s="3">
        <v>0</v>
      </c>
      <c r="R1024" s="3">
        <v>0</v>
      </c>
    </row>
    <row r="1025" spans="1:18">
      <c r="A1025" s="3" t="s">
        <v>2673</v>
      </c>
      <c r="B1025" s="3" t="s">
        <v>2674</v>
      </c>
      <c r="C1025" s="3" t="s">
        <v>2674</v>
      </c>
      <c r="D1025" s="3" t="s">
        <v>2675</v>
      </c>
      <c r="E1025" s="3" t="s">
        <v>120</v>
      </c>
      <c r="F1025" s="3">
        <v>49.98</v>
      </c>
      <c r="G1025" s="3" t="s">
        <v>121</v>
      </c>
      <c r="H1025" s="3"/>
      <c r="I1025" s="3" t="s">
        <v>122</v>
      </c>
      <c r="J1025" s="3">
        <v>6</v>
      </c>
      <c r="K1025" s="3">
        <v>6</v>
      </c>
      <c r="L1025" s="3">
        <v>0</v>
      </c>
      <c r="M1025" s="3">
        <v>0</v>
      </c>
      <c r="N1025" s="3">
        <v>6</v>
      </c>
      <c r="O1025" s="3">
        <v>0.21</v>
      </c>
      <c r="P1025" s="3">
        <v>0</v>
      </c>
      <c r="Q1025" s="3">
        <v>0</v>
      </c>
      <c r="R1025" s="3">
        <v>0</v>
      </c>
    </row>
    <row r="1026" spans="1:18">
      <c r="A1026" s="3" t="s">
        <v>2676</v>
      </c>
      <c r="B1026" s="3" t="s">
        <v>2677</v>
      </c>
      <c r="C1026" s="3" t="s">
        <v>2677</v>
      </c>
      <c r="D1026" s="3" t="s">
        <v>2678</v>
      </c>
      <c r="E1026" s="3" t="s">
        <v>120</v>
      </c>
      <c r="F1026" s="3">
        <v>49.98</v>
      </c>
      <c r="G1026" s="3" t="s">
        <v>121</v>
      </c>
      <c r="H1026" s="3"/>
      <c r="I1026" s="3" t="s">
        <v>122</v>
      </c>
      <c r="J1026" s="3">
        <v>10</v>
      </c>
      <c r="K1026" s="3">
        <v>10</v>
      </c>
      <c r="L1026" s="3">
        <v>0</v>
      </c>
      <c r="M1026" s="3">
        <v>0</v>
      </c>
      <c r="N1026" s="3">
        <v>10</v>
      </c>
      <c r="O1026" s="3">
        <v>0.23</v>
      </c>
      <c r="P1026" s="3">
        <v>0</v>
      </c>
      <c r="Q1026" s="3">
        <v>0</v>
      </c>
      <c r="R1026" s="3">
        <v>0</v>
      </c>
    </row>
    <row r="1027" spans="1:18">
      <c r="A1027" s="3" t="s">
        <v>2679</v>
      </c>
      <c r="B1027" s="3" t="s">
        <v>2680</v>
      </c>
      <c r="C1027" s="3" t="s">
        <v>2680</v>
      </c>
      <c r="D1027" s="3" t="s">
        <v>2681</v>
      </c>
      <c r="E1027" s="3" t="s">
        <v>120</v>
      </c>
      <c r="F1027" s="3">
        <v>26.98</v>
      </c>
      <c r="G1027" s="3" t="s">
        <v>121</v>
      </c>
      <c r="H1027" s="3"/>
      <c r="I1027" s="3" t="s">
        <v>122</v>
      </c>
      <c r="J1027" s="3">
        <v>14</v>
      </c>
      <c r="K1027" s="3">
        <v>13</v>
      </c>
      <c r="L1027" s="3">
        <v>0</v>
      </c>
      <c r="M1027" s="3">
        <v>1</v>
      </c>
      <c r="N1027" s="3">
        <v>14</v>
      </c>
      <c r="O1027" s="3">
        <v>0.21</v>
      </c>
      <c r="P1027" s="3">
        <v>0</v>
      </c>
      <c r="Q1027" s="3">
        <v>0</v>
      </c>
      <c r="R1027" s="3">
        <v>0</v>
      </c>
    </row>
    <row r="1028" spans="1:18">
      <c r="A1028" s="3" t="s">
        <v>2682</v>
      </c>
      <c r="B1028" s="3" t="s">
        <v>2683</v>
      </c>
      <c r="C1028" s="3" t="s">
        <v>2683</v>
      </c>
      <c r="D1028" s="3" t="s">
        <v>2684</v>
      </c>
      <c r="E1028" s="3" t="s">
        <v>120</v>
      </c>
      <c r="F1028" s="3">
        <v>26.98</v>
      </c>
      <c r="G1028" s="3" t="s">
        <v>121</v>
      </c>
      <c r="H1028" s="3"/>
      <c r="I1028" s="3" t="s">
        <v>122</v>
      </c>
      <c r="J1028" s="3">
        <v>5</v>
      </c>
      <c r="K1028" s="3">
        <v>5</v>
      </c>
      <c r="L1028" s="3">
        <v>0</v>
      </c>
      <c r="M1028" s="3">
        <v>0</v>
      </c>
      <c r="N1028" s="3">
        <v>5</v>
      </c>
      <c r="O1028" s="3">
        <v>0.21</v>
      </c>
      <c r="P1028" s="3">
        <v>0</v>
      </c>
      <c r="Q1028" s="3">
        <v>0</v>
      </c>
      <c r="R1028" s="3">
        <v>0</v>
      </c>
    </row>
    <row r="1029" spans="1:18">
      <c r="A1029" s="3" t="s">
        <v>2685</v>
      </c>
      <c r="B1029" s="3" t="s">
        <v>2686</v>
      </c>
      <c r="C1029" s="3" t="s">
        <v>2686</v>
      </c>
      <c r="D1029" s="3" t="s">
        <v>2687</v>
      </c>
      <c r="E1029" s="3" t="s">
        <v>120</v>
      </c>
      <c r="F1029" s="3">
        <v>26.98</v>
      </c>
      <c r="G1029" s="3" t="s">
        <v>121</v>
      </c>
      <c r="H1029" s="3"/>
      <c r="I1029" s="3" t="s">
        <v>122</v>
      </c>
      <c r="J1029" s="3">
        <v>6</v>
      </c>
      <c r="K1029" s="3">
        <v>6</v>
      </c>
      <c r="L1029" s="3">
        <v>0</v>
      </c>
      <c r="M1029" s="3">
        <v>0</v>
      </c>
      <c r="N1029" s="3">
        <v>6</v>
      </c>
      <c r="O1029" s="3">
        <v>0.24</v>
      </c>
      <c r="P1029" s="3">
        <v>0</v>
      </c>
      <c r="Q1029" s="3">
        <v>0</v>
      </c>
      <c r="R1029" s="3">
        <v>0</v>
      </c>
    </row>
    <row r="1030" spans="1:18">
      <c r="A1030" s="3" t="s">
        <v>2688</v>
      </c>
      <c r="B1030" s="3" t="s">
        <v>2689</v>
      </c>
      <c r="C1030" s="3" t="s">
        <v>2689</v>
      </c>
      <c r="D1030" s="3" t="s">
        <v>2690</v>
      </c>
      <c r="E1030" s="3" t="s">
        <v>120</v>
      </c>
      <c r="F1030" s="3">
        <v>26.98</v>
      </c>
      <c r="G1030" s="3" t="s">
        <v>121</v>
      </c>
      <c r="H1030" s="3"/>
      <c r="I1030" s="3" t="s">
        <v>122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0.21</v>
      </c>
      <c r="P1030" s="3">
        <v>0</v>
      </c>
      <c r="Q1030" s="3">
        <v>0</v>
      </c>
      <c r="R1030" s="3">
        <v>0</v>
      </c>
    </row>
    <row r="1031" spans="1:18">
      <c r="A1031" s="3" t="s">
        <v>2691</v>
      </c>
      <c r="B1031" s="3" t="s">
        <v>2692</v>
      </c>
      <c r="C1031" s="3" t="s">
        <v>2692</v>
      </c>
      <c r="D1031" s="3" t="s">
        <v>2693</v>
      </c>
      <c r="E1031" s="3" t="s">
        <v>120</v>
      </c>
      <c r="F1031" s="3">
        <v>49.98</v>
      </c>
      <c r="G1031" s="3" t="s">
        <v>121</v>
      </c>
      <c r="H1031" s="3"/>
      <c r="I1031" s="3" t="s">
        <v>122</v>
      </c>
      <c r="J1031" s="3">
        <v>0</v>
      </c>
      <c r="K1031" s="3">
        <v>0</v>
      </c>
      <c r="L1031" s="3">
        <v>0</v>
      </c>
      <c r="M1031" s="3">
        <v>0</v>
      </c>
      <c r="N1031" s="3">
        <v>0</v>
      </c>
      <c r="O1031" s="3">
        <v>0.23</v>
      </c>
      <c r="P1031" s="3">
        <v>0</v>
      </c>
      <c r="Q1031" s="3">
        <v>0</v>
      </c>
      <c r="R1031" s="3">
        <v>0</v>
      </c>
    </row>
    <row r="1032" spans="1:18">
      <c r="A1032" s="3" t="s">
        <v>2694</v>
      </c>
      <c r="B1032" s="3" t="s">
        <v>2695</v>
      </c>
      <c r="C1032" s="3" t="s">
        <v>2695</v>
      </c>
      <c r="D1032" s="3" t="s">
        <v>2696</v>
      </c>
      <c r="E1032" s="3" t="s">
        <v>120</v>
      </c>
      <c r="F1032" s="3">
        <v>49.98</v>
      </c>
      <c r="G1032" s="3" t="s">
        <v>121</v>
      </c>
      <c r="H1032" s="3"/>
      <c r="I1032" s="3" t="s">
        <v>122</v>
      </c>
      <c r="J1032" s="3">
        <v>2</v>
      </c>
      <c r="K1032" s="3">
        <v>2</v>
      </c>
      <c r="L1032" s="3">
        <v>0</v>
      </c>
      <c r="M1032" s="3">
        <v>0</v>
      </c>
      <c r="N1032" s="3">
        <v>2</v>
      </c>
      <c r="O1032" s="3">
        <v>0.2</v>
      </c>
      <c r="P1032" s="3">
        <v>0</v>
      </c>
      <c r="Q1032" s="3">
        <v>0</v>
      </c>
      <c r="R1032" s="3">
        <v>0</v>
      </c>
    </row>
    <row r="1033" spans="1:18">
      <c r="A1033" s="3" t="s">
        <v>2697</v>
      </c>
      <c r="B1033" s="3" t="s">
        <v>2698</v>
      </c>
      <c r="C1033" s="3" t="s">
        <v>2698</v>
      </c>
      <c r="D1033" s="3" t="s">
        <v>2699</v>
      </c>
      <c r="E1033" s="3" t="s">
        <v>120</v>
      </c>
      <c r="F1033" s="3">
        <v>49.98</v>
      </c>
      <c r="G1033" s="3" t="s">
        <v>121</v>
      </c>
      <c r="H1033" s="3"/>
      <c r="I1033" s="3" t="s">
        <v>122</v>
      </c>
      <c r="J1033" s="3">
        <v>0</v>
      </c>
      <c r="K1033" s="3">
        <v>0</v>
      </c>
      <c r="L1033" s="3">
        <v>0</v>
      </c>
      <c r="M1033" s="3">
        <v>0</v>
      </c>
      <c r="N1033" s="3">
        <v>0</v>
      </c>
      <c r="O1033" s="3">
        <v>0.19</v>
      </c>
      <c r="P1033" s="3">
        <v>0</v>
      </c>
      <c r="Q1033" s="3">
        <v>0</v>
      </c>
      <c r="R1033" s="3">
        <v>0</v>
      </c>
    </row>
    <row r="1034" spans="1:18">
      <c r="A1034" s="3" t="s">
        <v>2700</v>
      </c>
      <c r="B1034" s="3" t="s">
        <v>2701</v>
      </c>
      <c r="C1034" s="3" t="s">
        <v>2701</v>
      </c>
      <c r="D1034" s="3" t="s">
        <v>2702</v>
      </c>
      <c r="E1034" s="3" t="s">
        <v>120</v>
      </c>
      <c r="F1034" s="3">
        <v>26.98</v>
      </c>
      <c r="G1034" s="3" t="s">
        <v>121</v>
      </c>
      <c r="H1034" s="3"/>
      <c r="I1034" s="3" t="s">
        <v>122</v>
      </c>
      <c r="J1034" s="3">
        <v>0</v>
      </c>
      <c r="K1034" s="3">
        <v>0</v>
      </c>
      <c r="L1034" s="3">
        <v>0</v>
      </c>
      <c r="M1034" s="3">
        <v>0</v>
      </c>
      <c r="N1034" s="3">
        <v>0</v>
      </c>
      <c r="O1034" s="3">
        <v>0.21</v>
      </c>
      <c r="P1034" s="3">
        <v>0</v>
      </c>
      <c r="Q1034" s="3">
        <v>0</v>
      </c>
      <c r="R1034" s="3">
        <v>0</v>
      </c>
    </row>
    <row r="1035" spans="1:18">
      <c r="A1035" s="3" t="s">
        <v>2703</v>
      </c>
      <c r="B1035" s="3" t="s">
        <v>2704</v>
      </c>
      <c r="C1035" s="3" t="s">
        <v>2704</v>
      </c>
      <c r="D1035" s="3" t="s">
        <v>2705</v>
      </c>
      <c r="E1035" s="3" t="s">
        <v>120</v>
      </c>
      <c r="F1035" s="3">
        <v>26.98</v>
      </c>
      <c r="G1035" s="3" t="s">
        <v>121</v>
      </c>
      <c r="H1035" s="3"/>
      <c r="I1035" s="3" t="s">
        <v>122</v>
      </c>
      <c r="J1035" s="3">
        <v>12</v>
      </c>
      <c r="K1035" s="3">
        <v>12</v>
      </c>
      <c r="L1035" s="3">
        <v>0</v>
      </c>
      <c r="M1035" s="3">
        <v>0</v>
      </c>
      <c r="N1035" s="3">
        <v>12</v>
      </c>
      <c r="O1035" s="3">
        <v>0.21</v>
      </c>
      <c r="P1035" s="3">
        <v>0</v>
      </c>
      <c r="Q1035" s="3">
        <v>0</v>
      </c>
      <c r="R1035" s="3">
        <v>0</v>
      </c>
    </row>
    <row r="1036" spans="1:18">
      <c r="A1036" s="3" t="s">
        <v>2706</v>
      </c>
      <c r="B1036" s="3" t="s">
        <v>2707</v>
      </c>
      <c r="C1036" s="3" t="s">
        <v>2707</v>
      </c>
      <c r="D1036" s="3" t="s">
        <v>486</v>
      </c>
      <c r="E1036" s="3" t="s">
        <v>120</v>
      </c>
      <c r="F1036" s="3">
        <v>26.98</v>
      </c>
      <c r="G1036" s="3" t="s">
        <v>121</v>
      </c>
      <c r="H1036" s="3"/>
      <c r="I1036" s="3" t="s">
        <v>122</v>
      </c>
      <c r="J1036" s="3">
        <v>17</v>
      </c>
      <c r="K1036" s="3">
        <v>17</v>
      </c>
      <c r="L1036" s="3">
        <v>0</v>
      </c>
      <c r="M1036" s="3">
        <v>0</v>
      </c>
      <c r="N1036" s="3">
        <v>17</v>
      </c>
      <c r="O1036" s="3">
        <v>0.21</v>
      </c>
      <c r="P1036" s="3">
        <v>0</v>
      </c>
      <c r="Q1036" s="3">
        <v>0</v>
      </c>
      <c r="R1036" s="3">
        <v>0</v>
      </c>
    </row>
    <row r="1037" spans="1:18">
      <c r="A1037" s="3" t="s">
        <v>2708</v>
      </c>
      <c r="B1037" s="3" t="s">
        <v>2709</v>
      </c>
      <c r="C1037" s="3" t="s">
        <v>2709</v>
      </c>
      <c r="D1037" s="3" t="s">
        <v>2710</v>
      </c>
      <c r="E1037" s="3" t="s">
        <v>120</v>
      </c>
      <c r="F1037" s="3">
        <v>26.98</v>
      </c>
      <c r="G1037" s="3" t="s">
        <v>121</v>
      </c>
      <c r="H1037" s="3"/>
      <c r="I1037" s="3" t="s">
        <v>122</v>
      </c>
      <c r="J1037" s="3">
        <v>4</v>
      </c>
      <c r="K1037" s="3">
        <v>4</v>
      </c>
      <c r="L1037" s="3">
        <v>0</v>
      </c>
      <c r="M1037" s="3">
        <v>0</v>
      </c>
      <c r="N1037" s="3">
        <v>4</v>
      </c>
      <c r="O1037" s="3">
        <v>0.21</v>
      </c>
      <c r="P1037" s="3">
        <v>0</v>
      </c>
      <c r="Q1037" s="3">
        <v>0</v>
      </c>
      <c r="R1037" s="3">
        <v>0</v>
      </c>
    </row>
    <row r="1038" spans="1:18">
      <c r="A1038" s="3" t="s">
        <v>2711</v>
      </c>
      <c r="B1038" s="3" t="s">
        <v>2712</v>
      </c>
      <c r="C1038" s="3" t="s">
        <v>2712</v>
      </c>
      <c r="D1038" s="3" t="s">
        <v>2713</v>
      </c>
      <c r="E1038" s="3" t="s">
        <v>120</v>
      </c>
      <c r="F1038" s="3">
        <v>26.98</v>
      </c>
      <c r="G1038" s="3" t="s">
        <v>121</v>
      </c>
      <c r="H1038" s="3"/>
      <c r="I1038" s="3" t="s">
        <v>122</v>
      </c>
      <c r="J1038" s="3">
        <v>14</v>
      </c>
      <c r="K1038" s="3">
        <v>14</v>
      </c>
      <c r="L1038" s="3">
        <v>0</v>
      </c>
      <c r="M1038" s="3">
        <v>0</v>
      </c>
      <c r="N1038" s="3">
        <v>14</v>
      </c>
      <c r="O1038" s="3">
        <v>0.21</v>
      </c>
      <c r="P1038" s="3">
        <v>0</v>
      </c>
      <c r="Q1038" s="3">
        <v>0</v>
      </c>
      <c r="R1038" s="3">
        <v>0</v>
      </c>
    </row>
    <row r="1039" spans="1:18">
      <c r="A1039" s="3" t="s">
        <v>2714</v>
      </c>
      <c r="B1039" s="3" t="s">
        <v>2715</v>
      </c>
      <c r="C1039" s="3" t="s">
        <v>2715</v>
      </c>
      <c r="D1039" s="3" t="s">
        <v>2716</v>
      </c>
      <c r="E1039" s="3" t="s">
        <v>120</v>
      </c>
      <c r="F1039" s="3">
        <v>26.98</v>
      </c>
      <c r="G1039" s="3" t="s">
        <v>121</v>
      </c>
      <c r="H1039" s="3"/>
      <c r="I1039" s="3" t="s">
        <v>122</v>
      </c>
      <c r="J1039" s="3">
        <v>11</v>
      </c>
      <c r="K1039" s="3">
        <v>11</v>
      </c>
      <c r="L1039" s="3">
        <v>0</v>
      </c>
      <c r="M1039" s="3">
        <v>0</v>
      </c>
      <c r="N1039" s="3">
        <v>11</v>
      </c>
      <c r="O1039" s="3">
        <v>0.21</v>
      </c>
      <c r="P1039" s="3">
        <v>0</v>
      </c>
      <c r="Q1039" s="3">
        <v>0</v>
      </c>
      <c r="R1039" s="3">
        <v>0</v>
      </c>
    </row>
    <row r="1040" spans="1:18">
      <c r="A1040" s="3" t="s">
        <v>2717</v>
      </c>
      <c r="B1040" s="3" t="s">
        <v>2718</v>
      </c>
      <c r="C1040" s="3" t="s">
        <v>2718</v>
      </c>
      <c r="D1040" s="3"/>
      <c r="E1040" s="3" t="s">
        <v>20</v>
      </c>
      <c r="F1040" s="3"/>
      <c r="G1040" s="3"/>
      <c r="H1040" s="3"/>
      <c r="I1040" s="3"/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/>
      <c r="P1040" s="3">
        <v>0</v>
      </c>
      <c r="Q1040" s="3">
        <v>0</v>
      </c>
      <c r="R1040" s="3">
        <v>0</v>
      </c>
    </row>
    <row r="1041" spans="1:18">
      <c r="A1041" s="3" t="s">
        <v>2719</v>
      </c>
      <c r="B1041" s="3" t="s">
        <v>371</v>
      </c>
      <c r="C1041" s="3" t="s">
        <v>371</v>
      </c>
      <c r="D1041" s="3" t="s">
        <v>372</v>
      </c>
      <c r="E1041" s="3" t="s">
        <v>120</v>
      </c>
      <c r="F1041" s="3">
        <v>22.98</v>
      </c>
      <c r="G1041" s="3" t="s">
        <v>121</v>
      </c>
      <c r="H1041" s="3"/>
      <c r="I1041" s="3" t="s">
        <v>122</v>
      </c>
      <c r="J1041" s="3">
        <v>0</v>
      </c>
      <c r="K1041" s="3">
        <v>0</v>
      </c>
      <c r="L1041" s="3">
        <v>0</v>
      </c>
      <c r="M1041" s="3">
        <v>0</v>
      </c>
      <c r="N1041" s="3">
        <v>0</v>
      </c>
      <c r="O1041" s="3">
        <v>0.04</v>
      </c>
      <c r="P1041" s="3">
        <v>0</v>
      </c>
      <c r="Q1041" s="3">
        <v>0</v>
      </c>
      <c r="R1041" s="3">
        <v>0</v>
      </c>
    </row>
    <row r="1042" spans="1:18">
      <c r="A1042" s="3" t="s">
        <v>2720</v>
      </c>
      <c r="B1042" s="3" t="s">
        <v>375</v>
      </c>
      <c r="C1042" s="3" t="s">
        <v>375</v>
      </c>
      <c r="D1042" s="3" t="s">
        <v>376</v>
      </c>
      <c r="E1042" s="3" t="s">
        <v>120</v>
      </c>
      <c r="F1042" s="3">
        <v>17.98</v>
      </c>
      <c r="G1042" s="3" t="s">
        <v>121</v>
      </c>
      <c r="H1042" s="3"/>
      <c r="I1042" s="3" t="s">
        <v>122</v>
      </c>
      <c r="J1042" s="3">
        <v>2</v>
      </c>
      <c r="K1042" s="3">
        <v>0</v>
      </c>
      <c r="L1042" s="3">
        <v>0</v>
      </c>
      <c r="M1042" s="3">
        <v>2</v>
      </c>
      <c r="N1042" s="3">
        <v>2</v>
      </c>
      <c r="O1042" s="3">
        <v>0.04</v>
      </c>
      <c r="P1042" s="3">
        <v>0</v>
      </c>
      <c r="Q1042" s="3">
        <v>0</v>
      </c>
      <c r="R1042" s="3">
        <v>0</v>
      </c>
    </row>
    <row r="1043" spans="1:18">
      <c r="A1043" s="3" t="s">
        <v>2721</v>
      </c>
      <c r="B1043" s="3" t="s">
        <v>379</v>
      </c>
      <c r="C1043" s="3" t="s">
        <v>379</v>
      </c>
      <c r="D1043" s="3" t="s">
        <v>380</v>
      </c>
      <c r="E1043" s="3" t="s">
        <v>120</v>
      </c>
      <c r="F1043" s="3">
        <v>24.98</v>
      </c>
      <c r="G1043" s="3" t="s">
        <v>121</v>
      </c>
      <c r="H1043" s="3"/>
      <c r="I1043" s="3" t="s">
        <v>122</v>
      </c>
      <c r="J1043" s="3">
        <v>0</v>
      </c>
      <c r="K1043" s="3">
        <v>0</v>
      </c>
      <c r="L1043" s="3">
        <v>0</v>
      </c>
      <c r="M1043" s="3">
        <v>0</v>
      </c>
      <c r="N1043" s="3">
        <v>0</v>
      </c>
      <c r="O1043" s="3">
        <v>0.07</v>
      </c>
      <c r="P1043" s="3">
        <v>0</v>
      </c>
      <c r="Q1043" s="3">
        <v>0</v>
      </c>
      <c r="R1043" s="3">
        <v>0</v>
      </c>
    </row>
    <row r="1044" spans="1:18">
      <c r="A1044" s="3" t="s">
        <v>2722</v>
      </c>
      <c r="B1044" s="3" t="s">
        <v>383</v>
      </c>
      <c r="C1044" s="3" t="s">
        <v>383</v>
      </c>
      <c r="D1044" s="3"/>
      <c r="E1044" s="3" t="s">
        <v>20</v>
      </c>
      <c r="F1044" s="3"/>
      <c r="G1044" s="3"/>
      <c r="H1044" s="3"/>
      <c r="I1044" s="3"/>
      <c r="J1044" s="3">
        <v>6</v>
      </c>
      <c r="K1044" s="3">
        <v>6</v>
      </c>
      <c r="L1044" s="3">
        <v>0</v>
      </c>
      <c r="M1044" s="3">
        <v>0</v>
      </c>
      <c r="N1044" s="3">
        <v>6</v>
      </c>
      <c r="O1044" s="3"/>
      <c r="P1044" s="3">
        <v>0</v>
      </c>
      <c r="Q1044" s="3">
        <v>0</v>
      </c>
      <c r="R1044" s="3">
        <v>0</v>
      </c>
    </row>
    <row r="1045" spans="1:18">
      <c r="A1045" s="3" t="s">
        <v>2723</v>
      </c>
      <c r="B1045" s="3" t="s">
        <v>387</v>
      </c>
      <c r="C1045" s="3" t="s">
        <v>387</v>
      </c>
      <c r="D1045" s="3" t="s">
        <v>388</v>
      </c>
      <c r="E1045" s="3" t="s">
        <v>120</v>
      </c>
      <c r="F1045" s="3">
        <v>24.98</v>
      </c>
      <c r="G1045" s="3" t="s">
        <v>121</v>
      </c>
      <c r="H1045" s="3"/>
      <c r="I1045" s="3" t="s">
        <v>122</v>
      </c>
      <c r="J1045" s="3">
        <v>1</v>
      </c>
      <c r="K1045" s="3">
        <v>1</v>
      </c>
      <c r="L1045" s="3">
        <v>0</v>
      </c>
      <c r="M1045" s="3">
        <v>0</v>
      </c>
      <c r="N1045" s="3">
        <v>1</v>
      </c>
      <c r="O1045" s="3">
        <v>0.07</v>
      </c>
      <c r="P1045" s="3">
        <v>0</v>
      </c>
      <c r="Q1045" s="3">
        <v>0</v>
      </c>
      <c r="R1045" s="3">
        <v>0</v>
      </c>
    </row>
    <row r="1046" spans="1:18">
      <c r="A1046" s="3" t="s">
        <v>2724</v>
      </c>
      <c r="B1046" s="3" t="s">
        <v>391</v>
      </c>
      <c r="C1046" s="3" t="s">
        <v>391</v>
      </c>
      <c r="D1046" s="3" t="s">
        <v>392</v>
      </c>
      <c r="E1046" s="3" t="s">
        <v>120</v>
      </c>
      <c r="F1046" s="3">
        <v>22.98</v>
      </c>
      <c r="G1046" s="3" t="s">
        <v>121</v>
      </c>
      <c r="H1046" s="3"/>
      <c r="I1046" s="3" t="s">
        <v>122</v>
      </c>
      <c r="J1046" s="3">
        <v>2</v>
      </c>
      <c r="K1046" s="3">
        <v>2</v>
      </c>
      <c r="L1046" s="3">
        <v>0</v>
      </c>
      <c r="M1046" s="3">
        <v>0</v>
      </c>
      <c r="N1046" s="3">
        <v>2</v>
      </c>
      <c r="O1046" s="3">
        <v>0.07</v>
      </c>
      <c r="P1046" s="3">
        <v>0</v>
      </c>
      <c r="Q1046" s="3">
        <v>0</v>
      </c>
      <c r="R1046" s="3">
        <v>0</v>
      </c>
    </row>
    <row r="1047" spans="1:18">
      <c r="A1047" s="3" t="s">
        <v>2725</v>
      </c>
      <c r="B1047" s="3" t="s">
        <v>395</v>
      </c>
      <c r="C1047" s="3" t="s">
        <v>395</v>
      </c>
      <c r="D1047" s="3" t="s">
        <v>396</v>
      </c>
      <c r="E1047" s="3" t="s">
        <v>120</v>
      </c>
      <c r="F1047" s="3">
        <v>18.98</v>
      </c>
      <c r="G1047" s="3" t="s">
        <v>121</v>
      </c>
      <c r="H1047" s="3"/>
      <c r="I1047" s="3" t="s">
        <v>122</v>
      </c>
      <c r="J1047" s="3">
        <v>13</v>
      </c>
      <c r="K1047" s="3">
        <v>13</v>
      </c>
      <c r="L1047" s="3">
        <v>0</v>
      </c>
      <c r="M1047" s="3">
        <v>0</v>
      </c>
      <c r="N1047" s="3">
        <v>13</v>
      </c>
      <c r="O1047" s="3">
        <v>0.07</v>
      </c>
      <c r="P1047" s="3">
        <v>0</v>
      </c>
      <c r="Q1047" s="3">
        <v>0</v>
      </c>
      <c r="R1047" s="3">
        <v>0</v>
      </c>
    </row>
    <row r="1048" spans="1:18">
      <c r="A1048" s="3" t="s">
        <v>2726</v>
      </c>
      <c r="B1048" s="3" t="s">
        <v>399</v>
      </c>
      <c r="C1048" s="3" t="s">
        <v>399</v>
      </c>
      <c r="D1048" s="3" t="s">
        <v>400</v>
      </c>
      <c r="E1048" s="3" t="s">
        <v>120</v>
      </c>
      <c r="F1048" s="3">
        <v>24.98</v>
      </c>
      <c r="G1048" s="3" t="s">
        <v>121</v>
      </c>
      <c r="H1048" s="3"/>
      <c r="I1048" s="3" t="s">
        <v>122</v>
      </c>
      <c r="J1048" s="3">
        <v>0</v>
      </c>
      <c r="K1048" s="3">
        <v>0</v>
      </c>
      <c r="L1048" s="3">
        <v>0</v>
      </c>
      <c r="M1048" s="3">
        <v>0</v>
      </c>
      <c r="N1048" s="3">
        <v>0</v>
      </c>
      <c r="O1048" s="3">
        <v>0.07</v>
      </c>
      <c r="P1048" s="3">
        <v>0</v>
      </c>
      <c r="Q1048" s="3">
        <v>0</v>
      </c>
      <c r="R1048" s="3">
        <v>0</v>
      </c>
    </row>
    <row r="1049" spans="1:18">
      <c r="A1049" s="3" t="s">
        <v>2727</v>
      </c>
      <c r="B1049" s="3" t="s">
        <v>403</v>
      </c>
      <c r="C1049" s="3" t="s">
        <v>403</v>
      </c>
      <c r="D1049" s="3" t="s">
        <v>404</v>
      </c>
      <c r="E1049" s="3" t="s">
        <v>120</v>
      </c>
      <c r="F1049" s="3">
        <v>23.98</v>
      </c>
      <c r="G1049" s="3" t="s">
        <v>121</v>
      </c>
      <c r="H1049" s="3"/>
      <c r="I1049" s="3" t="s">
        <v>122</v>
      </c>
      <c r="J1049" s="3">
        <v>0</v>
      </c>
      <c r="K1049" s="3">
        <v>0</v>
      </c>
      <c r="L1049" s="3">
        <v>0</v>
      </c>
      <c r="M1049" s="3">
        <v>0</v>
      </c>
      <c r="N1049" s="3">
        <v>0</v>
      </c>
      <c r="O1049" s="3">
        <v>0.07</v>
      </c>
      <c r="P1049" s="3">
        <v>0</v>
      </c>
      <c r="Q1049" s="3">
        <v>0</v>
      </c>
      <c r="R1049" s="3">
        <v>0</v>
      </c>
    </row>
    <row r="1050" spans="1:18">
      <c r="A1050" s="3" t="s">
        <v>2728</v>
      </c>
      <c r="B1050" s="3" t="s">
        <v>407</v>
      </c>
      <c r="C1050" s="3" t="s">
        <v>407</v>
      </c>
      <c r="D1050" s="3" t="s">
        <v>408</v>
      </c>
      <c r="E1050" s="3" t="s">
        <v>120</v>
      </c>
      <c r="F1050" s="3">
        <v>24.98</v>
      </c>
      <c r="G1050" s="3" t="s">
        <v>121</v>
      </c>
      <c r="H1050" s="3"/>
      <c r="I1050" s="3" t="s">
        <v>122</v>
      </c>
      <c r="J1050" s="3">
        <v>1</v>
      </c>
      <c r="K1050" s="3">
        <v>0</v>
      </c>
      <c r="L1050" s="3">
        <v>0</v>
      </c>
      <c r="M1050" s="3">
        <v>1</v>
      </c>
      <c r="N1050" s="3">
        <v>1</v>
      </c>
      <c r="O1050" s="3">
        <v>0.07</v>
      </c>
      <c r="P1050" s="3">
        <v>0</v>
      </c>
      <c r="Q1050" s="3">
        <v>0</v>
      </c>
      <c r="R1050" s="3">
        <v>0</v>
      </c>
    </row>
    <row r="1051" spans="1:18">
      <c r="A1051" s="3" t="s">
        <v>2729</v>
      </c>
      <c r="B1051" s="3" t="s">
        <v>411</v>
      </c>
      <c r="C1051" s="3" t="s">
        <v>411</v>
      </c>
      <c r="D1051" s="3" t="s">
        <v>412</v>
      </c>
      <c r="E1051" s="3" t="s">
        <v>120</v>
      </c>
      <c r="F1051" s="3">
        <v>22.98</v>
      </c>
      <c r="G1051" s="3" t="s">
        <v>121</v>
      </c>
      <c r="H1051" s="3"/>
      <c r="I1051" s="3" t="s">
        <v>122</v>
      </c>
      <c r="J1051" s="3">
        <v>13</v>
      </c>
      <c r="K1051" s="3">
        <v>13</v>
      </c>
      <c r="L1051" s="3">
        <v>0</v>
      </c>
      <c r="M1051" s="3">
        <v>0</v>
      </c>
      <c r="N1051" s="3">
        <v>13</v>
      </c>
      <c r="O1051" s="3">
        <v>0.07</v>
      </c>
      <c r="P1051" s="3">
        <v>0</v>
      </c>
      <c r="Q1051" s="3">
        <v>0</v>
      </c>
      <c r="R1051" s="3">
        <v>0</v>
      </c>
    </row>
    <row r="1052" spans="1:18">
      <c r="A1052" s="3" t="s">
        <v>2730</v>
      </c>
      <c r="B1052" s="3" t="s">
        <v>415</v>
      </c>
      <c r="C1052" s="3" t="s">
        <v>415</v>
      </c>
      <c r="D1052" s="3" t="s">
        <v>416</v>
      </c>
      <c r="E1052" s="3" t="s">
        <v>120</v>
      </c>
      <c r="F1052" s="3">
        <v>21.98</v>
      </c>
      <c r="G1052" s="3" t="s">
        <v>121</v>
      </c>
      <c r="H1052" s="3"/>
      <c r="I1052" s="3" t="s">
        <v>122</v>
      </c>
      <c r="J1052" s="3">
        <v>14</v>
      </c>
      <c r="K1052" s="3">
        <v>14</v>
      </c>
      <c r="L1052" s="3">
        <v>0</v>
      </c>
      <c r="M1052" s="3">
        <v>0</v>
      </c>
      <c r="N1052" s="3">
        <v>14</v>
      </c>
      <c r="O1052" s="3">
        <v>0.05</v>
      </c>
      <c r="P1052" s="3">
        <v>0</v>
      </c>
      <c r="Q1052" s="3">
        <v>0</v>
      </c>
      <c r="R1052" s="3">
        <v>0</v>
      </c>
    </row>
    <row r="1053" spans="1:18">
      <c r="A1053" s="3" t="s">
        <v>2731</v>
      </c>
      <c r="B1053" s="3" t="s">
        <v>419</v>
      </c>
      <c r="C1053" s="3" t="s">
        <v>419</v>
      </c>
      <c r="D1053" s="3" t="s">
        <v>420</v>
      </c>
      <c r="E1053" s="3" t="s">
        <v>120</v>
      </c>
      <c r="F1053" s="3">
        <v>24.98</v>
      </c>
      <c r="G1053" s="3" t="s">
        <v>121</v>
      </c>
      <c r="H1053" s="3"/>
      <c r="I1053" s="3" t="s">
        <v>122</v>
      </c>
      <c r="J1053" s="3">
        <v>10</v>
      </c>
      <c r="K1053" s="3">
        <v>9</v>
      </c>
      <c r="L1053" s="3">
        <v>0</v>
      </c>
      <c r="M1053" s="3">
        <v>1</v>
      </c>
      <c r="N1053" s="3">
        <v>10</v>
      </c>
      <c r="O1053" s="3">
        <v>0.07</v>
      </c>
      <c r="P1053" s="3">
        <v>0</v>
      </c>
      <c r="Q1053" s="3">
        <v>0</v>
      </c>
      <c r="R1053" s="3">
        <v>0</v>
      </c>
    </row>
    <row r="1054" spans="1:18">
      <c r="A1054" s="3" t="s">
        <v>2732</v>
      </c>
      <c r="B1054" s="3" t="s">
        <v>423</v>
      </c>
      <c r="C1054" s="3" t="s">
        <v>423</v>
      </c>
      <c r="D1054" s="3" t="s">
        <v>2733</v>
      </c>
      <c r="E1054" s="3" t="s">
        <v>120</v>
      </c>
      <c r="F1054" s="3">
        <v>22.98</v>
      </c>
      <c r="G1054" s="3" t="s">
        <v>121</v>
      </c>
      <c r="H1054" s="3"/>
      <c r="I1054" s="3" t="s">
        <v>122</v>
      </c>
      <c r="J1054" s="3">
        <v>14</v>
      </c>
      <c r="K1054" s="3">
        <v>14</v>
      </c>
      <c r="L1054" s="3">
        <v>0</v>
      </c>
      <c r="M1054" s="3">
        <v>0</v>
      </c>
      <c r="N1054" s="3">
        <v>14</v>
      </c>
      <c r="O1054" s="3">
        <v>0.07</v>
      </c>
      <c r="P1054" s="3">
        <v>0</v>
      </c>
      <c r="Q1054" s="3">
        <v>0</v>
      </c>
      <c r="R1054" s="3">
        <v>0</v>
      </c>
    </row>
    <row r="1055" spans="1:18">
      <c r="A1055" s="3" t="s">
        <v>2734</v>
      </c>
      <c r="B1055" s="3" t="s">
        <v>2735</v>
      </c>
      <c r="C1055" s="3" t="s">
        <v>2736</v>
      </c>
      <c r="D1055" s="3" t="s">
        <v>1725</v>
      </c>
      <c r="E1055" s="3" t="s">
        <v>120</v>
      </c>
      <c r="F1055" s="3">
        <v>24.98</v>
      </c>
      <c r="G1055" s="3" t="s">
        <v>121</v>
      </c>
      <c r="H1055" s="3"/>
      <c r="I1055" s="3" t="s">
        <v>122</v>
      </c>
      <c r="J1055" s="3">
        <v>0</v>
      </c>
      <c r="K1055" s="3">
        <v>0</v>
      </c>
      <c r="L1055" s="3">
        <v>0</v>
      </c>
      <c r="M1055" s="3">
        <v>0</v>
      </c>
      <c r="N1055" s="3">
        <v>40</v>
      </c>
      <c r="O1055" s="3">
        <v>0.05</v>
      </c>
      <c r="P1055" s="3">
        <v>0</v>
      </c>
      <c r="Q1055" s="3">
        <v>40</v>
      </c>
      <c r="R1055" s="3">
        <v>0</v>
      </c>
    </row>
    <row r="1056" spans="1:18">
      <c r="A1056" s="3" t="s">
        <v>2737</v>
      </c>
      <c r="B1056" s="3" t="s">
        <v>2738</v>
      </c>
      <c r="C1056" s="3" t="s">
        <v>2739</v>
      </c>
      <c r="D1056" s="3" t="s">
        <v>1725</v>
      </c>
      <c r="E1056" s="3" t="s">
        <v>120</v>
      </c>
      <c r="F1056" s="3">
        <v>22.98</v>
      </c>
      <c r="G1056" s="3" t="s">
        <v>121</v>
      </c>
      <c r="H1056" s="3"/>
      <c r="I1056" s="3" t="s">
        <v>122</v>
      </c>
      <c r="J1056" s="3">
        <v>0</v>
      </c>
      <c r="K1056" s="3">
        <v>0</v>
      </c>
      <c r="L1056" s="3">
        <v>0</v>
      </c>
      <c r="M1056" s="3">
        <v>0</v>
      </c>
      <c r="N1056" s="3">
        <v>15</v>
      </c>
      <c r="O1056" s="3">
        <v>0.05</v>
      </c>
      <c r="P1056" s="3">
        <v>0</v>
      </c>
      <c r="Q1056" s="3">
        <v>15</v>
      </c>
      <c r="R1056" s="3">
        <v>0</v>
      </c>
    </row>
    <row r="1057" spans="1:18">
      <c r="A1057" s="3" t="s">
        <v>2740</v>
      </c>
      <c r="B1057" s="3" t="s">
        <v>2741</v>
      </c>
      <c r="C1057" s="3" t="s">
        <v>2742</v>
      </c>
      <c r="D1057" s="3" t="s">
        <v>1725</v>
      </c>
      <c r="E1057" s="3" t="s">
        <v>120</v>
      </c>
      <c r="F1057" s="3">
        <v>22.98</v>
      </c>
      <c r="G1057" s="3" t="s">
        <v>121</v>
      </c>
      <c r="H1057" s="3"/>
      <c r="I1057" s="3" t="s">
        <v>122</v>
      </c>
      <c r="J1057" s="3">
        <v>5</v>
      </c>
      <c r="K1057" s="3">
        <v>5</v>
      </c>
      <c r="L1057" s="3">
        <v>0</v>
      </c>
      <c r="M1057" s="3">
        <v>0</v>
      </c>
      <c r="N1057" s="3">
        <v>5</v>
      </c>
      <c r="O1057" s="3">
        <v>0.02</v>
      </c>
      <c r="P1057" s="3">
        <v>0</v>
      </c>
      <c r="Q1057" s="3">
        <v>0</v>
      </c>
      <c r="R1057" s="3">
        <v>0</v>
      </c>
    </row>
    <row r="1058" spans="1:18">
      <c r="A1058" s="3" t="s">
        <v>2743</v>
      </c>
      <c r="B1058" s="3" t="s">
        <v>2744</v>
      </c>
      <c r="C1058" s="3" t="s">
        <v>2745</v>
      </c>
      <c r="D1058" s="3" t="s">
        <v>1725</v>
      </c>
      <c r="E1058" s="3" t="s">
        <v>120</v>
      </c>
      <c r="F1058" s="3">
        <v>24.98</v>
      </c>
      <c r="G1058" s="3" t="s">
        <v>121</v>
      </c>
      <c r="H1058" s="3"/>
      <c r="I1058" s="3" t="s">
        <v>122</v>
      </c>
      <c r="J1058" s="3">
        <v>1</v>
      </c>
      <c r="K1058" s="3">
        <v>1</v>
      </c>
      <c r="L1058" s="3">
        <v>0</v>
      </c>
      <c r="M1058" s="3">
        <v>0</v>
      </c>
      <c r="N1058" s="3">
        <v>41</v>
      </c>
      <c r="O1058" s="3">
        <v>0.05</v>
      </c>
      <c r="P1058" s="3">
        <v>0</v>
      </c>
      <c r="Q1058" s="3">
        <v>40</v>
      </c>
      <c r="R1058" s="3">
        <v>0</v>
      </c>
    </row>
    <row r="1059" spans="1:18">
      <c r="A1059" s="3" t="s">
        <v>2746</v>
      </c>
      <c r="B1059" s="3" t="s">
        <v>2747</v>
      </c>
      <c r="C1059" s="3" t="s">
        <v>2748</v>
      </c>
      <c r="D1059" s="3" t="s">
        <v>1725</v>
      </c>
      <c r="E1059" s="3" t="s">
        <v>120</v>
      </c>
      <c r="F1059" s="3">
        <v>24.98</v>
      </c>
      <c r="G1059" s="3" t="s">
        <v>121</v>
      </c>
      <c r="H1059" s="3"/>
      <c r="I1059" s="3" t="s">
        <v>122</v>
      </c>
      <c r="J1059" s="3">
        <v>0</v>
      </c>
      <c r="K1059" s="3">
        <v>0</v>
      </c>
      <c r="L1059" s="3">
        <v>0</v>
      </c>
      <c r="M1059" s="3">
        <v>0</v>
      </c>
      <c r="N1059" s="3">
        <v>40</v>
      </c>
      <c r="O1059" s="3">
        <v>0.05</v>
      </c>
      <c r="P1059" s="3">
        <v>0</v>
      </c>
      <c r="Q1059" s="3">
        <v>40</v>
      </c>
      <c r="R1059" s="3">
        <v>0</v>
      </c>
    </row>
    <row r="1060" spans="1:18">
      <c r="A1060" s="3" t="s">
        <v>2749</v>
      </c>
      <c r="B1060" s="3" t="s">
        <v>2750</v>
      </c>
      <c r="C1060" s="3" t="s">
        <v>2751</v>
      </c>
      <c r="D1060" s="3" t="s">
        <v>1725</v>
      </c>
      <c r="E1060" s="3" t="s">
        <v>120</v>
      </c>
      <c r="F1060" s="3">
        <v>22.98</v>
      </c>
      <c r="G1060" s="3" t="s">
        <v>121</v>
      </c>
      <c r="H1060" s="3"/>
      <c r="I1060" s="3" t="s">
        <v>122</v>
      </c>
      <c r="J1060" s="3">
        <v>14</v>
      </c>
      <c r="K1060" s="3">
        <v>14</v>
      </c>
      <c r="L1060" s="3">
        <v>0</v>
      </c>
      <c r="M1060" s="3">
        <v>0</v>
      </c>
      <c r="N1060" s="3">
        <v>14</v>
      </c>
      <c r="O1060" s="3">
        <v>0.02</v>
      </c>
      <c r="P1060" s="3">
        <v>0</v>
      </c>
      <c r="Q1060" s="3">
        <v>0</v>
      </c>
      <c r="R1060" s="3">
        <v>0</v>
      </c>
    </row>
    <row r="1061" spans="1:18">
      <c r="A1061" s="3" t="s">
        <v>2752</v>
      </c>
      <c r="B1061" s="3" t="s">
        <v>2753</v>
      </c>
      <c r="C1061" s="3" t="s">
        <v>2754</v>
      </c>
      <c r="D1061" s="3" t="s">
        <v>1725</v>
      </c>
      <c r="E1061" s="3" t="s">
        <v>120</v>
      </c>
      <c r="F1061" s="3">
        <v>22.98</v>
      </c>
      <c r="G1061" s="3" t="s">
        <v>121</v>
      </c>
      <c r="H1061" s="3"/>
      <c r="I1061" s="3" t="s">
        <v>122</v>
      </c>
      <c r="J1061" s="3">
        <v>14</v>
      </c>
      <c r="K1061" s="3">
        <v>14</v>
      </c>
      <c r="L1061" s="3">
        <v>0</v>
      </c>
      <c r="M1061" s="3">
        <v>0</v>
      </c>
      <c r="N1061" s="3">
        <v>14</v>
      </c>
      <c r="O1061" s="3">
        <v>0.05</v>
      </c>
      <c r="P1061" s="3">
        <v>0</v>
      </c>
      <c r="Q1061" s="3">
        <v>0</v>
      </c>
      <c r="R1061" s="3">
        <v>0</v>
      </c>
    </row>
    <row r="1062" spans="1:18">
      <c r="A1062" s="3" t="s">
        <v>2755</v>
      </c>
      <c r="B1062" s="3" t="s">
        <v>2756</v>
      </c>
      <c r="C1062" s="3" t="s">
        <v>2757</v>
      </c>
      <c r="D1062" s="3" t="s">
        <v>1725</v>
      </c>
      <c r="E1062" s="3" t="s">
        <v>120</v>
      </c>
      <c r="F1062" s="3">
        <v>22.98</v>
      </c>
      <c r="G1062" s="3" t="s">
        <v>121</v>
      </c>
      <c r="H1062" s="3"/>
      <c r="I1062" s="3" t="s">
        <v>122</v>
      </c>
      <c r="J1062" s="3">
        <v>7</v>
      </c>
      <c r="K1062" s="3">
        <v>7</v>
      </c>
      <c r="L1062" s="3">
        <v>0</v>
      </c>
      <c r="M1062" s="3">
        <v>0</v>
      </c>
      <c r="N1062" s="3">
        <v>7</v>
      </c>
      <c r="O1062" s="3">
        <v>0.02</v>
      </c>
      <c r="P1062" s="3">
        <v>0</v>
      </c>
      <c r="Q1062" s="3">
        <v>0</v>
      </c>
      <c r="R1062" s="3">
        <v>0</v>
      </c>
    </row>
    <row r="1063" spans="1:18">
      <c r="A1063" s="3" t="s">
        <v>2758</v>
      </c>
      <c r="B1063" s="3" t="s">
        <v>2759</v>
      </c>
      <c r="C1063" s="3" t="s">
        <v>2760</v>
      </c>
      <c r="D1063" s="3" t="s">
        <v>1725</v>
      </c>
      <c r="E1063" s="3" t="s">
        <v>120</v>
      </c>
      <c r="F1063" s="3">
        <v>23.98</v>
      </c>
      <c r="G1063" s="3" t="s">
        <v>121</v>
      </c>
      <c r="H1063" s="3"/>
      <c r="I1063" s="3" t="s">
        <v>122</v>
      </c>
      <c r="J1063" s="3">
        <v>24</v>
      </c>
      <c r="K1063" s="3">
        <v>24</v>
      </c>
      <c r="L1063" s="3">
        <v>0</v>
      </c>
      <c r="M1063" s="3">
        <v>0</v>
      </c>
      <c r="N1063" s="3">
        <v>24</v>
      </c>
      <c r="O1063" s="3">
        <v>0.05</v>
      </c>
      <c r="P1063" s="3">
        <v>0</v>
      </c>
      <c r="Q1063" s="3">
        <v>0</v>
      </c>
      <c r="R1063" s="3">
        <v>0</v>
      </c>
    </row>
    <row r="1064" spans="1:18">
      <c r="A1064" s="3" t="s">
        <v>2761</v>
      </c>
      <c r="B1064" s="3" t="s">
        <v>2762</v>
      </c>
      <c r="C1064" s="3" t="s">
        <v>2763</v>
      </c>
      <c r="D1064" s="3" t="s">
        <v>1725</v>
      </c>
      <c r="E1064" s="3" t="s">
        <v>120</v>
      </c>
      <c r="F1064" s="3">
        <v>23.98</v>
      </c>
      <c r="G1064" s="3" t="s">
        <v>121</v>
      </c>
      <c r="H1064" s="3"/>
      <c r="I1064" s="3" t="s">
        <v>122</v>
      </c>
      <c r="J1064" s="3">
        <v>19</v>
      </c>
      <c r="K1064" s="3">
        <v>18</v>
      </c>
      <c r="L1064" s="3">
        <v>0</v>
      </c>
      <c r="M1064" s="3">
        <v>1</v>
      </c>
      <c r="N1064" s="3">
        <v>19</v>
      </c>
      <c r="O1064" s="3">
        <v>0.05</v>
      </c>
      <c r="P1064" s="3">
        <v>0</v>
      </c>
      <c r="Q1064" s="3">
        <v>0</v>
      </c>
      <c r="R1064" s="3">
        <v>0</v>
      </c>
    </row>
    <row r="1065" spans="1:18">
      <c r="A1065" s="3" t="s">
        <v>2764</v>
      </c>
      <c r="B1065" s="3" t="s">
        <v>426</v>
      </c>
      <c r="C1065" s="3" t="s">
        <v>426</v>
      </c>
      <c r="D1065" s="3" t="s">
        <v>427</v>
      </c>
      <c r="E1065" s="3" t="s">
        <v>120</v>
      </c>
      <c r="F1065" s="3">
        <v>22.98</v>
      </c>
      <c r="G1065" s="3" t="s">
        <v>121</v>
      </c>
      <c r="H1065" s="3"/>
      <c r="I1065" s="3" t="s">
        <v>122</v>
      </c>
      <c r="J1065" s="3">
        <v>0</v>
      </c>
      <c r="K1065" s="3">
        <v>0</v>
      </c>
      <c r="L1065" s="3">
        <v>0</v>
      </c>
      <c r="M1065" s="3">
        <v>0</v>
      </c>
      <c r="N1065" s="3">
        <v>0</v>
      </c>
      <c r="O1065" s="3">
        <v>0.07</v>
      </c>
      <c r="P1065" s="3">
        <v>0</v>
      </c>
      <c r="Q1065" s="3">
        <v>0</v>
      </c>
      <c r="R1065" s="3">
        <v>0</v>
      </c>
    </row>
    <row r="1066" spans="1:18">
      <c r="A1066" s="3" t="s">
        <v>2765</v>
      </c>
      <c r="B1066" s="3" t="s">
        <v>430</v>
      </c>
      <c r="C1066" s="3" t="s">
        <v>430</v>
      </c>
      <c r="D1066" s="3" t="s">
        <v>431</v>
      </c>
      <c r="E1066" s="3" t="s">
        <v>120</v>
      </c>
      <c r="F1066" s="3">
        <v>22.98</v>
      </c>
      <c r="G1066" s="3" t="s">
        <v>121</v>
      </c>
      <c r="H1066" s="3"/>
      <c r="I1066" s="3" t="s">
        <v>122</v>
      </c>
      <c r="J1066" s="3">
        <v>2</v>
      </c>
      <c r="K1066" s="3">
        <v>2</v>
      </c>
      <c r="L1066" s="3">
        <v>0</v>
      </c>
      <c r="M1066" s="3">
        <v>0</v>
      </c>
      <c r="N1066" s="3">
        <v>2</v>
      </c>
      <c r="O1066" s="3">
        <v>0.07</v>
      </c>
      <c r="P1066" s="3">
        <v>0</v>
      </c>
      <c r="Q1066" s="3">
        <v>0</v>
      </c>
      <c r="R1066" s="3">
        <v>0</v>
      </c>
    </row>
    <row r="1067" spans="1:18">
      <c r="A1067" s="3" t="s">
        <v>2766</v>
      </c>
      <c r="B1067" s="3" t="s">
        <v>434</v>
      </c>
      <c r="C1067" s="3" t="s">
        <v>434</v>
      </c>
      <c r="D1067" s="3" t="s">
        <v>435</v>
      </c>
      <c r="E1067" s="3" t="s">
        <v>120</v>
      </c>
      <c r="F1067" s="3">
        <v>22.98</v>
      </c>
      <c r="G1067" s="3" t="s">
        <v>121</v>
      </c>
      <c r="H1067" s="3"/>
      <c r="I1067" s="3" t="s">
        <v>122</v>
      </c>
      <c r="J1067" s="3">
        <v>16</v>
      </c>
      <c r="K1067" s="3">
        <v>16</v>
      </c>
      <c r="L1067" s="3">
        <v>0</v>
      </c>
      <c r="M1067" s="3">
        <v>0</v>
      </c>
      <c r="N1067" s="3">
        <v>16</v>
      </c>
      <c r="O1067" s="3">
        <v>0.07</v>
      </c>
      <c r="P1067" s="3">
        <v>0</v>
      </c>
      <c r="Q1067" s="3">
        <v>0</v>
      </c>
      <c r="R1067" s="3">
        <v>0</v>
      </c>
    </row>
    <row r="1068" spans="1:18">
      <c r="A1068" s="3" t="s">
        <v>2767</v>
      </c>
      <c r="B1068" s="3" t="s">
        <v>438</v>
      </c>
      <c r="C1068" s="3" t="s">
        <v>438</v>
      </c>
      <c r="D1068" s="3" t="s">
        <v>439</v>
      </c>
      <c r="E1068" s="3" t="s">
        <v>120</v>
      </c>
      <c r="F1068" s="3">
        <v>24.98</v>
      </c>
      <c r="G1068" s="3" t="s">
        <v>121</v>
      </c>
      <c r="H1068" s="3"/>
      <c r="I1068" s="3" t="s">
        <v>122</v>
      </c>
      <c r="J1068" s="3">
        <v>0</v>
      </c>
      <c r="K1068" s="3">
        <v>0</v>
      </c>
      <c r="L1068" s="3">
        <v>0</v>
      </c>
      <c r="M1068" s="3">
        <v>0</v>
      </c>
      <c r="N1068" s="3">
        <v>0</v>
      </c>
      <c r="O1068" s="3">
        <v>0.07</v>
      </c>
      <c r="P1068" s="3">
        <v>0</v>
      </c>
      <c r="Q1068" s="3">
        <v>0</v>
      </c>
      <c r="R1068" s="3">
        <v>0</v>
      </c>
    </row>
    <row r="1069" spans="1:18">
      <c r="A1069" s="3" t="s">
        <v>2768</v>
      </c>
      <c r="B1069" s="3" t="s">
        <v>442</v>
      </c>
      <c r="C1069" s="3" t="s">
        <v>442</v>
      </c>
      <c r="D1069" s="3" t="s">
        <v>443</v>
      </c>
      <c r="E1069" s="3" t="s">
        <v>120</v>
      </c>
      <c r="F1069" s="3">
        <v>24.98</v>
      </c>
      <c r="G1069" s="3" t="s">
        <v>121</v>
      </c>
      <c r="H1069" s="3"/>
      <c r="I1069" s="3" t="s">
        <v>122</v>
      </c>
      <c r="J1069" s="3">
        <v>14</v>
      </c>
      <c r="K1069" s="3">
        <v>11</v>
      </c>
      <c r="L1069" s="3">
        <v>0</v>
      </c>
      <c r="M1069" s="3">
        <v>3</v>
      </c>
      <c r="N1069" s="3">
        <v>14</v>
      </c>
      <c r="O1069" s="3">
        <v>0.07</v>
      </c>
      <c r="P1069" s="3">
        <v>0</v>
      </c>
      <c r="Q1069" s="3">
        <v>0</v>
      </c>
      <c r="R1069" s="3">
        <v>0</v>
      </c>
    </row>
    <row r="1070" spans="1:18">
      <c r="A1070" s="3" t="s">
        <v>2769</v>
      </c>
      <c r="B1070" s="3" t="s">
        <v>446</v>
      </c>
      <c r="C1070" s="3" t="s">
        <v>446</v>
      </c>
      <c r="D1070" s="3" t="s">
        <v>447</v>
      </c>
      <c r="E1070" s="3" t="s">
        <v>120</v>
      </c>
      <c r="F1070" s="3">
        <v>24.98</v>
      </c>
      <c r="G1070" s="3" t="s">
        <v>121</v>
      </c>
      <c r="H1070" s="3"/>
      <c r="I1070" s="3" t="s">
        <v>122</v>
      </c>
      <c r="J1070" s="3">
        <v>0</v>
      </c>
      <c r="K1070" s="3">
        <v>0</v>
      </c>
      <c r="L1070" s="3">
        <v>0</v>
      </c>
      <c r="M1070" s="3">
        <v>0</v>
      </c>
      <c r="N1070" s="3">
        <v>0</v>
      </c>
      <c r="O1070" s="3">
        <v>0.07</v>
      </c>
      <c r="P1070" s="3">
        <v>0</v>
      </c>
      <c r="Q1070" s="3">
        <v>0</v>
      </c>
      <c r="R1070" s="3">
        <v>0</v>
      </c>
    </row>
    <row r="1071" spans="1:18">
      <c r="A1071" s="3" t="s">
        <v>2770</v>
      </c>
      <c r="B1071" s="3" t="s">
        <v>450</v>
      </c>
      <c r="C1071" s="3" t="s">
        <v>450</v>
      </c>
      <c r="D1071" s="3" t="s">
        <v>451</v>
      </c>
      <c r="E1071" s="3" t="s">
        <v>120</v>
      </c>
      <c r="F1071" s="3">
        <v>22.98</v>
      </c>
      <c r="G1071" s="3" t="s">
        <v>121</v>
      </c>
      <c r="H1071" s="3"/>
      <c r="I1071" s="3" t="s">
        <v>122</v>
      </c>
      <c r="J1071" s="3">
        <v>2</v>
      </c>
      <c r="K1071" s="3">
        <v>2</v>
      </c>
      <c r="L1071" s="3">
        <v>0</v>
      </c>
      <c r="M1071" s="3">
        <v>0</v>
      </c>
      <c r="N1071" s="3">
        <v>2</v>
      </c>
      <c r="O1071" s="3">
        <v>0.07</v>
      </c>
      <c r="P1071" s="3">
        <v>0</v>
      </c>
      <c r="Q1071" s="3">
        <v>0</v>
      </c>
      <c r="R1071" s="3">
        <v>0</v>
      </c>
    </row>
    <row r="1072" spans="1:18">
      <c r="A1072" s="3" t="s">
        <v>2771</v>
      </c>
      <c r="B1072" s="3" t="s">
        <v>454</v>
      </c>
      <c r="C1072" s="3" t="s">
        <v>454</v>
      </c>
      <c r="D1072" s="3" t="s">
        <v>455</v>
      </c>
      <c r="E1072" s="3" t="s">
        <v>120</v>
      </c>
      <c r="F1072" s="3">
        <v>17.98</v>
      </c>
      <c r="G1072" s="3" t="s">
        <v>121</v>
      </c>
      <c r="H1072" s="3"/>
      <c r="I1072" s="3" t="s">
        <v>122</v>
      </c>
      <c r="J1072" s="3">
        <v>15</v>
      </c>
      <c r="K1072" s="3">
        <v>15</v>
      </c>
      <c r="L1072" s="3">
        <v>0</v>
      </c>
      <c r="M1072" s="3">
        <v>0</v>
      </c>
      <c r="N1072" s="3">
        <v>15</v>
      </c>
      <c r="O1072" s="3">
        <v>0.07</v>
      </c>
      <c r="P1072" s="3">
        <v>0</v>
      </c>
      <c r="Q1072" s="3">
        <v>0</v>
      </c>
      <c r="R1072" s="3">
        <v>0</v>
      </c>
    </row>
    <row r="1073" spans="1:18">
      <c r="A1073" s="3" t="s">
        <v>2772</v>
      </c>
      <c r="B1073" s="3" t="s">
        <v>458</v>
      </c>
      <c r="C1073" s="3" t="s">
        <v>458</v>
      </c>
      <c r="D1073" s="3" t="s">
        <v>459</v>
      </c>
      <c r="E1073" s="3" t="s">
        <v>120</v>
      </c>
      <c r="F1073" s="3">
        <v>24.98</v>
      </c>
      <c r="G1073" s="3" t="s">
        <v>121</v>
      </c>
      <c r="H1073" s="3"/>
      <c r="I1073" s="3" t="s">
        <v>122</v>
      </c>
      <c r="J1073" s="3">
        <v>2</v>
      </c>
      <c r="K1073" s="3">
        <v>0</v>
      </c>
      <c r="L1073" s="3">
        <v>0</v>
      </c>
      <c r="M1073" s="3">
        <v>2</v>
      </c>
      <c r="N1073" s="3">
        <v>2</v>
      </c>
      <c r="O1073" s="3">
        <v>0.07</v>
      </c>
      <c r="P1073" s="3">
        <v>0</v>
      </c>
      <c r="Q1073" s="3">
        <v>0</v>
      </c>
      <c r="R1073" s="3">
        <v>0</v>
      </c>
    </row>
    <row r="1074" spans="1:18">
      <c r="A1074" s="3" t="s">
        <v>2773</v>
      </c>
      <c r="B1074" s="3" t="s">
        <v>462</v>
      </c>
      <c r="C1074" s="3" t="s">
        <v>462</v>
      </c>
      <c r="D1074" s="3"/>
      <c r="E1074" s="3" t="s">
        <v>20</v>
      </c>
      <c r="F1074" s="3"/>
      <c r="G1074" s="3"/>
      <c r="H1074" s="3"/>
      <c r="I1074" s="3"/>
      <c r="J1074" s="3">
        <v>11</v>
      </c>
      <c r="K1074" s="3">
        <v>11</v>
      </c>
      <c r="L1074" s="3">
        <v>0</v>
      </c>
      <c r="M1074" s="3">
        <v>0</v>
      </c>
      <c r="N1074" s="3">
        <v>11</v>
      </c>
      <c r="O1074" s="3"/>
      <c r="P1074" s="3">
        <v>0</v>
      </c>
      <c r="Q1074" s="3">
        <v>0</v>
      </c>
      <c r="R1074" s="3">
        <v>0</v>
      </c>
    </row>
    <row r="1075" spans="1:18">
      <c r="A1075" s="3" t="s">
        <v>2774</v>
      </c>
      <c r="B1075" s="3" t="s">
        <v>514</v>
      </c>
      <c r="C1075" s="3" t="s">
        <v>514</v>
      </c>
      <c r="D1075" s="3"/>
      <c r="E1075" s="3" t="s">
        <v>20</v>
      </c>
      <c r="F1075" s="3"/>
      <c r="G1075" s="3"/>
      <c r="H1075" s="3"/>
      <c r="I1075" s="3"/>
      <c r="J1075" s="3">
        <v>0</v>
      </c>
      <c r="K1075" s="3">
        <v>0</v>
      </c>
      <c r="L1075" s="3">
        <v>0</v>
      </c>
      <c r="M1075" s="3">
        <v>0</v>
      </c>
      <c r="N1075" s="3">
        <v>0</v>
      </c>
      <c r="O1075" s="3"/>
      <c r="P1075" s="3">
        <v>0</v>
      </c>
      <c r="Q1075" s="3">
        <v>0</v>
      </c>
      <c r="R1075" s="3">
        <v>0</v>
      </c>
    </row>
    <row r="1076" spans="1:18">
      <c r="A1076" s="3" t="s">
        <v>2775</v>
      </c>
      <c r="B1076" s="3" t="s">
        <v>517</v>
      </c>
      <c r="C1076" s="3" t="s">
        <v>517</v>
      </c>
      <c r="D1076" s="3"/>
      <c r="E1076" s="3" t="s">
        <v>20</v>
      </c>
      <c r="F1076" s="3"/>
      <c r="G1076" s="3"/>
      <c r="H1076" s="3"/>
      <c r="I1076" s="3"/>
      <c r="J1076" s="3">
        <v>1</v>
      </c>
      <c r="K1076" s="3">
        <v>0</v>
      </c>
      <c r="L1076" s="3">
        <v>0</v>
      </c>
      <c r="M1076" s="3">
        <v>1</v>
      </c>
      <c r="N1076" s="3">
        <v>1</v>
      </c>
      <c r="O1076" s="3"/>
      <c r="P1076" s="3">
        <v>0</v>
      </c>
      <c r="Q1076" s="3">
        <v>0</v>
      </c>
      <c r="R1076" s="3">
        <v>0</v>
      </c>
    </row>
    <row r="1077" spans="1:18">
      <c r="A1077" s="3" t="s">
        <v>2776</v>
      </c>
      <c r="B1077" s="3" t="s">
        <v>520</v>
      </c>
      <c r="C1077" s="3" t="s">
        <v>520</v>
      </c>
      <c r="D1077" s="3"/>
      <c r="E1077" s="3" t="s">
        <v>20</v>
      </c>
      <c r="F1077" s="3"/>
      <c r="G1077" s="3"/>
      <c r="H1077" s="3"/>
      <c r="I1077" s="3"/>
      <c r="J1077" s="3">
        <v>1</v>
      </c>
      <c r="K1077" s="3">
        <v>1</v>
      </c>
      <c r="L1077" s="3">
        <v>0</v>
      </c>
      <c r="M1077" s="3">
        <v>0</v>
      </c>
      <c r="N1077" s="3">
        <v>1</v>
      </c>
      <c r="O1077" s="3"/>
      <c r="P1077" s="3">
        <v>0</v>
      </c>
      <c r="Q1077" s="3">
        <v>0</v>
      </c>
      <c r="R1077" s="3">
        <v>0</v>
      </c>
    </row>
    <row r="1078" spans="1:18">
      <c r="A1078" s="3" t="s">
        <v>2777</v>
      </c>
      <c r="B1078" s="3" t="s">
        <v>523</v>
      </c>
      <c r="C1078" s="3" t="s">
        <v>523</v>
      </c>
      <c r="D1078" s="3"/>
      <c r="E1078" s="3" t="s">
        <v>20</v>
      </c>
      <c r="F1078" s="3"/>
      <c r="G1078" s="3"/>
      <c r="H1078" s="3"/>
      <c r="I1078" s="3"/>
      <c r="J1078" s="3">
        <v>4</v>
      </c>
      <c r="K1078" s="3">
        <v>4</v>
      </c>
      <c r="L1078" s="3">
        <v>0</v>
      </c>
      <c r="M1078" s="3">
        <v>0</v>
      </c>
      <c r="N1078" s="3">
        <v>4</v>
      </c>
      <c r="O1078" s="3"/>
      <c r="P1078" s="3">
        <v>0</v>
      </c>
      <c r="Q1078" s="3">
        <v>0</v>
      </c>
      <c r="R1078" s="3">
        <v>0</v>
      </c>
    </row>
    <row r="1079" spans="1:18">
      <c r="A1079" s="3" t="s">
        <v>2778</v>
      </c>
      <c r="B1079" s="3" t="s">
        <v>525</v>
      </c>
      <c r="C1079" s="3" t="s">
        <v>525</v>
      </c>
      <c r="D1079" s="3"/>
      <c r="E1079" s="3" t="s">
        <v>20</v>
      </c>
      <c r="F1079" s="3"/>
      <c r="G1079" s="3"/>
      <c r="H1079" s="3"/>
      <c r="I1079" s="3"/>
      <c r="J1079" s="3">
        <v>0</v>
      </c>
      <c r="K1079" s="3">
        <v>0</v>
      </c>
      <c r="L1079" s="3">
        <v>0</v>
      </c>
      <c r="M1079" s="3">
        <v>0</v>
      </c>
      <c r="N1079" s="3">
        <v>0</v>
      </c>
      <c r="O1079" s="3"/>
      <c r="P1079" s="3">
        <v>0</v>
      </c>
      <c r="Q1079" s="3">
        <v>0</v>
      </c>
      <c r="R1079" s="3">
        <v>0</v>
      </c>
    </row>
    <row r="1080" spans="1:18">
      <c r="A1080" s="3" t="s">
        <v>2779</v>
      </c>
      <c r="B1080" s="3" t="s">
        <v>527</v>
      </c>
      <c r="C1080" s="3" t="s">
        <v>527</v>
      </c>
      <c r="D1080" s="3"/>
      <c r="E1080" s="3" t="s">
        <v>20</v>
      </c>
      <c r="F1080" s="3"/>
      <c r="G1080" s="3"/>
      <c r="H1080" s="3"/>
      <c r="I1080" s="3"/>
      <c r="J1080" s="3">
        <v>5</v>
      </c>
      <c r="K1080" s="3">
        <v>5</v>
      </c>
      <c r="L1080" s="3">
        <v>0</v>
      </c>
      <c r="M1080" s="3">
        <v>0</v>
      </c>
      <c r="N1080" s="3">
        <v>5</v>
      </c>
      <c r="O1080" s="3"/>
      <c r="P1080" s="3">
        <v>0</v>
      </c>
      <c r="Q1080" s="3">
        <v>0</v>
      </c>
      <c r="R1080" s="3">
        <v>0</v>
      </c>
    </row>
    <row r="1081" spans="1:18">
      <c r="A1081" s="3" t="s">
        <v>2780</v>
      </c>
      <c r="B1081" s="3" t="s">
        <v>529</v>
      </c>
      <c r="C1081" s="3" t="s">
        <v>529</v>
      </c>
      <c r="D1081" s="3"/>
      <c r="E1081" s="3" t="s">
        <v>20</v>
      </c>
      <c r="F1081" s="3"/>
      <c r="G1081" s="3"/>
      <c r="H1081" s="3"/>
      <c r="I1081" s="3"/>
      <c r="J1081" s="3">
        <v>3</v>
      </c>
      <c r="K1081" s="3">
        <v>3</v>
      </c>
      <c r="L1081" s="3">
        <v>0</v>
      </c>
      <c r="M1081" s="3">
        <v>0</v>
      </c>
      <c r="N1081" s="3">
        <v>3</v>
      </c>
      <c r="O1081" s="3"/>
      <c r="P1081" s="3">
        <v>0</v>
      </c>
      <c r="Q1081" s="3">
        <v>0</v>
      </c>
      <c r="R1081" s="3">
        <v>0</v>
      </c>
    </row>
    <row r="1082" spans="1:18">
      <c r="A1082" s="3" t="s">
        <v>2781</v>
      </c>
      <c r="B1082" s="3" t="s">
        <v>531</v>
      </c>
      <c r="C1082" s="3" t="s">
        <v>531</v>
      </c>
      <c r="D1082" s="3"/>
      <c r="E1082" s="3" t="s">
        <v>20</v>
      </c>
      <c r="F1082" s="3"/>
      <c r="G1082" s="3"/>
      <c r="H1082" s="3"/>
      <c r="I1082" s="3"/>
      <c r="J1082" s="3">
        <v>0</v>
      </c>
      <c r="K1082" s="3">
        <v>0</v>
      </c>
      <c r="L1082" s="3">
        <v>0</v>
      </c>
      <c r="M1082" s="3">
        <v>0</v>
      </c>
      <c r="N1082" s="3">
        <v>0</v>
      </c>
      <c r="O1082" s="3"/>
      <c r="P1082" s="3">
        <v>0</v>
      </c>
      <c r="Q1082" s="3">
        <v>0</v>
      </c>
      <c r="R1082" s="3">
        <v>0</v>
      </c>
    </row>
    <row r="1083" spans="1:18">
      <c r="A1083" s="3" t="s">
        <v>2782</v>
      </c>
      <c r="B1083" s="3" t="s">
        <v>533</v>
      </c>
      <c r="C1083" s="3" t="s">
        <v>533</v>
      </c>
      <c r="D1083" s="3"/>
      <c r="E1083" s="3" t="s">
        <v>20</v>
      </c>
      <c r="F1083" s="3"/>
      <c r="G1083" s="3"/>
      <c r="H1083" s="3"/>
      <c r="I1083" s="3"/>
      <c r="J1083" s="3">
        <v>4</v>
      </c>
      <c r="K1083" s="3">
        <v>4</v>
      </c>
      <c r="L1083" s="3">
        <v>0</v>
      </c>
      <c r="M1083" s="3">
        <v>0</v>
      </c>
      <c r="N1083" s="3">
        <v>4</v>
      </c>
      <c r="O1083" s="3"/>
      <c r="P1083" s="3">
        <v>0</v>
      </c>
      <c r="Q1083" s="3">
        <v>0</v>
      </c>
      <c r="R1083" s="3">
        <v>0</v>
      </c>
    </row>
    <row r="1084" spans="1:18">
      <c r="A1084" s="3" t="s">
        <v>2783</v>
      </c>
      <c r="B1084" s="3" t="s">
        <v>535</v>
      </c>
      <c r="C1084" s="3" t="s">
        <v>535</v>
      </c>
      <c r="D1084" s="3"/>
      <c r="E1084" s="3" t="s">
        <v>20</v>
      </c>
      <c r="F1084" s="3"/>
      <c r="G1084" s="3"/>
      <c r="H1084" s="3"/>
      <c r="I1084" s="3"/>
      <c r="J1084" s="3">
        <v>2</v>
      </c>
      <c r="K1084" s="3">
        <v>2</v>
      </c>
      <c r="L1084" s="3">
        <v>0</v>
      </c>
      <c r="M1084" s="3">
        <v>0</v>
      </c>
      <c r="N1084" s="3">
        <v>2</v>
      </c>
      <c r="O1084" s="3"/>
      <c r="P1084" s="3">
        <v>0</v>
      </c>
      <c r="Q1084" s="3">
        <v>0</v>
      </c>
      <c r="R1084" s="3">
        <v>0</v>
      </c>
    </row>
    <row r="1085" spans="1:18">
      <c r="A1085" s="3" t="s">
        <v>2784</v>
      </c>
      <c r="B1085" s="3" t="s">
        <v>537</v>
      </c>
      <c r="C1085" s="3" t="s">
        <v>537</v>
      </c>
      <c r="D1085" s="3"/>
      <c r="E1085" s="3" t="s">
        <v>20</v>
      </c>
      <c r="F1085" s="3"/>
      <c r="G1085" s="3"/>
      <c r="H1085" s="3"/>
      <c r="I1085" s="3"/>
      <c r="J1085" s="3">
        <v>7</v>
      </c>
      <c r="K1085" s="3">
        <v>7</v>
      </c>
      <c r="L1085" s="3">
        <v>0</v>
      </c>
      <c r="M1085" s="3">
        <v>0</v>
      </c>
      <c r="N1085" s="3">
        <v>7</v>
      </c>
      <c r="O1085" s="3"/>
      <c r="P1085" s="3">
        <v>0</v>
      </c>
      <c r="Q1085" s="3">
        <v>0</v>
      </c>
      <c r="R1085" s="3">
        <v>0</v>
      </c>
    </row>
    <row r="1086" spans="1:18">
      <c r="A1086" s="3" t="s">
        <v>2785</v>
      </c>
      <c r="B1086" s="3" t="s">
        <v>539</v>
      </c>
      <c r="C1086" s="3" t="s">
        <v>539</v>
      </c>
      <c r="D1086" s="3"/>
      <c r="E1086" s="3" t="s">
        <v>20</v>
      </c>
      <c r="F1086" s="3"/>
      <c r="G1086" s="3"/>
      <c r="H1086" s="3"/>
      <c r="I1086" s="3"/>
      <c r="J1086" s="3">
        <v>0</v>
      </c>
      <c r="K1086" s="3">
        <v>0</v>
      </c>
      <c r="L1086" s="3">
        <v>0</v>
      </c>
      <c r="M1086" s="3">
        <v>0</v>
      </c>
      <c r="N1086" s="3">
        <v>0</v>
      </c>
      <c r="O1086" s="3"/>
      <c r="P1086" s="3">
        <v>0</v>
      </c>
      <c r="Q1086" s="3">
        <v>0</v>
      </c>
      <c r="R1086" s="3">
        <v>0</v>
      </c>
    </row>
    <row r="1087" spans="1:18">
      <c r="A1087" s="3" t="s">
        <v>2786</v>
      </c>
      <c r="B1087" s="3" t="s">
        <v>542</v>
      </c>
      <c r="C1087" s="3" t="s">
        <v>542</v>
      </c>
      <c r="D1087" s="3"/>
      <c r="E1087" s="3" t="s">
        <v>20</v>
      </c>
      <c r="F1087" s="3"/>
      <c r="G1087" s="3"/>
      <c r="H1087" s="3"/>
      <c r="I1087" s="3"/>
      <c r="J1087" s="3">
        <v>0</v>
      </c>
      <c r="K1087" s="3">
        <v>0</v>
      </c>
      <c r="L1087" s="3">
        <v>0</v>
      </c>
      <c r="M1087" s="3">
        <v>0</v>
      </c>
      <c r="N1087" s="3">
        <v>0</v>
      </c>
      <c r="O1087" s="3"/>
      <c r="P1087" s="3">
        <v>0</v>
      </c>
      <c r="Q1087" s="3">
        <v>0</v>
      </c>
      <c r="R1087" s="3">
        <v>0</v>
      </c>
    </row>
    <row r="1088" spans="1:18">
      <c r="A1088" s="3" t="s">
        <v>2787</v>
      </c>
      <c r="B1088" s="3" t="s">
        <v>545</v>
      </c>
      <c r="C1088" s="3" t="s">
        <v>545</v>
      </c>
      <c r="D1088" s="3"/>
      <c r="E1088" s="3" t="s">
        <v>20</v>
      </c>
      <c r="F1088" s="3"/>
      <c r="G1088" s="3"/>
      <c r="H1088" s="3"/>
      <c r="I1088" s="3"/>
      <c r="J1088" s="3">
        <v>2</v>
      </c>
      <c r="K1088" s="3">
        <v>2</v>
      </c>
      <c r="L1088" s="3">
        <v>0</v>
      </c>
      <c r="M1088" s="3">
        <v>0</v>
      </c>
      <c r="N1088" s="3">
        <v>2</v>
      </c>
      <c r="O1088" s="3"/>
      <c r="P1088" s="3">
        <v>0</v>
      </c>
      <c r="Q1088" s="3">
        <v>0</v>
      </c>
      <c r="R1088" s="3">
        <v>0</v>
      </c>
    </row>
    <row r="1089" spans="1:18">
      <c r="A1089" s="3" t="s">
        <v>2788</v>
      </c>
      <c r="B1089" s="3" t="s">
        <v>547</v>
      </c>
      <c r="C1089" s="3" t="s">
        <v>547</v>
      </c>
      <c r="D1089" s="3"/>
      <c r="E1089" s="3" t="s">
        <v>20</v>
      </c>
      <c r="F1089" s="3"/>
      <c r="G1089" s="3"/>
      <c r="H1089" s="3"/>
      <c r="I1089" s="3"/>
      <c r="J1089" s="3">
        <v>4</v>
      </c>
      <c r="K1089" s="3">
        <v>4</v>
      </c>
      <c r="L1089" s="3">
        <v>0</v>
      </c>
      <c r="M1089" s="3">
        <v>0</v>
      </c>
      <c r="N1089" s="3">
        <v>4</v>
      </c>
      <c r="O1089" s="3"/>
      <c r="P1089" s="3">
        <v>0</v>
      </c>
      <c r="Q1089" s="3">
        <v>0</v>
      </c>
      <c r="R1089" s="3">
        <v>0</v>
      </c>
    </row>
    <row r="1090" spans="1:18">
      <c r="A1090" s="3" t="s">
        <v>2789</v>
      </c>
      <c r="B1090" s="3" t="s">
        <v>549</v>
      </c>
      <c r="C1090" s="3" t="s">
        <v>549</v>
      </c>
      <c r="D1090" s="3"/>
      <c r="E1090" s="3" t="s">
        <v>20</v>
      </c>
      <c r="F1090" s="3"/>
      <c r="G1090" s="3"/>
      <c r="H1090" s="3"/>
      <c r="I1090" s="3"/>
      <c r="J1090" s="3">
        <v>5</v>
      </c>
      <c r="K1090" s="3">
        <v>5</v>
      </c>
      <c r="L1090" s="3">
        <v>0</v>
      </c>
      <c r="M1090" s="3">
        <v>0</v>
      </c>
      <c r="N1090" s="3">
        <v>5</v>
      </c>
      <c r="O1090" s="3"/>
      <c r="P1090" s="3">
        <v>0</v>
      </c>
      <c r="Q1090" s="3">
        <v>0</v>
      </c>
      <c r="R1090" s="3">
        <v>0</v>
      </c>
    </row>
    <row r="1091" spans="1:18">
      <c r="A1091" s="3" t="s">
        <v>2790</v>
      </c>
      <c r="B1091" s="3" t="s">
        <v>552</v>
      </c>
      <c r="C1091" s="3" t="s">
        <v>552</v>
      </c>
      <c r="D1091" s="3"/>
      <c r="E1091" s="3" t="s">
        <v>20</v>
      </c>
      <c r="F1091" s="3"/>
      <c r="G1091" s="3"/>
      <c r="H1091" s="3"/>
      <c r="I1091" s="3"/>
      <c r="J1091" s="3">
        <v>0</v>
      </c>
      <c r="K1091" s="3">
        <v>0</v>
      </c>
      <c r="L1091" s="3">
        <v>0</v>
      </c>
      <c r="M1091" s="3">
        <v>0</v>
      </c>
      <c r="N1091" s="3">
        <v>0</v>
      </c>
      <c r="O1091" s="3"/>
      <c r="P1091" s="3">
        <v>0</v>
      </c>
      <c r="Q1091" s="3">
        <v>0</v>
      </c>
      <c r="R1091" s="3">
        <v>0</v>
      </c>
    </row>
    <row r="1092" spans="1:18">
      <c r="A1092" s="3" t="s">
        <v>2791</v>
      </c>
      <c r="B1092" s="3" t="s">
        <v>554</v>
      </c>
      <c r="C1092" s="3" t="s">
        <v>554</v>
      </c>
      <c r="D1092" s="3"/>
      <c r="E1092" s="3" t="s">
        <v>20</v>
      </c>
      <c r="F1092" s="3"/>
      <c r="G1092" s="3"/>
      <c r="H1092" s="3"/>
      <c r="I1092" s="3"/>
      <c r="J1092" s="3">
        <v>0</v>
      </c>
      <c r="K1092" s="3">
        <v>0</v>
      </c>
      <c r="L1092" s="3">
        <v>0</v>
      </c>
      <c r="M1092" s="3">
        <v>0</v>
      </c>
      <c r="N1092" s="3">
        <v>0</v>
      </c>
      <c r="O1092" s="3"/>
      <c r="P1092" s="3">
        <v>0</v>
      </c>
      <c r="Q1092" s="3">
        <v>0</v>
      </c>
      <c r="R1092" s="3">
        <v>0</v>
      </c>
    </row>
    <row r="1093" spans="1:18">
      <c r="A1093" s="3" t="s">
        <v>2792</v>
      </c>
      <c r="B1093" s="3" t="s">
        <v>556</v>
      </c>
      <c r="C1093" s="3" t="s">
        <v>556</v>
      </c>
      <c r="D1093" s="3"/>
      <c r="E1093" s="3" t="s">
        <v>20</v>
      </c>
      <c r="F1093" s="3"/>
      <c r="G1093" s="3"/>
      <c r="H1093" s="3"/>
      <c r="I1093" s="3"/>
      <c r="J1093" s="3">
        <v>10</v>
      </c>
      <c r="K1093" s="3">
        <v>10</v>
      </c>
      <c r="L1093" s="3">
        <v>0</v>
      </c>
      <c r="M1093" s="3">
        <v>0</v>
      </c>
      <c r="N1093" s="3">
        <v>10</v>
      </c>
      <c r="O1093" s="3"/>
      <c r="P1093" s="3">
        <v>0</v>
      </c>
      <c r="Q1093" s="3">
        <v>0</v>
      </c>
      <c r="R1093" s="3">
        <v>0</v>
      </c>
    </row>
    <row r="1094" spans="1:18">
      <c r="A1094" s="3" t="s">
        <v>2793</v>
      </c>
      <c r="B1094" s="3" t="s">
        <v>558</v>
      </c>
      <c r="C1094" s="3" t="s">
        <v>558</v>
      </c>
      <c r="D1094" s="3"/>
      <c r="E1094" s="3" t="s">
        <v>20</v>
      </c>
      <c r="F1094" s="3"/>
      <c r="G1094" s="3"/>
      <c r="H1094" s="3"/>
      <c r="I1094" s="3"/>
      <c r="J1094" s="3">
        <v>6</v>
      </c>
      <c r="K1094" s="3">
        <v>6</v>
      </c>
      <c r="L1094" s="3">
        <v>0</v>
      </c>
      <c r="M1094" s="3">
        <v>0</v>
      </c>
      <c r="N1094" s="3">
        <v>6</v>
      </c>
      <c r="O1094" s="3"/>
      <c r="P1094" s="3">
        <v>0</v>
      </c>
      <c r="Q1094" s="3">
        <v>0</v>
      </c>
      <c r="R1094" s="3">
        <v>0</v>
      </c>
    </row>
    <row r="1095" spans="1:18">
      <c r="A1095" s="3" t="s">
        <v>2794</v>
      </c>
      <c r="B1095" s="3" t="s">
        <v>561</v>
      </c>
      <c r="C1095" s="3" t="s">
        <v>561</v>
      </c>
      <c r="D1095" s="3"/>
      <c r="E1095" s="3" t="s">
        <v>20</v>
      </c>
      <c r="F1095" s="3"/>
      <c r="G1095" s="3"/>
      <c r="H1095" s="3"/>
      <c r="I1095" s="3"/>
      <c r="J1095" s="3">
        <v>4</v>
      </c>
      <c r="K1095" s="3">
        <v>4</v>
      </c>
      <c r="L1095" s="3">
        <v>0</v>
      </c>
      <c r="M1095" s="3">
        <v>0</v>
      </c>
      <c r="N1095" s="3">
        <v>4</v>
      </c>
      <c r="O1095" s="3"/>
      <c r="P1095" s="3">
        <v>0</v>
      </c>
      <c r="Q1095" s="3">
        <v>0</v>
      </c>
      <c r="R1095" s="3">
        <v>0</v>
      </c>
    </row>
    <row r="1096" spans="1:18">
      <c r="A1096" s="3" t="s">
        <v>2795</v>
      </c>
      <c r="B1096" s="3" t="s">
        <v>564</v>
      </c>
      <c r="C1096" s="3" t="s">
        <v>564</v>
      </c>
      <c r="D1096" s="3"/>
      <c r="E1096" s="3" t="s">
        <v>20</v>
      </c>
      <c r="F1096" s="3"/>
      <c r="G1096" s="3"/>
      <c r="H1096" s="3"/>
      <c r="I1096" s="3"/>
      <c r="J1096" s="3">
        <v>2</v>
      </c>
      <c r="K1096" s="3">
        <v>2</v>
      </c>
      <c r="L1096" s="3">
        <v>0</v>
      </c>
      <c r="M1096" s="3">
        <v>0</v>
      </c>
      <c r="N1096" s="3">
        <v>2</v>
      </c>
      <c r="O1096" s="3"/>
      <c r="P1096" s="3">
        <v>0</v>
      </c>
      <c r="Q1096" s="3">
        <v>0</v>
      </c>
      <c r="R1096" s="3">
        <v>0</v>
      </c>
    </row>
    <row r="1097" spans="1:18">
      <c r="A1097" s="3" t="s">
        <v>2796</v>
      </c>
      <c r="B1097" s="3" t="s">
        <v>566</v>
      </c>
      <c r="C1097" s="3" t="s">
        <v>566</v>
      </c>
      <c r="D1097" s="3"/>
      <c r="E1097" s="3" t="s">
        <v>20</v>
      </c>
      <c r="F1097" s="3"/>
      <c r="G1097" s="3"/>
      <c r="H1097" s="3"/>
      <c r="I1097" s="3"/>
      <c r="J1097" s="3">
        <v>1</v>
      </c>
      <c r="K1097" s="3">
        <v>1</v>
      </c>
      <c r="L1097" s="3">
        <v>0</v>
      </c>
      <c r="M1097" s="3">
        <v>0</v>
      </c>
      <c r="N1097" s="3">
        <v>1</v>
      </c>
      <c r="O1097" s="3"/>
      <c r="P1097" s="3">
        <v>0</v>
      </c>
      <c r="Q1097" s="3">
        <v>0</v>
      </c>
      <c r="R1097" s="3">
        <v>0</v>
      </c>
    </row>
    <row r="1098" spans="1:18">
      <c r="A1098" s="3" t="s">
        <v>2797</v>
      </c>
      <c r="B1098" s="3" t="s">
        <v>568</v>
      </c>
      <c r="C1098" s="3" t="s">
        <v>568</v>
      </c>
      <c r="D1098" s="3"/>
      <c r="E1098" s="3" t="s">
        <v>20</v>
      </c>
      <c r="F1098" s="3"/>
      <c r="G1098" s="3"/>
      <c r="H1098" s="3"/>
      <c r="I1098" s="3"/>
      <c r="J1098" s="3">
        <v>6</v>
      </c>
      <c r="K1098" s="3">
        <v>6</v>
      </c>
      <c r="L1098" s="3">
        <v>0</v>
      </c>
      <c r="M1098" s="3">
        <v>0</v>
      </c>
      <c r="N1098" s="3">
        <v>6</v>
      </c>
      <c r="O1098" s="3"/>
      <c r="P1098" s="3">
        <v>0</v>
      </c>
      <c r="Q1098" s="3">
        <v>0</v>
      </c>
      <c r="R1098" s="3">
        <v>0</v>
      </c>
    </row>
    <row r="1099" spans="1:18">
      <c r="A1099" s="3" t="s">
        <v>2798</v>
      </c>
      <c r="B1099" s="3" t="s">
        <v>570</v>
      </c>
      <c r="C1099" s="3" t="s">
        <v>570</v>
      </c>
      <c r="D1099" s="3"/>
      <c r="E1099" s="3" t="s">
        <v>20</v>
      </c>
      <c r="F1099" s="3"/>
      <c r="G1099" s="3"/>
      <c r="H1099" s="3"/>
      <c r="I1099" s="3"/>
      <c r="J1099" s="3">
        <v>6</v>
      </c>
      <c r="K1099" s="3">
        <v>6</v>
      </c>
      <c r="L1099" s="3">
        <v>0</v>
      </c>
      <c r="M1099" s="3">
        <v>0</v>
      </c>
      <c r="N1099" s="3">
        <v>6</v>
      </c>
      <c r="O1099" s="3"/>
      <c r="P1099" s="3">
        <v>0</v>
      </c>
      <c r="Q1099" s="3">
        <v>0</v>
      </c>
      <c r="R1099" s="3">
        <v>0</v>
      </c>
    </row>
    <row r="1100" spans="1:18">
      <c r="A1100" s="3" t="s">
        <v>2799</v>
      </c>
      <c r="B1100" s="3" t="s">
        <v>573</v>
      </c>
      <c r="C1100" s="3" t="s">
        <v>573</v>
      </c>
      <c r="D1100" s="3"/>
      <c r="E1100" s="3" t="s">
        <v>20</v>
      </c>
      <c r="F1100" s="3"/>
      <c r="G1100" s="3"/>
      <c r="H1100" s="3"/>
      <c r="I1100" s="3"/>
      <c r="J1100" s="3">
        <v>4</v>
      </c>
      <c r="K1100" s="3">
        <v>4</v>
      </c>
      <c r="L1100" s="3">
        <v>0</v>
      </c>
      <c r="M1100" s="3">
        <v>0</v>
      </c>
      <c r="N1100" s="3">
        <v>4</v>
      </c>
      <c r="O1100" s="3"/>
      <c r="P1100" s="3">
        <v>0</v>
      </c>
      <c r="Q1100" s="3">
        <v>0</v>
      </c>
      <c r="R1100" s="3">
        <v>0</v>
      </c>
    </row>
    <row r="1101" spans="1:18">
      <c r="A1101" s="3" t="s">
        <v>2800</v>
      </c>
      <c r="B1101" s="3" t="s">
        <v>576</v>
      </c>
      <c r="C1101" s="3" t="s">
        <v>576</v>
      </c>
      <c r="D1101" s="3"/>
      <c r="E1101" s="3" t="s">
        <v>20</v>
      </c>
      <c r="F1101" s="3"/>
      <c r="G1101" s="3"/>
      <c r="H1101" s="3"/>
      <c r="I1101" s="3"/>
      <c r="J1101" s="3">
        <v>1</v>
      </c>
      <c r="K1101" s="3">
        <v>1</v>
      </c>
      <c r="L1101" s="3">
        <v>0</v>
      </c>
      <c r="M1101" s="3">
        <v>0</v>
      </c>
      <c r="N1101" s="3">
        <v>1</v>
      </c>
      <c r="O1101" s="3"/>
      <c r="P1101" s="3">
        <v>0</v>
      </c>
      <c r="Q1101" s="3">
        <v>0</v>
      </c>
      <c r="R1101" s="3">
        <v>0</v>
      </c>
    </row>
    <row r="1102" spans="1:18">
      <c r="A1102" s="3" t="s">
        <v>2801</v>
      </c>
      <c r="B1102" s="3" t="s">
        <v>579</v>
      </c>
      <c r="C1102" s="3" t="s">
        <v>579</v>
      </c>
      <c r="D1102" s="3"/>
      <c r="E1102" s="3" t="s">
        <v>20</v>
      </c>
      <c r="F1102" s="3"/>
      <c r="G1102" s="3"/>
      <c r="H1102" s="3"/>
      <c r="I1102" s="3"/>
      <c r="J1102" s="3">
        <v>1</v>
      </c>
      <c r="K1102" s="3">
        <v>1</v>
      </c>
      <c r="L1102" s="3">
        <v>0</v>
      </c>
      <c r="M1102" s="3">
        <v>0</v>
      </c>
      <c r="N1102" s="3">
        <v>1</v>
      </c>
      <c r="O1102" s="3"/>
      <c r="P1102" s="3">
        <v>0</v>
      </c>
      <c r="Q1102" s="3">
        <v>0</v>
      </c>
      <c r="R1102" s="3">
        <v>0</v>
      </c>
    </row>
    <row r="1103" spans="1:18">
      <c r="A1103" s="3" t="s">
        <v>2802</v>
      </c>
      <c r="B1103" s="3" t="s">
        <v>581</v>
      </c>
      <c r="C1103" s="3" t="s">
        <v>581</v>
      </c>
      <c r="D1103" s="3"/>
      <c r="E1103" s="3" t="s">
        <v>20</v>
      </c>
      <c r="F1103" s="3"/>
      <c r="G1103" s="3"/>
      <c r="H1103" s="3"/>
      <c r="I1103" s="3"/>
      <c r="J1103" s="3">
        <v>2</v>
      </c>
      <c r="K1103" s="3">
        <v>2</v>
      </c>
      <c r="L1103" s="3">
        <v>0</v>
      </c>
      <c r="M1103" s="3">
        <v>0</v>
      </c>
      <c r="N1103" s="3">
        <v>2</v>
      </c>
      <c r="O1103" s="3"/>
      <c r="P1103" s="3">
        <v>0</v>
      </c>
      <c r="Q1103" s="3">
        <v>0</v>
      </c>
      <c r="R1103" s="3">
        <v>0</v>
      </c>
    </row>
    <row r="1104" spans="1:18">
      <c r="A1104" s="3" t="s">
        <v>2803</v>
      </c>
      <c r="B1104" s="3" t="s">
        <v>584</v>
      </c>
      <c r="C1104" s="3" t="s">
        <v>584</v>
      </c>
      <c r="D1104" s="3"/>
      <c r="E1104" s="3" t="s">
        <v>20</v>
      </c>
      <c r="F1104" s="3"/>
      <c r="G1104" s="3"/>
      <c r="H1104" s="3"/>
      <c r="I1104" s="3"/>
      <c r="J1104" s="3">
        <v>2</v>
      </c>
      <c r="K1104" s="3">
        <v>0</v>
      </c>
      <c r="L1104" s="3">
        <v>0</v>
      </c>
      <c r="M1104" s="3">
        <v>2</v>
      </c>
      <c r="N1104" s="3">
        <v>2</v>
      </c>
      <c r="O1104" s="3"/>
      <c r="P1104" s="3">
        <v>0</v>
      </c>
      <c r="Q1104" s="3">
        <v>0</v>
      </c>
      <c r="R1104" s="3">
        <v>0</v>
      </c>
    </row>
    <row r="1105" spans="1:18">
      <c r="A1105" s="3" t="s">
        <v>2804</v>
      </c>
      <c r="B1105" s="3" t="s">
        <v>2805</v>
      </c>
      <c r="C1105" s="3" t="s">
        <v>2805</v>
      </c>
      <c r="D1105" s="3" t="s">
        <v>1475</v>
      </c>
      <c r="E1105" s="3" t="s">
        <v>120</v>
      </c>
      <c r="F1105" s="3">
        <v>22.98</v>
      </c>
      <c r="G1105" s="3" t="s">
        <v>121</v>
      </c>
      <c r="H1105" s="3"/>
      <c r="I1105" s="3" t="s">
        <v>122</v>
      </c>
      <c r="J1105" s="3">
        <v>0</v>
      </c>
      <c r="K1105" s="3">
        <v>0</v>
      </c>
      <c r="L1105" s="3">
        <v>0</v>
      </c>
      <c r="M1105" s="3">
        <v>0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</row>
    <row r="1106" spans="1:18">
      <c r="A1106" s="3" t="s">
        <v>2806</v>
      </c>
      <c r="B1106" s="3" t="s">
        <v>2807</v>
      </c>
      <c r="C1106" s="3" t="s">
        <v>2808</v>
      </c>
      <c r="D1106" s="3" t="s">
        <v>1501</v>
      </c>
      <c r="E1106" s="3" t="s">
        <v>120</v>
      </c>
      <c r="F1106" s="3">
        <v>22.98</v>
      </c>
      <c r="G1106" s="3" t="s">
        <v>121</v>
      </c>
      <c r="H1106" s="3"/>
      <c r="I1106" s="3" t="s">
        <v>122</v>
      </c>
      <c r="J1106" s="3">
        <v>23</v>
      </c>
      <c r="K1106" s="3">
        <v>23</v>
      </c>
      <c r="L1106" s="3">
        <v>0</v>
      </c>
      <c r="M1106" s="3">
        <v>0</v>
      </c>
      <c r="N1106" s="3">
        <v>63</v>
      </c>
      <c r="O1106" s="3">
        <v>0.15</v>
      </c>
      <c r="P1106" s="3">
        <v>0</v>
      </c>
      <c r="Q1106" s="3">
        <v>40</v>
      </c>
      <c r="R1106" s="3">
        <v>0</v>
      </c>
    </row>
    <row r="1107" spans="1:18">
      <c r="A1107" s="3" t="s">
        <v>2809</v>
      </c>
      <c r="B1107" s="3" t="s">
        <v>70</v>
      </c>
      <c r="C1107" s="3" t="s">
        <v>70</v>
      </c>
      <c r="D1107" s="3" t="s">
        <v>2810</v>
      </c>
      <c r="E1107" s="3" t="s">
        <v>120</v>
      </c>
      <c r="F1107" s="3">
        <v>22.98</v>
      </c>
      <c r="G1107" s="3" t="s">
        <v>121</v>
      </c>
      <c r="H1107" s="3"/>
      <c r="I1107" s="3" t="s">
        <v>122</v>
      </c>
      <c r="J1107" s="3">
        <v>51</v>
      </c>
      <c r="K1107" s="3">
        <v>51</v>
      </c>
      <c r="L1107" s="3">
        <v>0</v>
      </c>
      <c r="M1107" s="3">
        <v>0</v>
      </c>
      <c r="N1107" s="3">
        <v>51</v>
      </c>
      <c r="O1107" s="3">
        <v>0.15</v>
      </c>
      <c r="P1107" s="3">
        <v>0</v>
      </c>
      <c r="Q1107" s="3">
        <v>0</v>
      </c>
      <c r="R1107" s="3">
        <v>0</v>
      </c>
    </row>
    <row r="1108" spans="1:18">
      <c r="A1108" s="3" t="s">
        <v>2811</v>
      </c>
      <c r="B1108" s="3" t="s">
        <v>2812</v>
      </c>
      <c r="C1108" s="3" t="s">
        <v>2812</v>
      </c>
      <c r="D1108" s="3" t="s">
        <v>2813</v>
      </c>
      <c r="E1108" s="3" t="s">
        <v>120</v>
      </c>
      <c r="F1108" s="3">
        <v>22.98</v>
      </c>
      <c r="G1108" s="3" t="s">
        <v>121</v>
      </c>
      <c r="H1108" s="3"/>
      <c r="I1108" s="3" t="s">
        <v>122</v>
      </c>
      <c r="J1108" s="3">
        <v>0</v>
      </c>
      <c r="K1108" s="3">
        <v>0</v>
      </c>
      <c r="L1108" s="3">
        <v>0</v>
      </c>
      <c r="M1108" s="3">
        <v>0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</row>
    <row r="1109" spans="1:18">
      <c r="A1109" s="3" t="s">
        <v>2814</v>
      </c>
      <c r="B1109" s="3" t="s">
        <v>2815</v>
      </c>
      <c r="C1109" s="3" t="s">
        <v>2815</v>
      </c>
      <c r="D1109" s="3" t="s">
        <v>2816</v>
      </c>
      <c r="E1109" s="3" t="s">
        <v>120</v>
      </c>
      <c r="F1109" s="3">
        <v>18.98</v>
      </c>
      <c r="G1109" s="3" t="s">
        <v>121</v>
      </c>
      <c r="H1109" s="3"/>
      <c r="I1109" s="3" t="s">
        <v>122</v>
      </c>
      <c r="J1109" s="3">
        <v>28</v>
      </c>
      <c r="K1109" s="3">
        <v>28</v>
      </c>
      <c r="L1109" s="3">
        <v>0</v>
      </c>
      <c r="M1109" s="3">
        <v>0</v>
      </c>
      <c r="N1109" s="3">
        <v>28</v>
      </c>
      <c r="O1109" s="3">
        <v>0.17</v>
      </c>
      <c r="P1109" s="3">
        <v>0</v>
      </c>
      <c r="Q1109" s="3">
        <v>0</v>
      </c>
      <c r="R1109" s="3">
        <v>0</v>
      </c>
    </row>
    <row r="1110" spans="1:18">
      <c r="A1110" s="3" t="s">
        <v>2817</v>
      </c>
      <c r="B1110" s="3" t="s">
        <v>2818</v>
      </c>
      <c r="C1110" s="3" t="s">
        <v>2818</v>
      </c>
      <c r="D1110" s="3" t="s">
        <v>2819</v>
      </c>
      <c r="E1110" s="3" t="s">
        <v>120</v>
      </c>
      <c r="F1110" s="3">
        <v>21.98</v>
      </c>
      <c r="G1110" s="3" t="s">
        <v>121</v>
      </c>
      <c r="H1110" s="3"/>
      <c r="I1110" s="3" t="s">
        <v>122</v>
      </c>
      <c r="J1110" s="3">
        <v>45</v>
      </c>
      <c r="K1110" s="3">
        <v>45</v>
      </c>
      <c r="L1110" s="3">
        <v>0</v>
      </c>
      <c r="M1110" s="3">
        <v>0</v>
      </c>
      <c r="N1110" s="3">
        <v>45</v>
      </c>
      <c r="O1110" s="3">
        <v>0.18</v>
      </c>
      <c r="P1110" s="3">
        <v>0</v>
      </c>
      <c r="Q1110" s="3">
        <v>0</v>
      </c>
      <c r="R1110" s="3">
        <v>0</v>
      </c>
    </row>
    <row r="1111" spans="1:18">
      <c r="A1111" s="3" t="s">
        <v>2820</v>
      </c>
      <c r="B1111" s="3" t="s">
        <v>2821</v>
      </c>
      <c r="C1111" s="3" t="s">
        <v>2821</v>
      </c>
      <c r="D1111" s="3" t="s">
        <v>2822</v>
      </c>
      <c r="E1111" s="3" t="s">
        <v>120</v>
      </c>
      <c r="F1111" s="3">
        <v>22.98</v>
      </c>
      <c r="G1111" s="3" t="s">
        <v>121</v>
      </c>
      <c r="H1111" s="3"/>
      <c r="I1111" s="3" t="s">
        <v>122</v>
      </c>
      <c r="J1111" s="3">
        <v>1</v>
      </c>
      <c r="K1111" s="3">
        <v>0</v>
      </c>
      <c r="L1111" s="3">
        <v>1</v>
      </c>
      <c r="M1111" s="3">
        <v>0</v>
      </c>
      <c r="N1111" s="3">
        <v>1</v>
      </c>
      <c r="O1111" s="3">
        <v>0.16</v>
      </c>
      <c r="P1111" s="3">
        <v>0</v>
      </c>
      <c r="Q1111" s="3">
        <v>0</v>
      </c>
      <c r="R1111" s="3">
        <v>0</v>
      </c>
    </row>
    <row r="1112" spans="1:18">
      <c r="A1112" s="3" t="s">
        <v>2823</v>
      </c>
      <c r="B1112" s="3" t="s">
        <v>2824</v>
      </c>
      <c r="C1112" s="3" t="s">
        <v>2824</v>
      </c>
      <c r="D1112" s="3" t="s">
        <v>2825</v>
      </c>
      <c r="E1112" s="3" t="s">
        <v>120</v>
      </c>
      <c r="F1112" s="3">
        <v>22.98</v>
      </c>
      <c r="G1112" s="3" t="s">
        <v>121</v>
      </c>
      <c r="H1112" s="3"/>
      <c r="I1112" s="3" t="s">
        <v>122</v>
      </c>
      <c r="J1112" s="3">
        <v>34</v>
      </c>
      <c r="K1112" s="3">
        <v>34</v>
      </c>
      <c r="L1112" s="3">
        <v>0</v>
      </c>
      <c r="M1112" s="3">
        <v>0</v>
      </c>
      <c r="N1112" s="3">
        <v>34</v>
      </c>
      <c r="O1112" s="3">
        <v>0.2</v>
      </c>
      <c r="P1112" s="3">
        <v>0</v>
      </c>
      <c r="Q1112" s="3">
        <v>0</v>
      </c>
      <c r="R1112" s="3">
        <v>0</v>
      </c>
    </row>
    <row r="1113" spans="1:18">
      <c r="A1113" s="3" t="s">
        <v>2826</v>
      </c>
      <c r="B1113" s="3" t="s">
        <v>2827</v>
      </c>
      <c r="C1113" s="3" t="s">
        <v>2827</v>
      </c>
      <c r="D1113" s="3" t="s">
        <v>2828</v>
      </c>
      <c r="E1113" s="3" t="s">
        <v>120</v>
      </c>
      <c r="F1113" s="3">
        <v>17.98</v>
      </c>
      <c r="G1113" s="3" t="s">
        <v>121</v>
      </c>
      <c r="H1113" s="3"/>
      <c r="I1113" s="3" t="s">
        <v>122</v>
      </c>
      <c r="J1113" s="3">
        <v>8</v>
      </c>
      <c r="K1113" s="3">
        <v>8</v>
      </c>
      <c r="L1113" s="3">
        <v>0</v>
      </c>
      <c r="M1113" s="3">
        <v>0</v>
      </c>
      <c r="N1113" s="3">
        <v>8</v>
      </c>
      <c r="O1113" s="3">
        <v>0.19</v>
      </c>
      <c r="P1113" s="3">
        <v>0</v>
      </c>
      <c r="Q1113" s="3">
        <v>0</v>
      </c>
      <c r="R1113" s="3">
        <v>0</v>
      </c>
    </row>
    <row r="1114" spans="1:18">
      <c r="A1114" s="3" t="s">
        <v>2829</v>
      </c>
      <c r="B1114" s="3" t="s">
        <v>2830</v>
      </c>
      <c r="C1114" s="3" t="s">
        <v>2830</v>
      </c>
      <c r="D1114" s="3" t="s">
        <v>2831</v>
      </c>
      <c r="E1114" s="3" t="s">
        <v>120</v>
      </c>
      <c r="F1114" s="3">
        <v>17.98</v>
      </c>
      <c r="G1114" s="3" t="s">
        <v>121</v>
      </c>
      <c r="H1114" s="3"/>
      <c r="I1114" s="3" t="s">
        <v>122</v>
      </c>
      <c r="J1114" s="3">
        <v>0</v>
      </c>
      <c r="K1114" s="3">
        <v>0</v>
      </c>
      <c r="L1114" s="3">
        <v>0</v>
      </c>
      <c r="M1114" s="3">
        <v>0</v>
      </c>
      <c r="N1114" s="3">
        <v>0</v>
      </c>
      <c r="O1114" s="3">
        <v>0.17</v>
      </c>
      <c r="P1114" s="3">
        <v>0</v>
      </c>
      <c r="Q1114" s="3">
        <v>0</v>
      </c>
      <c r="R1114" s="3">
        <v>0</v>
      </c>
    </row>
    <row r="1115" spans="1:18">
      <c r="A1115" s="3" t="s">
        <v>2832</v>
      </c>
      <c r="B1115" s="3" t="s">
        <v>2833</v>
      </c>
      <c r="C1115" s="3" t="s">
        <v>2833</v>
      </c>
      <c r="D1115" s="3" t="s">
        <v>1730</v>
      </c>
      <c r="E1115" s="3" t="s">
        <v>120</v>
      </c>
      <c r="F1115" s="3">
        <v>39.98</v>
      </c>
      <c r="G1115" s="3" t="s">
        <v>121</v>
      </c>
      <c r="H1115" s="3"/>
      <c r="I1115" s="3" t="s">
        <v>122</v>
      </c>
      <c r="J1115" s="3">
        <v>44</v>
      </c>
      <c r="K1115" s="3">
        <v>44</v>
      </c>
      <c r="L1115" s="3">
        <v>0</v>
      </c>
      <c r="M1115" s="3">
        <v>0</v>
      </c>
      <c r="N1115" s="3">
        <v>44</v>
      </c>
      <c r="O1115" s="3">
        <v>0.16</v>
      </c>
      <c r="P1115" s="3">
        <v>0</v>
      </c>
      <c r="Q1115" s="3">
        <v>0</v>
      </c>
      <c r="R1115" s="3">
        <v>0</v>
      </c>
    </row>
    <row r="1116" spans="1:18">
      <c r="A1116" s="3" t="s">
        <v>2834</v>
      </c>
      <c r="B1116" s="3" t="s">
        <v>2835</v>
      </c>
      <c r="C1116" s="3" t="s">
        <v>2835</v>
      </c>
      <c r="D1116" s="3" t="s">
        <v>1733</v>
      </c>
      <c r="E1116" s="3" t="s">
        <v>20</v>
      </c>
      <c r="F1116" s="3">
        <v>39.98</v>
      </c>
      <c r="G1116" s="3" t="s">
        <v>121</v>
      </c>
      <c r="H1116" s="3"/>
      <c r="I1116" s="3" t="s">
        <v>122</v>
      </c>
      <c r="J1116" s="3">
        <v>22</v>
      </c>
      <c r="K1116" s="3">
        <v>22</v>
      </c>
      <c r="L1116" s="3">
        <v>0</v>
      </c>
      <c r="M1116" s="3">
        <v>0</v>
      </c>
      <c r="N1116" s="3">
        <v>22</v>
      </c>
      <c r="O1116" s="3">
        <v>0.16</v>
      </c>
      <c r="P1116" s="3">
        <v>0</v>
      </c>
      <c r="Q1116" s="3">
        <v>0</v>
      </c>
      <c r="R1116" s="3">
        <v>0</v>
      </c>
    </row>
    <row r="1117" spans="1:18">
      <c r="A1117" s="3" t="s">
        <v>2836</v>
      </c>
      <c r="B1117" s="3" t="s">
        <v>2837</v>
      </c>
      <c r="C1117" s="3" t="s">
        <v>2837</v>
      </c>
      <c r="D1117" s="3" t="s">
        <v>1736</v>
      </c>
      <c r="E1117" s="3" t="s">
        <v>20</v>
      </c>
      <c r="F1117" s="3">
        <v>39.98</v>
      </c>
      <c r="G1117" s="3" t="s">
        <v>121</v>
      </c>
      <c r="H1117" s="3"/>
      <c r="I1117" s="3" t="s">
        <v>122</v>
      </c>
      <c r="J1117" s="3">
        <v>4</v>
      </c>
      <c r="K1117" s="3">
        <v>4</v>
      </c>
      <c r="L1117" s="3">
        <v>0</v>
      </c>
      <c r="M1117" s="3">
        <v>0</v>
      </c>
      <c r="N1117" s="3">
        <v>4</v>
      </c>
      <c r="O1117" s="3">
        <v>0.16</v>
      </c>
      <c r="P1117" s="3">
        <v>0</v>
      </c>
      <c r="Q1117" s="3">
        <v>0</v>
      </c>
      <c r="R1117" s="3">
        <v>0</v>
      </c>
    </row>
    <row r="1118" spans="1:18">
      <c r="A1118" s="3" t="s">
        <v>2838</v>
      </c>
      <c r="B1118" s="3" t="s">
        <v>1738</v>
      </c>
      <c r="C1118" s="3" t="s">
        <v>1738</v>
      </c>
      <c r="D1118" s="3" t="s">
        <v>1739</v>
      </c>
      <c r="E1118" s="3" t="s">
        <v>120</v>
      </c>
      <c r="F1118" s="3">
        <v>39.98</v>
      </c>
      <c r="G1118" s="3" t="s">
        <v>121</v>
      </c>
      <c r="H1118" s="3"/>
      <c r="I1118" s="3" t="s">
        <v>122</v>
      </c>
      <c r="J1118" s="3">
        <v>19</v>
      </c>
      <c r="K1118" s="3">
        <v>19</v>
      </c>
      <c r="L1118" s="3">
        <v>0</v>
      </c>
      <c r="M1118" s="3">
        <v>0</v>
      </c>
      <c r="N1118" s="3">
        <v>19</v>
      </c>
      <c r="O1118" s="3">
        <v>0.12</v>
      </c>
      <c r="P1118" s="3">
        <v>0</v>
      </c>
      <c r="Q1118" s="3">
        <v>0</v>
      </c>
      <c r="R1118" s="3">
        <v>0</v>
      </c>
    </row>
    <row r="1119" spans="1:18">
      <c r="A1119" s="3" t="s">
        <v>2839</v>
      </c>
      <c r="B1119" s="3" t="s">
        <v>2840</v>
      </c>
      <c r="C1119" s="3" t="s">
        <v>2840</v>
      </c>
      <c r="D1119" s="3" t="s">
        <v>2841</v>
      </c>
      <c r="E1119" s="3" t="s">
        <v>20</v>
      </c>
      <c r="F1119" s="3">
        <v>39.98</v>
      </c>
      <c r="G1119" s="3" t="s">
        <v>121</v>
      </c>
      <c r="H1119" s="3"/>
      <c r="I1119" s="3" t="s">
        <v>122</v>
      </c>
      <c r="J1119" s="3">
        <v>10</v>
      </c>
      <c r="K1119" s="3">
        <v>10</v>
      </c>
      <c r="L1119" s="3">
        <v>0</v>
      </c>
      <c r="M1119" s="3">
        <v>0</v>
      </c>
      <c r="N1119" s="3">
        <v>10</v>
      </c>
      <c r="O1119" s="3">
        <v>0.16</v>
      </c>
      <c r="P1119" s="3">
        <v>0</v>
      </c>
      <c r="Q1119" s="3">
        <v>0</v>
      </c>
      <c r="R1119" s="3">
        <v>0</v>
      </c>
    </row>
    <row r="1120" spans="1:18">
      <c r="A1120" s="3" t="s">
        <v>2842</v>
      </c>
      <c r="B1120" s="3" t="s">
        <v>2843</v>
      </c>
      <c r="C1120" s="3" t="s">
        <v>2843</v>
      </c>
      <c r="D1120" s="3" t="s">
        <v>2844</v>
      </c>
      <c r="E1120" s="3" t="s">
        <v>120</v>
      </c>
      <c r="F1120" s="3">
        <v>39.98</v>
      </c>
      <c r="G1120" s="3" t="s">
        <v>121</v>
      </c>
      <c r="H1120" s="3"/>
      <c r="I1120" s="3" t="s">
        <v>122</v>
      </c>
      <c r="J1120" s="3">
        <v>18</v>
      </c>
      <c r="K1120" s="3">
        <v>18</v>
      </c>
      <c r="L1120" s="3">
        <v>0</v>
      </c>
      <c r="M1120" s="3">
        <v>0</v>
      </c>
      <c r="N1120" s="3">
        <v>18</v>
      </c>
      <c r="O1120" s="3">
        <v>0.16</v>
      </c>
      <c r="P1120" s="3">
        <v>0</v>
      </c>
      <c r="Q1120" s="3">
        <v>0</v>
      </c>
      <c r="R1120" s="3">
        <v>0</v>
      </c>
    </row>
    <row r="1121" spans="1:18">
      <c r="A1121" s="3" t="s">
        <v>2845</v>
      </c>
      <c r="B1121" s="3" t="s">
        <v>2846</v>
      </c>
      <c r="C1121" s="3" t="s">
        <v>2846</v>
      </c>
      <c r="D1121" s="3" t="s">
        <v>1747</v>
      </c>
      <c r="E1121" s="3" t="s">
        <v>120</v>
      </c>
      <c r="F1121" s="3">
        <v>24.98</v>
      </c>
      <c r="G1121" s="3" t="s">
        <v>121</v>
      </c>
      <c r="H1121" s="3"/>
      <c r="I1121" s="3" t="s">
        <v>122</v>
      </c>
      <c r="J1121" s="3">
        <v>20</v>
      </c>
      <c r="K1121" s="3">
        <v>20</v>
      </c>
      <c r="L1121" s="3">
        <v>0</v>
      </c>
      <c r="M1121" s="3">
        <v>0</v>
      </c>
      <c r="N1121" s="3">
        <v>20</v>
      </c>
      <c r="O1121" s="3">
        <v>0.16</v>
      </c>
      <c r="P1121" s="3">
        <v>0</v>
      </c>
      <c r="Q1121" s="3">
        <v>0</v>
      </c>
      <c r="R1121" s="3">
        <v>0</v>
      </c>
    </row>
    <row r="1122" spans="1:18">
      <c r="A1122" s="3" t="s">
        <v>2847</v>
      </c>
      <c r="B1122" s="3" t="s">
        <v>2848</v>
      </c>
      <c r="C1122" s="3" t="s">
        <v>2848</v>
      </c>
      <c r="D1122" s="3" t="s">
        <v>1753</v>
      </c>
      <c r="E1122" s="3" t="s">
        <v>120</v>
      </c>
      <c r="F1122" s="3">
        <v>24.98</v>
      </c>
      <c r="G1122" s="3" t="s">
        <v>121</v>
      </c>
      <c r="H1122" s="3"/>
      <c r="I1122" s="3" t="s">
        <v>122</v>
      </c>
      <c r="J1122" s="3">
        <v>17</v>
      </c>
      <c r="K1122" s="3">
        <v>17</v>
      </c>
      <c r="L1122" s="3">
        <v>0</v>
      </c>
      <c r="M1122" s="3">
        <v>0</v>
      </c>
      <c r="N1122" s="3">
        <v>17</v>
      </c>
      <c r="O1122" s="3">
        <v>0.16</v>
      </c>
      <c r="P1122" s="3">
        <v>0</v>
      </c>
      <c r="Q1122" s="3">
        <v>0</v>
      </c>
      <c r="R1122" s="3">
        <v>0</v>
      </c>
    </row>
    <row r="1123" spans="1:18">
      <c r="A1123" s="3" t="s">
        <v>2849</v>
      </c>
      <c r="B1123" s="3" t="s">
        <v>2850</v>
      </c>
      <c r="C1123" s="3" t="s">
        <v>2850</v>
      </c>
      <c r="D1123" s="3" t="s">
        <v>2851</v>
      </c>
      <c r="E1123" s="3" t="s">
        <v>120</v>
      </c>
      <c r="F1123" s="3">
        <v>39.98</v>
      </c>
      <c r="G1123" s="3" t="s">
        <v>121</v>
      </c>
      <c r="H1123" s="3"/>
      <c r="I1123" s="3" t="s">
        <v>122</v>
      </c>
      <c r="J1123" s="3">
        <v>12</v>
      </c>
      <c r="K1123" s="3">
        <v>12</v>
      </c>
      <c r="L1123" s="3">
        <v>0</v>
      </c>
      <c r="M1123" s="3">
        <v>0</v>
      </c>
      <c r="N1123" s="3">
        <v>12</v>
      </c>
      <c r="O1123" s="3">
        <v>0.16</v>
      </c>
      <c r="P1123" s="3">
        <v>0</v>
      </c>
      <c r="Q1123" s="3">
        <v>0</v>
      </c>
      <c r="R1123" s="3">
        <v>0</v>
      </c>
    </row>
    <row r="1124" spans="1:18">
      <c r="A1124" s="3" t="s">
        <v>2852</v>
      </c>
      <c r="B1124" s="3" t="s">
        <v>1759</v>
      </c>
      <c r="C1124" s="3" t="s">
        <v>1759</v>
      </c>
      <c r="D1124" s="3" t="s">
        <v>1760</v>
      </c>
      <c r="E1124" s="3" t="s">
        <v>20</v>
      </c>
      <c r="F1124" s="3">
        <v>39.98</v>
      </c>
      <c r="G1124" s="3" t="s">
        <v>121</v>
      </c>
      <c r="H1124" s="3"/>
      <c r="I1124" s="3" t="s">
        <v>122</v>
      </c>
      <c r="J1124" s="3">
        <v>11</v>
      </c>
      <c r="K1124" s="3">
        <v>11</v>
      </c>
      <c r="L1124" s="3">
        <v>0</v>
      </c>
      <c r="M1124" s="3">
        <v>0</v>
      </c>
      <c r="N1124" s="3">
        <v>11</v>
      </c>
      <c r="O1124" s="3">
        <v>0</v>
      </c>
      <c r="P1124" s="3">
        <v>0</v>
      </c>
      <c r="Q1124" s="3">
        <v>0</v>
      </c>
      <c r="R1124" s="3">
        <v>0</v>
      </c>
    </row>
    <row r="1125" spans="1:18">
      <c r="A1125" s="3" t="s">
        <v>2853</v>
      </c>
      <c r="B1125" s="3" t="s">
        <v>2854</v>
      </c>
      <c r="C1125" s="3" t="s">
        <v>2854</v>
      </c>
      <c r="D1125" s="3" t="s">
        <v>1766</v>
      </c>
      <c r="E1125" s="3" t="s">
        <v>120</v>
      </c>
      <c r="F1125" s="3">
        <v>25.98</v>
      </c>
      <c r="G1125" s="3" t="s">
        <v>121</v>
      </c>
      <c r="H1125" s="3"/>
      <c r="I1125" s="3" t="s">
        <v>122</v>
      </c>
      <c r="J1125" s="3">
        <v>12</v>
      </c>
      <c r="K1125" s="3">
        <v>12</v>
      </c>
      <c r="L1125" s="3">
        <v>0</v>
      </c>
      <c r="M1125" s="3">
        <v>0</v>
      </c>
      <c r="N1125" s="3">
        <v>12</v>
      </c>
      <c r="O1125" s="3">
        <v>0.16</v>
      </c>
      <c r="P1125" s="3">
        <v>0</v>
      </c>
      <c r="Q1125" s="3">
        <v>0</v>
      </c>
      <c r="R1125" s="3">
        <v>0</v>
      </c>
    </row>
    <row r="1126" spans="1:18">
      <c r="A1126" s="3" t="s">
        <v>2855</v>
      </c>
      <c r="B1126" s="3" t="s">
        <v>2856</v>
      </c>
      <c r="C1126" s="3" t="s">
        <v>2856</v>
      </c>
      <c r="D1126" s="3" t="s">
        <v>1769</v>
      </c>
      <c r="E1126" s="3" t="s">
        <v>20</v>
      </c>
      <c r="F1126" s="3">
        <v>39.98</v>
      </c>
      <c r="G1126" s="3" t="s">
        <v>121</v>
      </c>
      <c r="H1126" s="3"/>
      <c r="I1126" s="3" t="s">
        <v>122</v>
      </c>
      <c r="J1126" s="3">
        <v>31</v>
      </c>
      <c r="K1126" s="3">
        <v>31</v>
      </c>
      <c r="L1126" s="3">
        <v>0</v>
      </c>
      <c r="M1126" s="3">
        <v>0</v>
      </c>
      <c r="N1126" s="3">
        <v>31</v>
      </c>
      <c r="O1126" s="3">
        <v>0.17</v>
      </c>
      <c r="P1126" s="3">
        <v>0</v>
      </c>
      <c r="Q1126" s="3">
        <v>0</v>
      </c>
      <c r="R1126" s="3">
        <v>0</v>
      </c>
    </row>
    <row r="1127" spans="1:18">
      <c r="A1127" s="3" t="s">
        <v>2857</v>
      </c>
      <c r="B1127" s="3" t="s">
        <v>1771</v>
      </c>
      <c r="C1127" s="3" t="s">
        <v>1771</v>
      </c>
      <c r="D1127" s="3" t="s">
        <v>1772</v>
      </c>
      <c r="E1127" s="3" t="s">
        <v>120</v>
      </c>
      <c r="F1127" s="3">
        <v>39.98</v>
      </c>
      <c r="G1127" s="3" t="s">
        <v>121</v>
      </c>
      <c r="H1127" s="3"/>
      <c r="I1127" s="3" t="s">
        <v>122</v>
      </c>
      <c r="J1127" s="3">
        <v>28</v>
      </c>
      <c r="K1127" s="3">
        <v>28</v>
      </c>
      <c r="L1127" s="3">
        <v>0</v>
      </c>
      <c r="M1127" s="3">
        <v>0</v>
      </c>
      <c r="N1127" s="3">
        <v>28</v>
      </c>
      <c r="O1127" s="3">
        <v>0.12</v>
      </c>
      <c r="P1127" s="3">
        <v>0</v>
      </c>
      <c r="Q1127" s="3">
        <v>0</v>
      </c>
      <c r="R1127" s="3">
        <v>0</v>
      </c>
    </row>
    <row r="1128" spans="1:18">
      <c r="A1128" s="3" t="s">
        <v>2858</v>
      </c>
      <c r="B1128" s="3" t="s">
        <v>2859</v>
      </c>
      <c r="C1128" s="3" t="s">
        <v>2859</v>
      </c>
      <c r="D1128" s="3" t="s">
        <v>2860</v>
      </c>
      <c r="E1128" s="3" t="s">
        <v>120</v>
      </c>
      <c r="F1128" s="3">
        <v>39.98</v>
      </c>
      <c r="G1128" s="3" t="s">
        <v>121</v>
      </c>
      <c r="H1128" s="3"/>
      <c r="I1128" s="3" t="s">
        <v>122</v>
      </c>
      <c r="J1128" s="3">
        <v>14</v>
      </c>
      <c r="K1128" s="3">
        <v>14</v>
      </c>
      <c r="L1128" s="3">
        <v>0</v>
      </c>
      <c r="M1128" s="3">
        <v>0</v>
      </c>
      <c r="N1128" s="3">
        <v>14</v>
      </c>
      <c r="O1128" s="3">
        <v>0.12</v>
      </c>
      <c r="P1128" s="3">
        <v>0</v>
      </c>
      <c r="Q1128" s="3">
        <v>0</v>
      </c>
      <c r="R1128" s="3">
        <v>0</v>
      </c>
    </row>
    <row r="1129" spans="1:18">
      <c r="A1129" s="3" t="s">
        <v>2861</v>
      </c>
      <c r="B1129" s="3" t="s">
        <v>2862</v>
      </c>
      <c r="C1129" s="3" t="s">
        <v>2862</v>
      </c>
      <c r="D1129" s="3" t="s">
        <v>2863</v>
      </c>
      <c r="E1129" s="3" t="s">
        <v>120</v>
      </c>
      <c r="F1129" s="3">
        <v>39.98</v>
      </c>
      <c r="G1129" s="3" t="s">
        <v>121</v>
      </c>
      <c r="H1129" s="3"/>
      <c r="I1129" s="3" t="s">
        <v>122</v>
      </c>
      <c r="J1129" s="3">
        <v>5</v>
      </c>
      <c r="K1129" s="3">
        <v>5</v>
      </c>
      <c r="L1129" s="3">
        <v>0</v>
      </c>
      <c r="M1129" s="3">
        <v>0</v>
      </c>
      <c r="N1129" s="3">
        <v>5</v>
      </c>
      <c r="O1129" s="3">
        <v>0.16</v>
      </c>
      <c r="P1129" s="3">
        <v>0</v>
      </c>
      <c r="Q1129" s="3">
        <v>0</v>
      </c>
      <c r="R1129" s="3">
        <v>0</v>
      </c>
    </row>
    <row r="1130" spans="1:18">
      <c r="A1130" s="3" t="s">
        <v>2864</v>
      </c>
      <c r="B1130" s="3" t="s">
        <v>2865</v>
      </c>
      <c r="C1130" s="3" t="s">
        <v>2865</v>
      </c>
      <c r="D1130" s="3" t="s">
        <v>2866</v>
      </c>
      <c r="E1130" s="3" t="s">
        <v>120</v>
      </c>
      <c r="F1130" s="3">
        <v>39.98</v>
      </c>
      <c r="G1130" s="3" t="s">
        <v>121</v>
      </c>
      <c r="H1130" s="3"/>
      <c r="I1130" s="3" t="s">
        <v>122</v>
      </c>
      <c r="J1130" s="3">
        <v>27</v>
      </c>
      <c r="K1130" s="3">
        <v>27</v>
      </c>
      <c r="L1130" s="3">
        <v>0</v>
      </c>
      <c r="M1130" s="3">
        <v>0</v>
      </c>
      <c r="N1130" s="3">
        <v>27</v>
      </c>
      <c r="O1130" s="3">
        <v>0.16</v>
      </c>
      <c r="P1130" s="3">
        <v>0</v>
      </c>
      <c r="Q1130" s="3">
        <v>0</v>
      </c>
      <c r="R1130" s="3">
        <v>0</v>
      </c>
    </row>
    <row r="1131" spans="1:18">
      <c r="A1131" s="3" t="s">
        <v>2867</v>
      </c>
      <c r="B1131" s="3" t="s">
        <v>2868</v>
      </c>
      <c r="C1131" s="3" t="s">
        <v>2868</v>
      </c>
      <c r="D1131" s="3" t="s">
        <v>1779</v>
      </c>
      <c r="E1131" s="3" t="s">
        <v>20</v>
      </c>
      <c r="F1131" s="3">
        <v>39.98</v>
      </c>
      <c r="G1131" s="3" t="s">
        <v>121</v>
      </c>
      <c r="H1131" s="3"/>
      <c r="I1131" s="3" t="s">
        <v>122</v>
      </c>
      <c r="J1131" s="3">
        <v>9</v>
      </c>
      <c r="K1131" s="3">
        <v>9</v>
      </c>
      <c r="L1131" s="3">
        <v>0</v>
      </c>
      <c r="M1131" s="3">
        <v>0</v>
      </c>
      <c r="N1131" s="3">
        <v>9</v>
      </c>
      <c r="O1131" s="3">
        <v>0.16</v>
      </c>
      <c r="P1131" s="3">
        <v>0</v>
      </c>
      <c r="Q1131" s="3">
        <v>0</v>
      </c>
      <c r="R1131" s="3">
        <v>0</v>
      </c>
    </row>
    <row r="1132" spans="1:18">
      <c r="A1132" s="3" t="s">
        <v>2869</v>
      </c>
      <c r="B1132" s="3" t="s">
        <v>2870</v>
      </c>
      <c r="C1132" s="3" t="s">
        <v>2870</v>
      </c>
      <c r="D1132" s="3" t="s">
        <v>2871</v>
      </c>
      <c r="E1132" s="3" t="s">
        <v>120</v>
      </c>
      <c r="F1132" s="3">
        <v>39.98</v>
      </c>
      <c r="G1132" s="3" t="s">
        <v>121</v>
      </c>
      <c r="H1132" s="3"/>
      <c r="I1132" s="3" t="s">
        <v>122</v>
      </c>
      <c r="J1132" s="3">
        <v>1</v>
      </c>
      <c r="K1132" s="3">
        <v>1</v>
      </c>
      <c r="L1132" s="3">
        <v>0</v>
      </c>
      <c r="M1132" s="3">
        <v>0</v>
      </c>
      <c r="N1132" s="3">
        <v>1</v>
      </c>
      <c r="O1132" s="3">
        <v>0.16</v>
      </c>
      <c r="P1132" s="3">
        <v>0</v>
      </c>
      <c r="Q1132" s="3">
        <v>0</v>
      </c>
      <c r="R1132" s="3">
        <v>0</v>
      </c>
    </row>
    <row r="1133" spans="1:18">
      <c r="A1133" s="3" t="s">
        <v>2872</v>
      </c>
      <c r="B1133" s="3" t="s">
        <v>1781</v>
      </c>
      <c r="C1133" s="3" t="s">
        <v>1781</v>
      </c>
      <c r="D1133" s="3" t="s">
        <v>2873</v>
      </c>
      <c r="E1133" s="3" t="s">
        <v>120</v>
      </c>
      <c r="F1133" s="3">
        <v>39.98</v>
      </c>
      <c r="G1133" s="3" t="s">
        <v>121</v>
      </c>
      <c r="H1133" s="3"/>
      <c r="I1133" s="3" t="s">
        <v>122</v>
      </c>
      <c r="J1133" s="3">
        <v>22</v>
      </c>
      <c r="K1133" s="3">
        <v>22</v>
      </c>
      <c r="L1133" s="3">
        <v>0</v>
      </c>
      <c r="M1133" s="3">
        <v>0</v>
      </c>
      <c r="N1133" s="3">
        <v>22</v>
      </c>
      <c r="O1133" s="3">
        <v>0.12</v>
      </c>
      <c r="P1133" s="3">
        <v>0</v>
      </c>
      <c r="Q1133" s="3">
        <v>0</v>
      </c>
      <c r="R1133" s="3">
        <v>0</v>
      </c>
    </row>
    <row r="1134" spans="1:18">
      <c r="A1134" s="3" t="s">
        <v>2874</v>
      </c>
      <c r="B1134" s="3" t="s">
        <v>1783</v>
      </c>
      <c r="C1134" s="3" t="s">
        <v>1783</v>
      </c>
      <c r="D1134" s="3" t="s">
        <v>1784</v>
      </c>
      <c r="E1134" s="3" t="s">
        <v>20</v>
      </c>
      <c r="F1134" s="3">
        <v>39.98</v>
      </c>
      <c r="G1134" s="3" t="s">
        <v>121</v>
      </c>
      <c r="H1134" s="3"/>
      <c r="I1134" s="3" t="s">
        <v>122</v>
      </c>
      <c r="J1134" s="3">
        <v>6</v>
      </c>
      <c r="K1134" s="3">
        <v>6</v>
      </c>
      <c r="L1134" s="3">
        <v>0</v>
      </c>
      <c r="M1134" s="3">
        <v>0</v>
      </c>
      <c r="N1134" s="3">
        <v>6</v>
      </c>
      <c r="O1134" s="3">
        <v>0.12</v>
      </c>
      <c r="P1134" s="3">
        <v>0</v>
      </c>
      <c r="Q1134" s="3">
        <v>0</v>
      </c>
      <c r="R1134" s="3">
        <v>0</v>
      </c>
    </row>
    <row r="1135" spans="1:18">
      <c r="A1135" s="3" t="s">
        <v>2875</v>
      </c>
      <c r="B1135" s="3" t="s">
        <v>1786</v>
      </c>
      <c r="C1135" s="3" t="s">
        <v>1786</v>
      </c>
      <c r="D1135" s="3" t="s">
        <v>1787</v>
      </c>
      <c r="E1135" s="3" t="s">
        <v>120</v>
      </c>
      <c r="F1135" s="3">
        <v>39.98</v>
      </c>
      <c r="G1135" s="3" t="s">
        <v>121</v>
      </c>
      <c r="H1135" s="3"/>
      <c r="I1135" s="3" t="s">
        <v>122</v>
      </c>
      <c r="J1135" s="3">
        <v>5</v>
      </c>
      <c r="K1135" s="3">
        <v>5</v>
      </c>
      <c r="L1135" s="3">
        <v>0</v>
      </c>
      <c r="M1135" s="3">
        <v>0</v>
      </c>
      <c r="N1135" s="3">
        <v>5</v>
      </c>
      <c r="O1135" s="3">
        <v>0.12</v>
      </c>
      <c r="P1135" s="3">
        <v>0</v>
      </c>
      <c r="Q1135" s="3">
        <v>0</v>
      </c>
      <c r="R1135" s="3">
        <v>0</v>
      </c>
    </row>
    <row r="1136" spans="1:18">
      <c r="A1136" s="3" t="s">
        <v>2876</v>
      </c>
      <c r="B1136" s="3" t="s">
        <v>1789</v>
      </c>
      <c r="C1136" s="3" t="s">
        <v>1789</v>
      </c>
      <c r="D1136" s="3" t="s">
        <v>1790</v>
      </c>
      <c r="E1136" s="3" t="s">
        <v>120</v>
      </c>
      <c r="F1136" s="3">
        <v>39.98</v>
      </c>
      <c r="G1136" s="3" t="s">
        <v>121</v>
      </c>
      <c r="H1136" s="3"/>
      <c r="I1136" s="3" t="s">
        <v>122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0.05</v>
      </c>
      <c r="P1136" s="3">
        <v>0</v>
      </c>
      <c r="Q1136" s="3">
        <v>0</v>
      </c>
      <c r="R1136" s="3">
        <v>0</v>
      </c>
    </row>
    <row r="1137" spans="1:18">
      <c r="A1137" s="3" t="s">
        <v>2877</v>
      </c>
      <c r="B1137" s="3" t="s">
        <v>1792</v>
      </c>
      <c r="C1137" s="3" t="s">
        <v>1792</v>
      </c>
      <c r="D1137" s="3" t="s">
        <v>1793</v>
      </c>
      <c r="E1137" s="3" t="s">
        <v>120</v>
      </c>
      <c r="F1137" s="3">
        <v>39.98</v>
      </c>
      <c r="G1137" s="3" t="s">
        <v>121</v>
      </c>
      <c r="H1137" s="3"/>
      <c r="I1137" s="3" t="s">
        <v>122</v>
      </c>
      <c r="J1137" s="3">
        <v>9</v>
      </c>
      <c r="K1137" s="3">
        <v>9</v>
      </c>
      <c r="L1137" s="3">
        <v>0</v>
      </c>
      <c r="M1137" s="3">
        <v>0</v>
      </c>
      <c r="N1137" s="3">
        <v>9</v>
      </c>
      <c r="O1137" s="3">
        <v>0.12</v>
      </c>
      <c r="P1137" s="3">
        <v>0</v>
      </c>
      <c r="Q1137" s="3">
        <v>0</v>
      </c>
      <c r="R1137" s="3">
        <v>0</v>
      </c>
    </row>
    <row r="1138" spans="1:18">
      <c r="A1138" s="3" t="s">
        <v>2878</v>
      </c>
      <c r="B1138" s="3" t="s">
        <v>2879</v>
      </c>
      <c r="C1138" s="3" t="s">
        <v>2879</v>
      </c>
      <c r="D1138" s="3" t="s">
        <v>1796</v>
      </c>
      <c r="E1138" s="3" t="s">
        <v>120</v>
      </c>
      <c r="F1138" s="3">
        <v>39.98</v>
      </c>
      <c r="G1138" s="3" t="s">
        <v>121</v>
      </c>
      <c r="H1138" s="3"/>
      <c r="I1138" s="3" t="s">
        <v>122</v>
      </c>
      <c r="J1138" s="3">
        <v>18</v>
      </c>
      <c r="K1138" s="3">
        <v>18</v>
      </c>
      <c r="L1138" s="3">
        <v>0</v>
      </c>
      <c r="M1138" s="3">
        <v>0</v>
      </c>
      <c r="N1138" s="3">
        <v>18</v>
      </c>
      <c r="O1138" s="3">
        <v>0.09</v>
      </c>
      <c r="P1138" s="3">
        <v>0</v>
      </c>
      <c r="Q1138" s="3">
        <v>0</v>
      </c>
      <c r="R1138" s="3">
        <v>0</v>
      </c>
    </row>
    <row r="1139" spans="1:18">
      <c r="A1139" s="3" t="s">
        <v>2880</v>
      </c>
      <c r="B1139" s="3" t="s">
        <v>2881</v>
      </c>
      <c r="C1139" s="3" t="s">
        <v>2881</v>
      </c>
      <c r="D1139" s="3" t="s">
        <v>2882</v>
      </c>
      <c r="E1139" s="3" t="s">
        <v>120</v>
      </c>
      <c r="F1139" s="3">
        <v>39.98</v>
      </c>
      <c r="G1139" s="3" t="s">
        <v>121</v>
      </c>
      <c r="H1139" s="3"/>
      <c r="I1139" s="3" t="s">
        <v>122</v>
      </c>
      <c r="J1139" s="3">
        <v>0</v>
      </c>
      <c r="K1139" s="3">
        <v>0</v>
      </c>
      <c r="L1139" s="3">
        <v>0</v>
      </c>
      <c r="M1139" s="3">
        <v>0</v>
      </c>
      <c r="N1139" s="3">
        <v>0</v>
      </c>
      <c r="O1139" s="3">
        <v>0.16</v>
      </c>
      <c r="P1139" s="3">
        <v>0</v>
      </c>
      <c r="Q1139" s="3">
        <v>0</v>
      </c>
      <c r="R1139" s="3">
        <v>0</v>
      </c>
    </row>
    <row r="1140" spans="1:18">
      <c r="A1140" s="3" t="s">
        <v>2883</v>
      </c>
      <c r="B1140" s="3" t="s">
        <v>2884</v>
      </c>
      <c r="C1140" s="3" t="s">
        <v>2884</v>
      </c>
      <c r="D1140" s="3" t="s">
        <v>2885</v>
      </c>
      <c r="E1140" s="3" t="s">
        <v>120</v>
      </c>
      <c r="F1140" s="3">
        <v>39.98</v>
      </c>
      <c r="G1140" s="3" t="s">
        <v>121</v>
      </c>
      <c r="H1140" s="3"/>
      <c r="I1140" s="3" t="s">
        <v>122</v>
      </c>
      <c r="J1140" s="3">
        <v>1</v>
      </c>
      <c r="K1140" s="3">
        <v>1</v>
      </c>
      <c r="L1140" s="3">
        <v>0</v>
      </c>
      <c r="M1140" s="3">
        <v>0</v>
      </c>
      <c r="N1140" s="3">
        <v>1</v>
      </c>
      <c r="O1140" s="3">
        <v>0.16</v>
      </c>
      <c r="P1140" s="3">
        <v>0</v>
      </c>
      <c r="Q1140" s="3">
        <v>0</v>
      </c>
      <c r="R1140" s="3">
        <v>0</v>
      </c>
    </row>
    <row r="1141" spans="1:18">
      <c r="A1141" s="3" t="s">
        <v>2886</v>
      </c>
      <c r="B1141" s="3" t="s">
        <v>2887</v>
      </c>
      <c r="C1141" s="3" t="s">
        <v>2887</v>
      </c>
      <c r="D1141" s="3" t="s">
        <v>2888</v>
      </c>
      <c r="E1141" s="3" t="s">
        <v>120</v>
      </c>
      <c r="F1141" s="3">
        <v>39.98</v>
      </c>
      <c r="G1141" s="3" t="s">
        <v>121</v>
      </c>
      <c r="H1141" s="3"/>
      <c r="I1141" s="3" t="s">
        <v>122</v>
      </c>
      <c r="J1141" s="3">
        <v>2</v>
      </c>
      <c r="K1141" s="3">
        <v>2</v>
      </c>
      <c r="L1141" s="3">
        <v>0</v>
      </c>
      <c r="M1141" s="3">
        <v>0</v>
      </c>
      <c r="N1141" s="3">
        <v>2</v>
      </c>
      <c r="O1141" s="3">
        <v>0.16</v>
      </c>
      <c r="P1141" s="3">
        <v>0</v>
      </c>
      <c r="Q1141" s="3">
        <v>0</v>
      </c>
      <c r="R1141" s="3">
        <v>0</v>
      </c>
    </row>
    <row r="1142" spans="1:18">
      <c r="A1142" s="3" t="s">
        <v>2889</v>
      </c>
      <c r="B1142" s="3" t="s">
        <v>2890</v>
      </c>
      <c r="C1142" s="3" t="s">
        <v>2890</v>
      </c>
      <c r="D1142" s="3" t="s">
        <v>2891</v>
      </c>
      <c r="E1142" s="3" t="s">
        <v>120</v>
      </c>
      <c r="F1142" s="3">
        <v>39.98</v>
      </c>
      <c r="G1142" s="3" t="s">
        <v>121</v>
      </c>
      <c r="H1142" s="3"/>
      <c r="I1142" s="3" t="s">
        <v>122</v>
      </c>
      <c r="J1142" s="3">
        <v>23</v>
      </c>
      <c r="K1142" s="3">
        <v>23</v>
      </c>
      <c r="L1142" s="3">
        <v>0</v>
      </c>
      <c r="M1142" s="3">
        <v>0</v>
      </c>
      <c r="N1142" s="3">
        <v>23</v>
      </c>
      <c r="O1142" s="3">
        <v>0.16</v>
      </c>
      <c r="P1142" s="3">
        <v>0</v>
      </c>
      <c r="Q1142" s="3">
        <v>0</v>
      </c>
      <c r="R1142" s="3">
        <v>0</v>
      </c>
    </row>
    <row r="1143" spans="1:18">
      <c r="A1143" s="3" t="s">
        <v>2892</v>
      </c>
      <c r="B1143" s="3" t="s">
        <v>2893</v>
      </c>
      <c r="C1143" s="3" t="s">
        <v>2893</v>
      </c>
      <c r="D1143" s="3" t="s">
        <v>1805</v>
      </c>
      <c r="E1143" s="3" t="s">
        <v>120</v>
      </c>
      <c r="F1143" s="3">
        <v>39.98</v>
      </c>
      <c r="G1143" s="3" t="s">
        <v>121</v>
      </c>
      <c r="H1143" s="3"/>
      <c r="I1143" s="3" t="s">
        <v>122</v>
      </c>
      <c r="J1143" s="3">
        <v>20</v>
      </c>
      <c r="K1143" s="3">
        <v>20</v>
      </c>
      <c r="L1143" s="3">
        <v>0</v>
      </c>
      <c r="M1143" s="3">
        <v>0</v>
      </c>
      <c r="N1143" s="3">
        <v>20</v>
      </c>
      <c r="O1143" s="3">
        <v>0.16</v>
      </c>
      <c r="P1143" s="3">
        <v>0</v>
      </c>
      <c r="Q1143" s="3">
        <v>0</v>
      </c>
      <c r="R1143" s="3">
        <v>0</v>
      </c>
    </row>
    <row r="1144" spans="1:18">
      <c r="A1144" s="3" t="s">
        <v>2894</v>
      </c>
      <c r="B1144" s="3" t="s">
        <v>2895</v>
      </c>
      <c r="C1144" s="3" t="s">
        <v>2895</v>
      </c>
      <c r="D1144" s="3" t="s">
        <v>1814</v>
      </c>
      <c r="E1144" s="3" t="s">
        <v>120</v>
      </c>
      <c r="F1144" s="3">
        <v>24.98</v>
      </c>
      <c r="G1144" s="3" t="s">
        <v>121</v>
      </c>
      <c r="H1144" s="3"/>
      <c r="I1144" s="3" t="s">
        <v>122</v>
      </c>
      <c r="J1144" s="3">
        <v>31</v>
      </c>
      <c r="K1144" s="3">
        <v>31</v>
      </c>
      <c r="L1144" s="3">
        <v>0</v>
      </c>
      <c r="M1144" s="3">
        <v>0</v>
      </c>
      <c r="N1144" s="3">
        <v>31</v>
      </c>
      <c r="O1144" s="3">
        <v>0.16</v>
      </c>
      <c r="P1144" s="3">
        <v>0</v>
      </c>
      <c r="Q1144" s="3">
        <v>0</v>
      </c>
      <c r="R1144" s="3">
        <v>0</v>
      </c>
    </row>
    <row r="1145" spans="1:18">
      <c r="A1145" s="3" t="s">
        <v>2896</v>
      </c>
      <c r="B1145" s="3" t="s">
        <v>2897</v>
      </c>
      <c r="C1145" s="3" t="s">
        <v>2897</v>
      </c>
      <c r="D1145" s="3" t="s">
        <v>2898</v>
      </c>
      <c r="E1145" s="3" t="s">
        <v>120</v>
      </c>
      <c r="F1145" s="3">
        <v>39.98</v>
      </c>
      <c r="G1145" s="3" t="s">
        <v>121</v>
      </c>
      <c r="H1145" s="3"/>
      <c r="I1145" s="3" t="s">
        <v>122</v>
      </c>
      <c r="J1145" s="3">
        <v>14</v>
      </c>
      <c r="K1145" s="3">
        <v>14</v>
      </c>
      <c r="L1145" s="3">
        <v>0</v>
      </c>
      <c r="M1145" s="3">
        <v>0</v>
      </c>
      <c r="N1145" s="3">
        <v>14</v>
      </c>
      <c r="O1145" s="3">
        <v>0.16</v>
      </c>
      <c r="P1145" s="3">
        <v>0</v>
      </c>
      <c r="Q1145" s="3">
        <v>0</v>
      </c>
      <c r="R1145" s="3">
        <v>0</v>
      </c>
    </row>
    <row r="1146" spans="1:18">
      <c r="A1146" s="3" t="s">
        <v>2899</v>
      </c>
      <c r="B1146" s="3" t="s">
        <v>2900</v>
      </c>
      <c r="C1146" s="3" t="s">
        <v>2900</v>
      </c>
      <c r="D1146" s="3" t="s">
        <v>1817</v>
      </c>
      <c r="E1146" s="3" t="s">
        <v>120</v>
      </c>
      <c r="F1146" s="3">
        <v>39.98</v>
      </c>
      <c r="G1146" s="3" t="s">
        <v>121</v>
      </c>
      <c r="H1146" s="3"/>
      <c r="I1146" s="3" t="s">
        <v>122</v>
      </c>
      <c r="J1146" s="3">
        <v>10</v>
      </c>
      <c r="K1146" s="3">
        <v>10</v>
      </c>
      <c r="L1146" s="3">
        <v>0</v>
      </c>
      <c r="M1146" s="3">
        <v>0</v>
      </c>
      <c r="N1146" s="3">
        <v>10</v>
      </c>
      <c r="O1146" s="3">
        <v>0.16</v>
      </c>
      <c r="P1146" s="3">
        <v>0</v>
      </c>
      <c r="Q1146" s="3">
        <v>0</v>
      </c>
      <c r="R1146" s="3">
        <v>0</v>
      </c>
    </row>
    <row r="1147" spans="1:18">
      <c r="A1147" s="3" t="s">
        <v>2901</v>
      </c>
      <c r="B1147" s="3" t="s">
        <v>2902</v>
      </c>
      <c r="C1147" s="3" t="s">
        <v>2902</v>
      </c>
      <c r="D1147" s="3" t="s">
        <v>1826</v>
      </c>
      <c r="E1147" s="3" t="s">
        <v>120</v>
      </c>
      <c r="F1147" s="3">
        <v>39.98</v>
      </c>
      <c r="G1147" s="3" t="s">
        <v>121</v>
      </c>
      <c r="H1147" s="3"/>
      <c r="I1147" s="3" t="s">
        <v>122</v>
      </c>
      <c r="J1147" s="3">
        <v>22</v>
      </c>
      <c r="K1147" s="3">
        <v>22</v>
      </c>
      <c r="L1147" s="3">
        <v>0</v>
      </c>
      <c r="M1147" s="3">
        <v>0</v>
      </c>
      <c r="N1147" s="3">
        <v>22</v>
      </c>
      <c r="O1147" s="3">
        <v>0.16</v>
      </c>
      <c r="P1147" s="3">
        <v>0</v>
      </c>
      <c r="Q1147" s="3">
        <v>0</v>
      </c>
      <c r="R1147" s="3">
        <v>0</v>
      </c>
    </row>
    <row r="1148" spans="1:18">
      <c r="A1148" s="3" t="s">
        <v>2903</v>
      </c>
      <c r="B1148" s="3" t="s">
        <v>2904</v>
      </c>
      <c r="C1148" s="3" t="s">
        <v>2904</v>
      </c>
      <c r="D1148" s="3" t="s">
        <v>1829</v>
      </c>
      <c r="E1148" s="3" t="s">
        <v>120</v>
      </c>
      <c r="F1148" s="3">
        <v>39.98</v>
      </c>
      <c r="G1148" s="3" t="s">
        <v>121</v>
      </c>
      <c r="H1148" s="3"/>
      <c r="I1148" s="3" t="s">
        <v>122</v>
      </c>
      <c r="J1148" s="3">
        <v>34</v>
      </c>
      <c r="K1148" s="3">
        <v>34</v>
      </c>
      <c r="L1148" s="3">
        <v>0</v>
      </c>
      <c r="M1148" s="3">
        <v>0</v>
      </c>
      <c r="N1148" s="3">
        <v>34</v>
      </c>
      <c r="O1148" s="3">
        <v>0.16</v>
      </c>
      <c r="P1148" s="3">
        <v>0</v>
      </c>
      <c r="Q1148" s="3">
        <v>0</v>
      </c>
      <c r="R1148" s="3">
        <v>0</v>
      </c>
    </row>
    <row r="1149" spans="1:18">
      <c r="A1149" s="3" t="s">
        <v>2905</v>
      </c>
      <c r="B1149" s="3" t="s">
        <v>2906</v>
      </c>
      <c r="C1149" s="3" t="s">
        <v>2906</v>
      </c>
      <c r="D1149" s="3" t="s">
        <v>2907</v>
      </c>
      <c r="E1149" s="3" t="s">
        <v>20</v>
      </c>
      <c r="F1149" s="3">
        <v>39.98</v>
      </c>
      <c r="G1149" s="3" t="s">
        <v>121</v>
      </c>
      <c r="H1149" s="3"/>
      <c r="I1149" s="3" t="s">
        <v>122</v>
      </c>
      <c r="J1149" s="3">
        <v>16</v>
      </c>
      <c r="K1149" s="3">
        <v>16</v>
      </c>
      <c r="L1149" s="3">
        <v>0</v>
      </c>
      <c r="M1149" s="3">
        <v>0</v>
      </c>
      <c r="N1149" s="3">
        <v>16</v>
      </c>
      <c r="O1149" s="3">
        <v>0.16</v>
      </c>
      <c r="P1149" s="3">
        <v>0</v>
      </c>
      <c r="Q1149" s="3">
        <v>0</v>
      </c>
      <c r="R1149" s="3">
        <v>0</v>
      </c>
    </row>
    <row r="1150" spans="1:18">
      <c r="A1150" s="3" t="s">
        <v>2908</v>
      </c>
      <c r="B1150" s="3" t="s">
        <v>2909</v>
      </c>
      <c r="C1150" s="3" t="s">
        <v>2909</v>
      </c>
      <c r="D1150" s="3" t="s">
        <v>2910</v>
      </c>
      <c r="E1150" s="3" t="s">
        <v>120</v>
      </c>
      <c r="F1150" s="3">
        <v>39.98</v>
      </c>
      <c r="G1150" s="3" t="s">
        <v>121</v>
      </c>
      <c r="H1150" s="3"/>
      <c r="I1150" s="3" t="s">
        <v>122</v>
      </c>
      <c r="J1150" s="3">
        <v>34</v>
      </c>
      <c r="K1150" s="3">
        <v>34</v>
      </c>
      <c r="L1150" s="3">
        <v>0</v>
      </c>
      <c r="M1150" s="3">
        <v>0</v>
      </c>
      <c r="N1150" s="3">
        <v>34</v>
      </c>
      <c r="O1150" s="3">
        <v>0.12</v>
      </c>
      <c r="P1150" s="3">
        <v>0</v>
      </c>
      <c r="Q1150" s="3">
        <v>0</v>
      </c>
      <c r="R1150" s="3">
        <v>0</v>
      </c>
    </row>
    <row r="1151" spans="1:18">
      <c r="A1151" s="3" t="s">
        <v>2911</v>
      </c>
      <c r="B1151" s="3" t="s">
        <v>2912</v>
      </c>
      <c r="C1151" s="3" t="s">
        <v>2912</v>
      </c>
      <c r="D1151" s="3" t="s">
        <v>1840</v>
      </c>
      <c r="E1151" s="3" t="s">
        <v>20</v>
      </c>
      <c r="F1151" s="3">
        <v>39.98</v>
      </c>
      <c r="G1151" s="3" t="s">
        <v>121</v>
      </c>
      <c r="H1151" s="3"/>
      <c r="I1151" s="3" t="s">
        <v>122</v>
      </c>
      <c r="J1151" s="3">
        <v>33</v>
      </c>
      <c r="K1151" s="3">
        <v>33</v>
      </c>
      <c r="L1151" s="3">
        <v>0</v>
      </c>
      <c r="M1151" s="3">
        <v>0</v>
      </c>
      <c r="N1151" s="3">
        <v>33</v>
      </c>
      <c r="O1151" s="3">
        <v>0.16</v>
      </c>
      <c r="P1151" s="3">
        <v>0</v>
      </c>
      <c r="Q1151" s="3">
        <v>0</v>
      </c>
      <c r="R1151" s="3">
        <v>0</v>
      </c>
    </row>
    <row r="1152" spans="1:18">
      <c r="A1152" s="3" t="s">
        <v>2913</v>
      </c>
      <c r="B1152" s="3" t="s">
        <v>2914</v>
      </c>
      <c r="C1152" s="3" t="s">
        <v>1759</v>
      </c>
      <c r="D1152" s="3" t="s">
        <v>1760</v>
      </c>
      <c r="E1152" s="3" t="s">
        <v>120</v>
      </c>
      <c r="F1152" s="3">
        <v>25.98</v>
      </c>
      <c r="G1152" s="3" t="s">
        <v>121</v>
      </c>
      <c r="H1152" s="3"/>
      <c r="I1152" s="3" t="s">
        <v>122</v>
      </c>
      <c r="J1152" s="3">
        <v>5</v>
      </c>
      <c r="K1152" s="3">
        <v>4</v>
      </c>
      <c r="L1152" s="3">
        <v>0</v>
      </c>
      <c r="M1152" s="3">
        <v>1</v>
      </c>
      <c r="N1152" s="3">
        <v>18</v>
      </c>
      <c r="O1152" s="3">
        <v>0.12</v>
      </c>
      <c r="P1152" s="3">
        <v>0</v>
      </c>
      <c r="Q1152" s="3">
        <v>13</v>
      </c>
      <c r="R1152" s="3">
        <v>0</v>
      </c>
    </row>
    <row r="1153" spans="1:18">
      <c r="A1153" s="3" t="s">
        <v>2915</v>
      </c>
      <c r="B1153" s="3" t="s">
        <v>1313</v>
      </c>
      <c r="C1153" s="3" t="s">
        <v>1313</v>
      </c>
      <c r="D1153" s="3" t="s">
        <v>1314</v>
      </c>
      <c r="E1153" s="3" t="s">
        <v>120</v>
      </c>
      <c r="F1153" s="3">
        <v>24.98</v>
      </c>
      <c r="G1153" s="3" t="s">
        <v>121</v>
      </c>
      <c r="H1153" s="3"/>
      <c r="I1153" s="3" t="s">
        <v>122</v>
      </c>
      <c r="J1153" s="3">
        <v>0</v>
      </c>
      <c r="K1153" s="3">
        <v>0</v>
      </c>
      <c r="L1153" s="3">
        <v>0</v>
      </c>
      <c r="M1153" s="3">
        <v>0</v>
      </c>
      <c r="N1153" s="3">
        <v>0</v>
      </c>
      <c r="O1153" s="3">
        <v>0.05</v>
      </c>
      <c r="P1153" s="3">
        <v>0</v>
      </c>
      <c r="Q1153" s="3">
        <v>0</v>
      </c>
      <c r="R1153" s="3">
        <v>0</v>
      </c>
    </row>
    <row r="1154" spans="1:18">
      <c r="A1154" s="3" t="s">
        <v>2916</v>
      </c>
      <c r="B1154" s="3" t="s">
        <v>2917</v>
      </c>
      <c r="C1154" s="3" t="s">
        <v>2917</v>
      </c>
      <c r="D1154" s="3" t="s">
        <v>2918</v>
      </c>
      <c r="E1154" s="3" t="s">
        <v>120</v>
      </c>
      <c r="F1154" s="3">
        <v>21.98</v>
      </c>
      <c r="G1154" s="3" t="s">
        <v>121</v>
      </c>
      <c r="H1154" s="3"/>
      <c r="I1154" s="3" t="s">
        <v>122</v>
      </c>
      <c r="J1154" s="3">
        <v>49</v>
      </c>
      <c r="K1154" s="3">
        <v>46</v>
      </c>
      <c r="L1154" s="3">
        <v>0</v>
      </c>
      <c r="M1154" s="3">
        <v>3</v>
      </c>
      <c r="N1154" s="3">
        <v>49</v>
      </c>
      <c r="O1154" s="3">
        <v>0.05</v>
      </c>
      <c r="P1154" s="3">
        <v>0</v>
      </c>
      <c r="Q1154" s="3">
        <v>0</v>
      </c>
      <c r="R1154" s="3">
        <v>0</v>
      </c>
    </row>
    <row r="1155" spans="1:18">
      <c r="A1155" s="3" t="s">
        <v>2919</v>
      </c>
      <c r="B1155" s="3" t="s">
        <v>2920</v>
      </c>
      <c r="C1155" s="3" t="s">
        <v>2920</v>
      </c>
      <c r="D1155" s="3" t="s">
        <v>2921</v>
      </c>
      <c r="E1155" s="3" t="s">
        <v>120</v>
      </c>
      <c r="F1155" s="3">
        <v>39.98</v>
      </c>
      <c r="G1155" s="3" t="s">
        <v>121</v>
      </c>
      <c r="H1155" s="3"/>
      <c r="I1155" s="3" t="s">
        <v>122</v>
      </c>
      <c r="J1155" s="3">
        <v>15</v>
      </c>
      <c r="K1155" s="3">
        <v>15</v>
      </c>
      <c r="L1155" s="3">
        <v>0</v>
      </c>
      <c r="M1155" s="3">
        <v>0</v>
      </c>
      <c r="N1155" s="3">
        <v>15</v>
      </c>
      <c r="O1155" s="3">
        <v>0.05</v>
      </c>
      <c r="P1155" s="3">
        <v>0</v>
      </c>
      <c r="Q1155" s="3">
        <v>0</v>
      </c>
      <c r="R1155" s="3">
        <v>0</v>
      </c>
    </row>
    <row r="1156" spans="1:18">
      <c r="A1156" s="3" t="s">
        <v>2922</v>
      </c>
      <c r="B1156" s="3" t="s">
        <v>1317</v>
      </c>
      <c r="C1156" s="3" t="s">
        <v>1317</v>
      </c>
      <c r="D1156" s="3" t="s">
        <v>1318</v>
      </c>
      <c r="E1156" s="3" t="s">
        <v>120</v>
      </c>
      <c r="F1156" s="3">
        <v>22.98</v>
      </c>
      <c r="G1156" s="3" t="s">
        <v>121</v>
      </c>
      <c r="H1156" s="3"/>
      <c r="I1156" s="3" t="s">
        <v>122</v>
      </c>
      <c r="J1156" s="3">
        <v>38</v>
      </c>
      <c r="K1156" s="3">
        <v>34</v>
      </c>
      <c r="L1156" s="3">
        <v>0</v>
      </c>
      <c r="M1156" s="3">
        <v>4</v>
      </c>
      <c r="N1156" s="3">
        <v>38</v>
      </c>
      <c r="O1156" s="3">
        <v>0.12</v>
      </c>
      <c r="P1156" s="3">
        <v>0</v>
      </c>
      <c r="Q1156" s="3">
        <v>0</v>
      </c>
      <c r="R1156" s="3">
        <v>0</v>
      </c>
    </row>
    <row r="1157" spans="1:18">
      <c r="A1157" s="3" t="s">
        <v>2923</v>
      </c>
      <c r="B1157" s="3" t="s">
        <v>1321</v>
      </c>
      <c r="C1157" s="3" t="s">
        <v>1321</v>
      </c>
      <c r="D1157" s="3" t="s">
        <v>1322</v>
      </c>
      <c r="E1157" s="3" t="s">
        <v>120</v>
      </c>
      <c r="F1157" s="3">
        <v>22.98</v>
      </c>
      <c r="G1157" s="3" t="s">
        <v>121</v>
      </c>
      <c r="H1157" s="3"/>
      <c r="I1157" s="3" t="s">
        <v>122</v>
      </c>
      <c r="J1157" s="3">
        <v>27</v>
      </c>
      <c r="K1157" s="3">
        <v>27</v>
      </c>
      <c r="L1157" s="3">
        <v>0</v>
      </c>
      <c r="M1157" s="3">
        <v>0</v>
      </c>
      <c r="N1157" s="3">
        <v>27</v>
      </c>
      <c r="O1157" s="3">
        <v>0.05</v>
      </c>
      <c r="P1157" s="3">
        <v>0</v>
      </c>
      <c r="Q1157" s="3">
        <v>0</v>
      </c>
      <c r="R1157" s="3">
        <v>0</v>
      </c>
    </row>
    <row r="1158" spans="1:18">
      <c r="A1158" s="3" t="s">
        <v>2924</v>
      </c>
      <c r="B1158" s="3" t="s">
        <v>1325</v>
      </c>
      <c r="C1158" s="3" t="s">
        <v>1325</v>
      </c>
      <c r="D1158" s="3" t="s">
        <v>1326</v>
      </c>
      <c r="E1158" s="3" t="s">
        <v>120</v>
      </c>
      <c r="F1158" s="3">
        <v>24.98</v>
      </c>
      <c r="G1158" s="3" t="s">
        <v>121</v>
      </c>
      <c r="H1158" s="3"/>
      <c r="I1158" s="3" t="s">
        <v>122</v>
      </c>
      <c r="J1158" s="3">
        <v>1</v>
      </c>
      <c r="K1158" s="3">
        <v>0</v>
      </c>
      <c r="L1158" s="3">
        <v>0</v>
      </c>
      <c r="M1158" s="3">
        <v>1</v>
      </c>
      <c r="N1158" s="3">
        <v>1</v>
      </c>
      <c r="O1158" s="3">
        <v>0.05</v>
      </c>
      <c r="P1158" s="3">
        <v>0</v>
      </c>
      <c r="Q1158" s="3">
        <v>0</v>
      </c>
      <c r="R1158" s="3">
        <v>0</v>
      </c>
    </row>
    <row r="1159" spans="1:18">
      <c r="A1159" s="3" t="s">
        <v>2925</v>
      </c>
      <c r="B1159" s="3" t="s">
        <v>1329</v>
      </c>
      <c r="C1159" s="3" t="s">
        <v>1329</v>
      </c>
      <c r="D1159" s="3" t="s">
        <v>1330</v>
      </c>
      <c r="E1159" s="3" t="s">
        <v>120</v>
      </c>
      <c r="F1159" s="3">
        <v>22.98</v>
      </c>
      <c r="G1159" s="3" t="s">
        <v>121</v>
      </c>
      <c r="H1159" s="3"/>
      <c r="I1159" s="3" t="s">
        <v>122</v>
      </c>
      <c r="J1159" s="3">
        <v>6</v>
      </c>
      <c r="K1159" s="3">
        <v>4</v>
      </c>
      <c r="L1159" s="3">
        <v>0</v>
      </c>
      <c r="M1159" s="3">
        <v>2</v>
      </c>
      <c r="N1159" s="3">
        <v>6</v>
      </c>
      <c r="O1159" s="3">
        <v>0.05</v>
      </c>
      <c r="P1159" s="3">
        <v>0</v>
      </c>
      <c r="Q1159" s="3">
        <v>0</v>
      </c>
      <c r="R1159" s="3">
        <v>0</v>
      </c>
    </row>
    <row r="1160" spans="1:18">
      <c r="A1160" s="3" t="s">
        <v>2926</v>
      </c>
      <c r="B1160" s="3" t="s">
        <v>1333</v>
      </c>
      <c r="C1160" s="3" t="s">
        <v>1333</v>
      </c>
      <c r="D1160" s="3" t="s">
        <v>1334</v>
      </c>
      <c r="E1160" s="3" t="s">
        <v>120</v>
      </c>
      <c r="F1160" s="3">
        <v>17.98</v>
      </c>
      <c r="G1160" s="3" t="s">
        <v>121</v>
      </c>
      <c r="H1160" s="3"/>
      <c r="I1160" s="3" t="s">
        <v>122</v>
      </c>
      <c r="J1160" s="3">
        <v>13</v>
      </c>
      <c r="K1160" s="3">
        <v>13</v>
      </c>
      <c r="L1160" s="3">
        <v>0</v>
      </c>
      <c r="M1160" s="3">
        <v>0</v>
      </c>
      <c r="N1160" s="3">
        <v>13</v>
      </c>
      <c r="O1160" s="3">
        <v>0.05</v>
      </c>
      <c r="P1160" s="3">
        <v>0</v>
      </c>
      <c r="Q1160" s="3">
        <v>0</v>
      </c>
      <c r="R1160" s="3">
        <v>0</v>
      </c>
    </row>
    <row r="1161" spans="1:18">
      <c r="A1161" s="3" t="s">
        <v>2927</v>
      </c>
      <c r="B1161" s="3" t="s">
        <v>1337</v>
      </c>
      <c r="C1161" s="3" t="s">
        <v>1337</v>
      </c>
      <c r="D1161" s="3" t="s">
        <v>1338</v>
      </c>
      <c r="E1161" s="3" t="s">
        <v>120</v>
      </c>
      <c r="F1161" s="3">
        <v>24.98</v>
      </c>
      <c r="G1161" s="3" t="s">
        <v>121</v>
      </c>
      <c r="H1161" s="3"/>
      <c r="I1161" s="3" t="s">
        <v>122</v>
      </c>
      <c r="J1161" s="3">
        <v>0</v>
      </c>
      <c r="K1161" s="3">
        <v>0</v>
      </c>
      <c r="L1161" s="3">
        <v>0</v>
      </c>
      <c r="M1161" s="3">
        <v>0</v>
      </c>
      <c r="N1161" s="3">
        <v>0</v>
      </c>
      <c r="O1161" s="3">
        <v>0.05</v>
      </c>
      <c r="P1161" s="3">
        <v>0</v>
      </c>
      <c r="Q1161" s="3">
        <v>0</v>
      </c>
      <c r="R1161" s="3">
        <v>0</v>
      </c>
    </row>
    <row r="1162" spans="1:18">
      <c r="A1162" s="3" t="s">
        <v>2928</v>
      </c>
      <c r="B1162" s="3" t="s">
        <v>1341</v>
      </c>
      <c r="C1162" s="3" t="s">
        <v>1341</v>
      </c>
      <c r="D1162" s="3" t="s">
        <v>1725</v>
      </c>
      <c r="E1162" s="3" t="s">
        <v>120</v>
      </c>
      <c r="F1162" s="3">
        <v>23.98</v>
      </c>
      <c r="G1162" s="3" t="s">
        <v>121</v>
      </c>
      <c r="H1162" s="3"/>
      <c r="I1162" s="3" t="s">
        <v>122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0.05</v>
      </c>
      <c r="P1162" s="3">
        <v>0</v>
      </c>
      <c r="Q1162" s="3">
        <v>0</v>
      </c>
      <c r="R1162" s="3">
        <v>0</v>
      </c>
    </row>
    <row r="1163" spans="1:18">
      <c r="A1163" s="3" t="s">
        <v>2929</v>
      </c>
      <c r="B1163" s="3" t="s">
        <v>1344</v>
      </c>
      <c r="C1163" s="3" t="s">
        <v>1344</v>
      </c>
      <c r="D1163" s="3" t="s">
        <v>1345</v>
      </c>
      <c r="E1163" s="3" t="s">
        <v>120</v>
      </c>
      <c r="F1163" s="3">
        <v>24.98</v>
      </c>
      <c r="G1163" s="3" t="s">
        <v>121</v>
      </c>
      <c r="H1163" s="3"/>
      <c r="I1163" s="3" t="s">
        <v>122</v>
      </c>
      <c r="J1163" s="3">
        <v>1</v>
      </c>
      <c r="K1163" s="3">
        <v>0</v>
      </c>
      <c r="L1163" s="3">
        <v>0</v>
      </c>
      <c r="M1163" s="3">
        <v>1</v>
      </c>
      <c r="N1163" s="3">
        <v>1</v>
      </c>
      <c r="O1163" s="3">
        <v>0.05</v>
      </c>
      <c r="P1163" s="3">
        <v>0</v>
      </c>
      <c r="Q1163" s="3">
        <v>0</v>
      </c>
      <c r="R1163" s="3">
        <v>0</v>
      </c>
    </row>
    <row r="1164" spans="1:18">
      <c r="A1164" s="3" t="s">
        <v>2930</v>
      </c>
      <c r="B1164" s="3" t="s">
        <v>1348</v>
      </c>
      <c r="C1164" s="3" t="s">
        <v>1348</v>
      </c>
      <c r="D1164" s="3" t="s">
        <v>1349</v>
      </c>
      <c r="E1164" s="3" t="s">
        <v>120</v>
      </c>
      <c r="F1164" s="3">
        <v>22.98</v>
      </c>
      <c r="G1164" s="3" t="s">
        <v>121</v>
      </c>
      <c r="H1164" s="3"/>
      <c r="I1164" s="3" t="s">
        <v>122</v>
      </c>
      <c r="J1164" s="3">
        <v>56</v>
      </c>
      <c r="K1164" s="3">
        <v>53</v>
      </c>
      <c r="L1164" s="3">
        <v>0</v>
      </c>
      <c r="M1164" s="3">
        <v>3</v>
      </c>
      <c r="N1164" s="3">
        <v>56</v>
      </c>
      <c r="O1164" s="3">
        <v>0.05</v>
      </c>
      <c r="P1164" s="3">
        <v>0</v>
      </c>
      <c r="Q1164" s="3">
        <v>0</v>
      </c>
      <c r="R1164" s="3">
        <v>0</v>
      </c>
    </row>
    <row r="1165" spans="1:18">
      <c r="A1165" s="3" t="s">
        <v>2931</v>
      </c>
      <c r="B1165" s="3" t="s">
        <v>2932</v>
      </c>
      <c r="C1165" s="3" t="s">
        <v>2932</v>
      </c>
      <c r="D1165" s="3" t="s">
        <v>2933</v>
      </c>
      <c r="E1165" s="3" t="s">
        <v>120</v>
      </c>
      <c r="F1165" s="3">
        <v>39.98</v>
      </c>
      <c r="G1165" s="3" t="s">
        <v>121</v>
      </c>
      <c r="H1165" s="3"/>
      <c r="I1165" s="3" t="s">
        <v>122</v>
      </c>
      <c r="J1165" s="3">
        <v>20</v>
      </c>
      <c r="K1165" s="3">
        <v>20</v>
      </c>
      <c r="L1165" s="3">
        <v>0</v>
      </c>
      <c r="M1165" s="3">
        <v>0</v>
      </c>
      <c r="N1165" s="3">
        <v>20</v>
      </c>
      <c r="O1165" s="3">
        <v>0.05</v>
      </c>
      <c r="P1165" s="3">
        <v>0</v>
      </c>
      <c r="Q1165" s="3">
        <v>0</v>
      </c>
      <c r="R1165" s="3">
        <v>0</v>
      </c>
    </row>
    <row r="1166" spans="1:18">
      <c r="A1166" s="3" t="s">
        <v>2934</v>
      </c>
      <c r="B1166" s="3" t="s">
        <v>1352</v>
      </c>
      <c r="C1166" s="3" t="s">
        <v>1352</v>
      </c>
      <c r="D1166" s="3" t="s">
        <v>1353</v>
      </c>
      <c r="E1166" s="3" t="s">
        <v>120</v>
      </c>
      <c r="F1166" s="3">
        <v>24.98</v>
      </c>
      <c r="G1166" s="3" t="s">
        <v>121</v>
      </c>
      <c r="H1166" s="3"/>
      <c r="I1166" s="3" t="s">
        <v>122</v>
      </c>
      <c r="J1166" s="3">
        <v>5</v>
      </c>
      <c r="K1166" s="3">
        <v>0</v>
      </c>
      <c r="L1166" s="3">
        <v>1</v>
      </c>
      <c r="M1166" s="3">
        <v>4</v>
      </c>
      <c r="N1166" s="3">
        <v>15</v>
      </c>
      <c r="O1166" s="3">
        <v>0.05</v>
      </c>
      <c r="P1166" s="3">
        <v>0</v>
      </c>
      <c r="Q1166" s="3">
        <v>0</v>
      </c>
      <c r="R1166" s="3">
        <v>10</v>
      </c>
    </row>
    <row r="1167" spans="1:18">
      <c r="A1167" s="3" t="s">
        <v>2935</v>
      </c>
      <c r="B1167" s="3" t="s">
        <v>1356</v>
      </c>
      <c r="C1167" s="3" t="s">
        <v>1356</v>
      </c>
      <c r="D1167" s="3" t="s">
        <v>1357</v>
      </c>
      <c r="E1167" s="3" t="s">
        <v>120</v>
      </c>
      <c r="F1167" s="3">
        <v>23.98</v>
      </c>
      <c r="G1167" s="3" t="s">
        <v>121</v>
      </c>
      <c r="H1167" s="3"/>
      <c r="I1167" s="3" t="s">
        <v>122</v>
      </c>
      <c r="J1167" s="3">
        <v>55</v>
      </c>
      <c r="K1167" s="3">
        <v>53</v>
      </c>
      <c r="L1167" s="3">
        <v>0</v>
      </c>
      <c r="M1167" s="3">
        <v>2</v>
      </c>
      <c r="N1167" s="3">
        <v>60</v>
      </c>
      <c r="O1167" s="3">
        <v>0.12</v>
      </c>
      <c r="P1167" s="3">
        <v>0</v>
      </c>
      <c r="Q1167" s="3">
        <v>0</v>
      </c>
      <c r="R1167" s="3">
        <v>5</v>
      </c>
    </row>
    <row r="1168" spans="1:18">
      <c r="A1168" s="3" t="s">
        <v>2936</v>
      </c>
      <c r="B1168" s="3" t="s">
        <v>2937</v>
      </c>
      <c r="C1168" s="3" t="s">
        <v>2937</v>
      </c>
      <c r="D1168" s="3" t="s">
        <v>1725</v>
      </c>
      <c r="E1168" s="3" t="s">
        <v>20</v>
      </c>
      <c r="F1168" s="3"/>
      <c r="G1168" s="3"/>
      <c r="H1168" s="3"/>
      <c r="I1168" s="3"/>
      <c r="J1168" s="3">
        <v>3</v>
      </c>
      <c r="K1168" s="3">
        <v>0</v>
      </c>
      <c r="L1168" s="3">
        <v>0</v>
      </c>
      <c r="M1168" s="3">
        <v>3</v>
      </c>
      <c r="N1168" s="3">
        <v>3</v>
      </c>
      <c r="O1168" s="3">
        <v>0.12</v>
      </c>
      <c r="P1168" s="3">
        <v>0</v>
      </c>
      <c r="Q1168" s="3">
        <v>0</v>
      </c>
      <c r="R1168" s="3">
        <v>0</v>
      </c>
    </row>
    <row r="1169" spans="1:18">
      <c r="A1169" s="3" t="s">
        <v>2938</v>
      </c>
      <c r="B1169" s="3" t="s">
        <v>1364</v>
      </c>
      <c r="C1169" s="3" t="s">
        <v>1364</v>
      </c>
      <c r="D1169" s="3" t="s">
        <v>1365</v>
      </c>
      <c r="E1169" s="3" t="s">
        <v>120</v>
      </c>
      <c r="F1169" s="3">
        <v>22.98</v>
      </c>
      <c r="G1169" s="3" t="s">
        <v>121</v>
      </c>
      <c r="H1169" s="3"/>
      <c r="I1169" s="3" t="s">
        <v>122</v>
      </c>
      <c r="J1169" s="3">
        <v>37</v>
      </c>
      <c r="K1169" s="3">
        <v>35</v>
      </c>
      <c r="L1169" s="3">
        <v>0</v>
      </c>
      <c r="M1169" s="3">
        <v>2</v>
      </c>
      <c r="N1169" s="3">
        <v>37</v>
      </c>
      <c r="O1169" s="3">
        <v>0.12</v>
      </c>
      <c r="P1169" s="3">
        <v>0</v>
      </c>
      <c r="Q1169" s="3">
        <v>0</v>
      </c>
      <c r="R1169" s="3">
        <v>0</v>
      </c>
    </row>
    <row r="1170" spans="1:18">
      <c r="A1170" s="3" t="s">
        <v>2939</v>
      </c>
      <c r="B1170" s="3" t="s">
        <v>2940</v>
      </c>
      <c r="C1170" s="3" t="s">
        <v>2940</v>
      </c>
      <c r="D1170" s="3" t="s">
        <v>2941</v>
      </c>
      <c r="E1170" s="3" t="s">
        <v>120</v>
      </c>
      <c r="F1170" s="3">
        <v>39.98</v>
      </c>
      <c r="G1170" s="3" t="s">
        <v>121</v>
      </c>
      <c r="H1170" s="3"/>
      <c r="I1170" s="3" t="s">
        <v>122</v>
      </c>
      <c r="J1170" s="3">
        <v>6</v>
      </c>
      <c r="K1170" s="3">
        <v>6</v>
      </c>
      <c r="L1170" s="3">
        <v>0</v>
      </c>
      <c r="M1170" s="3">
        <v>0</v>
      </c>
      <c r="N1170" s="3">
        <v>6</v>
      </c>
      <c r="O1170" s="3">
        <v>0.05</v>
      </c>
      <c r="P1170" s="3">
        <v>0</v>
      </c>
      <c r="Q1170" s="3">
        <v>0</v>
      </c>
      <c r="R1170" s="3">
        <v>0</v>
      </c>
    </row>
    <row r="1171" spans="1:18">
      <c r="A1171" s="3" t="s">
        <v>2942</v>
      </c>
      <c r="B1171" s="3" t="s">
        <v>1368</v>
      </c>
      <c r="C1171" s="3" t="s">
        <v>1368</v>
      </c>
      <c r="D1171" s="3" t="s">
        <v>1369</v>
      </c>
      <c r="E1171" s="3" t="s">
        <v>120</v>
      </c>
      <c r="F1171" s="3">
        <v>23.98</v>
      </c>
      <c r="G1171" s="3" t="s">
        <v>121</v>
      </c>
      <c r="H1171" s="3"/>
      <c r="I1171" s="3" t="s">
        <v>122</v>
      </c>
      <c r="J1171" s="3">
        <v>5</v>
      </c>
      <c r="K1171" s="3">
        <v>2</v>
      </c>
      <c r="L1171" s="3">
        <v>0</v>
      </c>
      <c r="M1171" s="3">
        <v>3</v>
      </c>
      <c r="N1171" s="3">
        <v>15</v>
      </c>
      <c r="O1171" s="3">
        <v>0.12</v>
      </c>
      <c r="P1171" s="3">
        <v>0</v>
      </c>
      <c r="Q1171" s="3">
        <v>0</v>
      </c>
      <c r="R1171" s="3">
        <v>10</v>
      </c>
    </row>
    <row r="1172" spans="1:18">
      <c r="A1172" s="3" t="s">
        <v>2943</v>
      </c>
      <c r="B1172" s="3" t="s">
        <v>1372</v>
      </c>
      <c r="C1172" s="3" t="s">
        <v>1372</v>
      </c>
      <c r="D1172" s="3" t="s">
        <v>1373</v>
      </c>
      <c r="E1172" s="3" t="s">
        <v>120</v>
      </c>
      <c r="F1172" s="3">
        <v>23.98</v>
      </c>
      <c r="G1172" s="3" t="s">
        <v>121</v>
      </c>
      <c r="H1172" s="3"/>
      <c r="I1172" s="3" t="s">
        <v>122</v>
      </c>
      <c r="J1172" s="3">
        <v>53</v>
      </c>
      <c r="K1172" s="3">
        <v>52</v>
      </c>
      <c r="L1172" s="3">
        <v>0</v>
      </c>
      <c r="M1172" s="3">
        <v>1</v>
      </c>
      <c r="N1172" s="3">
        <v>53</v>
      </c>
      <c r="O1172" s="3">
        <v>0.12</v>
      </c>
      <c r="P1172" s="3">
        <v>0</v>
      </c>
      <c r="Q1172" s="3">
        <v>0</v>
      </c>
      <c r="R1172" s="3">
        <v>0</v>
      </c>
    </row>
    <row r="1173" spans="1:18">
      <c r="A1173" s="3" t="s">
        <v>2944</v>
      </c>
      <c r="B1173" s="3" t="s">
        <v>1376</v>
      </c>
      <c r="C1173" s="3" t="s">
        <v>1376</v>
      </c>
      <c r="D1173" s="3" t="s">
        <v>1377</v>
      </c>
      <c r="E1173" s="3" t="s">
        <v>120</v>
      </c>
      <c r="F1173" s="3">
        <v>22.98</v>
      </c>
      <c r="G1173" s="3" t="s">
        <v>121</v>
      </c>
      <c r="H1173" s="3"/>
      <c r="I1173" s="3" t="s">
        <v>122</v>
      </c>
      <c r="J1173" s="3">
        <v>2</v>
      </c>
      <c r="K1173" s="3">
        <v>0</v>
      </c>
      <c r="L1173" s="3">
        <v>0</v>
      </c>
      <c r="M1173" s="3">
        <v>2</v>
      </c>
      <c r="N1173" s="3">
        <v>2</v>
      </c>
      <c r="O1173" s="3">
        <v>0.12</v>
      </c>
      <c r="P1173" s="3">
        <v>0</v>
      </c>
      <c r="Q1173" s="3">
        <v>0</v>
      </c>
      <c r="R1173" s="3">
        <v>0</v>
      </c>
    </row>
    <row r="1174" spans="1:18">
      <c r="A1174" s="3" t="s">
        <v>2945</v>
      </c>
      <c r="B1174" s="3" t="s">
        <v>1380</v>
      </c>
      <c r="C1174" s="3" t="s">
        <v>1380</v>
      </c>
      <c r="D1174" s="3" t="s">
        <v>1381</v>
      </c>
      <c r="E1174" s="3" t="s">
        <v>120</v>
      </c>
      <c r="F1174" s="3">
        <v>22.98</v>
      </c>
      <c r="G1174" s="3" t="s">
        <v>121</v>
      </c>
      <c r="H1174" s="3"/>
      <c r="I1174" s="3" t="s">
        <v>122</v>
      </c>
      <c r="J1174" s="3">
        <v>4</v>
      </c>
      <c r="K1174" s="3">
        <v>1</v>
      </c>
      <c r="L1174" s="3">
        <v>0</v>
      </c>
      <c r="M1174" s="3">
        <v>3</v>
      </c>
      <c r="N1174" s="3">
        <v>4</v>
      </c>
      <c r="O1174" s="3">
        <v>0.05</v>
      </c>
      <c r="P1174" s="3">
        <v>0</v>
      </c>
      <c r="Q1174" s="3">
        <v>0</v>
      </c>
      <c r="R1174" s="3">
        <v>0</v>
      </c>
    </row>
    <row r="1175" spans="1:18">
      <c r="A1175" s="3" t="s">
        <v>2946</v>
      </c>
      <c r="B1175" s="3" t="s">
        <v>1384</v>
      </c>
      <c r="C1175" s="3" t="s">
        <v>1384</v>
      </c>
      <c r="D1175" s="3" t="s">
        <v>1385</v>
      </c>
      <c r="E1175" s="3" t="s">
        <v>120</v>
      </c>
      <c r="F1175" s="3">
        <v>19.98</v>
      </c>
      <c r="G1175" s="3" t="s">
        <v>121</v>
      </c>
      <c r="H1175" s="3"/>
      <c r="I1175" s="3" t="s">
        <v>122</v>
      </c>
      <c r="J1175" s="3">
        <v>12</v>
      </c>
      <c r="K1175" s="3">
        <v>12</v>
      </c>
      <c r="L1175" s="3">
        <v>0</v>
      </c>
      <c r="M1175" s="3">
        <v>0</v>
      </c>
      <c r="N1175" s="3">
        <v>12</v>
      </c>
      <c r="O1175" s="3">
        <v>0.05</v>
      </c>
      <c r="P1175" s="3">
        <v>0</v>
      </c>
      <c r="Q1175" s="3">
        <v>0</v>
      </c>
      <c r="R1175" s="3">
        <v>0</v>
      </c>
    </row>
    <row r="1176" spans="1:18">
      <c r="A1176" s="3" t="s">
        <v>2947</v>
      </c>
      <c r="B1176" s="3" t="s">
        <v>1388</v>
      </c>
      <c r="C1176" s="3" t="s">
        <v>1388</v>
      </c>
      <c r="D1176" s="3" t="s">
        <v>1389</v>
      </c>
      <c r="E1176" s="3" t="s">
        <v>120</v>
      </c>
      <c r="F1176" s="3">
        <v>23.98</v>
      </c>
      <c r="G1176" s="3" t="s">
        <v>121</v>
      </c>
      <c r="H1176" s="3"/>
      <c r="I1176" s="3" t="s">
        <v>122</v>
      </c>
      <c r="J1176" s="3">
        <v>15</v>
      </c>
      <c r="K1176" s="3">
        <v>11</v>
      </c>
      <c r="L1176" s="3">
        <v>0</v>
      </c>
      <c r="M1176" s="3">
        <v>4</v>
      </c>
      <c r="N1176" s="3">
        <v>15</v>
      </c>
      <c r="O1176" s="3">
        <v>0.12</v>
      </c>
      <c r="P1176" s="3">
        <v>0</v>
      </c>
      <c r="Q1176" s="3">
        <v>0</v>
      </c>
      <c r="R1176" s="3">
        <v>0</v>
      </c>
    </row>
    <row r="1177" spans="1:18">
      <c r="A1177" s="3" t="s">
        <v>2948</v>
      </c>
      <c r="B1177" s="3" t="s">
        <v>1392</v>
      </c>
      <c r="C1177" s="3" t="s">
        <v>1392</v>
      </c>
      <c r="D1177" s="3" t="s">
        <v>1393</v>
      </c>
      <c r="E1177" s="3" t="s">
        <v>120</v>
      </c>
      <c r="F1177" s="3">
        <v>23.98</v>
      </c>
      <c r="G1177" s="3" t="s">
        <v>121</v>
      </c>
      <c r="H1177" s="3"/>
      <c r="I1177" s="3" t="s">
        <v>122</v>
      </c>
      <c r="J1177" s="3">
        <v>1</v>
      </c>
      <c r="K1177" s="3">
        <v>0</v>
      </c>
      <c r="L1177" s="3">
        <v>0</v>
      </c>
      <c r="M1177" s="3">
        <v>1</v>
      </c>
      <c r="N1177" s="3">
        <v>1</v>
      </c>
      <c r="O1177" s="3">
        <v>0.12</v>
      </c>
      <c r="P1177" s="3">
        <v>0</v>
      </c>
      <c r="Q1177" s="3">
        <v>0</v>
      </c>
      <c r="R1177" s="3">
        <v>0</v>
      </c>
    </row>
    <row r="1178" spans="1:18">
      <c r="A1178" s="3" t="s">
        <v>2949</v>
      </c>
      <c r="B1178" s="3" t="s">
        <v>1396</v>
      </c>
      <c r="C1178" s="3" t="s">
        <v>1396</v>
      </c>
      <c r="D1178" s="3" t="s">
        <v>1397</v>
      </c>
      <c r="E1178" s="3" t="s">
        <v>120</v>
      </c>
      <c r="F1178" s="3">
        <v>24.98</v>
      </c>
      <c r="G1178" s="3" t="s">
        <v>121</v>
      </c>
      <c r="H1178" s="3"/>
      <c r="I1178" s="3" t="s">
        <v>122</v>
      </c>
      <c r="J1178" s="3">
        <v>5</v>
      </c>
      <c r="K1178" s="3">
        <v>2</v>
      </c>
      <c r="L1178" s="3">
        <v>1</v>
      </c>
      <c r="M1178" s="3">
        <v>2</v>
      </c>
      <c r="N1178" s="3">
        <v>5</v>
      </c>
      <c r="O1178" s="3">
        <v>0.05</v>
      </c>
      <c r="P1178" s="3">
        <v>0</v>
      </c>
      <c r="Q1178" s="3">
        <v>0</v>
      </c>
      <c r="R1178" s="3">
        <v>0</v>
      </c>
    </row>
    <row r="1179" spans="1:18">
      <c r="A1179" s="3" t="s">
        <v>2950</v>
      </c>
      <c r="B1179" s="3" t="s">
        <v>1400</v>
      </c>
      <c r="C1179" s="3" t="s">
        <v>1400</v>
      </c>
      <c r="D1179" s="3" t="s">
        <v>1401</v>
      </c>
      <c r="E1179" s="3" t="s">
        <v>120</v>
      </c>
      <c r="F1179" s="3">
        <v>22.98</v>
      </c>
      <c r="G1179" s="3" t="s">
        <v>121</v>
      </c>
      <c r="H1179" s="3"/>
      <c r="I1179" s="3" t="s">
        <v>122</v>
      </c>
      <c r="J1179" s="3">
        <v>1</v>
      </c>
      <c r="K1179" s="3">
        <v>0</v>
      </c>
      <c r="L1179" s="3">
        <v>0</v>
      </c>
      <c r="M1179" s="3">
        <v>1</v>
      </c>
      <c r="N1179" s="3">
        <v>11</v>
      </c>
      <c r="O1179" s="3">
        <v>0.05</v>
      </c>
      <c r="P1179" s="3">
        <v>0</v>
      </c>
      <c r="Q1179" s="3">
        <v>0</v>
      </c>
      <c r="R1179" s="3">
        <v>10</v>
      </c>
    </row>
    <row r="1180" spans="1:18">
      <c r="A1180" s="3" t="s">
        <v>2951</v>
      </c>
      <c r="B1180" s="3" t="s">
        <v>1404</v>
      </c>
      <c r="C1180" s="3" t="s">
        <v>1404</v>
      </c>
      <c r="D1180" s="3" t="s">
        <v>1405</v>
      </c>
      <c r="E1180" s="3" t="s">
        <v>120</v>
      </c>
      <c r="F1180" s="3">
        <v>19.98</v>
      </c>
      <c r="G1180" s="3" t="s">
        <v>121</v>
      </c>
      <c r="H1180" s="3"/>
      <c r="I1180" s="3" t="s">
        <v>122</v>
      </c>
      <c r="J1180" s="3">
        <v>20</v>
      </c>
      <c r="K1180" s="3">
        <v>20</v>
      </c>
      <c r="L1180" s="3">
        <v>0</v>
      </c>
      <c r="M1180" s="3">
        <v>0</v>
      </c>
      <c r="N1180" s="3">
        <v>20</v>
      </c>
      <c r="O1180" s="3">
        <v>0.05</v>
      </c>
      <c r="P1180" s="3">
        <v>0</v>
      </c>
      <c r="Q1180" s="3">
        <v>0</v>
      </c>
      <c r="R1180" s="3">
        <v>0</v>
      </c>
    </row>
    <row r="1181" spans="1:18">
      <c r="A1181" s="3" t="s">
        <v>2952</v>
      </c>
      <c r="B1181" s="3" t="s">
        <v>1408</v>
      </c>
      <c r="C1181" s="3" t="s">
        <v>1408</v>
      </c>
      <c r="D1181" s="3" t="s">
        <v>1409</v>
      </c>
      <c r="E1181" s="3" t="s">
        <v>120</v>
      </c>
      <c r="F1181" s="3">
        <v>24.98</v>
      </c>
      <c r="G1181" s="3" t="s">
        <v>121</v>
      </c>
      <c r="H1181" s="3"/>
      <c r="I1181" s="3" t="s">
        <v>122</v>
      </c>
      <c r="J1181" s="3">
        <v>14</v>
      </c>
      <c r="K1181" s="3">
        <v>11</v>
      </c>
      <c r="L1181" s="3">
        <v>1</v>
      </c>
      <c r="M1181" s="3">
        <v>2</v>
      </c>
      <c r="N1181" s="3">
        <v>24</v>
      </c>
      <c r="O1181" s="3">
        <v>0.05</v>
      </c>
      <c r="P1181" s="3">
        <v>0</v>
      </c>
      <c r="Q1181" s="3">
        <v>0</v>
      </c>
      <c r="R1181" s="3">
        <v>10</v>
      </c>
    </row>
    <row r="1182" spans="1:18">
      <c r="A1182" s="3" t="s">
        <v>2953</v>
      </c>
      <c r="B1182" s="3" t="s">
        <v>1412</v>
      </c>
      <c r="C1182" s="3" t="s">
        <v>1412</v>
      </c>
      <c r="D1182" s="3" t="s">
        <v>1413</v>
      </c>
      <c r="E1182" s="3" t="s">
        <v>120</v>
      </c>
      <c r="F1182" s="3">
        <v>24.98</v>
      </c>
      <c r="G1182" s="3" t="s">
        <v>121</v>
      </c>
      <c r="H1182" s="3"/>
      <c r="I1182" s="3" t="s">
        <v>122</v>
      </c>
      <c r="J1182" s="3">
        <v>25</v>
      </c>
      <c r="K1182" s="3">
        <v>23</v>
      </c>
      <c r="L1182" s="3">
        <v>0</v>
      </c>
      <c r="M1182" s="3">
        <v>2</v>
      </c>
      <c r="N1182" s="3">
        <v>27</v>
      </c>
      <c r="O1182" s="3">
        <v>0.05</v>
      </c>
      <c r="P1182" s="3">
        <v>0</v>
      </c>
      <c r="Q1182" s="3">
        <v>0</v>
      </c>
      <c r="R1182" s="3">
        <v>2</v>
      </c>
    </row>
    <row r="1183" spans="1:18">
      <c r="A1183" s="3" t="s">
        <v>2954</v>
      </c>
      <c r="B1183" s="3" t="s">
        <v>2955</v>
      </c>
      <c r="C1183" s="3" t="s">
        <v>1424</v>
      </c>
      <c r="D1183" s="3" t="s">
        <v>1425</v>
      </c>
      <c r="E1183" s="3" t="s">
        <v>120</v>
      </c>
      <c r="F1183" s="3">
        <v>24.98</v>
      </c>
      <c r="G1183" s="3" t="s">
        <v>121</v>
      </c>
      <c r="H1183" s="3"/>
      <c r="I1183" s="3" t="s">
        <v>122</v>
      </c>
      <c r="J1183" s="3">
        <v>49</v>
      </c>
      <c r="K1183" s="3">
        <v>35</v>
      </c>
      <c r="L1183" s="3">
        <v>0</v>
      </c>
      <c r="M1183" s="3">
        <v>14</v>
      </c>
      <c r="N1183" s="3">
        <v>49</v>
      </c>
      <c r="O1183" s="3">
        <v>0.05</v>
      </c>
      <c r="P1183" s="3">
        <v>0</v>
      </c>
      <c r="Q1183" s="3">
        <v>0</v>
      </c>
      <c r="R1183" s="3">
        <v>0</v>
      </c>
    </row>
    <row r="1184" spans="1:18">
      <c r="A1184" s="3" t="s">
        <v>2956</v>
      </c>
      <c r="B1184" s="3" t="s">
        <v>1416</v>
      </c>
      <c r="C1184" s="3" t="s">
        <v>1416</v>
      </c>
      <c r="D1184" s="3" t="s">
        <v>1417</v>
      </c>
      <c r="E1184" s="3" t="s">
        <v>120</v>
      </c>
      <c r="F1184" s="3">
        <v>24.98</v>
      </c>
      <c r="G1184" s="3" t="s">
        <v>121</v>
      </c>
      <c r="H1184" s="3"/>
      <c r="I1184" s="3" t="s">
        <v>122</v>
      </c>
      <c r="J1184" s="3">
        <v>16</v>
      </c>
      <c r="K1184" s="3">
        <v>13</v>
      </c>
      <c r="L1184" s="3">
        <v>0</v>
      </c>
      <c r="M1184" s="3">
        <v>3</v>
      </c>
      <c r="N1184" s="3">
        <v>16</v>
      </c>
      <c r="O1184" s="3">
        <v>0.17</v>
      </c>
      <c r="P1184" s="3">
        <v>0</v>
      </c>
      <c r="Q1184" s="3">
        <v>0</v>
      </c>
      <c r="R1184" s="3">
        <v>0</v>
      </c>
    </row>
    <row r="1185" spans="1:18">
      <c r="A1185" s="3" t="s">
        <v>2957</v>
      </c>
      <c r="B1185" s="3" t="s">
        <v>1420</v>
      </c>
      <c r="C1185" s="3" t="s">
        <v>1420</v>
      </c>
      <c r="D1185" s="3" t="s">
        <v>1421</v>
      </c>
      <c r="E1185" s="3" t="s">
        <v>120</v>
      </c>
      <c r="F1185" s="3">
        <v>22.98</v>
      </c>
      <c r="G1185" s="3" t="s">
        <v>121</v>
      </c>
      <c r="H1185" s="3"/>
      <c r="I1185" s="3" t="s">
        <v>122</v>
      </c>
      <c r="J1185" s="3">
        <v>60</v>
      </c>
      <c r="K1185" s="3">
        <v>59</v>
      </c>
      <c r="L1185" s="3">
        <v>0</v>
      </c>
      <c r="M1185" s="3">
        <v>1</v>
      </c>
      <c r="N1185" s="3">
        <v>60</v>
      </c>
      <c r="O1185" s="3">
        <v>0.11</v>
      </c>
      <c r="P1185" s="3">
        <v>0</v>
      </c>
      <c r="Q1185" s="3">
        <v>0</v>
      </c>
      <c r="R1185" s="3">
        <v>0</v>
      </c>
    </row>
    <row r="1186" spans="1:18">
      <c r="A1186" s="3" t="s">
        <v>2958</v>
      </c>
      <c r="B1186" s="3" t="s">
        <v>2959</v>
      </c>
      <c r="C1186" s="3" t="s">
        <v>2959</v>
      </c>
      <c r="D1186" s="3" t="s">
        <v>2960</v>
      </c>
      <c r="E1186" s="3" t="s">
        <v>120</v>
      </c>
      <c r="F1186" s="3">
        <v>39.98</v>
      </c>
      <c r="G1186" s="3" t="s">
        <v>121</v>
      </c>
      <c r="H1186" s="3"/>
      <c r="I1186" s="3" t="s">
        <v>122</v>
      </c>
      <c r="J1186" s="3">
        <v>17</v>
      </c>
      <c r="K1186" s="3">
        <v>17</v>
      </c>
      <c r="L1186" s="3">
        <v>0</v>
      </c>
      <c r="M1186" s="3">
        <v>0</v>
      </c>
      <c r="N1186" s="3">
        <v>17</v>
      </c>
      <c r="O1186" s="3">
        <v>0.05</v>
      </c>
      <c r="P1186" s="3">
        <v>0</v>
      </c>
      <c r="Q1186" s="3">
        <v>0</v>
      </c>
      <c r="R1186" s="3">
        <v>0</v>
      </c>
    </row>
    <row r="1187" spans="1:18">
      <c r="A1187" s="3" t="s">
        <v>2961</v>
      </c>
      <c r="B1187" s="3" t="s">
        <v>1424</v>
      </c>
      <c r="C1187" s="3" t="s">
        <v>1424</v>
      </c>
      <c r="D1187" s="3" t="s">
        <v>1425</v>
      </c>
      <c r="E1187" s="3" t="s">
        <v>120</v>
      </c>
      <c r="F1187" s="3">
        <v>24.98</v>
      </c>
      <c r="G1187" s="3" t="s">
        <v>121</v>
      </c>
      <c r="H1187" s="3"/>
      <c r="I1187" s="3" t="s">
        <v>122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0.05</v>
      </c>
      <c r="P1187" s="3">
        <v>0</v>
      </c>
      <c r="Q1187" s="3">
        <v>0</v>
      </c>
      <c r="R1187" s="3">
        <v>0</v>
      </c>
    </row>
    <row r="1188" spans="1:18">
      <c r="A1188" s="3" t="s">
        <v>2962</v>
      </c>
      <c r="B1188" s="3" t="s">
        <v>1428</v>
      </c>
      <c r="C1188" s="3" t="s">
        <v>1428</v>
      </c>
      <c r="D1188" s="3" t="s">
        <v>1429</v>
      </c>
      <c r="E1188" s="3" t="s">
        <v>120</v>
      </c>
      <c r="F1188" s="3">
        <v>24.98</v>
      </c>
      <c r="G1188" s="3" t="s">
        <v>121</v>
      </c>
      <c r="H1188" s="3"/>
      <c r="I1188" s="3" t="s">
        <v>122</v>
      </c>
      <c r="J1188" s="3">
        <v>0</v>
      </c>
      <c r="K1188" s="3">
        <v>0</v>
      </c>
      <c r="L1188" s="3">
        <v>0</v>
      </c>
      <c r="M1188" s="3">
        <v>0</v>
      </c>
      <c r="N1188" s="3">
        <v>10</v>
      </c>
      <c r="O1188" s="3">
        <v>0.05</v>
      </c>
      <c r="P1188" s="3">
        <v>0</v>
      </c>
      <c r="Q1188" s="3">
        <v>0</v>
      </c>
      <c r="R1188" s="3">
        <v>10</v>
      </c>
    </row>
    <row r="1189" spans="1:18">
      <c r="A1189" s="3" t="s">
        <v>2963</v>
      </c>
      <c r="B1189" s="3" t="s">
        <v>1432</v>
      </c>
      <c r="C1189" s="3" t="s">
        <v>1432</v>
      </c>
      <c r="D1189" s="3" t="s">
        <v>1433</v>
      </c>
      <c r="E1189" s="3" t="s">
        <v>120</v>
      </c>
      <c r="F1189" s="3">
        <v>24.98</v>
      </c>
      <c r="G1189" s="3" t="s">
        <v>121</v>
      </c>
      <c r="H1189" s="3"/>
      <c r="I1189" s="3" t="s">
        <v>122</v>
      </c>
      <c r="J1189" s="3">
        <v>5</v>
      </c>
      <c r="K1189" s="3">
        <v>1</v>
      </c>
      <c r="L1189" s="3">
        <v>1</v>
      </c>
      <c r="M1189" s="3">
        <v>3</v>
      </c>
      <c r="N1189" s="3">
        <v>5</v>
      </c>
      <c r="O1189" s="3">
        <v>0.05</v>
      </c>
      <c r="P1189" s="3">
        <v>0</v>
      </c>
      <c r="Q1189" s="3">
        <v>0</v>
      </c>
      <c r="R1189" s="3">
        <v>0</v>
      </c>
    </row>
    <row r="1190" spans="1:18">
      <c r="A1190" s="3" t="s">
        <v>2964</v>
      </c>
      <c r="B1190" s="3" t="s">
        <v>1436</v>
      </c>
      <c r="C1190" s="3" t="s">
        <v>1436</v>
      </c>
      <c r="D1190" s="3" t="s">
        <v>1437</v>
      </c>
      <c r="E1190" s="3" t="s">
        <v>120</v>
      </c>
      <c r="F1190" s="3">
        <v>22.98</v>
      </c>
      <c r="G1190" s="3" t="s">
        <v>121</v>
      </c>
      <c r="H1190" s="3"/>
      <c r="I1190" s="3" t="s">
        <v>122</v>
      </c>
      <c r="J1190" s="3">
        <v>14</v>
      </c>
      <c r="K1190" s="3">
        <v>10</v>
      </c>
      <c r="L1190" s="3">
        <v>2</v>
      </c>
      <c r="M1190" s="3">
        <v>2</v>
      </c>
      <c r="N1190" s="3">
        <v>14</v>
      </c>
      <c r="O1190" s="3">
        <v>0.05</v>
      </c>
      <c r="P1190" s="3">
        <v>0</v>
      </c>
      <c r="Q1190" s="3">
        <v>0</v>
      </c>
      <c r="R1190" s="3">
        <v>0</v>
      </c>
    </row>
    <row r="1191" spans="1:18">
      <c r="A1191" s="3" t="s">
        <v>2965</v>
      </c>
      <c r="B1191" s="3" t="s">
        <v>1440</v>
      </c>
      <c r="C1191" s="3" t="s">
        <v>1440</v>
      </c>
      <c r="D1191" s="3" t="s">
        <v>1441</v>
      </c>
      <c r="E1191" s="3" t="s">
        <v>120</v>
      </c>
      <c r="F1191" s="3">
        <v>19.98</v>
      </c>
      <c r="G1191" s="3" t="s">
        <v>121</v>
      </c>
      <c r="H1191" s="3"/>
      <c r="I1191" s="3" t="s">
        <v>122</v>
      </c>
      <c r="J1191" s="3">
        <v>34</v>
      </c>
      <c r="K1191" s="3">
        <v>34</v>
      </c>
      <c r="L1191" s="3">
        <v>0</v>
      </c>
      <c r="M1191" s="3">
        <v>0</v>
      </c>
      <c r="N1191" s="3">
        <v>34</v>
      </c>
      <c r="O1191" s="3">
        <v>0.05</v>
      </c>
      <c r="P1191" s="3">
        <v>0</v>
      </c>
      <c r="Q1191" s="3">
        <v>0</v>
      </c>
      <c r="R1191" s="3">
        <v>0</v>
      </c>
    </row>
    <row r="1192" spans="1:18">
      <c r="A1192" s="3" t="s">
        <v>2966</v>
      </c>
      <c r="B1192" s="3" t="s">
        <v>1444</v>
      </c>
      <c r="C1192" s="3" t="s">
        <v>1444</v>
      </c>
      <c r="D1192" s="3" t="s">
        <v>1445</v>
      </c>
      <c r="E1192" s="3" t="s">
        <v>120</v>
      </c>
      <c r="F1192" s="3">
        <v>24.98</v>
      </c>
      <c r="G1192" s="3" t="s">
        <v>121</v>
      </c>
      <c r="H1192" s="3"/>
      <c r="I1192" s="3" t="s">
        <v>122</v>
      </c>
      <c r="J1192" s="3">
        <v>5</v>
      </c>
      <c r="K1192" s="3">
        <v>0</v>
      </c>
      <c r="L1192" s="3">
        <v>3</v>
      </c>
      <c r="M1192" s="3">
        <v>2</v>
      </c>
      <c r="N1192" s="3">
        <v>5</v>
      </c>
      <c r="O1192" s="3">
        <v>0.05</v>
      </c>
      <c r="P1192" s="3">
        <v>0</v>
      </c>
      <c r="Q1192" s="3">
        <v>0</v>
      </c>
      <c r="R1192" s="3">
        <v>0</v>
      </c>
    </row>
    <row r="1193" spans="1:18">
      <c r="A1193" s="3" t="s">
        <v>2967</v>
      </c>
      <c r="B1193" s="3" t="s">
        <v>2968</v>
      </c>
      <c r="C1193" s="3" t="s">
        <v>2968</v>
      </c>
      <c r="D1193" s="3" t="s">
        <v>2969</v>
      </c>
      <c r="E1193" s="3" t="s">
        <v>20</v>
      </c>
      <c r="F1193" s="3"/>
      <c r="G1193" s="3"/>
      <c r="H1193" s="3"/>
      <c r="I1193" s="3"/>
      <c r="J1193" s="3">
        <v>5</v>
      </c>
      <c r="K1193" s="3">
        <v>3</v>
      </c>
      <c r="L1193" s="3">
        <v>2</v>
      </c>
      <c r="M1193" s="3">
        <v>0</v>
      </c>
      <c r="N1193" s="3">
        <v>5</v>
      </c>
      <c r="O1193" s="3">
        <v>0.17</v>
      </c>
      <c r="P1193" s="3">
        <v>0</v>
      </c>
      <c r="Q1193" s="3">
        <v>0</v>
      </c>
      <c r="R1193" s="3">
        <v>0</v>
      </c>
    </row>
    <row r="1194" spans="1:18">
      <c r="A1194" s="3" t="s">
        <v>2970</v>
      </c>
      <c r="B1194" s="3" t="s">
        <v>2971</v>
      </c>
      <c r="C1194" s="3" t="s">
        <v>2971</v>
      </c>
      <c r="D1194" s="3" t="s">
        <v>2972</v>
      </c>
      <c r="E1194" s="3" t="s">
        <v>120</v>
      </c>
      <c r="F1194" s="3">
        <v>23.98</v>
      </c>
      <c r="G1194" s="3" t="s">
        <v>121</v>
      </c>
      <c r="H1194" s="3"/>
      <c r="I1194" s="3" t="s">
        <v>122</v>
      </c>
      <c r="J1194" s="3">
        <v>80</v>
      </c>
      <c r="K1194" s="3">
        <v>80</v>
      </c>
      <c r="L1194" s="3">
        <v>0</v>
      </c>
      <c r="M1194" s="3">
        <v>0</v>
      </c>
      <c r="N1194" s="3">
        <v>80</v>
      </c>
      <c r="O1194" s="3">
        <v>0.14</v>
      </c>
      <c r="P1194" s="3">
        <v>0</v>
      </c>
      <c r="Q1194" s="3">
        <v>0</v>
      </c>
      <c r="R1194" s="3">
        <v>0</v>
      </c>
    </row>
    <row r="1195" spans="1:18">
      <c r="A1195" s="3" t="s">
        <v>2973</v>
      </c>
      <c r="B1195" s="3" t="s">
        <v>2974</v>
      </c>
      <c r="C1195" s="3" t="s">
        <v>2974</v>
      </c>
      <c r="D1195" s="3" t="s">
        <v>2975</v>
      </c>
      <c r="E1195" s="3" t="s">
        <v>120</v>
      </c>
      <c r="F1195" s="3">
        <v>23.98</v>
      </c>
      <c r="G1195" s="3" t="s">
        <v>121</v>
      </c>
      <c r="H1195" s="3"/>
      <c r="I1195" s="3" t="s">
        <v>122</v>
      </c>
      <c r="J1195" s="3">
        <v>18</v>
      </c>
      <c r="K1195" s="3">
        <v>18</v>
      </c>
      <c r="L1195" s="3">
        <v>0</v>
      </c>
      <c r="M1195" s="3">
        <v>0</v>
      </c>
      <c r="N1195" s="3">
        <v>23</v>
      </c>
      <c r="O1195" s="3">
        <v>0.13</v>
      </c>
      <c r="P1195" s="3">
        <v>0</v>
      </c>
      <c r="Q1195" s="3">
        <v>5</v>
      </c>
      <c r="R1195" s="3">
        <v>0</v>
      </c>
    </row>
    <row r="1196" spans="1:18">
      <c r="A1196" s="3" t="s">
        <v>2976</v>
      </c>
      <c r="B1196" s="3" t="s">
        <v>2977</v>
      </c>
      <c r="C1196" s="3" t="s">
        <v>2977</v>
      </c>
      <c r="D1196" s="3" t="s">
        <v>2978</v>
      </c>
      <c r="E1196" s="3" t="s">
        <v>120</v>
      </c>
      <c r="F1196" s="3">
        <v>22.98</v>
      </c>
      <c r="G1196" s="3" t="s">
        <v>121</v>
      </c>
      <c r="H1196" s="3"/>
      <c r="I1196" s="3" t="s">
        <v>122</v>
      </c>
      <c r="J1196" s="3">
        <v>141</v>
      </c>
      <c r="K1196" s="3">
        <v>140</v>
      </c>
      <c r="L1196" s="3">
        <v>0</v>
      </c>
      <c r="M1196" s="3">
        <v>1</v>
      </c>
      <c r="N1196" s="3">
        <v>141</v>
      </c>
      <c r="O1196" s="3">
        <v>0.15</v>
      </c>
      <c r="P1196" s="3">
        <v>0</v>
      </c>
      <c r="Q1196" s="3">
        <v>0</v>
      </c>
      <c r="R1196" s="3">
        <v>0</v>
      </c>
    </row>
    <row r="1197" spans="1:18">
      <c r="A1197" s="3" t="s">
        <v>2979</v>
      </c>
      <c r="B1197" s="3" t="s">
        <v>2980</v>
      </c>
      <c r="C1197" s="3" t="s">
        <v>2980</v>
      </c>
      <c r="D1197" s="3" t="s">
        <v>2981</v>
      </c>
      <c r="E1197" s="3" t="s">
        <v>120</v>
      </c>
      <c r="F1197" s="3">
        <v>22.98</v>
      </c>
      <c r="G1197" s="3" t="s">
        <v>121</v>
      </c>
      <c r="H1197" s="3"/>
      <c r="I1197" s="3" t="s">
        <v>122</v>
      </c>
      <c r="J1197" s="3">
        <v>148</v>
      </c>
      <c r="K1197" s="3">
        <v>148</v>
      </c>
      <c r="L1197" s="3">
        <v>0</v>
      </c>
      <c r="M1197" s="3">
        <v>0</v>
      </c>
      <c r="N1197" s="3">
        <v>148</v>
      </c>
      <c r="O1197" s="3">
        <v>0.19</v>
      </c>
      <c r="P1197" s="3">
        <v>0</v>
      </c>
      <c r="Q1197" s="3">
        <v>0</v>
      </c>
      <c r="R1197" s="3">
        <v>0</v>
      </c>
    </row>
    <row r="1198" spans="1:18">
      <c r="A1198" s="3" t="s">
        <v>2982</v>
      </c>
      <c r="B1198" s="3" t="s">
        <v>2983</v>
      </c>
      <c r="C1198" s="3" t="s">
        <v>2983</v>
      </c>
      <c r="D1198" s="3" t="s">
        <v>2984</v>
      </c>
      <c r="E1198" s="3" t="s">
        <v>120</v>
      </c>
      <c r="F1198" s="3">
        <v>20.98</v>
      </c>
      <c r="G1198" s="3" t="s">
        <v>121</v>
      </c>
      <c r="H1198" s="3"/>
      <c r="I1198" s="3" t="s">
        <v>122</v>
      </c>
      <c r="J1198" s="3">
        <v>24</v>
      </c>
      <c r="K1198" s="3">
        <v>24</v>
      </c>
      <c r="L1198" s="3">
        <v>0</v>
      </c>
      <c r="M1198" s="3">
        <v>0</v>
      </c>
      <c r="N1198" s="3">
        <v>24</v>
      </c>
      <c r="O1198" s="3">
        <v>0.23</v>
      </c>
      <c r="P1198" s="3">
        <v>0</v>
      </c>
      <c r="Q1198" s="3">
        <v>0</v>
      </c>
      <c r="R1198" s="3">
        <v>0</v>
      </c>
    </row>
    <row r="1199" spans="1:18">
      <c r="A1199" s="3" t="s">
        <v>2985</v>
      </c>
      <c r="B1199" s="3" t="s">
        <v>2986</v>
      </c>
      <c r="C1199" s="3" t="s">
        <v>2986</v>
      </c>
      <c r="D1199" s="3" t="s">
        <v>2987</v>
      </c>
      <c r="E1199" s="3" t="s">
        <v>120</v>
      </c>
      <c r="F1199" s="3">
        <v>22.98</v>
      </c>
      <c r="G1199" s="3" t="s">
        <v>121</v>
      </c>
      <c r="H1199" s="3"/>
      <c r="I1199" s="3" t="s">
        <v>122</v>
      </c>
      <c r="J1199" s="3">
        <v>94</v>
      </c>
      <c r="K1199" s="3">
        <v>94</v>
      </c>
      <c r="L1199" s="3">
        <v>0</v>
      </c>
      <c r="M1199" s="3">
        <v>0</v>
      </c>
      <c r="N1199" s="3">
        <v>94</v>
      </c>
      <c r="O1199" s="3">
        <v>0.21</v>
      </c>
      <c r="P1199" s="3">
        <v>0</v>
      </c>
      <c r="Q1199" s="3">
        <v>0</v>
      </c>
      <c r="R1199" s="3">
        <v>0</v>
      </c>
    </row>
    <row r="1200" spans="1:18">
      <c r="A1200" s="3" t="s">
        <v>2988</v>
      </c>
      <c r="B1200" s="3" t="s">
        <v>2989</v>
      </c>
      <c r="C1200" s="3" t="s">
        <v>2989</v>
      </c>
      <c r="D1200" s="3" t="s">
        <v>2990</v>
      </c>
      <c r="E1200" s="3" t="s">
        <v>120</v>
      </c>
      <c r="F1200" s="3">
        <v>22.98</v>
      </c>
      <c r="G1200" s="3" t="s">
        <v>121</v>
      </c>
      <c r="H1200" s="3"/>
      <c r="I1200" s="3" t="s">
        <v>122</v>
      </c>
      <c r="J1200" s="3">
        <v>51</v>
      </c>
      <c r="K1200" s="3">
        <v>51</v>
      </c>
      <c r="L1200" s="3">
        <v>0</v>
      </c>
      <c r="M1200" s="3">
        <v>0</v>
      </c>
      <c r="N1200" s="3">
        <v>51</v>
      </c>
      <c r="O1200" s="3">
        <v>0.22</v>
      </c>
      <c r="P1200" s="3">
        <v>0</v>
      </c>
      <c r="Q1200" s="3">
        <v>0</v>
      </c>
      <c r="R1200" s="3">
        <v>0</v>
      </c>
    </row>
    <row r="1201" spans="1:18">
      <c r="A1201" s="3" t="s">
        <v>2991</v>
      </c>
      <c r="B1201" s="3" t="s">
        <v>2992</v>
      </c>
      <c r="C1201" s="3" t="s">
        <v>2992</v>
      </c>
      <c r="D1201" s="3" t="s">
        <v>2993</v>
      </c>
      <c r="E1201" s="3" t="s">
        <v>120</v>
      </c>
      <c r="F1201" s="3">
        <v>23.98</v>
      </c>
      <c r="G1201" s="3" t="s">
        <v>121</v>
      </c>
      <c r="H1201" s="3"/>
      <c r="I1201" s="3" t="s">
        <v>122</v>
      </c>
      <c r="J1201" s="3">
        <v>30</v>
      </c>
      <c r="K1201" s="3">
        <v>27</v>
      </c>
      <c r="L1201" s="3">
        <v>0</v>
      </c>
      <c r="M1201" s="3">
        <v>3</v>
      </c>
      <c r="N1201" s="3">
        <v>30</v>
      </c>
      <c r="O1201" s="3">
        <v>0.11</v>
      </c>
      <c r="P1201" s="3">
        <v>0</v>
      </c>
      <c r="Q1201" s="3">
        <v>0</v>
      </c>
      <c r="R1201" s="3">
        <v>0</v>
      </c>
    </row>
    <row r="1202" spans="1:18">
      <c r="A1202" s="3" t="s">
        <v>2994</v>
      </c>
      <c r="B1202" s="3" t="s">
        <v>2995</v>
      </c>
      <c r="C1202" s="3" t="s">
        <v>2995</v>
      </c>
      <c r="D1202" s="3" t="s">
        <v>2996</v>
      </c>
      <c r="E1202" s="3" t="s">
        <v>120</v>
      </c>
      <c r="F1202" s="3">
        <v>23.98</v>
      </c>
      <c r="G1202" s="3" t="s">
        <v>121</v>
      </c>
      <c r="H1202" s="3"/>
      <c r="I1202" s="3" t="s">
        <v>122</v>
      </c>
      <c r="J1202" s="3">
        <v>14</v>
      </c>
      <c r="K1202" s="3">
        <v>14</v>
      </c>
      <c r="L1202" s="3">
        <v>0</v>
      </c>
      <c r="M1202" s="3">
        <v>0</v>
      </c>
      <c r="N1202" s="3">
        <v>14</v>
      </c>
      <c r="O1202" s="3">
        <v>0.06</v>
      </c>
      <c r="P1202" s="3">
        <v>0</v>
      </c>
      <c r="Q1202" s="3">
        <v>0</v>
      </c>
      <c r="R1202" s="3">
        <v>0</v>
      </c>
    </row>
    <row r="1203" spans="1:18">
      <c r="A1203" s="3" t="s">
        <v>2997</v>
      </c>
      <c r="B1203" s="3" t="s">
        <v>2998</v>
      </c>
      <c r="C1203" s="3" t="s">
        <v>2998</v>
      </c>
      <c r="D1203" s="3" t="s">
        <v>2999</v>
      </c>
      <c r="E1203" s="3" t="s">
        <v>120</v>
      </c>
      <c r="F1203" s="3">
        <v>23.98</v>
      </c>
      <c r="G1203" s="3" t="s">
        <v>121</v>
      </c>
      <c r="H1203" s="3"/>
      <c r="I1203" s="3" t="s">
        <v>122</v>
      </c>
      <c r="J1203" s="3">
        <v>8</v>
      </c>
      <c r="K1203" s="3">
        <v>8</v>
      </c>
      <c r="L1203" s="3">
        <v>0</v>
      </c>
      <c r="M1203" s="3">
        <v>0</v>
      </c>
      <c r="N1203" s="3">
        <v>8</v>
      </c>
      <c r="O1203" s="3">
        <v>0.1</v>
      </c>
      <c r="P1203" s="3">
        <v>0</v>
      </c>
      <c r="Q1203" s="3">
        <v>0</v>
      </c>
      <c r="R1203" s="3">
        <v>0</v>
      </c>
    </row>
    <row r="1204" spans="1:18">
      <c r="A1204" s="3" t="s">
        <v>3000</v>
      </c>
      <c r="B1204" s="3" t="s">
        <v>3001</v>
      </c>
      <c r="C1204" s="3" t="s">
        <v>3001</v>
      </c>
      <c r="D1204" s="3" t="s">
        <v>3002</v>
      </c>
      <c r="E1204" s="3" t="s">
        <v>120</v>
      </c>
      <c r="F1204" s="3">
        <v>23.98</v>
      </c>
      <c r="G1204" s="3" t="s">
        <v>121</v>
      </c>
      <c r="H1204" s="3"/>
      <c r="I1204" s="3" t="s">
        <v>122</v>
      </c>
      <c r="J1204" s="3">
        <v>49</v>
      </c>
      <c r="K1204" s="3">
        <v>49</v>
      </c>
      <c r="L1204" s="3">
        <v>0</v>
      </c>
      <c r="M1204" s="3">
        <v>0</v>
      </c>
      <c r="N1204" s="3">
        <v>49</v>
      </c>
      <c r="O1204" s="3">
        <v>0.15</v>
      </c>
      <c r="P1204" s="3">
        <v>0</v>
      </c>
      <c r="Q1204" s="3">
        <v>0</v>
      </c>
      <c r="R1204" s="3">
        <v>0</v>
      </c>
    </row>
    <row r="1205" spans="1:18">
      <c r="A1205" s="3" t="s">
        <v>3003</v>
      </c>
      <c r="B1205" s="3" t="s">
        <v>3004</v>
      </c>
      <c r="C1205" s="3" t="s">
        <v>3004</v>
      </c>
      <c r="D1205" s="3" t="s">
        <v>3005</v>
      </c>
      <c r="E1205" s="3" t="s">
        <v>120</v>
      </c>
      <c r="F1205" s="3">
        <v>23.98</v>
      </c>
      <c r="G1205" s="3" t="s">
        <v>121</v>
      </c>
      <c r="H1205" s="3"/>
      <c r="I1205" s="3" t="s">
        <v>122</v>
      </c>
      <c r="J1205" s="3">
        <v>0</v>
      </c>
      <c r="K1205" s="3">
        <v>0</v>
      </c>
      <c r="L1205" s="3">
        <v>0</v>
      </c>
      <c r="M1205" s="3">
        <v>0</v>
      </c>
      <c r="N1205" s="3">
        <v>0</v>
      </c>
      <c r="O1205" s="3">
        <v>0.11</v>
      </c>
      <c r="P1205" s="3">
        <v>0</v>
      </c>
      <c r="Q1205" s="3">
        <v>0</v>
      </c>
      <c r="R1205" s="3">
        <v>0</v>
      </c>
    </row>
    <row r="1206" spans="1:18">
      <c r="A1206" s="3" t="s">
        <v>3006</v>
      </c>
      <c r="B1206" s="3" t="s">
        <v>3007</v>
      </c>
      <c r="C1206" s="3" t="s">
        <v>3007</v>
      </c>
      <c r="D1206" s="3" t="s">
        <v>3008</v>
      </c>
      <c r="E1206" s="3" t="s">
        <v>120</v>
      </c>
      <c r="F1206" s="3">
        <v>23.98</v>
      </c>
      <c r="G1206" s="3" t="s">
        <v>121</v>
      </c>
      <c r="H1206" s="3"/>
      <c r="I1206" s="3" t="s">
        <v>122</v>
      </c>
      <c r="J1206" s="3">
        <v>31</v>
      </c>
      <c r="K1206" s="3">
        <v>30</v>
      </c>
      <c r="L1206" s="3">
        <v>0</v>
      </c>
      <c r="M1206" s="3">
        <v>1</v>
      </c>
      <c r="N1206" s="3">
        <v>31</v>
      </c>
      <c r="O1206" s="3">
        <v>0.05</v>
      </c>
      <c r="P1206" s="3">
        <v>0</v>
      </c>
      <c r="Q1206" s="3">
        <v>0</v>
      </c>
      <c r="R1206" s="3">
        <v>0</v>
      </c>
    </row>
    <row r="1207" spans="1:18">
      <c r="A1207" s="3" t="s">
        <v>3009</v>
      </c>
      <c r="B1207" s="3" t="s">
        <v>3010</v>
      </c>
      <c r="C1207" s="3" t="s">
        <v>3010</v>
      </c>
      <c r="D1207" s="3" t="s">
        <v>3011</v>
      </c>
      <c r="E1207" s="3" t="s">
        <v>120</v>
      </c>
      <c r="F1207" s="3">
        <v>23.98</v>
      </c>
      <c r="G1207" s="3" t="s">
        <v>121</v>
      </c>
      <c r="H1207" s="3"/>
      <c r="I1207" s="3" t="s">
        <v>122</v>
      </c>
      <c r="J1207" s="3">
        <v>34</v>
      </c>
      <c r="K1207" s="3">
        <v>34</v>
      </c>
      <c r="L1207" s="3">
        <v>0</v>
      </c>
      <c r="M1207" s="3">
        <v>0</v>
      </c>
      <c r="N1207" s="3">
        <v>34</v>
      </c>
      <c r="O1207" s="3">
        <v>0.11</v>
      </c>
      <c r="P1207" s="3">
        <v>0</v>
      </c>
      <c r="Q1207" s="3">
        <v>0</v>
      </c>
      <c r="R1207" s="3">
        <v>0</v>
      </c>
    </row>
    <row r="1208" spans="1:18">
      <c r="A1208" s="3" t="s">
        <v>3012</v>
      </c>
      <c r="B1208" s="3" t="s">
        <v>3013</v>
      </c>
      <c r="C1208" s="3" t="s">
        <v>3013</v>
      </c>
      <c r="D1208" s="3" t="s">
        <v>3014</v>
      </c>
      <c r="E1208" s="3" t="s">
        <v>120</v>
      </c>
      <c r="F1208" s="3">
        <v>39.98</v>
      </c>
      <c r="G1208" s="3" t="s">
        <v>121</v>
      </c>
      <c r="H1208" s="3"/>
      <c r="I1208" s="3" t="s">
        <v>122</v>
      </c>
      <c r="J1208" s="3">
        <v>10</v>
      </c>
      <c r="K1208" s="3">
        <v>10</v>
      </c>
      <c r="L1208" s="3">
        <v>0</v>
      </c>
      <c r="M1208" s="3">
        <v>0</v>
      </c>
      <c r="N1208" s="3">
        <v>10</v>
      </c>
      <c r="O1208" s="3">
        <v>0.1</v>
      </c>
      <c r="P1208" s="3">
        <v>0</v>
      </c>
      <c r="Q1208" s="3">
        <v>0</v>
      </c>
      <c r="R1208" s="3">
        <v>0</v>
      </c>
    </row>
    <row r="1209" spans="1:18">
      <c r="A1209" s="3" t="s">
        <v>3015</v>
      </c>
      <c r="B1209" s="3" t="s">
        <v>3016</v>
      </c>
      <c r="C1209" s="3" t="s">
        <v>3016</v>
      </c>
      <c r="D1209" s="3" t="s">
        <v>3017</v>
      </c>
      <c r="E1209" s="3" t="s">
        <v>120</v>
      </c>
      <c r="F1209" s="3">
        <v>23.98</v>
      </c>
      <c r="G1209" s="3" t="s">
        <v>121</v>
      </c>
      <c r="H1209" s="3"/>
      <c r="I1209" s="3" t="s">
        <v>122</v>
      </c>
      <c r="J1209" s="3">
        <v>41</v>
      </c>
      <c r="K1209" s="3">
        <v>41</v>
      </c>
      <c r="L1209" s="3">
        <v>0</v>
      </c>
      <c r="M1209" s="3">
        <v>0</v>
      </c>
      <c r="N1209" s="3">
        <v>41</v>
      </c>
      <c r="O1209" s="3">
        <v>0.27</v>
      </c>
      <c r="P1209" s="3">
        <v>0</v>
      </c>
      <c r="Q1209" s="3">
        <v>0</v>
      </c>
      <c r="R1209" s="3">
        <v>0</v>
      </c>
    </row>
    <row r="1210" spans="1:18">
      <c r="A1210" s="3" t="s">
        <v>3018</v>
      </c>
      <c r="B1210" s="3" t="s">
        <v>3019</v>
      </c>
      <c r="C1210" s="3" t="s">
        <v>3019</v>
      </c>
      <c r="D1210" s="3" t="s">
        <v>3020</v>
      </c>
      <c r="E1210" s="3" t="s">
        <v>120</v>
      </c>
      <c r="F1210" s="3">
        <v>23.98</v>
      </c>
      <c r="G1210" s="3" t="s">
        <v>121</v>
      </c>
      <c r="H1210" s="3"/>
      <c r="I1210" s="3" t="s">
        <v>122</v>
      </c>
      <c r="J1210" s="3">
        <v>29</v>
      </c>
      <c r="K1210" s="3">
        <v>28</v>
      </c>
      <c r="L1210" s="3">
        <v>0</v>
      </c>
      <c r="M1210" s="3">
        <v>1</v>
      </c>
      <c r="N1210" s="3">
        <v>29</v>
      </c>
      <c r="O1210" s="3">
        <v>0.21</v>
      </c>
      <c r="P1210" s="3">
        <v>0</v>
      </c>
      <c r="Q1210" s="3">
        <v>0</v>
      </c>
      <c r="R1210" s="3">
        <v>0</v>
      </c>
    </row>
    <row r="1211" spans="1:18">
      <c r="A1211" s="3" t="s">
        <v>3021</v>
      </c>
      <c r="B1211" s="3" t="s">
        <v>3022</v>
      </c>
      <c r="C1211" s="3" t="s">
        <v>3022</v>
      </c>
      <c r="D1211" s="3" t="s">
        <v>3023</v>
      </c>
      <c r="E1211" s="3" t="s">
        <v>120</v>
      </c>
      <c r="F1211" s="3">
        <v>23.98</v>
      </c>
      <c r="G1211" s="3" t="s">
        <v>121</v>
      </c>
      <c r="H1211" s="3"/>
      <c r="I1211" s="3" t="s">
        <v>122</v>
      </c>
      <c r="J1211" s="3">
        <v>74</v>
      </c>
      <c r="K1211" s="3">
        <v>74</v>
      </c>
      <c r="L1211" s="3">
        <v>0</v>
      </c>
      <c r="M1211" s="3">
        <v>0</v>
      </c>
      <c r="N1211" s="3">
        <v>74</v>
      </c>
      <c r="O1211" s="3">
        <v>0.18</v>
      </c>
      <c r="P1211" s="3">
        <v>0</v>
      </c>
      <c r="Q1211" s="3">
        <v>0</v>
      </c>
      <c r="R1211" s="3">
        <v>0</v>
      </c>
    </row>
    <row r="1212" spans="1:18">
      <c r="A1212" s="3" t="s">
        <v>3024</v>
      </c>
      <c r="B1212" s="3" t="s">
        <v>3025</v>
      </c>
      <c r="C1212" s="3" t="s">
        <v>3025</v>
      </c>
      <c r="D1212" s="3" t="s">
        <v>3026</v>
      </c>
      <c r="E1212" s="3" t="s">
        <v>120</v>
      </c>
      <c r="F1212" s="3">
        <v>23.98</v>
      </c>
      <c r="G1212" s="3" t="s">
        <v>121</v>
      </c>
      <c r="H1212" s="3"/>
      <c r="I1212" s="3" t="s">
        <v>122</v>
      </c>
      <c r="J1212" s="3">
        <v>19</v>
      </c>
      <c r="K1212" s="3">
        <v>18</v>
      </c>
      <c r="L1212" s="3">
        <v>0</v>
      </c>
      <c r="M1212" s="3">
        <v>1</v>
      </c>
      <c r="N1212" s="3">
        <v>19</v>
      </c>
      <c r="O1212" s="3">
        <v>0.1</v>
      </c>
      <c r="P1212" s="3">
        <v>0</v>
      </c>
      <c r="Q1212" s="3">
        <v>0</v>
      </c>
      <c r="R1212" s="3">
        <v>0</v>
      </c>
    </row>
    <row r="1213" spans="1:18">
      <c r="A1213" s="3" t="s">
        <v>3027</v>
      </c>
      <c r="B1213" s="3" t="s">
        <v>3028</v>
      </c>
      <c r="C1213" s="3" t="s">
        <v>3028</v>
      </c>
      <c r="D1213" s="3" t="s">
        <v>3029</v>
      </c>
      <c r="E1213" s="3" t="s">
        <v>120</v>
      </c>
      <c r="F1213" s="3">
        <v>39.98</v>
      </c>
      <c r="G1213" s="3" t="s">
        <v>121</v>
      </c>
      <c r="H1213" s="3"/>
      <c r="I1213" s="3" t="s">
        <v>122</v>
      </c>
      <c r="J1213" s="3">
        <v>0</v>
      </c>
      <c r="K1213" s="3">
        <v>0</v>
      </c>
      <c r="L1213" s="3">
        <v>0</v>
      </c>
      <c r="M1213" s="3">
        <v>0</v>
      </c>
      <c r="N1213" s="3">
        <v>0</v>
      </c>
      <c r="O1213" s="3">
        <v>0.16</v>
      </c>
      <c r="P1213" s="3">
        <v>0</v>
      </c>
      <c r="Q1213" s="3">
        <v>0</v>
      </c>
      <c r="R1213" s="3">
        <v>0</v>
      </c>
    </row>
    <row r="1214" spans="1:18">
      <c r="A1214" s="3" t="s">
        <v>3030</v>
      </c>
      <c r="B1214" s="3" t="s">
        <v>3031</v>
      </c>
      <c r="C1214" s="3" t="s">
        <v>3031</v>
      </c>
      <c r="D1214" s="3" t="s">
        <v>3032</v>
      </c>
      <c r="E1214" s="3" t="s">
        <v>120</v>
      </c>
      <c r="F1214" s="3">
        <v>23.98</v>
      </c>
      <c r="G1214" s="3" t="s">
        <v>121</v>
      </c>
      <c r="H1214" s="3"/>
      <c r="I1214" s="3" t="s">
        <v>122</v>
      </c>
      <c r="J1214" s="3">
        <v>27</v>
      </c>
      <c r="K1214" s="3">
        <v>23</v>
      </c>
      <c r="L1214" s="3">
        <v>0</v>
      </c>
      <c r="M1214" s="3">
        <v>4</v>
      </c>
      <c r="N1214" s="3">
        <v>27</v>
      </c>
      <c r="O1214" s="3">
        <v>0.09</v>
      </c>
      <c r="P1214" s="3">
        <v>0</v>
      </c>
      <c r="Q1214" s="3">
        <v>0</v>
      </c>
      <c r="R1214" s="3">
        <v>0</v>
      </c>
    </row>
    <row r="1215" spans="1:18">
      <c r="A1215" s="3" t="s">
        <v>3033</v>
      </c>
      <c r="B1215" s="3" t="s">
        <v>3034</v>
      </c>
      <c r="C1215" s="3" t="s">
        <v>3034</v>
      </c>
      <c r="D1215" s="3" t="s">
        <v>3035</v>
      </c>
      <c r="E1215" s="3" t="s">
        <v>120</v>
      </c>
      <c r="F1215" s="3">
        <v>22.98</v>
      </c>
      <c r="G1215" s="3" t="s">
        <v>121</v>
      </c>
      <c r="H1215" s="3"/>
      <c r="I1215" s="3" t="s">
        <v>122</v>
      </c>
      <c r="J1215" s="3">
        <v>18</v>
      </c>
      <c r="K1215" s="3">
        <v>18</v>
      </c>
      <c r="L1215" s="3">
        <v>0</v>
      </c>
      <c r="M1215" s="3">
        <v>0</v>
      </c>
      <c r="N1215" s="3">
        <v>18</v>
      </c>
      <c r="O1215" s="3">
        <v>0.18</v>
      </c>
      <c r="P1215" s="3">
        <v>0</v>
      </c>
      <c r="Q1215" s="3">
        <v>0</v>
      </c>
      <c r="R1215" s="3">
        <v>0</v>
      </c>
    </row>
    <row r="1216" spans="1:18">
      <c r="A1216" s="3" t="s">
        <v>3036</v>
      </c>
      <c r="B1216" s="3" t="s">
        <v>3037</v>
      </c>
      <c r="C1216" s="3" t="s">
        <v>3037</v>
      </c>
      <c r="D1216" s="3" t="s">
        <v>2018</v>
      </c>
      <c r="E1216" s="3" t="s">
        <v>120</v>
      </c>
      <c r="F1216" s="3">
        <v>39.98</v>
      </c>
      <c r="G1216" s="3" t="s">
        <v>121</v>
      </c>
      <c r="H1216" s="3"/>
      <c r="I1216" s="3" t="s">
        <v>122</v>
      </c>
      <c r="J1216" s="3">
        <v>25</v>
      </c>
      <c r="K1216" s="3">
        <v>25</v>
      </c>
      <c r="L1216" s="3">
        <v>0</v>
      </c>
      <c r="M1216" s="3">
        <v>0</v>
      </c>
      <c r="N1216" s="3">
        <v>25</v>
      </c>
      <c r="O1216" s="3">
        <v>0.1</v>
      </c>
      <c r="P1216" s="3">
        <v>0</v>
      </c>
      <c r="Q1216" s="3">
        <v>0</v>
      </c>
      <c r="R1216" s="3">
        <v>0</v>
      </c>
    </row>
    <row r="1217" spans="1:18">
      <c r="A1217" s="3" t="s">
        <v>3038</v>
      </c>
      <c r="B1217" s="3" t="s">
        <v>3039</v>
      </c>
      <c r="C1217" s="3" t="s">
        <v>3039</v>
      </c>
      <c r="D1217" s="3" t="s">
        <v>3040</v>
      </c>
      <c r="E1217" s="3" t="s">
        <v>120</v>
      </c>
      <c r="F1217" s="3">
        <v>23.98</v>
      </c>
      <c r="G1217" s="3" t="s">
        <v>121</v>
      </c>
      <c r="H1217" s="3"/>
      <c r="I1217" s="3" t="s">
        <v>122</v>
      </c>
      <c r="J1217" s="3">
        <v>30</v>
      </c>
      <c r="K1217" s="3">
        <v>30</v>
      </c>
      <c r="L1217" s="3">
        <v>0</v>
      </c>
      <c r="M1217" s="3">
        <v>0</v>
      </c>
      <c r="N1217" s="3">
        <v>30</v>
      </c>
      <c r="O1217" s="3">
        <v>0.09</v>
      </c>
      <c r="P1217" s="3">
        <v>0</v>
      </c>
      <c r="Q1217" s="3">
        <v>0</v>
      </c>
      <c r="R1217" s="3">
        <v>0</v>
      </c>
    </row>
    <row r="1218" spans="1:18">
      <c r="A1218" s="3" t="s">
        <v>3041</v>
      </c>
      <c r="B1218" s="3" t="s">
        <v>3042</v>
      </c>
      <c r="C1218" s="3" t="s">
        <v>3042</v>
      </c>
      <c r="D1218" s="3" t="s">
        <v>2026</v>
      </c>
      <c r="E1218" s="3" t="s">
        <v>120</v>
      </c>
      <c r="F1218" s="3">
        <v>39.98</v>
      </c>
      <c r="G1218" s="3" t="s">
        <v>121</v>
      </c>
      <c r="H1218" s="3"/>
      <c r="I1218" s="3" t="s">
        <v>122</v>
      </c>
      <c r="J1218" s="3">
        <v>22</v>
      </c>
      <c r="K1218" s="3">
        <v>22</v>
      </c>
      <c r="L1218" s="3">
        <v>0</v>
      </c>
      <c r="M1218" s="3">
        <v>0</v>
      </c>
      <c r="N1218" s="3">
        <v>22</v>
      </c>
      <c r="O1218" s="3">
        <v>0.21</v>
      </c>
      <c r="P1218" s="3">
        <v>0</v>
      </c>
      <c r="Q1218" s="3">
        <v>0</v>
      </c>
      <c r="R1218" s="3">
        <v>0</v>
      </c>
    </row>
    <row r="1219" spans="1:18">
      <c r="A1219" s="3" t="s">
        <v>3043</v>
      </c>
      <c r="B1219" s="3" t="s">
        <v>3044</v>
      </c>
      <c r="C1219" s="3" t="s">
        <v>3044</v>
      </c>
      <c r="D1219" s="3" t="s">
        <v>3045</v>
      </c>
      <c r="E1219" s="3" t="s">
        <v>120</v>
      </c>
      <c r="F1219" s="3">
        <v>39.98</v>
      </c>
      <c r="G1219" s="3" t="s">
        <v>121</v>
      </c>
      <c r="H1219" s="3"/>
      <c r="I1219" s="3" t="s">
        <v>122</v>
      </c>
      <c r="J1219" s="3">
        <v>8</v>
      </c>
      <c r="K1219" s="3">
        <v>8</v>
      </c>
      <c r="L1219" s="3">
        <v>0</v>
      </c>
      <c r="M1219" s="3">
        <v>0</v>
      </c>
      <c r="N1219" s="3">
        <v>8</v>
      </c>
      <c r="O1219" s="3">
        <v>0.1</v>
      </c>
      <c r="P1219" s="3">
        <v>0</v>
      </c>
      <c r="Q1219" s="3">
        <v>0</v>
      </c>
      <c r="R1219" s="3">
        <v>0</v>
      </c>
    </row>
    <row r="1220" spans="1:18">
      <c r="A1220" s="3" t="s">
        <v>3046</v>
      </c>
      <c r="B1220" s="3" t="s">
        <v>3047</v>
      </c>
      <c r="C1220" s="3" t="s">
        <v>3047</v>
      </c>
      <c r="D1220" s="3" t="s">
        <v>3048</v>
      </c>
      <c r="E1220" s="3" t="s">
        <v>120</v>
      </c>
      <c r="F1220" s="3">
        <v>23.98</v>
      </c>
      <c r="G1220" s="3" t="s">
        <v>121</v>
      </c>
      <c r="H1220" s="3"/>
      <c r="I1220" s="3" t="s">
        <v>122</v>
      </c>
      <c r="J1220" s="3">
        <v>52</v>
      </c>
      <c r="K1220" s="3">
        <v>52</v>
      </c>
      <c r="L1220" s="3">
        <v>0</v>
      </c>
      <c r="M1220" s="3">
        <v>0</v>
      </c>
      <c r="N1220" s="3">
        <v>52</v>
      </c>
      <c r="O1220" s="3">
        <v>0.09</v>
      </c>
      <c r="P1220" s="3">
        <v>0</v>
      </c>
      <c r="Q1220" s="3">
        <v>0</v>
      </c>
      <c r="R1220" s="3">
        <v>0</v>
      </c>
    </row>
    <row r="1221" spans="1:18">
      <c r="A1221" s="3" t="s">
        <v>3049</v>
      </c>
      <c r="B1221" s="3" t="s">
        <v>3050</v>
      </c>
      <c r="C1221" s="3" t="s">
        <v>3050</v>
      </c>
      <c r="D1221" s="3" t="s">
        <v>3051</v>
      </c>
      <c r="E1221" s="3" t="s">
        <v>120</v>
      </c>
      <c r="F1221" s="3">
        <v>23.98</v>
      </c>
      <c r="G1221" s="3" t="s">
        <v>121</v>
      </c>
      <c r="H1221" s="3"/>
      <c r="I1221" s="3" t="s">
        <v>122</v>
      </c>
      <c r="J1221" s="3">
        <v>14</v>
      </c>
      <c r="K1221" s="3">
        <v>14</v>
      </c>
      <c r="L1221" s="3">
        <v>0</v>
      </c>
      <c r="M1221" s="3">
        <v>0</v>
      </c>
      <c r="N1221" s="3">
        <v>14</v>
      </c>
      <c r="O1221" s="3">
        <v>0.11</v>
      </c>
      <c r="P1221" s="3">
        <v>0</v>
      </c>
      <c r="Q1221" s="3">
        <v>0</v>
      </c>
      <c r="R1221" s="3">
        <v>0</v>
      </c>
    </row>
    <row r="1222" spans="1:18">
      <c r="A1222" s="3" t="s">
        <v>3052</v>
      </c>
      <c r="B1222" s="3" t="s">
        <v>3053</v>
      </c>
      <c r="C1222" s="3" t="s">
        <v>3053</v>
      </c>
      <c r="D1222" s="3" t="s">
        <v>3054</v>
      </c>
      <c r="E1222" s="3" t="s">
        <v>120</v>
      </c>
      <c r="F1222" s="3">
        <v>23.98</v>
      </c>
      <c r="G1222" s="3" t="s">
        <v>121</v>
      </c>
      <c r="H1222" s="3"/>
      <c r="I1222" s="3" t="s">
        <v>122</v>
      </c>
      <c r="J1222" s="3">
        <v>26</v>
      </c>
      <c r="K1222" s="3">
        <v>26</v>
      </c>
      <c r="L1222" s="3">
        <v>0</v>
      </c>
      <c r="M1222" s="3">
        <v>0</v>
      </c>
      <c r="N1222" s="3">
        <v>26</v>
      </c>
      <c r="O1222" s="3">
        <v>0.21</v>
      </c>
      <c r="P1222" s="3">
        <v>0</v>
      </c>
      <c r="Q1222" s="3">
        <v>0</v>
      </c>
      <c r="R1222" s="3">
        <v>0</v>
      </c>
    </row>
    <row r="1223" spans="1:18">
      <c r="A1223" s="3" t="s">
        <v>3055</v>
      </c>
      <c r="B1223" s="3" t="s">
        <v>3056</v>
      </c>
      <c r="C1223" s="3" t="s">
        <v>3056</v>
      </c>
      <c r="D1223" s="3" t="s">
        <v>3057</v>
      </c>
      <c r="E1223" s="3" t="s">
        <v>120</v>
      </c>
      <c r="F1223" s="3">
        <v>23.98</v>
      </c>
      <c r="G1223" s="3" t="s">
        <v>121</v>
      </c>
      <c r="H1223" s="3"/>
      <c r="I1223" s="3" t="s">
        <v>122</v>
      </c>
      <c r="J1223" s="3">
        <v>0</v>
      </c>
      <c r="K1223" s="3">
        <v>0</v>
      </c>
      <c r="L1223" s="3">
        <v>0</v>
      </c>
      <c r="M1223" s="3">
        <v>0</v>
      </c>
      <c r="N1223" s="3">
        <v>0</v>
      </c>
      <c r="O1223" s="3">
        <v>0.1</v>
      </c>
      <c r="P1223" s="3">
        <v>0</v>
      </c>
      <c r="Q1223" s="3">
        <v>0</v>
      </c>
      <c r="R1223" s="3">
        <v>0</v>
      </c>
    </row>
    <row r="1224" spans="1:18">
      <c r="A1224" s="3" t="s">
        <v>3058</v>
      </c>
      <c r="B1224" s="3" t="s">
        <v>3059</v>
      </c>
      <c r="C1224" s="3" t="s">
        <v>3059</v>
      </c>
      <c r="D1224" s="3" t="s">
        <v>3060</v>
      </c>
      <c r="E1224" s="3" t="s">
        <v>120</v>
      </c>
      <c r="F1224" s="3">
        <v>39.98</v>
      </c>
      <c r="G1224" s="3" t="s">
        <v>121</v>
      </c>
      <c r="H1224" s="3"/>
      <c r="I1224" s="3" t="s">
        <v>122</v>
      </c>
      <c r="J1224" s="3">
        <v>8</v>
      </c>
      <c r="K1224" s="3">
        <v>8</v>
      </c>
      <c r="L1224" s="3">
        <v>0</v>
      </c>
      <c r="M1224" s="3">
        <v>0</v>
      </c>
      <c r="N1224" s="3">
        <v>8</v>
      </c>
      <c r="O1224" s="3">
        <v>0.1</v>
      </c>
      <c r="P1224" s="3">
        <v>0</v>
      </c>
      <c r="Q1224" s="3">
        <v>0</v>
      </c>
      <c r="R1224" s="3">
        <v>0</v>
      </c>
    </row>
    <row r="1225" spans="1:18">
      <c r="A1225" s="3" t="s">
        <v>3061</v>
      </c>
      <c r="B1225" s="3" t="s">
        <v>3062</v>
      </c>
      <c r="C1225" s="3" t="s">
        <v>3062</v>
      </c>
      <c r="D1225" s="3" t="s">
        <v>3063</v>
      </c>
      <c r="E1225" s="3" t="s">
        <v>120</v>
      </c>
      <c r="F1225" s="3">
        <v>39.98</v>
      </c>
      <c r="G1225" s="3" t="s">
        <v>121</v>
      </c>
      <c r="H1225" s="3"/>
      <c r="I1225" s="3" t="s">
        <v>122</v>
      </c>
      <c r="J1225" s="3">
        <v>49</v>
      </c>
      <c r="K1225" s="3">
        <v>49</v>
      </c>
      <c r="L1225" s="3">
        <v>0</v>
      </c>
      <c r="M1225" s="3">
        <v>0</v>
      </c>
      <c r="N1225" s="3">
        <v>49</v>
      </c>
      <c r="O1225" s="3">
        <v>0.21</v>
      </c>
      <c r="P1225" s="3">
        <v>0</v>
      </c>
      <c r="Q1225" s="3">
        <v>0</v>
      </c>
      <c r="R1225" s="3">
        <v>0</v>
      </c>
    </row>
    <row r="1226" spans="1:18">
      <c r="A1226" s="3" t="s">
        <v>3064</v>
      </c>
      <c r="B1226" s="3" t="s">
        <v>3065</v>
      </c>
      <c r="C1226" s="3" t="s">
        <v>3065</v>
      </c>
      <c r="D1226" s="3" t="s">
        <v>3066</v>
      </c>
      <c r="E1226" s="3" t="s">
        <v>120</v>
      </c>
      <c r="F1226" s="3">
        <v>39.98</v>
      </c>
      <c r="G1226" s="3" t="s">
        <v>121</v>
      </c>
      <c r="H1226" s="3"/>
      <c r="I1226" s="3" t="s">
        <v>122</v>
      </c>
      <c r="J1226" s="3">
        <v>30</v>
      </c>
      <c r="K1226" s="3">
        <v>30</v>
      </c>
      <c r="L1226" s="3">
        <v>0</v>
      </c>
      <c r="M1226" s="3">
        <v>0</v>
      </c>
      <c r="N1226" s="3">
        <v>30</v>
      </c>
      <c r="O1226" s="3">
        <v>0.21</v>
      </c>
      <c r="P1226" s="3">
        <v>0</v>
      </c>
      <c r="Q1226" s="3">
        <v>0</v>
      </c>
      <c r="R1226" s="3">
        <v>0</v>
      </c>
    </row>
    <row r="1227" spans="1:18">
      <c r="A1227" s="3" t="s">
        <v>3067</v>
      </c>
      <c r="B1227" s="3" t="s">
        <v>3068</v>
      </c>
      <c r="C1227" s="3" t="s">
        <v>3068</v>
      </c>
      <c r="D1227" s="3" t="s">
        <v>2098</v>
      </c>
      <c r="E1227" s="3" t="s">
        <v>120</v>
      </c>
      <c r="F1227" s="3">
        <v>39.98</v>
      </c>
      <c r="G1227" s="3" t="s">
        <v>121</v>
      </c>
      <c r="H1227" s="3"/>
      <c r="I1227" s="3" t="s">
        <v>122</v>
      </c>
      <c r="J1227" s="3">
        <v>10</v>
      </c>
      <c r="K1227" s="3">
        <v>10</v>
      </c>
      <c r="L1227" s="3">
        <v>0</v>
      </c>
      <c r="M1227" s="3">
        <v>0</v>
      </c>
      <c r="N1227" s="3">
        <v>10</v>
      </c>
      <c r="O1227" s="3">
        <v>0.1</v>
      </c>
      <c r="P1227" s="3">
        <v>0</v>
      </c>
      <c r="Q1227" s="3">
        <v>0</v>
      </c>
      <c r="R1227" s="3">
        <v>0</v>
      </c>
    </row>
    <row r="1228" spans="1:18">
      <c r="A1228" s="3" t="s">
        <v>3069</v>
      </c>
      <c r="B1228" s="3" t="s">
        <v>3070</v>
      </c>
      <c r="C1228" s="3" t="s">
        <v>3070</v>
      </c>
      <c r="D1228" s="3" t="s">
        <v>3071</v>
      </c>
      <c r="E1228" s="3" t="s">
        <v>120</v>
      </c>
      <c r="F1228" s="3">
        <v>23.98</v>
      </c>
      <c r="G1228" s="3" t="s">
        <v>121</v>
      </c>
      <c r="H1228" s="3"/>
      <c r="I1228" s="3" t="s">
        <v>122</v>
      </c>
      <c r="J1228" s="3">
        <v>29</v>
      </c>
      <c r="K1228" s="3">
        <v>28</v>
      </c>
      <c r="L1228" s="3">
        <v>0</v>
      </c>
      <c r="M1228" s="3">
        <v>1</v>
      </c>
      <c r="N1228" s="3">
        <v>29</v>
      </c>
      <c r="O1228" s="3">
        <v>0.09</v>
      </c>
      <c r="P1228" s="3">
        <v>0</v>
      </c>
      <c r="Q1228" s="3">
        <v>0</v>
      </c>
      <c r="R1228" s="3">
        <v>0</v>
      </c>
    </row>
    <row r="1229" spans="1:18">
      <c r="A1229" s="3" t="s">
        <v>3072</v>
      </c>
      <c r="B1229" s="3" t="s">
        <v>3073</v>
      </c>
      <c r="C1229" s="3" t="s">
        <v>3073</v>
      </c>
      <c r="D1229" s="3" t="s">
        <v>3074</v>
      </c>
      <c r="E1229" s="3" t="s">
        <v>120</v>
      </c>
      <c r="F1229" s="3">
        <v>23.98</v>
      </c>
      <c r="G1229" s="3" t="s">
        <v>121</v>
      </c>
      <c r="H1229" s="3"/>
      <c r="I1229" s="3" t="s">
        <v>122</v>
      </c>
      <c r="J1229" s="3">
        <v>11</v>
      </c>
      <c r="K1229" s="3">
        <v>10</v>
      </c>
      <c r="L1229" s="3">
        <v>0</v>
      </c>
      <c r="M1229" s="3">
        <v>1</v>
      </c>
      <c r="N1229" s="3">
        <v>17</v>
      </c>
      <c r="O1229" s="3">
        <v>0.11</v>
      </c>
      <c r="P1229" s="3">
        <v>0</v>
      </c>
      <c r="Q1229" s="3">
        <v>6</v>
      </c>
      <c r="R1229" s="3">
        <v>0</v>
      </c>
    </row>
    <row r="1230" spans="1:18">
      <c r="A1230" s="3" t="s">
        <v>3075</v>
      </c>
      <c r="B1230" s="3" t="s">
        <v>3076</v>
      </c>
      <c r="C1230" s="3" t="s">
        <v>3076</v>
      </c>
      <c r="D1230" s="3" t="s">
        <v>3077</v>
      </c>
      <c r="E1230" s="3" t="s">
        <v>120</v>
      </c>
      <c r="F1230" s="3">
        <v>23.98</v>
      </c>
      <c r="G1230" s="3" t="s">
        <v>121</v>
      </c>
      <c r="H1230" s="3"/>
      <c r="I1230" s="3" t="s">
        <v>122</v>
      </c>
      <c r="J1230" s="3">
        <v>17</v>
      </c>
      <c r="K1230" s="3">
        <v>17</v>
      </c>
      <c r="L1230" s="3">
        <v>0</v>
      </c>
      <c r="M1230" s="3">
        <v>0</v>
      </c>
      <c r="N1230" s="3">
        <v>17</v>
      </c>
      <c r="O1230" s="3">
        <v>0.08</v>
      </c>
      <c r="P1230" s="3">
        <v>0</v>
      </c>
      <c r="Q1230" s="3">
        <v>0</v>
      </c>
      <c r="R1230" s="3">
        <v>0</v>
      </c>
    </row>
    <row r="1231" spans="1:18">
      <c r="A1231" s="3" t="s">
        <v>3078</v>
      </c>
      <c r="B1231" s="3" t="s">
        <v>3079</v>
      </c>
      <c r="C1231" s="3" t="s">
        <v>3079</v>
      </c>
      <c r="D1231" s="3" t="s">
        <v>3080</v>
      </c>
      <c r="E1231" s="3" t="s">
        <v>120</v>
      </c>
      <c r="F1231" s="3">
        <v>23.98</v>
      </c>
      <c r="G1231" s="3" t="s">
        <v>121</v>
      </c>
      <c r="H1231" s="3"/>
      <c r="I1231" s="3" t="s">
        <v>122</v>
      </c>
      <c r="J1231" s="3">
        <v>12</v>
      </c>
      <c r="K1231" s="3">
        <v>12</v>
      </c>
      <c r="L1231" s="3">
        <v>0</v>
      </c>
      <c r="M1231" s="3">
        <v>0</v>
      </c>
      <c r="N1231" s="3">
        <v>12</v>
      </c>
      <c r="O1231" s="3">
        <v>0.08</v>
      </c>
      <c r="P1231" s="3">
        <v>0</v>
      </c>
      <c r="Q1231" s="3">
        <v>0</v>
      </c>
      <c r="R1231" s="3">
        <v>0</v>
      </c>
    </row>
    <row r="1232" spans="1:18">
      <c r="A1232" s="3" t="s">
        <v>3081</v>
      </c>
      <c r="B1232" s="3" t="s">
        <v>3082</v>
      </c>
      <c r="C1232" s="3" t="s">
        <v>3082</v>
      </c>
      <c r="D1232" s="3" t="s">
        <v>3083</v>
      </c>
      <c r="E1232" s="3" t="s">
        <v>120</v>
      </c>
      <c r="F1232" s="3">
        <v>39.98</v>
      </c>
      <c r="G1232" s="3" t="s">
        <v>121</v>
      </c>
      <c r="H1232" s="3"/>
      <c r="I1232" s="3" t="s">
        <v>122</v>
      </c>
      <c r="J1232" s="3">
        <v>40</v>
      </c>
      <c r="K1232" s="3">
        <v>40</v>
      </c>
      <c r="L1232" s="3">
        <v>0</v>
      </c>
      <c r="M1232" s="3">
        <v>0</v>
      </c>
      <c r="N1232" s="3">
        <v>40</v>
      </c>
      <c r="O1232" s="3">
        <v>0.21</v>
      </c>
      <c r="P1232" s="3">
        <v>0</v>
      </c>
      <c r="Q1232" s="3">
        <v>0</v>
      </c>
      <c r="R1232" s="3">
        <v>0</v>
      </c>
    </row>
    <row r="1233" spans="1:18">
      <c r="A1233" s="3" t="s">
        <v>3084</v>
      </c>
      <c r="B1233" s="3" t="s">
        <v>3085</v>
      </c>
      <c r="C1233" s="3" t="s">
        <v>3085</v>
      </c>
      <c r="D1233" s="3" t="s">
        <v>3086</v>
      </c>
      <c r="E1233" s="3" t="s">
        <v>120</v>
      </c>
      <c r="F1233" s="3">
        <v>23.98</v>
      </c>
      <c r="G1233" s="3" t="s">
        <v>121</v>
      </c>
      <c r="H1233" s="3"/>
      <c r="I1233" s="3" t="s">
        <v>122</v>
      </c>
      <c r="J1233" s="3">
        <v>2</v>
      </c>
      <c r="K1233" s="3">
        <v>0</v>
      </c>
      <c r="L1233" s="3">
        <v>1</v>
      </c>
      <c r="M1233" s="3">
        <v>1</v>
      </c>
      <c r="N1233" s="3">
        <v>33</v>
      </c>
      <c r="O1233" s="3">
        <v>0.21</v>
      </c>
      <c r="P1233" s="3">
        <v>0</v>
      </c>
      <c r="Q1233" s="3">
        <v>31</v>
      </c>
      <c r="R1233" s="3">
        <v>0</v>
      </c>
    </row>
    <row r="1234" spans="1:18">
      <c r="A1234" s="3" t="s">
        <v>3087</v>
      </c>
      <c r="B1234" s="3" t="s">
        <v>3088</v>
      </c>
      <c r="C1234" s="3" t="s">
        <v>3088</v>
      </c>
      <c r="D1234" s="3" t="s">
        <v>3089</v>
      </c>
      <c r="E1234" s="3" t="s">
        <v>120</v>
      </c>
      <c r="F1234" s="3">
        <v>23.98</v>
      </c>
      <c r="G1234" s="3" t="s">
        <v>121</v>
      </c>
      <c r="H1234" s="3"/>
      <c r="I1234" s="3" t="s">
        <v>122</v>
      </c>
      <c r="J1234" s="3">
        <v>0</v>
      </c>
      <c r="K1234" s="3">
        <v>0</v>
      </c>
      <c r="L1234" s="3">
        <v>0</v>
      </c>
      <c r="M1234" s="3">
        <v>0</v>
      </c>
      <c r="N1234" s="3">
        <v>0</v>
      </c>
      <c r="O1234" s="3">
        <v>0.11</v>
      </c>
      <c r="P1234" s="3">
        <v>0</v>
      </c>
      <c r="Q1234" s="3">
        <v>0</v>
      </c>
      <c r="R1234" s="3">
        <v>0</v>
      </c>
    </row>
    <row r="1235" spans="1:18">
      <c r="A1235" s="3" t="s">
        <v>3090</v>
      </c>
      <c r="B1235" s="3" t="s">
        <v>3091</v>
      </c>
      <c r="C1235" s="3" t="s">
        <v>3091</v>
      </c>
      <c r="D1235" s="3" t="s">
        <v>3092</v>
      </c>
      <c r="E1235" s="3" t="s">
        <v>120</v>
      </c>
      <c r="F1235" s="3">
        <v>39.98</v>
      </c>
      <c r="G1235" s="3" t="s">
        <v>121</v>
      </c>
      <c r="H1235" s="3"/>
      <c r="I1235" s="3" t="s">
        <v>122</v>
      </c>
      <c r="J1235" s="3">
        <v>0</v>
      </c>
      <c r="K1235" s="3">
        <v>0</v>
      </c>
      <c r="L1235" s="3">
        <v>0</v>
      </c>
      <c r="M1235" s="3">
        <v>0</v>
      </c>
      <c r="N1235" s="3">
        <v>0</v>
      </c>
      <c r="O1235" s="3">
        <v>0.14</v>
      </c>
      <c r="P1235" s="3">
        <v>0</v>
      </c>
      <c r="Q1235" s="3">
        <v>0</v>
      </c>
      <c r="R1235" s="3">
        <v>0</v>
      </c>
    </row>
    <row r="1236" spans="1:18">
      <c r="A1236" s="3" t="s">
        <v>3093</v>
      </c>
      <c r="B1236" s="3" t="s">
        <v>3094</v>
      </c>
      <c r="C1236" s="3" t="s">
        <v>3094</v>
      </c>
      <c r="D1236" s="3" t="s">
        <v>3095</v>
      </c>
      <c r="E1236" s="3" t="s">
        <v>120</v>
      </c>
      <c r="F1236" s="3">
        <v>39.98</v>
      </c>
      <c r="G1236" s="3" t="s">
        <v>121</v>
      </c>
      <c r="H1236" s="3"/>
      <c r="I1236" s="3" t="s">
        <v>122</v>
      </c>
      <c r="J1236" s="3">
        <v>0</v>
      </c>
      <c r="K1236" s="3">
        <v>0</v>
      </c>
      <c r="L1236" s="3">
        <v>0</v>
      </c>
      <c r="M1236" s="3">
        <v>0</v>
      </c>
      <c r="N1236" s="3">
        <v>0</v>
      </c>
      <c r="O1236" s="3">
        <v>0.14</v>
      </c>
      <c r="P1236" s="3">
        <v>0</v>
      </c>
      <c r="Q1236" s="3">
        <v>0</v>
      </c>
      <c r="R1236" s="3">
        <v>0</v>
      </c>
    </row>
    <row r="1237" spans="1:18">
      <c r="A1237" s="3" t="s">
        <v>3096</v>
      </c>
      <c r="B1237" s="3" t="s">
        <v>3097</v>
      </c>
      <c r="C1237" s="3" t="s">
        <v>3097</v>
      </c>
      <c r="D1237" s="3" t="s">
        <v>3098</v>
      </c>
      <c r="E1237" s="3" t="s">
        <v>120</v>
      </c>
      <c r="F1237" s="3">
        <v>39.98</v>
      </c>
      <c r="G1237" s="3" t="s">
        <v>121</v>
      </c>
      <c r="H1237" s="3"/>
      <c r="I1237" s="3" t="s">
        <v>122</v>
      </c>
      <c r="J1237" s="3">
        <v>1</v>
      </c>
      <c r="K1237" s="3">
        <v>0</v>
      </c>
      <c r="L1237" s="3">
        <v>0</v>
      </c>
      <c r="M1237" s="3">
        <v>1</v>
      </c>
      <c r="N1237" s="3">
        <v>1</v>
      </c>
      <c r="O1237" s="3">
        <v>0.14</v>
      </c>
      <c r="P1237" s="3">
        <v>0</v>
      </c>
      <c r="Q1237" s="3">
        <v>0</v>
      </c>
      <c r="R1237" s="3">
        <v>0</v>
      </c>
    </row>
    <row r="1238" spans="1:18">
      <c r="A1238" s="3" t="s">
        <v>3099</v>
      </c>
      <c r="B1238" s="3" t="s">
        <v>3100</v>
      </c>
      <c r="C1238" s="3" t="s">
        <v>3100</v>
      </c>
      <c r="D1238" s="3" t="s">
        <v>3101</v>
      </c>
      <c r="E1238" s="3" t="s">
        <v>120</v>
      </c>
      <c r="F1238" s="3">
        <v>39.98</v>
      </c>
      <c r="G1238" s="3" t="s">
        <v>121</v>
      </c>
      <c r="H1238" s="3"/>
      <c r="I1238" s="3" t="s">
        <v>122</v>
      </c>
      <c r="J1238" s="3">
        <v>3</v>
      </c>
      <c r="K1238" s="3">
        <v>3</v>
      </c>
      <c r="L1238" s="3">
        <v>0</v>
      </c>
      <c r="M1238" s="3">
        <v>0</v>
      </c>
      <c r="N1238" s="3">
        <v>3</v>
      </c>
      <c r="O1238" s="3">
        <v>0.14</v>
      </c>
      <c r="P1238" s="3">
        <v>0</v>
      </c>
      <c r="Q1238" s="3">
        <v>0</v>
      </c>
      <c r="R1238" s="3">
        <v>0</v>
      </c>
    </row>
    <row r="1239" spans="1:18">
      <c r="A1239" s="3" t="s">
        <v>3102</v>
      </c>
      <c r="B1239" s="3" t="s">
        <v>3103</v>
      </c>
      <c r="C1239" s="3" t="s">
        <v>3103</v>
      </c>
      <c r="D1239" s="3" t="s">
        <v>3104</v>
      </c>
      <c r="E1239" s="3" t="s">
        <v>120</v>
      </c>
      <c r="F1239" s="3">
        <v>39.98</v>
      </c>
      <c r="G1239" s="3" t="s">
        <v>121</v>
      </c>
      <c r="H1239" s="3"/>
      <c r="I1239" s="3" t="s">
        <v>122</v>
      </c>
      <c r="J1239" s="3">
        <v>0</v>
      </c>
      <c r="K1239" s="3">
        <v>0</v>
      </c>
      <c r="L1239" s="3">
        <v>0</v>
      </c>
      <c r="M1239" s="3">
        <v>0</v>
      </c>
      <c r="N1239" s="3">
        <v>0</v>
      </c>
      <c r="O1239" s="3">
        <v>0.14</v>
      </c>
      <c r="P1239" s="3">
        <v>0</v>
      </c>
      <c r="Q1239" s="3">
        <v>0</v>
      </c>
      <c r="R1239" s="3">
        <v>0</v>
      </c>
    </row>
    <row r="1240" spans="1:18">
      <c r="A1240" s="3" t="s">
        <v>3105</v>
      </c>
      <c r="B1240" s="3" t="s">
        <v>3106</v>
      </c>
      <c r="C1240" s="3" t="s">
        <v>3106</v>
      </c>
      <c r="D1240" s="3" t="s">
        <v>3107</v>
      </c>
      <c r="E1240" s="3" t="s">
        <v>120</v>
      </c>
      <c r="F1240" s="3">
        <v>39.98</v>
      </c>
      <c r="G1240" s="3" t="s">
        <v>121</v>
      </c>
      <c r="H1240" s="3"/>
      <c r="I1240" s="3" t="s">
        <v>122</v>
      </c>
      <c r="J1240" s="3">
        <v>0</v>
      </c>
      <c r="K1240" s="3">
        <v>0</v>
      </c>
      <c r="L1240" s="3">
        <v>0</v>
      </c>
      <c r="M1240" s="3">
        <v>0</v>
      </c>
      <c r="N1240" s="3">
        <v>0</v>
      </c>
      <c r="O1240" s="3">
        <v>0.14</v>
      </c>
      <c r="P1240" s="3">
        <v>0</v>
      </c>
      <c r="Q1240" s="3">
        <v>0</v>
      </c>
      <c r="R1240" s="3">
        <v>0</v>
      </c>
    </row>
    <row r="1241" spans="1:18">
      <c r="A1241" s="3" t="s">
        <v>3108</v>
      </c>
      <c r="B1241" s="3" t="s">
        <v>3109</v>
      </c>
      <c r="C1241" s="3" t="s">
        <v>3109</v>
      </c>
      <c r="D1241" s="3" t="s">
        <v>3110</v>
      </c>
      <c r="E1241" s="3" t="s">
        <v>120</v>
      </c>
      <c r="F1241" s="3">
        <v>39.98</v>
      </c>
      <c r="G1241" s="3" t="s">
        <v>121</v>
      </c>
      <c r="H1241" s="3"/>
      <c r="I1241" s="3" t="s">
        <v>122</v>
      </c>
      <c r="J1241" s="3">
        <v>0</v>
      </c>
      <c r="K1241" s="3">
        <v>0</v>
      </c>
      <c r="L1241" s="3">
        <v>0</v>
      </c>
      <c r="M1241" s="3">
        <v>0</v>
      </c>
      <c r="N1241" s="3">
        <v>0</v>
      </c>
      <c r="O1241" s="3">
        <v>0.14</v>
      </c>
      <c r="P1241" s="3">
        <v>0</v>
      </c>
      <c r="Q1241" s="3">
        <v>0</v>
      </c>
      <c r="R1241" s="3">
        <v>0</v>
      </c>
    </row>
    <row r="1242" spans="1:18">
      <c r="A1242" s="3" t="s">
        <v>3111</v>
      </c>
      <c r="B1242" s="3" t="s">
        <v>3112</v>
      </c>
      <c r="C1242" s="3" t="s">
        <v>3112</v>
      </c>
      <c r="D1242" s="3" t="s">
        <v>3113</v>
      </c>
      <c r="E1242" s="3" t="s">
        <v>120</v>
      </c>
      <c r="F1242" s="3">
        <v>39.98</v>
      </c>
      <c r="G1242" s="3" t="s">
        <v>121</v>
      </c>
      <c r="H1242" s="3"/>
      <c r="I1242" s="3" t="s">
        <v>122</v>
      </c>
      <c r="J1242" s="3">
        <v>0</v>
      </c>
      <c r="K1242" s="3">
        <v>0</v>
      </c>
      <c r="L1242" s="3">
        <v>0</v>
      </c>
      <c r="M1242" s="3">
        <v>0</v>
      </c>
      <c r="N1242" s="3">
        <v>0</v>
      </c>
      <c r="O1242" s="3">
        <v>0.14</v>
      </c>
      <c r="P1242" s="3">
        <v>0</v>
      </c>
      <c r="Q1242" s="3">
        <v>0</v>
      </c>
      <c r="R1242" s="3">
        <v>0</v>
      </c>
    </row>
    <row r="1243" spans="1:18">
      <c r="A1243" s="3" t="s">
        <v>3114</v>
      </c>
      <c r="B1243" s="3" t="s">
        <v>3115</v>
      </c>
      <c r="C1243" s="3" t="s">
        <v>3115</v>
      </c>
      <c r="D1243" s="3" t="s">
        <v>3116</v>
      </c>
      <c r="E1243" s="3" t="s">
        <v>120</v>
      </c>
      <c r="F1243" s="3">
        <v>39.98</v>
      </c>
      <c r="G1243" s="3" t="s">
        <v>121</v>
      </c>
      <c r="H1243" s="3"/>
      <c r="I1243" s="3" t="s">
        <v>122</v>
      </c>
      <c r="J1243" s="3">
        <v>2</v>
      </c>
      <c r="K1243" s="3">
        <v>2</v>
      </c>
      <c r="L1243" s="3">
        <v>0</v>
      </c>
      <c r="M1243" s="3">
        <v>0</v>
      </c>
      <c r="N1243" s="3">
        <v>2</v>
      </c>
      <c r="O1243" s="3">
        <v>0.14</v>
      </c>
      <c r="P1243" s="3">
        <v>0</v>
      </c>
      <c r="Q1243" s="3">
        <v>0</v>
      </c>
      <c r="R1243" s="3">
        <v>0</v>
      </c>
    </row>
    <row r="1244" spans="1:18">
      <c r="A1244" s="3" t="s">
        <v>3117</v>
      </c>
      <c r="B1244" s="3" t="s">
        <v>3118</v>
      </c>
      <c r="C1244" s="3" t="s">
        <v>3118</v>
      </c>
      <c r="D1244" s="3" t="s">
        <v>3119</v>
      </c>
      <c r="E1244" s="3" t="s">
        <v>120</v>
      </c>
      <c r="F1244" s="3">
        <v>39.98</v>
      </c>
      <c r="G1244" s="3" t="s">
        <v>121</v>
      </c>
      <c r="H1244" s="3"/>
      <c r="I1244" s="3" t="s">
        <v>122</v>
      </c>
      <c r="J1244" s="3">
        <v>0</v>
      </c>
      <c r="K1244" s="3">
        <v>0</v>
      </c>
      <c r="L1244" s="3">
        <v>0</v>
      </c>
      <c r="M1244" s="3">
        <v>0</v>
      </c>
      <c r="N1244" s="3">
        <v>0</v>
      </c>
      <c r="O1244" s="3">
        <v>0.14</v>
      </c>
      <c r="P1244" s="3">
        <v>0</v>
      </c>
      <c r="Q1244" s="3">
        <v>0</v>
      </c>
      <c r="R1244" s="3">
        <v>0</v>
      </c>
    </row>
    <row r="1245" spans="1:18">
      <c r="A1245" s="3" t="s">
        <v>3120</v>
      </c>
      <c r="B1245" s="3" t="s">
        <v>3121</v>
      </c>
      <c r="C1245" s="3" t="s">
        <v>3121</v>
      </c>
      <c r="D1245" s="3" t="s">
        <v>3122</v>
      </c>
      <c r="E1245" s="3" t="s">
        <v>120</v>
      </c>
      <c r="F1245" s="3">
        <v>39.98</v>
      </c>
      <c r="G1245" s="3" t="s">
        <v>121</v>
      </c>
      <c r="H1245" s="3"/>
      <c r="I1245" s="3" t="s">
        <v>122</v>
      </c>
      <c r="J1245" s="3">
        <v>1</v>
      </c>
      <c r="K1245" s="3">
        <v>1</v>
      </c>
      <c r="L1245" s="3">
        <v>0</v>
      </c>
      <c r="M1245" s="3">
        <v>0</v>
      </c>
      <c r="N1245" s="3">
        <v>1</v>
      </c>
      <c r="O1245" s="3">
        <v>0.14</v>
      </c>
      <c r="P1245" s="3">
        <v>0</v>
      </c>
      <c r="Q1245" s="3">
        <v>0</v>
      </c>
      <c r="R1245" s="3">
        <v>0</v>
      </c>
    </row>
    <row r="1246" spans="1:18">
      <c r="A1246" s="3" t="s">
        <v>3123</v>
      </c>
      <c r="B1246" s="3" t="s">
        <v>3124</v>
      </c>
      <c r="C1246" s="3" t="s">
        <v>3124</v>
      </c>
      <c r="D1246" s="3" t="s">
        <v>3125</v>
      </c>
      <c r="E1246" s="3" t="s">
        <v>120</v>
      </c>
      <c r="F1246" s="3">
        <v>39.98</v>
      </c>
      <c r="G1246" s="3" t="s">
        <v>121</v>
      </c>
      <c r="H1246" s="3"/>
      <c r="I1246" s="3" t="s">
        <v>122</v>
      </c>
      <c r="J1246" s="3">
        <v>1</v>
      </c>
      <c r="K1246" s="3">
        <v>1</v>
      </c>
      <c r="L1246" s="3">
        <v>0</v>
      </c>
      <c r="M1246" s="3">
        <v>0</v>
      </c>
      <c r="N1246" s="3">
        <v>1</v>
      </c>
      <c r="O1246" s="3">
        <v>0.14</v>
      </c>
      <c r="P1246" s="3">
        <v>0</v>
      </c>
      <c r="Q1246" s="3">
        <v>0</v>
      </c>
      <c r="R1246" s="3">
        <v>0</v>
      </c>
    </row>
    <row r="1247" spans="1:18">
      <c r="A1247" s="3" t="s">
        <v>3126</v>
      </c>
      <c r="B1247" s="3" t="s">
        <v>3127</v>
      </c>
      <c r="C1247" s="3" t="s">
        <v>3127</v>
      </c>
      <c r="D1247" s="3" t="s">
        <v>3128</v>
      </c>
      <c r="E1247" s="3" t="s">
        <v>120</v>
      </c>
      <c r="F1247" s="3">
        <v>39.98</v>
      </c>
      <c r="G1247" s="3" t="s">
        <v>121</v>
      </c>
      <c r="H1247" s="3"/>
      <c r="I1247" s="3" t="s">
        <v>122</v>
      </c>
      <c r="J1247" s="3">
        <v>0</v>
      </c>
      <c r="K1247" s="3">
        <v>0</v>
      </c>
      <c r="L1247" s="3">
        <v>0</v>
      </c>
      <c r="M1247" s="3">
        <v>0</v>
      </c>
      <c r="N1247" s="3">
        <v>0</v>
      </c>
      <c r="O1247" s="3">
        <v>0.08</v>
      </c>
      <c r="P1247" s="3">
        <v>0</v>
      </c>
      <c r="Q1247" s="3">
        <v>0</v>
      </c>
      <c r="R1247" s="3">
        <v>0</v>
      </c>
    </row>
    <row r="1248" spans="1:18">
      <c r="A1248" s="3" t="s">
        <v>3129</v>
      </c>
      <c r="B1248" s="3" t="s">
        <v>3130</v>
      </c>
      <c r="C1248" s="3" t="s">
        <v>3130</v>
      </c>
      <c r="D1248" s="3" t="s">
        <v>3131</v>
      </c>
      <c r="E1248" s="3" t="s">
        <v>120</v>
      </c>
      <c r="F1248" s="3">
        <v>39.98</v>
      </c>
      <c r="G1248" s="3" t="s">
        <v>121</v>
      </c>
      <c r="H1248" s="3"/>
      <c r="I1248" s="3" t="s">
        <v>122</v>
      </c>
      <c r="J1248" s="3">
        <v>4</v>
      </c>
      <c r="K1248" s="3">
        <v>4</v>
      </c>
      <c r="L1248" s="3">
        <v>0</v>
      </c>
      <c r="M1248" s="3">
        <v>0</v>
      </c>
      <c r="N1248" s="3">
        <v>4</v>
      </c>
      <c r="O1248" s="3">
        <v>0.08</v>
      </c>
      <c r="P1248" s="3">
        <v>0</v>
      </c>
      <c r="Q1248" s="3">
        <v>0</v>
      </c>
      <c r="R1248" s="3">
        <v>0</v>
      </c>
    </row>
    <row r="1249" spans="1:18">
      <c r="A1249" s="3" t="s">
        <v>3132</v>
      </c>
      <c r="B1249" s="3" t="s">
        <v>3133</v>
      </c>
      <c r="C1249" s="3" t="s">
        <v>3133</v>
      </c>
      <c r="D1249" s="3" t="s">
        <v>3134</v>
      </c>
      <c r="E1249" s="3" t="s">
        <v>120</v>
      </c>
      <c r="F1249" s="3">
        <v>39.98</v>
      </c>
      <c r="G1249" s="3" t="s">
        <v>121</v>
      </c>
      <c r="H1249" s="3"/>
      <c r="I1249" s="3" t="s">
        <v>122</v>
      </c>
      <c r="J1249" s="3">
        <v>5</v>
      </c>
      <c r="K1249" s="3">
        <v>5</v>
      </c>
      <c r="L1249" s="3">
        <v>0</v>
      </c>
      <c r="M1249" s="3">
        <v>0</v>
      </c>
      <c r="N1249" s="3">
        <v>5</v>
      </c>
      <c r="O1249" s="3">
        <v>0.08</v>
      </c>
      <c r="P1249" s="3">
        <v>0</v>
      </c>
      <c r="Q1249" s="3">
        <v>0</v>
      </c>
      <c r="R1249" s="3">
        <v>0</v>
      </c>
    </row>
    <row r="1250" spans="1:18">
      <c r="A1250" s="3" t="s">
        <v>3135</v>
      </c>
      <c r="B1250" s="3" t="s">
        <v>3136</v>
      </c>
      <c r="C1250" s="3" t="s">
        <v>3136</v>
      </c>
      <c r="D1250" s="3" t="s">
        <v>3137</v>
      </c>
      <c r="E1250" s="3" t="s">
        <v>120</v>
      </c>
      <c r="F1250" s="3">
        <v>39.98</v>
      </c>
      <c r="G1250" s="3" t="s">
        <v>121</v>
      </c>
      <c r="H1250" s="3"/>
      <c r="I1250" s="3" t="s">
        <v>122</v>
      </c>
      <c r="J1250" s="3">
        <v>0</v>
      </c>
      <c r="K1250" s="3">
        <v>0</v>
      </c>
      <c r="L1250" s="3">
        <v>0</v>
      </c>
      <c r="M1250" s="3">
        <v>0</v>
      </c>
      <c r="N1250" s="3">
        <v>0</v>
      </c>
      <c r="O1250" s="3">
        <v>0.08</v>
      </c>
      <c r="P1250" s="3">
        <v>0</v>
      </c>
      <c r="Q1250" s="3">
        <v>0</v>
      </c>
      <c r="R1250" s="3">
        <v>0</v>
      </c>
    </row>
    <row r="1251" spans="1:18">
      <c r="A1251" s="3" t="s">
        <v>3138</v>
      </c>
      <c r="B1251" s="3" t="s">
        <v>3139</v>
      </c>
      <c r="C1251" s="3" t="s">
        <v>3139</v>
      </c>
      <c r="D1251" s="3" t="s">
        <v>3140</v>
      </c>
      <c r="E1251" s="3" t="s">
        <v>120</v>
      </c>
      <c r="F1251" s="3">
        <v>39.98</v>
      </c>
      <c r="G1251" s="3" t="s">
        <v>121</v>
      </c>
      <c r="H1251" s="3"/>
      <c r="I1251" s="3" t="s">
        <v>122</v>
      </c>
      <c r="J1251" s="3">
        <v>0</v>
      </c>
      <c r="K1251" s="3">
        <v>0</v>
      </c>
      <c r="L1251" s="3">
        <v>0</v>
      </c>
      <c r="M1251" s="3">
        <v>0</v>
      </c>
      <c r="N1251" s="3">
        <v>0</v>
      </c>
      <c r="O1251" s="3">
        <v>0.08</v>
      </c>
      <c r="P1251" s="3">
        <v>0</v>
      </c>
      <c r="Q1251" s="3">
        <v>0</v>
      </c>
      <c r="R1251" s="3">
        <v>0</v>
      </c>
    </row>
    <row r="1252" spans="1:18">
      <c r="A1252" s="3" t="s">
        <v>3141</v>
      </c>
      <c r="B1252" s="3" t="s">
        <v>3142</v>
      </c>
      <c r="C1252" s="3" t="s">
        <v>3142</v>
      </c>
      <c r="D1252" s="3" t="s">
        <v>3143</v>
      </c>
      <c r="E1252" s="3" t="s">
        <v>120</v>
      </c>
      <c r="F1252" s="3">
        <v>39.98</v>
      </c>
      <c r="G1252" s="3" t="s">
        <v>121</v>
      </c>
      <c r="H1252" s="3"/>
      <c r="I1252" s="3" t="s">
        <v>122</v>
      </c>
      <c r="J1252" s="3">
        <v>0</v>
      </c>
      <c r="K1252" s="3">
        <v>0</v>
      </c>
      <c r="L1252" s="3">
        <v>0</v>
      </c>
      <c r="M1252" s="3">
        <v>0</v>
      </c>
      <c r="N1252" s="3">
        <v>0</v>
      </c>
      <c r="O1252" s="3">
        <v>0.08</v>
      </c>
      <c r="P1252" s="3">
        <v>0</v>
      </c>
      <c r="Q1252" s="3">
        <v>0</v>
      </c>
      <c r="R1252" s="3">
        <v>0</v>
      </c>
    </row>
    <row r="1253" spans="1:18">
      <c r="A1253" s="3" t="s">
        <v>3144</v>
      </c>
      <c r="B1253" s="3" t="s">
        <v>3145</v>
      </c>
      <c r="C1253" s="3" t="s">
        <v>3145</v>
      </c>
      <c r="D1253" s="3" t="s">
        <v>3146</v>
      </c>
      <c r="E1253" s="3" t="s">
        <v>120</v>
      </c>
      <c r="F1253" s="3">
        <v>39.98</v>
      </c>
      <c r="G1253" s="3" t="s">
        <v>121</v>
      </c>
      <c r="H1253" s="3"/>
      <c r="I1253" s="3" t="s">
        <v>122</v>
      </c>
      <c r="J1253" s="3">
        <v>0</v>
      </c>
      <c r="K1253" s="3">
        <v>0</v>
      </c>
      <c r="L1253" s="3">
        <v>0</v>
      </c>
      <c r="M1253" s="3">
        <v>0</v>
      </c>
      <c r="N1253" s="3">
        <v>0</v>
      </c>
      <c r="O1253" s="3">
        <v>0.08</v>
      </c>
      <c r="P1253" s="3">
        <v>0</v>
      </c>
      <c r="Q1253" s="3">
        <v>0</v>
      </c>
      <c r="R1253" s="3">
        <v>0</v>
      </c>
    </row>
    <row r="1254" spans="1:18">
      <c r="A1254" s="3" t="s">
        <v>3147</v>
      </c>
      <c r="B1254" s="3" t="s">
        <v>3148</v>
      </c>
      <c r="C1254" s="3" t="s">
        <v>3148</v>
      </c>
      <c r="D1254" s="3" t="s">
        <v>3149</v>
      </c>
      <c r="E1254" s="3" t="s">
        <v>120</v>
      </c>
      <c r="F1254" s="3">
        <v>39.98</v>
      </c>
      <c r="G1254" s="3" t="s">
        <v>121</v>
      </c>
      <c r="H1254" s="3"/>
      <c r="I1254" s="3" t="s">
        <v>122</v>
      </c>
      <c r="J1254" s="3">
        <v>0</v>
      </c>
      <c r="K1254" s="3">
        <v>0</v>
      </c>
      <c r="L1254" s="3">
        <v>0</v>
      </c>
      <c r="M1254" s="3">
        <v>0</v>
      </c>
      <c r="N1254" s="3">
        <v>0</v>
      </c>
      <c r="O1254" s="3">
        <v>0.08</v>
      </c>
      <c r="P1254" s="3">
        <v>0</v>
      </c>
      <c r="Q1254" s="3">
        <v>0</v>
      </c>
      <c r="R1254" s="3">
        <v>0</v>
      </c>
    </row>
    <row r="1255" spans="1:18">
      <c r="A1255" s="3" t="s">
        <v>3150</v>
      </c>
      <c r="B1255" s="3" t="s">
        <v>3151</v>
      </c>
      <c r="C1255" s="3" t="s">
        <v>3151</v>
      </c>
      <c r="D1255" s="3" t="s">
        <v>3152</v>
      </c>
      <c r="E1255" s="3" t="s">
        <v>120</v>
      </c>
      <c r="F1255" s="3">
        <v>39.98</v>
      </c>
      <c r="G1255" s="3" t="s">
        <v>121</v>
      </c>
      <c r="H1255" s="3"/>
      <c r="I1255" s="3" t="s">
        <v>122</v>
      </c>
      <c r="J1255" s="3">
        <v>4</v>
      </c>
      <c r="K1255" s="3">
        <v>4</v>
      </c>
      <c r="L1255" s="3">
        <v>0</v>
      </c>
      <c r="M1255" s="3">
        <v>0</v>
      </c>
      <c r="N1255" s="3">
        <v>4</v>
      </c>
      <c r="O1255" s="3">
        <v>0.08</v>
      </c>
      <c r="P1255" s="3">
        <v>0</v>
      </c>
      <c r="Q1255" s="3">
        <v>0</v>
      </c>
      <c r="R1255" s="3">
        <v>0</v>
      </c>
    </row>
    <row r="1256" spans="1:18">
      <c r="A1256" s="3" t="s">
        <v>3153</v>
      </c>
      <c r="B1256" s="3" t="s">
        <v>3154</v>
      </c>
      <c r="C1256" s="3" t="s">
        <v>3154</v>
      </c>
      <c r="D1256" s="3" t="s">
        <v>3155</v>
      </c>
      <c r="E1256" s="3" t="s">
        <v>120</v>
      </c>
      <c r="F1256" s="3">
        <v>39.98</v>
      </c>
      <c r="G1256" s="3" t="s">
        <v>121</v>
      </c>
      <c r="H1256" s="3"/>
      <c r="I1256" s="3" t="s">
        <v>122</v>
      </c>
      <c r="J1256" s="3">
        <v>0</v>
      </c>
      <c r="K1256" s="3">
        <v>0</v>
      </c>
      <c r="L1256" s="3">
        <v>0</v>
      </c>
      <c r="M1256" s="3">
        <v>0</v>
      </c>
      <c r="N1256" s="3">
        <v>0</v>
      </c>
      <c r="O1256" s="3">
        <v>0.08</v>
      </c>
      <c r="P1256" s="3">
        <v>0</v>
      </c>
      <c r="Q1256" s="3">
        <v>0</v>
      </c>
      <c r="R1256" s="3">
        <v>0</v>
      </c>
    </row>
    <row r="1257" spans="1:18">
      <c r="A1257" s="3" t="s">
        <v>3156</v>
      </c>
      <c r="B1257" s="3" t="s">
        <v>3157</v>
      </c>
      <c r="C1257" s="3" t="s">
        <v>3157</v>
      </c>
      <c r="D1257" s="3" t="s">
        <v>3158</v>
      </c>
      <c r="E1257" s="3" t="s">
        <v>120</v>
      </c>
      <c r="F1257" s="3">
        <v>39.98</v>
      </c>
      <c r="G1257" s="3" t="s">
        <v>121</v>
      </c>
      <c r="H1257" s="3"/>
      <c r="I1257" s="3" t="s">
        <v>122</v>
      </c>
      <c r="J1257" s="3">
        <v>0</v>
      </c>
      <c r="K1257" s="3">
        <v>0</v>
      </c>
      <c r="L1257" s="3">
        <v>0</v>
      </c>
      <c r="M1257" s="3">
        <v>0</v>
      </c>
      <c r="N1257" s="3">
        <v>0</v>
      </c>
      <c r="O1257" s="3">
        <v>0.08</v>
      </c>
      <c r="P1257" s="3">
        <v>0</v>
      </c>
      <c r="Q1257" s="3">
        <v>0</v>
      </c>
      <c r="R1257" s="3">
        <v>0</v>
      </c>
    </row>
    <row r="1258" spans="1:18">
      <c r="A1258" s="3" t="s">
        <v>3159</v>
      </c>
      <c r="B1258" s="3" t="s">
        <v>3160</v>
      </c>
      <c r="C1258" s="3" t="s">
        <v>3160</v>
      </c>
      <c r="D1258" s="3" t="s">
        <v>3161</v>
      </c>
      <c r="E1258" s="3" t="s">
        <v>120</v>
      </c>
      <c r="F1258" s="3">
        <v>39.98</v>
      </c>
      <c r="G1258" s="3" t="s">
        <v>121</v>
      </c>
      <c r="H1258" s="3"/>
      <c r="I1258" s="3" t="s">
        <v>122</v>
      </c>
      <c r="J1258" s="3">
        <v>1</v>
      </c>
      <c r="K1258" s="3">
        <v>1</v>
      </c>
      <c r="L1258" s="3">
        <v>0</v>
      </c>
      <c r="M1258" s="3">
        <v>0</v>
      </c>
      <c r="N1258" s="3">
        <v>1</v>
      </c>
      <c r="O1258" s="3">
        <v>0.08</v>
      </c>
      <c r="P1258" s="3">
        <v>0</v>
      </c>
      <c r="Q1258" s="3">
        <v>0</v>
      </c>
      <c r="R1258" s="3">
        <v>0</v>
      </c>
    </row>
    <row r="1259" spans="1:18">
      <c r="A1259" s="3" t="s">
        <v>3162</v>
      </c>
      <c r="B1259" s="3" t="s">
        <v>3163</v>
      </c>
      <c r="C1259" s="3" t="s">
        <v>3163</v>
      </c>
      <c r="D1259" s="3" t="s">
        <v>3164</v>
      </c>
      <c r="E1259" s="3" t="s">
        <v>120</v>
      </c>
      <c r="F1259" s="3">
        <v>39.98</v>
      </c>
      <c r="G1259" s="3" t="s">
        <v>121</v>
      </c>
      <c r="H1259" s="3"/>
      <c r="I1259" s="3" t="s">
        <v>122</v>
      </c>
      <c r="J1259" s="3">
        <v>1</v>
      </c>
      <c r="K1259" s="3">
        <v>1</v>
      </c>
      <c r="L1259" s="3">
        <v>0</v>
      </c>
      <c r="M1259" s="3">
        <v>0</v>
      </c>
      <c r="N1259" s="3">
        <v>1</v>
      </c>
      <c r="O1259" s="3">
        <v>0.08</v>
      </c>
      <c r="P1259" s="3">
        <v>0</v>
      </c>
      <c r="Q1259" s="3">
        <v>0</v>
      </c>
      <c r="R1259" s="3">
        <v>0</v>
      </c>
    </row>
    <row r="1260" spans="1:18">
      <c r="A1260" s="3" t="s">
        <v>3165</v>
      </c>
      <c r="B1260" s="3" t="s">
        <v>3166</v>
      </c>
      <c r="C1260" s="3" t="s">
        <v>3166</v>
      </c>
      <c r="D1260" s="3" t="s">
        <v>3167</v>
      </c>
      <c r="E1260" s="3" t="s">
        <v>120</v>
      </c>
      <c r="F1260" s="3">
        <v>39.98</v>
      </c>
      <c r="G1260" s="3" t="s">
        <v>121</v>
      </c>
      <c r="H1260" s="3"/>
      <c r="I1260" s="3" t="s">
        <v>122</v>
      </c>
      <c r="J1260" s="3">
        <v>1</v>
      </c>
      <c r="K1260" s="3">
        <v>1</v>
      </c>
      <c r="L1260" s="3">
        <v>0</v>
      </c>
      <c r="M1260" s="3">
        <v>0</v>
      </c>
      <c r="N1260" s="3">
        <v>1</v>
      </c>
      <c r="O1260" s="3">
        <v>0.08</v>
      </c>
      <c r="P1260" s="3">
        <v>0</v>
      </c>
      <c r="Q1260" s="3">
        <v>0</v>
      </c>
      <c r="R1260" s="3">
        <v>0</v>
      </c>
    </row>
    <row r="1261" spans="1:18">
      <c r="A1261" s="3" t="s">
        <v>3168</v>
      </c>
      <c r="B1261" s="3" t="s">
        <v>3169</v>
      </c>
      <c r="C1261" s="3" t="s">
        <v>3169</v>
      </c>
      <c r="D1261" s="3" t="s">
        <v>3170</v>
      </c>
      <c r="E1261" s="3" t="s">
        <v>120</v>
      </c>
      <c r="F1261" s="3">
        <v>39.98</v>
      </c>
      <c r="G1261" s="3" t="s">
        <v>121</v>
      </c>
      <c r="H1261" s="3"/>
      <c r="I1261" s="3" t="s">
        <v>122</v>
      </c>
      <c r="J1261" s="3">
        <v>5</v>
      </c>
      <c r="K1261" s="3">
        <v>5</v>
      </c>
      <c r="L1261" s="3">
        <v>0</v>
      </c>
      <c r="M1261" s="3">
        <v>0</v>
      </c>
      <c r="N1261" s="3">
        <v>5</v>
      </c>
      <c r="O1261" s="3">
        <v>0.08</v>
      </c>
      <c r="P1261" s="3">
        <v>0</v>
      </c>
      <c r="Q1261" s="3">
        <v>0</v>
      </c>
      <c r="R1261" s="3">
        <v>0</v>
      </c>
    </row>
    <row r="1262" spans="1:18">
      <c r="A1262" s="3" t="s">
        <v>3171</v>
      </c>
      <c r="B1262" s="3" t="s">
        <v>3172</v>
      </c>
      <c r="C1262" s="3" t="s">
        <v>3172</v>
      </c>
      <c r="D1262" s="3" t="s">
        <v>3173</v>
      </c>
      <c r="E1262" s="3" t="s">
        <v>120</v>
      </c>
      <c r="F1262" s="3">
        <v>39.98</v>
      </c>
      <c r="G1262" s="3" t="s">
        <v>121</v>
      </c>
      <c r="H1262" s="3"/>
      <c r="I1262" s="3" t="s">
        <v>122</v>
      </c>
      <c r="J1262" s="3">
        <v>5</v>
      </c>
      <c r="K1262" s="3">
        <v>5</v>
      </c>
      <c r="L1262" s="3">
        <v>0</v>
      </c>
      <c r="M1262" s="3">
        <v>0</v>
      </c>
      <c r="N1262" s="3">
        <v>5</v>
      </c>
      <c r="O1262" s="3">
        <v>0.08</v>
      </c>
      <c r="P1262" s="3">
        <v>0</v>
      </c>
      <c r="Q1262" s="3">
        <v>0</v>
      </c>
      <c r="R1262" s="3">
        <v>0</v>
      </c>
    </row>
    <row r="1263" spans="1:18">
      <c r="A1263" s="3" t="s">
        <v>3174</v>
      </c>
      <c r="B1263" s="3" t="s">
        <v>3175</v>
      </c>
      <c r="C1263" s="3" t="s">
        <v>3175</v>
      </c>
      <c r="D1263" s="3" t="s">
        <v>3176</v>
      </c>
      <c r="E1263" s="3" t="s">
        <v>120</v>
      </c>
      <c r="F1263" s="3">
        <v>39.98</v>
      </c>
      <c r="G1263" s="3" t="s">
        <v>121</v>
      </c>
      <c r="H1263" s="3"/>
      <c r="I1263" s="3" t="s">
        <v>122</v>
      </c>
      <c r="J1263" s="3">
        <v>0</v>
      </c>
      <c r="K1263" s="3">
        <v>0</v>
      </c>
      <c r="L1263" s="3">
        <v>0</v>
      </c>
      <c r="M1263" s="3">
        <v>0</v>
      </c>
      <c r="N1263" s="3">
        <v>0</v>
      </c>
      <c r="O1263" s="3">
        <v>0.08</v>
      </c>
      <c r="P1263" s="3">
        <v>0</v>
      </c>
      <c r="Q1263" s="3">
        <v>0</v>
      </c>
      <c r="R1263" s="3">
        <v>0</v>
      </c>
    </row>
    <row r="1264" spans="1:18">
      <c r="A1264" s="3" t="s">
        <v>3177</v>
      </c>
      <c r="B1264" s="3" t="s">
        <v>3178</v>
      </c>
      <c r="C1264" s="3" t="s">
        <v>3178</v>
      </c>
      <c r="D1264" s="3" t="s">
        <v>3179</v>
      </c>
      <c r="E1264" s="3" t="s">
        <v>120</v>
      </c>
      <c r="F1264" s="3">
        <v>39.98</v>
      </c>
      <c r="G1264" s="3" t="s">
        <v>121</v>
      </c>
      <c r="H1264" s="3"/>
      <c r="I1264" s="3" t="s">
        <v>122</v>
      </c>
      <c r="J1264" s="3">
        <v>2</v>
      </c>
      <c r="K1264" s="3">
        <v>2</v>
      </c>
      <c r="L1264" s="3">
        <v>0</v>
      </c>
      <c r="M1264" s="3">
        <v>0</v>
      </c>
      <c r="N1264" s="3">
        <v>2</v>
      </c>
      <c r="O1264" s="3">
        <v>0.08</v>
      </c>
      <c r="P1264" s="3">
        <v>0</v>
      </c>
      <c r="Q1264" s="3">
        <v>0</v>
      </c>
      <c r="R1264" s="3">
        <v>0</v>
      </c>
    </row>
    <row r="1265" spans="1:18">
      <c r="A1265" s="3" t="s">
        <v>3180</v>
      </c>
      <c r="B1265" s="3" t="s">
        <v>3181</v>
      </c>
      <c r="C1265" s="3" t="s">
        <v>3181</v>
      </c>
      <c r="D1265" s="3" t="s">
        <v>3182</v>
      </c>
      <c r="E1265" s="3" t="s">
        <v>120</v>
      </c>
      <c r="F1265" s="3">
        <v>39.98</v>
      </c>
      <c r="G1265" s="3" t="s">
        <v>121</v>
      </c>
      <c r="H1265" s="3"/>
      <c r="I1265" s="3" t="s">
        <v>122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0.08</v>
      </c>
      <c r="P1265" s="3">
        <v>0</v>
      </c>
      <c r="Q1265" s="3">
        <v>0</v>
      </c>
      <c r="R1265" s="3">
        <v>0</v>
      </c>
    </row>
    <row r="1266" spans="1:18">
      <c r="A1266" s="3" t="s">
        <v>3183</v>
      </c>
      <c r="B1266" s="3" t="s">
        <v>3184</v>
      </c>
      <c r="C1266" s="3" t="s">
        <v>3184</v>
      </c>
      <c r="D1266" s="3" t="s">
        <v>3185</v>
      </c>
      <c r="E1266" s="3" t="s">
        <v>120</v>
      </c>
      <c r="F1266" s="3">
        <v>39.98</v>
      </c>
      <c r="G1266" s="3" t="s">
        <v>121</v>
      </c>
      <c r="H1266" s="3"/>
      <c r="I1266" s="3" t="s">
        <v>122</v>
      </c>
      <c r="J1266" s="3">
        <v>3</v>
      </c>
      <c r="K1266" s="3">
        <v>3</v>
      </c>
      <c r="L1266" s="3">
        <v>0</v>
      </c>
      <c r="M1266" s="3">
        <v>0</v>
      </c>
      <c r="N1266" s="3">
        <v>3</v>
      </c>
      <c r="O1266" s="3">
        <v>0.08</v>
      </c>
      <c r="P1266" s="3">
        <v>0</v>
      </c>
      <c r="Q1266" s="3">
        <v>0</v>
      </c>
      <c r="R1266" s="3">
        <v>0</v>
      </c>
    </row>
    <row r="1267" spans="1:18">
      <c r="A1267" s="3" t="s">
        <v>3186</v>
      </c>
      <c r="B1267" s="3" t="s">
        <v>3187</v>
      </c>
      <c r="C1267" s="3" t="s">
        <v>3187</v>
      </c>
      <c r="D1267" s="3" t="s">
        <v>3188</v>
      </c>
      <c r="E1267" s="3" t="s">
        <v>120</v>
      </c>
      <c r="F1267" s="3">
        <v>39.98</v>
      </c>
      <c r="G1267" s="3" t="s">
        <v>121</v>
      </c>
      <c r="H1267" s="3"/>
      <c r="I1267" s="3" t="s">
        <v>122</v>
      </c>
      <c r="J1267" s="3">
        <v>4</v>
      </c>
      <c r="K1267" s="3">
        <v>4</v>
      </c>
      <c r="L1267" s="3">
        <v>0</v>
      </c>
      <c r="M1267" s="3">
        <v>0</v>
      </c>
      <c r="N1267" s="3">
        <v>4</v>
      </c>
      <c r="O1267" s="3">
        <v>0.08</v>
      </c>
      <c r="P1267" s="3">
        <v>0</v>
      </c>
      <c r="Q1267" s="3">
        <v>0</v>
      </c>
      <c r="R1267" s="3">
        <v>0</v>
      </c>
    </row>
    <row r="1268" spans="1:18">
      <c r="A1268" s="3" t="s">
        <v>3189</v>
      </c>
      <c r="B1268" s="3" t="s">
        <v>3190</v>
      </c>
      <c r="C1268" s="3" t="s">
        <v>3190</v>
      </c>
      <c r="D1268" s="3"/>
      <c r="E1268" s="3" t="s">
        <v>20</v>
      </c>
      <c r="F1268" s="3"/>
      <c r="G1268" s="3"/>
      <c r="H1268" s="3"/>
      <c r="I1268" s="3"/>
      <c r="J1268" s="3">
        <v>0</v>
      </c>
      <c r="K1268" s="3">
        <v>0</v>
      </c>
      <c r="L1268" s="3">
        <v>0</v>
      </c>
      <c r="M1268" s="3">
        <v>0</v>
      </c>
      <c r="N1268" s="3">
        <v>0</v>
      </c>
      <c r="O1268" s="3"/>
      <c r="P1268" s="3">
        <v>0</v>
      </c>
      <c r="Q1268" s="3">
        <v>0</v>
      </c>
      <c r="R1268" s="3">
        <v>0</v>
      </c>
    </row>
    <row r="1269" spans="1:18">
      <c r="A1269" s="3" t="s">
        <v>3191</v>
      </c>
      <c r="B1269" s="3" t="s">
        <v>3190</v>
      </c>
      <c r="C1269" s="3" t="s">
        <v>3190</v>
      </c>
      <c r="D1269" s="3"/>
      <c r="E1269" s="3" t="s">
        <v>20</v>
      </c>
      <c r="F1269" s="3"/>
      <c r="G1269" s="3"/>
      <c r="H1269" s="3"/>
      <c r="I1269" s="3"/>
      <c r="J1269" s="3">
        <v>0</v>
      </c>
      <c r="K1269" s="3">
        <v>0</v>
      </c>
      <c r="L1269" s="3">
        <v>0</v>
      </c>
      <c r="M1269" s="3">
        <v>0</v>
      </c>
      <c r="N1269" s="3">
        <v>0</v>
      </c>
      <c r="O1269" s="3"/>
      <c r="P1269" s="3">
        <v>0</v>
      </c>
      <c r="Q1269" s="3">
        <v>0</v>
      </c>
      <c r="R1269" s="3">
        <v>0</v>
      </c>
    </row>
    <row r="1270" spans="1:18">
      <c r="A1270" s="3" t="s">
        <v>3192</v>
      </c>
      <c r="B1270" s="3" t="s">
        <v>3193</v>
      </c>
      <c r="C1270" s="3" t="s">
        <v>3194</v>
      </c>
      <c r="D1270" s="3"/>
      <c r="E1270" s="3" t="s">
        <v>20</v>
      </c>
      <c r="F1270" s="3"/>
      <c r="G1270" s="3"/>
      <c r="H1270" s="3"/>
      <c r="I1270" s="3"/>
      <c r="J1270" s="3">
        <v>0</v>
      </c>
      <c r="K1270" s="3">
        <v>0</v>
      </c>
      <c r="L1270" s="3">
        <v>0</v>
      </c>
      <c r="M1270" s="3">
        <v>0</v>
      </c>
      <c r="N1270" s="3">
        <v>0</v>
      </c>
      <c r="O1270" s="3"/>
      <c r="P1270" s="3">
        <v>0</v>
      </c>
      <c r="Q1270" s="3">
        <v>0</v>
      </c>
      <c r="R1270" s="3">
        <v>0</v>
      </c>
    </row>
    <row r="1271" spans="1:18">
      <c r="A1271" s="3" t="s">
        <v>3195</v>
      </c>
      <c r="B1271" s="3" t="s">
        <v>3196</v>
      </c>
      <c r="C1271" s="3" t="s">
        <v>3197</v>
      </c>
      <c r="D1271" s="3" t="s">
        <v>3198</v>
      </c>
      <c r="E1271" s="3" t="s">
        <v>120</v>
      </c>
      <c r="F1271" s="3">
        <v>22.98</v>
      </c>
      <c r="G1271" s="3" t="s">
        <v>121</v>
      </c>
      <c r="H1271" s="3"/>
      <c r="I1271" s="3" t="s">
        <v>122</v>
      </c>
      <c r="J1271" s="3">
        <v>23</v>
      </c>
      <c r="K1271" s="3">
        <v>21</v>
      </c>
      <c r="L1271" s="3">
        <v>1</v>
      </c>
      <c r="M1271" s="3">
        <v>1</v>
      </c>
      <c r="N1271" s="3">
        <v>23</v>
      </c>
      <c r="O1271" s="3">
        <v>0.17</v>
      </c>
      <c r="P1271" s="3">
        <v>0</v>
      </c>
      <c r="Q1271" s="3">
        <v>0</v>
      </c>
      <c r="R1271" s="3">
        <v>0</v>
      </c>
    </row>
    <row r="1272" spans="1:18">
      <c r="A1272" s="3" t="s">
        <v>3199</v>
      </c>
      <c r="B1272" s="3" t="s">
        <v>3200</v>
      </c>
      <c r="C1272" s="3" t="s">
        <v>3201</v>
      </c>
      <c r="D1272" s="3" t="s">
        <v>3202</v>
      </c>
      <c r="E1272" s="3" t="s">
        <v>120</v>
      </c>
      <c r="F1272" s="3">
        <v>69.9</v>
      </c>
      <c r="G1272" s="3" t="s">
        <v>121</v>
      </c>
      <c r="H1272" s="3"/>
      <c r="I1272" s="3" t="s">
        <v>122</v>
      </c>
      <c r="J1272" s="3">
        <v>31</v>
      </c>
      <c r="K1272" s="3">
        <v>23</v>
      </c>
      <c r="L1272" s="3">
        <v>0</v>
      </c>
      <c r="M1272" s="3">
        <v>8</v>
      </c>
      <c r="N1272" s="3">
        <v>31</v>
      </c>
      <c r="O1272" s="3">
        <v>0.17</v>
      </c>
      <c r="P1272" s="3">
        <v>0</v>
      </c>
      <c r="Q1272" s="3">
        <v>0</v>
      </c>
      <c r="R1272" s="3">
        <v>0</v>
      </c>
    </row>
    <row r="1273" spans="1:18">
      <c r="A1273" s="3" t="s">
        <v>3203</v>
      </c>
      <c r="B1273" s="3" t="s">
        <v>3204</v>
      </c>
      <c r="C1273" s="3" t="s">
        <v>3205</v>
      </c>
      <c r="D1273" s="3"/>
      <c r="E1273" s="3" t="s">
        <v>20</v>
      </c>
      <c r="F1273" s="3"/>
      <c r="G1273" s="3"/>
      <c r="H1273" s="3"/>
      <c r="I1273" s="3"/>
      <c r="J1273" s="3">
        <v>0</v>
      </c>
      <c r="K1273" s="3">
        <v>0</v>
      </c>
      <c r="L1273" s="3">
        <v>0</v>
      </c>
      <c r="M1273" s="3">
        <v>0</v>
      </c>
      <c r="N1273" s="3">
        <v>0</v>
      </c>
      <c r="O1273" s="3"/>
      <c r="P1273" s="3">
        <v>0</v>
      </c>
      <c r="Q1273" s="3">
        <v>0</v>
      </c>
      <c r="R1273" s="3">
        <v>0</v>
      </c>
    </row>
    <row r="1274" spans="1:18">
      <c r="A1274" s="3" t="s">
        <v>3206</v>
      </c>
      <c r="B1274" s="3" t="s">
        <v>3207</v>
      </c>
      <c r="C1274" s="3" t="s">
        <v>3208</v>
      </c>
      <c r="D1274" s="3" t="s">
        <v>3209</v>
      </c>
      <c r="E1274" s="3" t="s">
        <v>120</v>
      </c>
      <c r="F1274" s="3">
        <v>23.98</v>
      </c>
      <c r="G1274" s="3" t="s">
        <v>121</v>
      </c>
      <c r="H1274" s="3"/>
      <c r="I1274" s="3" t="s">
        <v>122</v>
      </c>
      <c r="J1274" s="3">
        <v>18</v>
      </c>
      <c r="K1274" s="3">
        <v>0</v>
      </c>
      <c r="L1274" s="3">
        <v>0</v>
      </c>
      <c r="M1274" s="3">
        <v>18</v>
      </c>
      <c r="N1274" s="3">
        <v>18</v>
      </c>
      <c r="O1274" s="3">
        <v>0.17</v>
      </c>
      <c r="P1274" s="3">
        <v>0</v>
      </c>
      <c r="Q1274" s="3">
        <v>0</v>
      </c>
      <c r="R1274" s="3">
        <v>0</v>
      </c>
    </row>
    <row r="1275" spans="1:18">
      <c r="A1275" s="3" t="s">
        <v>3210</v>
      </c>
      <c r="B1275" s="3" t="s">
        <v>3211</v>
      </c>
      <c r="C1275" s="3" t="s">
        <v>3212</v>
      </c>
      <c r="D1275" s="3" t="s">
        <v>3213</v>
      </c>
      <c r="E1275" s="3" t="s">
        <v>120</v>
      </c>
      <c r="F1275" s="3">
        <v>69.9</v>
      </c>
      <c r="G1275" s="3" t="s">
        <v>121</v>
      </c>
      <c r="H1275" s="3"/>
      <c r="I1275" s="3" t="s">
        <v>122</v>
      </c>
      <c r="J1275" s="3">
        <v>31</v>
      </c>
      <c r="K1275" s="3">
        <v>23</v>
      </c>
      <c r="L1275" s="3">
        <v>0</v>
      </c>
      <c r="M1275" s="3">
        <v>8</v>
      </c>
      <c r="N1275" s="3">
        <v>31</v>
      </c>
      <c r="O1275" s="3">
        <v>0.17</v>
      </c>
      <c r="P1275" s="3">
        <v>0</v>
      </c>
      <c r="Q1275" s="3">
        <v>0</v>
      </c>
      <c r="R1275" s="3">
        <v>0</v>
      </c>
    </row>
    <row r="1276" spans="1:18">
      <c r="A1276" s="3" t="s">
        <v>3214</v>
      </c>
      <c r="B1276" s="3" t="s">
        <v>3215</v>
      </c>
      <c r="C1276" s="3" t="s">
        <v>3216</v>
      </c>
      <c r="D1276" s="3" t="s">
        <v>3217</v>
      </c>
      <c r="E1276" s="3" t="s">
        <v>120</v>
      </c>
      <c r="F1276" s="3">
        <v>69.9</v>
      </c>
      <c r="G1276" s="3" t="s">
        <v>121</v>
      </c>
      <c r="H1276" s="3"/>
      <c r="I1276" s="3" t="s">
        <v>122</v>
      </c>
      <c r="J1276" s="3">
        <v>0</v>
      </c>
      <c r="K1276" s="3">
        <v>0</v>
      </c>
      <c r="L1276" s="3">
        <v>0</v>
      </c>
      <c r="M1276" s="3">
        <v>0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</row>
    <row r="1277" spans="1:18">
      <c r="A1277" s="3" t="s">
        <v>3218</v>
      </c>
      <c r="B1277" s="3" t="s">
        <v>3219</v>
      </c>
      <c r="C1277" s="3" t="s">
        <v>3220</v>
      </c>
      <c r="D1277" s="3" t="s">
        <v>3221</v>
      </c>
      <c r="E1277" s="3" t="s">
        <v>120</v>
      </c>
      <c r="F1277" s="3">
        <v>23.98</v>
      </c>
      <c r="G1277" s="3" t="s">
        <v>121</v>
      </c>
      <c r="H1277" s="3"/>
      <c r="I1277" s="3" t="s">
        <v>122</v>
      </c>
      <c r="J1277" s="3">
        <v>1</v>
      </c>
      <c r="K1277" s="3">
        <v>0</v>
      </c>
      <c r="L1277" s="3">
        <v>0</v>
      </c>
      <c r="M1277" s="3">
        <v>1</v>
      </c>
      <c r="N1277" s="3">
        <v>1</v>
      </c>
      <c r="O1277" s="3">
        <v>0.17</v>
      </c>
      <c r="P1277" s="3">
        <v>0</v>
      </c>
      <c r="Q1277" s="3">
        <v>0</v>
      </c>
      <c r="R1277" s="3">
        <v>0</v>
      </c>
    </row>
    <row r="1278" spans="1:18">
      <c r="A1278" s="3" t="s">
        <v>3222</v>
      </c>
      <c r="B1278" s="3" t="s">
        <v>3223</v>
      </c>
      <c r="C1278" s="3" t="s">
        <v>3224</v>
      </c>
      <c r="D1278" s="3" t="s">
        <v>3225</v>
      </c>
      <c r="E1278" s="3" t="s">
        <v>120</v>
      </c>
      <c r="F1278" s="3">
        <v>69.9</v>
      </c>
      <c r="G1278" s="3" t="s">
        <v>121</v>
      </c>
      <c r="H1278" s="3"/>
      <c r="I1278" s="3" t="s">
        <v>122</v>
      </c>
      <c r="J1278" s="3">
        <v>0</v>
      </c>
      <c r="K1278" s="3">
        <v>0</v>
      </c>
      <c r="L1278" s="3">
        <v>0</v>
      </c>
      <c r="M1278" s="3">
        <v>0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</row>
    <row r="1279" spans="1:18">
      <c r="A1279" s="3" t="s">
        <v>3226</v>
      </c>
      <c r="B1279" s="3" t="s">
        <v>3227</v>
      </c>
      <c r="C1279" s="3" t="s">
        <v>3228</v>
      </c>
      <c r="D1279" s="3"/>
      <c r="E1279" s="3" t="s">
        <v>20</v>
      </c>
      <c r="F1279" s="3"/>
      <c r="G1279" s="3"/>
      <c r="H1279" s="3"/>
      <c r="I1279" s="3"/>
      <c r="J1279" s="3">
        <v>0</v>
      </c>
      <c r="K1279" s="3">
        <v>0</v>
      </c>
      <c r="L1279" s="3">
        <v>0</v>
      </c>
      <c r="M1279" s="3">
        <v>0</v>
      </c>
      <c r="N1279" s="3">
        <v>0</v>
      </c>
      <c r="O1279" s="3"/>
      <c r="P1279" s="3">
        <v>0</v>
      </c>
      <c r="Q1279" s="3">
        <v>0</v>
      </c>
      <c r="R1279" s="3">
        <v>0</v>
      </c>
    </row>
    <row r="1280" spans="1:18">
      <c r="A1280" s="3" t="s">
        <v>3229</v>
      </c>
      <c r="B1280" s="3" t="s">
        <v>3230</v>
      </c>
      <c r="C1280" s="3" t="s">
        <v>3231</v>
      </c>
      <c r="D1280" s="3" t="s">
        <v>3232</v>
      </c>
      <c r="E1280" s="3" t="s">
        <v>120</v>
      </c>
      <c r="F1280" s="3">
        <v>23.98</v>
      </c>
      <c r="G1280" s="3" t="s">
        <v>121</v>
      </c>
      <c r="H1280" s="3"/>
      <c r="I1280" s="3" t="s">
        <v>122</v>
      </c>
      <c r="J1280" s="3">
        <v>1</v>
      </c>
      <c r="K1280" s="3">
        <v>0</v>
      </c>
      <c r="L1280" s="3">
        <v>0</v>
      </c>
      <c r="M1280" s="3">
        <v>1</v>
      </c>
      <c r="N1280" s="3">
        <v>1</v>
      </c>
      <c r="O1280" s="3">
        <v>0.17</v>
      </c>
      <c r="P1280" s="3">
        <v>0</v>
      </c>
      <c r="Q1280" s="3">
        <v>0</v>
      </c>
      <c r="R1280" s="3">
        <v>0</v>
      </c>
    </row>
    <row r="1281" spans="1:18">
      <c r="A1281" s="3" t="s">
        <v>3233</v>
      </c>
      <c r="B1281" s="3" t="s">
        <v>3234</v>
      </c>
      <c r="C1281" s="3" t="s">
        <v>3235</v>
      </c>
      <c r="D1281" s="3" t="s">
        <v>3236</v>
      </c>
      <c r="E1281" s="3" t="s">
        <v>120</v>
      </c>
      <c r="F1281" s="3">
        <v>69.9</v>
      </c>
      <c r="G1281" s="3" t="s">
        <v>121</v>
      </c>
      <c r="H1281" s="3"/>
      <c r="I1281" s="3" t="s">
        <v>122</v>
      </c>
      <c r="J1281" s="3">
        <v>0</v>
      </c>
      <c r="K1281" s="3">
        <v>0</v>
      </c>
      <c r="L1281" s="3">
        <v>0</v>
      </c>
      <c r="M1281" s="3">
        <v>0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</row>
    <row r="1282" spans="1:18">
      <c r="A1282" s="3" t="s">
        <v>3237</v>
      </c>
      <c r="B1282" s="3" t="s">
        <v>3238</v>
      </c>
      <c r="C1282" s="3" t="s">
        <v>3239</v>
      </c>
      <c r="D1282" s="3" t="s">
        <v>3240</v>
      </c>
      <c r="E1282" s="3" t="s">
        <v>120</v>
      </c>
      <c r="F1282" s="3">
        <v>69.9</v>
      </c>
      <c r="G1282" s="3" t="s">
        <v>121</v>
      </c>
      <c r="H1282" s="3"/>
      <c r="I1282" s="3" t="s">
        <v>122</v>
      </c>
      <c r="J1282" s="3">
        <v>0</v>
      </c>
      <c r="K1282" s="3">
        <v>0</v>
      </c>
      <c r="L1282" s="3">
        <v>0</v>
      </c>
      <c r="M1282" s="3">
        <v>0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</row>
    <row r="1283" spans="1:18">
      <c r="A1283" s="3" t="s">
        <v>3241</v>
      </c>
      <c r="B1283" s="3" t="s">
        <v>3242</v>
      </c>
      <c r="C1283" s="3" t="s">
        <v>3243</v>
      </c>
      <c r="D1283" s="3" t="s">
        <v>3244</v>
      </c>
      <c r="E1283" s="3" t="s">
        <v>120</v>
      </c>
      <c r="F1283" s="3">
        <v>35.98</v>
      </c>
      <c r="G1283" s="3" t="s">
        <v>121</v>
      </c>
      <c r="H1283" s="3"/>
      <c r="I1283" s="3" t="s">
        <v>122</v>
      </c>
      <c r="J1283" s="3">
        <v>3</v>
      </c>
      <c r="K1283" s="3">
        <v>3</v>
      </c>
      <c r="L1283" s="3">
        <v>0</v>
      </c>
      <c r="M1283" s="3">
        <v>0</v>
      </c>
      <c r="N1283" s="3">
        <v>3</v>
      </c>
      <c r="O1283" s="3">
        <v>0.17</v>
      </c>
      <c r="P1283" s="3">
        <v>0</v>
      </c>
      <c r="Q1283" s="3">
        <v>0</v>
      </c>
      <c r="R1283" s="3">
        <v>0</v>
      </c>
    </row>
    <row r="1284" spans="1:18">
      <c r="A1284" s="3" t="s">
        <v>3245</v>
      </c>
      <c r="B1284" s="3" t="s">
        <v>3246</v>
      </c>
      <c r="C1284" s="3" t="s">
        <v>3247</v>
      </c>
      <c r="D1284" s="3" t="s">
        <v>3248</v>
      </c>
      <c r="E1284" s="3" t="s">
        <v>120</v>
      </c>
      <c r="F1284" s="3">
        <v>69.9</v>
      </c>
      <c r="G1284" s="3" t="s">
        <v>121</v>
      </c>
      <c r="H1284" s="3"/>
      <c r="I1284" s="3" t="s">
        <v>122</v>
      </c>
      <c r="J1284" s="3">
        <v>0</v>
      </c>
      <c r="K1284" s="3">
        <v>0</v>
      </c>
      <c r="L1284" s="3">
        <v>0</v>
      </c>
      <c r="M1284" s="3">
        <v>0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</row>
    <row r="1285" spans="1:18">
      <c r="A1285" s="3" t="s">
        <v>3249</v>
      </c>
      <c r="B1285" s="3" t="s">
        <v>3250</v>
      </c>
      <c r="C1285" s="3" t="s">
        <v>3251</v>
      </c>
      <c r="D1285" s="3" t="s">
        <v>3252</v>
      </c>
      <c r="E1285" s="3" t="s">
        <v>120</v>
      </c>
      <c r="F1285" s="3">
        <v>22.98</v>
      </c>
      <c r="G1285" s="3" t="s">
        <v>121</v>
      </c>
      <c r="H1285" s="3"/>
      <c r="I1285" s="3" t="s">
        <v>122</v>
      </c>
      <c r="J1285" s="3">
        <v>0</v>
      </c>
      <c r="K1285" s="3">
        <v>0</v>
      </c>
      <c r="L1285" s="3">
        <v>0</v>
      </c>
      <c r="M1285" s="3">
        <v>0</v>
      </c>
      <c r="N1285" s="3">
        <v>0</v>
      </c>
      <c r="O1285" s="3">
        <v>0.02</v>
      </c>
      <c r="P1285" s="3">
        <v>0</v>
      </c>
      <c r="Q1285" s="3">
        <v>0</v>
      </c>
      <c r="R1285" s="3">
        <v>0</v>
      </c>
    </row>
    <row r="1286" spans="1:18">
      <c r="A1286" s="3" t="s">
        <v>3253</v>
      </c>
      <c r="B1286" s="3" t="s">
        <v>3254</v>
      </c>
      <c r="C1286" s="3" t="s">
        <v>3255</v>
      </c>
      <c r="D1286" s="3" t="s">
        <v>3256</v>
      </c>
      <c r="E1286" s="3" t="s">
        <v>120</v>
      </c>
      <c r="F1286" s="3">
        <v>22.98</v>
      </c>
      <c r="G1286" s="3" t="s">
        <v>121</v>
      </c>
      <c r="H1286" s="3"/>
      <c r="I1286" s="3" t="s">
        <v>122</v>
      </c>
      <c r="J1286" s="3">
        <v>0</v>
      </c>
      <c r="K1286" s="3">
        <v>0</v>
      </c>
      <c r="L1286" s="3">
        <v>0</v>
      </c>
      <c r="M1286" s="3">
        <v>0</v>
      </c>
      <c r="N1286" s="3">
        <v>0</v>
      </c>
      <c r="O1286" s="3">
        <v>0.02</v>
      </c>
      <c r="P1286" s="3">
        <v>0</v>
      </c>
      <c r="Q1286" s="3">
        <v>0</v>
      </c>
      <c r="R1286" s="3">
        <v>0</v>
      </c>
    </row>
    <row r="1287" spans="1:18">
      <c r="A1287" s="3" t="s">
        <v>3257</v>
      </c>
      <c r="B1287" s="3" t="s">
        <v>3258</v>
      </c>
      <c r="C1287" s="3" t="s">
        <v>3259</v>
      </c>
      <c r="D1287" s="3" t="s">
        <v>3260</v>
      </c>
      <c r="E1287" s="3" t="s">
        <v>120</v>
      </c>
      <c r="F1287" s="3">
        <v>21.4</v>
      </c>
      <c r="G1287" s="3" t="s">
        <v>121</v>
      </c>
      <c r="H1287" s="3"/>
      <c r="I1287" s="3" t="s">
        <v>122</v>
      </c>
      <c r="J1287" s="3">
        <v>0</v>
      </c>
      <c r="K1287" s="3">
        <v>0</v>
      </c>
      <c r="L1287" s="3">
        <v>0</v>
      </c>
      <c r="M1287" s="3">
        <v>0</v>
      </c>
      <c r="N1287" s="3">
        <v>0</v>
      </c>
      <c r="O1287" s="3">
        <v>0.02</v>
      </c>
      <c r="P1287" s="3">
        <v>0</v>
      </c>
      <c r="Q1287" s="3">
        <v>0</v>
      </c>
      <c r="R1287" s="3">
        <v>0</v>
      </c>
    </row>
    <row r="1288" spans="1:18">
      <c r="A1288" s="3" t="s">
        <v>3261</v>
      </c>
      <c r="B1288" s="3" t="s">
        <v>3262</v>
      </c>
      <c r="C1288" s="3" t="s">
        <v>3263</v>
      </c>
      <c r="D1288" s="3" t="s">
        <v>3264</v>
      </c>
      <c r="E1288" s="3" t="s">
        <v>120</v>
      </c>
      <c r="F1288" s="3">
        <v>21.4</v>
      </c>
      <c r="G1288" s="3" t="s">
        <v>121</v>
      </c>
      <c r="H1288" s="3"/>
      <c r="I1288" s="3" t="s">
        <v>122</v>
      </c>
      <c r="J1288" s="3">
        <v>0</v>
      </c>
      <c r="K1288" s="3">
        <v>0</v>
      </c>
      <c r="L1288" s="3">
        <v>0</v>
      </c>
      <c r="M1288" s="3">
        <v>0</v>
      </c>
      <c r="N1288" s="3">
        <v>0</v>
      </c>
      <c r="O1288" s="3">
        <v>0.05</v>
      </c>
      <c r="P1288" s="3">
        <v>0</v>
      </c>
      <c r="Q1288" s="3">
        <v>0</v>
      </c>
      <c r="R1288" s="3">
        <v>0</v>
      </c>
    </row>
    <row r="1289" spans="1:18">
      <c r="A1289" s="3" t="s">
        <v>3265</v>
      </c>
      <c r="B1289" s="3" t="s">
        <v>3266</v>
      </c>
      <c r="C1289" s="3" t="s">
        <v>3267</v>
      </c>
      <c r="D1289" s="3" t="s">
        <v>3268</v>
      </c>
      <c r="E1289" s="3" t="s">
        <v>120</v>
      </c>
      <c r="F1289" s="3">
        <v>21.4</v>
      </c>
      <c r="G1289" s="3" t="s">
        <v>121</v>
      </c>
      <c r="H1289" s="3"/>
      <c r="I1289" s="3" t="s">
        <v>122</v>
      </c>
      <c r="J1289" s="3">
        <v>0</v>
      </c>
      <c r="K1289" s="3">
        <v>0</v>
      </c>
      <c r="L1289" s="3">
        <v>0</v>
      </c>
      <c r="M1289" s="3">
        <v>0</v>
      </c>
      <c r="N1289" s="3">
        <v>0</v>
      </c>
      <c r="O1289" s="3">
        <v>0.05</v>
      </c>
      <c r="P1289" s="3">
        <v>0</v>
      </c>
      <c r="Q1289" s="3">
        <v>0</v>
      </c>
      <c r="R1289" s="3">
        <v>0</v>
      </c>
    </row>
    <row r="1290" spans="1:18">
      <c r="A1290" s="3" t="s">
        <v>3269</v>
      </c>
      <c r="B1290" s="3" t="s">
        <v>3270</v>
      </c>
      <c r="C1290" s="3" t="s">
        <v>3271</v>
      </c>
      <c r="D1290" s="3" t="s">
        <v>3272</v>
      </c>
      <c r="E1290" s="3" t="s">
        <v>120</v>
      </c>
      <c r="F1290" s="3">
        <v>21.4</v>
      </c>
      <c r="G1290" s="3" t="s">
        <v>121</v>
      </c>
      <c r="H1290" s="3"/>
      <c r="I1290" s="3" t="s">
        <v>122</v>
      </c>
      <c r="J1290" s="3">
        <v>0</v>
      </c>
      <c r="K1290" s="3">
        <v>0</v>
      </c>
      <c r="L1290" s="3">
        <v>0</v>
      </c>
      <c r="M1290" s="3">
        <v>0</v>
      </c>
      <c r="N1290" s="3">
        <v>0</v>
      </c>
      <c r="O1290" s="3">
        <v>0.05</v>
      </c>
      <c r="P1290" s="3">
        <v>0</v>
      </c>
      <c r="Q1290" s="3">
        <v>0</v>
      </c>
      <c r="R1290" s="3">
        <v>0</v>
      </c>
    </row>
    <row r="1291" spans="1:18">
      <c r="A1291" s="3" t="s">
        <v>3273</v>
      </c>
      <c r="B1291" s="3" t="s">
        <v>3274</v>
      </c>
      <c r="C1291" s="3" t="s">
        <v>3275</v>
      </c>
      <c r="D1291" s="3" t="s">
        <v>3276</v>
      </c>
      <c r="E1291" s="3" t="s">
        <v>120</v>
      </c>
      <c r="F1291" s="3">
        <v>22.7</v>
      </c>
      <c r="G1291" s="3" t="s">
        <v>121</v>
      </c>
      <c r="H1291" s="3"/>
      <c r="I1291" s="3" t="s">
        <v>122</v>
      </c>
      <c r="J1291" s="3">
        <v>0</v>
      </c>
      <c r="K1291" s="3">
        <v>0</v>
      </c>
      <c r="L1291" s="3">
        <v>0</v>
      </c>
      <c r="M1291" s="3">
        <v>0</v>
      </c>
      <c r="N1291" s="3">
        <v>0</v>
      </c>
      <c r="O1291" s="3">
        <v>0.02</v>
      </c>
      <c r="P1291" s="3">
        <v>0</v>
      </c>
      <c r="Q1291" s="3">
        <v>0</v>
      </c>
      <c r="R1291" s="3">
        <v>0</v>
      </c>
    </row>
    <row r="1292" spans="1:18">
      <c r="A1292" s="3" t="s">
        <v>3277</v>
      </c>
      <c r="B1292" s="3" t="s">
        <v>3278</v>
      </c>
      <c r="C1292" s="3" t="s">
        <v>3279</v>
      </c>
      <c r="D1292" s="3" t="s">
        <v>3280</v>
      </c>
      <c r="E1292" s="3" t="s">
        <v>120</v>
      </c>
      <c r="F1292" s="3">
        <v>22.7</v>
      </c>
      <c r="G1292" s="3" t="s">
        <v>121</v>
      </c>
      <c r="H1292" s="3"/>
      <c r="I1292" s="3" t="s">
        <v>122</v>
      </c>
      <c r="J1292" s="3">
        <v>0</v>
      </c>
      <c r="K1292" s="3">
        <v>0</v>
      </c>
      <c r="L1292" s="3">
        <v>0</v>
      </c>
      <c r="M1292" s="3">
        <v>0</v>
      </c>
      <c r="N1292" s="3">
        <v>0</v>
      </c>
      <c r="O1292" s="3">
        <v>0.02</v>
      </c>
      <c r="P1292" s="3">
        <v>0</v>
      </c>
      <c r="Q1292" s="3">
        <v>0</v>
      </c>
      <c r="R1292" s="3">
        <v>0</v>
      </c>
    </row>
    <row r="1293" spans="1:18">
      <c r="A1293" s="3" t="s">
        <v>3281</v>
      </c>
      <c r="B1293" s="3" t="s">
        <v>3282</v>
      </c>
      <c r="C1293" s="3" t="s">
        <v>3283</v>
      </c>
      <c r="D1293" s="3" t="s">
        <v>3284</v>
      </c>
      <c r="E1293" s="3" t="s">
        <v>120</v>
      </c>
      <c r="F1293" s="3">
        <v>22.7</v>
      </c>
      <c r="G1293" s="3" t="s">
        <v>121</v>
      </c>
      <c r="H1293" s="3"/>
      <c r="I1293" s="3" t="s">
        <v>122</v>
      </c>
      <c r="J1293" s="3">
        <v>0</v>
      </c>
      <c r="K1293" s="3">
        <v>0</v>
      </c>
      <c r="L1293" s="3">
        <v>0</v>
      </c>
      <c r="M1293" s="3">
        <v>0</v>
      </c>
      <c r="N1293" s="3">
        <v>0</v>
      </c>
      <c r="O1293" s="3">
        <v>0.04</v>
      </c>
      <c r="P1293" s="3">
        <v>0</v>
      </c>
      <c r="Q1293" s="3">
        <v>0</v>
      </c>
      <c r="R1293" s="3">
        <v>0</v>
      </c>
    </row>
    <row r="1294" spans="1:18">
      <c r="A1294" s="3" t="s">
        <v>3285</v>
      </c>
      <c r="B1294" s="3" t="s">
        <v>3286</v>
      </c>
      <c r="C1294" s="3" t="s">
        <v>3287</v>
      </c>
      <c r="D1294" s="3" t="s">
        <v>3288</v>
      </c>
      <c r="E1294" s="3" t="s">
        <v>120</v>
      </c>
      <c r="F1294" s="3">
        <v>21.4</v>
      </c>
      <c r="G1294" s="3" t="s">
        <v>121</v>
      </c>
      <c r="H1294" s="3"/>
      <c r="I1294" s="3" t="s">
        <v>122</v>
      </c>
      <c r="J1294" s="3">
        <v>0</v>
      </c>
      <c r="K1294" s="3">
        <v>0</v>
      </c>
      <c r="L1294" s="3">
        <v>0</v>
      </c>
      <c r="M1294" s="3">
        <v>0</v>
      </c>
      <c r="N1294" s="3">
        <v>0</v>
      </c>
      <c r="O1294" s="3">
        <v>0.04</v>
      </c>
      <c r="P1294" s="3">
        <v>0</v>
      </c>
      <c r="Q1294" s="3">
        <v>0</v>
      </c>
      <c r="R1294" s="3">
        <v>0</v>
      </c>
    </row>
    <row r="1295" spans="1:18">
      <c r="A1295" s="3" t="s">
        <v>3289</v>
      </c>
      <c r="B1295" s="3" t="s">
        <v>3290</v>
      </c>
      <c r="C1295" s="3" t="s">
        <v>3291</v>
      </c>
      <c r="D1295" s="3" t="s">
        <v>3292</v>
      </c>
      <c r="E1295" s="3" t="s">
        <v>120</v>
      </c>
      <c r="F1295" s="3">
        <v>22.7</v>
      </c>
      <c r="G1295" s="3" t="s">
        <v>121</v>
      </c>
      <c r="H1295" s="3"/>
      <c r="I1295" s="3" t="s">
        <v>122</v>
      </c>
      <c r="J1295" s="3">
        <v>0</v>
      </c>
      <c r="K1295" s="3">
        <v>0</v>
      </c>
      <c r="L1295" s="3">
        <v>0</v>
      </c>
      <c r="M1295" s="3">
        <v>0</v>
      </c>
      <c r="N1295" s="3">
        <v>0</v>
      </c>
      <c r="O1295" s="3">
        <v>0.04</v>
      </c>
      <c r="P1295" s="3">
        <v>0</v>
      </c>
      <c r="Q1295" s="3">
        <v>0</v>
      </c>
      <c r="R1295" s="3">
        <v>0</v>
      </c>
    </row>
    <row r="1296" spans="1:18">
      <c r="A1296" s="3" t="s">
        <v>3293</v>
      </c>
      <c r="B1296" s="3" t="s">
        <v>3294</v>
      </c>
      <c r="C1296" s="3" t="s">
        <v>3295</v>
      </c>
      <c r="D1296" s="3" t="s">
        <v>3296</v>
      </c>
      <c r="E1296" s="3" t="s">
        <v>120</v>
      </c>
      <c r="F1296" s="3">
        <v>22.98</v>
      </c>
      <c r="G1296" s="3" t="s">
        <v>121</v>
      </c>
      <c r="H1296" s="3"/>
      <c r="I1296" s="3" t="s">
        <v>122</v>
      </c>
      <c r="J1296" s="3">
        <v>0</v>
      </c>
      <c r="K1296" s="3">
        <v>0</v>
      </c>
      <c r="L1296" s="3">
        <v>0</v>
      </c>
      <c r="M1296" s="3">
        <v>0</v>
      </c>
      <c r="N1296" s="3">
        <v>0</v>
      </c>
      <c r="O1296" s="3">
        <v>0.02</v>
      </c>
      <c r="P1296" s="3">
        <v>0</v>
      </c>
      <c r="Q1296" s="3">
        <v>0</v>
      </c>
      <c r="R1296" s="3">
        <v>0</v>
      </c>
    </row>
    <row r="1297" spans="1:18">
      <c r="A1297" s="3" t="s">
        <v>3297</v>
      </c>
      <c r="B1297" s="3" t="s">
        <v>3298</v>
      </c>
      <c r="C1297" s="3" t="s">
        <v>3299</v>
      </c>
      <c r="D1297" s="3" t="s">
        <v>3300</v>
      </c>
      <c r="E1297" s="3" t="s">
        <v>120</v>
      </c>
      <c r="F1297" s="3">
        <v>22.7</v>
      </c>
      <c r="G1297" s="3" t="s">
        <v>121</v>
      </c>
      <c r="H1297" s="3"/>
      <c r="I1297" s="3" t="s">
        <v>122</v>
      </c>
      <c r="J1297" s="3">
        <v>0</v>
      </c>
      <c r="K1297" s="3">
        <v>0</v>
      </c>
      <c r="L1297" s="3">
        <v>0</v>
      </c>
      <c r="M1297" s="3">
        <v>0</v>
      </c>
      <c r="N1297" s="3">
        <v>0</v>
      </c>
      <c r="O1297" s="3">
        <v>0.07</v>
      </c>
      <c r="P1297" s="3">
        <v>0</v>
      </c>
      <c r="Q1297" s="3">
        <v>0</v>
      </c>
      <c r="R1297" s="3">
        <v>0</v>
      </c>
    </row>
    <row r="1298" spans="1:18">
      <c r="A1298" s="3" t="s">
        <v>3301</v>
      </c>
      <c r="B1298" s="3" t="s">
        <v>3302</v>
      </c>
      <c r="C1298" s="3" t="s">
        <v>3303</v>
      </c>
      <c r="D1298" s="3" t="s">
        <v>3304</v>
      </c>
      <c r="E1298" s="3" t="s">
        <v>120</v>
      </c>
      <c r="F1298" s="3">
        <v>69.9</v>
      </c>
      <c r="G1298" s="3" t="s">
        <v>121</v>
      </c>
      <c r="H1298" s="3"/>
      <c r="I1298" s="3" t="s">
        <v>122</v>
      </c>
      <c r="J1298" s="3">
        <v>27</v>
      </c>
      <c r="K1298" s="3">
        <v>22</v>
      </c>
      <c r="L1298" s="3">
        <v>1</v>
      </c>
      <c r="M1298" s="3">
        <v>4</v>
      </c>
      <c r="N1298" s="3">
        <v>27</v>
      </c>
      <c r="O1298" s="3">
        <v>0.17</v>
      </c>
      <c r="P1298" s="3">
        <v>0</v>
      </c>
      <c r="Q1298" s="3">
        <v>0</v>
      </c>
      <c r="R1298" s="3">
        <v>0</v>
      </c>
    </row>
    <row r="1299" spans="1:18">
      <c r="A1299" s="3" t="s">
        <v>3305</v>
      </c>
      <c r="B1299" s="3" t="s">
        <v>3306</v>
      </c>
      <c r="C1299" s="3" t="s">
        <v>3307</v>
      </c>
      <c r="D1299" s="3" t="s">
        <v>3308</v>
      </c>
      <c r="E1299" s="3" t="s">
        <v>120</v>
      </c>
      <c r="F1299" s="3">
        <v>69.9</v>
      </c>
      <c r="G1299" s="3" t="s">
        <v>121</v>
      </c>
      <c r="H1299" s="3"/>
      <c r="I1299" s="3" t="s">
        <v>122</v>
      </c>
      <c r="J1299" s="3">
        <v>29</v>
      </c>
      <c r="K1299" s="3">
        <v>26</v>
      </c>
      <c r="L1299" s="3">
        <v>0</v>
      </c>
      <c r="M1299" s="3">
        <v>3</v>
      </c>
      <c r="N1299" s="3">
        <v>29</v>
      </c>
      <c r="O1299" s="3">
        <v>0.17</v>
      </c>
      <c r="P1299" s="3">
        <v>0</v>
      </c>
      <c r="Q1299" s="3">
        <v>0</v>
      </c>
      <c r="R1299" s="3">
        <v>0</v>
      </c>
    </row>
    <row r="1300" spans="1:18">
      <c r="A1300" s="3" t="s">
        <v>3309</v>
      </c>
      <c r="B1300" s="3" t="s">
        <v>3310</v>
      </c>
      <c r="C1300" s="3" t="s">
        <v>3311</v>
      </c>
      <c r="D1300" s="3" t="s">
        <v>3312</v>
      </c>
      <c r="E1300" s="3" t="s">
        <v>120</v>
      </c>
      <c r="F1300" s="3">
        <v>69.9</v>
      </c>
      <c r="G1300" s="3" t="s">
        <v>121</v>
      </c>
      <c r="H1300" s="3"/>
      <c r="I1300" s="3" t="s">
        <v>122</v>
      </c>
      <c r="J1300" s="3">
        <v>0</v>
      </c>
      <c r="K1300" s="3">
        <v>0</v>
      </c>
      <c r="L1300" s="3">
        <v>0</v>
      </c>
      <c r="M1300" s="3">
        <v>0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</row>
    <row r="1301" spans="1:18">
      <c r="A1301" s="3" t="s">
        <v>3313</v>
      </c>
      <c r="B1301" s="3" t="s">
        <v>3314</v>
      </c>
      <c r="C1301" s="3" t="s">
        <v>3314</v>
      </c>
      <c r="D1301" s="3" t="s">
        <v>3315</v>
      </c>
      <c r="E1301" s="3" t="s">
        <v>120</v>
      </c>
      <c r="F1301" s="3">
        <v>22.98</v>
      </c>
      <c r="G1301" s="3" t="s">
        <v>121</v>
      </c>
      <c r="H1301" s="3"/>
      <c r="I1301" s="3" t="s">
        <v>122</v>
      </c>
      <c r="J1301" s="3">
        <v>25</v>
      </c>
      <c r="K1301" s="3">
        <v>25</v>
      </c>
      <c r="L1301" s="3">
        <v>0</v>
      </c>
      <c r="M1301" s="3">
        <v>0</v>
      </c>
      <c r="N1301" s="3">
        <v>25</v>
      </c>
      <c r="O1301" s="3">
        <v>0.08</v>
      </c>
      <c r="P1301" s="3">
        <v>0</v>
      </c>
      <c r="Q1301" s="3">
        <v>0</v>
      </c>
      <c r="R1301" s="3">
        <v>0</v>
      </c>
    </row>
    <row r="1302" spans="1:18">
      <c r="A1302" s="3" t="s">
        <v>3316</v>
      </c>
      <c r="B1302" s="3" t="s">
        <v>3317</v>
      </c>
      <c r="C1302" s="3" t="s">
        <v>3318</v>
      </c>
      <c r="D1302" s="3" t="s">
        <v>3319</v>
      </c>
      <c r="E1302" s="3" t="s">
        <v>120</v>
      </c>
      <c r="F1302" s="3">
        <v>22.98</v>
      </c>
      <c r="G1302" s="3" t="s">
        <v>121</v>
      </c>
      <c r="H1302" s="3"/>
      <c r="I1302" s="3" t="s">
        <v>122</v>
      </c>
      <c r="J1302" s="3">
        <v>0</v>
      </c>
      <c r="K1302" s="3">
        <v>0</v>
      </c>
      <c r="L1302" s="3">
        <v>0</v>
      </c>
      <c r="M1302" s="3">
        <v>0</v>
      </c>
      <c r="N1302" s="3">
        <v>0</v>
      </c>
      <c r="O1302" s="3">
        <v>0.12</v>
      </c>
      <c r="P1302" s="3">
        <v>0</v>
      </c>
      <c r="Q1302" s="3">
        <v>0</v>
      </c>
      <c r="R1302" s="3">
        <v>0</v>
      </c>
    </row>
    <row r="1303" spans="1:18">
      <c r="A1303" s="3" t="s">
        <v>3320</v>
      </c>
      <c r="B1303" s="3" t="s">
        <v>3321</v>
      </c>
      <c r="C1303" s="3" t="s">
        <v>3322</v>
      </c>
      <c r="D1303" s="3" t="s">
        <v>3323</v>
      </c>
      <c r="E1303" s="3" t="s">
        <v>120</v>
      </c>
      <c r="F1303" s="3">
        <v>22.98</v>
      </c>
      <c r="G1303" s="3" t="s">
        <v>121</v>
      </c>
      <c r="H1303" s="3"/>
      <c r="I1303" s="3" t="s">
        <v>122</v>
      </c>
      <c r="J1303" s="3">
        <v>0</v>
      </c>
      <c r="K1303" s="3">
        <v>0</v>
      </c>
      <c r="L1303" s="3">
        <v>0</v>
      </c>
      <c r="M1303" s="3">
        <v>0</v>
      </c>
      <c r="N1303" s="3">
        <v>0</v>
      </c>
      <c r="O1303" s="3">
        <v>0.12</v>
      </c>
      <c r="P1303" s="3">
        <v>0</v>
      </c>
      <c r="Q1303" s="3">
        <v>0</v>
      </c>
      <c r="R1303" s="3">
        <v>0</v>
      </c>
    </row>
    <row r="1304" spans="1:18">
      <c r="A1304" s="3" t="s">
        <v>3324</v>
      </c>
      <c r="B1304" s="3" t="s">
        <v>3325</v>
      </c>
      <c r="C1304" s="3" t="s">
        <v>3326</v>
      </c>
      <c r="D1304" s="3" t="s">
        <v>3327</v>
      </c>
      <c r="E1304" s="3" t="s">
        <v>120</v>
      </c>
      <c r="F1304" s="3">
        <v>22.98</v>
      </c>
      <c r="G1304" s="3" t="s">
        <v>121</v>
      </c>
      <c r="H1304" s="3"/>
      <c r="I1304" s="3" t="s">
        <v>122</v>
      </c>
      <c r="J1304" s="3">
        <v>0</v>
      </c>
      <c r="K1304" s="3">
        <v>0</v>
      </c>
      <c r="L1304" s="3">
        <v>0</v>
      </c>
      <c r="M1304" s="3">
        <v>0</v>
      </c>
      <c r="N1304" s="3">
        <v>0</v>
      </c>
      <c r="O1304" s="3">
        <v>0.12</v>
      </c>
      <c r="P1304" s="3">
        <v>0</v>
      </c>
      <c r="Q1304" s="3">
        <v>0</v>
      </c>
      <c r="R1304" s="3">
        <v>0</v>
      </c>
    </row>
    <row r="1305" spans="1:18">
      <c r="A1305" s="3" t="s">
        <v>3328</v>
      </c>
      <c r="B1305" s="3" t="s">
        <v>3329</v>
      </c>
      <c r="C1305" s="3" t="s">
        <v>3330</v>
      </c>
      <c r="D1305" s="3" t="s">
        <v>3331</v>
      </c>
      <c r="E1305" s="3" t="s">
        <v>120</v>
      </c>
      <c r="F1305" s="3">
        <v>22.98</v>
      </c>
      <c r="G1305" s="3" t="s">
        <v>121</v>
      </c>
      <c r="H1305" s="3"/>
      <c r="I1305" s="3" t="s">
        <v>122</v>
      </c>
      <c r="J1305" s="3">
        <v>0</v>
      </c>
      <c r="K1305" s="3">
        <v>0</v>
      </c>
      <c r="L1305" s="3">
        <v>0</v>
      </c>
      <c r="M1305" s="3">
        <v>0</v>
      </c>
      <c r="N1305" s="3">
        <v>0</v>
      </c>
      <c r="O1305" s="3">
        <v>0.12</v>
      </c>
      <c r="P1305" s="3">
        <v>0</v>
      </c>
      <c r="Q1305" s="3">
        <v>0</v>
      </c>
      <c r="R1305" s="3">
        <v>0</v>
      </c>
    </row>
    <row r="1306" spans="1:18">
      <c r="A1306" s="3" t="s">
        <v>3332</v>
      </c>
      <c r="B1306" s="3" t="s">
        <v>3333</v>
      </c>
      <c r="C1306" s="3" t="s">
        <v>3334</v>
      </c>
      <c r="D1306" s="3" t="s">
        <v>3335</v>
      </c>
      <c r="E1306" s="3" t="s">
        <v>120</v>
      </c>
      <c r="F1306" s="3">
        <v>22.98</v>
      </c>
      <c r="G1306" s="3" t="s">
        <v>121</v>
      </c>
      <c r="H1306" s="3"/>
      <c r="I1306" s="3" t="s">
        <v>122</v>
      </c>
      <c r="J1306" s="3">
        <v>0</v>
      </c>
      <c r="K1306" s="3">
        <v>0</v>
      </c>
      <c r="L1306" s="3">
        <v>0</v>
      </c>
      <c r="M1306" s="3">
        <v>0</v>
      </c>
      <c r="N1306" s="3">
        <v>0</v>
      </c>
      <c r="O1306" s="3">
        <v>0.12</v>
      </c>
      <c r="P1306" s="3">
        <v>0</v>
      </c>
      <c r="Q1306" s="3">
        <v>0</v>
      </c>
      <c r="R1306" s="3">
        <v>0</v>
      </c>
    </row>
    <row r="1307" spans="1:18">
      <c r="A1307" s="3" t="s">
        <v>3336</v>
      </c>
      <c r="B1307" s="3" t="s">
        <v>3337</v>
      </c>
      <c r="C1307" s="3" t="s">
        <v>3338</v>
      </c>
      <c r="D1307" s="3" t="s">
        <v>3339</v>
      </c>
      <c r="E1307" s="3" t="s">
        <v>120</v>
      </c>
      <c r="F1307" s="3">
        <v>22.98</v>
      </c>
      <c r="G1307" s="3" t="s">
        <v>121</v>
      </c>
      <c r="H1307" s="3"/>
      <c r="I1307" s="3" t="s">
        <v>122</v>
      </c>
      <c r="J1307" s="3">
        <v>0</v>
      </c>
      <c r="K1307" s="3">
        <v>0</v>
      </c>
      <c r="L1307" s="3">
        <v>0</v>
      </c>
      <c r="M1307" s="3">
        <v>0</v>
      </c>
      <c r="N1307" s="3">
        <v>0</v>
      </c>
      <c r="O1307" s="3">
        <v>0.04</v>
      </c>
      <c r="P1307" s="3">
        <v>0</v>
      </c>
      <c r="Q1307" s="3">
        <v>0</v>
      </c>
      <c r="R1307" s="3">
        <v>0</v>
      </c>
    </row>
    <row r="1308" spans="1:18">
      <c r="A1308" s="3" t="s">
        <v>3340</v>
      </c>
      <c r="B1308" s="3" t="s">
        <v>3341</v>
      </c>
      <c r="C1308" s="3" t="s">
        <v>3342</v>
      </c>
      <c r="D1308" s="3" t="s">
        <v>3343</v>
      </c>
      <c r="E1308" s="3" t="s">
        <v>120</v>
      </c>
      <c r="F1308" s="3">
        <v>22.98</v>
      </c>
      <c r="G1308" s="3" t="s">
        <v>121</v>
      </c>
      <c r="H1308" s="3"/>
      <c r="I1308" s="3" t="s">
        <v>122</v>
      </c>
      <c r="J1308" s="3">
        <v>0</v>
      </c>
      <c r="K1308" s="3">
        <v>0</v>
      </c>
      <c r="L1308" s="3">
        <v>0</v>
      </c>
      <c r="M1308" s="3">
        <v>0</v>
      </c>
      <c r="N1308" s="3">
        <v>0</v>
      </c>
      <c r="O1308" s="3">
        <v>0.12</v>
      </c>
      <c r="P1308" s="3">
        <v>0</v>
      </c>
      <c r="Q1308" s="3">
        <v>0</v>
      </c>
      <c r="R1308" s="3">
        <v>0</v>
      </c>
    </row>
    <row r="1309" spans="1:18">
      <c r="A1309" s="3" t="s">
        <v>3344</v>
      </c>
      <c r="B1309" s="3" t="s">
        <v>3345</v>
      </c>
      <c r="C1309" s="3" t="s">
        <v>3346</v>
      </c>
      <c r="D1309" s="3" t="s">
        <v>3347</v>
      </c>
      <c r="E1309" s="3" t="s">
        <v>120</v>
      </c>
      <c r="F1309" s="3">
        <v>22.98</v>
      </c>
      <c r="G1309" s="3" t="s">
        <v>121</v>
      </c>
      <c r="H1309" s="3"/>
      <c r="I1309" s="3" t="s">
        <v>122</v>
      </c>
      <c r="J1309" s="3">
        <v>0</v>
      </c>
      <c r="K1309" s="3">
        <v>0</v>
      </c>
      <c r="L1309" s="3">
        <v>0</v>
      </c>
      <c r="M1309" s="3">
        <v>0</v>
      </c>
      <c r="N1309" s="3">
        <v>0</v>
      </c>
      <c r="O1309" s="3">
        <v>0.12</v>
      </c>
      <c r="P1309" s="3">
        <v>0</v>
      </c>
      <c r="Q1309" s="3">
        <v>0</v>
      </c>
      <c r="R1309" s="3">
        <v>0</v>
      </c>
    </row>
    <row r="1310" spans="1:18">
      <c r="A1310" s="3" t="s">
        <v>3348</v>
      </c>
      <c r="B1310" s="3" t="s">
        <v>3349</v>
      </c>
      <c r="C1310" s="3" t="s">
        <v>3350</v>
      </c>
      <c r="D1310" s="3" t="s">
        <v>3351</v>
      </c>
      <c r="E1310" s="3" t="s">
        <v>120</v>
      </c>
      <c r="F1310" s="3">
        <v>22.98</v>
      </c>
      <c r="G1310" s="3" t="s">
        <v>121</v>
      </c>
      <c r="H1310" s="3"/>
      <c r="I1310" s="3" t="s">
        <v>122</v>
      </c>
      <c r="J1310" s="3">
        <v>0</v>
      </c>
      <c r="K1310" s="3">
        <v>0</v>
      </c>
      <c r="L1310" s="3">
        <v>0</v>
      </c>
      <c r="M1310" s="3">
        <v>0</v>
      </c>
      <c r="N1310" s="3">
        <v>0</v>
      </c>
      <c r="O1310" s="3">
        <v>0.12</v>
      </c>
      <c r="P1310" s="3">
        <v>0</v>
      </c>
      <c r="Q1310" s="3">
        <v>0</v>
      </c>
      <c r="R1310" s="3">
        <v>0</v>
      </c>
    </row>
    <row r="1311" spans="1:18">
      <c r="A1311" s="3" t="s">
        <v>3352</v>
      </c>
      <c r="B1311" s="3" t="s">
        <v>3353</v>
      </c>
      <c r="C1311" s="3" t="s">
        <v>3354</v>
      </c>
      <c r="D1311" s="3" t="s">
        <v>3355</v>
      </c>
      <c r="E1311" s="3" t="s">
        <v>120</v>
      </c>
      <c r="F1311" s="3">
        <v>22.98</v>
      </c>
      <c r="G1311" s="3" t="s">
        <v>121</v>
      </c>
      <c r="H1311" s="3"/>
      <c r="I1311" s="3" t="s">
        <v>122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0.12</v>
      </c>
      <c r="P1311" s="3">
        <v>0</v>
      </c>
      <c r="Q1311" s="3">
        <v>0</v>
      </c>
      <c r="R1311" s="3">
        <v>0</v>
      </c>
    </row>
    <row r="1312" spans="1:18">
      <c r="A1312" s="3" t="s">
        <v>3356</v>
      </c>
      <c r="B1312" s="3" t="s">
        <v>3357</v>
      </c>
      <c r="C1312" s="3" t="s">
        <v>3358</v>
      </c>
      <c r="D1312" s="3" t="s">
        <v>3359</v>
      </c>
      <c r="E1312" s="3" t="s">
        <v>120</v>
      </c>
      <c r="F1312" s="3">
        <v>22.98</v>
      </c>
      <c r="G1312" s="3" t="s">
        <v>121</v>
      </c>
      <c r="H1312" s="3"/>
      <c r="I1312" s="3" t="s">
        <v>122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0.12</v>
      </c>
      <c r="P1312" s="3">
        <v>0</v>
      </c>
      <c r="Q1312" s="3">
        <v>0</v>
      </c>
      <c r="R1312" s="3">
        <v>0</v>
      </c>
    </row>
    <row r="1313" spans="1:18">
      <c r="A1313" s="3" t="s">
        <v>3360</v>
      </c>
      <c r="B1313" s="3" t="s">
        <v>3361</v>
      </c>
      <c r="C1313" s="3" t="s">
        <v>3362</v>
      </c>
      <c r="D1313" s="3" t="s">
        <v>3363</v>
      </c>
      <c r="E1313" s="3" t="s">
        <v>120</v>
      </c>
      <c r="F1313" s="3">
        <v>22.98</v>
      </c>
      <c r="G1313" s="3" t="s">
        <v>121</v>
      </c>
      <c r="H1313" s="3"/>
      <c r="I1313" s="3" t="s">
        <v>122</v>
      </c>
      <c r="J1313" s="3">
        <v>0</v>
      </c>
      <c r="K1313" s="3">
        <v>0</v>
      </c>
      <c r="L1313" s="3">
        <v>0</v>
      </c>
      <c r="M1313" s="3">
        <v>0</v>
      </c>
      <c r="N1313" s="3">
        <v>0</v>
      </c>
      <c r="O1313" s="3">
        <v>0.12</v>
      </c>
      <c r="P1313" s="3">
        <v>0</v>
      </c>
      <c r="Q1313" s="3">
        <v>0</v>
      </c>
      <c r="R1313" s="3">
        <v>0</v>
      </c>
    </row>
    <row r="1314" spans="1:18">
      <c r="A1314" s="3" t="s">
        <v>3364</v>
      </c>
      <c r="B1314" s="3" t="s">
        <v>3365</v>
      </c>
      <c r="C1314" s="3" t="s">
        <v>3366</v>
      </c>
      <c r="D1314" s="3" t="s">
        <v>3367</v>
      </c>
      <c r="E1314" s="3" t="s">
        <v>120</v>
      </c>
      <c r="F1314" s="3">
        <v>22.98</v>
      </c>
      <c r="G1314" s="3" t="s">
        <v>121</v>
      </c>
      <c r="H1314" s="3"/>
      <c r="I1314" s="3" t="s">
        <v>122</v>
      </c>
      <c r="J1314" s="3">
        <v>10</v>
      </c>
      <c r="K1314" s="3">
        <v>10</v>
      </c>
      <c r="L1314" s="3">
        <v>0</v>
      </c>
      <c r="M1314" s="3">
        <v>0</v>
      </c>
      <c r="N1314" s="3">
        <v>10</v>
      </c>
      <c r="O1314" s="3">
        <v>0.12</v>
      </c>
      <c r="P1314" s="3">
        <v>0</v>
      </c>
      <c r="Q1314" s="3">
        <v>0</v>
      </c>
      <c r="R1314" s="3">
        <v>0</v>
      </c>
    </row>
    <row r="1315" spans="1:18">
      <c r="A1315" s="3" t="s">
        <v>3368</v>
      </c>
      <c r="B1315" s="3" t="s">
        <v>3369</v>
      </c>
      <c r="C1315" s="3" t="s">
        <v>3370</v>
      </c>
      <c r="D1315" s="3" t="s">
        <v>3371</v>
      </c>
      <c r="E1315" s="3" t="s">
        <v>120</v>
      </c>
      <c r="F1315" s="3">
        <v>22.98</v>
      </c>
      <c r="G1315" s="3" t="s">
        <v>121</v>
      </c>
      <c r="H1315" s="3"/>
      <c r="I1315" s="3" t="s">
        <v>122</v>
      </c>
      <c r="J1315" s="3">
        <v>0</v>
      </c>
      <c r="K1315" s="3">
        <v>0</v>
      </c>
      <c r="L1315" s="3">
        <v>0</v>
      </c>
      <c r="M1315" s="3">
        <v>0</v>
      </c>
      <c r="N1315" s="3">
        <v>0</v>
      </c>
      <c r="O1315" s="3">
        <v>0.12</v>
      </c>
      <c r="P1315" s="3">
        <v>0</v>
      </c>
      <c r="Q1315" s="3">
        <v>0</v>
      </c>
      <c r="R1315" s="3">
        <v>0</v>
      </c>
    </row>
    <row r="1316" spans="1:18">
      <c r="A1316" s="3" t="s">
        <v>3372</v>
      </c>
      <c r="B1316" s="3" t="s">
        <v>3373</v>
      </c>
      <c r="C1316" s="3" t="s">
        <v>3374</v>
      </c>
      <c r="D1316" s="3" t="s">
        <v>3375</v>
      </c>
      <c r="E1316" s="3" t="s">
        <v>120</v>
      </c>
      <c r="F1316" s="3">
        <v>22.98</v>
      </c>
      <c r="G1316" s="3" t="s">
        <v>121</v>
      </c>
      <c r="H1316" s="3"/>
      <c r="I1316" s="3" t="s">
        <v>122</v>
      </c>
      <c r="J1316" s="3">
        <v>0</v>
      </c>
      <c r="K1316" s="3">
        <v>0</v>
      </c>
      <c r="L1316" s="3">
        <v>0</v>
      </c>
      <c r="M1316" s="3">
        <v>0</v>
      </c>
      <c r="N1316" s="3">
        <v>0</v>
      </c>
      <c r="O1316" s="3">
        <v>0.12</v>
      </c>
      <c r="P1316" s="3">
        <v>0</v>
      </c>
      <c r="Q1316" s="3">
        <v>0</v>
      </c>
      <c r="R1316" s="3">
        <v>0</v>
      </c>
    </row>
    <row r="1317" spans="1:18">
      <c r="A1317" s="3" t="s">
        <v>3376</v>
      </c>
      <c r="B1317" s="3" t="s">
        <v>3377</v>
      </c>
      <c r="C1317" s="3" t="s">
        <v>3378</v>
      </c>
      <c r="D1317" s="3" t="s">
        <v>3379</v>
      </c>
      <c r="E1317" s="3" t="s">
        <v>120</v>
      </c>
      <c r="F1317" s="3">
        <v>22.98</v>
      </c>
      <c r="G1317" s="3" t="s">
        <v>121</v>
      </c>
      <c r="H1317" s="3"/>
      <c r="I1317" s="3" t="s">
        <v>122</v>
      </c>
      <c r="J1317" s="3">
        <v>0</v>
      </c>
      <c r="K1317" s="3">
        <v>0</v>
      </c>
      <c r="L1317" s="3">
        <v>0</v>
      </c>
      <c r="M1317" s="3">
        <v>0</v>
      </c>
      <c r="N1317" s="3">
        <v>0</v>
      </c>
      <c r="O1317" s="3">
        <v>0.15</v>
      </c>
      <c r="P1317" s="3">
        <v>0</v>
      </c>
      <c r="Q1317" s="3">
        <v>0</v>
      </c>
      <c r="R1317" s="3">
        <v>0</v>
      </c>
    </row>
    <row r="1318" spans="1:18">
      <c r="A1318" s="3" t="s">
        <v>3380</v>
      </c>
      <c r="B1318" s="3" t="s">
        <v>3381</v>
      </c>
      <c r="C1318" s="3" t="s">
        <v>3382</v>
      </c>
      <c r="D1318" s="3" t="s">
        <v>3383</v>
      </c>
      <c r="E1318" s="3" t="s">
        <v>120</v>
      </c>
      <c r="F1318" s="3">
        <v>22.98</v>
      </c>
      <c r="G1318" s="3" t="s">
        <v>121</v>
      </c>
      <c r="H1318" s="3"/>
      <c r="I1318" s="3" t="s">
        <v>122</v>
      </c>
      <c r="J1318" s="3">
        <v>0</v>
      </c>
      <c r="K1318" s="3">
        <v>0</v>
      </c>
      <c r="L1318" s="3">
        <v>0</v>
      </c>
      <c r="M1318" s="3">
        <v>0</v>
      </c>
      <c r="N1318" s="3">
        <v>0</v>
      </c>
      <c r="O1318" s="3">
        <v>0.15</v>
      </c>
      <c r="P1318" s="3">
        <v>0</v>
      </c>
      <c r="Q1318" s="3">
        <v>0</v>
      </c>
      <c r="R1318" s="3">
        <v>0</v>
      </c>
    </row>
    <row r="1319" spans="1:18">
      <c r="A1319" s="3" t="s">
        <v>3384</v>
      </c>
      <c r="B1319" s="3" t="s">
        <v>3385</v>
      </c>
      <c r="C1319" s="3" t="s">
        <v>3386</v>
      </c>
      <c r="D1319" s="3" t="s">
        <v>3387</v>
      </c>
      <c r="E1319" s="3" t="s">
        <v>120</v>
      </c>
      <c r="F1319" s="3">
        <v>22.98</v>
      </c>
      <c r="G1319" s="3" t="s">
        <v>121</v>
      </c>
      <c r="H1319" s="3"/>
      <c r="I1319" s="3" t="s">
        <v>122</v>
      </c>
      <c r="J1319" s="3">
        <v>0</v>
      </c>
      <c r="K1319" s="3">
        <v>0</v>
      </c>
      <c r="L1319" s="3">
        <v>0</v>
      </c>
      <c r="M1319" s="3">
        <v>0</v>
      </c>
      <c r="N1319" s="3">
        <v>0</v>
      </c>
      <c r="O1319" s="3">
        <v>0.13</v>
      </c>
      <c r="P1319" s="3">
        <v>0</v>
      </c>
      <c r="Q1319" s="3">
        <v>0</v>
      </c>
      <c r="R1319" s="3">
        <v>0</v>
      </c>
    </row>
    <row r="1320" spans="1:18">
      <c r="A1320" s="3" t="s">
        <v>3388</v>
      </c>
      <c r="B1320" s="3" t="s">
        <v>3389</v>
      </c>
      <c r="C1320" s="3" t="s">
        <v>3390</v>
      </c>
      <c r="D1320" s="3" t="s">
        <v>3391</v>
      </c>
      <c r="E1320" s="3" t="s">
        <v>120</v>
      </c>
      <c r="F1320" s="3">
        <v>22.98</v>
      </c>
      <c r="G1320" s="3" t="s">
        <v>121</v>
      </c>
      <c r="H1320" s="3"/>
      <c r="I1320" s="3" t="s">
        <v>122</v>
      </c>
      <c r="J1320" s="3">
        <v>0</v>
      </c>
      <c r="K1320" s="3">
        <v>0</v>
      </c>
      <c r="L1320" s="3">
        <v>0</v>
      </c>
      <c r="M1320" s="3">
        <v>0</v>
      </c>
      <c r="N1320" s="3">
        <v>0</v>
      </c>
      <c r="O1320" s="3">
        <v>0.12</v>
      </c>
      <c r="P1320" s="3">
        <v>0</v>
      </c>
      <c r="Q1320" s="3">
        <v>0</v>
      </c>
      <c r="R1320" s="3">
        <v>0</v>
      </c>
    </row>
    <row r="1321" spans="1:18">
      <c r="A1321" s="3" t="s">
        <v>3392</v>
      </c>
      <c r="B1321" s="3" t="s">
        <v>3393</v>
      </c>
      <c r="C1321" s="3" t="s">
        <v>3394</v>
      </c>
      <c r="D1321" s="3" t="s">
        <v>3395</v>
      </c>
      <c r="E1321" s="3" t="s">
        <v>120</v>
      </c>
      <c r="F1321" s="3">
        <v>22.98</v>
      </c>
      <c r="G1321" s="3" t="s">
        <v>121</v>
      </c>
      <c r="H1321" s="3"/>
      <c r="I1321" s="3" t="s">
        <v>122</v>
      </c>
      <c r="J1321" s="3">
        <v>0</v>
      </c>
      <c r="K1321" s="3">
        <v>0</v>
      </c>
      <c r="L1321" s="3">
        <v>0</v>
      </c>
      <c r="M1321" s="3">
        <v>0</v>
      </c>
      <c r="N1321" s="3">
        <v>0</v>
      </c>
      <c r="O1321" s="3">
        <v>0.15</v>
      </c>
      <c r="P1321" s="3">
        <v>0</v>
      </c>
      <c r="Q1321" s="3">
        <v>0</v>
      </c>
      <c r="R1321" s="3">
        <v>0</v>
      </c>
    </row>
    <row r="1322" spans="1:18">
      <c r="A1322" s="3" t="s">
        <v>3396</v>
      </c>
      <c r="B1322" s="3" t="s">
        <v>3397</v>
      </c>
      <c r="C1322" s="3" t="s">
        <v>3398</v>
      </c>
      <c r="D1322" s="3" t="s">
        <v>3399</v>
      </c>
      <c r="E1322" s="3" t="s">
        <v>120</v>
      </c>
      <c r="F1322" s="3">
        <v>22.98</v>
      </c>
      <c r="G1322" s="3" t="s">
        <v>121</v>
      </c>
      <c r="H1322" s="3"/>
      <c r="I1322" s="3" t="s">
        <v>122</v>
      </c>
      <c r="J1322" s="3">
        <v>0</v>
      </c>
      <c r="K1322" s="3">
        <v>0</v>
      </c>
      <c r="L1322" s="3">
        <v>0</v>
      </c>
      <c r="M1322" s="3">
        <v>0</v>
      </c>
      <c r="N1322" s="3">
        <v>0</v>
      </c>
      <c r="O1322" s="3">
        <v>0.12</v>
      </c>
      <c r="P1322" s="3">
        <v>0</v>
      </c>
      <c r="Q1322" s="3">
        <v>0</v>
      </c>
      <c r="R1322" s="3">
        <v>0</v>
      </c>
    </row>
    <row r="1323" spans="1:18">
      <c r="A1323" s="3" t="s">
        <v>3400</v>
      </c>
      <c r="B1323" s="3" t="s">
        <v>3401</v>
      </c>
      <c r="C1323" s="3" t="s">
        <v>3402</v>
      </c>
      <c r="D1323" s="3" t="s">
        <v>3403</v>
      </c>
      <c r="E1323" s="3" t="s">
        <v>120</v>
      </c>
      <c r="F1323" s="3">
        <v>22.98</v>
      </c>
      <c r="G1323" s="3" t="s">
        <v>121</v>
      </c>
      <c r="H1323" s="3"/>
      <c r="I1323" s="3" t="s">
        <v>122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0.12</v>
      </c>
      <c r="P1323" s="3">
        <v>0</v>
      </c>
      <c r="Q1323" s="3">
        <v>0</v>
      </c>
      <c r="R1323" s="3">
        <v>0</v>
      </c>
    </row>
    <row r="1324" spans="1:18">
      <c r="A1324" s="3" t="s">
        <v>3404</v>
      </c>
      <c r="B1324" s="3" t="s">
        <v>3405</v>
      </c>
      <c r="C1324" s="3" t="s">
        <v>3406</v>
      </c>
      <c r="D1324" s="3" t="s">
        <v>3407</v>
      </c>
      <c r="E1324" s="3" t="s">
        <v>120</v>
      </c>
      <c r="F1324" s="3">
        <v>22.98</v>
      </c>
      <c r="G1324" s="3" t="s">
        <v>121</v>
      </c>
      <c r="H1324" s="3"/>
      <c r="I1324" s="3" t="s">
        <v>122</v>
      </c>
      <c r="J1324" s="3">
        <v>0</v>
      </c>
      <c r="K1324" s="3">
        <v>0</v>
      </c>
      <c r="L1324" s="3">
        <v>0</v>
      </c>
      <c r="M1324" s="3">
        <v>0</v>
      </c>
      <c r="N1324" s="3">
        <v>0</v>
      </c>
      <c r="O1324" s="3">
        <v>0.12</v>
      </c>
      <c r="P1324" s="3">
        <v>0</v>
      </c>
      <c r="Q1324" s="3">
        <v>0</v>
      </c>
      <c r="R1324" s="3">
        <v>0</v>
      </c>
    </row>
    <row r="1325" spans="1:18">
      <c r="A1325" s="3" t="s">
        <v>3408</v>
      </c>
      <c r="B1325" s="3" t="s">
        <v>3409</v>
      </c>
      <c r="C1325" s="3" t="s">
        <v>3410</v>
      </c>
      <c r="D1325" s="3" t="s">
        <v>3411</v>
      </c>
      <c r="E1325" s="3" t="s">
        <v>120</v>
      </c>
      <c r="F1325" s="3">
        <v>22.98</v>
      </c>
      <c r="G1325" s="3" t="s">
        <v>121</v>
      </c>
      <c r="H1325" s="3"/>
      <c r="I1325" s="3" t="s">
        <v>122</v>
      </c>
      <c r="J1325" s="3">
        <v>0</v>
      </c>
      <c r="K1325" s="3">
        <v>0</v>
      </c>
      <c r="L1325" s="3">
        <v>0</v>
      </c>
      <c r="M1325" s="3">
        <v>0</v>
      </c>
      <c r="N1325" s="3">
        <v>0</v>
      </c>
      <c r="O1325" s="3">
        <v>0.12</v>
      </c>
      <c r="P1325" s="3">
        <v>0</v>
      </c>
      <c r="Q1325" s="3">
        <v>0</v>
      </c>
      <c r="R1325" s="3">
        <v>0</v>
      </c>
    </row>
    <row r="1326" spans="1:18">
      <c r="A1326" s="3" t="s">
        <v>3412</v>
      </c>
      <c r="B1326" s="3" t="s">
        <v>3413</v>
      </c>
      <c r="C1326" s="3" t="s">
        <v>3414</v>
      </c>
      <c r="D1326" s="3" t="s">
        <v>3415</v>
      </c>
      <c r="E1326" s="3" t="s">
        <v>120</v>
      </c>
      <c r="F1326" s="3">
        <v>22.98</v>
      </c>
      <c r="G1326" s="3" t="s">
        <v>121</v>
      </c>
      <c r="H1326" s="3"/>
      <c r="I1326" s="3" t="s">
        <v>122</v>
      </c>
      <c r="J1326" s="3">
        <v>0</v>
      </c>
      <c r="K1326" s="3">
        <v>0</v>
      </c>
      <c r="L1326" s="3">
        <v>0</v>
      </c>
      <c r="M1326" s="3">
        <v>0</v>
      </c>
      <c r="N1326" s="3">
        <v>0</v>
      </c>
      <c r="O1326" s="3">
        <v>0.15</v>
      </c>
      <c r="P1326" s="3">
        <v>0</v>
      </c>
      <c r="Q1326" s="3">
        <v>0</v>
      </c>
      <c r="R1326" s="3">
        <v>0</v>
      </c>
    </row>
    <row r="1327" spans="1:18">
      <c r="A1327" s="3" t="s">
        <v>3416</v>
      </c>
      <c r="B1327" s="3" t="s">
        <v>3417</v>
      </c>
      <c r="C1327" s="3" t="s">
        <v>3418</v>
      </c>
      <c r="D1327" s="3" t="s">
        <v>3419</v>
      </c>
      <c r="E1327" s="3" t="s">
        <v>120</v>
      </c>
      <c r="F1327" s="3">
        <v>22.98</v>
      </c>
      <c r="G1327" s="3" t="s">
        <v>121</v>
      </c>
      <c r="H1327" s="3"/>
      <c r="I1327" s="3" t="s">
        <v>122</v>
      </c>
      <c r="J1327" s="3">
        <v>0</v>
      </c>
      <c r="K1327" s="3">
        <v>0</v>
      </c>
      <c r="L1327" s="3">
        <v>0</v>
      </c>
      <c r="M1327" s="3">
        <v>0</v>
      </c>
      <c r="N1327" s="3">
        <v>0</v>
      </c>
      <c r="O1327" s="3">
        <v>0.17</v>
      </c>
      <c r="P1327" s="3">
        <v>0</v>
      </c>
      <c r="Q1327" s="3">
        <v>0</v>
      </c>
      <c r="R1327" s="3">
        <v>0</v>
      </c>
    </row>
    <row r="1328" spans="1:18">
      <c r="A1328" s="3" t="s">
        <v>3420</v>
      </c>
      <c r="B1328" s="3" t="s">
        <v>3421</v>
      </c>
      <c r="C1328" s="3" t="s">
        <v>3422</v>
      </c>
      <c r="D1328" s="3" t="s">
        <v>3423</v>
      </c>
      <c r="E1328" s="3" t="s">
        <v>120</v>
      </c>
      <c r="F1328" s="3">
        <v>22.98</v>
      </c>
      <c r="G1328" s="3" t="s">
        <v>121</v>
      </c>
      <c r="H1328" s="3"/>
      <c r="I1328" s="3" t="s">
        <v>122</v>
      </c>
      <c r="J1328" s="3">
        <v>0</v>
      </c>
      <c r="K1328" s="3">
        <v>0</v>
      </c>
      <c r="L1328" s="3">
        <v>0</v>
      </c>
      <c r="M1328" s="3">
        <v>0</v>
      </c>
      <c r="N1328" s="3">
        <v>0</v>
      </c>
      <c r="O1328" s="3">
        <v>0.13</v>
      </c>
      <c r="P1328" s="3">
        <v>0</v>
      </c>
      <c r="Q1328" s="3">
        <v>0</v>
      </c>
      <c r="R1328" s="3">
        <v>0</v>
      </c>
    </row>
    <row r="1329" spans="1:18">
      <c r="A1329" s="3" t="s">
        <v>3424</v>
      </c>
      <c r="B1329" s="3" t="s">
        <v>3425</v>
      </c>
      <c r="C1329" s="3" t="s">
        <v>3426</v>
      </c>
      <c r="D1329" s="3" t="s">
        <v>3427</v>
      </c>
      <c r="E1329" s="3" t="s">
        <v>120</v>
      </c>
      <c r="F1329" s="3">
        <v>22.98</v>
      </c>
      <c r="G1329" s="3" t="s">
        <v>121</v>
      </c>
      <c r="H1329" s="3"/>
      <c r="I1329" s="3" t="s">
        <v>122</v>
      </c>
      <c r="J1329" s="3">
        <v>0</v>
      </c>
      <c r="K1329" s="3">
        <v>0</v>
      </c>
      <c r="L1329" s="3">
        <v>0</v>
      </c>
      <c r="M1329" s="3">
        <v>0</v>
      </c>
      <c r="N1329" s="3">
        <v>0</v>
      </c>
      <c r="O1329" s="3">
        <v>0.13</v>
      </c>
      <c r="P1329" s="3">
        <v>0</v>
      </c>
      <c r="Q1329" s="3">
        <v>0</v>
      </c>
      <c r="R1329" s="3">
        <v>0</v>
      </c>
    </row>
    <row r="1330" spans="1:18">
      <c r="A1330" s="3" t="s">
        <v>3428</v>
      </c>
      <c r="B1330" s="3" t="s">
        <v>3429</v>
      </c>
      <c r="C1330" s="3" t="s">
        <v>3430</v>
      </c>
      <c r="D1330" s="3" t="s">
        <v>3431</v>
      </c>
      <c r="E1330" s="3" t="s">
        <v>120</v>
      </c>
      <c r="F1330" s="3">
        <v>22.98</v>
      </c>
      <c r="G1330" s="3" t="s">
        <v>121</v>
      </c>
      <c r="H1330" s="3"/>
      <c r="I1330" s="3" t="s">
        <v>122</v>
      </c>
      <c r="J1330" s="3">
        <v>0</v>
      </c>
      <c r="K1330" s="3">
        <v>0</v>
      </c>
      <c r="L1330" s="3">
        <v>0</v>
      </c>
      <c r="M1330" s="3">
        <v>0</v>
      </c>
      <c r="N1330" s="3">
        <v>0</v>
      </c>
      <c r="O1330" s="3">
        <v>0.12</v>
      </c>
      <c r="P1330" s="3">
        <v>0</v>
      </c>
      <c r="Q1330" s="3">
        <v>0</v>
      </c>
      <c r="R1330" s="3">
        <v>0</v>
      </c>
    </row>
    <row r="1331" spans="1:18">
      <c r="A1331" s="3" t="s">
        <v>3432</v>
      </c>
      <c r="B1331" s="3" t="s">
        <v>3433</v>
      </c>
      <c r="C1331" s="3" t="s">
        <v>3434</v>
      </c>
      <c r="D1331" s="3" t="s">
        <v>3435</v>
      </c>
      <c r="E1331" s="3" t="s">
        <v>120</v>
      </c>
      <c r="F1331" s="3">
        <v>22.98</v>
      </c>
      <c r="G1331" s="3" t="s">
        <v>121</v>
      </c>
      <c r="H1331" s="3"/>
      <c r="I1331" s="3" t="s">
        <v>122</v>
      </c>
      <c r="J1331" s="3">
        <v>0</v>
      </c>
      <c r="K1331" s="3">
        <v>0</v>
      </c>
      <c r="L1331" s="3">
        <v>0</v>
      </c>
      <c r="M1331" s="3">
        <v>0</v>
      </c>
      <c r="N1331" s="3">
        <v>0</v>
      </c>
      <c r="O1331" s="3">
        <v>0.11</v>
      </c>
      <c r="P1331" s="3">
        <v>0</v>
      </c>
      <c r="Q1331" s="3">
        <v>0</v>
      </c>
      <c r="R1331" s="3">
        <v>0</v>
      </c>
    </row>
    <row r="1332" spans="1:18">
      <c r="A1332" s="3" t="s">
        <v>3436</v>
      </c>
      <c r="B1332" s="3" t="s">
        <v>3437</v>
      </c>
      <c r="C1332" s="3" t="s">
        <v>3438</v>
      </c>
      <c r="D1332" s="3" t="s">
        <v>3439</v>
      </c>
      <c r="E1332" s="3" t="s">
        <v>120</v>
      </c>
      <c r="F1332" s="3">
        <v>22.98</v>
      </c>
      <c r="G1332" s="3" t="s">
        <v>121</v>
      </c>
      <c r="H1332" s="3"/>
      <c r="I1332" s="3" t="s">
        <v>122</v>
      </c>
      <c r="J1332" s="3">
        <v>0</v>
      </c>
      <c r="K1332" s="3">
        <v>0</v>
      </c>
      <c r="L1332" s="3">
        <v>0</v>
      </c>
      <c r="M1332" s="3">
        <v>0</v>
      </c>
      <c r="N1332" s="3">
        <v>0</v>
      </c>
      <c r="O1332" s="3">
        <v>0.13</v>
      </c>
      <c r="P1332" s="3">
        <v>0</v>
      </c>
      <c r="Q1332" s="3">
        <v>0</v>
      </c>
      <c r="R1332" s="3">
        <v>0</v>
      </c>
    </row>
    <row r="1333" spans="1:18">
      <c r="A1333" s="3" t="s">
        <v>3440</v>
      </c>
      <c r="B1333" s="3" t="s">
        <v>3441</v>
      </c>
      <c r="C1333" s="3" t="s">
        <v>3442</v>
      </c>
      <c r="D1333" s="3" t="s">
        <v>3443</v>
      </c>
      <c r="E1333" s="3" t="s">
        <v>120</v>
      </c>
      <c r="F1333" s="3">
        <v>22.98</v>
      </c>
      <c r="G1333" s="3" t="s">
        <v>121</v>
      </c>
      <c r="H1333" s="3"/>
      <c r="I1333" s="3" t="s">
        <v>122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0.13</v>
      </c>
      <c r="P1333" s="3">
        <v>0</v>
      </c>
      <c r="Q1333" s="3">
        <v>0</v>
      </c>
      <c r="R1333" s="3">
        <v>0</v>
      </c>
    </row>
    <row r="1334" spans="1:18">
      <c r="A1334" s="3" t="s">
        <v>3444</v>
      </c>
      <c r="B1334" s="3" t="s">
        <v>3445</v>
      </c>
      <c r="C1334" s="3" t="s">
        <v>3446</v>
      </c>
      <c r="D1334" s="3" t="s">
        <v>3447</v>
      </c>
      <c r="E1334" s="3" t="s">
        <v>120</v>
      </c>
      <c r="F1334" s="3">
        <v>22.98</v>
      </c>
      <c r="G1334" s="3" t="s">
        <v>121</v>
      </c>
      <c r="H1334" s="3"/>
      <c r="I1334" s="3" t="s">
        <v>122</v>
      </c>
      <c r="J1334" s="3">
        <v>0</v>
      </c>
      <c r="K1334" s="3">
        <v>0</v>
      </c>
      <c r="L1334" s="3">
        <v>0</v>
      </c>
      <c r="M1334" s="3">
        <v>0</v>
      </c>
      <c r="N1334" s="3">
        <v>0</v>
      </c>
      <c r="O1334" s="3">
        <v>0.08</v>
      </c>
      <c r="P1334" s="3">
        <v>0</v>
      </c>
      <c r="Q1334" s="3">
        <v>0</v>
      </c>
      <c r="R1334" s="3">
        <v>0</v>
      </c>
    </row>
    <row r="1335" spans="1:18">
      <c r="A1335" s="3" t="s">
        <v>3448</v>
      </c>
      <c r="B1335" s="3" t="s">
        <v>3449</v>
      </c>
      <c r="C1335" s="3" t="s">
        <v>3450</v>
      </c>
      <c r="D1335" s="3" t="s">
        <v>3451</v>
      </c>
      <c r="E1335" s="3" t="s">
        <v>120</v>
      </c>
      <c r="F1335" s="3">
        <v>22.98</v>
      </c>
      <c r="G1335" s="3" t="s">
        <v>121</v>
      </c>
      <c r="H1335" s="3"/>
      <c r="I1335" s="3" t="s">
        <v>122</v>
      </c>
      <c r="J1335" s="3">
        <v>0</v>
      </c>
      <c r="K1335" s="3">
        <v>0</v>
      </c>
      <c r="L1335" s="3">
        <v>0</v>
      </c>
      <c r="M1335" s="3">
        <v>0</v>
      </c>
      <c r="N1335" s="3">
        <v>0</v>
      </c>
      <c r="O1335" s="3">
        <v>0.12</v>
      </c>
      <c r="P1335" s="3">
        <v>0</v>
      </c>
      <c r="Q1335" s="3">
        <v>0</v>
      </c>
      <c r="R1335" s="3">
        <v>0</v>
      </c>
    </row>
    <row r="1336" spans="1:18">
      <c r="A1336" s="3" t="s">
        <v>3452</v>
      </c>
      <c r="B1336" s="3" t="s">
        <v>3453</v>
      </c>
      <c r="C1336" s="3" t="s">
        <v>3454</v>
      </c>
      <c r="D1336" s="3" t="s">
        <v>3455</v>
      </c>
      <c r="E1336" s="3" t="s">
        <v>120</v>
      </c>
      <c r="F1336" s="3">
        <v>22.98</v>
      </c>
      <c r="G1336" s="3" t="s">
        <v>121</v>
      </c>
      <c r="H1336" s="3"/>
      <c r="I1336" s="3" t="s">
        <v>122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0.15</v>
      </c>
      <c r="P1336" s="3">
        <v>0</v>
      </c>
      <c r="Q1336" s="3">
        <v>0</v>
      </c>
      <c r="R1336" s="3">
        <v>0</v>
      </c>
    </row>
    <row r="1337" spans="1:18">
      <c r="A1337" s="3" t="s">
        <v>3456</v>
      </c>
      <c r="B1337" s="3" t="s">
        <v>3457</v>
      </c>
      <c r="C1337" s="3" t="s">
        <v>3458</v>
      </c>
      <c r="D1337" s="3" t="s">
        <v>3459</v>
      </c>
      <c r="E1337" s="3" t="s">
        <v>120</v>
      </c>
      <c r="F1337" s="3">
        <v>22.98</v>
      </c>
      <c r="G1337" s="3" t="s">
        <v>121</v>
      </c>
      <c r="H1337" s="3"/>
      <c r="I1337" s="3" t="s">
        <v>122</v>
      </c>
      <c r="J1337" s="3">
        <v>0</v>
      </c>
      <c r="K1337" s="3">
        <v>0</v>
      </c>
      <c r="L1337" s="3">
        <v>0</v>
      </c>
      <c r="M1337" s="3">
        <v>0</v>
      </c>
      <c r="N1337" s="3">
        <v>0</v>
      </c>
      <c r="O1337" s="3">
        <v>0.18</v>
      </c>
      <c r="P1337" s="3">
        <v>0</v>
      </c>
      <c r="Q1337" s="3">
        <v>0</v>
      </c>
      <c r="R1337" s="3">
        <v>0</v>
      </c>
    </row>
    <row r="1338" spans="1:18">
      <c r="A1338" s="3" t="s">
        <v>3460</v>
      </c>
      <c r="B1338" s="3" t="s">
        <v>3461</v>
      </c>
      <c r="C1338" s="3" t="s">
        <v>3462</v>
      </c>
      <c r="D1338" s="3" t="s">
        <v>3463</v>
      </c>
      <c r="E1338" s="3" t="s">
        <v>120</v>
      </c>
      <c r="F1338" s="3">
        <v>24.98</v>
      </c>
      <c r="G1338" s="3" t="s">
        <v>121</v>
      </c>
      <c r="H1338" s="3"/>
      <c r="I1338" s="3" t="s">
        <v>122</v>
      </c>
      <c r="J1338" s="3">
        <v>0</v>
      </c>
      <c r="K1338" s="3">
        <v>0</v>
      </c>
      <c r="L1338" s="3">
        <v>0</v>
      </c>
      <c r="M1338" s="3">
        <v>0</v>
      </c>
      <c r="N1338" s="3">
        <v>0</v>
      </c>
      <c r="O1338" s="3">
        <v>0.14</v>
      </c>
      <c r="P1338" s="3">
        <v>0</v>
      </c>
      <c r="Q1338" s="3">
        <v>0</v>
      </c>
      <c r="R1338" s="3">
        <v>0</v>
      </c>
    </row>
    <row r="1339" spans="1:18">
      <c r="A1339" s="3" t="s">
        <v>3464</v>
      </c>
      <c r="B1339" s="3" t="s">
        <v>3465</v>
      </c>
      <c r="C1339" s="3" t="s">
        <v>3466</v>
      </c>
      <c r="D1339" s="3" t="s">
        <v>3467</v>
      </c>
      <c r="E1339" s="3" t="s">
        <v>120</v>
      </c>
      <c r="F1339" s="3">
        <v>24.98</v>
      </c>
      <c r="G1339" s="3" t="s">
        <v>121</v>
      </c>
      <c r="H1339" s="3"/>
      <c r="I1339" s="3" t="s">
        <v>122</v>
      </c>
      <c r="J1339" s="3">
        <v>0</v>
      </c>
      <c r="K1339" s="3">
        <v>0</v>
      </c>
      <c r="L1339" s="3">
        <v>0</v>
      </c>
      <c r="M1339" s="3">
        <v>0</v>
      </c>
      <c r="N1339" s="3">
        <v>0</v>
      </c>
      <c r="O1339" s="3">
        <v>0.14</v>
      </c>
      <c r="P1339" s="3">
        <v>0</v>
      </c>
      <c r="Q1339" s="3">
        <v>0</v>
      </c>
      <c r="R1339" s="3">
        <v>0</v>
      </c>
    </row>
    <row r="1340" spans="1:18">
      <c r="A1340" s="3" t="s">
        <v>3468</v>
      </c>
      <c r="B1340" s="3" t="s">
        <v>3469</v>
      </c>
      <c r="C1340" s="3" t="s">
        <v>3470</v>
      </c>
      <c r="D1340" s="3" t="s">
        <v>3471</v>
      </c>
      <c r="E1340" s="3" t="s">
        <v>120</v>
      </c>
      <c r="F1340" s="3">
        <v>24.98</v>
      </c>
      <c r="G1340" s="3" t="s">
        <v>121</v>
      </c>
      <c r="H1340" s="3"/>
      <c r="I1340" s="3" t="s">
        <v>122</v>
      </c>
      <c r="J1340" s="3">
        <v>0</v>
      </c>
      <c r="K1340" s="3">
        <v>0</v>
      </c>
      <c r="L1340" s="3">
        <v>0</v>
      </c>
      <c r="M1340" s="3">
        <v>0</v>
      </c>
      <c r="N1340" s="3">
        <v>0</v>
      </c>
      <c r="O1340" s="3">
        <v>0.14</v>
      </c>
      <c r="P1340" s="3">
        <v>0</v>
      </c>
      <c r="Q1340" s="3">
        <v>0</v>
      </c>
      <c r="R1340" s="3">
        <v>0</v>
      </c>
    </row>
    <row r="1341" spans="1:18">
      <c r="A1341" s="3" t="s">
        <v>3472</v>
      </c>
      <c r="B1341" s="3" t="s">
        <v>3473</v>
      </c>
      <c r="C1341" s="3" t="s">
        <v>3474</v>
      </c>
      <c r="D1341" s="3" t="s">
        <v>3475</v>
      </c>
      <c r="E1341" s="3" t="s">
        <v>120</v>
      </c>
      <c r="F1341" s="3">
        <v>24.98</v>
      </c>
      <c r="G1341" s="3" t="s">
        <v>121</v>
      </c>
      <c r="H1341" s="3"/>
      <c r="I1341" s="3" t="s">
        <v>122</v>
      </c>
      <c r="J1341" s="3">
        <v>0</v>
      </c>
      <c r="K1341" s="3">
        <v>0</v>
      </c>
      <c r="L1341" s="3">
        <v>0</v>
      </c>
      <c r="M1341" s="3">
        <v>0</v>
      </c>
      <c r="N1341" s="3">
        <v>0</v>
      </c>
      <c r="O1341" s="3">
        <v>0.14</v>
      </c>
      <c r="P1341" s="3">
        <v>0</v>
      </c>
      <c r="Q1341" s="3">
        <v>0</v>
      </c>
      <c r="R1341" s="3">
        <v>0</v>
      </c>
    </row>
    <row r="1342" spans="1:18">
      <c r="A1342" s="3" t="s">
        <v>3476</v>
      </c>
      <c r="B1342" s="3" t="s">
        <v>3477</v>
      </c>
      <c r="C1342" s="3" t="s">
        <v>3478</v>
      </c>
      <c r="D1342" s="3" t="s">
        <v>3479</v>
      </c>
      <c r="E1342" s="3" t="s">
        <v>120</v>
      </c>
      <c r="F1342" s="3">
        <v>24.98</v>
      </c>
      <c r="G1342" s="3" t="s">
        <v>121</v>
      </c>
      <c r="H1342" s="3"/>
      <c r="I1342" s="3" t="s">
        <v>122</v>
      </c>
      <c r="J1342" s="3">
        <v>0</v>
      </c>
      <c r="K1342" s="3">
        <v>0</v>
      </c>
      <c r="L1342" s="3">
        <v>0</v>
      </c>
      <c r="M1342" s="3">
        <v>0</v>
      </c>
      <c r="N1342" s="3">
        <v>0</v>
      </c>
      <c r="O1342" s="3">
        <v>0.14</v>
      </c>
      <c r="P1342" s="3">
        <v>0</v>
      </c>
      <c r="Q1342" s="3">
        <v>0</v>
      </c>
      <c r="R1342" s="3">
        <v>0</v>
      </c>
    </row>
    <row r="1343" spans="1:18">
      <c r="A1343" s="3" t="s">
        <v>3480</v>
      </c>
      <c r="B1343" s="3" t="s">
        <v>3481</v>
      </c>
      <c r="C1343" s="3" t="s">
        <v>3482</v>
      </c>
      <c r="D1343" s="3" t="s">
        <v>3483</v>
      </c>
      <c r="E1343" s="3" t="s">
        <v>120</v>
      </c>
      <c r="F1343" s="3">
        <v>24.98</v>
      </c>
      <c r="G1343" s="3" t="s">
        <v>121</v>
      </c>
      <c r="H1343" s="3"/>
      <c r="I1343" s="3" t="s">
        <v>122</v>
      </c>
      <c r="J1343" s="3">
        <v>0</v>
      </c>
      <c r="K1343" s="3">
        <v>0</v>
      </c>
      <c r="L1343" s="3">
        <v>0</v>
      </c>
      <c r="M1343" s="3">
        <v>0</v>
      </c>
      <c r="N1343" s="3">
        <v>0</v>
      </c>
      <c r="O1343" s="3">
        <v>0.14</v>
      </c>
      <c r="P1343" s="3">
        <v>0</v>
      </c>
      <c r="Q1343" s="3">
        <v>0</v>
      </c>
      <c r="R1343" s="3">
        <v>0</v>
      </c>
    </row>
    <row r="1344" spans="1:18">
      <c r="A1344" s="3" t="s">
        <v>3484</v>
      </c>
      <c r="B1344" s="3" t="s">
        <v>3485</v>
      </c>
      <c r="C1344" s="3" t="s">
        <v>3486</v>
      </c>
      <c r="D1344" s="3" t="s">
        <v>3487</v>
      </c>
      <c r="E1344" s="3" t="s">
        <v>120</v>
      </c>
      <c r="F1344" s="3">
        <v>24.98</v>
      </c>
      <c r="G1344" s="3" t="s">
        <v>121</v>
      </c>
      <c r="H1344" s="3"/>
      <c r="I1344" s="3" t="s">
        <v>122</v>
      </c>
      <c r="J1344" s="3">
        <v>0</v>
      </c>
      <c r="K1344" s="3">
        <v>0</v>
      </c>
      <c r="L1344" s="3">
        <v>0</v>
      </c>
      <c r="M1344" s="3">
        <v>0</v>
      </c>
      <c r="N1344" s="3">
        <v>0</v>
      </c>
      <c r="O1344" s="3">
        <v>0.14</v>
      </c>
      <c r="P1344" s="3">
        <v>0</v>
      </c>
      <c r="Q1344" s="3">
        <v>0</v>
      </c>
      <c r="R1344" s="3">
        <v>0</v>
      </c>
    </row>
    <row r="1345" spans="1:18">
      <c r="A1345" s="3" t="s">
        <v>3488</v>
      </c>
      <c r="B1345" s="3" t="s">
        <v>3489</v>
      </c>
      <c r="C1345" s="3" t="s">
        <v>3490</v>
      </c>
      <c r="D1345" s="3" t="s">
        <v>3491</v>
      </c>
      <c r="E1345" s="3" t="s">
        <v>120</v>
      </c>
      <c r="F1345" s="3">
        <v>24.98</v>
      </c>
      <c r="G1345" s="3" t="s">
        <v>121</v>
      </c>
      <c r="H1345" s="3"/>
      <c r="I1345" s="3" t="s">
        <v>122</v>
      </c>
      <c r="J1345" s="3">
        <v>0</v>
      </c>
      <c r="K1345" s="3">
        <v>0</v>
      </c>
      <c r="L1345" s="3">
        <v>0</v>
      </c>
      <c r="M1345" s="3">
        <v>0</v>
      </c>
      <c r="N1345" s="3">
        <v>0</v>
      </c>
      <c r="O1345" s="3">
        <v>0.14</v>
      </c>
      <c r="P1345" s="3">
        <v>0</v>
      </c>
      <c r="Q1345" s="3">
        <v>0</v>
      </c>
      <c r="R1345" s="3">
        <v>0</v>
      </c>
    </row>
    <row r="1346" spans="1:18">
      <c r="A1346" s="3" t="s">
        <v>3492</v>
      </c>
      <c r="B1346" s="3" t="s">
        <v>3493</v>
      </c>
      <c r="C1346" s="3" t="s">
        <v>3494</v>
      </c>
      <c r="D1346" s="3" t="s">
        <v>3495</v>
      </c>
      <c r="E1346" s="3" t="s">
        <v>120</v>
      </c>
      <c r="F1346" s="3">
        <v>24.98</v>
      </c>
      <c r="G1346" s="3" t="s">
        <v>121</v>
      </c>
      <c r="H1346" s="3"/>
      <c r="I1346" s="3" t="s">
        <v>122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0.14</v>
      </c>
      <c r="P1346" s="3">
        <v>0</v>
      </c>
      <c r="Q1346" s="3">
        <v>0</v>
      </c>
      <c r="R1346" s="3">
        <v>0</v>
      </c>
    </row>
    <row r="1347" spans="1:18">
      <c r="A1347" s="3" t="s">
        <v>3496</v>
      </c>
      <c r="B1347" s="3" t="s">
        <v>3497</v>
      </c>
      <c r="C1347" s="3" t="s">
        <v>3498</v>
      </c>
      <c r="D1347" s="3" t="s">
        <v>3499</v>
      </c>
      <c r="E1347" s="3" t="s">
        <v>120</v>
      </c>
      <c r="F1347" s="3">
        <v>24.98</v>
      </c>
      <c r="G1347" s="3" t="s">
        <v>121</v>
      </c>
      <c r="H1347" s="3"/>
      <c r="I1347" s="3" t="s">
        <v>122</v>
      </c>
      <c r="J1347" s="3">
        <v>0</v>
      </c>
      <c r="K1347" s="3">
        <v>0</v>
      </c>
      <c r="L1347" s="3">
        <v>0</v>
      </c>
      <c r="M1347" s="3">
        <v>0</v>
      </c>
      <c r="N1347" s="3">
        <v>0</v>
      </c>
      <c r="O1347" s="3">
        <v>0.14</v>
      </c>
      <c r="P1347" s="3">
        <v>0</v>
      </c>
      <c r="Q1347" s="3">
        <v>0</v>
      </c>
      <c r="R1347" s="3">
        <v>0</v>
      </c>
    </row>
    <row r="1348" spans="1:18">
      <c r="A1348" s="3" t="s">
        <v>3500</v>
      </c>
      <c r="B1348" s="3" t="s">
        <v>3501</v>
      </c>
      <c r="C1348" s="3" t="s">
        <v>3502</v>
      </c>
      <c r="D1348" s="3" t="s">
        <v>3503</v>
      </c>
      <c r="E1348" s="3" t="s">
        <v>120</v>
      </c>
      <c r="F1348" s="3">
        <v>24.98</v>
      </c>
      <c r="G1348" s="3" t="s">
        <v>121</v>
      </c>
      <c r="H1348" s="3"/>
      <c r="I1348" s="3" t="s">
        <v>122</v>
      </c>
      <c r="J1348" s="3">
        <v>0</v>
      </c>
      <c r="K1348" s="3">
        <v>0</v>
      </c>
      <c r="L1348" s="3">
        <v>0</v>
      </c>
      <c r="M1348" s="3">
        <v>0</v>
      </c>
      <c r="N1348" s="3">
        <v>0</v>
      </c>
      <c r="O1348" s="3">
        <v>0.14</v>
      </c>
      <c r="P1348" s="3">
        <v>0</v>
      </c>
      <c r="Q1348" s="3">
        <v>0</v>
      </c>
      <c r="R1348" s="3">
        <v>0</v>
      </c>
    </row>
    <row r="1349" spans="1:18">
      <c r="A1349" s="3" t="s">
        <v>3504</v>
      </c>
      <c r="B1349" s="3" t="s">
        <v>3505</v>
      </c>
      <c r="C1349" s="3" t="s">
        <v>3506</v>
      </c>
      <c r="D1349" s="3" t="s">
        <v>3507</v>
      </c>
      <c r="E1349" s="3" t="s">
        <v>120</v>
      </c>
      <c r="F1349" s="3">
        <v>24.98</v>
      </c>
      <c r="G1349" s="3" t="s">
        <v>121</v>
      </c>
      <c r="H1349" s="3"/>
      <c r="I1349" s="3" t="s">
        <v>122</v>
      </c>
      <c r="J1349" s="3">
        <v>0</v>
      </c>
      <c r="K1349" s="3">
        <v>0</v>
      </c>
      <c r="L1349" s="3">
        <v>0</v>
      </c>
      <c r="M1349" s="3">
        <v>0</v>
      </c>
      <c r="N1349" s="3">
        <v>0</v>
      </c>
      <c r="O1349" s="3">
        <v>0.14</v>
      </c>
      <c r="P1349" s="3">
        <v>0</v>
      </c>
      <c r="Q1349" s="3">
        <v>0</v>
      </c>
      <c r="R1349" s="3">
        <v>0</v>
      </c>
    </row>
    <row r="1350" spans="1:18">
      <c r="A1350" s="3" t="s">
        <v>3508</v>
      </c>
      <c r="B1350" s="3" t="s">
        <v>3509</v>
      </c>
      <c r="C1350" s="3" t="s">
        <v>3510</v>
      </c>
      <c r="D1350" s="3" t="s">
        <v>3511</v>
      </c>
      <c r="E1350" s="3" t="s">
        <v>120</v>
      </c>
      <c r="F1350" s="3">
        <v>24.98</v>
      </c>
      <c r="G1350" s="3" t="s">
        <v>121</v>
      </c>
      <c r="H1350" s="3"/>
      <c r="I1350" s="3" t="s">
        <v>122</v>
      </c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>
        <v>0.14</v>
      </c>
      <c r="P1350" s="3">
        <v>0</v>
      </c>
      <c r="Q1350" s="3">
        <v>0</v>
      </c>
      <c r="R1350" s="3">
        <v>0</v>
      </c>
    </row>
    <row r="1351" spans="1:18">
      <c r="A1351" s="3" t="s">
        <v>3512</v>
      </c>
      <c r="B1351" s="3" t="s">
        <v>3513</v>
      </c>
      <c r="C1351" s="3" t="s">
        <v>3514</v>
      </c>
      <c r="D1351" s="3" t="s">
        <v>3515</v>
      </c>
      <c r="E1351" s="3" t="s">
        <v>120</v>
      </c>
      <c r="F1351" s="3">
        <v>24.98</v>
      </c>
      <c r="G1351" s="3" t="s">
        <v>121</v>
      </c>
      <c r="H1351" s="3"/>
      <c r="I1351" s="3" t="s">
        <v>122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0.14</v>
      </c>
      <c r="P1351" s="3">
        <v>0</v>
      </c>
      <c r="Q1351" s="3">
        <v>0</v>
      </c>
      <c r="R1351" s="3">
        <v>0</v>
      </c>
    </row>
    <row r="1352" spans="1:18">
      <c r="A1352" s="3" t="s">
        <v>3516</v>
      </c>
      <c r="B1352" s="3" t="s">
        <v>3517</v>
      </c>
      <c r="C1352" s="3" t="s">
        <v>3518</v>
      </c>
      <c r="D1352" s="3" t="s">
        <v>3519</v>
      </c>
      <c r="E1352" s="3" t="s">
        <v>120</v>
      </c>
      <c r="F1352" s="3">
        <v>24.98</v>
      </c>
      <c r="G1352" s="3" t="s">
        <v>121</v>
      </c>
      <c r="H1352" s="3"/>
      <c r="I1352" s="3" t="s">
        <v>122</v>
      </c>
      <c r="J1352" s="3">
        <v>0</v>
      </c>
      <c r="K1352" s="3">
        <v>0</v>
      </c>
      <c r="L1352" s="3">
        <v>0</v>
      </c>
      <c r="M1352" s="3">
        <v>0</v>
      </c>
      <c r="N1352" s="3">
        <v>0</v>
      </c>
      <c r="O1352" s="3">
        <v>0.14</v>
      </c>
      <c r="P1352" s="3">
        <v>0</v>
      </c>
      <c r="Q1352" s="3">
        <v>0</v>
      </c>
      <c r="R1352" s="3">
        <v>0</v>
      </c>
    </row>
    <row r="1353" spans="1:18">
      <c r="A1353" s="3" t="s">
        <v>3520</v>
      </c>
      <c r="B1353" s="3" t="s">
        <v>3521</v>
      </c>
      <c r="C1353" s="3" t="s">
        <v>3522</v>
      </c>
      <c r="D1353" s="3" t="s">
        <v>3523</v>
      </c>
      <c r="E1353" s="3" t="s">
        <v>120</v>
      </c>
      <c r="F1353" s="3">
        <v>24.98</v>
      </c>
      <c r="G1353" s="3" t="s">
        <v>121</v>
      </c>
      <c r="H1353" s="3"/>
      <c r="I1353" s="3" t="s">
        <v>122</v>
      </c>
      <c r="J1353" s="3">
        <v>0</v>
      </c>
      <c r="K1353" s="3">
        <v>0</v>
      </c>
      <c r="L1353" s="3">
        <v>0</v>
      </c>
      <c r="M1353" s="3">
        <v>0</v>
      </c>
      <c r="N1353" s="3">
        <v>0</v>
      </c>
      <c r="O1353" s="3">
        <v>0.14</v>
      </c>
      <c r="P1353" s="3">
        <v>0</v>
      </c>
      <c r="Q1353" s="3">
        <v>0</v>
      </c>
      <c r="R1353" s="3">
        <v>0</v>
      </c>
    </row>
    <row r="1354" spans="1:18">
      <c r="A1354" s="3" t="s">
        <v>3524</v>
      </c>
      <c r="B1354" s="3" t="s">
        <v>3525</v>
      </c>
      <c r="C1354" s="3" t="s">
        <v>3526</v>
      </c>
      <c r="D1354" s="3" t="s">
        <v>3527</v>
      </c>
      <c r="E1354" s="3" t="s">
        <v>120</v>
      </c>
      <c r="F1354" s="3">
        <v>24.98</v>
      </c>
      <c r="G1354" s="3" t="s">
        <v>121</v>
      </c>
      <c r="H1354" s="3"/>
      <c r="I1354" s="3" t="s">
        <v>122</v>
      </c>
      <c r="J1354" s="3">
        <v>0</v>
      </c>
      <c r="K1354" s="3">
        <v>0</v>
      </c>
      <c r="L1354" s="3">
        <v>0</v>
      </c>
      <c r="M1354" s="3">
        <v>0</v>
      </c>
      <c r="N1354" s="3">
        <v>0</v>
      </c>
      <c r="O1354" s="3">
        <v>0.14</v>
      </c>
      <c r="P1354" s="3">
        <v>0</v>
      </c>
      <c r="Q1354" s="3">
        <v>0</v>
      </c>
      <c r="R1354" s="3">
        <v>0</v>
      </c>
    </row>
    <row r="1355" spans="1:18">
      <c r="A1355" s="3" t="s">
        <v>3528</v>
      </c>
      <c r="B1355" s="3" t="s">
        <v>3529</v>
      </c>
      <c r="C1355" s="3" t="s">
        <v>3530</v>
      </c>
      <c r="D1355" s="3" t="s">
        <v>3531</v>
      </c>
      <c r="E1355" s="3" t="s">
        <v>120</v>
      </c>
      <c r="F1355" s="3">
        <v>24.98</v>
      </c>
      <c r="G1355" s="3" t="s">
        <v>121</v>
      </c>
      <c r="H1355" s="3"/>
      <c r="I1355" s="3" t="s">
        <v>122</v>
      </c>
      <c r="J1355" s="3">
        <v>0</v>
      </c>
      <c r="K1355" s="3">
        <v>0</v>
      </c>
      <c r="L1355" s="3">
        <v>0</v>
      </c>
      <c r="M1355" s="3">
        <v>0</v>
      </c>
      <c r="N1355" s="3">
        <v>0</v>
      </c>
      <c r="O1355" s="3">
        <v>0.14</v>
      </c>
      <c r="P1355" s="3">
        <v>0</v>
      </c>
      <c r="Q1355" s="3">
        <v>0</v>
      </c>
      <c r="R1355" s="3">
        <v>0</v>
      </c>
    </row>
    <row r="1356" spans="1:18">
      <c r="A1356" s="3" t="s">
        <v>3532</v>
      </c>
      <c r="B1356" s="3" t="s">
        <v>3533</v>
      </c>
      <c r="C1356" s="3" t="s">
        <v>3534</v>
      </c>
      <c r="D1356" s="3" t="s">
        <v>3535</v>
      </c>
      <c r="E1356" s="3" t="s">
        <v>120</v>
      </c>
      <c r="F1356" s="3">
        <v>24.98</v>
      </c>
      <c r="G1356" s="3" t="s">
        <v>121</v>
      </c>
      <c r="H1356" s="3"/>
      <c r="I1356" s="3" t="s">
        <v>122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0.14</v>
      </c>
      <c r="P1356" s="3">
        <v>0</v>
      </c>
      <c r="Q1356" s="3">
        <v>0</v>
      </c>
      <c r="R1356" s="3">
        <v>0</v>
      </c>
    </row>
    <row r="1357" spans="1:18">
      <c r="A1357" s="3" t="s">
        <v>3536</v>
      </c>
      <c r="B1357" s="3" t="s">
        <v>3537</v>
      </c>
      <c r="C1357" s="3" t="s">
        <v>3538</v>
      </c>
      <c r="D1357" s="3" t="s">
        <v>3539</v>
      </c>
      <c r="E1357" s="3" t="s">
        <v>120</v>
      </c>
      <c r="F1357" s="3">
        <v>24.98</v>
      </c>
      <c r="G1357" s="3" t="s">
        <v>121</v>
      </c>
      <c r="H1357" s="3"/>
      <c r="I1357" s="3" t="s">
        <v>122</v>
      </c>
      <c r="J1357" s="3">
        <v>0</v>
      </c>
      <c r="K1357" s="3">
        <v>0</v>
      </c>
      <c r="L1357" s="3">
        <v>0</v>
      </c>
      <c r="M1357" s="3">
        <v>0</v>
      </c>
      <c r="N1357" s="3">
        <v>0</v>
      </c>
      <c r="O1357" s="3">
        <v>0.14</v>
      </c>
      <c r="P1357" s="3">
        <v>0</v>
      </c>
      <c r="Q1357" s="3">
        <v>0</v>
      </c>
      <c r="R1357" s="3">
        <v>0</v>
      </c>
    </row>
    <row r="1358" spans="1:18">
      <c r="A1358" s="3" t="s">
        <v>3540</v>
      </c>
      <c r="B1358" s="3" t="s">
        <v>3541</v>
      </c>
      <c r="C1358" s="3" t="s">
        <v>3542</v>
      </c>
      <c r="D1358" s="3" t="s">
        <v>3543</v>
      </c>
      <c r="E1358" s="3" t="s">
        <v>120</v>
      </c>
      <c r="F1358" s="3">
        <v>24.98</v>
      </c>
      <c r="G1358" s="3" t="s">
        <v>121</v>
      </c>
      <c r="H1358" s="3"/>
      <c r="I1358" s="3" t="s">
        <v>122</v>
      </c>
      <c r="J1358" s="3">
        <v>0</v>
      </c>
      <c r="K1358" s="3">
        <v>0</v>
      </c>
      <c r="L1358" s="3">
        <v>0</v>
      </c>
      <c r="M1358" s="3">
        <v>0</v>
      </c>
      <c r="N1358" s="3">
        <v>0</v>
      </c>
      <c r="O1358" s="3">
        <v>0.14</v>
      </c>
      <c r="P1358" s="3">
        <v>0</v>
      </c>
      <c r="Q1358" s="3">
        <v>0</v>
      </c>
      <c r="R1358" s="3">
        <v>0</v>
      </c>
    </row>
    <row r="1359" spans="1:18">
      <c r="A1359" s="3" t="s">
        <v>3544</v>
      </c>
      <c r="B1359" s="3" t="s">
        <v>3545</v>
      </c>
      <c r="C1359" s="3" t="s">
        <v>3546</v>
      </c>
      <c r="D1359" s="3" t="s">
        <v>3547</v>
      </c>
      <c r="E1359" s="3" t="s">
        <v>120</v>
      </c>
      <c r="F1359" s="3">
        <v>24.98</v>
      </c>
      <c r="G1359" s="3" t="s">
        <v>121</v>
      </c>
      <c r="H1359" s="3"/>
      <c r="I1359" s="3" t="s">
        <v>122</v>
      </c>
      <c r="J1359" s="3">
        <v>0</v>
      </c>
      <c r="K1359" s="3">
        <v>0</v>
      </c>
      <c r="L1359" s="3">
        <v>0</v>
      </c>
      <c r="M1359" s="3">
        <v>0</v>
      </c>
      <c r="N1359" s="3">
        <v>0</v>
      </c>
      <c r="O1359" s="3">
        <v>0.14</v>
      </c>
      <c r="P1359" s="3">
        <v>0</v>
      </c>
      <c r="Q1359" s="3">
        <v>0</v>
      </c>
      <c r="R1359" s="3">
        <v>0</v>
      </c>
    </row>
    <row r="1360" spans="1:18">
      <c r="A1360" s="3" t="s">
        <v>3548</v>
      </c>
      <c r="B1360" s="3" t="s">
        <v>3549</v>
      </c>
      <c r="C1360" s="3" t="s">
        <v>3550</v>
      </c>
      <c r="D1360" s="3" t="s">
        <v>3551</v>
      </c>
      <c r="E1360" s="3" t="s">
        <v>120</v>
      </c>
      <c r="F1360" s="3">
        <v>24.98</v>
      </c>
      <c r="G1360" s="3" t="s">
        <v>121</v>
      </c>
      <c r="H1360" s="3"/>
      <c r="I1360" s="3" t="s">
        <v>122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0.14</v>
      </c>
      <c r="P1360" s="3">
        <v>0</v>
      </c>
      <c r="Q1360" s="3">
        <v>0</v>
      </c>
      <c r="R1360" s="3">
        <v>0</v>
      </c>
    </row>
    <row r="1361" spans="1:18">
      <c r="A1361" s="3" t="s">
        <v>3552</v>
      </c>
      <c r="B1361" s="3" t="s">
        <v>3553</v>
      </c>
      <c r="C1361" s="3" t="s">
        <v>3554</v>
      </c>
      <c r="D1361" s="3" t="s">
        <v>3555</v>
      </c>
      <c r="E1361" s="3" t="s">
        <v>120</v>
      </c>
      <c r="F1361" s="3">
        <v>24.98</v>
      </c>
      <c r="G1361" s="3" t="s">
        <v>121</v>
      </c>
      <c r="H1361" s="3"/>
      <c r="I1361" s="3" t="s">
        <v>122</v>
      </c>
      <c r="J1361" s="3">
        <v>0</v>
      </c>
      <c r="K1361" s="3">
        <v>0</v>
      </c>
      <c r="L1361" s="3">
        <v>0</v>
      </c>
      <c r="M1361" s="3">
        <v>0</v>
      </c>
      <c r="N1361" s="3">
        <v>0</v>
      </c>
      <c r="O1361" s="3">
        <v>0.14</v>
      </c>
      <c r="P1361" s="3">
        <v>0</v>
      </c>
      <c r="Q1361" s="3">
        <v>0</v>
      </c>
      <c r="R1361" s="3">
        <v>0</v>
      </c>
    </row>
    <row r="1362" spans="1:18">
      <c r="A1362" s="3" t="s">
        <v>3556</v>
      </c>
      <c r="B1362" s="3" t="s">
        <v>3557</v>
      </c>
      <c r="C1362" s="3" t="s">
        <v>3558</v>
      </c>
      <c r="D1362" s="3" t="s">
        <v>3559</v>
      </c>
      <c r="E1362" s="3" t="s">
        <v>120</v>
      </c>
      <c r="F1362" s="3">
        <v>24.98</v>
      </c>
      <c r="G1362" s="3" t="s">
        <v>121</v>
      </c>
      <c r="H1362" s="3"/>
      <c r="I1362" s="3" t="s">
        <v>122</v>
      </c>
      <c r="J1362" s="3">
        <v>0</v>
      </c>
      <c r="K1362" s="3">
        <v>0</v>
      </c>
      <c r="L1362" s="3">
        <v>0</v>
      </c>
      <c r="M1362" s="3">
        <v>0</v>
      </c>
      <c r="N1362" s="3">
        <v>0</v>
      </c>
      <c r="O1362" s="3">
        <v>0.14</v>
      </c>
      <c r="P1362" s="3">
        <v>0</v>
      </c>
      <c r="Q1362" s="3">
        <v>0</v>
      </c>
      <c r="R1362" s="3">
        <v>0</v>
      </c>
    </row>
    <row r="1363" spans="1:18">
      <c r="A1363" s="3" t="s">
        <v>3560</v>
      </c>
      <c r="B1363" s="3" t="s">
        <v>3561</v>
      </c>
      <c r="C1363" s="3" t="s">
        <v>3562</v>
      </c>
      <c r="D1363" s="3" t="s">
        <v>3563</v>
      </c>
      <c r="E1363" s="3" t="s">
        <v>120</v>
      </c>
      <c r="F1363" s="3">
        <v>24.98</v>
      </c>
      <c r="G1363" s="3" t="s">
        <v>121</v>
      </c>
      <c r="H1363" s="3"/>
      <c r="I1363" s="3" t="s">
        <v>122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0.14</v>
      </c>
      <c r="P1363" s="3">
        <v>0</v>
      </c>
      <c r="Q1363" s="3">
        <v>0</v>
      </c>
      <c r="R1363" s="3">
        <v>0</v>
      </c>
    </row>
    <row r="1364" spans="1:18">
      <c r="A1364" s="3" t="s">
        <v>3564</v>
      </c>
      <c r="B1364" s="3" t="s">
        <v>3565</v>
      </c>
      <c r="C1364" s="3" t="s">
        <v>3566</v>
      </c>
      <c r="D1364" s="3" t="s">
        <v>3567</v>
      </c>
      <c r="E1364" s="3" t="s">
        <v>120</v>
      </c>
      <c r="F1364" s="3">
        <v>24.98</v>
      </c>
      <c r="G1364" s="3" t="s">
        <v>121</v>
      </c>
      <c r="H1364" s="3"/>
      <c r="I1364" s="3" t="s">
        <v>122</v>
      </c>
      <c r="J1364" s="3">
        <v>0</v>
      </c>
      <c r="K1364" s="3">
        <v>0</v>
      </c>
      <c r="L1364" s="3">
        <v>0</v>
      </c>
      <c r="M1364" s="3">
        <v>0</v>
      </c>
      <c r="N1364" s="3">
        <v>0</v>
      </c>
      <c r="O1364" s="3">
        <v>0.19</v>
      </c>
      <c r="P1364" s="3">
        <v>0</v>
      </c>
      <c r="Q1364" s="3">
        <v>0</v>
      </c>
      <c r="R1364" s="3">
        <v>0</v>
      </c>
    </row>
    <row r="1365" spans="1:18">
      <c r="A1365" s="3" t="s">
        <v>3568</v>
      </c>
      <c r="B1365" s="3" t="s">
        <v>3569</v>
      </c>
      <c r="C1365" s="3" t="s">
        <v>3570</v>
      </c>
      <c r="D1365" s="3" t="s">
        <v>3571</v>
      </c>
      <c r="E1365" s="3" t="s">
        <v>120</v>
      </c>
      <c r="F1365" s="3">
        <v>24.98</v>
      </c>
      <c r="G1365" s="3" t="s">
        <v>121</v>
      </c>
      <c r="H1365" s="3"/>
      <c r="I1365" s="3" t="s">
        <v>122</v>
      </c>
      <c r="J1365" s="3">
        <v>0</v>
      </c>
      <c r="K1365" s="3">
        <v>0</v>
      </c>
      <c r="L1365" s="3">
        <v>0</v>
      </c>
      <c r="M1365" s="3">
        <v>0</v>
      </c>
      <c r="N1365" s="3">
        <v>0</v>
      </c>
      <c r="O1365" s="3">
        <v>0.14</v>
      </c>
      <c r="P1365" s="3">
        <v>0</v>
      </c>
      <c r="Q1365" s="3">
        <v>0</v>
      </c>
      <c r="R1365" s="3">
        <v>0</v>
      </c>
    </row>
    <row r="1366" spans="1:18">
      <c r="A1366" s="3" t="s">
        <v>3572</v>
      </c>
      <c r="B1366" s="3" t="s">
        <v>3573</v>
      </c>
      <c r="C1366" s="3" t="s">
        <v>3574</v>
      </c>
      <c r="D1366" s="3" t="s">
        <v>3575</v>
      </c>
      <c r="E1366" s="3" t="s">
        <v>120</v>
      </c>
      <c r="F1366" s="3">
        <v>24.98</v>
      </c>
      <c r="G1366" s="3" t="s">
        <v>121</v>
      </c>
      <c r="H1366" s="3"/>
      <c r="I1366" s="3" t="s">
        <v>122</v>
      </c>
      <c r="J1366" s="3">
        <v>0</v>
      </c>
      <c r="K1366" s="3">
        <v>0</v>
      </c>
      <c r="L1366" s="3">
        <v>0</v>
      </c>
      <c r="M1366" s="3">
        <v>0</v>
      </c>
      <c r="N1366" s="3">
        <v>0</v>
      </c>
      <c r="O1366" s="3">
        <v>0.14</v>
      </c>
      <c r="P1366" s="3">
        <v>0</v>
      </c>
      <c r="Q1366" s="3">
        <v>0</v>
      </c>
      <c r="R1366" s="3">
        <v>0</v>
      </c>
    </row>
    <row r="1367" spans="1:18">
      <c r="A1367" s="3" t="s">
        <v>3576</v>
      </c>
      <c r="B1367" s="3" t="s">
        <v>3577</v>
      </c>
      <c r="C1367" s="3" t="s">
        <v>3578</v>
      </c>
      <c r="D1367" s="3" t="s">
        <v>3579</v>
      </c>
      <c r="E1367" s="3" t="s">
        <v>120</v>
      </c>
      <c r="F1367" s="3">
        <v>24.98</v>
      </c>
      <c r="G1367" s="3" t="s">
        <v>121</v>
      </c>
      <c r="H1367" s="3"/>
      <c r="I1367" s="3" t="s">
        <v>122</v>
      </c>
      <c r="J1367" s="3">
        <v>0</v>
      </c>
      <c r="K1367" s="3">
        <v>0</v>
      </c>
      <c r="L1367" s="3">
        <v>0</v>
      </c>
      <c r="M1367" s="3">
        <v>0</v>
      </c>
      <c r="N1367" s="3">
        <v>0</v>
      </c>
      <c r="O1367" s="3">
        <v>0.14</v>
      </c>
      <c r="P1367" s="3">
        <v>0</v>
      </c>
      <c r="Q1367" s="3">
        <v>0</v>
      </c>
      <c r="R1367" s="3">
        <v>0</v>
      </c>
    </row>
    <row r="1368" spans="1:18">
      <c r="A1368" s="3" t="s">
        <v>3580</v>
      </c>
      <c r="B1368" s="3" t="s">
        <v>3581</v>
      </c>
      <c r="C1368" s="3" t="s">
        <v>3582</v>
      </c>
      <c r="D1368" s="3" t="s">
        <v>3583</v>
      </c>
      <c r="E1368" s="3" t="s">
        <v>120</v>
      </c>
      <c r="F1368" s="3">
        <v>24.98</v>
      </c>
      <c r="G1368" s="3" t="s">
        <v>121</v>
      </c>
      <c r="H1368" s="3"/>
      <c r="I1368" s="3" t="s">
        <v>122</v>
      </c>
      <c r="J1368" s="3">
        <v>0</v>
      </c>
      <c r="K1368" s="3">
        <v>0</v>
      </c>
      <c r="L1368" s="3">
        <v>0</v>
      </c>
      <c r="M1368" s="3">
        <v>0</v>
      </c>
      <c r="N1368" s="3">
        <v>0</v>
      </c>
      <c r="O1368" s="3">
        <v>0.14</v>
      </c>
      <c r="P1368" s="3">
        <v>0</v>
      </c>
      <c r="Q1368" s="3">
        <v>0</v>
      </c>
      <c r="R1368" s="3">
        <v>0</v>
      </c>
    </row>
    <row r="1369" spans="1:18">
      <c r="A1369" s="3" t="s">
        <v>3584</v>
      </c>
      <c r="B1369" s="3" t="s">
        <v>3585</v>
      </c>
      <c r="C1369" s="3" t="s">
        <v>3586</v>
      </c>
      <c r="D1369" s="3" t="s">
        <v>3587</v>
      </c>
      <c r="E1369" s="3" t="s">
        <v>120</v>
      </c>
      <c r="F1369" s="3">
        <v>24.98</v>
      </c>
      <c r="G1369" s="3" t="s">
        <v>121</v>
      </c>
      <c r="H1369" s="3"/>
      <c r="I1369" s="3" t="s">
        <v>122</v>
      </c>
      <c r="J1369" s="3">
        <v>0</v>
      </c>
      <c r="K1369" s="3">
        <v>0</v>
      </c>
      <c r="L1369" s="3">
        <v>0</v>
      </c>
      <c r="M1369" s="3">
        <v>0</v>
      </c>
      <c r="N1369" s="3">
        <v>0</v>
      </c>
      <c r="O1369" s="3">
        <v>0.14</v>
      </c>
      <c r="P1369" s="3">
        <v>0</v>
      </c>
      <c r="Q1369" s="3">
        <v>0</v>
      </c>
      <c r="R1369" s="3">
        <v>0</v>
      </c>
    </row>
    <row r="1370" spans="1:18">
      <c r="A1370" s="3" t="s">
        <v>3588</v>
      </c>
      <c r="B1370" s="3" t="s">
        <v>3589</v>
      </c>
      <c r="C1370" s="3" t="s">
        <v>3590</v>
      </c>
      <c r="D1370" s="3" t="s">
        <v>3591</v>
      </c>
      <c r="E1370" s="3" t="s">
        <v>120</v>
      </c>
      <c r="F1370" s="3">
        <v>24.98</v>
      </c>
      <c r="G1370" s="3" t="s">
        <v>121</v>
      </c>
      <c r="H1370" s="3"/>
      <c r="I1370" s="3" t="s">
        <v>122</v>
      </c>
      <c r="J1370" s="3">
        <v>0</v>
      </c>
      <c r="K1370" s="3">
        <v>0</v>
      </c>
      <c r="L1370" s="3">
        <v>0</v>
      </c>
      <c r="M1370" s="3">
        <v>0</v>
      </c>
      <c r="N1370" s="3">
        <v>0</v>
      </c>
      <c r="O1370" s="3">
        <v>0.02</v>
      </c>
      <c r="P1370" s="3">
        <v>0</v>
      </c>
      <c r="Q1370" s="3">
        <v>0</v>
      </c>
      <c r="R1370" s="3">
        <v>0</v>
      </c>
    </row>
    <row r="1371" spans="1:18">
      <c r="A1371" s="3" t="s">
        <v>3592</v>
      </c>
      <c r="B1371" s="3" t="s">
        <v>3593</v>
      </c>
      <c r="C1371" s="3" t="s">
        <v>3594</v>
      </c>
      <c r="D1371" s="3" t="s">
        <v>3595</v>
      </c>
      <c r="E1371" s="3" t="s">
        <v>120</v>
      </c>
      <c r="F1371" s="3">
        <v>24.98</v>
      </c>
      <c r="G1371" s="3" t="s">
        <v>121</v>
      </c>
      <c r="H1371" s="3"/>
      <c r="I1371" s="3" t="s">
        <v>122</v>
      </c>
      <c r="J1371" s="3">
        <v>0</v>
      </c>
      <c r="K1371" s="3">
        <v>0</v>
      </c>
      <c r="L1371" s="3">
        <v>0</v>
      </c>
      <c r="M1371" s="3">
        <v>0</v>
      </c>
      <c r="N1371" s="3">
        <v>0</v>
      </c>
      <c r="O1371" s="3">
        <v>0.02</v>
      </c>
      <c r="P1371" s="3">
        <v>0</v>
      </c>
      <c r="Q1371" s="3">
        <v>0</v>
      </c>
      <c r="R1371" s="3">
        <v>0</v>
      </c>
    </row>
    <row r="1372" spans="1:18">
      <c r="A1372" s="3" t="s">
        <v>3596</v>
      </c>
      <c r="B1372" s="3" t="s">
        <v>3597</v>
      </c>
      <c r="C1372" s="3" t="s">
        <v>3598</v>
      </c>
      <c r="D1372" s="3" t="s">
        <v>3599</v>
      </c>
      <c r="E1372" s="3" t="s">
        <v>120</v>
      </c>
      <c r="F1372" s="3">
        <v>24.98</v>
      </c>
      <c r="G1372" s="3" t="s">
        <v>121</v>
      </c>
      <c r="H1372" s="3"/>
      <c r="I1372" s="3" t="s">
        <v>122</v>
      </c>
      <c r="J1372" s="3">
        <v>0</v>
      </c>
      <c r="K1372" s="3">
        <v>0</v>
      </c>
      <c r="L1372" s="3">
        <v>0</v>
      </c>
      <c r="M1372" s="3">
        <v>0</v>
      </c>
      <c r="N1372" s="3">
        <v>0</v>
      </c>
      <c r="O1372" s="3">
        <v>0.02</v>
      </c>
      <c r="P1372" s="3">
        <v>0</v>
      </c>
      <c r="Q1372" s="3">
        <v>0</v>
      </c>
      <c r="R1372" s="3">
        <v>0</v>
      </c>
    </row>
    <row r="1373" spans="1:18">
      <c r="A1373" s="3" t="s">
        <v>3600</v>
      </c>
      <c r="B1373" s="3" t="s">
        <v>3601</v>
      </c>
      <c r="C1373" s="3" t="s">
        <v>3602</v>
      </c>
      <c r="D1373" s="3" t="s">
        <v>3603</v>
      </c>
      <c r="E1373" s="3" t="s">
        <v>120</v>
      </c>
      <c r="F1373" s="3">
        <v>24.98</v>
      </c>
      <c r="G1373" s="3" t="s">
        <v>121</v>
      </c>
      <c r="H1373" s="3"/>
      <c r="I1373" s="3" t="s">
        <v>122</v>
      </c>
      <c r="J1373" s="3">
        <v>0</v>
      </c>
      <c r="K1373" s="3">
        <v>0</v>
      </c>
      <c r="L1373" s="3">
        <v>0</v>
      </c>
      <c r="M1373" s="3">
        <v>0</v>
      </c>
      <c r="N1373" s="3">
        <v>0</v>
      </c>
      <c r="O1373" s="3">
        <v>0.02</v>
      </c>
      <c r="P1373" s="3">
        <v>0</v>
      </c>
      <c r="Q1373" s="3">
        <v>0</v>
      </c>
      <c r="R1373" s="3">
        <v>0</v>
      </c>
    </row>
    <row r="1374" spans="1:18">
      <c r="A1374" s="3" t="s">
        <v>3604</v>
      </c>
      <c r="B1374" s="3" t="s">
        <v>3366</v>
      </c>
      <c r="C1374" s="3" t="s">
        <v>3366</v>
      </c>
      <c r="D1374" s="3" t="s">
        <v>3367</v>
      </c>
      <c r="E1374" s="3" t="s">
        <v>120</v>
      </c>
      <c r="F1374" s="3">
        <v>22.98</v>
      </c>
      <c r="G1374" s="3" t="s">
        <v>121</v>
      </c>
      <c r="H1374" s="3"/>
      <c r="I1374" s="3" t="s">
        <v>122</v>
      </c>
      <c r="J1374" s="3">
        <v>1</v>
      </c>
      <c r="K1374" s="3">
        <v>1</v>
      </c>
      <c r="L1374" s="3">
        <v>0</v>
      </c>
      <c r="M1374" s="3">
        <v>0</v>
      </c>
      <c r="N1374" s="3">
        <v>1</v>
      </c>
      <c r="O1374" s="3">
        <v>0.12</v>
      </c>
      <c r="P1374" s="3">
        <v>0</v>
      </c>
      <c r="Q1374" s="3">
        <v>0</v>
      </c>
      <c r="R1374" s="3">
        <v>0</v>
      </c>
    </row>
    <row r="1375" spans="1:18">
      <c r="A1375" s="3" t="s">
        <v>3605</v>
      </c>
      <c r="B1375" s="3" t="s">
        <v>3450</v>
      </c>
      <c r="C1375" s="3" t="s">
        <v>3450</v>
      </c>
      <c r="D1375" s="3" t="s">
        <v>3451</v>
      </c>
      <c r="E1375" s="3" t="s">
        <v>120</v>
      </c>
      <c r="F1375" s="3">
        <v>22.98</v>
      </c>
      <c r="G1375" s="3" t="s">
        <v>121</v>
      </c>
      <c r="H1375" s="3"/>
      <c r="I1375" s="3" t="s">
        <v>122</v>
      </c>
      <c r="J1375" s="3">
        <v>1</v>
      </c>
      <c r="K1375" s="3">
        <v>1</v>
      </c>
      <c r="L1375" s="3">
        <v>0</v>
      </c>
      <c r="M1375" s="3">
        <v>0</v>
      </c>
      <c r="N1375" s="3">
        <v>1</v>
      </c>
      <c r="O1375" s="3">
        <v>0.12</v>
      </c>
      <c r="P1375" s="3">
        <v>0</v>
      </c>
      <c r="Q1375" s="3">
        <v>0</v>
      </c>
      <c r="R1375" s="3">
        <v>0</v>
      </c>
    </row>
    <row r="1376" spans="1:18">
      <c r="A1376" s="3" t="s">
        <v>3606</v>
      </c>
      <c r="B1376" s="3" t="s">
        <v>3607</v>
      </c>
      <c r="C1376" s="3" t="s">
        <v>3608</v>
      </c>
      <c r="D1376" s="3" t="s">
        <v>3609</v>
      </c>
      <c r="E1376" s="3" t="s">
        <v>120</v>
      </c>
      <c r="F1376" s="3">
        <v>23.98</v>
      </c>
      <c r="G1376" s="3" t="s">
        <v>121</v>
      </c>
      <c r="H1376" s="3"/>
      <c r="I1376" s="3" t="s">
        <v>122</v>
      </c>
      <c r="J1376" s="3">
        <v>0</v>
      </c>
      <c r="K1376" s="3">
        <v>0</v>
      </c>
      <c r="L1376" s="3">
        <v>0</v>
      </c>
      <c r="M1376" s="3">
        <v>0</v>
      </c>
      <c r="N1376" s="3">
        <v>0</v>
      </c>
      <c r="O1376" s="3">
        <v>0.09</v>
      </c>
      <c r="P1376" s="3">
        <v>0</v>
      </c>
      <c r="Q1376" s="3">
        <v>0</v>
      </c>
      <c r="R1376" s="3">
        <v>0</v>
      </c>
    </row>
    <row r="1377" spans="1:18">
      <c r="A1377" s="3" t="s">
        <v>3610</v>
      </c>
      <c r="B1377" s="3" t="s">
        <v>3611</v>
      </c>
      <c r="C1377" s="3" t="s">
        <v>3612</v>
      </c>
      <c r="D1377" s="3" t="s">
        <v>3613</v>
      </c>
      <c r="E1377" s="3" t="s">
        <v>120</v>
      </c>
      <c r="F1377" s="3">
        <v>23.98</v>
      </c>
      <c r="G1377" s="3" t="s">
        <v>121</v>
      </c>
      <c r="H1377" s="3"/>
      <c r="I1377" s="3" t="s">
        <v>122</v>
      </c>
      <c r="J1377" s="3">
        <v>0</v>
      </c>
      <c r="K1377" s="3">
        <v>0</v>
      </c>
      <c r="L1377" s="3">
        <v>0</v>
      </c>
      <c r="M1377" s="3">
        <v>0</v>
      </c>
      <c r="N1377" s="3">
        <v>0</v>
      </c>
      <c r="O1377" s="3">
        <v>0.09</v>
      </c>
      <c r="P1377" s="3">
        <v>0</v>
      </c>
      <c r="Q1377" s="3">
        <v>0</v>
      </c>
      <c r="R1377" s="3">
        <v>0</v>
      </c>
    </row>
    <row r="1378" spans="1:18">
      <c r="A1378" s="3" t="s">
        <v>3614</v>
      </c>
      <c r="B1378" s="3" t="s">
        <v>3615</v>
      </c>
      <c r="C1378" s="3" t="s">
        <v>3616</v>
      </c>
      <c r="D1378" s="3" t="s">
        <v>3617</v>
      </c>
      <c r="E1378" s="3" t="s">
        <v>120</v>
      </c>
      <c r="F1378" s="3">
        <v>23.98</v>
      </c>
      <c r="G1378" s="3" t="s">
        <v>121</v>
      </c>
      <c r="H1378" s="3"/>
      <c r="I1378" s="3" t="s">
        <v>122</v>
      </c>
      <c r="J1378" s="3">
        <v>0</v>
      </c>
      <c r="K1378" s="3">
        <v>0</v>
      </c>
      <c r="L1378" s="3">
        <v>0</v>
      </c>
      <c r="M1378" s="3">
        <v>0</v>
      </c>
      <c r="N1378" s="3">
        <v>0</v>
      </c>
      <c r="O1378" s="3">
        <v>0.09</v>
      </c>
      <c r="P1378" s="3">
        <v>0</v>
      </c>
      <c r="Q1378" s="3">
        <v>0</v>
      </c>
      <c r="R1378" s="3">
        <v>0</v>
      </c>
    </row>
    <row r="1379" spans="1:18">
      <c r="A1379" s="3" t="s">
        <v>3618</v>
      </c>
      <c r="B1379" s="3" t="s">
        <v>3619</v>
      </c>
      <c r="C1379" s="3" t="s">
        <v>3620</v>
      </c>
      <c r="D1379" s="3" t="s">
        <v>3621</v>
      </c>
      <c r="E1379" s="3" t="s">
        <v>120</v>
      </c>
      <c r="F1379" s="3">
        <v>23.98</v>
      </c>
      <c r="G1379" s="3" t="s">
        <v>121</v>
      </c>
      <c r="H1379" s="3"/>
      <c r="I1379" s="3" t="s">
        <v>122</v>
      </c>
      <c r="J1379" s="3">
        <v>0</v>
      </c>
      <c r="K1379" s="3">
        <v>0</v>
      </c>
      <c r="L1379" s="3">
        <v>0</v>
      </c>
      <c r="M1379" s="3">
        <v>0</v>
      </c>
      <c r="N1379" s="3">
        <v>0</v>
      </c>
      <c r="O1379" s="3">
        <v>0.09</v>
      </c>
      <c r="P1379" s="3">
        <v>0</v>
      </c>
      <c r="Q1379" s="3">
        <v>0</v>
      </c>
      <c r="R1379" s="3">
        <v>0</v>
      </c>
    </row>
    <row r="1380" spans="1:18">
      <c r="A1380" s="3" t="s">
        <v>3622</v>
      </c>
      <c r="B1380" s="3" t="s">
        <v>3623</v>
      </c>
      <c r="C1380" s="3" t="s">
        <v>3624</v>
      </c>
      <c r="D1380" s="3" t="s">
        <v>3625</v>
      </c>
      <c r="E1380" s="3" t="s">
        <v>120</v>
      </c>
      <c r="F1380" s="3">
        <v>23.98</v>
      </c>
      <c r="G1380" s="3" t="s">
        <v>121</v>
      </c>
      <c r="H1380" s="3"/>
      <c r="I1380" s="3" t="s">
        <v>122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0.02</v>
      </c>
      <c r="P1380" s="3">
        <v>0</v>
      </c>
      <c r="Q1380" s="3">
        <v>0</v>
      </c>
      <c r="R1380" s="3">
        <v>0</v>
      </c>
    </row>
    <row r="1381" spans="1:18">
      <c r="A1381" s="3" t="s">
        <v>3626</v>
      </c>
      <c r="B1381" s="3" t="s">
        <v>3627</v>
      </c>
      <c r="C1381" s="3" t="s">
        <v>3628</v>
      </c>
      <c r="D1381" s="3" t="s">
        <v>3629</v>
      </c>
      <c r="E1381" s="3" t="s">
        <v>120</v>
      </c>
      <c r="F1381" s="3">
        <v>23.98</v>
      </c>
      <c r="G1381" s="3" t="s">
        <v>121</v>
      </c>
      <c r="H1381" s="3"/>
      <c r="I1381" s="3" t="s">
        <v>122</v>
      </c>
      <c r="J1381" s="3">
        <v>0</v>
      </c>
      <c r="K1381" s="3">
        <v>0</v>
      </c>
      <c r="L1381" s="3">
        <v>0</v>
      </c>
      <c r="M1381" s="3">
        <v>0</v>
      </c>
      <c r="N1381" s="3">
        <v>0</v>
      </c>
      <c r="O1381" s="3">
        <v>0.02</v>
      </c>
      <c r="P1381" s="3">
        <v>0</v>
      </c>
      <c r="Q1381" s="3">
        <v>0</v>
      </c>
      <c r="R1381" s="3">
        <v>0</v>
      </c>
    </row>
    <row r="1382" spans="1:18">
      <c r="A1382" s="3" t="s">
        <v>3630</v>
      </c>
      <c r="B1382" s="3" t="s">
        <v>3631</v>
      </c>
      <c r="C1382" s="3" t="s">
        <v>3632</v>
      </c>
      <c r="D1382" s="3" t="s">
        <v>3633</v>
      </c>
      <c r="E1382" s="3" t="s">
        <v>120</v>
      </c>
      <c r="F1382" s="3">
        <v>23.98</v>
      </c>
      <c r="G1382" s="3" t="s">
        <v>121</v>
      </c>
      <c r="H1382" s="3"/>
      <c r="I1382" s="3" t="s">
        <v>122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0.02</v>
      </c>
      <c r="P1382" s="3">
        <v>0</v>
      </c>
      <c r="Q1382" s="3">
        <v>0</v>
      </c>
      <c r="R1382" s="3">
        <v>0</v>
      </c>
    </row>
    <row r="1383" spans="1:18">
      <c r="A1383" s="3" t="s">
        <v>3634</v>
      </c>
      <c r="B1383" s="3" t="s">
        <v>3635</v>
      </c>
      <c r="C1383" s="3" t="s">
        <v>3636</v>
      </c>
      <c r="D1383" s="3" t="s">
        <v>3637</v>
      </c>
      <c r="E1383" s="3" t="s">
        <v>120</v>
      </c>
      <c r="F1383" s="3">
        <v>23.98</v>
      </c>
      <c r="G1383" s="3" t="s">
        <v>121</v>
      </c>
      <c r="H1383" s="3"/>
      <c r="I1383" s="3" t="s">
        <v>122</v>
      </c>
      <c r="J1383" s="3">
        <v>0</v>
      </c>
      <c r="K1383" s="3">
        <v>0</v>
      </c>
      <c r="L1383" s="3">
        <v>0</v>
      </c>
      <c r="M1383" s="3">
        <v>0</v>
      </c>
      <c r="N1383" s="3">
        <v>0</v>
      </c>
      <c r="O1383" s="3">
        <v>0.02</v>
      </c>
      <c r="P1383" s="3">
        <v>0</v>
      </c>
      <c r="Q1383" s="3">
        <v>0</v>
      </c>
      <c r="R1383" s="3">
        <v>0</v>
      </c>
    </row>
    <row r="1384" spans="1:18">
      <c r="A1384" s="3" t="s">
        <v>3638</v>
      </c>
      <c r="B1384" s="3" t="s">
        <v>3639</v>
      </c>
      <c r="C1384" s="3" t="s">
        <v>3640</v>
      </c>
      <c r="D1384" s="3" t="s">
        <v>3641</v>
      </c>
      <c r="E1384" s="3" t="s">
        <v>120</v>
      </c>
      <c r="F1384" s="3">
        <v>23.98</v>
      </c>
      <c r="G1384" s="3" t="s">
        <v>121</v>
      </c>
      <c r="H1384" s="3"/>
      <c r="I1384" s="3" t="s">
        <v>122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0.09</v>
      </c>
      <c r="P1384" s="3">
        <v>0</v>
      </c>
      <c r="Q1384" s="3">
        <v>0</v>
      </c>
      <c r="R1384" s="3">
        <v>0</v>
      </c>
    </row>
    <row r="1385" spans="1:18">
      <c r="A1385" s="3" t="s">
        <v>3642</v>
      </c>
      <c r="B1385" s="3" t="s">
        <v>3643</v>
      </c>
      <c r="C1385" s="3" t="s">
        <v>3644</v>
      </c>
      <c r="D1385" s="3" t="s">
        <v>3645</v>
      </c>
      <c r="E1385" s="3" t="s">
        <v>120</v>
      </c>
      <c r="F1385" s="3">
        <v>23.98</v>
      </c>
      <c r="G1385" s="3" t="s">
        <v>121</v>
      </c>
      <c r="H1385" s="3"/>
      <c r="I1385" s="3" t="s">
        <v>122</v>
      </c>
      <c r="J1385" s="3">
        <v>0</v>
      </c>
      <c r="K1385" s="3">
        <v>0</v>
      </c>
      <c r="L1385" s="3">
        <v>0</v>
      </c>
      <c r="M1385" s="3">
        <v>0</v>
      </c>
      <c r="N1385" s="3">
        <v>0</v>
      </c>
      <c r="O1385" s="3">
        <v>0.09</v>
      </c>
      <c r="P1385" s="3">
        <v>0</v>
      </c>
      <c r="Q1385" s="3">
        <v>0</v>
      </c>
      <c r="R1385" s="3">
        <v>0</v>
      </c>
    </row>
    <row r="1386" spans="1:18">
      <c r="A1386" s="3" t="s">
        <v>3646</v>
      </c>
      <c r="B1386" s="3" t="s">
        <v>3647</v>
      </c>
      <c r="C1386" s="3" t="s">
        <v>3648</v>
      </c>
      <c r="D1386" s="3" t="s">
        <v>3649</v>
      </c>
      <c r="E1386" s="3" t="s">
        <v>120</v>
      </c>
      <c r="F1386" s="3">
        <v>23.98</v>
      </c>
      <c r="G1386" s="3" t="s">
        <v>121</v>
      </c>
      <c r="H1386" s="3"/>
      <c r="I1386" s="3" t="s">
        <v>122</v>
      </c>
      <c r="J1386" s="3">
        <v>0</v>
      </c>
      <c r="K1386" s="3">
        <v>0</v>
      </c>
      <c r="L1386" s="3">
        <v>0</v>
      </c>
      <c r="M1386" s="3">
        <v>0</v>
      </c>
      <c r="N1386" s="3">
        <v>0</v>
      </c>
      <c r="O1386" s="3">
        <v>0.09</v>
      </c>
      <c r="P1386" s="3">
        <v>0</v>
      </c>
      <c r="Q1386" s="3">
        <v>0</v>
      </c>
      <c r="R1386" s="3">
        <v>0</v>
      </c>
    </row>
    <row r="1387" spans="1:18">
      <c r="A1387" s="3" t="s">
        <v>3650</v>
      </c>
      <c r="B1387" s="3" t="s">
        <v>3651</v>
      </c>
      <c r="C1387" s="3" t="s">
        <v>3652</v>
      </c>
      <c r="D1387" s="3" t="s">
        <v>3653</v>
      </c>
      <c r="E1387" s="3" t="s">
        <v>120</v>
      </c>
      <c r="F1387" s="3">
        <v>23.98</v>
      </c>
      <c r="G1387" s="3" t="s">
        <v>121</v>
      </c>
      <c r="H1387" s="3"/>
      <c r="I1387" s="3" t="s">
        <v>122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0.09</v>
      </c>
      <c r="P1387" s="3">
        <v>0</v>
      </c>
      <c r="Q1387" s="3">
        <v>0</v>
      </c>
      <c r="R1387" s="3">
        <v>0</v>
      </c>
    </row>
    <row r="1388" spans="1:18">
      <c r="A1388" s="3" t="s">
        <v>3654</v>
      </c>
      <c r="B1388" s="3" t="s">
        <v>3655</v>
      </c>
      <c r="C1388" s="3" t="s">
        <v>3656</v>
      </c>
      <c r="D1388" s="3" t="s">
        <v>3657</v>
      </c>
      <c r="E1388" s="3" t="s">
        <v>120</v>
      </c>
      <c r="F1388" s="3">
        <v>23.98</v>
      </c>
      <c r="G1388" s="3" t="s">
        <v>121</v>
      </c>
      <c r="H1388" s="3"/>
      <c r="I1388" s="3" t="s">
        <v>122</v>
      </c>
      <c r="J1388" s="3">
        <v>0</v>
      </c>
      <c r="K1388" s="3">
        <v>0</v>
      </c>
      <c r="L1388" s="3">
        <v>0</v>
      </c>
      <c r="M1388" s="3">
        <v>0</v>
      </c>
      <c r="N1388" s="3">
        <v>0</v>
      </c>
      <c r="O1388" s="3">
        <v>0.09</v>
      </c>
      <c r="P1388" s="3">
        <v>0</v>
      </c>
      <c r="Q1388" s="3">
        <v>0</v>
      </c>
      <c r="R1388" s="3">
        <v>0</v>
      </c>
    </row>
    <row r="1389" spans="1:18">
      <c r="A1389" s="3" t="s">
        <v>3658</v>
      </c>
      <c r="B1389" s="3" t="s">
        <v>3659</v>
      </c>
      <c r="C1389" s="3" t="s">
        <v>3660</v>
      </c>
      <c r="D1389" s="3" t="s">
        <v>3661</v>
      </c>
      <c r="E1389" s="3" t="s">
        <v>120</v>
      </c>
      <c r="F1389" s="3">
        <v>23.98</v>
      </c>
      <c r="G1389" s="3" t="s">
        <v>121</v>
      </c>
      <c r="H1389" s="3"/>
      <c r="I1389" s="3" t="s">
        <v>122</v>
      </c>
      <c r="J1389" s="3">
        <v>0</v>
      </c>
      <c r="K1389" s="3">
        <v>0</v>
      </c>
      <c r="L1389" s="3">
        <v>0</v>
      </c>
      <c r="M1389" s="3">
        <v>0</v>
      </c>
      <c r="N1389" s="3">
        <v>0</v>
      </c>
      <c r="O1389" s="3">
        <v>0.09</v>
      </c>
      <c r="P1389" s="3">
        <v>0</v>
      </c>
      <c r="Q1389" s="3">
        <v>0</v>
      </c>
      <c r="R1389" s="3">
        <v>0</v>
      </c>
    </row>
    <row r="1390" spans="1:18">
      <c r="A1390" s="3" t="s">
        <v>3662</v>
      </c>
      <c r="B1390" s="3" t="s">
        <v>3663</v>
      </c>
      <c r="C1390" s="3" t="s">
        <v>3664</v>
      </c>
      <c r="D1390" s="3" t="s">
        <v>3665</v>
      </c>
      <c r="E1390" s="3" t="s">
        <v>120</v>
      </c>
      <c r="F1390" s="3">
        <v>23.98</v>
      </c>
      <c r="G1390" s="3" t="s">
        <v>121</v>
      </c>
      <c r="H1390" s="3"/>
      <c r="I1390" s="3" t="s">
        <v>122</v>
      </c>
      <c r="J1390" s="3">
        <v>0</v>
      </c>
      <c r="K1390" s="3">
        <v>0</v>
      </c>
      <c r="L1390" s="3">
        <v>0</v>
      </c>
      <c r="M1390" s="3">
        <v>0</v>
      </c>
      <c r="N1390" s="3">
        <v>0</v>
      </c>
      <c r="O1390" s="3">
        <v>0.09</v>
      </c>
      <c r="P1390" s="3">
        <v>0</v>
      </c>
      <c r="Q1390" s="3">
        <v>0</v>
      </c>
      <c r="R1390" s="3">
        <v>0</v>
      </c>
    </row>
    <row r="1391" spans="1:18">
      <c r="A1391" s="3" t="s">
        <v>3666</v>
      </c>
      <c r="B1391" s="3" t="s">
        <v>3667</v>
      </c>
      <c r="C1391" s="3" t="s">
        <v>3668</v>
      </c>
      <c r="D1391" s="3" t="s">
        <v>3669</v>
      </c>
      <c r="E1391" s="3" t="s">
        <v>120</v>
      </c>
      <c r="F1391" s="3">
        <v>23.98</v>
      </c>
      <c r="G1391" s="3" t="s">
        <v>121</v>
      </c>
      <c r="H1391" s="3"/>
      <c r="I1391" s="3" t="s">
        <v>122</v>
      </c>
      <c r="J1391" s="3">
        <v>0</v>
      </c>
      <c r="K1391" s="3">
        <v>0</v>
      </c>
      <c r="L1391" s="3">
        <v>0</v>
      </c>
      <c r="M1391" s="3">
        <v>0</v>
      </c>
      <c r="N1391" s="3">
        <v>0</v>
      </c>
      <c r="O1391" s="3">
        <v>0.09</v>
      </c>
      <c r="P1391" s="3">
        <v>0</v>
      </c>
      <c r="Q1391" s="3">
        <v>0</v>
      </c>
      <c r="R1391" s="3">
        <v>0</v>
      </c>
    </row>
    <row r="1392" spans="1:18">
      <c r="A1392" s="3" t="s">
        <v>3670</v>
      </c>
      <c r="B1392" s="3" t="s">
        <v>3671</v>
      </c>
      <c r="C1392" s="3" t="s">
        <v>3672</v>
      </c>
      <c r="D1392" s="3" t="s">
        <v>3673</v>
      </c>
      <c r="E1392" s="3" t="s">
        <v>120</v>
      </c>
      <c r="F1392" s="3">
        <v>23.98</v>
      </c>
      <c r="G1392" s="3" t="s">
        <v>121</v>
      </c>
      <c r="H1392" s="3"/>
      <c r="I1392" s="3" t="s">
        <v>122</v>
      </c>
      <c r="J1392" s="3">
        <v>0</v>
      </c>
      <c r="K1392" s="3">
        <v>0</v>
      </c>
      <c r="L1392" s="3">
        <v>0</v>
      </c>
      <c r="M1392" s="3">
        <v>0</v>
      </c>
      <c r="N1392" s="3">
        <v>0</v>
      </c>
      <c r="O1392" s="3">
        <v>0.09</v>
      </c>
      <c r="P1392" s="3">
        <v>0</v>
      </c>
      <c r="Q1392" s="3">
        <v>0</v>
      </c>
      <c r="R1392" s="3">
        <v>0</v>
      </c>
    </row>
    <row r="1393" spans="1:18">
      <c r="A1393" s="3" t="s">
        <v>3674</v>
      </c>
      <c r="B1393" s="3" t="s">
        <v>3675</v>
      </c>
      <c r="C1393" s="3" t="s">
        <v>3676</v>
      </c>
      <c r="D1393" s="3" t="s">
        <v>3677</v>
      </c>
      <c r="E1393" s="3" t="s">
        <v>120</v>
      </c>
      <c r="F1393" s="3">
        <v>23.98</v>
      </c>
      <c r="G1393" s="3" t="s">
        <v>121</v>
      </c>
      <c r="H1393" s="3"/>
      <c r="I1393" s="3" t="s">
        <v>122</v>
      </c>
      <c r="J1393" s="3">
        <v>0</v>
      </c>
      <c r="K1393" s="3">
        <v>0</v>
      </c>
      <c r="L1393" s="3">
        <v>0</v>
      </c>
      <c r="M1393" s="3">
        <v>0</v>
      </c>
      <c r="N1393" s="3">
        <v>0</v>
      </c>
      <c r="O1393" s="3">
        <v>0.09</v>
      </c>
      <c r="P1393" s="3">
        <v>0</v>
      </c>
      <c r="Q1393" s="3">
        <v>0</v>
      </c>
      <c r="R1393" s="3">
        <v>0</v>
      </c>
    </row>
    <row r="1394" spans="1:18">
      <c r="A1394" s="3" t="s">
        <v>3678</v>
      </c>
      <c r="B1394" s="3" t="s">
        <v>3679</v>
      </c>
      <c r="C1394" s="3" t="s">
        <v>3680</v>
      </c>
      <c r="D1394" s="3" t="s">
        <v>3681</v>
      </c>
      <c r="E1394" s="3" t="s">
        <v>120</v>
      </c>
      <c r="F1394" s="3">
        <v>23.98</v>
      </c>
      <c r="G1394" s="3" t="s">
        <v>121</v>
      </c>
      <c r="H1394" s="3"/>
      <c r="I1394" s="3" t="s">
        <v>122</v>
      </c>
      <c r="J1394" s="3">
        <v>0</v>
      </c>
      <c r="K1394" s="3">
        <v>0</v>
      </c>
      <c r="L1394" s="3">
        <v>0</v>
      </c>
      <c r="M1394" s="3">
        <v>0</v>
      </c>
      <c r="N1394" s="3">
        <v>0</v>
      </c>
      <c r="O1394" s="3">
        <v>0.09</v>
      </c>
      <c r="P1394" s="3">
        <v>0</v>
      </c>
      <c r="Q1394" s="3">
        <v>0</v>
      </c>
      <c r="R1394" s="3">
        <v>0</v>
      </c>
    </row>
    <row r="1395" spans="1:18">
      <c r="A1395" s="3" t="s">
        <v>3682</v>
      </c>
      <c r="B1395" s="3" t="s">
        <v>3683</v>
      </c>
      <c r="C1395" s="3" t="s">
        <v>3684</v>
      </c>
      <c r="D1395" s="3"/>
      <c r="E1395" s="3" t="s">
        <v>20</v>
      </c>
      <c r="F1395" s="3"/>
      <c r="G1395" s="3"/>
      <c r="H1395" s="3"/>
      <c r="I1395" s="3"/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/>
      <c r="P1395" s="3">
        <v>0</v>
      </c>
      <c r="Q1395" s="3">
        <v>0</v>
      </c>
      <c r="R1395" s="3">
        <v>0</v>
      </c>
    </row>
    <row r="1396" spans="1:18">
      <c r="A1396" s="3" t="s">
        <v>3685</v>
      </c>
      <c r="B1396" s="3" t="s">
        <v>3686</v>
      </c>
      <c r="C1396" s="3" t="s">
        <v>3687</v>
      </c>
      <c r="D1396" s="3" t="s">
        <v>3688</v>
      </c>
      <c r="E1396" s="3" t="s">
        <v>120</v>
      </c>
      <c r="F1396" s="3">
        <v>23.98</v>
      </c>
      <c r="G1396" s="3" t="s">
        <v>121</v>
      </c>
      <c r="H1396" s="3"/>
      <c r="I1396" s="3" t="s">
        <v>122</v>
      </c>
      <c r="J1396" s="3">
        <v>0</v>
      </c>
      <c r="K1396" s="3">
        <v>0</v>
      </c>
      <c r="L1396" s="3">
        <v>0</v>
      </c>
      <c r="M1396" s="3">
        <v>0</v>
      </c>
      <c r="N1396" s="3">
        <v>0</v>
      </c>
      <c r="O1396" s="3">
        <v>0.09</v>
      </c>
      <c r="P1396" s="3">
        <v>0</v>
      </c>
      <c r="Q1396" s="3">
        <v>0</v>
      </c>
      <c r="R1396" s="3">
        <v>0</v>
      </c>
    </row>
    <row r="1397" spans="1:18">
      <c r="A1397" s="3" t="s">
        <v>3689</v>
      </c>
      <c r="B1397" s="3" t="s">
        <v>3690</v>
      </c>
      <c r="C1397" s="3" t="s">
        <v>3691</v>
      </c>
      <c r="D1397" s="3" t="s">
        <v>3692</v>
      </c>
      <c r="E1397" s="3" t="s">
        <v>120</v>
      </c>
      <c r="F1397" s="3">
        <v>23.98</v>
      </c>
      <c r="G1397" s="3" t="s">
        <v>121</v>
      </c>
      <c r="H1397" s="3"/>
      <c r="I1397" s="3" t="s">
        <v>122</v>
      </c>
      <c r="J1397" s="3">
        <v>0</v>
      </c>
      <c r="K1397" s="3">
        <v>0</v>
      </c>
      <c r="L1397" s="3">
        <v>0</v>
      </c>
      <c r="M1397" s="3">
        <v>0</v>
      </c>
      <c r="N1397" s="3">
        <v>0</v>
      </c>
      <c r="O1397" s="3">
        <v>0.09</v>
      </c>
      <c r="P1397" s="3">
        <v>0</v>
      </c>
      <c r="Q1397" s="3">
        <v>0</v>
      </c>
      <c r="R1397" s="3">
        <v>0</v>
      </c>
    </row>
    <row r="1398" spans="1:18">
      <c r="A1398" s="3" t="s">
        <v>3693</v>
      </c>
      <c r="B1398" s="3" t="s">
        <v>3694</v>
      </c>
      <c r="C1398" s="3" t="s">
        <v>3695</v>
      </c>
      <c r="D1398" s="3" t="s">
        <v>3696</v>
      </c>
      <c r="E1398" s="3" t="s">
        <v>120</v>
      </c>
      <c r="F1398" s="3">
        <v>23.98</v>
      </c>
      <c r="G1398" s="3" t="s">
        <v>121</v>
      </c>
      <c r="H1398" s="3"/>
      <c r="I1398" s="3" t="s">
        <v>122</v>
      </c>
      <c r="J1398" s="3">
        <v>0</v>
      </c>
      <c r="K1398" s="3">
        <v>0</v>
      </c>
      <c r="L1398" s="3">
        <v>0</v>
      </c>
      <c r="M1398" s="3">
        <v>0</v>
      </c>
      <c r="N1398" s="3">
        <v>0</v>
      </c>
      <c r="O1398" s="3">
        <v>0.09</v>
      </c>
      <c r="P1398" s="3">
        <v>0</v>
      </c>
      <c r="Q1398" s="3">
        <v>0</v>
      </c>
      <c r="R1398" s="3">
        <v>0</v>
      </c>
    </row>
    <row r="1399" spans="1:18">
      <c r="A1399" s="3" t="s">
        <v>3697</v>
      </c>
      <c r="B1399" s="3" t="s">
        <v>3698</v>
      </c>
      <c r="C1399" s="3" t="s">
        <v>3699</v>
      </c>
      <c r="D1399" s="3" t="s">
        <v>3700</v>
      </c>
      <c r="E1399" s="3" t="s">
        <v>120</v>
      </c>
      <c r="F1399" s="3">
        <v>23.98</v>
      </c>
      <c r="G1399" s="3" t="s">
        <v>121</v>
      </c>
      <c r="H1399" s="3"/>
      <c r="I1399" s="3" t="s">
        <v>122</v>
      </c>
      <c r="J1399" s="3">
        <v>0</v>
      </c>
      <c r="K1399" s="3">
        <v>0</v>
      </c>
      <c r="L1399" s="3">
        <v>0</v>
      </c>
      <c r="M1399" s="3">
        <v>0</v>
      </c>
      <c r="N1399" s="3">
        <v>0</v>
      </c>
      <c r="O1399" s="3">
        <v>0.09</v>
      </c>
      <c r="P1399" s="3">
        <v>0</v>
      </c>
      <c r="Q1399" s="3">
        <v>0</v>
      </c>
      <c r="R1399" s="3">
        <v>0</v>
      </c>
    </row>
    <row r="1400" spans="1:18">
      <c r="A1400" s="3" t="s">
        <v>3701</v>
      </c>
      <c r="B1400" s="3" t="s">
        <v>3702</v>
      </c>
      <c r="C1400" s="3" t="s">
        <v>3703</v>
      </c>
      <c r="D1400" s="3" t="s">
        <v>3704</v>
      </c>
      <c r="E1400" s="3" t="s">
        <v>120</v>
      </c>
      <c r="F1400" s="3">
        <v>23.98</v>
      </c>
      <c r="G1400" s="3" t="s">
        <v>121</v>
      </c>
      <c r="H1400" s="3"/>
      <c r="I1400" s="3" t="s">
        <v>122</v>
      </c>
      <c r="J1400" s="3">
        <v>0</v>
      </c>
      <c r="K1400" s="3">
        <v>0</v>
      </c>
      <c r="L1400" s="3">
        <v>0</v>
      </c>
      <c r="M1400" s="3">
        <v>0</v>
      </c>
      <c r="N1400" s="3">
        <v>0</v>
      </c>
      <c r="O1400" s="3">
        <v>0.09</v>
      </c>
      <c r="P1400" s="3">
        <v>0</v>
      </c>
      <c r="Q1400" s="3">
        <v>0</v>
      </c>
      <c r="R1400" s="3">
        <v>0</v>
      </c>
    </row>
    <row r="1401" spans="1:18">
      <c r="A1401" s="3" t="s">
        <v>3705</v>
      </c>
      <c r="B1401" s="3" t="s">
        <v>3706</v>
      </c>
      <c r="C1401" s="3" t="s">
        <v>3707</v>
      </c>
      <c r="D1401" s="3" t="s">
        <v>3708</v>
      </c>
      <c r="E1401" s="3" t="s">
        <v>120</v>
      </c>
      <c r="F1401" s="3">
        <v>23.98</v>
      </c>
      <c r="G1401" s="3" t="s">
        <v>121</v>
      </c>
      <c r="H1401" s="3"/>
      <c r="I1401" s="3" t="s">
        <v>122</v>
      </c>
      <c r="J1401" s="3">
        <v>0</v>
      </c>
      <c r="K1401" s="3">
        <v>0</v>
      </c>
      <c r="L1401" s="3">
        <v>0</v>
      </c>
      <c r="M1401" s="3">
        <v>0</v>
      </c>
      <c r="N1401" s="3">
        <v>0</v>
      </c>
      <c r="O1401" s="3">
        <v>0.09</v>
      </c>
      <c r="P1401" s="3">
        <v>0</v>
      </c>
      <c r="Q1401" s="3">
        <v>0</v>
      </c>
      <c r="R1401" s="3">
        <v>0</v>
      </c>
    </row>
    <row r="1402" spans="1:18">
      <c r="A1402" s="3" t="s">
        <v>3709</v>
      </c>
      <c r="B1402" s="3" t="s">
        <v>3710</v>
      </c>
      <c r="C1402" s="3" t="s">
        <v>3711</v>
      </c>
      <c r="D1402" s="3" t="s">
        <v>3712</v>
      </c>
      <c r="E1402" s="3" t="s">
        <v>120</v>
      </c>
      <c r="F1402" s="3">
        <v>23.98</v>
      </c>
      <c r="G1402" s="3" t="s">
        <v>121</v>
      </c>
      <c r="H1402" s="3"/>
      <c r="I1402" s="3" t="s">
        <v>122</v>
      </c>
      <c r="J1402" s="3">
        <v>0</v>
      </c>
      <c r="K1402" s="3">
        <v>0</v>
      </c>
      <c r="L1402" s="3">
        <v>0</v>
      </c>
      <c r="M1402" s="3">
        <v>0</v>
      </c>
      <c r="N1402" s="3">
        <v>0</v>
      </c>
      <c r="O1402" s="3">
        <v>0.09</v>
      </c>
      <c r="P1402" s="3">
        <v>0</v>
      </c>
      <c r="Q1402" s="3">
        <v>0</v>
      </c>
      <c r="R1402" s="3">
        <v>0</v>
      </c>
    </row>
    <row r="1403" spans="1:18">
      <c r="A1403" s="3" t="s">
        <v>3713</v>
      </c>
      <c r="B1403" s="3" t="s">
        <v>3714</v>
      </c>
      <c r="C1403" s="3" t="s">
        <v>3715</v>
      </c>
      <c r="D1403" s="3" t="s">
        <v>3716</v>
      </c>
      <c r="E1403" s="3" t="s">
        <v>120</v>
      </c>
      <c r="F1403" s="3">
        <v>23.98</v>
      </c>
      <c r="G1403" s="3" t="s">
        <v>121</v>
      </c>
      <c r="H1403" s="3"/>
      <c r="I1403" s="3" t="s">
        <v>122</v>
      </c>
      <c r="J1403" s="3">
        <v>0</v>
      </c>
      <c r="K1403" s="3">
        <v>0</v>
      </c>
      <c r="L1403" s="3">
        <v>0</v>
      </c>
      <c r="M1403" s="3">
        <v>0</v>
      </c>
      <c r="N1403" s="3">
        <v>0</v>
      </c>
      <c r="O1403" s="3">
        <v>0.09</v>
      </c>
      <c r="P1403" s="3">
        <v>0</v>
      </c>
      <c r="Q1403" s="3">
        <v>0</v>
      </c>
      <c r="R1403" s="3">
        <v>0</v>
      </c>
    </row>
    <row r="1404" spans="1:18">
      <c r="A1404" s="3" t="s">
        <v>3717</v>
      </c>
      <c r="B1404" s="3" t="s">
        <v>3718</v>
      </c>
      <c r="C1404" s="3" t="s">
        <v>3719</v>
      </c>
      <c r="D1404" s="3" t="s">
        <v>3720</v>
      </c>
      <c r="E1404" s="3" t="s">
        <v>120</v>
      </c>
      <c r="F1404" s="3">
        <v>23.98</v>
      </c>
      <c r="G1404" s="3" t="s">
        <v>121</v>
      </c>
      <c r="H1404" s="3"/>
      <c r="I1404" s="3" t="s">
        <v>122</v>
      </c>
      <c r="J1404" s="3">
        <v>0</v>
      </c>
      <c r="K1404" s="3">
        <v>0</v>
      </c>
      <c r="L1404" s="3">
        <v>0</v>
      </c>
      <c r="M1404" s="3">
        <v>0</v>
      </c>
      <c r="N1404" s="3">
        <v>0</v>
      </c>
      <c r="O1404" s="3">
        <v>0.09</v>
      </c>
      <c r="P1404" s="3">
        <v>0</v>
      </c>
      <c r="Q1404" s="3">
        <v>0</v>
      </c>
      <c r="R1404" s="3">
        <v>0</v>
      </c>
    </row>
    <row r="1405" spans="1:18">
      <c r="A1405" s="3" t="s">
        <v>3721</v>
      </c>
      <c r="B1405" s="3" t="s">
        <v>3722</v>
      </c>
      <c r="C1405" s="3" t="s">
        <v>3723</v>
      </c>
      <c r="D1405" s="3" t="s">
        <v>3724</v>
      </c>
      <c r="E1405" s="3" t="s">
        <v>120</v>
      </c>
      <c r="F1405" s="3">
        <v>23.98</v>
      </c>
      <c r="G1405" s="3" t="s">
        <v>121</v>
      </c>
      <c r="H1405" s="3"/>
      <c r="I1405" s="3" t="s">
        <v>122</v>
      </c>
      <c r="J1405" s="3">
        <v>0</v>
      </c>
      <c r="K1405" s="3">
        <v>0</v>
      </c>
      <c r="L1405" s="3">
        <v>0</v>
      </c>
      <c r="M1405" s="3">
        <v>0</v>
      </c>
      <c r="N1405" s="3">
        <v>0</v>
      </c>
      <c r="O1405" s="3">
        <v>0.09</v>
      </c>
      <c r="P1405" s="3">
        <v>0</v>
      </c>
      <c r="Q1405" s="3">
        <v>0</v>
      </c>
      <c r="R1405" s="3">
        <v>0</v>
      </c>
    </row>
    <row r="1406" spans="1:18">
      <c r="A1406" s="3" t="s">
        <v>3725</v>
      </c>
      <c r="B1406" s="3" t="s">
        <v>3726</v>
      </c>
      <c r="C1406" s="3" t="s">
        <v>3727</v>
      </c>
      <c r="D1406" s="3" t="s">
        <v>3728</v>
      </c>
      <c r="E1406" s="3" t="s">
        <v>120</v>
      </c>
      <c r="F1406" s="3">
        <v>23.98</v>
      </c>
      <c r="G1406" s="3" t="s">
        <v>121</v>
      </c>
      <c r="H1406" s="3"/>
      <c r="I1406" s="3" t="s">
        <v>122</v>
      </c>
      <c r="J1406" s="3">
        <v>0</v>
      </c>
      <c r="K1406" s="3">
        <v>0</v>
      </c>
      <c r="L1406" s="3">
        <v>0</v>
      </c>
      <c r="M1406" s="3">
        <v>0</v>
      </c>
      <c r="N1406" s="3">
        <v>0</v>
      </c>
      <c r="O1406" s="3">
        <v>0.09</v>
      </c>
      <c r="P1406" s="3">
        <v>0</v>
      </c>
      <c r="Q1406" s="3">
        <v>0</v>
      </c>
      <c r="R1406" s="3">
        <v>0</v>
      </c>
    </row>
    <row r="1407" spans="1:18">
      <c r="A1407" s="3" t="s">
        <v>3729</v>
      </c>
      <c r="B1407" s="3" t="s">
        <v>3730</v>
      </c>
      <c r="C1407" s="3" t="s">
        <v>3731</v>
      </c>
      <c r="D1407" s="3" t="s">
        <v>3732</v>
      </c>
      <c r="E1407" s="3" t="s">
        <v>120</v>
      </c>
      <c r="F1407" s="3">
        <v>23.98</v>
      </c>
      <c r="G1407" s="3" t="s">
        <v>121</v>
      </c>
      <c r="H1407" s="3"/>
      <c r="I1407" s="3" t="s">
        <v>122</v>
      </c>
      <c r="J1407" s="3">
        <v>0</v>
      </c>
      <c r="K1407" s="3">
        <v>0</v>
      </c>
      <c r="L1407" s="3">
        <v>0</v>
      </c>
      <c r="M1407" s="3">
        <v>0</v>
      </c>
      <c r="N1407" s="3">
        <v>0</v>
      </c>
      <c r="O1407" s="3">
        <v>0.09</v>
      </c>
      <c r="P1407" s="3">
        <v>0</v>
      </c>
      <c r="Q1407" s="3">
        <v>0</v>
      </c>
      <c r="R1407" s="3">
        <v>0</v>
      </c>
    </row>
    <row r="1408" spans="1:18">
      <c r="A1408" s="3" t="s">
        <v>3733</v>
      </c>
      <c r="B1408" s="3" t="s">
        <v>3734</v>
      </c>
      <c r="C1408" s="3" t="s">
        <v>3735</v>
      </c>
      <c r="D1408" s="3" t="s">
        <v>3736</v>
      </c>
      <c r="E1408" s="3" t="s">
        <v>120</v>
      </c>
      <c r="F1408" s="3">
        <v>23.98</v>
      </c>
      <c r="G1408" s="3" t="s">
        <v>121</v>
      </c>
      <c r="H1408" s="3"/>
      <c r="I1408" s="3" t="s">
        <v>122</v>
      </c>
      <c r="J1408" s="3">
        <v>0</v>
      </c>
      <c r="K1408" s="3">
        <v>0</v>
      </c>
      <c r="L1408" s="3">
        <v>0</v>
      </c>
      <c r="M1408" s="3">
        <v>0</v>
      </c>
      <c r="N1408" s="3">
        <v>0</v>
      </c>
      <c r="O1408" s="3">
        <v>0.09</v>
      </c>
      <c r="P1408" s="3">
        <v>0</v>
      </c>
      <c r="Q1408" s="3">
        <v>0</v>
      </c>
      <c r="R1408" s="3">
        <v>0</v>
      </c>
    </row>
    <row r="1409" spans="1:18">
      <c r="A1409" s="3" t="s">
        <v>3737</v>
      </c>
      <c r="B1409" s="3" t="s">
        <v>3738</v>
      </c>
      <c r="C1409" s="3" t="s">
        <v>3739</v>
      </c>
      <c r="D1409" s="3" t="s">
        <v>3740</v>
      </c>
      <c r="E1409" s="3" t="s">
        <v>120</v>
      </c>
      <c r="F1409" s="3">
        <v>23.98</v>
      </c>
      <c r="G1409" s="3" t="s">
        <v>121</v>
      </c>
      <c r="H1409" s="3"/>
      <c r="I1409" s="3" t="s">
        <v>122</v>
      </c>
      <c r="J1409" s="3">
        <v>0</v>
      </c>
      <c r="K1409" s="3">
        <v>0</v>
      </c>
      <c r="L1409" s="3">
        <v>0</v>
      </c>
      <c r="M1409" s="3">
        <v>0</v>
      </c>
      <c r="N1409" s="3">
        <v>0</v>
      </c>
      <c r="O1409" s="3">
        <v>0.09</v>
      </c>
      <c r="P1409" s="3">
        <v>0</v>
      </c>
      <c r="Q1409" s="3">
        <v>0</v>
      </c>
      <c r="R1409" s="3">
        <v>0</v>
      </c>
    </row>
    <row r="1410" spans="1:18">
      <c r="A1410" s="3" t="s">
        <v>3741</v>
      </c>
      <c r="B1410" s="3" t="s">
        <v>3742</v>
      </c>
      <c r="C1410" s="3" t="s">
        <v>3743</v>
      </c>
      <c r="D1410" s="3" t="s">
        <v>3744</v>
      </c>
      <c r="E1410" s="3" t="s">
        <v>120</v>
      </c>
      <c r="F1410" s="3">
        <v>23.98</v>
      </c>
      <c r="G1410" s="3" t="s">
        <v>121</v>
      </c>
      <c r="H1410" s="3"/>
      <c r="I1410" s="3" t="s">
        <v>122</v>
      </c>
      <c r="J1410" s="3">
        <v>0</v>
      </c>
      <c r="K1410" s="3">
        <v>0</v>
      </c>
      <c r="L1410" s="3">
        <v>0</v>
      </c>
      <c r="M1410" s="3">
        <v>0</v>
      </c>
      <c r="N1410" s="3">
        <v>0</v>
      </c>
      <c r="O1410" s="3">
        <v>0.09</v>
      </c>
      <c r="P1410" s="3">
        <v>0</v>
      </c>
      <c r="Q1410" s="3">
        <v>0</v>
      </c>
      <c r="R1410" s="3">
        <v>0</v>
      </c>
    </row>
    <row r="1411" spans="1:18">
      <c r="A1411" s="3" t="s">
        <v>3745</v>
      </c>
      <c r="B1411" s="3" t="s">
        <v>3746</v>
      </c>
      <c r="C1411" s="3" t="s">
        <v>3747</v>
      </c>
      <c r="D1411" s="3" t="s">
        <v>3748</v>
      </c>
      <c r="E1411" s="3" t="s">
        <v>120</v>
      </c>
      <c r="F1411" s="3">
        <v>23.98</v>
      </c>
      <c r="G1411" s="3" t="s">
        <v>121</v>
      </c>
      <c r="H1411" s="3"/>
      <c r="I1411" s="3" t="s">
        <v>122</v>
      </c>
      <c r="J1411" s="3">
        <v>0</v>
      </c>
      <c r="K1411" s="3">
        <v>0</v>
      </c>
      <c r="L1411" s="3">
        <v>0</v>
      </c>
      <c r="M1411" s="3">
        <v>0</v>
      </c>
      <c r="N1411" s="3">
        <v>0</v>
      </c>
      <c r="O1411" s="3">
        <v>0.09</v>
      </c>
      <c r="P1411" s="3">
        <v>0</v>
      </c>
      <c r="Q1411" s="3">
        <v>0</v>
      </c>
      <c r="R1411" s="3">
        <v>0</v>
      </c>
    </row>
    <row r="1412" spans="1:18">
      <c r="A1412" s="3" t="s">
        <v>3749</v>
      </c>
      <c r="B1412" s="3" t="s">
        <v>3750</v>
      </c>
      <c r="C1412" s="3" t="s">
        <v>3751</v>
      </c>
      <c r="D1412" s="3" t="s">
        <v>3752</v>
      </c>
      <c r="E1412" s="3" t="s">
        <v>120</v>
      </c>
      <c r="F1412" s="3">
        <v>23.98</v>
      </c>
      <c r="G1412" s="3" t="s">
        <v>121</v>
      </c>
      <c r="H1412" s="3"/>
      <c r="I1412" s="3" t="s">
        <v>122</v>
      </c>
      <c r="J1412" s="3">
        <v>0</v>
      </c>
      <c r="K1412" s="3">
        <v>0</v>
      </c>
      <c r="L1412" s="3">
        <v>0</v>
      </c>
      <c r="M1412" s="3">
        <v>0</v>
      </c>
      <c r="N1412" s="3">
        <v>0</v>
      </c>
      <c r="O1412" s="3">
        <v>0.09</v>
      </c>
      <c r="P1412" s="3">
        <v>0</v>
      </c>
      <c r="Q1412" s="3">
        <v>0</v>
      </c>
      <c r="R1412" s="3">
        <v>0</v>
      </c>
    </row>
    <row r="1413" spans="1:18">
      <c r="A1413" s="3" t="s">
        <v>3753</v>
      </c>
      <c r="B1413" s="3" t="s">
        <v>3754</v>
      </c>
      <c r="C1413" s="3" t="s">
        <v>3755</v>
      </c>
      <c r="D1413" s="3" t="s">
        <v>3756</v>
      </c>
      <c r="E1413" s="3" t="s">
        <v>120</v>
      </c>
      <c r="F1413" s="3">
        <v>23.98</v>
      </c>
      <c r="G1413" s="3" t="s">
        <v>121</v>
      </c>
      <c r="H1413" s="3"/>
      <c r="I1413" s="3" t="s">
        <v>122</v>
      </c>
      <c r="J1413" s="3">
        <v>0</v>
      </c>
      <c r="K1413" s="3">
        <v>0</v>
      </c>
      <c r="L1413" s="3">
        <v>0</v>
      </c>
      <c r="M1413" s="3">
        <v>0</v>
      </c>
      <c r="N1413" s="3">
        <v>0</v>
      </c>
      <c r="O1413" s="3">
        <v>0.09</v>
      </c>
      <c r="P1413" s="3">
        <v>0</v>
      </c>
      <c r="Q1413" s="3">
        <v>0</v>
      </c>
      <c r="R1413" s="3">
        <v>0</v>
      </c>
    </row>
    <row r="1414" spans="1:18">
      <c r="A1414" s="3" t="s">
        <v>3757</v>
      </c>
      <c r="B1414" s="3" t="s">
        <v>3758</v>
      </c>
      <c r="C1414" s="3" t="s">
        <v>3759</v>
      </c>
      <c r="D1414" s="3" t="s">
        <v>3760</v>
      </c>
      <c r="E1414" s="3" t="s">
        <v>120</v>
      </c>
      <c r="F1414" s="3">
        <v>23.98</v>
      </c>
      <c r="G1414" s="3" t="s">
        <v>121</v>
      </c>
      <c r="H1414" s="3"/>
      <c r="I1414" s="3" t="s">
        <v>122</v>
      </c>
      <c r="J1414" s="3">
        <v>0</v>
      </c>
      <c r="K1414" s="3">
        <v>0</v>
      </c>
      <c r="L1414" s="3">
        <v>0</v>
      </c>
      <c r="M1414" s="3">
        <v>0</v>
      </c>
      <c r="N1414" s="3">
        <v>0</v>
      </c>
      <c r="O1414" s="3">
        <v>0.09</v>
      </c>
      <c r="P1414" s="3">
        <v>0</v>
      </c>
      <c r="Q1414" s="3">
        <v>0</v>
      </c>
      <c r="R1414" s="3">
        <v>0</v>
      </c>
    </row>
    <row r="1415" spans="1:18">
      <c r="A1415" s="3" t="s">
        <v>3761</v>
      </c>
      <c r="B1415" s="3" t="s">
        <v>3762</v>
      </c>
      <c r="C1415" s="3" t="s">
        <v>3763</v>
      </c>
      <c r="D1415" s="3" t="s">
        <v>3764</v>
      </c>
      <c r="E1415" s="3" t="s">
        <v>120</v>
      </c>
      <c r="F1415" s="3">
        <v>23.98</v>
      </c>
      <c r="G1415" s="3" t="s">
        <v>121</v>
      </c>
      <c r="H1415" s="3"/>
      <c r="I1415" s="3" t="s">
        <v>122</v>
      </c>
      <c r="J1415" s="3">
        <v>0</v>
      </c>
      <c r="K1415" s="3">
        <v>0</v>
      </c>
      <c r="L1415" s="3">
        <v>0</v>
      </c>
      <c r="M1415" s="3">
        <v>0</v>
      </c>
      <c r="N1415" s="3">
        <v>0</v>
      </c>
      <c r="O1415" s="3">
        <v>0.09</v>
      </c>
      <c r="P1415" s="3">
        <v>0</v>
      </c>
      <c r="Q1415" s="3">
        <v>0</v>
      </c>
      <c r="R1415" s="3">
        <v>0</v>
      </c>
    </row>
    <row r="1416" spans="1:18">
      <c r="A1416" s="3" t="s">
        <v>3765</v>
      </c>
      <c r="B1416" s="3" t="s">
        <v>3766</v>
      </c>
      <c r="C1416" s="3" t="s">
        <v>3767</v>
      </c>
      <c r="D1416" s="3" t="s">
        <v>3768</v>
      </c>
      <c r="E1416" s="3" t="s">
        <v>120</v>
      </c>
      <c r="F1416" s="3">
        <v>23.98</v>
      </c>
      <c r="G1416" s="3" t="s">
        <v>121</v>
      </c>
      <c r="H1416" s="3"/>
      <c r="I1416" s="3" t="s">
        <v>122</v>
      </c>
      <c r="J1416" s="3">
        <v>0</v>
      </c>
      <c r="K1416" s="3">
        <v>0</v>
      </c>
      <c r="L1416" s="3">
        <v>0</v>
      </c>
      <c r="M1416" s="3">
        <v>0</v>
      </c>
      <c r="N1416" s="3">
        <v>0</v>
      </c>
      <c r="O1416" s="3">
        <v>0.09</v>
      </c>
      <c r="P1416" s="3">
        <v>0</v>
      </c>
      <c r="Q1416" s="3">
        <v>0</v>
      </c>
      <c r="R1416" s="3">
        <v>0</v>
      </c>
    </row>
    <row r="1417" spans="1:18">
      <c r="A1417" s="3" t="s">
        <v>3769</v>
      </c>
      <c r="B1417" s="3" t="s">
        <v>3770</v>
      </c>
      <c r="C1417" s="3" t="s">
        <v>3771</v>
      </c>
      <c r="D1417" s="3" t="s">
        <v>3772</v>
      </c>
      <c r="E1417" s="3" t="s">
        <v>120</v>
      </c>
      <c r="F1417" s="3">
        <v>23.98</v>
      </c>
      <c r="G1417" s="3" t="s">
        <v>121</v>
      </c>
      <c r="H1417" s="3"/>
      <c r="I1417" s="3" t="s">
        <v>122</v>
      </c>
      <c r="J1417" s="3">
        <v>0</v>
      </c>
      <c r="K1417" s="3">
        <v>0</v>
      </c>
      <c r="L1417" s="3">
        <v>0</v>
      </c>
      <c r="M1417" s="3">
        <v>0</v>
      </c>
      <c r="N1417" s="3">
        <v>0</v>
      </c>
      <c r="O1417" s="3">
        <v>0.09</v>
      </c>
      <c r="P1417" s="3">
        <v>0</v>
      </c>
      <c r="Q1417" s="3">
        <v>0</v>
      </c>
      <c r="R1417" s="3">
        <v>0</v>
      </c>
    </row>
    <row r="1418" spans="1:18">
      <c r="A1418" s="3" t="s">
        <v>3773</v>
      </c>
      <c r="B1418" s="3" t="s">
        <v>3774</v>
      </c>
      <c r="C1418" s="3" t="s">
        <v>3775</v>
      </c>
      <c r="D1418" s="3" t="s">
        <v>3776</v>
      </c>
      <c r="E1418" s="3" t="s">
        <v>120</v>
      </c>
      <c r="F1418" s="3">
        <v>23.98</v>
      </c>
      <c r="G1418" s="3" t="s">
        <v>121</v>
      </c>
      <c r="H1418" s="3"/>
      <c r="I1418" s="3" t="s">
        <v>122</v>
      </c>
      <c r="J1418" s="3">
        <v>0</v>
      </c>
      <c r="K1418" s="3">
        <v>0</v>
      </c>
      <c r="L1418" s="3">
        <v>0</v>
      </c>
      <c r="M1418" s="3">
        <v>0</v>
      </c>
      <c r="N1418" s="3">
        <v>0</v>
      </c>
      <c r="O1418" s="3">
        <v>0.09</v>
      </c>
      <c r="P1418" s="3">
        <v>0</v>
      </c>
      <c r="Q1418" s="3">
        <v>0</v>
      </c>
      <c r="R1418" s="3">
        <v>0</v>
      </c>
    </row>
    <row r="1419" spans="1:18">
      <c r="A1419" s="3" t="s">
        <v>3777</v>
      </c>
      <c r="B1419" s="3" t="s">
        <v>3778</v>
      </c>
      <c r="C1419" s="3" t="s">
        <v>3779</v>
      </c>
      <c r="D1419" s="3" t="s">
        <v>3780</v>
      </c>
      <c r="E1419" s="3" t="s">
        <v>120</v>
      </c>
      <c r="F1419" s="3">
        <v>23.98</v>
      </c>
      <c r="G1419" s="3" t="s">
        <v>121</v>
      </c>
      <c r="H1419" s="3"/>
      <c r="I1419" s="3" t="s">
        <v>122</v>
      </c>
      <c r="J1419" s="3">
        <v>0</v>
      </c>
      <c r="K1419" s="3">
        <v>0</v>
      </c>
      <c r="L1419" s="3">
        <v>0</v>
      </c>
      <c r="M1419" s="3">
        <v>0</v>
      </c>
      <c r="N1419" s="3">
        <v>0</v>
      </c>
      <c r="O1419" s="3">
        <v>0.09</v>
      </c>
      <c r="P1419" s="3">
        <v>0</v>
      </c>
      <c r="Q1419" s="3">
        <v>0</v>
      </c>
      <c r="R1419" s="3">
        <v>0</v>
      </c>
    </row>
    <row r="1420" spans="1:18">
      <c r="A1420" s="3" t="s">
        <v>3781</v>
      </c>
      <c r="B1420" s="3" t="s">
        <v>3782</v>
      </c>
      <c r="C1420" s="3" t="s">
        <v>3783</v>
      </c>
      <c r="D1420" s="3" t="s">
        <v>3784</v>
      </c>
      <c r="E1420" s="3" t="s">
        <v>120</v>
      </c>
      <c r="F1420" s="3">
        <v>23.98</v>
      </c>
      <c r="G1420" s="3" t="s">
        <v>121</v>
      </c>
      <c r="H1420" s="3"/>
      <c r="I1420" s="3" t="s">
        <v>122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0.09</v>
      </c>
      <c r="P1420" s="3">
        <v>0</v>
      </c>
      <c r="Q1420" s="3">
        <v>0</v>
      </c>
      <c r="R1420" s="3">
        <v>0</v>
      </c>
    </row>
    <row r="1421" spans="1:18">
      <c r="A1421" s="3" t="s">
        <v>3785</v>
      </c>
      <c r="B1421" s="3" t="s">
        <v>3786</v>
      </c>
      <c r="C1421" s="3" t="s">
        <v>3787</v>
      </c>
      <c r="D1421" s="3" t="s">
        <v>3788</v>
      </c>
      <c r="E1421" s="3" t="s">
        <v>120</v>
      </c>
      <c r="F1421" s="3">
        <v>23.98</v>
      </c>
      <c r="G1421" s="3" t="s">
        <v>121</v>
      </c>
      <c r="H1421" s="3"/>
      <c r="I1421" s="3" t="s">
        <v>122</v>
      </c>
      <c r="J1421" s="3">
        <v>0</v>
      </c>
      <c r="K1421" s="3">
        <v>0</v>
      </c>
      <c r="L1421" s="3">
        <v>0</v>
      </c>
      <c r="M1421" s="3">
        <v>0</v>
      </c>
      <c r="N1421" s="3">
        <v>0</v>
      </c>
      <c r="O1421" s="3">
        <v>0.09</v>
      </c>
      <c r="P1421" s="3">
        <v>0</v>
      </c>
      <c r="Q1421" s="3">
        <v>0</v>
      </c>
      <c r="R1421" s="3">
        <v>0</v>
      </c>
    </row>
    <row r="1422" spans="1:18">
      <c r="A1422" s="3" t="s">
        <v>3789</v>
      </c>
      <c r="B1422" s="3" t="s">
        <v>3790</v>
      </c>
      <c r="C1422" s="3" t="s">
        <v>3791</v>
      </c>
      <c r="D1422" s="3" t="s">
        <v>3792</v>
      </c>
      <c r="E1422" s="3" t="s">
        <v>120</v>
      </c>
      <c r="F1422" s="3">
        <v>23.98</v>
      </c>
      <c r="G1422" s="3" t="s">
        <v>121</v>
      </c>
      <c r="H1422" s="3"/>
      <c r="I1422" s="3" t="s">
        <v>122</v>
      </c>
      <c r="J1422" s="3">
        <v>0</v>
      </c>
      <c r="K1422" s="3">
        <v>0</v>
      </c>
      <c r="L1422" s="3">
        <v>0</v>
      </c>
      <c r="M1422" s="3">
        <v>0</v>
      </c>
      <c r="N1422" s="3">
        <v>0</v>
      </c>
      <c r="O1422" s="3">
        <v>0.09</v>
      </c>
      <c r="P1422" s="3">
        <v>0</v>
      </c>
      <c r="Q1422" s="3">
        <v>0</v>
      </c>
      <c r="R1422" s="3">
        <v>0</v>
      </c>
    </row>
    <row r="1423" spans="1:18">
      <c r="A1423" s="3" t="s">
        <v>3793</v>
      </c>
      <c r="B1423" s="3" t="s">
        <v>3794</v>
      </c>
      <c r="C1423" s="3" t="s">
        <v>3795</v>
      </c>
      <c r="D1423" s="3" t="s">
        <v>3796</v>
      </c>
      <c r="E1423" s="3" t="s">
        <v>120</v>
      </c>
      <c r="F1423" s="3">
        <v>23.98</v>
      </c>
      <c r="G1423" s="3" t="s">
        <v>121</v>
      </c>
      <c r="H1423" s="3"/>
      <c r="I1423" s="3" t="s">
        <v>122</v>
      </c>
      <c r="J1423" s="3">
        <v>0</v>
      </c>
      <c r="K1423" s="3">
        <v>0</v>
      </c>
      <c r="L1423" s="3">
        <v>0</v>
      </c>
      <c r="M1423" s="3">
        <v>0</v>
      </c>
      <c r="N1423" s="3">
        <v>0</v>
      </c>
      <c r="O1423" s="3">
        <v>0.09</v>
      </c>
      <c r="P1423" s="3">
        <v>0</v>
      </c>
      <c r="Q1423" s="3">
        <v>0</v>
      </c>
      <c r="R1423" s="3">
        <v>0</v>
      </c>
    </row>
    <row r="1424" spans="1:18">
      <c r="A1424" s="3" t="s">
        <v>3797</v>
      </c>
      <c r="B1424" s="3" t="s">
        <v>3798</v>
      </c>
      <c r="C1424" s="3" t="s">
        <v>3799</v>
      </c>
      <c r="D1424" s="3" t="s">
        <v>3800</v>
      </c>
      <c r="E1424" s="3" t="s">
        <v>120</v>
      </c>
      <c r="F1424" s="3">
        <v>23.98</v>
      </c>
      <c r="G1424" s="3" t="s">
        <v>121</v>
      </c>
      <c r="H1424" s="3"/>
      <c r="I1424" s="3" t="s">
        <v>122</v>
      </c>
      <c r="J1424" s="3">
        <v>0</v>
      </c>
      <c r="K1424" s="3">
        <v>0</v>
      </c>
      <c r="L1424" s="3">
        <v>0</v>
      </c>
      <c r="M1424" s="3">
        <v>0</v>
      </c>
      <c r="N1424" s="3">
        <v>0</v>
      </c>
      <c r="O1424" s="3">
        <v>0.09</v>
      </c>
      <c r="P1424" s="3">
        <v>0</v>
      </c>
      <c r="Q1424" s="3">
        <v>0</v>
      </c>
      <c r="R1424" s="3">
        <v>0</v>
      </c>
    </row>
    <row r="1425" spans="1:18">
      <c r="A1425" s="3" t="s">
        <v>3801</v>
      </c>
      <c r="B1425" s="3" t="s">
        <v>3802</v>
      </c>
      <c r="C1425" s="3" t="s">
        <v>3803</v>
      </c>
      <c r="D1425" s="3" t="s">
        <v>3804</v>
      </c>
      <c r="E1425" s="3" t="s">
        <v>120</v>
      </c>
      <c r="F1425" s="3">
        <v>23.98</v>
      </c>
      <c r="G1425" s="3" t="s">
        <v>121</v>
      </c>
      <c r="H1425" s="3"/>
      <c r="I1425" s="3" t="s">
        <v>122</v>
      </c>
      <c r="J1425" s="3">
        <v>0</v>
      </c>
      <c r="K1425" s="3">
        <v>0</v>
      </c>
      <c r="L1425" s="3">
        <v>0</v>
      </c>
      <c r="M1425" s="3">
        <v>0</v>
      </c>
      <c r="N1425" s="3">
        <v>0</v>
      </c>
      <c r="O1425" s="3">
        <v>0.09</v>
      </c>
      <c r="P1425" s="3">
        <v>0</v>
      </c>
      <c r="Q1425" s="3">
        <v>0</v>
      </c>
      <c r="R1425" s="3">
        <v>0</v>
      </c>
    </row>
    <row r="1426" spans="1:18">
      <c r="A1426" s="3" t="s">
        <v>3805</v>
      </c>
      <c r="B1426" s="3" t="s">
        <v>3806</v>
      </c>
      <c r="C1426" s="3" t="s">
        <v>3807</v>
      </c>
      <c r="D1426" s="3" t="s">
        <v>3808</v>
      </c>
      <c r="E1426" s="3" t="s">
        <v>120</v>
      </c>
      <c r="F1426" s="3">
        <v>23.98</v>
      </c>
      <c r="G1426" s="3" t="s">
        <v>121</v>
      </c>
      <c r="H1426" s="3"/>
      <c r="I1426" s="3" t="s">
        <v>122</v>
      </c>
      <c r="J1426" s="3">
        <v>0</v>
      </c>
      <c r="K1426" s="3">
        <v>0</v>
      </c>
      <c r="L1426" s="3">
        <v>0</v>
      </c>
      <c r="M1426" s="3">
        <v>0</v>
      </c>
      <c r="N1426" s="3">
        <v>0</v>
      </c>
      <c r="O1426" s="3">
        <v>0.09</v>
      </c>
      <c r="P1426" s="3">
        <v>0</v>
      </c>
      <c r="Q1426" s="3">
        <v>0</v>
      </c>
      <c r="R1426" s="3">
        <v>0</v>
      </c>
    </row>
    <row r="1427" spans="1:18">
      <c r="A1427" s="3" t="s">
        <v>3809</v>
      </c>
      <c r="B1427" s="3" t="s">
        <v>3810</v>
      </c>
      <c r="C1427" s="3" t="s">
        <v>3811</v>
      </c>
      <c r="D1427" s="3" t="s">
        <v>3812</v>
      </c>
      <c r="E1427" s="3" t="s">
        <v>120</v>
      </c>
      <c r="F1427" s="3">
        <v>23.98</v>
      </c>
      <c r="G1427" s="3" t="s">
        <v>121</v>
      </c>
      <c r="H1427" s="3"/>
      <c r="I1427" s="3" t="s">
        <v>122</v>
      </c>
      <c r="J1427" s="3">
        <v>0</v>
      </c>
      <c r="K1427" s="3">
        <v>0</v>
      </c>
      <c r="L1427" s="3">
        <v>0</v>
      </c>
      <c r="M1427" s="3">
        <v>0</v>
      </c>
      <c r="N1427" s="3">
        <v>0</v>
      </c>
      <c r="O1427" s="3">
        <v>0.09</v>
      </c>
      <c r="P1427" s="3">
        <v>0</v>
      </c>
      <c r="Q1427" s="3">
        <v>0</v>
      </c>
      <c r="R1427" s="3">
        <v>0</v>
      </c>
    </row>
    <row r="1428" spans="1:18">
      <c r="A1428" s="3" t="s">
        <v>3813</v>
      </c>
      <c r="B1428" s="3" t="s">
        <v>3814</v>
      </c>
      <c r="C1428" s="3" t="s">
        <v>3815</v>
      </c>
      <c r="D1428" s="3" t="s">
        <v>3816</v>
      </c>
      <c r="E1428" s="3" t="s">
        <v>120</v>
      </c>
      <c r="F1428" s="3">
        <v>23.98</v>
      </c>
      <c r="G1428" s="3" t="s">
        <v>121</v>
      </c>
      <c r="H1428" s="3"/>
      <c r="I1428" s="3" t="s">
        <v>122</v>
      </c>
      <c r="J1428" s="3">
        <v>0</v>
      </c>
      <c r="K1428" s="3">
        <v>0</v>
      </c>
      <c r="L1428" s="3">
        <v>0</v>
      </c>
      <c r="M1428" s="3">
        <v>0</v>
      </c>
      <c r="N1428" s="3">
        <v>0</v>
      </c>
      <c r="O1428" s="3">
        <v>0.09</v>
      </c>
      <c r="P1428" s="3">
        <v>0</v>
      </c>
      <c r="Q1428" s="3">
        <v>0</v>
      </c>
      <c r="R1428" s="3">
        <v>0</v>
      </c>
    </row>
    <row r="1429" spans="1:18">
      <c r="A1429" s="3" t="s">
        <v>3817</v>
      </c>
      <c r="B1429" s="3" t="s">
        <v>3818</v>
      </c>
      <c r="C1429" s="3" t="s">
        <v>3819</v>
      </c>
      <c r="D1429" s="3" t="s">
        <v>3820</v>
      </c>
      <c r="E1429" s="3" t="s">
        <v>120</v>
      </c>
      <c r="F1429" s="3">
        <v>23.98</v>
      </c>
      <c r="G1429" s="3" t="s">
        <v>121</v>
      </c>
      <c r="H1429" s="3"/>
      <c r="I1429" s="3" t="s">
        <v>122</v>
      </c>
      <c r="J1429" s="3">
        <v>0</v>
      </c>
      <c r="K1429" s="3">
        <v>0</v>
      </c>
      <c r="L1429" s="3">
        <v>0</v>
      </c>
      <c r="M1429" s="3">
        <v>0</v>
      </c>
      <c r="N1429" s="3">
        <v>0</v>
      </c>
      <c r="O1429" s="3">
        <v>0.09</v>
      </c>
      <c r="P1429" s="3">
        <v>0</v>
      </c>
      <c r="Q1429" s="3">
        <v>0</v>
      </c>
      <c r="R1429" s="3">
        <v>0</v>
      </c>
    </row>
    <row r="1430" spans="1:18">
      <c r="A1430" s="3" t="s">
        <v>3821</v>
      </c>
      <c r="B1430" s="3" t="s">
        <v>3822</v>
      </c>
      <c r="C1430" s="3" t="s">
        <v>3823</v>
      </c>
      <c r="D1430" s="3" t="s">
        <v>3824</v>
      </c>
      <c r="E1430" s="3" t="s">
        <v>120</v>
      </c>
      <c r="F1430" s="3">
        <v>23.98</v>
      </c>
      <c r="G1430" s="3" t="s">
        <v>121</v>
      </c>
      <c r="H1430" s="3"/>
      <c r="I1430" s="3" t="s">
        <v>122</v>
      </c>
      <c r="J1430" s="3">
        <v>0</v>
      </c>
      <c r="K1430" s="3">
        <v>0</v>
      </c>
      <c r="L1430" s="3">
        <v>0</v>
      </c>
      <c r="M1430" s="3">
        <v>0</v>
      </c>
      <c r="N1430" s="3">
        <v>0</v>
      </c>
      <c r="O1430" s="3">
        <v>0.09</v>
      </c>
      <c r="P1430" s="3">
        <v>0</v>
      </c>
      <c r="Q1430" s="3">
        <v>0</v>
      </c>
      <c r="R1430" s="3">
        <v>0</v>
      </c>
    </row>
    <row r="1431" spans="1:18">
      <c r="A1431" s="3" t="s">
        <v>3825</v>
      </c>
      <c r="B1431" s="3" t="s">
        <v>3826</v>
      </c>
      <c r="C1431" s="3" t="s">
        <v>3827</v>
      </c>
      <c r="D1431" s="3" t="s">
        <v>3828</v>
      </c>
      <c r="E1431" s="3" t="s">
        <v>120</v>
      </c>
      <c r="F1431" s="3">
        <v>23.98</v>
      </c>
      <c r="G1431" s="3" t="s">
        <v>121</v>
      </c>
      <c r="H1431" s="3"/>
      <c r="I1431" s="3" t="s">
        <v>122</v>
      </c>
      <c r="J1431" s="3">
        <v>0</v>
      </c>
      <c r="K1431" s="3">
        <v>0</v>
      </c>
      <c r="L1431" s="3">
        <v>0</v>
      </c>
      <c r="M1431" s="3">
        <v>0</v>
      </c>
      <c r="N1431" s="3">
        <v>0</v>
      </c>
      <c r="O1431" s="3">
        <v>0.09</v>
      </c>
      <c r="P1431" s="3">
        <v>0</v>
      </c>
      <c r="Q1431" s="3">
        <v>0</v>
      </c>
      <c r="R1431" s="3">
        <v>0</v>
      </c>
    </row>
    <row r="1432" spans="1:18">
      <c r="A1432" s="3" t="s">
        <v>3829</v>
      </c>
      <c r="B1432" s="3" t="s">
        <v>3830</v>
      </c>
      <c r="C1432" s="3" t="s">
        <v>3831</v>
      </c>
      <c r="D1432" s="3" t="s">
        <v>3832</v>
      </c>
      <c r="E1432" s="3" t="s">
        <v>120</v>
      </c>
      <c r="F1432" s="3">
        <v>23.98</v>
      </c>
      <c r="G1432" s="3" t="s">
        <v>121</v>
      </c>
      <c r="H1432" s="3"/>
      <c r="I1432" s="3" t="s">
        <v>122</v>
      </c>
      <c r="J1432" s="3">
        <v>0</v>
      </c>
      <c r="K1432" s="3">
        <v>0</v>
      </c>
      <c r="L1432" s="3">
        <v>0</v>
      </c>
      <c r="M1432" s="3">
        <v>0</v>
      </c>
      <c r="N1432" s="3">
        <v>0</v>
      </c>
      <c r="O1432" s="3">
        <v>0.02</v>
      </c>
      <c r="P1432" s="3">
        <v>0</v>
      </c>
      <c r="Q1432" s="3">
        <v>0</v>
      </c>
      <c r="R1432" s="3">
        <v>0</v>
      </c>
    </row>
    <row r="1433" spans="1:18">
      <c r="A1433" s="3" t="s">
        <v>3833</v>
      </c>
      <c r="B1433" s="3" t="s">
        <v>3834</v>
      </c>
      <c r="C1433" s="3" t="s">
        <v>3835</v>
      </c>
      <c r="D1433" s="3" t="s">
        <v>3836</v>
      </c>
      <c r="E1433" s="3" t="s">
        <v>120</v>
      </c>
      <c r="F1433" s="3">
        <v>23.98</v>
      </c>
      <c r="G1433" s="3" t="s">
        <v>121</v>
      </c>
      <c r="H1433" s="3"/>
      <c r="I1433" s="3" t="s">
        <v>122</v>
      </c>
      <c r="J1433" s="3">
        <v>0</v>
      </c>
      <c r="K1433" s="3">
        <v>0</v>
      </c>
      <c r="L1433" s="3">
        <v>0</v>
      </c>
      <c r="M1433" s="3">
        <v>0</v>
      </c>
      <c r="N1433" s="3">
        <v>0</v>
      </c>
      <c r="O1433" s="3">
        <v>0.02</v>
      </c>
      <c r="P1433" s="3">
        <v>0</v>
      </c>
      <c r="Q1433" s="3">
        <v>0</v>
      </c>
      <c r="R1433" s="3">
        <v>0</v>
      </c>
    </row>
    <row r="1434" spans="1:18">
      <c r="A1434" s="3" t="s">
        <v>3837</v>
      </c>
      <c r="B1434" s="3" t="s">
        <v>3838</v>
      </c>
      <c r="C1434" s="3" t="s">
        <v>3839</v>
      </c>
      <c r="D1434" s="3" t="s">
        <v>3840</v>
      </c>
      <c r="E1434" s="3" t="s">
        <v>120</v>
      </c>
      <c r="F1434" s="3">
        <v>23.98</v>
      </c>
      <c r="G1434" s="3" t="s">
        <v>121</v>
      </c>
      <c r="H1434" s="3"/>
      <c r="I1434" s="3" t="s">
        <v>122</v>
      </c>
      <c r="J1434" s="3">
        <v>0</v>
      </c>
      <c r="K1434" s="3">
        <v>0</v>
      </c>
      <c r="L1434" s="3">
        <v>0</v>
      </c>
      <c r="M1434" s="3">
        <v>0</v>
      </c>
      <c r="N1434" s="3">
        <v>0</v>
      </c>
      <c r="O1434" s="3">
        <v>0.02</v>
      </c>
      <c r="P1434" s="3">
        <v>0</v>
      </c>
      <c r="Q1434" s="3">
        <v>0</v>
      </c>
      <c r="R1434" s="3">
        <v>0</v>
      </c>
    </row>
    <row r="1435" spans="1:18">
      <c r="A1435" s="3" t="s">
        <v>3841</v>
      </c>
      <c r="B1435" s="3" t="s">
        <v>3842</v>
      </c>
      <c r="C1435" s="3" t="s">
        <v>3843</v>
      </c>
      <c r="D1435" s="3" t="s">
        <v>3844</v>
      </c>
      <c r="E1435" s="3" t="s">
        <v>120</v>
      </c>
      <c r="F1435" s="3">
        <v>23.98</v>
      </c>
      <c r="G1435" s="3" t="s">
        <v>121</v>
      </c>
      <c r="H1435" s="3"/>
      <c r="I1435" s="3" t="s">
        <v>122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0.02</v>
      </c>
      <c r="P1435" s="3">
        <v>0</v>
      </c>
      <c r="Q1435" s="3">
        <v>0</v>
      </c>
      <c r="R1435" s="3">
        <v>0</v>
      </c>
    </row>
    <row r="1436" spans="1:18">
      <c r="A1436" s="3" t="s">
        <v>3845</v>
      </c>
      <c r="B1436" s="3" t="s">
        <v>3846</v>
      </c>
      <c r="C1436" s="3" t="s">
        <v>3847</v>
      </c>
      <c r="D1436" s="3" t="s">
        <v>3848</v>
      </c>
      <c r="E1436" s="3" t="s">
        <v>120</v>
      </c>
      <c r="F1436" s="3">
        <v>23.98</v>
      </c>
      <c r="G1436" s="3" t="s">
        <v>121</v>
      </c>
      <c r="H1436" s="3"/>
      <c r="I1436" s="3" t="s">
        <v>122</v>
      </c>
      <c r="J1436" s="3">
        <v>0</v>
      </c>
      <c r="K1436" s="3">
        <v>0</v>
      </c>
      <c r="L1436" s="3">
        <v>0</v>
      </c>
      <c r="M1436" s="3">
        <v>0</v>
      </c>
      <c r="N1436" s="3">
        <v>0</v>
      </c>
      <c r="O1436" s="3">
        <v>0.02</v>
      </c>
      <c r="P1436" s="3">
        <v>0</v>
      </c>
      <c r="Q1436" s="3">
        <v>0</v>
      </c>
      <c r="R1436" s="3">
        <v>0</v>
      </c>
    </row>
    <row r="1437" spans="1:18">
      <c r="A1437" s="3" t="s">
        <v>3849</v>
      </c>
      <c r="B1437" s="3" t="s">
        <v>3850</v>
      </c>
      <c r="C1437" s="3" t="s">
        <v>3851</v>
      </c>
      <c r="D1437" s="3" t="s">
        <v>3852</v>
      </c>
      <c r="E1437" s="3" t="s">
        <v>120</v>
      </c>
      <c r="F1437" s="3">
        <v>23.98</v>
      </c>
      <c r="G1437" s="3" t="s">
        <v>121</v>
      </c>
      <c r="H1437" s="3"/>
      <c r="I1437" s="3" t="s">
        <v>122</v>
      </c>
      <c r="J1437" s="3">
        <v>0</v>
      </c>
      <c r="K1437" s="3">
        <v>0</v>
      </c>
      <c r="L1437" s="3">
        <v>0</v>
      </c>
      <c r="M1437" s="3">
        <v>0</v>
      </c>
      <c r="N1437" s="3">
        <v>0</v>
      </c>
      <c r="O1437" s="3">
        <v>0.02</v>
      </c>
      <c r="P1437" s="3">
        <v>0</v>
      </c>
      <c r="Q1437" s="3">
        <v>0</v>
      </c>
      <c r="R1437" s="3">
        <v>0</v>
      </c>
    </row>
    <row r="1438" spans="1:18">
      <c r="A1438" s="3" t="s">
        <v>3853</v>
      </c>
      <c r="B1438" s="3" t="s">
        <v>3854</v>
      </c>
      <c r="C1438" s="3" t="s">
        <v>3855</v>
      </c>
      <c r="D1438" s="3" t="s">
        <v>3856</v>
      </c>
      <c r="E1438" s="3" t="s">
        <v>120</v>
      </c>
      <c r="F1438" s="3">
        <v>23.98</v>
      </c>
      <c r="G1438" s="3" t="s">
        <v>121</v>
      </c>
      <c r="H1438" s="3"/>
      <c r="I1438" s="3" t="s">
        <v>122</v>
      </c>
      <c r="J1438" s="3">
        <v>0</v>
      </c>
      <c r="K1438" s="3">
        <v>0</v>
      </c>
      <c r="L1438" s="3">
        <v>0</v>
      </c>
      <c r="M1438" s="3">
        <v>0</v>
      </c>
      <c r="N1438" s="3">
        <v>0</v>
      </c>
      <c r="O1438" s="3">
        <v>0.02</v>
      </c>
      <c r="P1438" s="3">
        <v>0</v>
      </c>
      <c r="Q1438" s="3">
        <v>0</v>
      </c>
      <c r="R1438" s="3">
        <v>0</v>
      </c>
    </row>
    <row r="1439" spans="1:18">
      <c r="A1439" s="3" t="s">
        <v>3857</v>
      </c>
      <c r="B1439" s="3" t="s">
        <v>3858</v>
      </c>
      <c r="C1439" s="3" t="s">
        <v>3859</v>
      </c>
      <c r="D1439" s="3" t="s">
        <v>3860</v>
      </c>
      <c r="E1439" s="3" t="s">
        <v>120</v>
      </c>
      <c r="F1439" s="3">
        <v>23.98</v>
      </c>
      <c r="G1439" s="3" t="s">
        <v>121</v>
      </c>
      <c r="H1439" s="3"/>
      <c r="I1439" s="3" t="s">
        <v>122</v>
      </c>
      <c r="J1439" s="3">
        <v>0</v>
      </c>
      <c r="K1439" s="3">
        <v>0</v>
      </c>
      <c r="L1439" s="3">
        <v>0</v>
      </c>
      <c r="M1439" s="3">
        <v>0</v>
      </c>
      <c r="N1439" s="3">
        <v>0</v>
      </c>
      <c r="O1439" s="3">
        <v>0.02</v>
      </c>
      <c r="P1439" s="3">
        <v>0</v>
      </c>
      <c r="Q1439" s="3">
        <v>0</v>
      </c>
      <c r="R1439" s="3">
        <v>0</v>
      </c>
    </row>
    <row r="1440" spans="1:18">
      <c r="A1440" s="3" t="s">
        <v>3861</v>
      </c>
      <c r="B1440" s="3" t="s">
        <v>3862</v>
      </c>
      <c r="C1440" s="3" t="s">
        <v>3863</v>
      </c>
      <c r="D1440" s="3" t="s">
        <v>3864</v>
      </c>
      <c r="E1440" s="3" t="s">
        <v>120</v>
      </c>
      <c r="F1440" s="3">
        <v>26.98</v>
      </c>
      <c r="G1440" s="3" t="s">
        <v>121</v>
      </c>
      <c r="H1440" s="3"/>
      <c r="I1440" s="3" t="s">
        <v>122</v>
      </c>
      <c r="J1440" s="3">
        <v>0</v>
      </c>
      <c r="K1440" s="3">
        <v>0</v>
      </c>
      <c r="L1440" s="3">
        <v>0</v>
      </c>
      <c r="M1440" s="3">
        <v>0</v>
      </c>
      <c r="N1440" s="3">
        <v>0</v>
      </c>
      <c r="O1440" s="3">
        <v>0.13</v>
      </c>
      <c r="P1440" s="3">
        <v>0</v>
      </c>
      <c r="Q1440" s="3">
        <v>0</v>
      </c>
      <c r="R1440" s="3">
        <v>0</v>
      </c>
    </row>
    <row r="1441" spans="1:18">
      <c r="A1441" s="3" t="s">
        <v>3865</v>
      </c>
      <c r="B1441" s="3" t="s">
        <v>3866</v>
      </c>
      <c r="C1441" s="3" t="s">
        <v>3867</v>
      </c>
      <c r="D1441" s="3" t="s">
        <v>3868</v>
      </c>
      <c r="E1441" s="3" t="s">
        <v>120</v>
      </c>
      <c r="F1441" s="3">
        <v>26.98</v>
      </c>
      <c r="G1441" s="3" t="s">
        <v>121</v>
      </c>
      <c r="H1441" s="3"/>
      <c r="I1441" s="3" t="s">
        <v>122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0.13</v>
      </c>
      <c r="P1441" s="3">
        <v>0</v>
      </c>
      <c r="Q1441" s="3">
        <v>0</v>
      </c>
      <c r="R1441" s="3">
        <v>0</v>
      </c>
    </row>
    <row r="1442" spans="1:18">
      <c r="A1442" s="3" t="s">
        <v>3869</v>
      </c>
      <c r="B1442" s="3" t="s">
        <v>3870</v>
      </c>
      <c r="C1442" s="3" t="s">
        <v>3871</v>
      </c>
      <c r="D1442" s="3" t="s">
        <v>3872</v>
      </c>
      <c r="E1442" s="3" t="s">
        <v>120</v>
      </c>
      <c r="F1442" s="3">
        <v>26.98</v>
      </c>
      <c r="G1442" s="3" t="s">
        <v>121</v>
      </c>
      <c r="H1442" s="3"/>
      <c r="I1442" s="3" t="s">
        <v>122</v>
      </c>
      <c r="J1442" s="3">
        <v>0</v>
      </c>
      <c r="K1442" s="3">
        <v>0</v>
      </c>
      <c r="L1442" s="3">
        <v>0</v>
      </c>
      <c r="M1442" s="3">
        <v>0</v>
      </c>
      <c r="N1442" s="3">
        <v>0</v>
      </c>
      <c r="O1442" s="3">
        <v>0.13</v>
      </c>
      <c r="P1442" s="3">
        <v>0</v>
      </c>
      <c r="Q1442" s="3">
        <v>0</v>
      </c>
      <c r="R1442" s="3">
        <v>0</v>
      </c>
    </row>
    <row r="1443" spans="1:18">
      <c r="A1443" s="3" t="s">
        <v>3873</v>
      </c>
      <c r="B1443" s="3" t="s">
        <v>3874</v>
      </c>
      <c r="C1443" s="3" t="s">
        <v>3875</v>
      </c>
      <c r="D1443" s="3" t="s">
        <v>3876</v>
      </c>
      <c r="E1443" s="3" t="s">
        <v>120</v>
      </c>
      <c r="F1443" s="3">
        <v>26.98</v>
      </c>
      <c r="G1443" s="3" t="s">
        <v>121</v>
      </c>
      <c r="H1443" s="3"/>
      <c r="I1443" s="3" t="s">
        <v>122</v>
      </c>
      <c r="J1443" s="3">
        <v>0</v>
      </c>
      <c r="K1443" s="3">
        <v>0</v>
      </c>
      <c r="L1443" s="3">
        <v>0</v>
      </c>
      <c r="M1443" s="3">
        <v>0</v>
      </c>
      <c r="N1443" s="3">
        <v>0</v>
      </c>
      <c r="O1443" s="3">
        <v>0.13</v>
      </c>
      <c r="P1443" s="3">
        <v>0</v>
      </c>
      <c r="Q1443" s="3">
        <v>0</v>
      </c>
      <c r="R1443" s="3">
        <v>0</v>
      </c>
    </row>
    <row r="1444" spans="1:18">
      <c r="A1444" s="3" t="s">
        <v>3877</v>
      </c>
      <c r="B1444" s="3" t="s">
        <v>3878</v>
      </c>
      <c r="C1444" s="3" t="s">
        <v>3879</v>
      </c>
      <c r="D1444" s="3" t="s">
        <v>3880</v>
      </c>
      <c r="E1444" s="3" t="s">
        <v>120</v>
      </c>
      <c r="F1444" s="3">
        <v>26.98</v>
      </c>
      <c r="G1444" s="3" t="s">
        <v>121</v>
      </c>
      <c r="H1444" s="3"/>
      <c r="I1444" s="3" t="s">
        <v>122</v>
      </c>
      <c r="J1444" s="3">
        <v>0</v>
      </c>
      <c r="K1444" s="3">
        <v>0</v>
      </c>
      <c r="L1444" s="3">
        <v>0</v>
      </c>
      <c r="M1444" s="3">
        <v>0</v>
      </c>
      <c r="N1444" s="3">
        <v>0</v>
      </c>
      <c r="O1444" s="3">
        <v>0.13</v>
      </c>
      <c r="P1444" s="3">
        <v>0</v>
      </c>
      <c r="Q1444" s="3">
        <v>0</v>
      </c>
      <c r="R1444" s="3">
        <v>0</v>
      </c>
    </row>
    <row r="1445" spans="1:18">
      <c r="A1445" s="3" t="s">
        <v>3881</v>
      </c>
      <c r="B1445" s="3" t="s">
        <v>3882</v>
      </c>
      <c r="C1445" s="3" t="s">
        <v>3883</v>
      </c>
      <c r="D1445" s="3" t="s">
        <v>3884</v>
      </c>
      <c r="E1445" s="3" t="s">
        <v>120</v>
      </c>
      <c r="F1445" s="3">
        <v>26.98</v>
      </c>
      <c r="G1445" s="3" t="s">
        <v>121</v>
      </c>
      <c r="H1445" s="3"/>
      <c r="I1445" s="3" t="s">
        <v>122</v>
      </c>
      <c r="J1445" s="3">
        <v>0</v>
      </c>
      <c r="K1445" s="3">
        <v>0</v>
      </c>
      <c r="L1445" s="3">
        <v>0</v>
      </c>
      <c r="M1445" s="3">
        <v>0</v>
      </c>
      <c r="N1445" s="3">
        <v>0</v>
      </c>
      <c r="O1445" s="3">
        <v>0.13</v>
      </c>
      <c r="P1445" s="3">
        <v>0</v>
      </c>
      <c r="Q1445" s="3">
        <v>0</v>
      </c>
      <c r="R1445" s="3">
        <v>0</v>
      </c>
    </row>
    <row r="1446" spans="1:18">
      <c r="A1446" s="3" t="s">
        <v>3885</v>
      </c>
      <c r="B1446" s="3" t="s">
        <v>3886</v>
      </c>
      <c r="C1446" s="3" t="s">
        <v>3887</v>
      </c>
      <c r="D1446" s="3" t="s">
        <v>3888</v>
      </c>
      <c r="E1446" s="3" t="s">
        <v>120</v>
      </c>
      <c r="F1446" s="3">
        <v>26.98</v>
      </c>
      <c r="G1446" s="3" t="s">
        <v>121</v>
      </c>
      <c r="H1446" s="3"/>
      <c r="I1446" s="3" t="s">
        <v>122</v>
      </c>
      <c r="J1446" s="3">
        <v>0</v>
      </c>
      <c r="K1446" s="3">
        <v>0</v>
      </c>
      <c r="L1446" s="3">
        <v>0</v>
      </c>
      <c r="M1446" s="3">
        <v>0</v>
      </c>
      <c r="N1446" s="3">
        <v>0</v>
      </c>
      <c r="O1446" s="3">
        <v>0.13</v>
      </c>
      <c r="P1446" s="3">
        <v>0</v>
      </c>
      <c r="Q1446" s="3">
        <v>0</v>
      </c>
      <c r="R1446" s="3">
        <v>0</v>
      </c>
    </row>
    <row r="1447" spans="1:18">
      <c r="A1447" s="3" t="s">
        <v>3889</v>
      </c>
      <c r="B1447" s="3" t="s">
        <v>3890</v>
      </c>
      <c r="C1447" s="3" t="s">
        <v>3891</v>
      </c>
      <c r="D1447" s="3" t="s">
        <v>3892</v>
      </c>
      <c r="E1447" s="3" t="s">
        <v>120</v>
      </c>
      <c r="F1447" s="3">
        <v>26.98</v>
      </c>
      <c r="G1447" s="3" t="s">
        <v>121</v>
      </c>
      <c r="H1447" s="3"/>
      <c r="I1447" s="3" t="s">
        <v>122</v>
      </c>
      <c r="J1447" s="3">
        <v>0</v>
      </c>
      <c r="K1447" s="3">
        <v>0</v>
      </c>
      <c r="L1447" s="3">
        <v>0</v>
      </c>
      <c r="M1447" s="3">
        <v>0</v>
      </c>
      <c r="N1447" s="3">
        <v>0</v>
      </c>
      <c r="O1447" s="3">
        <v>0.13</v>
      </c>
      <c r="P1447" s="3">
        <v>0</v>
      </c>
      <c r="Q1447" s="3">
        <v>0</v>
      </c>
      <c r="R1447" s="3">
        <v>0</v>
      </c>
    </row>
    <row r="1448" spans="1:18">
      <c r="A1448" s="3" t="s">
        <v>3893</v>
      </c>
      <c r="B1448" s="3" t="s">
        <v>3894</v>
      </c>
      <c r="C1448" s="3" t="s">
        <v>3895</v>
      </c>
      <c r="D1448" s="3" t="s">
        <v>3896</v>
      </c>
      <c r="E1448" s="3" t="s">
        <v>120</v>
      </c>
      <c r="F1448" s="3">
        <v>26.98</v>
      </c>
      <c r="G1448" s="3" t="s">
        <v>121</v>
      </c>
      <c r="H1448" s="3"/>
      <c r="I1448" s="3" t="s">
        <v>122</v>
      </c>
      <c r="J1448" s="3">
        <v>0</v>
      </c>
      <c r="K1448" s="3">
        <v>0</v>
      </c>
      <c r="L1448" s="3">
        <v>0</v>
      </c>
      <c r="M1448" s="3">
        <v>0</v>
      </c>
      <c r="N1448" s="3">
        <v>0</v>
      </c>
      <c r="O1448" s="3">
        <v>0.13</v>
      </c>
      <c r="P1448" s="3">
        <v>0</v>
      </c>
      <c r="Q1448" s="3">
        <v>0</v>
      </c>
      <c r="R1448" s="3">
        <v>0</v>
      </c>
    </row>
    <row r="1449" spans="1:18">
      <c r="A1449" s="3" t="s">
        <v>3897</v>
      </c>
      <c r="B1449" s="3" t="s">
        <v>3898</v>
      </c>
      <c r="C1449" s="3" t="s">
        <v>3899</v>
      </c>
      <c r="D1449" s="3" t="s">
        <v>3900</v>
      </c>
      <c r="E1449" s="3" t="s">
        <v>120</v>
      </c>
      <c r="F1449" s="3">
        <v>26.98</v>
      </c>
      <c r="G1449" s="3" t="s">
        <v>121</v>
      </c>
      <c r="H1449" s="3"/>
      <c r="I1449" s="3" t="s">
        <v>122</v>
      </c>
      <c r="J1449" s="3">
        <v>0</v>
      </c>
      <c r="K1449" s="3">
        <v>0</v>
      </c>
      <c r="L1449" s="3">
        <v>0</v>
      </c>
      <c r="M1449" s="3">
        <v>0</v>
      </c>
      <c r="N1449" s="3">
        <v>0</v>
      </c>
      <c r="O1449" s="3">
        <v>0.13</v>
      </c>
      <c r="P1449" s="3">
        <v>0</v>
      </c>
      <c r="Q1449" s="3">
        <v>0</v>
      </c>
      <c r="R1449" s="3">
        <v>0</v>
      </c>
    </row>
    <row r="1450" spans="1:18">
      <c r="A1450" s="3" t="s">
        <v>3901</v>
      </c>
      <c r="B1450" s="3" t="s">
        <v>3902</v>
      </c>
      <c r="C1450" s="3" t="s">
        <v>3903</v>
      </c>
      <c r="D1450" s="3" t="s">
        <v>3904</v>
      </c>
      <c r="E1450" s="3" t="s">
        <v>120</v>
      </c>
      <c r="F1450" s="3">
        <v>26.98</v>
      </c>
      <c r="G1450" s="3" t="s">
        <v>121</v>
      </c>
      <c r="H1450" s="3"/>
      <c r="I1450" s="3" t="s">
        <v>122</v>
      </c>
      <c r="J1450" s="3">
        <v>0</v>
      </c>
      <c r="K1450" s="3">
        <v>0</v>
      </c>
      <c r="L1450" s="3">
        <v>0</v>
      </c>
      <c r="M1450" s="3">
        <v>0</v>
      </c>
      <c r="N1450" s="3">
        <v>0</v>
      </c>
      <c r="O1450" s="3">
        <v>0.13</v>
      </c>
      <c r="P1450" s="3">
        <v>0</v>
      </c>
      <c r="Q1450" s="3">
        <v>0</v>
      </c>
      <c r="R1450" s="3">
        <v>0</v>
      </c>
    </row>
    <row r="1451" spans="1:18">
      <c r="A1451" s="3" t="s">
        <v>3905</v>
      </c>
      <c r="B1451" s="3" t="s">
        <v>3906</v>
      </c>
      <c r="C1451" s="3" t="s">
        <v>3907</v>
      </c>
      <c r="D1451" s="3" t="s">
        <v>3908</v>
      </c>
      <c r="E1451" s="3" t="s">
        <v>120</v>
      </c>
      <c r="F1451" s="3">
        <v>26.98</v>
      </c>
      <c r="G1451" s="3" t="s">
        <v>121</v>
      </c>
      <c r="H1451" s="3"/>
      <c r="I1451" s="3" t="s">
        <v>122</v>
      </c>
      <c r="J1451" s="3">
        <v>0</v>
      </c>
      <c r="K1451" s="3">
        <v>0</v>
      </c>
      <c r="L1451" s="3">
        <v>0</v>
      </c>
      <c r="M1451" s="3">
        <v>0</v>
      </c>
      <c r="N1451" s="3">
        <v>0</v>
      </c>
      <c r="O1451" s="3">
        <v>0.13</v>
      </c>
      <c r="P1451" s="3">
        <v>0</v>
      </c>
      <c r="Q1451" s="3">
        <v>0</v>
      </c>
      <c r="R1451" s="3">
        <v>0</v>
      </c>
    </row>
    <row r="1452" spans="1:18">
      <c r="A1452" s="3" t="s">
        <v>3909</v>
      </c>
      <c r="B1452" s="3" t="s">
        <v>3910</v>
      </c>
      <c r="C1452" s="3" t="s">
        <v>3911</v>
      </c>
      <c r="D1452" s="3" t="s">
        <v>3912</v>
      </c>
      <c r="E1452" s="3" t="s">
        <v>120</v>
      </c>
      <c r="F1452" s="3">
        <v>26.98</v>
      </c>
      <c r="G1452" s="3" t="s">
        <v>121</v>
      </c>
      <c r="H1452" s="3"/>
      <c r="I1452" s="3" t="s">
        <v>122</v>
      </c>
      <c r="J1452" s="3">
        <v>0</v>
      </c>
      <c r="K1452" s="3">
        <v>0</v>
      </c>
      <c r="L1452" s="3">
        <v>0</v>
      </c>
      <c r="M1452" s="3">
        <v>0</v>
      </c>
      <c r="N1452" s="3">
        <v>0</v>
      </c>
      <c r="O1452" s="3">
        <v>0.13</v>
      </c>
      <c r="P1452" s="3">
        <v>0</v>
      </c>
      <c r="Q1452" s="3">
        <v>0</v>
      </c>
      <c r="R1452" s="3">
        <v>0</v>
      </c>
    </row>
    <row r="1453" spans="1:18">
      <c r="A1453" s="3" t="s">
        <v>3913</v>
      </c>
      <c r="B1453" s="3" t="s">
        <v>3914</v>
      </c>
      <c r="C1453" s="3" t="s">
        <v>3915</v>
      </c>
      <c r="D1453" s="3" t="s">
        <v>3916</v>
      </c>
      <c r="E1453" s="3" t="s">
        <v>120</v>
      </c>
      <c r="F1453" s="3">
        <v>26.98</v>
      </c>
      <c r="G1453" s="3" t="s">
        <v>121</v>
      </c>
      <c r="H1453" s="3"/>
      <c r="I1453" s="3" t="s">
        <v>122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0.13</v>
      </c>
      <c r="P1453" s="3">
        <v>0</v>
      </c>
      <c r="Q1453" s="3">
        <v>0</v>
      </c>
      <c r="R1453" s="3">
        <v>0</v>
      </c>
    </row>
    <row r="1454" spans="1:18">
      <c r="A1454" s="3" t="s">
        <v>3917</v>
      </c>
      <c r="B1454" s="3" t="s">
        <v>3918</v>
      </c>
      <c r="C1454" s="3" t="s">
        <v>3919</v>
      </c>
      <c r="D1454" s="3" t="s">
        <v>3920</v>
      </c>
      <c r="E1454" s="3" t="s">
        <v>120</v>
      </c>
      <c r="F1454" s="3">
        <v>26.98</v>
      </c>
      <c r="G1454" s="3" t="s">
        <v>121</v>
      </c>
      <c r="H1454" s="3"/>
      <c r="I1454" s="3" t="s">
        <v>122</v>
      </c>
      <c r="J1454" s="3">
        <v>0</v>
      </c>
      <c r="K1454" s="3">
        <v>0</v>
      </c>
      <c r="L1454" s="3">
        <v>0</v>
      </c>
      <c r="M1454" s="3">
        <v>0</v>
      </c>
      <c r="N1454" s="3">
        <v>0</v>
      </c>
      <c r="O1454" s="3">
        <v>0.13</v>
      </c>
      <c r="P1454" s="3">
        <v>0</v>
      </c>
      <c r="Q1454" s="3">
        <v>0</v>
      </c>
      <c r="R1454" s="3">
        <v>0</v>
      </c>
    </row>
    <row r="1455" spans="1:18">
      <c r="A1455" s="3" t="s">
        <v>3921</v>
      </c>
      <c r="B1455" s="3" t="s">
        <v>3922</v>
      </c>
      <c r="C1455" s="3" t="s">
        <v>3923</v>
      </c>
      <c r="D1455" s="3" t="s">
        <v>3924</v>
      </c>
      <c r="E1455" s="3" t="s">
        <v>120</v>
      </c>
      <c r="F1455" s="3">
        <v>26.98</v>
      </c>
      <c r="G1455" s="3" t="s">
        <v>121</v>
      </c>
      <c r="H1455" s="3"/>
      <c r="I1455" s="3" t="s">
        <v>122</v>
      </c>
      <c r="J1455" s="3">
        <v>0</v>
      </c>
      <c r="K1455" s="3">
        <v>0</v>
      </c>
      <c r="L1455" s="3">
        <v>0</v>
      </c>
      <c r="M1455" s="3">
        <v>0</v>
      </c>
      <c r="N1455" s="3">
        <v>0</v>
      </c>
      <c r="O1455" s="3">
        <v>0.13</v>
      </c>
      <c r="P1455" s="3">
        <v>0</v>
      </c>
      <c r="Q1455" s="3">
        <v>0</v>
      </c>
      <c r="R1455" s="3">
        <v>0</v>
      </c>
    </row>
    <row r="1456" spans="1:18">
      <c r="A1456" s="3" t="s">
        <v>3925</v>
      </c>
      <c r="B1456" s="3" t="s">
        <v>3926</v>
      </c>
      <c r="C1456" s="3" t="s">
        <v>3927</v>
      </c>
      <c r="D1456" s="3" t="s">
        <v>3928</v>
      </c>
      <c r="E1456" s="3" t="s">
        <v>120</v>
      </c>
      <c r="F1456" s="3">
        <v>26.98</v>
      </c>
      <c r="G1456" s="3" t="s">
        <v>121</v>
      </c>
      <c r="H1456" s="3"/>
      <c r="I1456" s="3" t="s">
        <v>122</v>
      </c>
      <c r="J1456" s="3">
        <v>0</v>
      </c>
      <c r="K1456" s="3">
        <v>0</v>
      </c>
      <c r="L1456" s="3">
        <v>0</v>
      </c>
      <c r="M1456" s="3">
        <v>0</v>
      </c>
      <c r="N1456" s="3">
        <v>0</v>
      </c>
      <c r="O1456" s="3">
        <v>0.13</v>
      </c>
      <c r="P1456" s="3">
        <v>0</v>
      </c>
      <c r="Q1456" s="3">
        <v>0</v>
      </c>
      <c r="R1456" s="3">
        <v>0</v>
      </c>
    </row>
    <row r="1457" spans="1:18">
      <c r="A1457" s="3" t="s">
        <v>3929</v>
      </c>
      <c r="B1457" s="3" t="s">
        <v>3930</v>
      </c>
      <c r="C1457" s="3" t="s">
        <v>3931</v>
      </c>
      <c r="D1457" s="3" t="s">
        <v>3932</v>
      </c>
      <c r="E1457" s="3" t="s">
        <v>120</v>
      </c>
      <c r="F1457" s="3">
        <v>26.98</v>
      </c>
      <c r="G1457" s="3" t="s">
        <v>121</v>
      </c>
      <c r="H1457" s="3"/>
      <c r="I1457" s="3" t="s">
        <v>122</v>
      </c>
      <c r="J1457" s="3">
        <v>0</v>
      </c>
      <c r="K1457" s="3">
        <v>0</v>
      </c>
      <c r="L1457" s="3">
        <v>0</v>
      </c>
      <c r="M1457" s="3">
        <v>0</v>
      </c>
      <c r="N1457" s="3">
        <v>0</v>
      </c>
      <c r="O1457" s="3">
        <v>0.13</v>
      </c>
      <c r="P1457" s="3">
        <v>0</v>
      </c>
      <c r="Q1457" s="3">
        <v>0</v>
      </c>
      <c r="R1457" s="3">
        <v>0</v>
      </c>
    </row>
    <row r="1458" spans="1:18">
      <c r="A1458" s="3" t="s">
        <v>3933</v>
      </c>
      <c r="B1458" s="3" t="s">
        <v>3934</v>
      </c>
      <c r="C1458" s="3" t="s">
        <v>3935</v>
      </c>
      <c r="D1458" s="3" t="s">
        <v>3936</v>
      </c>
      <c r="E1458" s="3" t="s">
        <v>120</v>
      </c>
      <c r="F1458" s="3">
        <v>26.98</v>
      </c>
      <c r="G1458" s="3" t="s">
        <v>121</v>
      </c>
      <c r="H1458" s="3"/>
      <c r="I1458" s="3" t="s">
        <v>122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0.13</v>
      </c>
      <c r="P1458" s="3">
        <v>0</v>
      </c>
      <c r="Q1458" s="3">
        <v>0</v>
      </c>
      <c r="R1458" s="3">
        <v>0</v>
      </c>
    </row>
    <row r="1459" spans="1:18">
      <c r="A1459" s="3" t="s">
        <v>3937</v>
      </c>
      <c r="B1459" s="3" t="s">
        <v>3938</v>
      </c>
      <c r="C1459" s="3" t="s">
        <v>3939</v>
      </c>
      <c r="D1459" s="3" t="s">
        <v>3940</v>
      </c>
      <c r="E1459" s="3" t="s">
        <v>120</v>
      </c>
      <c r="F1459" s="3">
        <v>26.98</v>
      </c>
      <c r="G1459" s="3" t="s">
        <v>121</v>
      </c>
      <c r="H1459" s="3"/>
      <c r="I1459" s="3" t="s">
        <v>122</v>
      </c>
      <c r="J1459" s="3">
        <v>0</v>
      </c>
      <c r="K1459" s="3">
        <v>0</v>
      </c>
      <c r="L1459" s="3">
        <v>0</v>
      </c>
      <c r="M1459" s="3">
        <v>0</v>
      </c>
      <c r="N1459" s="3">
        <v>0</v>
      </c>
      <c r="O1459" s="3">
        <v>0.13</v>
      </c>
      <c r="P1459" s="3">
        <v>0</v>
      </c>
      <c r="Q1459" s="3">
        <v>0</v>
      </c>
      <c r="R1459" s="3">
        <v>0</v>
      </c>
    </row>
    <row r="1460" spans="1:18">
      <c r="A1460" s="3" t="s">
        <v>3941</v>
      </c>
      <c r="B1460" s="3" t="s">
        <v>3942</v>
      </c>
      <c r="C1460" s="3" t="s">
        <v>3943</v>
      </c>
      <c r="D1460" s="3" t="s">
        <v>3944</v>
      </c>
      <c r="E1460" s="3" t="s">
        <v>120</v>
      </c>
      <c r="F1460" s="3">
        <v>26.98</v>
      </c>
      <c r="G1460" s="3" t="s">
        <v>121</v>
      </c>
      <c r="H1460" s="3"/>
      <c r="I1460" s="3" t="s">
        <v>122</v>
      </c>
      <c r="J1460" s="3">
        <v>0</v>
      </c>
      <c r="K1460" s="3">
        <v>0</v>
      </c>
      <c r="L1460" s="3">
        <v>0</v>
      </c>
      <c r="M1460" s="3">
        <v>0</v>
      </c>
      <c r="N1460" s="3">
        <v>0</v>
      </c>
      <c r="O1460" s="3">
        <v>0.13</v>
      </c>
      <c r="P1460" s="3">
        <v>0</v>
      </c>
      <c r="Q1460" s="3">
        <v>0</v>
      </c>
      <c r="R1460" s="3">
        <v>0</v>
      </c>
    </row>
    <row r="1461" spans="1:18">
      <c r="A1461" s="3" t="s">
        <v>3945</v>
      </c>
      <c r="B1461" s="3" t="s">
        <v>3946</v>
      </c>
      <c r="C1461" s="3" t="s">
        <v>3947</v>
      </c>
      <c r="D1461" s="3" t="s">
        <v>3948</v>
      </c>
      <c r="E1461" s="3" t="s">
        <v>120</v>
      </c>
      <c r="F1461" s="3">
        <v>26.98</v>
      </c>
      <c r="G1461" s="3" t="s">
        <v>121</v>
      </c>
      <c r="H1461" s="3"/>
      <c r="I1461" s="3" t="s">
        <v>122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0.13</v>
      </c>
      <c r="P1461" s="3">
        <v>0</v>
      </c>
      <c r="Q1461" s="3">
        <v>0</v>
      </c>
      <c r="R1461" s="3">
        <v>0</v>
      </c>
    </row>
    <row r="1462" spans="1:18">
      <c r="A1462" s="3" t="s">
        <v>3949</v>
      </c>
      <c r="B1462" s="3" t="s">
        <v>3950</v>
      </c>
      <c r="C1462" s="3" t="s">
        <v>3951</v>
      </c>
      <c r="D1462" s="3" t="s">
        <v>3952</v>
      </c>
      <c r="E1462" s="3" t="s">
        <v>120</v>
      </c>
      <c r="F1462" s="3">
        <v>26.98</v>
      </c>
      <c r="G1462" s="3" t="s">
        <v>121</v>
      </c>
      <c r="H1462" s="3"/>
      <c r="I1462" s="3" t="s">
        <v>122</v>
      </c>
      <c r="J1462" s="3">
        <v>0</v>
      </c>
      <c r="K1462" s="3">
        <v>0</v>
      </c>
      <c r="L1462" s="3">
        <v>0</v>
      </c>
      <c r="M1462" s="3">
        <v>0</v>
      </c>
      <c r="N1462" s="3">
        <v>0</v>
      </c>
      <c r="O1462" s="3">
        <v>0.13</v>
      </c>
      <c r="P1462" s="3">
        <v>0</v>
      </c>
      <c r="Q1462" s="3">
        <v>0</v>
      </c>
      <c r="R1462" s="3">
        <v>0</v>
      </c>
    </row>
    <row r="1463" spans="1:18">
      <c r="A1463" s="3" t="s">
        <v>3953</v>
      </c>
      <c r="B1463" s="3" t="s">
        <v>3954</v>
      </c>
      <c r="C1463" s="3" t="s">
        <v>3955</v>
      </c>
      <c r="D1463" s="3" t="s">
        <v>3956</v>
      </c>
      <c r="E1463" s="3" t="s">
        <v>120</v>
      </c>
      <c r="F1463" s="3">
        <v>26.98</v>
      </c>
      <c r="G1463" s="3" t="s">
        <v>121</v>
      </c>
      <c r="H1463" s="3"/>
      <c r="I1463" s="3" t="s">
        <v>122</v>
      </c>
      <c r="J1463" s="3">
        <v>0</v>
      </c>
      <c r="K1463" s="3">
        <v>0</v>
      </c>
      <c r="L1463" s="3">
        <v>0</v>
      </c>
      <c r="M1463" s="3">
        <v>0</v>
      </c>
      <c r="N1463" s="3">
        <v>0</v>
      </c>
      <c r="O1463" s="3">
        <v>0.13</v>
      </c>
      <c r="P1463" s="3">
        <v>0</v>
      </c>
      <c r="Q1463" s="3">
        <v>0</v>
      </c>
      <c r="R1463" s="3">
        <v>0</v>
      </c>
    </row>
    <row r="1464" spans="1:18">
      <c r="A1464" s="3" t="s">
        <v>3957</v>
      </c>
      <c r="B1464" s="3" t="s">
        <v>3958</v>
      </c>
      <c r="C1464" s="3" t="s">
        <v>3959</v>
      </c>
      <c r="D1464" s="3" t="s">
        <v>3960</v>
      </c>
      <c r="E1464" s="3" t="s">
        <v>120</v>
      </c>
      <c r="F1464" s="3">
        <v>26.98</v>
      </c>
      <c r="G1464" s="3" t="s">
        <v>121</v>
      </c>
      <c r="H1464" s="3"/>
      <c r="I1464" s="3" t="s">
        <v>122</v>
      </c>
      <c r="J1464" s="3">
        <v>0</v>
      </c>
      <c r="K1464" s="3">
        <v>0</v>
      </c>
      <c r="L1464" s="3">
        <v>0</v>
      </c>
      <c r="M1464" s="3">
        <v>0</v>
      </c>
      <c r="N1464" s="3">
        <v>0</v>
      </c>
      <c r="O1464" s="3">
        <v>0.13</v>
      </c>
      <c r="P1464" s="3">
        <v>0</v>
      </c>
      <c r="Q1464" s="3">
        <v>0</v>
      </c>
      <c r="R1464" s="3">
        <v>0</v>
      </c>
    </row>
    <row r="1465" spans="1:18">
      <c r="A1465" s="3" t="s">
        <v>3961</v>
      </c>
      <c r="B1465" s="3" t="s">
        <v>3962</v>
      </c>
      <c r="C1465" s="3" t="s">
        <v>3963</v>
      </c>
      <c r="D1465" s="3" t="s">
        <v>3964</v>
      </c>
      <c r="E1465" s="3" t="s">
        <v>120</v>
      </c>
      <c r="F1465" s="3">
        <v>26.98</v>
      </c>
      <c r="G1465" s="3" t="s">
        <v>121</v>
      </c>
      <c r="H1465" s="3"/>
      <c r="I1465" s="3" t="s">
        <v>122</v>
      </c>
      <c r="J1465" s="3">
        <v>0</v>
      </c>
      <c r="K1465" s="3">
        <v>0</v>
      </c>
      <c r="L1465" s="3">
        <v>0</v>
      </c>
      <c r="M1465" s="3">
        <v>0</v>
      </c>
      <c r="N1465" s="3">
        <v>0</v>
      </c>
      <c r="O1465" s="3">
        <v>0.13</v>
      </c>
      <c r="P1465" s="3">
        <v>0</v>
      </c>
      <c r="Q1465" s="3">
        <v>0</v>
      </c>
      <c r="R1465" s="3">
        <v>0</v>
      </c>
    </row>
    <row r="1466" spans="1:18">
      <c r="A1466" s="3" t="s">
        <v>3965</v>
      </c>
      <c r="B1466" s="3" t="s">
        <v>3966</v>
      </c>
      <c r="C1466" s="3" t="s">
        <v>3967</v>
      </c>
      <c r="D1466" s="3" t="s">
        <v>3968</v>
      </c>
      <c r="E1466" s="3" t="s">
        <v>120</v>
      </c>
      <c r="F1466" s="3">
        <v>26.98</v>
      </c>
      <c r="G1466" s="3" t="s">
        <v>121</v>
      </c>
      <c r="H1466" s="3"/>
      <c r="I1466" s="3" t="s">
        <v>122</v>
      </c>
      <c r="J1466" s="3">
        <v>0</v>
      </c>
      <c r="K1466" s="3">
        <v>0</v>
      </c>
      <c r="L1466" s="3">
        <v>0</v>
      </c>
      <c r="M1466" s="3">
        <v>0</v>
      </c>
      <c r="N1466" s="3">
        <v>0</v>
      </c>
      <c r="O1466" s="3">
        <v>0.13</v>
      </c>
      <c r="P1466" s="3">
        <v>0</v>
      </c>
      <c r="Q1466" s="3">
        <v>0</v>
      </c>
      <c r="R1466" s="3">
        <v>0</v>
      </c>
    </row>
    <row r="1467" spans="1:18">
      <c r="A1467" s="3" t="s">
        <v>3969</v>
      </c>
      <c r="B1467" s="3" t="s">
        <v>3970</v>
      </c>
      <c r="C1467" s="3" t="s">
        <v>3971</v>
      </c>
      <c r="D1467" s="3" t="s">
        <v>3972</v>
      </c>
      <c r="E1467" s="3" t="s">
        <v>120</v>
      </c>
      <c r="F1467" s="3">
        <v>26.98</v>
      </c>
      <c r="G1467" s="3" t="s">
        <v>121</v>
      </c>
      <c r="H1467" s="3"/>
      <c r="I1467" s="3" t="s">
        <v>122</v>
      </c>
      <c r="J1467" s="3">
        <v>0</v>
      </c>
      <c r="K1467" s="3">
        <v>0</v>
      </c>
      <c r="L1467" s="3">
        <v>0</v>
      </c>
      <c r="M1467" s="3">
        <v>0</v>
      </c>
      <c r="N1467" s="3">
        <v>0</v>
      </c>
      <c r="O1467" s="3">
        <v>0.13</v>
      </c>
      <c r="P1467" s="3">
        <v>0</v>
      </c>
      <c r="Q1467" s="3">
        <v>0</v>
      </c>
      <c r="R1467" s="3">
        <v>0</v>
      </c>
    </row>
    <row r="1468" spans="1:18">
      <c r="A1468" s="3" t="s">
        <v>3973</v>
      </c>
      <c r="B1468" s="3" t="s">
        <v>3974</v>
      </c>
      <c r="C1468" s="3" t="s">
        <v>3975</v>
      </c>
      <c r="D1468" s="3" t="s">
        <v>3976</v>
      </c>
      <c r="E1468" s="3" t="s">
        <v>120</v>
      </c>
      <c r="F1468" s="3">
        <v>20.98</v>
      </c>
      <c r="G1468" s="3" t="s">
        <v>121</v>
      </c>
      <c r="H1468" s="3"/>
      <c r="I1468" s="3" t="s">
        <v>122</v>
      </c>
      <c r="J1468" s="3">
        <v>10</v>
      </c>
      <c r="K1468" s="3">
        <v>10</v>
      </c>
      <c r="L1468" s="3">
        <v>0</v>
      </c>
      <c r="M1468" s="3">
        <v>0</v>
      </c>
      <c r="N1468" s="3">
        <v>10</v>
      </c>
      <c r="O1468" s="3">
        <v>0.11</v>
      </c>
      <c r="P1468" s="3">
        <v>0</v>
      </c>
      <c r="Q1468" s="3">
        <v>0</v>
      </c>
      <c r="R1468" s="3">
        <v>0</v>
      </c>
    </row>
    <row r="1469" spans="1:18">
      <c r="A1469" s="3" t="s">
        <v>3977</v>
      </c>
      <c r="B1469" s="3" t="s">
        <v>3978</v>
      </c>
      <c r="C1469" s="3" t="s">
        <v>3979</v>
      </c>
      <c r="D1469" s="3" t="s">
        <v>3980</v>
      </c>
      <c r="E1469" s="3" t="s">
        <v>120</v>
      </c>
      <c r="F1469" s="3">
        <v>20.98</v>
      </c>
      <c r="G1469" s="3" t="s">
        <v>121</v>
      </c>
      <c r="H1469" s="3"/>
      <c r="I1469" s="3" t="s">
        <v>122</v>
      </c>
      <c r="J1469" s="3">
        <v>0</v>
      </c>
      <c r="K1469" s="3">
        <v>0</v>
      </c>
      <c r="L1469" s="3">
        <v>0</v>
      </c>
      <c r="M1469" s="3">
        <v>0</v>
      </c>
      <c r="N1469" s="3">
        <v>0</v>
      </c>
      <c r="O1469" s="3">
        <v>0.08</v>
      </c>
      <c r="P1469" s="3">
        <v>0</v>
      </c>
      <c r="Q1469" s="3">
        <v>0</v>
      </c>
      <c r="R1469" s="3">
        <v>0</v>
      </c>
    </row>
    <row r="1470" spans="1:18">
      <c r="A1470" s="3" t="s">
        <v>3981</v>
      </c>
      <c r="B1470" s="3" t="s">
        <v>3982</v>
      </c>
      <c r="C1470" s="3" t="s">
        <v>3983</v>
      </c>
      <c r="D1470" s="3" t="s">
        <v>3984</v>
      </c>
      <c r="E1470" s="3" t="s">
        <v>120</v>
      </c>
      <c r="F1470" s="3">
        <v>20.98</v>
      </c>
      <c r="G1470" s="3" t="s">
        <v>121</v>
      </c>
      <c r="H1470" s="3"/>
      <c r="I1470" s="3" t="s">
        <v>122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0.08</v>
      </c>
      <c r="P1470" s="3">
        <v>0</v>
      </c>
      <c r="Q1470" s="3">
        <v>0</v>
      </c>
      <c r="R1470" s="3">
        <v>0</v>
      </c>
    </row>
    <row r="1471" spans="1:18">
      <c r="A1471" s="3" t="s">
        <v>3985</v>
      </c>
      <c r="B1471" s="3" t="s">
        <v>3986</v>
      </c>
      <c r="C1471" s="3" t="s">
        <v>3987</v>
      </c>
      <c r="D1471" s="3" t="s">
        <v>3988</v>
      </c>
      <c r="E1471" s="3" t="s">
        <v>120</v>
      </c>
      <c r="F1471" s="3">
        <v>20.98</v>
      </c>
      <c r="G1471" s="3" t="s">
        <v>121</v>
      </c>
      <c r="H1471" s="3"/>
      <c r="I1471" s="3" t="s">
        <v>122</v>
      </c>
      <c r="J1471" s="3">
        <v>0</v>
      </c>
      <c r="K1471" s="3">
        <v>0</v>
      </c>
      <c r="L1471" s="3">
        <v>0</v>
      </c>
      <c r="M1471" s="3">
        <v>0</v>
      </c>
      <c r="N1471" s="3">
        <v>0</v>
      </c>
      <c r="O1471" s="3">
        <v>0.08</v>
      </c>
      <c r="P1471" s="3">
        <v>0</v>
      </c>
      <c r="Q1471" s="3">
        <v>0</v>
      </c>
      <c r="R1471" s="3">
        <v>0</v>
      </c>
    </row>
    <row r="1472" spans="1:18">
      <c r="A1472" s="3" t="s">
        <v>3989</v>
      </c>
      <c r="B1472" s="3" t="s">
        <v>3990</v>
      </c>
      <c r="C1472" s="3" t="s">
        <v>3991</v>
      </c>
      <c r="D1472" s="3" t="s">
        <v>3992</v>
      </c>
      <c r="E1472" s="3" t="s">
        <v>120</v>
      </c>
      <c r="F1472" s="3">
        <v>20.98</v>
      </c>
      <c r="G1472" s="3" t="s">
        <v>121</v>
      </c>
      <c r="H1472" s="3"/>
      <c r="I1472" s="3" t="s">
        <v>122</v>
      </c>
      <c r="J1472" s="3">
        <v>0</v>
      </c>
      <c r="K1472" s="3">
        <v>0</v>
      </c>
      <c r="L1472" s="3">
        <v>0</v>
      </c>
      <c r="M1472" s="3">
        <v>0</v>
      </c>
      <c r="N1472" s="3">
        <v>0</v>
      </c>
      <c r="O1472" s="3">
        <v>0.08</v>
      </c>
      <c r="P1472" s="3">
        <v>0</v>
      </c>
      <c r="Q1472" s="3">
        <v>0</v>
      </c>
      <c r="R1472" s="3">
        <v>0</v>
      </c>
    </row>
    <row r="1473" spans="1:18">
      <c r="A1473" s="3" t="s">
        <v>3993</v>
      </c>
      <c r="B1473" s="3" t="s">
        <v>3994</v>
      </c>
      <c r="C1473" s="3" t="s">
        <v>3995</v>
      </c>
      <c r="D1473" s="3" t="s">
        <v>3996</v>
      </c>
      <c r="E1473" s="3" t="s">
        <v>120</v>
      </c>
      <c r="F1473" s="3">
        <v>20.98</v>
      </c>
      <c r="G1473" s="3" t="s">
        <v>121</v>
      </c>
      <c r="H1473" s="3"/>
      <c r="I1473" s="3" t="s">
        <v>122</v>
      </c>
      <c r="J1473" s="3">
        <v>4</v>
      </c>
      <c r="K1473" s="3">
        <v>2</v>
      </c>
      <c r="L1473" s="3">
        <v>0</v>
      </c>
      <c r="M1473" s="3">
        <v>2</v>
      </c>
      <c r="N1473" s="3">
        <v>4</v>
      </c>
      <c r="O1473" s="3">
        <v>0.08</v>
      </c>
      <c r="P1473" s="3">
        <v>0</v>
      </c>
      <c r="Q1473" s="3">
        <v>0</v>
      </c>
      <c r="R1473" s="3">
        <v>0</v>
      </c>
    </row>
    <row r="1474" spans="1:18">
      <c r="A1474" s="3" t="s">
        <v>3997</v>
      </c>
      <c r="B1474" s="3" t="s">
        <v>3998</v>
      </c>
      <c r="C1474" s="3" t="s">
        <v>3999</v>
      </c>
      <c r="D1474" s="3" t="s">
        <v>4000</v>
      </c>
      <c r="E1474" s="3" t="s">
        <v>120</v>
      </c>
      <c r="F1474" s="3">
        <v>20.98</v>
      </c>
      <c r="G1474" s="3" t="s">
        <v>121</v>
      </c>
      <c r="H1474" s="3"/>
      <c r="I1474" s="3" t="s">
        <v>122</v>
      </c>
      <c r="J1474" s="3">
        <v>0</v>
      </c>
      <c r="K1474" s="3">
        <v>0</v>
      </c>
      <c r="L1474" s="3">
        <v>0</v>
      </c>
      <c r="M1474" s="3">
        <v>0</v>
      </c>
      <c r="N1474" s="3">
        <v>0</v>
      </c>
      <c r="O1474" s="3">
        <v>0.08</v>
      </c>
      <c r="P1474" s="3">
        <v>0</v>
      </c>
      <c r="Q1474" s="3">
        <v>0</v>
      </c>
      <c r="R1474" s="3">
        <v>0</v>
      </c>
    </row>
    <row r="1475" spans="1:18">
      <c r="A1475" s="3" t="s">
        <v>4001</v>
      </c>
      <c r="B1475" s="3" t="s">
        <v>4002</v>
      </c>
      <c r="C1475" s="3" t="s">
        <v>4003</v>
      </c>
      <c r="D1475" s="3" t="s">
        <v>4004</v>
      </c>
      <c r="E1475" s="3" t="s">
        <v>120</v>
      </c>
      <c r="F1475" s="3">
        <v>20.98</v>
      </c>
      <c r="G1475" s="3" t="s">
        <v>121</v>
      </c>
      <c r="H1475" s="3"/>
      <c r="I1475" s="3" t="s">
        <v>122</v>
      </c>
      <c r="J1475" s="3">
        <v>0</v>
      </c>
      <c r="K1475" s="3">
        <v>0</v>
      </c>
      <c r="L1475" s="3">
        <v>0</v>
      </c>
      <c r="M1475" s="3">
        <v>0</v>
      </c>
      <c r="N1475" s="3">
        <v>0</v>
      </c>
      <c r="O1475" s="3">
        <v>0.08</v>
      </c>
      <c r="P1475" s="3">
        <v>0</v>
      </c>
      <c r="Q1475" s="3">
        <v>0</v>
      </c>
      <c r="R1475" s="3">
        <v>0</v>
      </c>
    </row>
    <row r="1476" spans="1:18">
      <c r="A1476" s="3" t="s">
        <v>4005</v>
      </c>
      <c r="B1476" s="3" t="s">
        <v>4006</v>
      </c>
      <c r="C1476" s="3" t="s">
        <v>4007</v>
      </c>
      <c r="D1476" s="3" t="s">
        <v>4008</v>
      </c>
      <c r="E1476" s="3" t="s">
        <v>120</v>
      </c>
      <c r="F1476" s="3">
        <v>20.98</v>
      </c>
      <c r="G1476" s="3" t="s">
        <v>121</v>
      </c>
      <c r="H1476" s="3"/>
      <c r="I1476" s="3" t="s">
        <v>122</v>
      </c>
      <c r="J1476" s="3">
        <v>0</v>
      </c>
      <c r="K1476" s="3">
        <v>0</v>
      </c>
      <c r="L1476" s="3">
        <v>0</v>
      </c>
      <c r="M1476" s="3">
        <v>0</v>
      </c>
      <c r="N1476" s="3">
        <v>0</v>
      </c>
      <c r="O1476" s="3">
        <v>0.08</v>
      </c>
      <c r="P1476" s="3">
        <v>0</v>
      </c>
      <c r="Q1476" s="3">
        <v>0</v>
      </c>
      <c r="R1476" s="3">
        <v>0</v>
      </c>
    </row>
    <row r="1477" spans="1:18">
      <c r="A1477" s="3" t="s">
        <v>4009</v>
      </c>
      <c r="B1477" s="3" t="s">
        <v>4010</v>
      </c>
      <c r="C1477" s="3" t="s">
        <v>4011</v>
      </c>
      <c r="D1477" s="3" t="s">
        <v>4012</v>
      </c>
      <c r="E1477" s="3" t="s">
        <v>120</v>
      </c>
      <c r="F1477" s="3">
        <v>20.98</v>
      </c>
      <c r="G1477" s="3" t="s">
        <v>121</v>
      </c>
      <c r="H1477" s="3"/>
      <c r="I1477" s="3" t="s">
        <v>122</v>
      </c>
      <c r="J1477" s="3">
        <v>0</v>
      </c>
      <c r="K1477" s="3">
        <v>0</v>
      </c>
      <c r="L1477" s="3">
        <v>0</v>
      </c>
      <c r="M1477" s="3">
        <v>0</v>
      </c>
      <c r="N1477" s="3">
        <v>0</v>
      </c>
      <c r="O1477" s="3">
        <v>0.08</v>
      </c>
      <c r="P1477" s="3">
        <v>0</v>
      </c>
      <c r="Q1477" s="3">
        <v>0</v>
      </c>
      <c r="R1477" s="3">
        <v>0</v>
      </c>
    </row>
    <row r="1478" spans="1:18">
      <c r="A1478" s="3" t="s">
        <v>4013</v>
      </c>
      <c r="B1478" s="3" t="s">
        <v>4014</v>
      </c>
      <c r="C1478" s="3" t="s">
        <v>4015</v>
      </c>
      <c r="D1478" s="3" t="s">
        <v>4016</v>
      </c>
      <c r="E1478" s="3" t="s">
        <v>120</v>
      </c>
      <c r="F1478" s="3">
        <v>20.98</v>
      </c>
      <c r="G1478" s="3" t="s">
        <v>121</v>
      </c>
      <c r="H1478" s="3"/>
      <c r="I1478" s="3" t="s">
        <v>122</v>
      </c>
      <c r="J1478" s="3">
        <v>0</v>
      </c>
      <c r="K1478" s="3">
        <v>0</v>
      </c>
      <c r="L1478" s="3">
        <v>0</v>
      </c>
      <c r="M1478" s="3">
        <v>0</v>
      </c>
      <c r="N1478" s="3">
        <v>0</v>
      </c>
      <c r="O1478" s="3">
        <v>0.08</v>
      </c>
      <c r="P1478" s="3">
        <v>0</v>
      </c>
      <c r="Q1478" s="3">
        <v>0</v>
      </c>
      <c r="R1478" s="3">
        <v>0</v>
      </c>
    </row>
    <row r="1479" spans="1:18">
      <c r="A1479" s="3" t="s">
        <v>4017</v>
      </c>
      <c r="B1479" s="3" t="s">
        <v>4018</v>
      </c>
      <c r="C1479" s="3" t="s">
        <v>4019</v>
      </c>
      <c r="D1479" s="3" t="s">
        <v>4020</v>
      </c>
      <c r="E1479" s="3" t="s">
        <v>120</v>
      </c>
      <c r="F1479" s="3">
        <v>20.98</v>
      </c>
      <c r="G1479" s="3" t="s">
        <v>121</v>
      </c>
      <c r="H1479" s="3"/>
      <c r="I1479" s="3" t="s">
        <v>122</v>
      </c>
      <c r="J1479" s="3">
        <v>10</v>
      </c>
      <c r="K1479" s="3">
        <v>10</v>
      </c>
      <c r="L1479" s="3">
        <v>0</v>
      </c>
      <c r="M1479" s="3">
        <v>0</v>
      </c>
      <c r="N1479" s="3">
        <v>10</v>
      </c>
      <c r="O1479" s="3">
        <v>0.08</v>
      </c>
      <c r="P1479" s="3">
        <v>0</v>
      </c>
      <c r="Q1479" s="3">
        <v>0</v>
      </c>
      <c r="R1479" s="3">
        <v>0</v>
      </c>
    </row>
    <row r="1480" spans="1:18">
      <c r="A1480" s="3" t="s">
        <v>4021</v>
      </c>
      <c r="B1480" s="3" t="s">
        <v>4022</v>
      </c>
      <c r="C1480" s="3" t="s">
        <v>4023</v>
      </c>
      <c r="D1480" s="3" t="s">
        <v>4024</v>
      </c>
      <c r="E1480" s="3" t="s">
        <v>120</v>
      </c>
      <c r="F1480" s="3">
        <v>20.98</v>
      </c>
      <c r="G1480" s="3" t="s">
        <v>121</v>
      </c>
      <c r="H1480" s="3"/>
      <c r="I1480" s="3" t="s">
        <v>122</v>
      </c>
      <c r="J1480" s="3">
        <v>0</v>
      </c>
      <c r="K1480" s="3">
        <v>0</v>
      </c>
      <c r="L1480" s="3">
        <v>0</v>
      </c>
      <c r="M1480" s="3">
        <v>0</v>
      </c>
      <c r="N1480" s="3">
        <v>0</v>
      </c>
      <c r="O1480" s="3">
        <v>0.08</v>
      </c>
      <c r="P1480" s="3">
        <v>0</v>
      </c>
      <c r="Q1480" s="3">
        <v>0</v>
      </c>
      <c r="R1480" s="3">
        <v>0</v>
      </c>
    </row>
    <row r="1481" spans="1:18">
      <c r="A1481" s="3" t="s">
        <v>4025</v>
      </c>
      <c r="B1481" s="3" t="s">
        <v>4026</v>
      </c>
      <c r="C1481" s="3" t="s">
        <v>4027</v>
      </c>
      <c r="D1481" s="3" t="s">
        <v>4028</v>
      </c>
      <c r="E1481" s="3" t="s">
        <v>120</v>
      </c>
      <c r="F1481" s="3">
        <v>20.98</v>
      </c>
      <c r="G1481" s="3" t="s">
        <v>121</v>
      </c>
      <c r="H1481" s="3"/>
      <c r="I1481" s="3" t="s">
        <v>122</v>
      </c>
      <c r="J1481" s="3">
        <v>0</v>
      </c>
      <c r="K1481" s="3">
        <v>0</v>
      </c>
      <c r="L1481" s="3">
        <v>0</v>
      </c>
      <c r="M1481" s="3">
        <v>0</v>
      </c>
      <c r="N1481" s="3">
        <v>0</v>
      </c>
      <c r="O1481" s="3">
        <v>0.08</v>
      </c>
      <c r="P1481" s="3">
        <v>0</v>
      </c>
      <c r="Q1481" s="3">
        <v>0</v>
      </c>
      <c r="R1481" s="3">
        <v>0</v>
      </c>
    </row>
    <row r="1482" spans="1:18">
      <c r="A1482" s="3" t="s">
        <v>4029</v>
      </c>
      <c r="B1482" s="3" t="s">
        <v>4030</v>
      </c>
      <c r="C1482" s="3" t="s">
        <v>4031</v>
      </c>
      <c r="D1482" s="3" t="s">
        <v>4032</v>
      </c>
      <c r="E1482" s="3" t="s">
        <v>120</v>
      </c>
      <c r="F1482" s="3">
        <v>20.98</v>
      </c>
      <c r="G1482" s="3" t="s">
        <v>121</v>
      </c>
      <c r="H1482" s="3"/>
      <c r="I1482" s="3" t="s">
        <v>122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0.07</v>
      </c>
      <c r="P1482" s="3">
        <v>0</v>
      </c>
      <c r="Q1482" s="3">
        <v>0</v>
      </c>
      <c r="R1482" s="3">
        <v>0</v>
      </c>
    </row>
    <row r="1483" spans="1:18">
      <c r="A1483" s="3" t="s">
        <v>4033</v>
      </c>
      <c r="B1483" s="3" t="s">
        <v>4034</v>
      </c>
      <c r="C1483" s="3" t="s">
        <v>4035</v>
      </c>
      <c r="D1483" s="3" t="s">
        <v>4036</v>
      </c>
      <c r="E1483" s="3" t="s">
        <v>120</v>
      </c>
      <c r="F1483" s="3">
        <v>20.98</v>
      </c>
      <c r="G1483" s="3" t="s">
        <v>121</v>
      </c>
      <c r="H1483" s="3"/>
      <c r="I1483" s="3" t="s">
        <v>122</v>
      </c>
      <c r="J1483" s="3">
        <v>0</v>
      </c>
      <c r="K1483" s="3">
        <v>0</v>
      </c>
      <c r="L1483" s="3">
        <v>0</v>
      </c>
      <c r="M1483" s="3">
        <v>0</v>
      </c>
      <c r="N1483" s="3">
        <v>0</v>
      </c>
      <c r="O1483" s="3">
        <v>0.08</v>
      </c>
      <c r="P1483" s="3">
        <v>0</v>
      </c>
      <c r="Q1483" s="3">
        <v>0</v>
      </c>
      <c r="R1483" s="3">
        <v>0</v>
      </c>
    </row>
    <row r="1484" spans="1:18">
      <c r="A1484" s="3" t="s">
        <v>4037</v>
      </c>
      <c r="B1484" s="3" t="s">
        <v>4038</v>
      </c>
      <c r="C1484" s="3" t="s">
        <v>4039</v>
      </c>
      <c r="D1484" s="3" t="s">
        <v>4040</v>
      </c>
      <c r="E1484" s="3" t="s">
        <v>120</v>
      </c>
      <c r="F1484" s="3">
        <v>20.98</v>
      </c>
      <c r="G1484" s="3" t="s">
        <v>121</v>
      </c>
      <c r="H1484" s="3"/>
      <c r="I1484" s="3" t="s">
        <v>122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0.08</v>
      </c>
      <c r="P1484" s="3">
        <v>0</v>
      </c>
      <c r="Q1484" s="3">
        <v>0</v>
      </c>
      <c r="R1484" s="3">
        <v>0</v>
      </c>
    </row>
    <row r="1485" spans="1:18">
      <c r="A1485" s="3" t="s">
        <v>4041</v>
      </c>
      <c r="B1485" s="3" t="s">
        <v>4042</v>
      </c>
      <c r="C1485" s="3" t="s">
        <v>4043</v>
      </c>
      <c r="D1485" s="3" t="s">
        <v>4044</v>
      </c>
      <c r="E1485" s="3" t="s">
        <v>120</v>
      </c>
      <c r="F1485" s="3">
        <v>20.98</v>
      </c>
      <c r="G1485" s="3" t="s">
        <v>121</v>
      </c>
      <c r="H1485" s="3"/>
      <c r="I1485" s="3" t="s">
        <v>122</v>
      </c>
      <c r="J1485" s="3">
        <v>0</v>
      </c>
      <c r="K1485" s="3">
        <v>0</v>
      </c>
      <c r="L1485" s="3">
        <v>0</v>
      </c>
      <c r="M1485" s="3">
        <v>0</v>
      </c>
      <c r="N1485" s="3">
        <v>0</v>
      </c>
      <c r="O1485" s="3">
        <v>0.08</v>
      </c>
      <c r="P1485" s="3">
        <v>0</v>
      </c>
      <c r="Q1485" s="3">
        <v>0</v>
      </c>
      <c r="R1485" s="3">
        <v>0</v>
      </c>
    </row>
    <row r="1486" spans="1:18">
      <c r="A1486" s="3" t="s">
        <v>4045</v>
      </c>
      <c r="B1486" s="3" t="s">
        <v>4046</v>
      </c>
      <c r="C1486" s="3" t="s">
        <v>4047</v>
      </c>
      <c r="D1486" s="3" t="s">
        <v>4048</v>
      </c>
      <c r="E1486" s="3" t="s">
        <v>120</v>
      </c>
      <c r="F1486" s="3">
        <v>20.98</v>
      </c>
      <c r="G1486" s="3" t="s">
        <v>121</v>
      </c>
      <c r="H1486" s="3"/>
      <c r="I1486" s="3" t="s">
        <v>122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0.08</v>
      </c>
      <c r="P1486" s="3">
        <v>0</v>
      </c>
      <c r="Q1486" s="3">
        <v>0</v>
      </c>
      <c r="R1486" s="3">
        <v>0</v>
      </c>
    </row>
    <row r="1487" spans="1:18">
      <c r="A1487" s="3" t="s">
        <v>4049</v>
      </c>
      <c r="B1487" s="3" t="s">
        <v>4050</v>
      </c>
      <c r="C1487" s="3" t="s">
        <v>4051</v>
      </c>
      <c r="D1487" s="3" t="s">
        <v>4052</v>
      </c>
      <c r="E1487" s="3" t="s">
        <v>120</v>
      </c>
      <c r="F1487" s="3">
        <v>20.98</v>
      </c>
      <c r="G1487" s="3" t="s">
        <v>121</v>
      </c>
      <c r="H1487" s="3"/>
      <c r="I1487" s="3" t="s">
        <v>122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0.05</v>
      </c>
      <c r="P1487" s="3">
        <v>0</v>
      </c>
      <c r="Q1487" s="3">
        <v>0</v>
      </c>
      <c r="R1487" s="3">
        <v>0</v>
      </c>
    </row>
    <row r="1488" spans="1:18">
      <c r="A1488" s="3" t="s">
        <v>4053</v>
      </c>
      <c r="B1488" s="3" t="s">
        <v>4054</v>
      </c>
      <c r="C1488" s="3" t="s">
        <v>4055</v>
      </c>
      <c r="D1488" s="3" t="s">
        <v>4056</v>
      </c>
      <c r="E1488" s="3" t="s">
        <v>120</v>
      </c>
      <c r="F1488" s="3">
        <v>20.98</v>
      </c>
      <c r="G1488" s="3" t="s">
        <v>121</v>
      </c>
      <c r="H1488" s="3"/>
      <c r="I1488" s="3" t="s">
        <v>122</v>
      </c>
      <c r="J1488" s="3">
        <v>10</v>
      </c>
      <c r="K1488" s="3">
        <v>10</v>
      </c>
      <c r="L1488" s="3">
        <v>0</v>
      </c>
      <c r="M1488" s="3">
        <v>0</v>
      </c>
      <c r="N1488" s="3">
        <v>10</v>
      </c>
      <c r="O1488" s="3">
        <v>0.08</v>
      </c>
      <c r="P1488" s="3">
        <v>0</v>
      </c>
      <c r="Q1488" s="3">
        <v>0</v>
      </c>
      <c r="R1488" s="3">
        <v>0</v>
      </c>
    </row>
    <row r="1489" spans="1:18">
      <c r="A1489" s="3" t="s">
        <v>4057</v>
      </c>
      <c r="B1489" s="3" t="s">
        <v>4058</v>
      </c>
      <c r="C1489" s="3" t="s">
        <v>4059</v>
      </c>
      <c r="D1489" s="3" t="s">
        <v>4060</v>
      </c>
      <c r="E1489" s="3" t="s">
        <v>120</v>
      </c>
      <c r="F1489" s="3">
        <v>20.98</v>
      </c>
      <c r="G1489" s="3" t="s">
        <v>121</v>
      </c>
      <c r="H1489" s="3"/>
      <c r="I1489" s="3" t="s">
        <v>122</v>
      </c>
      <c r="J1489" s="3">
        <v>0</v>
      </c>
      <c r="K1489" s="3">
        <v>0</v>
      </c>
      <c r="L1489" s="3">
        <v>0</v>
      </c>
      <c r="M1489" s="3">
        <v>0</v>
      </c>
      <c r="N1489" s="3">
        <v>0</v>
      </c>
      <c r="O1489" s="3">
        <v>0.08</v>
      </c>
      <c r="P1489" s="3">
        <v>0</v>
      </c>
      <c r="Q1489" s="3">
        <v>0</v>
      </c>
      <c r="R1489" s="3">
        <v>0</v>
      </c>
    </row>
    <row r="1490" spans="1:18">
      <c r="A1490" s="3" t="s">
        <v>4061</v>
      </c>
      <c r="B1490" s="3" t="s">
        <v>4062</v>
      </c>
      <c r="C1490" s="3" t="s">
        <v>4063</v>
      </c>
      <c r="D1490" s="3" t="s">
        <v>4064</v>
      </c>
      <c r="E1490" s="3" t="s">
        <v>120</v>
      </c>
      <c r="F1490" s="3">
        <v>20.98</v>
      </c>
      <c r="G1490" s="3" t="s">
        <v>121</v>
      </c>
      <c r="H1490" s="3"/>
      <c r="I1490" s="3" t="s">
        <v>122</v>
      </c>
      <c r="J1490" s="3">
        <v>0</v>
      </c>
      <c r="K1490" s="3">
        <v>0</v>
      </c>
      <c r="L1490" s="3">
        <v>0</v>
      </c>
      <c r="M1490" s="3">
        <v>0</v>
      </c>
      <c r="N1490" s="3">
        <v>0</v>
      </c>
      <c r="O1490" s="3">
        <v>0.08</v>
      </c>
      <c r="P1490" s="3">
        <v>0</v>
      </c>
      <c r="Q1490" s="3">
        <v>0</v>
      </c>
      <c r="R1490" s="3">
        <v>0</v>
      </c>
    </row>
    <row r="1491" spans="1:18">
      <c r="A1491" s="3" t="s">
        <v>4065</v>
      </c>
      <c r="B1491" s="3" t="s">
        <v>4066</v>
      </c>
      <c r="C1491" s="3" t="s">
        <v>4067</v>
      </c>
      <c r="D1491" s="3" t="s">
        <v>4068</v>
      </c>
      <c r="E1491" s="3" t="s">
        <v>120</v>
      </c>
      <c r="F1491" s="3">
        <v>20.98</v>
      </c>
      <c r="G1491" s="3" t="s">
        <v>121</v>
      </c>
      <c r="H1491" s="3"/>
      <c r="I1491" s="3" t="s">
        <v>122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0.08</v>
      </c>
      <c r="P1491" s="3">
        <v>0</v>
      </c>
      <c r="Q1491" s="3">
        <v>0</v>
      </c>
      <c r="R1491" s="3">
        <v>0</v>
      </c>
    </row>
    <row r="1492" spans="1:18">
      <c r="A1492" s="3" t="s">
        <v>4069</v>
      </c>
      <c r="B1492" s="3" t="s">
        <v>4070</v>
      </c>
      <c r="C1492" s="3" t="s">
        <v>4071</v>
      </c>
      <c r="D1492" s="3" t="s">
        <v>4072</v>
      </c>
      <c r="E1492" s="3" t="s">
        <v>120</v>
      </c>
      <c r="F1492" s="3">
        <v>20.98</v>
      </c>
      <c r="G1492" s="3" t="s">
        <v>121</v>
      </c>
      <c r="H1492" s="3"/>
      <c r="I1492" s="3" t="s">
        <v>122</v>
      </c>
      <c r="J1492" s="3">
        <v>5</v>
      </c>
      <c r="K1492" s="3">
        <v>5</v>
      </c>
      <c r="L1492" s="3">
        <v>0</v>
      </c>
      <c r="M1492" s="3">
        <v>0</v>
      </c>
      <c r="N1492" s="3">
        <v>5</v>
      </c>
      <c r="O1492" s="3">
        <v>0.08</v>
      </c>
      <c r="P1492" s="3">
        <v>0</v>
      </c>
      <c r="Q1492" s="3">
        <v>0</v>
      </c>
      <c r="R1492" s="3">
        <v>0</v>
      </c>
    </row>
    <row r="1493" spans="1:18">
      <c r="A1493" s="3" t="s">
        <v>4073</v>
      </c>
      <c r="B1493" s="3" t="s">
        <v>4074</v>
      </c>
      <c r="C1493" s="3" t="s">
        <v>4075</v>
      </c>
      <c r="D1493" s="3" t="s">
        <v>4076</v>
      </c>
      <c r="E1493" s="3" t="s">
        <v>120</v>
      </c>
      <c r="F1493" s="3">
        <v>20.98</v>
      </c>
      <c r="G1493" s="3" t="s">
        <v>121</v>
      </c>
      <c r="H1493" s="3"/>
      <c r="I1493" s="3" t="s">
        <v>122</v>
      </c>
      <c r="J1493" s="3">
        <v>0</v>
      </c>
      <c r="K1493" s="3">
        <v>0</v>
      </c>
      <c r="L1493" s="3">
        <v>0</v>
      </c>
      <c r="M1493" s="3">
        <v>0</v>
      </c>
      <c r="N1493" s="3">
        <v>0</v>
      </c>
      <c r="O1493" s="3">
        <v>0.05</v>
      </c>
      <c r="P1493" s="3">
        <v>0</v>
      </c>
      <c r="Q1493" s="3">
        <v>0</v>
      </c>
      <c r="R1493" s="3">
        <v>0</v>
      </c>
    </row>
    <row r="1494" spans="1:18">
      <c r="A1494" s="3" t="s">
        <v>4077</v>
      </c>
      <c r="B1494" s="3" t="s">
        <v>4078</v>
      </c>
      <c r="C1494" s="3" t="s">
        <v>4079</v>
      </c>
      <c r="D1494" s="3" t="s">
        <v>4080</v>
      </c>
      <c r="E1494" s="3" t="s">
        <v>120</v>
      </c>
      <c r="F1494" s="3">
        <v>20.98</v>
      </c>
      <c r="G1494" s="3" t="s">
        <v>121</v>
      </c>
      <c r="H1494" s="3"/>
      <c r="I1494" s="3" t="s">
        <v>122</v>
      </c>
      <c r="J1494" s="3">
        <v>0</v>
      </c>
      <c r="K1494" s="3">
        <v>0</v>
      </c>
      <c r="L1494" s="3">
        <v>0</v>
      </c>
      <c r="M1494" s="3">
        <v>0</v>
      </c>
      <c r="N1494" s="3">
        <v>0</v>
      </c>
      <c r="O1494" s="3">
        <v>0.08</v>
      </c>
      <c r="P1494" s="3">
        <v>0</v>
      </c>
      <c r="Q1494" s="3">
        <v>0</v>
      </c>
      <c r="R1494" s="3">
        <v>0</v>
      </c>
    </row>
    <row r="1495" spans="1:18">
      <c r="A1495" s="3" t="s">
        <v>4081</v>
      </c>
      <c r="B1495" s="3" t="s">
        <v>4082</v>
      </c>
      <c r="C1495" s="3" t="s">
        <v>4083</v>
      </c>
      <c r="D1495" s="3" t="s">
        <v>4084</v>
      </c>
      <c r="E1495" s="3" t="s">
        <v>120</v>
      </c>
      <c r="F1495" s="3">
        <v>20.98</v>
      </c>
      <c r="G1495" s="3" t="s">
        <v>121</v>
      </c>
      <c r="H1495" s="3"/>
      <c r="I1495" s="3" t="s">
        <v>122</v>
      </c>
      <c r="J1495" s="3">
        <v>5</v>
      </c>
      <c r="K1495" s="3">
        <v>5</v>
      </c>
      <c r="L1495" s="3">
        <v>0</v>
      </c>
      <c r="M1495" s="3">
        <v>0</v>
      </c>
      <c r="N1495" s="3">
        <v>5</v>
      </c>
      <c r="O1495" s="3">
        <v>0.08</v>
      </c>
      <c r="P1495" s="3">
        <v>0</v>
      </c>
      <c r="Q1495" s="3">
        <v>0</v>
      </c>
      <c r="R1495" s="3">
        <v>0</v>
      </c>
    </row>
    <row r="1496" spans="1:18">
      <c r="A1496" s="3" t="s">
        <v>4085</v>
      </c>
      <c r="B1496" s="3" t="s">
        <v>4086</v>
      </c>
      <c r="C1496" s="3" t="s">
        <v>4086</v>
      </c>
      <c r="D1496" s="3" t="s">
        <v>4087</v>
      </c>
      <c r="E1496" s="3" t="s">
        <v>120</v>
      </c>
      <c r="F1496" s="3">
        <v>39.98</v>
      </c>
      <c r="G1496" s="3" t="s">
        <v>121</v>
      </c>
      <c r="H1496" s="3"/>
      <c r="I1496" s="3" t="s">
        <v>122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0.11</v>
      </c>
      <c r="P1496" s="3">
        <v>0</v>
      </c>
      <c r="Q1496" s="3">
        <v>0</v>
      </c>
      <c r="R1496" s="3">
        <v>0</v>
      </c>
    </row>
    <row r="1497" spans="1:18">
      <c r="A1497" s="3" t="s">
        <v>4088</v>
      </c>
      <c r="B1497" s="3" t="s">
        <v>4089</v>
      </c>
      <c r="C1497" s="3" t="s">
        <v>4089</v>
      </c>
      <c r="D1497" s="3" t="s">
        <v>4090</v>
      </c>
      <c r="E1497" s="3" t="s">
        <v>120</v>
      </c>
      <c r="F1497" s="3">
        <v>39.98</v>
      </c>
      <c r="G1497" s="3" t="s">
        <v>121</v>
      </c>
      <c r="H1497" s="3"/>
      <c r="I1497" s="3" t="s">
        <v>122</v>
      </c>
      <c r="J1497" s="3">
        <v>1</v>
      </c>
      <c r="K1497" s="3">
        <v>1</v>
      </c>
      <c r="L1497" s="3">
        <v>0</v>
      </c>
      <c r="M1497" s="3">
        <v>0</v>
      </c>
      <c r="N1497" s="3">
        <v>1</v>
      </c>
      <c r="O1497" s="3">
        <v>0.11</v>
      </c>
      <c r="P1497" s="3">
        <v>0</v>
      </c>
      <c r="Q1497" s="3">
        <v>0</v>
      </c>
      <c r="R1497" s="3">
        <v>0</v>
      </c>
    </row>
    <row r="1498" spans="1:18">
      <c r="A1498" s="3" t="s">
        <v>4091</v>
      </c>
      <c r="B1498" s="3" t="s">
        <v>4092</v>
      </c>
      <c r="C1498" s="3" t="s">
        <v>4092</v>
      </c>
      <c r="D1498" s="3"/>
      <c r="E1498" s="3" t="s">
        <v>20</v>
      </c>
      <c r="F1498" s="3"/>
      <c r="G1498" s="3"/>
      <c r="H1498" s="3"/>
      <c r="I1498" s="3"/>
      <c r="J1498" s="3">
        <v>0</v>
      </c>
      <c r="K1498" s="3">
        <v>0</v>
      </c>
      <c r="L1498" s="3">
        <v>0</v>
      </c>
      <c r="M1498" s="3">
        <v>0</v>
      </c>
      <c r="N1498" s="3">
        <v>0</v>
      </c>
      <c r="O1498" s="3"/>
      <c r="P1498" s="3">
        <v>0</v>
      </c>
      <c r="Q1498" s="3">
        <v>0</v>
      </c>
      <c r="R1498" s="3">
        <v>0</v>
      </c>
    </row>
    <row r="1499" spans="1:18">
      <c r="A1499" s="3" t="s">
        <v>4093</v>
      </c>
      <c r="B1499" s="3" t="s">
        <v>4094</v>
      </c>
      <c r="C1499" s="3" t="s">
        <v>4094</v>
      </c>
      <c r="D1499" s="3"/>
      <c r="E1499" s="3" t="s">
        <v>20</v>
      </c>
      <c r="F1499" s="3"/>
      <c r="G1499" s="3"/>
      <c r="H1499" s="3"/>
      <c r="I1499" s="3"/>
      <c r="J1499" s="3">
        <v>0</v>
      </c>
      <c r="K1499" s="3">
        <v>0</v>
      </c>
      <c r="L1499" s="3">
        <v>0</v>
      </c>
      <c r="M1499" s="3">
        <v>0</v>
      </c>
      <c r="N1499" s="3">
        <v>0</v>
      </c>
      <c r="O1499" s="3"/>
      <c r="P1499" s="3">
        <v>0</v>
      </c>
      <c r="Q1499" s="3">
        <v>0</v>
      </c>
      <c r="R1499" s="3">
        <v>0</v>
      </c>
    </row>
    <row r="1500" spans="1:18">
      <c r="A1500" s="3" t="s">
        <v>4095</v>
      </c>
      <c r="B1500" s="3" t="s">
        <v>4096</v>
      </c>
      <c r="C1500" s="3" t="s">
        <v>4096</v>
      </c>
      <c r="D1500" s="3"/>
      <c r="E1500" s="3" t="s">
        <v>20</v>
      </c>
      <c r="F1500" s="3"/>
      <c r="G1500" s="3"/>
      <c r="H1500" s="3"/>
      <c r="I1500" s="3"/>
      <c r="J1500" s="3">
        <v>0</v>
      </c>
      <c r="K1500" s="3">
        <v>0</v>
      </c>
      <c r="L1500" s="3">
        <v>0</v>
      </c>
      <c r="M1500" s="3">
        <v>0</v>
      </c>
      <c r="N1500" s="3">
        <v>0</v>
      </c>
      <c r="O1500" s="3"/>
      <c r="P1500" s="3">
        <v>0</v>
      </c>
      <c r="Q1500" s="3">
        <v>0</v>
      </c>
      <c r="R1500" s="3">
        <v>0</v>
      </c>
    </row>
    <row r="1501" spans="1:18">
      <c r="A1501" s="3" t="s">
        <v>4097</v>
      </c>
      <c r="B1501" s="3" t="s">
        <v>4098</v>
      </c>
      <c r="C1501" s="3" t="s">
        <v>4098</v>
      </c>
      <c r="D1501" s="3"/>
      <c r="E1501" s="3" t="s">
        <v>20</v>
      </c>
      <c r="F1501" s="3"/>
      <c r="G1501" s="3"/>
      <c r="H1501" s="3"/>
      <c r="I1501" s="3"/>
      <c r="J1501" s="3">
        <v>0</v>
      </c>
      <c r="K1501" s="3">
        <v>0</v>
      </c>
      <c r="L1501" s="3">
        <v>0</v>
      </c>
      <c r="M1501" s="3">
        <v>0</v>
      </c>
      <c r="N1501" s="3">
        <v>0</v>
      </c>
      <c r="O1501" s="3"/>
      <c r="P1501" s="3">
        <v>0</v>
      </c>
      <c r="Q1501" s="3">
        <v>0</v>
      </c>
      <c r="R1501" s="3">
        <v>0</v>
      </c>
    </row>
    <row r="1502" spans="1:18">
      <c r="A1502" s="3" t="s">
        <v>4099</v>
      </c>
      <c r="B1502" s="3" t="s">
        <v>4100</v>
      </c>
      <c r="C1502" s="3" t="s">
        <v>4100</v>
      </c>
      <c r="D1502" s="3" t="s">
        <v>4101</v>
      </c>
      <c r="E1502" s="3" t="s">
        <v>120</v>
      </c>
      <c r="F1502" s="3">
        <v>39.98</v>
      </c>
      <c r="G1502" s="3" t="s">
        <v>121</v>
      </c>
      <c r="H1502" s="3"/>
      <c r="I1502" s="3" t="s">
        <v>122</v>
      </c>
      <c r="J1502" s="3">
        <v>1</v>
      </c>
      <c r="K1502" s="3">
        <v>1</v>
      </c>
      <c r="L1502" s="3">
        <v>0</v>
      </c>
      <c r="M1502" s="3">
        <v>0</v>
      </c>
      <c r="N1502" s="3">
        <v>1</v>
      </c>
      <c r="O1502" s="3">
        <v>0.11</v>
      </c>
      <c r="P1502" s="3">
        <v>0</v>
      </c>
      <c r="Q1502" s="3">
        <v>0</v>
      </c>
      <c r="R1502" s="3">
        <v>0</v>
      </c>
    </row>
    <row r="1503" spans="1:18">
      <c r="A1503" s="3" t="s">
        <v>4102</v>
      </c>
      <c r="B1503" s="3" t="s">
        <v>4103</v>
      </c>
      <c r="C1503" s="3" t="s">
        <v>4103</v>
      </c>
      <c r="D1503" s="3"/>
      <c r="E1503" s="3" t="s">
        <v>20</v>
      </c>
      <c r="F1503" s="3"/>
      <c r="G1503" s="3"/>
      <c r="H1503" s="3"/>
      <c r="I1503" s="3"/>
      <c r="J1503" s="3">
        <v>0</v>
      </c>
      <c r="K1503" s="3">
        <v>0</v>
      </c>
      <c r="L1503" s="3">
        <v>0</v>
      </c>
      <c r="M1503" s="3">
        <v>0</v>
      </c>
      <c r="N1503" s="3">
        <v>0</v>
      </c>
      <c r="O1503" s="3"/>
      <c r="P1503" s="3">
        <v>0</v>
      </c>
      <c r="Q1503" s="3">
        <v>0</v>
      </c>
      <c r="R1503" s="3">
        <v>0</v>
      </c>
    </row>
    <row r="1504" spans="1:18">
      <c r="A1504" s="3" t="s">
        <v>4104</v>
      </c>
      <c r="B1504" s="3" t="s">
        <v>4105</v>
      </c>
      <c r="C1504" s="3" t="s">
        <v>4105</v>
      </c>
      <c r="D1504" s="3"/>
      <c r="E1504" s="3" t="s">
        <v>20</v>
      </c>
      <c r="F1504" s="3"/>
      <c r="G1504" s="3"/>
      <c r="H1504" s="3"/>
      <c r="I1504" s="3"/>
      <c r="J1504" s="3">
        <v>0</v>
      </c>
      <c r="K1504" s="3">
        <v>0</v>
      </c>
      <c r="L1504" s="3">
        <v>0</v>
      </c>
      <c r="M1504" s="3">
        <v>0</v>
      </c>
      <c r="N1504" s="3">
        <v>0</v>
      </c>
      <c r="O1504" s="3"/>
      <c r="P1504" s="3">
        <v>0</v>
      </c>
      <c r="Q1504" s="3">
        <v>0</v>
      </c>
      <c r="R1504" s="3">
        <v>0</v>
      </c>
    </row>
    <row r="1505" spans="1:18">
      <c r="A1505" s="3" t="s">
        <v>4106</v>
      </c>
      <c r="B1505" s="3" t="s">
        <v>4107</v>
      </c>
      <c r="C1505" s="3" t="s">
        <v>4107</v>
      </c>
      <c r="D1505" s="3" t="s">
        <v>4108</v>
      </c>
      <c r="E1505" s="3" t="s">
        <v>120</v>
      </c>
      <c r="F1505" s="3">
        <v>39.98</v>
      </c>
      <c r="G1505" s="3" t="s">
        <v>121</v>
      </c>
      <c r="H1505" s="3"/>
      <c r="I1505" s="3" t="s">
        <v>122</v>
      </c>
      <c r="J1505" s="3">
        <v>0</v>
      </c>
      <c r="K1505" s="3">
        <v>0</v>
      </c>
      <c r="L1505" s="3">
        <v>0</v>
      </c>
      <c r="M1505" s="3">
        <v>0</v>
      </c>
      <c r="N1505" s="3">
        <v>0</v>
      </c>
      <c r="O1505" s="3">
        <v>0.11</v>
      </c>
      <c r="P1505" s="3">
        <v>0</v>
      </c>
      <c r="Q1505" s="3">
        <v>0</v>
      </c>
      <c r="R1505" s="3">
        <v>0</v>
      </c>
    </row>
    <row r="1506" spans="1:18">
      <c r="A1506" s="3" t="s">
        <v>4109</v>
      </c>
      <c r="B1506" s="3" t="s">
        <v>4110</v>
      </c>
      <c r="C1506" s="3" t="s">
        <v>4110</v>
      </c>
      <c r="D1506" s="3" t="s">
        <v>4111</v>
      </c>
      <c r="E1506" s="3" t="s">
        <v>120</v>
      </c>
      <c r="F1506" s="3">
        <v>39.98</v>
      </c>
      <c r="G1506" s="3" t="s">
        <v>121</v>
      </c>
      <c r="H1506" s="3"/>
      <c r="I1506" s="3" t="s">
        <v>122</v>
      </c>
      <c r="J1506" s="3">
        <v>1</v>
      </c>
      <c r="K1506" s="3">
        <v>1</v>
      </c>
      <c r="L1506" s="3">
        <v>0</v>
      </c>
      <c r="M1506" s="3">
        <v>0</v>
      </c>
      <c r="N1506" s="3">
        <v>1</v>
      </c>
      <c r="O1506" s="3">
        <v>0.11</v>
      </c>
      <c r="P1506" s="3">
        <v>0</v>
      </c>
      <c r="Q1506" s="3">
        <v>0</v>
      </c>
      <c r="R1506" s="3">
        <v>0</v>
      </c>
    </row>
    <row r="1507" spans="1:18">
      <c r="A1507" s="3" t="s">
        <v>4112</v>
      </c>
      <c r="B1507" s="3" t="s">
        <v>4113</v>
      </c>
      <c r="C1507" s="3" t="s">
        <v>4113</v>
      </c>
      <c r="D1507" s="3"/>
      <c r="E1507" s="3" t="s">
        <v>20</v>
      </c>
      <c r="F1507" s="3"/>
      <c r="G1507" s="3"/>
      <c r="H1507" s="3"/>
      <c r="I1507" s="3"/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/>
      <c r="P1507" s="3">
        <v>0</v>
      </c>
      <c r="Q1507" s="3">
        <v>0</v>
      </c>
      <c r="R1507" s="3">
        <v>0</v>
      </c>
    </row>
    <row r="1508" spans="1:18">
      <c r="A1508" s="3" t="s">
        <v>4114</v>
      </c>
      <c r="B1508" s="3" t="s">
        <v>4115</v>
      </c>
      <c r="C1508" s="3" t="s">
        <v>4115</v>
      </c>
      <c r="D1508" s="3"/>
      <c r="E1508" s="3" t="s">
        <v>20</v>
      </c>
      <c r="F1508" s="3"/>
      <c r="G1508" s="3"/>
      <c r="H1508" s="3"/>
      <c r="I1508" s="3"/>
      <c r="J1508" s="3">
        <v>0</v>
      </c>
      <c r="K1508" s="3">
        <v>0</v>
      </c>
      <c r="L1508" s="3">
        <v>0</v>
      </c>
      <c r="M1508" s="3">
        <v>0</v>
      </c>
      <c r="N1508" s="3">
        <v>0</v>
      </c>
      <c r="O1508" s="3"/>
      <c r="P1508" s="3">
        <v>0</v>
      </c>
      <c r="Q1508" s="3">
        <v>0</v>
      </c>
      <c r="R1508" s="3">
        <v>0</v>
      </c>
    </row>
    <row r="1509" spans="1:18">
      <c r="A1509" s="3" t="s">
        <v>4116</v>
      </c>
      <c r="B1509" s="3" t="s">
        <v>4117</v>
      </c>
      <c r="C1509" s="3" t="s">
        <v>4117</v>
      </c>
      <c r="D1509" s="3" t="s">
        <v>4118</v>
      </c>
      <c r="E1509" s="3" t="s">
        <v>120</v>
      </c>
      <c r="F1509" s="3">
        <v>22.98</v>
      </c>
      <c r="G1509" s="3" t="s">
        <v>121</v>
      </c>
      <c r="H1509" s="3"/>
      <c r="I1509" s="3" t="s">
        <v>122</v>
      </c>
      <c r="J1509" s="3">
        <v>20</v>
      </c>
      <c r="K1509" s="3">
        <v>20</v>
      </c>
      <c r="L1509" s="3">
        <v>0</v>
      </c>
      <c r="M1509" s="3">
        <v>0</v>
      </c>
      <c r="N1509" s="3">
        <v>20</v>
      </c>
      <c r="O1509" s="3">
        <v>0.08</v>
      </c>
      <c r="P1509" s="3">
        <v>0</v>
      </c>
      <c r="Q1509" s="3">
        <v>0</v>
      </c>
      <c r="R1509" s="3">
        <v>0</v>
      </c>
    </row>
    <row r="1510" spans="1:18">
      <c r="A1510" s="3" t="s">
        <v>4119</v>
      </c>
      <c r="B1510" s="3" t="s">
        <v>4120</v>
      </c>
      <c r="C1510" s="3" t="s">
        <v>4120</v>
      </c>
      <c r="D1510" s="3" t="s">
        <v>4121</v>
      </c>
      <c r="E1510" s="3" t="s">
        <v>120</v>
      </c>
      <c r="F1510" s="3">
        <v>22.98</v>
      </c>
      <c r="G1510" s="3" t="s">
        <v>121</v>
      </c>
      <c r="H1510" s="3"/>
      <c r="I1510" s="3" t="s">
        <v>122</v>
      </c>
      <c r="J1510" s="3">
        <v>3</v>
      </c>
      <c r="K1510" s="3">
        <v>3</v>
      </c>
      <c r="L1510" s="3">
        <v>0</v>
      </c>
      <c r="M1510" s="3">
        <v>0</v>
      </c>
      <c r="N1510" s="3">
        <v>3</v>
      </c>
      <c r="O1510" s="3">
        <v>0.08</v>
      </c>
      <c r="P1510" s="3">
        <v>0</v>
      </c>
      <c r="Q1510" s="3">
        <v>0</v>
      </c>
      <c r="R1510" s="3">
        <v>0</v>
      </c>
    </row>
    <row r="1511" spans="1:18">
      <c r="A1511" s="3" t="s">
        <v>4122</v>
      </c>
      <c r="B1511" s="3" t="s">
        <v>4123</v>
      </c>
      <c r="C1511" s="3" t="s">
        <v>4123</v>
      </c>
      <c r="D1511" s="3" t="s">
        <v>4124</v>
      </c>
      <c r="E1511" s="3" t="s">
        <v>120</v>
      </c>
      <c r="F1511" s="3">
        <v>22.98</v>
      </c>
      <c r="G1511" s="3" t="s">
        <v>121</v>
      </c>
      <c r="H1511" s="3"/>
      <c r="I1511" s="3" t="s">
        <v>122</v>
      </c>
      <c r="J1511" s="3">
        <v>15</v>
      </c>
      <c r="K1511" s="3">
        <v>15</v>
      </c>
      <c r="L1511" s="3">
        <v>0</v>
      </c>
      <c r="M1511" s="3">
        <v>0</v>
      </c>
      <c r="N1511" s="3">
        <v>15</v>
      </c>
      <c r="O1511" s="3">
        <v>0.08</v>
      </c>
      <c r="P1511" s="3">
        <v>0</v>
      </c>
      <c r="Q1511" s="3">
        <v>0</v>
      </c>
      <c r="R1511" s="3">
        <v>0</v>
      </c>
    </row>
    <row r="1512" spans="1:18">
      <c r="A1512" s="3" t="s">
        <v>4125</v>
      </c>
      <c r="B1512" s="3" t="s">
        <v>4126</v>
      </c>
      <c r="C1512" s="3" t="s">
        <v>4126</v>
      </c>
      <c r="D1512" s="3" t="s">
        <v>4127</v>
      </c>
      <c r="E1512" s="3" t="s">
        <v>120</v>
      </c>
      <c r="F1512" s="3">
        <v>22.98</v>
      </c>
      <c r="G1512" s="3" t="s">
        <v>121</v>
      </c>
      <c r="H1512" s="3"/>
      <c r="I1512" s="3" t="s">
        <v>122</v>
      </c>
      <c r="J1512" s="3">
        <v>5</v>
      </c>
      <c r="K1512" s="3">
        <v>5</v>
      </c>
      <c r="L1512" s="3">
        <v>0</v>
      </c>
      <c r="M1512" s="3">
        <v>0</v>
      </c>
      <c r="N1512" s="3">
        <v>5</v>
      </c>
      <c r="O1512" s="3">
        <v>0.08</v>
      </c>
      <c r="P1512" s="3">
        <v>0</v>
      </c>
      <c r="Q1512" s="3">
        <v>0</v>
      </c>
      <c r="R1512" s="3">
        <v>0</v>
      </c>
    </row>
    <row r="1513" spans="1:18">
      <c r="A1513" s="3" t="s">
        <v>4128</v>
      </c>
      <c r="B1513" s="3" t="s">
        <v>4129</v>
      </c>
      <c r="C1513" s="3" t="s">
        <v>4129</v>
      </c>
      <c r="D1513" s="3"/>
      <c r="E1513" s="3" t="s">
        <v>20</v>
      </c>
      <c r="F1513" s="3"/>
      <c r="G1513" s="3"/>
      <c r="H1513" s="3"/>
      <c r="I1513" s="3"/>
      <c r="J1513" s="3">
        <v>0</v>
      </c>
      <c r="K1513" s="3">
        <v>0</v>
      </c>
      <c r="L1513" s="3">
        <v>0</v>
      </c>
      <c r="M1513" s="3">
        <v>0</v>
      </c>
      <c r="N1513" s="3">
        <v>0</v>
      </c>
      <c r="O1513" s="3"/>
      <c r="P1513" s="3">
        <v>0</v>
      </c>
      <c r="Q1513" s="3">
        <v>0</v>
      </c>
      <c r="R1513" s="3">
        <v>0</v>
      </c>
    </row>
    <row r="1514" spans="1:18">
      <c r="A1514" s="3" t="s">
        <v>4130</v>
      </c>
      <c r="B1514" s="3" t="s">
        <v>4131</v>
      </c>
      <c r="C1514" s="3" t="s">
        <v>4131</v>
      </c>
      <c r="D1514" s="3" t="s">
        <v>4132</v>
      </c>
      <c r="E1514" s="3" t="s">
        <v>120</v>
      </c>
      <c r="F1514" s="3">
        <v>22.98</v>
      </c>
      <c r="G1514" s="3" t="s">
        <v>121</v>
      </c>
      <c r="H1514" s="3"/>
      <c r="I1514" s="3" t="s">
        <v>122</v>
      </c>
      <c r="J1514" s="3">
        <v>7</v>
      </c>
      <c r="K1514" s="3">
        <v>7</v>
      </c>
      <c r="L1514" s="3">
        <v>0</v>
      </c>
      <c r="M1514" s="3">
        <v>0</v>
      </c>
      <c r="N1514" s="3">
        <v>7</v>
      </c>
      <c r="O1514" s="3">
        <v>0.08</v>
      </c>
      <c r="P1514" s="3">
        <v>0</v>
      </c>
      <c r="Q1514" s="3">
        <v>0</v>
      </c>
      <c r="R1514" s="3">
        <v>0</v>
      </c>
    </row>
    <row r="1515" spans="1:18">
      <c r="A1515" s="3" t="s">
        <v>4133</v>
      </c>
      <c r="B1515" s="3" t="s">
        <v>4134</v>
      </c>
      <c r="C1515" s="3" t="s">
        <v>4134</v>
      </c>
      <c r="D1515" s="3" t="s">
        <v>4135</v>
      </c>
      <c r="E1515" s="3" t="s">
        <v>120</v>
      </c>
      <c r="F1515" s="3">
        <v>22.98</v>
      </c>
      <c r="G1515" s="3" t="s">
        <v>121</v>
      </c>
      <c r="H1515" s="3"/>
      <c r="I1515" s="3" t="s">
        <v>122</v>
      </c>
      <c r="J1515" s="3">
        <v>17</v>
      </c>
      <c r="K1515" s="3">
        <v>16</v>
      </c>
      <c r="L1515" s="3">
        <v>1</v>
      </c>
      <c r="M1515" s="3">
        <v>0</v>
      </c>
      <c r="N1515" s="3">
        <v>17</v>
      </c>
      <c r="O1515" s="3">
        <v>0.08</v>
      </c>
      <c r="P1515" s="3">
        <v>0</v>
      </c>
      <c r="Q1515" s="3">
        <v>0</v>
      </c>
      <c r="R1515" s="3">
        <v>0</v>
      </c>
    </row>
    <row r="1516" spans="1:18">
      <c r="A1516" s="3" t="s">
        <v>4136</v>
      </c>
      <c r="B1516" s="3" t="s">
        <v>4137</v>
      </c>
      <c r="C1516" s="3" t="s">
        <v>4137</v>
      </c>
      <c r="D1516" s="3" t="s">
        <v>4138</v>
      </c>
      <c r="E1516" s="3" t="s">
        <v>120</v>
      </c>
      <c r="F1516" s="3">
        <v>22.98</v>
      </c>
      <c r="G1516" s="3" t="s">
        <v>121</v>
      </c>
      <c r="H1516" s="3"/>
      <c r="I1516" s="3" t="s">
        <v>122</v>
      </c>
      <c r="J1516" s="3">
        <v>24</v>
      </c>
      <c r="K1516" s="3">
        <v>24</v>
      </c>
      <c r="L1516" s="3">
        <v>0</v>
      </c>
      <c r="M1516" s="3">
        <v>0</v>
      </c>
      <c r="N1516" s="3">
        <v>24</v>
      </c>
      <c r="O1516" s="3">
        <v>0.08</v>
      </c>
      <c r="P1516" s="3">
        <v>0</v>
      </c>
      <c r="Q1516" s="3">
        <v>0</v>
      </c>
      <c r="R1516" s="3">
        <v>0</v>
      </c>
    </row>
    <row r="1517" spans="1:18">
      <c r="A1517" s="3" t="s">
        <v>4139</v>
      </c>
      <c r="B1517" s="3" t="s">
        <v>4140</v>
      </c>
      <c r="C1517" s="3" t="s">
        <v>4140</v>
      </c>
      <c r="D1517" s="3" t="s">
        <v>4141</v>
      </c>
      <c r="E1517" s="3" t="s">
        <v>120</v>
      </c>
      <c r="F1517" s="3">
        <v>22.98</v>
      </c>
      <c r="G1517" s="3" t="s">
        <v>121</v>
      </c>
      <c r="H1517" s="3"/>
      <c r="I1517" s="3" t="s">
        <v>122</v>
      </c>
      <c r="J1517" s="3">
        <v>22</v>
      </c>
      <c r="K1517" s="3">
        <v>22</v>
      </c>
      <c r="L1517" s="3">
        <v>0</v>
      </c>
      <c r="M1517" s="3">
        <v>0</v>
      </c>
      <c r="N1517" s="3">
        <v>22</v>
      </c>
      <c r="O1517" s="3">
        <v>0.08</v>
      </c>
      <c r="P1517" s="3">
        <v>0</v>
      </c>
      <c r="Q1517" s="3">
        <v>0</v>
      </c>
      <c r="R1517" s="3">
        <v>0</v>
      </c>
    </row>
    <row r="1518" spans="1:18">
      <c r="A1518" s="3" t="s">
        <v>4142</v>
      </c>
      <c r="B1518" s="3" t="s">
        <v>4143</v>
      </c>
      <c r="C1518" s="3" t="s">
        <v>4143</v>
      </c>
      <c r="D1518" s="3" t="s">
        <v>4144</v>
      </c>
      <c r="E1518" s="3" t="s">
        <v>120</v>
      </c>
      <c r="F1518" s="3">
        <v>22.98</v>
      </c>
      <c r="G1518" s="3" t="s">
        <v>121</v>
      </c>
      <c r="H1518" s="3"/>
      <c r="I1518" s="3" t="s">
        <v>122</v>
      </c>
      <c r="J1518" s="3">
        <v>8</v>
      </c>
      <c r="K1518" s="3">
        <v>8</v>
      </c>
      <c r="L1518" s="3">
        <v>0</v>
      </c>
      <c r="M1518" s="3">
        <v>0</v>
      </c>
      <c r="N1518" s="3">
        <v>8</v>
      </c>
      <c r="O1518" s="3">
        <v>0.08</v>
      </c>
      <c r="P1518" s="3">
        <v>0</v>
      </c>
      <c r="Q1518" s="3">
        <v>0</v>
      </c>
      <c r="R1518" s="3">
        <v>0</v>
      </c>
    </row>
    <row r="1519" spans="1:18">
      <c r="A1519" s="3" t="s">
        <v>4145</v>
      </c>
      <c r="B1519" s="3" t="s">
        <v>4146</v>
      </c>
      <c r="C1519" s="3" t="s">
        <v>4146</v>
      </c>
      <c r="D1519" s="3" t="s">
        <v>4147</v>
      </c>
      <c r="E1519" s="3" t="s">
        <v>120</v>
      </c>
      <c r="F1519" s="3">
        <v>22.98</v>
      </c>
      <c r="G1519" s="3" t="s">
        <v>121</v>
      </c>
      <c r="H1519" s="3"/>
      <c r="I1519" s="3" t="s">
        <v>122</v>
      </c>
      <c r="J1519" s="3">
        <v>10</v>
      </c>
      <c r="K1519" s="3">
        <v>10</v>
      </c>
      <c r="L1519" s="3">
        <v>0</v>
      </c>
      <c r="M1519" s="3">
        <v>0</v>
      </c>
      <c r="N1519" s="3">
        <v>10</v>
      </c>
      <c r="O1519" s="3">
        <v>0.08</v>
      </c>
      <c r="P1519" s="3">
        <v>0</v>
      </c>
      <c r="Q1519" s="3">
        <v>0</v>
      </c>
      <c r="R1519" s="3">
        <v>0</v>
      </c>
    </row>
    <row r="1520" spans="1:18">
      <c r="A1520" s="3" t="s">
        <v>4148</v>
      </c>
      <c r="B1520" s="3" t="s">
        <v>4149</v>
      </c>
      <c r="C1520" s="3" t="s">
        <v>4149</v>
      </c>
      <c r="D1520" s="3" t="s">
        <v>4150</v>
      </c>
      <c r="E1520" s="3" t="s">
        <v>120</v>
      </c>
      <c r="F1520" s="3">
        <v>22.98</v>
      </c>
      <c r="G1520" s="3" t="s">
        <v>121</v>
      </c>
      <c r="H1520" s="3"/>
      <c r="I1520" s="3" t="s">
        <v>122</v>
      </c>
      <c r="J1520" s="3">
        <v>18</v>
      </c>
      <c r="K1520" s="3">
        <v>17</v>
      </c>
      <c r="L1520" s="3">
        <v>0</v>
      </c>
      <c r="M1520" s="3">
        <v>1</v>
      </c>
      <c r="N1520" s="3">
        <v>18</v>
      </c>
      <c r="O1520" s="3">
        <v>0.08</v>
      </c>
      <c r="P1520" s="3">
        <v>0</v>
      </c>
      <c r="Q1520" s="3">
        <v>0</v>
      </c>
      <c r="R1520" s="3">
        <v>0</v>
      </c>
    </row>
    <row r="1521" spans="1:18">
      <c r="A1521" s="3" t="s">
        <v>4151</v>
      </c>
      <c r="B1521" s="3" t="s">
        <v>4152</v>
      </c>
      <c r="C1521" s="3" t="s">
        <v>4152</v>
      </c>
      <c r="D1521" s="3" t="s">
        <v>4153</v>
      </c>
      <c r="E1521" s="3" t="s">
        <v>120</v>
      </c>
      <c r="F1521" s="3">
        <v>22.98</v>
      </c>
      <c r="G1521" s="3" t="s">
        <v>121</v>
      </c>
      <c r="H1521" s="3"/>
      <c r="I1521" s="3" t="s">
        <v>122</v>
      </c>
      <c r="J1521" s="3">
        <v>0</v>
      </c>
      <c r="K1521" s="3">
        <v>0</v>
      </c>
      <c r="L1521" s="3">
        <v>0</v>
      </c>
      <c r="M1521" s="3">
        <v>0</v>
      </c>
      <c r="N1521" s="3">
        <v>0</v>
      </c>
      <c r="O1521" s="3">
        <v>0.08</v>
      </c>
      <c r="P1521" s="3">
        <v>0</v>
      </c>
      <c r="Q1521" s="3">
        <v>0</v>
      </c>
      <c r="R1521" s="3">
        <v>0</v>
      </c>
    </row>
    <row r="1522" spans="1:18">
      <c r="A1522" s="3" t="s">
        <v>4154</v>
      </c>
      <c r="B1522" s="3" t="s">
        <v>4155</v>
      </c>
      <c r="C1522" s="3" t="s">
        <v>4155</v>
      </c>
      <c r="D1522" s="3" t="s">
        <v>4156</v>
      </c>
      <c r="E1522" s="3" t="s">
        <v>120</v>
      </c>
      <c r="F1522" s="3">
        <v>22.98</v>
      </c>
      <c r="G1522" s="3" t="s">
        <v>121</v>
      </c>
      <c r="H1522" s="3"/>
      <c r="I1522" s="3" t="s">
        <v>122</v>
      </c>
      <c r="J1522" s="3">
        <v>5</v>
      </c>
      <c r="K1522" s="3">
        <v>5</v>
      </c>
      <c r="L1522" s="3">
        <v>0</v>
      </c>
      <c r="M1522" s="3">
        <v>0</v>
      </c>
      <c r="N1522" s="3">
        <v>5</v>
      </c>
      <c r="O1522" s="3">
        <v>0.08</v>
      </c>
      <c r="P1522" s="3">
        <v>0</v>
      </c>
      <c r="Q1522" s="3">
        <v>0</v>
      </c>
      <c r="R1522" s="3">
        <v>0</v>
      </c>
    </row>
    <row r="1523" spans="1:18">
      <c r="A1523" s="3" t="s">
        <v>4157</v>
      </c>
      <c r="B1523" s="3" t="s">
        <v>4158</v>
      </c>
      <c r="C1523" s="3" t="s">
        <v>4158</v>
      </c>
      <c r="D1523" s="3" t="s">
        <v>4159</v>
      </c>
      <c r="E1523" s="3" t="s">
        <v>120</v>
      </c>
      <c r="F1523" s="3">
        <v>22.98</v>
      </c>
      <c r="G1523" s="3" t="s">
        <v>121</v>
      </c>
      <c r="H1523" s="3"/>
      <c r="I1523" s="3" t="s">
        <v>122</v>
      </c>
      <c r="J1523" s="3">
        <v>15</v>
      </c>
      <c r="K1523" s="3">
        <v>13</v>
      </c>
      <c r="L1523" s="3">
        <v>0</v>
      </c>
      <c r="M1523" s="3">
        <v>2</v>
      </c>
      <c r="N1523" s="3">
        <v>15</v>
      </c>
      <c r="O1523" s="3">
        <v>0.08</v>
      </c>
      <c r="P1523" s="3">
        <v>0</v>
      </c>
      <c r="Q1523" s="3">
        <v>0</v>
      </c>
      <c r="R1523" s="3">
        <v>0</v>
      </c>
    </row>
    <row r="1524" spans="1:18">
      <c r="A1524" s="3" t="s">
        <v>4160</v>
      </c>
      <c r="B1524" s="3" t="s">
        <v>4161</v>
      </c>
      <c r="C1524" s="3" t="s">
        <v>4161</v>
      </c>
      <c r="D1524" s="3" t="s">
        <v>4162</v>
      </c>
      <c r="E1524" s="3" t="s">
        <v>120</v>
      </c>
      <c r="F1524" s="3">
        <v>22.98</v>
      </c>
      <c r="G1524" s="3" t="s">
        <v>121</v>
      </c>
      <c r="H1524" s="3"/>
      <c r="I1524" s="3" t="s">
        <v>122</v>
      </c>
      <c r="J1524" s="3">
        <v>4</v>
      </c>
      <c r="K1524" s="3">
        <v>4</v>
      </c>
      <c r="L1524" s="3">
        <v>0</v>
      </c>
      <c r="M1524" s="3">
        <v>0</v>
      </c>
      <c r="N1524" s="3">
        <v>4</v>
      </c>
      <c r="O1524" s="3">
        <v>0.11</v>
      </c>
      <c r="P1524" s="3">
        <v>0</v>
      </c>
      <c r="Q1524" s="3">
        <v>0</v>
      </c>
      <c r="R1524" s="3">
        <v>0</v>
      </c>
    </row>
    <row r="1525" spans="1:18">
      <c r="A1525" s="3" t="s">
        <v>4163</v>
      </c>
      <c r="B1525" s="3" t="s">
        <v>4164</v>
      </c>
      <c r="C1525" s="3" t="s">
        <v>4164</v>
      </c>
      <c r="D1525" s="3" t="s">
        <v>4165</v>
      </c>
      <c r="E1525" s="3" t="s">
        <v>120</v>
      </c>
      <c r="F1525" s="3">
        <v>22.98</v>
      </c>
      <c r="G1525" s="3" t="s">
        <v>121</v>
      </c>
      <c r="H1525" s="3"/>
      <c r="I1525" s="3" t="s">
        <v>122</v>
      </c>
      <c r="J1525" s="3">
        <v>21</v>
      </c>
      <c r="K1525" s="3">
        <v>21</v>
      </c>
      <c r="L1525" s="3">
        <v>0</v>
      </c>
      <c r="M1525" s="3">
        <v>0</v>
      </c>
      <c r="N1525" s="3">
        <v>21</v>
      </c>
      <c r="O1525" s="3">
        <v>0.08</v>
      </c>
      <c r="P1525" s="3">
        <v>0</v>
      </c>
      <c r="Q1525" s="3">
        <v>0</v>
      </c>
      <c r="R1525" s="3">
        <v>0</v>
      </c>
    </row>
    <row r="1526" spans="1:18">
      <c r="A1526" s="3" t="s">
        <v>4166</v>
      </c>
      <c r="B1526" s="3" t="s">
        <v>4167</v>
      </c>
      <c r="C1526" s="3" t="s">
        <v>4167</v>
      </c>
      <c r="D1526" s="3" t="s">
        <v>4168</v>
      </c>
      <c r="E1526" s="3" t="s">
        <v>120</v>
      </c>
      <c r="F1526" s="3">
        <v>22.98</v>
      </c>
      <c r="G1526" s="3" t="s">
        <v>121</v>
      </c>
      <c r="H1526" s="3"/>
      <c r="I1526" s="3" t="s">
        <v>122</v>
      </c>
      <c r="J1526" s="3">
        <v>19</v>
      </c>
      <c r="K1526" s="3">
        <v>19</v>
      </c>
      <c r="L1526" s="3">
        <v>0</v>
      </c>
      <c r="M1526" s="3">
        <v>0</v>
      </c>
      <c r="N1526" s="3">
        <v>19</v>
      </c>
      <c r="O1526" s="3">
        <v>0.08</v>
      </c>
      <c r="P1526" s="3">
        <v>0</v>
      </c>
      <c r="Q1526" s="3">
        <v>0</v>
      </c>
      <c r="R1526" s="3">
        <v>0</v>
      </c>
    </row>
    <row r="1527" spans="1:18">
      <c r="A1527" s="3" t="s">
        <v>4169</v>
      </c>
      <c r="B1527" s="3" t="s">
        <v>4170</v>
      </c>
      <c r="C1527" s="3" t="s">
        <v>4170</v>
      </c>
      <c r="D1527" s="3"/>
      <c r="E1527" s="3" t="s">
        <v>20</v>
      </c>
      <c r="F1527" s="3"/>
      <c r="G1527" s="3"/>
      <c r="H1527" s="3"/>
      <c r="I1527" s="3"/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/>
      <c r="P1527" s="3">
        <v>0</v>
      </c>
      <c r="Q1527" s="3">
        <v>0</v>
      </c>
      <c r="R1527" s="3">
        <v>0</v>
      </c>
    </row>
    <row r="1528" spans="1:18">
      <c r="A1528" s="3" t="s">
        <v>4171</v>
      </c>
      <c r="B1528" s="3" t="s">
        <v>4172</v>
      </c>
      <c r="C1528" s="3" t="s">
        <v>4172</v>
      </c>
      <c r="D1528" s="3" t="s">
        <v>4173</v>
      </c>
      <c r="E1528" s="3" t="s">
        <v>120</v>
      </c>
      <c r="F1528" s="3">
        <v>22.98</v>
      </c>
      <c r="G1528" s="3" t="s">
        <v>121</v>
      </c>
      <c r="H1528" s="3"/>
      <c r="I1528" s="3" t="s">
        <v>122</v>
      </c>
      <c r="J1528" s="3">
        <v>10</v>
      </c>
      <c r="K1528" s="3">
        <v>10</v>
      </c>
      <c r="L1528" s="3">
        <v>0</v>
      </c>
      <c r="M1528" s="3">
        <v>0</v>
      </c>
      <c r="N1528" s="3">
        <v>10</v>
      </c>
      <c r="O1528" s="3">
        <v>0.08</v>
      </c>
      <c r="P1528" s="3">
        <v>0</v>
      </c>
      <c r="Q1528" s="3">
        <v>0</v>
      </c>
      <c r="R1528" s="3">
        <v>0</v>
      </c>
    </row>
    <row r="1529" spans="1:18">
      <c r="A1529" s="3" t="s">
        <v>4174</v>
      </c>
      <c r="B1529" s="3" t="s">
        <v>4175</v>
      </c>
      <c r="C1529" s="3" t="s">
        <v>4175</v>
      </c>
      <c r="D1529" s="3" t="s">
        <v>4176</v>
      </c>
      <c r="E1529" s="3" t="s">
        <v>120</v>
      </c>
      <c r="F1529" s="3">
        <v>22.98</v>
      </c>
      <c r="G1529" s="3" t="s">
        <v>121</v>
      </c>
      <c r="H1529" s="3"/>
      <c r="I1529" s="3" t="s">
        <v>122</v>
      </c>
      <c r="J1529" s="3">
        <v>16</v>
      </c>
      <c r="K1529" s="3">
        <v>16</v>
      </c>
      <c r="L1529" s="3">
        <v>0</v>
      </c>
      <c r="M1529" s="3">
        <v>0</v>
      </c>
      <c r="N1529" s="3">
        <v>16</v>
      </c>
      <c r="O1529" s="3">
        <v>0.08</v>
      </c>
      <c r="P1529" s="3">
        <v>0</v>
      </c>
      <c r="Q1529" s="3">
        <v>0</v>
      </c>
      <c r="R1529" s="3">
        <v>0</v>
      </c>
    </row>
    <row r="1530" spans="1:18">
      <c r="A1530" s="3" t="s">
        <v>4177</v>
      </c>
      <c r="B1530" s="3" t="s">
        <v>4178</v>
      </c>
      <c r="C1530" s="3" t="s">
        <v>4178</v>
      </c>
      <c r="D1530" s="3" t="s">
        <v>4179</v>
      </c>
      <c r="E1530" s="3" t="s">
        <v>120</v>
      </c>
      <c r="F1530" s="3">
        <v>22.98</v>
      </c>
      <c r="G1530" s="3" t="s">
        <v>121</v>
      </c>
      <c r="H1530" s="3"/>
      <c r="I1530" s="3" t="s">
        <v>122</v>
      </c>
      <c r="J1530" s="3">
        <v>1</v>
      </c>
      <c r="K1530" s="3">
        <v>1</v>
      </c>
      <c r="L1530" s="3">
        <v>0</v>
      </c>
      <c r="M1530" s="3">
        <v>0</v>
      </c>
      <c r="N1530" s="3">
        <v>1</v>
      </c>
      <c r="O1530" s="3">
        <v>0.08</v>
      </c>
      <c r="P1530" s="3">
        <v>0</v>
      </c>
      <c r="Q1530" s="3">
        <v>0</v>
      </c>
      <c r="R1530" s="3">
        <v>0</v>
      </c>
    </row>
    <row r="1531" spans="1:18">
      <c r="A1531" s="3" t="s">
        <v>4180</v>
      </c>
      <c r="B1531" s="3" t="s">
        <v>4181</v>
      </c>
      <c r="C1531" s="3" t="s">
        <v>4181</v>
      </c>
      <c r="D1531" s="3" t="s">
        <v>4182</v>
      </c>
      <c r="E1531" s="3" t="s">
        <v>120</v>
      </c>
      <c r="F1531" s="3">
        <v>22.98</v>
      </c>
      <c r="G1531" s="3" t="s">
        <v>121</v>
      </c>
      <c r="H1531" s="3"/>
      <c r="I1531" s="3" t="s">
        <v>122</v>
      </c>
      <c r="J1531" s="3">
        <v>19</v>
      </c>
      <c r="K1531" s="3">
        <v>18</v>
      </c>
      <c r="L1531" s="3">
        <v>0</v>
      </c>
      <c r="M1531" s="3">
        <v>1</v>
      </c>
      <c r="N1531" s="3">
        <v>19</v>
      </c>
      <c r="O1531" s="3">
        <v>0.08</v>
      </c>
      <c r="P1531" s="3">
        <v>0</v>
      </c>
      <c r="Q1531" s="3">
        <v>0</v>
      </c>
      <c r="R1531" s="3">
        <v>0</v>
      </c>
    </row>
    <row r="1532" spans="1:18">
      <c r="A1532" s="3" t="s">
        <v>4183</v>
      </c>
      <c r="B1532" s="3" t="s">
        <v>4184</v>
      </c>
      <c r="C1532" s="3" t="s">
        <v>4184</v>
      </c>
      <c r="D1532" s="3" t="s">
        <v>4185</v>
      </c>
      <c r="E1532" s="3" t="s">
        <v>120</v>
      </c>
      <c r="F1532" s="3">
        <v>22.98</v>
      </c>
      <c r="G1532" s="3" t="s">
        <v>121</v>
      </c>
      <c r="H1532" s="3"/>
      <c r="I1532" s="3" t="s">
        <v>122</v>
      </c>
      <c r="J1532" s="3">
        <v>0</v>
      </c>
      <c r="K1532" s="3">
        <v>0</v>
      </c>
      <c r="L1532" s="3">
        <v>0</v>
      </c>
      <c r="M1532" s="3">
        <v>0</v>
      </c>
      <c r="N1532" s="3">
        <v>0</v>
      </c>
      <c r="O1532" s="3">
        <v>0.08</v>
      </c>
      <c r="P1532" s="3">
        <v>0</v>
      </c>
      <c r="Q1532" s="3">
        <v>0</v>
      </c>
      <c r="R1532" s="3">
        <v>0</v>
      </c>
    </row>
    <row r="1533" spans="1:18">
      <c r="A1533" s="3" t="s">
        <v>4186</v>
      </c>
      <c r="B1533" s="3" t="s">
        <v>4187</v>
      </c>
      <c r="C1533" s="3" t="s">
        <v>4187</v>
      </c>
      <c r="D1533" s="3" t="s">
        <v>4188</v>
      </c>
      <c r="E1533" s="3" t="s">
        <v>120</v>
      </c>
      <c r="F1533" s="3">
        <v>22.98</v>
      </c>
      <c r="G1533" s="3" t="s">
        <v>121</v>
      </c>
      <c r="H1533" s="3"/>
      <c r="I1533" s="3" t="s">
        <v>122</v>
      </c>
      <c r="J1533" s="3">
        <v>25</v>
      </c>
      <c r="K1533" s="3">
        <v>24</v>
      </c>
      <c r="L1533" s="3">
        <v>0</v>
      </c>
      <c r="M1533" s="3">
        <v>1</v>
      </c>
      <c r="N1533" s="3">
        <v>25</v>
      </c>
      <c r="O1533" s="3">
        <v>0.08</v>
      </c>
      <c r="P1533" s="3">
        <v>0</v>
      </c>
      <c r="Q1533" s="3">
        <v>0</v>
      </c>
      <c r="R1533" s="3">
        <v>0</v>
      </c>
    </row>
    <row r="1534" spans="1:18">
      <c r="A1534" s="3" t="s">
        <v>4189</v>
      </c>
      <c r="B1534" s="3" t="s">
        <v>4190</v>
      </c>
      <c r="C1534" s="3" t="s">
        <v>4190</v>
      </c>
      <c r="D1534" s="3" t="s">
        <v>4191</v>
      </c>
      <c r="E1534" s="3" t="s">
        <v>120</v>
      </c>
      <c r="F1534" s="3">
        <v>22.98</v>
      </c>
      <c r="G1534" s="3" t="s">
        <v>121</v>
      </c>
      <c r="H1534" s="3"/>
      <c r="I1534" s="3" t="s">
        <v>122</v>
      </c>
      <c r="J1534" s="3">
        <v>2</v>
      </c>
      <c r="K1534" s="3">
        <v>2</v>
      </c>
      <c r="L1534" s="3">
        <v>0</v>
      </c>
      <c r="M1534" s="3">
        <v>0</v>
      </c>
      <c r="N1534" s="3">
        <v>2</v>
      </c>
      <c r="O1534" s="3">
        <v>0.08</v>
      </c>
      <c r="P1534" s="3">
        <v>0</v>
      </c>
      <c r="Q1534" s="3">
        <v>0</v>
      </c>
      <c r="R1534" s="3">
        <v>0</v>
      </c>
    </row>
    <row r="1535" spans="1:18">
      <c r="A1535" s="3" t="s">
        <v>4192</v>
      </c>
      <c r="B1535" s="3" t="s">
        <v>4193</v>
      </c>
      <c r="C1535" s="3" t="s">
        <v>4193</v>
      </c>
      <c r="D1535" s="3" t="s">
        <v>4194</v>
      </c>
      <c r="E1535" s="3" t="s">
        <v>120</v>
      </c>
      <c r="F1535" s="3">
        <v>22.98</v>
      </c>
      <c r="G1535" s="3" t="s">
        <v>121</v>
      </c>
      <c r="H1535" s="3"/>
      <c r="I1535" s="3" t="s">
        <v>122</v>
      </c>
      <c r="J1535" s="3">
        <v>8</v>
      </c>
      <c r="K1535" s="3">
        <v>7</v>
      </c>
      <c r="L1535" s="3">
        <v>0</v>
      </c>
      <c r="M1535" s="3">
        <v>1</v>
      </c>
      <c r="N1535" s="3">
        <v>8</v>
      </c>
      <c r="O1535" s="3">
        <v>0.08</v>
      </c>
      <c r="P1535" s="3">
        <v>0</v>
      </c>
      <c r="Q1535" s="3">
        <v>0</v>
      </c>
      <c r="R1535" s="3">
        <v>0</v>
      </c>
    </row>
    <row r="1536" spans="1:18">
      <c r="A1536" s="3" t="s">
        <v>4195</v>
      </c>
      <c r="B1536" s="3" t="s">
        <v>4196</v>
      </c>
      <c r="C1536" s="3" t="s">
        <v>4196</v>
      </c>
      <c r="D1536" s="3" t="s">
        <v>4197</v>
      </c>
      <c r="E1536" s="3" t="s">
        <v>120</v>
      </c>
      <c r="F1536" s="3">
        <v>22.98</v>
      </c>
      <c r="G1536" s="3" t="s">
        <v>121</v>
      </c>
      <c r="H1536" s="3"/>
      <c r="I1536" s="3" t="s">
        <v>122</v>
      </c>
      <c r="J1536" s="3">
        <v>11</v>
      </c>
      <c r="K1536" s="3">
        <v>11</v>
      </c>
      <c r="L1536" s="3">
        <v>0</v>
      </c>
      <c r="M1536" s="3">
        <v>0</v>
      </c>
      <c r="N1536" s="3">
        <v>11</v>
      </c>
      <c r="O1536" s="3">
        <v>0.08</v>
      </c>
      <c r="P1536" s="3">
        <v>0</v>
      </c>
      <c r="Q1536" s="3">
        <v>0</v>
      </c>
      <c r="R1536" s="3">
        <v>0</v>
      </c>
    </row>
    <row r="1537" spans="1:18">
      <c r="A1537" s="3" t="s">
        <v>4198</v>
      </c>
      <c r="B1537" s="3" t="s">
        <v>4199</v>
      </c>
      <c r="C1537" s="3" t="s">
        <v>4199</v>
      </c>
      <c r="D1537" s="3" t="s">
        <v>4200</v>
      </c>
      <c r="E1537" s="3" t="s">
        <v>120</v>
      </c>
      <c r="F1537" s="3">
        <v>22.98</v>
      </c>
      <c r="G1537" s="3" t="s">
        <v>121</v>
      </c>
      <c r="H1537" s="3"/>
      <c r="I1537" s="3" t="s">
        <v>122</v>
      </c>
      <c r="J1537" s="3">
        <v>15</v>
      </c>
      <c r="K1537" s="3">
        <v>15</v>
      </c>
      <c r="L1537" s="3">
        <v>0</v>
      </c>
      <c r="M1537" s="3">
        <v>0</v>
      </c>
      <c r="N1537" s="3">
        <v>15</v>
      </c>
      <c r="O1537" s="3">
        <v>0.08</v>
      </c>
      <c r="P1537" s="3">
        <v>0</v>
      </c>
      <c r="Q1537" s="3">
        <v>0</v>
      </c>
      <c r="R1537" s="3">
        <v>0</v>
      </c>
    </row>
    <row r="1538" spans="1:18">
      <c r="A1538" s="3" t="s">
        <v>4201</v>
      </c>
      <c r="B1538" s="3" t="s">
        <v>4202</v>
      </c>
      <c r="C1538" s="3" t="s">
        <v>4202</v>
      </c>
      <c r="D1538" s="3"/>
      <c r="E1538" s="3" t="s">
        <v>20</v>
      </c>
      <c r="F1538" s="3"/>
      <c r="G1538" s="3"/>
      <c r="H1538" s="3"/>
      <c r="I1538" s="3"/>
      <c r="J1538" s="3">
        <v>0</v>
      </c>
      <c r="K1538" s="3">
        <v>0</v>
      </c>
      <c r="L1538" s="3">
        <v>0</v>
      </c>
      <c r="M1538" s="3">
        <v>0</v>
      </c>
      <c r="N1538" s="3">
        <v>0</v>
      </c>
      <c r="O1538" s="3"/>
      <c r="P1538" s="3">
        <v>0</v>
      </c>
      <c r="Q1538" s="3">
        <v>0</v>
      </c>
      <c r="R1538" s="3">
        <v>0</v>
      </c>
    </row>
    <row r="1539" spans="1:18">
      <c r="A1539" s="3" t="s">
        <v>4203</v>
      </c>
      <c r="B1539" s="3" t="s">
        <v>4204</v>
      </c>
      <c r="C1539" s="3" t="s">
        <v>4204</v>
      </c>
      <c r="D1539" s="3"/>
      <c r="E1539" s="3" t="s">
        <v>20</v>
      </c>
      <c r="F1539" s="3"/>
      <c r="G1539" s="3"/>
      <c r="H1539" s="3"/>
      <c r="I1539" s="3"/>
      <c r="J1539" s="3">
        <v>0</v>
      </c>
      <c r="K1539" s="3">
        <v>0</v>
      </c>
      <c r="L1539" s="3">
        <v>0</v>
      </c>
      <c r="M1539" s="3">
        <v>0</v>
      </c>
      <c r="N1539" s="3">
        <v>0</v>
      </c>
      <c r="O1539" s="3"/>
      <c r="P1539" s="3">
        <v>0</v>
      </c>
      <c r="Q1539" s="3">
        <v>0</v>
      </c>
      <c r="R1539" s="3">
        <v>0</v>
      </c>
    </row>
    <row r="1540" spans="1:18">
      <c r="A1540" s="3" t="s">
        <v>4205</v>
      </c>
      <c r="B1540" s="3" t="s">
        <v>4206</v>
      </c>
      <c r="C1540" s="3" t="s">
        <v>4206</v>
      </c>
      <c r="D1540" s="3" t="s">
        <v>4207</v>
      </c>
      <c r="E1540" s="3" t="s">
        <v>120</v>
      </c>
      <c r="F1540" s="3">
        <v>22.98</v>
      </c>
      <c r="G1540" s="3" t="s">
        <v>121</v>
      </c>
      <c r="H1540" s="3"/>
      <c r="I1540" s="3" t="s">
        <v>122</v>
      </c>
      <c r="J1540" s="3">
        <v>1</v>
      </c>
      <c r="K1540" s="3">
        <v>1</v>
      </c>
      <c r="L1540" s="3">
        <v>0</v>
      </c>
      <c r="M1540" s="3">
        <v>0</v>
      </c>
      <c r="N1540" s="3">
        <v>1</v>
      </c>
      <c r="O1540" s="3">
        <v>0.08</v>
      </c>
      <c r="P1540" s="3">
        <v>0</v>
      </c>
      <c r="Q1540" s="3">
        <v>0</v>
      </c>
      <c r="R1540" s="3">
        <v>0</v>
      </c>
    </row>
    <row r="1541" spans="1:18">
      <c r="A1541" s="3" t="s">
        <v>4208</v>
      </c>
      <c r="B1541" s="3" t="s">
        <v>4209</v>
      </c>
      <c r="C1541" s="3" t="s">
        <v>4209</v>
      </c>
      <c r="D1541" s="3"/>
      <c r="E1541" s="3" t="s">
        <v>20</v>
      </c>
      <c r="F1541" s="3"/>
      <c r="G1541" s="3"/>
      <c r="H1541" s="3"/>
      <c r="I1541" s="3"/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/>
      <c r="P1541" s="3">
        <v>0</v>
      </c>
      <c r="Q1541" s="3">
        <v>0</v>
      </c>
      <c r="R1541" s="3">
        <v>0</v>
      </c>
    </row>
    <row r="1542" spans="1:18">
      <c r="A1542" s="3" t="s">
        <v>4210</v>
      </c>
      <c r="B1542" s="3" t="s">
        <v>4211</v>
      </c>
      <c r="C1542" s="3" t="s">
        <v>4211</v>
      </c>
      <c r="D1542" s="3" t="s">
        <v>4212</v>
      </c>
      <c r="E1542" s="3" t="s">
        <v>120</v>
      </c>
      <c r="F1542" s="3">
        <v>22.98</v>
      </c>
      <c r="G1542" s="3" t="s">
        <v>121</v>
      </c>
      <c r="H1542" s="3"/>
      <c r="I1542" s="3" t="s">
        <v>122</v>
      </c>
      <c r="J1542" s="3">
        <v>15</v>
      </c>
      <c r="K1542" s="3">
        <v>15</v>
      </c>
      <c r="L1542" s="3">
        <v>0</v>
      </c>
      <c r="M1542" s="3">
        <v>0</v>
      </c>
      <c r="N1542" s="3">
        <v>15</v>
      </c>
      <c r="O1542" s="3">
        <v>0.11</v>
      </c>
      <c r="P1542" s="3">
        <v>0</v>
      </c>
      <c r="Q1542" s="3">
        <v>0</v>
      </c>
      <c r="R1542" s="3">
        <v>0</v>
      </c>
    </row>
    <row r="1543" spans="1:18">
      <c r="A1543" s="3" t="s">
        <v>4213</v>
      </c>
      <c r="B1543" s="3" t="s">
        <v>4214</v>
      </c>
      <c r="C1543" s="3" t="s">
        <v>4214</v>
      </c>
      <c r="D1543" s="3" t="s">
        <v>4215</v>
      </c>
      <c r="E1543" s="3" t="s">
        <v>120</v>
      </c>
      <c r="F1543" s="3">
        <v>22.98</v>
      </c>
      <c r="G1543" s="3" t="s">
        <v>121</v>
      </c>
      <c r="H1543" s="3"/>
      <c r="I1543" s="3" t="s">
        <v>122</v>
      </c>
      <c r="J1543" s="3">
        <v>5</v>
      </c>
      <c r="K1543" s="3">
        <v>5</v>
      </c>
      <c r="L1543" s="3">
        <v>0</v>
      </c>
      <c r="M1543" s="3">
        <v>0</v>
      </c>
      <c r="N1543" s="3">
        <v>5</v>
      </c>
      <c r="O1543" s="3">
        <v>0.08</v>
      </c>
      <c r="P1543" s="3">
        <v>0</v>
      </c>
      <c r="Q1543" s="3">
        <v>0</v>
      </c>
      <c r="R1543" s="3">
        <v>0</v>
      </c>
    </row>
    <row r="1544" spans="1:18">
      <c r="A1544" s="3" t="s">
        <v>4216</v>
      </c>
      <c r="B1544" s="3" t="s">
        <v>4217</v>
      </c>
      <c r="C1544" s="3" t="s">
        <v>4217</v>
      </c>
      <c r="D1544" s="3" t="s">
        <v>4218</v>
      </c>
      <c r="E1544" s="3" t="s">
        <v>120</v>
      </c>
      <c r="F1544" s="3">
        <v>22.98</v>
      </c>
      <c r="G1544" s="3" t="s">
        <v>121</v>
      </c>
      <c r="H1544" s="3"/>
      <c r="I1544" s="3" t="s">
        <v>122</v>
      </c>
      <c r="J1544" s="3">
        <v>1</v>
      </c>
      <c r="K1544" s="3">
        <v>1</v>
      </c>
      <c r="L1544" s="3">
        <v>0</v>
      </c>
      <c r="M1544" s="3">
        <v>0</v>
      </c>
      <c r="N1544" s="3">
        <v>1</v>
      </c>
      <c r="O1544" s="3">
        <v>0.07</v>
      </c>
      <c r="P1544" s="3">
        <v>0</v>
      </c>
      <c r="Q1544" s="3">
        <v>0</v>
      </c>
      <c r="R1544" s="3">
        <v>0</v>
      </c>
    </row>
    <row r="1545" spans="1:18">
      <c r="A1545" s="3" t="s">
        <v>4219</v>
      </c>
      <c r="B1545" s="3" t="s">
        <v>4220</v>
      </c>
      <c r="C1545" s="3" t="s">
        <v>4220</v>
      </c>
      <c r="D1545" s="3" t="s">
        <v>4221</v>
      </c>
      <c r="E1545" s="3" t="s">
        <v>120</v>
      </c>
      <c r="F1545" s="3">
        <v>22.98</v>
      </c>
      <c r="G1545" s="3" t="s">
        <v>121</v>
      </c>
      <c r="H1545" s="3"/>
      <c r="I1545" s="3" t="s">
        <v>122</v>
      </c>
      <c r="J1545" s="3">
        <v>19</v>
      </c>
      <c r="K1545" s="3">
        <v>17</v>
      </c>
      <c r="L1545" s="3">
        <v>0</v>
      </c>
      <c r="M1545" s="3">
        <v>2</v>
      </c>
      <c r="N1545" s="3">
        <v>19</v>
      </c>
      <c r="O1545" s="3">
        <v>0.08</v>
      </c>
      <c r="P1545" s="3">
        <v>0</v>
      </c>
      <c r="Q1545" s="3">
        <v>0</v>
      </c>
      <c r="R1545" s="3">
        <v>0</v>
      </c>
    </row>
    <row r="1546" spans="1:18">
      <c r="A1546" s="3" t="s">
        <v>4222</v>
      </c>
      <c r="B1546" s="3" t="s">
        <v>4223</v>
      </c>
      <c r="C1546" s="3" t="s">
        <v>4223</v>
      </c>
      <c r="D1546" s="3" t="s">
        <v>4224</v>
      </c>
      <c r="E1546" s="3" t="s">
        <v>120</v>
      </c>
      <c r="F1546" s="3">
        <v>22.98</v>
      </c>
      <c r="G1546" s="3" t="s">
        <v>121</v>
      </c>
      <c r="H1546" s="3"/>
      <c r="I1546" s="3" t="s">
        <v>122</v>
      </c>
      <c r="J1546" s="3">
        <v>22</v>
      </c>
      <c r="K1546" s="3">
        <v>21</v>
      </c>
      <c r="L1546" s="3">
        <v>0</v>
      </c>
      <c r="M1546" s="3">
        <v>1</v>
      </c>
      <c r="N1546" s="3">
        <v>22</v>
      </c>
      <c r="O1546" s="3">
        <v>0.08</v>
      </c>
      <c r="P1546" s="3">
        <v>0</v>
      </c>
      <c r="Q1546" s="3">
        <v>0</v>
      </c>
      <c r="R1546" s="3">
        <v>0</v>
      </c>
    </row>
    <row r="1547" spans="1:18">
      <c r="A1547" s="3" t="s">
        <v>4225</v>
      </c>
      <c r="B1547" s="3" t="s">
        <v>4226</v>
      </c>
      <c r="C1547" s="3" t="s">
        <v>4226</v>
      </c>
      <c r="D1547" s="3" t="s">
        <v>4227</v>
      </c>
      <c r="E1547" s="3" t="s">
        <v>120</v>
      </c>
      <c r="F1547" s="3">
        <v>22.98</v>
      </c>
      <c r="G1547" s="3" t="s">
        <v>121</v>
      </c>
      <c r="H1547" s="3"/>
      <c r="I1547" s="3" t="s">
        <v>122</v>
      </c>
      <c r="J1547" s="3">
        <v>19</v>
      </c>
      <c r="K1547" s="3">
        <v>19</v>
      </c>
      <c r="L1547" s="3">
        <v>0</v>
      </c>
      <c r="M1547" s="3">
        <v>0</v>
      </c>
      <c r="N1547" s="3">
        <v>19</v>
      </c>
      <c r="O1547" s="3">
        <v>0.08</v>
      </c>
      <c r="P1547" s="3">
        <v>0</v>
      </c>
      <c r="Q1547" s="3">
        <v>0</v>
      </c>
      <c r="R1547" s="3">
        <v>0</v>
      </c>
    </row>
    <row r="1548" spans="1:18">
      <c r="A1548" s="3" t="s">
        <v>4228</v>
      </c>
      <c r="B1548" s="3" t="s">
        <v>4229</v>
      </c>
      <c r="C1548" s="3" t="s">
        <v>4229</v>
      </c>
      <c r="D1548" s="3" t="s">
        <v>4230</v>
      </c>
      <c r="E1548" s="3" t="s">
        <v>120</v>
      </c>
      <c r="F1548" s="3">
        <v>22.98</v>
      </c>
      <c r="G1548" s="3" t="s">
        <v>121</v>
      </c>
      <c r="H1548" s="3"/>
      <c r="I1548" s="3" t="s">
        <v>122</v>
      </c>
      <c r="J1548" s="3">
        <v>1</v>
      </c>
      <c r="K1548" s="3">
        <v>1</v>
      </c>
      <c r="L1548" s="3">
        <v>0</v>
      </c>
      <c r="M1548" s="3">
        <v>0</v>
      </c>
      <c r="N1548" s="3">
        <v>1</v>
      </c>
      <c r="O1548" s="3">
        <v>0.08</v>
      </c>
      <c r="P1548" s="3">
        <v>0</v>
      </c>
      <c r="Q1548" s="3">
        <v>0</v>
      </c>
      <c r="R1548" s="3">
        <v>0</v>
      </c>
    </row>
    <row r="1549" spans="1:18">
      <c r="A1549" s="3" t="s">
        <v>4231</v>
      </c>
      <c r="B1549" s="3" t="s">
        <v>4232</v>
      </c>
      <c r="C1549" s="3" t="s">
        <v>4232</v>
      </c>
      <c r="D1549" s="3" t="s">
        <v>4233</v>
      </c>
      <c r="E1549" s="3" t="s">
        <v>120</v>
      </c>
      <c r="F1549" s="3">
        <v>22.98</v>
      </c>
      <c r="G1549" s="3" t="s">
        <v>121</v>
      </c>
      <c r="H1549" s="3"/>
      <c r="I1549" s="3" t="s">
        <v>122</v>
      </c>
      <c r="J1549" s="3">
        <v>11</v>
      </c>
      <c r="K1549" s="3">
        <v>11</v>
      </c>
      <c r="L1549" s="3">
        <v>0</v>
      </c>
      <c r="M1549" s="3">
        <v>0</v>
      </c>
      <c r="N1549" s="3">
        <v>11</v>
      </c>
      <c r="O1549" s="3">
        <v>0.08</v>
      </c>
      <c r="P1549" s="3">
        <v>0</v>
      </c>
      <c r="Q1549" s="3">
        <v>0</v>
      </c>
      <c r="R1549" s="3">
        <v>0</v>
      </c>
    </row>
    <row r="1550" spans="1:18">
      <c r="A1550" s="3" t="s">
        <v>4234</v>
      </c>
      <c r="B1550" s="3" t="s">
        <v>4235</v>
      </c>
      <c r="C1550" s="3" t="s">
        <v>4235</v>
      </c>
      <c r="D1550" s="3" t="s">
        <v>4236</v>
      </c>
      <c r="E1550" s="3" t="s">
        <v>120</v>
      </c>
      <c r="F1550" s="3">
        <v>23.98</v>
      </c>
      <c r="G1550" s="3" t="s">
        <v>121</v>
      </c>
      <c r="H1550" s="3"/>
      <c r="I1550" s="3" t="s">
        <v>122</v>
      </c>
      <c r="J1550" s="3">
        <v>15</v>
      </c>
      <c r="K1550" s="3">
        <v>15</v>
      </c>
      <c r="L1550" s="3">
        <v>0</v>
      </c>
      <c r="M1550" s="3">
        <v>0</v>
      </c>
      <c r="N1550" s="3">
        <v>15</v>
      </c>
      <c r="O1550" s="3">
        <v>0.09</v>
      </c>
      <c r="P1550" s="3">
        <v>0</v>
      </c>
      <c r="Q1550" s="3">
        <v>0</v>
      </c>
      <c r="R1550" s="3">
        <v>0</v>
      </c>
    </row>
    <row r="1551" spans="1:18">
      <c r="A1551" s="3" t="s">
        <v>4237</v>
      </c>
      <c r="B1551" s="3" t="s">
        <v>4238</v>
      </c>
      <c r="C1551" s="3" t="s">
        <v>4238</v>
      </c>
      <c r="D1551" s="3" t="s">
        <v>4239</v>
      </c>
      <c r="E1551" s="3" t="s">
        <v>120</v>
      </c>
      <c r="F1551" s="3">
        <v>23.98</v>
      </c>
      <c r="G1551" s="3" t="s">
        <v>121</v>
      </c>
      <c r="H1551" s="3"/>
      <c r="I1551" s="3" t="s">
        <v>122</v>
      </c>
      <c r="J1551" s="3">
        <v>13</v>
      </c>
      <c r="K1551" s="3">
        <v>13</v>
      </c>
      <c r="L1551" s="3">
        <v>0</v>
      </c>
      <c r="M1551" s="3">
        <v>0</v>
      </c>
      <c r="N1551" s="3">
        <v>13</v>
      </c>
      <c r="O1551" s="3">
        <v>0.11</v>
      </c>
      <c r="P1551" s="3">
        <v>0</v>
      </c>
      <c r="Q1551" s="3">
        <v>0</v>
      </c>
      <c r="R1551" s="3">
        <v>0</v>
      </c>
    </row>
    <row r="1552" spans="1:18">
      <c r="A1552" s="3" t="s">
        <v>4240</v>
      </c>
      <c r="B1552" s="3" t="s">
        <v>4241</v>
      </c>
      <c r="C1552" s="3" t="s">
        <v>4241</v>
      </c>
      <c r="D1552" s="3" t="s">
        <v>4242</v>
      </c>
      <c r="E1552" s="3" t="s">
        <v>120</v>
      </c>
      <c r="F1552" s="3">
        <v>23.98</v>
      </c>
      <c r="G1552" s="3" t="s">
        <v>121</v>
      </c>
      <c r="H1552" s="3"/>
      <c r="I1552" s="3" t="s">
        <v>122</v>
      </c>
      <c r="J1552" s="3">
        <v>2</v>
      </c>
      <c r="K1552" s="3">
        <v>1</v>
      </c>
      <c r="L1552" s="3">
        <v>0</v>
      </c>
      <c r="M1552" s="3">
        <v>1</v>
      </c>
      <c r="N1552" s="3">
        <v>2</v>
      </c>
      <c r="O1552" s="3">
        <v>0.19</v>
      </c>
      <c r="P1552" s="3">
        <v>0</v>
      </c>
      <c r="Q1552" s="3">
        <v>0</v>
      </c>
      <c r="R1552" s="3">
        <v>0</v>
      </c>
    </row>
    <row r="1553" spans="1:18">
      <c r="A1553" s="3" t="s">
        <v>4243</v>
      </c>
      <c r="B1553" s="3" t="s">
        <v>4244</v>
      </c>
      <c r="C1553" s="3" t="s">
        <v>4244</v>
      </c>
      <c r="D1553" s="3" t="s">
        <v>4245</v>
      </c>
      <c r="E1553" s="3" t="s">
        <v>120</v>
      </c>
      <c r="F1553" s="3">
        <v>23.98</v>
      </c>
      <c r="G1553" s="3" t="s">
        <v>121</v>
      </c>
      <c r="H1553" s="3"/>
      <c r="I1553" s="3" t="s">
        <v>122</v>
      </c>
      <c r="J1553" s="3">
        <v>23</v>
      </c>
      <c r="K1553" s="3">
        <v>23</v>
      </c>
      <c r="L1553" s="3">
        <v>0</v>
      </c>
      <c r="M1553" s="3">
        <v>0</v>
      </c>
      <c r="N1553" s="3">
        <v>23</v>
      </c>
      <c r="O1553" s="3">
        <v>0.13</v>
      </c>
      <c r="P1553" s="3">
        <v>0</v>
      </c>
      <c r="Q1553" s="3">
        <v>0</v>
      </c>
      <c r="R1553" s="3">
        <v>0</v>
      </c>
    </row>
    <row r="1554" spans="1:18">
      <c r="A1554" s="3" t="s">
        <v>4246</v>
      </c>
      <c r="B1554" s="3" t="s">
        <v>4247</v>
      </c>
      <c r="C1554" s="3" t="s">
        <v>4247</v>
      </c>
      <c r="D1554" s="3" t="s">
        <v>4248</v>
      </c>
      <c r="E1554" s="3" t="s">
        <v>120</v>
      </c>
      <c r="F1554" s="3">
        <v>23.98</v>
      </c>
      <c r="G1554" s="3" t="s">
        <v>121</v>
      </c>
      <c r="H1554" s="3"/>
      <c r="I1554" s="3" t="s">
        <v>122</v>
      </c>
      <c r="J1554" s="3">
        <v>18</v>
      </c>
      <c r="K1554" s="3">
        <v>18</v>
      </c>
      <c r="L1554" s="3">
        <v>0</v>
      </c>
      <c r="M1554" s="3">
        <v>0</v>
      </c>
      <c r="N1554" s="3">
        <v>18</v>
      </c>
      <c r="O1554" s="3">
        <v>0.17</v>
      </c>
      <c r="P1554" s="3">
        <v>0</v>
      </c>
      <c r="Q1554" s="3">
        <v>0</v>
      </c>
      <c r="R1554" s="3">
        <v>0</v>
      </c>
    </row>
    <row r="1555" spans="1:18">
      <c r="A1555" s="3" t="s">
        <v>4249</v>
      </c>
      <c r="B1555" s="3" t="s">
        <v>4250</v>
      </c>
      <c r="C1555" s="3" t="s">
        <v>4250</v>
      </c>
      <c r="D1555" s="3" t="s">
        <v>4251</v>
      </c>
      <c r="E1555" s="3" t="s">
        <v>120</v>
      </c>
      <c r="F1555" s="3">
        <v>23.98</v>
      </c>
      <c r="G1555" s="3" t="s">
        <v>121</v>
      </c>
      <c r="H1555" s="3"/>
      <c r="I1555" s="3" t="s">
        <v>122</v>
      </c>
      <c r="J1555" s="3">
        <v>15</v>
      </c>
      <c r="K1555" s="3">
        <v>15</v>
      </c>
      <c r="L1555" s="3">
        <v>0</v>
      </c>
      <c r="M1555" s="3">
        <v>0</v>
      </c>
      <c r="N1555" s="3">
        <v>15</v>
      </c>
      <c r="O1555" s="3">
        <v>0.17</v>
      </c>
      <c r="P1555" s="3">
        <v>0</v>
      </c>
      <c r="Q1555" s="3">
        <v>0</v>
      </c>
      <c r="R1555" s="3">
        <v>0</v>
      </c>
    </row>
    <row r="1556" spans="1:18">
      <c r="A1556" s="3" t="s">
        <v>4252</v>
      </c>
      <c r="B1556" s="3" t="s">
        <v>4253</v>
      </c>
      <c r="C1556" s="3" t="s">
        <v>4253</v>
      </c>
      <c r="D1556" s="3" t="s">
        <v>4254</v>
      </c>
      <c r="E1556" s="3" t="s">
        <v>120</v>
      </c>
      <c r="F1556" s="3">
        <v>23.98</v>
      </c>
      <c r="G1556" s="3" t="s">
        <v>121</v>
      </c>
      <c r="H1556" s="3"/>
      <c r="I1556" s="3" t="s">
        <v>122</v>
      </c>
      <c r="J1556" s="3">
        <v>9</v>
      </c>
      <c r="K1556" s="3">
        <v>9</v>
      </c>
      <c r="L1556" s="3">
        <v>0</v>
      </c>
      <c r="M1556" s="3">
        <v>0</v>
      </c>
      <c r="N1556" s="3">
        <v>9</v>
      </c>
      <c r="O1556" s="3">
        <v>0.13</v>
      </c>
      <c r="P1556" s="3">
        <v>0</v>
      </c>
      <c r="Q1556" s="3">
        <v>0</v>
      </c>
      <c r="R1556" s="3">
        <v>0</v>
      </c>
    </row>
    <row r="1557" spans="1:18">
      <c r="A1557" s="3" t="s">
        <v>4255</v>
      </c>
      <c r="B1557" s="3" t="s">
        <v>4256</v>
      </c>
      <c r="C1557" s="3" t="s">
        <v>4256</v>
      </c>
      <c r="D1557" s="3" t="s">
        <v>4257</v>
      </c>
      <c r="E1557" s="3" t="s">
        <v>120</v>
      </c>
      <c r="F1557" s="3">
        <v>23.98</v>
      </c>
      <c r="G1557" s="3" t="s">
        <v>121</v>
      </c>
      <c r="H1557" s="3"/>
      <c r="I1557" s="3" t="s">
        <v>122</v>
      </c>
      <c r="J1557" s="3">
        <v>18</v>
      </c>
      <c r="K1557" s="3">
        <v>18</v>
      </c>
      <c r="L1557" s="3">
        <v>0</v>
      </c>
      <c r="M1557" s="3">
        <v>0</v>
      </c>
      <c r="N1557" s="3">
        <v>18</v>
      </c>
      <c r="O1557" s="3">
        <v>0.17</v>
      </c>
      <c r="P1557" s="3">
        <v>0</v>
      </c>
      <c r="Q1557" s="3">
        <v>0</v>
      </c>
      <c r="R1557" s="3">
        <v>0</v>
      </c>
    </row>
    <row r="1558" spans="1:18">
      <c r="A1558" s="3" t="s">
        <v>4258</v>
      </c>
      <c r="B1558" s="3" t="s">
        <v>4259</v>
      </c>
      <c r="C1558" s="3" t="s">
        <v>4259</v>
      </c>
      <c r="D1558" s="3" t="s">
        <v>4260</v>
      </c>
      <c r="E1558" s="3" t="s">
        <v>120</v>
      </c>
      <c r="F1558" s="3">
        <v>23.98</v>
      </c>
      <c r="G1558" s="3" t="s">
        <v>121</v>
      </c>
      <c r="H1558" s="3"/>
      <c r="I1558" s="3" t="s">
        <v>122</v>
      </c>
      <c r="J1558" s="3">
        <v>15</v>
      </c>
      <c r="K1558" s="3">
        <v>15</v>
      </c>
      <c r="L1558" s="3">
        <v>0</v>
      </c>
      <c r="M1558" s="3">
        <v>0</v>
      </c>
      <c r="N1558" s="3">
        <v>15</v>
      </c>
      <c r="O1558" s="3">
        <v>0.17</v>
      </c>
      <c r="P1558" s="3">
        <v>0</v>
      </c>
      <c r="Q1558" s="3">
        <v>0</v>
      </c>
      <c r="R1558" s="3">
        <v>0</v>
      </c>
    </row>
    <row r="1559" spans="1:18">
      <c r="A1559" s="3" t="s">
        <v>4261</v>
      </c>
      <c r="B1559" s="3" t="s">
        <v>4262</v>
      </c>
      <c r="C1559" s="3" t="s">
        <v>4262</v>
      </c>
      <c r="D1559" s="3" t="s">
        <v>4263</v>
      </c>
      <c r="E1559" s="3" t="s">
        <v>120</v>
      </c>
      <c r="F1559" s="3">
        <v>23.98</v>
      </c>
      <c r="G1559" s="3" t="s">
        <v>121</v>
      </c>
      <c r="H1559" s="3"/>
      <c r="I1559" s="3" t="s">
        <v>122</v>
      </c>
      <c r="J1559" s="3">
        <v>11</v>
      </c>
      <c r="K1559" s="3">
        <v>11</v>
      </c>
      <c r="L1559" s="3">
        <v>0</v>
      </c>
      <c r="M1559" s="3">
        <v>0</v>
      </c>
      <c r="N1559" s="3">
        <v>11</v>
      </c>
      <c r="O1559" s="3">
        <v>0.1</v>
      </c>
      <c r="P1559" s="3">
        <v>0</v>
      </c>
      <c r="Q1559" s="3">
        <v>0</v>
      </c>
      <c r="R1559" s="3">
        <v>0</v>
      </c>
    </row>
    <row r="1560" spans="1:18">
      <c r="A1560" s="3" t="s">
        <v>4264</v>
      </c>
      <c r="B1560" s="3" t="s">
        <v>4265</v>
      </c>
      <c r="C1560" s="3" t="s">
        <v>4265</v>
      </c>
      <c r="D1560" s="3" t="s">
        <v>4266</v>
      </c>
      <c r="E1560" s="3" t="s">
        <v>120</v>
      </c>
      <c r="F1560" s="3">
        <v>23.98</v>
      </c>
      <c r="G1560" s="3" t="s">
        <v>121</v>
      </c>
      <c r="H1560" s="3"/>
      <c r="I1560" s="3" t="s">
        <v>122</v>
      </c>
      <c r="J1560" s="3">
        <v>2</v>
      </c>
      <c r="K1560" s="3">
        <v>2</v>
      </c>
      <c r="L1560" s="3">
        <v>0</v>
      </c>
      <c r="M1560" s="3">
        <v>0</v>
      </c>
      <c r="N1560" s="3">
        <v>2</v>
      </c>
      <c r="O1560" s="3">
        <v>0.12</v>
      </c>
      <c r="P1560" s="3">
        <v>0</v>
      </c>
      <c r="Q1560" s="3">
        <v>0</v>
      </c>
      <c r="R1560" s="3">
        <v>0</v>
      </c>
    </row>
    <row r="1561" spans="1:18">
      <c r="A1561" s="3" t="s">
        <v>4267</v>
      </c>
      <c r="B1561" s="3" t="s">
        <v>4268</v>
      </c>
      <c r="C1561" s="3" t="s">
        <v>4268</v>
      </c>
      <c r="D1561" s="3" t="s">
        <v>4269</v>
      </c>
      <c r="E1561" s="3" t="s">
        <v>120</v>
      </c>
      <c r="F1561" s="3">
        <v>23.98</v>
      </c>
      <c r="G1561" s="3" t="s">
        <v>121</v>
      </c>
      <c r="H1561" s="3"/>
      <c r="I1561" s="3" t="s">
        <v>122</v>
      </c>
      <c r="J1561" s="3">
        <v>17</v>
      </c>
      <c r="K1561" s="3">
        <v>17</v>
      </c>
      <c r="L1561" s="3">
        <v>0</v>
      </c>
      <c r="M1561" s="3">
        <v>0</v>
      </c>
      <c r="N1561" s="3">
        <v>17</v>
      </c>
      <c r="O1561" s="3">
        <v>0.12</v>
      </c>
      <c r="P1561" s="3">
        <v>0</v>
      </c>
      <c r="Q1561" s="3">
        <v>0</v>
      </c>
      <c r="R1561" s="3">
        <v>0</v>
      </c>
    </row>
    <row r="1562" spans="1:18">
      <c r="A1562" s="3" t="s">
        <v>4270</v>
      </c>
      <c r="B1562" s="3" t="s">
        <v>4271</v>
      </c>
      <c r="C1562" s="3" t="s">
        <v>4271</v>
      </c>
      <c r="D1562" s="3" t="s">
        <v>4272</v>
      </c>
      <c r="E1562" s="3" t="s">
        <v>120</v>
      </c>
      <c r="F1562" s="3">
        <v>23.98</v>
      </c>
      <c r="G1562" s="3" t="s">
        <v>121</v>
      </c>
      <c r="H1562" s="3"/>
      <c r="I1562" s="3" t="s">
        <v>122</v>
      </c>
      <c r="J1562" s="3">
        <v>22</v>
      </c>
      <c r="K1562" s="3">
        <v>22</v>
      </c>
      <c r="L1562" s="3">
        <v>0</v>
      </c>
      <c r="M1562" s="3">
        <v>0</v>
      </c>
      <c r="N1562" s="3">
        <v>22</v>
      </c>
      <c r="O1562" s="3">
        <v>0.11</v>
      </c>
      <c r="P1562" s="3">
        <v>0</v>
      </c>
      <c r="Q1562" s="3">
        <v>0</v>
      </c>
      <c r="R1562" s="3">
        <v>0</v>
      </c>
    </row>
    <row r="1563" spans="1:18">
      <c r="A1563" s="3" t="s">
        <v>4273</v>
      </c>
      <c r="B1563" s="3" t="s">
        <v>4274</v>
      </c>
      <c r="C1563" s="3" t="s">
        <v>4274</v>
      </c>
      <c r="D1563" s="3" t="s">
        <v>4275</v>
      </c>
      <c r="E1563" s="3" t="s">
        <v>120</v>
      </c>
      <c r="F1563" s="3">
        <v>23.98</v>
      </c>
      <c r="G1563" s="3" t="s">
        <v>121</v>
      </c>
      <c r="H1563" s="3"/>
      <c r="I1563" s="3" t="s">
        <v>122</v>
      </c>
      <c r="J1563" s="3">
        <v>8</v>
      </c>
      <c r="K1563" s="3">
        <v>8</v>
      </c>
      <c r="L1563" s="3">
        <v>0</v>
      </c>
      <c r="M1563" s="3">
        <v>0</v>
      </c>
      <c r="N1563" s="3">
        <v>8</v>
      </c>
      <c r="O1563" s="3">
        <v>0.09</v>
      </c>
      <c r="P1563" s="3">
        <v>0</v>
      </c>
      <c r="Q1563" s="3">
        <v>0</v>
      </c>
      <c r="R1563" s="3">
        <v>0</v>
      </c>
    </row>
    <row r="1564" spans="1:18">
      <c r="A1564" s="3" t="s">
        <v>4276</v>
      </c>
      <c r="B1564" s="3" t="s">
        <v>4277</v>
      </c>
      <c r="C1564" s="3" t="s">
        <v>4277</v>
      </c>
      <c r="D1564" s="3" t="s">
        <v>4278</v>
      </c>
      <c r="E1564" s="3" t="s">
        <v>120</v>
      </c>
      <c r="F1564" s="3">
        <v>23.98</v>
      </c>
      <c r="G1564" s="3" t="s">
        <v>121</v>
      </c>
      <c r="H1564" s="3"/>
      <c r="I1564" s="3" t="s">
        <v>122</v>
      </c>
      <c r="J1564" s="3">
        <v>1</v>
      </c>
      <c r="K1564" s="3">
        <v>1</v>
      </c>
      <c r="L1564" s="3">
        <v>0</v>
      </c>
      <c r="M1564" s="3">
        <v>0</v>
      </c>
      <c r="N1564" s="3">
        <v>1</v>
      </c>
      <c r="O1564" s="3">
        <v>0.08</v>
      </c>
      <c r="P1564" s="3">
        <v>0</v>
      </c>
      <c r="Q1564" s="3">
        <v>0</v>
      </c>
      <c r="R1564" s="3">
        <v>0</v>
      </c>
    </row>
    <row r="1565" spans="1:18">
      <c r="A1565" s="3" t="s">
        <v>4279</v>
      </c>
      <c r="B1565" s="3" t="s">
        <v>4280</v>
      </c>
      <c r="C1565" s="3" t="s">
        <v>4280</v>
      </c>
      <c r="D1565" s="3" t="s">
        <v>4281</v>
      </c>
      <c r="E1565" s="3" t="s">
        <v>120</v>
      </c>
      <c r="F1565" s="3">
        <v>23.98</v>
      </c>
      <c r="G1565" s="3" t="s">
        <v>121</v>
      </c>
      <c r="H1565" s="3"/>
      <c r="I1565" s="3" t="s">
        <v>122</v>
      </c>
      <c r="J1565" s="3">
        <v>28</v>
      </c>
      <c r="K1565" s="3">
        <v>28</v>
      </c>
      <c r="L1565" s="3">
        <v>0</v>
      </c>
      <c r="M1565" s="3">
        <v>0</v>
      </c>
      <c r="N1565" s="3">
        <v>28</v>
      </c>
      <c r="O1565" s="3">
        <v>0.12</v>
      </c>
      <c r="P1565" s="3">
        <v>0</v>
      </c>
      <c r="Q1565" s="3">
        <v>0</v>
      </c>
      <c r="R1565" s="3">
        <v>0</v>
      </c>
    </row>
    <row r="1566" spans="1:18">
      <c r="A1566" s="3" t="s">
        <v>4282</v>
      </c>
      <c r="B1566" s="3" t="s">
        <v>4283</v>
      </c>
      <c r="C1566" s="3" t="s">
        <v>4283</v>
      </c>
      <c r="D1566" s="3" t="s">
        <v>4284</v>
      </c>
      <c r="E1566" s="3" t="s">
        <v>120</v>
      </c>
      <c r="F1566" s="3">
        <v>23.98</v>
      </c>
      <c r="G1566" s="3" t="s">
        <v>121</v>
      </c>
      <c r="H1566" s="3"/>
      <c r="I1566" s="3" t="s">
        <v>122</v>
      </c>
      <c r="J1566" s="3">
        <v>24</v>
      </c>
      <c r="K1566" s="3">
        <v>24</v>
      </c>
      <c r="L1566" s="3">
        <v>0</v>
      </c>
      <c r="M1566" s="3">
        <v>0</v>
      </c>
      <c r="N1566" s="3">
        <v>24</v>
      </c>
      <c r="O1566" s="3">
        <v>0.17</v>
      </c>
      <c r="P1566" s="3">
        <v>0</v>
      </c>
      <c r="Q1566" s="3">
        <v>0</v>
      </c>
      <c r="R1566" s="3">
        <v>0</v>
      </c>
    </row>
    <row r="1567" spans="1:18">
      <c r="A1567" s="3" t="s">
        <v>4285</v>
      </c>
      <c r="B1567" s="3" t="s">
        <v>4286</v>
      </c>
      <c r="C1567" s="3" t="s">
        <v>4286</v>
      </c>
      <c r="D1567" s="3" t="s">
        <v>4287</v>
      </c>
      <c r="E1567" s="3" t="s">
        <v>120</v>
      </c>
      <c r="F1567" s="3">
        <v>23.98</v>
      </c>
      <c r="G1567" s="3" t="s">
        <v>121</v>
      </c>
      <c r="H1567" s="3"/>
      <c r="I1567" s="3" t="s">
        <v>122</v>
      </c>
      <c r="J1567" s="3">
        <v>7</v>
      </c>
      <c r="K1567" s="3">
        <v>7</v>
      </c>
      <c r="L1567" s="3">
        <v>0</v>
      </c>
      <c r="M1567" s="3">
        <v>0</v>
      </c>
      <c r="N1567" s="3">
        <v>7</v>
      </c>
      <c r="O1567" s="3">
        <v>0.06</v>
      </c>
      <c r="P1567" s="3">
        <v>0</v>
      </c>
      <c r="Q1567" s="3">
        <v>0</v>
      </c>
      <c r="R1567" s="3">
        <v>0</v>
      </c>
    </row>
    <row r="1568" spans="1:18">
      <c r="A1568" s="3" t="s">
        <v>4288</v>
      </c>
      <c r="B1568" s="3" t="s">
        <v>4289</v>
      </c>
      <c r="C1568" s="3" t="s">
        <v>4289</v>
      </c>
      <c r="D1568" s="3" t="s">
        <v>4290</v>
      </c>
      <c r="E1568" s="3" t="s">
        <v>120</v>
      </c>
      <c r="F1568" s="3">
        <v>23.98</v>
      </c>
      <c r="G1568" s="3" t="s">
        <v>121</v>
      </c>
      <c r="H1568" s="3"/>
      <c r="I1568" s="3" t="s">
        <v>122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0.07</v>
      </c>
      <c r="P1568" s="3">
        <v>0</v>
      </c>
      <c r="Q1568" s="3">
        <v>0</v>
      </c>
      <c r="R1568" s="3">
        <v>0</v>
      </c>
    </row>
    <row r="1569" spans="1:18">
      <c r="A1569" s="3" t="s">
        <v>4291</v>
      </c>
      <c r="B1569" s="3" t="s">
        <v>4292</v>
      </c>
      <c r="C1569" s="3" t="s">
        <v>4292</v>
      </c>
      <c r="D1569" s="3" t="s">
        <v>4293</v>
      </c>
      <c r="E1569" s="3" t="s">
        <v>120</v>
      </c>
      <c r="F1569" s="3">
        <v>23.98</v>
      </c>
      <c r="G1569" s="3" t="s">
        <v>121</v>
      </c>
      <c r="H1569" s="3"/>
      <c r="I1569" s="3" t="s">
        <v>122</v>
      </c>
      <c r="J1569" s="3">
        <v>20</v>
      </c>
      <c r="K1569" s="3">
        <v>20</v>
      </c>
      <c r="L1569" s="3">
        <v>0</v>
      </c>
      <c r="M1569" s="3">
        <v>0</v>
      </c>
      <c r="N1569" s="3">
        <v>20</v>
      </c>
      <c r="O1569" s="3">
        <v>0.08</v>
      </c>
      <c r="P1569" s="3">
        <v>0</v>
      </c>
      <c r="Q1569" s="3">
        <v>0</v>
      </c>
      <c r="R1569" s="3">
        <v>0</v>
      </c>
    </row>
    <row r="1570" spans="1:18">
      <c r="A1570" s="3" t="s">
        <v>4294</v>
      </c>
      <c r="B1570" s="3" t="s">
        <v>4295</v>
      </c>
      <c r="C1570" s="3" t="s">
        <v>4295</v>
      </c>
      <c r="D1570" s="3" t="s">
        <v>4296</v>
      </c>
      <c r="E1570" s="3" t="s">
        <v>120</v>
      </c>
      <c r="F1570" s="3">
        <v>23.98</v>
      </c>
      <c r="G1570" s="3" t="s">
        <v>121</v>
      </c>
      <c r="H1570" s="3"/>
      <c r="I1570" s="3" t="s">
        <v>122</v>
      </c>
      <c r="J1570" s="3">
        <v>16</v>
      </c>
      <c r="K1570" s="3">
        <v>16</v>
      </c>
      <c r="L1570" s="3">
        <v>0</v>
      </c>
      <c r="M1570" s="3">
        <v>0</v>
      </c>
      <c r="N1570" s="3">
        <v>16</v>
      </c>
      <c r="O1570" s="3">
        <v>0.12</v>
      </c>
      <c r="P1570" s="3">
        <v>0</v>
      </c>
      <c r="Q1570" s="3">
        <v>0</v>
      </c>
      <c r="R1570" s="3">
        <v>0</v>
      </c>
    </row>
    <row r="1571" spans="1:18">
      <c r="A1571" s="3" t="s">
        <v>4297</v>
      </c>
      <c r="B1571" s="3" t="s">
        <v>4298</v>
      </c>
      <c r="C1571" s="3" t="s">
        <v>4298</v>
      </c>
      <c r="D1571" s="3" t="s">
        <v>4299</v>
      </c>
      <c r="E1571" s="3" t="s">
        <v>120</v>
      </c>
      <c r="F1571" s="3">
        <v>23.98</v>
      </c>
      <c r="G1571" s="3" t="s">
        <v>121</v>
      </c>
      <c r="H1571" s="3"/>
      <c r="I1571" s="3" t="s">
        <v>122</v>
      </c>
      <c r="J1571" s="3">
        <v>14</v>
      </c>
      <c r="K1571" s="3">
        <v>14</v>
      </c>
      <c r="L1571" s="3">
        <v>0</v>
      </c>
      <c r="M1571" s="3">
        <v>0</v>
      </c>
      <c r="N1571" s="3">
        <v>14</v>
      </c>
      <c r="O1571" s="3">
        <v>0.17</v>
      </c>
      <c r="P1571" s="3">
        <v>0</v>
      </c>
      <c r="Q1571" s="3">
        <v>0</v>
      </c>
      <c r="R1571" s="3">
        <v>0</v>
      </c>
    </row>
    <row r="1572" spans="1:18">
      <c r="A1572" s="3" t="s">
        <v>4300</v>
      </c>
      <c r="B1572" s="3" t="s">
        <v>4301</v>
      </c>
      <c r="C1572" s="3" t="s">
        <v>4301</v>
      </c>
      <c r="D1572" s="3" t="s">
        <v>4302</v>
      </c>
      <c r="E1572" s="3" t="s">
        <v>120</v>
      </c>
      <c r="F1572" s="3">
        <v>23.98</v>
      </c>
      <c r="G1572" s="3" t="s">
        <v>121</v>
      </c>
      <c r="H1572" s="3"/>
      <c r="I1572" s="3" t="s">
        <v>122</v>
      </c>
      <c r="J1572" s="3">
        <v>1</v>
      </c>
      <c r="K1572" s="3">
        <v>1</v>
      </c>
      <c r="L1572" s="3">
        <v>0</v>
      </c>
      <c r="M1572" s="3">
        <v>0</v>
      </c>
      <c r="N1572" s="3">
        <v>1</v>
      </c>
      <c r="O1572" s="3">
        <v>0.1</v>
      </c>
      <c r="P1572" s="3">
        <v>0</v>
      </c>
      <c r="Q1572" s="3">
        <v>0</v>
      </c>
      <c r="R1572" s="3">
        <v>0</v>
      </c>
    </row>
    <row r="1573" spans="1:18">
      <c r="A1573" s="3" t="s">
        <v>4303</v>
      </c>
      <c r="B1573" s="3" t="s">
        <v>4304</v>
      </c>
      <c r="C1573" s="3" t="s">
        <v>4304</v>
      </c>
      <c r="D1573" s="3" t="s">
        <v>4305</v>
      </c>
      <c r="E1573" s="3" t="s">
        <v>120</v>
      </c>
      <c r="F1573" s="3">
        <v>23.98</v>
      </c>
      <c r="G1573" s="3" t="s">
        <v>121</v>
      </c>
      <c r="H1573" s="3"/>
      <c r="I1573" s="3" t="s">
        <v>122</v>
      </c>
      <c r="J1573" s="3">
        <v>19</v>
      </c>
      <c r="K1573" s="3">
        <v>19</v>
      </c>
      <c r="L1573" s="3">
        <v>0</v>
      </c>
      <c r="M1573" s="3">
        <v>0</v>
      </c>
      <c r="N1573" s="3">
        <v>19</v>
      </c>
      <c r="O1573" s="3">
        <v>0.17</v>
      </c>
      <c r="P1573" s="3">
        <v>0</v>
      </c>
      <c r="Q1573" s="3">
        <v>0</v>
      </c>
      <c r="R1573" s="3">
        <v>0</v>
      </c>
    </row>
    <row r="1574" spans="1:18">
      <c r="A1574" s="3" t="s">
        <v>4306</v>
      </c>
      <c r="B1574" s="3" t="s">
        <v>4307</v>
      </c>
      <c r="C1574" s="3" t="s">
        <v>4307</v>
      </c>
      <c r="D1574" s="3" t="s">
        <v>4308</v>
      </c>
      <c r="E1574" s="3" t="s">
        <v>120</v>
      </c>
      <c r="F1574" s="3">
        <v>23.98</v>
      </c>
      <c r="G1574" s="3" t="s">
        <v>121</v>
      </c>
      <c r="H1574" s="3"/>
      <c r="I1574" s="3" t="s">
        <v>122</v>
      </c>
      <c r="J1574" s="3">
        <v>23</v>
      </c>
      <c r="K1574" s="3">
        <v>23</v>
      </c>
      <c r="L1574" s="3">
        <v>0</v>
      </c>
      <c r="M1574" s="3">
        <v>0</v>
      </c>
      <c r="N1574" s="3">
        <v>23</v>
      </c>
      <c r="O1574" s="3">
        <v>0.17</v>
      </c>
      <c r="P1574" s="3">
        <v>0</v>
      </c>
      <c r="Q1574" s="3">
        <v>0</v>
      </c>
      <c r="R1574" s="3">
        <v>0</v>
      </c>
    </row>
    <row r="1575" spans="1:18">
      <c r="A1575" s="3" t="s">
        <v>4309</v>
      </c>
      <c r="B1575" s="3" t="s">
        <v>4310</v>
      </c>
      <c r="C1575" s="3" t="s">
        <v>4310</v>
      </c>
      <c r="D1575" s="3" t="s">
        <v>4311</v>
      </c>
      <c r="E1575" s="3" t="s">
        <v>120</v>
      </c>
      <c r="F1575" s="3">
        <v>23.98</v>
      </c>
      <c r="G1575" s="3" t="s">
        <v>121</v>
      </c>
      <c r="H1575" s="3"/>
      <c r="I1575" s="3" t="s">
        <v>122</v>
      </c>
      <c r="J1575" s="3">
        <v>28</v>
      </c>
      <c r="K1575" s="3">
        <v>28</v>
      </c>
      <c r="L1575" s="3">
        <v>0</v>
      </c>
      <c r="M1575" s="3">
        <v>0</v>
      </c>
      <c r="N1575" s="3">
        <v>28</v>
      </c>
      <c r="O1575" s="3">
        <v>0.08</v>
      </c>
      <c r="P1575" s="3">
        <v>0</v>
      </c>
      <c r="Q1575" s="3">
        <v>0</v>
      </c>
      <c r="R1575" s="3">
        <v>0</v>
      </c>
    </row>
    <row r="1576" spans="1:18">
      <c r="A1576" s="3" t="s">
        <v>4312</v>
      </c>
      <c r="B1576" s="3" t="s">
        <v>4313</v>
      </c>
      <c r="C1576" s="3" t="s">
        <v>4313</v>
      </c>
      <c r="D1576" s="3" t="s">
        <v>4314</v>
      </c>
      <c r="E1576" s="3" t="s">
        <v>120</v>
      </c>
      <c r="F1576" s="3">
        <v>23.98</v>
      </c>
      <c r="G1576" s="3" t="s">
        <v>121</v>
      </c>
      <c r="H1576" s="3"/>
      <c r="I1576" s="3" t="s">
        <v>122</v>
      </c>
      <c r="J1576" s="3">
        <v>6</v>
      </c>
      <c r="K1576" s="3">
        <v>6</v>
      </c>
      <c r="L1576" s="3">
        <v>0</v>
      </c>
      <c r="M1576" s="3">
        <v>0</v>
      </c>
      <c r="N1576" s="3">
        <v>6</v>
      </c>
      <c r="O1576" s="3">
        <v>0.09</v>
      </c>
      <c r="P1576" s="3">
        <v>0</v>
      </c>
      <c r="Q1576" s="3">
        <v>0</v>
      </c>
      <c r="R1576" s="3">
        <v>0</v>
      </c>
    </row>
    <row r="1577" spans="1:18">
      <c r="A1577" s="3" t="s">
        <v>4315</v>
      </c>
      <c r="B1577" s="3" t="s">
        <v>4316</v>
      </c>
      <c r="C1577" s="3" t="s">
        <v>4316</v>
      </c>
      <c r="D1577" s="3" t="s">
        <v>4317</v>
      </c>
      <c r="E1577" s="3" t="s">
        <v>120</v>
      </c>
      <c r="F1577" s="3">
        <v>23.98</v>
      </c>
      <c r="G1577" s="3" t="s">
        <v>121</v>
      </c>
      <c r="H1577" s="3"/>
      <c r="I1577" s="3" t="s">
        <v>122</v>
      </c>
      <c r="J1577" s="3">
        <v>17</v>
      </c>
      <c r="K1577" s="3">
        <v>17</v>
      </c>
      <c r="L1577" s="3">
        <v>0</v>
      </c>
      <c r="M1577" s="3">
        <v>0</v>
      </c>
      <c r="N1577" s="3">
        <v>17</v>
      </c>
      <c r="O1577" s="3">
        <v>0.17</v>
      </c>
      <c r="P1577" s="3">
        <v>0</v>
      </c>
      <c r="Q1577" s="3">
        <v>0</v>
      </c>
      <c r="R1577" s="3">
        <v>0</v>
      </c>
    </row>
    <row r="1578" spans="1:18">
      <c r="A1578" s="3" t="s">
        <v>4318</v>
      </c>
      <c r="B1578" s="3" t="s">
        <v>4319</v>
      </c>
      <c r="C1578" s="3" t="s">
        <v>4319</v>
      </c>
      <c r="D1578" s="3" t="s">
        <v>4320</v>
      </c>
      <c r="E1578" s="3" t="s">
        <v>120</v>
      </c>
      <c r="F1578" s="3">
        <v>23.98</v>
      </c>
      <c r="G1578" s="3" t="s">
        <v>121</v>
      </c>
      <c r="H1578" s="3"/>
      <c r="I1578" s="3" t="s">
        <v>122</v>
      </c>
      <c r="J1578" s="3">
        <v>21</v>
      </c>
      <c r="K1578" s="3">
        <v>21</v>
      </c>
      <c r="L1578" s="3">
        <v>0</v>
      </c>
      <c r="M1578" s="3">
        <v>0</v>
      </c>
      <c r="N1578" s="3">
        <v>21</v>
      </c>
      <c r="O1578" s="3">
        <v>0.1</v>
      </c>
      <c r="P1578" s="3">
        <v>0</v>
      </c>
      <c r="Q1578" s="3">
        <v>0</v>
      </c>
      <c r="R1578" s="3">
        <v>0</v>
      </c>
    </row>
    <row r="1579" spans="1:18">
      <c r="A1579" s="3" t="s">
        <v>4321</v>
      </c>
      <c r="B1579" s="3" t="s">
        <v>4322</v>
      </c>
      <c r="C1579" s="3" t="s">
        <v>4322</v>
      </c>
      <c r="D1579" s="3" t="s">
        <v>4323</v>
      </c>
      <c r="E1579" s="3" t="s">
        <v>120</v>
      </c>
      <c r="F1579" s="3">
        <v>23.98</v>
      </c>
      <c r="G1579" s="3" t="s">
        <v>121</v>
      </c>
      <c r="H1579" s="3"/>
      <c r="I1579" s="3" t="s">
        <v>122</v>
      </c>
      <c r="J1579" s="3">
        <v>16</v>
      </c>
      <c r="K1579" s="3">
        <v>16</v>
      </c>
      <c r="L1579" s="3">
        <v>0</v>
      </c>
      <c r="M1579" s="3">
        <v>0</v>
      </c>
      <c r="N1579" s="3">
        <v>16</v>
      </c>
      <c r="O1579" s="3">
        <v>0.11</v>
      </c>
      <c r="P1579" s="3">
        <v>0</v>
      </c>
      <c r="Q1579" s="3">
        <v>0</v>
      </c>
      <c r="R1579" s="3">
        <v>0</v>
      </c>
    </row>
    <row r="1580" spans="1:18">
      <c r="A1580" s="3" t="s">
        <v>4324</v>
      </c>
      <c r="B1580" s="3" t="s">
        <v>4325</v>
      </c>
      <c r="C1580" s="3" t="s">
        <v>4325</v>
      </c>
      <c r="D1580" s="3" t="s">
        <v>4326</v>
      </c>
      <c r="E1580" s="3" t="s">
        <v>120</v>
      </c>
      <c r="F1580" s="3">
        <v>23.98</v>
      </c>
      <c r="G1580" s="3" t="s">
        <v>121</v>
      </c>
      <c r="H1580" s="3"/>
      <c r="I1580" s="3" t="s">
        <v>122</v>
      </c>
      <c r="J1580" s="3">
        <v>7</v>
      </c>
      <c r="K1580" s="3">
        <v>7</v>
      </c>
      <c r="L1580" s="3">
        <v>0</v>
      </c>
      <c r="M1580" s="3">
        <v>0</v>
      </c>
      <c r="N1580" s="3">
        <v>7</v>
      </c>
      <c r="O1580" s="3">
        <v>0.08</v>
      </c>
      <c r="P1580" s="3">
        <v>0</v>
      </c>
      <c r="Q1580" s="3">
        <v>0</v>
      </c>
      <c r="R1580" s="3">
        <v>0</v>
      </c>
    </row>
    <row r="1581" spans="1:18">
      <c r="A1581" s="3" t="s">
        <v>4327</v>
      </c>
      <c r="B1581" s="3" t="s">
        <v>4328</v>
      </c>
      <c r="C1581" s="3" t="s">
        <v>4328</v>
      </c>
      <c r="D1581" s="3" t="s">
        <v>4329</v>
      </c>
      <c r="E1581" s="3" t="s">
        <v>120</v>
      </c>
      <c r="F1581" s="3">
        <v>23.98</v>
      </c>
      <c r="G1581" s="3" t="s">
        <v>121</v>
      </c>
      <c r="H1581" s="3"/>
      <c r="I1581" s="3" t="s">
        <v>122</v>
      </c>
      <c r="J1581" s="3">
        <v>22</v>
      </c>
      <c r="K1581" s="3">
        <v>22</v>
      </c>
      <c r="L1581" s="3">
        <v>0</v>
      </c>
      <c r="M1581" s="3">
        <v>0</v>
      </c>
      <c r="N1581" s="3">
        <v>22</v>
      </c>
      <c r="O1581" s="3">
        <v>0.17</v>
      </c>
      <c r="P1581" s="3">
        <v>0</v>
      </c>
      <c r="Q1581" s="3">
        <v>0</v>
      </c>
      <c r="R1581" s="3">
        <v>0</v>
      </c>
    </row>
    <row r="1582" spans="1:18">
      <c r="A1582" s="3" t="s">
        <v>4330</v>
      </c>
      <c r="B1582" s="3" t="s">
        <v>4331</v>
      </c>
      <c r="C1582" s="3" t="s">
        <v>4331</v>
      </c>
      <c r="D1582" s="3" t="s">
        <v>4332</v>
      </c>
      <c r="E1582" s="3" t="s">
        <v>120</v>
      </c>
      <c r="F1582" s="3">
        <v>23.98</v>
      </c>
      <c r="G1582" s="3" t="s">
        <v>121</v>
      </c>
      <c r="H1582" s="3"/>
      <c r="I1582" s="3" t="s">
        <v>122</v>
      </c>
      <c r="J1582" s="3">
        <v>7</v>
      </c>
      <c r="K1582" s="3">
        <v>7</v>
      </c>
      <c r="L1582" s="3">
        <v>0</v>
      </c>
      <c r="M1582" s="3">
        <v>0</v>
      </c>
      <c r="N1582" s="3">
        <v>7</v>
      </c>
      <c r="O1582" s="3">
        <v>0.17</v>
      </c>
      <c r="P1582" s="3">
        <v>0</v>
      </c>
      <c r="Q1582" s="3">
        <v>0</v>
      </c>
      <c r="R1582" s="3">
        <v>0</v>
      </c>
    </row>
    <row r="1583" spans="1:18">
      <c r="A1583" s="3" t="s">
        <v>4333</v>
      </c>
      <c r="B1583" s="3" t="s">
        <v>4334</v>
      </c>
      <c r="C1583" s="3" t="s">
        <v>4334</v>
      </c>
      <c r="D1583" s="3" t="s">
        <v>4335</v>
      </c>
      <c r="E1583" s="3" t="s">
        <v>120</v>
      </c>
      <c r="F1583" s="3">
        <v>23.98</v>
      </c>
      <c r="G1583" s="3" t="s">
        <v>121</v>
      </c>
      <c r="H1583" s="3"/>
      <c r="I1583" s="3" t="s">
        <v>122</v>
      </c>
      <c r="J1583" s="3">
        <v>18</v>
      </c>
      <c r="K1583" s="3">
        <v>18</v>
      </c>
      <c r="L1583" s="3">
        <v>0</v>
      </c>
      <c r="M1583" s="3">
        <v>0</v>
      </c>
      <c r="N1583" s="3">
        <v>18</v>
      </c>
      <c r="O1583" s="3">
        <v>0.12</v>
      </c>
      <c r="P1583" s="3">
        <v>0</v>
      </c>
      <c r="Q1583" s="3">
        <v>0</v>
      </c>
      <c r="R1583" s="3">
        <v>0</v>
      </c>
    </row>
    <row r="1584" spans="1:18">
      <c r="A1584" s="3" t="s">
        <v>4336</v>
      </c>
      <c r="B1584" s="3" t="s">
        <v>4337</v>
      </c>
      <c r="C1584" s="3" t="s">
        <v>4337</v>
      </c>
      <c r="D1584" s="3" t="s">
        <v>4338</v>
      </c>
      <c r="E1584" s="3" t="s">
        <v>120</v>
      </c>
      <c r="F1584" s="3">
        <v>23.98</v>
      </c>
      <c r="G1584" s="3" t="s">
        <v>121</v>
      </c>
      <c r="H1584" s="3"/>
      <c r="I1584" s="3" t="s">
        <v>122</v>
      </c>
      <c r="J1584" s="3">
        <v>12</v>
      </c>
      <c r="K1584" s="3">
        <v>12</v>
      </c>
      <c r="L1584" s="3">
        <v>0</v>
      </c>
      <c r="M1584" s="3">
        <v>0</v>
      </c>
      <c r="N1584" s="3">
        <v>12</v>
      </c>
      <c r="O1584" s="3">
        <v>0.17</v>
      </c>
      <c r="P1584" s="3">
        <v>0</v>
      </c>
      <c r="Q1584" s="3">
        <v>0</v>
      </c>
      <c r="R1584" s="3">
        <v>0</v>
      </c>
    </row>
    <row r="1585" spans="1:18">
      <c r="A1585" s="3" t="s">
        <v>4339</v>
      </c>
      <c r="B1585" s="3" t="s">
        <v>4340</v>
      </c>
      <c r="C1585" s="3" t="s">
        <v>4340</v>
      </c>
      <c r="D1585" s="3" t="s">
        <v>4341</v>
      </c>
      <c r="E1585" s="3" t="s">
        <v>120</v>
      </c>
      <c r="F1585" s="3">
        <v>23.98</v>
      </c>
      <c r="G1585" s="3" t="s">
        <v>121</v>
      </c>
      <c r="H1585" s="3"/>
      <c r="I1585" s="3" t="s">
        <v>122</v>
      </c>
      <c r="J1585" s="3">
        <v>17</v>
      </c>
      <c r="K1585" s="3">
        <v>17</v>
      </c>
      <c r="L1585" s="3">
        <v>0</v>
      </c>
      <c r="M1585" s="3">
        <v>0</v>
      </c>
      <c r="N1585" s="3">
        <v>17</v>
      </c>
      <c r="O1585" s="3">
        <v>0.1</v>
      </c>
      <c r="P1585" s="3">
        <v>0</v>
      </c>
      <c r="Q1585" s="3">
        <v>0</v>
      </c>
      <c r="R1585" s="3">
        <v>0</v>
      </c>
    </row>
    <row r="1586" spans="1:18">
      <c r="A1586" s="3" t="s">
        <v>4342</v>
      </c>
      <c r="B1586" s="3" t="s">
        <v>4343</v>
      </c>
      <c r="C1586" s="3" t="s">
        <v>4343</v>
      </c>
      <c r="D1586" s="3" t="s">
        <v>4344</v>
      </c>
      <c r="E1586" s="3" t="s">
        <v>120</v>
      </c>
      <c r="F1586" s="3">
        <v>23.98</v>
      </c>
      <c r="G1586" s="3" t="s">
        <v>121</v>
      </c>
      <c r="H1586" s="3"/>
      <c r="I1586" s="3" t="s">
        <v>122</v>
      </c>
      <c r="J1586" s="3">
        <v>28</v>
      </c>
      <c r="K1586" s="3">
        <v>28</v>
      </c>
      <c r="L1586" s="3">
        <v>0</v>
      </c>
      <c r="M1586" s="3">
        <v>0</v>
      </c>
      <c r="N1586" s="3">
        <v>28</v>
      </c>
      <c r="O1586" s="3">
        <v>0.17</v>
      </c>
      <c r="P1586" s="3">
        <v>0</v>
      </c>
      <c r="Q1586" s="3">
        <v>0</v>
      </c>
      <c r="R1586" s="3">
        <v>0</v>
      </c>
    </row>
    <row r="1587" spans="1:18">
      <c r="A1587" s="3" t="s">
        <v>4345</v>
      </c>
      <c r="B1587" s="3" t="s">
        <v>4346</v>
      </c>
      <c r="C1587" s="3" t="s">
        <v>4346</v>
      </c>
      <c r="D1587" s="3" t="s">
        <v>4347</v>
      </c>
      <c r="E1587" s="3" t="s">
        <v>120</v>
      </c>
      <c r="F1587" s="3">
        <v>23.98</v>
      </c>
      <c r="G1587" s="3" t="s">
        <v>121</v>
      </c>
      <c r="H1587" s="3"/>
      <c r="I1587" s="3" t="s">
        <v>122</v>
      </c>
      <c r="J1587" s="3">
        <v>9</v>
      </c>
      <c r="K1587" s="3">
        <v>9</v>
      </c>
      <c r="L1587" s="3">
        <v>0</v>
      </c>
      <c r="M1587" s="3">
        <v>0</v>
      </c>
      <c r="N1587" s="3">
        <v>9</v>
      </c>
      <c r="O1587" s="3">
        <v>0.1</v>
      </c>
      <c r="P1587" s="3">
        <v>0</v>
      </c>
      <c r="Q1587" s="3">
        <v>0</v>
      </c>
      <c r="R1587" s="3">
        <v>0</v>
      </c>
    </row>
    <row r="1588" spans="1:18">
      <c r="A1588" s="3" t="s">
        <v>4348</v>
      </c>
      <c r="B1588" s="3" t="s">
        <v>4349</v>
      </c>
      <c r="C1588" s="3" t="s">
        <v>4349</v>
      </c>
      <c r="D1588" s="3" t="s">
        <v>4350</v>
      </c>
      <c r="E1588" s="3" t="s">
        <v>120</v>
      </c>
      <c r="F1588" s="3">
        <v>23.98</v>
      </c>
      <c r="G1588" s="3" t="s">
        <v>121</v>
      </c>
      <c r="H1588" s="3"/>
      <c r="I1588" s="3" t="s">
        <v>122</v>
      </c>
      <c r="J1588" s="3">
        <v>26</v>
      </c>
      <c r="K1588" s="3">
        <v>26</v>
      </c>
      <c r="L1588" s="3">
        <v>0</v>
      </c>
      <c r="M1588" s="3">
        <v>0</v>
      </c>
      <c r="N1588" s="3">
        <v>26</v>
      </c>
      <c r="O1588" s="3">
        <v>0.17</v>
      </c>
      <c r="P1588" s="3">
        <v>0</v>
      </c>
      <c r="Q1588" s="3">
        <v>0</v>
      </c>
      <c r="R1588" s="3">
        <v>0</v>
      </c>
    </row>
    <row r="1589" spans="1:18">
      <c r="A1589" s="3" t="s">
        <v>4351</v>
      </c>
      <c r="B1589" s="3" t="s">
        <v>4352</v>
      </c>
      <c r="C1589" s="3" t="s">
        <v>4352</v>
      </c>
      <c r="D1589" s="3" t="s">
        <v>4353</v>
      </c>
      <c r="E1589" s="3" t="s">
        <v>120</v>
      </c>
      <c r="F1589" s="3">
        <v>23.98</v>
      </c>
      <c r="G1589" s="3" t="s">
        <v>121</v>
      </c>
      <c r="H1589" s="3"/>
      <c r="I1589" s="3" t="s">
        <v>122</v>
      </c>
      <c r="J1589" s="3">
        <v>24</v>
      </c>
      <c r="K1589" s="3">
        <v>24</v>
      </c>
      <c r="L1589" s="3">
        <v>0</v>
      </c>
      <c r="M1589" s="3">
        <v>0</v>
      </c>
      <c r="N1589" s="3">
        <v>24</v>
      </c>
      <c r="O1589" s="3">
        <v>0.17</v>
      </c>
      <c r="P1589" s="3">
        <v>0</v>
      </c>
      <c r="Q1589" s="3">
        <v>0</v>
      </c>
      <c r="R1589" s="3">
        <v>0</v>
      </c>
    </row>
    <row r="1590" spans="1:18">
      <c r="A1590" s="3" t="s">
        <v>4354</v>
      </c>
      <c r="B1590" s="3" t="s">
        <v>4355</v>
      </c>
      <c r="C1590" s="3" t="s">
        <v>4355</v>
      </c>
      <c r="D1590" s="3" t="s">
        <v>4356</v>
      </c>
      <c r="E1590" s="3" t="s">
        <v>120</v>
      </c>
      <c r="F1590" s="3">
        <v>23.98</v>
      </c>
      <c r="G1590" s="3" t="s">
        <v>121</v>
      </c>
      <c r="H1590" s="3"/>
      <c r="I1590" s="3" t="s">
        <v>122</v>
      </c>
      <c r="J1590" s="3">
        <v>11</v>
      </c>
      <c r="K1590" s="3">
        <v>11</v>
      </c>
      <c r="L1590" s="3">
        <v>0</v>
      </c>
      <c r="M1590" s="3">
        <v>0</v>
      </c>
      <c r="N1590" s="3">
        <v>11</v>
      </c>
      <c r="O1590" s="3">
        <v>0.13</v>
      </c>
      <c r="P1590" s="3">
        <v>0</v>
      </c>
      <c r="Q1590" s="3">
        <v>0</v>
      </c>
      <c r="R1590" s="3">
        <v>0</v>
      </c>
    </row>
    <row r="1591" spans="1:18">
      <c r="A1591" s="3" t="s">
        <v>4357</v>
      </c>
      <c r="B1591" s="3" t="s">
        <v>4358</v>
      </c>
      <c r="C1591" s="3" t="s">
        <v>4358</v>
      </c>
      <c r="D1591" s="3" t="s">
        <v>4359</v>
      </c>
      <c r="E1591" s="3" t="s">
        <v>120</v>
      </c>
      <c r="F1591" s="3">
        <v>23.98</v>
      </c>
      <c r="G1591" s="3" t="s">
        <v>121</v>
      </c>
      <c r="H1591" s="3"/>
      <c r="I1591" s="3" t="s">
        <v>122</v>
      </c>
      <c r="J1591" s="3">
        <v>5</v>
      </c>
      <c r="K1591" s="3">
        <v>5</v>
      </c>
      <c r="L1591" s="3">
        <v>0</v>
      </c>
      <c r="M1591" s="3">
        <v>0</v>
      </c>
      <c r="N1591" s="3">
        <v>5</v>
      </c>
      <c r="O1591" s="3">
        <v>0.14</v>
      </c>
      <c r="P1591" s="3">
        <v>0</v>
      </c>
      <c r="Q1591" s="3">
        <v>0</v>
      </c>
      <c r="R1591" s="3">
        <v>0</v>
      </c>
    </row>
    <row r="1592" spans="1:18">
      <c r="A1592" s="3" t="s">
        <v>4360</v>
      </c>
      <c r="B1592" s="3" t="s">
        <v>4361</v>
      </c>
      <c r="C1592" s="3" t="s">
        <v>4361</v>
      </c>
      <c r="D1592" s="3" t="s">
        <v>4362</v>
      </c>
      <c r="E1592" s="3" t="s">
        <v>120</v>
      </c>
      <c r="F1592" s="3">
        <v>23.98</v>
      </c>
      <c r="G1592" s="3" t="s">
        <v>121</v>
      </c>
      <c r="H1592" s="3"/>
      <c r="I1592" s="3" t="s">
        <v>122</v>
      </c>
      <c r="J1592" s="3">
        <v>25</v>
      </c>
      <c r="K1592" s="3">
        <v>25</v>
      </c>
      <c r="L1592" s="3">
        <v>0</v>
      </c>
      <c r="M1592" s="3">
        <v>0</v>
      </c>
      <c r="N1592" s="3">
        <v>25</v>
      </c>
      <c r="O1592" s="3">
        <v>0.17</v>
      </c>
      <c r="P1592" s="3">
        <v>0</v>
      </c>
      <c r="Q1592" s="3">
        <v>0</v>
      </c>
      <c r="R1592" s="3">
        <v>0</v>
      </c>
    </row>
    <row r="1593" spans="1:18">
      <c r="A1593" s="3" t="s">
        <v>4363</v>
      </c>
      <c r="B1593" s="3" t="s">
        <v>4364</v>
      </c>
      <c r="C1593" s="3" t="s">
        <v>4364</v>
      </c>
      <c r="D1593" s="3" t="s">
        <v>4365</v>
      </c>
      <c r="E1593" s="3" t="s">
        <v>120</v>
      </c>
      <c r="F1593" s="3">
        <v>22.98</v>
      </c>
      <c r="G1593" s="3" t="s">
        <v>121</v>
      </c>
      <c r="H1593" s="3"/>
      <c r="I1593" s="3" t="s">
        <v>122</v>
      </c>
      <c r="J1593" s="3">
        <v>4</v>
      </c>
      <c r="K1593" s="3">
        <v>4</v>
      </c>
      <c r="L1593" s="3">
        <v>0</v>
      </c>
      <c r="M1593" s="3">
        <v>0</v>
      </c>
      <c r="N1593" s="3">
        <v>4</v>
      </c>
      <c r="O1593" s="3">
        <v>0.08</v>
      </c>
      <c r="P1593" s="3">
        <v>0</v>
      </c>
      <c r="Q1593" s="3">
        <v>0</v>
      </c>
      <c r="R1593" s="3">
        <v>0</v>
      </c>
    </row>
    <row r="1594" spans="1:18">
      <c r="A1594" s="3" t="s">
        <v>4366</v>
      </c>
      <c r="B1594" s="3" t="s">
        <v>3318</v>
      </c>
      <c r="C1594" s="3" t="s">
        <v>3318</v>
      </c>
      <c r="D1594" s="3" t="s">
        <v>3319</v>
      </c>
      <c r="E1594" s="3" t="s">
        <v>120</v>
      </c>
      <c r="F1594" s="3">
        <v>22.98</v>
      </c>
      <c r="G1594" s="3" t="s">
        <v>121</v>
      </c>
      <c r="H1594" s="3"/>
      <c r="I1594" s="3" t="s">
        <v>122</v>
      </c>
      <c r="J1594" s="3">
        <v>3</v>
      </c>
      <c r="K1594" s="3">
        <v>3</v>
      </c>
      <c r="L1594" s="3">
        <v>0</v>
      </c>
      <c r="M1594" s="3">
        <v>0</v>
      </c>
      <c r="N1594" s="3">
        <v>3</v>
      </c>
      <c r="O1594" s="3">
        <v>0.12</v>
      </c>
      <c r="P1594" s="3">
        <v>0</v>
      </c>
      <c r="Q1594" s="3">
        <v>0</v>
      </c>
      <c r="R1594" s="3">
        <v>0</v>
      </c>
    </row>
    <row r="1595" spans="1:18">
      <c r="A1595" s="3" t="s">
        <v>4367</v>
      </c>
      <c r="B1595" s="3" t="s">
        <v>3322</v>
      </c>
      <c r="C1595" s="3" t="s">
        <v>3322</v>
      </c>
      <c r="D1595" s="3" t="s">
        <v>3323</v>
      </c>
      <c r="E1595" s="3" t="s">
        <v>120</v>
      </c>
      <c r="F1595" s="3">
        <v>22.98</v>
      </c>
      <c r="G1595" s="3" t="s">
        <v>121</v>
      </c>
      <c r="H1595" s="3"/>
      <c r="I1595" s="3" t="s">
        <v>122</v>
      </c>
      <c r="J1595" s="3">
        <v>1</v>
      </c>
      <c r="K1595" s="3">
        <v>1</v>
      </c>
      <c r="L1595" s="3">
        <v>0</v>
      </c>
      <c r="M1595" s="3">
        <v>0</v>
      </c>
      <c r="N1595" s="3">
        <v>1</v>
      </c>
      <c r="O1595" s="3">
        <v>0.12</v>
      </c>
      <c r="P1595" s="3">
        <v>0</v>
      </c>
      <c r="Q1595" s="3">
        <v>0</v>
      </c>
      <c r="R1595" s="3">
        <v>0</v>
      </c>
    </row>
    <row r="1596" spans="1:18">
      <c r="A1596" s="3" t="s">
        <v>4368</v>
      </c>
      <c r="B1596" s="3" t="s">
        <v>3326</v>
      </c>
      <c r="C1596" s="3" t="s">
        <v>3326</v>
      </c>
      <c r="D1596" s="3" t="s">
        <v>3327</v>
      </c>
      <c r="E1596" s="3" t="s">
        <v>120</v>
      </c>
      <c r="F1596" s="3">
        <v>22.98</v>
      </c>
      <c r="G1596" s="3" t="s">
        <v>121</v>
      </c>
      <c r="H1596" s="3"/>
      <c r="I1596" s="3" t="s">
        <v>122</v>
      </c>
      <c r="J1596" s="3">
        <v>1</v>
      </c>
      <c r="K1596" s="3">
        <v>0</v>
      </c>
      <c r="L1596" s="3">
        <v>0</v>
      </c>
      <c r="M1596" s="3">
        <v>1</v>
      </c>
      <c r="N1596" s="3">
        <v>1</v>
      </c>
      <c r="O1596" s="3">
        <v>0.12</v>
      </c>
      <c r="P1596" s="3">
        <v>0</v>
      </c>
      <c r="Q1596" s="3">
        <v>0</v>
      </c>
      <c r="R1596" s="3">
        <v>0</v>
      </c>
    </row>
    <row r="1597" spans="1:18">
      <c r="A1597" s="3" t="s">
        <v>4369</v>
      </c>
      <c r="B1597" s="3" t="s">
        <v>3330</v>
      </c>
      <c r="C1597" s="3" t="s">
        <v>3330</v>
      </c>
      <c r="D1597" s="3"/>
      <c r="E1597" s="3" t="s">
        <v>20</v>
      </c>
      <c r="F1597" s="3"/>
      <c r="G1597" s="3"/>
      <c r="H1597" s="3"/>
      <c r="I1597" s="3"/>
      <c r="J1597" s="3">
        <v>0</v>
      </c>
      <c r="K1597" s="3">
        <v>0</v>
      </c>
      <c r="L1597" s="3">
        <v>0</v>
      </c>
      <c r="M1597" s="3">
        <v>0</v>
      </c>
      <c r="N1597" s="3">
        <v>0</v>
      </c>
      <c r="O1597" s="3"/>
      <c r="P1597" s="3">
        <v>0</v>
      </c>
      <c r="Q1597" s="3">
        <v>0</v>
      </c>
      <c r="R1597" s="3">
        <v>0</v>
      </c>
    </row>
    <row r="1598" spans="1:18">
      <c r="A1598" s="3" t="s">
        <v>4370</v>
      </c>
      <c r="B1598" s="3" t="s">
        <v>3334</v>
      </c>
      <c r="C1598" s="3" t="s">
        <v>3334</v>
      </c>
      <c r="D1598" s="3" t="s">
        <v>3335</v>
      </c>
      <c r="E1598" s="3" t="s">
        <v>120</v>
      </c>
      <c r="F1598" s="3">
        <v>22.98</v>
      </c>
      <c r="G1598" s="3" t="s">
        <v>121</v>
      </c>
      <c r="H1598" s="3"/>
      <c r="I1598" s="3" t="s">
        <v>122</v>
      </c>
      <c r="J1598" s="3">
        <v>0</v>
      </c>
      <c r="K1598" s="3">
        <v>0</v>
      </c>
      <c r="L1598" s="3">
        <v>0</v>
      </c>
      <c r="M1598" s="3">
        <v>0</v>
      </c>
      <c r="N1598" s="3">
        <v>0</v>
      </c>
      <c r="O1598" s="3">
        <v>0.12</v>
      </c>
      <c r="P1598" s="3">
        <v>0</v>
      </c>
      <c r="Q1598" s="3">
        <v>0</v>
      </c>
      <c r="R1598" s="3">
        <v>0</v>
      </c>
    </row>
    <row r="1599" spans="1:18">
      <c r="A1599" s="3" t="s">
        <v>4371</v>
      </c>
      <c r="B1599" s="3" t="s">
        <v>3338</v>
      </c>
      <c r="C1599" s="3" t="s">
        <v>3338</v>
      </c>
      <c r="D1599" s="3" t="s">
        <v>3339</v>
      </c>
      <c r="E1599" s="3" t="s">
        <v>120</v>
      </c>
      <c r="F1599" s="3">
        <v>22.98</v>
      </c>
      <c r="G1599" s="3" t="s">
        <v>121</v>
      </c>
      <c r="H1599" s="3"/>
      <c r="I1599" s="3" t="s">
        <v>122</v>
      </c>
      <c r="J1599" s="3">
        <v>6</v>
      </c>
      <c r="K1599" s="3">
        <v>6</v>
      </c>
      <c r="L1599" s="3">
        <v>0</v>
      </c>
      <c r="M1599" s="3">
        <v>0</v>
      </c>
      <c r="N1599" s="3">
        <v>6</v>
      </c>
      <c r="O1599" s="3">
        <v>0.04</v>
      </c>
      <c r="P1599" s="3">
        <v>0</v>
      </c>
      <c r="Q1599" s="3">
        <v>0</v>
      </c>
      <c r="R1599" s="3">
        <v>0</v>
      </c>
    </row>
    <row r="1600" spans="1:18">
      <c r="A1600" s="3" t="s">
        <v>4372</v>
      </c>
      <c r="B1600" s="3" t="s">
        <v>3342</v>
      </c>
      <c r="C1600" s="3" t="s">
        <v>3342</v>
      </c>
      <c r="D1600" s="3" t="s">
        <v>3343</v>
      </c>
      <c r="E1600" s="3" t="s">
        <v>120</v>
      </c>
      <c r="F1600" s="3">
        <v>22.98</v>
      </c>
      <c r="G1600" s="3" t="s">
        <v>121</v>
      </c>
      <c r="H1600" s="3"/>
      <c r="I1600" s="3" t="s">
        <v>122</v>
      </c>
      <c r="J1600" s="3">
        <v>3</v>
      </c>
      <c r="K1600" s="3">
        <v>3</v>
      </c>
      <c r="L1600" s="3">
        <v>0</v>
      </c>
      <c r="M1600" s="3">
        <v>0</v>
      </c>
      <c r="N1600" s="3">
        <v>3</v>
      </c>
      <c r="O1600" s="3">
        <v>0.12</v>
      </c>
      <c r="P1600" s="3">
        <v>0</v>
      </c>
      <c r="Q1600" s="3">
        <v>0</v>
      </c>
      <c r="R1600" s="3">
        <v>0</v>
      </c>
    </row>
    <row r="1601" spans="1:18">
      <c r="A1601" s="3" t="s">
        <v>4373</v>
      </c>
      <c r="B1601" s="3" t="s">
        <v>3346</v>
      </c>
      <c r="C1601" s="3" t="s">
        <v>3346</v>
      </c>
      <c r="D1601" s="3" t="s">
        <v>3347</v>
      </c>
      <c r="E1601" s="3" t="s">
        <v>120</v>
      </c>
      <c r="F1601" s="3">
        <v>22.98</v>
      </c>
      <c r="G1601" s="3" t="s">
        <v>121</v>
      </c>
      <c r="H1601" s="3"/>
      <c r="I1601" s="3" t="s">
        <v>122</v>
      </c>
      <c r="J1601" s="3">
        <v>15</v>
      </c>
      <c r="K1601" s="3">
        <v>15</v>
      </c>
      <c r="L1601" s="3">
        <v>0</v>
      </c>
      <c r="M1601" s="3">
        <v>0</v>
      </c>
      <c r="N1601" s="3">
        <v>15</v>
      </c>
      <c r="O1601" s="3">
        <v>0.12</v>
      </c>
      <c r="P1601" s="3">
        <v>0</v>
      </c>
      <c r="Q1601" s="3">
        <v>0</v>
      </c>
      <c r="R1601" s="3">
        <v>0</v>
      </c>
    </row>
    <row r="1602" spans="1:18">
      <c r="A1602" s="3" t="s">
        <v>4374</v>
      </c>
      <c r="B1602" s="3" t="s">
        <v>3350</v>
      </c>
      <c r="C1602" s="3" t="s">
        <v>3350</v>
      </c>
      <c r="D1602" s="3" t="s">
        <v>3351</v>
      </c>
      <c r="E1602" s="3" t="s">
        <v>120</v>
      </c>
      <c r="F1602" s="3">
        <v>22.98</v>
      </c>
      <c r="G1602" s="3" t="s">
        <v>121</v>
      </c>
      <c r="H1602" s="3"/>
      <c r="I1602" s="3" t="s">
        <v>122</v>
      </c>
      <c r="J1602" s="3">
        <v>11</v>
      </c>
      <c r="K1602" s="3">
        <v>11</v>
      </c>
      <c r="L1602" s="3">
        <v>0</v>
      </c>
      <c r="M1602" s="3">
        <v>0</v>
      </c>
      <c r="N1602" s="3">
        <v>11</v>
      </c>
      <c r="O1602" s="3">
        <v>0.12</v>
      </c>
      <c r="P1602" s="3">
        <v>0</v>
      </c>
      <c r="Q1602" s="3">
        <v>0</v>
      </c>
      <c r="R1602" s="3">
        <v>0</v>
      </c>
    </row>
    <row r="1603" spans="1:18">
      <c r="A1603" s="3" t="s">
        <v>4375</v>
      </c>
      <c r="B1603" s="3" t="s">
        <v>3354</v>
      </c>
      <c r="C1603" s="3" t="s">
        <v>3354</v>
      </c>
      <c r="D1603" s="3" t="s">
        <v>3355</v>
      </c>
      <c r="E1603" s="3" t="s">
        <v>120</v>
      </c>
      <c r="F1603" s="3">
        <v>22.98</v>
      </c>
      <c r="G1603" s="3" t="s">
        <v>121</v>
      </c>
      <c r="H1603" s="3"/>
      <c r="I1603" s="3" t="s">
        <v>122</v>
      </c>
      <c r="J1603" s="3">
        <v>9</v>
      </c>
      <c r="K1603" s="3">
        <v>9</v>
      </c>
      <c r="L1603" s="3">
        <v>0</v>
      </c>
      <c r="M1603" s="3">
        <v>0</v>
      </c>
      <c r="N1603" s="3">
        <v>9</v>
      </c>
      <c r="O1603" s="3">
        <v>0.12</v>
      </c>
      <c r="P1603" s="3">
        <v>0</v>
      </c>
      <c r="Q1603" s="3">
        <v>0</v>
      </c>
      <c r="R1603" s="3">
        <v>0</v>
      </c>
    </row>
    <row r="1604" spans="1:18">
      <c r="A1604" s="3" t="s">
        <v>4376</v>
      </c>
      <c r="B1604" s="3" t="s">
        <v>3358</v>
      </c>
      <c r="C1604" s="3" t="s">
        <v>3358</v>
      </c>
      <c r="D1604" s="3" t="s">
        <v>3359</v>
      </c>
      <c r="E1604" s="3" t="s">
        <v>120</v>
      </c>
      <c r="F1604" s="3">
        <v>22.98</v>
      </c>
      <c r="G1604" s="3" t="s">
        <v>121</v>
      </c>
      <c r="H1604" s="3"/>
      <c r="I1604" s="3" t="s">
        <v>122</v>
      </c>
      <c r="J1604" s="3">
        <v>18</v>
      </c>
      <c r="K1604" s="3">
        <v>18</v>
      </c>
      <c r="L1604" s="3">
        <v>0</v>
      </c>
      <c r="M1604" s="3">
        <v>0</v>
      </c>
      <c r="N1604" s="3">
        <v>18</v>
      </c>
      <c r="O1604" s="3">
        <v>0.12</v>
      </c>
      <c r="P1604" s="3">
        <v>0</v>
      </c>
      <c r="Q1604" s="3">
        <v>0</v>
      </c>
      <c r="R1604" s="3">
        <v>0</v>
      </c>
    </row>
    <row r="1605" spans="1:18">
      <c r="A1605" s="3" t="s">
        <v>4377</v>
      </c>
      <c r="B1605" s="3" t="s">
        <v>3362</v>
      </c>
      <c r="C1605" s="3" t="s">
        <v>3362</v>
      </c>
      <c r="D1605" s="3" t="s">
        <v>3363</v>
      </c>
      <c r="E1605" s="3" t="s">
        <v>120</v>
      </c>
      <c r="F1605" s="3">
        <v>22.98</v>
      </c>
      <c r="G1605" s="3" t="s">
        <v>121</v>
      </c>
      <c r="H1605" s="3"/>
      <c r="I1605" s="3" t="s">
        <v>122</v>
      </c>
      <c r="J1605" s="3">
        <v>17</v>
      </c>
      <c r="K1605" s="3">
        <v>17</v>
      </c>
      <c r="L1605" s="3">
        <v>0</v>
      </c>
      <c r="M1605" s="3">
        <v>0</v>
      </c>
      <c r="N1605" s="3">
        <v>17</v>
      </c>
      <c r="O1605" s="3">
        <v>0.12</v>
      </c>
      <c r="P1605" s="3">
        <v>0</v>
      </c>
      <c r="Q1605" s="3">
        <v>0</v>
      </c>
      <c r="R1605" s="3">
        <v>0</v>
      </c>
    </row>
    <row r="1606" spans="1:18">
      <c r="A1606" s="3" t="s">
        <v>4378</v>
      </c>
      <c r="B1606" s="3" t="s">
        <v>4379</v>
      </c>
      <c r="C1606" s="3" t="s">
        <v>4379</v>
      </c>
      <c r="D1606" s="3"/>
      <c r="E1606" s="3" t="s">
        <v>20</v>
      </c>
      <c r="F1606" s="3"/>
      <c r="G1606" s="3"/>
      <c r="H1606" s="3"/>
      <c r="I1606" s="3"/>
      <c r="J1606" s="3">
        <v>0</v>
      </c>
      <c r="K1606" s="3">
        <v>0</v>
      </c>
      <c r="L1606" s="3">
        <v>0</v>
      </c>
      <c r="M1606" s="3">
        <v>0</v>
      </c>
      <c r="N1606" s="3">
        <v>0</v>
      </c>
      <c r="O1606" s="3"/>
      <c r="P1606" s="3">
        <v>0</v>
      </c>
      <c r="Q1606" s="3">
        <v>0</v>
      </c>
      <c r="R1606" s="3">
        <v>0</v>
      </c>
    </row>
    <row r="1607" spans="1:18">
      <c r="A1607" s="3" t="s">
        <v>4380</v>
      </c>
      <c r="B1607" s="3" t="s">
        <v>3370</v>
      </c>
      <c r="C1607" s="3" t="s">
        <v>3370</v>
      </c>
      <c r="D1607" s="3" t="s">
        <v>3371</v>
      </c>
      <c r="E1607" s="3" t="s">
        <v>120</v>
      </c>
      <c r="F1607" s="3">
        <v>22.98</v>
      </c>
      <c r="G1607" s="3" t="s">
        <v>121</v>
      </c>
      <c r="H1607" s="3"/>
      <c r="I1607" s="3" t="s">
        <v>122</v>
      </c>
      <c r="J1607" s="3">
        <v>2</v>
      </c>
      <c r="K1607" s="3">
        <v>2</v>
      </c>
      <c r="L1607" s="3">
        <v>0</v>
      </c>
      <c r="M1607" s="3">
        <v>0</v>
      </c>
      <c r="N1607" s="3">
        <v>2</v>
      </c>
      <c r="O1607" s="3">
        <v>0.12</v>
      </c>
      <c r="P1607" s="3">
        <v>0</v>
      </c>
      <c r="Q1607" s="3">
        <v>0</v>
      </c>
      <c r="R1607" s="3">
        <v>0</v>
      </c>
    </row>
    <row r="1608" spans="1:18">
      <c r="A1608" s="3" t="s">
        <v>4381</v>
      </c>
      <c r="B1608" s="3" t="s">
        <v>3374</v>
      </c>
      <c r="C1608" s="3" t="s">
        <v>3374</v>
      </c>
      <c r="D1608" s="3"/>
      <c r="E1608" s="3" t="s">
        <v>20</v>
      </c>
      <c r="F1608" s="3"/>
      <c r="G1608" s="3"/>
      <c r="H1608" s="3"/>
      <c r="I1608" s="3"/>
      <c r="J1608" s="3">
        <v>0</v>
      </c>
      <c r="K1608" s="3">
        <v>0</v>
      </c>
      <c r="L1608" s="3">
        <v>0</v>
      </c>
      <c r="M1608" s="3">
        <v>0</v>
      </c>
      <c r="N1608" s="3">
        <v>0</v>
      </c>
      <c r="O1608" s="3"/>
      <c r="P1608" s="3">
        <v>0</v>
      </c>
      <c r="Q1608" s="3">
        <v>0</v>
      </c>
      <c r="R1608" s="3">
        <v>0</v>
      </c>
    </row>
    <row r="1609" spans="1:18">
      <c r="A1609" s="3" t="s">
        <v>4382</v>
      </c>
      <c r="B1609" s="3" t="s">
        <v>3378</v>
      </c>
      <c r="C1609" s="3" t="s">
        <v>3378</v>
      </c>
      <c r="D1609" s="3" t="s">
        <v>3379</v>
      </c>
      <c r="E1609" s="3" t="s">
        <v>120</v>
      </c>
      <c r="F1609" s="3">
        <v>22.98</v>
      </c>
      <c r="G1609" s="3" t="s">
        <v>121</v>
      </c>
      <c r="H1609" s="3"/>
      <c r="I1609" s="3" t="s">
        <v>122</v>
      </c>
      <c r="J1609" s="3">
        <v>5</v>
      </c>
      <c r="K1609" s="3">
        <v>5</v>
      </c>
      <c r="L1609" s="3">
        <v>0</v>
      </c>
      <c r="M1609" s="3">
        <v>0</v>
      </c>
      <c r="N1609" s="3">
        <v>5</v>
      </c>
      <c r="O1609" s="3">
        <v>0.15</v>
      </c>
      <c r="P1609" s="3">
        <v>0</v>
      </c>
      <c r="Q1609" s="3">
        <v>0</v>
      </c>
      <c r="R1609" s="3">
        <v>0</v>
      </c>
    </row>
    <row r="1610" spans="1:18">
      <c r="A1610" s="3" t="s">
        <v>4383</v>
      </c>
      <c r="B1610" s="3" t="s">
        <v>3382</v>
      </c>
      <c r="C1610" s="3" t="s">
        <v>3382</v>
      </c>
      <c r="D1610" s="3" t="s">
        <v>3383</v>
      </c>
      <c r="E1610" s="3" t="s">
        <v>120</v>
      </c>
      <c r="F1610" s="3">
        <v>22.98</v>
      </c>
      <c r="G1610" s="3" t="s">
        <v>121</v>
      </c>
      <c r="H1610" s="3"/>
      <c r="I1610" s="3" t="s">
        <v>122</v>
      </c>
      <c r="J1610" s="3">
        <v>3</v>
      </c>
      <c r="K1610" s="3">
        <v>3</v>
      </c>
      <c r="L1610" s="3">
        <v>0</v>
      </c>
      <c r="M1610" s="3">
        <v>0</v>
      </c>
      <c r="N1610" s="3">
        <v>3</v>
      </c>
      <c r="O1610" s="3">
        <v>0.15</v>
      </c>
      <c r="P1610" s="3">
        <v>0</v>
      </c>
      <c r="Q1610" s="3">
        <v>0</v>
      </c>
      <c r="R1610" s="3">
        <v>0</v>
      </c>
    </row>
    <row r="1611" spans="1:18">
      <c r="A1611" s="3" t="s">
        <v>4384</v>
      </c>
      <c r="B1611" s="3" t="s">
        <v>3386</v>
      </c>
      <c r="C1611" s="3" t="s">
        <v>3386</v>
      </c>
      <c r="D1611" s="3" t="s">
        <v>3387</v>
      </c>
      <c r="E1611" s="3" t="s">
        <v>120</v>
      </c>
      <c r="F1611" s="3">
        <v>22.98</v>
      </c>
      <c r="G1611" s="3" t="s">
        <v>121</v>
      </c>
      <c r="H1611" s="3"/>
      <c r="I1611" s="3" t="s">
        <v>122</v>
      </c>
      <c r="J1611" s="3">
        <v>3</v>
      </c>
      <c r="K1611" s="3">
        <v>3</v>
      </c>
      <c r="L1611" s="3">
        <v>0</v>
      </c>
      <c r="M1611" s="3">
        <v>0</v>
      </c>
      <c r="N1611" s="3">
        <v>3</v>
      </c>
      <c r="O1611" s="3">
        <v>0.13</v>
      </c>
      <c r="P1611" s="3">
        <v>0</v>
      </c>
      <c r="Q1611" s="3">
        <v>0</v>
      </c>
      <c r="R1611" s="3">
        <v>0</v>
      </c>
    </row>
    <row r="1612" spans="1:18">
      <c r="A1612" s="3" t="s">
        <v>4385</v>
      </c>
      <c r="B1612" s="3" t="s">
        <v>3394</v>
      </c>
      <c r="C1612" s="3" t="s">
        <v>3394</v>
      </c>
      <c r="D1612" s="3" t="s">
        <v>3395</v>
      </c>
      <c r="E1612" s="3" t="s">
        <v>120</v>
      </c>
      <c r="F1612" s="3">
        <v>22.98</v>
      </c>
      <c r="G1612" s="3" t="s">
        <v>121</v>
      </c>
      <c r="H1612" s="3"/>
      <c r="I1612" s="3" t="s">
        <v>122</v>
      </c>
      <c r="J1612" s="3">
        <v>4</v>
      </c>
      <c r="K1612" s="3">
        <v>4</v>
      </c>
      <c r="L1612" s="3">
        <v>0</v>
      </c>
      <c r="M1612" s="3">
        <v>0</v>
      </c>
      <c r="N1612" s="3">
        <v>4</v>
      </c>
      <c r="O1612" s="3">
        <v>0.15</v>
      </c>
      <c r="P1612" s="3">
        <v>0</v>
      </c>
      <c r="Q1612" s="3">
        <v>0</v>
      </c>
      <c r="R1612" s="3">
        <v>0</v>
      </c>
    </row>
    <row r="1613" spans="1:18">
      <c r="A1613" s="3" t="s">
        <v>4386</v>
      </c>
      <c r="B1613" s="3" t="s">
        <v>3398</v>
      </c>
      <c r="C1613" s="3" t="s">
        <v>3398</v>
      </c>
      <c r="D1613" s="3" t="s">
        <v>3399</v>
      </c>
      <c r="E1613" s="3" t="s">
        <v>120</v>
      </c>
      <c r="F1613" s="3">
        <v>22.98</v>
      </c>
      <c r="G1613" s="3" t="s">
        <v>121</v>
      </c>
      <c r="H1613" s="3"/>
      <c r="I1613" s="3" t="s">
        <v>122</v>
      </c>
      <c r="J1613" s="3">
        <v>1</v>
      </c>
      <c r="K1613" s="3">
        <v>1</v>
      </c>
      <c r="L1613" s="3">
        <v>0</v>
      </c>
      <c r="M1613" s="3">
        <v>0</v>
      </c>
      <c r="N1613" s="3">
        <v>1</v>
      </c>
      <c r="O1613" s="3">
        <v>0.12</v>
      </c>
      <c r="P1613" s="3">
        <v>0</v>
      </c>
      <c r="Q1613" s="3">
        <v>0</v>
      </c>
      <c r="R1613" s="3">
        <v>0</v>
      </c>
    </row>
    <row r="1614" spans="1:18">
      <c r="A1614" s="3" t="s">
        <v>4387</v>
      </c>
      <c r="B1614" s="3" t="s">
        <v>3402</v>
      </c>
      <c r="C1614" s="3" t="s">
        <v>3402</v>
      </c>
      <c r="D1614" s="3" t="s">
        <v>3403</v>
      </c>
      <c r="E1614" s="3" t="s">
        <v>120</v>
      </c>
      <c r="F1614" s="3">
        <v>22.98</v>
      </c>
      <c r="G1614" s="3" t="s">
        <v>121</v>
      </c>
      <c r="H1614" s="3"/>
      <c r="I1614" s="3" t="s">
        <v>122</v>
      </c>
      <c r="J1614" s="3">
        <v>1</v>
      </c>
      <c r="K1614" s="3">
        <v>1</v>
      </c>
      <c r="L1614" s="3">
        <v>0</v>
      </c>
      <c r="M1614" s="3">
        <v>0</v>
      </c>
      <c r="N1614" s="3">
        <v>1</v>
      </c>
      <c r="O1614" s="3">
        <v>0.12</v>
      </c>
      <c r="P1614" s="3">
        <v>0</v>
      </c>
      <c r="Q1614" s="3">
        <v>0</v>
      </c>
      <c r="R1614" s="3">
        <v>0</v>
      </c>
    </row>
    <row r="1615" spans="1:18">
      <c r="A1615" s="3" t="s">
        <v>4388</v>
      </c>
      <c r="B1615" s="3" t="s">
        <v>3406</v>
      </c>
      <c r="C1615" s="3" t="s">
        <v>3406</v>
      </c>
      <c r="D1615" s="3" t="s">
        <v>3407</v>
      </c>
      <c r="E1615" s="3" t="s">
        <v>120</v>
      </c>
      <c r="F1615" s="3">
        <v>22.98</v>
      </c>
      <c r="G1615" s="3" t="s">
        <v>121</v>
      </c>
      <c r="H1615" s="3"/>
      <c r="I1615" s="3" t="s">
        <v>122</v>
      </c>
      <c r="J1615" s="3">
        <v>11</v>
      </c>
      <c r="K1615" s="3">
        <v>11</v>
      </c>
      <c r="L1615" s="3">
        <v>0</v>
      </c>
      <c r="M1615" s="3">
        <v>0</v>
      </c>
      <c r="N1615" s="3">
        <v>11</v>
      </c>
      <c r="O1615" s="3">
        <v>0.12</v>
      </c>
      <c r="P1615" s="3">
        <v>0</v>
      </c>
      <c r="Q1615" s="3">
        <v>0</v>
      </c>
      <c r="R1615" s="3">
        <v>0</v>
      </c>
    </row>
    <row r="1616" spans="1:18">
      <c r="A1616" s="3" t="s">
        <v>4389</v>
      </c>
      <c r="B1616" s="3" t="s">
        <v>3410</v>
      </c>
      <c r="C1616" s="3" t="s">
        <v>3410</v>
      </c>
      <c r="D1616" s="3" t="s">
        <v>3411</v>
      </c>
      <c r="E1616" s="3" t="s">
        <v>120</v>
      </c>
      <c r="F1616" s="3">
        <v>22.98</v>
      </c>
      <c r="G1616" s="3" t="s">
        <v>121</v>
      </c>
      <c r="H1616" s="3"/>
      <c r="I1616" s="3" t="s">
        <v>122</v>
      </c>
      <c r="J1616" s="3">
        <v>12</v>
      </c>
      <c r="K1616" s="3">
        <v>12</v>
      </c>
      <c r="L1616" s="3">
        <v>0</v>
      </c>
      <c r="M1616" s="3">
        <v>0</v>
      </c>
      <c r="N1616" s="3">
        <v>12</v>
      </c>
      <c r="O1616" s="3">
        <v>0.12</v>
      </c>
      <c r="P1616" s="3">
        <v>0</v>
      </c>
      <c r="Q1616" s="3">
        <v>0</v>
      </c>
      <c r="R1616" s="3">
        <v>0</v>
      </c>
    </row>
    <row r="1617" spans="1:18">
      <c r="A1617" s="3" t="s">
        <v>4390</v>
      </c>
      <c r="B1617" s="3" t="s">
        <v>3414</v>
      </c>
      <c r="C1617" s="3" t="s">
        <v>3414</v>
      </c>
      <c r="D1617" s="3" t="s">
        <v>3415</v>
      </c>
      <c r="E1617" s="3" t="s">
        <v>120</v>
      </c>
      <c r="F1617" s="3">
        <v>22.98</v>
      </c>
      <c r="G1617" s="3" t="s">
        <v>121</v>
      </c>
      <c r="H1617" s="3"/>
      <c r="I1617" s="3" t="s">
        <v>122</v>
      </c>
      <c r="J1617" s="3">
        <v>1</v>
      </c>
      <c r="K1617" s="3">
        <v>1</v>
      </c>
      <c r="L1617" s="3">
        <v>0</v>
      </c>
      <c r="M1617" s="3">
        <v>0</v>
      </c>
      <c r="N1617" s="3">
        <v>1</v>
      </c>
      <c r="O1617" s="3">
        <v>0.15</v>
      </c>
      <c r="P1617" s="3">
        <v>0</v>
      </c>
      <c r="Q1617" s="3">
        <v>0</v>
      </c>
      <c r="R1617" s="3">
        <v>0</v>
      </c>
    </row>
    <row r="1618" spans="1:18">
      <c r="A1618" s="3" t="s">
        <v>4391</v>
      </c>
      <c r="B1618" s="3" t="s">
        <v>3418</v>
      </c>
      <c r="C1618" s="3" t="s">
        <v>3418</v>
      </c>
      <c r="D1618" s="3" t="s">
        <v>3419</v>
      </c>
      <c r="E1618" s="3" t="s">
        <v>120</v>
      </c>
      <c r="F1618" s="3">
        <v>22.98</v>
      </c>
      <c r="G1618" s="3" t="s">
        <v>121</v>
      </c>
      <c r="H1618" s="3"/>
      <c r="I1618" s="3" t="s">
        <v>122</v>
      </c>
      <c r="J1618" s="3">
        <v>4</v>
      </c>
      <c r="K1618" s="3">
        <v>3</v>
      </c>
      <c r="L1618" s="3">
        <v>1</v>
      </c>
      <c r="M1618" s="3">
        <v>0</v>
      </c>
      <c r="N1618" s="3">
        <v>4</v>
      </c>
      <c r="O1618" s="3">
        <v>0.17</v>
      </c>
      <c r="P1618" s="3">
        <v>0</v>
      </c>
      <c r="Q1618" s="3">
        <v>0</v>
      </c>
      <c r="R1618" s="3">
        <v>0</v>
      </c>
    </row>
    <row r="1619" spans="1:18">
      <c r="A1619" s="3" t="s">
        <v>4392</v>
      </c>
      <c r="B1619" s="3" t="s">
        <v>3426</v>
      </c>
      <c r="C1619" s="3" t="s">
        <v>3426</v>
      </c>
      <c r="D1619" s="3"/>
      <c r="E1619" s="3" t="s">
        <v>20</v>
      </c>
      <c r="F1619" s="3"/>
      <c r="G1619" s="3"/>
      <c r="H1619" s="3"/>
      <c r="I1619" s="3"/>
      <c r="J1619" s="3">
        <v>0</v>
      </c>
      <c r="K1619" s="3">
        <v>0</v>
      </c>
      <c r="L1619" s="3">
        <v>0</v>
      </c>
      <c r="M1619" s="3">
        <v>0</v>
      </c>
      <c r="N1619" s="3">
        <v>0</v>
      </c>
      <c r="O1619" s="3"/>
      <c r="P1619" s="3">
        <v>0</v>
      </c>
      <c r="Q1619" s="3">
        <v>0</v>
      </c>
      <c r="R1619" s="3">
        <v>0</v>
      </c>
    </row>
    <row r="1620" spans="1:18">
      <c r="A1620" s="3" t="s">
        <v>4393</v>
      </c>
      <c r="B1620" s="3" t="s">
        <v>3430</v>
      </c>
      <c r="C1620" s="3" t="s">
        <v>3430</v>
      </c>
      <c r="D1620" s="3" t="s">
        <v>3431</v>
      </c>
      <c r="E1620" s="3" t="s">
        <v>120</v>
      </c>
      <c r="F1620" s="3">
        <v>22.98</v>
      </c>
      <c r="G1620" s="3" t="s">
        <v>121</v>
      </c>
      <c r="H1620" s="3"/>
      <c r="I1620" s="3" t="s">
        <v>122</v>
      </c>
      <c r="J1620" s="3">
        <v>4</v>
      </c>
      <c r="K1620" s="3">
        <v>4</v>
      </c>
      <c r="L1620" s="3">
        <v>0</v>
      </c>
      <c r="M1620" s="3">
        <v>0</v>
      </c>
      <c r="N1620" s="3">
        <v>4</v>
      </c>
      <c r="O1620" s="3">
        <v>0.12</v>
      </c>
      <c r="P1620" s="3">
        <v>0</v>
      </c>
      <c r="Q1620" s="3">
        <v>0</v>
      </c>
      <c r="R1620" s="3">
        <v>0</v>
      </c>
    </row>
    <row r="1621" spans="1:18">
      <c r="A1621" s="3" t="s">
        <v>4394</v>
      </c>
      <c r="B1621" s="3" t="s">
        <v>3434</v>
      </c>
      <c r="C1621" s="3" t="s">
        <v>3434</v>
      </c>
      <c r="D1621" s="3" t="s">
        <v>3435</v>
      </c>
      <c r="E1621" s="3" t="s">
        <v>120</v>
      </c>
      <c r="F1621" s="3">
        <v>22.98</v>
      </c>
      <c r="G1621" s="3" t="s">
        <v>121</v>
      </c>
      <c r="H1621" s="3"/>
      <c r="I1621" s="3" t="s">
        <v>122</v>
      </c>
      <c r="J1621" s="3">
        <v>14</v>
      </c>
      <c r="K1621" s="3">
        <v>14</v>
      </c>
      <c r="L1621" s="3">
        <v>0</v>
      </c>
      <c r="M1621" s="3">
        <v>0</v>
      </c>
      <c r="N1621" s="3">
        <v>14</v>
      </c>
      <c r="O1621" s="3">
        <v>0.11</v>
      </c>
      <c r="P1621" s="3">
        <v>0</v>
      </c>
      <c r="Q1621" s="3">
        <v>0</v>
      </c>
      <c r="R1621" s="3">
        <v>0</v>
      </c>
    </row>
    <row r="1622" spans="1:18">
      <c r="A1622" s="3" t="s">
        <v>4395</v>
      </c>
      <c r="B1622" s="3" t="s">
        <v>3438</v>
      </c>
      <c r="C1622" s="3" t="s">
        <v>3438</v>
      </c>
      <c r="D1622" s="3" t="s">
        <v>3439</v>
      </c>
      <c r="E1622" s="3" t="s">
        <v>120</v>
      </c>
      <c r="F1622" s="3">
        <v>22.98</v>
      </c>
      <c r="G1622" s="3" t="s">
        <v>121</v>
      </c>
      <c r="H1622" s="3"/>
      <c r="I1622" s="3" t="s">
        <v>122</v>
      </c>
      <c r="J1622" s="3">
        <v>10</v>
      </c>
      <c r="K1622" s="3">
        <v>10</v>
      </c>
      <c r="L1622" s="3">
        <v>0</v>
      </c>
      <c r="M1622" s="3">
        <v>0</v>
      </c>
      <c r="N1622" s="3">
        <v>10</v>
      </c>
      <c r="O1622" s="3">
        <v>0.13</v>
      </c>
      <c r="P1622" s="3">
        <v>0</v>
      </c>
      <c r="Q1622" s="3">
        <v>0</v>
      </c>
      <c r="R1622" s="3">
        <v>0</v>
      </c>
    </row>
    <row r="1623" spans="1:18">
      <c r="A1623" s="3" t="s">
        <v>4396</v>
      </c>
      <c r="B1623" s="3" t="s">
        <v>3442</v>
      </c>
      <c r="C1623" s="3" t="s">
        <v>3442</v>
      </c>
      <c r="D1623" s="3" t="s">
        <v>3443</v>
      </c>
      <c r="E1623" s="3" t="s">
        <v>120</v>
      </c>
      <c r="F1623" s="3">
        <v>22.98</v>
      </c>
      <c r="G1623" s="3" t="s">
        <v>121</v>
      </c>
      <c r="H1623" s="3"/>
      <c r="I1623" s="3" t="s">
        <v>122</v>
      </c>
      <c r="J1623" s="3">
        <v>7</v>
      </c>
      <c r="K1623" s="3">
        <v>7</v>
      </c>
      <c r="L1623" s="3">
        <v>0</v>
      </c>
      <c r="M1623" s="3">
        <v>0</v>
      </c>
      <c r="N1623" s="3">
        <v>7</v>
      </c>
      <c r="O1623" s="3">
        <v>0.13</v>
      </c>
      <c r="P1623" s="3">
        <v>0</v>
      </c>
      <c r="Q1623" s="3">
        <v>0</v>
      </c>
      <c r="R1623" s="3">
        <v>0</v>
      </c>
    </row>
    <row r="1624" spans="1:18">
      <c r="A1624" s="3" t="s">
        <v>4397</v>
      </c>
      <c r="B1624" s="3" t="s">
        <v>3446</v>
      </c>
      <c r="C1624" s="3" t="s">
        <v>3446</v>
      </c>
      <c r="D1624" s="3" t="s">
        <v>3447</v>
      </c>
      <c r="E1624" s="3" t="s">
        <v>120</v>
      </c>
      <c r="F1624" s="3">
        <v>22.98</v>
      </c>
      <c r="G1624" s="3" t="s">
        <v>121</v>
      </c>
      <c r="H1624" s="3"/>
      <c r="I1624" s="3" t="s">
        <v>122</v>
      </c>
      <c r="J1624" s="3">
        <v>0</v>
      </c>
      <c r="K1624" s="3">
        <v>0</v>
      </c>
      <c r="L1624" s="3">
        <v>0</v>
      </c>
      <c r="M1624" s="3">
        <v>0</v>
      </c>
      <c r="N1624" s="3">
        <v>0</v>
      </c>
      <c r="O1624" s="3">
        <v>0.08</v>
      </c>
      <c r="P1624" s="3">
        <v>0</v>
      </c>
      <c r="Q1624" s="3">
        <v>0</v>
      </c>
      <c r="R1624" s="3">
        <v>0</v>
      </c>
    </row>
    <row r="1625" spans="1:18">
      <c r="A1625" s="3" t="s">
        <v>4398</v>
      </c>
      <c r="B1625" s="3" t="s">
        <v>4399</v>
      </c>
      <c r="C1625" s="3" t="s">
        <v>4399</v>
      </c>
      <c r="D1625" s="3"/>
      <c r="E1625" s="3" t="s">
        <v>20</v>
      </c>
      <c r="F1625" s="3"/>
      <c r="G1625" s="3"/>
      <c r="H1625" s="3"/>
      <c r="I1625" s="3"/>
      <c r="J1625" s="3">
        <v>0</v>
      </c>
      <c r="K1625" s="3">
        <v>0</v>
      </c>
      <c r="L1625" s="3">
        <v>0</v>
      </c>
      <c r="M1625" s="3">
        <v>0</v>
      </c>
      <c r="N1625" s="3">
        <v>0</v>
      </c>
      <c r="O1625" s="3"/>
      <c r="P1625" s="3">
        <v>0</v>
      </c>
      <c r="Q1625" s="3">
        <v>0</v>
      </c>
      <c r="R1625" s="3">
        <v>0</v>
      </c>
    </row>
    <row r="1626" spans="1:18">
      <c r="A1626" s="3" t="s">
        <v>4400</v>
      </c>
      <c r="B1626" s="3" t="s">
        <v>3454</v>
      </c>
      <c r="C1626" s="3" t="s">
        <v>3454</v>
      </c>
      <c r="D1626" s="3"/>
      <c r="E1626" s="3" t="s">
        <v>20</v>
      </c>
      <c r="F1626" s="3"/>
      <c r="G1626" s="3"/>
      <c r="H1626" s="3"/>
      <c r="I1626" s="3"/>
      <c r="J1626" s="3">
        <v>0</v>
      </c>
      <c r="K1626" s="3">
        <v>0</v>
      </c>
      <c r="L1626" s="3">
        <v>0</v>
      </c>
      <c r="M1626" s="3">
        <v>0</v>
      </c>
      <c r="N1626" s="3">
        <v>0</v>
      </c>
      <c r="O1626" s="3"/>
      <c r="P1626" s="3">
        <v>0</v>
      </c>
      <c r="Q1626" s="3">
        <v>0</v>
      </c>
      <c r="R1626" s="3">
        <v>0</v>
      </c>
    </row>
    <row r="1627" spans="1:18">
      <c r="A1627" s="3" t="s">
        <v>4401</v>
      </c>
      <c r="B1627" s="3" t="s">
        <v>3458</v>
      </c>
      <c r="C1627" s="3" t="s">
        <v>3458</v>
      </c>
      <c r="D1627" s="3" t="s">
        <v>3459</v>
      </c>
      <c r="E1627" s="3" t="s">
        <v>120</v>
      </c>
      <c r="F1627" s="3">
        <v>22.98</v>
      </c>
      <c r="G1627" s="3" t="s">
        <v>121</v>
      </c>
      <c r="H1627" s="3"/>
      <c r="I1627" s="3" t="s">
        <v>122</v>
      </c>
      <c r="J1627" s="3">
        <v>6</v>
      </c>
      <c r="K1627" s="3">
        <v>6</v>
      </c>
      <c r="L1627" s="3">
        <v>0</v>
      </c>
      <c r="M1627" s="3">
        <v>0</v>
      </c>
      <c r="N1627" s="3">
        <v>6</v>
      </c>
      <c r="O1627" s="3">
        <v>0.18</v>
      </c>
      <c r="P1627" s="3">
        <v>0</v>
      </c>
      <c r="Q1627" s="3">
        <v>0</v>
      </c>
      <c r="R1627" s="3">
        <v>0</v>
      </c>
    </row>
    <row r="1628" spans="1:18">
      <c r="A1628" s="3" t="s">
        <v>4402</v>
      </c>
      <c r="B1628" s="3" t="s">
        <v>3462</v>
      </c>
      <c r="C1628" s="3" t="s">
        <v>3462</v>
      </c>
      <c r="D1628" s="3" t="s">
        <v>3463</v>
      </c>
      <c r="E1628" s="3" t="s">
        <v>120</v>
      </c>
      <c r="F1628" s="3">
        <v>24.98</v>
      </c>
      <c r="G1628" s="3" t="s">
        <v>121</v>
      </c>
      <c r="H1628" s="3"/>
      <c r="I1628" s="3" t="s">
        <v>122</v>
      </c>
      <c r="J1628" s="3">
        <v>2</v>
      </c>
      <c r="K1628" s="3">
        <v>2</v>
      </c>
      <c r="L1628" s="3">
        <v>0</v>
      </c>
      <c r="M1628" s="3">
        <v>0</v>
      </c>
      <c r="N1628" s="3">
        <v>2</v>
      </c>
      <c r="O1628" s="3">
        <v>0.14</v>
      </c>
      <c r="P1628" s="3">
        <v>0</v>
      </c>
      <c r="Q1628" s="3">
        <v>0</v>
      </c>
      <c r="R1628" s="3">
        <v>0</v>
      </c>
    </row>
    <row r="1629" spans="1:18">
      <c r="A1629" s="3" t="s">
        <v>4403</v>
      </c>
      <c r="B1629" s="3" t="s">
        <v>3466</v>
      </c>
      <c r="C1629" s="3" t="s">
        <v>3466</v>
      </c>
      <c r="D1629" s="3" t="s">
        <v>3467</v>
      </c>
      <c r="E1629" s="3" t="s">
        <v>120</v>
      </c>
      <c r="F1629" s="3">
        <v>24.98</v>
      </c>
      <c r="G1629" s="3" t="s">
        <v>121</v>
      </c>
      <c r="H1629" s="3"/>
      <c r="I1629" s="3" t="s">
        <v>122</v>
      </c>
      <c r="J1629" s="3">
        <v>2</v>
      </c>
      <c r="K1629" s="3">
        <v>2</v>
      </c>
      <c r="L1629" s="3">
        <v>0</v>
      </c>
      <c r="M1629" s="3">
        <v>0</v>
      </c>
      <c r="N1629" s="3">
        <v>2</v>
      </c>
      <c r="O1629" s="3">
        <v>0.14</v>
      </c>
      <c r="P1629" s="3">
        <v>0</v>
      </c>
      <c r="Q1629" s="3">
        <v>0</v>
      </c>
      <c r="R1629" s="3">
        <v>0</v>
      </c>
    </row>
    <row r="1630" spans="1:18">
      <c r="A1630" s="3" t="s">
        <v>4404</v>
      </c>
      <c r="B1630" s="3" t="s">
        <v>3470</v>
      </c>
      <c r="C1630" s="3" t="s">
        <v>3470</v>
      </c>
      <c r="D1630" s="3"/>
      <c r="E1630" s="3" t="s">
        <v>20</v>
      </c>
      <c r="F1630" s="3"/>
      <c r="G1630" s="3"/>
      <c r="H1630" s="3"/>
      <c r="I1630" s="3"/>
      <c r="J1630" s="3">
        <v>0</v>
      </c>
      <c r="K1630" s="3">
        <v>0</v>
      </c>
      <c r="L1630" s="3">
        <v>0</v>
      </c>
      <c r="M1630" s="3">
        <v>0</v>
      </c>
      <c r="N1630" s="3">
        <v>0</v>
      </c>
      <c r="O1630" s="3"/>
      <c r="P1630" s="3">
        <v>0</v>
      </c>
      <c r="Q1630" s="3">
        <v>0</v>
      </c>
      <c r="R1630" s="3">
        <v>0</v>
      </c>
    </row>
    <row r="1631" spans="1:18">
      <c r="A1631" s="3" t="s">
        <v>4405</v>
      </c>
      <c r="B1631" s="3" t="s">
        <v>3474</v>
      </c>
      <c r="C1631" s="3" t="s">
        <v>3474</v>
      </c>
      <c r="D1631" s="3" t="s">
        <v>3475</v>
      </c>
      <c r="E1631" s="3" t="s">
        <v>120</v>
      </c>
      <c r="F1631" s="3">
        <v>24.98</v>
      </c>
      <c r="G1631" s="3" t="s">
        <v>121</v>
      </c>
      <c r="H1631" s="3"/>
      <c r="I1631" s="3" t="s">
        <v>122</v>
      </c>
      <c r="J1631" s="3">
        <v>4</v>
      </c>
      <c r="K1631" s="3">
        <v>4</v>
      </c>
      <c r="L1631" s="3">
        <v>0</v>
      </c>
      <c r="M1631" s="3">
        <v>0</v>
      </c>
      <c r="N1631" s="3">
        <v>4</v>
      </c>
      <c r="O1631" s="3">
        <v>0.14</v>
      </c>
      <c r="P1631" s="3">
        <v>0</v>
      </c>
      <c r="Q1631" s="3">
        <v>0</v>
      </c>
      <c r="R1631" s="3">
        <v>0</v>
      </c>
    </row>
    <row r="1632" spans="1:18">
      <c r="A1632" s="3" t="s">
        <v>4406</v>
      </c>
      <c r="B1632" s="3" t="s">
        <v>3478</v>
      </c>
      <c r="C1632" s="3" t="s">
        <v>3478</v>
      </c>
      <c r="D1632" s="3" t="s">
        <v>3479</v>
      </c>
      <c r="E1632" s="3" t="s">
        <v>120</v>
      </c>
      <c r="F1632" s="3">
        <v>24.98</v>
      </c>
      <c r="G1632" s="3" t="s">
        <v>121</v>
      </c>
      <c r="H1632" s="3"/>
      <c r="I1632" s="3" t="s">
        <v>122</v>
      </c>
      <c r="J1632" s="3">
        <v>4</v>
      </c>
      <c r="K1632" s="3">
        <v>4</v>
      </c>
      <c r="L1632" s="3">
        <v>0</v>
      </c>
      <c r="M1632" s="3">
        <v>0</v>
      </c>
      <c r="N1632" s="3">
        <v>4</v>
      </c>
      <c r="O1632" s="3">
        <v>0.14</v>
      </c>
      <c r="P1632" s="3">
        <v>0</v>
      </c>
      <c r="Q1632" s="3">
        <v>0</v>
      </c>
      <c r="R1632" s="3">
        <v>0</v>
      </c>
    </row>
    <row r="1633" spans="1:18">
      <c r="A1633" s="3" t="s">
        <v>4407</v>
      </c>
      <c r="B1633" s="3" t="s">
        <v>3482</v>
      </c>
      <c r="C1633" s="3" t="s">
        <v>3482</v>
      </c>
      <c r="D1633" s="3" t="s">
        <v>3483</v>
      </c>
      <c r="E1633" s="3" t="s">
        <v>120</v>
      </c>
      <c r="F1633" s="3">
        <v>24.98</v>
      </c>
      <c r="G1633" s="3" t="s">
        <v>121</v>
      </c>
      <c r="H1633" s="3"/>
      <c r="I1633" s="3" t="s">
        <v>122</v>
      </c>
      <c r="J1633" s="3">
        <v>6</v>
      </c>
      <c r="K1633" s="3">
        <v>6</v>
      </c>
      <c r="L1633" s="3">
        <v>0</v>
      </c>
      <c r="M1633" s="3">
        <v>0</v>
      </c>
      <c r="N1633" s="3">
        <v>6</v>
      </c>
      <c r="O1633" s="3">
        <v>0.14</v>
      </c>
      <c r="P1633" s="3">
        <v>0</v>
      </c>
      <c r="Q1633" s="3">
        <v>0</v>
      </c>
      <c r="R1633" s="3">
        <v>0</v>
      </c>
    </row>
    <row r="1634" spans="1:18">
      <c r="A1634" s="3" t="s">
        <v>4408</v>
      </c>
      <c r="B1634" s="3" t="s">
        <v>3486</v>
      </c>
      <c r="C1634" s="3" t="s">
        <v>3486</v>
      </c>
      <c r="D1634" s="3" t="s">
        <v>3487</v>
      </c>
      <c r="E1634" s="3" t="s">
        <v>120</v>
      </c>
      <c r="F1634" s="3">
        <v>24.98</v>
      </c>
      <c r="G1634" s="3" t="s">
        <v>121</v>
      </c>
      <c r="H1634" s="3"/>
      <c r="I1634" s="3" t="s">
        <v>122</v>
      </c>
      <c r="J1634" s="3">
        <v>3</v>
      </c>
      <c r="K1634" s="3">
        <v>3</v>
      </c>
      <c r="L1634" s="3">
        <v>0</v>
      </c>
      <c r="M1634" s="3">
        <v>0</v>
      </c>
      <c r="N1634" s="3">
        <v>3</v>
      </c>
      <c r="O1634" s="3">
        <v>0.14</v>
      </c>
      <c r="P1634" s="3">
        <v>0</v>
      </c>
      <c r="Q1634" s="3">
        <v>0</v>
      </c>
      <c r="R1634" s="3">
        <v>0</v>
      </c>
    </row>
    <row r="1635" spans="1:18">
      <c r="A1635" s="3" t="s">
        <v>4409</v>
      </c>
      <c r="B1635" s="3" t="s">
        <v>3490</v>
      </c>
      <c r="C1635" s="3" t="s">
        <v>3490</v>
      </c>
      <c r="D1635" s="3" t="s">
        <v>3491</v>
      </c>
      <c r="E1635" s="3" t="s">
        <v>120</v>
      </c>
      <c r="F1635" s="3">
        <v>24.98</v>
      </c>
      <c r="G1635" s="3" t="s">
        <v>121</v>
      </c>
      <c r="H1635" s="3"/>
      <c r="I1635" s="3" t="s">
        <v>122</v>
      </c>
      <c r="J1635" s="3">
        <v>6</v>
      </c>
      <c r="K1635" s="3">
        <v>6</v>
      </c>
      <c r="L1635" s="3">
        <v>0</v>
      </c>
      <c r="M1635" s="3">
        <v>0</v>
      </c>
      <c r="N1635" s="3">
        <v>6</v>
      </c>
      <c r="O1635" s="3">
        <v>0.14</v>
      </c>
      <c r="P1635" s="3">
        <v>0</v>
      </c>
      <c r="Q1635" s="3">
        <v>0</v>
      </c>
      <c r="R1635" s="3">
        <v>0</v>
      </c>
    </row>
    <row r="1636" spans="1:18">
      <c r="A1636" s="3" t="s">
        <v>4410</v>
      </c>
      <c r="B1636" s="3" t="s">
        <v>3494</v>
      </c>
      <c r="C1636" s="3" t="s">
        <v>3494</v>
      </c>
      <c r="D1636" s="3" t="s">
        <v>3495</v>
      </c>
      <c r="E1636" s="3" t="s">
        <v>120</v>
      </c>
      <c r="F1636" s="3">
        <v>24.98</v>
      </c>
      <c r="G1636" s="3" t="s">
        <v>121</v>
      </c>
      <c r="H1636" s="3"/>
      <c r="I1636" s="3" t="s">
        <v>122</v>
      </c>
      <c r="J1636" s="3">
        <v>8</v>
      </c>
      <c r="K1636" s="3">
        <v>8</v>
      </c>
      <c r="L1636" s="3">
        <v>0</v>
      </c>
      <c r="M1636" s="3">
        <v>0</v>
      </c>
      <c r="N1636" s="3">
        <v>8</v>
      </c>
      <c r="O1636" s="3">
        <v>0.14</v>
      </c>
      <c r="P1636" s="3">
        <v>0</v>
      </c>
      <c r="Q1636" s="3">
        <v>0</v>
      </c>
      <c r="R1636" s="3">
        <v>0</v>
      </c>
    </row>
    <row r="1637" spans="1:18">
      <c r="A1637" s="3" t="s">
        <v>4411</v>
      </c>
      <c r="B1637" s="3" t="s">
        <v>3498</v>
      </c>
      <c r="C1637" s="3" t="s">
        <v>3498</v>
      </c>
      <c r="D1637" s="3" t="s">
        <v>3499</v>
      </c>
      <c r="E1637" s="3" t="s">
        <v>120</v>
      </c>
      <c r="F1637" s="3">
        <v>24.98</v>
      </c>
      <c r="G1637" s="3" t="s">
        <v>121</v>
      </c>
      <c r="H1637" s="3"/>
      <c r="I1637" s="3" t="s">
        <v>122</v>
      </c>
      <c r="J1637" s="3">
        <v>8</v>
      </c>
      <c r="K1637" s="3">
        <v>8</v>
      </c>
      <c r="L1637" s="3">
        <v>0</v>
      </c>
      <c r="M1637" s="3">
        <v>0</v>
      </c>
      <c r="N1637" s="3">
        <v>8</v>
      </c>
      <c r="O1637" s="3">
        <v>0.14</v>
      </c>
      <c r="P1637" s="3">
        <v>0</v>
      </c>
      <c r="Q1637" s="3">
        <v>0</v>
      </c>
      <c r="R1637" s="3">
        <v>0</v>
      </c>
    </row>
    <row r="1638" spans="1:18">
      <c r="A1638" s="3" t="s">
        <v>4412</v>
      </c>
      <c r="B1638" s="3" t="s">
        <v>3502</v>
      </c>
      <c r="C1638" s="3" t="s">
        <v>3502</v>
      </c>
      <c r="D1638" s="3" t="s">
        <v>3503</v>
      </c>
      <c r="E1638" s="3" t="s">
        <v>120</v>
      </c>
      <c r="F1638" s="3">
        <v>24.98</v>
      </c>
      <c r="G1638" s="3" t="s">
        <v>121</v>
      </c>
      <c r="H1638" s="3"/>
      <c r="I1638" s="3" t="s">
        <v>122</v>
      </c>
      <c r="J1638" s="3">
        <v>4</v>
      </c>
      <c r="K1638" s="3">
        <v>4</v>
      </c>
      <c r="L1638" s="3">
        <v>0</v>
      </c>
      <c r="M1638" s="3">
        <v>0</v>
      </c>
      <c r="N1638" s="3">
        <v>4</v>
      </c>
      <c r="O1638" s="3">
        <v>0.14</v>
      </c>
      <c r="P1638" s="3">
        <v>0</v>
      </c>
      <c r="Q1638" s="3">
        <v>0</v>
      </c>
      <c r="R1638" s="3">
        <v>0</v>
      </c>
    </row>
    <row r="1639" spans="1:18">
      <c r="A1639" s="3" t="s">
        <v>4413</v>
      </c>
      <c r="B1639" s="3" t="s">
        <v>3506</v>
      </c>
      <c r="C1639" s="3" t="s">
        <v>3506</v>
      </c>
      <c r="D1639" s="3" t="s">
        <v>3507</v>
      </c>
      <c r="E1639" s="3" t="s">
        <v>120</v>
      </c>
      <c r="F1639" s="3">
        <v>24.98</v>
      </c>
      <c r="G1639" s="3" t="s">
        <v>121</v>
      </c>
      <c r="H1639" s="3"/>
      <c r="I1639" s="3" t="s">
        <v>122</v>
      </c>
      <c r="J1639" s="3">
        <v>8</v>
      </c>
      <c r="K1639" s="3">
        <v>8</v>
      </c>
      <c r="L1639" s="3">
        <v>0</v>
      </c>
      <c r="M1639" s="3">
        <v>0</v>
      </c>
      <c r="N1639" s="3">
        <v>8</v>
      </c>
      <c r="O1639" s="3">
        <v>0.14</v>
      </c>
      <c r="P1639" s="3">
        <v>0</v>
      </c>
      <c r="Q1639" s="3">
        <v>0</v>
      </c>
      <c r="R1639" s="3">
        <v>0</v>
      </c>
    </row>
    <row r="1640" spans="1:18">
      <c r="A1640" s="3" t="s">
        <v>4414</v>
      </c>
      <c r="B1640" s="3" t="s">
        <v>3510</v>
      </c>
      <c r="C1640" s="3" t="s">
        <v>3510</v>
      </c>
      <c r="D1640" s="3" t="s">
        <v>3511</v>
      </c>
      <c r="E1640" s="3" t="s">
        <v>120</v>
      </c>
      <c r="F1640" s="3">
        <v>24.98</v>
      </c>
      <c r="G1640" s="3" t="s">
        <v>121</v>
      </c>
      <c r="H1640" s="3"/>
      <c r="I1640" s="3" t="s">
        <v>122</v>
      </c>
      <c r="J1640" s="3">
        <v>0</v>
      </c>
      <c r="K1640" s="3">
        <v>0</v>
      </c>
      <c r="L1640" s="3">
        <v>0</v>
      </c>
      <c r="M1640" s="3">
        <v>0</v>
      </c>
      <c r="N1640" s="3">
        <v>0</v>
      </c>
      <c r="O1640" s="3">
        <v>0.14</v>
      </c>
      <c r="P1640" s="3">
        <v>0</v>
      </c>
      <c r="Q1640" s="3">
        <v>0</v>
      </c>
      <c r="R1640" s="3">
        <v>0</v>
      </c>
    </row>
    <row r="1641" spans="1:18">
      <c r="A1641" s="3" t="s">
        <v>4415</v>
      </c>
      <c r="B1641" s="3" t="s">
        <v>3514</v>
      </c>
      <c r="C1641" s="3" t="s">
        <v>3514</v>
      </c>
      <c r="D1641" s="3" t="s">
        <v>3515</v>
      </c>
      <c r="E1641" s="3" t="s">
        <v>120</v>
      </c>
      <c r="F1641" s="3">
        <v>24.98</v>
      </c>
      <c r="G1641" s="3" t="s">
        <v>121</v>
      </c>
      <c r="H1641" s="3"/>
      <c r="I1641" s="3" t="s">
        <v>122</v>
      </c>
      <c r="J1641" s="3">
        <v>7</v>
      </c>
      <c r="K1641" s="3">
        <v>7</v>
      </c>
      <c r="L1641" s="3">
        <v>0</v>
      </c>
      <c r="M1641" s="3">
        <v>0</v>
      </c>
      <c r="N1641" s="3">
        <v>7</v>
      </c>
      <c r="O1641" s="3">
        <v>0.14</v>
      </c>
      <c r="P1641" s="3">
        <v>0</v>
      </c>
      <c r="Q1641" s="3">
        <v>0</v>
      </c>
      <c r="R1641" s="3">
        <v>0</v>
      </c>
    </row>
    <row r="1642" spans="1:18">
      <c r="A1642" s="3" t="s">
        <v>4416</v>
      </c>
      <c r="B1642" s="3" t="s">
        <v>3518</v>
      </c>
      <c r="C1642" s="3" t="s">
        <v>3518</v>
      </c>
      <c r="D1642" s="3" t="s">
        <v>3519</v>
      </c>
      <c r="E1642" s="3" t="s">
        <v>120</v>
      </c>
      <c r="F1642" s="3">
        <v>24.98</v>
      </c>
      <c r="G1642" s="3" t="s">
        <v>121</v>
      </c>
      <c r="H1642" s="3"/>
      <c r="I1642" s="3" t="s">
        <v>122</v>
      </c>
      <c r="J1642" s="3">
        <v>1</v>
      </c>
      <c r="K1642" s="3">
        <v>0</v>
      </c>
      <c r="L1642" s="3">
        <v>0</v>
      </c>
      <c r="M1642" s="3">
        <v>1</v>
      </c>
      <c r="N1642" s="3">
        <v>1</v>
      </c>
      <c r="O1642" s="3">
        <v>0.14</v>
      </c>
      <c r="P1642" s="3">
        <v>0</v>
      </c>
      <c r="Q1642" s="3">
        <v>0</v>
      </c>
      <c r="R1642" s="3">
        <v>0</v>
      </c>
    </row>
    <row r="1643" spans="1:18">
      <c r="A1643" s="3" t="s">
        <v>4417</v>
      </c>
      <c r="B1643" s="3" t="s">
        <v>3522</v>
      </c>
      <c r="C1643" s="3" t="s">
        <v>3522</v>
      </c>
      <c r="D1643" s="3" t="s">
        <v>3523</v>
      </c>
      <c r="E1643" s="3" t="s">
        <v>120</v>
      </c>
      <c r="F1643" s="3">
        <v>24.98</v>
      </c>
      <c r="G1643" s="3" t="s">
        <v>121</v>
      </c>
      <c r="H1643" s="3"/>
      <c r="I1643" s="3" t="s">
        <v>122</v>
      </c>
      <c r="J1643" s="3">
        <v>2</v>
      </c>
      <c r="K1643" s="3">
        <v>2</v>
      </c>
      <c r="L1643" s="3">
        <v>0</v>
      </c>
      <c r="M1643" s="3">
        <v>0</v>
      </c>
      <c r="N1643" s="3">
        <v>2</v>
      </c>
      <c r="O1643" s="3">
        <v>0.14</v>
      </c>
      <c r="P1643" s="3">
        <v>0</v>
      </c>
      <c r="Q1643" s="3">
        <v>0</v>
      </c>
      <c r="R1643" s="3">
        <v>0</v>
      </c>
    </row>
    <row r="1644" spans="1:18">
      <c r="A1644" s="3" t="s">
        <v>4418</v>
      </c>
      <c r="B1644" s="3" t="s">
        <v>3526</v>
      </c>
      <c r="C1644" s="3" t="s">
        <v>3526</v>
      </c>
      <c r="D1644" s="3" t="s">
        <v>3527</v>
      </c>
      <c r="E1644" s="3" t="s">
        <v>120</v>
      </c>
      <c r="F1644" s="3">
        <v>24.98</v>
      </c>
      <c r="G1644" s="3" t="s">
        <v>121</v>
      </c>
      <c r="H1644" s="3"/>
      <c r="I1644" s="3" t="s">
        <v>122</v>
      </c>
      <c r="J1644" s="3">
        <v>3</v>
      </c>
      <c r="K1644" s="3">
        <v>3</v>
      </c>
      <c r="L1644" s="3">
        <v>0</v>
      </c>
      <c r="M1644" s="3">
        <v>0</v>
      </c>
      <c r="N1644" s="3">
        <v>3</v>
      </c>
      <c r="O1644" s="3">
        <v>0.14</v>
      </c>
      <c r="P1644" s="3">
        <v>0</v>
      </c>
      <c r="Q1644" s="3">
        <v>0</v>
      </c>
      <c r="R1644" s="3">
        <v>0</v>
      </c>
    </row>
    <row r="1645" spans="1:18">
      <c r="A1645" s="3" t="s">
        <v>4419</v>
      </c>
      <c r="B1645" s="3" t="s">
        <v>3530</v>
      </c>
      <c r="C1645" s="3" t="s">
        <v>3530</v>
      </c>
      <c r="D1645" s="3" t="s">
        <v>3531</v>
      </c>
      <c r="E1645" s="3" t="s">
        <v>120</v>
      </c>
      <c r="F1645" s="3">
        <v>24.98</v>
      </c>
      <c r="G1645" s="3" t="s">
        <v>121</v>
      </c>
      <c r="H1645" s="3"/>
      <c r="I1645" s="3" t="s">
        <v>122</v>
      </c>
      <c r="J1645" s="3">
        <v>3</v>
      </c>
      <c r="K1645" s="3">
        <v>3</v>
      </c>
      <c r="L1645" s="3">
        <v>0</v>
      </c>
      <c r="M1645" s="3">
        <v>0</v>
      </c>
      <c r="N1645" s="3">
        <v>3</v>
      </c>
      <c r="O1645" s="3">
        <v>0.14</v>
      </c>
      <c r="P1645" s="3">
        <v>0</v>
      </c>
      <c r="Q1645" s="3">
        <v>0</v>
      </c>
      <c r="R1645" s="3">
        <v>0</v>
      </c>
    </row>
    <row r="1646" spans="1:18">
      <c r="A1646" s="3" t="s">
        <v>4420</v>
      </c>
      <c r="B1646" s="3" t="s">
        <v>3534</v>
      </c>
      <c r="C1646" s="3" t="s">
        <v>3534</v>
      </c>
      <c r="D1646" s="3"/>
      <c r="E1646" s="3" t="s">
        <v>20</v>
      </c>
      <c r="F1646" s="3"/>
      <c r="G1646" s="3"/>
      <c r="H1646" s="3"/>
      <c r="I1646" s="3"/>
      <c r="J1646" s="3">
        <v>0</v>
      </c>
      <c r="K1646" s="3">
        <v>0</v>
      </c>
      <c r="L1646" s="3">
        <v>0</v>
      </c>
      <c r="M1646" s="3">
        <v>0</v>
      </c>
      <c r="N1646" s="3">
        <v>0</v>
      </c>
      <c r="O1646" s="3"/>
      <c r="P1646" s="3">
        <v>0</v>
      </c>
      <c r="Q1646" s="3">
        <v>0</v>
      </c>
      <c r="R1646" s="3">
        <v>0</v>
      </c>
    </row>
    <row r="1647" spans="1:18">
      <c r="A1647" s="3" t="s">
        <v>4421</v>
      </c>
      <c r="B1647" s="3" t="s">
        <v>3538</v>
      </c>
      <c r="C1647" s="3" t="s">
        <v>3538</v>
      </c>
      <c r="D1647" s="3" t="s">
        <v>3539</v>
      </c>
      <c r="E1647" s="3" t="s">
        <v>120</v>
      </c>
      <c r="F1647" s="3">
        <v>24.98</v>
      </c>
      <c r="G1647" s="3" t="s">
        <v>121</v>
      </c>
      <c r="H1647" s="3"/>
      <c r="I1647" s="3" t="s">
        <v>122</v>
      </c>
      <c r="J1647" s="3">
        <v>5</v>
      </c>
      <c r="K1647" s="3">
        <v>5</v>
      </c>
      <c r="L1647" s="3">
        <v>0</v>
      </c>
      <c r="M1647" s="3">
        <v>0</v>
      </c>
      <c r="N1647" s="3">
        <v>5</v>
      </c>
      <c r="O1647" s="3">
        <v>0.14</v>
      </c>
      <c r="P1647" s="3">
        <v>0</v>
      </c>
      <c r="Q1647" s="3">
        <v>0</v>
      </c>
      <c r="R1647" s="3">
        <v>0</v>
      </c>
    </row>
    <row r="1648" spans="1:18">
      <c r="A1648" s="3" t="s">
        <v>4422</v>
      </c>
      <c r="B1648" s="3" t="s">
        <v>3542</v>
      </c>
      <c r="C1648" s="3" t="s">
        <v>3542</v>
      </c>
      <c r="D1648" s="3" t="s">
        <v>3543</v>
      </c>
      <c r="E1648" s="3" t="s">
        <v>120</v>
      </c>
      <c r="F1648" s="3">
        <v>24.98</v>
      </c>
      <c r="G1648" s="3" t="s">
        <v>121</v>
      </c>
      <c r="H1648" s="3"/>
      <c r="I1648" s="3" t="s">
        <v>122</v>
      </c>
      <c r="J1648" s="3">
        <v>3</v>
      </c>
      <c r="K1648" s="3">
        <v>3</v>
      </c>
      <c r="L1648" s="3">
        <v>0</v>
      </c>
      <c r="M1648" s="3">
        <v>0</v>
      </c>
      <c r="N1648" s="3">
        <v>3</v>
      </c>
      <c r="O1648" s="3">
        <v>0.14</v>
      </c>
      <c r="P1648" s="3">
        <v>0</v>
      </c>
      <c r="Q1648" s="3">
        <v>0</v>
      </c>
      <c r="R1648" s="3">
        <v>0</v>
      </c>
    </row>
    <row r="1649" spans="1:18">
      <c r="A1649" s="3" t="s">
        <v>4423</v>
      </c>
      <c r="B1649" s="3" t="s">
        <v>3546</v>
      </c>
      <c r="C1649" s="3" t="s">
        <v>3546</v>
      </c>
      <c r="D1649" s="3" t="s">
        <v>3547</v>
      </c>
      <c r="E1649" s="3" t="s">
        <v>120</v>
      </c>
      <c r="F1649" s="3">
        <v>24.98</v>
      </c>
      <c r="G1649" s="3" t="s">
        <v>121</v>
      </c>
      <c r="H1649" s="3"/>
      <c r="I1649" s="3" t="s">
        <v>122</v>
      </c>
      <c r="J1649" s="3">
        <v>4</v>
      </c>
      <c r="K1649" s="3">
        <v>4</v>
      </c>
      <c r="L1649" s="3">
        <v>0</v>
      </c>
      <c r="M1649" s="3">
        <v>0</v>
      </c>
      <c r="N1649" s="3">
        <v>4</v>
      </c>
      <c r="O1649" s="3">
        <v>0.14</v>
      </c>
      <c r="P1649" s="3">
        <v>0</v>
      </c>
      <c r="Q1649" s="3">
        <v>0</v>
      </c>
      <c r="R1649" s="3">
        <v>0</v>
      </c>
    </row>
    <row r="1650" spans="1:18">
      <c r="A1650" s="3" t="s">
        <v>4424</v>
      </c>
      <c r="B1650" s="3" t="s">
        <v>3550</v>
      </c>
      <c r="C1650" s="3" t="s">
        <v>3550</v>
      </c>
      <c r="D1650" s="3" t="s">
        <v>3551</v>
      </c>
      <c r="E1650" s="3" t="s">
        <v>120</v>
      </c>
      <c r="F1650" s="3">
        <v>24.98</v>
      </c>
      <c r="G1650" s="3" t="s">
        <v>121</v>
      </c>
      <c r="H1650" s="3"/>
      <c r="I1650" s="3" t="s">
        <v>122</v>
      </c>
      <c r="J1650" s="3">
        <v>2</v>
      </c>
      <c r="K1650" s="3">
        <v>2</v>
      </c>
      <c r="L1650" s="3">
        <v>0</v>
      </c>
      <c r="M1650" s="3">
        <v>0</v>
      </c>
      <c r="N1650" s="3">
        <v>2</v>
      </c>
      <c r="O1650" s="3">
        <v>0.14</v>
      </c>
      <c r="P1650" s="3">
        <v>0</v>
      </c>
      <c r="Q1650" s="3">
        <v>0</v>
      </c>
      <c r="R1650" s="3">
        <v>0</v>
      </c>
    </row>
    <row r="1651" spans="1:18">
      <c r="A1651" s="3" t="s">
        <v>4425</v>
      </c>
      <c r="B1651" s="3" t="s">
        <v>3554</v>
      </c>
      <c r="C1651" s="3" t="s">
        <v>3554</v>
      </c>
      <c r="D1651" s="3" t="s">
        <v>3555</v>
      </c>
      <c r="E1651" s="3" t="s">
        <v>120</v>
      </c>
      <c r="F1651" s="3">
        <v>24.98</v>
      </c>
      <c r="G1651" s="3" t="s">
        <v>121</v>
      </c>
      <c r="H1651" s="3"/>
      <c r="I1651" s="3" t="s">
        <v>122</v>
      </c>
      <c r="J1651" s="3">
        <v>6</v>
      </c>
      <c r="K1651" s="3">
        <v>6</v>
      </c>
      <c r="L1651" s="3">
        <v>0</v>
      </c>
      <c r="M1651" s="3">
        <v>0</v>
      </c>
      <c r="N1651" s="3">
        <v>6</v>
      </c>
      <c r="O1651" s="3">
        <v>0.14</v>
      </c>
      <c r="P1651" s="3">
        <v>0</v>
      </c>
      <c r="Q1651" s="3">
        <v>0</v>
      </c>
      <c r="R1651" s="3">
        <v>0</v>
      </c>
    </row>
    <row r="1652" spans="1:18">
      <c r="A1652" s="3" t="s">
        <v>4426</v>
      </c>
      <c r="B1652" s="3" t="s">
        <v>3558</v>
      </c>
      <c r="C1652" s="3" t="s">
        <v>3558</v>
      </c>
      <c r="D1652" s="3" t="s">
        <v>3559</v>
      </c>
      <c r="E1652" s="3" t="s">
        <v>120</v>
      </c>
      <c r="F1652" s="3">
        <v>24.98</v>
      </c>
      <c r="G1652" s="3" t="s">
        <v>121</v>
      </c>
      <c r="H1652" s="3"/>
      <c r="I1652" s="3" t="s">
        <v>122</v>
      </c>
      <c r="J1652" s="3">
        <v>6</v>
      </c>
      <c r="K1652" s="3">
        <v>6</v>
      </c>
      <c r="L1652" s="3">
        <v>0</v>
      </c>
      <c r="M1652" s="3">
        <v>0</v>
      </c>
      <c r="N1652" s="3">
        <v>6</v>
      </c>
      <c r="O1652" s="3">
        <v>0.14</v>
      </c>
      <c r="P1652" s="3">
        <v>0</v>
      </c>
      <c r="Q1652" s="3">
        <v>0</v>
      </c>
      <c r="R1652" s="3">
        <v>0</v>
      </c>
    </row>
    <row r="1653" spans="1:18">
      <c r="A1653" s="3" t="s">
        <v>4427</v>
      </c>
      <c r="B1653" s="3" t="s">
        <v>3562</v>
      </c>
      <c r="C1653" s="3" t="s">
        <v>3562</v>
      </c>
      <c r="D1653" s="3" t="s">
        <v>3563</v>
      </c>
      <c r="E1653" s="3" t="s">
        <v>120</v>
      </c>
      <c r="F1653" s="3">
        <v>24.98</v>
      </c>
      <c r="G1653" s="3" t="s">
        <v>121</v>
      </c>
      <c r="H1653" s="3"/>
      <c r="I1653" s="3" t="s">
        <v>122</v>
      </c>
      <c r="J1653" s="3">
        <v>6</v>
      </c>
      <c r="K1653" s="3">
        <v>6</v>
      </c>
      <c r="L1653" s="3">
        <v>0</v>
      </c>
      <c r="M1653" s="3">
        <v>0</v>
      </c>
      <c r="N1653" s="3">
        <v>6</v>
      </c>
      <c r="O1653" s="3">
        <v>0.14</v>
      </c>
      <c r="P1653" s="3">
        <v>0</v>
      </c>
      <c r="Q1653" s="3">
        <v>0</v>
      </c>
      <c r="R1653" s="3">
        <v>0</v>
      </c>
    </row>
    <row r="1654" spans="1:18">
      <c r="A1654" s="3" t="s">
        <v>4428</v>
      </c>
      <c r="B1654" s="3" t="s">
        <v>3566</v>
      </c>
      <c r="C1654" s="3" t="s">
        <v>3566</v>
      </c>
      <c r="D1654" s="3" t="s">
        <v>3567</v>
      </c>
      <c r="E1654" s="3" t="s">
        <v>120</v>
      </c>
      <c r="F1654" s="3">
        <v>24.98</v>
      </c>
      <c r="G1654" s="3" t="s">
        <v>121</v>
      </c>
      <c r="H1654" s="3"/>
      <c r="I1654" s="3" t="s">
        <v>122</v>
      </c>
      <c r="J1654" s="3">
        <v>1</v>
      </c>
      <c r="K1654" s="3">
        <v>1</v>
      </c>
      <c r="L1654" s="3">
        <v>0</v>
      </c>
      <c r="M1654" s="3">
        <v>0</v>
      </c>
      <c r="N1654" s="3">
        <v>1</v>
      </c>
      <c r="O1654" s="3">
        <v>0.19</v>
      </c>
      <c r="P1654" s="3">
        <v>0</v>
      </c>
      <c r="Q1654" s="3">
        <v>0</v>
      </c>
      <c r="R1654" s="3">
        <v>0</v>
      </c>
    </row>
    <row r="1655" spans="1:18">
      <c r="A1655" s="3" t="s">
        <v>4429</v>
      </c>
      <c r="B1655" s="3" t="s">
        <v>3570</v>
      </c>
      <c r="C1655" s="3" t="s">
        <v>3570</v>
      </c>
      <c r="D1655" s="3" t="s">
        <v>3571</v>
      </c>
      <c r="E1655" s="3" t="s">
        <v>120</v>
      </c>
      <c r="F1655" s="3">
        <v>24.98</v>
      </c>
      <c r="G1655" s="3" t="s">
        <v>121</v>
      </c>
      <c r="H1655" s="3"/>
      <c r="I1655" s="3" t="s">
        <v>122</v>
      </c>
      <c r="J1655" s="3">
        <v>4</v>
      </c>
      <c r="K1655" s="3">
        <v>4</v>
      </c>
      <c r="L1655" s="3">
        <v>0</v>
      </c>
      <c r="M1655" s="3">
        <v>0</v>
      </c>
      <c r="N1655" s="3">
        <v>4</v>
      </c>
      <c r="O1655" s="3">
        <v>0.14</v>
      </c>
      <c r="P1655" s="3">
        <v>0</v>
      </c>
      <c r="Q1655" s="3">
        <v>0</v>
      </c>
      <c r="R1655" s="3">
        <v>0</v>
      </c>
    </row>
    <row r="1656" spans="1:18">
      <c r="A1656" s="3" t="s">
        <v>4430</v>
      </c>
      <c r="B1656" s="3" t="s">
        <v>3574</v>
      </c>
      <c r="C1656" s="3" t="s">
        <v>3574</v>
      </c>
      <c r="D1656" s="3" t="s">
        <v>3575</v>
      </c>
      <c r="E1656" s="3" t="s">
        <v>120</v>
      </c>
      <c r="F1656" s="3">
        <v>24.98</v>
      </c>
      <c r="G1656" s="3" t="s">
        <v>121</v>
      </c>
      <c r="H1656" s="3"/>
      <c r="I1656" s="3" t="s">
        <v>122</v>
      </c>
      <c r="J1656" s="3">
        <v>5</v>
      </c>
      <c r="K1656" s="3">
        <v>5</v>
      </c>
      <c r="L1656" s="3">
        <v>0</v>
      </c>
      <c r="M1656" s="3">
        <v>0</v>
      </c>
      <c r="N1656" s="3">
        <v>5</v>
      </c>
      <c r="O1656" s="3">
        <v>0.14</v>
      </c>
      <c r="P1656" s="3">
        <v>0</v>
      </c>
      <c r="Q1656" s="3">
        <v>0</v>
      </c>
      <c r="R1656" s="3">
        <v>0</v>
      </c>
    </row>
    <row r="1657" spans="1:18">
      <c r="A1657" s="3" t="s">
        <v>4431</v>
      </c>
      <c r="B1657" s="3" t="s">
        <v>3578</v>
      </c>
      <c r="C1657" s="3" t="s">
        <v>3578</v>
      </c>
      <c r="D1657" s="3" t="s">
        <v>3579</v>
      </c>
      <c r="E1657" s="3" t="s">
        <v>120</v>
      </c>
      <c r="F1657" s="3">
        <v>24.98</v>
      </c>
      <c r="G1657" s="3" t="s">
        <v>121</v>
      </c>
      <c r="H1657" s="3"/>
      <c r="I1657" s="3" t="s">
        <v>122</v>
      </c>
      <c r="J1657" s="3">
        <v>10</v>
      </c>
      <c r="K1657" s="3">
        <v>10</v>
      </c>
      <c r="L1657" s="3">
        <v>0</v>
      </c>
      <c r="M1657" s="3">
        <v>0</v>
      </c>
      <c r="N1657" s="3">
        <v>10</v>
      </c>
      <c r="O1657" s="3">
        <v>0.14</v>
      </c>
      <c r="P1657" s="3">
        <v>0</v>
      </c>
      <c r="Q1657" s="3">
        <v>0</v>
      </c>
      <c r="R1657" s="3">
        <v>0</v>
      </c>
    </row>
    <row r="1658" spans="1:18">
      <c r="A1658" s="3" t="s">
        <v>4432</v>
      </c>
      <c r="B1658" s="3" t="s">
        <v>3582</v>
      </c>
      <c r="C1658" s="3" t="s">
        <v>3582</v>
      </c>
      <c r="D1658" s="3" t="s">
        <v>3583</v>
      </c>
      <c r="E1658" s="3" t="s">
        <v>120</v>
      </c>
      <c r="F1658" s="3">
        <v>24.98</v>
      </c>
      <c r="G1658" s="3" t="s">
        <v>121</v>
      </c>
      <c r="H1658" s="3"/>
      <c r="I1658" s="3" t="s">
        <v>122</v>
      </c>
      <c r="J1658" s="3">
        <v>4</v>
      </c>
      <c r="K1658" s="3">
        <v>4</v>
      </c>
      <c r="L1658" s="3">
        <v>0</v>
      </c>
      <c r="M1658" s="3">
        <v>0</v>
      </c>
      <c r="N1658" s="3">
        <v>4</v>
      </c>
      <c r="O1658" s="3">
        <v>0.14</v>
      </c>
      <c r="P1658" s="3">
        <v>0</v>
      </c>
      <c r="Q1658" s="3">
        <v>0</v>
      </c>
      <c r="R1658" s="3">
        <v>0</v>
      </c>
    </row>
    <row r="1659" spans="1:18">
      <c r="A1659" s="3" t="s">
        <v>4433</v>
      </c>
      <c r="B1659" s="3" t="s">
        <v>3586</v>
      </c>
      <c r="C1659" s="3" t="s">
        <v>3586</v>
      </c>
      <c r="D1659" s="3" t="s">
        <v>3587</v>
      </c>
      <c r="E1659" s="3" t="s">
        <v>120</v>
      </c>
      <c r="F1659" s="3">
        <v>24.98</v>
      </c>
      <c r="G1659" s="3" t="s">
        <v>121</v>
      </c>
      <c r="H1659" s="3"/>
      <c r="I1659" s="3" t="s">
        <v>122</v>
      </c>
      <c r="J1659" s="3">
        <v>7</v>
      </c>
      <c r="K1659" s="3">
        <v>7</v>
      </c>
      <c r="L1659" s="3">
        <v>0</v>
      </c>
      <c r="M1659" s="3">
        <v>0</v>
      </c>
      <c r="N1659" s="3">
        <v>7</v>
      </c>
      <c r="O1659" s="3">
        <v>0.14</v>
      </c>
      <c r="P1659" s="3">
        <v>0</v>
      </c>
      <c r="Q1659" s="3">
        <v>0</v>
      </c>
      <c r="R1659" s="3">
        <v>0</v>
      </c>
    </row>
    <row r="1660" spans="1:18">
      <c r="A1660" s="3" t="s">
        <v>4434</v>
      </c>
      <c r="B1660" s="3" t="s">
        <v>4435</v>
      </c>
      <c r="C1660" s="3" t="s">
        <v>4435</v>
      </c>
      <c r="D1660" s="3"/>
      <c r="E1660" s="3" t="s">
        <v>20</v>
      </c>
      <c r="F1660" s="3"/>
      <c r="G1660" s="3"/>
      <c r="H1660" s="3"/>
      <c r="I1660" s="3"/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/>
      <c r="P1660" s="3">
        <v>0</v>
      </c>
      <c r="Q1660" s="3">
        <v>0</v>
      </c>
      <c r="R1660" s="3">
        <v>0</v>
      </c>
    </row>
    <row r="1661" spans="1:18">
      <c r="A1661" s="3" t="s">
        <v>4436</v>
      </c>
      <c r="B1661" s="3" t="s">
        <v>4437</v>
      </c>
      <c r="C1661" s="3" t="s">
        <v>4437</v>
      </c>
      <c r="D1661" s="3"/>
      <c r="E1661" s="3" t="s">
        <v>20</v>
      </c>
      <c r="F1661" s="3"/>
      <c r="G1661" s="3"/>
      <c r="H1661" s="3"/>
      <c r="I1661" s="3"/>
      <c r="J1661" s="3">
        <v>0</v>
      </c>
      <c r="K1661" s="3">
        <v>0</v>
      </c>
      <c r="L1661" s="3">
        <v>0</v>
      </c>
      <c r="M1661" s="3">
        <v>0</v>
      </c>
      <c r="N1661" s="3">
        <v>0</v>
      </c>
      <c r="O1661" s="3"/>
      <c r="P1661" s="3">
        <v>0</v>
      </c>
      <c r="Q1661" s="3">
        <v>0</v>
      </c>
      <c r="R1661" s="3">
        <v>0</v>
      </c>
    </row>
    <row r="1662" spans="1:18">
      <c r="A1662" s="3" t="s">
        <v>4438</v>
      </c>
      <c r="B1662" s="3" t="s">
        <v>4439</v>
      </c>
      <c r="C1662" s="3" t="s">
        <v>4439</v>
      </c>
      <c r="D1662" s="3" t="s">
        <v>4440</v>
      </c>
      <c r="E1662" s="3" t="s">
        <v>120</v>
      </c>
      <c r="F1662" s="3">
        <v>39.98</v>
      </c>
      <c r="G1662" s="3" t="s">
        <v>121</v>
      </c>
      <c r="H1662" s="3"/>
      <c r="I1662" s="3" t="s">
        <v>122</v>
      </c>
      <c r="J1662" s="3">
        <v>0</v>
      </c>
      <c r="K1662" s="3">
        <v>0</v>
      </c>
      <c r="L1662" s="3">
        <v>0</v>
      </c>
      <c r="M1662" s="3">
        <v>0</v>
      </c>
      <c r="N1662" s="3">
        <v>0</v>
      </c>
      <c r="O1662" s="3">
        <v>0.13</v>
      </c>
      <c r="P1662" s="3">
        <v>0</v>
      </c>
      <c r="Q1662" s="3">
        <v>0</v>
      </c>
      <c r="R1662" s="3">
        <v>0</v>
      </c>
    </row>
    <row r="1663" spans="1:18">
      <c r="A1663" s="3" t="s">
        <v>4441</v>
      </c>
      <c r="B1663" s="3" t="s">
        <v>4442</v>
      </c>
      <c r="C1663" s="3" t="s">
        <v>4442</v>
      </c>
      <c r="D1663" s="3"/>
      <c r="E1663" s="3" t="s">
        <v>20</v>
      </c>
      <c r="F1663" s="3"/>
      <c r="G1663" s="3"/>
      <c r="H1663" s="3"/>
      <c r="I1663" s="3"/>
      <c r="J1663" s="3">
        <v>0</v>
      </c>
      <c r="K1663" s="3">
        <v>0</v>
      </c>
      <c r="L1663" s="3">
        <v>0</v>
      </c>
      <c r="M1663" s="3">
        <v>0</v>
      </c>
      <c r="N1663" s="3">
        <v>0</v>
      </c>
      <c r="O1663" s="3"/>
      <c r="P1663" s="3">
        <v>0</v>
      </c>
      <c r="Q1663" s="3">
        <v>0</v>
      </c>
      <c r="R1663" s="3">
        <v>0</v>
      </c>
    </row>
    <row r="1664" spans="1:18">
      <c r="A1664" s="3" t="s">
        <v>4443</v>
      </c>
      <c r="B1664" s="3" t="s">
        <v>4444</v>
      </c>
      <c r="C1664" s="3" t="s">
        <v>4444</v>
      </c>
      <c r="D1664" s="3" t="s">
        <v>4445</v>
      </c>
      <c r="E1664" s="3" t="s">
        <v>120</v>
      </c>
      <c r="F1664" s="3">
        <v>39.98</v>
      </c>
      <c r="G1664" s="3" t="s">
        <v>121</v>
      </c>
      <c r="H1664" s="3"/>
      <c r="I1664" s="3" t="s">
        <v>122</v>
      </c>
      <c r="J1664" s="3">
        <v>0</v>
      </c>
      <c r="K1664" s="3">
        <v>0</v>
      </c>
      <c r="L1664" s="3">
        <v>0</v>
      </c>
      <c r="M1664" s="3">
        <v>0</v>
      </c>
      <c r="N1664" s="3">
        <v>0</v>
      </c>
      <c r="O1664" s="3">
        <v>0.25</v>
      </c>
      <c r="P1664" s="3">
        <v>0</v>
      </c>
      <c r="Q1664" s="3">
        <v>0</v>
      </c>
      <c r="R1664" s="3">
        <v>0</v>
      </c>
    </row>
    <row r="1665" spans="1:18">
      <c r="A1665" s="3" t="s">
        <v>4446</v>
      </c>
      <c r="B1665" s="3" t="s">
        <v>4447</v>
      </c>
      <c r="C1665" s="3" t="s">
        <v>4447</v>
      </c>
      <c r="D1665" s="3"/>
      <c r="E1665" s="3" t="s">
        <v>20</v>
      </c>
      <c r="F1665" s="3"/>
      <c r="G1665" s="3"/>
      <c r="H1665" s="3"/>
      <c r="I1665" s="3"/>
      <c r="J1665" s="3">
        <v>0</v>
      </c>
      <c r="K1665" s="3">
        <v>0</v>
      </c>
      <c r="L1665" s="3">
        <v>0</v>
      </c>
      <c r="M1665" s="3">
        <v>0</v>
      </c>
      <c r="N1665" s="3">
        <v>0</v>
      </c>
      <c r="O1665" s="3"/>
      <c r="P1665" s="3">
        <v>0</v>
      </c>
      <c r="Q1665" s="3">
        <v>0</v>
      </c>
      <c r="R1665" s="3">
        <v>0</v>
      </c>
    </row>
    <row r="1666" spans="1:18">
      <c r="A1666" s="3" t="s">
        <v>4448</v>
      </c>
      <c r="B1666" s="3" t="s">
        <v>4449</v>
      </c>
      <c r="C1666" s="3" t="s">
        <v>4449</v>
      </c>
      <c r="D1666" s="3" t="s">
        <v>4450</v>
      </c>
      <c r="E1666" s="3" t="s">
        <v>120</v>
      </c>
      <c r="F1666" s="3">
        <v>39.98</v>
      </c>
      <c r="G1666" s="3" t="s">
        <v>121</v>
      </c>
      <c r="H1666" s="3"/>
      <c r="I1666" s="3" t="s">
        <v>122</v>
      </c>
      <c r="J1666" s="3">
        <v>5</v>
      </c>
      <c r="K1666" s="3">
        <v>5</v>
      </c>
      <c r="L1666" s="3">
        <v>0</v>
      </c>
      <c r="M1666" s="3">
        <v>0</v>
      </c>
      <c r="N1666" s="3">
        <v>5</v>
      </c>
      <c r="O1666" s="3">
        <v>0.25</v>
      </c>
      <c r="P1666" s="3">
        <v>0</v>
      </c>
      <c r="Q1666" s="3">
        <v>0</v>
      </c>
      <c r="R1666" s="3">
        <v>0</v>
      </c>
    </row>
    <row r="1667" spans="1:18">
      <c r="A1667" s="3" t="s">
        <v>4451</v>
      </c>
      <c r="B1667" s="3" t="s">
        <v>4452</v>
      </c>
      <c r="C1667" s="3" t="s">
        <v>4452</v>
      </c>
      <c r="D1667" s="3"/>
      <c r="E1667" s="3" t="s">
        <v>20</v>
      </c>
      <c r="F1667" s="3"/>
      <c r="G1667" s="3"/>
      <c r="H1667" s="3"/>
      <c r="I1667" s="3"/>
      <c r="J1667" s="3">
        <v>0</v>
      </c>
      <c r="K1667" s="3">
        <v>0</v>
      </c>
      <c r="L1667" s="3">
        <v>0</v>
      </c>
      <c r="M1667" s="3">
        <v>0</v>
      </c>
      <c r="N1667" s="3">
        <v>0</v>
      </c>
      <c r="O1667" s="3"/>
      <c r="P1667" s="3">
        <v>0</v>
      </c>
      <c r="Q1667" s="3">
        <v>0</v>
      </c>
      <c r="R1667" s="3">
        <v>0</v>
      </c>
    </row>
    <row r="1668" spans="1:18">
      <c r="A1668" s="3" t="s">
        <v>4453</v>
      </c>
      <c r="B1668" s="3" t="s">
        <v>4454</v>
      </c>
      <c r="C1668" s="3" t="s">
        <v>4454</v>
      </c>
      <c r="D1668" s="3" t="s">
        <v>4455</v>
      </c>
      <c r="E1668" s="3" t="s">
        <v>120</v>
      </c>
      <c r="F1668" s="3">
        <v>39.98</v>
      </c>
      <c r="G1668" s="3" t="s">
        <v>121</v>
      </c>
      <c r="H1668" s="3"/>
      <c r="I1668" s="3" t="s">
        <v>122</v>
      </c>
      <c r="J1668" s="3">
        <v>2</v>
      </c>
      <c r="K1668" s="3">
        <v>2</v>
      </c>
      <c r="L1668" s="3">
        <v>0</v>
      </c>
      <c r="M1668" s="3">
        <v>0</v>
      </c>
      <c r="N1668" s="3">
        <v>2</v>
      </c>
      <c r="O1668" s="3">
        <v>0.29</v>
      </c>
      <c r="P1668" s="3">
        <v>0</v>
      </c>
      <c r="Q1668" s="3">
        <v>0</v>
      </c>
      <c r="R1668" s="3">
        <v>0</v>
      </c>
    </row>
    <row r="1669" spans="1:18">
      <c r="A1669" s="3" t="s">
        <v>4456</v>
      </c>
      <c r="B1669" s="3" t="s">
        <v>4457</v>
      </c>
      <c r="C1669" s="3" t="s">
        <v>4457</v>
      </c>
      <c r="D1669" s="3" t="s">
        <v>4458</v>
      </c>
      <c r="E1669" s="3" t="s">
        <v>120</v>
      </c>
      <c r="F1669" s="3">
        <v>39.98</v>
      </c>
      <c r="G1669" s="3" t="s">
        <v>121</v>
      </c>
      <c r="H1669" s="3"/>
      <c r="I1669" s="3" t="s">
        <v>122</v>
      </c>
      <c r="J1669" s="3">
        <v>15</v>
      </c>
      <c r="K1669" s="3">
        <v>15</v>
      </c>
      <c r="L1669" s="3">
        <v>0</v>
      </c>
      <c r="M1669" s="3">
        <v>0</v>
      </c>
      <c r="N1669" s="3">
        <v>15</v>
      </c>
      <c r="O1669" s="3">
        <v>0.25</v>
      </c>
      <c r="P1669" s="3">
        <v>0</v>
      </c>
      <c r="Q1669" s="3">
        <v>0</v>
      </c>
      <c r="R1669" s="3">
        <v>0</v>
      </c>
    </row>
    <row r="1670" spans="1:18">
      <c r="A1670" s="3" t="s">
        <v>4459</v>
      </c>
      <c r="B1670" s="3" t="s">
        <v>4460</v>
      </c>
      <c r="C1670" s="3" t="s">
        <v>4460</v>
      </c>
      <c r="D1670" s="3" t="s">
        <v>4461</v>
      </c>
      <c r="E1670" s="3" t="s">
        <v>120</v>
      </c>
      <c r="F1670" s="3">
        <v>39.98</v>
      </c>
      <c r="G1670" s="3" t="s">
        <v>121</v>
      </c>
      <c r="H1670" s="3"/>
      <c r="I1670" s="3" t="s">
        <v>122</v>
      </c>
      <c r="J1670" s="3">
        <v>1</v>
      </c>
      <c r="K1670" s="3">
        <v>1</v>
      </c>
      <c r="L1670" s="3">
        <v>0</v>
      </c>
      <c r="M1670" s="3">
        <v>0</v>
      </c>
      <c r="N1670" s="3">
        <v>1</v>
      </c>
      <c r="O1670" s="3">
        <v>0.22</v>
      </c>
      <c r="P1670" s="3">
        <v>0</v>
      </c>
      <c r="Q1670" s="3">
        <v>0</v>
      </c>
      <c r="R1670" s="3">
        <v>0</v>
      </c>
    </row>
    <row r="1671" spans="1:18">
      <c r="A1671" s="3" t="s">
        <v>4462</v>
      </c>
      <c r="B1671" s="3" t="s">
        <v>4463</v>
      </c>
      <c r="C1671" s="3" t="s">
        <v>4463</v>
      </c>
      <c r="D1671" s="3" t="s">
        <v>4464</v>
      </c>
      <c r="E1671" s="3" t="s">
        <v>120</v>
      </c>
      <c r="F1671" s="3">
        <v>39.98</v>
      </c>
      <c r="G1671" s="3" t="s">
        <v>121</v>
      </c>
      <c r="H1671" s="3"/>
      <c r="I1671" s="3" t="s">
        <v>122</v>
      </c>
      <c r="J1671" s="3">
        <v>0</v>
      </c>
      <c r="K1671" s="3">
        <v>0</v>
      </c>
      <c r="L1671" s="3">
        <v>0</v>
      </c>
      <c r="M1671" s="3">
        <v>0</v>
      </c>
      <c r="N1671" s="3">
        <v>0</v>
      </c>
      <c r="O1671" s="3">
        <v>0.25</v>
      </c>
      <c r="P1671" s="3">
        <v>0</v>
      </c>
      <c r="Q1671" s="3">
        <v>0</v>
      </c>
      <c r="R1671" s="3">
        <v>0</v>
      </c>
    </row>
    <row r="1672" spans="1:18">
      <c r="A1672" s="3" t="s">
        <v>4465</v>
      </c>
      <c r="B1672" s="3" t="s">
        <v>4466</v>
      </c>
      <c r="C1672" s="3" t="s">
        <v>4466</v>
      </c>
      <c r="D1672" s="3" t="s">
        <v>4467</v>
      </c>
      <c r="E1672" s="3" t="s">
        <v>120</v>
      </c>
      <c r="F1672" s="3">
        <v>39.98</v>
      </c>
      <c r="G1672" s="3" t="s">
        <v>121</v>
      </c>
      <c r="H1672" s="3"/>
      <c r="I1672" s="3" t="s">
        <v>122</v>
      </c>
      <c r="J1672" s="3">
        <v>0</v>
      </c>
      <c r="K1672" s="3">
        <v>0</v>
      </c>
      <c r="L1672" s="3">
        <v>0</v>
      </c>
      <c r="M1672" s="3">
        <v>0</v>
      </c>
      <c r="N1672" s="3">
        <v>0</v>
      </c>
      <c r="O1672" s="3">
        <v>0.21</v>
      </c>
      <c r="P1672" s="3">
        <v>0</v>
      </c>
      <c r="Q1672" s="3">
        <v>0</v>
      </c>
      <c r="R1672" s="3">
        <v>0</v>
      </c>
    </row>
    <row r="1673" spans="1:18">
      <c r="A1673" s="3" t="s">
        <v>4468</v>
      </c>
      <c r="B1673" s="3" t="s">
        <v>4469</v>
      </c>
      <c r="C1673" s="3" t="s">
        <v>4469</v>
      </c>
      <c r="D1673" s="3" t="s">
        <v>4470</v>
      </c>
      <c r="E1673" s="3" t="s">
        <v>120</v>
      </c>
      <c r="F1673" s="3">
        <v>39.98</v>
      </c>
      <c r="G1673" s="3" t="s">
        <v>121</v>
      </c>
      <c r="H1673" s="3"/>
      <c r="I1673" s="3" t="s">
        <v>122</v>
      </c>
      <c r="J1673" s="3">
        <v>0</v>
      </c>
      <c r="K1673" s="3">
        <v>0</v>
      </c>
      <c r="L1673" s="3">
        <v>0</v>
      </c>
      <c r="M1673" s="3">
        <v>0</v>
      </c>
      <c r="N1673" s="3">
        <v>0</v>
      </c>
      <c r="O1673" s="3">
        <v>0.21</v>
      </c>
      <c r="P1673" s="3">
        <v>0</v>
      </c>
      <c r="Q1673" s="3">
        <v>0</v>
      </c>
      <c r="R1673" s="3">
        <v>0</v>
      </c>
    </row>
    <row r="1674" spans="1:18">
      <c r="A1674" s="3" t="s">
        <v>4471</v>
      </c>
      <c r="B1674" s="3" t="s">
        <v>4472</v>
      </c>
      <c r="C1674" s="3" t="s">
        <v>4472</v>
      </c>
      <c r="D1674" s="3" t="s">
        <v>4473</v>
      </c>
      <c r="E1674" s="3" t="s">
        <v>120</v>
      </c>
      <c r="F1674" s="3">
        <v>39.98</v>
      </c>
      <c r="G1674" s="3" t="s">
        <v>121</v>
      </c>
      <c r="H1674" s="3"/>
      <c r="I1674" s="3" t="s">
        <v>122</v>
      </c>
      <c r="J1674" s="3">
        <v>0</v>
      </c>
      <c r="K1674" s="3">
        <v>0</v>
      </c>
      <c r="L1674" s="3">
        <v>0</v>
      </c>
      <c r="M1674" s="3">
        <v>0</v>
      </c>
      <c r="N1674" s="3">
        <v>0</v>
      </c>
      <c r="O1674" s="3">
        <v>0.23</v>
      </c>
      <c r="P1674" s="3">
        <v>0</v>
      </c>
      <c r="Q1674" s="3">
        <v>0</v>
      </c>
      <c r="R1674" s="3">
        <v>0</v>
      </c>
    </row>
    <row r="1675" spans="1:18">
      <c r="A1675" s="3" t="s">
        <v>4474</v>
      </c>
      <c r="B1675" s="3" t="s">
        <v>4475</v>
      </c>
      <c r="C1675" s="3" t="s">
        <v>4475</v>
      </c>
      <c r="D1675" s="3" t="s">
        <v>4476</v>
      </c>
      <c r="E1675" s="3" t="s">
        <v>120</v>
      </c>
      <c r="F1675" s="3">
        <v>39.98</v>
      </c>
      <c r="G1675" s="3" t="s">
        <v>121</v>
      </c>
      <c r="H1675" s="3"/>
      <c r="I1675" s="3" t="s">
        <v>122</v>
      </c>
      <c r="J1675" s="3">
        <v>0</v>
      </c>
      <c r="K1675" s="3">
        <v>0</v>
      </c>
      <c r="L1675" s="3">
        <v>0</v>
      </c>
      <c r="M1675" s="3">
        <v>0</v>
      </c>
      <c r="N1675" s="3">
        <v>0</v>
      </c>
      <c r="O1675" s="3">
        <v>0.25</v>
      </c>
      <c r="P1675" s="3">
        <v>0</v>
      </c>
      <c r="Q1675" s="3">
        <v>0</v>
      </c>
      <c r="R1675" s="3">
        <v>0</v>
      </c>
    </row>
    <row r="1676" spans="1:18">
      <c r="A1676" s="3" t="s">
        <v>4477</v>
      </c>
      <c r="B1676" s="3" t="s">
        <v>4478</v>
      </c>
      <c r="C1676" s="3" t="s">
        <v>4478</v>
      </c>
      <c r="D1676" s="3" t="s">
        <v>4479</v>
      </c>
      <c r="E1676" s="3" t="s">
        <v>120</v>
      </c>
      <c r="F1676" s="3">
        <v>39.98</v>
      </c>
      <c r="G1676" s="3" t="s">
        <v>121</v>
      </c>
      <c r="H1676" s="3"/>
      <c r="I1676" s="3" t="s">
        <v>122</v>
      </c>
      <c r="J1676" s="3">
        <v>0</v>
      </c>
      <c r="K1676" s="3">
        <v>0</v>
      </c>
      <c r="L1676" s="3">
        <v>0</v>
      </c>
      <c r="M1676" s="3">
        <v>0</v>
      </c>
      <c r="N1676" s="3">
        <v>0</v>
      </c>
      <c r="O1676" s="3">
        <v>0.18</v>
      </c>
      <c r="P1676" s="3">
        <v>0</v>
      </c>
      <c r="Q1676" s="3">
        <v>0</v>
      </c>
      <c r="R1676" s="3">
        <v>0</v>
      </c>
    </row>
    <row r="1677" spans="1:18">
      <c r="A1677" s="3" t="s">
        <v>4480</v>
      </c>
      <c r="B1677" s="3" t="s">
        <v>3612</v>
      </c>
      <c r="C1677" s="3" t="s">
        <v>3612</v>
      </c>
      <c r="D1677" s="3" t="s">
        <v>3613</v>
      </c>
      <c r="E1677" s="3" t="s">
        <v>120</v>
      </c>
      <c r="F1677" s="3">
        <v>23.98</v>
      </c>
      <c r="G1677" s="3" t="s">
        <v>121</v>
      </c>
      <c r="H1677" s="3"/>
      <c r="I1677" s="3" t="s">
        <v>122</v>
      </c>
      <c r="J1677" s="3">
        <v>4</v>
      </c>
      <c r="K1677" s="3">
        <v>4</v>
      </c>
      <c r="L1677" s="3">
        <v>0</v>
      </c>
      <c r="M1677" s="3">
        <v>0</v>
      </c>
      <c r="N1677" s="3">
        <v>4</v>
      </c>
      <c r="O1677" s="3">
        <v>0.09</v>
      </c>
      <c r="P1677" s="3">
        <v>0</v>
      </c>
      <c r="Q1677" s="3">
        <v>0</v>
      </c>
      <c r="R1677" s="3">
        <v>0</v>
      </c>
    </row>
    <row r="1678" spans="1:18">
      <c r="A1678" s="3" t="s">
        <v>4481</v>
      </c>
      <c r="B1678" s="3" t="s">
        <v>3620</v>
      </c>
      <c r="C1678" s="3" t="s">
        <v>3620</v>
      </c>
      <c r="D1678" s="3" t="s">
        <v>3621</v>
      </c>
      <c r="E1678" s="3" t="s">
        <v>120</v>
      </c>
      <c r="F1678" s="3">
        <v>23.98</v>
      </c>
      <c r="G1678" s="3" t="s">
        <v>121</v>
      </c>
      <c r="H1678" s="3"/>
      <c r="I1678" s="3" t="s">
        <v>122</v>
      </c>
      <c r="J1678" s="3">
        <v>1</v>
      </c>
      <c r="K1678" s="3">
        <v>1</v>
      </c>
      <c r="L1678" s="3">
        <v>0</v>
      </c>
      <c r="M1678" s="3">
        <v>0</v>
      </c>
      <c r="N1678" s="3">
        <v>1</v>
      </c>
      <c r="O1678" s="3">
        <v>0.09</v>
      </c>
      <c r="P1678" s="3">
        <v>0</v>
      </c>
      <c r="Q1678" s="3">
        <v>0</v>
      </c>
      <c r="R1678" s="3">
        <v>0</v>
      </c>
    </row>
    <row r="1679" spans="1:18">
      <c r="A1679" s="3" t="s">
        <v>4482</v>
      </c>
      <c r="B1679" s="3" t="s">
        <v>3644</v>
      </c>
      <c r="C1679" s="3" t="s">
        <v>3644</v>
      </c>
      <c r="D1679" s="3" t="s">
        <v>3645</v>
      </c>
      <c r="E1679" s="3" t="s">
        <v>120</v>
      </c>
      <c r="F1679" s="3">
        <v>23.98</v>
      </c>
      <c r="G1679" s="3" t="s">
        <v>121</v>
      </c>
      <c r="H1679" s="3"/>
      <c r="I1679" s="3" t="s">
        <v>122</v>
      </c>
      <c r="J1679" s="3">
        <v>5</v>
      </c>
      <c r="K1679" s="3">
        <v>5</v>
      </c>
      <c r="L1679" s="3">
        <v>0</v>
      </c>
      <c r="M1679" s="3">
        <v>0</v>
      </c>
      <c r="N1679" s="3">
        <v>5</v>
      </c>
      <c r="O1679" s="3">
        <v>0.09</v>
      </c>
      <c r="P1679" s="3">
        <v>0</v>
      </c>
      <c r="Q1679" s="3">
        <v>0</v>
      </c>
      <c r="R1679" s="3">
        <v>0</v>
      </c>
    </row>
    <row r="1680" spans="1:18">
      <c r="A1680" s="3" t="s">
        <v>4483</v>
      </c>
      <c r="B1680" s="3" t="s">
        <v>3652</v>
      </c>
      <c r="C1680" s="3" t="s">
        <v>3652</v>
      </c>
      <c r="D1680" s="3" t="s">
        <v>3653</v>
      </c>
      <c r="E1680" s="3" t="s">
        <v>120</v>
      </c>
      <c r="F1680" s="3">
        <v>23.98</v>
      </c>
      <c r="G1680" s="3" t="s">
        <v>121</v>
      </c>
      <c r="H1680" s="3"/>
      <c r="I1680" s="3" t="s">
        <v>122</v>
      </c>
      <c r="J1680" s="3">
        <v>4</v>
      </c>
      <c r="K1680" s="3">
        <v>4</v>
      </c>
      <c r="L1680" s="3">
        <v>0</v>
      </c>
      <c r="M1680" s="3">
        <v>0</v>
      </c>
      <c r="N1680" s="3">
        <v>4</v>
      </c>
      <c r="O1680" s="3">
        <v>0.09</v>
      </c>
      <c r="P1680" s="3">
        <v>0</v>
      </c>
      <c r="Q1680" s="3">
        <v>0</v>
      </c>
      <c r="R1680" s="3">
        <v>0</v>
      </c>
    </row>
    <row r="1681" spans="1:18">
      <c r="A1681" s="3" t="s">
        <v>4484</v>
      </c>
      <c r="B1681" s="3" t="s">
        <v>3656</v>
      </c>
      <c r="C1681" s="3" t="s">
        <v>3656</v>
      </c>
      <c r="D1681" s="3" t="s">
        <v>3657</v>
      </c>
      <c r="E1681" s="3" t="s">
        <v>120</v>
      </c>
      <c r="F1681" s="3">
        <v>23.98</v>
      </c>
      <c r="G1681" s="3" t="s">
        <v>121</v>
      </c>
      <c r="H1681" s="3"/>
      <c r="I1681" s="3" t="s">
        <v>122</v>
      </c>
      <c r="J1681" s="3">
        <v>7</v>
      </c>
      <c r="K1681" s="3">
        <v>7</v>
      </c>
      <c r="L1681" s="3">
        <v>0</v>
      </c>
      <c r="M1681" s="3">
        <v>0</v>
      </c>
      <c r="N1681" s="3">
        <v>7</v>
      </c>
      <c r="O1681" s="3">
        <v>0.09</v>
      </c>
      <c r="P1681" s="3">
        <v>0</v>
      </c>
      <c r="Q1681" s="3">
        <v>0</v>
      </c>
      <c r="R1681" s="3">
        <v>0</v>
      </c>
    </row>
    <row r="1682" spans="1:18">
      <c r="A1682" s="3" t="s">
        <v>4485</v>
      </c>
      <c r="B1682" s="3" t="s">
        <v>3660</v>
      </c>
      <c r="C1682" s="3" t="s">
        <v>3660</v>
      </c>
      <c r="D1682" s="3" t="s">
        <v>3661</v>
      </c>
      <c r="E1682" s="3" t="s">
        <v>120</v>
      </c>
      <c r="F1682" s="3">
        <v>23.98</v>
      </c>
      <c r="G1682" s="3" t="s">
        <v>121</v>
      </c>
      <c r="H1682" s="3"/>
      <c r="I1682" s="3" t="s">
        <v>122</v>
      </c>
      <c r="J1682" s="3">
        <v>4</v>
      </c>
      <c r="K1682" s="3">
        <v>4</v>
      </c>
      <c r="L1682" s="3">
        <v>0</v>
      </c>
      <c r="M1682" s="3">
        <v>0</v>
      </c>
      <c r="N1682" s="3">
        <v>4</v>
      </c>
      <c r="O1682" s="3">
        <v>0.09</v>
      </c>
      <c r="P1682" s="3">
        <v>0</v>
      </c>
      <c r="Q1682" s="3">
        <v>0</v>
      </c>
      <c r="R1682" s="3">
        <v>0</v>
      </c>
    </row>
    <row r="1683" spans="1:18">
      <c r="A1683" s="3" t="s">
        <v>4486</v>
      </c>
      <c r="B1683" s="3" t="s">
        <v>3664</v>
      </c>
      <c r="C1683" s="3" t="s">
        <v>3664</v>
      </c>
      <c r="D1683" s="3"/>
      <c r="E1683" s="3" t="s">
        <v>20</v>
      </c>
      <c r="F1683" s="3"/>
      <c r="G1683" s="3"/>
      <c r="H1683" s="3"/>
      <c r="I1683" s="3"/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/>
      <c r="P1683" s="3">
        <v>0</v>
      </c>
      <c r="Q1683" s="3">
        <v>0</v>
      </c>
      <c r="R1683" s="3">
        <v>0</v>
      </c>
    </row>
    <row r="1684" spans="1:18">
      <c r="A1684" s="3" t="s">
        <v>4487</v>
      </c>
      <c r="B1684" s="3" t="s">
        <v>3668</v>
      </c>
      <c r="C1684" s="3" t="s">
        <v>3668</v>
      </c>
      <c r="D1684" s="3" t="s">
        <v>3669</v>
      </c>
      <c r="E1684" s="3" t="s">
        <v>120</v>
      </c>
      <c r="F1684" s="3">
        <v>23.98</v>
      </c>
      <c r="G1684" s="3" t="s">
        <v>121</v>
      </c>
      <c r="H1684" s="3"/>
      <c r="I1684" s="3" t="s">
        <v>122</v>
      </c>
      <c r="J1684" s="3">
        <v>5</v>
      </c>
      <c r="K1684" s="3">
        <v>5</v>
      </c>
      <c r="L1684" s="3">
        <v>0</v>
      </c>
      <c r="M1684" s="3">
        <v>0</v>
      </c>
      <c r="N1684" s="3">
        <v>5</v>
      </c>
      <c r="O1684" s="3">
        <v>0.09</v>
      </c>
      <c r="P1684" s="3">
        <v>0</v>
      </c>
      <c r="Q1684" s="3">
        <v>0</v>
      </c>
      <c r="R1684" s="3">
        <v>0</v>
      </c>
    </row>
    <row r="1685" spans="1:18">
      <c r="A1685" s="3" t="s">
        <v>4488</v>
      </c>
      <c r="B1685" s="3" t="s">
        <v>3672</v>
      </c>
      <c r="C1685" s="3" t="s">
        <v>3672</v>
      </c>
      <c r="D1685" s="3" t="s">
        <v>3673</v>
      </c>
      <c r="E1685" s="3" t="s">
        <v>120</v>
      </c>
      <c r="F1685" s="3">
        <v>23.98</v>
      </c>
      <c r="G1685" s="3" t="s">
        <v>121</v>
      </c>
      <c r="H1685" s="3"/>
      <c r="I1685" s="3" t="s">
        <v>122</v>
      </c>
      <c r="J1685" s="3">
        <v>0</v>
      </c>
      <c r="K1685" s="3">
        <v>0</v>
      </c>
      <c r="L1685" s="3">
        <v>0</v>
      </c>
      <c r="M1685" s="3">
        <v>0</v>
      </c>
      <c r="N1685" s="3">
        <v>0</v>
      </c>
      <c r="O1685" s="3">
        <v>0.09</v>
      </c>
      <c r="P1685" s="3">
        <v>0</v>
      </c>
      <c r="Q1685" s="3">
        <v>0</v>
      </c>
      <c r="R1685" s="3">
        <v>0</v>
      </c>
    </row>
    <row r="1686" spans="1:18">
      <c r="A1686" s="3" t="s">
        <v>4489</v>
      </c>
      <c r="B1686" s="3" t="s">
        <v>3676</v>
      </c>
      <c r="C1686" s="3" t="s">
        <v>3676</v>
      </c>
      <c r="D1686" s="3" t="s">
        <v>3677</v>
      </c>
      <c r="E1686" s="3" t="s">
        <v>120</v>
      </c>
      <c r="F1686" s="3">
        <v>23.98</v>
      </c>
      <c r="G1686" s="3" t="s">
        <v>121</v>
      </c>
      <c r="H1686" s="3"/>
      <c r="I1686" s="3" t="s">
        <v>122</v>
      </c>
      <c r="J1686" s="3">
        <v>1</v>
      </c>
      <c r="K1686" s="3">
        <v>1</v>
      </c>
      <c r="L1686" s="3">
        <v>0</v>
      </c>
      <c r="M1686" s="3">
        <v>0</v>
      </c>
      <c r="N1686" s="3">
        <v>1</v>
      </c>
      <c r="O1686" s="3">
        <v>0.09</v>
      </c>
      <c r="P1686" s="3">
        <v>0</v>
      </c>
      <c r="Q1686" s="3">
        <v>0</v>
      </c>
      <c r="R1686" s="3">
        <v>0</v>
      </c>
    </row>
    <row r="1687" spans="1:18">
      <c r="A1687" s="3" t="s">
        <v>4490</v>
      </c>
      <c r="B1687" s="3" t="s">
        <v>3687</v>
      </c>
      <c r="C1687" s="3" t="s">
        <v>3687</v>
      </c>
      <c r="D1687" s="3" t="s">
        <v>3688</v>
      </c>
      <c r="E1687" s="3" t="s">
        <v>120</v>
      </c>
      <c r="F1687" s="3">
        <v>23.98</v>
      </c>
      <c r="G1687" s="3" t="s">
        <v>121</v>
      </c>
      <c r="H1687" s="3"/>
      <c r="I1687" s="3" t="s">
        <v>122</v>
      </c>
      <c r="J1687" s="3">
        <v>6</v>
      </c>
      <c r="K1687" s="3">
        <v>6</v>
      </c>
      <c r="L1687" s="3">
        <v>0</v>
      </c>
      <c r="M1687" s="3">
        <v>0</v>
      </c>
      <c r="N1687" s="3">
        <v>6</v>
      </c>
      <c r="O1687" s="3">
        <v>0.09</v>
      </c>
      <c r="P1687" s="3">
        <v>0</v>
      </c>
      <c r="Q1687" s="3">
        <v>0</v>
      </c>
      <c r="R1687" s="3">
        <v>0</v>
      </c>
    </row>
    <row r="1688" spans="1:18">
      <c r="A1688" s="3" t="s">
        <v>4491</v>
      </c>
      <c r="B1688" s="3" t="s">
        <v>3691</v>
      </c>
      <c r="C1688" s="3" t="s">
        <v>3691</v>
      </c>
      <c r="D1688" s="3" t="s">
        <v>3692</v>
      </c>
      <c r="E1688" s="3" t="s">
        <v>120</v>
      </c>
      <c r="F1688" s="3">
        <v>23.98</v>
      </c>
      <c r="G1688" s="3" t="s">
        <v>121</v>
      </c>
      <c r="H1688" s="3"/>
      <c r="I1688" s="3" t="s">
        <v>122</v>
      </c>
      <c r="J1688" s="3">
        <v>1</v>
      </c>
      <c r="K1688" s="3">
        <v>1</v>
      </c>
      <c r="L1688" s="3">
        <v>0</v>
      </c>
      <c r="M1688" s="3">
        <v>0</v>
      </c>
      <c r="N1688" s="3">
        <v>1</v>
      </c>
      <c r="O1688" s="3">
        <v>0.09</v>
      </c>
      <c r="P1688" s="3">
        <v>0</v>
      </c>
      <c r="Q1688" s="3">
        <v>0</v>
      </c>
      <c r="R1688" s="3">
        <v>0</v>
      </c>
    </row>
    <row r="1689" spans="1:18">
      <c r="A1689" s="3" t="s">
        <v>4492</v>
      </c>
      <c r="B1689" s="3" t="s">
        <v>3695</v>
      </c>
      <c r="C1689" s="3" t="s">
        <v>3695</v>
      </c>
      <c r="D1689" s="3" t="s">
        <v>3696</v>
      </c>
      <c r="E1689" s="3" t="s">
        <v>120</v>
      </c>
      <c r="F1689" s="3">
        <v>23.98</v>
      </c>
      <c r="G1689" s="3" t="s">
        <v>121</v>
      </c>
      <c r="H1689" s="3"/>
      <c r="I1689" s="3" t="s">
        <v>122</v>
      </c>
      <c r="J1689" s="3">
        <v>1</v>
      </c>
      <c r="K1689" s="3">
        <v>1</v>
      </c>
      <c r="L1689" s="3">
        <v>0</v>
      </c>
      <c r="M1689" s="3">
        <v>0</v>
      </c>
      <c r="N1689" s="3">
        <v>1</v>
      </c>
      <c r="O1689" s="3">
        <v>0.09</v>
      </c>
      <c r="P1689" s="3">
        <v>0</v>
      </c>
      <c r="Q1689" s="3">
        <v>0</v>
      </c>
      <c r="R1689" s="3">
        <v>0</v>
      </c>
    </row>
    <row r="1690" spans="1:18">
      <c r="A1690" s="3" t="s">
        <v>4493</v>
      </c>
      <c r="B1690" s="3" t="s">
        <v>3699</v>
      </c>
      <c r="C1690" s="3" t="s">
        <v>3699</v>
      </c>
      <c r="D1690" s="3" t="s">
        <v>3700</v>
      </c>
      <c r="E1690" s="3" t="s">
        <v>120</v>
      </c>
      <c r="F1690" s="3">
        <v>23.98</v>
      </c>
      <c r="G1690" s="3" t="s">
        <v>121</v>
      </c>
      <c r="H1690" s="3"/>
      <c r="I1690" s="3" t="s">
        <v>122</v>
      </c>
      <c r="J1690" s="3">
        <v>6</v>
      </c>
      <c r="K1690" s="3">
        <v>6</v>
      </c>
      <c r="L1690" s="3">
        <v>0</v>
      </c>
      <c r="M1690" s="3">
        <v>0</v>
      </c>
      <c r="N1690" s="3">
        <v>6</v>
      </c>
      <c r="O1690" s="3">
        <v>0.09</v>
      </c>
      <c r="P1690" s="3">
        <v>0</v>
      </c>
      <c r="Q1690" s="3">
        <v>0</v>
      </c>
      <c r="R1690" s="3">
        <v>0</v>
      </c>
    </row>
    <row r="1691" spans="1:18">
      <c r="A1691" s="3" t="s">
        <v>4494</v>
      </c>
      <c r="B1691" s="3" t="s">
        <v>3703</v>
      </c>
      <c r="C1691" s="3" t="s">
        <v>3703</v>
      </c>
      <c r="D1691" s="3" t="s">
        <v>3704</v>
      </c>
      <c r="E1691" s="3" t="s">
        <v>120</v>
      </c>
      <c r="F1691" s="3">
        <v>23.98</v>
      </c>
      <c r="G1691" s="3" t="s">
        <v>121</v>
      </c>
      <c r="H1691" s="3"/>
      <c r="I1691" s="3" t="s">
        <v>122</v>
      </c>
      <c r="J1691" s="3">
        <v>1</v>
      </c>
      <c r="K1691" s="3">
        <v>1</v>
      </c>
      <c r="L1691" s="3">
        <v>0</v>
      </c>
      <c r="M1691" s="3">
        <v>0</v>
      </c>
      <c r="N1691" s="3">
        <v>1</v>
      </c>
      <c r="O1691" s="3">
        <v>0.09</v>
      </c>
      <c r="P1691" s="3">
        <v>0</v>
      </c>
      <c r="Q1691" s="3">
        <v>0</v>
      </c>
      <c r="R1691" s="3">
        <v>0</v>
      </c>
    </row>
    <row r="1692" spans="1:18">
      <c r="A1692" s="3" t="s">
        <v>4495</v>
      </c>
      <c r="B1692" s="3" t="s">
        <v>3707</v>
      </c>
      <c r="C1692" s="3" t="s">
        <v>3707</v>
      </c>
      <c r="D1692" s="3" t="s">
        <v>3708</v>
      </c>
      <c r="E1692" s="3" t="s">
        <v>120</v>
      </c>
      <c r="F1692" s="3">
        <v>23.98</v>
      </c>
      <c r="G1692" s="3" t="s">
        <v>121</v>
      </c>
      <c r="H1692" s="3"/>
      <c r="I1692" s="3" t="s">
        <v>122</v>
      </c>
      <c r="J1692" s="3">
        <v>5</v>
      </c>
      <c r="K1692" s="3">
        <v>5</v>
      </c>
      <c r="L1692" s="3">
        <v>0</v>
      </c>
      <c r="M1692" s="3">
        <v>0</v>
      </c>
      <c r="N1692" s="3">
        <v>5</v>
      </c>
      <c r="O1692" s="3">
        <v>0.09</v>
      </c>
      <c r="P1692" s="3">
        <v>0</v>
      </c>
      <c r="Q1692" s="3">
        <v>0</v>
      </c>
      <c r="R1692" s="3">
        <v>0</v>
      </c>
    </row>
    <row r="1693" spans="1:18">
      <c r="A1693" s="3" t="s">
        <v>4496</v>
      </c>
      <c r="B1693" s="3" t="s">
        <v>3711</v>
      </c>
      <c r="C1693" s="3" t="s">
        <v>3711</v>
      </c>
      <c r="D1693" s="3" t="s">
        <v>3712</v>
      </c>
      <c r="E1693" s="3" t="s">
        <v>120</v>
      </c>
      <c r="F1693" s="3">
        <v>23.98</v>
      </c>
      <c r="G1693" s="3" t="s">
        <v>121</v>
      </c>
      <c r="H1693" s="3"/>
      <c r="I1693" s="3" t="s">
        <v>122</v>
      </c>
      <c r="J1693" s="3">
        <v>2</v>
      </c>
      <c r="K1693" s="3">
        <v>2</v>
      </c>
      <c r="L1693" s="3">
        <v>0</v>
      </c>
      <c r="M1693" s="3">
        <v>0</v>
      </c>
      <c r="N1693" s="3">
        <v>2</v>
      </c>
      <c r="O1693" s="3">
        <v>0.09</v>
      </c>
      <c r="P1693" s="3">
        <v>0</v>
      </c>
      <c r="Q1693" s="3">
        <v>0</v>
      </c>
      <c r="R1693" s="3">
        <v>0</v>
      </c>
    </row>
    <row r="1694" spans="1:18">
      <c r="A1694" s="3" t="s">
        <v>4497</v>
      </c>
      <c r="B1694" s="3" t="s">
        <v>3715</v>
      </c>
      <c r="C1694" s="3" t="s">
        <v>3715</v>
      </c>
      <c r="D1694" s="3" t="s">
        <v>3716</v>
      </c>
      <c r="E1694" s="3" t="s">
        <v>120</v>
      </c>
      <c r="F1694" s="3">
        <v>23.98</v>
      </c>
      <c r="G1694" s="3" t="s">
        <v>121</v>
      </c>
      <c r="H1694" s="3"/>
      <c r="I1694" s="3" t="s">
        <v>122</v>
      </c>
      <c r="J1694" s="3">
        <v>1</v>
      </c>
      <c r="K1694" s="3">
        <v>1</v>
      </c>
      <c r="L1694" s="3">
        <v>0</v>
      </c>
      <c r="M1694" s="3">
        <v>0</v>
      </c>
      <c r="N1694" s="3">
        <v>1</v>
      </c>
      <c r="O1694" s="3">
        <v>0.09</v>
      </c>
      <c r="P1694" s="3">
        <v>0</v>
      </c>
      <c r="Q1694" s="3">
        <v>0</v>
      </c>
      <c r="R1694" s="3">
        <v>0</v>
      </c>
    </row>
    <row r="1695" spans="1:18">
      <c r="A1695" s="3" t="s">
        <v>4498</v>
      </c>
      <c r="B1695" s="3" t="s">
        <v>3719</v>
      </c>
      <c r="C1695" s="3" t="s">
        <v>3719</v>
      </c>
      <c r="D1695" s="3" t="s">
        <v>3720</v>
      </c>
      <c r="E1695" s="3" t="s">
        <v>120</v>
      </c>
      <c r="F1695" s="3">
        <v>23.98</v>
      </c>
      <c r="G1695" s="3" t="s">
        <v>121</v>
      </c>
      <c r="H1695" s="3"/>
      <c r="I1695" s="3" t="s">
        <v>122</v>
      </c>
      <c r="J1695" s="3">
        <v>6</v>
      </c>
      <c r="K1695" s="3">
        <v>6</v>
      </c>
      <c r="L1695" s="3">
        <v>0</v>
      </c>
      <c r="M1695" s="3">
        <v>0</v>
      </c>
      <c r="N1695" s="3">
        <v>6</v>
      </c>
      <c r="O1695" s="3">
        <v>0.09</v>
      </c>
      <c r="P1695" s="3">
        <v>0</v>
      </c>
      <c r="Q1695" s="3">
        <v>0</v>
      </c>
      <c r="R1695" s="3">
        <v>0</v>
      </c>
    </row>
    <row r="1696" spans="1:18">
      <c r="A1696" s="3" t="s">
        <v>4499</v>
      </c>
      <c r="B1696" s="3" t="s">
        <v>3723</v>
      </c>
      <c r="C1696" s="3" t="s">
        <v>3723</v>
      </c>
      <c r="D1696" s="3" t="s">
        <v>3724</v>
      </c>
      <c r="E1696" s="3" t="s">
        <v>120</v>
      </c>
      <c r="F1696" s="3">
        <v>23.98</v>
      </c>
      <c r="G1696" s="3" t="s">
        <v>121</v>
      </c>
      <c r="H1696" s="3"/>
      <c r="I1696" s="3" t="s">
        <v>122</v>
      </c>
      <c r="J1696" s="3">
        <v>6</v>
      </c>
      <c r="K1696" s="3">
        <v>6</v>
      </c>
      <c r="L1696" s="3">
        <v>0</v>
      </c>
      <c r="M1696" s="3">
        <v>0</v>
      </c>
      <c r="N1696" s="3">
        <v>6</v>
      </c>
      <c r="O1696" s="3">
        <v>0.09</v>
      </c>
      <c r="P1696" s="3">
        <v>0</v>
      </c>
      <c r="Q1696" s="3">
        <v>0</v>
      </c>
      <c r="R1696" s="3">
        <v>0</v>
      </c>
    </row>
    <row r="1697" spans="1:18">
      <c r="A1697" s="3" t="s">
        <v>4500</v>
      </c>
      <c r="B1697" s="3" t="s">
        <v>3727</v>
      </c>
      <c r="C1697" s="3" t="s">
        <v>3727</v>
      </c>
      <c r="D1697" s="3"/>
      <c r="E1697" s="3" t="s">
        <v>20</v>
      </c>
      <c r="F1697" s="3"/>
      <c r="G1697" s="3"/>
      <c r="H1697" s="3"/>
      <c r="I1697" s="3"/>
      <c r="J1697" s="3">
        <v>0</v>
      </c>
      <c r="K1697" s="3">
        <v>0</v>
      </c>
      <c r="L1697" s="3">
        <v>0</v>
      </c>
      <c r="M1697" s="3">
        <v>0</v>
      </c>
      <c r="N1697" s="3">
        <v>0</v>
      </c>
      <c r="O1697" s="3"/>
      <c r="P1697" s="3">
        <v>0</v>
      </c>
      <c r="Q1697" s="3">
        <v>0</v>
      </c>
      <c r="R1697" s="3">
        <v>0</v>
      </c>
    </row>
    <row r="1698" spans="1:18">
      <c r="A1698" s="3" t="s">
        <v>4501</v>
      </c>
      <c r="B1698" s="3" t="s">
        <v>3731</v>
      </c>
      <c r="C1698" s="3" t="s">
        <v>3731</v>
      </c>
      <c r="D1698" s="3" t="s">
        <v>3732</v>
      </c>
      <c r="E1698" s="3" t="s">
        <v>120</v>
      </c>
      <c r="F1698" s="3">
        <v>23.98</v>
      </c>
      <c r="G1698" s="3" t="s">
        <v>121</v>
      </c>
      <c r="H1698" s="3"/>
      <c r="I1698" s="3" t="s">
        <v>122</v>
      </c>
      <c r="J1698" s="3">
        <v>5</v>
      </c>
      <c r="K1698" s="3">
        <v>5</v>
      </c>
      <c r="L1698" s="3">
        <v>0</v>
      </c>
      <c r="M1698" s="3">
        <v>0</v>
      </c>
      <c r="N1698" s="3">
        <v>5</v>
      </c>
      <c r="O1698" s="3">
        <v>0.09</v>
      </c>
      <c r="P1698" s="3">
        <v>0</v>
      </c>
      <c r="Q1698" s="3">
        <v>0</v>
      </c>
      <c r="R1698" s="3">
        <v>0</v>
      </c>
    </row>
    <row r="1699" spans="1:18">
      <c r="A1699" s="3" t="s">
        <v>4502</v>
      </c>
      <c r="B1699" s="3" t="s">
        <v>3735</v>
      </c>
      <c r="C1699" s="3" t="s">
        <v>3735</v>
      </c>
      <c r="D1699" s="3" t="s">
        <v>3736</v>
      </c>
      <c r="E1699" s="3" t="s">
        <v>120</v>
      </c>
      <c r="F1699" s="3">
        <v>23.98</v>
      </c>
      <c r="G1699" s="3" t="s">
        <v>121</v>
      </c>
      <c r="H1699" s="3"/>
      <c r="I1699" s="3" t="s">
        <v>122</v>
      </c>
      <c r="J1699" s="3">
        <v>6</v>
      </c>
      <c r="K1699" s="3">
        <v>6</v>
      </c>
      <c r="L1699" s="3">
        <v>0</v>
      </c>
      <c r="M1699" s="3">
        <v>0</v>
      </c>
      <c r="N1699" s="3">
        <v>6</v>
      </c>
      <c r="O1699" s="3">
        <v>0.09</v>
      </c>
      <c r="P1699" s="3">
        <v>0</v>
      </c>
      <c r="Q1699" s="3">
        <v>0</v>
      </c>
      <c r="R1699" s="3">
        <v>0</v>
      </c>
    </row>
    <row r="1700" spans="1:18">
      <c r="A1700" s="3" t="s">
        <v>4503</v>
      </c>
      <c r="B1700" s="3" t="s">
        <v>3739</v>
      </c>
      <c r="C1700" s="3" t="s">
        <v>3739</v>
      </c>
      <c r="D1700" s="3" t="s">
        <v>3740</v>
      </c>
      <c r="E1700" s="3" t="s">
        <v>120</v>
      </c>
      <c r="F1700" s="3">
        <v>23.98</v>
      </c>
      <c r="G1700" s="3" t="s">
        <v>121</v>
      </c>
      <c r="H1700" s="3"/>
      <c r="I1700" s="3" t="s">
        <v>122</v>
      </c>
      <c r="J1700" s="3">
        <v>8</v>
      </c>
      <c r="K1700" s="3">
        <v>8</v>
      </c>
      <c r="L1700" s="3">
        <v>0</v>
      </c>
      <c r="M1700" s="3">
        <v>0</v>
      </c>
      <c r="N1700" s="3">
        <v>8</v>
      </c>
      <c r="O1700" s="3">
        <v>0.09</v>
      </c>
      <c r="P1700" s="3">
        <v>0</v>
      </c>
      <c r="Q1700" s="3">
        <v>0</v>
      </c>
      <c r="R1700" s="3">
        <v>0</v>
      </c>
    </row>
    <row r="1701" spans="1:18">
      <c r="A1701" s="3" t="s">
        <v>4504</v>
      </c>
      <c r="B1701" s="3" t="s">
        <v>3743</v>
      </c>
      <c r="C1701" s="3" t="s">
        <v>3743</v>
      </c>
      <c r="D1701" s="3" t="s">
        <v>3744</v>
      </c>
      <c r="E1701" s="3" t="s">
        <v>120</v>
      </c>
      <c r="F1701" s="3">
        <v>23.98</v>
      </c>
      <c r="G1701" s="3" t="s">
        <v>121</v>
      </c>
      <c r="H1701" s="3"/>
      <c r="I1701" s="3" t="s">
        <v>122</v>
      </c>
      <c r="J1701" s="3">
        <v>4</v>
      </c>
      <c r="K1701" s="3">
        <v>4</v>
      </c>
      <c r="L1701" s="3">
        <v>0</v>
      </c>
      <c r="M1701" s="3">
        <v>0</v>
      </c>
      <c r="N1701" s="3">
        <v>4</v>
      </c>
      <c r="O1701" s="3">
        <v>0.09</v>
      </c>
      <c r="P1701" s="3">
        <v>0</v>
      </c>
      <c r="Q1701" s="3">
        <v>0</v>
      </c>
      <c r="R1701" s="3">
        <v>0</v>
      </c>
    </row>
    <row r="1702" spans="1:18">
      <c r="A1702" s="3" t="s">
        <v>4505</v>
      </c>
      <c r="B1702" s="3" t="s">
        <v>3747</v>
      </c>
      <c r="C1702" s="3" t="s">
        <v>3747</v>
      </c>
      <c r="D1702" s="3" t="s">
        <v>3748</v>
      </c>
      <c r="E1702" s="3" t="s">
        <v>120</v>
      </c>
      <c r="F1702" s="3">
        <v>23.98</v>
      </c>
      <c r="G1702" s="3" t="s">
        <v>121</v>
      </c>
      <c r="H1702" s="3"/>
      <c r="I1702" s="3" t="s">
        <v>122</v>
      </c>
      <c r="J1702" s="3">
        <v>5</v>
      </c>
      <c r="K1702" s="3">
        <v>5</v>
      </c>
      <c r="L1702" s="3">
        <v>0</v>
      </c>
      <c r="M1702" s="3">
        <v>0</v>
      </c>
      <c r="N1702" s="3">
        <v>5</v>
      </c>
      <c r="O1702" s="3">
        <v>0.09</v>
      </c>
      <c r="P1702" s="3">
        <v>0</v>
      </c>
      <c r="Q1702" s="3">
        <v>0</v>
      </c>
      <c r="R1702" s="3">
        <v>0</v>
      </c>
    </row>
    <row r="1703" spans="1:18">
      <c r="A1703" s="3" t="s">
        <v>4506</v>
      </c>
      <c r="B1703" s="3" t="s">
        <v>3751</v>
      </c>
      <c r="C1703" s="3" t="s">
        <v>3751</v>
      </c>
      <c r="D1703" s="3" t="s">
        <v>3752</v>
      </c>
      <c r="E1703" s="3" t="s">
        <v>120</v>
      </c>
      <c r="F1703" s="3">
        <v>23.98</v>
      </c>
      <c r="G1703" s="3" t="s">
        <v>121</v>
      </c>
      <c r="H1703" s="3"/>
      <c r="I1703" s="3" t="s">
        <v>122</v>
      </c>
      <c r="J1703" s="3">
        <v>6</v>
      </c>
      <c r="K1703" s="3">
        <v>6</v>
      </c>
      <c r="L1703" s="3">
        <v>0</v>
      </c>
      <c r="M1703" s="3">
        <v>0</v>
      </c>
      <c r="N1703" s="3">
        <v>6</v>
      </c>
      <c r="O1703" s="3">
        <v>0.09</v>
      </c>
      <c r="P1703" s="3">
        <v>0</v>
      </c>
      <c r="Q1703" s="3">
        <v>0</v>
      </c>
      <c r="R1703" s="3">
        <v>0</v>
      </c>
    </row>
    <row r="1704" spans="1:18">
      <c r="A1704" s="3" t="s">
        <v>4507</v>
      </c>
      <c r="B1704" s="3" t="s">
        <v>3755</v>
      </c>
      <c r="C1704" s="3" t="s">
        <v>3755</v>
      </c>
      <c r="D1704" s="3" t="s">
        <v>3756</v>
      </c>
      <c r="E1704" s="3" t="s">
        <v>120</v>
      </c>
      <c r="F1704" s="3">
        <v>23.98</v>
      </c>
      <c r="G1704" s="3" t="s">
        <v>121</v>
      </c>
      <c r="H1704" s="3"/>
      <c r="I1704" s="3" t="s">
        <v>122</v>
      </c>
      <c r="J1704" s="3">
        <v>9</v>
      </c>
      <c r="K1704" s="3">
        <v>9</v>
      </c>
      <c r="L1704" s="3">
        <v>0</v>
      </c>
      <c r="M1704" s="3">
        <v>0</v>
      </c>
      <c r="N1704" s="3">
        <v>9</v>
      </c>
      <c r="O1704" s="3">
        <v>0.09</v>
      </c>
      <c r="P1704" s="3">
        <v>0</v>
      </c>
      <c r="Q1704" s="3">
        <v>0</v>
      </c>
      <c r="R1704" s="3">
        <v>0</v>
      </c>
    </row>
    <row r="1705" spans="1:18">
      <c r="A1705" s="3" t="s">
        <v>4508</v>
      </c>
      <c r="B1705" s="3" t="s">
        <v>3759</v>
      </c>
      <c r="C1705" s="3" t="s">
        <v>3759</v>
      </c>
      <c r="D1705" s="3" t="s">
        <v>3760</v>
      </c>
      <c r="E1705" s="3" t="s">
        <v>120</v>
      </c>
      <c r="F1705" s="3">
        <v>23.98</v>
      </c>
      <c r="G1705" s="3" t="s">
        <v>121</v>
      </c>
      <c r="H1705" s="3"/>
      <c r="I1705" s="3" t="s">
        <v>122</v>
      </c>
      <c r="J1705" s="3">
        <v>5</v>
      </c>
      <c r="K1705" s="3">
        <v>5</v>
      </c>
      <c r="L1705" s="3">
        <v>0</v>
      </c>
      <c r="M1705" s="3">
        <v>0</v>
      </c>
      <c r="N1705" s="3">
        <v>5</v>
      </c>
      <c r="O1705" s="3">
        <v>0.09</v>
      </c>
      <c r="P1705" s="3">
        <v>0</v>
      </c>
      <c r="Q1705" s="3">
        <v>0</v>
      </c>
      <c r="R1705" s="3">
        <v>0</v>
      </c>
    </row>
    <row r="1706" spans="1:18">
      <c r="A1706" s="3" t="s">
        <v>4509</v>
      </c>
      <c r="B1706" s="3" t="s">
        <v>3763</v>
      </c>
      <c r="C1706" s="3" t="s">
        <v>3763</v>
      </c>
      <c r="D1706" s="3" t="s">
        <v>3764</v>
      </c>
      <c r="E1706" s="3" t="s">
        <v>120</v>
      </c>
      <c r="F1706" s="3">
        <v>23.98</v>
      </c>
      <c r="G1706" s="3" t="s">
        <v>121</v>
      </c>
      <c r="H1706" s="3"/>
      <c r="I1706" s="3" t="s">
        <v>122</v>
      </c>
      <c r="J1706" s="3">
        <v>8</v>
      </c>
      <c r="K1706" s="3">
        <v>8</v>
      </c>
      <c r="L1706" s="3">
        <v>0</v>
      </c>
      <c r="M1706" s="3">
        <v>0</v>
      </c>
      <c r="N1706" s="3">
        <v>8</v>
      </c>
      <c r="O1706" s="3">
        <v>0.09</v>
      </c>
      <c r="P1706" s="3">
        <v>0</v>
      </c>
      <c r="Q1706" s="3">
        <v>0</v>
      </c>
      <c r="R1706" s="3">
        <v>0</v>
      </c>
    </row>
    <row r="1707" spans="1:18">
      <c r="A1707" s="3" t="s">
        <v>4510</v>
      </c>
      <c r="B1707" s="3" t="s">
        <v>3767</v>
      </c>
      <c r="C1707" s="3" t="s">
        <v>3767</v>
      </c>
      <c r="D1707" s="3" t="s">
        <v>3768</v>
      </c>
      <c r="E1707" s="3" t="s">
        <v>120</v>
      </c>
      <c r="F1707" s="3">
        <v>23.98</v>
      </c>
      <c r="G1707" s="3" t="s">
        <v>121</v>
      </c>
      <c r="H1707" s="3"/>
      <c r="I1707" s="3" t="s">
        <v>122</v>
      </c>
      <c r="J1707" s="3">
        <v>7</v>
      </c>
      <c r="K1707" s="3">
        <v>7</v>
      </c>
      <c r="L1707" s="3">
        <v>0</v>
      </c>
      <c r="M1707" s="3">
        <v>0</v>
      </c>
      <c r="N1707" s="3">
        <v>7</v>
      </c>
      <c r="O1707" s="3">
        <v>0.09</v>
      </c>
      <c r="P1707" s="3">
        <v>0</v>
      </c>
      <c r="Q1707" s="3">
        <v>0</v>
      </c>
      <c r="R1707" s="3">
        <v>0</v>
      </c>
    </row>
    <row r="1708" spans="1:18">
      <c r="A1708" s="3" t="s">
        <v>4511</v>
      </c>
      <c r="B1708" s="3" t="s">
        <v>3771</v>
      </c>
      <c r="C1708" s="3" t="s">
        <v>3771</v>
      </c>
      <c r="D1708" s="3" t="s">
        <v>3772</v>
      </c>
      <c r="E1708" s="3" t="s">
        <v>120</v>
      </c>
      <c r="F1708" s="3">
        <v>23.98</v>
      </c>
      <c r="G1708" s="3" t="s">
        <v>121</v>
      </c>
      <c r="H1708" s="3"/>
      <c r="I1708" s="3" t="s">
        <v>122</v>
      </c>
      <c r="J1708" s="3">
        <v>8</v>
      </c>
      <c r="K1708" s="3">
        <v>8</v>
      </c>
      <c r="L1708" s="3">
        <v>0</v>
      </c>
      <c r="M1708" s="3">
        <v>0</v>
      </c>
      <c r="N1708" s="3">
        <v>8</v>
      </c>
      <c r="O1708" s="3">
        <v>0.09</v>
      </c>
      <c r="P1708" s="3">
        <v>0</v>
      </c>
      <c r="Q1708" s="3">
        <v>0</v>
      </c>
      <c r="R1708" s="3">
        <v>0</v>
      </c>
    </row>
    <row r="1709" spans="1:18">
      <c r="A1709" s="3" t="s">
        <v>4512</v>
      </c>
      <c r="B1709" s="3" t="s">
        <v>3775</v>
      </c>
      <c r="C1709" s="3" t="s">
        <v>3775</v>
      </c>
      <c r="D1709" s="3" t="s">
        <v>3776</v>
      </c>
      <c r="E1709" s="3" t="s">
        <v>120</v>
      </c>
      <c r="F1709" s="3">
        <v>23.98</v>
      </c>
      <c r="G1709" s="3" t="s">
        <v>121</v>
      </c>
      <c r="H1709" s="3"/>
      <c r="I1709" s="3" t="s">
        <v>122</v>
      </c>
      <c r="J1709" s="3">
        <v>3</v>
      </c>
      <c r="K1709" s="3">
        <v>3</v>
      </c>
      <c r="L1709" s="3">
        <v>0</v>
      </c>
      <c r="M1709" s="3">
        <v>0</v>
      </c>
      <c r="N1709" s="3">
        <v>3</v>
      </c>
      <c r="O1709" s="3">
        <v>0.09</v>
      </c>
      <c r="P1709" s="3">
        <v>0</v>
      </c>
      <c r="Q1709" s="3">
        <v>0</v>
      </c>
      <c r="R1709" s="3">
        <v>0</v>
      </c>
    </row>
    <row r="1710" spans="1:18">
      <c r="A1710" s="3" t="s">
        <v>4513</v>
      </c>
      <c r="B1710" s="3" t="s">
        <v>3779</v>
      </c>
      <c r="C1710" s="3" t="s">
        <v>3779</v>
      </c>
      <c r="D1710" s="3" t="s">
        <v>3780</v>
      </c>
      <c r="E1710" s="3" t="s">
        <v>120</v>
      </c>
      <c r="F1710" s="3">
        <v>23.98</v>
      </c>
      <c r="G1710" s="3" t="s">
        <v>121</v>
      </c>
      <c r="H1710" s="3"/>
      <c r="I1710" s="3" t="s">
        <v>122</v>
      </c>
      <c r="J1710" s="3">
        <v>8</v>
      </c>
      <c r="K1710" s="3">
        <v>8</v>
      </c>
      <c r="L1710" s="3">
        <v>0</v>
      </c>
      <c r="M1710" s="3">
        <v>0</v>
      </c>
      <c r="N1710" s="3">
        <v>8</v>
      </c>
      <c r="O1710" s="3">
        <v>0.09</v>
      </c>
      <c r="P1710" s="3">
        <v>0</v>
      </c>
      <c r="Q1710" s="3">
        <v>0</v>
      </c>
      <c r="R1710" s="3">
        <v>0</v>
      </c>
    </row>
    <row r="1711" spans="1:18">
      <c r="A1711" s="3" t="s">
        <v>4514</v>
      </c>
      <c r="B1711" s="3" t="s">
        <v>3783</v>
      </c>
      <c r="C1711" s="3" t="s">
        <v>3783</v>
      </c>
      <c r="D1711" s="3" t="s">
        <v>3784</v>
      </c>
      <c r="E1711" s="3" t="s">
        <v>120</v>
      </c>
      <c r="F1711" s="3">
        <v>23.98</v>
      </c>
      <c r="G1711" s="3" t="s">
        <v>121</v>
      </c>
      <c r="H1711" s="3"/>
      <c r="I1711" s="3" t="s">
        <v>122</v>
      </c>
      <c r="J1711" s="3">
        <v>1</v>
      </c>
      <c r="K1711" s="3">
        <v>1</v>
      </c>
      <c r="L1711" s="3">
        <v>0</v>
      </c>
      <c r="M1711" s="3">
        <v>0</v>
      </c>
      <c r="N1711" s="3">
        <v>1</v>
      </c>
      <c r="O1711" s="3">
        <v>0.09</v>
      </c>
      <c r="P1711" s="3">
        <v>0</v>
      </c>
      <c r="Q1711" s="3">
        <v>0</v>
      </c>
      <c r="R1711" s="3">
        <v>0</v>
      </c>
    </row>
    <row r="1712" spans="1:18">
      <c r="A1712" s="3" t="s">
        <v>4515</v>
      </c>
      <c r="B1712" s="3" t="s">
        <v>3787</v>
      </c>
      <c r="C1712" s="3" t="s">
        <v>3787</v>
      </c>
      <c r="D1712" s="3" t="s">
        <v>3788</v>
      </c>
      <c r="E1712" s="3" t="s">
        <v>120</v>
      </c>
      <c r="F1712" s="3">
        <v>23.98</v>
      </c>
      <c r="G1712" s="3" t="s">
        <v>121</v>
      </c>
      <c r="H1712" s="3"/>
      <c r="I1712" s="3" t="s">
        <v>122</v>
      </c>
      <c r="J1712" s="3">
        <v>1</v>
      </c>
      <c r="K1712" s="3">
        <v>1</v>
      </c>
      <c r="L1712" s="3">
        <v>0</v>
      </c>
      <c r="M1712" s="3">
        <v>0</v>
      </c>
      <c r="N1712" s="3">
        <v>1</v>
      </c>
      <c r="O1712" s="3">
        <v>0.09</v>
      </c>
      <c r="P1712" s="3">
        <v>0</v>
      </c>
      <c r="Q1712" s="3">
        <v>0</v>
      </c>
      <c r="R1712" s="3">
        <v>0</v>
      </c>
    </row>
    <row r="1713" spans="1:18">
      <c r="A1713" s="3" t="s">
        <v>4516</v>
      </c>
      <c r="B1713" s="3" t="s">
        <v>3791</v>
      </c>
      <c r="C1713" s="3" t="s">
        <v>3791</v>
      </c>
      <c r="D1713" s="3" t="s">
        <v>3792</v>
      </c>
      <c r="E1713" s="3" t="s">
        <v>120</v>
      </c>
      <c r="F1713" s="3">
        <v>23.98</v>
      </c>
      <c r="G1713" s="3" t="s">
        <v>121</v>
      </c>
      <c r="H1713" s="3"/>
      <c r="I1713" s="3" t="s">
        <v>122</v>
      </c>
      <c r="J1713" s="3">
        <v>0</v>
      </c>
      <c r="K1713" s="3">
        <v>0</v>
      </c>
      <c r="L1713" s="3">
        <v>0</v>
      </c>
      <c r="M1713" s="3">
        <v>0</v>
      </c>
      <c r="N1713" s="3">
        <v>0</v>
      </c>
      <c r="O1713" s="3">
        <v>0.09</v>
      </c>
      <c r="P1713" s="3">
        <v>0</v>
      </c>
      <c r="Q1713" s="3">
        <v>0</v>
      </c>
      <c r="R1713" s="3">
        <v>0</v>
      </c>
    </row>
    <row r="1714" spans="1:18">
      <c r="A1714" s="3" t="s">
        <v>4517</v>
      </c>
      <c r="B1714" s="3" t="s">
        <v>3795</v>
      </c>
      <c r="C1714" s="3" t="s">
        <v>3795</v>
      </c>
      <c r="D1714" s="3"/>
      <c r="E1714" s="3" t="s">
        <v>20</v>
      </c>
      <c r="F1714" s="3"/>
      <c r="G1714" s="3"/>
      <c r="H1714" s="3"/>
      <c r="I1714" s="3"/>
      <c r="J1714" s="3">
        <v>0</v>
      </c>
      <c r="K1714" s="3">
        <v>0</v>
      </c>
      <c r="L1714" s="3">
        <v>0</v>
      </c>
      <c r="M1714" s="3">
        <v>0</v>
      </c>
      <c r="N1714" s="3">
        <v>0</v>
      </c>
      <c r="O1714" s="3"/>
      <c r="P1714" s="3">
        <v>0</v>
      </c>
      <c r="Q1714" s="3">
        <v>0</v>
      </c>
      <c r="R1714" s="3">
        <v>0</v>
      </c>
    </row>
    <row r="1715" spans="1:18">
      <c r="A1715" s="3" t="s">
        <v>4518</v>
      </c>
      <c r="B1715" s="3" t="s">
        <v>3811</v>
      </c>
      <c r="C1715" s="3" t="s">
        <v>3811</v>
      </c>
      <c r="D1715" s="3" t="s">
        <v>3812</v>
      </c>
      <c r="E1715" s="3" t="s">
        <v>120</v>
      </c>
      <c r="F1715" s="3">
        <v>23.98</v>
      </c>
      <c r="G1715" s="3" t="s">
        <v>121</v>
      </c>
      <c r="H1715" s="3"/>
      <c r="I1715" s="3" t="s">
        <v>122</v>
      </c>
      <c r="J1715" s="3">
        <v>6</v>
      </c>
      <c r="K1715" s="3">
        <v>6</v>
      </c>
      <c r="L1715" s="3">
        <v>0</v>
      </c>
      <c r="M1715" s="3">
        <v>0</v>
      </c>
      <c r="N1715" s="3">
        <v>6</v>
      </c>
      <c r="O1715" s="3">
        <v>0.09</v>
      </c>
      <c r="P1715" s="3">
        <v>0</v>
      </c>
      <c r="Q1715" s="3">
        <v>0</v>
      </c>
      <c r="R1715" s="3">
        <v>0</v>
      </c>
    </row>
    <row r="1716" spans="1:18">
      <c r="A1716" s="3" t="s">
        <v>4519</v>
      </c>
      <c r="B1716" s="3" t="s">
        <v>3815</v>
      </c>
      <c r="C1716" s="3" t="s">
        <v>3815</v>
      </c>
      <c r="D1716" s="3"/>
      <c r="E1716" s="3" t="s">
        <v>20</v>
      </c>
      <c r="F1716" s="3"/>
      <c r="G1716" s="3"/>
      <c r="H1716" s="3"/>
      <c r="I1716" s="3"/>
      <c r="J1716" s="3">
        <v>0</v>
      </c>
      <c r="K1716" s="3">
        <v>0</v>
      </c>
      <c r="L1716" s="3">
        <v>0</v>
      </c>
      <c r="M1716" s="3">
        <v>0</v>
      </c>
      <c r="N1716" s="3">
        <v>0</v>
      </c>
      <c r="O1716" s="3"/>
      <c r="P1716" s="3">
        <v>0</v>
      </c>
      <c r="Q1716" s="3">
        <v>0</v>
      </c>
      <c r="R1716" s="3">
        <v>0</v>
      </c>
    </row>
    <row r="1717" spans="1:18">
      <c r="A1717" s="3" t="s">
        <v>4520</v>
      </c>
      <c r="B1717" s="3" t="s">
        <v>3819</v>
      </c>
      <c r="C1717" s="3" t="s">
        <v>3819</v>
      </c>
      <c r="D1717" s="3" t="s">
        <v>3820</v>
      </c>
      <c r="E1717" s="3" t="s">
        <v>120</v>
      </c>
      <c r="F1717" s="3">
        <v>23.98</v>
      </c>
      <c r="G1717" s="3" t="s">
        <v>121</v>
      </c>
      <c r="H1717" s="3"/>
      <c r="I1717" s="3" t="s">
        <v>122</v>
      </c>
      <c r="J1717" s="3">
        <v>3</v>
      </c>
      <c r="K1717" s="3">
        <v>3</v>
      </c>
      <c r="L1717" s="3">
        <v>0</v>
      </c>
      <c r="M1717" s="3">
        <v>0</v>
      </c>
      <c r="N1717" s="3">
        <v>3</v>
      </c>
      <c r="O1717" s="3">
        <v>0.09</v>
      </c>
      <c r="P1717" s="3">
        <v>0</v>
      </c>
      <c r="Q1717" s="3">
        <v>0</v>
      </c>
      <c r="R1717" s="3">
        <v>0</v>
      </c>
    </row>
    <row r="1718" spans="1:18">
      <c r="A1718" s="3" t="s">
        <v>4521</v>
      </c>
      <c r="B1718" s="3" t="s">
        <v>3827</v>
      </c>
      <c r="C1718" s="3" t="s">
        <v>3827</v>
      </c>
      <c r="D1718" s="3" t="s">
        <v>3828</v>
      </c>
      <c r="E1718" s="3" t="s">
        <v>120</v>
      </c>
      <c r="F1718" s="3">
        <v>23.98</v>
      </c>
      <c r="G1718" s="3" t="s">
        <v>121</v>
      </c>
      <c r="H1718" s="3"/>
      <c r="I1718" s="3" t="s">
        <v>122</v>
      </c>
      <c r="J1718" s="3">
        <v>1</v>
      </c>
      <c r="K1718" s="3">
        <v>1</v>
      </c>
      <c r="L1718" s="3">
        <v>0</v>
      </c>
      <c r="M1718" s="3">
        <v>0</v>
      </c>
      <c r="N1718" s="3">
        <v>1</v>
      </c>
      <c r="O1718" s="3">
        <v>0.09</v>
      </c>
      <c r="P1718" s="3">
        <v>0</v>
      </c>
      <c r="Q1718" s="3">
        <v>0</v>
      </c>
      <c r="R1718" s="3">
        <v>0</v>
      </c>
    </row>
    <row r="1719" spans="1:18">
      <c r="A1719" s="3" t="s">
        <v>4522</v>
      </c>
      <c r="B1719" s="3" t="s">
        <v>4523</v>
      </c>
      <c r="C1719" s="3" t="s">
        <v>4523</v>
      </c>
      <c r="D1719" s="3" t="s">
        <v>4524</v>
      </c>
      <c r="E1719" s="3" t="s">
        <v>120</v>
      </c>
      <c r="F1719" s="3">
        <v>23.98</v>
      </c>
      <c r="G1719" s="3" t="s">
        <v>121</v>
      </c>
      <c r="H1719" s="3"/>
      <c r="I1719" s="3" t="s">
        <v>122</v>
      </c>
      <c r="J1719" s="3">
        <v>9</v>
      </c>
      <c r="K1719" s="3">
        <v>9</v>
      </c>
      <c r="L1719" s="3">
        <v>0</v>
      </c>
      <c r="M1719" s="3">
        <v>0</v>
      </c>
      <c r="N1719" s="3">
        <v>9</v>
      </c>
      <c r="O1719" s="3">
        <v>0.12</v>
      </c>
      <c r="P1719" s="3">
        <v>0</v>
      </c>
      <c r="Q1719" s="3">
        <v>0</v>
      </c>
      <c r="R1719" s="3">
        <v>0</v>
      </c>
    </row>
    <row r="1720" spans="1:18">
      <c r="A1720" s="3" t="s">
        <v>4525</v>
      </c>
      <c r="B1720" s="3" t="s">
        <v>4526</v>
      </c>
      <c r="C1720" s="3" t="s">
        <v>4526</v>
      </c>
      <c r="D1720" s="3" t="s">
        <v>4527</v>
      </c>
      <c r="E1720" s="3" t="s">
        <v>120</v>
      </c>
      <c r="F1720" s="3">
        <v>22.98</v>
      </c>
      <c r="G1720" s="3" t="s">
        <v>121</v>
      </c>
      <c r="H1720" s="3"/>
      <c r="I1720" s="3" t="s">
        <v>122</v>
      </c>
      <c r="J1720" s="3">
        <v>2</v>
      </c>
      <c r="K1720" s="3">
        <v>2</v>
      </c>
      <c r="L1720" s="3">
        <v>0</v>
      </c>
      <c r="M1720" s="3">
        <v>0</v>
      </c>
      <c r="N1720" s="3">
        <v>2</v>
      </c>
      <c r="O1720" s="3">
        <v>0.08</v>
      </c>
      <c r="P1720" s="3">
        <v>0</v>
      </c>
      <c r="Q1720" s="3">
        <v>0</v>
      </c>
      <c r="R1720" s="3">
        <v>0</v>
      </c>
    </row>
    <row r="1721" spans="1:18">
      <c r="A1721" s="3" t="s">
        <v>4528</v>
      </c>
      <c r="B1721" s="3" t="s">
        <v>4529</v>
      </c>
      <c r="C1721" s="3" t="s">
        <v>4529</v>
      </c>
      <c r="D1721" s="3" t="s">
        <v>4530</v>
      </c>
      <c r="E1721" s="3" t="s">
        <v>120</v>
      </c>
      <c r="F1721" s="3">
        <v>22.98</v>
      </c>
      <c r="G1721" s="3" t="s">
        <v>121</v>
      </c>
      <c r="H1721" s="3"/>
      <c r="I1721" s="3" t="s">
        <v>122</v>
      </c>
      <c r="J1721" s="3">
        <v>14</v>
      </c>
      <c r="K1721" s="3">
        <v>14</v>
      </c>
      <c r="L1721" s="3">
        <v>0</v>
      </c>
      <c r="M1721" s="3">
        <v>0</v>
      </c>
      <c r="N1721" s="3">
        <v>14</v>
      </c>
      <c r="O1721" s="3">
        <v>0.08</v>
      </c>
      <c r="P1721" s="3">
        <v>0</v>
      </c>
      <c r="Q1721" s="3">
        <v>0</v>
      </c>
      <c r="R1721" s="3">
        <v>0</v>
      </c>
    </row>
    <row r="1722" spans="1:18">
      <c r="A1722" s="3" t="s">
        <v>4531</v>
      </c>
      <c r="B1722" s="3" t="s">
        <v>4532</v>
      </c>
      <c r="C1722" s="3" t="s">
        <v>4532</v>
      </c>
      <c r="D1722" s="3" t="s">
        <v>3315</v>
      </c>
      <c r="E1722" s="3" t="s">
        <v>120</v>
      </c>
      <c r="F1722" s="3">
        <v>22.98</v>
      </c>
      <c r="G1722" s="3" t="s">
        <v>121</v>
      </c>
      <c r="H1722" s="3"/>
      <c r="I1722" s="3" t="s">
        <v>122</v>
      </c>
      <c r="J1722" s="3">
        <v>0</v>
      </c>
      <c r="K1722" s="3">
        <v>0</v>
      </c>
      <c r="L1722" s="3">
        <v>0</v>
      </c>
      <c r="M1722" s="3">
        <v>0</v>
      </c>
      <c r="N1722" s="3">
        <v>0</v>
      </c>
      <c r="O1722" s="3">
        <v>0.08</v>
      </c>
      <c r="P1722" s="3">
        <v>0</v>
      </c>
      <c r="Q1722" s="3">
        <v>0</v>
      </c>
      <c r="R1722" s="3">
        <v>0</v>
      </c>
    </row>
    <row r="1723" spans="1:18">
      <c r="A1723" s="3" t="s">
        <v>4533</v>
      </c>
      <c r="B1723" s="3" t="s">
        <v>4534</v>
      </c>
      <c r="C1723" s="3" t="s">
        <v>4534</v>
      </c>
      <c r="D1723" s="3" t="s">
        <v>4535</v>
      </c>
      <c r="E1723" s="3" t="s">
        <v>120</v>
      </c>
      <c r="F1723" s="3">
        <v>22.98</v>
      </c>
      <c r="G1723" s="3" t="s">
        <v>121</v>
      </c>
      <c r="H1723" s="3"/>
      <c r="I1723" s="3" t="s">
        <v>122</v>
      </c>
      <c r="J1723" s="3">
        <v>17</v>
      </c>
      <c r="K1723" s="3">
        <v>17</v>
      </c>
      <c r="L1723" s="3">
        <v>0</v>
      </c>
      <c r="M1723" s="3">
        <v>0</v>
      </c>
      <c r="N1723" s="3">
        <v>17</v>
      </c>
      <c r="O1723" s="3">
        <v>0.08</v>
      </c>
      <c r="P1723" s="3">
        <v>0</v>
      </c>
      <c r="Q1723" s="3">
        <v>0</v>
      </c>
      <c r="R1723" s="3">
        <v>0</v>
      </c>
    </row>
    <row r="1724" spans="1:18">
      <c r="A1724" s="3" t="s">
        <v>4536</v>
      </c>
      <c r="B1724" s="3" t="s">
        <v>4537</v>
      </c>
      <c r="C1724" s="3" t="s">
        <v>4537</v>
      </c>
      <c r="D1724" s="3" t="s">
        <v>4538</v>
      </c>
      <c r="E1724" s="3" t="s">
        <v>120</v>
      </c>
      <c r="F1724" s="3">
        <v>22.98</v>
      </c>
      <c r="G1724" s="3" t="s">
        <v>121</v>
      </c>
      <c r="H1724" s="3"/>
      <c r="I1724" s="3" t="s">
        <v>122</v>
      </c>
      <c r="J1724" s="3">
        <v>12</v>
      </c>
      <c r="K1724" s="3">
        <v>12</v>
      </c>
      <c r="L1724" s="3">
        <v>0</v>
      </c>
      <c r="M1724" s="3">
        <v>0</v>
      </c>
      <c r="N1724" s="3">
        <v>12</v>
      </c>
      <c r="O1724" s="3">
        <v>0.08</v>
      </c>
      <c r="P1724" s="3">
        <v>0</v>
      </c>
      <c r="Q1724" s="3">
        <v>0</v>
      </c>
      <c r="R1724" s="3">
        <v>0</v>
      </c>
    </row>
    <row r="1725" spans="1:18">
      <c r="A1725" s="3" t="s">
        <v>4539</v>
      </c>
      <c r="B1725" s="3" t="s">
        <v>3863</v>
      </c>
      <c r="C1725" s="3" t="s">
        <v>3863</v>
      </c>
      <c r="D1725" s="3" t="s">
        <v>3864</v>
      </c>
      <c r="E1725" s="3" t="s">
        <v>120</v>
      </c>
      <c r="F1725" s="3">
        <v>26.98</v>
      </c>
      <c r="G1725" s="3" t="s">
        <v>121</v>
      </c>
      <c r="H1725" s="3"/>
      <c r="I1725" s="3" t="s">
        <v>122</v>
      </c>
      <c r="J1725" s="3">
        <v>8</v>
      </c>
      <c r="K1725" s="3">
        <v>6</v>
      </c>
      <c r="L1725" s="3">
        <v>0</v>
      </c>
      <c r="M1725" s="3">
        <v>2</v>
      </c>
      <c r="N1725" s="3">
        <v>8</v>
      </c>
      <c r="O1725" s="3">
        <v>0.13</v>
      </c>
      <c r="P1725" s="3">
        <v>0</v>
      </c>
      <c r="Q1725" s="3">
        <v>0</v>
      </c>
      <c r="R1725" s="3">
        <v>0</v>
      </c>
    </row>
    <row r="1726" spans="1:18">
      <c r="A1726" s="3" t="s">
        <v>4540</v>
      </c>
      <c r="B1726" s="3" t="s">
        <v>3867</v>
      </c>
      <c r="C1726" s="3" t="s">
        <v>3867</v>
      </c>
      <c r="D1726" s="3" t="s">
        <v>3868</v>
      </c>
      <c r="E1726" s="3" t="s">
        <v>120</v>
      </c>
      <c r="F1726" s="3">
        <v>26.98</v>
      </c>
      <c r="G1726" s="3" t="s">
        <v>121</v>
      </c>
      <c r="H1726" s="3"/>
      <c r="I1726" s="3" t="s">
        <v>122</v>
      </c>
      <c r="J1726" s="3">
        <v>15</v>
      </c>
      <c r="K1726" s="3">
        <v>15</v>
      </c>
      <c r="L1726" s="3">
        <v>0</v>
      </c>
      <c r="M1726" s="3">
        <v>0</v>
      </c>
      <c r="N1726" s="3">
        <v>15</v>
      </c>
      <c r="O1726" s="3">
        <v>0.13</v>
      </c>
      <c r="P1726" s="3">
        <v>0</v>
      </c>
      <c r="Q1726" s="3">
        <v>0</v>
      </c>
      <c r="R1726" s="3">
        <v>0</v>
      </c>
    </row>
    <row r="1727" spans="1:18">
      <c r="A1727" s="3" t="s">
        <v>4541</v>
      </c>
      <c r="B1727" s="3" t="s">
        <v>3871</v>
      </c>
      <c r="C1727" s="3" t="s">
        <v>3871</v>
      </c>
      <c r="D1727" s="3" t="s">
        <v>3872</v>
      </c>
      <c r="E1727" s="3" t="s">
        <v>120</v>
      </c>
      <c r="F1727" s="3">
        <v>26.98</v>
      </c>
      <c r="G1727" s="3" t="s">
        <v>121</v>
      </c>
      <c r="H1727" s="3"/>
      <c r="I1727" s="3" t="s">
        <v>122</v>
      </c>
      <c r="J1727" s="3">
        <v>5</v>
      </c>
      <c r="K1727" s="3">
        <v>5</v>
      </c>
      <c r="L1727" s="3">
        <v>0</v>
      </c>
      <c r="M1727" s="3">
        <v>0</v>
      </c>
      <c r="N1727" s="3">
        <v>5</v>
      </c>
      <c r="O1727" s="3">
        <v>0.13</v>
      </c>
      <c r="P1727" s="3">
        <v>0</v>
      </c>
      <c r="Q1727" s="3">
        <v>0</v>
      </c>
      <c r="R1727" s="3">
        <v>0</v>
      </c>
    </row>
    <row r="1728" spans="1:18">
      <c r="A1728" s="3" t="s">
        <v>4542</v>
      </c>
      <c r="B1728" s="3" t="s">
        <v>3875</v>
      </c>
      <c r="C1728" s="3" t="s">
        <v>3875</v>
      </c>
      <c r="D1728" s="3" t="s">
        <v>3876</v>
      </c>
      <c r="E1728" s="3" t="s">
        <v>120</v>
      </c>
      <c r="F1728" s="3">
        <v>26.98</v>
      </c>
      <c r="G1728" s="3" t="s">
        <v>121</v>
      </c>
      <c r="H1728" s="3"/>
      <c r="I1728" s="3" t="s">
        <v>122</v>
      </c>
      <c r="J1728" s="3">
        <v>12</v>
      </c>
      <c r="K1728" s="3">
        <v>12</v>
      </c>
      <c r="L1728" s="3">
        <v>0</v>
      </c>
      <c r="M1728" s="3">
        <v>0</v>
      </c>
      <c r="N1728" s="3">
        <v>12</v>
      </c>
      <c r="O1728" s="3">
        <v>0.13</v>
      </c>
      <c r="P1728" s="3">
        <v>0</v>
      </c>
      <c r="Q1728" s="3">
        <v>0</v>
      </c>
      <c r="R1728" s="3">
        <v>0</v>
      </c>
    </row>
    <row r="1729" spans="1:18">
      <c r="A1729" s="3" t="s">
        <v>4543</v>
      </c>
      <c r="B1729" s="3" t="s">
        <v>3879</v>
      </c>
      <c r="C1729" s="3" t="s">
        <v>3879</v>
      </c>
      <c r="D1729" s="3" t="s">
        <v>3880</v>
      </c>
      <c r="E1729" s="3" t="s">
        <v>120</v>
      </c>
      <c r="F1729" s="3">
        <v>26.98</v>
      </c>
      <c r="G1729" s="3" t="s">
        <v>121</v>
      </c>
      <c r="H1729" s="3"/>
      <c r="I1729" s="3" t="s">
        <v>122</v>
      </c>
      <c r="J1729" s="3">
        <v>7</v>
      </c>
      <c r="K1729" s="3">
        <v>7</v>
      </c>
      <c r="L1729" s="3">
        <v>0</v>
      </c>
      <c r="M1729" s="3">
        <v>0</v>
      </c>
      <c r="N1729" s="3">
        <v>7</v>
      </c>
      <c r="O1729" s="3">
        <v>0.13</v>
      </c>
      <c r="P1729" s="3">
        <v>0</v>
      </c>
      <c r="Q1729" s="3">
        <v>0</v>
      </c>
      <c r="R1729" s="3">
        <v>0</v>
      </c>
    </row>
    <row r="1730" spans="1:18">
      <c r="A1730" s="3" t="s">
        <v>4544</v>
      </c>
      <c r="B1730" s="3" t="s">
        <v>3883</v>
      </c>
      <c r="C1730" s="3" t="s">
        <v>3883</v>
      </c>
      <c r="D1730" s="3" t="s">
        <v>3884</v>
      </c>
      <c r="E1730" s="3" t="s">
        <v>120</v>
      </c>
      <c r="F1730" s="3">
        <v>26.98</v>
      </c>
      <c r="G1730" s="3" t="s">
        <v>121</v>
      </c>
      <c r="H1730" s="3"/>
      <c r="I1730" s="3" t="s">
        <v>122</v>
      </c>
      <c r="J1730" s="3">
        <v>5</v>
      </c>
      <c r="K1730" s="3">
        <v>4</v>
      </c>
      <c r="L1730" s="3">
        <v>0</v>
      </c>
      <c r="M1730" s="3">
        <v>1</v>
      </c>
      <c r="N1730" s="3">
        <v>5</v>
      </c>
      <c r="O1730" s="3">
        <v>0.13</v>
      </c>
      <c r="P1730" s="3">
        <v>0</v>
      </c>
      <c r="Q1730" s="3">
        <v>0</v>
      </c>
      <c r="R1730" s="3">
        <v>0</v>
      </c>
    </row>
    <row r="1731" spans="1:18">
      <c r="A1731" s="3" t="s">
        <v>4545</v>
      </c>
      <c r="B1731" s="3" t="s">
        <v>3887</v>
      </c>
      <c r="C1731" s="3" t="s">
        <v>3887</v>
      </c>
      <c r="D1731" s="3" t="s">
        <v>3888</v>
      </c>
      <c r="E1731" s="3" t="s">
        <v>120</v>
      </c>
      <c r="F1731" s="3">
        <v>26.98</v>
      </c>
      <c r="G1731" s="3" t="s">
        <v>121</v>
      </c>
      <c r="H1731" s="3"/>
      <c r="I1731" s="3" t="s">
        <v>122</v>
      </c>
      <c r="J1731" s="3">
        <v>7</v>
      </c>
      <c r="K1731" s="3">
        <v>6</v>
      </c>
      <c r="L1731" s="3">
        <v>0</v>
      </c>
      <c r="M1731" s="3">
        <v>1</v>
      </c>
      <c r="N1731" s="3">
        <v>7</v>
      </c>
      <c r="O1731" s="3">
        <v>0.13</v>
      </c>
      <c r="P1731" s="3">
        <v>0</v>
      </c>
      <c r="Q1731" s="3">
        <v>0</v>
      </c>
      <c r="R1731" s="3">
        <v>0</v>
      </c>
    </row>
    <row r="1732" spans="1:18">
      <c r="A1732" s="3" t="s">
        <v>4546</v>
      </c>
      <c r="B1732" s="3" t="s">
        <v>3891</v>
      </c>
      <c r="C1732" s="3" t="s">
        <v>3891</v>
      </c>
      <c r="D1732" s="3" t="s">
        <v>3892</v>
      </c>
      <c r="E1732" s="3" t="s">
        <v>120</v>
      </c>
      <c r="F1732" s="3">
        <v>26.98</v>
      </c>
      <c r="G1732" s="3" t="s">
        <v>121</v>
      </c>
      <c r="H1732" s="3"/>
      <c r="I1732" s="3" t="s">
        <v>122</v>
      </c>
      <c r="J1732" s="3">
        <v>19</v>
      </c>
      <c r="K1732" s="3">
        <v>18</v>
      </c>
      <c r="L1732" s="3">
        <v>0</v>
      </c>
      <c r="M1732" s="3">
        <v>1</v>
      </c>
      <c r="N1732" s="3">
        <v>19</v>
      </c>
      <c r="O1732" s="3">
        <v>0.13</v>
      </c>
      <c r="P1732" s="3">
        <v>0</v>
      </c>
      <c r="Q1732" s="3">
        <v>0</v>
      </c>
      <c r="R1732" s="3">
        <v>0</v>
      </c>
    </row>
    <row r="1733" spans="1:18">
      <c r="A1733" s="3" t="s">
        <v>4547</v>
      </c>
      <c r="B1733" s="3" t="s">
        <v>3895</v>
      </c>
      <c r="C1733" s="3" t="s">
        <v>3895</v>
      </c>
      <c r="D1733" s="3"/>
      <c r="E1733" s="3" t="s">
        <v>20</v>
      </c>
      <c r="F1733" s="3"/>
      <c r="G1733" s="3"/>
      <c r="H1733" s="3"/>
      <c r="I1733" s="3"/>
      <c r="J1733" s="3">
        <v>1</v>
      </c>
      <c r="K1733" s="3">
        <v>1</v>
      </c>
      <c r="L1733" s="3">
        <v>0</v>
      </c>
      <c r="M1733" s="3">
        <v>0</v>
      </c>
      <c r="N1733" s="3">
        <v>1</v>
      </c>
      <c r="O1733" s="3"/>
      <c r="P1733" s="3">
        <v>0</v>
      </c>
      <c r="Q1733" s="3">
        <v>0</v>
      </c>
      <c r="R1733" s="3">
        <v>0</v>
      </c>
    </row>
    <row r="1734" spans="1:18">
      <c r="A1734" s="3" t="s">
        <v>4548</v>
      </c>
      <c r="B1734" s="3" t="s">
        <v>3903</v>
      </c>
      <c r="C1734" s="3" t="s">
        <v>3903</v>
      </c>
      <c r="D1734" s="3" t="s">
        <v>3904</v>
      </c>
      <c r="E1734" s="3" t="s">
        <v>120</v>
      </c>
      <c r="F1734" s="3">
        <v>26.98</v>
      </c>
      <c r="G1734" s="3" t="s">
        <v>121</v>
      </c>
      <c r="H1734" s="3"/>
      <c r="I1734" s="3" t="s">
        <v>122</v>
      </c>
      <c r="J1734" s="3">
        <v>3</v>
      </c>
      <c r="K1734" s="3">
        <v>3</v>
      </c>
      <c r="L1734" s="3">
        <v>0</v>
      </c>
      <c r="M1734" s="3">
        <v>0</v>
      </c>
      <c r="N1734" s="3">
        <v>3</v>
      </c>
      <c r="O1734" s="3">
        <v>0.13</v>
      </c>
      <c r="P1734" s="3">
        <v>0</v>
      </c>
      <c r="Q1734" s="3">
        <v>0</v>
      </c>
      <c r="R1734" s="3">
        <v>0</v>
      </c>
    </row>
    <row r="1735" spans="1:18">
      <c r="A1735" s="3" t="s">
        <v>4549</v>
      </c>
      <c r="B1735" s="3" t="s">
        <v>3919</v>
      </c>
      <c r="C1735" s="3" t="s">
        <v>3919</v>
      </c>
      <c r="D1735" s="3" t="s">
        <v>3920</v>
      </c>
      <c r="E1735" s="3" t="s">
        <v>120</v>
      </c>
      <c r="F1735" s="3">
        <v>26.98</v>
      </c>
      <c r="G1735" s="3" t="s">
        <v>121</v>
      </c>
      <c r="H1735" s="3"/>
      <c r="I1735" s="3" t="s">
        <v>122</v>
      </c>
      <c r="J1735" s="3">
        <v>4</v>
      </c>
      <c r="K1735" s="3">
        <v>4</v>
      </c>
      <c r="L1735" s="3">
        <v>0</v>
      </c>
      <c r="M1735" s="3">
        <v>0</v>
      </c>
      <c r="N1735" s="3">
        <v>4</v>
      </c>
      <c r="O1735" s="3">
        <v>0.13</v>
      </c>
      <c r="P1735" s="3">
        <v>0</v>
      </c>
      <c r="Q1735" s="3">
        <v>0</v>
      </c>
      <c r="R1735" s="3">
        <v>0</v>
      </c>
    </row>
    <row r="1736" spans="1:18">
      <c r="A1736" s="3" t="s">
        <v>4550</v>
      </c>
      <c r="B1736" s="3" t="s">
        <v>3923</v>
      </c>
      <c r="C1736" s="3" t="s">
        <v>3923</v>
      </c>
      <c r="D1736" s="3" t="s">
        <v>3924</v>
      </c>
      <c r="E1736" s="3" t="s">
        <v>120</v>
      </c>
      <c r="F1736" s="3">
        <v>26.98</v>
      </c>
      <c r="G1736" s="3" t="s">
        <v>121</v>
      </c>
      <c r="H1736" s="3"/>
      <c r="I1736" s="3" t="s">
        <v>122</v>
      </c>
      <c r="J1736" s="3">
        <v>3</v>
      </c>
      <c r="K1736" s="3">
        <v>3</v>
      </c>
      <c r="L1736" s="3">
        <v>0</v>
      </c>
      <c r="M1736" s="3">
        <v>0</v>
      </c>
      <c r="N1736" s="3">
        <v>3</v>
      </c>
      <c r="O1736" s="3">
        <v>0.13</v>
      </c>
      <c r="P1736" s="3">
        <v>0</v>
      </c>
      <c r="Q1736" s="3">
        <v>0</v>
      </c>
      <c r="R1736" s="3">
        <v>0</v>
      </c>
    </row>
    <row r="1737" spans="1:18">
      <c r="A1737" s="3" t="s">
        <v>4551</v>
      </c>
      <c r="B1737" s="3" t="s">
        <v>3927</v>
      </c>
      <c r="C1737" s="3" t="s">
        <v>3927</v>
      </c>
      <c r="D1737" s="3" t="s">
        <v>3928</v>
      </c>
      <c r="E1737" s="3" t="s">
        <v>120</v>
      </c>
      <c r="F1737" s="3">
        <v>26.98</v>
      </c>
      <c r="G1737" s="3" t="s">
        <v>121</v>
      </c>
      <c r="H1737" s="3"/>
      <c r="I1737" s="3" t="s">
        <v>122</v>
      </c>
      <c r="J1737" s="3">
        <v>0</v>
      </c>
      <c r="K1737" s="3">
        <v>0</v>
      </c>
      <c r="L1737" s="3">
        <v>0</v>
      </c>
      <c r="M1737" s="3">
        <v>0</v>
      </c>
      <c r="N1737" s="3">
        <v>0</v>
      </c>
      <c r="O1737" s="3">
        <v>0.13</v>
      </c>
      <c r="P1737" s="3">
        <v>0</v>
      </c>
      <c r="Q1737" s="3">
        <v>0</v>
      </c>
      <c r="R1737" s="3">
        <v>0</v>
      </c>
    </row>
    <row r="1738" spans="1:18">
      <c r="A1738" s="3" t="s">
        <v>4552</v>
      </c>
      <c r="B1738" s="3" t="s">
        <v>3931</v>
      </c>
      <c r="C1738" s="3" t="s">
        <v>3931</v>
      </c>
      <c r="D1738" s="3" t="s">
        <v>3932</v>
      </c>
      <c r="E1738" s="3" t="s">
        <v>120</v>
      </c>
      <c r="F1738" s="3">
        <v>26.98</v>
      </c>
      <c r="G1738" s="3" t="s">
        <v>121</v>
      </c>
      <c r="H1738" s="3"/>
      <c r="I1738" s="3" t="s">
        <v>122</v>
      </c>
      <c r="J1738" s="3">
        <v>0</v>
      </c>
      <c r="K1738" s="3">
        <v>0</v>
      </c>
      <c r="L1738" s="3">
        <v>0</v>
      </c>
      <c r="M1738" s="3">
        <v>0</v>
      </c>
      <c r="N1738" s="3">
        <v>0</v>
      </c>
      <c r="O1738" s="3">
        <v>0.13</v>
      </c>
      <c r="P1738" s="3">
        <v>0</v>
      </c>
      <c r="Q1738" s="3">
        <v>0</v>
      </c>
      <c r="R1738" s="3">
        <v>0</v>
      </c>
    </row>
    <row r="1739" spans="1:18">
      <c r="A1739" s="3" t="s">
        <v>4553</v>
      </c>
      <c r="B1739" s="3" t="s">
        <v>3935</v>
      </c>
      <c r="C1739" s="3" t="s">
        <v>3935</v>
      </c>
      <c r="D1739" s="3" t="s">
        <v>3936</v>
      </c>
      <c r="E1739" s="3" t="s">
        <v>120</v>
      </c>
      <c r="F1739" s="3">
        <v>26.98</v>
      </c>
      <c r="G1739" s="3" t="s">
        <v>121</v>
      </c>
      <c r="H1739" s="3"/>
      <c r="I1739" s="3" t="s">
        <v>122</v>
      </c>
      <c r="J1739" s="3">
        <v>5</v>
      </c>
      <c r="K1739" s="3">
        <v>5</v>
      </c>
      <c r="L1739" s="3">
        <v>0</v>
      </c>
      <c r="M1739" s="3">
        <v>0</v>
      </c>
      <c r="N1739" s="3">
        <v>5</v>
      </c>
      <c r="O1739" s="3">
        <v>0.13</v>
      </c>
      <c r="P1739" s="3">
        <v>0</v>
      </c>
      <c r="Q1739" s="3">
        <v>0</v>
      </c>
      <c r="R1739" s="3">
        <v>0</v>
      </c>
    </row>
    <row r="1740" spans="1:18">
      <c r="A1740" s="3" t="s">
        <v>4554</v>
      </c>
      <c r="B1740" s="3" t="s">
        <v>3939</v>
      </c>
      <c r="C1740" s="3" t="s">
        <v>3939</v>
      </c>
      <c r="D1740" s="3" t="s">
        <v>3940</v>
      </c>
      <c r="E1740" s="3" t="s">
        <v>120</v>
      </c>
      <c r="F1740" s="3">
        <v>26.98</v>
      </c>
      <c r="G1740" s="3" t="s">
        <v>121</v>
      </c>
      <c r="H1740" s="3"/>
      <c r="I1740" s="3" t="s">
        <v>122</v>
      </c>
      <c r="J1740" s="3">
        <v>0</v>
      </c>
      <c r="K1740" s="3">
        <v>0</v>
      </c>
      <c r="L1740" s="3">
        <v>0</v>
      </c>
      <c r="M1740" s="3">
        <v>0</v>
      </c>
      <c r="N1740" s="3">
        <v>0</v>
      </c>
      <c r="O1740" s="3">
        <v>0.13</v>
      </c>
      <c r="P1740" s="3">
        <v>0</v>
      </c>
      <c r="Q1740" s="3">
        <v>0</v>
      </c>
      <c r="R1740" s="3">
        <v>0</v>
      </c>
    </row>
    <row r="1741" spans="1:18">
      <c r="A1741" s="3" t="s">
        <v>4555</v>
      </c>
      <c r="B1741" s="3" t="s">
        <v>3943</v>
      </c>
      <c r="C1741" s="3" t="s">
        <v>3943</v>
      </c>
      <c r="D1741" s="3" t="s">
        <v>3944</v>
      </c>
      <c r="E1741" s="3" t="s">
        <v>120</v>
      </c>
      <c r="F1741" s="3">
        <v>26.98</v>
      </c>
      <c r="G1741" s="3" t="s">
        <v>121</v>
      </c>
      <c r="H1741" s="3"/>
      <c r="I1741" s="3" t="s">
        <v>122</v>
      </c>
      <c r="J1741" s="3">
        <v>12</v>
      </c>
      <c r="K1741" s="3">
        <v>12</v>
      </c>
      <c r="L1741" s="3">
        <v>0</v>
      </c>
      <c r="M1741" s="3">
        <v>0</v>
      </c>
      <c r="N1741" s="3">
        <v>12</v>
      </c>
      <c r="O1741" s="3">
        <v>0.13</v>
      </c>
      <c r="P1741" s="3">
        <v>0</v>
      </c>
      <c r="Q1741" s="3">
        <v>0</v>
      </c>
      <c r="R1741" s="3">
        <v>0</v>
      </c>
    </row>
    <row r="1742" spans="1:18">
      <c r="A1742" s="3" t="s">
        <v>4556</v>
      </c>
      <c r="B1742" s="3" t="s">
        <v>3947</v>
      </c>
      <c r="C1742" s="3" t="s">
        <v>3947</v>
      </c>
      <c r="D1742" s="3" t="s">
        <v>3948</v>
      </c>
      <c r="E1742" s="3" t="s">
        <v>120</v>
      </c>
      <c r="F1742" s="3">
        <v>26.98</v>
      </c>
      <c r="G1742" s="3" t="s">
        <v>121</v>
      </c>
      <c r="H1742" s="3"/>
      <c r="I1742" s="3" t="s">
        <v>122</v>
      </c>
      <c r="J1742" s="3">
        <v>14</v>
      </c>
      <c r="K1742" s="3">
        <v>14</v>
      </c>
      <c r="L1742" s="3">
        <v>0</v>
      </c>
      <c r="M1742" s="3">
        <v>0</v>
      </c>
      <c r="N1742" s="3">
        <v>14</v>
      </c>
      <c r="O1742" s="3">
        <v>0.13</v>
      </c>
      <c r="P1742" s="3">
        <v>0</v>
      </c>
      <c r="Q1742" s="3">
        <v>0</v>
      </c>
      <c r="R1742" s="3">
        <v>0</v>
      </c>
    </row>
    <row r="1743" spans="1:18">
      <c r="A1743" s="3" t="s">
        <v>4557</v>
      </c>
      <c r="B1743" s="3" t="s">
        <v>3951</v>
      </c>
      <c r="C1743" s="3" t="s">
        <v>3951</v>
      </c>
      <c r="D1743" s="3" t="s">
        <v>3952</v>
      </c>
      <c r="E1743" s="3" t="s">
        <v>120</v>
      </c>
      <c r="F1743" s="3">
        <v>26.98</v>
      </c>
      <c r="G1743" s="3" t="s">
        <v>121</v>
      </c>
      <c r="H1743" s="3"/>
      <c r="I1743" s="3" t="s">
        <v>122</v>
      </c>
      <c r="J1743" s="3">
        <v>10</v>
      </c>
      <c r="K1743" s="3">
        <v>10</v>
      </c>
      <c r="L1743" s="3">
        <v>0</v>
      </c>
      <c r="M1743" s="3">
        <v>0</v>
      </c>
      <c r="N1743" s="3">
        <v>10</v>
      </c>
      <c r="O1743" s="3">
        <v>0.13</v>
      </c>
      <c r="P1743" s="3">
        <v>0</v>
      </c>
      <c r="Q1743" s="3">
        <v>0</v>
      </c>
      <c r="R1743" s="3">
        <v>0</v>
      </c>
    </row>
    <row r="1744" spans="1:18">
      <c r="A1744" s="3" t="s">
        <v>4558</v>
      </c>
      <c r="B1744" s="3" t="s">
        <v>3955</v>
      </c>
      <c r="C1744" s="3" t="s">
        <v>3955</v>
      </c>
      <c r="D1744" s="3" t="s">
        <v>3956</v>
      </c>
      <c r="E1744" s="3" t="s">
        <v>120</v>
      </c>
      <c r="F1744" s="3">
        <v>26.98</v>
      </c>
      <c r="G1744" s="3" t="s">
        <v>121</v>
      </c>
      <c r="H1744" s="3"/>
      <c r="I1744" s="3" t="s">
        <v>122</v>
      </c>
      <c r="J1744" s="3">
        <v>13</v>
      </c>
      <c r="K1744" s="3">
        <v>13</v>
      </c>
      <c r="L1744" s="3">
        <v>0</v>
      </c>
      <c r="M1744" s="3">
        <v>0</v>
      </c>
      <c r="N1744" s="3">
        <v>13</v>
      </c>
      <c r="O1744" s="3">
        <v>0.13</v>
      </c>
      <c r="P1744" s="3">
        <v>0</v>
      </c>
      <c r="Q1744" s="3">
        <v>0</v>
      </c>
      <c r="R1744" s="3">
        <v>0</v>
      </c>
    </row>
    <row r="1745" spans="1:18">
      <c r="A1745" s="3" t="s">
        <v>4559</v>
      </c>
      <c r="B1745" s="3" t="s">
        <v>3959</v>
      </c>
      <c r="C1745" s="3" t="s">
        <v>3959</v>
      </c>
      <c r="D1745" s="3" t="s">
        <v>3960</v>
      </c>
      <c r="E1745" s="3" t="s">
        <v>120</v>
      </c>
      <c r="F1745" s="3">
        <v>26.98</v>
      </c>
      <c r="G1745" s="3" t="s">
        <v>121</v>
      </c>
      <c r="H1745" s="3"/>
      <c r="I1745" s="3" t="s">
        <v>122</v>
      </c>
      <c r="J1745" s="3">
        <v>16</v>
      </c>
      <c r="K1745" s="3">
        <v>15</v>
      </c>
      <c r="L1745" s="3">
        <v>0</v>
      </c>
      <c r="M1745" s="3">
        <v>1</v>
      </c>
      <c r="N1745" s="3">
        <v>16</v>
      </c>
      <c r="O1745" s="3">
        <v>0.13</v>
      </c>
      <c r="P1745" s="3">
        <v>0</v>
      </c>
      <c r="Q1745" s="3">
        <v>0</v>
      </c>
      <c r="R1745" s="3">
        <v>0</v>
      </c>
    </row>
    <row r="1746" spans="1:18">
      <c r="A1746" s="3" t="s">
        <v>4560</v>
      </c>
      <c r="B1746" s="3" t="s">
        <v>3963</v>
      </c>
      <c r="C1746" s="3" t="s">
        <v>3963</v>
      </c>
      <c r="D1746" s="3" t="s">
        <v>3964</v>
      </c>
      <c r="E1746" s="3" t="s">
        <v>120</v>
      </c>
      <c r="F1746" s="3">
        <v>26.98</v>
      </c>
      <c r="G1746" s="3" t="s">
        <v>121</v>
      </c>
      <c r="H1746" s="3"/>
      <c r="I1746" s="3" t="s">
        <v>122</v>
      </c>
      <c r="J1746" s="3">
        <v>15</v>
      </c>
      <c r="K1746" s="3">
        <v>15</v>
      </c>
      <c r="L1746" s="3">
        <v>0</v>
      </c>
      <c r="M1746" s="3">
        <v>0</v>
      </c>
      <c r="N1746" s="3">
        <v>15</v>
      </c>
      <c r="O1746" s="3">
        <v>0.13</v>
      </c>
      <c r="P1746" s="3">
        <v>0</v>
      </c>
      <c r="Q1746" s="3">
        <v>0</v>
      </c>
      <c r="R1746" s="3">
        <v>0</v>
      </c>
    </row>
    <row r="1747" spans="1:18">
      <c r="A1747" s="3" t="s">
        <v>4561</v>
      </c>
      <c r="B1747" s="3" t="s">
        <v>3967</v>
      </c>
      <c r="C1747" s="3" t="s">
        <v>3967</v>
      </c>
      <c r="D1747" s="3" t="s">
        <v>3968</v>
      </c>
      <c r="E1747" s="3" t="s">
        <v>120</v>
      </c>
      <c r="F1747" s="3">
        <v>26.98</v>
      </c>
      <c r="G1747" s="3" t="s">
        <v>121</v>
      </c>
      <c r="H1747" s="3"/>
      <c r="I1747" s="3" t="s">
        <v>122</v>
      </c>
      <c r="J1747" s="3">
        <v>13</v>
      </c>
      <c r="K1747" s="3">
        <v>13</v>
      </c>
      <c r="L1747" s="3">
        <v>0</v>
      </c>
      <c r="M1747" s="3">
        <v>0</v>
      </c>
      <c r="N1747" s="3">
        <v>13</v>
      </c>
      <c r="O1747" s="3">
        <v>0.13</v>
      </c>
      <c r="P1747" s="3">
        <v>0</v>
      </c>
      <c r="Q1747" s="3">
        <v>0</v>
      </c>
      <c r="R1747" s="3">
        <v>0</v>
      </c>
    </row>
    <row r="1748" spans="1:18">
      <c r="A1748" s="3" t="s">
        <v>4562</v>
      </c>
      <c r="B1748" s="3" t="s">
        <v>3971</v>
      </c>
      <c r="C1748" s="3" t="s">
        <v>3971</v>
      </c>
      <c r="D1748" s="3" t="s">
        <v>3972</v>
      </c>
      <c r="E1748" s="3" t="s">
        <v>120</v>
      </c>
      <c r="F1748" s="3">
        <v>26.98</v>
      </c>
      <c r="G1748" s="3" t="s">
        <v>121</v>
      </c>
      <c r="H1748" s="3"/>
      <c r="I1748" s="3" t="s">
        <v>122</v>
      </c>
      <c r="J1748" s="3">
        <v>14</v>
      </c>
      <c r="K1748" s="3">
        <v>14</v>
      </c>
      <c r="L1748" s="3">
        <v>0</v>
      </c>
      <c r="M1748" s="3">
        <v>0</v>
      </c>
      <c r="N1748" s="3">
        <v>14</v>
      </c>
      <c r="O1748" s="3">
        <v>0.13</v>
      </c>
      <c r="P1748" s="3">
        <v>0</v>
      </c>
      <c r="Q1748" s="3">
        <v>0</v>
      </c>
      <c r="R1748" s="3">
        <v>0</v>
      </c>
    </row>
    <row r="1749" spans="1:18">
      <c r="A1749" s="3" t="s">
        <v>4563</v>
      </c>
      <c r="B1749" s="3" t="s">
        <v>3975</v>
      </c>
      <c r="C1749" s="3" t="s">
        <v>3975</v>
      </c>
      <c r="D1749" s="3" t="s">
        <v>3976</v>
      </c>
      <c r="E1749" s="3" t="s">
        <v>120</v>
      </c>
      <c r="F1749" s="3">
        <v>20.98</v>
      </c>
      <c r="G1749" s="3" t="s">
        <v>121</v>
      </c>
      <c r="H1749" s="3"/>
      <c r="I1749" s="3" t="s">
        <v>122</v>
      </c>
      <c r="J1749" s="3">
        <v>3</v>
      </c>
      <c r="K1749" s="3">
        <v>3</v>
      </c>
      <c r="L1749" s="3">
        <v>0</v>
      </c>
      <c r="M1749" s="3">
        <v>0</v>
      </c>
      <c r="N1749" s="3">
        <v>3</v>
      </c>
      <c r="O1749" s="3">
        <v>0.11</v>
      </c>
      <c r="P1749" s="3">
        <v>0</v>
      </c>
      <c r="Q1749" s="3">
        <v>0</v>
      </c>
      <c r="R1749" s="3">
        <v>0</v>
      </c>
    </row>
    <row r="1750" spans="1:18">
      <c r="A1750" s="3" t="s">
        <v>4564</v>
      </c>
      <c r="B1750" s="3" t="s">
        <v>3979</v>
      </c>
      <c r="C1750" s="3" t="s">
        <v>3979</v>
      </c>
      <c r="D1750" s="3" t="s">
        <v>3980</v>
      </c>
      <c r="E1750" s="3" t="s">
        <v>120</v>
      </c>
      <c r="F1750" s="3">
        <v>20.98</v>
      </c>
      <c r="G1750" s="3" t="s">
        <v>121</v>
      </c>
      <c r="H1750" s="3"/>
      <c r="I1750" s="3" t="s">
        <v>122</v>
      </c>
      <c r="J1750" s="3">
        <v>5</v>
      </c>
      <c r="K1750" s="3">
        <v>5</v>
      </c>
      <c r="L1750" s="3">
        <v>0</v>
      </c>
      <c r="M1750" s="3">
        <v>0</v>
      </c>
      <c r="N1750" s="3">
        <v>5</v>
      </c>
      <c r="O1750" s="3">
        <v>0.08</v>
      </c>
      <c r="P1750" s="3">
        <v>0</v>
      </c>
      <c r="Q1750" s="3">
        <v>0</v>
      </c>
      <c r="R1750" s="3">
        <v>0</v>
      </c>
    </row>
    <row r="1751" spans="1:18">
      <c r="A1751" s="3" t="s">
        <v>4565</v>
      </c>
      <c r="B1751" s="3" t="s">
        <v>3983</v>
      </c>
      <c r="C1751" s="3" t="s">
        <v>3983</v>
      </c>
      <c r="D1751" s="3" t="s">
        <v>3984</v>
      </c>
      <c r="E1751" s="3" t="s">
        <v>120</v>
      </c>
      <c r="F1751" s="3">
        <v>20.98</v>
      </c>
      <c r="G1751" s="3" t="s">
        <v>121</v>
      </c>
      <c r="H1751" s="3"/>
      <c r="I1751" s="3" t="s">
        <v>122</v>
      </c>
      <c r="J1751" s="3">
        <v>2</v>
      </c>
      <c r="K1751" s="3">
        <v>2</v>
      </c>
      <c r="L1751" s="3">
        <v>0</v>
      </c>
      <c r="M1751" s="3">
        <v>0</v>
      </c>
      <c r="N1751" s="3">
        <v>2</v>
      </c>
      <c r="O1751" s="3">
        <v>0.08</v>
      </c>
      <c r="P1751" s="3">
        <v>0</v>
      </c>
      <c r="Q1751" s="3">
        <v>0</v>
      </c>
      <c r="R1751" s="3">
        <v>0</v>
      </c>
    </row>
    <row r="1752" spans="1:18">
      <c r="A1752" s="3" t="s">
        <v>4566</v>
      </c>
      <c r="B1752" s="3" t="s">
        <v>3987</v>
      </c>
      <c r="C1752" s="3" t="s">
        <v>3987</v>
      </c>
      <c r="D1752" s="3" t="s">
        <v>3988</v>
      </c>
      <c r="E1752" s="3" t="s">
        <v>120</v>
      </c>
      <c r="F1752" s="3">
        <v>20.98</v>
      </c>
      <c r="G1752" s="3" t="s">
        <v>121</v>
      </c>
      <c r="H1752" s="3"/>
      <c r="I1752" s="3" t="s">
        <v>122</v>
      </c>
      <c r="J1752" s="3">
        <v>9</v>
      </c>
      <c r="K1752" s="3">
        <v>9</v>
      </c>
      <c r="L1752" s="3">
        <v>0</v>
      </c>
      <c r="M1752" s="3">
        <v>0</v>
      </c>
      <c r="N1752" s="3">
        <v>9</v>
      </c>
      <c r="O1752" s="3">
        <v>0.08</v>
      </c>
      <c r="P1752" s="3">
        <v>0</v>
      </c>
      <c r="Q1752" s="3">
        <v>0</v>
      </c>
      <c r="R1752" s="3">
        <v>0</v>
      </c>
    </row>
    <row r="1753" spans="1:18">
      <c r="A1753" s="3" t="s">
        <v>4567</v>
      </c>
      <c r="B1753" s="3" t="s">
        <v>3991</v>
      </c>
      <c r="C1753" s="3" t="s">
        <v>3991</v>
      </c>
      <c r="D1753" s="3" t="s">
        <v>3992</v>
      </c>
      <c r="E1753" s="3" t="s">
        <v>120</v>
      </c>
      <c r="F1753" s="3">
        <v>20.98</v>
      </c>
      <c r="G1753" s="3" t="s">
        <v>121</v>
      </c>
      <c r="H1753" s="3"/>
      <c r="I1753" s="3" t="s">
        <v>122</v>
      </c>
      <c r="J1753" s="3">
        <v>23</v>
      </c>
      <c r="K1753" s="3">
        <v>23</v>
      </c>
      <c r="L1753" s="3">
        <v>0</v>
      </c>
      <c r="M1753" s="3">
        <v>0</v>
      </c>
      <c r="N1753" s="3">
        <v>23</v>
      </c>
      <c r="O1753" s="3">
        <v>0.08</v>
      </c>
      <c r="P1753" s="3">
        <v>0</v>
      </c>
      <c r="Q1753" s="3">
        <v>0</v>
      </c>
      <c r="R1753" s="3">
        <v>0</v>
      </c>
    </row>
    <row r="1754" spans="1:18">
      <c r="A1754" s="3" t="s">
        <v>4568</v>
      </c>
      <c r="B1754" s="3" t="s">
        <v>3995</v>
      </c>
      <c r="C1754" s="3" t="s">
        <v>3995</v>
      </c>
      <c r="D1754" s="3" t="s">
        <v>3996</v>
      </c>
      <c r="E1754" s="3" t="s">
        <v>120</v>
      </c>
      <c r="F1754" s="3">
        <v>20.98</v>
      </c>
      <c r="G1754" s="3" t="s">
        <v>121</v>
      </c>
      <c r="H1754" s="3"/>
      <c r="I1754" s="3" t="s">
        <v>122</v>
      </c>
      <c r="J1754" s="3">
        <v>15</v>
      </c>
      <c r="K1754" s="3">
        <v>14</v>
      </c>
      <c r="L1754" s="3">
        <v>0</v>
      </c>
      <c r="M1754" s="3">
        <v>1</v>
      </c>
      <c r="N1754" s="3">
        <v>15</v>
      </c>
      <c r="O1754" s="3">
        <v>0.08</v>
      </c>
      <c r="P1754" s="3">
        <v>0</v>
      </c>
      <c r="Q1754" s="3">
        <v>0</v>
      </c>
      <c r="R1754" s="3">
        <v>0</v>
      </c>
    </row>
    <row r="1755" spans="1:18">
      <c r="A1755" s="3" t="s">
        <v>4569</v>
      </c>
      <c r="B1755" s="3" t="s">
        <v>3999</v>
      </c>
      <c r="C1755" s="3" t="s">
        <v>3999</v>
      </c>
      <c r="D1755" s="3" t="s">
        <v>4000</v>
      </c>
      <c r="E1755" s="3" t="s">
        <v>120</v>
      </c>
      <c r="F1755" s="3">
        <v>20.98</v>
      </c>
      <c r="G1755" s="3" t="s">
        <v>121</v>
      </c>
      <c r="H1755" s="3"/>
      <c r="I1755" s="3" t="s">
        <v>122</v>
      </c>
      <c r="J1755" s="3">
        <v>7</v>
      </c>
      <c r="K1755" s="3">
        <v>7</v>
      </c>
      <c r="L1755" s="3">
        <v>0</v>
      </c>
      <c r="M1755" s="3">
        <v>0</v>
      </c>
      <c r="N1755" s="3">
        <v>7</v>
      </c>
      <c r="O1755" s="3">
        <v>0.08</v>
      </c>
      <c r="P1755" s="3">
        <v>0</v>
      </c>
      <c r="Q1755" s="3">
        <v>0</v>
      </c>
      <c r="R1755" s="3">
        <v>0</v>
      </c>
    </row>
    <row r="1756" spans="1:18">
      <c r="A1756" s="3" t="s">
        <v>4570</v>
      </c>
      <c r="B1756" s="3" t="s">
        <v>4003</v>
      </c>
      <c r="C1756" s="3" t="s">
        <v>4003</v>
      </c>
      <c r="D1756" s="3" t="s">
        <v>4004</v>
      </c>
      <c r="E1756" s="3" t="s">
        <v>120</v>
      </c>
      <c r="F1756" s="3">
        <v>20.98</v>
      </c>
      <c r="G1756" s="3" t="s">
        <v>121</v>
      </c>
      <c r="H1756" s="3"/>
      <c r="I1756" s="3" t="s">
        <v>122</v>
      </c>
      <c r="J1756" s="3">
        <v>16</v>
      </c>
      <c r="K1756" s="3">
        <v>16</v>
      </c>
      <c r="L1756" s="3">
        <v>0</v>
      </c>
      <c r="M1756" s="3">
        <v>0</v>
      </c>
      <c r="N1756" s="3">
        <v>16</v>
      </c>
      <c r="O1756" s="3">
        <v>0.08</v>
      </c>
      <c r="P1756" s="3">
        <v>0</v>
      </c>
      <c r="Q1756" s="3">
        <v>0</v>
      </c>
      <c r="R1756" s="3">
        <v>0</v>
      </c>
    </row>
    <row r="1757" spans="1:18">
      <c r="A1757" s="3" t="s">
        <v>4571</v>
      </c>
      <c r="B1757" s="3" t="s">
        <v>4007</v>
      </c>
      <c r="C1757" s="3" t="s">
        <v>4007</v>
      </c>
      <c r="D1757" s="3" t="s">
        <v>4008</v>
      </c>
      <c r="E1757" s="3" t="s">
        <v>120</v>
      </c>
      <c r="F1757" s="3">
        <v>20.98</v>
      </c>
      <c r="G1757" s="3" t="s">
        <v>121</v>
      </c>
      <c r="H1757" s="3"/>
      <c r="I1757" s="3" t="s">
        <v>122</v>
      </c>
      <c r="J1757" s="3">
        <v>8</v>
      </c>
      <c r="K1757" s="3">
        <v>8</v>
      </c>
      <c r="L1757" s="3">
        <v>0</v>
      </c>
      <c r="M1757" s="3">
        <v>0</v>
      </c>
      <c r="N1757" s="3">
        <v>8</v>
      </c>
      <c r="O1757" s="3">
        <v>0.08</v>
      </c>
      <c r="P1757" s="3">
        <v>0</v>
      </c>
      <c r="Q1757" s="3">
        <v>0</v>
      </c>
      <c r="R1757" s="3">
        <v>0</v>
      </c>
    </row>
    <row r="1758" spans="1:18">
      <c r="A1758" s="3" t="s">
        <v>4572</v>
      </c>
      <c r="B1758" s="3" t="s">
        <v>4011</v>
      </c>
      <c r="C1758" s="3" t="s">
        <v>4011</v>
      </c>
      <c r="D1758" s="3" t="s">
        <v>4012</v>
      </c>
      <c r="E1758" s="3" t="s">
        <v>120</v>
      </c>
      <c r="F1758" s="3">
        <v>20.98</v>
      </c>
      <c r="G1758" s="3" t="s">
        <v>121</v>
      </c>
      <c r="H1758" s="3"/>
      <c r="I1758" s="3" t="s">
        <v>122</v>
      </c>
      <c r="J1758" s="3">
        <v>3</v>
      </c>
      <c r="K1758" s="3">
        <v>3</v>
      </c>
      <c r="L1758" s="3">
        <v>0</v>
      </c>
      <c r="M1758" s="3">
        <v>0</v>
      </c>
      <c r="N1758" s="3">
        <v>3</v>
      </c>
      <c r="O1758" s="3">
        <v>0.08</v>
      </c>
      <c r="P1758" s="3">
        <v>0</v>
      </c>
      <c r="Q1758" s="3">
        <v>0</v>
      </c>
      <c r="R1758" s="3">
        <v>0</v>
      </c>
    </row>
    <row r="1759" spans="1:18">
      <c r="A1759" s="3" t="s">
        <v>4573</v>
      </c>
      <c r="B1759" s="3" t="s">
        <v>4015</v>
      </c>
      <c r="C1759" s="3" t="s">
        <v>4015</v>
      </c>
      <c r="D1759" s="3" t="s">
        <v>4016</v>
      </c>
      <c r="E1759" s="3" t="s">
        <v>120</v>
      </c>
      <c r="F1759" s="3">
        <v>20.98</v>
      </c>
      <c r="G1759" s="3" t="s">
        <v>121</v>
      </c>
      <c r="H1759" s="3"/>
      <c r="I1759" s="3" t="s">
        <v>122</v>
      </c>
      <c r="J1759" s="3">
        <v>3</v>
      </c>
      <c r="K1759" s="3">
        <v>3</v>
      </c>
      <c r="L1759" s="3">
        <v>0</v>
      </c>
      <c r="M1759" s="3">
        <v>0</v>
      </c>
      <c r="N1759" s="3">
        <v>3</v>
      </c>
      <c r="O1759" s="3">
        <v>0.08</v>
      </c>
      <c r="P1759" s="3">
        <v>0</v>
      </c>
      <c r="Q1759" s="3">
        <v>0</v>
      </c>
      <c r="R1759" s="3">
        <v>0</v>
      </c>
    </row>
    <row r="1760" spans="1:18">
      <c r="A1760" s="3" t="s">
        <v>4574</v>
      </c>
      <c r="B1760" s="3" t="s">
        <v>4019</v>
      </c>
      <c r="C1760" s="3" t="s">
        <v>4019</v>
      </c>
      <c r="D1760" s="3" t="s">
        <v>4020</v>
      </c>
      <c r="E1760" s="3" t="s">
        <v>120</v>
      </c>
      <c r="F1760" s="3">
        <v>20.98</v>
      </c>
      <c r="G1760" s="3" t="s">
        <v>121</v>
      </c>
      <c r="H1760" s="3"/>
      <c r="I1760" s="3" t="s">
        <v>122</v>
      </c>
      <c r="J1760" s="3">
        <v>2</v>
      </c>
      <c r="K1760" s="3">
        <v>2</v>
      </c>
      <c r="L1760" s="3">
        <v>0</v>
      </c>
      <c r="M1760" s="3">
        <v>0</v>
      </c>
      <c r="N1760" s="3">
        <v>2</v>
      </c>
      <c r="O1760" s="3">
        <v>0.08</v>
      </c>
      <c r="P1760" s="3">
        <v>0</v>
      </c>
      <c r="Q1760" s="3">
        <v>0</v>
      </c>
      <c r="R1760" s="3">
        <v>0</v>
      </c>
    </row>
    <row r="1761" spans="1:18">
      <c r="A1761" s="3" t="s">
        <v>4575</v>
      </c>
      <c r="B1761" s="3" t="s">
        <v>4023</v>
      </c>
      <c r="C1761" s="3" t="s">
        <v>4023</v>
      </c>
      <c r="D1761" s="3" t="s">
        <v>4024</v>
      </c>
      <c r="E1761" s="3" t="s">
        <v>120</v>
      </c>
      <c r="F1761" s="3">
        <v>20.98</v>
      </c>
      <c r="G1761" s="3" t="s">
        <v>121</v>
      </c>
      <c r="H1761" s="3"/>
      <c r="I1761" s="3" t="s">
        <v>122</v>
      </c>
      <c r="J1761" s="3">
        <v>6</v>
      </c>
      <c r="K1761" s="3">
        <v>6</v>
      </c>
      <c r="L1761" s="3">
        <v>0</v>
      </c>
      <c r="M1761" s="3">
        <v>0</v>
      </c>
      <c r="N1761" s="3">
        <v>6</v>
      </c>
      <c r="O1761" s="3">
        <v>0.08</v>
      </c>
      <c r="P1761" s="3">
        <v>0</v>
      </c>
      <c r="Q1761" s="3">
        <v>0</v>
      </c>
      <c r="R1761" s="3">
        <v>0</v>
      </c>
    </row>
    <row r="1762" spans="1:18">
      <c r="A1762" s="3" t="s">
        <v>4576</v>
      </c>
      <c r="B1762" s="3" t="s">
        <v>4027</v>
      </c>
      <c r="C1762" s="3" t="s">
        <v>4027</v>
      </c>
      <c r="D1762" s="3" t="s">
        <v>4028</v>
      </c>
      <c r="E1762" s="3" t="s">
        <v>120</v>
      </c>
      <c r="F1762" s="3">
        <v>20.98</v>
      </c>
      <c r="G1762" s="3" t="s">
        <v>121</v>
      </c>
      <c r="H1762" s="3"/>
      <c r="I1762" s="3" t="s">
        <v>122</v>
      </c>
      <c r="J1762" s="3">
        <v>3</v>
      </c>
      <c r="K1762" s="3">
        <v>2</v>
      </c>
      <c r="L1762" s="3">
        <v>0</v>
      </c>
      <c r="M1762" s="3">
        <v>1</v>
      </c>
      <c r="N1762" s="3">
        <v>3</v>
      </c>
      <c r="O1762" s="3">
        <v>0.08</v>
      </c>
      <c r="P1762" s="3">
        <v>0</v>
      </c>
      <c r="Q1762" s="3">
        <v>0</v>
      </c>
      <c r="R1762" s="3">
        <v>0</v>
      </c>
    </row>
    <row r="1763" spans="1:18">
      <c r="A1763" s="3" t="s">
        <v>4577</v>
      </c>
      <c r="B1763" s="3" t="s">
        <v>4031</v>
      </c>
      <c r="C1763" s="3" t="s">
        <v>4031</v>
      </c>
      <c r="D1763" s="3" t="s">
        <v>4032</v>
      </c>
      <c r="E1763" s="3" t="s">
        <v>120</v>
      </c>
      <c r="F1763" s="3">
        <v>20.98</v>
      </c>
      <c r="G1763" s="3" t="s">
        <v>121</v>
      </c>
      <c r="H1763" s="3"/>
      <c r="I1763" s="3" t="s">
        <v>122</v>
      </c>
      <c r="J1763" s="3">
        <v>6</v>
      </c>
      <c r="K1763" s="3">
        <v>6</v>
      </c>
      <c r="L1763" s="3">
        <v>0</v>
      </c>
      <c r="M1763" s="3">
        <v>0</v>
      </c>
      <c r="N1763" s="3">
        <v>6</v>
      </c>
      <c r="O1763" s="3">
        <v>0.07</v>
      </c>
      <c r="P1763" s="3">
        <v>0</v>
      </c>
      <c r="Q1763" s="3">
        <v>0</v>
      </c>
      <c r="R1763" s="3">
        <v>0</v>
      </c>
    </row>
    <row r="1764" spans="1:18">
      <c r="A1764" s="3" t="s">
        <v>4578</v>
      </c>
      <c r="B1764" s="3" t="s">
        <v>4035</v>
      </c>
      <c r="C1764" s="3" t="s">
        <v>4035</v>
      </c>
      <c r="D1764" s="3" t="s">
        <v>4036</v>
      </c>
      <c r="E1764" s="3" t="s">
        <v>120</v>
      </c>
      <c r="F1764" s="3">
        <v>20.98</v>
      </c>
      <c r="G1764" s="3" t="s">
        <v>121</v>
      </c>
      <c r="H1764" s="3"/>
      <c r="I1764" s="3" t="s">
        <v>122</v>
      </c>
      <c r="J1764" s="3">
        <v>11</v>
      </c>
      <c r="K1764" s="3">
        <v>11</v>
      </c>
      <c r="L1764" s="3">
        <v>0</v>
      </c>
      <c r="M1764" s="3">
        <v>0</v>
      </c>
      <c r="N1764" s="3">
        <v>11</v>
      </c>
      <c r="O1764" s="3">
        <v>0.08</v>
      </c>
      <c r="P1764" s="3">
        <v>0</v>
      </c>
      <c r="Q1764" s="3">
        <v>0</v>
      </c>
      <c r="R1764" s="3">
        <v>0</v>
      </c>
    </row>
    <row r="1765" spans="1:18">
      <c r="A1765" s="3" t="s">
        <v>4579</v>
      </c>
      <c r="B1765" s="3" t="s">
        <v>4039</v>
      </c>
      <c r="C1765" s="3" t="s">
        <v>4039</v>
      </c>
      <c r="D1765" s="3" t="s">
        <v>4040</v>
      </c>
      <c r="E1765" s="3" t="s">
        <v>120</v>
      </c>
      <c r="F1765" s="3">
        <v>20.98</v>
      </c>
      <c r="G1765" s="3" t="s">
        <v>121</v>
      </c>
      <c r="H1765" s="3"/>
      <c r="I1765" s="3" t="s">
        <v>122</v>
      </c>
      <c r="J1765" s="3">
        <v>15</v>
      </c>
      <c r="K1765" s="3">
        <v>15</v>
      </c>
      <c r="L1765" s="3">
        <v>0</v>
      </c>
      <c r="M1765" s="3">
        <v>0</v>
      </c>
      <c r="N1765" s="3">
        <v>15</v>
      </c>
      <c r="O1765" s="3">
        <v>0.08</v>
      </c>
      <c r="P1765" s="3">
        <v>0</v>
      </c>
      <c r="Q1765" s="3">
        <v>0</v>
      </c>
      <c r="R1765" s="3">
        <v>0</v>
      </c>
    </row>
    <row r="1766" spans="1:18">
      <c r="A1766" s="3" t="s">
        <v>4580</v>
      </c>
      <c r="B1766" s="3" t="s">
        <v>4043</v>
      </c>
      <c r="C1766" s="3" t="s">
        <v>4043</v>
      </c>
      <c r="D1766" s="3" t="s">
        <v>4044</v>
      </c>
      <c r="E1766" s="3" t="s">
        <v>120</v>
      </c>
      <c r="F1766" s="3">
        <v>20.98</v>
      </c>
      <c r="G1766" s="3" t="s">
        <v>121</v>
      </c>
      <c r="H1766" s="3"/>
      <c r="I1766" s="3" t="s">
        <v>122</v>
      </c>
      <c r="J1766" s="3">
        <v>13</v>
      </c>
      <c r="K1766" s="3">
        <v>13</v>
      </c>
      <c r="L1766" s="3">
        <v>0</v>
      </c>
      <c r="M1766" s="3">
        <v>0</v>
      </c>
      <c r="N1766" s="3">
        <v>13</v>
      </c>
      <c r="O1766" s="3">
        <v>0.08</v>
      </c>
      <c r="P1766" s="3">
        <v>0</v>
      </c>
      <c r="Q1766" s="3">
        <v>0</v>
      </c>
      <c r="R1766" s="3">
        <v>0</v>
      </c>
    </row>
    <row r="1767" spans="1:18">
      <c r="A1767" s="3" t="s">
        <v>4581</v>
      </c>
      <c r="B1767" s="3" t="s">
        <v>4047</v>
      </c>
      <c r="C1767" s="3" t="s">
        <v>4047</v>
      </c>
      <c r="D1767" s="3" t="s">
        <v>4048</v>
      </c>
      <c r="E1767" s="3" t="s">
        <v>120</v>
      </c>
      <c r="F1767" s="3">
        <v>20.98</v>
      </c>
      <c r="G1767" s="3" t="s">
        <v>121</v>
      </c>
      <c r="H1767" s="3"/>
      <c r="I1767" s="3" t="s">
        <v>122</v>
      </c>
      <c r="J1767" s="3">
        <v>6</v>
      </c>
      <c r="K1767" s="3">
        <v>6</v>
      </c>
      <c r="L1767" s="3">
        <v>0</v>
      </c>
      <c r="M1767" s="3">
        <v>0</v>
      </c>
      <c r="N1767" s="3">
        <v>6</v>
      </c>
      <c r="O1767" s="3">
        <v>0.08</v>
      </c>
      <c r="P1767" s="3">
        <v>0</v>
      </c>
      <c r="Q1767" s="3">
        <v>0</v>
      </c>
      <c r="R1767" s="3">
        <v>0</v>
      </c>
    </row>
    <row r="1768" spans="1:18">
      <c r="A1768" s="3" t="s">
        <v>4582</v>
      </c>
      <c r="B1768" s="3" t="s">
        <v>4051</v>
      </c>
      <c r="C1768" s="3" t="s">
        <v>4051</v>
      </c>
      <c r="D1768" s="3" t="s">
        <v>4052</v>
      </c>
      <c r="E1768" s="3" t="s">
        <v>120</v>
      </c>
      <c r="F1768" s="3">
        <v>20.98</v>
      </c>
      <c r="G1768" s="3" t="s">
        <v>121</v>
      </c>
      <c r="H1768" s="3"/>
      <c r="I1768" s="3" t="s">
        <v>122</v>
      </c>
      <c r="J1768" s="3">
        <v>12</v>
      </c>
      <c r="K1768" s="3">
        <v>12</v>
      </c>
      <c r="L1768" s="3">
        <v>0</v>
      </c>
      <c r="M1768" s="3">
        <v>0</v>
      </c>
      <c r="N1768" s="3">
        <v>12</v>
      </c>
      <c r="O1768" s="3">
        <v>0.05</v>
      </c>
      <c r="P1768" s="3">
        <v>0</v>
      </c>
      <c r="Q1768" s="3">
        <v>0</v>
      </c>
      <c r="R1768" s="3">
        <v>0</v>
      </c>
    </row>
    <row r="1769" spans="1:18">
      <c r="A1769" s="3" t="s">
        <v>4583</v>
      </c>
      <c r="B1769" s="3" t="s">
        <v>4055</v>
      </c>
      <c r="C1769" s="3" t="s">
        <v>4055</v>
      </c>
      <c r="D1769" s="3" t="s">
        <v>4056</v>
      </c>
      <c r="E1769" s="3" t="s">
        <v>120</v>
      </c>
      <c r="F1769" s="3">
        <v>20.98</v>
      </c>
      <c r="G1769" s="3" t="s">
        <v>121</v>
      </c>
      <c r="H1769" s="3"/>
      <c r="I1769" s="3" t="s">
        <v>122</v>
      </c>
      <c r="J1769" s="3">
        <v>6</v>
      </c>
      <c r="K1769" s="3">
        <v>6</v>
      </c>
      <c r="L1769" s="3">
        <v>0</v>
      </c>
      <c r="M1769" s="3">
        <v>0</v>
      </c>
      <c r="N1769" s="3">
        <v>6</v>
      </c>
      <c r="O1769" s="3">
        <v>0.08</v>
      </c>
      <c r="P1769" s="3">
        <v>0</v>
      </c>
      <c r="Q1769" s="3">
        <v>0</v>
      </c>
      <c r="R1769" s="3">
        <v>0</v>
      </c>
    </row>
    <row r="1770" spans="1:18">
      <c r="A1770" s="3" t="s">
        <v>4584</v>
      </c>
      <c r="B1770" s="3" t="s">
        <v>4059</v>
      </c>
      <c r="C1770" s="3" t="s">
        <v>4059</v>
      </c>
      <c r="D1770" s="3" t="s">
        <v>4060</v>
      </c>
      <c r="E1770" s="3" t="s">
        <v>120</v>
      </c>
      <c r="F1770" s="3">
        <v>20.98</v>
      </c>
      <c r="G1770" s="3" t="s">
        <v>121</v>
      </c>
      <c r="H1770" s="3"/>
      <c r="I1770" s="3" t="s">
        <v>122</v>
      </c>
      <c r="J1770" s="3">
        <v>5</v>
      </c>
      <c r="K1770" s="3">
        <v>5</v>
      </c>
      <c r="L1770" s="3">
        <v>0</v>
      </c>
      <c r="M1770" s="3">
        <v>0</v>
      </c>
      <c r="N1770" s="3">
        <v>5</v>
      </c>
      <c r="O1770" s="3">
        <v>0.08</v>
      </c>
      <c r="P1770" s="3">
        <v>0</v>
      </c>
      <c r="Q1770" s="3">
        <v>0</v>
      </c>
      <c r="R1770" s="3">
        <v>0</v>
      </c>
    </row>
    <row r="1771" spans="1:18">
      <c r="A1771" s="3" t="s">
        <v>4585</v>
      </c>
      <c r="B1771" s="3" t="s">
        <v>4063</v>
      </c>
      <c r="C1771" s="3" t="s">
        <v>4063</v>
      </c>
      <c r="D1771" s="3" t="s">
        <v>4064</v>
      </c>
      <c r="E1771" s="3" t="s">
        <v>120</v>
      </c>
      <c r="F1771" s="3">
        <v>20.98</v>
      </c>
      <c r="G1771" s="3" t="s">
        <v>121</v>
      </c>
      <c r="H1771" s="3"/>
      <c r="I1771" s="3" t="s">
        <v>122</v>
      </c>
      <c r="J1771" s="3">
        <v>9</v>
      </c>
      <c r="K1771" s="3">
        <v>9</v>
      </c>
      <c r="L1771" s="3">
        <v>0</v>
      </c>
      <c r="M1771" s="3">
        <v>0</v>
      </c>
      <c r="N1771" s="3">
        <v>9</v>
      </c>
      <c r="O1771" s="3">
        <v>0.08</v>
      </c>
      <c r="P1771" s="3">
        <v>0</v>
      </c>
      <c r="Q1771" s="3">
        <v>0</v>
      </c>
      <c r="R1771" s="3">
        <v>0</v>
      </c>
    </row>
    <row r="1772" spans="1:18">
      <c r="A1772" s="3" t="s">
        <v>4586</v>
      </c>
      <c r="B1772" s="3" t="s">
        <v>4067</v>
      </c>
      <c r="C1772" s="3" t="s">
        <v>4067</v>
      </c>
      <c r="D1772" s="3" t="s">
        <v>4068</v>
      </c>
      <c r="E1772" s="3" t="s">
        <v>120</v>
      </c>
      <c r="F1772" s="3">
        <v>20.98</v>
      </c>
      <c r="G1772" s="3" t="s">
        <v>121</v>
      </c>
      <c r="H1772" s="3"/>
      <c r="I1772" s="3" t="s">
        <v>122</v>
      </c>
      <c r="J1772" s="3">
        <v>5</v>
      </c>
      <c r="K1772" s="3">
        <v>5</v>
      </c>
      <c r="L1772" s="3">
        <v>0</v>
      </c>
      <c r="M1772" s="3">
        <v>0</v>
      </c>
      <c r="N1772" s="3">
        <v>5</v>
      </c>
      <c r="O1772" s="3">
        <v>0.08</v>
      </c>
      <c r="P1772" s="3">
        <v>0</v>
      </c>
      <c r="Q1772" s="3">
        <v>0</v>
      </c>
      <c r="R1772" s="3">
        <v>0</v>
      </c>
    </row>
    <row r="1773" spans="1:18">
      <c r="A1773" s="3" t="s">
        <v>4587</v>
      </c>
      <c r="B1773" s="3" t="s">
        <v>4071</v>
      </c>
      <c r="C1773" s="3" t="s">
        <v>4071</v>
      </c>
      <c r="D1773" s="3" t="s">
        <v>4072</v>
      </c>
      <c r="E1773" s="3" t="s">
        <v>120</v>
      </c>
      <c r="F1773" s="3">
        <v>20.98</v>
      </c>
      <c r="G1773" s="3" t="s">
        <v>121</v>
      </c>
      <c r="H1773" s="3"/>
      <c r="I1773" s="3" t="s">
        <v>122</v>
      </c>
      <c r="J1773" s="3">
        <v>4</v>
      </c>
      <c r="K1773" s="3">
        <v>4</v>
      </c>
      <c r="L1773" s="3">
        <v>0</v>
      </c>
      <c r="M1773" s="3">
        <v>0</v>
      </c>
      <c r="N1773" s="3">
        <v>4</v>
      </c>
      <c r="O1773" s="3">
        <v>0.08</v>
      </c>
      <c r="P1773" s="3">
        <v>0</v>
      </c>
      <c r="Q1773" s="3">
        <v>0</v>
      </c>
      <c r="R1773" s="3">
        <v>0</v>
      </c>
    </row>
    <row r="1774" spans="1:18">
      <c r="A1774" s="3" t="s">
        <v>4588</v>
      </c>
      <c r="B1774" s="3" t="s">
        <v>4075</v>
      </c>
      <c r="C1774" s="3" t="s">
        <v>4075</v>
      </c>
      <c r="D1774" s="3" t="s">
        <v>4076</v>
      </c>
      <c r="E1774" s="3" t="s">
        <v>120</v>
      </c>
      <c r="F1774" s="3">
        <v>20.98</v>
      </c>
      <c r="G1774" s="3" t="s">
        <v>121</v>
      </c>
      <c r="H1774" s="3"/>
      <c r="I1774" s="3" t="s">
        <v>122</v>
      </c>
      <c r="J1774" s="3">
        <v>15</v>
      </c>
      <c r="K1774" s="3">
        <v>14</v>
      </c>
      <c r="L1774" s="3">
        <v>0</v>
      </c>
      <c r="M1774" s="3">
        <v>1</v>
      </c>
      <c r="N1774" s="3">
        <v>15</v>
      </c>
      <c r="O1774" s="3">
        <v>0.05</v>
      </c>
      <c r="P1774" s="3">
        <v>0</v>
      </c>
      <c r="Q1774" s="3">
        <v>0</v>
      </c>
      <c r="R1774" s="3">
        <v>0</v>
      </c>
    </row>
    <row r="1775" spans="1:18">
      <c r="A1775" s="3" t="s">
        <v>4589</v>
      </c>
      <c r="B1775" s="3" t="s">
        <v>4079</v>
      </c>
      <c r="C1775" s="3" t="s">
        <v>4079</v>
      </c>
      <c r="D1775" s="3" t="s">
        <v>4080</v>
      </c>
      <c r="E1775" s="3" t="s">
        <v>120</v>
      </c>
      <c r="F1775" s="3">
        <v>20.98</v>
      </c>
      <c r="G1775" s="3" t="s">
        <v>121</v>
      </c>
      <c r="H1775" s="3"/>
      <c r="I1775" s="3" t="s">
        <v>122</v>
      </c>
      <c r="J1775" s="3">
        <v>7</v>
      </c>
      <c r="K1775" s="3">
        <v>7</v>
      </c>
      <c r="L1775" s="3">
        <v>0</v>
      </c>
      <c r="M1775" s="3">
        <v>0</v>
      </c>
      <c r="N1775" s="3">
        <v>7</v>
      </c>
      <c r="O1775" s="3">
        <v>0.08</v>
      </c>
      <c r="P1775" s="3">
        <v>0</v>
      </c>
      <c r="Q1775" s="3">
        <v>0</v>
      </c>
      <c r="R1775" s="3">
        <v>0</v>
      </c>
    </row>
    <row r="1776" spans="1:18">
      <c r="A1776" s="3" t="s">
        <v>4590</v>
      </c>
      <c r="B1776" s="3" t="s">
        <v>4083</v>
      </c>
      <c r="C1776" s="3" t="s">
        <v>4083</v>
      </c>
      <c r="D1776" s="3" t="s">
        <v>4084</v>
      </c>
      <c r="E1776" s="3" t="s">
        <v>120</v>
      </c>
      <c r="F1776" s="3">
        <v>20.98</v>
      </c>
      <c r="G1776" s="3" t="s">
        <v>121</v>
      </c>
      <c r="H1776" s="3"/>
      <c r="I1776" s="3" t="s">
        <v>122</v>
      </c>
      <c r="J1776" s="3">
        <v>4</v>
      </c>
      <c r="K1776" s="3">
        <v>4</v>
      </c>
      <c r="L1776" s="3">
        <v>0</v>
      </c>
      <c r="M1776" s="3">
        <v>0</v>
      </c>
      <c r="N1776" s="3">
        <v>4</v>
      </c>
      <c r="O1776" s="3">
        <v>0.08</v>
      </c>
      <c r="P1776" s="3">
        <v>0</v>
      </c>
      <c r="Q1776" s="3">
        <v>0</v>
      </c>
      <c r="R1776" s="3">
        <v>0</v>
      </c>
    </row>
    <row r="1777" spans="1:18">
      <c r="A1777" s="3" t="s">
        <v>4591</v>
      </c>
      <c r="B1777" s="3" t="s">
        <v>4592</v>
      </c>
      <c r="C1777" s="3" t="s">
        <v>4158</v>
      </c>
      <c r="D1777" s="3" t="s">
        <v>4159</v>
      </c>
      <c r="E1777" s="3" t="s">
        <v>120</v>
      </c>
      <c r="F1777" s="3">
        <v>22.98</v>
      </c>
      <c r="G1777" s="3" t="s">
        <v>121</v>
      </c>
      <c r="H1777" s="3"/>
      <c r="I1777" s="3" t="s">
        <v>122</v>
      </c>
      <c r="J1777" s="3">
        <v>0</v>
      </c>
      <c r="K1777" s="3">
        <v>0</v>
      </c>
      <c r="L1777" s="3">
        <v>0</v>
      </c>
      <c r="M1777" s="3">
        <v>0</v>
      </c>
      <c r="N1777" s="3">
        <v>0</v>
      </c>
      <c r="O1777" s="3">
        <v>0.08</v>
      </c>
      <c r="P1777" s="3">
        <v>0</v>
      </c>
      <c r="Q1777" s="3">
        <v>0</v>
      </c>
      <c r="R1777" s="3">
        <v>0</v>
      </c>
    </row>
    <row r="1778" spans="1:18">
      <c r="A1778" s="3" t="s">
        <v>4593</v>
      </c>
      <c r="B1778" s="3" t="s">
        <v>4594</v>
      </c>
      <c r="C1778" s="3" t="s">
        <v>4161</v>
      </c>
      <c r="D1778" s="3" t="s">
        <v>4162</v>
      </c>
      <c r="E1778" s="3" t="s">
        <v>120</v>
      </c>
      <c r="F1778" s="3">
        <v>22.98</v>
      </c>
      <c r="G1778" s="3" t="s">
        <v>121</v>
      </c>
      <c r="H1778" s="3"/>
      <c r="I1778" s="3" t="s">
        <v>122</v>
      </c>
      <c r="J1778" s="3">
        <v>12</v>
      </c>
      <c r="K1778" s="3">
        <v>11</v>
      </c>
      <c r="L1778" s="3">
        <v>0</v>
      </c>
      <c r="M1778" s="3">
        <v>1</v>
      </c>
      <c r="N1778" s="3">
        <v>12</v>
      </c>
      <c r="O1778" s="3">
        <v>0.11</v>
      </c>
      <c r="P1778" s="3">
        <v>0</v>
      </c>
      <c r="Q1778" s="3">
        <v>0</v>
      </c>
      <c r="R1778" s="3">
        <v>0</v>
      </c>
    </row>
    <row r="1779" spans="1:18">
      <c r="A1779" s="3" t="s">
        <v>4595</v>
      </c>
      <c r="B1779" s="3" t="s">
        <v>4596</v>
      </c>
      <c r="C1779" s="3" t="s">
        <v>4526</v>
      </c>
      <c r="D1779" s="3" t="s">
        <v>4527</v>
      </c>
      <c r="E1779" s="3" t="s">
        <v>120</v>
      </c>
      <c r="F1779" s="3">
        <v>22.98</v>
      </c>
      <c r="G1779" s="3" t="s">
        <v>121</v>
      </c>
      <c r="H1779" s="3"/>
      <c r="I1779" s="3" t="s">
        <v>122</v>
      </c>
      <c r="J1779" s="3">
        <v>0</v>
      </c>
      <c r="K1779" s="3">
        <v>0</v>
      </c>
      <c r="L1779" s="3">
        <v>0</v>
      </c>
      <c r="M1779" s="3">
        <v>0</v>
      </c>
      <c r="N1779" s="3">
        <v>0</v>
      </c>
      <c r="O1779" s="3">
        <v>0.08</v>
      </c>
      <c r="P1779" s="3">
        <v>0</v>
      </c>
      <c r="Q1779" s="3">
        <v>0</v>
      </c>
      <c r="R1779" s="3">
        <v>0</v>
      </c>
    </row>
    <row r="1780" spans="1:18">
      <c r="A1780" s="3" t="s">
        <v>4597</v>
      </c>
      <c r="B1780" s="3" t="s">
        <v>4598</v>
      </c>
      <c r="C1780" s="3" t="s">
        <v>4164</v>
      </c>
      <c r="D1780" s="3" t="s">
        <v>4165</v>
      </c>
      <c r="E1780" s="3" t="s">
        <v>120</v>
      </c>
      <c r="F1780" s="3">
        <v>22.98</v>
      </c>
      <c r="G1780" s="3" t="s">
        <v>121</v>
      </c>
      <c r="H1780" s="3"/>
      <c r="I1780" s="3" t="s">
        <v>122</v>
      </c>
      <c r="J1780" s="3">
        <v>0</v>
      </c>
      <c r="K1780" s="3">
        <v>0</v>
      </c>
      <c r="L1780" s="3">
        <v>0</v>
      </c>
      <c r="M1780" s="3">
        <v>0</v>
      </c>
      <c r="N1780" s="3">
        <v>0</v>
      </c>
      <c r="O1780" s="3">
        <v>0.08</v>
      </c>
      <c r="P1780" s="3">
        <v>0</v>
      </c>
      <c r="Q1780" s="3">
        <v>0</v>
      </c>
      <c r="R1780" s="3">
        <v>0</v>
      </c>
    </row>
    <row r="1781" spans="1:18">
      <c r="A1781" s="3" t="s">
        <v>4599</v>
      </c>
      <c r="B1781" s="3" t="s">
        <v>4600</v>
      </c>
      <c r="C1781" s="3" t="s">
        <v>4117</v>
      </c>
      <c r="D1781" s="3" t="s">
        <v>4118</v>
      </c>
      <c r="E1781" s="3" t="s">
        <v>120</v>
      </c>
      <c r="F1781" s="3">
        <v>22.98</v>
      </c>
      <c r="G1781" s="3" t="s">
        <v>121</v>
      </c>
      <c r="H1781" s="3"/>
      <c r="I1781" s="3" t="s">
        <v>122</v>
      </c>
      <c r="J1781" s="3">
        <v>0</v>
      </c>
      <c r="K1781" s="3">
        <v>0</v>
      </c>
      <c r="L1781" s="3">
        <v>0</v>
      </c>
      <c r="M1781" s="3">
        <v>0</v>
      </c>
      <c r="N1781" s="3">
        <v>0</v>
      </c>
      <c r="O1781" s="3">
        <v>0.08</v>
      </c>
      <c r="P1781" s="3">
        <v>0</v>
      </c>
      <c r="Q1781" s="3">
        <v>0</v>
      </c>
      <c r="R1781" s="3">
        <v>0</v>
      </c>
    </row>
    <row r="1782" spans="1:18">
      <c r="A1782" s="3" t="s">
        <v>4601</v>
      </c>
      <c r="B1782" s="3" t="s">
        <v>4602</v>
      </c>
      <c r="C1782" s="3" t="s">
        <v>4529</v>
      </c>
      <c r="D1782" s="3" t="s">
        <v>4530</v>
      </c>
      <c r="E1782" s="3" t="s">
        <v>120</v>
      </c>
      <c r="F1782" s="3">
        <v>22.98</v>
      </c>
      <c r="G1782" s="3" t="s">
        <v>121</v>
      </c>
      <c r="H1782" s="3"/>
      <c r="I1782" s="3" t="s">
        <v>122</v>
      </c>
      <c r="J1782" s="3">
        <v>9</v>
      </c>
      <c r="K1782" s="3">
        <v>9</v>
      </c>
      <c r="L1782" s="3">
        <v>0</v>
      </c>
      <c r="M1782" s="3">
        <v>0</v>
      </c>
      <c r="N1782" s="3">
        <v>9</v>
      </c>
      <c r="O1782" s="3">
        <v>0.08</v>
      </c>
      <c r="P1782" s="3">
        <v>0</v>
      </c>
      <c r="Q1782" s="3">
        <v>0</v>
      </c>
      <c r="R1782" s="3">
        <v>0</v>
      </c>
    </row>
    <row r="1783" spans="1:18">
      <c r="A1783" s="3" t="s">
        <v>4603</v>
      </c>
      <c r="B1783" s="3" t="s">
        <v>4604</v>
      </c>
      <c r="C1783" s="3" t="s">
        <v>4120</v>
      </c>
      <c r="D1783" s="3" t="s">
        <v>4121</v>
      </c>
      <c r="E1783" s="3" t="s">
        <v>120</v>
      </c>
      <c r="F1783" s="3">
        <v>22.98</v>
      </c>
      <c r="G1783" s="3" t="s">
        <v>121</v>
      </c>
      <c r="H1783" s="3"/>
      <c r="I1783" s="3" t="s">
        <v>122</v>
      </c>
      <c r="J1783" s="3">
        <v>0</v>
      </c>
      <c r="K1783" s="3">
        <v>0</v>
      </c>
      <c r="L1783" s="3">
        <v>0</v>
      </c>
      <c r="M1783" s="3">
        <v>0</v>
      </c>
      <c r="N1783" s="3">
        <v>0</v>
      </c>
      <c r="O1783" s="3">
        <v>0.08</v>
      </c>
      <c r="P1783" s="3">
        <v>0</v>
      </c>
      <c r="Q1783" s="3">
        <v>0</v>
      </c>
      <c r="R1783" s="3">
        <v>0</v>
      </c>
    </row>
    <row r="1784" spans="1:18">
      <c r="A1784" s="3" t="s">
        <v>4605</v>
      </c>
      <c r="B1784" s="3" t="s">
        <v>4606</v>
      </c>
      <c r="C1784" s="3" t="s">
        <v>4123</v>
      </c>
      <c r="D1784" s="3" t="s">
        <v>4124</v>
      </c>
      <c r="E1784" s="3" t="s">
        <v>120</v>
      </c>
      <c r="F1784" s="3">
        <v>22.98</v>
      </c>
      <c r="G1784" s="3" t="s">
        <v>121</v>
      </c>
      <c r="H1784" s="3"/>
      <c r="I1784" s="3" t="s">
        <v>122</v>
      </c>
      <c r="J1784" s="3">
        <v>0</v>
      </c>
      <c r="K1784" s="3">
        <v>0</v>
      </c>
      <c r="L1784" s="3">
        <v>0</v>
      </c>
      <c r="M1784" s="3">
        <v>0</v>
      </c>
      <c r="N1784" s="3">
        <v>0</v>
      </c>
      <c r="O1784" s="3">
        <v>0.08</v>
      </c>
      <c r="P1784" s="3">
        <v>0</v>
      </c>
      <c r="Q1784" s="3">
        <v>0</v>
      </c>
      <c r="R1784" s="3">
        <v>0</v>
      </c>
    </row>
    <row r="1785" spans="1:18">
      <c r="A1785" s="3" t="s">
        <v>4607</v>
      </c>
      <c r="B1785" s="3" t="s">
        <v>4608</v>
      </c>
      <c r="C1785" s="3" t="s">
        <v>4126</v>
      </c>
      <c r="D1785" s="3" t="s">
        <v>4127</v>
      </c>
      <c r="E1785" s="3" t="s">
        <v>120</v>
      </c>
      <c r="F1785" s="3">
        <v>22.98</v>
      </c>
      <c r="G1785" s="3" t="s">
        <v>121</v>
      </c>
      <c r="H1785" s="3"/>
      <c r="I1785" s="3" t="s">
        <v>122</v>
      </c>
      <c r="J1785" s="3">
        <v>0</v>
      </c>
      <c r="K1785" s="3">
        <v>0</v>
      </c>
      <c r="L1785" s="3">
        <v>0</v>
      </c>
      <c r="M1785" s="3">
        <v>0</v>
      </c>
      <c r="N1785" s="3">
        <v>0</v>
      </c>
      <c r="O1785" s="3">
        <v>0.08</v>
      </c>
      <c r="P1785" s="3">
        <v>0</v>
      </c>
      <c r="Q1785" s="3">
        <v>0</v>
      </c>
      <c r="R1785" s="3">
        <v>0</v>
      </c>
    </row>
    <row r="1786" spans="1:18">
      <c r="A1786" s="3" t="s">
        <v>4609</v>
      </c>
      <c r="B1786" s="3" t="s">
        <v>4610</v>
      </c>
      <c r="C1786" s="3" t="s">
        <v>4364</v>
      </c>
      <c r="D1786" s="3" t="s">
        <v>4365</v>
      </c>
      <c r="E1786" s="3" t="s">
        <v>120</v>
      </c>
      <c r="F1786" s="3">
        <v>22.98</v>
      </c>
      <c r="G1786" s="3" t="s">
        <v>121</v>
      </c>
      <c r="H1786" s="3"/>
      <c r="I1786" s="3" t="s">
        <v>122</v>
      </c>
      <c r="J1786" s="3">
        <v>7</v>
      </c>
      <c r="K1786" s="3">
        <v>7</v>
      </c>
      <c r="L1786" s="3">
        <v>0</v>
      </c>
      <c r="M1786" s="3">
        <v>0</v>
      </c>
      <c r="N1786" s="3">
        <v>7</v>
      </c>
      <c r="O1786" s="3">
        <v>0.08</v>
      </c>
      <c r="P1786" s="3">
        <v>0</v>
      </c>
      <c r="Q1786" s="3">
        <v>0</v>
      </c>
      <c r="R1786" s="3">
        <v>0</v>
      </c>
    </row>
    <row r="1787" spans="1:18">
      <c r="A1787" s="3" t="s">
        <v>4611</v>
      </c>
      <c r="B1787" s="3" t="s">
        <v>4612</v>
      </c>
      <c r="C1787" s="3" t="s">
        <v>4131</v>
      </c>
      <c r="D1787" s="3" t="s">
        <v>4132</v>
      </c>
      <c r="E1787" s="3" t="s">
        <v>120</v>
      </c>
      <c r="F1787" s="3">
        <v>22.98</v>
      </c>
      <c r="G1787" s="3" t="s">
        <v>121</v>
      </c>
      <c r="H1787" s="3"/>
      <c r="I1787" s="3" t="s">
        <v>122</v>
      </c>
      <c r="J1787" s="3">
        <v>0</v>
      </c>
      <c r="K1787" s="3">
        <v>0</v>
      </c>
      <c r="L1787" s="3">
        <v>0</v>
      </c>
      <c r="M1787" s="3">
        <v>0</v>
      </c>
      <c r="N1787" s="3">
        <v>0</v>
      </c>
      <c r="O1787" s="3">
        <v>0.08</v>
      </c>
      <c r="P1787" s="3">
        <v>0</v>
      </c>
      <c r="Q1787" s="3">
        <v>0</v>
      </c>
      <c r="R1787" s="3">
        <v>0</v>
      </c>
    </row>
    <row r="1788" spans="1:18">
      <c r="A1788" s="3" t="s">
        <v>4613</v>
      </c>
      <c r="B1788" s="3" t="s">
        <v>4614</v>
      </c>
      <c r="C1788" s="3" t="s">
        <v>4134</v>
      </c>
      <c r="D1788" s="3" t="s">
        <v>4135</v>
      </c>
      <c r="E1788" s="3" t="s">
        <v>120</v>
      </c>
      <c r="F1788" s="3">
        <v>22.98</v>
      </c>
      <c r="G1788" s="3" t="s">
        <v>121</v>
      </c>
      <c r="H1788" s="3"/>
      <c r="I1788" s="3" t="s">
        <v>122</v>
      </c>
      <c r="J1788" s="3">
        <v>0</v>
      </c>
      <c r="K1788" s="3">
        <v>0</v>
      </c>
      <c r="L1788" s="3">
        <v>0</v>
      </c>
      <c r="M1788" s="3">
        <v>0</v>
      </c>
      <c r="N1788" s="3">
        <v>0</v>
      </c>
      <c r="O1788" s="3">
        <v>0.08</v>
      </c>
      <c r="P1788" s="3">
        <v>0</v>
      </c>
      <c r="Q1788" s="3">
        <v>0</v>
      </c>
      <c r="R1788" s="3">
        <v>0</v>
      </c>
    </row>
    <row r="1789" spans="1:18">
      <c r="A1789" s="3" t="s">
        <v>4615</v>
      </c>
      <c r="B1789" s="3" t="s">
        <v>4616</v>
      </c>
      <c r="C1789" s="3" t="s">
        <v>4137</v>
      </c>
      <c r="D1789" s="3" t="s">
        <v>4138</v>
      </c>
      <c r="E1789" s="3" t="s">
        <v>120</v>
      </c>
      <c r="F1789" s="3">
        <v>22.98</v>
      </c>
      <c r="G1789" s="3" t="s">
        <v>121</v>
      </c>
      <c r="H1789" s="3"/>
      <c r="I1789" s="3" t="s">
        <v>122</v>
      </c>
      <c r="J1789" s="3">
        <v>0</v>
      </c>
      <c r="K1789" s="3">
        <v>0</v>
      </c>
      <c r="L1789" s="3">
        <v>0</v>
      </c>
      <c r="M1789" s="3">
        <v>0</v>
      </c>
      <c r="N1789" s="3">
        <v>0</v>
      </c>
      <c r="O1789" s="3">
        <v>0.08</v>
      </c>
      <c r="P1789" s="3">
        <v>0</v>
      </c>
      <c r="Q1789" s="3">
        <v>0</v>
      </c>
      <c r="R1789" s="3">
        <v>0</v>
      </c>
    </row>
    <row r="1790" spans="1:18">
      <c r="A1790" s="3" t="s">
        <v>4617</v>
      </c>
      <c r="B1790" s="3" t="s">
        <v>4618</v>
      </c>
      <c r="C1790" s="3" t="s">
        <v>4140</v>
      </c>
      <c r="D1790" s="3" t="s">
        <v>4141</v>
      </c>
      <c r="E1790" s="3" t="s">
        <v>120</v>
      </c>
      <c r="F1790" s="3">
        <v>22.98</v>
      </c>
      <c r="G1790" s="3" t="s">
        <v>121</v>
      </c>
      <c r="H1790" s="3"/>
      <c r="I1790" s="3" t="s">
        <v>122</v>
      </c>
      <c r="J1790" s="3">
        <v>0</v>
      </c>
      <c r="K1790" s="3">
        <v>0</v>
      </c>
      <c r="L1790" s="3">
        <v>0</v>
      </c>
      <c r="M1790" s="3">
        <v>0</v>
      </c>
      <c r="N1790" s="3">
        <v>0</v>
      </c>
      <c r="O1790" s="3">
        <v>0.08</v>
      </c>
      <c r="P1790" s="3">
        <v>0</v>
      </c>
      <c r="Q1790" s="3">
        <v>0</v>
      </c>
      <c r="R1790" s="3">
        <v>0</v>
      </c>
    </row>
    <row r="1791" spans="1:18">
      <c r="A1791" s="3" t="s">
        <v>4619</v>
      </c>
      <c r="B1791" s="3" t="s">
        <v>4620</v>
      </c>
      <c r="C1791" s="3" t="s">
        <v>4143</v>
      </c>
      <c r="D1791" s="3" t="s">
        <v>4144</v>
      </c>
      <c r="E1791" s="3" t="s">
        <v>120</v>
      </c>
      <c r="F1791" s="3">
        <v>22.98</v>
      </c>
      <c r="G1791" s="3" t="s">
        <v>121</v>
      </c>
      <c r="H1791" s="3"/>
      <c r="I1791" s="3" t="s">
        <v>122</v>
      </c>
      <c r="J1791" s="3">
        <v>0</v>
      </c>
      <c r="K1791" s="3">
        <v>0</v>
      </c>
      <c r="L1791" s="3">
        <v>0</v>
      </c>
      <c r="M1791" s="3">
        <v>0</v>
      </c>
      <c r="N1791" s="3">
        <v>0</v>
      </c>
      <c r="O1791" s="3">
        <v>0.08</v>
      </c>
      <c r="P1791" s="3">
        <v>0</v>
      </c>
      <c r="Q1791" s="3">
        <v>0</v>
      </c>
      <c r="R1791" s="3">
        <v>0</v>
      </c>
    </row>
    <row r="1792" spans="1:18">
      <c r="A1792" s="3" t="s">
        <v>4621</v>
      </c>
      <c r="B1792" s="3" t="s">
        <v>4622</v>
      </c>
      <c r="C1792" s="3" t="s">
        <v>4155</v>
      </c>
      <c r="D1792" s="3" t="s">
        <v>4156</v>
      </c>
      <c r="E1792" s="3" t="s">
        <v>120</v>
      </c>
      <c r="F1792" s="3">
        <v>22.98</v>
      </c>
      <c r="G1792" s="3" t="s">
        <v>121</v>
      </c>
      <c r="H1792" s="3"/>
      <c r="I1792" s="3" t="s">
        <v>122</v>
      </c>
      <c r="J1792" s="3">
        <v>7</v>
      </c>
      <c r="K1792" s="3">
        <v>6</v>
      </c>
      <c r="L1792" s="3">
        <v>0</v>
      </c>
      <c r="M1792" s="3">
        <v>1</v>
      </c>
      <c r="N1792" s="3">
        <v>7</v>
      </c>
      <c r="O1792" s="3">
        <v>0.08</v>
      </c>
      <c r="P1792" s="3">
        <v>0</v>
      </c>
      <c r="Q1792" s="3">
        <v>0</v>
      </c>
      <c r="R1792" s="3">
        <v>0</v>
      </c>
    </row>
    <row r="1793" spans="1:18">
      <c r="A1793" s="3" t="s">
        <v>4623</v>
      </c>
      <c r="B1793" s="3" t="s">
        <v>4624</v>
      </c>
      <c r="C1793" s="3" t="s">
        <v>4146</v>
      </c>
      <c r="D1793" s="3" t="s">
        <v>4147</v>
      </c>
      <c r="E1793" s="3" t="s">
        <v>120</v>
      </c>
      <c r="F1793" s="3">
        <v>22.98</v>
      </c>
      <c r="G1793" s="3" t="s">
        <v>121</v>
      </c>
      <c r="H1793" s="3"/>
      <c r="I1793" s="3" t="s">
        <v>122</v>
      </c>
      <c r="J1793" s="3">
        <v>0</v>
      </c>
      <c r="K1793" s="3">
        <v>0</v>
      </c>
      <c r="L1793" s="3">
        <v>0</v>
      </c>
      <c r="M1793" s="3">
        <v>0</v>
      </c>
      <c r="N1793" s="3">
        <v>0</v>
      </c>
      <c r="O1793" s="3">
        <v>0.08</v>
      </c>
      <c r="P1793" s="3">
        <v>0</v>
      </c>
      <c r="Q1793" s="3">
        <v>0</v>
      </c>
      <c r="R1793" s="3">
        <v>0</v>
      </c>
    </row>
    <row r="1794" spans="1:18">
      <c r="A1794" s="3" t="s">
        <v>4625</v>
      </c>
      <c r="B1794" s="3" t="s">
        <v>4626</v>
      </c>
      <c r="C1794" s="3" t="s">
        <v>4149</v>
      </c>
      <c r="D1794" s="3" t="s">
        <v>4150</v>
      </c>
      <c r="E1794" s="3" t="s">
        <v>120</v>
      </c>
      <c r="F1794" s="3">
        <v>22.98</v>
      </c>
      <c r="G1794" s="3" t="s">
        <v>121</v>
      </c>
      <c r="H1794" s="3"/>
      <c r="I1794" s="3" t="s">
        <v>122</v>
      </c>
      <c r="J1794" s="3">
        <v>0</v>
      </c>
      <c r="K1794" s="3">
        <v>0</v>
      </c>
      <c r="L1794" s="3">
        <v>0</v>
      </c>
      <c r="M1794" s="3">
        <v>0</v>
      </c>
      <c r="N1794" s="3">
        <v>0</v>
      </c>
      <c r="O1794" s="3">
        <v>0.08</v>
      </c>
      <c r="P1794" s="3">
        <v>0</v>
      </c>
      <c r="Q1794" s="3">
        <v>0</v>
      </c>
      <c r="R1794" s="3">
        <v>0</v>
      </c>
    </row>
    <row r="1795" spans="1:18">
      <c r="A1795" s="3" t="s">
        <v>4627</v>
      </c>
      <c r="B1795" s="3" t="s">
        <v>4628</v>
      </c>
      <c r="C1795" s="3" t="s">
        <v>4152</v>
      </c>
      <c r="D1795" s="3" t="s">
        <v>4153</v>
      </c>
      <c r="E1795" s="3" t="s">
        <v>120</v>
      </c>
      <c r="F1795" s="3">
        <v>22.98</v>
      </c>
      <c r="G1795" s="3" t="s">
        <v>121</v>
      </c>
      <c r="H1795" s="3"/>
      <c r="I1795" s="3" t="s">
        <v>122</v>
      </c>
      <c r="J1795" s="3">
        <v>0</v>
      </c>
      <c r="K1795" s="3">
        <v>0</v>
      </c>
      <c r="L1795" s="3">
        <v>0</v>
      </c>
      <c r="M1795" s="3">
        <v>0</v>
      </c>
      <c r="N1795" s="3">
        <v>0</v>
      </c>
      <c r="O1795" s="3">
        <v>0.08</v>
      </c>
      <c r="P1795" s="3">
        <v>0</v>
      </c>
      <c r="Q1795" s="3">
        <v>0</v>
      </c>
      <c r="R1795" s="3">
        <v>0</v>
      </c>
    </row>
    <row r="1796" spans="1:18">
      <c r="A1796" s="3" t="s">
        <v>4629</v>
      </c>
      <c r="B1796" s="3" t="s">
        <v>4630</v>
      </c>
      <c r="C1796" s="3" t="s">
        <v>3314</v>
      </c>
      <c r="D1796" s="3" t="s">
        <v>3315</v>
      </c>
      <c r="E1796" s="3" t="s">
        <v>120</v>
      </c>
      <c r="F1796" s="3">
        <v>22.98</v>
      </c>
      <c r="G1796" s="3" t="s">
        <v>121</v>
      </c>
      <c r="H1796" s="3"/>
      <c r="I1796" s="3" t="s">
        <v>122</v>
      </c>
      <c r="J1796" s="3">
        <v>2</v>
      </c>
      <c r="K1796" s="3">
        <v>1</v>
      </c>
      <c r="L1796" s="3">
        <v>0</v>
      </c>
      <c r="M1796" s="3">
        <v>1</v>
      </c>
      <c r="N1796" s="3">
        <v>2</v>
      </c>
      <c r="O1796" s="3">
        <v>0.08</v>
      </c>
      <c r="P1796" s="3">
        <v>0</v>
      </c>
      <c r="Q1796" s="3">
        <v>0</v>
      </c>
      <c r="R1796" s="3">
        <v>0</v>
      </c>
    </row>
    <row r="1797" spans="1:18">
      <c r="A1797" s="3" t="s">
        <v>4631</v>
      </c>
      <c r="B1797" s="3" t="s">
        <v>4632</v>
      </c>
      <c r="C1797" s="3" t="s">
        <v>4167</v>
      </c>
      <c r="D1797" s="3" t="s">
        <v>4168</v>
      </c>
      <c r="E1797" s="3" t="s">
        <v>120</v>
      </c>
      <c r="F1797" s="3">
        <v>22.98</v>
      </c>
      <c r="G1797" s="3" t="s">
        <v>121</v>
      </c>
      <c r="H1797" s="3"/>
      <c r="I1797" s="3" t="s">
        <v>122</v>
      </c>
      <c r="J1797" s="3">
        <v>0</v>
      </c>
      <c r="K1797" s="3">
        <v>0</v>
      </c>
      <c r="L1797" s="3">
        <v>0</v>
      </c>
      <c r="M1797" s="3">
        <v>0</v>
      </c>
      <c r="N1797" s="3">
        <v>0</v>
      </c>
      <c r="O1797" s="3">
        <v>0.08</v>
      </c>
      <c r="P1797" s="3">
        <v>0</v>
      </c>
      <c r="Q1797" s="3">
        <v>0</v>
      </c>
      <c r="R1797" s="3">
        <v>0</v>
      </c>
    </row>
    <row r="1798" spans="1:18">
      <c r="A1798" s="3" t="s">
        <v>4633</v>
      </c>
      <c r="B1798" s="3" t="s">
        <v>4634</v>
      </c>
      <c r="C1798" s="3" t="s">
        <v>4534</v>
      </c>
      <c r="D1798" s="3" t="s">
        <v>4535</v>
      </c>
      <c r="E1798" s="3" t="s">
        <v>120</v>
      </c>
      <c r="F1798" s="3">
        <v>22.98</v>
      </c>
      <c r="G1798" s="3" t="s">
        <v>121</v>
      </c>
      <c r="H1798" s="3"/>
      <c r="I1798" s="3" t="s">
        <v>122</v>
      </c>
      <c r="J1798" s="3">
        <v>10</v>
      </c>
      <c r="K1798" s="3">
        <v>10</v>
      </c>
      <c r="L1798" s="3">
        <v>0</v>
      </c>
      <c r="M1798" s="3">
        <v>0</v>
      </c>
      <c r="N1798" s="3">
        <v>10</v>
      </c>
      <c r="O1798" s="3">
        <v>0.08</v>
      </c>
      <c r="P1798" s="3">
        <v>0</v>
      </c>
      <c r="Q1798" s="3">
        <v>0</v>
      </c>
      <c r="R1798" s="3">
        <v>0</v>
      </c>
    </row>
    <row r="1799" spans="1:18">
      <c r="A1799" s="3" t="s">
        <v>4635</v>
      </c>
      <c r="B1799" s="3" t="s">
        <v>4636</v>
      </c>
      <c r="C1799" s="3" t="s">
        <v>4172</v>
      </c>
      <c r="D1799" s="3" t="s">
        <v>4173</v>
      </c>
      <c r="E1799" s="3" t="s">
        <v>120</v>
      </c>
      <c r="F1799" s="3">
        <v>22.98</v>
      </c>
      <c r="G1799" s="3" t="s">
        <v>121</v>
      </c>
      <c r="H1799" s="3"/>
      <c r="I1799" s="3" t="s">
        <v>122</v>
      </c>
      <c r="J1799" s="3">
        <v>0</v>
      </c>
      <c r="K1799" s="3">
        <v>0</v>
      </c>
      <c r="L1799" s="3">
        <v>0</v>
      </c>
      <c r="M1799" s="3">
        <v>0</v>
      </c>
      <c r="N1799" s="3">
        <v>0</v>
      </c>
      <c r="O1799" s="3">
        <v>0.08</v>
      </c>
      <c r="P1799" s="3">
        <v>0</v>
      </c>
      <c r="Q1799" s="3">
        <v>0</v>
      </c>
      <c r="R1799" s="3">
        <v>0</v>
      </c>
    </row>
    <row r="1800" spans="1:18">
      <c r="A1800" s="3" t="s">
        <v>4637</v>
      </c>
      <c r="B1800" s="3" t="s">
        <v>4638</v>
      </c>
      <c r="C1800" s="3" t="s">
        <v>4175</v>
      </c>
      <c r="D1800" s="3" t="s">
        <v>4176</v>
      </c>
      <c r="E1800" s="3" t="s">
        <v>120</v>
      </c>
      <c r="F1800" s="3">
        <v>22.98</v>
      </c>
      <c r="G1800" s="3" t="s">
        <v>121</v>
      </c>
      <c r="H1800" s="3"/>
      <c r="I1800" s="3" t="s">
        <v>122</v>
      </c>
      <c r="J1800" s="3">
        <v>0</v>
      </c>
      <c r="K1800" s="3">
        <v>0</v>
      </c>
      <c r="L1800" s="3">
        <v>0</v>
      </c>
      <c r="M1800" s="3">
        <v>0</v>
      </c>
      <c r="N1800" s="3">
        <v>0</v>
      </c>
      <c r="O1800" s="3">
        <v>0.08</v>
      </c>
      <c r="P1800" s="3">
        <v>0</v>
      </c>
      <c r="Q1800" s="3">
        <v>0</v>
      </c>
      <c r="R1800" s="3">
        <v>0</v>
      </c>
    </row>
    <row r="1801" spans="1:18">
      <c r="A1801" s="3" t="s">
        <v>4639</v>
      </c>
      <c r="B1801" s="3" t="s">
        <v>4640</v>
      </c>
      <c r="C1801" s="3" t="s">
        <v>4537</v>
      </c>
      <c r="D1801" s="3" t="s">
        <v>4538</v>
      </c>
      <c r="E1801" s="3" t="s">
        <v>120</v>
      </c>
      <c r="F1801" s="3">
        <v>22.98</v>
      </c>
      <c r="G1801" s="3" t="s">
        <v>121</v>
      </c>
      <c r="H1801" s="3"/>
      <c r="I1801" s="3" t="s">
        <v>122</v>
      </c>
      <c r="J1801" s="3">
        <v>0</v>
      </c>
      <c r="K1801" s="3">
        <v>0</v>
      </c>
      <c r="L1801" s="3">
        <v>0</v>
      </c>
      <c r="M1801" s="3">
        <v>0</v>
      </c>
      <c r="N1801" s="3">
        <v>0</v>
      </c>
      <c r="O1801" s="3">
        <v>0.08</v>
      </c>
      <c r="P1801" s="3">
        <v>0</v>
      </c>
      <c r="Q1801" s="3">
        <v>0</v>
      </c>
      <c r="R1801" s="3">
        <v>0</v>
      </c>
    </row>
    <row r="1802" spans="1:18">
      <c r="A1802" s="3" t="s">
        <v>4641</v>
      </c>
      <c r="B1802" s="3" t="s">
        <v>4642</v>
      </c>
      <c r="C1802" s="3" t="s">
        <v>4181</v>
      </c>
      <c r="D1802" s="3" t="s">
        <v>4182</v>
      </c>
      <c r="E1802" s="3" t="s">
        <v>120</v>
      </c>
      <c r="F1802" s="3">
        <v>22.98</v>
      </c>
      <c r="G1802" s="3" t="s">
        <v>121</v>
      </c>
      <c r="H1802" s="3"/>
      <c r="I1802" s="3" t="s">
        <v>122</v>
      </c>
      <c r="J1802" s="3">
        <v>1</v>
      </c>
      <c r="K1802" s="3">
        <v>1</v>
      </c>
      <c r="L1802" s="3">
        <v>0</v>
      </c>
      <c r="M1802" s="3">
        <v>0</v>
      </c>
      <c r="N1802" s="3">
        <v>1</v>
      </c>
      <c r="O1802" s="3">
        <v>0.08</v>
      </c>
      <c r="P1802" s="3">
        <v>0</v>
      </c>
      <c r="Q1802" s="3">
        <v>0</v>
      </c>
      <c r="R1802" s="3">
        <v>0</v>
      </c>
    </row>
    <row r="1803" spans="1:18">
      <c r="A1803" s="3" t="s">
        <v>4643</v>
      </c>
      <c r="B1803" s="3" t="s">
        <v>4644</v>
      </c>
      <c r="C1803" s="3" t="s">
        <v>4184</v>
      </c>
      <c r="D1803" s="3" t="s">
        <v>4185</v>
      </c>
      <c r="E1803" s="3" t="s">
        <v>120</v>
      </c>
      <c r="F1803" s="3">
        <v>22.98</v>
      </c>
      <c r="G1803" s="3" t="s">
        <v>121</v>
      </c>
      <c r="H1803" s="3"/>
      <c r="I1803" s="3" t="s">
        <v>122</v>
      </c>
      <c r="J1803" s="3">
        <v>0</v>
      </c>
      <c r="K1803" s="3">
        <v>0</v>
      </c>
      <c r="L1803" s="3">
        <v>0</v>
      </c>
      <c r="M1803" s="3">
        <v>0</v>
      </c>
      <c r="N1803" s="3">
        <v>0</v>
      </c>
      <c r="O1803" s="3">
        <v>0.08</v>
      </c>
      <c r="P1803" s="3">
        <v>0</v>
      </c>
      <c r="Q1803" s="3">
        <v>0</v>
      </c>
      <c r="R1803" s="3">
        <v>0</v>
      </c>
    </row>
    <row r="1804" spans="1:18">
      <c r="A1804" s="3" t="s">
        <v>4645</v>
      </c>
      <c r="B1804" s="3" t="s">
        <v>4646</v>
      </c>
      <c r="C1804" s="3" t="s">
        <v>4187</v>
      </c>
      <c r="D1804" s="3" t="s">
        <v>4188</v>
      </c>
      <c r="E1804" s="3" t="s">
        <v>120</v>
      </c>
      <c r="F1804" s="3">
        <v>22.98</v>
      </c>
      <c r="G1804" s="3" t="s">
        <v>121</v>
      </c>
      <c r="H1804" s="3"/>
      <c r="I1804" s="3" t="s">
        <v>122</v>
      </c>
      <c r="J1804" s="3">
        <v>0</v>
      </c>
      <c r="K1804" s="3">
        <v>0</v>
      </c>
      <c r="L1804" s="3">
        <v>0</v>
      </c>
      <c r="M1804" s="3">
        <v>0</v>
      </c>
      <c r="N1804" s="3">
        <v>0</v>
      </c>
      <c r="O1804" s="3">
        <v>0.08</v>
      </c>
      <c r="P1804" s="3">
        <v>0</v>
      </c>
      <c r="Q1804" s="3">
        <v>0</v>
      </c>
      <c r="R1804" s="3">
        <v>0</v>
      </c>
    </row>
    <row r="1805" spans="1:18">
      <c r="A1805" s="3" t="s">
        <v>4647</v>
      </c>
      <c r="B1805" s="3" t="s">
        <v>4648</v>
      </c>
      <c r="C1805" s="3" t="s">
        <v>4190</v>
      </c>
      <c r="D1805" s="3" t="s">
        <v>4191</v>
      </c>
      <c r="E1805" s="3" t="s">
        <v>120</v>
      </c>
      <c r="F1805" s="3">
        <v>22.98</v>
      </c>
      <c r="G1805" s="3" t="s">
        <v>121</v>
      </c>
      <c r="H1805" s="3"/>
      <c r="I1805" s="3" t="s">
        <v>122</v>
      </c>
      <c r="J1805" s="3">
        <v>10</v>
      </c>
      <c r="K1805" s="3">
        <v>10</v>
      </c>
      <c r="L1805" s="3">
        <v>0</v>
      </c>
      <c r="M1805" s="3">
        <v>0</v>
      </c>
      <c r="N1805" s="3">
        <v>10</v>
      </c>
      <c r="O1805" s="3">
        <v>0.08</v>
      </c>
      <c r="P1805" s="3">
        <v>0</v>
      </c>
      <c r="Q1805" s="3">
        <v>0</v>
      </c>
      <c r="R1805" s="3">
        <v>0</v>
      </c>
    </row>
    <row r="1806" spans="1:18">
      <c r="A1806" s="3" t="s">
        <v>4649</v>
      </c>
      <c r="B1806" s="3" t="s">
        <v>4650</v>
      </c>
      <c r="C1806" s="3" t="s">
        <v>4193</v>
      </c>
      <c r="D1806" s="3" t="s">
        <v>4194</v>
      </c>
      <c r="E1806" s="3" t="s">
        <v>120</v>
      </c>
      <c r="F1806" s="3">
        <v>22.98</v>
      </c>
      <c r="G1806" s="3" t="s">
        <v>121</v>
      </c>
      <c r="H1806" s="3"/>
      <c r="I1806" s="3" t="s">
        <v>122</v>
      </c>
      <c r="J1806" s="3">
        <v>2</v>
      </c>
      <c r="K1806" s="3">
        <v>2</v>
      </c>
      <c r="L1806" s="3">
        <v>0</v>
      </c>
      <c r="M1806" s="3">
        <v>0</v>
      </c>
      <c r="N1806" s="3">
        <v>2</v>
      </c>
      <c r="O1806" s="3">
        <v>0.08</v>
      </c>
      <c r="P1806" s="3">
        <v>0</v>
      </c>
      <c r="Q1806" s="3">
        <v>0</v>
      </c>
      <c r="R1806" s="3">
        <v>0</v>
      </c>
    </row>
    <row r="1807" spans="1:18">
      <c r="A1807" s="3" t="s">
        <v>4651</v>
      </c>
      <c r="B1807" s="3" t="s">
        <v>4652</v>
      </c>
      <c r="C1807" s="3" t="s">
        <v>4196</v>
      </c>
      <c r="D1807" s="3" t="s">
        <v>4197</v>
      </c>
      <c r="E1807" s="3" t="s">
        <v>120</v>
      </c>
      <c r="F1807" s="3">
        <v>22.98</v>
      </c>
      <c r="G1807" s="3" t="s">
        <v>121</v>
      </c>
      <c r="H1807" s="3"/>
      <c r="I1807" s="3" t="s">
        <v>122</v>
      </c>
      <c r="J1807" s="3">
        <v>0</v>
      </c>
      <c r="K1807" s="3">
        <v>0</v>
      </c>
      <c r="L1807" s="3">
        <v>0</v>
      </c>
      <c r="M1807" s="3">
        <v>0</v>
      </c>
      <c r="N1807" s="3">
        <v>0</v>
      </c>
      <c r="O1807" s="3">
        <v>0.08</v>
      </c>
      <c r="P1807" s="3">
        <v>0</v>
      </c>
      <c r="Q1807" s="3">
        <v>0</v>
      </c>
      <c r="R1807" s="3">
        <v>0</v>
      </c>
    </row>
    <row r="1808" spans="1:18">
      <c r="A1808" s="3" t="s">
        <v>4653</v>
      </c>
      <c r="B1808" s="3" t="s">
        <v>4654</v>
      </c>
      <c r="C1808" s="3" t="s">
        <v>4199</v>
      </c>
      <c r="D1808" s="3" t="s">
        <v>4200</v>
      </c>
      <c r="E1808" s="3" t="s">
        <v>120</v>
      </c>
      <c r="F1808" s="3">
        <v>22.98</v>
      </c>
      <c r="G1808" s="3" t="s">
        <v>121</v>
      </c>
      <c r="H1808" s="3"/>
      <c r="I1808" s="3" t="s">
        <v>122</v>
      </c>
      <c r="J1808" s="3">
        <v>0</v>
      </c>
      <c r="K1808" s="3">
        <v>0</v>
      </c>
      <c r="L1808" s="3">
        <v>0</v>
      </c>
      <c r="M1808" s="3">
        <v>0</v>
      </c>
      <c r="N1808" s="3">
        <v>0</v>
      </c>
      <c r="O1808" s="3">
        <v>0.08</v>
      </c>
      <c r="P1808" s="3">
        <v>0</v>
      </c>
      <c r="Q1808" s="3">
        <v>0</v>
      </c>
      <c r="R1808" s="3">
        <v>0</v>
      </c>
    </row>
    <row r="1809" spans="1:18">
      <c r="A1809" s="3" t="s">
        <v>4655</v>
      </c>
      <c r="B1809" s="3" t="s">
        <v>4656</v>
      </c>
      <c r="C1809" s="3" t="s">
        <v>4202</v>
      </c>
      <c r="D1809" s="3" t="s">
        <v>4657</v>
      </c>
      <c r="E1809" s="3" t="s">
        <v>120</v>
      </c>
      <c r="F1809" s="3">
        <v>22.98</v>
      </c>
      <c r="G1809" s="3" t="s">
        <v>121</v>
      </c>
      <c r="H1809" s="3"/>
      <c r="I1809" s="3" t="s">
        <v>122</v>
      </c>
      <c r="J1809" s="3">
        <v>0</v>
      </c>
      <c r="K1809" s="3">
        <v>0</v>
      </c>
      <c r="L1809" s="3">
        <v>0</v>
      </c>
      <c r="M1809" s="3">
        <v>0</v>
      </c>
      <c r="N1809" s="3">
        <v>0</v>
      </c>
      <c r="O1809" s="3">
        <v>0.08</v>
      </c>
      <c r="P1809" s="3">
        <v>0</v>
      </c>
      <c r="Q1809" s="3">
        <v>0</v>
      </c>
      <c r="R1809" s="3">
        <v>0</v>
      </c>
    </row>
    <row r="1810" spans="1:18">
      <c r="A1810" s="3" t="s">
        <v>4658</v>
      </c>
      <c r="B1810" s="3" t="s">
        <v>4659</v>
      </c>
      <c r="C1810" s="3" t="s">
        <v>4204</v>
      </c>
      <c r="D1810" s="3" t="s">
        <v>4660</v>
      </c>
      <c r="E1810" s="3" t="s">
        <v>120</v>
      </c>
      <c r="F1810" s="3">
        <v>22.98</v>
      </c>
      <c r="G1810" s="3" t="s">
        <v>121</v>
      </c>
      <c r="H1810" s="3"/>
      <c r="I1810" s="3" t="s">
        <v>122</v>
      </c>
      <c r="J1810" s="3">
        <v>0</v>
      </c>
      <c r="K1810" s="3">
        <v>0</v>
      </c>
      <c r="L1810" s="3">
        <v>0</v>
      </c>
      <c r="M1810" s="3">
        <v>0</v>
      </c>
      <c r="N1810" s="3">
        <v>0</v>
      </c>
      <c r="O1810" s="3">
        <v>0.08</v>
      </c>
      <c r="P1810" s="3">
        <v>0</v>
      </c>
      <c r="Q1810" s="3">
        <v>0</v>
      </c>
      <c r="R1810" s="3">
        <v>0</v>
      </c>
    </row>
    <row r="1811" spans="1:18">
      <c r="A1811" s="3" t="s">
        <v>4661</v>
      </c>
      <c r="B1811" s="3" t="s">
        <v>4662</v>
      </c>
      <c r="C1811" s="3" t="s">
        <v>4206</v>
      </c>
      <c r="D1811" s="3" t="s">
        <v>4207</v>
      </c>
      <c r="E1811" s="3" t="s">
        <v>120</v>
      </c>
      <c r="F1811" s="3">
        <v>22.98</v>
      </c>
      <c r="G1811" s="3" t="s">
        <v>121</v>
      </c>
      <c r="H1811" s="3"/>
      <c r="I1811" s="3" t="s">
        <v>122</v>
      </c>
      <c r="J1811" s="3">
        <v>0</v>
      </c>
      <c r="K1811" s="3">
        <v>0</v>
      </c>
      <c r="L1811" s="3">
        <v>0</v>
      </c>
      <c r="M1811" s="3">
        <v>0</v>
      </c>
      <c r="N1811" s="3">
        <v>0</v>
      </c>
      <c r="O1811" s="3">
        <v>0.08</v>
      </c>
      <c r="P1811" s="3">
        <v>0</v>
      </c>
      <c r="Q1811" s="3">
        <v>0</v>
      </c>
      <c r="R1811" s="3">
        <v>0</v>
      </c>
    </row>
    <row r="1812" spans="1:18">
      <c r="A1812" s="3" t="s">
        <v>4663</v>
      </c>
      <c r="B1812" s="3" t="s">
        <v>4664</v>
      </c>
      <c r="C1812" s="3" t="s">
        <v>4209</v>
      </c>
      <c r="D1812" s="3" t="s">
        <v>4665</v>
      </c>
      <c r="E1812" s="3" t="s">
        <v>120</v>
      </c>
      <c r="F1812" s="3">
        <v>22.98</v>
      </c>
      <c r="G1812" s="3" t="s">
        <v>121</v>
      </c>
      <c r="H1812" s="3"/>
      <c r="I1812" s="3" t="s">
        <v>122</v>
      </c>
      <c r="J1812" s="3">
        <v>0</v>
      </c>
      <c r="K1812" s="3">
        <v>0</v>
      </c>
      <c r="L1812" s="3">
        <v>0</v>
      </c>
      <c r="M1812" s="3">
        <v>0</v>
      </c>
      <c r="N1812" s="3">
        <v>0</v>
      </c>
      <c r="O1812" s="3">
        <v>0.08</v>
      </c>
      <c r="P1812" s="3">
        <v>0</v>
      </c>
      <c r="Q1812" s="3">
        <v>0</v>
      </c>
      <c r="R1812" s="3">
        <v>0</v>
      </c>
    </row>
    <row r="1813" spans="1:18">
      <c r="A1813" s="3" t="s">
        <v>4666</v>
      </c>
      <c r="B1813" s="3" t="s">
        <v>4667</v>
      </c>
      <c r="C1813" s="3" t="s">
        <v>4223</v>
      </c>
      <c r="D1813" s="3" t="s">
        <v>4224</v>
      </c>
      <c r="E1813" s="3" t="s">
        <v>120</v>
      </c>
      <c r="F1813" s="3">
        <v>22.98</v>
      </c>
      <c r="G1813" s="3" t="s">
        <v>121</v>
      </c>
      <c r="H1813" s="3"/>
      <c r="I1813" s="3" t="s">
        <v>122</v>
      </c>
      <c r="J1813" s="3">
        <v>0</v>
      </c>
      <c r="K1813" s="3">
        <v>0</v>
      </c>
      <c r="L1813" s="3">
        <v>0</v>
      </c>
      <c r="M1813" s="3">
        <v>0</v>
      </c>
      <c r="N1813" s="3">
        <v>0</v>
      </c>
      <c r="O1813" s="3">
        <v>0.08</v>
      </c>
      <c r="P1813" s="3">
        <v>0</v>
      </c>
      <c r="Q1813" s="3">
        <v>0</v>
      </c>
      <c r="R1813" s="3">
        <v>0</v>
      </c>
    </row>
    <row r="1814" spans="1:18">
      <c r="A1814" s="3" t="s">
        <v>4668</v>
      </c>
      <c r="B1814" s="3" t="s">
        <v>4669</v>
      </c>
      <c r="C1814" s="3" t="s">
        <v>4226</v>
      </c>
      <c r="D1814" s="3" t="s">
        <v>4227</v>
      </c>
      <c r="E1814" s="3" t="s">
        <v>120</v>
      </c>
      <c r="F1814" s="3">
        <v>22.98</v>
      </c>
      <c r="G1814" s="3" t="s">
        <v>121</v>
      </c>
      <c r="H1814" s="3"/>
      <c r="I1814" s="3" t="s">
        <v>122</v>
      </c>
      <c r="J1814" s="3">
        <v>0</v>
      </c>
      <c r="K1814" s="3">
        <v>0</v>
      </c>
      <c r="L1814" s="3">
        <v>0</v>
      </c>
      <c r="M1814" s="3">
        <v>0</v>
      </c>
      <c r="N1814" s="3">
        <v>0</v>
      </c>
      <c r="O1814" s="3">
        <v>0.08</v>
      </c>
      <c r="P1814" s="3">
        <v>0</v>
      </c>
      <c r="Q1814" s="3">
        <v>0</v>
      </c>
      <c r="R1814" s="3">
        <v>0</v>
      </c>
    </row>
    <row r="1815" spans="1:18">
      <c r="A1815" s="3" t="s">
        <v>4670</v>
      </c>
      <c r="B1815" s="3" t="s">
        <v>4671</v>
      </c>
      <c r="C1815" s="3" t="s">
        <v>4229</v>
      </c>
      <c r="D1815" s="3" t="s">
        <v>4230</v>
      </c>
      <c r="E1815" s="3" t="s">
        <v>120</v>
      </c>
      <c r="F1815" s="3">
        <v>22.98</v>
      </c>
      <c r="G1815" s="3" t="s">
        <v>121</v>
      </c>
      <c r="H1815" s="3"/>
      <c r="I1815" s="3" t="s">
        <v>122</v>
      </c>
      <c r="J1815" s="3">
        <v>0</v>
      </c>
      <c r="K1815" s="3">
        <v>0</v>
      </c>
      <c r="L1815" s="3">
        <v>0</v>
      </c>
      <c r="M1815" s="3">
        <v>0</v>
      </c>
      <c r="N1815" s="3">
        <v>0</v>
      </c>
      <c r="O1815" s="3">
        <v>0.08</v>
      </c>
      <c r="P1815" s="3">
        <v>0</v>
      </c>
      <c r="Q1815" s="3">
        <v>0</v>
      </c>
      <c r="R1815" s="3">
        <v>0</v>
      </c>
    </row>
    <row r="1816" spans="1:18">
      <c r="A1816" s="3" t="s">
        <v>4672</v>
      </c>
      <c r="B1816" s="3" t="s">
        <v>4673</v>
      </c>
      <c r="C1816" s="3" t="s">
        <v>4232</v>
      </c>
      <c r="D1816" s="3" t="s">
        <v>4233</v>
      </c>
      <c r="E1816" s="3" t="s">
        <v>120</v>
      </c>
      <c r="F1816" s="3">
        <v>22.98</v>
      </c>
      <c r="G1816" s="3" t="s">
        <v>121</v>
      </c>
      <c r="H1816" s="3"/>
      <c r="I1816" s="3" t="s">
        <v>122</v>
      </c>
      <c r="J1816" s="3">
        <v>0</v>
      </c>
      <c r="K1816" s="3">
        <v>0</v>
      </c>
      <c r="L1816" s="3">
        <v>0</v>
      </c>
      <c r="M1816" s="3">
        <v>0</v>
      </c>
      <c r="N1816" s="3">
        <v>0</v>
      </c>
      <c r="O1816" s="3">
        <v>0.08</v>
      </c>
      <c r="P1816" s="3">
        <v>0</v>
      </c>
      <c r="Q1816" s="3">
        <v>0</v>
      </c>
      <c r="R1816" s="3">
        <v>0</v>
      </c>
    </row>
    <row r="1817" spans="1:18">
      <c r="A1817" s="3" t="s">
        <v>4674</v>
      </c>
      <c r="B1817" s="3" t="s">
        <v>4675</v>
      </c>
      <c r="C1817" s="3" t="s">
        <v>4211</v>
      </c>
      <c r="D1817" s="3" t="s">
        <v>4212</v>
      </c>
      <c r="E1817" s="3" t="s">
        <v>120</v>
      </c>
      <c r="F1817" s="3">
        <v>22.98</v>
      </c>
      <c r="G1817" s="3" t="s">
        <v>121</v>
      </c>
      <c r="H1817" s="3"/>
      <c r="I1817" s="3" t="s">
        <v>122</v>
      </c>
      <c r="J1817" s="3">
        <v>0</v>
      </c>
      <c r="K1817" s="3">
        <v>0</v>
      </c>
      <c r="L1817" s="3">
        <v>0</v>
      </c>
      <c r="M1817" s="3">
        <v>0</v>
      </c>
      <c r="N1817" s="3">
        <v>0</v>
      </c>
      <c r="O1817" s="3">
        <v>0.11</v>
      </c>
      <c r="P1817" s="3">
        <v>0</v>
      </c>
      <c r="Q1817" s="3">
        <v>0</v>
      </c>
      <c r="R1817" s="3">
        <v>0</v>
      </c>
    </row>
    <row r="1818" spans="1:18">
      <c r="A1818" s="3" t="s">
        <v>4676</v>
      </c>
      <c r="B1818" s="3" t="s">
        <v>4677</v>
      </c>
      <c r="C1818" s="3" t="s">
        <v>4214</v>
      </c>
      <c r="D1818" s="3" t="s">
        <v>4215</v>
      </c>
      <c r="E1818" s="3" t="s">
        <v>120</v>
      </c>
      <c r="F1818" s="3">
        <v>22.98</v>
      </c>
      <c r="G1818" s="3" t="s">
        <v>121</v>
      </c>
      <c r="H1818" s="3"/>
      <c r="I1818" s="3" t="s">
        <v>122</v>
      </c>
      <c r="J1818" s="3">
        <v>0</v>
      </c>
      <c r="K1818" s="3">
        <v>0</v>
      </c>
      <c r="L1818" s="3">
        <v>0</v>
      </c>
      <c r="M1818" s="3">
        <v>0</v>
      </c>
      <c r="N1818" s="3">
        <v>0</v>
      </c>
      <c r="O1818" s="3">
        <v>0.08</v>
      </c>
      <c r="P1818" s="3">
        <v>0</v>
      </c>
      <c r="Q1818" s="3">
        <v>0</v>
      </c>
      <c r="R1818" s="3">
        <v>0</v>
      </c>
    </row>
    <row r="1819" spans="1:18">
      <c r="A1819" s="3" t="s">
        <v>4678</v>
      </c>
      <c r="B1819" s="3" t="s">
        <v>4679</v>
      </c>
      <c r="C1819" s="3" t="s">
        <v>4217</v>
      </c>
      <c r="D1819" s="3" t="s">
        <v>4218</v>
      </c>
      <c r="E1819" s="3" t="s">
        <v>120</v>
      </c>
      <c r="F1819" s="3">
        <v>22.98</v>
      </c>
      <c r="G1819" s="3" t="s">
        <v>121</v>
      </c>
      <c r="H1819" s="3"/>
      <c r="I1819" s="3" t="s">
        <v>122</v>
      </c>
      <c r="J1819" s="3">
        <v>0</v>
      </c>
      <c r="K1819" s="3">
        <v>0</v>
      </c>
      <c r="L1819" s="3">
        <v>0</v>
      </c>
      <c r="M1819" s="3">
        <v>0</v>
      </c>
      <c r="N1819" s="3">
        <v>0</v>
      </c>
      <c r="O1819" s="3">
        <v>0.07</v>
      </c>
      <c r="P1819" s="3">
        <v>0</v>
      </c>
      <c r="Q1819" s="3">
        <v>0</v>
      </c>
      <c r="R1819" s="3">
        <v>0</v>
      </c>
    </row>
    <row r="1820" spans="1:18">
      <c r="A1820" s="3" t="s">
        <v>4680</v>
      </c>
      <c r="B1820" s="3" t="s">
        <v>4681</v>
      </c>
      <c r="C1820" s="3" t="s">
        <v>4220</v>
      </c>
      <c r="D1820" s="3" t="s">
        <v>4221</v>
      </c>
      <c r="E1820" s="3" t="s">
        <v>120</v>
      </c>
      <c r="F1820" s="3">
        <v>22.98</v>
      </c>
      <c r="G1820" s="3" t="s">
        <v>121</v>
      </c>
      <c r="H1820" s="3"/>
      <c r="I1820" s="3" t="s">
        <v>122</v>
      </c>
      <c r="J1820" s="3">
        <v>0</v>
      </c>
      <c r="K1820" s="3">
        <v>0</v>
      </c>
      <c r="L1820" s="3">
        <v>0</v>
      </c>
      <c r="M1820" s="3">
        <v>0</v>
      </c>
      <c r="N1820" s="3">
        <v>0</v>
      </c>
      <c r="O1820" s="3">
        <v>0.08</v>
      </c>
      <c r="P1820" s="3">
        <v>0</v>
      </c>
      <c r="Q1820" s="3">
        <v>0</v>
      </c>
      <c r="R1820" s="3">
        <v>0</v>
      </c>
    </row>
    <row r="1821" spans="1:18">
      <c r="A1821" s="3" t="s">
        <v>4682</v>
      </c>
      <c r="B1821" s="3" t="s">
        <v>4683</v>
      </c>
      <c r="C1821" s="3" t="s">
        <v>4283</v>
      </c>
      <c r="D1821" s="3" t="s">
        <v>4284</v>
      </c>
      <c r="E1821" s="3" t="s">
        <v>120</v>
      </c>
      <c r="F1821" s="3">
        <v>23.98</v>
      </c>
      <c r="G1821" s="3" t="s">
        <v>121</v>
      </c>
      <c r="H1821" s="3"/>
      <c r="I1821" s="3" t="s">
        <v>122</v>
      </c>
      <c r="J1821" s="3">
        <v>0</v>
      </c>
      <c r="K1821" s="3">
        <v>0</v>
      </c>
      <c r="L1821" s="3">
        <v>0</v>
      </c>
      <c r="M1821" s="3">
        <v>0</v>
      </c>
      <c r="N1821" s="3">
        <v>0</v>
      </c>
      <c r="O1821" s="3">
        <v>0.17</v>
      </c>
      <c r="P1821" s="3">
        <v>0</v>
      </c>
      <c r="Q1821" s="3">
        <v>0</v>
      </c>
      <c r="R1821" s="3">
        <v>0</v>
      </c>
    </row>
    <row r="1822" spans="1:18">
      <c r="A1822" s="3" t="s">
        <v>4684</v>
      </c>
      <c r="B1822" s="3" t="s">
        <v>4685</v>
      </c>
      <c r="C1822" s="3" t="s">
        <v>4286</v>
      </c>
      <c r="D1822" s="3" t="s">
        <v>4287</v>
      </c>
      <c r="E1822" s="3" t="s">
        <v>120</v>
      </c>
      <c r="F1822" s="3">
        <v>23.98</v>
      </c>
      <c r="G1822" s="3" t="s">
        <v>121</v>
      </c>
      <c r="H1822" s="3"/>
      <c r="I1822" s="3" t="s">
        <v>122</v>
      </c>
      <c r="J1822" s="3">
        <v>5</v>
      </c>
      <c r="K1822" s="3">
        <v>5</v>
      </c>
      <c r="L1822" s="3">
        <v>0</v>
      </c>
      <c r="M1822" s="3">
        <v>0</v>
      </c>
      <c r="N1822" s="3">
        <v>13</v>
      </c>
      <c r="O1822" s="3">
        <v>0.06</v>
      </c>
      <c r="P1822" s="3">
        <v>0</v>
      </c>
      <c r="Q1822" s="3">
        <v>8</v>
      </c>
      <c r="R1822" s="3">
        <v>0</v>
      </c>
    </row>
    <row r="1823" spans="1:18">
      <c r="A1823" s="3" t="s">
        <v>4686</v>
      </c>
      <c r="B1823" s="3" t="s">
        <v>4687</v>
      </c>
      <c r="C1823" s="3" t="s">
        <v>4289</v>
      </c>
      <c r="D1823" s="3" t="s">
        <v>4290</v>
      </c>
      <c r="E1823" s="3" t="s">
        <v>120</v>
      </c>
      <c r="F1823" s="3">
        <v>23.98</v>
      </c>
      <c r="G1823" s="3" t="s">
        <v>121</v>
      </c>
      <c r="H1823" s="3"/>
      <c r="I1823" s="3" t="s">
        <v>122</v>
      </c>
      <c r="J1823" s="3">
        <v>0</v>
      </c>
      <c r="K1823" s="3">
        <v>0</v>
      </c>
      <c r="L1823" s="3">
        <v>0</v>
      </c>
      <c r="M1823" s="3">
        <v>0</v>
      </c>
      <c r="N1823" s="3">
        <v>0</v>
      </c>
      <c r="O1823" s="3">
        <v>0.07</v>
      </c>
      <c r="P1823" s="3">
        <v>0</v>
      </c>
      <c r="Q1823" s="3">
        <v>0</v>
      </c>
      <c r="R1823" s="3">
        <v>0</v>
      </c>
    </row>
    <row r="1824" spans="1:18">
      <c r="A1824" s="3" t="s">
        <v>4688</v>
      </c>
      <c r="B1824" s="3" t="s">
        <v>4689</v>
      </c>
      <c r="C1824" s="3" t="s">
        <v>4292</v>
      </c>
      <c r="D1824" s="3" t="s">
        <v>4293</v>
      </c>
      <c r="E1824" s="3" t="s">
        <v>120</v>
      </c>
      <c r="F1824" s="3">
        <v>23.98</v>
      </c>
      <c r="G1824" s="3" t="s">
        <v>121</v>
      </c>
      <c r="H1824" s="3"/>
      <c r="I1824" s="3" t="s">
        <v>122</v>
      </c>
      <c r="J1824" s="3">
        <v>0</v>
      </c>
      <c r="K1824" s="3">
        <v>0</v>
      </c>
      <c r="L1824" s="3">
        <v>0</v>
      </c>
      <c r="M1824" s="3">
        <v>0</v>
      </c>
      <c r="N1824" s="3">
        <v>0</v>
      </c>
      <c r="O1824" s="3">
        <v>0.08</v>
      </c>
      <c r="P1824" s="3">
        <v>0</v>
      </c>
      <c r="Q1824" s="3">
        <v>0</v>
      </c>
      <c r="R1824" s="3">
        <v>0</v>
      </c>
    </row>
    <row r="1825" spans="1:18">
      <c r="A1825" s="3" t="s">
        <v>4690</v>
      </c>
      <c r="B1825" s="3" t="s">
        <v>4691</v>
      </c>
      <c r="C1825" s="3" t="s">
        <v>4235</v>
      </c>
      <c r="D1825" s="3" t="s">
        <v>4236</v>
      </c>
      <c r="E1825" s="3" t="s">
        <v>120</v>
      </c>
      <c r="F1825" s="3">
        <v>23.98</v>
      </c>
      <c r="G1825" s="3" t="s">
        <v>121</v>
      </c>
      <c r="H1825" s="3"/>
      <c r="I1825" s="3" t="s">
        <v>122</v>
      </c>
      <c r="J1825" s="3">
        <v>0</v>
      </c>
      <c r="K1825" s="3">
        <v>0</v>
      </c>
      <c r="L1825" s="3">
        <v>0</v>
      </c>
      <c r="M1825" s="3">
        <v>0</v>
      </c>
      <c r="N1825" s="3">
        <v>0</v>
      </c>
      <c r="O1825" s="3">
        <v>0.09</v>
      </c>
      <c r="P1825" s="3">
        <v>0</v>
      </c>
      <c r="Q1825" s="3">
        <v>0</v>
      </c>
      <c r="R1825" s="3">
        <v>0</v>
      </c>
    </row>
    <row r="1826" spans="1:18">
      <c r="A1826" s="3" t="s">
        <v>4692</v>
      </c>
      <c r="B1826" s="3" t="s">
        <v>4693</v>
      </c>
      <c r="C1826" s="3" t="s">
        <v>4238</v>
      </c>
      <c r="D1826" s="3" t="s">
        <v>4239</v>
      </c>
      <c r="E1826" s="3" t="s">
        <v>120</v>
      </c>
      <c r="F1826" s="3">
        <v>23.98</v>
      </c>
      <c r="G1826" s="3" t="s">
        <v>121</v>
      </c>
      <c r="H1826" s="3"/>
      <c r="I1826" s="3" t="s">
        <v>122</v>
      </c>
      <c r="J1826" s="3">
        <v>0</v>
      </c>
      <c r="K1826" s="3">
        <v>0</v>
      </c>
      <c r="L1826" s="3">
        <v>0</v>
      </c>
      <c r="M1826" s="3">
        <v>0</v>
      </c>
      <c r="N1826" s="3">
        <v>0</v>
      </c>
      <c r="O1826" s="3">
        <v>0.11</v>
      </c>
      <c r="P1826" s="3">
        <v>0</v>
      </c>
      <c r="Q1826" s="3">
        <v>0</v>
      </c>
      <c r="R1826" s="3">
        <v>0</v>
      </c>
    </row>
    <row r="1827" spans="1:18">
      <c r="A1827" s="3" t="s">
        <v>4694</v>
      </c>
      <c r="B1827" s="3" t="s">
        <v>4695</v>
      </c>
      <c r="C1827" s="3" t="s">
        <v>4241</v>
      </c>
      <c r="D1827" s="3" t="s">
        <v>4242</v>
      </c>
      <c r="E1827" s="3" t="s">
        <v>120</v>
      </c>
      <c r="F1827" s="3">
        <v>23.98</v>
      </c>
      <c r="G1827" s="3" t="s">
        <v>121</v>
      </c>
      <c r="H1827" s="3"/>
      <c r="I1827" s="3" t="s">
        <v>122</v>
      </c>
      <c r="J1827" s="3">
        <v>0</v>
      </c>
      <c r="K1827" s="3">
        <v>0</v>
      </c>
      <c r="L1827" s="3">
        <v>0</v>
      </c>
      <c r="M1827" s="3">
        <v>0</v>
      </c>
      <c r="N1827" s="3">
        <v>0</v>
      </c>
      <c r="O1827" s="3">
        <v>0.19</v>
      </c>
      <c r="P1827" s="3">
        <v>0</v>
      </c>
      <c r="Q1827" s="3">
        <v>0</v>
      </c>
      <c r="R1827" s="3">
        <v>0</v>
      </c>
    </row>
    <row r="1828" spans="1:18">
      <c r="A1828" s="3" t="s">
        <v>4696</v>
      </c>
      <c r="B1828" s="3" t="s">
        <v>4697</v>
      </c>
      <c r="C1828" s="3" t="s">
        <v>4244</v>
      </c>
      <c r="D1828" s="3" t="s">
        <v>4245</v>
      </c>
      <c r="E1828" s="3" t="s">
        <v>120</v>
      </c>
      <c r="F1828" s="3">
        <v>23.98</v>
      </c>
      <c r="G1828" s="3" t="s">
        <v>121</v>
      </c>
      <c r="H1828" s="3"/>
      <c r="I1828" s="3" t="s">
        <v>122</v>
      </c>
      <c r="J1828" s="3">
        <v>0</v>
      </c>
      <c r="K1828" s="3">
        <v>0</v>
      </c>
      <c r="L1828" s="3">
        <v>0</v>
      </c>
      <c r="M1828" s="3">
        <v>0</v>
      </c>
      <c r="N1828" s="3">
        <v>0</v>
      </c>
      <c r="O1828" s="3">
        <v>0.13</v>
      </c>
      <c r="P1828" s="3">
        <v>0</v>
      </c>
      <c r="Q1828" s="3">
        <v>0</v>
      </c>
      <c r="R1828" s="3">
        <v>0</v>
      </c>
    </row>
    <row r="1829" spans="1:18">
      <c r="A1829" s="3" t="s">
        <v>4698</v>
      </c>
      <c r="B1829" s="3" t="s">
        <v>4699</v>
      </c>
      <c r="C1829" s="3" t="s">
        <v>4247</v>
      </c>
      <c r="D1829" s="3" t="s">
        <v>4248</v>
      </c>
      <c r="E1829" s="3" t="s">
        <v>120</v>
      </c>
      <c r="F1829" s="3">
        <v>23.98</v>
      </c>
      <c r="G1829" s="3" t="s">
        <v>121</v>
      </c>
      <c r="H1829" s="3"/>
      <c r="I1829" s="3" t="s">
        <v>122</v>
      </c>
      <c r="J1829" s="3">
        <v>0</v>
      </c>
      <c r="K1829" s="3">
        <v>0</v>
      </c>
      <c r="L1829" s="3">
        <v>0</v>
      </c>
      <c r="M1829" s="3">
        <v>0</v>
      </c>
      <c r="N1829" s="3">
        <v>0</v>
      </c>
      <c r="O1829" s="3">
        <v>0.17</v>
      </c>
      <c r="P1829" s="3">
        <v>0</v>
      </c>
      <c r="Q1829" s="3">
        <v>0</v>
      </c>
      <c r="R1829" s="3">
        <v>0</v>
      </c>
    </row>
    <row r="1830" spans="1:18">
      <c r="A1830" s="3" t="s">
        <v>4700</v>
      </c>
      <c r="B1830" s="3" t="s">
        <v>4701</v>
      </c>
      <c r="C1830" s="3" t="s">
        <v>4250</v>
      </c>
      <c r="D1830" s="3" t="s">
        <v>4251</v>
      </c>
      <c r="E1830" s="3" t="s">
        <v>120</v>
      </c>
      <c r="F1830" s="3">
        <v>23.98</v>
      </c>
      <c r="G1830" s="3" t="s">
        <v>121</v>
      </c>
      <c r="H1830" s="3"/>
      <c r="I1830" s="3" t="s">
        <v>122</v>
      </c>
      <c r="J1830" s="3">
        <v>0</v>
      </c>
      <c r="K1830" s="3">
        <v>0</v>
      </c>
      <c r="L1830" s="3">
        <v>0</v>
      </c>
      <c r="M1830" s="3">
        <v>0</v>
      </c>
      <c r="N1830" s="3">
        <v>0</v>
      </c>
      <c r="O1830" s="3">
        <v>0.17</v>
      </c>
      <c r="P1830" s="3">
        <v>0</v>
      </c>
      <c r="Q1830" s="3">
        <v>0</v>
      </c>
      <c r="R1830" s="3">
        <v>0</v>
      </c>
    </row>
    <row r="1831" spans="1:18">
      <c r="A1831" s="3" t="s">
        <v>4702</v>
      </c>
      <c r="B1831" s="3" t="s">
        <v>4703</v>
      </c>
      <c r="C1831" s="3" t="s">
        <v>4253</v>
      </c>
      <c r="D1831" s="3" t="s">
        <v>4254</v>
      </c>
      <c r="E1831" s="3" t="s">
        <v>120</v>
      </c>
      <c r="F1831" s="3">
        <v>23.98</v>
      </c>
      <c r="G1831" s="3" t="s">
        <v>121</v>
      </c>
      <c r="H1831" s="3"/>
      <c r="I1831" s="3" t="s">
        <v>122</v>
      </c>
      <c r="J1831" s="3">
        <v>0</v>
      </c>
      <c r="K1831" s="3">
        <v>0</v>
      </c>
      <c r="L1831" s="3">
        <v>0</v>
      </c>
      <c r="M1831" s="3">
        <v>0</v>
      </c>
      <c r="N1831" s="3">
        <v>0</v>
      </c>
      <c r="O1831" s="3">
        <v>0.13</v>
      </c>
      <c r="P1831" s="3">
        <v>0</v>
      </c>
      <c r="Q1831" s="3">
        <v>0</v>
      </c>
      <c r="R1831" s="3">
        <v>0</v>
      </c>
    </row>
    <row r="1832" spans="1:18">
      <c r="A1832" s="3" t="s">
        <v>4704</v>
      </c>
      <c r="B1832" s="3" t="s">
        <v>4705</v>
      </c>
      <c r="C1832" s="3" t="s">
        <v>4256</v>
      </c>
      <c r="D1832" s="3" t="s">
        <v>4257</v>
      </c>
      <c r="E1832" s="3" t="s">
        <v>120</v>
      </c>
      <c r="F1832" s="3">
        <v>23.98</v>
      </c>
      <c r="G1832" s="3" t="s">
        <v>121</v>
      </c>
      <c r="H1832" s="3"/>
      <c r="I1832" s="3" t="s">
        <v>122</v>
      </c>
      <c r="J1832" s="3">
        <v>0</v>
      </c>
      <c r="K1832" s="3">
        <v>0</v>
      </c>
      <c r="L1832" s="3">
        <v>0</v>
      </c>
      <c r="M1832" s="3">
        <v>0</v>
      </c>
      <c r="N1832" s="3">
        <v>0</v>
      </c>
      <c r="O1832" s="3">
        <v>0.17</v>
      </c>
      <c r="P1832" s="3">
        <v>0</v>
      </c>
      <c r="Q1832" s="3">
        <v>0</v>
      </c>
      <c r="R1832" s="3">
        <v>0</v>
      </c>
    </row>
    <row r="1833" spans="1:18">
      <c r="A1833" s="3" t="s">
        <v>4706</v>
      </c>
      <c r="B1833" s="3" t="s">
        <v>4707</v>
      </c>
      <c r="C1833" s="3" t="s">
        <v>4259</v>
      </c>
      <c r="D1833" s="3" t="s">
        <v>4260</v>
      </c>
      <c r="E1833" s="3" t="s">
        <v>120</v>
      </c>
      <c r="F1833" s="3">
        <v>23.98</v>
      </c>
      <c r="G1833" s="3" t="s">
        <v>121</v>
      </c>
      <c r="H1833" s="3"/>
      <c r="I1833" s="3" t="s">
        <v>122</v>
      </c>
      <c r="J1833" s="3">
        <v>0</v>
      </c>
      <c r="K1833" s="3">
        <v>0</v>
      </c>
      <c r="L1833" s="3">
        <v>0</v>
      </c>
      <c r="M1833" s="3">
        <v>0</v>
      </c>
      <c r="N1833" s="3">
        <v>0</v>
      </c>
      <c r="O1833" s="3">
        <v>0.17</v>
      </c>
      <c r="P1833" s="3">
        <v>0</v>
      </c>
      <c r="Q1833" s="3">
        <v>0</v>
      </c>
      <c r="R1833" s="3">
        <v>0</v>
      </c>
    </row>
    <row r="1834" spans="1:18">
      <c r="A1834" s="3" t="s">
        <v>4708</v>
      </c>
      <c r="B1834" s="3" t="s">
        <v>4709</v>
      </c>
      <c r="C1834" s="3" t="s">
        <v>4262</v>
      </c>
      <c r="D1834" s="3" t="s">
        <v>4263</v>
      </c>
      <c r="E1834" s="3" t="s">
        <v>120</v>
      </c>
      <c r="F1834" s="3">
        <v>23.98</v>
      </c>
      <c r="G1834" s="3" t="s">
        <v>121</v>
      </c>
      <c r="H1834" s="3"/>
      <c r="I1834" s="3" t="s">
        <v>122</v>
      </c>
      <c r="J1834" s="3">
        <v>0</v>
      </c>
      <c r="K1834" s="3">
        <v>0</v>
      </c>
      <c r="L1834" s="3">
        <v>0</v>
      </c>
      <c r="M1834" s="3">
        <v>0</v>
      </c>
      <c r="N1834" s="3">
        <v>0</v>
      </c>
      <c r="O1834" s="3">
        <v>0.1</v>
      </c>
      <c r="P1834" s="3">
        <v>0</v>
      </c>
      <c r="Q1834" s="3">
        <v>0</v>
      </c>
      <c r="R1834" s="3">
        <v>0</v>
      </c>
    </row>
    <row r="1835" spans="1:18">
      <c r="A1835" s="3" t="s">
        <v>4710</v>
      </c>
      <c r="B1835" s="3" t="s">
        <v>4711</v>
      </c>
      <c r="C1835" s="3" t="s">
        <v>4265</v>
      </c>
      <c r="D1835" s="3" t="s">
        <v>4266</v>
      </c>
      <c r="E1835" s="3" t="s">
        <v>120</v>
      </c>
      <c r="F1835" s="3">
        <v>23.98</v>
      </c>
      <c r="G1835" s="3" t="s">
        <v>121</v>
      </c>
      <c r="H1835" s="3"/>
      <c r="I1835" s="3" t="s">
        <v>122</v>
      </c>
      <c r="J1835" s="3">
        <v>0</v>
      </c>
      <c r="K1835" s="3">
        <v>0</v>
      </c>
      <c r="L1835" s="3">
        <v>0</v>
      </c>
      <c r="M1835" s="3">
        <v>0</v>
      </c>
      <c r="N1835" s="3">
        <v>0</v>
      </c>
      <c r="O1835" s="3">
        <v>0.12</v>
      </c>
      <c r="P1835" s="3">
        <v>0</v>
      </c>
      <c r="Q1835" s="3">
        <v>0</v>
      </c>
      <c r="R1835" s="3">
        <v>0</v>
      </c>
    </row>
    <row r="1836" spans="1:18">
      <c r="A1836" s="3" t="s">
        <v>4712</v>
      </c>
      <c r="B1836" s="3" t="s">
        <v>4713</v>
      </c>
      <c r="C1836" s="3" t="s">
        <v>4268</v>
      </c>
      <c r="D1836" s="3" t="s">
        <v>4269</v>
      </c>
      <c r="E1836" s="3" t="s">
        <v>120</v>
      </c>
      <c r="F1836" s="3">
        <v>23.98</v>
      </c>
      <c r="G1836" s="3" t="s">
        <v>121</v>
      </c>
      <c r="H1836" s="3"/>
      <c r="I1836" s="3" t="s">
        <v>122</v>
      </c>
      <c r="J1836" s="3">
        <v>0</v>
      </c>
      <c r="K1836" s="3">
        <v>0</v>
      </c>
      <c r="L1836" s="3">
        <v>0</v>
      </c>
      <c r="M1836" s="3">
        <v>0</v>
      </c>
      <c r="N1836" s="3">
        <v>0</v>
      </c>
      <c r="O1836" s="3">
        <v>0.12</v>
      </c>
      <c r="P1836" s="3">
        <v>0</v>
      </c>
      <c r="Q1836" s="3">
        <v>0</v>
      </c>
      <c r="R1836" s="3">
        <v>0</v>
      </c>
    </row>
    <row r="1837" spans="1:18">
      <c r="A1837" s="3" t="s">
        <v>4714</v>
      </c>
      <c r="B1837" s="3" t="s">
        <v>4715</v>
      </c>
      <c r="C1837" s="3" t="s">
        <v>4271</v>
      </c>
      <c r="D1837" s="3" t="s">
        <v>4272</v>
      </c>
      <c r="E1837" s="3" t="s">
        <v>120</v>
      </c>
      <c r="F1837" s="3">
        <v>23.98</v>
      </c>
      <c r="G1837" s="3" t="s">
        <v>121</v>
      </c>
      <c r="H1837" s="3"/>
      <c r="I1837" s="3" t="s">
        <v>122</v>
      </c>
      <c r="J1837" s="3">
        <v>0</v>
      </c>
      <c r="K1837" s="3">
        <v>0</v>
      </c>
      <c r="L1837" s="3">
        <v>0</v>
      </c>
      <c r="M1837" s="3">
        <v>0</v>
      </c>
      <c r="N1837" s="3">
        <v>0</v>
      </c>
      <c r="O1837" s="3">
        <v>0.11</v>
      </c>
      <c r="P1837" s="3">
        <v>0</v>
      </c>
      <c r="Q1837" s="3">
        <v>0</v>
      </c>
      <c r="R1837" s="3">
        <v>0</v>
      </c>
    </row>
    <row r="1838" spans="1:18">
      <c r="A1838" s="3" t="s">
        <v>4716</v>
      </c>
      <c r="B1838" s="3" t="s">
        <v>4717</v>
      </c>
      <c r="C1838" s="3" t="s">
        <v>4274</v>
      </c>
      <c r="D1838" s="3" t="s">
        <v>4275</v>
      </c>
      <c r="E1838" s="3" t="s">
        <v>120</v>
      </c>
      <c r="F1838" s="3">
        <v>23.98</v>
      </c>
      <c r="G1838" s="3" t="s">
        <v>121</v>
      </c>
      <c r="H1838" s="3"/>
      <c r="I1838" s="3" t="s">
        <v>122</v>
      </c>
      <c r="J1838" s="3">
        <v>0</v>
      </c>
      <c r="K1838" s="3">
        <v>0</v>
      </c>
      <c r="L1838" s="3">
        <v>0</v>
      </c>
      <c r="M1838" s="3">
        <v>0</v>
      </c>
      <c r="N1838" s="3">
        <v>0</v>
      </c>
      <c r="O1838" s="3">
        <v>0.09</v>
      </c>
      <c r="P1838" s="3">
        <v>0</v>
      </c>
      <c r="Q1838" s="3">
        <v>0</v>
      </c>
      <c r="R1838" s="3">
        <v>0</v>
      </c>
    </row>
    <row r="1839" spans="1:18">
      <c r="A1839" s="3" t="s">
        <v>4718</v>
      </c>
      <c r="B1839" s="3" t="s">
        <v>4719</v>
      </c>
      <c r="C1839" s="3" t="s">
        <v>4277</v>
      </c>
      <c r="D1839" s="3" t="s">
        <v>4278</v>
      </c>
      <c r="E1839" s="3" t="s">
        <v>120</v>
      </c>
      <c r="F1839" s="3">
        <v>23.98</v>
      </c>
      <c r="G1839" s="3" t="s">
        <v>121</v>
      </c>
      <c r="H1839" s="3"/>
      <c r="I1839" s="3" t="s">
        <v>122</v>
      </c>
      <c r="J1839" s="3">
        <v>7</v>
      </c>
      <c r="K1839" s="3">
        <v>7</v>
      </c>
      <c r="L1839" s="3">
        <v>0</v>
      </c>
      <c r="M1839" s="3">
        <v>0</v>
      </c>
      <c r="N1839" s="3">
        <v>7</v>
      </c>
      <c r="O1839" s="3">
        <v>0.08</v>
      </c>
      <c r="P1839" s="3">
        <v>0</v>
      </c>
      <c r="Q1839" s="3">
        <v>0</v>
      </c>
      <c r="R1839" s="3">
        <v>0</v>
      </c>
    </row>
    <row r="1840" spans="1:18">
      <c r="A1840" s="3" t="s">
        <v>4720</v>
      </c>
      <c r="B1840" s="3" t="s">
        <v>4721</v>
      </c>
      <c r="C1840" s="3" t="s">
        <v>4280</v>
      </c>
      <c r="D1840" s="3" t="s">
        <v>4281</v>
      </c>
      <c r="E1840" s="3" t="s">
        <v>120</v>
      </c>
      <c r="F1840" s="3">
        <v>23.98</v>
      </c>
      <c r="G1840" s="3" t="s">
        <v>121</v>
      </c>
      <c r="H1840" s="3"/>
      <c r="I1840" s="3" t="s">
        <v>122</v>
      </c>
      <c r="J1840" s="3">
        <v>0</v>
      </c>
      <c r="K1840" s="3">
        <v>0</v>
      </c>
      <c r="L1840" s="3">
        <v>0</v>
      </c>
      <c r="M1840" s="3">
        <v>0</v>
      </c>
      <c r="N1840" s="3">
        <v>0</v>
      </c>
      <c r="O1840" s="3">
        <v>0.12</v>
      </c>
      <c r="P1840" s="3">
        <v>0</v>
      </c>
      <c r="Q1840" s="3">
        <v>0</v>
      </c>
      <c r="R1840" s="3">
        <v>0</v>
      </c>
    </row>
    <row r="1841" spans="1:18">
      <c r="A1841" s="3" t="s">
        <v>4722</v>
      </c>
      <c r="B1841" s="3" t="s">
        <v>4723</v>
      </c>
      <c r="C1841" s="3" t="s">
        <v>4295</v>
      </c>
      <c r="D1841" s="3" t="s">
        <v>4296</v>
      </c>
      <c r="E1841" s="3" t="s">
        <v>120</v>
      </c>
      <c r="F1841" s="3">
        <v>23.98</v>
      </c>
      <c r="G1841" s="3" t="s">
        <v>121</v>
      </c>
      <c r="H1841" s="3"/>
      <c r="I1841" s="3" t="s">
        <v>122</v>
      </c>
      <c r="J1841" s="3">
        <v>0</v>
      </c>
      <c r="K1841" s="3">
        <v>0</v>
      </c>
      <c r="L1841" s="3">
        <v>0</v>
      </c>
      <c r="M1841" s="3">
        <v>0</v>
      </c>
      <c r="N1841" s="3">
        <v>0</v>
      </c>
      <c r="O1841" s="3">
        <v>0.12</v>
      </c>
      <c r="P1841" s="3">
        <v>0</v>
      </c>
      <c r="Q1841" s="3">
        <v>0</v>
      </c>
      <c r="R1841" s="3">
        <v>0</v>
      </c>
    </row>
    <row r="1842" spans="1:18">
      <c r="A1842" s="3" t="s">
        <v>4724</v>
      </c>
      <c r="B1842" s="3" t="s">
        <v>4725</v>
      </c>
      <c r="C1842" s="3" t="s">
        <v>4298</v>
      </c>
      <c r="D1842" s="3" t="s">
        <v>4299</v>
      </c>
      <c r="E1842" s="3" t="s">
        <v>120</v>
      </c>
      <c r="F1842" s="3">
        <v>23.98</v>
      </c>
      <c r="G1842" s="3" t="s">
        <v>121</v>
      </c>
      <c r="H1842" s="3"/>
      <c r="I1842" s="3" t="s">
        <v>122</v>
      </c>
      <c r="J1842" s="3">
        <v>0</v>
      </c>
      <c r="K1842" s="3">
        <v>0</v>
      </c>
      <c r="L1842" s="3">
        <v>0</v>
      </c>
      <c r="M1842" s="3">
        <v>0</v>
      </c>
      <c r="N1842" s="3">
        <v>0</v>
      </c>
      <c r="O1842" s="3">
        <v>0.17</v>
      </c>
      <c r="P1842" s="3">
        <v>0</v>
      </c>
      <c r="Q1842" s="3">
        <v>0</v>
      </c>
      <c r="R1842" s="3">
        <v>0</v>
      </c>
    </row>
    <row r="1843" spans="1:18">
      <c r="A1843" s="3" t="s">
        <v>4726</v>
      </c>
      <c r="B1843" s="3" t="s">
        <v>4727</v>
      </c>
      <c r="C1843" s="3" t="s">
        <v>4301</v>
      </c>
      <c r="D1843" s="3" t="s">
        <v>4302</v>
      </c>
      <c r="E1843" s="3" t="s">
        <v>120</v>
      </c>
      <c r="F1843" s="3">
        <v>23.98</v>
      </c>
      <c r="G1843" s="3" t="s">
        <v>121</v>
      </c>
      <c r="H1843" s="3"/>
      <c r="I1843" s="3" t="s">
        <v>122</v>
      </c>
      <c r="J1843" s="3">
        <v>0</v>
      </c>
      <c r="K1843" s="3">
        <v>0</v>
      </c>
      <c r="L1843" s="3">
        <v>0</v>
      </c>
      <c r="M1843" s="3">
        <v>0</v>
      </c>
      <c r="N1843" s="3">
        <v>0</v>
      </c>
      <c r="O1843" s="3">
        <v>0.1</v>
      </c>
      <c r="P1843" s="3">
        <v>0</v>
      </c>
      <c r="Q1843" s="3">
        <v>0</v>
      </c>
      <c r="R1843" s="3">
        <v>0</v>
      </c>
    </row>
    <row r="1844" spans="1:18">
      <c r="A1844" s="3" t="s">
        <v>4728</v>
      </c>
      <c r="B1844" s="3" t="s">
        <v>4729</v>
      </c>
      <c r="C1844" s="3" t="s">
        <v>4304</v>
      </c>
      <c r="D1844" s="3" t="s">
        <v>4305</v>
      </c>
      <c r="E1844" s="3" t="s">
        <v>120</v>
      </c>
      <c r="F1844" s="3">
        <v>23.98</v>
      </c>
      <c r="G1844" s="3" t="s">
        <v>121</v>
      </c>
      <c r="H1844" s="3"/>
      <c r="I1844" s="3" t="s">
        <v>122</v>
      </c>
      <c r="J1844" s="3">
        <v>0</v>
      </c>
      <c r="K1844" s="3">
        <v>0</v>
      </c>
      <c r="L1844" s="3">
        <v>0</v>
      </c>
      <c r="M1844" s="3">
        <v>0</v>
      </c>
      <c r="N1844" s="3">
        <v>0</v>
      </c>
      <c r="O1844" s="3">
        <v>0.17</v>
      </c>
      <c r="P1844" s="3">
        <v>0</v>
      </c>
      <c r="Q1844" s="3">
        <v>0</v>
      </c>
      <c r="R1844" s="3">
        <v>0</v>
      </c>
    </row>
    <row r="1845" spans="1:18">
      <c r="A1845" s="3" t="s">
        <v>4730</v>
      </c>
      <c r="B1845" s="3" t="s">
        <v>4731</v>
      </c>
      <c r="C1845" s="3" t="s">
        <v>4307</v>
      </c>
      <c r="D1845" s="3" t="s">
        <v>4308</v>
      </c>
      <c r="E1845" s="3" t="s">
        <v>120</v>
      </c>
      <c r="F1845" s="3">
        <v>23.98</v>
      </c>
      <c r="G1845" s="3" t="s">
        <v>121</v>
      </c>
      <c r="H1845" s="3"/>
      <c r="I1845" s="3" t="s">
        <v>122</v>
      </c>
      <c r="J1845" s="3">
        <v>0</v>
      </c>
      <c r="K1845" s="3">
        <v>0</v>
      </c>
      <c r="L1845" s="3">
        <v>0</v>
      </c>
      <c r="M1845" s="3">
        <v>0</v>
      </c>
      <c r="N1845" s="3">
        <v>0</v>
      </c>
      <c r="O1845" s="3">
        <v>0.17</v>
      </c>
      <c r="P1845" s="3">
        <v>0</v>
      </c>
      <c r="Q1845" s="3">
        <v>0</v>
      </c>
      <c r="R1845" s="3">
        <v>0</v>
      </c>
    </row>
    <row r="1846" spans="1:18">
      <c r="A1846" s="3" t="s">
        <v>4732</v>
      </c>
      <c r="B1846" s="3" t="s">
        <v>4733</v>
      </c>
      <c r="C1846" s="3" t="s">
        <v>4310</v>
      </c>
      <c r="D1846" s="3" t="s">
        <v>4311</v>
      </c>
      <c r="E1846" s="3" t="s">
        <v>120</v>
      </c>
      <c r="F1846" s="3">
        <v>23.98</v>
      </c>
      <c r="G1846" s="3" t="s">
        <v>121</v>
      </c>
      <c r="H1846" s="3"/>
      <c r="I1846" s="3" t="s">
        <v>122</v>
      </c>
      <c r="J1846" s="3">
        <v>0</v>
      </c>
      <c r="K1846" s="3">
        <v>0</v>
      </c>
      <c r="L1846" s="3">
        <v>0</v>
      </c>
      <c r="M1846" s="3">
        <v>0</v>
      </c>
      <c r="N1846" s="3">
        <v>0</v>
      </c>
      <c r="O1846" s="3">
        <v>0.08</v>
      </c>
      <c r="P1846" s="3">
        <v>0</v>
      </c>
      <c r="Q1846" s="3">
        <v>0</v>
      </c>
      <c r="R1846" s="3">
        <v>0</v>
      </c>
    </row>
    <row r="1847" spans="1:18">
      <c r="A1847" s="3" t="s">
        <v>4734</v>
      </c>
      <c r="B1847" s="3" t="s">
        <v>4735</v>
      </c>
      <c r="C1847" s="3" t="s">
        <v>4313</v>
      </c>
      <c r="D1847" s="3" t="s">
        <v>4314</v>
      </c>
      <c r="E1847" s="3" t="s">
        <v>120</v>
      </c>
      <c r="F1847" s="3">
        <v>23.98</v>
      </c>
      <c r="G1847" s="3" t="s">
        <v>121</v>
      </c>
      <c r="H1847" s="3"/>
      <c r="I1847" s="3" t="s">
        <v>122</v>
      </c>
      <c r="J1847" s="3">
        <v>0</v>
      </c>
      <c r="K1847" s="3">
        <v>0</v>
      </c>
      <c r="L1847" s="3">
        <v>0</v>
      </c>
      <c r="M1847" s="3">
        <v>0</v>
      </c>
      <c r="N1847" s="3">
        <v>0</v>
      </c>
      <c r="O1847" s="3">
        <v>0.09</v>
      </c>
      <c r="P1847" s="3">
        <v>0</v>
      </c>
      <c r="Q1847" s="3">
        <v>0</v>
      </c>
      <c r="R1847" s="3">
        <v>0</v>
      </c>
    </row>
    <row r="1848" spans="1:18">
      <c r="A1848" s="3" t="s">
        <v>4736</v>
      </c>
      <c r="B1848" s="3" t="s">
        <v>4737</v>
      </c>
      <c r="C1848" s="3" t="s">
        <v>4316</v>
      </c>
      <c r="D1848" s="3" t="s">
        <v>4317</v>
      </c>
      <c r="E1848" s="3" t="s">
        <v>120</v>
      </c>
      <c r="F1848" s="3">
        <v>23.98</v>
      </c>
      <c r="G1848" s="3" t="s">
        <v>121</v>
      </c>
      <c r="H1848" s="3"/>
      <c r="I1848" s="3" t="s">
        <v>122</v>
      </c>
      <c r="J1848" s="3">
        <v>0</v>
      </c>
      <c r="K1848" s="3">
        <v>0</v>
      </c>
      <c r="L1848" s="3">
        <v>0</v>
      </c>
      <c r="M1848" s="3">
        <v>0</v>
      </c>
      <c r="N1848" s="3">
        <v>0</v>
      </c>
      <c r="O1848" s="3">
        <v>0.17</v>
      </c>
      <c r="P1848" s="3">
        <v>0</v>
      </c>
      <c r="Q1848" s="3">
        <v>0</v>
      </c>
      <c r="R1848" s="3">
        <v>0</v>
      </c>
    </row>
    <row r="1849" spans="1:18">
      <c r="A1849" s="3" t="s">
        <v>4738</v>
      </c>
      <c r="B1849" s="3" t="s">
        <v>4739</v>
      </c>
      <c r="C1849" s="3" t="s">
        <v>4319</v>
      </c>
      <c r="D1849" s="3" t="s">
        <v>4320</v>
      </c>
      <c r="E1849" s="3" t="s">
        <v>120</v>
      </c>
      <c r="F1849" s="3">
        <v>23.98</v>
      </c>
      <c r="G1849" s="3" t="s">
        <v>121</v>
      </c>
      <c r="H1849" s="3"/>
      <c r="I1849" s="3" t="s">
        <v>122</v>
      </c>
      <c r="J1849" s="3">
        <v>0</v>
      </c>
      <c r="K1849" s="3">
        <v>0</v>
      </c>
      <c r="L1849" s="3">
        <v>0</v>
      </c>
      <c r="M1849" s="3">
        <v>0</v>
      </c>
      <c r="N1849" s="3">
        <v>0</v>
      </c>
      <c r="O1849" s="3">
        <v>0.1</v>
      </c>
      <c r="P1849" s="3">
        <v>0</v>
      </c>
      <c r="Q1849" s="3">
        <v>0</v>
      </c>
      <c r="R1849" s="3">
        <v>0</v>
      </c>
    </row>
    <row r="1850" spans="1:18">
      <c r="A1850" s="3" t="s">
        <v>4740</v>
      </c>
      <c r="B1850" s="3" t="s">
        <v>4741</v>
      </c>
      <c r="C1850" s="3" t="s">
        <v>4322</v>
      </c>
      <c r="D1850" s="3" t="s">
        <v>4323</v>
      </c>
      <c r="E1850" s="3" t="s">
        <v>120</v>
      </c>
      <c r="F1850" s="3">
        <v>23.98</v>
      </c>
      <c r="G1850" s="3" t="s">
        <v>121</v>
      </c>
      <c r="H1850" s="3"/>
      <c r="I1850" s="3" t="s">
        <v>122</v>
      </c>
      <c r="J1850" s="3">
        <v>0</v>
      </c>
      <c r="K1850" s="3">
        <v>0</v>
      </c>
      <c r="L1850" s="3">
        <v>0</v>
      </c>
      <c r="M1850" s="3">
        <v>0</v>
      </c>
      <c r="N1850" s="3">
        <v>0</v>
      </c>
      <c r="O1850" s="3">
        <v>0.11</v>
      </c>
      <c r="P1850" s="3">
        <v>0</v>
      </c>
      <c r="Q1850" s="3">
        <v>0</v>
      </c>
      <c r="R1850" s="3">
        <v>0</v>
      </c>
    </row>
    <row r="1851" spans="1:18">
      <c r="A1851" s="3" t="s">
        <v>4742</v>
      </c>
      <c r="B1851" s="3" t="s">
        <v>4743</v>
      </c>
      <c r="C1851" s="3" t="s">
        <v>4325</v>
      </c>
      <c r="D1851" s="3" t="s">
        <v>4326</v>
      </c>
      <c r="E1851" s="3" t="s">
        <v>120</v>
      </c>
      <c r="F1851" s="3">
        <v>23.98</v>
      </c>
      <c r="G1851" s="3" t="s">
        <v>121</v>
      </c>
      <c r="H1851" s="3"/>
      <c r="I1851" s="3" t="s">
        <v>122</v>
      </c>
      <c r="J1851" s="3">
        <v>5</v>
      </c>
      <c r="K1851" s="3">
        <v>5</v>
      </c>
      <c r="L1851" s="3">
        <v>0</v>
      </c>
      <c r="M1851" s="3">
        <v>0</v>
      </c>
      <c r="N1851" s="3">
        <v>5</v>
      </c>
      <c r="O1851" s="3">
        <v>0.08</v>
      </c>
      <c r="P1851" s="3">
        <v>0</v>
      </c>
      <c r="Q1851" s="3">
        <v>0</v>
      </c>
      <c r="R1851" s="3">
        <v>0</v>
      </c>
    </row>
    <row r="1852" spans="1:18">
      <c r="A1852" s="3" t="s">
        <v>4744</v>
      </c>
      <c r="B1852" s="3" t="s">
        <v>4745</v>
      </c>
      <c r="C1852" s="3" t="s">
        <v>4523</v>
      </c>
      <c r="D1852" s="3" t="s">
        <v>4524</v>
      </c>
      <c r="E1852" s="3" t="s">
        <v>120</v>
      </c>
      <c r="F1852" s="3">
        <v>23.98</v>
      </c>
      <c r="G1852" s="3" t="s">
        <v>121</v>
      </c>
      <c r="H1852" s="3"/>
      <c r="I1852" s="3" t="s">
        <v>122</v>
      </c>
      <c r="J1852" s="3">
        <v>8</v>
      </c>
      <c r="K1852" s="3">
        <v>8</v>
      </c>
      <c r="L1852" s="3">
        <v>0</v>
      </c>
      <c r="M1852" s="3">
        <v>0</v>
      </c>
      <c r="N1852" s="3">
        <v>8</v>
      </c>
      <c r="O1852" s="3">
        <v>0.12</v>
      </c>
      <c r="P1852" s="3">
        <v>0</v>
      </c>
      <c r="Q1852" s="3">
        <v>0</v>
      </c>
      <c r="R1852" s="3">
        <v>0</v>
      </c>
    </row>
    <row r="1853" spans="1:18">
      <c r="A1853" s="3" t="s">
        <v>4746</v>
      </c>
      <c r="B1853" s="3" t="s">
        <v>4747</v>
      </c>
      <c r="C1853" s="3" t="s">
        <v>4328</v>
      </c>
      <c r="D1853" s="3" t="s">
        <v>4329</v>
      </c>
      <c r="E1853" s="3" t="s">
        <v>120</v>
      </c>
      <c r="F1853" s="3">
        <v>23.98</v>
      </c>
      <c r="G1853" s="3" t="s">
        <v>121</v>
      </c>
      <c r="H1853" s="3"/>
      <c r="I1853" s="3" t="s">
        <v>122</v>
      </c>
      <c r="J1853" s="3">
        <v>0</v>
      </c>
      <c r="K1853" s="3">
        <v>0</v>
      </c>
      <c r="L1853" s="3">
        <v>0</v>
      </c>
      <c r="M1853" s="3">
        <v>0</v>
      </c>
      <c r="N1853" s="3">
        <v>0</v>
      </c>
      <c r="O1853" s="3">
        <v>0.17</v>
      </c>
      <c r="P1853" s="3">
        <v>0</v>
      </c>
      <c r="Q1853" s="3">
        <v>0</v>
      </c>
      <c r="R1853" s="3">
        <v>0</v>
      </c>
    </row>
    <row r="1854" spans="1:18">
      <c r="A1854" s="3" t="s">
        <v>4748</v>
      </c>
      <c r="B1854" s="3" t="s">
        <v>4749</v>
      </c>
      <c r="C1854" s="3" t="s">
        <v>4331</v>
      </c>
      <c r="D1854" s="3" t="s">
        <v>4332</v>
      </c>
      <c r="E1854" s="3" t="s">
        <v>120</v>
      </c>
      <c r="F1854" s="3">
        <v>23.98</v>
      </c>
      <c r="G1854" s="3" t="s">
        <v>121</v>
      </c>
      <c r="H1854" s="3"/>
      <c r="I1854" s="3" t="s">
        <v>122</v>
      </c>
      <c r="J1854" s="3">
        <v>0</v>
      </c>
      <c r="K1854" s="3">
        <v>0</v>
      </c>
      <c r="L1854" s="3">
        <v>0</v>
      </c>
      <c r="M1854" s="3">
        <v>0</v>
      </c>
      <c r="N1854" s="3">
        <v>0</v>
      </c>
      <c r="O1854" s="3">
        <v>0.17</v>
      </c>
      <c r="P1854" s="3">
        <v>0</v>
      </c>
      <c r="Q1854" s="3">
        <v>0</v>
      </c>
      <c r="R1854" s="3">
        <v>0</v>
      </c>
    </row>
    <row r="1855" spans="1:18">
      <c r="A1855" s="3" t="s">
        <v>4750</v>
      </c>
      <c r="B1855" s="3" t="s">
        <v>4751</v>
      </c>
      <c r="C1855" s="3" t="s">
        <v>4334</v>
      </c>
      <c r="D1855" s="3" t="s">
        <v>4335</v>
      </c>
      <c r="E1855" s="3" t="s">
        <v>120</v>
      </c>
      <c r="F1855" s="3">
        <v>23.98</v>
      </c>
      <c r="G1855" s="3" t="s">
        <v>121</v>
      </c>
      <c r="H1855" s="3"/>
      <c r="I1855" s="3" t="s">
        <v>122</v>
      </c>
      <c r="J1855" s="3">
        <v>0</v>
      </c>
      <c r="K1855" s="3">
        <v>0</v>
      </c>
      <c r="L1855" s="3">
        <v>0</v>
      </c>
      <c r="M1855" s="3">
        <v>0</v>
      </c>
      <c r="N1855" s="3">
        <v>0</v>
      </c>
      <c r="O1855" s="3">
        <v>0.12</v>
      </c>
      <c r="P1855" s="3">
        <v>0</v>
      </c>
      <c r="Q1855" s="3">
        <v>0</v>
      </c>
      <c r="R1855" s="3">
        <v>0</v>
      </c>
    </row>
    <row r="1856" spans="1:18">
      <c r="A1856" s="3" t="s">
        <v>4752</v>
      </c>
      <c r="B1856" s="3" t="s">
        <v>4753</v>
      </c>
      <c r="C1856" s="3" t="s">
        <v>4337</v>
      </c>
      <c r="D1856" s="3" t="s">
        <v>4338</v>
      </c>
      <c r="E1856" s="3" t="s">
        <v>120</v>
      </c>
      <c r="F1856" s="3">
        <v>23.98</v>
      </c>
      <c r="G1856" s="3" t="s">
        <v>121</v>
      </c>
      <c r="H1856" s="3"/>
      <c r="I1856" s="3" t="s">
        <v>122</v>
      </c>
      <c r="J1856" s="3">
        <v>0</v>
      </c>
      <c r="K1856" s="3">
        <v>0</v>
      </c>
      <c r="L1856" s="3">
        <v>0</v>
      </c>
      <c r="M1856" s="3">
        <v>0</v>
      </c>
      <c r="N1856" s="3">
        <v>0</v>
      </c>
      <c r="O1856" s="3">
        <v>0.17</v>
      </c>
      <c r="P1856" s="3">
        <v>0</v>
      </c>
      <c r="Q1856" s="3">
        <v>0</v>
      </c>
      <c r="R1856" s="3">
        <v>0</v>
      </c>
    </row>
    <row r="1857" spans="1:18">
      <c r="A1857" s="3" t="s">
        <v>4754</v>
      </c>
      <c r="B1857" s="3" t="s">
        <v>4755</v>
      </c>
      <c r="C1857" s="3" t="s">
        <v>4352</v>
      </c>
      <c r="D1857" s="3" t="s">
        <v>4353</v>
      </c>
      <c r="E1857" s="3" t="s">
        <v>120</v>
      </c>
      <c r="F1857" s="3">
        <v>23.98</v>
      </c>
      <c r="G1857" s="3" t="s">
        <v>121</v>
      </c>
      <c r="H1857" s="3"/>
      <c r="I1857" s="3" t="s">
        <v>122</v>
      </c>
      <c r="J1857" s="3">
        <v>0</v>
      </c>
      <c r="K1857" s="3">
        <v>0</v>
      </c>
      <c r="L1857" s="3">
        <v>0</v>
      </c>
      <c r="M1857" s="3">
        <v>0</v>
      </c>
      <c r="N1857" s="3">
        <v>0</v>
      </c>
      <c r="O1857" s="3">
        <v>0.17</v>
      </c>
      <c r="P1857" s="3">
        <v>0</v>
      </c>
      <c r="Q1857" s="3">
        <v>0</v>
      </c>
      <c r="R1857" s="3">
        <v>0</v>
      </c>
    </row>
    <row r="1858" spans="1:18">
      <c r="A1858" s="3" t="s">
        <v>4756</v>
      </c>
      <c r="B1858" s="3" t="s">
        <v>4757</v>
      </c>
      <c r="C1858" s="3" t="s">
        <v>4355</v>
      </c>
      <c r="D1858" s="3" t="s">
        <v>4356</v>
      </c>
      <c r="E1858" s="3" t="s">
        <v>120</v>
      </c>
      <c r="F1858" s="3">
        <v>23.98</v>
      </c>
      <c r="G1858" s="3" t="s">
        <v>121</v>
      </c>
      <c r="H1858" s="3"/>
      <c r="I1858" s="3" t="s">
        <v>122</v>
      </c>
      <c r="J1858" s="3">
        <v>0</v>
      </c>
      <c r="K1858" s="3">
        <v>0</v>
      </c>
      <c r="L1858" s="3">
        <v>0</v>
      </c>
      <c r="M1858" s="3">
        <v>0</v>
      </c>
      <c r="N1858" s="3">
        <v>0</v>
      </c>
      <c r="O1858" s="3">
        <v>0.13</v>
      </c>
      <c r="P1858" s="3">
        <v>0</v>
      </c>
      <c r="Q1858" s="3">
        <v>0</v>
      </c>
      <c r="R1858" s="3">
        <v>0</v>
      </c>
    </row>
    <row r="1859" spans="1:18">
      <c r="A1859" s="3" t="s">
        <v>4758</v>
      </c>
      <c r="B1859" s="3" t="s">
        <v>4759</v>
      </c>
      <c r="C1859" s="3" t="s">
        <v>4358</v>
      </c>
      <c r="D1859" s="3" t="s">
        <v>4359</v>
      </c>
      <c r="E1859" s="3" t="s">
        <v>120</v>
      </c>
      <c r="F1859" s="3">
        <v>23.98</v>
      </c>
      <c r="G1859" s="3" t="s">
        <v>121</v>
      </c>
      <c r="H1859" s="3"/>
      <c r="I1859" s="3" t="s">
        <v>122</v>
      </c>
      <c r="J1859" s="3">
        <v>5</v>
      </c>
      <c r="K1859" s="3">
        <v>5</v>
      </c>
      <c r="L1859" s="3">
        <v>0</v>
      </c>
      <c r="M1859" s="3">
        <v>0</v>
      </c>
      <c r="N1859" s="3">
        <v>5</v>
      </c>
      <c r="O1859" s="3">
        <v>0.14</v>
      </c>
      <c r="P1859" s="3">
        <v>0</v>
      </c>
      <c r="Q1859" s="3">
        <v>0</v>
      </c>
      <c r="R1859" s="3">
        <v>0</v>
      </c>
    </row>
    <row r="1860" spans="1:18">
      <c r="A1860" s="3" t="s">
        <v>4760</v>
      </c>
      <c r="B1860" s="3" t="s">
        <v>4761</v>
      </c>
      <c r="C1860" s="3" t="s">
        <v>4361</v>
      </c>
      <c r="D1860" s="3" t="s">
        <v>4362</v>
      </c>
      <c r="E1860" s="3" t="s">
        <v>120</v>
      </c>
      <c r="F1860" s="3">
        <v>23.98</v>
      </c>
      <c r="G1860" s="3" t="s">
        <v>121</v>
      </c>
      <c r="H1860" s="3"/>
      <c r="I1860" s="3" t="s">
        <v>122</v>
      </c>
      <c r="J1860" s="3">
        <v>0</v>
      </c>
      <c r="K1860" s="3">
        <v>0</v>
      </c>
      <c r="L1860" s="3">
        <v>0</v>
      </c>
      <c r="M1860" s="3">
        <v>0</v>
      </c>
      <c r="N1860" s="3">
        <v>0</v>
      </c>
      <c r="O1860" s="3">
        <v>0.17</v>
      </c>
      <c r="P1860" s="3">
        <v>0</v>
      </c>
      <c r="Q1860" s="3">
        <v>0</v>
      </c>
      <c r="R1860" s="3">
        <v>0</v>
      </c>
    </row>
    <row r="1861" spans="1:18">
      <c r="A1861" s="3" t="s">
        <v>4762</v>
      </c>
      <c r="B1861" s="3" t="s">
        <v>4763</v>
      </c>
      <c r="C1861" s="3" t="s">
        <v>4340</v>
      </c>
      <c r="D1861" s="3" t="s">
        <v>4341</v>
      </c>
      <c r="E1861" s="3" t="s">
        <v>120</v>
      </c>
      <c r="F1861" s="3">
        <v>23.98</v>
      </c>
      <c r="G1861" s="3" t="s">
        <v>121</v>
      </c>
      <c r="H1861" s="3"/>
      <c r="I1861" s="3" t="s">
        <v>122</v>
      </c>
      <c r="J1861" s="3">
        <v>0</v>
      </c>
      <c r="K1861" s="3">
        <v>0</v>
      </c>
      <c r="L1861" s="3">
        <v>0</v>
      </c>
      <c r="M1861" s="3">
        <v>0</v>
      </c>
      <c r="N1861" s="3">
        <v>0</v>
      </c>
      <c r="O1861" s="3">
        <v>0.1</v>
      </c>
      <c r="P1861" s="3">
        <v>0</v>
      </c>
      <c r="Q1861" s="3">
        <v>0</v>
      </c>
      <c r="R1861" s="3">
        <v>0</v>
      </c>
    </row>
    <row r="1862" spans="1:18">
      <c r="A1862" s="3" t="s">
        <v>4764</v>
      </c>
      <c r="B1862" s="3" t="s">
        <v>4765</v>
      </c>
      <c r="C1862" s="3" t="s">
        <v>4343</v>
      </c>
      <c r="D1862" s="3" t="s">
        <v>4344</v>
      </c>
      <c r="E1862" s="3" t="s">
        <v>120</v>
      </c>
      <c r="F1862" s="3">
        <v>23.98</v>
      </c>
      <c r="G1862" s="3" t="s">
        <v>121</v>
      </c>
      <c r="H1862" s="3"/>
      <c r="I1862" s="3" t="s">
        <v>122</v>
      </c>
      <c r="J1862" s="3">
        <v>0</v>
      </c>
      <c r="K1862" s="3">
        <v>0</v>
      </c>
      <c r="L1862" s="3">
        <v>0</v>
      </c>
      <c r="M1862" s="3">
        <v>0</v>
      </c>
      <c r="N1862" s="3">
        <v>0</v>
      </c>
      <c r="O1862" s="3">
        <v>0.17</v>
      </c>
      <c r="P1862" s="3">
        <v>0</v>
      </c>
      <c r="Q1862" s="3">
        <v>0</v>
      </c>
      <c r="R1862" s="3">
        <v>0</v>
      </c>
    </row>
    <row r="1863" spans="1:18">
      <c r="A1863" s="3" t="s">
        <v>4766</v>
      </c>
      <c r="B1863" s="3" t="s">
        <v>4767</v>
      </c>
      <c r="C1863" s="3" t="s">
        <v>4346</v>
      </c>
      <c r="D1863" s="3" t="s">
        <v>4347</v>
      </c>
      <c r="E1863" s="3" t="s">
        <v>120</v>
      </c>
      <c r="F1863" s="3">
        <v>23.98</v>
      </c>
      <c r="G1863" s="3" t="s">
        <v>121</v>
      </c>
      <c r="H1863" s="3"/>
      <c r="I1863" s="3" t="s">
        <v>122</v>
      </c>
      <c r="J1863" s="3">
        <v>0</v>
      </c>
      <c r="K1863" s="3">
        <v>0</v>
      </c>
      <c r="L1863" s="3">
        <v>0</v>
      </c>
      <c r="M1863" s="3">
        <v>0</v>
      </c>
      <c r="N1863" s="3">
        <v>0</v>
      </c>
      <c r="O1863" s="3">
        <v>0.1</v>
      </c>
      <c r="P1863" s="3">
        <v>0</v>
      </c>
      <c r="Q1863" s="3">
        <v>0</v>
      </c>
      <c r="R1863" s="3">
        <v>0</v>
      </c>
    </row>
    <row r="1864" spans="1:18">
      <c r="A1864" s="3" t="s">
        <v>4768</v>
      </c>
      <c r="B1864" s="3" t="s">
        <v>4769</v>
      </c>
      <c r="C1864" s="3" t="s">
        <v>4349</v>
      </c>
      <c r="D1864" s="3" t="s">
        <v>4350</v>
      </c>
      <c r="E1864" s="3" t="s">
        <v>120</v>
      </c>
      <c r="F1864" s="3">
        <v>23.98</v>
      </c>
      <c r="G1864" s="3" t="s">
        <v>121</v>
      </c>
      <c r="H1864" s="3"/>
      <c r="I1864" s="3" t="s">
        <v>122</v>
      </c>
      <c r="J1864" s="3">
        <v>0</v>
      </c>
      <c r="K1864" s="3">
        <v>0</v>
      </c>
      <c r="L1864" s="3">
        <v>0</v>
      </c>
      <c r="M1864" s="3">
        <v>0</v>
      </c>
      <c r="N1864" s="3">
        <v>0</v>
      </c>
      <c r="O1864" s="3">
        <v>0.17</v>
      </c>
      <c r="P1864" s="3">
        <v>0</v>
      </c>
      <c r="Q1864" s="3">
        <v>0</v>
      </c>
      <c r="R1864" s="3">
        <v>0</v>
      </c>
    </row>
    <row r="1865" spans="1:18">
      <c r="A1865" s="3" t="s">
        <v>4770</v>
      </c>
      <c r="B1865" s="3" t="s">
        <v>4771</v>
      </c>
      <c r="C1865" s="3" t="s">
        <v>4771</v>
      </c>
      <c r="D1865" s="3"/>
      <c r="E1865" s="3" t="s">
        <v>20</v>
      </c>
      <c r="F1865" s="3"/>
      <c r="G1865" s="3"/>
      <c r="H1865" s="3"/>
      <c r="I1865" s="3"/>
      <c r="J1865" s="3">
        <v>32</v>
      </c>
      <c r="K1865" s="3">
        <v>32</v>
      </c>
      <c r="L1865" s="3">
        <v>0</v>
      </c>
      <c r="M1865" s="3">
        <v>0</v>
      </c>
      <c r="N1865" s="3">
        <v>32</v>
      </c>
      <c r="O1865" s="3"/>
      <c r="P1865" s="3">
        <v>0</v>
      </c>
      <c r="Q1865" s="3">
        <v>0</v>
      </c>
      <c r="R1865" s="3">
        <v>0</v>
      </c>
    </row>
    <row r="1866" spans="1:18">
      <c r="A1866" s="3" t="s">
        <v>4772</v>
      </c>
      <c r="B1866" s="3" t="s">
        <v>4773</v>
      </c>
      <c r="C1866" s="3" t="s">
        <v>4773</v>
      </c>
      <c r="D1866" s="3"/>
      <c r="E1866" s="3" t="s">
        <v>20</v>
      </c>
      <c r="F1866" s="3"/>
      <c r="G1866" s="3"/>
      <c r="H1866" s="3"/>
      <c r="I1866" s="3"/>
      <c r="J1866" s="3">
        <v>19</v>
      </c>
      <c r="K1866" s="3">
        <v>19</v>
      </c>
      <c r="L1866" s="3">
        <v>0</v>
      </c>
      <c r="M1866" s="3">
        <v>0</v>
      </c>
      <c r="N1866" s="3">
        <v>19</v>
      </c>
      <c r="O1866" s="3"/>
      <c r="P1866" s="3">
        <v>0</v>
      </c>
      <c r="Q1866" s="3">
        <v>0</v>
      </c>
      <c r="R1866" s="3">
        <v>0</v>
      </c>
    </row>
    <row r="1867" spans="1:18">
      <c r="A1867" s="3" t="s">
        <v>4774</v>
      </c>
      <c r="B1867" s="3" t="s">
        <v>4775</v>
      </c>
      <c r="C1867" s="3" t="s">
        <v>4775</v>
      </c>
      <c r="D1867" s="3"/>
      <c r="E1867" s="3" t="s">
        <v>20</v>
      </c>
      <c r="F1867" s="3"/>
      <c r="G1867" s="3"/>
      <c r="H1867" s="3"/>
      <c r="I1867" s="3"/>
      <c r="J1867" s="3">
        <v>12</v>
      </c>
      <c r="K1867" s="3">
        <v>12</v>
      </c>
      <c r="L1867" s="3">
        <v>0</v>
      </c>
      <c r="M1867" s="3">
        <v>0</v>
      </c>
      <c r="N1867" s="3">
        <v>12</v>
      </c>
      <c r="O1867" s="3"/>
      <c r="P1867" s="3">
        <v>0</v>
      </c>
      <c r="Q1867" s="3">
        <v>0</v>
      </c>
      <c r="R1867" s="3">
        <v>0</v>
      </c>
    </row>
    <row r="1868" spans="1:18">
      <c r="A1868" s="3" t="s">
        <v>4776</v>
      </c>
      <c r="B1868" s="3" t="s">
        <v>4777</v>
      </c>
      <c r="C1868" s="3" t="s">
        <v>4777</v>
      </c>
      <c r="D1868" s="3"/>
      <c r="E1868" s="3" t="s">
        <v>20</v>
      </c>
      <c r="F1868" s="3"/>
      <c r="G1868" s="3"/>
      <c r="H1868" s="3"/>
      <c r="I1868" s="3"/>
      <c r="J1868" s="3">
        <v>6</v>
      </c>
      <c r="K1868" s="3">
        <v>6</v>
      </c>
      <c r="L1868" s="3">
        <v>0</v>
      </c>
      <c r="M1868" s="3">
        <v>0</v>
      </c>
      <c r="N1868" s="3">
        <v>6</v>
      </c>
      <c r="O1868" s="3"/>
      <c r="P1868" s="3">
        <v>0</v>
      </c>
      <c r="Q1868" s="3">
        <v>0</v>
      </c>
      <c r="R1868" s="3">
        <v>0</v>
      </c>
    </row>
    <row r="1869" spans="1:18">
      <c r="A1869" s="3" t="s">
        <v>4778</v>
      </c>
      <c r="B1869" s="3" t="s">
        <v>4779</v>
      </c>
      <c r="C1869" s="3" t="s">
        <v>4779</v>
      </c>
      <c r="D1869" s="3" t="s">
        <v>4780</v>
      </c>
      <c r="E1869" s="3" t="s">
        <v>120</v>
      </c>
      <c r="F1869" s="3">
        <v>39.98</v>
      </c>
      <c r="G1869" s="3" t="s">
        <v>121</v>
      </c>
      <c r="H1869" s="3"/>
      <c r="I1869" s="3" t="s">
        <v>122</v>
      </c>
      <c r="J1869" s="3">
        <v>23</v>
      </c>
      <c r="K1869" s="3">
        <v>23</v>
      </c>
      <c r="L1869" s="3">
        <v>0</v>
      </c>
      <c r="M1869" s="3">
        <v>0</v>
      </c>
      <c r="N1869" s="3">
        <v>23</v>
      </c>
      <c r="O1869" s="3">
        <v>0.07</v>
      </c>
      <c r="P1869" s="3">
        <v>0</v>
      </c>
      <c r="Q1869" s="3">
        <v>0</v>
      </c>
      <c r="R1869" s="3">
        <v>0</v>
      </c>
    </row>
    <row r="1870" spans="1:18">
      <c r="A1870" s="3" t="s">
        <v>4781</v>
      </c>
      <c r="B1870" s="3" t="s">
        <v>4782</v>
      </c>
      <c r="C1870" s="3" t="s">
        <v>4782</v>
      </c>
      <c r="D1870" s="3"/>
      <c r="E1870" s="3" t="s">
        <v>20</v>
      </c>
      <c r="F1870" s="3"/>
      <c r="G1870" s="3"/>
      <c r="H1870" s="3"/>
      <c r="I1870" s="3"/>
      <c r="J1870" s="3">
        <v>23</v>
      </c>
      <c r="K1870" s="3">
        <v>23</v>
      </c>
      <c r="L1870" s="3">
        <v>0</v>
      </c>
      <c r="M1870" s="3">
        <v>0</v>
      </c>
      <c r="N1870" s="3">
        <v>23</v>
      </c>
      <c r="O1870" s="3"/>
      <c r="P1870" s="3">
        <v>0</v>
      </c>
      <c r="Q1870" s="3">
        <v>0</v>
      </c>
      <c r="R1870" s="3">
        <v>0</v>
      </c>
    </row>
    <row r="1871" spans="1:18">
      <c r="A1871" s="3" t="s">
        <v>4783</v>
      </c>
      <c r="B1871" s="3" t="s">
        <v>4784</v>
      </c>
      <c r="C1871" s="3" t="s">
        <v>4784</v>
      </c>
      <c r="D1871" s="3"/>
      <c r="E1871" s="3" t="s">
        <v>20</v>
      </c>
      <c r="F1871" s="3"/>
      <c r="G1871" s="3"/>
      <c r="H1871" s="3"/>
      <c r="I1871" s="3"/>
      <c r="J1871" s="3">
        <v>23</v>
      </c>
      <c r="K1871" s="3">
        <v>23</v>
      </c>
      <c r="L1871" s="3">
        <v>0</v>
      </c>
      <c r="M1871" s="3">
        <v>0</v>
      </c>
      <c r="N1871" s="3">
        <v>23</v>
      </c>
      <c r="O1871" s="3"/>
      <c r="P1871" s="3">
        <v>0</v>
      </c>
      <c r="Q1871" s="3">
        <v>0</v>
      </c>
      <c r="R1871" s="3">
        <v>0</v>
      </c>
    </row>
    <row r="1872" spans="1:18">
      <c r="A1872" s="3" t="s">
        <v>4785</v>
      </c>
      <c r="B1872" s="3" t="s">
        <v>4786</v>
      </c>
      <c r="C1872" s="3" t="s">
        <v>4786</v>
      </c>
      <c r="D1872" s="3"/>
      <c r="E1872" s="3" t="s">
        <v>20</v>
      </c>
      <c r="F1872" s="3"/>
      <c r="G1872" s="3"/>
      <c r="H1872" s="3"/>
      <c r="I1872" s="3"/>
      <c r="J1872" s="3">
        <v>15</v>
      </c>
      <c r="K1872" s="3">
        <v>15</v>
      </c>
      <c r="L1872" s="3">
        <v>0</v>
      </c>
      <c r="M1872" s="3">
        <v>0</v>
      </c>
      <c r="N1872" s="3">
        <v>15</v>
      </c>
      <c r="O1872" s="3"/>
      <c r="P1872" s="3">
        <v>0</v>
      </c>
      <c r="Q1872" s="3">
        <v>0</v>
      </c>
      <c r="R1872" s="3">
        <v>0</v>
      </c>
    </row>
    <row r="1873" spans="1:18">
      <c r="A1873" s="3" t="s">
        <v>4787</v>
      </c>
      <c r="B1873" s="3" t="s">
        <v>4788</v>
      </c>
      <c r="C1873" s="3" t="s">
        <v>4788</v>
      </c>
      <c r="D1873" s="3"/>
      <c r="E1873" s="3" t="s">
        <v>20</v>
      </c>
      <c r="F1873" s="3"/>
      <c r="G1873" s="3"/>
      <c r="H1873" s="3"/>
      <c r="I1873" s="3"/>
      <c r="J1873" s="3">
        <v>9</v>
      </c>
      <c r="K1873" s="3">
        <v>9</v>
      </c>
      <c r="L1873" s="3">
        <v>0</v>
      </c>
      <c r="M1873" s="3">
        <v>0</v>
      </c>
      <c r="N1873" s="3">
        <v>9</v>
      </c>
      <c r="O1873" s="3"/>
      <c r="P1873" s="3">
        <v>0</v>
      </c>
      <c r="Q1873" s="3">
        <v>0</v>
      </c>
      <c r="R1873" s="3">
        <v>0</v>
      </c>
    </row>
    <row r="1874" spans="1:18">
      <c r="A1874" s="3" t="s">
        <v>4789</v>
      </c>
      <c r="B1874" s="3" t="s">
        <v>4790</v>
      </c>
      <c r="C1874" s="3" t="s">
        <v>4790</v>
      </c>
      <c r="D1874" s="3"/>
      <c r="E1874" s="3" t="s">
        <v>20</v>
      </c>
      <c r="F1874" s="3"/>
      <c r="G1874" s="3"/>
      <c r="H1874" s="3"/>
      <c r="I1874" s="3"/>
      <c r="J1874" s="3">
        <v>17</v>
      </c>
      <c r="K1874" s="3">
        <v>16</v>
      </c>
      <c r="L1874" s="3">
        <v>0</v>
      </c>
      <c r="M1874" s="3">
        <v>1</v>
      </c>
      <c r="N1874" s="3">
        <v>17</v>
      </c>
      <c r="O1874" s="3"/>
      <c r="P1874" s="3">
        <v>0</v>
      </c>
      <c r="Q1874" s="3">
        <v>0</v>
      </c>
      <c r="R1874" s="3">
        <v>0</v>
      </c>
    </row>
    <row r="1875" spans="1:18">
      <c r="A1875" s="3" t="s">
        <v>4791</v>
      </c>
      <c r="B1875" s="3" t="s">
        <v>4792</v>
      </c>
      <c r="C1875" s="3" t="s">
        <v>4792</v>
      </c>
      <c r="D1875" s="3" t="s">
        <v>4793</v>
      </c>
      <c r="E1875" s="3" t="s">
        <v>120</v>
      </c>
      <c r="F1875" s="3">
        <v>22.98</v>
      </c>
      <c r="G1875" s="3" t="s">
        <v>121</v>
      </c>
      <c r="H1875" s="3"/>
      <c r="I1875" s="3" t="s">
        <v>122</v>
      </c>
      <c r="J1875" s="3">
        <v>14</v>
      </c>
      <c r="K1875" s="3">
        <v>14</v>
      </c>
      <c r="L1875" s="3">
        <v>0</v>
      </c>
      <c r="M1875" s="3">
        <v>0</v>
      </c>
      <c r="N1875" s="3">
        <v>14</v>
      </c>
      <c r="O1875" s="3">
        <v>0.06</v>
      </c>
      <c r="P1875" s="3">
        <v>0</v>
      </c>
      <c r="Q1875" s="3">
        <v>0</v>
      </c>
      <c r="R1875" s="3">
        <v>0</v>
      </c>
    </row>
    <row r="1876" spans="1:18">
      <c r="A1876" s="3" t="s">
        <v>4794</v>
      </c>
      <c r="B1876" s="3" t="s">
        <v>4795</v>
      </c>
      <c r="C1876" s="3" t="s">
        <v>4795</v>
      </c>
      <c r="D1876" s="3" t="s">
        <v>4796</v>
      </c>
      <c r="E1876" s="3" t="s">
        <v>120</v>
      </c>
      <c r="F1876" s="3">
        <v>22.98</v>
      </c>
      <c r="G1876" s="3" t="s">
        <v>121</v>
      </c>
      <c r="H1876" s="3"/>
      <c r="I1876" s="3" t="s">
        <v>122</v>
      </c>
      <c r="J1876" s="3">
        <v>14</v>
      </c>
      <c r="K1876" s="3">
        <v>14</v>
      </c>
      <c r="L1876" s="3">
        <v>0</v>
      </c>
      <c r="M1876" s="3">
        <v>0</v>
      </c>
      <c r="N1876" s="3">
        <v>14</v>
      </c>
      <c r="O1876" s="3">
        <v>0.07</v>
      </c>
      <c r="P1876" s="3">
        <v>0</v>
      </c>
      <c r="Q1876" s="3">
        <v>0</v>
      </c>
      <c r="R1876" s="3">
        <v>0</v>
      </c>
    </row>
    <row r="1877" spans="1:18">
      <c r="A1877" s="3" t="s">
        <v>4797</v>
      </c>
      <c r="B1877" s="3" t="s">
        <v>4798</v>
      </c>
      <c r="C1877" s="3" t="s">
        <v>4798</v>
      </c>
      <c r="D1877" s="3" t="s">
        <v>4799</v>
      </c>
      <c r="E1877" s="3" t="s">
        <v>120</v>
      </c>
      <c r="F1877" s="3">
        <v>21.98</v>
      </c>
      <c r="G1877" s="3" t="s">
        <v>121</v>
      </c>
      <c r="H1877" s="3"/>
      <c r="I1877" s="3" t="s">
        <v>122</v>
      </c>
      <c r="J1877" s="3">
        <v>0</v>
      </c>
      <c r="K1877" s="3">
        <v>0</v>
      </c>
      <c r="L1877" s="3">
        <v>0</v>
      </c>
      <c r="M1877" s="3">
        <v>0</v>
      </c>
      <c r="N1877" s="3">
        <v>0</v>
      </c>
      <c r="O1877" s="3">
        <v>0.05</v>
      </c>
      <c r="P1877" s="3">
        <v>0</v>
      </c>
      <c r="Q1877" s="3">
        <v>0</v>
      </c>
      <c r="R1877" s="3">
        <v>0</v>
      </c>
    </row>
    <row r="1878" spans="1:18">
      <c r="A1878" s="3" t="s">
        <v>4800</v>
      </c>
      <c r="B1878" s="3" t="s">
        <v>4801</v>
      </c>
      <c r="C1878" s="3" t="s">
        <v>4801</v>
      </c>
      <c r="D1878" s="3" t="s">
        <v>4802</v>
      </c>
      <c r="E1878" s="3" t="s">
        <v>120</v>
      </c>
      <c r="F1878" s="3">
        <v>22.98</v>
      </c>
      <c r="G1878" s="3" t="s">
        <v>121</v>
      </c>
      <c r="H1878" s="3"/>
      <c r="I1878" s="3" t="s">
        <v>122</v>
      </c>
      <c r="J1878" s="3">
        <v>13</v>
      </c>
      <c r="K1878" s="3">
        <v>13</v>
      </c>
      <c r="L1878" s="3">
        <v>0</v>
      </c>
      <c r="M1878" s="3">
        <v>0</v>
      </c>
      <c r="N1878" s="3">
        <v>13</v>
      </c>
      <c r="O1878" s="3">
        <v>0.07</v>
      </c>
      <c r="P1878" s="3">
        <v>0</v>
      </c>
      <c r="Q1878" s="3">
        <v>0</v>
      </c>
      <c r="R1878" s="3">
        <v>0</v>
      </c>
    </row>
    <row r="1879" spans="1:18">
      <c r="A1879" s="3" t="s">
        <v>4803</v>
      </c>
      <c r="B1879" s="3" t="s">
        <v>4804</v>
      </c>
      <c r="C1879" s="3" t="s">
        <v>4804</v>
      </c>
      <c r="D1879" s="3" t="s">
        <v>4805</v>
      </c>
      <c r="E1879" s="3" t="s">
        <v>120</v>
      </c>
      <c r="F1879" s="3">
        <v>22.98</v>
      </c>
      <c r="G1879" s="3" t="s">
        <v>121</v>
      </c>
      <c r="H1879" s="3"/>
      <c r="I1879" s="3" t="s">
        <v>122</v>
      </c>
      <c r="J1879" s="3">
        <v>11</v>
      </c>
      <c r="K1879" s="3">
        <v>11</v>
      </c>
      <c r="L1879" s="3">
        <v>0</v>
      </c>
      <c r="M1879" s="3">
        <v>0</v>
      </c>
      <c r="N1879" s="3">
        <v>11</v>
      </c>
      <c r="O1879" s="3">
        <v>0.06</v>
      </c>
      <c r="P1879" s="3">
        <v>0</v>
      </c>
      <c r="Q1879" s="3">
        <v>0</v>
      </c>
      <c r="R1879" s="3">
        <v>0</v>
      </c>
    </row>
    <row r="1880" spans="1:18">
      <c r="A1880" s="3" t="s">
        <v>4806</v>
      </c>
      <c r="B1880" s="3" t="s">
        <v>4807</v>
      </c>
      <c r="C1880" s="3" t="s">
        <v>4807</v>
      </c>
      <c r="D1880" s="3"/>
      <c r="E1880" s="3" t="s">
        <v>20</v>
      </c>
      <c r="F1880" s="3"/>
      <c r="G1880" s="3"/>
      <c r="H1880" s="3"/>
      <c r="I1880" s="3"/>
      <c r="J1880" s="3">
        <v>7</v>
      </c>
      <c r="K1880" s="3">
        <v>7</v>
      </c>
      <c r="L1880" s="3">
        <v>0</v>
      </c>
      <c r="M1880" s="3">
        <v>0</v>
      </c>
      <c r="N1880" s="3">
        <v>7</v>
      </c>
      <c r="O1880" s="3"/>
      <c r="P1880" s="3">
        <v>0</v>
      </c>
      <c r="Q1880" s="3">
        <v>0</v>
      </c>
      <c r="R1880" s="3">
        <v>0</v>
      </c>
    </row>
    <row r="1881" spans="1:18">
      <c r="A1881" s="3" t="s">
        <v>4808</v>
      </c>
      <c r="B1881" s="3" t="s">
        <v>4809</v>
      </c>
      <c r="C1881" s="3" t="s">
        <v>4809</v>
      </c>
      <c r="D1881" s="3"/>
      <c r="E1881" s="3" t="s">
        <v>20</v>
      </c>
      <c r="F1881" s="3"/>
      <c r="G1881" s="3"/>
      <c r="H1881" s="3"/>
      <c r="I1881" s="3"/>
      <c r="J1881" s="3">
        <v>11</v>
      </c>
      <c r="K1881" s="3">
        <v>11</v>
      </c>
      <c r="L1881" s="3">
        <v>0</v>
      </c>
      <c r="M1881" s="3">
        <v>0</v>
      </c>
      <c r="N1881" s="3">
        <v>11</v>
      </c>
      <c r="O1881" s="3"/>
      <c r="P1881" s="3">
        <v>0</v>
      </c>
      <c r="Q1881" s="3">
        <v>0</v>
      </c>
      <c r="R1881" s="3">
        <v>0</v>
      </c>
    </row>
    <row r="1882" spans="1:18">
      <c r="A1882" s="3" t="s">
        <v>4810</v>
      </c>
      <c r="B1882" s="3" t="s">
        <v>4811</v>
      </c>
      <c r="C1882" s="3" t="s">
        <v>4811</v>
      </c>
      <c r="D1882" s="3"/>
      <c r="E1882" s="3" t="s">
        <v>20</v>
      </c>
      <c r="F1882" s="3"/>
      <c r="G1882" s="3"/>
      <c r="H1882" s="3"/>
      <c r="I1882" s="3"/>
      <c r="J1882" s="3">
        <v>18</v>
      </c>
      <c r="K1882" s="3">
        <v>17</v>
      </c>
      <c r="L1882" s="3">
        <v>0</v>
      </c>
      <c r="M1882" s="3">
        <v>1</v>
      </c>
      <c r="N1882" s="3">
        <v>18</v>
      </c>
      <c r="O1882" s="3"/>
      <c r="P1882" s="3">
        <v>0</v>
      </c>
      <c r="Q1882" s="3">
        <v>0</v>
      </c>
      <c r="R1882" s="3">
        <v>0</v>
      </c>
    </row>
    <row r="1883" spans="1:18">
      <c r="A1883" s="3" t="s">
        <v>4812</v>
      </c>
      <c r="B1883" s="3" t="s">
        <v>4813</v>
      </c>
      <c r="C1883" s="3" t="s">
        <v>4813</v>
      </c>
      <c r="D1883" s="3"/>
      <c r="E1883" s="3" t="s">
        <v>20</v>
      </c>
      <c r="F1883" s="3"/>
      <c r="G1883" s="3"/>
      <c r="H1883" s="3"/>
      <c r="I1883" s="3"/>
      <c r="J1883" s="3">
        <v>5</v>
      </c>
      <c r="K1883" s="3">
        <v>5</v>
      </c>
      <c r="L1883" s="3">
        <v>0</v>
      </c>
      <c r="M1883" s="3">
        <v>0</v>
      </c>
      <c r="N1883" s="3">
        <v>5</v>
      </c>
      <c r="O1883" s="3"/>
      <c r="P1883" s="3">
        <v>0</v>
      </c>
      <c r="Q1883" s="3">
        <v>0</v>
      </c>
      <c r="R1883" s="3">
        <v>0</v>
      </c>
    </row>
    <row r="1884" spans="1:18">
      <c r="A1884" s="3" t="s">
        <v>4814</v>
      </c>
      <c r="B1884" s="3" t="s">
        <v>4815</v>
      </c>
      <c r="C1884" s="3" t="s">
        <v>4815</v>
      </c>
      <c r="D1884" s="3"/>
      <c r="E1884" s="3" t="s">
        <v>20</v>
      </c>
      <c r="F1884" s="3"/>
      <c r="G1884" s="3"/>
      <c r="H1884" s="3"/>
      <c r="I1884" s="3"/>
      <c r="J1884" s="3">
        <v>8</v>
      </c>
      <c r="K1884" s="3">
        <v>8</v>
      </c>
      <c r="L1884" s="3">
        <v>0</v>
      </c>
      <c r="M1884" s="3">
        <v>0</v>
      </c>
      <c r="N1884" s="3">
        <v>8</v>
      </c>
      <c r="O1884" s="3"/>
      <c r="P1884" s="3">
        <v>0</v>
      </c>
      <c r="Q1884" s="3">
        <v>0</v>
      </c>
      <c r="R1884" s="3">
        <v>0</v>
      </c>
    </row>
    <row r="1885" spans="1:18">
      <c r="A1885" s="3" t="s">
        <v>4816</v>
      </c>
      <c r="B1885" s="3" t="s">
        <v>4817</v>
      </c>
      <c r="C1885" s="3" t="s">
        <v>4817</v>
      </c>
      <c r="D1885" s="3"/>
      <c r="E1885" s="3" t="s">
        <v>20</v>
      </c>
      <c r="F1885" s="3"/>
      <c r="G1885" s="3"/>
      <c r="H1885" s="3"/>
      <c r="I1885" s="3"/>
      <c r="J1885" s="3">
        <v>13</v>
      </c>
      <c r="K1885" s="3">
        <v>13</v>
      </c>
      <c r="L1885" s="3">
        <v>0</v>
      </c>
      <c r="M1885" s="3">
        <v>0</v>
      </c>
      <c r="N1885" s="3">
        <v>13</v>
      </c>
      <c r="O1885" s="3"/>
      <c r="P1885" s="3">
        <v>0</v>
      </c>
      <c r="Q1885" s="3">
        <v>0</v>
      </c>
      <c r="R1885" s="3">
        <v>0</v>
      </c>
    </row>
    <row r="1886" spans="1:18">
      <c r="A1886" s="3" t="s">
        <v>4818</v>
      </c>
      <c r="B1886" s="3" t="s">
        <v>4819</v>
      </c>
      <c r="C1886" s="3" t="s">
        <v>4819</v>
      </c>
      <c r="D1886" s="3"/>
      <c r="E1886" s="3" t="s">
        <v>20</v>
      </c>
      <c r="F1886" s="3"/>
      <c r="G1886" s="3"/>
      <c r="H1886" s="3"/>
      <c r="I1886" s="3"/>
      <c r="J1886" s="3">
        <v>19</v>
      </c>
      <c r="K1886" s="3">
        <v>19</v>
      </c>
      <c r="L1886" s="3">
        <v>0</v>
      </c>
      <c r="M1886" s="3">
        <v>0</v>
      </c>
      <c r="N1886" s="3">
        <v>19</v>
      </c>
      <c r="O1886" s="3"/>
      <c r="P1886" s="3">
        <v>0</v>
      </c>
      <c r="Q1886" s="3">
        <v>0</v>
      </c>
      <c r="R1886" s="3">
        <v>0</v>
      </c>
    </row>
    <row r="1887" spans="1:18">
      <c r="A1887" s="3" t="s">
        <v>4820</v>
      </c>
      <c r="B1887" s="3" t="s">
        <v>4821</v>
      </c>
      <c r="C1887" s="3" t="s">
        <v>4821</v>
      </c>
      <c r="D1887" s="3"/>
      <c r="E1887" s="3" t="s">
        <v>20</v>
      </c>
      <c r="F1887" s="3"/>
      <c r="G1887" s="3"/>
      <c r="H1887" s="3"/>
      <c r="I1887" s="3"/>
      <c r="J1887" s="3">
        <v>7</v>
      </c>
      <c r="K1887" s="3">
        <v>7</v>
      </c>
      <c r="L1887" s="3">
        <v>0</v>
      </c>
      <c r="M1887" s="3">
        <v>0</v>
      </c>
      <c r="N1887" s="3">
        <v>7</v>
      </c>
      <c r="O1887" s="3"/>
      <c r="P1887" s="3">
        <v>0</v>
      </c>
      <c r="Q1887" s="3">
        <v>0</v>
      </c>
      <c r="R1887" s="3">
        <v>0</v>
      </c>
    </row>
    <row r="1888" spans="1:18">
      <c r="A1888" s="3" t="s">
        <v>4822</v>
      </c>
      <c r="B1888" s="3" t="s">
        <v>4823</v>
      </c>
      <c r="C1888" s="3" t="s">
        <v>4823</v>
      </c>
      <c r="D1888" s="3"/>
      <c r="E1888" s="3" t="s">
        <v>20</v>
      </c>
      <c r="F1888" s="3"/>
      <c r="G1888" s="3"/>
      <c r="H1888" s="3"/>
      <c r="I1888" s="3"/>
      <c r="J1888" s="3">
        <v>8</v>
      </c>
      <c r="K1888" s="3">
        <v>8</v>
      </c>
      <c r="L1888" s="3">
        <v>0</v>
      </c>
      <c r="M1888" s="3">
        <v>0</v>
      </c>
      <c r="N1888" s="3">
        <v>8</v>
      </c>
      <c r="O1888" s="3"/>
      <c r="P1888" s="3">
        <v>0</v>
      </c>
      <c r="Q1888" s="3">
        <v>0</v>
      </c>
      <c r="R1888" s="3">
        <v>0</v>
      </c>
    </row>
    <row r="1889" spans="1:18">
      <c r="A1889" s="3" t="s">
        <v>4824</v>
      </c>
      <c r="B1889" s="3" t="s">
        <v>4825</v>
      </c>
      <c r="C1889" s="3" t="s">
        <v>4825</v>
      </c>
      <c r="D1889" s="3"/>
      <c r="E1889" s="3" t="s">
        <v>20</v>
      </c>
      <c r="F1889" s="3"/>
      <c r="G1889" s="3"/>
      <c r="H1889" s="3"/>
      <c r="I1889" s="3"/>
      <c r="J1889" s="3">
        <v>21</v>
      </c>
      <c r="K1889" s="3">
        <v>21</v>
      </c>
      <c r="L1889" s="3">
        <v>0</v>
      </c>
      <c r="M1889" s="3">
        <v>0</v>
      </c>
      <c r="N1889" s="3">
        <v>21</v>
      </c>
      <c r="O1889" s="3"/>
      <c r="P1889" s="3">
        <v>0</v>
      </c>
      <c r="Q1889" s="3">
        <v>0</v>
      </c>
      <c r="R1889" s="3">
        <v>0</v>
      </c>
    </row>
    <row r="1890" spans="1:18">
      <c r="A1890" s="3" t="s">
        <v>4826</v>
      </c>
      <c r="B1890" s="3" t="s">
        <v>4827</v>
      </c>
      <c r="C1890" s="3" t="s">
        <v>4827</v>
      </c>
      <c r="D1890" s="3" t="s">
        <v>4828</v>
      </c>
      <c r="E1890" s="3" t="s">
        <v>120</v>
      </c>
      <c r="F1890" s="3">
        <v>39.98</v>
      </c>
      <c r="G1890" s="3" t="s">
        <v>121</v>
      </c>
      <c r="H1890" s="3"/>
      <c r="I1890" s="3" t="s">
        <v>122</v>
      </c>
      <c r="J1890" s="3">
        <v>2</v>
      </c>
      <c r="K1890" s="3">
        <v>2</v>
      </c>
      <c r="L1890" s="3">
        <v>0</v>
      </c>
      <c r="M1890" s="3">
        <v>0</v>
      </c>
      <c r="N1890" s="3">
        <v>2</v>
      </c>
      <c r="O1890" s="3">
        <v>0.08</v>
      </c>
      <c r="P1890" s="3">
        <v>0</v>
      </c>
      <c r="Q1890" s="3">
        <v>0</v>
      </c>
      <c r="R1890" s="3">
        <v>0</v>
      </c>
    </row>
    <row r="1891" spans="1:18">
      <c r="A1891" s="3" t="s">
        <v>4829</v>
      </c>
      <c r="B1891" s="3" t="s">
        <v>4830</v>
      </c>
      <c r="C1891" s="3" t="s">
        <v>4830</v>
      </c>
      <c r="D1891" s="3" t="s">
        <v>4831</v>
      </c>
      <c r="E1891" s="3" t="s">
        <v>120</v>
      </c>
      <c r="F1891" s="3">
        <v>39.98</v>
      </c>
      <c r="G1891" s="3" t="s">
        <v>121</v>
      </c>
      <c r="H1891" s="3"/>
      <c r="I1891" s="3" t="s">
        <v>122</v>
      </c>
      <c r="J1891" s="3">
        <v>6</v>
      </c>
      <c r="K1891" s="3">
        <v>6</v>
      </c>
      <c r="L1891" s="3">
        <v>0</v>
      </c>
      <c r="M1891" s="3">
        <v>0</v>
      </c>
      <c r="N1891" s="3">
        <v>6</v>
      </c>
      <c r="O1891" s="3">
        <v>0.08</v>
      </c>
      <c r="P1891" s="3">
        <v>0</v>
      </c>
      <c r="Q1891" s="3">
        <v>0</v>
      </c>
      <c r="R1891" s="3">
        <v>0</v>
      </c>
    </row>
    <row r="1892" spans="1:18">
      <c r="A1892" s="3" t="s">
        <v>4832</v>
      </c>
      <c r="B1892" s="3" t="s">
        <v>4833</v>
      </c>
      <c r="C1892" s="3" t="s">
        <v>4833</v>
      </c>
      <c r="D1892" s="3" t="s">
        <v>4834</v>
      </c>
      <c r="E1892" s="3" t="s">
        <v>120</v>
      </c>
      <c r="F1892" s="3">
        <v>39.98</v>
      </c>
      <c r="G1892" s="3" t="s">
        <v>121</v>
      </c>
      <c r="H1892" s="3"/>
      <c r="I1892" s="3" t="s">
        <v>122</v>
      </c>
      <c r="J1892" s="3">
        <v>4</v>
      </c>
      <c r="K1892" s="3">
        <v>4</v>
      </c>
      <c r="L1892" s="3">
        <v>0</v>
      </c>
      <c r="M1892" s="3">
        <v>0</v>
      </c>
      <c r="N1892" s="3">
        <v>4</v>
      </c>
      <c r="O1892" s="3">
        <v>0.08</v>
      </c>
      <c r="P1892" s="3">
        <v>0</v>
      </c>
      <c r="Q1892" s="3">
        <v>0</v>
      </c>
      <c r="R1892" s="3">
        <v>0</v>
      </c>
    </row>
    <row r="1893" spans="1:18">
      <c r="A1893" s="3" t="s">
        <v>4835</v>
      </c>
      <c r="B1893" s="3" t="s">
        <v>4836</v>
      </c>
      <c r="C1893" s="3" t="s">
        <v>4836</v>
      </c>
      <c r="D1893" s="3" t="s">
        <v>4828</v>
      </c>
      <c r="E1893" s="3" t="s">
        <v>120</v>
      </c>
      <c r="F1893" s="3">
        <v>39.98</v>
      </c>
      <c r="G1893" s="3" t="s">
        <v>121</v>
      </c>
      <c r="H1893" s="3"/>
      <c r="I1893" s="3" t="s">
        <v>122</v>
      </c>
      <c r="J1893" s="3">
        <v>0</v>
      </c>
      <c r="K1893" s="3">
        <v>0</v>
      </c>
      <c r="L1893" s="3">
        <v>0</v>
      </c>
      <c r="M1893" s="3">
        <v>0</v>
      </c>
      <c r="N1893" s="3">
        <v>0</v>
      </c>
      <c r="O1893" s="3">
        <v>0.21</v>
      </c>
      <c r="P1893" s="3">
        <v>0</v>
      </c>
      <c r="Q1893" s="3">
        <v>0</v>
      </c>
      <c r="R1893" s="3">
        <v>0</v>
      </c>
    </row>
    <row r="1894" spans="1:18">
      <c r="A1894" s="3" t="s">
        <v>4837</v>
      </c>
      <c r="B1894" s="3" t="s">
        <v>4838</v>
      </c>
      <c r="C1894" s="3" t="s">
        <v>4838</v>
      </c>
      <c r="D1894" s="3" t="s">
        <v>4839</v>
      </c>
      <c r="E1894" s="3" t="s">
        <v>120</v>
      </c>
      <c r="F1894" s="3">
        <v>39.98</v>
      </c>
      <c r="G1894" s="3" t="s">
        <v>121</v>
      </c>
      <c r="H1894" s="3"/>
      <c r="I1894" s="3" t="s">
        <v>122</v>
      </c>
      <c r="J1894" s="3">
        <v>0</v>
      </c>
      <c r="K1894" s="3">
        <v>0</v>
      </c>
      <c r="L1894" s="3">
        <v>0</v>
      </c>
      <c r="M1894" s="3">
        <v>0</v>
      </c>
      <c r="N1894" s="3">
        <v>0</v>
      </c>
      <c r="O1894" s="3">
        <v>0.21</v>
      </c>
      <c r="P1894" s="3">
        <v>0</v>
      </c>
      <c r="Q1894" s="3">
        <v>0</v>
      </c>
      <c r="R1894" s="3">
        <v>0</v>
      </c>
    </row>
    <row r="1895" spans="1:18">
      <c r="A1895" s="3" t="s">
        <v>4840</v>
      </c>
      <c r="B1895" s="3" t="s">
        <v>4841</v>
      </c>
      <c r="C1895" s="3" t="s">
        <v>4841</v>
      </c>
      <c r="D1895" s="3" t="s">
        <v>4839</v>
      </c>
      <c r="E1895" s="3" t="s">
        <v>120</v>
      </c>
      <c r="F1895" s="3">
        <v>39.98</v>
      </c>
      <c r="G1895" s="3" t="s">
        <v>121</v>
      </c>
      <c r="H1895" s="3"/>
      <c r="I1895" s="3" t="s">
        <v>122</v>
      </c>
      <c r="J1895" s="3">
        <v>6</v>
      </c>
      <c r="K1895" s="3">
        <v>6</v>
      </c>
      <c r="L1895" s="3">
        <v>0</v>
      </c>
      <c r="M1895" s="3">
        <v>0</v>
      </c>
      <c r="N1895" s="3">
        <v>6</v>
      </c>
      <c r="O1895" s="3">
        <v>0.21</v>
      </c>
      <c r="P1895" s="3">
        <v>0</v>
      </c>
      <c r="Q1895" s="3">
        <v>0</v>
      </c>
      <c r="R1895" s="3">
        <v>0</v>
      </c>
    </row>
    <row r="1896" spans="1:18">
      <c r="A1896" s="3" t="s">
        <v>4842</v>
      </c>
      <c r="B1896" s="3" t="s">
        <v>4843</v>
      </c>
      <c r="C1896" s="3" t="s">
        <v>4843</v>
      </c>
      <c r="D1896" s="3" t="s">
        <v>4844</v>
      </c>
      <c r="E1896" s="3" t="s">
        <v>120</v>
      </c>
      <c r="F1896" s="3">
        <v>39.98</v>
      </c>
      <c r="G1896" s="3" t="s">
        <v>121</v>
      </c>
      <c r="H1896" s="3"/>
      <c r="I1896" s="3" t="s">
        <v>122</v>
      </c>
      <c r="J1896" s="3">
        <v>3</v>
      </c>
      <c r="K1896" s="3">
        <v>3</v>
      </c>
      <c r="L1896" s="3">
        <v>0</v>
      </c>
      <c r="M1896" s="3">
        <v>0</v>
      </c>
      <c r="N1896" s="3">
        <v>3</v>
      </c>
      <c r="O1896" s="3">
        <v>0.21</v>
      </c>
      <c r="P1896" s="3">
        <v>0</v>
      </c>
      <c r="Q1896" s="3">
        <v>0</v>
      </c>
      <c r="R1896" s="3">
        <v>0</v>
      </c>
    </row>
    <row r="1897" spans="1:18">
      <c r="A1897" s="3" t="s">
        <v>4845</v>
      </c>
      <c r="B1897" s="3" t="s">
        <v>4846</v>
      </c>
      <c r="C1897" s="3" t="s">
        <v>4846</v>
      </c>
      <c r="D1897" s="3" t="s">
        <v>4847</v>
      </c>
      <c r="E1897" s="3" t="s">
        <v>120</v>
      </c>
      <c r="F1897" s="3">
        <v>39.98</v>
      </c>
      <c r="G1897" s="3" t="s">
        <v>121</v>
      </c>
      <c r="H1897" s="3"/>
      <c r="I1897" s="3" t="s">
        <v>122</v>
      </c>
      <c r="J1897" s="3">
        <v>2</v>
      </c>
      <c r="K1897" s="3">
        <v>2</v>
      </c>
      <c r="L1897" s="3">
        <v>0</v>
      </c>
      <c r="M1897" s="3">
        <v>0</v>
      </c>
      <c r="N1897" s="3">
        <v>2</v>
      </c>
      <c r="O1897" s="3">
        <v>0.21</v>
      </c>
      <c r="P1897" s="3">
        <v>0</v>
      </c>
      <c r="Q1897" s="3">
        <v>0</v>
      </c>
      <c r="R1897" s="3">
        <v>0</v>
      </c>
    </row>
    <row r="1898" spans="1:18">
      <c r="A1898" s="3" t="s">
        <v>4848</v>
      </c>
      <c r="B1898" s="3" t="s">
        <v>4849</v>
      </c>
      <c r="C1898" s="3" t="s">
        <v>4849</v>
      </c>
      <c r="D1898" s="3" t="s">
        <v>4850</v>
      </c>
      <c r="E1898" s="3" t="s">
        <v>120</v>
      </c>
      <c r="F1898" s="3">
        <v>39.98</v>
      </c>
      <c r="G1898" s="3" t="s">
        <v>121</v>
      </c>
      <c r="H1898" s="3"/>
      <c r="I1898" s="3" t="s">
        <v>122</v>
      </c>
      <c r="J1898" s="3">
        <v>4</v>
      </c>
      <c r="K1898" s="3">
        <v>4</v>
      </c>
      <c r="L1898" s="3">
        <v>0</v>
      </c>
      <c r="M1898" s="3">
        <v>0</v>
      </c>
      <c r="N1898" s="3">
        <v>4</v>
      </c>
      <c r="O1898" s="3">
        <v>0.21</v>
      </c>
      <c r="P1898" s="3">
        <v>0</v>
      </c>
      <c r="Q1898" s="3">
        <v>0</v>
      </c>
      <c r="R1898" s="3">
        <v>0</v>
      </c>
    </row>
    <row r="1899" spans="1:18">
      <c r="A1899" s="3" t="s">
        <v>4851</v>
      </c>
      <c r="B1899" s="3" t="s">
        <v>4852</v>
      </c>
      <c r="C1899" s="3" t="s">
        <v>4852</v>
      </c>
      <c r="D1899" s="3" t="s">
        <v>4853</v>
      </c>
      <c r="E1899" s="3" t="s">
        <v>120</v>
      </c>
      <c r="F1899" s="3">
        <v>39.98</v>
      </c>
      <c r="G1899" s="3" t="s">
        <v>121</v>
      </c>
      <c r="H1899" s="3"/>
      <c r="I1899" s="3" t="s">
        <v>122</v>
      </c>
      <c r="J1899" s="3">
        <v>6</v>
      </c>
      <c r="K1899" s="3">
        <v>5</v>
      </c>
      <c r="L1899" s="3">
        <v>0</v>
      </c>
      <c r="M1899" s="3">
        <v>1</v>
      </c>
      <c r="N1899" s="3">
        <v>6</v>
      </c>
      <c r="O1899" s="3">
        <v>0.19</v>
      </c>
      <c r="P1899" s="3">
        <v>0</v>
      </c>
      <c r="Q1899" s="3">
        <v>0</v>
      </c>
      <c r="R1899" s="3">
        <v>0</v>
      </c>
    </row>
    <row r="1900" spans="1:18">
      <c r="A1900" s="3" t="s">
        <v>4854</v>
      </c>
      <c r="B1900" s="3" t="s">
        <v>4855</v>
      </c>
      <c r="C1900" s="3" t="s">
        <v>4855</v>
      </c>
      <c r="D1900" s="3" t="s">
        <v>4856</v>
      </c>
      <c r="E1900" s="3" t="s">
        <v>120</v>
      </c>
      <c r="F1900" s="3">
        <v>39.98</v>
      </c>
      <c r="G1900" s="3" t="s">
        <v>121</v>
      </c>
      <c r="H1900" s="3"/>
      <c r="I1900" s="3" t="s">
        <v>122</v>
      </c>
      <c r="J1900" s="3">
        <v>2</v>
      </c>
      <c r="K1900" s="3">
        <v>1</v>
      </c>
      <c r="L1900" s="3">
        <v>0</v>
      </c>
      <c r="M1900" s="3">
        <v>1</v>
      </c>
      <c r="N1900" s="3">
        <v>2</v>
      </c>
      <c r="O1900" s="3">
        <v>0.08</v>
      </c>
      <c r="P1900" s="3">
        <v>0</v>
      </c>
      <c r="Q1900" s="3">
        <v>0</v>
      </c>
      <c r="R1900" s="3">
        <v>0</v>
      </c>
    </row>
    <row r="1901" spans="1:18">
      <c r="A1901" s="3" t="s">
        <v>4857</v>
      </c>
      <c r="B1901" s="3" t="s">
        <v>4858</v>
      </c>
      <c r="C1901" s="3" t="s">
        <v>4858</v>
      </c>
      <c r="D1901" s="3" t="s">
        <v>4850</v>
      </c>
      <c r="E1901" s="3" t="s">
        <v>120</v>
      </c>
      <c r="F1901" s="3">
        <v>39.98</v>
      </c>
      <c r="G1901" s="3" t="s">
        <v>121</v>
      </c>
      <c r="H1901" s="3"/>
      <c r="I1901" s="3" t="s">
        <v>122</v>
      </c>
      <c r="J1901" s="3">
        <v>0</v>
      </c>
      <c r="K1901" s="3">
        <v>0</v>
      </c>
      <c r="L1901" s="3">
        <v>0</v>
      </c>
      <c r="M1901" s="3">
        <v>0</v>
      </c>
      <c r="N1901" s="3">
        <v>0</v>
      </c>
      <c r="O1901" s="3">
        <v>0.21</v>
      </c>
      <c r="P1901" s="3">
        <v>0</v>
      </c>
      <c r="Q1901" s="3">
        <v>0</v>
      </c>
      <c r="R1901" s="3">
        <v>0</v>
      </c>
    </row>
    <row r="1902" spans="1:18">
      <c r="A1902" s="3" t="s">
        <v>4859</v>
      </c>
      <c r="B1902" s="3" t="s">
        <v>4860</v>
      </c>
      <c r="C1902" s="3" t="s">
        <v>4860</v>
      </c>
      <c r="D1902" s="3" t="s">
        <v>4861</v>
      </c>
      <c r="E1902" s="3" t="s">
        <v>120</v>
      </c>
      <c r="F1902" s="3">
        <v>22.98</v>
      </c>
      <c r="G1902" s="3" t="s">
        <v>121</v>
      </c>
      <c r="H1902" s="3"/>
      <c r="I1902" s="3" t="s">
        <v>122</v>
      </c>
      <c r="J1902" s="3">
        <v>6</v>
      </c>
      <c r="K1902" s="3">
        <v>6</v>
      </c>
      <c r="L1902" s="3">
        <v>0</v>
      </c>
      <c r="M1902" s="3">
        <v>0</v>
      </c>
      <c r="N1902" s="3">
        <v>6</v>
      </c>
      <c r="O1902" s="3">
        <v>0.36</v>
      </c>
      <c r="P1902" s="3">
        <v>0</v>
      </c>
      <c r="Q1902" s="3">
        <v>0</v>
      </c>
      <c r="R1902" s="3">
        <v>0</v>
      </c>
    </row>
    <row r="1903" spans="1:18">
      <c r="A1903" s="3" t="s">
        <v>4862</v>
      </c>
      <c r="B1903" s="3" t="s">
        <v>4863</v>
      </c>
      <c r="C1903" s="3" t="s">
        <v>4863</v>
      </c>
      <c r="D1903" s="3" t="s">
        <v>4864</v>
      </c>
      <c r="E1903" s="3" t="s">
        <v>120</v>
      </c>
      <c r="F1903" s="3">
        <v>39.98</v>
      </c>
      <c r="G1903" s="3" t="s">
        <v>121</v>
      </c>
      <c r="H1903" s="3"/>
      <c r="I1903" s="3" t="s">
        <v>122</v>
      </c>
      <c r="J1903" s="3">
        <v>3</v>
      </c>
      <c r="K1903" s="3">
        <v>3</v>
      </c>
      <c r="L1903" s="3">
        <v>0</v>
      </c>
      <c r="M1903" s="3">
        <v>0</v>
      </c>
      <c r="N1903" s="3">
        <v>3</v>
      </c>
      <c r="O1903" s="3">
        <v>0.21</v>
      </c>
      <c r="P1903" s="3">
        <v>0</v>
      </c>
      <c r="Q1903" s="3">
        <v>0</v>
      </c>
      <c r="R1903" s="3">
        <v>0</v>
      </c>
    </row>
    <row r="1904" spans="1:18">
      <c r="A1904" s="3" t="s">
        <v>4865</v>
      </c>
      <c r="B1904" s="3" t="s">
        <v>4866</v>
      </c>
      <c r="C1904" s="3" t="s">
        <v>4866</v>
      </c>
      <c r="D1904" s="3" t="s">
        <v>4864</v>
      </c>
      <c r="E1904" s="3" t="s">
        <v>120</v>
      </c>
      <c r="F1904" s="3">
        <v>39.98</v>
      </c>
      <c r="G1904" s="3" t="s">
        <v>121</v>
      </c>
      <c r="H1904" s="3"/>
      <c r="I1904" s="3" t="s">
        <v>122</v>
      </c>
      <c r="J1904" s="3">
        <v>5</v>
      </c>
      <c r="K1904" s="3">
        <v>4</v>
      </c>
      <c r="L1904" s="3">
        <v>0</v>
      </c>
      <c r="M1904" s="3">
        <v>1</v>
      </c>
      <c r="N1904" s="3">
        <v>5</v>
      </c>
      <c r="O1904" s="3">
        <v>0.21</v>
      </c>
      <c r="P1904" s="3">
        <v>0</v>
      </c>
      <c r="Q1904" s="3">
        <v>0</v>
      </c>
      <c r="R1904" s="3">
        <v>0</v>
      </c>
    </row>
    <row r="1905" spans="1:18">
      <c r="A1905" s="3" t="s">
        <v>4867</v>
      </c>
      <c r="B1905" s="3" t="s">
        <v>4868</v>
      </c>
      <c r="C1905" s="3" t="s">
        <v>4868</v>
      </c>
      <c r="D1905" s="3" t="s">
        <v>4869</v>
      </c>
      <c r="E1905" s="3" t="s">
        <v>120</v>
      </c>
      <c r="F1905" s="3">
        <v>39.98</v>
      </c>
      <c r="G1905" s="3" t="s">
        <v>121</v>
      </c>
      <c r="H1905" s="3"/>
      <c r="I1905" s="3" t="s">
        <v>122</v>
      </c>
      <c r="J1905" s="3">
        <v>0</v>
      </c>
      <c r="K1905" s="3">
        <v>0</v>
      </c>
      <c r="L1905" s="3">
        <v>0</v>
      </c>
      <c r="M1905" s="3">
        <v>0</v>
      </c>
      <c r="N1905" s="3">
        <v>0</v>
      </c>
      <c r="O1905" s="3">
        <v>0.21</v>
      </c>
      <c r="P1905" s="3">
        <v>0</v>
      </c>
      <c r="Q1905" s="3">
        <v>0</v>
      </c>
      <c r="R1905" s="3">
        <v>0</v>
      </c>
    </row>
    <row r="1906" spans="1:18">
      <c r="A1906" s="3" t="s">
        <v>4870</v>
      </c>
      <c r="B1906" s="3" t="s">
        <v>4871</v>
      </c>
      <c r="C1906" s="3" t="s">
        <v>4871</v>
      </c>
      <c r="D1906" s="3"/>
      <c r="E1906" s="3" t="s">
        <v>20</v>
      </c>
      <c r="F1906" s="3"/>
      <c r="G1906" s="3"/>
      <c r="H1906" s="3"/>
      <c r="I1906" s="3"/>
      <c r="J1906" s="3">
        <v>6</v>
      </c>
      <c r="K1906" s="3">
        <v>6</v>
      </c>
      <c r="L1906" s="3">
        <v>0</v>
      </c>
      <c r="M1906" s="3">
        <v>0</v>
      </c>
      <c r="N1906" s="3">
        <v>6</v>
      </c>
      <c r="O1906" s="3"/>
      <c r="P1906" s="3">
        <v>0</v>
      </c>
      <c r="Q1906" s="3">
        <v>0</v>
      </c>
      <c r="R1906" s="3">
        <v>0</v>
      </c>
    </row>
    <row r="1907" spans="1:18">
      <c r="A1907" s="3" t="s">
        <v>4872</v>
      </c>
      <c r="B1907" s="3" t="s">
        <v>4873</v>
      </c>
      <c r="C1907" s="3" t="s">
        <v>4873</v>
      </c>
      <c r="D1907" s="3" t="s">
        <v>4874</v>
      </c>
      <c r="E1907" s="3" t="s">
        <v>120</v>
      </c>
      <c r="F1907" s="3">
        <v>39.98</v>
      </c>
      <c r="G1907" s="3" t="s">
        <v>121</v>
      </c>
      <c r="H1907" s="3"/>
      <c r="I1907" s="3" t="s">
        <v>122</v>
      </c>
      <c r="J1907" s="3">
        <v>3</v>
      </c>
      <c r="K1907" s="3">
        <v>3</v>
      </c>
      <c r="L1907" s="3">
        <v>0</v>
      </c>
      <c r="M1907" s="3">
        <v>0</v>
      </c>
      <c r="N1907" s="3">
        <v>3</v>
      </c>
      <c r="O1907" s="3">
        <v>0.21</v>
      </c>
      <c r="P1907" s="3">
        <v>0</v>
      </c>
      <c r="Q1907" s="3">
        <v>0</v>
      </c>
      <c r="R1907" s="3">
        <v>0</v>
      </c>
    </row>
    <row r="1908" spans="1:18">
      <c r="A1908" s="3" t="s">
        <v>4875</v>
      </c>
      <c r="B1908" s="3" t="s">
        <v>4876</v>
      </c>
      <c r="C1908" s="3" t="s">
        <v>4876</v>
      </c>
      <c r="D1908" s="3" t="s">
        <v>4877</v>
      </c>
      <c r="E1908" s="3" t="s">
        <v>120</v>
      </c>
      <c r="F1908" s="3">
        <v>39.98</v>
      </c>
      <c r="G1908" s="3" t="s">
        <v>121</v>
      </c>
      <c r="H1908" s="3"/>
      <c r="I1908" s="3" t="s">
        <v>122</v>
      </c>
      <c r="J1908" s="3">
        <v>0</v>
      </c>
      <c r="K1908" s="3">
        <v>0</v>
      </c>
      <c r="L1908" s="3">
        <v>0</v>
      </c>
      <c r="M1908" s="3">
        <v>0</v>
      </c>
      <c r="N1908" s="3">
        <v>0</v>
      </c>
      <c r="O1908" s="3">
        <v>0.21</v>
      </c>
      <c r="P1908" s="3">
        <v>0</v>
      </c>
      <c r="Q1908" s="3">
        <v>0</v>
      </c>
      <c r="R1908" s="3">
        <v>0</v>
      </c>
    </row>
    <row r="1909" spans="1:18">
      <c r="A1909" s="3" t="s">
        <v>4878</v>
      </c>
      <c r="B1909" s="3" t="s">
        <v>4879</v>
      </c>
      <c r="C1909" s="3" t="s">
        <v>4879</v>
      </c>
      <c r="D1909" s="3" t="s">
        <v>4880</v>
      </c>
      <c r="E1909" s="3" t="s">
        <v>120</v>
      </c>
      <c r="F1909" s="3">
        <v>39.98</v>
      </c>
      <c r="G1909" s="3" t="s">
        <v>121</v>
      </c>
      <c r="H1909" s="3"/>
      <c r="I1909" s="3" t="s">
        <v>122</v>
      </c>
      <c r="J1909" s="3">
        <v>8</v>
      </c>
      <c r="K1909" s="3">
        <v>8</v>
      </c>
      <c r="L1909" s="3">
        <v>0</v>
      </c>
      <c r="M1909" s="3">
        <v>0</v>
      </c>
      <c r="N1909" s="3">
        <v>8</v>
      </c>
      <c r="O1909" s="3">
        <v>0.21</v>
      </c>
      <c r="P1909" s="3">
        <v>0</v>
      </c>
      <c r="Q1909" s="3">
        <v>0</v>
      </c>
      <c r="R1909" s="3">
        <v>0</v>
      </c>
    </row>
    <row r="1910" spans="1:18">
      <c r="A1910" s="3" t="s">
        <v>4881</v>
      </c>
      <c r="B1910" s="3" t="s">
        <v>4882</v>
      </c>
      <c r="C1910" s="3" t="s">
        <v>4882</v>
      </c>
      <c r="D1910" s="3" t="s">
        <v>4880</v>
      </c>
      <c r="E1910" s="3" t="s">
        <v>120</v>
      </c>
      <c r="F1910" s="3">
        <v>39.98</v>
      </c>
      <c r="G1910" s="3" t="s">
        <v>121</v>
      </c>
      <c r="H1910" s="3"/>
      <c r="I1910" s="3" t="s">
        <v>122</v>
      </c>
      <c r="J1910" s="3">
        <v>9</v>
      </c>
      <c r="K1910" s="3">
        <v>9</v>
      </c>
      <c r="L1910" s="3">
        <v>0</v>
      </c>
      <c r="M1910" s="3">
        <v>0</v>
      </c>
      <c r="N1910" s="3">
        <v>9</v>
      </c>
      <c r="O1910" s="3">
        <v>0.21</v>
      </c>
      <c r="P1910" s="3">
        <v>0</v>
      </c>
      <c r="Q1910" s="3">
        <v>0</v>
      </c>
      <c r="R1910" s="3">
        <v>0</v>
      </c>
    </row>
    <row r="1911" spans="1:18">
      <c r="A1911" s="3" t="s">
        <v>4883</v>
      </c>
      <c r="B1911" s="3" t="s">
        <v>4884</v>
      </c>
      <c r="C1911" s="3" t="s">
        <v>4884</v>
      </c>
      <c r="D1911" s="3" t="s">
        <v>4885</v>
      </c>
      <c r="E1911" s="3" t="s">
        <v>120</v>
      </c>
      <c r="F1911" s="3">
        <v>39.98</v>
      </c>
      <c r="G1911" s="3" t="s">
        <v>121</v>
      </c>
      <c r="H1911" s="3"/>
      <c r="I1911" s="3" t="s">
        <v>122</v>
      </c>
      <c r="J1911" s="3">
        <v>5</v>
      </c>
      <c r="K1911" s="3">
        <v>5</v>
      </c>
      <c r="L1911" s="3">
        <v>0</v>
      </c>
      <c r="M1911" s="3">
        <v>0</v>
      </c>
      <c r="N1911" s="3">
        <v>5</v>
      </c>
      <c r="O1911" s="3">
        <v>0.21</v>
      </c>
      <c r="P1911" s="3">
        <v>0</v>
      </c>
      <c r="Q1911" s="3">
        <v>0</v>
      </c>
      <c r="R1911" s="3">
        <v>0</v>
      </c>
    </row>
    <row r="1912" spans="1:18">
      <c r="A1912" s="3" t="s">
        <v>4886</v>
      </c>
      <c r="B1912" s="3" t="s">
        <v>4887</v>
      </c>
      <c r="C1912" s="3" t="s">
        <v>4887</v>
      </c>
      <c r="D1912" s="3" t="s">
        <v>4888</v>
      </c>
      <c r="E1912" s="3" t="s">
        <v>120</v>
      </c>
      <c r="F1912" s="3">
        <v>10</v>
      </c>
      <c r="G1912" s="3" t="s">
        <v>121</v>
      </c>
      <c r="H1912" s="3"/>
      <c r="I1912" s="3" t="s">
        <v>122</v>
      </c>
      <c r="J1912" s="3">
        <v>6</v>
      </c>
      <c r="K1912" s="3">
        <v>6</v>
      </c>
      <c r="L1912" s="3">
        <v>0</v>
      </c>
      <c r="M1912" s="3">
        <v>0</v>
      </c>
      <c r="N1912" s="3">
        <v>6</v>
      </c>
      <c r="O1912" s="3">
        <v>0.16</v>
      </c>
      <c r="P1912" s="3">
        <v>0</v>
      </c>
      <c r="Q1912" s="3">
        <v>0</v>
      </c>
      <c r="R1912" s="3">
        <v>0</v>
      </c>
    </row>
    <row r="1913" spans="1:18">
      <c r="A1913" s="3" t="s">
        <v>4889</v>
      </c>
      <c r="B1913" s="3" t="s">
        <v>4890</v>
      </c>
      <c r="C1913" s="3" t="s">
        <v>4771</v>
      </c>
      <c r="D1913" s="3" t="s">
        <v>4891</v>
      </c>
      <c r="E1913" s="3" t="s">
        <v>120</v>
      </c>
      <c r="F1913" s="3">
        <v>22.98</v>
      </c>
      <c r="G1913" s="3" t="s">
        <v>121</v>
      </c>
      <c r="H1913" s="3"/>
      <c r="I1913" s="3" t="s">
        <v>122</v>
      </c>
      <c r="J1913" s="3">
        <v>0</v>
      </c>
      <c r="K1913" s="3">
        <v>0</v>
      </c>
      <c r="L1913" s="3">
        <v>0</v>
      </c>
      <c r="M1913" s="3">
        <v>0</v>
      </c>
      <c r="N1913" s="3">
        <v>0</v>
      </c>
      <c r="O1913" s="3">
        <v>0.07</v>
      </c>
      <c r="P1913" s="3">
        <v>0</v>
      </c>
      <c r="Q1913" s="3">
        <v>0</v>
      </c>
      <c r="R1913" s="3">
        <v>0</v>
      </c>
    </row>
    <row r="1914" spans="1:18">
      <c r="A1914" s="3" t="s">
        <v>4892</v>
      </c>
      <c r="B1914" s="3" t="s">
        <v>4893</v>
      </c>
      <c r="C1914" s="3" t="s">
        <v>4773</v>
      </c>
      <c r="D1914" s="3" t="s">
        <v>4894</v>
      </c>
      <c r="E1914" s="3" t="s">
        <v>120</v>
      </c>
      <c r="F1914" s="3">
        <v>22.98</v>
      </c>
      <c r="G1914" s="3" t="s">
        <v>121</v>
      </c>
      <c r="H1914" s="3"/>
      <c r="I1914" s="3" t="s">
        <v>122</v>
      </c>
      <c r="J1914" s="3">
        <v>0</v>
      </c>
      <c r="K1914" s="3">
        <v>0</v>
      </c>
      <c r="L1914" s="3">
        <v>0</v>
      </c>
      <c r="M1914" s="3">
        <v>0</v>
      </c>
      <c r="N1914" s="3">
        <v>0</v>
      </c>
      <c r="O1914" s="3">
        <v>0.07</v>
      </c>
      <c r="P1914" s="3">
        <v>0</v>
      </c>
      <c r="Q1914" s="3">
        <v>0</v>
      </c>
      <c r="R1914" s="3">
        <v>0</v>
      </c>
    </row>
    <row r="1915" spans="1:18">
      <c r="A1915" s="3" t="s">
        <v>4895</v>
      </c>
      <c r="B1915" s="3" t="s">
        <v>4896</v>
      </c>
      <c r="C1915" s="3" t="s">
        <v>4775</v>
      </c>
      <c r="D1915" s="3" t="s">
        <v>4897</v>
      </c>
      <c r="E1915" s="3" t="s">
        <v>120</v>
      </c>
      <c r="F1915" s="3">
        <v>22.98</v>
      </c>
      <c r="G1915" s="3" t="s">
        <v>121</v>
      </c>
      <c r="H1915" s="3"/>
      <c r="I1915" s="3" t="s">
        <v>122</v>
      </c>
      <c r="J1915" s="3">
        <v>0</v>
      </c>
      <c r="K1915" s="3">
        <v>0</v>
      </c>
      <c r="L1915" s="3">
        <v>0</v>
      </c>
      <c r="M1915" s="3">
        <v>0</v>
      </c>
      <c r="N1915" s="3">
        <v>0</v>
      </c>
      <c r="O1915" s="3">
        <v>0.07</v>
      </c>
      <c r="P1915" s="3">
        <v>0</v>
      </c>
      <c r="Q1915" s="3">
        <v>0</v>
      </c>
      <c r="R1915" s="3">
        <v>0</v>
      </c>
    </row>
    <row r="1916" spans="1:18">
      <c r="A1916" s="3" t="s">
        <v>4898</v>
      </c>
      <c r="B1916" s="3" t="s">
        <v>4899</v>
      </c>
      <c r="C1916" s="3" t="s">
        <v>4777</v>
      </c>
      <c r="D1916" s="3" t="s">
        <v>4900</v>
      </c>
      <c r="E1916" s="3" t="s">
        <v>120</v>
      </c>
      <c r="F1916" s="3">
        <v>22.98</v>
      </c>
      <c r="G1916" s="3" t="s">
        <v>121</v>
      </c>
      <c r="H1916" s="3"/>
      <c r="I1916" s="3" t="s">
        <v>122</v>
      </c>
      <c r="J1916" s="3">
        <v>0</v>
      </c>
      <c r="K1916" s="3">
        <v>0</v>
      </c>
      <c r="L1916" s="3">
        <v>0</v>
      </c>
      <c r="M1916" s="3">
        <v>0</v>
      </c>
      <c r="N1916" s="3">
        <v>0</v>
      </c>
      <c r="O1916" s="3">
        <v>0.07</v>
      </c>
      <c r="P1916" s="3">
        <v>0</v>
      </c>
      <c r="Q1916" s="3">
        <v>0</v>
      </c>
      <c r="R1916" s="3">
        <v>0</v>
      </c>
    </row>
    <row r="1917" spans="1:18">
      <c r="A1917" s="3" t="s">
        <v>4901</v>
      </c>
      <c r="B1917" s="3" t="s">
        <v>4902</v>
      </c>
      <c r="C1917" s="3" t="s">
        <v>4779</v>
      </c>
      <c r="D1917" s="3" t="s">
        <v>4780</v>
      </c>
      <c r="E1917" s="3" t="s">
        <v>120</v>
      </c>
      <c r="F1917" s="3">
        <v>22.98</v>
      </c>
      <c r="G1917" s="3" t="s">
        <v>121</v>
      </c>
      <c r="H1917" s="3"/>
      <c r="I1917" s="3" t="s">
        <v>122</v>
      </c>
      <c r="J1917" s="3">
        <v>0</v>
      </c>
      <c r="K1917" s="3">
        <v>0</v>
      </c>
      <c r="L1917" s="3">
        <v>0</v>
      </c>
      <c r="M1917" s="3">
        <v>0</v>
      </c>
      <c r="N1917" s="3">
        <v>0</v>
      </c>
      <c r="O1917" s="3">
        <v>0.07</v>
      </c>
      <c r="P1917" s="3">
        <v>0</v>
      </c>
      <c r="Q1917" s="3">
        <v>0</v>
      </c>
      <c r="R1917" s="3">
        <v>0</v>
      </c>
    </row>
    <row r="1918" spans="1:18">
      <c r="A1918" s="3" t="s">
        <v>4903</v>
      </c>
      <c r="B1918" s="3" t="s">
        <v>4904</v>
      </c>
      <c r="C1918" s="3" t="s">
        <v>4782</v>
      </c>
      <c r="D1918" s="3" t="s">
        <v>4905</v>
      </c>
      <c r="E1918" s="3" t="s">
        <v>120</v>
      </c>
      <c r="F1918" s="3">
        <v>22.98</v>
      </c>
      <c r="G1918" s="3" t="s">
        <v>121</v>
      </c>
      <c r="H1918" s="3"/>
      <c r="I1918" s="3" t="s">
        <v>122</v>
      </c>
      <c r="J1918" s="3">
        <v>0</v>
      </c>
      <c r="K1918" s="3">
        <v>0</v>
      </c>
      <c r="L1918" s="3">
        <v>0</v>
      </c>
      <c r="M1918" s="3">
        <v>0</v>
      </c>
      <c r="N1918" s="3">
        <v>0</v>
      </c>
      <c r="O1918" s="3">
        <v>0.07</v>
      </c>
      <c r="P1918" s="3">
        <v>0</v>
      </c>
      <c r="Q1918" s="3">
        <v>0</v>
      </c>
      <c r="R1918" s="3">
        <v>0</v>
      </c>
    </row>
    <row r="1919" spans="1:18">
      <c r="A1919" s="3" t="s">
        <v>4906</v>
      </c>
      <c r="B1919" s="3" t="s">
        <v>4907</v>
      </c>
      <c r="C1919" s="3" t="s">
        <v>4784</v>
      </c>
      <c r="D1919" s="3" t="s">
        <v>4908</v>
      </c>
      <c r="E1919" s="3" t="s">
        <v>120</v>
      </c>
      <c r="F1919" s="3">
        <v>22.98</v>
      </c>
      <c r="G1919" s="3" t="s">
        <v>121</v>
      </c>
      <c r="H1919" s="3"/>
      <c r="I1919" s="3" t="s">
        <v>122</v>
      </c>
      <c r="J1919" s="3">
        <v>0</v>
      </c>
      <c r="K1919" s="3">
        <v>0</v>
      </c>
      <c r="L1919" s="3">
        <v>0</v>
      </c>
      <c r="M1919" s="3">
        <v>0</v>
      </c>
      <c r="N1919" s="3">
        <v>0</v>
      </c>
      <c r="O1919" s="3">
        <v>0.07</v>
      </c>
      <c r="P1919" s="3">
        <v>0</v>
      </c>
      <c r="Q1919" s="3">
        <v>0</v>
      </c>
      <c r="R1919" s="3">
        <v>0</v>
      </c>
    </row>
    <row r="1920" spans="1:18">
      <c r="A1920" s="3" t="s">
        <v>4909</v>
      </c>
      <c r="B1920" s="3" t="s">
        <v>4910</v>
      </c>
      <c r="C1920" s="3" t="s">
        <v>4786</v>
      </c>
      <c r="D1920" s="3" t="s">
        <v>4911</v>
      </c>
      <c r="E1920" s="3" t="s">
        <v>120</v>
      </c>
      <c r="F1920" s="3">
        <v>22.98</v>
      </c>
      <c r="G1920" s="3" t="s">
        <v>121</v>
      </c>
      <c r="H1920" s="3"/>
      <c r="I1920" s="3" t="s">
        <v>122</v>
      </c>
      <c r="J1920" s="3">
        <v>0</v>
      </c>
      <c r="K1920" s="3">
        <v>0</v>
      </c>
      <c r="L1920" s="3">
        <v>0</v>
      </c>
      <c r="M1920" s="3">
        <v>0</v>
      </c>
      <c r="N1920" s="3">
        <v>0</v>
      </c>
      <c r="O1920" s="3">
        <v>0.07</v>
      </c>
      <c r="P1920" s="3">
        <v>0</v>
      </c>
      <c r="Q1920" s="3">
        <v>0</v>
      </c>
      <c r="R1920" s="3">
        <v>0</v>
      </c>
    </row>
    <row r="1921" spans="1:18">
      <c r="A1921" s="3" t="s">
        <v>4912</v>
      </c>
      <c r="B1921" s="3" t="s">
        <v>4913</v>
      </c>
      <c r="C1921" s="3" t="s">
        <v>4788</v>
      </c>
      <c r="D1921" s="3" t="s">
        <v>4914</v>
      </c>
      <c r="E1921" s="3" t="s">
        <v>120</v>
      </c>
      <c r="F1921" s="3">
        <v>22.98</v>
      </c>
      <c r="G1921" s="3" t="s">
        <v>121</v>
      </c>
      <c r="H1921" s="3"/>
      <c r="I1921" s="3" t="s">
        <v>122</v>
      </c>
      <c r="J1921" s="3">
        <v>5</v>
      </c>
      <c r="K1921" s="3">
        <v>5</v>
      </c>
      <c r="L1921" s="3">
        <v>0</v>
      </c>
      <c r="M1921" s="3">
        <v>0</v>
      </c>
      <c r="N1921" s="3">
        <v>5</v>
      </c>
      <c r="O1921" s="3">
        <v>0.07</v>
      </c>
      <c r="P1921" s="3">
        <v>0</v>
      </c>
      <c r="Q1921" s="3">
        <v>0</v>
      </c>
      <c r="R1921" s="3">
        <v>0</v>
      </c>
    </row>
    <row r="1922" spans="1:18">
      <c r="A1922" s="3" t="s">
        <v>4915</v>
      </c>
      <c r="B1922" s="3" t="s">
        <v>4916</v>
      </c>
      <c r="C1922" s="3" t="s">
        <v>4790</v>
      </c>
      <c r="D1922" s="3" t="s">
        <v>4917</v>
      </c>
      <c r="E1922" s="3" t="s">
        <v>120</v>
      </c>
      <c r="F1922" s="3">
        <v>22.98</v>
      </c>
      <c r="G1922" s="3" t="s">
        <v>121</v>
      </c>
      <c r="H1922" s="3"/>
      <c r="I1922" s="3" t="s">
        <v>122</v>
      </c>
      <c r="J1922" s="3">
        <v>0</v>
      </c>
      <c r="K1922" s="3">
        <v>0</v>
      </c>
      <c r="L1922" s="3">
        <v>0</v>
      </c>
      <c r="M1922" s="3">
        <v>0</v>
      </c>
      <c r="N1922" s="3">
        <v>0</v>
      </c>
      <c r="O1922" s="3">
        <v>0.07</v>
      </c>
      <c r="P1922" s="3">
        <v>0</v>
      </c>
      <c r="Q1922" s="3">
        <v>0</v>
      </c>
      <c r="R1922" s="3">
        <v>0</v>
      </c>
    </row>
    <row r="1923" spans="1:18">
      <c r="A1923" s="3" t="s">
        <v>4918</v>
      </c>
      <c r="B1923" s="3" t="s">
        <v>4919</v>
      </c>
      <c r="C1923" s="3" t="s">
        <v>4792</v>
      </c>
      <c r="D1923" s="3" t="s">
        <v>4793</v>
      </c>
      <c r="E1923" s="3" t="s">
        <v>120</v>
      </c>
      <c r="F1923" s="3">
        <v>22.98</v>
      </c>
      <c r="G1923" s="3" t="s">
        <v>121</v>
      </c>
      <c r="H1923" s="3"/>
      <c r="I1923" s="3" t="s">
        <v>122</v>
      </c>
      <c r="J1923" s="3">
        <v>0</v>
      </c>
      <c r="K1923" s="3">
        <v>0</v>
      </c>
      <c r="L1923" s="3">
        <v>0</v>
      </c>
      <c r="M1923" s="3">
        <v>0</v>
      </c>
      <c r="N1923" s="3">
        <v>0</v>
      </c>
      <c r="O1923" s="3">
        <v>0.06</v>
      </c>
      <c r="P1923" s="3">
        <v>0</v>
      </c>
      <c r="Q1923" s="3">
        <v>0</v>
      </c>
      <c r="R1923" s="3">
        <v>0</v>
      </c>
    </row>
    <row r="1924" spans="1:18">
      <c r="A1924" s="3" t="s">
        <v>4920</v>
      </c>
      <c r="B1924" s="3" t="s">
        <v>4921</v>
      </c>
      <c r="C1924" s="3" t="s">
        <v>4795</v>
      </c>
      <c r="D1924" s="3" t="s">
        <v>4796</v>
      </c>
      <c r="E1924" s="3" t="s">
        <v>120</v>
      </c>
      <c r="F1924" s="3">
        <v>22.98</v>
      </c>
      <c r="G1924" s="3" t="s">
        <v>121</v>
      </c>
      <c r="H1924" s="3"/>
      <c r="I1924" s="3" t="s">
        <v>122</v>
      </c>
      <c r="J1924" s="3">
        <v>5</v>
      </c>
      <c r="K1924" s="3">
        <v>5</v>
      </c>
      <c r="L1924" s="3">
        <v>0</v>
      </c>
      <c r="M1924" s="3">
        <v>0</v>
      </c>
      <c r="N1924" s="3">
        <v>5</v>
      </c>
      <c r="O1924" s="3">
        <v>0.07</v>
      </c>
      <c r="P1924" s="3">
        <v>0</v>
      </c>
      <c r="Q1924" s="3">
        <v>0</v>
      </c>
      <c r="R1924" s="3">
        <v>0</v>
      </c>
    </row>
    <row r="1925" spans="1:18">
      <c r="A1925" s="3" t="s">
        <v>4922</v>
      </c>
      <c r="B1925" s="3" t="s">
        <v>4923</v>
      </c>
      <c r="C1925" s="3" t="s">
        <v>4924</v>
      </c>
      <c r="D1925" s="3" t="s">
        <v>4799</v>
      </c>
      <c r="E1925" s="3" t="s">
        <v>120</v>
      </c>
      <c r="F1925" s="3">
        <v>22.98</v>
      </c>
      <c r="G1925" s="3" t="s">
        <v>121</v>
      </c>
      <c r="H1925" s="3"/>
      <c r="I1925" s="3" t="s">
        <v>122</v>
      </c>
      <c r="J1925" s="3">
        <v>8</v>
      </c>
      <c r="K1925" s="3">
        <v>8</v>
      </c>
      <c r="L1925" s="3">
        <v>0</v>
      </c>
      <c r="M1925" s="3">
        <v>0</v>
      </c>
      <c r="N1925" s="3">
        <v>8</v>
      </c>
      <c r="O1925" s="3">
        <v>0.04</v>
      </c>
      <c r="P1925" s="3">
        <v>0</v>
      </c>
      <c r="Q1925" s="3">
        <v>0</v>
      </c>
      <c r="R1925" s="3">
        <v>0</v>
      </c>
    </row>
    <row r="1926" spans="1:18">
      <c r="A1926" s="3" t="s">
        <v>4925</v>
      </c>
      <c r="B1926" s="3" t="s">
        <v>4926</v>
      </c>
      <c r="C1926" s="3" t="s">
        <v>4801</v>
      </c>
      <c r="D1926" s="3" t="s">
        <v>4802</v>
      </c>
      <c r="E1926" s="3" t="s">
        <v>120</v>
      </c>
      <c r="F1926" s="3">
        <v>21.98</v>
      </c>
      <c r="G1926" s="3" t="s">
        <v>121</v>
      </c>
      <c r="H1926" s="3"/>
      <c r="I1926" s="3" t="s">
        <v>122</v>
      </c>
      <c r="J1926" s="3">
        <v>3</v>
      </c>
      <c r="K1926" s="3">
        <v>3</v>
      </c>
      <c r="L1926" s="3">
        <v>0</v>
      </c>
      <c r="M1926" s="3">
        <v>0</v>
      </c>
      <c r="N1926" s="3">
        <v>6</v>
      </c>
      <c r="O1926" s="3">
        <v>0.07</v>
      </c>
      <c r="P1926" s="3">
        <v>0</v>
      </c>
      <c r="Q1926" s="3">
        <v>3</v>
      </c>
      <c r="R1926" s="3">
        <v>0</v>
      </c>
    </row>
    <row r="1927" spans="1:18">
      <c r="A1927" s="3" t="s">
        <v>4927</v>
      </c>
      <c r="B1927" s="3" t="s">
        <v>4928</v>
      </c>
      <c r="C1927" s="3" t="s">
        <v>4804</v>
      </c>
      <c r="D1927" s="3" t="s">
        <v>4805</v>
      </c>
      <c r="E1927" s="3" t="s">
        <v>120</v>
      </c>
      <c r="F1927" s="3">
        <v>22.98</v>
      </c>
      <c r="G1927" s="3" t="s">
        <v>121</v>
      </c>
      <c r="H1927" s="3"/>
      <c r="I1927" s="3" t="s">
        <v>122</v>
      </c>
      <c r="J1927" s="3">
        <v>0</v>
      </c>
      <c r="K1927" s="3">
        <v>0</v>
      </c>
      <c r="L1927" s="3">
        <v>0</v>
      </c>
      <c r="M1927" s="3">
        <v>0</v>
      </c>
      <c r="N1927" s="3">
        <v>0</v>
      </c>
      <c r="O1927" s="3">
        <v>0.06</v>
      </c>
      <c r="P1927" s="3">
        <v>0</v>
      </c>
      <c r="Q1927" s="3">
        <v>0</v>
      </c>
      <c r="R1927" s="3">
        <v>0</v>
      </c>
    </row>
    <row r="1928" spans="1:18">
      <c r="A1928" s="3" t="s">
        <v>4929</v>
      </c>
      <c r="B1928" s="3" t="s">
        <v>4930</v>
      </c>
      <c r="C1928" s="3" t="s">
        <v>4807</v>
      </c>
      <c r="D1928" s="3" t="s">
        <v>4931</v>
      </c>
      <c r="E1928" s="3" t="s">
        <v>120</v>
      </c>
      <c r="F1928" s="3">
        <v>22.98</v>
      </c>
      <c r="G1928" s="3" t="s">
        <v>121</v>
      </c>
      <c r="H1928" s="3"/>
      <c r="I1928" s="3" t="s">
        <v>122</v>
      </c>
      <c r="J1928" s="3">
        <v>0</v>
      </c>
      <c r="K1928" s="3">
        <v>0</v>
      </c>
      <c r="L1928" s="3">
        <v>0</v>
      </c>
      <c r="M1928" s="3">
        <v>0</v>
      </c>
      <c r="N1928" s="3">
        <v>0</v>
      </c>
      <c r="O1928" s="3">
        <v>0.07</v>
      </c>
      <c r="P1928" s="3">
        <v>0</v>
      </c>
      <c r="Q1928" s="3">
        <v>0</v>
      </c>
      <c r="R1928" s="3">
        <v>0</v>
      </c>
    </row>
    <row r="1929" spans="1:18">
      <c r="A1929" s="3" t="s">
        <v>4932</v>
      </c>
      <c r="B1929" s="3" t="s">
        <v>4933</v>
      </c>
      <c r="C1929" s="3" t="s">
        <v>4809</v>
      </c>
      <c r="D1929" s="3" t="s">
        <v>4934</v>
      </c>
      <c r="E1929" s="3" t="s">
        <v>120</v>
      </c>
      <c r="F1929" s="3">
        <v>22.98</v>
      </c>
      <c r="G1929" s="3" t="s">
        <v>121</v>
      </c>
      <c r="H1929" s="3"/>
      <c r="I1929" s="3" t="s">
        <v>122</v>
      </c>
      <c r="J1929" s="3">
        <v>0</v>
      </c>
      <c r="K1929" s="3">
        <v>0</v>
      </c>
      <c r="L1929" s="3">
        <v>0</v>
      </c>
      <c r="M1929" s="3">
        <v>0</v>
      </c>
      <c r="N1929" s="3">
        <v>0</v>
      </c>
      <c r="O1929" s="3">
        <v>0.07</v>
      </c>
      <c r="P1929" s="3">
        <v>0</v>
      </c>
      <c r="Q1929" s="3">
        <v>0</v>
      </c>
      <c r="R1929" s="3">
        <v>0</v>
      </c>
    </row>
    <row r="1930" spans="1:18">
      <c r="A1930" s="3" t="s">
        <v>4935</v>
      </c>
      <c r="B1930" s="3" t="s">
        <v>4936</v>
      </c>
      <c r="C1930" s="3" t="s">
        <v>4811</v>
      </c>
      <c r="D1930" s="3" t="s">
        <v>4937</v>
      </c>
      <c r="E1930" s="3" t="s">
        <v>120</v>
      </c>
      <c r="F1930" s="3">
        <v>22.98</v>
      </c>
      <c r="G1930" s="3" t="s">
        <v>121</v>
      </c>
      <c r="H1930" s="3"/>
      <c r="I1930" s="3" t="s">
        <v>122</v>
      </c>
      <c r="J1930" s="3">
        <v>0</v>
      </c>
      <c r="K1930" s="3">
        <v>0</v>
      </c>
      <c r="L1930" s="3">
        <v>0</v>
      </c>
      <c r="M1930" s="3">
        <v>0</v>
      </c>
      <c r="N1930" s="3">
        <v>0</v>
      </c>
      <c r="O1930" s="3">
        <v>0.07</v>
      </c>
      <c r="P1930" s="3">
        <v>0</v>
      </c>
      <c r="Q1930" s="3">
        <v>0</v>
      </c>
      <c r="R1930" s="3">
        <v>0</v>
      </c>
    </row>
    <row r="1931" spans="1:18">
      <c r="A1931" s="3" t="s">
        <v>4938</v>
      </c>
      <c r="B1931" s="3" t="s">
        <v>4939</v>
      </c>
      <c r="C1931" s="3" t="s">
        <v>4813</v>
      </c>
      <c r="D1931" s="3" t="s">
        <v>4940</v>
      </c>
      <c r="E1931" s="3" t="s">
        <v>120</v>
      </c>
      <c r="F1931" s="3">
        <v>22.98</v>
      </c>
      <c r="G1931" s="3" t="s">
        <v>121</v>
      </c>
      <c r="H1931" s="3"/>
      <c r="I1931" s="3" t="s">
        <v>122</v>
      </c>
      <c r="J1931" s="3">
        <v>4</v>
      </c>
      <c r="K1931" s="3">
        <v>4</v>
      </c>
      <c r="L1931" s="3">
        <v>0</v>
      </c>
      <c r="M1931" s="3">
        <v>0</v>
      </c>
      <c r="N1931" s="3">
        <v>5</v>
      </c>
      <c r="O1931" s="3">
        <v>0.07</v>
      </c>
      <c r="P1931" s="3">
        <v>0</v>
      </c>
      <c r="Q1931" s="3">
        <v>1</v>
      </c>
      <c r="R1931" s="3">
        <v>0</v>
      </c>
    </row>
    <row r="1932" spans="1:18">
      <c r="A1932" s="3" t="s">
        <v>4941</v>
      </c>
      <c r="B1932" s="3" t="s">
        <v>4942</v>
      </c>
      <c r="C1932" s="3" t="s">
        <v>4815</v>
      </c>
      <c r="D1932" s="3" t="s">
        <v>4943</v>
      </c>
      <c r="E1932" s="3" t="s">
        <v>120</v>
      </c>
      <c r="F1932" s="3">
        <v>22.98</v>
      </c>
      <c r="G1932" s="3" t="s">
        <v>121</v>
      </c>
      <c r="H1932" s="3"/>
      <c r="I1932" s="3" t="s">
        <v>122</v>
      </c>
      <c r="J1932" s="3">
        <v>0</v>
      </c>
      <c r="K1932" s="3">
        <v>0</v>
      </c>
      <c r="L1932" s="3">
        <v>0</v>
      </c>
      <c r="M1932" s="3">
        <v>0</v>
      </c>
      <c r="N1932" s="3">
        <v>0</v>
      </c>
      <c r="O1932" s="3">
        <v>0.07</v>
      </c>
      <c r="P1932" s="3">
        <v>0</v>
      </c>
      <c r="Q1932" s="3">
        <v>0</v>
      </c>
      <c r="R1932" s="3">
        <v>0</v>
      </c>
    </row>
    <row r="1933" spans="1:18">
      <c r="A1933" s="3" t="s">
        <v>4944</v>
      </c>
      <c r="B1933" s="3" t="s">
        <v>4945</v>
      </c>
      <c r="C1933" s="3" t="s">
        <v>4817</v>
      </c>
      <c r="D1933" s="3" t="s">
        <v>4946</v>
      </c>
      <c r="E1933" s="3" t="s">
        <v>120</v>
      </c>
      <c r="F1933" s="3">
        <v>22.98</v>
      </c>
      <c r="G1933" s="3" t="s">
        <v>121</v>
      </c>
      <c r="H1933" s="3"/>
      <c r="I1933" s="3" t="s">
        <v>122</v>
      </c>
      <c r="J1933" s="3">
        <v>0</v>
      </c>
      <c r="K1933" s="3">
        <v>0</v>
      </c>
      <c r="L1933" s="3">
        <v>0</v>
      </c>
      <c r="M1933" s="3">
        <v>0</v>
      </c>
      <c r="N1933" s="3">
        <v>0</v>
      </c>
      <c r="O1933" s="3">
        <v>0.07</v>
      </c>
      <c r="P1933" s="3">
        <v>0</v>
      </c>
      <c r="Q1933" s="3">
        <v>0</v>
      </c>
      <c r="R1933" s="3">
        <v>0</v>
      </c>
    </row>
    <row r="1934" spans="1:18">
      <c r="A1934" s="3" t="s">
        <v>4947</v>
      </c>
      <c r="B1934" s="3" t="s">
        <v>4948</v>
      </c>
      <c r="C1934" s="3" t="s">
        <v>4819</v>
      </c>
      <c r="D1934" s="3" t="s">
        <v>4949</v>
      </c>
      <c r="E1934" s="3" t="s">
        <v>120</v>
      </c>
      <c r="F1934" s="3">
        <v>22.98</v>
      </c>
      <c r="G1934" s="3" t="s">
        <v>121</v>
      </c>
      <c r="H1934" s="3"/>
      <c r="I1934" s="3" t="s">
        <v>122</v>
      </c>
      <c r="J1934" s="3">
        <v>0</v>
      </c>
      <c r="K1934" s="3">
        <v>0</v>
      </c>
      <c r="L1934" s="3">
        <v>0</v>
      </c>
      <c r="M1934" s="3">
        <v>0</v>
      </c>
      <c r="N1934" s="3">
        <v>0</v>
      </c>
      <c r="O1934" s="3">
        <v>0.07</v>
      </c>
      <c r="P1934" s="3">
        <v>0</v>
      </c>
      <c r="Q1934" s="3">
        <v>0</v>
      </c>
      <c r="R1934" s="3">
        <v>0</v>
      </c>
    </row>
    <row r="1935" spans="1:18">
      <c r="A1935" s="3" t="s">
        <v>4950</v>
      </c>
      <c r="B1935" s="3" t="s">
        <v>4951</v>
      </c>
      <c r="C1935" s="3" t="s">
        <v>4821</v>
      </c>
      <c r="D1935" s="3" t="s">
        <v>4952</v>
      </c>
      <c r="E1935" s="3" t="s">
        <v>120</v>
      </c>
      <c r="F1935" s="3">
        <v>22.98</v>
      </c>
      <c r="G1935" s="3" t="s">
        <v>121</v>
      </c>
      <c r="H1935" s="3"/>
      <c r="I1935" s="3" t="s">
        <v>122</v>
      </c>
      <c r="J1935" s="3">
        <v>9</v>
      </c>
      <c r="K1935" s="3">
        <v>9</v>
      </c>
      <c r="L1935" s="3">
        <v>0</v>
      </c>
      <c r="M1935" s="3">
        <v>0</v>
      </c>
      <c r="N1935" s="3">
        <v>9</v>
      </c>
      <c r="O1935" s="3">
        <v>0.07</v>
      </c>
      <c r="P1935" s="3">
        <v>0</v>
      </c>
      <c r="Q1935" s="3">
        <v>0</v>
      </c>
      <c r="R1935" s="3">
        <v>0</v>
      </c>
    </row>
    <row r="1936" spans="1:18">
      <c r="A1936" s="3" t="s">
        <v>4953</v>
      </c>
      <c r="B1936" s="3" t="s">
        <v>4954</v>
      </c>
      <c r="C1936" s="3" t="s">
        <v>4823</v>
      </c>
      <c r="D1936" s="3" t="s">
        <v>4955</v>
      </c>
      <c r="E1936" s="3" t="s">
        <v>120</v>
      </c>
      <c r="F1936" s="3">
        <v>22.98</v>
      </c>
      <c r="G1936" s="3" t="s">
        <v>121</v>
      </c>
      <c r="H1936" s="3"/>
      <c r="I1936" s="3" t="s">
        <v>122</v>
      </c>
      <c r="J1936" s="3">
        <v>0</v>
      </c>
      <c r="K1936" s="3">
        <v>0</v>
      </c>
      <c r="L1936" s="3">
        <v>0</v>
      </c>
      <c r="M1936" s="3">
        <v>0</v>
      </c>
      <c r="N1936" s="3">
        <v>0</v>
      </c>
      <c r="O1936" s="3">
        <v>0.07</v>
      </c>
      <c r="P1936" s="3">
        <v>0</v>
      </c>
      <c r="Q1936" s="3">
        <v>0</v>
      </c>
      <c r="R1936" s="3">
        <v>0</v>
      </c>
    </row>
    <row r="1937" spans="1:18">
      <c r="A1937" s="3" t="s">
        <v>4956</v>
      </c>
      <c r="B1937" s="3" t="s">
        <v>4957</v>
      </c>
      <c r="C1937" s="3" t="s">
        <v>4825</v>
      </c>
      <c r="D1937" s="3" t="s">
        <v>4958</v>
      </c>
      <c r="E1937" s="3" t="s">
        <v>120</v>
      </c>
      <c r="F1937" s="3">
        <v>22.98</v>
      </c>
      <c r="G1937" s="3" t="s">
        <v>121</v>
      </c>
      <c r="H1937" s="3"/>
      <c r="I1937" s="3" t="s">
        <v>122</v>
      </c>
      <c r="J1937" s="3">
        <v>0</v>
      </c>
      <c r="K1937" s="3">
        <v>0</v>
      </c>
      <c r="L1937" s="3">
        <v>0</v>
      </c>
      <c r="M1937" s="3">
        <v>0</v>
      </c>
      <c r="N1937" s="3">
        <v>0</v>
      </c>
      <c r="O1937" s="3">
        <v>0.07</v>
      </c>
      <c r="P1937" s="3">
        <v>0</v>
      </c>
      <c r="Q1937" s="3">
        <v>0</v>
      </c>
      <c r="R1937" s="3">
        <v>0</v>
      </c>
    </row>
    <row r="1938" spans="1:18">
      <c r="A1938" s="3" t="s">
        <v>4959</v>
      </c>
      <c r="B1938" s="3" t="s">
        <v>4960</v>
      </c>
      <c r="C1938" s="3" t="s">
        <v>4960</v>
      </c>
      <c r="D1938" s="3" t="s">
        <v>4961</v>
      </c>
      <c r="E1938" s="3" t="s">
        <v>120</v>
      </c>
      <c r="F1938" s="3">
        <v>19</v>
      </c>
      <c r="G1938" s="3" t="s">
        <v>121</v>
      </c>
      <c r="H1938" s="3"/>
      <c r="I1938" s="3" t="s">
        <v>122</v>
      </c>
      <c r="J1938" s="3">
        <v>0</v>
      </c>
      <c r="K1938" s="3">
        <v>0</v>
      </c>
      <c r="L1938" s="3">
        <v>0</v>
      </c>
      <c r="M1938" s="3">
        <v>0</v>
      </c>
      <c r="N1938" s="3">
        <v>0</v>
      </c>
      <c r="O1938" s="3">
        <v>0.06</v>
      </c>
      <c r="P1938" s="3">
        <v>0</v>
      </c>
      <c r="Q1938" s="3">
        <v>0</v>
      </c>
      <c r="R1938" s="3">
        <v>0</v>
      </c>
    </row>
    <row r="1939" spans="1:18">
      <c r="A1939" s="3" t="s">
        <v>4962</v>
      </c>
      <c r="B1939" s="3" t="s">
        <v>4963</v>
      </c>
      <c r="C1939" s="3" t="s">
        <v>4963</v>
      </c>
      <c r="D1939" s="3" t="s">
        <v>4964</v>
      </c>
      <c r="E1939" s="3" t="s">
        <v>120</v>
      </c>
      <c r="F1939" s="3">
        <v>20</v>
      </c>
      <c r="G1939" s="3" t="s">
        <v>121</v>
      </c>
      <c r="H1939" s="3"/>
      <c r="I1939" s="3" t="s">
        <v>122</v>
      </c>
      <c r="J1939" s="3">
        <v>0</v>
      </c>
      <c r="K1939" s="3">
        <v>0</v>
      </c>
      <c r="L1939" s="3">
        <v>0</v>
      </c>
      <c r="M1939" s="3">
        <v>0</v>
      </c>
      <c r="N1939" s="3">
        <v>0</v>
      </c>
      <c r="O1939" s="3">
        <v>0.06</v>
      </c>
      <c r="P1939" s="3">
        <v>0</v>
      </c>
      <c r="Q1939" s="3">
        <v>0</v>
      </c>
      <c r="R1939" s="3">
        <v>0</v>
      </c>
    </row>
    <row r="1940" spans="1:18">
      <c r="A1940" s="3" t="s">
        <v>4965</v>
      </c>
      <c r="B1940" s="3" t="s">
        <v>4966</v>
      </c>
      <c r="C1940" s="3" t="s">
        <v>4966</v>
      </c>
      <c r="D1940" s="3" t="s">
        <v>4967</v>
      </c>
      <c r="E1940" s="3" t="s">
        <v>120</v>
      </c>
      <c r="F1940" s="3">
        <v>21</v>
      </c>
      <c r="G1940" s="3" t="s">
        <v>121</v>
      </c>
      <c r="H1940" s="3"/>
      <c r="I1940" s="3" t="s">
        <v>122</v>
      </c>
      <c r="J1940" s="3">
        <v>0</v>
      </c>
      <c r="K1940" s="3">
        <v>0</v>
      </c>
      <c r="L1940" s="3">
        <v>0</v>
      </c>
      <c r="M1940" s="3">
        <v>0</v>
      </c>
      <c r="N1940" s="3">
        <v>0</v>
      </c>
      <c r="O1940" s="3">
        <v>0.06</v>
      </c>
      <c r="P1940" s="3">
        <v>0</v>
      </c>
      <c r="Q1940" s="3">
        <v>0</v>
      </c>
      <c r="R1940" s="3">
        <v>0</v>
      </c>
    </row>
    <row r="1941" spans="1:18">
      <c r="A1941" s="3" t="s">
        <v>4968</v>
      </c>
      <c r="B1941" s="3" t="s">
        <v>4969</v>
      </c>
      <c r="C1941" s="3" t="s">
        <v>4969</v>
      </c>
      <c r="D1941" s="3" t="s">
        <v>4970</v>
      </c>
      <c r="E1941" s="3" t="s">
        <v>120</v>
      </c>
      <c r="F1941" s="3">
        <v>22</v>
      </c>
      <c r="G1941" s="3" t="s">
        <v>121</v>
      </c>
      <c r="H1941" s="3"/>
      <c r="I1941" s="3" t="s">
        <v>122</v>
      </c>
      <c r="J1941" s="3">
        <v>0</v>
      </c>
      <c r="K1941" s="3">
        <v>0</v>
      </c>
      <c r="L1941" s="3">
        <v>0</v>
      </c>
      <c r="M1941" s="3">
        <v>0</v>
      </c>
      <c r="N1941" s="3">
        <v>0</v>
      </c>
      <c r="O1941" s="3">
        <v>0.06</v>
      </c>
      <c r="P1941" s="3">
        <v>0</v>
      </c>
      <c r="Q1941" s="3">
        <v>0</v>
      </c>
      <c r="R1941" s="3">
        <v>0</v>
      </c>
    </row>
    <row r="1942" spans="1:18">
      <c r="A1942" s="3" t="s">
        <v>4971</v>
      </c>
      <c r="B1942" s="3" t="s">
        <v>4972</v>
      </c>
      <c r="C1942" s="3" t="s">
        <v>4972</v>
      </c>
      <c r="D1942" s="3" t="s">
        <v>4973</v>
      </c>
      <c r="E1942" s="3" t="s">
        <v>120</v>
      </c>
      <c r="F1942" s="3">
        <v>23</v>
      </c>
      <c r="G1942" s="3" t="s">
        <v>121</v>
      </c>
      <c r="H1942" s="3"/>
      <c r="I1942" s="3" t="s">
        <v>122</v>
      </c>
      <c r="J1942" s="3">
        <v>0</v>
      </c>
      <c r="K1942" s="3">
        <v>0</v>
      </c>
      <c r="L1942" s="3">
        <v>0</v>
      </c>
      <c r="M1942" s="3">
        <v>0</v>
      </c>
      <c r="N1942" s="3">
        <v>0</v>
      </c>
      <c r="O1942" s="3">
        <v>0.06</v>
      </c>
      <c r="P1942" s="3">
        <v>0</v>
      </c>
      <c r="Q1942" s="3">
        <v>0</v>
      </c>
      <c r="R1942" s="3">
        <v>0</v>
      </c>
    </row>
    <row r="1943" spans="1:18">
      <c r="A1943" s="3" t="s">
        <v>4974</v>
      </c>
      <c r="B1943" s="3" t="s">
        <v>4975</v>
      </c>
      <c r="C1943" s="3" t="s">
        <v>4975</v>
      </c>
      <c r="D1943" s="3" t="s">
        <v>4976</v>
      </c>
      <c r="E1943" s="3" t="s">
        <v>120</v>
      </c>
      <c r="F1943" s="3">
        <v>35</v>
      </c>
      <c r="G1943" s="3" t="s">
        <v>121</v>
      </c>
      <c r="H1943" s="3"/>
      <c r="I1943" s="3" t="s">
        <v>122</v>
      </c>
      <c r="J1943" s="3">
        <v>2</v>
      </c>
      <c r="K1943" s="3">
        <v>2</v>
      </c>
      <c r="L1943" s="3">
        <v>0</v>
      </c>
      <c r="M1943" s="3">
        <v>0</v>
      </c>
      <c r="N1943" s="3">
        <v>2</v>
      </c>
      <c r="O1943" s="3">
        <v>0.06</v>
      </c>
      <c r="P1943" s="3">
        <v>0</v>
      </c>
      <c r="Q1943" s="3">
        <v>0</v>
      </c>
      <c r="R1943" s="3">
        <v>0</v>
      </c>
    </row>
    <row r="1944" spans="1:18">
      <c r="A1944" s="3" t="s">
        <v>4977</v>
      </c>
      <c r="B1944" s="3" t="s">
        <v>4978</v>
      </c>
      <c r="C1944" s="3" t="s">
        <v>4978</v>
      </c>
      <c r="D1944" s="3" t="s">
        <v>4979</v>
      </c>
      <c r="E1944" s="3" t="s">
        <v>120</v>
      </c>
      <c r="F1944" s="3">
        <v>35</v>
      </c>
      <c r="G1944" s="3" t="s">
        <v>121</v>
      </c>
      <c r="H1944" s="3"/>
      <c r="I1944" s="3" t="s">
        <v>122</v>
      </c>
      <c r="J1944" s="3">
        <v>2</v>
      </c>
      <c r="K1944" s="3">
        <v>2</v>
      </c>
      <c r="L1944" s="3">
        <v>0</v>
      </c>
      <c r="M1944" s="3">
        <v>0</v>
      </c>
      <c r="N1944" s="3">
        <v>2</v>
      </c>
      <c r="O1944" s="3">
        <v>0.06</v>
      </c>
      <c r="P1944" s="3">
        <v>0</v>
      </c>
      <c r="Q1944" s="3">
        <v>0</v>
      </c>
      <c r="R1944" s="3">
        <v>0</v>
      </c>
    </row>
    <row r="1945" spans="1:18">
      <c r="A1945" s="3" t="s">
        <v>4980</v>
      </c>
      <c r="B1945" s="3" t="s">
        <v>4981</v>
      </c>
      <c r="C1945" s="3" t="s">
        <v>4981</v>
      </c>
      <c r="D1945" s="3" t="s">
        <v>4982</v>
      </c>
      <c r="E1945" s="3" t="s">
        <v>120</v>
      </c>
      <c r="F1945" s="3">
        <v>35</v>
      </c>
      <c r="G1945" s="3" t="s">
        <v>121</v>
      </c>
      <c r="H1945" s="3"/>
      <c r="I1945" s="3" t="s">
        <v>122</v>
      </c>
      <c r="J1945" s="3">
        <v>0</v>
      </c>
      <c r="K1945" s="3">
        <v>0</v>
      </c>
      <c r="L1945" s="3">
        <v>0</v>
      </c>
      <c r="M1945" s="3">
        <v>0</v>
      </c>
      <c r="N1945" s="3">
        <v>0</v>
      </c>
      <c r="O1945" s="3">
        <v>0.06</v>
      </c>
      <c r="P1945" s="3">
        <v>0</v>
      </c>
      <c r="Q1945" s="3">
        <v>0</v>
      </c>
      <c r="R1945" s="3">
        <v>0</v>
      </c>
    </row>
    <row r="1946" spans="1:18">
      <c r="A1946" s="3" t="s">
        <v>4983</v>
      </c>
      <c r="B1946" s="3" t="s">
        <v>4984</v>
      </c>
      <c r="C1946" s="3" t="s">
        <v>4984</v>
      </c>
      <c r="D1946" s="3" t="s">
        <v>4985</v>
      </c>
      <c r="E1946" s="3" t="s">
        <v>120</v>
      </c>
      <c r="F1946" s="3">
        <v>35</v>
      </c>
      <c r="G1946" s="3" t="s">
        <v>121</v>
      </c>
      <c r="H1946" s="3"/>
      <c r="I1946" s="3" t="s">
        <v>122</v>
      </c>
      <c r="J1946" s="3">
        <v>2</v>
      </c>
      <c r="K1946" s="3">
        <v>2</v>
      </c>
      <c r="L1946" s="3">
        <v>0</v>
      </c>
      <c r="M1946" s="3">
        <v>0</v>
      </c>
      <c r="N1946" s="3">
        <v>2</v>
      </c>
      <c r="O1946" s="3">
        <v>0.06</v>
      </c>
      <c r="P1946" s="3">
        <v>0</v>
      </c>
      <c r="Q1946" s="3">
        <v>0</v>
      </c>
      <c r="R1946" s="3">
        <v>0</v>
      </c>
    </row>
    <row r="1947" spans="1:18">
      <c r="A1947" s="3" t="s">
        <v>4986</v>
      </c>
      <c r="B1947" s="3" t="s">
        <v>4987</v>
      </c>
      <c r="C1947" s="3" t="s">
        <v>4987</v>
      </c>
      <c r="D1947" s="3" t="s">
        <v>4988</v>
      </c>
      <c r="E1947" s="3" t="s">
        <v>120</v>
      </c>
      <c r="F1947" s="3">
        <v>35</v>
      </c>
      <c r="G1947" s="3" t="s">
        <v>121</v>
      </c>
      <c r="H1947" s="3"/>
      <c r="I1947" s="3" t="s">
        <v>122</v>
      </c>
      <c r="J1947" s="3">
        <v>3</v>
      </c>
      <c r="K1947" s="3">
        <v>3</v>
      </c>
      <c r="L1947" s="3">
        <v>0</v>
      </c>
      <c r="M1947" s="3">
        <v>0</v>
      </c>
      <c r="N1947" s="3">
        <v>3</v>
      </c>
      <c r="O1947" s="3">
        <v>0.06</v>
      </c>
      <c r="P1947" s="3">
        <v>0</v>
      </c>
      <c r="Q1947" s="3">
        <v>0</v>
      </c>
      <c r="R1947" s="3">
        <v>0</v>
      </c>
    </row>
    <row r="1948" spans="1:18">
      <c r="A1948" s="3" t="s">
        <v>4989</v>
      </c>
      <c r="B1948" s="3" t="s">
        <v>4990</v>
      </c>
      <c r="C1948" s="3" t="s">
        <v>4990</v>
      </c>
      <c r="D1948" s="3" t="s">
        <v>4991</v>
      </c>
      <c r="E1948" s="3" t="s">
        <v>120</v>
      </c>
      <c r="F1948" s="3">
        <v>35</v>
      </c>
      <c r="G1948" s="3" t="s">
        <v>121</v>
      </c>
      <c r="H1948" s="3"/>
      <c r="I1948" s="3" t="s">
        <v>122</v>
      </c>
      <c r="J1948" s="3">
        <v>1</v>
      </c>
      <c r="K1948" s="3">
        <v>1</v>
      </c>
      <c r="L1948" s="3">
        <v>0</v>
      </c>
      <c r="M1948" s="3">
        <v>0</v>
      </c>
      <c r="N1948" s="3">
        <v>1</v>
      </c>
      <c r="O1948" s="3">
        <v>0.06</v>
      </c>
      <c r="P1948" s="3">
        <v>0</v>
      </c>
      <c r="Q1948" s="3">
        <v>0</v>
      </c>
      <c r="R1948" s="3">
        <v>0</v>
      </c>
    </row>
    <row r="1949" spans="1:18">
      <c r="A1949" s="3" t="s">
        <v>4992</v>
      </c>
      <c r="B1949" s="3" t="s">
        <v>4993</v>
      </c>
      <c r="C1949" s="3" t="s">
        <v>4993</v>
      </c>
      <c r="D1949" s="3" t="s">
        <v>4994</v>
      </c>
      <c r="E1949" s="3" t="s">
        <v>120</v>
      </c>
      <c r="F1949" s="3">
        <v>35</v>
      </c>
      <c r="G1949" s="3" t="s">
        <v>121</v>
      </c>
      <c r="H1949" s="3"/>
      <c r="I1949" s="3" t="s">
        <v>122</v>
      </c>
      <c r="J1949" s="3">
        <v>2</v>
      </c>
      <c r="K1949" s="3">
        <v>2</v>
      </c>
      <c r="L1949" s="3">
        <v>0</v>
      </c>
      <c r="M1949" s="3">
        <v>0</v>
      </c>
      <c r="N1949" s="3">
        <v>2</v>
      </c>
      <c r="O1949" s="3">
        <v>0.06</v>
      </c>
      <c r="P1949" s="3">
        <v>0</v>
      </c>
      <c r="Q1949" s="3">
        <v>0</v>
      </c>
      <c r="R1949" s="3">
        <v>0</v>
      </c>
    </row>
    <row r="1950" spans="1:18">
      <c r="A1950" s="3" t="s">
        <v>4995</v>
      </c>
      <c r="B1950" s="3" t="s">
        <v>4996</v>
      </c>
      <c r="C1950" s="3" t="s">
        <v>4996</v>
      </c>
      <c r="D1950" s="3" t="s">
        <v>4997</v>
      </c>
      <c r="E1950" s="3" t="s">
        <v>120</v>
      </c>
      <c r="F1950" s="3">
        <v>35</v>
      </c>
      <c r="G1950" s="3" t="s">
        <v>121</v>
      </c>
      <c r="H1950" s="3"/>
      <c r="I1950" s="3" t="s">
        <v>122</v>
      </c>
      <c r="J1950" s="3">
        <v>3</v>
      </c>
      <c r="K1950" s="3">
        <v>3</v>
      </c>
      <c r="L1950" s="3">
        <v>0</v>
      </c>
      <c r="M1950" s="3">
        <v>0</v>
      </c>
      <c r="N1950" s="3">
        <v>3</v>
      </c>
      <c r="O1950" s="3">
        <v>0.06</v>
      </c>
      <c r="P1950" s="3">
        <v>0</v>
      </c>
      <c r="Q1950" s="3">
        <v>0</v>
      </c>
      <c r="R1950" s="3">
        <v>0</v>
      </c>
    </row>
    <row r="1951" spans="1:18">
      <c r="A1951" s="3" t="s">
        <v>4998</v>
      </c>
      <c r="B1951" s="3" t="s">
        <v>4999</v>
      </c>
      <c r="C1951" s="3" t="s">
        <v>4999</v>
      </c>
      <c r="D1951" s="3" t="s">
        <v>5000</v>
      </c>
      <c r="E1951" s="3" t="s">
        <v>120</v>
      </c>
      <c r="F1951" s="3">
        <v>50</v>
      </c>
      <c r="G1951" s="3" t="s">
        <v>121</v>
      </c>
      <c r="H1951" s="3"/>
      <c r="I1951" s="3" t="s">
        <v>122</v>
      </c>
      <c r="J1951" s="3">
        <v>3</v>
      </c>
      <c r="K1951" s="3">
        <v>3</v>
      </c>
      <c r="L1951" s="3">
        <v>0</v>
      </c>
      <c r="M1951" s="3">
        <v>0</v>
      </c>
      <c r="N1951" s="3">
        <v>3</v>
      </c>
      <c r="O1951" s="3">
        <v>0.06</v>
      </c>
      <c r="P1951" s="3">
        <v>0</v>
      </c>
      <c r="Q1951" s="3">
        <v>0</v>
      </c>
      <c r="R1951" s="3">
        <v>0</v>
      </c>
    </row>
    <row r="1952" spans="1:18">
      <c r="A1952" s="3" t="s">
        <v>5001</v>
      </c>
      <c r="B1952" s="3" t="s">
        <v>5002</v>
      </c>
      <c r="C1952" s="3" t="s">
        <v>5002</v>
      </c>
      <c r="D1952" s="3" t="s">
        <v>5003</v>
      </c>
      <c r="E1952" s="3" t="s">
        <v>120</v>
      </c>
      <c r="F1952" s="3">
        <v>48</v>
      </c>
      <c r="G1952" s="3" t="s">
        <v>121</v>
      </c>
      <c r="H1952" s="3"/>
      <c r="I1952" s="3" t="s">
        <v>122</v>
      </c>
      <c r="J1952" s="3">
        <v>1</v>
      </c>
      <c r="K1952" s="3">
        <v>1</v>
      </c>
      <c r="L1952" s="3">
        <v>0</v>
      </c>
      <c r="M1952" s="3">
        <v>0</v>
      </c>
      <c r="N1952" s="3">
        <v>1</v>
      </c>
      <c r="O1952" s="3">
        <v>0.06</v>
      </c>
      <c r="P1952" s="3">
        <v>0</v>
      </c>
      <c r="Q1952" s="3">
        <v>0</v>
      </c>
      <c r="R1952" s="3">
        <v>0</v>
      </c>
    </row>
    <row r="1953" spans="1:18">
      <c r="A1953" s="3" t="s">
        <v>5004</v>
      </c>
      <c r="B1953" s="3" t="s">
        <v>5005</v>
      </c>
      <c r="C1953" s="3" t="s">
        <v>5005</v>
      </c>
      <c r="D1953" s="3" t="s">
        <v>5006</v>
      </c>
      <c r="E1953" s="3" t="s">
        <v>120</v>
      </c>
      <c r="F1953" s="3">
        <v>46</v>
      </c>
      <c r="G1953" s="3" t="s">
        <v>121</v>
      </c>
      <c r="H1953" s="3"/>
      <c r="I1953" s="3" t="s">
        <v>122</v>
      </c>
      <c r="J1953" s="3">
        <v>2</v>
      </c>
      <c r="K1953" s="3">
        <v>2</v>
      </c>
      <c r="L1953" s="3">
        <v>0</v>
      </c>
      <c r="M1953" s="3">
        <v>0</v>
      </c>
      <c r="N1953" s="3">
        <v>2</v>
      </c>
      <c r="O1953" s="3">
        <v>0.06</v>
      </c>
      <c r="P1953" s="3">
        <v>0</v>
      </c>
      <c r="Q1953" s="3">
        <v>0</v>
      </c>
      <c r="R1953" s="3">
        <v>0</v>
      </c>
    </row>
    <row r="1954" spans="1:18">
      <c r="A1954" s="3" t="s">
        <v>5007</v>
      </c>
      <c r="B1954" s="3" t="s">
        <v>5008</v>
      </c>
      <c r="C1954" s="3" t="s">
        <v>5008</v>
      </c>
      <c r="D1954" s="3" t="s">
        <v>5009</v>
      </c>
      <c r="E1954" s="3" t="s">
        <v>120</v>
      </c>
      <c r="F1954" s="3">
        <v>44</v>
      </c>
      <c r="G1954" s="3" t="s">
        <v>121</v>
      </c>
      <c r="H1954" s="3"/>
      <c r="I1954" s="3" t="s">
        <v>122</v>
      </c>
      <c r="J1954" s="3">
        <v>1</v>
      </c>
      <c r="K1954" s="3">
        <v>1</v>
      </c>
      <c r="L1954" s="3">
        <v>0</v>
      </c>
      <c r="M1954" s="3">
        <v>0</v>
      </c>
      <c r="N1954" s="3">
        <v>1</v>
      </c>
      <c r="O1954" s="3">
        <v>0.06</v>
      </c>
      <c r="P1954" s="3">
        <v>0</v>
      </c>
      <c r="Q1954" s="3">
        <v>0</v>
      </c>
      <c r="R1954" s="3">
        <v>0</v>
      </c>
    </row>
    <row r="1955" spans="1:18">
      <c r="A1955" s="3" t="s">
        <v>5010</v>
      </c>
      <c r="B1955" s="3" t="s">
        <v>5011</v>
      </c>
      <c r="C1955" s="3" t="s">
        <v>5011</v>
      </c>
      <c r="D1955" s="3" t="s">
        <v>5012</v>
      </c>
      <c r="E1955" s="3" t="s">
        <v>120</v>
      </c>
      <c r="F1955" s="3">
        <v>42</v>
      </c>
      <c r="G1955" s="3" t="s">
        <v>121</v>
      </c>
      <c r="H1955" s="3"/>
      <c r="I1955" s="3" t="s">
        <v>122</v>
      </c>
      <c r="J1955" s="3">
        <v>3</v>
      </c>
      <c r="K1955" s="3">
        <v>3</v>
      </c>
      <c r="L1955" s="3">
        <v>0</v>
      </c>
      <c r="M1955" s="3">
        <v>0</v>
      </c>
      <c r="N1955" s="3">
        <v>3</v>
      </c>
      <c r="O1955" s="3">
        <v>0.06</v>
      </c>
      <c r="P1955" s="3">
        <v>0</v>
      </c>
      <c r="Q1955" s="3">
        <v>0</v>
      </c>
      <c r="R1955" s="3">
        <v>0</v>
      </c>
    </row>
    <row r="1956" spans="1:18">
      <c r="A1956" s="3" t="s">
        <v>5013</v>
      </c>
      <c r="B1956" s="3" t="s">
        <v>5014</v>
      </c>
      <c r="C1956" s="3" t="s">
        <v>5014</v>
      </c>
      <c r="D1956" s="3" t="s">
        <v>5015</v>
      </c>
      <c r="E1956" s="3" t="s">
        <v>120</v>
      </c>
      <c r="F1956" s="3">
        <v>45</v>
      </c>
      <c r="G1956" s="3" t="s">
        <v>121</v>
      </c>
      <c r="H1956" s="3"/>
      <c r="I1956" s="3" t="s">
        <v>122</v>
      </c>
      <c r="J1956" s="3">
        <v>2</v>
      </c>
      <c r="K1956" s="3">
        <v>2</v>
      </c>
      <c r="L1956" s="3">
        <v>0</v>
      </c>
      <c r="M1956" s="3">
        <v>0</v>
      </c>
      <c r="N1956" s="3">
        <v>2</v>
      </c>
      <c r="O1956" s="3">
        <v>0.06</v>
      </c>
      <c r="P1956" s="3">
        <v>0</v>
      </c>
      <c r="Q1956" s="3">
        <v>0</v>
      </c>
      <c r="R1956" s="3">
        <v>0</v>
      </c>
    </row>
    <row r="1957" spans="1:18">
      <c r="A1957" s="3" t="s">
        <v>5016</v>
      </c>
      <c r="B1957" s="3" t="s">
        <v>5017</v>
      </c>
      <c r="C1957" s="3" t="s">
        <v>5017</v>
      </c>
      <c r="D1957" s="3" t="s">
        <v>5018</v>
      </c>
      <c r="E1957" s="3" t="s">
        <v>120</v>
      </c>
      <c r="F1957" s="3">
        <v>50</v>
      </c>
      <c r="G1957" s="3" t="s">
        <v>121</v>
      </c>
      <c r="H1957" s="3"/>
      <c r="I1957" s="3" t="s">
        <v>122</v>
      </c>
      <c r="J1957" s="3">
        <v>0</v>
      </c>
      <c r="K1957" s="3">
        <v>0</v>
      </c>
      <c r="L1957" s="3">
        <v>0</v>
      </c>
      <c r="M1957" s="3">
        <v>0</v>
      </c>
      <c r="N1957" s="3">
        <v>0</v>
      </c>
      <c r="O1957" s="3">
        <v>0.06</v>
      </c>
      <c r="P1957" s="3">
        <v>0</v>
      </c>
      <c r="Q1957" s="3">
        <v>0</v>
      </c>
      <c r="R1957" s="3">
        <v>0</v>
      </c>
    </row>
    <row r="1958" spans="1:18">
      <c r="A1958" s="3" t="s">
        <v>5019</v>
      </c>
      <c r="B1958" s="3" t="s">
        <v>5020</v>
      </c>
      <c r="C1958" s="3" t="s">
        <v>5020</v>
      </c>
      <c r="D1958" s="3" t="s">
        <v>5021</v>
      </c>
      <c r="E1958" s="3" t="s">
        <v>120</v>
      </c>
      <c r="F1958" s="3">
        <v>50</v>
      </c>
      <c r="G1958" s="3" t="s">
        <v>121</v>
      </c>
      <c r="H1958" s="3"/>
      <c r="I1958" s="3" t="s">
        <v>122</v>
      </c>
      <c r="J1958" s="3">
        <v>0</v>
      </c>
      <c r="K1958" s="3">
        <v>0</v>
      </c>
      <c r="L1958" s="3">
        <v>0</v>
      </c>
      <c r="M1958" s="3">
        <v>0</v>
      </c>
      <c r="N1958" s="3">
        <v>0</v>
      </c>
      <c r="O1958" s="3">
        <v>0.1</v>
      </c>
      <c r="P1958" s="3">
        <v>0</v>
      </c>
      <c r="Q1958" s="3">
        <v>0</v>
      </c>
      <c r="R1958" s="3">
        <v>0</v>
      </c>
    </row>
    <row r="1959" spans="1:18">
      <c r="A1959" s="3" t="s">
        <v>5022</v>
      </c>
      <c r="B1959" s="3" t="s">
        <v>5023</v>
      </c>
      <c r="C1959" s="3" t="s">
        <v>5023</v>
      </c>
      <c r="D1959" s="3" t="s">
        <v>5024</v>
      </c>
      <c r="E1959" s="3" t="s">
        <v>120</v>
      </c>
      <c r="F1959" s="3">
        <v>50</v>
      </c>
      <c r="G1959" s="3" t="s">
        <v>121</v>
      </c>
      <c r="H1959" s="3"/>
      <c r="I1959" s="3" t="s">
        <v>122</v>
      </c>
      <c r="J1959" s="3">
        <v>0</v>
      </c>
      <c r="K1959" s="3">
        <v>0</v>
      </c>
      <c r="L1959" s="3">
        <v>0</v>
      </c>
      <c r="M1959" s="3">
        <v>0</v>
      </c>
      <c r="N1959" s="3">
        <v>0</v>
      </c>
      <c r="O1959" s="3">
        <v>0.15</v>
      </c>
      <c r="P1959" s="3">
        <v>0</v>
      </c>
      <c r="Q1959" s="3">
        <v>0</v>
      </c>
      <c r="R1959" s="3">
        <v>0</v>
      </c>
    </row>
    <row r="1960" spans="1:18">
      <c r="A1960" s="3" t="s">
        <v>5025</v>
      </c>
      <c r="B1960" s="3" t="s">
        <v>5026</v>
      </c>
      <c r="C1960" s="3" t="s">
        <v>5026</v>
      </c>
      <c r="D1960" s="3" t="s">
        <v>5027</v>
      </c>
      <c r="E1960" s="3" t="s">
        <v>120</v>
      </c>
      <c r="F1960" s="3">
        <v>50</v>
      </c>
      <c r="G1960" s="3" t="s">
        <v>121</v>
      </c>
      <c r="H1960" s="3"/>
      <c r="I1960" s="3" t="s">
        <v>122</v>
      </c>
      <c r="J1960" s="3">
        <v>0</v>
      </c>
      <c r="K1960" s="3">
        <v>0</v>
      </c>
      <c r="L1960" s="3">
        <v>0</v>
      </c>
      <c r="M1960" s="3">
        <v>0</v>
      </c>
      <c r="N1960" s="3">
        <v>0</v>
      </c>
      <c r="O1960" s="3">
        <v>0.16</v>
      </c>
      <c r="P1960" s="3">
        <v>0</v>
      </c>
      <c r="Q1960" s="3">
        <v>0</v>
      </c>
      <c r="R1960" s="3">
        <v>0</v>
      </c>
    </row>
    <row r="1961" spans="1:18">
      <c r="A1961" s="3" t="s">
        <v>5028</v>
      </c>
      <c r="B1961" s="3" t="s">
        <v>2130</v>
      </c>
      <c r="C1961" s="3" t="s">
        <v>2130</v>
      </c>
      <c r="D1961" s="3"/>
      <c r="E1961" s="3" t="s">
        <v>20</v>
      </c>
      <c r="F1961" s="3"/>
      <c r="G1961" s="3"/>
      <c r="H1961" s="3"/>
      <c r="I1961" s="3"/>
      <c r="J1961" s="3">
        <v>0</v>
      </c>
      <c r="K1961" s="3">
        <v>0</v>
      </c>
      <c r="L1961" s="3">
        <v>0</v>
      </c>
      <c r="M1961" s="3">
        <v>0</v>
      </c>
      <c r="N1961" s="3">
        <v>0</v>
      </c>
      <c r="O1961" s="3"/>
      <c r="P1961" s="3">
        <v>0</v>
      </c>
      <c r="Q1961" s="3">
        <v>0</v>
      </c>
      <c r="R1961" s="3">
        <v>0</v>
      </c>
    </row>
    <row r="1962" spans="1:18">
      <c r="A1962" s="3" t="s">
        <v>5029</v>
      </c>
      <c r="B1962" s="3" t="s">
        <v>2133</v>
      </c>
      <c r="C1962" s="3" t="s">
        <v>2133</v>
      </c>
      <c r="D1962" s="3"/>
      <c r="E1962" s="3" t="s">
        <v>20</v>
      </c>
      <c r="F1962" s="3"/>
      <c r="G1962" s="3"/>
      <c r="H1962" s="3"/>
      <c r="I1962" s="3"/>
      <c r="J1962" s="3">
        <v>15</v>
      </c>
      <c r="K1962" s="3">
        <v>15</v>
      </c>
      <c r="L1962" s="3">
        <v>0</v>
      </c>
      <c r="M1962" s="3">
        <v>0</v>
      </c>
      <c r="N1962" s="3">
        <v>15</v>
      </c>
      <c r="O1962" s="3"/>
      <c r="P1962" s="3">
        <v>0</v>
      </c>
      <c r="Q1962" s="3">
        <v>0</v>
      </c>
      <c r="R1962" s="3">
        <v>0</v>
      </c>
    </row>
    <row r="1963" spans="1:18">
      <c r="A1963" s="3" t="s">
        <v>5030</v>
      </c>
      <c r="B1963" s="3" t="s">
        <v>2136</v>
      </c>
      <c r="C1963" s="3" t="s">
        <v>2136</v>
      </c>
      <c r="D1963" s="3"/>
      <c r="E1963" s="3" t="s">
        <v>20</v>
      </c>
      <c r="F1963" s="3"/>
      <c r="G1963" s="3"/>
      <c r="H1963" s="3"/>
      <c r="I1963" s="3"/>
      <c r="J1963" s="3">
        <v>27</v>
      </c>
      <c r="K1963" s="3">
        <v>25</v>
      </c>
      <c r="L1963" s="3">
        <v>0</v>
      </c>
      <c r="M1963" s="3">
        <v>2</v>
      </c>
      <c r="N1963" s="3">
        <v>39</v>
      </c>
      <c r="O1963" s="3"/>
      <c r="P1963" s="3">
        <v>0</v>
      </c>
      <c r="Q1963" s="3">
        <v>12</v>
      </c>
      <c r="R1963" s="3">
        <v>0</v>
      </c>
    </row>
    <row r="1964" spans="1:18">
      <c r="A1964" s="3" t="s">
        <v>5031</v>
      </c>
      <c r="B1964" s="3" t="s">
        <v>2139</v>
      </c>
      <c r="C1964" s="3" t="s">
        <v>2139</v>
      </c>
      <c r="D1964" s="3"/>
      <c r="E1964" s="3" t="s">
        <v>20</v>
      </c>
      <c r="F1964" s="3"/>
      <c r="G1964" s="3"/>
      <c r="H1964" s="3"/>
      <c r="I1964" s="3"/>
      <c r="J1964" s="3">
        <v>9</v>
      </c>
      <c r="K1964" s="3">
        <v>9</v>
      </c>
      <c r="L1964" s="3">
        <v>0</v>
      </c>
      <c r="M1964" s="3">
        <v>0</v>
      </c>
      <c r="N1964" s="3">
        <v>9</v>
      </c>
      <c r="O1964" s="3"/>
      <c r="P1964" s="3">
        <v>0</v>
      </c>
      <c r="Q1964" s="3">
        <v>0</v>
      </c>
      <c r="R1964" s="3">
        <v>0</v>
      </c>
    </row>
    <row r="1965" spans="1:18">
      <c r="A1965" s="3" t="s">
        <v>5032</v>
      </c>
      <c r="B1965" s="3" t="s">
        <v>2142</v>
      </c>
      <c r="C1965" s="3" t="s">
        <v>2142</v>
      </c>
      <c r="D1965" s="3"/>
      <c r="E1965" s="3" t="s">
        <v>20</v>
      </c>
      <c r="F1965" s="3"/>
      <c r="G1965" s="3"/>
      <c r="H1965" s="3"/>
      <c r="I1965" s="3"/>
      <c r="J1965" s="3">
        <v>0</v>
      </c>
      <c r="K1965" s="3">
        <v>0</v>
      </c>
      <c r="L1965" s="3">
        <v>0</v>
      </c>
      <c r="M1965" s="3">
        <v>0</v>
      </c>
      <c r="N1965" s="3">
        <v>0</v>
      </c>
      <c r="O1965" s="3"/>
      <c r="P1965" s="3">
        <v>0</v>
      </c>
      <c r="Q1965" s="3">
        <v>0</v>
      </c>
      <c r="R1965" s="3">
        <v>0</v>
      </c>
    </row>
    <row r="1966" spans="1:18">
      <c r="A1966" s="3" t="s">
        <v>5033</v>
      </c>
      <c r="B1966" s="3" t="s">
        <v>2160</v>
      </c>
      <c r="C1966" s="3" t="s">
        <v>2160</v>
      </c>
      <c r="D1966" s="3"/>
      <c r="E1966" s="3" t="s">
        <v>20</v>
      </c>
      <c r="F1966" s="3"/>
      <c r="G1966" s="3"/>
      <c r="H1966" s="3"/>
      <c r="I1966" s="3"/>
      <c r="J1966" s="3">
        <v>0</v>
      </c>
      <c r="K1966" s="3">
        <v>0</v>
      </c>
      <c r="L1966" s="3">
        <v>0</v>
      </c>
      <c r="M1966" s="3">
        <v>0</v>
      </c>
      <c r="N1966" s="3">
        <v>0</v>
      </c>
      <c r="O1966" s="3"/>
      <c r="P1966" s="3">
        <v>0</v>
      </c>
      <c r="Q1966" s="3">
        <v>0</v>
      </c>
      <c r="R1966" s="3">
        <v>0</v>
      </c>
    </row>
    <row r="1967" spans="1:18">
      <c r="A1967" s="3" t="s">
        <v>5034</v>
      </c>
      <c r="B1967" s="3" t="s">
        <v>2163</v>
      </c>
      <c r="C1967" s="3" t="s">
        <v>2163</v>
      </c>
      <c r="D1967" s="3"/>
      <c r="E1967" s="3" t="s">
        <v>20</v>
      </c>
      <c r="F1967" s="3"/>
      <c r="G1967" s="3"/>
      <c r="H1967" s="3"/>
      <c r="I1967" s="3"/>
      <c r="J1967" s="3">
        <v>4</v>
      </c>
      <c r="K1967" s="3">
        <v>4</v>
      </c>
      <c r="L1967" s="3">
        <v>0</v>
      </c>
      <c r="M1967" s="3">
        <v>0</v>
      </c>
      <c r="N1967" s="3">
        <v>18</v>
      </c>
      <c r="O1967" s="3"/>
      <c r="P1967" s="3">
        <v>0</v>
      </c>
      <c r="Q1967" s="3">
        <v>14</v>
      </c>
      <c r="R1967" s="3">
        <v>0</v>
      </c>
    </row>
    <row r="1968" spans="1:18">
      <c r="A1968" s="3" t="s">
        <v>5035</v>
      </c>
      <c r="B1968" s="3" t="s">
        <v>2166</v>
      </c>
      <c r="C1968" s="3" t="s">
        <v>2166</v>
      </c>
      <c r="D1968" s="3"/>
      <c r="E1968" s="3" t="s">
        <v>20</v>
      </c>
      <c r="F1968" s="3"/>
      <c r="G1968" s="3"/>
      <c r="H1968" s="3"/>
      <c r="I1968" s="3"/>
      <c r="J1968" s="3">
        <v>17</v>
      </c>
      <c r="K1968" s="3">
        <v>17</v>
      </c>
      <c r="L1968" s="3">
        <v>0</v>
      </c>
      <c r="M1968" s="3">
        <v>0</v>
      </c>
      <c r="N1968" s="3">
        <v>17</v>
      </c>
      <c r="O1968" s="3"/>
      <c r="P1968" s="3">
        <v>0</v>
      </c>
      <c r="Q1968" s="3">
        <v>0</v>
      </c>
      <c r="R1968" s="3">
        <v>0</v>
      </c>
    </row>
    <row r="1969" spans="1:18">
      <c r="A1969" s="3" t="s">
        <v>5036</v>
      </c>
      <c r="B1969" s="3" t="s">
        <v>2169</v>
      </c>
      <c r="C1969" s="3" t="s">
        <v>2169</v>
      </c>
      <c r="D1969" s="3"/>
      <c r="E1969" s="3" t="s">
        <v>20</v>
      </c>
      <c r="F1969" s="3"/>
      <c r="G1969" s="3"/>
      <c r="H1969" s="3"/>
      <c r="I1969" s="3"/>
      <c r="J1969" s="3">
        <v>5</v>
      </c>
      <c r="K1969" s="3">
        <v>5</v>
      </c>
      <c r="L1969" s="3">
        <v>0</v>
      </c>
      <c r="M1969" s="3">
        <v>0</v>
      </c>
      <c r="N1969" s="3">
        <v>5</v>
      </c>
      <c r="O1969" s="3"/>
      <c r="P1969" s="3">
        <v>0</v>
      </c>
      <c r="Q1969" s="3">
        <v>0</v>
      </c>
      <c r="R1969" s="3">
        <v>0</v>
      </c>
    </row>
    <row r="1970" spans="1:18">
      <c r="A1970" s="3" t="s">
        <v>5037</v>
      </c>
      <c r="B1970" s="3" t="s">
        <v>2172</v>
      </c>
      <c r="C1970" s="3" t="s">
        <v>2172</v>
      </c>
      <c r="D1970" s="3"/>
      <c r="E1970" s="3" t="s">
        <v>20</v>
      </c>
      <c r="F1970" s="3"/>
      <c r="G1970" s="3"/>
      <c r="H1970" s="3"/>
      <c r="I1970" s="3"/>
      <c r="J1970" s="3">
        <v>0</v>
      </c>
      <c r="K1970" s="3">
        <v>0</v>
      </c>
      <c r="L1970" s="3">
        <v>0</v>
      </c>
      <c r="M1970" s="3">
        <v>0</v>
      </c>
      <c r="N1970" s="3">
        <v>0</v>
      </c>
      <c r="O1970" s="3"/>
      <c r="P1970" s="3">
        <v>0</v>
      </c>
      <c r="Q1970" s="3">
        <v>0</v>
      </c>
      <c r="R1970" s="3">
        <v>0</v>
      </c>
    </row>
    <row r="1971" spans="1:18">
      <c r="A1971" s="3" t="s">
        <v>5038</v>
      </c>
      <c r="B1971" s="3" t="s">
        <v>2175</v>
      </c>
      <c r="C1971" s="3" t="s">
        <v>2175</v>
      </c>
      <c r="D1971" s="3"/>
      <c r="E1971" s="3" t="s">
        <v>20</v>
      </c>
      <c r="F1971" s="3"/>
      <c r="G1971" s="3"/>
      <c r="H1971" s="3"/>
      <c r="I1971" s="3"/>
      <c r="J1971" s="3">
        <v>10</v>
      </c>
      <c r="K1971" s="3">
        <v>10</v>
      </c>
      <c r="L1971" s="3">
        <v>0</v>
      </c>
      <c r="M1971" s="3">
        <v>0</v>
      </c>
      <c r="N1971" s="3">
        <v>10</v>
      </c>
      <c r="O1971" s="3"/>
      <c r="P1971" s="3">
        <v>0</v>
      </c>
      <c r="Q1971" s="3">
        <v>0</v>
      </c>
      <c r="R1971" s="3">
        <v>0</v>
      </c>
    </row>
    <row r="1972" spans="1:18">
      <c r="A1972" s="3" t="s">
        <v>5039</v>
      </c>
      <c r="B1972" s="3" t="s">
        <v>2178</v>
      </c>
      <c r="C1972" s="3" t="s">
        <v>2178</v>
      </c>
      <c r="D1972" s="3"/>
      <c r="E1972" s="3" t="s">
        <v>20</v>
      </c>
      <c r="F1972" s="3"/>
      <c r="G1972" s="3"/>
      <c r="H1972" s="3"/>
      <c r="I1972" s="3"/>
      <c r="J1972" s="3">
        <v>32</v>
      </c>
      <c r="K1972" s="3">
        <v>32</v>
      </c>
      <c r="L1972" s="3">
        <v>0</v>
      </c>
      <c r="M1972" s="3">
        <v>0</v>
      </c>
      <c r="N1972" s="3">
        <v>52</v>
      </c>
      <c r="O1972" s="3"/>
      <c r="P1972" s="3">
        <v>0</v>
      </c>
      <c r="Q1972" s="3">
        <v>20</v>
      </c>
      <c r="R1972" s="3">
        <v>0</v>
      </c>
    </row>
    <row r="1973" spans="1:18">
      <c r="A1973" s="3" t="s">
        <v>5040</v>
      </c>
      <c r="B1973" s="3" t="s">
        <v>2181</v>
      </c>
      <c r="C1973" s="3" t="s">
        <v>2181</v>
      </c>
      <c r="D1973" s="3"/>
      <c r="E1973" s="3" t="s">
        <v>20</v>
      </c>
      <c r="F1973" s="3"/>
      <c r="G1973" s="3"/>
      <c r="H1973" s="3"/>
      <c r="I1973" s="3"/>
      <c r="J1973" s="3">
        <v>14</v>
      </c>
      <c r="K1973" s="3">
        <v>14</v>
      </c>
      <c r="L1973" s="3">
        <v>0</v>
      </c>
      <c r="M1973" s="3">
        <v>0</v>
      </c>
      <c r="N1973" s="3">
        <v>14</v>
      </c>
      <c r="O1973" s="3"/>
      <c r="P1973" s="3">
        <v>0</v>
      </c>
      <c r="Q1973" s="3">
        <v>0</v>
      </c>
      <c r="R1973" s="3">
        <v>0</v>
      </c>
    </row>
    <row r="1974" spans="1:18">
      <c r="A1974" s="3" t="s">
        <v>5041</v>
      </c>
      <c r="B1974" s="3" t="s">
        <v>2184</v>
      </c>
      <c r="C1974" s="3" t="s">
        <v>2184</v>
      </c>
      <c r="D1974" s="3"/>
      <c r="E1974" s="3" t="s">
        <v>20</v>
      </c>
      <c r="F1974" s="3"/>
      <c r="G1974" s="3"/>
      <c r="H1974" s="3"/>
      <c r="I1974" s="3"/>
      <c r="J1974" s="3">
        <v>3</v>
      </c>
      <c r="K1974" s="3">
        <v>3</v>
      </c>
      <c r="L1974" s="3">
        <v>0</v>
      </c>
      <c r="M1974" s="3">
        <v>0</v>
      </c>
      <c r="N1974" s="3">
        <v>3</v>
      </c>
      <c r="O1974" s="3"/>
      <c r="P1974" s="3">
        <v>0</v>
      </c>
      <c r="Q1974" s="3">
        <v>0</v>
      </c>
      <c r="R1974" s="3">
        <v>0</v>
      </c>
    </row>
    <row r="1975" spans="1:18">
      <c r="A1975" s="3" t="s">
        <v>5042</v>
      </c>
      <c r="B1975" s="3" t="s">
        <v>2190</v>
      </c>
      <c r="C1975" s="3" t="s">
        <v>2190</v>
      </c>
      <c r="D1975" s="3" t="s">
        <v>2191</v>
      </c>
      <c r="E1975" s="3" t="s">
        <v>20</v>
      </c>
      <c r="F1975" s="3">
        <v>0</v>
      </c>
      <c r="G1975" s="3" t="s">
        <v>121</v>
      </c>
      <c r="H1975" s="3"/>
      <c r="I1975" s="3" t="s">
        <v>122</v>
      </c>
      <c r="J1975" s="3">
        <v>20</v>
      </c>
      <c r="K1975" s="3">
        <v>20</v>
      </c>
      <c r="L1975" s="3">
        <v>0</v>
      </c>
      <c r="M1975" s="3">
        <v>0</v>
      </c>
      <c r="N1975" s="3">
        <v>20</v>
      </c>
      <c r="O1975" s="3">
        <v>0.14</v>
      </c>
      <c r="P1975" s="3">
        <v>0</v>
      </c>
      <c r="Q1975" s="3">
        <v>0</v>
      </c>
      <c r="R1975" s="3">
        <v>0</v>
      </c>
    </row>
    <row r="1976" spans="1:18">
      <c r="A1976" s="3" t="s">
        <v>5043</v>
      </c>
      <c r="B1976" s="3" t="s">
        <v>2193</v>
      </c>
      <c r="C1976" s="3" t="s">
        <v>2193</v>
      </c>
      <c r="D1976" s="3"/>
      <c r="E1976" s="3" t="s">
        <v>20</v>
      </c>
      <c r="F1976" s="3"/>
      <c r="G1976" s="3"/>
      <c r="H1976" s="3"/>
      <c r="I1976" s="3"/>
      <c r="J1976" s="3">
        <v>9</v>
      </c>
      <c r="K1976" s="3">
        <v>9</v>
      </c>
      <c r="L1976" s="3">
        <v>0</v>
      </c>
      <c r="M1976" s="3">
        <v>0</v>
      </c>
      <c r="N1976" s="3">
        <v>9</v>
      </c>
      <c r="O1976" s="3"/>
      <c r="P1976" s="3">
        <v>0</v>
      </c>
      <c r="Q1976" s="3">
        <v>0</v>
      </c>
      <c r="R1976" s="3">
        <v>0</v>
      </c>
    </row>
    <row r="1977" spans="1:18">
      <c r="A1977" s="3" t="s">
        <v>5044</v>
      </c>
      <c r="B1977" s="3" t="s">
        <v>2196</v>
      </c>
      <c r="C1977" s="3" t="s">
        <v>2196</v>
      </c>
      <c r="D1977" s="3"/>
      <c r="E1977" s="3" t="s">
        <v>20</v>
      </c>
      <c r="F1977" s="3"/>
      <c r="G1977" s="3"/>
      <c r="H1977" s="3"/>
      <c r="I1977" s="3"/>
      <c r="J1977" s="3">
        <v>17</v>
      </c>
      <c r="K1977" s="3">
        <v>17</v>
      </c>
      <c r="L1977" s="3">
        <v>0</v>
      </c>
      <c r="M1977" s="3">
        <v>0</v>
      </c>
      <c r="N1977" s="3">
        <v>17</v>
      </c>
      <c r="O1977" s="3"/>
      <c r="P1977" s="3">
        <v>0</v>
      </c>
      <c r="Q1977" s="3">
        <v>0</v>
      </c>
      <c r="R1977" s="3">
        <v>0</v>
      </c>
    </row>
    <row r="1978" spans="1:18">
      <c r="A1978" s="3" t="s">
        <v>5045</v>
      </c>
      <c r="B1978" s="3" t="s">
        <v>2199</v>
      </c>
      <c r="C1978" s="3" t="s">
        <v>2199</v>
      </c>
      <c r="D1978" s="3"/>
      <c r="E1978" s="3" t="s">
        <v>20</v>
      </c>
      <c r="F1978" s="3"/>
      <c r="G1978" s="3"/>
      <c r="H1978" s="3"/>
      <c r="I1978" s="3"/>
      <c r="J1978" s="3">
        <v>14</v>
      </c>
      <c r="K1978" s="3">
        <v>14</v>
      </c>
      <c r="L1978" s="3">
        <v>0</v>
      </c>
      <c r="M1978" s="3">
        <v>0</v>
      </c>
      <c r="N1978" s="3">
        <v>14</v>
      </c>
      <c r="O1978" s="3"/>
      <c r="P1978" s="3">
        <v>0</v>
      </c>
      <c r="Q1978" s="3">
        <v>0</v>
      </c>
      <c r="R1978" s="3">
        <v>0</v>
      </c>
    </row>
    <row r="1979" spans="1:18">
      <c r="A1979" s="3" t="s">
        <v>5046</v>
      </c>
      <c r="B1979" s="3" t="s">
        <v>2202</v>
      </c>
      <c r="C1979" s="3" t="s">
        <v>2202</v>
      </c>
      <c r="D1979" s="3"/>
      <c r="E1979" s="3" t="s">
        <v>20</v>
      </c>
      <c r="F1979" s="3"/>
      <c r="G1979" s="3"/>
      <c r="H1979" s="3"/>
      <c r="I1979" s="3"/>
      <c r="J1979" s="3">
        <v>10</v>
      </c>
      <c r="K1979" s="3">
        <v>10</v>
      </c>
      <c r="L1979" s="3">
        <v>0</v>
      </c>
      <c r="M1979" s="3">
        <v>0</v>
      </c>
      <c r="N1979" s="3">
        <v>10</v>
      </c>
      <c r="O1979" s="3"/>
      <c r="P1979" s="3">
        <v>0</v>
      </c>
      <c r="Q1979" s="3">
        <v>0</v>
      </c>
      <c r="R1979" s="3">
        <v>0</v>
      </c>
    </row>
    <row r="1980" spans="1:18">
      <c r="A1980" s="3" t="s">
        <v>5047</v>
      </c>
      <c r="B1980" s="3" t="s">
        <v>2205</v>
      </c>
      <c r="C1980" s="3" t="s">
        <v>2205</v>
      </c>
      <c r="D1980" s="3"/>
      <c r="E1980" s="3" t="s">
        <v>20</v>
      </c>
      <c r="F1980" s="3"/>
      <c r="G1980" s="3"/>
      <c r="H1980" s="3"/>
      <c r="I1980" s="3"/>
      <c r="J1980" s="3">
        <v>11</v>
      </c>
      <c r="K1980" s="3">
        <v>11</v>
      </c>
      <c r="L1980" s="3">
        <v>0</v>
      </c>
      <c r="M1980" s="3">
        <v>0</v>
      </c>
      <c r="N1980" s="3">
        <v>11</v>
      </c>
      <c r="O1980" s="3"/>
      <c r="P1980" s="3">
        <v>0</v>
      </c>
      <c r="Q1980" s="3">
        <v>0</v>
      </c>
      <c r="R1980" s="3">
        <v>0</v>
      </c>
    </row>
    <row r="1981" spans="1:18">
      <c r="A1981" s="3" t="s">
        <v>5048</v>
      </c>
      <c r="B1981" s="3" t="s">
        <v>2208</v>
      </c>
      <c r="C1981" s="3" t="s">
        <v>2208</v>
      </c>
      <c r="D1981" s="3"/>
      <c r="E1981" s="3" t="s">
        <v>20</v>
      </c>
      <c r="F1981" s="3"/>
      <c r="G1981" s="3"/>
      <c r="H1981" s="3"/>
      <c r="I1981" s="3"/>
      <c r="J1981" s="3">
        <v>5</v>
      </c>
      <c r="K1981" s="3">
        <v>4</v>
      </c>
      <c r="L1981" s="3">
        <v>0</v>
      </c>
      <c r="M1981" s="3">
        <v>1</v>
      </c>
      <c r="N1981" s="3">
        <v>21</v>
      </c>
      <c r="O1981" s="3"/>
      <c r="P1981" s="3">
        <v>0</v>
      </c>
      <c r="Q1981" s="3">
        <v>16</v>
      </c>
      <c r="R1981" s="3">
        <v>0</v>
      </c>
    </row>
    <row r="1982" spans="1:18">
      <c r="A1982" s="3" t="s">
        <v>5049</v>
      </c>
      <c r="B1982" s="3" t="s">
        <v>2211</v>
      </c>
      <c r="C1982" s="3" t="s">
        <v>2211</v>
      </c>
      <c r="D1982" s="3"/>
      <c r="E1982" s="3" t="s">
        <v>20</v>
      </c>
      <c r="F1982" s="3"/>
      <c r="G1982" s="3"/>
      <c r="H1982" s="3"/>
      <c r="I1982" s="3"/>
      <c r="J1982" s="3">
        <v>14</v>
      </c>
      <c r="K1982" s="3">
        <v>14</v>
      </c>
      <c r="L1982" s="3">
        <v>0</v>
      </c>
      <c r="M1982" s="3">
        <v>0</v>
      </c>
      <c r="N1982" s="3">
        <v>14</v>
      </c>
      <c r="O1982" s="3"/>
      <c r="P1982" s="3">
        <v>0</v>
      </c>
      <c r="Q1982" s="3">
        <v>0</v>
      </c>
      <c r="R1982" s="3">
        <v>0</v>
      </c>
    </row>
    <row r="1983" spans="1:18">
      <c r="A1983" s="3" t="s">
        <v>5050</v>
      </c>
      <c r="B1983" s="3" t="s">
        <v>2214</v>
      </c>
      <c r="C1983" s="3" t="s">
        <v>2214</v>
      </c>
      <c r="D1983" s="3"/>
      <c r="E1983" s="3" t="s">
        <v>20</v>
      </c>
      <c r="F1983" s="3"/>
      <c r="G1983" s="3"/>
      <c r="H1983" s="3"/>
      <c r="I1983" s="3"/>
      <c r="J1983" s="3">
        <v>3</v>
      </c>
      <c r="K1983" s="3">
        <v>3</v>
      </c>
      <c r="L1983" s="3">
        <v>0</v>
      </c>
      <c r="M1983" s="3">
        <v>0</v>
      </c>
      <c r="N1983" s="3">
        <v>3</v>
      </c>
      <c r="O1983" s="3"/>
      <c r="P1983" s="3">
        <v>0</v>
      </c>
      <c r="Q1983" s="3">
        <v>0</v>
      </c>
      <c r="R1983" s="3">
        <v>0</v>
      </c>
    </row>
    <row r="1984" spans="1:18">
      <c r="A1984" s="3" t="s">
        <v>5051</v>
      </c>
      <c r="B1984" s="3" t="s">
        <v>2217</v>
      </c>
      <c r="C1984" s="3" t="s">
        <v>2217</v>
      </c>
      <c r="D1984" s="3"/>
      <c r="E1984" s="3" t="s">
        <v>20</v>
      </c>
      <c r="F1984" s="3"/>
      <c r="G1984" s="3"/>
      <c r="H1984" s="3"/>
      <c r="I1984" s="3"/>
      <c r="J1984" s="3">
        <v>15</v>
      </c>
      <c r="K1984" s="3">
        <v>15</v>
      </c>
      <c r="L1984" s="3">
        <v>0</v>
      </c>
      <c r="M1984" s="3">
        <v>0</v>
      </c>
      <c r="N1984" s="3">
        <v>15</v>
      </c>
      <c r="O1984" s="3"/>
      <c r="P1984" s="3">
        <v>0</v>
      </c>
      <c r="Q1984" s="3">
        <v>0</v>
      </c>
      <c r="R1984" s="3">
        <v>0</v>
      </c>
    </row>
    <row r="1985" spans="1:18">
      <c r="A1985" s="3" t="s">
        <v>5052</v>
      </c>
      <c r="B1985" s="3" t="s">
        <v>2220</v>
      </c>
      <c r="C1985" s="3" t="s">
        <v>2220</v>
      </c>
      <c r="D1985" s="3"/>
      <c r="E1985" s="3" t="s">
        <v>20</v>
      </c>
      <c r="F1985" s="3"/>
      <c r="G1985" s="3"/>
      <c r="H1985" s="3"/>
      <c r="I1985" s="3"/>
      <c r="J1985" s="3">
        <v>10</v>
      </c>
      <c r="K1985" s="3">
        <v>10</v>
      </c>
      <c r="L1985" s="3">
        <v>0</v>
      </c>
      <c r="M1985" s="3">
        <v>0</v>
      </c>
      <c r="N1985" s="3">
        <v>10</v>
      </c>
      <c r="O1985" s="3"/>
      <c r="P1985" s="3">
        <v>0</v>
      </c>
      <c r="Q1985" s="3">
        <v>0</v>
      </c>
      <c r="R1985" s="3">
        <v>0</v>
      </c>
    </row>
    <row r="1986" spans="1:18">
      <c r="A1986" s="3" t="s">
        <v>5053</v>
      </c>
      <c r="B1986" s="3" t="s">
        <v>2223</v>
      </c>
      <c r="C1986" s="3" t="s">
        <v>2223</v>
      </c>
      <c r="D1986" s="3"/>
      <c r="E1986" s="3" t="s">
        <v>20</v>
      </c>
      <c r="F1986" s="3"/>
      <c r="G1986" s="3"/>
      <c r="H1986" s="3"/>
      <c r="I1986" s="3"/>
      <c r="J1986" s="3">
        <v>25</v>
      </c>
      <c r="K1986" s="3">
        <v>24</v>
      </c>
      <c r="L1986" s="3">
        <v>0</v>
      </c>
      <c r="M1986" s="3">
        <v>1</v>
      </c>
      <c r="N1986" s="3">
        <v>25</v>
      </c>
      <c r="O1986" s="3"/>
      <c r="P1986" s="3">
        <v>0</v>
      </c>
      <c r="Q1986" s="3">
        <v>0</v>
      </c>
      <c r="R1986" s="3">
        <v>0</v>
      </c>
    </row>
    <row r="1987" spans="1:18">
      <c r="A1987" s="3" t="s">
        <v>5054</v>
      </c>
      <c r="B1987" s="3" t="s">
        <v>2226</v>
      </c>
      <c r="C1987" s="3" t="s">
        <v>2226</v>
      </c>
      <c r="D1987" s="3"/>
      <c r="E1987" s="3" t="s">
        <v>20</v>
      </c>
      <c r="F1987" s="3"/>
      <c r="G1987" s="3"/>
      <c r="H1987" s="3"/>
      <c r="I1987" s="3"/>
      <c r="J1987" s="3">
        <v>29</v>
      </c>
      <c r="K1987" s="3">
        <v>29</v>
      </c>
      <c r="L1987" s="3">
        <v>0</v>
      </c>
      <c r="M1987" s="3">
        <v>0</v>
      </c>
      <c r="N1987" s="3">
        <v>29</v>
      </c>
      <c r="O1987" s="3"/>
      <c r="P1987" s="3">
        <v>0</v>
      </c>
      <c r="Q1987" s="3">
        <v>0</v>
      </c>
      <c r="R1987" s="3">
        <v>0</v>
      </c>
    </row>
    <row r="1988" spans="1:18">
      <c r="A1988" s="3" t="s">
        <v>5055</v>
      </c>
      <c r="B1988" s="3" t="s">
        <v>2229</v>
      </c>
      <c r="C1988" s="3" t="s">
        <v>2229</v>
      </c>
      <c r="D1988" s="3"/>
      <c r="E1988" s="3" t="s">
        <v>20</v>
      </c>
      <c r="F1988" s="3"/>
      <c r="G1988" s="3"/>
      <c r="H1988" s="3"/>
      <c r="I1988" s="3"/>
      <c r="J1988" s="3">
        <v>11</v>
      </c>
      <c r="K1988" s="3">
        <v>11</v>
      </c>
      <c r="L1988" s="3">
        <v>0</v>
      </c>
      <c r="M1988" s="3">
        <v>0</v>
      </c>
      <c r="N1988" s="3">
        <v>11</v>
      </c>
      <c r="O1988" s="3"/>
      <c r="P1988" s="3">
        <v>0</v>
      </c>
      <c r="Q1988" s="3">
        <v>0</v>
      </c>
      <c r="R1988" s="3">
        <v>0</v>
      </c>
    </row>
    <row r="1989" spans="1:18">
      <c r="A1989" s="3" t="s">
        <v>5056</v>
      </c>
      <c r="B1989" s="3" t="s">
        <v>2232</v>
      </c>
      <c r="C1989" s="3" t="s">
        <v>2232</v>
      </c>
      <c r="D1989" s="3"/>
      <c r="E1989" s="3" t="s">
        <v>20</v>
      </c>
      <c r="F1989" s="3"/>
      <c r="G1989" s="3"/>
      <c r="H1989" s="3"/>
      <c r="I1989" s="3"/>
      <c r="J1989" s="3">
        <v>13</v>
      </c>
      <c r="K1989" s="3">
        <v>13</v>
      </c>
      <c r="L1989" s="3">
        <v>0</v>
      </c>
      <c r="M1989" s="3">
        <v>0</v>
      </c>
      <c r="N1989" s="3">
        <v>13</v>
      </c>
      <c r="O1989" s="3"/>
      <c r="P1989" s="3">
        <v>0</v>
      </c>
      <c r="Q1989" s="3">
        <v>0</v>
      </c>
      <c r="R1989" s="3">
        <v>0</v>
      </c>
    </row>
    <row r="1990" spans="1:18">
      <c r="A1990" s="3" t="s">
        <v>5057</v>
      </c>
      <c r="B1990" s="3" t="s">
        <v>2145</v>
      </c>
      <c r="C1990" s="3" t="s">
        <v>2145</v>
      </c>
      <c r="D1990" s="3"/>
      <c r="E1990" s="3" t="s">
        <v>20</v>
      </c>
      <c r="F1990" s="3"/>
      <c r="G1990" s="3"/>
      <c r="H1990" s="3"/>
      <c r="I1990" s="3"/>
      <c r="J1990" s="3">
        <v>0</v>
      </c>
      <c r="K1990" s="3">
        <v>0</v>
      </c>
      <c r="L1990" s="3">
        <v>0</v>
      </c>
      <c r="M1990" s="3">
        <v>0</v>
      </c>
      <c r="N1990" s="3">
        <v>0</v>
      </c>
      <c r="O1990" s="3"/>
      <c r="P1990" s="3">
        <v>0</v>
      </c>
      <c r="Q1990" s="3">
        <v>0</v>
      </c>
      <c r="R1990" s="3">
        <v>0</v>
      </c>
    </row>
    <row r="1991" spans="1:18">
      <c r="A1991" s="3" t="s">
        <v>5058</v>
      </c>
      <c r="B1991" s="3" t="s">
        <v>2148</v>
      </c>
      <c r="C1991" s="3" t="s">
        <v>2148</v>
      </c>
      <c r="D1991" s="3"/>
      <c r="E1991" s="3" t="s">
        <v>20</v>
      </c>
      <c r="F1991" s="3"/>
      <c r="G1991" s="3"/>
      <c r="H1991" s="3"/>
      <c r="I1991" s="3"/>
      <c r="J1991" s="3">
        <v>15</v>
      </c>
      <c r="K1991" s="3">
        <v>15</v>
      </c>
      <c r="L1991" s="3">
        <v>0</v>
      </c>
      <c r="M1991" s="3">
        <v>0</v>
      </c>
      <c r="N1991" s="3">
        <v>15</v>
      </c>
      <c r="O1991" s="3"/>
      <c r="P1991" s="3">
        <v>0</v>
      </c>
      <c r="Q1991" s="3">
        <v>0</v>
      </c>
      <c r="R1991" s="3">
        <v>0</v>
      </c>
    </row>
    <row r="1992" spans="1:18">
      <c r="A1992" s="3" t="s">
        <v>5059</v>
      </c>
      <c r="B1992" s="3" t="s">
        <v>2151</v>
      </c>
      <c r="C1992" s="3" t="s">
        <v>2151</v>
      </c>
      <c r="D1992" s="3"/>
      <c r="E1992" s="3" t="s">
        <v>20</v>
      </c>
      <c r="F1992" s="3"/>
      <c r="G1992" s="3"/>
      <c r="H1992" s="3"/>
      <c r="I1992" s="3"/>
      <c r="J1992" s="3">
        <v>5</v>
      </c>
      <c r="K1992" s="3">
        <v>4</v>
      </c>
      <c r="L1992" s="3">
        <v>0</v>
      </c>
      <c r="M1992" s="3">
        <v>1</v>
      </c>
      <c r="N1992" s="3">
        <v>5</v>
      </c>
      <c r="O1992" s="3"/>
      <c r="P1992" s="3">
        <v>0</v>
      </c>
      <c r="Q1992" s="3">
        <v>0</v>
      </c>
      <c r="R1992" s="3">
        <v>0</v>
      </c>
    </row>
    <row r="1993" spans="1:18">
      <c r="A1993" s="3" t="s">
        <v>5060</v>
      </c>
      <c r="B1993" s="3" t="s">
        <v>2154</v>
      </c>
      <c r="C1993" s="3" t="s">
        <v>2154</v>
      </c>
      <c r="D1993" s="3"/>
      <c r="E1993" s="3" t="s">
        <v>20</v>
      </c>
      <c r="F1993" s="3"/>
      <c r="G1993" s="3"/>
      <c r="H1993" s="3"/>
      <c r="I1993" s="3"/>
      <c r="J1993" s="3">
        <v>0</v>
      </c>
      <c r="K1993" s="3">
        <v>0</v>
      </c>
      <c r="L1993" s="3">
        <v>0</v>
      </c>
      <c r="M1993" s="3">
        <v>0</v>
      </c>
      <c r="N1993" s="3">
        <v>11</v>
      </c>
      <c r="O1993" s="3"/>
      <c r="P1993" s="3">
        <v>0</v>
      </c>
      <c r="Q1993" s="3">
        <v>11</v>
      </c>
      <c r="R1993" s="3">
        <v>0</v>
      </c>
    </row>
    <row r="1994" spans="1:18">
      <c r="A1994" s="3" t="s">
        <v>5061</v>
      </c>
      <c r="B1994" s="3" t="s">
        <v>2157</v>
      </c>
      <c r="C1994" s="3" t="s">
        <v>2157</v>
      </c>
      <c r="D1994" s="3"/>
      <c r="E1994" s="3" t="s">
        <v>20</v>
      </c>
      <c r="F1994" s="3"/>
      <c r="G1994" s="3"/>
      <c r="H1994" s="3"/>
      <c r="I1994" s="3"/>
      <c r="J1994" s="3">
        <v>7</v>
      </c>
      <c r="K1994" s="3">
        <v>7</v>
      </c>
      <c r="L1994" s="3">
        <v>0</v>
      </c>
      <c r="M1994" s="3">
        <v>0</v>
      </c>
      <c r="N1994" s="3">
        <v>7</v>
      </c>
      <c r="O1994" s="3"/>
      <c r="P1994" s="3">
        <v>0</v>
      </c>
      <c r="Q1994" s="3">
        <v>0</v>
      </c>
      <c r="R1994" s="3">
        <v>0</v>
      </c>
    </row>
    <row r="1995" spans="1:18">
      <c r="A1995" s="3" t="s">
        <v>5062</v>
      </c>
      <c r="B1995" s="3" t="s">
        <v>5063</v>
      </c>
      <c r="C1995" s="3" t="s">
        <v>5063</v>
      </c>
      <c r="D1995" s="3" t="s">
        <v>1377</v>
      </c>
      <c r="E1995" s="3" t="s">
        <v>120</v>
      </c>
      <c r="F1995" s="3">
        <v>22.98</v>
      </c>
      <c r="G1995" s="3" t="s">
        <v>121</v>
      </c>
      <c r="H1995" s="3"/>
      <c r="I1995" s="3" t="s">
        <v>122</v>
      </c>
      <c r="J1995" s="3">
        <v>0</v>
      </c>
      <c r="K1995" s="3">
        <v>0</v>
      </c>
      <c r="L1995" s="3">
        <v>0</v>
      </c>
      <c r="M1995" s="3">
        <v>0</v>
      </c>
      <c r="N1995" s="3">
        <v>0</v>
      </c>
      <c r="O1995" s="3">
        <v>0.04</v>
      </c>
      <c r="P1995" s="3">
        <v>0</v>
      </c>
      <c r="Q1995" s="3">
        <v>0</v>
      </c>
      <c r="R1995" s="3">
        <v>0</v>
      </c>
    </row>
    <row r="1996" spans="1:18">
      <c r="A1996" s="3" t="s">
        <v>5064</v>
      </c>
      <c r="B1996" s="3" t="s">
        <v>5065</v>
      </c>
      <c r="C1996" s="3" t="s">
        <v>5065</v>
      </c>
      <c r="D1996" s="3"/>
      <c r="E1996" s="3" t="s">
        <v>20</v>
      </c>
      <c r="F1996" s="3"/>
      <c r="G1996" s="3"/>
      <c r="H1996" s="3"/>
      <c r="I1996" s="3"/>
      <c r="J1996" s="3">
        <v>0</v>
      </c>
      <c r="K1996" s="3">
        <v>0</v>
      </c>
      <c r="L1996" s="3">
        <v>0</v>
      </c>
      <c r="M1996" s="3">
        <v>0</v>
      </c>
      <c r="N1996" s="3">
        <v>0</v>
      </c>
      <c r="O1996" s="3"/>
      <c r="P1996" s="3">
        <v>0</v>
      </c>
      <c r="Q1996" s="3">
        <v>0</v>
      </c>
      <c r="R1996" s="3">
        <v>0</v>
      </c>
    </row>
    <row r="1997" spans="1:18">
      <c r="A1997" s="3" t="s">
        <v>5066</v>
      </c>
      <c r="B1997" s="3" t="s">
        <v>5067</v>
      </c>
      <c r="C1997" s="3" t="s">
        <v>5067</v>
      </c>
      <c r="D1997" s="3"/>
      <c r="E1997" s="3" t="s">
        <v>20</v>
      </c>
      <c r="F1997" s="3"/>
      <c r="G1997" s="3"/>
      <c r="H1997" s="3"/>
      <c r="I1997" s="3"/>
      <c r="J1997" s="3">
        <v>0</v>
      </c>
      <c r="K1997" s="3">
        <v>0</v>
      </c>
      <c r="L1997" s="3">
        <v>0</v>
      </c>
      <c r="M1997" s="3">
        <v>0</v>
      </c>
      <c r="N1997" s="3">
        <v>0</v>
      </c>
      <c r="O1997" s="3"/>
      <c r="P1997" s="3">
        <v>0</v>
      </c>
      <c r="Q1997" s="3">
        <v>0</v>
      </c>
      <c r="R1997" s="3">
        <v>0</v>
      </c>
    </row>
    <row r="1998" spans="1:18">
      <c r="A1998" s="3" t="s">
        <v>5068</v>
      </c>
      <c r="B1998" s="3" t="s">
        <v>5069</v>
      </c>
      <c r="C1998" s="3" t="s">
        <v>5069</v>
      </c>
      <c r="D1998" s="3"/>
      <c r="E1998" s="3" t="s">
        <v>20</v>
      </c>
      <c r="F1998" s="3"/>
      <c r="G1998" s="3"/>
      <c r="H1998" s="3"/>
      <c r="I1998" s="3"/>
      <c r="J1998" s="3">
        <v>0</v>
      </c>
      <c r="K1998" s="3">
        <v>0</v>
      </c>
      <c r="L1998" s="3">
        <v>0</v>
      </c>
      <c r="M1998" s="3">
        <v>0</v>
      </c>
      <c r="N1998" s="3">
        <v>0</v>
      </c>
      <c r="O1998" s="3"/>
      <c r="P1998" s="3">
        <v>0</v>
      </c>
      <c r="Q1998" s="3">
        <v>0</v>
      </c>
      <c r="R1998" s="3">
        <v>0</v>
      </c>
    </row>
    <row r="1999" spans="1:18">
      <c r="A1999" s="3" t="s">
        <v>5070</v>
      </c>
      <c r="B1999" s="3" t="s">
        <v>367</v>
      </c>
      <c r="C1999" s="3" t="s">
        <v>367</v>
      </c>
      <c r="D1999" s="3"/>
      <c r="E1999" s="3" t="s">
        <v>20</v>
      </c>
      <c r="F1999" s="3"/>
      <c r="G1999" s="3"/>
      <c r="H1999" s="3"/>
      <c r="I1999" s="3"/>
      <c r="J1999" s="3">
        <v>4</v>
      </c>
      <c r="K1999" s="3">
        <v>1</v>
      </c>
      <c r="L1999" s="3">
        <v>0</v>
      </c>
      <c r="M1999" s="3">
        <v>3</v>
      </c>
      <c r="N1999" s="3">
        <v>4</v>
      </c>
      <c r="O1999" s="3"/>
      <c r="P1999" s="3">
        <v>0</v>
      </c>
      <c r="Q1999" s="3">
        <v>0</v>
      </c>
      <c r="R1999" s="3">
        <v>0</v>
      </c>
    </row>
    <row r="2000" spans="1:18">
      <c r="A2000" s="3" t="s">
        <v>5071</v>
      </c>
      <c r="B2000" s="3" t="s">
        <v>5072</v>
      </c>
      <c r="C2000" s="3" t="s">
        <v>5072</v>
      </c>
      <c r="D2000" s="3"/>
      <c r="E2000" s="3" t="s">
        <v>20</v>
      </c>
      <c r="F2000" s="3"/>
      <c r="G2000" s="3"/>
      <c r="H2000" s="3"/>
      <c r="I2000" s="3"/>
      <c r="J2000" s="3">
        <v>0</v>
      </c>
      <c r="K2000" s="3">
        <v>0</v>
      </c>
      <c r="L2000" s="3">
        <v>0</v>
      </c>
      <c r="M2000" s="3">
        <v>0</v>
      </c>
      <c r="N2000" s="3">
        <v>0</v>
      </c>
      <c r="O2000" s="3"/>
      <c r="P2000" s="3">
        <v>0</v>
      </c>
      <c r="Q2000" s="3">
        <v>0</v>
      </c>
      <c r="R2000" s="3">
        <v>0</v>
      </c>
    </row>
    <row r="2001" spans="1:18">
      <c r="A2001" s="3" t="s">
        <v>5073</v>
      </c>
      <c r="B2001" s="3" t="s">
        <v>5074</v>
      </c>
      <c r="C2001" s="3" t="s">
        <v>5074</v>
      </c>
      <c r="D2001" s="3" t="s">
        <v>5075</v>
      </c>
      <c r="E2001" s="3" t="s">
        <v>120</v>
      </c>
      <c r="F2001" s="3">
        <v>26.98</v>
      </c>
      <c r="G2001" s="3" t="s">
        <v>121</v>
      </c>
      <c r="H2001" s="3"/>
      <c r="I2001" s="3" t="s">
        <v>122</v>
      </c>
      <c r="J2001" s="3">
        <v>0</v>
      </c>
      <c r="K2001" s="3">
        <v>0</v>
      </c>
      <c r="L2001" s="3">
        <v>0</v>
      </c>
      <c r="M2001" s="3">
        <v>0</v>
      </c>
      <c r="N2001" s="3">
        <v>0</v>
      </c>
      <c r="O2001" s="3">
        <v>0.04</v>
      </c>
      <c r="P2001" s="3">
        <v>0</v>
      </c>
      <c r="Q2001" s="3">
        <v>0</v>
      </c>
      <c r="R2001" s="3">
        <v>0</v>
      </c>
    </row>
    <row r="2002" spans="1:18">
      <c r="A2002" s="3" t="s">
        <v>5076</v>
      </c>
      <c r="B2002" s="3" t="s">
        <v>5077</v>
      </c>
      <c r="C2002" s="3" t="s">
        <v>5077</v>
      </c>
      <c r="D2002" s="3"/>
      <c r="E2002" s="3" t="s">
        <v>20</v>
      </c>
      <c r="F2002" s="3"/>
      <c r="G2002" s="3"/>
      <c r="H2002" s="3"/>
      <c r="I2002" s="3"/>
      <c r="J2002" s="3">
        <v>0</v>
      </c>
      <c r="K2002" s="3">
        <v>0</v>
      </c>
      <c r="L2002" s="3">
        <v>0</v>
      </c>
      <c r="M2002" s="3">
        <v>0</v>
      </c>
      <c r="N2002" s="3">
        <v>0</v>
      </c>
      <c r="O2002" s="3"/>
      <c r="P2002" s="3">
        <v>0</v>
      </c>
      <c r="Q2002" s="3">
        <v>0</v>
      </c>
      <c r="R2002" s="3">
        <v>0</v>
      </c>
    </row>
    <row r="2003" spans="1:18">
      <c r="A2003" s="3" t="s">
        <v>5078</v>
      </c>
      <c r="B2003" s="3" t="s">
        <v>5079</v>
      </c>
      <c r="C2003" s="3" t="s">
        <v>5079</v>
      </c>
      <c r="D2003" s="3"/>
      <c r="E2003" s="3" t="s">
        <v>20</v>
      </c>
      <c r="F2003" s="3"/>
      <c r="G2003" s="3"/>
      <c r="H2003" s="3"/>
      <c r="I2003" s="3"/>
      <c r="J2003" s="3">
        <v>0</v>
      </c>
      <c r="K2003" s="3">
        <v>0</v>
      </c>
      <c r="L2003" s="3">
        <v>0</v>
      </c>
      <c r="M2003" s="3">
        <v>0</v>
      </c>
      <c r="N2003" s="3">
        <v>0</v>
      </c>
      <c r="O2003" s="3"/>
      <c r="P2003" s="3">
        <v>0</v>
      </c>
      <c r="Q2003" s="3">
        <v>0</v>
      </c>
      <c r="R2003" s="3">
        <v>0</v>
      </c>
    </row>
    <row r="2004" spans="1:18">
      <c r="A2004" s="3" t="s">
        <v>5080</v>
      </c>
      <c r="B2004" s="3" t="s">
        <v>4782</v>
      </c>
      <c r="C2004" s="3" t="s">
        <v>4782</v>
      </c>
      <c r="D2004" s="3" t="s">
        <v>4905</v>
      </c>
      <c r="E2004" s="3" t="s">
        <v>120</v>
      </c>
      <c r="F2004" s="3">
        <v>22.98</v>
      </c>
      <c r="G2004" s="3" t="s">
        <v>121</v>
      </c>
      <c r="H2004" s="3"/>
      <c r="I2004" s="3" t="s">
        <v>122</v>
      </c>
      <c r="J2004" s="3">
        <v>23</v>
      </c>
      <c r="K2004" s="3">
        <v>23</v>
      </c>
      <c r="L2004" s="3">
        <v>0</v>
      </c>
      <c r="M2004" s="3">
        <v>0</v>
      </c>
      <c r="N2004" s="3">
        <v>23</v>
      </c>
      <c r="O2004" s="3">
        <v>0.07</v>
      </c>
      <c r="P2004" s="3">
        <v>0</v>
      </c>
      <c r="Q2004" s="3">
        <v>0</v>
      </c>
      <c r="R2004" s="3">
        <v>0</v>
      </c>
    </row>
    <row r="2005" spans="1:18">
      <c r="A2005" s="3" t="s">
        <v>5081</v>
      </c>
      <c r="B2005" s="3" t="s">
        <v>4784</v>
      </c>
      <c r="C2005" s="3" t="s">
        <v>4784</v>
      </c>
      <c r="D2005" s="3" t="s">
        <v>4908</v>
      </c>
      <c r="E2005" s="3" t="s">
        <v>120</v>
      </c>
      <c r="F2005" s="3">
        <v>22.98</v>
      </c>
      <c r="G2005" s="3" t="s">
        <v>121</v>
      </c>
      <c r="H2005" s="3"/>
      <c r="I2005" s="3" t="s">
        <v>122</v>
      </c>
      <c r="J2005" s="3">
        <v>23</v>
      </c>
      <c r="K2005" s="3">
        <v>23</v>
      </c>
      <c r="L2005" s="3">
        <v>0</v>
      </c>
      <c r="M2005" s="3">
        <v>0</v>
      </c>
      <c r="N2005" s="3">
        <v>23</v>
      </c>
      <c r="O2005" s="3">
        <v>0.07</v>
      </c>
      <c r="P2005" s="3">
        <v>0</v>
      </c>
      <c r="Q2005" s="3">
        <v>0</v>
      </c>
      <c r="R2005" s="3">
        <v>0</v>
      </c>
    </row>
    <row r="2006" spans="1:18">
      <c r="A2006" s="3" t="s">
        <v>5082</v>
      </c>
      <c r="B2006" s="3" t="s">
        <v>4786</v>
      </c>
      <c r="C2006" s="3" t="s">
        <v>4786</v>
      </c>
      <c r="D2006" s="3" t="s">
        <v>4911</v>
      </c>
      <c r="E2006" s="3" t="s">
        <v>120</v>
      </c>
      <c r="F2006" s="3">
        <v>22.98</v>
      </c>
      <c r="G2006" s="3" t="s">
        <v>121</v>
      </c>
      <c r="H2006" s="3"/>
      <c r="I2006" s="3" t="s">
        <v>122</v>
      </c>
      <c r="J2006" s="3">
        <v>15</v>
      </c>
      <c r="K2006" s="3">
        <v>15</v>
      </c>
      <c r="L2006" s="3">
        <v>0</v>
      </c>
      <c r="M2006" s="3">
        <v>0</v>
      </c>
      <c r="N2006" s="3">
        <v>15</v>
      </c>
      <c r="O2006" s="3">
        <v>0.07</v>
      </c>
      <c r="P2006" s="3">
        <v>0</v>
      </c>
      <c r="Q2006" s="3">
        <v>0</v>
      </c>
      <c r="R2006" s="3">
        <v>0</v>
      </c>
    </row>
    <row r="2007" spans="1:18">
      <c r="A2007" s="3" t="s">
        <v>5083</v>
      </c>
      <c r="B2007" s="3" t="s">
        <v>4788</v>
      </c>
      <c r="C2007" s="3" t="s">
        <v>4788</v>
      </c>
      <c r="D2007" s="3" t="s">
        <v>4914</v>
      </c>
      <c r="E2007" s="3" t="s">
        <v>120</v>
      </c>
      <c r="F2007" s="3">
        <v>22.98</v>
      </c>
      <c r="G2007" s="3" t="s">
        <v>121</v>
      </c>
      <c r="H2007" s="3"/>
      <c r="I2007" s="3" t="s">
        <v>122</v>
      </c>
      <c r="J2007" s="3">
        <v>9</v>
      </c>
      <c r="K2007" s="3">
        <v>9</v>
      </c>
      <c r="L2007" s="3">
        <v>0</v>
      </c>
      <c r="M2007" s="3">
        <v>0</v>
      </c>
      <c r="N2007" s="3">
        <v>9</v>
      </c>
      <c r="O2007" s="3">
        <v>0.07</v>
      </c>
      <c r="P2007" s="3">
        <v>0</v>
      </c>
      <c r="Q2007" s="3">
        <v>0</v>
      </c>
      <c r="R2007" s="3">
        <v>0</v>
      </c>
    </row>
    <row r="2008" spans="1:18">
      <c r="A2008" s="3" t="s">
        <v>5084</v>
      </c>
      <c r="B2008" s="3" t="s">
        <v>4790</v>
      </c>
      <c r="C2008" s="3" t="s">
        <v>4790</v>
      </c>
      <c r="D2008" s="3" t="s">
        <v>4917</v>
      </c>
      <c r="E2008" s="3" t="s">
        <v>120</v>
      </c>
      <c r="F2008" s="3">
        <v>22.98</v>
      </c>
      <c r="G2008" s="3" t="s">
        <v>121</v>
      </c>
      <c r="H2008" s="3"/>
      <c r="I2008" s="3" t="s">
        <v>122</v>
      </c>
      <c r="J2008" s="3">
        <v>17</v>
      </c>
      <c r="K2008" s="3">
        <v>16</v>
      </c>
      <c r="L2008" s="3">
        <v>0</v>
      </c>
      <c r="M2008" s="3">
        <v>1</v>
      </c>
      <c r="N2008" s="3">
        <v>17</v>
      </c>
      <c r="O2008" s="3">
        <v>0.07</v>
      </c>
      <c r="P2008" s="3">
        <v>0</v>
      </c>
      <c r="Q2008" s="3">
        <v>0</v>
      </c>
      <c r="R2008" s="3">
        <v>0</v>
      </c>
    </row>
    <row r="2009" spans="1:18">
      <c r="A2009" s="3" t="s">
        <v>5085</v>
      </c>
      <c r="B2009" s="3" t="s">
        <v>4771</v>
      </c>
      <c r="C2009" s="3" t="s">
        <v>4771</v>
      </c>
      <c r="D2009" s="3" t="s">
        <v>4891</v>
      </c>
      <c r="E2009" s="3" t="s">
        <v>120</v>
      </c>
      <c r="F2009" s="3">
        <v>22.98</v>
      </c>
      <c r="G2009" s="3" t="s">
        <v>121</v>
      </c>
      <c r="H2009" s="3"/>
      <c r="I2009" s="3" t="s">
        <v>122</v>
      </c>
      <c r="J2009" s="3">
        <v>32</v>
      </c>
      <c r="K2009" s="3">
        <v>32</v>
      </c>
      <c r="L2009" s="3">
        <v>0</v>
      </c>
      <c r="M2009" s="3">
        <v>0</v>
      </c>
      <c r="N2009" s="3">
        <v>32</v>
      </c>
      <c r="O2009" s="3">
        <v>0.07</v>
      </c>
      <c r="P2009" s="3">
        <v>0</v>
      </c>
      <c r="Q2009" s="3">
        <v>0</v>
      </c>
      <c r="R2009" s="3">
        <v>0</v>
      </c>
    </row>
    <row r="2010" spans="1:18">
      <c r="A2010" s="3" t="s">
        <v>5086</v>
      </c>
      <c r="B2010" s="3" t="s">
        <v>4773</v>
      </c>
      <c r="C2010" s="3" t="s">
        <v>4773</v>
      </c>
      <c r="D2010" s="3" t="s">
        <v>4894</v>
      </c>
      <c r="E2010" s="3" t="s">
        <v>120</v>
      </c>
      <c r="F2010" s="3">
        <v>22.98</v>
      </c>
      <c r="G2010" s="3" t="s">
        <v>121</v>
      </c>
      <c r="H2010" s="3"/>
      <c r="I2010" s="3" t="s">
        <v>122</v>
      </c>
      <c r="J2010" s="3">
        <v>19</v>
      </c>
      <c r="K2010" s="3">
        <v>19</v>
      </c>
      <c r="L2010" s="3">
        <v>0</v>
      </c>
      <c r="M2010" s="3">
        <v>0</v>
      </c>
      <c r="N2010" s="3">
        <v>19</v>
      </c>
      <c r="O2010" s="3">
        <v>0.07</v>
      </c>
      <c r="P2010" s="3">
        <v>0</v>
      </c>
      <c r="Q2010" s="3">
        <v>0</v>
      </c>
      <c r="R2010" s="3">
        <v>0</v>
      </c>
    </row>
    <row r="2011" spans="1:18">
      <c r="A2011" s="3" t="s">
        <v>5087</v>
      </c>
      <c r="B2011" s="3" t="s">
        <v>4775</v>
      </c>
      <c r="C2011" s="3" t="s">
        <v>4775</v>
      </c>
      <c r="D2011" s="3" t="s">
        <v>4897</v>
      </c>
      <c r="E2011" s="3" t="s">
        <v>120</v>
      </c>
      <c r="F2011" s="3">
        <v>22.98</v>
      </c>
      <c r="G2011" s="3" t="s">
        <v>121</v>
      </c>
      <c r="H2011" s="3"/>
      <c r="I2011" s="3" t="s">
        <v>122</v>
      </c>
      <c r="J2011" s="3">
        <v>12</v>
      </c>
      <c r="K2011" s="3">
        <v>12</v>
      </c>
      <c r="L2011" s="3">
        <v>0</v>
      </c>
      <c r="M2011" s="3">
        <v>0</v>
      </c>
      <c r="N2011" s="3">
        <v>12</v>
      </c>
      <c r="O2011" s="3">
        <v>0.07</v>
      </c>
      <c r="P2011" s="3">
        <v>0</v>
      </c>
      <c r="Q2011" s="3">
        <v>0</v>
      </c>
      <c r="R2011" s="3">
        <v>0</v>
      </c>
    </row>
    <row r="2012" spans="1:18">
      <c r="A2012" s="3" t="s">
        <v>5088</v>
      </c>
      <c r="B2012" s="3" t="s">
        <v>4777</v>
      </c>
      <c r="C2012" s="3" t="s">
        <v>4777</v>
      </c>
      <c r="D2012" s="3" t="s">
        <v>4900</v>
      </c>
      <c r="E2012" s="3" t="s">
        <v>120</v>
      </c>
      <c r="F2012" s="3">
        <v>22.98</v>
      </c>
      <c r="G2012" s="3" t="s">
        <v>121</v>
      </c>
      <c r="H2012" s="3"/>
      <c r="I2012" s="3" t="s">
        <v>122</v>
      </c>
      <c r="J2012" s="3">
        <v>6</v>
      </c>
      <c r="K2012" s="3">
        <v>6</v>
      </c>
      <c r="L2012" s="3">
        <v>0</v>
      </c>
      <c r="M2012" s="3">
        <v>0</v>
      </c>
      <c r="N2012" s="3">
        <v>6</v>
      </c>
      <c r="O2012" s="3">
        <v>0.07</v>
      </c>
      <c r="P2012" s="3">
        <v>0</v>
      </c>
      <c r="Q2012" s="3">
        <v>0</v>
      </c>
      <c r="R2012" s="3">
        <v>0</v>
      </c>
    </row>
    <row r="2013" spans="1:18">
      <c r="A2013" s="3" t="s">
        <v>5089</v>
      </c>
      <c r="B2013" s="3" t="s">
        <v>4779</v>
      </c>
      <c r="C2013" s="3" t="s">
        <v>4779</v>
      </c>
      <c r="D2013" s="3" t="s">
        <v>4780</v>
      </c>
      <c r="E2013" s="3" t="s">
        <v>120</v>
      </c>
      <c r="F2013" s="3">
        <v>22.98</v>
      </c>
      <c r="G2013" s="3" t="s">
        <v>121</v>
      </c>
      <c r="H2013" s="3"/>
      <c r="I2013" s="3" t="s">
        <v>122</v>
      </c>
      <c r="J2013" s="3">
        <v>23</v>
      </c>
      <c r="K2013" s="3">
        <v>23</v>
      </c>
      <c r="L2013" s="3">
        <v>0</v>
      </c>
      <c r="M2013" s="3">
        <v>0</v>
      </c>
      <c r="N2013" s="3">
        <v>23</v>
      </c>
      <c r="O2013" s="3">
        <v>0.07</v>
      </c>
      <c r="P2013" s="3">
        <v>0</v>
      </c>
      <c r="Q2013" s="3">
        <v>0</v>
      </c>
      <c r="R2013" s="3">
        <v>0</v>
      </c>
    </row>
    <row r="2014" spans="1:18">
      <c r="A2014" s="3" t="s">
        <v>5090</v>
      </c>
      <c r="B2014" s="3" t="s">
        <v>4807</v>
      </c>
      <c r="C2014" s="3" t="s">
        <v>4807</v>
      </c>
      <c r="D2014" s="3" t="s">
        <v>4931</v>
      </c>
      <c r="E2014" s="3" t="s">
        <v>120</v>
      </c>
      <c r="F2014" s="3">
        <v>22.98</v>
      </c>
      <c r="G2014" s="3" t="s">
        <v>121</v>
      </c>
      <c r="H2014" s="3"/>
      <c r="I2014" s="3" t="s">
        <v>122</v>
      </c>
      <c r="J2014" s="3">
        <v>7</v>
      </c>
      <c r="K2014" s="3">
        <v>7</v>
      </c>
      <c r="L2014" s="3">
        <v>0</v>
      </c>
      <c r="M2014" s="3">
        <v>0</v>
      </c>
      <c r="N2014" s="3">
        <v>7</v>
      </c>
      <c r="O2014" s="3">
        <v>0.07</v>
      </c>
      <c r="P2014" s="3">
        <v>0</v>
      </c>
      <c r="Q2014" s="3">
        <v>0</v>
      </c>
      <c r="R2014" s="3">
        <v>0</v>
      </c>
    </row>
    <row r="2015" spans="1:18">
      <c r="A2015" s="3" t="s">
        <v>5091</v>
      </c>
      <c r="B2015" s="3" t="s">
        <v>4809</v>
      </c>
      <c r="C2015" s="3" t="s">
        <v>4809</v>
      </c>
      <c r="D2015" s="3" t="s">
        <v>4934</v>
      </c>
      <c r="E2015" s="3" t="s">
        <v>120</v>
      </c>
      <c r="F2015" s="3">
        <v>22.98</v>
      </c>
      <c r="G2015" s="3" t="s">
        <v>121</v>
      </c>
      <c r="H2015" s="3"/>
      <c r="I2015" s="3" t="s">
        <v>122</v>
      </c>
      <c r="J2015" s="3">
        <v>11</v>
      </c>
      <c r="K2015" s="3">
        <v>11</v>
      </c>
      <c r="L2015" s="3">
        <v>0</v>
      </c>
      <c r="M2015" s="3">
        <v>0</v>
      </c>
      <c r="N2015" s="3">
        <v>11</v>
      </c>
      <c r="O2015" s="3">
        <v>0.07</v>
      </c>
      <c r="P2015" s="3">
        <v>0</v>
      </c>
      <c r="Q2015" s="3">
        <v>0</v>
      </c>
      <c r="R2015" s="3">
        <v>0</v>
      </c>
    </row>
    <row r="2016" spans="1:18">
      <c r="A2016" s="3" t="s">
        <v>5092</v>
      </c>
      <c r="B2016" s="3" t="s">
        <v>4811</v>
      </c>
      <c r="C2016" s="3" t="s">
        <v>4811</v>
      </c>
      <c r="D2016" s="3" t="s">
        <v>4937</v>
      </c>
      <c r="E2016" s="3" t="s">
        <v>120</v>
      </c>
      <c r="F2016" s="3">
        <v>22.98</v>
      </c>
      <c r="G2016" s="3" t="s">
        <v>121</v>
      </c>
      <c r="H2016" s="3"/>
      <c r="I2016" s="3" t="s">
        <v>122</v>
      </c>
      <c r="J2016" s="3">
        <v>18</v>
      </c>
      <c r="K2016" s="3">
        <v>17</v>
      </c>
      <c r="L2016" s="3">
        <v>0</v>
      </c>
      <c r="M2016" s="3">
        <v>1</v>
      </c>
      <c r="N2016" s="3">
        <v>18</v>
      </c>
      <c r="O2016" s="3">
        <v>0.07</v>
      </c>
      <c r="P2016" s="3">
        <v>0</v>
      </c>
      <c r="Q2016" s="3">
        <v>0</v>
      </c>
      <c r="R2016" s="3">
        <v>0</v>
      </c>
    </row>
    <row r="2017" spans="1:18">
      <c r="A2017" s="3" t="s">
        <v>5093</v>
      </c>
      <c r="B2017" s="3" t="s">
        <v>4813</v>
      </c>
      <c r="C2017" s="3" t="s">
        <v>4813</v>
      </c>
      <c r="D2017" s="3" t="s">
        <v>4940</v>
      </c>
      <c r="E2017" s="3" t="s">
        <v>120</v>
      </c>
      <c r="F2017" s="3">
        <v>22.98</v>
      </c>
      <c r="G2017" s="3" t="s">
        <v>121</v>
      </c>
      <c r="H2017" s="3"/>
      <c r="I2017" s="3" t="s">
        <v>122</v>
      </c>
      <c r="J2017" s="3">
        <v>5</v>
      </c>
      <c r="K2017" s="3">
        <v>5</v>
      </c>
      <c r="L2017" s="3">
        <v>0</v>
      </c>
      <c r="M2017" s="3">
        <v>0</v>
      </c>
      <c r="N2017" s="3">
        <v>5</v>
      </c>
      <c r="O2017" s="3">
        <v>0.07</v>
      </c>
      <c r="P2017" s="3">
        <v>0</v>
      </c>
      <c r="Q2017" s="3">
        <v>0</v>
      </c>
      <c r="R2017" s="3">
        <v>0</v>
      </c>
    </row>
    <row r="2018" spans="1:18">
      <c r="A2018" s="3" t="s">
        <v>5094</v>
      </c>
      <c r="B2018" s="3" t="s">
        <v>4815</v>
      </c>
      <c r="C2018" s="3" t="s">
        <v>4815</v>
      </c>
      <c r="D2018" s="3" t="s">
        <v>4943</v>
      </c>
      <c r="E2018" s="3" t="s">
        <v>120</v>
      </c>
      <c r="F2018" s="3">
        <v>22.98</v>
      </c>
      <c r="G2018" s="3" t="s">
        <v>121</v>
      </c>
      <c r="H2018" s="3"/>
      <c r="I2018" s="3" t="s">
        <v>122</v>
      </c>
      <c r="J2018" s="3">
        <v>8</v>
      </c>
      <c r="K2018" s="3">
        <v>8</v>
      </c>
      <c r="L2018" s="3">
        <v>0</v>
      </c>
      <c r="M2018" s="3">
        <v>0</v>
      </c>
      <c r="N2018" s="3">
        <v>8</v>
      </c>
      <c r="O2018" s="3">
        <v>0.07</v>
      </c>
      <c r="P2018" s="3">
        <v>0</v>
      </c>
      <c r="Q2018" s="3">
        <v>0</v>
      </c>
      <c r="R2018" s="3">
        <v>0</v>
      </c>
    </row>
    <row r="2019" spans="1:18">
      <c r="A2019" s="3" t="s">
        <v>5095</v>
      </c>
      <c r="B2019" s="3" t="s">
        <v>4817</v>
      </c>
      <c r="C2019" s="3" t="s">
        <v>4817</v>
      </c>
      <c r="D2019" s="3" t="s">
        <v>4946</v>
      </c>
      <c r="E2019" s="3" t="s">
        <v>120</v>
      </c>
      <c r="F2019" s="3">
        <v>22.98</v>
      </c>
      <c r="G2019" s="3" t="s">
        <v>121</v>
      </c>
      <c r="H2019" s="3"/>
      <c r="I2019" s="3" t="s">
        <v>122</v>
      </c>
      <c r="J2019" s="3">
        <v>13</v>
      </c>
      <c r="K2019" s="3">
        <v>13</v>
      </c>
      <c r="L2019" s="3">
        <v>0</v>
      </c>
      <c r="M2019" s="3">
        <v>0</v>
      </c>
      <c r="N2019" s="3">
        <v>13</v>
      </c>
      <c r="O2019" s="3">
        <v>0.07</v>
      </c>
      <c r="P2019" s="3">
        <v>0</v>
      </c>
      <c r="Q2019" s="3">
        <v>0</v>
      </c>
      <c r="R2019" s="3">
        <v>0</v>
      </c>
    </row>
    <row r="2020" spans="1:18">
      <c r="A2020" s="3" t="s">
        <v>5096</v>
      </c>
      <c r="B2020" s="3" t="s">
        <v>4819</v>
      </c>
      <c r="C2020" s="3" t="s">
        <v>4819</v>
      </c>
      <c r="D2020" s="3" t="s">
        <v>4949</v>
      </c>
      <c r="E2020" s="3" t="s">
        <v>120</v>
      </c>
      <c r="F2020" s="3">
        <v>22.98</v>
      </c>
      <c r="G2020" s="3" t="s">
        <v>121</v>
      </c>
      <c r="H2020" s="3"/>
      <c r="I2020" s="3" t="s">
        <v>122</v>
      </c>
      <c r="J2020" s="3">
        <v>19</v>
      </c>
      <c r="K2020" s="3">
        <v>19</v>
      </c>
      <c r="L2020" s="3">
        <v>0</v>
      </c>
      <c r="M2020" s="3">
        <v>0</v>
      </c>
      <c r="N2020" s="3">
        <v>19</v>
      </c>
      <c r="O2020" s="3">
        <v>0.07</v>
      </c>
      <c r="P2020" s="3">
        <v>0</v>
      </c>
      <c r="Q2020" s="3">
        <v>0</v>
      </c>
      <c r="R2020" s="3">
        <v>0</v>
      </c>
    </row>
    <row r="2021" spans="1:18">
      <c r="A2021" s="3" t="s">
        <v>5097</v>
      </c>
      <c r="B2021" s="3" t="s">
        <v>4821</v>
      </c>
      <c r="C2021" s="3" t="s">
        <v>4821</v>
      </c>
      <c r="D2021" s="3" t="s">
        <v>4952</v>
      </c>
      <c r="E2021" s="3" t="s">
        <v>120</v>
      </c>
      <c r="F2021" s="3">
        <v>22.98</v>
      </c>
      <c r="G2021" s="3" t="s">
        <v>121</v>
      </c>
      <c r="H2021" s="3"/>
      <c r="I2021" s="3" t="s">
        <v>122</v>
      </c>
      <c r="J2021" s="3">
        <v>7</v>
      </c>
      <c r="K2021" s="3">
        <v>7</v>
      </c>
      <c r="L2021" s="3">
        <v>0</v>
      </c>
      <c r="M2021" s="3">
        <v>0</v>
      </c>
      <c r="N2021" s="3">
        <v>7</v>
      </c>
      <c r="O2021" s="3">
        <v>0.07</v>
      </c>
      <c r="P2021" s="3">
        <v>0</v>
      </c>
      <c r="Q2021" s="3">
        <v>0</v>
      </c>
      <c r="R2021" s="3">
        <v>0</v>
      </c>
    </row>
    <row r="2022" spans="1:18">
      <c r="A2022" s="3" t="s">
        <v>5098</v>
      </c>
      <c r="B2022" s="3" t="s">
        <v>4823</v>
      </c>
      <c r="C2022" s="3" t="s">
        <v>4823</v>
      </c>
      <c r="D2022" s="3" t="s">
        <v>4955</v>
      </c>
      <c r="E2022" s="3" t="s">
        <v>120</v>
      </c>
      <c r="F2022" s="3">
        <v>22.98</v>
      </c>
      <c r="G2022" s="3" t="s">
        <v>121</v>
      </c>
      <c r="H2022" s="3"/>
      <c r="I2022" s="3" t="s">
        <v>122</v>
      </c>
      <c r="J2022" s="3">
        <v>8</v>
      </c>
      <c r="K2022" s="3">
        <v>8</v>
      </c>
      <c r="L2022" s="3">
        <v>0</v>
      </c>
      <c r="M2022" s="3">
        <v>0</v>
      </c>
      <c r="N2022" s="3">
        <v>8</v>
      </c>
      <c r="O2022" s="3">
        <v>0.07</v>
      </c>
      <c r="P2022" s="3">
        <v>0</v>
      </c>
      <c r="Q2022" s="3">
        <v>0</v>
      </c>
      <c r="R2022" s="3">
        <v>0</v>
      </c>
    </row>
    <row r="2023" spans="1:18">
      <c r="A2023" s="3" t="s">
        <v>5099</v>
      </c>
      <c r="B2023" s="3" t="s">
        <v>4825</v>
      </c>
      <c r="C2023" s="3" t="s">
        <v>4825</v>
      </c>
      <c r="D2023" s="3" t="s">
        <v>4958</v>
      </c>
      <c r="E2023" s="3" t="s">
        <v>120</v>
      </c>
      <c r="F2023" s="3">
        <v>22.98</v>
      </c>
      <c r="G2023" s="3" t="s">
        <v>121</v>
      </c>
      <c r="H2023" s="3"/>
      <c r="I2023" s="3" t="s">
        <v>122</v>
      </c>
      <c r="J2023" s="3">
        <v>21</v>
      </c>
      <c r="K2023" s="3">
        <v>21</v>
      </c>
      <c r="L2023" s="3">
        <v>0</v>
      </c>
      <c r="M2023" s="3">
        <v>0</v>
      </c>
      <c r="N2023" s="3">
        <v>21</v>
      </c>
      <c r="O2023" s="3">
        <v>0.07</v>
      </c>
      <c r="P2023" s="3">
        <v>0</v>
      </c>
      <c r="Q2023" s="3">
        <v>0</v>
      </c>
      <c r="R2023" s="3">
        <v>0</v>
      </c>
    </row>
    <row r="2024" spans="1:18">
      <c r="A2024" s="3" t="s">
        <v>5100</v>
      </c>
      <c r="B2024" s="3" t="s">
        <v>5101</v>
      </c>
      <c r="C2024" s="3" t="s">
        <v>5101</v>
      </c>
      <c r="D2024" s="3" t="s">
        <v>5102</v>
      </c>
      <c r="E2024" s="3" t="s">
        <v>120</v>
      </c>
      <c r="F2024" s="3">
        <v>49.98</v>
      </c>
      <c r="G2024" s="3" t="s">
        <v>121</v>
      </c>
      <c r="H2024" s="3"/>
      <c r="I2024" s="3" t="s">
        <v>122</v>
      </c>
      <c r="J2024" s="3">
        <v>7</v>
      </c>
      <c r="K2024" s="3">
        <v>7</v>
      </c>
      <c r="L2024" s="3">
        <v>0</v>
      </c>
      <c r="M2024" s="3">
        <v>0</v>
      </c>
      <c r="N2024" s="3">
        <v>7</v>
      </c>
      <c r="O2024" s="3">
        <v>0.27</v>
      </c>
      <c r="P2024" s="3">
        <v>0</v>
      </c>
      <c r="Q2024" s="3">
        <v>0</v>
      </c>
      <c r="R2024" s="3">
        <v>0</v>
      </c>
    </row>
    <row r="2025" spans="1:18">
      <c r="A2025" s="3" t="s">
        <v>5103</v>
      </c>
      <c r="B2025" s="3" t="s">
        <v>5104</v>
      </c>
      <c r="C2025" s="3" t="s">
        <v>5104</v>
      </c>
      <c r="D2025" s="3" t="s">
        <v>5105</v>
      </c>
      <c r="E2025" s="3" t="s">
        <v>120</v>
      </c>
      <c r="F2025" s="3">
        <v>49.98</v>
      </c>
      <c r="G2025" s="3" t="s">
        <v>121</v>
      </c>
      <c r="H2025" s="3"/>
      <c r="I2025" s="3" t="s">
        <v>122</v>
      </c>
      <c r="J2025" s="3">
        <v>9</v>
      </c>
      <c r="K2025" s="3">
        <v>9</v>
      </c>
      <c r="L2025" s="3">
        <v>0</v>
      </c>
      <c r="M2025" s="3">
        <v>0</v>
      </c>
      <c r="N2025" s="3">
        <v>9</v>
      </c>
      <c r="O2025" s="3">
        <v>0.27</v>
      </c>
      <c r="P2025" s="3">
        <v>0</v>
      </c>
      <c r="Q2025" s="3">
        <v>0</v>
      </c>
      <c r="R2025" s="3">
        <v>0</v>
      </c>
    </row>
    <row r="2026" spans="1:18">
      <c r="A2026" s="3" t="s">
        <v>5106</v>
      </c>
      <c r="B2026" s="3" t="s">
        <v>5107</v>
      </c>
      <c r="C2026" s="3" t="s">
        <v>5107</v>
      </c>
      <c r="D2026" s="3" t="s">
        <v>5108</v>
      </c>
      <c r="E2026" s="3" t="s">
        <v>120</v>
      </c>
      <c r="F2026" s="3">
        <v>49.98</v>
      </c>
      <c r="G2026" s="3" t="s">
        <v>121</v>
      </c>
      <c r="H2026" s="3"/>
      <c r="I2026" s="3" t="s">
        <v>122</v>
      </c>
      <c r="J2026" s="3">
        <v>2</v>
      </c>
      <c r="K2026" s="3">
        <v>2</v>
      </c>
      <c r="L2026" s="3">
        <v>0</v>
      </c>
      <c r="M2026" s="3">
        <v>0</v>
      </c>
      <c r="N2026" s="3">
        <v>2</v>
      </c>
      <c r="O2026" s="3">
        <v>0.27</v>
      </c>
      <c r="P2026" s="3">
        <v>0</v>
      </c>
      <c r="Q2026" s="3">
        <v>0</v>
      </c>
      <c r="R2026" s="3">
        <v>0</v>
      </c>
    </row>
    <row r="2027" spans="1:18">
      <c r="A2027" s="3" t="s">
        <v>5109</v>
      </c>
      <c r="B2027" s="3" t="s">
        <v>5110</v>
      </c>
      <c r="C2027" s="3" t="s">
        <v>5110</v>
      </c>
      <c r="D2027" s="3" t="s">
        <v>5111</v>
      </c>
      <c r="E2027" s="3" t="s">
        <v>120</v>
      </c>
      <c r="F2027" s="3">
        <v>49.98</v>
      </c>
      <c r="G2027" s="3" t="s">
        <v>121</v>
      </c>
      <c r="H2027" s="3"/>
      <c r="I2027" s="3" t="s">
        <v>122</v>
      </c>
      <c r="J2027" s="3">
        <v>10</v>
      </c>
      <c r="K2027" s="3">
        <v>10</v>
      </c>
      <c r="L2027" s="3">
        <v>0</v>
      </c>
      <c r="M2027" s="3">
        <v>0</v>
      </c>
      <c r="N2027" s="3">
        <v>10</v>
      </c>
      <c r="O2027" s="3">
        <v>0.27</v>
      </c>
      <c r="P2027" s="3">
        <v>0</v>
      </c>
      <c r="Q2027" s="3">
        <v>0</v>
      </c>
      <c r="R2027" s="3">
        <v>0</v>
      </c>
    </row>
    <row r="2028" spans="1:18">
      <c r="A2028" s="3" t="s">
        <v>5112</v>
      </c>
      <c r="B2028" s="3" t="s">
        <v>5113</v>
      </c>
      <c r="C2028" s="3" t="s">
        <v>5113</v>
      </c>
      <c r="D2028" s="3" t="s">
        <v>5114</v>
      </c>
      <c r="E2028" s="3" t="s">
        <v>120</v>
      </c>
      <c r="F2028" s="3">
        <v>49.98</v>
      </c>
      <c r="G2028" s="3" t="s">
        <v>121</v>
      </c>
      <c r="H2028" s="3"/>
      <c r="I2028" s="3" t="s">
        <v>122</v>
      </c>
      <c r="J2028" s="3">
        <v>8</v>
      </c>
      <c r="K2028" s="3">
        <v>8</v>
      </c>
      <c r="L2028" s="3">
        <v>0</v>
      </c>
      <c r="M2028" s="3">
        <v>0</v>
      </c>
      <c r="N2028" s="3">
        <v>8</v>
      </c>
      <c r="O2028" s="3">
        <v>0.27</v>
      </c>
      <c r="P2028" s="3">
        <v>0</v>
      </c>
      <c r="Q2028" s="3">
        <v>0</v>
      </c>
      <c r="R2028" s="3">
        <v>0</v>
      </c>
    </row>
    <row r="2029" spans="1:18">
      <c r="A2029" s="3" t="s">
        <v>5115</v>
      </c>
      <c r="B2029" s="3" t="s">
        <v>5116</v>
      </c>
      <c r="C2029" s="3" t="s">
        <v>5116</v>
      </c>
      <c r="D2029" s="3" t="s">
        <v>5117</v>
      </c>
      <c r="E2029" s="3" t="s">
        <v>120</v>
      </c>
      <c r="F2029" s="3">
        <v>49.98</v>
      </c>
      <c r="G2029" s="3" t="s">
        <v>121</v>
      </c>
      <c r="H2029" s="3"/>
      <c r="I2029" s="3" t="s">
        <v>122</v>
      </c>
      <c r="J2029" s="3">
        <v>9</v>
      </c>
      <c r="K2029" s="3">
        <v>9</v>
      </c>
      <c r="L2029" s="3">
        <v>0</v>
      </c>
      <c r="M2029" s="3">
        <v>0</v>
      </c>
      <c r="N2029" s="3">
        <v>9</v>
      </c>
      <c r="O2029" s="3">
        <v>0.29</v>
      </c>
      <c r="P2029" s="3">
        <v>0</v>
      </c>
      <c r="Q2029" s="3">
        <v>0</v>
      </c>
      <c r="R2029" s="3">
        <v>0</v>
      </c>
    </row>
    <row r="2030" spans="1:18">
      <c r="A2030" s="3" t="s">
        <v>5118</v>
      </c>
      <c r="B2030" s="3" t="s">
        <v>5119</v>
      </c>
      <c r="C2030" s="3" t="s">
        <v>5119</v>
      </c>
      <c r="D2030" s="3" t="s">
        <v>5120</v>
      </c>
      <c r="E2030" s="3" t="s">
        <v>120</v>
      </c>
      <c r="F2030" s="3">
        <v>49.98</v>
      </c>
      <c r="G2030" s="3" t="s">
        <v>121</v>
      </c>
      <c r="H2030" s="3"/>
      <c r="I2030" s="3" t="s">
        <v>122</v>
      </c>
      <c r="J2030" s="3">
        <v>6</v>
      </c>
      <c r="K2030" s="3">
        <v>6</v>
      </c>
      <c r="L2030" s="3">
        <v>0</v>
      </c>
      <c r="M2030" s="3">
        <v>0</v>
      </c>
      <c r="N2030" s="3">
        <v>6</v>
      </c>
      <c r="O2030" s="3">
        <v>0.25</v>
      </c>
      <c r="P2030" s="3">
        <v>0</v>
      </c>
      <c r="Q2030" s="3">
        <v>0</v>
      </c>
      <c r="R2030" s="3">
        <v>0</v>
      </c>
    </row>
    <row r="2031" spans="1:18">
      <c r="A2031" s="3" t="s">
        <v>5121</v>
      </c>
      <c r="B2031" s="3" t="s">
        <v>5122</v>
      </c>
      <c r="C2031" s="3" t="s">
        <v>5122</v>
      </c>
      <c r="D2031" s="3" t="s">
        <v>5123</v>
      </c>
      <c r="E2031" s="3" t="s">
        <v>120</v>
      </c>
      <c r="F2031" s="3">
        <v>49.98</v>
      </c>
      <c r="G2031" s="3" t="s">
        <v>121</v>
      </c>
      <c r="H2031" s="3"/>
      <c r="I2031" s="3" t="s">
        <v>122</v>
      </c>
      <c r="J2031" s="3">
        <v>3</v>
      </c>
      <c r="K2031" s="3">
        <v>3</v>
      </c>
      <c r="L2031" s="3">
        <v>0</v>
      </c>
      <c r="M2031" s="3">
        <v>0</v>
      </c>
      <c r="N2031" s="3">
        <v>3</v>
      </c>
      <c r="O2031" s="3">
        <v>0.27</v>
      </c>
      <c r="P2031" s="3">
        <v>0</v>
      </c>
      <c r="Q2031" s="3">
        <v>0</v>
      </c>
      <c r="R2031" s="3">
        <v>0</v>
      </c>
    </row>
    <row r="2032" spans="1:18">
      <c r="A2032" s="3" t="s">
        <v>5124</v>
      </c>
      <c r="B2032" s="3" t="s">
        <v>5125</v>
      </c>
      <c r="C2032" s="3" t="s">
        <v>5125</v>
      </c>
      <c r="D2032" s="3" t="s">
        <v>5126</v>
      </c>
      <c r="E2032" s="3" t="s">
        <v>120</v>
      </c>
      <c r="F2032" s="3">
        <v>49.98</v>
      </c>
      <c r="G2032" s="3" t="s">
        <v>121</v>
      </c>
      <c r="H2032" s="3"/>
      <c r="I2032" s="3" t="s">
        <v>122</v>
      </c>
      <c r="J2032" s="3">
        <v>8</v>
      </c>
      <c r="K2032" s="3">
        <v>8</v>
      </c>
      <c r="L2032" s="3">
        <v>0</v>
      </c>
      <c r="M2032" s="3">
        <v>0</v>
      </c>
      <c r="N2032" s="3">
        <v>8</v>
      </c>
      <c r="O2032" s="3">
        <v>0.32</v>
      </c>
      <c r="P2032" s="3">
        <v>0</v>
      </c>
      <c r="Q2032" s="3">
        <v>0</v>
      </c>
      <c r="R2032" s="3">
        <v>0</v>
      </c>
    </row>
    <row r="2033" spans="1:18">
      <c r="A2033" s="3" t="s">
        <v>5127</v>
      </c>
      <c r="B2033" s="3" t="s">
        <v>5128</v>
      </c>
      <c r="C2033" s="3" t="s">
        <v>5128</v>
      </c>
      <c r="D2033" s="3" t="s">
        <v>5129</v>
      </c>
      <c r="E2033" s="3" t="s">
        <v>120</v>
      </c>
      <c r="F2033" s="3">
        <v>49.98</v>
      </c>
      <c r="G2033" s="3" t="s">
        <v>121</v>
      </c>
      <c r="H2033" s="3"/>
      <c r="I2033" s="3" t="s">
        <v>122</v>
      </c>
      <c r="J2033" s="3">
        <v>7</v>
      </c>
      <c r="K2033" s="3">
        <v>7</v>
      </c>
      <c r="L2033" s="3">
        <v>0</v>
      </c>
      <c r="M2033" s="3">
        <v>0</v>
      </c>
      <c r="N2033" s="3">
        <v>7</v>
      </c>
      <c r="O2033" s="3">
        <v>0.32</v>
      </c>
      <c r="P2033" s="3">
        <v>0</v>
      </c>
      <c r="Q2033" s="3">
        <v>0</v>
      </c>
      <c r="R2033" s="3">
        <v>0</v>
      </c>
    </row>
    <row r="2034" spans="1:18">
      <c r="A2034" s="3" t="s">
        <v>5130</v>
      </c>
      <c r="B2034" s="3" t="s">
        <v>5131</v>
      </c>
      <c r="C2034" s="3" t="s">
        <v>5131</v>
      </c>
      <c r="D2034" s="3" t="s">
        <v>5132</v>
      </c>
      <c r="E2034" s="3" t="s">
        <v>120</v>
      </c>
      <c r="F2034" s="3">
        <v>49.98</v>
      </c>
      <c r="G2034" s="3" t="s">
        <v>121</v>
      </c>
      <c r="H2034" s="3"/>
      <c r="I2034" s="3" t="s">
        <v>122</v>
      </c>
      <c r="J2034" s="3">
        <v>9</v>
      </c>
      <c r="K2034" s="3">
        <v>9</v>
      </c>
      <c r="L2034" s="3">
        <v>0</v>
      </c>
      <c r="M2034" s="3">
        <v>0</v>
      </c>
      <c r="N2034" s="3">
        <v>9</v>
      </c>
      <c r="O2034" s="3">
        <v>0.3</v>
      </c>
      <c r="P2034" s="3">
        <v>0</v>
      </c>
      <c r="Q2034" s="3">
        <v>0</v>
      </c>
      <c r="R2034" s="3">
        <v>0</v>
      </c>
    </row>
    <row r="2035" spans="1:18">
      <c r="A2035" s="3" t="s">
        <v>5133</v>
      </c>
      <c r="B2035" s="3" t="s">
        <v>5134</v>
      </c>
      <c r="C2035" s="3" t="s">
        <v>5134</v>
      </c>
      <c r="D2035" s="3" t="s">
        <v>5135</v>
      </c>
      <c r="E2035" s="3" t="s">
        <v>120</v>
      </c>
      <c r="F2035" s="3">
        <v>49.98</v>
      </c>
      <c r="G2035" s="3" t="s">
        <v>121</v>
      </c>
      <c r="H2035" s="3"/>
      <c r="I2035" s="3" t="s">
        <v>122</v>
      </c>
      <c r="J2035" s="3">
        <v>6</v>
      </c>
      <c r="K2035" s="3">
        <v>6</v>
      </c>
      <c r="L2035" s="3">
        <v>0</v>
      </c>
      <c r="M2035" s="3">
        <v>0</v>
      </c>
      <c r="N2035" s="3">
        <v>6</v>
      </c>
      <c r="O2035" s="3">
        <v>0.27</v>
      </c>
      <c r="P2035" s="3">
        <v>0</v>
      </c>
      <c r="Q2035" s="3">
        <v>0</v>
      </c>
      <c r="R2035" s="3">
        <v>0</v>
      </c>
    </row>
    <row r="2036" spans="1:18">
      <c r="A2036" s="3" t="s">
        <v>5136</v>
      </c>
      <c r="B2036" s="3" t="s">
        <v>5137</v>
      </c>
      <c r="C2036" s="3" t="s">
        <v>5137</v>
      </c>
      <c r="D2036" s="3" t="s">
        <v>5138</v>
      </c>
      <c r="E2036" s="3" t="s">
        <v>120</v>
      </c>
      <c r="F2036" s="3">
        <v>49.98</v>
      </c>
      <c r="G2036" s="3" t="s">
        <v>121</v>
      </c>
      <c r="H2036" s="3"/>
      <c r="I2036" s="3" t="s">
        <v>122</v>
      </c>
      <c r="J2036" s="3">
        <v>3</v>
      </c>
      <c r="K2036" s="3">
        <v>3</v>
      </c>
      <c r="L2036" s="3">
        <v>0</v>
      </c>
      <c r="M2036" s="3">
        <v>0</v>
      </c>
      <c r="N2036" s="3">
        <v>3</v>
      </c>
      <c r="O2036" s="3">
        <v>0.24</v>
      </c>
      <c r="P2036" s="3">
        <v>0</v>
      </c>
      <c r="Q2036" s="3">
        <v>0</v>
      </c>
      <c r="R2036" s="3">
        <v>0</v>
      </c>
    </row>
    <row r="2037" spans="1:18">
      <c r="A2037" s="3" t="s">
        <v>5139</v>
      </c>
      <c r="B2037" s="3" t="s">
        <v>5140</v>
      </c>
      <c r="C2037" s="3" t="s">
        <v>5140</v>
      </c>
      <c r="D2037" s="3" t="s">
        <v>5141</v>
      </c>
      <c r="E2037" s="3" t="s">
        <v>120</v>
      </c>
      <c r="F2037" s="3">
        <v>49.98</v>
      </c>
      <c r="G2037" s="3" t="s">
        <v>121</v>
      </c>
      <c r="H2037" s="3"/>
      <c r="I2037" s="3" t="s">
        <v>122</v>
      </c>
      <c r="J2037" s="3">
        <v>7</v>
      </c>
      <c r="K2037" s="3">
        <v>7</v>
      </c>
      <c r="L2037" s="3">
        <v>0</v>
      </c>
      <c r="M2037" s="3">
        <v>0</v>
      </c>
      <c r="N2037" s="3">
        <v>7</v>
      </c>
      <c r="O2037" s="3">
        <v>0.24</v>
      </c>
      <c r="P2037" s="3">
        <v>0</v>
      </c>
      <c r="Q2037" s="3">
        <v>0</v>
      </c>
      <c r="R2037" s="3">
        <v>0</v>
      </c>
    </row>
    <row r="2038" spans="1:18">
      <c r="A2038" s="3" t="s">
        <v>5142</v>
      </c>
      <c r="B2038" s="3" t="s">
        <v>5143</v>
      </c>
      <c r="C2038" s="3" t="s">
        <v>5143</v>
      </c>
      <c r="D2038" s="3" t="s">
        <v>5144</v>
      </c>
      <c r="E2038" s="3" t="s">
        <v>120</v>
      </c>
      <c r="F2038" s="3">
        <v>49.98</v>
      </c>
      <c r="G2038" s="3" t="s">
        <v>121</v>
      </c>
      <c r="H2038" s="3"/>
      <c r="I2038" s="3" t="s">
        <v>122</v>
      </c>
      <c r="J2038" s="3">
        <v>9</v>
      </c>
      <c r="K2038" s="3">
        <v>9</v>
      </c>
      <c r="L2038" s="3">
        <v>0</v>
      </c>
      <c r="M2038" s="3">
        <v>0</v>
      </c>
      <c r="N2038" s="3">
        <v>9</v>
      </c>
      <c r="O2038" s="3">
        <v>0.28</v>
      </c>
      <c r="P2038" s="3">
        <v>0</v>
      </c>
      <c r="Q2038" s="3">
        <v>0</v>
      </c>
      <c r="R2038" s="3">
        <v>0</v>
      </c>
    </row>
    <row r="2039" spans="1:18">
      <c r="A2039" s="3" t="s">
        <v>5145</v>
      </c>
      <c r="B2039" s="3" t="s">
        <v>5146</v>
      </c>
      <c r="C2039" s="3" t="s">
        <v>5146</v>
      </c>
      <c r="D2039" s="3" t="s">
        <v>5147</v>
      </c>
      <c r="E2039" s="3" t="s">
        <v>120</v>
      </c>
      <c r="F2039" s="3">
        <v>49.98</v>
      </c>
      <c r="G2039" s="3" t="s">
        <v>121</v>
      </c>
      <c r="H2039" s="3"/>
      <c r="I2039" s="3" t="s">
        <v>122</v>
      </c>
      <c r="J2039" s="3">
        <v>9</v>
      </c>
      <c r="K2039" s="3">
        <v>9</v>
      </c>
      <c r="L2039" s="3">
        <v>0</v>
      </c>
      <c r="M2039" s="3">
        <v>0</v>
      </c>
      <c r="N2039" s="3">
        <v>9</v>
      </c>
      <c r="O2039" s="3">
        <v>0.27</v>
      </c>
      <c r="P2039" s="3">
        <v>0</v>
      </c>
      <c r="Q2039" s="3">
        <v>0</v>
      </c>
      <c r="R2039" s="3">
        <v>0</v>
      </c>
    </row>
    <row r="2040" spans="1:18">
      <c r="A2040" s="3" t="s">
        <v>5148</v>
      </c>
      <c r="B2040" s="3" t="s">
        <v>5149</v>
      </c>
      <c r="C2040" s="3" t="s">
        <v>5149</v>
      </c>
      <c r="D2040" s="3" t="s">
        <v>5150</v>
      </c>
      <c r="E2040" s="3" t="s">
        <v>120</v>
      </c>
      <c r="F2040" s="3">
        <v>49.98</v>
      </c>
      <c r="G2040" s="3" t="s">
        <v>121</v>
      </c>
      <c r="H2040" s="3"/>
      <c r="I2040" s="3" t="s">
        <v>122</v>
      </c>
      <c r="J2040" s="3">
        <v>7</v>
      </c>
      <c r="K2040" s="3">
        <v>7</v>
      </c>
      <c r="L2040" s="3">
        <v>0</v>
      </c>
      <c r="M2040" s="3">
        <v>0</v>
      </c>
      <c r="N2040" s="3">
        <v>7</v>
      </c>
      <c r="O2040" s="3">
        <v>0.26</v>
      </c>
      <c r="P2040" s="3">
        <v>0</v>
      </c>
      <c r="Q2040" s="3">
        <v>0</v>
      </c>
      <c r="R2040" s="3">
        <v>0</v>
      </c>
    </row>
    <row r="2041" spans="1:18">
      <c r="A2041" s="3" t="s">
        <v>5151</v>
      </c>
      <c r="B2041" s="3" t="s">
        <v>5152</v>
      </c>
      <c r="C2041" s="3" t="s">
        <v>5152</v>
      </c>
      <c r="D2041" s="3" t="s">
        <v>5153</v>
      </c>
      <c r="E2041" s="3" t="s">
        <v>120</v>
      </c>
      <c r="F2041" s="3">
        <v>49.98</v>
      </c>
      <c r="G2041" s="3" t="s">
        <v>121</v>
      </c>
      <c r="H2041" s="3"/>
      <c r="I2041" s="3" t="s">
        <v>122</v>
      </c>
      <c r="J2041" s="3">
        <v>3</v>
      </c>
      <c r="K2041" s="3">
        <v>3</v>
      </c>
      <c r="L2041" s="3">
        <v>0</v>
      </c>
      <c r="M2041" s="3">
        <v>0</v>
      </c>
      <c r="N2041" s="3">
        <v>3</v>
      </c>
      <c r="O2041" s="3">
        <v>0.24</v>
      </c>
      <c r="P2041" s="3">
        <v>0</v>
      </c>
      <c r="Q2041" s="3">
        <v>0</v>
      </c>
      <c r="R2041" s="3">
        <v>0</v>
      </c>
    </row>
    <row r="2042" spans="1:18">
      <c r="A2042" s="3" t="s">
        <v>5154</v>
      </c>
      <c r="B2042" s="3" t="s">
        <v>5155</v>
      </c>
      <c r="C2042" s="3" t="s">
        <v>5155</v>
      </c>
      <c r="D2042" s="3" t="s">
        <v>5156</v>
      </c>
      <c r="E2042" s="3" t="s">
        <v>120</v>
      </c>
      <c r="F2042" s="3">
        <v>49.98</v>
      </c>
      <c r="G2042" s="3" t="s">
        <v>121</v>
      </c>
      <c r="H2042" s="3"/>
      <c r="I2042" s="3" t="s">
        <v>122</v>
      </c>
      <c r="J2042" s="3">
        <v>9</v>
      </c>
      <c r="K2042" s="3">
        <v>9</v>
      </c>
      <c r="L2042" s="3">
        <v>0</v>
      </c>
      <c r="M2042" s="3">
        <v>0</v>
      </c>
      <c r="N2042" s="3">
        <v>9</v>
      </c>
      <c r="O2042" s="3">
        <v>0.27</v>
      </c>
      <c r="P2042" s="3">
        <v>0</v>
      </c>
      <c r="Q2042" s="3">
        <v>0</v>
      </c>
      <c r="R2042" s="3">
        <v>0</v>
      </c>
    </row>
    <row r="2043" spans="1:18">
      <c r="A2043" s="3" t="s">
        <v>5157</v>
      </c>
      <c r="B2043" s="3" t="s">
        <v>5158</v>
      </c>
      <c r="C2043" s="3" t="s">
        <v>5158</v>
      </c>
      <c r="D2043" s="3" t="s">
        <v>5159</v>
      </c>
      <c r="E2043" s="3" t="s">
        <v>120</v>
      </c>
      <c r="F2043" s="3">
        <v>49.98</v>
      </c>
      <c r="G2043" s="3" t="s">
        <v>121</v>
      </c>
      <c r="H2043" s="3"/>
      <c r="I2043" s="3" t="s">
        <v>122</v>
      </c>
      <c r="J2043" s="3">
        <v>9</v>
      </c>
      <c r="K2043" s="3">
        <v>9</v>
      </c>
      <c r="L2043" s="3">
        <v>0</v>
      </c>
      <c r="M2043" s="3">
        <v>0</v>
      </c>
      <c r="N2043" s="3">
        <v>9</v>
      </c>
      <c r="O2043" s="3">
        <v>0.3</v>
      </c>
      <c r="P2043" s="3">
        <v>0</v>
      </c>
      <c r="Q2043" s="3">
        <v>0</v>
      </c>
      <c r="R2043" s="3">
        <v>0</v>
      </c>
    </row>
    <row r="2044" spans="1:18">
      <c r="A2044" s="3" t="s">
        <v>5160</v>
      </c>
      <c r="B2044" s="3" t="s">
        <v>5161</v>
      </c>
      <c r="C2044" s="3" t="s">
        <v>5161</v>
      </c>
      <c r="D2044" s="3" t="s">
        <v>1926</v>
      </c>
      <c r="E2044" s="3" t="s">
        <v>120</v>
      </c>
      <c r="F2044" s="3">
        <v>22.98</v>
      </c>
      <c r="G2044" s="3" t="s">
        <v>121</v>
      </c>
      <c r="H2044" s="3"/>
      <c r="I2044" s="3" t="s">
        <v>122</v>
      </c>
      <c r="J2044" s="3">
        <v>0</v>
      </c>
      <c r="K2044" s="3">
        <v>0</v>
      </c>
      <c r="L2044" s="3">
        <v>0</v>
      </c>
      <c r="M2044" s="3">
        <v>0</v>
      </c>
      <c r="N2044" s="3">
        <v>0</v>
      </c>
      <c r="O2044" s="3">
        <v>0.24</v>
      </c>
      <c r="P2044" s="3">
        <v>0</v>
      </c>
      <c r="Q2044" s="3">
        <v>0</v>
      </c>
      <c r="R2044" s="3">
        <v>0</v>
      </c>
    </row>
    <row r="2045" spans="1:18">
      <c r="A2045" s="3" t="s">
        <v>5162</v>
      </c>
      <c r="B2045" s="3" t="s">
        <v>5163</v>
      </c>
      <c r="C2045" s="3" t="s">
        <v>5163</v>
      </c>
      <c r="D2045" s="3" t="s">
        <v>5164</v>
      </c>
      <c r="E2045" s="3" t="s">
        <v>120</v>
      </c>
      <c r="F2045" s="3">
        <v>49.98</v>
      </c>
      <c r="G2045" s="3" t="s">
        <v>121</v>
      </c>
      <c r="H2045" s="3"/>
      <c r="I2045" s="3" t="s">
        <v>122</v>
      </c>
      <c r="J2045" s="3">
        <v>0</v>
      </c>
      <c r="K2045" s="3">
        <v>0</v>
      </c>
      <c r="L2045" s="3">
        <v>0</v>
      </c>
      <c r="M2045" s="3">
        <v>0</v>
      </c>
      <c r="N2045" s="3">
        <v>0</v>
      </c>
      <c r="O2045" s="3">
        <v>0.32</v>
      </c>
      <c r="P2045" s="3">
        <v>0</v>
      </c>
      <c r="Q2045" s="3">
        <v>0</v>
      </c>
      <c r="R2045" s="3">
        <v>0</v>
      </c>
    </row>
    <row r="2046" spans="1:18">
      <c r="A2046" s="3" t="s">
        <v>5165</v>
      </c>
      <c r="B2046" s="3" t="s">
        <v>5166</v>
      </c>
      <c r="C2046" s="3" t="s">
        <v>5166</v>
      </c>
      <c r="D2046" s="3" t="s">
        <v>5167</v>
      </c>
      <c r="E2046" s="3" t="s">
        <v>120</v>
      </c>
      <c r="F2046" s="3">
        <v>49.98</v>
      </c>
      <c r="G2046" s="3" t="s">
        <v>121</v>
      </c>
      <c r="H2046" s="3"/>
      <c r="I2046" s="3" t="s">
        <v>122</v>
      </c>
      <c r="J2046" s="3">
        <v>6</v>
      </c>
      <c r="K2046" s="3">
        <v>6</v>
      </c>
      <c r="L2046" s="3">
        <v>0</v>
      </c>
      <c r="M2046" s="3">
        <v>0</v>
      </c>
      <c r="N2046" s="3">
        <v>6</v>
      </c>
      <c r="O2046" s="3">
        <v>0.24</v>
      </c>
      <c r="P2046" s="3">
        <v>0</v>
      </c>
      <c r="Q2046" s="3">
        <v>0</v>
      </c>
      <c r="R2046" s="3">
        <v>0</v>
      </c>
    </row>
    <row r="2047" spans="1:18">
      <c r="A2047" s="3" t="s">
        <v>5168</v>
      </c>
      <c r="B2047" s="3" t="s">
        <v>5169</v>
      </c>
      <c r="C2047" s="3" t="s">
        <v>5169</v>
      </c>
      <c r="D2047" s="3" t="s">
        <v>5170</v>
      </c>
      <c r="E2047" s="3" t="s">
        <v>120</v>
      </c>
      <c r="F2047" s="3">
        <v>49.98</v>
      </c>
      <c r="G2047" s="3" t="s">
        <v>121</v>
      </c>
      <c r="H2047" s="3"/>
      <c r="I2047" s="3" t="s">
        <v>122</v>
      </c>
      <c r="J2047" s="3">
        <v>0</v>
      </c>
      <c r="K2047" s="3">
        <v>0</v>
      </c>
      <c r="L2047" s="3">
        <v>0</v>
      </c>
      <c r="M2047" s="3">
        <v>0</v>
      </c>
      <c r="N2047" s="3">
        <v>0</v>
      </c>
      <c r="O2047" s="3">
        <v>0.24</v>
      </c>
      <c r="P2047" s="3">
        <v>0</v>
      </c>
      <c r="Q2047" s="3">
        <v>0</v>
      </c>
      <c r="R2047" s="3">
        <v>0</v>
      </c>
    </row>
    <row r="2048" spans="1:18">
      <c r="A2048" s="3" t="s">
        <v>5171</v>
      </c>
      <c r="B2048" s="3" t="s">
        <v>5172</v>
      </c>
      <c r="C2048" s="3" t="s">
        <v>5172</v>
      </c>
      <c r="D2048" s="3" t="s">
        <v>5173</v>
      </c>
      <c r="E2048" s="3" t="s">
        <v>120</v>
      </c>
      <c r="F2048" s="3">
        <v>49.98</v>
      </c>
      <c r="G2048" s="3" t="s">
        <v>121</v>
      </c>
      <c r="H2048" s="3"/>
      <c r="I2048" s="3" t="s">
        <v>122</v>
      </c>
      <c r="J2048" s="3">
        <v>8</v>
      </c>
      <c r="K2048" s="3">
        <v>8</v>
      </c>
      <c r="L2048" s="3">
        <v>0</v>
      </c>
      <c r="M2048" s="3">
        <v>0</v>
      </c>
      <c r="N2048" s="3">
        <v>8</v>
      </c>
      <c r="O2048" s="3">
        <v>0.28</v>
      </c>
      <c r="P2048" s="3">
        <v>0</v>
      </c>
      <c r="Q2048" s="3">
        <v>0</v>
      </c>
      <c r="R2048" s="3">
        <v>0</v>
      </c>
    </row>
    <row r="2049" spans="1:18">
      <c r="A2049" s="3" t="s">
        <v>5174</v>
      </c>
      <c r="B2049" s="3" t="s">
        <v>5175</v>
      </c>
      <c r="C2049" s="3" t="s">
        <v>5175</v>
      </c>
      <c r="D2049" s="3" t="s">
        <v>5176</v>
      </c>
      <c r="E2049" s="3" t="s">
        <v>120</v>
      </c>
      <c r="F2049" s="3">
        <v>49.98</v>
      </c>
      <c r="G2049" s="3" t="s">
        <v>121</v>
      </c>
      <c r="H2049" s="3"/>
      <c r="I2049" s="3" t="s">
        <v>122</v>
      </c>
      <c r="J2049" s="3">
        <v>7</v>
      </c>
      <c r="K2049" s="3">
        <v>7</v>
      </c>
      <c r="L2049" s="3">
        <v>0</v>
      </c>
      <c r="M2049" s="3">
        <v>0</v>
      </c>
      <c r="N2049" s="3">
        <v>7</v>
      </c>
      <c r="O2049" s="3">
        <v>0.26</v>
      </c>
      <c r="P2049" s="3">
        <v>0</v>
      </c>
      <c r="Q2049" s="3">
        <v>0</v>
      </c>
      <c r="R2049" s="3">
        <v>0</v>
      </c>
    </row>
    <row r="2050" spans="1:18">
      <c r="A2050" s="3" t="s">
        <v>5177</v>
      </c>
      <c r="B2050" s="3" t="s">
        <v>5178</v>
      </c>
      <c r="C2050" s="3" t="s">
        <v>5178</v>
      </c>
      <c r="D2050" s="3" t="s">
        <v>5179</v>
      </c>
      <c r="E2050" s="3" t="s">
        <v>120</v>
      </c>
      <c r="F2050" s="3">
        <v>49.98</v>
      </c>
      <c r="G2050" s="3" t="s">
        <v>121</v>
      </c>
      <c r="H2050" s="3"/>
      <c r="I2050" s="3" t="s">
        <v>122</v>
      </c>
      <c r="J2050" s="3">
        <v>2</v>
      </c>
      <c r="K2050" s="3">
        <v>2</v>
      </c>
      <c r="L2050" s="3">
        <v>0</v>
      </c>
      <c r="M2050" s="3">
        <v>0</v>
      </c>
      <c r="N2050" s="3">
        <v>2</v>
      </c>
      <c r="O2050" s="3">
        <v>0.3</v>
      </c>
      <c r="P2050" s="3">
        <v>0</v>
      </c>
      <c r="Q2050" s="3">
        <v>0</v>
      </c>
      <c r="R2050" s="3">
        <v>0</v>
      </c>
    </row>
    <row r="2051" spans="1:18">
      <c r="A2051" s="3" t="s">
        <v>5180</v>
      </c>
      <c r="B2051" s="3" t="s">
        <v>5181</v>
      </c>
      <c r="C2051" s="3" t="s">
        <v>5181</v>
      </c>
      <c r="D2051" s="3" t="s">
        <v>5182</v>
      </c>
      <c r="E2051" s="3" t="s">
        <v>120</v>
      </c>
      <c r="F2051" s="3">
        <v>49.98</v>
      </c>
      <c r="G2051" s="3" t="s">
        <v>121</v>
      </c>
      <c r="H2051" s="3"/>
      <c r="I2051" s="3" t="s">
        <v>122</v>
      </c>
      <c r="J2051" s="3">
        <v>9</v>
      </c>
      <c r="K2051" s="3">
        <v>9</v>
      </c>
      <c r="L2051" s="3">
        <v>0</v>
      </c>
      <c r="M2051" s="3">
        <v>0</v>
      </c>
      <c r="N2051" s="3">
        <v>9</v>
      </c>
      <c r="O2051" s="3">
        <v>0.27</v>
      </c>
      <c r="P2051" s="3">
        <v>0</v>
      </c>
      <c r="Q2051" s="3">
        <v>0</v>
      </c>
      <c r="R2051" s="3">
        <v>0</v>
      </c>
    </row>
    <row r="2052" spans="1:18">
      <c r="A2052" s="3" t="s">
        <v>5183</v>
      </c>
      <c r="B2052" s="3" t="s">
        <v>5184</v>
      </c>
      <c r="C2052" s="3" t="s">
        <v>5184</v>
      </c>
      <c r="D2052" s="3" t="s">
        <v>5185</v>
      </c>
      <c r="E2052" s="3" t="s">
        <v>120</v>
      </c>
      <c r="F2052" s="3">
        <v>49.98</v>
      </c>
      <c r="G2052" s="3" t="s">
        <v>121</v>
      </c>
      <c r="H2052" s="3"/>
      <c r="I2052" s="3" t="s">
        <v>122</v>
      </c>
      <c r="J2052" s="3">
        <v>9</v>
      </c>
      <c r="K2052" s="3">
        <v>9</v>
      </c>
      <c r="L2052" s="3">
        <v>0</v>
      </c>
      <c r="M2052" s="3">
        <v>0</v>
      </c>
      <c r="N2052" s="3">
        <v>9</v>
      </c>
      <c r="O2052" s="3">
        <v>0.28</v>
      </c>
      <c r="P2052" s="3">
        <v>0</v>
      </c>
      <c r="Q2052" s="3">
        <v>0</v>
      </c>
      <c r="R2052" s="3">
        <v>0</v>
      </c>
    </row>
    <row r="2053" spans="1:18">
      <c r="A2053" s="3" t="s">
        <v>5186</v>
      </c>
      <c r="B2053" s="3" t="s">
        <v>5187</v>
      </c>
      <c r="C2053" s="3" t="s">
        <v>5187</v>
      </c>
      <c r="D2053" s="3"/>
      <c r="E2053" s="3" t="s">
        <v>20</v>
      </c>
      <c r="F2053" s="3"/>
      <c r="G2053" s="3"/>
      <c r="H2053" s="3"/>
      <c r="I2053" s="3"/>
      <c r="J2053" s="3">
        <v>0</v>
      </c>
      <c r="K2053" s="3">
        <v>0</v>
      </c>
      <c r="L2053" s="3">
        <v>0</v>
      </c>
      <c r="M2053" s="3">
        <v>0</v>
      </c>
      <c r="N2053" s="3">
        <v>0</v>
      </c>
      <c r="O2053" s="3"/>
      <c r="P2053" s="3">
        <v>0</v>
      </c>
      <c r="Q2053" s="3">
        <v>0</v>
      </c>
      <c r="R2053" s="3">
        <v>0</v>
      </c>
    </row>
    <row r="2054" spans="1:18">
      <c r="A2054" s="4"/>
      <c r="B2054" s="4"/>
      <c r="C2054" s="4"/>
      <c r="D2054" s="4"/>
      <c r="E2054" s="4"/>
      <c r="F2054" s="4"/>
      <c r="G2054" s="4"/>
      <c r="H2054" s="4"/>
      <c r="I2054" s="4"/>
      <c r="J2054" s="4"/>
      <c r="K2054" s="4"/>
      <c r="L2054" s="4"/>
      <c r="M2054" s="4"/>
      <c r="N2054" s="4"/>
      <c r="O2054" s="4"/>
      <c r="P2054" s="4"/>
      <c r="Q2054" s="4"/>
      <c r="R2054" s="4"/>
    </row>
    <row r="2055" spans="1:18">
      <c r="A2055" s="4"/>
      <c r="B2055" s="4"/>
      <c r="C2055" s="4"/>
      <c r="D2055" s="4"/>
      <c r="E2055" s="4"/>
      <c r="F2055" s="4"/>
      <c r="G2055" s="4"/>
      <c r="H2055" s="4"/>
      <c r="I2055" s="4"/>
      <c r="J2055" s="4"/>
      <c r="K2055" s="4"/>
      <c r="L2055" s="4"/>
      <c r="M2055" s="4"/>
      <c r="N2055" s="4"/>
      <c r="O2055" s="4"/>
      <c r="P2055" s="4"/>
      <c r="Q2055" s="4"/>
      <c r="R2055" s="4"/>
    </row>
    <row r="2056" spans="1:18">
      <c r="A2056" s="4"/>
      <c r="B2056" s="4"/>
      <c r="C2056" s="4"/>
      <c r="D2056" s="4"/>
      <c r="E2056" s="4"/>
      <c r="F2056" s="4"/>
      <c r="G2056" s="4"/>
      <c r="H2056" s="4"/>
      <c r="I2056" s="4"/>
      <c r="J2056" s="4"/>
      <c r="K2056" s="4"/>
      <c r="L2056" s="4"/>
      <c r="M2056" s="4"/>
      <c r="N2056" s="4"/>
      <c r="O2056" s="4"/>
      <c r="P2056" s="4"/>
      <c r="Q2056" s="4"/>
      <c r="R2056" s="4"/>
    </row>
    <row r="2057" spans="1:18">
      <c r="A2057" s="4"/>
      <c r="B2057" s="4"/>
      <c r="C2057" s="4"/>
      <c r="D2057" s="4"/>
      <c r="E2057" s="4"/>
      <c r="F2057" s="4"/>
      <c r="G2057" s="4"/>
      <c r="H2057" s="4"/>
      <c r="I2057" s="4"/>
      <c r="J2057" s="4"/>
      <c r="K2057" s="4"/>
      <c r="L2057" s="4"/>
      <c r="M2057" s="4"/>
      <c r="N2057" s="4"/>
      <c r="O2057" s="4"/>
      <c r="P2057" s="4"/>
      <c r="Q2057" s="4"/>
      <c r="R2057" s="4"/>
    </row>
    <row r="2058" spans="1:18">
      <c r="A2058" s="4"/>
      <c r="B2058" s="4"/>
      <c r="C2058" s="4"/>
      <c r="D2058" s="4"/>
      <c r="E2058" s="4"/>
      <c r="F2058" s="4"/>
      <c r="G2058" s="4"/>
      <c r="H2058" s="4"/>
      <c r="I2058" s="4"/>
      <c r="J2058" s="4"/>
      <c r="K2058" s="4"/>
      <c r="L2058" s="4"/>
      <c r="M2058" s="4"/>
      <c r="N2058" s="4"/>
      <c r="O2058" s="4"/>
      <c r="P2058" s="4"/>
      <c r="Q2058" s="4"/>
      <c r="R2058" s="4"/>
    </row>
    <row r="2059" spans="1:18">
      <c r="A2059" s="4"/>
      <c r="B2059" s="4"/>
      <c r="C2059" s="4"/>
      <c r="D2059" s="4"/>
      <c r="E2059" s="4"/>
      <c r="F2059" s="4"/>
      <c r="G2059" s="4"/>
      <c r="H2059" s="4"/>
      <c r="I2059" s="4"/>
      <c r="J2059" s="4"/>
      <c r="K2059" s="4"/>
      <c r="L2059" s="4"/>
      <c r="M2059" s="4"/>
      <c r="N2059" s="4"/>
      <c r="O2059" s="4"/>
      <c r="P2059" s="4"/>
      <c r="Q2059" s="4"/>
      <c r="R2059" s="4"/>
    </row>
    <row r="2060" spans="1:18">
      <c r="A2060" s="4"/>
      <c r="B2060" s="4"/>
      <c r="C2060" s="4"/>
      <c r="D2060" s="4"/>
      <c r="E2060" s="4"/>
      <c r="F2060" s="4"/>
      <c r="G2060" s="4"/>
      <c r="H2060" s="4"/>
      <c r="I2060" s="4"/>
      <c r="J2060" s="4"/>
      <c r="K2060" s="4"/>
      <c r="L2060" s="4"/>
      <c r="M2060" s="4"/>
      <c r="N2060" s="4"/>
      <c r="O2060" s="4"/>
      <c r="P2060" s="4"/>
      <c r="Q2060" s="4"/>
      <c r="R2060" s="4"/>
    </row>
    <row r="2061" spans="1:18">
      <c r="A2061" s="4"/>
      <c r="B2061" s="4"/>
      <c r="C2061" s="4"/>
      <c r="D2061" s="4"/>
      <c r="E2061" s="4"/>
      <c r="F2061" s="4"/>
      <c r="G2061" s="4"/>
      <c r="H2061" s="4"/>
      <c r="I2061" s="4"/>
      <c r="J2061" s="4"/>
      <c r="K2061" s="4"/>
      <c r="L2061" s="4"/>
      <c r="M2061" s="4"/>
      <c r="N2061" s="4"/>
      <c r="O2061" s="4"/>
      <c r="P2061" s="4"/>
      <c r="Q2061" s="4"/>
      <c r="R2061" s="4"/>
    </row>
    <row r="2062" spans="1:18">
      <c r="A2062" s="4"/>
      <c r="B2062" s="4"/>
      <c r="C2062" s="4"/>
      <c r="D2062" s="4"/>
      <c r="E2062" s="4"/>
      <c r="F2062" s="4"/>
      <c r="G2062" s="4"/>
      <c r="H2062" s="4"/>
      <c r="I2062" s="4"/>
      <c r="J2062" s="4"/>
      <c r="K2062" s="4"/>
      <c r="L2062" s="4"/>
      <c r="M2062" s="4"/>
      <c r="N2062" s="4"/>
      <c r="O2062" s="4"/>
      <c r="P2062" s="4"/>
      <c r="Q2062" s="4"/>
      <c r="R2062" s="4"/>
    </row>
    <row r="2063" spans="1:18">
      <c r="A2063" s="4"/>
      <c r="B2063" s="4"/>
      <c r="C2063" s="4"/>
      <c r="D2063" s="4"/>
      <c r="E2063" s="4"/>
      <c r="F2063" s="4"/>
      <c r="G2063" s="4"/>
      <c r="H2063" s="4"/>
      <c r="I2063" s="4"/>
      <c r="J2063" s="4"/>
      <c r="K2063" s="4"/>
      <c r="L2063" s="4"/>
      <c r="M2063" s="4"/>
      <c r="N2063" s="4"/>
      <c r="O2063" s="4"/>
      <c r="P2063" s="4"/>
      <c r="Q2063" s="4"/>
      <c r="R2063" s="4"/>
    </row>
    <row r="2064" spans="1:18">
      <c r="A2064" s="4"/>
      <c r="B2064" s="4"/>
      <c r="C2064" s="4"/>
      <c r="D2064" s="4"/>
      <c r="E2064" s="4"/>
      <c r="F2064" s="4"/>
      <c r="G2064" s="4"/>
      <c r="H2064" s="4"/>
      <c r="I2064" s="4"/>
      <c r="J2064" s="4"/>
      <c r="K2064" s="4"/>
      <c r="L2064" s="4"/>
      <c r="M2064" s="4"/>
      <c r="N2064" s="4"/>
      <c r="O2064" s="4"/>
      <c r="P2064" s="4"/>
      <c r="Q2064" s="4"/>
      <c r="R2064" s="4"/>
    </row>
    <row r="2065" spans="1:18">
      <c r="A2065" s="4"/>
      <c r="B2065" s="4"/>
      <c r="C2065" s="4"/>
      <c r="D2065" s="4"/>
      <c r="E2065" s="4"/>
      <c r="F2065" s="4"/>
      <c r="G2065" s="4"/>
      <c r="H2065" s="4"/>
      <c r="I2065" s="4"/>
      <c r="J2065" s="4"/>
      <c r="K2065" s="4"/>
      <c r="L2065" s="4"/>
      <c r="M2065" s="4"/>
      <c r="N2065" s="4"/>
      <c r="O2065" s="4"/>
      <c r="P2065" s="4"/>
      <c r="Q2065" s="4"/>
      <c r="R2065" s="4"/>
    </row>
    <row r="2066" spans="1:18">
      <c r="A2066" s="4"/>
      <c r="B2066" s="4"/>
      <c r="C2066" s="4"/>
      <c r="D2066" s="4"/>
      <c r="E2066" s="4"/>
      <c r="F2066" s="4"/>
      <c r="G2066" s="4"/>
      <c r="H2066" s="4"/>
      <c r="I2066" s="4"/>
      <c r="J2066" s="4"/>
      <c r="K2066" s="4"/>
      <c r="L2066" s="4"/>
      <c r="M2066" s="4"/>
      <c r="N2066" s="4"/>
      <c r="O2066" s="4"/>
      <c r="P2066" s="4"/>
      <c r="Q2066" s="4"/>
      <c r="R2066" s="4"/>
    </row>
    <row r="2067" spans="1:18">
      <c r="A2067" s="4"/>
      <c r="B2067" s="4"/>
      <c r="C2067" s="4"/>
      <c r="D2067" s="4"/>
      <c r="E2067" s="4"/>
      <c r="F2067" s="4"/>
      <c r="G2067" s="4"/>
      <c r="H2067" s="4"/>
      <c r="I2067" s="4"/>
      <c r="J2067" s="4"/>
      <c r="K2067" s="4"/>
      <c r="L2067" s="4"/>
      <c r="M2067" s="4"/>
      <c r="N2067" s="4"/>
      <c r="O2067" s="4"/>
      <c r="P2067" s="4"/>
      <c r="Q2067" s="4"/>
      <c r="R2067" s="4"/>
    </row>
    <row r="2068" spans="1:18">
      <c r="A2068" s="4"/>
      <c r="B2068" s="4"/>
      <c r="C2068" s="4"/>
      <c r="D2068" s="4"/>
      <c r="E2068" s="4"/>
      <c r="F2068" s="4"/>
      <c r="G2068" s="4"/>
      <c r="H2068" s="4"/>
      <c r="I2068" s="4"/>
      <c r="J2068" s="4"/>
      <c r="K2068" s="4"/>
      <c r="L2068" s="4"/>
      <c r="M2068" s="4"/>
      <c r="N2068" s="4"/>
      <c r="O2068" s="4"/>
      <c r="P2068" s="4"/>
      <c r="Q2068" s="4"/>
      <c r="R2068" s="4"/>
    </row>
    <row r="2069" spans="1:18">
      <c r="A2069" s="4"/>
      <c r="B2069" s="4"/>
      <c r="C2069" s="4"/>
      <c r="D2069" s="4"/>
      <c r="E2069" s="4"/>
      <c r="F2069" s="4"/>
      <c r="G2069" s="4"/>
      <c r="H2069" s="4"/>
      <c r="I2069" s="4"/>
      <c r="J2069" s="4"/>
      <c r="K2069" s="4"/>
      <c r="L2069" s="4"/>
      <c r="M2069" s="4"/>
      <c r="N2069" s="4"/>
      <c r="O2069" s="4"/>
      <c r="P2069" s="4"/>
      <c r="Q2069" s="4"/>
      <c r="R2069" s="4"/>
    </row>
    <row r="2070" spans="1:18">
      <c r="A2070" s="4"/>
      <c r="B2070" s="4"/>
      <c r="C2070" s="4"/>
      <c r="D2070" s="4"/>
      <c r="E2070" s="4"/>
      <c r="F2070" s="4"/>
      <c r="G2070" s="4"/>
      <c r="H2070" s="4"/>
      <c r="I2070" s="4"/>
      <c r="J2070" s="4"/>
      <c r="K2070" s="4"/>
      <c r="L2070" s="4"/>
      <c r="M2070" s="4"/>
      <c r="N2070" s="4"/>
      <c r="O2070" s="4"/>
      <c r="P2070" s="4"/>
      <c r="Q2070" s="4"/>
      <c r="R2070" s="4"/>
    </row>
    <row r="2071" spans="1:18">
      <c r="A2071" s="4"/>
      <c r="B2071" s="4"/>
      <c r="C2071" s="4"/>
      <c r="D2071" s="4"/>
      <c r="E2071" s="4"/>
      <c r="F2071" s="4"/>
      <c r="G2071" s="4"/>
      <c r="H2071" s="4"/>
      <c r="I2071" s="4"/>
      <c r="J2071" s="4"/>
      <c r="K2071" s="4"/>
      <c r="L2071" s="4"/>
      <c r="M2071" s="4"/>
      <c r="N2071" s="4"/>
      <c r="O2071" s="4"/>
      <c r="P2071" s="4"/>
      <c r="Q2071" s="4"/>
      <c r="R2071" s="4"/>
    </row>
    <row r="2072" spans="1:18">
      <c r="A2072" s="4"/>
      <c r="B2072" s="4"/>
      <c r="C2072" s="4"/>
      <c r="D2072" s="4"/>
      <c r="E2072" s="4"/>
      <c r="F2072" s="4"/>
      <c r="G2072" s="4"/>
      <c r="H2072" s="4"/>
      <c r="I2072" s="4"/>
      <c r="J2072" s="4"/>
      <c r="K2072" s="4"/>
      <c r="L2072" s="4"/>
      <c r="M2072" s="4"/>
      <c r="N2072" s="4"/>
      <c r="O2072" s="4"/>
      <c r="P2072" s="4"/>
      <c r="Q2072" s="4"/>
      <c r="R2072" s="4"/>
    </row>
    <row r="2073" spans="1:18">
      <c r="A2073" s="4"/>
      <c r="B2073" s="4"/>
      <c r="C2073" s="4"/>
      <c r="D2073" s="4"/>
      <c r="E2073" s="4"/>
      <c r="F2073" s="4"/>
      <c r="G2073" s="4"/>
      <c r="H2073" s="4"/>
      <c r="I2073" s="4"/>
      <c r="J2073" s="4"/>
      <c r="K2073" s="4"/>
      <c r="L2073" s="4"/>
      <c r="M2073" s="4"/>
      <c r="N2073" s="4"/>
      <c r="O2073" s="4"/>
      <c r="P2073" s="4"/>
      <c r="Q2073" s="4"/>
      <c r="R2073" s="4"/>
    </row>
    <row r="2074" spans="1:18">
      <c r="A2074" s="4"/>
      <c r="B2074" s="4"/>
      <c r="C2074" s="4"/>
      <c r="D2074" s="4"/>
      <c r="E2074" s="4"/>
      <c r="F2074" s="4"/>
      <c r="G2074" s="4"/>
      <c r="H2074" s="4"/>
      <c r="I2074" s="4"/>
      <c r="J2074" s="4"/>
      <c r="K2074" s="4"/>
      <c r="L2074" s="4"/>
      <c r="M2074" s="4"/>
      <c r="N2074" s="4"/>
      <c r="O2074" s="4"/>
      <c r="P2074" s="4"/>
      <c r="Q2074" s="4"/>
      <c r="R2074" s="4"/>
    </row>
    <row r="2075" spans="1:18">
      <c r="A2075" s="4"/>
      <c r="B2075" s="4"/>
      <c r="C2075" s="4"/>
      <c r="D2075" s="4"/>
      <c r="E2075" s="4"/>
      <c r="F2075" s="4"/>
      <c r="G2075" s="4"/>
      <c r="H2075" s="4"/>
      <c r="I2075" s="4"/>
      <c r="J2075" s="4"/>
      <c r="K2075" s="4"/>
      <c r="L2075" s="4"/>
      <c r="M2075" s="4"/>
      <c r="N2075" s="4"/>
      <c r="O2075" s="4"/>
      <c r="P2075" s="4"/>
      <c r="Q2075" s="4"/>
      <c r="R2075" s="4"/>
    </row>
    <row r="2076" spans="1:18">
      <c r="A2076" s="4"/>
      <c r="B2076" s="4"/>
      <c r="C2076" s="4"/>
      <c r="D2076" s="4"/>
      <c r="E2076" s="4"/>
      <c r="F2076" s="4"/>
      <c r="G2076" s="4"/>
      <c r="H2076" s="4"/>
      <c r="I2076" s="4"/>
      <c r="J2076" s="4"/>
      <c r="K2076" s="4"/>
      <c r="L2076" s="4"/>
      <c r="M2076" s="4"/>
      <c r="N2076" s="4"/>
      <c r="O2076" s="4"/>
      <c r="P2076" s="4"/>
      <c r="Q2076" s="4"/>
      <c r="R2076" s="4"/>
    </row>
    <row r="2077" spans="1:18">
      <c r="A2077" s="4"/>
      <c r="B2077" s="4"/>
      <c r="C2077" s="4"/>
      <c r="D2077" s="4"/>
      <c r="E2077" s="4"/>
      <c r="F2077" s="4"/>
      <c r="G2077" s="4"/>
      <c r="H2077" s="4"/>
      <c r="I2077" s="4"/>
      <c r="J2077" s="4"/>
      <c r="K2077" s="4"/>
      <c r="L2077" s="4"/>
      <c r="M2077" s="4"/>
      <c r="N2077" s="4"/>
      <c r="O2077" s="4"/>
      <c r="P2077" s="4"/>
      <c r="Q2077" s="4"/>
      <c r="R2077" s="4"/>
    </row>
    <row r="2078" spans="1:18">
      <c r="A2078" s="4"/>
      <c r="B2078" s="4"/>
      <c r="C2078" s="4"/>
      <c r="D2078" s="4"/>
      <c r="E2078" s="4"/>
      <c r="F2078" s="4"/>
      <c r="G2078" s="4"/>
      <c r="H2078" s="4"/>
      <c r="I2078" s="4"/>
      <c r="J2078" s="4"/>
      <c r="K2078" s="4"/>
      <c r="L2078" s="4"/>
      <c r="M2078" s="4"/>
      <c r="N2078" s="4"/>
      <c r="O2078" s="4"/>
      <c r="P2078" s="4"/>
      <c r="Q2078" s="4"/>
      <c r="R2078" s="4"/>
    </row>
    <row r="2079" spans="1:18">
      <c r="A2079" s="4"/>
      <c r="B2079" s="4"/>
      <c r="C2079" s="4"/>
      <c r="D2079" s="4"/>
      <c r="E2079" s="4"/>
      <c r="F2079" s="4"/>
      <c r="G2079" s="4"/>
      <c r="H2079" s="4"/>
      <c r="I2079" s="4"/>
      <c r="J2079" s="4"/>
      <c r="K2079" s="4"/>
      <c r="L2079" s="4"/>
      <c r="M2079" s="4"/>
      <c r="N2079" s="4"/>
      <c r="O2079" s="4"/>
      <c r="P2079" s="4"/>
      <c r="Q2079" s="4"/>
      <c r="R2079" s="4"/>
    </row>
    <row r="2080" spans="1:18">
      <c r="A2080" s="4"/>
      <c r="B2080" s="4"/>
      <c r="C2080" s="4"/>
      <c r="D2080" s="4"/>
      <c r="E2080" s="4"/>
      <c r="F2080" s="4"/>
      <c r="G2080" s="4"/>
      <c r="H2080" s="4"/>
      <c r="I2080" s="4"/>
      <c r="J2080" s="4"/>
      <c r="K2080" s="4"/>
      <c r="L2080" s="4"/>
      <c r="M2080" s="4"/>
      <c r="N2080" s="4"/>
      <c r="O2080" s="4"/>
      <c r="P2080" s="4"/>
      <c r="Q2080" s="4"/>
      <c r="R2080" s="4"/>
    </row>
    <row r="2081" spans="1:18">
      <c r="A2081" s="4"/>
      <c r="B2081" s="4"/>
      <c r="C2081" s="4"/>
      <c r="D2081" s="4"/>
      <c r="E2081" s="4"/>
      <c r="F2081" s="4"/>
      <c r="G2081" s="4"/>
      <c r="H2081" s="4"/>
      <c r="I2081" s="4"/>
      <c r="J2081" s="4"/>
      <c r="K2081" s="4"/>
      <c r="L2081" s="4"/>
      <c r="M2081" s="4"/>
      <c r="N2081" s="4"/>
      <c r="O2081" s="4"/>
      <c r="P2081" s="4"/>
      <c r="Q2081" s="4"/>
      <c r="R2081" s="4"/>
    </row>
    <row r="2082" spans="1:18">
      <c r="A2082" s="4"/>
      <c r="B2082" s="4"/>
      <c r="C2082" s="4"/>
      <c r="D2082" s="4"/>
      <c r="E2082" s="4"/>
      <c r="F2082" s="4"/>
      <c r="G2082" s="4"/>
      <c r="H2082" s="4"/>
      <c r="I2082" s="4"/>
      <c r="J2082" s="4"/>
      <c r="K2082" s="4"/>
      <c r="L2082" s="4"/>
      <c r="M2082" s="4"/>
      <c r="N2082" s="4"/>
      <c r="O2082" s="4"/>
      <c r="P2082" s="4"/>
      <c r="Q2082" s="4"/>
      <c r="R2082" s="4"/>
    </row>
    <row r="2083" spans="1:18">
      <c r="A2083" s="4"/>
      <c r="B2083" s="4"/>
      <c r="C2083" s="4"/>
      <c r="D2083" s="4"/>
      <c r="E2083" s="4"/>
      <c r="F2083" s="4"/>
      <c r="G2083" s="4"/>
      <c r="H2083" s="4"/>
      <c r="I2083" s="4"/>
      <c r="J2083" s="4"/>
      <c r="K2083" s="4"/>
      <c r="L2083" s="4"/>
      <c r="M2083" s="4"/>
      <c r="N2083" s="4"/>
      <c r="O2083" s="4"/>
      <c r="P2083" s="4"/>
      <c r="Q2083" s="4"/>
      <c r="R2083" s="4"/>
    </row>
    <row r="2084" spans="1:18">
      <c r="A2084" s="4"/>
      <c r="B2084" s="4"/>
      <c r="C2084" s="4"/>
      <c r="D2084" s="4"/>
      <c r="E2084" s="4"/>
      <c r="F2084" s="4"/>
      <c r="G2084" s="4"/>
      <c r="H2084" s="4"/>
      <c r="I2084" s="4"/>
      <c r="J2084" s="4"/>
      <c r="K2084" s="4"/>
      <c r="L2084" s="4"/>
      <c r="M2084" s="4"/>
      <c r="N2084" s="4"/>
      <c r="O2084" s="4"/>
      <c r="P2084" s="4"/>
      <c r="Q2084" s="4"/>
      <c r="R2084" s="4"/>
    </row>
    <row r="2085" spans="1:18">
      <c r="A2085" s="4"/>
      <c r="B2085" s="4"/>
      <c r="C2085" s="4"/>
      <c r="D2085" s="4"/>
      <c r="E2085" s="4"/>
      <c r="F2085" s="4"/>
      <c r="G2085" s="4"/>
      <c r="H2085" s="4"/>
      <c r="I2085" s="4"/>
      <c r="J2085" s="4"/>
      <c r="K2085" s="4"/>
      <c r="L2085" s="4"/>
      <c r="M2085" s="4"/>
      <c r="N2085" s="4"/>
      <c r="O2085" s="4"/>
      <c r="P2085" s="4"/>
      <c r="Q2085" s="4"/>
      <c r="R2085" s="4"/>
    </row>
    <row r="2086" spans="1:18">
      <c r="A2086" s="4"/>
      <c r="B2086" s="4"/>
      <c r="C2086" s="4"/>
      <c r="D2086" s="4"/>
      <c r="E2086" s="4"/>
      <c r="F2086" s="4"/>
      <c r="G2086" s="4"/>
      <c r="H2086" s="4"/>
      <c r="I2086" s="4"/>
      <c r="J2086" s="4"/>
      <c r="K2086" s="4"/>
      <c r="L2086" s="4"/>
      <c r="M2086" s="4"/>
      <c r="N2086" s="4"/>
      <c r="O2086" s="4"/>
      <c r="P2086" s="4"/>
      <c r="Q2086" s="4"/>
      <c r="R2086" s="4"/>
    </row>
    <row r="2087" spans="1:18">
      <c r="A2087" s="4"/>
      <c r="B2087" s="4"/>
      <c r="C2087" s="4"/>
      <c r="D2087" s="4"/>
      <c r="E2087" s="4"/>
      <c r="F2087" s="4"/>
      <c r="G2087" s="4"/>
      <c r="H2087" s="4"/>
      <c r="I2087" s="4"/>
      <c r="J2087" s="4"/>
      <c r="K2087" s="4"/>
      <c r="L2087" s="4"/>
      <c r="M2087" s="4"/>
      <c r="N2087" s="4"/>
      <c r="O2087" s="4"/>
      <c r="P2087" s="4"/>
      <c r="Q2087" s="4"/>
      <c r="R2087" s="4"/>
    </row>
    <row r="2088" spans="1:18">
      <c r="A2088" s="4"/>
      <c r="B2088" s="4"/>
      <c r="C2088" s="4"/>
      <c r="D2088" s="4"/>
      <c r="E2088" s="4"/>
      <c r="F2088" s="4"/>
      <c r="G2088" s="4"/>
      <c r="H2088" s="4"/>
      <c r="I2088" s="4"/>
      <c r="J2088" s="4"/>
      <c r="K2088" s="4"/>
      <c r="L2088" s="4"/>
      <c r="M2088" s="4"/>
      <c r="N2088" s="4"/>
      <c r="O2088" s="4"/>
      <c r="P2088" s="4"/>
      <c r="Q2088" s="4"/>
      <c r="R2088" s="4"/>
    </row>
    <row r="2089" spans="1:18">
      <c r="A2089" s="4"/>
      <c r="B2089" s="4"/>
      <c r="C2089" s="4"/>
      <c r="D2089" s="4"/>
      <c r="E2089" s="4"/>
      <c r="F2089" s="4"/>
      <c r="G2089" s="4"/>
      <c r="H2089" s="4"/>
      <c r="I2089" s="4"/>
      <c r="J2089" s="4"/>
      <c r="K2089" s="4"/>
      <c r="L2089" s="4"/>
      <c r="M2089" s="4"/>
      <c r="N2089" s="4"/>
      <c r="O2089" s="4"/>
      <c r="P2089" s="4"/>
      <c r="Q2089" s="4"/>
      <c r="R2089" s="4"/>
    </row>
    <row r="2090" spans="1:18">
      <c r="A2090" s="4"/>
      <c r="B2090" s="4"/>
      <c r="C2090" s="4"/>
      <c r="D2090" s="4"/>
      <c r="E2090" s="4"/>
      <c r="F2090" s="4"/>
      <c r="G2090" s="4"/>
      <c r="H2090" s="4"/>
      <c r="I2090" s="4"/>
      <c r="J2090" s="4"/>
      <c r="K2090" s="4"/>
      <c r="L2090" s="4"/>
      <c r="M2090" s="4"/>
      <c r="N2090" s="4"/>
      <c r="O2090" s="4"/>
      <c r="P2090" s="4"/>
      <c r="Q2090" s="4"/>
      <c r="R2090" s="4"/>
    </row>
    <row r="2091" spans="1:18">
      <c r="A2091" s="4"/>
      <c r="B2091" s="4"/>
      <c r="C2091" s="4"/>
      <c r="D2091" s="4"/>
      <c r="E2091" s="4"/>
      <c r="F2091" s="4"/>
      <c r="G2091" s="4"/>
      <c r="H2091" s="4"/>
      <c r="I2091" s="4"/>
      <c r="J2091" s="4"/>
      <c r="K2091" s="4"/>
      <c r="L2091" s="4"/>
      <c r="M2091" s="4"/>
      <c r="N2091" s="4"/>
      <c r="O2091" s="4"/>
      <c r="P2091" s="4"/>
      <c r="Q2091" s="4"/>
      <c r="R2091" s="4"/>
    </row>
    <row r="2092" spans="1:18">
      <c r="A2092" s="4"/>
      <c r="B2092" s="4"/>
      <c r="C2092" s="4"/>
      <c r="D2092" s="4"/>
      <c r="E2092" s="4"/>
      <c r="F2092" s="4"/>
      <c r="G2092" s="4"/>
      <c r="H2092" s="4"/>
      <c r="I2092" s="4"/>
      <c r="J2092" s="4"/>
      <c r="K2092" s="4"/>
      <c r="L2092" s="4"/>
      <c r="M2092" s="4"/>
      <c r="N2092" s="4"/>
      <c r="O2092" s="4"/>
      <c r="P2092" s="4"/>
      <c r="Q2092" s="4"/>
      <c r="R2092" s="4"/>
    </row>
    <row r="2093" spans="1:18">
      <c r="A2093" s="4"/>
      <c r="B2093" s="4"/>
      <c r="C2093" s="4"/>
      <c r="D2093" s="4"/>
      <c r="E2093" s="4"/>
      <c r="F2093" s="4"/>
      <c r="G2093" s="4"/>
      <c r="H2093" s="4"/>
      <c r="I2093" s="4"/>
      <c r="J2093" s="4"/>
      <c r="K2093" s="4"/>
      <c r="L2093" s="4"/>
      <c r="M2093" s="4"/>
      <c r="N2093" s="4"/>
      <c r="O2093" s="4"/>
      <c r="P2093" s="4"/>
      <c r="Q2093" s="4"/>
      <c r="R2093" s="4"/>
    </row>
    <row r="2094" spans="1:18">
      <c r="A2094" s="4"/>
      <c r="B2094" s="4"/>
      <c r="C2094" s="4"/>
      <c r="D2094" s="4"/>
      <c r="E2094" s="4"/>
      <c r="F2094" s="4"/>
      <c r="G2094" s="4"/>
      <c r="H2094" s="4"/>
      <c r="I2094" s="4"/>
      <c r="J2094" s="4"/>
      <c r="K2094" s="4"/>
      <c r="L2094" s="4"/>
      <c r="M2094" s="4"/>
      <c r="N2094" s="4"/>
      <c r="O2094" s="4"/>
      <c r="P2094" s="4"/>
      <c r="Q2094" s="4"/>
      <c r="R2094" s="4"/>
    </row>
    <row r="2095" spans="1:18">
      <c r="A2095" s="4"/>
      <c r="B2095" s="4"/>
      <c r="C2095" s="4"/>
      <c r="D2095" s="4"/>
      <c r="E2095" s="4"/>
      <c r="F2095" s="4"/>
      <c r="G2095" s="4"/>
      <c r="H2095" s="4"/>
      <c r="I2095" s="4"/>
      <c r="J2095" s="4"/>
      <c r="K2095" s="4"/>
      <c r="L2095" s="4"/>
      <c r="M2095" s="4"/>
      <c r="N2095" s="4"/>
      <c r="O2095" s="4"/>
      <c r="P2095" s="4"/>
      <c r="Q2095" s="4"/>
      <c r="R2095" s="4"/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N2096"/>
  <sheetViews>
    <sheetView tabSelected="1" topLeftCell="C1" workbookViewId="0">
      <selection activeCell="K29" sqref="K29"/>
    </sheetView>
  </sheetViews>
  <sheetFormatPr defaultColWidth="9" defaultRowHeight="14.25"/>
  <cols>
    <col min="1" max="1" width="22.1333333333333" customWidth="1"/>
    <col min="2" max="2" width="12.1416666666667" customWidth="1"/>
    <col min="3" max="3" width="11.8583333333333" customWidth="1"/>
    <col min="4" max="4" width="14.425" customWidth="1"/>
    <col min="5" max="5" width="18.2833333333333" customWidth="1"/>
    <col min="6" max="6" width="19.1416666666667" customWidth="1"/>
    <col min="7" max="7" width="20.7166666666667" customWidth="1"/>
    <col min="8" max="8" width="23.5666666666667" customWidth="1"/>
    <col min="9" max="9" width="24.1416666666667" customWidth="1"/>
    <col min="10" max="10" width="13.1416666666667" customWidth="1"/>
    <col min="11" max="11" width="17.7166666666667" customWidth="1"/>
    <col min="12" max="12" width="18.7166666666667" customWidth="1"/>
    <col min="13" max="13" width="21.5666666666667" customWidth="1"/>
  </cols>
  <sheetData>
    <row r="1" spans="1:14">
      <c r="A1" t="s">
        <v>0</v>
      </c>
      <c r="B1" t="s">
        <v>5543</v>
      </c>
      <c r="C1" t="s">
        <v>5544</v>
      </c>
      <c r="D1" t="s">
        <v>5545</v>
      </c>
      <c r="E1" t="s">
        <v>5546</v>
      </c>
      <c r="F1" t="s">
        <v>5547</v>
      </c>
      <c r="G1" t="s">
        <v>5548</v>
      </c>
      <c r="H1" s="2" t="s">
        <v>5549</v>
      </c>
      <c r="I1" t="s">
        <v>5550</v>
      </c>
      <c r="J1" t="s">
        <v>5192</v>
      </c>
      <c r="K1" t="s">
        <v>5193</v>
      </c>
      <c r="L1" t="s">
        <v>5194</v>
      </c>
      <c r="M1" t="s">
        <v>5195</v>
      </c>
      <c r="N1" t="s">
        <v>5551</v>
      </c>
    </row>
    <row r="2" s="1" customFormat="1" spans="1:14">
      <c r="A2" s="1" t="s">
        <v>5552</v>
      </c>
      <c r="B2" s="1">
        <f>SUM(B3:B65536)</f>
        <v>18497</v>
      </c>
      <c r="C2" s="1">
        <f t="shared" ref="C2:N2" si="0">SUM(C3:C65536)</f>
        <v>27</v>
      </c>
      <c r="D2" s="1">
        <f t="shared" si="0"/>
        <v>1681</v>
      </c>
      <c r="E2" s="1">
        <f t="shared" si="0"/>
        <v>228</v>
      </c>
      <c r="F2" s="1">
        <f t="shared" si="0"/>
        <v>1909</v>
      </c>
      <c r="G2" s="1">
        <f t="shared" si="0"/>
        <v>0</v>
      </c>
      <c r="H2" s="1">
        <f t="shared" si="0"/>
        <v>9</v>
      </c>
      <c r="I2" s="1">
        <f t="shared" si="0"/>
        <v>50896.3500000017</v>
      </c>
      <c r="J2" s="1">
        <f t="shared" si="0"/>
        <v>3402</v>
      </c>
      <c r="K2" s="1">
        <f t="shared" si="0"/>
        <v>2831</v>
      </c>
      <c r="L2" s="1">
        <f t="shared" si="0"/>
        <v>204</v>
      </c>
      <c r="M2" s="1">
        <f t="shared" si="0"/>
        <v>0</v>
      </c>
      <c r="N2" s="1">
        <f t="shared" si="0"/>
        <v>6437</v>
      </c>
    </row>
    <row r="3" spans="1:14">
      <c r="A3" s="3" t="s">
        <v>18</v>
      </c>
      <c r="B3">
        <f>IFERROR(VLOOKUP(A3,管理亚马逊库存!A:K,11,0),"")</f>
        <v>0</v>
      </c>
      <c r="C3">
        <f>IFERROR(VLOOKUP(A3,管理亚马逊库存!A:L,12,0),"")</f>
        <v>0</v>
      </c>
      <c r="D3">
        <f>IFERROR(VLOOKUP(A3,管理亚马逊库存!A:Q,17,0),"")</f>
        <v>0</v>
      </c>
      <c r="E3">
        <f>IFERROR(VLOOKUP(A3,管理亚马逊库存!A:R,18,0),"")</f>
        <v>0</v>
      </c>
      <c r="F3">
        <f t="shared" ref="F3:F66" si="1">SUM(D3:E3)</f>
        <v>0</v>
      </c>
      <c r="G3">
        <f>IFERROR(VLOOKUP(A3,预留库存!A:G,7,0),0)</f>
        <v>0</v>
      </c>
      <c r="H3">
        <f>IFERROR(VLOOKUP(A3,预留库存!A:H,8,0),0)</f>
        <v>0</v>
      </c>
      <c r="I3">
        <f>IFERROR(VLOOKUP(A3,预留库存!A:F,6,0),0)</f>
        <v>0</v>
      </c>
      <c r="J3">
        <f>IFERROR(VLOOKUP(A3,库龄!B:K,9,0),0)</f>
        <v>0</v>
      </c>
      <c r="K3">
        <f>IFERROR(VLOOKUP(A3,库龄!B:L,10,0),0)</f>
        <v>0</v>
      </c>
      <c r="L3">
        <f>IFERROR(VLOOKUP(A3,库龄!B:M,11,0),0)</f>
        <v>0</v>
      </c>
      <c r="M3">
        <f>IFERROR(VLOOKUP(A3,库龄!B:N,12,0),0)</f>
        <v>0</v>
      </c>
      <c r="N3">
        <f t="shared" ref="N3:N66" si="2">SUM(J3:M3)</f>
        <v>0</v>
      </c>
    </row>
    <row r="4" spans="1:14">
      <c r="A4" s="3" t="s">
        <v>21</v>
      </c>
      <c r="B4">
        <f>IFERROR(VLOOKUP(A4,管理亚马逊库存!A:K,11,0),"")</f>
        <v>13</v>
      </c>
      <c r="C4">
        <f>IFERROR(VLOOKUP(A4,管理亚马逊库存!A:L,12,0),"")</f>
        <v>0</v>
      </c>
      <c r="D4">
        <f>IFERROR(VLOOKUP(A4,管理亚马逊库存!A:Q,17,0),"")</f>
        <v>0</v>
      </c>
      <c r="E4">
        <f>IFERROR(VLOOKUP(A4,管理亚马逊库存!A:R,18,0),"")</f>
        <v>0</v>
      </c>
      <c r="F4">
        <f t="shared" si="1"/>
        <v>0</v>
      </c>
      <c r="G4">
        <f>IFERROR(VLOOKUP(A4,预留库存!A:G,7,0),0)</f>
        <v>0</v>
      </c>
      <c r="H4">
        <f>IFERROR(VLOOKUP(A4,预留库存!A:H,8,0),0)</f>
        <v>0</v>
      </c>
      <c r="I4">
        <f>IFERROR(VLOOKUP(A4,预留库存!A:F,6,0),0)</f>
        <v>0</v>
      </c>
      <c r="J4">
        <f>IFERROR(VLOOKUP(A4,库龄!B:K,9,0),0)</f>
        <v>0</v>
      </c>
      <c r="K4">
        <f>IFERROR(VLOOKUP(A4,库龄!B:L,10,0),0)</f>
        <v>0</v>
      </c>
      <c r="L4">
        <f>IFERROR(VLOOKUP(A4,库龄!B:M,11,0),0)</f>
        <v>0</v>
      </c>
      <c r="M4">
        <f>IFERROR(VLOOKUP(A4,库龄!B:N,12,0),0)</f>
        <v>0</v>
      </c>
      <c r="N4">
        <f t="shared" si="2"/>
        <v>0</v>
      </c>
    </row>
    <row r="5" spans="1:14">
      <c r="A5" s="3" t="s">
        <v>23</v>
      </c>
      <c r="B5">
        <f>IFERROR(VLOOKUP(A5,管理亚马逊库存!A:K,11,0),"")</f>
        <v>45</v>
      </c>
      <c r="C5">
        <f>IFERROR(VLOOKUP(A5,管理亚马逊库存!A:L,12,0),"")</f>
        <v>0</v>
      </c>
      <c r="D5">
        <f>IFERROR(VLOOKUP(A5,管理亚马逊库存!A:Q,17,0),"")</f>
        <v>0</v>
      </c>
      <c r="E5">
        <f>IFERROR(VLOOKUP(A5,管理亚马逊库存!A:R,18,0),"")</f>
        <v>0</v>
      </c>
      <c r="F5">
        <f t="shared" si="1"/>
        <v>0</v>
      </c>
      <c r="G5">
        <f>IFERROR(VLOOKUP(A5,预留库存!A:G,7,0),0)</f>
        <v>0</v>
      </c>
      <c r="H5">
        <f>IFERROR(VLOOKUP(A5,预留库存!A:H,8,0),0)</f>
        <v>0</v>
      </c>
      <c r="I5">
        <f>IFERROR(VLOOKUP(A5,预留库存!A:F,6,0),0)</f>
        <v>0</v>
      </c>
      <c r="J5">
        <f>IFERROR(VLOOKUP(A5,库龄!B:K,9,0),0)</f>
        <v>0</v>
      </c>
      <c r="K5">
        <f>IFERROR(VLOOKUP(A5,库龄!B:L,10,0),0)</f>
        <v>0</v>
      </c>
      <c r="L5">
        <f>IFERROR(VLOOKUP(A5,库龄!B:M,11,0),0)</f>
        <v>0</v>
      </c>
      <c r="M5">
        <f>IFERROR(VLOOKUP(A5,库龄!B:N,12,0),0)</f>
        <v>0</v>
      </c>
      <c r="N5">
        <f t="shared" si="2"/>
        <v>0</v>
      </c>
    </row>
    <row r="6" spans="1:14">
      <c r="A6" s="3" t="s">
        <v>25</v>
      </c>
      <c r="B6">
        <f>IFERROR(VLOOKUP(A6,管理亚马逊库存!A:K,11,0),"")</f>
        <v>8</v>
      </c>
      <c r="C6">
        <f>IFERROR(VLOOKUP(A6,管理亚马逊库存!A:L,12,0),"")</f>
        <v>0</v>
      </c>
      <c r="D6">
        <f>IFERROR(VLOOKUP(A6,管理亚马逊库存!A:Q,17,0),"")</f>
        <v>0</v>
      </c>
      <c r="E6">
        <f>IFERROR(VLOOKUP(A6,管理亚马逊库存!A:R,18,0),"")</f>
        <v>0</v>
      </c>
      <c r="F6">
        <f t="shared" si="1"/>
        <v>0</v>
      </c>
      <c r="G6">
        <f>IFERROR(VLOOKUP(A6,预留库存!A:G,7,0),0)</f>
        <v>0</v>
      </c>
      <c r="H6">
        <f>IFERROR(VLOOKUP(A6,预留库存!A:H,8,0),0)</f>
        <v>0</v>
      </c>
      <c r="I6">
        <f>IFERROR(VLOOKUP(A6,预留库存!A:F,6,0),0)</f>
        <v>0</v>
      </c>
      <c r="J6">
        <f>IFERROR(VLOOKUP(A6,库龄!B:K,9,0),0)</f>
        <v>0</v>
      </c>
      <c r="K6">
        <f>IFERROR(VLOOKUP(A6,库龄!B:L,10,0),0)</f>
        <v>0</v>
      </c>
      <c r="L6">
        <f>IFERROR(VLOOKUP(A6,库龄!B:M,11,0),0)</f>
        <v>0</v>
      </c>
      <c r="M6">
        <f>IFERROR(VLOOKUP(A6,库龄!B:N,12,0),0)</f>
        <v>0</v>
      </c>
      <c r="N6">
        <f t="shared" si="2"/>
        <v>0</v>
      </c>
    </row>
    <row r="7" spans="1:14">
      <c r="A7" s="3" t="s">
        <v>27</v>
      </c>
      <c r="B7">
        <f>IFERROR(VLOOKUP(A7,管理亚马逊库存!A:K,11,0),"")</f>
        <v>22</v>
      </c>
      <c r="C7">
        <f>IFERROR(VLOOKUP(A7,管理亚马逊库存!A:L,12,0),"")</f>
        <v>0</v>
      </c>
      <c r="D7">
        <f>IFERROR(VLOOKUP(A7,管理亚马逊库存!A:Q,17,0),"")</f>
        <v>0</v>
      </c>
      <c r="E7">
        <f>IFERROR(VLOOKUP(A7,管理亚马逊库存!A:R,18,0),"")</f>
        <v>0</v>
      </c>
      <c r="F7">
        <f t="shared" si="1"/>
        <v>0</v>
      </c>
      <c r="G7">
        <f>IFERROR(VLOOKUP(A7,预留库存!A:G,7,0),0)</f>
        <v>0</v>
      </c>
      <c r="H7">
        <f>IFERROR(VLOOKUP(A7,预留库存!A:H,8,0),0)</f>
        <v>0</v>
      </c>
      <c r="I7">
        <f>IFERROR(VLOOKUP(A7,预留库存!A:F,6,0),0)</f>
        <v>0</v>
      </c>
      <c r="J7">
        <f>IFERROR(VLOOKUP(A7,库龄!B:K,9,0),0)</f>
        <v>0</v>
      </c>
      <c r="K7">
        <f>IFERROR(VLOOKUP(A7,库龄!B:L,10,0),0)</f>
        <v>0</v>
      </c>
      <c r="L7">
        <f>IFERROR(VLOOKUP(A7,库龄!B:M,11,0),0)</f>
        <v>0</v>
      </c>
      <c r="M7">
        <f>IFERROR(VLOOKUP(A7,库龄!B:N,12,0),0)</f>
        <v>0</v>
      </c>
      <c r="N7">
        <f t="shared" si="2"/>
        <v>0</v>
      </c>
    </row>
    <row r="8" spans="1:14">
      <c r="A8" s="3" t="s">
        <v>29</v>
      </c>
      <c r="B8">
        <f>IFERROR(VLOOKUP(A8,管理亚马逊库存!A:K,11,0),"")</f>
        <v>14</v>
      </c>
      <c r="C8">
        <f>IFERROR(VLOOKUP(A8,管理亚马逊库存!A:L,12,0),"")</f>
        <v>0</v>
      </c>
      <c r="D8">
        <f>IFERROR(VLOOKUP(A8,管理亚马逊库存!A:Q,17,0),"")</f>
        <v>0</v>
      </c>
      <c r="E8">
        <f>IFERROR(VLOOKUP(A8,管理亚马逊库存!A:R,18,0),"")</f>
        <v>0</v>
      </c>
      <c r="F8">
        <f t="shared" si="1"/>
        <v>0</v>
      </c>
      <c r="G8">
        <f>IFERROR(VLOOKUP(A8,预留库存!A:G,7,0),0)</f>
        <v>0</v>
      </c>
      <c r="H8">
        <f>IFERROR(VLOOKUP(A8,预留库存!A:H,8,0),0)</f>
        <v>0</v>
      </c>
      <c r="I8">
        <f>IFERROR(VLOOKUP(A8,预留库存!A:F,6,0),0)</f>
        <v>0</v>
      </c>
      <c r="J8">
        <f>IFERROR(VLOOKUP(A8,库龄!B:K,9,0),0)</f>
        <v>0</v>
      </c>
      <c r="K8">
        <f>IFERROR(VLOOKUP(A8,库龄!B:L,10,0),0)</f>
        <v>0</v>
      </c>
      <c r="L8">
        <f>IFERROR(VLOOKUP(A8,库龄!B:M,11,0),0)</f>
        <v>0</v>
      </c>
      <c r="M8">
        <f>IFERROR(VLOOKUP(A8,库龄!B:N,12,0),0)</f>
        <v>0</v>
      </c>
      <c r="N8">
        <f t="shared" si="2"/>
        <v>0</v>
      </c>
    </row>
    <row r="9" spans="1:14">
      <c r="A9" s="3" t="s">
        <v>31</v>
      </c>
      <c r="B9">
        <f>IFERROR(VLOOKUP(A9,管理亚马逊库存!A:K,11,0),"")</f>
        <v>27</v>
      </c>
      <c r="C9">
        <f>IFERROR(VLOOKUP(A9,管理亚马逊库存!A:L,12,0),"")</f>
        <v>0</v>
      </c>
      <c r="D9">
        <f>IFERROR(VLOOKUP(A9,管理亚马逊库存!A:Q,17,0),"")</f>
        <v>0</v>
      </c>
      <c r="E9">
        <f>IFERROR(VLOOKUP(A9,管理亚马逊库存!A:R,18,0),"")</f>
        <v>0</v>
      </c>
      <c r="F9">
        <f t="shared" si="1"/>
        <v>0</v>
      </c>
      <c r="G9">
        <f>IFERROR(VLOOKUP(A9,预留库存!A:G,7,0),0)</f>
        <v>0</v>
      </c>
      <c r="H9">
        <f>IFERROR(VLOOKUP(A9,预留库存!A:H,8,0),0)</f>
        <v>0</v>
      </c>
      <c r="I9">
        <f>IFERROR(VLOOKUP(A9,预留库存!A:F,6,0),0)</f>
        <v>0</v>
      </c>
      <c r="J9">
        <f>IFERROR(VLOOKUP(A9,库龄!B:K,9,0),0)</f>
        <v>0</v>
      </c>
      <c r="K9">
        <f>IFERROR(VLOOKUP(A9,库龄!B:L,10,0),0)</f>
        <v>0</v>
      </c>
      <c r="L9">
        <f>IFERROR(VLOOKUP(A9,库龄!B:M,11,0),0)</f>
        <v>0</v>
      </c>
      <c r="M9">
        <f>IFERROR(VLOOKUP(A9,库龄!B:N,12,0),0)</f>
        <v>0</v>
      </c>
      <c r="N9">
        <f t="shared" si="2"/>
        <v>0</v>
      </c>
    </row>
    <row r="10" spans="1:14">
      <c r="A10" s="3" t="s">
        <v>33</v>
      </c>
      <c r="B10">
        <f>IFERROR(VLOOKUP(A10,管理亚马逊库存!A:K,11,0),"")</f>
        <v>3</v>
      </c>
      <c r="C10">
        <f>IFERROR(VLOOKUP(A10,管理亚马逊库存!A:L,12,0),"")</f>
        <v>0</v>
      </c>
      <c r="D10">
        <f>IFERROR(VLOOKUP(A10,管理亚马逊库存!A:Q,17,0),"")</f>
        <v>0</v>
      </c>
      <c r="E10">
        <f>IFERROR(VLOOKUP(A10,管理亚马逊库存!A:R,18,0),"")</f>
        <v>0</v>
      </c>
      <c r="F10">
        <f t="shared" si="1"/>
        <v>0</v>
      </c>
      <c r="G10">
        <f>IFERROR(VLOOKUP(A10,预留库存!A:G,7,0),0)</f>
        <v>0</v>
      </c>
      <c r="H10">
        <f>IFERROR(VLOOKUP(A10,预留库存!A:H,8,0),0)</f>
        <v>0</v>
      </c>
      <c r="I10">
        <f>IFERROR(VLOOKUP(A10,预留库存!A:F,6,0),0)</f>
        <v>0</v>
      </c>
      <c r="J10">
        <f>IFERROR(VLOOKUP(A10,库龄!B:K,9,0),0)</f>
        <v>0</v>
      </c>
      <c r="K10">
        <f>IFERROR(VLOOKUP(A10,库龄!B:L,10,0),0)</f>
        <v>0</v>
      </c>
      <c r="L10">
        <f>IFERROR(VLOOKUP(A10,库龄!B:M,11,0),0)</f>
        <v>0</v>
      </c>
      <c r="M10">
        <f>IFERROR(VLOOKUP(A10,库龄!B:N,12,0),0)</f>
        <v>0</v>
      </c>
      <c r="N10">
        <f t="shared" si="2"/>
        <v>0</v>
      </c>
    </row>
    <row r="11" spans="1:14">
      <c r="A11" s="3" t="s">
        <v>35</v>
      </c>
      <c r="B11">
        <f>IFERROR(VLOOKUP(A11,管理亚马逊库存!A:K,11,0),"")</f>
        <v>9</v>
      </c>
      <c r="C11">
        <f>IFERROR(VLOOKUP(A11,管理亚马逊库存!A:L,12,0),"")</f>
        <v>0</v>
      </c>
      <c r="D11">
        <f>IFERROR(VLOOKUP(A11,管理亚马逊库存!A:Q,17,0),"")</f>
        <v>0</v>
      </c>
      <c r="E11">
        <f>IFERROR(VLOOKUP(A11,管理亚马逊库存!A:R,18,0),"")</f>
        <v>0</v>
      </c>
      <c r="F11">
        <f t="shared" si="1"/>
        <v>0</v>
      </c>
      <c r="G11">
        <f>IFERROR(VLOOKUP(A11,预留库存!A:G,7,0),0)</f>
        <v>0</v>
      </c>
      <c r="H11">
        <f>IFERROR(VLOOKUP(A11,预留库存!A:H,8,0),0)</f>
        <v>0</v>
      </c>
      <c r="I11">
        <f>IFERROR(VLOOKUP(A11,预留库存!A:F,6,0),0)</f>
        <v>0</v>
      </c>
      <c r="J11">
        <f>IFERROR(VLOOKUP(A11,库龄!B:K,9,0),0)</f>
        <v>0</v>
      </c>
      <c r="K11">
        <f>IFERROR(VLOOKUP(A11,库龄!B:L,10,0),0)</f>
        <v>0</v>
      </c>
      <c r="L11">
        <f>IFERROR(VLOOKUP(A11,库龄!B:M,11,0),0)</f>
        <v>0</v>
      </c>
      <c r="M11">
        <f>IFERROR(VLOOKUP(A11,库龄!B:N,12,0),0)</f>
        <v>0</v>
      </c>
      <c r="N11">
        <f t="shared" si="2"/>
        <v>0</v>
      </c>
    </row>
    <row r="12" spans="1:14">
      <c r="A12" s="3" t="s">
        <v>37</v>
      </c>
      <c r="B12">
        <f>IFERROR(VLOOKUP(A12,管理亚马逊库存!A:K,11,0),"")</f>
        <v>22</v>
      </c>
      <c r="C12">
        <f>IFERROR(VLOOKUP(A12,管理亚马逊库存!A:L,12,0),"")</f>
        <v>0</v>
      </c>
      <c r="D12">
        <f>IFERROR(VLOOKUP(A12,管理亚马逊库存!A:Q,17,0),"")</f>
        <v>0</v>
      </c>
      <c r="E12">
        <f>IFERROR(VLOOKUP(A12,管理亚马逊库存!A:R,18,0),"")</f>
        <v>0</v>
      </c>
      <c r="F12">
        <f t="shared" si="1"/>
        <v>0</v>
      </c>
      <c r="G12">
        <f>IFERROR(VLOOKUP(A12,预留库存!A:G,7,0),0)</f>
        <v>0</v>
      </c>
      <c r="H12">
        <f>IFERROR(VLOOKUP(A12,预留库存!A:H,8,0),0)</f>
        <v>0</v>
      </c>
      <c r="I12">
        <f>IFERROR(VLOOKUP(A12,预留库存!A:F,6,0),0)</f>
        <v>0</v>
      </c>
      <c r="J12">
        <f>IFERROR(VLOOKUP(A12,库龄!B:K,9,0),0)</f>
        <v>0</v>
      </c>
      <c r="K12">
        <f>IFERROR(VLOOKUP(A12,库龄!B:L,10,0),0)</f>
        <v>0</v>
      </c>
      <c r="L12">
        <f>IFERROR(VLOOKUP(A12,库龄!B:M,11,0),0)</f>
        <v>0</v>
      </c>
      <c r="M12">
        <f>IFERROR(VLOOKUP(A12,库龄!B:N,12,0),0)</f>
        <v>0</v>
      </c>
      <c r="N12">
        <f t="shared" si="2"/>
        <v>0</v>
      </c>
    </row>
    <row r="13" spans="1:14">
      <c r="A13" s="3" t="s">
        <v>39</v>
      </c>
      <c r="B13">
        <f>IFERROR(VLOOKUP(A13,管理亚马逊库存!A:K,11,0),"")</f>
        <v>14</v>
      </c>
      <c r="C13">
        <f>IFERROR(VLOOKUP(A13,管理亚马逊库存!A:L,12,0),"")</f>
        <v>0</v>
      </c>
      <c r="D13">
        <f>IFERROR(VLOOKUP(A13,管理亚马逊库存!A:Q,17,0),"")</f>
        <v>0</v>
      </c>
      <c r="E13">
        <f>IFERROR(VLOOKUP(A13,管理亚马逊库存!A:R,18,0),"")</f>
        <v>0</v>
      </c>
      <c r="F13">
        <f t="shared" si="1"/>
        <v>0</v>
      </c>
      <c r="G13">
        <f>IFERROR(VLOOKUP(A13,预留库存!A:G,7,0),0)</f>
        <v>0</v>
      </c>
      <c r="H13">
        <f>IFERROR(VLOOKUP(A13,预留库存!A:H,8,0),0)</f>
        <v>0</v>
      </c>
      <c r="I13">
        <f>IFERROR(VLOOKUP(A13,预留库存!A:F,6,0),0)</f>
        <v>0</v>
      </c>
      <c r="J13">
        <f>IFERROR(VLOOKUP(A13,库龄!B:K,9,0),0)</f>
        <v>0</v>
      </c>
      <c r="K13">
        <f>IFERROR(VLOOKUP(A13,库龄!B:L,10,0),0)</f>
        <v>0</v>
      </c>
      <c r="L13">
        <f>IFERROR(VLOOKUP(A13,库龄!B:M,11,0),0)</f>
        <v>0</v>
      </c>
      <c r="M13">
        <f>IFERROR(VLOOKUP(A13,库龄!B:N,12,0),0)</f>
        <v>0</v>
      </c>
      <c r="N13">
        <f t="shared" si="2"/>
        <v>0</v>
      </c>
    </row>
    <row r="14" spans="1:14">
      <c r="A14" s="3" t="s">
        <v>41</v>
      </c>
      <c r="B14">
        <f>IFERROR(VLOOKUP(A14,管理亚马逊库存!A:K,11,0),"")</f>
        <v>0</v>
      </c>
      <c r="C14">
        <f>IFERROR(VLOOKUP(A14,管理亚马逊库存!A:L,12,0),"")</f>
        <v>0</v>
      </c>
      <c r="D14">
        <f>IFERROR(VLOOKUP(A14,管理亚马逊库存!A:Q,17,0),"")</f>
        <v>0</v>
      </c>
      <c r="E14">
        <f>IFERROR(VLOOKUP(A14,管理亚马逊库存!A:R,18,0),"")</f>
        <v>0</v>
      </c>
      <c r="F14">
        <f t="shared" si="1"/>
        <v>0</v>
      </c>
      <c r="G14">
        <f>IFERROR(VLOOKUP(A14,预留库存!A:G,7,0),0)</f>
        <v>0</v>
      </c>
      <c r="H14">
        <f>IFERROR(VLOOKUP(A14,预留库存!A:H,8,0),0)</f>
        <v>0</v>
      </c>
      <c r="I14">
        <f>IFERROR(VLOOKUP(A14,预留库存!A:F,6,0),0)</f>
        <v>0</v>
      </c>
      <c r="J14">
        <f>IFERROR(VLOOKUP(A14,库龄!B:K,9,0),0)</f>
        <v>0</v>
      </c>
      <c r="K14">
        <f>IFERROR(VLOOKUP(A14,库龄!B:L,10,0),0)</f>
        <v>0</v>
      </c>
      <c r="L14">
        <f>IFERROR(VLOOKUP(A14,库龄!B:M,11,0),0)</f>
        <v>0</v>
      </c>
      <c r="M14">
        <f>IFERROR(VLOOKUP(A14,库龄!B:N,12,0),0)</f>
        <v>0</v>
      </c>
      <c r="N14">
        <f t="shared" si="2"/>
        <v>0</v>
      </c>
    </row>
    <row r="15" spans="1:14">
      <c r="A15" s="3" t="s">
        <v>43</v>
      </c>
      <c r="B15">
        <f>IFERROR(VLOOKUP(A15,管理亚马逊库存!A:K,11,0),"")</f>
        <v>12</v>
      </c>
      <c r="C15">
        <f>IFERROR(VLOOKUP(A15,管理亚马逊库存!A:L,12,0),"")</f>
        <v>0</v>
      </c>
      <c r="D15">
        <f>IFERROR(VLOOKUP(A15,管理亚马逊库存!A:Q,17,0),"")</f>
        <v>0</v>
      </c>
      <c r="E15">
        <f>IFERROR(VLOOKUP(A15,管理亚马逊库存!A:R,18,0),"")</f>
        <v>0</v>
      </c>
      <c r="F15">
        <f t="shared" si="1"/>
        <v>0</v>
      </c>
      <c r="G15">
        <f>IFERROR(VLOOKUP(A15,预留库存!A:G,7,0),0)</f>
        <v>0</v>
      </c>
      <c r="H15">
        <f>IFERROR(VLOOKUP(A15,预留库存!A:H,8,0),0)</f>
        <v>0</v>
      </c>
      <c r="I15">
        <f>IFERROR(VLOOKUP(A15,预留库存!A:F,6,0),0)</f>
        <v>0</v>
      </c>
      <c r="J15">
        <f>IFERROR(VLOOKUP(A15,库龄!B:K,9,0),0)</f>
        <v>0</v>
      </c>
      <c r="K15">
        <f>IFERROR(VLOOKUP(A15,库龄!B:L,10,0),0)</f>
        <v>0</v>
      </c>
      <c r="L15">
        <f>IFERROR(VLOOKUP(A15,库龄!B:M,11,0),0)</f>
        <v>0</v>
      </c>
      <c r="M15">
        <f>IFERROR(VLOOKUP(A15,库龄!B:N,12,0),0)</f>
        <v>0</v>
      </c>
      <c r="N15">
        <f t="shared" si="2"/>
        <v>0</v>
      </c>
    </row>
    <row r="16" spans="1:14">
      <c r="A16" s="3" t="s">
        <v>45</v>
      </c>
      <c r="B16">
        <f>IFERROR(VLOOKUP(A16,管理亚马逊库存!A:K,11,0),"")</f>
        <v>0</v>
      </c>
      <c r="C16">
        <f>IFERROR(VLOOKUP(A16,管理亚马逊库存!A:L,12,0),"")</f>
        <v>0</v>
      </c>
      <c r="D16">
        <f>IFERROR(VLOOKUP(A16,管理亚马逊库存!A:Q,17,0),"")</f>
        <v>0</v>
      </c>
      <c r="E16">
        <f>IFERROR(VLOOKUP(A16,管理亚马逊库存!A:R,18,0),"")</f>
        <v>0</v>
      </c>
      <c r="F16">
        <f t="shared" si="1"/>
        <v>0</v>
      </c>
      <c r="G16">
        <f>IFERROR(VLOOKUP(A16,预留库存!A:G,7,0),0)</f>
        <v>0</v>
      </c>
      <c r="H16">
        <f>IFERROR(VLOOKUP(A16,预留库存!A:H,8,0),0)</f>
        <v>0</v>
      </c>
      <c r="I16">
        <f>IFERROR(VLOOKUP(A16,预留库存!A:F,6,0),0)</f>
        <v>0</v>
      </c>
      <c r="J16">
        <f>IFERROR(VLOOKUP(A16,库龄!B:K,9,0),0)</f>
        <v>0</v>
      </c>
      <c r="K16">
        <f>IFERROR(VLOOKUP(A16,库龄!B:L,10,0),0)</f>
        <v>0</v>
      </c>
      <c r="L16">
        <f>IFERROR(VLOOKUP(A16,库龄!B:M,11,0),0)</f>
        <v>0</v>
      </c>
      <c r="M16">
        <f>IFERROR(VLOOKUP(A16,库龄!B:N,12,0),0)</f>
        <v>0</v>
      </c>
      <c r="N16">
        <f t="shared" si="2"/>
        <v>0</v>
      </c>
    </row>
    <row r="17" spans="1:14">
      <c r="A17" s="3" t="s">
        <v>47</v>
      </c>
      <c r="B17">
        <f>IFERROR(VLOOKUP(A17,管理亚马逊库存!A:K,11,0),"")</f>
        <v>0</v>
      </c>
      <c r="C17">
        <f>IFERROR(VLOOKUP(A17,管理亚马逊库存!A:L,12,0),"")</f>
        <v>0</v>
      </c>
      <c r="D17">
        <f>IFERROR(VLOOKUP(A17,管理亚马逊库存!A:Q,17,0),"")</f>
        <v>0</v>
      </c>
      <c r="E17">
        <f>IFERROR(VLOOKUP(A17,管理亚马逊库存!A:R,18,0),"")</f>
        <v>0</v>
      </c>
      <c r="F17">
        <f t="shared" si="1"/>
        <v>0</v>
      </c>
      <c r="G17">
        <f>IFERROR(VLOOKUP(A17,预留库存!A:G,7,0),0)</f>
        <v>0</v>
      </c>
      <c r="H17">
        <f>IFERROR(VLOOKUP(A17,预留库存!A:H,8,0),0)</f>
        <v>0</v>
      </c>
      <c r="I17">
        <f>IFERROR(VLOOKUP(A17,预留库存!A:F,6,0),0)</f>
        <v>0</v>
      </c>
      <c r="J17">
        <f>IFERROR(VLOOKUP(A17,库龄!B:K,9,0),0)</f>
        <v>0</v>
      </c>
      <c r="K17">
        <f>IFERROR(VLOOKUP(A17,库龄!B:L,10,0),0)</f>
        <v>0</v>
      </c>
      <c r="L17">
        <f>IFERROR(VLOOKUP(A17,库龄!B:M,11,0),0)</f>
        <v>0</v>
      </c>
      <c r="M17">
        <f>IFERROR(VLOOKUP(A17,库龄!B:N,12,0),0)</f>
        <v>0</v>
      </c>
      <c r="N17">
        <f t="shared" si="2"/>
        <v>0</v>
      </c>
    </row>
    <row r="18" spans="1:14">
      <c r="A18" s="3" t="s">
        <v>49</v>
      </c>
      <c r="B18">
        <f>IFERROR(VLOOKUP(A18,管理亚马逊库存!A:K,11,0),"")</f>
        <v>12</v>
      </c>
      <c r="C18">
        <f>IFERROR(VLOOKUP(A18,管理亚马逊库存!A:L,12,0),"")</f>
        <v>0</v>
      </c>
      <c r="D18">
        <f>IFERROR(VLOOKUP(A18,管理亚马逊库存!A:Q,17,0),"")</f>
        <v>0</v>
      </c>
      <c r="E18">
        <f>IFERROR(VLOOKUP(A18,管理亚马逊库存!A:R,18,0),"")</f>
        <v>0</v>
      </c>
      <c r="F18">
        <f t="shared" si="1"/>
        <v>0</v>
      </c>
      <c r="G18">
        <f>IFERROR(VLOOKUP(A18,预留库存!A:G,7,0),0)</f>
        <v>0</v>
      </c>
      <c r="H18">
        <f>IFERROR(VLOOKUP(A18,预留库存!A:H,8,0),0)</f>
        <v>0</v>
      </c>
      <c r="I18">
        <f>IFERROR(VLOOKUP(A18,预留库存!A:F,6,0),0)</f>
        <v>0</v>
      </c>
      <c r="J18">
        <f>IFERROR(VLOOKUP(A18,库龄!B:K,9,0),0)</f>
        <v>0</v>
      </c>
      <c r="K18">
        <f>IFERROR(VLOOKUP(A18,库龄!B:L,10,0),0)</f>
        <v>0</v>
      </c>
      <c r="L18">
        <f>IFERROR(VLOOKUP(A18,库龄!B:M,11,0),0)</f>
        <v>0</v>
      </c>
      <c r="M18">
        <f>IFERROR(VLOOKUP(A18,库龄!B:N,12,0),0)</f>
        <v>0</v>
      </c>
      <c r="N18">
        <f t="shared" si="2"/>
        <v>0</v>
      </c>
    </row>
    <row r="19" spans="1:14">
      <c r="A19" s="3" t="s">
        <v>51</v>
      </c>
      <c r="B19">
        <f>IFERROR(VLOOKUP(A19,管理亚马逊库存!A:K,11,0),"")</f>
        <v>29</v>
      </c>
      <c r="C19">
        <f>IFERROR(VLOOKUP(A19,管理亚马逊库存!A:L,12,0),"")</f>
        <v>0</v>
      </c>
      <c r="D19">
        <f>IFERROR(VLOOKUP(A19,管理亚马逊库存!A:Q,17,0),"")</f>
        <v>0</v>
      </c>
      <c r="E19">
        <f>IFERROR(VLOOKUP(A19,管理亚马逊库存!A:R,18,0),"")</f>
        <v>0</v>
      </c>
      <c r="F19">
        <f t="shared" si="1"/>
        <v>0</v>
      </c>
      <c r="G19">
        <f>IFERROR(VLOOKUP(A19,预留库存!A:G,7,0),0)</f>
        <v>0</v>
      </c>
      <c r="H19">
        <f>IFERROR(VLOOKUP(A19,预留库存!A:H,8,0),0)</f>
        <v>0</v>
      </c>
      <c r="I19">
        <f>IFERROR(VLOOKUP(A19,预留库存!A:F,6,0),0)</f>
        <v>0</v>
      </c>
      <c r="J19">
        <f>IFERROR(VLOOKUP(A19,库龄!B:K,9,0),0)</f>
        <v>0</v>
      </c>
      <c r="K19">
        <f>IFERROR(VLOOKUP(A19,库龄!B:L,10,0),0)</f>
        <v>0</v>
      </c>
      <c r="L19">
        <f>IFERROR(VLOOKUP(A19,库龄!B:M,11,0),0)</f>
        <v>0</v>
      </c>
      <c r="M19">
        <f>IFERROR(VLOOKUP(A19,库龄!B:N,12,0),0)</f>
        <v>0</v>
      </c>
      <c r="N19">
        <f t="shared" si="2"/>
        <v>0</v>
      </c>
    </row>
    <row r="20" spans="1:14">
      <c r="A20" s="3" t="s">
        <v>53</v>
      </c>
      <c r="B20">
        <f>IFERROR(VLOOKUP(A20,管理亚马逊库存!A:K,11,0),"")</f>
        <v>33</v>
      </c>
      <c r="C20">
        <f>IFERROR(VLOOKUP(A20,管理亚马逊库存!A:L,12,0),"")</f>
        <v>0</v>
      </c>
      <c r="D20">
        <f>IFERROR(VLOOKUP(A20,管理亚马逊库存!A:Q,17,0),"")</f>
        <v>0</v>
      </c>
      <c r="E20">
        <f>IFERROR(VLOOKUP(A20,管理亚马逊库存!A:R,18,0),"")</f>
        <v>0</v>
      </c>
      <c r="F20">
        <f t="shared" si="1"/>
        <v>0</v>
      </c>
      <c r="G20">
        <f>IFERROR(VLOOKUP(A20,预留库存!A:G,7,0),0)</f>
        <v>0</v>
      </c>
      <c r="H20">
        <f>IFERROR(VLOOKUP(A20,预留库存!A:H,8,0),0)</f>
        <v>0</v>
      </c>
      <c r="I20">
        <f>IFERROR(VLOOKUP(A20,预留库存!A:F,6,0),0)</f>
        <v>0</v>
      </c>
      <c r="J20">
        <f>IFERROR(VLOOKUP(A20,库龄!B:K,9,0),0)</f>
        <v>0</v>
      </c>
      <c r="K20">
        <f>IFERROR(VLOOKUP(A20,库龄!B:L,10,0),0)</f>
        <v>0</v>
      </c>
      <c r="L20">
        <f>IFERROR(VLOOKUP(A20,库龄!B:M,11,0),0)</f>
        <v>0</v>
      </c>
      <c r="M20">
        <f>IFERROR(VLOOKUP(A20,库龄!B:N,12,0),0)</f>
        <v>0</v>
      </c>
      <c r="N20">
        <f t="shared" si="2"/>
        <v>0</v>
      </c>
    </row>
    <row r="21" spans="1:14">
      <c r="A21" s="3" t="s">
        <v>55</v>
      </c>
      <c r="B21">
        <f>IFERROR(VLOOKUP(A21,管理亚马逊库存!A:K,11,0),"")</f>
        <v>38</v>
      </c>
      <c r="C21">
        <f>IFERROR(VLOOKUP(A21,管理亚马逊库存!A:L,12,0),"")</f>
        <v>0</v>
      </c>
      <c r="D21">
        <f>IFERROR(VLOOKUP(A21,管理亚马逊库存!A:Q,17,0),"")</f>
        <v>0</v>
      </c>
      <c r="E21">
        <f>IFERROR(VLOOKUP(A21,管理亚马逊库存!A:R,18,0),"")</f>
        <v>0</v>
      </c>
      <c r="F21">
        <f t="shared" si="1"/>
        <v>0</v>
      </c>
      <c r="G21">
        <f>IFERROR(VLOOKUP(A21,预留库存!A:G,7,0),0)</f>
        <v>0</v>
      </c>
      <c r="H21">
        <f>IFERROR(VLOOKUP(A21,预留库存!A:H,8,0),0)</f>
        <v>0</v>
      </c>
      <c r="I21">
        <f>IFERROR(VLOOKUP(A21,预留库存!A:F,6,0),0)</f>
        <v>0</v>
      </c>
      <c r="J21">
        <f>IFERROR(VLOOKUP(A21,库龄!B:K,9,0),0)</f>
        <v>0</v>
      </c>
      <c r="K21">
        <f>IFERROR(VLOOKUP(A21,库龄!B:L,10,0),0)</f>
        <v>0</v>
      </c>
      <c r="L21">
        <f>IFERROR(VLOOKUP(A21,库龄!B:M,11,0),0)</f>
        <v>0</v>
      </c>
      <c r="M21">
        <f>IFERROR(VLOOKUP(A21,库龄!B:N,12,0),0)</f>
        <v>0</v>
      </c>
      <c r="N21">
        <f t="shared" si="2"/>
        <v>0</v>
      </c>
    </row>
    <row r="22" spans="1:14">
      <c r="A22" s="3" t="s">
        <v>57</v>
      </c>
      <c r="B22">
        <f>IFERROR(VLOOKUP(A22,管理亚马逊库存!A:K,11,0),"")</f>
        <v>87</v>
      </c>
      <c r="C22">
        <f>IFERROR(VLOOKUP(A22,管理亚马逊库存!A:L,12,0),"")</f>
        <v>0</v>
      </c>
      <c r="D22">
        <f>IFERROR(VLOOKUP(A22,管理亚马逊库存!A:Q,17,0),"")</f>
        <v>0</v>
      </c>
      <c r="E22">
        <f>IFERROR(VLOOKUP(A22,管理亚马逊库存!A:R,18,0),"")</f>
        <v>0</v>
      </c>
      <c r="F22">
        <f t="shared" si="1"/>
        <v>0</v>
      </c>
      <c r="G22">
        <f>IFERROR(VLOOKUP(A22,预留库存!A:G,7,0),0)</f>
        <v>0</v>
      </c>
      <c r="H22">
        <f>IFERROR(VLOOKUP(A22,预留库存!A:H,8,0),0)</f>
        <v>0</v>
      </c>
      <c r="I22">
        <f>IFERROR(VLOOKUP(A22,预留库存!A:F,6,0),0)</f>
        <v>0</v>
      </c>
      <c r="J22">
        <f>IFERROR(VLOOKUP(A22,库龄!B:K,9,0),0)</f>
        <v>0</v>
      </c>
      <c r="K22">
        <f>IFERROR(VLOOKUP(A22,库龄!B:L,10,0),0)</f>
        <v>0</v>
      </c>
      <c r="L22">
        <f>IFERROR(VLOOKUP(A22,库龄!B:M,11,0),0)</f>
        <v>0</v>
      </c>
      <c r="M22">
        <f>IFERROR(VLOOKUP(A22,库龄!B:N,12,0),0)</f>
        <v>0</v>
      </c>
      <c r="N22">
        <f t="shared" si="2"/>
        <v>0</v>
      </c>
    </row>
    <row r="23" spans="1:14">
      <c r="A23" s="3" t="s">
        <v>59</v>
      </c>
      <c r="B23">
        <f>IFERROR(VLOOKUP(A23,管理亚马逊库存!A:K,11,0),"")</f>
        <v>31</v>
      </c>
      <c r="C23">
        <f>IFERROR(VLOOKUP(A23,管理亚马逊库存!A:L,12,0),"")</f>
        <v>0</v>
      </c>
      <c r="D23">
        <f>IFERROR(VLOOKUP(A23,管理亚马逊库存!A:Q,17,0),"")</f>
        <v>0</v>
      </c>
      <c r="E23">
        <f>IFERROR(VLOOKUP(A23,管理亚马逊库存!A:R,18,0),"")</f>
        <v>0</v>
      </c>
      <c r="F23">
        <f t="shared" si="1"/>
        <v>0</v>
      </c>
      <c r="G23">
        <f>IFERROR(VLOOKUP(A23,预留库存!A:G,7,0),0)</f>
        <v>0</v>
      </c>
      <c r="H23">
        <f>IFERROR(VLOOKUP(A23,预留库存!A:H,8,0),0)</f>
        <v>0</v>
      </c>
      <c r="I23">
        <f>IFERROR(VLOOKUP(A23,预留库存!A:F,6,0),0)</f>
        <v>0</v>
      </c>
      <c r="J23">
        <f>IFERROR(VLOOKUP(A23,库龄!B:K,9,0),0)</f>
        <v>30</v>
      </c>
      <c r="K23">
        <f>IFERROR(VLOOKUP(A23,库龄!B:L,10,0),0)</f>
        <v>0</v>
      </c>
      <c r="L23">
        <f>IFERROR(VLOOKUP(A23,库龄!B:M,11,0),0)</f>
        <v>0</v>
      </c>
      <c r="M23">
        <f>IFERROR(VLOOKUP(A23,库龄!B:N,12,0),0)</f>
        <v>0</v>
      </c>
      <c r="N23">
        <f t="shared" si="2"/>
        <v>30</v>
      </c>
    </row>
    <row r="24" spans="1:14">
      <c r="A24" s="3" t="s">
        <v>61</v>
      </c>
      <c r="B24">
        <f>IFERROR(VLOOKUP(A24,管理亚马逊库存!A:K,11,0),"")</f>
        <v>42</v>
      </c>
      <c r="C24">
        <f>IFERROR(VLOOKUP(A24,管理亚马逊库存!A:L,12,0),"")</f>
        <v>0</v>
      </c>
      <c r="D24">
        <f>IFERROR(VLOOKUP(A24,管理亚马逊库存!A:Q,17,0),"")</f>
        <v>0</v>
      </c>
      <c r="E24">
        <f>IFERROR(VLOOKUP(A24,管理亚马逊库存!A:R,18,0),"")</f>
        <v>0</v>
      </c>
      <c r="F24">
        <f t="shared" si="1"/>
        <v>0</v>
      </c>
      <c r="G24">
        <f>IFERROR(VLOOKUP(A24,预留库存!A:G,7,0),0)</f>
        <v>0</v>
      </c>
      <c r="H24">
        <f>IFERROR(VLOOKUP(A24,预留库存!A:H,8,0),0)</f>
        <v>0</v>
      </c>
      <c r="I24">
        <f>IFERROR(VLOOKUP(A24,预留库存!A:F,6,0),0)</f>
        <v>0</v>
      </c>
      <c r="J24">
        <f>IFERROR(VLOOKUP(A24,库龄!B:K,9,0),0)</f>
        <v>0</v>
      </c>
      <c r="K24">
        <f>IFERROR(VLOOKUP(A24,库龄!B:L,10,0),0)</f>
        <v>0</v>
      </c>
      <c r="L24">
        <f>IFERROR(VLOOKUP(A24,库龄!B:M,11,0),0)</f>
        <v>0</v>
      </c>
      <c r="M24">
        <f>IFERROR(VLOOKUP(A24,库龄!B:N,12,0),0)</f>
        <v>0</v>
      </c>
      <c r="N24">
        <f t="shared" si="2"/>
        <v>0</v>
      </c>
    </row>
    <row r="25" spans="1:14">
      <c r="A25" s="3" t="s">
        <v>63</v>
      </c>
      <c r="B25">
        <f>IFERROR(VLOOKUP(A25,管理亚马逊库存!A:K,11,0),"")</f>
        <v>18</v>
      </c>
      <c r="C25">
        <f>IFERROR(VLOOKUP(A25,管理亚马逊库存!A:L,12,0),"")</f>
        <v>0</v>
      </c>
      <c r="D25">
        <f>IFERROR(VLOOKUP(A25,管理亚马逊库存!A:Q,17,0),"")</f>
        <v>0</v>
      </c>
      <c r="E25">
        <f>IFERROR(VLOOKUP(A25,管理亚马逊库存!A:R,18,0),"")</f>
        <v>0</v>
      </c>
      <c r="F25">
        <f t="shared" si="1"/>
        <v>0</v>
      </c>
      <c r="G25">
        <f>IFERROR(VLOOKUP(A25,预留库存!A:G,7,0),0)</f>
        <v>0</v>
      </c>
      <c r="H25">
        <f>IFERROR(VLOOKUP(A25,预留库存!A:H,8,0),0)</f>
        <v>0</v>
      </c>
      <c r="I25">
        <f>IFERROR(VLOOKUP(A25,预留库存!A:F,6,0),0)</f>
        <v>0</v>
      </c>
      <c r="J25">
        <f>IFERROR(VLOOKUP(A25,库龄!B:K,9,0),0)</f>
        <v>0</v>
      </c>
      <c r="K25">
        <f>IFERROR(VLOOKUP(A25,库龄!B:L,10,0),0)</f>
        <v>0</v>
      </c>
      <c r="L25">
        <f>IFERROR(VLOOKUP(A25,库龄!B:M,11,0),0)</f>
        <v>0</v>
      </c>
      <c r="M25">
        <f>IFERROR(VLOOKUP(A25,库龄!B:N,12,0),0)</f>
        <v>0</v>
      </c>
      <c r="N25">
        <f t="shared" si="2"/>
        <v>0</v>
      </c>
    </row>
    <row r="26" spans="1:14">
      <c r="A26" s="3" t="s">
        <v>65</v>
      </c>
      <c r="B26">
        <f>IFERROR(VLOOKUP(A26,管理亚马逊库存!A:K,11,0),"")</f>
        <v>8</v>
      </c>
      <c r="C26">
        <f>IFERROR(VLOOKUP(A26,管理亚马逊库存!A:L,12,0),"")</f>
        <v>0</v>
      </c>
      <c r="D26">
        <f>IFERROR(VLOOKUP(A26,管理亚马逊库存!A:Q,17,0),"")</f>
        <v>0</v>
      </c>
      <c r="E26">
        <f>IFERROR(VLOOKUP(A26,管理亚马逊库存!A:R,18,0),"")</f>
        <v>0</v>
      </c>
      <c r="F26">
        <f t="shared" si="1"/>
        <v>0</v>
      </c>
      <c r="G26">
        <f>IFERROR(VLOOKUP(A26,预留库存!A:G,7,0),0)</f>
        <v>0</v>
      </c>
      <c r="H26">
        <f>IFERROR(VLOOKUP(A26,预留库存!A:H,8,0),0)</f>
        <v>0</v>
      </c>
      <c r="I26">
        <f>IFERROR(VLOOKUP(A26,预留库存!A:F,6,0),0)</f>
        <v>0</v>
      </c>
      <c r="J26">
        <f>IFERROR(VLOOKUP(A26,库龄!B:K,9,0),0)</f>
        <v>0</v>
      </c>
      <c r="K26">
        <f>IFERROR(VLOOKUP(A26,库龄!B:L,10,0),0)</f>
        <v>0</v>
      </c>
      <c r="L26">
        <f>IFERROR(VLOOKUP(A26,库龄!B:M,11,0),0)</f>
        <v>0</v>
      </c>
      <c r="M26">
        <f>IFERROR(VLOOKUP(A26,库龄!B:N,12,0),0)</f>
        <v>0</v>
      </c>
      <c r="N26">
        <f t="shared" si="2"/>
        <v>0</v>
      </c>
    </row>
    <row r="27" spans="1:14">
      <c r="A27" s="3" t="s">
        <v>67</v>
      </c>
      <c r="B27">
        <f>IFERROR(VLOOKUP(A27,管理亚马逊库存!A:K,11,0),"")</f>
        <v>43</v>
      </c>
      <c r="C27">
        <f>IFERROR(VLOOKUP(A27,管理亚马逊库存!A:L,12,0),"")</f>
        <v>0</v>
      </c>
      <c r="D27">
        <f>IFERROR(VLOOKUP(A27,管理亚马逊库存!A:Q,17,0),"")</f>
        <v>0</v>
      </c>
      <c r="E27">
        <f>IFERROR(VLOOKUP(A27,管理亚马逊库存!A:R,18,0),"")</f>
        <v>0</v>
      </c>
      <c r="F27">
        <f t="shared" si="1"/>
        <v>0</v>
      </c>
      <c r="G27">
        <f>IFERROR(VLOOKUP(A27,预留库存!A:G,7,0),0)</f>
        <v>0</v>
      </c>
      <c r="H27">
        <f>IFERROR(VLOOKUP(A27,预留库存!A:H,8,0),0)</f>
        <v>0</v>
      </c>
      <c r="I27">
        <f>IFERROR(VLOOKUP(A27,预留库存!A:F,6,0),0)</f>
        <v>0</v>
      </c>
      <c r="J27">
        <f>IFERROR(VLOOKUP(A27,库龄!B:K,9,0),0)</f>
        <v>0</v>
      </c>
      <c r="K27">
        <f>IFERROR(VLOOKUP(A27,库龄!B:L,10,0),0)</f>
        <v>0</v>
      </c>
      <c r="L27">
        <f>IFERROR(VLOOKUP(A27,库龄!B:M,11,0),0)</f>
        <v>0</v>
      </c>
      <c r="M27">
        <f>IFERROR(VLOOKUP(A27,库龄!B:N,12,0),0)</f>
        <v>0</v>
      </c>
      <c r="N27">
        <f t="shared" si="2"/>
        <v>0</v>
      </c>
    </row>
    <row r="28" spans="1:14">
      <c r="A28" s="3" t="s">
        <v>69</v>
      </c>
      <c r="B28">
        <f>IFERROR(VLOOKUP(A28,管理亚马逊库存!A:K,11,0),"")</f>
        <v>51</v>
      </c>
      <c r="C28">
        <f>IFERROR(VLOOKUP(A28,管理亚马逊库存!A:L,12,0),"")</f>
        <v>0</v>
      </c>
      <c r="D28">
        <f>IFERROR(VLOOKUP(A28,管理亚马逊库存!A:Q,17,0),"")</f>
        <v>0</v>
      </c>
      <c r="E28">
        <f>IFERROR(VLOOKUP(A28,管理亚马逊库存!A:R,18,0),"")</f>
        <v>0</v>
      </c>
      <c r="F28">
        <f t="shared" si="1"/>
        <v>0</v>
      </c>
      <c r="G28">
        <f>IFERROR(VLOOKUP(A28,预留库存!A:G,7,0),0)</f>
        <v>0</v>
      </c>
      <c r="H28">
        <f>IFERROR(VLOOKUP(A28,预留库存!A:H,8,0),0)</f>
        <v>0</v>
      </c>
      <c r="I28">
        <f>IFERROR(VLOOKUP(A28,预留库存!A:F,6,0),0)</f>
        <v>0</v>
      </c>
      <c r="J28">
        <f>IFERROR(VLOOKUP(A28,库龄!B:K,9,0),0)</f>
        <v>0</v>
      </c>
      <c r="K28">
        <f>IFERROR(VLOOKUP(A28,库龄!B:L,10,0),0)</f>
        <v>0</v>
      </c>
      <c r="L28">
        <f>IFERROR(VLOOKUP(A28,库龄!B:M,11,0),0)</f>
        <v>0</v>
      </c>
      <c r="M28">
        <f>IFERROR(VLOOKUP(A28,库龄!B:N,12,0),0)</f>
        <v>0</v>
      </c>
      <c r="N28">
        <f t="shared" si="2"/>
        <v>0</v>
      </c>
    </row>
    <row r="29" spans="1:14">
      <c r="A29" s="3" t="s">
        <v>71</v>
      </c>
      <c r="B29">
        <f>IFERROR(VLOOKUP(A29,管理亚马逊库存!A:K,11,0),"")</f>
        <v>12</v>
      </c>
      <c r="C29">
        <f>IFERROR(VLOOKUP(A29,管理亚马逊库存!A:L,12,0),"")</f>
        <v>0</v>
      </c>
      <c r="D29">
        <f>IFERROR(VLOOKUP(A29,管理亚马逊库存!A:Q,17,0),"")</f>
        <v>0</v>
      </c>
      <c r="E29">
        <f>IFERROR(VLOOKUP(A29,管理亚马逊库存!A:R,18,0),"")</f>
        <v>0</v>
      </c>
      <c r="F29">
        <f t="shared" si="1"/>
        <v>0</v>
      </c>
      <c r="G29">
        <f>IFERROR(VLOOKUP(A29,预留库存!A:G,7,0),0)</f>
        <v>0</v>
      </c>
      <c r="H29">
        <f>IFERROR(VLOOKUP(A29,预留库存!A:H,8,0),0)</f>
        <v>0</v>
      </c>
      <c r="I29">
        <f>IFERROR(VLOOKUP(A29,预留库存!A:F,6,0),0)</f>
        <v>0</v>
      </c>
      <c r="J29">
        <f>IFERROR(VLOOKUP(A29,库龄!B:K,9,0),0)</f>
        <v>0</v>
      </c>
      <c r="K29">
        <f>IFERROR(VLOOKUP(A29,库龄!B:L,10,0),0)</f>
        <v>0</v>
      </c>
      <c r="L29">
        <f>IFERROR(VLOOKUP(A29,库龄!B:M,11,0),0)</f>
        <v>0</v>
      </c>
      <c r="M29">
        <f>IFERROR(VLOOKUP(A29,库龄!B:N,12,0),0)</f>
        <v>0</v>
      </c>
      <c r="N29">
        <f t="shared" si="2"/>
        <v>0</v>
      </c>
    </row>
    <row r="30" spans="1:14">
      <c r="A30" s="3" t="s">
        <v>73</v>
      </c>
      <c r="B30">
        <f>IFERROR(VLOOKUP(A30,管理亚马逊库存!A:K,11,0),"")</f>
        <v>26</v>
      </c>
      <c r="C30">
        <f>IFERROR(VLOOKUP(A30,管理亚马逊库存!A:L,12,0),"")</f>
        <v>0</v>
      </c>
      <c r="D30">
        <f>IFERROR(VLOOKUP(A30,管理亚马逊库存!A:Q,17,0),"")</f>
        <v>0</v>
      </c>
      <c r="E30">
        <f>IFERROR(VLOOKUP(A30,管理亚马逊库存!A:R,18,0),"")</f>
        <v>0</v>
      </c>
      <c r="F30">
        <f t="shared" si="1"/>
        <v>0</v>
      </c>
      <c r="G30">
        <f>IFERROR(VLOOKUP(A30,预留库存!A:G,7,0),0)</f>
        <v>0</v>
      </c>
      <c r="H30">
        <f>IFERROR(VLOOKUP(A30,预留库存!A:H,8,0),0)</f>
        <v>0</v>
      </c>
      <c r="I30">
        <f>IFERROR(VLOOKUP(A30,预留库存!A:F,6,0),0)</f>
        <v>0</v>
      </c>
      <c r="J30">
        <f>IFERROR(VLOOKUP(A30,库龄!B:K,9,0),0)</f>
        <v>0</v>
      </c>
      <c r="K30">
        <f>IFERROR(VLOOKUP(A30,库龄!B:L,10,0),0)</f>
        <v>0</v>
      </c>
      <c r="L30">
        <f>IFERROR(VLOOKUP(A30,库龄!B:M,11,0),0)</f>
        <v>0</v>
      </c>
      <c r="M30">
        <f>IFERROR(VLOOKUP(A30,库龄!B:N,12,0),0)</f>
        <v>0</v>
      </c>
      <c r="N30">
        <f t="shared" si="2"/>
        <v>0</v>
      </c>
    </row>
    <row r="31" spans="1:14">
      <c r="A31" s="3" t="s">
        <v>75</v>
      </c>
      <c r="B31">
        <f>IFERROR(VLOOKUP(A31,管理亚马逊库存!A:K,11,0),"")</f>
        <v>11</v>
      </c>
      <c r="C31">
        <f>IFERROR(VLOOKUP(A31,管理亚马逊库存!A:L,12,0),"")</f>
        <v>0</v>
      </c>
      <c r="D31">
        <f>IFERROR(VLOOKUP(A31,管理亚马逊库存!A:Q,17,0),"")</f>
        <v>0</v>
      </c>
      <c r="E31">
        <f>IFERROR(VLOOKUP(A31,管理亚马逊库存!A:R,18,0),"")</f>
        <v>0</v>
      </c>
      <c r="F31">
        <f t="shared" si="1"/>
        <v>0</v>
      </c>
      <c r="G31">
        <f>IFERROR(VLOOKUP(A31,预留库存!A:G,7,0),0)</f>
        <v>0</v>
      </c>
      <c r="H31">
        <f>IFERROR(VLOOKUP(A31,预留库存!A:H,8,0),0)</f>
        <v>0</v>
      </c>
      <c r="I31">
        <f>IFERROR(VLOOKUP(A31,预留库存!A:F,6,0),0)</f>
        <v>0</v>
      </c>
      <c r="J31">
        <f>IFERROR(VLOOKUP(A31,库龄!B:K,9,0),0)</f>
        <v>0</v>
      </c>
      <c r="K31">
        <f>IFERROR(VLOOKUP(A31,库龄!B:L,10,0),0)</f>
        <v>0</v>
      </c>
      <c r="L31">
        <f>IFERROR(VLOOKUP(A31,库龄!B:M,11,0),0)</f>
        <v>0</v>
      </c>
      <c r="M31">
        <f>IFERROR(VLOOKUP(A31,库龄!B:N,12,0),0)</f>
        <v>0</v>
      </c>
      <c r="N31">
        <f t="shared" si="2"/>
        <v>0</v>
      </c>
    </row>
    <row r="32" spans="1:14">
      <c r="A32" s="3" t="s">
        <v>77</v>
      </c>
      <c r="B32">
        <f>IFERROR(VLOOKUP(A32,管理亚马逊库存!A:K,11,0),"")</f>
        <v>33</v>
      </c>
      <c r="C32">
        <f>IFERROR(VLOOKUP(A32,管理亚马逊库存!A:L,12,0),"")</f>
        <v>0</v>
      </c>
      <c r="D32">
        <f>IFERROR(VLOOKUP(A32,管理亚马逊库存!A:Q,17,0),"")</f>
        <v>0</v>
      </c>
      <c r="E32">
        <f>IFERROR(VLOOKUP(A32,管理亚马逊库存!A:R,18,0),"")</f>
        <v>0</v>
      </c>
      <c r="F32">
        <f t="shared" si="1"/>
        <v>0</v>
      </c>
      <c r="G32">
        <f>IFERROR(VLOOKUP(A32,预留库存!A:G,7,0),0)</f>
        <v>0</v>
      </c>
      <c r="H32">
        <f>IFERROR(VLOOKUP(A32,预留库存!A:H,8,0),0)</f>
        <v>0</v>
      </c>
      <c r="I32">
        <f>IFERROR(VLOOKUP(A32,预留库存!A:F,6,0),0)</f>
        <v>0</v>
      </c>
      <c r="J32">
        <f>IFERROR(VLOOKUP(A32,库龄!B:K,9,0),0)</f>
        <v>0</v>
      </c>
      <c r="K32">
        <f>IFERROR(VLOOKUP(A32,库龄!B:L,10,0),0)</f>
        <v>0</v>
      </c>
      <c r="L32">
        <f>IFERROR(VLOOKUP(A32,库龄!B:M,11,0),0)</f>
        <v>0</v>
      </c>
      <c r="M32">
        <f>IFERROR(VLOOKUP(A32,库龄!B:N,12,0),0)</f>
        <v>0</v>
      </c>
      <c r="N32">
        <f t="shared" si="2"/>
        <v>0</v>
      </c>
    </row>
    <row r="33" spans="1:14">
      <c r="A33" s="3" t="s">
        <v>79</v>
      </c>
      <c r="B33">
        <f>IFERROR(VLOOKUP(A33,管理亚马逊库存!A:K,11,0),"")</f>
        <v>18</v>
      </c>
      <c r="C33">
        <f>IFERROR(VLOOKUP(A33,管理亚马逊库存!A:L,12,0),"")</f>
        <v>0</v>
      </c>
      <c r="D33">
        <f>IFERROR(VLOOKUP(A33,管理亚马逊库存!A:Q,17,0),"")</f>
        <v>0</v>
      </c>
      <c r="E33">
        <f>IFERROR(VLOOKUP(A33,管理亚马逊库存!A:R,18,0),"")</f>
        <v>0</v>
      </c>
      <c r="F33">
        <f t="shared" si="1"/>
        <v>0</v>
      </c>
      <c r="G33">
        <f>IFERROR(VLOOKUP(A33,预留库存!A:G,7,0),0)</f>
        <v>0</v>
      </c>
      <c r="H33">
        <f>IFERROR(VLOOKUP(A33,预留库存!A:H,8,0),0)</f>
        <v>0</v>
      </c>
      <c r="I33">
        <f>IFERROR(VLOOKUP(A33,预留库存!A:F,6,0),0)</f>
        <v>0</v>
      </c>
      <c r="J33">
        <f>IFERROR(VLOOKUP(A33,库龄!B:K,9,0),0)</f>
        <v>0</v>
      </c>
      <c r="K33">
        <f>IFERROR(VLOOKUP(A33,库龄!B:L,10,0),0)</f>
        <v>0</v>
      </c>
      <c r="L33">
        <f>IFERROR(VLOOKUP(A33,库龄!B:M,11,0),0)</f>
        <v>0</v>
      </c>
      <c r="M33">
        <f>IFERROR(VLOOKUP(A33,库龄!B:N,12,0),0)</f>
        <v>0</v>
      </c>
      <c r="N33">
        <f t="shared" si="2"/>
        <v>0</v>
      </c>
    </row>
    <row r="34" spans="1:14">
      <c r="A34" s="3" t="s">
        <v>81</v>
      </c>
      <c r="B34">
        <f>IFERROR(VLOOKUP(A34,管理亚马逊库存!A:K,11,0),"")</f>
        <v>33</v>
      </c>
      <c r="C34">
        <f>IFERROR(VLOOKUP(A34,管理亚马逊库存!A:L,12,0),"")</f>
        <v>0</v>
      </c>
      <c r="D34">
        <f>IFERROR(VLOOKUP(A34,管理亚马逊库存!A:Q,17,0),"")</f>
        <v>0</v>
      </c>
      <c r="E34">
        <f>IFERROR(VLOOKUP(A34,管理亚马逊库存!A:R,18,0),"")</f>
        <v>0</v>
      </c>
      <c r="F34">
        <f t="shared" si="1"/>
        <v>0</v>
      </c>
      <c r="G34">
        <f>IFERROR(VLOOKUP(A34,预留库存!A:G,7,0),0)</f>
        <v>0</v>
      </c>
      <c r="H34">
        <f>IFERROR(VLOOKUP(A34,预留库存!A:H,8,0),0)</f>
        <v>0</v>
      </c>
      <c r="I34">
        <f>IFERROR(VLOOKUP(A34,预留库存!A:F,6,0),0)</f>
        <v>0</v>
      </c>
      <c r="J34">
        <f>IFERROR(VLOOKUP(A34,库龄!B:K,9,0),0)</f>
        <v>0</v>
      </c>
      <c r="K34">
        <f>IFERROR(VLOOKUP(A34,库龄!B:L,10,0),0)</f>
        <v>0</v>
      </c>
      <c r="L34">
        <f>IFERROR(VLOOKUP(A34,库龄!B:M,11,0),0)</f>
        <v>0</v>
      </c>
      <c r="M34">
        <f>IFERROR(VLOOKUP(A34,库龄!B:N,12,0),0)</f>
        <v>0</v>
      </c>
      <c r="N34">
        <f t="shared" si="2"/>
        <v>0</v>
      </c>
    </row>
    <row r="35" spans="1:14">
      <c r="A35" s="3" t="s">
        <v>83</v>
      </c>
      <c r="B35">
        <f>IFERROR(VLOOKUP(A35,管理亚马逊库存!A:K,11,0),"")</f>
        <v>31</v>
      </c>
      <c r="C35">
        <f>IFERROR(VLOOKUP(A35,管理亚马逊库存!A:L,12,0),"")</f>
        <v>0</v>
      </c>
      <c r="D35">
        <f>IFERROR(VLOOKUP(A35,管理亚马逊库存!A:Q,17,0),"")</f>
        <v>0</v>
      </c>
      <c r="E35">
        <f>IFERROR(VLOOKUP(A35,管理亚马逊库存!A:R,18,0),"")</f>
        <v>0</v>
      </c>
      <c r="F35">
        <f t="shared" si="1"/>
        <v>0</v>
      </c>
      <c r="G35">
        <f>IFERROR(VLOOKUP(A35,预留库存!A:G,7,0),0)</f>
        <v>0</v>
      </c>
      <c r="H35">
        <f>IFERROR(VLOOKUP(A35,预留库存!A:H,8,0),0)</f>
        <v>0</v>
      </c>
      <c r="I35">
        <f>IFERROR(VLOOKUP(A35,预留库存!A:F,6,0),0)</f>
        <v>0</v>
      </c>
      <c r="J35">
        <f>IFERROR(VLOOKUP(A35,库龄!B:K,9,0),0)</f>
        <v>0</v>
      </c>
      <c r="K35">
        <f>IFERROR(VLOOKUP(A35,库龄!B:L,10,0),0)</f>
        <v>0</v>
      </c>
      <c r="L35">
        <f>IFERROR(VLOOKUP(A35,库龄!B:M,11,0),0)</f>
        <v>0</v>
      </c>
      <c r="M35">
        <f>IFERROR(VLOOKUP(A35,库龄!B:N,12,0),0)</f>
        <v>0</v>
      </c>
      <c r="N35">
        <f t="shared" si="2"/>
        <v>0</v>
      </c>
    </row>
    <row r="36" spans="1:14">
      <c r="A36" s="3" t="s">
        <v>85</v>
      </c>
      <c r="B36">
        <f>IFERROR(VLOOKUP(A36,管理亚马逊库存!A:K,11,0),"")</f>
        <v>11</v>
      </c>
      <c r="C36">
        <f>IFERROR(VLOOKUP(A36,管理亚马逊库存!A:L,12,0),"")</f>
        <v>0</v>
      </c>
      <c r="D36">
        <f>IFERROR(VLOOKUP(A36,管理亚马逊库存!A:Q,17,0),"")</f>
        <v>0</v>
      </c>
      <c r="E36">
        <f>IFERROR(VLOOKUP(A36,管理亚马逊库存!A:R,18,0),"")</f>
        <v>0</v>
      </c>
      <c r="F36">
        <f t="shared" si="1"/>
        <v>0</v>
      </c>
      <c r="G36">
        <f>IFERROR(VLOOKUP(A36,预留库存!A:G,7,0),0)</f>
        <v>0</v>
      </c>
      <c r="H36">
        <f>IFERROR(VLOOKUP(A36,预留库存!A:H,8,0),0)</f>
        <v>0</v>
      </c>
      <c r="I36">
        <f>IFERROR(VLOOKUP(A36,预留库存!A:F,6,0),0)</f>
        <v>0</v>
      </c>
      <c r="J36">
        <f>IFERROR(VLOOKUP(A36,库龄!B:K,9,0),0)</f>
        <v>0</v>
      </c>
      <c r="K36">
        <f>IFERROR(VLOOKUP(A36,库龄!B:L,10,0),0)</f>
        <v>0</v>
      </c>
      <c r="L36">
        <f>IFERROR(VLOOKUP(A36,库龄!B:M,11,0),0)</f>
        <v>0</v>
      </c>
      <c r="M36">
        <f>IFERROR(VLOOKUP(A36,库龄!B:N,12,0),0)</f>
        <v>0</v>
      </c>
      <c r="N36">
        <f t="shared" si="2"/>
        <v>0</v>
      </c>
    </row>
    <row r="37" spans="1:14">
      <c r="A37" s="3" t="s">
        <v>87</v>
      </c>
      <c r="B37">
        <f>IFERROR(VLOOKUP(A37,管理亚马逊库存!A:K,11,0),"")</f>
        <v>3</v>
      </c>
      <c r="C37">
        <f>IFERROR(VLOOKUP(A37,管理亚马逊库存!A:L,12,0),"")</f>
        <v>0</v>
      </c>
      <c r="D37">
        <f>IFERROR(VLOOKUP(A37,管理亚马逊库存!A:Q,17,0),"")</f>
        <v>0</v>
      </c>
      <c r="E37">
        <f>IFERROR(VLOOKUP(A37,管理亚马逊库存!A:R,18,0),"")</f>
        <v>0</v>
      </c>
      <c r="F37">
        <f t="shared" si="1"/>
        <v>0</v>
      </c>
      <c r="G37">
        <f>IFERROR(VLOOKUP(A37,预留库存!A:G,7,0),0)</f>
        <v>0</v>
      </c>
      <c r="H37">
        <f>IFERROR(VLOOKUP(A37,预留库存!A:H,8,0),0)</f>
        <v>0</v>
      </c>
      <c r="I37">
        <f>IFERROR(VLOOKUP(A37,预留库存!A:F,6,0),0)</f>
        <v>0</v>
      </c>
      <c r="J37">
        <f>IFERROR(VLOOKUP(A37,库龄!B:K,9,0),0)</f>
        <v>0</v>
      </c>
      <c r="K37">
        <f>IFERROR(VLOOKUP(A37,库龄!B:L,10,0),0)</f>
        <v>0</v>
      </c>
      <c r="L37">
        <f>IFERROR(VLOOKUP(A37,库龄!B:M,11,0),0)</f>
        <v>0</v>
      </c>
      <c r="M37">
        <f>IFERROR(VLOOKUP(A37,库龄!B:N,12,0),0)</f>
        <v>0</v>
      </c>
      <c r="N37">
        <f t="shared" si="2"/>
        <v>0</v>
      </c>
    </row>
    <row r="38" spans="1:14">
      <c r="A38" s="3" t="s">
        <v>89</v>
      </c>
      <c r="B38">
        <f>IFERROR(VLOOKUP(A38,管理亚马逊库存!A:K,11,0),"")</f>
        <v>8</v>
      </c>
      <c r="C38">
        <f>IFERROR(VLOOKUP(A38,管理亚马逊库存!A:L,12,0),"")</f>
        <v>0</v>
      </c>
      <c r="D38">
        <f>IFERROR(VLOOKUP(A38,管理亚马逊库存!A:Q,17,0),"")</f>
        <v>0</v>
      </c>
      <c r="E38">
        <f>IFERROR(VLOOKUP(A38,管理亚马逊库存!A:R,18,0),"")</f>
        <v>0</v>
      </c>
      <c r="F38">
        <f t="shared" si="1"/>
        <v>0</v>
      </c>
      <c r="G38">
        <f>IFERROR(VLOOKUP(A38,预留库存!A:G,7,0),0)</f>
        <v>0</v>
      </c>
      <c r="H38">
        <f>IFERROR(VLOOKUP(A38,预留库存!A:H,8,0),0)</f>
        <v>0</v>
      </c>
      <c r="I38">
        <f>IFERROR(VLOOKUP(A38,预留库存!A:F,6,0),0)</f>
        <v>0</v>
      </c>
      <c r="J38">
        <f>IFERROR(VLOOKUP(A38,库龄!B:K,9,0),0)</f>
        <v>0</v>
      </c>
      <c r="K38">
        <f>IFERROR(VLOOKUP(A38,库龄!B:L,10,0),0)</f>
        <v>0</v>
      </c>
      <c r="L38">
        <f>IFERROR(VLOOKUP(A38,库龄!B:M,11,0),0)</f>
        <v>0</v>
      </c>
      <c r="M38">
        <f>IFERROR(VLOOKUP(A38,库龄!B:N,12,0),0)</f>
        <v>0</v>
      </c>
      <c r="N38">
        <f t="shared" si="2"/>
        <v>0</v>
      </c>
    </row>
    <row r="39" spans="1:14">
      <c r="A39" s="3" t="s">
        <v>91</v>
      </c>
      <c r="B39">
        <f>IFERROR(VLOOKUP(A39,管理亚马逊库存!A:K,11,0),"")</f>
        <v>48</v>
      </c>
      <c r="C39">
        <f>IFERROR(VLOOKUP(A39,管理亚马逊库存!A:L,12,0),"")</f>
        <v>0</v>
      </c>
      <c r="D39">
        <f>IFERROR(VLOOKUP(A39,管理亚马逊库存!A:Q,17,0),"")</f>
        <v>0</v>
      </c>
      <c r="E39">
        <f>IFERROR(VLOOKUP(A39,管理亚马逊库存!A:R,18,0),"")</f>
        <v>0</v>
      </c>
      <c r="F39">
        <f t="shared" si="1"/>
        <v>0</v>
      </c>
      <c r="G39">
        <f>IFERROR(VLOOKUP(A39,预留库存!A:G,7,0),0)</f>
        <v>0</v>
      </c>
      <c r="H39">
        <f>IFERROR(VLOOKUP(A39,预留库存!A:H,8,0),0)</f>
        <v>0</v>
      </c>
      <c r="I39">
        <f>IFERROR(VLOOKUP(A39,预留库存!A:F,6,0),0)</f>
        <v>0</v>
      </c>
      <c r="J39">
        <f>IFERROR(VLOOKUP(A39,库龄!B:K,9,0),0)</f>
        <v>0</v>
      </c>
      <c r="K39">
        <f>IFERROR(VLOOKUP(A39,库龄!B:L,10,0),0)</f>
        <v>0</v>
      </c>
      <c r="L39">
        <f>IFERROR(VLOOKUP(A39,库龄!B:M,11,0),0)</f>
        <v>0</v>
      </c>
      <c r="M39">
        <f>IFERROR(VLOOKUP(A39,库龄!B:N,12,0),0)</f>
        <v>0</v>
      </c>
      <c r="N39">
        <f t="shared" si="2"/>
        <v>0</v>
      </c>
    </row>
    <row r="40" spans="1:14">
      <c r="A40" s="3" t="s">
        <v>93</v>
      </c>
      <c r="B40">
        <f>IFERROR(VLOOKUP(A40,管理亚马逊库存!A:K,11,0),"")</f>
        <v>29</v>
      </c>
      <c r="C40">
        <f>IFERROR(VLOOKUP(A40,管理亚马逊库存!A:L,12,0),"")</f>
        <v>0</v>
      </c>
      <c r="D40">
        <f>IFERROR(VLOOKUP(A40,管理亚马逊库存!A:Q,17,0),"")</f>
        <v>0</v>
      </c>
      <c r="E40">
        <f>IFERROR(VLOOKUP(A40,管理亚马逊库存!A:R,18,0),"")</f>
        <v>0</v>
      </c>
      <c r="F40">
        <f t="shared" si="1"/>
        <v>0</v>
      </c>
      <c r="G40">
        <f>IFERROR(VLOOKUP(A40,预留库存!A:G,7,0),0)</f>
        <v>0</v>
      </c>
      <c r="H40">
        <f>IFERROR(VLOOKUP(A40,预留库存!A:H,8,0),0)</f>
        <v>0</v>
      </c>
      <c r="I40">
        <f>IFERROR(VLOOKUP(A40,预留库存!A:F,6,0),0)</f>
        <v>0</v>
      </c>
      <c r="J40">
        <f>IFERROR(VLOOKUP(A40,库龄!B:K,9,0),0)</f>
        <v>0</v>
      </c>
      <c r="K40">
        <f>IFERROR(VLOOKUP(A40,库龄!B:L,10,0),0)</f>
        <v>0</v>
      </c>
      <c r="L40">
        <f>IFERROR(VLOOKUP(A40,库龄!B:M,11,0),0)</f>
        <v>0</v>
      </c>
      <c r="M40">
        <f>IFERROR(VLOOKUP(A40,库龄!B:N,12,0),0)</f>
        <v>0</v>
      </c>
      <c r="N40">
        <f t="shared" si="2"/>
        <v>0</v>
      </c>
    </row>
    <row r="41" spans="1:14">
      <c r="A41" s="3" t="s">
        <v>95</v>
      </c>
      <c r="B41">
        <f>IFERROR(VLOOKUP(A41,管理亚马逊库存!A:K,11,0),"")</f>
        <v>0</v>
      </c>
      <c r="C41">
        <f>IFERROR(VLOOKUP(A41,管理亚马逊库存!A:L,12,0),"")</f>
        <v>0</v>
      </c>
      <c r="D41">
        <f>IFERROR(VLOOKUP(A41,管理亚马逊库存!A:Q,17,0),"")</f>
        <v>0</v>
      </c>
      <c r="E41">
        <f>IFERROR(VLOOKUP(A41,管理亚马逊库存!A:R,18,0),"")</f>
        <v>0</v>
      </c>
      <c r="F41">
        <f t="shared" si="1"/>
        <v>0</v>
      </c>
      <c r="G41">
        <f>IFERROR(VLOOKUP(A41,预留库存!A:G,7,0),0)</f>
        <v>0</v>
      </c>
      <c r="H41">
        <f>IFERROR(VLOOKUP(A41,预留库存!A:H,8,0),0)</f>
        <v>0</v>
      </c>
      <c r="I41">
        <f>IFERROR(VLOOKUP(A41,预留库存!A:F,6,0),0)</f>
        <v>0</v>
      </c>
      <c r="J41">
        <f>IFERROR(VLOOKUP(A41,库龄!B:K,9,0),0)</f>
        <v>0</v>
      </c>
      <c r="K41">
        <f>IFERROR(VLOOKUP(A41,库龄!B:L,10,0),0)</f>
        <v>0</v>
      </c>
      <c r="L41">
        <f>IFERROR(VLOOKUP(A41,库龄!B:M,11,0),0)</f>
        <v>0</v>
      </c>
      <c r="M41">
        <f>IFERROR(VLOOKUP(A41,库龄!B:N,12,0),0)</f>
        <v>0</v>
      </c>
      <c r="N41">
        <f t="shared" si="2"/>
        <v>0</v>
      </c>
    </row>
    <row r="42" spans="1:14">
      <c r="A42" s="3" t="s">
        <v>97</v>
      </c>
      <c r="B42">
        <f>IFERROR(VLOOKUP(A42,管理亚马逊库存!A:K,11,0),"")</f>
        <v>42</v>
      </c>
      <c r="C42">
        <f>IFERROR(VLOOKUP(A42,管理亚马逊库存!A:L,12,0),"")</f>
        <v>0</v>
      </c>
      <c r="D42">
        <f>IFERROR(VLOOKUP(A42,管理亚马逊库存!A:Q,17,0),"")</f>
        <v>0</v>
      </c>
      <c r="E42">
        <f>IFERROR(VLOOKUP(A42,管理亚马逊库存!A:R,18,0),"")</f>
        <v>0</v>
      </c>
      <c r="F42">
        <f t="shared" si="1"/>
        <v>0</v>
      </c>
      <c r="G42">
        <f>IFERROR(VLOOKUP(A42,预留库存!A:G,7,0),0)</f>
        <v>0</v>
      </c>
      <c r="H42">
        <f>IFERROR(VLOOKUP(A42,预留库存!A:H,8,0),0)</f>
        <v>0</v>
      </c>
      <c r="I42">
        <f>IFERROR(VLOOKUP(A42,预留库存!A:F,6,0),0)</f>
        <v>0</v>
      </c>
      <c r="J42">
        <f>IFERROR(VLOOKUP(A42,库龄!B:K,9,0),0)</f>
        <v>0</v>
      </c>
      <c r="K42">
        <f>IFERROR(VLOOKUP(A42,库龄!B:L,10,0),0)</f>
        <v>0</v>
      </c>
      <c r="L42">
        <f>IFERROR(VLOOKUP(A42,库龄!B:M,11,0),0)</f>
        <v>0</v>
      </c>
      <c r="M42">
        <f>IFERROR(VLOOKUP(A42,库龄!B:N,12,0),0)</f>
        <v>0</v>
      </c>
      <c r="N42">
        <f t="shared" si="2"/>
        <v>0</v>
      </c>
    </row>
    <row r="43" spans="1:14">
      <c r="A43" s="3" t="s">
        <v>99</v>
      </c>
      <c r="B43">
        <f>IFERROR(VLOOKUP(A43,管理亚马逊库存!A:K,11,0),"")</f>
        <v>47</v>
      </c>
      <c r="C43">
        <f>IFERROR(VLOOKUP(A43,管理亚马逊库存!A:L,12,0),"")</f>
        <v>0</v>
      </c>
      <c r="D43">
        <f>IFERROR(VLOOKUP(A43,管理亚马逊库存!A:Q,17,0),"")</f>
        <v>0</v>
      </c>
      <c r="E43">
        <f>IFERROR(VLOOKUP(A43,管理亚马逊库存!A:R,18,0),"")</f>
        <v>0</v>
      </c>
      <c r="F43">
        <f t="shared" si="1"/>
        <v>0</v>
      </c>
      <c r="G43">
        <f>IFERROR(VLOOKUP(A43,预留库存!A:G,7,0),0)</f>
        <v>0</v>
      </c>
      <c r="H43">
        <f>IFERROR(VLOOKUP(A43,预留库存!A:H,8,0),0)</f>
        <v>0</v>
      </c>
      <c r="I43">
        <f>IFERROR(VLOOKUP(A43,预留库存!A:F,6,0),0)</f>
        <v>0</v>
      </c>
      <c r="J43">
        <f>IFERROR(VLOOKUP(A43,库龄!B:K,9,0),0)</f>
        <v>0</v>
      </c>
      <c r="K43">
        <f>IFERROR(VLOOKUP(A43,库龄!B:L,10,0),0)</f>
        <v>0</v>
      </c>
      <c r="L43">
        <f>IFERROR(VLOOKUP(A43,库龄!B:M,11,0),0)</f>
        <v>0</v>
      </c>
      <c r="M43">
        <f>IFERROR(VLOOKUP(A43,库龄!B:N,12,0),0)</f>
        <v>0</v>
      </c>
      <c r="N43">
        <f t="shared" si="2"/>
        <v>0</v>
      </c>
    </row>
    <row r="44" spans="1:14">
      <c r="A44" s="3" t="s">
        <v>101</v>
      </c>
      <c r="B44">
        <f>IFERROR(VLOOKUP(A44,管理亚马逊库存!A:K,11,0),"")</f>
        <v>0</v>
      </c>
      <c r="C44">
        <f>IFERROR(VLOOKUP(A44,管理亚马逊库存!A:L,12,0),"")</f>
        <v>0</v>
      </c>
      <c r="D44">
        <f>IFERROR(VLOOKUP(A44,管理亚马逊库存!A:Q,17,0),"")</f>
        <v>0</v>
      </c>
      <c r="E44">
        <f>IFERROR(VLOOKUP(A44,管理亚马逊库存!A:R,18,0),"")</f>
        <v>0</v>
      </c>
      <c r="F44">
        <f t="shared" si="1"/>
        <v>0</v>
      </c>
      <c r="G44">
        <f>IFERROR(VLOOKUP(A44,预留库存!A:G,7,0),0)</f>
        <v>0</v>
      </c>
      <c r="H44">
        <f>IFERROR(VLOOKUP(A44,预留库存!A:H,8,0),0)</f>
        <v>0</v>
      </c>
      <c r="I44">
        <f>IFERROR(VLOOKUP(A44,预留库存!A:F,6,0),0)</f>
        <v>0</v>
      </c>
      <c r="J44">
        <f>IFERROR(VLOOKUP(A44,库龄!B:K,9,0),0)</f>
        <v>0</v>
      </c>
      <c r="K44">
        <f>IFERROR(VLOOKUP(A44,库龄!B:L,10,0),0)</f>
        <v>0</v>
      </c>
      <c r="L44">
        <f>IFERROR(VLOOKUP(A44,库龄!B:M,11,0),0)</f>
        <v>0</v>
      </c>
      <c r="M44">
        <f>IFERROR(VLOOKUP(A44,库龄!B:N,12,0),0)</f>
        <v>0</v>
      </c>
      <c r="N44">
        <f t="shared" si="2"/>
        <v>0</v>
      </c>
    </row>
    <row r="45" spans="1:14">
      <c r="A45" s="3" t="s">
        <v>103</v>
      </c>
      <c r="B45">
        <f>IFERROR(VLOOKUP(A45,管理亚马逊库存!A:K,11,0),"")</f>
        <v>5</v>
      </c>
      <c r="C45">
        <f>IFERROR(VLOOKUP(A45,管理亚马逊库存!A:L,12,0),"")</f>
        <v>0</v>
      </c>
      <c r="D45">
        <f>IFERROR(VLOOKUP(A45,管理亚马逊库存!A:Q,17,0),"")</f>
        <v>0</v>
      </c>
      <c r="E45">
        <f>IFERROR(VLOOKUP(A45,管理亚马逊库存!A:R,18,0),"")</f>
        <v>0</v>
      </c>
      <c r="F45">
        <f t="shared" si="1"/>
        <v>0</v>
      </c>
      <c r="G45">
        <f>IFERROR(VLOOKUP(A45,预留库存!A:G,7,0),0)</f>
        <v>0</v>
      </c>
      <c r="H45">
        <f>IFERROR(VLOOKUP(A45,预留库存!A:H,8,0),0)</f>
        <v>0</v>
      </c>
      <c r="I45">
        <f>IFERROR(VLOOKUP(A45,预留库存!A:F,6,0),0)</f>
        <v>0</v>
      </c>
      <c r="J45">
        <f>IFERROR(VLOOKUP(A45,库龄!B:K,9,0),0)</f>
        <v>0</v>
      </c>
      <c r="K45">
        <f>IFERROR(VLOOKUP(A45,库龄!B:L,10,0),0)</f>
        <v>0</v>
      </c>
      <c r="L45">
        <f>IFERROR(VLOOKUP(A45,库龄!B:M,11,0),0)</f>
        <v>0</v>
      </c>
      <c r="M45">
        <f>IFERROR(VLOOKUP(A45,库龄!B:N,12,0),0)</f>
        <v>0</v>
      </c>
      <c r="N45">
        <f t="shared" si="2"/>
        <v>0</v>
      </c>
    </row>
    <row r="46" spans="1:14">
      <c r="A46" s="3" t="s">
        <v>105</v>
      </c>
      <c r="B46">
        <f>IFERROR(VLOOKUP(A46,管理亚马逊库存!A:K,11,0),"")</f>
        <v>2</v>
      </c>
      <c r="C46">
        <f>IFERROR(VLOOKUP(A46,管理亚马逊库存!A:L,12,0),"")</f>
        <v>0</v>
      </c>
      <c r="D46">
        <f>IFERROR(VLOOKUP(A46,管理亚马逊库存!A:Q,17,0),"")</f>
        <v>0</v>
      </c>
      <c r="E46">
        <f>IFERROR(VLOOKUP(A46,管理亚马逊库存!A:R,18,0),"")</f>
        <v>0</v>
      </c>
      <c r="F46">
        <f t="shared" si="1"/>
        <v>0</v>
      </c>
      <c r="G46">
        <f>IFERROR(VLOOKUP(A46,预留库存!A:G,7,0),0)</f>
        <v>0</v>
      </c>
      <c r="H46">
        <f>IFERROR(VLOOKUP(A46,预留库存!A:H,8,0),0)</f>
        <v>0</v>
      </c>
      <c r="I46">
        <f>IFERROR(VLOOKUP(A46,预留库存!A:F,6,0),0)</f>
        <v>0</v>
      </c>
      <c r="J46">
        <f>IFERROR(VLOOKUP(A46,库龄!B:K,9,0),0)</f>
        <v>0</v>
      </c>
      <c r="K46">
        <f>IFERROR(VLOOKUP(A46,库龄!B:L,10,0),0)</f>
        <v>0</v>
      </c>
      <c r="L46">
        <f>IFERROR(VLOOKUP(A46,库龄!B:M,11,0),0)</f>
        <v>0</v>
      </c>
      <c r="M46">
        <f>IFERROR(VLOOKUP(A46,库龄!B:N,12,0),0)</f>
        <v>0</v>
      </c>
      <c r="N46">
        <f t="shared" si="2"/>
        <v>0</v>
      </c>
    </row>
    <row r="47" spans="1:14">
      <c r="A47" s="3" t="s">
        <v>107</v>
      </c>
      <c r="B47">
        <f>IFERROR(VLOOKUP(A47,管理亚马逊库存!A:K,11,0),"")</f>
        <v>9</v>
      </c>
      <c r="C47">
        <f>IFERROR(VLOOKUP(A47,管理亚马逊库存!A:L,12,0),"")</f>
        <v>0</v>
      </c>
      <c r="D47">
        <f>IFERROR(VLOOKUP(A47,管理亚马逊库存!A:Q,17,0),"")</f>
        <v>0</v>
      </c>
      <c r="E47">
        <f>IFERROR(VLOOKUP(A47,管理亚马逊库存!A:R,18,0),"")</f>
        <v>0</v>
      </c>
      <c r="F47">
        <f t="shared" si="1"/>
        <v>0</v>
      </c>
      <c r="G47">
        <f>IFERROR(VLOOKUP(A47,预留库存!A:G,7,0),0)</f>
        <v>0</v>
      </c>
      <c r="H47">
        <f>IFERROR(VLOOKUP(A47,预留库存!A:H,8,0),0)</f>
        <v>0</v>
      </c>
      <c r="I47">
        <f>IFERROR(VLOOKUP(A47,预留库存!A:F,6,0),0)</f>
        <v>0</v>
      </c>
      <c r="J47">
        <f>IFERROR(VLOOKUP(A47,库龄!B:K,9,0),0)</f>
        <v>0</v>
      </c>
      <c r="K47">
        <f>IFERROR(VLOOKUP(A47,库龄!B:L,10,0),0)</f>
        <v>0</v>
      </c>
      <c r="L47">
        <f>IFERROR(VLOOKUP(A47,库龄!B:M,11,0),0)</f>
        <v>0</v>
      </c>
      <c r="M47">
        <f>IFERROR(VLOOKUP(A47,库龄!B:N,12,0),0)</f>
        <v>0</v>
      </c>
      <c r="N47">
        <f t="shared" si="2"/>
        <v>0</v>
      </c>
    </row>
    <row r="48" spans="1:14">
      <c r="A48" s="3" t="s">
        <v>109</v>
      </c>
      <c r="B48">
        <f>IFERROR(VLOOKUP(A48,管理亚马逊库存!A:K,11,0),"")</f>
        <v>42</v>
      </c>
      <c r="C48">
        <f>IFERROR(VLOOKUP(A48,管理亚马逊库存!A:L,12,0),"")</f>
        <v>0</v>
      </c>
      <c r="D48">
        <f>IFERROR(VLOOKUP(A48,管理亚马逊库存!A:Q,17,0),"")</f>
        <v>0</v>
      </c>
      <c r="E48">
        <f>IFERROR(VLOOKUP(A48,管理亚马逊库存!A:R,18,0),"")</f>
        <v>0</v>
      </c>
      <c r="F48">
        <f t="shared" si="1"/>
        <v>0</v>
      </c>
      <c r="G48">
        <f>IFERROR(VLOOKUP(A48,预留库存!A:G,7,0),0)</f>
        <v>0</v>
      </c>
      <c r="H48">
        <f>IFERROR(VLOOKUP(A48,预留库存!A:H,8,0),0)</f>
        <v>0</v>
      </c>
      <c r="I48">
        <f>IFERROR(VLOOKUP(A48,预留库存!A:F,6,0),0)</f>
        <v>0</v>
      </c>
      <c r="J48">
        <f>IFERROR(VLOOKUP(A48,库龄!B:K,9,0),0)</f>
        <v>0</v>
      </c>
      <c r="K48">
        <f>IFERROR(VLOOKUP(A48,库龄!B:L,10,0),0)</f>
        <v>0</v>
      </c>
      <c r="L48">
        <f>IFERROR(VLOOKUP(A48,库龄!B:M,11,0),0)</f>
        <v>0</v>
      </c>
      <c r="M48">
        <f>IFERROR(VLOOKUP(A48,库龄!B:N,12,0),0)</f>
        <v>0</v>
      </c>
      <c r="N48">
        <f t="shared" si="2"/>
        <v>0</v>
      </c>
    </row>
    <row r="49" spans="1:14">
      <c r="A49" s="3" t="s">
        <v>111</v>
      </c>
      <c r="B49">
        <f>IFERROR(VLOOKUP(A49,管理亚马逊库存!A:K,11,0),"")</f>
        <v>36</v>
      </c>
      <c r="C49">
        <f>IFERROR(VLOOKUP(A49,管理亚马逊库存!A:L,12,0),"")</f>
        <v>0</v>
      </c>
      <c r="D49">
        <f>IFERROR(VLOOKUP(A49,管理亚马逊库存!A:Q,17,0),"")</f>
        <v>0</v>
      </c>
      <c r="E49">
        <f>IFERROR(VLOOKUP(A49,管理亚马逊库存!A:R,18,0),"")</f>
        <v>0</v>
      </c>
      <c r="F49">
        <f t="shared" si="1"/>
        <v>0</v>
      </c>
      <c r="G49">
        <f>IFERROR(VLOOKUP(A49,预留库存!A:G,7,0),0)</f>
        <v>0</v>
      </c>
      <c r="H49">
        <f>IFERROR(VLOOKUP(A49,预留库存!A:H,8,0),0)</f>
        <v>0</v>
      </c>
      <c r="I49">
        <f>IFERROR(VLOOKUP(A49,预留库存!A:F,6,0),0)</f>
        <v>0</v>
      </c>
      <c r="J49">
        <f>IFERROR(VLOOKUP(A49,库龄!B:K,9,0),0)</f>
        <v>0</v>
      </c>
      <c r="K49">
        <f>IFERROR(VLOOKUP(A49,库龄!B:L,10,0),0)</f>
        <v>0</v>
      </c>
      <c r="L49">
        <f>IFERROR(VLOOKUP(A49,库龄!B:M,11,0),0)</f>
        <v>0</v>
      </c>
      <c r="M49">
        <f>IFERROR(VLOOKUP(A49,库龄!B:N,12,0),0)</f>
        <v>0</v>
      </c>
      <c r="N49">
        <f t="shared" si="2"/>
        <v>0</v>
      </c>
    </row>
    <row r="50" spans="1:14">
      <c r="A50" s="3" t="s">
        <v>113</v>
      </c>
      <c r="B50">
        <f>IFERROR(VLOOKUP(A50,管理亚马逊库存!A:K,11,0),"")</f>
        <v>39</v>
      </c>
      <c r="C50">
        <f>IFERROR(VLOOKUP(A50,管理亚马逊库存!A:L,12,0),"")</f>
        <v>0</v>
      </c>
      <c r="D50">
        <f>IFERROR(VLOOKUP(A50,管理亚马逊库存!A:Q,17,0),"")</f>
        <v>0</v>
      </c>
      <c r="E50">
        <f>IFERROR(VLOOKUP(A50,管理亚马逊库存!A:R,18,0),"")</f>
        <v>0</v>
      </c>
      <c r="F50">
        <f t="shared" si="1"/>
        <v>0</v>
      </c>
      <c r="G50">
        <f>IFERROR(VLOOKUP(A50,预留库存!A:G,7,0),0)</f>
        <v>0</v>
      </c>
      <c r="H50">
        <f>IFERROR(VLOOKUP(A50,预留库存!A:H,8,0),0)</f>
        <v>0</v>
      </c>
      <c r="I50">
        <f>IFERROR(VLOOKUP(A50,预留库存!A:F,6,0),0)</f>
        <v>0</v>
      </c>
      <c r="J50">
        <f>IFERROR(VLOOKUP(A50,库龄!B:K,9,0),0)</f>
        <v>0</v>
      </c>
      <c r="K50">
        <f>IFERROR(VLOOKUP(A50,库龄!B:L,10,0),0)</f>
        <v>0</v>
      </c>
      <c r="L50">
        <f>IFERROR(VLOOKUP(A50,库龄!B:M,11,0),0)</f>
        <v>0</v>
      </c>
      <c r="M50">
        <f>IFERROR(VLOOKUP(A50,库龄!B:N,12,0),0)</f>
        <v>0</v>
      </c>
      <c r="N50">
        <f t="shared" si="2"/>
        <v>0</v>
      </c>
    </row>
    <row r="51" spans="1:14">
      <c r="A51" s="3" t="s">
        <v>115</v>
      </c>
      <c r="B51">
        <f>IFERROR(VLOOKUP(A51,管理亚马逊库存!A:K,11,0),"")</f>
        <v>23</v>
      </c>
      <c r="C51">
        <f>IFERROR(VLOOKUP(A51,管理亚马逊库存!A:L,12,0),"")</f>
        <v>0</v>
      </c>
      <c r="D51">
        <f>IFERROR(VLOOKUP(A51,管理亚马逊库存!A:Q,17,0),"")</f>
        <v>0</v>
      </c>
      <c r="E51">
        <f>IFERROR(VLOOKUP(A51,管理亚马逊库存!A:R,18,0),"")</f>
        <v>0</v>
      </c>
      <c r="F51">
        <f t="shared" si="1"/>
        <v>0</v>
      </c>
      <c r="G51">
        <f>IFERROR(VLOOKUP(A51,预留库存!A:G,7,0),0)</f>
        <v>0</v>
      </c>
      <c r="H51">
        <f>IFERROR(VLOOKUP(A51,预留库存!A:H,8,0),0)</f>
        <v>0</v>
      </c>
      <c r="I51">
        <f>IFERROR(VLOOKUP(A51,预留库存!A:F,6,0),0)</f>
        <v>0</v>
      </c>
      <c r="J51">
        <f>IFERROR(VLOOKUP(A51,库龄!B:K,9,0),0)</f>
        <v>0</v>
      </c>
      <c r="K51">
        <f>IFERROR(VLOOKUP(A51,库龄!B:L,10,0),0)</f>
        <v>0</v>
      </c>
      <c r="L51">
        <f>IFERROR(VLOOKUP(A51,库龄!B:M,11,0),0)</f>
        <v>0</v>
      </c>
      <c r="M51">
        <f>IFERROR(VLOOKUP(A51,库龄!B:N,12,0),0)</f>
        <v>0</v>
      </c>
      <c r="N51">
        <f t="shared" si="2"/>
        <v>0</v>
      </c>
    </row>
    <row r="52" spans="1:14">
      <c r="A52" s="3" t="s">
        <v>117</v>
      </c>
      <c r="B52">
        <f>IFERROR(VLOOKUP(A52,管理亚马逊库存!A:K,11,0),"")</f>
        <v>15</v>
      </c>
      <c r="C52">
        <f>IFERROR(VLOOKUP(A52,管理亚马逊库存!A:L,12,0),"")</f>
        <v>0</v>
      </c>
      <c r="D52">
        <f>IFERROR(VLOOKUP(A52,管理亚马逊库存!A:Q,17,0),"")</f>
        <v>0</v>
      </c>
      <c r="E52">
        <f>IFERROR(VLOOKUP(A52,管理亚马逊库存!A:R,18,0),"")</f>
        <v>0</v>
      </c>
      <c r="F52">
        <f t="shared" si="1"/>
        <v>0</v>
      </c>
      <c r="G52" t="str">
        <f>IFERROR(VLOOKUP(A52,预留库存!A:G,7,0),0)</f>
        <v>No</v>
      </c>
      <c r="H52">
        <f>IFERROR(VLOOKUP(A52,预留库存!A:H,8,0),0)</f>
        <v>0</v>
      </c>
      <c r="I52">
        <f>IFERROR(VLOOKUP(A52,预留库存!A:F,6,0),0)</f>
        <v>22.98</v>
      </c>
      <c r="J52">
        <f>IFERROR(VLOOKUP(A52,库龄!B:K,9,0),0)</f>
        <v>4</v>
      </c>
      <c r="K52">
        <f>IFERROR(VLOOKUP(A52,库龄!B:L,10,0),0)</f>
        <v>11</v>
      </c>
      <c r="L52">
        <f>IFERROR(VLOOKUP(A52,库龄!B:M,11,0),0)</f>
        <v>0</v>
      </c>
      <c r="M52">
        <f>IFERROR(VLOOKUP(A52,库龄!B:N,12,0),0)</f>
        <v>0</v>
      </c>
      <c r="N52">
        <f t="shared" si="2"/>
        <v>15</v>
      </c>
    </row>
    <row r="53" spans="1:14">
      <c r="A53" s="3" t="s">
        <v>123</v>
      </c>
      <c r="B53">
        <f>IFERROR(VLOOKUP(A53,管理亚马逊库存!A:K,11,0),"")</f>
        <v>25</v>
      </c>
      <c r="C53">
        <f>IFERROR(VLOOKUP(A53,管理亚马逊库存!A:L,12,0),"")</f>
        <v>0</v>
      </c>
      <c r="D53">
        <f>IFERROR(VLOOKUP(A53,管理亚马逊库存!A:Q,17,0),"")</f>
        <v>0</v>
      </c>
      <c r="E53">
        <f>IFERROR(VLOOKUP(A53,管理亚马逊库存!A:R,18,0),"")</f>
        <v>0</v>
      </c>
      <c r="F53">
        <f t="shared" si="1"/>
        <v>0</v>
      </c>
      <c r="G53">
        <f>IFERROR(VLOOKUP(A53,预留库存!A:G,7,0),0)</f>
        <v>0</v>
      </c>
      <c r="H53">
        <f>IFERROR(VLOOKUP(A53,预留库存!A:H,8,0),0)</f>
        <v>0</v>
      </c>
      <c r="I53">
        <f>IFERROR(VLOOKUP(A53,预留库存!A:F,6,0),0)</f>
        <v>0</v>
      </c>
      <c r="J53">
        <f>IFERROR(VLOOKUP(A53,库龄!B:K,9,0),0)</f>
        <v>0</v>
      </c>
      <c r="K53">
        <f>IFERROR(VLOOKUP(A53,库龄!B:L,10,0),0)</f>
        <v>0</v>
      </c>
      <c r="L53">
        <f>IFERROR(VLOOKUP(A53,库龄!B:M,11,0),0)</f>
        <v>0</v>
      </c>
      <c r="M53">
        <f>IFERROR(VLOOKUP(A53,库龄!B:N,12,0),0)</f>
        <v>0</v>
      </c>
      <c r="N53">
        <f t="shared" si="2"/>
        <v>0</v>
      </c>
    </row>
    <row r="54" spans="1:14">
      <c r="A54" s="3" t="s">
        <v>125</v>
      </c>
      <c r="B54">
        <f>IFERROR(VLOOKUP(A54,管理亚马逊库存!A:K,11,0),"")</f>
        <v>47</v>
      </c>
      <c r="C54">
        <f>IFERROR(VLOOKUP(A54,管理亚马逊库存!A:L,12,0),"")</f>
        <v>0</v>
      </c>
      <c r="D54">
        <f>IFERROR(VLOOKUP(A54,管理亚马逊库存!A:Q,17,0),"")</f>
        <v>0</v>
      </c>
      <c r="E54">
        <f>IFERROR(VLOOKUP(A54,管理亚马逊库存!A:R,18,0),"")</f>
        <v>0</v>
      </c>
      <c r="F54">
        <f t="shared" si="1"/>
        <v>0</v>
      </c>
      <c r="G54">
        <f>IFERROR(VLOOKUP(A54,预留库存!A:G,7,0),0)</f>
        <v>0</v>
      </c>
      <c r="H54">
        <f>IFERROR(VLOOKUP(A54,预留库存!A:H,8,0),0)</f>
        <v>0</v>
      </c>
      <c r="I54">
        <f>IFERROR(VLOOKUP(A54,预留库存!A:F,6,0),0)</f>
        <v>0</v>
      </c>
      <c r="J54">
        <f>IFERROR(VLOOKUP(A54,库龄!B:K,9,0),0)</f>
        <v>0</v>
      </c>
      <c r="K54">
        <f>IFERROR(VLOOKUP(A54,库龄!B:L,10,0),0)</f>
        <v>0</v>
      </c>
      <c r="L54">
        <f>IFERROR(VLOOKUP(A54,库龄!B:M,11,0),0)</f>
        <v>0</v>
      </c>
      <c r="M54">
        <f>IFERROR(VLOOKUP(A54,库龄!B:N,12,0),0)</f>
        <v>0</v>
      </c>
      <c r="N54">
        <f t="shared" si="2"/>
        <v>0</v>
      </c>
    </row>
    <row r="55" spans="1:14">
      <c r="A55" s="3" t="s">
        <v>127</v>
      </c>
      <c r="B55">
        <f>IFERROR(VLOOKUP(A55,管理亚马逊库存!A:K,11,0),"")</f>
        <v>51</v>
      </c>
      <c r="C55">
        <f>IFERROR(VLOOKUP(A55,管理亚马逊库存!A:L,12,0),"")</f>
        <v>0</v>
      </c>
      <c r="D55">
        <f>IFERROR(VLOOKUP(A55,管理亚马逊库存!A:Q,17,0),"")</f>
        <v>0</v>
      </c>
      <c r="E55">
        <f>IFERROR(VLOOKUP(A55,管理亚马逊库存!A:R,18,0),"")</f>
        <v>0</v>
      </c>
      <c r="F55">
        <f t="shared" si="1"/>
        <v>0</v>
      </c>
      <c r="G55">
        <f>IFERROR(VLOOKUP(A55,预留库存!A:G,7,0),0)</f>
        <v>0</v>
      </c>
      <c r="H55">
        <f>IFERROR(VLOOKUP(A55,预留库存!A:H,8,0),0)</f>
        <v>0</v>
      </c>
      <c r="I55">
        <f>IFERROR(VLOOKUP(A55,预留库存!A:F,6,0),0)</f>
        <v>0</v>
      </c>
      <c r="J55">
        <f>IFERROR(VLOOKUP(A55,库龄!B:K,9,0),0)</f>
        <v>0</v>
      </c>
      <c r="K55">
        <f>IFERROR(VLOOKUP(A55,库龄!B:L,10,0),0)</f>
        <v>0</v>
      </c>
      <c r="L55">
        <f>IFERROR(VLOOKUP(A55,库龄!B:M,11,0),0)</f>
        <v>0</v>
      </c>
      <c r="M55">
        <f>IFERROR(VLOOKUP(A55,库龄!B:N,12,0),0)</f>
        <v>0</v>
      </c>
      <c r="N55">
        <f t="shared" si="2"/>
        <v>0</v>
      </c>
    </row>
    <row r="56" spans="1:14">
      <c r="A56" s="3" t="s">
        <v>129</v>
      </c>
      <c r="B56">
        <f>IFERROR(VLOOKUP(A56,管理亚马逊库存!A:K,11,0),"")</f>
        <v>42</v>
      </c>
      <c r="C56">
        <f>IFERROR(VLOOKUP(A56,管理亚马逊库存!A:L,12,0),"")</f>
        <v>0</v>
      </c>
      <c r="D56">
        <f>IFERROR(VLOOKUP(A56,管理亚马逊库存!A:Q,17,0),"")</f>
        <v>0</v>
      </c>
      <c r="E56">
        <f>IFERROR(VLOOKUP(A56,管理亚马逊库存!A:R,18,0),"")</f>
        <v>0</v>
      </c>
      <c r="F56">
        <f t="shared" si="1"/>
        <v>0</v>
      </c>
      <c r="G56">
        <f>IFERROR(VLOOKUP(A56,预留库存!A:G,7,0),0)</f>
        <v>0</v>
      </c>
      <c r="H56">
        <f>IFERROR(VLOOKUP(A56,预留库存!A:H,8,0),0)</f>
        <v>0</v>
      </c>
      <c r="I56">
        <f>IFERROR(VLOOKUP(A56,预留库存!A:F,6,0),0)</f>
        <v>0</v>
      </c>
      <c r="J56">
        <f>IFERROR(VLOOKUP(A56,库龄!B:K,9,0),0)</f>
        <v>0</v>
      </c>
      <c r="K56">
        <f>IFERROR(VLOOKUP(A56,库龄!B:L,10,0),0)</f>
        <v>0</v>
      </c>
      <c r="L56">
        <f>IFERROR(VLOOKUP(A56,库龄!B:M,11,0),0)</f>
        <v>0</v>
      </c>
      <c r="M56">
        <f>IFERROR(VLOOKUP(A56,库龄!B:N,12,0),0)</f>
        <v>0</v>
      </c>
      <c r="N56">
        <f t="shared" si="2"/>
        <v>0</v>
      </c>
    </row>
    <row r="57" spans="1:14">
      <c r="A57" s="3" t="s">
        <v>131</v>
      </c>
      <c r="B57">
        <f>IFERROR(VLOOKUP(A57,管理亚马逊库存!A:K,11,0),"")</f>
        <v>58</v>
      </c>
      <c r="C57">
        <f>IFERROR(VLOOKUP(A57,管理亚马逊库存!A:L,12,0),"")</f>
        <v>0</v>
      </c>
      <c r="D57">
        <f>IFERROR(VLOOKUP(A57,管理亚马逊库存!A:Q,17,0),"")</f>
        <v>0</v>
      </c>
      <c r="E57">
        <f>IFERROR(VLOOKUP(A57,管理亚马逊库存!A:R,18,0),"")</f>
        <v>0</v>
      </c>
      <c r="F57">
        <f t="shared" si="1"/>
        <v>0</v>
      </c>
      <c r="G57">
        <f>IFERROR(VLOOKUP(A57,预留库存!A:G,7,0),0)</f>
        <v>0</v>
      </c>
      <c r="H57">
        <f>IFERROR(VLOOKUP(A57,预留库存!A:H,8,0),0)</f>
        <v>0</v>
      </c>
      <c r="I57">
        <f>IFERROR(VLOOKUP(A57,预留库存!A:F,6,0),0)</f>
        <v>0</v>
      </c>
      <c r="J57">
        <f>IFERROR(VLOOKUP(A57,库龄!B:K,9,0),0)</f>
        <v>0</v>
      </c>
      <c r="K57">
        <f>IFERROR(VLOOKUP(A57,库龄!B:L,10,0),0)</f>
        <v>0</v>
      </c>
      <c r="L57">
        <f>IFERROR(VLOOKUP(A57,库龄!B:M,11,0),0)</f>
        <v>0</v>
      </c>
      <c r="M57">
        <f>IFERROR(VLOOKUP(A57,库龄!B:N,12,0),0)</f>
        <v>0</v>
      </c>
      <c r="N57">
        <f t="shared" si="2"/>
        <v>0</v>
      </c>
    </row>
    <row r="58" spans="1:14">
      <c r="A58" s="3" t="s">
        <v>133</v>
      </c>
      <c r="B58">
        <f>IFERROR(VLOOKUP(A58,管理亚马逊库存!A:K,11,0),"")</f>
        <v>1</v>
      </c>
      <c r="C58">
        <f>IFERROR(VLOOKUP(A58,管理亚马逊库存!A:L,12,0),"")</f>
        <v>0</v>
      </c>
      <c r="D58">
        <f>IFERROR(VLOOKUP(A58,管理亚马逊库存!A:Q,17,0),"")</f>
        <v>0</v>
      </c>
      <c r="E58">
        <f>IFERROR(VLOOKUP(A58,管理亚马逊库存!A:R,18,0),"")</f>
        <v>0</v>
      </c>
      <c r="F58">
        <f t="shared" si="1"/>
        <v>0</v>
      </c>
      <c r="G58">
        <f>IFERROR(VLOOKUP(A58,预留库存!A:G,7,0),0)</f>
        <v>0</v>
      </c>
      <c r="H58">
        <f>IFERROR(VLOOKUP(A58,预留库存!A:H,8,0),0)</f>
        <v>0</v>
      </c>
      <c r="I58">
        <f>IFERROR(VLOOKUP(A58,预留库存!A:F,6,0),0)</f>
        <v>0</v>
      </c>
      <c r="J58">
        <f>IFERROR(VLOOKUP(A58,库龄!B:K,9,0),0)</f>
        <v>0</v>
      </c>
      <c r="K58">
        <f>IFERROR(VLOOKUP(A58,库龄!B:L,10,0),0)</f>
        <v>0</v>
      </c>
      <c r="L58">
        <f>IFERROR(VLOOKUP(A58,库龄!B:M,11,0),0)</f>
        <v>0</v>
      </c>
      <c r="M58">
        <f>IFERROR(VLOOKUP(A58,库龄!B:N,12,0),0)</f>
        <v>0</v>
      </c>
      <c r="N58">
        <f t="shared" si="2"/>
        <v>0</v>
      </c>
    </row>
    <row r="59" spans="1:14">
      <c r="A59" s="3" t="s">
        <v>135</v>
      </c>
      <c r="B59">
        <f>IFERROR(VLOOKUP(A59,管理亚马逊库存!A:K,11,0),"")</f>
        <v>25</v>
      </c>
      <c r="C59">
        <f>IFERROR(VLOOKUP(A59,管理亚马逊库存!A:L,12,0),"")</f>
        <v>0</v>
      </c>
      <c r="D59">
        <f>IFERROR(VLOOKUP(A59,管理亚马逊库存!A:Q,17,0),"")</f>
        <v>0</v>
      </c>
      <c r="E59">
        <f>IFERROR(VLOOKUP(A59,管理亚马逊库存!A:R,18,0),"")</f>
        <v>0</v>
      </c>
      <c r="F59">
        <f t="shared" si="1"/>
        <v>0</v>
      </c>
      <c r="G59">
        <f>IFERROR(VLOOKUP(A59,预留库存!A:G,7,0),0)</f>
        <v>0</v>
      </c>
      <c r="H59">
        <f>IFERROR(VLOOKUP(A59,预留库存!A:H,8,0),0)</f>
        <v>0</v>
      </c>
      <c r="I59">
        <f>IFERROR(VLOOKUP(A59,预留库存!A:F,6,0),0)</f>
        <v>0</v>
      </c>
      <c r="J59">
        <f>IFERROR(VLOOKUP(A59,库龄!B:K,9,0),0)</f>
        <v>0</v>
      </c>
      <c r="K59">
        <f>IFERROR(VLOOKUP(A59,库龄!B:L,10,0),0)</f>
        <v>0</v>
      </c>
      <c r="L59">
        <f>IFERROR(VLOOKUP(A59,库龄!B:M,11,0),0)</f>
        <v>0</v>
      </c>
      <c r="M59">
        <f>IFERROR(VLOOKUP(A59,库龄!B:N,12,0),0)</f>
        <v>0</v>
      </c>
      <c r="N59">
        <f t="shared" si="2"/>
        <v>0</v>
      </c>
    </row>
    <row r="60" spans="1:14">
      <c r="A60" s="3" t="s">
        <v>137</v>
      </c>
      <c r="B60">
        <f>IFERROR(VLOOKUP(A60,管理亚马逊库存!A:K,11,0),"")</f>
        <v>10</v>
      </c>
      <c r="C60">
        <f>IFERROR(VLOOKUP(A60,管理亚马逊库存!A:L,12,0),"")</f>
        <v>0</v>
      </c>
      <c r="D60">
        <f>IFERROR(VLOOKUP(A60,管理亚马逊库存!A:Q,17,0),"")</f>
        <v>0</v>
      </c>
      <c r="E60">
        <f>IFERROR(VLOOKUP(A60,管理亚马逊库存!A:R,18,0),"")</f>
        <v>0</v>
      </c>
      <c r="F60">
        <f t="shared" si="1"/>
        <v>0</v>
      </c>
      <c r="G60">
        <f>IFERROR(VLOOKUP(A60,预留库存!A:G,7,0),0)</f>
        <v>0</v>
      </c>
      <c r="H60">
        <f>IFERROR(VLOOKUP(A60,预留库存!A:H,8,0),0)</f>
        <v>0</v>
      </c>
      <c r="I60">
        <f>IFERROR(VLOOKUP(A60,预留库存!A:F,6,0),0)</f>
        <v>0</v>
      </c>
      <c r="J60">
        <f>IFERROR(VLOOKUP(A60,库龄!B:K,9,0),0)</f>
        <v>0</v>
      </c>
      <c r="K60">
        <f>IFERROR(VLOOKUP(A60,库龄!B:L,10,0),0)</f>
        <v>0</v>
      </c>
      <c r="L60">
        <f>IFERROR(VLOOKUP(A60,库龄!B:M,11,0),0)</f>
        <v>0</v>
      </c>
      <c r="M60">
        <f>IFERROR(VLOOKUP(A60,库龄!B:N,12,0),0)</f>
        <v>0</v>
      </c>
      <c r="N60">
        <f t="shared" si="2"/>
        <v>0</v>
      </c>
    </row>
    <row r="61" spans="1:14">
      <c r="A61" s="3" t="s">
        <v>139</v>
      </c>
      <c r="B61">
        <f>IFERROR(VLOOKUP(A61,管理亚马逊库存!A:K,11,0),"")</f>
        <v>16</v>
      </c>
      <c r="C61">
        <f>IFERROR(VLOOKUP(A61,管理亚马逊库存!A:L,12,0),"")</f>
        <v>0</v>
      </c>
      <c r="D61">
        <f>IFERROR(VLOOKUP(A61,管理亚马逊库存!A:Q,17,0),"")</f>
        <v>0</v>
      </c>
      <c r="E61">
        <f>IFERROR(VLOOKUP(A61,管理亚马逊库存!A:R,18,0),"")</f>
        <v>0</v>
      </c>
      <c r="F61">
        <f t="shared" si="1"/>
        <v>0</v>
      </c>
      <c r="G61">
        <f>IFERROR(VLOOKUP(A61,预留库存!A:G,7,0),0)</f>
        <v>0</v>
      </c>
      <c r="H61">
        <f>IFERROR(VLOOKUP(A61,预留库存!A:H,8,0),0)</f>
        <v>0</v>
      </c>
      <c r="I61">
        <f>IFERROR(VLOOKUP(A61,预留库存!A:F,6,0),0)</f>
        <v>0</v>
      </c>
      <c r="J61">
        <f>IFERROR(VLOOKUP(A61,库龄!B:K,9,0),0)</f>
        <v>0</v>
      </c>
      <c r="K61">
        <f>IFERROR(VLOOKUP(A61,库龄!B:L,10,0),0)</f>
        <v>0</v>
      </c>
      <c r="L61">
        <f>IFERROR(VLOOKUP(A61,库龄!B:M,11,0),0)</f>
        <v>0</v>
      </c>
      <c r="M61">
        <f>IFERROR(VLOOKUP(A61,库龄!B:N,12,0),0)</f>
        <v>0</v>
      </c>
      <c r="N61">
        <f t="shared" si="2"/>
        <v>0</v>
      </c>
    </row>
    <row r="62" spans="1:14">
      <c r="A62" s="3" t="s">
        <v>141</v>
      </c>
      <c r="B62">
        <f>IFERROR(VLOOKUP(A62,管理亚马逊库存!A:K,11,0),"")</f>
        <v>12</v>
      </c>
      <c r="C62">
        <f>IFERROR(VLOOKUP(A62,管理亚马逊库存!A:L,12,0),"")</f>
        <v>0</v>
      </c>
      <c r="D62">
        <f>IFERROR(VLOOKUP(A62,管理亚马逊库存!A:Q,17,0),"")</f>
        <v>0</v>
      </c>
      <c r="E62">
        <f>IFERROR(VLOOKUP(A62,管理亚马逊库存!A:R,18,0),"")</f>
        <v>0</v>
      </c>
      <c r="F62">
        <f t="shared" si="1"/>
        <v>0</v>
      </c>
      <c r="G62">
        <f>IFERROR(VLOOKUP(A62,预留库存!A:G,7,0),0)</f>
        <v>0</v>
      </c>
      <c r="H62">
        <f>IFERROR(VLOOKUP(A62,预留库存!A:H,8,0),0)</f>
        <v>0</v>
      </c>
      <c r="I62">
        <f>IFERROR(VLOOKUP(A62,预留库存!A:F,6,0),0)</f>
        <v>0</v>
      </c>
      <c r="J62">
        <f>IFERROR(VLOOKUP(A62,库龄!B:K,9,0),0)</f>
        <v>0</v>
      </c>
      <c r="K62">
        <f>IFERROR(VLOOKUP(A62,库龄!B:L,10,0),0)</f>
        <v>0</v>
      </c>
      <c r="L62">
        <f>IFERROR(VLOOKUP(A62,库龄!B:M,11,0),0)</f>
        <v>0</v>
      </c>
      <c r="M62">
        <f>IFERROR(VLOOKUP(A62,库龄!B:N,12,0),0)</f>
        <v>0</v>
      </c>
      <c r="N62">
        <f t="shared" si="2"/>
        <v>0</v>
      </c>
    </row>
    <row r="63" spans="1:14">
      <c r="A63" s="3" t="s">
        <v>143</v>
      </c>
      <c r="B63">
        <f>IFERROR(VLOOKUP(A63,管理亚马逊库存!A:K,11,0),"")</f>
        <v>0</v>
      </c>
      <c r="C63">
        <f>IFERROR(VLOOKUP(A63,管理亚马逊库存!A:L,12,0),"")</f>
        <v>0</v>
      </c>
      <c r="D63">
        <f>IFERROR(VLOOKUP(A63,管理亚马逊库存!A:Q,17,0),"")</f>
        <v>0</v>
      </c>
      <c r="E63">
        <f>IFERROR(VLOOKUP(A63,管理亚马逊库存!A:R,18,0),"")</f>
        <v>0</v>
      </c>
      <c r="F63">
        <f t="shared" si="1"/>
        <v>0</v>
      </c>
      <c r="G63">
        <f>IFERROR(VLOOKUP(A63,预留库存!A:G,7,0),0)</f>
        <v>0</v>
      </c>
      <c r="H63">
        <f>IFERROR(VLOOKUP(A63,预留库存!A:H,8,0),0)</f>
        <v>0</v>
      </c>
      <c r="I63">
        <f>IFERROR(VLOOKUP(A63,预留库存!A:F,6,0),0)</f>
        <v>0</v>
      </c>
      <c r="J63">
        <f>IFERROR(VLOOKUP(A63,库龄!B:K,9,0),0)</f>
        <v>0</v>
      </c>
      <c r="K63">
        <f>IFERROR(VLOOKUP(A63,库龄!B:L,10,0),0)</f>
        <v>0</v>
      </c>
      <c r="L63">
        <f>IFERROR(VLOOKUP(A63,库龄!B:M,11,0),0)</f>
        <v>0</v>
      </c>
      <c r="M63">
        <f>IFERROR(VLOOKUP(A63,库龄!B:N,12,0),0)</f>
        <v>0</v>
      </c>
      <c r="N63">
        <f t="shared" si="2"/>
        <v>0</v>
      </c>
    </row>
    <row r="64" spans="1:14">
      <c r="A64" s="3" t="s">
        <v>145</v>
      </c>
      <c r="B64">
        <f>IFERROR(VLOOKUP(A64,管理亚马逊库存!A:K,11,0),"")</f>
        <v>11</v>
      </c>
      <c r="C64">
        <f>IFERROR(VLOOKUP(A64,管理亚马逊库存!A:L,12,0),"")</f>
        <v>0</v>
      </c>
      <c r="D64">
        <f>IFERROR(VLOOKUP(A64,管理亚马逊库存!A:Q,17,0),"")</f>
        <v>0</v>
      </c>
      <c r="E64">
        <f>IFERROR(VLOOKUP(A64,管理亚马逊库存!A:R,18,0),"")</f>
        <v>0</v>
      </c>
      <c r="F64">
        <f t="shared" si="1"/>
        <v>0</v>
      </c>
      <c r="G64">
        <f>IFERROR(VLOOKUP(A64,预留库存!A:G,7,0),0)</f>
        <v>0</v>
      </c>
      <c r="H64">
        <f>IFERROR(VLOOKUP(A64,预留库存!A:H,8,0),0)</f>
        <v>0</v>
      </c>
      <c r="I64">
        <f>IFERROR(VLOOKUP(A64,预留库存!A:F,6,0),0)</f>
        <v>0</v>
      </c>
      <c r="J64">
        <f>IFERROR(VLOOKUP(A64,库龄!B:K,9,0),0)</f>
        <v>0</v>
      </c>
      <c r="K64">
        <f>IFERROR(VLOOKUP(A64,库龄!B:L,10,0),0)</f>
        <v>0</v>
      </c>
      <c r="L64">
        <f>IFERROR(VLOOKUP(A64,库龄!B:M,11,0),0)</f>
        <v>0</v>
      </c>
      <c r="M64">
        <f>IFERROR(VLOOKUP(A64,库龄!B:N,12,0),0)</f>
        <v>0</v>
      </c>
      <c r="N64">
        <f t="shared" si="2"/>
        <v>0</v>
      </c>
    </row>
    <row r="65" spans="1:14">
      <c r="A65" s="3" t="s">
        <v>147</v>
      </c>
      <c r="B65">
        <f>IFERROR(VLOOKUP(A65,管理亚马逊库存!A:K,11,0),"")</f>
        <v>4</v>
      </c>
      <c r="C65">
        <f>IFERROR(VLOOKUP(A65,管理亚马逊库存!A:L,12,0),"")</f>
        <v>0</v>
      </c>
      <c r="D65">
        <f>IFERROR(VLOOKUP(A65,管理亚马逊库存!A:Q,17,0),"")</f>
        <v>0</v>
      </c>
      <c r="E65">
        <f>IFERROR(VLOOKUP(A65,管理亚马逊库存!A:R,18,0),"")</f>
        <v>0</v>
      </c>
      <c r="F65">
        <f t="shared" si="1"/>
        <v>0</v>
      </c>
      <c r="G65">
        <f>IFERROR(VLOOKUP(A65,预留库存!A:G,7,0),0)</f>
        <v>0</v>
      </c>
      <c r="H65">
        <f>IFERROR(VLOOKUP(A65,预留库存!A:H,8,0),0)</f>
        <v>0</v>
      </c>
      <c r="I65">
        <f>IFERROR(VLOOKUP(A65,预留库存!A:F,6,0),0)</f>
        <v>0</v>
      </c>
      <c r="J65">
        <f>IFERROR(VLOOKUP(A65,库龄!B:K,9,0),0)</f>
        <v>0</v>
      </c>
      <c r="K65">
        <f>IFERROR(VLOOKUP(A65,库龄!B:L,10,0),0)</f>
        <v>0</v>
      </c>
      <c r="L65">
        <f>IFERROR(VLOOKUP(A65,库龄!B:M,11,0),0)</f>
        <v>0</v>
      </c>
      <c r="M65">
        <f>IFERROR(VLOOKUP(A65,库龄!B:N,12,0),0)</f>
        <v>0</v>
      </c>
      <c r="N65">
        <f t="shared" si="2"/>
        <v>0</v>
      </c>
    </row>
    <row r="66" spans="1:14">
      <c r="A66" s="3" t="s">
        <v>149</v>
      </c>
      <c r="B66">
        <f>IFERROR(VLOOKUP(A66,管理亚马逊库存!A:K,11,0),"")</f>
        <v>7</v>
      </c>
      <c r="C66">
        <f>IFERROR(VLOOKUP(A66,管理亚马逊库存!A:L,12,0),"")</f>
        <v>0</v>
      </c>
      <c r="D66">
        <f>IFERROR(VLOOKUP(A66,管理亚马逊库存!A:Q,17,0),"")</f>
        <v>0</v>
      </c>
      <c r="E66">
        <f>IFERROR(VLOOKUP(A66,管理亚马逊库存!A:R,18,0),"")</f>
        <v>0</v>
      </c>
      <c r="F66">
        <f t="shared" si="1"/>
        <v>0</v>
      </c>
      <c r="G66">
        <f>IFERROR(VLOOKUP(A66,预留库存!A:G,7,0),0)</f>
        <v>0</v>
      </c>
      <c r="H66">
        <f>IFERROR(VLOOKUP(A66,预留库存!A:H,8,0),0)</f>
        <v>0</v>
      </c>
      <c r="I66">
        <f>IFERROR(VLOOKUP(A66,预留库存!A:F,6,0),0)</f>
        <v>0</v>
      </c>
      <c r="J66">
        <f>IFERROR(VLOOKUP(A66,库龄!B:K,9,0),0)</f>
        <v>0</v>
      </c>
      <c r="K66">
        <f>IFERROR(VLOOKUP(A66,库龄!B:L,10,0),0)</f>
        <v>0</v>
      </c>
      <c r="L66">
        <f>IFERROR(VLOOKUP(A66,库龄!B:M,11,0),0)</f>
        <v>0</v>
      </c>
      <c r="M66">
        <f>IFERROR(VLOOKUP(A66,库龄!B:N,12,0),0)</f>
        <v>0</v>
      </c>
      <c r="N66">
        <f t="shared" si="2"/>
        <v>0</v>
      </c>
    </row>
    <row r="67" spans="1:14">
      <c r="A67" s="3" t="s">
        <v>151</v>
      </c>
      <c r="B67">
        <f>IFERROR(VLOOKUP(A67,管理亚马逊库存!A:K,11,0),"")</f>
        <v>9</v>
      </c>
      <c r="C67">
        <f>IFERROR(VLOOKUP(A67,管理亚马逊库存!A:L,12,0),"")</f>
        <v>0</v>
      </c>
      <c r="D67">
        <f>IFERROR(VLOOKUP(A67,管理亚马逊库存!A:Q,17,0),"")</f>
        <v>0</v>
      </c>
      <c r="E67">
        <f>IFERROR(VLOOKUP(A67,管理亚马逊库存!A:R,18,0),"")</f>
        <v>0</v>
      </c>
      <c r="F67">
        <f t="shared" ref="F67:F130" si="3">SUM(D67:E67)</f>
        <v>0</v>
      </c>
      <c r="G67">
        <f>IFERROR(VLOOKUP(A67,预留库存!A:G,7,0),0)</f>
        <v>0</v>
      </c>
      <c r="H67">
        <f>IFERROR(VLOOKUP(A67,预留库存!A:H,8,0),0)</f>
        <v>0</v>
      </c>
      <c r="I67">
        <f>IFERROR(VLOOKUP(A67,预留库存!A:F,6,0),0)</f>
        <v>0</v>
      </c>
      <c r="J67">
        <f>IFERROR(VLOOKUP(A67,库龄!B:K,9,0),0)</f>
        <v>0</v>
      </c>
      <c r="K67">
        <f>IFERROR(VLOOKUP(A67,库龄!B:L,10,0),0)</f>
        <v>0</v>
      </c>
      <c r="L67">
        <f>IFERROR(VLOOKUP(A67,库龄!B:M,11,0),0)</f>
        <v>0</v>
      </c>
      <c r="M67">
        <f>IFERROR(VLOOKUP(A67,库龄!B:N,12,0),0)</f>
        <v>0</v>
      </c>
      <c r="N67">
        <f t="shared" ref="N67:N130" si="4">SUM(J67:M67)</f>
        <v>0</v>
      </c>
    </row>
    <row r="68" spans="1:14">
      <c r="A68" s="3" t="s">
        <v>153</v>
      </c>
      <c r="B68">
        <f>IFERROR(VLOOKUP(A68,管理亚马逊库存!A:K,11,0),"")</f>
        <v>45</v>
      </c>
      <c r="C68">
        <f>IFERROR(VLOOKUP(A68,管理亚马逊库存!A:L,12,0),"")</f>
        <v>0</v>
      </c>
      <c r="D68">
        <f>IFERROR(VLOOKUP(A68,管理亚马逊库存!A:Q,17,0),"")</f>
        <v>0</v>
      </c>
      <c r="E68">
        <f>IFERROR(VLOOKUP(A68,管理亚马逊库存!A:R,18,0),"")</f>
        <v>0</v>
      </c>
      <c r="F68">
        <f t="shared" si="3"/>
        <v>0</v>
      </c>
      <c r="G68">
        <f>IFERROR(VLOOKUP(A68,预留库存!A:G,7,0),0)</f>
        <v>0</v>
      </c>
      <c r="H68">
        <f>IFERROR(VLOOKUP(A68,预留库存!A:H,8,0),0)</f>
        <v>0</v>
      </c>
      <c r="I68">
        <f>IFERROR(VLOOKUP(A68,预留库存!A:F,6,0),0)</f>
        <v>0</v>
      </c>
      <c r="J68">
        <f>IFERROR(VLOOKUP(A68,库龄!B:K,9,0),0)</f>
        <v>0</v>
      </c>
      <c r="K68">
        <f>IFERROR(VLOOKUP(A68,库龄!B:L,10,0),0)</f>
        <v>0</v>
      </c>
      <c r="L68">
        <f>IFERROR(VLOOKUP(A68,库龄!B:M,11,0),0)</f>
        <v>0</v>
      </c>
      <c r="M68">
        <f>IFERROR(VLOOKUP(A68,库龄!B:N,12,0),0)</f>
        <v>0</v>
      </c>
      <c r="N68">
        <f t="shared" si="4"/>
        <v>0</v>
      </c>
    </row>
    <row r="69" spans="1:14">
      <c r="A69" s="3" t="s">
        <v>155</v>
      </c>
      <c r="B69">
        <f>IFERROR(VLOOKUP(A69,管理亚马逊库存!A:K,11,0),"")</f>
        <v>56</v>
      </c>
      <c r="C69">
        <f>IFERROR(VLOOKUP(A69,管理亚马逊库存!A:L,12,0),"")</f>
        <v>1</v>
      </c>
      <c r="D69">
        <f>IFERROR(VLOOKUP(A69,管理亚马逊库存!A:Q,17,0),"")</f>
        <v>0</v>
      </c>
      <c r="E69">
        <f>IFERROR(VLOOKUP(A69,管理亚马逊库存!A:R,18,0),"")</f>
        <v>0</v>
      </c>
      <c r="F69">
        <f t="shared" si="3"/>
        <v>0</v>
      </c>
      <c r="G69">
        <f>IFERROR(VLOOKUP(A69,预留库存!A:G,7,0),0)</f>
        <v>0</v>
      </c>
      <c r="H69">
        <f>IFERROR(VLOOKUP(A69,预留库存!A:H,8,0),0)</f>
        <v>0</v>
      </c>
      <c r="I69">
        <f>IFERROR(VLOOKUP(A69,预留库存!A:F,6,0),0)</f>
        <v>0</v>
      </c>
      <c r="J69">
        <f>IFERROR(VLOOKUP(A69,库龄!B:K,9,0),0)</f>
        <v>0</v>
      </c>
      <c r="K69">
        <f>IFERROR(VLOOKUP(A69,库龄!B:L,10,0),0)</f>
        <v>0</v>
      </c>
      <c r="L69">
        <f>IFERROR(VLOOKUP(A69,库龄!B:M,11,0),0)</f>
        <v>0</v>
      </c>
      <c r="M69">
        <f>IFERROR(VLOOKUP(A69,库龄!B:N,12,0),0)</f>
        <v>0</v>
      </c>
      <c r="N69">
        <f t="shared" si="4"/>
        <v>0</v>
      </c>
    </row>
    <row r="70" spans="1:14">
      <c r="A70" s="3" t="s">
        <v>157</v>
      </c>
      <c r="B70">
        <f>IFERROR(VLOOKUP(A70,管理亚马逊库存!A:K,11,0),"")</f>
        <v>7</v>
      </c>
      <c r="C70">
        <f>IFERROR(VLOOKUP(A70,管理亚马逊库存!A:L,12,0),"")</f>
        <v>1</v>
      </c>
      <c r="D70">
        <f>IFERROR(VLOOKUP(A70,管理亚马逊库存!A:Q,17,0),"")</f>
        <v>0</v>
      </c>
      <c r="E70">
        <f>IFERROR(VLOOKUP(A70,管理亚马逊库存!A:R,18,0),"")</f>
        <v>0</v>
      </c>
      <c r="F70">
        <f t="shared" si="3"/>
        <v>0</v>
      </c>
      <c r="G70">
        <f>IFERROR(VLOOKUP(A70,预留库存!A:G,7,0),0)</f>
        <v>0</v>
      </c>
      <c r="H70">
        <f>IFERROR(VLOOKUP(A70,预留库存!A:H,8,0),0)</f>
        <v>0</v>
      </c>
      <c r="I70">
        <f>IFERROR(VLOOKUP(A70,预留库存!A:F,6,0),0)</f>
        <v>0</v>
      </c>
      <c r="J70">
        <f>IFERROR(VLOOKUP(A70,库龄!B:K,9,0),0)</f>
        <v>0</v>
      </c>
      <c r="K70">
        <f>IFERROR(VLOOKUP(A70,库龄!B:L,10,0),0)</f>
        <v>0</v>
      </c>
      <c r="L70">
        <f>IFERROR(VLOOKUP(A70,库龄!B:M,11,0),0)</f>
        <v>0</v>
      </c>
      <c r="M70">
        <f>IFERROR(VLOOKUP(A70,库龄!B:N,12,0),0)</f>
        <v>0</v>
      </c>
      <c r="N70">
        <f t="shared" si="4"/>
        <v>0</v>
      </c>
    </row>
    <row r="71" spans="1:14">
      <c r="A71" s="3" t="s">
        <v>159</v>
      </c>
      <c r="B71">
        <f>IFERROR(VLOOKUP(A71,管理亚马逊库存!A:K,11,0),"")</f>
        <v>45</v>
      </c>
      <c r="C71">
        <f>IFERROR(VLOOKUP(A71,管理亚马逊库存!A:L,12,0),"")</f>
        <v>0</v>
      </c>
      <c r="D71">
        <f>IFERROR(VLOOKUP(A71,管理亚马逊库存!A:Q,17,0),"")</f>
        <v>0</v>
      </c>
      <c r="E71">
        <f>IFERROR(VLOOKUP(A71,管理亚马逊库存!A:R,18,0),"")</f>
        <v>0</v>
      </c>
      <c r="F71">
        <f t="shared" si="3"/>
        <v>0</v>
      </c>
      <c r="G71">
        <f>IFERROR(VLOOKUP(A71,预留库存!A:G,7,0),0)</f>
        <v>0</v>
      </c>
      <c r="H71">
        <f>IFERROR(VLOOKUP(A71,预留库存!A:H,8,0),0)</f>
        <v>0</v>
      </c>
      <c r="I71">
        <f>IFERROR(VLOOKUP(A71,预留库存!A:F,6,0),0)</f>
        <v>0</v>
      </c>
      <c r="J71">
        <f>IFERROR(VLOOKUP(A71,库龄!B:K,9,0),0)</f>
        <v>0</v>
      </c>
      <c r="K71">
        <f>IFERROR(VLOOKUP(A71,库龄!B:L,10,0),0)</f>
        <v>0</v>
      </c>
      <c r="L71">
        <f>IFERROR(VLOOKUP(A71,库龄!B:M,11,0),0)</f>
        <v>0</v>
      </c>
      <c r="M71">
        <f>IFERROR(VLOOKUP(A71,库龄!B:N,12,0),0)</f>
        <v>0</v>
      </c>
      <c r="N71">
        <f t="shared" si="4"/>
        <v>0</v>
      </c>
    </row>
    <row r="72" spans="1:14">
      <c r="A72" s="3" t="s">
        <v>161</v>
      </c>
      <c r="B72">
        <f>IFERROR(VLOOKUP(A72,管理亚马逊库存!A:K,11,0),"")</f>
        <v>52</v>
      </c>
      <c r="C72">
        <f>IFERROR(VLOOKUP(A72,管理亚马逊库存!A:L,12,0),"")</f>
        <v>0</v>
      </c>
      <c r="D72">
        <f>IFERROR(VLOOKUP(A72,管理亚马逊库存!A:Q,17,0),"")</f>
        <v>0</v>
      </c>
      <c r="E72">
        <f>IFERROR(VLOOKUP(A72,管理亚马逊库存!A:R,18,0),"")</f>
        <v>0</v>
      </c>
      <c r="F72">
        <f t="shared" si="3"/>
        <v>0</v>
      </c>
      <c r="G72">
        <f>IFERROR(VLOOKUP(A72,预留库存!A:G,7,0),0)</f>
        <v>0</v>
      </c>
      <c r="H72">
        <f>IFERROR(VLOOKUP(A72,预留库存!A:H,8,0),0)</f>
        <v>0</v>
      </c>
      <c r="I72">
        <f>IFERROR(VLOOKUP(A72,预留库存!A:F,6,0),0)</f>
        <v>0</v>
      </c>
      <c r="J72">
        <f>IFERROR(VLOOKUP(A72,库龄!B:K,9,0),0)</f>
        <v>0</v>
      </c>
      <c r="K72">
        <f>IFERROR(VLOOKUP(A72,库龄!B:L,10,0),0)</f>
        <v>0</v>
      </c>
      <c r="L72">
        <f>IFERROR(VLOOKUP(A72,库龄!B:M,11,0),0)</f>
        <v>0</v>
      </c>
      <c r="M72">
        <f>IFERROR(VLOOKUP(A72,库龄!B:N,12,0),0)</f>
        <v>0</v>
      </c>
      <c r="N72">
        <f t="shared" si="4"/>
        <v>0</v>
      </c>
    </row>
    <row r="73" spans="1:14">
      <c r="A73" s="3" t="s">
        <v>163</v>
      </c>
      <c r="B73">
        <f>IFERROR(VLOOKUP(A73,管理亚马逊库存!A:K,11,0),"")</f>
        <v>0</v>
      </c>
      <c r="C73">
        <f>IFERROR(VLOOKUP(A73,管理亚马逊库存!A:L,12,0),"")</f>
        <v>0</v>
      </c>
      <c r="D73">
        <f>IFERROR(VLOOKUP(A73,管理亚马逊库存!A:Q,17,0),"")</f>
        <v>0</v>
      </c>
      <c r="E73">
        <f>IFERROR(VLOOKUP(A73,管理亚马逊库存!A:R,18,0),"")</f>
        <v>0</v>
      </c>
      <c r="F73">
        <f t="shared" si="3"/>
        <v>0</v>
      </c>
      <c r="G73">
        <f>IFERROR(VLOOKUP(A73,预留库存!A:G,7,0),0)</f>
        <v>0</v>
      </c>
      <c r="H73">
        <f>IFERROR(VLOOKUP(A73,预留库存!A:H,8,0),0)</f>
        <v>0</v>
      </c>
      <c r="I73">
        <f>IFERROR(VLOOKUP(A73,预留库存!A:F,6,0),0)</f>
        <v>0</v>
      </c>
      <c r="J73">
        <f>IFERROR(VLOOKUP(A73,库龄!B:K,9,0),0)</f>
        <v>0</v>
      </c>
      <c r="K73">
        <f>IFERROR(VLOOKUP(A73,库龄!B:L,10,0),0)</f>
        <v>0</v>
      </c>
      <c r="L73">
        <f>IFERROR(VLOOKUP(A73,库龄!B:M,11,0),0)</f>
        <v>0</v>
      </c>
      <c r="M73">
        <f>IFERROR(VLOOKUP(A73,库龄!B:N,12,0),0)</f>
        <v>0</v>
      </c>
      <c r="N73">
        <f t="shared" si="4"/>
        <v>0</v>
      </c>
    </row>
    <row r="74" spans="1:14">
      <c r="A74" s="3" t="s">
        <v>165</v>
      </c>
      <c r="B74">
        <f>IFERROR(VLOOKUP(A74,管理亚马逊库存!A:K,11,0),"")</f>
        <v>0</v>
      </c>
      <c r="C74">
        <f>IFERROR(VLOOKUP(A74,管理亚马逊库存!A:L,12,0),"")</f>
        <v>0</v>
      </c>
      <c r="D74">
        <f>IFERROR(VLOOKUP(A74,管理亚马逊库存!A:Q,17,0),"")</f>
        <v>0</v>
      </c>
      <c r="E74">
        <f>IFERROR(VLOOKUP(A74,管理亚马逊库存!A:R,18,0),"")</f>
        <v>0</v>
      </c>
      <c r="F74">
        <f t="shared" si="3"/>
        <v>0</v>
      </c>
      <c r="G74">
        <f>IFERROR(VLOOKUP(A74,预留库存!A:G,7,0),0)</f>
        <v>0</v>
      </c>
      <c r="H74">
        <f>IFERROR(VLOOKUP(A74,预留库存!A:H,8,0),0)</f>
        <v>0</v>
      </c>
      <c r="I74">
        <f>IFERROR(VLOOKUP(A74,预留库存!A:F,6,0),0)</f>
        <v>0</v>
      </c>
      <c r="J74">
        <f>IFERROR(VLOOKUP(A74,库龄!B:K,9,0),0)</f>
        <v>0</v>
      </c>
      <c r="K74">
        <f>IFERROR(VLOOKUP(A74,库龄!B:L,10,0),0)</f>
        <v>0</v>
      </c>
      <c r="L74">
        <f>IFERROR(VLOOKUP(A74,库龄!B:M,11,0),0)</f>
        <v>0</v>
      </c>
      <c r="M74">
        <f>IFERROR(VLOOKUP(A74,库龄!B:N,12,0),0)</f>
        <v>0</v>
      </c>
      <c r="N74">
        <f t="shared" si="4"/>
        <v>0</v>
      </c>
    </row>
    <row r="75" spans="1:14">
      <c r="A75" s="3" t="s">
        <v>167</v>
      </c>
      <c r="B75">
        <f>IFERROR(VLOOKUP(A75,管理亚马逊库存!A:K,11,0),"")</f>
        <v>0</v>
      </c>
      <c r="C75">
        <f>IFERROR(VLOOKUP(A75,管理亚马逊库存!A:L,12,0),"")</f>
        <v>0</v>
      </c>
      <c r="D75">
        <f>IFERROR(VLOOKUP(A75,管理亚马逊库存!A:Q,17,0),"")</f>
        <v>0</v>
      </c>
      <c r="E75">
        <f>IFERROR(VLOOKUP(A75,管理亚马逊库存!A:R,18,0),"")</f>
        <v>0</v>
      </c>
      <c r="F75">
        <f t="shared" si="3"/>
        <v>0</v>
      </c>
      <c r="G75">
        <f>IFERROR(VLOOKUP(A75,预留库存!A:G,7,0),0)</f>
        <v>0</v>
      </c>
      <c r="H75">
        <f>IFERROR(VLOOKUP(A75,预留库存!A:H,8,0),0)</f>
        <v>0</v>
      </c>
      <c r="I75">
        <f>IFERROR(VLOOKUP(A75,预留库存!A:F,6,0),0)</f>
        <v>0</v>
      </c>
      <c r="J75">
        <f>IFERROR(VLOOKUP(A75,库龄!B:K,9,0),0)</f>
        <v>0</v>
      </c>
      <c r="K75">
        <f>IFERROR(VLOOKUP(A75,库龄!B:L,10,0),0)</f>
        <v>0</v>
      </c>
      <c r="L75">
        <f>IFERROR(VLOOKUP(A75,库龄!B:M,11,0),0)</f>
        <v>0</v>
      </c>
      <c r="M75">
        <f>IFERROR(VLOOKUP(A75,库龄!B:N,12,0),0)</f>
        <v>0</v>
      </c>
      <c r="N75">
        <f t="shared" si="4"/>
        <v>0</v>
      </c>
    </row>
    <row r="76" spans="1:14">
      <c r="A76" s="3" t="s">
        <v>169</v>
      </c>
      <c r="B76">
        <f>IFERROR(VLOOKUP(A76,管理亚马逊库存!A:K,11,0),"")</f>
        <v>0</v>
      </c>
      <c r="C76">
        <f>IFERROR(VLOOKUP(A76,管理亚马逊库存!A:L,12,0),"")</f>
        <v>0</v>
      </c>
      <c r="D76">
        <f>IFERROR(VLOOKUP(A76,管理亚马逊库存!A:Q,17,0),"")</f>
        <v>0</v>
      </c>
      <c r="E76">
        <f>IFERROR(VLOOKUP(A76,管理亚马逊库存!A:R,18,0),"")</f>
        <v>0</v>
      </c>
      <c r="F76">
        <f t="shared" si="3"/>
        <v>0</v>
      </c>
      <c r="G76">
        <f>IFERROR(VLOOKUP(A76,预留库存!A:G,7,0),0)</f>
        <v>0</v>
      </c>
      <c r="H76">
        <f>IFERROR(VLOOKUP(A76,预留库存!A:H,8,0),0)</f>
        <v>0</v>
      </c>
      <c r="I76">
        <f>IFERROR(VLOOKUP(A76,预留库存!A:F,6,0),0)</f>
        <v>0</v>
      </c>
      <c r="J76">
        <f>IFERROR(VLOOKUP(A76,库龄!B:K,9,0),0)</f>
        <v>0</v>
      </c>
      <c r="K76">
        <f>IFERROR(VLOOKUP(A76,库龄!B:L,10,0),0)</f>
        <v>0</v>
      </c>
      <c r="L76">
        <f>IFERROR(VLOOKUP(A76,库龄!B:M,11,0),0)</f>
        <v>0</v>
      </c>
      <c r="M76">
        <f>IFERROR(VLOOKUP(A76,库龄!B:N,12,0),0)</f>
        <v>0</v>
      </c>
      <c r="N76">
        <f t="shared" si="4"/>
        <v>0</v>
      </c>
    </row>
    <row r="77" spans="1:14">
      <c r="A77" s="3" t="s">
        <v>171</v>
      </c>
      <c r="B77">
        <f>IFERROR(VLOOKUP(A77,管理亚马逊库存!A:K,11,0),"")</f>
        <v>0</v>
      </c>
      <c r="C77">
        <f>IFERROR(VLOOKUP(A77,管理亚马逊库存!A:L,12,0),"")</f>
        <v>0</v>
      </c>
      <c r="D77">
        <f>IFERROR(VLOOKUP(A77,管理亚马逊库存!A:Q,17,0),"")</f>
        <v>0</v>
      </c>
      <c r="E77">
        <f>IFERROR(VLOOKUP(A77,管理亚马逊库存!A:R,18,0),"")</f>
        <v>0</v>
      </c>
      <c r="F77">
        <f t="shared" si="3"/>
        <v>0</v>
      </c>
      <c r="G77">
        <f>IFERROR(VLOOKUP(A77,预留库存!A:G,7,0),0)</f>
        <v>0</v>
      </c>
      <c r="H77">
        <f>IFERROR(VLOOKUP(A77,预留库存!A:H,8,0),0)</f>
        <v>0</v>
      </c>
      <c r="I77">
        <f>IFERROR(VLOOKUP(A77,预留库存!A:F,6,0),0)</f>
        <v>0</v>
      </c>
      <c r="J77">
        <f>IFERROR(VLOOKUP(A77,库龄!B:K,9,0),0)</f>
        <v>0</v>
      </c>
      <c r="K77">
        <f>IFERROR(VLOOKUP(A77,库龄!B:L,10,0),0)</f>
        <v>0</v>
      </c>
      <c r="L77">
        <f>IFERROR(VLOOKUP(A77,库龄!B:M,11,0),0)</f>
        <v>0</v>
      </c>
      <c r="M77">
        <f>IFERROR(VLOOKUP(A77,库龄!B:N,12,0),0)</f>
        <v>0</v>
      </c>
      <c r="N77">
        <f t="shared" si="4"/>
        <v>0</v>
      </c>
    </row>
    <row r="78" spans="1:14">
      <c r="A78" s="3" t="s">
        <v>173</v>
      </c>
      <c r="B78">
        <f>IFERROR(VLOOKUP(A78,管理亚马逊库存!A:K,11,0),"")</f>
        <v>7</v>
      </c>
      <c r="C78">
        <f>IFERROR(VLOOKUP(A78,管理亚马逊库存!A:L,12,0),"")</f>
        <v>0</v>
      </c>
      <c r="D78">
        <f>IFERROR(VLOOKUP(A78,管理亚马逊库存!A:Q,17,0),"")</f>
        <v>0</v>
      </c>
      <c r="E78">
        <f>IFERROR(VLOOKUP(A78,管理亚马逊库存!A:R,18,0),"")</f>
        <v>0</v>
      </c>
      <c r="F78">
        <f t="shared" si="3"/>
        <v>0</v>
      </c>
      <c r="G78">
        <f>IFERROR(VLOOKUP(A78,预留库存!A:G,7,0),0)</f>
        <v>0</v>
      </c>
      <c r="H78">
        <f>IFERROR(VLOOKUP(A78,预留库存!A:H,8,0),0)</f>
        <v>0</v>
      </c>
      <c r="I78">
        <f>IFERROR(VLOOKUP(A78,预留库存!A:F,6,0),0)</f>
        <v>0</v>
      </c>
      <c r="J78">
        <f>IFERROR(VLOOKUP(A78,库龄!B:K,9,0),0)</f>
        <v>0</v>
      </c>
      <c r="K78">
        <f>IFERROR(VLOOKUP(A78,库龄!B:L,10,0),0)</f>
        <v>0</v>
      </c>
      <c r="L78">
        <f>IFERROR(VLOOKUP(A78,库龄!B:M,11,0),0)</f>
        <v>0</v>
      </c>
      <c r="M78">
        <f>IFERROR(VLOOKUP(A78,库龄!B:N,12,0),0)</f>
        <v>0</v>
      </c>
      <c r="N78">
        <f t="shared" si="4"/>
        <v>0</v>
      </c>
    </row>
    <row r="79" spans="1:14">
      <c r="A79" s="3" t="s">
        <v>175</v>
      </c>
      <c r="B79">
        <f>IFERROR(VLOOKUP(A79,管理亚马逊库存!A:K,11,0),"")</f>
        <v>0</v>
      </c>
      <c r="C79">
        <f>IFERROR(VLOOKUP(A79,管理亚马逊库存!A:L,12,0),"")</f>
        <v>0</v>
      </c>
      <c r="D79">
        <f>IFERROR(VLOOKUP(A79,管理亚马逊库存!A:Q,17,0),"")</f>
        <v>0</v>
      </c>
      <c r="E79">
        <f>IFERROR(VLOOKUP(A79,管理亚马逊库存!A:R,18,0),"")</f>
        <v>0</v>
      </c>
      <c r="F79">
        <f t="shared" si="3"/>
        <v>0</v>
      </c>
      <c r="G79">
        <f>IFERROR(VLOOKUP(A79,预留库存!A:G,7,0),0)</f>
        <v>0</v>
      </c>
      <c r="H79">
        <f>IFERROR(VLOOKUP(A79,预留库存!A:H,8,0),0)</f>
        <v>0</v>
      </c>
      <c r="I79">
        <f>IFERROR(VLOOKUP(A79,预留库存!A:F,6,0),0)</f>
        <v>0</v>
      </c>
      <c r="J79">
        <f>IFERROR(VLOOKUP(A79,库龄!B:K,9,0),0)</f>
        <v>0</v>
      </c>
      <c r="K79">
        <f>IFERROR(VLOOKUP(A79,库龄!B:L,10,0),0)</f>
        <v>0</v>
      </c>
      <c r="L79">
        <f>IFERROR(VLOOKUP(A79,库龄!B:M,11,0),0)</f>
        <v>0</v>
      </c>
      <c r="M79">
        <f>IFERROR(VLOOKUP(A79,库龄!B:N,12,0),0)</f>
        <v>0</v>
      </c>
      <c r="N79">
        <f t="shared" si="4"/>
        <v>0</v>
      </c>
    </row>
    <row r="80" spans="1:14">
      <c r="A80" s="3" t="s">
        <v>177</v>
      </c>
      <c r="B80">
        <f>IFERROR(VLOOKUP(A80,管理亚马逊库存!A:K,11,0),"")</f>
        <v>0</v>
      </c>
      <c r="C80">
        <f>IFERROR(VLOOKUP(A80,管理亚马逊库存!A:L,12,0),"")</f>
        <v>0</v>
      </c>
      <c r="D80">
        <f>IFERROR(VLOOKUP(A80,管理亚马逊库存!A:Q,17,0),"")</f>
        <v>0</v>
      </c>
      <c r="E80">
        <f>IFERROR(VLOOKUP(A80,管理亚马逊库存!A:R,18,0),"")</f>
        <v>0</v>
      </c>
      <c r="F80">
        <f t="shared" si="3"/>
        <v>0</v>
      </c>
      <c r="G80">
        <f>IFERROR(VLOOKUP(A80,预留库存!A:G,7,0),0)</f>
        <v>0</v>
      </c>
      <c r="H80">
        <f>IFERROR(VLOOKUP(A80,预留库存!A:H,8,0),0)</f>
        <v>0</v>
      </c>
      <c r="I80">
        <f>IFERROR(VLOOKUP(A80,预留库存!A:F,6,0),0)</f>
        <v>0</v>
      </c>
      <c r="J80">
        <f>IFERROR(VLOOKUP(A80,库龄!B:K,9,0),0)</f>
        <v>0</v>
      </c>
      <c r="K80">
        <f>IFERROR(VLOOKUP(A80,库龄!B:L,10,0),0)</f>
        <v>0</v>
      </c>
      <c r="L80">
        <f>IFERROR(VLOOKUP(A80,库龄!B:M,11,0),0)</f>
        <v>0</v>
      </c>
      <c r="M80">
        <f>IFERROR(VLOOKUP(A80,库龄!B:N,12,0),0)</f>
        <v>0</v>
      </c>
      <c r="N80">
        <f t="shared" si="4"/>
        <v>0</v>
      </c>
    </row>
    <row r="81" spans="1:14">
      <c r="A81" s="3" t="s">
        <v>179</v>
      </c>
      <c r="B81">
        <f>IFERROR(VLOOKUP(A81,管理亚马逊库存!A:K,11,0),"")</f>
        <v>5</v>
      </c>
      <c r="C81">
        <f>IFERROR(VLOOKUP(A81,管理亚马逊库存!A:L,12,0),"")</f>
        <v>0</v>
      </c>
      <c r="D81">
        <f>IFERROR(VLOOKUP(A81,管理亚马逊库存!A:Q,17,0),"")</f>
        <v>0</v>
      </c>
      <c r="E81">
        <f>IFERROR(VLOOKUP(A81,管理亚马逊库存!A:R,18,0),"")</f>
        <v>0</v>
      </c>
      <c r="F81">
        <f t="shared" si="3"/>
        <v>0</v>
      </c>
      <c r="G81">
        <f>IFERROR(VLOOKUP(A81,预留库存!A:G,7,0),0)</f>
        <v>0</v>
      </c>
      <c r="H81">
        <f>IFERROR(VLOOKUP(A81,预留库存!A:H,8,0),0)</f>
        <v>0</v>
      </c>
      <c r="I81">
        <f>IFERROR(VLOOKUP(A81,预留库存!A:F,6,0),0)</f>
        <v>0</v>
      </c>
      <c r="J81">
        <f>IFERROR(VLOOKUP(A81,库龄!B:K,9,0),0)</f>
        <v>4</v>
      </c>
      <c r="K81">
        <f>IFERROR(VLOOKUP(A81,库龄!B:L,10,0),0)</f>
        <v>1</v>
      </c>
      <c r="L81">
        <f>IFERROR(VLOOKUP(A81,库龄!B:M,11,0),0)</f>
        <v>0</v>
      </c>
      <c r="M81">
        <f>IFERROR(VLOOKUP(A81,库龄!B:N,12,0),0)</f>
        <v>0</v>
      </c>
      <c r="N81">
        <f t="shared" si="4"/>
        <v>5</v>
      </c>
    </row>
    <row r="82" spans="1:14">
      <c r="A82" s="3" t="s">
        <v>181</v>
      </c>
      <c r="B82">
        <f>IFERROR(VLOOKUP(A82,管理亚马逊库存!A:K,11,0),"")</f>
        <v>31</v>
      </c>
      <c r="C82">
        <f>IFERROR(VLOOKUP(A82,管理亚马逊库存!A:L,12,0),"")</f>
        <v>1</v>
      </c>
      <c r="D82">
        <f>IFERROR(VLOOKUP(A82,管理亚马逊库存!A:Q,17,0),"")</f>
        <v>0</v>
      </c>
      <c r="E82">
        <f>IFERROR(VLOOKUP(A82,管理亚马逊库存!A:R,18,0),"")</f>
        <v>0</v>
      </c>
      <c r="F82">
        <f t="shared" si="3"/>
        <v>0</v>
      </c>
      <c r="G82">
        <f>IFERROR(VLOOKUP(A82,预留库存!A:G,7,0),0)</f>
        <v>0</v>
      </c>
      <c r="H82">
        <f>IFERROR(VLOOKUP(A82,预留库存!A:H,8,0),0)</f>
        <v>0</v>
      </c>
      <c r="I82">
        <f>IFERROR(VLOOKUP(A82,预留库存!A:F,6,0),0)</f>
        <v>0</v>
      </c>
      <c r="J82">
        <f>IFERROR(VLOOKUP(A82,库龄!B:K,9,0),0)</f>
        <v>0</v>
      </c>
      <c r="K82">
        <f>IFERROR(VLOOKUP(A82,库龄!B:L,10,0),0)</f>
        <v>0</v>
      </c>
      <c r="L82">
        <f>IFERROR(VLOOKUP(A82,库龄!B:M,11,0),0)</f>
        <v>0</v>
      </c>
      <c r="M82">
        <f>IFERROR(VLOOKUP(A82,库龄!B:N,12,0),0)</f>
        <v>0</v>
      </c>
      <c r="N82">
        <f t="shared" si="4"/>
        <v>0</v>
      </c>
    </row>
    <row r="83" spans="1:14">
      <c r="A83" s="3" t="s">
        <v>183</v>
      </c>
      <c r="B83">
        <f>IFERROR(VLOOKUP(A83,管理亚马逊库存!A:K,11,0),"")</f>
        <v>31</v>
      </c>
      <c r="C83">
        <f>IFERROR(VLOOKUP(A83,管理亚马逊库存!A:L,12,0),"")</f>
        <v>0</v>
      </c>
      <c r="D83">
        <f>IFERROR(VLOOKUP(A83,管理亚马逊库存!A:Q,17,0),"")</f>
        <v>0</v>
      </c>
      <c r="E83">
        <f>IFERROR(VLOOKUP(A83,管理亚马逊库存!A:R,18,0),"")</f>
        <v>0</v>
      </c>
      <c r="F83">
        <f t="shared" si="3"/>
        <v>0</v>
      </c>
      <c r="G83">
        <f>IFERROR(VLOOKUP(A83,预留库存!A:G,7,0),0)</f>
        <v>0</v>
      </c>
      <c r="H83">
        <f>IFERROR(VLOOKUP(A83,预留库存!A:H,8,0),0)</f>
        <v>0</v>
      </c>
      <c r="I83">
        <f>IFERROR(VLOOKUP(A83,预留库存!A:F,6,0),0)</f>
        <v>0</v>
      </c>
      <c r="J83">
        <f>IFERROR(VLOOKUP(A83,库龄!B:K,9,0),0)</f>
        <v>0</v>
      </c>
      <c r="K83">
        <f>IFERROR(VLOOKUP(A83,库龄!B:L,10,0),0)</f>
        <v>0</v>
      </c>
      <c r="L83">
        <f>IFERROR(VLOOKUP(A83,库龄!B:M,11,0),0)</f>
        <v>0</v>
      </c>
      <c r="M83">
        <f>IFERROR(VLOOKUP(A83,库龄!B:N,12,0),0)</f>
        <v>0</v>
      </c>
      <c r="N83">
        <f t="shared" si="4"/>
        <v>0</v>
      </c>
    </row>
    <row r="84" spans="1:14">
      <c r="A84" s="3" t="s">
        <v>185</v>
      </c>
      <c r="B84">
        <f>IFERROR(VLOOKUP(A84,管理亚马逊库存!A:K,11,0),"")</f>
        <v>0</v>
      </c>
      <c r="C84">
        <f>IFERROR(VLOOKUP(A84,管理亚马逊库存!A:L,12,0),"")</f>
        <v>0</v>
      </c>
      <c r="D84">
        <f>IFERROR(VLOOKUP(A84,管理亚马逊库存!A:Q,17,0),"")</f>
        <v>0</v>
      </c>
      <c r="E84">
        <f>IFERROR(VLOOKUP(A84,管理亚马逊库存!A:R,18,0),"")</f>
        <v>0</v>
      </c>
      <c r="F84">
        <f t="shared" si="3"/>
        <v>0</v>
      </c>
      <c r="G84">
        <f>IFERROR(VLOOKUP(A84,预留库存!A:G,7,0),0)</f>
        <v>0</v>
      </c>
      <c r="H84">
        <f>IFERROR(VLOOKUP(A84,预留库存!A:H,8,0),0)</f>
        <v>0</v>
      </c>
      <c r="I84">
        <f>IFERROR(VLOOKUP(A84,预留库存!A:F,6,0),0)</f>
        <v>0</v>
      </c>
      <c r="J84">
        <f>IFERROR(VLOOKUP(A84,库龄!B:K,9,0),0)</f>
        <v>0</v>
      </c>
      <c r="K84">
        <f>IFERROR(VLOOKUP(A84,库龄!B:L,10,0),0)</f>
        <v>0</v>
      </c>
      <c r="L84">
        <f>IFERROR(VLOOKUP(A84,库龄!B:M,11,0),0)</f>
        <v>0</v>
      </c>
      <c r="M84">
        <f>IFERROR(VLOOKUP(A84,库龄!B:N,12,0),0)</f>
        <v>0</v>
      </c>
      <c r="N84">
        <f t="shared" si="4"/>
        <v>0</v>
      </c>
    </row>
    <row r="85" spans="1:14">
      <c r="A85" s="3" t="s">
        <v>187</v>
      </c>
      <c r="B85">
        <f>IFERROR(VLOOKUP(A85,管理亚马逊库存!A:K,11,0),"")</f>
        <v>0</v>
      </c>
      <c r="C85">
        <f>IFERROR(VLOOKUP(A85,管理亚马逊库存!A:L,12,0),"")</f>
        <v>0</v>
      </c>
      <c r="D85">
        <f>IFERROR(VLOOKUP(A85,管理亚马逊库存!A:Q,17,0),"")</f>
        <v>0</v>
      </c>
      <c r="E85">
        <f>IFERROR(VLOOKUP(A85,管理亚马逊库存!A:R,18,0),"")</f>
        <v>0</v>
      </c>
      <c r="F85">
        <f t="shared" si="3"/>
        <v>0</v>
      </c>
      <c r="G85" t="str">
        <f>IFERROR(VLOOKUP(A85,预留库存!A:G,7,0),0)</f>
        <v>No</v>
      </c>
      <c r="H85">
        <f>IFERROR(VLOOKUP(A85,预留库存!A:H,8,0),0)</f>
        <v>0</v>
      </c>
      <c r="I85">
        <f>IFERROR(VLOOKUP(A85,预留库存!A:F,6,0),0)</f>
        <v>179</v>
      </c>
      <c r="J85">
        <f>IFERROR(VLOOKUP(A85,库龄!B:K,9,0),0)</f>
        <v>0</v>
      </c>
      <c r="K85">
        <f>IFERROR(VLOOKUP(A85,库龄!B:L,10,0),0)</f>
        <v>0</v>
      </c>
      <c r="L85">
        <f>IFERROR(VLOOKUP(A85,库龄!B:M,11,0),0)</f>
        <v>0</v>
      </c>
      <c r="M85">
        <f>IFERROR(VLOOKUP(A85,库龄!B:N,12,0),0)</f>
        <v>0</v>
      </c>
      <c r="N85">
        <f t="shared" si="4"/>
        <v>0</v>
      </c>
    </row>
    <row r="86" spans="1:14">
      <c r="A86" s="3" t="s">
        <v>190</v>
      </c>
      <c r="B86">
        <f>IFERROR(VLOOKUP(A86,管理亚马逊库存!A:K,11,0),"")</f>
        <v>1</v>
      </c>
      <c r="C86">
        <f>IFERROR(VLOOKUP(A86,管理亚马逊库存!A:L,12,0),"")</f>
        <v>0</v>
      </c>
      <c r="D86">
        <f>IFERROR(VLOOKUP(A86,管理亚马逊库存!A:Q,17,0),"")</f>
        <v>0</v>
      </c>
      <c r="E86">
        <f>IFERROR(VLOOKUP(A86,管理亚马逊库存!A:R,18,0),"")</f>
        <v>0</v>
      </c>
      <c r="F86">
        <f t="shared" si="3"/>
        <v>0</v>
      </c>
      <c r="G86" t="str">
        <f>IFERROR(VLOOKUP(A86,预留库存!A:G,7,0),0)</f>
        <v>No</v>
      </c>
      <c r="H86">
        <f>IFERROR(VLOOKUP(A86,预留库存!A:H,8,0),0)</f>
        <v>0</v>
      </c>
      <c r="I86">
        <f>IFERROR(VLOOKUP(A86,预留库存!A:F,6,0),0)</f>
        <v>179</v>
      </c>
      <c r="J86">
        <f>IFERROR(VLOOKUP(A86,库龄!B:K,9,0),0)</f>
        <v>1</v>
      </c>
      <c r="K86">
        <f>IFERROR(VLOOKUP(A86,库龄!B:L,10,0),0)</f>
        <v>0</v>
      </c>
      <c r="L86">
        <f>IFERROR(VLOOKUP(A86,库龄!B:M,11,0),0)</f>
        <v>0</v>
      </c>
      <c r="M86">
        <f>IFERROR(VLOOKUP(A86,库龄!B:N,12,0),0)</f>
        <v>0</v>
      </c>
      <c r="N86">
        <f t="shared" si="4"/>
        <v>1</v>
      </c>
    </row>
    <row r="87" spans="1:14">
      <c r="A87" s="3" t="s">
        <v>193</v>
      </c>
      <c r="B87">
        <f>IFERROR(VLOOKUP(A87,管理亚马逊库存!A:K,11,0),"")</f>
        <v>1</v>
      </c>
      <c r="C87">
        <f>IFERROR(VLOOKUP(A87,管理亚马逊库存!A:L,12,0),"")</f>
        <v>0</v>
      </c>
      <c r="D87">
        <f>IFERROR(VLOOKUP(A87,管理亚马逊库存!A:Q,17,0),"")</f>
        <v>0</v>
      </c>
      <c r="E87">
        <f>IFERROR(VLOOKUP(A87,管理亚马逊库存!A:R,18,0),"")</f>
        <v>0</v>
      </c>
      <c r="F87">
        <f t="shared" si="3"/>
        <v>0</v>
      </c>
      <c r="G87" t="str">
        <f>IFERROR(VLOOKUP(A87,预留库存!A:G,7,0),0)</f>
        <v>No</v>
      </c>
      <c r="H87">
        <f>IFERROR(VLOOKUP(A87,预留库存!A:H,8,0),0)</f>
        <v>0</v>
      </c>
      <c r="I87">
        <f>IFERROR(VLOOKUP(A87,预留库存!A:F,6,0),0)</f>
        <v>179</v>
      </c>
      <c r="J87">
        <f>IFERROR(VLOOKUP(A87,库龄!B:K,9,0),0)</f>
        <v>1</v>
      </c>
      <c r="K87">
        <f>IFERROR(VLOOKUP(A87,库龄!B:L,10,0),0)</f>
        <v>0</v>
      </c>
      <c r="L87">
        <f>IFERROR(VLOOKUP(A87,库龄!B:M,11,0),0)</f>
        <v>0</v>
      </c>
      <c r="M87">
        <f>IFERROR(VLOOKUP(A87,库龄!B:N,12,0),0)</f>
        <v>0</v>
      </c>
      <c r="N87">
        <f t="shared" si="4"/>
        <v>1</v>
      </c>
    </row>
    <row r="88" spans="1:14">
      <c r="A88" s="3" t="s">
        <v>196</v>
      </c>
      <c r="B88">
        <f>IFERROR(VLOOKUP(A88,管理亚马逊库存!A:K,11,0),"")</f>
        <v>1</v>
      </c>
      <c r="C88">
        <f>IFERROR(VLOOKUP(A88,管理亚马逊库存!A:L,12,0),"")</f>
        <v>0</v>
      </c>
      <c r="D88">
        <f>IFERROR(VLOOKUP(A88,管理亚马逊库存!A:Q,17,0),"")</f>
        <v>0</v>
      </c>
      <c r="E88">
        <f>IFERROR(VLOOKUP(A88,管理亚马逊库存!A:R,18,0),"")</f>
        <v>0</v>
      </c>
      <c r="F88">
        <f t="shared" si="3"/>
        <v>0</v>
      </c>
      <c r="G88" t="str">
        <f>IFERROR(VLOOKUP(A88,预留库存!A:G,7,0),0)</f>
        <v>No</v>
      </c>
      <c r="H88">
        <f>IFERROR(VLOOKUP(A88,预留库存!A:H,8,0),0)</f>
        <v>0</v>
      </c>
      <c r="I88">
        <f>IFERROR(VLOOKUP(A88,预留库存!A:F,6,0),0)</f>
        <v>179</v>
      </c>
      <c r="J88">
        <f>IFERROR(VLOOKUP(A88,库龄!B:K,9,0),0)</f>
        <v>0</v>
      </c>
      <c r="K88">
        <f>IFERROR(VLOOKUP(A88,库龄!B:L,10,0),0)</f>
        <v>1</v>
      </c>
      <c r="L88">
        <f>IFERROR(VLOOKUP(A88,库龄!B:M,11,0),0)</f>
        <v>0</v>
      </c>
      <c r="M88">
        <f>IFERROR(VLOOKUP(A88,库龄!B:N,12,0),0)</f>
        <v>0</v>
      </c>
      <c r="N88">
        <f t="shared" si="4"/>
        <v>1</v>
      </c>
    </row>
    <row r="89" spans="1:14">
      <c r="A89" s="3" t="s">
        <v>199</v>
      </c>
      <c r="B89">
        <f>IFERROR(VLOOKUP(A89,管理亚马逊库存!A:K,11,0),"")</f>
        <v>1</v>
      </c>
      <c r="C89">
        <f>IFERROR(VLOOKUP(A89,管理亚马逊库存!A:L,12,0),"")</f>
        <v>0</v>
      </c>
      <c r="D89">
        <f>IFERROR(VLOOKUP(A89,管理亚马逊库存!A:Q,17,0),"")</f>
        <v>0</v>
      </c>
      <c r="E89">
        <f>IFERROR(VLOOKUP(A89,管理亚马逊库存!A:R,18,0),"")</f>
        <v>0</v>
      </c>
      <c r="F89">
        <f t="shared" si="3"/>
        <v>0</v>
      </c>
      <c r="G89" t="str">
        <f>IFERROR(VLOOKUP(A89,预留库存!A:G,7,0),0)</f>
        <v>No</v>
      </c>
      <c r="H89">
        <f>IFERROR(VLOOKUP(A89,预留库存!A:H,8,0),0)</f>
        <v>0</v>
      </c>
      <c r="I89">
        <f>IFERROR(VLOOKUP(A89,预留库存!A:F,6,0),0)</f>
        <v>179</v>
      </c>
      <c r="J89">
        <f>IFERROR(VLOOKUP(A89,库龄!B:K,9,0),0)</f>
        <v>1</v>
      </c>
      <c r="K89">
        <f>IFERROR(VLOOKUP(A89,库龄!B:L,10,0),0)</f>
        <v>0</v>
      </c>
      <c r="L89">
        <f>IFERROR(VLOOKUP(A89,库龄!B:M,11,0),0)</f>
        <v>0</v>
      </c>
      <c r="M89">
        <f>IFERROR(VLOOKUP(A89,库龄!B:N,12,0),0)</f>
        <v>0</v>
      </c>
      <c r="N89">
        <f t="shared" si="4"/>
        <v>1</v>
      </c>
    </row>
    <row r="90" spans="1:14">
      <c r="A90" s="3" t="s">
        <v>202</v>
      </c>
      <c r="B90">
        <f>IFERROR(VLOOKUP(A90,管理亚马逊库存!A:K,11,0),"")</f>
        <v>1</v>
      </c>
      <c r="C90">
        <f>IFERROR(VLOOKUP(A90,管理亚马逊库存!A:L,12,0),"")</f>
        <v>0</v>
      </c>
      <c r="D90">
        <f>IFERROR(VLOOKUP(A90,管理亚马逊库存!A:Q,17,0),"")</f>
        <v>0</v>
      </c>
      <c r="E90">
        <f>IFERROR(VLOOKUP(A90,管理亚马逊库存!A:R,18,0),"")</f>
        <v>0</v>
      </c>
      <c r="F90">
        <f t="shared" si="3"/>
        <v>0</v>
      </c>
      <c r="G90" t="str">
        <f>IFERROR(VLOOKUP(A90,预留库存!A:G,7,0),0)</f>
        <v>No</v>
      </c>
      <c r="H90">
        <f>IFERROR(VLOOKUP(A90,预留库存!A:H,8,0),0)</f>
        <v>0</v>
      </c>
      <c r="I90">
        <f>IFERROR(VLOOKUP(A90,预留库存!A:F,6,0),0)</f>
        <v>179</v>
      </c>
      <c r="J90">
        <f>IFERROR(VLOOKUP(A90,库龄!B:K,9,0),0)</f>
        <v>0</v>
      </c>
      <c r="K90">
        <f>IFERROR(VLOOKUP(A90,库龄!B:L,10,0),0)</f>
        <v>1</v>
      </c>
      <c r="L90">
        <f>IFERROR(VLOOKUP(A90,库龄!B:M,11,0),0)</f>
        <v>0</v>
      </c>
      <c r="M90">
        <f>IFERROR(VLOOKUP(A90,库龄!B:N,12,0),0)</f>
        <v>0</v>
      </c>
      <c r="N90">
        <f t="shared" si="4"/>
        <v>1</v>
      </c>
    </row>
    <row r="91" spans="1:14">
      <c r="A91" s="3" t="s">
        <v>205</v>
      </c>
      <c r="B91">
        <f>IFERROR(VLOOKUP(A91,管理亚马逊库存!A:K,11,0),"")</f>
        <v>0</v>
      </c>
      <c r="C91">
        <f>IFERROR(VLOOKUP(A91,管理亚马逊库存!A:L,12,0),"")</f>
        <v>0</v>
      </c>
      <c r="D91">
        <f>IFERROR(VLOOKUP(A91,管理亚马逊库存!A:Q,17,0),"")</f>
        <v>0</v>
      </c>
      <c r="E91">
        <f>IFERROR(VLOOKUP(A91,管理亚马逊库存!A:R,18,0),"")</f>
        <v>0</v>
      </c>
      <c r="F91">
        <f t="shared" si="3"/>
        <v>0</v>
      </c>
      <c r="G91" t="str">
        <f>IFERROR(VLOOKUP(A91,预留库存!A:G,7,0),0)</f>
        <v>No</v>
      </c>
      <c r="H91">
        <f>IFERROR(VLOOKUP(A91,预留库存!A:H,8,0),0)</f>
        <v>0</v>
      </c>
      <c r="I91">
        <f>IFERROR(VLOOKUP(A91,预留库存!A:F,6,0),0)</f>
        <v>179</v>
      </c>
      <c r="J91">
        <f>IFERROR(VLOOKUP(A91,库龄!B:K,9,0),0)</f>
        <v>0</v>
      </c>
      <c r="K91">
        <f>IFERROR(VLOOKUP(A91,库龄!B:L,10,0),0)</f>
        <v>0</v>
      </c>
      <c r="L91">
        <f>IFERROR(VLOOKUP(A91,库龄!B:M,11,0),0)</f>
        <v>0</v>
      </c>
      <c r="M91">
        <f>IFERROR(VLOOKUP(A91,库龄!B:N,12,0),0)</f>
        <v>0</v>
      </c>
      <c r="N91">
        <f t="shared" si="4"/>
        <v>0</v>
      </c>
    </row>
    <row r="92" spans="1:14">
      <c r="A92" s="3" t="s">
        <v>208</v>
      </c>
      <c r="B92">
        <f>IFERROR(VLOOKUP(A92,管理亚马逊库存!A:K,11,0),"")</f>
        <v>1</v>
      </c>
      <c r="C92">
        <f>IFERROR(VLOOKUP(A92,管理亚马逊库存!A:L,12,0),"")</f>
        <v>0</v>
      </c>
      <c r="D92">
        <f>IFERROR(VLOOKUP(A92,管理亚马逊库存!A:Q,17,0),"")</f>
        <v>0</v>
      </c>
      <c r="E92">
        <f>IFERROR(VLOOKUP(A92,管理亚马逊库存!A:R,18,0),"")</f>
        <v>0</v>
      </c>
      <c r="F92">
        <f t="shared" si="3"/>
        <v>0</v>
      </c>
      <c r="G92" t="str">
        <f>IFERROR(VLOOKUP(A92,预留库存!A:G,7,0),0)</f>
        <v>No</v>
      </c>
      <c r="H92">
        <f>IFERROR(VLOOKUP(A92,预留库存!A:H,8,0),0)</f>
        <v>0</v>
      </c>
      <c r="I92">
        <f>IFERROR(VLOOKUP(A92,预留库存!A:F,6,0),0)</f>
        <v>179</v>
      </c>
      <c r="J92">
        <f>IFERROR(VLOOKUP(A92,库龄!B:K,9,0),0)</f>
        <v>0</v>
      </c>
      <c r="K92">
        <f>IFERROR(VLOOKUP(A92,库龄!B:L,10,0),0)</f>
        <v>1</v>
      </c>
      <c r="L92">
        <f>IFERROR(VLOOKUP(A92,库龄!B:M,11,0),0)</f>
        <v>0</v>
      </c>
      <c r="M92">
        <f>IFERROR(VLOOKUP(A92,库龄!B:N,12,0),0)</f>
        <v>0</v>
      </c>
      <c r="N92">
        <f t="shared" si="4"/>
        <v>1</v>
      </c>
    </row>
    <row r="93" spans="1:14">
      <c r="A93" s="3" t="s">
        <v>211</v>
      </c>
      <c r="B93">
        <f>IFERROR(VLOOKUP(A93,管理亚马逊库存!A:K,11,0),"")</f>
        <v>1</v>
      </c>
      <c r="C93">
        <f>IFERROR(VLOOKUP(A93,管理亚马逊库存!A:L,12,0),"")</f>
        <v>0</v>
      </c>
      <c r="D93">
        <f>IFERROR(VLOOKUP(A93,管理亚马逊库存!A:Q,17,0),"")</f>
        <v>0</v>
      </c>
      <c r="E93">
        <f>IFERROR(VLOOKUP(A93,管理亚马逊库存!A:R,18,0),"")</f>
        <v>0</v>
      </c>
      <c r="F93">
        <f t="shared" si="3"/>
        <v>0</v>
      </c>
      <c r="G93" t="str">
        <f>IFERROR(VLOOKUP(A93,预留库存!A:G,7,0),0)</f>
        <v>No</v>
      </c>
      <c r="H93">
        <f>IFERROR(VLOOKUP(A93,预留库存!A:H,8,0),0)</f>
        <v>0</v>
      </c>
      <c r="I93">
        <f>IFERROR(VLOOKUP(A93,预留库存!A:F,6,0),0)</f>
        <v>65.98</v>
      </c>
      <c r="J93">
        <f>IFERROR(VLOOKUP(A93,库龄!B:K,9,0),0)</f>
        <v>0</v>
      </c>
      <c r="K93">
        <f>IFERROR(VLOOKUP(A93,库龄!B:L,10,0),0)</f>
        <v>1</v>
      </c>
      <c r="L93">
        <f>IFERROR(VLOOKUP(A93,库龄!B:M,11,0),0)</f>
        <v>0</v>
      </c>
      <c r="M93">
        <f>IFERROR(VLOOKUP(A93,库龄!B:N,12,0),0)</f>
        <v>0</v>
      </c>
      <c r="N93">
        <f t="shared" si="4"/>
        <v>1</v>
      </c>
    </row>
    <row r="94" spans="1:14">
      <c r="A94" s="3" t="s">
        <v>214</v>
      </c>
      <c r="B94">
        <f>IFERROR(VLOOKUP(A94,管理亚马逊库存!A:K,11,0),"")</f>
        <v>1</v>
      </c>
      <c r="C94">
        <f>IFERROR(VLOOKUP(A94,管理亚马逊库存!A:L,12,0),"")</f>
        <v>0</v>
      </c>
      <c r="D94">
        <f>IFERROR(VLOOKUP(A94,管理亚马逊库存!A:Q,17,0),"")</f>
        <v>0</v>
      </c>
      <c r="E94">
        <f>IFERROR(VLOOKUP(A94,管理亚马逊库存!A:R,18,0),"")</f>
        <v>0</v>
      </c>
      <c r="F94">
        <f t="shared" si="3"/>
        <v>0</v>
      </c>
      <c r="G94" t="str">
        <f>IFERROR(VLOOKUP(A94,预留库存!A:G,7,0),0)</f>
        <v>No</v>
      </c>
      <c r="H94">
        <f>IFERROR(VLOOKUP(A94,预留库存!A:H,8,0),0)</f>
        <v>0</v>
      </c>
      <c r="I94">
        <f>IFERROR(VLOOKUP(A94,预留库存!A:F,6,0),0)</f>
        <v>60.98</v>
      </c>
      <c r="J94">
        <f>IFERROR(VLOOKUP(A94,库龄!B:K,9,0),0)</f>
        <v>1</v>
      </c>
      <c r="K94">
        <f>IFERROR(VLOOKUP(A94,库龄!B:L,10,0),0)</f>
        <v>0</v>
      </c>
      <c r="L94">
        <f>IFERROR(VLOOKUP(A94,库龄!B:M,11,0),0)</f>
        <v>0</v>
      </c>
      <c r="M94">
        <f>IFERROR(VLOOKUP(A94,库龄!B:N,12,0),0)</f>
        <v>0</v>
      </c>
      <c r="N94">
        <f t="shared" si="4"/>
        <v>1</v>
      </c>
    </row>
    <row r="95" spans="1:14">
      <c r="A95" s="3" t="s">
        <v>217</v>
      </c>
      <c r="B95">
        <f>IFERROR(VLOOKUP(A95,管理亚马逊库存!A:K,11,0),"")</f>
        <v>1</v>
      </c>
      <c r="C95">
        <f>IFERROR(VLOOKUP(A95,管理亚马逊库存!A:L,12,0),"")</f>
        <v>0</v>
      </c>
      <c r="D95">
        <f>IFERROR(VLOOKUP(A95,管理亚马逊库存!A:Q,17,0),"")</f>
        <v>0</v>
      </c>
      <c r="E95">
        <f>IFERROR(VLOOKUP(A95,管理亚马逊库存!A:R,18,0),"")</f>
        <v>0</v>
      </c>
      <c r="F95">
        <f t="shared" si="3"/>
        <v>0</v>
      </c>
      <c r="G95" t="str">
        <f>IFERROR(VLOOKUP(A95,预留库存!A:G,7,0),0)</f>
        <v>No</v>
      </c>
      <c r="H95">
        <f>IFERROR(VLOOKUP(A95,预留库存!A:H,8,0),0)</f>
        <v>0</v>
      </c>
      <c r="I95">
        <f>IFERROR(VLOOKUP(A95,预留库存!A:F,6,0),0)</f>
        <v>60.98</v>
      </c>
      <c r="J95">
        <f>IFERROR(VLOOKUP(A95,库龄!B:K,9,0),0)</f>
        <v>0</v>
      </c>
      <c r="K95">
        <f>IFERROR(VLOOKUP(A95,库龄!B:L,10,0),0)</f>
        <v>0</v>
      </c>
      <c r="L95">
        <f>IFERROR(VLOOKUP(A95,库龄!B:M,11,0),0)</f>
        <v>0</v>
      </c>
      <c r="M95">
        <f>IFERROR(VLOOKUP(A95,库龄!B:N,12,0),0)</f>
        <v>0</v>
      </c>
      <c r="N95">
        <f t="shared" si="4"/>
        <v>0</v>
      </c>
    </row>
    <row r="96" spans="1:14">
      <c r="A96" s="3" t="s">
        <v>220</v>
      </c>
      <c r="B96">
        <f>IFERROR(VLOOKUP(A96,管理亚马逊库存!A:K,11,0),"")</f>
        <v>5</v>
      </c>
      <c r="C96">
        <f>IFERROR(VLOOKUP(A96,管理亚马逊库存!A:L,12,0),"")</f>
        <v>0</v>
      </c>
      <c r="D96">
        <f>IFERROR(VLOOKUP(A96,管理亚马逊库存!A:Q,17,0),"")</f>
        <v>0</v>
      </c>
      <c r="E96">
        <f>IFERROR(VLOOKUP(A96,管理亚马逊库存!A:R,18,0),"")</f>
        <v>0</v>
      </c>
      <c r="F96">
        <f t="shared" si="3"/>
        <v>0</v>
      </c>
      <c r="G96" t="str">
        <f>IFERROR(VLOOKUP(A96,预留库存!A:G,7,0),0)</f>
        <v>No</v>
      </c>
      <c r="H96">
        <f>IFERROR(VLOOKUP(A96,预留库存!A:H,8,0),0)</f>
        <v>0</v>
      </c>
      <c r="I96">
        <f>IFERROR(VLOOKUP(A96,预留库存!A:F,6,0),0)</f>
        <v>179</v>
      </c>
      <c r="J96">
        <f>IFERROR(VLOOKUP(A96,库龄!B:K,9,0),0)</f>
        <v>5</v>
      </c>
      <c r="K96">
        <f>IFERROR(VLOOKUP(A96,库龄!B:L,10,0),0)</f>
        <v>0</v>
      </c>
      <c r="L96">
        <f>IFERROR(VLOOKUP(A96,库龄!B:M,11,0),0)</f>
        <v>0</v>
      </c>
      <c r="M96">
        <f>IFERROR(VLOOKUP(A96,库龄!B:N,12,0),0)</f>
        <v>0</v>
      </c>
      <c r="N96">
        <f t="shared" si="4"/>
        <v>5</v>
      </c>
    </row>
    <row r="97" spans="1:14">
      <c r="A97" s="3" t="s">
        <v>223</v>
      </c>
      <c r="B97">
        <f>IFERROR(VLOOKUP(A97,管理亚马逊库存!A:K,11,0),"")</f>
        <v>1</v>
      </c>
      <c r="C97">
        <f>IFERROR(VLOOKUP(A97,管理亚马逊库存!A:L,12,0),"")</f>
        <v>0</v>
      </c>
      <c r="D97">
        <f>IFERROR(VLOOKUP(A97,管理亚马逊库存!A:Q,17,0),"")</f>
        <v>0</v>
      </c>
      <c r="E97">
        <f>IFERROR(VLOOKUP(A97,管理亚马逊库存!A:R,18,0),"")</f>
        <v>0</v>
      </c>
      <c r="F97">
        <f t="shared" si="3"/>
        <v>0</v>
      </c>
      <c r="G97" t="str">
        <f>IFERROR(VLOOKUP(A97,预留库存!A:G,7,0),0)</f>
        <v>No</v>
      </c>
      <c r="H97">
        <f>IFERROR(VLOOKUP(A97,预留库存!A:H,8,0),0)</f>
        <v>0</v>
      </c>
      <c r="I97">
        <f>IFERROR(VLOOKUP(A97,预留库存!A:F,6,0),0)</f>
        <v>179</v>
      </c>
      <c r="J97">
        <f>IFERROR(VLOOKUP(A97,库龄!B:K,9,0),0)</f>
        <v>1</v>
      </c>
      <c r="K97">
        <f>IFERROR(VLOOKUP(A97,库龄!B:L,10,0),0)</f>
        <v>0</v>
      </c>
      <c r="L97">
        <f>IFERROR(VLOOKUP(A97,库龄!B:M,11,0),0)</f>
        <v>0</v>
      </c>
      <c r="M97">
        <f>IFERROR(VLOOKUP(A97,库龄!B:N,12,0),0)</f>
        <v>0</v>
      </c>
      <c r="N97">
        <f t="shared" si="4"/>
        <v>1</v>
      </c>
    </row>
    <row r="98" spans="1:14">
      <c r="A98" s="3" t="s">
        <v>226</v>
      </c>
      <c r="B98">
        <f>IFERROR(VLOOKUP(A98,管理亚马逊库存!A:K,11,0),"")</f>
        <v>1</v>
      </c>
      <c r="C98">
        <f>IFERROR(VLOOKUP(A98,管理亚马逊库存!A:L,12,0),"")</f>
        <v>0</v>
      </c>
      <c r="D98">
        <f>IFERROR(VLOOKUP(A98,管理亚马逊库存!A:Q,17,0),"")</f>
        <v>0</v>
      </c>
      <c r="E98">
        <f>IFERROR(VLOOKUP(A98,管理亚马逊库存!A:R,18,0),"")</f>
        <v>0</v>
      </c>
      <c r="F98">
        <f t="shared" si="3"/>
        <v>0</v>
      </c>
      <c r="G98" t="str">
        <f>IFERROR(VLOOKUP(A98,预留库存!A:G,7,0),0)</f>
        <v>No</v>
      </c>
      <c r="H98">
        <f>IFERROR(VLOOKUP(A98,预留库存!A:H,8,0),0)</f>
        <v>0</v>
      </c>
      <c r="I98">
        <f>IFERROR(VLOOKUP(A98,预留库存!A:F,6,0),0)</f>
        <v>179</v>
      </c>
      <c r="J98">
        <f>IFERROR(VLOOKUP(A98,库龄!B:K,9,0),0)</f>
        <v>1</v>
      </c>
      <c r="K98">
        <f>IFERROR(VLOOKUP(A98,库龄!B:L,10,0),0)</f>
        <v>0</v>
      </c>
      <c r="L98">
        <f>IFERROR(VLOOKUP(A98,库龄!B:M,11,0),0)</f>
        <v>0</v>
      </c>
      <c r="M98">
        <f>IFERROR(VLOOKUP(A98,库龄!B:N,12,0),0)</f>
        <v>0</v>
      </c>
      <c r="N98">
        <f t="shared" si="4"/>
        <v>1</v>
      </c>
    </row>
    <row r="99" spans="1:14">
      <c r="A99" s="3" t="s">
        <v>229</v>
      </c>
      <c r="B99">
        <f>IFERROR(VLOOKUP(A99,管理亚马逊库存!A:K,11,0),"")</f>
        <v>0</v>
      </c>
      <c r="C99">
        <f>IFERROR(VLOOKUP(A99,管理亚马逊库存!A:L,12,0),"")</f>
        <v>0</v>
      </c>
      <c r="D99">
        <f>IFERROR(VLOOKUP(A99,管理亚马逊库存!A:Q,17,0),"")</f>
        <v>0</v>
      </c>
      <c r="E99">
        <f>IFERROR(VLOOKUP(A99,管理亚马逊库存!A:R,18,0),"")</f>
        <v>0</v>
      </c>
      <c r="F99">
        <f t="shared" si="3"/>
        <v>0</v>
      </c>
      <c r="G99" t="str">
        <f>IFERROR(VLOOKUP(A99,预留库存!A:G,7,0),0)</f>
        <v>No</v>
      </c>
      <c r="H99">
        <f>IFERROR(VLOOKUP(A99,预留库存!A:H,8,0),0)</f>
        <v>0</v>
      </c>
      <c r="I99">
        <f>IFERROR(VLOOKUP(A99,预留库存!A:F,6,0),0)</f>
        <v>65.98</v>
      </c>
      <c r="J99">
        <f>IFERROR(VLOOKUP(A99,库龄!B:K,9,0),0)</f>
        <v>0</v>
      </c>
      <c r="K99">
        <f>IFERROR(VLOOKUP(A99,库龄!B:L,10,0),0)</f>
        <v>0</v>
      </c>
      <c r="L99">
        <f>IFERROR(VLOOKUP(A99,库龄!B:M,11,0),0)</f>
        <v>0</v>
      </c>
      <c r="M99">
        <f>IFERROR(VLOOKUP(A99,库龄!B:N,12,0),0)</f>
        <v>0</v>
      </c>
      <c r="N99">
        <f t="shared" si="4"/>
        <v>0</v>
      </c>
    </row>
    <row r="100" spans="1:14">
      <c r="A100" s="3" t="s">
        <v>232</v>
      </c>
      <c r="B100">
        <f>IFERROR(VLOOKUP(A100,管理亚马逊库存!A:K,11,0),"")</f>
        <v>1</v>
      </c>
      <c r="C100">
        <f>IFERROR(VLOOKUP(A100,管理亚马逊库存!A:L,12,0),"")</f>
        <v>0</v>
      </c>
      <c r="D100">
        <f>IFERROR(VLOOKUP(A100,管理亚马逊库存!A:Q,17,0),"")</f>
        <v>0</v>
      </c>
      <c r="E100">
        <f>IFERROR(VLOOKUP(A100,管理亚马逊库存!A:R,18,0),"")</f>
        <v>0</v>
      </c>
      <c r="F100">
        <f t="shared" si="3"/>
        <v>0</v>
      </c>
      <c r="G100" t="str">
        <f>IFERROR(VLOOKUP(A100,预留库存!A:G,7,0),0)</f>
        <v>No</v>
      </c>
      <c r="H100">
        <f>IFERROR(VLOOKUP(A100,预留库存!A:H,8,0),0)</f>
        <v>0</v>
      </c>
      <c r="I100">
        <f>IFERROR(VLOOKUP(A100,预留库存!A:F,6,0),0)</f>
        <v>65.98</v>
      </c>
      <c r="J100">
        <f>IFERROR(VLOOKUP(A100,库龄!B:K,9,0),0)</f>
        <v>0</v>
      </c>
      <c r="K100">
        <f>IFERROR(VLOOKUP(A100,库龄!B:L,10,0),0)</f>
        <v>0</v>
      </c>
      <c r="L100">
        <f>IFERROR(VLOOKUP(A100,库龄!B:M,11,0),0)</f>
        <v>0</v>
      </c>
      <c r="M100">
        <f>IFERROR(VLOOKUP(A100,库龄!B:N,12,0),0)</f>
        <v>0</v>
      </c>
      <c r="N100">
        <f t="shared" si="4"/>
        <v>0</v>
      </c>
    </row>
    <row r="101" spans="1:14">
      <c r="A101" s="3" t="s">
        <v>235</v>
      </c>
      <c r="B101">
        <f>IFERROR(VLOOKUP(A101,管理亚马逊库存!A:K,11,0),"")</f>
        <v>1</v>
      </c>
      <c r="C101">
        <f>IFERROR(VLOOKUP(A101,管理亚马逊库存!A:L,12,0),"")</f>
        <v>0</v>
      </c>
      <c r="D101">
        <f>IFERROR(VLOOKUP(A101,管理亚马逊库存!A:Q,17,0),"")</f>
        <v>0</v>
      </c>
      <c r="E101">
        <f>IFERROR(VLOOKUP(A101,管理亚马逊库存!A:R,18,0),"")</f>
        <v>0</v>
      </c>
      <c r="F101">
        <f t="shared" si="3"/>
        <v>0</v>
      </c>
      <c r="G101" t="str">
        <f>IFERROR(VLOOKUP(A101,预留库存!A:G,7,0),0)</f>
        <v>No</v>
      </c>
      <c r="H101">
        <f>IFERROR(VLOOKUP(A101,预留库存!A:H,8,0),0)</f>
        <v>0</v>
      </c>
      <c r="I101">
        <f>IFERROR(VLOOKUP(A101,预留库存!A:F,6,0),0)</f>
        <v>65.98</v>
      </c>
      <c r="J101">
        <f>IFERROR(VLOOKUP(A101,库龄!B:K,9,0),0)</f>
        <v>1</v>
      </c>
      <c r="K101">
        <f>IFERROR(VLOOKUP(A101,库龄!B:L,10,0),0)</f>
        <v>0</v>
      </c>
      <c r="L101">
        <f>IFERROR(VLOOKUP(A101,库龄!B:M,11,0),0)</f>
        <v>0</v>
      </c>
      <c r="M101">
        <f>IFERROR(VLOOKUP(A101,库龄!B:N,12,0),0)</f>
        <v>0</v>
      </c>
      <c r="N101">
        <f t="shared" si="4"/>
        <v>1</v>
      </c>
    </row>
    <row r="102" spans="1:14">
      <c r="A102" s="3" t="s">
        <v>238</v>
      </c>
      <c r="B102">
        <f>IFERROR(VLOOKUP(A102,管理亚马逊库存!A:K,11,0),"")</f>
        <v>1</v>
      </c>
      <c r="C102">
        <f>IFERROR(VLOOKUP(A102,管理亚马逊库存!A:L,12,0),"")</f>
        <v>0</v>
      </c>
      <c r="D102">
        <f>IFERROR(VLOOKUP(A102,管理亚马逊库存!A:Q,17,0),"")</f>
        <v>0</v>
      </c>
      <c r="E102">
        <f>IFERROR(VLOOKUP(A102,管理亚马逊库存!A:R,18,0),"")</f>
        <v>0</v>
      </c>
      <c r="F102">
        <f t="shared" si="3"/>
        <v>0</v>
      </c>
      <c r="G102" t="str">
        <f>IFERROR(VLOOKUP(A102,预留库存!A:G,7,0),0)</f>
        <v>No</v>
      </c>
      <c r="H102">
        <f>IFERROR(VLOOKUP(A102,预留库存!A:H,8,0),0)</f>
        <v>0</v>
      </c>
      <c r="I102">
        <f>IFERROR(VLOOKUP(A102,预留库存!A:F,6,0),0)</f>
        <v>65.98</v>
      </c>
      <c r="J102">
        <f>IFERROR(VLOOKUP(A102,库龄!B:K,9,0),0)</f>
        <v>1</v>
      </c>
      <c r="K102">
        <f>IFERROR(VLOOKUP(A102,库龄!B:L,10,0),0)</f>
        <v>0</v>
      </c>
      <c r="L102">
        <f>IFERROR(VLOOKUP(A102,库龄!B:M,11,0),0)</f>
        <v>0</v>
      </c>
      <c r="M102">
        <f>IFERROR(VLOOKUP(A102,库龄!B:N,12,0),0)</f>
        <v>0</v>
      </c>
      <c r="N102">
        <f t="shared" si="4"/>
        <v>1</v>
      </c>
    </row>
    <row r="103" spans="1:14">
      <c r="A103" s="3" t="s">
        <v>241</v>
      </c>
      <c r="B103">
        <f>IFERROR(VLOOKUP(A103,管理亚马逊库存!A:K,11,0),"")</f>
        <v>1</v>
      </c>
      <c r="C103">
        <f>IFERROR(VLOOKUP(A103,管理亚马逊库存!A:L,12,0),"")</f>
        <v>0</v>
      </c>
      <c r="D103">
        <f>IFERROR(VLOOKUP(A103,管理亚马逊库存!A:Q,17,0),"")</f>
        <v>0</v>
      </c>
      <c r="E103">
        <f>IFERROR(VLOOKUP(A103,管理亚马逊库存!A:R,18,0),"")</f>
        <v>0</v>
      </c>
      <c r="F103">
        <f t="shared" si="3"/>
        <v>0</v>
      </c>
      <c r="G103" t="str">
        <f>IFERROR(VLOOKUP(A103,预留库存!A:G,7,0),0)</f>
        <v>No</v>
      </c>
      <c r="H103">
        <f>IFERROR(VLOOKUP(A103,预留库存!A:H,8,0),0)</f>
        <v>0</v>
      </c>
      <c r="I103">
        <f>IFERROR(VLOOKUP(A103,预留库存!A:F,6,0),0)</f>
        <v>62.98</v>
      </c>
      <c r="J103">
        <f>IFERROR(VLOOKUP(A103,库龄!B:K,9,0),0)</f>
        <v>1</v>
      </c>
      <c r="K103">
        <f>IFERROR(VLOOKUP(A103,库龄!B:L,10,0),0)</f>
        <v>0</v>
      </c>
      <c r="L103">
        <f>IFERROR(VLOOKUP(A103,库龄!B:M,11,0),0)</f>
        <v>0</v>
      </c>
      <c r="M103">
        <f>IFERROR(VLOOKUP(A103,库龄!B:N,12,0),0)</f>
        <v>0</v>
      </c>
      <c r="N103">
        <f t="shared" si="4"/>
        <v>1</v>
      </c>
    </row>
    <row r="104" spans="1:14">
      <c r="A104" s="3" t="s">
        <v>244</v>
      </c>
      <c r="B104">
        <f>IFERROR(VLOOKUP(A104,管理亚马逊库存!A:K,11,0),"")</f>
        <v>1</v>
      </c>
      <c r="C104">
        <f>IFERROR(VLOOKUP(A104,管理亚马逊库存!A:L,12,0),"")</f>
        <v>0</v>
      </c>
      <c r="D104">
        <f>IFERROR(VLOOKUP(A104,管理亚马逊库存!A:Q,17,0),"")</f>
        <v>0</v>
      </c>
      <c r="E104">
        <f>IFERROR(VLOOKUP(A104,管理亚马逊库存!A:R,18,0),"")</f>
        <v>0</v>
      </c>
      <c r="F104">
        <f t="shared" si="3"/>
        <v>0</v>
      </c>
      <c r="G104">
        <f>IFERROR(VLOOKUP(A104,预留库存!A:G,7,0),0)</f>
        <v>0</v>
      </c>
      <c r="H104">
        <f>IFERROR(VLOOKUP(A104,预留库存!A:H,8,0),0)</f>
        <v>0</v>
      </c>
      <c r="I104">
        <f>IFERROR(VLOOKUP(A104,预留库存!A:F,6,0),0)</f>
        <v>0</v>
      </c>
      <c r="J104">
        <f>IFERROR(VLOOKUP(A104,库龄!B:K,9,0),0)</f>
        <v>0</v>
      </c>
      <c r="K104">
        <f>IFERROR(VLOOKUP(A104,库龄!B:L,10,0),0)</f>
        <v>0</v>
      </c>
      <c r="L104">
        <f>IFERROR(VLOOKUP(A104,库龄!B:M,11,0),0)</f>
        <v>0</v>
      </c>
      <c r="M104">
        <f>IFERROR(VLOOKUP(A104,库龄!B:N,12,0),0)</f>
        <v>0</v>
      </c>
      <c r="N104">
        <f t="shared" si="4"/>
        <v>0</v>
      </c>
    </row>
    <row r="105" spans="1:14">
      <c r="A105" s="3" t="s">
        <v>246</v>
      </c>
      <c r="B105">
        <f>IFERROR(VLOOKUP(A105,管理亚马逊库存!A:K,11,0),"")</f>
        <v>0</v>
      </c>
      <c r="C105">
        <f>IFERROR(VLOOKUP(A105,管理亚马逊库存!A:L,12,0),"")</f>
        <v>0</v>
      </c>
      <c r="D105">
        <f>IFERROR(VLOOKUP(A105,管理亚马逊库存!A:Q,17,0),"")</f>
        <v>0</v>
      </c>
      <c r="E105">
        <f>IFERROR(VLOOKUP(A105,管理亚马逊库存!A:R,18,0),"")</f>
        <v>0</v>
      </c>
      <c r="F105">
        <f t="shared" si="3"/>
        <v>0</v>
      </c>
      <c r="G105" t="str">
        <f>IFERROR(VLOOKUP(A105,预留库存!A:G,7,0),0)</f>
        <v>No</v>
      </c>
      <c r="H105">
        <f>IFERROR(VLOOKUP(A105,预留库存!A:H,8,0),0)</f>
        <v>0</v>
      </c>
      <c r="I105">
        <f>IFERROR(VLOOKUP(A105,预留库存!A:F,6,0),0)</f>
        <v>65.98</v>
      </c>
      <c r="J105">
        <f>IFERROR(VLOOKUP(A105,库龄!B:K,9,0),0)</f>
        <v>0</v>
      </c>
      <c r="K105">
        <f>IFERROR(VLOOKUP(A105,库龄!B:L,10,0),0)</f>
        <v>0</v>
      </c>
      <c r="L105">
        <f>IFERROR(VLOOKUP(A105,库龄!B:M,11,0),0)</f>
        <v>0</v>
      </c>
      <c r="M105">
        <f>IFERROR(VLOOKUP(A105,库龄!B:N,12,0),0)</f>
        <v>0</v>
      </c>
      <c r="N105">
        <f t="shared" si="4"/>
        <v>0</v>
      </c>
    </row>
    <row r="106" spans="1:14">
      <c r="A106" s="3" t="s">
        <v>249</v>
      </c>
      <c r="B106">
        <f>IFERROR(VLOOKUP(A106,管理亚马逊库存!A:K,11,0),"")</f>
        <v>1</v>
      </c>
      <c r="C106">
        <f>IFERROR(VLOOKUP(A106,管理亚马逊库存!A:L,12,0),"")</f>
        <v>0</v>
      </c>
      <c r="D106">
        <f>IFERROR(VLOOKUP(A106,管理亚马逊库存!A:Q,17,0),"")</f>
        <v>0</v>
      </c>
      <c r="E106">
        <f>IFERROR(VLOOKUP(A106,管理亚马逊库存!A:R,18,0),"")</f>
        <v>0</v>
      </c>
      <c r="F106">
        <f t="shared" si="3"/>
        <v>0</v>
      </c>
      <c r="G106" t="str">
        <f>IFERROR(VLOOKUP(A106,预留库存!A:G,7,0),0)</f>
        <v>No</v>
      </c>
      <c r="H106">
        <f>IFERROR(VLOOKUP(A106,预留库存!A:H,8,0),0)</f>
        <v>0</v>
      </c>
      <c r="I106">
        <f>IFERROR(VLOOKUP(A106,预留库存!A:F,6,0),0)</f>
        <v>65.98</v>
      </c>
      <c r="J106">
        <f>IFERROR(VLOOKUP(A106,库龄!B:K,9,0),0)</f>
        <v>0</v>
      </c>
      <c r="K106">
        <f>IFERROR(VLOOKUP(A106,库龄!B:L,10,0),0)</f>
        <v>0</v>
      </c>
      <c r="L106">
        <f>IFERROR(VLOOKUP(A106,库龄!B:M,11,0),0)</f>
        <v>0</v>
      </c>
      <c r="M106">
        <f>IFERROR(VLOOKUP(A106,库龄!B:N,12,0),0)</f>
        <v>0</v>
      </c>
      <c r="N106">
        <f t="shared" si="4"/>
        <v>0</v>
      </c>
    </row>
    <row r="107" spans="1:14">
      <c r="A107" s="3" t="s">
        <v>252</v>
      </c>
      <c r="B107">
        <f>IFERROR(VLOOKUP(A107,管理亚马逊库存!A:K,11,0),"")</f>
        <v>0</v>
      </c>
      <c r="C107">
        <f>IFERROR(VLOOKUP(A107,管理亚马逊库存!A:L,12,0),"")</f>
        <v>0</v>
      </c>
      <c r="D107">
        <f>IFERROR(VLOOKUP(A107,管理亚马逊库存!A:Q,17,0),"")</f>
        <v>0</v>
      </c>
      <c r="E107">
        <f>IFERROR(VLOOKUP(A107,管理亚马逊库存!A:R,18,0),"")</f>
        <v>0</v>
      </c>
      <c r="F107">
        <f t="shared" si="3"/>
        <v>0</v>
      </c>
      <c r="G107" t="str">
        <f>IFERROR(VLOOKUP(A107,预留库存!A:G,7,0),0)</f>
        <v>No</v>
      </c>
      <c r="H107">
        <f>IFERROR(VLOOKUP(A107,预留库存!A:H,8,0),0)</f>
        <v>0</v>
      </c>
      <c r="I107">
        <f>IFERROR(VLOOKUP(A107,预留库存!A:F,6,0),0)</f>
        <v>65.98</v>
      </c>
      <c r="J107">
        <f>IFERROR(VLOOKUP(A107,库龄!B:K,9,0),0)</f>
        <v>0</v>
      </c>
      <c r="K107">
        <f>IFERROR(VLOOKUP(A107,库龄!B:L,10,0),0)</f>
        <v>0</v>
      </c>
      <c r="L107">
        <f>IFERROR(VLOOKUP(A107,库龄!B:M,11,0),0)</f>
        <v>0</v>
      </c>
      <c r="M107">
        <f>IFERROR(VLOOKUP(A107,库龄!B:N,12,0),0)</f>
        <v>0</v>
      </c>
      <c r="N107">
        <f t="shared" si="4"/>
        <v>0</v>
      </c>
    </row>
    <row r="108" spans="1:14">
      <c r="A108" s="3" t="s">
        <v>255</v>
      </c>
      <c r="B108">
        <f>IFERROR(VLOOKUP(A108,管理亚马逊库存!A:K,11,0),"")</f>
        <v>1</v>
      </c>
      <c r="C108">
        <f>IFERROR(VLOOKUP(A108,管理亚马逊库存!A:L,12,0),"")</f>
        <v>0</v>
      </c>
      <c r="D108">
        <f>IFERROR(VLOOKUP(A108,管理亚马逊库存!A:Q,17,0),"")</f>
        <v>0</v>
      </c>
      <c r="E108">
        <f>IFERROR(VLOOKUP(A108,管理亚马逊库存!A:R,18,0),"")</f>
        <v>0</v>
      </c>
      <c r="F108">
        <f t="shared" si="3"/>
        <v>0</v>
      </c>
      <c r="G108" t="str">
        <f>IFERROR(VLOOKUP(A108,预留库存!A:G,7,0),0)</f>
        <v>No</v>
      </c>
      <c r="H108">
        <f>IFERROR(VLOOKUP(A108,预留库存!A:H,8,0),0)</f>
        <v>0</v>
      </c>
      <c r="I108">
        <f>IFERROR(VLOOKUP(A108,预留库存!A:F,6,0),0)</f>
        <v>65.98</v>
      </c>
      <c r="J108">
        <f>IFERROR(VLOOKUP(A108,库龄!B:K,9,0),0)</f>
        <v>0</v>
      </c>
      <c r="K108">
        <f>IFERROR(VLOOKUP(A108,库龄!B:L,10,0),0)</f>
        <v>0</v>
      </c>
      <c r="L108">
        <f>IFERROR(VLOOKUP(A108,库龄!B:M,11,0),0)</f>
        <v>0</v>
      </c>
      <c r="M108">
        <f>IFERROR(VLOOKUP(A108,库龄!B:N,12,0),0)</f>
        <v>0</v>
      </c>
      <c r="N108">
        <f t="shared" si="4"/>
        <v>0</v>
      </c>
    </row>
    <row r="109" spans="1:14">
      <c r="A109" s="3" t="s">
        <v>258</v>
      </c>
      <c r="B109">
        <f>IFERROR(VLOOKUP(A109,管理亚马逊库存!A:K,11,0),"")</f>
        <v>0</v>
      </c>
      <c r="C109">
        <f>IFERROR(VLOOKUP(A109,管理亚马逊库存!A:L,12,0),"")</f>
        <v>0</v>
      </c>
      <c r="D109">
        <f>IFERROR(VLOOKUP(A109,管理亚马逊库存!A:Q,17,0),"")</f>
        <v>0</v>
      </c>
      <c r="E109">
        <f>IFERROR(VLOOKUP(A109,管理亚马逊库存!A:R,18,0),"")</f>
        <v>0</v>
      </c>
      <c r="F109">
        <f t="shared" si="3"/>
        <v>0</v>
      </c>
      <c r="G109" t="str">
        <f>IFERROR(VLOOKUP(A109,预留库存!A:G,7,0),0)</f>
        <v>No</v>
      </c>
      <c r="H109">
        <f>IFERROR(VLOOKUP(A109,预留库存!A:H,8,0),0)</f>
        <v>0</v>
      </c>
      <c r="I109">
        <f>IFERROR(VLOOKUP(A109,预留库存!A:F,6,0),0)</f>
        <v>65.98</v>
      </c>
      <c r="J109">
        <f>IFERROR(VLOOKUP(A109,库龄!B:K,9,0),0)</f>
        <v>0</v>
      </c>
      <c r="K109">
        <f>IFERROR(VLOOKUP(A109,库龄!B:L,10,0),0)</f>
        <v>0</v>
      </c>
      <c r="L109">
        <f>IFERROR(VLOOKUP(A109,库龄!B:M,11,0),0)</f>
        <v>0</v>
      </c>
      <c r="M109">
        <f>IFERROR(VLOOKUP(A109,库龄!B:N,12,0),0)</f>
        <v>0</v>
      </c>
      <c r="N109">
        <f t="shared" si="4"/>
        <v>0</v>
      </c>
    </row>
    <row r="110" spans="1:14">
      <c r="A110" s="3" t="s">
        <v>261</v>
      </c>
      <c r="B110">
        <f>IFERROR(VLOOKUP(A110,管理亚马逊库存!A:K,11,0),"")</f>
        <v>2</v>
      </c>
      <c r="C110">
        <f>IFERROR(VLOOKUP(A110,管理亚马逊库存!A:L,12,0),"")</f>
        <v>0</v>
      </c>
      <c r="D110">
        <f>IFERROR(VLOOKUP(A110,管理亚马逊库存!A:Q,17,0),"")</f>
        <v>0</v>
      </c>
      <c r="E110">
        <f>IFERROR(VLOOKUP(A110,管理亚马逊库存!A:R,18,0),"")</f>
        <v>0</v>
      </c>
      <c r="F110">
        <f t="shared" si="3"/>
        <v>0</v>
      </c>
      <c r="G110" t="str">
        <f>IFERROR(VLOOKUP(A110,预留库存!A:G,7,0),0)</f>
        <v>No</v>
      </c>
      <c r="H110">
        <f>IFERROR(VLOOKUP(A110,预留库存!A:H,8,0),0)</f>
        <v>0</v>
      </c>
      <c r="I110">
        <f>IFERROR(VLOOKUP(A110,预留库存!A:F,6,0),0)</f>
        <v>65.98</v>
      </c>
      <c r="J110">
        <f>IFERROR(VLOOKUP(A110,库龄!B:K,9,0),0)</f>
        <v>0</v>
      </c>
      <c r="K110">
        <f>IFERROR(VLOOKUP(A110,库龄!B:L,10,0),0)</f>
        <v>1</v>
      </c>
      <c r="L110">
        <f>IFERROR(VLOOKUP(A110,库龄!B:M,11,0),0)</f>
        <v>0</v>
      </c>
      <c r="M110">
        <f>IFERROR(VLOOKUP(A110,库龄!B:N,12,0),0)</f>
        <v>0</v>
      </c>
      <c r="N110">
        <f t="shared" si="4"/>
        <v>1</v>
      </c>
    </row>
    <row r="111" spans="1:14">
      <c r="A111" s="3" t="s">
        <v>264</v>
      </c>
      <c r="B111">
        <f>IFERROR(VLOOKUP(A111,管理亚马逊库存!A:K,11,0),"")</f>
        <v>1</v>
      </c>
      <c r="C111">
        <f>IFERROR(VLOOKUP(A111,管理亚马逊库存!A:L,12,0),"")</f>
        <v>0</v>
      </c>
      <c r="D111">
        <f>IFERROR(VLOOKUP(A111,管理亚马逊库存!A:Q,17,0),"")</f>
        <v>0</v>
      </c>
      <c r="E111">
        <f>IFERROR(VLOOKUP(A111,管理亚马逊库存!A:R,18,0),"")</f>
        <v>0</v>
      </c>
      <c r="F111">
        <f t="shared" si="3"/>
        <v>0</v>
      </c>
      <c r="G111" t="str">
        <f>IFERROR(VLOOKUP(A111,预留库存!A:G,7,0),0)</f>
        <v>No</v>
      </c>
      <c r="H111">
        <f>IFERROR(VLOOKUP(A111,预留库存!A:H,8,0),0)</f>
        <v>0</v>
      </c>
      <c r="I111">
        <f>IFERROR(VLOOKUP(A111,预留库存!A:F,6,0),0)</f>
        <v>65.98</v>
      </c>
      <c r="J111">
        <f>IFERROR(VLOOKUP(A111,库龄!B:K,9,0),0)</f>
        <v>1</v>
      </c>
      <c r="K111">
        <f>IFERROR(VLOOKUP(A111,库龄!B:L,10,0),0)</f>
        <v>0</v>
      </c>
      <c r="L111">
        <f>IFERROR(VLOOKUP(A111,库龄!B:M,11,0),0)</f>
        <v>0</v>
      </c>
      <c r="M111">
        <f>IFERROR(VLOOKUP(A111,库龄!B:N,12,0),0)</f>
        <v>0</v>
      </c>
      <c r="N111">
        <f t="shared" si="4"/>
        <v>1</v>
      </c>
    </row>
    <row r="112" spans="1:14">
      <c r="A112" s="3" t="s">
        <v>267</v>
      </c>
      <c r="B112">
        <f>IFERROR(VLOOKUP(A112,管理亚马逊库存!A:K,11,0),"")</f>
        <v>0</v>
      </c>
      <c r="C112">
        <f>IFERROR(VLOOKUP(A112,管理亚马逊库存!A:L,12,0),"")</f>
        <v>0</v>
      </c>
      <c r="D112">
        <f>IFERROR(VLOOKUP(A112,管理亚马逊库存!A:Q,17,0),"")</f>
        <v>0</v>
      </c>
      <c r="E112">
        <f>IFERROR(VLOOKUP(A112,管理亚马逊库存!A:R,18,0),"")</f>
        <v>0</v>
      </c>
      <c r="F112">
        <f t="shared" si="3"/>
        <v>0</v>
      </c>
      <c r="G112" t="str">
        <f>IFERROR(VLOOKUP(A112,预留库存!A:G,7,0),0)</f>
        <v>No</v>
      </c>
      <c r="H112">
        <f>IFERROR(VLOOKUP(A112,预留库存!A:H,8,0),0)</f>
        <v>0</v>
      </c>
      <c r="I112">
        <f>IFERROR(VLOOKUP(A112,预留库存!A:F,6,0),0)</f>
        <v>65.98</v>
      </c>
      <c r="J112">
        <f>IFERROR(VLOOKUP(A112,库龄!B:K,9,0),0)</f>
        <v>0</v>
      </c>
      <c r="K112">
        <f>IFERROR(VLOOKUP(A112,库龄!B:L,10,0),0)</f>
        <v>0</v>
      </c>
      <c r="L112">
        <f>IFERROR(VLOOKUP(A112,库龄!B:M,11,0),0)</f>
        <v>0</v>
      </c>
      <c r="M112">
        <f>IFERROR(VLOOKUP(A112,库龄!B:N,12,0),0)</f>
        <v>0</v>
      </c>
      <c r="N112">
        <f t="shared" si="4"/>
        <v>0</v>
      </c>
    </row>
    <row r="113" spans="1:14">
      <c r="A113" s="3" t="s">
        <v>270</v>
      </c>
      <c r="B113">
        <f>IFERROR(VLOOKUP(A113,管理亚马逊库存!A:K,11,0),"")</f>
        <v>2</v>
      </c>
      <c r="C113">
        <f>IFERROR(VLOOKUP(A113,管理亚马逊库存!A:L,12,0),"")</f>
        <v>0</v>
      </c>
      <c r="D113">
        <f>IFERROR(VLOOKUP(A113,管理亚马逊库存!A:Q,17,0),"")</f>
        <v>0</v>
      </c>
      <c r="E113">
        <f>IFERROR(VLOOKUP(A113,管理亚马逊库存!A:R,18,0),"")</f>
        <v>0</v>
      </c>
      <c r="F113">
        <f t="shared" si="3"/>
        <v>0</v>
      </c>
      <c r="G113" t="str">
        <f>IFERROR(VLOOKUP(A113,预留库存!A:G,7,0),0)</f>
        <v>No</v>
      </c>
      <c r="H113">
        <f>IFERROR(VLOOKUP(A113,预留库存!A:H,8,0),0)</f>
        <v>0</v>
      </c>
      <c r="I113">
        <f>IFERROR(VLOOKUP(A113,预留库存!A:F,6,0),0)</f>
        <v>64.98</v>
      </c>
      <c r="J113">
        <f>IFERROR(VLOOKUP(A113,库龄!B:K,9,0),0)</f>
        <v>2</v>
      </c>
      <c r="K113">
        <f>IFERROR(VLOOKUP(A113,库龄!B:L,10,0),0)</f>
        <v>0</v>
      </c>
      <c r="L113">
        <f>IFERROR(VLOOKUP(A113,库龄!B:M,11,0),0)</f>
        <v>0</v>
      </c>
      <c r="M113">
        <f>IFERROR(VLOOKUP(A113,库龄!B:N,12,0),0)</f>
        <v>0</v>
      </c>
      <c r="N113">
        <f t="shared" si="4"/>
        <v>2</v>
      </c>
    </row>
    <row r="114" spans="1:14">
      <c r="A114" s="3" t="s">
        <v>273</v>
      </c>
      <c r="B114">
        <f>IFERROR(VLOOKUP(A114,管理亚马逊库存!A:K,11,0),"")</f>
        <v>0</v>
      </c>
      <c r="C114">
        <f>IFERROR(VLOOKUP(A114,管理亚马逊库存!A:L,12,0),"")</f>
        <v>0</v>
      </c>
      <c r="D114">
        <f>IFERROR(VLOOKUP(A114,管理亚马逊库存!A:Q,17,0),"")</f>
        <v>0</v>
      </c>
      <c r="E114">
        <f>IFERROR(VLOOKUP(A114,管理亚马逊库存!A:R,18,0),"")</f>
        <v>0</v>
      </c>
      <c r="F114">
        <f t="shared" si="3"/>
        <v>0</v>
      </c>
      <c r="G114" t="str">
        <f>IFERROR(VLOOKUP(A114,预留库存!A:G,7,0),0)</f>
        <v>No</v>
      </c>
      <c r="H114">
        <f>IFERROR(VLOOKUP(A114,预留库存!A:H,8,0),0)</f>
        <v>0</v>
      </c>
      <c r="I114">
        <f>IFERROR(VLOOKUP(A114,预留库存!A:F,6,0),0)</f>
        <v>64.98</v>
      </c>
      <c r="J114">
        <f>IFERROR(VLOOKUP(A114,库龄!B:K,9,0),0)</f>
        <v>0</v>
      </c>
      <c r="K114">
        <f>IFERROR(VLOOKUP(A114,库龄!B:L,10,0),0)</f>
        <v>0</v>
      </c>
      <c r="L114">
        <f>IFERROR(VLOOKUP(A114,库龄!B:M,11,0),0)</f>
        <v>0</v>
      </c>
      <c r="M114">
        <f>IFERROR(VLOOKUP(A114,库龄!B:N,12,0),0)</f>
        <v>0</v>
      </c>
      <c r="N114">
        <f t="shared" si="4"/>
        <v>0</v>
      </c>
    </row>
    <row r="115" spans="1:14">
      <c r="A115" s="3" t="s">
        <v>276</v>
      </c>
      <c r="B115">
        <f>IFERROR(VLOOKUP(A115,管理亚马逊库存!A:K,11,0),"")</f>
        <v>1</v>
      </c>
      <c r="C115">
        <f>IFERROR(VLOOKUP(A115,管理亚马逊库存!A:L,12,0),"")</f>
        <v>0</v>
      </c>
      <c r="D115">
        <f>IFERROR(VLOOKUP(A115,管理亚马逊库存!A:Q,17,0),"")</f>
        <v>0</v>
      </c>
      <c r="E115">
        <f>IFERROR(VLOOKUP(A115,管理亚马逊库存!A:R,18,0),"")</f>
        <v>0</v>
      </c>
      <c r="F115">
        <f t="shared" si="3"/>
        <v>0</v>
      </c>
      <c r="G115" t="str">
        <f>IFERROR(VLOOKUP(A115,预留库存!A:G,7,0),0)</f>
        <v>No</v>
      </c>
      <c r="H115">
        <f>IFERROR(VLOOKUP(A115,预留库存!A:H,8,0),0)</f>
        <v>0</v>
      </c>
      <c r="I115">
        <f>IFERROR(VLOOKUP(A115,预留库存!A:F,6,0),0)</f>
        <v>64.98</v>
      </c>
      <c r="J115">
        <f>IFERROR(VLOOKUP(A115,库龄!B:K,9,0),0)</f>
        <v>1</v>
      </c>
      <c r="K115">
        <f>IFERROR(VLOOKUP(A115,库龄!B:L,10,0),0)</f>
        <v>0</v>
      </c>
      <c r="L115">
        <f>IFERROR(VLOOKUP(A115,库龄!B:M,11,0),0)</f>
        <v>0</v>
      </c>
      <c r="M115">
        <f>IFERROR(VLOOKUP(A115,库龄!B:N,12,0),0)</f>
        <v>0</v>
      </c>
      <c r="N115">
        <f t="shared" si="4"/>
        <v>1</v>
      </c>
    </row>
    <row r="116" spans="1:14">
      <c r="A116" s="3" t="s">
        <v>279</v>
      </c>
      <c r="B116">
        <f>IFERROR(VLOOKUP(A116,管理亚马逊库存!A:K,11,0),"")</f>
        <v>0</v>
      </c>
      <c r="C116">
        <f>IFERROR(VLOOKUP(A116,管理亚马逊库存!A:L,12,0),"")</f>
        <v>0</v>
      </c>
      <c r="D116">
        <f>IFERROR(VLOOKUP(A116,管理亚马逊库存!A:Q,17,0),"")</f>
        <v>0</v>
      </c>
      <c r="E116">
        <f>IFERROR(VLOOKUP(A116,管理亚马逊库存!A:R,18,0),"")</f>
        <v>0</v>
      </c>
      <c r="F116">
        <f t="shared" si="3"/>
        <v>0</v>
      </c>
      <c r="G116" t="str">
        <f>IFERROR(VLOOKUP(A116,预留库存!A:G,7,0),0)</f>
        <v>No</v>
      </c>
      <c r="H116">
        <f>IFERROR(VLOOKUP(A116,预留库存!A:H,8,0),0)</f>
        <v>0</v>
      </c>
      <c r="I116">
        <f>IFERROR(VLOOKUP(A116,预留库存!A:F,6,0),0)</f>
        <v>64.98</v>
      </c>
      <c r="J116">
        <f>IFERROR(VLOOKUP(A116,库龄!B:K,9,0),0)</f>
        <v>0</v>
      </c>
      <c r="K116">
        <f>IFERROR(VLOOKUP(A116,库龄!B:L,10,0),0)</f>
        <v>0</v>
      </c>
      <c r="L116">
        <f>IFERROR(VLOOKUP(A116,库龄!B:M,11,0),0)</f>
        <v>0</v>
      </c>
      <c r="M116">
        <f>IFERROR(VLOOKUP(A116,库龄!B:N,12,0),0)</f>
        <v>0</v>
      </c>
      <c r="N116">
        <f t="shared" si="4"/>
        <v>0</v>
      </c>
    </row>
    <row r="117" spans="1:14">
      <c r="A117" s="3" t="s">
        <v>282</v>
      </c>
      <c r="B117">
        <f>IFERROR(VLOOKUP(A117,管理亚马逊库存!A:K,11,0),"")</f>
        <v>0</v>
      </c>
      <c r="C117">
        <f>IFERROR(VLOOKUP(A117,管理亚马逊库存!A:L,12,0),"")</f>
        <v>0</v>
      </c>
      <c r="D117">
        <f>IFERROR(VLOOKUP(A117,管理亚马逊库存!A:Q,17,0),"")</f>
        <v>0</v>
      </c>
      <c r="E117">
        <f>IFERROR(VLOOKUP(A117,管理亚马逊库存!A:R,18,0),"")</f>
        <v>0</v>
      </c>
      <c r="F117">
        <f t="shared" si="3"/>
        <v>0</v>
      </c>
      <c r="G117" t="str">
        <f>IFERROR(VLOOKUP(A117,预留库存!A:G,7,0),0)</f>
        <v>No</v>
      </c>
      <c r="H117">
        <f>IFERROR(VLOOKUP(A117,预留库存!A:H,8,0),0)</f>
        <v>0</v>
      </c>
      <c r="I117">
        <f>IFERROR(VLOOKUP(A117,预留库存!A:F,6,0),0)</f>
        <v>64.98</v>
      </c>
      <c r="J117">
        <f>IFERROR(VLOOKUP(A117,库龄!B:K,9,0),0)</f>
        <v>0</v>
      </c>
      <c r="K117">
        <f>IFERROR(VLOOKUP(A117,库龄!B:L,10,0),0)</f>
        <v>0</v>
      </c>
      <c r="L117">
        <f>IFERROR(VLOOKUP(A117,库龄!B:M,11,0),0)</f>
        <v>0</v>
      </c>
      <c r="M117">
        <f>IFERROR(VLOOKUP(A117,库龄!B:N,12,0),0)</f>
        <v>0</v>
      </c>
      <c r="N117">
        <f t="shared" si="4"/>
        <v>0</v>
      </c>
    </row>
    <row r="118" spans="1:14">
      <c r="A118" s="3" t="s">
        <v>285</v>
      </c>
      <c r="B118">
        <f>IFERROR(VLOOKUP(A118,管理亚马逊库存!A:K,11,0),"")</f>
        <v>1</v>
      </c>
      <c r="C118">
        <f>IFERROR(VLOOKUP(A118,管理亚马逊库存!A:L,12,0),"")</f>
        <v>0</v>
      </c>
      <c r="D118">
        <f>IFERROR(VLOOKUP(A118,管理亚马逊库存!A:Q,17,0),"")</f>
        <v>0</v>
      </c>
      <c r="E118">
        <f>IFERROR(VLOOKUP(A118,管理亚马逊库存!A:R,18,0),"")</f>
        <v>0</v>
      </c>
      <c r="F118">
        <f t="shared" si="3"/>
        <v>0</v>
      </c>
      <c r="G118" t="str">
        <f>IFERROR(VLOOKUP(A118,预留库存!A:G,7,0),0)</f>
        <v>No</v>
      </c>
      <c r="H118">
        <f>IFERROR(VLOOKUP(A118,预留库存!A:H,8,0),0)</f>
        <v>0</v>
      </c>
      <c r="I118">
        <f>IFERROR(VLOOKUP(A118,预留库存!A:F,6,0),0)</f>
        <v>64.98</v>
      </c>
      <c r="J118">
        <f>IFERROR(VLOOKUP(A118,库龄!B:K,9,0),0)</f>
        <v>0</v>
      </c>
      <c r="K118">
        <f>IFERROR(VLOOKUP(A118,库龄!B:L,10,0),0)</f>
        <v>0</v>
      </c>
      <c r="L118">
        <f>IFERROR(VLOOKUP(A118,库龄!B:M,11,0),0)</f>
        <v>0</v>
      </c>
      <c r="M118">
        <f>IFERROR(VLOOKUP(A118,库龄!B:N,12,0),0)</f>
        <v>0</v>
      </c>
      <c r="N118">
        <f t="shared" si="4"/>
        <v>0</v>
      </c>
    </row>
    <row r="119" spans="1:14">
      <c r="A119" s="3" t="s">
        <v>288</v>
      </c>
      <c r="B119">
        <f>IFERROR(VLOOKUP(A119,管理亚马逊库存!A:K,11,0),"")</f>
        <v>1</v>
      </c>
      <c r="C119">
        <f>IFERROR(VLOOKUP(A119,管理亚马逊库存!A:L,12,0),"")</f>
        <v>0</v>
      </c>
      <c r="D119">
        <f>IFERROR(VLOOKUP(A119,管理亚马逊库存!A:Q,17,0),"")</f>
        <v>0</v>
      </c>
      <c r="E119">
        <f>IFERROR(VLOOKUP(A119,管理亚马逊库存!A:R,18,0),"")</f>
        <v>0</v>
      </c>
      <c r="F119">
        <f t="shared" si="3"/>
        <v>0</v>
      </c>
      <c r="G119" t="str">
        <f>IFERROR(VLOOKUP(A119,预留库存!A:G,7,0),0)</f>
        <v>No</v>
      </c>
      <c r="H119">
        <f>IFERROR(VLOOKUP(A119,预留库存!A:H,8,0),0)</f>
        <v>0</v>
      </c>
      <c r="I119">
        <f>IFERROR(VLOOKUP(A119,预留库存!A:F,6,0),0)</f>
        <v>64.98</v>
      </c>
      <c r="J119">
        <f>IFERROR(VLOOKUP(A119,库龄!B:K,9,0),0)</f>
        <v>1</v>
      </c>
      <c r="K119">
        <f>IFERROR(VLOOKUP(A119,库龄!B:L,10,0),0)</f>
        <v>0</v>
      </c>
      <c r="L119">
        <f>IFERROR(VLOOKUP(A119,库龄!B:M,11,0),0)</f>
        <v>0</v>
      </c>
      <c r="M119">
        <f>IFERROR(VLOOKUP(A119,库龄!B:N,12,0),0)</f>
        <v>0</v>
      </c>
      <c r="N119">
        <f t="shared" si="4"/>
        <v>1</v>
      </c>
    </row>
    <row r="120" spans="1:14">
      <c r="A120" s="3" t="s">
        <v>291</v>
      </c>
      <c r="B120">
        <f>IFERROR(VLOOKUP(A120,管理亚马逊库存!A:K,11,0),"")</f>
        <v>1</v>
      </c>
      <c r="C120">
        <f>IFERROR(VLOOKUP(A120,管理亚马逊库存!A:L,12,0),"")</f>
        <v>0</v>
      </c>
      <c r="D120">
        <f>IFERROR(VLOOKUP(A120,管理亚马逊库存!A:Q,17,0),"")</f>
        <v>0</v>
      </c>
      <c r="E120">
        <f>IFERROR(VLOOKUP(A120,管理亚马逊库存!A:R,18,0),"")</f>
        <v>0</v>
      </c>
      <c r="F120">
        <f t="shared" si="3"/>
        <v>0</v>
      </c>
      <c r="G120" t="str">
        <f>IFERROR(VLOOKUP(A120,预留库存!A:G,7,0),0)</f>
        <v>No</v>
      </c>
      <c r="H120">
        <f>IFERROR(VLOOKUP(A120,预留库存!A:H,8,0),0)</f>
        <v>0</v>
      </c>
      <c r="I120">
        <f>IFERROR(VLOOKUP(A120,预留库存!A:F,6,0),0)</f>
        <v>64.98</v>
      </c>
      <c r="J120">
        <f>IFERROR(VLOOKUP(A120,库龄!B:K,9,0),0)</f>
        <v>0</v>
      </c>
      <c r="K120">
        <f>IFERROR(VLOOKUP(A120,库龄!B:L,10,0),0)</f>
        <v>0</v>
      </c>
      <c r="L120">
        <f>IFERROR(VLOOKUP(A120,库龄!B:M,11,0),0)</f>
        <v>0</v>
      </c>
      <c r="M120">
        <f>IFERROR(VLOOKUP(A120,库龄!B:N,12,0),0)</f>
        <v>0</v>
      </c>
      <c r="N120">
        <f t="shared" si="4"/>
        <v>0</v>
      </c>
    </row>
    <row r="121" spans="1:14">
      <c r="A121" s="3" t="s">
        <v>294</v>
      </c>
      <c r="B121">
        <f>IFERROR(VLOOKUP(A121,管理亚马逊库存!A:K,11,0),"")</f>
        <v>1</v>
      </c>
      <c r="C121">
        <f>IFERROR(VLOOKUP(A121,管理亚马逊库存!A:L,12,0),"")</f>
        <v>0</v>
      </c>
      <c r="D121">
        <f>IFERROR(VLOOKUP(A121,管理亚马逊库存!A:Q,17,0),"")</f>
        <v>0</v>
      </c>
      <c r="E121">
        <f>IFERROR(VLOOKUP(A121,管理亚马逊库存!A:R,18,0),"")</f>
        <v>0</v>
      </c>
      <c r="F121">
        <f t="shared" si="3"/>
        <v>0</v>
      </c>
      <c r="G121" t="str">
        <f>IFERROR(VLOOKUP(A121,预留库存!A:G,7,0),0)</f>
        <v>No</v>
      </c>
      <c r="H121">
        <f>IFERROR(VLOOKUP(A121,预留库存!A:H,8,0),0)</f>
        <v>0</v>
      </c>
      <c r="I121">
        <f>IFERROR(VLOOKUP(A121,预留库存!A:F,6,0),0)</f>
        <v>64.98</v>
      </c>
      <c r="J121">
        <f>IFERROR(VLOOKUP(A121,库龄!B:K,9,0),0)</f>
        <v>1</v>
      </c>
      <c r="K121">
        <f>IFERROR(VLOOKUP(A121,库龄!B:L,10,0),0)</f>
        <v>0</v>
      </c>
      <c r="L121">
        <f>IFERROR(VLOOKUP(A121,库龄!B:M,11,0),0)</f>
        <v>0</v>
      </c>
      <c r="M121">
        <f>IFERROR(VLOOKUP(A121,库龄!B:N,12,0),0)</f>
        <v>0</v>
      </c>
      <c r="N121">
        <f t="shared" si="4"/>
        <v>1</v>
      </c>
    </row>
    <row r="122" spans="1:14">
      <c r="A122" s="3" t="s">
        <v>297</v>
      </c>
      <c r="B122">
        <f>IFERROR(VLOOKUP(A122,管理亚马逊库存!A:K,11,0),"")</f>
        <v>29</v>
      </c>
      <c r="C122">
        <f>IFERROR(VLOOKUP(A122,管理亚马逊库存!A:L,12,0),"")</f>
        <v>0</v>
      </c>
      <c r="D122">
        <f>IFERROR(VLOOKUP(A122,管理亚马逊库存!A:Q,17,0),"")</f>
        <v>0</v>
      </c>
      <c r="E122">
        <f>IFERROR(VLOOKUP(A122,管理亚马逊库存!A:R,18,0),"")</f>
        <v>0</v>
      </c>
      <c r="F122">
        <f t="shared" si="3"/>
        <v>0</v>
      </c>
      <c r="G122">
        <f>IFERROR(VLOOKUP(A122,预留库存!A:G,7,0),0)</f>
        <v>0</v>
      </c>
      <c r="H122">
        <f>IFERROR(VLOOKUP(A122,预留库存!A:H,8,0),0)</f>
        <v>0</v>
      </c>
      <c r="I122">
        <f>IFERROR(VLOOKUP(A122,预留库存!A:F,6,0),0)</f>
        <v>0</v>
      </c>
      <c r="J122">
        <f>IFERROR(VLOOKUP(A122,库龄!B:K,9,0),0)</f>
        <v>0</v>
      </c>
      <c r="K122">
        <f>IFERROR(VLOOKUP(A122,库龄!B:L,10,0),0)</f>
        <v>0</v>
      </c>
      <c r="L122">
        <f>IFERROR(VLOOKUP(A122,库龄!B:M,11,0),0)</f>
        <v>0</v>
      </c>
      <c r="M122">
        <f>IFERROR(VLOOKUP(A122,库龄!B:N,12,0),0)</f>
        <v>0</v>
      </c>
      <c r="N122">
        <f t="shared" si="4"/>
        <v>0</v>
      </c>
    </row>
    <row r="123" spans="1:14">
      <c r="A123" s="3" t="s">
        <v>299</v>
      </c>
      <c r="B123">
        <f>IFERROR(VLOOKUP(A123,管理亚马逊库存!A:K,11,0),"")</f>
        <v>10</v>
      </c>
      <c r="C123">
        <f>IFERROR(VLOOKUP(A123,管理亚马逊库存!A:L,12,0),"")</f>
        <v>0</v>
      </c>
      <c r="D123">
        <f>IFERROR(VLOOKUP(A123,管理亚马逊库存!A:Q,17,0),"")</f>
        <v>0</v>
      </c>
      <c r="E123">
        <f>IFERROR(VLOOKUP(A123,管理亚马逊库存!A:R,18,0),"")</f>
        <v>0</v>
      </c>
      <c r="F123">
        <f t="shared" si="3"/>
        <v>0</v>
      </c>
      <c r="G123">
        <f>IFERROR(VLOOKUP(A123,预留库存!A:G,7,0),0)</f>
        <v>0</v>
      </c>
      <c r="H123">
        <f>IFERROR(VLOOKUP(A123,预留库存!A:H,8,0),0)</f>
        <v>0</v>
      </c>
      <c r="I123">
        <f>IFERROR(VLOOKUP(A123,预留库存!A:F,6,0),0)</f>
        <v>0</v>
      </c>
      <c r="J123">
        <f>IFERROR(VLOOKUP(A123,库龄!B:K,9,0),0)</f>
        <v>0</v>
      </c>
      <c r="K123">
        <f>IFERROR(VLOOKUP(A123,库龄!B:L,10,0),0)</f>
        <v>0</v>
      </c>
      <c r="L123">
        <f>IFERROR(VLOOKUP(A123,库龄!B:M,11,0),0)</f>
        <v>0</v>
      </c>
      <c r="M123">
        <f>IFERROR(VLOOKUP(A123,库龄!B:N,12,0),0)</f>
        <v>0</v>
      </c>
      <c r="N123">
        <f t="shared" si="4"/>
        <v>0</v>
      </c>
    </row>
    <row r="124" spans="1:14">
      <c r="A124" s="3" t="s">
        <v>301</v>
      </c>
      <c r="B124">
        <f>IFERROR(VLOOKUP(A124,管理亚马逊库存!A:K,11,0),"")</f>
        <v>27</v>
      </c>
      <c r="C124">
        <f>IFERROR(VLOOKUP(A124,管理亚马逊库存!A:L,12,0),"")</f>
        <v>0</v>
      </c>
      <c r="D124">
        <f>IFERROR(VLOOKUP(A124,管理亚马逊库存!A:Q,17,0),"")</f>
        <v>0</v>
      </c>
      <c r="E124">
        <f>IFERROR(VLOOKUP(A124,管理亚马逊库存!A:R,18,0),"")</f>
        <v>0</v>
      </c>
      <c r="F124">
        <f t="shared" si="3"/>
        <v>0</v>
      </c>
      <c r="G124">
        <f>IFERROR(VLOOKUP(A124,预留库存!A:G,7,0),0)</f>
        <v>0</v>
      </c>
      <c r="H124">
        <f>IFERROR(VLOOKUP(A124,预留库存!A:H,8,0),0)</f>
        <v>0</v>
      </c>
      <c r="I124">
        <f>IFERROR(VLOOKUP(A124,预留库存!A:F,6,0),0)</f>
        <v>0</v>
      </c>
      <c r="J124">
        <f>IFERROR(VLOOKUP(A124,库龄!B:K,9,0),0)</f>
        <v>0</v>
      </c>
      <c r="K124">
        <f>IFERROR(VLOOKUP(A124,库龄!B:L,10,0),0)</f>
        <v>0</v>
      </c>
      <c r="L124">
        <f>IFERROR(VLOOKUP(A124,库龄!B:M,11,0),0)</f>
        <v>0</v>
      </c>
      <c r="M124">
        <f>IFERROR(VLOOKUP(A124,库龄!B:N,12,0),0)</f>
        <v>0</v>
      </c>
      <c r="N124">
        <f t="shared" si="4"/>
        <v>0</v>
      </c>
    </row>
    <row r="125" spans="1:14">
      <c r="A125" s="3" t="s">
        <v>303</v>
      </c>
      <c r="B125">
        <f>IFERROR(VLOOKUP(A125,管理亚马逊库存!A:K,11,0),"")</f>
        <v>20</v>
      </c>
      <c r="C125">
        <f>IFERROR(VLOOKUP(A125,管理亚马逊库存!A:L,12,0),"")</f>
        <v>0</v>
      </c>
      <c r="D125">
        <f>IFERROR(VLOOKUP(A125,管理亚马逊库存!A:Q,17,0),"")</f>
        <v>0</v>
      </c>
      <c r="E125">
        <f>IFERROR(VLOOKUP(A125,管理亚马逊库存!A:R,18,0),"")</f>
        <v>0</v>
      </c>
      <c r="F125">
        <f t="shared" si="3"/>
        <v>0</v>
      </c>
      <c r="G125">
        <f>IFERROR(VLOOKUP(A125,预留库存!A:G,7,0),0)</f>
        <v>0</v>
      </c>
      <c r="H125">
        <f>IFERROR(VLOOKUP(A125,预留库存!A:H,8,0),0)</f>
        <v>0</v>
      </c>
      <c r="I125">
        <f>IFERROR(VLOOKUP(A125,预留库存!A:F,6,0),0)</f>
        <v>0</v>
      </c>
      <c r="J125">
        <f>IFERROR(VLOOKUP(A125,库龄!B:K,9,0),0)</f>
        <v>0</v>
      </c>
      <c r="K125">
        <f>IFERROR(VLOOKUP(A125,库龄!B:L,10,0),0)</f>
        <v>0</v>
      </c>
      <c r="L125">
        <f>IFERROR(VLOOKUP(A125,库龄!B:M,11,0),0)</f>
        <v>0</v>
      </c>
      <c r="M125">
        <f>IFERROR(VLOOKUP(A125,库龄!B:N,12,0),0)</f>
        <v>0</v>
      </c>
      <c r="N125">
        <f t="shared" si="4"/>
        <v>0</v>
      </c>
    </row>
    <row r="126" spans="1:14">
      <c r="A126" s="3" t="s">
        <v>305</v>
      </c>
      <c r="B126">
        <f>IFERROR(VLOOKUP(A126,管理亚马逊库存!A:K,11,0),"")</f>
        <v>16</v>
      </c>
      <c r="C126">
        <f>IFERROR(VLOOKUP(A126,管理亚马逊库存!A:L,12,0),"")</f>
        <v>0</v>
      </c>
      <c r="D126">
        <f>IFERROR(VLOOKUP(A126,管理亚马逊库存!A:Q,17,0),"")</f>
        <v>0</v>
      </c>
      <c r="E126">
        <f>IFERROR(VLOOKUP(A126,管理亚马逊库存!A:R,18,0),"")</f>
        <v>0</v>
      </c>
      <c r="F126">
        <f t="shared" si="3"/>
        <v>0</v>
      </c>
      <c r="G126">
        <f>IFERROR(VLOOKUP(A126,预留库存!A:G,7,0),0)</f>
        <v>0</v>
      </c>
      <c r="H126">
        <f>IFERROR(VLOOKUP(A126,预留库存!A:H,8,0),0)</f>
        <v>0</v>
      </c>
      <c r="I126">
        <f>IFERROR(VLOOKUP(A126,预留库存!A:F,6,0),0)</f>
        <v>0</v>
      </c>
      <c r="J126">
        <f>IFERROR(VLOOKUP(A126,库龄!B:K,9,0),0)</f>
        <v>0</v>
      </c>
      <c r="K126">
        <f>IFERROR(VLOOKUP(A126,库龄!B:L,10,0),0)</f>
        <v>0</v>
      </c>
      <c r="L126">
        <f>IFERROR(VLOOKUP(A126,库龄!B:M,11,0),0)</f>
        <v>0</v>
      </c>
      <c r="M126">
        <f>IFERROR(VLOOKUP(A126,库龄!B:N,12,0),0)</f>
        <v>0</v>
      </c>
      <c r="N126">
        <f t="shared" si="4"/>
        <v>0</v>
      </c>
    </row>
    <row r="127" spans="1:14">
      <c r="A127" s="3" t="s">
        <v>307</v>
      </c>
      <c r="B127">
        <f>IFERROR(VLOOKUP(A127,管理亚马逊库存!A:K,11,0),"")</f>
        <v>23</v>
      </c>
      <c r="C127">
        <f>IFERROR(VLOOKUP(A127,管理亚马逊库存!A:L,12,0),"")</f>
        <v>0</v>
      </c>
      <c r="D127">
        <f>IFERROR(VLOOKUP(A127,管理亚马逊库存!A:Q,17,0),"")</f>
        <v>0</v>
      </c>
      <c r="E127">
        <f>IFERROR(VLOOKUP(A127,管理亚马逊库存!A:R,18,0),"")</f>
        <v>0</v>
      </c>
      <c r="F127">
        <f t="shared" si="3"/>
        <v>0</v>
      </c>
      <c r="G127">
        <f>IFERROR(VLOOKUP(A127,预留库存!A:G,7,0),0)</f>
        <v>0</v>
      </c>
      <c r="H127">
        <f>IFERROR(VLOOKUP(A127,预留库存!A:H,8,0),0)</f>
        <v>0</v>
      </c>
      <c r="I127">
        <f>IFERROR(VLOOKUP(A127,预留库存!A:F,6,0),0)</f>
        <v>0</v>
      </c>
      <c r="J127">
        <f>IFERROR(VLOOKUP(A127,库龄!B:K,9,0),0)</f>
        <v>0</v>
      </c>
      <c r="K127">
        <f>IFERROR(VLOOKUP(A127,库龄!B:L,10,0),0)</f>
        <v>0</v>
      </c>
      <c r="L127">
        <f>IFERROR(VLOOKUP(A127,库龄!B:M,11,0),0)</f>
        <v>0</v>
      </c>
      <c r="M127">
        <f>IFERROR(VLOOKUP(A127,库龄!B:N,12,0),0)</f>
        <v>0</v>
      </c>
      <c r="N127">
        <f t="shared" si="4"/>
        <v>0</v>
      </c>
    </row>
    <row r="128" spans="1:14">
      <c r="A128" s="3" t="s">
        <v>309</v>
      </c>
      <c r="B128">
        <f>IFERROR(VLOOKUP(A128,管理亚马逊库存!A:K,11,0),"")</f>
        <v>24</v>
      </c>
      <c r="C128">
        <f>IFERROR(VLOOKUP(A128,管理亚马逊库存!A:L,12,0),"")</f>
        <v>0</v>
      </c>
      <c r="D128">
        <f>IFERROR(VLOOKUP(A128,管理亚马逊库存!A:Q,17,0),"")</f>
        <v>0</v>
      </c>
      <c r="E128">
        <f>IFERROR(VLOOKUP(A128,管理亚马逊库存!A:R,18,0),"")</f>
        <v>10</v>
      </c>
      <c r="F128">
        <f t="shared" si="3"/>
        <v>10</v>
      </c>
      <c r="G128">
        <f>IFERROR(VLOOKUP(A128,预留库存!A:G,7,0),0)</f>
        <v>0</v>
      </c>
      <c r="H128">
        <f>IFERROR(VLOOKUP(A128,预留库存!A:H,8,0),0)</f>
        <v>0</v>
      </c>
      <c r="I128">
        <f>IFERROR(VLOOKUP(A128,预留库存!A:F,6,0),0)</f>
        <v>0</v>
      </c>
      <c r="J128">
        <f>IFERROR(VLOOKUP(A128,库龄!B:K,9,0),0)</f>
        <v>0</v>
      </c>
      <c r="K128">
        <f>IFERROR(VLOOKUP(A128,库龄!B:L,10,0),0)</f>
        <v>0</v>
      </c>
      <c r="L128">
        <f>IFERROR(VLOOKUP(A128,库龄!B:M,11,0),0)</f>
        <v>0</v>
      </c>
      <c r="M128">
        <f>IFERROR(VLOOKUP(A128,库龄!B:N,12,0),0)</f>
        <v>0</v>
      </c>
      <c r="N128">
        <f t="shared" si="4"/>
        <v>0</v>
      </c>
    </row>
    <row r="129" spans="1:14">
      <c r="A129" s="3" t="s">
        <v>311</v>
      </c>
      <c r="B129">
        <f>IFERROR(VLOOKUP(A129,管理亚马逊库存!A:K,11,0),"")</f>
        <v>17</v>
      </c>
      <c r="C129">
        <f>IFERROR(VLOOKUP(A129,管理亚马逊库存!A:L,12,0),"")</f>
        <v>0</v>
      </c>
      <c r="D129">
        <f>IFERROR(VLOOKUP(A129,管理亚马逊库存!A:Q,17,0),"")</f>
        <v>0</v>
      </c>
      <c r="E129">
        <f>IFERROR(VLOOKUP(A129,管理亚马逊库存!A:R,18,0),"")</f>
        <v>0</v>
      </c>
      <c r="F129">
        <f t="shared" si="3"/>
        <v>0</v>
      </c>
      <c r="G129">
        <f>IFERROR(VLOOKUP(A129,预留库存!A:G,7,0),0)</f>
        <v>0</v>
      </c>
      <c r="H129">
        <f>IFERROR(VLOOKUP(A129,预留库存!A:H,8,0),0)</f>
        <v>0</v>
      </c>
      <c r="I129">
        <f>IFERROR(VLOOKUP(A129,预留库存!A:F,6,0),0)</f>
        <v>0</v>
      </c>
      <c r="J129">
        <f>IFERROR(VLOOKUP(A129,库龄!B:K,9,0),0)</f>
        <v>0</v>
      </c>
      <c r="K129">
        <f>IFERROR(VLOOKUP(A129,库龄!B:L,10,0),0)</f>
        <v>0</v>
      </c>
      <c r="L129">
        <f>IFERROR(VLOOKUP(A129,库龄!B:M,11,0),0)</f>
        <v>0</v>
      </c>
      <c r="M129">
        <f>IFERROR(VLOOKUP(A129,库龄!B:N,12,0),0)</f>
        <v>0</v>
      </c>
      <c r="N129">
        <f t="shared" si="4"/>
        <v>0</v>
      </c>
    </row>
    <row r="130" spans="1:14">
      <c r="A130" s="3" t="s">
        <v>313</v>
      </c>
      <c r="B130">
        <f>IFERROR(VLOOKUP(A130,管理亚马逊库存!A:K,11,0),"")</f>
        <v>7</v>
      </c>
      <c r="C130">
        <f>IFERROR(VLOOKUP(A130,管理亚马逊库存!A:L,12,0),"")</f>
        <v>0</v>
      </c>
      <c r="D130">
        <f>IFERROR(VLOOKUP(A130,管理亚马逊库存!A:Q,17,0),"")</f>
        <v>0</v>
      </c>
      <c r="E130">
        <f>IFERROR(VLOOKUP(A130,管理亚马逊库存!A:R,18,0),"")</f>
        <v>0</v>
      </c>
      <c r="F130">
        <f t="shared" si="3"/>
        <v>0</v>
      </c>
      <c r="G130" t="str">
        <f>IFERROR(VLOOKUP(A130,预留库存!A:G,7,0),0)</f>
        <v>No</v>
      </c>
      <c r="H130">
        <f>IFERROR(VLOOKUP(A130,预留库存!A:H,8,0),0)</f>
        <v>0</v>
      </c>
      <c r="I130">
        <f>IFERROR(VLOOKUP(A130,预留库存!A:F,6,0),0)</f>
        <v>24.98</v>
      </c>
      <c r="J130">
        <f>IFERROR(VLOOKUP(A130,库龄!B:K,9,0),0)</f>
        <v>0</v>
      </c>
      <c r="K130">
        <f>IFERROR(VLOOKUP(A130,库龄!B:L,10,0),0)</f>
        <v>0</v>
      </c>
      <c r="L130">
        <f>IFERROR(VLOOKUP(A130,库龄!B:M,11,0),0)</f>
        <v>0</v>
      </c>
      <c r="M130">
        <f>IFERROR(VLOOKUP(A130,库龄!B:N,12,0),0)</f>
        <v>0</v>
      </c>
      <c r="N130">
        <f t="shared" si="4"/>
        <v>0</v>
      </c>
    </row>
    <row r="131" spans="1:14">
      <c r="A131" s="3" t="s">
        <v>316</v>
      </c>
      <c r="B131">
        <f>IFERROR(VLOOKUP(A131,管理亚马逊库存!A:K,11,0),"")</f>
        <v>0</v>
      </c>
      <c r="C131">
        <f>IFERROR(VLOOKUP(A131,管理亚马逊库存!A:L,12,0),"")</f>
        <v>0</v>
      </c>
      <c r="D131">
        <f>IFERROR(VLOOKUP(A131,管理亚马逊库存!A:Q,17,0),"")</f>
        <v>0</v>
      </c>
      <c r="E131">
        <f>IFERROR(VLOOKUP(A131,管理亚马逊库存!A:R,18,0),"")</f>
        <v>0</v>
      </c>
      <c r="F131">
        <f t="shared" ref="F131:F194" si="5">SUM(D131:E131)</f>
        <v>0</v>
      </c>
      <c r="G131">
        <f>IFERROR(VLOOKUP(A131,预留库存!A:G,7,0),0)</f>
        <v>0</v>
      </c>
      <c r="H131">
        <f>IFERROR(VLOOKUP(A131,预留库存!A:H,8,0),0)</f>
        <v>0</v>
      </c>
      <c r="I131">
        <f>IFERROR(VLOOKUP(A131,预留库存!A:F,6,0),0)</f>
        <v>0</v>
      </c>
      <c r="J131">
        <f>IFERROR(VLOOKUP(A131,库龄!B:K,9,0),0)</f>
        <v>0</v>
      </c>
      <c r="K131">
        <f>IFERROR(VLOOKUP(A131,库龄!B:L,10,0),0)</f>
        <v>0</v>
      </c>
      <c r="L131">
        <f>IFERROR(VLOOKUP(A131,库龄!B:M,11,0),0)</f>
        <v>0</v>
      </c>
      <c r="M131">
        <f>IFERROR(VLOOKUP(A131,库龄!B:N,12,0),0)</f>
        <v>0</v>
      </c>
      <c r="N131">
        <f t="shared" ref="N131:N194" si="6">SUM(J131:M131)</f>
        <v>0</v>
      </c>
    </row>
    <row r="132" spans="1:14">
      <c r="A132" s="3" t="s">
        <v>318</v>
      </c>
      <c r="B132">
        <f>IFERROR(VLOOKUP(A132,管理亚马逊库存!A:K,11,0),"")</f>
        <v>19</v>
      </c>
      <c r="C132">
        <f>IFERROR(VLOOKUP(A132,管理亚马逊库存!A:L,12,0),"")</f>
        <v>0</v>
      </c>
      <c r="D132">
        <f>IFERROR(VLOOKUP(A132,管理亚马逊库存!A:Q,17,0),"")</f>
        <v>0</v>
      </c>
      <c r="E132">
        <f>IFERROR(VLOOKUP(A132,管理亚马逊库存!A:R,18,0),"")</f>
        <v>0</v>
      </c>
      <c r="F132">
        <f t="shared" si="5"/>
        <v>0</v>
      </c>
      <c r="G132">
        <f>IFERROR(VLOOKUP(A132,预留库存!A:G,7,0),0)</f>
        <v>0</v>
      </c>
      <c r="H132">
        <f>IFERROR(VLOOKUP(A132,预留库存!A:H,8,0),0)</f>
        <v>0</v>
      </c>
      <c r="I132">
        <f>IFERROR(VLOOKUP(A132,预留库存!A:F,6,0),0)</f>
        <v>0</v>
      </c>
      <c r="J132">
        <f>IFERROR(VLOOKUP(A132,库龄!B:K,9,0),0)</f>
        <v>0</v>
      </c>
      <c r="K132">
        <f>IFERROR(VLOOKUP(A132,库龄!B:L,10,0),0)</f>
        <v>0</v>
      </c>
      <c r="L132">
        <f>IFERROR(VLOOKUP(A132,库龄!B:M,11,0),0)</f>
        <v>0</v>
      </c>
      <c r="M132">
        <f>IFERROR(VLOOKUP(A132,库龄!B:N,12,0),0)</f>
        <v>0</v>
      </c>
      <c r="N132">
        <f t="shared" si="6"/>
        <v>0</v>
      </c>
    </row>
    <row r="133" spans="1:14">
      <c r="A133" s="3" t="s">
        <v>320</v>
      </c>
      <c r="B133">
        <f>IFERROR(VLOOKUP(A133,管理亚马逊库存!A:K,11,0),"")</f>
        <v>3</v>
      </c>
      <c r="C133">
        <f>IFERROR(VLOOKUP(A133,管理亚马逊库存!A:L,12,0),"")</f>
        <v>0</v>
      </c>
      <c r="D133">
        <f>IFERROR(VLOOKUP(A133,管理亚马逊库存!A:Q,17,0),"")</f>
        <v>0</v>
      </c>
      <c r="E133">
        <f>IFERROR(VLOOKUP(A133,管理亚马逊库存!A:R,18,0),"")</f>
        <v>0</v>
      </c>
      <c r="F133">
        <f t="shared" si="5"/>
        <v>0</v>
      </c>
      <c r="G133">
        <f>IFERROR(VLOOKUP(A133,预留库存!A:G,7,0),0)</f>
        <v>0</v>
      </c>
      <c r="H133">
        <f>IFERROR(VLOOKUP(A133,预留库存!A:H,8,0),0)</f>
        <v>0</v>
      </c>
      <c r="I133">
        <f>IFERROR(VLOOKUP(A133,预留库存!A:F,6,0),0)</f>
        <v>0</v>
      </c>
      <c r="J133">
        <f>IFERROR(VLOOKUP(A133,库龄!B:K,9,0),0)</f>
        <v>0</v>
      </c>
      <c r="K133">
        <f>IFERROR(VLOOKUP(A133,库龄!B:L,10,0),0)</f>
        <v>0</v>
      </c>
      <c r="L133">
        <f>IFERROR(VLOOKUP(A133,库龄!B:M,11,0),0)</f>
        <v>0</v>
      </c>
      <c r="M133">
        <f>IFERROR(VLOOKUP(A133,库龄!B:N,12,0),0)</f>
        <v>0</v>
      </c>
      <c r="N133">
        <f t="shared" si="6"/>
        <v>0</v>
      </c>
    </row>
    <row r="134" spans="1:14">
      <c r="A134" s="3" t="s">
        <v>322</v>
      </c>
      <c r="B134">
        <f>IFERROR(VLOOKUP(A134,管理亚马逊库存!A:K,11,0),"")</f>
        <v>16</v>
      </c>
      <c r="C134">
        <f>IFERROR(VLOOKUP(A134,管理亚马逊库存!A:L,12,0),"")</f>
        <v>0</v>
      </c>
      <c r="D134">
        <f>IFERROR(VLOOKUP(A134,管理亚马逊库存!A:Q,17,0),"")</f>
        <v>0</v>
      </c>
      <c r="E134">
        <f>IFERROR(VLOOKUP(A134,管理亚马逊库存!A:R,18,0),"")</f>
        <v>0</v>
      </c>
      <c r="F134">
        <f t="shared" si="5"/>
        <v>0</v>
      </c>
      <c r="G134">
        <f>IFERROR(VLOOKUP(A134,预留库存!A:G,7,0),0)</f>
        <v>0</v>
      </c>
      <c r="H134">
        <f>IFERROR(VLOOKUP(A134,预留库存!A:H,8,0),0)</f>
        <v>0</v>
      </c>
      <c r="I134">
        <f>IFERROR(VLOOKUP(A134,预留库存!A:F,6,0),0)</f>
        <v>0</v>
      </c>
      <c r="J134">
        <f>IFERROR(VLOOKUP(A134,库龄!B:K,9,0),0)</f>
        <v>0</v>
      </c>
      <c r="K134">
        <f>IFERROR(VLOOKUP(A134,库龄!B:L,10,0),0)</f>
        <v>0</v>
      </c>
      <c r="L134">
        <f>IFERROR(VLOOKUP(A134,库龄!B:M,11,0),0)</f>
        <v>0</v>
      </c>
      <c r="M134">
        <f>IFERROR(VLOOKUP(A134,库龄!B:N,12,0),0)</f>
        <v>0</v>
      </c>
      <c r="N134">
        <f t="shared" si="6"/>
        <v>0</v>
      </c>
    </row>
    <row r="135" spans="1:14">
      <c r="A135" s="3" t="s">
        <v>324</v>
      </c>
      <c r="B135">
        <f>IFERROR(VLOOKUP(A135,管理亚马逊库存!A:K,11,0),"")</f>
        <v>34</v>
      </c>
      <c r="C135">
        <f>IFERROR(VLOOKUP(A135,管理亚马逊库存!A:L,12,0),"")</f>
        <v>0</v>
      </c>
      <c r="D135">
        <f>IFERROR(VLOOKUP(A135,管理亚马逊库存!A:Q,17,0),"")</f>
        <v>0</v>
      </c>
      <c r="E135">
        <f>IFERROR(VLOOKUP(A135,管理亚马逊库存!A:R,18,0),"")</f>
        <v>0</v>
      </c>
      <c r="F135">
        <f t="shared" si="5"/>
        <v>0</v>
      </c>
      <c r="G135">
        <f>IFERROR(VLOOKUP(A135,预留库存!A:G,7,0),0)</f>
        <v>0</v>
      </c>
      <c r="H135">
        <f>IFERROR(VLOOKUP(A135,预留库存!A:H,8,0),0)</f>
        <v>0</v>
      </c>
      <c r="I135">
        <f>IFERROR(VLOOKUP(A135,预留库存!A:F,6,0),0)</f>
        <v>0</v>
      </c>
      <c r="J135">
        <f>IFERROR(VLOOKUP(A135,库龄!B:K,9,0),0)</f>
        <v>0</v>
      </c>
      <c r="K135">
        <f>IFERROR(VLOOKUP(A135,库龄!B:L,10,0),0)</f>
        <v>0</v>
      </c>
      <c r="L135">
        <f>IFERROR(VLOOKUP(A135,库龄!B:M,11,0),0)</f>
        <v>0</v>
      </c>
      <c r="M135">
        <f>IFERROR(VLOOKUP(A135,库龄!B:N,12,0),0)</f>
        <v>0</v>
      </c>
      <c r="N135">
        <f t="shared" si="6"/>
        <v>0</v>
      </c>
    </row>
    <row r="136" spans="1:14">
      <c r="A136" s="3" t="s">
        <v>326</v>
      </c>
      <c r="B136">
        <f>IFERROR(VLOOKUP(A136,管理亚马逊库存!A:K,11,0),"")</f>
        <v>23</v>
      </c>
      <c r="C136">
        <f>IFERROR(VLOOKUP(A136,管理亚马逊库存!A:L,12,0),"")</f>
        <v>0</v>
      </c>
      <c r="D136">
        <f>IFERROR(VLOOKUP(A136,管理亚马逊库存!A:Q,17,0),"")</f>
        <v>0</v>
      </c>
      <c r="E136">
        <f>IFERROR(VLOOKUP(A136,管理亚马逊库存!A:R,18,0),"")</f>
        <v>0</v>
      </c>
      <c r="F136">
        <f t="shared" si="5"/>
        <v>0</v>
      </c>
      <c r="G136">
        <f>IFERROR(VLOOKUP(A136,预留库存!A:G,7,0),0)</f>
        <v>0</v>
      </c>
      <c r="H136">
        <f>IFERROR(VLOOKUP(A136,预留库存!A:H,8,0),0)</f>
        <v>0</v>
      </c>
      <c r="I136">
        <f>IFERROR(VLOOKUP(A136,预留库存!A:F,6,0),0)</f>
        <v>0</v>
      </c>
      <c r="J136">
        <f>IFERROR(VLOOKUP(A136,库龄!B:K,9,0),0)</f>
        <v>0</v>
      </c>
      <c r="K136">
        <f>IFERROR(VLOOKUP(A136,库龄!B:L,10,0),0)</f>
        <v>0</v>
      </c>
      <c r="L136">
        <f>IFERROR(VLOOKUP(A136,库龄!B:M,11,0),0)</f>
        <v>0</v>
      </c>
      <c r="M136">
        <f>IFERROR(VLOOKUP(A136,库龄!B:N,12,0),0)</f>
        <v>0</v>
      </c>
      <c r="N136">
        <f t="shared" si="6"/>
        <v>0</v>
      </c>
    </row>
    <row r="137" spans="1:14">
      <c r="A137" s="3" t="s">
        <v>328</v>
      </c>
      <c r="B137">
        <f>IFERROR(VLOOKUP(A137,管理亚马逊库存!A:K,11,0),"")</f>
        <v>32</v>
      </c>
      <c r="C137">
        <f>IFERROR(VLOOKUP(A137,管理亚马逊库存!A:L,12,0),"")</f>
        <v>0</v>
      </c>
      <c r="D137">
        <f>IFERROR(VLOOKUP(A137,管理亚马逊库存!A:Q,17,0),"")</f>
        <v>0</v>
      </c>
      <c r="E137">
        <f>IFERROR(VLOOKUP(A137,管理亚马逊库存!A:R,18,0),"")</f>
        <v>0</v>
      </c>
      <c r="F137">
        <f t="shared" si="5"/>
        <v>0</v>
      </c>
      <c r="G137" t="str">
        <f>IFERROR(VLOOKUP(A137,预留库存!A:G,7,0),0)</f>
        <v>No</v>
      </c>
      <c r="H137">
        <f>IFERROR(VLOOKUP(A137,预留库存!A:H,8,0),0)</f>
        <v>0</v>
      </c>
      <c r="I137">
        <f>IFERROR(VLOOKUP(A137,预留库存!A:F,6,0),0)</f>
        <v>22.98</v>
      </c>
      <c r="J137">
        <f>IFERROR(VLOOKUP(A137,库龄!B:K,9,0),0)</f>
        <v>0</v>
      </c>
      <c r="K137">
        <f>IFERROR(VLOOKUP(A137,库龄!B:L,10,0),0)</f>
        <v>0</v>
      </c>
      <c r="L137">
        <f>IFERROR(VLOOKUP(A137,库龄!B:M,11,0),0)</f>
        <v>0</v>
      </c>
      <c r="M137">
        <f>IFERROR(VLOOKUP(A137,库龄!B:N,12,0),0)</f>
        <v>0</v>
      </c>
      <c r="N137">
        <f t="shared" si="6"/>
        <v>0</v>
      </c>
    </row>
    <row r="138" spans="1:14">
      <c r="A138" s="3" t="s">
        <v>331</v>
      </c>
      <c r="B138">
        <f>IFERROR(VLOOKUP(A138,管理亚马逊库存!A:K,11,0),"")</f>
        <v>6</v>
      </c>
      <c r="C138">
        <f>IFERROR(VLOOKUP(A138,管理亚马逊库存!A:L,12,0),"")</f>
        <v>0</v>
      </c>
      <c r="D138">
        <f>IFERROR(VLOOKUP(A138,管理亚马逊库存!A:Q,17,0),"")</f>
        <v>0</v>
      </c>
      <c r="E138">
        <f>IFERROR(VLOOKUP(A138,管理亚马逊库存!A:R,18,0),"")</f>
        <v>0</v>
      </c>
      <c r="F138">
        <f t="shared" si="5"/>
        <v>0</v>
      </c>
      <c r="G138">
        <f>IFERROR(VLOOKUP(A138,预留库存!A:G,7,0),0)</f>
        <v>0</v>
      </c>
      <c r="H138">
        <f>IFERROR(VLOOKUP(A138,预留库存!A:H,8,0),0)</f>
        <v>0</v>
      </c>
      <c r="I138">
        <f>IFERROR(VLOOKUP(A138,预留库存!A:F,6,0),0)</f>
        <v>0</v>
      </c>
      <c r="J138">
        <f>IFERROR(VLOOKUP(A138,库龄!B:K,9,0),0)</f>
        <v>0</v>
      </c>
      <c r="K138">
        <f>IFERROR(VLOOKUP(A138,库龄!B:L,10,0),0)</f>
        <v>0</v>
      </c>
      <c r="L138">
        <f>IFERROR(VLOOKUP(A138,库龄!B:M,11,0),0)</f>
        <v>0</v>
      </c>
      <c r="M138">
        <f>IFERROR(VLOOKUP(A138,库龄!B:N,12,0),0)</f>
        <v>0</v>
      </c>
      <c r="N138">
        <f t="shared" si="6"/>
        <v>0</v>
      </c>
    </row>
    <row r="139" spans="1:14">
      <c r="A139" s="3" t="s">
        <v>333</v>
      </c>
      <c r="B139">
        <f>IFERROR(VLOOKUP(A139,管理亚马逊库存!A:K,11,0),"")</f>
        <v>2</v>
      </c>
      <c r="C139">
        <f>IFERROR(VLOOKUP(A139,管理亚马逊库存!A:L,12,0),"")</f>
        <v>0</v>
      </c>
      <c r="D139">
        <f>IFERROR(VLOOKUP(A139,管理亚马逊库存!A:Q,17,0),"")</f>
        <v>0</v>
      </c>
      <c r="E139">
        <f>IFERROR(VLOOKUP(A139,管理亚马逊库存!A:R,18,0),"")</f>
        <v>0</v>
      </c>
      <c r="F139">
        <f t="shared" si="5"/>
        <v>0</v>
      </c>
      <c r="G139">
        <f>IFERROR(VLOOKUP(A139,预留库存!A:G,7,0),0)</f>
        <v>0</v>
      </c>
      <c r="H139">
        <f>IFERROR(VLOOKUP(A139,预留库存!A:H,8,0),0)</f>
        <v>0</v>
      </c>
      <c r="I139">
        <f>IFERROR(VLOOKUP(A139,预留库存!A:F,6,0),0)</f>
        <v>0</v>
      </c>
      <c r="J139">
        <f>IFERROR(VLOOKUP(A139,库龄!B:K,9,0),0)</f>
        <v>0</v>
      </c>
      <c r="K139">
        <f>IFERROR(VLOOKUP(A139,库龄!B:L,10,0),0)</f>
        <v>0</v>
      </c>
      <c r="L139">
        <f>IFERROR(VLOOKUP(A139,库龄!B:M,11,0),0)</f>
        <v>0</v>
      </c>
      <c r="M139">
        <f>IFERROR(VLOOKUP(A139,库龄!B:N,12,0),0)</f>
        <v>0</v>
      </c>
      <c r="N139">
        <f t="shared" si="6"/>
        <v>0</v>
      </c>
    </row>
    <row r="140" spans="1:14">
      <c r="A140" s="3" t="s">
        <v>335</v>
      </c>
      <c r="B140">
        <f>IFERROR(VLOOKUP(A140,管理亚马逊库存!A:K,11,0),"")</f>
        <v>3</v>
      </c>
      <c r="C140">
        <f>IFERROR(VLOOKUP(A140,管理亚马逊库存!A:L,12,0),"")</f>
        <v>0</v>
      </c>
      <c r="D140">
        <f>IFERROR(VLOOKUP(A140,管理亚马逊库存!A:Q,17,0),"")</f>
        <v>0</v>
      </c>
      <c r="E140">
        <f>IFERROR(VLOOKUP(A140,管理亚马逊库存!A:R,18,0),"")</f>
        <v>0</v>
      </c>
      <c r="F140">
        <f t="shared" si="5"/>
        <v>0</v>
      </c>
      <c r="G140">
        <f>IFERROR(VLOOKUP(A140,预留库存!A:G,7,0),0)</f>
        <v>0</v>
      </c>
      <c r="H140">
        <f>IFERROR(VLOOKUP(A140,预留库存!A:H,8,0),0)</f>
        <v>0</v>
      </c>
      <c r="I140">
        <f>IFERROR(VLOOKUP(A140,预留库存!A:F,6,0),0)</f>
        <v>0</v>
      </c>
      <c r="J140">
        <f>IFERROR(VLOOKUP(A140,库龄!B:K,9,0),0)</f>
        <v>0</v>
      </c>
      <c r="K140">
        <f>IFERROR(VLOOKUP(A140,库龄!B:L,10,0),0)</f>
        <v>0</v>
      </c>
      <c r="L140">
        <f>IFERROR(VLOOKUP(A140,库龄!B:M,11,0),0)</f>
        <v>0</v>
      </c>
      <c r="M140">
        <f>IFERROR(VLOOKUP(A140,库龄!B:N,12,0),0)</f>
        <v>0</v>
      </c>
      <c r="N140">
        <f t="shared" si="6"/>
        <v>0</v>
      </c>
    </row>
    <row r="141" spans="1:14">
      <c r="A141" s="3" t="s">
        <v>337</v>
      </c>
      <c r="B141">
        <f>IFERROR(VLOOKUP(A141,管理亚马逊库存!A:K,11,0),"")</f>
        <v>0</v>
      </c>
      <c r="C141">
        <f>IFERROR(VLOOKUP(A141,管理亚马逊库存!A:L,12,0),"")</f>
        <v>0</v>
      </c>
      <c r="D141">
        <f>IFERROR(VLOOKUP(A141,管理亚马逊库存!A:Q,17,0),"")</f>
        <v>0</v>
      </c>
      <c r="E141">
        <f>IFERROR(VLOOKUP(A141,管理亚马逊库存!A:R,18,0),"")</f>
        <v>0</v>
      </c>
      <c r="F141">
        <f t="shared" si="5"/>
        <v>0</v>
      </c>
      <c r="G141">
        <f>IFERROR(VLOOKUP(A141,预留库存!A:G,7,0),0)</f>
        <v>0</v>
      </c>
      <c r="H141">
        <f>IFERROR(VLOOKUP(A141,预留库存!A:H,8,0),0)</f>
        <v>0</v>
      </c>
      <c r="I141">
        <f>IFERROR(VLOOKUP(A141,预留库存!A:F,6,0),0)</f>
        <v>0</v>
      </c>
      <c r="J141">
        <f>IFERROR(VLOOKUP(A141,库龄!B:K,9,0),0)</f>
        <v>0</v>
      </c>
      <c r="K141">
        <f>IFERROR(VLOOKUP(A141,库龄!B:L,10,0),0)</f>
        <v>0</v>
      </c>
      <c r="L141">
        <f>IFERROR(VLOOKUP(A141,库龄!B:M,11,0),0)</f>
        <v>0</v>
      </c>
      <c r="M141">
        <f>IFERROR(VLOOKUP(A141,库龄!B:N,12,0),0)</f>
        <v>0</v>
      </c>
      <c r="N141">
        <f t="shared" si="6"/>
        <v>0</v>
      </c>
    </row>
    <row r="142" spans="1:14">
      <c r="A142" s="3" t="s">
        <v>339</v>
      </c>
      <c r="B142">
        <f>IFERROR(VLOOKUP(A142,管理亚马逊库存!A:K,11,0),"")</f>
        <v>8</v>
      </c>
      <c r="C142">
        <f>IFERROR(VLOOKUP(A142,管理亚马逊库存!A:L,12,0),"")</f>
        <v>0</v>
      </c>
      <c r="D142">
        <f>IFERROR(VLOOKUP(A142,管理亚马逊库存!A:Q,17,0),"")</f>
        <v>0</v>
      </c>
      <c r="E142">
        <f>IFERROR(VLOOKUP(A142,管理亚马逊库存!A:R,18,0),"")</f>
        <v>0</v>
      </c>
      <c r="F142">
        <f t="shared" si="5"/>
        <v>0</v>
      </c>
      <c r="G142">
        <f>IFERROR(VLOOKUP(A142,预留库存!A:G,7,0),0)</f>
        <v>0</v>
      </c>
      <c r="H142">
        <f>IFERROR(VLOOKUP(A142,预留库存!A:H,8,0),0)</f>
        <v>0</v>
      </c>
      <c r="I142">
        <f>IFERROR(VLOOKUP(A142,预留库存!A:F,6,0),0)</f>
        <v>0</v>
      </c>
      <c r="J142">
        <f>IFERROR(VLOOKUP(A142,库龄!B:K,9,0),0)</f>
        <v>0</v>
      </c>
      <c r="K142">
        <f>IFERROR(VLOOKUP(A142,库龄!B:L,10,0),0)</f>
        <v>0</v>
      </c>
      <c r="L142">
        <f>IFERROR(VLOOKUP(A142,库龄!B:M,11,0),0)</f>
        <v>0</v>
      </c>
      <c r="M142">
        <f>IFERROR(VLOOKUP(A142,库龄!B:N,12,0),0)</f>
        <v>0</v>
      </c>
      <c r="N142">
        <f t="shared" si="6"/>
        <v>0</v>
      </c>
    </row>
    <row r="143" spans="1:14">
      <c r="A143" s="3" t="s">
        <v>341</v>
      </c>
      <c r="B143">
        <f>IFERROR(VLOOKUP(A143,管理亚马逊库存!A:K,11,0),"")</f>
        <v>3</v>
      </c>
      <c r="C143">
        <f>IFERROR(VLOOKUP(A143,管理亚马逊库存!A:L,12,0),"")</f>
        <v>0</v>
      </c>
      <c r="D143">
        <f>IFERROR(VLOOKUP(A143,管理亚马逊库存!A:Q,17,0),"")</f>
        <v>0</v>
      </c>
      <c r="E143">
        <f>IFERROR(VLOOKUP(A143,管理亚马逊库存!A:R,18,0),"")</f>
        <v>0</v>
      </c>
      <c r="F143">
        <f t="shared" si="5"/>
        <v>0</v>
      </c>
      <c r="G143">
        <f>IFERROR(VLOOKUP(A143,预留库存!A:G,7,0),0)</f>
        <v>0</v>
      </c>
      <c r="H143">
        <f>IFERROR(VLOOKUP(A143,预留库存!A:H,8,0),0)</f>
        <v>0</v>
      </c>
      <c r="I143">
        <f>IFERROR(VLOOKUP(A143,预留库存!A:F,6,0),0)</f>
        <v>0</v>
      </c>
      <c r="J143">
        <f>IFERROR(VLOOKUP(A143,库龄!B:K,9,0),0)</f>
        <v>0</v>
      </c>
      <c r="K143">
        <f>IFERROR(VLOOKUP(A143,库龄!B:L,10,0),0)</f>
        <v>0</v>
      </c>
      <c r="L143">
        <f>IFERROR(VLOOKUP(A143,库龄!B:M,11,0),0)</f>
        <v>0</v>
      </c>
      <c r="M143">
        <f>IFERROR(VLOOKUP(A143,库龄!B:N,12,0),0)</f>
        <v>0</v>
      </c>
      <c r="N143">
        <f t="shared" si="6"/>
        <v>0</v>
      </c>
    </row>
    <row r="144" spans="1:14">
      <c r="A144" s="3" t="s">
        <v>343</v>
      </c>
      <c r="B144">
        <f>IFERROR(VLOOKUP(A144,管理亚马逊库存!A:K,11,0),"")</f>
        <v>18</v>
      </c>
      <c r="C144">
        <f>IFERROR(VLOOKUP(A144,管理亚马逊库存!A:L,12,0),"")</f>
        <v>0</v>
      </c>
      <c r="D144">
        <f>IFERROR(VLOOKUP(A144,管理亚马逊库存!A:Q,17,0),"")</f>
        <v>0</v>
      </c>
      <c r="E144">
        <f>IFERROR(VLOOKUP(A144,管理亚马逊库存!A:R,18,0),"")</f>
        <v>0</v>
      </c>
      <c r="F144">
        <f t="shared" si="5"/>
        <v>0</v>
      </c>
      <c r="G144" t="str">
        <f>IFERROR(VLOOKUP(A144,预留库存!A:G,7,0),0)</f>
        <v>No</v>
      </c>
      <c r="H144">
        <f>IFERROR(VLOOKUP(A144,预留库存!A:H,8,0),0)</f>
        <v>0</v>
      </c>
      <c r="I144">
        <f>IFERROR(VLOOKUP(A144,预留库存!A:F,6,0),0)</f>
        <v>26.98</v>
      </c>
      <c r="J144">
        <f>IFERROR(VLOOKUP(A144,库龄!B:K,9,0),0)</f>
        <v>18</v>
      </c>
      <c r="K144">
        <f>IFERROR(VLOOKUP(A144,库龄!B:L,10,0),0)</f>
        <v>0</v>
      </c>
      <c r="L144">
        <f>IFERROR(VLOOKUP(A144,库龄!B:M,11,0),0)</f>
        <v>0</v>
      </c>
      <c r="M144">
        <f>IFERROR(VLOOKUP(A144,库龄!B:N,12,0),0)</f>
        <v>0</v>
      </c>
      <c r="N144">
        <f t="shared" si="6"/>
        <v>18</v>
      </c>
    </row>
    <row r="145" spans="1:14">
      <c r="A145" s="3" t="s">
        <v>346</v>
      </c>
      <c r="B145">
        <f>IFERROR(VLOOKUP(A145,管理亚马逊库存!A:K,11,0),"")</f>
        <v>0</v>
      </c>
      <c r="C145">
        <f>IFERROR(VLOOKUP(A145,管理亚马逊库存!A:L,12,0),"")</f>
        <v>0</v>
      </c>
      <c r="D145">
        <f>IFERROR(VLOOKUP(A145,管理亚马逊库存!A:Q,17,0),"")</f>
        <v>0</v>
      </c>
      <c r="E145">
        <f>IFERROR(VLOOKUP(A145,管理亚马逊库存!A:R,18,0),"")</f>
        <v>0</v>
      </c>
      <c r="F145">
        <f t="shared" si="5"/>
        <v>0</v>
      </c>
      <c r="G145" t="str">
        <f>IFERROR(VLOOKUP(A145,预留库存!A:G,7,0),0)</f>
        <v>No</v>
      </c>
      <c r="H145">
        <f>IFERROR(VLOOKUP(A145,预留库存!A:H,8,0),0)</f>
        <v>0</v>
      </c>
      <c r="I145">
        <f>IFERROR(VLOOKUP(A145,预留库存!A:F,6,0),0)</f>
        <v>26.98</v>
      </c>
      <c r="J145">
        <f>IFERROR(VLOOKUP(A145,库龄!B:K,9,0),0)</f>
        <v>0</v>
      </c>
      <c r="K145">
        <f>IFERROR(VLOOKUP(A145,库龄!B:L,10,0),0)</f>
        <v>0</v>
      </c>
      <c r="L145">
        <f>IFERROR(VLOOKUP(A145,库龄!B:M,11,0),0)</f>
        <v>0</v>
      </c>
      <c r="M145">
        <f>IFERROR(VLOOKUP(A145,库龄!B:N,12,0),0)</f>
        <v>0</v>
      </c>
      <c r="N145">
        <f t="shared" si="6"/>
        <v>0</v>
      </c>
    </row>
    <row r="146" spans="1:14">
      <c r="A146" s="3" t="s">
        <v>349</v>
      </c>
      <c r="B146">
        <f>IFERROR(VLOOKUP(A146,管理亚马逊库存!A:K,11,0),"")</f>
        <v>11</v>
      </c>
      <c r="C146">
        <f>IFERROR(VLOOKUP(A146,管理亚马逊库存!A:L,12,0),"")</f>
        <v>0</v>
      </c>
      <c r="D146">
        <f>IFERROR(VLOOKUP(A146,管理亚马逊库存!A:Q,17,0),"")</f>
        <v>0</v>
      </c>
      <c r="E146">
        <f>IFERROR(VLOOKUP(A146,管理亚马逊库存!A:R,18,0),"")</f>
        <v>0</v>
      </c>
      <c r="F146">
        <f t="shared" si="5"/>
        <v>0</v>
      </c>
      <c r="G146">
        <f>IFERROR(VLOOKUP(A146,预留库存!A:G,7,0),0)</f>
        <v>0</v>
      </c>
      <c r="H146">
        <f>IFERROR(VLOOKUP(A146,预留库存!A:H,8,0),0)</f>
        <v>0</v>
      </c>
      <c r="I146">
        <f>IFERROR(VLOOKUP(A146,预留库存!A:F,6,0),0)</f>
        <v>0</v>
      </c>
      <c r="J146">
        <f>IFERROR(VLOOKUP(A146,库龄!B:K,9,0),0)</f>
        <v>0</v>
      </c>
      <c r="K146">
        <f>IFERROR(VLOOKUP(A146,库龄!B:L,10,0),0)</f>
        <v>0</v>
      </c>
      <c r="L146">
        <f>IFERROR(VLOOKUP(A146,库龄!B:M,11,0),0)</f>
        <v>0</v>
      </c>
      <c r="M146">
        <f>IFERROR(VLOOKUP(A146,库龄!B:N,12,0),0)</f>
        <v>0</v>
      </c>
      <c r="N146">
        <f t="shared" si="6"/>
        <v>0</v>
      </c>
    </row>
    <row r="147" spans="1:14">
      <c r="A147" s="3" t="s">
        <v>351</v>
      </c>
      <c r="B147">
        <f>IFERROR(VLOOKUP(A147,管理亚马逊库存!A:K,11,0),"")</f>
        <v>2</v>
      </c>
      <c r="C147">
        <f>IFERROR(VLOOKUP(A147,管理亚马逊库存!A:L,12,0),"")</f>
        <v>0</v>
      </c>
      <c r="D147">
        <f>IFERROR(VLOOKUP(A147,管理亚马逊库存!A:Q,17,0),"")</f>
        <v>0</v>
      </c>
      <c r="E147">
        <f>IFERROR(VLOOKUP(A147,管理亚马逊库存!A:R,18,0),"")</f>
        <v>0</v>
      </c>
      <c r="F147">
        <f t="shared" si="5"/>
        <v>0</v>
      </c>
      <c r="G147">
        <f>IFERROR(VLOOKUP(A147,预留库存!A:G,7,0),0)</f>
        <v>0</v>
      </c>
      <c r="H147">
        <f>IFERROR(VLOOKUP(A147,预留库存!A:H,8,0),0)</f>
        <v>0</v>
      </c>
      <c r="I147">
        <f>IFERROR(VLOOKUP(A147,预留库存!A:F,6,0),0)</f>
        <v>0</v>
      </c>
      <c r="J147">
        <f>IFERROR(VLOOKUP(A147,库龄!B:K,9,0),0)</f>
        <v>0</v>
      </c>
      <c r="K147">
        <f>IFERROR(VLOOKUP(A147,库龄!B:L,10,0),0)</f>
        <v>0</v>
      </c>
      <c r="L147">
        <f>IFERROR(VLOOKUP(A147,库龄!B:M,11,0),0)</f>
        <v>0</v>
      </c>
      <c r="M147">
        <f>IFERROR(VLOOKUP(A147,库龄!B:N,12,0),0)</f>
        <v>0</v>
      </c>
      <c r="N147">
        <f t="shared" si="6"/>
        <v>0</v>
      </c>
    </row>
    <row r="148" spans="1:14">
      <c r="A148" s="3" t="s">
        <v>353</v>
      </c>
      <c r="B148">
        <f>IFERROR(VLOOKUP(A148,管理亚马逊库存!A:K,11,0),"")</f>
        <v>10</v>
      </c>
      <c r="C148">
        <f>IFERROR(VLOOKUP(A148,管理亚马逊库存!A:L,12,0),"")</f>
        <v>0</v>
      </c>
      <c r="D148">
        <f>IFERROR(VLOOKUP(A148,管理亚马逊库存!A:Q,17,0),"")</f>
        <v>0</v>
      </c>
      <c r="E148">
        <f>IFERROR(VLOOKUP(A148,管理亚马逊库存!A:R,18,0),"")</f>
        <v>0</v>
      </c>
      <c r="F148">
        <f t="shared" si="5"/>
        <v>0</v>
      </c>
      <c r="G148">
        <f>IFERROR(VLOOKUP(A148,预留库存!A:G,7,0),0)</f>
        <v>0</v>
      </c>
      <c r="H148">
        <f>IFERROR(VLOOKUP(A148,预留库存!A:H,8,0),0)</f>
        <v>0</v>
      </c>
      <c r="I148">
        <f>IFERROR(VLOOKUP(A148,预留库存!A:F,6,0),0)</f>
        <v>0</v>
      </c>
      <c r="J148">
        <f>IFERROR(VLOOKUP(A148,库龄!B:K,9,0),0)</f>
        <v>0</v>
      </c>
      <c r="K148">
        <f>IFERROR(VLOOKUP(A148,库龄!B:L,10,0),0)</f>
        <v>0</v>
      </c>
      <c r="L148">
        <f>IFERROR(VLOOKUP(A148,库龄!B:M,11,0),0)</f>
        <v>0</v>
      </c>
      <c r="M148">
        <f>IFERROR(VLOOKUP(A148,库龄!B:N,12,0),0)</f>
        <v>0</v>
      </c>
      <c r="N148">
        <f t="shared" si="6"/>
        <v>0</v>
      </c>
    </row>
    <row r="149" spans="1:14">
      <c r="A149" s="3" t="s">
        <v>355</v>
      </c>
      <c r="B149">
        <f>IFERROR(VLOOKUP(A149,管理亚马逊库存!A:K,11,0),"")</f>
        <v>6</v>
      </c>
      <c r="C149">
        <f>IFERROR(VLOOKUP(A149,管理亚马逊库存!A:L,12,0),"")</f>
        <v>0</v>
      </c>
      <c r="D149">
        <f>IFERROR(VLOOKUP(A149,管理亚马逊库存!A:Q,17,0),"")</f>
        <v>0</v>
      </c>
      <c r="E149">
        <f>IFERROR(VLOOKUP(A149,管理亚马逊库存!A:R,18,0),"")</f>
        <v>0</v>
      </c>
      <c r="F149">
        <f t="shared" si="5"/>
        <v>0</v>
      </c>
      <c r="G149">
        <f>IFERROR(VLOOKUP(A149,预留库存!A:G,7,0),0)</f>
        <v>0</v>
      </c>
      <c r="H149">
        <f>IFERROR(VLOOKUP(A149,预留库存!A:H,8,0),0)</f>
        <v>0</v>
      </c>
      <c r="I149">
        <f>IFERROR(VLOOKUP(A149,预留库存!A:F,6,0),0)</f>
        <v>0</v>
      </c>
      <c r="J149">
        <f>IFERROR(VLOOKUP(A149,库龄!B:K,9,0),0)</f>
        <v>0</v>
      </c>
      <c r="K149">
        <f>IFERROR(VLOOKUP(A149,库龄!B:L,10,0),0)</f>
        <v>0</v>
      </c>
      <c r="L149">
        <f>IFERROR(VLOOKUP(A149,库龄!B:M,11,0),0)</f>
        <v>0</v>
      </c>
      <c r="M149">
        <f>IFERROR(VLOOKUP(A149,库龄!B:N,12,0),0)</f>
        <v>0</v>
      </c>
      <c r="N149">
        <f t="shared" si="6"/>
        <v>0</v>
      </c>
    </row>
    <row r="150" spans="1:14">
      <c r="A150" s="3" t="s">
        <v>357</v>
      </c>
      <c r="B150">
        <f>IFERROR(VLOOKUP(A150,管理亚马逊库存!A:K,11,0),"")</f>
        <v>8</v>
      </c>
      <c r="C150">
        <f>IFERROR(VLOOKUP(A150,管理亚马逊库存!A:L,12,0),"")</f>
        <v>0</v>
      </c>
      <c r="D150">
        <f>IFERROR(VLOOKUP(A150,管理亚马逊库存!A:Q,17,0),"")</f>
        <v>0</v>
      </c>
      <c r="E150">
        <f>IFERROR(VLOOKUP(A150,管理亚马逊库存!A:R,18,0),"")</f>
        <v>0</v>
      </c>
      <c r="F150">
        <f t="shared" si="5"/>
        <v>0</v>
      </c>
      <c r="G150">
        <f>IFERROR(VLOOKUP(A150,预留库存!A:G,7,0),0)</f>
        <v>0</v>
      </c>
      <c r="H150">
        <f>IFERROR(VLOOKUP(A150,预留库存!A:H,8,0),0)</f>
        <v>0</v>
      </c>
      <c r="I150">
        <f>IFERROR(VLOOKUP(A150,预留库存!A:F,6,0),0)</f>
        <v>0</v>
      </c>
      <c r="J150">
        <f>IFERROR(VLOOKUP(A150,库龄!B:K,9,0),0)</f>
        <v>0</v>
      </c>
      <c r="K150">
        <f>IFERROR(VLOOKUP(A150,库龄!B:L,10,0),0)</f>
        <v>0</v>
      </c>
      <c r="L150">
        <f>IFERROR(VLOOKUP(A150,库龄!B:M,11,0),0)</f>
        <v>0</v>
      </c>
      <c r="M150">
        <f>IFERROR(VLOOKUP(A150,库龄!B:N,12,0),0)</f>
        <v>0</v>
      </c>
      <c r="N150">
        <f t="shared" si="6"/>
        <v>0</v>
      </c>
    </row>
    <row r="151" spans="1:14">
      <c r="A151" s="3" t="s">
        <v>359</v>
      </c>
      <c r="B151">
        <f>IFERROR(VLOOKUP(A151,管理亚马逊库存!A:K,11,0),"")</f>
        <v>9</v>
      </c>
      <c r="C151">
        <f>IFERROR(VLOOKUP(A151,管理亚马逊库存!A:L,12,0),"")</f>
        <v>0</v>
      </c>
      <c r="D151">
        <f>IFERROR(VLOOKUP(A151,管理亚马逊库存!A:Q,17,0),"")</f>
        <v>0</v>
      </c>
      <c r="E151">
        <f>IFERROR(VLOOKUP(A151,管理亚马逊库存!A:R,18,0),"")</f>
        <v>0</v>
      </c>
      <c r="F151">
        <f t="shared" si="5"/>
        <v>0</v>
      </c>
      <c r="G151">
        <f>IFERROR(VLOOKUP(A151,预留库存!A:G,7,0),0)</f>
        <v>0</v>
      </c>
      <c r="H151">
        <f>IFERROR(VLOOKUP(A151,预留库存!A:H,8,0),0)</f>
        <v>0</v>
      </c>
      <c r="I151">
        <f>IFERROR(VLOOKUP(A151,预留库存!A:F,6,0),0)</f>
        <v>0</v>
      </c>
      <c r="J151">
        <f>IFERROR(VLOOKUP(A151,库龄!B:K,9,0),0)</f>
        <v>0</v>
      </c>
      <c r="K151">
        <f>IFERROR(VLOOKUP(A151,库龄!B:L,10,0),0)</f>
        <v>0</v>
      </c>
      <c r="L151">
        <f>IFERROR(VLOOKUP(A151,库龄!B:M,11,0),0)</f>
        <v>0</v>
      </c>
      <c r="M151">
        <f>IFERROR(VLOOKUP(A151,库龄!B:N,12,0),0)</f>
        <v>0</v>
      </c>
      <c r="N151">
        <f t="shared" si="6"/>
        <v>0</v>
      </c>
    </row>
    <row r="152" spans="1:14">
      <c r="A152" s="3" t="s">
        <v>361</v>
      </c>
      <c r="B152">
        <f>IFERROR(VLOOKUP(A152,管理亚马逊库存!A:K,11,0),"")</f>
        <v>9</v>
      </c>
      <c r="C152">
        <f>IFERROR(VLOOKUP(A152,管理亚马逊库存!A:L,12,0),"")</f>
        <v>0</v>
      </c>
      <c r="D152">
        <f>IFERROR(VLOOKUP(A152,管理亚马逊库存!A:Q,17,0),"")</f>
        <v>0</v>
      </c>
      <c r="E152">
        <f>IFERROR(VLOOKUP(A152,管理亚马逊库存!A:R,18,0),"")</f>
        <v>0</v>
      </c>
      <c r="F152">
        <f t="shared" si="5"/>
        <v>0</v>
      </c>
      <c r="G152">
        <f>IFERROR(VLOOKUP(A152,预留库存!A:G,7,0),0)</f>
        <v>0</v>
      </c>
      <c r="H152">
        <f>IFERROR(VLOOKUP(A152,预留库存!A:H,8,0),0)</f>
        <v>0</v>
      </c>
      <c r="I152">
        <f>IFERROR(VLOOKUP(A152,预留库存!A:F,6,0),0)</f>
        <v>0</v>
      </c>
      <c r="J152">
        <f>IFERROR(VLOOKUP(A152,库龄!B:K,9,0),0)</f>
        <v>0</v>
      </c>
      <c r="K152">
        <f>IFERROR(VLOOKUP(A152,库龄!B:L,10,0),0)</f>
        <v>0</v>
      </c>
      <c r="L152">
        <f>IFERROR(VLOOKUP(A152,库龄!B:M,11,0),0)</f>
        <v>0</v>
      </c>
      <c r="M152">
        <f>IFERROR(VLOOKUP(A152,库龄!B:N,12,0),0)</f>
        <v>0</v>
      </c>
      <c r="N152">
        <f t="shared" si="6"/>
        <v>0</v>
      </c>
    </row>
    <row r="153" spans="1:14">
      <c r="A153" s="3" t="s">
        <v>363</v>
      </c>
      <c r="B153">
        <f>IFERROR(VLOOKUP(A153,管理亚马逊库存!A:K,11,0),"")</f>
        <v>0</v>
      </c>
      <c r="C153">
        <f>IFERROR(VLOOKUP(A153,管理亚马逊库存!A:L,12,0),"")</f>
        <v>0</v>
      </c>
      <c r="D153">
        <f>IFERROR(VLOOKUP(A153,管理亚马逊库存!A:Q,17,0),"")</f>
        <v>0</v>
      </c>
      <c r="E153">
        <f>IFERROR(VLOOKUP(A153,管理亚马逊库存!A:R,18,0),"")</f>
        <v>0</v>
      </c>
      <c r="F153">
        <f t="shared" si="5"/>
        <v>0</v>
      </c>
      <c r="G153">
        <f>IFERROR(VLOOKUP(A153,预留库存!A:G,7,0),0)</f>
        <v>0</v>
      </c>
      <c r="H153">
        <f>IFERROR(VLOOKUP(A153,预留库存!A:H,8,0),0)</f>
        <v>0</v>
      </c>
      <c r="I153">
        <f>IFERROR(VLOOKUP(A153,预留库存!A:F,6,0),0)</f>
        <v>0</v>
      </c>
      <c r="J153">
        <f>IFERROR(VLOOKUP(A153,库龄!B:K,9,0),0)</f>
        <v>0</v>
      </c>
      <c r="K153">
        <f>IFERROR(VLOOKUP(A153,库龄!B:L,10,0),0)</f>
        <v>0</v>
      </c>
      <c r="L153">
        <f>IFERROR(VLOOKUP(A153,库龄!B:M,11,0),0)</f>
        <v>0</v>
      </c>
      <c r="M153">
        <f>IFERROR(VLOOKUP(A153,库龄!B:N,12,0),0)</f>
        <v>0</v>
      </c>
      <c r="N153">
        <f t="shared" si="6"/>
        <v>0</v>
      </c>
    </row>
    <row r="154" spans="1:14">
      <c r="A154" s="3" t="s">
        <v>365</v>
      </c>
      <c r="B154">
        <f>IFERROR(VLOOKUP(A154,管理亚马逊库存!A:K,11,0),"")</f>
        <v>19</v>
      </c>
      <c r="C154">
        <f>IFERROR(VLOOKUP(A154,管理亚马逊库存!A:L,12,0),"")</f>
        <v>0</v>
      </c>
      <c r="D154">
        <f>IFERROR(VLOOKUP(A154,管理亚马逊库存!A:Q,17,0),"")</f>
        <v>40</v>
      </c>
      <c r="E154">
        <f>IFERROR(VLOOKUP(A154,管理亚马逊库存!A:R,18,0),"")</f>
        <v>0</v>
      </c>
      <c r="F154">
        <f t="shared" si="5"/>
        <v>40</v>
      </c>
      <c r="G154" t="str">
        <f>IFERROR(VLOOKUP(A154,预留库存!A:G,7,0),0)</f>
        <v>No</v>
      </c>
      <c r="H154">
        <f>IFERROR(VLOOKUP(A154,预留库存!A:H,8,0),0)</f>
        <v>0</v>
      </c>
      <c r="I154">
        <f>IFERROR(VLOOKUP(A154,预留库存!A:F,6,0),0)</f>
        <v>22.98</v>
      </c>
      <c r="J154">
        <f>IFERROR(VLOOKUP(A154,库龄!B:K,9,0),0)</f>
        <v>0</v>
      </c>
      <c r="K154">
        <f>IFERROR(VLOOKUP(A154,库龄!B:L,10,0),0)</f>
        <v>0</v>
      </c>
      <c r="L154">
        <f>IFERROR(VLOOKUP(A154,库龄!B:M,11,0),0)</f>
        <v>0</v>
      </c>
      <c r="M154">
        <f>IFERROR(VLOOKUP(A154,库龄!B:N,12,0),0)</f>
        <v>0</v>
      </c>
      <c r="N154">
        <f t="shared" si="6"/>
        <v>0</v>
      </c>
    </row>
    <row r="155" spans="1:14">
      <c r="A155" s="3" t="s">
        <v>369</v>
      </c>
      <c r="B155">
        <f>IFERROR(VLOOKUP(A155,管理亚马逊库存!A:K,11,0),"")</f>
        <v>27</v>
      </c>
      <c r="C155">
        <f>IFERROR(VLOOKUP(A155,管理亚马逊库存!A:L,12,0),"")</f>
        <v>0</v>
      </c>
      <c r="D155">
        <f>IFERROR(VLOOKUP(A155,管理亚马逊库存!A:Q,17,0),"")</f>
        <v>20</v>
      </c>
      <c r="E155">
        <f>IFERROR(VLOOKUP(A155,管理亚马逊库存!A:R,18,0),"")</f>
        <v>0</v>
      </c>
      <c r="F155">
        <f t="shared" si="5"/>
        <v>20</v>
      </c>
      <c r="G155" t="str">
        <f>IFERROR(VLOOKUP(A155,预留库存!A:G,7,0),0)</f>
        <v>No</v>
      </c>
      <c r="H155">
        <f>IFERROR(VLOOKUP(A155,预留库存!A:H,8,0),0)</f>
        <v>0</v>
      </c>
      <c r="I155">
        <f>IFERROR(VLOOKUP(A155,预留库存!A:F,6,0),0)</f>
        <v>22.98</v>
      </c>
      <c r="J155">
        <f>IFERROR(VLOOKUP(A155,库龄!B:K,9,0),0)</f>
        <v>0</v>
      </c>
      <c r="K155">
        <f>IFERROR(VLOOKUP(A155,库龄!B:L,10,0),0)</f>
        <v>0</v>
      </c>
      <c r="L155">
        <f>IFERROR(VLOOKUP(A155,库龄!B:M,11,0),0)</f>
        <v>0</v>
      </c>
      <c r="M155">
        <f>IFERROR(VLOOKUP(A155,库龄!B:N,12,0),0)</f>
        <v>0</v>
      </c>
      <c r="N155">
        <f t="shared" si="6"/>
        <v>0</v>
      </c>
    </row>
    <row r="156" spans="1:14">
      <c r="A156" s="3" t="s">
        <v>373</v>
      </c>
      <c r="B156">
        <f>IFERROR(VLOOKUP(A156,管理亚马逊库存!A:K,11,0),"")</f>
        <v>0</v>
      </c>
      <c r="C156">
        <f>IFERROR(VLOOKUP(A156,管理亚马逊库存!A:L,12,0),"")</f>
        <v>0</v>
      </c>
      <c r="D156">
        <f>IFERROR(VLOOKUP(A156,管理亚马逊库存!A:Q,17,0),"")</f>
        <v>0</v>
      </c>
      <c r="E156">
        <f>IFERROR(VLOOKUP(A156,管理亚马逊库存!A:R,18,0),"")</f>
        <v>0</v>
      </c>
      <c r="F156">
        <f t="shared" si="5"/>
        <v>0</v>
      </c>
      <c r="G156" t="str">
        <f>IFERROR(VLOOKUP(A156,预留库存!A:G,7,0),0)</f>
        <v>No</v>
      </c>
      <c r="H156">
        <f>IFERROR(VLOOKUP(A156,预留库存!A:H,8,0),0)</f>
        <v>0</v>
      </c>
      <c r="I156">
        <f>IFERROR(VLOOKUP(A156,预留库存!A:F,6,0),0)</f>
        <v>22.98</v>
      </c>
      <c r="J156">
        <f>IFERROR(VLOOKUP(A156,库龄!B:K,9,0),0)</f>
        <v>0</v>
      </c>
      <c r="K156">
        <f>IFERROR(VLOOKUP(A156,库龄!B:L,10,0),0)</f>
        <v>0</v>
      </c>
      <c r="L156">
        <f>IFERROR(VLOOKUP(A156,库龄!B:M,11,0),0)</f>
        <v>0</v>
      </c>
      <c r="M156">
        <f>IFERROR(VLOOKUP(A156,库龄!B:N,12,0),0)</f>
        <v>0</v>
      </c>
      <c r="N156">
        <f t="shared" si="6"/>
        <v>0</v>
      </c>
    </row>
    <row r="157" spans="1:14">
      <c r="A157" s="3" t="s">
        <v>377</v>
      </c>
      <c r="B157">
        <f>IFERROR(VLOOKUP(A157,管理亚马逊库存!A:K,11,0),"")</f>
        <v>22</v>
      </c>
      <c r="C157">
        <f>IFERROR(VLOOKUP(A157,管理亚马逊库存!A:L,12,0),"")</f>
        <v>0</v>
      </c>
      <c r="D157">
        <f>IFERROR(VLOOKUP(A157,管理亚马逊库存!A:Q,17,0),"")</f>
        <v>40</v>
      </c>
      <c r="E157">
        <f>IFERROR(VLOOKUP(A157,管理亚马逊库存!A:R,18,0),"")</f>
        <v>0</v>
      </c>
      <c r="F157">
        <f t="shared" si="5"/>
        <v>40</v>
      </c>
      <c r="G157" t="str">
        <f>IFERROR(VLOOKUP(A157,预留库存!A:G,7,0),0)</f>
        <v>No</v>
      </c>
      <c r="H157">
        <f>IFERROR(VLOOKUP(A157,预留库存!A:H,8,0),0)</f>
        <v>0</v>
      </c>
      <c r="I157">
        <f>IFERROR(VLOOKUP(A157,预留库存!A:F,6,0),0)</f>
        <v>23.98</v>
      </c>
      <c r="J157">
        <f>IFERROR(VLOOKUP(A157,库龄!B:K,9,0),0)</f>
        <v>0</v>
      </c>
      <c r="K157">
        <f>IFERROR(VLOOKUP(A157,库龄!B:L,10,0),0)</f>
        <v>0</v>
      </c>
      <c r="L157">
        <f>IFERROR(VLOOKUP(A157,库龄!B:M,11,0),0)</f>
        <v>0</v>
      </c>
      <c r="M157">
        <f>IFERROR(VLOOKUP(A157,库龄!B:N,12,0),0)</f>
        <v>0</v>
      </c>
      <c r="N157">
        <f t="shared" si="6"/>
        <v>0</v>
      </c>
    </row>
    <row r="158" spans="1:14">
      <c r="A158" s="3" t="s">
        <v>381</v>
      </c>
      <c r="B158">
        <f>IFERROR(VLOOKUP(A158,管理亚马逊库存!A:K,11,0),"")</f>
        <v>0</v>
      </c>
      <c r="C158">
        <f>IFERROR(VLOOKUP(A158,管理亚马逊库存!A:L,12,0),"")</f>
        <v>0</v>
      </c>
      <c r="D158">
        <f>IFERROR(VLOOKUP(A158,管理亚马逊库存!A:Q,17,0),"")</f>
        <v>0</v>
      </c>
      <c r="E158">
        <f>IFERROR(VLOOKUP(A158,管理亚马逊库存!A:R,18,0),"")</f>
        <v>0</v>
      </c>
      <c r="F158">
        <f t="shared" si="5"/>
        <v>0</v>
      </c>
      <c r="G158" t="str">
        <f>IFERROR(VLOOKUP(A158,预留库存!A:G,7,0),0)</f>
        <v>No</v>
      </c>
      <c r="H158">
        <f>IFERROR(VLOOKUP(A158,预留库存!A:H,8,0),0)</f>
        <v>0</v>
      </c>
      <c r="I158">
        <f>IFERROR(VLOOKUP(A158,预留库存!A:F,6,0),0)</f>
        <v>23.98</v>
      </c>
      <c r="J158">
        <f>IFERROR(VLOOKUP(A158,库龄!B:K,9,0),0)</f>
        <v>0</v>
      </c>
      <c r="K158">
        <f>IFERROR(VLOOKUP(A158,库龄!B:L,10,0),0)</f>
        <v>0</v>
      </c>
      <c r="L158">
        <f>IFERROR(VLOOKUP(A158,库龄!B:M,11,0),0)</f>
        <v>0</v>
      </c>
      <c r="M158">
        <f>IFERROR(VLOOKUP(A158,库龄!B:N,12,0),0)</f>
        <v>0</v>
      </c>
      <c r="N158">
        <f t="shared" si="6"/>
        <v>0</v>
      </c>
    </row>
    <row r="159" spans="1:14">
      <c r="A159" s="3" t="s">
        <v>385</v>
      </c>
      <c r="B159">
        <f>IFERROR(VLOOKUP(A159,管理亚马逊库存!A:K,11,0),"")</f>
        <v>18</v>
      </c>
      <c r="C159">
        <f>IFERROR(VLOOKUP(A159,管理亚马逊库存!A:L,12,0),"")</f>
        <v>0</v>
      </c>
      <c r="D159">
        <f>IFERROR(VLOOKUP(A159,管理亚马逊库存!A:Q,17,0),"")</f>
        <v>40</v>
      </c>
      <c r="E159">
        <f>IFERROR(VLOOKUP(A159,管理亚马逊库存!A:R,18,0),"")</f>
        <v>0</v>
      </c>
      <c r="F159">
        <f t="shared" si="5"/>
        <v>40</v>
      </c>
      <c r="G159" t="str">
        <f>IFERROR(VLOOKUP(A159,预留库存!A:G,7,0),0)</f>
        <v>No</v>
      </c>
      <c r="H159">
        <f>IFERROR(VLOOKUP(A159,预留库存!A:H,8,0),0)</f>
        <v>0</v>
      </c>
      <c r="I159">
        <f>IFERROR(VLOOKUP(A159,预留库存!A:F,6,0),0)</f>
        <v>22.98</v>
      </c>
      <c r="J159">
        <f>IFERROR(VLOOKUP(A159,库龄!B:K,9,0),0)</f>
        <v>0</v>
      </c>
      <c r="K159">
        <f>IFERROR(VLOOKUP(A159,库龄!B:L,10,0),0)</f>
        <v>0</v>
      </c>
      <c r="L159">
        <f>IFERROR(VLOOKUP(A159,库龄!B:M,11,0),0)</f>
        <v>0</v>
      </c>
      <c r="M159">
        <f>IFERROR(VLOOKUP(A159,库龄!B:N,12,0),0)</f>
        <v>0</v>
      </c>
      <c r="N159">
        <f t="shared" si="6"/>
        <v>0</v>
      </c>
    </row>
    <row r="160" spans="1:14">
      <c r="A160" s="3" t="s">
        <v>389</v>
      </c>
      <c r="B160">
        <f>IFERROR(VLOOKUP(A160,管理亚马逊库存!A:K,11,0),"")</f>
        <v>15</v>
      </c>
      <c r="C160">
        <f>IFERROR(VLOOKUP(A160,管理亚马逊库存!A:L,12,0),"")</f>
        <v>0</v>
      </c>
      <c r="D160">
        <f>IFERROR(VLOOKUP(A160,管理亚马逊库存!A:Q,17,0),"")</f>
        <v>40</v>
      </c>
      <c r="E160">
        <f>IFERROR(VLOOKUP(A160,管理亚马逊库存!A:R,18,0),"")</f>
        <v>0</v>
      </c>
      <c r="F160">
        <f t="shared" si="5"/>
        <v>40</v>
      </c>
      <c r="G160" t="str">
        <f>IFERROR(VLOOKUP(A160,预留库存!A:G,7,0),0)</f>
        <v>No</v>
      </c>
      <c r="H160">
        <f>IFERROR(VLOOKUP(A160,预留库存!A:H,8,0),0)</f>
        <v>0</v>
      </c>
      <c r="I160">
        <f>IFERROR(VLOOKUP(A160,预留库存!A:F,6,0),0)</f>
        <v>22.98</v>
      </c>
      <c r="J160">
        <f>IFERROR(VLOOKUP(A160,库龄!B:K,9,0),0)</f>
        <v>0</v>
      </c>
      <c r="K160">
        <f>IFERROR(VLOOKUP(A160,库龄!B:L,10,0),0)</f>
        <v>0</v>
      </c>
      <c r="L160">
        <f>IFERROR(VLOOKUP(A160,库龄!B:M,11,0),0)</f>
        <v>0</v>
      </c>
      <c r="M160">
        <f>IFERROR(VLOOKUP(A160,库龄!B:N,12,0),0)</f>
        <v>0</v>
      </c>
      <c r="N160">
        <f t="shared" si="6"/>
        <v>0</v>
      </c>
    </row>
    <row r="161" spans="1:14">
      <c r="A161" s="3" t="s">
        <v>393</v>
      </c>
      <c r="B161">
        <f>IFERROR(VLOOKUP(A161,管理亚马逊库存!A:K,11,0),"")</f>
        <v>0</v>
      </c>
      <c r="C161">
        <f>IFERROR(VLOOKUP(A161,管理亚马逊库存!A:L,12,0),"")</f>
        <v>0</v>
      </c>
      <c r="D161">
        <f>IFERROR(VLOOKUP(A161,管理亚马逊库存!A:Q,17,0),"")</f>
        <v>0</v>
      </c>
      <c r="E161">
        <f>IFERROR(VLOOKUP(A161,管理亚马逊库存!A:R,18,0),"")</f>
        <v>0</v>
      </c>
      <c r="F161">
        <f t="shared" si="5"/>
        <v>0</v>
      </c>
      <c r="G161" t="str">
        <f>IFERROR(VLOOKUP(A161,预留库存!A:G,7,0),0)</f>
        <v>No</v>
      </c>
      <c r="H161">
        <f>IFERROR(VLOOKUP(A161,预留库存!A:H,8,0),0)</f>
        <v>0</v>
      </c>
      <c r="I161">
        <f>IFERROR(VLOOKUP(A161,预留库存!A:F,6,0),0)</f>
        <v>22.98</v>
      </c>
      <c r="J161">
        <f>IFERROR(VLOOKUP(A161,库龄!B:K,9,0),0)</f>
        <v>0</v>
      </c>
      <c r="K161">
        <f>IFERROR(VLOOKUP(A161,库龄!B:L,10,0),0)</f>
        <v>0</v>
      </c>
      <c r="L161">
        <f>IFERROR(VLOOKUP(A161,库龄!B:M,11,0),0)</f>
        <v>0</v>
      </c>
      <c r="M161">
        <f>IFERROR(VLOOKUP(A161,库龄!B:N,12,0),0)</f>
        <v>0</v>
      </c>
      <c r="N161">
        <f t="shared" si="6"/>
        <v>0</v>
      </c>
    </row>
    <row r="162" spans="1:14">
      <c r="A162" s="3" t="s">
        <v>397</v>
      </c>
      <c r="B162">
        <f>IFERROR(VLOOKUP(A162,管理亚马逊库存!A:K,11,0),"")</f>
        <v>24</v>
      </c>
      <c r="C162">
        <f>IFERROR(VLOOKUP(A162,管理亚马逊库存!A:L,12,0),"")</f>
        <v>0</v>
      </c>
      <c r="D162">
        <f>IFERROR(VLOOKUP(A162,管理亚马逊库存!A:Q,17,0),"")</f>
        <v>40</v>
      </c>
      <c r="E162">
        <f>IFERROR(VLOOKUP(A162,管理亚马逊库存!A:R,18,0),"")</f>
        <v>0</v>
      </c>
      <c r="F162">
        <f t="shared" si="5"/>
        <v>40</v>
      </c>
      <c r="G162" t="str">
        <f>IFERROR(VLOOKUP(A162,预留库存!A:G,7,0),0)</f>
        <v>No</v>
      </c>
      <c r="H162">
        <f>IFERROR(VLOOKUP(A162,预留库存!A:H,8,0),0)</f>
        <v>0</v>
      </c>
      <c r="I162">
        <f>IFERROR(VLOOKUP(A162,预留库存!A:F,6,0),0)</f>
        <v>23.98</v>
      </c>
      <c r="J162">
        <f>IFERROR(VLOOKUP(A162,库龄!B:K,9,0),0)</f>
        <v>0</v>
      </c>
      <c r="K162">
        <f>IFERROR(VLOOKUP(A162,库龄!B:L,10,0),0)</f>
        <v>0</v>
      </c>
      <c r="L162">
        <f>IFERROR(VLOOKUP(A162,库龄!B:M,11,0),0)</f>
        <v>0</v>
      </c>
      <c r="M162">
        <f>IFERROR(VLOOKUP(A162,库龄!B:N,12,0),0)</f>
        <v>0</v>
      </c>
      <c r="N162">
        <f t="shared" si="6"/>
        <v>0</v>
      </c>
    </row>
    <row r="163" spans="1:14">
      <c r="A163" s="3" t="s">
        <v>401</v>
      </c>
      <c r="B163">
        <f>IFERROR(VLOOKUP(A163,管理亚马逊库存!A:K,11,0),"")</f>
        <v>17</v>
      </c>
      <c r="C163">
        <f>IFERROR(VLOOKUP(A163,管理亚马逊库存!A:L,12,0),"")</f>
        <v>0</v>
      </c>
      <c r="D163">
        <f>IFERROR(VLOOKUP(A163,管理亚马逊库存!A:Q,17,0),"")</f>
        <v>40</v>
      </c>
      <c r="E163">
        <f>IFERROR(VLOOKUP(A163,管理亚马逊库存!A:R,18,0),"")</f>
        <v>0</v>
      </c>
      <c r="F163">
        <f t="shared" si="5"/>
        <v>40</v>
      </c>
      <c r="G163" t="str">
        <f>IFERROR(VLOOKUP(A163,预留库存!A:G,7,0),0)</f>
        <v>No</v>
      </c>
      <c r="H163">
        <f>IFERROR(VLOOKUP(A163,预留库存!A:H,8,0),0)</f>
        <v>0</v>
      </c>
      <c r="I163">
        <f>IFERROR(VLOOKUP(A163,预留库存!A:F,6,0),0)</f>
        <v>23.98</v>
      </c>
      <c r="J163">
        <f>IFERROR(VLOOKUP(A163,库龄!B:K,9,0),0)</f>
        <v>0</v>
      </c>
      <c r="K163">
        <f>IFERROR(VLOOKUP(A163,库龄!B:L,10,0),0)</f>
        <v>0</v>
      </c>
      <c r="L163">
        <f>IFERROR(VLOOKUP(A163,库龄!B:M,11,0),0)</f>
        <v>0</v>
      </c>
      <c r="M163">
        <f>IFERROR(VLOOKUP(A163,库龄!B:N,12,0),0)</f>
        <v>0</v>
      </c>
      <c r="N163">
        <f t="shared" si="6"/>
        <v>0</v>
      </c>
    </row>
    <row r="164" spans="1:14">
      <c r="A164" s="3" t="s">
        <v>405</v>
      </c>
      <c r="B164">
        <f>IFERROR(VLOOKUP(A164,管理亚马逊库存!A:K,11,0),"")</f>
        <v>30</v>
      </c>
      <c r="C164">
        <f>IFERROR(VLOOKUP(A164,管理亚马逊库存!A:L,12,0),"")</f>
        <v>0</v>
      </c>
      <c r="D164">
        <f>IFERROR(VLOOKUP(A164,管理亚马逊库存!A:Q,17,0),"")</f>
        <v>80</v>
      </c>
      <c r="E164">
        <f>IFERROR(VLOOKUP(A164,管理亚马逊库存!A:R,18,0),"")</f>
        <v>0</v>
      </c>
      <c r="F164">
        <f t="shared" si="5"/>
        <v>80</v>
      </c>
      <c r="G164" t="str">
        <f>IFERROR(VLOOKUP(A164,预留库存!A:G,7,0),0)</f>
        <v>No</v>
      </c>
      <c r="H164">
        <f>IFERROR(VLOOKUP(A164,预留库存!A:H,8,0),0)</f>
        <v>0</v>
      </c>
      <c r="I164">
        <f>IFERROR(VLOOKUP(A164,预留库存!A:F,6,0),0)</f>
        <v>22.98</v>
      </c>
      <c r="J164">
        <f>IFERROR(VLOOKUP(A164,库龄!B:K,9,0),0)</f>
        <v>0</v>
      </c>
      <c r="K164">
        <f>IFERROR(VLOOKUP(A164,库龄!B:L,10,0),0)</f>
        <v>0</v>
      </c>
      <c r="L164">
        <f>IFERROR(VLOOKUP(A164,库龄!B:M,11,0),0)</f>
        <v>0</v>
      </c>
      <c r="M164">
        <f>IFERROR(VLOOKUP(A164,库龄!B:N,12,0),0)</f>
        <v>0</v>
      </c>
      <c r="N164">
        <f t="shared" si="6"/>
        <v>0</v>
      </c>
    </row>
    <row r="165" spans="1:14">
      <c r="A165" s="3" t="s">
        <v>409</v>
      </c>
      <c r="B165">
        <f>IFERROR(VLOOKUP(A165,管理亚马逊库存!A:K,11,0),"")</f>
        <v>0</v>
      </c>
      <c r="C165">
        <f>IFERROR(VLOOKUP(A165,管理亚马逊库存!A:L,12,0),"")</f>
        <v>0</v>
      </c>
      <c r="D165">
        <f>IFERROR(VLOOKUP(A165,管理亚马逊库存!A:Q,17,0),"")</f>
        <v>20</v>
      </c>
      <c r="E165">
        <f>IFERROR(VLOOKUP(A165,管理亚马逊库存!A:R,18,0),"")</f>
        <v>0</v>
      </c>
      <c r="F165">
        <f t="shared" si="5"/>
        <v>20</v>
      </c>
      <c r="G165" t="str">
        <f>IFERROR(VLOOKUP(A165,预留库存!A:G,7,0),0)</f>
        <v>No</v>
      </c>
      <c r="H165">
        <f>IFERROR(VLOOKUP(A165,预留库存!A:H,8,0),0)</f>
        <v>0</v>
      </c>
      <c r="I165">
        <f>IFERROR(VLOOKUP(A165,预留库存!A:F,6,0),0)</f>
        <v>22.98</v>
      </c>
      <c r="J165">
        <f>IFERROR(VLOOKUP(A165,库龄!B:K,9,0),0)</f>
        <v>0</v>
      </c>
      <c r="K165">
        <f>IFERROR(VLOOKUP(A165,库龄!B:L,10,0),0)</f>
        <v>0</v>
      </c>
      <c r="L165">
        <f>IFERROR(VLOOKUP(A165,库龄!B:M,11,0),0)</f>
        <v>0</v>
      </c>
      <c r="M165">
        <f>IFERROR(VLOOKUP(A165,库龄!B:N,12,0),0)</f>
        <v>0</v>
      </c>
      <c r="N165">
        <f t="shared" si="6"/>
        <v>0</v>
      </c>
    </row>
    <row r="166" spans="1:14">
      <c r="A166" s="3" t="s">
        <v>413</v>
      </c>
      <c r="B166">
        <f>IFERROR(VLOOKUP(A166,管理亚马逊库存!A:K,11,0),"")</f>
        <v>0</v>
      </c>
      <c r="C166">
        <f>IFERROR(VLOOKUP(A166,管理亚马逊库存!A:L,12,0),"")</f>
        <v>0</v>
      </c>
      <c r="D166">
        <f>IFERROR(VLOOKUP(A166,管理亚马逊库存!A:Q,17,0),"")</f>
        <v>0</v>
      </c>
      <c r="E166">
        <f>IFERROR(VLOOKUP(A166,管理亚马逊库存!A:R,18,0),"")</f>
        <v>0</v>
      </c>
      <c r="F166">
        <f t="shared" si="5"/>
        <v>0</v>
      </c>
      <c r="G166" t="str">
        <f>IFERROR(VLOOKUP(A166,预留库存!A:G,7,0),0)</f>
        <v>No</v>
      </c>
      <c r="H166">
        <f>IFERROR(VLOOKUP(A166,预留库存!A:H,8,0),0)</f>
        <v>0</v>
      </c>
      <c r="I166">
        <f>IFERROR(VLOOKUP(A166,预留库存!A:F,6,0),0)</f>
        <v>22.98</v>
      </c>
      <c r="J166">
        <f>IFERROR(VLOOKUP(A166,库龄!B:K,9,0),0)</f>
        <v>0</v>
      </c>
      <c r="K166">
        <f>IFERROR(VLOOKUP(A166,库龄!B:L,10,0),0)</f>
        <v>0</v>
      </c>
      <c r="L166">
        <f>IFERROR(VLOOKUP(A166,库龄!B:M,11,0),0)</f>
        <v>0</v>
      </c>
      <c r="M166">
        <f>IFERROR(VLOOKUP(A166,库龄!B:N,12,0),0)</f>
        <v>0</v>
      </c>
      <c r="N166">
        <f t="shared" si="6"/>
        <v>0</v>
      </c>
    </row>
    <row r="167" spans="1:14">
      <c r="A167" s="3" t="s">
        <v>417</v>
      </c>
      <c r="B167">
        <f>IFERROR(VLOOKUP(A167,管理亚马逊库存!A:K,11,0),"")</f>
        <v>15</v>
      </c>
      <c r="C167">
        <f>IFERROR(VLOOKUP(A167,管理亚马逊库存!A:L,12,0),"")</f>
        <v>0</v>
      </c>
      <c r="D167">
        <f>IFERROR(VLOOKUP(A167,管理亚马逊库存!A:Q,17,0),"")</f>
        <v>40</v>
      </c>
      <c r="E167">
        <f>IFERROR(VLOOKUP(A167,管理亚马逊库存!A:R,18,0),"")</f>
        <v>0</v>
      </c>
      <c r="F167">
        <f t="shared" si="5"/>
        <v>40</v>
      </c>
      <c r="G167" t="str">
        <f>IFERROR(VLOOKUP(A167,预留库存!A:G,7,0),0)</f>
        <v>No</v>
      </c>
      <c r="H167">
        <f>IFERROR(VLOOKUP(A167,预留库存!A:H,8,0),0)</f>
        <v>0</v>
      </c>
      <c r="I167">
        <f>IFERROR(VLOOKUP(A167,预留库存!A:F,6,0),0)</f>
        <v>23.98</v>
      </c>
      <c r="J167">
        <f>IFERROR(VLOOKUP(A167,库龄!B:K,9,0),0)</f>
        <v>0</v>
      </c>
      <c r="K167">
        <f>IFERROR(VLOOKUP(A167,库龄!B:L,10,0),0)</f>
        <v>0</v>
      </c>
      <c r="L167">
        <f>IFERROR(VLOOKUP(A167,库龄!B:M,11,0),0)</f>
        <v>0</v>
      </c>
      <c r="M167">
        <f>IFERROR(VLOOKUP(A167,库龄!B:N,12,0),0)</f>
        <v>0</v>
      </c>
      <c r="N167">
        <f t="shared" si="6"/>
        <v>0</v>
      </c>
    </row>
    <row r="168" spans="1:14">
      <c r="A168" s="3" t="s">
        <v>421</v>
      </c>
      <c r="B168">
        <f>IFERROR(VLOOKUP(A168,管理亚马逊库存!A:K,11,0),"")</f>
        <v>0</v>
      </c>
      <c r="C168">
        <f>IFERROR(VLOOKUP(A168,管理亚马逊库存!A:L,12,0),"")</f>
        <v>0</v>
      </c>
      <c r="D168">
        <f>IFERROR(VLOOKUP(A168,管理亚马逊库存!A:Q,17,0),"")</f>
        <v>0</v>
      </c>
      <c r="E168">
        <f>IFERROR(VLOOKUP(A168,管理亚马逊库存!A:R,18,0),"")</f>
        <v>0</v>
      </c>
      <c r="F168">
        <f t="shared" si="5"/>
        <v>0</v>
      </c>
      <c r="G168">
        <f>IFERROR(VLOOKUP(A168,预留库存!A:G,7,0),0)</f>
        <v>0</v>
      </c>
      <c r="H168">
        <f>IFERROR(VLOOKUP(A168,预留库存!A:H,8,0),0)</f>
        <v>0</v>
      </c>
      <c r="I168">
        <f>IFERROR(VLOOKUP(A168,预留库存!A:F,6,0),0)</f>
        <v>0</v>
      </c>
      <c r="J168">
        <f>IFERROR(VLOOKUP(A168,库龄!B:K,9,0),0)</f>
        <v>0</v>
      </c>
      <c r="K168">
        <f>IFERROR(VLOOKUP(A168,库龄!B:L,10,0),0)</f>
        <v>0</v>
      </c>
      <c r="L168">
        <f>IFERROR(VLOOKUP(A168,库龄!B:M,11,0),0)</f>
        <v>0</v>
      </c>
      <c r="M168">
        <f>IFERROR(VLOOKUP(A168,库龄!B:N,12,0),0)</f>
        <v>0</v>
      </c>
      <c r="N168">
        <f t="shared" si="6"/>
        <v>0</v>
      </c>
    </row>
    <row r="169" spans="1:14">
      <c r="A169" s="3" t="s">
        <v>424</v>
      </c>
      <c r="B169">
        <f>IFERROR(VLOOKUP(A169,管理亚马逊库存!A:K,11,0),"")</f>
        <v>16</v>
      </c>
      <c r="C169">
        <f>IFERROR(VLOOKUP(A169,管理亚马逊库存!A:L,12,0),"")</f>
        <v>0</v>
      </c>
      <c r="D169">
        <f>IFERROR(VLOOKUP(A169,管理亚马逊库存!A:Q,17,0),"")</f>
        <v>40</v>
      </c>
      <c r="E169">
        <f>IFERROR(VLOOKUP(A169,管理亚马逊库存!A:R,18,0),"")</f>
        <v>0</v>
      </c>
      <c r="F169">
        <f t="shared" si="5"/>
        <v>40</v>
      </c>
      <c r="G169" t="str">
        <f>IFERROR(VLOOKUP(A169,预留库存!A:G,7,0),0)</f>
        <v>No</v>
      </c>
      <c r="H169">
        <f>IFERROR(VLOOKUP(A169,预留库存!A:H,8,0),0)</f>
        <v>0</v>
      </c>
      <c r="I169">
        <f>IFERROR(VLOOKUP(A169,预留库存!A:F,6,0),0)</f>
        <v>22.98</v>
      </c>
      <c r="J169">
        <f>IFERROR(VLOOKUP(A169,库龄!B:K,9,0),0)</f>
        <v>0</v>
      </c>
      <c r="K169">
        <f>IFERROR(VLOOKUP(A169,库龄!B:L,10,0),0)</f>
        <v>0</v>
      </c>
      <c r="L169">
        <f>IFERROR(VLOOKUP(A169,库龄!B:M,11,0),0)</f>
        <v>0</v>
      </c>
      <c r="M169">
        <f>IFERROR(VLOOKUP(A169,库龄!B:N,12,0),0)</f>
        <v>0</v>
      </c>
      <c r="N169">
        <f t="shared" si="6"/>
        <v>0</v>
      </c>
    </row>
    <row r="170" spans="1:14">
      <c r="A170" s="3" t="s">
        <v>428</v>
      </c>
      <c r="B170">
        <f>IFERROR(VLOOKUP(A170,管理亚马逊库存!A:K,11,0),"")</f>
        <v>22</v>
      </c>
      <c r="C170">
        <f>IFERROR(VLOOKUP(A170,管理亚马逊库存!A:L,12,0),"")</f>
        <v>0</v>
      </c>
      <c r="D170">
        <f>IFERROR(VLOOKUP(A170,管理亚马逊库存!A:Q,17,0),"")</f>
        <v>40</v>
      </c>
      <c r="E170">
        <f>IFERROR(VLOOKUP(A170,管理亚马逊库存!A:R,18,0),"")</f>
        <v>0</v>
      </c>
      <c r="F170">
        <f t="shared" si="5"/>
        <v>40</v>
      </c>
      <c r="G170" t="str">
        <f>IFERROR(VLOOKUP(A170,预留库存!A:G,7,0),0)</f>
        <v>No</v>
      </c>
      <c r="H170">
        <f>IFERROR(VLOOKUP(A170,预留库存!A:H,8,0),0)</f>
        <v>0</v>
      </c>
      <c r="I170">
        <f>IFERROR(VLOOKUP(A170,预留库存!A:F,6,0),0)</f>
        <v>22.98</v>
      </c>
      <c r="J170">
        <f>IFERROR(VLOOKUP(A170,库龄!B:K,9,0),0)</f>
        <v>0</v>
      </c>
      <c r="K170">
        <f>IFERROR(VLOOKUP(A170,库龄!B:L,10,0),0)</f>
        <v>0</v>
      </c>
      <c r="L170">
        <f>IFERROR(VLOOKUP(A170,库龄!B:M,11,0),0)</f>
        <v>0</v>
      </c>
      <c r="M170">
        <f>IFERROR(VLOOKUP(A170,库龄!B:N,12,0),0)</f>
        <v>0</v>
      </c>
      <c r="N170">
        <f t="shared" si="6"/>
        <v>0</v>
      </c>
    </row>
    <row r="171" spans="1:14">
      <c r="A171" s="3" t="s">
        <v>432</v>
      </c>
      <c r="B171">
        <f>IFERROR(VLOOKUP(A171,管理亚马逊库存!A:K,11,0),"")</f>
        <v>0</v>
      </c>
      <c r="C171">
        <f>IFERROR(VLOOKUP(A171,管理亚马逊库存!A:L,12,0),"")</f>
        <v>0</v>
      </c>
      <c r="D171">
        <f>IFERROR(VLOOKUP(A171,管理亚马逊库存!A:Q,17,0),"")</f>
        <v>0</v>
      </c>
      <c r="E171">
        <f>IFERROR(VLOOKUP(A171,管理亚马逊库存!A:R,18,0),"")</f>
        <v>0</v>
      </c>
      <c r="F171">
        <f t="shared" si="5"/>
        <v>0</v>
      </c>
      <c r="G171" t="str">
        <f>IFERROR(VLOOKUP(A171,预留库存!A:G,7,0),0)</f>
        <v>No</v>
      </c>
      <c r="H171">
        <f>IFERROR(VLOOKUP(A171,预留库存!A:H,8,0),0)</f>
        <v>0</v>
      </c>
      <c r="I171">
        <f>IFERROR(VLOOKUP(A171,预留库存!A:F,6,0),0)</f>
        <v>22.98</v>
      </c>
      <c r="J171">
        <f>IFERROR(VLOOKUP(A171,库龄!B:K,9,0),0)</f>
        <v>0</v>
      </c>
      <c r="K171">
        <f>IFERROR(VLOOKUP(A171,库龄!B:L,10,0),0)</f>
        <v>0</v>
      </c>
      <c r="L171">
        <f>IFERROR(VLOOKUP(A171,库龄!B:M,11,0),0)</f>
        <v>0</v>
      </c>
      <c r="M171">
        <f>IFERROR(VLOOKUP(A171,库龄!B:N,12,0),0)</f>
        <v>0</v>
      </c>
      <c r="N171">
        <f t="shared" si="6"/>
        <v>0</v>
      </c>
    </row>
    <row r="172" spans="1:14">
      <c r="A172" s="3" t="s">
        <v>436</v>
      </c>
      <c r="B172">
        <f>IFERROR(VLOOKUP(A172,管理亚马逊库存!A:K,11,0),"")</f>
        <v>7</v>
      </c>
      <c r="C172">
        <f>IFERROR(VLOOKUP(A172,管理亚马逊库存!A:L,12,0),"")</f>
        <v>0</v>
      </c>
      <c r="D172">
        <f>IFERROR(VLOOKUP(A172,管理亚马逊库存!A:Q,17,0),"")</f>
        <v>40</v>
      </c>
      <c r="E172">
        <f>IFERROR(VLOOKUP(A172,管理亚马逊库存!A:R,18,0),"")</f>
        <v>0</v>
      </c>
      <c r="F172">
        <f t="shared" si="5"/>
        <v>40</v>
      </c>
      <c r="G172" t="str">
        <f>IFERROR(VLOOKUP(A172,预留库存!A:G,7,0),0)</f>
        <v>No</v>
      </c>
      <c r="H172">
        <f>IFERROR(VLOOKUP(A172,预留库存!A:H,8,0),0)</f>
        <v>0</v>
      </c>
      <c r="I172">
        <f>IFERROR(VLOOKUP(A172,预留库存!A:F,6,0),0)</f>
        <v>23.98</v>
      </c>
      <c r="J172">
        <f>IFERROR(VLOOKUP(A172,库龄!B:K,9,0),0)</f>
        <v>0</v>
      </c>
      <c r="K172">
        <f>IFERROR(VLOOKUP(A172,库龄!B:L,10,0),0)</f>
        <v>0</v>
      </c>
      <c r="L172">
        <f>IFERROR(VLOOKUP(A172,库龄!B:M,11,0),0)</f>
        <v>0</v>
      </c>
      <c r="M172">
        <f>IFERROR(VLOOKUP(A172,库龄!B:N,12,0),0)</f>
        <v>0</v>
      </c>
      <c r="N172">
        <f t="shared" si="6"/>
        <v>0</v>
      </c>
    </row>
    <row r="173" spans="1:14">
      <c r="A173" s="3" t="s">
        <v>440</v>
      </c>
      <c r="B173">
        <f>IFERROR(VLOOKUP(A173,管理亚马逊库存!A:K,11,0),"")</f>
        <v>5</v>
      </c>
      <c r="C173">
        <f>IFERROR(VLOOKUP(A173,管理亚马逊库存!A:L,12,0),"")</f>
        <v>0</v>
      </c>
      <c r="D173">
        <f>IFERROR(VLOOKUP(A173,管理亚马逊库存!A:Q,17,0),"")</f>
        <v>10</v>
      </c>
      <c r="E173">
        <f>IFERROR(VLOOKUP(A173,管理亚马逊库存!A:R,18,0),"")</f>
        <v>0</v>
      </c>
      <c r="F173">
        <f t="shared" si="5"/>
        <v>10</v>
      </c>
      <c r="G173" t="str">
        <f>IFERROR(VLOOKUP(A173,预留库存!A:G,7,0),0)</f>
        <v>No</v>
      </c>
      <c r="H173">
        <f>IFERROR(VLOOKUP(A173,预留库存!A:H,8,0),0)</f>
        <v>0</v>
      </c>
      <c r="I173">
        <f>IFERROR(VLOOKUP(A173,预留库存!A:F,6,0),0)</f>
        <v>23.98</v>
      </c>
      <c r="J173">
        <f>IFERROR(VLOOKUP(A173,库龄!B:K,9,0),0)</f>
        <v>0</v>
      </c>
      <c r="K173">
        <f>IFERROR(VLOOKUP(A173,库龄!B:L,10,0),0)</f>
        <v>0</v>
      </c>
      <c r="L173">
        <f>IFERROR(VLOOKUP(A173,库龄!B:M,11,0),0)</f>
        <v>0</v>
      </c>
      <c r="M173">
        <f>IFERROR(VLOOKUP(A173,库龄!B:N,12,0),0)</f>
        <v>0</v>
      </c>
      <c r="N173">
        <f t="shared" si="6"/>
        <v>0</v>
      </c>
    </row>
    <row r="174" spans="1:14">
      <c r="A174" s="3" t="s">
        <v>444</v>
      </c>
      <c r="B174">
        <f>IFERROR(VLOOKUP(A174,管理亚马逊库存!A:K,11,0),"")</f>
        <v>0</v>
      </c>
      <c r="C174">
        <f>IFERROR(VLOOKUP(A174,管理亚马逊库存!A:L,12,0),"")</f>
        <v>0</v>
      </c>
      <c r="D174">
        <f>IFERROR(VLOOKUP(A174,管理亚马逊库存!A:Q,17,0),"")</f>
        <v>0</v>
      </c>
      <c r="E174">
        <f>IFERROR(VLOOKUP(A174,管理亚马逊库存!A:R,18,0),"")</f>
        <v>0</v>
      </c>
      <c r="F174">
        <f t="shared" si="5"/>
        <v>0</v>
      </c>
      <c r="G174" t="str">
        <f>IFERROR(VLOOKUP(A174,预留库存!A:G,7,0),0)</f>
        <v>No</v>
      </c>
      <c r="H174">
        <f>IFERROR(VLOOKUP(A174,预留库存!A:H,8,0),0)</f>
        <v>0</v>
      </c>
      <c r="I174">
        <f>IFERROR(VLOOKUP(A174,预留库存!A:F,6,0),0)</f>
        <v>22.98</v>
      </c>
      <c r="J174">
        <f>IFERROR(VLOOKUP(A174,库龄!B:K,9,0),0)</f>
        <v>0</v>
      </c>
      <c r="K174">
        <f>IFERROR(VLOOKUP(A174,库龄!B:L,10,0),0)</f>
        <v>0</v>
      </c>
      <c r="L174">
        <f>IFERROR(VLOOKUP(A174,库龄!B:M,11,0),0)</f>
        <v>0</v>
      </c>
      <c r="M174">
        <f>IFERROR(VLOOKUP(A174,库龄!B:N,12,0),0)</f>
        <v>0</v>
      </c>
      <c r="N174">
        <f t="shared" si="6"/>
        <v>0</v>
      </c>
    </row>
    <row r="175" spans="1:14">
      <c r="A175" s="3" t="s">
        <v>448</v>
      </c>
      <c r="B175">
        <f>IFERROR(VLOOKUP(A175,管理亚马逊库存!A:K,11,0),"")</f>
        <v>0</v>
      </c>
      <c r="C175">
        <f>IFERROR(VLOOKUP(A175,管理亚马逊库存!A:L,12,0),"")</f>
        <v>0</v>
      </c>
      <c r="D175">
        <f>IFERROR(VLOOKUP(A175,管理亚马逊库存!A:Q,17,0),"")</f>
        <v>0</v>
      </c>
      <c r="E175">
        <f>IFERROR(VLOOKUP(A175,管理亚马逊库存!A:R,18,0),"")</f>
        <v>0</v>
      </c>
      <c r="F175">
        <f t="shared" si="5"/>
        <v>0</v>
      </c>
      <c r="G175" t="str">
        <f>IFERROR(VLOOKUP(A175,预留库存!A:G,7,0),0)</f>
        <v>No</v>
      </c>
      <c r="H175">
        <f>IFERROR(VLOOKUP(A175,预留库存!A:H,8,0),0)</f>
        <v>0</v>
      </c>
      <c r="I175">
        <f>IFERROR(VLOOKUP(A175,预留库存!A:F,6,0),0)</f>
        <v>22.98</v>
      </c>
      <c r="J175">
        <f>IFERROR(VLOOKUP(A175,库龄!B:K,9,0),0)</f>
        <v>0</v>
      </c>
      <c r="K175">
        <f>IFERROR(VLOOKUP(A175,库龄!B:L,10,0),0)</f>
        <v>0</v>
      </c>
      <c r="L175">
        <f>IFERROR(VLOOKUP(A175,库龄!B:M,11,0),0)</f>
        <v>0</v>
      </c>
      <c r="M175">
        <f>IFERROR(VLOOKUP(A175,库龄!B:N,12,0),0)</f>
        <v>0</v>
      </c>
      <c r="N175">
        <f t="shared" si="6"/>
        <v>0</v>
      </c>
    </row>
    <row r="176" spans="1:14">
      <c r="A176" s="3" t="s">
        <v>452</v>
      </c>
      <c r="B176">
        <f>IFERROR(VLOOKUP(A176,管理亚马逊库存!A:K,11,0),"")</f>
        <v>0</v>
      </c>
      <c r="C176">
        <f>IFERROR(VLOOKUP(A176,管理亚马逊库存!A:L,12,0),"")</f>
        <v>0</v>
      </c>
      <c r="D176">
        <f>IFERROR(VLOOKUP(A176,管理亚马逊库存!A:Q,17,0),"")</f>
        <v>0</v>
      </c>
      <c r="E176">
        <f>IFERROR(VLOOKUP(A176,管理亚马逊库存!A:R,18,0),"")</f>
        <v>0</v>
      </c>
      <c r="F176">
        <f t="shared" si="5"/>
        <v>0</v>
      </c>
      <c r="G176" t="str">
        <f>IFERROR(VLOOKUP(A176,预留库存!A:G,7,0),0)</f>
        <v>No</v>
      </c>
      <c r="H176">
        <f>IFERROR(VLOOKUP(A176,预留库存!A:H,8,0),0)</f>
        <v>0</v>
      </c>
      <c r="I176">
        <f>IFERROR(VLOOKUP(A176,预留库存!A:F,6,0),0)</f>
        <v>22.98</v>
      </c>
      <c r="J176">
        <f>IFERROR(VLOOKUP(A176,库龄!B:K,9,0),0)</f>
        <v>0</v>
      </c>
      <c r="K176">
        <f>IFERROR(VLOOKUP(A176,库龄!B:L,10,0),0)</f>
        <v>0</v>
      </c>
      <c r="L176">
        <f>IFERROR(VLOOKUP(A176,库龄!B:M,11,0),0)</f>
        <v>0</v>
      </c>
      <c r="M176">
        <f>IFERROR(VLOOKUP(A176,库龄!B:N,12,0),0)</f>
        <v>0</v>
      </c>
      <c r="N176">
        <f t="shared" si="6"/>
        <v>0</v>
      </c>
    </row>
    <row r="177" spans="1:14">
      <c r="A177" s="3" t="s">
        <v>456</v>
      </c>
      <c r="B177">
        <f>IFERROR(VLOOKUP(A177,管理亚马逊库存!A:K,11,0),"")</f>
        <v>0</v>
      </c>
      <c r="C177">
        <f>IFERROR(VLOOKUP(A177,管理亚马逊库存!A:L,12,0),"")</f>
        <v>0</v>
      </c>
      <c r="D177">
        <f>IFERROR(VLOOKUP(A177,管理亚马逊库存!A:Q,17,0),"")</f>
        <v>0</v>
      </c>
      <c r="E177">
        <f>IFERROR(VLOOKUP(A177,管理亚马逊库存!A:R,18,0),"")</f>
        <v>0</v>
      </c>
      <c r="F177">
        <f t="shared" si="5"/>
        <v>0</v>
      </c>
      <c r="G177" t="str">
        <f>IFERROR(VLOOKUP(A177,预留库存!A:G,7,0),0)</f>
        <v>No</v>
      </c>
      <c r="H177">
        <f>IFERROR(VLOOKUP(A177,预留库存!A:H,8,0),0)</f>
        <v>0</v>
      </c>
      <c r="I177">
        <f>IFERROR(VLOOKUP(A177,预留库存!A:F,6,0),0)</f>
        <v>23.98</v>
      </c>
      <c r="J177">
        <f>IFERROR(VLOOKUP(A177,库龄!B:K,9,0),0)</f>
        <v>0</v>
      </c>
      <c r="K177">
        <f>IFERROR(VLOOKUP(A177,库龄!B:L,10,0),0)</f>
        <v>0</v>
      </c>
      <c r="L177">
        <f>IFERROR(VLOOKUP(A177,库龄!B:M,11,0),0)</f>
        <v>0</v>
      </c>
      <c r="M177">
        <f>IFERROR(VLOOKUP(A177,库龄!B:N,12,0),0)</f>
        <v>0</v>
      </c>
      <c r="N177">
        <f t="shared" si="6"/>
        <v>0</v>
      </c>
    </row>
    <row r="178" spans="1:14">
      <c r="A178" s="3" t="s">
        <v>460</v>
      </c>
      <c r="B178">
        <f>IFERROR(VLOOKUP(A178,管理亚马逊库存!A:K,11,0),"")</f>
        <v>0</v>
      </c>
      <c r="C178">
        <f>IFERROR(VLOOKUP(A178,管理亚马逊库存!A:L,12,0),"")</f>
        <v>0</v>
      </c>
      <c r="D178">
        <f>IFERROR(VLOOKUP(A178,管理亚马逊库存!A:Q,17,0),"")</f>
        <v>0</v>
      </c>
      <c r="E178">
        <f>IFERROR(VLOOKUP(A178,管理亚马逊库存!A:R,18,0),"")</f>
        <v>0</v>
      </c>
      <c r="F178">
        <f t="shared" si="5"/>
        <v>0</v>
      </c>
      <c r="G178">
        <f>IFERROR(VLOOKUP(A178,预留库存!A:G,7,0),0)</f>
        <v>0</v>
      </c>
      <c r="H178">
        <f>IFERROR(VLOOKUP(A178,预留库存!A:H,8,0),0)</f>
        <v>0</v>
      </c>
      <c r="I178">
        <f>IFERROR(VLOOKUP(A178,预留库存!A:F,6,0),0)</f>
        <v>0</v>
      </c>
      <c r="J178">
        <f>IFERROR(VLOOKUP(A178,库龄!B:K,9,0),0)</f>
        <v>0</v>
      </c>
      <c r="K178">
        <f>IFERROR(VLOOKUP(A178,库龄!B:L,10,0),0)</f>
        <v>0</v>
      </c>
      <c r="L178">
        <f>IFERROR(VLOOKUP(A178,库龄!B:M,11,0),0)</f>
        <v>0</v>
      </c>
      <c r="M178">
        <f>IFERROR(VLOOKUP(A178,库龄!B:N,12,0),0)</f>
        <v>0</v>
      </c>
      <c r="N178">
        <f t="shared" si="6"/>
        <v>0</v>
      </c>
    </row>
    <row r="179" spans="1:14">
      <c r="A179" s="3" t="s">
        <v>463</v>
      </c>
      <c r="B179">
        <f>IFERROR(VLOOKUP(A179,管理亚马逊库存!A:K,11,0),"")</f>
        <v>29</v>
      </c>
      <c r="C179">
        <f>IFERROR(VLOOKUP(A179,管理亚马逊库存!A:L,12,0),"")</f>
        <v>0</v>
      </c>
      <c r="D179">
        <f>IFERROR(VLOOKUP(A179,管理亚马逊库存!A:Q,17,0),"")</f>
        <v>0</v>
      </c>
      <c r="E179">
        <f>IFERROR(VLOOKUP(A179,管理亚马逊库存!A:R,18,0),"")</f>
        <v>0</v>
      </c>
      <c r="F179">
        <f t="shared" si="5"/>
        <v>0</v>
      </c>
      <c r="G179" t="str">
        <f>IFERROR(VLOOKUP(A179,预留库存!A:G,7,0),0)</f>
        <v>No</v>
      </c>
      <c r="H179">
        <f>IFERROR(VLOOKUP(A179,预留库存!A:H,8,0),0)</f>
        <v>0</v>
      </c>
      <c r="I179">
        <f>IFERROR(VLOOKUP(A179,预留库存!A:F,6,0),0)</f>
        <v>39.98</v>
      </c>
      <c r="J179">
        <f>IFERROR(VLOOKUP(A179,库龄!B:K,9,0),0)</f>
        <v>28</v>
      </c>
      <c r="K179">
        <f>IFERROR(VLOOKUP(A179,库龄!B:L,10,0),0)</f>
        <v>0</v>
      </c>
      <c r="L179">
        <f>IFERROR(VLOOKUP(A179,库龄!B:M,11,0),0)</f>
        <v>0</v>
      </c>
      <c r="M179">
        <f>IFERROR(VLOOKUP(A179,库龄!B:N,12,0),0)</f>
        <v>0</v>
      </c>
      <c r="N179">
        <f t="shared" si="6"/>
        <v>28</v>
      </c>
    </row>
    <row r="180" spans="1:14">
      <c r="A180" s="3" t="s">
        <v>465</v>
      </c>
      <c r="B180">
        <f>IFERROR(VLOOKUP(A180,管理亚马逊库存!A:K,11,0),"")</f>
        <v>10</v>
      </c>
      <c r="C180">
        <f>IFERROR(VLOOKUP(A180,管理亚马逊库存!A:L,12,0),"")</f>
        <v>0</v>
      </c>
      <c r="D180">
        <f>IFERROR(VLOOKUP(A180,管理亚马逊库存!A:Q,17,0),"")</f>
        <v>0</v>
      </c>
      <c r="E180">
        <f>IFERROR(VLOOKUP(A180,管理亚马逊库存!A:R,18,0),"")</f>
        <v>0</v>
      </c>
      <c r="F180">
        <f t="shared" si="5"/>
        <v>0</v>
      </c>
      <c r="G180" t="str">
        <f>IFERROR(VLOOKUP(A180,预留库存!A:G,7,0),0)</f>
        <v>No</v>
      </c>
      <c r="H180">
        <f>IFERROR(VLOOKUP(A180,预留库存!A:H,8,0),0)</f>
        <v>0</v>
      </c>
      <c r="I180">
        <f>IFERROR(VLOOKUP(A180,预留库存!A:F,6,0),0)</f>
        <v>24.98</v>
      </c>
      <c r="J180">
        <f>IFERROR(VLOOKUP(A180,库龄!B:K,9,0),0)</f>
        <v>11</v>
      </c>
      <c r="K180">
        <f>IFERROR(VLOOKUP(A180,库龄!B:L,10,0),0)</f>
        <v>0</v>
      </c>
      <c r="L180">
        <f>IFERROR(VLOOKUP(A180,库龄!B:M,11,0),0)</f>
        <v>0</v>
      </c>
      <c r="M180">
        <f>IFERROR(VLOOKUP(A180,库龄!B:N,12,0),0)</f>
        <v>0</v>
      </c>
      <c r="N180">
        <f t="shared" si="6"/>
        <v>11</v>
      </c>
    </row>
    <row r="181" spans="1:14">
      <c r="A181" s="3" t="s">
        <v>467</v>
      </c>
      <c r="B181">
        <f>IFERROR(VLOOKUP(A181,管理亚马逊库存!A:K,11,0),"")</f>
        <v>27</v>
      </c>
      <c r="C181">
        <f>IFERROR(VLOOKUP(A181,管理亚马逊库存!A:L,12,0),"")</f>
        <v>0</v>
      </c>
      <c r="D181">
        <f>IFERROR(VLOOKUP(A181,管理亚马逊库存!A:Q,17,0),"")</f>
        <v>0</v>
      </c>
      <c r="E181">
        <f>IFERROR(VLOOKUP(A181,管理亚马逊库存!A:R,18,0),"")</f>
        <v>0</v>
      </c>
      <c r="F181">
        <f t="shared" si="5"/>
        <v>0</v>
      </c>
      <c r="G181" t="str">
        <f>IFERROR(VLOOKUP(A181,预留库存!A:G,7,0),0)</f>
        <v>No</v>
      </c>
      <c r="H181">
        <f>IFERROR(VLOOKUP(A181,预留库存!A:H,8,0),0)</f>
        <v>0</v>
      </c>
      <c r="I181">
        <f>IFERROR(VLOOKUP(A181,预留库存!A:F,6,0),0)</f>
        <v>39.98</v>
      </c>
      <c r="J181">
        <f>IFERROR(VLOOKUP(A181,库龄!B:K,9,0),0)</f>
        <v>25</v>
      </c>
      <c r="K181">
        <f>IFERROR(VLOOKUP(A181,库龄!B:L,10,0),0)</f>
        <v>0</v>
      </c>
      <c r="L181">
        <f>IFERROR(VLOOKUP(A181,库龄!B:M,11,0),0)</f>
        <v>0</v>
      </c>
      <c r="M181">
        <f>IFERROR(VLOOKUP(A181,库龄!B:N,12,0),0)</f>
        <v>0</v>
      </c>
      <c r="N181">
        <f t="shared" si="6"/>
        <v>25</v>
      </c>
    </row>
    <row r="182" spans="1:14">
      <c r="A182" s="3" t="s">
        <v>469</v>
      </c>
      <c r="B182">
        <f>IFERROR(VLOOKUP(A182,管理亚马逊库存!A:K,11,0),"")</f>
        <v>20</v>
      </c>
      <c r="C182">
        <f>IFERROR(VLOOKUP(A182,管理亚马逊库存!A:L,12,0),"")</f>
        <v>0</v>
      </c>
      <c r="D182">
        <f>IFERROR(VLOOKUP(A182,管理亚马逊库存!A:Q,17,0),"")</f>
        <v>0</v>
      </c>
      <c r="E182">
        <f>IFERROR(VLOOKUP(A182,管理亚马逊库存!A:R,18,0),"")</f>
        <v>0</v>
      </c>
      <c r="F182">
        <f t="shared" si="5"/>
        <v>0</v>
      </c>
      <c r="G182" t="str">
        <f>IFERROR(VLOOKUP(A182,预留库存!A:G,7,0),0)</f>
        <v>No</v>
      </c>
      <c r="H182">
        <f>IFERROR(VLOOKUP(A182,预留库存!A:H,8,0),0)</f>
        <v>0</v>
      </c>
      <c r="I182">
        <f>IFERROR(VLOOKUP(A182,预留库存!A:F,6,0),0)</f>
        <v>24.98</v>
      </c>
      <c r="J182">
        <f>IFERROR(VLOOKUP(A182,库龄!B:K,9,0),0)</f>
        <v>20</v>
      </c>
      <c r="K182">
        <f>IFERROR(VLOOKUP(A182,库龄!B:L,10,0),0)</f>
        <v>0</v>
      </c>
      <c r="L182">
        <f>IFERROR(VLOOKUP(A182,库龄!B:M,11,0),0)</f>
        <v>0</v>
      </c>
      <c r="M182">
        <f>IFERROR(VLOOKUP(A182,库龄!B:N,12,0),0)</f>
        <v>0</v>
      </c>
      <c r="N182">
        <f t="shared" si="6"/>
        <v>20</v>
      </c>
    </row>
    <row r="183" spans="1:14">
      <c r="A183" s="3" t="s">
        <v>471</v>
      </c>
      <c r="B183">
        <f>IFERROR(VLOOKUP(A183,管理亚马逊库存!A:K,11,0),"")</f>
        <v>16</v>
      </c>
      <c r="C183">
        <f>IFERROR(VLOOKUP(A183,管理亚马逊库存!A:L,12,0),"")</f>
        <v>0</v>
      </c>
      <c r="D183">
        <f>IFERROR(VLOOKUP(A183,管理亚马逊库存!A:Q,17,0),"")</f>
        <v>0</v>
      </c>
      <c r="E183">
        <f>IFERROR(VLOOKUP(A183,管理亚马逊库存!A:R,18,0),"")</f>
        <v>0</v>
      </c>
      <c r="F183">
        <f t="shared" si="5"/>
        <v>0</v>
      </c>
      <c r="G183" t="str">
        <f>IFERROR(VLOOKUP(A183,预留库存!A:G,7,0),0)</f>
        <v>No</v>
      </c>
      <c r="H183">
        <f>IFERROR(VLOOKUP(A183,预留库存!A:H,8,0),0)</f>
        <v>0</v>
      </c>
      <c r="I183">
        <f>IFERROR(VLOOKUP(A183,预留库存!A:F,6,0),0)</f>
        <v>39.98</v>
      </c>
      <c r="J183">
        <f>IFERROR(VLOOKUP(A183,库龄!B:K,9,0),0)</f>
        <v>15</v>
      </c>
      <c r="K183">
        <f>IFERROR(VLOOKUP(A183,库龄!B:L,10,0),0)</f>
        <v>0</v>
      </c>
      <c r="L183">
        <f>IFERROR(VLOOKUP(A183,库龄!B:M,11,0),0)</f>
        <v>0</v>
      </c>
      <c r="M183">
        <f>IFERROR(VLOOKUP(A183,库龄!B:N,12,0),0)</f>
        <v>0</v>
      </c>
      <c r="N183">
        <f t="shared" si="6"/>
        <v>15</v>
      </c>
    </row>
    <row r="184" spans="1:14">
      <c r="A184" s="3" t="s">
        <v>473</v>
      </c>
      <c r="B184">
        <f>IFERROR(VLOOKUP(A184,管理亚马逊库存!A:K,11,0),"")</f>
        <v>23</v>
      </c>
      <c r="C184">
        <f>IFERROR(VLOOKUP(A184,管理亚马逊库存!A:L,12,0),"")</f>
        <v>0</v>
      </c>
      <c r="D184">
        <f>IFERROR(VLOOKUP(A184,管理亚马逊库存!A:Q,17,0),"")</f>
        <v>0</v>
      </c>
      <c r="E184">
        <f>IFERROR(VLOOKUP(A184,管理亚马逊库存!A:R,18,0),"")</f>
        <v>0</v>
      </c>
      <c r="F184">
        <f t="shared" si="5"/>
        <v>0</v>
      </c>
      <c r="G184" t="str">
        <f>IFERROR(VLOOKUP(A184,预留库存!A:G,7,0),0)</f>
        <v>No</v>
      </c>
      <c r="H184">
        <f>IFERROR(VLOOKUP(A184,预留库存!A:H,8,0),0)</f>
        <v>0</v>
      </c>
      <c r="I184">
        <f>IFERROR(VLOOKUP(A184,预留库存!A:F,6,0),0)</f>
        <v>24.98</v>
      </c>
      <c r="J184">
        <f>IFERROR(VLOOKUP(A184,库龄!B:K,9,0),0)</f>
        <v>23</v>
      </c>
      <c r="K184">
        <f>IFERROR(VLOOKUP(A184,库龄!B:L,10,0),0)</f>
        <v>0</v>
      </c>
      <c r="L184">
        <f>IFERROR(VLOOKUP(A184,库龄!B:M,11,0),0)</f>
        <v>0</v>
      </c>
      <c r="M184">
        <f>IFERROR(VLOOKUP(A184,库龄!B:N,12,0),0)</f>
        <v>0</v>
      </c>
      <c r="N184">
        <f t="shared" si="6"/>
        <v>23</v>
      </c>
    </row>
    <row r="185" spans="1:14">
      <c r="A185" s="3" t="s">
        <v>475</v>
      </c>
      <c r="B185">
        <f>IFERROR(VLOOKUP(A185,管理亚马逊库存!A:K,11,0),"")</f>
        <v>24</v>
      </c>
      <c r="C185">
        <f>IFERROR(VLOOKUP(A185,管理亚马逊库存!A:L,12,0),"")</f>
        <v>0</v>
      </c>
      <c r="D185">
        <f>IFERROR(VLOOKUP(A185,管理亚马逊库存!A:Q,17,0),"")</f>
        <v>0</v>
      </c>
      <c r="E185">
        <f>IFERROR(VLOOKUP(A185,管理亚马逊库存!A:R,18,0),"")</f>
        <v>10</v>
      </c>
      <c r="F185">
        <f t="shared" si="5"/>
        <v>10</v>
      </c>
      <c r="G185" t="str">
        <f>IFERROR(VLOOKUP(A185,预留库存!A:G,7,0),0)</f>
        <v>No</v>
      </c>
      <c r="H185">
        <f>IFERROR(VLOOKUP(A185,预留库存!A:H,8,0),0)</f>
        <v>0</v>
      </c>
      <c r="I185">
        <f>IFERROR(VLOOKUP(A185,预留库存!A:F,6,0),0)</f>
        <v>39.98</v>
      </c>
      <c r="J185">
        <f>IFERROR(VLOOKUP(A185,库龄!B:K,9,0),0)</f>
        <v>0</v>
      </c>
      <c r="K185">
        <f>IFERROR(VLOOKUP(A185,库龄!B:L,10,0),0)</f>
        <v>0</v>
      </c>
      <c r="L185">
        <f>IFERROR(VLOOKUP(A185,库龄!B:M,11,0),0)</f>
        <v>0</v>
      </c>
      <c r="M185">
        <f>IFERROR(VLOOKUP(A185,库龄!B:N,12,0),0)</f>
        <v>0</v>
      </c>
      <c r="N185">
        <f t="shared" si="6"/>
        <v>0</v>
      </c>
    </row>
    <row r="186" spans="1:14">
      <c r="A186" s="3" t="s">
        <v>476</v>
      </c>
      <c r="B186">
        <f>IFERROR(VLOOKUP(A186,管理亚马逊库存!A:K,11,0),"")</f>
        <v>17</v>
      </c>
      <c r="C186">
        <f>IFERROR(VLOOKUP(A186,管理亚马逊库存!A:L,12,0),"")</f>
        <v>0</v>
      </c>
      <c r="D186">
        <f>IFERROR(VLOOKUP(A186,管理亚马逊库存!A:Q,17,0),"")</f>
        <v>0</v>
      </c>
      <c r="E186">
        <f>IFERROR(VLOOKUP(A186,管理亚马逊库存!A:R,18,0),"")</f>
        <v>0</v>
      </c>
      <c r="F186">
        <f t="shared" si="5"/>
        <v>0</v>
      </c>
      <c r="G186" t="str">
        <f>IFERROR(VLOOKUP(A186,预留库存!A:G,7,0),0)</f>
        <v>No</v>
      </c>
      <c r="H186">
        <f>IFERROR(VLOOKUP(A186,预留库存!A:H,8,0),0)</f>
        <v>0</v>
      </c>
      <c r="I186">
        <f>IFERROR(VLOOKUP(A186,预留库存!A:F,6,0),0)</f>
        <v>24.98</v>
      </c>
      <c r="J186">
        <f>IFERROR(VLOOKUP(A186,库龄!B:K,9,0),0)</f>
        <v>0</v>
      </c>
      <c r="K186">
        <f>IFERROR(VLOOKUP(A186,库龄!B:L,10,0),0)</f>
        <v>0</v>
      </c>
      <c r="L186">
        <f>IFERROR(VLOOKUP(A186,库龄!B:M,11,0),0)</f>
        <v>0</v>
      </c>
      <c r="M186">
        <f>IFERROR(VLOOKUP(A186,库龄!B:N,12,0),0)</f>
        <v>0</v>
      </c>
      <c r="N186">
        <f t="shared" si="6"/>
        <v>0</v>
      </c>
    </row>
    <row r="187" spans="1:14">
      <c r="A187" s="3" t="s">
        <v>478</v>
      </c>
      <c r="B187">
        <f>IFERROR(VLOOKUP(A187,管理亚马逊库存!A:K,11,0),"")</f>
        <v>7</v>
      </c>
      <c r="C187">
        <f>IFERROR(VLOOKUP(A187,管理亚马逊库存!A:L,12,0),"")</f>
        <v>0</v>
      </c>
      <c r="D187">
        <f>IFERROR(VLOOKUP(A187,管理亚马逊库存!A:Q,17,0),"")</f>
        <v>0</v>
      </c>
      <c r="E187">
        <f>IFERROR(VLOOKUP(A187,管理亚马逊库存!A:R,18,0),"")</f>
        <v>0</v>
      </c>
      <c r="F187">
        <f t="shared" si="5"/>
        <v>0</v>
      </c>
      <c r="G187">
        <f>IFERROR(VLOOKUP(A187,预留库存!A:G,7,0),0)</f>
        <v>0</v>
      </c>
      <c r="H187">
        <f>IFERROR(VLOOKUP(A187,预留库存!A:H,8,0),0)</f>
        <v>0</v>
      </c>
      <c r="I187">
        <f>IFERROR(VLOOKUP(A187,预留库存!A:F,6,0),0)</f>
        <v>0</v>
      </c>
      <c r="J187">
        <f>IFERROR(VLOOKUP(A187,库龄!B:K,9,0),0)</f>
        <v>0</v>
      </c>
      <c r="K187">
        <f>IFERROR(VLOOKUP(A187,库龄!B:L,10,0),0)</f>
        <v>0</v>
      </c>
      <c r="L187">
        <f>IFERROR(VLOOKUP(A187,库龄!B:M,11,0),0)</f>
        <v>0</v>
      </c>
      <c r="M187">
        <f>IFERROR(VLOOKUP(A187,库龄!B:N,12,0),0)</f>
        <v>0</v>
      </c>
      <c r="N187">
        <f t="shared" si="6"/>
        <v>0</v>
      </c>
    </row>
    <row r="188" spans="1:14">
      <c r="A188" s="3" t="s">
        <v>479</v>
      </c>
      <c r="B188">
        <f>IFERROR(VLOOKUP(A188,管理亚马逊库存!A:K,11,0),"")</f>
        <v>0</v>
      </c>
      <c r="C188">
        <f>IFERROR(VLOOKUP(A188,管理亚马逊库存!A:L,12,0),"")</f>
        <v>0</v>
      </c>
      <c r="D188">
        <f>IFERROR(VLOOKUP(A188,管理亚马逊库存!A:Q,17,0),"")</f>
        <v>0</v>
      </c>
      <c r="E188">
        <f>IFERROR(VLOOKUP(A188,管理亚马逊库存!A:R,18,0),"")</f>
        <v>0</v>
      </c>
      <c r="F188">
        <f t="shared" si="5"/>
        <v>0</v>
      </c>
      <c r="G188" t="str">
        <f>IFERROR(VLOOKUP(A188,预留库存!A:G,7,0),0)</f>
        <v>No</v>
      </c>
      <c r="H188">
        <f>IFERROR(VLOOKUP(A188,预留库存!A:H,8,0),0)</f>
        <v>0</v>
      </c>
      <c r="I188">
        <f>IFERROR(VLOOKUP(A188,预留库存!A:F,6,0),0)</f>
        <v>39.98</v>
      </c>
      <c r="J188">
        <f>IFERROR(VLOOKUP(A188,库龄!B:K,9,0),0)</f>
        <v>0</v>
      </c>
      <c r="K188">
        <f>IFERROR(VLOOKUP(A188,库龄!B:L,10,0),0)</f>
        <v>0</v>
      </c>
      <c r="L188">
        <f>IFERROR(VLOOKUP(A188,库龄!B:M,11,0),0)</f>
        <v>0</v>
      </c>
      <c r="M188">
        <f>IFERROR(VLOOKUP(A188,库龄!B:N,12,0),0)</f>
        <v>0</v>
      </c>
      <c r="N188">
        <f t="shared" si="6"/>
        <v>0</v>
      </c>
    </row>
    <row r="189" spans="1:14">
      <c r="A189" s="3" t="s">
        <v>481</v>
      </c>
      <c r="B189">
        <f>IFERROR(VLOOKUP(A189,管理亚马逊库存!A:K,11,0),"")</f>
        <v>19</v>
      </c>
      <c r="C189">
        <f>IFERROR(VLOOKUP(A189,管理亚马逊库存!A:L,12,0),"")</f>
        <v>0</v>
      </c>
      <c r="D189">
        <f>IFERROR(VLOOKUP(A189,管理亚马逊库存!A:Q,17,0),"")</f>
        <v>0</v>
      </c>
      <c r="E189">
        <f>IFERROR(VLOOKUP(A189,管理亚马逊库存!A:R,18,0),"")</f>
        <v>0</v>
      </c>
      <c r="F189">
        <f t="shared" si="5"/>
        <v>0</v>
      </c>
      <c r="G189" t="str">
        <f>IFERROR(VLOOKUP(A189,预留库存!A:G,7,0),0)</f>
        <v>No</v>
      </c>
      <c r="H189">
        <f>IFERROR(VLOOKUP(A189,预留库存!A:H,8,0),0)</f>
        <v>0</v>
      </c>
      <c r="I189">
        <f>IFERROR(VLOOKUP(A189,预留库存!A:F,6,0),0)</f>
        <v>39.98</v>
      </c>
      <c r="J189">
        <f>IFERROR(VLOOKUP(A189,库龄!B:K,9,0),0)</f>
        <v>0</v>
      </c>
      <c r="K189">
        <f>IFERROR(VLOOKUP(A189,库龄!B:L,10,0),0)</f>
        <v>0</v>
      </c>
      <c r="L189">
        <f>IFERROR(VLOOKUP(A189,库龄!B:M,11,0),0)</f>
        <v>0</v>
      </c>
      <c r="M189">
        <f>IFERROR(VLOOKUP(A189,库龄!B:N,12,0),0)</f>
        <v>0</v>
      </c>
      <c r="N189">
        <f t="shared" si="6"/>
        <v>0</v>
      </c>
    </row>
    <row r="190" spans="1:14">
      <c r="A190" s="3" t="s">
        <v>483</v>
      </c>
      <c r="B190">
        <f>IFERROR(VLOOKUP(A190,管理亚马逊库存!A:K,11,0),"")</f>
        <v>3</v>
      </c>
      <c r="C190">
        <f>IFERROR(VLOOKUP(A190,管理亚马逊库存!A:L,12,0),"")</f>
        <v>0</v>
      </c>
      <c r="D190">
        <f>IFERROR(VLOOKUP(A190,管理亚马逊库存!A:Q,17,0),"")</f>
        <v>0</v>
      </c>
      <c r="E190">
        <f>IFERROR(VLOOKUP(A190,管理亚马逊库存!A:R,18,0),"")</f>
        <v>0</v>
      </c>
      <c r="F190">
        <f t="shared" si="5"/>
        <v>0</v>
      </c>
      <c r="G190" t="str">
        <f>IFERROR(VLOOKUP(A190,预留库存!A:G,7,0),0)</f>
        <v>No</v>
      </c>
      <c r="H190">
        <f>IFERROR(VLOOKUP(A190,预留库存!A:H,8,0),0)</f>
        <v>0</v>
      </c>
      <c r="I190">
        <f>IFERROR(VLOOKUP(A190,预留库存!A:F,6,0),0)</f>
        <v>39.98</v>
      </c>
      <c r="J190">
        <f>IFERROR(VLOOKUP(A190,库龄!B:K,9,0),0)</f>
        <v>1</v>
      </c>
      <c r="K190">
        <f>IFERROR(VLOOKUP(A190,库龄!B:L,10,0),0)</f>
        <v>0</v>
      </c>
      <c r="L190">
        <f>IFERROR(VLOOKUP(A190,库龄!B:M,11,0),0)</f>
        <v>0</v>
      </c>
      <c r="M190">
        <f>IFERROR(VLOOKUP(A190,库龄!B:N,12,0),0)</f>
        <v>0</v>
      </c>
      <c r="N190">
        <f t="shared" si="6"/>
        <v>1</v>
      </c>
    </row>
    <row r="191" spans="1:14">
      <c r="A191" s="3" t="s">
        <v>485</v>
      </c>
      <c r="B191">
        <f>IFERROR(VLOOKUP(A191,管理亚马逊库存!A:K,11,0),"")</f>
        <v>16</v>
      </c>
      <c r="C191">
        <f>IFERROR(VLOOKUP(A191,管理亚马逊库存!A:L,12,0),"")</f>
        <v>0</v>
      </c>
      <c r="D191">
        <f>IFERROR(VLOOKUP(A191,管理亚马逊库存!A:Q,17,0),"")</f>
        <v>0</v>
      </c>
      <c r="E191">
        <f>IFERROR(VLOOKUP(A191,管理亚马逊库存!A:R,18,0),"")</f>
        <v>0</v>
      </c>
      <c r="F191">
        <f t="shared" si="5"/>
        <v>0</v>
      </c>
      <c r="G191" t="str">
        <f>IFERROR(VLOOKUP(A191,预留库存!A:G,7,0),0)</f>
        <v>No</v>
      </c>
      <c r="H191">
        <f>IFERROR(VLOOKUP(A191,预留库存!A:H,8,0),0)</f>
        <v>0</v>
      </c>
      <c r="I191">
        <f>IFERROR(VLOOKUP(A191,预留库存!A:F,6,0),0)</f>
        <v>24.98</v>
      </c>
      <c r="J191">
        <f>IFERROR(VLOOKUP(A191,库龄!B:K,9,0),0)</f>
        <v>16</v>
      </c>
      <c r="K191">
        <f>IFERROR(VLOOKUP(A191,库龄!B:L,10,0),0)</f>
        <v>0</v>
      </c>
      <c r="L191">
        <f>IFERROR(VLOOKUP(A191,库龄!B:M,11,0),0)</f>
        <v>0</v>
      </c>
      <c r="M191">
        <f>IFERROR(VLOOKUP(A191,库龄!B:N,12,0),0)</f>
        <v>0</v>
      </c>
      <c r="N191">
        <f t="shared" si="6"/>
        <v>16</v>
      </c>
    </row>
    <row r="192" spans="1:14">
      <c r="A192" s="3" t="s">
        <v>487</v>
      </c>
      <c r="B192">
        <f>IFERROR(VLOOKUP(A192,管理亚马逊库存!A:K,11,0),"")</f>
        <v>34</v>
      </c>
      <c r="C192">
        <f>IFERROR(VLOOKUP(A192,管理亚马逊库存!A:L,12,0),"")</f>
        <v>0</v>
      </c>
      <c r="D192">
        <f>IFERROR(VLOOKUP(A192,管理亚马逊库存!A:Q,17,0),"")</f>
        <v>0</v>
      </c>
      <c r="E192">
        <f>IFERROR(VLOOKUP(A192,管理亚马逊库存!A:R,18,0),"")</f>
        <v>0</v>
      </c>
      <c r="F192">
        <f t="shared" si="5"/>
        <v>0</v>
      </c>
      <c r="G192" t="str">
        <f>IFERROR(VLOOKUP(A192,预留库存!A:G,7,0),0)</f>
        <v>No</v>
      </c>
      <c r="H192">
        <f>IFERROR(VLOOKUP(A192,预留库存!A:H,8,0),0)</f>
        <v>0</v>
      </c>
      <c r="I192">
        <f>IFERROR(VLOOKUP(A192,预留库存!A:F,6,0),0)</f>
        <v>39.98</v>
      </c>
      <c r="J192">
        <f>IFERROR(VLOOKUP(A192,库龄!B:K,9,0),0)</f>
        <v>31</v>
      </c>
      <c r="K192">
        <f>IFERROR(VLOOKUP(A192,库龄!B:L,10,0),0)</f>
        <v>0</v>
      </c>
      <c r="L192">
        <f>IFERROR(VLOOKUP(A192,库龄!B:M,11,0),0)</f>
        <v>0</v>
      </c>
      <c r="M192">
        <f>IFERROR(VLOOKUP(A192,库龄!B:N,12,0),0)</f>
        <v>0</v>
      </c>
      <c r="N192">
        <f t="shared" si="6"/>
        <v>31</v>
      </c>
    </row>
    <row r="193" spans="1:14">
      <c r="A193" s="3" t="s">
        <v>489</v>
      </c>
      <c r="B193">
        <f>IFERROR(VLOOKUP(A193,管理亚马逊库存!A:K,11,0),"")</f>
        <v>23</v>
      </c>
      <c r="C193">
        <f>IFERROR(VLOOKUP(A193,管理亚马逊库存!A:L,12,0),"")</f>
        <v>0</v>
      </c>
      <c r="D193">
        <f>IFERROR(VLOOKUP(A193,管理亚马逊库存!A:Q,17,0),"")</f>
        <v>0</v>
      </c>
      <c r="E193">
        <f>IFERROR(VLOOKUP(A193,管理亚马逊库存!A:R,18,0),"")</f>
        <v>0</v>
      </c>
      <c r="F193">
        <f t="shared" si="5"/>
        <v>0</v>
      </c>
      <c r="G193" t="str">
        <f>IFERROR(VLOOKUP(A193,预留库存!A:G,7,0),0)</f>
        <v>No</v>
      </c>
      <c r="H193">
        <f>IFERROR(VLOOKUP(A193,预留库存!A:H,8,0),0)</f>
        <v>0</v>
      </c>
      <c r="I193">
        <f>IFERROR(VLOOKUP(A193,预留库存!A:F,6,0),0)</f>
        <v>24.98</v>
      </c>
      <c r="J193">
        <f>IFERROR(VLOOKUP(A193,库龄!B:K,9,0),0)</f>
        <v>23</v>
      </c>
      <c r="K193">
        <f>IFERROR(VLOOKUP(A193,库龄!B:L,10,0),0)</f>
        <v>0</v>
      </c>
      <c r="L193">
        <f>IFERROR(VLOOKUP(A193,库龄!B:M,11,0),0)</f>
        <v>0</v>
      </c>
      <c r="M193">
        <f>IFERROR(VLOOKUP(A193,库龄!B:N,12,0),0)</f>
        <v>0</v>
      </c>
      <c r="N193">
        <f t="shared" si="6"/>
        <v>23</v>
      </c>
    </row>
    <row r="194" spans="1:14">
      <c r="A194" s="3" t="s">
        <v>491</v>
      </c>
      <c r="B194">
        <f>IFERROR(VLOOKUP(A194,管理亚马逊库存!A:K,11,0),"")</f>
        <v>6</v>
      </c>
      <c r="C194">
        <f>IFERROR(VLOOKUP(A194,管理亚马逊库存!A:L,12,0),"")</f>
        <v>0</v>
      </c>
      <c r="D194">
        <f>IFERROR(VLOOKUP(A194,管理亚马逊库存!A:Q,17,0),"")</f>
        <v>0</v>
      </c>
      <c r="E194">
        <f>IFERROR(VLOOKUP(A194,管理亚马逊库存!A:R,18,0),"")</f>
        <v>0</v>
      </c>
      <c r="F194">
        <f t="shared" si="5"/>
        <v>0</v>
      </c>
      <c r="G194" t="str">
        <f>IFERROR(VLOOKUP(A194,预留库存!A:G,7,0),0)</f>
        <v>No</v>
      </c>
      <c r="H194">
        <f>IFERROR(VLOOKUP(A194,预留库存!A:H,8,0),0)</f>
        <v>0</v>
      </c>
      <c r="I194">
        <f>IFERROR(VLOOKUP(A194,预留库存!A:F,6,0),0)</f>
        <v>49.98</v>
      </c>
      <c r="J194">
        <f>IFERROR(VLOOKUP(A194,库龄!B:K,9,0),0)</f>
        <v>8</v>
      </c>
      <c r="K194">
        <f>IFERROR(VLOOKUP(A194,库龄!B:L,10,0),0)</f>
        <v>0</v>
      </c>
      <c r="L194">
        <f>IFERROR(VLOOKUP(A194,库龄!B:M,11,0),0)</f>
        <v>0</v>
      </c>
      <c r="M194">
        <f>IFERROR(VLOOKUP(A194,库龄!B:N,12,0),0)</f>
        <v>0</v>
      </c>
      <c r="N194">
        <f t="shared" si="6"/>
        <v>8</v>
      </c>
    </row>
    <row r="195" spans="1:14">
      <c r="A195" s="3" t="s">
        <v>493</v>
      </c>
      <c r="B195">
        <f>IFERROR(VLOOKUP(A195,管理亚马逊库存!A:K,11,0),"")</f>
        <v>2</v>
      </c>
      <c r="C195">
        <f>IFERROR(VLOOKUP(A195,管理亚马逊库存!A:L,12,0),"")</f>
        <v>0</v>
      </c>
      <c r="D195">
        <f>IFERROR(VLOOKUP(A195,管理亚马逊库存!A:Q,17,0),"")</f>
        <v>0</v>
      </c>
      <c r="E195">
        <f>IFERROR(VLOOKUP(A195,管理亚马逊库存!A:R,18,0),"")</f>
        <v>0</v>
      </c>
      <c r="F195">
        <f t="shared" ref="F195:F258" si="7">SUM(D195:E195)</f>
        <v>0</v>
      </c>
      <c r="G195" t="str">
        <f>IFERROR(VLOOKUP(A195,预留库存!A:G,7,0),0)</f>
        <v>No</v>
      </c>
      <c r="H195">
        <f>IFERROR(VLOOKUP(A195,预留库存!A:H,8,0),0)</f>
        <v>0</v>
      </c>
      <c r="I195">
        <f>IFERROR(VLOOKUP(A195,预留库存!A:F,6,0),0)</f>
        <v>49.98</v>
      </c>
      <c r="J195">
        <f>IFERROR(VLOOKUP(A195,库龄!B:K,9,0),0)</f>
        <v>2</v>
      </c>
      <c r="K195">
        <f>IFERROR(VLOOKUP(A195,库龄!B:L,10,0),0)</f>
        <v>0</v>
      </c>
      <c r="L195">
        <f>IFERROR(VLOOKUP(A195,库龄!B:M,11,0),0)</f>
        <v>0</v>
      </c>
      <c r="M195">
        <f>IFERROR(VLOOKUP(A195,库龄!B:N,12,0),0)</f>
        <v>0</v>
      </c>
      <c r="N195">
        <f t="shared" ref="N195:N258" si="8">SUM(J195:M195)</f>
        <v>2</v>
      </c>
    </row>
    <row r="196" spans="1:14">
      <c r="A196" s="3" t="s">
        <v>495</v>
      </c>
      <c r="B196">
        <f>IFERROR(VLOOKUP(A196,管理亚马逊库存!A:K,11,0),"")</f>
        <v>3</v>
      </c>
      <c r="C196">
        <f>IFERROR(VLOOKUP(A196,管理亚马逊库存!A:L,12,0),"")</f>
        <v>0</v>
      </c>
      <c r="D196">
        <f>IFERROR(VLOOKUP(A196,管理亚马逊库存!A:Q,17,0),"")</f>
        <v>0</v>
      </c>
      <c r="E196">
        <f>IFERROR(VLOOKUP(A196,管理亚马逊库存!A:R,18,0),"")</f>
        <v>0</v>
      </c>
      <c r="F196">
        <f t="shared" si="7"/>
        <v>0</v>
      </c>
      <c r="G196" t="str">
        <f>IFERROR(VLOOKUP(A196,预留库存!A:G,7,0),0)</f>
        <v>No</v>
      </c>
      <c r="H196">
        <f>IFERROR(VLOOKUP(A196,预留库存!A:H,8,0),0)</f>
        <v>0</v>
      </c>
      <c r="I196">
        <f>IFERROR(VLOOKUP(A196,预留库存!A:F,6,0),0)</f>
        <v>49.98</v>
      </c>
      <c r="J196">
        <f>IFERROR(VLOOKUP(A196,库龄!B:K,9,0),0)</f>
        <v>3</v>
      </c>
      <c r="K196">
        <f>IFERROR(VLOOKUP(A196,库龄!B:L,10,0),0)</f>
        <v>0</v>
      </c>
      <c r="L196">
        <f>IFERROR(VLOOKUP(A196,库龄!B:M,11,0),0)</f>
        <v>0</v>
      </c>
      <c r="M196">
        <f>IFERROR(VLOOKUP(A196,库龄!B:N,12,0),0)</f>
        <v>0</v>
      </c>
      <c r="N196">
        <f t="shared" si="8"/>
        <v>3</v>
      </c>
    </row>
    <row r="197" spans="1:14">
      <c r="A197" s="3" t="s">
        <v>496</v>
      </c>
      <c r="B197">
        <f>IFERROR(VLOOKUP(A197,管理亚马逊库存!A:K,11,0),"")</f>
        <v>0</v>
      </c>
      <c r="C197">
        <f>IFERROR(VLOOKUP(A197,管理亚马逊库存!A:L,12,0),"")</f>
        <v>0</v>
      </c>
      <c r="D197">
        <f>IFERROR(VLOOKUP(A197,管理亚马逊库存!A:Q,17,0),"")</f>
        <v>0</v>
      </c>
      <c r="E197">
        <f>IFERROR(VLOOKUP(A197,管理亚马逊库存!A:R,18,0),"")</f>
        <v>0</v>
      </c>
      <c r="F197">
        <f t="shared" si="7"/>
        <v>0</v>
      </c>
      <c r="G197" t="str">
        <f>IFERROR(VLOOKUP(A197,预留库存!A:G,7,0),0)</f>
        <v>No</v>
      </c>
      <c r="H197">
        <f>IFERROR(VLOOKUP(A197,预留库存!A:H,8,0),0)</f>
        <v>0</v>
      </c>
      <c r="I197">
        <f>IFERROR(VLOOKUP(A197,预留库存!A:F,6,0),0)</f>
        <v>49.98</v>
      </c>
      <c r="J197">
        <f>IFERROR(VLOOKUP(A197,库龄!B:K,9,0),0)</f>
        <v>0</v>
      </c>
      <c r="K197">
        <f>IFERROR(VLOOKUP(A197,库龄!B:L,10,0),0)</f>
        <v>0</v>
      </c>
      <c r="L197">
        <f>IFERROR(VLOOKUP(A197,库龄!B:M,11,0),0)</f>
        <v>0</v>
      </c>
      <c r="M197">
        <f>IFERROR(VLOOKUP(A197,库龄!B:N,12,0),0)</f>
        <v>0</v>
      </c>
      <c r="N197">
        <f t="shared" si="8"/>
        <v>0</v>
      </c>
    </row>
    <row r="198" spans="1:14">
      <c r="A198" s="3" t="s">
        <v>497</v>
      </c>
      <c r="B198">
        <f>IFERROR(VLOOKUP(A198,管理亚马逊库存!A:K,11,0),"")</f>
        <v>8</v>
      </c>
      <c r="C198">
        <f>IFERROR(VLOOKUP(A198,管理亚马逊库存!A:L,12,0),"")</f>
        <v>0</v>
      </c>
      <c r="D198">
        <f>IFERROR(VLOOKUP(A198,管理亚马逊库存!A:Q,17,0),"")</f>
        <v>0</v>
      </c>
      <c r="E198">
        <f>IFERROR(VLOOKUP(A198,管理亚马逊库存!A:R,18,0),"")</f>
        <v>0</v>
      </c>
      <c r="F198">
        <f t="shared" si="7"/>
        <v>0</v>
      </c>
      <c r="G198" t="str">
        <f>IFERROR(VLOOKUP(A198,预留库存!A:G,7,0),0)</f>
        <v>No</v>
      </c>
      <c r="H198">
        <f>IFERROR(VLOOKUP(A198,预留库存!A:H,8,0),0)</f>
        <v>0</v>
      </c>
      <c r="I198">
        <f>IFERROR(VLOOKUP(A198,预留库存!A:F,6,0),0)</f>
        <v>26.98</v>
      </c>
      <c r="J198">
        <f>IFERROR(VLOOKUP(A198,库龄!B:K,9,0),0)</f>
        <v>6</v>
      </c>
      <c r="K198">
        <f>IFERROR(VLOOKUP(A198,库龄!B:L,10,0),0)</f>
        <v>0</v>
      </c>
      <c r="L198">
        <f>IFERROR(VLOOKUP(A198,库龄!B:M,11,0),0)</f>
        <v>0</v>
      </c>
      <c r="M198">
        <f>IFERROR(VLOOKUP(A198,库龄!B:N,12,0),0)</f>
        <v>0</v>
      </c>
      <c r="N198">
        <f t="shared" si="8"/>
        <v>6</v>
      </c>
    </row>
    <row r="199" spans="1:14">
      <c r="A199" s="3" t="s">
        <v>498</v>
      </c>
      <c r="B199">
        <f>IFERROR(VLOOKUP(A199,管理亚马逊库存!A:K,11,0),"")</f>
        <v>3</v>
      </c>
      <c r="C199">
        <f>IFERROR(VLOOKUP(A199,管理亚马逊库存!A:L,12,0),"")</f>
        <v>0</v>
      </c>
      <c r="D199">
        <f>IFERROR(VLOOKUP(A199,管理亚马逊库存!A:Q,17,0),"")</f>
        <v>0</v>
      </c>
      <c r="E199">
        <f>IFERROR(VLOOKUP(A199,管理亚马逊库存!A:R,18,0),"")</f>
        <v>0</v>
      </c>
      <c r="F199">
        <f t="shared" si="7"/>
        <v>0</v>
      </c>
      <c r="G199" t="str">
        <f>IFERROR(VLOOKUP(A199,预留库存!A:G,7,0),0)</f>
        <v>No</v>
      </c>
      <c r="H199">
        <f>IFERROR(VLOOKUP(A199,预留库存!A:H,8,0),0)</f>
        <v>0</v>
      </c>
      <c r="I199">
        <f>IFERROR(VLOOKUP(A199,预留库存!A:F,6,0),0)</f>
        <v>26.98</v>
      </c>
      <c r="J199">
        <f>IFERROR(VLOOKUP(A199,库龄!B:K,9,0),0)</f>
        <v>3</v>
      </c>
      <c r="K199">
        <f>IFERROR(VLOOKUP(A199,库龄!B:L,10,0),0)</f>
        <v>0</v>
      </c>
      <c r="L199">
        <f>IFERROR(VLOOKUP(A199,库龄!B:M,11,0),0)</f>
        <v>0</v>
      </c>
      <c r="M199">
        <f>IFERROR(VLOOKUP(A199,库龄!B:N,12,0),0)</f>
        <v>0</v>
      </c>
      <c r="N199">
        <f t="shared" si="8"/>
        <v>3</v>
      </c>
    </row>
    <row r="200" spans="1:14">
      <c r="A200" s="3" t="s">
        <v>500</v>
      </c>
      <c r="B200">
        <f>IFERROR(VLOOKUP(A200,管理亚马逊库存!A:K,11,0),"")</f>
        <v>18</v>
      </c>
      <c r="C200">
        <f>IFERROR(VLOOKUP(A200,管理亚马逊库存!A:L,12,0),"")</f>
        <v>0</v>
      </c>
      <c r="D200">
        <f>IFERROR(VLOOKUP(A200,管理亚马逊库存!A:Q,17,0),"")</f>
        <v>0</v>
      </c>
      <c r="E200">
        <f>IFERROR(VLOOKUP(A200,管理亚马逊库存!A:R,18,0),"")</f>
        <v>0</v>
      </c>
      <c r="F200">
        <f t="shared" si="7"/>
        <v>0</v>
      </c>
      <c r="G200">
        <f>IFERROR(VLOOKUP(A200,预留库存!A:G,7,0),0)</f>
        <v>0</v>
      </c>
      <c r="H200">
        <f>IFERROR(VLOOKUP(A200,预留库存!A:H,8,0),0)</f>
        <v>0</v>
      </c>
      <c r="I200">
        <f>IFERROR(VLOOKUP(A200,预留库存!A:F,6,0),0)</f>
        <v>0</v>
      </c>
      <c r="J200">
        <f>IFERROR(VLOOKUP(A200,库龄!B:K,9,0),0)</f>
        <v>0</v>
      </c>
      <c r="K200">
        <f>IFERROR(VLOOKUP(A200,库龄!B:L,10,0),0)</f>
        <v>0</v>
      </c>
      <c r="L200">
        <f>IFERROR(VLOOKUP(A200,库龄!B:M,11,0),0)</f>
        <v>0</v>
      </c>
      <c r="M200">
        <f>IFERROR(VLOOKUP(A200,库龄!B:N,12,0),0)</f>
        <v>0</v>
      </c>
      <c r="N200">
        <f t="shared" si="8"/>
        <v>0</v>
      </c>
    </row>
    <row r="201" spans="1:14">
      <c r="A201" s="3" t="s">
        <v>501</v>
      </c>
      <c r="B201">
        <f>IFERROR(VLOOKUP(A201,管理亚马逊库存!A:K,11,0),"")</f>
        <v>0</v>
      </c>
      <c r="C201">
        <f>IFERROR(VLOOKUP(A201,管理亚马逊库存!A:L,12,0),"")</f>
        <v>0</v>
      </c>
      <c r="D201">
        <f>IFERROR(VLOOKUP(A201,管理亚马逊库存!A:Q,17,0),"")</f>
        <v>0</v>
      </c>
      <c r="E201">
        <f>IFERROR(VLOOKUP(A201,管理亚马逊库存!A:R,18,0),"")</f>
        <v>0</v>
      </c>
      <c r="F201">
        <f t="shared" si="7"/>
        <v>0</v>
      </c>
      <c r="G201" t="str">
        <f>IFERROR(VLOOKUP(A201,预留库存!A:G,7,0),0)</f>
        <v>No</v>
      </c>
      <c r="H201">
        <f>IFERROR(VLOOKUP(A201,预留库存!A:H,8,0),0)</f>
        <v>0</v>
      </c>
      <c r="I201">
        <f>IFERROR(VLOOKUP(A201,预留库存!A:F,6,0),0)</f>
        <v>26.98</v>
      </c>
      <c r="J201">
        <f>IFERROR(VLOOKUP(A201,库龄!B:K,9,0),0)</f>
        <v>0</v>
      </c>
      <c r="K201">
        <f>IFERROR(VLOOKUP(A201,库龄!B:L,10,0),0)</f>
        <v>0</v>
      </c>
      <c r="L201">
        <f>IFERROR(VLOOKUP(A201,库龄!B:M,11,0),0)</f>
        <v>0</v>
      </c>
      <c r="M201">
        <f>IFERROR(VLOOKUP(A201,库龄!B:N,12,0),0)</f>
        <v>0</v>
      </c>
      <c r="N201">
        <f t="shared" si="8"/>
        <v>0</v>
      </c>
    </row>
    <row r="202" spans="1:14">
      <c r="A202" s="3" t="s">
        <v>502</v>
      </c>
      <c r="B202">
        <f>IFERROR(VLOOKUP(A202,管理亚马逊库存!A:K,11,0),"")</f>
        <v>11</v>
      </c>
      <c r="C202">
        <f>IFERROR(VLOOKUP(A202,管理亚马逊库存!A:L,12,0),"")</f>
        <v>0</v>
      </c>
      <c r="D202">
        <f>IFERROR(VLOOKUP(A202,管理亚马逊库存!A:Q,17,0),"")</f>
        <v>0</v>
      </c>
      <c r="E202">
        <f>IFERROR(VLOOKUP(A202,管理亚马逊库存!A:R,18,0),"")</f>
        <v>0</v>
      </c>
      <c r="F202">
        <f t="shared" si="7"/>
        <v>0</v>
      </c>
      <c r="G202" t="str">
        <f>IFERROR(VLOOKUP(A202,预留库存!A:G,7,0),0)</f>
        <v>No</v>
      </c>
      <c r="H202">
        <f>IFERROR(VLOOKUP(A202,预留库存!A:H,8,0),0)</f>
        <v>0</v>
      </c>
      <c r="I202">
        <f>IFERROR(VLOOKUP(A202,预留库存!A:F,6,0),0)</f>
        <v>26.98</v>
      </c>
      <c r="J202">
        <f>IFERROR(VLOOKUP(A202,库龄!B:K,9,0),0)</f>
        <v>8</v>
      </c>
      <c r="K202">
        <f>IFERROR(VLOOKUP(A202,库龄!B:L,10,0),0)</f>
        <v>0</v>
      </c>
      <c r="L202">
        <f>IFERROR(VLOOKUP(A202,库龄!B:M,11,0),0)</f>
        <v>0</v>
      </c>
      <c r="M202">
        <f>IFERROR(VLOOKUP(A202,库龄!B:N,12,0),0)</f>
        <v>0</v>
      </c>
      <c r="N202">
        <f t="shared" si="8"/>
        <v>8</v>
      </c>
    </row>
    <row r="203" spans="1:14">
      <c r="A203" s="3" t="s">
        <v>503</v>
      </c>
      <c r="B203">
        <f>IFERROR(VLOOKUP(A203,管理亚马逊库存!A:K,11,0),"")</f>
        <v>2</v>
      </c>
      <c r="C203">
        <f>IFERROR(VLOOKUP(A203,管理亚马逊库存!A:L,12,0),"")</f>
        <v>0</v>
      </c>
      <c r="D203">
        <f>IFERROR(VLOOKUP(A203,管理亚马逊库存!A:Q,17,0),"")</f>
        <v>0</v>
      </c>
      <c r="E203">
        <f>IFERROR(VLOOKUP(A203,管理亚马逊库存!A:R,18,0),"")</f>
        <v>0</v>
      </c>
      <c r="F203">
        <f t="shared" si="7"/>
        <v>0</v>
      </c>
      <c r="G203" t="str">
        <f>IFERROR(VLOOKUP(A203,预留库存!A:G,7,0),0)</f>
        <v>No</v>
      </c>
      <c r="H203">
        <f>IFERROR(VLOOKUP(A203,预留库存!A:H,8,0),0)</f>
        <v>0</v>
      </c>
      <c r="I203">
        <f>IFERROR(VLOOKUP(A203,预留库存!A:F,6,0),0)</f>
        <v>26.98</v>
      </c>
      <c r="J203">
        <f>IFERROR(VLOOKUP(A203,库龄!B:K,9,0),0)</f>
        <v>2</v>
      </c>
      <c r="K203">
        <f>IFERROR(VLOOKUP(A203,库龄!B:L,10,0),0)</f>
        <v>0</v>
      </c>
      <c r="L203">
        <f>IFERROR(VLOOKUP(A203,库龄!B:M,11,0),0)</f>
        <v>0</v>
      </c>
      <c r="M203">
        <f>IFERROR(VLOOKUP(A203,库龄!B:N,12,0),0)</f>
        <v>0</v>
      </c>
      <c r="N203">
        <f t="shared" si="8"/>
        <v>2</v>
      </c>
    </row>
    <row r="204" spans="1:14">
      <c r="A204" s="3" t="s">
        <v>504</v>
      </c>
      <c r="B204">
        <f>IFERROR(VLOOKUP(A204,管理亚马逊库存!A:K,11,0),"")</f>
        <v>10</v>
      </c>
      <c r="C204">
        <f>IFERROR(VLOOKUP(A204,管理亚马逊库存!A:L,12,0),"")</f>
        <v>0</v>
      </c>
      <c r="D204">
        <f>IFERROR(VLOOKUP(A204,管理亚马逊库存!A:Q,17,0),"")</f>
        <v>0</v>
      </c>
      <c r="E204">
        <f>IFERROR(VLOOKUP(A204,管理亚马逊库存!A:R,18,0),"")</f>
        <v>0</v>
      </c>
      <c r="F204">
        <f t="shared" si="7"/>
        <v>0</v>
      </c>
      <c r="G204" t="str">
        <f>IFERROR(VLOOKUP(A204,预留库存!A:G,7,0),0)</f>
        <v>No</v>
      </c>
      <c r="H204">
        <f>IFERROR(VLOOKUP(A204,预留库存!A:H,8,0),0)</f>
        <v>0</v>
      </c>
      <c r="I204">
        <f>IFERROR(VLOOKUP(A204,预留库存!A:F,6,0),0)</f>
        <v>26.98</v>
      </c>
      <c r="J204">
        <f>IFERROR(VLOOKUP(A204,库龄!B:K,9,0),0)</f>
        <v>8</v>
      </c>
      <c r="K204">
        <f>IFERROR(VLOOKUP(A204,库龄!B:L,10,0),0)</f>
        <v>0</v>
      </c>
      <c r="L204">
        <f>IFERROR(VLOOKUP(A204,库龄!B:M,11,0),0)</f>
        <v>0</v>
      </c>
      <c r="M204">
        <f>IFERROR(VLOOKUP(A204,库龄!B:N,12,0),0)</f>
        <v>0</v>
      </c>
      <c r="N204">
        <f t="shared" si="8"/>
        <v>8</v>
      </c>
    </row>
    <row r="205" spans="1:14">
      <c r="A205" s="3" t="s">
        <v>505</v>
      </c>
      <c r="B205">
        <f>IFERROR(VLOOKUP(A205,管理亚马逊库存!A:K,11,0),"")</f>
        <v>6</v>
      </c>
      <c r="C205">
        <f>IFERROR(VLOOKUP(A205,管理亚马逊库存!A:L,12,0),"")</f>
        <v>0</v>
      </c>
      <c r="D205">
        <f>IFERROR(VLOOKUP(A205,管理亚马逊库存!A:Q,17,0),"")</f>
        <v>0</v>
      </c>
      <c r="E205">
        <f>IFERROR(VLOOKUP(A205,管理亚马逊库存!A:R,18,0),"")</f>
        <v>0</v>
      </c>
      <c r="F205">
        <f t="shared" si="7"/>
        <v>0</v>
      </c>
      <c r="G205" t="str">
        <f>IFERROR(VLOOKUP(A205,预留库存!A:G,7,0),0)</f>
        <v>No</v>
      </c>
      <c r="H205">
        <f>IFERROR(VLOOKUP(A205,预留库存!A:H,8,0),0)</f>
        <v>0</v>
      </c>
      <c r="I205">
        <f>IFERROR(VLOOKUP(A205,预留库存!A:F,6,0),0)</f>
        <v>26.98</v>
      </c>
      <c r="J205">
        <f>IFERROR(VLOOKUP(A205,库龄!B:K,9,0),0)</f>
        <v>5</v>
      </c>
      <c r="K205">
        <f>IFERROR(VLOOKUP(A205,库龄!B:L,10,0),0)</f>
        <v>0</v>
      </c>
      <c r="L205">
        <f>IFERROR(VLOOKUP(A205,库龄!B:M,11,0),0)</f>
        <v>0</v>
      </c>
      <c r="M205">
        <f>IFERROR(VLOOKUP(A205,库龄!B:N,12,0),0)</f>
        <v>0</v>
      </c>
      <c r="N205">
        <f t="shared" si="8"/>
        <v>5</v>
      </c>
    </row>
    <row r="206" spans="1:14">
      <c r="A206" s="3" t="s">
        <v>506</v>
      </c>
      <c r="B206">
        <f>IFERROR(VLOOKUP(A206,管理亚马逊库存!A:K,11,0),"")</f>
        <v>8</v>
      </c>
      <c r="C206">
        <f>IFERROR(VLOOKUP(A206,管理亚马逊库存!A:L,12,0),"")</f>
        <v>0</v>
      </c>
      <c r="D206">
        <f>IFERROR(VLOOKUP(A206,管理亚马逊库存!A:Q,17,0),"")</f>
        <v>0</v>
      </c>
      <c r="E206">
        <f>IFERROR(VLOOKUP(A206,管理亚马逊库存!A:R,18,0),"")</f>
        <v>0</v>
      </c>
      <c r="F206">
        <f t="shared" si="7"/>
        <v>0</v>
      </c>
      <c r="G206" t="str">
        <f>IFERROR(VLOOKUP(A206,预留库存!A:G,7,0),0)</f>
        <v>No</v>
      </c>
      <c r="H206">
        <f>IFERROR(VLOOKUP(A206,预留库存!A:H,8,0),0)</f>
        <v>0</v>
      </c>
      <c r="I206">
        <f>IFERROR(VLOOKUP(A206,预留库存!A:F,6,0),0)</f>
        <v>26.98</v>
      </c>
      <c r="J206">
        <f>IFERROR(VLOOKUP(A206,库龄!B:K,9,0),0)</f>
        <v>10</v>
      </c>
      <c r="K206">
        <f>IFERROR(VLOOKUP(A206,库龄!B:L,10,0),0)</f>
        <v>0</v>
      </c>
      <c r="L206">
        <f>IFERROR(VLOOKUP(A206,库龄!B:M,11,0),0)</f>
        <v>0</v>
      </c>
      <c r="M206">
        <f>IFERROR(VLOOKUP(A206,库龄!B:N,12,0),0)</f>
        <v>0</v>
      </c>
      <c r="N206">
        <f t="shared" si="8"/>
        <v>10</v>
      </c>
    </row>
    <row r="207" spans="1:14">
      <c r="A207" s="3" t="s">
        <v>507</v>
      </c>
      <c r="B207">
        <f>IFERROR(VLOOKUP(A207,管理亚马逊库存!A:K,11,0),"")</f>
        <v>9</v>
      </c>
      <c r="C207">
        <f>IFERROR(VLOOKUP(A207,管理亚马逊库存!A:L,12,0),"")</f>
        <v>0</v>
      </c>
      <c r="D207">
        <f>IFERROR(VLOOKUP(A207,管理亚马逊库存!A:Q,17,0),"")</f>
        <v>0</v>
      </c>
      <c r="E207">
        <f>IFERROR(VLOOKUP(A207,管理亚马逊库存!A:R,18,0),"")</f>
        <v>0</v>
      </c>
      <c r="F207">
        <f t="shared" si="7"/>
        <v>0</v>
      </c>
      <c r="G207" t="str">
        <f>IFERROR(VLOOKUP(A207,预留库存!A:G,7,0),0)</f>
        <v>No</v>
      </c>
      <c r="H207">
        <f>IFERROR(VLOOKUP(A207,预留库存!A:H,8,0),0)</f>
        <v>0</v>
      </c>
      <c r="I207">
        <f>IFERROR(VLOOKUP(A207,预留库存!A:F,6,0),0)</f>
        <v>26.98</v>
      </c>
      <c r="J207">
        <f>IFERROR(VLOOKUP(A207,库龄!B:K,9,0),0)</f>
        <v>9</v>
      </c>
      <c r="K207">
        <f>IFERROR(VLOOKUP(A207,库龄!B:L,10,0),0)</f>
        <v>0</v>
      </c>
      <c r="L207">
        <f>IFERROR(VLOOKUP(A207,库龄!B:M,11,0),0)</f>
        <v>0</v>
      </c>
      <c r="M207">
        <f>IFERROR(VLOOKUP(A207,库龄!B:N,12,0),0)</f>
        <v>0</v>
      </c>
      <c r="N207">
        <f t="shared" si="8"/>
        <v>9</v>
      </c>
    </row>
    <row r="208" spans="1:14">
      <c r="A208" s="3" t="s">
        <v>509</v>
      </c>
      <c r="B208">
        <f>IFERROR(VLOOKUP(A208,管理亚马逊库存!A:K,11,0),"")</f>
        <v>9</v>
      </c>
      <c r="C208">
        <f>IFERROR(VLOOKUP(A208,管理亚马逊库存!A:L,12,0),"")</f>
        <v>0</v>
      </c>
      <c r="D208">
        <f>IFERROR(VLOOKUP(A208,管理亚马逊库存!A:Q,17,0),"")</f>
        <v>0</v>
      </c>
      <c r="E208">
        <f>IFERROR(VLOOKUP(A208,管理亚马逊库存!A:R,18,0),"")</f>
        <v>0</v>
      </c>
      <c r="F208">
        <f t="shared" si="7"/>
        <v>0</v>
      </c>
      <c r="G208" t="str">
        <f>IFERROR(VLOOKUP(A208,预留库存!A:G,7,0),0)</f>
        <v>No</v>
      </c>
      <c r="H208">
        <f>IFERROR(VLOOKUP(A208,预留库存!A:H,8,0),0)</f>
        <v>0</v>
      </c>
      <c r="I208">
        <f>IFERROR(VLOOKUP(A208,预留库存!A:F,6,0),0)</f>
        <v>26.98</v>
      </c>
      <c r="J208">
        <f>IFERROR(VLOOKUP(A208,库龄!B:K,9,0),0)</f>
        <v>8</v>
      </c>
      <c r="K208">
        <f>IFERROR(VLOOKUP(A208,库龄!B:L,10,0),0)</f>
        <v>0</v>
      </c>
      <c r="L208">
        <f>IFERROR(VLOOKUP(A208,库龄!B:M,11,0),0)</f>
        <v>0</v>
      </c>
      <c r="M208">
        <f>IFERROR(VLOOKUP(A208,库龄!B:N,12,0),0)</f>
        <v>0</v>
      </c>
      <c r="N208">
        <f t="shared" si="8"/>
        <v>8</v>
      </c>
    </row>
    <row r="209" spans="1:14">
      <c r="A209" s="3" t="s">
        <v>510</v>
      </c>
      <c r="B209">
        <f>IFERROR(VLOOKUP(A209,管理亚马逊库存!A:K,11,0),"")</f>
        <v>0</v>
      </c>
      <c r="C209">
        <f>IFERROR(VLOOKUP(A209,管理亚马逊库存!A:L,12,0),"")</f>
        <v>0</v>
      </c>
      <c r="D209">
        <f>IFERROR(VLOOKUP(A209,管理亚马逊库存!A:Q,17,0),"")</f>
        <v>0</v>
      </c>
      <c r="E209">
        <f>IFERROR(VLOOKUP(A209,管理亚马逊库存!A:R,18,0),"")</f>
        <v>0</v>
      </c>
      <c r="F209">
        <f t="shared" si="7"/>
        <v>0</v>
      </c>
      <c r="G209" t="str">
        <f>IFERROR(VLOOKUP(A209,预留库存!A:G,7,0),0)</f>
        <v>No</v>
      </c>
      <c r="H209">
        <f>IFERROR(VLOOKUP(A209,预留库存!A:H,8,0),0)</f>
        <v>0</v>
      </c>
      <c r="I209">
        <f>IFERROR(VLOOKUP(A209,预留库存!A:F,6,0),0)</f>
        <v>26.98</v>
      </c>
      <c r="J209">
        <f>IFERROR(VLOOKUP(A209,库龄!B:K,9,0),0)</f>
        <v>0</v>
      </c>
      <c r="K209">
        <f>IFERROR(VLOOKUP(A209,库龄!B:L,10,0),0)</f>
        <v>0</v>
      </c>
      <c r="L209">
        <f>IFERROR(VLOOKUP(A209,库龄!B:M,11,0),0)</f>
        <v>0</v>
      </c>
      <c r="M209">
        <f>IFERROR(VLOOKUP(A209,库龄!B:N,12,0),0)</f>
        <v>0</v>
      </c>
      <c r="N209">
        <f t="shared" si="8"/>
        <v>0</v>
      </c>
    </row>
    <row r="210" spans="1:14">
      <c r="A210" s="3" t="s">
        <v>511</v>
      </c>
      <c r="B210">
        <f>IFERROR(VLOOKUP(A210,管理亚马逊库存!A:K,11,0),"")</f>
        <v>1</v>
      </c>
      <c r="C210">
        <f>IFERROR(VLOOKUP(A210,管理亚马逊库存!A:L,12,0),"")</f>
        <v>0</v>
      </c>
      <c r="D210">
        <f>IFERROR(VLOOKUP(A210,管理亚马逊库存!A:Q,17,0),"")</f>
        <v>0</v>
      </c>
      <c r="E210">
        <f>IFERROR(VLOOKUP(A210,管理亚马逊库存!A:R,18,0),"")</f>
        <v>0</v>
      </c>
      <c r="F210">
        <f t="shared" si="7"/>
        <v>0</v>
      </c>
      <c r="G210" t="str">
        <f>IFERROR(VLOOKUP(A210,预留库存!A:G,7,0),0)</f>
        <v>No</v>
      </c>
      <c r="H210">
        <f>IFERROR(VLOOKUP(A210,预留库存!A:H,8,0),0)</f>
        <v>0</v>
      </c>
      <c r="I210">
        <f>IFERROR(VLOOKUP(A210,预留库存!A:F,6,0),0)</f>
        <v>23.98</v>
      </c>
      <c r="J210">
        <f>IFERROR(VLOOKUP(A210,库龄!B:K,9,0),0)</f>
        <v>0</v>
      </c>
      <c r="K210">
        <f>IFERROR(VLOOKUP(A210,库龄!B:L,10,0),0)</f>
        <v>0</v>
      </c>
      <c r="L210">
        <f>IFERROR(VLOOKUP(A210,库龄!B:M,11,0),0)</f>
        <v>0</v>
      </c>
      <c r="M210">
        <f>IFERROR(VLOOKUP(A210,库龄!B:N,12,0),0)</f>
        <v>0</v>
      </c>
      <c r="N210">
        <f t="shared" si="8"/>
        <v>0</v>
      </c>
    </row>
    <row r="211" spans="1:14">
      <c r="A211" s="3" t="s">
        <v>512</v>
      </c>
      <c r="B211">
        <f>IFERROR(VLOOKUP(A211,管理亚马逊库存!A:K,11,0),"")</f>
        <v>0</v>
      </c>
      <c r="C211">
        <f>IFERROR(VLOOKUP(A211,管理亚马逊库存!A:L,12,0),"")</f>
        <v>0</v>
      </c>
      <c r="D211">
        <f>IFERROR(VLOOKUP(A211,管理亚马逊库存!A:Q,17,0),"")</f>
        <v>0</v>
      </c>
      <c r="E211">
        <f>IFERROR(VLOOKUP(A211,管理亚马逊库存!A:R,18,0),"")</f>
        <v>0</v>
      </c>
      <c r="F211">
        <f t="shared" si="7"/>
        <v>0</v>
      </c>
      <c r="G211">
        <f>IFERROR(VLOOKUP(A211,预留库存!A:G,7,0),0)</f>
        <v>0</v>
      </c>
      <c r="H211">
        <f>IFERROR(VLOOKUP(A211,预留库存!A:H,8,0),0)</f>
        <v>0</v>
      </c>
      <c r="I211">
        <f>IFERROR(VLOOKUP(A211,预留库存!A:F,6,0),0)</f>
        <v>0</v>
      </c>
      <c r="J211">
        <f>IFERROR(VLOOKUP(A211,库龄!B:K,9,0),0)</f>
        <v>0</v>
      </c>
      <c r="K211">
        <f>IFERROR(VLOOKUP(A211,库龄!B:L,10,0),0)</f>
        <v>0</v>
      </c>
      <c r="L211">
        <f>IFERROR(VLOOKUP(A211,库龄!B:M,11,0),0)</f>
        <v>0</v>
      </c>
      <c r="M211">
        <f>IFERROR(VLOOKUP(A211,库龄!B:N,12,0),0)</f>
        <v>0</v>
      </c>
      <c r="N211">
        <f t="shared" si="8"/>
        <v>0</v>
      </c>
    </row>
    <row r="212" spans="1:14">
      <c r="A212" s="3" t="s">
        <v>515</v>
      </c>
      <c r="B212">
        <f>IFERROR(VLOOKUP(A212,管理亚马逊库存!A:K,11,0),"")</f>
        <v>0</v>
      </c>
      <c r="C212">
        <f>IFERROR(VLOOKUP(A212,管理亚马逊库存!A:L,12,0),"")</f>
        <v>0</v>
      </c>
      <c r="D212">
        <f>IFERROR(VLOOKUP(A212,管理亚马逊库存!A:Q,17,0),"")</f>
        <v>0</v>
      </c>
      <c r="E212">
        <f>IFERROR(VLOOKUP(A212,管理亚马逊库存!A:R,18,0),"")</f>
        <v>0</v>
      </c>
      <c r="F212">
        <f t="shared" si="7"/>
        <v>0</v>
      </c>
      <c r="G212">
        <f>IFERROR(VLOOKUP(A212,预留库存!A:G,7,0),0)</f>
        <v>0</v>
      </c>
      <c r="H212">
        <f>IFERROR(VLOOKUP(A212,预留库存!A:H,8,0),0)</f>
        <v>0</v>
      </c>
      <c r="I212">
        <f>IFERROR(VLOOKUP(A212,预留库存!A:F,6,0),0)</f>
        <v>0</v>
      </c>
      <c r="J212">
        <f>IFERROR(VLOOKUP(A212,库龄!B:K,9,0),0)</f>
        <v>0</v>
      </c>
      <c r="K212">
        <f>IFERROR(VLOOKUP(A212,库龄!B:L,10,0),0)</f>
        <v>0</v>
      </c>
      <c r="L212">
        <f>IFERROR(VLOOKUP(A212,库龄!B:M,11,0),0)</f>
        <v>0</v>
      </c>
      <c r="M212">
        <f>IFERROR(VLOOKUP(A212,库龄!B:N,12,0),0)</f>
        <v>0</v>
      </c>
      <c r="N212">
        <f t="shared" si="8"/>
        <v>0</v>
      </c>
    </row>
    <row r="213" spans="1:14">
      <c r="A213" s="3" t="s">
        <v>518</v>
      </c>
      <c r="B213">
        <f>IFERROR(VLOOKUP(A213,管理亚马逊库存!A:K,11,0),"")</f>
        <v>0</v>
      </c>
      <c r="C213">
        <f>IFERROR(VLOOKUP(A213,管理亚马逊库存!A:L,12,0),"")</f>
        <v>0</v>
      </c>
      <c r="D213">
        <f>IFERROR(VLOOKUP(A213,管理亚马逊库存!A:Q,17,0),"")</f>
        <v>0</v>
      </c>
      <c r="E213">
        <f>IFERROR(VLOOKUP(A213,管理亚马逊库存!A:R,18,0),"")</f>
        <v>0</v>
      </c>
      <c r="F213">
        <f t="shared" si="7"/>
        <v>0</v>
      </c>
      <c r="G213">
        <f>IFERROR(VLOOKUP(A213,预留库存!A:G,7,0),0)</f>
        <v>0</v>
      </c>
      <c r="H213">
        <f>IFERROR(VLOOKUP(A213,预留库存!A:H,8,0),0)</f>
        <v>0</v>
      </c>
      <c r="I213">
        <f>IFERROR(VLOOKUP(A213,预留库存!A:F,6,0),0)</f>
        <v>0</v>
      </c>
      <c r="J213">
        <f>IFERROR(VLOOKUP(A213,库龄!B:K,9,0),0)</f>
        <v>0</v>
      </c>
      <c r="K213">
        <f>IFERROR(VLOOKUP(A213,库龄!B:L,10,0),0)</f>
        <v>0</v>
      </c>
      <c r="L213">
        <f>IFERROR(VLOOKUP(A213,库龄!B:M,11,0),0)</f>
        <v>0</v>
      </c>
      <c r="M213">
        <f>IFERROR(VLOOKUP(A213,库龄!B:N,12,0),0)</f>
        <v>0</v>
      </c>
      <c r="N213">
        <f t="shared" si="8"/>
        <v>0</v>
      </c>
    </row>
    <row r="214" spans="1:14">
      <c r="A214" s="3" t="s">
        <v>521</v>
      </c>
      <c r="B214">
        <f>IFERROR(VLOOKUP(A214,管理亚马逊库存!A:K,11,0),"")</f>
        <v>0</v>
      </c>
      <c r="C214">
        <f>IFERROR(VLOOKUP(A214,管理亚马逊库存!A:L,12,0),"")</f>
        <v>0</v>
      </c>
      <c r="D214">
        <f>IFERROR(VLOOKUP(A214,管理亚马逊库存!A:Q,17,0),"")</f>
        <v>0</v>
      </c>
      <c r="E214">
        <f>IFERROR(VLOOKUP(A214,管理亚马逊库存!A:R,18,0),"")</f>
        <v>0</v>
      </c>
      <c r="F214">
        <f t="shared" si="7"/>
        <v>0</v>
      </c>
      <c r="G214">
        <f>IFERROR(VLOOKUP(A214,预留库存!A:G,7,0),0)</f>
        <v>0</v>
      </c>
      <c r="H214">
        <f>IFERROR(VLOOKUP(A214,预留库存!A:H,8,0),0)</f>
        <v>0</v>
      </c>
      <c r="I214">
        <f>IFERROR(VLOOKUP(A214,预留库存!A:F,6,0),0)</f>
        <v>0</v>
      </c>
      <c r="J214">
        <f>IFERROR(VLOOKUP(A214,库龄!B:K,9,0),0)</f>
        <v>0</v>
      </c>
      <c r="K214">
        <f>IFERROR(VLOOKUP(A214,库龄!B:L,10,0),0)</f>
        <v>0</v>
      </c>
      <c r="L214">
        <f>IFERROR(VLOOKUP(A214,库龄!B:M,11,0),0)</f>
        <v>0</v>
      </c>
      <c r="M214">
        <f>IFERROR(VLOOKUP(A214,库龄!B:N,12,0),0)</f>
        <v>0</v>
      </c>
      <c r="N214">
        <f t="shared" si="8"/>
        <v>0</v>
      </c>
    </row>
    <row r="215" spans="1:14">
      <c r="A215" s="3" t="s">
        <v>524</v>
      </c>
      <c r="B215">
        <f>IFERROR(VLOOKUP(A215,管理亚马逊库存!A:K,11,0),"")</f>
        <v>0</v>
      </c>
      <c r="C215">
        <f>IFERROR(VLOOKUP(A215,管理亚马逊库存!A:L,12,0),"")</f>
        <v>0</v>
      </c>
      <c r="D215">
        <f>IFERROR(VLOOKUP(A215,管理亚马逊库存!A:Q,17,0),"")</f>
        <v>0</v>
      </c>
      <c r="E215">
        <f>IFERROR(VLOOKUP(A215,管理亚马逊库存!A:R,18,0),"")</f>
        <v>0</v>
      </c>
      <c r="F215">
        <f t="shared" si="7"/>
        <v>0</v>
      </c>
      <c r="G215">
        <f>IFERROR(VLOOKUP(A215,预留库存!A:G,7,0),0)</f>
        <v>0</v>
      </c>
      <c r="H215">
        <f>IFERROR(VLOOKUP(A215,预留库存!A:H,8,0),0)</f>
        <v>0</v>
      </c>
      <c r="I215">
        <f>IFERROR(VLOOKUP(A215,预留库存!A:F,6,0),0)</f>
        <v>0</v>
      </c>
      <c r="J215">
        <f>IFERROR(VLOOKUP(A215,库龄!B:K,9,0),0)</f>
        <v>0</v>
      </c>
      <c r="K215">
        <f>IFERROR(VLOOKUP(A215,库龄!B:L,10,0),0)</f>
        <v>0</v>
      </c>
      <c r="L215">
        <f>IFERROR(VLOOKUP(A215,库龄!B:M,11,0),0)</f>
        <v>0</v>
      </c>
      <c r="M215">
        <f>IFERROR(VLOOKUP(A215,库龄!B:N,12,0),0)</f>
        <v>0</v>
      </c>
      <c r="N215">
        <f t="shared" si="8"/>
        <v>0</v>
      </c>
    </row>
    <row r="216" spans="1:14">
      <c r="A216" s="3" t="s">
        <v>526</v>
      </c>
      <c r="B216">
        <f>IFERROR(VLOOKUP(A216,管理亚马逊库存!A:K,11,0),"")</f>
        <v>5</v>
      </c>
      <c r="C216">
        <f>IFERROR(VLOOKUP(A216,管理亚马逊库存!A:L,12,0),"")</f>
        <v>0</v>
      </c>
      <c r="D216">
        <f>IFERROR(VLOOKUP(A216,管理亚马逊库存!A:Q,17,0),"")</f>
        <v>0</v>
      </c>
      <c r="E216">
        <f>IFERROR(VLOOKUP(A216,管理亚马逊库存!A:R,18,0),"")</f>
        <v>0</v>
      </c>
      <c r="F216">
        <f t="shared" si="7"/>
        <v>0</v>
      </c>
      <c r="G216">
        <f>IFERROR(VLOOKUP(A216,预留库存!A:G,7,0),0)</f>
        <v>0</v>
      </c>
      <c r="H216">
        <f>IFERROR(VLOOKUP(A216,预留库存!A:H,8,0),0)</f>
        <v>0</v>
      </c>
      <c r="I216">
        <f>IFERROR(VLOOKUP(A216,预留库存!A:F,6,0),0)</f>
        <v>0</v>
      </c>
      <c r="J216">
        <f>IFERROR(VLOOKUP(A216,库龄!B:K,9,0),0)</f>
        <v>0</v>
      </c>
      <c r="K216">
        <f>IFERROR(VLOOKUP(A216,库龄!B:L,10,0),0)</f>
        <v>0</v>
      </c>
      <c r="L216">
        <f>IFERROR(VLOOKUP(A216,库龄!B:M,11,0),0)</f>
        <v>0</v>
      </c>
      <c r="M216">
        <f>IFERROR(VLOOKUP(A216,库龄!B:N,12,0),0)</f>
        <v>0</v>
      </c>
      <c r="N216">
        <f t="shared" si="8"/>
        <v>0</v>
      </c>
    </row>
    <row r="217" spans="1:14">
      <c r="A217" s="3" t="s">
        <v>528</v>
      </c>
      <c r="B217">
        <f>IFERROR(VLOOKUP(A217,管理亚马逊库存!A:K,11,0),"")</f>
        <v>3</v>
      </c>
      <c r="C217">
        <f>IFERROR(VLOOKUP(A217,管理亚马逊库存!A:L,12,0),"")</f>
        <v>0</v>
      </c>
      <c r="D217">
        <f>IFERROR(VLOOKUP(A217,管理亚马逊库存!A:Q,17,0),"")</f>
        <v>0</v>
      </c>
      <c r="E217">
        <f>IFERROR(VLOOKUP(A217,管理亚马逊库存!A:R,18,0),"")</f>
        <v>0</v>
      </c>
      <c r="F217">
        <f t="shared" si="7"/>
        <v>0</v>
      </c>
      <c r="G217">
        <f>IFERROR(VLOOKUP(A217,预留库存!A:G,7,0),0)</f>
        <v>0</v>
      </c>
      <c r="H217">
        <f>IFERROR(VLOOKUP(A217,预留库存!A:H,8,0),0)</f>
        <v>0</v>
      </c>
      <c r="I217">
        <f>IFERROR(VLOOKUP(A217,预留库存!A:F,6,0),0)</f>
        <v>0</v>
      </c>
      <c r="J217">
        <f>IFERROR(VLOOKUP(A217,库龄!B:K,9,0),0)</f>
        <v>0</v>
      </c>
      <c r="K217">
        <f>IFERROR(VLOOKUP(A217,库龄!B:L,10,0),0)</f>
        <v>0</v>
      </c>
      <c r="L217">
        <f>IFERROR(VLOOKUP(A217,库龄!B:M,11,0),0)</f>
        <v>0</v>
      </c>
      <c r="M217">
        <f>IFERROR(VLOOKUP(A217,库龄!B:N,12,0),0)</f>
        <v>0</v>
      </c>
      <c r="N217">
        <f t="shared" si="8"/>
        <v>0</v>
      </c>
    </row>
    <row r="218" spans="1:14">
      <c r="A218" s="3" t="s">
        <v>530</v>
      </c>
      <c r="B218">
        <f>IFERROR(VLOOKUP(A218,管理亚马逊库存!A:K,11,0),"")</f>
        <v>0</v>
      </c>
      <c r="C218">
        <f>IFERROR(VLOOKUP(A218,管理亚马逊库存!A:L,12,0),"")</f>
        <v>0</v>
      </c>
      <c r="D218">
        <f>IFERROR(VLOOKUP(A218,管理亚马逊库存!A:Q,17,0),"")</f>
        <v>0</v>
      </c>
      <c r="E218">
        <f>IFERROR(VLOOKUP(A218,管理亚马逊库存!A:R,18,0),"")</f>
        <v>0</v>
      </c>
      <c r="F218">
        <f t="shared" si="7"/>
        <v>0</v>
      </c>
      <c r="G218">
        <f>IFERROR(VLOOKUP(A218,预留库存!A:G,7,0),0)</f>
        <v>0</v>
      </c>
      <c r="H218">
        <f>IFERROR(VLOOKUP(A218,预留库存!A:H,8,0),0)</f>
        <v>0</v>
      </c>
      <c r="I218">
        <f>IFERROR(VLOOKUP(A218,预留库存!A:F,6,0),0)</f>
        <v>0</v>
      </c>
      <c r="J218">
        <f>IFERROR(VLOOKUP(A218,库龄!B:K,9,0),0)</f>
        <v>0</v>
      </c>
      <c r="K218">
        <f>IFERROR(VLOOKUP(A218,库龄!B:L,10,0),0)</f>
        <v>0</v>
      </c>
      <c r="L218">
        <f>IFERROR(VLOOKUP(A218,库龄!B:M,11,0),0)</f>
        <v>0</v>
      </c>
      <c r="M218">
        <f>IFERROR(VLOOKUP(A218,库龄!B:N,12,0),0)</f>
        <v>0</v>
      </c>
      <c r="N218">
        <f t="shared" si="8"/>
        <v>0</v>
      </c>
    </row>
    <row r="219" spans="1:14">
      <c r="A219" s="3" t="s">
        <v>532</v>
      </c>
      <c r="B219">
        <f>IFERROR(VLOOKUP(A219,管理亚马逊库存!A:K,11,0),"")</f>
        <v>4</v>
      </c>
      <c r="C219">
        <f>IFERROR(VLOOKUP(A219,管理亚马逊库存!A:L,12,0),"")</f>
        <v>0</v>
      </c>
      <c r="D219">
        <f>IFERROR(VLOOKUP(A219,管理亚马逊库存!A:Q,17,0),"")</f>
        <v>0</v>
      </c>
      <c r="E219">
        <f>IFERROR(VLOOKUP(A219,管理亚马逊库存!A:R,18,0),"")</f>
        <v>0</v>
      </c>
      <c r="F219">
        <f t="shared" si="7"/>
        <v>0</v>
      </c>
      <c r="G219">
        <f>IFERROR(VLOOKUP(A219,预留库存!A:G,7,0),0)</f>
        <v>0</v>
      </c>
      <c r="H219">
        <f>IFERROR(VLOOKUP(A219,预留库存!A:H,8,0),0)</f>
        <v>0</v>
      </c>
      <c r="I219">
        <f>IFERROR(VLOOKUP(A219,预留库存!A:F,6,0),0)</f>
        <v>0</v>
      </c>
      <c r="J219">
        <f>IFERROR(VLOOKUP(A219,库龄!B:K,9,0),0)</f>
        <v>0</v>
      </c>
      <c r="K219">
        <f>IFERROR(VLOOKUP(A219,库龄!B:L,10,0),0)</f>
        <v>0</v>
      </c>
      <c r="L219">
        <f>IFERROR(VLOOKUP(A219,库龄!B:M,11,0),0)</f>
        <v>0</v>
      </c>
      <c r="M219">
        <f>IFERROR(VLOOKUP(A219,库龄!B:N,12,0),0)</f>
        <v>0</v>
      </c>
      <c r="N219">
        <f t="shared" si="8"/>
        <v>0</v>
      </c>
    </row>
    <row r="220" spans="1:14">
      <c r="A220" s="3" t="s">
        <v>534</v>
      </c>
      <c r="B220">
        <f>IFERROR(VLOOKUP(A220,管理亚马逊库存!A:K,11,0),"")</f>
        <v>2</v>
      </c>
      <c r="C220">
        <f>IFERROR(VLOOKUP(A220,管理亚马逊库存!A:L,12,0),"")</f>
        <v>0</v>
      </c>
      <c r="D220">
        <f>IFERROR(VLOOKUP(A220,管理亚马逊库存!A:Q,17,0),"")</f>
        <v>0</v>
      </c>
      <c r="E220">
        <f>IFERROR(VLOOKUP(A220,管理亚马逊库存!A:R,18,0),"")</f>
        <v>0</v>
      </c>
      <c r="F220">
        <f t="shared" si="7"/>
        <v>0</v>
      </c>
      <c r="G220">
        <f>IFERROR(VLOOKUP(A220,预留库存!A:G,7,0),0)</f>
        <v>0</v>
      </c>
      <c r="H220">
        <f>IFERROR(VLOOKUP(A220,预留库存!A:H,8,0),0)</f>
        <v>0</v>
      </c>
      <c r="I220">
        <f>IFERROR(VLOOKUP(A220,预留库存!A:F,6,0),0)</f>
        <v>0</v>
      </c>
      <c r="J220">
        <f>IFERROR(VLOOKUP(A220,库龄!B:K,9,0),0)</f>
        <v>0</v>
      </c>
      <c r="K220">
        <f>IFERROR(VLOOKUP(A220,库龄!B:L,10,0),0)</f>
        <v>0</v>
      </c>
      <c r="L220">
        <f>IFERROR(VLOOKUP(A220,库龄!B:M,11,0),0)</f>
        <v>0</v>
      </c>
      <c r="M220">
        <f>IFERROR(VLOOKUP(A220,库龄!B:N,12,0),0)</f>
        <v>0</v>
      </c>
      <c r="N220">
        <f t="shared" si="8"/>
        <v>0</v>
      </c>
    </row>
    <row r="221" spans="1:14">
      <c r="A221" s="3" t="s">
        <v>536</v>
      </c>
      <c r="B221">
        <f>IFERROR(VLOOKUP(A221,管理亚马逊库存!A:K,11,0),"")</f>
        <v>7</v>
      </c>
      <c r="C221">
        <f>IFERROR(VLOOKUP(A221,管理亚马逊库存!A:L,12,0),"")</f>
        <v>0</v>
      </c>
      <c r="D221">
        <f>IFERROR(VLOOKUP(A221,管理亚马逊库存!A:Q,17,0),"")</f>
        <v>0</v>
      </c>
      <c r="E221">
        <f>IFERROR(VLOOKUP(A221,管理亚马逊库存!A:R,18,0),"")</f>
        <v>0</v>
      </c>
      <c r="F221">
        <f t="shared" si="7"/>
        <v>0</v>
      </c>
      <c r="G221">
        <f>IFERROR(VLOOKUP(A221,预留库存!A:G,7,0),0)</f>
        <v>0</v>
      </c>
      <c r="H221">
        <f>IFERROR(VLOOKUP(A221,预留库存!A:H,8,0),0)</f>
        <v>0</v>
      </c>
      <c r="I221">
        <f>IFERROR(VLOOKUP(A221,预留库存!A:F,6,0),0)</f>
        <v>0</v>
      </c>
      <c r="J221">
        <f>IFERROR(VLOOKUP(A221,库龄!B:K,9,0),0)</f>
        <v>0</v>
      </c>
      <c r="K221">
        <f>IFERROR(VLOOKUP(A221,库龄!B:L,10,0),0)</f>
        <v>0</v>
      </c>
      <c r="L221">
        <f>IFERROR(VLOOKUP(A221,库龄!B:M,11,0),0)</f>
        <v>0</v>
      </c>
      <c r="M221">
        <f>IFERROR(VLOOKUP(A221,库龄!B:N,12,0),0)</f>
        <v>0</v>
      </c>
      <c r="N221">
        <f t="shared" si="8"/>
        <v>0</v>
      </c>
    </row>
    <row r="222" spans="1:14">
      <c r="A222" s="3" t="s">
        <v>538</v>
      </c>
      <c r="B222">
        <f>IFERROR(VLOOKUP(A222,管理亚马逊库存!A:K,11,0),"")</f>
        <v>0</v>
      </c>
      <c r="C222">
        <f>IFERROR(VLOOKUP(A222,管理亚马逊库存!A:L,12,0),"")</f>
        <v>0</v>
      </c>
      <c r="D222">
        <f>IFERROR(VLOOKUP(A222,管理亚马逊库存!A:Q,17,0),"")</f>
        <v>0</v>
      </c>
      <c r="E222">
        <f>IFERROR(VLOOKUP(A222,管理亚马逊库存!A:R,18,0),"")</f>
        <v>0</v>
      </c>
      <c r="F222">
        <f t="shared" si="7"/>
        <v>0</v>
      </c>
      <c r="G222">
        <f>IFERROR(VLOOKUP(A222,预留库存!A:G,7,0),0)</f>
        <v>0</v>
      </c>
      <c r="H222">
        <f>IFERROR(VLOOKUP(A222,预留库存!A:H,8,0),0)</f>
        <v>0</v>
      </c>
      <c r="I222">
        <f>IFERROR(VLOOKUP(A222,预留库存!A:F,6,0),0)</f>
        <v>0</v>
      </c>
      <c r="J222">
        <f>IFERROR(VLOOKUP(A222,库龄!B:K,9,0),0)</f>
        <v>0</v>
      </c>
      <c r="K222">
        <f>IFERROR(VLOOKUP(A222,库龄!B:L,10,0),0)</f>
        <v>0</v>
      </c>
      <c r="L222">
        <f>IFERROR(VLOOKUP(A222,库龄!B:M,11,0),0)</f>
        <v>0</v>
      </c>
      <c r="M222">
        <f>IFERROR(VLOOKUP(A222,库龄!B:N,12,0),0)</f>
        <v>0</v>
      </c>
      <c r="N222">
        <f t="shared" si="8"/>
        <v>0</v>
      </c>
    </row>
    <row r="223" spans="1:14">
      <c r="A223" s="3" t="s">
        <v>540</v>
      </c>
      <c r="B223">
        <f>IFERROR(VLOOKUP(A223,管理亚马逊库存!A:K,11,0),"")</f>
        <v>0</v>
      </c>
      <c r="C223">
        <f>IFERROR(VLOOKUP(A223,管理亚马逊库存!A:L,12,0),"")</f>
        <v>0</v>
      </c>
      <c r="D223">
        <f>IFERROR(VLOOKUP(A223,管理亚马逊库存!A:Q,17,0),"")</f>
        <v>0</v>
      </c>
      <c r="E223">
        <f>IFERROR(VLOOKUP(A223,管理亚马逊库存!A:R,18,0),"")</f>
        <v>0</v>
      </c>
      <c r="F223">
        <f t="shared" si="7"/>
        <v>0</v>
      </c>
      <c r="G223">
        <f>IFERROR(VLOOKUP(A223,预留库存!A:G,7,0),0)</f>
        <v>0</v>
      </c>
      <c r="H223">
        <f>IFERROR(VLOOKUP(A223,预留库存!A:H,8,0),0)</f>
        <v>0</v>
      </c>
      <c r="I223">
        <f>IFERROR(VLOOKUP(A223,预留库存!A:F,6,0),0)</f>
        <v>0</v>
      </c>
      <c r="J223">
        <f>IFERROR(VLOOKUP(A223,库龄!B:K,9,0),0)</f>
        <v>0</v>
      </c>
      <c r="K223">
        <f>IFERROR(VLOOKUP(A223,库龄!B:L,10,0),0)</f>
        <v>0</v>
      </c>
      <c r="L223">
        <f>IFERROR(VLOOKUP(A223,库龄!B:M,11,0),0)</f>
        <v>0</v>
      </c>
      <c r="M223">
        <f>IFERROR(VLOOKUP(A223,库龄!B:N,12,0),0)</f>
        <v>0</v>
      </c>
      <c r="N223">
        <f t="shared" si="8"/>
        <v>0</v>
      </c>
    </row>
    <row r="224" spans="1:14">
      <c r="A224" s="3" t="s">
        <v>543</v>
      </c>
      <c r="B224">
        <f>IFERROR(VLOOKUP(A224,管理亚马逊库存!A:K,11,0),"")</f>
        <v>0</v>
      </c>
      <c r="C224">
        <f>IFERROR(VLOOKUP(A224,管理亚马逊库存!A:L,12,0),"")</f>
        <v>0</v>
      </c>
      <c r="D224">
        <f>IFERROR(VLOOKUP(A224,管理亚马逊库存!A:Q,17,0),"")</f>
        <v>0</v>
      </c>
      <c r="E224">
        <f>IFERROR(VLOOKUP(A224,管理亚马逊库存!A:R,18,0),"")</f>
        <v>0</v>
      </c>
      <c r="F224">
        <f t="shared" si="7"/>
        <v>0</v>
      </c>
      <c r="G224">
        <f>IFERROR(VLOOKUP(A224,预留库存!A:G,7,0),0)</f>
        <v>0</v>
      </c>
      <c r="H224">
        <f>IFERROR(VLOOKUP(A224,预留库存!A:H,8,0),0)</f>
        <v>0</v>
      </c>
      <c r="I224">
        <f>IFERROR(VLOOKUP(A224,预留库存!A:F,6,0),0)</f>
        <v>0</v>
      </c>
      <c r="J224">
        <f>IFERROR(VLOOKUP(A224,库龄!B:K,9,0),0)</f>
        <v>0</v>
      </c>
      <c r="K224">
        <f>IFERROR(VLOOKUP(A224,库龄!B:L,10,0),0)</f>
        <v>0</v>
      </c>
      <c r="L224">
        <f>IFERROR(VLOOKUP(A224,库龄!B:M,11,0),0)</f>
        <v>0</v>
      </c>
      <c r="M224">
        <f>IFERROR(VLOOKUP(A224,库龄!B:N,12,0),0)</f>
        <v>0</v>
      </c>
      <c r="N224">
        <f t="shared" si="8"/>
        <v>0</v>
      </c>
    </row>
    <row r="225" spans="1:14">
      <c r="A225" s="3" t="s">
        <v>546</v>
      </c>
      <c r="B225">
        <f>IFERROR(VLOOKUP(A225,管理亚马逊库存!A:K,11,0),"")</f>
        <v>4</v>
      </c>
      <c r="C225">
        <f>IFERROR(VLOOKUP(A225,管理亚马逊库存!A:L,12,0),"")</f>
        <v>0</v>
      </c>
      <c r="D225">
        <f>IFERROR(VLOOKUP(A225,管理亚马逊库存!A:Q,17,0),"")</f>
        <v>0</v>
      </c>
      <c r="E225">
        <f>IFERROR(VLOOKUP(A225,管理亚马逊库存!A:R,18,0),"")</f>
        <v>0</v>
      </c>
      <c r="F225">
        <f t="shared" si="7"/>
        <v>0</v>
      </c>
      <c r="G225">
        <f>IFERROR(VLOOKUP(A225,预留库存!A:G,7,0),0)</f>
        <v>0</v>
      </c>
      <c r="H225">
        <f>IFERROR(VLOOKUP(A225,预留库存!A:H,8,0),0)</f>
        <v>0</v>
      </c>
      <c r="I225">
        <f>IFERROR(VLOOKUP(A225,预留库存!A:F,6,0),0)</f>
        <v>0</v>
      </c>
      <c r="J225">
        <f>IFERROR(VLOOKUP(A225,库龄!B:K,9,0),0)</f>
        <v>0</v>
      </c>
      <c r="K225">
        <f>IFERROR(VLOOKUP(A225,库龄!B:L,10,0),0)</f>
        <v>0</v>
      </c>
      <c r="L225">
        <f>IFERROR(VLOOKUP(A225,库龄!B:M,11,0),0)</f>
        <v>0</v>
      </c>
      <c r="M225">
        <f>IFERROR(VLOOKUP(A225,库龄!B:N,12,0),0)</f>
        <v>0</v>
      </c>
      <c r="N225">
        <f t="shared" si="8"/>
        <v>0</v>
      </c>
    </row>
    <row r="226" spans="1:14">
      <c r="A226" s="3" t="s">
        <v>548</v>
      </c>
      <c r="B226">
        <f>IFERROR(VLOOKUP(A226,管理亚马逊库存!A:K,11,0),"")</f>
        <v>5</v>
      </c>
      <c r="C226">
        <f>IFERROR(VLOOKUP(A226,管理亚马逊库存!A:L,12,0),"")</f>
        <v>0</v>
      </c>
      <c r="D226">
        <f>IFERROR(VLOOKUP(A226,管理亚马逊库存!A:Q,17,0),"")</f>
        <v>0</v>
      </c>
      <c r="E226">
        <f>IFERROR(VLOOKUP(A226,管理亚马逊库存!A:R,18,0),"")</f>
        <v>0</v>
      </c>
      <c r="F226">
        <f t="shared" si="7"/>
        <v>0</v>
      </c>
      <c r="G226">
        <f>IFERROR(VLOOKUP(A226,预留库存!A:G,7,0),0)</f>
        <v>0</v>
      </c>
      <c r="H226">
        <f>IFERROR(VLOOKUP(A226,预留库存!A:H,8,0),0)</f>
        <v>0</v>
      </c>
      <c r="I226">
        <f>IFERROR(VLOOKUP(A226,预留库存!A:F,6,0),0)</f>
        <v>0</v>
      </c>
      <c r="J226">
        <f>IFERROR(VLOOKUP(A226,库龄!B:K,9,0),0)</f>
        <v>0</v>
      </c>
      <c r="K226">
        <f>IFERROR(VLOOKUP(A226,库龄!B:L,10,0),0)</f>
        <v>0</v>
      </c>
      <c r="L226">
        <f>IFERROR(VLOOKUP(A226,库龄!B:M,11,0),0)</f>
        <v>0</v>
      </c>
      <c r="M226">
        <f>IFERROR(VLOOKUP(A226,库龄!B:N,12,0),0)</f>
        <v>0</v>
      </c>
      <c r="N226">
        <f t="shared" si="8"/>
        <v>0</v>
      </c>
    </row>
    <row r="227" spans="1:14">
      <c r="A227" s="3" t="s">
        <v>550</v>
      </c>
      <c r="B227">
        <f>IFERROR(VLOOKUP(A227,管理亚马逊库存!A:K,11,0),"")</f>
        <v>0</v>
      </c>
      <c r="C227">
        <f>IFERROR(VLOOKUP(A227,管理亚马逊库存!A:L,12,0),"")</f>
        <v>0</v>
      </c>
      <c r="D227">
        <f>IFERROR(VLOOKUP(A227,管理亚马逊库存!A:Q,17,0),"")</f>
        <v>0</v>
      </c>
      <c r="E227">
        <f>IFERROR(VLOOKUP(A227,管理亚马逊库存!A:R,18,0),"")</f>
        <v>0</v>
      </c>
      <c r="F227">
        <f t="shared" si="7"/>
        <v>0</v>
      </c>
      <c r="G227">
        <f>IFERROR(VLOOKUP(A227,预留库存!A:G,7,0),0)</f>
        <v>0</v>
      </c>
      <c r="H227">
        <f>IFERROR(VLOOKUP(A227,预留库存!A:H,8,0),0)</f>
        <v>0</v>
      </c>
      <c r="I227">
        <f>IFERROR(VLOOKUP(A227,预留库存!A:F,6,0),0)</f>
        <v>0</v>
      </c>
      <c r="J227">
        <f>IFERROR(VLOOKUP(A227,库龄!B:K,9,0),0)</f>
        <v>0</v>
      </c>
      <c r="K227">
        <f>IFERROR(VLOOKUP(A227,库龄!B:L,10,0),0)</f>
        <v>0</v>
      </c>
      <c r="L227">
        <f>IFERROR(VLOOKUP(A227,库龄!B:M,11,0),0)</f>
        <v>0</v>
      </c>
      <c r="M227">
        <f>IFERROR(VLOOKUP(A227,库龄!B:N,12,0),0)</f>
        <v>0</v>
      </c>
      <c r="N227">
        <f t="shared" si="8"/>
        <v>0</v>
      </c>
    </row>
    <row r="228" spans="1:14">
      <c r="A228" s="3" t="s">
        <v>553</v>
      </c>
      <c r="B228">
        <f>IFERROR(VLOOKUP(A228,管理亚马逊库存!A:K,11,0),"")</f>
        <v>0</v>
      </c>
      <c r="C228">
        <f>IFERROR(VLOOKUP(A228,管理亚马逊库存!A:L,12,0),"")</f>
        <v>0</v>
      </c>
      <c r="D228">
        <f>IFERROR(VLOOKUP(A228,管理亚马逊库存!A:Q,17,0),"")</f>
        <v>0</v>
      </c>
      <c r="E228">
        <f>IFERROR(VLOOKUP(A228,管理亚马逊库存!A:R,18,0),"")</f>
        <v>0</v>
      </c>
      <c r="F228">
        <f t="shared" si="7"/>
        <v>0</v>
      </c>
      <c r="G228">
        <f>IFERROR(VLOOKUP(A228,预留库存!A:G,7,0),0)</f>
        <v>0</v>
      </c>
      <c r="H228">
        <f>IFERROR(VLOOKUP(A228,预留库存!A:H,8,0),0)</f>
        <v>0</v>
      </c>
      <c r="I228">
        <f>IFERROR(VLOOKUP(A228,预留库存!A:F,6,0),0)</f>
        <v>0</v>
      </c>
      <c r="J228">
        <f>IFERROR(VLOOKUP(A228,库龄!B:K,9,0),0)</f>
        <v>0</v>
      </c>
      <c r="K228">
        <f>IFERROR(VLOOKUP(A228,库龄!B:L,10,0),0)</f>
        <v>0</v>
      </c>
      <c r="L228">
        <f>IFERROR(VLOOKUP(A228,库龄!B:M,11,0),0)</f>
        <v>0</v>
      </c>
      <c r="M228">
        <f>IFERROR(VLOOKUP(A228,库龄!B:N,12,0),0)</f>
        <v>0</v>
      </c>
      <c r="N228">
        <f t="shared" si="8"/>
        <v>0</v>
      </c>
    </row>
    <row r="229" spans="1:14">
      <c r="A229" s="3" t="s">
        <v>555</v>
      </c>
      <c r="B229">
        <f>IFERROR(VLOOKUP(A229,管理亚马逊库存!A:K,11,0),"")</f>
        <v>10</v>
      </c>
      <c r="C229">
        <f>IFERROR(VLOOKUP(A229,管理亚马逊库存!A:L,12,0),"")</f>
        <v>0</v>
      </c>
      <c r="D229">
        <f>IFERROR(VLOOKUP(A229,管理亚马逊库存!A:Q,17,0),"")</f>
        <v>0</v>
      </c>
      <c r="E229">
        <f>IFERROR(VLOOKUP(A229,管理亚马逊库存!A:R,18,0),"")</f>
        <v>0</v>
      </c>
      <c r="F229">
        <f t="shared" si="7"/>
        <v>0</v>
      </c>
      <c r="G229">
        <f>IFERROR(VLOOKUP(A229,预留库存!A:G,7,0),0)</f>
        <v>0</v>
      </c>
      <c r="H229">
        <f>IFERROR(VLOOKUP(A229,预留库存!A:H,8,0),0)</f>
        <v>0</v>
      </c>
      <c r="I229">
        <f>IFERROR(VLOOKUP(A229,预留库存!A:F,6,0),0)</f>
        <v>0</v>
      </c>
      <c r="J229">
        <f>IFERROR(VLOOKUP(A229,库龄!B:K,9,0),0)</f>
        <v>0</v>
      </c>
      <c r="K229">
        <f>IFERROR(VLOOKUP(A229,库龄!B:L,10,0),0)</f>
        <v>0</v>
      </c>
      <c r="L229">
        <f>IFERROR(VLOOKUP(A229,库龄!B:M,11,0),0)</f>
        <v>0</v>
      </c>
      <c r="M229">
        <f>IFERROR(VLOOKUP(A229,库龄!B:N,12,0),0)</f>
        <v>0</v>
      </c>
      <c r="N229">
        <f t="shared" si="8"/>
        <v>0</v>
      </c>
    </row>
    <row r="230" spans="1:14">
      <c r="A230" s="3" t="s">
        <v>557</v>
      </c>
      <c r="B230">
        <f>IFERROR(VLOOKUP(A230,管理亚马逊库存!A:K,11,0),"")</f>
        <v>6</v>
      </c>
      <c r="C230">
        <f>IFERROR(VLOOKUP(A230,管理亚马逊库存!A:L,12,0),"")</f>
        <v>0</v>
      </c>
      <c r="D230">
        <f>IFERROR(VLOOKUP(A230,管理亚马逊库存!A:Q,17,0),"")</f>
        <v>0</v>
      </c>
      <c r="E230">
        <f>IFERROR(VLOOKUP(A230,管理亚马逊库存!A:R,18,0),"")</f>
        <v>0</v>
      </c>
      <c r="F230">
        <f t="shared" si="7"/>
        <v>0</v>
      </c>
      <c r="G230">
        <f>IFERROR(VLOOKUP(A230,预留库存!A:G,7,0),0)</f>
        <v>0</v>
      </c>
      <c r="H230">
        <f>IFERROR(VLOOKUP(A230,预留库存!A:H,8,0),0)</f>
        <v>0</v>
      </c>
      <c r="I230">
        <f>IFERROR(VLOOKUP(A230,预留库存!A:F,6,0),0)</f>
        <v>0</v>
      </c>
      <c r="J230">
        <f>IFERROR(VLOOKUP(A230,库龄!B:K,9,0),0)</f>
        <v>0</v>
      </c>
      <c r="K230">
        <f>IFERROR(VLOOKUP(A230,库龄!B:L,10,0),0)</f>
        <v>0</v>
      </c>
      <c r="L230">
        <f>IFERROR(VLOOKUP(A230,库龄!B:M,11,0),0)</f>
        <v>0</v>
      </c>
      <c r="M230">
        <f>IFERROR(VLOOKUP(A230,库龄!B:N,12,0),0)</f>
        <v>0</v>
      </c>
      <c r="N230">
        <f t="shared" si="8"/>
        <v>0</v>
      </c>
    </row>
    <row r="231" spans="1:14">
      <c r="A231" s="3" t="s">
        <v>559</v>
      </c>
      <c r="B231">
        <f>IFERROR(VLOOKUP(A231,管理亚马逊库存!A:K,11,0),"")</f>
        <v>0</v>
      </c>
      <c r="C231">
        <f>IFERROR(VLOOKUP(A231,管理亚马逊库存!A:L,12,0),"")</f>
        <v>0</v>
      </c>
      <c r="D231">
        <f>IFERROR(VLOOKUP(A231,管理亚马逊库存!A:Q,17,0),"")</f>
        <v>0</v>
      </c>
      <c r="E231">
        <f>IFERROR(VLOOKUP(A231,管理亚马逊库存!A:R,18,0),"")</f>
        <v>0</v>
      </c>
      <c r="F231">
        <f t="shared" si="7"/>
        <v>0</v>
      </c>
      <c r="G231">
        <f>IFERROR(VLOOKUP(A231,预留库存!A:G,7,0),0)</f>
        <v>0</v>
      </c>
      <c r="H231">
        <f>IFERROR(VLOOKUP(A231,预留库存!A:H,8,0),0)</f>
        <v>0</v>
      </c>
      <c r="I231">
        <f>IFERROR(VLOOKUP(A231,预留库存!A:F,6,0),0)</f>
        <v>0</v>
      </c>
      <c r="J231">
        <f>IFERROR(VLOOKUP(A231,库龄!B:K,9,0),0)</f>
        <v>0</v>
      </c>
      <c r="K231">
        <f>IFERROR(VLOOKUP(A231,库龄!B:L,10,0),0)</f>
        <v>0</v>
      </c>
      <c r="L231">
        <f>IFERROR(VLOOKUP(A231,库龄!B:M,11,0),0)</f>
        <v>0</v>
      </c>
      <c r="M231">
        <f>IFERROR(VLOOKUP(A231,库龄!B:N,12,0),0)</f>
        <v>0</v>
      </c>
      <c r="N231">
        <f t="shared" si="8"/>
        <v>0</v>
      </c>
    </row>
    <row r="232" spans="1:14">
      <c r="A232" s="3" t="s">
        <v>562</v>
      </c>
      <c r="B232">
        <f>IFERROR(VLOOKUP(A232,管理亚马逊库存!A:K,11,0),"")</f>
        <v>0</v>
      </c>
      <c r="C232">
        <f>IFERROR(VLOOKUP(A232,管理亚马逊库存!A:L,12,0),"")</f>
        <v>0</v>
      </c>
      <c r="D232">
        <f>IFERROR(VLOOKUP(A232,管理亚马逊库存!A:Q,17,0),"")</f>
        <v>0</v>
      </c>
      <c r="E232">
        <f>IFERROR(VLOOKUP(A232,管理亚马逊库存!A:R,18,0),"")</f>
        <v>0</v>
      </c>
      <c r="F232">
        <f t="shared" si="7"/>
        <v>0</v>
      </c>
      <c r="G232">
        <f>IFERROR(VLOOKUP(A232,预留库存!A:G,7,0),0)</f>
        <v>0</v>
      </c>
      <c r="H232">
        <f>IFERROR(VLOOKUP(A232,预留库存!A:H,8,0),0)</f>
        <v>0</v>
      </c>
      <c r="I232">
        <f>IFERROR(VLOOKUP(A232,预留库存!A:F,6,0),0)</f>
        <v>0</v>
      </c>
      <c r="J232">
        <f>IFERROR(VLOOKUP(A232,库龄!B:K,9,0),0)</f>
        <v>0</v>
      </c>
      <c r="K232">
        <f>IFERROR(VLOOKUP(A232,库龄!B:L,10,0),0)</f>
        <v>0</v>
      </c>
      <c r="L232">
        <f>IFERROR(VLOOKUP(A232,库龄!B:M,11,0),0)</f>
        <v>0</v>
      </c>
      <c r="M232">
        <f>IFERROR(VLOOKUP(A232,库龄!B:N,12,0),0)</f>
        <v>0</v>
      </c>
      <c r="N232">
        <f t="shared" si="8"/>
        <v>0</v>
      </c>
    </row>
    <row r="233" spans="1:14">
      <c r="A233" s="3" t="s">
        <v>565</v>
      </c>
      <c r="B233">
        <f>IFERROR(VLOOKUP(A233,管理亚马逊库存!A:K,11,0),"")</f>
        <v>1</v>
      </c>
      <c r="C233">
        <f>IFERROR(VLOOKUP(A233,管理亚马逊库存!A:L,12,0),"")</f>
        <v>0</v>
      </c>
      <c r="D233">
        <f>IFERROR(VLOOKUP(A233,管理亚马逊库存!A:Q,17,0),"")</f>
        <v>0</v>
      </c>
      <c r="E233">
        <f>IFERROR(VLOOKUP(A233,管理亚马逊库存!A:R,18,0),"")</f>
        <v>0</v>
      </c>
      <c r="F233">
        <f t="shared" si="7"/>
        <v>0</v>
      </c>
      <c r="G233">
        <f>IFERROR(VLOOKUP(A233,预留库存!A:G,7,0),0)</f>
        <v>0</v>
      </c>
      <c r="H233">
        <f>IFERROR(VLOOKUP(A233,预留库存!A:H,8,0),0)</f>
        <v>0</v>
      </c>
      <c r="I233">
        <f>IFERROR(VLOOKUP(A233,预留库存!A:F,6,0),0)</f>
        <v>0</v>
      </c>
      <c r="J233">
        <f>IFERROR(VLOOKUP(A233,库龄!B:K,9,0),0)</f>
        <v>0</v>
      </c>
      <c r="K233">
        <f>IFERROR(VLOOKUP(A233,库龄!B:L,10,0),0)</f>
        <v>0</v>
      </c>
      <c r="L233">
        <f>IFERROR(VLOOKUP(A233,库龄!B:M,11,0),0)</f>
        <v>0</v>
      </c>
      <c r="M233">
        <f>IFERROR(VLOOKUP(A233,库龄!B:N,12,0),0)</f>
        <v>0</v>
      </c>
      <c r="N233">
        <f t="shared" si="8"/>
        <v>0</v>
      </c>
    </row>
    <row r="234" spans="1:14">
      <c r="A234" s="3" t="s">
        <v>567</v>
      </c>
      <c r="B234">
        <f>IFERROR(VLOOKUP(A234,管理亚马逊库存!A:K,11,0),"")</f>
        <v>6</v>
      </c>
      <c r="C234">
        <f>IFERROR(VLOOKUP(A234,管理亚马逊库存!A:L,12,0),"")</f>
        <v>0</v>
      </c>
      <c r="D234">
        <f>IFERROR(VLOOKUP(A234,管理亚马逊库存!A:Q,17,0),"")</f>
        <v>0</v>
      </c>
      <c r="E234">
        <f>IFERROR(VLOOKUP(A234,管理亚马逊库存!A:R,18,0),"")</f>
        <v>0</v>
      </c>
      <c r="F234">
        <f t="shared" si="7"/>
        <v>0</v>
      </c>
      <c r="G234">
        <f>IFERROR(VLOOKUP(A234,预留库存!A:G,7,0),0)</f>
        <v>0</v>
      </c>
      <c r="H234">
        <f>IFERROR(VLOOKUP(A234,预留库存!A:H,8,0),0)</f>
        <v>0</v>
      </c>
      <c r="I234">
        <f>IFERROR(VLOOKUP(A234,预留库存!A:F,6,0),0)</f>
        <v>0</v>
      </c>
      <c r="J234">
        <f>IFERROR(VLOOKUP(A234,库龄!B:K,9,0),0)</f>
        <v>0</v>
      </c>
      <c r="K234">
        <f>IFERROR(VLOOKUP(A234,库龄!B:L,10,0),0)</f>
        <v>0</v>
      </c>
      <c r="L234">
        <f>IFERROR(VLOOKUP(A234,库龄!B:M,11,0),0)</f>
        <v>0</v>
      </c>
      <c r="M234">
        <f>IFERROR(VLOOKUP(A234,库龄!B:N,12,0),0)</f>
        <v>0</v>
      </c>
      <c r="N234">
        <f t="shared" si="8"/>
        <v>0</v>
      </c>
    </row>
    <row r="235" spans="1:14">
      <c r="A235" s="3" t="s">
        <v>569</v>
      </c>
      <c r="B235">
        <f>IFERROR(VLOOKUP(A235,管理亚马逊库存!A:K,11,0),"")</f>
        <v>6</v>
      </c>
      <c r="C235">
        <f>IFERROR(VLOOKUP(A235,管理亚马逊库存!A:L,12,0),"")</f>
        <v>0</v>
      </c>
      <c r="D235">
        <f>IFERROR(VLOOKUP(A235,管理亚马逊库存!A:Q,17,0),"")</f>
        <v>0</v>
      </c>
      <c r="E235">
        <f>IFERROR(VLOOKUP(A235,管理亚马逊库存!A:R,18,0),"")</f>
        <v>0</v>
      </c>
      <c r="F235">
        <f t="shared" si="7"/>
        <v>0</v>
      </c>
      <c r="G235">
        <f>IFERROR(VLOOKUP(A235,预留库存!A:G,7,0),0)</f>
        <v>0</v>
      </c>
      <c r="H235">
        <f>IFERROR(VLOOKUP(A235,预留库存!A:H,8,0),0)</f>
        <v>0</v>
      </c>
      <c r="I235">
        <f>IFERROR(VLOOKUP(A235,预留库存!A:F,6,0),0)</f>
        <v>0</v>
      </c>
      <c r="J235">
        <f>IFERROR(VLOOKUP(A235,库龄!B:K,9,0),0)</f>
        <v>0</v>
      </c>
      <c r="K235">
        <f>IFERROR(VLOOKUP(A235,库龄!B:L,10,0),0)</f>
        <v>0</v>
      </c>
      <c r="L235">
        <f>IFERROR(VLOOKUP(A235,库龄!B:M,11,0),0)</f>
        <v>0</v>
      </c>
      <c r="M235">
        <f>IFERROR(VLOOKUP(A235,库龄!B:N,12,0),0)</f>
        <v>0</v>
      </c>
      <c r="N235">
        <f t="shared" si="8"/>
        <v>0</v>
      </c>
    </row>
    <row r="236" spans="1:14">
      <c r="A236" s="3" t="s">
        <v>571</v>
      </c>
      <c r="B236">
        <f>IFERROR(VLOOKUP(A236,管理亚马逊库存!A:K,11,0),"")</f>
        <v>0</v>
      </c>
      <c r="C236">
        <f>IFERROR(VLOOKUP(A236,管理亚马逊库存!A:L,12,0),"")</f>
        <v>0</v>
      </c>
      <c r="D236">
        <f>IFERROR(VLOOKUP(A236,管理亚马逊库存!A:Q,17,0),"")</f>
        <v>0</v>
      </c>
      <c r="E236">
        <f>IFERROR(VLOOKUP(A236,管理亚马逊库存!A:R,18,0),"")</f>
        <v>0</v>
      </c>
      <c r="F236">
        <f t="shared" si="7"/>
        <v>0</v>
      </c>
      <c r="G236">
        <f>IFERROR(VLOOKUP(A236,预留库存!A:G,7,0),0)</f>
        <v>0</v>
      </c>
      <c r="H236">
        <f>IFERROR(VLOOKUP(A236,预留库存!A:H,8,0),0)</f>
        <v>0</v>
      </c>
      <c r="I236">
        <f>IFERROR(VLOOKUP(A236,预留库存!A:F,6,0),0)</f>
        <v>0</v>
      </c>
      <c r="J236">
        <f>IFERROR(VLOOKUP(A236,库龄!B:K,9,0),0)</f>
        <v>0</v>
      </c>
      <c r="K236">
        <f>IFERROR(VLOOKUP(A236,库龄!B:L,10,0),0)</f>
        <v>0</v>
      </c>
      <c r="L236">
        <f>IFERROR(VLOOKUP(A236,库龄!B:M,11,0),0)</f>
        <v>0</v>
      </c>
      <c r="M236">
        <f>IFERROR(VLOOKUP(A236,库龄!B:N,12,0),0)</f>
        <v>0</v>
      </c>
      <c r="N236">
        <f t="shared" si="8"/>
        <v>0</v>
      </c>
    </row>
    <row r="237" spans="1:14">
      <c r="A237" s="3" t="s">
        <v>574</v>
      </c>
      <c r="B237">
        <f>IFERROR(VLOOKUP(A237,管理亚马逊库存!A:K,11,0),"")</f>
        <v>0</v>
      </c>
      <c r="C237">
        <f>IFERROR(VLOOKUP(A237,管理亚马逊库存!A:L,12,0),"")</f>
        <v>0</v>
      </c>
      <c r="D237">
        <f>IFERROR(VLOOKUP(A237,管理亚马逊库存!A:Q,17,0),"")</f>
        <v>0</v>
      </c>
      <c r="E237">
        <f>IFERROR(VLOOKUP(A237,管理亚马逊库存!A:R,18,0),"")</f>
        <v>0</v>
      </c>
      <c r="F237">
        <f t="shared" si="7"/>
        <v>0</v>
      </c>
      <c r="G237">
        <f>IFERROR(VLOOKUP(A237,预留库存!A:G,7,0),0)</f>
        <v>0</v>
      </c>
      <c r="H237">
        <f>IFERROR(VLOOKUP(A237,预留库存!A:H,8,0),0)</f>
        <v>0</v>
      </c>
      <c r="I237">
        <f>IFERROR(VLOOKUP(A237,预留库存!A:F,6,0),0)</f>
        <v>0</v>
      </c>
      <c r="J237">
        <f>IFERROR(VLOOKUP(A237,库龄!B:K,9,0),0)</f>
        <v>0</v>
      </c>
      <c r="K237">
        <f>IFERROR(VLOOKUP(A237,库龄!B:L,10,0),0)</f>
        <v>0</v>
      </c>
      <c r="L237">
        <f>IFERROR(VLOOKUP(A237,库龄!B:M,11,0),0)</f>
        <v>0</v>
      </c>
      <c r="M237">
        <f>IFERROR(VLOOKUP(A237,库龄!B:N,12,0),0)</f>
        <v>0</v>
      </c>
      <c r="N237">
        <f t="shared" si="8"/>
        <v>0</v>
      </c>
    </row>
    <row r="238" spans="1:14">
      <c r="A238" s="3" t="s">
        <v>577</v>
      </c>
      <c r="B238">
        <f>IFERROR(VLOOKUP(A238,管理亚马逊库存!A:K,11,0),"")</f>
        <v>0</v>
      </c>
      <c r="C238">
        <f>IFERROR(VLOOKUP(A238,管理亚马逊库存!A:L,12,0),"")</f>
        <v>0</v>
      </c>
      <c r="D238">
        <f>IFERROR(VLOOKUP(A238,管理亚马逊库存!A:Q,17,0),"")</f>
        <v>0</v>
      </c>
      <c r="E238">
        <f>IFERROR(VLOOKUP(A238,管理亚马逊库存!A:R,18,0),"")</f>
        <v>0</v>
      </c>
      <c r="F238">
        <f t="shared" si="7"/>
        <v>0</v>
      </c>
      <c r="G238">
        <f>IFERROR(VLOOKUP(A238,预留库存!A:G,7,0),0)</f>
        <v>0</v>
      </c>
      <c r="H238">
        <f>IFERROR(VLOOKUP(A238,预留库存!A:H,8,0),0)</f>
        <v>0</v>
      </c>
      <c r="I238">
        <f>IFERROR(VLOOKUP(A238,预留库存!A:F,6,0),0)</f>
        <v>0</v>
      </c>
      <c r="J238">
        <f>IFERROR(VLOOKUP(A238,库龄!B:K,9,0),0)</f>
        <v>0</v>
      </c>
      <c r="K238">
        <f>IFERROR(VLOOKUP(A238,库龄!B:L,10,0),0)</f>
        <v>0</v>
      </c>
      <c r="L238">
        <f>IFERROR(VLOOKUP(A238,库龄!B:M,11,0),0)</f>
        <v>0</v>
      </c>
      <c r="M238">
        <f>IFERROR(VLOOKUP(A238,库龄!B:N,12,0),0)</f>
        <v>0</v>
      </c>
      <c r="N238">
        <f t="shared" si="8"/>
        <v>0</v>
      </c>
    </row>
    <row r="239" spans="1:14">
      <c r="A239" s="3" t="s">
        <v>580</v>
      </c>
      <c r="B239">
        <f>IFERROR(VLOOKUP(A239,管理亚马逊库存!A:K,11,0),"")</f>
        <v>2</v>
      </c>
      <c r="C239">
        <f>IFERROR(VLOOKUP(A239,管理亚马逊库存!A:L,12,0),"")</f>
        <v>0</v>
      </c>
      <c r="D239">
        <f>IFERROR(VLOOKUP(A239,管理亚马逊库存!A:Q,17,0),"")</f>
        <v>0</v>
      </c>
      <c r="E239">
        <f>IFERROR(VLOOKUP(A239,管理亚马逊库存!A:R,18,0),"")</f>
        <v>0</v>
      </c>
      <c r="F239">
        <f t="shared" si="7"/>
        <v>0</v>
      </c>
      <c r="G239">
        <f>IFERROR(VLOOKUP(A239,预留库存!A:G,7,0),0)</f>
        <v>0</v>
      </c>
      <c r="H239">
        <f>IFERROR(VLOOKUP(A239,预留库存!A:H,8,0),0)</f>
        <v>0</v>
      </c>
      <c r="I239">
        <f>IFERROR(VLOOKUP(A239,预留库存!A:F,6,0),0)</f>
        <v>0</v>
      </c>
      <c r="J239">
        <f>IFERROR(VLOOKUP(A239,库龄!B:K,9,0),0)</f>
        <v>0</v>
      </c>
      <c r="K239">
        <f>IFERROR(VLOOKUP(A239,库龄!B:L,10,0),0)</f>
        <v>0</v>
      </c>
      <c r="L239">
        <f>IFERROR(VLOOKUP(A239,库龄!B:M,11,0),0)</f>
        <v>0</v>
      </c>
      <c r="M239">
        <f>IFERROR(VLOOKUP(A239,库龄!B:N,12,0),0)</f>
        <v>0</v>
      </c>
      <c r="N239">
        <f t="shared" si="8"/>
        <v>0</v>
      </c>
    </row>
    <row r="240" spans="1:14">
      <c r="A240" s="3" t="s">
        <v>582</v>
      </c>
      <c r="B240">
        <f>IFERROR(VLOOKUP(A240,管理亚马逊库存!A:K,11,0),"")</f>
        <v>0</v>
      </c>
      <c r="C240">
        <f>IFERROR(VLOOKUP(A240,管理亚马逊库存!A:L,12,0),"")</f>
        <v>0</v>
      </c>
      <c r="D240">
        <f>IFERROR(VLOOKUP(A240,管理亚马逊库存!A:Q,17,0),"")</f>
        <v>0</v>
      </c>
      <c r="E240">
        <f>IFERROR(VLOOKUP(A240,管理亚马逊库存!A:R,18,0),"")</f>
        <v>0</v>
      </c>
      <c r="F240">
        <f t="shared" si="7"/>
        <v>0</v>
      </c>
      <c r="G240">
        <f>IFERROR(VLOOKUP(A240,预留库存!A:G,7,0),0)</f>
        <v>0</v>
      </c>
      <c r="H240">
        <f>IFERROR(VLOOKUP(A240,预留库存!A:H,8,0),0)</f>
        <v>0</v>
      </c>
      <c r="I240">
        <f>IFERROR(VLOOKUP(A240,预留库存!A:F,6,0),0)</f>
        <v>0</v>
      </c>
      <c r="J240">
        <f>IFERROR(VLOOKUP(A240,库龄!B:K,9,0),0)</f>
        <v>0</v>
      </c>
      <c r="K240">
        <f>IFERROR(VLOOKUP(A240,库龄!B:L,10,0),0)</f>
        <v>0</v>
      </c>
      <c r="L240">
        <f>IFERROR(VLOOKUP(A240,库龄!B:M,11,0),0)</f>
        <v>0</v>
      </c>
      <c r="M240">
        <f>IFERROR(VLOOKUP(A240,库龄!B:N,12,0),0)</f>
        <v>0</v>
      </c>
      <c r="N240">
        <f t="shared" si="8"/>
        <v>0</v>
      </c>
    </row>
    <row r="241" spans="1:14">
      <c r="A241" s="3" t="s">
        <v>585</v>
      </c>
      <c r="B241">
        <f>IFERROR(VLOOKUP(A241,管理亚马逊库存!A:K,11,0),"")</f>
        <v>0</v>
      </c>
      <c r="C241">
        <f>IFERROR(VLOOKUP(A241,管理亚马逊库存!A:L,12,0),"")</f>
        <v>0</v>
      </c>
      <c r="D241">
        <f>IFERROR(VLOOKUP(A241,管理亚马逊库存!A:Q,17,0),"")</f>
        <v>0</v>
      </c>
      <c r="E241">
        <f>IFERROR(VLOOKUP(A241,管理亚马逊库存!A:R,18,0),"")</f>
        <v>0</v>
      </c>
      <c r="F241">
        <f t="shared" si="7"/>
        <v>0</v>
      </c>
      <c r="G241" t="str">
        <f>IFERROR(VLOOKUP(A241,预留库存!A:G,7,0),0)</f>
        <v>Yes</v>
      </c>
      <c r="H241">
        <f>IFERROR(VLOOKUP(A241,预留库存!A:H,8,0),0)</f>
        <v>6</v>
      </c>
      <c r="I241">
        <f>IFERROR(VLOOKUP(A241,预留库存!A:F,6,0),0)</f>
        <v>39.98</v>
      </c>
      <c r="J241">
        <f>IFERROR(VLOOKUP(A241,库龄!B:K,9,0),0)</f>
        <v>0</v>
      </c>
      <c r="K241">
        <f>IFERROR(VLOOKUP(A241,库龄!B:L,10,0),0)</f>
        <v>0</v>
      </c>
      <c r="L241">
        <f>IFERROR(VLOOKUP(A241,库龄!B:M,11,0),0)</f>
        <v>0</v>
      </c>
      <c r="M241">
        <f>IFERROR(VLOOKUP(A241,库龄!B:N,12,0),0)</f>
        <v>0</v>
      </c>
      <c r="N241">
        <f t="shared" si="8"/>
        <v>0</v>
      </c>
    </row>
    <row r="242" spans="1:14">
      <c r="A242" s="3" t="s">
        <v>589</v>
      </c>
      <c r="B242">
        <f>IFERROR(VLOOKUP(A242,管理亚马逊库存!A:K,11,0),"")</f>
        <v>10</v>
      </c>
      <c r="C242">
        <f>IFERROR(VLOOKUP(A242,管理亚马逊库存!A:L,12,0),"")</f>
        <v>0</v>
      </c>
      <c r="D242">
        <f>IFERROR(VLOOKUP(A242,管理亚马逊库存!A:Q,17,0),"")</f>
        <v>0</v>
      </c>
      <c r="E242">
        <f>IFERROR(VLOOKUP(A242,管理亚马逊库存!A:R,18,0),"")</f>
        <v>0</v>
      </c>
      <c r="F242">
        <f t="shared" si="7"/>
        <v>0</v>
      </c>
      <c r="G242" t="str">
        <f>IFERROR(VLOOKUP(A242,预留库存!A:G,7,0),0)</f>
        <v>No</v>
      </c>
      <c r="H242">
        <f>IFERROR(VLOOKUP(A242,预留库存!A:H,8,0),0)</f>
        <v>0</v>
      </c>
      <c r="I242">
        <f>IFERROR(VLOOKUP(A242,预留库存!A:F,6,0),0)</f>
        <v>24.98</v>
      </c>
      <c r="J242">
        <f>IFERROR(VLOOKUP(A242,库龄!B:K,9,0),0)</f>
        <v>5</v>
      </c>
      <c r="K242">
        <f>IFERROR(VLOOKUP(A242,库龄!B:L,10,0),0)</f>
        <v>0</v>
      </c>
      <c r="L242">
        <f>IFERROR(VLOOKUP(A242,库龄!B:M,11,0),0)</f>
        <v>0</v>
      </c>
      <c r="M242">
        <f>IFERROR(VLOOKUP(A242,库龄!B:N,12,0),0)</f>
        <v>0</v>
      </c>
      <c r="N242">
        <f t="shared" si="8"/>
        <v>5</v>
      </c>
    </row>
    <row r="243" spans="1:14">
      <c r="A243" s="3" t="s">
        <v>592</v>
      </c>
      <c r="B243">
        <f>IFERROR(VLOOKUP(A243,管理亚马逊库存!A:K,11,0),"")</f>
        <v>10</v>
      </c>
      <c r="C243">
        <f>IFERROR(VLOOKUP(A243,管理亚马逊库存!A:L,12,0),"")</f>
        <v>0</v>
      </c>
      <c r="D243">
        <f>IFERROR(VLOOKUP(A243,管理亚马逊库存!A:Q,17,0),"")</f>
        <v>0</v>
      </c>
      <c r="E243">
        <f>IFERROR(VLOOKUP(A243,管理亚马逊库存!A:R,18,0),"")</f>
        <v>0</v>
      </c>
      <c r="F243">
        <f t="shared" si="7"/>
        <v>0</v>
      </c>
      <c r="G243" t="str">
        <f>IFERROR(VLOOKUP(A243,预留库存!A:G,7,0),0)</f>
        <v>No</v>
      </c>
      <c r="H243">
        <f>IFERROR(VLOOKUP(A243,预留库存!A:H,8,0),0)</f>
        <v>0</v>
      </c>
      <c r="I243">
        <f>IFERROR(VLOOKUP(A243,预留库存!A:F,6,0),0)</f>
        <v>24.98</v>
      </c>
      <c r="J243">
        <f>IFERROR(VLOOKUP(A243,库龄!B:K,9,0),0)</f>
        <v>5</v>
      </c>
      <c r="K243">
        <f>IFERROR(VLOOKUP(A243,库龄!B:L,10,0),0)</f>
        <v>0</v>
      </c>
      <c r="L243">
        <f>IFERROR(VLOOKUP(A243,库龄!B:M,11,0),0)</f>
        <v>0</v>
      </c>
      <c r="M243">
        <f>IFERROR(VLOOKUP(A243,库龄!B:N,12,0),0)</f>
        <v>0</v>
      </c>
      <c r="N243">
        <f t="shared" si="8"/>
        <v>5</v>
      </c>
    </row>
    <row r="244" spans="1:14">
      <c r="A244" s="3" t="s">
        <v>595</v>
      </c>
      <c r="B244">
        <f>IFERROR(VLOOKUP(A244,管理亚马逊库存!A:K,11,0),"")</f>
        <v>10</v>
      </c>
      <c r="C244">
        <f>IFERROR(VLOOKUP(A244,管理亚马逊库存!A:L,12,0),"")</f>
        <v>0</v>
      </c>
      <c r="D244">
        <f>IFERROR(VLOOKUP(A244,管理亚马逊库存!A:Q,17,0),"")</f>
        <v>0</v>
      </c>
      <c r="E244">
        <f>IFERROR(VLOOKUP(A244,管理亚马逊库存!A:R,18,0),"")</f>
        <v>0</v>
      </c>
      <c r="F244">
        <f t="shared" si="7"/>
        <v>0</v>
      </c>
      <c r="G244" t="str">
        <f>IFERROR(VLOOKUP(A244,预留库存!A:G,7,0),0)</f>
        <v>No</v>
      </c>
      <c r="H244">
        <f>IFERROR(VLOOKUP(A244,预留库存!A:H,8,0),0)</f>
        <v>0</v>
      </c>
      <c r="I244">
        <f>IFERROR(VLOOKUP(A244,预留库存!A:F,6,0),0)</f>
        <v>24.98</v>
      </c>
      <c r="J244">
        <f>IFERROR(VLOOKUP(A244,库龄!B:K,9,0),0)</f>
        <v>2</v>
      </c>
      <c r="K244">
        <f>IFERROR(VLOOKUP(A244,库龄!B:L,10,0),0)</f>
        <v>0</v>
      </c>
      <c r="L244">
        <f>IFERROR(VLOOKUP(A244,库龄!B:M,11,0),0)</f>
        <v>0</v>
      </c>
      <c r="M244">
        <f>IFERROR(VLOOKUP(A244,库龄!B:N,12,0),0)</f>
        <v>0</v>
      </c>
      <c r="N244">
        <f t="shared" si="8"/>
        <v>2</v>
      </c>
    </row>
    <row r="245" spans="1:14">
      <c r="A245" s="3" t="s">
        <v>598</v>
      </c>
      <c r="B245">
        <f>IFERROR(VLOOKUP(A245,管理亚马逊库存!A:K,11,0),"")</f>
        <v>5</v>
      </c>
      <c r="C245">
        <f>IFERROR(VLOOKUP(A245,管理亚马逊库存!A:L,12,0),"")</f>
        <v>0</v>
      </c>
      <c r="D245">
        <f>IFERROR(VLOOKUP(A245,管理亚马逊库存!A:Q,17,0),"")</f>
        <v>0</v>
      </c>
      <c r="E245">
        <f>IFERROR(VLOOKUP(A245,管理亚马逊库存!A:R,18,0),"")</f>
        <v>0</v>
      </c>
      <c r="F245">
        <f t="shared" si="7"/>
        <v>0</v>
      </c>
      <c r="G245" t="str">
        <f>IFERROR(VLOOKUP(A245,预留库存!A:G,7,0),0)</f>
        <v>No</v>
      </c>
      <c r="H245">
        <f>IFERROR(VLOOKUP(A245,预留库存!A:H,8,0),0)</f>
        <v>0</v>
      </c>
      <c r="I245">
        <f>IFERROR(VLOOKUP(A245,预留库存!A:F,6,0),0)</f>
        <v>24.98</v>
      </c>
      <c r="J245">
        <f>IFERROR(VLOOKUP(A245,库龄!B:K,9,0),0)</f>
        <v>2</v>
      </c>
      <c r="K245">
        <f>IFERROR(VLOOKUP(A245,库龄!B:L,10,0),0)</f>
        <v>0</v>
      </c>
      <c r="L245">
        <f>IFERROR(VLOOKUP(A245,库龄!B:M,11,0),0)</f>
        <v>0</v>
      </c>
      <c r="M245">
        <f>IFERROR(VLOOKUP(A245,库龄!B:N,12,0),0)</f>
        <v>0</v>
      </c>
      <c r="N245">
        <f t="shared" si="8"/>
        <v>2</v>
      </c>
    </row>
    <row r="246" spans="1:14">
      <c r="A246" s="3" t="s">
        <v>601</v>
      </c>
      <c r="B246">
        <f>IFERROR(VLOOKUP(A246,管理亚马逊库存!A:K,11,0),"")</f>
        <v>1</v>
      </c>
      <c r="C246">
        <f>IFERROR(VLOOKUP(A246,管理亚马逊库存!A:L,12,0),"")</f>
        <v>0</v>
      </c>
      <c r="D246">
        <f>IFERROR(VLOOKUP(A246,管理亚马逊库存!A:Q,17,0),"")</f>
        <v>0</v>
      </c>
      <c r="E246">
        <f>IFERROR(VLOOKUP(A246,管理亚马逊库存!A:R,18,0),"")</f>
        <v>0</v>
      </c>
      <c r="F246">
        <f t="shared" si="7"/>
        <v>0</v>
      </c>
      <c r="G246" t="str">
        <f>IFERROR(VLOOKUP(A246,预留库存!A:G,7,0),0)</f>
        <v>No</v>
      </c>
      <c r="H246">
        <f>IFERROR(VLOOKUP(A246,预留库存!A:H,8,0),0)</f>
        <v>0</v>
      </c>
      <c r="I246">
        <f>IFERROR(VLOOKUP(A246,预留库存!A:F,6,0),0)</f>
        <v>24.98</v>
      </c>
      <c r="J246">
        <f>IFERROR(VLOOKUP(A246,库龄!B:K,9,0),0)</f>
        <v>1</v>
      </c>
      <c r="K246">
        <f>IFERROR(VLOOKUP(A246,库龄!B:L,10,0),0)</f>
        <v>0</v>
      </c>
      <c r="L246">
        <f>IFERROR(VLOOKUP(A246,库龄!B:M,11,0),0)</f>
        <v>0</v>
      </c>
      <c r="M246">
        <f>IFERROR(VLOOKUP(A246,库龄!B:N,12,0),0)</f>
        <v>0</v>
      </c>
      <c r="N246">
        <f t="shared" si="8"/>
        <v>1</v>
      </c>
    </row>
    <row r="247" spans="1:14">
      <c r="A247" s="3" t="s">
        <v>604</v>
      </c>
      <c r="B247">
        <f>IFERROR(VLOOKUP(A247,管理亚马逊库存!A:K,11,0),"")</f>
        <v>0</v>
      </c>
      <c r="C247">
        <f>IFERROR(VLOOKUP(A247,管理亚马逊库存!A:L,12,0),"")</f>
        <v>0</v>
      </c>
      <c r="D247">
        <f>IFERROR(VLOOKUP(A247,管理亚马逊库存!A:Q,17,0),"")</f>
        <v>0</v>
      </c>
      <c r="E247">
        <f>IFERROR(VLOOKUP(A247,管理亚马逊库存!A:R,18,0),"")</f>
        <v>0</v>
      </c>
      <c r="F247">
        <f t="shared" si="7"/>
        <v>0</v>
      </c>
      <c r="G247" t="str">
        <f>IFERROR(VLOOKUP(A247,预留库存!A:G,7,0),0)</f>
        <v>No</v>
      </c>
      <c r="H247">
        <f>IFERROR(VLOOKUP(A247,预留库存!A:H,8,0),0)</f>
        <v>0</v>
      </c>
      <c r="I247">
        <f>IFERROR(VLOOKUP(A247,预留库存!A:F,6,0),0)</f>
        <v>24.98</v>
      </c>
      <c r="J247">
        <f>IFERROR(VLOOKUP(A247,库龄!B:K,9,0),0)</f>
        <v>0</v>
      </c>
      <c r="K247">
        <f>IFERROR(VLOOKUP(A247,库龄!B:L,10,0),0)</f>
        <v>0</v>
      </c>
      <c r="L247">
        <f>IFERROR(VLOOKUP(A247,库龄!B:M,11,0),0)</f>
        <v>0</v>
      </c>
      <c r="M247">
        <f>IFERROR(VLOOKUP(A247,库龄!B:N,12,0),0)</f>
        <v>0</v>
      </c>
      <c r="N247">
        <f t="shared" si="8"/>
        <v>0</v>
      </c>
    </row>
    <row r="248" spans="1:14">
      <c r="A248" s="3" t="s">
        <v>607</v>
      </c>
      <c r="B248">
        <f>IFERROR(VLOOKUP(A248,管理亚马逊库存!A:K,11,0),"")</f>
        <v>7</v>
      </c>
      <c r="C248">
        <f>IFERROR(VLOOKUP(A248,管理亚马逊库存!A:L,12,0),"")</f>
        <v>0</v>
      </c>
      <c r="D248">
        <f>IFERROR(VLOOKUP(A248,管理亚马逊库存!A:Q,17,0),"")</f>
        <v>0</v>
      </c>
      <c r="E248">
        <f>IFERROR(VLOOKUP(A248,管理亚马逊库存!A:R,18,0),"")</f>
        <v>0</v>
      </c>
      <c r="F248">
        <f t="shared" si="7"/>
        <v>0</v>
      </c>
      <c r="G248" t="str">
        <f>IFERROR(VLOOKUP(A248,预留库存!A:G,7,0),0)</f>
        <v>No</v>
      </c>
      <c r="H248">
        <f>IFERROR(VLOOKUP(A248,预留库存!A:H,8,0),0)</f>
        <v>0</v>
      </c>
      <c r="I248">
        <f>IFERROR(VLOOKUP(A248,预留库存!A:F,6,0),0)</f>
        <v>24.98</v>
      </c>
      <c r="J248">
        <f>IFERROR(VLOOKUP(A248,库龄!B:K,9,0),0)</f>
        <v>0</v>
      </c>
      <c r="K248">
        <f>IFERROR(VLOOKUP(A248,库龄!B:L,10,0),0)</f>
        <v>0</v>
      </c>
      <c r="L248">
        <f>IFERROR(VLOOKUP(A248,库龄!B:M,11,0),0)</f>
        <v>0</v>
      </c>
      <c r="M248">
        <f>IFERROR(VLOOKUP(A248,库龄!B:N,12,0),0)</f>
        <v>0</v>
      </c>
      <c r="N248">
        <f t="shared" si="8"/>
        <v>0</v>
      </c>
    </row>
    <row r="249" spans="1:14">
      <c r="A249" s="3" t="s">
        <v>610</v>
      </c>
      <c r="B249">
        <f>IFERROR(VLOOKUP(A249,管理亚马逊库存!A:K,11,0),"")</f>
        <v>6</v>
      </c>
      <c r="C249">
        <f>IFERROR(VLOOKUP(A249,管理亚马逊库存!A:L,12,0),"")</f>
        <v>0</v>
      </c>
      <c r="D249">
        <f>IFERROR(VLOOKUP(A249,管理亚马逊库存!A:Q,17,0),"")</f>
        <v>0</v>
      </c>
      <c r="E249">
        <f>IFERROR(VLOOKUP(A249,管理亚马逊库存!A:R,18,0),"")</f>
        <v>0</v>
      </c>
      <c r="F249">
        <f t="shared" si="7"/>
        <v>0</v>
      </c>
      <c r="G249" t="str">
        <f>IFERROR(VLOOKUP(A249,预留库存!A:G,7,0),0)</f>
        <v>No</v>
      </c>
      <c r="H249">
        <f>IFERROR(VLOOKUP(A249,预留库存!A:H,8,0),0)</f>
        <v>0</v>
      </c>
      <c r="I249">
        <f>IFERROR(VLOOKUP(A249,预留库存!A:F,6,0),0)</f>
        <v>24.98</v>
      </c>
      <c r="J249">
        <f>IFERROR(VLOOKUP(A249,库龄!B:K,9,0),0)</f>
        <v>6</v>
      </c>
      <c r="K249">
        <f>IFERROR(VLOOKUP(A249,库龄!B:L,10,0),0)</f>
        <v>0</v>
      </c>
      <c r="L249">
        <f>IFERROR(VLOOKUP(A249,库龄!B:M,11,0),0)</f>
        <v>0</v>
      </c>
      <c r="M249">
        <f>IFERROR(VLOOKUP(A249,库龄!B:N,12,0),0)</f>
        <v>0</v>
      </c>
      <c r="N249">
        <f t="shared" si="8"/>
        <v>6</v>
      </c>
    </row>
    <row r="250" spans="1:14">
      <c r="A250" s="3" t="s">
        <v>613</v>
      </c>
      <c r="B250">
        <f>IFERROR(VLOOKUP(A250,管理亚马逊库存!A:K,11,0),"")</f>
        <v>9</v>
      </c>
      <c r="C250">
        <f>IFERROR(VLOOKUP(A250,管理亚马逊库存!A:L,12,0),"")</f>
        <v>0</v>
      </c>
      <c r="D250">
        <f>IFERROR(VLOOKUP(A250,管理亚马逊库存!A:Q,17,0),"")</f>
        <v>0</v>
      </c>
      <c r="E250">
        <f>IFERROR(VLOOKUP(A250,管理亚马逊库存!A:R,18,0),"")</f>
        <v>0</v>
      </c>
      <c r="F250">
        <f t="shared" si="7"/>
        <v>0</v>
      </c>
      <c r="G250" t="str">
        <f>IFERROR(VLOOKUP(A250,预留库存!A:G,7,0),0)</f>
        <v>No</v>
      </c>
      <c r="H250">
        <f>IFERROR(VLOOKUP(A250,预留库存!A:H,8,0),0)</f>
        <v>0</v>
      </c>
      <c r="I250">
        <f>IFERROR(VLOOKUP(A250,预留库存!A:F,6,0),0)</f>
        <v>24.98</v>
      </c>
      <c r="J250">
        <f>IFERROR(VLOOKUP(A250,库龄!B:K,9,0),0)</f>
        <v>0</v>
      </c>
      <c r="K250">
        <f>IFERROR(VLOOKUP(A250,库龄!B:L,10,0),0)</f>
        <v>0</v>
      </c>
      <c r="L250">
        <f>IFERROR(VLOOKUP(A250,库龄!B:M,11,0),0)</f>
        <v>0</v>
      </c>
      <c r="M250">
        <f>IFERROR(VLOOKUP(A250,库龄!B:N,12,0),0)</f>
        <v>0</v>
      </c>
      <c r="N250">
        <f t="shared" si="8"/>
        <v>0</v>
      </c>
    </row>
    <row r="251" spans="1:14">
      <c r="A251" s="3" t="s">
        <v>616</v>
      </c>
      <c r="B251">
        <f>IFERROR(VLOOKUP(A251,管理亚马逊库存!A:K,11,0),"")</f>
        <v>8</v>
      </c>
      <c r="C251">
        <f>IFERROR(VLOOKUP(A251,管理亚马逊库存!A:L,12,0),"")</f>
        <v>0</v>
      </c>
      <c r="D251">
        <f>IFERROR(VLOOKUP(A251,管理亚马逊库存!A:Q,17,0),"")</f>
        <v>0</v>
      </c>
      <c r="E251">
        <f>IFERROR(VLOOKUP(A251,管理亚马逊库存!A:R,18,0),"")</f>
        <v>0</v>
      </c>
      <c r="F251">
        <f t="shared" si="7"/>
        <v>0</v>
      </c>
      <c r="G251" t="str">
        <f>IFERROR(VLOOKUP(A251,预留库存!A:G,7,0),0)</f>
        <v>No</v>
      </c>
      <c r="H251">
        <f>IFERROR(VLOOKUP(A251,预留库存!A:H,8,0),0)</f>
        <v>0</v>
      </c>
      <c r="I251">
        <f>IFERROR(VLOOKUP(A251,预留库存!A:F,6,0),0)</f>
        <v>24.98</v>
      </c>
      <c r="J251">
        <f>IFERROR(VLOOKUP(A251,库龄!B:K,9,0),0)</f>
        <v>0</v>
      </c>
      <c r="K251">
        <f>IFERROR(VLOOKUP(A251,库龄!B:L,10,0),0)</f>
        <v>0</v>
      </c>
      <c r="L251">
        <f>IFERROR(VLOOKUP(A251,库龄!B:M,11,0),0)</f>
        <v>0</v>
      </c>
      <c r="M251">
        <f>IFERROR(VLOOKUP(A251,库龄!B:N,12,0),0)</f>
        <v>0</v>
      </c>
      <c r="N251">
        <f t="shared" si="8"/>
        <v>0</v>
      </c>
    </row>
    <row r="252" spans="1:14">
      <c r="A252" s="3" t="s">
        <v>619</v>
      </c>
      <c r="B252">
        <f>IFERROR(VLOOKUP(A252,管理亚马逊库存!A:K,11,0),"")</f>
        <v>10</v>
      </c>
      <c r="C252">
        <f>IFERROR(VLOOKUP(A252,管理亚马逊库存!A:L,12,0),"")</f>
        <v>0</v>
      </c>
      <c r="D252">
        <f>IFERROR(VLOOKUP(A252,管理亚马逊库存!A:Q,17,0),"")</f>
        <v>0</v>
      </c>
      <c r="E252">
        <f>IFERROR(VLOOKUP(A252,管理亚马逊库存!A:R,18,0),"")</f>
        <v>0</v>
      </c>
      <c r="F252">
        <f t="shared" si="7"/>
        <v>0</v>
      </c>
      <c r="G252" t="str">
        <f>IFERROR(VLOOKUP(A252,预留库存!A:G,7,0),0)</f>
        <v>No</v>
      </c>
      <c r="H252">
        <f>IFERROR(VLOOKUP(A252,预留库存!A:H,8,0),0)</f>
        <v>0</v>
      </c>
      <c r="I252">
        <f>IFERROR(VLOOKUP(A252,预留库存!A:F,6,0),0)</f>
        <v>24.98</v>
      </c>
      <c r="J252">
        <f>IFERROR(VLOOKUP(A252,库龄!B:K,9,0),0)</f>
        <v>1</v>
      </c>
      <c r="K252">
        <f>IFERROR(VLOOKUP(A252,库龄!B:L,10,0),0)</f>
        <v>0</v>
      </c>
      <c r="L252">
        <f>IFERROR(VLOOKUP(A252,库龄!B:M,11,0),0)</f>
        <v>0</v>
      </c>
      <c r="M252">
        <f>IFERROR(VLOOKUP(A252,库龄!B:N,12,0),0)</f>
        <v>0</v>
      </c>
      <c r="N252">
        <f t="shared" si="8"/>
        <v>1</v>
      </c>
    </row>
    <row r="253" spans="1:14">
      <c r="A253" s="3" t="s">
        <v>622</v>
      </c>
      <c r="B253">
        <f>IFERROR(VLOOKUP(A253,管理亚马逊库存!A:K,11,0),"")</f>
        <v>10</v>
      </c>
      <c r="C253">
        <f>IFERROR(VLOOKUP(A253,管理亚马逊库存!A:L,12,0),"")</f>
        <v>0</v>
      </c>
      <c r="D253">
        <f>IFERROR(VLOOKUP(A253,管理亚马逊库存!A:Q,17,0),"")</f>
        <v>0</v>
      </c>
      <c r="E253">
        <f>IFERROR(VLOOKUP(A253,管理亚马逊库存!A:R,18,0),"")</f>
        <v>0</v>
      </c>
      <c r="F253">
        <f t="shared" si="7"/>
        <v>0</v>
      </c>
      <c r="G253" t="str">
        <f>IFERROR(VLOOKUP(A253,预留库存!A:G,7,0),0)</f>
        <v>No</v>
      </c>
      <c r="H253">
        <f>IFERROR(VLOOKUP(A253,预留库存!A:H,8,0),0)</f>
        <v>0</v>
      </c>
      <c r="I253">
        <f>IFERROR(VLOOKUP(A253,预留库存!A:F,6,0),0)</f>
        <v>24.98</v>
      </c>
      <c r="J253">
        <f>IFERROR(VLOOKUP(A253,库龄!B:K,9,0),0)</f>
        <v>2</v>
      </c>
      <c r="K253">
        <f>IFERROR(VLOOKUP(A253,库龄!B:L,10,0),0)</f>
        <v>0</v>
      </c>
      <c r="L253">
        <f>IFERROR(VLOOKUP(A253,库龄!B:M,11,0),0)</f>
        <v>0</v>
      </c>
      <c r="M253">
        <f>IFERROR(VLOOKUP(A253,库龄!B:N,12,0),0)</f>
        <v>0</v>
      </c>
      <c r="N253">
        <f t="shared" si="8"/>
        <v>2</v>
      </c>
    </row>
    <row r="254" spans="1:14">
      <c r="A254" s="3" t="s">
        <v>625</v>
      </c>
      <c r="B254">
        <f>IFERROR(VLOOKUP(A254,管理亚马逊库存!A:K,11,0),"")</f>
        <v>10</v>
      </c>
      <c r="C254">
        <f>IFERROR(VLOOKUP(A254,管理亚马逊库存!A:L,12,0),"")</f>
        <v>0</v>
      </c>
      <c r="D254">
        <f>IFERROR(VLOOKUP(A254,管理亚马逊库存!A:Q,17,0),"")</f>
        <v>0</v>
      </c>
      <c r="E254">
        <f>IFERROR(VLOOKUP(A254,管理亚马逊库存!A:R,18,0),"")</f>
        <v>0</v>
      </c>
      <c r="F254">
        <f t="shared" si="7"/>
        <v>0</v>
      </c>
      <c r="G254" t="str">
        <f>IFERROR(VLOOKUP(A254,预留库存!A:G,7,0),0)</f>
        <v>No</v>
      </c>
      <c r="H254">
        <f>IFERROR(VLOOKUP(A254,预留库存!A:H,8,0),0)</f>
        <v>0</v>
      </c>
      <c r="I254">
        <f>IFERROR(VLOOKUP(A254,预留库存!A:F,6,0),0)</f>
        <v>24.98</v>
      </c>
      <c r="J254">
        <f>IFERROR(VLOOKUP(A254,库龄!B:K,9,0),0)</f>
        <v>2</v>
      </c>
      <c r="K254">
        <f>IFERROR(VLOOKUP(A254,库龄!B:L,10,0),0)</f>
        <v>0</v>
      </c>
      <c r="L254">
        <f>IFERROR(VLOOKUP(A254,库龄!B:M,11,0),0)</f>
        <v>0</v>
      </c>
      <c r="M254">
        <f>IFERROR(VLOOKUP(A254,库龄!B:N,12,0),0)</f>
        <v>0</v>
      </c>
      <c r="N254">
        <f t="shared" si="8"/>
        <v>2</v>
      </c>
    </row>
    <row r="255" spans="1:14">
      <c r="A255" s="3" t="s">
        <v>628</v>
      </c>
      <c r="B255">
        <f>IFERROR(VLOOKUP(A255,管理亚马逊库存!A:K,11,0),"")</f>
        <v>10</v>
      </c>
      <c r="C255">
        <f>IFERROR(VLOOKUP(A255,管理亚马逊库存!A:L,12,0),"")</f>
        <v>0</v>
      </c>
      <c r="D255">
        <f>IFERROR(VLOOKUP(A255,管理亚马逊库存!A:Q,17,0),"")</f>
        <v>0</v>
      </c>
      <c r="E255">
        <f>IFERROR(VLOOKUP(A255,管理亚马逊库存!A:R,18,0),"")</f>
        <v>0</v>
      </c>
      <c r="F255">
        <f t="shared" si="7"/>
        <v>0</v>
      </c>
      <c r="G255" t="str">
        <f>IFERROR(VLOOKUP(A255,预留库存!A:G,7,0),0)</f>
        <v>No</v>
      </c>
      <c r="H255">
        <f>IFERROR(VLOOKUP(A255,预留库存!A:H,8,0),0)</f>
        <v>0</v>
      </c>
      <c r="I255">
        <f>IFERROR(VLOOKUP(A255,预留库存!A:F,6,0),0)</f>
        <v>24.98</v>
      </c>
      <c r="J255">
        <f>IFERROR(VLOOKUP(A255,库龄!B:K,9,0),0)</f>
        <v>4</v>
      </c>
      <c r="K255">
        <f>IFERROR(VLOOKUP(A255,库龄!B:L,10,0),0)</f>
        <v>0</v>
      </c>
      <c r="L255">
        <f>IFERROR(VLOOKUP(A255,库龄!B:M,11,0),0)</f>
        <v>0</v>
      </c>
      <c r="M255">
        <f>IFERROR(VLOOKUP(A255,库龄!B:N,12,0),0)</f>
        <v>0</v>
      </c>
      <c r="N255">
        <f t="shared" si="8"/>
        <v>4</v>
      </c>
    </row>
    <row r="256" spans="1:14">
      <c r="A256" s="3" t="s">
        <v>631</v>
      </c>
      <c r="B256">
        <f>IFERROR(VLOOKUP(A256,管理亚马逊库存!A:K,11,0),"")</f>
        <v>10</v>
      </c>
      <c r="C256">
        <f>IFERROR(VLOOKUP(A256,管理亚马逊库存!A:L,12,0),"")</f>
        <v>0</v>
      </c>
      <c r="D256">
        <f>IFERROR(VLOOKUP(A256,管理亚马逊库存!A:Q,17,0),"")</f>
        <v>0</v>
      </c>
      <c r="E256">
        <f>IFERROR(VLOOKUP(A256,管理亚马逊库存!A:R,18,0),"")</f>
        <v>0</v>
      </c>
      <c r="F256">
        <f t="shared" si="7"/>
        <v>0</v>
      </c>
      <c r="G256" t="str">
        <f>IFERROR(VLOOKUP(A256,预留库存!A:G,7,0),0)</f>
        <v>No</v>
      </c>
      <c r="H256">
        <f>IFERROR(VLOOKUP(A256,预留库存!A:H,8,0),0)</f>
        <v>0</v>
      </c>
      <c r="I256">
        <f>IFERROR(VLOOKUP(A256,预留库存!A:F,6,0),0)</f>
        <v>24.98</v>
      </c>
      <c r="J256">
        <f>IFERROR(VLOOKUP(A256,库龄!B:K,9,0),0)</f>
        <v>6</v>
      </c>
      <c r="K256">
        <f>IFERROR(VLOOKUP(A256,库龄!B:L,10,0),0)</f>
        <v>0</v>
      </c>
      <c r="L256">
        <f>IFERROR(VLOOKUP(A256,库龄!B:M,11,0),0)</f>
        <v>0</v>
      </c>
      <c r="M256">
        <f>IFERROR(VLOOKUP(A256,库龄!B:N,12,0),0)</f>
        <v>0</v>
      </c>
      <c r="N256">
        <f t="shared" si="8"/>
        <v>6</v>
      </c>
    </row>
    <row r="257" spans="1:14">
      <c r="A257" s="3" t="s">
        <v>634</v>
      </c>
      <c r="B257">
        <f>IFERROR(VLOOKUP(A257,管理亚马逊库存!A:K,11,0),"")</f>
        <v>4</v>
      </c>
      <c r="C257">
        <f>IFERROR(VLOOKUP(A257,管理亚马逊库存!A:L,12,0),"")</f>
        <v>0</v>
      </c>
      <c r="D257">
        <f>IFERROR(VLOOKUP(A257,管理亚马逊库存!A:Q,17,0),"")</f>
        <v>0</v>
      </c>
      <c r="E257">
        <f>IFERROR(VLOOKUP(A257,管理亚马逊库存!A:R,18,0),"")</f>
        <v>0</v>
      </c>
      <c r="F257">
        <f t="shared" si="7"/>
        <v>0</v>
      </c>
      <c r="G257" t="str">
        <f>IFERROR(VLOOKUP(A257,预留库存!A:G,7,0),0)</f>
        <v>No</v>
      </c>
      <c r="H257">
        <f>IFERROR(VLOOKUP(A257,预留库存!A:H,8,0),0)</f>
        <v>0</v>
      </c>
      <c r="I257">
        <f>IFERROR(VLOOKUP(A257,预留库存!A:F,6,0),0)</f>
        <v>24.98</v>
      </c>
      <c r="J257">
        <f>IFERROR(VLOOKUP(A257,库龄!B:K,9,0),0)</f>
        <v>4</v>
      </c>
      <c r="K257">
        <f>IFERROR(VLOOKUP(A257,库龄!B:L,10,0),0)</f>
        <v>0</v>
      </c>
      <c r="L257">
        <f>IFERROR(VLOOKUP(A257,库龄!B:M,11,0),0)</f>
        <v>0</v>
      </c>
      <c r="M257">
        <f>IFERROR(VLOOKUP(A257,库龄!B:N,12,0),0)</f>
        <v>0</v>
      </c>
      <c r="N257">
        <f t="shared" si="8"/>
        <v>4</v>
      </c>
    </row>
    <row r="258" spans="1:14">
      <c r="A258" s="3" t="s">
        <v>637</v>
      </c>
      <c r="B258">
        <f>IFERROR(VLOOKUP(A258,管理亚马逊库存!A:K,11,0),"")</f>
        <v>10</v>
      </c>
      <c r="C258">
        <f>IFERROR(VLOOKUP(A258,管理亚马逊库存!A:L,12,0),"")</f>
        <v>0</v>
      </c>
      <c r="D258">
        <f>IFERROR(VLOOKUP(A258,管理亚马逊库存!A:Q,17,0),"")</f>
        <v>0</v>
      </c>
      <c r="E258">
        <f>IFERROR(VLOOKUP(A258,管理亚马逊库存!A:R,18,0),"")</f>
        <v>0</v>
      </c>
      <c r="F258">
        <f t="shared" si="7"/>
        <v>0</v>
      </c>
      <c r="G258" t="str">
        <f>IFERROR(VLOOKUP(A258,预留库存!A:G,7,0),0)</f>
        <v>No</v>
      </c>
      <c r="H258">
        <f>IFERROR(VLOOKUP(A258,预留库存!A:H,8,0),0)</f>
        <v>0</v>
      </c>
      <c r="I258">
        <f>IFERROR(VLOOKUP(A258,预留库存!A:F,6,0),0)</f>
        <v>24.98</v>
      </c>
      <c r="J258">
        <f>IFERROR(VLOOKUP(A258,库龄!B:K,9,0),0)</f>
        <v>4</v>
      </c>
      <c r="K258">
        <f>IFERROR(VLOOKUP(A258,库龄!B:L,10,0),0)</f>
        <v>0</v>
      </c>
      <c r="L258">
        <f>IFERROR(VLOOKUP(A258,库龄!B:M,11,0),0)</f>
        <v>0</v>
      </c>
      <c r="M258">
        <f>IFERROR(VLOOKUP(A258,库龄!B:N,12,0),0)</f>
        <v>0</v>
      </c>
      <c r="N258">
        <f t="shared" si="8"/>
        <v>4</v>
      </c>
    </row>
    <row r="259" spans="1:14">
      <c r="A259" s="3" t="s">
        <v>640</v>
      </c>
      <c r="B259">
        <f>IFERROR(VLOOKUP(A259,管理亚马逊库存!A:K,11,0),"")</f>
        <v>10</v>
      </c>
      <c r="C259">
        <f>IFERROR(VLOOKUP(A259,管理亚马逊库存!A:L,12,0),"")</f>
        <v>0</v>
      </c>
      <c r="D259">
        <f>IFERROR(VLOOKUP(A259,管理亚马逊库存!A:Q,17,0),"")</f>
        <v>0</v>
      </c>
      <c r="E259">
        <f>IFERROR(VLOOKUP(A259,管理亚马逊库存!A:R,18,0),"")</f>
        <v>0</v>
      </c>
      <c r="F259">
        <f t="shared" ref="F259:F322" si="9">SUM(D259:E259)</f>
        <v>0</v>
      </c>
      <c r="G259" t="str">
        <f>IFERROR(VLOOKUP(A259,预留库存!A:G,7,0),0)</f>
        <v>No</v>
      </c>
      <c r="H259">
        <f>IFERROR(VLOOKUP(A259,预留库存!A:H,8,0),0)</f>
        <v>0</v>
      </c>
      <c r="I259">
        <f>IFERROR(VLOOKUP(A259,预留库存!A:F,6,0),0)</f>
        <v>24.98</v>
      </c>
      <c r="J259">
        <f>IFERROR(VLOOKUP(A259,库龄!B:K,9,0),0)</f>
        <v>4</v>
      </c>
      <c r="K259">
        <f>IFERROR(VLOOKUP(A259,库龄!B:L,10,0),0)</f>
        <v>0</v>
      </c>
      <c r="L259">
        <f>IFERROR(VLOOKUP(A259,库龄!B:M,11,0),0)</f>
        <v>0</v>
      </c>
      <c r="M259">
        <f>IFERROR(VLOOKUP(A259,库龄!B:N,12,0),0)</f>
        <v>0</v>
      </c>
      <c r="N259">
        <f t="shared" ref="N259:N322" si="10">SUM(J259:M259)</f>
        <v>4</v>
      </c>
    </row>
    <row r="260" spans="1:14">
      <c r="A260" s="3" t="s">
        <v>643</v>
      </c>
      <c r="B260">
        <f>IFERROR(VLOOKUP(A260,管理亚马逊库存!A:K,11,0),"")</f>
        <v>11</v>
      </c>
      <c r="C260">
        <f>IFERROR(VLOOKUP(A260,管理亚马逊库存!A:L,12,0),"")</f>
        <v>0</v>
      </c>
      <c r="D260">
        <f>IFERROR(VLOOKUP(A260,管理亚马逊库存!A:Q,17,0),"")</f>
        <v>0</v>
      </c>
      <c r="E260">
        <f>IFERROR(VLOOKUP(A260,管理亚马逊库存!A:R,18,0),"")</f>
        <v>0</v>
      </c>
      <c r="F260">
        <f t="shared" si="9"/>
        <v>0</v>
      </c>
      <c r="G260" t="str">
        <f>IFERROR(VLOOKUP(A260,预留库存!A:G,7,0),0)</f>
        <v>No</v>
      </c>
      <c r="H260">
        <f>IFERROR(VLOOKUP(A260,预留库存!A:H,8,0),0)</f>
        <v>0</v>
      </c>
      <c r="I260">
        <f>IFERROR(VLOOKUP(A260,预留库存!A:F,6,0),0)</f>
        <v>24.98</v>
      </c>
      <c r="J260">
        <f>IFERROR(VLOOKUP(A260,库龄!B:K,9,0),0)</f>
        <v>6</v>
      </c>
      <c r="K260">
        <f>IFERROR(VLOOKUP(A260,库龄!B:L,10,0),0)</f>
        <v>0</v>
      </c>
      <c r="L260">
        <f>IFERROR(VLOOKUP(A260,库龄!B:M,11,0),0)</f>
        <v>0</v>
      </c>
      <c r="M260">
        <f>IFERROR(VLOOKUP(A260,库龄!B:N,12,0),0)</f>
        <v>0</v>
      </c>
      <c r="N260">
        <f t="shared" si="10"/>
        <v>6</v>
      </c>
    </row>
    <row r="261" spans="1:14">
      <c r="A261" s="3" t="s">
        <v>646</v>
      </c>
      <c r="B261">
        <f>IFERROR(VLOOKUP(A261,管理亚马逊库存!A:K,11,0),"")</f>
        <v>7</v>
      </c>
      <c r="C261">
        <f>IFERROR(VLOOKUP(A261,管理亚马逊库存!A:L,12,0),"")</f>
        <v>0</v>
      </c>
      <c r="D261">
        <f>IFERROR(VLOOKUP(A261,管理亚马逊库存!A:Q,17,0),"")</f>
        <v>0</v>
      </c>
      <c r="E261">
        <f>IFERROR(VLOOKUP(A261,管理亚马逊库存!A:R,18,0),"")</f>
        <v>0</v>
      </c>
      <c r="F261">
        <f t="shared" si="9"/>
        <v>0</v>
      </c>
      <c r="G261" t="str">
        <f>IFERROR(VLOOKUP(A261,预留库存!A:G,7,0),0)</f>
        <v>No</v>
      </c>
      <c r="H261">
        <f>IFERROR(VLOOKUP(A261,预留库存!A:H,8,0),0)</f>
        <v>0</v>
      </c>
      <c r="I261">
        <f>IFERROR(VLOOKUP(A261,预留库存!A:F,6,0),0)</f>
        <v>24.98</v>
      </c>
      <c r="J261">
        <f>IFERROR(VLOOKUP(A261,库龄!B:K,9,0),0)</f>
        <v>7</v>
      </c>
      <c r="K261">
        <f>IFERROR(VLOOKUP(A261,库龄!B:L,10,0),0)</f>
        <v>0</v>
      </c>
      <c r="L261">
        <f>IFERROR(VLOOKUP(A261,库龄!B:M,11,0),0)</f>
        <v>0</v>
      </c>
      <c r="M261">
        <f>IFERROR(VLOOKUP(A261,库龄!B:N,12,0),0)</f>
        <v>0</v>
      </c>
      <c r="N261">
        <f t="shared" si="10"/>
        <v>7</v>
      </c>
    </row>
    <row r="262" spans="1:14">
      <c r="A262" s="3" t="s">
        <v>649</v>
      </c>
      <c r="B262">
        <f>IFERROR(VLOOKUP(A262,管理亚马逊库存!A:K,11,0),"")</f>
        <v>10</v>
      </c>
      <c r="C262">
        <f>IFERROR(VLOOKUP(A262,管理亚马逊库存!A:L,12,0),"")</f>
        <v>0</v>
      </c>
      <c r="D262">
        <f>IFERROR(VLOOKUP(A262,管理亚马逊库存!A:Q,17,0),"")</f>
        <v>0</v>
      </c>
      <c r="E262">
        <f>IFERROR(VLOOKUP(A262,管理亚马逊库存!A:R,18,0),"")</f>
        <v>0</v>
      </c>
      <c r="F262">
        <f t="shared" si="9"/>
        <v>0</v>
      </c>
      <c r="G262" t="str">
        <f>IFERROR(VLOOKUP(A262,预留库存!A:G,7,0),0)</f>
        <v>No</v>
      </c>
      <c r="H262">
        <f>IFERROR(VLOOKUP(A262,预留库存!A:H,8,0),0)</f>
        <v>0</v>
      </c>
      <c r="I262">
        <f>IFERROR(VLOOKUP(A262,预留库存!A:F,6,0),0)</f>
        <v>24.98</v>
      </c>
      <c r="J262">
        <f>IFERROR(VLOOKUP(A262,库龄!B:K,9,0),0)</f>
        <v>0</v>
      </c>
      <c r="K262">
        <f>IFERROR(VLOOKUP(A262,库龄!B:L,10,0),0)</f>
        <v>0</v>
      </c>
      <c r="L262">
        <f>IFERROR(VLOOKUP(A262,库龄!B:M,11,0),0)</f>
        <v>0</v>
      </c>
      <c r="M262">
        <f>IFERROR(VLOOKUP(A262,库龄!B:N,12,0),0)</f>
        <v>0</v>
      </c>
      <c r="N262">
        <f t="shared" si="10"/>
        <v>0</v>
      </c>
    </row>
    <row r="263" spans="1:14">
      <c r="A263" s="3" t="s">
        <v>652</v>
      </c>
      <c r="B263">
        <f>IFERROR(VLOOKUP(A263,管理亚马逊库存!A:K,11,0),"")</f>
        <v>11</v>
      </c>
      <c r="C263">
        <f>IFERROR(VLOOKUP(A263,管理亚马逊库存!A:L,12,0),"")</f>
        <v>0</v>
      </c>
      <c r="D263">
        <f>IFERROR(VLOOKUP(A263,管理亚马逊库存!A:Q,17,0),"")</f>
        <v>0</v>
      </c>
      <c r="E263">
        <f>IFERROR(VLOOKUP(A263,管理亚马逊库存!A:R,18,0),"")</f>
        <v>0</v>
      </c>
      <c r="F263">
        <f t="shared" si="9"/>
        <v>0</v>
      </c>
      <c r="G263" t="str">
        <f>IFERROR(VLOOKUP(A263,预留库存!A:G,7,0),0)</f>
        <v>No</v>
      </c>
      <c r="H263">
        <f>IFERROR(VLOOKUP(A263,预留库存!A:H,8,0),0)</f>
        <v>0</v>
      </c>
      <c r="I263">
        <f>IFERROR(VLOOKUP(A263,预留库存!A:F,6,0),0)</f>
        <v>24.98</v>
      </c>
      <c r="J263">
        <f>IFERROR(VLOOKUP(A263,库龄!B:K,9,0),0)</f>
        <v>1</v>
      </c>
      <c r="K263">
        <f>IFERROR(VLOOKUP(A263,库龄!B:L,10,0),0)</f>
        <v>0</v>
      </c>
      <c r="L263">
        <f>IFERROR(VLOOKUP(A263,库龄!B:M,11,0),0)</f>
        <v>0</v>
      </c>
      <c r="M263">
        <f>IFERROR(VLOOKUP(A263,库龄!B:N,12,0),0)</f>
        <v>0</v>
      </c>
      <c r="N263">
        <f t="shared" si="10"/>
        <v>1</v>
      </c>
    </row>
    <row r="264" spans="1:14">
      <c r="A264" s="3" t="s">
        <v>655</v>
      </c>
      <c r="B264">
        <f>IFERROR(VLOOKUP(A264,管理亚马逊库存!A:K,11,0),"")</f>
        <v>10</v>
      </c>
      <c r="C264">
        <f>IFERROR(VLOOKUP(A264,管理亚马逊库存!A:L,12,0),"")</f>
        <v>0</v>
      </c>
      <c r="D264">
        <f>IFERROR(VLOOKUP(A264,管理亚马逊库存!A:Q,17,0),"")</f>
        <v>0</v>
      </c>
      <c r="E264">
        <f>IFERROR(VLOOKUP(A264,管理亚马逊库存!A:R,18,0),"")</f>
        <v>0</v>
      </c>
      <c r="F264">
        <f t="shared" si="9"/>
        <v>0</v>
      </c>
      <c r="G264" t="str">
        <f>IFERROR(VLOOKUP(A264,预留库存!A:G,7,0),0)</f>
        <v>No</v>
      </c>
      <c r="H264">
        <f>IFERROR(VLOOKUP(A264,预留库存!A:H,8,0),0)</f>
        <v>0</v>
      </c>
      <c r="I264">
        <f>IFERROR(VLOOKUP(A264,预留库存!A:F,6,0),0)</f>
        <v>24.98</v>
      </c>
      <c r="J264">
        <f>IFERROR(VLOOKUP(A264,库龄!B:K,9,0),0)</f>
        <v>1</v>
      </c>
      <c r="K264">
        <f>IFERROR(VLOOKUP(A264,库龄!B:L,10,0),0)</f>
        <v>0</v>
      </c>
      <c r="L264">
        <f>IFERROR(VLOOKUP(A264,库龄!B:M,11,0),0)</f>
        <v>0</v>
      </c>
      <c r="M264">
        <f>IFERROR(VLOOKUP(A264,库龄!B:N,12,0),0)</f>
        <v>0</v>
      </c>
      <c r="N264">
        <f t="shared" si="10"/>
        <v>1</v>
      </c>
    </row>
    <row r="265" spans="1:14">
      <c r="A265" s="3" t="s">
        <v>658</v>
      </c>
      <c r="B265">
        <f>IFERROR(VLOOKUP(A265,管理亚马逊库存!A:K,11,0),"")</f>
        <v>8</v>
      </c>
      <c r="C265">
        <f>IFERROR(VLOOKUP(A265,管理亚马逊库存!A:L,12,0),"")</f>
        <v>0</v>
      </c>
      <c r="D265">
        <f>IFERROR(VLOOKUP(A265,管理亚马逊库存!A:Q,17,0),"")</f>
        <v>0</v>
      </c>
      <c r="E265">
        <f>IFERROR(VLOOKUP(A265,管理亚马逊库存!A:R,18,0),"")</f>
        <v>0</v>
      </c>
      <c r="F265">
        <f t="shared" si="9"/>
        <v>0</v>
      </c>
      <c r="G265" t="str">
        <f>IFERROR(VLOOKUP(A265,预留库存!A:G,7,0),0)</f>
        <v>No</v>
      </c>
      <c r="H265">
        <f>IFERROR(VLOOKUP(A265,预留库存!A:H,8,0),0)</f>
        <v>0</v>
      </c>
      <c r="I265">
        <f>IFERROR(VLOOKUP(A265,预留库存!A:F,6,0),0)</f>
        <v>24.98</v>
      </c>
      <c r="J265">
        <f>IFERROR(VLOOKUP(A265,库龄!B:K,9,0),0)</f>
        <v>0</v>
      </c>
      <c r="K265">
        <f>IFERROR(VLOOKUP(A265,库龄!B:L,10,0),0)</f>
        <v>0</v>
      </c>
      <c r="L265">
        <f>IFERROR(VLOOKUP(A265,库龄!B:M,11,0),0)</f>
        <v>0</v>
      </c>
      <c r="M265">
        <f>IFERROR(VLOOKUP(A265,库龄!B:N,12,0),0)</f>
        <v>0</v>
      </c>
      <c r="N265">
        <f t="shared" si="10"/>
        <v>0</v>
      </c>
    </row>
    <row r="266" spans="1:14">
      <c r="A266" s="3" t="s">
        <v>661</v>
      </c>
      <c r="B266">
        <f>IFERROR(VLOOKUP(A266,管理亚马逊库存!A:K,11,0),"")</f>
        <v>10</v>
      </c>
      <c r="C266">
        <f>IFERROR(VLOOKUP(A266,管理亚马逊库存!A:L,12,0),"")</f>
        <v>0</v>
      </c>
      <c r="D266">
        <f>IFERROR(VLOOKUP(A266,管理亚马逊库存!A:Q,17,0),"")</f>
        <v>0</v>
      </c>
      <c r="E266">
        <f>IFERROR(VLOOKUP(A266,管理亚马逊库存!A:R,18,0),"")</f>
        <v>0</v>
      </c>
      <c r="F266">
        <f t="shared" si="9"/>
        <v>0</v>
      </c>
      <c r="G266" t="str">
        <f>IFERROR(VLOOKUP(A266,预留库存!A:G,7,0),0)</f>
        <v>No</v>
      </c>
      <c r="H266">
        <f>IFERROR(VLOOKUP(A266,预留库存!A:H,8,0),0)</f>
        <v>0</v>
      </c>
      <c r="I266">
        <f>IFERROR(VLOOKUP(A266,预留库存!A:F,6,0),0)</f>
        <v>24.98</v>
      </c>
      <c r="J266">
        <f>IFERROR(VLOOKUP(A266,库龄!B:K,9,0),0)</f>
        <v>0</v>
      </c>
      <c r="K266">
        <f>IFERROR(VLOOKUP(A266,库龄!B:L,10,0),0)</f>
        <v>0</v>
      </c>
      <c r="L266">
        <f>IFERROR(VLOOKUP(A266,库龄!B:M,11,0),0)</f>
        <v>0</v>
      </c>
      <c r="M266">
        <f>IFERROR(VLOOKUP(A266,库龄!B:N,12,0),0)</f>
        <v>0</v>
      </c>
      <c r="N266">
        <f t="shared" si="10"/>
        <v>0</v>
      </c>
    </row>
    <row r="267" spans="1:14">
      <c r="A267" s="3" t="s">
        <v>664</v>
      </c>
      <c r="B267">
        <f>IFERROR(VLOOKUP(A267,管理亚马逊库存!A:K,11,0),"")</f>
        <v>3</v>
      </c>
      <c r="C267">
        <f>IFERROR(VLOOKUP(A267,管理亚马逊库存!A:L,12,0),"")</f>
        <v>0</v>
      </c>
      <c r="D267">
        <f>IFERROR(VLOOKUP(A267,管理亚马逊库存!A:Q,17,0),"")</f>
        <v>0</v>
      </c>
      <c r="E267">
        <f>IFERROR(VLOOKUP(A267,管理亚马逊库存!A:R,18,0),"")</f>
        <v>0</v>
      </c>
      <c r="F267">
        <f t="shared" si="9"/>
        <v>0</v>
      </c>
      <c r="G267" t="str">
        <f>IFERROR(VLOOKUP(A267,预留库存!A:G,7,0),0)</f>
        <v>No</v>
      </c>
      <c r="H267">
        <f>IFERROR(VLOOKUP(A267,预留库存!A:H,8,0),0)</f>
        <v>0</v>
      </c>
      <c r="I267">
        <f>IFERROR(VLOOKUP(A267,预留库存!A:F,6,0),0)</f>
        <v>24.98</v>
      </c>
      <c r="J267">
        <f>IFERROR(VLOOKUP(A267,库龄!B:K,9,0),0)</f>
        <v>0</v>
      </c>
      <c r="K267">
        <f>IFERROR(VLOOKUP(A267,库龄!B:L,10,0),0)</f>
        <v>0</v>
      </c>
      <c r="L267">
        <f>IFERROR(VLOOKUP(A267,库龄!B:M,11,0),0)</f>
        <v>0</v>
      </c>
      <c r="M267">
        <f>IFERROR(VLOOKUP(A267,库龄!B:N,12,0),0)</f>
        <v>0</v>
      </c>
      <c r="N267">
        <f t="shared" si="10"/>
        <v>0</v>
      </c>
    </row>
    <row r="268" spans="1:14">
      <c r="A268" s="3" t="s">
        <v>667</v>
      </c>
      <c r="B268">
        <f>IFERROR(VLOOKUP(A268,管理亚马逊库存!A:K,11,0),"")</f>
        <v>6</v>
      </c>
      <c r="C268">
        <f>IFERROR(VLOOKUP(A268,管理亚马逊库存!A:L,12,0),"")</f>
        <v>0</v>
      </c>
      <c r="D268">
        <f>IFERROR(VLOOKUP(A268,管理亚马逊库存!A:Q,17,0),"")</f>
        <v>0</v>
      </c>
      <c r="E268">
        <f>IFERROR(VLOOKUP(A268,管理亚马逊库存!A:R,18,0),"")</f>
        <v>0</v>
      </c>
      <c r="F268">
        <f t="shared" si="9"/>
        <v>0</v>
      </c>
      <c r="G268" t="str">
        <f>IFERROR(VLOOKUP(A268,预留库存!A:G,7,0),0)</f>
        <v>No</v>
      </c>
      <c r="H268">
        <f>IFERROR(VLOOKUP(A268,预留库存!A:H,8,0),0)</f>
        <v>0</v>
      </c>
      <c r="I268">
        <f>IFERROR(VLOOKUP(A268,预留库存!A:F,6,0),0)</f>
        <v>24.98</v>
      </c>
      <c r="J268">
        <f>IFERROR(VLOOKUP(A268,库龄!B:K,9,0),0)</f>
        <v>0</v>
      </c>
      <c r="K268">
        <f>IFERROR(VLOOKUP(A268,库龄!B:L,10,0),0)</f>
        <v>0</v>
      </c>
      <c r="L268">
        <f>IFERROR(VLOOKUP(A268,库龄!B:M,11,0),0)</f>
        <v>0</v>
      </c>
      <c r="M268">
        <f>IFERROR(VLOOKUP(A268,库龄!B:N,12,0),0)</f>
        <v>0</v>
      </c>
      <c r="N268">
        <f t="shared" si="10"/>
        <v>0</v>
      </c>
    </row>
    <row r="269" spans="1:14">
      <c r="A269" s="3" t="s">
        <v>670</v>
      </c>
      <c r="B269">
        <f>IFERROR(VLOOKUP(A269,管理亚马逊库存!A:K,11,0),"")</f>
        <v>0</v>
      </c>
      <c r="C269">
        <f>IFERROR(VLOOKUP(A269,管理亚马逊库存!A:L,12,0),"")</f>
        <v>0</v>
      </c>
      <c r="D269">
        <f>IFERROR(VLOOKUP(A269,管理亚马逊库存!A:Q,17,0),"")</f>
        <v>0</v>
      </c>
      <c r="E269">
        <f>IFERROR(VLOOKUP(A269,管理亚马逊库存!A:R,18,0),"")</f>
        <v>0</v>
      </c>
      <c r="F269">
        <f t="shared" si="9"/>
        <v>0</v>
      </c>
      <c r="G269" t="str">
        <f>IFERROR(VLOOKUP(A269,预留库存!A:G,7,0),0)</f>
        <v>No</v>
      </c>
      <c r="H269">
        <f>IFERROR(VLOOKUP(A269,预留库存!A:H,8,0),0)</f>
        <v>0</v>
      </c>
      <c r="I269">
        <f>IFERROR(VLOOKUP(A269,预留库存!A:F,6,0),0)</f>
        <v>24.98</v>
      </c>
      <c r="J269">
        <f>IFERROR(VLOOKUP(A269,库龄!B:K,9,0),0)</f>
        <v>0</v>
      </c>
      <c r="K269">
        <f>IFERROR(VLOOKUP(A269,库龄!B:L,10,0),0)</f>
        <v>0</v>
      </c>
      <c r="L269">
        <f>IFERROR(VLOOKUP(A269,库龄!B:M,11,0),0)</f>
        <v>0</v>
      </c>
      <c r="M269">
        <f>IFERROR(VLOOKUP(A269,库龄!B:N,12,0),0)</f>
        <v>0</v>
      </c>
      <c r="N269">
        <f t="shared" si="10"/>
        <v>0</v>
      </c>
    </row>
    <row r="270" spans="1:14">
      <c r="A270" s="3" t="s">
        <v>673</v>
      </c>
      <c r="B270">
        <f>IFERROR(VLOOKUP(A270,管理亚马逊库存!A:K,11,0),"")</f>
        <v>0</v>
      </c>
      <c r="C270">
        <f>IFERROR(VLOOKUP(A270,管理亚马逊库存!A:L,12,0),"")</f>
        <v>0</v>
      </c>
      <c r="D270">
        <f>IFERROR(VLOOKUP(A270,管理亚马逊库存!A:Q,17,0),"")</f>
        <v>0</v>
      </c>
      <c r="E270">
        <f>IFERROR(VLOOKUP(A270,管理亚马逊库存!A:R,18,0),"")</f>
        <v>0</v>
      </c>
      <c r="F270">
        <f t="shared" si="9"/>
        <v>0</v>
      </c>
      <c r="G270" t="str">
        <f>IFERROR(VLOOKUP(A270,预留库存!A:G,7,0),0)</f>
        <v>No</v>
      </c>
      <c r="H270">
        <f>IFERROR(VLOOKUP(A270,预留库存!A:H,8,0),0)</f>
        <v>0</v>
      </c>
      <c r="I270">
        <f>IFERROR(VLOOKUP(A270,预留库存!A:F,6,0),0)</f>
        <v>24.98</v>
      </c>
      <c r="J270">
        <f>IFERROR(VLOOKUP(A270,库龄!B:K,9,0),0)</f>
        <v>0</v>
      </c>
      <c r="K270">
        <f>IFERROR(VLOOKUP(A270,库龄!B:L,10,0),0)</f>
        <v>0</v>
      </c>
      <c r="L270">
        <f>IFERROR(VLOOKUP(A270,库龄!B:M,11,0),0)</f>
        <v>0</v>
      </c>
      <c r="M270">
        <f>IFERROR(VLOOKUP(A270,库龄!B:N,12,0),0)</f>
        <v>0</v>
      </c>
      <c r="N270">
        <f t="shared" si="10"/>
        <v>0</v>
      </c>
    </row>
    <row r="271" spans="1:14">
      <c r="A271" s="3" t="s">
        <v>676</v>
      </c>
      <c r="B271">
        <f>IFERROR(VLOOKUP(A271,管理亚马逊库存!A:K,11,0),"")</f>
        <v>2</v>
      </c>
      <c r="C271">
        <f>IFERROR(VLOOKUP(A271,管理亚马逊库存!A:L,12,0),"")</f>
        <v>0</v>
      </c>
      <c r="D271">
        <f>IFERROR(VLOOKUP(A271,管理亚马逊库存!A:Q,17,0),"")</f>
        <v>0</v>
      </c>
      <c r="E271">
        <f>IFERROR(VLOOKUP(A271,管理亚马逊库存!A:R,18,0),"")</f>
        <v>0</v>
      </c>
      <c r="F271">
        <f t="shared" si="9"/>
        <v>0</v>
      </c>
      <c r="G271" t="str">
        <f>IFERROR(VLOOKUP(A271,预留库存!A:G,7,0),0)</f>
        <v>No</v>
      </c>
      <c r="H271">
        <f>IFERROR(VLOOKUP(A271,预留库存!A:H,8,0),0)</f>
        <v>0</v>
      </c>
      <c r="I271">
        <f>IFERROR(VLOOKUP(A271,预留库存!A:F,6,0),0)</f>
        <v>24.98</v>
      </c>
      <c r="J271">
        <f>IFERROR(VLOOKUP(A271,库龄!B:K,9,0),0)</f>
        <v>0</v>
      </c>
      <c r="K271">
        <f>IFERROR(VLOOKUP(A271,库龄!B:L,10,0),0)</f>
        <v>0</v>
      </c>
      <c r="L271">
        <f>IFERROR(VLOOKUP(A271,库龄!B:M,11,0),0)</f>
        <v>0</v>
      </c>
      <c r="M271">
        <f>IFERROR(VLOOKUP(A271,库龄!B:N,12,0),0)</f>
        <v>0</v>
      </c>
      <c r="N271">
        <f t="shared" si="10"/>
        <v>0</v>
      </c>
    </row>
    <row r="272" spans="1:14">
      <c r="A272" s="3" t="s">
        <v>679</v>
      </c>
      <c r="B272">
        <f>IFERROR(VLOOKUP(A272,管理亚马逊库存!A:K,11,0),"")</f>
        <v>10</v>
      </c>
      <c r="C272">
        <f>IFERROR(VLOOKUP(A272,管理亚马逊库存!A:L,12,0),"")</f>
        <v>0</v>
      </c>
      <c r="D272">
        <f>IFERROR(VLOOKUP(A272,管理亚马逊库存!A:Q,17,0),"")</f>
        <v>0</v>
      </c>
      <c r="E272">
        <f>IFERROR(VLOOKUP(A272,管理亚马逊库存!A:R,18,0),"")</f>
        <v>0</v>
      </c>
      <c r="F272">
        <f t="shared" si="9"/>
        <v>0</v>
      </c>
      <c r="G272" t="str">
        <f>IFERROR(VLOOKUP(A272,预留库存!A:G,7,0),0)</f>
        <v>No</v>
      </c>
      <c r="H272">
        <f>IFERROR(VLOOKUP(A272,预留库存!A:H,8,0),0)</f>
        <v>0</v>
      </c>
      <c r="I272">
        <f>IFERROR(VLOOKUP(A272,预留库存!A:F,6,0),0)</f>
        <v>24.98</v>
      </c>
      <c r="J272">
        <f>IFERROR(VLOOKUP(A272,库龄!B:K,9,0),0)</f>
        <v>0</v>
      </c>
      <c r="K272">
        <f>IFERROR(VLOOKUP(A272,库龄!B:L,10,0),0)</f>
        <v>0</v>
      </c>
      <c r="L272">
        <f>IFERROR(VLOOKUP(A272,库龄!B:M,11,0),0)</f>
        <v>0</v>
      </c>
      <c r="M272">
        <f>IFERROR(VLOOKUP(A272,库龄!B:N,12,0),0)</f>
        <v>0</v>
      </c>
      <c r="N272">
        <f t="shared" si="10"/>
        <v>0</v>
      </c>
    </row>
    <row r="273" spans="1:14">
      <c r="A273" s="3" t="s">
        <v>682</v>
      </c>
      <c r="B273">
        <f>IFERROR(VLOOKUP(A273,管理亚马逊库存!A:K,11,0),"")</f>
        <v>9</v>
      </c>
      <c r="C273">
        <f>IFERROR(VLOOKUP(A273,管理亚马逊库存!A:L,12,0),"")</f>
        <v>0</v>
      </c>
      <c r="D273">
        <f>IFERROR(VLOOKUP(A273,管理亚马逊库存!A:Q,17,0),"")</f>
        <v>0</v>
      </c>
      <c r="E273">
        <f>IFERROR(VLOOKUP(A273,管理亚马逊库存!A:R,18,0),"")</f>
        <v>0</v>
      </c>
      <c r="F273">
        <f t="shared" si="9"/>
        <v>0</v>
      </c>
      <c r="G273" t="str">
        <f>IFERROR(VLOOKUP(A273,预留库存!A:G,7,0),0)</f>
        <v>No</v>
      </c>
      <c r="H273">
        <f>IFERROR(VLOOKUP(A273,预留库存!A:H,8,0),0)</f>
        <v>0</v>
      </c>
      <c r="I273">
        <f>IFERROR(VLOOKUP(A273,预留库存!A:F,6,0),0)</f>
        <v>24.98</v>
      </c>
      <c r="J273">
        <f>IFERROR(VLOOKUP(A273,库龄!B:K,9,0),0)</f>
        <v>1</v>
      </c>
      <c r="K273">
        <f>IFERROR(VLOOKUP(A273,库龄!B:L,10,0),0)</f>
        <v>0</v>
      </c>
      <c r="L273">
        <f>IFERROR(VLOOKUP(A273,库龄!B:M,11,0),0)</f>
        <v>0</v>
      </c>
      <c r="M273">
        <f>IFERROR(VLOOKUP(A273,库龄!B:N,12,0),0)</f>
        <v>0</v>
      </c>
      <c r="N273">
        <f t="shared" si="10"/>
        <v>1</v>
      </c>
    </row>
    <row r="274" spans="1:14">
      <c r="A274" s="3" t="s">
        <v>685</v>
      </c>
      <c r="B274">
        <f>IFERROR(VLOOKUP(A274,管理亚马逊库存!A:K,11,0),"")</f>
        <v>9</v>
      </c>
      <c r="C274">
        <f>IFERROR(VLOOKUP(A274,管理亚马逊库存!A:L,12,0),"")</f>
        <v>0</v>
      </c>
      <c r="D274">
        <f>IFERROR(VLOOKUP(A274,管理亚马逊库存!A:Q,17,0),"")</f>
        <v>0</v>
      </c>
      <c r="E274">
        <f>IFERROR(VLOOKUP(A274,管理亚马逊库存!A:R,18,0),"")</f>
        <v>0</v>
      </c>
      <c r="F274">
        <f t="shared" si="9"/>
        <v>0</v>
      </c>
      <c r="G274" t="str">
        <f>IFERROR(VLOOKUP(A274,预留库存!A:G,7,0),0)</f>
        <v>No</v>
      </c>
      <c r="H274">
        <f>IFERROR(VLOOKUP(A274,预留库存!A:H,8,0),0)</f>
        <v>0</v>
      </c>
      <c r="I274">
        <f>IFERROR(VLOOKUP(A274,预留库存!A:F,6,0),0)</f>
        <v>24.98</v>
      </c>
      <c r="J274">
        <f>IFERROR(VLOOKUP(A274,库龄!B:K,9,0),0)</f>
        <v>2</v>
      </c>
      <c r="K274">
        <f>IFERROR(VLOOKUP(A274,库龄!B:L,10,0),0)</f>
        <v>0</v>
      </c>
      <c r="L274">
        <f>IFERROR(VLOOKUP(A274,库龄!B:M,11,0),0)</f>
        <v>0</v>
      </c>
      <c r="M274">
        <f>IFERROR(VLOOKUP(A274,库龄!B:N,12,0),0)</f>
        <v>0</v>
      </c>
      <c r="N274">
        <f t="shared" si="10"/>
        <v>2</v>
      </c>
    </row>
    <row r="275" spans="1:14">
      <c r="A275" s="3" t="s">
        <v>688</v>
      </c>
      <c r="B275">
        <f>IFERROR(VLOOKUP(A275,管理亚马逊库存!A:K,11,0),"")</f>
        <v>10</v>
      </c>
      <c r="C275">
        <f>IFERROR(VLOOKUP(A275,管理亚马逊库存!A:L,12,0),"")</f>
        <v>0</v>
      </c>
      <c r="D275">
        <f>IFERROR(VLOOKUP(A275,管理亚马逊库存!A:Q,17,0),"")</f>
        <v>0</v>
      </c>
      <c r="E275">
        <f>IFERROR(VLOOKUP(A275,管理亚马逊库存!A:R,18,0),"")</f>
        <v>0</v>
      </c>
      <c r="F275">
        <f t="shared" si="9"/>
        <v>0</v>
      </c>
      <c r="G275" t="str">
        <f>IFERROR(VLOOKUP(A275,预留库存!A:G,7,0),0)</f>
        <v>No</v>
      </c>
      <c r="H275">
        <f>IFERROR(VLOOKUP(A275,预留库存!A:H,8,0),0)</f>
        <v>0</v>
      </c>
      <c r="I275">
        <f>IFERROR(VLOOKUP(A275,预留库存!A:F,6,0),0)</f>
        <v>24.98</v>
      </c>
      <c r="J275">
        <f>IFERROR(VLOOKUP(A275,库龄!B:K,9,0),0)</f>
        <v>4</v>
      </c>
      <c r="K275">
        <f>IFERROR(VLOOKUP(A275,库龄!B:L,10,0),0)</f>
        <v>0</v>
      </c>
      <c r="L275">
        <f>IFERROR(VLOOKUP(A275,库龄!B:M,11,0),0)</f>
        <v>0</v>
      </c>
      <c r="M275">
        <f>IFERROR(VLOOKUP(A275,库龄!B:N,12,0),0)</f>
        <v>0</v>
      </c>
      <c r="N275">
        <f t="shared" si="10"/>
        <v>4</v>
      </c>
    </row>
    <row r="276" spans="1:14">
      <c r="A276" s="3" t="s">
        <v>691</v>
      </c>
      <c r="B276">
        <f>IFERROR(VLOOKUP(A276,管理亚马逊库存!A:K,11,0),"")</f>
        <v>3</v>
      </c>
      <c r="C276">
        <f>IFERROR(VLOOKUP(A276,管理亚马逊库存!A:L,12,0),"")</f>
        <v>0</v>
      </c>
      <c r="D276">
        <f>IFERROR(VLOOKUP(A276,管理亚马逊库存!A:Q,17,0),"")</f>
        <v>0</v>
      </c>
      <c r="E276">
        <f>IFERROR(VLOOKUP(A276,管理亚马逊库存!A:R,18,0),"")</f>
        <v>0</v>
      </c>
      <c r="F276">
        <f t="shared" si="9"/>
        <v>0</v>
      </c>
      <c r="G276" t="str">
        <f>IFERROR(VLOOKUP(A276,预留库存!A:G,7,0),0)</f>
        <v>No</v>
      </c>
      <c r="H276">
        <f>IFERROR(VLOOKUP(A276,预留库存!A:H,8,0),0)</f>
        <v>0</v>
      </c>
      <c r="I276">
        <f>IFERROR(VLOOKUP(A276,预留库存!A:F,6,0),0)</f>
        <v>24.98</v>
      </c>
      <c r="J276">
        <f>IFERROR(VLOOKUP(A276,库龄!B:K,9,0),0)</f>
        <v>3</v>
      </c>
      <c r="K276">
        <f>IFERROR(VLOOKUP(A276,库龄!B:L,10,0),0)</f>
        <v>0</v>
      </c>
      <c r="L276">
        <f>IFERROR(VLOOKUP(A276,库龄!B:M,11,0),0)</f>
        <v>0</v>
      </c>
      <c r="M276">
        <f>IFERROR(VLOOKUP(A276,库龄!B:N,12,0),0)</f>
        <v>0</v>
      </c>
      <c r="N276">
        <f t="shared" si="10"/>
        <v>3</v>
      </c>
    </row>
    <row r="277" spans="1:14">
      <c r="A277" s="3" t="s">
        <v>694</v>
      </c>
      <c r="B277">
        <f>IFERROR(VLOOKUP(A277,管理亚马逊库存!A:K,11,0),"")</f>
        <v>0</v>
      </c>
      <c r="C277">
        <f>IFERROR(VLOOKUP(A277,管理亚马逊库存!A:L,12,0),"")</f>
        <v>0</v>
      </c>
      <c r="D277">
        <f>IFERROR(VLOOKUP(A277,管理亚马逊库存!A:Q,17,0),"")</f>
        <v>0</v>
      </c>
      <c r="E277">
        <f>IFERROR(VLOOKUP(A277,管理亚马逊库存!A:R,18,0),"")</f>
        <v>0</v>
      </c>
      <c r="F277">
        <f t="shared" si="9"/>
        <v>0</v>
      </c>
      <c r="G277" t="str">
        <f>IFERROR(VLOOKUP(A277,预留库存!A:G,7,0),0)</f>
        <v>No</v>
      </c>
      <c r="H277">
        <f>IFERROR(VLOOKUP(A277,预留库存!A:H,8,0),0)</f>
        <v>0</v>
      </c>
      <c r="I277">
        <f>IFERROR(VLOOKUP(A277,预留库存!A:F,6,0),0)</f>
        <v>24.98</v>
      </c>
      <c r="J277">
        <f>IFERROR(VLOOKUP(A277,库龄!B:K,9,0),0)</f>
        <v>0</v>
      </c>
      <c r="K277">
        <f>IFERROR(VLOOKUP(A277,库龄!B:L,10,0),0)</f>
        <v>0</v>
      </c>
      <c r="L277">
        <f>IFERROR(VLOOKUP(A277,库龄!B:M,11,0),0)</f>
        <v>0</v>
      </c>
      <c r="M277">
        <f>IFERROR(VLOOKUP(A277,库龄!B:N,12,0),0)</f>
        <v>0</v>
      </c>
      <c r="N277">
        <f t="shared" si="10"/>
        <v>0</v>
      </c>
    </row>
    <row r="278" spans="1:14">
      <c r="A278" s="3" t="s">
        <v>696</v>
      </c>
      <c r="B278">
        <f>IFERROR(VLOOKUP(A278,管理亚马逊库存!A:K,11,0),"")</f>
        <v>0</v>
      </c>
      <c r="C278">
        <f>IFERROR(VLOOKUP(A278,管理亚马逊库存!A:L,12,0),"")</f>
        <v>0</v>
      </c>
      <c r="D278">
        <f>IFERROR(VLOOKUP(A278,管理亚马逊库存!A:Q,17,0),"")</f>
        <v>0</v>
      </c>
      <c r="E278">
        <f>IFERROR(VLOOKUP(A278,管理亚马逊库存!A:R,18,0),"")</f>
        <v>0</v>
      </c>
      <c r="F278">
        <f t="shared" si="9"/>
        <v>0</v>
      </c>
      <c r="G278" t="str">
        <f>IFERROR(VLOOKUP(A278,预留库存!A:G,7,0),0)</f>
        <v>No</v>
      </c>
      <c r="H278">
        <f>IFERROR(VLOOKUP(A278,预留库存!A:H,8,0),0)</f>
        <v>0</v>
      </c>
      <c r="I278">
        <f>IFERROR(VLOOKUP(A278,预留库存!A:F,6,0),0)</f>
        <v>24.98</v>
      </c>
      <c r="J278">
        <f>IFERROR(VLOOKUP(A278,库龄!B:K,9,0),0)</f>
        <v>0</v>
      </c>
      <c r="K278">
        <f>IFERROR(VLOOKUP(A278,库龄!B:L,10,0),0)</f>
        <v>0</v>
      </c>
      <c r="L278">
        <f>IFERROR(VLOOKUP(A278,库龄!B:M,11,0),0)</f>
        <v>0</v>
      </c>
      <c r="M278">
        <f>IFERROR(VLOOKUP(A278,库龄!B:N,12,0),0)</f>
        <v>0</v>
      </c>
      <c r="N278">
        <f t="shared" si="10"/>
        <v>0</v>
      </c>
    </row>
    <row r="279" spans="1:14">
      <c r="A279" s="3" t="s">
        <v>698</v>
      </c>
      <c r="B279">
        <f>IFERROR(VLOOKUP(A279,管理亚马逊库存!A:K,11,0),"")</f>
        <v>0</v>
      </c>
      <c r="C279">
        <f>IFERROR(VLOOKUP(A279,管理亚马逊库存!A:L,12,0),"")</f>
        <v>0</v>
      </c>
      <c r="D279">
        <f>IFERROR(VLOOKUP(A279,管理亚马逊库存!A:Q,17,0),"")</f>
        <v>0</v>
      </c>
      <c r="E279">
        <f>IFERROR(VLOOKUP(A279,管理亚马逊库存!A:R,18,0),"")</f>
        <v>0</v>
      </c>
      <c r="F279">
        <f t="shared" si="9"/>
        <v>0</v>
      </c>
      <c r="G279" t="str">
        <f>IFERROR(VLOOKUP(A279,预留库存!A:G,7,0),0)</f>
        <v>No</v>
      </c>
      <c r="H279">
        <f>IFERROR(VLOOKUP(A279,预留库存!A:H,8,0),0)</f>
        <v>0</v>
      </c>
      <c r="I279">
        <f>IFERROR(VLOOKUP(A279,预留库存!A:F,6,0),0)</f>
        <v>24.98</v>
      </c>
      <c r="J279">
        <f>IFERROR(VLOOKUP(A279,库龄!B:K,9,0),0)</f>
        <v>0</v>
      </c>
      <c r="K279">
        <f>IFERROR(VLOOKUP(A279,库龄!B:L,10,0),0)</f>
        <v>0</v>
      </c>
      <c r="L279">
        <f>IFERROR(VLOOKUP(A279,库龄!B:M,11,0),0)</f>
        <v>0</v>
      </c>
      <c r="M279">
        <f>IFERROR(VLOOKUP(A279,库龄!B:N,12,0),0)</f>
        <v>0</v>
      </c>
      <c r="N279">
        <f t="shared" si="10"/>
        <v>0</v>
      </c>
    </row>
    <row r="280" spans="1:14">
      <c r="A280" s="3" t="s">
        <v>700</v>
      </c>
      <c r="B280">
        <f>IFERROR(VLOOKUP(A280,管理亚马逊库存!A:K,11,0),"")</f>
        <v>0</v>
      </c>
      <c r="C280">
        <f>IFERROR(VLOOKUP(A280,管理亚马逊库存!A:L,12,0),"")</f>
        <v>0</v>
      </c>
      <c r="D280">
        <f>IFERROR(VLOOKUP(A280,管理亚马逊库存!A:Q,17,0),"")</f>
        <v>0</v>
      </c>
      <c r="E280">
        <f>IFERROR(VLOOKUP(A280,管理亚马逊库存!A:R,18,0),"")</f>
        <v>0</v>
      </c>
      <c r="F280">
        <f t="shared" si="9"/>
        <v>0</v>
      </c>
      <c r="G280" t="str">
        <f>IFERROR(VLOOKUP(A280,预留库存!A:G,7,0),0)</f>
        <v>No</v>
      </c>
      <c r="H280">
        <f>IFERROR(VLOOKUP(A280,预留库存!A:H,8,0),0)</f>
        <v>0</v>
      </c>
      <c r="I280">
        <f>IFERROR(VLOOKUP(A280,预留库存!A:F,6,0),0)</f>
        <v>24.98</v>
      </c>
      <c r="J280">
        <f>IFERROR(VLOOKUP(A280,库龄!B:K,9,0),0)</f>
        <v>0</v>
      </c>
      <c r="K280">
        <f>IFERROR(VLOOKUP(A280,库龄!B:L,10,0),0)</f>
        <v>0</v>
      </c>
      <c r="L280">
        <f>IFERROR(VLOOKUP(A280,库龄!B:M,11,0),0)</f>
        <v>0</v>
      </c>
      <c r="M280">
        <f>IFERROR(VLOOKUP(A280,库龄!B:N,12,0),0)</f>
        <v>0</v>
      </c>
      <c r="N280">
        <f t="shared" si="10"/>
        <v>0</v>
      </c>
    </row>
    <row r="281" spans="1:14">
      <c r="A281" s="3" t="s">
        <v>702</v>
      </c>
      <c r="B281">
        <f>IFERROR(VLOOKUP(A281,管理亚马逊库存!A:K,11,0),"")</f>
        <v>0</v>
      </c>
      <c r="C281">
        <f>IFERROR(VLOOKUP(A281,管理亚马逊库存!A:L,12,0),"")</f>
        <v>0</v>
      </c>
      <c r="D281">
        <f>IFERROR(VLOOKUP(A281,管理亚马逊库存!A:Q,17,0),"")</f>
        <v>0</v>
      </c>
      <c r="E281">
        <f>IFERROR(VLOOKUP(A281,管理亚马逊库存!A:R,18,0),"")</f>
        <v>0</v>
      </c>
      <c r="F281">
        <f t="shared" si="9"/>
        <v>0</v>
      </c>
      <c r="G281" t="str">
        <f>IFERROR(VLOOKUP(A281,预留库存!A:G,7,0),0)</f>
        <v>No</v>
      </c>
      <c r="H281">
        <f>IFERROR(VLOOKUP(A281,预留库存!A:H,8,0),0)</f>
        <v>0</v>
      </c>
      <c r="I281">
        <f>IFERROR(VLOOKUP(A281,预留库存!A:F,6,0),0)</f>
        <v>24.98</v>
      </c>
      <c r="J281">
        <f>IFERROR(VLOOKUP(A281,库龄!B:K,9,0),0)</f>
        <v>0</v>
      </c>
      <c r="K281">
        <f>IFERROR(VLOOKUP(A281,库龄!B:L,10,0),0)</f>
        <v>0</v>
      </c>
      <c r="L281">
        <f>IFERROR(VLOOKUP(A281,库龄!B:M,11,0),0)</f>
        <v>0</v>
      </c>
      <c r="M281">
        <f>IFERROR(VLOOKUP(A281,库龄!B:N,12,0),0)</f>
        <v>0</v>
      </c>
      <c r="N281">
        <f t="shared" si="10"/>
        <v>0</v>
      </c>
    </row>
    <row r="282" spans="1:14">
      <c r="A282" s="3" t="s">
        <v>704</v>
      </c>
      <c r="B282">
        <f>IFERROR(VLOOKUP(A282,管理亚马逊库存!A:K,11,0),"")</f>
        <v>0</v>
      </c>
      <c r="C282">
        <f>IFERROR(VLOOKUP(A282,管理亚马逊库存!A:L,12,0),"")</f>
        <v>0</v>
      </c>
      <c r="D282">
        <f>IFERROR(VLOOKUP(A282,管理亚马逊库存!A:Q,17,0),"")</f>
        <v>0</v>
      </c>
      <c r="E282">
        <f>IFERROR(VLOOKUP(A282,管理亚马逊库存!A:R,18,0),"")</f>
        <v>0</v>
      </c>
      <c r="F282">
        <f t="shared" si="9"/>
        <v>0</v>
      </c>
      <c r="G282" t="str">
        <f>IFERROR(VLOOKUP(A282,预留库存!A:G,7,0),0)</f>
        <v>No</v>
      </c>
      <c r="H282">
        <f>IFERROR(VLOOKUP(A282,预留库存!A:H,8,0),0)</f>
        <v>0</v>
      </c>
      <c r="I282">
        <f>IFERROR(VLOOKUP(A282,预留库存!A:F,6,0),0)</f>
        <v>24.98</v>
      </c>
      <c r="J282">
        <f>IFERROR(VLOOKUP(A282,库龄!B:K,9,0),0)</f>
        <v>0</v>
      </c>
      <c r="K282">
        <f>IFERROR(VLOOKUP(A282,库龄!B:L,10,0),0)</f>
        <v>0</v>
      </c>
      <c r="L282">
        <f>IFERROR(VLOOKUP(A282,库龄!B:M,11,0),0)</f>
        <v>0</v>
      </c>
      <c r="M282">
        <f>IFERROR(VLOOKUP(A282,库龄!B:N,12,0),0)</f>
        <v>0</v>
      </c>
      <c r="N282">
        <f t="shared" si="10"/>
        <v>0</v>
      </c>
    </row>
    <row r="283" spans="1:14">
      <c r="A283" s="3" t="s">
        <v>706</v>
      </c>
      <c r="B283">
        <f>IFERROR(VLOOKUP(A283,管理亚马逊库存!A:K,11,0),"")</f>
        <v>0</v>
      </c>
      <c r="C283">
        <f>IFERROR(VLOOKUP(A283,管理亚马逊库存!A:L,12,0),"")</f>
        <v>0</v>
      </c>
      <c r="D283">
        <f>IFERROR(VLOOKUP(A283,管理亚马逊库存!A:Q,17,0),"")</f>
        <v>0</v>
      </c>
      <c r="E283">
        <f>IFERROR(VLOOKUP(A283,管理亚马逊库存!A:R,18,0),"")</f>
        <v>0</v>
      </c>
      <c r="F283">
        <f t="shared" si="9"/>
        <v>0</v>
      </c>
      <c r="G283" t="str">
        <f>IFERROR(VLOOKUP(A283,预留库存!A:G,7,0),0)</f>
        <v>No</v>
      </c>
      <c r="H283">
        <f>IFERROR(VLOOKUP(A283,预留库存!A:H,8,0),0)</f>
        <v>0</v>
      </c>
      <c r="I283">
        <f>IFERROR(VLOOKUP(A283,预留库存!A:F,6,0),0)</f>
        <v>24.98</v>
      </c>
      <c r="J283">
        <f>IFERROR(VLOOKUP(A283,库龄!B:K,9,0),0)</f>
        <v>0</v>
      </c>
      <c r="K283">
        <f>IFERROR(VLOOKUP(A283,库龄!B:L,10,0),0)</f>
        <v>0</v>
      </c>
      <c r="L283">
        <f>IFERROR(VLOOKUP(A283,库龄!B:M,11,0),0)</f>
        <v>0</v>
      </c>
      <c r="M283">
        <f>IFERROR(VLOOKUP(A283,库龄!B:N,12,0),0)</f>
        <v>0</v>
      </c>
      <c r="N283">
        <f t="shared" si="10"/>
        <v>0</v>
      </c>
    </row>
    <row r="284" spans="1:14">
      <c r="A284" s="3" t="s">
        <v>708</v>
      </c>
      <c r="B284">
        <f>IFERROR(VLOOKUP(A284,管理亚马逊库存!A:K,11,0),"")</f>
        <v>0</v>
      </c>
      <c r="C284">
        <f>IFERROR(VLOOKUP(A284,管理亚马逊库存!A:L,12,0),"")</f>
        <v>0</v>
      </c>
      <c r="D284">
        <f>IFERROR(VLOOKUP(A284,管理亚马逊库存!A:Q,17,0),"")</f>
        <v>0</v>
      </c>
      <c r="E284">
        <f>IFERROR(VLOOKUP(A284,管理亚马逊库存!A:R,18,0),"")</f>
        <v>0</v>
      </c>
      <c r="F284">
        <f t="shared" si="9"/>
        <v>0</v>
      </c>
      <c r="G284" t="str">
        <f>IFERROR(VLOOKUP(A284,预留库存!A:G,7,0),0)</f>
        <v>No</v>
      </c>
      <c r="H284">
        <f>IFERROR(VLOOKUP(A284,预留库存!A:H,8,0),0)</f>
        <v>0</v>
      </c>
      <c r="I284">
        <f>IFERROR(VLOOKUP(A284,预留库存!A:F,6,0),0)</f>
        <v>24.98</v>
      </c>
      <c r="J284">
        <f>IFERROR(VLOOKUP(A284,库龄!B:K,9,0),0)</f>
        <v>0</v>
      </c>
      <c r="K284">
        <f>IFERROR(VLOOKUP(A284,库龄!B:L,10,0),0)</f>
        <v>0</v>
      </c>
      <c r="L284">
        <f>IFERROR(VLOOKUP(A284,库龄!B:M,11,0),0)</f>
        <v>0</v>
      </c>
      <c r="M284">
        <f>IFERROR(VLOOKUP(A284,库龄!B:N,12,0),0)</f>
        <v>0</v>
      </c>
      <c r="N284">
        <f t="shared" si="10"/>
        <v>0</v>
      </c>
    </row>
    <row r="285" spans="1:14">
      <c r="A285" s="3" t="s">
        <v>710</v>
      </c>
      <c r="B285">
        <f>IFERROR(VLOOKUP(A285,管理亚马逊库存!A:K,11,0),"")</f>
        <v>5</v>
      </c>
      <c r="C285">
        <f>IFERROR(VLOOKUP(A285,管理亚马逊库存!A:L,12,0),"")</f>
        <v>0</v>
      </c>
      <c r="D285">
        <f>IFERROR(VLOOKUP(A285,管理亚马逊库存!A:Q,17,0),"")</f>
        <v>0</v>
      </c>
      <c r="E285">
        <f>IFERROR(VLOOKUP(A285,管理亚马逊库存!A:R,18,0),"")</f>
        <v>0</v>
      </c>
      <c r="F285">
        <f t="shared" si="9"/>
        <v>0</v>
      </c>
      <c r="G285" t="str">
        <f>IFERROR(VLOOKUP(A285,预留库存!A:G,7,0),0)</f>
        <v>No</v>
      </c>
      <c r="H285">
        <f>IFERROR(VLOOKUP(A285,预留库存!A:H,8,0),0)</f>
        <v>0</v>
      </c>
      <c r="I285">
        <f>IFERROR(VLOOKUP(A285,预留库存!A:F,6,0),0)</f>
        <v>24.98</v>
      </c>
      <c r="J285">
        <f>IFERROR(VLOOKUP(A285,库龄!B:K,9,0),0)</f>
        <v>0</v>
      </c>
      <c r="K285">
        <f>IFERROR(VLOOKUP(A285,库龄!B:L,10,0),0)</f>
        <v>0</v>
      </c>
      <c r="L285">
        <f>IFERROR(VLOOKUP(A285,库龄!B:M,11,0),0)</f>
        <v>0</v>
      </c>
      <c r="M285">
        <f>IFERROR(VLOOKUP(A285,库龄!B:N,12,0),0)</f>
        <v>0</v>
      </c>
      <c r="N285">
        <f t="shared" si="10"/>
        <v>0</v>
      </c>
    </row>
    <row r="286" spans="1:14">
      <c r="A286" s="3" t="s">
        <v>712</v>
      </c>
      <c r="B286">
        <f>IFERROR(VLOOKUP(A286,管理亚马逊库存!A:K,11,0),"")</f>
        <v>5</v>
      </c>
      <c r="C286">
        <f>IFERROR(VLOOKUP(A286,管理亚马逊库存!A:L,12,0),"")</f>
        <v>0</v>
      </c>
      <c r="D286">
        <f>IFERROR(VLOOKUP(A286,管理亚马逊库存!A:Q,17,0),"")</f>
        <v>0</v>
      </c>
      <c r="E286">
        <f>IFERROR(VLOOKUP(A286,管理亚马逊库存!A:R,18,0),"")</f>
        <v>0</v>
      </c>
      <c r="F286">
        <f t="shared" si="9"/>
        <v>0</v>
      </c>
      <c r="G286" t="str">
        <f>IFERROR(VLOOKUP(A286,预留库存!A:G,7,0),0)</f>
        <v>No</v>
      </c>
      <c r="H286">
        <f>IFERROR(VLOOKUP(A286,预留库存!A:H,8,0),0)</f>
        <v>0</v>
      </c>
      <c r="I286">
        <f>IFERROR(VLOOKUP(A286,预留库存!A:F,6,0),0)</f>
        <v>24.98</v>
      </c>
      <c r="J286">
        <f>IFERROR(VLOOKUP(A286,库龄!B:K,9,0),0)</f>
        <v>0</v>
      </c>
      <c r="K286">
        <f>IFERROR(VLOOKUP(A286,库龄!B:L,10,0),0)</f>
        <v>0</v>
      </c>
      <c r="L286">
        <f>IFERROR(VLOOKUP(A286,库龄!B:M,11,0),0)</f>
        <v>0</v>
      </c>
      <c r="M286">
        <f>IFERROR(VLOOKUP(A286,库龄!B:N,12,0),0)</f>
        <v>0</v>
      </c>
      <c r="N286">
        <f t="shared" si="10"/>
        <v>0</v>
      </c>
    </row>
    <row r="287" spans="1:14">
      <c r="A287" s="3" t="s">
        <v>714</v>
      </c>
      <c r="B287">
        <f>IFERROR(VLOOKUP(A287,管理亚马逊库存!A:K,11,0),"")</f>
        <v>0</v>
      </c>
      <c r="C287">
        <f>IFERROR(VLOOKUP(A287,管理亚马逊库存!A:L,12,0),"")</f>
        <v>0</v>
      </c>
      <c r="D287">
        <f>IFERROR(VLOOKUP(A287,管理亚马逊库存!A:Q,17,0),"")</f>
        <v>0</v>
      </c>
      <c r="E287">
        <f>IFERROR(VLOOKUP(A287,管理亚马逊库存!A:R,18,0),"")</f>
        <v>0</v>
      </c>
      <c r="F287">
        <f t="shared" si="9"/>
        <v>0</v>
      </c>
      <c r="G287" t="str">
        <f>IFERROR(VLOOKUP(A287,预留库存!A:G,7,0),0)</f>
        <v>No</v>
      </c>
      <c r="H287">
        <f>IFERROR(VLOOKUP(A287,预留库存!A:H,8,0),0)</f>
        <v>0</v>
      </c>
      <c r="I287">
        <f>IFERROR(VLOOKUP(A287,预留库存!A:F,6,0),0)</f>
        <v>24.98</v>
      </c>
      <c r="J287">
        <f>IFERROR(VLOOKUP(A287,库龄!B:K,9,0),0)</f>
        <v>0</v>
      </c>
      <c r="K287">
        <f>IFERROR(VLOOKUP(A287,库龄!B:L,10,0),0)</f>
        <v>0</v>
      </c>
      <c r="L287">
        <f>IFERROR(VLOOKUP(A287,库龄!B:M,11,0),0)</f>
        <v>0</v>
      </c>
      <c r="M287">
        <f>IFERROR(VLOOKUP(A287,库龄!B:N,12,0),0)</f>
        <v>0</v>
      </c>
      <c r="N287">
        <f t="shared" si="10"/>
        <v>0</v>
      </c>
    </row>
    <row r="288" spans="1:14">
      <c r="A288" s="3" t="s">
        <v>716</v>
      </c>
      <c r="B288">
        <f>IFERROR(VLOOKUP(A288,管理亚马逊库存!A:K,11,0),"")</f>
        <v>0</v>
      </c>
      <c r="C288">
        <f>IFERROR(VLOOKUP(A288,管理亚马逊库存!A:L,12,0),"")</f>
        <v>0</v>
      </c>
      <c r="D288">
        <f>IFERROR(VLOOKUP(A288,管理亚马逊库存!A:Q,17,0),"")</f>
        <v>0</v>
      </c>
      <c r="E288">
        <f>IFERROR(VLOOKUP(A288,管理亚马逊库存!A:R,18,0),"")</f>
        <v>0</v>
      </c>
      <c r="F288">
        <f t="shared" si="9"/>
        <v>0</v>
      </c>
      <c r="G288" t="str">
        <f>IFERROR(VLOOKUP(A288,预留库存!A:G,7,0),0)</f>
        <v>No</v>
      </c>
      <c r="H288">
        <f>IFERROR(VLOOKUP(A288,预留库存!A:H,8,0),0)</f>
        <v>0</v>
      </c>
      <c r="I288">
        <f>IFERROR(VLOOKUP(A288,预留库存!A:F,6,0),0)</f>
        <v>24.98</v>
      </c>
      <c r="J288">
        <f>IFERROR(VLOOKUP(A288,库龄!B:K,9,0),0)</f>
        <v>0</v>
      </c>
      <c r="K288">
        <f>IFERROR(VLOOKUP(A288,库龄!B:L,10,0),0)</f>
        <v>0</v>
      </c>
      <c r="L288">
        <f>IFERROR(VLOOKUP(A288,库龄!B:M,11,0),0)</f>
        <v>0</v>
      </c>
      <c r="M288">
        <f>IFERROR(VLOOKUP(A288,库龄!B:N,12,0),0)</f>
        <v>0</v>
      </c>
      <c r="N288">
        <f t="shared" si="10"/>
        <v>0</v>
      </c>
    </row>
    <row r="289" spans="1:14">
      <c r="A289" s="3" t="s">
        <v>718</v>
      </c>
      <c r="B289">
        <f>IFERROR(VLOOKUP(A289,管理亚马逊库存!A:K,11,0),"")</f>
        <v>0</v>
      </c>
      <c r="C289">
        <f>IFERROR(VLOOKUP(A289,管理亚马逊库存!A:L,12,0),"")</f>
        <v>0</v>
      </c>
      <c r="D289">
        <f>IFERROR(VLOOKUP(A289,管理亚马逊库存!A:Q,17,0),"")</f>
        <v>0</v>
      </c>
      <c r="E289">
        <f>IFERROR(VLOOKUP(A289,管理亚马逊库存!A:R,18,0),"")</f>
        <v>0</v>
      </c>
      <c r="F289">
        <f t="shared" si="9"/>
        <v>0</v>
      </c>
      <c r="G289" t="str">
        <f>IFERROR(VLOOKUP(A289,预留库存!A:G,7,0),0)</f>
        <v>No</v>
      </c>
      <c r="H289">
        <f>IFERROR(VLOOKUP(A289,预留库存!A:H,8,0),0)</f>
        <v>0</v>
      </c>
      <c r="I289">
        <f>IFERROR(VLOOKUP(A289,预留库存!A:F,6,0),0)</f>
        <v>24.98</v>
      </c>
      <c r="J289">
        <f>IFERROR(VLOOKUP(A289,库龄!B:K,9,0),0)</f>
        <v>0</v>
      </c>
      <c r="K289">
        <f>IFERROR(VLOOKUP(A289,库龄!B:L,10,0),0)</f>
        <v>0</v>
      </c>
      <c r="L289">
        <f>IFERROR(VLOOKUP(A289,库龄!B:M,11,0),0)</f>
        <v>0</v>
      </c>
      <c r="M289">
        <f>IFERROR(VLOOKUP(A289,库龄!B:N,12,0),0)</f>
        <v>0</v>
      </c>
      <c r="N289">
        <f t="shared" si="10"/>
        <v>0</v>
      </c>
    </row>
    <row r="290" spans="1:14">
      <c r="A290" s="3" t="s">
        <v>720</v>
      </c>
      <c r="B290">
        <f>IFERROR(VLOOKUP(A290,管理亚马逊库存!A:K,11,0),"")</f>
        <v>0</v>
      </c>
      <c r="C290">
        <f>IFERROR(VLOOKUP(A290,管理亚马逊库存!A:L,12,0),"")</f>
        <v>0</v>
      </c>
      <c r="D290">
        <f>IFERROR(VLOOKUP(A290,管理亚马逊库存!A:Q,17,0),"")</f>
        <v>0</v>
      </c>
      <c r="E290">
        <f>IFERROR(VLOOKUP(A290,管理亚马逊库存!A:R,18,0),"")</f>
        <v>0</v>
      </c>
      <c r="F290">
        <f t="shared" si="9"/>
        <v>0</v>
      </c>
      <c r="G290" t="str">
        <f>IFERROR(VLOOKUP(A290,预留库存!A:G,7,0),0)</f>
        <v>No</v>
      </c>
      <c r="H290">
        <f>IFERROR(VLOOKUP(A290,预留库存!A:H,8,0),0)</f>
        <v>0</v>
      </c>
      <c r="I290">
        <f>IFERROR(VLOOKUP(A290,预留库存!A:F,6,0),0)</f>
        <v>24.98</v>
      </c>
      <c r="J290">
        <f>IFERROR(VLOOKUP(A290,库龄!B:K,9,0),0)</f>
        <v>0</v>
      </c>
      <c r="K290">
        <f>IFERROR(VLOOKUP(A290,库龄!B:L,10,0),0)</f>
        <v>0</v>
      </c>
      <c r="L290">
        <f>IFERROR(VLOOKUP(A290,库龄!B:M,11,0),0)</f>
        <v>0</v>
      </c>
      <c r="M290">
        <f>IFERROR(VLOOKUP(A290,库龄!B:N,12,0),0)</f>
        <v>0</v>
      </c>
      <c r="N290">
        <f t="shared" si="10"/>
        <v>0</v>
      </c>
    </row>
    <row r="291" spans="1:14">
      <c r="A291" s="3" t="s">
        <v>722</v>
      </c>
      <c r="B291">
        <f>IFERROR(VLOOKUP(A291,管理亚马逊库存!A:K,11,0),"")</f>
        <v>0</v>
      </c>
      <c r="C291">
        <f>IFERROR(VLOOKUP(A291,管理亚马逊库存!A:L,12,0),"")</f>
        <v>0</v>
      </c>
      <c r="D291">
        <f>IFERROR(VLOOKUP(A291,管理亚马逊库存!A:Q,17,0),"")</f>
        <v>0</v>
      </c>
      <c r="E291">
        <f>IFERROR(VLOOKUP(A291,管理亚马逊库存!A:R,18,0),"")</f>
        <v>0</v>
      </c>
      <c r="F291">
        <f t="shared" si="9"/>
        <v>0</v>
      </c>
      <c r="G291" t="str">
        <f>IFERROR(VLOOKUP(A291,预留库存!A:G,7,0),0)</f>
        <v>No</v>
      </c>
      <c r="H291">
        <f>IFERROR(VLOOKUP(A291,预留库存!A:H,8,0),0)</f>
        <v>0</v>
      </c>
      <c r="I291">
        <f>IFERROR(VLOOKUP(A291,预留库存!A:F,6,0),0)</f>
        <v>24.98</v>
      </c>
      <c r="J291">
        <f>IFERROR(VLOOKUP(A291,库龄!B:K,9,0),0)</f>
        <v>0</v>
      </c>
      <c r="K291">
        <f>IFERROR(VLOOKUP(A291,库龄!B:L,10,0),0)</f>
        <v>0</v>
      </c>
      <c r="L291">
        <f>IFERROR(VLOOKUP(A291,库龄!B:M,11,0),0)</f>
        <v>0</v>
      </c>
      <c r="M291">
        <f>IFERROR(VLOOKUP(A291,库龄!B:N,12,0),0)</f>
        <v>0</v>
      </c>
      <c r="N291">
        <f t="shared" si="10"/>
        <v>0</v>
      </c>
    </row>
    <row r="292" spans="1:14">
      <c r="A292" s="3" t="s">
        <v>724</v>
      </c>
      <c r="B292">
        <f>IFERROR(VLOOKUP(A292,管理亚马逊库存!A:K,11,0),"")</f>
        <v>0</v>
      </c>
      <c r="C292">
        <f>IFERROR(VLOOKUP(A292,管理亚马逊库存!A:L,12,0),"")</f>
        <v>0</v>
      </c>
      <c r="D292">
        <f>IFERROR(VLOOKUP(A292,管理亚马逊库存!A:Q,17,0),"")</f>
        <v>0</v>
      </c>
      <c r="E292">
        <f>IFERROR(VLOOKUP(A292,管理亚马逊库存!A:R,18,0),"")</f>
        <v>0</v>
      </c>
      <c r="F292">
        <f t="shared" si="9"/>
        <v>0</v>
      </c>
      <c r="G292" t="str">
        <f>IFERROR(VLOOKUP(A292,预留库存!A:G,7,0),0)</f>
        <v>No</v>
      </c>
      <c r="H292">
        <f>IFERROR(VLOOKUP(A292,预留库存!A:H,8,0),0)</f>
        <v>0</v>
      </c>
      <c r="I292">
        <f>IFERROR(VLOOKUP(A292,预留库存!A:F,6,0),0)</f>
        <v>24.98</v>
      </c>
      <c r="J292">
        <f>IFERROR(VLOOKUP(A292,库龄!B:K,9,0),0)</f>
        <v>0</v>
      </c>
      <c r="K292">
        <f>IFERROR(VLOOKUP(A292,库龄!B:L,10,0),0)</f>
        <v>0</v>
      </c>
      <c r="L292">
        <f>IFERROR(VLOOKUP(A292,库龄!B:M,11,0),0)</f>
        <v>0</v>
      </c>
      <c r="M292">
        <f>IFERROR(VLOOKUP(A292,库龄!B:N,12,0),0)</f>
        <v>0</v>
      </c>
      <c r="N292">
        <f t="shared" si="10"/>
        <v>0</v>
      </c>
    </row>
    <row r="293" spans="1:14">
      <c r="A293" s="3" t="s">
        <v>726</v>
      </c>
      <c r="B293">
        <f>IFERROR(VLOOKUP(A293,管理亚马逊库存!A:K,11,0),"")</f>
        <v>0</v>
      </c>
      <c r="C293">
        <f>IFERROR(VLOOKUP(A293,管理亚马逊库存!A:L,12,0),"")</f>
        <v>0</v>
      </c>
      <c r="D293">
        <f>IFERROR(VLOOKUP(A293,管理亚马逊库存!A:Q,17,0),"")</f>
        <v>0</v>
      </c>
      <c r="E293">
        <f>IFERROR(VLOOKUP(A293,管理亚马逊库存!A:R,18,0),"")</f>
        <v>0</v>
      </c>
      <c r="F293">
        <f t="shared" si="9"/>
        <v>0</v>
      </c>
      <c r="G293" t="str">
        <f>IFERROR(VLOOKUP(A293,预留库存!A:G,7,0),0)</f>
        <v>No</v>
      </c>
      <c r="H293">
        <f>IFERROR(VLOOKUP(A293,预留库存!A:H,8,0),0)</f>
        <v>0</v>
      </c>
      <c r="I293">
        <f>IFERROR(VLOOKUP(A293,预留库存!A:F,6,0),0)</f>
        <v>24.98</v>
      </c>
      <c r="J293">
        <f>IFERROR(VLOOKUP(A293,库龄!B:K,9,0),0)</f>
        <v>0</v>
      </c>
      <c r="K293">
        <f>IFERROR(VLOOKUP(A293,库龄!B:L,10,0),0)</f>
        <v>0</v>
      </c>
      <c r="L293">
        <f>IFERROR(VLOOKUP(A293,库龄!B:M,11,0),0)</f>
        <v>0</v>
      </c>
      <c r="M293">
        <f>IFERROR(VLOOKUP(A293,库龄!B:N,12,0),0)</f>
        <v>0</v>
      </c>
      <c r="N293">
        <f t="shared" si="10"/>
        <v>0</v>
      </c>
    </row>
    <row r="294" spans="1:14">
      <c r="A294" s="3" t="s">
        <v>728</v>
      </c>
      <c r="B294">
        <f>IFERROR(VLOOKUP(A294,管理亚马逊库存!A:K,11,0),"")</f>
        <v>0</v>
      </c>
      <c r="C294">
        <f>IFERROR(VLOOKUP(A294,管理亚马逊库存!A:L,12,0),"")</f>
        <v>0</v>
      </c>
      <c r="D294">
        <f>IFERROR(VLOOKUP(A294,管理亚马逊库存!A:Q,17,0),"")</f>
        <v>0</v>
      </c>
      <c r="E294">
        <f>IFERROR(VLOOKUP(A294,管理亚马逊库存!A:R,18,0),"")</f>
        <v>0</v>
      </c>
      <c r="F294">
        <f t="shared" si="9"/>
        <v>0</v>
      </c>
      <c r="G294" t="str">
        <f>IFERROR(VLOOKUP(A294,预留库存!A:G,7,0),0)</f>
        <v>No</v>
      </c>
      <c r="H294">
        <f>IFERROR(VLOOKUP(A294,预留库存!A:H,8,0),0)</f>
        <v>0</v>
      </c>
      <c r="I294">
        <f>IFERROR(VLOOKUP(A294,预留库存!A:F,6,0),0)</f>
        <v>24.98</v>
      </c>
      <c r="J294">
        <f>IFERROR(VLOOKUP(A294,库龄!B:K,9,0),0)</f>
        <v>0</v>
      </c>
      <c r="K294">
        <f>IFERROR(VLOOKUP(A294,库龄!B:L,10,0),0)</f>
        <v>0</v>
      </c>
      <c r="L294">
        <f>IFERROR(VLOOKUP(A294,库龄!B:M,11,0),0)</f>
        <v>0</v>
      </c>
      <c r="M294">
        <f>IFERROR(VLOOKUP(A294,库龄!B:N,12,0),0)</f>
        <v>0</v>
      </c>
      <c r="N294">
        <f t="shared" si="10"/>
        <v>0</v>
      </c>
    </row>
    <row r="295" spans="1:14">
      <c r="A295" s="3" t="s">
        <v>730</v>
      </c>
      <c r="B295">
        <f>IFERROR(VLOOKUP(A295,管理亚马逊库存!A:K,11,0),"")</f>
        <v>0</v>
      </c>
      <c r="C295">
        <f>IFERROR(VLOOKUP(A295,管理亚马逊库存!A:L,12,0),"")</f>
        <v>0</v>
      </c>
      <c r="D295">
        <f>IFERROR(VLOOKUP(A295,管理亚马逊库存!A:Q,17,0),"")</f>
        <v>0</v>
      </c>
      <c r="E295">
        <f>IFERROR(VLOOKUP(A295,管理亚马逊库存!A:R,18,0),"")</f>
        <v>0</v>
      </c>
      <c r="F295">
        <f t="shared" si="9"/>
        <v>0</v>
      </c>
      <c r="G295" t="str">
        <f>IFERROR(VLOOKUP(A295,预留库存!A:G,7,0),0)</f>
        <v>No</v>
      </c>
      <c r="H295">
        <f>IFERROR(VLOOKUP(A295,预留库存!A:H,8,0),0)</f>
        <v>0</v>
      </c>
      <c r="I295">
        <f>IFERROR(VLOOKUP(A295,预留库存!A:F,6,0),0)</f>
        <v>24.98</v>
      </c>
      <c r="J295">
        <f>IFERROR(VLOOKUP(A295,库龄!B:K,9,0),0)</f>
        <v>0</v>
      </c>
      <c r="K295">
        <f>IFERROR(VLOOKUP(A295,库龄!B:L,10,0),0)</f>
        <v>0</v>
      </c>
      <c r="L295">
        <f>IFERROR(VLOOKUP(A295,库龄!B:M,11,0),0)</f>
        <v>0</v>
      </c>
      <c r="M295">
        <f>IFERROR(VLOOKUP(A295,库龄!B:N,12,0),0)</f>
        <v>0</v>
      </c>
      <c r="N295">
        <f t="shared" si="10"/>
        <v>0</v>
      </c>
    </row>
    <row r="296" spans="1:14">
      <c r="A296" s="3" t="s">
        <v>732</v>
      </c>
      <c r="B296">
        <f>IFERROR(VLOOKUP(A296,管理亚马逊库存!A:K,11,0),"")</f>
        <v>0</v>
      </c>
      <c r="C296">
        <f>IFERROR(VLOOKUP(A296,管理亚马逊库存!A:L,12,0),"")</f>
        <v>0</v>
      </c>
      <c r="D296">
        <f>IFERROR(VLOOKUP(A296,管理亚马逊库存!A:Q,17,0),"")</f>
        <v>0</v>
      </c>
      <c r="E296">
        <f>IFERROR(VLOOKUP(A296,管理亚马逊库存!A:R,18,0),"")</f>
        <v>0</v>
      </c>
      <c r="F296">
        <f t="shared" si="9"/>
        <v>0</v>
      </c>
      <c r="G296" t="str">
        <f>IFERROR(VLOOKUP(A296,预留库存!A:G,7,0),0)</f>
        <v>No</v>
      </c>
      <c r="H296">
        <f>IFERROR(VLOOKUP(A296,预留库存!A:H,8,0),0)</f>
        <v>0</v>
      </c>
      <c r="I296">
        <f>IFERROR(VLOOKUP(A296,预留库存!A:F,6,0),0)</f>
        <v>24.98</v>
      </c>
      <c r="J296">
        <f>IFERROR(VLOOKUP(A296,库龄!B:K,9,0),0)</f>
        <v>0</v>
      </c>
      <c r="K296">
        <f>IFERROR(VLOOKUP(A296,库龄!B:L,10,0),0)</f>
        <v>0</v>
      </c>
      <c r="L296">
        <f>IFERROR(VLOOKUP(A296,库龄!B:M,11,0),0)</f>
        <v>0</v>
      </c>
      <c r="M296">
        <f>IFERROR(VLOOKUP(A296,库龄!B:N,12,0),0)</f>
        <v>0</v>
      </c>
      <c r="N296">
        <f t="shared" si="10"/>
        <v>0</v>
      </c>
    </row>
    <row r="297" spans="1:14">
      <c r="A297" s="3" t="s">
        <v>734</v>
      </c>
      <c r="B297">
        <f>IFERROR(VLOOKUP(A297,管理亚马逊库存!A:K,11,0),"")</f>
        <v>0</v>
      </c>
      <c r="C297">
        <f>IFERROR(VLOOKUP(A297,管理亚马逊库存!A:L,12,0),"")</f>
        <v>0</v>
      </c>
      <c r="D297">
        <f>IFERROR(VLOOKUP(A297,管理亚马逊库存!A:Q,17,0),"")</f>
        <v>0</v>
      </c>
      <c r="E297">
        <f>IFERROR(VLOOKUP(A297,管理亚马逊库存!A:R,18,0),"")</f>
        <v>0</v>
      </c>
      <c r="F297">
        <f t="shared" si="9"/>
        <v>0</v>
      </c>
      <c r="G297" t="str">
        <f>IFERROR(VLOOKUP(A297,预留库存!A:G,7,0),0)</f>
        <v>No</v>
      </c>
      <c r="H297">
        <f>IFERROR(VLOOKUP(A297,预留库存!A:H,8,0),0)</f>
        <v>0</v>
      </c>
      <c r="I297">
        <f>IFERROR(VLOOKUP(A297,预留库存!A:F,6,0),0)</f>
        <v>24.98</v>
      </c>
      <c r="J297">
        <f>IFERROR(VLOOKUP(A297,库龄!B:K,9,0),0)</f>
        <v>0</v>
      </c>
      <c r="K297">
        <f>IFERROR(VLOOKUP(A297,库龄!B:L,10,0),0)</f>
        <v>0</v>
      </c>
      <c r="L297">
        <f>IFERROR(VLOOKUP(A297,库龄!B:M,11,0),0)</f>
        <v>0</v>
      </c>
      <c r="M297">
        <f>IFERROR(VLOOKUP(A297,库龄!B:N,12,0),0)</f>
        <v>0</v>
      </c>
      <c r="N297">
        <f t="shared" si="10"/>
        <v>0</v>
      </c>
    </row>
    <row r="298" spans="1:14">
      <c r="A298" s="3" t="s">
        <v>736</v>
      </c>
      <c r="B298">
        <f>IFERROR(VLOOKUP(A298,管理亚马逊库存!A:K,11,0),"")</f>
        <v>0</v>
      </c>
      <c r="C298">
        <f>IFERROR(VLOOKUP(A298,管理亚马逊库存!A:L,12,0),"")</f>
        <v>0</v>
      </c>
      <c r="D298">
        <f>IFERROR(VLOOKUP(A298,管理亚马逊库存!A:Q,17,0),"")</f>
        <v>0</v>
      </c>
      <c r="E298">
        <f>IFERROR(VLOOKUP(A298,管理亚马逊库存!A:R,18,0),"")</f>
        <v>0</v>
      </c>
      <c r="F298">
        <f t="shared" si="9"/>
        <v>0</v>
      </c>
      <c r="G298" t="str">
        <f>IFERROR(VLOOKUP(A298,预留库存!A:G,7,0),0)</f>
        <v>No</v>
      </c>
      <c r="H298">
        <f>IFERROR(VLOOKUP(A298,预留库存!A:H,8,0),0)</f>
        <v>0</v>
      </c>
      <c r="I298">
        <f>IFERROR(VLOOKUP(A298,预留库存!A:F,6,0),0)</f>
        <v>24.98</v>
      </c>
      <c r="J298">
        <f>IFERROR(VLOOKUP(A298,库龄!B:K,9,0),0)</f>
        <v>0</v>
      </c>
      <c r="K298">
        <f>IFERROR(VLOOKUP(A298,库龄!B:L,10,0),0)</f>
        <v>0</v>
      </c>
      <c r="L298">
        <f>IFERROR(VLOOKUP(A298,库龄!B:M,11,0),0)</f>
        <v>0</v>
      </c>
      <c r="M298">
        <f>IFERROR(VLOOKUP(A298,库龄!B:N,12,0),0)</f>
        <v>0</v>
      </c>
      <c r="N298">
        <f t="shared" si="10"/>
        <v>0</v>
      </c>
    </row>
    <row r="299" spans="1:14">
      <c r="A299" s="3" t="s">
        <v>738</v>
      </c>
      <c r="B299">
        <f>IFERROR(VLOOKUP(A299,管理亚马逊库存!A:K,11,0),"")</f>
        <v>0</v>
      </c>
      <c r="C299">
        <f>IFERROR(VLOOKUP(A299,管理亚马逊库存!A:L,12,0),"")</f>
        <v>0</v>
      </c>
      <c r="D299">
        <f>IFERROR(VLOOKUP(A299,管理亚马逊库存!A:Q,17,0),"")</f>
        <v>0</v>
      </c>
      <c r="E299">
        <f>IFERROR(VLOOKUP(A299,管理亚马逊库存!A:R,18,0),"")</f>
        <v>0</v>
      </c>
      <c r="F299">
        <f t="shared" si="9"/>
        <v>0</v>
      </c>
      <c r="G299" t="str">
        <f>IFERROR(VLOOKUP(A299,预留库存!A:G,7,0),0)</f>
        <v>No</v>
      </c>
      <c r="H299">
        <f>IFERROR(VLOOKUP(A299,预留库存!A:H,8,0),0)</f>
        <v>0</v>
      </c>
      <c r="I299">
        <f>IFERROR(VLOOKUP(A299,预留库存!A:F,6,0),0)</f>
        <v>24.98</v>
      </c>
      <c r="J299">
        <f>IFERROR(VLOOKUP(A299,库龄!B:K,9,0),0)</f>
        <v>0</v>
      </c>
      <c r="K299">
        <f>IFERROR(VLOOKUP(A299,库龄!B:L,10,0),0)</f>
        <v>0</v>
      </c>
      <c r="L299">
        <f>IFERROR(VLOOKUP(A299,库龄!B:M,11,0),0)</f>
        <v>0</v>
      </c>
      <c r="M299">
        <f>IFERROR(VLOOKUP(A299,库龄!B:N,12,0),0)</f>
        <v>0</v>
      </c>
      <c r="N299">
        <f t="shared" si="10"/>
        <v>0</v>
      </c>
    </row>
    <row r="300" spans="1:14">
      <c r="A300" s="3" t="s">
        <v>740</v>
      </c>
      <c r="B300">
        <f>IFERROR(VLOOKUP(A300,管理亚马逊库存!A:K,11,0),"")</f>
        <v>0</v>
      </c>
      <c r="C300">
        <f>IFERROR(VLOOKUP(A300,管理亚马逊库存!A:L,12,0),"")</f>
        <v>0</v>
      </c>
      <c r="D300">
        <f>IFERROR(VLOOKUP(A300,管理亚马逊库存!A:Q,17,0),"")</f>
        <v>0</v>
      </c>
      <c r="E300">
        <f>IFERROR(VLOOKUP(A300,管理亚马逊库存!A:R,18,0),"")</f>
        <v>0</v>
      </c>
      <c r="F300">
        <f t="shared" si="9"/>
        <v>0</v>
      </c>
      <c r="G300" t="str">
        <f>IFERROR(VLOOKUP(A300,预留库存!A:G,7,0),0)</f>
        <v>No</v>
      </c>
      <c r="H300">
        <f>IFERROR(VLOOKUP(A300,预留库存!A:H,8,0),0)</f>
        <v>0</v>
      </c>
      <c r="I300">
        <f>IFERROR(VLOOKUP(A300,预留库存!A:F,6,0),0)</f>
        <v>24.98</v>
      </c>
      <c r="J300">
        <f>IFERROR(VLOOKUP(A300,库龄!B:K,9,0),0)</f>
        <v>0</v>
      </c>
      <c r="K300">
        <f>IFERROR(VLOOKUP(A300,库龄!B:L,10,0),0)</f>
        <v>0</v>
      </c>
      <c r="L300">
        <f>IFERROR(VLOOKUP(A300,库龄!B:M,11,0),0)</f>
        <v>0</v>
      </c>
      <c r="M300">
        <f>IFERROR(VLOOKUP(A300,库龄!B:N,12,0),0)</f>
        <v>0</v>
      </c>
      <c r="N300">
        <f t="shared" si="10"/>
        <v>0</v>
      </c>
    </row>
    <row r="301" spans="1:14">
      <c r="A301" s="3" t="s">
        <v>742</v>
      </c>
      <c r="B301">
        <f>IFERROR(VLOOKUP(A301,管理亚马逊库存!A:K,11,0),"")</f>
        <v>0</v>
      </c>
      <c r="C301">
        <f>IFERROR(VLOOKUP(A301,管理亚马逊库存!A:L,12,0),"")</f>
        <v>0</v>
      </c>
      <c r="D301">
        <f>IFERROR(VLOOKUP(A301,管理亚马逊库存!A:Q,17,0),"")</f>
        <v>0</v>
      </c>
      <c r="E301">
        <f>IFERROR(VLOOKUP(A301,管理亚马逊库存!A:R,18,0),"")</f>
        <v>0</v>
      </c>
      <c r="F301">
        <f t="shared" si="9"/>
        <v>0</v>
      </c>
      <c r="G301" t="str">
        <f>IFERROR(VLOOKUP(A301,预留库存!A:G,7,0),0)</f>
        <v>No</v>
      </c>
      <c r="H301">
        <f>IFERROR(VLOOKUP(A301,预留库存!A:H,8,0),0)</f>
        <v>0</v>
      </c>
      <c r="I301">
        <f>IFERROR(VLOOKUP(A301,预留库存!A:F,6,0),0)</f>
        <v>24.98</v>
      </c>
      <c r="J301">
        <f>IFERROR(VLOOKUP(A301,库龄!B:K,9,0),0)</f>
        <v>0</v>
      </c>
      <c r="K301">
        <f>IFERROR(VLOOKUP(A301,库龄!B:L,10,0),0)</f>
        <v>0</v>
      </c>
      <c r="L301">
        <f>IFERROR(VLOOKUP(A301,库龄!B:M,11,0),0)</f>
        <v>0</v>
      </c>
      <c r="M301">
        <f>IFERROR(VLOOKUP(A301,库龄!B:N,12,0),0)</f>
        <v>0</v>
      </c>
      <c r="N301">
        <f t="shared" si="10"/>
        <v>0</v>
      </c>
    </row>
    <row r="302" spans="1:14">
      <c r="A302" s="3" t="s">
        <v>744</v>
      </c>
      <c r="B302">
        <f>IFERROR(VLOOKUP(A302,管理亚马逊库存!A:K,11,0),"")</f>
        <v>5</v>
      </c>
      <c r="C302">
        <f>IFERROR(VLOOKUP(A302,管理亚马逊库存!A:L,12,0),"")</f>
        <v>0</v>
      </c>
      <c r="D302">
        <f>IFERROR(VLOOKUP(A302,管理亚马逊库存!A:Q,17,0),"")</f>
        <v>0</v>
      </c>
      <c r="E302">
        <f>IFERROR(VLOOKUP(A302,管理亚马逊库存!A:R,18,0),"")</f>
        <v>0</v>
      </c>
      <c r="F302">
        <f t="shared" si="9"/>
        <v>0</v>
      </c>
      <c r="G302" t="str">
        <f>IFERROR(VLOOKUP(A302,预留库存!A:G,7,0),0)</f>
        <v>No</v>
      </c>
      <c r="H302">
        <f>IFERROR(VLOOKUP(A302,预留库存!A:H,8,0),0)</f>
        <v>0</v>
      </c>
      <c r="I302">
        <f>IFERROR(VLOOKUP(A302,预留库存!A:F,6,0),0)</f>
        <v>24.98</v>
      </c>
      <c r="J302">
        <f>IFERROR(VLOOKUP(A302,库龄!B:K,9,0),0)</f>
        <v>0</v>
      </c>
      <c r="K302">
        <f>IFERROR(VLOOKUP(A302,库龄!B:L,10,0),0)</f>
        <v>0</v>
      </c>
      <c r="L302">
        <f>IFERROR(VLOOKUP(A302,库龄!B:M,11,0),0)</f>
        <v>0</v>
      </c>
      <c r="M302">
        <f>IFERROR(VLOOKUP(A302,库龄!B:N,12,0),0)</f>
        <v>0</v>
      </c>
      <c r="N302">
        <f t="shared" si="10"/>
        <v>0</v>
      </c>
    </row>
    <row r="303" spans="1:14">
      <c r="A303" s="3" t="s">
        <v>746</v>
      </c>
      <c r="B303">
        <f>IFERROR(VLOOKUP(A303,管理亚马逊库存!A:K,11,0),"")</f>
        <v>6</v>
      </c>
      <c r="C303">
        <f>IFERROR(VLOOKUP(A303,管理亚马逊库存!A:L,12,0),"")</f>
        <v>0</v>
      </c>
      <c r="D303">
        <f>IFERROR(VLOOKUP(A303,管理亚马逊库存!A:Q,17,0),"")</f>
        <v>0</v>
      </c>
      <c r="E303">
        <f>IFERROR(VLOOKUP(A303,管理亚马逊库存!A:R,18,0),"")</f>
        <v>0</v>
      </c>
      <c r="F303">
        <f t="shared" si="9"/>
        <v>0</v>
      </c>
      <c r="G303" t="str">
        <f>IFERROR(VLOOKUP(A303,预留库存!A:G,7,0),0)</f>
        <v>No</v>
      </c>
      <c r="H303">
        <f>IFERROR(VLOOKUP(A303,预留库存!A:H,8,0),0)</f>
        <v>0</v>
      </c>
      <c r="I303">
        <f>IFERROR(VLOOKUP(A303,预留库存!A:F,6,0),0)</f>
        <v>24.98</v>
      </c>
      <c r="J303">
        <f>IFERROR(VLOOKUP(A303,库龄!B:K,9,0),0)</f>
        <v>0</v>
      </c>
      <c r="K303">
        <f>IFERROR(VLOOKUP(A303,库龄!B:L,10,0),0)</f>
        <v>0</v>
      </c>
      <c r="L303">
        <f>IFERROR(VLOOKUP(A303,库龄!B:M,11,0),0)</f>
        <v>0</v>
      </c>
      <c r="M303">
        <f>IFERROR(VLOOKUP(A303,库龄!B:N,12,0),0)</f>
        <v>0</v>
      </c>
      <c r="N303">
        <f t="shared" si="10"/>
        <v>0</v>
      </c>
    </row>
    <row r="304" spans="1:14">
      <c r="A304" s="3" t="s">
        <v>748</v>
      </c>
      <c r="B304">
        <f>IFERROR(VLOOKUP(A304,管理亚马逊库存!A:K,11,0),"")</f>
        <v>0</v>
      </c>
      <c r="C304">
        <f>IFERROR(VLOOKUP(A304,管理亚马逊库存!A:L,12,0),"")</f>
        <v>0</v>
      </c>
      <c r="D304">
        <f>IFERROR(VLOOKUP(A304,管理亚马逊库存!A:Q,17,0),"")</f>
        <v>0</v>
      </c>
      <c r="E304">
        <f>IFERROR(VLOOKUP(A304,管理亚马逊库存!A:R,18,0),"")</f>
        <v>0</v>
      </c>
      <c r="F304">
        <f t="shared" si="9"/>
        <v>0</v>
      </c>
      <c r="G304" t="str">
        <f>IFERROR(VLOOKUP(A304,预留库存!A:G,7,0),0)</f>
        <v>No</v>
      </c>
      <c r="H304">
        <f>IFERROR(VLOOKUP(A304,预留库存!A:H,8,0),0)</f>
        <v>0</v>
      </c>
      <c r="I304">
        <f>IFERROR(VLOOKUP(A304,预留库存!A:F,6,0),0)</f>
        <v>24.98</v>
      </c>
      <c r="J304">
        <f>IFERROR(VLOOKUP(A304,库龄!B:K,9,0),0)</f>
        <v>0</v>
      </c>
      <c r="K304">
        <f>IFERROR(VLOOKUP(A304,库龄!B:L,10,0),0)</f>
        <v>0</v>
      </c>
      <c r="L304">
        <f>IFERROR(VLOOKUP(A304,库龄!B:M,11,0),0)</f>
        <v>0</v>
      </c>
      <c r="M304">
        <f>IFERROR(VLOOKUP(A304,库龄!B:N,12,0),0)</f>
        <v>0</v>
      </c>
      <c r="N304">
        <f t="shared" si="10"/>
        <v>0</v>
      </c>
    </row>
    <row r="305" spans="1:14">
      <c r="A305" s="3" t="s">
        <v>751</v>
      </c>
      <c r="B305">
        <f>IFERROR(VLOOKUP(A305,管理亚马逊库存!A:K,11,0),"")</f>
        <v>28</v>
      </c>
      <c r="C305">
        <f>IFERROR(VLOOKUP(A305,管理亚马逊库存!A:L,12,0),"")</f>
        <v>0</v>
      </c>
      <c r="D305">
        <f>IFERROR(VLOOKUP(A305,管理亚马逊库存!A:Q,17,0),"")</f>
        <v>0</v>
      </c>
      <c r="E305">
        <f>IFERROR(VLOOKUP(A305,管理亚马逊库存!A:R,18,0),"")</f>
        <v>0</v>
      </c>
      <c r="F305">
        <f t="shared" si="9"/>
        <v>0</v>
      </c>
      <c r="G305" t="str">
        <f>IFERROR(VLOOKUP(A305,预留库存!A:G,7,0),0)</f>
        <v>No</v>
      </c>
      <c r="H305">
        <f>IFERROR(VLOOKUP(A305,预留库存!A:H,8,0),0)</f>
        <v>0</v>
      </c>
      <c r="I305">
        <f>IFERROR(VLOOKUP(A305,预留库存!A:F,6,0),0)</f>
        <v>24.98</v>
      </c>
      <c r="J305">
        <f>IFERROR(VLOOKUP(A305,库龄!B:K,9,0),0)</f>
        <v>0</v>
      </c>
      <c r="K305">
        <f>IFERROR(VLOOKUP(A305,库龄!B:L,10,0),0)</f>
        <v>0</v>
      </c>
      <c r="L305">
        <f>IFERROR(VLOOKUP(A305,库龄!B:M,11,0),0)</f>
        <v>0</v>
      </c>
      <c r="M305">
        <f>IFERROR(VLOOKUP(A305,库龄!B:N,12,0),0)</f>
        <v>0</v>
      </c>
      <c r="N305">
        <f t="shared" si="10"/>
        <v>0</v>
      </c>
    </row>
    <row r="306" spans="1:14">
      <c r="A306" s="3" t="s">
        <v>753</v>
      </c>
      <c r="B306">
        <f>IFERROR(VLOOKUP(A306,管理亚马逊库存!A:K,11,0),"")</f>
        <v>10</v>
      </c>
      <c r="C306">
        <f>IFERROR(VLOOKUP(A306,管理亚马逊库存!A:L,12,0),"")</f>
        <v>0</v>
      </c>
      <c r="D306">
        <f>IFERROR(VLOOKUP(A306,管理亚马逊库存!A:Q,17,0),"")</f>
        <v>0</v>
      </c>
      <c r="E306">
        <f>IFERROR(VLOOKUP(A306,管理亚马逊库存!A:R,18,0),"")</f>
        <v>0</v>
      </c>
      <c r="F306">
        <f t="shared" si="9"/>
        <v>0</v>
      </c>
      <c r="G306" t="str">
        <f>IFERROR(VLOOKUP(A306,预留库存!A:G,7,0),0)</f>
        <v>No</v>
      </c>
      <c r="H306">
        <f>IFERROR(VLOOKUP(A306,预留库存!A:H,8,0),0)</f>
        <v>0</v>
      </c>
      <c r="I306">
        <f>IFERROR(VLOOKUP(A306,预留库存!A:F,6,0),0)</f>
        <v>24.98</v>
      </c>
      <c r="J306">
        <f>IFERROR(VLOOKUP(A306,库龄!B:K,9,0),0)</f>
        <v>0</v>
      </c>
      <c r="K306">
        <f>IFERROR(VLOOKUP(A306,库龄!B:L,10,0),0)</f>
        <v>0</v>
      </c>
      <c r="L306">
        <f>IFERROR(VLOOKUP(A306,库龄!B:M,11,0),0)</f>
        <v>0</v>
      </c>
      <c r="M306">
        <f>IFERROR(VLOOKUP(A306,库龄!B:N,12,0),0)</f>
        <v>0</v>
      </c>
      <c r="N306">
        <f t="shared" si="10"/>
        <v>0</v>
      </c>
    </row>
    <row r="307" spans="1:14">
      <c r="A307" s="3" t="s">
        <v>755</v>
      </c>
      <c r="B307">
        <f>IFERROR(VLOOKUP(A307,管理亚马逊库存!A:K,11,0),"")</f>
        <v>0</v>
      </c>
      <c r="C307">
        <f>IFERROR(VLOOKUP(A307,管理亚马逊库存!A:L,12,0),"")</f>
        <v>0</v>
      </c>
      <c r="D307">
        <f>IFERROR(VLOOKUP(A307,管理亚马逊库存!A:Q,17,0),"")</f>
        <v>0</v>
      </c>
      <c r="E307">
        <f>IFERROR(VLOOKUP(A307,管理亚马逊库存!A:R,18,0),"")</f>
        <v>0</v>
      </c>
      <c r="F307">
        <f t="shared" si="9"/>
        <v>0</v>
      </c>
      <c r="G307" t="str">
        <f>IFERROR(VLOOKUP(A307,预留库存!A:G,7,0),0)</f>
        <v>No</v>
      </c>
      <c r="H307">
        <f>IFERROR(VLOOKUP(A307,预留库存!A:H,8,0),0)</f>
        <v>0</v>
      </c>
      <c r="I307">
        <f>IFERROR(VLOOKUP(A307,预留库存!A:F,6,0),0)</f>
        <v>24.98</v>
      </c>
      <c r="J307">
        <f>IFERROR(VLOOKUP(A307,库龄!B:K,9,0),0)</f>
        <v>0</v>
      </c>
      <c r="K307">
        <f>IFERROR(VLOOKUP(A307,库龄!B:L,10,0),0)</f>
        <v>0</v>
      </c>
      <c r="L307">
        <f>IFERROR(VLOOKUP(A307,库龄!B:M,11,0),0)</f>
        <v>0</v>
      </c>
      <c r="M307">
        <f>IFERROR(VLOOKUP(A307,库龄!B:N,12,0),0)</f>
        <v>0</v>
      </c>
      <c r="N307">
        <f t="shared" si="10"/>
        <v>0</v>
      </c>
    </row>
    <row r="308" spans="1:14">
      <c r="A308" s="3" t="s">
        <v>757</v>
      </c>
      <c r="B308">
        <f>IFERROR(VLOOKUP(A308,管理亚马逊库存!A:K,11,0),"")</f>
        <v>0</v>
      </c>
      <c r="C308">
        <f>IFERROR(VLOOKUP(A308,管理亚马逊库存!A:L,12,0),"")</f>
        <v>0</v>
      </c>
      <c r="D308">
        <f>IFERROR(VLOOKUP(A308,管理亚马逊库存!A:Q,17,0),"")</f>
        <v>0</v>
      </c>
      <c r="E308">
        <f>IFERROR(VLOOKUP(A308,管理亚马逊库存!A:R,18,0),"")</f>
        <v>0</v>
      </c>
      <c r="F308">
        <f t="shared" si="9"/>
        <v>0</v>
      </c>
      <c r="G308" t="str">
        <f>IFERROR(VLOOKUP(A308,预留库存!A:G,7,0),0)</f>
        <v>No</v>
      </c>
      <c r="H308">
        <f>IFERROR(VLOOKUP(A308,预留库存!A:H,8,0),0)</f>
        <v>0</v>
      </c>
      <c r="I308">
        <f>IFERROR(VLOOKUP(A308,预留库存!A:F,6,0),0)</f>
        <v>24.98</v>
      </c>
      <c r="J308">
        <f>IFERROR(VLOOKUP(A308,库龄!B:K,9,0),0)</f>
        <v>0</v>
      </c>
      <c r="K308">
        <f>IFERROR(VLOOKUP(A308,库龄!B:L,10,0),0)</f>
        <v>0</v>
      </c>
      <c r="L308">
        <f>IFERROR(VLOOKUP(A308,库龄!B:M,11,0),0)</f>
        <v>0</v>
      </c>
      <c r="M308">
        <f>IFERROR(VLOOKUP(A308,库龄!B:N,12,0),0)</f>
        <v>0</v>
      </c>
      <c r="N308">
        <f t="shared" si="10"/>
        <v>0</v>
      </c>
    </row>
    <row r="309" spans="1:14">
      <c r="A309" s="3" t="s">
        <v>759</v>
      </c>
      <c r="B309">
        <f>IFERROR(VLOOKUP(A309,管理亚马逊库存!A:K,11,0),"")</f>
        <v>0</v>
      </c>
      <c r="C309">
        <f>IFERROR(VLOOKUP(A309,管理亚马逊库存!A:L,12,0),"")</f>
        <v>0</v>
      </c>
      <c r="D309">
        <f>IFERROR(VLOOKUP(A309,管理亚马逊库存!A:Q,17,0),"")</f>
        <v>0</v>
      </c>
      <c r="E309">
        <f>IFERROR(VLOOKUP(A309,管理亚马逊库存!A:R,18,0),"")</f>
        <v>0</v>
      </c>
      <c r="F309">
        <f t="shared" si="9"/>
        <v>0</v>
      </c>
      <c r="G309" t="str">
        <f>IFERROR(VLOOKUP(A309,预留库存!A:G,7,0),0)</f>
        <v>No</v>
      </c>
      <c r="H309">
        <f>IFERROR(VLOOKUP(A309,预留库存!A:H,8,0),0)</f>
        <v>0</v>
      </c>
      <c r="I309">
        <f>IFERROR(VLOOKUP(A309,预留库存!A:F,6,0),0)</f>
        <v>24.98</v>
      </c>
      <c r="J309">
        <f>IFERROR(VLOOKUP(A309,库龄!B:K,9,0),0)</f>
        <v>0</v>
      </c>
      <c r="K309">
        <f>IFERROR(VLOOKUP(A309,库龄!B:L,10,0),0)</f>
        <v>0</v>
      </c>
      <c r="L309">
        <f>IFERROR(VLOOKUP(A309,库龄!B:M,11,0),0)</f>
        <v>0</v>
      </c>
      <c r="M309">
        <f>IFERROR(VLOOKUP(A309,库龄!B:N,12,0),0)</f>
        <v>0</v>
      </c>
      <c r="N309">
        <f t="shared" si="10"/>
        <v>0</v>
      </c>
    </row>
    <row r="310" spans="1:14">
      <c r="A310" s="3" t="s">
        <v>761</v>
      </c>
      <c r="B310">
        <f>IFERROR(VLOOKUP(A310,管理亚马逊库存!A:K,11,0),"")</f>
        <v>0</v>
      </c>
      <c r="C310">
        <f>IFERROR(VLOOKUP(A310,管理亚马逊库存!A:L,12,0),"")</f>
        <v>0</v>
      </c>
      <c r="D310">
        <f>IFERROR(VLOOKUP(A310,管理亚马逊库存!A:Q,17,0),"")</f>
        <v>0</v>
      </c>
      <c r="E310">
        <f>IFERROR(VLOOKUP(A310,管理亚马逊库存!A:R,18,0),"")</f>
        <v>0</v>
      </c>
      <c r="F310">
        <f t="shared" si="9"/>
        <v>0</v>
      </c>
      <c r="G310" t="str">
        <f>IFERROR(VLOOKUP(A310,预留库存!A:G,7,0),0)</f>
        <v>No</v>
      </c>
      <c r="H310">
        <f>IFERROR(VLOOKUP(A310,预留库存!A:H,8,0),0)</f>
        <v>0</v>
      </c>
      <c r="I310">
        <f>IFERROR(VLOOKUP(A310,预留库存!A:F,6,0),0)</f>
        <v>24.98</v>
      </c>
      <c r="J310">
        <f>IFERROR(VLOOKUP(A310,库龄!B:K,9,0),0)</f>
        <v>0</v>
      </c>
      <c r="K310">
        <f>IFERROR(VLOOKUP(A310,库龄!B:L,10,0),0)</f>
        <v>0</v>
      </c>
      <c r="L310">
        <f>IFERROR(VLOOKUP(A310,库龄!B:M,11,0),0)</f>
        <v>0</v>
      </c>
      <c r="M310">
        <f>IFERROR(VLOOKUP(A310,库龄!B:N,12,0),0)</f>
        <v>0</v>
      </c>
      <c r="N310">
        <f t="shared" si="10"/>
        <v>0</v>
      </c>
    </row>
    <row r="311" spans="1:14">
      <c r="A311" s="3" t="s">
        <v>763</v>
      </c>
      <c r="B311">
        <f>IFERROR(VLOOKUP(A311,管理亚马逊库存!A:K,11,0),"")</f>
        <v>0</v>
      </c>
      <c r="C311">
        <f>IFERROR(VLOOKUP(A311,管理亚马逊库存!A:L,12,0),"")</f>
        <v>0</v>
      </c>
      <c r="D311">
        <f>IFERROR(VLOOKUP(A311,管理亚马逊库存!A:Q,17,0),"")</f>
        <v>0</v>
      </c>
      <c r="E311">
        <f>IFERROR(VLOOKUP(A311,管理亚马逊库存!A:R,18,0),"")</f>
        <v>0</v>
      </c>
      <c r="F311">
        <f t="shared" si="9"/>
        <v>0</v>
      </c>
      <c r="G311" t="str">
        <f>IFERROR(VLOOKUP(A311,预留库存!A:G,7,0),0)</f>
        <v>No</v>
      </c>
      <c r="H311">
        <f>IFERROR(VLOOKUP(A311,预留库存!A:H,8,0),0)</f>
        <v>0</v>
      </c>
      <c r="I311">
        <f>IFERROR(VLOOKUP(A311,预留库存!A:F,6,0),0)</f>
        <v>24.98</v>
      </c>
      <c r="J311">
        <f>IFERROR(VLOOKUP(A311,库龄!B:K,9,0),0)</f>
        <v>0</v>
      </c>
      <c r="K311">
        <f>IFERROR(VLOOKUP(A311,库龄!B:L,10,0),0)</f>
        <v>0</v>
      </c>
      <c r="L311">
        <f>IFERROR(VLOOKUP(A311,库龄!B:M,11,0),0)</f>
        <v>0</v>
      </c>
      <c r="M311">
        <f>IFERROR(VLOOKUP(A311,库龄!B:N,12,0),0)</f>
        <v>0</v>
      </c>
      <c r="N311">
        <f t="shared" si="10"/>
        <v>0</v>
      </c>
    </row>
    <row r="312" spans="1:14">
      <c r="A312" s="3" t="s">
        <v>765</v>
      </c>
      <c r="B312">
        <f>IFERROR(VLOOKUP(A312,管理亚马逊库存!A:K,11,0),"")</f>
        <v>0</v>
      </c>
      <c r="C312">
        <f>IFERROR(VLOOKUP(A312,管理亚马逊库存!A:L,12,0),"")</f>
        <v>0</v>
      </c>
      <c r="D312">
        <f>IFERROR(VLOOKUP(A312,管理亚马逊库存!A:Q,17,0),"")</f>
        <v>0</v>
      </c>
      <c r="E312">
        <f>IFERROR(VLOOKUP(A312,管理亚马逊库存!A:R,18,0),"")</f>
        <v>0</v>
      </c>
      <c r="F312">
        <f t="shared" si="9"/>
        <v>0</v>
      </c>
      <c r="G312" t="str">
        <f>IFERROR(VLOOKUP(A312,预留库存!A:G,7,0),0)</f>
        <v>No</v>
      </c>
      <c r="H312">
        <f>IFERROR(VLOOKUP(A312,预留库存!A:H,8,0),0)</f>
        <v>0</v>
      </c>
      <c r="I312">
        <f>IFERROR(VLOOKUP(A312,预留库存!A:F,6,0),0)</f>
        <v>39.98</v>
      </c>
      <c r="J312">
        <f>IFERROR(VLOOKUP(A312,库龄!B:K,9,0),0)</f>
        <v>0</v>
      </c>
      <c r="K312">
        <f>IFERROR(VLOOKUP(A312,库龄!B:L,10,0),0)</f>
        <v>0</v>
      </c>
      <c r="L312">
        <f>IFERROR(VLOOKUP(A312,库龄!B:M,11,0),0)</f>
        <v>0</v>
      </c>
      <c r="M312">
        <f>IFERROR(VLOOKUP(A312,库龄!B:N,12,0),0)</f>
        <v>0</v>
      </c>
      <c r="N312">
        <f t="shared" si="10"/>
        <v>0</v>
      </c>
    </row>
    <row r="313" spans="1:14">
      <c r="A313" s="3" t="s">
        <v>767</v>
      </c>
      <c r="B313">
        <f>IFERROR(VLOOKUP(A313,管理亚马逊库存!A:K,11,0),"")</f>
        <v>0</v>
      </c>
      <c r="C313">
        <f>IFERROR(VLOOKUP(A313,管理亚马逊库存!A:L,12,0),"")</f>
        <v>0</v>
      </c>
      <c r="D313">
        <f>IFERROR(VLOOKUP(A313,管理亚马逊库存!A:Q,17,0),"")</f>
        <v>0</v>
      </c>
      <c r="E313">
        <f>IFERROR(VLOOKUP(A313,管理亚马逊库存!A:R,18,0),"")</f>
        <v>0</v>
      </c>
      <c r="F313">
        <f t="shared" si="9"/>
        <v>0</v>
      </c>
      <c r="G313" t="str">
        <f>IFERROR(VLOOKUP(A313,预留库存!A:G,7,0),0)</f>
        <v>No</v>
      </c>
      <c r="H313">
        <f>IFERROR(VLOOKUP(A313,预留库存!A:H,8,0),0)</f>
        <v>0</v>
      </c>
      <c r="I313">
        <f>IFERROR(VLOOKUP(A313,预留库存!A:F,6,0),0)</f>
        <v>39.98</v>
      </c>
      <c r="J313">
        <f>IFERROR(VLOOKUP(A313,库龄!B:K,9,0),0)</f>
        <v>0</v>
      </c>
      <c r="K313">
        <f>IFERROR(VLOOKUP(A313,库龄!B:L,10,0),0)</f>
        <v>0</v>
      </c>
      <c r="L313">
        <f>IFERROR(VLOOKUP(A313,库龄!B:M,11,0),0)</f>
        <v>0</v>
      </c>
      <c r="M313">
        <f>IFERROR(VLOOKUP(A313,库龄!B:N,12,0),0)</f>
        <v>0</v>
      </c>
      <c r="N313">
        <f t="shared" si="10"/>
        <v>0</v>
      </c>
    </row>
    <row r="314" spans="1:14">
      <c r="A314" s="3" t="s">
        <v>769</v>
      </c>
      <c r="B314">
        <f>IFERROR(VLOOKUP(A314,管理亚马逊库存!A:K,11,0),"")</f>
        <v>1</v>
      </c>
      <c r="C314">
        <f>IFERROR(VLOOKUP(A314,管理亚马逊库存!A:L,12,0),"")</f>
        <v>0</v>
      </c>
      <c r="D314">
        <f>IFERROR(VLOOKUP(A314,管理亚马逊库存!A:Q,17,0),"")</f>
        <v>0</v>
      </c>
      <c r="E314">
        <f>IFERROR(VLOOKUP(A314,管理亚马逊库存!A:R,18,0),"")</f>
        <v>0</v>
      </c>
      <c r="F314">
        <f t="shared" si="9"/>
        <v>0</v>
      </c>
      <c r="G314" t="str">
        <f>IFERROR(VLOOKUP(A314,预留库存!A:G,7,0),0)</f>
        <v>No</v>
      </c>
      <c r="H314">
        <f>IFERROR(VLOOKUP(A314,预留库存!A:H,8,0),0)</f>
        <v>0</v>
      </c>
      <c r="I314">
        <f>IFERROR(VLOOKUP(A314,预留库存!A:F,6,0),0)</f>
        <v>39.98</v>
      </c>
      <c r="J314">
        <f>IFERROR(VLOOKUP(A314,库龄!B:K,9,0),0)</f>
        <v>0</v>
      </c>
      <c r="K314">
        <f>IFERROR(VLOOKUP(A314,库龄!B:L,10,0),0)</f>
        <v>0</v>
      </c>
      <c r="L314">
        <f>IFERROR(VLOOKUP(A314,库龄!B:M,11,0),0)</f>
        <v>0</v>
      </c>
      <c r="M314">
        <f>IFERROR(VLOOKUP(A314,库龄!B:N,12,0),0)</f>
        <v>0</v>
      </c>
      <c r="N314">
        <f t="shared" si="10"/>
        <v>0</v>
      </c>
    </row>
    <row r="315" spans="1:14">
      <c r="A315" s="3" t="s">
        <v>771</v>
      </c>
      <c r="B315">
        <f>IFERROR(VLOOKUP(A315,管理亚马逊库存!A:K,11,0),"")</f>
        <v>4</v>
      </c>
      <c r="C315">
        <f>IFERROR(VLOOKUP(A315,管理亚马逊库存!A:L,12,0),"")</f>
        <v>0</v>
      </c>
      <c r="D315">
        <f>IFERROR(VLOOKUP(A315,管理亚马逊库存!A:Q,17,0),"")</f>
        <v>0</v>
      </c>
      <c r="E315">
        <f>IFERROR(VLOOKUP(A315,管理亚马逊库存!A:R,18,0),"")</f>
        <v>0</v>
      </c>
      <c r="F315">
        <f t="shared" si="9"/>
        <v>0</v>
      </c>
      <c r="G315" t="str">
        <f>IFERROR(VLOOKUP(A315,预留库存!A:G,7,0),0)</f>
        <v>No</v>
      </c>
      <c r="H315">
        <f>IFERROR(VLOOKUP(A315,预留库存!A:H,8,0),0)</f>
        <v>0</v>
      </c>
      <c r="I315">
        <f>IFERROR(VLOOKUP(A315,预留库存!A:F,6,0),0)</f>
        <v>39.98</v>
      </c>
      <c r="J315">
        <f>IFERROR(VLOOKUP(A315,库龄!B:K,9,0),0)</f>
        <v>0</v>
      </c>
      <c r="K315">
        <f>IFERROR(VLOOKUP(A315,库龄!B:L,10,0),0)</f>
        <v>0</v>
      </c>
      <c r="L315">
        <f>IFERROR(VLOOKUP(A315,库龄!B:M,11,0),0)</f>
        <v>0</v>
      </c>
      <c r="M315">
        <f>IFERROR(VLOOKUP(A315,库龄!B:N,12,0),0)</f>
        <v>0</v>
      </c>
      <c r="N315">
        <f t="shared" si="10"/>
        <v>0</v>
      </c>
    </row>
    <row r="316" spans="1:14">
      <c r="A316" s="3" t="s">
        <v>773</v>
      </c>
      <c r="B316">
        <f>IFERROR(VLOOKUP(A316,管理亚马逊库存!A:K,11,0),"")</f>
        <v>0</v>
      </c>
      <c r="C316">
        <f>IFERROR(VLOOKUP(A316,管理亚马逊库存!A:L,12,0),"")</f>
        <v>0</v>
      </c>
      <c r="D316">
        <f>IFERROR(VLOOKUP(A316,管理亚马逊库存!A:Q,17,0),"")</f>
        <v>0</v>
      </c>
      <c r="E316">
        <f>IFERROR(VLOOKUP(A316,管理亚马逊库存!A:R,18,0),"")</f>
        <v>0</v>
      </c>
      <c r="F316">
        <f t="shared" si="9"/>
        <v>0</v>
      </c>
      <c r="G316" t="str">
        <f>IFERROR(VLOOKUP(A316,预留库存!A:G,7,0),0)</f>
        <v>No</v>
      </c>
      <c r="H316">
        <f>IFERROR(VLOOKUP(A316,预留库存!A:H,8,0),0)</f>
        <v>0</v>
      </c>
      <c r="I316">
        <f>IFERROR(VLOOKUP(A316,预留库存!A:F,6,0),0)</f>
        <v>39.98</v>
      </c>
      <c r="J316">
        <f>IFERROR(VLOOKUP(A316,库龄!B:K,9,0),0)</f>
        <v>0</v>
      </c>
      <c r="K316">
        <f>IFERROR(VLOOKUP(A316,库龄!B:L,10,0),0)</f>
        <v>0</v>
      </c>
      <c r="L316">
        <f>IFERROR(VLOOKUP(A316,库龄!B:M,11,0),0)</f>
        <v>0</v>
      </c>
      <c r="M316">
        <f>IFERROR(VLOOKUP(A316,库龄!B:N,12,0),0)</f>
        <v>0</v>
      </c>
      <c r="N316">
        <f t="shared" si="10"/>
        <v>0</v>
      </c>
    </row>
    <row r="317" spans="1:14">
      <c r="A317" s="3" t="s">
        <v>775</v>
      </c>
      <c r="B317">
        <f>IFERROR(VLOOKUP(A317,管理亚马逊库存!A:K,11,0),"")</f>
        <v>5</v>
      </c>
      <c r="C317">
        <f>IFERROR(VLOOKUP(A317,管理亚马逊库存!A:L,12,0),"")</f>
        <v>0</v>
      </c>
      <c r="D317">
        <f>IFERROR(VLOOKUP(A317,管理亚马逊库存!A:Q,17,0),"")</f>
        <v>0</v>
      </c>
      <c r="E317">
        <f>IFERROR(VLOOKUP(A317,管理亚马逊库存!A:R,18,0),"")</f>
        <v>0</v>
      </c>
      <c r="F317">
        <f t="shared" si="9"/>
        <v>0</v>
      </c>
      <c r="G317" t="str">
        <f>IFERROR(VLOOKUP(A317,预留库存!A:G,7,0),0)</f>
        <v>No</v>
      </c>
      <c r="H317">
        <f>IFERROR(VLOOKUP(A317,预留库存!A:H,8,0),0)</f>
        <v>0</v>
      </c>
      <c r="I317">
        <f>IFERROR(VLOOKUP(A317,预留库存!A:F,6,0),0)</f>
        <v>39.98</v>
      </c>
      <c r="J317">
        <f>IFERROR(VLOOKUP(A317,库龄!B:K,9,0),0)</f>
        <v>0</v>
      </c>
      <c r="K317">
        <f>IFERROR(VLOOKUP(A317,库龄!B:L,10,0),0)</f>
        <v>0</v>
      </c>
      <c r="L317">
        <f>IFERROR(VLOOKUP(A317,库龄!B:M,11,0),0)</f>
        <v>0</v>
      </c>
      <c r="M317">
        <f>IFERROR(VLOOKUP(A317,库龄!B:N,12,0),0)</f>
        <v>0</v>
      </c>
      <c r="N317">
        <f t="shared" si="10"/>
        <v>0</v>
      </c>
    </row>
    <row r="318" spans="1:14">
      <c r="A318" s="3" t="s">
        <v>777</v>
      </c>
      <c r="B318">
        <f>IFERROR(VLOOKUP(A318,管理亚马逊库存!A:K,11,0),"")</f>
        <v>3</v>
      </c>
      <c r="C318">
        <f>IFERROR(VLOOKUP(A318,管理亚马逊库存!A:L,12,0),"")</f>
        <v>0</v>
      </c>
      <c r="D318">
        <f>IFERROR(VLOOKUP(A318,管理亚马逊库存!A:Q,17,0),"")</f>
        <v>0</v>
      </c>
      <c r="E318">
        <f>IFERROR(VLOOKUP(A318,管理亚马逊库存!A:R,18,0),"")</f>
        <v>0</v>
      </c>
      <c r="F318">
        <f t="shared" si="9"/>
        <v>0</v>
      </c>
      <c r="G318" t="str">
        <f>IFERROR(VLOOKUP(A318,预留库存!A:G,7,0),0)</f>
        <v>No</v>
      </c>
      <c r="H318">
        <f>IFERROR(VLOOKUP(A318,预留库存!A:H,8,0),0)</f>
        <v>0</v>
      </c>
      <c r="I318">
        <f>IFERROR(VLOOKUP(A318,预留库存!A:F,6,0),0)</f>
        <v>39.98</v>
      </c>
      <c r="J318">
        <f>IFERROR(VLOOKUP(A318,库龄!B:K,9,0),0)</f>
        <v>0</v>
      </c>
      <c r="K318">
        <f>IFERROR(VLOOKUP(A318,库龄!B:L,10,0),0)</f>
        <v>0</v>
      </c>
      <c r="L318">
        <f>IFERROR(VLOOKUP(A318,库龄!B:M,11,0),0)</f>
        <v>0</v>
      </c>
      <c r="M318">
        <f>IFERROR(VLOOKUP(A318,库龄!B:N,12,0),0)</f>
        <v>0</v>
      </c>
      <c r="N318">
        <f t="shared" si="10"/>
        <v>0</v>
      </c>
    </row>
    <row r="319" spans="1:14">
      <c r="A319" s="3" t="s">
        <v>779</v>
      </c>
      <c r="B319">
        <f>IFERROR(VLOOKUP(A319,管理亚马逊库存!A:K,11,0),"")</f>
        <v>0</v>
      </c>
      <c r="C319">
        <f>IFERROR(VLOOKUP(A319,管理亚马逊库存!A:L,12,0),"")</f>
        <v>0</v>
      </c>
      <c r="D319">
        <f>IFERROR(VLOOKUP(A319,管理亚马逊库存!A:Q,17,0),"")</f>
        <v>0</v>
      </c>
      <c r="E319">
        <f>IFERROR(VLOOKUP(A319,管理亚马逊库存!A:R,18,0),"")</f>
        <v>0</v>
      </c>
      <c r="F319">
        <f t="shared" si="9"/>
        <v>0</v>
      </c>
      <c r="G319" t="str">
        <f>IFERROR(VLOOKUP(A319,预留库存!A:G,7,0),0)</f>
        <v>No</v>
      </c>
      <c r="H319">
        <f>IFERROR(VLOOKUP(A319,预留库存!A:H,8,0),0)</f>
        <v>0</v>
      </c>
      <c r="I319">
        <f>IFERROR(VLOOKUP(A319,预留库存!A:F,6,0),0)</f>
        <v>39.98</v>
      </c>
      <c r="J319">
        <f>IFERROR(VLOOKUP(A319,库龄!B:K,9,0),0)</f>
        <v>0</v>
      </c>
      <c r="K319">
        <f>IFERROR(VLOOKUP(A319,库龄!B:L,10,0),0)</f>
        <v>0</v>
      </c>
      <c r="L319">
        <f>IFERROR(VLOOKUP(A319,库龄!B:M,11,0),0)</f>
        <v>0</v>
      </c>
      <c r="M319">
        <f>IFERROR(VLOOKUP(A319,库龄!B:N,12,0),0)</f>
        <v>0</v>
      </c>
      <c r="N319">
        <f t="shared" si="10"/>
        <v>0</v>
      </c>
    </row>
    <row r="320" spans="1:14">
      <c r="A320" s="3" t="s">
        <v>781</v>
      </c>
      <c r="B320">
        <f>IFERROR(VLOOKUP(A320,管理亚马逊库存!A:K,11,0),"")</f>
        <v>4</v>
      </c>
      <c r="C320">
        <f>IFERROR(VLOOKUP(A320,管理亚马逊库存!A:L,12,0),"")</f>
        <v>0</v>
      </c>
      <c r="D320">
        <f>IFERROR(VLOOKUP(A320,管理亚马逊库存!A:Q,17,0),"")</f>
        <v>0</v>
      </c>
      <c r="E320">
        <f>IFERROR(VLOOKUP(A320,管理亚马逊库存!A:R,18,0),"")</f>
        <v>0</v>
      </c>
      <c r="F320">
        <f t="shared" si="9"/>
        <v>0</v>
      </c>
      <c r="G320" t="str">
        <f>IFERROR(VLOOKUP(A320,预留库存!A:G,7,0),0)</f>
        <v>No</v>
      </c>
      <c r="H320">
        <f>IFERROR(VLOOKUP(A320,预留库存!A:H,8,0),0)</f>
        <v>0</v>
      </c>
      <c r="I320">
        <f>IFERROR(VLOOKUP(A320,预留库存!A:F,6,0),0)</f>
        <v>39.98</v>
      </c>
      <c r="J320">
        <f>IFERROR(VLOOKUP(A320,库龄!B:K,9,0),0)</f>
        <v>0</v>
      </c>
      <c r="K320">
        <f>IFERROR(VLOOKUP(A320,库龄!B:L,10,0),0)</f>
        <v>0</v>
      </c>
      <c r="L320">
        <f>IFERROR(VLOOKUP(A320,库龄!B:M,11,0),0)</f>
        <v>0</v>
      </c>
      <c r="M320">
        <f>IFERROR(VLOOKUP(A320,库龄!B:N,12,0),0)</f>
        <v>0</v>
      </c>
      <c r="N320">
        <f t="shared" si="10"/>
        <v>0</v>
      </c>
    </row>
    <row r="321" spans="1:14">
      <c r="A321" s="3" t="s">
        <v>783</v>
      </c>
      <c r="B321">
        <f>IFERROR(VLOOKUP(A321,管理亚马逊库存!A:K,11,0),"")</f>
        <v>2</v>
      </c>
      <c r="C321">
        <f>IFERROR(VLOOKUP(A321,管理亚马逊库存!A:L,12,0),"")</f>
        <v>0</v>
      </c>
      <c r="D321">
        <f>IFERROR(VLOOKUP(A321,管理亚马逊库存!A:Q,17,0),"")</f>
        <v>0</v>
      </c>
      <c r="E321">
        <f>IFERROR(VLOOKUP(A321,管理亚马逊库存!A:R,18,0),"")</f>
        <v>0</v>
      </c>
      <c r="F321">
        <f t="shared" si="9"/>
        <v>0</v>
      </c>
      <c r="G321" t="str">
        <f>IFERROR(VLOOKUP(A321,预留库存!A:G,7,0),0)</f>
        <v>No</v>
      </c>
      <c r="H321">
        <f>IFERROR(VLOOKUP(A321,预留库存!A:H,8,0),0)</f>
        <v>0</v>
      </c>
      <c r="I321">
        <f>IFERROR(VLOOKUP(A321,预留库存!A:F,6,0),0)</f>
        <v>39.98</v>
      </c>
      <c r="J321">
        <f>IFERROR(VLOOKUP(A321,库龄!B:K,9,0),0)</f>
        <v>0</v>
      </c>
      <c r="K321">
        <f>IFERROR(VLOOKUP(A321,库龄!B:L,10,0),0)</f>
        <v>0</v>
      </c>
      <c r="L321">
        <f>IFERROR(VLOOKUP(A321,库龄!B:M,11,0),0)</f>
        <v>0</v>
      </c>
      <c r="M321">
        <f>IFERROR(VLOOKUP(A321,库龄!B:N,12,0),0)</f>
        <v>0</v>
      </c>
      <c r="N321">
        <f t="shared" si="10"/>
        <v>0</v>
      </c>
    </row>
    <row r="322" spans="1:14">
      <c r="A322" s="3" t="s">
        <v>785</v>
      </c>
      <c r="B322">
        <f>IFERROR(VLOOKUP(A322,管理亚马逊库存!A:K,11,0),"")</f>
        <v>7</v>
      </c>
      <c r="C322">
        <f>IFERROR(VLOOKUP(A322,管理亚马逊库存!A:L,12,0),"")</f>
        <v>0</v>
      </c>
      <c r="D322">
        <f>IFERROR(VLOOKUP(A322,管理亚马逊库存!A:Q,17,0),"")</f>
        <v>0</v>
      </c>
      <c r="E322">
        <f>IFERROR(VLOOKUP(A322,管理亚马逊库存!A:R,18,0),"")</f>
        <v>0</v>
      </c>
      <c r="F322">
        <f t="shared" si="9"/>
        <v>0</v>
      </c>
      <c r="G322" t="str">
        <f>IFERROR(VLOOKUP(A322,预留库存!A:G,7,0),0)</f>
        <v>No</v>
      </c>
      <c r="H322">
        <f>IFERROR(VLOOKUP(A322,预留库存!A:H,8,0),0)</f>
        <v>0</v>
      </c>
      <c r="I322">
        <f>IFERROR(VLOOKUP(A322,预留库存!A:F,6,0),0)</f>
        <v>39.98</v>
      </c>
      <c r="J322">
        <f>IFERROR(VLOOKUP(A322,库龄!B:K,9,0),0)</f>
        <v>0</v>
      </c>
      <c r="K322">
        <f>IFERROR(VLOOKUP(A322,库龄!B:L,10,0),0)</f>
        <v>0</v>
      </c>
      <c r="L322">
        <f>IFERROR(VLOOKUP(A322,库龄!B:M,11,0),0)</f>
        <v>0</v>
      </c>
      <c r="M322">
        <f>IFERROR(VLOOKUP(A322,库龄!B:N,12,0),0)</f>
        <v>0</v>
      </c>
      <c r="N322">
        <f t="shared" si="10"/>
        <v>0</v>
      </c>
    </row>
    <row r="323" spans="1:14">
      <c r="A323" s="3" t="s">
        <v>787</v>
      </c>
      <c r="B323">
        <f>IFERROR(VLOOKUP(A323,管理亚马逊库存!A:K,11,0),"")</f>
        <v>0</v>
      </c>
      <c r="C323">
        <f>IFERROR(VLOOKUP(A323,管理亚马逊库存!A:L,12,0),"")</f>
        <v>0</v>
      </c>
      <c r="D323">
        <f>IFERROR(VLOOKUP(A323,管理亚马逊库存!A:Q,17,0),"")</f>
        <v>0</v>
      </c>
      <c r="E323">
        <f>IFERROR(VLOOKUP(A323,管理亚马逊库存!A:R,18,0),"")</f>
        <v>0</v>
      </c>
      <c r="F323">
        <f t="shared" ref="F323:F386" si="11">SUM(D323:E323)</f>
        <v>0</v>
      </c>
      <c r="G323" t="str">
        <f>IFERROR(VLOOKUP(A323,预留库存!A:G,7,0),0)</f>
        <v>No</v>
      </c>
      <c r="H323">
        <f>IFERROR(VLOOKUP(A323,预留库存!A:H,8,0),0)</f>
        <v>0</v>
      </c>
      <c r="I323">
        <f>IFERROR(VLOOKUP(A323,预留库存!A:F,6,0),0)</f>
        <v>39.98</v>
      </c>
      <c r="J323">
        <f>IFERROR(VLOOKUP(A323,库龄!B:K,9,0),0)</f>
        <v>0</v>
      </c>
      <c r="K323">
        <f>IFERROR(VLOOKUP(A323,库龄!B:L,10,0),0)</f>
        <v>0</v>
      </c>
      <c r="L323">
        <f>IFERROR(VLOOKUP(A323,库龄!B:M,11,0),0)</f>
        <v>0</v>
      </c>
      <c r="M323">
        <f>IFERROR(VLOOKUP(A323,库龄!B:N,12,0),0)</f>
        <v>0</v>
      </c>
      <c r="N323">
        <f t="shared" ref="N323:N386" si="12">SUM(J323:M323)</f>
        <v>0</v>
      </c>
    </row>
    <row r="324" spans="1:14">
      <c r="A324" s="3" t="s">
        <v>789</v>
      </c>
      <c r="B324">
        <f>IFERROR(VLOOKUP(A324,管理亚马逊库存!A:K,11,0),"")</f>
        <v>0</v>
      </c>
      <c r="C324">
        <f>IFERROR(VLOOKUP(A324,管理亚马逊库存!A:L,12,0),"")</f>
        <v>0</v>
      </c>
      <c r="D324">
        <f>IFERROR(VLOOKUP(A324,管理亚马逊库存!A:Q,17,0),"")</f>
        <v>0</v>
      </c>
      <c r="E324">
        <f>IFERROR(VLOOKUP(A324,管理亚马逊库存!A:R,18,0),"")</f>
        <v>0</v>
      </c>
      <c r="F324">
        <f t="shared" si="11"/>
        <v>0</v>
      </c>
      <c r="G324" t="str">
        <f>IFERROR(VLOOKUP(A324,预留库存!A:G,7,0),0)</f>
        <v>No</v>
      </c>
      <c r="H324">
        <f>IFERROR(VLOOKUP(A324,预留库存!A:H,8,0),0)</f>
        <v>0</v>
      </c>
      <c r="I324">
        <f>IFERROR(VLOOKUP(A324,预留库存!A:F,6,0),0)</f>
        <v>39.98</v>
      </c>
      <c r="J324">
        <f>IFERROR(VLOOKUP(A324,库龄!B:K,9,0),0)</f>
        <v>0</v>
      </c>
      <c r="K324">
        <f>IFERROR(VLOOKUP(A324,库龄!B:L,10,0),0)</f>
        <v>0</v>
      </c>
      <c r="L324">
        <f>IFERROR(VLOOKUP(A324,库龄!B:M,11,0),0)</f>
        <v>0</v>
      </c>
      <c r="M324">
        <f>IFERROR(VLOOKUP(A324,库龄!B:N,12,0),0)</f>
        <v>0</v>
      </c>
      <c r="N324">
        <f t="shared" si="12"/>
        <v>0</v>
      </c>
    </row>
    <row r="325" spans="1:14">
      <c r="A325" s="3" t="s">
        <v>791</v>
      </c>
      <c r="B325">
        <f>IFERROR(VLOOKUP(A325,管理亚马逊库存!A:K,11,0),"")</f>
        <v>2</v>
      </c>
      <c r="C325">
        <f>IFERROR(VLOOKUP(A325,管理亚马逊库存!A:L,12,0),"")</f>
        <v>0</v>
      </c>
      <c r="D325">
        <f>IFERROR(VLOOKUP(A325,管理亚马逊库存!A:Q,17,0),"")</f>
        <v>0</v>
      </c>
      <c r="E325">
        <f>IFERROR(VLOOKUP(A325,管理亚马逊库存!A:R,18,0),"")</f>
        <v>0</v>
      </c>
      <c r="F325">
        <f t="shared" si="11"/>
        <v>0</v>
      </c>
      <c r="G325" t="str">
        <f>IFERROR(VLOOKUP(A325,预留库存!A:G,7,0),0)</f>
        <v>No</v>
      </c>
      <c r="H325">
        <f>IFERROR(VLOOKUP(A325,预留库存!A:H,8,0),0)</f>
        <v>0</v>
      </c>
      <c r="I325">
        <f>IFERROR(VLOOKUP(A325,预留库存!A:F,6,0),0)</f>
        <v>39.98</v>
      </c>
      <c r="J325">
        <f>IFERROR(VLOOKUP(A325,库龄!B:K,9,0),0)</f>
        <v>0</v>
      </c>
      <c r="K325">
        <f>IFERROR(VLOOKUP(A325,库龄!B:L,10,0),0)</f>
        <v>0</v>
      </c>
      <c r="L325">
        <f>IFERROR(VLOOKUP(A325,库龄!B:M,11,0),0)</f>
        <v>0</v>
      </c>
      <c r="M325">
        <f>IFERROR(VLOOKUP(A325,库龄!B:N,12,0),0)</f>
        <v>0</v>
      </c>
      <c r="N325">
        <f t="shared" si="12"/>
        <v>0</v>
      </c>
    </row>
    <row r="326" spans="1:14">
      <c r="A326" s="3" t="s">
        <v>793</v>
      </c>
      <c r="B326">
        <f>IFERROR(VLOOKUP(A326,管理亚马逊库存!A:K,11,0),"")</f>
        <v>4</v>
      </c>
      <c r="C326">
        <f>IFERROR(VLOOKUP(A326,管理亚马逊库存!A:L,12,0),"")</f>
        <v>0</v>
      </c>
      <c r="D326">
        <f>IFERROR(VLOOKUP(A326,管理亚马逊库存!A:Q,17,0),"")</f>
        <v>0</v>
      </c>
      <c r="E326">
        <f>IFERROR(VLOOKUP(A326,管理亚马逊库存!A:R,18,0),"")</f>
        <v>0</v>
      </c>
      <c r="F326">
        <f t="shared" si="11"/>
        <v>0</v>
      </c>
      <c r="G326" t="str">
        <f>IFERROR(VLOOKUP(A326,预留库存!A:G,7,0),0)</f>
        <v>No</v>
      </c>
      <c r="H326">
        <f>IFERROR(VLOOKUP(A326,预留库存!A:H,8,0),0)</f>
        <v>0</v>
      </c>
      <c r="I326">
        <f>IFERROR(VLOOKUP(A326,预留库存!A:F,6,0),0)</f>
        <v>39.98</v>
      </c>
      <c r="J326">
        <f>IFERROR(VLOOKUP(A326,库龄!B:K,9,0),0)</f>
        <v>0</v>
      </c>
      <c r="K326">
        <f>IFERROR(VLOOKUP(A326,库龄!B:L,10,0),0)</f>
        <v>0</v>
      </c>
      <c r="L326">
        <f>IFERROR(VLOOKUP(A326,库龄!B:M,11,0),0)</f>
        <v>0</v>
      </c>
      <c r="M326">
        <f>IFERROR(VLOOKUP(A326,库龄!B:N,12,0),0)</f>
        <v>0</v>
      </c>
      <c r="N326">
        <f t="shared" si="12"/>
        <v>0</v>
      </c>
    </row>
    <row r="327" spans="1:14">
      <c r="A327" s="3" t="s">
        <v>795</v>
      </c>
      <c r="B327">
        <f>IFERROR(VLOOKUP(A327,管理亚马逊库存!A:K,11,0),"")</f>
        <v>5</v>
      </c>
      <c r="C327">
        <f>IFERROR(VLOOKUP(A327,管理亚马逊库存!A:L,12,0),"")</f>
        <v>0</v>
      </c>
      <c r="D327">
        <f>IFERROR(VLOOKUP(A327,管理亚马逊库存!A:Q,17,0),"")</f>
        <v>0</v>
      </c>
      <c r="E327">
        <f>IFERROR(VLOOKUP(A327,管理亚马逊库存!A:R,18,0),"")</f>
        <v>0</v>
      </c>
      <c r="F327">
        <f t="shared" si="11"/>
        <v>0</v>
      </c>
      <c r="G327" t="str">
        <f>IFERROR(VLOOKUP(A327,预留库存!A:G,7,0),0)</f>
        <v>No</v>
      </c>
      <c r="H327">
        <f>IFERROR(VLOOKUP(A327,预留库存!A:H,8,0),0)</f>
        <v>0</v>
      </c>
      <c r="I327">
        <f>IFERROR(VLOOKUP(A327,预留库存!A:F,6,0),0)</f>
        <v>39.98</v>
      </c>
      <c r="J327">
        <f>IFERROR(VLOOKUP(A327,库龄!B:K,9,0),0)</f>
        <v>0</v>
      </c>
      <c r="K327">
        <f>IFERROR(VLOOKUP(A327,库龄!B:L,10,0),0)</f>
        <v>0</v>
      </c>
      <c r="L327">
        <f>IFERROR(VLOOKUP(A327,库龄!B:M,11,0),0)</f>
        <v>0</v>
      </c>
      <c r="M327">
        <f>IFERROR(VLOOKUP(A327,库龄!B:N,12,0),0)</f>
        <v>0</v>
      </c>
      <c r="N327">
        <f t="shared" si="12"/>
        <v>0</v>
      </c>
    </row>
    <row r="328" spans="1:14">
      <c r="A328" s="3" t="s">
        <v>797</v>
      </c>
      <c r="B328">
        <f>IFERROR(VLOOKUP(A328,管理亚马逊库存!A:K,11,0),"")</f>
        <v>0</v>
      </c>
      <c r="C328">
        <f>IFERROR(VLOOKUP(A328,管理亚马逊库存!A:L,12,0),"")</f>
        <v>0</v>
      </c>
      <c r="D328">
        <f>IFERROR(VLOOKUP(A328,管理亚马逊库存!A:Q,17,0),"")</f>
        <v>0</v>
      </c>
      <c r="E328">
        <f>IFERROR(VLOOKUP(A328,管理亚马逊库存!A:R,18,0),"")</f>
        <v>0</v>
      </c>
      <c r="F328">
        <f t="shared" si="11"/>
        <v>0</v>
      </c>
      <c r="G328" t="str">
        <f>IFERROR(VLOOKUP(A328,预留库存!A:G,7,0),0)</f>
        <v>No</v>
      </c>
      <c r="H328">
        <f>IFERROR(VLOOKUP(A328,预留库存!A:H,8,0),0)</f>
        <v>0</v>
      </c>
      <c r="I328">
        <f>IFERROR(VLOOKUP(A328,预留库存!A:F,6,0),0)</f>
        <v>39.98</v>
      </c>
      <c r="J328">
        <f>IFERROR(VLOOKUP(A328,库龄!B:K,9,0),0)</f>
        <v>0</v>
      </c>
      <c r="K328">
        <f>IFERROR(VLOOKUP(A328,库龄!B:L,10,0),0)</f>
        <v>0</v>
      </c>
      <c r="L328">
        <f>IFERROR(VLOOKUP(A328,库龄!B:M,11,0),0)</f>
        <v>0</v>
      </c>
      <c r="M328">
        <f>IFERROR(VLOOKUP(A328,库龄!B:N,12,0),0)</f>
        <v>0</v>
      </c>
      <c r="N328">
        <f t="shared" si="12"/>
        <v>0</v>
      </c>
    </row>
    <row r="329" spans="1:14">
      <c r="A329" s="3" t="s">
        <v>799</v>
      </c>
      <c r="B329">
        <f>IFERROR(VLOOKUP(A329,管理亚马逊库存!A:K,11,0),"")</f>
        <v>0</v>
      </c>
      <c r="C329">
        <f>IFERROR(VLOOKUP(A329,管理亚马逊库存!A:L,12,0),"")</f>
        <v>0</v>
      </c>
      <c r="D329">
        <f>IFERROR(VLOOKUP(A329,管理亚马逊库存!A:Q,17,0),"")</f>
        <v>0</v>
      </c>
      <c r="E329">
        <f>IFERROR(VLOOKUP(A329,管理亚马逊库存!A:R,18,0),"")</f>
        <v>0</v>
      </c>
      <c r="F329">
        <f t="shared" si="11"/>
        <v>0</v>
      </c>
      <c r="G329" t="str">
        <f>IFERROR(VLOOKUP(A329,预留库存!A:G,7,0),0)</f>
        <v>No</v>
      </c>
      <c r="H329">
        <f>IFERROR(VLOOKUP(A329,预留库存!A:H,8,0),0)</f>
        <v>0</v>
      </c>
      <c r="I329">
        <f>IFERROR(VLOOKUP(A329,预留库存!A:F,6,0),0)</f>
        <v>39.98</v>
      </c>
      <c r="J329">
        <f>IFERROR(VLOOKUP(A329,库龄!B:K,9,0),0)</f>
        <v>0</v>
      </c>
      <c r="K329">
        <f>IFERROR(VLOOKUP(A329,库龄!B:L,10,0),0)</f>
        <v>0</v>
      </c>
      <c r="L329">
        <f>IFERROR(VLOOKUP(A329,库龄!B:M,11,0),0)</f>
        <v>0</v>
      </c>
      <c r="M329">
        <f>IFERROR(VLOOKUP(A329,库龄!B:N,12,0),0)</f>
        <v>0</v>
      </c>
      <c r="N329">
        <f t="shared" si="12"/>
        <v>0</v>
      </c>
    </row>
    <row r="330" spans="1:14">
      <c r="A330" s="3" t="s">
        <v>801</v>
      </c>
      <c r="B330">
        <f>IFERROR(VLOOKUP(A330,管理亚马逊库存!A:K,11,0),"")</f>
        <v>10</v>
      </c>
      <c r="C330">
        <f>IFERROR(VLOOKUP(A330,管理亚马逊库存!A:L,12,0),"")</f>
        <v>0</v>
      </c>
      <c r="D330">
        <f>IFERROR(VLOOKUP(A330,管理亚马逊库存!A:Q,17,0),"")</f>
        <v>0</v>
      </c>
      <c r="E330">
        <f>IFERROR(VLOOKUP(A330,管理亚马逊库存!A:R,18,0),"")</f>
        <v>0</v>
      </c>
      <c r="F330">
        <f t="shared" si="11"/>
        <v>0</v>
      </c>
      <c r="G330" t="str">
        <f>IFERROR(VLOOKUP(A330,预留库存!A:G,7,0),0)</f>
        <v>No</v>
      </c>
      <c r="H330">
        <f>IFERROR(VLOOKUP(A330,预留库存!A:H,8,0),0)</f>
        <v>0</v>
      </c>
      <c r="I330">
        <f>IFERROR(VLOOKUP(A330,预留库存!A:F,6,0),0)</f>
        <v>39.98</v>
      </c>
      <c r="J330">
        <f>IFERROR(VLOOKUP(A330,库龄!B:K,9,0),0)</f>
        <v>0</v>
      </c>
      <c r="K330">
        <f>IFERROR(VLOOKUP(A330,库龄!B:L,10,0),0)</f>
        <v>0</v>
      </c>
      <c r="L330">
        <f>IFERROR(VLOOKUP(A330,库龄!B:M,11,0),0)</f>
        <v>0</v>
      </c>
      <c r="M330">
        <f>IFERROR(VLOOKUP(A330,库龄!B:N,12,0),0)</f>
        <v>0</v>
      </c>
      <c r="N330">
        <f t="shared" si="12"/>
        <v>0</v>
      </c>
    </row>
    <row r="331" spans="1:14">
      <c r="A331" s="3" t="s">
        <v>803</v>
      </c>
      <c r="B331">
        <f>IFERROR(VLOOKUP(A331,管理亚马逊库存!A:K,11,0),"")</f>
        <v>6</v>
      </c>
      <c r="C331">
        <f>IFERROR(VLOOKUP(A331,管理亚马逊库存!A:L,12,0),"")</f>
        <v>0</v>
      </c>
      <c r="D331">
        <f>IFERROR(VLOOKUP(A331,管理亚马逊库存!A:Q,17,0),"")</f>
        <v>0</v>
      </c>
      <c r="E331">
        <f>IFERROR(VLOOKUP(A331,管理亚马逊库存!A:R,18,0),"")</f>
        <v>0</v>
      </c>
      <c r="F331">
        <f t="shared" si="11"/>
        <v>0</v>
      </c>
      <c r="G331" t="str">
        <f>IFERROR(VLOOKUP(A331,预留库存!A:G,7,0),0)</f>
        <v>No</v>
      </c>
      <c r="H331">
        <f>IFERROR(VLOOKUP(A331,预留库存!A:H,8,0),0)</f>
        <v>0</v>
      </c>
      <c r="I331">
        <f>IFERROR(VLOOKUP(A331,预留库存!A:F,6,0),0)</f>
        <v>22.98</v>
      </c>
      <c r="J331">
        <f>IFERROR(VLOOKUP(A331,库龄!B:K,9,0),0)</f>
        <v>0</v>
      </c>
      <c r="K331">
        <f>IFERROR(VLOOKUP(A331,库龄!B:L,10,0),0)</f>
        <v>0</v>
      </c>
      <c r="L331">
        <f>IFERROR(VLOOKUP(A331,库龄!B:M,11,0),0)</f>
        <v>0</v>
      </c>
      <c r="M331">
        <f>IFERROR(VLOOKUP(A331,库龄!B:N,12,0),0)</f>
        <v>0</v>
      </c>
      <c r="N331">
        <f t="shared" si="12"/>
        <v>0</v>
      </c>
    </row>
    <row r="332" spans="1:14">
      <c r="A332" s="3" t="s">
        <v>804</v>
      </c>
      <c r="B332">
        <f>IFERROR(VLOOKUP(A332,管理亚马逊库存!A:K,11,0),"")</f>
        <v>4</v>
      </c>
      <c r="C332">
        <f>IFERROR(VLOOKUP(A332,管理亚马逊库存!A:L,12,0),"")</f>
        <v>0</v>
      </c>
      <c r="D332">
        <f>IFERROR(VLOOKUP(A332,管理亚马逊库存!A:Q,17,0),"")</f>
        <v>0</v>
      </c>
      <c r="E332">
        <f>IFERROR(VLOOKUP(A332,管理亚马逊库存!A:R,18,0),"")</f>
        <v>0</v>
      </c>
      <c r="F332">
        <f t="shared" si="11"/>
        <v>0</v>
      </c>
      <c r="G332" t="str">
        <f>IFERROR(VLOOKUP(A332,预留库存!A:G,7,0),0)</f>
        <v>No</v>
      </c>
      <c r="H332">
        <f>IFERROR(VLOOKUP(A332,预留库存!A:H,8,0),0)</f>
        <v>0</v>
      </c>
      <c r="I332">
        <f>IFERROR(VLOOKUP(A332,预留库存!A:F,6,0),0)</f>
        <v>39.98</v>
      </c>
      <c r="J332">
        <f>IFERROR(VLOOKUP(A332,库龄!B:K,9,0),0)</f>
        <v>0</v>
      </c>
      <c r="K332">
        <f>IFERROR(VLOOKUP(A332,库龄!B:L,10,0),0)</f>
        <v>0</v>
      </c>
      <c r="L332">
        <f>IFERROR(VLOOKUP(A332,库龄!B:M,11,0),0)</f>
        <v>0</v>
      </c>
      <c r="M332">
        <f>IFERROR(VLOOKUP(A332,库龄!B:N,12,0),0)</f>
        <v>0</v>
      </c>
      <c r="N332">
        <f t="shared" si="12"/>
        <v>0</v>
      </c>
    </row>
    <row r="333" spans="1:14">
      <c r="A333" s="3" t="s">
        <v>806</v>
      </c>
      <c r="B333">
        <f>IFERROR(VLOOKUP(A333,管理亚马逊库存!A:K,11,0),"")</f>
        <v>2</v>
      </c>
      <c r="C333">
        <f>IFERROR(VLOOKUP(A333,管理亚马逊库存!A:L,12,0),"")</f>
        <v>0</v>
      </c>
      <c r="D333">
        <f>IFERROR(VLOOKUP(A333,管理亚马逊库存!A:Q,17,0),"")</f>
        <v>0</v>
      </c>
      <c r="E333">
        <f>IFERROR(VLOOKUP(A333,管理亚马逊库存!A:R,18,0),"")</f>
        <v>0</v>
      </c>
      <c r="F333">
        <f t="shared" si="11"/>
        <v>0</v>
      </c>
      <c r="G333" t="str">
        <f>IFERROR(VLOOKUP(A333,预留库存!A:G,7,0),0)</f>
        <v>No</v>
      </c>
      <c r="H333">
        <f>IFERROR(VLOOKUP(A333,预留库存!A:H,8,0),0)</f>
        <v>0</v>
      </c>
      <c r="I333">
        <f>IFERROR(VLOOKUP(A333,预留库存!A:F,6,0),0)</f>
        <v>39.98</v>
      </c>
      <c r="J333">
        <f>IFERROR(VLOOKUP(A333,库龄!B:K,9,0),0)</f>
        <v>0</v>
      </c>
      <c r="K333">
        <f>IFERROR(VLOOKUP(A333,库龄!B:L,10,0),0)</f>
        <v>0</v>
      </c>
      <c r="L333">
        <f>IFERROR(VLOOKUP(A333,库龄!B:M,11,0),0)</f>
        <v>0</v>
      </c>
      <c r="M333">
        <f>IFERROR(VLOOKUP(A333,库龄!B:N,12,0),0)</f>
        <v>0</v>
      </c>
      <c r="N333">
        <f t="shared" si="12"/>
        <v>0</v>
      </c>
    </row>
    <row r="334" spans="1:14">
      <c r="A334" s="3" t="s">
        <v>808</v>
      </c>
      <c r="B334">
        <f>IFERROR(VLOOKUP(A334,管理亚马逊库存!A:K,11,0),"")</f>
        <v>1</v>
      </c>
      <c r="C334">
        <f>IFERROR(VLOOKUP(A334,管理亚马逊库存!A:L,12,0),"")</f>
        <v>0</v>
      </c>
      <c r="D334">
        <f>IFERROR(VLOOKUP(A334,管理亚马逊库存!A:Q,17,0),"")</f>
        <v>0</v>
      </c>
      <c r="E334">
        <f>IFERROR(VLOOKUP(A334,管理亚马逊库存!A:R,18,0),"")</f>
        <v>0</v>
      </c>
      <c r="F334">
        <f t="shared" si="11"/>
        <v>0</v>
      </c>
      <c r="G334" t="str">
        <f>IFERROR(VLOOKUP(A334,预留库存!A:G,7,0),0)</f>
        <v>No</v>
      </c>
      <c r="H334">
        <f>IFERROR(VLOOKUP(A334,预留库存!A:H,8,0),0)</f>
        <v>0</v>
      </c>
      <c r="I334">
        <f>IFERROR(VLOOKUP(A334,预留库存!A:F,6,0),0)</f>
        <v>39.98</v>
      </c>
      <c r="J334">
        <f>IFERROR(VLOOKUP(A334,库龄!B:K,9,0),0)</f>
        <v>0</v>
      </c>
      <c r="K334">
        <f>IFERROR(VLOOKUP(A334,库龄!B:L,10,0),0)</f>
        <v>0</v>
      </c>
      <c r="L334">
        <f>IFERROR(VLOOKUP(A334,库龄!B:M,11,0),0)</f>
        <v>0</v>
      </c>
      <c r="M334">
        <f>IFERROR(VLOOKUP(A334,库龄!B:N,12,0),0)</f>
        <v>0</v>
      </c>
      <c r="N334">
        <f t="shared" si="12"/>
        <v>0</v>
      </c>
    </row>
    <row r="335" spans="1:14">
      <c r="A335" s="3" t="s">
        <v>810</v>
      </c>
      <c r="B335">
        <f>IFERROR(VLOOKUP(A335,管理亚马逊库存!A:K,11,0),"")</f>
        <v>6</v>
      </c>
      <c r="C335">
        <f>IFERROR(VLOOKUP(A335,管理亚马逊库存!A:L,12,0),"")</f>
        <v>0</v>
      </c>
      <c r="D335">
        <f>IFERROR(VLOOKUP(A335,管理亚马逊库存!A:Q,17,0),"")</f>
        <v>0</v>
      </c>
      <c r="E335">
        <f>IFERROR(VLOOKUP(A335,管理亚马逊库存!A:R,18,0),"")</f>
        <v>0</v>
      </c>
      <c r="F335">
        <f t="shared" si="11"/>
        <v>0</v>
      </c>
      <c r="G335" t="str">
        <f>IFERROR(VLOOKUP(A335,预留库存!A:G,7,0),0)</f>
        <v>No</v>
      </c>
      <c r="H335">
        <f>IFERROR(VLOOKUP(A335,预留库存!A:H,8,0),0)</f>
        <v>0</v>
      </c>
      <c r="I335">
        <f>IFERROR(VLOOKUP(A335,预留库存!A:F,6,0),0)</f>
        <v>39.98</v>
      </c>
      <c r="J335">
        <f>IFERROR(VLOOKUP(A335,库龄!B:K,9,0),0)</f>
        <v>0</v>
      </c>
      <c r="K335">
        <f>IFERROR(VLOOKUP(A335,库龄!B:L,10,0),0)</f>
        <v>0</v>
      </c>
      <c r="L335">
        <f>IFERROR(VLOOKUP(A335,库龄!B:M,11,0),0)</f>
        <v>0</v>
      </c>
      <c r="M335">
        <f>IFERROR(VLOOKUP(A335,库龄!B:N,12,0),0)</f>
        <v>0</v>
      </c>
      <c r="N335">
        <f t="shared" si="12"/>
        <v>0</v>
      </c>
    </row>
    <row r="336" spans="1:14">
      <c r="A336" s="3" t="s">
        <v>812</v>
      </c>
      <c r="B336">
        <f>IFERROR(VLOOKUP(A336,管理亚马逊库存!A:K,11,0),"")</f>
        <v>6</v>
      </c>
      <c r="C336">
        <f>IFERROR(VLOOKUP(A336,管理亚马逊库存!A:L,12,0),"")</f>
        <v>0</v>
      </c>
      <c r="D336">
        <f>IFERROR(VLOOKUP(A336,管理亚马逊库存!A:Q,17,0),"")</f>
        <v>0</v>
      </c>
      <c r="E336">
        <f>IFERROR(VLOOKUP(A336,管理亚马逊库存!A:R,18,0),"")</f>
        <v>0</v>
      </c>
      <c r="F336">
        <f t="shared" si="11"/>
        <v>0</v>
      </c>
      <c r="G336" t="str">
        <f>IFERROR(VLOOKUP(A336,预留库存!A:G,7,0),0)</f>
        <v>No</v>
      </c>
      <c r="H336">
        <f>IFERROR(VLOOKUP(A336,预留库存!A:H,8,0),0)</f>
        <v>0</v>
      </c>
      <c r="I336">
        <f>IFERROR(VLOOKUP(A336,预留库存!A:F,6,0),0)</f>
        <v>39.98</v>
      </c>
      <c r="J336">
        <f>IFERROR(VLOOKUP(A336,库龄!B:K,9,0),0)</f>
        <v>0</v>
      </c>
      <c r="K336">
        <f>IFERROR(VLOOKUP(A336,库龄!B:L,10,0),0)</f>
        <v>0</v>
      </c>
      <c r="L336">
        <f>IFERROR(VLOOKUP(A336,库龄!B:M,11,0),0)</f>
        <v>0</v>
      </c>
      <c r="M336">
        <f>IFERROR(VLOOKUP(A336,库龄!B:N,12,0),0)</f>
        <v>0</v>
      </c>
      <c r="N336">
        <f t="shared" si="12"/>
        <v>0</v>
      </c>
    </row>
    <row r="337" spans="1:14">
      <c r="A337" s="3" t="s">
        <v>814</v>
      </c>
      <c r="B337">
        <f>IFERROR(VLOOKUP(A337,管理亚马逊库存!A:K,11,0),"")</f>
        <v>4</v>
      </c>
      <c r="C337">
        <f>IFERROR(VLOOKUP(A337,管理亚马逊库存!A:L,12,0),"")</f>
        <v>0</v>
      </c>
      <c r="D337">
        <f>IFERROR(VLOOKUP(A337,管理亚马逊库存!A:Q,17,0),"")</f>
        <v>0</v>
      </c>
      <c r="E337">
        <f>IFERROR(VLOOKUP(A337,管理亚马逊库存!A:R,18,0),"")</f>
        <v>0</v>
      </c>
      <c r="F337">
        <f t="shared" si="11"/>
        <v>0</v>
      </c>
      <c r="G337" t="str">
        <f>IFERROR(VLOOKUP(A337,预留库存!A:G,7,0),0)</f>
        <v>No</v>
      </c>
      <c r="H337">
        <f>IFERROR(VLOOKUP(A337,预留库存!A:H,8,0),0)</f>
        <v>0</v>
      </c>
      <c r="I337">
        <f>IFERROR(VLOOKUP(A337,预留库存!A:F,6,0),0)</f>
        <v>39.98</v>
      </c>
      <c r="J337">
        <f>IFERROR(VLOOKUP(A337,库龄!B:K,9,0),0)</f>
        <v>0</v>
      </c>
      <c r="K337">
        <f>IFERROR(VLOOKUP(A337,库龄!B:L,10,0),0)</f>
        <v>0</v>
      </c>
      <c r="L337">
        <f>IFERROR(VLOOKUP(A337,库龄!B:M,11,0),0)</f>
        <v>0</v>
      </c>
      <c r="M337">
        <f>IFERROR(VLOOKUP(A337,库龄!B:N,12,0),0)</f>
        <v>0</v>
      </c>
      <c r="N337">
        <f t="shared" si="12"/>
        <v>0</v>
      </c>
    </row>
    <row r="338" spans="1:14">
      <c r="A338" s="3" t="s">
        <v>816</v>
      </c>
      <c r="B338">
        <f>IFERROR(VLOOKUP(A338,管理亚马逊库存!A:K,11,0),"")</f>
        <v>1</v>
      </c>
      <c r="C338">
        <f>IFERROR(VLOOKUP(A338,管理亚马逊库存!A:L,12,0),"")</f>
        <v>0</v>
      </c>
      <c r="D338">
        <f>IFERROR(VLOOKUP(A338,管理亚马逊库存!A:Q,17,0),"")</f>
        <v>0</v>
      </c>
      <c r="E338">
        <f>IFERROR(VLOOKUP(A338,管理亚马逊库存!A:R,18,0),"")</f>
        <v>0</v>
      </c>
      <c r="F338">
        <f t="shared" si="11"/>
        <v>0</v>
      </c>
      <c r="G338" t="str">
        <f>IFERROR(VLOOKUP(A338,预留库存!A:G,7,0),0)</f>
        <v>No</v>
      </c>
      <c r="H338">
        <f>IFERROR(VLOOKUP(A338,预留库存!A:H,8,0),0)</f>
        <v>0</v>
      </c>
      <c r="I338">
        <f>IFERROR(VLOOKUP(A338,预留库存!A:F,6,0),0)</f>
        <v>39.98</v>
      </c>
      <c r="J338">
        <f>IFERROR(VLOOKUP(A338,库龄!B:K,9,0),0)</f>
        <v>0</v>
      </c>
      <c r="K338">
        <f>IFERROR(VLOOKUP(A338,库龄!B:L,10,0),0)</f>
        <v>0</v>
      </c>
      <c r="L338">
        <f>IFERROR(VLOOKUP(A338,库龄!B:M,11,0),0)</f>
        <v>0</v>
      </c>
      <c r="M338">
        <f>IFERROR(VLOOKUP(A338,库龄!B:N,12,0),0)</f>
        <v>0</v>
      </c>
      <c r="N338">
        <f t="shared" si="12"/>
        <v>0</v>
      </c>
    </row>
    <row r="339" spans="1:14">
      <c r="A339" s="3" t="s">
        <v>818</v>
      </c>
      <c r="B339">
        <f>IFERROR(VLOOKUP(A339,管理亚马逊库存!A:K,11,0),"")</f>
        <v>1</v>
      </c>
      <c r="C339">
        <f>IFERROR(VLOOKUP(A339,管理亚马逊库存!A:L,12,0),"")</f>
        <v>0</v>
      </c>
      <c r="D339">
        <f>IFERROR(VLOOKUP(A339,管理亚马逊库存!A:Q,17,0),"")</f>
        <v>0</v>
      </c>
      <c r="E339">
        <f>IFERROR(VLOOKUP(A339,管理亚马逊库存!A:R,18,0),"")</f>
        <v>0</v>
      </c>
      <c r="F339">
        <f t="shared" si="11"/>
        <v>0</v>
      </c>
      <c r="G339" t="str">
        <f>IFERROR(VLOOKUP(A339,预留库存!A:G,7,0),0)</f>
        <v>No</v>
      </c>
      <c r="H339">
        <f>IFERROR(VLOOKUP(A339,预留库存!A:H,8,0),0)</f>
        <v>0</v>
      </c>
      <c r="I339">
        <f>IFERROR(VLOOKUP(A339,预留库存!A:F,6,0),0)</f>
        <v>39.98</v>
      </c>
      <c r="J339">
        <f>IFERROR(VLOOKUP(A339,库龄!B:K,9,0),0)</f>
        <v>0</v>
      </c>
      <c r="K339">
        <f>IFERROR(VLOOKUP(A339,库龄!B:L,10,0),0)</f>
        <v>0</v>
      </c>
      <c r="L339">
        <f>IFERROR(VLOOKUP(A339,库龄!B:M,11,0),0)</f>
        <v>0</v>
      </c>
      <c r="M339">
        <f>IFERROR(VLOOKUP(A339,库龄!B:N,12,0),0)</f>
        <v>0</v>
      </c>
      <c r="N339">
        <f t="shared" si="12"/>
        <v>0</v>
      </c>
    </row>
    <row r="340" spans="1:14">
      <c r="A340" s="3" t="s">
        <v>820</v>
      </c>
      <c r="B340">
        <f>IFERROR(VLOOKUP(A340,管理亚马逊库存!A:K,11,0),"")</f>
        <v>2</v>
      </c>
      <c r="C340">
        <f>IFERROR(VLOOKUP(A340,管理亚马逊库存!A:L,12,0),"")</f>
        <v>0</v>
      </c>
      <c r="D340">
        <f>IFERROR(VLOOKUP(A340,管理亚马逊库存!A:Q,17,0),"")</f>
        <v>0</v>
      </c>
      <c r="E340">
        <f>IFERROR(VLOOKUP(A340,管理亚马逊库存!A:R,18,0),"")</f>
        <v>0</v>
      </c>
      <c r="F340">
        <f t="shared" si="11"/>
        <v>0</v>
      </c>
      <c r="G340" t="str">
        <f>IFERROR(VLOOKUP(A340,预留库存!A:G,7,0),0)</f>
        <v>No</v>
      </c>
      <c r="H340">
        <f>IFERROR(VLOOKUP(A340,预留库存!A:H,8,0),0)</f>
        <v>0</v>
      </c>
      <c r="I340">
        <f>IFERROR(VLOOKUP(A340,预留库存!A:F,6,0),0)</f>
        <v>39.98</v>
      </c>
      <c r="J340">
        <f>IFERROR(VLOOKUP(A340,库龄!B:K,9,0),0)</f>
        <v>0</v>
      </c>
      <c r="K340">
        <f>IFERROR(VLOOKUP(A340,库龄!B:L,10,0),0)</f>
        <v>0</v>
      </c>
      <c r="L340">
        <f>IFERROR(VLOOKUP(A340,库龄!B:M,11,0),0)</f>
        <v>0</v>
      </c>
      <c r="M340">
        <f>IFERROR(VLOOKUP(A340,库龄!B:N,12,0),0)</f>
        <v>0</v>
      </c>
      <c r="N340">
        <f t="shared" si="12"/>
        <v>0</v>
      </c>
    </row>
    <row r="341" spans="1:14">
      <c r="A341" s="3" t="s">
        <v>822</v>
      </c>
      <c r="B341">
        <f>IFERROR(VLOOKUP(A341,管理亚马逊库存!A:K,11,0),"")</f>
        <v>0</v>
      </c>
      <c r="C341">
        <f>IFERROR(VLOOKUP(A341,管理亚马逊库存!A:L,12,0),"")</f>
        <v>0</v>
      </c>
      <c r="D341">
        <f>IFERROR(VLOOKUP(A341,管理亚马逊库存!A:Q,17,0),"")</f>
        <v>0</v>
      </c>
      <c r="E341">
        <f>IFERROR(VLOOKUP(A341,管理亚马逊库存!A:R,18,0),"")</f>
        <v>0</v>
      </c>
      <c r="F341">
        <f t="shared" si="11"/>
        <v>0</v>
      </c>
      <c r="G341" t="str">
        <f>IFERROR(VLOOKUP(A341,预留库存!A:G,7,0),0)</f>
        <v>No</v>
      </c>
      <c r="H341">
        <f>IFERROR(VLOOKUP(A341,预留库存!A:H,8,0),0)</f>
        <v>0</v>
      </c>
      <c r="I341">
        <f>IFERROR(VLOOKUP(A341,预留库存!A:F,6,0),0)</f>
        <v>39.98</v>
      </c>
      <c r="J341">
        <f>IFERROR(VLOOKUP(A341,库龄!B:K,9,0),0)</f>
        <v>0</v>
      </c>
      <c r="K341">
        <f>IFERROR(VLOOKUP(A341,库龄!B:L,10,0),0)</f>
        <v>0</v>
      </c>
      <c r="L341">
        <f>IFERROR(VLOOKUP(A341,库龄!B:M,11,0),0)</f>
        <v>0</v>
      </c>
      <c r="M341">
        <f>IFERROR(VLOOKUP(A341,库龄!B:N,12,0),0)</f>
        <v>0</v>
      </c>
      <c r="N341">
        <f t="shared" si="12"/>
        <v>0</v>
      </c>
    </row>
    <row r="342" spans="1:14">
      <c r="A342" s="3" t="s">
        <v>824</v>
      </c>
      <c r="B342">
        <f>IFERROR(VLOOKUP(A342,管理亚马逊库存!A:K,11,0),"")</f>
        <v>0</v>
      </c>
      <c r="C342">
        <f>IFERROR(VLOOKUP(A342,管理亚马逊库存!A:L,12,0),"")</f>
        <v>0</v>
      </c>
      <c r="D342">
        <f>IFERROR(VLOOKUP(A342,管理亚马逊库存!A:Q,17,0),"")</f>
        <v>0</v>
      </c>
      <c r="E342">
        <f>IFERROR(VLOOKUP(A342,管理亚马逊库存!A:R,18,0),"")</f>
        <v>0</v>
      </c>
      <c r="F342">
        <f t="shared" si="11"/>
        <v>0</v>
      </c>
      <c r="G342">
        <f>IFERROR(VLOOKUP(A342,预留库存!A:G,7,0),0)</f>
        <v>0</v>
      </c>
      <c r="H342">
        <f>IFERROR(VLOOKUP(A342,预留库存!A:H,8,0),0)</f>
        <v>0</v>
      </c>
      <c r="I342">
        <f>IFERROR(VLOOKUP(A342,预留库存!A:F,6,0),0)</f>
        <v>0</v>
      </c>
      <c r="J342">
        <f>IFERROR(VLOOKUP(A342,库龄!B:K,9,0),0)</f>
        <v>0</v>
      </c>
      <c r="K342">
        <f>IFERROR(VLOOKUP(A342,库龄!B:L,10,0),0)</f>
        <v>0</v>
      </c>
      <c r="L342">
        <f>IFERROR(VLOOKUP(A342,库龄!B:M,11,0),0)</f>
        <v>0</v>
      </c>
      <c r="M342">
        <f>IFERROR(VLOOKUP(A342,库龄!B:N,12,0),0)</f>
        <v>0</v>
      </c>
      <c r="N342">
        <f t="shared" si="12"/>
        <v>0</v>
      </c>
    </row>
    <row r="343" spans="1:14">
      <c r="A343" s="3" t="s">
        <v>827</v>
      </c>
      <c r="B343">
        <f>IFERROR(VLOOKUP(A343,管理亚马逊库存!A:K,11,0),"")</f>
        <v>0</v>
      </c>
      <c r="C343">
        <f>IFERROR(VLOOKUP(A343,管理亚马逊库存!A:L,12,0),"")</f>
        <v>0</v>
      </c>
      <c r="D343">
        <f>IFERROR(VLOOKUP(A343,管理亚马逊库存!A:Q,17,0),"")</f>
        <v>0</v>
      </c>
      <c r="E343">
        <f>IFERROR(VLOOKUP(A343,管理亚马逊库存!A:R,18,0),"")</f>
        <v>0</v>
      </c>
      <c r="F343">
        <f t="shared" si="11"/>
        <v>0</v>
      </c>
      <c r="G343">
        <f>IFERROR(VLOOKUP(A343,预留库存!A:G,7,0),0)</f>
        <v>0</v>
      </c>
      <c r="H343">
        <f>IFERROR(VLOOKUP(A343,预留库存!A:H,8,0),0)</f>
        <v>0</v>
      </c>
      <c r="I343">
        <f>IFERROR(VLOOKUP(A343,预留库存!A:F,6,0),0)</f>
        <v>0</v>
      </c>
      <c r="J343">
        <f>IFERROR(VLOOKUP(A343,库龄!B:K,9,0),0)</f>
        <v>0</v>
      </c>
      <c r="K343">
        <f>IFERROR(VLOOKUP(A343,库龄!B:L,10,0),0)</f>
        <v>0</v>
      </c>
      <c r="L343">
        <f>IFERROR(VLOOKUP(A343,库龄!B:M,11,0),0)</f>
        <v>0</v>
      </c>
      <c r="M343">
        <f>IFERROR(VLOOKUP(A343,库龄!B:N,12,0),0)</f>
        <v>0</v>
      </c>
      <c r="N343">
        <f t="shared" si="12"/>
        <v>0</v>
      </c>
    </row>
    <row r="344" spans="1:14">
      <c r="A344" s="3" t="s">
        <v>830</v>
      </c>
      <c r="B344">
        <f>IFERROR(VLOOKUP(A344,管理亚马逊库存!A:K,11,0),"")</f>
        <v>0</v>
      </c>
      <c r="C344">
        <f>IFERROR(VLOOKUP(A344,管理亚马逊库存!A:L,12,0),"")</f>
        <v>0</v>
      </c>
      <c r="D344">
        <f>IFERROR(VLOOKUP(A344,管理亚马逊库存!A:Q,17,0),"")</f>
        <v>0</v>
      </c>
      <c r="E344">
        <f>IFERROR(VLOOKUP(A344,管理亚马逊库存!A:R,18,0),"")</f>
        <v>0</v>
      </c>
      <c r="F344">
        <f t="shared" si="11"/>
        <v>0</v>
      </c>
      <c r="G344">
        <f>IFERROR(VLOOKUP(A344,预留库存!A:G,7,0),0)</f>
        <v>0</v>
      </c>
      <c r="H344">
        <f>IFERROR(VLOOKUP(A344,预留库存!A:H,8,0),0)</f>
        <v>0</v>
      </c>
      <c r="I344">
        <f>IFERROR(VLOOKUP(A344,预留库存!A:F,6,0),0)</f>
        <v>0</v>
      </c>
      <c r="J344">
        <f>IFERROR(VLOOKUP(A344,库龄!B:K,9,0),0)</f>
        <v>0</v>
      </c>
      <c r="K344">
        <f>IFERROR(VLOOKUP(A344,库龄!B:L,10,0),0)</f>
        <v>0</v>
      </c>
      <c r="L344">
        <f>IFERROR(VLOOKUP(A344,库龄!B:M,11,0),0)</f>
        <v>0</v>
      </c>
      <c r="M344">
        <f>IFERROR(VLOOKUP(A344,库龄!B:N,12,0),0)</f>
        <v>0</v>
      </c>
      <c r="N344">
        <f t="shared" si="12"/>
        <v>0</v>
      </c>
    </row>
    <row r="345" spans="1:14">
      <c r="A345" s="3" t="s">
        <v>833</v>
      </c>
      <c r="B345">
        <f>IFERROR(VLOOKUP(A345,管理亚马逊库存!A:K,11,0),"")</f>
        <v>0</v>
      </c>
      <c r="C345">
        <f>IFERROR(VLOOKUP(A345,管理亚马逊库存!A:L,12,0),"")</f>
        <v>0</v>
      </c>
      <c r="D345">
        <f>IFERROR(VLOOKUP(A345,管理亚马逊库存!A:Q,17,0),"")</f>
        <v>0</v>
      </c>
      <c r="E345">
        <f>IFERROR(VLOOKUP(A345,管理亚马逊库存!A:R,18,0),"")</f>
        <v>0</v>
      </c>
      <c r="F345">
        <f t="shared" si="11"/>
        <v>0</v>
      </c>
      <c r="G345">
        <f>IFERROR(VLOOKUP(A345,预留库存!A:G,7,0),0)</f>
        <v>0</v>
      </c>
      <c r="H345">
        <f>IFERROR(VLOOKUP(A345,预留库存!A:H,8,0),0)</f>
        <v>0</v>
      </c>
      <c r="I345">
        <f>IFERROR(VLOOKUP(A345,预留库存!A:F,6,0),0)</f>
        <v>0</v>
      </c>
      <c r="J345">
        <f>IFERROR(VLOOKUP(A345,库龄!B:K,9,0),0)</f>
        <v>0</v>
      </c>
      <c r="K345">
        <f>IFERROR(VLOOKUP(A345,库龄!B:L,10,0),0)</f>
        <v>0</v>
      </c>
      <c r="L345">
        <f>IFERROR(VLOOKUP(A345,库龄!B:M,11,0),0)</f>
        <v>0</v>
      </c>
      <c r="M345">
        <f>IFERROR(VLOOKUP(A345,库龄!B:N,12,0),0)</f>
        <v>0</v>
      </c>
      <c r="N345">
        <f t="shared" si="12"/>
        <v>0</v>
      </c>
    </row>
    <row r="346" spans="1:14">
      <c r="A346" s="3" t="s">
        <v>836</v>
      </c>
      <c r="B346">
        <f>IFERROR(VLOOKUP(A346,管理亚马逊库存!A:K,11,0),"")</f>
        <v>0</v>
      </c>
      <c r="C346">
        <f>IFERROR(VLOOKUP(A346,管理亚马逊库存!A:L,12,0),"")</f>
        <v>0</v>
      </c>
      <c r="D346">
        <f>IFERROR(VLOOKUP(A346,管理亚马逊库存!A:Q,17,0),"")</f>
        <v>0</v>
      </c>
      <c r="E346">
        <f>IFERROR(VLOOKUP(A346,管理亚马逊库存!A:R,18,0),"")</f>
        <v>0</v>
      </c>
      <c r="F346">
        <f t="shared" si="11"/>
        <v>0</v>
      </c>
      <c r="G346">
        <f>IFERROR(VLOOKUP(A346,预留库存!A:G,7,0),0)</f>
        <v>0</v>
      </c>
      <c r="H346">
        <f>IFERROR(VLOOKUP(A346,预留库存!A:H,8,0),0)</f>
        <v>0</v>
      </c>
      <c r="I346">
        <f>IFERROR(VLOOKUP(A346,预留库存!A:F,6,0),0)</f>
        <v>0</v>
      </c>
      <c r="J346">
        <f>IFERROR(VLOOKUP(A346,库龄!B:K,9,0),0)</f>
        <v>0</v>
      </c>
      <c r="K346">
        <f>IFERROR(VLOOKUP(A346,库龄!B:L,10,0),0)</f>
        <v>0</v>
      </c>
      <c r="L346">
        <f>IFERROR(VLOOKUP(A346,库龄!B:M,11,0),0)</f>
        <v>0</v>
      </c>
      <c r="M346">
        <f>IFERROR(VLOOKUP(A346,库龄!B:N,12,0),0)</f>
        <v>0</v>
      </c>
      <c r="N346">
        <f t="shared" si="12"/>
        <v>0</v>
      </c>
    </row>
    <row r="347" spans="1:14">
      <c r="A347" s="3" t="s">
        <v>839</v>
      </c>
      <c r="B347">
        <f>IFERROR(VLOOKUP(A347,管理亚马逊库存!A:K,11,0),"")</f>
        <v>0</v>
      </c>
      <c r="C347">
        <f>IFERROR(VLOOKUP(A347,管理亚马逊库存!A:L,12,0),"")</f>
        <v>0</v>
      </c>
      <c r="D347">
        <f>IFERROR(VLOOKUP(A347,管理亚马逊库存!A:Q,17,0),"")</f>
        <v>0</v>
      </c>
      <c r="E347">
        <f>IFERROR(VLOOKUP(A347,管理亚马逊库存!A:R,18,0),"")</f>
        <v>0</v>
      </c>
      <c r="F347">
        <f t="shared" si="11"/>
        <v>0</v>
      </c>
      <c r="G347">
        <f>IFERROR(VLOOKUP(A347,预留库存!A:G,7,0),0)</f>
        <v>0</v>
      </c>
      <c r="H347">
        <f>IFERROR(VLOOKUP(A347,预留库存!A:H,8,0),0)</f>
        <v>0</v>
      </c>
      <c r="I347">
        <f>IFERROR(VLOOKUP(A347,预留库存!A:F,6,0),0)</f>
        <v>0</v>
      </c>
      <c r="J347">
        <f>IFERROR(VLOOKUP(A347,库龄!B:K,9,0),0)</f>
        <v>0</v>
      </c>
      <c r="K347">
        <f>IFERROR(VLOOKUP(A347,库龄!B:L,10,0),0)</f>
        <v>0</v>
      </c>
      <c r="L347">
        <f>IFERROR(VLOOKUP(A347,库龄!B:M,11,0),0)</f>
        <v>0</v>
      </c>
      <c r="M347">
        <f>IFERROR(VLOOKUP(A347,库龄!B:N,12,0),0)</f>
        <v>0</v>
      </c>
      <c r="N347">
        <f t="shared" si="12"/>
        <v>0</v>
      </c>
    </row>
    <row r="348" spans="1:14">
      <c r="A348" s="3" t="s">
        <v>842</v>
      </c>
      <c r="B348">
        <f>IFERROR(VLOOKUP(A348,管理亚马逊库存!A:K,11,0),"")</f>
        <v>0</v>
      </c>
      <c r="C348">
        <f>IFERROR(VLOOKUP(A348,管理亚马逊库存!A:L,12,0),"")</f>
        <v>0</v>
      </c>
      <c r="D348">
        <f>IFERROR(VLOOKUP(A348,管理亚马逊库存!A:Q,17,0),"")</f>
        <v>0</v>
      </c>
      <c r="E348">
        <f>IFERROR(VLOOKUP(A348,管理亚马逊库存!A:R,18,0),"")</f>
        <v>0</v>
      </c>
      <c r="F348">
        <f t="shared" si="11"/>
        <v>0</v>
      </c>
      <c r="G348">
        <f>IFERROR(VLOOKUP(A348,预留库存!A:G,7,0),0)</f>
        <v>0</v>
      </c>
      <c r="H348">
        <f>IFERROR(VLOOKUP(A348,预留库存!A:H,8,0),0)</f>
        <v>0</v>
      </c>
      <c r="I348">
        <f>IFERROR(VLOOKUP(A348,预留库存!A:F,6,0),0)</f>
        <v>0</v>
      </c>
      <c r="J348">
        <f>IFERROR(VLOOKUP(A348,库龄!B:K,9,0),0)</f>
        <v>0</v>
      </c>
      <c r="K348">
        <f>IFERROR(VLOOKUP(A348,库龄!B:L,10,0),0)</f>
        <v>0</v>
      </c>
      <c r="L348">
        <f>IFERROR(VLOOKUP(A348,库龄!B:M,11,0),0)</f>
        <v>0</v>
      </c>
      <c r="M348">
        <f>IFERROR(VLOOKUP(A348,库龄!B:N,12,0),0)</f>
        <v>0</v>
      </c>
      <c r="N348">
        <f t="shared" si="12"/>
        <v>0</v>
      </c>
    </row>
    <row r="349" spans="1:14">
      <c r="A349" s="3" t="s">
        <v>845</v>
      </c>
      <c r="B349">
        <f>IFERROR(VLOOKUP(A349,管理亚马逊库存!A:K,11,0),"")</f>
        <v>0</v>
      </c>
      <c r="C349">
        <f>IFERROR(VLOOKUP(A349,管理亚马逊库存!A:L,12,0),"")</f>
        <v>0</v>
      </c>
      <c r="D349">
        <f>IFERROR(VLOOKUP(A349,管理亚马逊库存!A:Q,17,0),"")</f>
        <v>0</v>
      </c>
      <c r="E349">
        <f>IFERROR(VLOOKUP(A349,管理亚马逊库存!A:R,18,0),"")</f>
        <v>0</v>
      </c>
      <c r="F349">
        <f t="shared" si="11"/>
        <v>0</v>
      </c>
      <c r="G349">
        <f>IFERROR(VLOOKUP(A349,预留库存!A:G,7,0),0)</f>
        <v>0</v>
      </c>
      <c r="H349">
        <f>IFERROR(VLOOKUP(A349,预留库存!A:H,8,0),0)</f>
        <v>0</v>
      </c>
      <c r="I349">
        <f>IFERROR(VLOOKUP(A349,预留库存!A:F,6,0),0)</f>
        <v>0</v>
      </c>
      <c r="J349">
        <f>IFERROR(VLOOKUP(A349,库龄!B:K,9,0),0)</f>
        <v>0</v>
      </c>
      <c r="K349">
        <f>IFERROR(VLOOKUP(A349,库龄!B:L,10,0),0)</f>
        <v>0</v>
      </c>
      <c r="L349">
        <f>IFERROR(VLOOKUP(A349,库龄!B:M,11,0),0)</f>
        <v>0</v>
      </c>
      <c r="M349">
        <f>IFERROR(VLOOKUP(A349,库龄!B:N,12,0),0)</f>
        <v>0</v>
      </c>
      <c r="N349">
        <f t="shared" si="12"/>
        <v>0</v>
      </c>
    </row>
    <row r="350" spans="1:14">
      <c r="A350" s="3" t="s">
        <v>848</v>
      </c>
      <c r="B350">
        <f>IFERROR(VLOOKUP(A350,管理亚马逊库存!A:K,11,0),"")</f>
        <v>0</v>
      </c>
      <c r="C350">
        <f>IFERROR(VLOOKUP(A350,管理亚马逊库存!A:L,12,0),"")</f>
        <v>0</v>
      </c>
      <c r="D350">
        <f>IFERROR(VLOOKUP(A350,管理亚马逊库存!A:Q,17,0),"")</f>
        <v>0</v>
      </c>
      <c r="E350">
        <f>IFERROR(VLOOKUP(A350,管理亚马逊库存!A:R,18,0),"")</f>
        <v>0</v>
      </c>
      <c r="F350">
        <f t="shared" si="11"/>
        <v>0</v>
      </c>
      <c r="G350">
        <f>IFERROR(VLOOKUP(A350,预留库存!A:G,7,0),0)</f>
        <v>0</v>
      </c>
      <c r="H350">
        <f>IFERROR(VLOOKUP(A350,预留库存!A:H,8,0),0)</f>
        <v>0</v>
      </c>
      <c r="I350">
        <f>IFERROR(VLOOKUP(A350,预留库存!A:F,6,0),0)</f>
        <v>0</v>
      </c>
      <c r="J350">
        <f>IFERROR(VLOOKUP(A350,库龄!B:K,9,0),0)</f>
        <v>0</v>
      </c>
      <c r="K350">
        <f>IFERROR(VLOOKUP(A350,库龄!B:L,10,0),0)</f>
        <v>0</v>
      </c>
      <c r="L350">
        <f>IFERROR(VLOOKUP(A350,库龄!B:M,11,0),0)</f>
        <v>0</v>
      </c>
      <c r="M350">
        <f>IFERROR(VLOOKUP(A350,库龄!B:N,12,0),0)</f>
        <v>0</v>
      </c>
      <c r="N350">
        <f t="shared" si="12"/>
        <v>0</v>
      </c>
    </row>
    <row r="351" spans="1:14">
      <c r="A351" s="3" t="s">
        <v>851</v>
      </c>
      <c r="B351">
        <f>IFERROR(VLOOKUP(A351,管理亚马逊库存!A:K,11,0),"")</f>
        <v>0</v>
      </c>
      <c r="C351">
        <f>IFERROR(VLOOKUP(A351,管理亚马逊库存!A:L,12,0),"")</f>
        <v>0</v>
      </c>
      <c r="D351">
        <f>IFERROR(VLOOKUP(A351,管理亚马逊库存!A:Q,17,0),"")</f>
        <v>0</v>
      </c>
      <c r="E351">
        <f>IFERROR(VLOOKUP(A351,管理亚马逊库存!A:R,18,0),"")</f>
        <v>0</v>
      </c>
      <c r="F351">
        <f t="shared" si="11"/>
        <v>0</v>
      </c>
      <c r="G351">
        <f>IFERROR(VLOOKUP(A351,预留库存!A:G,7,0),0)</f>
        <v>0</v>
      </c>
      <c r="H351">
        <f>IFERROR(VLOOKUP(A351,预留库存!A:H,8,0),0)</f>
        <v>0</v>
      </c>
      <c r="I351">
        <f>IFERROR(VLOOKUP(A351,预留库存!A:F,6,0),0)</f>
        <v>0</v>
      </c>
      <c r="J351">
        <f>IFERROR(VLOOKUP(A351,库龄!B:K,9,0),0)</f>
        <v>0</v>
      </c>
      <c r="K351">
        <f>IFERROR(VLOOKUP(A351,库龄!B:L,10,0),0)</f>
        <v>0</v>
      </c>
      <c r="L351">
        <f>IFERROR(VLOOKUP(A351,库龄!B:M,11,0),0)</f>
        <v>0</v>
      </c>
      <c r="M351">
        <f>IFERROR(VLOOKUP(A351,库龄!B:N,12,0),0)</f>
        <v>0</v>
      </c>
      <c r="N351">
        <f t="shared" si="12"/>
        <v>0</v>
      </c>
    </row>
    <row r="352" spans="1:14">
      <c r="A352" s="3" t="s">
        <v>854</v>
      </c>
      <c r="B352">
        <f>IFERROR(VLOOKUP(A352,管理亚马逊库存!A:K,11,0),"")</f>
        <v>0</v>
      </c>
      <c r="C352">
        <f>IFERROR(VLOOKUP(A352,管理亚马逊库存!A:L,12,0),"")</f>
        <v>0</v>
      </c>
      <c r="D352">
        <f>IFERROR(VLOOKUP(A352,管理亚马逊库存!A:Q,17,0),"")</f>
        <v>0</v>
      </c>
      <c r="E352">
        <f>IFERROR(VLOOKUP(A352,管理亚马逊库存!A:R,18,0),"")</f>
        <v>0</v>
      </c>
      <c r="F352">
        <f t="shared" si="11"/>
        <v>0</v>
      </c>
      <c r="G352">
        <f>IFERROR(VLOOKUP(A352,预留库存!A:G,7,0),0)</f>
        <v>0</v>
      </c>
      <c r="H352">
        <f>IFERROR(VLOOKUP(A352,预留库存!A:H,8,0),0)</f>
        <v>0</v>
      </c>
      <c r="I352">
        <f>IFERROR(VLOOKUP(A352,预留库存!A:F,6,0),0)</f>
        <v>0</v>
      </c>
      <c r="J352">
        <f>IFERROR(VLOOKUP(A352,库龄!B:K,9,0),0)</f>
        <v>0</v>
      </c>
      <c r="K352">
        <f>IFERROR(VLOOKUP(A352,库龄!B:L,10,0),0)</f>
        <v>0</v>
      </c>
      <c r="L352">
        <f>IFERROR(VLOOKUP(A352,库龄!B:M,11,0),0)</f>
        <v>0</v>
      </c>
      <c r="M352">
        <f>IFERROR(VLOOKUP(A352,库龄!B:N,12,0),0)</f>
        <v>0</v>
      </c>
      <c r="N352">
        <f t="shared" si="12"/>
        <v>0</v>
      </c>
    </row>
    <row r="353" spans="1:14">
      <c r="A353" s="3" t="s">
        <v>857</v>
      </c>
      <c r="B353">
        <f>IFERROR(VLOOKUP(A353,管理亚马逊库存!A:K,11,0),"")</f>
        <v>0</v>
      </c>
      <c r="C353">
        <f>IFERROR(VLOOKUP(A353,管理亚马逊库存!A:L,12,0),"")</f>
        <v>0</v>
      </c>
      <c r="D353">
        <f>IFERROR(VLOOKUP(A353,管理亚马逊库存!A:Q,17,0),"")</f>
        <v>0</v>
      </c>
      <c r="E353">
        <f>IFERROR(VLOOKUP(A353,管理亚马逊库存!A:R,18,0),"")</f>
        <v>0</v>
      </c>
      <c r="F353">
        <f t="shared" si="11"/>
        <v>0</v>
      </c>
      <c r="G353">
        <f>IFERROR(VLOOKUP(A353,预留库存!A:G,7,0),0)</f>
        <v>0</v>
      </c>
      <c r="H353">
        <f>IFERROR(VLOOKUP(A353,预留库存!A:H,8,0),0)</f>
        <v>0</v>
      </c>
      <c r="I353">
        <f>IFERROR(VLOOKUP(A353,预留库存!A:F,6,0),0)</f>
        <v>0</v>
      </c>
      <c r="J353">
        <f>IFERROR(VLOOKUP(A353,库龄!B:K,9,0),0)</f>
        <v>0</v>
      </c>
      <c r="K353">
        <f>IFERROR(VLOOKUP(A353,库龄!B:L,10,0),0)</f>
        <v>0</v>
      </c>
      <c r="L353">
        <f>IFERROR(VLOOKUP(A353,库龄!B:M,11,0),0)</f>
        <v>0</v>
      </c>
      <c r="M353">
        <f>IFERROR(VLOOKUP(A353,库龄!B:N,12,0),0)</f>
        <v>0</v>
      </c>
      <c r="N353">
        <f t="shared" si="12"/>
        <v>0</v>
      </c>
    </row>
    <row r="354" spans="1:14">
      <c r="A354" s="3" t="s">
        <v>860</v>
      </c>
      <c r="B354">
        <f>IFERROR(VLOOKUP(A354,管理亚马逊库存!A:K,11,0),"")</f>
        <v>0</v>
      </c>
      <c r="C354">
        <f>IFERROR(VLOOKUP(A354,管理亚马逊库存!A:L,12,0),"")</f>
        <v>0</v>
      </c>
      <c r="D354">
        <f>IFERROR(VLOOKUP(A354,管理亚马逊库存!A:Q,17,0),"")</f>
        <v>0</v>
      </c>
      <c r="E354">
        <f>IFERROR(VLOOKUP(A354,管理亚马逊库存!A:R,18,0),"")</f>
        <v>0</v>
      </c>
      <c r="F354">
        <f t="shared" si="11"/>
        <v>0</v>
      </c>
      <c r="G354">
        <f>IFERROR(VLOOKUP(A354,预留库存!A:G,7,0),0)</f>
        <v>0</v>
      </c>
      <c r="H354">
        <f>IFERROR(VLOOKUP(A354,预留库存!A:H,8,0),0)</f>
        <v>0</v>
      </c>
      <c r="I354">
        <f>IFERROR(VLOOKUP(A354,预留库存!A:F,6,0),0)</f>
        <v>0</v>
      </c>
      <c r="J354">
        <f>IFERROR(VLOOKUP(A354,库龄!B:K,9,0),0)</f>
        <v>0</v>
      </c>
      <c r="K354">
        <f>IFERROR(VLOOKUP(A354,库龄!B:L,10,0),0)</f>
        <v>0</v>
      </c>
      <c r="L354">
        <f>IFERROR(VLOOKUP(A354,库龄!B:M,11,0),0)</f>
        <v>0</v>
      </c>
      <c r="M354">
        <f>IFERROR(VLOOKUP(A354,库龄!B:N,12,0),0)</f>
        <v>0</v>
      </c>
      <c r="N354">
        <f t="shared" si="12"/>
        <v>0</v>
      </c>
    </row>
    <row r="355" spans="1:14">
      <c r="A355" s="3" t="s">
        <v>863</v>
      </c>
      <c r="B355">
        <f>IFERROR(VLOOKUP(A355,管理亚马逊库存!A:K,11,0),"")</f>
        <v>0</v>
      </c>
      <c r="C355">
        <f>IFERROR(VLOOKUP(A355,管理亚马逊库存!A:L,12,0),"")</f>
        <v>0</v>
      </c>
      <c r="D355">
        <f>IFERROR(VLOOKUP(A355,管理亚马逊库存!A:Q,17,0),"")</f>
        <v>0</v>
      </c>
      <c r="E355">
        <f>IFERROR(VLOOKUP(A355,管理亚马逊库存!A:R,18,0),"")</f>
        <v>0</v>
      </c>
      <c r="F355">
        <f t="shared" si="11"/>
        <v>0</v>
      </c>
      <c r="G355">
        <f>IFERROR(VLOOKUP(A355,预留库存!A:G,7,0),0)</f>
        <v>0</v>
      </c>
      <c r="H355">
        <f>IFERROR(VLOOKUP(A355,预留库存!A:H,8,0),0)</f>
        <v>0</v>
      </c>
      <c r="I355">
        <f>IFERROR(VLOOKUP(A355,预留库存!A:F,6,0),0)</f>
        <v>0</v>
      </c>
      <c r="J355">
        <f>IFERROR(VLOOKUP(A355,库龄!B:K,9,0),0)</f>
        <v>0</v>
      </c>
      <c r="K355">
        <f>IFERROR(VLOOKUP(A355,库龄!B:L,10,0),0)</f>
        <v>0</v>
      </c>
      <c r="L355">
        <f>IFERROR(VLOOKUP(A355,库龄!B:M,11,0),0)</f>
        <v>0</v>
      </c>
      <c r="M355">
        <f>IFERROR(VLOOKUP(A355,库龄!B:N,12,0),0)</f>
        <v>0</v>
      </c>
      <c r="N355">
        <f t="shared" si="12"/>
        <v>0</v>
      </c>
    </row>
    <row r="356" spans="1:14">
      <c r="A356" s="3" t="s">
        <v>866</v>
      </c>
      <c r="B356">
        <f>IFERROR(VLOOKUP(A356,管理亚马逊库存!A:K,11,0),"")</f>
        <v>0</v>
      </c>
      <c r="C356">
        <f>IFERROR(VLOOKUP(A356,管理亚马逊库存!A:L,12,0),"")</f>
        <v>0</v>
      </c>
      <c r="D356">
        <f>IFERROR(VLOOKUP(A356,管理亚马逊库存!A:Q,17,0),"")</f>
        <v>0</v>
      </c>
      <c r="E356">
        <f>IFERROR(VLOOKUP(A356,管理亚马逊库存!A:R,18,0),"")</f>
        <v>0</v>
      </c>
      <c r="F356">
        <f t="shared" si="11"/>
        <v>0</v>
      </c>
      <c r="G356">
        <f>IFERROR(VLOOKUP(A356,预留库存!A:G,7,0),0)</f>
        <v>0</v>
      </c>
      <c r="H356">
        <f>IFERROR(VLOOKUP(A356,预留库存!A:H,8,0),0)</f>
        <v>0</v>
      </c>
      <c r="I356">
        <f>IFERROR(VLOOKUP(A356,预留库存!A:F,6,0),0)</f>
        <v>0</v>
      </c>
      <c r="J356">
        <f>IFERROR(VLOOKUP(A356,库龄!B:K,9,0),0)</f>
        <v>0</v>
      </c>
      <c r="K356">
        <f>IFERROR(VLOOKUP(A356,库龄!B:L,10,0),0)</f>
        <v>0</v>
      </c>
      <c r="L356">
        <f>IFERROR(VLOOKUP(A356,库龄!B:M,11,0),0)</f>
        <v>0</v>
      </c>
      <c r="M356">
        <f>IFERROR(VLOOKUP(A356,库龄!B:N,12,0),0)</f>
        <v>0</v>
      </c>
      <c r="N356">
        <f t="shared" si="12"/>
        <v>0</v>
      </c>
    </row>
    <row r="357" spans="1:14">
      <c r="A357" s="3" t="s">
        <v>869</v>
      </c>
      <c r="B357">
        <f>IFERROR(VLOOKUP(A357,管理亚马逊库存!A:K,11,0),"")</f>
        <v>0</v>
      </c>
      <c r="C357">
        <f>IFERROR(VLOOKUP(A357,管理亚马逊库存!A:L,12,0),"")</f>
        <v>0</v>
      </c>
      <c r="D357">
        <f>IFERROR(VLOOKUP(A357,管理亚马逊库存!A:Q,17,0),"")</f>
        <v>0</v>
      </c>
      <c r="E357">
        <f>IFERROR(VLOOKUP(A357,管理亚马逊库存!A:R,18,0),"")</f>
        <v>0</v>
      </c>
      <c r="F357">
        <f t="shared" si="11"/>
        <v>0</v>
      </c>
      <c r="G357">
        <f>IFERROR(VLOOKUP(A357,预留库存!A:G,7,0),0)</f>
        <v>0</v>
      </c>
      <c r="H357">
        <f>IFERROR(VLOOKUP(A357,预留库存!A:H,8,0),0)</f>
        <v>0</v>
      </c>
      <c r="I357">
        <f>IFERROR(VLOOKUP(A357,预留库存!A:F,6,0),0)</f>
        <v>0</v>
      </c>
      <c r="J357">
        <f>IFERROR(VLOOKUP(A357,库龄!B:K,9,0),0)</f>
        <v>0</v>
      </c>
      <c r="K357">
        <f>IFERROR(VLOOKUP(A357,库龄!B:L,10,0),0)</f>
        <v>0</v>
      </c>
      <c r="L357">
        <f>IFERROR(VLOOKUP(A357,库龄!B:M,11,0),0)</f>
        <v>0</v>
      </c>
      <c r="M357">
        <f>IFERROR(VLOOKUP(A357,库龄!B:N,12,0),0)</f>
        <v>0</v>
      </c>
      <c r="N357">
        <f t="shared" si="12"/>
        <v>0</v>
      </c>
    </row>
    <row r="358" spans="1:14">
      <c r="A358" s="3" t="s">
        <v>872</v>
      </c>
      <c r="B358">
        <f>IFERROR(VLOOKUP(A358,管理亚马逊库存!A:K,11,0),"")</f>
        <v>0</v>
      </c>
      <c r="C358">
        <f>IFERROR(VLOOKUP(A358,管理亚马逊库存!A:L,12,0),"")</f>
        <v>0</v>
      </c>
      <c r="D358">
        <f>IFERROR(VLOOKUP(A358,管理亚马逊库存!A:Q,17,0),"")</f>
        <v>0</v>
      </c>
      <c r="E358">
        <f>IFERROR(VLOOKUP(A358,管理亚马逊库存!A:R,18,0),"")</f>
        <v>0</v>
      </c>
      <c r="F358">
        <f t="shared" si="11"/>
        <v>0</v>
      </c>
      <c r="G358">
        <f>IFERROR(VLOOKUP(A358,预留库存!A:G,7,0),0)</f>
        <v>0</v>
      </c>
      <c r="H358">
        <f>IFERROR(VLOOKUP(A358,预留库存!A:H,8,0),0)</f>
        <v>0</v>
      </c>
      <c r="I358">
        <f>IFERROR(VLOOKUP(A358,预留库存!A:F,6,0),0)</f>
        <v>0</v>
      </c>
      <c r="J358">
        <f>IFERROR(VLOOKUP(A358,库龄!B:K,9,0),0)</f>
        <v>0</v>
      </c>
      <c r="K358">
        <f>IFERROR(VLOOKUP(A358,库龄!B:L,10,0),0)</f>
        <v>0</v>
      </c>
      <c r="L358">
        <f>IFERROR(VLOOKUP(A358,库龄!B:M,11,0),0)</f>
        <v>0</v>
      </c>
      <c r="M358">
        <f>IFERROR(VLOOKUP(A358,库龄!B:N,12,0),0)</f>
        <v>0</v>
      </c>
      <c r="N358">
        <f t="shared" si="12"/>
        <v>0</v>
      </c>
    </row>
    <row r="359" spans="1:14">
      <c r="A359" s="3" t="s">
        <v>875</v>
      </c>
      <c r="B359">
        <f>IFERROR(VLOOKUP(A359,管理亚马逊库存!A:K,11,0),"")</f>
        <v>0</v>
      </c>
      <c r="C359">
        <f>IFERROR(VLOOKUP(A359,管理亚马逊库存!A:L,12,0),"")</f>
        <v>0</v>
      </c>
      <c r="D359">
        <f>IFERROR(VLOOKUP(A359,管理亚马逊库存!A:Q,17,0),"")</f>
        <v>0</v>
      </c>
      <c r="E359">
        <f>IFERROR(VLOOKUP(A359,管理亚马逊库存!A:R,18,0),"")</f>
        <v>0</v>
      </c>
      <c r="F359">
        <f t="shared" si="11"/>
        <v>0</v>
      </c>
      <c r="G359">
        <f>IFERROR(VLOOKUP(A359,预留库存!A:G,7,0),0)</f>
        <v>0</v>
      </c>
      <c r="H359">
        <f>IFERROR(VLOOKUP(A359,预留库存!A:H,8,0),0)</f>
        <v>0</v>
      </c>
      <c r="I359">
        <f>IFERROR(VLOOKUP(A359,预留库存!A:F,6,0),0)</f>
        <v>0</v>
      </c>
      <c r="J359">
        <f>IFERROR(VLOOKUP(A359,库龄!B:K,9,0),0)</f>
        <v>0</v>
      </c>
      <c r="K359">
        <f>IFERROR(VLOOKUP(A359,库龄!B:L,10,0),0)</f>
        <v>0</v>
      </c>
      <c r="L359">
        <f>IFERROR(VLOOKUP(A359,库龄!B:M,11,0),0)</f>
        <v>0</v>
      </c>
      <c r="M359">
        <f>IFERROR(VLOOKUP(A359,库龄!B:N,12,0),0)</f>
        <v>0</v>
      </c>
      <c r="N359">
        <f t="shared" si="12"/>
        <v>0</v>
      </c>
    </row>
    <row r="360" spans="1:14">
      <c r="A360" s="3" t="s">
        <v>878</v>
      </c>
      <c r="B360">
        <f>IFERROR(VLOOKUP(A360,管理亚马逊库存!A:K,11,0),"")</f>
        <v>0</v>
      </c>
      <c r="C360">
        <f>IFERROR(VLOOKUP(A360,管理亚马逊库存!A:L,12,0),"")</f>
        <v>0</v>
      </c>
      <c r="D360">
        <f>IFERROR(VLOOKUP(A360,管理亚马逊库存!A:Q,17,0),"")</f>
        <v>0</v>
      </c>
      <c r="E360">
        <f>IFERROR(VLOOKUP(A360,管理亚马逊库存!A:R,18,0),"")</f>
        <v>0</v>
      </c>
      <c r="F360">
        <f t="shared" si="11"/>
        <v>0</v>
      </c>
      <c r="G360">
        <f>IFERROR(VLOOKUP(A360,预留库存!A:G,7,0),0)</f>
        <v>0</v>
      </c>
      <c r="H360">
        <f>IFERROR(VLOOKUP(A360,预留库存!A:H,8,0),0)</f>
        <v>0</v>
      </c>
      <c r="I360">
        <f>IFERROR(VLOOKUP(A360,预留库存!A:F,6,0),0)</f>
        <v>0</v>
      </c>
      <c r="J360">
        <f>IFERROR(VLOOKUP(A360,库龄!B:K,9,0),0)</f>
        <v>0</v>
      </c>
      <c r="K360">
        <f>IFERROR(VLOOKUP(A360,库龄!B:L,10,0),0)</f>
        <v>0</v>
      </c>
      <c r="L360">
        <f>IFERROR(VLOOKUP(A360,库龄!B:M,11,0),0)</f>
        <v>0</v>
      </c>
      <c r="M360">
        <f>IFERROR(VLOOKUP(A360,库龄!B:N,12,0),0)</f>
        <v>0</v>
      </c>
      <c r="N360">
        <f t="shared" si="12"/>
        <v>0</v>
      </c>
    </row>
    <row r="361" spans="1:14">
      <c r="A361" s="3" t="s">
        <v>881</v>
      </c>
      <c r="B361">
        <f>IFERROR(VLOOKUP(A361,管理亚马逊库存!A:K,11,0),"")</f>
        <v>0</v>
      </c>
      <c r="C361">
        <f>IFERROR(VLOOKUP(A361,管理亚马逊库存!A:L,12,0),"")</f>
        <v>0</v>
      </c>
      <c r="D361">
        <f>IFERROR(VLOOKUP(A361,管理亚马逊库存!A:Q,17,0),"")</f>
        <v>0</v>
      </c>
      <c r="E361">
        <f>IFERROR(VLOOKUP(A361,管理亚马逊库存!A:R,18,0),"")</f>
        <v>0</v>
      </c>
      <c r="F361">
        <f t="shared" si="11"/>
        <v>0</v>
      </c>
      <c r="G361">
        <f>IFERROR(VLOOKUP(A361,预留库存!A:G,7,0),0)</f>
        <v>0</v>
      </c>
      <c r="H361">
        <f>IFERROR(VLOOKUP(A361,预留库存!A:H,8,0),0)</f>
        <v>0</v>
      </c>
      <c r="I361">
        <f>IFERROR(VLOOKUP(A361,预留库存!A:F,6,0),0)</f>
        <v>0</v>
      </c>
      <c r="J361">
        <f>IFERROR(VLOOKUP(A361,库龄!B:K,9,0),0)</f>
        <v>0</v>
      </c>
      <c r="K361">
        <f>IFERROR(VLOOKUP(A361,库龄!B:L,10,0),0)</f>
        <v>0</v>
      </c>
      <c r="L361">
        <f>IFERROR(VLOOKUP(A361,库龄!B:M,11,0),0)</f>
        <v>0</v>
      </c>
      <c r="M361">
        <f>IFERROR(VLOOKUP(A361,库龄!B:N,12,0),0)</f>
        <v>0</v>
      </c>
      <c r="N361">
        <f t="shared" si="12"/>
        <v>0</v>
      </c>
    </row>
    <row r="362" spans="1:14">
      <c r="A362" s="3" t="s">
        <v>884</v>
      </c>
      <c r="B362">
        <f>IFERROR(VLOOKUP(A362,管理亚马逊库存!A:K,11,0),"")</f>
        <v>0</v>
      </c>
      <c r="C362">
        <f>IFERROR(VLOOKUP(A362,管理亚马逊库存!A:L,12,0),"")</f>
        <v>0</v>
      </c>
      <c r="D362">
        <f>IFERROR(VLOOKUP(A362,管理亚马逊库存!A:Q,17,0),"")</f>
        <v>0</v>
      </c>
      <c r="E362">
        <f>IFERROR(VLOOKUP(A362,管理亚马逊库存!A:R,18,0),"")</f>
        <v>0</v>
      </c>
      <c r="F362">
        <f t="shared" si="11"/>
        <v>0</v>
      </c>
      <c r="G362">
        <f>IFERROR(VLOOKUP(A362,预留库存!A:G,7,0),0)</f>
        <v>0</v>
      </c>
      <c r="H362">
        <f>IFERROR(VLOOKUP(A362,预留库存!A:H,8,0),0)</f>
        <v>0</v>
      </c>
      <c r="I362">
        <f>IFERROR(VLOOKUP(A362,预留库存!A:F,6,0),0)</f>
        <v>0</v>
      </c>
      <c r="J362">
        <f>IFERROR(VLOOKUP(A362,库龄!B:K,9,0),0)</f>
        <v>0</v>
      </c>
      <c r="K362">
        <f>IFERROR(VLOOKUP(A362,库龄!B:L,10,0),0)</f>
        <v>0</v>
      </c>
      <c r="L362">
        <f>IFERROR(VLOOKUP(A362,库龄!B:M,11,0),0)</f>
        <v>0</v>
      </c>
      <c r="M362">
        <f>IFERROR(VLOOKUP(A362,库龄!B:N,12,0),0)</f>
        <v>0</v>
      </c>
      <c r="N362">
        <f t="shared" si="12"/>
        <v>0</v>
      </c>
    </row>
    <row r="363" spans="1:14">
      <c r="A363" s="3" t="s">
        <v>887</v>
      </c>
      <c r="B363">
        <f>IFERROR(VLOOKUP(A363,管理亚马逊库存!A:K,11,0),"")</f>
        <v>0</v>
      </c>
      <c r="C363">
        <f>IFERROR(VLOOKUP(A363,管理亚马逊库存!A:L,12,0),"")</f>
        <v>0</v>
      </c>
      <c r="D363">
        <f>IFERROR(VLOOKUP(A363,管理亚马逊库存!A:Q,17,0),"")</f>
        <v>0</v>
      </c>
      <c r="E363">
        <f>IFERROR(VLOOKUP(A363,管理亚马逊库存!A:R,18,0),"")</f>
        <v>0</v>
      </c>
      <c r="F363">
        <f t="shared" si="11"/>
        <v>0</v>
      </c>
      <c r="G363">
        <f>IFERROR(VLOOKUP(A363,预留库存!A:G,7,0),0)</f>
        <v>0</v>
      </c>
      <c r="H363">
        <f>IFERROR(VLOOKUP(A363,预留库存!A:H,8,0),0)</f>
        <v>0</v>
      </c>
      <c r="I363">
        <f>IFERROR(VLOOKUP(A363,预留库存!A:F,6,0),0)</f>
        <v>0</v>
      </c>
      <c r="J363">
        <f>IFERROR(VLOOKUP(A363,库龄!B:K,9,0),0)</f>
        <v>0</v>
      </c>
      <c r="K363">
        <f>IFERROR(VLOOKUP(A363,库龄!B:L,10,0),0)</f>
        <v>0</v>
      </c>
      <c r="L363">
        <f>IFERROR(VLOOKUP(A363,库龄!B:M,11,0),0)</f>
        <v>0</v>
      </c>
      <c r="M363">
        <f>IFERROR(VLOOKUP(A363,库龄!B:N,12,0),0)</f>
        <v>0</v>
      </c>
      <c r="N363">
        <f t="shared" si="12"/>
        <v>0</v>
      </c>
    </row>
    <row r="364" spans="1:14">
      <c r="A364" s="3" t="s">
        <v>890</v>
      </c>
      <c r="B364">
        <f>IFERROR(VLOOKUP(A364,管理亚马逊库存!A:K,11,0),"")</f>
        <v>0</v>
      </c>
      <c r="C364">
        <f>IFERROR(VLOOKUP(A364,管理亚马逊库存!A:L,12,0),"")</f>
        <v>0</v>
      </c>
      <c r="D364">
        <f>IFERROR(VLOOKUP(A364,管理亚马逊库存!A:Q,17,0),"")</f>
        <v>0</v>
      </c>
      <c r="E364">
        <f>IFERROR(VLOOKUP(A364,管理亚马逊库存!A:R,18,0),"")</f>
        <v>0</v>
      </c>
      <c r="F364">
        <f t="shared" si="11"/>
        <v>0</v>
      </c>
      <c r="G364">
        <f>IFERROR(VLOOKUP(A364,预留库存!A:G,7,0),0)</f>
        <v>0</v>
      </c>
      <c r="H364">
        <f>IFERROR(VLOOKUP(A364,预留库存!A:H,8,0),0)</f>
        <v>0</v>
      </c>
      <c r="I364">
        <f>IFERROR(VLOOKUP(A364,预留库存!A:F,6,0),0)</f>
        <v>0</v>
      </c>
      <c r="J364">
        <f>IFERROR(VLOOKUP(A364,库龄!B:K,9,0),0)</f>
        <v>0</v>
      </c>
      <c r="K364">
        <f>IFERROR(VLOOKUP(A364,库龄!B:L,10,0),0)</f>
        <v>0</v>
      </c>
      <c r="L364">
        <f>IFERROR(VLOOKUP(A364,库龄!B:M,11,0),0)</f>
        <v>0</v>
      </c>
      <c r="M364">
        <f>IFERROR(VLOOKUP(A364,库龄!B:N,12,0),0)</f>
        <v>0</v>
      </c>
      <c r="N364">
        <f t="shared" si="12"/>
        <v>0</v>
      </c>
    </row>
    <row r="365" spans="1:14">
      <c r="A365" s="3" t="s">
        <v>893</v>
      </c>
      <c r="B365">
        <f>IFERROR(VLOOKUP(A365,管理亚马逊库存!A:K,11,0),"")</f>
        <v>0</v>
      </c>
      <c r="C365">
        <f>IFERROR(VLOOKUP(A365,管理亚马逊库存!A:L,12,0),"")</f>
        <v>0</v>
      </c>
      <c r="D365">
        <f>IFERROR(VLOOKUP(A365,管理亚马逊库存!A:Q,17,0),"")</f>
        <v>0</v>
      </c>
      <c r="E365">
        <f>IFERROR(VLOOKUP(A365,管理亚马逊库存!A:R,18,0),"")</f>
        <v>0</v>
      </c>
      <c r="F365">
        <f t="shared" si="11"/>
        <v>0</v>
      </c>
      <c r="G365">
        <f>IFERROR(VLOOKUP(A365,预留库存!A:G,7,0),0)</f>
        <v>0</v>
      </c>
      <c r="H365">
        <f>IFERROR(VLOOKUP(A365,预留库存!A:H,8,0),0)</f>
        <v>0</v>
      </c>
      <c r="I365">
        <f>IFERROR(VLOOKUP(A365,预留库存!A:F,6,0),0)</f>
        <v>0</v>
      </c>
      <c r="J365">
        <f>IFERROR(VLOOKUP(A365,库龄!B:K,9,0),0)</f>
        <v>0</v>
      </c>
      <c r="K365">
        <f>IFERROR(VLOOKUP(A365,库龄!B:L,10,0),0)</f>
        <v>0</v>
      </c>
      <c r="L365">
        <f>IFERROR(VLOOKUP(A365,库龄!B:M,11,0),0)</f>
        <v>0</v>
      </c>
      <c r="M365">
        <f>IFERROR(VLOOKUP(A365,库龄!B:N,12,0),0)</f>
        <v>0</v>
      </c>
      <c r="N365">
        <f t="shared" si="12"/>
        <v>0</v>
      </c>
    </row>
    <row r="366" spans="1:14">
      <c r="A366" s="3" t="s">
        <v>896</v>
      </c>
      <c r="B366">
        <f>IFERROR(VLOOKUP(A366,管理亚马逊库存!A:K,11,0),"")</f>
        <v>0</v>
      </c>
      <c r="C366">
        <f>IFERROR(VLOOKUP(A366,管理亚马逊库存!A:L,12,0),"")</f>
        <v>0</v>
      </c>
      <c r="D366">
        <f>IFERROR(VLOOKUP(A366,管理亚马逊库存!A:Q,17,0),"")</f>
        <v>0</v>
      </c>
      <c r="E366">
        <f>IFERROR(VLOOKUP(A366,管理亚马逊库存!A:R,18,0),"")</f>
        <v>0</v>
      </c>
      <c r="F366">
        <f t="shared" si="11"/>
        <v>0</v>
      </c>
      <c r="G366">
        <f>IFERROR(VLOOKUP(A366,预留库存!A:G,7,0),0)</f>
        <v>0</v>
      </c>
      <c r="H366">
        <f>IFERROR(VLOOKUP(A366,预留库存!A:H,8,0),0)</f>
        <v>0</v>
      </c>
      <c r="I366">
        <f>IFERROR(VLOOKUP(A366,预留库存!A:F,6,0),0)</f>
        <v>0</v>
      </c>
      <c r="J366">
        <f>IFERROR(VLOOKUP(A366,库龄!B:K,9,0),0)</f>
        <v>0</v>
      </c>
      <c r="K366">
        <f>IFERROR(VLOOKUP(A366,库龄!B:L,10,0),0)</f>
        <v>0</v>
      </c>
      <c r="L366">
        <f>IFERROR(VLOOKUP(A366,库龄!B:M,11,0),0)</f>
        <v>0</v>
      </c>
      <c r="M366">
        <f>IFERROR(VLOOKUP(A366,库龄!B:N,12,0),0)</f>
        <v>0</v>
      </c>
      <c r="N366">
        <f t="shared" si="12"/>
        <v>0</v>
      </c>
    </row>
    <row r="367" spans="1:14">
      <c r="A367" s="3" t="s">
        <v>899</v>
      </c>
      <c r="B367">
        <f>IFERROR(VLOOKUP(A367,管理亚马逊库存!A:K,11,0),"")</f>
        <v>0</v>
      </c>
      <c r="C367">
        <f>IFERROR(VLOOKUP(A367,管理亚马逊库存!A:L,12,0),"")</f>
        <v>0</v>
      </c>
      <c r="D367">
        <f>IFERROR(VLOOKUP(A367,管理亚马逊库存!A:Q,17,0),"")</f>
        <v>0</v>
      </c>
      <c r="E367">
        <f>IFERROR(VLOOKUP(A367,管理亚马逊库存!A:R,18,0),"")</f>
        <v>0</v>
      </c>
      <c r="F367">
        <f t="shared" si="11"/>
        <v>0</v>
      </c>
      <c r="G367">
        <f>IFERROR(VLOOKUP(A367,预留库存!A:G,7,0),0)</f>
        <v>0</v>
      </c>
      <c r="H367">
        <f>IFERROR(VLOOKUP(A367,预留库存!A:H,8,0),0)</f>
        <v>0</v>
      </c>
      <c r="I367">
        <f>IFERROR(VLOOKUP(A367,预留库存!A:F,6,0),0)</f>
        <v>0</v>
      </c>
      <c r="J367">
        <f>IFERROR(VLOOKUP(A367,库龄!B:K,9,0),0)</f>
        <v>0</v>
      </c>
      <c r="K367">
        <f>IFERROR(VLOOKUP(A367,库龄!B:L,10,0),0)</f>
        <v>0</v>
      </c>
      <c r="L367">
        <f>IFERROR(VLOOKUP(A367,库龄!B:M,11,0),0)</f>
        <v>0</v>
      </c>
      <c r="M367">
        <f>IFERROR(VLOOKUP(A367,库龄!B:N,12,0),0)</f>
        <v>0</v>
      </c>
      <c r="N367">
        <f t="shared" si="12"/>
        <v>0</v>
      </c>
    </row>
    <row r="368" spans="1:14">
      <c r="A368" s="3" t="s">
        <v>902</v>
      </c>
      <c r="B368">
        <f>IFERROR(VLOOKUP(A368,管理亚马逊库存!A:K,11,0),"")</f>
        <v>0</v>
      </c>
      <c r="C368">
        <f>IFERROR(VLOOKUP(A368,管理亚马逊库存!A:L,12,0),"")</f>
        <v>0</v>
      </c>
      <c r="D368">
        <f>IFERROR(VLOOKUP(A368,管理亚马逊库存!A:Q,17,0),"")</f>
        <v>0</v>
      </c>
      <c r="E368">
        <f>IFERROR(VLOOKUP(A368,管理亚马逊库存!A:R,18,0),"")</f>
        <v>0</v>
      </c>
      <c r="F368">
        <f t="shared" si="11"/>
        <v>0</v>
      </c>
      <c r="G368">
        <f>IFERROR(VLOOKUP(A368,预留库存!A:G,7,0),0)</f>
        <v>0</v>
      </c>
      <c r="H368">
        <f>IFERROR(VLOOKUP(A368,预留库存!A:H,8,0),0)</f>
        <v>0</v>
      </c>
      <c r="I368">
        <f>IFERROR(VLOOKUP(A368,预留库存!A:F,6,0),0)</f>
        <v>0</v>
      </c>
      <c r="J368">
        <f>IFERROR(VLOOKUP(A368,库龄!B:K,9,0),0)</f>
        <v>0</v>
      </c>
      <c r="K368">
        <f>IFERROR(VLOOKUP(A368,库龄!B:L,10,0),0)</f>
        <v>0</v>
      </c>
      <c r="L368">
        <f>IFERROR(VLOOKUP(A368,库龄!B:M,11,0),0)</f>
        <v>0</v>
      </c>
      <c r="M368">
        <f>IFERROR(VLOOKUP(A368,库龄!B:N,12,0),0)</f>
        <v>0</v>
      </c>
      <c r="N368">
        <f t="shared" si="12"/>
        <v>0</v>
      </c>
    </row>
    <row r="369" spans="1:14">
      <c r="A369" s="3" t="s">
        <v>905</v>
      </c>
      <c r="B369">
        <f>IFERROR(VLOOKUP(A369,管理亚马逊库存!A:K,11,0),"")</f>
        <v>0</v>
      </c>
      <c r="C369">
        <f>IFERROR(VLOOKUP(A369,管理亚马逊库存!A:L,12,0),"")</f>
        <v>0</v>
      </c>
      <c r="D369">
        <f>IFERROR(VLOOKUP(A369,管理亚马逊库存!A:Q,17,0),"")</f>
        <v>0</v>
      </c>
      <c r="E369">
        <f>IFERROR(VLOOKUP(A369,管理亚马逊库存!A:R,18,0),"")</f>
        <v>0</v>
      </c>
      <c r="F369">
        <f t="shared" si="11"/>
        <v>0</v>
      </c>
      <c r="G369">
        <f>IFERROR(VLOOKUP(A369,预留库存!A:G,7,0),0)</f>
        <v>0</v>
      </c>
      <c r="H369">
        <f>IFERROR(VLOOKUP(A369,预留库存!A:H,8,0),0)</f>
        <v>0</v>
      </c>
      <c r="I369">
        <f>IFERROR(VLOOKUP(A369,预留库存!A:F,6,0),0)</f>
        <v>0</v>
      </c>
      <c r="J369">
        <f>IFERROR(VLOOKUP(A369,库龄!B:K,9,0),0)</f>
        <v>0</v>
      </c>
      <c r="K369">
        <f>IFERROR(VLOOKUP(A369,库龄!B:L,10,0),0)</f>
        <v>0</v>
      </c>
      <c r="L369">
        <f>IFERROR(VLOOKUP(A369,库龄!B:M,11,0),0)</f>
        <v>0</v>
      </c>
      <c r="M369">
        <f>IFERROR(VLOOKUP(A369,库龄!B:N,12,0),0)</f>
        <v>0</v>
      </c>
      <c r="N369">
        <f t="shared" si="12"/>
        <v>0</v>
      </c>
    </row>
    <row r="370" spans="1:14">
      <c r="A370" s="3" t="s">
        <v>908</v>
      </c>
      <c r="B370">
        <f>IFERROR(VLOOKUP(A370,管理亚马逊库存!A:K,11,0),"")</f>
        <v>0</v>
      </c>
      <c r="C370">
        <f>IFERROR(VLOOKUP(A370,管理亚马逊库存!A:L,12,0),"")</f>
        <v>0</v>
      </c>
      <c r="D370">
        <f>IFERROR(VLOOKUP(A370,管理亚马逊库存!A:Q,17,0),"")</f>
        <v>0</v>
      </c>
      <c r="E370">
        <f>IFERROR(VLOOKUP(A370,管理亚马逊库存!A:R,18,0),"")</f>
        <v>0</v>
      </c>
      <c r="F370">
        <f t="shared" si="11"/>
        <v>0</v>
      </c>
      <c r="G370">
        <f>IFERROR(VLOOKUP(A370,预留库存!A:G,7,0),0)</f>
        <v>0</v>
      </c>
      <c r="H370">
        <f>IFERROR(VLOOKUP(A370,预留库存!A:H,8,0),0)</f>
        <v>0</v>
      </c>
      <c r="I370">
        <f>IFERROR(VLOOKUP(A370,预留库存!A:F,6,0),0)</f>
        <v>0</v>
      </c>
      <c r="J370">
        <f>IFERROR(VLOOKUP(A370,库龄!B:K,9,0),0)</f>
        <v>0</v>
      </c>
      <c r="K370">
        <f>IFERROR(VLOOKUP(A370,库龄!B:L,10,0),0)</f>
        <v>0</v>
      </c>
      <c r="L370">
        <f>IFERROR(VLOOKUP(A370,库龄!B:M,11,0),0)</f>
        <v>0</v>
      </c>
      <c r="M370">
        <f>IFERROR(VLOOKUP(A370,库龄!B:N,12,0),0)</f>
        <v>0</v>
      </c>
      <c r="N370">
        <f t="shared" si="12"/>
        <v>0</v>
      </c>
    </row>
    <row r="371" spans="1:14">
      <c r="A371" s="3" t="s">
        <v>911</v>
      </c>
      <c r="B371">
        <f>IFERROR(VLOOKUP(A371,管理亚马逊库存!A:K,11,0),"")</f>
        <v>0</v>
      </c>
      <c r="C371">
        <f>IFERROR(VLOOKUP(A371,管理亚马逊库存!A:L,12,0),"")</f>
        <v>0</v>
      </c>
      <c r="D371">
        <f>IFERROR(VLOOKUP(A371,管理亚马逊库存!A:Q,17,0),"")</f>
        <v>0</v>
      </c>
      <c r="E371">
        <f>IFERROR(VLOOKUP(A371,管理亚马逊库存!A:R,18,0),"")</f>
        <v>0</v>
      </c>
      <c r="F371">
        <f t="shared" si="11"/>
        <v>0</v>
      </c>
      <c r="G371">
        <f>IFERROR(VLOOKUP(A371,预留库存!A:G,7,0),0)</f>
        <v>0</v>
      </c>
      <c r="H371">
        <f>IFERROR(VLOOKUP(A371,预留库存!A:H,8,0),0)</f>
        <v>0</v>
      </c>
      <c r="I371">
        <f>IFERROR(VLOOKUP(A371,预留库存!A:F,6,0),0)</f>
        <v>0</v>
      </c>
      <c r="J371">
        <f>IFERROR(VLOOKUP(A371,库龄!B:K,9,0),0)</f>
        <v>0</v>
      </c>
      <c r="K371">
        <f>IFERROR(VLOOKUP(A371,库龄!B:L,10,0),0)</f>
        <v>0</v>
      </c>
      <c r="L371">
        <f>IFERROR(VLOOKUP(A371,库龄!B:M,11,0),0)</f>
        <v>0</v>
      </c>
      <c r="M371">
        <f>IFERROR(VLOOKUP(A371,库龄!B:N,12,0),0)</f>
        <v>0</v>
      </c>
      <c r="N371">
        <f t="shared" si="12"/>
        <v>0</v>
      </c>
    </row>
    <row r="372" spans="1:14">
      <c r="A372" s="3" t="s">
        <v>914</v>
      </c>
      <c r="B372">
        <f>IFERROR(VLOOKUP(A372,管理亚马逊库存!A:K,11,0),"")</f>
        <v>0</v>
      </c>
      <c r="C372">
        <f>IFERROR(VLOOKUP(A372,管理亚马逊库存!A:L,12,0),"")</f>
        <v>0</v>
      </c>
      <c r="D372">
        <f>IFERROR(VLOOKUP(A372,管理亚马逊库存!A:Q,17,0),"")</f>
        <v>0</v>
      </c>
      <c r="E372">
        <f>IFERROR(VLOOKUP(A372,管理亚马逊库存!A:R,18,0),"")</f>
        <v>0</v>
      </c>
      <c r="F372">
        <f t="shared" si="11"/>
        <v>0</v>
      </c>
      <c r="G372">
        <f>IFERROR(VLOOKUP(A372,预留库存!A:G,7,0),0)</f>
        <v>0</v>
      </c>
      <c r="H372">
        <f>IFERROR(VLOOKUP(A372,预留库存!A:H,8,0),0)</f>
        <v>0</v>
      </c>
      <c r="I372">
        <f>IFERROR(VLOOKUP(A372,预留库存!A:F,6,0),0)</f>
        <v>0</v>
      </c>
      <c r="J372">
        <f>IFERROR(VLOOKUP(A372,库龄!B:K,9,0),0)</f>
        <v>0</v>
      </c>
      <c r="K372">
        <f>IFERROR(VLOOKUP(A372,库龄!B:L,10,0),0)</f>
        <v>0</v>
      </c>
      <c r="L372">
        <f>IFERROR(VLOOKUP(A372,库龄!B:M,11,0),0)</f>
        <v>0</v>
      </c>
      <c r="M372">
        <f>IFERROR(VLOOKUP(A372,库龄!B:N,12,0),0)</f>
        <v>0</v>
      </c>
      <c r="N372">
        <f t="shared" si="12"/>
        <v>0</v>
      </c>
    </row>
    <row r="373" spans="1:14">
      <c r="A373" s="3" t="s">
        <v>917</v>
      </c>
      <c r="B373">
        <f>IFERROR(VLOOKUP(A373,管理亚马逊库存!A:K,11,0),"")</f>
        <v>0</v>
      </c>
      <c r="C373">
        <f>IFERROR(VLOOKUP(A373,管理亚马逊库存!A:L,12,0),"")</f>
        <v>0</v>
      </c>
      <c r="D373">
        <f>IFERROR(VLOOKUP(A373,管理亚马逊库存!A:Q,17,0),"")</f>
        <v>0</v>
      </c>
      <c r="E373">
        <f>IFERROR(VLOOKUP(A373,管理亚马逊库存!A:R,18,0),"")</f>
        <v>0</v>
      </c>
      <c r="F373">
        <f t="shared" si="11"/>
        <v>0</v>
      </c>
      <c r="G373">
        <f>IFERROR(VLOOKUP(A373,预留库存!A:G,7,0),0)</f>
        <v>0</v>
      </c>
      <c r="H373">
        <f>IFERROR(VLOOKUP(A373,预留库存!A:H,8,0),0)</f>
        <v>0</v>
      </c>
      <c r="I373">
        <f>IFERROR(VLOOKUP(A373,预留库存!A:F,6,0),0)</f>
        <v>0</v>
      </c>
      <c r="J373">
        <f>IFERROR(VLOOKUP(A373,库龄!B:K,9,0),0)</f>
        <v>0</v>
      </c>
      <c r="K373">
        <f>IFERROR(VLOOKUP(A373,库龄!B:L,10,0),0)</f>
        <v>0</v>
      </c>
      <c r="L373">
        <f>IFERROR(VLOOKUP(A373,库龄!B:M,11,0),0)</f>
        <v>0</v>
      </c>
      <c r="M373">
        <f>IFERROR(VLOOKUP(A373,库龄!B:N,12,0),0)</f>
        <v>0</v>
      </c>
      <c r="N373">
        <f t="shared" si="12"/>
        <v>0</v>
      </c>
    </row>
    <row r="374" spans="1:14">
      <c r="A374" s="3" t="s">
        <v>920</v>
      </c>
      <c r="B374">
        <f>IFERROR(VLOOKUP(A374,管理亚马逊库存!A:K,11,0),"")</f>
        <v>0</v>
      </c>
      <c r="C374">
        <f>IFERROR(VLOOKUP(A374,管理亚马逊库存!A:L,12,0),"")</f>
        <v>0</v>
      </c>
      <c r="D374">
        <f>IFERROR(VLOOKUP(A374,管理亚马逊库存!A:Q,17,0),"")</f>
        <v>0</v>
      </c>
      <c r="E374">
        <f>IFERROR(VLOOKUP(A374,管理亚马逊库存!A:R,18,0),"")</f>
        <v>0</v>
      </c>
      <c r="F374">
        <f t="shared" si="11"/>
        <v>0</v>
      </c>
      <c r="G374">
        <f>IFERROR(VLOOKUP(A374,预留库存!A:G,7,0),0)</f>
        <v>0</v>
      </c>
      <c r="H374">
        <f>IFERROR(VLOOKUP(A374,预留库存!A:H,8,0),0)</f>
        <v>0</v>
      </c>
      <c r="I374">
        <f>IFERROR(VLOOKUP(A374,预留库存!A:F,6,0),0)</f>
        <v>0</v>
      </c>
      <c r="J374">
        <f>IFERROR(VLOOKUP(A374,库龄!B:K,9,0),0)</f>
        <v>0</v>
      </c>
      <c r="K374">
        <f>IFERROR(VLOOKUP(A374,库龄!B:L,10,0),0)</f>
        <v>0</v>
      </c>
      <c r="L374">
        <f>IFERROR(VLOOKUP(A374,库龄!B:M,11,0),0)</f>
        <v>0</v>
      </c>
      <c r="M374">
        <f>IFERROR(VLOOKUP(A374,库龄!B:N,12,0),0)</f>
        <v>0</v>
      </c>
      <c r="N374">
        <f t="shared" si="12"/>
        <v>0</v>
      </c>
    </row>
    <row r="375" spans="1:14">
      <c r="A375" s="3" t="s">
        <v>923</v>
      </c>
      <c r="B375">
        <f>IFERROR(VLOOKUP(A375,管理亚马逊库存!A:K,11,0),"")</f>
        <v>0</v>
      </c>
      <c r="C375">
        <f>IFERROR(VLOOKUP(A375,管理亚马逊库存!A:L,12,0),"")</f>
        <v>0</v>
      </c>
      <c r="D375">
        <f>IFERROR(VLOOKUP(A375,管理亚马逊库存!A:Q,17,0),"")</f>
        <v>0</v>
      </c>
      <c r="E375">
        <f>IFERROR(VLOOKUP(A375,管理亚马逊库存!A:R,18,0),"")</f>
        <v>0</v>
      </c>
      <c r="F375">
        <f t="shared" si="11"/>
        <v>0</v>
      </c>
      <c r="G375">
        <f>IFERROR(VLOOKUP(A375,预留库存!A:G,7,0),0)</f>
        <v>0</v>
      </c>
      <c r="H375">
        <f>IFERROR(VLOOKUP(A375,预留库存!A:H,8,0),0)</f>
        <v>0</v>
      </c>
      <c r="I375">
        <f>IFERROR(VLOOKUP(A375,预留库存!A:F,6,0),0)</f>
        <v>0</v>
      </c>
      <c r="J375">
        <f>IFERROR(VLOOKUP(A375,库龄!B:K,9,0),0)</f>
        <v>0</v>
      </c>
      <c r="K375">
        <f>IFERROR(VLOOKUP(A375,库龄!B:L,10,0),0)</f>
        <v>0</v>
      </c>
      <c r="L375">
        <f>IFERROR(VLOOKUP(A375,库龄!B:M,11,0),0)</f>
        <v>0</v>
      </c>
      <c r="M375">
        <f>IFERROR(VLOOKUP(A375,库龄!B:N,12,0),0)</f>
        <v>0</v>
      </c>
      <c r="N375">
        <f t="shared" si="12"/>
        <v>0</v>
      </c>
    </row>
    <row r="376" spans="1:14">
      <c r="A376" s="3" t="s">
        <v>926</v>
      </c>
      <c r="B376">
        <f>IFERROR(VLOOKUP(A376,管理亚马逊库存!A:K,11,0),"")</f>
        <v>0</v>
      </c>
      <c r="C376">
        <f>IFERROR(VLOOKUP(A376,管理亚马逊库存!A:L,12,0),"")</f>
        <v>0</v>
      </c>
      <c r="D376">
        <f>IFERROR(VLOOKUP(A376,管理亚马逊库存!A:Q,17,0),"")</f>
        <v>0</v>
      </c>
      <c r="E376">
        <f>IFERROR(VLOOKUP(A376,管理亚马逊库存!A:R,18,0),"")</f>
        <v>0</v>
      </c>
      <c r="F376">
        <f t="shared" si="11"/>
        <v>0</v>
      </c>
      <c r="G376">
        <f>IFERROR(VLOOKUP(A376,预留库存!A:G,7,0),0)</f>
        <v>0</v>
      </c>
      <c r="H376">
        <f>IFERROR(VLOOKUP(A376,预留库存!A:H,8,0),0)</f>
        <v>0</v>
      </c>
      <c r="I376">
        <f>IFERROR(VLOOKUP(A376,预留库存!A:F,6,0),0)</f>
        <v>0</v>
      </c>
      <c r="J376">
        <f>IFERROR(VLOOKUP(A376,库龄!B:K,9,0),0)</f>
        <v>0</v>
      </c>
      <c r="K376">
        <f>IFERROR(VLOOKUP(A376,库龄!B:L,10,0),0)</f>
        <v>0</v>
      </c>
      <c r="L376">
        <f>IFERROR(VLOOKUP(A376,库龄!B:M,11,0),0)</f>
        <v>0</v>
      </c>
      <c r="M376">
        <f>IFERROR(VLOOKUP(A376,库龄!B:N,12,0),0)</f>
        <v>0</v>
      </c>
      <c r="N376">
        <f t="shared" si="12"/>
        <v>0</v>
      </c>
    </row>
    <row r="377" spans="1:14">
      <c r="A377" s="3" t="s">
        <v>929</v>
      </c>
      <c r="B377">
        <f>IFERROR(VLOOKUP(A377,管理亚马逊库存!A:K,11,0),"")</f>
        <v>0</v>
      </c>
      <c r="C377">
        <f>IFERROR(VLOOKUP(A377,管理亚马逊库存!A:L,12,0),"")</f>
        <v>0</v>
      </c>
      <c r="D377">
        <f>IFERROR(VLOOKUP(A377,管理亚马逊库存!A:Q,17,0),"")</f>
        <v>0</v>
      </c>
      <c r="E377">
        <f>IFERROR(VLOOKUP(A377,管理亚马逊库存!A:R,18,0),"")</f>
        <v>0</v>
      </c>
      <c r="F377">
        <f t="shared" si="11"/>
        <v>0</v>
      </c>
      <c r="G377">
        <f>IFERROR(VLOOKUP(A377,预留库存!A:G,7,0),0)</f>
        <v>0</v>
      </c>
      <c r="H377">
        <f>IFERROR(VLOOKUP(A377,预留库存!A:H,8,0),0)</f>
        <v>0</v>
      </c>
      <c r="I377">
        <f>IFERROR(VLOOKUP(A377,预留库存!A:F,6,0),0)</f>
        <v>0</v>
      </c>
      <c r="J377">
        <f>IFERROR(VLOOKUP(A377,库龄!B:K,9,0),0)</f>
        <v>0</v>
      </c>
      <c r="K377">
        <f>IFERROR(VLOOKUP(A377,库龄!B:L,10,0),0)</f>
        <v>0</v>
      </c>
      <c r="L377">
        <f>IFERROR(VLOOKUP(A377,库龄!B:M,11,0),0)</f>
        <v>0</v>
      </c>
      <c r="M377">
        <f>IFERROR(VLOOKUP(A377,库龄!B:N,12,0),0)</f>
        <v>0</v>
      </c>
      <c r="N377">
        <f t="shared" si="12"/>
        <v>0</v>
      </c>
    </row>
    <row r="378" spans="1:14">
      <c r="A378" s="3" t="s">
        <v>932</v>
      </c>
      <c r="B378">
        <f>IFERROR(VLOOKUP(A378,管理亚马逊库存!A:K,11,0),"")</f>
        <v>0</v>
      </c>
      <c r="C378">
        <f>IFERROR(VLOOKUP(A378,管理亚马逊库存!A:L,12,0),"")</f>
        <v>0</v>
      </c>
      <c r="D378">
        <f>IFERROR(VLOOKUP(A378,管理亚马逊库存!A:Q,17,0),"")</f>
        <v>0</v>
      </c>
      <c r="E378">
        <f>IFERROR(VLOOKUP(A378,管理亚马逊库存!A:R,18,0),"")</f>
        <v>0</v>
      </c>
      <c r="F378">
        <f t="shared" si="11"/>
        <v>0</v>
      </c>
      <c r="G378">
        <f>IFERROR(VLOOKUP(A378,预留库存!A:G,7,0),0)</f>
        <v>0</v>
      </c>
      <c r="H378">
        <f>IFERROR(VLOOKUP(A378,预留库存!A:H,8,0),0)</f>
        <v>0</v>
      </c>
      <c r="I378">
        <f>IFERROR(VLOOKUP(A378,预留库存!A:F,6,0),0)</f>
        <v>0</v>
      </c>
      <c r="J378">
        <f>IFERROR(VLOOKUP(A378,库龄!B:K,9,0),0)</f>
        <v>0</v>
      </c>
      <c r="K378">
        <f>IFERROR(VLOOKUP(A378,库龄!B:L,10,0),0)</f>
        <v>0</v>
      </c>
      <c r="L378">
        <f>IFERROR(VLOOKUP(A378,库龄!B:M,11,0),0)</f>
        <v>0</v>
      </c>
      <c r="M378">
        <f>IFERROR(VLOOKUP(A378,库龄!B:N,12,0),0)</f>
        <v>0</v>
      </c>
      <c r="N378">
        <f t="shared" si="12"/>
        <v>0</v>
      </c>
    </row>
    <row r="379" spans="1:14">
      <c r="A379" s="3" t="s">
        <v>935</v>
      </c>
      <c r="B379">
        <f>IFERROR(VLOOKUP(A379,管理亚马逊库存!A:K,11,0),"")</f>
        <v>0</v>
      </c>
      <c r="C379">
        <f>IFERROR(VLOOKUP(A379,管理亚马逊库存!A:L,12,0),"")</f>
        <v>0</v>
      </c>
      <c r="D379">
        <f>IFERROR(VLOOKUP(A379,管理亚马逊库存!A:Q,17,0),"")</f>
        <v>0</v>
      </c>
      <c r="E379">
        <f>IFERROR(VLOOKUP(A379,管理亚马逊库存!A:R,18,0),"")</f>
        <v>0</v>
      </c>
      <c r="F379">
        <f t="shared" si="11"/>
        <v>0</v>
      </c>
      <c r="G379">
        <f>IFERROR(VLOOKUP(A379,预留库存!A:G,7,0),0)</f>
        <v>0</v>
      </c>
      <c r="H379">
        <f>IFERROR(VLOOKUP(A379,预留库存!A:H,8,0),0)</f>
        <v>0</v>
      </c>
      <c r="I379">
        <f>IFERROR(VLOOKUP(A379,预留库存!A:F,6,0),0)</f>
        <v>0</v>
      </c>
      <c r="J379">
        <f>IFERROR(VLOOKUP(A379,库龄!B:K,9,0),0)</f>
        <v>0</v>
      </c>
      <c r="K379">
        <f>IFERROR(VLOOKUP(A379,库龄!B:L,10,0),0)</f>
        <v>0</v>
      </c>
      <c r="L379">
        <f>IFERROR(VLOOKUP(A379,库龄!B:M,11,0),0)</f>
        <v>0</v>
      </c>
      <c r="M379">
        <f>IFERROR(VLOOKUP(A379,库龄!B:N,12,0),0)</f>
        <v>0</v>
      </c>
      <c r="N379">
        <f t="shared" si="12"/>
        <v>0</v>
      </c>
    </row>
    <row r="380" spans="1:14">
      <c r="A380" s="3" t="s">
        <v>938</v>
      </c>
      <c r="B380">
        <f>IFERROR(VLOOKUP(A380,管理亚马逊库存!A:K,11,0),"")</f>
        <v>0</v>
      </c>
      <c r="C380">
        <f>IFERROR(VLOOKUP(A380,管理亚马逊库存!A:L,12,0),"")</f>
        <v>0</v>
      </c>
      <c r="D380">
        <f>IFERROR(VLOOKUP(A380,管理亚马逊库存!A:Q,17,0),"")</f>
        <v>0</v>
      </c>
      <c r="E380">
        <f>IFERROR(VLOOKUP(A380,管理亚马逊库存!A:R,18,0),"")</f>
        <v>0</v>
      </c>
      <c r="F380">
        <f t="shared" si="11"/>
        <v>0</v>
      </c>
      <c r="G380">
        <f>IFERROR(VLOOKUP(A380,预留库存!A:G,7,0),0)</f>
        <v>0</v>
      </c>
      <c r="H380">
        <f>IFERROR(VLOOKUP(A380,预留库存!A:H,8,0),0)</f>
        <v>0</v>
      </c>
      <c r="I380">
        <f>IFERROR(VLOOKUP(A380,预留库存!A:F,6,0),0)</f>
        <v>0</v>
      </c>
      <c r="J380">
        <f>IFERROR(VLOOKUP(A380,库龄!B:K,9,0),0)</f>
        <v>0</v>
      </c>
      <c r="K380">
        <f>IFERROR(VLOOKUP(A380,库龄!B:L,10,0),0)</f>
        <v>0</v>
      </c>
      <c r="L380">
        <f>IFERROR(VLOOKUP(A380,库龄!B:M,11,0),0)</f>
        <v>0</v>
      </c>
      <c r="M380">
        <f>IFERROR(VLOOKUP(A380,库龄!B:N,12,0),0)</f>
        <v>0</v>
      </c>
      <c r="N380">
        <f t="shared" si="12"/>
        <v>0</v>
      </c>
    </row>
    <row r="381" spans="1:14">
      <c r="A381" s="3" t="s">
        <v>941</v>
      </c>
      <c r="B381">
        <f>IFERROR(VLOOKUP(A381,管理亚马逊库存!A:K,11,0),"")</f>
        <v>0</v>
      </c>
      <c r="C381">
        <f>IFERROR(VLOOKUP(A381,管理亚马逊库存!A:L,12,0),"")</f>
        <v>0</v>
      </c>
      <c r="D381">
        <f>IFERROR(VLOOKUP(A381,管理亚马逊库存!A:Q,17,0),"")</f>
        <v>0</v>
      </c>
      <c r="E381">
        <f>IFERROR(VLOOKUP(A381,管理亚马逊库存!A:R,18,0),"")</f>
        <v>0</v>
      </c>
      <c r="F381">
        <f t="shared" si="11"/>
        <v>0</v>
      </c>
      <c r="G381">
        <f>IFERROR(VLOOKUP(A381,预留库存!A:G,7,0),0)</f>
        <v>0</v>
      </c>
      <c r="H381">
        <f>IFERROR(VLOOKUP(A381,预留库存!A:H,8,0),0)</f>
        <v>0</v>
      </c>
      <c r="I381">
        <f>IFERROR(VLOOKUP(A381,预留库存!A:F,6,0),0)</f>
        <v>0</v>
      </c>
      <c r="J381">
        <f>IFERROR(VLOOKUP(A381,库龄!B:K,9,0),0)</f>
        <v>0</v>
      </c>
      <c r="K381">
        <f>IFERROR(VLOOKUP(A381,库龄!B:L,10,0),0)</f>
        <v>0</v>
      </c>
      <c r="L381">
        <f>IFERROR(VLOOKUP(A381,库龄!B:M,11,0),0)</f>
        <v>0</v>
      </c>
      <c r="M381">
        <f>IFERROR(VLOOKUP(A381,库龄!B:N,12,0),0)</f>
        <v>0</v>
      </c>
      <c r="N381">
        <f t="shared" si="12"/>
        <v>0</v>
      </c>
    </row>
    <row r="382" spans="1:14">
      <c r="A382" s="3" t="s">
        <v>944</v>
      </c>
      <c r="B382">
        <f>IFERROR(VLOOKUP(A382,管理亚马逊库存!A:K,11,0),"")</f>
        <v>0</v>
      </c>
      <c r="C382">
        <f>IFERROR(VLOOKUP(A382,管理亚马逊库存!A:L,12,0),"")</f>
        <v>0</v>
      </c>
      <c r="D382">
        <f>IFERROR(VLOOKUP(A382,管理亚马逊库存!A:Q,17,0),"")</f>
        <v>0</v>
      </c>
      <c r="E382">
        <f>IFERROR(VLOOKUP(A382,管理亚马逊库存!A:R,18,0),"")</f>
        <v>0</v>
      </c>
      <c r="F382">
        <f t="shared" si="11"/>
        <v>0</v>
      </c>
      <c r="G382">
        <f>IFERROR(VLOOKUP(A382,预留库存!A:G,7,0),0)</f>
        <v>0</v>
      </c>
      <c r="H382">
        <f>IFERROR(VLOOKUP(A382,预留库存!A:H,8,0),0)</f>
        <v>0</v>
      </c>
      <c r="I382">
        <f>IFERROR(VLOOKUP(A382,预留库存!A:F,6,0),0)</f>
        <v>0</v>
      </c>
      <c r="J382">
        <f>IFERROR(VLOOKUP(A382,库龄!B:K,9,0),0)</f>
        <v>0</v>
      </c>
      <c r="K382">
        <f>IFERROR(VLOOKUP(A382,库龄!B:L,10,0),0)</f>
        <v>0</v>
      </c>
      <c r="L382">
        <f>IFERROR(VLOOKUP(A382,库龄!B:M,11,0),0)</f>
        <v>0</v>
      </c>
      <c r="M382">
        <f>IFERROR(VLOOKUP(A382,库龄!B:N,12,0),0)</f>
        <v>0</v>
      </c>
      <c r="N382">
        <f t="shared" si="12"/>
        <v>0</v>
      </c>
    </row>
    <row r="383" spans="1:14">
      <c r="A383" s="3" t="s">
        <v>947</v>
      </c>
      <c r="B383">
        <f>IFERROR(VLOOKUP(A383,管理亚马逊库存!A:K,11,0),"")</f>
        <v>0</v>
      </c>
      <c r="C383">
        <f>IFERROR(VLOOKUP(A383,管理亚马逊库存!A:L,12,0),"")</f>
        <v>0</v>
      </c>
      <c r="D383">
        <f>IFERROR(VLOOKUP(A383,管理亚马逊库存!A:Q,17,0),"")</f>
        <v>0</v>
      </c>
      <c r="E383">
        <f>IFERROR(VLOOKUP(A383,管理亚马逊库存!A:R,18,0),"")</f>
        <v>0</v>
      </c>
      <c r="F383">
        <f t="shared" si="11"/>
        <v>0</v>
      </c>
      <c r="G383">
        <f>IFERROR(VLOOKUP(A383,预留库存!A:G,7,0),0)</f>
        <v>0</v>
      </c>
      <c r="H383">
        <f>IFERROR(VLOOKUP(A383,预留库存!A:H,8,0),0)</f>
        <v>0</v>
      </c>
      <c r="I383">
        <f>IFERROR(VLOOKUP(A383,预留库存!A:F,6,0),0)</f>
        <v>0</v>
      </c>
      <c r="J383">
        <f>IFERROR(VLOOKUP(A383,库龄!B:K,9,0),0)</f>
        <v>0</v>
      </c>
      <c r="K383">
        <f>IFERROR(VLOOKUP(A383,库龄!B:L,10,0),0)</f>
        <v>0</v>
      </c>
      <c r="L383">
        <f>IFERROR(VLOOKUP(A383,库龄!B:M,11,0),0)</f>
        <v>0</v>
      </c>
      <c r="M383">
        <f>IFERROR(VLOOKUP(A383,库龄!B:N,12,0),0)</f>
        <v>0</v>
      </c>
      <c r="N383">
        <f t="shared" si="12"/>
        <v>0</v>
      </c>
    </row>
    <row r="384" spans="1:14">
      <c r="A384" s="3" t="s">
        <v>950</v>
      </c>
      <c r="B384">
        <f>IFERROR(VLOOKUP(A384,管理亚马逊库存!A:K,11,0),"")</f>
        <v>0</v>
      </c>
      <c r="C384">
        <f>IFERROR(VLOOKUP(A384,管理亚马逊库存!A:L,12,0),"")</f>
        <v>0</v>
      </c>
      <c r="D384">
        <f>IFERROR(VLOOKUP(A384,管理亚马逊库存!A:Q,17,0),"")</f>
        <v>0</v>
      </c>
      <c r="E384">
        <f>IFERROR(VLOOKUP(A384,管理亚马逊库存!A:R,18,0),"")</f>
        <v>0</v>
      </c>
      <c r="F384">
        <f t="shared" si="11"/>
        <v>0</v>
      </c>
      <c r="G384">
        <f>IFERROR(VLOOKUP(A384,预留库存!A:G,7,0),0)</f>
        <v>0</v>
      </c>
      <c r="H384">
        <f>IFERROR(VLOOKUP(A384,预留库存!A:H,8,0),0)</f>
        <v>0</v>
      </c>
      <c r="I384">
        <f>IFERROR(VLOOKUP(A384,预留库存!A:F,6,0),0)</f>
        <v>0</v>
      </c>
      <c r="J384">
        <f>IFERROR(VLOOKUP(A384,库龄!B:K,9,0),0)</f>
        <v>0</v>
      </c>
      <c r="K384">
        <f>IFERROR(VLOOKUP(A384,库龄!B:L,10,0),0)</f>
        <v>0</v>
      </c>
      <c r="L384">
        <f>IFERROR(VLOOKUP(A384,库龄!B:M,11,0),0)</f>
        <v>0</v>
      </c>
      <c r="M384">
        <f>IFERROR(VLOOKUP(A384,库龄!B:N,12,0),0)</f>
        <v>0</v>
      </c>
      <c r="N384">
        <f t="shared" si="12"/>
        <v>0</v>
      </c>
    </row>
    <row r="385" spans="1:14">
      <c r="A385" s="3" t="s">
        <v>953</v>
      </c>
      <c r="B385">
        <f>IFERROR(VLOOKUP(A385,管理亚马逊库存!A:K,11,0),"")</f>
        <v>0</v>
      </c>
      <c r="C385">
        <f>IFERROR(VLOOKUP(A385,管理亚马逊库存!A:L,12,0),"")</f>
        <v>0</v>
      </c>
      <c r="D385">
        <f>IFERROR(VLOOKUP(A385,管理亚马逊库存!A:Q,17,0),"")</f>
        <v>0</v>
      </c>
      <c r="E385">
        <f>IFERROR(VLOOKUP(A385,管理亚马逊库存!A:R,18,0),"")</f>
        <v>0</v>
      </c>
      <c r="F385">
        <f t="shared" si="11"/>
        <v>0</v>
      </c>
      <c r="G385">
        <f>IFERROR(VLOOKUP(A385,预留库存!A:G,7,0),0)</f>
        <v>0</v>
      </c>
      <c r="H385">
        <f>IFERROR(VLOOKUP(A385,预留库存!A:H,8,0),0)</f>
        <v>0</v>
      </c>
      <c r="I385">
        <f>IFERROR(VLOOKUP(A385,预留库存!A:F,6,0),0)</f>
        <v>0</v>
      </c>
      <c r="J385">
        <f>IFERROR(VLOOKUP(A385,库龄!B:K,9,0),0)</f>
        <v>0</v>
      </c>
      <c r="K385">
        <f>IFERROR(VLOOKUP(A385,库龄!B:L,10,0),0)</f>
        <v>0</v>
      </c>
      <c r="L385">
        <f>IFERROR(VLOOKUP(A385,库龄!B:M,11,0),0)</f>
        <v>0</v>
      </c>
      <c r="M385">
        <f>IFERROR(VLOOKUP(A385,库龄!B:N,12,0),0)</f>
        <v>0</v>
      </c>
      <c r="N385">
        <f t="shared" si="12"/>
        <v>0</v>
      </c>
    </row>
    <row r="386" spans="1:14">
      <c r="A386" s="3" t="s">
        <v>956</v>
      </c>
      <c r="B386">
        <f>IFERROR(VLOOKUP(A386,管理亚马逊库存!A:K,11,0),"")</f>
        <v>0</v>
      </c>
      <c r="C386">
        <f>IFERROR(VLOOKUP(A386,管理亚马逊库存!A:L,12,0),"")</f>
        <v>0</v>
      </c>
      <c r="D386">
        <f>IFERROR(VLOOKUP(A386,管理亚马逊库存!A:Q,17,0),"")</f>
        <v>0</v>
      </c>
      <c r="E386">
        <f>IFERROR(VLOOKUP(A386,管理亚马逊库存!A:R,18,0),"")</f>
        <v>0</v>
      </c>
      <c r="F386">
        <f t="shared" si="11"/>
        <v>0</v>
      </c>
      <c r="G386">
        <f>IFERROR(VLOOKUP(A386,预留库存!A:G,7,0),0)</f>
        <v>0</v>
      </c>
      <c r="H386">
        <f>IFERROR(VLOOKUP(A386,预留库存!A:H,8,0),0)</f>
        <v>0</v>
      </c>
      <c r="I386">
        <f>IFERROR(VLOOKUP(A386,预留库存!A:F,6,0),0)</f>
        <v>0</v>
      </c>
      <c r="J386">
        <f>IFERROR(VLOOKUP(A386,库龄!B:K,9,0),0)</f>
        <v>0</v>
      </c>
      <c r="K386">
        <f>IFERROR(VLOOKUP(A386,库龄!B:L,10,0),0)</f>
        <v>0</v>
      </c>
      <c r="L386">
        <f>IFERROR(VLOOKUP(A386,库龄!B:M,11,0),0)</f>
        <v>0</v>
      </c>
      <c r="M386">
        <f>IFERROR(VLOOKUP(A386,库龄!B:N,12,0),0)</f>
        <v>0</v>
      </c>
      <c r="N386">
        <f t="shared" si="12"/>
        <v>0</v>
      </c>
    </row>
    <row r="387" spans="1:14">
      <c r="A387" s="3" t="s">
        <v>959</v>
      </c>
      <c r="B387">
        <f>IFERROR(VLOOKUP(A387,管理亚马逊库存!A:K,11,0),"")</f>
        <v>0</v>
      </c>
      <c r="C387">
        <f>IFERROR(VLOOKUP(A387,管理亚马逊库存!A:L,12,0),"")</f>
        <v>0</v>
      </c>
      <c r="D387">
        <f>IFERROR(VLOOKUP(A387,管理亚马逊库存!A:Q,17,0),"")</f>
        <v>0</v>
      </c>
      <c r="E387">
        <f>IFERROR(VLOOKUP(A387,管理亚马逊库存!A:R,18,0),"")</f>
        <v>0</v>
      </c>
      <c r="F387">
        <f t="shared" ref="F387:F450" si="13">SUM(D387:E387)</f>
        <v>0</v>
      </c>
      <c r="G387">
        <f>IFERROR(VLOOKUP(A387,预留库存!A:G,7,0),0)</f>
        <v>0</v>
      </c>
      <c r="H387">
        <f>IFERROR(VLOOKUP(A387,预留库存!A:H,8,0),0)</f>
        <v>0</v>
      </c>
      <c r="I387">
        <f>IFERROR(VLOOKUP(A387,预留库存!A:F,6,0),0)</f>
        <v>0</v>
      </c>
      <c r="J387">
        <f>IFERROR(VLOOKUP(A387,库龄!B:K,9,0),0)</f>
        <v>0</v>
      </c>
      <c r="K387">
        <f>IFERROR(VLOOKUP(A387,库龄!B:L,10,0),0)</f>
        <v>0</v>
      </c>
      <c r="L387">
        <f>IFERROR(VLOOKUP(A387,库龄!B:M,11,0),0)</f>
        <v>0</v>
      </c>
      <c r="M387">
        <f>IFERROR(VLOOKUP(A387,库龄!B:N,12,0),0)</f>
        <v>0</v>
      </c>
      <c r="N387">
        <f t="shared" ref="N387:N450" si="14">SUM(J387:M387)</f>
        <v>0</v>
      </c>
    </row>
    <row r="388" spans="1:14">
      <c r="A388" s="3" t="s">
        <v>962</v>
      </c>
      <c r="B388">
        <f>IFERROR(VLOOKUP(A388,管理亚马逊库存!A:K,11,0),"")</f>
        <v>0</v>
      </c>
      <c r="C388">
        <f>IFERROR(VLOOKUP(A388,管理亚马逊库存!A:L,12,0),"")</f>
        <v>0</v>
      </c>
      <c r="D388">
        <f>IFERROR(VLOOKUP(A388,管理亚马逊库存!A:Q,17,0),"")</f>
        <v>0</v>
      </c>
      <c r="E388">
        <f>IFERROR(VLOOKUP(A388,管理亚马逊库存!A:R,18,0),"")</f>
        <v>0</v>
      </c>
      <c r="F388">
        <f t="shared" si="13"/>
        <v>0</v>
      </c>
      <c r="G388">
        <f>IFERROR(VLOOKUP(A388,预留库存!A:G,7,0),0)</f>
        <v>0</v>
      </c>
      <c r="H388">
        <f>IFERROR(VLOOKUP(A388,预留库存!A:H,8,0),0)</f>
        <v>0</v>
      </c>
      <c r="I388">
        <f>IFERROR(VLOOKUP(A388,预留库存!A:F,6,0),0)</f>
        <v>0</v>
      </c>
      <c r="J388">
        <f>IFERROR(VLOOKUP(A388,库龄!B:K,9,0),0)</f>
        <v>0</v>
      </c>
      <c r="K388">
        <f>IFERROR(VLOOKUP(A388,库龄!B:L,10,0),0)</f>
        <v>0</v>
      </c>
      <c r="L388">
        <f>IFERROR(VLOOKUP(A388,库龄!B:M,11,0),0)</f>
        <v>0</v>
      </c>
      <c r="M388">
        <f>IFERROR(VLOOKUP(A388,库龄!B:N,12,0),0)</f>
        <v>0</v>
      </c>
      <c r="N388">
        <f t="shared" si="14"/>
        <v>0</v>
      </c>
    </row>
    <row r="389" spans="1:14">
      <c r="A389" s="3" t="s">
        <v>965</v>
      </c>
      <c r="B389">
        <f>IFERROR(VLOOKUP(A389,管理亚马逊库存!A:K,11,0),"")</f>
        <v>0</v>
      </c>
      <c r="C389">
        <f>IFERROR(VLOOKUP(A389,管理亚马逊库存!A:L,12,0),"")</f>
        <v>0</v>
      </c>
      <c r="D389">
        <f>IFERROR(VLOOKUP(A389,管理亚马逊库存!A:Q,17,0),"")</f>
        <v>0</v>
      </c>
      <c r="E389">
        <f>IFERROR(VLOOKUP(A389,管理亚马逊库存!A:R,18,0),"")</f>
        <v>0</v>
      </c>
      <c r="F389">
        <f t="shared" si="13"/>
        <v>0</v>
      </c>
      <c r="G389">
        <f>IFERROR(VLOOKUP(A389,预留库存!A:G,7,0),0)</f>
        <v>0</v>
      </c>
      <c r="H389">
        <f>IFERROR(VLOOKUP(A389,预留库存!A:H,8,0),0)</f>
        <v>0</v>
      </c>
      <c r="I389">
        <f>IFERROR(VLOOKUP(A389,预留库存!A:F,6,0),0)</f>
        <v>0</v>
      </c>
      <c r="J389">
        <f>IFERROR(VLOOKUP(A389,库龄!B:K,9,0),0)</f>
        <v>0</v>
      </c>
      <c r="K389">
        <f>IFERROR(VLOOKUP(A389,库龄!B:L,10,0),0)</f>
        <v>0</v>
      </c>
      <c r="L389">
        <f>IFERROR(VLOOKUP(A389,库龄!B:M,11,0),0)</f>
        <v>0</v>
      </c>
      <c r="M389">
        <f>IFERROR(VLOOKUP(A389,库龄!B:N,12,0),0)</f>
        <v>0</v>
      </c>
      <c r="N389">
        <f t="shared" si="14"/>
        <v>0</v>
      </c>
    </row>
    <row r="390" spans="1:14">
      <c r="A390" s="3" t="s">
        <v>968</v>
      </c>
      <c r="B390">
        <f>IFERROR(VLOOKUP(A390,管理亚马逊库存!A:K,11,0),"")</f>
        <v>0</v>
      </c>
      <c r="C390">
        <f>IFERROR(VLOOKUP(A390,管理亚马逊库存!A:L,12,0),"")</f>
        <v>0</v>
      </c>
      <c r="D390">
        <f>IFERROR(VLOOKUP(A390,管理亚马逊库存!A:Q,17,0),"")</f>
        <v>0</v>
      </c>
      <c r="E390">
        <f>IFERROR(VLOOKUP(A390,管理亚马逊库存!A:R,18,0),"")</f>
        <v>0</v>
      </c>
      <c r="F390">
        <f t="shared" si="13"/>
        <v>0</v>
      </c>
      <c r="G390">
        <f>IFERROR(VLOOKUP(A390,预留库存!A:G,7,0),0)</f>
        <v>0</v>
      </c>
      <c r="H390">
        <f>IFERROR(VLOOKUP(A390,预留库存!A:H,8,0),0)</f>
        <v>0</v>
      </c>
      <c r="I390">
        <f>IFERROR(VLOOKUP(A390,预留库存!A:F,6,0),0)</f>
        <v>0</v>
      </c>
      <c r="J390">
        <f>IFERROR(VLOOKUP(A390,库龄!B:K,9,0),0)</f>
        <v>0</v>
      </c>
      <c r="K390">
        <f>IFERROR(VLOOKUP(A390,库龄!B:L,10,0),0)</f>
        <v>0</v>
      </c>
      <c r="L390">
        <f>IFERROR(VLOOKUP(A390,库龄!B:M,11,0),0)</f>
        <v>0</v>
      </c>
      <c r="M390">
        <f>IFERROR(VLOOKUP(A390,库龄!B:N,12,0),0)</f>
        <v>0</v>
      </c>
      <c r="N390">
        <f t="shared" si="14"/>
        <v>0</v>
      </c>
    </row>
    <row r="391" spans="1:14">
      <c r="A391" s="3" t="s">
        <v>971</v>
      </c>
      <c r="B391">
        <f>IFERROR(VLOOKUP(A391,管理亚马逊库存!A:K,11,0),"")</f>
        <v>0</v>
      </c>
      <c r="C391">
        <f>IFERROR(VLOOKUP(A391,管理亚马逊库存!A:L,12,0),"")</f>
        <v>0</v>
      </c>
      <c r="D391">
        <f>IFERROR(VLOOKUP(A391,管理亚马逊库存!A:Q,17,0),"")</f>
        <v>0</v>
      </c>
      <c r="E391">
        <f>IFERROR(VLOOKUP(A391,管理亚马逊库存!A:R,18,0),"")</f>
        <v>0</v>
      </c>
      <c r="F391">
        <f t="shared" si="13"/>
        <v>0</v>
      </c>
      <c r="G391">
        <f>IFERROR(VLOOKUP(A391,预留库存!A:G,7,0),0)</f>
        <v>0</v>
      </c>
      <c r="H391">
        <f>IFERROR(VLOOKUP(A391,预留库存!A:H,8,0),0)</f>
        <v>0</v>
      </c>
      <c r="I391">
        <f>IFERROR(VLOOKUP(A391,预留库存!A:F,6,0),0)</f>
        <v>0</v>
      </c>
      <c r="J391">
        <f>IFERROR(VLOOKUP(A391,库龄!B:K,9,0),0)</f>
        <v>0</v>
      </c>
      <c r="K391">
        <f>IFERROR(VLOOKUP(A391,库龄!B:L,10,0),0)</f>
        <v>0</v>
      </c>
      <c r="L391">
        <f>IFERROR(VLOOKUP(A391,库龄!B:M,11,0),0)</f>
        <v>0</v>
      </c>
      <c r="M391">
        <f>IFERROR(VLOOKUP(A391,库龄!B:N,12,0),0)</f>
        <v>0</v>
      </c>
      <c r="N391">
        <f t="shared" si="14"/>
        <v>0</v>
      </c>
    </row>
    <row r="392" spans="1:14">
      <c r="A392" s="3" t="s">
        <v>974</v>
      </c>
      <c r="B392">
        <f>IFERROR(VLOOKUP(A392,管理亚马逊库存!A:K,11,0),"")</f>
        <v>0</v>
      </c>
      <c r="C392">
        <f>IFERROR(VLOOKUP(A392,管理亚马逊库存!A:L,12,0),"")</f>
        <v>0</v>
      </c>
      <c r="D392">
        <f>IFERROR(VLOOKUP(A392,管理亚马逊库存!A:Q,17,0),"")</f>
        <v>0</v>
      </c>
      <c r="E392">
        <f>IFERROR(VLOOKUP(A392,管理亚马逊库存!A:R,18,0),"")</f>
        <v>0</v>
      </c>
      <c r="F392">
        <f t="shared" si="13"/>
        <v>0</v>
      </c>
      <c r="G392">
        <f>IFERROR(VLOOKUP(A392,预留库存!A:G,7,0),0)</f>
        <v>0</v>
      </c>
      <c r="H392">
        <f>IFERROR(VLOOKUP(A392,预留库存!A:H,8,0),0)</f>
        <v>0</v>
      </c>
      <c r="I392">
        <f>IFERROR(VLOOKUP(A392,预留库存!A:F,6,0),0)</f>
        <v>0</v>
      </c>
      <c r="J392">
        <f>IFERROR(VLOOKUP(A392,库龄!B:K,9,0),0)</f>
        <v>0</v>
      </c>
      <c r="K392">
        <f>IFERROR(VLOOKUP(A392,库龄!B:L,10,0),0)</f>
        <v>0</v>
      </c>
      <c r="L392">
        <f>IFERROR(VLOOKUP(A392,库龄!B:M,11,0),0)</f>
        <v>0</v>
      </c>
      <c r="M392">
        <f>IFERROR(VLOOKUP(A392,库龄!B:N,12,0),0)</f>
        <v>0</v>
      </c>
      <c r="N392">
        <f t="shared" si="14"/>
        <v>0</v>
      </c>
    </row>
    <row r="393" spans="1:14">
      <c r="A393" s="3" t="s">
        <v>977</v>
      </c>
      <c r="B393">
        <f>IFERROR(VLOOKUP(A393,管理亚马逊库存!A:K,11,0),"")</f>
        <v>0</v>
      </c>
      <c r="C393">
        <f>IFERROR(VLOOKUP(A393,管理亚马逊库存!A:L,12,0),"")</f>
        <v>0</v>
      </c>
      <c r="D393">
        <f>IFERROR(VLOOKUP(A393,管理亚马逊库存!A:Q,17,0),"")</f>
        <v>0</v>
      </c>
      <c r="E393">
        <f>IFERROR(VLOOKUP(A393,管理亚马逊库存!A:R,18,0),"")</f>
        <v>0</v>
      </c>
      <c r="F393">
        <f t="shared" si="13"/>
        <v>0</v>
      </c>
      <c r="G393">
        <f>IFERROR(VLOOKUP(A393,预留库存!A:G,7,0),0)</f>
        <v>0</v>
      </c>
      <c r="H393">
        <f>IFERROR(VLOOKUP(A393,预留库存!A:H,8,0),0)</f>
        <v>0</v>
      </c>
      <c r="I393">
        <f>IFERROR(VLOOKUP(A393,预留库存!A:F,6,0),0)</f>
        <v>0</v>
      </c>
      <c r="J393">
        <f>IFERROR(VLOOKUP(A393,库龄!B:K,9,0),0)</f>
        <v>0</v>
      </c>
      <c r="K393">
        <f>IFERROR(VLOOKUP(A393,库龄!B:L,10,0),0)</f>
        <v>0</v>
      </c>
      <c r="L393">
        <f>IFERROR(VLOOKUP(A393,库龄!B:M,11,0),0)</f>
        <v>0</v>
      </c>
      <c r="M393">
        <f>IFERROR(VLOOKUP(A393,库龄!B:N,12,0),0)</f>
        <v>0</v>
      </c>
      <c r="N393">
        <f t="shared" si="14"/>
        <v>0</v>
      </c>
    </row>
    <row r="394" spans="1:14">
      <c r="A394" s="3" t="s">
        <v>980</v>
      </c>
      <c r="B394">
        <f>IFERROR(VLOOKUP(A394,管理亚马逊库存!A:K,11,0),"")</f>
        <v>0</v>
      </c>
      <c r="C394">
        <f>IFERROR(VLOOKUP(A394,管理亚马逊库存!A:L,12,0),"")</f>
        <v>0</v>
      </c>
      <c r="D394">
        <f>IFERROR(VLOOKUP(A394,管理亚马逊库存!A:Q,17,0),"")</f>
        <v>0</v>
      </c>
      <c r="E394">
        <f>IFERROR(VLOOKUP(A394,管理亚马逊库存!A:R,18,0),"")</f>
        <v>0</v>
      </c>
      <c r="F394">
        <f t="shared" si="13"/>
        <v>0</v>
      </c>
      <c r="G394">
        <f>IFERROR(VLOOKUP(A394,预留库存!A:G,7,0),0)</f>
        <v>0</v>
      </c>
      <c r="H394">
        <f>IFERROR(VLOOKUP(A394,预留库存!A:H,8,0),0)</f>
        <v>0</v>
      </c>
      <c r="I394">
        <f>IFERROR(VLOOKUP(A394,预留库存!A:F,6,0),0)</f>
        <v>0</v>
      </c>
      <c r="J394">
        <f>IFERROR(VLOOKUP(A394,库龄!B:K,9,0),0)</f>
        <v>0</v>
      </c>
      <c r="K394">
        <f>IFERROR(VLOOKUP(A394,库龄!B:L,10,0),0)</f>
        <v>0</v>
      </c>
      <c r="L394">
        <f>IFERROR(VLOOKUP(A394,库龄!B:M,11,0),0)</f>
        <v>0</v>
      </c>
      <c r="M394">
        <f>IFERROR(VLOOKUP(A394,库龄!B:N,12,0),0)</f>
        <v>0</v>
      </c>
      <c r="N394">
        <f t="shared" si="14"/>
        <v>0</v>
      </c>
    </row>
    <row r="395" spans="1:14">
      <c r="A395" s="3" t="s">
        <v>983</v>
      </c>
      <c r="B395">
        <f>IFERROR(VLOOKUP(A395,管理亚马逊库存!A:K,11,0),"")</f>
        <v>0</v>
      </c>
      <c r="C395">
        <f>IFERROR(VLOOKUP(A395,管理亚马逊库存!A:L,12,0),"")</f>
        <v>0</v>
      </c>
      <c r="D395">
        <f>IFERROR(VLOOKUP(A395,管理亚马逊库存!A:Q,17,0),"")</f>
        <v>0</v>
      </c>
      <c r="E395">
        <f>IFERROR(VLOOKUP(A395,管理亚马逊库存!A:R,18,0),"")</f>
        <v>0</v>
      </c>
      <c r="F395">
        <f t="shared" si="13"/>
        <v>0</v>
      </c>
      <c r="G395">
        <f>IFERROR(VLOOKUP(A395,预留库存!A:G,7,0),0)</f>
        <v>0</v>
      </c>
      <c r="H395">
        <f>IFERROR(VLOOKUP(A395,预留库存!A:H,8,0),0)</f>
        <v>0</v>
      </c>
      <c r="I395">
        <f>IFERROR(VLOOKUP(A395,预留库存!A:F,6,0),0)</f>
        <v>0</v>
      </c>
      <c r="J395">
        <f>IFERROR(VLOOKUP(A395,库龄!B:K,9,0),0)</f>
        <v>0</v>
      </c>
      <c r="K395">
        <f>IFERROR(VLOOKUP(A395,库龄!B:L,10,0),0)</f>
        <v>0</v>
      </c>
      <c r="L395">
        <f>IFERROR(VLOOKUP(A395,库龄!B:M,11,0),0)</f>
        <v>0</v>
      </c>
      <c r="M395">
        <f>IFERROR(VLOOKUP(A395,库龄!B:N,12,0),0)</f>
        <v>0</v>
      </c>
      <c r="N395">
        <f t="shared" si="14"/>
        <v>0</v>
      </c>
    </row>
    <row r="396" spans="1:14">
      <c r="A396" s="3" t="s">
        <v>986</v>
      </c>
      <c r="B396">
        <f>IFERROR(VLOOKUP(A396,管理亚马逊库存!A:K,11,0),"")</f>
        <v>0</v>
      </c>
      <c r="C396">
        <f>IFERROR(VLOOKUP(A396,管理亚马逊库存!A:L,12,0),"")</f>
        <v>0</v>
      </c>
      <c r="D396">
        <f>IFERROR(VLOOKUP(A396,管理亚马逊库存!A:Q,17,0),"")</f>
        <v>0</v>
      </c>
      <c r="E396">
        <f>IFERROR(VLOOKUP(A396,管理亚马逊库存!A:R,18,0),"")</f>
        <v>0</v>
      </c>
      <c r="F396">
        <f t="shared" si="13"/>
        <v>0</v>
      </c>
      <c r="G396">
        <f>IFERROR(VLOOKUP(A396,预留库存!A:G,7,0),0)</f>
        <v>0</v>
      </c>
      <c r="H396">
        <f>IFERROR(VLOOKUP(A396,预留库存!A:H,8,0),0)</f>
        <v>0</v>
      </c>
      <c r="I396">
        <f>IFERROR(VLOOKUP(A396,预留库存!A:F,6,0),0)</f>
        <v>0</v>
      </c>
      <c r="J396">
        <f>IFERROR(VLOOKUP(A396,库龄!B:K,9,0),0)</f>
        <v>0</v>
      </c>
      <c r="K396">
        <f>IFERROR(VLOOKUP(A396,库龄!B:L,10,0),0)</f>
        <v>0</v>
      </c>
      <c r="L396">
        <f>IFERROR(VLOOKUP(A396,库龄!B:M,11,0),0)</f>
        <v>0</v>
      </c>
      <c r="M396">
        <f>IFERROR(VLOOKUP(A396,库龄!B:N,12,0),0)</f>
        <v>0</v>
      </c>
      <c r="N396">
        <f t="shared" si="14"/>
        <v>0</v>
      </c>
    </row>
    <row r="397" spans="1:14">
      <c r="A397" s="3" t="s">
        <v>989</v>
      </c>
      <c r="B397">
        <f>IFERROR(VLOOKUP(A397,管理亚马逊库存!A:K,11,0),"")</f>
        <v>0</v>
      </c>
      <c r="C397">
        <f>IFERROR(VLOOKUP(A397,管理亚马逊库存!A:L,12,0),"")</f>
        <v>0</v>
      </c>
      <c r="D397">
        <f>IFERROR(VLOOKUP(A397,管理亚马逊库存!A:Q,17,0),"")</f>
        <v>0</v>
      </c>
      <c r="E397">
        <f>IFERROR(VLOOKUP(A397,管理亚马逊库存!A:R,18,0),"")</f>
        <v>0</v>
      </c>
      <c r="F397">
        <f t="shared" si="13"/>
        <v>0</v>
      </c>
      <c r="G397">
        <f>IFERROR(VLOOKUP(A397,预留库存!A:G,7,0),0)</f>
        <v>0</v>
      </c>
      <c r="H397">
        <f>IFERROR(VLOOKUP(A397,预留库存!A:H,8,0),0)</f>
        <v>0</v>
      </c>
      <c r="I397">
        <f>IFERROR(VLOOKUP(A397,预留库存!A:F,6,0),0)</f>
        <v>0</v>
      </c>
      <c r="J397">
        <f>IFERROR(VLOOKUP(A397,库龄!B:K,9,0),0)</f>
        <v>0</v>
      </c>
      <c r="K397">
        <f>IFERROR(VLOOKUP(A397,库龄!B:L,10,0),0)</f>
        <v>0</v>
      </c>
      <c r="L397">
        <f>IFERROR(VLOOKUP(A397,库龄!B:M,11,0),0)</f>
        <v>0</v>
      </c>
      <c r="M397">
        <f>IFERROR(VLOOKUP(A397,库龄!B:N,12,0),0)</f>
        <v>0</v>
      </c>
      <c r="N397">
        <f t="shared" si="14"/>
        <v>0</v>
      </c>
    </row>
    <row r="398" spans="1:14">
      <c r="A398" s="3" t="s">
        <v>992</v>
      </c>
      <c r="B398">
        <f>IFERROR(VLOOKUP(A398,管理亚马逊库存!A:K,11,0),"")</f>
        <v>0</v>
      </c>
      <c r="C398">
        <f>IFERROR(VLOOKUP(A398,管理亚马逊库存!A:L,12,0),"")</f>
        <v>0</v>
      </c>
      <c r="D398">
        <f>IFERROR(VLOOKUP(A398,管理亚马逊库存!A:Q,17,0),"")</f>
        <v>0</v>
      </c>
      <c r="E398">
        <f>IFERROR(VLOOKUP(A398,管理亚马逊库存!A:R,18,0),"")</f>
        <v>0</v>
      </c>
      <c r="F398">
        <f t="shared" si="13"/>
        <v>0</v>
      </c>
      <c r="G398">
        <f>IFERROR(VLOOKUP(A398,预留库存!A:G,7,0),0)</f>
        <v>0</v>
      </c>
      <c r="H398">
        <f>IFERROR(VLOOKUP(A398,预留库存!A:H,8,0),0)</f>
        <v>0</v>
      </c>
      <c r="I398">
        <f>IFERROR(VLOOKUP(A398,预留库存!A:F,6,0),0)</f>
        <v>0</v>
      </c>
      <c r="J398">
        <f>IFERROR(VLOOKUP(A398,库龄!B:K,9,0),0)</f>
        <v>0</v>
      </c>
      <c r="K398">
        <f>IFERROR(VLOOKUP(A398,库龄!B:L,10,0),0)</f>
        <v>0</v>
      </c>
      <c r="L398">
        <f>IFERROR(VLOOKUP(A398,库龄!B:M,11,0),0)</f>
        <v>0</v>
      </c>
      <c r="M398">
        <f>IFERROR(VLOOKUP(A398,库龄!B:N,12,0),0)</f>
        <v>0</v>
      </c>
      <c r="N398">
        <f t="shared" si="14"/>
        <v>0</v>
      </c>
    </row>
    <row r="399" spans="1:14">
      <c r="A399" s="3" t="s">
        <v>995</v>
      </c>
      <c r="B399">
        <f>IFERROR(VLOOKUP(A399,管理亚马逊库存!A:K,11,0),"")</f>
        <v>0</v>
      </c>
      <c r="C399">
        <f>IFERROR(VLOOKUP(A399,管理亚马逊库存!A:L,12,0),"")</f>
        <v>0</v>
      </c>
      <c r="D399">
        <f>IFERROR(VLOOKUP(A399,管理亚马逊库存!A:Q,17,0),"")</f>
        <v>0</v>
      </c>
      <c r="E399">
        <f>IFERROR(VLOOKUP(A399,管理亚马逊库存!A:R,18,0),"")</f>
        <v>0</v>
      </c>
      <c r="F399">
        <f t="shared" si="13"/>
        <v>0</v>
      </c>
      <c r="G399">
        <f>IFERROR(VLOOKUP(A399,预留库存!A:G,7,0),0)</f>
        <v>0</v>
      </c>
      <c r="H399">
        <f>IFERROR(VLOOKUP(A399,预留库存!A:H,8,0),0)</f>
        <v>0</v>
      </c>
      <c r="I399">
        <f>IFERROR(VLOOKUP(A399,预留库存!A:F,6,0),0)</f>
        <v>0</v>
      </c>
      <c r="J399">
        <f>IFERROR(VLOOKUP(A399,库龄!B:K,9,0),0)</f>
        <v>0</v>
      </c>
      <c r="K399">
        <f>IFERROR(VLOOKUP(A399,库龄!B:L,10,0),0)</f>
        <v>0</v>
      </c>
      <c r="L399">
        <f>IFERROR(VLOOKUP(A399,库龄!B:M,11,0),0)</f>
        <v>0</v>
      </c>
      <c r="M399">
        <f>IFERROR(VLOOKUP(A399,库龄!B:N,12,0),0)</f>
        <v>0</v>
      </c>
      <c r="N399">
        <f t="shared" si="14"/>
        <v>0</v>
      </c>
    </row>
    <row r="400" spans="1:14">
      <c r="A400" s="3" t="s">
        <v>998</v>
      </c>
      <c r="B400">
        <f>IFERROR(VLOOKUP(A400,管理亚马逊库存!A:K,11,0),"")</f>
        <v>0</v>
      </c>
      <c r="C400">
        <f>IFERROR(VLOOKUP(A400,管理亚马逊库存!A:L,12,0),"")</f>
        <v>0</v>
      </c>
      <c r="D400">
        <f>IFERROR(VLOOKUP(A400,管理亚马逊库存!A:Q,17,0),"")</f>
        <v>0</v>
      </c>
      <c r="E400">
        <f>IFERROR(VLOOKUP(A400,管理亚马逊库存!A:R,18,0),"")</f>
        <v>0</v>
      </c>
      <c r="F400">
        <f t="shared" si="13"/>
        <v>0</v>
      </c>
      <c r="G400">
        <f>IFERROR(VLOOKUP(A400,预留库存!A:G,7,0),0)</f>
        <v>0</v>
      </c>
      <c r="H400">
        <f>IFERROR(VLOOKUP(A400,预留库存!A:H,8,0),0)</f>
        <v>0</v>
      </c>
      <c r="I400">
        <f>IFERROR(VLOOKUP(A400,预留库存!A:F,6,0),0)</f>
        <v>0</v>
      </c>
      <c r="J400">
        <f>IFERROR(VLOOKUP(A400,库龄!B:K,9,0),0)</f>
        <v>0</v>
      </c>
      <c r="K400">
        <f>IFERROR(VLOOKUP(A400,库龄!B:L,10,0),0)</f>
        <v>0</v>
      </c>
      <c r="L400">
        <f>IFERROR(VLOOKUP(A400,库龄!B:M,11,0),0)</f>
        <v>0</v>
      </c>
      <c r="M400">
        <f>IFERROR(VLOOKUP(A400,库龄!B:N,12,0),0)</f>
        <v>0</v>
      </c>
      <c r="N400">
        <f t="shared" si="14"/>
        <v>0</v>
      </c>
    </row>
    <row r="401" spans="1:14">
      <c r="A401" s="3" t="s">
        <v>1001</v>
      </c>
      <c r="B401">
        <f>IFERROR(VLOOKUP(A401,管理亚马逊库存!A:K,11,0),"")</f>
        <v>0</v>
      </c>
      <c r="C401">
        <f>IFERROR(VLOOKUP(A401,管理亚马逊库存!A:L,12,0),"")</f>
        <v>0</v>
      </c>
      <c r="D401">
        <f>IFERROR(VLOOKUP(A401,管理亚马逊库存!A:Q,17,0),"")</f>
        <v>0</v>
      </c>
      <c r="E401">
        <f>IFERROR(VLOOKUP(A401,管理亚马逊库存!A:R,18,0),"")</f>
        <v>0</v>
      </c>
      <c r="F401">
        <f t="shared" si="13"/>
        <v>0</v>
      </c>
      <c r="G401">
        <f>IFERROR(VLOOKUP(A401,预留库存!A:G,7,0),0)</f>
        <v>0</v>
      </c>
      <c r="H401">
        <f>IFERROR(VLOOKUP(A401,预留库存!A:H,8,0),0)</f>
        <v>0</v>
      </c>
      <c r="I401">
        <f>IFERROR(VLOOKUP(A401,预留库存!A:F,6,0),0)</f>
        <v>0</v>
      </c>
      <c r="J401">
        <f>IFERROR(VLOOKUP(A401,库龄!B:K,9,0),0)</f>
        <v>0</v>
      </c>
      <c r="K401">
        <f>IFERROR(VLOOKUP(A401,库龄!B:L,10,0),0)</f>
        <v>0</v>
      </c>
      <c r="L401">
        <f>IFERROR(VLOOKUP(A401,库龄!B:M,11,0),0)</f>
        <v>0</v>
      </c>
      <c r="M401">
        <f>IFERROR(VLOOKUP(A401,库龄!B:N,12,0),0)</f>
        <v>0</v>
      </c>
      <c r="N401">
        <f t="shared" si="14"/>
        <v>0</v>
      </c>
    </row>
    <row r="402" spans="1:14">
      <c r="A402" s="3" t="s">
        <v>1004</v>
      </c>
      <c r="B402">
        <f>IFERROR(VLOOKUP(A402,管理亚马逊库存!A:K,11,0),"")</f>
        <v>0</v>
      </c>
      <c r="C402">
        <f>IFERROR(VLOOKUP(A402,管理亚马逊库存!A:L,12,0),"")</f>
        <v>0</v>
      </c>
      <c r="D402">
        <f>IFERROR(VLOOKUP(A402,管理亚马逊库存!A:Q,17,0),"")</f>
        <v>0</v>
      </c>
      <c r="E402">
        <f>IFERROR(VLOOKUP(A402,管理亚马逊库存!A:R,18,0),"")</f>
        <v>0</v>
      </c>
      <c r="F402">
        <f t="shared" si="13"/>
        <v>0</v>
      </c>
      <c r="G402">
        <f>IFERROR(VLOOKUP(A402,预留库存!A:G,7,0),0)</f>
        <v>0</v>
      </c>
      <c r="H402">
        <f>IFERROR(VLOOKUP(A402,预留库存!A:H,8,0),0)</f>
        <v>0</v>
      </c>
      <c r="I402">
        <f>IFERROR(VLOOKUP(A402,预留库存!A:F,6,0),0)</f>
        <v>0</v>
      </c>
      <c r="J402">
        <f>IFERROR(VLOOKUP(A402,库龄!B:K,9,0),0)</f>
        <v>0</v>
      </c>
      <c r="K402">
        <f>IFERROR(VLOOKUP(A402,库龄!B:L,10,0),0)</f>
        <v>0</v>
      </c>
      <c r="L402">
        <f>IFERROR(VLOOKUP(A402,库龄!B:M,11,0),0)</f>
        <v>0</v>
      </c>
      <c r="M402">
        <f>IFERROR(VLOOKUP(A402,库龄!B:N,12,0),0)</f>
        <v>0</v>
      </c>
      <c r="N402">
        <f t="shared" si="14"/>
        <v>0</v>
      </c>
    </row>
    <row r="403" spans="1:14">
      <c r="A403" s="3" t="s">
        <v>1007</v>
      </c>
      <c r="B403">
        <f>IFERROR(VLOOKUP(A403,管理亚马逊库存!A:K,11,0),"")</f>
        <v>0</v>
      </c>
      <c r="C403">
        <f>IFERROR(VLOOKUP(A403,管理亚马逊库存!A:L,12,0),"")</f>
        <v>0</v>
      </c>
      <c r="D403">
        <f>IFERROR(VLOOKUP(A403,管理亚马逊库存!A:Q,17,0),"")</f>
        <v>0</v>
      </c>
      <c r="E403">
        <f>IFERROR(VLOOKUP(A403,管理亚马逊库存!A:R,18,0),"")</f>
        <v>0</v>
      </c>
      <c r="F403">
        <f t="shared" si="13"/>
        <v>0</v>
      </c>
      <c r="G403">
        <f>IFERROR(VLOOKUP(A403,预留库存!A:G,7,0),0)</f>
        <v>0</v>
      </c>
      <c r="H403">
        <f>IFERROR(VLOOKUP(A403,预留库存!A:H,8,0),0)</f>
        <v>0</v>
      </c>
      <c r="I403">
        <f>IFERROR(VLOOKUP(A403,预留库存!A:F,6,0),0)</f>
        <v>0</v>
      </c>
      <c r="J403">
        <f>IFERROR(VLOOKUP(A403,库龄!B:K,9,0),0)</f>
        <v>0</v>
      </c>
      <c r="K403">
        <f>IFERROR(VLOOKUP(A403,库龄!B:L,10,0),0)</f>
        <v>0</v>
      </c>
      <c r="L403">
        <f>IFERROR(VLOOKUP(A403,库龄!B:M,11,0),0)</f>
        <v>0</v>
      </c>
      <c r="M403">
        <f>IFERROR(VLOOKUP(A403,库龄!B:N,12,0),0)</f>
        <v>0</v>
      </c>
      <c r="N403">
        <f t="shared" si="14"/>
        <v>0</v>
      </c>
    </row>
    <row r="404" spans="1:14">
      <c r="A404" s="3" t="s">
        <v>1010</v>
      </c>
      <c r="B404">
        <f>IFERROR(VLOOKUP(A404,管理亚马逊库存!A:K,11,0),"")</f>
        <v>23</v>
      </c>
      <c r="C404">
        <f>IFERROR(VLOOKUP(A404,管理亚马逊库存!A:L,12,0),"")</f>
        <v>0</v>
      </c>
      <c r="D404">
        <f>IFERROR(VLOOKUP(A404,管理亚马逊库存!A:Q,17,0),"")</f>
        <v>0</v>
      </c>
      <c r="E404">
        <f>IFERROR(VLOOKUP(A404,管理亚马逊库存!A:R,18,0),"")</f>
        <v>0</v>
      </c>
      <c r="F404">
        <f t="shared" si="13"/>
        <v>0</v>
      </c>
      <c r="G404" t="str">
        <f>IFERROR(VLOOKUP(A404,预留库存!A:G,7,0),0)</f>
        <v>No</v>
      </c>
      <c r="H404">
        <f>IFERROR(VLOOKUP(A404,预留库存!A:H,8,0),0)</f>
        <v>0</v>
      </c>
      <c r="I404">
        <f>IFERROR(VLOOKUP(A404,预留库存!A:F,6,0),0)</f>
        <v>24.98</v>
      </c>
      <c r="J404">
        <f>IFERROR(VLOOKUP(A404,库龄!B:K,9,0),0)</f>
        <v>0</v>
      </c>
      <c r="K404">
        <f>IFERROR(VLOOKUP(A404,库龄!B:L,10,0),0)</f>
        <v>0</v>
      </c>
      <c r="L404">
        <f>IFERROR(VLOOKUP(A404,库龄!B:M,11,0),0)</f>
        <v>0</v>
      </c>
      <c r="M404">
        <f>IFERROR(VLOOKUP(A404,库龄!B:N,12,0),0)</f>
        <v>0</v>
      </c>
      <c r="N404">
        <f t="shared" si="14"/>
        <v>0</v>
      </c>
    </row>
    <row r="405" spans="1:14">
      <c r="A405" s="3" t="s">
        <v>1012</v>
      </c>
      <c r="B405">
        <f>IFERROR(VLOOKUP(A405,管理亚马逊库存!A:K,11,0),"")</f>
        <v>20</v>
      </c>
      <c r="C405">
        <f>IFERROR(VLOOKUP(A405,管理亚马逊库存!A:L,12,0),"")</f>
        <v>0</v>
      </c>
      <c r="D405">
        <f>IFERROR(VLOOKUP(A405,管理亚马逊库存!A:Q,17,0),"")</f>
        <v>0</v>
      </c>
      <c r="E405">
        <f>IFERROR(VLOOKUP(A405,管理亚马逊库存!A:R,18,0),"")</f>
        <v>0</v>
      </c>
      <c r="F405">
        <f t="shared" si="13"/>
        <v>0</v>
      </c>
      <c r="G405" t="str">
        <f>IFERROR(VLOOKUP(A405,预留库存!A:G,7,0),0)</f>
        <v>No</v>
      </c>
      <c r="H405">
        <f>IFERROR(VLOOKUP(A405,预留库存!A:H,8,0),0)</f>
        <v>0</v>
      </c>
      <c r="I405">
        <f>IFERROR(VLOOKUP(A405,预留库存!A:F,6,0),0)</f>
        <v>24.98</v>
      </c>
      <c r="J405">
        <f>IFERROR(VLOOKUP(A405,库龄!B:K,9,0),0)</f>
        <v>0</v>
      </c>
      <c r="K405">
        <f>IFERROR(VLOOKUP(A405,库龄!B:L,10,0),0)</f>
        <v>0</v>
      </c>
      <c r="L405">
        <f>IFERROR(VLOOKUP(A405,库龄!B:M,11,0),0)</f>
        <v>0</v>
      </c>
      <c r="M405">
        <f>IFERROR(VLOOKUP(A405,库龄!B:N,12,0),0)</f>
        <v>0</v>
      </c>
      <c r="N405">
        <f t="shared" si="14"/>
        <v>0</v>
      </c>
    </row>
    <row r="406" spans="1:14">
      <c r="A406" s="3" t="s">
        <v>1014</v>
      </c>
      <c r="B406">
        <f>IFERROR(VLOOKUP(A406,管理亚马逊库存!A:K,11,0),"")</f>
        <v>10</v>
      </c>
      <c r="C406">
        <f>IFERROR(VLOOKUP(A406,管理亚马逊库存!A:L,12,0),"")</f>
        <v>0</v>
      </c>
      <c r="D406">
        <f>IFERROR(VLOOKUP(A406,管理亚马逊库存!A:Q,17,0),"")</f>
        <v>0</v>
      </c>
      <c r="E406">
        <f>IFERROR(VLOOKUP(A406,管理亚马逊库存!A:R,18,0),"")</f>
        <v>0</v>
      </c>
      <c r="F406">
        <f t="shared" si="13"/>
        <v>0</v>
      </c>
      <c r="G406" t="str">
        <f>IFERROR(VLOOKUP(A406,预留库存!A:G,7,0),0)</f>
        <v>No</v>
      </c>
      <c r="H406">
        <f>IFERROR(VLOOKUP(A406,预留库存!A:H,8,0),0)</f>
        <v>0</v>
      </c>
      <c r="I406">
        <f>IFERROR(VLOOKUP(A406,预留库存!A:F,6,0),0)</f>
        <v>24.98</v>
      </c>
      <c r="J406">
        <f>IFERROR(VLOOKUP(A406,库龄!B:K,9,0),0)</f>
        <v>0</v>
      </c>
      <c r="K406">
        <f>IFERROR(VLOOKUP(A406,库龄!B:L,10,0),0)</f>
        <v>0</v>
      </c>
      <c r="L406">
        <f>IFERROR(VLOOKUP(A406,库龄!B:M,11,0),0)</f>
        <v>0</v>
      </c>
      <c r="M406">
        <f>IFERROR(VLOOKUP(A406,库龄!B:N,12,0),0)</f>
        <v>0</v>
      </c>
      <c r="N406">
        <f t="shared" si="14"/>
        <v>0</v>
      </c>
    </row>
    <row r="407" spans="1:14">
      <c r="A407" s="3" t="s">
        <v>1018</v>
      </c>
      <c r="B407">
        <f>IFERROR(VLOOKUP(A407,管理亚马逊库存!A:K,11,0),"")</f>
        <v>23</v>
      </c>
      <c r="C407">
        <f>IFERROR(VLOOKUP(A407,管理亚马逊库存!A:L,12,0),"")</f>
        <v>0</v>
      </c>
      <c r="D407">
        <f>IFERROR(VLOOKUP(A407,管理亚马逊库存!A:Q,17,0),"")</f>
        <v>0</v>
      </c>
      <c r="E407">
        <f>IFERROR(VLOOKUP(A407,管理亚马逊库存!A:R,18,0),"")</f>
        <v>0</v>
      </c>
      <c r="F407">
        <f t="shared" si="13"/>
        <v>0</v>
      </c>
      <c r="G407" t="str">
        <f>IFERROR(VLOOKUP(A407,预留库存!A:G,7,0),0)</f>
        <v>No</v>
      </c>
      <c r="H407">
        <f>IFERROR(VLOOKUP(A407,预留库存!A:H,8,0),0)</f>
        <v>0</v>
      </c>
      <c r="I407">
        <f>IFERROR(VLOOKUP(A407,预留库存!A:F,6,0),0)</f>
        <v>24.98</v>
      </c>
      <c r="J407">
        <f>IFERROR(VLOOKUP(A407,库龄!B:K,9,0),0)</f>
        <v>0</v>
      </c>
      <c r="K407">
        <f>IFERROR(VLOOKUP(A407,库龄!B:L,10,0),0)</f>
        <v>0</v>
      </c>
      <c r="L407">
        <f>IFERROR(VLOOKUP(A407,库龄!B:M,11,0),0)</f>
        <v>0</v>
      </c>
      <c r="M407">
        <f>IFERROR(VLOOKUP(A407,库龄!B:N,12,0),0)</f>
        <v>0</v>
      </c>
      <c r="N407">
        <f t="shared" si="14"/>
        <v>0</v>
      </c>
    </row>
    <row r="408" spans="1:14">
      <c r="A408" s="3" t="s">
        <v>1020</v>
      </c>
      <c r="B408">
        <f>IFERROR(VLOOKUP(A408,管理亚马逊库存!A:K,11,0),"")</f>
        <v>23</v>
      </c>
      <c r="C408">
        <f>IFERROR(VLOOKUP(A408,管理亚马逊库存!A:L,12,0),"")</f>
        <v>0</v>
      </c>
      <c r="D408">
        <f>IFERROR(VLOOKUP(A408,管理亚马逊库存!A:Q,17,0),"")</f>
        <v>0</v>
      </c>
      <c r="E408">
        <f>IFERROR(VLOOKUP(A408,管理亚马逊库存!A:R,18,0),"")</f>
        <v>0</v>
      </c>
      <c r="F408">
        <f t="shared" si="13"/>
        <v>0</v>
      </c>
      <c r="G408" t="str">
        <f>IFERROR(VLOOKUP(A408,预留库存!A:G,7,0),0)</f>
        <v>No</v>
      </c>
      <c r="H408">
        <f>IFERROR(VLOOKUP(A408,预留库存!A:H,8,0),0)</f>
        <v>0</v>
      </c>
      <c r="I408">
        <f>IFERROR(VLOOKUP(A408,预留库存!A:F,6,0),0)</f>
        <v>24.98</v>
      </c>
      <c r="J408">
        <f>IFERROR(VLOOKUP(A408,库龄!B:K,9,0),0)</f>
        <v>0</v>
      </c>
      <c r="K408">
        <f>IFERROR(VLOOKUP(A408,库龄!B:L,10,0),0)</f>
        <v>0</v>
      </c>
      <c r="L408">
        <f>IFERROR(VLOOKUP(A408,库龄!B:M,11,0),0)</f>
        <v>0</v>
      </c>
      <c r="M408">
        <f>IFERROR(VLOOKUP(A408,库龄!B:N,12,0),0)</f>
        <v>0</v>
      </c>
      <c r="N408">
        <f t="shared" si="14"/>
        <v>0</v>
      </c>
    </row>
    <row r="409" spans="1:14">
      <c r="A409" s="3" t="s">
        <v>1024</v>
      </c>
      <c r="B409">
        <f>IFERROR(VLOOKUP(A409,管理亚马逊库存!A:K,11,0),"")</f>
        <v>0</v>
      </c>
      <c r="C409">
        <f>IFERROR(VLOOKUP(A409,管理亚马逊库存!A:L,12,0),"")</f>
        <v>0</v>
      </c>
      <c r="D409">
        <f>IFERROR(VLOOKUP(A409,管理亚马逊库存!A:Q,17,0),"")</f>
        <v>0</v>
      </c>
      <c r="E409">
        <f>IFERROR(VLOOKUP(A409,管理亚马逊库存!A:R,18,0),"")</f>
        <v>0</v>
      </c>
      <c r="F409">
        <f t="shared" si="13"/>
        <v>0</v>
      </c>
      <c r="G409" t="str">
        <f>IFERROR(VLOOKUP(A409,预留库存!A:G,7,0),0)</f>
        <v>No</v>
      </c>
      <c r="H409">
        <f>IFERROR(VLOOKUP(A409,预留库存!A:H,8,0),0)</f>
        <v>0</v>
      </c>
      <c r="I409">
        <f>IFERROR(VLOOKUP(A409,预留库存!A:F,6,0),0)</f>
        <v>24.98</v>
      </c>
      <c r="J409">
        <f>IFERROR(VLOOKUP(A409,库龄!B:K,9,0),0)</f>
        <v>0</v>
      </c>
      <c r="K409">
        <f>IFERROR(VLOOKUP(A409,库龄!B:L,10,0),0)</f>
        <v>0</v>
      </c>
      <c r="L409">
        <f>IFERROR(VLOOKUP(A409,库龄!B:M,11,0),0)</f>
        <v>0</v>
      </c>
      <c r="M409">
        <f>IFERROR(VLOOKUP(A409,库龄!B:N,12,0),0)</f>
        <v>0</v>
      </c>
      <c r="N409">
        <f t="shared" si="14"/>
        <v>0</v>
      </c>
    </row>
    <row r="410" spans="1:14">
      <c r="A410" s="3" t="s">
        <v>1026</v>
      </c>
      <c r="B410">
        <f>IFERROR(VLOOKUP(A410,管理亚马逊库存!A:K,11,0),"")</f>
        <v>29</v>
      </c>
      <c r="C410">
        <f>IFERROR(VLOOKUP(A410,管理亚马逊库存!A:L,12,0),"")</f>
        <v>0</v>
      </c>
      <c r="D410">
        <f>IFERROR(VLOOKUP(A410,管理亚马逊库存!A:Q,17,0),"")</f>
        <v>0</v>
      </c>
      <c r="E410">
        <f>IFERROR(VLOOKUP(A410,管理亚马逊库存!A:R,18,0),"")</f>
        <v>10</v>
      </c>
      <c r="F410">
        <f t="shared" si="13"/>
        <v>10</v>
      </c>
      <c r="G410" t="str">
        <f>IFERROR(VLOOKUP(A410,预留库存!A:G,7,0),0)</f>
        <v>No</v>
      </c>
      <c r="H410">
        <f>IFERROR(VLOOKUP(A410,预留库存!A:H,8,0),0)</f>
        <v>0</v>
      </c>
      <c r="I410">
        <f>IFERROR(VLOOKUP(A410,预留库存!A:F,6,0),0)</f>
        <v>24.98</v>
      </c>
      <c r="J410">
        <f>IFERROR(VLOOKUP(A410,库龄!B:K,9,0),0)</f>
        <v>0</v>
      </c>
      <c r="K410">
        <f>IFERROR(VLOOKUP(A410,库龄!B:L,10,0),0)</f>
        <v>0</v>
      </c>
      <c r="L410">
        <f>IFERROR(VLOOKUP(A410,库龄!B:M,11,0),0)</f>
        <v>0</v>
      </c>
      <c r="M410">
        <f>IFERROR(VLOOKUP(A410,库龄!B:N,12,0),0)</f>
        <v>0</v>
      </c>
      <c r="N410">
        <f t="shared" si="14"/>
        <v>0</v>
      </c>
    </row>
    <row r="411" spans="1:14">
      <c r="A411" s="3" t="s">
        <v>1028</v>
      </c>
      <c r="B411">
        <f>IFERROR(VLOOKUP(A411,管理亚马逊库存!A:K,11,0),"")</f>
        <v>0</v>
      </c>
      <c r="C411">
        <f>IFERROR(VLOOKUP(A411,管理亚马逊库存!A:L,12,0),"")</f>
        <v>0</v>
      </c>
      <c r="D411">
        <f>IFERROR(VLOOKUP(A411,管理亚马逊库存!A:Q,17,0),"")</f>
        <v>0</v>
      </c>
      <c r="E411">
        <f>IFERROR(VLOOKUP(A411,管理亚马逊库存!A:R,18,0),"")</f>
        <v>0</v>
      </c>
      <c r="F411">
        <f t="shared" si="13"/>
        <v>0</v>
      </c>
      <c r="G411" t="str">
        <f>IFERROR(VLOOKUP(A411,预留库存!A:G,7,0),0)</f>
        <v>No</v>
      </c>
      <c r="H411">
        <f>IFERROR(VLOOKUP(A411,预留库存!A:H,8,0),0)</f>
        <v>0</v>
      </c>
      <c r="I411">
        <f>IFERROR(VLOOKUP(A411,预留库存!A:F,6,0),0)</f>
        <v>24.98</v>
      </c>
      <c r="J411">
        <f>IFERROR(VLOOKUP(A411,库龄!B:K,9,0),0)</f>
        <v>0</v>
      </c>
      <c r="K411">
        <f>IFERROR(VLOOKUP(A411,库龄!B:L,10,0),0)</f>
        <v>0</v>
      </c>
      <c r="L411">
        <f>IFERROR(VLOOKUP(A411,库龄!B:M,11,0),0)</f>
        <v>0</v>
      </c>
      <c r="M411">
        <f>IFERROR(VLOOKUP(A411,库龄!B:N,12,0),0)</f>
        <v>0</v>
      </c>
      <c r="N411">
        <f t="shared" si="14"/>
        <v>0</v>
      </c>
    </row>
    <row r="412" spans="1:14">
      <c r="A412" s="3" t="s">
        <v>1032</v>
      </c>
      <c r="B412">
        <f>IFERROR(VLOOKUP(A412,管理亚马逊库存!A:K,11,0),"")</f>
        <v>30</v>
      </c>
      <c r="C412">
        <f>IFERROR(VLOOKUP(A412,管理亚马逊库存!A:L,12,0),"")</f>
        <v>0</v>
      </c>
      <c r="D412">
        <f>IFERROR(VLOOKUP(A412,管理亚马逊库存!A:Q,17,0),"")</f>
        <v>0</v>
      </c>
      <c r="E412">
        <f>IFERROR(VLOOKUP(A412,管理亚马逊库存!A:R,18,0),"")</f>
        <v>0</v>
      </c>
      <c r="F412">
        <f t="shared" si="13"/>
        <v>0</v>
      </c>
      <c r="G412" t="str">
        <f>IFERROR(VLOOKUP(A412,预留库存!A:G,7,0),0)</f>
        <v>No</v>
      </c>
      <c r="H412">
        <f>IFERROR(VLOOKUP(A412,预留库存!A:H,8,0),0)</f>
        <v>0</v>
      </c>
      <c r="I412">
        <f>IFERROR(VLOOKUP(A412,预留库存!A:F,6,0),0)</f>
        <v>24.98</v>
      </c>
      <c r="J412">
        <f>IFERROR(VLOOKUP(A412,库龄!B:K,9,0),0)</f>
        <v>0</v>
      </c>
      <c r="K412">
        <f>IFERROR(VLOOKUP(A412,库龄!B:L,10,0),0)</f>
        <v>0</v>
      </c>
      <c r="L412">
        <f>IFERROR(VLOOKUP(A412,库龄!B:M,11,0),0)</f>
        <v>0</v>
      </c>
      <c r="M412">
        <f>IFERROR(VLOOKUP(A412,库龄!B:N,12,0),0)</f>
        <v>0</v>
      </c>
      <c r="N412">
        <f t="shared" si="14"/>
        <v>0</v>
      </c>
    </row>
    <row r="413" spans="1:14">
      <c r="A413" s="3" t="s">
        <v>1034</v>
      </c>
      <c r="B413">
        <f>IFERROR(VLOOKUP(A413,管理亚马逊库存!A:K,11,0),"")</f>
        <v>20</v>
      </c>
      <c r="C413">
        <f>IFERROR(VLOOKUP(A413,管理亚马逊库存!A:L,12,0),"")</f>
        <v>0</v>
      </c>
      <c r="D413">
        <f>IFERROR(VLOOKUP(A413,管理亚马逊库存!A:Q,17,0),"")</f>
        <v>0</v>
      </c>
      <c r="E413">
        <f>IFERROR(VLOOKUP(A413,管理亚马逊库存!A:R,18,0),"")</f>
        <v>0</v>
      </c>
      <c r="F413">
        <f t="shared" si="13"/>
        <v>0</v>
      </c>
      <c r="G413" t="str">
        <f>IFERROR(VLOOKUP(A413,预留库存!A:G,7,0),0)</f>
        <v>No</v>
      </c>
      <c r="H413">
        <f>IFERROR(VLOOKUP(A413,预留库存!A:H,8,0),0)</f>
        <v>0</v>
      </c>
      <c r="I413">
        <f>IFERROR(VLOOKUP(A413,预留库存!A:F,6,0),0)</f>
        <v>35.98</v>
      </c>
      <c r="J413">
        <f>IFERROR(VLOOKUP(A413,库龄!B:K,9,0),0)</f>
        <v>0</v>
      </c>
      <c r="K413">
        <f>IFERROR(VLOOKUP(A413,库龄!B:L,10,0),0)</f>
        <v>0</v>
      </c>
      <c r="L413">
        <f>IFERROR(VLOOKUP(A413,库龄!B:M,11,0),0)</f>
        <v>0</v>
      </c>
      <c r="M413">
        <f>IFERROR(VLOOKUP(A413,库龄!B:N,12,0),0)</f>
        <v>0</v>
      </c>
      <c r="N413">
        <f t="shared" si="14"/>
        <v>0</v>
      </c>
    </row>
    <row r="414" spans="1:14">
      <c r="A414" s="3" t="s">
        <v>1038</v>
      </c>
      <c r="B414">
        <f>IFERROR(VLOOKUP(A414,管理亚马逊库存!A:K,11,0),"")</f>
        <v>23</v>
      </c>
      <c r="C414">
        <f>IFERROR(VLOOKUP(A414,管理亚马逊库存!A:L,12,0),"")</f>
        <v>0</v>
      </c>
      <c r="D414">
        <f>IFERROR(VLOOKUP(A414,管理亚马逊库存!A:Q,17,0),"")</f>
        <v>0</v>
      </c>
      <c r="E414">
        <f>IFERROR(VLOOKUP(A414,管理亚马逊库存!A:R,18,0),"")</f>
        <v>0</v>
      </c>
      <c r="F414">
        <f t="shared" si="13"/>
        <v>0</v>
      </c>
      <c r="G414" t="str">
        <f>IFERROR(VLOOKUP(A414,预留库存!A:G,7,0),0)</f>
        <v>No</v>
      </c>
      <c r="H414">
        <f>IFERROR(VLOOKUP(A414,预留库存!A:H,8,0),0)</f>
        <v>0</v>
      </c>
      <c r="I414">
        <f>IFERROR(VLOOKUP(A414,预留库存!A:F,6,0),0)</f>
        <v>35.98</v>
      </c>
      <c r="J414">
        <f>IFERROR(VLOOKUP(A414,库龄!B:K,9,0),0)</f>
        <v>0</v>
      </c>
      <c r="K414">
        <f>IFERROR(VLOOKUP(A414,库龄!B:L,10,0),0)</f>
        <v>0</v>
      </c>
      <c r="L414">
        <f>IFERROR(VLOOKUP(A414,库龄!B:M,11,0),0)</f>
        <v>0</v>
      </c>
      <c r="M414">
        <f>IFERROR(VLOOKUP(A414,库龄!B:N,12,0),0)</f>
        <v>0</v>
      </c>
      <c r="N414">
        <f t="shared" si="14"/>
        <v>0</v>
      </c>
    </row>
    <row r="415" spans="1:14">
      <c r="A415" s="3" t="s">
        <v>1042</v>
      </c>
      <c r="B415">
        <f>IFERROR(VLOOKUP(A415,管理亚马逊库存!A:K,11,0),"")</f>
        <v>0</v>
      </c>
      <c r="C415">
        <f>IFERROR(VLOOKUP(A415,管理亚马逊库存!A:L,12,0),"")</f>
        <v>0</v>
      </c>
      <c r="D415">
        <f>IFERROR(VLOOKUP(A415,管理亚马逊库存!A:Q,17,0),"")</f>
        <v>0</v>
      </c>
      <c r="E415">
        <f>IFERROR(VLOOKUP(A415,管理亚马逊库存!A:R,18,0),"")</f>
        <v>0</v>
      </c>
      <c r="F415">
        <f t="shared" si="13"/>
        <v>0</v>
      </c>
      <c r="G415" t="str">
        <f>IFERROR(VLOOKUP(A415,预留库存!A:G,7,0),0)</f>
        <v>No</v>
      </c>
      <c r="H415">
        <f>IFERROR(VLOOKUP(A415,预留库存!A:H,8,0),0)</f>
        <v>0</v>
      </c>
      <c r="I415">
        <f>IFERROR(VLOOKUP(A415,预留库存!A:F,6,0),0)</f>
        <v>35.98</v>
      </c>
      <c r="J415">
        <f>IFERROR(VLOOKUP(A415,库龄!B:K,9,0),0)</f>
        <v>0</v>
      </c>
      <c r="K415">
        <f>IFERROR(VLOOKUP(A415,库龄!B:L,10,0),0)</f>
        <v>0</v>
      </c>
      <c r="L415">
        <f>IFERROR(VLOOKUP(A415,库龄!B:M,11,0),0)</f>
        <v>0</v>
      </c>
      <c r="M415">
        <f>IFERROR(VLOOKUP(A415,库龄!B:N,12,0),0)</f>
        <v>0</v>
      </c>
      <c r="N415">
        <f t="shared" si="14"/>
        <v>0</v>
      </c>
    </row>
    <row r="416" spans="1:14">
      <c r="A416" s="3" t="s">
        <v>1046</v>
      </c>
      <c r="B416">
        <f>IFERROR(VLOOKUP(A416,管理亚马逊库存!A:K,11,0),"")</f>
        <v>0</v>
      </c>
      <c r="C416">
        <f>IFERROR(VLOOKUP(A416,管理亚马逊库存!A:L,12,0),"")</f>
        <v>0</v>
      </c>
      <c r="D416">
        <f>IFERROR(VLOOKUP(A416,管理亚马逊库存!A:Q,17,0),"")</f>
        <v>0</v>
      </c>
      <c r="E416">
        <f>IFERROR(VLOOKUP(A416,管理亚马逊库存!A:R,18,0),"")</f>
        <v>0</v>
      </c>
      <c r="F416">
        <f t="shared" si="13"/>
        <v>0</v>
      </c>
      <c r="G416" t="str">
        <f>IFERROR(VLOOKUP(A416,预留库存!A:G,7,0),0)</f>
        <v>No</v>
      </c>
      <c r="H416">
        <f>IFERROR(VLOOKUP(A416,预留库存!A:H,8,0),0)</f>
        <v>0</v>
      </c>
      <c r="I416">
        <f>IFERROR(VLOOKUP(A416,预留库存!A:F,6,0),0)</f>
        <v>35.98</v>
      </c>
      <c r="J416">
        <f>IFERROR(VLOOKUP(A416,库龄!B:K,9,0),0)</f>
        <v>0</v>
      </c>
      <c r="K416">
        <f>IFERROR(VLOOKUP(A416,库龄!B:L,10,0),0)</f>
        <v>0</v>
      </c>
      <c r="L416">
        <f>IFERROR(VLOOKUP(A416,库龄!B:M,11,0),0)</f>
        <v>0</v>
      </c>
      <c r="M416">
        <f>IFERROR(VLOOKUP(A416,库龄!B:N,12,0),0)</f>
        <v>0</v>
      </c>
      <c r="N416">
        <f t="shared" si="14"/>
        <v>0</v>
      </c>
    </row>
    <row r="417" spans="1:14">
      <c r="A417" s="3" t="s">
        <v>1050</v>
      </c>
      <c r="B417">
        <f>IFERROR(VLOOKUP(A417,管理亚马逊库存!A:K,11,0),"")</f>
        <v>46</v>
      </c>
      <c r="C417">
        <f>IFERROR(VLOOKUP(A417,管理亚马逊库存!A:L,12,0),"")</f>
        <v>0</v>
      </c>
      <c r="D417">
        <f>IFERROR(VLOOKUP(A417,管理亚马逊库存!A:Q,17,0),"")</f>
        <v>0</v>
      </c>
      <c r="E417">
        <f>IFERROR(VLOOKUP(A417,管理亚马逊库存!A:R,18,0),"")</f>
        <v>0</v>
      </c>
      <c r="F417">
        <f t="shared" si="13"/>
        <v>0</v>
      </c>
      <c r="G417" t="str">
        <f>IFERROR(VLOOKUP(A417,预留库存!A:G,7,0),0)</f>
        <v>No</v>
      </c>
      <c r="H417">
        <f>IFERROR(VLOOKUP(A417,预留库存!A:H,8,0),0)</f>
        <v>0</v>
      </c>
      <c r="I417">
        <f>IFERROR(VLOOKUP(A417,预留库存!A:F,6,0),0)</f>
        <v>35.98</v>
      </c>
      <c r="J417">
        <f>IFERROR(VLOOKUP(A417,库龄!B:K,9,0),0)</f>
        <v>0</v>
      </c>
      <c r="K417">
        <f>IFERROR(VLOOKUP(A417,库龄!B:L,10,0),0)</f>
        <v>0</v>
      </c>
      <c r="L417">
        <f>IFERROR(VLOOKUP(A417,库龄!B:M,11,0),0)</f>
        <v>0</v>
      </c>
      <c r="M417">
        <f>IFERROR(VLOOKUP(A417,库龄!B:N,12,0),0)</f>
        <v>0</v>
      </c>
      <c r="N417">
        <f t="shared" si="14"/>
        <v>0</v>
      </c>
    </row>
    <row r="418" spans="1:14">
      <c r="A418" s="3" t="s">
        <v>1054</v>
      </c>
      <c r="B418">
        <f>IFERROR(VLOOKUP(A418,管理亚马逊库存!A:K,11,0),"")</f>
        <v>15</v>
      </c>
      <c r="C418">
        <f>IFERROR(VLOOKUP(A418,管理亚马逊库存!A:L,12,0),"")</f>
        <v>0</v>
      </c>
      <c r="D418">
        <f>IFERROR(VLOOKUP(A418,管理亚马逊库存!A:Q,17,0),"")</f>
        <v>0</v>
      </c>
      <c r="E418">
        <f>IFERROR(VLOOKUP(A418,管理亚马逊库存!A:R,18,0),"")</f>
        <v>0</v>
      </c>
      <c r="F418">
        <f t="shared" si="13"/>
        <v>0</v>
      </c>
      <c r="G418" t="str">
        <f>IFERROR(VLOOKUP(A418,预留库存!A:G,7,0),0)</f>
        <v>No</v>
      </c>
      <c r="H418">
        <f>IFERROR(VLOOKUP(A418,预留库存!A:H,8,0),0)</f>
        <v>0</v>
      </c>
      <c r="I418">
        <f>IFERROR(VLOOKUP(A418,预留库存!A:F,6,0),0)</f>
        <v>35.98</v>
      </c>
      <c r="J418">
        <f>IFERROR(VLOOKUP(A418,库龄!B:K,9,0),0)</f>
        <v>0</v>
      </c>
      <c r="K418">
        <f>IFERROR(VLOOKUP(A418,库龄!B:L,10,0),0)</f>
        <v>0</v>
      </c>
      <c r="L418">
        <f>IFERROR(VLOOKUP(A418,库龄!B:M,11,0),0)</f>
        <v>0</v>
      </c>
      <c r="M418">
        <f>IFERROR(VLOOKUP(A418,库龄!B:N,12,0),0)</f>
        <v>0</v>
      </c>
      <c r="N418">
        <f t="shared" si="14"/>
        <v>0</v>
      </c>
    </row>
    <row r="419" spans="1:14">
      <c r="A419" s="3" t="s">
        <v>1058</v>
      </c>
      <c r="B419">
        <f>IFERROR(VLOOKUP(A419,管理亚马逊库存!A:K,11,0),"")</f>
        <v>0</v>
      </c>
      <c r="C419">
        <f>IFERROR(VLOOKUP(A419,管理亚马逊库存!A:L,12,0),"")</f>
        <v>0</v>
      </c>
      <c r="D419">
        <f>IFERROR(VLOOKUP(A419,管理亚马逊库存!A:Q,17,0),"")</f>
        <v>0</v>
      </c>
      <c r="E419">
        <f>IFERROR(VLOOKUP(A419,管理亚马逊库存!A:R,18,0),"")</f>
        <v>0</v>
      </c>
      <c r="F419">
        <f t="shared" si="13"/>
        <v>0</v>
      </c>
      <c r="G419" t="str">
        <f>IFERROR(VLOOKUP(A419,预留库存!A:G,7,0),0)</f>
        <v>No</v>
      </c>
      <c r="H419">
        <f>IFERROR(VLOOKUP(A419,预留库存!A:H,8,0),0)</f>
        <v>0</v>
      </c>
      <c r="I419">
        <f>IFERROR(VLOOKUP(A419,预留库存!A:F,6,0),0)</f>
        <v>35.98</v>
      </c>
      <c r="J419">
        <f>IFERROR(VLOOKUP(A419,库龄!B:K,9,0),0)</f>
        <v>0</v>
      </c>
      <c r="K419">
        <f>IFERROR(VLOOKUP(A419,库龄!B:L,10,0),0)</f>
        <v>0</v>
      </c>
      <c r="L419">
        <f>IFERROR(VLOOKUP(A419,库龄!B:M,11,0),0)</f>
        <v>0</v>
      </c>
      <c r="M419">
        <f>IFERROR(VLOOKUP(A419,库龄!B:N,12,0),0)</f>
        <v>0</v>
      </c>
      <c r="N419">
        <f t="shared" si="14"/>
        <v>0</v>
      </c>
    </row>
    <row r="420" spans="1:14">
      <c r="A420" s="3" t="s">
        <v>1062</v>
      </c>
      <c r="B420">
        <f>IFERROR(VLOOKUP(A420,管理亚马逊库存!A:K,11,0),"")</f>
        <v>0</v>
      </c>
      <c r="C420">
        <f>IFERROR(VLOOKUP(A420,管理亚马逊库存!A:L,12,0),"")</f>
        <v>0</v>
      </c>
      <c r="D420">
        <f>IFERROR(VLOOKUP(A420,管理亚马逊库存!A:Q,17,0),"")</f>
        <v>0</v>
      </c>
      <c r="E420">
        <f>IFERROR(VLOOKUP(A420,管理亚马逊库存!A:R,18,0),"")</f>
        <v>0</v>
      </c>
      <c r="F420">
        <f t="shared" si="13"/>
        <v>0</v>
      </c>
      <c r="G420" t="str">
        <f>IFERROR(VLOOKUP(A420,预留库存!A:G,7,0),0)</f>
        <v>No</v>
      </c>
      <c r="H420">
        <f>IFERROR(VLOOKUP(A420,预留库存!A:H,8,0),0)</f>
        <v>0</v>
      </c>
      <c r="I420">
        <f>IFERROR(VLOOKUP(A420,预留库存!A:F,6,0),0)</f>
        <v>35.98</v>
      </c>
      <c r="J420">
        <f>IFERROR(VLOOKUP(A420,库龄!B:K,9,0),0)</f>
        <v>0</v>
      </c>
      <c r="K420">
        <f>IFERROR(VLOOKUP(A420,库龄!B:L,10,0),0)</f>
        <v>0</v>
      </c>
      <c r="L420">
        <f>IFERROR(VLOOKUP(A420,库龄!B:M,11,0),0)</f>
        <v>0</v>
      </c>
      <c r="M420">
        <f>IFERROR(VLOOKUP(A420,库龄!B:N,12,0),0)</f>
        <v>0</v>
      </c>
      <c r="N420">
        <f t="shared" si="14"/>
        <v>0</v>
      </c>
    </row>
    <row r="421" spans="1:14">
      <c r="A421" s="3" t="s">
        <v>1066</v>
      </c>
      <c r="B421">
        <f>IFERROR(VLOOKUP(A421,管理亚马逊库存!A:K,11,0),"")</f>
        <v>0</v>
      </c>
      <c r="C421">
        <f>IFERROR(VLOOKUP(A421,管理亚马逊库存!A:L,12,0),"")</f>
        <v>0</v>
      </c>
      <c r="D421">
        <f>IFERROR(VLOOKUP(A421,管理亚马逊库存!A:Q,17,0),"")</f>
        <v>0</v>
      </c>
      <c r="E421">
        <f>IFERROR(VLOOKUP(A421,管理亚马逊库存!A:R,18,0),"")</f>
        <v>0</v>
      </c>
      <c r="F421">
        <f t="shared" si="13"/>
        <v>0</v>
      </c>
      <c r="G421" t="str">
        <f>IFERROR(VLOOKUP(A421,预留库存!A:G,7,0),0)</f>
        <v>No</v>
      </c>
      <c r="H421">
        <f>IFERROR(VLOOKUP(A421,预留库存!A:H,8,0),0)</f>
        <v>0</v>
      </c>
      <c r="I421">
        <f>IFERROR(VLOOKUP(A421,预留库存!A:F,6,0),0)</f>
        <v>35.98</v>
      </c>
      <c r="J421">
        <f>IFERROR(VLOOKUP(A421,库龄!B:K,9,0),0)</f>
        <v>0</v>
      </c>
      <c r="K421">
        <f>IFERROR(VLOOKUP(A421,库龄!B:L,10,0),0)</f>
        <v>0</v>
      </c>
      <c r="L421">
        <f>IFERROR(VLOOKUP(A421,库龄!B:M,11,0),0)</f>
        <v>0</v>
      </c>
      <c r="M421">
        <f>IFERROR(VLOOKUP(A421,库龄!B:N,12,0),0)</f>
        <v>0</v>
      </c>
      <c r="N421">
        <f t="shared" si="14"/>
        <v>0</v>
      </c>
    </row>
    <row r="422" spans="1:14">
      <c r="A422" s="3" t="s">
        <v>1070</v>
      </c>
      <c r="B422">
        <f>IFERROR(VLOOKUP(A422,管理亚马逊库存!A:K,11,0),"")</f>
        <v>0</v>
      </c>
      <c r="C422">
        <f>IFERROR(VLOOKUP(A422,管理亚马逊库存!A:L,12,0),"")</f>
        <v>0</v>
      </c>
      <c r="D422">
        <f>IFERROR(VLOOKUP(A422,管理亚马逊库存!A:Q,17,0),"")</f>
        <v>0</v>
      </c>
      <c r="E422">
        <f>IFERROR(VLOOKUP(A422,管理亚马逊库存!A:R,18,0),"")</f>
        <v>0</v>
      </c>
      <c r="F422">
        <f t="shared" si="13"/>
        <v>0</v>
      </c>
      <c r="G422" t="str">
        <f>IFERROR(VLOOKUP(A422,预留库存!A:G,7,0),0)</f>
        <v>No</v>
      </c>
      <c r="H422">
        <f>IFERROR(VLOOKUP(A422,预留库存!A:H,8,0),0)</f>
        <v>0</v>
      </c>
      <c r="I422">
        <f>IFERROR(VLOOKUP(A422,预留库存!A:F,6,0),0)</f>
        <v>35.98</v>
      </c>
      <c r="J422">
        <f>IFERROR(VLOOKUP(A422,库龄!B:K,9,0),0)</f>
        <v>0</v>
      </c>
      <c r="K422">
        <f>IFERROR(VLOOKUP(A422,库龄!B:L,10,0),0)</f>
        <v>0</v>
      </c>
      <c r="L422">
        <f>IFERROR(VLOOKUP(A422,库龄!B:M,11,0),0)</f>
        <v>0</v>
      </c>
      <c r="M422">
        <f>IFERROR(VLOOKUP(A422,库龄!B:N,12,0),0)</f>
        <v>0</v>
      </c>
      <c r="N422">
        <f t="shared" si="14"/>
        <v>0</v>
      </c>
    </row>
    <row r="423" spans="1:14">
      <c r="A423" s="3" t="s">
        <v>1074</v>
      </c>
      <c r="B423">
        <f>IFERROR(VLOOKUP(A423,管理亚马逊库存!A:K,11,0),"")</f>
        <v>14</v>
      </c>
      <c r="C423">
        <f>IFERROR(VLOOKUP(A423,管理亚马逊库存!A:L,12,0),"")</f>
        <v>0</v>
      </c>
      <c r="D423">
        <f>IFERROR(VLOOKUP(A423,管理亚马逊库存!A:Q,17,0),"")</f>
        <v>0</v>
      </c>
      <c r="E423">
        <f>IFERROR(VLOOKUP(A423,管理亚马逊库存!A:R,18,0),"")</f>
        <v>0</v>
      </c>
      <c r="F423">
        <f t="shared" si="13"/>
        <v>0</v>
      </c>
      <c r="G423" t="str">
        <f>IFERROR(VLOOKUP(A423,预留库存!A:G,7,0),0)</f>
        <v>No</v>
      </c>
      <c r="H423">
        <f>IFERROR(VLOOKUP(A423,预留库存!A:H,8,0),0)</f>
        <v>0</v>
      </c>
      <c r="I423">
        <f>IFERROR(VLOOKUP(A423,预留库存!A:F,6,0),0)</f>
        <v>35.98</v>
      </c>
      <c r="J423">
        <f>IFERROR(VLOOKUP(A423,库龄!B:K,9,0),0)</f>
        <v>0</v>
      </c>
      <c r="K423">
        <f>IFERROR(VLOOKUP(A423,库龄!B:L,10,0),0)</f>
        <v>0</v>
      </c>
      <c r="L423">
        <f>IFERROR(VLOOKUP(A423,库龄!B:M,11,0),0)</f>
        <v>0</v>
      </c>
      <c r="M423">
        <f>IFERROR(VLOOKUP(A423,库龄!B:N,12,0),0)</f>
        <v>0</v>
      </c>
      <c r="N423">
        <f t="shared" si="14"/>
        <v>0</v>
      </c>
    </row>
    <row r="424" spans="1:14">
      <c r="A424" s="3" t="s">
        <v>1078</v>
      </c>
      <c r="B424">
        <f>IFERROR(VLOOKUP(A424,管理亚马逊库存!A:K,11,0),"")</f>
        <v>0</v>
      </c>
      <c r="C424">
        <f>IFERROR(VLOOKUP(A424,管理亚马逊库存!A:L,12,0),"")</f>
        <v>0</v>
      </c>
      <c r="D424">
        <f>IFERROR(VLOOKUP(A424,管理亚马逊库存!A:Q,17,0),"")</f>
        <v>0</v>
      </c>
      <c r="E424">
        <f>IFERROR(VLOOKUP(A424,管理亚马逊库存!A:R,18,0),"")</f>
        <v>0</v>
      </c>
      <c r="F424">
        <f t="shared" si="13"/>
        <v>0</v>
      </c>
      <c r="G424" t="str">
        <f>IFERROR(VLOOKUP(A424,预留库存!A:G,7,0),0)</f>
        <v>No</v>
      </c>
      <c r="H424">
        <f>IFERROR(VLOOKUP(A424,预留库存!A:H,8,0),0)</f>
        <v>0</v>
      </c>
      <c r="I424">
        <f>IFERROR(VLOOKUP(A424,预留库存!A:F,6,0),0)</f>
        <v>35.98</v>
      </c>
      <c r="J424">
        <f>IFERROR(VLOOKUP(A424,库龄!B:K,9,0),0)</f>
        <v>0</v>
      </c>
      <c r="K424">
        <f>IFERROR(VLOOKUP(A424,库龄!B:L,10,0),0)</f>
        <v>0</v>
      </c>
      <c r="L424">
        <f>IFERROR(VLOOKUP(A424,库龄!B:M,11,0),0)</f>
        <v>0</v>
      </c>
      <c r="M424">
        <f>IFERROR(VLOOKUP(A424,库龄!B:N,12,0),0)</f>
        <v>0</v>
      </c>
      <c r="N424">
        <f t="shared" si="14"/>
        <v>0</v>
      </c>
    </row>
    <row r="425" spans="1:14">
      <c r="A425" s="3" t="s">
        <v>1082</v>
      </c>
      <c r="B425">
        <f>IFERROR(VLOOKUP(A425,管理亚马逊库存!A:K,11,0),"")</f>
        <v>0</v>
      </c>
      <c r="C425">
        <f>IFERROR(VLOOKUP(A425,管理亚马逊库存!A:L,12,0),"")</f>
        <v>0</v>
      </c>
      <c r="D425">
        <f>IFERROR(VLOOKUP(A425,管理亚马逊库存!A:Q,17,0),"")</f>
        <v>0</v>
      </c>
      <c r="E425">
        <f>IFERROR(VLOOKUP(A425,管理亚马逊库存!A:R,18,0),"")</f>
        <v>0</v>
      </c>
      <c r="F425">
        <f t="shared" si="13"/>
        <v>0</v>
      </c>
      <c r="G425" t="str">
        <f>IFERROR(VLOOKUP(A425,预留库存!A:G,7,0),0)</f>
        <v>No</v>
      </c>
      <c r="H425">
        <f>IFERROR(VLOOKUP(A425,预留库存!A:H,8,0),0)</f>
        <v>0</v>
      </c>
      <c r="I425">
        <f>IFERROR(VLOOKUP(A425,预留库存!A:F,6,0),0)</f>
        <v>35.98</v>
      </c>
      <c r="J425">
        <f>IFERROR(VLOOKUP(A425,库龄!B:K,9,0),0)</f>
        <v>0</v>
      </c>
      <c r="K425">
        <f>IFERROR(VLOOKUP(A425,库龄!B:L,10,0),0)</f>
        <v>0</v>
      </c>
      <c r="L425">
        <f>IFERROR(VLOOKUP(A425,库龄!B:M,11,0),0)</f>
        <v>0</v>
      </c>
      <c r="M425">
        <f>IFERROR(VLOOKUP(A425,库龄!B:N,12,0),0)</f>
        <v>0</v>
      </c>
      <c r="N425">
        <f t="shared" si="14"/>
        <v>0</v>
      </c>
    </row>
    <row r="426" spans="1:14">
      <c r="A426" s="3" t="s">
        <v>1086</v>
      </c>
      <c r="B426">
        <f>IFERROR(VLOOKUP(A426,管理亚马逊库存!A:K,11,0),"")</f>
        <v>7</v>
      </c>
      <c r="C426">
        <f>IFERROR(VLOOKUP(A426,管理亚马逊库存!A:L,12,0),"")</f>
        <v>0</v>
      </c>
      <c r="D426">
        <f>IFERROR(VLOOKUP(A426,管理亚马逊库存!A:Q,17,0),"")</f>
        <v>0</v>
      </c>
      <c r="E426">
        <f>IFERROR(VLOOKUP(A426,管理亚马逊库存!A:R,18,0),"")</f>
        <v>0</v>
      </c>
      <c r="F426">
        <f t="shared" si="13"/>
        <v>0</v>
      </c>
      <c r="G426" t="str">
        <f>IFERROR(VLOOKUP(A426,预留库存!A:G,7,0),0)</f>
        <v>No</v>
      </c>
      <c r="H426">
        <f>IFERROR(VLOOKUP(A426,预留库存!A:H,8,0),0)</f>
        <v>0</v>
      </c>
      <c r="I426">
        <f>IFERROR(VLOOKUP(A426,预留库存!A:F,6,0),0)</f>
        <v>35.98</v>
      </c>
      <c r="J426">
        <f>IFERROR(VLOOKUP(A426,库龄!B:K,9,0),0)</f>
        <v>0</v>
      </c>
      <c r="K426">
        <f>IFERROR(VLOOKUP(A426,库龄!B:L,10,0),0)</f>
        <v>0</v>
      </c>
      <c r="L426">
        <f>IFERROR(VLOOKUP(A426,库龄!B:M,11,0),0)</f>
        <v>0</v>
      </c>
      <c r="M426">
        <f>IFERROR(VLOOKUP(A426,库龄!B:N,12,0),0)</f>
        <v>0</v>
      </c>
      <c r="N426">
        <f t="shared" si="14"/>
        <v>0</v>
      </c>
    </row>
    <row r="427" spans="1:14">
      <c r="A427" s="3" t="s">
        <v>1090</v>
      </c>
      <c r="B427">
        <f>IFERROR(VLOOKUP(A427,管理亚马逊库存!A:K,11,0),"")</f>
        <v>10</v>
      </c>
      <c r="C427">
        <f>IFERROR(VLOOKUP(A427,管理亚马逊库存!A:L,12,0),"")</f>
        <v>0</v>
      </c>
      <c r="D427">
        <f>IFERROR(VLOOKUP(A427,管理亚马逊库存!A:Q,17,0),"")</f>
        <v>0</v>
      </c>
      <c r="E427">
        <f>IFERROR(VLOOKUP(A427,管理亚马逊库存!A:R,18,0),"")</f>
        <v>0</v>
      </c>
      <c r="F427">
        <f t="shared" si="13"/>
        <v>0</v>
      </c>
      <c r="G427" t="str">
        <f>IFERROR(VLOOKUP(A427,预留库存!A:G,7,0),0)</f>
        <v>No</v>
      </c>
      <c r="H427">
        <f>IFERROR(VLOOKUP(A427,预留库存!A:H,8,0),0)</f>
        <v>0</v>
      </c>
      <c r="I427">
        <f>IFERROR(VLOOKUP(A427,预留库存!A:F,6,0),0)</f>
        <v>35.98</v>
      </c>
      <c r="J427">
        <f>IFERROR(VLOOKUP(A427,库龄!B:K,9,0),0)</f>
        <v>0</v>
      </c>
      <c r="K427">
        <f>IFERROR(VLOOKUP(A427,库龄!B:L,10,0),0)</f>
        <v>0</v>
      </c>
      <c r="L427">
        <f>IFERROR(VLOOKUP(A427,库龄!B:M,11,0),0)</f>
        <v>0</v>
      </c>
      <c r="M427">
        <f>IFERROR(VLOOKUP(A427,库龄!B:N,12,0),0)</f>
        <v>0</v>
      </c>
      <c r="N427">
        <f t="shared" si="14"/>
        <v>0</v>
      </c>
    </row>
    <row r="428" spans="1:14">
      <c r="A428" s="3" t="s">
        <v>1094</v>
      </c>
      <c r="B428">
        <f>IFERROR(VLOOKUP(A428,管理亚马逊库存!A:K,11,0),"")</f>
        <v>37</v>
      </c>
      <c r="C428">
        <f>IFERROR(VLOOKUP(A428,管理亚马逊库存!A:L,12,0),"")</f>
        <v>0</v>
      </c>
      <c r="D428">
        <f>IFERROR(VLOOKUP(A428,管理亚马逊库存!A:Q,17,0),"")</f>
        <v>0</v>
      </c>
      <c r="E428">
        <f>IFERROR(VLOOKUP(A428,管理亚马逊库存!A:R,18,0),"")</f>
        <v>0</v>
      </c>
      <c r="F428">
        <f t="shared" si="13"/>
        <v>0</v>
      </c>
      <c r="G428" t="str">
        <f>IFERROR(VLOOKUP(A428,预留库存!A:G,7,0),0)</f>
        <v>No</v>
      </c>
      <c r="H428">
        <f>IFERROR(VLOOKUP(A428,预留库存!A:H,8,0),0)</f>
        <v>0</v>
      </c>
      <c r="I428">
        <f>IFERROR(VLOOKUP(A428,预留库存!A:F,6,0),0)</f>
        <v>35.98</v>
      </c>
      <c r="J428">
        <f>IFERROR(VLOOKUP(A428,库龄!B:K,9,0),0)</f>
        <v>0</v>
      </c>
      <c r="K428">
        <f>IFERROR(VLOOKUP(A428,库龄!B:L,10,0),0)</f>
        <v>0</v>
      </c>
      <c r="L428">
        <f>IFERROR(VLOOKUP(A428,库龄!B:M,11,0),0)</f>
        <v>0</v>
      </c>
      <c r="M428">
        <f>IFERROR(VLOOKUP(A428,库龄!B:N,12,0),0)</f>
        <v>0</v>
      </c>
      <c r="N428">
        <f t="shared" si="14"/>
        <v>0</v>
      </c>
    </row>
    <row r="429" spans="1:14">
      <c r="A429" s="3" t="s">
        <v>1098</v>
      </c>
      <c r="B429">
        <f>IFERROR(VLOOKUP(A429,管理亚马逊库存!A:K,11,0),"")</f>
        <v>23</v>
      </c>
      <c r="C429">
        <f>IFERROR(VLOOKUP(A429,管理亚马逊库存!A:L,12,0),"")</f>
        <v>0</v>
      </c>
      <c r="D429">
        <f>IFERROR(VLOOKUP(A429,管理亚马逊库存!A:Q,17,0),"")</f>
        <v>0</v>
      </c>
      <c r="E429">
        <f>IFERROR(VLOOKUP(A429,管理亚马逊库存!A:R,18,0),"")</f>
        <v>0</v>
      </c>
      <c r="F429">
        <f t="shared" si="13"/>
        <v>0</v>
      </c>
      <c r="G429" t="str">
        <f>IFERROR(VLOOKUP(A429,预留库存!A:G,7,0),0)</f>
        <v>No</v>
      </c>
      <c r="H429">
        <f>IFERROR(VLOOKUP(A429,预留库存!A:H,8,0),0)</f>
        <v>0</v>
      </c>
      <c r="I429">
        <f>IFERROR(VLOOKUP(A429,预留库存!A:F,6,0),0)</f>
        <v>35.98</v>
      </c>
      <c r="J429">
        <f>IFERROR(VLOOKUP(A429,库龄!B:K,9,0),0)</f>
        <v>0</v>
      </c>
      <c r="K429">
        <f>IFERROR(VLOOKUP(A429,库龄!B:L,10,0),0)</f>
        <v>0</v>
      </c>
      <c r="L429">
        <f>IFERROR(VLOOKUP(A429,库龄!B:M,11,0),0)</f>
        <v>0</v>
      </c>
      <c r="M429">
        <f>IFERROR(VLOOKUP(A429,库龄!B:N,12,0),0)</f>
        <v>0</v>
      </c>
      <c r="N429">
        <f t="shared" si="14"/>
        <v>0</v>
      </c>
    </row>
    <row r="430" spans="1:14">
      <c r="A430" s="3" t="s">
        <v>1102</v>
      </c>
      <c r="B430">
        <f>IFERROR(VLOOKUP(A430,管理亚马逊库存!A:K,11,0),"")</f>
        <v>0</v>
      </c>
      <c r="C430">
        <f>IFERROR(VLOOKUP(A430,管理亚马逊库存!A:L,12,0),"")</f>
        <v>0</v>
      </c>
      <c r="D430">
        <f>IFERROR(VLOOKUP(A430,管理亚马逊库存!A:Q,17,0),"")</f>
        <v>0</v>
      </c>
      <c r="E430">
        <f>IFERROR(VLOOKUP(A430,管理亚马逊库存!A:R,18,0),"")</f>
        <v>0</v>
      </c>
      <c r="F430">
        <f t="shared" si="13"/>
        <v>0</v>
      </c>
      <c r="G430" t="str">
        <f>IFERROR(VLOOKUP(A430,预留库存!A:G,7,0),0)</f>
        <v>No</v>
      </c>
      <c r="H430">
        <f>IFERROR(VLOOKUP(A430,预留库存!A:H,8,0),0)</f>
        <v>0</v>
      </c>
      <c r="I430">
        <f>IFERROR(VLOOKUP(A430,预留库存!A:F,6,0),0)</f>
        <v>35.98</v>
      </c>
      <c r="J430">
        <f>IFERROR(VLOOKUP(A430,库龄!B:K,9,0),0)</f>
        <v>0</v>
      </c>
      <c r="K430">
        <f>IFERROR(VLOOKUP(A430,库龄!B:L,10,0),0)</f>
        <v>0</v>
      </c>
      <c r="L430">
        <f>IFERROR(VLOOKUP(A430,库龄!B:M,11,0),0)</f>
        <v>0</v>
      </c>
      <c r="M430">
        <f>IFERROR(VLOOKUP(A430,库龄!B:N,12,0),0)</f>
        <v>0</v>
      </c>
      <c r="N430">
        <f t="shared" si="14"/>
        <v>0</v>
      </c>
    </row>
    <row r="431" spans="1:14">
      <c r="A431" s="3" t="s">
        <v>1106</v>
      </c>
      <c r="B431">
        <f>IFERROR(VLOOKUP(A431,管理亚马逊库存!A:K,11,0),"")</f>
        <v>41</v>
      </c>
      <c r="C431">
        <f>IFERROR(VLOOKUP(A431,管理亚马逊库存!A:L,12,0),"")</f>
        <v>0</v>
      </c>
      <c r="D431">
        <f>IFERROR(VLOOKUP(A431,管理亚马逊库存!A:Q,17,0),"")</f>
        <v>0</v>
      </c>
      <c r="E431">
        <f>IFERROR(VLOOKUP(A431,管理亚马逊库存!A:R,18,0),"")</f>
        <v>0</v>
      </c>
      <c r="F431">
        <f t="shared" si="13"/>
        <v>0</v>
      </c>
      <c r="G431" t="str">
        <f>IFERROR(VLOOKUP(A431,预留库存!A:G,7,0),0)</f>
        <v>No</v>
      </c>
      <c r="H431">
        <f>IFERROR(VLOOKUP(A431,预留库存!A:H,8,0),0)</f>
        <v>0</v>
      </c>
      <c r="I431">
        <f>IFERROR(VLOOKUP(A431,预留库存!A:F,6,0),0)</f>
        <v>35.98</v>
      </c>
      <c r="J431">
        <f>IFERROR(VLOOKUP(A431,库龄!B:K,9,0),0)</f>
        <v>0</v>
      </c>
      <c r="K431">
        <f>IFERROR(VLOOKUP(A431,库龄!B:L,10,0),0)</f>
        <v>0</v>
      </c>
      <c r="L431">
        <f>IFERROR(VLOOKUP(A431,库龄!B:M,11,0),0)</f>
        <v>0</v>
      </c>
      <c r="M431">
        <f>IFERROR(VLOOKUP(A431,库龄!B:N,12,0),0)</f>
        <v>0</v>
      </c>
      <c r="N431">
        <f t="shared" si="14"/>
        <v>0</v>
      </c>
    </row>
    <row r="432" spans="1:14">
      <c r="A432" s="3" t="s">
        <v>1110</v>
      </c>
      <c r="B432">
        <f>IFERROR(VLOOKUP(A432,管理亚马逊库存!A:K,11,0),"")</f>
        <v>23</v>
      </c>
      <c r="C432">
        <f>IFERROR(VLOOKUP(A432,管理亚马逊库存!A:L,12,0),"")</f>
        <v>0</v>
      </c>
      <c r="D432">
        <f>IFERROR(VLOOKUP(A432,管理亚马逊库存!A:Q,17,0),"")</f>
        <v>0</v>
      </c>
      <c r="E432">
        <f>IFERROR(VLOOKUP(A432,管理亚马逊库存!A:R,18,0),"")</f>
        <v>0</v>
      </c>
      <c r="F432">
        <f t="shared" si="13"/>
        <v>0</v>
      </c>
      <c r="G432" t="str">
        <f>IFERROR(VLOOKUP(A432,预留库存!A:G,7,0),0)</f>
        <v>No</v>
      </c>
      <c r="H432">
        <f>IFERROR(VLOOKUP(A432,预留库存!A:H,8,0),0)</f>
        <v>0</v>
      </c>
      <c r="I432">
        <f>IFERROR(VLOOKUP(A432,预留库存!A:F,6,0),0)</f>
        <v>35.98</v>
      </c>
      <c r="J432">
        <f>IFERROR(VLOOKUP(A432,库龄!B:K,9,0),0)</f>
        <v>0</v>
      </c>
      <c r="K432">
        <f>IFERROR(VLOOKUP(A432,库龄!B:L,10,0),0)</f>
        <v>0</v>
      </c>
      <c r="L432">
        <f>IFERROR(VLOOKUP(A432,库龄!B:M,11,0),0)</f>
        <v>0</v>
      </c>
      <c r="M432">
        <f>IFERROR(VLOOKUP(A432,库龄!B:N,12,0),0)</f>
        <v>0</v>
      </c>
      <c r="N432">
        <f t="shared" si="14"/>
        <v>0</v>
      </c>
    </row>
    <row r="433" spans="1:14">
      <c r="A433" s="3" t="s">
        <v>1114</v>
      </c>
      <c r="B433">
        <f>IFERROR(VLOOKUP(A433,管理亚马逊库存!A:K,11,0),"")</f>
        <v>9</v>
      </c>
      <c r="C433">
        <f>IFERROR(VLOOKUP(A433,管理亚马逊库存!A:L,12,0),"")</f>
        <v>0</v>
      </c>
      <c r="D433">
        <f>IFERROR(VLOOKUP(A433,管理亚马逊库存!A:Q,17,0),"")</f>
        <v>0</v>
      </c>
      <c r="E433">
        <f>IFERROR(VLOOKUP(A433,管理亚马逊库存!A:R,18,0),"")</f>
        <v>0</v>
      </c>
      <c r="F433">
        <f t="shared" si="13"/>
        <v>0</v>
      </c>
      <c r="G433" t="str">
        <f>IFERROR(VLOOKUP(A433,预留库存!A:G,7,0),0)</f>
        <v>No</v>
      </c>
      <c r="H433">
        <f>IFERROR(VLOOKUP(A433,预留库存!A:H,8,0),0)</f>
        <v>0</v>
      </c>
      <c r="I433">
        <f>IFERROR(VLOOKUP(A433,预留库存!A:F,6,0),0)</f>
        <v>35.98</v>
      </c>
      <c r="J433">
        <f>IFERROR(VLOOKUP(A433,库龄!B:K,9,0),0)</f>
        <v>0</v>
      </c>
      <c r="K433">
        <f>IFERROR(VLOOKUP(A433,库龄!B:L,10,0),0)</f>
        <v>0</v>
      </c>
      <c r="L433">
        <f>IFERROR(VLOOKUP(A433,库龄!B:M,11,0),0)</f>
        <v>0</v>
      </c>
      <c r="M433">
        <f>IFERROR(VLOOKUP(A433,库龄!B:N,12,0),0)</f>
        <v>0</v>
      </c>
      <c r="N433">
        <f t="shared" si="14"/>
        <v>0</v>
      </c>
    </row>
    <row r="434" spans="1:14">
      <c r="A434" s="3" t="s">
        <v>1118</v>
      </c>
      <c r="B434">
        <f>IFERROR(VLOOKUP(A434,管理亚马逊库存!A:K,11,0),"")</f>
        <v>0</v>
      </c>
      <c r="C434">
        <f>IFERROR(VLOOKUP(A434,管理亚马逊库存!A:L,12,0),"")</f>
        <v>0</v>
      </c>
      <c r="D434">
        <f>IFERROR(VLOOKUP(A434,管理亚马逊库存!A:Q,17,0),"")</f>
        <v>0</v>
      </c>
      <c r="E434">
        <f>IFERROR(VLOOKUP(A434,管理亚马逊库存!A:R,18,0),"")</f>
        <v>0</v>
      </c>
      <c r="F434">
        <f t="shared" si="13"/>
        <v>0</v>
      </c>
      <c r="G434" t="str">
        <f>IFERROR(VLOOKUP(A434,预留库存!A:G,7,0),0)</f>
        <v>No</v>
      </c>
      <c r="H434">
        <f>IFERROR(VLOOKUP(A434,预留库存!A:H,8,0),0)</f>
        <v>0</v>
      </c>
      <c r="I434">
        <f>IFERROR(VLOOKUP(A434,预留库存!A:F,6,0),0)</f>
        <v>35.98</v>
      </c>
      <c r="J434">
        <f>IFERROR(VLOOKUP(A434,库龄!B:K,9,0),0)</f>
        <v>0</v>
      </c>
      <c r="K434">
        <f>IFERROR(VLOOKUP(A434,库龄!B:L,10,0),0)</f>
        <v>0</v>
      </c>
      <c r="L434">
        <f>IFERROR(VLOOKUP(A434,库龄!B:M,11,0),0)</f>
        <v>0</v>
      </c>
      <c r="M434">
        <f>IFERROR(VLOOKUP(A434,库龄!B:N,12,0),0)</f>
        <v>0</v>
      </c>
      <c r="N434">
        <f t="shared" si="14"/>
        <v>0</v>
      </c>
    </row>
    <row r="435" spans="1:14">
      <c r="A435" s="3" t="s">
        <v>1122</v>
      </c>
      <c r="B435">
        <f>IFERROR(VLOOKUP(A435,管理亚马逊库存!A:K,11,0),"")</f>
        <v>0</v>
      </c>
      <c r="C435">
        <f>IFERROR(VLOOKUP(A435,管理亚马逊库存!A:L,12,0),"")</f>
        <v>0</v>
      </c>
      <c r="D435">
        <f>IFERROR(VLOOKUP(A435,管理亚马逊库存!A:Q,17,0),"")</f>
        <v>0</v>
      </c>
      <c r="E435">
        <f>IFERROR(VLOOKUP(A435,管理亚马逊库存!A:R,18,0),"")</f>
        <v>0</v>
      </c>
      <c r="F435">
        <f t="shared" si="13"/>
        <v>0</v>
      </c>
      <c r="G435" t="str">
        <f>IFERROR(VLOOKUP(A435,预留库存!A:G,7,0),0)</f>
        <v>No</v>
      </c>
      <c r="H435">
        <f>IFERROR(VLOOKUP(A435,预留库存!A:H,8,0),0)</f>
        <v>0</v>
      </c>
      <c r="I435">
        <f>IFERROR(VLOOKUP(A435,预留库存!A:F,6,0),0)</f>
        <v>35.98</v>
      </c>
      <c r="J435">
        <f>IFERROR(VLOOKUP(A435,库龄!B:K,9,0),0)</f>
        <v>0</v>
      </c>
      <c r="K435">
        <f>IFERROR(VLOOKUP(A435,库龄!B:L,10,0),0)</f>
        <v>0</v>
      </c>
      <c r="L435">
        <f>IFERROR(VLOOKUP(A435,库龄!B:M,11,0),0)</f>
        <v>0</v>
      </c>
      <c r="M435">
        <f>IFERROR(VLOOKUP(A435,库龄!B:N,12,0),0)</f>
        <v>0</v>
      </c>
      <c r="N435">
        <f t="shared" si="14"/>
        <v>0</v>
      </c>
    </row>
    <row r="436" spans="1:14">
      <c r="A436" s="3" t="s">
        <v>1126</v>
      </c>
      <c r="B436">
        <f>IFERROR(VLOOKUP(A436,管理亚马逊库存!A:K,11,0),"")</f>
        <v>12</v>
      </c>
      <c r="C436">
        <f>IFERROR(VLOOKUP(A436,管理亚马逊库存!A:L,12,0),"")</f>
        <v>0</v>
      </c>
      <c r="D436">
        <f>IFERROR(VLOOKUP(A436,管理亚马逊库存!A:Q,17,0),"")</f>
        <v>0</v>
      </c>
      <c r="E436">
        <f>IFERROR(VLOOKUP(A436,管理亚马逊库存!A:R,18,0),"")</f>
        <v>0</v>
      </c>
      <c r="F436">
        <f t="shared" si="13"/>
        <v>0</v>
      </c>
      <c r="G436" t="str">
        <f>IFERROR(VLOOKUP(A436,预留库存!A:G,7,0),0)</f>
        <v>No</v>
      </c>
      <c r="H436">
        <f>IFERROR(VLOOKUP(A436,预留库存!A:H,8,0),0)</f>
        <v>0</v>
      </c>
      <c r="I436">
        <f>IFERROR(VLOOKUP(A436,预留库存!A:F,6,0),0)</f>
        <v>35.98</v>
      </c>
      <c r="J436">
        <f>IFERROR(VLOOKUP(A436,库龄!B:K,9,0),0)</f>
        <v>0</v>
      </c>
      <c r="K436">
        <f>IFERROR(VLOOKUP(A436,库龄!B:L,10,0),0)</f>
        <v>0</v>
      </c>
      <c r="L436">
        <f>IFERROR(VLOOKUP(A436,库龄!B:M,11,0),0)</f>
        <v>0</v>
      </c>
      <c r="M436">
        <f>IFERROR(VLOOKUP(A436,库龄!B:N,12,0),0)</f>
        <v>0</v>
      </c>
      <c r="N436">
        <f t="shared" si="14"/>
        <v>0</v>
      </c>
    </row>
    <row r="437" spans="1:14">
      <c r="A437" s="3" t="s">
        <v>1130</v>
      </c>
      <c r="B437">
        <f>IFERROR(VLOOKUP(A437,管理亚马逊库存!A:K,11,0),"")</f>
        <v>10</v>
      </c>
      <c r="C437">
        <f>IFERROR(VLOOKUP(A437,管理亚马逊库存!A:L,12,0),"")</f>
        <v>0</v>
      </c>
      <c r="D437">
        <f>IFERROR(VLOOKUP(A437,管理亚马逊库存!A:Q,17,0),"")</f>
        <v>0</v>
      </c>
      <c r="E437">
        <f>IFERROR(VLOOKUP(A437,管理亚马逊库存!A:R,18,0),"")</f>
        <v>0</v>
      </c>
      <c r="F437">
        <f t="shared" si="13"/>
        <v>0</v>
      </c>
      <c r="G437" t="str">
        <f>IFERROR(VLOOKUP(A437,预留库存!A:G,7,0),0)</f>
        <v>No</v>
      </c>
      <c r="H437">
        <f>IFERROR(VLOOKUP(A437,预留库存!A:H,8,0),0)</f>
        <v>0</v>
      </c>
      <c r="I437">
        <f>IFERROR(VLOOKUP(A437,预留库存!A:F,6,0),0)</f>
        <v>35.98</v>
      </c>
      <c r="J437">
        <f>IFERROR(VLOOKUP(A437,库龄!B:K,9,0),0)</f>
        <v>0</v>
      </c>
      <c r="K437">
        <f>IFERROR(VLOOKUP(A437,库龄!B:L,10,0),0)</f>
        <v>0</v>
      </c>
      <c r="L437">
        <f>IFERROR(VLOOKUP(A437,库龄!B:M,11,0),0)</f>
        <v>0</v>
      </c>
      <c r="M437">
        <f>IFERROR(VLOOKUP(A437,库龄!B:N,12,0),0)</f>
        <v>0</v>
      </c>
      <c r="N437">
        <f t="shared" si="14"/>
        <v>0</v>
      </c>
    </row>
    <row r="438" spans="1:14">
      <c r="A438" s="3" t="s">
        <v>1134</v>
      </c>
      <c r="B438">
        <f>IFERROR(VLOOKUP(A438,管理亚马逊库存!A:K,11,0),"")</f>
        <v>24</v>
      </c>
      <c r="C438">
        <f>IFERROR(VLOOKUP(A438,管理亚马逊库存!A:L,12,0),"")</f>
        <v>0</v>
      </c>
      <c r="D438">
        <f>IFERROR(VLOOKUP(A438,管理亚马逊库存!A:Q,17,0),"")</f>
        <v>0</v>
      </c>
      <c r="E438">
        <f>IFERROR(VLOOKUP(A438,管理亚马逊库存!A:R,18,0),"")</f>
        <v>0</v>
      </c>
      <c r="F438">
        <f t="shared" si="13"/>
        <v>0</v>
      </c>
      <c r="G438" t="str">
        <f>IFERROR(VLOOKUP(A438,预留库存!A:G,7,0),0)</f>
        <v>No</v>
      </c>
      <c r="H438">
        <f>IFERROR(VLOOKUP(A438,预留库存!A:H,8,0),0)</f>
        <v>0</v>
      </c>
      <c r="I438">
        <f>IFERROR(VLOOKUP(A438,预留库存!A:F,6,0),0)</f>
        <v>35.98</v>
      </c>
      <c r="J438">
        <f>IFERROR(VLOOKUP(A438,库龄!B:K,9,0),0)</f>
        <v>0</v>
      </c>
      <c r="K438">
        <f>IFERROR(VLOOKUP(A438,库龄!B:L,10,0),0)</f>
        <v>0</v>
      </c>
      <c r="L438">
        <f>IFERROR(VLOOKUP(A438,库龄!B:M,11,0),0)</f>
        <v>0</v>
      </c>
      <c r="M438">
        <f>IFERROR(VLOOKUP(A438,库龄!B:N,12,0),0)</f>
        <v>0</v>
      </c>
      <c r="N438">
        <f t="shared" si="14"/>
        <v>0</v>
      </c>
    </row>
    <row r="439" spans="1:14">
      <c r="A439" s="3" t="s">
        <v>1138</v>
      </c>
      <c r="B439">
        <f>IFERROR(VLOOKUP(A439,管理亚马逊库存!A:K,11,0),"")</f>
        <v>12</v>
      </c>
      <c r="C439">
        <f>IFERROR(VLOOKUP(A439,管理亚马逊库存!A:L,12,0),"")</f>
        <v>0</v>
      </c>
      <c r="D439">
        <f>IFERROR(VLOOKUP(A439,管理亚马逊库存!A:Q,17,0),"")</f>
        <v>0</v>
      </c>
      <c r="E439">
        <f>IFERROR(VLOOKUP(A439,管理亚马逊库存!A:R,18,0),"")</f>
        <v>0</v>
      </c>
      <c r="F439">
        <f t="shared" si="13"/>
        <v>0</v>
      </c>
      <c r="G439" t="str">
        <f>IFERROR(VLOOKUP(A439,预留库存!A:G,7,0),0)</f>
        <v>No</v>
      </c>
      <c r="H439">
        <f>IFERROR(VLOOKUP(A439,预留库存!A:H,8,0),0)</f>
        <v>0</v>
      </c>
      <c r="I439">
        <f>IFERROR(VLOOKUP(A439,预留库存!A:F,6,0),0)</f>
        <v>35.98</v>
      </c>
      <c r="J439">
        <f>IFERROR(VLOOKUP(A439,库龄!B:K,9,0),0)</f>
        <v>0</v>
      </c>
      <c r="K439">
        <f>IFERROR(VLOOKUP(A439,库龄!B:L,10,0),0)</f>
        <v>0</v>
      </c>
      <c r="L439">
        <f>IFERROR(VLOOKUP(A439,库龄!B:M,11,0),0)</f>
        <v>0</v>
      </c>
      <c r="M439">
        <f>IFERROR(VLOOKUP(A439,库龄!B:N,12,0),0)</f>
        <v>0</v>
      </c>
      <c r="N439">
        <f t="shared" si="14"/>
        <v>0</v>
      </c>
    </row>
    <row r="440" spans="1:14">
      <c r="A440" s="3" t="s">
        <v>1142</v>
      </c>
      <c r="B440">
        <f>IFERROR(VLOOKUP(A440,管理亚马逊库存!A:K,11,0),"")</f>
        <v>15</v>
      </c>
      <c r="C440">
        <f>IFERROR(VLOOKUP(A440,管理亚马逊库存!A:L,12,0),"")</f>
        <v>0</v>
      </c>
      <c r="D440">
        <f>IFERROR(VLOOKUP(A440,管理亚马逊库存!A:Q,17,0),"")</f>
        <v>0</v>
      </c>
      <c r="E440">
        <f>IFERROR(VLOOKUP(A440,管理亚马逊库存!A:R,18,0),"")</f>
        <v>0</v>
      </c>
      <c r="F440">
        <f t="shared" si="13"/>
        <v>0</v>
      </c>
      <c r="G440" t="str">
        <f>IFERROR(VLOOKUP(A440,预留库存!A:G,7,0),0)</f>
        <v>Yes</v>
      </c>
      <c r="H440">
        <f>IFERROR(VLOOKUP(A440,预留库存!A:H,8,0),0)</f>
        <v>0</v>
      </c>
      <c r="I440">
        <f>IFERROR(VLOOKUP(A440,预留库存!A:F,6,0),0)</f>
        <v>35.98</v>
      </c>
      <c r="J440">
        <f>IFERROR(VLOOKUP(A440,库龄!B:K,9,0),0)</f>
        <v>0</v>
      </c>
      <c r="K440">
        <f>IFERROR(VLOOKUP(A440,库龄!B:L,10,0),0)</f>
        <v>0</v>
      </c>
      <c r="L440">
        <f>IFERROR(VLOOKUP(A440,库龄!B:M,11,0),0)</f>
        <v>0</v>
      </c>
      <c r="M440">
        <f>IFERROR(VLOOKUP(A440,库龄!B:N,12,0),0)</f>
        <v>0</v>
      </c>
      <c r="N440">
        <f t="shared" si="14"/>
        <v>0</v>
      </c>
    </row>
    <row r="441" spans="1:14">
      <c r="A441" s="3" t="s">
        <v>1144</v>
      </c>
      <c r="B441">
        <f>IFERROR(VLOOKUP(A441,管理亚马逊库存!A:K,11,0),"")</f>
        <v>0</v>
      </c>
      <c r="C441">
        <f>IFERROR(VLOOKUP(A441,管理亚马逊库存!A:L,12,0),"")</f>
        <v>0</v>
      </c>
      <c r="D441">
        <f>IFERROR(VLOOKUP(A441,管理亚马逊库存!A:Q,17,0),"")</f>
        <v>0</v>
      </c>
      <c r="E441">
        <f>IFERROR(VLOOKUP(A441,管理亚马逊库存!A:R,18,0),"")</f>
        <v>0</v>
      </c>
      <c r="F441">
        <f t="shared" si="13"/>
        <v>0</v>
      </c>
      <c r="G441" t="str">
        <f>IFERROR(VLOOKUP(A441,预留库存!A:G,7,0),0)</f>
        <v>No</v>
      </c>
      <c r="H441">
        <f>IFERROR(VLOOKUP(A441,预留库存!A:H,8,0),0)</f>
        <v>0</v>
      </c>
      <c r="I441">
        <f>IFERROR(VLOOKUP(A441,预留库存!A:F,6,0),0)</f>
        <v>35.98</v>
      </c>
      <c r="J441">
        <f>IFERROR(VLOOKUP(A441,库龄!B:K,9,0),0)</f>
        <v>0</v>
      </c>
      <c r="K441">
        <f>IFERROR(VLOOKUP(A441,库龄!B:L,10,0),0)</f>
        <v>0</v>
      </c>
      <c r="L441">
        <f>IFERROR(VLOOKUP(A441,库龄!B:M,11,0),0)</f>
        <v>0</v>
      </c>
      <c r="M441">
        <f>IFERROR(VLOOKUP(A441,库龄!B:N,12,0),0)</f>
        <v>0</v>
      </c>
      <c r="N441">
        <f t="shared" si="14"/>
        <v>0</v>
      </c>
    </row>
    <row r="442" spans="1:14">
      <c r="A442" s="3" t="s">
        <v>1148</v>
      </c>
      <c r="B442">
        <f>IFERROR(VLOOKUP(A442,管理亚马逊库存!A:K,11,0),"")</f>
        <v>9</v>
      </c>
      <c r="C442">
        <f>IFERROR(VLOOKUP(A442,管理亚马逊库存!A:L,12,0),"")</f>
        <v>0</v>
      </c>
      <c r="D442">
        <f>IFERROR(VLOOKUP(A442,管理亚马逊库存!A:Q,17,0),"")</f>
        <v>0</v>
      </c>
      <c r="E442">
        <f>IFERROR(VLOOKUP(A442,管理亚马逊库存!A:R,18,0),"")</f>
        <v>0</v>
      </c>
      <c r="F442">
        <f t="shared" si="13"/>
        <v>0</v>
      </c>
      <c r="G442" t="str">
        <f>IFERROR(VLOOKUP(A442,预留库存!A:G,7,0),0)</f>
        <v>No</v>
      </c>
      <c r="H442">
        <f>IFERROR(VLOOKUP(A442,预留库存!A:H,8,0),0)</f>
        <v>0</v>
      </c>
      <c r="I442">
        <f>IFERROR(VLOOKUP(A442,预留库存!A:F,6,0),0)</f>
        <v>35.98</v>
      </c>
      <c r="J442">
        <f>IFERROR(VLOOKUP(A442,库龄!B:K,9,0),0)</f>
        <v>0</v>
      </c>
      <c r="K442">
        <f>IFERROR(VLOOKUP(A442,库龄!B:L,10,0),0)</f>
        <v>0</v>
      </c>
      <c r="L442">
        <f>IFERROR(VLOOKUP(A442,库龄!B:M,11,0),0)</f>
        <v>0</v>
      </c>
      <c r="M442">
        <f>IFERROR(VLOOKUP(A442,库龄!B:N,12,0),0)</f>
        <v>0</v>
      </c>
      <c r="N442">
        <f t="shared" si="14"/>
        <v>0</v>
      </c>
    </row>
    <row r="443" spans="1:14">
      <c r="A443" s="3" t="s">
        <v>1152</v>
      </c>
      <c r="B443">
        <f>IFERROR(VLOOKUP(A443,管理亚马逊库存!A:K,11,0),"")</f>
        <v>39</v>
      </c>
      <c r="C443">
        <f>IFERROR(VLOOKUP(A443,管理亚马逊库存!A:L,12,0),"")</f>
        <v>0</v>
      </c>
      <c r="D443">
        <f>IFERROR(VLOOKUP(A443,管理亚马逊库存!A:Q,17,0),"")</f>
        <v>0</v>
      </c>
      <c r="E443">
        <f>IFERROR(VLOOKUP(A443,管理亚马逊库存!A:R,18,0),"")</f>
        <v>0</v>
      </c>
      <c r="F443">
        <f t="shared" si="13"/>
        <v>0</v>
      </c>
      <c r="G443" t="str">
        <f>IFERROR(VLOOKUP(A443,预留库存!A:G,7,0),0)</f>
        <v>No</v>
      </c>
      <c r="H443">
        <f>IFERROR(VLOOKUP(A443,预留库存!A:H,8,0),0)</f>
        <v>0</v>
      </c>
      <c r="I443">
        <f>IFERROR(VLOOKUP(A443,预留库存!A:F,6,0),0)</f>
        <v>35.98</v>
      </c>
      <c r="J443">
        <f>IFERROR(VLOOKUP(A443,库龄!B:K,9,0),0)</f>
        <v>0</v>
      </c>
      <c r="K443">
        <f>IFERROR(VLOOKUP(A443,库龄!B:L,10,0),0)</f>
        <v>0</v>
      </c>
      <c r="L443">
        <f>IFERROR(VLOOKUP(A443,库龄!B:M,11,0),0)</f>
        <v>0</v>
      </c>
      <c r="M443">
        <f>IFERROR(VLOOKUP(A443,库龄!B:N,12,0),0)</f>
        <v>0</v>
      </c>
      <c r="N443">
        <f t="shared" si="14"/>
        <v>0</v>
      </c>
    </row>
    <row r="444" spans="1:14">
      <c r="A444" s="3" t="s">
        <v>1156</v>
      </c>
      <c r="B444">
        <f>IFERROR(VLOOKUP(A444,管理亚马逊库存!A:K,11,0),"")</f>
        <v>40</v>
      </c>
      <c r="C444">
        <f>IFERROR(VLOOKUP(A444,管理亚马逊库存!A:L,12,0),"")</f>
        <v>0</v>
      </c>
      <c r="D444">
        <f>IFERROR(VLOOKUP(A444,管理亚马逊库存!A:Q,17,0),"")</f>
        <v>0</v>
      </c>
      <c r="E444">
        <f>IFERROR(VLOOKUP(A444,管理亚马逊库存!A:R,18,0),"")</f>
        <v>0</v>
      </c>
      <c r="F444">
        <f t="shared" si="13"/>
        <v>0</v>
      </c>
      <c r="G444" t="str">
        <f>IFERROR(VLOOKUP(A444,预留库存!A:G,7,0),0)</f>
        <v>No</v>
      </c>
      <c r="H444">
        <f>IFERROR(VLOOKUP(A444,预留库存!A:H,8,0),0)</f>
        <v>0</v>
      </c>
      <c r="I444">
        <f>IFERROR(VLOOKUP(A444,预留库存!A:F,6,0),0)</f>
        <v>35.98</v>
      </c>
      <c r="J444">
        <f>IFERROR(VLOOKUP(A444,库龄!B:K,9,0),0)</f>
        <v>0</v>
      </c>
      <c r="K444">
        <f>IFERROR(VLOOKUP(A444,库龄!B:L,10,0),0)</f>
        <v>0</v>
      </c>
      <c r="L444">
        <f>IFERROR(VLOOKUP(A444,库龄!B:M,11,0),0)</f>
        <v>0</v>
      </c>
      <c r="M444">
        <f>IFERROR(VLOOKUP(A444,库龄!B:N,12,0),0)</f>
        <v>0</v>
      </c>
      <c r="N444">
        <f t="shared" si="14"/>
        <v>0</v>
      </c>
    </row>
    <row r="445" spans="1:14">
      <c r="A445" s="3" t="s">
        <v>1160</v>
      </c>
      <c r="B445">
        <f>IFERROR(VLOOKUP(A445,管理亚马逊库存!A:K,11,0),"")</f>
        <v>0</v>
      </c>
      <c r="C445">
        <f>IFERROR(VLOOKUP(A445,管理亚马逊库存!A:L,12,0),"")</f>
        <v>0</v>
      </c>
      <c r="D445">
        <f>IFERROR(VLOOKUP(A445,管理亚马逊库存!A:Q,17,0),"")</f>
        <v>0</v>
      </c>
      <c r="E445">
        <f>IFERROR(VLOOKUP(A445,管理亚马逊库存!A:R,18,0),"")</f>
        <v>0</v>
      </c>
      <c r="F445">
        <f t="shared" si="13"/>
        <v>0</v>
      </c>
      <c r="G445" t="str">
        <f>IFERROR(VLOOKUP(A445,预留库存!A:G,7,0),0)</f>
        <v>No</v>
      </c>
      <c r="H445">
        <f>IFERROR(VLOOKUP(A445,预留库存!A:H,8,0),0)</f>
        <v>0</v>
      </c>
      <c r="I445">
        <f>IFERROR(VLOOKUP(A445,预留库存!A:F,6,0),0)</f>
        <v>35.98</v>
      </c>
      <c r="J445">
        <f>IFERROR(VLOOKUP(A445,库龄!B:K,9,0),0)</f>
        <v>0</v>
      </c>
      <c r="K445">
        <f>IFERROR(VLOOKUP(A445,库龄!B:L,10,0),0)</f>
        <v>0</v>
      </c>
      <c r="L445">
        <f>IFERROR(VLOOKUP(A445,库龄!B:M,11,0),0)</f>
        <v>0</v>
      </c>
      <c r="M445">
        <f>IFERROR(VLOOKUP(A445,库龄!B:N,12,0),0)</f>
        <v>0</v>
      </c>
      <c r="N445">
        <f t="shared" si="14"/>
        <v>0</v>
      </c>
    </row>
    <row r="446" spans="1:14">
      <c r="A446" s="3" t="s">
        <v>1164</v>
      </c>
      <c r="B446">
        <f>IFERROR(VLOOKUP(A446,管理亚马逊库存!A:K,11,0),"")</f>
        <v>11</v>
      </c>
      <c r="C446">
        <f>IFERROR(VLOOKUP(A446,管理亚马逊库存!A:L,12,0),"")</f>
        <v>0</v>
      </c>
      <c r="D446">
        <f>IFERROR(VLOOKUP(A446,管理亚马逊库存!A:Q,17,0),"")</f>
        <v>0</v>
      </c>
      <c r="E446">
        <f>IFERROR(VLOOKUP(A446,管理亚马逊库存!A:R,18,0),"")</f>
        <v>0</v>
      </c>
      <c r="F446">
        <f t="shared" si="13"/>
        <v>0</v>
      </c>
      <c r="G446" t="str">
        <f>IFERROR(VLOOKUP(A446,预留库存!A:G,7,0),0)</f>
        <v>No</v>
      </c>
      <c r="H446">
        <f>IFERROR(VLOOKUP(A446,预留库存!A:H,8,0),0)</f>
        <v>0</v>
      </c>
      <c r="I446">
        <f>IFERROR(VLOOKUP(A446,预留库存!A:F,6,0),0)</f>
        <v>35.98</v>
      </c>
      <c r="J446">
        <f>IFERROR(VLOOKUP(A446,库龄!B:K,9,0),0)</f>
        <v>0</v>
      </c>
      <c r="K446">
        <f>IFERROR(VLOOKUP(A446,库龄!B:L,10,0),0)</f>
        <v>0</v>
      </c>
      <c r="L446">
        <f>IFERROR(VLOOKUP(A446,库龄!B:M,11,0),0)</f>
        <v>0</v>
      </c>
      <c r="M446">
        <f>IFERROR(VLOOKUP(A446,库龄!B:N,12,0),0)</f>
        <v>0</v>
      </c>
      <c r="N446">
        <f t="shared" si="14"/>
        <v>0</v>
      </c>
    </row>
    <row r="447" spans="1:14">
      <c r="A447" s="3" t="s">
        <v>1168</v>
      </c>
      <c r="B447">
        <f>IFERROR(VLOOKUP(A447,管理亚马逊库存!A:K,11,0),"")</f>
        <v>0</v>
      </c>
      <c r="C447">
        <f>IFERROR(VLOOKUP(A447,管理亚马逊库存!A:L,12,0),"")</f>
        <v>0</v>
      </c>
      <c r="D447">
        <f>IFERROR(VLOOKUP(A447,管理亚马逊库存!A:Q,17,0),"")</f>
        <v>0</v>
      </c>
      <c r="E447">
        <f>IFERROR(VLOOKUP(A447,管理亚马逊库存!A:R,18,0),"")</f>
        <v>0</v>
      </c>
      <c r="F447">
        <f t="shared" si="13"/>
        <v>0</v>
      </c>
      <c r="G447" t="str">
        <f>IFERROR(VLOOKUP(A447,预留库存!A:G,7,0),0)</f>
        <v>No</v>
      </c>
      <c r="H447">
        <f>IFERROR(VLOOKUP(A447,预留库存!A:H,8,0),0)</f>
        <v>0</v>
      </c>
      <c r="I447">
        <f>IFERROR(VLOOKUP(A447,预留库存!A:F,6,0),0)</f>
        <v>35.98</v>
      </c>
      <c r="J447">
        <f>IFERROR(VLOOKUP(A447,库龄!B:K,9,0),0)</f>
        <v>0</v>
      </c>
      <c r="K447">
        <f>IFERROR(VLOOKUP(A447,库龄!B:L,10,0),0)</f>
        <v>0</v>
      </c>
      <c r="L447">
        <f>IFERROR(VLOOKUP(A447,库龄!B:M,11,0),0)</f>
        <v>0</v>
      </c>
      <c r="M447">
        <f>IFERROR(VLOOKUP(A447,库龄!B:N,12,0),0)</f>
        <v>0</v>
      </c>
      <c r="N447">
        <f t="shared" si="14"/>
        <v>0</v>
      </c>
    </row>
    <row r="448" spans="1:14">
      <c r="A448" s="3" t="s">
        <v>1172</v>
      </c>
      <c r="B448">
        <f>IFERROR(VLOOKUP(A448,管理亚马逊库存!A:K,11,0),"")</f>
        <v>0</v>
      </c>
      <c r="C448">
        <f>IFERROR(VLOOKUP(A448,管理亚马逊库存!A:L,12,0),"")</f>
        <v>0</v>
      </c>
      <c r="D448">
        <f>IFERROR(VLOOKUP(A448,管理亚马逊库存!A:Q,17,0),"")</f>
        <v>0</v>
      </c>
      <c r="E448">
        <f>IFERROR(VLOOKUP(A448,管理亚马逊库存!A:R,18,0),"")</f>
        <v>0</v>
      </c>
      <c r="F448">
        <f t="shared" si="13"/>
        <v>0</v>
      </c>
      <c r="G448" t="str">
        <f>IFERROR(VLOOKUP(A448,预留库存!A:G,7,0),0)</f>
        <v>No</v>
      </c>
      <c r="H448">
        <f>IFERROR(VLOOKUP(A448,预留库存!A:H,8,0),0)</f>
        <v>0</v>
      </c>
      <c r="I448">
        <f>IFERROR(VLOOKUP(A448,预留库存!A:F,6,0),0)</f>
        <v>35.98</v>
      </c>
      <c r="J448">
        <f>IFERROR(VLOOKUP(A448,库龄!B:K,9,0),0)</f>
        <v>0</v>
      </c>
      <c r="K448">
        <f>IFERROR(VLOOKUP(A448,库龄!B:L,10,0),0)</f>
        <v>0</v>
      </c>
      <c r="L448">
        <f>IFERROR(VLOOKUP(A448,库龄!B:M,11,0),0)</f>
        <v>0</v>
      </c>
      <c r="M448">
        <f>IFERROR(VLOOKUP(A448,库龄!B:N,12,0),0)</f>
        <v>0</v>
      </c>
      <c r="N448">
        <f t="shared" si="14"/>
        <v>0</v>
      </c>
    </row>
    <row r="449" spans="1:14">
      <c r="A449" s="3" t="s">
        <v>1176</v>
      </c>
      <c r="B449">
        <f>IFERROR(VLOOKUP(A449,管理亚马逊库存!A:K,11,0),"")</f>
        <v>0</v>
      </c>
      <c r="C449">
        <f>IFERROR(VLOOKUP(A449,管理亚马逊库存!A:L,12,0),"")</f>
        <v>0</v>
      </c>
      <c r="D449">
        <f>IFERROR(VLOOKUP(A449,管理亚马逊库存!A:Q,17,0),"")</f>
        <v>0</v>
      </c>
      <c r="E449">
        <f>IFERROR(VLOOKUP(A449,管理亚马逊库存!A:R,18,0),"")</f>
        <v>0</v>
      </c>
      <c r="F449">
        <f t="shared" si="13"/>
        <v>0</v>
      </c>
      <c r="G449" t="str">
        <f>IFERROR(VLOOKUP(A449,预留库存!A:G,7,0),0)</f>
        <v>No</v>
      </c>
      <c r="H449">
        <f>IFERROR(VLOOKUP(A449,预留库存!A:H,8,0),0)</f>
        <v>0</v>
      </c>
      <c r="I449">
        <f>IFERROR(VLOOKUP(A449,预留库存!A:F,6,0),0)</f>
        <v>35.98</v>
      </c>
      <c r="J449">
        <f>IFERROR(VLOOKUP(A449,库龄!B:K,9,0),0)</f>
        <v>0</v>
      </c>
      <c r="K449">
        <f>IFERROR(VLOOKUP(A449,库龄!B:L,10,0),0)</f>
        <v>0</v>
      </c>
      <c r="L449">
        <f>IFERROR(VLOOKUP(A449,库龄!B:M,11,0),0)</f>
        <v>0</v>
      </c>
      <c r="M449">
        <f>IFERROR(VLOOKUP(A449,库龄!B:N,12,0),0)</f>
        <v>0</v>
      </c>
      <c r="N449">
        <f t="shared" si="14"/>
        <v>0</v>
      </c>
    </row>
    <row r="450" spans="1:14">
      <c r="A450" s="3" t="s">
        <v>1179</v>
      </c>
      <c r="B450">
        <f>IFERROR(VLOOKUP(A450,管理亚马逊库存!A:K,11,0),"")</f>
        <v>0</v>
      </c>
      <c r="C450">
        <f>IFERROR(VLOOKUP(A450,管理亚马逊库存!A:L,12,0),"")</f>
        <v>0</v>
      </c>
      <c r="D450">
        <f>IFERROR(VLOOKUP(A450,管理亚马逊库存!A:Q,17,0),"")</f>
        <v>0</v>
      </c>
      <c r="E450">
        <f>IFERROR(VLOOKUP(A450,管理亚马逊库存!A:R,18,0),"")</f>
        <v>0</v>
      </c>
      <c r="F450">
        <f t="shared" si="13"/>
        <v>0</v>
      </c>
      <c r="G450" t="str">
        <f>IFERROR(VLOOKUP(A450,预留库存!A:G,7,0),0)</f>
        <v>No</v>
      </c>
      <c r="H450">
        <f>IFERROR(VLOOKUP(A450,预留库存!A:H,8,0),0)</f>
        <v>0</v>
      </c>
      <c r="I450">
        <f>IFERROR(VLOOKUP(A450,预留库存!A:F,6,0),0)</f>
        <v>35.98</v>
      </c>
      <c r="J450">
        <f>IFERROR(VLOOKUP(A450,库龄!B:K,9,0),0)</f>
        <v>0</v>
      </c>
      <c r="K450">
        <f>IFERROR(VLOOKUP(A450,库龄!B:L,10,0),0)</f>
        <v>0</v>
      </c>
      <c r="L450">
        <f>IFERROR(VLOOKUP(A450,库龄!B:M,11,0),0)</f>
        <v>0</v>
      </c>
      <c r="M450">
        <f>IFERROR(VLOOKUP(A450,库龄!B:N,12,0),0)</f>
        <v>0</v>
      </c>
      <c r="N450">
        <f t="shared" si="14"/>
        <v>0</v>
      </c>
    </row>
    <row r="451" spans="1:14">
      <c r="A451" s="3" t="s">
        <v>1183</v>
      </c>
      <c r="B451">
        <f>IFERROR(VLOOKUP(A451,管理亚马逊库存!A:K,11,0),"")</f>
        <v>0</v>
      </c>
      <c r="C451">
        <f>IFERROR(VLOOKUP(A451,管理亚马逊库存!A:L,12,0),"")</f>
        <v>0</v>
      </c>
      <c r="D451">
        <f>IFERROR(VLOOKUP(A451,管理亚马逊库存!A:Q,17,0),"")</f>
        <v>0</v>
      </c>
      <c r="E451">
        <f>IFERROR(VLOOKUP(A451,管理亚马逊库存!A:R,18,0),"")</f>
        <v>0</v>
      </c>
      <c r="F451">
        <f t="shared" ref="F451:F514" si="15">SUM(D451:E451)</f>
        <v>0</v>
      </c>
      <c r="G451" t="str">
        <f>IFERROR(VLOOKUP(A451,预留库存!A:G,7,0),0)</f>
        <v>No</v>
      </c>
      <c r="H451">
        <f>IFERROR(VLOOKUP(A451,预留库存!A:H,8,0),0)</f>
        <v>0</v>
      </c>
      <c r="I451">
        <f>IFERROR(VLOOKUP(A451,预留库存!A:F,6,0),0)</f>
        <v>35.98</v>
      </c>
      <c r="J451">
        <f>IFERROR(VLOOKUP(A451,库龄!B:K,9,0),0)</f>
        <v>0</v>
      </c>
      <c r="K451">
        <f>IFERROR(VLOOKUP(A451,库龄!B:L,10,0),0)</f>
        <v>0</v>
      </c>
      <c r="L451">
        <f>IFERROR(VLOOKUP(A451,库龄!B:M,11,0),0)</f>
        <v>0</v>
      </c>
      <c r="M451">
        <f>IFERROR(VLOOKUP(A451,库龄!B:N,12,0),0)</f>
        <v>0</v>
      </c>
      <c r="N451">
        <f t="shared" ref="N451:N514" si="16">SUM(J451:M451)</f>
        <v>0</v>
      </c>
    </row>
    <row r="452" spans="1:14">
      <c r="A452" s="3" t="s">
        <v>1187</v>
      </c>
      <c r="B452">
        <f>IFERROR(VLOOKUP(A452,管理亚马逊库存!A:K,11,0),"")</f>
        <v>9</v>
      </c>
      <c r="C452">
        <f>IFERROR(VLOOKUP(A452,管理亚马逊库存!A:L,12,0),"")</f>
        <v>0</v>
      </c>
      <c r="D452">
        <f>IFERROR(VLOOKUP(A452,管理亚马逊库存!A:Q,17,0),"")</f>
        <v>0</v>
      </c>
      <c r="E452">
        <f>IFERROR(VLOOKUP(A452,管理亚马逊库存!A:R,18,0),"")</f>
        <v>0</v>
      </c>
      <c r="F452">
        <f t="shared" si="15"/>
        <v>0</v>
      </c>
      <c r="G452" t="str">
        <f>IFERROR(VLOOKUP(A452,预留库存!A:G,7,0),0)</f>
        <v>No</v>
      </c>
      <c r="H452">
        <f>IFERROR(VLOOKUP(A452,预留库存!A:H,8,0),0)</f>
        <v>0</v>
      </c>
      <c r="I452">
        <f>IFERROR(VLOOKUP(A452,预留库存!A:F,6,0),0)</f>
        <v>35.98</v>
      </c>
      <c r="J452">
        <f>IFERROR(VLOOKUP(A452,库龄!B:K,9,0),0)</f>
        <v>0</v>
      </c>
      <c r="K452">
        <f>IFERROR(VLOOKUP(A452,库龄!B:L,10,0),0)</f>
        <v>0</v>
      </c>
      <c r="L452">
        <f>IFERROR(VLOOKUP(A452,库龄!B:M,11,0),0)</f>
        <v>0</v>
      </c>
      <c r="M452">
        <f>IFERROR(VLOOKUP(A452,库龄!B:N,12,0),0)</f>
        <v>0</v>
      </c>
      <c r="N452">
        <f t="shared" si="16"/>
        <v>0</v>
      </c>
    </row>
    <row r="453" spans="1:14">
      <c r="A453" s="3" t="s">
        <v>1191</v>
      </c>
      <c r="B453">
        <f>IFERROR(VLOOKUP(A453,管理亚马逊库存!A:K,11,0),"")</f>
        <v>0</v>
      </c>
      <c r="C453">
        <f>IFERROR(VLOOKUP(A453,管理亚马逊库存!A:L,12,0),"")</f>
        <v>0</v>
      </c>
      <c r="D453">
        <f>IFERROR(VLOOKUP(A453,管理亚马逊库存!A:Q,17,0),"")</f>
        <v>0</v>
      </c>
      <c r="E453">
        <f>IFERROR(VLOOKUP(A453,管理亚马逊库存!A:R,18,0),"")</f>
        <v>0</v>
      </c>
      <c r="F453">
        <f t="shared" si="15"/>
        <v>0</v>
      </c>
      <c r="G453" t="str">
        <f>IFERROR(VLOOKUP(A453,预留库存!A:G,7,0),0)</f>
        <v>No</v>
      </c>
      <c r="H453">
        <f>IFERROR(VLOOKUP(A453,预留库存!A:H,8,0),0)</f>
        <v>0</v>
      </c>
      <c r="I453">
        <f>IFERROR(VLOOKUP(A453,预留库存!A:F,6,0),0)</f>
        <v>35.98</v>
      </c>
      <c r="J453">
        <f>IFERROR(VLOOKUP(A453,库龄!B:K,9,0),0)</f>
        <v>0</v>
      </c>
      <c r="K453">
        <f>IFERROR(VLOOKUP(A453,库龄!B:L,10,0),0)</f>
        <v>0</v>
      </c>
      <c r="L453">
        <f>IFERROR(VLOOKUP(A453,库龄!B:M,11,0),0)</f>
        <v>0</v>
      </c>
      <c r="M453">
        <f>IFERROR(VLOOKUP(A453,库龄!B:N,12,0),0)</f>
        <v>0</v>
      </c>
      <c r="N453">
        <f t="shared" si="16"/>
        <v>0</v>
      </c>
    </row>
    <row r="454" spans="1:14">
      <c r="A454" s="3" t="s">
        <v>1195</v>
      </c>
      <c r="B454">
        <f>IFERROR(VLOOKUP(A454,管理亚马逊库存!A:K,11,0),"")</f>
        <v>0</v>
      </c>
      <c r="C454">
        <f>IFERROR(VLOOKUP(A454,管理亚马逊库存!A:L,12,0),"")</f>
        <v>0</v>
      </c>
      <c r="D454">
        <f>IFERROR(VLOOKUP(A454,管理亚马逊库存!A:Q,17,0),"")</f>
        <v>0</v>
      </c>
      <c r="E454">
        <f>IFERROR(VLOOKUP(A454,管理亚马逊库存!A:R,18,0),"")</f>
        <v>0</v>
      </c>
      <c r="F454">
        <f t="shared" si="15"/>
        <v>0</v>
      </c>
      <c r="G454" t="str">
        <f>IFERROR(VLOOKUP(A454,预留库存!A:G,7,0),0)</f>
        <v>No</v>
      </c>
      <c r="H454">
        <f>IFERROR(VLOOKUP(A454,预留库存!A:H,8,0),0)</f>
        <v>0</v>
      </c>
      <c r="I454">
        <f>IFERROR(VLOOKUP(A454,预留库存!A:F,6,0),0)</f>
        <v>35.98</v>
      </c>
      <c r="J454">
        <f>IFERROR(VLOOKUP(A454,库龄!B:K,9,0),0)</f>
        <v>0</v>
      </c>
      <c r="K454">
        <f>IFERROR(VLOOKUP(A454,库龄!B:L,10,0),0)</f>
        <v>0</v>
      </c>
      <c r="L454">
        <f>IFERROR(VLOOKUP(A454,库龄!B:M,11,0),0)</f>
        <v>0</v>
      </c>
      <c r="M454">
        <f>IFERROR(VLOOKUP(A454,库龄!B:N,12,0),0)</f>
        <v>0</v>
      </c>
      <c r="N454">
        <f t="shared" si="16"/>
        <v>0</v>
      </c>
    </row>
    <row r="455" spans="1:14">
      <c r="A455" s="3" t="s">
        <v>1199</v>
      </c>
      <c r="B455">
        <f>IFERROR(VLOOKUP(A455,管理亚马逊库存!A:K,11,0),"")</f>
        <v>0</v>
      </c>
      <c r="C455">
        <f>IFERROR(VLOOKUP(A455,管理亚马逊库存!A:L,12,0),"")</f>
        <v>0</v>
      </c>
      <c r="D455">
        <f>IFERROR(VLOOKUP(A455,管理亚马逊库存!A:Q,17,0),"")</f>
        <v>0</v>
      </c>
      <c r="E455">
        <f>IFERROR(VLOOKUP(A455,管理亚马逊库存!A:R,18,0),"")</f>
        <v>0</v>
      </c>
      <c r="F455">
        <f t="shared" si="15"/>
        <v>0</v>
      </c>
      <c r="G455" t="str">
        <f>IFERROR(VLOOKUP(A455,预留库存!A:G,7,0),0)</f>
        <v>No</v>
      </c>
      <c r="H455">
        <f>IFERROR(VLOOKUP(A455,预留库存!A:H,8,0),0)</f>
        <v>0</v>
      </c>
      <c r="I455">
        <f>IFERROR(VLOOKUP(A455,预留库存!A:F,6,0),0)</f>
        <v>35.98</v>
      </c>
      <c r="J455">
        <f>IFERROR(VLOOKUP(A455,库龄!B:K,9,0),0)</f>
        <v>0</v>
      </c>
      <c r="K455">
        <f>IFERROR(VLOOKUP(A455,库龄!B:L,10,0),0)</f>
        <v>0</v>
      </c>
      <c r="L455">
        <f>IFERROR(VLOOKUP(A455,库龄!B:M,11,0),0)</f>
        <v>0</v>
      </c>
      <c r="M455">
        <f>IFERROR(VLOOKUP(A455,库龄!B:N,12,0),0)</f>
        <v>0</v>
      </c>
      <c r="N455">
        <f t="shared" si="16"/>
        <v>0</v>
      </c>
    </row>
    <row r="456" spans="1:14">
      <c r="A456" s="3" t="s">
        <v>1203</v>
      </c>
      <c r="B456">
        <f>IFERROR(VLOOKUP(A456,管理亚马逊库存!A:K,11,0),"")</f>
        <v>0</v>
      </c>
      <c r="C456">
        <f>IFERROR(VLOOKUP(A456,管理亚马逊库存!A:L,12,0),"")</f>
        <v>0</v>
      </c>
      <c r="D456">
        <f>IFERROR(VLOOKUP(A456,管理亚马逊库存!A:Q,17,0),"")</f>
        <v>0</v>
      </c>
      <c r="E456">
        <f>IFERROR(VLOOKUP(A456,管理亚马逊库存!A:R,18,0),"")</f>
        <v>0</v>
      </c>
      <c r="F456">
        <f t="shared" si="15"/>
        <v>0</v>
      </c>
      <c r="G456" t="str">
        <f>IFERROR(VLOOKUP(A456,预留库存!A:G,7,0),0)</f>
        <v>No</v>
      </c>
      <c r="H456">
        <f>IFERROR(VLOOKUP(A456,预留库存!A:H,8,0),0)</f>
        <v>0</v>
      </c>
      <c r="I456">
        <f>IFERROR(VLOOKUP(A456,预留库存!A:F,6,0),0)</f>
        <v>35.98</v>
      </c>
      <c r="J456">
        <f>IFERROR(VLOOKUP(A456,库龄!B:K,9,0),0)</f>
        <v>0</v>
      </c>
      <c r="K456">
        <f>IFERROR(VLOOKUP(A456,库龄!B:L,10,0),0)</f>
        <v>0</v>
      </c>
      <c r="L456">
        <f>IFERROR(VLOOKUP(A456,库龄!B:M,11,0),0)</f>
        <v>0</v>
      </c>
      <c r="M456">
        <f>IFERROR(VLOOKUP(A456,库龄!B:N,12,0),0)</f>
        <v>0</v>
      </c>
      <c r="N456">
        <f t="shared" si="16"/>
        <v>0</v>
      </c>
    </row>
    <row r="457" spans="1:14">
      <c r="A457" s="3" t="s">
        <v>1207</v>
      </c>
      <c r="B457">
        <f>IFERROR(VLOOKUP(A457,管理亚马逊库存!A:K,11,0),"")</f>
        <v>0</v>
      </c>
      <c r="C457">
        <f>IFERROR(VLOOKUP(A457,管理亚马逊库存!A:L,12,0),"")</f>
        <v>0</v>
      </c>
      <c r="D457">
        <f>IFERROR(VLOOKUP(A457,管理亚马逊库存!A:Q,17,0),"")</f>
        <v>0</v>
      </c>
      <c r="E457">
        <f>IFERROR(VLOOKUP(A457,管理亚马逊库存!A:R,18,0),"")</f>
        <v>0</v>
      </c>
      <c r="F457">
        <f t="shared" si="15"/>
        <v>0</v>
      </c>
      <c r="G457" t="str">
        <f>IFERROR(VLOOKUP(A457,预留库存!A:G,7,0),0)</f>
        <v>No</v>
      </c>
      <c r="H457">
        <f>IFERROR(VLOOKUP(A457,预留库存!A:H,8,0),0)</f>
        <v>0</v>
      </c>
      <c r="I457">
        <f>IFERROR(VLOOKUP(A457,预留库存!A:F,6,0),0)</f>
        <v>35.98</v>
      </c>
      <c r="J457">
        <f>IFERROR(VLOOKUP(A457,库龄!B:K,9,0),0)</f>
        <v>0</v>
      </c>
      <c r="K457">
        <f>IFERROR(VLOOKUP(A457,库龄!B:L,10,0),0)</f>
        <v>0</v>
      </c>
      <c r="L457">
        <f>IFERROR(VLOOKUP(A457,库龄!B:M,11,0),0)</f>
        <v>0</v>
      </c>
      <c r="M457">
        <f>IFERROR(VLOOKUP(A457,库龄!B:N,12,0),0)</f>
        <v>0</v>
      </c>
      <c r="N457">
        <f t="shared" si="16"/>
        <v>0</v>
      </c>
    </row>
    <row r="458" spans="1:14">
      <c r="A458" s="3" t="s">
        <v>1211</v>
      </c>
      <c r="B458">
        <f>IFERROR(VLOOKUP(A458,管理亚马逊库存!A:K,11,0),"")</f>
        <v>0</v>
      </c>
      <c r="C458">
        <f>IFERROR(VLOOKUP(A458,管理亚马逊库存!A:L,12,0),"")</f>
        <v>0</v>
      </c>
      <c r="D458">
        <f>IFERROR(VLOOKUP(A458,管理亚马逊库存!A:Q,17,0),"")</f>
        <v>0</v>
      </c>
      <c r="E458">
        <f>IFERROR(VLOOKUP(A458,管理亚马逊库存!A:R,18,0),"")</f>
        <v>0</v>
      </c>
      <c r="F458">
        <f t="shared" si="15"/>
        <v>0</v>
      </c>
      <c r="G458" t="str">
        <f>IFERROR(VLOOKUP(A458,预留库存!A:G,7,0),0)</f>
        <v>No</v>
      </c>
      <c r="H458">
        <f>IFERROR(VLOOKUP(A458,预留库存!A:H,8,0),0)</f>
        <v>0</v>
      </c>
      <c r="I458">
        <f>IFERROR(VLOOKUP(A458,预留库存!A:F,6,0),0)</f>
        <v>26.98</v>
      </c>
      <c r="J458">
        <f>IFERROR(VLOOKUP(A458,库龄!B:K,9,0),0)</f>
        <v>0</v>
      </c>
      <c r="K458">
        <f>IFERROR(VLOOKUP(A458,库龄!B:L,10,0),0)</f>
        <v>0</v>
      </c>
      <c r="L458">
        <f>IFERROR(VLOOKUP(A458,库龄!B:M,11,0),0)</f>
        <v>0</v>
      </c>
      <c r="M458">
        <f>IFERROR(VLOOKUP(A458,库龄!B:N,12,0),0)</f>
        <v>0</v>
      </c>
      <c r="N458">
        <f t="shared" si="16"/>
        <v>0</v>
      </c>
    </row>
    <row r="459" spans="1:14">
      <c r="A459" s="3" t="s">
        <v>1213</v>
      </c>
      <c r="B459">
        <f>IFERROR(VLOOKUP(A459,管理亚马逊库存!A:K,11,0),"")</f>
        <v>0</v>
      </c>
      <c r="C459">
        <f>IFERROR(VLOOKUP(A459,管理亚马逊库存!A:L,12,0),"")</f>
        <v>0</v>
      </c>
      <c r="D459">
        <f>IFERROR(VLOOKUP(A459,管理亚马逊库存!A:Q,17,0),"")</f>
        <v>0</v>
      </c>
      <c r="E459">
        <f>IFERROR(VLOOKUP(A459,管理亚马逊库存!A:R,18,0),"")</f>
        <v>0</v>
      </c>
      <c r="F459">
        <f t="shared" si="15"/>
        <v>0</v>
      </c>
      <c r="G459" t="str">
        <f>IFERROR(VLOOKUP(A459,预留库存!A:G,7,0),0)</f>
        <v>No</v>
      </c>
      <c r="H459">
        <f>IFERROR(VLOOKUP(A459,预留库存!A:H,8,0),0)</f>
        <v>0</v>
      </c>
      <c r="I459">
        <f>IFERROR(VLOOKUP(A459,预留库存!A:F,6,0),0)</f>
        <v>26.98</v>
      </c>
      <c r="J459">
        <f>IFERROR(VLOOKUP(A459,库龄!B:K,9,0),0)</f>
        <v>0</v>
      </c>
      <c r="K459">
        <f>IFERROR(VLOOKUP(A459,库龄!B:L,10,0),0)</f>
        <v>0</v>
      </c>
      <c r="L459">
        <f>IFERROR(VLOOKUP(A459,库龄!B:M,11,0),0)</f>
        <v>0</v>
      </c>
      <c r="M459">
        <f>IFERROR(VLOOKUP(A459,库龄!B:N,12,0),0)</f>
        <v>0</v>
      </c>
      <c r="N459">
        <f t="shared" si="16"/>
        <v>0</v>
      </c>
    </row>
    <row r="460" spans="1:14">
      <c r="A460" s="3" t="s">
        <v>1215</v>
      </c>
      <c r="B460">
        <f>IFERROR(VLOOKUP(A460,管理亚马逊库存!A:K,11,0),"")</f>
        <v>11</v>
      </c>
      <c r="C460">
        <f>IFERROR(VLOOKUP(A460,管理亚马逊库存!A:L,12,0),"")</f>
        <v>0</v>
      </c>
      <c r="D460">
        <f>IFERROR(VLOOKUP(A460,管理亚马逊库存!A:Q,17,0),"")</f>
        <v>0</v>
      </c>
      <c r="E460">
        <f>IFERROR(VLOOKUP(A460,管理亚马逊库存!A:R,18,0),"")</f>
        <v>0</v>
      </c>
      <c r="F460">
        <f t="shared" si="15"/>
        <v>0</v>
      </c>
      <c r="G460" t="str">
        <f>IFERROR(VLOOKUP(A460,预留库存!A:G,7,0),0)</f>
        <v>No</v>
      </c>
      <c r="H460">
        <f>IFERROR(VLOOKUP(A460,预留库存!A:H,8,0),0)</f>
        <v>0</v>
      </c>
      <c r="I460">
        <f>IFERROR(VLOOKUP(A460,预留库存!A:F,6,0),0)</f>
        <v>26.98</v>
      </c>
      <c r="J460">
        <f>IFERROR(VLOOKUP(A460,库龄!B:K,9,0),0)</f>
        <v>0</v>
      </c>
      <c r="K460">
        <f>IFERROR(VLOOKUP(A460,库龄!B:L,10,0),0)</f>
        <v>0</v>
      </c>
      <c r="L460">
        <f>IFERROR(VLOOKUP(A460,库龄!B:M,11,0),0)</f>
        <v>0</v>
      </c>
      <c r="M460">
        <f>IFERROR(VLOOKUP(A460,库龄!B:N,12,0),0)</f>
        <v>0</v>
      </c>
      <c r="N460">
        <f t="shared" si="16"/>
        <v>0</v>
      </c>
    </row>
    <row r="461" spans="1:14">
      <c r="A461" s="3" t="s">
        <v>1217</v>
      </c>
      <c r="B461">
        <f>IFERROR(VLOOKUP(A461,管理亚马逊库存!A:K,11,0),"")</f>
        <v>0</v>
      </c>
      <c r="C461">
        <f>IFERROR(VLOOKUP(A461,管理亚马逊库存!A:L,12,0),"")</f>
        <v>0</v>
      </c>
      <c r="D461">
        <f>IFERROR(VLOOKUP(A461,管理亚马逊库存!A:Q,17,0),"")</f>
        <v>0</v>
      </c>
      <c r="E461">
        <f>IFERROR(VLOOKUP(A461,管理亚马逊库存!A:R,18,0),"")</f>
        <v>0</v>
      </c>
      <c r="F461">
        <f t="shared" si="15"/>
        <v>0</v>
      </c>
      <c r="G461" t="str">
        <f>IFERROR(VLOOKUP(A461,预留库存!A:G,7,0),0)</f>
        <v>No</v>
      </c>
      <c r="H461">
        <f>IFERROR(VLOOKUP(A461,预留库存!A:H,8,0),0)</f>
        <v>0</v>
      </c>
      <c r="I461">
        <f>IFERROR(VLOOKUP(A461,预留库存!A:F,6,0),0)</f>
        <v>26.98</v>
      </c>
      <c r="J461">
        <f>IFERROR(VLOOKUP(A461,库龄!B:K,9,0),0)</f>
        <v>0</v>
      </c>
      <c r="K461">
        <f>IFERROR(VLOOKUP(A461,库龄!B:L,10,0),0)</f>
        <v>0</v>
      </c>
      <c r="L461">
        <f>IFERROR(VLOOKUP(A461,库龄!B:M,11,0),0)</f>
        <v>0</v>
      </c>
      <c r="M461">
        <f>IFERROR(VLOOKUP(A461,库龄!B:N,12,0),0)</f>
        <v>0</v>
      </c>
      <c r="N461">
        <f t="shared" si="16"/>
        <v>0</v>
      </c>
    </row>
    <row r="462" spans="1:14">
      <c r="A462" s="3" t="s">
        <v>1219</v>
      </c>
      <c r="B462">
        <f>IFERROR(VLOOKUP(A462,管理亚马逊库存!A:K,11,0),"")</f>
        <v>7</v>
      </c>
      <c r="C462">
        <f>IFERROR(VLOOKUP(A462,管理亚马逊库存!A:L,12,0),"")</f>
        <v>0</v>
      </c>
      <c r="D462">
        <f>IFERROR(VLOOKUP(A462,管理亚马逊库存!A:Q,17,0),"")</f>
        <v>0</v>
      </c>
      <c r="E462">
        <f>IFERROR(VLOOKUP(A462,管理亚马逊库存!A:R,18,0),"")</f>
        <v>0</v>
      </c>
      <c r="F462">
        <f t="shared" si="15"/>
        <v>0</v>
      </c>
      <c r="G462" t="str">
        <f>IFERROR(VLOOKUP(A462,预留库存!A:G,7,0),0)</f>
        <v>No</v>
      </c>
      <c r="H462">
        <f>IFERROR(VLOOKUP(A462,预留库存!A:H,8,0),0)</f>
        <v>0</v>
      </c>
      <c r="I462">
        <f>IFERROR(VLOOKUP(A462,预留库存!A:F,6,0),0)</f>
        <v>26.98</v>
      </c>
      <c r="J462">
        <f>IFERROR(VLOOKUP(A462,库龄!B:K,9,0),0)</f>
        <v>0</v>
      </c>
      <c r="K462">
        <f>IFERROR(VLOOKUP(A462,库龄!B:L,10,0),0)</f>
        <v>0</v>
      </c>
      <c r="L462">
        <f>IFERROR(VLOOKUP(A462,库龄!B:M,11,0),0)</f>
        <v>0</v>
      </c>
      <c r="M462">
        <f>IFERROR(VLOOKUP(A462,库龄!B:N,12,0),0)</f>
        <v>0</v>
      </c>
      <c r="N462">
        <f t="shared" si="16"/>
        <v>0</v>
      </c>
    </row>
    <row r="463" spans="1:14">
      <c r="A463" s="3" t="s">
        <v>1221</v>
      </c>
      <c r="B463">
        <f>IFERROR(VLOOKUP(A463,管理亚马逊库存!A:K,11,0),"")</f>
        <v>52</v>
      </c>
      <c r="C463">
        <f>IFERROR(VLOOKUP(A463,管理亚马逊库存!A:L,12,0),"")</f>
        <v>0</v>
      </c>
      <c r="D463">
        <f>IFERROR(VLOOKUP(A463,管理亚马逊库存!A:Q,17,0),"")</f>
        <v>0</v>
      </c>
      <c r="E463">
        <f>IFERROR(VLOOKUP(A463,管理亚马逊库存!A:R,18,0),"")</f>
        <v>0</v>
      </c>
      <c r="F463">
        <f t="shared" si="15"/>
        <v>0</v>
      </c>
      <c r="G463" t="str">
        <f>IFERROR(VLOOKUP(A463,预留库存!A:G,7,0),0)</f>
        <v>No</v>
      </c>
      <c r="H463">
        <f>IFERROR(VLOOKUP(A463,预留库存!A:H,8,0),0)</f>
        <v>0</v>
      </c>
      <c r="I463">
        <f>IFERROR(VLOOKUP(A463,预留库存!A:F,6,0),0)</f>
        <v>23.98</v>
      </c>
      <c r="J463">
        <f>IFERROR(VLOOKUP(A463,库龄!B:K,9,0),0)</f>
        <v>0</v>
      </c>
      <c r="K463">
        <f>IFERROR(VLOOKUP(A463,库龄!B:L,10,0),0)</f>
        <v>0</v>
      </c>
      <c r="L463">
        <f>IFERROR(VLOOKUP(A463,库龄!B:M,11,0),0)</f>
        <v>0</v>
      </c>
      <c r="M463">
        <f>IFERROR(VLOOKUP(A463,库龄!B:N,12,0),0)</f>
        <v>0</v>
      </c>
      <c r="N463">
        <f t="shared" si="16"/>
        <v>0</v>
      </c>
    </row>
    <row r="464" spans="1:14">
      <c r="A464" s="3" t="s">
        <v>1224</v>
      </c>
      <c r="B464">
        <f>IFERROR(VLOOKUP(A464,管理亚马逊库存!A:K,11,0),"")</f>
        <v>0</v>
      </c>
      <c r="C464">
        <f>IFERROR(VLOOKUP(A464,管理亚马逊库存!A:L,12,0),"")</f>
        <v>0</v>
      </c>
      <c r="D464">
        <f>IFERROR(VLOOKUP(A464,管理亚马逊库存!A:Q,17,0),"")</f>
        <v>0</v>
      </c>
      <c r="E464">
        <f>IFERROR(VLOOKUP(A464,管理亚马逊库存!A:R,18,0),"")</f>
        <v>0</v>
      </c>
      <c r="F464">
        <f t="shared" si="15"/>
        <v>0</v>
      </c>
      <c r="G464" t="str">
        <f>IFERROR(VLOOKUP(A464,预留库存!A:G,7,0),0)</f>
        <v>No</v>
      </c>
      <c r="H464">
        <f>IFERROR(VLOOKUP(A464,预留库存!A:H,8,0),0)</f>
        <v>0</v>
      </c>
      <c r="I464">
        <f>IFERROR(VLOOKUP(A464,预留库存!A:F,6,0),0)</f>
        <v>35.99</v>
      </c>
      <c r="J464">
        <f>IFERROR(VLOOKUP(A464,库龄!B:K,9,0),0)</f>
        <v>0</v>
      </c>
      <c r="K464">
        <f>IFERROR(VLOOKUP(A464,库龄!B:L,10,0),0)</f>
        <v>0</v>
      </c>
      <c r="L464">
        <f>IFERROR(VLOOKUP(A464,库龄!B:M,11,0),0)</f>
        <v>0</v>
      </c>
      <c r="M464">
        <f>IFERROR(VLOOKUP(A464,库龄!B:N,12,0),0)</f>
        <v>0</v>
      </c>
      <c r="N464">
        <f t="shared" si="16"/>
        <v>0</v>
      </c>
    </row>
    <row r="465" spans="1:14">
      <c r="A465" s="3" t="s">
        <v>1228</v>
      </c>
      <c r="B465">
        <f>IFERROR(VLOOKUP(A465,管理亚马逊库存!A:K,11,0),"")</f>
        <v>0</v>
      </c>
      <c r="C465">
        <f>IFERROR(VLOOKUP(A465,管理亚马逊库存!A:L,12,0),"")</f>
        <v>0</v>
      </c>
      <c r="D465">
        <f>IFERROR(VLOOKUP(A465,管理亚马逊库存!A:Q,17,0),"")</f>
        <v>0</v>
      </c>
      <c r="E465">
        <f>IFERROR(VLOOKUP(A465,管理亚马逊库存!A:R,18,0),"")</f>
        <v>0</v>
      </c>
      <c r="F465">
        <f t="shared" si="15"/>
        <v>0</v>
      </c>
      <c r="G465" t="str">
        <f>IFERROR(VLOOKUP(A465,预留库存!A:G,7,0),0)</f>
        <v>No</v>
      </c>
      <c r="H465">
        <f>IFERROR(VLOOKUP(A465,预留库存!A:H,8,0),0)</f>
        <v>0</v>
      </c>
      <c r="I465">
        <f>IFERROR(VLOOKUP(A465,预留库存!A:F,6,0),0)</f>
        <v>23.98</v>
      </c>
      <c r="J465">
        <f>IFERROR(VLOOKUP(A465,库龄!B:K,9,0),0)</f>
        <v>0</v>
      </c>
      <c r="K465">
        <f>IFERROR(VLOOKUP(A465,库龄!B:L,10,0),0)</f>
        <v>0</v>
      </c>
      <c r="L465">
        <f>IFERROR(VLOOKUP(A465,库龄!B:M,11,0),0)</f>
        <v>0</v>
      </c>
      <c r="M465">
        <f>IFERROR(VLOOKUP(A465,库龄!B:N,12,0),0)</f>
        <v>0</v>
      </c>
      <c r="N465">
        <f t="shared" si="16"/>
        <v>0</v>
      </c>
    </row>
    <row r="466" spans="1:14">
      <c r="A466" s="3" t="s">
        <v>1232</v>
      </c>
      <c r="B466">
        <f>IFERROR(VLOOKUP(A466,管理亚马逊库存!A:K,11,0),"")</f>
        <v>31</v>
      </c>
      <c r="C466">
        <f>IFERROR(VLOOKUP(A466,管理亚马逊库存!A:L,12,0),"")</f>
        <v>0</v>
      </c>
      <c r="D466">
        <f>IFERROR(VLOOKUP(A466,管理亚马逊库存!A:Q,17,0),"")</f>
        <v>0</v>
      </c>
      <c r="E466">
        <f>IFERROR(VLOOKUP(A466,管理亚马逊库存!A:R,18,0),"")</f>
        <v>0</v>
      </c>
      <c r="F466">
        <f t="shared" si="15"/>
        <v>0</v>
      </c>
      <c r="G466" t="str">
        <f>IFERROR(VLOOKUP(A466,预留库存!A:G,7,0),0)</f>
        <v>No</v>
      </c>
      <c r="H466">
        <f>IFERROR(VLOOKUP(A466,预留库存!A:H,8,0),0)</f>
        <v>0</v>
      </c>
      <c r="I466">
        <f>IFERROR(VLOOKUP(A466,预留库存!A:F,6,0),0)</f>
        <v>39.98</v>
      </c>
      <c r="J466">
        <f>IFERROR(VLOOKUP(A466,库龄!B:K,9,0),0)</f>
        <v>0</v>
      </c>
      <c r="K466">
        <f>IFERROR(VLOOKUP(A466,库龄!B:L,10,0),0)</f>
        <v>0</v>
      </c>
      <c r="L466">
        <f>IFERROR(VLOOKUP(A466,库龄!B:M,11,0),0)</f>
        <v>0</v>
      </c>
      <c r="M466">
        <f>IFERROR(VLOOKUP(A466,库龄!B:N,12,0),0)</f>
        <v>0</v>
      </c>
      <c r="N466">
        <f t="shared" si="16"/>
        <v>0</v>
      </c>
    </row>
    <row r="467" spans="1:14">
      <c r="A467" s="3" t="s">
        <v>1234</v>
      </c>
      <c r="B467">
        <f>IFERROR(VLOOKUP(A467,管理亚马逊库存!A:K,11,0),"")</f>
        <v>19</v>
      </c>
      <c r="C467">
        <f>IFERROR(VLOOKUP(A467,管理亚马逊库存!A:L,12,0),"")</f>
        <v>0</v>
      </c>
      <c r="D467">
        <f>IFERROR(VLOOKUP(A467,管理亚马逊库存!A:Q,17,0),"")</f>
        <v>0</v>
      </c>
      <c r="E467">
        <f>IFERROR(VLOOKUP(A467,管理亚马逊库存!A:R,18,0),"")</f>
        <v>0</v>
      </c>
      <c r="F467">
        <f t="shared" si="15"/>
        <v>0</v>
      </c>
      <c r="G467" t="str">
        <f>IFERROR(VLOOKUP(A467,预留库存!A:G,7,0),0)</f>
        <v>No</v>
      </c>
      <c r="H467">
        <f>IFERROR(VLOOKUP(A467,预留库存!A:H,8,0),0)</f>
        <v>0</v>
      </c>
      <c r="I467">
        <f>IFERROR(VLOOKUP(A467,预留库存!A:F,6,0),0)</f>
        <v>39.98</v>
      </c>
      <c r="J467">
        <f>IFERROR(VLOOKUP(A467,库龄!B:K,9,0),0)</f>
        <v>0</v>
      </c>
      <c r="K467">
        <f>IFERROR(VLOOKUP(A467,库龄!B:L,10,0),0)</f>
        <v>0</v>
      </c>
      <c r="L467">
        <f>IFERROR(VLOOKUP(A467,库龄!B:M,11,0),0)</f>
        <v>0</v>
      </c>
      <c r="M467">
        <f>IFERROR(VLOOKUP(A467,库龄!B:N,12,0),0)</f>
        <v>0</v>
      </c>
      <c r="N467">
        <f t="shared" si="16"/>
        <v>0</v>
      </c>
    </row>
    <row r="468" spans="1:14">
      <c r="A468" s="3" t="s">
        <v>1236</v>
      </c>
      <c r="B468">
        <f>IFERROR(VLOOKUP(A468,管理亚马逊库存!A:K,11,0),"")</f>
        <v>19</v>
      </c>
      <c r="C468">
        <f>IFERROR(VLOOKUP(A468,管理亚马逊库存!A:L,12,0),"")</f>
        <v>0</v>
      </c>
      <c r="D468">
        <f>IFERROR(VLOOKUP(A468,管理亚马逊库存!A:Q,17,0),"")</f>
        <v>0</v>
      </c>
      <c r="E468">
        <f>IFERROR(VLOOKUP(A468,管理亚马逊库存!A:R,18,0),"")</f>
        <v>0</v>
      </c>
      <c r="F468">
        <f t="shared" si="15"/>
        <v>0</v>
      </c>
      <c r="G468" t="str">
        <f>IFERROR(VLOOKUP(A468,预留库存!A:G,7,0),0)</f>
        <v>No</v>
      </c>
      <c r="H468">
        <f>IFERROR(VLOOKUP(A468,预留库存!A:H,8,0),0)</f>
        <v>0</v>
      </c>
      <c r="I468">
        <f>IFERROR(VLOOKUP(A468,预留库存!A:F,6,0),0)</f>
        <v>39.98</v>
      </c>
      <c r="J468">
        <f>IFERROR(VLOOKUP(A468,库龄!B:K,9,0),0)</f>
        <v>0</v>
      </c>
      <c r="K468">
        <f>IFERROR(VLOOKUP(A468,库龄!B:L,10,0),0)</f>
        <v>0</v>
      </c>
      <c r="L468">
        <f>IFERROR(VLOOKUP(A468,库龄!B:M,11,0),0)</f>
        <v>0</v>
      </c>
      <c r="M468">
        <f>IFERROR(VLOOKUP(A468,库龄!B:N,12,0),0)</f>
        <v>0</v>
      </c>
      <c r="N468">
        <f t="shared" si="16"/>
        <v>0</v>
      </c>
    </row>
    <row r="469" spans="1:14">
      <c r="A469" s="3" t="s">
        <v>1238</v>
      </c>
      <c r="B469">
        <f>IFERROR(VLOOKUP(A469,管理亚马逊库存!A:K,11,0),"")</f>
        <v>29</v>
      </c>
      <c r="C469">
        <f>IFERROR(VLOOKUP(A469,管理亚马逊库存!A:L,12,0),"")</f>
        <v>0</v>
      </c>
      <c r="D469">
        <f>IFERROR(VLOOKUP(A469,管理亚马逊库存!A:Q,17,0),"")</f>
        <v>0</v>
      </c>
      <c r="E469">
        <f>IFERROR(VLOOKUP(A469,管理亚马逊库存!A:R,18,0),"")</f>
        <v>0</v>
      </c>
      <c r="F469">
        <f t="shared" si="15"/>
        <v>0</v>
      </c>
      <c r="G469" t="str">
        <f>IFERROR(VLOOKUP(A469,预留库存!A:G,7,0),0)</f>
        <v>No</v>
      </c>
      <c r="H469">
        <f>IFERROR(VLOOKUP(A469,预留库存!A:H,8,0),0)</f>
        <v>0</v>
      </c>
      <c r="I469">
        <f>IFERROR(VLOOKUP(A469,预留库存!A:F,6,0),0)</f>
        <v>39.98</v>
      </c>
      <c r="J469">
        <f>IFERROR(VLOOKUP(A469,库龄!B:K,9,0),0)</f>
        <v>0</v>
      </c>
      <c r="K469">
        <f>IFERROR(VLOOKUP(A469,库龄!B:L,10,0),0)</f>
        <v>0</v>
      </c>
      <c r="L469">
        <f>IFERROR(VLOOKUP(A469,库龄!B:M,11,0),0)</f>
        <v>0</v>
      </c>
      <c r="M469">
        <f>IFERROR(VLOOKUP(A469,库龄!B:N,12,0),0)</f>
        <v>0</v>
      </c>
      <c r="N469">
        <f t="shared" si="16"/>
        <v>0</v>
      </c>
    </row>
    <row r="470" spans="1:14">
      <c r="A470" s="3" t="s">
        <v>1240</v>
      </c>
      <c r="B470">
        <f>IFERROR(VLOOKUP(A470,管理亚马逊库存!A:K,11,0),"")</f>
        <v>14</v>
      </c>
      <c r="C470">
        <f>IFERROR(VLOOKUP(A470,管理亚马逊库存!A:L,12,0),"")</f>
        <v>0</v>
      </c>
      <c r="D470">
        <f>IFERROR(VLOOKUP(A470,管理亚马逊库存!A:Q,17,0),"")</f>
        <v>0</v>
      </c>
      <c r="E470">
        <f>IFERROR(VLOOKUP(A470,管理亚马逊库存!A:R,18,0),"")</f>
        <v>0</v>
      </c>
      <c r="F470">
        <f t="shared" si="15"/>
        <v>0</v>
      </c>
      <c r="G470" t="str">
        <f>IFERROR(VLOOKUP(A470,预留库存!A:G,7,0),0)</f>
        <v>No</v>
      </c>
      <c r="H470">
        <f>IFERROR(VLOOKUP(A470,预留库存!A:H,8,0),0)</f>
        <v>0</v>
      </c>
      <c r="I470">
        <f>IFERROR(VLOOKUP(A470,预留库存!A:F,6,0),0)</f>
        <v>39.98</v>
      </c>
      <c r="J470">
        <f>IFERROR(VLOOKUP(A470,库龄!B:K,9,0),0)</f>
        <v>0</v>
      </c>
      <c r="K470">
        <f>IFERROR(VLOOKUP(A470,库龄!B:L,10,0),0)</f>
        <v>0</v>
      </c>
      <c r="L470">
        <f>IFERROR(VLOOKUP(A470,库龄!B:M,11,0),0)</f>
        <v>0</v>
      </c>
      <c r="M470">
        <f>IFERROR(VLOOKUP(A470,库龄!B:N,12,0),0)</f>
        <v>0</v>
      </c>
      <c r="N470">
        <f t="shared" si="16"/>
        <v>0</v>
      </c>
    </row>
    <row r="471" spans="1:14">
      <c r="A471" s="3" t="s">
        <v>1242</v>
      </c>
      <c r="B471">
        <f>IFERROR(VLOOKUP(A471,管理亚马逊库存!A:K,11,0),"")</f>
        <v>38</v>
      </c>
      <c r="C471">
        <f>IFERROR(VLOOKUP(A471,管理亚马逊库存!A:L,12,0),"")</f>
        <v>0</v>
      </c>
      <c r="D471">
        <f>IFERROR(VLOOKUP(A471,管理亚马逊库存!A:Q,17,0),"")</f>
        <v>0</v>
      </c>
      <c r="E471">
        <f>IFERROR(VLOOKUP(A471,管理亚马逊库存!A:R,18,0),"")</f>
        <v>0</v>
      </c>
      <c r="F471">
        <f t="shared" si="15"/>
        <v>0</v>
      </c>
      <c r="G471" t="str">
        <f>IFERROR(VLOOKUP(A471,预留库存!A:G,7,0),0)</f>
        <v>No</v>
      </c>
      <c r="H471">
        <f>IFERROR(VLOOKUP(A471,预留库存!A:H,8,0),0)</f>
        <v>0</v>
      </c>
      <c r="I471">
        <f>IFERROR(VLOOKUP(A471,预留库存!A:F,6,0),0)</f>
        <v>39.98</v>
      </c>
      <c r="J471">
        <f>IFERROR(VLOOKUP(A471,库龄!B:K,9,0),0)</f>
        <v>0</v>
      </c>
      <c r="K471">
        <f>IFERROR(VLOOKUP(A471,库龄!B:L,10,0),0)</f>
        <v>0</v>
      </c>
      <c r="L471">
        <f>IFERROR(VLOOKUP(A471,库龄!B:M,11,0),0)</f>
        <v>0</v>
      </c>
      <c r="M471">
        <f>IFERROR(VLOOKUP(A471,库龄!B:N,12,0),0)</f>
        <v>0</v>
      </c>
      <c r="N471">
        <f t="shared" si="16"/>
        <v>0</v>
      </c>
    </row>
    <row r="472" spans="1:14">
      <c r="A472" s="3" t="s">
        <v>1244</v>
      </c>
      <c r="B472">
        <f>IFERROR(VLOOKUP(A472,管理亚马逊库存!A:K,11,0),"")</f>
        <v>17</v>
      </c>
      <c r="C472">
        <f>IFERROR(VLOOKUP(A472,管理亚马逊库存!A:L,12,0),"")</f>
        <v>0</v>
      </c>
      <c r="D472">
        <f>IFERROR(VLOOKUP(A472,管理亚马逊库存!A:Q,17,0),"")</f>
        <v>0</v>
      </c>
      <c r="E472">
        <f>IFERROR(VLOOKUP(A472,管理亚马逊库存!A:R,18,0),"")</f>
        <v>0</v>
      </c>
      <c r="F472">
        <f t="shared" si="15"/>
        <v>0</v>
      </c>
      <c r="G472" t="str">
        <f>IFERROR(VLOOKUP(A472,预留库存!A:G,7,0),0)</f>
        <v>No</v>
      </c>
      <c r="H472">
        <f>IFERROR(VLOOKUP(A472,预留库存!A:H,8,0),0)</f>
        <v>0</v>
      </c>
      <c r="I472">
        <f>IFERROR(VLOOKUP(A472,预留库存!A:F,6,0),0)</f>
        <v>39.98</v>
      </c>
      <c r="J472">
        <f>IFERROR(VLOOKUP(A472,库龄!B:K,9,0),0)</f>
        <v>0</v>
      </c>
      <c r="K472">
        <f>IFERROR(VLOOKUP(A472,库龄!B:L,10,0),0)</f>
        <v>0</v>
      </c>
      <c r="L472">
        <f>IFERROR(VLOOKUP(A472,库龄!B:M,11,0),0)</f>
        <v>0</v>
      </c>
      <c r="M472">
        <f>IFERROR(VLOOKUP(A472,库龄!B:N,12,0),0)</f>
        <v>0</v>
      </c>
      <c r="N472">
        <f t="shared" si="16"/>
        <v>0</v>
      </c>
    </row>
    <row r="473" spans="1:14">
      <c r="A473" s="3" t="s">
        <v>1246</v>
      </c>
      <c r="B473">
        <f>IFERROR(VLOOKUP(A473,管理亚马逊库存!A:K,11,0),"")</f>
        <v>12</v>
      </c>
      <c r="C473">
        <f>IFERROR(VLOOKUP(A473,管理亚马逊库存!A:L,12,0),"")</f>
        <v>0</v>
      </c>
      <c r="D473">
        <f>IFERROR(VLOOKUP(A473,管理亚马逊库存!A:Q,17,0),"")</f>
        <v>0</v>
      </c>
      <c r="E473">
        <f>IFERROR(VLOOKUP(A473,管理亚马逊库存!A:R,18,0),"")</f>
        <v>0</v>
      </c>
      <c r="F473">
        <f t="shared" si="15"/>
        <v>0</v>
      </c>
      <c r="G473" t="str">
        <f>IFERROR(VLOOKUP(A473,预留库存!A:G,7,0),0)</f>
        <v>No</v>
      </c>
      <c r="H473">
        <f>IFERROR(VLOOKUP(A473,预留库存!A:H,8,0),0)</f>
        <v>0</v>
      </c>
      <c r="I473">
        <f>IFERROR(VLOOKUP(A473,预留库存!A:F,6,0),0)</f>
        <v>39.98</v>
      </c>
      <c r="J473">
        <f>IFERROR(VLOOKUP(A473,库龄!B:K,9,0),0)</f>
        <v>0</v>
      </c>
      <c r="K473">
        <f>IFERROR(VLOOKUP(A473,库龄!B:L,10,0),0)</f>
        <v>0</v>
      </c>
      <c r="L473">
        <f>IFERROR(VLOOKUP(A473,库龄!B:M,11,0),0)</f>
        <v>0</v>
      </c>
      <c r="M473">
        <f>IFERROR(VLOOKUP(A473,库龄!B:N,12,0),0)</f>
        <v>0</v>
      </c>
      <c r="N473">
        <f t="shared" si="16"/>
        <v>0</v>
      </c>
    </row>
    <row r="474" spans="1:14">
      <c r="A474" s="3" t="s">
        <v>1248</v>
      </c>
      <c r="B474">
        <f>IFERROR(VLOOKUP(A474,管理亚马逊库存!A:K,11,0),"")</f>
        <v>24</v>
      </c>
      <c r="C474">
        <f>IFERROR(VLOOKUP(A474,管理亚马逊库存!A:L,12,0),"")</f>
        <v>0</v>
      </c>
      <c r="D474">
        <f>IFERROR(VLOOKUP(A474,管理亚马逊库存!A:Q,17,0),"")</f>
        <v>0</v>
      </c>
      <c r="E474">
        <f>IFERROR(VLOOKUP(A474,管理亚马逊库存!A:R,18,0),"")</f>
        <v>0</v>
      </c>
      <c r="F474">
        <f t="shared" si="15"/>
        <v>0</v>
      </c>
      <c r="G474" t="str">
        <f>IFERROR(VLOOKUP(A474,预留库存!A:G,7,0),0)</f>
        <v>No</v>
      </c>
      <c r="H474">
        <f>IFERROR(VLOOKUP(A474,预留库存!A:H,8,0),0)</f>
        <v>0</v>
      </c>
      <c r="I474">
        <f>IFERROR(VLOOKUP(A474,预留库存!A:F,6,0),0)</f>
        <v>39.98</v>
      </c>
      <c r="J474">
        <f>IFERROR(VLOOKUP(A474,库龄!B:K,9,0),0)</f>
        <v>0</v>
      </c>
      <c r="K474">
        <f>IFERROR(VLOOKUP(A474,库龄!B:L,10,0),0)</f>
        <v>0</v>
      </c>
      <c r="L474">
        <f>IFERROR(VLOOKUP(A474,库龄!B:M,11,0),0)</f>
        <v>0</v>
      </c>
      <c r="M474">
        <f>IFERROR(VLOOKUP(A474,库龄!B:N,12,0),0)</f>
        <v>0</v>
      </c>
      <c r="N474">
        <f t="shared" si="16"/>
        <v>0</v>
      </c>
    </row>
    <row r="475" spans="1:14">
      <c r="A475" s="3" t="s">
        <v>1250</v>
      </c>
      <c r="B475">
        <f>IFERROR(VLOOKUP(A475,管理亚马逊库存!A:K,11,0),"")</f>
        <v>22</v>
      </c>
      <c r="C475">
        <f>IFERROR(VLOOKUP(A475,管理亚马逊库存!A:L,12,0),"")</f>
        <v>0</v>
      </c>
      <c r="D475">
        <f>IFERROR(VLOOKUP(A475,管理亚马逊库存!A:Q,17,0),"")</f>
        <v>0</v>
      </c>
      <c r="E475">
        <f>IFERROR(VLOOKUP(A475,管理亚马逊库存!A:R,18,0),"")</f>
        <v>0</v>
      </c>
      <c r="F475">
        <f t="shared" si="15"/>
        <v>0</v>
      </c>
      <c r="G475" t="str">
        <f>IFERROR(VLOOKUP(A475,预留库存!A:G,7,0),0)</f>
        <v>No</v>
      </c>
      <c r="H475">
        <f>IFERROR(VLOOKUP(A475,预留库存!A:H,8,0),0)</f>
        <v>0</v>
      </c>
      <c r="I475">
        <f>IFERROR(VLOOKUP(A475,预留库存!A:F,6,0),0)</f>
        <v>39.98</v>
      </c>
      <c r="J475">
        <f>IFERROR(VLOOKUP(A475,库龄!B:K,9,0),0)</f>
        <v>0</v>
      </c>
      <c r="K475">
        <f>IFERROR(VLOOKUP(A475,库龄!B:L,10,0),0)</f>
        <v>0</v>
      </c>
      <c r="L475">
        <f>IFERROR(VLOOKUP(A475,库龄!B:M,11,0),0)</f>
        <v>0</v>
      </c>
      <c r="M475">
        <f>IFERROR(VLOOKUP(A475,库龄!B:N,12,0),0)</f>
        <v>0</v>
      </c>
      <c r="N475">
        <f t="shared" si="16"/>
        <v>0</v>
      </c>
    </row>
    <row r="476" spans="1:14">
      <c r="A476" s="3" t="s">
        <v>1252</v>
      </c>
      <c r="B476">
        <f>IFERROR(VLOOKUP(A476,管理亚马逊库存!A:K,11,0),"")</f>
        <v>29</v>
      </c>
      <c r="C476">
        <f>IFERROR(VLOOKUP(A476,管理亚马逊库存!A:L,12,0),"")</f>
        <v>0</v>
      </c>
      <c r="D476">
        <f>IFERROR(VLOOKUP(A476,管理亚马逊库存!A:Q,17,0),"")</f>
        <v>0</v>
      </c>
      <c r="E476">
        <f>IFERROR(VLOOKUP(A476,管理亚马逊库存!A:R,18,0),"")</f>
        <v>0</v>
      </c>
      <c r="F476">
        <f t="shared" si="15"/>
        <v>0</v>
      </c>
      <c r="G476" t="str">
        <f>IFERROR(VLOOKUP(A476,预留库存!A:G,7,0),0)</f>
        <v>No</v>
      </c>
      <c r="H476">
        <f>IFERROR(VLOOKUP(A476,预留库存!A:H,8,0),0)</f>
        <v>0</v>
      </c>
      <c r="I476">
        <f>IFERROR(VLOOKUP(A476,预留库存!A:F,6,0),0)</f>
        <v>39.98</v>
      </c>
      <c r="J476">
        <f>IFERROR(VLOOKUP(A476,库龄!B:K,9,0),0)</f>
        <v>0</v>
      </c>
      <c r="K476">
        <f>IFERROR(VLOOKUP(A476,库龄!B:L,10,0),0)</f>
        <v>0</v>
      </c>
      <c r="L476">
        <f>IFERROR(VLOOKUP(A476,库龄!B:M,11,0),0)</f>
        <v>0</v>
      </c>
      <c r="M476">
        <f>IFERROR(VLOOKUP(A476,库龄!B:N,12,0),0)</f>
        <v>0</v>
      </c>
      <c r="N476">
        <f t="shared" si="16"/>
        <v>0</v>
      </c>
    </row>
    <row r="477" spans="1:14">
      <c r="A477" s="3" t="s">
        <v>1254</v>
      </c>
      <c r="B477">
        <f>IFERROR(VLOOKUP(A477,管理亚马逊库存!A:K,11,0),"")</f>
        <v>16</v>
      </c>
      <c r="C477">
        <f>IFERROR(VLOOKUP(A477,管理亚马逊库存!A:L,12,0),"")</f>
        <v>0</v>
      </c>
      <c r="D477">
        <f>IFERROR(VLOOKUP(A477,管理亚马逊库存!A:Q,17,0),"")</f>
        <v>0</v>
      </c>
      <c r="E477">
        <f>IFERROR(VLOOKUP(A477,管理亚马逊库存!A:R,18,0),"")</f>
        <v>0</v>
      </c>
      <c r="F477">
        <f t="shared" si="15"/>
        <v>0</v>
      </c>
      <c r="G477" t="str">
        <f>IFERROR(VLOOKUP(A477,预留库存!A:G,7,0),0)</f>
        <v>No</v>
      </c>
      <c r="H477">
        <f>IFERROR(VLOOKUP(A477,预留库存!A:H,8,0),0)</f>
        <v>0</v>
      </c>
      <c r="I477">
        <f>IFERROR(VLOOKUP(A477,预留库存!A:F,6,0),0)</f>
        <v>39.98</v>
      </c>
      <c r="J477">
        <f>IFERROR(VLOOKUP(A477,库龄!B:K,9,0),0)</f>
        <v>0</v>
      </c>
      <c r="K477">
        <f>IFERROR(VLOOKUP(A477,库龄!B:L,10,0),0)</f>
        <v>0</v>
      </c>
      <c r="L477">
        <f>IFERROR(VLOOKUP(A477,库龄!B:M,11,0),0)</f>
        <v>0</v>
      </c>
      <c r="M477">
        <f>IFERROR(VLOOKUP(A477,库龄!B:N,12,0),0)</f>
        <v>0</v>
      </c>
      <c r="N477">
        <f t="shared" si="16"/>
        <v>0</v>
      </c>
    </row>
    <row r="478" spans="1:14">
      <c r="A478" s="3" t="s">
        <v>1256</v>
      </c>
      <c r="B478">
        <f>IFERROR(VLOOKUP(A478,管理亚马逊库存!A:K,11,0),"")</f>
        <v>17</v>
      </c>
      <c r="C478">
        <f>IFERROR(VLOOKUP(A478,管理亚马逊库存!A:L,12,0),"")</f>
        <v>0</v>
      </c>
      <c r="D478">
        <f>IFERROR(VLOOKUP(A478,管理亚马逊库存!A:Q,17,0),"")</f>
        <v>0</v>
      </c>
      <c r="E478">
        <f>IFERROR(VLOOKUP(A478,管理亚马逊库存!A:R,18,0),"")</f>
        <v>0</v>
      </c>
      <c r="F478">
        <f t="shared" si="15"/>
        <v>0</v>
      </c>
      <c r="G478" t="str">
        <f>IFERROR(VLOOKUP(A478,预留库存!A:G,7,0),0)</f>
        <v>No</v>
      </c>
      <c r="H478">
        <f>IFERROR(VLOOKUP(A478,预留库存!A:H,8,0),0)</f>
        <v>0</v>
      </c>
      <c r="I478">
        <f>IFERROR(VLOOKUP(A478,预留库存!A:F,6,0),0)</f>
        <v>39.98</v>
      </c>
      <c r="J478">
        <f>IFERROR(VLOOKUP(A478,库龄!B:K,9,0),0)</f>
        <v>0</v>
      </c>
      <c r="K478">
        <f>IFERROR(VLOOKUP(A478,库龄!B:L,10,0),0)</f>
        <v>0</v>
      </c>
      <c r="L478">
        <f>IFERROR(VLOOKUP(A478,库龄!B:M,11,0),0)</f>
        <v>0</v>
      </c>
      <c r="M478">
        <f>IFERROR(VLOOKUP(A478,库龄!B:N,12,0),0)</f>
        <v>0</v>
      </c>
      <c r="N478">
        <f t="shared" si="16"/>
        <v>0</v>
      </c>
    </row>
    <row r="479" spans="1:14">
      <c r="A479" s="3" t="s">
        <v>1258</v>
      </c>
      <c r="B479">
        <f>IFERROR(VLOOKUP(A479,管理亚马逊库存!A:K,11,0),"")</f>
        <v>33</v>
      </c>
      <c r="C479">
        <f>IFERROR(VLOOKUP(A479,管理亚马逊库存!A:L,12,0),"")</f>
        <v>0</v>
      </c>
      <c r="D479">
        <f>IFERROR(VLOOKUP(A479,管理亚马逊库存!A:Q,17,0),"")</f>
        <v>0</v>
      </c>
      <c r="E479">
        <f>IFERROR(VLOOKUP(A479,管理亚马逊库存!A:R,18,0),"")</f>
        <v>0</v>
      </c>
      <c r="F479">
        <f t="shared" si="15"/>
        <v>0</v>
      </c>
      <c r="G479" t="str">
        <f>IFERROR(VLOOKUP(A479,预留库存!A:G,7,0),0)</f>
        <v>No</v>
      </c>
      <c r="H479">
        <f>IFERROR(VLOOKUP(A479,预留库存!A:H,8,0),0)</f>
        <v>0</v>
      </c>
      <c r="I479">
        <f>IFERROR(VLOOKUP(A479,预留库存!A:F,6,0),0)</f>
        <v>39.98</v>
      </c>
      <c r="J479">
        <f>IFERROR(VLOOKUP(A479,库龄!B:K,9,0),0)</f>
        <v>0</v>
      </c>
      <c r="K479">
        <f>IFERROR(VLOOKUP(A479,库龄!B:L,10,0),0)</f>
        <v>0</v>
      </c>
      <c r="L479">
        <f>IFERROR(VLOOKUP(A479,库龄!B:M,11,0),0)</f>
        <v>0</v>
      </c>
      <c r="M479">
        <f>IFERROR(VLOOKUP(A479,库龄!B:N,12,0),0)</f>
        <v>0</v>
      </c>
      <c r="N479">
        <f t="shared" si="16"/>
        <v>0</v>
      </c>
    </row>
    <row r="480" spans="1:14">
      <c r="A480" s="3" t="s">
        <v>1260</v>
      </c>
      <c r="B480">
        <f>IFERROR(VLOOKUP(A480,管理亚马逊库存!A:K,11,0),"")</f>
        <v>24</v>
      </c>
      <c r="C480">
        <f>IFERROR(VLOOKUP(A480,管理亚马逊库存!A:L,12,0),"")</f>
        <v>0</v>
      </c>
      <c r="D480">
        <f>IFERROR(VLOOKUP(A480,管理亚马逊库存!A:Q,17,0),"")</f>
        <v>0</v>
      </c>
      <c r="E480">
        <f>IFERROR(VLOOKUP(A480,管理亚马逊库存!A:R,18,0),"")</f>
        <v>0</v>
      </c>
      <c r="F480">
        <f t="shared" si="15"/>
        <v>0</v>
      </c>
      <c r="G480" t="str">
        <f>IFERROR(VLOOKUP(A480,预留库存!A:G,7,0),0)</f>
        <v>No</v>
      </c>
      <c r="H480">
        <f>IFERROR(VLOOKUP(A480,预留库存!A:H,8,0),0)</f>
        <v>0</v>
      </c>
      <c r="I480">
        <f>IFERROR(VLOOKUP(A480,预留库存!A:F,6,0),0)</f>
        <v>39.98</v>
      </c>
      <c r="J480">
        <f>IFERROR(VLOOKUP(A480,库龄!B:K,9,0),0)</f>
        <v>0</v>
      </c>
      <c r="K480">
        <f>IFERROR(VLOOKUP(A480,库龄!B:L,10,0),0)</f>
        <v>0</v>
      </c>
      <c r="L480">
        <f>IFERROR(VLOOKUP(A480,库龄!B:M,11,0),0)</f>
        <v>0</v>
      </c>
      <c r="M480">
        <f>IFERROR(VLOOKUP(A480,库龄!B:N,12,0),0)</f>
        <v>0</v>
      </c>
      <c r="N480">
        <f t="shared" si="16"/>
        <v>0</v>
      </c>
    </row>
    <row r="481" spans="1:14">
      <c r="A481" s="3" t="s">
        <v>1262</v>
      </c>
      <c r="B481">
        <f>IFERROR(VLOOKUP(A481,管理亚马逊库存!A:K,11,0),"")</f>
        <v>32</v>
      </c>
      <c r="C481">
        <f>IFERROR(VLOOKUP(A481,管理亚马逊库存!A:L,12,0),"")</f>
        <v>0</v>
      </c>
      <c r="D481">
        <f>IFERROR(VLOOKUP(A481,管理亚马逊库存!A:Q,17,0),"")</f>
        <v>0</v>
      </c>
      <c r="E481">
        <f>IFERROR(VLOOKUP(A481,管理亚马逊库存!A:R,18,0),"")</f>
        <v>0</v>
      </c>
      <c r="F481">
        <f t="shared" si="15"/>
        <v>0</v>
      </c>
      <c r="G481" t="str">
        <f>IFERROR(VLOOKUP(A481,预留库存!A:G,7,0),0)</f>
        <v>No</v>
      </c>
      <c r="H481">
        <f>IFERROR(VLOOKUP(A481,预留库存!A:H,8,0),0)</f>
        <v>0</v>
      </c>
      <c r="I481">
        <f>IFERROR(VLOOKUP(A481,预留库存!A:F,6,0),0)</f>
        <v>39.98</v>
      </c>
      <c r="J481">
        <f>IFERROR(VLOOKUP(A481,库龄!B:K,9,0),0)</f>
        <v>0</v>
      </c>
      <c r="K481">
        <f>IFERROR(VLOOKUP(A481,库龄!B:L,10,0),0)</f>
        <v>0</v>
      </c>
      <c r="L481">
        <f>IFERROR(VLOOKUP(A481,库龄!B:M,11,0),0)</f>
        <v>0</v>
      </c>
      <c r="M481">
        <f>IFERROR(VLOOKUP(A481,库龄!B:N,12,0),0)</f>
        <v>0</v>
      </c>
      <c r="N481">
        <f t="shared" si="16"/>
        <v>0</v>
      </c>
    </row>
    <row r="482" spans="1:14">
      <c r="A482" s="3" t="s">
        <v>1264</v>
      </c>
      <c r="B482">
        <f>IFERROR(VLOOKUP(A482,管理亚马逊库存!A:K,11,0),"")</f>
        <v>18</v>
      </c>
      <c r="C482">
        <f>IFERROR(VLOOKUP(A482,管理亚马逊库存!A:L,12,0),"")</f>
        <v>0</v>
      </c>
      <c r="D482">
        <f>IFERROR(VLOOKUP(A482,管理亚马逊库存!A:Q,17,0),"")</f>
        <v>0</v>
      </c>
      <c r="E482">
        <f>IFERROR(VLOOKUP(A482,管理亚马逊库存!A:R,18,0),"")</f>
        <v>0</v>
      </c>
      <c r="F482">
        <f t="shared" si="15"/>
        <v>0</v>
      </c>
      <c r="G482" t="str">
        <f>IFERROR(VLOOKUP(A482,预留库存!A:G,7,0),0)</f>
        <v>No</v>
      </c>
      <c r="H482">
        <f>IFERROR(VLOOKUP(A482,预留库存!A:H,8,0),0)</f>
        <v>0</v>
      </c>
      <c r="I482">
        <f>IFERROR(VLOOKUP(A482,预留库存!A:F,6,0),0)</f>
        <v>39.98</v>
      </c>
      <c r="J482">
        <f>IFERROR(VLOOKUP(A482,库龄!B:K,9,0),0)</f>
        <v>0</v>
      </c>
      <c r="K482">
        <f>IFERROR(VLOOKUP(A482,库龄!B:L,10,0),0)</f>
        <v>0</v>
      </c>
      <c r="L482">
        <f>IFERROR(VLOOKUP(A482,库龄!B:M,11,0),0)</f>
        <v>0</v>
      </c>
      <c r="M482">
        <f>IFERROR(VLOOKUP(A482,库龄!B:N,12,0),0)</f>
        <v>0</v>
      </c>
      <c r="N482">
        <f t="shared" si="16"/>
        <v>0</v>
      </c>
    </row>
    <row r="483" spans="1:14">
      <c r="A483" s="3" t="s">
        <v>1266</v>
      </c>
      <c r="B483">
        <f>IFERROR(VLOOKUP(A483,管理亚马逊库存!A:K,11,0),"")</f>
        <v>19</v>
      </c>
      <c r="C483">
        <f>IFERROR(VLOOKUP(A483,管理亚马逊库存!A:L,12,0),"")</f>
        <v>0</v>
      </c>
      <c r="D483">
        <f>IFERROR(VLOOKUP(A483,管理亚马逊库存!A:Q,17,0),"")</f>
        <v>0</v>
      </c>
      <c r="E483">
        <f>IFERROR(VLOOKUP(A483,管理亚马逊库存!A:R,18,0),"")</f>
        <v>0</v>
      </c>
      <c r="F483">
        <f t="shared" si="15"/>
        <v>0</v>
      </c>
      <c r="G483" t="str">
        <f>IFERROR(VLOOKUP(A483,预留库存!A:G,7,0),0)</f>
        <v>No</v>
      </c>
      <c r="H483">
        <f>IFERROR(VLOOKUP(A483,预留库存!A:H,8,0),0)</f>
        <v>0</v>
      </c>
      <c r="I483">
        <f>IFERROR(VLOOKUP(A483,预留库存!A:F,6,0),0)</f>
        <v>39.98</v>
      </c>
      <c r="J483">
        <f>IFERROR(VLOOKUP(A483,库龄!B:K,9,0),0)</f>
        <v>0</v>
      </c>
      <c r="K483">
        <f>IFERROR(VLOOKUP(A483,库龄!B:L,10,0),0)</f>
        <v>0</v>
      </c>
      <c r="L483">
        <f>IFERROR(VLOOKUP(A483,库龄!B:M,11,0),0)</f>
        <v>0</v>
      </c>
      <c r="M483">
        <f>IFERROR(VLOOKUP(A483,库龄!B:N,12,0),0)</f>
        <v>0</v>
      </c>
      <c r="N483">
        <f t="shared" si="16"/>
        <v>0</v>
      </c>
    </row>
    <row r="484" spans="1:14">
      <c r="A484" s="3" t="s">
        <v>1268</v>
      </c>
      <c r="B484">
        <f>IFERROR(VLOOKUP(A484,管理亚马逊库存!A:K,11,0),"")</f>
        <v>30</v>
      </c>
      <c r="C484">
        <f>IFERROR(VLOOKUP(A484,管理亚马逊库存!A:L,12,0),"")</f>
        <v>0</v>
      </c>
      <c r="D484">
        <f>IFERROR(VLOOKUP(A484,管理亚马逊库存!A:Q,17,0),"")</f>
        <v>0</v>
      </c>
      <c r="E484">
        <f>IFERROR(VLOOKUP(A484,管理亚马逊库存!A:R,18,0),"")</f>
        <v>0</v>
      </c>
      <c r="F484">
        <f t="shared" si="15"/>
        <v>0</v>
      </c>
      <c r="G484" t="str">
        <f>IFERROR(VLOOKUP(A484,预留库存!A:G,7,0),0)</f>
        <v>No</v>
      </c>
      <c r="H484">
        <f>IFERROR(VLOOKUP(A484,预留库存!A:H,8,0),0)</f>
        <v>0</v>
      </c>
      <c r="I484">
        <f>IFERROR(VLOOKUP(A484,预留库存!A:F,6,0),0)</f>
        <v>39.98</v>
      </c>
      <c r="J484">
        <f>IFERROR(VLOOKUP(A484,库龄!B:K,9,0),0)</f>
        <v>0</v>
      </c>
      <c r="K484">
        <f>IFERROR(VLOOKUP(A484,库龄!B:L,10,0),0)</f>
        <v>0</v>
      </c>
      <c r="L484">
        <f>IFERROR(VLOOKUP(A484,库龄!B:M,11,0),0)</f>
        <v>0</v>
      </c>
      <c r="M484">
        <f>IFERROR(VLOOKUP(A484,库龄!B:N,12,0),0)</f>
        <v>0</v>
      </c>
      <c r="N484">
        <f t="shared" si="16"/>
        <v>0</v>
      </c>
    </row>
    <row r="485" spans="1:14">
      <c r="A485" s="3" t="s">
        <v>1270</v>
      </c>
      <c r="B485">
        <f>IFERROR(VLOOKUP(A485,管理亚马逊库存!A:K,11,0),"")</f>
        <v>30</v>
      </c>
      <c r="C485">
        <f>IFERROR(VLOOKUP(A485,管理亚马逊库存!A:L,12,0),"")</f>
        <v>0</v>
      </c>
      <c r="D485">
        <f>IFERROR(VLOOKUP(A485,管理亚马逊库存!A:Q,17,0),"")</f>
        <v>0</v>
      </c>
      <c r="E485">
        <f>IFERROR(VLOOKUP(A485,管理亚马逊库存!A:R,18,0),"")</f>
        <v>0</v>
      </c>
      <c r="F485">
        <f t="shared" si="15"/>
        <v>0</v>
      </c>
      <c r="G485" t="str">
        <f>IFERROR(VLOOKUP(A485,预留库存!A:G,7,0),0)</f>
        <v>No</v>
      </c>
      <c r="H485">
        <f>IFERROR(VLOOKUP(A485,预留库存!A:H,8,0),0)</f>
        <v>0</v>
      </c>
      <c r="I485">
        <f>IFERROR(VLOOKUP(A485,预留库存!A:F,6,0),0)</f>
        <v>39.98</v>
      </c>
      <c r="J485">
        <f>IFERROR(VLOOKUP(A485,库龄!B:K,9,0),0)</f>
        <v>0</v>
      </c>
      <c r="K485">
        <f>IFERROR(VLOOKUP(A485,库龄!B:L,10,0),0)</f>
        <v>0</v>
      </c>
      <c r="L485">
        <f>IFERROR(VLOOKUP(A485,库龄!B:M,11,0),0)</f>
        <v>0</v>
      </c>
      <c r="M485">
        <f>IFERROR(VLOOKUP(A485,库龄!B:N,12,0),0)</f>
        <v>0</v>
      </c>
      <c r="N485">
        <f t="shared" si="16"/>
        <v>0</v>
      </c>
    </row>
    <row r="486" spans="1:14">
      <c r="A486" s="3" t="s">
        <v>1272</v>
      </c>
      <c r="B486">
        <f>IFERROR(VLOOKUP(A486,管理亚马逊库存!A:K,11,0),"")</f>
        <v>6</v>
      </c>
      <c r="C486">
        <f>IFERROR(VLOOKUP(A486,管理亚马逊库存!A:L,12,0),"")</f>
        <v>0</v>
      </c>
      <c r="D486">
        <f>IFERROR(VLOOKUP(A486,管理亚马逊库存!A:Q,17,0),"")</f>
        <v>0</v>
      </c>
      <c r="E486">
        <f>IFERROR(VLOOKUP(A486,管理亚马逊库存!A:R,18,0),"")</f>
        <v>0</v>
      </c>
      <c r="F486">
        <f t="shared" si="15"/>
        <v>0</v>
      </c>
      <c r="G486" t="str">
        <f>IFERROR(VLOOKUP(A486,预留库存!A:G,7,0),0)</f>
        <v>No</v>
      </c>
      <c r="H486">
        <f>IFERROR(VLOOKUP(A486,预留库存!A:H,8,0),0)</f>
        <v>0</v>
      </c>
      <c r="I486">
        <f>IFERROR(VLOOKUP(A486,预留库存!A:F,6,0),0)</f>
        <v>39.98</v>
      </c>
      <c r="J486">
        <f>IFERROR(VLOOKUP(A486,库龄!B:K,9,0),0)</f>
        <v>0</v>
      </c>
      <c r="K486">
        <f>IFERROR(VLOOKUP(A486,库龄!B:L,10,0),0)</f>
        <v>0</v>
      </c>
      <c r="L486">
        <f>IFERROR(VLOOKUP(A486,库龄!B:M,11,0),0)</f>
        <v>0</v>
      </c>
      <c r="M486">
        <f>IFERROR(VLOOKUP(A486,库龄!B:N,12,0),0)</f>
        <v>0</v>
      </c>
      <c r="N486">
        <f t="shared" si="16"/>
        <v>0</v>
      </c>
    </row>
    <row r="487" spans="1:14">
      <c r="A487" s="3" t="s">
        <v>1274</v>
      </c>
      <c r="B487">
        <f>IFERROR(VLOOKUP(A487,管理亚马逊库存!A:K,11,0),"")</f>
        <v>0</v>
      </c>
      <c r="C487">
        <f>IFERROR(VLOOKUP(A487,管理亚马逊库存!A:L,12,0),"")</f>
        <v>0</v>
      </c>
      <c r="D487">
        <f>IFERROR(VLOOKUP(A487,管理亚马逊库存!A:Q,17,0),"")</f>
        <v>0</v>
      </c>
      <c r="E487">
        <f>IFERROR(VLOOKUP(A487,管理亚马逊库存!A:R,18,0),"")</f>
        <v>0</v>
      </c>
      <c r="F487">
        <f t="shared" si="15"/>
        <v>0</v>
      </c>
      <c r="G487" t="str">
        <f>IFERROR(VLOOKUP(A487,预留库存!A:G,7,0),0)</f>
        <v>No</v>
      </c>
      <c r="H487">
        <f>IFERROR(VLOOKUP(A487,预留库存!A:H,8,0),0)</f>
        <v>0</v>
      </c>
      <c r="I487">
        <f>IFERROR(VLOOKUP(A487,预留库存!A:F,6,0),0)</f>
        <v>39.98</v>
      </c>
      <c r="J487">
        <f>IFERROR(VLOOKUP(A487,库龄!B:K,9,0),0)</f>
        <v>0</v>
      </c>
      <c r="K487">
        <f>IFERROR(VLOOKUP(A487,库龄!B:L,10,0),0)</f>
        <v>0</v>
      </c>
      <c r="L487">
        <f>IFERROR(VLOOKUP(A487,库龄!B:M,11,0),0)</f>
        <v>0</v>
      </c>
      <c r="M487">
        <f>IFERROR(VLOOKUP(A487,库龄!B:N,12,0),0)</f>
        <v>0</v>
      </c>
      <c r="N487">
        <f t="shared" si="16"/>
        <v>0</v>
      </c>
    </row>
    <row r="488" spans="1:14">
      <c r="A488" s="3" t="s">
        <v>1276</v>
      </c>
      <c r="B488">
        <f>IFERROR(VLOOKUP(A488,管理亚马逊库存!A:K,11,0),"")</f>
        <v>3</v>
      </c>
      <c r="C488">
        <f>IFERROR(VLOOKUP(A488,管理亚马逊库存!A:L,12,0),"")</f>
        <v>0</v>
      </c>
      <c r="D488">
        <f>IFERROR(VLOOKUP(A488,管理亚马逊库存!A:Q,17,0),"")</f>
        <v>0</v>
      </c>
      <c r="E488">
        <f>IFERROR(VLOOKUP(A488,管理亚马逊库存!A:R,18,0),"")</f>
        <v>0</v>
      </c>
      <c r="F488">
        <f t="shared" si="15"/>
        <v>0</v>
      </c>
      <c r="G488" t="str">
        <f>IFERROR(VLOOKUP(A488,预留库存!A:G,7,0),0)</f>
        <v>No</v>
      </c>
      <c r="H488">
        <f>IFERROR(VLOOKUP(A488,预留库存!A:H,8,0),0)</f>
        <v>0</v>
      </c>
      <c r="I488">
        <f>IFERROR(VLOOKUP(A488,预留库存!A:F,6,0),0)</f>
        <v>39.98</v>
      </c>
      <c r="J488">
        <f>IFERROR(VLOOKUP(A488,库龄!B:K,9,0),0)</f>
        <v>0</v>
      </c>
      <c r="K488">
        <f>IFERROR(VLOOKUP(A488,库龄!B:L,10,0),0)</f>
        <v>0</v>
      </c>
      <c r="L488">
        <f>IFERROR(VLOOKUP(A488,库龄!B:M,11,0),0)</f>
        <v>0</v>
      </c>
      <c r="M488">
        <f>IFERROR(VLOOKUP(A488,库龄!B:N,12,0),0)</f>
        <v>0</v>
      </c>
      <c r="N488">
        <f t="shared" si="16"/>
        <v>0</v>
      </c>
    </row>
    <row r="489" spans="1:14">
      <c r="A489" s="3" t="s">
        <v>1278</v>
      </c>
      <c r="B489">
        <f>IFERROR(VLOOKUP(A489,管理亚马逊库存!A:K,11,0),"")</f>
        <v>9</v>
      </c>
      <c r="C489">
        <f>IFERROR(VLOOKUP(A489,管理亚马逊库存!A:L,12,0),"")</f>
        <v>0</v>
      </c>
      <c r="D489">
        <f>IFERROR(VLOOKUP(A489,管理亚马逊库存!A:Q,17,0),"")</f>
        <v>0</v>
      </c>
      <c r="E489">
        <f>IFERROR(VLOOKUP(A489,管理亚马逊库存!A:R,18,0),"")</f>
        <v>0</v>
      </c>
      <c r="F489">
        <f t="shared" si="15"/>
        <v>0</v>
      </c>
      <c r="G489" t="str">
        <f>IFERROR(VLOOKUP(A489,预留库存!A:G,7,0),0)</f>
        <v>No</v>
      </c>
      <c r="H489">
        <f>IFERROR(VLOOKUP(A489,预留库存!A:H,8,0),0)</f>
        <v>0</v>
      </c>
      <c r="I489">
        <f>IFERROR(VLOOKUP(A489,预留库存!A:F,6,0),0)</f>
        <v>39.98</v>
      </c>
      <c r="J489">
        <f>IFERROR(VLOOKUP(A489,库龄!B:K,9,0),0)</f>
        <v>0</v>
      </c>
      <c r="K489">
        <f>IFERROR(VLOOKUP(A489,库龄!B:L,10,0),0)</f>
        <v>0</v>
      </c>
      <c r="L489">
        <f>IFERROR(VLOOKUP(A489,库龄!B:M,11,0),0)</f>
        <v>0</v>
      </c>
      <c r="M489">
        <f>IFERROR(VLOOKUP(A489,库龄!B:N,12,0),0)</f>
        <v>0</v>
      </c>
      <c r="N489">
        <f t="shared" si="16"/>
        <v>0</v>
      </c>
    </row>
    <row r="490" spans="1:14">
      <c r="A490" s="3" t="s">
        <v>1280</v>
      </c>
      <c r="B490">
        <f>IFERROR(VLOOKUP(A490,管理亚马逊库存!A:K,11,0),"")</f>
        <v>2</v>
      </c>
      <c r="C490">
        <f>IFERROR(VLOOKUP(A490,管理亚马逊库存!A:L,12,0),"")</f>
        <v>0</v>
      </c>
      <c r="D490">
        <f>IFERROR(VLOOKUP(A490,管理亚马逊库存!A:Q,17,0),"")</f>
        <v>0</v>
      </c>
      <c r="E490">
        <f>IFERROR(VLOOKUP(A490,管理亚马逊库存!A:R,18,0),"")</f>
        <v>0</v>
      </c>
      <c r="F490">
        <f t="shared" si="15"/>
        <v>0</v>
      </c>
      <c r="G490" t="str">
        <f>IFERROR(VLOOKUP(A490,预留库存!A:G,7,0),0)</f>
        <v>No</v>
      </c>
      <c r="H490">
        <f>IFERROR(VLOOKUP(A490,预留库存!A:H,8,0),0)</f>
        <v>0</v>
      </c>
      <c r="I490">
        <f>IFERROR(VLOOKUP(A490,预留库存!A:F,6,0),0)</f>
        <v>39.98</v>
      </c>
      <c r="J490">
        <f>IFERROR(VLOOKUP(A490,库龄!B:K,9,0),0)</f>
        <v>0</v>
      </c>
      <c r="K490">
        <f>IFERROR(VLOOKUP(A490,库龄!B:L,10,0),0)</f>
        <v>0</v>
      </c>
      <c r="L490">
        <f>IFERROR(VLOOKUP(A490,库龄!B:M,11,0),0)</f>
        <v>0</v>
      </c>
      <c r="M490">
        <f>IFERROR(VLOOKUP(A490,库龄!B:N,12,0),0)</f>
        <v>0</v>
      </c>
      <c r="N490">
        <f t="shared" si="16"/>
        <v>0</v>
      </c>
    </row>
    <row r="491" spans="1:14">
      <c r="A491" s="3" t="s">
        <v>1282</v>
      </c>
      <c r="B491">
        <f>IFERROR(VLOOKUP(A491,管理亚马逊库存!A:K,11,0),"")</f>
        <v>7</v>
      </c>
      <c r="C491">
        <f>IFERROR(VLOOKUP(A491,管理亚马逊库存!A:L,12,0),"")</f>
        <v>0</v>
      </c>
      <c r="D491">
        <f>IFERROR(VLOOKUP(A491,管理亚马逊库存!A:Q,17,0),"")</f>
        <v>0</v>
      </c>
      <c r="E491">
        <f>IFERROR(VLOOKUP(A491,管理亚马逊库存!A:R,18,0),"")</f>
        <v>0</v>
      </c>
      <c r="F491">
        <f t="shared" si="15"/>
        <v>0</v>
      </c>
      <c r="G491" t="str">
        <f>IFERROR(VLOOKUP(A491,预留库存!A:G,7,0),0)</f>
        <v>No</v>
      </c>
      <c r="H491">
        <f>IFERROR(VLOOKUP(A491,预留库存!A:H,8,0),0)</f>
        <v>0</v>
      </c>
      <c r="I491">
        <f>IFERROR(VLOOKUP(A491,预留库存!A:F,6,0),0)</f>
        <v>39.98</v>
      </c>
      <c r="J491">
        <f>IFERROR(VLOOKUP(A491,库龄!B:K,9,0),0)</f>
        <v>0</v>
      </c>
      <c r="K491">
        <f>IFERROR(VLOOKUP(A491,库龄!B:L,10,0),0)</f>
        <v>0</v>
      </c>
      <c r="L491">
        <f>IFERROR(VLOOKUP(A491,库龄!B:M,11,0),0)</f>
        <v>0</v>
      </c>
      <c r="M491">
        <f>IFERROR(VLOOKUP(A491,库龄!B:N,12,0),0)</f>
        <v>0</v>
      </c>
      <c r="N491">
        <f t="shared" si="16"/>
        <v>0</v>
      </c>
    </row>
    <row r="492" spans="1:14">
      <c r="A492" s="3" t="s">
        <v>1284</v>
      </c>
      <c r="B492">
        <f>IFERROR(VLOOKUP(A492,管理亚马逊库存!A:K,11,0),"")</f>
        <v>0</v>
      </c>
      <c r="C492">
        <f>IFERROR(VLOOKUP(A492,管理亚马逊库存!A:L,12,0),"")</f>
        <v>0</v>
      </c>
      <c r="D492">
        <f>IFERROR(VLOOKUP(A492,管理亚马逊库存!A:Q,17,0),"")</f>
        <v>0</v>
      </c>
      <c r="E492">
        <f>IFERROR(VLOOKUP(A492,管理亚马逊库存!A:R,18,0),"")</f>
        <v>0</v>
      </c>
      <c r="F492">
        <f t="shared" si="15"/>
        <v>0</v>
      </c>
      <c r="G492" t="str">
        <f>IFERROR(VLOOKUP(A492,预留库存!A:G,7,0),0)</f>
        <v>No</v>
      </c>
      <c r="H492">
        <f>IFERROR(VLOOKUP(A492,预留库存!A:H,8,0),0)</f>
        <v>0</v>
      </c>
      <c r="I492">
        <f>IFERROR(VLOOKUP(A492,预留库存!A:F,6,0),0)</f>
        <v>39.98</v>
      </c>
      <c r="J492">
        <f>IFERROR(VLOOKUP(A492,库龄!B:K,9,0),0)</f>
        <v>0</v>
      </c>
      <c r="K492">
        <f>IFERROR(VLOOKUP(A492,库龄!B:L,10,0),0)</f>
        <v>0</v>
      </c>
      <c r="L492">
        <f>IFERROR(VLOOKUP(A492,库龄!B:M,11,0),0)</f>
        <v>0</v>
      </c>
      <c r="M492">
        <f>IFERROR(VLOOKUP(A492,库龄!B:N,12,0),0)</f>
        <v>0</v>
      </c>
      <c r="N492">
        <f t="shared" si="16"/>
        <v>0</v>
      </c>
    </row>
    <row r="493" spans="1:14">
      <c r="A493" s="3" t="s">
        <v>1286</v>
      </c>
      <c r="B493">
        <f>IFERROR(VLOOKUP(A493,管理亚马逊库存!A:K,11,0),"")</f>
        <v>2</v>
      </c>
      <c r="C493">
        <f>IFERROR(VLOOKUP(A493,管理亚马逊库存!A:L,12,0),"")</f>
        <v>0</v>
      </c>
      <c r="D493">
        <f>IFERROR(VLOOKUP(A493,管理亚马逊库存!A:Q,17,0),"")</f>
        <v>0</v>
      </c>
      <c r="E493">
        <f>IFERROR(VLOOKUP(A493,管理亚马逊库存!A:R,18,0),"")</f>
        <v>0</v>
      </c>
      <c r="F493">
        <f t="shared" si="15"/>
        <v>0</v>
      </c>
      <c r="G493" t="str">
        <f>IFERROR(VLOOKUP(A493,预留库存!A:G,7,0),0)</f>
        <v>No</v>
      </c>
      <c r="H493">
        <f>IFERROR(VLOOKUP(A493,预留库存!A:H,8,0),0)</f>
        <v>0</v>
      </c>
      <c r="I493">
        <f>IFERROR(VLOOKUP(A493,预留库存!A:F,6,0),0)</f>
        <v>39.98</v>
      </c>
      <c r="J493">
        <f>IFERROR(VLOOKUP(A493,库龄!B:K,9,0),0)</f>
        <v>0</v>
      </c>
      <c r="K493">
        <f>IFERROR(VLOOKUP(A493,库龄!B:L,10,0),0)</f>
        <v>0</v>
      </c>
      <c r="L493">
        <f>IFERROR(VLOOKUP(A493,库龄!B:M,11,0),0)</f>
        <v>0</v>
      </c>
      <c r="M493">
        <f>IFERROR(VLOOKUP(A493,库龄!B:N,12,0),0)</f>
        <v>0</v>
      </c>
      <c r="N493">
        <f t="shared" si="16"/>
        <v>0</v>
      </c>
    </row>
    <row r="494" spans="1:14">
      <c r="A494" s="3" t="s">
        <v>1288</v>
      </c>
      <c r="B494">
        <f>IFERROR(VLOOKUP(A494,管理亚马逊库存!A:K,11,0),"")</f>
        <v>9</v>
      </c>
      <c r="C494">
        <f>IFERROR(VLOOKUP(A494,管理亚马逊库存!A:L,12,0),"")</f>
        <v>0</v>
      </c>
      <c r="D494">
        <f>IFERROR(VLOOKUP(A494,管理亚马逊库存!A:Q,17,0),"")</f>
        <v>0</v>
      </c>
      <c r="E494">
        <f>IFERROR(VLOOKUP(A494,管理亚马逊库存!A:R,18,0),"")</f>
        <v>0</v>
      </c>
      <c r="F494">
        <f t="shared" si="15"/>
        <v>0</v>
      </c>
      <c r="G494" t="str">
        <f>IFERROR(VLOOKUP(A494,预留库存!A:G,7,0),0)</f>
        <v>No</v>
      </c>
      <c r="H494">
        <f>IFERROR(VLOOKUP(A494,预留库存!A:H,8,0),0)</f>
        <v>0</v>
      </c>
      <c r="I494">
        <f>IFERROR(VLOOKUP(A494,预留库存!A:F,6,0),0)</f>
        <v>39.98</v>
      </c>
      <c r="J494">
        <f>IFERROR(VLOOKUP(A494,库龄!B:K,9,0),0)</f>
        <v>0</v>
      </c>
      <c r="K494">
        <f>IFERROR(VLOOKUP(A494,库龄!B:L,10,0),0)</f>
        <v>0</v>
      </c>
      <c r="L494">
        <f>IFERROR(VLOOKUP(A494,库龄!B:M,11,0),0)</f>
        <v>0</v>
      </c>
      <c r="M494">
        <f>IFERROR(VLOOKUP(A494,库龄!B:N,12,0),0)</f>
        <v>0</v>
      </c>
      <c r="N494">
        <f t="shared" si="16"/>
        <v>0</v>
      </c>
    </row>
    <row r="495" spans="1:14">
      <c r="A495" s="3" t="s">
        <v>1290</v>
      </c>
      <c r="B495">
        <f>IFERROR(VLOOKUP(A495,管理亚马逊库存!A:K,11,0),"")</f>
        <v>2</v>
      </c>
      <c r="C495">
        <f>IFERROR(VLOOKUP(A495,管理亚马逊库存!A:L,12,0),"")</f>
        <v>0</v>
      </c>
      <c r="D495">
        <f>IFERROR(VLOOKUP(A495,管理亚马逊库存!A:Q,17,0),"")</f>
        <v>0</v>
      </c>
      <c r="E495">
        <f>IFERROR(VLOOKUP(A495,管理亚马逊库存!A:R,18,0),"")</f>
        <v>0</v>
      </c>
      <c r="F495">
        <f t="shared" si="15"/>
        <v>0</v>
      </c>
      <c r="G495" t="str">
        <f>IFERROR(VLOOKUP(A495,预留库存!A:G,7,0),0)</f>
        <v>No</v>
      </c>
      <c r="H495">
        <f>IFERROR(VLOOKUP(A495,预留库存!A:H,8,0),0)</f>
        <v>0</v>
      </c>
      <c r="I495">
        <f>IFERROR(VLOOKUP(A495,预留库存!A:F,6,0),0)</f>
        <v>39.98</v>
      </c>
      <c r="J495">
        <f>IFERROR(VLOOKUP(A495,库龄!B:K,9,0),0)</f>
        <v>0</v>
      </c>
      <c r="K495">
        <f>IFERROR(VLOOKUP(A495,库龄!B:L,10,0),0)</f>
        <v>0</v>
      </c>
      <c r="L495">
        <f>IFERROR(VLOOKUP(A495,库龄!B:M,11,0),0)</f>
        <v>0</v>
      </c>
      <c r="M495">
        <f>IFERROR(VLOOKUP(A495,库龄!B:N,12,0),0)</f>
        <v>0</v>
      </c>
      <c r="N495">
        <f t="shared" si="16"/>
        <v>0</v>
      </c>
    </row>
    <row r="496" spans="1:14">
      <c r="A496" s="3" t="s">
        <v>1292</v>
      </c>
      <c r="B496">
        <f>IFERROR(VLOOKUP(A496,管理亚马逊库存!A:K,11,0),"")</f>
        <v>0</v>
      </c>
      <c r="C496">
        <f>IFERROR(VLOOKUP(A496,管理亚马逊库存!A:L,12,0),"")</f>
        <v>0</v>
      </c>
      <c r="D496">
        <f>IFERROR(VLOOKUP(A496,管理亚马逊库存!A:Q,17,0),"")</f>
        <v>0</v>
      </c>
      <c r="E496">
        <f>IFERROR(VLOOKUP(A496,管理亚马逊库存!A:R,18,0),"")</f>
        <v>0</v>
      </c>
      <c r="F496">
        <f t="shared" si="15"/>
        <v>0</v>
      </c>
      <c r="G496" t="str">
        <f>IFERROR(VLOOKUP(A496,预留库存!A:G,7,0),0)</f>
        <v>No</v>
      </c>
      <c r="H496">
        <f>IFERROR(VLOOKUP(A496,预留库存!A:H,8,0),0)</f>
        <v>0</v>
      </c>
      <c r="I496">
        <f>IFERROR(VLOOKUP(A496,预留库存!A:F,6,0),0)</f>
        <v>39.98</v>
      </c>
      <c r="J496">
        <f>IFERROR(VLOOKUP(A496,库龄!B:K,9,0),0)</f>
        <v>0</v>
      </c>
      <c r="K496">
        <f>IFERROR(VLOOKUP(A496,库龄!B:L,10,0),0)</f>
        <v>0</v>
      </c>
      <c r="L496">
        <f>IFERROR(VLOOKUP(A496,库龄!B:M,11,0),0)</f>
        <v>0</v>
      </c>
      <c r="M496">
        <f>IFERROR(VLOOKUP(A496,库龄!B:N,12,0),0)</f>
        <v>0</v>
      </c>
      <c r="N496">
        <f t="shared" si="16"/>
        <v>0</v>
      </c>
    </row>
    <row r="497" spans="1:14">
      <c r="A497" s="3" t="s">
        <v>1295</v>
      </c>
      <c r="B497">
        <f>IFERROR(VLOOKUP(A497,管理亚马逊库存!A:K,11,0),"")</f>
        <v>0</v>
      </c>
      <c r="C497">
        <f>IFERROR(VLOOKUP(A497,管理亚马逊库存!A:L,12,0),"")</f>
        <v>0</v>
      </c>
      <c r="D497">
        <f>IFERROR(VLOOKUP(A497,管理亚马逊库存!A:Q,17,0),"")</f>
        <v>0</v>
      </c>
      <c r="E497">
        <f>IFERROR(VLOOKUP(A497,管理亚马逊库存!A:R,18,0),"")</f>
        <v>0</v>
      </c>
      <c r="F497">
        <f t="shared" si="15"/>
        <v>0</v>
      </c>
      <c r="G497" t="str">
        <f>IFERROR(VLOOKUP(A497,预留库存!A:G,7,0),0)</f>
        <v>No</v>
      </c>
      <c r="H497">
        <f>IFERROR(VLOOKUP(A497,预留库存!A:H,8,0),0)</f>
        <v>0</v>
      </c>
      <c r="I497">
        <f>IFERROR(VLOOKUP(A497,预留库存!A:F,6,0),0)</f>
        <v>39.98</v>
      </c>
      <c r="J497">
        <f>IFERROR(VLOOKUP(A497,库龄!B:K,9,0),0)</f>
        <v>0</v>
      </c>
      <c r="K497">
        <f>IFERROR(VLOOKUP(A497,库龄!B:L,10,0),0)</f>
        <v>0</v>
      </c>
      <c r="L497">
        <f>IFERROR(VLOOKUP(A497,库龄!B:M,11,0),0)</f>
        <v>0</v>
      </c>
      <c r="M497">
        <f>IFERROR(VLOOKUP(A497,库龄!B:N,12,0),0)</f>
        <v>0</v>
      </c>
      <c r="N497">
        <f t="shared" si="16"/>
        <v>0</v>
      </c>
    </row>
    <row r="498" spans="1:14">
      <c r="A498" s="3" t="s">
        <v>1299</v>
      </c>
      <c r="B498">
        <f>IFERROR(VLOOKUP(A498,管理亚马逊库存!A:K,11,0),"")</f>
        <v>0</v>
      </c>
      <c r="C498">
        <f>IFERROR(VLOOKUP(A498,管理亚马逊库存!A:L,12,0),"")</f>
        <v>0</v>
      </c>
      <c r="D498">
        <f>IFERROR(VLOOKUP(A498,管理亚马逊库存!A:Q,17,0),"")</f>
        <v>0</v>
      </c>
      <c r="E498">
        <f>IFERROR(VLOOKUP(A498,管理亚马逊库存!A:R,18,0),"")</f>
        <v>0</v>
      </c>
      <c r="F498">
        <f t="shared" si="15"/>
        <v>0</v>
      </c>
      <c r="G498" t="str">
        <f>IFERROR(VLOOKUP(A498,预留库存!A:G,7,0),0)</f>
        <v>No</v>
      </c>
      <c r="H498">
        <f>IFERROR(VLOOKUP(A498,预留库存!A:H,8,0),0)</f>
        <v>0</v>
      </c>
      <c r="I498">
        <f>IFERROR(VLOOKUP(A498,预留库存!A:F,6,0),0)</f>
        <v>39.98</v>
      </c>
      <c r="J498">
        <f>IFERROR(VLOOKUP(A498,库龄!B:K,9,0),0)</f>
        <v>0</v>
      </c>
      <c r="K498">
        <f>IFERROR(VLOOKUP(A498,库龄!B:L,10,0),0)</f>
        <v>0</v>
      </c>
      <c r="L498">
        <f>IFERROR(VLOOKUP(A498,库龄!B:M,11,0),0)</f>
        <v>0</v>
      </c>
      <c r="M498">
        <f>IFERROR(VLOOKUP(A498,库龄!B:N,12,0),0)</f>
        <v>0</v>
      </c>
      <c r="N498">
        <f t="shared" si="16"/>
        <v>0</v>
      </c>
    </row>
    <row r="499" spans="1:14">
      <c r="A499" s="3" t="s">
        <v>1303</v>
      </c>
      <c r="B499">
        <f>IFERROR(VLOOKUP(A499,管理亚马逊库存!A:K,11,0),"")</f>
        <v>0</v>
      </c>
      <c r="C499">
        <f>IFERROR(VLOOKUP(A499,管理亚马逊库存!A:L,12,0),"")</f>
        <v>0</v>
      </c>
      <c r="D499">
        <f>IFERROR(VLOOKUP(A499,管理亚马逊库存!A:Q,17,0),"")</f>
        <v>0</v>
      </c>
      <c r="E499">
        <f>IFERROR(VLOOKUP(A499,管理亚马逊库存!A:R,18,0),"")</f>
        <v>0</v>
      </c>
      <c r="F499">
        <f t="shared" si="15"/>
        <v>0</v>
      </c>
      <c r="G499" t="str">
        <f>IFERROR(VLOOKUP(A499,预留库存!A:G,7,0),0)</f>
        <v>No</v>
      </c>
      <c r="H499">
        <f>IFERROR(VLOOKUP(A499,预留库存!A:H,8,0),0)</f>
        <v>0</v>
      </c>
      <c r="I499">
        <f>IFERROR(VLOOKUP(A499,预留库存!A:F,6,0),0)</f>
        <v>39.98</v>
      </c>
      <c r="J499">
        <f>IFERROR(VLOOKUP(A499,库龄!B:K,9,0),0)</f>
        <v>0</v>
      </c>
      <c r="K499">
        <f>IFERROR(VLOOKUP(A499,库龄!B:L,10,0),0)</f>
        <v>0</v>
      </c>
      <c r="L499">
        <f>IFERROR(VLOOKUP(A499,库龄!B:M,11,0),0)</f>
        <v>0</v>
      </c>
      <c r="M499">
        <f>IFERROR(VLOOKUP(A499,库龄!B:N,12,0),0)</f>
        <v>0</v>
      </c>
      <c r="N499">
        <f t="shared" si="16"/>
        <v>0</v>
      </c>
    </row>
    <row r="500" spans="1:14">
      <c r="A500" s="3" t="s">
        <v>1307</v>
      </c>
      <c r="B500">
        <f>IFERROR(VLOOKUP(A500,管理亚马逊库存!A:K,11,0),"")</f>
        <v>0</v>
      </c>
      <c r="C500">
        <f>IFERROR(VLOOKUP(A500,管理亚马逊库存!A:L,12,0),"")</f>
        <v>0</v>
      </c>
      <c r="D500">
        <f>IFERROR(VLOOKUP(A500,管理亚马逊库存!A:Q,17,0),"")</f>
        <v>0</v>
      </c>
      <c r="E500">
        <f>IFERROR(VLOOKUP(A500,管理亚马逊库存!A:R,18,0),"")</f>
        <v>0</v>
      </c>
      <c r="F500">
        <f t="shared" si="15"/>
        <v>0</v>
      </c>
      <c r="G500" t="str">
        <f>IFERROR(VLOOKUP(A500,预留库存!A:G,7,0),0)</f>
        <v>No</v>
      </c>
      <c r="H500">
        <f>IFERROR(VLOOKUP(A500,预留库存!A:H,8,0),0)</f>
        <v>0</v>
      </c>
      <c r="I500">
        <f>IFERROR(VLOOKUP(A500,预留库存!A:F,6,0),0)</f>
        <v>39.98</v>
      </c>
      <c r="J500">
        <f>IFERROR(VLOOKUP(A500,库龄!B:K,9,0),0)</f>
        <v>0</v>
      </c>
      <c r="K500">
        <f>IFERROR(VLOOKUP(A500,库龄!B:L,10,0),0)</f>
        <v>0</v>
      </c>
      <c r="L500">
        <f>IFERROR(VLOOKUP(A500,库龄!B:M,11,0),0)</f>
        <v>0</v>
      </c>
      <c r="M500">
        <f>IFERROR(VLOOKUP(A500,库龄!B:N,12,0),0)</f>
        <v>0</v>
      </c>
      <c r="N500">
        <f t="shared" si="16"/>
        <v>0</v>
      </c>
    </row>
    <row r="501" spans="1:14">
      <c r="A501" s="3" t="s">
        <v>1311</v>
      </c>
      <c r="B501">
        <f>IFERROR(VLOOKUP(A501,管理亚马逊库存!A:K,11,0),"")</f>
        <v>0</v>
      </c>
      <c r="C501">
        <f>IFERROR(VLOOKUP(A501,管理亚马逊库存!A:L,12,0),"")</f>
        <v>0</v>
      </c>
      <c r="D501">
        <f>IFERROR(VLOOKUP(A501,管理亚马逊库存!A:Q,17,0),"")</f>
        <v>0</v>
      </c>
      <c r="E501">
        <f>IFERROR(VLOOKUP(A501,管理亚马逊库存!A:R,18,0),"")</f>
        <v>0</v>
      </c>
      <c r="F501">
        <f t="shared" si="15"/>
        <v>0</v>
      </c>
      <c r="G501" t="str">
        <f>IFERROR(VLOOKUP(A501,预留库存!A:G,7,0),0)</f>
        <v>No</v>
      </c>
      <c r="H501">
        <f>IFERROR(VLOOKUP(A501,预留库存!A:H,8,0),0)</f>
        <v>0</v>
      </c>
      <c r="I501">
        <f>IFERROR(VLOOKUP(A501,预留库存!A:F,6,0),0)</f>
        <v>23.98</v>
      </c>
      <c r="J501">
        <f>IFERROR(VLOOKUP(A501,库龄!B:K,9,0),0)</f>
        <v>0</v>
      </c>
      <c r="K501">
        <f>IFERROR(VLOOKUP(A501,库龄!B:L,10,0),0)</f>
        <v>0</v>
      </c>
      <c r="L501">
        <f>IFERROR(VLOOKUP(A501,库龄!B:M,11,0),0)</f>
        <v>0</v>
      </c>
      <c r="M501">
        <f>IFERROR(VLOOKUP(A501,库龄!B:N,12,0),0)</f>
        <v>0</v>
      </c>
      <c r="N501">
        <f t="shared" si="16"/>
        <v>0</v>
      </c>
    </row>
    <row r="502" spans="1:14">
      <c r="A502" s="3" t="s">
        <v>1315</v>
      </c>
      <c r="B502">
        <f>IFERROR(VLOOKUP(A502,管理亚马逊库存!A:K,11,0),"")</f>
        <v>0</v>
      </c>
      <c r="C502">
        <f>IFERROR(VLOOKUP(A502,管理亚马逊库存!A:L,12,0),"")</f>
        <v>0</v>
      </c>
      <c r="D502">
        <f>IFERROR(VLOOKUP(A502,管理亚马逊库存!A:Q,17,0),"")</f>
        <v>0</v>
      </c>
      <c r="E502">
        <f>IFERROR(VLOOKUP(A502,管理亚马逊库存!A:R,18,0),"")</f>
        <v>0</v>
      </c>
      <c r="F502">
        <f t="shared" si="15"/>
        <v>0</v>
      </c>
      <c r="G502" t="str">
        <f>IFERROR(VLOOKUP(A502,预留库存!A:G,7,0),0)</f>
        <v>No</v>
      </c>
      <c r="H502">
        <f>IFERROR(VLOOKUP(A502,预留库存!A:H,8,0),0)</f>
        <v>0</v>
      </c>
      <c r="I502">
        <f>IFERROR(VLOOKUP(A502,预留库存!A:F,6,0),0)</f>
        <v>23.98</v>
      </c>
      <c r="J502">
        <f>IFERROR(VLOOKUP(A502,库龄!B:K,9,0),0)</f>
        <v>0</v>
      </c>
      <c r="K502">
        <f>IFERROR(VLOOKUP(A502,库龄!B:L,10,0),0)</f>
        <v>0</v>
      </c>
      <c r="L502">
        <f>IFERROR(VLOOKUP(A502,库龄!B:M,11,0),0)</f>
        <v>0</v>
      </c>
      <c r="M502">
        <f>IFERROR(VLOOKUP(A502,库龄!B:N,12,0),0)</f>
        <v>0</v>
      </c>
      <c r="N502">
        <f t="shared" si="16"/>
        <v>0</v>
      </c>
    </row>
    <row r="503" spans="1:14">
      <c r="A503" s="3" t="s">
        <v>1319</v>
      </c>
      <c r="B503">
        <f>IFERROR(VLOOKUP(A503,管理亚马逊库存!A:K,11,0),"")</f>
        <v>0</v>
      </c>
      <c r="C503">
        <f>IFERROR(VLOOKUP(A503,管理亚马逊库存!A:L,12,0),"")</f>
        <v>0</v>
      </c>
      <c r="D503">
        <f>IFERROR(VLOOKUP(A503,管理亚马逊库存!A:Q,17,0),"")</f>
        <v>0</v>
      </c>
      <c r="E503">
        <f>IFERROR(VLOOKUP(A503,管理亚马逊库存!A:R,18,0),"")</f>
        <v>0</v>
      </c>
      <c r="F503">
        <f t="shared" si="15"/>
        <v>0</v>
      </c>
      <c r="G503" t="str">
        <f>IFERROR(VLOOKUP(A503,预留库存!A:G,7,0),0)</f>
        <v>No</v>
      </c>
      <c r="H503">
        <f>IFERROR(VLOOKUP(A503,预留库存!A:H,8,0),0)</f>
        <v>0</v>
      </c>
      <c r="I503">
        <f>IFERROR(VLOOKUP(A503,预留库存!A:F,6,0),0)</f>
        <v>23.98</v>
      </c>
      <c r="J503">
        <f>IFERROR(VLOOKUP(A503,库龄!B:K,9,0),0)</f>
        <v>0</v>
      </c>
      <c r="K503">
        <f>IFERROR(VLOOKUP(A503,库龄!B:L,10,0),0)</f>
        <v>0</v>
      </c>
      <c r="L503">
        <f>IFERROR(VLOOKUP(A503,库龄!B:M,11,0),0)</f>
        <v>0</v>
      </c>
      <c r="M503">
        <f>IFERROR(VLOOKUP(A503,库龄!B:N,12,0),0)</f>
        <v>0</v>
      </c>
      <c r="N503">
        <f t="shared" si="16"/>
        <v>0</v>
      </c>
    </row>
    <row r="504" spans="1:14">
      <c r="A504" s="3" t="s">
        <v>1323</v>
      </c>
      <c r="B504">
        <f>IFERROR(VLOOKUP(A504,管理亚马逊库存!A:K,11,0),"")</f>
        <v>0</v>
      </c>
      <c r="C504">
        <f>IFERROR(VLOOKUP(A504,管理亚马逊库存!A:L,12,0),"")</f>
        <v>0</v>
      </c>
      <c r="D504">
        <f>IFERROR(VLOOKUP(A504,管理亚马逊库存!A:Q,17,0),"")</f>
        <v>0</v>
      </c>
      <c r="E504">
        <f>IFERROR(VLOOKUP(A504,管理亚马逊库存!A:R,18,0),"")</f>
        <v>0</v>
      </c>
      <c r="F504">
        <f t="shared" si="15"/>
        <v>0</v>
      </c>
      <c r="G504" t="str">
        <f>IFERROR(VLOOKUP(A504,预留库存!A:G,7,0),0)</f>
        <v>Yes</v>
      </c>
      <c r="H504">
        <f>IFERROR(VLOOKUP(A504,预留库存!A:H,8,0),0)</f>
        <v>1</v>
      </c>
      <c r="I504">
        <f>IFERROR(VLOOKUP(A504,预留库存!A:F,6,0),0)</f>
        <v>23.98</v>
      </c>
      <c r="J504">
        <f>IFERROR(VLOOKUP(A504,库龄!B:K,9,0),0)</f>
        <v>0</v>
      </c>
      <c r="K504">
        <f>IFERROR(VLOOKUP(A504,库龄!B:L,10,0),0)</f>
        <v>0</v>
      </c>
      <c r="L504">
        <f>IFERROR(VLOOKUP(A504,库龄!B:M,11,0),0)</f>
        <v>0</v>
      </c>
      <c r="M504">
        <f>IFERROR(VLOOKUP(A504,库龄!B:N,12,0),0)</f>
        <v>0</v>
      </c>
      <c r="N504">
        <f t="shared" si="16"/>
        <v>0</v>
      </c>
    </row>
    <row r="505" spans="1:14">
      <c r="A505" s="3" t="s">
        <v>1327</v>
      </c>
      <c r="B505">
        <f>IFERROR(VLOOKUP(A505,管理亚马逊库存!A:K,11,0),"")</f>
        <v>0</v>
      </c>
      <c r="C505">
        <f>IFERROR(VLOOKUP(A505,管理亚马逊库存!A:L,12,0),"")</f>
        <v>0</v>
      </c>
      <c r="D505">
        <f>IFERROR(VLOOKUP(A505,管理亚马逊库存!A:Q,17,0),"")</f>
        <v>0</v>
      </c>
      <c r="E505">
        <f>IFERROR(VLOOKUP(A505,管理亚马逊库存!A:R,18,0),"")</f>
        <v>0</v>
      </c>
      <c r="F505">
        <f t="shared" si="15"/>
        <v>0</v>
      </c>
      <c r="G505" t="str">
        <f>IFERROR(VLOOKUP(A505,预留库存!A:G,7,0),0)</f>
        <v>Yes</v>
      </c>
      <c r="H505">
        <f>IFERROR(VLOOKUP(A505,预留库存!A:H,8,0),0)</f>
        <v>2</v>
      </c>
      <c r="I505">
        <f>IFERROR(VLOOKUP(A505,预留库存!A:F,6,0),0)</f>
        <v>23.98</v>
      </c>
      <c r="J505">
        <f>IFERROR(VLOOKUP(A505,库龄!B:K,9,0),0)</f>
        <v>0</v>
      </c>
      <c r="K505">
        <f>IFERROR(VLOOKUP(A505,库龄!B:L,10,0),0)</f>
        <v>0</v>
      </c>
      <c r="L505">
        <f>IFERROR(VLOOKUP(A505,库龄!B:M,11,0),0)</f>
        <v>0</v>
      </c>
      <c r="M505">
        <f>IFERROR(VLOOKUP(A505,库龄!B:N,12,0),0)</f>
        <v>0</v>
      </c>
      <c r="N505">
        <f t="shared" si="16"/>
        <v>0</v>
      </c>
    </row>
    <row r="506" spans="1:14">
      <c r="A506" s="3" t="s">
        <v>1331</v>
      </c>
      <c r="B506">
        <f>IFERROR(VLOOKUP(A506,管理亚马逊库存!A:K,11,0),"")</f>
        <v>37</v>
      </c>
      <c r="C506">
        <f>IFERROR(VLOOKUP(A506,管理亚马逊库存!A:L,12,0),"")</f>
        <v>0</v>
      </c>
      <c r="D506">
        <f>IFERROR(VLOOKUP(A506,管理亚马逊库存!A:Q,17,0),"")</f>
        <v>0</v>
      </c>
      <c r="E506">
        <f>IFERROR(VLOOKUP(A506,管理亚马逊库存!A:R,18,0),"")</f>
        <v>0</v>
      </c>
      <c r="F506">
        <f t="shared" si="15"/>
        <v>0</v>
      </c>
      <c r="G506" t="str">
        <f>IFERROR(VLOOKUP(A506,预留库存!A:G,7,0),0)</f>
        <v>No</v>
      </c>
      <c r="H506">
        <f>IFERROR(VLOOKUP(A506,预留库存!A:H,8,0),0)</f>
        <v>0</v>
      </c>
      <c r="I506">
        <f>IFERROR(VLOOKUP(A506,预留库存!A:F,6,0),0)</f>
        <v>17.98</v>
      </c>
      <c r="J506">
        <f>IFERROR(VLOOKUP(A506,库龄!B:K,9,0),0)</f>
        <v>0</v>
      </c>
      <c r="K506">
        <f>IFERROR(VLOOKUP(A506,库龄!B:L,10,0),0)</f>
        <v>0</v>
      </c>
      <c r="L506">
        <f>IFERROR(VLOOKUP(A506,库龄!B:M,11,0),0)</f>
        <v>0</v>
      </c>
      <c r="M506">
        <f>IFERROR(VLOOKUP(A506,库龄!B:N,12,0),0)</f>
        <v>0</v>
      </c>
      <c r="N506">
        <f t="shared" si="16"/>
        <v>0</v>
      </c>
    </row>
    <row r="507" spans="1:14">
      <c r="A507" s="3" t="s">
        <v>1335</v>
      </c>
      <c r="B507">
        <f>IFERROR(VLOOKUP(A507,管理亚马逊库存!A:K,11,0),"")</f>
        <v>0</v>
      </c>
      <c r="C507">
        <f>IFERROR(VLOOKUP(A507,管理亚马逊库存!A:L,12,0),"")</f>
        <v>0</v>
      </c>
      <c r="D507">
        <f>IFERROR(VLOOKUP(A507,管理亚马逊库存!A:Q,17,0),"")</f>
        <v>0</v>
      </c>
      <c r="E507">
        <f>IFERROR(VLOOKUP(A507,管理亚马逊库存!A:R,18,0),"")</f>
        <v>0</v>
      </c>
      <c r="F507">
        <f t="shared" si="15"/>
        <v>0</v>
      </c>
      <c r="G507" t="str">
        <f>IFERROR(VLOOKUP(A507,预留库存!A:G,7,0),0)</f>
        <v>No</v>
      </c>
      <c r="H507">
        <f>IFERROR(VLOOKUP(A507,预留库存!A:H,8,0),0)</f>
        <v>0</v>
      </c>
      <c r="I507">
        <f>IFERROR(VLOOKUP(A507,预留库存!A:F,6,0),0)</f>
        <v>23.98</v>
      </c>
      <c r="J507">
        <f>IFERROR(VLOOKUP(A507,库龄!B:K,9,0),0)</f>
        <v>0</v>
      </c>
      <c r="K507">
        <f>IFERROR(VLOOKUP(A507,库龄!B:L,10,0),0)</f>
        <v>0</v>
      </c>
      <c r="L507">
        <f>IFERROR(VLOOKUP(A507,库龄!B:M,11,0),0)</f>
        <v>0</v>
      </c>
      <c r="M507">
        <f>IFERROR(VLOOKUP(A507,库龄!B:N,12,0),0)</f>
        <v>0</v>
      </c>
      <c r="N507">
        <f t="shared" si="16"/>
        <v>0</v>
      </c>
    </row>
    <row r="508" spans="1:14">
      <c r="A508" s="3" t="s">
        <v>1339</v>
      </c>
      <c r="B508">
        <f>IFERROR(VLOOKUP(A508,管理亚马逊库存!A:K,11,0),"")</f>
        <v>0</v>
      </c>
      <c r="C508">
        <f>IFERROR(VLOOKUP(A508,管理亚马逊库存!A:L,12,0),"")</f>
        <v>0</v>
      </c>
      <c r="D508">
        <f>IFERROR(VLOOKUP(A508,管理亚马逊库存!A:Q,17,0),"")</f>
        <v>0</v>
      </c>
      <c r="E508">
        <f>IFERROR(VLOOKUP(A508,管理亚马逊库存!A:R,18,0),"")</f>
        <v>0</v>
      </c>
      <c r="F508">
        <f t="shared" si="15"/>
        <v>0</v>
      </c>
      <c r="G508">
        <f>IFERROR(VLOOKUP(A508,预留库存!A:G,7,0),0)</f>
        <v>0</v>
      </c>
      <c r="H508">
        <f>IFERROR(VLOOKUP(A508,预留库存!A:H,8,0),0)</f>
        <v>0</v>
      </c>
      <c r="I508">
        <f>IFERROR(VLOOKUP(A508,预留库存!A:F,6,0),0)</f>
        <v>0</v>
      </c>
      <c r="J508">
        <f>IFERROR(VLOOKUP(A508,库龄!B:K,9,0),0)</f>
        <v>0</v>
      </c>
      <c r="K508">
        <f>IFERROR(VLOOKUP(A508,库龄!B:L,10,0),0)</f>
        <v>0</v>
      </c>
      <c r="L508">
        <f>IFERROR(VLOOKUP(A508,库龄!B:M,11,0),0)</f>
        <v>0</v>
      </c>
      <c r="M508">
        <f>IFERROR(VLOOKUP(A508,库龄!B:N,12,0),0)</f>
        <v>0</v>
      </c>
      <c r="N508">
        <f t="shared" si="16"/>
        <v>0</v>
      </c>
    </row>
    <row r="509" spans="1:14">
      <c r="A509" s="3" t="s">
        <v>1342</v>
      </c>
      <c r="B509">
        <f>IFERROR(VLOOKUP(A509,管理亚马逊库存!A:K,11,0),"")</f>
        <v>10</v>
      </c>
      <c r="C509">
        <f>IFERROR(VLOOKUP(A509,管理亚马逊库存!A:L,12,0),"")</f>
        <v>0</v>
      </c>
      <c r="D509">
        <f>IFERROR(VLOOKUP(A509,管理亚马逊库存!A:Q,17,0),"")</f>
        <v>90</v>
      </c>
      <c r="E509">
        <f>IFERROR(VLOOKUP(A509,管理亚马逊库存!A:R,18,0),"")</f>
        <v>30</v>
      </c>
      <c r="F509">
        <f t="shared" si="15"/>
        <v>120</v>
      </c>
      <c r="G509" t="str">
        <f>IFERROR(VLOOKUP(A509,预留库存!A:G,7,0),0)</f>
        <v>No</v>
      </c>
      <c r="H509">
        <f>IFERROR(VLOOKUP(A509,预留库存!A:H,8,0),0)</f>
        <v>0</v>
      </c>
      <c r="I509">
        <f>IFERROR(VLOOKUP(A509,预留库存!A:F,6,0),0)</f>
        <v>23.98</v>
      </c>
      <c r="J509">
        <f>IFERROR(VLOOKUP(A509,库龄!B:K,9,0),0)</f>
        <v>0</v>
      </c>
      <c r="K509">
        <f>IFERROR(VLOOKUP(A509,库龄!B:L,10,0),0)</f>
        <v>0</v>
      </c>
      <c r="L509">
        <f>IFERROR(VLOOKUP(A509,库龄!B:M,11,0),0)</f>
        <v>0</v>
      </c>
      <c r="M509">
        <f>IFERROR(VLOOKUP(A509,库龄!B:N,12,0),0)</f>
        <v>0</v>
      </c>
      <c r="N509">
        <f t="shared" si="16"/>
        <v>0</v>
      </c>
    </row>
    <row r="510" spans="1:14">
      <c r="A510" s="3" t="s">
        <v>1346</v>
      </c>
      <c r="B510">
        <f>IFERROR(VLOOKUP(A510,管理亚马逊库存!A:K,11,0),"")</f>
        <v>0</v>
      </c>
      <c r="C510">
        <f>IFERROR(VLOOKUP(A510,管理亚马逊库存!A:L,12,0),"")</f>
        <v>0</v>
      </c>
      <c r="D510">
        <f>IFERROR(VLOOKUP(A510,管理亚马逊库存!A:Q,17,0),"")</f>
        <v>75</v>
      </c>
      <c r="E510">
        <f>IFERROR(VLOOKUP(A510,管理亚马逊库存!A:R,18,0),"")</f>
        <v>0</v>
      </c>
      <c r="F510">
        <f t="shared" si="15"/>
        <v>75</v>
      </c>
      <c r="G510" t="str">
        <f>IFERROR(VLOOKUP(A510,预留库存!A:G,7,0),0)</f>
        <v>No</v>
      </c>
      <c r="H510">
        <f>IFERROR(VLOOKUP(A510,预留库存!A:H,8,0),0)</f>
        <v>0</v>
      </c>
      <c r="I510">
        <f>IFERROR(VLOOKUP(A510,预留库存!A:F,6,0),0)</f>
        <v>23.98</v>
      </c>
      <c r="J510">
        <f>IFERROR(VLOOKUP(A510,库龄!B:K,9,0),0)</f>
        <v>0</v>
      </c>
      <c r="K510">
        <f>IFERROR(VLOOKUP(A510,库龄!B:L,10,0),0)</f>
        <v>0</v>
      </c>
      <c r="L510">
        <f>IFERROR(VLOOKUP(A510,库龄!B:M,11,0),0)</f>
        <v>0</v>
      </c>
      <c r="M510">
        <f>IFERROR(VLOOKUP(A510,库龄!B:N,12,0),0)</f>
        <v>0</v>
      </c>
      <c r="N510">
        <f t="shared" si="16"/>
        <v>0</v>
      </c>
    </row>
    <row r="511" spans="1:14">
      <c r="A511" s="3" t="s">
        <v>1350</v>
      </c>
      <c r="B511">
        <f>IFERROR(VLOOKUP(A511,管理亚马逊库存!A:K,11,0),"")</f>
        <v>38</v>
      </c>
      <c r="C511">
        <f>IFERROR(VLOOKUP(A511,管理亚马逊库存!A:L,12,0),"")</f>
        <v>0</v>
      </c>
      <c r="D511">
        <f>IFERROR(VLOOKUP(A511,管理亚马逊库存!A:Q,17,0),"")</f>
        <v>40</v>
      </c>
      <c r="E511">
        <f>IFERROR(VLOOKUP(A511,管理亚马逊库存!A:R,18,0),"")</f>
        <v>0</v>
      </c>
      <c r="F511">
        <f t="shared" si="15"/>
        <v>40</v>
      </c>
      <c r="G511" t="str">
        <f>IFERROR(VLOOKUP(A511,预留库存!A:G,7,0),0)</f>
        <v>No</v>
      </c>
      <c r="H511">
        <f>IFERROR(VLOOKUP(A511,预留库存!A:H,8,0),0)</f>
        <v>0</v>
      </c>
      <c r="I511">
        <f>IFERROR(VLOOKUP(A511,预留库存!A:F,6,0),0)</f>
        <v>23.98</v>
      </c>
      <c r="J511">
        <f>IFERROR(VLOOKUP(A511,库龄!B:K,9,0),0)</f>
        <v>0</v>
      </c>
      <c r="K511">
        <f>IFERROR(VLOOKUP(A511,库龄!B:L,10,0),0)</f>
        <v>0</v>
      </c>
      <c r="L511">
        <f>IFERROR(VLOOKUP(A511,库龄!B:M,11,0),0)</f>
        <v>0</v>
      </c>
      <c r="M511">
        <f>IFERROR(VLOOKUP(A511,库龄!B:N,12,0),0)</f>
        <v>0</v>
      </c>
      <c r="N511">
        <f t="shared" si="16"/>
        <v>0</v>
      </c>
    </row>
    <row r="512" spans="1:14">
      <c r="A512" s="3" t="s">
        <v>1354</v>
      </c>
      <c r="B512">
        <f>IFERROR(VLOOKUP(A512,管理亚马逊库存!A:K,11,0),"")</f>
        <v>18</v>
      </c>
      <c r="C512">
        <f>IFERROR(VLOOKUP(A512,管理亚马逊库存!A:L,12,0),"")</f>
        <v>0</v>
      </c>
      <c r="D512">
        <f>IFERROR(VLOOKUP(A512,管理亚马逊库存!A:Q,17,0),"")</f>
        <v>15</v>
      </c>
      <c r="E512">
        <f>IFERROR(VLOOKUP(A512,管理亚马逊库存!A:R,18,0),"")</f>
        <v>0</v>
      </c>
      <c r="F512">
        <f t="shared" si="15"/>
        <v>15</v>
      </c>
      <c r="G512" t="str">
        <f>IFERROR(VLOOKUP(A512,预留库存!A:G,7,0),0)</f>
        <v>No</v>
      </c>
      <c r="H512">
        <f>IFERROR(VLOOKUP(A512,预留库存!A:H,8,0),0)</f>
        <v>0</v>
      </c>
      <c r="I512">
        <f>IFERROR(VLOOKUP(A512,预留库存!A:F,6,0),0)</f>
        <v>23.98</v>
      </c>
      <c r="J512">
        <f>IFERROR(VLOOKUP(A512,库龄!B:K,9,0),0)</f>
        <v>0</v>
      </c>
      <c r="K512">
        <f>IFERROR(VLOOKUP(A512,库龄!B:L,10,0),0)</f>
        <v>0</v>
      </c>
      <c r="L512">
        <f>IFERROR(VLOOKUP(A512,库龄!B:M,11,0),0)</f>
        <v>0</v>
      </c>
      <c r="M512">
        <f>IFERROR(VLOOKUP(A512,库龄!B:N,12,0),0)</f>
        <v>0</v>
      </c>
      <c r="N512">
        <f t="shared" si="16"/>
        <v>0</v>
      </c>
    </row>
    <row r="513" spans="1:14">
      <c r="A513" s="3" t="s">
        <v>1358</v>
      </c>
      <c r="B513">
        <f>IFERROR(VLOOKUP(A513,管理亚马逊库存!A:K,11,0),"")</f>
        <v>0</v>
      </c>
      <c r="C513">
        <f>IFERROR(VLOOKUP(A513,管理亚马逊库存!A:L,12,0),"")</f>
        <v>0</v>
      </c>
      <c r="D513">
        <f>IFERROR(VLOOKUP(A513,管理亚马逊库存!A:Q,17,0),"")</f>
        <v>0</v>
      </c>
      <c r="E513">
        <f>IFERROR(VLOOKUP(A513,管理亚马逊库存!A:R,18,0),"")</f>
        <v>0</v>
      </c>
      <c r="F513">
        <f t="shared" si="15"/>
        <v>0</v>
      </c>
      <c r="G513" t="str">
        <f>IFERROR(VLOOKUP(A513,预留库存!A:G,7,0),0)</f>
        <v>No</v>
      </c>
      <c r="H513">
        <f>IFERROR(VLOOKUP(A513,预留库存!A:H,8,0),0)</f>
        <v>0</v>
      </c>
      <c r="I513">
        <f>IFERROR(VLOOKUP(A513,预留库存!A:F,6,0),0)</f>
        <v>39.98</v>
      </c>
      <c r="J513">
        <f>IFERROR(VLOOKUP(A513,库龄!B:K,9,0),0)</f>
        <v>0</v>
      </c>
      <c r="K513">
        <f>IFERROR(VLOOKUP(A513,库龄!B:L,10,0),0)</f>
        <v>0</v>
      </c>
      <c r="L513">
        <f>IFERROR(VLOOKUP(A513,库龄!B:M,11,0),0)</f>
        <v>0</v>
      </c>
      <c r="M513">
        <f>IFERROR(VLOOKUP(A513,库龄!B:N,12,0),0)</f>
        <v>0</v>
      </c>
      <c r="N513">
        <f t="shared" si="16"/>
        <v>0</v>
      </c>
    </row>
    <row r="514" spans="1:14">
      <c r="A514" s="3" t="s">
        <v>1362</v>
      </c>
      <c r="B514">
        <f>IFERROR(VLOOKUP(A514,管理亚马逊库存!A:K,11,0),"")</f>
        <v>0</v>
      </c>
      <c r="C514">
        <f>IFERROR(VLOOKUP(A514,管理亚马逊库存!A:L,12,0),"")</f>
        <v>0</v>
      </c>
      <c r="D514">
        <f>IFERROR(VLOOKUP(A514,管理亚马逊库存!A:Q,17,0),"")</f>
        <v>0</v>
      </c>
      <c r="E514">
        <f>IFERROR(VLOOKUP(A514,管理亚马逊库存!A:R,18,0),"")</f>
        <v>0</v>
      </c>
      <c r="F514">
        <f t="shared" si="15"/>
        <v>0</v>
      </c>
      <c r="G514" t="str">
        <f>IFERROR(VLOOKUP(A514,预留库存!A:G,7,0),0)</f>
        <v>No</v>
      </c>
      <c r="H514">
        <f>IFERROR(VLOOKUP(A514,预留库存!A:H,8,0),0)</f>
        <v>0</v>
      </c>
      <c r="I514">
        <f>IFERROR(VLOOKUP(A514,预留库存!A:F,6,0),0)</f>
        <v>23.98</v>
      </c>
      <c r="J514">
        <f>IFERROR(VLOOKUP(A514,库龄!B:K,9,0),0)</f>
        <v>0</v>
      </c>
      <c r="K514">
        <f>IFERROR(VLOOKUP(A514,库龄!B:L,10,0),0)</f>
        <v>0</v>
      </c>
      <c r="L514">
        <f>IFERROR(VLOOKUP(A514,库龄!B:M,11,0),0)</f>
        <v>0</v>
      </c>
      <c r="M514">
        <f>IFERROR(VLOOKUP(A514,库龄!B:N,12,0),0)</f>
        <v>0</v>
      </c>
      <c r="N514">
        <f t="shared" si="16"/>
        <v>0</v>
      </c>
    </row>
    <row r="515" spans="1:14">
      <c r="A515" s="3" t="s">
        <v>1366</v>
      </c>
      <c r="B515">
        <f>IFERROR(VLOOKUP(A515,管理亚马逊库存!A:K,11,0),"")</f>
        <v>0</v>
      </c>
      <c r="C515">
        <f>IFERROR(VLOOKUP(A515,管理亚马逊库存!A:L,12,0),"")</f>
        <v>0</v>
      </c>
      <c r="D515">
        <f>IFERROR(VLOOKUP(A515,管理亚马逊库存!A:Q,17,0),"")</f>
        <v>0</v>
      </c>
      <c r="E515">
        <f>IFERROR(VLOOKUP(A515,管理亚马逊库存!A:R,18,0),"")</f>
        <v>0</v>
      </c>
      <c r="F515">
        <f t="shared" ref="F515:F578" si="17">SUM(D515:E515)</f>
        <v>0</v>
      </c>
      <c r="G515" t="str">
        <f>IFERROR(VLOOKUP(A515,预留库存!A:G,7,0),0)</f>
        <v>No</v>
      </c>
      <c r="H515">
        <f>IFERROR(VLOOKUP(A515,预留库存!A:H,8,0),0)</f>
        <v>0</v>
      </c>
      <c r="I515">
        <f>IFERROR(VLOOKUP(A515,预留库存!A:F,6,0),0)</f>
        <v>23.98</v>
      </c>
      <c r="J515">
        <f>IFERROR(VLOOKUP(A515,库龄!B:K,9,0),0)</f>
        <v>0</v>
      </c>
      <c r="K515">
        <f>IFERROR(VLOOKUP(A515,库龄!B:L,10,0),0)</f>
        <v>0</v>
      </c>
      <c r="L515">
        <f>IFERROR(VLOOKUP(A515,库龄!B:M,11,0),0)</f>
        <v>0</v>
      </c>
      <c r="M515">
        <f>IFERROR(VLOOKUP(A515,库龄!B:N,12,0),0)</f>
        <v>0</v>
      </c>
      <c r="N515">
        <f t="shared" ref="N515:N578" si="18">SUM(J515:M515)</f>
        <v>0</v>
      </c>
    </row>
    <row r="516" spans="1:14">
      <c r="A516" s="3" t="s">
        <v>1370</v>
      </c>
      <c r="B516">
        <f>IFERROR(VLOOKUP(A516,管理亚马逊库存!A:K,11,0),"")</f>
        <v>0</v>
      </c>
      <c r="C516">
        <f>IFERROR(VLOOKUP(A516,管理亚马逊库存!A:L,12,0),"")</f>
        <v>0</v>
      </c>
      <c r="D516">
        <f>IFERROR(VLOOKUP(A516,管理亚马逊库存!A:Q,17,0),"")</f>
        <v>0</v>
      </c>
      <c r="E516">
        <f>IFERROR(VLOOKUP(A516,管理亚马逊库存!A:R,18,0),"")</f>
        <v>0</v>
      </c>
      <c r="F516">
        <f t="shared" si="17"/>
        <v>0</v>
      </c>
      <c r="G516" t="str">
        <f>IFERROR(VLOOKUP(A516,预留库存!A:G,7,0),0)</f>
        <v>No</v>
      </c>
      <c r="H516">
        <f>IFERROR(VLOOKUP(A516,预留库存!A:H,8,0),0)</f>
        <v>0</v>
      </c>
      <c r="I516">
        <f>IFERROR(VLOOKUP(A516,预留库存!A:F,6,0),0)</f>
        <v>23.98</v>
      </c>
      <c r="J516">
        <f>IFERROR(VLOOKUP(A516,库龄!B:K,9,0),0)</f>
        <v>0</v>
      </c>
      <c r="K516">
        <f>IFERROR(VLOOKUP(A516,库龄!B:L,10,0),0)</f>
        <v>0</v>
      </c>
      <c r="L516">
        <f>IFERROR(VLOOKUP(A516,库龄!B:M,11,0),0)</f>
        <v>0</v>
      </c>
      <c r="M516">
        <f>IFERROR(VLOOKUP(A516,库龄!B:N,12,0),0)</f>
        <v>0</v>
      </c>
      <c r="N516">
        <f t="shared" si="18"/>
        <v>0</v>
      </c>
    </row>
    <row r="517" spans="1:14">
      <c r="A517" s="3" t="s">
        <v>1374</v>
      </c>
      <c r="B517">
        <f>IFERROR(VLOOKUP(A517,管理亚马逊库存!A:K,11,0),"")</f>
        <v>0</v>
      </c>
      <c r="C517">
        <f>IFERROR(VLOOKUP(A517,管理亚马逊库存!A:L,12,0),"")</f>
        <v>0</v>
      </c>
      <c r="D517">
        <f>IFERROR(VLOOKUP(A517,管理亚马逊库存!A:Q,17,0),"")</f>
        <v>0</v>
      </c>
      <c r="E517">
        <f>IFERROR(VLOOKUP(A517,管理亚马逊库存!A:R,18,0),"")</f>
        <v>20</v>
      </c>
      <c r="F517">
        <f t="shared" si="17"/>
        <v>20</v>
      </c>
      <c r="G517" t="str">
        <f>IFERROR(VLOOKUP(A517,预留库存!A:G,7,0),0)</f>
        <v>No</v>
      </c>
      <c r="H517">
        <f>IFERROR(VLOOKUP(A517,预留库存!A:H,8,0),0)</f>
        <v>0</v>
      </c>
      <c r="I517">
        <f>IFERROR(VLOOKUP(A517,预留库存!A:F,6,0),0)</f>
        <v>23.98</v>
      </c>
      <c r="J517">
        <f>IFERROR(VLOOKUP(A517,库龄!B:K,9,0),0)</f>
        <v>0</v>
      </c>
      <c r="K517">
        <f>IFERROR(VLOOKUP(A517,库龄!B:L,10,0),0)</f>
        <v>0</v>
      </c>
      <c r="L517">
        <f>IFERROR(VLOOKUP(A517,库龄!B:M,11,0),0)</f>
        <v>0</v>
      </c>
      <c r="M517">
        <f>IFERROR(VLOOKUP(A517,库龄!B:N,12,0),0)</f>
        <v>0</v>
      </c>
      <c r="N517">
        <f t="shared" si="18"/>
        <v>0</v>
      </c>
    </row>
    <row r="518" spans="1:14">
      <c r="A518" s="3" t="s">
        <v>1378</v>
      </c>
      <c r="B518">
        <f>IFERROR(VLOOKUP(A518,管理亚马逊库存!A:K,11,0),"")</f>
        <v>14</v>
      </c>
      <c r="C518">
        <f>IFERROR(VLOOKUP(A518,管理亚马逊库存!A:L,12,0),"")</f>
        <v>0</v>
      </c>
      <c r="D518">
        <f>IFERROR(VLOOKUP(A518,管理亚马逊库存!A:Q,17,0),"")</f>
        <v>0</v>
      </c>
      <c r="E518">
        <f>IFERROR(VLOOKUP(A518,管理亚马逊库存!A:R,18,0),"")</f>
        <v>0</v>
      </c>
      <c r="F518">
        <f t="shared" si="17"/>
        <v>0</v>
      </c>
      <c r="G518" t="str">
        <f>IFERROR(VLOOKUP(A518,预留库存!A:G,7,0),0)</f>
        <v>No</v>
      </c>
      <c r="H518">
        <f>IFERROR(VLOOKUP(A518,预留库存!A:H,8,0),0)</f>
        <v>0</v>
      </c>
      <c r="I518">
        <f>IFERROR(VLOOKUP(A518,预留库存!A:F,6,0),0)</f>
        <v>23.98</v>
      </c>
      <c r="J518">
        <f>IFERROR(VLOOKUP(A518,库龄!B:K,9,0),0)</f>
        <v>0</v>
      </c>
      <c r="K518">
        <f>IFERROR(VLOOKUP(A518,库龄!B:L,10,0),0)</f>
        <v>0</v>
      </c>
      <c r="L518">
        <f>IFERROR(VLOOKUP(A518,库龄!B:M,11,0),0)</f>
        <v>0</v>
      </c>
      <c r="M518">
        <f>IFERROR(VLOOKUP(A518,库龄!B:N,12,0),0)</f>
        <v>0</v>
      </c>
      <c r="N518">
        <f t="shared" si="18"/>
        <v>0</v>
      </c>
    </row>
    <row r="519" spans="1:14">
      <c r="A519" s="3" t="s">
        <v>1382</v>
      </c>
      <c r="B519">
        <f>IFERROR(VLOOKUP(A519,管理亚马逊库存!A:K,11,0),"")</f>
        <v>14</v>
      </c>
      <c r="C519">
        <f>IFERROR(VLOOKUP(A519,管理亚马逊库存!A:L,12,0),"")</f>
        <v>0</v>
      </c>
      <c r="D519">
        <f>IFERROR(VLOOKUP(A519,管理亚马逊库存!A:Q,17,0),"")</f>
        <v>0</v>
      </c>
      <c r="E519">
        <f>IFERROR(VLOOKUP(A519,管理亚马逊库存!A:R,18,0),"")</f>
        <v>0</v>
      </c>
      <c r="F519">
        <f t="shared" si="17"/>
        <v>0</v>
      </c>
      <c r="G519" t="str">
        <f>IFERROR(VLOOKUP(A519,预留库存!A:G,7,0),0)</f>
        <v>No</v>
      </c>
      <c r="H519">
        <f>IFERROR(VLOOKUP(A519,预留库存!A:H,8,0),0)</f>
        <v>0</v>
      </c>
      <c r="I519">
        <f>IFERROR(VLOOKUP(A519,预留库存!A:F,6,0),0)</f>
        <v>23.98</v>
      </c>
      <c r="J519">
        <f>IFERROR(VLOOKUP(A519,库龄!B:K,9,0),0)</f>
        <v>0</v>
      </c>
      <c r="K519">
        <f>IFERROR(VLOOKUP(A519,库龄!B:L,10,0),0)</f>
        <v>0</v>
      </c>
      <c r="L519">
        <f>IFERROR(VLOOKUP(A519,库龄!B:M,11,0),0)</f>
        <v>0</v>
      </c>
      <c r="M519">
        <f>IFERROR(VLOOKUP(A519,库龄!B:N,12,0),0)</f>
        <v>0</v>
      </c>
      <c r="N519">
        <f t="shared" si="18"/>
        <v>0</v>
      </c>
    </row>
    <row r="520" spans="1:14">
      <c r="A520" s="3" t="s">
        <v>1386</v>
      </c>
      <c r="B520">
        <f>IFERROR(VLOOKUP(A520,管理亚马逊库存!A:K,11,0),"")</f>
        <v>0</v>
      </c>
      <c r="C520">
        <f>IFERROR(VLOOKUP(A520,管理亚马逊库存!A:L,12,0),"")</f>
        <v>0</v>
      </c>
      <c r="D520">
        <f>IFERROR(VLOOKUP(A520,管理亚马逊库存!A:Q,17,0),"")</f>
        <v>0</v>
      </c>
      <c r="E520">
        <f>IFERROR(VLOOKUP(A520,管理亚马逊库存!A:R,18,0),"")</f>
        <v>0</v>
      </c>
      <c r="F520">
        <f t="shared" si="17"/>
        <v>0</v>
      </c>
      <c r="G520" t="str">
        <f>IFERROR(VLOOKUP(A520,预留库存!A:G,7,0),0)</f>
        <v>No</v>
      </c>
      <c r="H520">
        <f>IFERROR(VLOOKUP(A520,预留库存!A:H,8,0),0)</f>
        <v>0</v>
      </c>
      <c r="I520">
        <f>IFERROR(VLOOKUP(A520,预留库存!A:F,6,0),0)</f>
        <v>23.98</v>
      </c>
      <c r="J520">
        <f>IFERROR(VLOOKUP(A520,库龄!B:K,9,0),0)</f>
        <v>0</v>
      </c>
      <c r="K520">
        <f>IFERROR(VLOOKUP(A520,库龄!B:L,10,0),0)</f>
        <v>0</v>
      </c>
      <c r="L520">
        <f>IFERROR(VLOOKUP(A520,库龄!B:M,11,0),0)</f>
        <v>0</v>
      </c>
      <c r="M520">
        <f>IFERROR(VLOOKUP(A520,库龄!B:N,12,0),0)</f>
        <v>0</v>
      </c>
      <c r="N520">
        <f t="shared" si="18"/>
        <v>0</v>
      </c>
    </row>
    <row r="521" spans="1:14">
      <c r="A521" s="3" t="s">
        <v>1390</v>
      </c>
      <c r="B521">
        <f>IFERROR(VLOOKUP(A521,管理亚马逊库存!A:K,11,0),"")</f>
        <v>0</v>
      </c>
      <c r="C521">
        <f>IFERROR(VLOOKUP(A521,管理亚马逊库存!A:L,12,0),"")</f>
        <v>0</v>
      </c>
      <c r="D521">
        <f>IFERROR(VLOOKUP(A521,管理亚马逊库存!A:Q,17,0),"")</f>
        <v>0</v>
      </c>
      <c r="E521">
        <f>IFERROR(VLOOKUP(A521,管理亚马逊库存!A:R,18,0),"")</f>
        <v>0</v>
      </c>
      <c r="F521">
        <f t="shared" si="17"/>
        <v>0</v>
      </c>
      <c r="G521" t="str">
        <f>IFERROR(VLOOKUP(A521,预留库存!A:G,7,0),0)</f>
        <v>No</v>
      </c>
      <c r="H521">
        <f>IFERROR(VLOOKUP(A521,预留库存!A:H,8,0),0)</f>
        <v>0</v>
      </c>
      <c r="I521">
        <f>IFERROR(VLOOKUP(A521,预留库存!A:F,6,0),0)</f>
        <v>23.98</v>
      </c>
      <c r="J521">
        <f>IFERROR(VLOOKUP(A521,库龄!B:K,9,0),0)</f>
        <v>0</v>
      </c>
      <c r="K521">
        <f>IFERROR(VLOOKUP(A521,库龄!B:L,10,0),0)</f>
        <v>0</v>
      </c>
      <c r="L521">
        <f>IFERROR(VLOOKUP(A521,库龄!B:M,11,0),0)</f>
        <v>0</v>
      </c>
      <c r="M521">
        <f>IFERROR(VLOOKUP(A521,库龄!B:N,12,0),0)</f>
        <v>0</v>
      </c>
      <c r="N521">
        <f t="shared" si="18"/>
        <v>0</v>
      </c>
    </row>
    <row r="522" spans="1:14">
      <c r="A522" s="3" t="s">
        <v>1394</v>
      </c>
      <c r="B522">
        <f>IFERROR(VLOOKUP(A522,管理亚马逊库存!A:K,11,0),"")</f>
        <v>138</v>
      </c>
      <c r="C522">
        <f>IFERROR(VLOOKUP(A522,管理亚马逊库存!A:L,12,0),"")</f>
        <v>0</v>
      </c>
      <c r="D522">
        <f>IFERROR(VLOOKUP(A522,管理亚马逊库存!A:Q,17,0),"")</f>
        <v>20</v>
      </c>
      <c r="E522">
        <f>IFERROR(VLOOKUP(A522,管理亚马逊库存!A:R,18,0),"")</f>
        <v>20</v>
      </c>
      <c r="F522">
        <f t="shared" si="17"/>
        <v>40</v>
      </c>
      <c r="G522" t="str">
        <f>IFERROR(VLOOKUP(A522,预留库存!A:G,7,0),0)</f>
        <v>No</v>
      </c>
      <c r="H522">
        <f>IFERROR(VLOOKUP(A522,预留库存!A:H,8,0),0)</f>
        <v>0</v>
      </c>
      <c r="I522">
        <f>IFERROR(VLOOKUP(A522,预留库存!A:F,6,0),0)</f>
        <v>23.98</v>
      </c>
      <c r="J522">
        <f>IFERROR(VLOOKUP(A522,库龄!B:K,9,0),0)</f>
        <v>0</v>
      </c>
      <c r="K522">
        <f>IFERROR(VLOOKUP(A522,库龄!B:L,10,0),0)</f>
        <v>0</v>
      </c>
      <c r="L522">
        <f>IFERROR(VLOOKUP(A522,库龄!B:M,11,0),0)</f>
        <v>0</v>
      </c>
      <c r="M522">
        <f>IFERROR(VLOOKUP(A522,库龄!B:N,12,0),0)</f>
        <v>0</v>
      </c>
      <c r="N522">
        <f t="shared" si="18"/>
        <v>0</v>
      </c>
    </row>
    <row r="523" spans="1:14">
      <c r="A523" s="3" t="s">
        <v>1398</v>
      </c>
      <c r="B523">
        <f>IFERROR(VLOOKUP(A523,管理亚马逊库存!A:K,11,0),"")</f>
        <v>88</v>
      </c>
      <c r="C523">
        <f>IFERROR(VLOOKUP(A523,管理亚马逊库存!A:L,12,0),"")</f>
        <v>0</v>
      </c>
      <c r="D523">
        <f>IFERROR(VLOOKUP(A523,管理亚马逊库存!A:Q,17,0),"")</f>
        <v>30</v>
      </c>
      <c r="E523">
        <f>IFERROR(VLOOKUP(A523,管理亚马逊库存!A:R,18,0),"")</f>
        <v>0</v>
      </c>
      <c r="F523">
        <f t="shared" si="17"/>
        <v>30</v>
      </c>
      <c r="G523" t="str">
        <f>IFERROR(VLOOKUP(A523,预留库存!A:G,7,0),0)</f>
        <v>No</v>
      </c>
      <c r="H523">
        <f>IFERROR(VLOOKUP(A523,预留库存!A:H,8,0),0)</f>
        <v>0</v>
      </c>
      <c r="I523">
        <f>IFERROR(VLOOKUP(A523,预留库存!A:F,6,0),0)</f>
        <v>23.98</v>
      </c>
      <c r="J523">
        <f>IFERROR(VLOOKUP(A523,库龄!B:K,9,0),0)</f>
        <v>0</v>
      </c>
      <c r="K523">
        <f>IFERROR(VLOOKUP(A523,库龄!B:L,10,0),0)</f>
        <v>0</v>
      </c>
      <c r="L523">
        <f>IFERROR(VLOOKUP(A523,库龄!B:M,11,0),0)</f>
        <v>0</v>
      </c>
      <c r="M523">
        <f>IFERROR(VLOOKUP(A523,库龄!B:N,12,0),0)</f>
        <v>0</v>
      </c>
      <c r="N523">
        <f t="shared" si="18"/>
        <v>0</v>
      </c>
    </row>
    <row r="524" spans="1:14">
      <c r="A524" s="3" t="s">
        <v>1402</v>
      </c>
      <c r="B524">
        <f>IFERROR(VLOOKUP(A524,管理亚马逊库存!A:K,11,0),"")</f>
        <v>0</v>
      </c>
      <c r="C524">
        <f>IFERROR(VLOOKUP(A524,管理亚马逊库存!A:L,12,0),"")</f>
        <v>0</v>
      </c>
      <c r="D524">
        <f>IFERROR(VLOOKUP(A524,管理亚马逊库存!A:Q,17,0),"")</f>
        <v>0</v>
      </c>
      <c r="E524">
        <f>IFERROR(VLOOKUP(A524,管理亚马逊库存!A:R,18,0),"")</f>
        <v>0</v>
      </c>
      <c r="F524">
        <f t="shared" si="17"/>
        <v>0</v>
      </c>
      <c r="G524" t="str">
        <f>IFERROR(VLOOKUP(A524,预留库存!A:G,7,0),0)</f>
        <v>No</v>
      </c>
      <c r="H524">
        <f>IFERROR(VLOOKUP(A524,预留库存!A:H,8,0),0)</f>
        <v>0</v>
      </c>
      <c r="I524">
        <f>IFERROR(VLOOKUP(A524,预留库存!A:F,6,0),0)</f>
        <v>23.98</v>
      </c>
      <c r="J524">
        <f>IFERROR(VLOOKUP(A524,库龄!B:K,9,0),0)</f>
        <v>0</v>
      </c>
      <c r="K524">
        <f>IFERROR(VLOOKUP(A524,库龄!B:L,10,0),0)</f>
        <v>0</v>
      </c>
      <c r="L524">
        <f>IFERROR(VLOOKUP(A524,库龄!B:M,11,0),0)</f>
        <v>0</v>
      </c>
      <c r="M524">
        <f>IFERROR(VLOOKUP(A524,库龄!B:N,12,0),0)</f>
        <v>0</v>
      </c>
      <c r="N524">
        <f t="shared" si="18"/>
        <v>0</v>
      </c>
    </row>
    <row r="525" spans="1:14">
      <c r="A525" s="3" t="s">
        <v>1406</v>
      </c>
      <c r="B525">
        <f>IFERROR(VLOOKUP(A525,管理亚马逊库存!A:K,11,0),"")</f>
        <v>23</v>
      </c>
      <c r="C525">
        <f>IFERROR(VLOOKUP(A525,管理亚马逊库存!A:L,12,0),"")</f>
        <v>0</v>
      </c>
      <c r="D525">
        <f>IFERROR(VLOOKUP(A525,管理亚马逊库存!A:Q,17,0),"")</f>
        <v>30</v>
      </c>
      <c r="E525">
        <f>IFERROR(VLOOKUP(A525,管理亚马逊库存!A:R,18,0),"")</f>
        <v>0</v>
      </c>
      <c r="F525">
        <f t="shared" si="17"/>
        <v>30</v>
      </c>
      <c r="G525" t="str">
        <f>IFERROR(VLOOKUP(A525,预留库存!A:G,7,0),0)</f>
        <v>No</v>
      </c>
      <c r="H525">
        <f>IFERROR(VLOOKUP(A525,预留库存!A:H,8,0),0)</f>
        <v>0</v>
      </c>
      <c r="I525">
        <f>IFERROR(VLOOKUP(A525,预留库存!A:F,6,0),0)</f>
        <v>23.98</v>
      </c>
      <c r="J525">
        <f>IFERROR(VLOOKUP(A525,库龄!B:K,9,0),0)</f>
        <v>0</v>
      </c>
      <c r="K525">
        <f>IFERROR(VLOOKUP(A525,库龄!B:L,10,0),0)</f>
        <v>0</v>
      </c>
      <c r="L525">
        <f>IFERROR(VLOOKUP(A525,库龄!B:M,11,0),0)</f>
        <v>0</v>
      </c>
      <c r="M525">
        <f>IFERROR(VLOOKUP(A525,库龄!B:N,12,0),0)</f>
        <v>0</v>
      </c>
      <c r="N525">
        <f t="shared" si="18"/>
        <v>0</v>
      </c>
    </row>
    <row r="526" spans="1:14">
      <c r="A526" s="3" t="s">
        <v>1410</v>
      </c>
      <c r="B526">
        <f>IFERROR(VLOOKUP(A526,管理亚马逊库存!A:K,11,0),"")</f>
        <v>0</v>
      </c>
      <c r="C526">
        <f>IFERROR(VLOOKUP(A526,管理亚马逊库存!A:L,12,0),"")</f>
        <v>0</v>
      </c>
      <c r="D526">
        <f>IFERROR(VLOOKUP(A526,管理亚马逊库存!A:Q,17,0),"")</f>
        <v>15</v>
      </c>
      <c r="E526">
        <f>IFERROR(VLOOKUP(A526,管理亚马逊库存!A:R,18,0),"")</f>
        <v>0</v>
      </c>
      <c r="F526">
        <f t="shared" si="17"/>
        <v>15</v>
      </c>
      <c r="G526" t="str">
        <f>IFERROR(VLOOKUP(A526,预留库存!A:G,7,0),0)</f>
        <v>No</v>
      </c>
      <c r="H526">
        <f>IFERROR(VLOOKUP(A526,预留库存!A:H,8,0),0)</f>
        <v>0</v>
      </c>
      <c r="I526">
        <f>IFERROR(VLOOKUP(A526,预留库存!A:F,6,0),0)</f>
        <v>23.98</v>
      </c>
      <c r="J526">
        <f>IFERROR(VLOOKUP(A526,库龄!B:K,9,0),0)</f>
        <v>0</v>
      </c>
      <c r="K526">
        <f>IFERROR(VLOOKUP(A526,库龄!B:L,10,0),0)</f>
        <v>0</v>
      </c>
      <c r="L526">
        <f>IFERROR(VLOOKUP(A526,库龄!B:M,11,0),0)</f>
        <v>0</v>
      </c>
      <c r="M526">
        <f>IFERROR(VLOOKUP(A526,库龄!B:N,12,0),0)</f>
        <v>0</v>
      </c>
      <c r="N526">
        <f t="shared" si="18"/>
        <v>0</v>
      </c>
    </row>
    <row r="527" spans="1:14">
      <c r="A527" s="3" t="s">
        <v>1414</v>
      </c>
      <c r="B527">
        <f>IFERROR(VLOOKUP(A527,管理亚马逊库存!A:K,11,0),"")</f>
        <v>28</v>
      </c>
      <c r="C527">
        <f>IFERROR(VLOOKUP(A527,管理亚马逊库存!A:L,12,0),"")</f>
        <v>0</v>
      </c>
      <c r="D527">
        <f>IFERROR(VLOOKUP(A527,管理亚马逊库存!A:Q,17,0),"")</f>
        <v>55</v>
      </c>
      <c r="E527">
        <f>IFERROR(VLOOKUP(A527,管理亚马逊库存!A:R,18,0),"")</f>
        <v>15</v>
      </c>
      <c r="F527">
        <f t="shared" si="17"/>
        <v>70</v>
      </c>
      <c r="G527" t="str">
        <f>IFERROR(VLOOKUP(A527,预留库存!A:G,7,0),0)</f>
        <v>No</v>
      </c>
      <c r="H527">
        <f>IFERROR(VLOOKUP(A527,预留库存!A:H,8,0),0)</f>
        <v>0</v>
      </c>
      <c r="I527">
        <f>IFERROR(VLOOKUP(A527,预留库存!A:F,6,0),0)</f>
        <v>23.98</v>
      </c>
      <c r="J527">
        <f>IFERROR(VLOOKUP(A527,库龄!B:K,9,0),0)</f>
        <v>0</v>
      </c>
      <c r="K527">
        <f>IFERROR(VLOOKUP(A527,库龄!B:L,10,0),0)</f>
        <v>0</v>
      </c>
      <c r="L527">
        <f>IFERROR(VLOOKUP(A527,库龄!B:M,11,0),0)</f>
        <v>0</v>
      </c>
      <c r="M527">
        <f>IFERROR(VLOOKUP(A527,库龄!B:N,12,0),0)</f>
        <v>0</v>
      </c>
      <c r="N527">
        <f t="shared" si="18"/>
        <v>0</v>
      </c>
    </row>
    <row r="528" spans="1:14">
      <c r="A528" s="3" t="s">
        <v>1418</v>
      </c>
      <c r="B528">
        <f>IFERROR(VLOOKUP(A528,管理亚马逊库存!A:K,11,0),"")</f>
        <v>0</v>
      </c>
      <c r="C528">
        <f>IFERROR(VLOOKUP(A528,管理亚马逊库存!A:L,12,0),"")</f>
        <v>0</v>
      </c>
      <c r="D528">
        <f>IFERROR(VLOOKUP(A528,管理亚马逊库存!A:Q,17,0),"")</f>
        <v>55</v>
      </c>
      <c r="E528">
        <f>IFERROR(VLOOKUP(A528,管理亚马逊库存!A:R,18,0),"")</f>
        <v>0</v>
      </c>
      <c r="F528">
        <f t="shared" si="17"/>
        <v>55</v>
      </c>
      <c r="G528" t="str">
        <f>IFERROR(VLOOKUP(A528,预留库存!A:G,7,0),0)</f>
        <v>No</v>
      </c>
      <c r="H528">
        <f>IFERROR(VLOOKUP(A528,预留库存!A:H,8,0),0)</f>
        <v>0</v>
      </c>
      <c r="I528">
        <f>IFERROR(VLOOKUP(A528,预留库存!A:F,6,0),0)</f>
        <v>23.98</v>
      </c>
      <c r="J528">
        <f>IFERROR(VLOOKUP(A528,库龄!B:K,9,0),0)</f>
        <v>0</v>
      </c>
      <c r="K528">
        <f>IFERROR(VLOOKUP(A528,库龄!B:L,10,0),0)</f>
        <v>0</v>
      </c>
      <c r="L528">
        <f>IFERROR(VLOOKUP(A528,库龄!B:M,11,0),0)</f>
        <v>0</v>
      </c>
      <c r="M528">
        <f>IFERROR(VLOOKUP(A528,库龄!B:N,12,0),0)</f>
        <v>0</v>
      </c>
      <c r="N528">
        <f t="shared" si="18"/>
        <v>0</v>
      </c>
    </row>
    <row r="529" spans="1:14">
      <c r="A529" s="3" t="s">
        <v>1422</v>
      </c>
      <c r="B529">
        <f>IFERROR(VLOOKUP(A529,管理亚马逊库存!A:K,11,0),"")</f>
        <v>0</v>
      </c>
      <c r="C529">
        <f>IFERROR(VLOOKUP(A529,管理亚马逊库存!A:L,12,0),"")</f>
        <v>0</v>
      </c>
      <c r="D529">
        <f>IFERROR(VLOOKUP(A529,管理亚马逊库存!A:Q,17,0),"")</f>
        <v>75</v>
      </c>
      <c r="E529">
        <f>IFERROR(VLOOKUP(A529,管理亚马逊库存!A:R,18,0),"")</f>
        <v>0</v>
      </c>
      <c r="F529">
        <f t="shared" si="17"/>
        <v>75</v>
      </c>
      <c r="G529" t="str">
        <f>IFERROR(VLOOKUP(A529,预留库存!A:G,7,0),0)</f>
        <v>No</v>
      </c>
      <c r="H529">
        <f>IFERROR(VLOOKUP(A529,预留库存!A:H,8,0),0)</f>
        <v>0</v>
      </c>
      <c r="I529">
        <f>IFERROR(VLOOKUP(A529,预留库存!A:F,6,0),0)</f>
        <v>23.98</v>
      </c>
      <c r="J529">
        <f>IFERROR(VLOOKUP(A529,库龄!B:K,9,0),0)</f>
        <v>0</v>
      </c>
      <c r="K529">
        <f>IFERROR(VLOOKUP(A529,库龄!B:L,10,0),0)</f>
        <v>0</v>
      </c>
      <c r="L529">
        <f>IFERROR(VLOOKUP(A529,库龄!B:M,11,0),0)</f>
        <v>0</v>
      </c>
      <c r="M529">
        <f>IFERROR(VLOOKUP(A529,库龄!B:N,12,0),0)</f>
        <v>0</v>
      </c>
      <c r="N529">
        <f t="shared" si="18"/>
        <v>0</v>
      </c>
    </row>
    <row r="530" spans="1:14">
      <c r="A530" s="3" t="s">
        <v>1426</v>
      </c>
      <c r="B530">
        <f>IFERROR(VLOOKUP(A530,管理亚马逊库存!A:K,11,0),"")</f>
        <v>70</v>
      </c>
      <c r="C530">
        <f>IFERROR(VLOOKUP(A530,管理亚马逊库存!A:L,12,0),"")</f>
        <v>0</v>
      </c>
      <c r="D530">
        <f>IFERROR(VLOOKUP(A530,管理亚马逊库存!A:Q,17,0),"")</f>
        <v>0</v>
      </c>
      <c r="E530">
        <f>IFERROR(VLOOKUP(A530,管理亚马逊库存!A:R,18,0),"")</f>
        <v>0</v>
      </c>
      <c r="F530">
        <f t="shared" si="17"/>
        <v>0</v>
      </c>
      <c r="G530" t="str">
        <f>IFERROR(VLOOKUP(A530,预留库存!A:G,7,0),0)</f>
        <v>No</v>
      </c>
      <c r="H530">
        <f>IFERROR(VLOOKUP(A530,预留库存!A:H,8,0),0)</f>
        <v>0</v>
      </c>
      <c r="I530">
        <f>IFERROR(VLOOKUP(A530,预留库存!A:F,6,0),0)</f>
        <v>23.98</v>
      </c>
      <c r="J530">
        <f>IFERROR(VLOOKUP(A530,库龄!B:K,9,0),0)</f>
        <v>0</v>
      </c>
      <c r="K530">
        <f>IFERROR(VLOOKUP(A530,库龄!B:L,10,0),0)</f>
        <v>0</v>
      </c>
      <c r="L530">
        <f>IFERROR(VLOOKUP(A530,库龄!B:M,11,0),0)</f>
        <v>0</v>
      </c>
      <c r="M530">
        <f>IFERROR(VLOOKUP(A530,库龄!B:N,12,0),0)</f>
        <v>0</v>
      </c>
      <c r="N530">
        <f t="shared" si="18"/>
        <v>0</v>
      </c>
    </row>
    <row r="531" spans="1:14">
      <c r="A531" s="3" t="s">
        <v>1430</v>
      </c>
      <c r="B531">
        <f>IFERROR(VLOOKUP(A531,管理亚马逊库存!A:K,11,0),"")</f>
        <v>36</v>
      </c>
      <c r="C531">
        <f>IFERROR(VLOOKUP(A531,管理亚马逊库存!A:L,12,0),"")</f>
        <v>0</v>
      </c>
      <c r="D531">
        <f>IFERROR(VLOOKUP(A531,管理亚马逊库存!A:Q,17,0),"")</f>
        <v>90</v>
      </c>
      <c r="E531">
        <f>IFERROR(VLOOKUP(A531,管理亚马逊库存!A:R,18,0),"")</f>
        <v>20</v>
      </c>
      <c r="F531">
        <f t="shared" si="17"/>
        <v>110</v>
      </c>
      <c r="G531" t="str">
        <f>IFERROR(VLOOKUP(A531,预留库存!A:G,7,0),0)</f>
        <v>No</v>
      </c>
      <c r="H531">
        <f>IFERROR(VLOOKUP(A531,预留库存!A:H,8,0),0)</f>
        <v>0</v>
      </c>
      <c r="I531">
        <f>IFERROR(VLOOKUP(A531,预留库存!A:F,6,0),0)</f>
        <v>23.98</v>
      </c>
      <c r="J531">
        <f>IFERROR(VLOOKUP(A531,库龄!B:K,9,0),0)</f>
        <v>0</v>
      </c>
      <c r="K531">
        <f>IFERROR(VLOOKUP(A531,库龄!B:L,10,0),0)</f>
        <v>0</v>
      </c>
      <c r="L531">
        <f>IFERROR(VLOOKUP(A531,库龄!B:M,11,0),0)</f>
        <v>0</v>
      </c>
      <c r="M531">
        <f>IFERROR(VLOOKUP(A531,库龄!B:N,12,0),0)</f>
        <v>0</v>
      </c>
      <c r="N531">
        <f t="shared" si="18"/>
        <v>0</v>
      </c>
    </row>
    <row r="532" spans="1:14">
      <c r="A532" s="3" t="s">
        <v>1434</v>
      </c>
      <c r="B532">
        <f>IFERROR(VLOOKUP(A532,管理亚马逊库存!A:K,11,0),"")</f>
        <v>40</v>
      </c>
      <c r="C532">
        <f>IFERROR(VLOOKUP(A532,管理亚马逊库存!A:L,12,0),"")</f>
        <v>0</v>
      </c>
      <c r="D532">
        <f>IFERROR(VLOOKUP(A532,管理亚马逊库存!A:Q,17,0),"")</f>
        <v>50</v>
      </c>
      <c r="E532">
        <f>IFERROR(VLOOKUP(A532,管理亚马逊库存!A:R,18,0),"")</f>
        <v>0</v>
      </c>
      <c r="F532">
        <f t="shared" si="17"/>
        <v>50</v>
      </c>
      <c r="G532" t="str">
        <f>IFERROR(VLOOKUP(A532,预留库存!A:G,7,0),0)</f>
        <v>No</v>
      </c>
      <c r="H532">
        <f>IFERROR(VLOOKUP(A532,预留库存!A:H,8,0),0)</f>
        <v>0</v>
      </c>
      <c r="I532">
        <f>IFERROR(VLOOKUP(A532,预留库存!A:F,6,0),0)</f>
        <v>23.98</v>
      </c>
      <c r="J532">
        <f>IFERROR(VLOOKUP(A532,库龄!B:K,9,0),0)</f>
        <v>0</v>
      </c>
      <c r="K532">
        <f>IFERROR(VLOOKUP(A532,库龄!B:L,10,0),0)</f>
        <v>0</v>
      </c>
      <c r="L532">
        <f>IFERROR(VLOOKUP(A532,库龄!B:M,11,0),0)</f>
        <v>0</v>
      </c>
      <c r="M532">
        <f>IFERROR(VLOOKUP(A532,库龄!B:N,12,0),0)</f>
        <v>0</v>
      </c>
      <c r="N532">
        <f t="shared" si="18"/>
        <v>0</v>
      </c>
    </row>
    <row r="533" spans="1:14">
      <c r="A533" s="3" t="s">
        <v>1438</v>
      </c>
      <c r="B533">
        <f>IFERROR(VLOOKUP(A533,管理亚马逊库存!A:K,11,0),"")</f>
        <v>0</v>
      </c>
      <c r="C533">
        <f>IFERROR(VLOOKUP(A533,管理亚马逊库存!A:L,12,0),"")</f>
        <v>0</v>
      </c>
      <c r="D533">
        <f>IFERROR(VLOOKUP(A533,管理亚马逊库存!A:Q,17,0),"")</f>
        <v>0</v>
      </c>
      <c r="E533">
        <f>IFERROR(VLOOKUP(A533,管理亚马逊库存!A:R,18,0),"")</f>
        <v>0</v>
      </c>
      <c r="F533">
        <f t="shared" si="17"/>
        <v>0</v>
      </c>
      <c r="G533" t="str">
        <f>IFERROR(VLOOKUP(A533,预留库存!A:G,7,0),0)</f>
        <v>No</v>
      </c>
      <c r="H533">
        <f>IFERROR(VLOOKUP(A533,预留库存!A:H,8,0),0)</f>
        <v>0</v>
      </c>
      <c r="I533">
        <f>IFERROR(VLOOKUP(A533,预留库存!A:F,6,0),0)</f>
        <v>23.98</v>
      </c>
      <c r="J533">
        <f>IFERROR(VLOOKUP(A533,库龄!B:K,9,0),0)</f>
        <v>0</v>
      </c>
      <c r="K533">
        <f>IFERROR(VLOOKUP(A533,库龄!B:L,10,0),0)</f>
        <v>0</v>
      </c>
      <c r="L533">
        <f>IFERROR(VLOOKUP(A533,库龄!B:M,11,0),0)</f>
        <v>0</v>
      </c>
      <c r="M533">
        <f>IFERROR(VLOOKUP(A533,库龄!B:N,12,0),0)</f>
        <v>0</v>
      </c>
      <c r="N533">
        <f t="shared" si="18"/>
        <v>0</v>
      </c>
    </row>
    <row r="534" spans="1:14">
      <c r="A534" s="3" t="s">
        <v>1442</v>
      </c>
      <c r="B534">
        <f>IFERROR(VLOOKUP(A534,管理亚马逊库存!A:K,11,0),"")</f>
        <v>18</v>
      </c>
      <c r="C534">
        <f>IFERROR(VLOOKUP(A534,管理亚马逊库存!A:L,12,0),"")</f>
        <v>0</v>
      </c>
      <c r="D534">
        <f>IFERROR(VLOOKUP(A534,管理亚马逊库存!A:Q,17,0),"")</f>
        <v>70</v>
      </c>
      <c r="E534">
        <f>IFERROR(VLOOKUP(A534,管理亚马逊库存!A:R,18,0),"")</f>
        <v>30</v>
      </c>
      <c r="F534">
        <f t="shared" si="17"/>
        <v>100</v>
      </c>
      <c r="G534" t="str">
        <f>IFERROR(VLOOKUP(A534,预留库存!A:G,7,0),0)</f>
        <v>No</v>
      </c>
      <c r="H534">
        <f>IFERROR(VLOOKUP(A534,预留库存!A:H,8,0),0)</f>
        <v>0</v>
      </c>
      <c r="I534">
        <f>IFERROR(VLOOKUP(A534,预留库存!A:F,6,0),0)</f>
        <v>24.98</v>
      </c>
      <c r="J534">
        <f>IFERROR(VLOOKUP(A534,库龄!B:K,9,0),0)</f>
        <v>0</v>
      </c>
      <c r="K534">
        <f>IFERROR(VLOOKUP(A534,库龄!B:L,10,0),0)</f>
        <v>0</v>
      </c>
      <c r="L534">
        <f>IFERROR(VLOOKUP(A534,库龄!B:M,11,0),0)</f>
        <v>0</v>
      </c>
      <c r="M534">
        <f>IFERROR(VLOOKUP(A534,库龄!B:N,12,0),0)</f>
        <v>0</v>
      </c>
      <c r="N534">
        <f t="shared" si="18"/>
        <v>0</v>
      </c>
    </row>
    <row r="535" spans="1:14">
      <c r="A535" s="3" t="s">
        <v>1446</v>
      </c>
      <c r="B535">
        <f>IFERROR(VLOOKUP(A535,管理亚马逊库存!A:K,11,0),"")</f>
        <v>29</v>
      </c>
      <c r="C535">
        <f>IFERROR(VLOOKUP(A535,管理亚马逊库存!A:L,12,0),"")</f>
        <v>0</v>
      </c>
      <c r="D535">
        <f>IFERROR(VLOOKUP(A535,管理亚马逊库存!A:Q,17,0),"")</f>
        <v>40</v>
      </c>
      <c r="E535">
        <f>IFERROR(VLOOKUP(A535,管理亚马逊库存!A:R,18,0),"")</f>
        <v>2</v>
      </c>
      <c r="F535">
        <f t="shared" si="17"/>
        <v>42</v>
      </c>
      <c r="G535" t="str">
        <f>IFERROR(VLOOKUP(A535,预留库存!A:G,7,0),0)</f>
        <v>No</v>
      </c>
      <c r="H535">
        <f>IFERROR(VLOOKUP(A535,预留库存!A:H,8,0),0)</f>
        <v>0</v>
      </c>
      <c r="I535">
        <f>IFERROR(VLOOKUP(A535,预留库存!A:F,6,0),0)</f>
        <v>23.98</v>
      </c>
      <c r="J535">
        <f>IFERROR(VLOOKUP(A535,库龄!B:K,9,0),0)</f>
        <v>0</v>
      </c>
      <c r="K535">
        <f>IFERROR(VLOOKUP(A535,库龄!B:L,10,0),0)</f>
        <v>0</v>
      </c>
      <c r="L535">
        <f>IFERROR(VLOOKUP(A535,库龄!B:M,11,0),0)</f>
        <v>0</v>
      </c>
      <c r="M535">
        <f>IFERROR(VLOOKUP(A535,库龄!B:N,12,0),0)</f>
        <v>0</v>
      </c>
      <c r="N535">
        <f t="shared" si="18"/>
        <v>0</v>
      </c>
    </row>
    <row r="536" spans="1:14">
      <c r="A536" s="3" t="s">
        <v>1450</v>
      </c>
      <c r="B536">
        <f>IFERROR(VLOOKUP(A536,管理亚马逊库存!A:K,11,0),"")</f>
        <v>0</v>
      </c>
      <c r="C536">
        <f>IFERROR(VLOOKUP(A536,管理亚马逊库存!A:L,12,0),"")</f>
        <v>0</v>
      </c>
      <c r="D536">
        <f>IFERROR(VLOOKUP(A536,管理亚马逊库存!A:Q,17,0),"")</f>
        <v>0</v>
      </c>
      <c r="E536">
        <f>IFERROR(VLOOKUP(A536,管理亚马逊库存!A:R,18,0),"")</f>
        <v>0</v>
      </c>
      <c r="F536">
        <f t="shared" si="17"/>
        <v>0</v>
      </c>
      <c r="G536" t="str">
        <f>IFERROR(VLOOKUP(A536,预留库存!A:G,7,0),0)</f>
        <v>No</v>
      </c>
      <c r="H536">
        <f>IFERROR(VLOOKUP(A536,预留库存!A:H,8,0),0)</f>
        <v>0</v>
      </c>
      <c r="I536">
        <f>IFERROR(VLOOKUP(A536,预留库存!A:F,6,0),0)</f>
        <v>39.98</v>
      </c>
      <c r="J536">
        <f>IFERROR(VLOOKUP(A536,库龄!B:K,9,0),0)</f>
        <v>0</v>
      </c>
      <c r="K536">
        <f>IFERROR(VLOOKUP(A536,库龄!B:L,10,0),0)</f>
        <v>0</v>
      </c>
      <c r="L536">
        <f>IFERROR(VLOOKUP(A536,库龄!B:M,11,0),0)</f>
        <v>0</v>
      </c>
      <c r="M536">
        <f>IFERROR(VLOOKUP(A536,库龄!B:N,12,0),0)</f>
        <v>0</v>
      </c>
      <c r="N536">
        <f t="shared" si="18"/>
        <v>0</v>
      </c>
    </row>
    <row r="537" spans="1:14">
      <c r="A537" s="3" t="s">
        <v>1453</v>
      </c>
      <c r="B537">
        <f>IFERROR(VLOOKUP(A537,管理亚马逊库存!A:K,11,0),"")</f>
        <v>0</v>
      </c>
      <c r="C537">
        <f>IFERROR(VLOOKUP(A537,管理亚马逊库存!A:L,12,0),"")</f>
        <v>0</v>
      </c>
      <c r="D537">
        <f>IFERROR(VLOOKUP(A537,管理亚马逊库存!A:Q,17,0),"")</f>
        <v>0</v>
      </c>
      <c r="E537">
        <f>IFERROR(VLOOKUP(A537,管理亚马逊库存!A:R,18,0),"")</f>
        <v>0</v>
      </c>
      <c r="F537">
        <f t="shared" si="17"/>
        <v>0</v>
      </c>
      <c r="G537" t="str">
        <f>IFERROR(VLOOKUP(A537,预留库存!A:G,7,0),0)</f>
        <v>Yes</v>
      </c>
      <c r="H537">
        <f>IFERROR(VLOOKUP(A537,预留库存!A:H,8,0),0)</f>
        <v>0</v>
      </c>
      <c r="I537">
        <f>IFERROR(VLOOKUP(A537,预留库存!A:F,6,0),0)</f>
        <v>23.98</v>
      </c>
      <c r="J537">
        <f>IFERROR(VLOOKUP(A537,库龄!B:K,9,0),0)</f>
        <v>0</v>
      </c>
      <c r="K537">
        <f>IFERROR(VLOOKUP(A537,库龄!B:L,10,0),0)</f>
        <v>0</v>
      </c>
      <c r="L537">
        <f>IFERROR(VLOOKUP(A537,库龄!B:M,11,0),0)</f>
        <v>0</v>
      </c>
      <c r="M537">
        <f>IFERROR(VLOOKUP(A537,库龄!B:N,12,0),0)</f>
        <v>0</v>
      </c>
      <c r="N537">
        <f t="shared" si="18"/>
        <v>0</v>
      </c>
    </row>
    <row r="538" spans="1:14">
      <c r="A538" s="3" t="s">
        <v>1456</v>
      </c>
      <c r="B538">
        <f>IFERROR(VLOOKUP(A538,管理亚马逊库存!A:K,11,0),"")</f>
        <v>0</v>
      </c>
      <c r="C538">
        <f>IFERROR(VLOOKUP(A538,管理亚马逊库存!A:L,12,0),"")</f>
        <v>0</v>
      </c>
      <c r="D538">
        <f>IFERROR(VLOOKUP(A538,管理亚马逊库存!A:Q,17,0),"")</f>
        <v>0</v>
      </c>
      <c r="E538">
        <f>IFERROR(VLOOKUP(A538,管理亚马逊库存!A:R,18,0),"")</f>
        <v>0</v>
      </c>
      <c r="F538">
        <f t="shared" si="17"/>
        <v>0</v>
      </c>
      <c r="G538">
        <f>IFERROR(VLOOKUP(A538,预留库存!A:G,7,0),0)</f>
        <v>0</v>
      </c>
      <c r="H538">
        <f>IFERROR(VLOOKUP(A538,预留库存!A:H,8,0),0)</f>
        <v>0</v>
      </c>
      <c r="I538">
        <f>IFERROR(VLOOKUP(A538,预留库存!A:F,6,0),0)</f>
        <v>0</v>
      </c>
      <c r="J538">
        <f>IFERROR(VLOOKUP(A538,库龄!B:K,9,0),0)</f>
        <v>0</v>
      </c>
      <c r="K538">
        <f>IFERROR(VLOOKUP(A538,库龄!B:L,10,0),0)</f>
        <v>0</v>
      </c>
      <c r="L538">
        <f>IFERROR(VLOOKUP(A538,库龄!B:M,11,0),0)</f>
        <v>0</v>
      </c>
      <c r="M538">
        <f>IFERROR(VLOOKUP(A538,库龄!B:N,12,0),0)</f>
        <v>0</v>
      </c>
      <c r="N538">
        <f t="shared" si="18"/>
        <v>0</v>
      </c>
    </row>
    <row r="539" spans="1:14">
      <c r="A539" s="3" t="s">
        <v>1458</v>
      </c>
      <c r="B539">
        <f>IFERROR(VLOOKUP(A539,管理亚马逊库存!A:K,11,0),"")</f>
        <v>0</v>
      </c>
      <c r="C539">
        <f>IFERROR(VLOOKUP(A539,管理亚马逊库存!A:L,12,0),"")</f>
        <v>0</v>
      </c>
      <c r="D539">
        <f>IFERROR(VLOOKUP(A539,管理亚马逊库存!A:Q,17,0),"")</f>
        <v>0</v>
      </c>
      <c r="E539">
        <f>IFERROR(VLOOKUP(A539,管理亚马逊库存!A:R,18,0),"")</f>
        <v>0</v>
      </c>
      <c r="F539">
        <f t="shared" si="17"/>
        <v>0</v>
      </c>
      <c r="G539">
        <f>IFERROR(VLOOKUP(A539,预留库存!A:G,7,0),0)</f>
        <v>0</v>
      </c>
      <c r="H539">
        <f>IFERROR(VLOOKUP(A539,预留库存!A:H,8,0),0)</f>
        <v>0</v>
      </c>
      <c r="I539">
        <f>IFERROR(VLOOKUP(A539,预留库存!A:F,6,0),0)</f>
        <v>0</v>
      </c>
      <c r="J539">
        <f>IFERROR(VLOOKUP(A539,库龄!B:K,9,0),0)</f>
        <v>0</v>
      </c>
      <c r="K539">
        <f>IFERROR(VLOOKUP(A539,库龄!B:L,10,0),0)</f>
        <v>0</v>
      </c>
      <c r="L539">
        <f>IFERROR(VLOOKUP(A539,库龄!B:M,11,0),0)</f>
        <v>0</v>
      </c>
      <c r="M539">
        <f>IFERROR(VLOOKUP(A539,库龄!B:N,12,0),0)</f>
        <v>0</v>
      </c>
      <c r="N539">
        <f t="shared" si="18"/>
        <v>0</v>
      </c>
    </row>
    <row r="540" spans="1:14">
      <c r="A540" s="3" t="s">
        <v>1460</v>
      </c>
      <c r="B540">
        <f>IFERROR(VLOOKUP(A540,管理亚马逊库存!A:K,11,0),"")</f>
        <v>0</v>
      </c>
      <c r="C540">
        <f>IFERROR(VLOOKUP(A540,管理亚马逊库存!A:L,12,0),"")</f>
        <v>0</v>
      </c>
      <c r="D540">
        <f>IFERROR(VLOOKUP(A540,管理亚马逊库存!A:Q,17,0),"")</f>
        <v>0</v>
      </c>
      <c r="E540">
        <f>IFERROR(VLOOKUP(A540,管理亚马逊库存!A:R,18,0),"")</f>
        <v>0</v>
      </c>
      <c r="F540">
        <f t="shared" si="17"/>
        <v>0</v>
      </c>
      <c r="G540">
        <f>IFERROR(VLOOKUP(A540,预留库存!A:G,7,0),0)</f>
        <v>0</v>
      </c>
      <c r="H540">
        <f>IFERROR(VLOOKUP(A540,预留库存!A:H,8,0),0)</f>
        <v>0</v>
      </c>
      <c r="I540">
        <f>IFERROR(VLOOKUP(A540,预留库存!A:F,6,0),0)</f>
        <v>0</v>
      </c>
      <c r="J540">
        <f>IFERROR(VLOOKUP(A540,库龄!B:K,9,0),0)</f>
        <v>0</v>
      </c>
      <c r="K540">
        <f>IFERROR(VLOOKUP(A540,库龄!B:L,10,0),0)</f>
        <v>0</v>
      </c>
      <c r="L540">
        <f>IFERROR(VLOOKUP(A540,库龄!B:M,11,0),0)</f>
        <v>0</v>
      </c>
      <c r="M540">
        <f>IFERROR(VLOOKUP(A540,库龄!B:N,12,0),0)</f>
        <v>0</v>
      </c>
      <c r="N540">
        <f t="shared" si="18"/>
        <v>0</v>
      </c>
    </row>
    <row r="541" spans="1:14">
      <c r="A541" s="3" t="s">
        <v>1462</v>
      </c>
      <c r="B541">
        <f>IFERROR(VLOOKUP(A541,管理亚马逊库存!A:K,11,0),"")</f>
        <v>13</v>
      </c>
      <c r="C541">
        <f>IFERROR(VLOOKUP(A541,管理亚马逊库存!A:L,12,0),"")</f>
        <v>0</v>
      </c>
      <c r="D541">
        <f>IFERROR(VLOOKUP(A541,管理亚马逊库存!A:Q,17,0),"")</f>
        <v>0</v>
      </c>
      <c r="E541">
        <f>IFERROR(VLOOKUP(A541,管理亚马逊库存!A:R,18,0),"")</f>
        <v>0</v>
      </c>
      <c r="F541">
        <f t="shared" si="17"/>
        <v>0</v>
      </c>
      <c r="G541" t="str">
        <f>IFERROR(VLOOKUP(A541,预留库存!A:G,7,0),0)</f>
        <v>No</v>
      </c>
      <c r="H541">
        <f>IFERROR(VLOOKUP(A541,预留库存!A:H,8,0),0)</f>
        <v>0</v>
      </c>
      <c r="I541">
        <f>IFERROR(VLOOKUP(A541,预留库存!A:F,6,0),0)</f>
        <v>22.98</v>
      </c>
      <c r="J541">
        <f>IFERROR(VLOOKUP(A541,库龄!B:K,9,0),0)</f>
        <v>1</v>
      </c>
      <c r="K541">
        <f>IFERROR(VLOOKUP(A541,库龄!B:L,10,0),0)</f>
        <v>11</v>
      </c>
      <c r="L541">
        <f>IFERROR(VLOOKUP(A541,库龄!B:M,11,0),0)</f>
        <v>0</v>
      </c>
      <c r="M541">
        <f>IFERROR(VLOOKUP(A541,库龄!B:N,12,0),0)</f>
        <v>0</v>
      </c>
      <c r="N541">
        <f t="shared" si="18"/>
        <v>12</v>
      </c>
    </row>
    <row r="542" spans="1:14">
      <c r="A542" s="3" t="s">
        <v>1464</v>
      </c>
      <c r="B542">
        <f>IFERROR(VLOOKUP(A542,管理亚马逊库存!A:K,11,0),"")</f>
        <v>45</v>
      </c>
      <c r="C542">
        <f>IFERROR(VLOOKUP(A542,管理亚马逊库存!A:L,12,0),"")</f>
        <v>0</v>
      </c>
      <c r="D542">
        <f>IFERROR(VLOOKUP(A542,管理亚马逊库存!A:Q,17,0),"")</f>
        <v>0</v>
      </c>
      <c r="E542">
        <f>IFERROR(VLOOKUP(A542,管理亚马逊库存!A:R,18,0),"")</f>
        <v>0</v>
      </c>
      <c r="F542">
        <f t="shared" si="17"/>
        <v>0</v>
      </c>
      <c r="G542" t="str">
        <f>IFERROR(VLOOKUP(A542,预留库存!A:G,7,0),0)</f>
        <v>No</v>
      </c>
      <c r="H542">
        <f>IFERROR(VLOOKUP(A542,预留库存!A:H,8,0),0)</f>
        <v>0</v>
      </c>
      <c r="I542">
        <f>IFERROR(VLOOKUP(A542,预留库存!A:F,6,0),0)</f>
        <v>22.98</v>
      </c>
      <c r="J542">
        <f>IFERROR(VLOOKUP(A542,库龄!B:K,9,0),0)</f>
        <v>3</v>
      </c>
      <c r="K542">
        <f>IFERROR(VLOOKUP(A542,库龄!B:L,10,0),0)</f>
        <v>43</v>
      </c>
      <c r="L542">
        <f>IFERROR(VLOOKUP(A542,库龄!B:M,11,0),0)</f>
        <v>0</v>
      </c>
      <c r="M542">
        <f>IFERROR(VLOOKUP(A542,库龄!B:N,12,0),0)</f>
        <v>0</v>
      </c>
      <c r="N542">
        <f t="shared" si="18"/>
        <v>46</v>
      </c>
    </row>
    <row r="543" spans="1:14">
      <c r="A543" s="3" t="s">
        <v>1466</v>
      </c>
      <c r="B543">
        <f>IFERROR(VLOOKUP(A543,管理亚马逊库存!A:K,11,0),"")</f>
        <v>8</v>
      </c>
      <c r="C543">
        <f>IFERROR(VLOOKUP(A543,管理亚马逊库存!A:L,12,0),"")</f>
        <v>0</v>
      </c>
      <c r="D543">
        <f>IFERROR(VLOOKUP(A543,管理亚马逊库存!A:Q,17,0),"")</f>
        <v>0</v>
      </c>
      <c r="E543">
        <f>IFERROR(VLOOKUP(A543,管理亚马逊库存!A:R,18,0),"")</f>
        <v>0</v>
      </c>
      <c r="F543">
        <f t="shared" si="17"/>
        <v>0</v>
      </c>
      <c r="G543" t="str">
        <f>IFERROR(VLOOKUP(A543,预留库存!A:G,7,0),0)</f>
        <v>No</v>
      </c>
      <c r="H543">
        <f>IFERROR(VLOOKUP(A543,预留库存!A:H,8,0),0)</f>
        <v>0</v>
      </c>
      <c r="I543">
        <f>IFERROR(VLOOKUP(A543,预留库存!A:F,6,0),0)</f>
        <v>18.98</v>
      </c>
      <c r="J543">
        <f>IFERROR(VLOOKUP(A543,库龄!B:K,9,0),0)</f>
        <v>1</v>
      </c>
      <c r="K543">
        <f>IFERROR(VLOOKUP(A543,库龄!B:L,10,0),0)</f>
        <v>8</v>
      </c>
      <c r="L543">
        <f>IFERROR(VLOOKUP(A543,库龄!B:M,11,0),0)</f>
        <v>0</v>
      </c>
      <c r="M543">
        <f>IFERROR(VLOOKUP(A543,库龄!B:N,12,0),0)</f>
        <v>0</v>
      </c>
      <c r="N543">
        <f t="shared" si="18"/>
        <v>9</v>
      </c>
    </row>
    <row r="544" spans="1:14">
      <c r="A544" s="3" t="s">
        <v>1468</v>
      </c>
      <c r="B544">
        <f>IFERROR(VLOOKUP(A544,管理亚马逊库存!A:K,11,0),"")</f>
        <v>22</v>
      </c>
      <c r="C544">
        <f>IFERROR(VLOOKUP(A544,管理亚马逊库存!A:L,12,0),"")</f>
        <v>0</v>
      </c>
      <c r="D544">
        <f>IFERROR(VLOOKUP(A544,管理亚马逊库存!A:Q,17,0),"")</f>
        <v>0</v>
      </c>
      <c r="E544">
        <f>IFERROR(VLOOKUP(A544,管理亚马逊库存!A:R,18,0),"")</f>
        <v>0</v>
      </c>
      <c r="F544">
        <f t="shared" si="17"/>
        <v>0</v>
      </c>
      <c r="G544" t="str">
        <f>IFERROR(VLOOKUP(A544,预留库存!A:G,7,0),0)</f>
        <v>No</v>
      </c>
      <c r="H544">
        <f>IFERROR(VLOOKUP(A544,预留库存!A:H,8,0),0)</f>
        <v>0</v>
      </c>
      <c r="I544">
        <f>IFERROR(VLOOKUP(A544,预留库存!A:F,6,0),0)</f>
        <v>22.98</v>
      </c>
      <c r="J544">
        <f>IFERROR(VLOOKUP(A544,库龄!B:K,9,0),0)</f>
        <v>0</v>
      </c>
      <c r="K544">
        <f>IFERROR(VLOOKUP(A544,库龄!B:L,10,0),0)</f>
        <v>21</v>
      </c>
      <c r="L544">
        <f>IFERROR(VLOOKUP(A544,库龄!B:M,11,0),0)</f>
        <v>0</v>
      </c>
      <c r="M544">
        <f>IFERROR(VLOOKUP(A544,库龄!B:N,12,0),0)</f>
        <v>0</v>
      </c>
      <c r="N544">
        <f t="shared" si="18"/>
        <v>21</v>
      </c>
    </row>
    <row r="545" spans="1:14">
      <c r="A545" s="3" t="s">
        <v>1470</v>
      </c>
      <c r="B545">
        <f>IFERROR(VLOOKUP(A545,管理亚马逊库存!A:K,11,0),"")</f>
        <v>14</v>
      </c>
      <c r="C545">
        <f>IFERROR(VLOOKUP(A545,管理亚马逊库存!A:L,12,0),"")</f>
        <v>0</v>
      </c>
      <c r="D545">
        <f>IFERROR(VLOOKUP(A545,管理亚马逊库存!A:Q,17,0),"")</f>
        <v>0</v>
      </c>
      <c r="E545">
        <f>IFERROR(VLOOKUP(A545,管理亚马逊库存!A:R,18,0),"")</f>
        <v>0</v>
      </c>
      <c r="F545">
        <f t="shared" si="17"/>
        <v>0</v>
      </c>
      <c r="G545" t="str">
        <f>IFERROR(VLOOKUP(A545,预留库存!A:G,7,0),0)</f>
        <v>No</v>
      </c>
      <c r="H545">
        <f>IFERROR(VLOOKUP(A545,预留库存!A:H,8,0),0)</f>
        <v>0</v>
      </c>
      <c r="I545">
        <f>IFERROR(VLOOKUP(A545,预留库存!A:F,6,0),0)</f>
        <v>22.98</v>
      </c>
      <c r="J545">
        <f>IFERROR(VLOOKUP(A545,库龄!B:K,9,0),0)</f>
        <v>1</v>
      </c>
      <c r="K545">
        <f>IFERROR(VLOOKUP(A545,库龄!B:L,10,0),0)</f>
        <v>11</v>
      </c>
      <c r="L545">
        <f>IFERROR(VLOOKUP(A545,库龄!B:M,11,0),0)</f>
        <v>0</v>
      </c>
      <c r="M545">
        <f>IFERROR(VLOOKUP(A545,库龄!B:N,12,0),0)</f>
        <v>0</v>
      </c>
      <c r="N545">
        <f t="shared" si="18"/>
        <v>12</v>
      </c>
    </row>
    <row r="546" spans="1:14">
      <c r="A546" s="3" t="s">
        <v>1472</v>
      </c>
      <c r="B546">
        <f>IFERROR(VLOOKUP(A546,管理亚马逊库存!A:K,11,0),"")</f>
        <v>27</v>
      </c>
      <c r="C546">
        <f>IFERROR(VLOOKUP(A546,管理亚马逊库存!A:L,12,0),"")</f>
        <v>0</v>
      </c>
      <c r="D546">
        <f>IFERROR(VLOOKUP(A546,管理亚马逊库存!A:Q,17,0),"")</f>
        <v>0</v>
      </c>
      <c r="E546">
        <f>IFERROR(VLOOKUP(A546,管理亚马逊库存!A:R,18,0),"")</f>
        <v>0</v>
      </c>
      <c r="F546">
        <f t="shared" si="17"/>
        <v>0</v>
      </c>
      <c r="G546" t="str">
        <f>IFERROR(VLOOKUP(A546,预留库存!A:G,7,0),0)</f>
        <v>No</v>
      </c>
      <c r="H546">
        <f>IFERROR(VLOOKUP(A546,预留库存!A:H,8,0),0)</f>
        <v>0</v>
      </c>
      <c r="I546">
        <f>IFERROR(VLOOKUP(A546,预留库存!A:F,6,0),0)</f>
        <v>22.98</v>
      </c>
      <c r="J546">
        <f>IFERROR(VLOOKUP(A546,库龄!B:K,9,0),0)</f>
        <v>16</v>
      </c>
      <c r="K546">
        <f>IFERROR(VLOOKUP(A546,库龄!B:L,10,0),0)</f>
        <v>0</v>
      </c>
      <c r="L546">
        <f>IFERROR(VLOOKUP(A546,库龄!B:M,11,0),0)</f>
        <v>0</v>
      </c>
      <c r="M546">
        <f>IFERROR(VLOOKUP(A546,库龄!B:N,12,0),0)</f>
        <v>0</v>
      </c>
      <c r="N546">
        <f t="shared" si="18"/>
        <v>16</v>
      </c>
    </row>
    <row r="547" spans="1:14">
      <c r="A547" s="3" t="s">
        <v>1474</v>
      </c>
      <c r="B547">
        <f>IFERROR(VLOOKUP(A547,管理亚马逊库存!A:K,11,0),"")</f>
        <v>3</v>
      </c>
      <c r="C547">
        <f>IFERROR(VLOOKUP(A547,管理亚马逊库存!A:L,12,0),"")</f>
        <v>0</v>
      </c>
      <c r="D547">
        <f>IFERROR(VLOOKUP(A547,管理亚马逊库存!A:Q,17,0),"")</f>
        <v>0</v>
      </c>
      <c r="E547">
        <f>IFERROR(VLOOKUP(A547,管理亚马逊库存!A:R,18,0),"")</f>
        <v>0</v>
      </c>
      <c r="F547">
        <f t="shared" si="17"/>
        <v>0</v>
      </c>
      <c r="G547" t="str">
        <f>IFERROR(VLOOKUP(A547,预留库存!A:G,7,0),0)</f>
        <v>No</v>
      </c>
      <c r="H547">
        <f>IFERROR(VLOOKUP(A547,预留库存!A:H,8,0),0)</f>
        <v>0</v>
      </c>
      <c r="I547">
        <f>IFERROR(VLOOKUP(A547,预留库存!A:F,6,0),0)</f>
        <v>22.98</v>
      </c>
      <c r="J547">
        <f>IFERROR(VLOOKUP(A547,库龄!B:K,9,0),0)</f>
        <v>0</v>
      </c>
      <c r="K547">
        <f>IFERROR(VLOOKUP(A547,库龄!B:L,10,0),0)</f>
        <v>0</v>
      </c>
      <c r="L547">
        <f>IFERROR(VLOOKUP(A547,库龄!B:M,11,0),0)</f>
        <v>0</v>
      </c>
      <c r="M547">
        <f>IFERROR(VLOOKUP(A547,库龄!B:N,12,0),0)</f>
        <v>0</v>
      </c>
      <c r="N547">
        <f t="shared" si="18"/>
        <v>0</v>
      </c>
    </row>
    <row r="548" spans="1:14">
      <c r="A548" s="3" t="s">
        <v>1476</v>
      </c>
      <c r="B548">
        <f>IFERROR(VLOOKUP(A548,管理亚马逊库存!A:K,11,0),"")</f>
        <v>9</v>
      </c>
      <c r="C548">
        <f>IFERROR(VLOOKUP(A548,管理亚马逊库存!A:L,12,0),"")</f>
        <v>0</v>
      </c>
      <c r="D548">
        <f>IFERROR(VLOOKUP(A548,管理亚马逊库存!A:Q,17,0),"")</f>
        <v>0</v>
      </c>
      <c r="E548">
        <f>IFERROR(VLOOKUP(A548,管理亚马逊库存!A:R,18,0),"")</f>
        <v>0</v>
      </c>
      <c r="F548">
        <f t="shared" si="17"/>
        <v>0</v>
      </c>
      <c r="G548" t="str">
        <f>IFERROR(VLOOKUP(A548,预留库存!A:G,7,0),0)</f>
        <v>No</v>
      </c>
      <c r="H548">
        <f>IFERROR(VLOOKUP(A548,预留库存!A:H,8,0),0)</f>
        <v>0</v>
      </c>
      <c r="I548">
        <f>IFERROR(VLOOKUP(A548,预留库存!A:F,6,0),0)</f>
        <v>14.43</v>
      </c>
      <c r="J548">
        <f>IFERROR(VLOOKUP(A548,库龄!B:K,9,0),0)</f>
        <v>0</v>
      </c>
      <c r="K548">
        <f>IFERROR(VLOOKUP(A548,库龄!B:L,10,0),0)</f>
        <v>1</v>
      </c>
      <c r="L548">
        <f>IFERROR(VLOOKUP(A548,库龄!B:M,11,0),0)</f>
        <v>0</v>
      </c>
      <c r="M548">
        <f>IFERROR(VLOOKUP(A548,库龄!B:N,12,0),0)</f>
        <v>0</v>
      </c>
      <c r="N548">
        <f t="shared" si="18"/>
        <v>1</v>
      </c>
    </row>
    <row r="549" spans="1:14">
      <c r="A549" s="3" t="s">
        <v>1478</v>
      </c>
      <c r="B549">
        <f>IFERROR(VLOOKUP(A549,管理亚马逊库存!A:K,11,0),"")</f>
        <v>22</v>
      </c>
      <c r="C549">
        <f>IFERROR(VLOOKUP(A549,管理亚马逊库存!A:L,12,0),"")</f>
        <v>0</v>
      </c>
      <c r="D549">
        <f>IFERROR(VLOOKUP(A549,管理亚马逊库存!A:Q,17,0),"")</f>
        <v>0</v>
      </c>
      <c r="E549">
        <f>IFERROR(VLOOKUP(A549,管理亚马逊库存!A:R,18,0),"")</f>
        <v>0</v>
      </c>
      <c r="F549">
        <f t="shared" si="17"/>
        <v>0</v>
      </c>
      <c r="G549" t="str">
        <f>IFERROR(VLOOKUP(A549,预留库存!A:G,7,0),0)</f>
        <v>No</v>
      </c>
      <c r="H549">
        <f>IFERROR(VLOOKUP(A549,预留库存!A:H,8,0),0)</f>
        <v>0</v>
      </c>
      <c r="I549">
        <f>IFERROR(VLOOKUP(A549,预留库存!A:F,6,0),0)</f>
        <v>39.98</v>
      </c>
      <c r="J549">
        <f>IFERROR(VLOOKUP(A549,库龄!B:K,9,0),0)</f>
        <v>19</v>
      </c>
      <c r="K549">
        <f>IFERROR(VLOOKUP(A549,库龄!B:L,10,0),0)</f>
        <v>0</v>
      </c>
      <c r="L549">
        <f>IFERROR(VLOOKUP(A549,库龄!B:M,11,0),0)</f>
        <v>0</v>
      </c>
      <c r="M549">
        <f>IFERROR(VLOOKUP(A549,库龄!B:N,12,0),0)</f>
        <v>0</v>
      </c>
      <c r="N549">
        <f t="shared" si="18"/>
        <v>19</v>
      </c>
    </row>
    <row r="550" spans="1:14">
      <c r="A550" s="3" t="s">
        <v>1480</v>
      </c>
      <c r="B550">
        <f>IFERROR(VLOOKUP(A550,管理亚马逊库存!A:K,11,0),"")</f>
        <v>14</v>
      </c>
      <c r="C550">
        <f>IFERROR(VLOOKUP(A550,管理亚马逊库存!A:L,12,0),"")</f>
        <v>0</v>
      </c>
      <c r="D550">
        <f>IFERROR(VLOOKUP(A550,管理亚马逊库存!A:Q,17,0),"")</f>
        <v>0</v>
      </c>
      <c r="E550">
        <f>IFERROR(VLOOKUP(A550,管理亚马逊库存!A:R,18,0),"")</f>
        <v>0</v>
      </c>
      <c r="F550">
        <f t="shared" si="17"/>
        <v>0</v>
      </c>
      <c r="G550" t="str">
        <f>IFERROR(VLOOKUP(A550,预留库存!A:G,7,0),0)</f>
        <v>No</v>
      </c>
      <c r="H550">
        <f>IFERROR(VLOOKUP(A550,预留库存!A:H,8,0),0)</f>
        <v>0</v>
      </c>
      <c r="I550">
        <f>IFERROR(VLOOKUP(A550,预留库存!A:F,6,0),0)</f>
        <v>22.98</v>
      </c>
      <c r="J550">
        <f>IFERROR(VLOOKUP(A550,库龄!B:K,9,0),0)</f>
        <v>13</v>
      </c>
      <c r="K550">
        <f>IFERROR(VLOOKUP(A550,库龄!B:L,10,0),0)</f>
        <v>0</v>
      </c>
      <c r="L550">
        <f>IFERROR(VLOOKUP(A550,库龄!B:M,11,0),0)</f>
        <v>0</v>
      </c>
      <c r="M550">
        <f>IFERROR(VLOOKUP(A550,库龄!B:N,12,0),0)</f>
        <v>0</v>
      </c>
      <c r="N550">
        <f t="shared" si="18"/>
        <v>13</v>
      </c>
    </row>
    <row r="551" spans="1:14">
      <c r="A551" s="3" t="s">
        <v>1482</v>
      </c>
      <c r="B551">
        <f>IFERROR(VLOOKUP(A551,管理亚马逊库存!A:K,11,0),"")</f>
        <v>0</v>
      </c>
      <c r="C551">
        <f>IFERROR(VLOOKUP(A551,管理亚马逊库存!A:L,12,0),"")</f>
        <v>0</v>
      </c>
      <c r="D551">
        <f>IFERROR(VLOOKUP(A551,管理亚马逊库存!A:Q,17,0),"")</f>
        <v>0</v>
      </c>
      <c r="E551">
        <f>IFERROR(VLOOKUP(A551,管理亚马逊库存!A:R,18,0),"")</f>
        <v>0</v>
      </c>
      <c r="F551">
        <f t="shared" si="17"/>
        <v>0</v>
      </c>
      <c r="G551" t="str">
        <f>IFERROR(VLOOKUP(A551,预留库存!A:G,7,0),0)</f>
        <v>No</v>
      </c>
      <c r="H551">
        <f>IFERROR(VLOOKUP(A551,预留库存!A:H,8,0),0)</f>
        <v>0</v>
      </c>
      <c r="I551">
        <f>IFERROR(VLOOKUP(A551,预留库存!A:F,6,0),0)</f>
        <v>39.98</v>
      </c>
      <c r="J551">
        <f>IFERROR(VLOOKUP(A551,库龄!B:K,9,0),0)</f>
        <v>0</v>
      </c>
      <c r="K551">
        <f>IFERROR(VLOOKUP(A551,库龄!B:L,10,0),0)</f>
        <v>0</v>
      </c>
      <c r="L551">
        <f>IFERROR(VLOOKUP(A551,库龄!B:M,11,0),0)</f>
        <v>0</v>
      </c>
      <c r="M551">
        <f>IFERROR(VLOOKUP(A551,库龄!B:N,12,0),0)</f>
        <v>0</v>
      </c>
      <c r="N551">
        <f t="shared" si="18"/>
        <v>0</v>
      </c>
    </row>
    <row r="552" spans="1:14">
      <c r="A552" s="3" t="s">
        <v>1484</v>
      </c>
      <c r="B552">
        <f>IFERROR(VLOOKUP(A552,管理亚马逊库存!A:K,11,0),"")</f>
        <v>12</v>
      </c>
      <c r="C552">
        <f>IFERROR(VLOOKUP(A552,管理亚马逊库存!A:L,12,0),"")</f>
        <v>0</v>
      </c>
      <c r="D552">
        <f>IFERROR(VLOOKUP(A552,管理亚马逊库存!A:Q,17,0),"")</f>
        <v>0</v>
      </c>
      <c r="E552">
        <f>IFERROR(VLOOKUP(A552,管理亚马逊库存!A:R,18,0),"")</f>
        <v>0</v>
      </c>
      <c r="F552">
        <f t="shared" si="17"/>
        <v>0</v>
      </c>
      <c r="G552" t="str">
        <f>IFERROR(VLOOKUP(A552,预留库存!A:G,7,0),0)</f>
        <v>No</v>
      </c>
      <c r="H552">
        <f>IFERROR(VLOOKUP(A552,预留库存!A:H,8,0),0)</f>
        <v>0</v>
      </c>
      <c r="I552">
        <f>IFERROR(VLOOKUP(A552,预留库存!A:F,6,0),0)</f>
        <v>22.98</v>
      </c>
      <c r="J552">
        <f>IFERROR(VLOOKUP(A552,库龄!B:K,9,0),0)</f>
        <v>5</v>
      </c>
      <c r="K552">
        <f>IFERROR(VLOOKUP(A552,库龄!B:L,10,0),0)</f>
        <v>0</v>
      </c>
      <c r="L552">
        <f>IFERROR(VLOOKUP(A552,库龄!B:M,11,0),0)</f>
        <v>0</v>
      </c>
      <c r="M552">
        <f>IFERROR(VLOOKUP(A552,库龄!B:N,12,0),0)</f>
        <v>0</v>
      </c>
      <c r="N552">
        <f t="shared" si="18"/>
        <v>5</v>
      </c>
    </row>
    <row r="553" spans="1:14">
      <c r="A553" s="3" t="s">
        <v>1486</v>
      </c>
      <c r="B553">
        <f>IFERROR(VLOOKUP(A553,管理亚马逊库存!A:K,11,0),"")</f>
        <v>0</v>
      </c>
      <c r="C553">
        <f>IFERROR(VLOOKUP(A553,管理亚马逊库存!A:L,12,0),"")</f>
        <v>0</v>
      </c>
      <c r="D553">
        <f>IFERROR(VLOOKUP(A553,管理亚马逊库存!A:Q,17,0),"")</f>
        <v>0</v>
      </c>
      <c r="E553">
        <f>IFERROR(VLOOKUP(A553,管理亚马逊库存!A:R,18,0),"")</f>
        <v>0</v>
      </c>
      <c r="F553">
        <f t="shared" si="17"/>
        <v>0</v>
      </c>
      <c r="G553" t="str">
        <f>IFERROR(VLOOKUP(A553,预留库存!A:G,7,0),0)</f>
        <v>No</v>
      </c>
      <c r="H553">
        <f>IFERROR(VLOOKUP(A553,预留库存!A:H,8,0),0)</f>
        <v>0</v>
      </c>
      <c r="I553">
        <f>IFERROR(VLOOKUP(A553,预留库存!A:F,6,0),0)</f>
        <v>39.98</v>
      </c>
      <c r="J553">
        <f>IFERROR(VLOOKUP(A553,库龄!B:K,9,0),0)</f>
        <v>0</v>
      </c>
      <c r="K553">
        <f>IFERROR(VLOOKUP(A553,库龄!B:L,10,0),0)</f>
        <v>0</v>
      </c>
      <c r="L553">
        <f>IFERROR(VLOOKUP(A553,库龄!B:M,11,0),0)</f>
        <v>0</v>
      </c>
      <c r="M553">
        <f>IFERROR(VLOOKUP(A553,库龄!B:N,12,0),0)</f>
        <v>0</v>
      </c>
      <c r="N553">
        <f t="shared" si="18"/>
        <v>0</v>
      </c>
    </row>
    <row r="554" spans="1:14">
      <c r="A554" s="3" t="s">
        <v>1488</v>
      </c>
      <c r="B554">
        <f>IFERROR(VLOOKUP(A554,管理亚马逊库存!A:K,11,0),"")</f>
        <v>0</v>
      </c>
      <c r="C554">
        <f>IFERROR(VLOOKUP(A554,管理亚马逊库存!A:L,12,0),"")</f>
        <v>0</v>
      </c>
      <c r="D554">
        <f>IFERROR(VLOOKUP(A554,管理亚马逊库存!A:Q,17,0),"")</f>
        <v>0</v>
      </c>
      <c r="E554">
        <f>IFERROR(VLOOKUP(A554,管理亚马逊库存!A:R,18,0),"")</f>
        <v>0</v>
      </c>
      <c r="F554">
        <f t="shared" si="17"/>
        <v>0</v>
      </c>
      <c r="G554" t="str">
        <f>IFERROR(VLOOKUP(A554,预留库存!A:G,7,0),0)</f>
        <v>No</v>
      </c>
      <c r="H554">
        <f>IFERROR(VLOOKUP(A554,预留库存!A:H,8,0),0)</f>
        <v>0</v>
      </c>
      <c r="I554">
        <f>IFERROR(VLOOKUP(A554,预留库存!A:F,6,0),0)</f>
        <v>39.98</v>
      </c>
      <c r="J554">
        <f>IFERROR(VLOOKUP(A554,库龄!B:K,9,0),0)</f>
        <v>0</v>
      </c>
      <c r="K554">
        <f>IFERROR(VLOOKUP(A554,库龄!B:L,10,0),0)</f>
        <v>0</v>
      </c>
      <c r="L554">
        <f>IFERROR(VLOOKUP(A554,库龄!B:M,11,0),0)</f>
        <v>0</v>
      </c>
      <c r="M554">
        <f>IFERROR(VLOOKUP(A554,库龄!B:N,12,0),0)</f>
        <v>0</v>
      </c>
      <c r="N554">
        <f t="shared" si="18"/>
        <v>0</v>
      </c>
    </row>
    <row r="555" spans="1:14">
      <c r="A555" s="3" t="s">
        <v>1490</v>
      </c>
      <c r="B555">
        <f>IFERROR(VLOOKUP(A555,管理亚马逊库存!A:K,11,0),"")</f>
        <v>12</v>
      </c>
      <c r="C555">
        <f>IFERROR(VLOOKUP(A555,管理亚马逊库存!A:L,12,0),"")</f>
        <v>0</v>
      </c>
      <c r="D555">
        <f>IFERROR(VLOOKUP(A555,管理亚马逊库存!A:Q,17,0),"")</f>
        <v>0</v>
      </c>
      <c r="E555">
        <f>IFERROR(VLOOKUP(A555,管理亚马逊库存!A:R,18,0),"")</f>
        <v>0</v>
      </c>
      <c r="F555">
        <f t="shared" si="17"/>
        <v>0</v>
      </c>
      <c r="G555" t="str">
        <f>IFERROR(VLOOKUP(A555,预留库存!A:G,7,0),0)</f>
        <v>No</v>
      </c>
      <c r="H555">
        <f>IFERROR(VLOOKUP(A555,预留库存!A:H,8,0),0)</f>
        <v>0</v>
      </c>
      <c r="I555">
        <f>IFERROR(VLOOKUP(A555,预留库存!A:F,6,0),0)</f>
        <v>22.98</v>
      </c>
      <c r="J555">
        <f>IFERROR(VLOOKUP(A555,库龄!B:K,9,0),0)</f>
        <v>0</v>
      </c>
      <c r="K555">
        <f>IFERROR(VLOOKUP(A555,库龄!B:L,10,0),0)</f>
        <v>0</v>
      </c>
      <c r="L555">
        <f>IFERROR(VLOOKUP(A555,库龄!B:M,11,0),0)</f>
        <v>0</v>
      </c>
      <c r="M555">
        <f>IFERROR(VLOOKUP(A555,库龄!B:N,12,0),0)</f>
        <v>0</v>
      </c>
      <c r="N555">
        <f t="shared" si="18"/>
        <v>0</v>
      </c>
    </row>
    <row r="556" spans="1:14">
      <c r="A556" s="3" t="s">
        <v>1492</v>
      </c>
      <c r="B556">
        <f>IFERROR(VLOOKUP(A556,管理亚马逊库存!A:K,11,0),"")</f>
        <v>29</v>
      </c>
      <c r="C556">
        <f>IFERROR(VLOOKUP(A556,管理亚马逊库存!A:L,12,0),"")</f>
        <v>0</v>
      </c>
      <c r="D556">
        <f>IFERROR(VLOOKUP(A556,管理亚马逊库存!A:Q,17,0),"")</f>
        <v>0</v>
      </c>
      <c r="E556">
        <f>IFERROR(VLOOKUP(A556,管理亚马逊库存!A:R,18,0),"")</f>
        <v>0</v>
      </c>
      <c r="F556">
        <f t="shared" si="17"/>
        <v>0</v>
      </c>
      <c r="G556" t="str">
        <f>IFERROR(VLOOKUP(A556,预留库存!A:G,7,0),0)</f>
        <v>No</v>
      </c>
      <c r="H556">
        <f>IFERROR(VLOOKUP(A556,预留库存!A:H,8,0),0)</f>
        <v>0</v>
      </c>
      <c r="I556">
        <f>IFERROR(VLOOKUP(A556,预留库存!A:F,6,0),0)</f>
        <v>22.98</v>
      </c>
      <c r="J556">
        <f>IFERROR(VLOOKUP(A556,库龄!B:K,9,0),0)</f>
        <v>6</v>
      </c>
      <c r="K556">
        <f>IFERROR(VLOOKUP(A556,库龄!B:L,10,0),0)</f>
        <v>0</v>
      </c>
      <c r="L556">
        <f>IFERROR(VLOOKUP(A556,库龄!B:M,11,0),0)</f>
        <v>0</v>
      </c>
      <c r="M556">
        <f>IFERROR(VLOOKUP(A556,库龄!B:N,12,0),0)</f>
        <v>0</v>
      </c>
      <c r="N556">
        <f t="shared" si="18"/>
        <v>6</v>
      </c>
    </row>
    <row r="557" spans="1:14">
      <c r="A557" s="3" t="s">
        <v>1494</v>
      </c>
      <c r="B557">
        <f>IFERROR(VLOOKUP(A557,管理亚马逊库存!A:K,11,0),"")</f>
        <v>33</v>
      </c>
      <c r="C557">
        <f>IFERROR(VLOOKUP(A557,管理亚马逊库存!A:L,12,0),"")</f>
        <v>0</v>
      </c>
      <c r="D557">
        <f>IFERROR(VLOOKUP(A557,管理亚马逊库存!A:Q,17,0),"")</f>
        <v>0</v>
      </c>
      <c r="E557">
        <f>IFERROR(VLOOKUP(A557,管理亚马逊库存!A:R,18,0),"")</f>
        <v>0</v>
      </c>
      <c r="F557">
        <f t="shared" si="17"/>
        <v>0</v>
      </c>
      <c r="G557" t="str">
        <f>IFERROR(VLOOKUP(A557,预留库存!A:G,7,0),0)</f>
        <v>No</v>
      </c>
      <c r="H557">
        <f>IFERROR(VLOOKUP(A557,预留库存!A:H,8,0),0)</f>
        <v>0</v>
      </c>
      <c r="I557">
        <f>IFERROR(VLOOKUP(A557,预留库存!A:F,6,0),0)</f>
        <v>22.98</v>
      </c>
      <c r="J557">
        <f>IFERROR(VLOOKUP(A557,库龄!B:K,9,0),0)</f>
        <v>3</v>
      </c>
      <c r="K557">
        <f>IFERROR(VLOOKUP(A557,库龄!B:L,10,0),0)</f>
        <v>0</v>
      </c>
      <c r="L557">
        <f>IFERROR(VLOOKUP(A557,库龄!B:M,11,0),0)</f>
        <v>0</v>
      </c>
      <c r="M557">
        <f>IFERROR(VLOOKUP(A557,库龄!B:N,12,0),0)</f>
        <v>0</v>
      </c>
      <c r="N557">
        <f t="shared" si="18"/>
        <v>3</v>
      </c>
    </row>
    <row r="558" spans="1:14">
      <c r="A558" s="3" t="s">
        <v>1496</v>
      </c>
      <c r="B558">
        <f>IFERROR(VLOOKUP(A558,管理亚马逊库存!A:K,11,0),"")</f>
        <v>38</v>
      </c>
      <c r="C558">
        <f>IFERROR(VLOOKUP(A558,管理亚马逊库存!A:L,12,0),"")</f>
        <v>0</v>
      </c>
      <c r="D558">
        <f>IFERROR(VLOOKUP(A558,管理亚马逊库存!A:Q,17,0),"")</f>
        <v>0</v>
      </c>
      <c r="E558">
        <f>IFERROR(VLOOKUP(A558,管理亚马逊库存!A:R,18,0),"")</f>
        <v>0</v>
      </c>
      <c r="F558">
        <f t="shared" si="17"/>
        <v>0</v>
      </c>
      <c r="G558" t="str">
        <f>IFERROR(VLOOKUP(A558,预留库存!A:G,7,0),0)</f>
        <v>No</v>
      </c>
      <c r="H558">
        <f>IFERROR(VLOOKUP(A558,预留库存!A:H,8,0),0)</f>
        <v>0</v>
      </c>
      <c r="I558">
        <f>IFERROR(VLOOKUP(A558,预留库存!A:F,6,0),0)</f>
        <v>18.98</v>
      </c>
      <c r="J558">
        <f>IFERROR(VLOOKUP(A558,库龄!B:K,9,0),0)</f>
        <v>6</v>
      </c>
      <c r="K558">
        <f>IFERROR(VLOOKUP(A558,库龄!B:L,10,0),0)</f>
        <v>30</v>
      </c>
      <c r="L558">
        <f>IFERROR(VLOOKUP(A558,库龄!B:M,11,0),0)</f>
        <v>0</v>
      </c>
      <c r="M558">
        <f>IFERROR(VLOOKUP(A558,库龄!B:N,12,0),0)</f>
        <v>0</v>
      </c>
      <c r="N558">
        <f t="shared" si="18"/>
        <v>36</v>
      </c>
    </row>
    <row r="559" spans="1:14">
      <c r="A559" s="3" t="s">
        <v>1498</v>
      </c>
      <c r="B559">
        <f>IFERROR(VLOOKUP(A559,管理亚马逊库存!A:K,11,0),"")</f>
        <v>87</v>
      </c>
      <c r="C559">
        <f>IFERROR(VLOOKUP(A559,管理亚马逊库存!A:L,12,0),"")</f>
        <v>0</v>
      </c>
      <c r="D559">
        <f>IFERROR(VLOOKUP(A559,管理亚马逊库存!A:Q,17,0),"")</f>
        <v>0</v>
      </c>
      <c r="E559">
        <f>IFERROR(VLOOKUP(A559,管理亚马逊库存!A:R,18,0),"")</f>
        <v>0</v>
      </c>
      <c r="F559">
        <f t="shared" si="17"/>
        <v>0</v>
      </c>
      <c r="G559" t="str">
        <f>IFERROR(VLOOKUP(A559,预留库存!A:G,7,0),0)</f>
        <v>No</v>
      </c>
      <c r="H559">
        <f>IFERROR(VLOOKUP(A559,预留库存!A:H,8,0),0)</f>
        <v>0</v>
      </c>
      <c r="I559">
        <f>IFERROR(VLOOKUP(A559,预留库存!A:F,6,0),0)</f>
        <v>22.98</v>
      </c>
      <c r="J559">
        <f>IFERROR(VLOOKUP(A559,库龄!B:K,9,0),0)</f>
        <v>66</v>
      </c>
      <c r="K559">
        <f>IFERROR(VLOOKUP(A559,库龄!B:L,10,0),0)</f>
        <v>0</v>
      </c>
      <c r="L559">
        <f>IFERROR(VLOOKUP(A559,库龄!B:M,11,0),0)</f>
        <v>0</v>
      </c>
      <c r="M559">
        <f>IFERROR(VLOOKUP(A559,库龄!B:N,12,0),0)</f>
        <v>0</v>
      </c>
      <c r="N559">
        <f t="shared" si="18"/>
        <v>66</v>
      </c>
    </row>
    <row r="560" spans="1:14">
      <c r="A560" s="3" t="s">
        <v>1500</v>
      </c>
      <c r="B560">
        <f>IFERROR(VLOOKUP(A560,管理亚马逊库存!A:K,11,0),"")</f>
        <v>31</v>
      </c>
      <c r="C560">
        <f>IFERROR(VLOOKUP(A560,管理亚马逊库存!A:L,12,0),"")</f>
        <v>0</v>
      </c>
      <c r="D560">
        <f>IFERROR(VLOOKUP(A560,管理亚马逊库存!A:Q,17,0),"")</f>
        <v>0</v>
      </c>
      <c r="E560">
        <f>IFERROR(VLOOKUP(A560,管理亚马逊库存!A:R,18,0),"")</f>
        <v>0</v>
      </c>
      <c r="F560">
        <f t="shared" si="17"/>
        <v>0</v>
      </c>
      <c r="G560" t="str">
        <f>IFERROR(VLOOKUP(A560,预留库存!A:G,7,0),0)</f>
        <v>No</v>
      </c>
      <c r="H560">
        <f>IFERROR(VLOOKUP(A560,预留库存!A:H,8,0),0)</f>
        <v>0</v>
      </c>
      <c r="I560">
        <f>IFERROR(VLOOKUP(A560,预留库存!A:F,6,0),0)</f>
        <v>0</v>
      </c>
      <c r="J560">
        <f>IFERROR(VLOOKUP(A560,库龄!B:K,9,0),0)</f>
        <v>0</v>
      </c>
      <c r="K560">
        <f>IFERROR(VLOOKUP(A560,库龄!B:L,10,0),0)</f>
        <v>0</v>
      </c>
      <c r="L560">
        <f>IFERROR(VLOOKUP(A560,库龄!B:M,11,0),0)</f>
        <v>0</v>
      </c>
      <c r="M560">
        <f>IFERROR(VLOOKUP(A560,库龄!B:N,12,0),0)</f>
        <v>0</v>
      </c>
      <c r="N560">
        <f t="shared" si="18"/>
        <v>0</v>
      </c>
    </row>
    <row r="561" spans="1:14">
      <c r="A561" s="3" t="s">
        <v>1502</v>
      </c>
      <c r="B561">
        <f>IFERROR(VLOOKUP(A561,管理亚马逊库存!A:K,11,0),"")</f>
        <v>42</v>
      </c>
      <c r="C561">
        <f>IFERROR(VLOOKUP(A561,管理亚马逊库存!A:L,12,0),"")</f>
        <v>0</v>
      </c>
      <c r="D561">
        <f>IFERROR(VLOOKUP(A561,管理亚马逊库存!A:Q,17,0),"")</f>
        <v>0</v>
      </c>
      <c r="E561">
        <f>IFERROR(VLOOKUP(A561,管理亚马逊库存!A:R,18,0),"")</f>
        <v>0</v>
      </c>
      <c r="F561">
        <f t="shared" si="17"/>
        <v>0</v>
      </c>
      <c r="G561" t="str">
        <f>IFERROR(VLOOKUP(A561,预留库存!A:G,7,0),0)</f>
        <v>No</v>
      </c>
      <c r="H561">
        <f>IFERROR(VLOOKUP(A561,预留库存!A:H,8,0),0)</f>
        <v>0</v>
      </c>
      <c r="I561">
        <f>IFERROR(VLOOKUP(A561,预留库存!A:F,6,0),0)</f>
        <v>22.98</v>
      </c>
      <c r="J561">
        <f>IFERROR(VLOOKUP(A561,库龄!B:K,9,0),0)</f>
        <v>19</v>
      </c>
      <c r="K561">
        <f>IFERROR(VLOOKUP(A561,库龄!B:L,10,0),0)</f>
        <v>0</v>
      </c>
      <c r="L561">
        <f>IFERROR(VLOOKUP(A561,库龄!B:M,11,0),0)</f>
        <v>0</v>
      </c>
      <c r="M561">
        <f>IFERROR(VLOOKUP(A561,库龄!B:N,12,0),0)</f>
        <v>0</v>
      </c>
      <c r="N561">
        <f t="shared" si="18"/>
        <v>19</v>
      </c>
    </row>
    <row r="562" spans="1:14">
      <c r="A562" s="3" t="s">
        <v>1504</v>
      </c>
      <c r="B562">
        <f>IFERROR(VLOOKUP(A562,管理亚马逊库存!A:K,11,0),"")</f>
        <v>18</v>
      </c>
      <c r="C562">
        <f>IFERROR(VLOOKUP(A562,管理亚马逊库存!A:L,12,0),"")</f>
        <v>0</v>
      </c>
      <c r="D562">
        <f>IFERROR(VLOOKUP(A562,管理亚马逊库存!A:Q,17,0),"")</f>
        <v>0</v>
      </c>
      <c r="E562">
        <f>IFERROR(VLOOKUP(A562,管理亚马逊库存!A:R,18,0),"")</f>
        <v>0</v>
      </c>
      <c r="F562">
        <f t="shared" si="17"/>
        <v>0</v>
      </c>
      <c r="G562" t="str">
        <f>IFERROR(VLOOKUP(A562,预留库存!A:G,7,0),0)</f>
        <v>No</v>
      </c>
      <c r="H562">
        <f>IFERROR(VLOOKUP(A562,预留库存!A:H,8,0),0)</f>
        <v>0</v>
      </c>
      <c r="I562">
        <f>IFERROR(VLOOKUP(A562,预留库存!A:F,6,0),0)</f>
        <v>22.98</v>
      </c>
      <c r="J562">
        <f>IFERROR(VLOOKUP(A562,库龄!B:K,9,0),0)</f>
        <v>18</v>
      </c>
      <c r="K562">
        <f>IFERROR(VLOOKUP(A562,库龄!B:L,10,0),0)</f>
        <v>0</v>
      </c>
      <c r="L562">
        <f>IFERROR(VLOOKUP(A562,库龄!B:M,11,0),0)</f>
        <v>0</v>
      </c>
      <c r="M562">
        <f>IFERROR(VLOOKUP(A562,库龄!B:N,12,0),0)</f>
        <v>0</v>
      </c>
      <c r="N562">
        <f t="shared" si="18"/>
        <v>18</v>
      </c>
    </row>
    <row r="563" spans="1:14">
      <c r="A563" s="3" t="s">
        <v>1506</v>
      </c>
      <c r="B563">
        <f>IFERROR(VLOOKUP(A563,管理亚马逊库存!A:K,11,0),"")</f>
        <v>8</v>
      </c>
      <c r="C563">
        <f>IFERROR(VLOOKUP(A563,管理亚马逊库存!A:L,12,0),"")</f>
        <v>0</v>
      </c>
      <c r="D563">
        <f>IFERROR(VLOOKUP(A563,管理亚马逊库存!A:Q,17,0),"")</f>
        <v>0</v>
      </c>
      <c r="E563">
        <f>IFERROR(VLOOKUP(A563,管理亚马逊库存!A:R,18,0),"")</f>
        <v>0</v>
      </c>
      <c r="F563">
        <f t="shared" si="17"/>
        <v>0</v>
      </c>
      <c r="G563" t="str">
        <f>IFERROR(VLOOKUP(A563,预留库存!A:G,7,0),0)</f>
        <v>No</v>
      </c>
      <c r="H563">
        <f>IFERROR(VLOOKUP(A563,预留库存!A:H,8,0),0)</f>
        <v>0</v>
      </c>
      <c r="I563">
        <f>IFERROR(VLOOKUP(A563,预留库存!A:F,6,0),0)</f>
        <v>19.98</v>
      </c>
      <c r="J563">
        <f>IFERROR(VLOOKUP(A563,库龄!B:K,9,0),0)</f>
        <v>0</v>
      </c>
      <c r="K563">
        <f>IFERROR(VLOOKUP(A563,库龄!B:L,10,0),0)</f>
        <v>8</v>
      </c>
      <c r="L563">
        <f>IFERROR(VLOOKUP(A563,库龄!B:M,11,0),0)</f>
        <v>0</v>
      </c>
      <c r="M563">
        <f>IFERROR(VLOOKUP(A563,库龄!B:N,12,0),0)</f>
        <v>0</v>
      </c>
      <c r="N563">
        <f t="shared" si="18"/>
        <v>8</v>
      </c>
    </row>
    <row r="564" spans="1:14">
      <c r="A564" s="3" t="s">
        <v>1508</v>
      </c>
      <c r="B564">
        <f>IFERROR(VLOOKUP(A564,管理亚马逊库存!A:K,11,0),"")</f>
        <v>43</v>
      </c>
      <c r="C564">
        <f>IFERROR(VLOOKUP(A564,管理亚马逊库存!A:L,12,0),"")</f>
        <v>0</v>
      </c>
      <c r="D564">
        <f>IFERROR(VLOOKUP(A564,管理亚马逊库存!A:Q,17,0),"")</f>
        <v>0</v>
      </c>
      <c r="E564">
        <f>IFERROR(VLOOKUP(A564,管理亚马逊库存!A:R,18,0),"")</f>
        <v>0</v>
      </c>
      <c r="F564">
        <f t="shared" si="17"/>
        <v>0</v>
      </c>
      <c r="G564" t="str">
        <f>IFERROR(VLOOKUP(A564,预留库存!A:G,7,0),0)</f>
        <v>No</v>
      </c>
      <c r="H564">
        <f>IFERROR(VLOOKUP(A564,预留库存!A:H,8,0),0)</f>
        <v>0</v>
      </c>
      <c r="I564">
        <f>IFERROR(VLOOKUP(A564,预留库存!A:F,6,0),0)</f>
        <v>22.98</v>
      </c>
      <c r="J564">
        <f>IFERROR(VLOOKUP(A564,库龄!B:K,9,0),0)</f>
        <v>42</v>
      </c>
      <c r="K564">
        <f>IFERROR(VLOOKUP(A564,库龄!B:L,10,0),0)</f>
        <v>0</v>
      </c>
      <c r="L564">
        <f>IFERROR(VLOOKUP(A564,库龄!B:M,11,0),0)</f>
        <v>0</v>
      </c>
      <c r="M564">
        <f>IFERROR(VLOOKUP(A564,库龄!B:N,12,0),0)</f>
        <v>0</v>
      </c>
      <c r="N564">
        <f t="shared" si="18"/>
        <v>42</v>
      </c>
    </row>
    <row r="565" spans="1:14">
      <c r="A565" s="3" t="s">
        <v>1510</v>
      </c>
      <c r="B565">
        <f>IFERROR(VLOOKUP(A565,管理亚马逊库存!A:K,11,0),"")</f>
        <v>12</v>
      </c>
      <c r="C565">
        <f>IFERROR(VLOOKUP(A565,管理亚马逊库存!A:L,12,0),"")</f>
        <v>0</v>
      </c>
      <c r="D565">
        <f>IFERROR(VLOOKUP(A565,管理亚马逊库存!A:Q,17,0),"")</f>
        <v>0</v>
      </c>
      <c r="E565">
        <f>IFERROR(VLOOKUP(A565,管理亚马逊库存!A:R,18,0),"")</f>
        <v>0</v>
      </c>
      <c r="F565">
        <f t="shared" si="17"/>
        <v>0</v>
      </c>
      <c r="G565" t="str">
        <f>IFERROR(VLOOKUP(A565,预留库存!A:G,7,0),0)</f>
        <v>No</v>
      </c>
      <c r="H565">
        <f>IFERROR(VLOOKUP(A565,预留库存!A:H,8,0),0)</f>
        <v>0</v>
      </c>
      <c r="I565">
        <f>IFERROR(VLOOKUP(A565,预留库存!A:F,6,0),0)</f>
        <v>22.98</v>
      </c>
      <c r="J565">
        <f>IFERROR(VLOOKUP(A565,库龄!B:K,9,0),0)</f>
        <v>10</v>
      </c>
      <c r="K565">
        <f>IFERROR(VLOOKUP(A565,库龄!B:L,10,0),0)</f>
        <v>0</v>
      </c>
      <c r="L565">
        <f>IFERROR(VLOOKUP(A565,库龄!B:M,11,0),0)</f>
        <v>0</v>
      </c>
      <c r="M565">
        <f>IFERROR(VLOOKUP(A565,库龄!B:N,12,0),0)</f>
        <v>0</v>
      </c>
      <c r="N565">
        <f t="shared" si="18"/>
        <v>10</v>
      </c>
    </row>
    <row r="566" spans="1:14">
      <c r="A566" s="3" t="s">
        <v>1512</v>
      </c>
      <c r="B566">
        <f>IFERROR(VLOOKUP(A566,管理亚马逊库存!A:K,11,0),"")</f>
        <v>26</v>
      </c>
      <c r="C566">
        <f>IFERROR(VLOOKUP(A566,管理亚马逊库存!A:L,12,0),"")</f>
        <v>0</v>
      </c>
      <c r="D566">
        <f>IFERROR(VLOOKUP(A566,管理亚马逊库存!A:Q,17,0),"")</f>
        <v>0</v>
      </c>
      <c r="E566">
        <f>IFERROR(VLOOKUP(A566,管理亚马逊库存!A:R,18,0),"")</f>
        <v>0</v>
      </c>
      <c r="F566">
        <f t="shared" si="17"/>
        <v>0</v>
      </c>
      <c r="G566" t="str">
        <f>IFERROR(VLOOKUP(A566,预留库存!A:G,7,0),0)</f>
        <v>No</v>
      </c>
      <c r="H566">
        <f>IFERROR(VLOOKUP(A566,预留库存!A:H,8,0),0)</f>
        <v>0</v>
      </c>
      <c r="I566">
        <f>IFERROR(VLOOKUP(A566,预留库存!A:F,6,0),0)</f>
        <v>22.98</v>
      </c>
      <c r="J566">
        <f>IFERROR(VLOOKUP(A566,库龄!B:K,9,0),0)</f>
        <v>2</v>
      </c>
      <c r="K566">
        <f>IFERROR(VLOOKUP(A566,库龄!B:L,10,0),0)</f>
        <v>24</v>
      </c>
      <c r="L566">
        <f>IFERROR(VLOOKUP(A566,库龄!B:M,11,0),0)</f>
        <v>0</v>
      </c>
      <c r="M566">
        <f>IFERROR(VLOOKUP(A566,库龄!B:N,12,0),0)</f>
        <v>0</v>
      </c>
      <c r="N566">
        <f t="shared" si="18"/>
        <v>26</v>
      </c>
    </row>
    <row r="567" spans="1:14">
      <c r="A567" s="3" t="s">
        <v>1514</v>
      </c>
      <c r="B567">
        <f>IFERROR(VLOOKUP(A567,管理亚马逊库存!A:K,11,0),"")</f>
        <v>11</v>
      </c>
      <c r="C567">
        <f>IFERROR(VLOOKUP(A567,管理亚马逊库存!A:L,12,0),"")</f>
        <v>0</v>
      </c>
      <c r="D567">
        <f>IFERROR(VLOOKUP(A567,管理亚马逊库存!A:Q,17,0),"")</f>
        <v>0</v>
      </c>
      <c r="E567">
        <f>IFERROR(VLOOKUP(A567,管理亚马逊库存!A:R,18,0),"")</f>
        <v>0</v>
      </c>
      <c r="F567">
        <f t="shared" si="17"/>
        <v>0</v>
      </c>
      <c r="G567" t="str">
        <f>IFERROR(VLOOKUP(A567,预留库存!A:G,7,0),0)</f>
        <v>No</v>
      </c>
      <c r="H567">
        <f>IFERROR(VLOOKUP(A567,预留库存!A:H,8,0),0)</f>
        <v>0</v>
      </c>
      <c r="I567">
        <f>IFERROR(VLOOKUP(A567,预留库存!A:F,6,0),0)</f>
        <v>16.98</v>
      </c>
      <c r="J567">
        <f>IFERROR(VLOOKUP(A567,库龄!B:K,9,0),0)</f>
        <v>3</v>
      </c>
      <c r="K567">
        <f>IFERROR(VLOOKUP(A567,库龄!B:L,10,0),0)</f>
        <v>8</v>
      </c>
      <c r="L567">
        <f>IFERROR(VLOOKUP(A567,库龄!B:M,11,0),0)</f>
        <v>0</v>
      </c>
      <c r="M567">
        <f>IFERROR(VLOOKUP(A567,库龄!B:N,12,0),0)</f>
        <v>0</v>
      </c>
      <c r="N567">
        <f t="shared" si="18"/>
        <v>11</v>
      </c>
    </row>
    <row r="568" spans="1:14">
      <c r="A568" s="3" t="s">
        <v>1516</v>
      </c>
      <c r="B568">
        <f>IFERROR(VLOOKUP(A568,管理亚马逊库存!A:K,11,0),"")</f>
        <v>33</v>
      </c>
      <c r="C568">
        <f>IFERROR(VLOOKUP(A568,管理亚马逊库存!A:L,12,0),"")</f>
        <v>0</v>
      </c>
      <c r="D568">
        <f>IFERROR(VLOOKUP(A568,管理亚马逊库存!A:Q,17,0),"")</f>
        <v>0</v>
      </c>
      <c r="E568">
        <f>IFERROR(VLOOKUP(A568,管理亚马逊库存!A:R,18,0),"")</f>
        <v>0</v>
      </c>
      <c r="F568">
        <f t="shared" si="17"/>
        <v>0</v>
      </c>
      <c r="G568" t="str">
        <f>IFERROR(VLOOKUP(A568,预留库存!A:G,7,0),0)</f>
        <v>No</v>
      </c>
      <c r="H568">
        <f>IFERROR(VLOOKUP(A568,预留库存!A:H,8,0),0)</f>
        <v>0</v>
      </c>
      <c r="I568">
        <f>IFERROR(VLOOKUP(A568,预留库存!A:F,6,0),0)</f>
        <v>22.98</v>
      </c>
      <c r="J568">
        <f>IFERROR(VLOOKUP(A568,库龄!B:K,9,0),0)</f>
        <v>17</v>
      </c>
      <c r="K568">
        <f>IFERROR(VLOOKUP(A568,库龄!B:L,10,0),0)</f>
        <v>0</v>
      </c>
      <c r="L568">
        <f>IFERROR(VLOOKUP(A568,库龄!B:M,11,0),0)</f>
        <v>0</v>
      </c>
      <c r="M568">
        <f>IFERROR(VLOOKUP(A568,库龄!B:N,12,0),0)</f>
        <v>0</v>
      </c>
      <c r="N568">
        <f t="shared" si="18"/>
        <v>17</v>
      </c>
    </row>
    <row r="569" spans="1:14">
      <c r="A569" s="3" t="s">
        <v>1518</v>
      </c>
      <c r="B569">
        <f>IFERROR(VLOOKUP(A569,管理亚马逊库存!A:K,11,0),"")</f>
        <v>18</v>
      </c>
      <c r="C569">
        <f>IFERROR(VLOOKUP(A569,管理亚马逊库存!A:L,12,0),"")</f>
        <v>0</v>
      </c>
      <c r="D569">
        <f>IFERROR(VLOOKUP(A569,管理亚马逊库存!A:Q,17,0),"")</f>
        <v>0</v>
      </c>
      <c r="E569">
        <f>IFERROR(VLOOKUP(A569,管理亚马逊库存!A:R,18,0),"")</f>
        <v>0</v>
      </c>
      <c r="F569">
        <f t="shared" si="17"/>
        <v>0</v>
      </c>
      <c r="G569" t="str">
        <f>IFERROR(VLOOKUP(A569,预留库存!A:G,7,0),0)</f>
        <v>No</v>
      </c>
      <c r="H569">
        <f>IFERROR(VLOOKUP(A569,预留库存!A:H,8,0),0)</f>
        <v>0</v>
      </c>
      <c r="I569">
        <f>IFERROR(VLOOKUP(A569,预留库存!A:F,6,0),0)</f>
        <v>22.98</v>
      </c>
      <c r="J569">
        <f>IFERROR(VLOOKUP(A569,库龄!B:K,9,0),0)</f>
        <v>0</v>
      </c>
      <c r="K569">
        <f>IFERROR(VLOOKUP(A569,库龄!B:L,10,0),0)</f>
        <v>0</v>
      </c>
      <c r="L569">
        <f>IFERROR(VLOOKUP(A569,库龄!B:M,11,0),0)</f>
        <v>0</v>
      </c>
      <c r="M569">
        <f>IFERROR(VLOOKUP(A569,库龄!B:N,12,0),0)</f>
        <v>0</v>
      </c>
      <c r="N569">
        <f t="shared" si="18"/>
        <v>0</v>
      </c>
    </row>
    <row r="570" spans="1:14">
      <c r="A570" s="3" t="s">
        <v>1520</v>
      </c>
      <c r="B570">
        <f>IFERROR(VLOOKUP(A570,管理亚马逊库存!A:K,11,0),"")</f>
        <v>33</v>
      </c>
      <c r="C570">
        <f>IFERROR(VLOOKUP(A570,管理亚马逊库存!A:L,12,0),"")</f>
        <v>0</v>
      </c>
      <c r="D570">
        <f>IFERROR(VLOOKUP(A570,管理亚马逊库存!A:Q,17,0),"")</f>
        <v>0</v>
      </c>
      <c r="E570">
        <f>IFERROR(VLOOKUP(A570,管理亚马逊库存!A:R,18,0),"")</f>
        <v>0</v>
      </c>
      <c r="F570">
        <f t="shared" si="17"/>
        <v>0</v>
      </c>
      <c r="G570" t="str">
        <f>IFERROR(VLOOKUP(A570,预留库存!A:G,7,0),0)</f>
        <v>No</v>
      </c>
      <c r="H570">
        <f>IFERROR(VLOOKUP(A570,预留库存!A:H,8,0),0)</f>
        <v>0</v>
      </c>
      <c r="I570">
        <f>IFERROR(VLOOKUP(A570,预留库存!A:F,6,0),0)</f>
        <v>22.98</v>
      </c>
      <c r="J570">
        <f>IFERROR(VLOOKUP(A570,库龄!B:K,9,0),0)</f>
        <v>0</v>
      </c>
      <c r="K570">
        <f>IFERROR(VLOOKUP(A570,库龄!B:L,10,0),0)</f>
        <v>0</v>
      </c>
      <c r="L570">
        <f>IFERROR(VLOOKUP(A570,库龄!B:M,11,0),0)</f>
        <v>0</v>
      </c>
      <c r="M570">
        <f>IFERROR(VLOOKUP(A570,库龄!B:N,12,0),0)</f>
        <v>0</v>
      </c>
      <c r="N570">
        <f t="shared" si="18"/>
        <v>0</v>
      </c>
    </row>
    <row r="571" spans="1:14">
      <c r="A571" s="3" t="s">
        <v>1522</v>
      </c>
      <c r="B571">
        <f>IFERROR(VLOOKUP(A571,管理亚马逊库存!A:K,11,0),"")</f>
        <v>31</v>
      </c>
      <c r="C571">
        <f>IFERROR(VLOOKUP(A571,管理亚马逊库存!A:L,12,0),"")</f>
        <v>0</v>
      </c>
      <c r="D571">
        <f>IFERROR(VLOOKUP(A571,管理亚马逊库存!A:Q,17,0),"")</f>
        <v>0</v>
      </c>
      <c r="E571">
        <f>IFERROR(VLOOKUP(A571,管理亚马逊库存!A:R,18,0),"")</f>
        <v>0</v>
      </c>
      <c r="F571">
        <f t="shared" si="17"/>
        <v>0</v>
      </c>
      <c r="G571" t="str">
        <f>IFERROR(VLOOKUP(A571,预留库存!A:G,7,0),0)</f>
        <v>No</v>
      </c>
      <c r="H571">
        <f>IFERROR(VLOOKUP(A571,预留库存!A:H,8,0),0)</f>
        <v>0</v>
      </c>
      <c r="I571">
        <f>IFERROR(VLOOKUP(A571,预留库存!A:F,6,0),0)</f>
        <v>22.98</v>
      </c>
      <c r="J571">
        <f>IFERROR(VLOOKUP(A571,库龄!B:K,9,0),0)</f>
        <v>5</v>
      </c>
      <c r="K571">
        <f>IFERROR(VLOOKUP(A571,库龄!B:L,10,0),0)</f>
        <v>23</v>
      </c>
      <c r="L571">
        <f>IFERROR(VLOOKUP(A571,库龄!B:M,11,0),0)</f>
        <v>0</v>
      </c>
      <c r="M571">
        <f>IFERROR(VLOOKUP(A571,库龄!B:N,12,0),0)</f>
        <v>0</v>
      </c>
      <c r="N571">
        <f t="shared" si="18"/>
        <v>28</v>
      </c>
    </row>
    <row r="572" spans="1:14">
      <c r="A572" s="3" t="s">
        <v>1524</v>
      </c>
      <c r="B572">
        <f>IFERROR(VLOOKUP(A572,管理亚马逊库存!A:K,11,0),"")</f>
        <v>11</v>
      </c>
      <c r="C572">
        <f>IFERROR(VLOOKUP(A572,管理亚马逊库存!A:L,12,0),"")</f>
        <v>0</v>
      </c>
      <c r="D572">
        <f>IFERROR(VLOOKUP(A572,管理亚马逊库存!A:Q,17,0),"")</f>
        <v>0</v>
      </c>
      <c r="E572">
        <f>IFERROR(VLOOKUP(A572,管理亚马逊库存!A:R,18,0),"")</f>
        <v>0</v>
      </c>
      <c r="F572">
        <f t="shared" si="17"/>
        <v>0</v>
      </c>
      <c r="G572" t="str">
        <f>IFERROR(VLOOKUP(A572,预留库存!A:G,7,0),0)</f>
        <v>No</v>
      </c>
      <c r="H572">
        <f>IFERROR(VLOOKUP(A572,预留库存!A:H,8,0),0)</f>
        <v>0</v>
      </c>
      <c r="I572">
        <f>IFERROR(VLOOKUP(A572,预留库存!A:F,6,0),0)</f>
        <v>18.98</v>
      </c>
      <c r="J572">
        <f>IFERROR(VLOOKUP(A572,库龄!B:K,9,0),0)</f>
        <v>3</v>
      </c>
      <c r="K572">
        <f>IFERROR(VLOOKUP(A572,库龄!B:L,10,0),0)</f>
        <v>7</v>
      </c>
      <c r="L572">
        <f>IFERROR(VLOOKUP(A572,库龄!B:M,11,0),0)</f>
        <v>0</v>
      </c>
      <c r="M572">
        <f>IFERROR(VLOOKUP(A572,库龄!B:N,12,0),0)</f>
        <v>0</v>
      </c>
      <c r="N572">
        <f t="shared" si="18"/>
        <v>10</v>
      </c>
    </row>
    <row r="573" spans="1:14">
      <c r="A573" s="3" t="s">
        <v>1526</v>
      </c>
      <c r="B573">
        <f>IFERROR(VLOOKUP(A573,管理亚马逊库存!A:K,11,0),"")</f>
        <v>3</v>
      </c>
      <c r="C573">
        <f>IFERROR(VLOOKUP(A573,管理亚马逊库存!A:L,12,0),"")</f>
        <v>0</v>
      </c>
      <c r="D573">
        <f>IFERROR(VLOOKUP(A573,管理亚马逊库存!A:Q,17,0),"")</f>
        <v>0</v>
      </c>
      <c r="E573">
        <f>IFERROR(VLOOKUP(A573,管理亚马逊库存!A:R,18,0),"")</f>
        <v>0</v>
      </c>
      <c r="F573">
        <f t="shared" si="17"/>
        <v>0</v>
      </c>
      <c r="G573" t="str">
        <f>IFERROR(VLOOKUP(A573,预留库存!A:G,7,0),0)</f>
        <v>No</v>
      </c>
      <c r="H573">
        <f>IFERROR(VLOOKUP(A573,预留库存!A:H,8,0),0)</f>
        <v>0</v>
      </c>
      <c r="I573">
        <f>IFERROR(VLOOKUP(A573,预留库存!A:F,6,0),0)</f>
        <v>22.98</v>
      </c>
      <c r="J573">
        <f>IFERROR(VLOOKUP(A573,库龄!B:K,9,0),0)</f>
        <v>0</v>
      </c>
      <c r="K573">
        <f>IFERROR(VLOOKUP(A573,库龄!B:L,10,0),0)</f>
        <v>0</v>
      </c>
      <c r="L573">
        <f>IFERROR(VLOOKUP(A573,库龄!B:M,11,0),0)</f>
        <v>0</v>
      </c>
      <c r="M573">
        <f>IFERROR(VLOOKUP(A573,库龄!B:N,12,0),0)</f>
        <v>0</v>
      </c>
      <c r="N573">
        <f t="shared" si="18"/>
        <v>0</v>
      </c>
    </row>
    <row r="574" spans="1:14">
      <c r="A574" s="3" t="s">
        <v>1528</v>
      </c>
      <c r="B574">
        <f>IFERROR(VLOOKUP(A574,管理亚马逊库存!A:K,11,0),"")</f>
        <v>8</v>
      </c>
      <c r="C574">
        <f>IFERROR(VLOOKUP(A574,管理亚马逊库存!A:L,12,0),"")</f>
        <v>0</v>
      </c>
      <c r="D574">
        <f>IFERROR(VLOOKUP(A574,管理亚马逊库存!A:Q,17,0),"")</f>
        <v>0</v>
      </c>
      <c r="E574">
        <f>IFERROR(VLOOKUP(A574,管理亚马逊库存!A:R,18,0),"")</f>
        <v>0</v>
      </c>
      <c r="F574">
        <f t="shared" si="17"/>
        <v>0</v>
      </c>
      <c r="G574" t="str">
        <f>IFERROR(VLOOKUP(A574,预留库存!A:G,7,0),0)</f>
        <v>No</v>
      </c>
      <c r="H574">
        <f>IFERROR(VLOOKUP(A574,预留库存!A:H,8,0),0)</f>
        <v>0</v>
      </c>
      <c r="I574">
        <f>IFERROR(VLOOKUP(A574,预留库存!A:F,6,0),0)</f>
        <v>22.98</v>
      </c>
      <c r="J574">
        <f>IFERROR(VLOOKUP(A574,库龄!B:K,9,0),0)</f>
        <v>5</v>
      </c>
      <c r="K574">
        <f>IFERROR(VLOOKUP(A574,库龄!B:L,10,0),0)</f>
        <v>0</v>
      </c>
      <c r="L574">
        <f>IFERROR(VLOOKUP(A574,库龄!B:M,11,0),0)</f>
        <v>0</v>
      </c>
      <c r="M574">
        <f>IFERROR(VLOOKUP(A574,库龄!B:N,12,0),0)</f>
        <v>0</v>
      </c>
      <c r="N574">
        <f t="shared" si="18"/>
        <v>5</v>
      </c>
    </row>
    <row r="575" spans="1:14">
      <c r="A575" s="3" t="s">
        <v>1530</v>
      </c>
      <c r="B575">
        <f>IFERROR(VLOOKUP(A575,管理亚马逊库存!A:K,11,0),"")</f>
        <v>48</v>
      </c>
      <c r="C575">
        <f>IFERROR(VLOOKUP(A575,管理亚马逊库存!A:L,12,0),"")</f>
        <v>0</v>
      </c>
      <c r="D575">
        <f>IFERROR(VLOOKUP(A575,管理亚马逊库存!A:Q,17,0),"")</f>
        <v>0</v>
      </c>
      <c r="E575">
        <f>IFERROR(VLOOKUP(A575,管理亚马逊库存!A:R,18,0),"")</f>
        <v>0</v>
      </c>
      <c r="F575">
        <f t="shared" si="17"/>
        <v>0</v>
      </c>
      <c r="G575" t="str">
        <f>IFERROR(VLOOKUP(A575,预留库存!A:G,7,0),0)</f>
        <v>No</v>
      </c>
      <c r="H575">
        <f>IFERROR(VLOOKUP(A575,预留库存!A:H,8,0),0)</f>
        <v>0</v>
      </c>
      <c r="I575">
        <f>IFERROR(VLOOKUP(A575,预留库存!A:F,6,0),0)</f>
        <v>22.98</v>
      </c>
      <c r="J575">
        <f>IFERROR(VLOOKUP(A575,库龄!B:K,9,0),0)</f>
        <v>37</v>
      </c>
      <c r="K575">
        <f>IFERROR(VLOOKUP(A575,库龄!B:L,10,0),0)</f>
        <v>12</v>
      </c>
      <c r="L575">
        <f>IFERROR(VLOOKUP(A575,库龄!B:M,11,0),0)</f>
        <v>0</v>
      </c>
      <c r="M575">
        <f>IFERROR(VLOOKUP(A575,库龄!B:N,12,0),0)</f>
        <v>0</v>
      </c>
      <c r="N575">
        <f t="shared" si="18"/>
        <v>49</v>
      </c>
    </row>
    <row r="576" spans="1:14">
      <c r="A576" s="3" t="s">
        <v>1532</v>
      </c>
      <c r="B576">
        <f>IFERROR(VLOOKUP(A576,管理亚马逊库存!A:K,11,0),"")</f>
        <v>29</v>
      </c>
      <c r="C576">
        <f>IFERROR(VLOOKUP(A576,管理亚马逊库存!A:L,12,0),"")</f>
        <v>0</v>
      </c>
      <c r="D576">
        <f>IFERROR(VLOOKUP(A576,管理亚马逊库存!A:Q,17,0),"")</f>
        <v>0</v>
      </c>
      <c r="E576">
        <f>IFERROR(VLOOKUP(A576,管理亚马逊库存!A:R,18,0),"")</f>
        <v>0</v>
      </c>
      <c r="F576">
        <f t="shared" si="17"/>
        <v>0</v>
      </c>
      <c r="G576" t="str">
        <f>IFERROR(VLOOKUP(A576,预留库存!A:G,7,0),0)</f>
        <v>No</v>
      </c>
      <c r="H576">
        <f>IFERROR(VLOOKUP(A576,预留库存!A:H,8,0),0)</f>
        <v>0</v>
      </c>
      <c r="I576">
        <f>IFERROR(VLOOKUP(A576,预留库存!A:F,6,0),0)</f>
        <v>22.98</v>
      </c>
      <c r="J576">
        <f>IFERROR(VLOOKUP(A576,库龄!B:K,9,0),0)</f>
        <v>0</v>
      </c>
      <c r="K576">
        <f>IFERROR(VLOOKUP(A576,库龄!B:L,10,0),0)</f>
        <v>29</v>
      </c>
      <c r="L576">
        <f>IFERROR(VLOOKUP(A576,库龄!B:M,11,0),0)</f>
        <v>0</v>
      </c>
      <c r="M576">
        <f>IFERROR(VLOOKUP(A576,库龄!B:N,12,0),0)</f>
        <v>0</v>
      </c>
      <c r="N576">
        <f t="shared" si="18"/>
        <v>29</v>
      </c>
    </row>
    <row r="577" spans="1:14">
      <c r="A577" s="3" t="s">
        <v>1534</v>
      </c>
      <c r="B577">
        <f>IFERROR(VLOOKUP(A577,管理亚马逊库存!A:K,11,0),"")</f>
        <v>0</v>
      </c>
      <c r="C577">
        <f>IFERROR(VLOOKUP(A577,管理亚马逊库存!A:L,12,0),"")</f>
        <v>0</v>
      </c>
      <c r="D577">
        <f>IFERROR(VLOOKUP(A577,管理亚马逊库存!A:Q,17,0),"")</f>
        <v>0</v>
      </c>
      <c r="E577">
        <f>IFERROR(VLOOKUP(A577,管理亚马逊库存!A:R,18,0),"")</f>
        <v>0</v>
      </c>
      <c r="F577">
        <f t="shared" si="17"/>
        <v>0</v>
      </c>
      <c r="G577" t="str">
        <f>IFERROR(VLOOKUP(A577,预留库存!A:G,7,0),0)</f>
        <v>No</v>
      </c>
      <c r="H577">
        <f>IFERROR(VLOOKUP(A577,预留库存!A:H,8,0),0)</f>
        <v>0</v>
      </c>
      <c r="I577">
        <f>IFERROR(VLOOKUP(A577,预留库存!A:F,6,0),0)</f>
        <v>11.03</v>
      </c>
      <c r="J577">
        <f>IFERROR(VLOOKUP(A577,库龄!B:K,9,0),0)</f>
        <v>0</v>
      </c>
      <c r="K577">
        <f>IFERROR(VLOOKUP(A577,库龄!B:L,10,0),0)</f>
        <v>0</v>
      </c>
      <c r="L577">
        <f>IFERROR(VLOOKUP(A577,库龄!B:M,11,0),0)</f>
        <v>0</v>
      </c>
      <c r="M577">
        <f>IFERROR(VLOOKUP(A577,库龄!B:N,12,0),0)</f>
        <v>0</v>
      </c>
      <c r="N577">
        <f t="shared" si="18"/>
        <v>0</v>
      </c>
    </row>
    <row r="578" spans="1:14">
      <c r="A578" s="3" t="s">
        <v>1536</v>
      </c>
      <c r="B578">
        <f>IFERROR(VLOOKUP(A578,管理亚马逊库存!A:K,11,0),"")</f>
        <v>42</v>
      </c>
      <c r="C578">
        <f>IFERROR(VLOOKUP(A578,管理亚马逊库存!A:L,12,0),"")</f>
        <v>0</v>
      </c>
      <c r="D578">
        <f>IFERROR(VLOOKUP(A578,管理亚马逊库存!A:Q,17,0),"")</f>
        <v>0</v>
      </c>
      <c r="E578">
        <f>IFERROR(VLOOKUP(A578,管理亚马逊库存!A:R,18,0),"")</f>
        <v>0</v>
      </c>
      <c r="F578">
        <f t="shared" si="17"/>
        <v>0</v>
      </c>
      <c r="G578" t="str">
        <f>IFERROR(VLOOKUP(A578,预留库存!A:G,7,0),0)</f>
        <v>No</v>
      </c>
      <c r="H578">
        <f>IFERROR(VLOOKUP(A578,预留库存!A:H,8,0),0)</f>
        <v>0</v>
      </c>
      <c r="I578">
        <f>IFERROR(VLOOKUP(A578,预留库存!A:F,6,0),0)</f>
        <v>22.98</v>
      </c>
      <c r="J578">
        <f>IFERROR(VLOOKUP(A578,库龄!B:K,9,0),0)</f>
        <v>36</v>
      </c>
      <c r="K578">
        <f>IFERROR(VLOOKUP(A578,库龄!B:L,10,0),0)</f>
        <v>2</v>
      </c>
      <c r="L578">
        <f>IFERROR(VLOOKUP(A578,库龄!B:M,11,0),0)</f>
        <v>0</v>
      </c>
      <c r="M578">
        <f>IFERROR(VLOOKUP(A578,库龄!B:N,12,0),0)</f>
        <v>0</v>
      </c>
      <c r="N578">
        <f t="shared" si="18"/>
        <v>38</v>
      </c>
    </row>
    <row r="579" spans="1:14">
      <c r="A579" s="3" t="s">
        <v>1538</v>
      </c>
      <c r="B579">
        <f>IFERROR(VLOOKUP(A579,管理亚马逊库存!A:K,11,0),"")</f>
        <v>47</v>
      </c>
      <c r="C579">
        <f>IFERROR(VLOOKUP(A579,管理亚马逊库存!A:L,12,0),"")</f>
        <v>0</v>
      </c>
      <c r="D579">
        <f>IFERROR(VLOOKUP(A579,管理亚马逊库存!A:Q,17,0),"")</f>
        <v>0</v>
      </c>
      <c r="E579">
        <f>IFERROR(VLOOKUP(A579,管理亚马逊库存!A:R,18,0),"")</f>
        <v>0</v>
      </c>
      <c r="F579">
        <f t="shared" ref="F579:F642" si="19">SUM(D579:E579)</f>
        <v>0</v>
      </c>
      <c r="G579" t="str">
        <f>IFERROR(VLOOKUP(A579,预留库存!A:G,7,0),0)</f>
        <v>No</v>
      </c>
      <c r="H579">
        <f>IFERROR(VLOOKUP(A579,预留库存!A:H,8,0),0)</f>
        <v>0</v>
      </c>
      <c r="I579">
        <f>IFERROR(VLOOKUP(A579,预留库存!A:F,6,0),0)</f>
        <v>22.98</v>
      </c>
      <c r="J579">
        <f>IFERROR(VLOOKUP(A579,库龄!B:K,9,0),0)</f>
        <v>41</v>
      </c>
      <c r="K579">
        <f>IFERROR(VLOOKUP(A579,库龄!B:L,10,0),0)</f>
        <v>5</v>
      </c>
      <c r="L579">
        <f>IFERROR(VLOOKUP(A579,库龄!B:M,11,0),0)</f>
        <v>0</v>
      </c>
      <c r="M579">
        <f>IFERROR(VLOOKUP(A579,库龄!B:N,12,0),0)</f>
        <v>0</v>
      </c>
      <c r="N579">
        <f t="shared" ref="N579:N642" si="20">SUM(J579:M579)</f>
        <v>46</v>
      </c>
    </row>
    <row r="580" spans="1:14">
      <c r="A580" s="3" t="s">
        <v>1540</v>
      </c>
      <c r="B580">
        <f>IFERROR(VLOOKUP(A580,管理亚马逊库存!A:K,11,0),"")</f>
        <v>0</v>
      </c>
      <c r="C580">
        <f>IFERROR(VLOOKUP(A580,管理亚马逊库存!A:L,12,0),"")</f>
        <v>0</v>
      </c>
      <c r="D580">
        <f>IFERROR(VLOOKUP(A580,管理亚马逊库存!A:Q,17,0),"")</f>
        <v>0</v>
      </c>
      <c r="E580">
        <f>IFERROR(VLOOKUP(A580,管理亚马逊库存!A:R,18,0),"")</f>
        <v>0</v>
      </c>
      <c r="F580">
        <f t="shared" si="19"/>
        <v>0</v>
      </c>
      <c r="G580" t="str">
        <f>IFERROR(VLOOKUP(A580,预留库存!A:G,7,0),0)</f>
        <v>No</v>
      </c>
      <c r="H580">
        <f>IFERROR(VLOOKUP(A580,预留库存!A:H,8,0),0)</f>
        <v>0</v>
      </c>
      <c r="I580">
        <f>IFERROR(VLOOKUP(A580,预留库存!A:F,6,0),0)</f>
        <v>22.98</v>
      </c>
      <c r="J580">
        <f>IFERROR(VLOOKUP(A580,库龄!B:K,9,0),0)</f>
        <v>0</v>
      </c>
      <c r="K580">
        <f>IFERROR(VLOOKUP(A580,库龄!B:L,10,0),0)</f>
        <v>0</v>
      </c>
      <c r="L580">
        <f>IFERROR(VLOOKUP(A580,库龄!B:M,11,0),0)</f>
        <v>0</v>
      </c>
      <c r="M580">
        <f>IFERROR(VLOOKUP(A580,库龄!B:N,12,0),0)</f>
        <v>0</v>
      </c>
      <c r="N580">
        <f t="shared" si="20"/>
        <v>0</v>
      </c>
    </row>
    <row r="581" spans="1:14">
      <c r="A581" s="3" t="s">
        <v>1542</v>
      </c>
      <c r="B581">
        <f>IFERROR(VLOOKUP(A581,管理亚马逊库存!A:K,11,0),"")</f>
        <v>5</v>
      </c>
      <c r="C581">
        <f>IFERROR(VLOOKUP(A581,管理亚马逊库存!A:L,12,0),"")</f>
        <v>0</v>
      </c>
      <c r="D581">
        <f>IFERROR(VLOOKUP(A581,管理亚马逊库存!A:Q,17,0),"")</f>
        <v>0</v>
      </c>
      <c r="E581">
        <f>IFERROR(VLOOKUP(A581,管理亚马逊库存!A:R,18,0),"")</f>
        <v>0</v>
      </c>
      <c r="F581">
        <f t="shared" si="19"/>
        <v>0</v>
      </c>
      <c r="G581" t="str">
        <f>IFERROR(VLOOKUP(A581,预留库存!A:G,7,0),0)</f>
        <v>No</v>
      </c>
      <c r="H581">
        <f>IFERROR(VLOOKUP(A581,预留库存!A:H,8,0),0)</f>
        <v>0</v>
      </c>
      <c r="I581">
        <f>IFERROR(VLOOKUP(A581,预留库存!A:F,6,0),0)</f>
        <v>22.98</v>
      </c>
      <c r="J581">
        <f>IFERROR(VLOOKUP(A581,库龄!B:K,9,0),0)</f>
        <v>1</v>
      </c>
      <c r="K581">
        <f>IFERROR(VLOOKUP(A581,库龄!B:L,10,0),0)</f>
        <v>3</v>
      </c>
      <c r="L581">
        <f>IFERROR(VLOOKUP(A581,库龄!B:M,11,0),0)</f>
        <v>0</v>
      </c>
      <c r="M581">
        <f>IFERROR(VLOOKUP(A581,库龄!B:N,12,0),0)</f>
        <v>0</v>
      </c>
      <c r="N581">
        <f t="shared" si="20"/>
        <v>4</v>
      </c>
    </row>
    <row r="582" spans="1:14">
      <c r="A582" s="3" t="s">
        <v>1544</v>
      </c>
      <c r="B582">
        <f>IFERROR(VLOOKUP(A582,管理亚马逊库存!A:K,11,0),"")</f>
        <v>2</v>
      </c>
      <c r="C582">
        <f>IFERROR(VLOOKUP(A582,管理亚马逊库存!A:L,12,0),"")</f>
        <v>0</v>
      </c>
      <c r="D582">
        <f>IFERROR(VLOOKUP(A582,管理亚马逊库存!A:Q,17,0),"")</f>
        <v>0</v>
      </c>
      <c r="E582">
        <f>IFERROR(VLOOKUP(A582,管理亚马逊库存!A:R,18,0),"")</f>
        <v>0</v>
      </c>
      <c r="F582">
        <f t="shared" si="19"/>
        <v>0</v>
      </c>
      <c r="G582" t="str">
        <f>IFERROR(VLOOKUP(A582,预留库存!A:G,7,0),0)</f>
        <v>No</v>
      </c>
      <c r="H582">
        <f>IFERROR(VLOOKUP(A582,预留库存!A:H,8,0),0)</f>
        <v>0</v>
      </c>
      <c r="I582">
        <f>IFERROR(VLOOKUP(A582,预留库存!A:F,6,0),0)</f>
        <v>19.98</v>
      </c>
      <c r="J582">
        <f>IFERROR(VLOOKUP(A582,库龄!B:K,9,0),0)</f>
        <v>1</v>
      </c>
      <c r="K582">
        <f>IFERROR(VLOOKUP(A582,库龄!B:L,10,0),0)</f>
        <v>0</v>
      </c>
      <c r="L582">
        <f>IFERROR(VLOOKUP(A582,库龄!B:M,11,0),0)</f>
        <v>0</v>
      </c>
      <c r="M582">
        <f>IFERROR(VLOOKUP(A582,库龄!B:N,12,0),0)</f>
        <v>0</v>
      </c>
      <c r="N582">
        <f t="shared" si="20"/>
        <v>1</v>
      </c>
    </row>
    <row r="583" spans="1:14">
      <c r="A583" s="3" t="s">
        <v>1546</v>
      </c>
      <c r="B583">
        <f>IFERROR(VLOOKUP(A583,管理亚马逊库存!A:K,11,0),"")</f>
        <v>9</v>
      </c>
      <c r="C583">
        <f>IFERROR(VLOOKUP(A583,管理亚马逊库存!A:L,12,0),"")</f>
        <v>0</v>
      </c>
      <c r="D583">
        <f>IFERROR(VLOOKUP(A583,管理亚马逊库存!A:Q,17,0),"")</f>
        <v>0</v>
      </c>
      <c r="E583">
        <f>IFERROR(VLOOKUP(A583,管理亚马逊库存!A:R,18,0),"")</f>
        <v>0</v>
      </c>
      <c r="F583">
        <f t="shared" si="19"/>
        <v>0</v>
      </c>
      <c r="G583" t="str">
        <f>IFERROR(VLOOKUP(A583,预留库存!A:G,7,0),0)</f>
        <v>No</v>
      </c>
      <c r="H583">
        <f>IFERROR(VLOOKUP(A583,预留库存!A:H,8,0),0)</f>
        <v>0</v>
      </c>
      <c r="I583">
        <f>IFERROR(VLOOKUP(A583,预留库存!A:F,6,0),0)</f>
        <v>22.98</v>
      </c>
      <c r="J583">
        <f>IFERROR(VLOOKUP(A583,库龄!B:K,9,0),0)</f>
        <v>1</v>
      </c>
      <c r="K583">
        <f>IFERROR(VLOOKUP(A583,库龄!B:L,10,0),0)</f>
        <v>7</v>
      </c>
      <c r="L583">
        <f>IFERROR(VLOOKUP(A583,库龄!B:M,11,0),0)</f>
        <v>0</v>
      </c>
      <c r="M583">
        <f>IFERROR(VLOOKUP(A583,库龄!B:N,12,0),0)</f>
        <v>0</v>
      </c>
      <c r="N583">
        <f t="shared" si="20"/>
        <v>8</v>
      </c>
    </row>
    <row r="584" spans="1:14">
      <c r="A584" s="3" t="s">
        <v>1548</v>
      </c>
      <c r="B584">
        <f>IFERROR(VLOOKUP(A584,管理亚马逊库存!A:K,11,0),"")</f>
        <v>0</v>
      </c>
      <c r="C584">
        <f>IFERROR(VLOOKUP(A584,管理亚马逊库存!A:L,12,0),"")</f>
        <v>0</v>
      </c>
      <c r="D584">
        <f>IFERROR(VLOOKUP(A584,管理亚马逊库存!A:Q,17,0),"")</f>
        <v>0</v>
      </c>
      <c r="E584">
        <f>IFERROR(VLOOKUP(A584,管理亚马逊库存!A:R,18,0),"")</f>
        <v>0</v>
      </c>
      <c r="F584">
        <f t="shared" si="19"/>
        <v>0</v>
      </c>
      <c r="G584" t="str">
        <f>IFERROR(VLOOKUP(A584,预留库存!A:G,7,0),0)</f>
        <v>No</v>
      </c>
      <c r="H584">
        <f>IFERROR(VLOOKUP(A584,预留库存!A:H,8,0),0)</f>
        <v>0</v>
      </c>
      <c r="I584">
        <f>IFERROR(VLOOKUP(A584,预留库存!A:F,6,0),0)</f>
        <v>39.98</v>
      </c>
      <c r="J584">
        <f>IFERROR(VLOOKUP(A584,库龄!B:K,9,0),0)</f>
        <v>0</v>
      </c>
      <c r="K584">
        <f>IFERROR(VLOOKUP(A584,库龄!B:L,10,0),0)</f>
        <v>0</v>
      </c>
      <c r="L584">
        <f>IFERROR(VLOOKUP(A584,库龄!B:M,11,0),0)</f>
        <v>0</v>
      </c>
      <c r="M584">
        <f>IFERROR(VLOOKUP(A584,库龄!B:N,12,0),0)</f>
        <v>0</v>
      </c>
      <c r="N584">
        <f t="shared" si="20"/>
        <v>0</v>
      </c>
    </row>
    <row r="585" spans="1:14">
      <c r="A585" s="3" t="s">
        <v>1551</v>
      </c>
      <c r="B585">
        <f>IFERROR(VLOOKUP(A585,管理亚马逊库存!A:K,11,0),"")</f>
        <v>2</v>
      </c>
      <c r="C585">
        <f>IFERROR(VLOOKUP(A585,管理亚马逊库存!A:L,12,0),"")</f>
        <v>0</v>
      </c>
      <c r="D585">
        <f>IFERROR(VLOOKUP(A585,管理亚马逊库存!A:Q,17,0),"")</f>
        <v>0</v>
      </c>
      <c r="E585">
        <f>IFERROR(VLOOKUP(A585,管理亚马逊库存!A:R,18,0),"")</f>
        <v>0</v>
      </c>
      <c r="F585">
        <f t="shared" si="19"/>
        <v>0</v>
      </c>
      <c r="G585" t="str">
        <f>IFERROR(VLOOKUP(A585,预留库存!A:G,7,0),0)</f>
        <v>No</v>
      </c>
      <c r="H585">
        <f>IFERROR(VLOOKUP(A585,预留库存!A:H,8,0),0)</f>
        <v>0</v>
      </c>
      <c r="I585">
        <f>IFERROR(VLOOKUP(A585,预留库存!A:F,6,0),0)</f>
        <v>39.98</v>
      </c>
      <c r="J585">
        <f>IFERROR(VLOOKUP(A585,库龄!B:K,9,0),0)</f>
        <v>0</v>
      </c>
      <c r="K585">
        <f>IFERROR(VLOOKUP(A585,库龄!B:L,10,0),0)</f>
        <v>0</v>
      </c>
      <c r="L585">
        <f>IFERROR(VLOOKUP(A585,库龄!B:M,11,0),0)</f>
        <v>0</v>
      </c>
      <c r="M585">
        <f>IFERROR(VLOOKUP(A585,库龄!B:N,12,0),0)</f>
        <v>0</v>
      </c>
      <c r="N585">
        <f t="shared" si="20"/>
        <v>0</v>
      </c>
    </row>
    <row r="586" spans="1:14">
      <c r="A586" s="3" t="s">
        <v>1554</v>
      </c>
      <c r="B586">
        <f>IFERROR(VLOOKUP(A586,管理亚马逊库存!A:K,11,0),"")</f>
        <v>0</v>
      </c>
      <c r="C586">
        <f>IFERROR(VLOOKUP(A586,管理亚马逊库存!A:L,12,0),"")</f>
        <v>0</v>
      </c>
      <c r="D586">
        <f>IFERROR(VLOOKUP(A586,管理亚马逊库存!A:Q,17,0),"")</f>
        <v>0</v>
      </c>
      <c r="E586">
        <f>IFERROR(VLOOKUP(A586,管理亚马逊库存!A:R,18,0),"")</f>
        <v>0</v>
      </c>
      <c r="F586">
        <f t="shared" si="19"/>
        <v>0</v>
      </c>
      <c r="G586">
        <f>IFERROR(VLOOKUP(A586,预留库存!A:G,7,0),0)</f>
        <v>0</v>
      </c>
      <c r="H586">
        <f>IFERROR(VLOOKUP(A586,预留库存!A:H,8,0),0)</f>
        <v>0</v>
      </c>
      <c r="I586">
        <f>IFERROR(VLOOKUP(A586,预留库存!A:F,6,0),0)</f>
        <v>0</v>
      </c>
      <c r="J586">
        <f>IFERROR(VLOOKUP(A586,库龄!B:K,9,0),0)</f>
        <v>0</v>
      </c>
      <c r="K586">
        <f>IFERROR(VLOOKUP(A586,库龄!B:L,10,0),0)</f>
        <v>0</v>
      </c>
      <c r="L586">
        <f>IFERROR(VLOOKUP(A586,库龄!B:M,11,0),0)</f>
        <v>0</v>
      </c>
      <c r="M586">
        <f>IFERROR(VLOOKUP(A586,库龄!B:N,12,0),0)</f>
        <v>0</v>
      </c>
      <c r="N586">
        <f t="shared" si="20"/>
        <v>0</v>
      </c>
    </row>
    <row r="587" spans="1:14">
      <c r="A587" s="3" t="s">
        <v>1556</v>
      </c>
      <c r="B587">
        <f>IFERROR(VLOOKUP(A587,管理亚马逊库存!A:K,11,0),"")</f>
        <v>2</v>
      </c>
      <c r="C587">
        <f>IFERROR(VLOOKUP(A587,管理亚马逊库存!A:L,12,0),"")</f>
        <v>0</v>
      </c>
      <c r="D587">
        <f>IFERROR(VLOOKUP(A587,管理亚马逊库存!A:Q,17,0),"")</f>
        <v>0</v>
      </c>
      <c r="E587">
        <f>IFERROR(VLOOKUP(A587,管理亚马逊库存!A:R,18,0),"")</f>
        <v>0</v>
      </c>
      <c r="F587">
        <f t="shared" si="19"/>
        <v>0</v>
      </c>
      <c r="G587" t="str">
        <f>IFERROR(VLOOKUP(A587,预留库存!A:G,7,0),0)</f>
        <v>No</v>
      </c>
      <c r="H587">
        <f>IFERROR(VLOOKUP(A587,预留库存!A:H,8,0),0)</f>
        <v>0</v>
      </c>
      <c r="I587">
        <f>IFERROR(VLOOKUP(A587,预留库存!A:F,6,0),0)</f>
        <v>39.98</v>
      </c>
      <c r="J587">
        <f>IFERROR(VLOOKUP(A587,库龄!B:K,9,0),0)</f>
        <v>0</v>
      </c>
      <c r="K587">
        <f>IFERROR(VLOOKUP(A587,库龄!B:L,10,0),0)</f>
        <v>0</v>
      </c>
      <c r="L587">
        <f>IFERROR(VLOOKUP(A587,库龄!B:M,11,0),0)</f>
        <v>0</v>
      </c>
      <c r="M587">
        <f>IFERROR(VLOOKUP(A587,库龄!B:N,12,0),0)</f>
        <v>0</v>
      </c>
      <c r="N587">
        <f t="shared" si="20"/>
        <v>0</v>
      </c>
    </row>
    <row r="588" spans="1:14">
      <c r="A588" s="3" t="s">
        <v>1559</v>
      </c>
      <c r="B588">
        <f>IFERROR(VLOOKUP(A588,管理亚马逊库存!A:K,11,0),"")</f>
        <v>17</v>
      </c>
      <c r="C588">
        <f>IFERROR(VLOOKUP(A588,管理亚马逊库存!A:L,12,0),"")</f>
        <v>0</v>
      </c>
      <c r="D588">
        <f>IFERROR(VLOOKUP(A588,管理亚马逊库存!A:Q,17,0),"")</f>
        <v>0</v>
      </c>
      <c r="E588">
        <f>IFERROR(VLOOKUP(A588,管理亚马逊库存!A:R,18,0),"")</f>
        <v>0</v>
      </c>
      <c r="F588">
        <f t="shared" si="19"/>
        <v>0</v>
      </c>
      <c r="G588" t="str">
        <f>IFERROR(VLOOKUP(A588,预留库存!A:G,7,0),0)</f>
        <v>No</v>
      </c>
      <c r="H588">
        <f>IFERROR(VLOOKUP(A588,预留库存!A:H,8,0),0)</f>
        <v>0</v>
      </c>
      <c r="I588">
        <f>IFERROR(VLOOKUP(A588,预留库存!A:F,6,0),0)</f>
        <v>39.98</v>
      </c>
      <c r="J588">
        <f>IFERROR(VLOOKUP(A588,库龄!B:K,9,0),0)</f>
        <v>0</v>
      </c>
      <c r="K588">
        <f>IFERROR(VLOOKUP(A588,库龄!B:L,10,0),0)</f>
        <v>15</v>
      </c>
      <c r="L588">
        <f>IFERROR(VLOOKUP(A588,库龄!B:M,11,0),0)</f>
        <v>0</v>
      </c>
      <c r="M588">
        <f>IFERROR(VLOOKUP(A588,库龄!B:N,12,0),0)</f>
        <v>0</v>
      </c>
      <c r="N588">
        <f t="shared" si="20"/>
        <v>15</v>
      </c>
    </row>
    <row r="589" spans="1:14">
      <c r="A589" s="3" t="s">
        <v>1562</v>
      </c>
      <c r="B589">
        <f>IFERROR(VLOOKUP(A589,管理亚马逊库存!A:K,11,0),"")</f>
        <v>32</v>
      </c>
      <c r="C589">
        <f>IFERROR(VLOOKUP(A589,管理亚马逊库存!A:L,12,0),"")</f>
        <v>0</v>
      </c>
      <c r="D589">
        <f>IFERROR(VLOOKUP(A589,管理亚马逊库存!A:Q,17,0),"")</f>
        <v>0</v>
      </c>
      <c r="E589">
        <f>IFERROR(VLOOKUP(A589,管理亚马逊库存!A:R,18,0),"")</f>
        <v>0</v>
      </c>
      <c r="F589">
        <f t="shared" si="19"/>
        <v>0</v>
      </c>
      <c r="G589" t="str">
        <f>IFERROR(VLOOKUP(A589,预留库存!A:G,7,0),0)</f>
        <v>No</v>
      </c>
      <c r="H589">
        <f>IFERROR(VLOOKUP(A589,预留库存!A:H,8,0),0)</f>
        <v>0</v>
      </c>
      <c r="I589">
        <f>IFERROR(VLOOKUP(A589,预留库存!A:F,6,0),0)</f>
        <v>39.98</v>
      </c>
      <c r="J589">
        <f>IFERROR(VLOOKUP(A589,库龄!B:K,9,0),0)</f>
        <v>0</v>
      </c>
      <c r="K589">
        <f>IFERROR(VLOOKUP(A589,库龄!B:L,10,0),0)</f>
        <v>32</v>
      </c>
      <c r="L589">
        <f>IFERROR(VLOOKUP(A589,库龄!B:M,11,0),0)</f>
        <v>0</v>
      </c>
      <c r="M589">
        <f>IFERROR(VLOOKUP(A589,库龄!B:N,12,0),0)</f>
        <v>0</v>
      </c>
      <c r="N589">
        <f t="shared" si="20"/>
        <v>32</v>
      </c>
    </row>
    <row r="590" spans="1:14">
      <c r="A590" s="3" t="s">
        <v>1565</v>
      </c>
      <c r="B590">
        <f>IFERROR(VLOOKUP(A590,管理亚马逊库存!A:K,11,0),"")</f>
        <v>19</v>
      </c>
      <c r="C590">
        <f>IFERROR(VLOOKUP(A590,管理亚马逊库存!A:L,12,0),"")</f>
        <v>0</v>
      </c>
      <c r="D590">
        <f>IFERROR(VLOOKUP(A590,管理亚马逊库存!A:Q,17,0),"")</f>
        <v>0</v>
      </c>
      <c r="E590">
        <f>IFERROR(VLOOKUP(A590,管理亚马逊库存!A:R,18,0),"")</f>
        <v>0</v>
      </c>
      <c r="F590">
        <f t="shared" si="19"/>
        <v>0</v>
      </c>
      <c r="G590" t="str">
        <f>IFERROR(VLOOKUP(A590,预留库存!A:G,7,0),0)</f>
        <v>No</v>
      </c>
      <c r="H590">
        <f>IFERROR(VLOOKUP(A590,预留库存!A:H,8,0),0)</f>
        <v>0</v>
      </c>
      <c r="I590">
        <f>IFERROR(VLOOKUP(A590,预留库存!A:F,6,0),0)</f>
        <v>39.98</v>
      </c>
      <c r="J590">
        <f>IFERROR(VLOOKUP(A590,库龄!B:K,9,0),0)</f>
        <v>2</v>
      </c>
      <c r="K590">
        <f>IFERROR(VLOOKUP(A590,库龄!B:L,10,0),0)</f>
        <v>11</v>
      </c>
      <c r="L590">
        <f>IFERROR(VLOOKUP(A590,库龄!B:M,11,0),0)</f>
        <v>5</v>
      </c>
      <c r="M590">
        <f>IFERROR(VLOOKUP(A590,库龄!B:N,12,0),0)</f>
        <v>0</v>
      </c>
      <c r="N590">
        <f t="shared" si="20"/>
        <v>18</v>
      </c>
    </row>
    <row r="591" spans="1:14">
      <c r="A591" s="3" t="s">
        <v>1568</v>
      </c>
      <c r="B591">
        <f>IFERROR(VLOOKUP(A591,管理亚马逊库存!A:K,11,0),"")</f>
        <v>9</v>
      </c>
      <c r="C591">
        <f>IFERROR(VLOOKUP(A591,管理亚马逊库存!A:L,12,0),"")</f>
        <v>0</v>
      </c>
      <c r="D591">
        <f>IFERROR(VLOOKUP(A591,管理亚马逊库存!A:Q,17,0),"")</f>
        <v>0</v>
      </c>
      <c r="E591">
        <f>IFERROR(VLOOKUP(A591,管理亚马逊库存!A:R,18,0),"")</f>
        <v>0</v>
      </c>
      <c r="F591">
        <f t="shared" si="19"/>
        <v>0</v>
      </c>
      <c r="G591" t="str">
        <f>IFERROR(VLOOKUP(A591,预留库存!A:G,7,0),0)</f>
        <v>No</v>
      </c>
      <c r="H591">
        <f>IFERROR(VLOOKUP(A591,预留库存!A:H,8,0),0)</f>
        <v>0</v>
      </c>
      <c r="I591">
        <f>IFERROR(VLOOKUP(A591,预留库存!A:F,6,0),0)</f>
        <v>39.98</v>
      </c>
      <c r="J591">
        <f>IFERROR(VLOOKUP(A591,库龄!B:K,9,0),0)</f>
        <v>1</v>
      </c>
      <c r="K591">
        <f>IFERROR(VLOOKUP(A591,库龄!B:L,10,0),0)</f>
        <v>8</v>
      </c>
      <c r="L591">
        <f>IFERROR(VLOOKUP(A591,库龄!B:M,11,0),0)</f>
        <v>0</v>
      </c>
      <c r="M591">
        <f>IFERROR(VLOOKUP(A591,库龄!B:N,12,0),0)</f>
        <v>0</v>
      </c>
      <c r="N591">
        <f t="shared" si="20"/>
        <v>9</v>
      </c>
    </row>
    <row r="592" spans="1:14">
      <c r="A592" s="3" t="s">
        <v>1571</v>
      </c>
      <c r="B592">
        <f>IFERROR(VLOOKUP(A592,管理亚马逊库存!A:K,11,0),"")</f>
        <v>0</v>
      </c>
      <c r="C592">
        <f>IFERROR(VLOOKUP(A592,管理亚马逊库存!A:L,12,0),"")</f>
        <v>0</v>
      </c>
      <c r="D592">
        <f>IFERROR(VLOOKUP(A592,管理亚马逊库存!A:Q,17,0),"")</f>
        <v>0</v>
      </c>
      <c r="E592">
        <f>IFERROR(VLOOKUP(A592,管理亚马逊库存!A:R,18,0),"")</f>
        <v>0</v>
      </c>
      <c r="F592">
        <f t="shared" si="19"/>
        <v>0</v>
      </c>
      <c r="G592" t="str">
        <f>IFERROR(VLOOKUP(A592,预留库存!A:G,7,0),0)</f>
        <v>No</v>
      </c>
      <c r="H592">
        <f>IFERROR(VLOOKUP(A592,预留库存!A:H,8,0),0)</f>
        <v>0</v>
      </c>
      <c r="I592">
        <f>IFERROR(VLOOKUP(A592,预留库存!A:F,6,0),0)</f>
        <v>39.98</v>
      </c>
      <c r="J592">
        <f>IFERROR(VLOOKUP(A592,库龄!B:K,9,0),0)</f>
        <v>0</v>
      </c>
      <c r="K592">
        <f>IFERROR(VLOOKUP(A592,库龄!B:L,10,0),0)</f>
        <v>0</v>
      </c>
      <c r="L592">
        <f>IFERROR(VLOOKUP(A592,库龄!B:M,11,0),0)</f>
        <v>0</v>
      </c>
      <c r="M592">
        <f>IFERROR(VLOOKUP(A592,库龄!B:N,12,0),0)</f>
        <v>0</v>
      </c>
      <c r="N592">
        <f t="shared" si="20"/>
        <v>0</v>
      </c>
    </row>
    <row r="593" spans="1:14">
      <c r="A593" s="3" t="s">
        <v>1574</v>
      </c>
      <c r="B593">
        <f>IFERROR(VLOOKUP(A593,管理亚马逊库存!A:K,11,0),"")</f>
        <v>10</v>
      </c>
      <c r="C593">
        <f>IFERROR(VLOOKUP(A593,管理亚马逊库存!A:L,12,0),"")</f>
        <v>0</v>
      </c>
      <c r="D593">
        <f>IFERROR(VLOOKUP(A593,管理亚马逊库存!A:Q,17,0),"")</f>
        <v>0</v>
      </c>
      <c r="E593">
        <f>IFERROR(VLOOKUP(A593,管理亚马逊库存!A:R,18,0),"")</f>
        <v>0</v>
      </c>
      <c r="F593">
        <f t="shared" si="19"/>
        <v>0</v>
      </c>
      <c r="G593" t="str">
        <f>IFERROR(VLOOKUP(A593,预留库存!A:G,7,0),0)</f>
        <v>No</v>
      </c>
      <c r="H593">
        <f>IFERROR(VLOOKUP(A593,预留库存!A:H,8,0),0)</f>
        <v>0</v>
      </c>
      <c r="I593">
        <f>IFERROR(VLOOKUP(A593,预留库存!A:F,6,0),0)</f>
        <v>39.98</v>
      </c>
      <c r="J593">
        <f>IFERROR(VLOOKUP(A593,库龄!B:K,9,0),0)</f>
        <v>1</v>
      </c>
      <c r="K593">
        <f>IFERROR(VLOOKUP(A593,库龄!B:L,10,0),0)</f>
        <v>5</v>
      </c>
      <c r="L593">
        <f>IFERROR(VLOOKUP(A593,库龄!B:M,11,0),0)</f>
        <v>0</v>
      </c>
      <c r="M593">
        <f>IFERROR(VLOOKUP(A593,库龄!B:N,12,0),0)</f>
        <v>0</v>
      </c>
      <c r="N593">
        <f t="shared" si="20"/>
        <v>6</v>
      </c>
    </row>
    <row r="594" spans="1:14">
      <c r="A594" s="3" t="s">
        <v>1577</v>
      </c>
      <c r="B594">
        <f>IFERROR(VLOOKUP(A594,管理亚马逊库存!A:K,11,0),"")</f>
        <v>13</v>
      </c>
      <c r="C594">
        <f>IFERROR(VLOOKUP(A594,管理亚马逊库存!A:L,12,0),"")</f>
        <v>0</v>
      </c>
      <c r="D594">
        <f>IFERROR(VLOOKUP(A594,管理亚马逊库存!A:Q,17,0),"")</f>
        <v>0</v>
      </c>
      <c r="E594">
        <f>IFERROR(VLOOKUP(A594,管理亚马逊库存!A:R,18,0),"")</f>
        <v>0</v>
      </c>
      <c r="F594">
        <f t="shared" si="19"/>
        <v>0</v>
      </c>
      <c r="G594" t="str">
        <f>IFERROR(VLOOKUP(A594,预留库存!A:G,7,0),0)</f>
        <v>No</v>
      </c>
      <c r="H594">
        <f>IFERROR(VLOOKUP(A594,预留库存!A:H,8,0),0)</f>
        <v>0</v>
      </c>
      <c r="I594">
        <f>IFERROR(VLOOKUP(A594,预留库存!A:F,6,0),0)</f>
        <v>39.98</v>
      </c>
      <c r="J594">
        <f>IFERROR(VLOOKUP(A594,库龄!B:K,9,0),0)</f>
        <v>0</v>
      </c>
      <c r="K594">
        <f>IFERROR(VLOOKUP(A594,库龄!B:L,10,0),0)</f>
        <v>13</v>
      </c>
      <c r="L594">
        <f>IFERROR(VLOOKUP(A594,库龄!B:M,11,0),0)</f>
        <v>0</v>
      </c>
      <c r="M594">
        <f>IFERROR(VLOOKUP(A594,库龄!B:N,12,0),0)</f>
        <v>0</v>
      </c>
      <c r="N594">
        <f t="shared" si="20"/>
        <v>13</v>
      </c>
    </row>
    <row r="595" spans="1:14">
      <c r="A595" s="3" t="s">
        <v>1580</v>
      </c>
      <c r="B595">
        <f>IFERROR(VLOOKUP(A595,管理亚马逊库存!A:K,11,0),"")</f>
        <v>0</v>
      </c>
      <c r="C595">
        <f>IFERROR(VLOOKUP(A595,管理亚马逊库存!A:L,12,0),"")</f>
        <v>0</v>
      </c>
      <c r="D595">
        <f>IFERROR(VLOOKUP(A595,管理亚马逊库存!A:Q,17,0),"")</f>
        <v>0</v>
      </c>
      <c r="E595">
        <f>IFERROR(VLOOKUP(A595,管理亚马逊库存!A:R,18,0),"")</f>
        <v>0</v>
      </c>
      <c r="F595">
        <f t="shared" si="19"/>
        <v>0</v>
      </c>
      <c r="G595" t="str">
        <f>IFERROR(VLOOKUP(A595,预留库存!A:G,7,0),0)</f>
        <v>No</v>
      </c>
      <c r="H595">
        <f>IFERROR(VLOOKUP(A595,预留库存!A:H,8,0),0)</f>
        <v>0</v>
      </c>
      <c r="I595">
        <f>IFERROR(VLOOKUP(A595,预留库存!A:F,6,0),0)</f>
        <v>39.98</v>
      </c>
      <c r="J595">
        <f>IFERROR(VLOOKUP(A595,库龄!B:K,9,0),0)</f>
        <v>0</v>
      </c>
      <c r="K595">
        <f>IFERROR(VLOOKUP(A595,库龄!B:L,10,0),0)</f>
        <v>0</v>
      </c>
      <c r="L595">
        <f>IFERROR(VLOOKUP(A595,库龄!B:M,11,0),0)</f>
        <v>0</v>
      </c>
      <c r="M595">
        <f>IFERROR(VLOOKUP(A595,库龄!B:N,12,0),0)</f>
        <v>0</v>
      </c>
      <c r="N595">
        <f t="shared" si="20"/>
        <v>0</v>
      </c>
    </row>
    <row r="596" spans="1:14">
      <c r="A596" s="3" t="s">
        <v>1583</v>
      </c>
      <c r="B596">
        <f>IFERROR(VLOOKUP(A596,管理亚马逊库存!A:K,11,0),"")</f>
        <v>8</v>
      </c>
      <c r="C596">
        <f>IFERROR(VLOOKUP(A596,管理亚马逊库存!A:L,12,0),"")</f>
        <v>0</v>
      </c>
      <c r="D596">
        <f>IFERROR(VLOOKUP(A596,管理亚马逊库存!A:Q,17,0),"")</f>
        <v>0</v>
      </c>
      <c r="E596">
        <f>IFERROR(VLOOKUP(A596,管理亚马逊库存!A:R,18,0),"")</f>
        <v>0</v>
      </c>
      <c r="F596">
        <f t="shared" si="19"/>
        <v>0</v>
      </c>
      <c r="G596" t="str">
        <f>IFERROR(VLOOKUP(A596,预留库存!A:G,7,0),0)</f>
        <v>No</v>
      </c>
      <c r="H596">
        <f>IFERROR(VLOOKUP(A596,预留库存!A:H,8,0),0)</f>
        <v>0</v>
      </c>
      <c r="I596">
        <f>IFERROR(VLOOKUP(A596,预留库存!A:F,6,0),0)</f>
        <v>39.98</v>
      </c>
      <c r="J596">
        <f>IFERROR(VLOOKUP(A596,库龄!B:K,9,0),0)</f>
        <v>3</v>
      </c>
      <c r="K596">
        <f>IFERROR(VLOOKUP(A596,库龄!B:L,10,0),0)</f>
        <v>2</v>
      </c>
      <c r="L596">
        <f>IFERROR(VLOOKUP(A596,库龄!B:M,11,0),0)</f>
        <v>0</v>
      </c>
      <c r="M596">
        <f>IFERROR(VLOOKUP(A596,库龄!B:N,12,0),0)</f>
        <v>0</v>
      </c>
      <c r="N596">
        <f t="shared" si="20"/>
        <v>5</v>
      </c>
    </row>
    <row r="597" spans="1:14">
      <c r="A597" s="3" t="s">
        <v>1586</v>
      </c>
      <c r="B597">
        <f>IFERROR(VLOOKUP(A597,管理亚马逊库存!A:K,11,0),"")</f>
        <v>31</v>
      </c>
      <c r="C597">
        <f>IFERROR(VLOOKUP(A597,管理亚马逊库存!A:L,12,0),"")</f>
        <v>0</v>
      </c>
      <c r="D597">
        <f>IFERROR(VLOOKUP(A597,管理亚马逊库存!A:Q,17,0),"")</f>
        <v>0</v>
      </c>
      <c r="E597">
        <f>IFERROR(VLOOKUP(A597,管理亚马逊库存!A:R,18,0),"")</f>
        <v>0</v>
      </c>
      <c r="F597">
        <f t="shared" si="19"/>
        <v>0</v>
      </c>
      <c r="G597" t="str">
        <f>IFERROR(VLOOKUP(A597,预留库存!A:G,7,0),0)</f>
        <v>No</v>
      </c>
      <c r="H597">
        <f>IFERROR(VLOOKUP(A597,预留库存!A:H,8,0),0)</f>
        <v>0</v>
      </c>
      <c r="I597">
        <f>IFERROR(VLOOKUP(A597,预留库存!A:F,6,0),0)</f>
        <v>39.98</v>
      </c>
      <c r="J597">
        <f>IFERROR(VLOOKUP(A597,库龄!B:K,9,0),0)</f>
        <v>1</v>
      </c>
      <c r="K597">
        <f>IFERROR(VLOOKUP(A597,库龄!B:L,10,0),0)</f>
        <v>26</v>
      </c>
      <c r="L597">
        <f>IFERROR(VLOOKUP(A597,库龄!B:M,11,0),0)</f>
        <v>0</v>
      </c>
      <c r="M597">
        <f>IFERROR(VLOOKUP(A597,库龄!B:N,12,0),0)</f>
        <v>0</v>
      </c>
      <c r="N597">
        <f t="shared" si="20"/>
        <v>27</v>
      </c>
    </row>
    <row r="598" spans="1:14">
      <c r="A598" s="3" t="s">
        <v>1589</v>
      </c>
      <c r="B598">
        <f>IFERROR(VLOOKUP(A598,管理亚马逊库存!A:K,11,0),"")</f>
        <v>30</v>
      </c>
      <c r="C598">
        <f>IFERROR(VLOOKUP(A598,管理亚马逊库存!A:L,12,0),"")</f>
        <v>0</v>
      </c>
      <c r="D598">
        <f>IFERROR(VLOOKUP(A598,管理亚马逊库存!A:Q,17,0),"")</f>
        <v>0</v>
      </c>
      <c r="E598">
        <f>IFERROR(VLOOKUP(A598,管理亚马逊库存!A:R,18,0),"")</f>
        <v>0</v>
      </c>
      <c r="F598">
        <f t="shared" si="19"/>
        <v>0</v>
      </c>
      <c r="G598" t="str">
        <f>IFERROR(VLOOKUP(A598,预留库存!A:G,7,0),0)</f>
        <v>No</v>
      </c>
      <c r="H598">
        <f>IFERROR(VLOOKUP(A598,预留库存!A:H,8,0),0)</f>
        <v>0</v>
      </c>
      <c r="I598">
        <f>IFERROR(VLOOKUP(A598,预留库存!A:F,6,0),0)</f>
        <v>39.98</v>
      </c>
      <c r="J598">
        <f>IFERROR(VLOOKUP(A598,库龄!B:K,9,0),0)</f>
        <v>1</v>
      </c>
      <c r="K598">
        <f>IFERROR(VLOOKUP(A598,库龄!B:L,10,0),0)</f>
        <v>26</v>
      </c>
      <c r="L598">
        <f>IFERROR(VLOOKUP(A598,库龄!B:M,11,0),0)</f>
        <v>0</v>
      </c>
      <c r="M598">
        <f>IFERROR(VLOOKUP(A598,库龄!B:N,12,0),0)</f>
        <v>0</v>
      </c>
      <c r="N598">
        <f t="shared" si="20"/>
        <v>27</v>
      </c>
    </row>
    <row r="599" spans="1:14">
      <c r="A599" s="3" t="s">
        <v>1592</v>
      </c>
      <c r="B599">
        <f>IFERROR(VLOOKUP(A599,管理亚马逊库存!A:K,11,0),"")</f>
        <v>29</v>
      </c>
      <c r="C599">
        <f>IFERROR(VLOOKUP(A599,管理亚马逊库存!A:L,12,0),"")</f>
        <v>0</v>
      </c>
      <c r="D599">
        <f>IFERROR(VLOOKUP(A599,管理亚马逊库存!A:Q,17,0),"")</f>
        <v>0</v>
      </c>
      <c r="E599">
        <f>IFERROR(VLOOKUP(A599,管理亚马逊库存!A:R,18,0),"")</f>
        <v>0</v>
      </c>
      <c r="F599">
        <f t="shared" si="19"/>
        <v>0</v>
      </c>
      <c r="G599" t="str">
        <f>IFERROR(VLOOKUP(A599,预留库存!A:G,7,0),0)</f>
        <v>No</v>
      </c>
      <c r="H599">
        <f>IFERROR(VLOOKUP(A599,预留库存!A:H,8,0),0)</f>
        <v>0</v>
      </c>
      <c r="I599">
        <f>IFERROR(VLOOKUP(A599,预留库存!A:F,6,0),0)</f>
        <v>39.98</v>
      </c>
      <c r="J599">
        <f>IFERROR(VLOOKUP(A599,库龄!B:K,9,0),0)</f>
        <v>0</v>
      </c>
      <c r="K599">
        <f>IFERROR(VLOOKUP(A599,库龄!B:L,10,0),0)</f>
        <v>23</v>
      </c>
      <c r="L599">
        <f>IFERROR(VLOOKUP(A599,库龄!B:M,11,0),0)</f>
        <v>8</v>
      </c>
      <c r="M599">
        <f>IFERROR(VLOOKUP(A599,库龄!B:N,12,0),0)</f>
        <v>0</v>
      </c>
      <c r="N599">
        <f t="shared" si="20"/>
        <v>31</v>
      </c>
    </row>
    <row r="600" spans="1:14">
      <c r="A600" s="3" t="s">
        <v>1595</v>
      </c>
      <c r="B600">
        <f>IFERROR(VLOOKUP(A600,管理亚马逊库存!A:K,11,0),"")</f>
        <v>42</v>
      </c>
      <c r="C600">
        <f>IFERROR(VLOOKUP(A600,管理亚马逊库存!A:L,12,0),"")</f>
        <v>0</v>
      </c>
      <c r="D600">
        <f>IFERROR(VLOOKUP(A600,管理亚马逊库存!A:Q,17,0),"")</f>
        <v>0</v>
      </c>
      <c r="E600">
        <f>IFERROR(VLOOKUP(A600,管理亚马逊库存!A:R,18,0),"")</f>
        <v>0</v>
      </c>
      <c r="F600">
        <f t="shared" si="19"/>
        <v>0</v>
      </c>
      <c r="G600" t="str">
        <f>IFERROR(VLOOKUP(A600,预留库存!A:G,7,0),0)</f>
        <v>No</v>
      </c>
      <c r="H600">
        <f>IFERROR(VLOOKUP(A600,预留库存!A:H,8,0),0)</f>
        <v>0</v>
      </c>
      <c r="I600">
        <f>IFERROR(VLOOKUP(A600,预留库存!A:F,6,0),0)</f>
        <v>39.98</v>
      </c>
      <c r="J600">
        <f>IFERROR(VLOOKUP(A600,库龄!B:K,9,0),0)</f>
        <v>1</v>
      </c>
      <c r="K600">
        <f>IFERROR(VLOOKUP(A600,库龄!B:L,10,0),0)</f>
        <v>38</v>
      </c>
      <c r="L600">
        <f>IFERROR(VLOOKUP(A600,库龄!B:M,11,0),0)</f>
        <v>0</v>
      </c>
      <c r="M600">
        <f>IFERROR(VLOOKUP(A600,库龄!B:N,12,0),0)</f>
        <v>0</v>
      </c>
      <c r="N600">
        <f t="shared" si="20"/>
        <v>39</v>
      </c>
    </row>
    <row r="601" spans="1:14">
      <c r="A601" s="3" t="s">
        <v>1598</v>
      </c>
      <c r="B601">
        <f>IFERROR(VLOOKUP(A601,管理亚马逊库存!A:K,11,0),"")</f>
        <v>38</v>
      </c>
      <c r="C601">
        <f>IFERROR(VLOOKUP(A601,管理亚马逊库存!A:L,12,0),"")</f>
        <v>0</v>
      </c>
      <c r="D601">
        <f>IFERROR(VLOOKUP(A601,管理亚马逊库存!A:Q,17,0),"")</f>
        <v>0</v>
      </c>
      <c r="E601">
        <f>IFERROR(VLOOKUP(A601,管理亚马逊库存!A:R,18,0),"")</f>
        <v>0</v>
      </c>
      <c r="F601">
        <f t="shared" si="19"/>
        <v>0</v>
      </c>
      <c r="G601" t="str">
        <f>IFERROR(VLOOKUP(A601,预留库存!A:G,7,0),0)</f>
        <v>No</v>
      </c>
      <c r="H601">
        <f>IFERROR(VLOOKUP(A601,预留库存!A:H,8,0),0)</f>
        <v>0</v>
      </c>
      <c r="I601">
        <f>IFERROR(VLOOKUP(A601,预留库存!A:F,6,0),0)</f>
        <v>39.98</v>
      </c>
      <c r="J601">
        <f>IFERROR(VLOOKUP(A601,库龄!B:K,9,0),0)</f>
        <v>3</v>
      </c>
      <c r="K601">
        <f>IFERROR(VLOOKUP(A601,库龄!B:L,10,0),0)</f>
        <v>30</v>
      </c>
      <c r="L601">
        <f>IFERROR(VLOOKUP(A601,库龄!B:M,11,0),0)</f>
        <v>4</v>
      </c>
      <c r="M601">
        <f>IFERROR(VLOOKUP(A601,库龄!B:N,12,0),0)</f>
        <v>0</v>
      </c>
      <c r="N601">
        <f t="shared" si="20"/>
        <v>37</v>
      </c>
    </row>
    <row r="602" spans="1:14">
      <c r="A602" s="3" t="s">
        <v>1601</v>
      </c>
      <c r="B602">
        <f>IFERROR(VLOOKUP(A602,管理亚马逊库存!A:K,11,0),"")</f>
        <v>1</v>
      </c>
      <c r="C602">
        <f>IFERROR(VLOOKUP(A602,管理亚马逊库存!A:L,12,0),"")</f>
        <v>0</v>
      </c>
      <c r="D602">
        <f>IFERROR(VLOOKUP(A602,管理亚马逊库存!A:Q,17,0),"")</f>
        <v>0</v>
      </c>
      <c r="E602">
        <f>IFERROR(VLOOKUP(A602,管理亚马逊库存!A:R,18,0),"")</f>
        <v>0</v>
      </c>
      <c r="F602">
        <f t="shared" si="19"/>
        <v>0</v>
      </c>
      <c r="G602" t="str">
        <f>IFERROR(VLOOKUP(A602,预留库存!A:G,7,0),0)</f>
        <v>No</v>
      </c>
      <c r="H602">
        <f>IFERROR(VLOOKUP(A602,预留库存!A:H,8,0),0)</f>
        <v>0</v>
      </c>
      <c r="I602">
        <f>IFERROR(VLOOKUP(A602,预留库存!A:F,6,0),0)</f>
        <v>39.98</v>
      </c>
      <c r="J602">
        <f>IFERROR(VLOOKUP(A602,库龄!B:K,9,0),0)</f>
        <v>0</v>
      </c>
      <c r="K602">
        <f>IFERROR(VLOOKUP(A602,库龄!B:L,10,0),0)</f>
        <v>0</v>
      </c>
      <c r="L602">
        <f>IFERROR(VLOOKUP(A602,库龄!B:M,11,0),0)</f>
        <v>0</v>
      </c>
      <c r="M602">
        <f>IFERROR(VLOOKUP(A602,库龄!B:N,12,0),0)</f>
        <v>0</v>
      </c>
      <c r="N602">
        <f t="shared" si="20"/>
        <v>0</v>
      </c>
    </row>
    <row r="603" spans="1:14">
      <c r="A603" s="3" t="s">
        <v>1604</v>
      </c>
      <c r="B603">
        <f>IFERROR(VLOOKUP(A603,管理亚马逊库存!A:K,11,0),"")</f>
        <v>0</v>
      </c>
      <c r="C603">
        <f>IFERROR(VLOOKUP(A603,管理亚马逊库存!A:L,12,0),"")</f>
        <v>0</v>
      </c>
      <c r="D603">
        <f>IFERROR(VLOOKUP(A603,管理亚马逊库存!A:Q,17,0),"")</f>
        <v>0</v>
      </c>
      <c r="E603">
        <f>IFERROR(VLOOKUP(A603,管理亚马逊库存!A:R,18,0),"")</f>
        <v>0</v>
      </c>
      <c r="F603">
        <f t="shared" si="19"/>
        <v>0</v>
      </c>
      <c r="G603" t="str">
        <f>IFERROR(VLOOKUP(A603,预留库存!A:G,7,0),0)</f>
        <v>No</v>
      </c>
      <c r="H603">
        <f>IFERROR(VLOOKUP(A603,预留库存!A:H,8,0),0)</f>
        <v>0</v>
      </c>
      <c r="I603">
        <f>IFERROR(VLOOKUP(A603,预留库存!A:F,6,0),0)</f>
        <v>39.98</v>
      </c>
      <c r="J603">
        <f>IFERROR(VLOOKUP(A603,库龄!B:K,9,0),0)</f>
        <v>0</v>
      </c>
      <c r="K603">
        <f>IFERROR(VLOOKUP(A603,库龄!B:L,10,0),0)</f>
        <v>0</v>
      </c>
      <c r="L603">
        <f>IFERROR(VLOOKUP(A603,库龄!B:M,11,0),0)</f>
        <v>0</v>
      </c>
      <c r="M603">
        <f>IFERROR(VLOOKUP(A603,库龄!B:N,12,0),0)</f>
        <v>0</v>
      </c>
      <c r="N603">
        <f t="shared" si="20"/>
        <v>0</v>
      </c>
    </row>
    <row r="604" spans="1:14">
      <c r="A604" s="3" t="s">
        <v>1607</v>
      </c>
      <c r="B604">
        <f>IFERROR(VLOOKUP(A604,管理亚马逊库存!A:K,11,0),"")</f>
        <v>0</v>
      </c>
      <c r="C604">
        <f>IFERROR(VLOOKUP(A604,管理亚马逊库存!A:L,12,0),"")</f>
        <v>0</v>
      </c>
      <c r="D604">
        <f>IFERROR(VLOOKUP(A604,管理亚马逊库存!A:Q,17,0),"")</f>
        <v>0</v>
      </c>
      <c r="E604">
        <f>IFERROR(VLOOKUP(A604,管理亚马逊库存!A:R,18,0),"")</f>
        <v>0</v>
      </c>
      <c r="F604">
        <f t="shared" si="19"/>
        <v>0</v>
      </c>
      <c r="G604" t="str">
        <f>IFERROR(VLOOKUP(A604,预留库存!A:G,7,0),0)</f>
        <v>No</v>
      </c>
      <c r="H604">
        <f>IFERROR(VLOOKUP(A604,预留库存!A:H,8,0),0)</f>
        <v>0</v>
      </c>
      <c r="I604">
        <f>IFERROR(VLOOKUP(A604,预留库存!A:F,6,0),0)</f>
        <v>39.98</v>
      </c>
      <c r="J604">
        <f>IFERROR(VLOOKUP(A604,库龄!B:K,9,0),0)</f>
        <v>0</v>
      </c>
      <c r="K604">
        <f>IFERROR(VLOOKUP(A604,库龄!B:L,10,0),0)</f>
        <v>0</v>
      </c>
      <c r="L604">
        <f>IFERROR(VLOOKUP(A604,库龄!B:M,11,0),0)</f>
        <v>0</v>
      </c>
      <c r="M604">
        <f>IFERROR(VLOOKUP(A604,库龄!B:N,12,0),0)</f>
        <v>0</v>
      </c>
      <c r="N604">
        <f t="shared" si="20"/>
        <v>0</v>
      </c>
    </row>
    <row r="605" spans="1:14">
      <c r="A605" s="3" t="s">
        <v>1610</v>
      </c>
      <c r="B605">
        <f>IFERROR(VLOOKUP(A605,管理亚马逊库存!A:K,11,0),"")</f>
        <v>17</v>
      </c>
      <c r="C605">
        <f>IFERROR(VLOOKUP(A605,管理亚马逊库存!A:L,12,0),"")</f>
        <v>0</v>
      </c>
      <c r="D605">
        <f>IFERROR(VLOOKUP(A605,管理亚马逊库存!A:Q,17,0),"")</f>
        <v>0</v>
      </c>
      <c r="E605">
        <f>IFERROR(VLOOKUP(A605,管理亚马逊库存!A:R,18,0),"")</f>
        <v>0</v>
      </c>
      <c r="F605">
        <f t="shared" si="19"/>
        <v>0</v>
      </c>
      <c r="G605" t="str">
        <f>IFERROR(VLOOKUP(A605,预留库存!A:G,7,0),0)</f>
        <v>No</v>
      </c>
      <c r="H605">
        <f>IFERROR(VLOOKUP(A605,预留库存!A:H,8,0),0)</f>
        <v>0</v>
      </c>
      <c r="I605">
        <f>IFERROR(VLOOKUP(A605,预留库存!A:F,6,0),0)</f>
        <v>17.98</v>
      </c>
      <c r="J605">
        <f>IFERROR(VLOOKUP(A605,库龄!B:K,9,0),0)</f>
        <v>2</v>
      </c>
      <c r="K605">
        <f>IFERROR(VLOOKUP(A605,库龄!B:L,10,0),0)</f>
        <v>15</v>
      </c>
      <c r="L605">
        <f>IFERROR(VLOOKUP(A605,库龄!B:M,11,0),0)</f>
        <v>0</v>
      </c>
      <c r="M605">
        <f>IFERROR(VLOOKUP(A605,库龄!B:N,12,0),0)</f>
        <v>0</v>
      </c>
      <c r="N605">
        <f t="shared" si="20"/>
        <v>17</v>
      </c>
    </row>
    <row r="606" spans="1:14">
      <c r="A606" s="3" t="s">
        <v>1613</v>
      </c>
      <c r="B606">
        <f>IFERROR(VLOOKUP(A606,管理亚马逊库存!A:K,11,0),"")</f>
        <v>20</v>
      </c>
      <c r="C606">
        <f>IFERROR(VLOOKUP(A606,管理亚马逊库存!A:L,12,0),"")</f>
        <v>0</v>
      </c>
      <c r="D606">
        <f>IFERROR(VLOOKUP(A606,管理亚马逊库存!A:Q,17,0),"")</f>
        <v>0</v>
      </c>
      <c r="E606">
        <f>IFERROR(VLOOKUP(A606,管理亚马逊库存!A:R,18,0),"")</f>
        <v>0</v>
      </c>
      <c r="F606">
        <f t="shared" si="19"/>
        <v>0</v>
      </c>
      <c r="G606" t="str">
        <f>IFERROR(VLOOKUP(A606,预留库存!A:G,7,0),0)</f>
        <v>No</v>
      </c>
      <c r="H606">
        <f>IFERROR(VLOOKUP(A606,预留库存!A:H,8,0),0)</f>
        <v>0</v>
      </c>
      <c r="I606">
        <f>IFERROR(VLOOKUP(A606,预留库存!A:F,6,0),0)</f>
        <v>39.98</v>
      </c>
      <c r="J606">
        <f>IFERROR(VLOOKUP(A606,库龄!B:K,9,0),0)</f>
        <v>3</v>
      </c>
      <c r="K606">
        <f>IFERROR(VLOOKUP(A606,库龄!B:L,10,0),0)</f>
        <v>16</v>
      </c>
      <c r="L606">
        <f>IFERROR(VLOOKUP(A606,库龄!B:M,11,0),0)</f>
        <v>0</v>
      </c>
      <c r="M606">
        <f>IFERROR(VLOOKUP(A606,库龄!B:N,12,0),0)</f>
        <v>0</v>
      </c>
      <c r="N606">
        <f t="shared" si="20"/>
        <v>19</v>
      </c>
    </row>
    <row r="607" spans="1:14">
      <c r="A607" s="3" t="s">
        <v>1616</v>
      </c>
      <c r="B607">
        <f>IFERROR(VLOOKUP(A607,管理亚马逊库存!A:K,11,0),"")</f>
        <v>20</v>
      </c>
      <c r="C607">
        <f>IFERROR(VLOOKUP(A607,管理亚马逊库存!A:L,12,0),"")</f>
        <v>0</v>
      </c>
      <c r="D607">
        <f>IFERROR(VLOOKUP(A607,管理亚马逊库存!A:Q,17,0),"")</f>
        <v>0</v>
      </c>
      <c r="E607">
        <f>IFERROR(VLOOKUP(A607,管理亚马逊库存!A:R,18,0),"")</f>
        <v>0</v>
      </c>
      <c r="F607">
        <f t="shared" si="19"/>
        <v>0</v>
      </c>
      <c r="G607" t="str">
        <f>IFERROR(VLOOKUP(A607,预留库存!A:G,7,0),0)</f>
        <v>No</v>
      </c>
      <c r="H607">
        <f>IFERROR(VLOOKUP(A607,预留库存!A:H,8,0),0)</f>
        <v>0</v>
      </c>
      <c r="I607">
        <f>IFERROR(VLOOKUP(A607,预留库存!A:F,6,0),0)</f>
        <v>39.98</v>
      </c>
      <c r="J607">
        <f>IFERROR(VLOOKUP(A607,库龄!B:K,9,0),0)</f>
        <v>0</v>
      </c>
      <c r="K607">
        <f>IFERROR(VLOOKUP(A607,库龄!B:L,10,0),0)</f>
        <v>19</v>
      </c>
      <c r="L607">
        <f>IFERROR(VLOOKUP(A607,库龄!B:M,11,0),0)</f>
        <v>0</v>
      </c>
      <c r="M607">
        <f>IFERROR(VLOOKUP(A607,库龄!B:N,12,0),0)</f>
        <v>0</v>
      </c>
      <c r="N607">
        <f t="shared" si="20"/>
        <v>19</v>
      </c>
    </row>
    <row r="608" spans="1:14">
      <c r="A608" s="3" t="s">
        <v>1619</v>
      </c>
      <c r="B608">
        <f>IFERROR(VLOOKUP(A608,管理亚马逊库存!A:K,11,0),"")</f>
        <v>33</v>
      </c>
      <c r="C608">
        <f>IFERROR(VLOOKUP(A608,管理亚马逊库存!A:L,12,0),"")</f>
        <v>0</v>
      </c>
      <c r="D608">
        <f>IFERROR(VLOOKUP(A608,管理亚马逊库存!A:Q,17,0),"")</f>
        <v>0</v>
      </c>
      <c r="E608">
        <f>IFERROR(VLOOKUP(A608,管理亚马逊库存!A:R,18,0),"")</f>
        <v>0</v>
      </c>
      <c r="F608">
        <f t="shared" si="19"/>
        <v>0</v>
      </c>
      <c r="G608" t="str">
        <f>IFERROR(VLOOKUP(A608,预留库存!A:G,7,0),0)</f>
        <v>No</v>
      </c>
      <c r="H608">
        <f>IFERROR(VLOOKUP(A608,预留库存!A:H,8,0),0)</f>
        <v>0</v>
      </c>
      <c r="I608">
        <f>IFERROR(VLOOKUP(A608,预留库存!A:F,6,0),0)</f>
        <v>39.98</v>
      </c>
      <c r="J608">
        <f>IFERROR(VLOOKUP(A608,库龄!B:K,9,0),0)</f>
        <v>2</v>
      </c>
      <c r="K608">
        <f>IFERROR(VLOOKUP(A608,库龄!B:L,10,0),0)</f>
        <v>23</v>
      </c>
      <c r="L608">
        <f>IFERROR(VLOOKUP(A608,库龄!B:M,11,0),0)</f>
        <v>8</v>
      </c>
      <c r="M608">
        <f>IFERROR(VLOOKUP(A608,库龄!B:N,12,0),0)</f>
        <v>0</v>
      </c>
      <c r="N608">
        <f t="shared" si="20"/>
        <v>33</v>
      </c>
    </row>
    <row r="609" spans="1:14">
      <c r="A609" s="3" t="s">
        <v>1622</v>
      </c>
      <c r="B609">
        <f>IFERROR(VLOOKUP(A609,管理亚马逊库存!A:K,11,0),"")</f>
        <v>0</v>
      </c>
      <c r="C609">
        <f>IFERROR(VLOOKUP(A609,管理亚马逊库存!A:L,12,0),"")</f>
        <v>0</v>
      </c>
      <c r="D609">
        <f>IFERROR(VLOOKUP(A609,管理亚马逊库存!A:Q,17,0),"")</f>
        <v>0</v>
      </c>
      <c r="E609">
        <f>IFERROR(VLOOKUP(A609,管理亚马逊库存!A:R,18,0),"")</f>
        <v>0</v>
      </c>
      <c r="F609">
        <f t="shared" si="19"/>
        <v>0</v>
      </c>
      <c r="G609" t="str">
        <f>IFERROR(VLOOKUP(A609,预留库存!A:G,7,0),0)</f>
        <v>No</v>
      </c>
      <c r="H609">
        <f>IFERROR(VLOOKUP(A609,预留库存!A:H,8,0),0)</f>
        <v>0</v>
      </c>
      <c r="I609">
        <f>IFERROR(VLOOKUP(A609,预留库存!A:F,6,0),0)</f>
        <v>39.98</v>
      </c>
      <c r="J609">
        <f>IFERROR(VLOOKUP(A609,库龄!B:K,9,0),0)</f>
        <v>0</v>
      </c>
      <c r="K609">
        <f>IFERROR(VLOOKUP(A609,库龄!B:L,10,0),0)</f>
        <v>0</v>
      </c>
      <c r="L609">
        <f>IFERROR(VLOOKUP(A609,库龄!B:M,11,0),0)</f>
        <v>0</v>
      </c>
      <c r="M609">
        <f>IFERROR(VLOOKUP(A609,库龄!B:N,12,0),0)</f>
        <v>0</v>
      </c>
      <c r="N609">
        <f t="shared" si="20"/>
        <v>0</v>
      </c>
    </row>
    <row r="610" spans="1:14">
      <c r="A610" s="3" t="s">
        <v>1625</v>
      </c>
      <c r="B610">
        <f>IFERROR(VLOOKUP(A610,管理亚马逊库存!A:K,11,0),"")</f>
        <v>22</v>
      </c>
      <c r="C610">
        <f>IFERROR(VLOOKUP(A610,管理亚马逊库存!A:L,12,0),"")</f>
        <v>0</v>
      </c>
      <c r="D610">
        <f>IFERROR(VLOOKUP(A610,管理亚马逊库存!A:Q,17,0),"")</f>
        <v>0</v>
      </c>
      <c r="E610">
        <f>IFERROR(VLOOKUP(A610,管理亚马逊库存!A:R,18,0),"")</f>
        <v>0</v>
      </c>
      <c r="F610">
        <f t="shared" si="19"/>
        <v>0</v>
      </c>
      <c r="G610" t="str">
        <f>IFERROR(VLOOKUP(A610,预留库存!A:G,7,0),0)</f>
        <v>No</v>
      </c>
      <c r="H610">
        <f>IFERROR(VLOOKUP(A610,预留库存!A:H,8,0),0)</f>
        <v>0</v>
      </c>
      <c r="I610">
        <f>IFERROR(VLOOKUP(A610,预留库存!A:F,6,0),0)</f>
        <v>39.98</v>
      </c>
      <c r="J610">
        <f>IFERROR(VLOOKUP(A610,库龄!B:K,9,0),0)</f>
        <v>0</v>
      </c>
      <c r="K610">
        <f>IFERROR(VLOOKUP(A610,库龄!B:L,10,0),0)</f>
        <v>22</v>
      </c>
      <c r="L610">
        <f>IFERROR(VLOOKUP(A610,库龄!B:M,11,0),0)</f>
        <v>0</v>
      </c>
      <c r="M610">
        <f>IFERROR(VLOOKUP(A610,库龄!B:N,12,0),0)</f>
        <v>0</v>
      </c>
      <c r="N610">
        <f t="shared" si="20"/>
        <v>22</v>
      </c>
    </row>
    <row r="611" spans="1:14">
      <c r="A611" s="3" t="s">
        <v>1628</v>
      </c>
      <c r="B611">
        <f>IFERROR(VLOOKUP(A611,管理亚马逊库存!A:K,11,0),"")</f>
        <v>29</v>
      </c>
      <c r="C611">
        <f>IFERROR(VLOOKUP(A611,管理亚马逊库存!A:L,12,0),"")</f>
        <v>0</v>
      </c>
      <c r="D611">
        <f>IFERROR(VLOOKUP(A611,管理亚马逊库存!A:Q,17,0),"")</f>
        <v>0</v>
      </c>
      <c r="E611">
        <f>IFERROR(VLOOKUP(A611,管理亚马逊库存!A:R,18,0),"")</f>
        <v>0</v>
      </c>
      <c r="F611">
        <f t="shared" si="19"/>
        <v>0</v>
      </c>
      <c r="G611" t="str">
        <f>IFERROR(VLOOKUP(A611,预留库存!A:G,7,0),0)</f>
        <v>No</v>
      </c>
      <c r="H611">
        <f>IFERROR(VLOOKUP(A611,预留库存!A:H,8,0),0)</f>
        <v>0</v>
      </c>
      <c r="I611">
        <f>IFERROR(VLOOKUP(A611,预留库存!A:F,6,0),0)</f>
        <v>39.98</v>
      </c>
      <c r="J611">
        <f>IFERROR(VLOOKUP(A611,库龄!B:K,9,0),0)</f>
        <v>0</v>
      </c>
      <c r="K611">
        <f>IFERROR(VLOOKUP(A611,库龄!B:L,10,0),0)</f>
        <v>24</v>
      </c>
      <c r="L611">
        <f>IFERROR(VLOOKUP(A611,库龄!B:M,11,0),0)</f>
        <v>5</v>
      </c>
      <c r="M611">
        <f>IFERROR(VLOOKUP(A611,库龄!B:N,12,0),0)</f>
        <v>0</v>
      </c>
      <c r="N611">
        <f t="shared" si="20"/>
        <v>29</v>
      </c>
    </row>
    <row r="612" spans="1:14">
      <c r="A612" s="3" t="s">
        <v>1631</v>
      </c>
      <c r="B612">
        <f>IFERROR(VLOOKUP(A612,管理亚马逊库存!A:K,11,0),"")</f>
        <v>17</v>
      </c>
      <c r="C612">
        <f>IFERROR(VLOOKUP(A612,管理亚马逊库存!A:L,12,0),"")</f>
        <v>0</v>
      </c>
      <c r="D612">
        <f>IFERROR(VLOOKUP(A612,管理亚马逊库存!A:Q,17,0),"")</f>
        <v>0</v>
      </c>
      <c r="E612">
        <f>IFERROR(VLOOKUP(A612,管理亚马逊库存!A:R,18,0),"")</f>
        <v>0</v>
      </c>
      <c r="F612">
        <f t="shared" si="19"/>
        <v>0</v>
      </c>
      <c r="G612" t="str">
        <f>IFERROR(VLOOKUP(A612,预留库存!A:G,7,0),0)</f>
        <v>No</v>
      </c>
      <c r="H612">
        <f>IFERROR(VLOOKUP(A612,预留库存!A:H,8,0),0)</f>
        <v>0</v>
      </c>
      <c r="I612">
        <f>IFERROR(VLOOKUP(A612,预留库存!A:F,6,0),0)</f>
        <v>39.98</v>
      </c>
      <c r="J612">
        <f>IFERROR(VLOOKUP(A612,库龄!B:K,9,0),0)</f>
        <v>4</v>
      </c>
      <c r="K612">
        <f>IFERROR(VLOOKUP(A612,库龄!B:L,10,0),0)</f>
        <v>14</v>
      </c>
      <c r="L612">
        <f>IFERROR(VLOOKUP(A612,库龄!B:M,11,0),0)</f>
        <v>0</v>
      </c>
      <c r="M612">
        <f>IFERROR(VLOOKUP(A612,库龄!B:N,12,0),0)</f>
        <v>0</v>
      </c>
      <c r="N612">
        <f t="shared" si="20"/>
        <v>18</v>
      </c>
    </row>
    <row r="613" spans="1:14">
      <c r="A613" s="3" t="s">
        <v>1634</v>
      </c>
      <c r="B613">
        <f>IFERROR(VLOOKUP(A613,管理亚马逊库存!A:K,11,0),"")</f>
        <v>38</v>
      </c>
      <c r="C613">
        <f>IFERROR(VLOOKUP(A613,管理亚马逊库存!A:L,12,0),"")</f>
        <v>0</v>
      </c>
      <c r="D613">
        <f>IFERROR(VLOOKUP(A613,管理亚马逊库存!A:Q,17,0),"")</f>
        <v>0</v>
      </c>
      <c r="E613">
        <f>IFERROR(VLOOKUP(A613,管理亚马逊库存!A:R,18,0),"")</f>
        <v>0</v>
      </c>
      <c r="F613">
        <f t="shared" si="19"/>
        <v>0</v>
      </c>
      <c r="G613" t="str">
        <f>IFERROR(VLOOKUP(A613,预留库存!A:G,7,0),0)</f>
        <v>No</v>
      </c>
      <c r="H613">
        <f>IFERROR(VLOOKUP(A613,预留库存!A:H,8,0),0)</f>
        <v>0</v>
      </c>
      <c r="I613">
        <f>IFERROR(VLOOKUP(A613,预留库存!A:F,6,0),0)</f>
        <v>39.98</v>
      </c>
      <c r="J613">
        <f>IFERROR(VLOOKUP(A613,库龄!B:K,9,0),0)</f>
        <v>6</v>
      </c>
      <c r="K613">
        <f>IFERROR(VLOOKUP(A613,库龄!B:L,10,0),0)</f>
        <v>32</v>
      </c>
      <c r="L613">
        <f>IFERROR(VLOOKUP(A613,库龄!B:M,11,0),0)</f>
        <v>0</v>
      </c>
      <c r="M613">
        <f>IFERROR(VLOOKUP(A613,库龄!B:N,12,0),0)</f>
        <v>0</v>
      </c>
      <c r="N613">
        <f t="shared" si="20"/>
        <v>38</v>
      </c>
    </row>
    <row r="614" spans="1:14">
      <c r="A614" s="3" t="s">
        <v>1637</v>
      </c>
      <c r="B614">
        <f>IFERROR(VLOOKUP(A614,管理亚马逊库存!A:K,11,0),"")</f>
        <v>5</v>
      </c>
      <c r="C614">
        <f>IFERROR(VLOOKUP(A614,管理亚马逊库存!A:L,12,0),"")</f>
        <v>0</v>
      </c>
      <c r="D614">
        <f>IFERROR(VLOOKUP(A614,管理亚马逊库存!A:Q,17,0),"")</f>
        <v>0</v>
      </c>
      <c r="E614">
        <f>IFERROR(VLOOKUP(A614,管理亚马逊库存!A:R,18,0),"")</f>
        <v>0</v>
      </c>
      <c r="F614">
        <f t="shared" si="19"/>
        <v>0</v>
      </c>
      <c r="G614" t="str">
        <f>IFERROR(VLOOKUP(A614,预留库存!A:G,7,0),0)</f>
        <v>No</v>
      </c>
      <c r="H614">
        <f>IFERROR(VLOOKUP(A614,预留库存!A:H,8,0),0)</f>
        <v>0</v>
      </c>
      <c r="I614">
        <f>IFERROR(VLOOKUP(A614,预留库存!A:F,6,0),0)</f>
        <v>39.98</v>
      </c>
      <c r="J614">
        <f>IFERROR(VLOOKUP(A614,库龄!B:K,9,0),0)</f>
        <v>5</v>
      </c>
      <c r="K614">
        <f>IFERROR(VLOOKUP(A614,库龄!B:L,10,0),0)</f>
        <v>0</v>
      </c>
      <c r="L614">
        <f>IFERROR(VLOOKUP(A614,库龄!B:M,11,0),0)</f>
        <v>0</v>
      </c>
      <c r="M614">
        <f>IFERROR(VLOOKUP(A614,库龄!B:N,12,0),0)</f>
        <v>0</v>
      </c>
      <c r="N614">
        <f t="shared" si="20"/>
        <v>5</v>
      </c>
    </row>
    <row r="615" spans="1:14">
      <c r="A615" s="3" t="s">
        <v>1640</v>
      </c>
      <c r="B615">
        <f>IFERROR(VLOOKUP(A615,管理亚马逊库存!A:K,11,0),"")</f>
        <v>29</v>
      </c>
      <c r="C615">
        <f>IFERROR(VLOOKUP(A615,管理亚马逊库存!A:L,12,0),"")</f>
        <v>0</v>
      </c>
      <c r="D615">
        <f>IFERROR(VLOOKUP(A615,管理亚马逊库存!A:Q,17,0),"")</f>
        <v>0</v>
      </c>
      <c r="E615">
        <f>IFERROR(VLOOKUP(A615,管理亚马逊库存!A:R,18,0),"")</f>
        <v>0</v>
      </c>
      <c r="F615">
        <f t="shared" si="19"/>
        <v>0</v>
      </c>
      <c r="G615" t="str">
        <f>IFERROR(VLOOKUP(A615,预留库存!A:G,7,0),0)</f>
        <v>No</v>
      </c>
      <c r="H615">
        <f>IFERROR(VLOOKUP(A615,预留库存!A:H,8,0),0)</f>
        <v>0</v>
      </c>
      <c r="I615">
        <f>IFERROR(VLOOKUP(A615,预留库存!A:F,6,0),0)</f>
        <v>39.98</v>
      </c>
      <c r="J615">
        <f>IFERROR(VLOOKUP(A615,库龄!B:K,9,0),0)</f>
        <v>2</v>
      </c>
      <c r="K615">
        <f>IFERROR(VLOOKUP(A615,库龄!B:L,10,0),0)</f>
        <v>26</v>
      </c>
      <c r="L615">
        <f>IFERROR(VLOOKUP(A615,库龄!B:M,11,0),0)</f>
        <v>0</v>
      </c>
      <c r="M615">
        <f>IFERROR(VLOOKUP(A615,库龄!B:N,12,0),0)</f>
        <v>0</v>
      </c>
      <c r="N615">
        <f t="shared" si="20"/>
        <v>28</v>
      </c>
    </row>
    <row r="616" spans="1:14">
      <c r="A616" s="3" t="s">
        <v>1643</v>
      </c>
      <c r="B616">
        <f>IFERROR(VLOOKUP(A616,管理亚马逊库存!A:K,11,0),"")</f>
        <v>0</v>
      </c>
      <c r="C616">
        <f>IFERROR(VLOOKUP(A616,管理亚马逊库存!A:L,12,0),"")</f>
        <v>0</v>
      </c>
      <c r="D616">
        <f>IFERROR(VLOOKUP(A616,管理亚马逊库存!A:Q,17,0),"")</f>
        <v>0</v>
      </c>
      <c r="E616">
        <f>IFERROR(VLOOKUP(A616,管理亚马逊库存!A:R,18,0),"")</f>
        <v>0</v>
      </c>
      <c r="F616">
        <f t="shared" si="19"/>
        <v>0</v>
      </c>
      <c r="G616" t="str">
        <f>IFERROR(VLOOKUP(A616,预留库存!A:G,7,0),0)</f>
        <v>No</v>
      </c>
      <c r="H616">
        <f>IFERROR(VLOOKUP(A616,预留库存!A:H,8,0),0)</f>
        <v>0</v>
      </c>
      <c r="I616">
        <f>IFERROR(VLOOKUP(A616,预留库存!A:F,6,0),0)</f>
        <v>39.98</v>
      </c>
      <c r="J616">
        <f>IFERROR(VLOOKUP(A616,库龄!B:K,9,0),0)</f>
        <v>0</v>
      </c>
      <c r="K616">
        <f>IFERROR(VLOOKUP(A616,库龄!B:L,10,0),0)</f>
        <v>0</v>
      </c>
      <c r="L616">
        <f>IFERROR(VLOOKUP(A616,库龄!B:M,11,0),0)</f>
        <v>0</v>
      </c>
      <c r="M616">
        <f>IFERROR(VLOOKUP(A616,库龄!B:N,12,0),0)</f>
        <v>0</v>
      </c>
      <c r="N616">
        <f t="shared" si="20"/>
        <v>0</v>
      </c>
    </row>
    <row r="617" spans="1:14">
      <c r="A617" s="3" t="s">
        <v>1646</v>
      </c>
      <c r="B617">
        <f>IFERROR(VLOOKUP(A617,管理亚马逊库存!A:K,11,0),"")</f>
        <v>0</v>
      </c>
      <c r="C617">
        <f>IFERROR(VLOOKUP(A617,管理亚马逊库存!A:L,12,0),"")</f>
        <v>0</v>
      </c>
      <c r="D617">
        <f>IFERROR(VLOOKUP(A617,管理亚马逊库存!A:Q,17,0),"")</f>
        <v>0</v>
      </c>
      <c r="E617">
        <f>IFERROR(VLOOKUP(A617,管理亚马逊库存!A:R,18,0),"")</f>
        <v>0</v>
      </c>
      <c r="F617">
        <f t="shared" si="19"/>
        <v>0</v>
      </c>
      <c r="G617">
        <f>IFERROR(VLOOKUP(A617,预留库存!A:G,7,0),0)</f>
        <v>0</v>
      </c>
      <c r="H617">
        <f>IFERROR(VLOOKUP(A617,预留库存!A:H,8,0),0)</f>
        <v>0</v>
      </c>
      <c r="I617">
        <f>IFERROR(VLOOKUP(A617,预留库存!A:F,6,0),0)</f>
        <v>0</v>
      </c>
      <c r="J617">
        <f>IFERROR(VLOOKUP(A617,库龄!B:K,9,0),0)</f>
        <v>0</v>
      </c>
      <c r="K617">
        <f>IFERROR(VLOOKUP(A617,库龄!B:L,10,0),0)</f>
        <v>0</v>
      </c>
      <c r="L617">
        <f>IFERROR(VLOOKUP(A617,库龄!B:M,11,0),0)</f>
        <v>0</v>
      </c>
      <c r="M617">
        <f>IFERROR(VLOOKUP(A617,库龄!B:N,12,0),0)</f>
        <v>0</v>
      </c>
      <c r="N617">
        <f t="shared" si="20"/>
        <v>0</v>
      </c>
    </row>
    <row r="618" spans="1:14">
      <c r="A618" s="3" t="s">
        <v>1648</v>
      </c>
      <c r="B618">
        <f>IFERROR(VLOOKUP(A618,管理亚马逊库存!A:K,11,0),"")</f>
        <v>14</v>
      </c>
      <c r="C618">
        <f>IFERROR(VLOOKUP(A618,管理亚马逊库存!A:L,12,0),"")</f>
        <v>0</v>
      </c>
      <c r="D618">
        <f>IFERROR(VLOOKUP(A618,管理亚马逊库存!A:Q,17,0),"")</f>
        <v>0</v>
      </c>
      <c r="E618">
        <f>IFERROR(VLOOKUP(A618,管理亚马逊库存!A:R,18,0),"")</f>
        <v>0</v>
      </c>
      <c r="F618">
        <f t="shared" si="19"/>
        <v>0</v>
      </c>
      <c r="G618" t="str">
        <f>IFERROR(VLOOKUP(A618,预留库存!A:G,7,0),0)</f>
        <v>No</v>
      </c>
      <c r="H618">
        <f>IFERROR(VLOOKUP(A618,预留库存!A:H,8,0),0)</f>
        <v>0</v>
      </c>
      <c r="I618">
        <f>IFERROR(VLOOKUP(A618,预留库存!A:F,6,0),0)</f>
        <v>39.98</v>
      </c>
      <c r="J618">
        <f>IFERROR(VLOOKUP(A618,库龄!B:K,9,0),0)</f>
        <v>4</v>
      </c>
      <c r="K618">
        <f>IFERROR(VLOOKUP(A618,库龄!B:L,10,0),0)</f>
        <v>8</v>
      </c>
      <c r="L618">
        <f>IFERROR(VLOOKUP(A618,库龄!B:M,11,0),0)</f>
        <v>0</v>
      </c>
      <c r="M618">
        <f>IFERROR(VLOOKUP(A618,库龄!B:N,12,0),0)</f>
        <v>0</v>
      </c>
      <c r="N618">
        <f t="shared" si="20"/>
        <v>12</v>
      </c>
    </row>
    <row r="619" spans="1:14">
      <c r="A619" s="3" t="s">
        <v>1651</v>
      </c>
      <c r="B619">
        <f>IFERROR(VLOOKUP(A619,管理亚马逊库存!A:K,11,0),"")</f>
        <v>22</v>
      </c>
      <c r="C619">
        <f>IFERROR(VLOOKUP(A619,管理亚马逊库存!A:L,12,0),"")</f>
        <v>0</v>
      </c>
      <c r="D619">
        <f>IFERROR(VLOOKUP(A619,管理亚马逊库存!A:Q,17,0),"")</f>
        <v>0</v>
      </c>
      <c r="E619">
        <f>IFERROR(VLOOKUP(A619,管理亚马逊库存!A:R,18,0),"")</f>
        <v>0</v>
      </c>
      <c r="F619">
        <f t="shared" si="19"/>
        <v>0</v>
      </c>
      <c r="G619" t="str">
        <f>IFERROR(VLOOKUP(A619,预留库存!A:G,7,0),0)</f>
        <v>No</v>
      </c>
      <c r="H619">
        <f>IFERROR(VLOOKUP(A619,预留库存!A:H,8,0),0)</f>
        <v>0</v>
      </c>
      <c r="I619">
        <f>IFERROR(VLOOKUP(A619,预留库存!A:F,6,0),0)</f>
        <v>39.98</v>
      </c>
      <c r="J619">
        <f>IFERROR(VLOOKUP(A619,库龄!B:K,9,0),0)</f>
        <v>4</v>
      </c>
      <c r="K619">
        <f>IFERROR(VLOOKUP(A619,库龄!B:L,10,0),0)</f>
        <v>16</v>
      </c>
      <c r="L619">
        <f>IFERROR(VLOOKUP(A619,库龄!B:M,11,0),0)</f>
        <v>0</v>
      </c>
      <c r="M619">
        <f>IFERROR(VLOOKUP(A619,库龄!B:N,12,0),0)</f>
        <v>0</v>
      </c>
      <c r="N619">
        <f t="shared" si="20"/>
        <v>20</v>
      </c>
    </row>
    <row r="620" spans="1:14">
      <c r="A620" s="3" t="s">
        <v>1654</v>
      </c>
      <c r="B620">
        <f>IFERROR(VLOOKUP(A620,管理亚马逊库存!A:K,11,0),"")</f>
        <v>0</v>
      </c>
      <c r="C620">
        <f>IFERROR(VLOOKUP(A620,管理亚马逊库存!A:L,12,0),"")</f>
        <v>0</v>
      </c>
      <c r="D620">
        <f>IFERROR(VLOOKUP(A620,管理亚马逊库存!A:Q,17,0),"")</f>
        <v>0</v>
      </c>
      <c r="E620">
        <f>IFERROR(VLOOKUP(A620,管理亚马逊库存!A:R,18,0),"")</f>
        <v>0</v>
      </c>
      <c r="F620">
        <f t="shared" si="19"/>
        <v>0</v>
      </c>
      <c r="G620">
        <f>IFERROR(VLOOKUP(A620,预留库存!A:G,7,0),0)</f>
        <v>0</v>
      </c>
      <c r="H620">
        <f>IFERROR(VLOOKUP(A620,预留库存!A:H,8,0),0)</f>
        <v>0</v>
      </c>
      <c r="I620">
        <f>IFERROR(VLOOKUP(A620,预留库存!A:F,6,0),0)</f>
        <v>0</v>
      </c>
      <c r="J620">
        <f>IFERROR(VLOOKUP(A620,库龄!B:K,9,0),0)</f>
        <v>0</v>
      </c>
      <c r="K620">
        <f>IFERROR(VLOOKUP(A620,库龄!B:L,10,0),0)</f>
        <v>0</v>
      </c>
      <c r="L620">
        <f>IFERROR(VLOOKUP(A620,库龄!B:M,11,0),0)</f>
        <v>0</v>
      </c>
      <c r="M620">
        <f>IFERROR(VLOOKUP(A620,库龄!B:N,12,0),0)</f>
        <v>0</v>
      </c>
      <c r="N620">
        <f t="shared" si="20"/>
        <v>0</v>
      </c>
    </row>
    <row r="621" spans="1:14">
      <c r="A621" s="3" t="s">
        <v>1656</v>
      </c>
      <c r="B621">
        <f>IFERROR(VLOOKUP(A621,管理亚马逊库存!A:K,11,0),"")</f>
        <v>9</v>
      </c>
      <c r="C621">
        <f>IFERROR(VLOOKUP(A621,管理亚马逊库存!A:L,12,0),"")</f>
        <v>0</v>
      </c>
      <c r="D621">
        <f>IFERROR(VLOOKUP(A621,管理亚马逊库存!A:Q,17,0),"")</f>
        <v>0</v>
      </c>
      <c r="E621">
        <f>IFERROR(VLOOKUP(A621,管理亚马逊库存!A:R,18,0),"")</f>
        <v>0</v>
      </c>
      <c r="F621">
        <f t="shared" si="19"/>
        <v>0</v>
      </c>
      <c r="G621" t="str">
        <f>IFERROR(VLOOKUP(A621,预留库存!A:G,7,0),0)</f>
        <v>No</v>
      </c>
      <c r="H621">
        <f>IFERROR(VLOOKUP(A621,预留库存!A:H,8,0),0)</f>
        <v>0</v>
      </c>
      <c r="I621">
        <f>IFERROR(VLOOKUP(A621,预留库存!A:F,6,0),0)</f>
        <v>39.98</v>
      </c>
      <c r="J621">
        <f>IFERROR(VLOOKUP(A621,库龄!B:K,9,0),0)</f>
        <v>8</v>
      </c>
      <c r="K621">
        <f>IFERROR(VLOOKUP(A621,库龄!B:L,10,0),0)</f>
        <v>0</v>
      </c>
      <c r="L621">
        <f>IFERROR(VLOOKUP(A621,库龄!B:M,11,0),0)</f>
        <v>0</v>
      </c>
      <c r="M621">
        <f>IFERROR(VLOOKUP(A621,库龄!B:N,12,0),0)</f>
        <v>0</v>
      </c>
      <c r="N621">
        <f t="shared" si="20"/>
        <v>8</v>
      </c>
    </row>
    <row r="622" spans="1:14">
      <c r="A622" s="3" t="s">
        <v>1659</v>
      </c>
      <c r="B622">
        <f>IFERROR(VLOOKUP(A622,管理亚马逊库存!A:K,11,0),"")</f>
        <v>0</v>
      </c>
      <c r="C622">
        <f>IFERROR(VLOOKUP(A622,管理亚马逊库存!A:L,12,0),"")</f>
        <v>0</v>
      </c>
      <c r="D622">
        <f>IFERROR(VLOOKUP(A622,管理亚马逊库存!A:Q,17,0),"")</f>
        <v>0</v>
      </c>
      <c r="E622">
        <f>IFERROR(VLOOKUP(A622,管理亚马逊库存!A:R,18,0),"")</f>
        <v>0</v>
      </c>
      <c r="F622">
        <f t="shared" si="19"/>
        <v>0</v>
      </c>
      <c r="G622">
        <f>IFERROR(VLOOKUP(A622,预留库存!A:G,7,0),0)</f>
        <v>0</v>
      </c>
      <c r="H622">
        <f>IFERROR(VLOOKUP(A622,预留库存!A:H,8,0),0)</f>
        <v>0</v>
      </c>
      <c r="I622">
        <f>IFERROR(VLOOKUP(A622,预留库存!A:F,6,0),0)</f>
        <v>0</v>
      </c>
      <c r="J622">
        <f>IFERROR(VLOOKUP(A622,库龄!B:K,9,0),0)</f>
        <v>0</v>
      </c>
      <c r="K622">
        <f>IFERROR(VLOOKUP(A622,库龄!B:L,10,0),0)</f>
        <v>0</v>
      </c>
      <c r="L622">
        <f>IFERROR(VLOOKUP(A622,库龄!B:M,11,0),0)</f>
        <v>0</v>
      </c>
      <c r="M622">
        <f>IFERROR(VLOOKUP(A622,库龄!B:N,12,0),0)</f>
        <v>0</v>
      </c>
      <c r="N622">
        <f t="shared" si="20"/>
        <v>0</v>
      </c>
    </row>
    <row r="623" spans="1:14">
      <c r="A623" s="3" t="s">
        <v>1661</v>
      </c>
      <c r="B623">
        <f>IFERROR(VLOOKUP(A623,管理亚马逊库存!A:K,11,0),"")</f>
        <v>24</v>
      </c>
      <c r="C623">
        <f>IFERROR(VLOOKUP(A623,管理亚马逊库存!A:L,12,0),"")</f>
        <v>0</v>
      </c>
      <c r="D623">
        <f>IFERROR(VLOOKUP(A623,管理亚马逊库存!A:Q,17,0),"")</f>
        <v>0</v>
      </c>
      <c r="E623">
        <f>IFERROR(VLOOKUP(A623,管理亚马逊库存!A:R,18,0),"")</f>
        <v>0</v>
      </c>
      <c r="F623">
        <f t="shared" si="19"/>
        <v>0</v>
      </c>
      <c r="G623" t="str">
        <f>IFERROR(VLOOKUP(A623,预留库存!A:G,7,0),0)</f>
        <v>No</v>
      </c>
      <c r="H623">
        <f>IFERROR(VLOOKUP(A623,预留库存!A:H,8,0),0)</f>
        <v>0</v>
      </c>
      <c r="I623">
        <f>IFERROR(VLOOKUP(A623,预留库存!A:F,6,0),0)</f>
        <v>39.98</v>
      </c>
      <c r="J623">
        <f>IFERROR(VLOOKUP(A623,库龄!B:K,9,0),0)</f>
        <v>5</v>
      </c>
      <c r="K623">
        <f>IFERROR(VLOOKUP(A623,库龄!B:L,10,0),0)</f>
        <v>15</v>
      </c>
      <c r="L623">
        <f>IFERROR(VLOOKUP(A623,库龄!B:M,11,0),0)</f>
        <v>0</v>
      </c>
      <c r="M623">
        <f>IFERROR(VLOOKUP(A623,库龄!B:N,12,0),0)</f>
        <v>0</v>
      </c>
      <c r="N623">
        <f t="shared" si="20"/>
        <v>20</v>
      </c>
    </row>
    <row r="624" spans="1:14">
      <c r="A624" s="3" t="s">
        <v>1664</v>
      </c>
      <c r="B624">
        <f>IFERROR(VLOOKUP(A624,管理亚马逊库存!A:K,11,0),"")</f>
        <v>30</v>
      </c>
      <c r="C624">
        <f>IFERROR(VLOOKUP(A624,管理亚马逊库存!A:L,12,0),"")</f>
        <v>0</v>
      </c>
      <c r="D624">
        <f>IFERROR(VLOOKUP(A624,管理亚马逊库存!A:Q,17,0),"")</f>
        <v>0</v>
      </c>
      <c r="E624">
        <f>IFERROR(VLOOKUP(A624,管理亚马逊库存!A:R,18,0),"")</f>
        <v>0</v>
      </c>
      <c r="F624">
        <f t="shared" si="19"/>
        <v>0</v>
      </c>
      <c r="G624" t="str">
        <f>IFERROR(VLOOKUP(A624,预留库存!A:G,7,0),0)</f>
        <v>No</v>
      </c>
      <c r="H624">
        <f>IFERROR(VLOOKUP(A624,预留库存!A:H,8,0),0)</f>
        <v>0</v>
      </c>
      <c r="I624">
        <f>IFERROR(VLOOKUP(A624,预留库存!A:F,6,0),0)</f>
        <v>39.98</v>
      </c>
      <c r="J624">
        <f>IFERROR(VLOOKUP(A624,库龄!B:K,9,0),0)</f>
        <v>5</v>
      </c>
      <c r="K624">
        <f>IFERROR(VLOOKUP(A624,库龄!B:L,10,0),0)</f>
        <v>22</v>
      </c>
      <c r="L624">
        <f>IFERROR(VLOOKUP(A624,库龄!B:M,11,0),0)</f>
        <v>0</v>
      </c>
      <c r="M624">
        <f>IFERROR(VLOOKUP(A624,库龄!B:N,12,0),0)</f>
        <v>0</v>
      </c>
      <c r="N624">
        <f t="shared" si="20"/>
        <v>27</v>
      </c>
    </row>
    <row r="625" spans="1:14">
      <c r="A625" s="3" t="s">
        <v>1667</v>
      </c>
      <c r="B625">
        <f>IFERROR(VLOOKUP(A625,管理亚马逊库存!A:K,11,0),"")</f>
        <v>0</v>
      </c>
      <c r="C625">
        <f>IFERROR(VLOOKUP(A625,管理亚马逊库存!A:L,12,0),"")</f>
        <v>0</v>
      </c>
      <c r="D625">
        <f>IFERROR(VLOOKUP(A625,管理亚马逊库存!A:Q,17,0),"")</f>
        <v>0</v>
      </c>
      <c r="E625">
        <f>IFERROR(VLOOKUP(A625,管理亚马逊库存!A:R,18,0),"")</f>
        <v>0</v>
      </c>
      <c r="F625">
        <f t="shared" si="19"/>
        <v>0</v>
      </c>
      <c r="G625">
        <f>IFERROR(VLOOKUP(A625,预留库存!A:G,7,0),0)</f>
        <v>0</v>
      </c>
      <c r="H625">
        <f>IFERROR(VLOOKUP(A625,预留库存!A:H,8,0),0)</f>
        <v>0</v>
      </c>
      <c r="I625">
        <f>IFERROR(VLOOKUP(A625,预留库存!A:F,6,0),0)</f>
        <v>0</v>
      </c>
      <c r="J625">
        <f>IFERROR(VLOOKUP(A625,库龄!B:K,9,0),0)</f>
        <v>0</v>
      </c>
      <c r="K625">
        <f>IFERROR(VLOOKUP(A625,库龄!B:L,10,0),0)</f>
        <v>0</v>
      </c>
      <c r="L625">
        <f>IFERROR(VLOOKUP(A625,库龄!B:M,11,0),0)</f>
        <v>0</v>
      </c>
      <c r="M625">
        <f>IFERROR(VLOOKUP(A625,库龄!B:N,12,0),0)</f>
        <v>0</v>
      </c>
      <c r="N625">
        <f t="shared" si="20"/>
        <v>0</v>
      </c>
    </row>
    <row r="626" spans="1:14">
      <c r="A626" s="3" t="s">
        <v>1669</v>
      </c>
      <c r="B626">
        <f>IFERROR(VLOOKUP(A626,管理亚马逊库存!A:K,11,0),"")</f>
        <v>0</v>
      </c>
      <c r="C626">
        <f>IFERROR(VLOOKUP(A626,管理亚马逊库存!A:L,12,0),"")</f>
        <v>0</v>
      </c>
      <c r="D626">
        <f>IFERROR(VLOOKUP(A626,管理亚马逊库存!A:Q,17,0),"")</f>
        <v>0</v>
      </c>
      <c r="E626">
        <f>IFERROR(VLOOKUP(A626,管理亚马逊库存!A:R,18,0),"")</f>
        <v>0</v>
      </c>
      <c r="F626">
        <f t="shared" si="19"/>
        <v>0</v>
      </c>
      <c r="G626">
        <f>IFERROR(VLOOKUP(A626,预留库存!A:G,7,0),0)</f>
        <v>0</v>
      </c>
      <c r="H626">
        <f>IFERROR(VLOOKUP(A626,预留库存!A:H,8,0),0)</f>
        <v>0</v>
      </c>
      <c r="I626">
        <f>IFERROR(VLOOKUP(A626,预留库存!A:F,6,0),0)</f>
        <v>0</v>
      </c>
      <c r="J626">
        <f>IFERROR(VLOOKUP(A626,库龄!B:K,9,0),0)</f>
        <v>0</v>
      </c>
      <c r="K626">
        <f>IFERROR(VLOOKUP(A626,库龄!B:L,10,0),0)</f>
        <v>0</v>
      </c>
      <c r="L626">
        <f>IFERROR(VLOOKUP(A626,库龄!B:M,11,0),0)</f>
        <v>0</v>
      </c>
      <c r="M626">
        <f>IFERROR(VLOOKUP(A626,库龄!B:N,12,0),0)</f>
        <v>0</v>
      </c>
      <c r="N626">
        <f t="shared" si="20"/>
        <v>0</v>
      </c>
    </row>
    <row r="627" spans="1:14">
      <c r="A627" s="3" t="s">
        <v>1671</v>
      </c>
      <c r="B627">
        <f>IFERROR(VLOOKUP(A627,管理亚马逊库存!A:K,11,0),"")</f>
        <v>0</v>
      </c>
      <c r="C627">
        <f>IFERROR(VLOOKUP(A627,管理亚马逊库存!A:L,12,0),"")</f>
        <v>0</v>
      </c>
      <c r="D627">
        <f>IFERROR(VLOOKUP(A627,管理亚马逊库存!A:Q,17,0),"")</f>
        <v>0</v>
      </c>
      <c r="E627">
        <f>IFERROR(VLOOKUP(A627,管理亚马逊库存!A:R,18,0),"")</f>
        <v>0</v>
      </c>
      <c r="F627">
        <f t="shared" si="19"/>
        <v>0</v>
      </c>
      <c r="G627" t="str">
        <f>IFERROR(VLOOKUP(A627,预留库存!A:G,7,0),0)</f>
        <v>No</v>
      </c>
      <c r="H627">
        <f>IFERROR(VLOOKUP(A627,预留库存!A:H,8,0),0)</f>
        <v>0</v>
      </c>
      <c r="I627">
        <f>IFERROR(VLOOKUP(A627,预留库存!A:F,6,0),0)</f>
        <v>22</v>
      </c>
      <c r="J627">
        <f>IFERROR(VLOOKUP(A627,库龄!B:K,9,0),0)</f>
        <v>0</v>
      </c>
      <c r="K627">
        <f>IFERROR(VLOOKUP(A627,库龄!B:L,10,0),0)</f>
        <v>0</v>
      </c>
      <c r="L627">
        <f>IFERROR(VLOOKUP(A627,库龄!B:M,11,0),0)</f>
        <v>0</v>
      </c>
      <c r="M627">
        <f>IFERROR(VLOOKUP(A627,库龄!B:N,12,0),0)</f>
        <v>0</v>
      </c>
      <c r="N627">
        <f t="shared" si="20"/>
        <v>0</v>
      </c>
    </row>
    <row r="628" spans="1:14">
      <c r="A628" s="3" t="s">
        <v>1674</v>
      </c>
      <c r="B628">
        <f>IFERROR(VLOOKUP(A628,管理亚马逊库存!A:K,11,0),"")</f>
        <v>47</v>
      </c>
      <c r="C628">
        <f>IFERROR(VLOOKUP(A628,管理亚马逊库存!A:L,12,0),"")</f>
        <v>0</v>
      </c>
      <c r="D628">
        <f>IFERROR(VLOOKUP(A628,管理亚马逊库存!A:Q,17,0),"")</f>
        <v>0</v>
      </c>
      <c r="E628">
        <f>IFERROR(VLOOKUP(A628,管理亚马逊库存!A:R,18,0),"")</f>
        <v>0</v>
      </c>
      <c r="F628">
        <f t="shared" si="19"/>
        <v>0</v>
      </c>
      <c r="G628" t="str">
        <f>IFERROR(VLOOKUP(A628,预留库存!A:G,7,0),0)</f>
        <v>No</v>
      </c>
      <c r="H628">
        <f>IFERROR(VLOOKUP(A628,预留库存!A:H,8,0),0)</f>
        <v>0</v>
      </c>
      <c r="I628">
        <f>IFERROR(VLOOKUP(A628,预留库存!A:F,6,0),0)</f>
        <v>17.98</v>
      </c>
      <c r="J628">
        <f>IFERROR(VLOOKUP(A628,库龄!B:K,9,0),0)</f>
        <v>2</v>
      </c>
      <c r="K628">
        <f>IFERROR(VLOOKUP(A628,库龄!B:L,10,0),0)</f>
        <v>41</v>
      </c>
      <c r="L628">
        <f>IFERROR(VLOOKUP(A628,库龄!B:M,11,0),0)</f>
        <v>4</v>
      </c>
      <c r="M628">
        <f>IFERROR(VLOOKUP(A628,库龄!B:N,12,0),0)</f>
        <v>0</v>
      </c>
      <c r="N628">
        <f t="shared" si="20"/>
        <v>47</v>
      </c>
    </row>
    <row r="629" spans="1:14">
      <c r="A629" s="3" t="s">
        <v>1677</v>
      </c>
      <c r="B629">
        <f>IFERROR(VLOOKUP(A629,管理亚马逊库存!A:K,11,0),"")</f>
        <v>19</v>
      </c>
      <c r="C629">
        <f>IFERROR(VLOOKUP(A629,管理亚马逊库存!A:L,12,0),"")</f>
        <v>0</v>
      </c>
      <c r="D629">
        <f>IFERROR(VLOOKUP(A629,管理亚马逊库存!A:Q,17,0),"")</f>
        <v>0</v>
      </c>
      <c r="E629">
        <f>IFERROR(VLOOKUP(A629,管理亚马逊库存!A:R,18,0),"")</f>
        <v>0</v>
      </c>
      <c r="F629">
        <f t="shared" si="19"/>
        <v>0</v>
      </c>
      <c r="G629">
        <f>IFERROR(VLOOKUP(A629,预留库存!A:G,7,0),0)</f>
        <v>0</v>
      </c>
      <c r="H629">
        <f>IFERROR(VLOOKUP(A629,预留库存!A:H,8,0),0)</f>
        <v>0</v>
      </c>
      <c r="I629">
        <f>IFERROR(VLOOKUP(A629,预留库存!A:F,6,0),0)</f>
        <v>0</v>
      </c>
      <c r="J629">
        <f>IFERROR(VLOOKUP(A629,库龄!B:K,9,0),0)</f>
        <v>2</v>
      </c>
      <c r="K629">
        <f>IFERROR(VLOOKUP(A629,库龄!B:L,10,0),0)</f>
        <v>6</v>
      </c>
      <c r="L629">
        <f>IFERROR(VLOOKUP(A629,库龄!B:M,11,0),0)</f>
        <v>11</v>
      </c>
      <c r="M629">
        <f>IFERROR(VLOOKUP(A629,库龄!B:N,12,0),0)</f>
        <v>0</v>
      </c>
      <c r="N629">
        <f t="shared" si="20"/>
        <v>19</v>
      </c>
    </row>
    <row r="630" spans="1:14">
      <c r="A630" s="3" t="s">
        <v>1679</v>
      </c>
      <c r="B630">
        <f>IFERROR(VLOOKUP(A630,管理亚马逊库存!A:K,11,0),"")</f>
        <v>0</v>
      </c>
      <c r="C630">
        <f>IFERROR(VLOOKUP(A630,管理亚马逊库存!A:L,12,0),"")</f>
        <v>0</v>
      </c>
      <c r="D630">
        <f>IFERROR(VLOOKUP(A630,管理亚马逊库存!A:Q,17,0),"")</f>
        <v>0</v>
      </c>
      <c r="E630">
        <f>IFERROR(VLOOKUP(A630,管理亚马逊库存!A:R,18,0),"")</f>
        <v>0</v>
      </c>
      <c r="F630">
        <f t="shared" si="19"/>
        <v>0</v>
      </c>
      <c r="G630" t="str">
        <f>IFERROR(VLOOKUP(A630,预留库存!A:G,7,0),0)</f>
        <v>No</v>
      </c>
      <c r="H630">
        <f>IFERROR(VLOOKUP(A630,预留库存!A:H,8,0),0)</f>
        <v>0</v>
      </c>
      <c r="I630">
        <f>IFERROR(VLOOKUP(A630,预留库存!A:F,6,0),0)</f>
        <v>22.98</v>
      </c>
      <c r="J630">
        <f>IFERROR(VLOOKUP(A630,库龄!B:K,9,0),0)</f>
        <v>0</v>
      </c>
      <c r="K630">
        <f>IFERROR(VLOOKUP(A630,库龄!B:L,10,0),0)</f>
        <v>0</v>
      </c>
      <c r="L630">
        <f>IFERROR(VLOOKUP(A630,库龄!B:M,11,0),0)</f>
        <v>0</v>
      </c>
      <c r="M630">
        <f>IFERROR(VLOOKUP(A630,库龄!B:N,12,0),0)</f>
        <v>0</v>
      </c>
      <c r="N630">
        <f t="shared" si="20"/>
        <v>0</v>
      </c>
    </row>
    <row r="631" spans="1:14">
      <c r="A631" s="3" t="s">
        <v>1682</v>
      </c>
      <c r="B631">
        <f>IFERROR(VLOOKUP(A631,管理亚马逊库存!A:K,11,0),"")</f>
        <v>0</v>
      </c>
      <c r="C631">
        <f>IFERROR(VLOOKUP(A631,管理亚马逊库存!A:L,12,0),"")</f>
        <v>0</v>
      </c>
      <c r="D631">
        <f>IFERROR(VLOOKUP(A631,管理亚马逊库存!A:Q,17,0),"")</f>
        <v>0</v>
      </c>
      <c r="E631">
        <f>IFERROR(VLOOKUP(A631,管理亚马逊库存!A:R,18,0),"")</f>
        <v>0</v>
      </c>
      <c r="F631">
        <f t="shared" si="19"/>
        <v>0</v>
      </c>
      <c r="G631" t="str">
        <f>IFERROR(VLOOKUP(A631,预留库存!A:G,7,0),0)</f>
        <v>No</v>
      </c>
      <c r="H631">
        <f>IFERROR(VLOOKUP(A631,预留库存!A:H,8,0),0)</f>
        <v>0</v>
      </c>
      <c r="I631">
        <f>IFERROR(VLOOKUP(A631,预留库存!A:F,6,0),0)</f>
        <v>18.98</v>
      </c>
      <c r="J631">
        <f>IFERROR(VLOOKUP(A631,库龄!B:K,9,0),0)</f>
        <v>0</v>
      </c>
      <c r="K631">
        <f>IFERROR(VLOOKUP(A631,库龄!B:L,10,0),0)</f>
        <v>0</v>
      </c>
      <c r="L631">
        <f>IFERROR(VLOOKUP(A631,库龄!B:M,11,0),0)</f>
        <v>0</v>
      </c>
      <c r="M631">
        <f>IFERROR(VLOOKUP(A631,库龄!B:N,12,0),0)</f>
        <v>0</v>
      </c>
      <c r="N631">
        <f t="shared" si="20"/>
        <v>0</v>
      </c>
    </row>
    <row r="632" spans="1:14">
      <c r="A632" s="3" t="s">
        <v>1685</v>
      </c>
      <c r="B632">
        <f>IFERROR(VLOOKUP(A632,管理亚马逊库存!A:K,11,0),"")</f>
        <v>2</v>
      </c>
      <c r="C632">
        <f>IFERROR(VLOOKUP(A632,管理亚马逊库存!A:L,12,0),"")</f>
        <v>0</v>
      </c>
      <c r="D632">
        <f>IFERROR(VLOOKUP(A632,管理亚马逊库存!A:Q,17,0),"")</f>
        <v>0</v>
      </c>
      <c r="E632">
        <f>IFERROR(VLOOKUP(A632,管理亚马逊库存!A:R,18,0),"")</f>
        <v>0</v>
      </c>
      <c r="F632">
        <f t="shared" si="19"/>
        <v>0</v>
      </c>
      <c r="G632" t="str">
        <f>IFERROR(VLOOKUP(A632,预留库存!A:G,7,0),0)</f>
        <v>No</v>
      </c>
      <c r="H632">
        <f>IFERROR(VLOOKUP(A632,预留库存!A:H,8,0),0)</f>
        <v>0</v>
      </c>
      <c r="I632">
        <f>IFERROR(VLOOKUP(A632,预留库存!A:F,6,0),0)</f>
        <v>39.98</v>
      </c>
      <c r="J632">
        <f>IFERROR(VLOOKUP(A632,库龄!B:K,9,0),0)</f>
        <v>2</v>
      </c>
      <c r="K632">
        <f>IFERROR(VLOOKUP(A632,库龄!B:L,10,0),0)</f>
        <v>0</v>
      </c>
      <c r="L632">
        <f>IFERROR(VLOOKUP(A632,库龄!B:M,11,0),0)</f>
        <v>0</v>
      </c>
      <c r="M632">
        <f>IFERROR(VLOOKUP(A632,库龄!B:N,12,0),0)</f>
        <v>0</v>
      </c>
      <c r="N632">
        <f t="shared" si="20"/>
        <v>2</v>
      </c>
    </row>
    <row r="633" spans="1:14">
      <c r="A633" s="3" t="s">
        <v>1688</v>
      </c>
      <c r="B633">
        <f>IFERROR(VLOOKUP(A633,管理亚马逊库存!A:K,11,0),"")</f>
        <v>0</v>
      </c>
      <c r="C633">
        <f>IFERROR(VLOOKUP(A633,管理亚马逊库存!A:L,12,0),"")</f>
        <v>0</v>
      </c>
      <c r="D633">
        <f>IFERROR(VLOOKUP(A633,管理亚马逊库存!A:Q,17,0),"")</f>
        <v>0</v>
      </c>
      <c r="E633">
        <f>IFERROR(VLOOKUP(A633,管理亚马逊库存!A:R,18,0),"")</f>
        <v>0</v>
      </c>
      <c r="F633">
        <f t="shared" si="19"/>
        <v>0</v>
      </c>
      <c r="G633" t="str">
        <f>IFERROR(VLOOKUP(A633,预留库存!A:G,7,0),0)</f>
        <v>No</v>
      </c>
      <c r="H633">
        <f>IFERROR(VLOOKUP(A633,预留库存!A:H,8,0),0)</f>
        <v>0</v>
      </c>
      <c r="I633">
        <f>IFERROR(VLOOKUP(A633,预留库存!A:F,6,0),0)</f>
        <v>21.98</v>
      </c>
      <c r="J633">
        <f>IFERROR(VLOOKUP(A633,库龄!B:K,9,0),0)</f>
        <v>0</v>
      </c>
      <c r="K633">
        <f>IFERROR(VLOOKUP(A633,库龄!B:L,10,0),0)</f>
        <v>0</v>
      </c>
      <c r="L633">
        <f>IFERROR(VLOOKUP(A633,库龄!B:M,11,0),0)</f>
        <v>0</v>
      </c>
      <c r="M633">
        <f>IFERROR(VLOOKUP(A633,库龄!B:N,12,0),0)</f>
        <v>0</v>
      </c>
      <c r="N633">
        <f t="shared" si="20"/>
        <v>0</v>
      </c>
    </row>
    <row r="634" spans="1:14">
      <c r="A634" s="3" t="s">
        <v>1691</v>
      </c>
      <c r="B634">
        <f>IFERROR(VLOOKUP(A634,管理亚马逊库存!A:K,11,0),"")</f>
        <v>1</v>
      </c>
      <c r="C634">
        <f>IFERROR(VLOOKUP(A634,管理亚马逊库存!A:L,12,0),"")</f>
        <v>0</v>
      </c>
      <c r="D634">
        <f>IFERROR(VLOOKUP(A634,管理亚马逊库存!A:Q,17,0),"")</f>
        <v>0</v>
      </c>
      <c r="E634">
        <f>IFERROR(VLOOKUP(A634,管理亚马逊库存!A:R,18,0),"")</f>
        <v>0</v>
      </c>
      <c r="F634">
        <f t="shared" si="19"/>
        <v>0</v>
      </c>
      <c r="G634">
        <f>IFERROR(VLOOKUP(A634,预留库存!A:G,7,0),0)</f>
        <v>0</v>
      </c>
      <c r="H634">
        <f>IFERROR(VLOOKUP(A634,预留库存!A:H,8,0),0)</f>
        <v>0</v>
      </c>
      <c r="I634">
        <f>IFERROR(VLOOKUP(A634,预留库存!A:F,6,0),0)</f>
        <v>0</v>
      </c>
      <c r="J634">
        <f>IFERROR(VLOOKUP(A634,库龄!B:K,9,0),0)</f>
        <v>0</v>
      </c>
      <c r="K634">
        <f>IFERROR(VLOOKUP(A634,库龄!B:L,10,0),0)</f>
        <v>0</v>
      </c>
      <c r="L634">
        <f>IFERROR(VLOOKUP(A634,库龄!B:M,11,0),0)</f>
        <v>0</v>
      </c>
      <c r="M634">
        <f>IFERROR(VLOOKUP(A634,库龄!B:N,12,0),0)</f>
        <v>0</v>
      </c>
      <c r="N634">
        <f t="shared" si="20"/>
        <v>0</v>
      </c>
    </row>
    <row r="635" spans="1:14">
      <c r="A635" s="3" t="s">
        <v>1693</v>
      </c>
      <c r="B635">
        <f>IFERROR(VLOOKUP(A635,管理亚马逊库存!A:K,11,0),"")</f>
        <v>0</v>
      </c>
      <c r="C635">
        <f>IFERROR(VLOOKUP(A635,管理亚马逊库存!A:L,12,0),"")</f>
        <v>0</v>
      </c>
      <c r="D635">
        <f>IFERROR(VLOOKUP(A635,管理亚马逊库存!A:Q,17,0),"")</f>
        <v>0</v>
      </c>
      <c r="E635">
        <f>IFERROR(VLOOKUP(A635,管理亚马逊库存!A:R,18,0),"")</f>
        <v>0</v>
      </c>
      <c r="F635">
        <f t="shared" si="19"/>
        <v>0</v>
      </c>
      <c r="G635" t="str">
        <f>IFERROR(VLOOKUP(A635,预留库存!A:G,7,0),0)</f>
        <v>No</v>
      </c>
      <c r="H635">
        <f>IFERROR(VLOOKUP(A635,预留库存!A:H,8,0),0)</f>
        <v>0</v>
      </c>
      <c r="I635">
        <f>IFERROR(VLOOKUP(A635,预留库存!A:F,6,0),0)</f>
        <v>19.98</v>
      </c>
      <c r="J635">
        <f>IFERROR(VLOOKUP(A635,库龄!B:K,9,0),0)</f>
        <v>0</v>
      </c>
      <c r="K635">
        <f>IFERROR(VLOOKUP(A635,库龄!B:L,10,0),0)</f>
        <v>0</v>
      </c>
      <c r="L635">
        <f>IFERROR(VLOOKUP(A635,库龄!B:M,11,0),0)</f>
        <v>0</v>
      </c>
      <c r="M635">
        <f>IFERROR(VLOOKUP(A635,库龄!B:N,12,0),0)</f>
        <v>0</v>
      </c>
      <c r="N635">
        <f t="shared" si="20"/>
        <v>0</v>
      </c>
    </row>
    <row r="636" spans="1:14">
      <c r="A636" s="3" t="s">
        <v>1696</v>
      </c>
      <c r="B636">
        <f>IFERROR(VLOOKUP(A636,管理亚马逊库存!A:K,11,0),"")</f>
        <v>11</v>
      </c>
      <c r="C636">
        <f>IFERROR(VLOOKUP(A636,管理亚马逊库存!A:L,12,0),"")</f>
        <v>0</v>
      </c>
      <c r="D636">
        <f>IFERROR(VLOOKUP(A636,管理亚马逊库存!A:Q,17,0),"")</f>
        <v>0</v>
      </c>
      <c r="E636">
        <f>IFERROR(VLOOKUP(A636,管理亚马逊库存!A:R,18,0),"")</f>
        <v>0</v>
      </c>
      <c r="F636">
        <f t="shared" si="19"/>
        <v>0</v>
      </c>
      <c r="G636" t="str">
        <f>IFERROR(VLOOKUP(A636,预留库存!A:G,7,0),0)</f>
        <v>No</v>
      </c>
      <c r="H636">
        <f>IFERROR(VLOOKUP(A636,预留库存!A:H,8,0),0)</f>
        <v>0</v>
      </c>
      <c r="I636">
        <f>IFERROR(VLOOKUP(A636,预留库存!A:F,6,0),0)</f>
        <v>19.98</v>
      </c>
      <c r="J636">
        <f>IFERROR(VLOOKUP(A636,库龄!B:K,9,0),0)</f>
        <v>1</v>
      </c>
      <c r="K636">
        <f>IFERROR(VLOOKUP(A636,库龄!B:L,10,0),0)</f>
        <v>6</v>
      </c>
      <c r="L636">
        <f>IFERROR(VLOOKUP(A636,库龄!B:M,11,0),0)</f>
        <v>3</v>
      </c>
      <c r="M636">
        <f>IFERROR(VLOOKUP(A636,库龄!B:N,12,0),0)</f>
        <v>0</v>
      </c>
      <c r="N636">
        <f t="shared" si="20"/>
        <v>10</v>
      </c>
    </row>
    <row r="637" spans="1:14">
      <c r="A637" s="3" t="s">
        <v>1699</v>
      </c>
      <c r="B637">
        <f>IFERROR(VLOOKUP(A637,管理亚马逊库存!A:K,11,0),"")</f>
        <v>12</v>
      </c>
      <c r="C637">
        <f>IFERROR(VLOOKUP(A637,管理亚马逊库存!A:L,12,0),"")</f>
        <v>0</v>
      </c>
      <c r="D637">
        <f>IFERROR(VLOOKUP(A637,管理亚马逊库存!A:Q,17,0),"")</f>
        <v>0</v>
      </c>
      <c r="E637">
        <f>IFERROR(VLOOKUP(A637,管理亚马逊库存!A:R,18,0),"")</f>
        <v>0</v>
      </c>
      <c r="F637">
        <f t="shared" si="19"/>
        <v>0</v>
      </c>
      <c r="G637" t="str">
        <f>IFERROR(VLOOKUP(A637,预留库存!A:G,7,0),0)</f>
        <v>No</v>
      </c>
      <c r="H637">
        <f>IFERROR(VLOOKUP(A637,预留库存!A:H,8,0),0)</f>
        <v>0</v>
      </c>
      <c r="I637">
        <f>IFERROR(VLOOKUP(A637,预留库存!A:F,6,0),0)</f>
        <v>19.98</v>
      </c>
      <c r="J637">
        <f>IFERROR(VLOOKUP(A637,库龄!B:K,9,0),0)</f>
        <v>1</v>
      </c>
      <c r="K637">
        <f>IFERROR(VLOOKUP(A637,库龄!B:L,10,0),0)</f>
        <v>10</v>
      </c>
      <c r="L637">
        <f>IFERROR(VLOOKUP(A637,库龄!B:M,11,0),0)</f>
        <v>0</v>
      </c>
      <c r="M637">
        <f>IFERROR(VLOOKUP(A637,库龄!B:N,12,0),0)</f>
        <v>0</v>
      </c>
      <c r="N637">
        <f t="shared" si="20"/>
        <v>11</v>
      </c>
    </row>
    <row r="638" spans="1:14">
      <c r="A638" s="3" t="s">
        <v>1702</v>
      </c>
      <c r="B638">
        <f>IFERROR(VLOOKUP(A638,管理亚马逊库存!A:K,11,0),"")</f>
        <v>64</v>
      </c>
      <c r="C638">
        <f>IFERROR(VLOOKUP(A638,管理亚马逊库存!A:L,12,0),"")</f>
        <v>0</v>
      </c>
      <c r="D638">
        <f>IFERROR(VLOOKUP(A638,管理亚马逊库存!A:Q,17,0),"")</f>
        <v>0</v>
      </c>
      <c r="E638">
        <f>IFERROR(VLOOKUP(A638,管理亚马逊库存!A:R,18,0),"")</f>
        <v>0</v>
      </c>
      <c r="F638">
        <f t="shared" si="19"/>
        <v>0</v>
      </c>
      <c r="G638" t="str">
        <f>IFERROR(VLOOKUP(A638,预留库存!A:G,7,0),0)</f>
        <v>No</v>
      </c>
      <c r="H638">
        <f>IFERROR(VLOOKUP(A638,预留库存!A:H,8,0),0)</f>
        <v>0</v>
      </c>
      <c r="I638">
        <f>IFERROR(VLOOKUP(A638,预留库存!A:F,6,0),0)</f>
        <v>19.98</v>
      </c>
      <c r="J638">
        <f>IFERROR(VLOOKUP(A638,库龄!B:K,9,0),0)</f>
        <v>1</v>
      </c>
      <c r="K638">
        <f>IFERROR(VLOOKUP(A638,库龄!B:L,10,0),0)</f>
        <v>12</v>
      </c>
      <c r="L638">
        <f>IFERROR(VLOOKUP(A638,库龄!B:M,11,0),0)</f>
        <v>47</v>
      </c>
      <c r="M638">
        <f>IFERROR(VLOOKUP(A638,库龄!B:N,12,0),0)</f>
        <v>0</v>
      </c>
      <c r="N638">
        <f t="shared" si="20"/>
        <v>60</v>
      </c>
    </row>
    <row r="639" spans="1:14">
      <c r="A639" s="3" t="s">
        <v>1705</v>
      </c>
      <c r="B639">
        <f>IFERROR(VLOOKUP(A639,管理亚马逊库存!A:K,11,0),"")</f>
        <v>23</v>
      </c>
      <c r="C639">
        <f>IFERROR(VLOOKUP(A639,管理亚马逊库存!A:L,12,0),"")</f>
        <v>0</v>
      </c>
      <c r="D639">
        <f>IFERROR(VLOOKUP(A639,管理亚马逊库存!A:Q,17,0),"")</f>
        <v>0</v>
      </c>
      <c r="E639">
        <f>IFERROR(VLOOKUP(A639,管理亚马逊库存!A:R,18,0),"")</f>
        <v>0</v>
      </c>
      <c r="F639">
        <f t="shared" si="19"/>
        <v>0</v>
      </c>
      <c r="G639" t="str">
        <f>IFERROR(VLOOKUP(A639,预留库存!A:G,7,0),0)</f>
        <v>No</v>
      </c>
      <c r="H639">
        <f>IFERROR(VLOOKUP(A639,预留库存!A:H,8,0),0)</f>
        <v>0</v>
      </c>
      <c r="I639">
        <f>IFERROR(VLOOKUP(A639,预留库存!A:F,6,0),0)</f>
        <v>19.98</v>
      </c>
      <c r="J639">
        <f>IFERROR(VLOOKUP(A639,库龄!B:K,9,0),0)</f>
        <v>0</v>
      </c>
      <c r="K639">
        <f>IFERROR(VLOOKUP(A639,库龄!B:L,10,0),0)</f>
        <v>0</v>
      </c>
      <c r="L639">
        <f>IFERROR(VLOOKUP(A639,库龄!B:M,11,0),0)</f>
        <v>23</v>
      </c>
      <c r="M639">
        <f>IFERROR(VLOOKUP(A639,库龄!B:N,12,0),0)</f>
        <v>0</v>
      </c>
      <c r="N639">
        <f t="shared" si="20"/>
        <v>23</v>
      </c>
    </row>
    <row r="640" spans="1:14">
      <c r="A640" s="3" t="s">
        <v>1708</v>
      </c>
      <c r="B640">
        <f>IFERROR(VLOOKUP(A640,管理亚马逊库存!A:K,11,0),"")</f>
        <v>0</v>
      </c>
      <c r="C640">
        <f>IFERROR(VLOOKUP(A640,管理亚马逊库存!A:L,12,0),"")</f>
        <v>0</v>
      </c>
      <c r="D640">
        <f>IFERROR(VLOOKUP(A640,管理亚马逊库存!A:Q,17,0),"")</f>
        <v>0</v>
      </c>
      <c r="E640">
        <f>IFERROR(VLOOKUP(A640,管理亚马逊库存!A:R,18,0),"")</f>
        <v>0</v>
      </c>
      <c r="F640">
        <f t="shared" si="19"/>
        <v>0</v>
      </c>
      <c r="G640">
        <f>IFERROR(VLOOKUP(A640,预留库存!A:G,7,0),0)</f>
        <v>0</v>
      </c>
      <c r="H640">
        <f>IFERROR(VLOOKUP(A640,预留库存!A:H,8,0),0)</f>
        <v>0</v>
      </c>
      <c r="I640">
        <f>IFERROR(VLOOKUP(A640,预留库存!A:F,6,0),0)</f>
        <v>0</v>
      </c>
      <c r="J640">
        <f>IFERROR(VLOOKUP(A640,库龄!B:K,9,0),0)</f>
        <v>0</v>
      </c>
      <c r="K640">
        <f>IFERROR(VLOOKUP(A640,库龄!B:L,10,0),0)</f>
        <v>0</v>
      </c>
      <c r="L640">
        <f>IFERROR(VLOOKUP(A640,库龄!B:M,11,0),0)</f>
        <v>0</v>
      </c>
      <c r="M640">
        <f>IFERROR(VLOOKUP(A640,库龄!B:N,12,0),0)</f>
        <v>0</v>
      </c>
      <c r="N640">
        <f t="shared" si="20"/>
        <v>0</v>
      </c>
    </row>
    <row r="641" spans="1:14">
      <c r="A641" s="3" t="s">
        <v>1710</v>
      </c>
      <c r="B641">
        <f>IFERROR(VLOOKUP(A641,管理亚马逊库存!A:K,11,0),"")</f>
        <v>0</v>
      </c>
      <c r="C641">
        <f>IFERROR(VLOOKUP(A641,管理亚马逊库存!A:L,12,0),"")</f>
        <v>0</v>
      </c>
      <c r="D641">
        <f>IFERROR(VLOOKUP(A641,管理亚马逊库存!A:Q,17,0),"")</f>
        <v>0</v>
      </c>
      <c r="E641">
        <f>IFERROR(VLOOKUP(A641,管理亚马逊库存!A:R,18,0),"")</f>
        <v>0</v>
      </c>
      <c r="F641">
        <f t="shared" si="19"/>
        <v>0</v>
      </c>
      <c r="G641" t="str">
        <f>IFERROR(VLOOKUP(A641,预留库存!A:G,7,0),0)</f>
        <v>No</v>
      </c>
      <c r="H641">
        <f>IFERROR(VLOOKUP(A641,预留库存!A:H,8,0),0)</f>
        <v>0</v>
      </c>
      <c r="I641">
        <f>IFERROR(VLOOKUP(A641,预留库存!A:F,6,0),0)</f>
        <v>39.98</v>
      </c>
      <c r="J641">
        <f>IFERROR(VLOOKUP(A641,库龄!B:K,9,0),0)</f>
        <v>0</v>
      </c>
      <c r="K641">
        <f>IFERROR(VLOOKUP(A641,库龄!B:L,10,0),0)</f>
        <v>0</v>
      </c>
      <c r="L641">
        <f>IFERROR(VLOOKUP(A641,库龄!B:M,11,0),0)</f>
        <v>0</v>
      </c>
      <c r="M641">
        <f>IFERROR(VLOOKUP(A641,库龄!B:N,12,0),0)</f>
        <v>0</v>
      </c>
      <c r="N641">
        <f t="shared" si="20"/>
        <v>0</v>
      </c>
    </row>
    <row r="642" spans="1:14">
      <c r="A642" s="3" t="s">
        <v>1713</v>
      </c>
      <c r="B642">
        <f>IFERROR(VLOOKUP(A642,管理亚马逊库存!A:K,11,0),"")</f>
        <v>0</v>
      </c>
      <c r="C642">
        <f>IFERROR(VLOOKUP(A642,管理亚马逊库存!A:L,12,0),"")</f>
        <v>0</v>
      </c>
      <c r="D642">
        <f>IFERROR(VLOOKUP(A642,管理亚马逊库存!A:Q,17,0),"")</f>
        <v>0</v>
      </c>
      <c r="E642">
        <f>IFERROR(VLOOKUP(A642,管理亚马逊库存!A:R,18,0),"")</f>
        <v>0</v>
      </c>
      <c r="F642">
        <f t="shared" si="19"/>
        <v>0</v>
      </c>
      <c r="G642">
        <f>IFERROR(VLOOKUP(A642,预留库存!A:G,7,0),0)</f>
        <v>0</v>
      </c>
      <c r="H642">
        <f>IFERROR(VLOOKUP(A642,预留库存!A:H,8,0),0)</f>
        <v>0</v>
      </c>
      <c r="I642">
        <f>IFERROR(VLOOKUP(A642,预留库存!A:F,6,0),0)</f>
        <v>0</v>
      </c>
      <c r="J642">
        <f>IFERROR(VLOOKUP(A642,库龄!B:K,9,0),0)</f>
        <v>0</v>
      </c>
      <c r="K642">
        <f>IFERROR(VLOOKUP(A642,库龄!B:L,10,0),0)</f>
        <v>0</v>
      </c>
      <c r="L642">
        <f>IFERROR(VLOOKUP(A642,库龄!B:M,11,0),0)</f>
        <v>0</v>
      </c>
      <c r="M642">
        <f>IFERROR(VLOOKUP(A642,库龄!B:N,12,0),0)</f>
        <v>0</v>
      </c>
      <c r="N642">
        <f t="shared" si="20"/>
        <v>0</v>
      </c>
    </row>
    <row r="643" spans="1:14">
      <c r="A643" s="3" t="s">
        <v>1715</v>
      </c>
      <c r="B643">
        <f>IFERROR(VLOOKUP(A643,管理亚马逊库存!A:K,11,0),"")</f>
        <v>0</v>
      </c>
      <c r="C643">
        <f>IFERROR(VLOOKUP(A643,管理亚马逊库存!A:L,12,0),"")</f>
        <v>0</v>
      </c>
      <c r="D643">
        <f>IFERROR(VLOOKUP(A643,管理亚马逊库存!A:Q,17,0),"")</f>
        <v>0</v>
      </c>
      <c r="E643">
        <f>IFERROR(VLOOKUP(A643,管理亚马逊库存!A:R,18,0),"")</f>
        <v>0</v>
      </c>
      <c r="F643">
        <f t="shared" ref="F643:F706" si="21">SUM(D643:E643)</f>
        <v>0</v>
      </c>
      <c r="G643">
        <f>IFERROR(VLOOKUP(A643,预留库存!A:G,7,0),0)</f>
        <v>0</v>
      </c>
      <c r="H643">
        <f>IFERROR(VLOOKUP(A643,预留库存!A:H,8,0),0)</f>
        <v>0</v>
      </c>
      <c r="I643">
        <f>IFERROR(VLOOKUP(A643,预留库存!A:F,6,0),0)</f>
        <v>0</v>
      </c>
      <c r="J643">
        <f>IFERROR(VLOOKUP(A643,库龄!B:K,9,0),0)</f>
        <v>0</v>
      </c>
      <c r="K643">
        <f>IFERROR(VLOOKUP(A643,库龄!B:L,10,0),0)</f>
        <v>0</v>
      </c>
      <c r="L643">
        <f>IFERROR(VLOOKUP(A643,库龄!B:M,11,0),0)</f>
        <v>0</v>
      </c>
      <c r="M643">
        <f>IFERROR(VLOOKUP(A643,库龄!B:N,12,0),0)</f>
        <v>0</v>
      </c>
      <c r="N643">
        <f t="shared" ref="N643:N706" si="22">SUM(J643:M643)</f>
        <v>0</v>
      </c>
    </row>
    <row r="644" spans="1:14">
      <c r="A644" s="3" t="s">
        <v>1717</v>
      </c>
      <c r="B644">
        <f>IFERROR(VLOOKUP(A644,管理亚马逊库存!A:K,11,0),"")</f>
        <v>0</v>
      </c>
      <c r="C644">
        <f>IFERROR(VLOOKUP(A644,管理亚马逊库存!A:L,12,0),"")</f>
        <v>0</v>
      </c>
      <c r="D644">
        <f>IFERROR(VLOOKUP(A644,管理亚马逊库存!A:Q,17,0),"")</f>
        <v>0</v>
      </c>
      <c r="E644">
        <f>IFERROR(VLOOKUP(A644,管理亚马逊库存!A:R,18,0),"")</f>
        <v>0</v>
      </c>
      <c r="F644">
        <f t="shared" si="21"/>
        <v>0</v>
      </c>
      <c r="G644" t="str">
        <f>IFERROR(VLOOKUP(A644,预留库存!A:G,7,0),0)</f>
        <v>No</v>
      </c>
      <c r="H644">
        <f>IFERROR(VLOOKUP(A644,预留库存!A:H,8,0),0)</f>
        <v>0</v>
      </c>
      <c r="I644">
        <f>IFERROR(VLOOKUP(A644,预留库存!A:F,6,0),0)</f>
        <v>39.98</v>
      </c>
      <c r="J644">
        <f>IFERROR(VLOOKUP(A644,库龄!B:K,9,0),0)</f>
        <v>0</v>
      </c>
      <c r="K644">
        <f>IFERROR(VLOOKUP(A644,库龄!B:L,10,0),0)</f>
        <v>0</v>
      </c>
      <c r="L644">
        <f>IFERROR(VLOOKUP(A644,库龄!B:M,11,0),0)</f>
        <v>0</v>
      </c>
      <c r="M644">
        <f>IFERROR(VLOOKUP(A644,库龄!B:N,12,0),0)</f>
        <v>0</v>
      </c>
      <c r="N644">
        <f t="shared" si="22"/>
        <v>0</v>
      </c>
    </row>
    <row r="645" spans="1:14">
      <c r="A645" s="3" t="s">
        <v>1720</v>
      </c>
      <c r="B645">
        <f>IFERROR(VLOOKUP(A645,管理亚马逊库存!A:K,11,0),"")</f>
        <v>0</v>
      </c>
      <c r="C645">
        <f>IFERROR(VLOOKUP(A645,管理亚马逊库存!A:L,12,0),"")</f>
        <v>0</v>
      </c>
      <c r="D645">
        <f>IFERROR(VLOOKUP(A645,管理亚马逊库存!A:Q,17,0),"")</f>
        <v>0</v>
      </c>
      <c r="E645">
        <f>IFERROR(VLOOKUP(A645,管理亚马逊库存!A:R,18,0),"")</f>
        <v>0</v>
      </c>
      <c r="F645">
        <f t="shared" si="21"/>
        <v>0</v>
      </c>
      <c r="G645" t="str">
        <f>IFERROR(VLOOKUP(A645,预留库存!A:G,7,0),0)</f>
        <v>No</v>
      </c>
      <c r="H645">
        <f>IFERROR(VLOOKUP(A645,预留库存!A:H,8,0),0)</f>
        <v>0</v>
      </c>
      <c r="I645">
        <f>IFERROR(VLOOKUP(A645,预留库存!A:F,6,0),0)</f>
        <v>39.98</v>
      </c>
      <c r="J645">
        <f>IFERROR(VLOOKUP(A645,库龄!B:K,9,0),0)</f>
        <v>0</v>
      </c>
      <c r="K645">
        <f>IFERROR(VLOOKUP(A645,库龄!B:L,10,0),0)</f>
        <v>0</v>
      </c>
      <c r="L645">
        <f>IFERROR(VLOOKUP(A645,库龄!B:M,11,0),0)</f>
        <v>0</v>
      </c>
      <c r="M645">
        <f>IFERROR(VLOOKUP(A645,库龄!B:N,12,0),0)</f>
        <v>0</v>
      </c>
      <c r="N645">
        <f t="shared" si="22"/>
        <v>0</v>
      </c>
    </row>
    <row r="646" spans="1:14">
      <c r="A646" s="3" t="s">
        <v>1723</v>
      </c>
      <c r="B646">
        <f>IFERROR(VLOOKUP(A646,管理亚马逊库存!A:K,11,0),"")</f>
        <v>0</v>
      </c>
      <c r="C646">
        <f>IFERROR(VLOOKUP(A646,管理亚马逊库存!A:L,12,0),"")</f>
        <v>0</v>
      </c>
      <c r="D646">
        <f>IFERROR(VLOOKUP(A646,管理亚马逊库存!A:Q,17,0),"")</f>
        <v>0</v>
      </c>
      <c r="E646">
        <f>IFERROR(VLOOKUP(A646,管理亚马逊库存!A:R,18,0),"")</f>
        <v>0</v>
      </c>
      <c r="F646">
        <f t="shared" si="21"/>
        <v>0</v>
      </c>
      <c r="G646" t="str">
        <f>IFERROR(VLOOKUP(A646,预留库存!A:G,7,0),0)</f>
        <v>No</v>
      </c>
      <c r="H646">
        <f>IFERROR(VLOOKUP(A646,预留库存!A:H,8,0),0)</f>
        <v>0</v>
      </c>
      <c r="I646">
        <f>IFERROR(VLOOKUP(A646,预留库存!A:F,6,0),0)</f>
        <v>24.98</v>
      </c>
      <c r="J646">
        <f>IFERROR(VLOOKUP(A646,库龄!B:K,9,0),0)</f>
        <v>0</v>
      </c>
      <c r="K646">
        <f>IFERROR(VLOOKUP(A646,库龄!B:L,10,0),0)</f>
        <v>0</v>
      </c>
      <c r="L646">
        <f>IFERROR(VLOOKUP(A646,库龄!B:M,11,0),0)</f>
        <v>0</v>
      </c>
      <c r="M646">
        <f>IFERROR(VLOOKUP(A646,库龄!B:N,12,0),0)</f>
        <v>0</v>
      </c>
      <c r="N646">
        <f t="shared" si="22"/>
        <v>0</v>
      </c>
    </row>
    <row r="647" spans="1:14">
      <c r="A647" s="3" t="s">
        <v>1726</v>
      </c>
      <c r="B647">
        <f>IFERROR(VLOOKUP(A647,管理亚马逊库存!A:K,11,0),"")</f>
        <v>0</v>
      </c>
      <c r="C647">
        <f>IFERROR(VLOOKUP(A647,管理亚马逊库存!A:L,12,0),"")</f>
        <v>0</v>
      </c>
      <c r="D647">
        <f>IFERROR(VLOOKUP(A647,管理亚马逊库存!A:Q,17,0),"")</f>
        <v>0</v>
      </c>
      <c r="E647">
        <f>IFERROR(VLOOKUP(A647,管理亚马逊库存!A:R,18,0),"")</f>
        <v>0</v>
      </c>
      <c r="F647">
        <f t="shared" si="21"/>
        <v>0</v>
      </c>
      <c r="G647">
        <f>IFERROR(VLOOKUP(A647,预留库存!A:G,7,0),0)</f>
        <v>0</v>
      </c>
      <c r="H647">
        <f>IFERROR(VLOOKUP(A647,预留库存!A:H,8,0),0)</f>
        <v>0</v>
      </c>
      <c r="I647">
        <f>IFERROR(VLOOKUP(A647,预留库存!A:F,6,0),0)</f>
        <v>0</v>
      </c>
      <c r="J647">
        <f>IFERROR(VLOOKUP(A647,库龄!B:K,9,0),0)</f>
        <v>0</v>
      </c>
      <c r="K647">
        <f>IFERROR(VLOOKUP(A647,库龄!B:L,10,0),0)</f>
        <v>0</v>
      </c>
      <c r="L647">
        <f>IFERROR(VLOOKUP(A647,库龄!B:M,11,0),0)</f>
        <v>0</v>
      </c>
      <c r="M647">
        <f>IFERROR(VLOOKUP(A647,库龄!B:N,12,0),0)</f>
        <v>0</v>
      </c>
      <c r="N647">
        <f t="shared" si="22"/>
        <v>0</v>
      </c>
    </row>
    <row r="648" spans="1:14">
      <c r="A648" s="3" t="s">
        <v>1728</v>
      </c>
      <c r="B648">
        <f>IFERROR(VLOOKUP(A648,管理亚马逊库存!A:K,11,0),"")</f>
        <v>0</v>
      </c>
      <c r="C648">
        <f>IFERROR(VLOOKUP(A648,管理亚马逊库存!A:L,12,0),"")</f>
        <v>0</v>
      </c>
      <c r="D648">
        <f>IFERROR(VLOOKUP(A648,管理亚马逊库存!A:Q,17,0),"")</f>
        <v>0</v>
      </c>
      <c r="E648">
        <f>IFERROR(VLOOKUP(A648,管理亚马逊库存!A:R,18,0),"")</f>
        <v>0</v>
      </c>
      <c r="F648">
        <f t="shared" si="21"/>
        <v>0</v>
      </c>
      <c r="G648" t="str">
        <f>IFERROR(VLOOKUP(A648,预留库存!A:G,7,0),0)</f>
        <v>No</v>
      </c>
      <c r="H648">
        <f>IFERROR(VLOOKUP(A648,预留库存!A:H,8,0),0)</f>
        <v>0</v>
      </c>
      <c r="I648">
        <f>IFERROR(VLOOKUP(A648,预留库存!A:F,6,0),0)</f>
        <v>24.98</v>
      </c>
      <c r="J648">
        <f>IFERROR(VLOOKUP(A648,库龄!B:K,9,0),0)</f>
        <v>0</v>
      </c>
      <c r="K648">
        <f>IFERROR(VLOOKUP(A648,库龄!B:L,10,0),0)</f>
        <v>0</v>
      </c>
      <c r="L648">
        <f>IFERROR(VLOOKUP(A648,库龄!B:M,11,0),0)</f>
        <v>0</v>
      </c>
      <c r="M648">
        <f>IFERROR(VLOOKUP(A648,库龄!B:N,12,0),0)</f>
        <v>0</v>
      </c>
      <c r="N648">
        <f t="shared" si="22"/>
        <v>0</v>
      </c>
    </row>
    <row r="649" spans="1:14">
      <c r="A649" s="3" t="s">
        <v>1731</v>
      </c>
      <c r="B649">
        <f>IFERROR(VLOOKUP(A649,管理亚马逊库存!A:K,11,0),"")</f>
        <v>3</v>
      </c>
      <c r="C649">
        <f>IFERROR(VLOOKUP(A649,管理亚马逊库存!A:L,12,0),"")</f>
        <v>0</v>
      </c>
      <c r="D649">
        <f>IFERROR(VLOOKUP(A649,管理亚马逊库存!A:Q,17,0),"")</f>
        <v>0</v>
      </c>
      <c r="E649">
        <f>IFERROR(VLOOKUP(A649,管理亚马逊库存!A:R,18,0),"")</f>
        <v>0</v>
      </c>
      <c r="F649">
        <f t="shared" si="21"/>
        <v>0</v>
      </c>
      <c r="G649" t="str">
        <f>IFERROR(VLOOKUP(A649,预留库存!A:G,7,0),0)</f>
        <v>No</v>
      </c>
      <c r="H649">
        <f>IFERROR(VLOOKUP(A649,预留库存!A:H,8,0),0)</f>
        <v>0</v>
      </c>
      <c r="I649">
        <f>IFERROR(VLOOKUP(A649,预留库存!A:F,6,0),0)</f>
        <v>39.98</v>
      </c>
      <c r="J649">
        <f>IFERROR(VLOOKUP(A649,库龄!B:K,9,0),0)</f>
        <v>1</v>
      </c>
      <c r="K649">
        <f>IFERROR(VLOOKUP(A649,库龄!B:L,10,0),0)</f>
        <v>2</v>
      </c>
      <c r="L649">
        <f>IFERROR(VLOOKUP(A649,库龄!B:M,11,0),0)</f>
        <v>0</v>
      </c>
      <c r="M649">
        <f>IFERROR(VLOOKUP(A649,库龄!B:N,12,0),0)</f>
        <v>0</v>
      </c>
      <c r="N649">
        <f t="shared" si="22"/>
        <v>3</v>
      </c>
    </row>
    <row r="650" spans="1:14">
      <c r="A650" s="3" t="s">
        <v>1734</v>
      </c>
      <c r="B650">
        <f>IFERROR(VLOOKUP(A650,管理亚马逊库存!A:K,11,0),"")</f>
        <v>8</v>
      </c>
      <c r="C650">
        <f>IFERROR(VLOOKUP(A650,管理亚马逊库存!A:L,12,0),"")</f>
        <v>0</v>
      </c>
      <c r="D650">
        <f>IFERROR(VLOOKUP(A650,管理亚马逊库存!A:Q,17,0),"")</f>
        <v>0</v>
      </c>
      <c r="E650">
        <f>IFERROR(VLOOKUP(A650,管理亚马逊库存!A:R,18,0),"")</f>
        <v>0</v>
      </c>
      <c r="F650">
        <f t="shared" si="21"/>
        <v>0</v>
      </c>
      <c r="G650" t="str">
        <f>IFERROR(VLOOKUP(A650,预留库存!A:G,7,0),0)</f>
        <v>No</v>
      </c>
      <c r="H650">
        <f>IFERROR(VLOOKUP(A650,预留库存!A:H,8,0),0)</f>
        <v>0</v>
      </c>
      <c r="I650">
        <f>IFERROR(VLOOKUP(A650,预留库存!A:F,6,0),0)</f>
        <v>39.98</v>
      </c>
      <c r="J650">
        <f>IFERROR(VLOOKUP(A650,库龄!B:K,9,0),0)</f>
        <v>0</v>
      </c>
      <c r="K650">
        <f>IFERROR(VLOOKUP(A650,库龄!B:L,10,0),0)</f>
        <v>0</v>
      </c>
      <c r="L650">
        <f>IFERROR(VLOOKUP(A650,库龄!B:M,11,0),0)</f>
        <v>8</v>
      </c>
      <c r="M650">
        <f>IFERROR(VLOOKUP(A650,库龄!B:N,12,0),0)</f>
        <v>0</v>
      </c>
      <c r="N650">
        <f t="shared" si="22"/>
        <v>8</v>
      </c>
    </row>
    <row r="651" spans="1:14">
      <c r="A651" s="3" t="s">
        <v>1737</v>
      </c>
      <c r="B651">
        <f>IFERROR(VLOOKUP(A651,管理亚马逊库存!A:K,11,0),"")</f>
        <v>19</v>
      </c>
      <c r="C651">
        <f>IFERROR(VLOOKUP(A651,管理亚马逊库存!A:L,12,0),"")</f>
        <v>0</v>
      </c>
      <c r="D651">
        <f>IFERROR(VLOOKUP(A651,管理亚马逊库存!A:Q,17,0),"")</f>
        <v>0</v>
      </c>
      <c r="E651">
        <f>IFERROR(VLOOKUP(A651,管理亚马逊库存!A:R,18,0),"")</f>
        <v>0</v>
      </c>
      <c r="F651">
        <f t="shared" si="21"/>
        <v>0</v>
      </c>
      <c r="G651" t="str">
        <f>IFERROR(VLOOKUP(A651,预留库存!A:G,7,0),0)</f>
        <v>No</v>
      </c>
      <c r="H651">
        <f>IFERROR(VLOOKUP(A651,预留库存!A:H,8,0),0)</f>
        <v>0</v>
      </c>
      <c r="I651">
        <f>IFERROR(VLOOKUP(A651,预留库存!A:F,6,0),0)</f>
        <v>39.98</v>
      </c>
      <c r="J651">
        <f>IFERROR(VLOOKUP(A651,库龄!B:K,9,0),0)</f>
        <v>18</v>
      </c>
      <c r="K651">
        <f>IFERROR(VLOOKUP(A651,库龄!B:L,10,0),0)</f>
        <v>0</v>
      </c>
      <c r="L651">
        <f>IFERROR(VLOOKUP(A651,库龄!B:M,11,0),0)</f>
        <v>0</v>
      </c>
      <c r="M651">
        <f>IFERROR(VLOOKUP(A651,库龄!B:N,12,0),0)</f>
        <v>0</v>
      </c>
      <c r="N651">
        <f t="shared" si="22"/>
        <v>18</v>
      </c>
    </row>
    <row r="652" spans="1:14">
      <c r="A652" s="3" t="s">
        <v>1740</v>
      </c>
      <c r="B652">
        <f>IFERROR(VLOOKUP(A652,管理亚马逊库存!A:K,11,0),"")</f>
        <v>8</v>
      </c>
      <c r="C652">
        <f>IFERROR(VLOOKUP(A652,管理亚马逊库存!A:L,12,0),"")</f>
        <v>0</v>
      </c>
      <c r="D652">
        <f>IFERROR(VLOOKUP(A652,管理亚马逊库存!A:Q,17,0),"")</f>
        <v>0</v>
      </c>
      <c r="E652">
        <f>IFERROR(VLOOKUP(A652,管理亚马逊库存!A:R,18,0),"")</f>
        <v>0</v>
      </c>
      <c r="F652">
        <f t="shared" si="21"/>
        <v>0</v>
      </c>
      <c r="G652" t="str">
        <f>IFERROR(VLOOKUP(A652,预留库存!A:G,7,0),0)</f>
        <v>No</v>
      </c>
      <c r="H652">
        <f>IFERROR(VLOOKUP(A652,预留库存!A:H,8,0),0)</f>
        <v>0</v>
      </c>
      <c r="I652">
        <f>IFERROR(VLOOKUP(A652,预留库存!A:F,6,0),0)</f>
        <v>39.98</v>
      </c>
      <c r="J652">
        <f>IFERROR(VLOOKUP(A652,库龄!B:K,9,0),0)</f>
        <v>5</v>
      </c>
      <c r="K652">
        <f>IFERROR(VLOOKUP(A652,库龄!B:L,10,0),0)</f>
        <v>3</v>
      </c>
      <c r="L652">
        <f>IFERROR(VLOOKUP(A652,库龄!B:M,11,0),0)</f>
        <v>0</v>
      </c>
      <c r="M652">
        <f>IFERROR(VLOOKUP(A652,库龄!B:N,12,0),0)</f>
        <v>0</v>
      </c>
      <c r="N652">
        <f t="shared" si="22"/>
        <v>8</v>
      </c>
    </row>
    <row r="653" spans="1:14">
      <c r="A653" s="3" t="s">
        <v>1743</v>
      </c>
      <c r="B653">
        <f>IFERROR(VLOOKUP(A653,管理亚马逊库存!A:K,11,0),"")</f>
        <v>10</v>
      </c>
      <c r="C653">
        <f>IFERROR(VLOOKUP(A653,管理亚马逊库存!A:L,12,0),"")</f>
        <v>0</v>
      </c>
      <c r="D653">
        <f>IFERROR(VLOOKUP(A653,管理亚马逊库存!A:Q,17,0),"")</f>
        <v>0</v>
      </c>
      <c r="E653">
        <f>IFERROR(VLOOKUP(A653,管理亚马逊库存!A:R,18,0),"")</f>
        <v>0</v>
      </c>
      <c r="F653">
        <f t="shared" si="21"/>
        <v>0</v>
      </c>
      <c r="G653">
        <f>IFERROR(VLOOKUP(A653,预留库存!A:G,7,0),0)</f>
        <v>0</v>
      </c>
      <c r="H653">
        <f>IFERROR(VLOOKUP(A653,预留库存!A:H,8,0),0)</f>
        <v>0</v>
      </c>
      <c r="I653">
        <f>IFERROR(VLOOKUP(A653,预留库存!A:F,6,0),0)</f>
        <v>0</v>
      </c>
      <c r="J653">
        <f>IFERROR(VLOOKUP(A653,库龄!B:K,9,0),0)</f>
        <v>10</v>
      </c>
      <c r="K653">
        <f>IFERROR(VLOOKUP(A653,库龄!B:L,10,0),0)</f>
        <v>0</v>
      </c>
      <c r="L653">
        <f>IFERROR(VLOOKUP(A653,库龄!B:M,11,0),0)</f>
        <v>0</v>
      </c>
      <c r="M653">
        <f>IFERROR(VLOOKUP(A653,库龄!B:N,12,0),0)</f>
        <v>0</v>
      </c>
      <c r="N653">
        <f t="shared" si="22"/>
        <v>10</v>
      </c>
    </row>
    <row r="654" spans="1:14">
      <c r="A654" s="3" t="s">
        <v>1745</v>
      </c>
      <c r="B654">
        <f>IFERROR(VLOOKUP(A654,管理亚马逊库存!A:K,11,0),"")</f>
        <v>0</v>
      </c>
      <c r="C654">
        <f>IFERROR(VLOOKUP(A654,管理亚马逊库存!A:L,12,0),"")</f>
        <v>0</v>
      </c>
      <c r="D654">
        <f>IFERROR(VLOOKUP(A654,管理亚马逊库存!A:Q,17,0),"")</f>
        <v>0</v>
      </c>
      <c r="E654">
        <f>IFERROR(VLOOKUP(A654,管理亚马逊库存!A:R,18,0),"")</f>
        <v>0</v>
      </c>
      <c r="F654">
        <f t="shared" si="21"/>
        <v>0</v>
      </c>
      <c r="G654" t="str">
        <f>IFERROR(VLOOKUP(A654,预留库存!A:G,7,0),0)</f>
        <v>No</v>
      </c>
      <c r="H654">
        <f>IFERROR(VLOOKUP(A654,预留库存!A:H,8,0),0)</f>
        <v>0</v>
      </c>
      <c r="I654">
        <f>IFERROR(VLOOKUP(A654,预留库存!A:F,6,0),0)</f>
        <v>39.98</v>
      </c>
      <c r="J654">
        <f>IFERROR(VLOOKUP(A654,库龄!B:K,9,0),0)</f>
        <v>0</v>
      </c>
      <c r="K654">
        <f>IFERROR(VLOOKUP(A654,库龄!B:L,10,0),0)</f>
        <v>0</v>
      </c>
      <c r="L654">
        <f>IFERROR(VLOOKUP(A654,库龄!B:M,11,0),0)</f>
        <v>0</v>
      </c>
      <c r="M654">
        <f>IFERROR(VLOOKUP(A654,库龄!B:N,12,0),0)</f>
        <v>0</v>
      </c>
      <c r="N654">
        <f t="shared" si="22"/>
        <v>0</v>
      </c>
    </row>
    <row r="655" spans="1:14">
      <c r="A655" s="3" t="s">
        <v>1748</v>
      </c>
      <c r="B655">
        <f>IFERROR(VLOOKUP(A655,管理亚马逊库存!A:K,11,0),"")</f>
        <v>5</v>
      </c>
      <c r="C655">
        <f>IFERROR(VLOOKUP(A655,管理亚马逊库存!A:L,12,0),"")</f>
        <v>0</v>
      </c>
      <c r="D655">
        <f>IFERROR(VLOOKUP(A655,管理亚马逊库存!A:Q,17,0),"")</f>
        <v>0</v>
      </c>
      <c r="E655">
        <f>IFERROR(VLOOKUP(A655,管理亚马逊库存!A:R,18,0),"")</f>
        <v>0</v>
      </c>
      <c r="F655">
        <f t="shared" si="21"/>
        <v>0</v>
      </c>
      <c r="G655" t="str">
        <f>IFERROR(VLOOKUP(A655,预留库存!A:G,7,0),0)</f>
        <v>No</v>
      </c>
      <c r="H655">
        <f>IFERROR(VLOOKUP(A655,预留库存!A:H,8,0),0)</f>
        <v>0</v>
      </c>
      <c r="I655">
        <f>IFERROR(VLOOKUP(A655,预留库存!A:F,6,0),0)</f>
        <v>39.98</v>
      </c>
      <c r="J655">
        <f>IFERROR(VLOOKUP(A655,库龄!B:K,9,0),0)</f>
        <v>5</v>
      </c>
      <c r="K655">
        <f>IFERROR(VLOOKUP(A655,库龄!B:L,10,0),0)</f>
        <v>0</v>
      </c>
      <c r="L655">
        <f>IFERROR(VLOOKUP(A655,库龄!B:M,11,0),0)</f>
        <v>0</v>
      </c>
      <c r="M655">
        <f>IFERROR(VLOOKUP(A655,库龄!B:N,12,0),0)</f>
        <v>0</v>
      </c>
      <c r="N655">
        <f t="shared" si="22"/>
        <v>5</v>
      </c>
    </row>
    <row r="656" spans="1:14">
      <c r="A656" s="3" t="s">
        <v>1751</v>
      </c>
      <c r="B656">
        <f>IFERROR(VLOOKUP(A656,管理亚马逊库存!A:K,11,0),"")</f>
        <v>0</v>
      </c>
      <c r="C656">
        <f>IFERROR(VLOOKUP(A656,管理亚马逊库存!A:L,12,0),"")</f>
        <v>0</v>
      </c>
      <c r="D656">
        <f>IFERROR(VLOOKUP(A656,管理亚马逊库存!A:Q,17,0),"")</f>
        <v>0</v>
      </c>
      <c r="E656">
        <f>IFERROR(VLOOKUP(A656,管理亚马逊库存!A:R,18,0),"")</f>
        <v>0</v>
      </c>
      <c r="F656">
        <f t="shared" si="21"/>
        <v>0</v>
      </c>
      <c r="G656" t="str">
        <f>IFERROR(VLOOKUP(A656,预留库存!A:G,7,0),0)</f>
        <v>No</v>
      </c>
      <c r="H656">
        <f>IFERROR(VLOOKUP(A656,预留库存!A:H,8,0),0)</f>
        <v>0</v>
      </c>
      <c r="I656">
        <f>IFERROR(VLOOKUP(A656,预留库存!A:F,6,0),0)</f>
        <v>25.98</v>
      </c>
      <c r="J656">
        <f>IFERROR(VLOOKUP(A656,库龄!B:K,9,0),0)</f>
        <v>0</v>
      </c>
      <c r="K656">
        <f>IFERROR(VLOOKUP(A656,库龄!B:L,10,0),0)</f>
        <v>0</v>
      </c>
      <c r="L656">
        <f>IFERROR(VLOOKUP(A656,库龄!B:M,11,0),0)</f>
        <v>0</v>
      </c>
      <c r="M656">
        <f>IFERROR(VLOOKUP(A656,库龄!B:N,12,0),0)</f>
        <v>0</v>
      </c>
      <c r="N656">
        <f t="shared" si="22"/>
        <v>0</v>
      </c>
    </row>
    <row r="657" spans="1:14">
      <c r="A657" s="3" t="s">
        <v>1754</v>
      </c>
      <c r="B657">
        <f>IFERROR(VLOOKUP(A657,管理亚马逊库存!A:K,11,0),"")</f>
        <v>0</v>
      </c>
      <c r="C657">
        <f>IFERROR(VLOOKUP(A657,管理亚马逊库存!A:L,12,0),"")</f>
        <v>0</v>
      </c>
      <c r="D657">
        <f>IFERROR(VLOOKUP(A657,管理亚马逊库存!A:Q,17,0),"")</f>
        <v>0</v>
      </c>
      <c r="E657">
        <f>IFERROR(VLOOKUP(A657,管理亚马逊库存!A:R,18,0),"")</f>
        <v>0</v>
      </c>
      <c r="F657">
        <f t="shared" si="21"/>
        <v>0</v>
      </c>
      <c r="G657">
        <f>IFERROR(VLOOKUP(A657,预留库存!A:G,7,0),0)</f>
        <v>0</v>
      </c>
      <c r="H657">
        <f>IFERROR(VLOOKUP(A657,预留库存!A:H,8,0),0)</f>
        <v>0</v>
      </c>
      <c r="I657">
        <f>IFERROR(VLOOKUP(A657,预留库存!A:F,6,0),0)</f>
        <v>0</v>
      </c>
      <c r="J657">
        <f>IFERROR(VLOOKUP(A657,库龄!B:K,9,0),0)</f>
        <v>0</v>
      </c>
      <c r="K657">
        <f>IFERROR(VLOOKUP(A657,库龄!B:L,10,0),0)</f>
        <v>0</v>
      </c>
      <c r="L657">
        <f>IFERROR(VLOOKUP(A657,库龄!B:M,11,0),0)</f>
        <v>0</v>
      </c>
      <c r="M657">
        <f>IFERROR(VLOOKUP(A657,库龄!B:N,12,0),0)</f>
        <v>0</v>
      </c>
      <c r="N657">
        <f t="shared" si="22"/>
        <v>0</v>
      </c>
    </row>
    <row r="658" spans="1:14">
      <c r="A658" s="3" t="s">
        <v>1755</v>
      </c>
      <c r="B658">
        <f>IFERROR(VLOOKUP(A658,管理亚马逊库存!A:K,11,0),"")</f>
        <v>8</v>
      </c>
      <c r="C658">
        <f>IFERROR(VLOOKUP(A658,管理亚马逊库存!A:L,12,0),"")</f>
        <v>0</v>
      </c>
      <c r="D658">
        <f>IFERROR(VLOOKUP(A658,管理亚马逊库存!A:Q,17,0),"")</f>
        <v>0</v>
      </c>
      <c r="E658">
        <f>IFERROR(VLOOKUP(A658,管理亚马逊库存!A:R,18,0),"")</f>
        <v>0</v>
      </c>
      <c r="F658">
        <f t="shared" si="21"/>
        <v>0</v>
      </c>
      <c r="G658" t="str">
        <f>IFERROR(VLOOKUP(A658,预留库存!A:G,7,0),0)</f>
        <v>No</v>
      </c>
      <c r="H658">
        <f>IFERROR(VLOOKUP(A658,预留库存!A:H,8,0),0)</f>
        <v>0</v>
      </c>
      <c r="I658">
        <f>IFERROR(VLOOKUP(A658,预留库存!A:F,6,0),0)</f>
        <v>25.98</v>
      </c>
      <c r="J658">
        <f>IFERROR(VLOOKUP(A658,库龄!B:K,9,0),0)</f>
        <v>6</v>
      </c>
      <c r="K658">
        <f>IFERROR(VLOOKUP(A658,库龄!B:L,10,0),0)</f>
        <v>0</v>
      </c>
      <c r="L658">
        <f>IFERROR(VLOOKUP(A658,库龄!B:M,11,0),0)</f>
        <v>0</v>
      </c>
      <c r="M658">
        <f>IFERROR(VLOOKUP(A658,库龄!B:N,12,0),0)</f>
        <v>0</v>
      </c>
      <c r="N658">
        <f t="shared" si="22"/>
        <v>6</v>
      </c>
    </row>
    <row r="659" spans="1:14">
      <c r="A659" s="3" t="s">
        <v>1758</v>
      </c>
      <c r="B659">
        <f>IFERROR(VLOOKUP(A659,管理亚马逊库存!A:K,11,0),"")</f>
        <v>11</v>
      </c>
      <c r="C659">
        <f>IFERROR(VLOOKUP(A659,管理亚马逊库存!A:L,12,0),"")</f>
        <v>0</v>
      </c>
      <c r="D659">
        <f>IFERROR(VLOOKUP(A659,管理亚马逊库存!A:Q,17,0),"")</f>
        <v>0</v>
      </c>
      <c r="E659">
        <f>IFERROR(VLOOKUP(A659,管理亚马逊库存!A:R,18,0),"")</f>
        <v>0</v>
      </c>
      <c r="F659">
        <f t="shared" si="21"/>
        <v>0</v>
      </c>
      <c r="G659" t="str">
        <f>IFERROR(VLOOKUP(A659,预留库存!A:G,7,0),0)</f>
        <v>No</v>
      </c>
      <c r="H659">
        <f>IFERROR(VLOOKUP(A659,预留库存!A:H,8,0),0)</f>
        <v>0</v>
      </c>
      <c r="I659">
        <f>IFERROR(VLOOKUP(A659,预留库存!A:F,6,0),0)</f>
        <v>39.98</v>
      </c>
      <c r="J659">
        <f>IFERROR(VLOOKUP(A659,库龄!B:K,9,0),0)</f>
        <v>10</v>
      </c>
      <c r="K659">
        <f>IFERROR(VLOOKUP(A659,库龄!B:L,10,0),0)</f>
        <v>0</v>
      </c>
      <c r="L659">
        <f>IFERROR(VLOOKUP(A659,库龄!B:M,11,0),0)</f>
        <v>0</v>
      </c>
      <c r="M659">
        <f>IFERROR(VLOOKUP(A659,库龄!B:N,12,0),0)</f>
        <v>0</v>
      </c>
      <c r="N659">
        <f t="shared" si="22"/>
        <v>10</v>
      </c>
    </row>
    <row r="660" spans="1:14">
      <c r="A660" s="3" t="s">
        <v>1761</v>
      </c>
      <c r="B660">
        <f>IFERROR(VLOOKUP(A660,管理亚马逊库存!A:K,11,0),"")</f>
        <v>1</v>
      </c>
      <c r="C660">
        <f>IFERROR(VLOOKUP(A660,管理亚马逊库存!A:L,12,0),"")</f>
        <v>0</v>
      </c>
      <c r="D660">
        <f>IFERROR(VLOOKUP(A660,管理亚马逊库存!A:Q,17,0),"")</f>
        <v>0</v>
      </c>
      <c r="E660">
        <f>IFERROR(VLOOKUP(A660,管理亚马逊库存!A:R,18,0),"")</f>
        <v>0</v>
      </c>
      <c r="F660">
        <f t="shared" si="21"/>
        <v>0</v>
      </c>
      <c r="G660" t="str">
        <f>IFERROR(VLOOKUP(A660,预留库存!A:G,7,0),0)</f>
        <v>No</v>
      </c>
      <c r="H660">
        <f>IFERROR(VLOOKUP(A660,预留库存!A:H,8,0),0)</f>
        <v>0</v>
      </c>
      <c r="I660">
        <f>IFERROR(VLOOKUP(A660,预留库存!A:F,6,0),0)</f>
        <v>39.98</v>
      </c>
      <c r="J660">
        <f>IFERROR(VLOOKUP(A660,库龄!B:K,9,0),0)</f>
        <v>0</v>
      </c>
      <c r="K660">
        <f>IFERROR(VLOOKUP(A660,库龄!B:L,10,0),0)</f>
        <v>0</v>
      </c>
      <c r="L660">
        <f>IFERROR(VLOOKUP(A660,库龄!B:M,11,0),0)</f>
        <v>0</v>
      </c>
      <c r="M660">
        <f>IFERROR(VLOOKUP(A660,库龄!B:N,12,0),0)</f>
        <v>0</v>
      </c>
      <c r="N660">
        <f t="shared" si="22"/>
        <v>0</v>
      </c>
    </row>
    <row r="661" spans="1:14">
      <c r="A661" s="3" t="s">
        <v>1764</v>
      </c>
      <c r="B661">
        <f>IFERROR(VLOOKUP(A661,管理亚马逊库存!A:K,11,0),"")</f>
        <v>0</v>
      </c>
      <c r="C661">
        <f>IFERROR(VLOOKUP(A661,管理亚马逊库存!A:L,12,0),"")</f>
        <v>0</v>
      </c>
      <c r="D661">
        <f>IFERROR(VLOOKUP(A661,管理亚马逊库存!A:Q,17,0),"")</f>
        <v>0</v>
      </c>
      <c r="E661">
        <f>IFERROR(VLOOKUP(A661,管理亚马逊库存!A:R,18,0),"")</f>
        <v>0</v>
      </c>
      <c r="F661">
        <f t="shared" si="21"/>
        <v>0</v>
      </c>
      <c r="G661" t="str">
        <f>IFERROR(VLOOKUP(A661,预留库存!A:G,7,0),0)</f>
        <v>No</v>
      </c>
      <c r="H661">
        <f>IFERROR(VLOOKUP(A661,预留库存!A:H,8,0),0)</f>
        <v>0</v>
      </c>
      <c r="I661">
        <f>IFERROR(VLOOKUP(A661,预留库存!A:F,6,0),0)</f>
        <v>39.98</v>
      </c>
      <c r="J661">
        <f>IFERROR(VLOOKUP(A661,库龄!B:K,9,0),0)</f>
        <v>0</v>
      </c>
      <c r="K661">
        <f>IFERROR(VLOOKUP(A661,库龄!B:L,10,0),0)</f>
        <v>0</v>
      </c>
      <c r="L661">
        <f>IFERROR(VLOOKUP(A661,库龄!B:M,11,0),0)</f>
        <v>0</v>
      </c>
      <c r="M661">
        <f>IFERROR(VLOOKUP(A661,库龄!B:N,12,0),0)</f>
        <v>0</v>
      </c>
      <c r="N661">
        <f t="shared" si="22"/>
        <v>0</v>
      </c>
    </row>
    <row r="662" spans="1:14">
      <c r="A662" s="3" t="s">
        <v>1767</v>
      </c>
      <c r="B662">
        <f>IFERROR(VLOOKUP(A662,管理亚马逊库存!A:K,11,0),"")</f>
        <v>4</v>
      </c>
      <c r="C662">
        <f>IFERROR(VLOOKUP(A662,管理亚马逊库存!A:L,12,0),"")</f>
        <v>0</v>
      </c>
      <c r="D662">
        <f>IFERROR(VLOOKUP(A662,管理亚马逊库存!A:Q,17,0),"")</f>
        <v>0</v>
      </c>
      <c r="E662">
        <f>IFERROR(VLOOKUP(A662,管理亚马逊库存!A:R,18,0),"")</f>
        <v>0</v>
      </c>
      <c r="F662">
        <f t="shared" si="21"/>
        <v>0</v>
      </c>
      <c r="G662" t="str">
        <f>IFERROR(VLOOKUP(A662,预留库存!A:G,7,0),0)</f>
        <v>No</v>
      </c>
      <c r="H662">
        <f>IFERROR(VLOOKUP(A662,预留库存!A:H,8,0),0)</f>
        <v>0</v>
      </c>
      <c r="I662">
        <f>IFERROR(VLOOKUP(A662,预留库存!A:F,6,0),0)</f>
        <v>39.98</v>
      </c>
      <c r="J662">
        <f>IFERROR(VLOOKUP(A662,库龄!B:K,9,0),0)</f>
        <v>4</v>
      </c>
      <c r="K662">
        <f>IFERROR(VLOOKUP(A662,库龄!B:L,10,0),0)</f>
        <v>0</v>
      </c>
      <c r="L662">
        <f>IFERROR(VLOOKUP(A662,库龄!B:M,11,0),0)</f>
        <v>0</v>
      </c>
      <c r="M662">
        <f>IFERROR(VLOOKUP(A662,库龄!B:N,12,0),0)</f>
        <v>0</v>
      </c>
      <c r="N662">
        <f t="shared" si="22"/>
        <v>4</v>
      </c>
    </row>
    <row r="663" spans="1:14">
      <c r="A663" s="3" t="s">
        <v>1770</v>
      </c>
      <c r="B663">
        <f>IFERROR(VLOOKUP(A663,管理亚马逊库存!A:K,11,0),"")</f>
        <v>28</v>
      </c>
      <c r="C663">
        <f>IFERROR(VLOOKUP(A663,管理亚马逊库存!A:L,12,0),"")</f>
        <v>0</v>
      </c>
      <c r="D663">
        <f>IFERROR(VLOOKUP(A663,管理亚马逊库存!A:Q,17,0),"")</f>
        <v>0</v>
      </c>
      <c r="E663">
        <f>IFERROR(VLOOKUP(A663,管理亚马逊库存!A:R,18,0),"")</f>
        <v>0</v>
      </c>
      <c r="F663">
        <f t="shared" si="21"/>
        <v>0</v>
      </c>
      <c r="G663" t="str">
        <f>IFERROR(VLOOKUP(A663,预留库存!A:G,7,0),0)</f>
        <v>No</v>
      </c>
      <c r="H663">
        <f>IFERROR(VLOOKUP(A663,预留库存!A:H,8,0),0)</f>
        <v>0</v>
      </c>
      <c r="I663">
        <f>IFERROR(VLOOKUP(A663,预留库存!A:F,6,0),0)</f>
        <v>25.98</v>
      </c>
      <c r="J663">
        <f>IFERROR(VLOOKUP(A663,库龄!B:K,9,0),0)</f>
        <v>27</v>
      </c>
      <c r="K663">
        <f>IFERROR(VLOOKUP(A663,库龄!B:L,10,0),0)</f>
        <v>0</v>
      </c>
      <c r="L663">
        <f>IFERROR(VLOOKUP(A663,库龄!B:M,11,0),0)</f>
        <v>0</v>
      </c>
      <c r="M663">
        <f>IFERROR(VLOOKUP(A663,库龄!B:N,12,0),0)</f>
        <v>0</v>
      </c>
      <c r="N663">
        <f t="shared" si="22"/>
        <v>27</v>
      </c>
    </row>
    <row r="664" spans="1:14">
      <c r="A664" s="3" t="s">
        <v>1773</v>
      </c>
      <c r="B664">
        <f>IFERROR(VLOOKUP(A664,管理亚马逊库存!A:K,11,0),"")</f>
        <v>2</v>
      </c>
      <c r="C664">
        <f>IFERROR(VLOOKUP(A664,管理亚马逊库存!A:L,12,0),"")</f>
        <v>0</v>
      </c>
      <c r="D664">
        <f>IFERROR(VLOOKUP(A664,管理亚马逊库存!A:Q,17,0),"")</f>
        <v>0</v>
      </c>
      <c r="E664">
        <f>IFERROR(VLOOKUP(A664,管理亚马逊库存!A:R,18,0),"")</f>
        <v>0</v>
      </c>
      <c r="F664">
        <f t="shared" si="21"/>
        <v>0</v>
      </c>
      <c r="G664">
        <f>IFERROR(VLOOKUP(A664,预留库存!A:G,7,0),0)</f>
        <v>0</v>
      </c>
      <c r="H664">
        <f>IFERROR(VLOOKUP(A664,预留库存!A:H,8,0),0)</f>
        <v>0</v>
      </c>
      <c r="I664">
        <f>IFERROR(VLOOKUP(A664,预留库存!A:F,6,0),0)</f>
        <v>0</v>
      </c>
      <c r="J664">
        <f>IFERROR(VLOOKUP(A664,库龄!B:K,9,0),0)</f>
        <v>0</v>
      </c>
      <c r="K664">
        <f>IFERROR(VLOOKUP(A664,库龄!B:L,10,0),0)</f>
        <v>0</v>
      </c>
      <c r="L664">
        <f>IFERROR(VLOOKUP(A664,库龄!B:M,11,0),0)</f>
        <v>0</v>
      </c>
      <c r="M664">
        <f>IFERROR(VLOOKUP(A664,库龄!B:N,12,0),0)</f>
        <v>0</v>
      </c>
      <c r="N664">
        <f t="shared" si="22"/>
        <v>0</v>
      </c>
    </row>
    <row r="665" spans="1:14">
      <c r="A665" s="3" t="s">
        <v>1775</v>
      </c>
      <c r="B665">
        <f>IFERROR(VLOOKUP(A665,管理亚马逊库存!A:K,11,0),"")</f>
        <v>0</v>
      </c>
      <c r="C665">
        <f>IFERROR(VLOOKUP(A665,管理亚马逊库存!A:L,12,0),"")</f>
        <v>0</v>
      </c>
      <c r="D665">
        <f>IFERROR(VLOOKUP(A665,管理亚马逊库存!A:Q,17,0),"")</f>
        <v>0</v>
      </c>
      <c r="E665">
        <f>IFERROR(VLOOKUP(A665,管理亚马逊库存!A:R,18,0),"")</f>
        <v>0</v>
      </c>
      <c r="F665">
        <f t="shared" si="21"/>
        <v>0</v>
      </c>
      <c r="G665">
        <f>IFERROR(VLOOKUP(A665,预留库存!A:G,7,0),0)</f>
        <v>0</v>
      </c>
      <c r="H665">
        <f>IFERROR(VLOOKUP(A665,预留库存!A:H,8,0),0)</f>
        <v>0</v>
      </c>
      <c r="I665">
        <f>IFERROR(VLOOKUP(A665,预留库存!A:F,6,0),0)</f>
        <v>0</v>
      </c>
      <c r="J665">
        <f>IFERROR(VLOOKUP(A665,库龄!B:K,9,0),0)</f>
        <v>0</v>
      </c>
      <c r="K665">
        <f>IFERROR(VLOOKUP(A665,库龄!B:L,10,0),0)</f>
        <v>0</v>
      </c>
      <c r="L665">
        <f>IFERROR(VLOOKUP(A665,库龄!B:M,11,0),0)</f>
        <v>0</v>
      </c>
      <c r="M665">
        <f>IFERROR(VLOOKUP(A665,库龄!B:N,12,0),0)</f>
        <v>0</v>
      </c>
      <c r="N665">
        <f t="shared" si="22"/>
        <v>0</v>
      </c>
    </row>
    <row r="666" spans="1:14">
      <c r="A666" s="3" t="s">
        <v>1777</v>
      </c>
      <c r="B666">
        <f>IFERROR(VLOOKUP(A666,管理亚马逊库存!A:K,11,0),"")</f>
        <v>9</v>
      </c>
      <c r="C666">
        <f>IFERROR(VLOOKUP(A666,管理亚马逊库存!A:L,12,0),"")</f>
        <v>0</v>
      </c>
      <c r="D666">
        <f>IFERROR(VLOOKUP(A666,管理亚马逊库存!A:Q,17,0),"")</f>
        <v>0</v>
      </c>
      <c r="E666">
        <f>IFERROR(VLOOKUP(A666,管理亚马逊库存!A:R,18,0),"")</f>
        <v>0</v>
      </c>
      <c r="F666">
        <f t="shared" si="21"/>
        <v>0</v>
      </c>
      <c r="G666" t="str">
        <f>IFERROR(VLOOKUP(A666,预留库存!A:G,7,0),0)</f>
        <v>No</v>
      </c>
      <c r="H666">
        <f>IFERROR(VLOOKUP(A666,预留库存!A:H,8,0),0)</f>
        <v>0</v>
      </c>
      <c r="I666">
        <f>IFERROR(VLOOKUP(A666,预留库存!A:F,6,0),0)</f>
        <v>39.98</v>
      </c>
      <c r="J666">
        <f>IFERROR(VLOOKUP(A666,库龄!B:K,9,0),0)</f>
        <v>1</v>
      </c>
      <c r="K666">
        <f>IFERROR(VLOOKUP(A666,库龄!B:L,10,0),0)</f>
        <v>7</v>
      </c>
      <c r="L666">
        <f>IFERROR(VLOOKUP(A666,库龄!B:M,11,0),0)</f>
        <v>0</v>
      </c>
      <c r="M666">
        <f>IFERROR(VLOOKUP(A666,库龄!B:N,12,0),0)</f>
        <v>0</v>
      </c>
      <c r="N666">
        <f t="shared" si="22"/>
        <v>8</v>
      </c>
    </row>
    <row r="667" spans="1:14">
      <c r="A667" s="3" t="s">
        <v>1780</v>
      </c>
      <c r="B667">
        <f>IFERROR(VLOOKUP(A667,管理亚马逊库存!A:K,11,0),"")</f>
        <v>22</v>
      </c>
      <c r="C667">
        <f>IFERROR(VLOOKUP(A667,管理亚马逊库存!A:L,12,0),"")</f>
        <v>0</v>
      </c>
      <c r="D667">
        <f>IFERROR(VLOOKUP(A667,管理亚马逊库存!A:Q,17,0),"")</f>
        <v>0</v>
      </c>
      <c r="E667">
        <f>IFERROR(VLOOKUP(A667,管理亚马逊库存!A:R,18,0),"")</f>
        <v>0</v>
      </c>
      <c r="F667">
        <f t="shared" si="21"/>
        <v>0</v>
      </c>
      <c r="G667">
        <f>IFERROR(VLOOKUP(A667,预留库存!A:G,7,0),0)</f>
        <v>0</v>
      </c>
      <c r="H667">
        <f>IFERROR(VLOOKUP(A667,预留库存!A:H,8,0),0)</f>
        <v>0</v>
      </c>
      <c r="I667">
        <f>IFERROR(VLOOKUP(A667,预留库存!A:F,6,0),0)</f>
        <v>0</v>
      </c>
      <c r="J667">
        <f>IFERROR(VLOOKUP(A667,库龄!B:K,9,0),0)</f>
        <v>0</v>
      </c>
      <c r="K667">
        <f>IFERROR(VLOOKUP(A667,库龄!B:L,10,0),0)</f>
        <v>0</v>
      </c>
      <c r="L667">
        <f>IFERROR(VLOOKUP(A667,库龄!B:M,11,0),0)</f>
        <v>0</v>
      </c>
      <c r="M667">
        <f>IFERROR(VLOOKUP(A667,库龄!B:N,12,0),0)</f>
        <v>0</v>
      </c>
      <c r="N667">
        <f t="shared" si="22"/>
        <v>0</v>
      </c>
    </row>
    <row r="668" spans="1:14">
      <c r="A668" s="3" t="s">
        <v>1782</v>
      </c>
      <c r="B668">
        <f>IFERROR(VLOOKUP(A668,管理亚马逊库存!A:K,11,0),"")</f>
        <v>6</v>
      </c>
      <c r="C668">
        <f>IFERROR(VLOOKUP(A668,管理亚马逊库存!A:L,12,0),"")</f>
        <v>0</v>
      </c>
      <c r="D668">
        <f>IFERROR(VLOOKUP(A668,管理亚马逊库存!A:Q,17,0),"")</f>
        <v>0</v>
      </c>
      <c r="E668">
        <f>IFERROR(VLOOKUP(A668,管理亚马逊库存!A:R,18,0),"")</f>
        <v>0</v>
      </c>
      <c r="F668">
        <f t="shared" si="21"/>
        <v>0</v>
      </c>
      <c r="G668" t="str">
        <f>IFERROR(VLOOKUP(A668,预留库存!A:G,7,0),0)</f>
        <v>No</v>
      </c>
      <c r="H668">
        <f>IFERROR(VLOOKUP(A668,预留库存!A:H,8,0),0)</f>
        <v>0</v>
      </c>
      <c r="I668">
        <f>IFERROR(VLOOKUP(A668,预留库存!A:F,6,0),0)</f>
        <v>39.98</v>
      </c>
      <c r="J668">
        <f>IFERROR(VLOOKUP(A668,库龄!B:K,9,0),0)</f>
        <v>6</v>
      </c>
      <c r="K668">
        <f>IFERROR(VLOOKUP(A668,库龄!B:L,10,0),0)</f>
        <v>0</v>
      </c>
      <c r="L668">
        <f>IFERROR(VLOOKUP(A668,库龄!B:M,11,0),0)</f>
        <v>0</v>
      </c>
      <c r="M668">
        <f>IFERROR(VLOOKUP(A668,库龄!B:N,12,0),0)</f>
        <v>0</v>
      </c>
      <c r="N668">
        <f t="shared" si="22"/>
        <v>6</v>
      </c>
    </row>
    <row r="669" spans="1:14">
      <c r="A669" s="3" t="s">
        <v>1785</v>
      </c>
      <c r="B669">
        <f>IFERROR(VLOOKUP(A669,管理亚马逊库存!A:K,11,0),"")</f>
        <v>5</v>
      </c>
      <c r="C669">
        <f>IFERROR(VLOOKUP(A669,管理亚马逊库存!A:L,12,0),"")</f>
        <v>0</v>
      </c>
      <c r="D669">
        <f>IFERROR(VLOOKUP(A669,管理亚马逊库存!A:Q,17,0),"")</f>
        <v>0</v>
      </c>
      <c r="E669">
        <f>IFERROR(VLOOKUP(A669,管理亚马逊库存!A:R,18,0),"")</f>
        <v>0</v>
      </c>
      <c r="F669">
        <f t="shared" si="21"/>
        <v>0</v>
      </c>
      <c r="G669" t="str">
        <f>IFERROR(VLOOKUP(A669,预留库存!A:G,7,0),0)</f>
        <v>No</v>
      </c>
      <c r="H669">
        <f>IFERROR(VLOOKUP(A669,预留库存!A:H,8,0),0)</f>
        <v>0</v>
      </c>
      <c r="I669">
        <f>IFERROR(VLOOKUP(A669,预留库存!A:F,6,0),0)</f>
        <v>25.98</v>
      </c>
      <c r="J669">
        <f>IFERROR(VLOOKUP(A669,库龄!B:K,9,0),0)</f>
        <v>2</v>
      </c>
      <c r="K669">
        <f>IFERROR(VLOOKUP(A669,库龄!B:L,10,0),0)</f>
        <v>0</v>
      </c>
      <c r="L669">
        <f>IFERROR(VLOOKUP(A669,库龄!B:M,11,0),0)</f>
        <v>0</v>
      </c>
      <c r="M669">
        <f>IFERROR(VLOOKUP(A669,库龄!B:N,12,0),0)</f>
        <v>0</v>
      </c>
      <c r="N669">
        <f t="shared" si="22"/>
        <v>2</v>
      </c>
    </row>
    <row r="670" spans="1:14">
      <c r="A670" s="3" t="s">
        <v>1788</v>
      </c>
      <c r="B670">
        <f>IFERROR(VLOOKUP(A670,管理亚马逊库存!A:K,11,0),"")</f>
        <v>0</v>
      </c>
      <c r="C670">
        <f>IFERROR(VLOOKUP(A670,管理亚马逊库存!A:L,12,0),"")</f>
        <v>0</v>
      </c>
      <c r="D670">
        <f>IFERROR(VLOOKUP(A670,管理亚马逊库存!A:Q,17,0),"")</f>
        <v>0</v>
      </c>
      <c r="E670">
        <f>IFERROR(VLOOKUP(A670,管理亚马逊库存!A:R,18,0),"")</f>
        <v>0</v>
      </c>
      <c r="F670">
        <f t="shared" si="21"/>
        <v>0</v>
      </c>
      <c r="G670" t="str">
        <f>IFERROR(VLOOKUP(A670,预留库存!A:G,7,0),0)</f>
        <v>No</v>
      </c>
      <c r="H670">
        <f>IFERROR(VLOOKUP(A670,预留库存!A:H,8,0),0)</f>
        <v>0</v>
      </c>
      <c r="I670">
        <f>IFERROR(VLOOKUP(A670,预留库存!A:F,6,0),0)</f>
        <v>25.98</v>
      </c>
      <c r="J670">
        <f>IFERROR(VLOOKUP(A670,库龄!B:K,9,0),0)</f>
        <v>0</v>
      </c>
      <c r="K670">
        <f>IFERROR(VLOOKUP(A670,库龄!B:L,10,0),0)</f>
        <v>0</v>
      </c>
      <c r="L670">
        <f>IFERROR(VLOOKUP(A670,库龄!B:M,11,0),0)</f>
        <v>0</v>
      </c>
      <c r="M670">
        <f>IFERROR(VLOOKUP(A670,库龄!B:N,12,0),0)</f>
        <v>0</v>
      </c>
      <c r="N670">
        <f t="shared" si="22"/>
        <v>0</v>
      </c>
    </row>
    <row r="671" spans="1:14">
      <c r="A671" s="3" t="s">
        <v>1791</v>
      </c>
      <c r="B671">
        <f>IFERROR(VLOOKUP(A671,管理亚马逊库存!A:K,11,0),"")</f>
        <v>9</v>
      </c>
      <c r="C671">
        <f>IFERROR(VLOOKUP(A671,管理亚马逊库存!A:L,12,0),"")</f>
        <v>0</v>
      </c>
      <c r="D671">
        <f>IFERROR(VLOOKUP(A671,管理亚马逊库存!A:Q,17,0),"")</f>
        <v>0</v>
      </c>
      <c r="E671">
        <f>IFERROR(VLOOKUP(A671,管理亚马逊库存!A:R,18,0),"")</f>
        <v>0</v>
      </c>
      <c r="F671">
        <f t="shared" si="21"/>
        <v>0</v>
      </c>
      <c r="G671" t="str">
        <f>IFERROR(VLOOKUP(A671,预留库存!A:G,7,0),0)</f>
        <v>No</v>
      </c>
      <c r="H671">
        <f>IFERROR(VLOOKUP(A671,预留库存!A:H,8,0),0)</f>
        <v>0</v>
      </c>
      <c r="I671">
        <f>IFERROR(VLOOKUP(A671,预留库存!A:F,6,0),0)</f>
        <v>39.98</v>
      </c>
      <c r="J671">
        <f>IFERROR(VLOOKUP(A671,库龄!B:K,9,0),0)</f>
        <v>0</v>
      </c>
      <c r="K671">
        <f>IFERROR(VLOOKUP(A671,库龄!B:L,10,0),0)</f>
        <v>0</v>
      </c>
      <c r="L671">
        <f>IFERROR(VLOOKUP(A671,库龄!B:M,11,0),0)</f>
        <v>0</v>
      </c>
      <c r="M671">
        <f>IFERROR(VLOOKUP(A671,库龄!B:N,12,0),0)</f>
        <v>0</v>
      </c>
      <c r="N671">
        <f t="shared" si="22"/>
        <v>0</v>
      </c>
    </row>
    <row r="672" spans="1:14">
      <c r="A672" s="3" t="s">
        <v>1794</v>
      </c>
      <c r="B672">
        <f>IFERROR(VLOOKUP(A672,管理亚马逊库存!A:K,11,0),"")</f>
        <v>0</v>
      </c>
      <c r="C672">
        <f>IFERROR(VLOOKUP(A672,管理亚马逊库存!A:L,12,0),"")</f>
        <v>0</v>
      </c>
      <c r="D672">
        <f>IFERROR(VLOOKUP(A672,管理亚马逊库存!A:Q,17,0),"")</f>
        <v>0</v>
      </c>
      <c r="E672">
        <f>IFERROR(VLOOKUP(A672,管理亚马逊库存!A:R,18,0),"")</f>
        <v>0</v>
      </c>
      <c r="F672">
        <f t="shared" si="21"/>
        <v>0</v>
      </c>
      <c r="G672" t="str">
        <f>IFERROR(VLOOKUP(A672,预留库存!A:G,7,0),0)</f>
        <v>No</v>
      </c>
      <c r="H672">
        <f>IFERROR(VLOOKUP(A672,预留库存!A:H,8,0),0)</f>
        <v>0</v>
      </c>
      <c r="I672">
        <f>IFERROR(VLOOKUP(A672,预留库存!A:F,6,0),0)</f>
        <v>25.98</v>
      </c>
      <c r="J672">
        <f>IFERROR(VLOOKUP(A672,库龄!B:K,9,0),0)</f>
        <v>0</v>
      </c>
      <c r="K672">
        <f>IFERROR(VLOOKUP(A672,库龄!B:L,10,0),0)</f>
        <v>0</v>
      </c>
      <c r="L672">
        <f>IFERROR(VLOOKUP(A672,库龄!B:M,11,0),0)</f>
        <v>0</v>
      </c>
      <c r="M672">
        <f>IFERROR(VLOOKUP(A672,库龄!B:N,12,0),0)</f>
        <v>0</v>
      </c>
      <c r="N672">
        <f t="shared" si="22"/>
        <v>0</v>
      </c>
    </row>
    <row r="673" spans="1:14">
      <c r="A673" s="3" t="s">
        <v>1797</v>
      </c>
      <c r="B673">
        <f>IFERROR(VLOOKUP(A673,管理亚马逊库存!A:K,11,0),"")</f>
        <v>0</v>
      </c>
      <c r="C673">
        <f>IFERROR(VLOOKUP(A673,管理亚马逊库存!A:L,12,0),"")</f>
        <v>0</v>
      </c>
      <c r="D673">
        <f>IFERROR(VLOOKUP(A673,管理亚马逊库存!A:Q,17,0),"")</f>
        <v>0</v>
      </c>
      <c r="E673">
        <f>IFERROR(VLOOKUP(A673,管理亚马逊库存!A:R,18,0),"")</f>
        <v>0</v>
      </c>
      <c r="F673">
        <f t="shared" si="21"/>
        <v>0</v>
      </c>
      <c r="G673">
        <f>IFERROR(VLOOKUP(A673,预留库存!A:G,7,0),0)</f>
        <v>0</v>
      </c>
      <c r="H673">
        <f>IFERROR(VLOOKUP(A673,预留库存!A:H,8,0),0)</f>
        <v>0</v>
      </c>
      <c r="I673">
        <f>IFERROR(VLOOKUP(A673,预留库存!A:F,6,0),0)</f>
        <v>0</v>
      </c>
      <c r="J673">
        <f>IFERROR(VLOOKUP(A673,库龄!B:K,9,0),0)</f>
        <v>0</v>
      </c>
      <c r="K673">
        <f>IFERROR(VLOOKUP(A673,库龄!B:L,10,0),0)</f>
        <v>0</v>
      </c>
      <c r="L673">
        <f>IFERROR(VLOOKUP(A673,库龄!B:M,11,0),0)</f>
        <v>0</v>
      </c>
      <c r="M673">
        <f>IFERROR(VLOOKUP(A673,库龄!B:N,12,0),0)</f>
        <v>0</v>
      </c>
      <c r="N673">
        <f t="shared" si="22"/>
        <v>0</v>
      </c>
    </row>
    <row r="674" spans="1:14">
      <c r="A674" s="3" t="s">
        <v>1799</v>
      </c>
      <c r="B674">
        <f>IFERROR(VLOOKUP(A674,管理亚马逊库存!A:K,11,0),"")</f>
        <v>0</v>
      </c>
      <c r="C674">
        <f>IFERROR(VLOOKUP(A674,管理亚马逊库存!A:L,12,0),"")</f>
        <v>0</v>
      </c>
      <c r="D674">
        <f>IFERROR(VLOOKUP(A674,管理亚马逊库存!A:Q,17,0),"")</f>
        <v>0</v>
      </c>
      <c r="E674">
        <f>IFERROR(VLOOKUP(A674,管理亚马逊库存!A:R,18,0),"")</f>
        <v>0</v>
      </c>
      <c r="F674">
        <f t="shared" si="21"/>
        <v>0</v>
      </c>
      <c r="G674">
        <f>IFERROR(VLOOKUP(A674,预留库存!A:G,7,0),0)</f>
        <v>0</v>
      </c>
      <c r="H674">
        <f>IFERROR(VLOOKUP(A674,预留库存!A:H,8,0),0)</f>
        <v>0</v>
      </c>
      <c r="I674">
        <f>IFERROR(VLOOKUP(A674,预留库存!A:F,6,0),0)</f>
        <v>0</v>
      </c>
      <c r="J674">
        <f>IFERROR(VLOOKUP(A674,库龄!B:K,9,0),0)</f>
        <v>0</v>
      </c>
      <c r="K674">
        <f>IFERROR(VLOOKUP(A674,库龄!B:L,10,0),0)</f>
        <v>0</v>
      </c>
      <c r="L674">
        <f>IFERROR(VLOOKUP(A674,库龄!B:M,11,0),0)</f>
        <v>0</v>
      </c>
      <c r="M674">
        <f>IFERROR(VLOOKUP(A674,库龄!B:N,12,0),0)</f>
        <v>0</v>
      </c>
      <c r="N674">
        <f t="shared" si="22"/>
        <v>0</v>
      </c>
    </row>
    <row r="675" spans="1:14">
      <c r="A675" s="3" t="s">
        <v>1801</v>
      </c>
      <c r="B675">
        <f>IFERROR(VLOOKUP(A675,管理亚马逊库存!A:K,11,0),"")</f>
        <v>0</v>
      </c>
      <c r="C675">
        <f>IFERROR(VLOOKUP(A675,管理亚马逊库存!A:L,12,0),"")</f>
        <v>0</v>
      </c>
      <c r="D675">
        <f>IFERROR(VLOOKUP(A675,管理亚马逊库存!A:Q,17,0),"")</f>
        <v>0</v>
      </c>
      <c r="E675">
        <f>IFERROR(VLOOKUP(A675,管理亚马逊库存!A:R,18,0),"")</f>
        <v>0</v>
      </c>
      <c r="F675">
        <f t="shared" si="21"/>
        <v>0</v>
      </c>
      <c r="G675">
        <f>IFERROR(VLOOKUP(A675,预留库存!A:G,7,0),0)</f>
        <v>0</v>
      </c>
      <c r="H675">
        <f>IFERROR(VLOOKUP(A675,预留库存!A:H,8,0),0)</f>
        <v>0</v>
      </c>
      <c r="I675">
        <f>IFERROR(VLOOKUP(A675,预留库存!A:F,6,0),0)</f>
        <v>0</v>
      </c>
      <c r="J675">
        <f>IFERROR(VLOOKUP(A675,库龄!B:K,9,0),0)</f>
        <v>0</v>
      </c>
      <c r="K675">
        <f>IFERROR(VLOOKUP(A675,库龄!B:L,10,0),0)</f>
        <v>0</v>
      </c>
      <c r="L675">
        <f>IFERROR(VLOOKUP(A675,库龄!B:M,11,0),0)</f>
        <v>0</v>
      </c>
      <c r="M675">
        <f>IFERROR(VLOOKUP(A675,库龄!B:N,12,0),0)</f>
        <v>0</v>
      </c>
      <c r="N675">
        <f t="shared" si="22"/>
        <v>0</v>
      </c>
    </row>
    <row r="676" spans="1:14">
      <c r="A676" s="3" t="s">
        <v>1803</v>
      </c>
      <c r="B676">
        <f>IFERROR(VLOOKUP(A676,管理亚马逊库存!A:K,11,0),"")</f>
        <v>3</v>
      </c>
      <c r="C676">
        <f>IFERROR(VLOOKUP(A676,管理亚马逊库存!A:L,12,0),"")</f>
        <v>0</v>
      </c>
      <c r="D676">
        <f>IFERROR(VLOOKUP(A676,管理亚马逊库存!A:Q,17,0),"")</f>
        <v>0</v>
      </c>
      <c r="E676">
        <f>IFERROR(VLOOKUP(A676,管理亚马逊库存!A:R,18,0),"")</f>
        <v>0</v>
      </c>
      <c r="F676">
        <f t="shared" si="21"/>
        <v>0</v>
      </c>
      <c r="G676" t="str">
        <f>IFERROR(VLOOKUP(A676,预留库存!A:G,7,0),0)</f>
        <v>No</v>
      </c>
      <c r="H676">
        <f>IFERROR(VLOOKUP(A676,预留库存!A:H,8,0),0)</f>
        <v>0</v>
      </c>
      <c r="I676">
        <f>IFERROR(VLOOKUP(A676,预留库存!A:F,6,0),0)</f>
        <v>39.98</v>
      </c>
      <c r="J676">
        <f>IFERROR(VLOOKUP(A676,库龄!B:K,9,0),0)</f>
        <v>1</v>
      </c>
      <c r="K676">
        <f>IFERROR(VLOOKUP(A676,库龄!B:L,10,0),0)</f>
        <v>1</v>
      </c>
      <c r="L676">
        <f>IFERROR(VLOOKUP(A676,库龄!B:M,11,0),0)</f>
        <v>0</v>
      </c>
      <c r="M676">
        <f>IFERROR(VLOOKUP(A676,库龄!B:N,12,0),0)</f>
        <v>0</v>
      </c>
      <c r="N676">
        <f t="shared" si="22"/>
        <v>2</v>
      </c>
    </row>
    <row r="677" spans="1:14">
      <c r="A677" s="3" t="s">
        <v>1806</v>
      </c>
      <c r="B677">
        <f>IFERROR(VLOOKUP(A677,管理亚马逊库存!A:K,11,0),"")</f>
        <v>15</v>
      </c>
      <c r="C677">
        <f>IFERROR(VLOOKUP(A677,管理亚马逊库存!A:L,12,0),"")</f>
        <v>0</v>
      </c>
      <c r="D677">
        <f>IFERROR(VLOOKUP(A677,管理亚马逊库存!A:Q,17,0),"")</f>
        <v>0</v>
      </c>
      <c r="E677">
        <f>IFERROR(VLOOKUP(A677,管理亚马逊库存!A:R,18,0),"")</f>
        <v>0</v>
      </c>
      <c r="F677">
        <f t="shared" si="21"/>
        <v>0</v>
      </c>
      <c r="G677" t="str">
        <f>IFERROR(VLOOKUP(A677,预留库存!A:G,7,0),0)</f>
        <v>No</v>
      </c>
      <c r="H677">
        <f>IFERROR(VLOOKUP(A677,预留库存!A:H,8,0),0)</f>
        <v>0</v>
      </c>
      <c r="I677">
        <f>IFERROR(VLOOKUP(A677,预留库存!A:F,6,0),0)</f>
        <v>39.98</v>
      </c>
      <c r="J677">
        <f>IFERROR(VLOOKUP(A677,库龄!B:K,9,0),0)</f>
        <v>0</v>
      </c>
      <c r="K677">
        <f>IFERROR(VLOOKUP(A677,库龄!B:L,10,0),0)</f>
        <v>13</v>
      </c>
      <c r="L677">
        <f>IFERROR(VLOOKUP(A677,库龄!B:M,11,0),0)</f>
        <v>2</v>
      </c>
      <c r="M677">
        <f>IFERROR(VLOOKUP(A677,库龄!B:N,12,0),0)</f>
        <v>0</v>
      </c>
      <c r="N677">
        <f t="shared" si="22"/>
        <v>15</v>
      </c>
    </row>
    <row r="678" spans="1:14">
      <c r="A678" s="3" t="s">
        <v>1809</v>
      </c>
      <c r="B678">
        <f>IFERROR(VLOOKUP(A678,管理亚马逊库存!A:K,11,0),"")</f>
        <v>13</v>
      </c>
      <c r="C678">
        <f>IFERROR(VLOOKUP(A678,管理亚马逊库存!A:L,12,0),"")</f>
        <v>0</v>
      </c>
      <c r="D678">
        <f>IFERROR(VLOOKUP(A678,管理亚马逊库存!A:Q,17,0),"")</f>
        <v>0</v>
      </c>
      <c r="E678">
        <f>IFERROR(VLOOKUP(A678,管理亚马逊库存!A:R,18,0),"")</f>
        <v>0</v>
      </c>
      <c r="F678">
        <f t="shared" si="21"/>
        <v>0</v>
      </c>
      <c r="G678" t="str">
        <f>IFERROR(VLOOKUP(A678,预留库存!A:G,7,0),0)</f>
        <v>No</v>
      </c>
      <c r="H678">
        <f>IFERROR(VLOOKUP(A678,预留库存!A:H,8,0),0)</f>
        <v>0</v>
      </c>
      <c r="I678">
        <f>IFERROR(VLOOKUP(A678,预留库存!A:F,6,0),0)</f>
        <v>39.98</v>
      </c>
      <c r="J678">
        <f>IFERROR(VLOOKUP(A678,库龄!B:K,9,0),0)</f>
        <v>2</v>
      </c>
      <c r="K678">
        <f>IFERROR(VLOOKUP(A678,库龄!B:L,10,0),0)</f>
        <v>10</v>
      </c>
      <c r="L678">
        <f>IFERROR(VLOOKUP(A678,库龄!B:M,11,0),0)</f>
        <v>0</v>
      </c>
      <c r="M678">
        <f>IFERROR(VLOOKUP(A678,库龄!B:N,12,0),0)</f>
        <v>0</v>
      </c>
      <c r="N678">
        <f t="shared" si="22"/>
        <v>12</v>
      </c>
    </row>
    <row r="679" spans="1:14">
      <c r="A679" s="3" t="s">
        <v>1812</v>
      </c>
      <c r="B679">
        <f>IFERROR(VLOOKUP(A679,管理亚马逊库存!A:K,11,0),"")</f>
        <v>0</v>
      </c>
      <c r="C679">
        <f>IFERROR(VLOOKUP(A679,管理亚马逊库存!A:L,12,0),"")</f>
        <v>0</v>
      </c>
      <c r="D679">
        <f>IFERROR(VLOOKUP(A679,管理亚马逊库存!A:Q,17,0),"")</f>
        <v>0</v>
      </c>
      <c r="E679">
        <f>IFERROR(VLOOKUP(A679,管理亚马逊库存!A:R,18,0),"")</f>
        <v>0</v>
      </c>
      <c r="F679">
        <f t="shared" si="21"/>
        <v>0</v>
      </c>
      <c r="G679" t="str">
        <f>IFERROR(VLOOKUP(A679,预留库存!A:G,7,0),0)</f>
        <v>No</v>
      </c>
      <c r="H679">
        <f>IFERROR(VLOOKUP(A679,预留库存!A:H,8,0),0)</f>
        <v>0</v>
      </c>
      <c r="I679">
        <f>IFERROR(VLOOKUP(A679,预留库存!A:F,6,0),0)</f>
        <v>24.98</v>
      </c>
      <c r="J679">
        <f>IFERROR(VLOOKUP(A679,库龄!B:K,9,0),0)</f>
        <v>0</v>
      </c>
      <c r="K679">
        <f>IFERROR(VLOOKUP(A679,库龄!B:L,10,0),0)</f>
        <v>0</v>
      </c>
      <c r="L679">
        <f>IFERROR(VLOOKUP(A679,库龄!B:M,11,0),0)</f>
        <v>0</v>
      </c>
      <c r="M679">
        <f>IFERROR(VLOOKUP(A679,库龄!B:N,12,0),0)</f>
        <v>0</v>
      </c>
      <c r="N679">
        <f t="shared" si="22"/>
        <v>0</v>
      </c>
    </row>
    <row r="680" spans="1:14">
      <c r="A680" s="3" t="s">
        <v>1815</v>
      </c>
      <c r="B680">
        <f>IFERROR(VLOOKUP(A680,管理亚马逊库存!A:K,11,0),"")</f>
        <v>12</v>
      </c>
      <c r="C680">
        <f>IFERROR(VLOOKUP(A680,管理亚马逊库存!A:L,12,0),"")</f>
        <v>0</v>
      </c>
      <c r="D680">
        <f>IFERROR(VLOOKUP(A680,管理亚马逊库存!A:Q,17,0),"")</f>
        <v>0</v>
      </c>
      <c r="E680">
        <f>IFERROR(VLOOKUP(A680,管理亚马逊库存!A:R,18,0),"")</f>
        <v>0</v>
      </c>
      <c r="F680">
        <f t="shared" si="21"/>
        <v>0</v>
      </c>
      <c r="G680" t="str">
        <f>IFERROR(VLOOKUP(A680,预留库存!A:G,7,0),0)</f>
        <v>No</v>
      </c>
      <c r="H680">
        <f>IFERROR(VLOOKUP(A680,预留库存!A:H,8,0),0)</f>
        <v>0</v>
      </c>
      <c r="I680">
        <f>IFERROR(VLOOKUP(A680,预留库存!A:F,6,0),0)</f>
        <v>39.98</v>
      </c>
      <c r="J680">
        <f>IFERROR(VLOOKUP(A680,库龄!B:K,9,0),0)</f>
        <v>1</v>
      </c>
      <c r="K680">
        <f>IFERROR(VLOOKUP(A680,库龄!B:L,10,0),0)</f>
        <v>10</v>
      </c>
      <c r="L680">
        <f>IFERROR(VLOOKUP(A680,库龄!B:M,11,0),0)</f>
        <v>0</v>
      </c>
      <c r="M680">
        <f>IFERROR(VLOOKUP(A680,库龄!B:N,12,0),0)</f>
        <v>0</v>
      </c>
      <c r="N680">
        <f t="shared" si="22"/>
        <v>11</v>
      </c>
    </row>
    <row r="681" spans="1:14">
      <c r="A681" s="3" t="s">
        <v>1818</v>
      </c>
      <c r="B681">
        <f>IFERROR(VLOOKUP(A681,管理亚马逊库存!A:K,11,0),"")</f>
        <v>0</v>
      </c>
      <c r="C681">
        <f>IFERROR(VLOOKUP(A681,管理亚马逊库存!A:L,12,0),"")</f>
        <v>0</v>
      </c>
      <c r="D681">
        <f>IFERROR(VLOOKUP(A681,管理亚马逊库存!A:Q,17,0),"")</f>
        <v>0</v>
      </c>
      <c r="E681">
        <f>IFERROR(VLOOKUP(A681,管理亚马逊库存!A:R,18,0),"")</f>
        <v>0</v>
      </c>
      <c r="F681">
        <f t="shared" si="21"/>
        <v>0</v>
      </c>
      <c r="G681" t="str">
        <f>IFERROR(VLOOKUP(A681,预留库存!A:G,7,0),0)</f>
        <v>No</v>
      </c>
      <c r="H681">
        <f>IFERROR(VLOOKUP(A681,预留库存!A:H,8,0),0)</f>
        <v>0</v>
      </c>
      <c r="I681">
        <f>IFERROR(VLOOKUP(A681,预留库存!A:F,6,0),0)</f>
        <v>39.98</v>
      </c>
      <c r="J681">
        <f>IFERROR(VLOOKUP(A681,库龄!B:K,9,0),0)</f>
        <v>0</v>
      </c>
      <c r="K681">
        <f>IFERROR(VLOOKUP(A681,库龄!B:L,10,0),0)</f>
        <v>0</v>
      </c>
      <c r="L681">
        <f>IFERROR(VLOOKUP(A681,库龄!B:M,11,0),0)</f>
        <v>0</v>
      </c>
      <c r="M681">
        <f>IFERROR(VLOOKUP(A681,库龄!B:N,12,0),0)</f>
        <v>0</v>
      </c>
      <c r="N681">
        <f t="shared" si="22"/>
        <v>0</v>
      </c>
    </row>
    <row r="682" spans="1:14">
      <c r="A682" s="3" t="s">
        <v>1821</v>
      </c>
      <c r="B682">
        <f>IFERROR(VLOOKUP(A682,管理亚马逊库存!A:K,11,0),"")</f>
        <v>8</v>
      </c>
      <c r="C682">
        <f>IFERROR(VLOOKUP(A682,管理亚马逊库存!A:L,12,0),"")</f>
        <v>0</v>
      </c>
      <c r="D682">
        <f>IFERROR(VLOOKUP(A682,管理亚马逊库存!A:Q,17,0),"")</f>
        <v>0</v>
      </c>
      <c r="E682">
        <f>IFERROR(VLOOKUP(A682,管理亚马逊库存!A:R,18,0),"")</f>
        <v>0</v>
      </c>
      <c r="F682">
        <f t="shared" si="21"/>
        <v>0</v>
      </c>
      <c r="G682" t="str">
        <f>IFERROR(VLOOKUP(A682,预留库存!A:G,7,0),0)</f>
        <v>No</v>
      </c>
      <c r="H682">
        <f>IFERROR(VLOOKUP(A682,预留库存!A:H,8,0),0)</f>
        <v>0</v>
      </c>
      <c r="I682">
        <f>IFERROR(VLOOKUP(A682,预留库存!A:F,6,0),0)</f>
        <v>25.98</v>
      </c>
      <c r="J682">
        <f>IFERROR(VLOOKUP(A682,库龄!B:K,9,0),0)</f>
        <v>5</v>
      </c>
      <c r="K682">
        <f>IFERROR(VLOOKUP(A682,库龄!B:L,10,0),0)</f>
        <v>3</v>
      </c>
      <c r="L682">
        <f>IFERROR(VLOOKUP(A682,库龄!B:M,11,0),0)</f>
        <v>0</v>
      </c>
      <c r="M682">
        <f>IFERROR(VLOOKUP(A682,库龄!B:N,12,0),0)</f>
        <v>0</v>
      </c>
      <c r="N682">
        <f t="shared" si="22"/>
        <v>8</v>
      </c>
    </row>
    <row r="683" spans="1:14">
      <c r="A683" s="3" t="s">
        <v>1824</v>
      </c>
      <c r="B683">
        <f>IFERROR(VLOOKUP(A683,管理亚马逊库存!A:K,11,0),"")</f>
        <v>9</v>
      </c>
      <c r="C683">
        <f>IFERROR(VLOOKUP(A683,管理亚马逊库存!A:L,12,0),"")</f>
        <v>0</v>
      </c>
      <c r="D683">
        <f>IFERROR(VLOOKUP(A683,管理亚马逊库存!A:Q,17,0),"")</f>
        <v>0</v>
      </c>
      <c r="E683">
        <f>IFERROR(VLOOKUP(A683,管理亚马逊库存!A:R,18,0),"")</f>
        <v>0</v>
      </c>
      <c r="F683">
        <f t="shared" si="21"/>
        <v>0</v>
      </c>
      <c r="G683" t="str">
        <f>IFERROR(VLOOKUP(A683,预留库存!A:G,7,0),0)</f>
        <v>No</v>
      </c>
      <c r="H683">
        <f>IFERROR(VLOOKUP(A683,预留库存!A:H,8,0),0)</f>
        <v>0</v>
      </c>
      <c r="I683">
        <f>IFERROR(VLOOKUP(A683,预留库存!A:F,6,0),0)</f>
        <v>25.98</v>
      </c>
      <c r="J683">
        <f>IFERROR(VLOOKUP(A683,库龄!B:K,9,0),0)</f>
        <v>1</v>
      </c>
      <c r="K683">
        <f>IFERROR(VLOOKUP(A683,库龄!B:L,10,0),0)</f>
        <v>7</v>
      </c>
      <c r="L683">
        <f>IFERROR(VLOOKUP(A683,库龄!B:M,11,0),0)</f>
        <v>0</v>
      </c>
      <c r="M683">
        <f>IFERROR(VLOOKUP(A683,库龄!B:N,12,0),0)</f>
        <v>0</v>
      </c>
      <c r="N683">
        <f t="shared" si="22"/>
        <v>8</v>
      </c>
    </row>
    <row r="684" spans="1:14">
      <c r="A684" s="3" t="s">
        <v>1827</v>
      </c>
      <c r="B684">
        <f>IFERROR(VLOOKUP(A684,管理亚马逊库存!A:K,11,0),"")</f>
        <v>0</v>
      </c>
      <c r="C684">
        <f>IFERROR(VLOOKUP(A684,管理亚马逊库存!A:L,12,0),"")</f>
        <v>0</v>
      </c>
      <c r="D684">
        <f>IFERROR(VLOOKUP(A684,管理亚马逊库存!A:Q,17,0),"")</f>
        <v>0</v>
      </c>
      <c r="E684">
        <f>IFERROR(VLOOKUP(A684,管理亚马逊库存!A:R,18,0),"")</f>
        <v>0</v>
      </c>
      <c r="F684">
        <f t="shared" si="21"/>
        <v>0</v>
      </c>
      <c r="G684" t="str">
        <f>IFERROR(VLOOKUP(A684,预留库存!A:G,7,0),0)</f>
        <v>No</v>
      </c>
      <c r="H684">
        <f>IFERROR(VLOOKUP(A684,预留库存!A:H,8,0),0)</f>
        <v>0</v>
      </c>
      <c r="I684">
        <f>IFERROR(VLOOKUP(A684,预留库存!A:F,6,0),0)</f>
        <v>39.98</v>
      </c>
      <c r="J684">
        <f>IFERROR(VLOOKUP(A684,库龄!B:K,9,0),0)</f>
        <v>0</v>
      </c>
      <c r="K684">
        <f>IFERROR(VLOOKUP(A684,库龄!B:L,10,0),0)</f>
        <v>0</v>
      </c>
      <c r="L684">
        <f>IFERROR(VLOOKUP(A684,库龄!B:M,11,0),0)</f>
        <v>0</v>
      </c>
      <c r="M684">
        <f>IFERROR(VLOOKUP(A684,库龄!B:N,12,0),0)</f>
        <v>0</v>
      </c>
      <c r="N684">
        <f t="shared" si="22"/>
        <v>0</v>
      </c>
    </row>
    <row r="685" spans="1:14">
      <c r="A685" s="3" t="s">
        <v>1830</v>
      </c>
      <c r="B685">
        <f>IFERROR(VLOOKUP(A685,管理亚马逊库存!A:K,11,0),"")</f>
        <v>3</v>
      </c>
      <c r="C685">
        <f>IFERROR(VLOOKUP(A685,管理亚马逊库存!A:L,12,0),"")</f>
        <v>0</v>
      </c>
      <c r="D685">
        <f>IFERROR(VLOOKUP(A685,管理亚马逊库存!A:Q,17,0),"")</f>
        <v>0</v>
      </c>
      <c r="E685">
        <f>IFERROR(VLOOKUP(A685,管理亚马逊库存!A:R,18,0),"")</f>
        <v>0</v>
      </c>
      <c r="F685">
        <f t="shared" si="21"/>
        <v>0</v>
      </c>
      <c r="G685" t="str">
        <f>IFERROR(VLOOKUP(A685,预留库存!A:G,7,0),0)</f>
        <v>No</v>
      </c>
      <c r="H685">
        <f>IFERROR(VLOOKUP(A685,预留库存!A:H,8,0),0)</f>
        <v>0</v>
      </c>
      <c r="I685">
        <f>IFERROR(VLOOKUP(A685,预留库存!A:F,6,0),0)</f>
        <v>39.98</v>
      </c>
      <c r="J685">
        <f>IFERROR(VLOOKUP(A685,库龄!B:K,9,0),0)</f>
        <v>3</v>
      </c>
      <c r="K685">
        <f>IFERROR(VLOOKUP(A685,库龄!B:L,10,0),0)</f>
        <v>0</v>
      </c>
      <c r="L685">
        <f>IFERROR(VLOOKUP(A685,库龄!B:M,11,0),0)</f>
        <v>0</v>
      </c>
      <c r="M685">
        <f>IFERROR(VLOOKUP(A685,库龄!B:N,12,0),0)</f>
        <v>0</v>
      </c>
      <c r="N685">
        <f t="shared" si="22"/>
        <v>3</v>
      </c>
    </row>
    <row r="686" spans="1:14">
      <c r="A686" s="3" t="s">
        <v>1833</v>
      </c>
      <c r="B686">
        <f>IFERROR(VLOOKUP(A686,管理亚马逊库存!A:K,11,0),"")</f>
        <v>0</v>
      </c>
      <c r="C686">
        <f>IFERROR(VLOOKUP(A686,管理亚马逊库存!A:L,12,0),"")</f>
        <v>0</v>
      </c>
      <c r="D686">
        <f>IFERROR(VLOOKUP(A686,管理亚马逊库存!A:Q,17,0),"")</f>
        <v>0</v>
      </c>
      <c r="E686">
        <f>IFERROR(VLOOKUP(A686,管理亚马逊库存!A:R,18,0),"")</f>
        <v>0</v>
      </c>
      <c r="F686">
        <f t="shared" si="21"/>
        <v>0</v>
      </c>
      <c r="G686" t="str">
        <f>IFERROR(VLOOKUP(A686,预留库存!A:G,7,0),0)</f>
        <v>No</v>
      </c>
      <c r="H686">
        <f>IFERROR(VLOOKUP(A686,预留库存!A:H,8,0),0)</f>
        <v>0</v>
      </c>
      <c r="I686">
        <f>IFERROR(VLOOKUP(A686,预留库存!A:F,6,0),0)</f>
        <v>39.98</v>
      </c>
      <c r="J686">
        <f>IFERROR(VLOOKUP(A686,库龄!B:K,9,0),0)</f>
        <v>0</v>
      </c>
      <c r="K686">
        <f>IFERROR(VLOOKUP(A686,库龄!B:L,10,0),0)</f>
        <v>0</v>
      </c>
      <c r="L686">
        <f>IFERROR(VLOOKUP(A686,库龄!B:M,11,0),0)</f>
        <v>0</v>
      </c>
      <c r="M686">
        <f>IFERROR(VLOOKUP(A686,库龄!B:N,12,0),0)</f>
        <v>0</v>
      </c>
      <c r="N686">
        <f t="shared" si="22"/>
        <v>0</v>
      </c>
    </row>
    <row r="687" spans="1:14">
      <c r="A687" s="3" t="s">
        <v>1836</v>
      </c>
      <c r="B687">
        <f>IFERROR(VLOOKUP(A687,管理亚马逊库存!A:K,11,0),"")</f>
        <v>0</v>
      </c>
      <c r="C687">
        <f>IFERROR(VLOOKUP(A687,管理亚马逊库存!A:L,12,0),"")</f>
        <v>0</v>
      </c>
      <c r="D687">
        <f>IFERROR(VLOOKUP(A687,管理亚马逊库存!A:Q,17,0),"")</f>
        <v>0</v>
      </c>
      <c r="E687">
        <f>IFERROR(VLOOKUP(A687,管理亚马逊库存!A:R,18,0),"")</f>
        <v>0</v>
      </c>
      <c r="F687">
        <f t="shared" si="21"/>
        <v>0</v>
      </c>
      <c r="G687">
        <f>IFERROR(VLOOKUP(A687,预留库存!A:G,7,0),0)</f>
        <v>0</v>
      </c>
      <c r="H687">
        <f>IFERROR(VLOOKUP(A687,预留库存!A:H,8,0),0)</f>
        <v>0</v>
      </c>
      <c r="I687">
        <f>IFERROR(VLOOKUP(A687,预留库存!A:F,6,0),0)</f>
        <v>0</v>
      </c>
      <c r="J687">
        <f>IFERROR(VLOOKUP(A687,库龄!B:K,9,0),0)</f>
        <v>0</v>
      </c>
      <c r="K687">
        <f>IFERROR(VLOOKUP(A687,库龄!B:L,10,0),0)</f>
        <v>0</v>
      </c>
      <c r="L687">
        <f>IFERROR(VLOOKUP(A687,库龄!B:M,11,0),0)</f>
        <v>0</v>
      </c>
      <c r="M687">
        <f>IFERROR(VLOOKUP(A687,库龄!B:N,12,0),0)</f>
        <v>0</v>
      </c>
      <c r="N687">
        <f t="shared" si="22"/>
        <v>0</v>
      </c>
    </row>
    <row r="688" spans="1:14">
      <c r="A688" s="3" t="s">
        <v>1838</v>
      </c>
      <c r="B688">
        <f>IFERROR(VLOOKUP(A688,管理亚马逊库存!A:K,11,0),"")</f>
        <v>2</v>
      </c>
      <c r="C688">
        <f>IFERROR(VLOOKUP(A688,管理亚马逊库存!A:L,12,0),"")</f>
        <v>0</v>
      </c>
      <c r="D688">
        <f>IFERROR(VLOOKUP(A688,管理亚马逊库存!A:Q,17,0),"")</f>
        <v>0</v>
      </c>
      <c r="E688">
        <f>IFERROR(VLOOKUP(A688,管理亚马逊库存!A:R,18,0),"")</f>
        <v>0</v>
      </c>
      <c r="F688">
        <f t="shared" si="21"/>
        <v>0</v>
      </c>
      <c r="G688" t="str">
        <f>IFERROR(VLOOKUP(A688,预留库存!A:G,7,0),0)</f>
        <v>No</v>
      </c>
      <c r="H688">
        <f>IFERROR(VLOOKUP(A688,预留库存!A:H,8,0),0)</f>
        <v>0</v>
      </c>
      <c r="I688">
        <f>IFERROR(VLOOKUP(A688,预留库存!A:F,6,0),0)</f>
        <v>39.98</v>
      </c>
      <c r="J688">
        <f>IFERROR(VLOOKUP(A688,库龄!B:K,9,0),0)</f>
        <v>2</v>
      </c>
      <c r="K688">
        <f>IFERROR(VLOOKUP(A688,库龄!B:L,10,0),0)</f>
        <v>0</v>
      </c>
      <c r="L688">
        <f>IFERROR(VLOOKUP(A688,库龄!B:M,11,0),0)</f>
        <v>0</v>
      </c>
      <c r="M688">
        <f>IFERROR(VLOOKUP(A688,库龄!B:N,12,0),0)</f>
        <v>0</v>
      </c>
      <c r="N688">
        <f t="shared" si="22"/>
        <v>2</v>
      </c>
    </row>
    <row r="689" spans="1:14">
      <c r="A689" s="3" t="s">
        <v>1841</v>
      </c>
      <c r="B689">
        <f>IFERROR(VLOOKUP(A689,管理亚马逊库存!A:K,11,0),"")</f>
        <v>0</v>
      </c>
      <c r="C689">
        <f>IFERROR(VLOOKUP(A689,管理亚马逊库存!A:L,12,0),"")</f>
        <v>0</v>
      </c>
      <c r="D689">
        <f>IFERROR(VLOOKUP(A689,管理亚马逊库存!A:Q,17,0),"")</f>
        <v>0</v>
      </c>
      <c r="E689">
        <f>IFERROR(VLOOKUP(A689,管理亚马逊库存!A:R,18,0),"")</f>
        <v>0</v>
      </c>
      <c r="F689">
        <f t="shared" si="21"/>
        <v>0</v>
      </c>
      <c r="G689" t="str">
        <f>IFERROR(VLOOKUP(A689,预留库存!A:G,7,0),0)</f>
        <v>No</v>
      </c>
      <c r="H689">
        <f>IFERROR(VLOOKUP(A689,预留库存!A:H,8,0),0)</f>
        <v>0</v>
      </c>
      <c r="I689">
        <f>IFERROR(VLOOKUP(A689,预留库存!A:F,6,0),0)</f>
        <v>39.98</v>
      </c>
      <c r="J689">
        <f>IFERROR(VLOOKUP(A689,库龄!B:K,9,0),0)</f>
        <v>0</v>
      </c>
      <c r="K689">
        <f>IFERROR(VLOOKUP(A689,库龄!B:L,10,0),0)</f>
        <v>0</v>
      </c>
      <c r="L689">
        <f>IFERROR(VLOOKUP(A689,库龄!B:M,11,0),0)</f>
        <v>0</v>
      </c>
      <c r="M689">
        <f>IFERROR(VLOOKUP(A689,库龄!B:N,12,0),0)</f>
        <v>0</v>
      </c>
      <c r="N689">
        <f t="shared" si="22"/>
        <v>0</v>
      </c>
    </row>
    <row r="690" spans="1:14">
      <c r="A690" s="3" t="s">
        <v>1844</v>
      </c>
      <c r="B690">
        <f>IFERROR(VLOOKUP(A690,管理亚马逊库存!A:K,11,0),"")</f>
        <v>0</v>
      </c>
      <c r="C690">
        <f>IFERROR(VLOOKUP(A690,管理亚马逊库存!A:L,12,0),"")</f>
        <v>0</v>
      </c>
      <c r="D690">
        <f>IFERROR(VLOOKUP(A690,管理亚马逊库存!A:Q,17,0),"")</f>
        <v>0</v>
      </c>
      <c r="E690">
        <f>IFERROR(VLOOKUP(A690,管理亚马逊库存!A:R,18,0),"")</f>
        <v>0</v>
      </c>
      <c r="F690">
        <f t="shared" si="21"/>
        <v>0</v>
      </c>
      <c r="G690" t="str">
        <f>IFERROR(VLOOKUP(A690,预留库存!A:G,7,0),0)</f>
        <v>No</v>
      </c>
      <c r="H690">
        <f>IFERROR(VLOOKUP(A690,预留库存!A:H,8,0),0)</f>
        <v>0</v>
      </c>
      <c r="I690">
        <f>IFERROR(VLOOKUP(A690,预留库存!A:F,6,0),0)</f>
        <v>22.98</v>
      </c>
      <c r="J690">
        <f>IFERROR(VLOOKUP(A690,库龄!B:K,9,0),0)</f>
        <v>0</v>
      </c>
      <c r="K690">
        <f>IFERROR(VLOOKUP(A690,库龄!B:L,10,0),0)</f>
        <v>0</v>
      </c>
      <c r="L690">
        <f>IFERROR(VLOOKUP(A690,库龄!B:M,11,0),0)</f>
        <v>0</v>
      </c>
      <c r="M690">
        <f>IFERROR(VLOOKUP(A690,库龄!B:N,12,0),0)</f>
        <v>0</v>
      </c>
      <c r="N690">
        <f t="shared" si="22"/>
        <v>0</v>
      </c>
    </row>
    <row r="691" spans="1:14">
      <c r="A691" s="3" t="s">
        <v>1846</v>
      </c>
      <c r="B691">
        <f>IFERROR(VLOOKUP(A691,管理亚马逊库存!A:K,11,0),"")</f>
        <v>0</v>
      </c>
      <c r="C691">
        <f>IFERROR(VLOOKUP(A691,管理亚马逊库存!A:L,12,0),"")</f>
        <v>0</v>
      </c>
      <c r="D691">
        <f>IFERROR(VLOOKUP(A691,管理亚马逊库存!A:Q,17,0),"")</f>
        <v>0</v>
      </c>
      <c r="E691">
        <f>IFERROR(VLOOKUP(A691,管理亚马逊库存!A:R,18,0),"")</f>
        <v>0</v>
      </c>
      <c r="F691">
        <f t="shared" si="21"/>
        <v>0</v>
      </c>
      <c r="G691" t="str">
        <f>IFERROR(VLOOKUP(A691,预留库存!A:G,7,0),0)</f>
        <v>No</v>
      </c>
      <c r="H691">
        <f>IFERROR(VLOOKUP(A691,预留库存!A:H,8,0),0)</f>
        <v>0</v>
      </c>
      <c r="I691">
        <f>IFERROR(VLOOKUP(A691,预留库存!A:F,6,0),0)</f>
        <v>12.98</v>
      </c>
      <c r="J691">
        <f>IFERROR(VLOOKUP(A691,库龄!B:K,9,0),0)</f>
        <v>0</v>
      </c>
      <c r="K691">
        <f>IFERROR(VLOOKUP(A691,库龄!B:L,10,0),0)</f>
        <v>0</v>
      </c>
      <c r="L691">
        <f>IFERROR(VLOOKUP(A691,库龄!B:M,11,0),0)</f>
        <v>0</v>
      </c>
      <c r="M691">
        <f>IFERROR(VLOOKUP(A691,库龄!B:N,12,0),0)</f>
        <v>0</v>
      </c>
      <c r="N691">
        <f t="shared" si="22"/>
        <v>0</v>
      </c>
    </row>
    <row r="692" spans="1:14">
      <c r="A692" s="3" t="s">
        <v>1849</v>
      </c>
      <c r="B692">
        <f>IFERROR(VLOOKUP(A692,管理亚马逊库存!A:K,11,0),"")</f>
        <v>0</v>
      </c>
      <c r="C692">
        <f>IFERROR(VLOOKUP(A692,管理亚马逊库存!A:L,12,0),"")</f>
        <v>0</v>
      </c>
      <c r="D692">
        <f>IFERROR(VLOOKUP(A692,管理亚马逊库存!A:Q,17,0),"")</f>
        <v>0</v>
      </c>
      <c r="E692">
        <f>IFERROR(VLOOKUP(A692,管理亚马逊库存!A:R,18,0),"")</f>
        <v>0</v>
      </c>
      <c r="F692">
        <f t="shared" si="21"/>
        <v>0</v>
      </c>
      <c r="G692">
        <f>IFERROR(VLOOKUP(A692,预留库存!A:G,7,0),0)</f>
        <v>0</v>
      </c>
      <c r="H692">
        <f>IFERROR(VLOOKUP(A692,预留库存!A:H,8,0),0)</f>
        <v>0</v>
      </c>
      <c r="I692">
        <f>IFERROR(VLOOKUP(A692,预留库存!A:F,6,0),0)</f>
        <v>0</v>
      </c>
      <c r="J692">
        <f>IFERROR(VLOOKUP(A692,库龄!B:K,9,0),0)</f>
        <v>0</v>
      </c>
      <c r="K692">
        <f>IFERROR(VLOOKUP(A692,库龄!B:L,10,0),0)</f>
        <v>0</v>
      </c>
      <c r="L692">
        <f>IFERROR(VLOOKUP(A692,库龄!B:M,11,0),0)</f>
        <v>0</v>
      </c>
      <c r="M692">
        <f>IFERROR(VLOOKUP(A692,库龄!B:N,12,0),0)</f>
        <v>0</v>
      </c>
      <c r="N692">
        <f t="shared" si="22"/>
        <v>0</v>
      </c>
    </row>
    <row r="693" spans="1:14">
      <c r="A693" s="3" t="s">
        <v>1851</v>
      </c>
      <c r="B693">
        <f>IFERROR(VLOOKUP(A693,管理亚马逊库存!A:K,11,0),"")</f>
        <v>0</v>
      </c>
      <c r="C693">
        <f>IFERROR(VLOOKUP(A693,管理亚马逊库存!A:L,12,0),"")</f>
        <v>0</v>
      </c>
      <c r="D693">
        <f>IFERROR(VLOOKUP(A693,管理亚马逊库存!A:Q,17,0),"")</f>
        <v>0</v>
      </c>
      <c r="E693">
        <f>IFERROR(VLOOKUP(A693,管理亚马逊库存!A:R,18,0),"")</f>
        <v>0</v>
      </c>
      <c r="F693">
        <f t="shared" si="21"/>
        <v>0</v>
      </c>
      <c r="G693" t="str">
        <f>IFERROR(VLOOKUP(A693,预留库存!A:G,7,0),0)</f>
        <v>No</v>
      </c>
      <c r="H693">
        <f>IFERROR(VLOOKUP(A693,预留库存!A:H,8,0),0)</f>
        <v>0</v>
      </c>
      <c r="I693">
        <f>IFERROR(VLOOKUP(A693,预留库存!A:F,6,0),0)</f>
        <v>24.98</v>
      </c>
      <c r="J693">
        <f>IFERROR(VLOOKUP(A693,库龄!B:K,9,0),0)</f>
        <v>0</v>
      </c>
      <c r="K693">
        <f>IFERROR(VLOOKUP(A693,库龄!B:L,10,0),0)</f>
        <v>0</v>
      </c>
      <c r="L693">
        <f>IFERROR(VLOOKUP(A693,库龄!B:M,11,0),0)</f>
        <v>0</v>
      </c>
      <c r="M693">
        <f>IFERROR(VLOOKUP(A693,库龄!B:N,12,0),0)</f>
        <v>0</v>
      </c>
      <c r="N693">
        <f t="shared" si="22"/>
        <v>0</v>
      </c>
    </row>
    <row r="694" spans="1:14">
      <c r="A694" s="3" t="s">
        <v>1854</v>
      </c>
      <c r="B694">
        <f>IFERROR(VLOOKUP(A694,管理亚马逊库存!A:K,11,0),"")</f>
        <v>0</v>
      </c>
      <c r="C694">
        <f>IFERROR(VLOOKUP(A694,管理亚马逊库存!A:L,12,0),"")</f>
        <v>0</v>
      </c>
      <c r="D694">
        <f>IFERROR(VLOOKUP(A694,管理亚马逊库存!A:Q,17,0),"")</f>
        <v>0</v>
      </c>
      <c r="E694">
        <f>IFERROR(VLOOKUP(A694,管理亚马逊库存!A:R,18,0),"")</f>
        <v>0</v>
      </c>
      <c r="F694">
        <f t="shared" si="21"/>
        <v>0</v>
      </c>
      <c r="G694" t="str">
        <f>IFERROR(VLOOKUP(A694,预留库存!A:G,7,0),0)</f>
        <v>No</v>
      </c>
      <c r="H694">
        <f>IFERROR(VLOOKUP(A694,预留库存!A:H,8,0),0)</f>
        <v>0</v>
      </c>
      <c r="I694">
        <f>IFERROR(VLOOKUP(A694,预留库存!A:F,6,0),0)</f>
        <v>22.98</v>
      </c>
      <c r="J694">
        <f>IFERROR(VLOOKUP(A694,库龄!B:K,9,0),0)</f>
        <v>0</v>
      </c>
      <c r="K694">
        <f>IFERROR(VLOOKUP(A694,库龄!B:L,10,0),0)</f>
        <v>0</v>
      </c>
      <c r="L694">
        <f>IFERROR(VLOOKUP(A694,库龄!B:M,11,0),0)</f>
        <v>0</v>
      </c>
      <c r="M694">
        <f>IFERROR(VLOOKUP(A694,库龄!B:N,12,0),0)</f>
        <v>0</v>
      </c>
      <c r="N694">
        <f t="shared" si="22"/>
        <v>0</v>
      </c>
    </row>
    <row r="695" spans="1:14">
      <c r="A695" s="3" t="s">
        <v>1857</v>
      </c>
      <c r="B695">
        <f>IFERROR(VLOOKUP(A695,管理亚马逊库存!A:K,11,0),"")</f>
        <v>6</v>
      </c>
      <c r="C695">
        <f>IFERROR(VLOOKUP(A695,管理亚马逊库存!A:L,12,0),"")</f>
        <v>0</v>
      </c>
      <c r="D695">
        <f>IFERROR(VLOOKUP(A695,管理亚马逊库存!A:Q,17,0),"")</f>
        <v>0</v>
      </c>
      <c r="E695">
        <f>IFERROR(VLOOKUP(A695,管理亚马逊库存!A:R,18,0),"")</f>
        <v>0</v>
      </c>
      <c r="F695">
        <f t="shared" si="21"/>
        <v>0</v>
      </c>
      <c r="G695" t="str">
        <f>IFERROR(VLOOKUP(A695,预留库存!A:G,7,0),0)</f>
        <v>No</v>
      </c>
      <c r="H695">
        <f>IFERROR(VLOOKUP(A695,预留库存!A:H,8,0),0)</f>
        <v>0</v>
      </c>
      <c r="I695">
        <f>IFERROR(VLOOKUP(A695,预留库存!A:F,6,0),0)</f>
        <v>14.98</v>
      </c>
      <c r="J695">
        <f>IFERROR(VLOOKUP(A695,库龄!B:K,9,0),0)</f>
        <v>0</v>
      </c>
      <c r="K695">
        <f>IFERROR(VLOOKUP(A695,库龄!B:L,10,0),0)</f>
        <v>0</v>
      </c>
      <c r="L695">
        <f>IFERROR(VLOOKUP(A695,库龄!B:M,11,0),0)</f>
        <v>0</v>
      </c>
      <c r="M695">
        <f>IFERROR(VLOOKUP(A695,库龄!B:N,12,0),0)</f>
        <v>0</v>
      </c>
      <c r="N695">
        <f t="shared" si="22"/>
        <v>0</v>
      </c>
    </row>
    <row r="696" spans="1:14">
      <c r="A696" s="3" t="s">
        <v>1860</v>
      </c>
      <c r="B696">
        <f>IFERROR(VLOOKUP(A696,管理亚马逊库存!A:K,11,0),"")</f>
        <v>0</v>
      </c>
      <c r="C696">
        <f>IFERROR(VLOOKUP(A696,管理亚马逊库存!A:L,12,0),"")</f>
        <v>0</v>
      </c>
      <c r="D696">
        <f>IFERROR(VLOOKUP(A696,管理亚马逊库存!A:Q,17,0),"")</f>
        <v>0</v>
      </c>
      <c r="E696">
        <f>IFERROR(VLOOKUP(A696,管理亚马逊库存!A:R,18,0),"")</f>
        <v>0</v>
      </c>
      <c r="F696">
        <f t="shared" si="21"/>
        <v>0</v>
      </c>
      <c r="G696" t="str">
        <f>IFERROR(VLOOKUP(A696,预留库存!A:G,7,0),0)</f>
        <v>Yes</v>
      </c>
      <c r="H696">
        <f>IFERROR(VLOOKUP(A696,预留库存!A:H,8,0),0)</f>
        <v>0</v>
      </c>
      <c r="I696">
        <f>IFERROR(VLOOKUP(A696,预留库存!A:F,6,0),0)</f>
        <v>24.98</v>
      </c>
      <c r="J696">
        <f>IFERROR(VLOOKUP(A696,库龄!B:K,9,0),0)</f>
        <v>0</v>
      </c>
      <c r="K696">
        <f>IFERROR(VLOOKUP(A696,库龄!B:L,10,0),0)</f>
        <v>0</v>
      </c>
      <c r="L696">
        <f>IFERROR(VLOOKUP(A696,库龄!B:M,11,0),0)</f>
        <v>0</v>
      </c>
      <c r="M696">
        <f>IFERROR(VLOOKUP(A696,库龄!B:N,12,0),0)</f>
        <v>0</v>
      </c>
      <c r="N696">
        <f t="shared" si="22"/>
        <v>0</v>
      </c>
    </row>
    <row r="697" spans="1:14">
      <c r="A697" s="3" t="s">
        <v>1863</v>
      </c>
      <c r="B697">
        <f>IFERROR(VLOOKUP(A697,管理亚马逊库存!A:K,11,0),"")</f>
        <v>10</v>
      </c>
      <c r="C697">
        <f>IFERROR(VLOOKUP(A697,管理亚马逊库存!A:L,12,0),"")</f>
        <v>0</v>
      </c>
      <c r="D697">
        <f>IFERROR(VLOOKUP(A697,管理亚马逊库存!A:Q,17,0),"")</f>
        <v>0</v>
      </c>
      <c r="E697">
        <f>IFERROR(VLOOKUP(A697,管理亚马逊库存!A:R,18,0),"")</f>
        <v>0</v>
      </c>
      <c r="F697">
        <f t="shared" si="21"/>
        <v>0</v>
      </c>
      <c r="G697" t="str">
        <f>IFERROR(VLOOKUP(A697,预留库存!A:G,7,0),0)</f>
        <v>No</v>
      </c>
      <c r="H697">
        <f>IFERROR(VLOOKUP(A697,预留库存!A:H,8,0),0)</f>
        <v>0</v>
      </c>
      <c r="I697">
        <f>IFERROR(VLOOKUP(A697,预留库存!A:F,6,0),0)</f>
        <v>22.98</v>
      </c>
      <c r="J697">
        <f>IFERROR(VLOOKUP(A697,库龄!B:K,9,0),0)</f>
        <v>0</v>
      </c>
      <c r="K697">
        <f>IFERROR(VLOOKUP(A697,库龄!B:L,10,0),0)</f>
        <v>0</v>
      </c>
      <c r="L697">
        <f>IFERROR(VLOOKUP(A697,库龄!B:M,11,0),0)</f>
        <v>0</v>
      </c>
      <c r="M697">
        <f>IFERROR(VLOOKUP(A697,库龄!B:N,12,0),0)</f>
        <v>0</v>
      </c>
      <c r="N697">
        <f t="shared" si="22"/>
        <v>0</v>
      </c>
    </row>
    <row r="698" spans="1:14">
      <c r="A698" s="3" t="s">
        <v>1866</v>
      </c>
      <c r="B698">
        <f>IFERROR(VLOOKUP(A698,管理亚马逊库存!A:K,11,0),"")</f>
        <v>1</v>
      </c>
      <c r="C698">
        <f>IFERROR(VLOOKUP(A698,管理亚马逊库存!A:L,12,0),"")</f>
        <v>0</v>
      </c>
      <c r="D698">
        <f>IFERROR(VLOOKUP(A698,管理亚马逊库存!A:Q,17,0),"")</f>
        <v>0</v>
      </c>
      <c r="E698">
        <f>IFERROR(VLOOKUP(A698,管理亚马逊库存!A:R,18,0),"")</f>
        <v>0</v>
      </c>
      <c r="F698">
        <f t="shared" si="21"/>
        <v>0</v>
      </c>
      <c r="G698" t="str">
        <f>IFERROR(VLOOKUP(A698,预留库存!A:G,7,0),0)</f>
        <v>Yes</v>
      </c>
      <c r="H698">
        <f>IFERROR(VLOOKUP(A698,预留库存!A:H,8,0),0)</f>
        <v>0</v>
      </c>
      <c r="I698">
        <f>IFERROR(VLOOKUP(A698,预留库存!A:F,6,0),0)</f>
        <v>22.98</v>
      </c>
      <c r="J698">
        <f>IFERROR(VLOOKUP(A698,库龄!B:K,9,0),0)</f>
        <v>0</v>
      </c>
      <c r="K698">
        <f>IFERROR(VLOOKUP(A698,库龄!B:L,10,0),0)</f>
        <v>0</v>
      </c>
      <c r="L698">
        <f>IFERROR(VLOOKUP(A698,库龄!B:M,11,0),0)</f>
        <v>0</v>
      </c>
      <c r="M698">
        <f>IFERROR(VLOOKUP(A698,库龄!B:N,12,0),0)</f>
        <v>0</v>
      </c>
      <c r="N698">
        <f t="shared" si="22"/>
        <v>0</v>
      </c>
    </row>
    <row r="699" spans="1:14">
      <c r="A699" s="3" t="s">
        <v>1869</v>
      </c>
      <c r="B699">
        <f>IFERROR(VLOOKUP(A699,管理亚马逊库存!A:K,11,0),"")</f>
        <v>2</v>
      </c>
      <c r="C699">
        <f>IFERROR(VLOOKUP(A699,管理亚马逊库存!A:L,12,0),"")</f>
        <v>0</v>
      </c>
      <c r="D699">
        <f>IFERROR(VLOOKUP(A699,管理亚马逊库存!A:Q,17,0),"")</f>
        <v>0</v>
      </c>
      <c r="E699">
        <f>IFERROR(VLOOKUP(A699,管理亚马逊库存!A:R,18,0),"")</f>
        <v>0</v>
      </c>
      <c r="F699">
        <f t="shared" si="21"/>
        <v>0</v>
      </c>
      <c r="G699" t="str">
        <f>IFERROR(VLOOKUP(A699,预留库存!A:G,7,0),0)</f>
        <v>Yes</v>
      </c>
      <c r="H699">
        <f>IFERROR(VLOOKUP(A699,预留库存!A:H,8,0),0)</f>
        <v>0</v>
      </c>
      <c r="I699">
        <f>IFERROR(VLOOKUP(A699,预留库存!A:F,6,0),0)</f>
        <v>22.98</v>
      </c>
      <c r="J699">
        <f>IFERROR(VLOOKUP(A699,库龄!B:K,9,0),0)</f>
        <v>0</v>
      </c>
      <c r="K699">
        <f>IFERROR(VLOOKUP(A699,库龄!B:L,10,0),0)</f>
        <v>0</v>
      </c>
      <c r="L699">
        <f>IFERROR(VLOOKUP(A699,库龄!B:M,11,0),0)</f>
        <v>0</v>
      </c>
      <c r="M699">
        <f>IFERROR(VLOOKUP(A699,库龄!B:N,12,0),0)</f>
        <v>0</v>
      </c>
      <c r="N699">
        <f t="shared" si="22"/>
        <v>0</v>
      </c>
    </row>
    <row r="700" spans="1:14">
      <c r="A700" s="3" t="s">
        <v>1872</v>
      </c>
      <c r="B700">
        <f>IFERROR(VLOOKUP(A700,管理亚马逊库存!A:K,11,0),"")</f>
        <v>2</v>
      </c>
      <c r="C700">
        <f>IFERROR(VLOOKUP(A700,管理亚马逊库存!A:L,12,0),"")</f>
        <v>0</v>
      </c>
      <c r="D700">
        <f>IFERROR(VLOOKUP(A700,管理亚马逊库存!A:Q,17,0),"")</f>
        <v>0</v>
      </c>
      <c r="E700">
        <f>IFERROR(VLOOKUP(A700,管理亚马逊库存!A:R,18,0),"")</f>
        <v>0</v>
      </c>
      <c r="F700">
        <f t="shared" si="21"/>
        <v>0</v>
      </c>
      <c r="G700">
        <f>IFERROR(VLOOKUP(A700,预留库存!A:G,7,0),0)</f>
        <v>0</v>
      </c>
      <c r="H700">
        <f>IFERROR(VLOOKUP(A700,预留库存!A:H,8,0),0)</f>
        <v>0</v>
      </c>
      <c r="I700">
        <f>IFERROR(VLOOKUP(A700,预留库存!A:F,6,0),0)</f>
        <v>0</v>
      </c>
      <c r="J700">
        <f>IFERROR(VLOOKUP(A700,库龄!B:K,9,0),0)</f>
        <v>0</v>
      </c>
      <c r="K700">
        <f>IFERROR(VLOOKUP(A700,库龄!B:L,10,0),0)</f>
        <v>0</v>
      </c>
      <c r="L700">
        <f>IFERROR(VLOOKUP(A700,库龄!B:M,11,0),0)</f>
        <v>0</v>
      </c>
      <c r="M700">
        <f>IFERROR(VLOOKUP(A700,库龄!B:N,12,0),0)</f>
        <v>0</v>
      </c>
      <c r="N700">
        <f t="shared" si="22"/>
        <v>0</v>
      </c>
    </row>
    <row r="701" spans="1:14">
      <c r="A701" s="3" t="s">
        <v>1875</v>
      </c>
      <c r="B701">
        <f>IFERROR(VLOOKUP(A701,管理亚马逊库存!A:K,11,0),"")</f>
        <v>1</v>
      </c>
      <c r="C701">
        <f>IFERROR(VLOOKUP(A701,管理亚马逊库存!A:L,12,0),"")</f>
        <v>0</v>
      </c>
      <c r="D701">
        <f>IFERROR(VLOOKUP(A701,管理亚马逊库存!A:Q,17,0),"")</f>
        <v>0</v>
      </c>
      <c r="E701">
        <f>IFERROR(VLOOKUP(A701,管理亚马逊库存!A:R,18,0),"")</f>
        <v>0</v>
      </c>
      <c r="F701">
        <f t="shared" si="21"/>
        <v>0</v>
      </c>
      <c r="G701">
        <f>IFERROR(VLOOKUP(A701,预留库存!A:G,7,0),0)</f>
        <v>0</v>
      </c>
      <c r="H701">
        <f>IFERROR(VLOOKUP(A701,预留库存!A:H,8,0),0)</f>
        <v>0</v>
      </c>
      <c r="I701">
        <f>IFERROR(VLOOKUP(A701,预留库存!A:F,6,0),0)</f>
        <v>0</v>
      </c>
      <c r="J701">
        <f>IFERROR(VLOOKUP(A701,库龄!B:K,9,0),0)</f>
        <v>0</v>
      </c>
      <c r="K701">
        <f>IFERROR(VLOOKUP(A701,库龄!B:L,10,0),0)</f>
        <v>0</v>
      </c>
      <c r="L701">
        <f>IFERROR(VLOOKUP(A701,库龄!B:M,11,0),0)</f>
        <v>0</v>
      </c>
      <c r="M701">
        <f>IFERROR(VLOOKUP(A701,库龄!B:N,12,0),0)</f>
        <v>0</v>
      </c>
      <c r="N701">
        <f t="shared" si="22"/>
        <v>0</v>
      </c>
    </row>
    <row r="702" spans="1:14">
      <c r="A702" s="3" t="s">
        <v>1877</v>
      </c>
      <c r="B702">
        <f>IFERROR(VLOOKUP(A702,管理亚马逊库存!A:K,11,0),"")</f>
        <v>0</v>
      </c>
      <c r="C702">
        <f>IFERROR(VLOOKUP(A702,管理亚马逊库存!A:L,12,0),"")</f>
        <v>0</v>
      </c>
      <c r="D702">
        <f>IFERROR(VLOOKUP(A702,管理亚马逊库存!A:Q,17,0),"")</f>
        <v>0</v>
      </c>
      <c r="E702">
        <f>IFERROR(VLOOKUP(A702,管理亚马逊库存!A:R,18,0),"")</f>
        <v>0</v>
      </c>
      <c r="F702">
        <f t="shared" si="21"/>
        <v>0</v>
      </c>
      <c r="G702" t="str">
        <f>IFERROR(VLOOKUP(A702,预留库存!A:G,7,0),0)</f>
        <v>No</v>
      </c>
      <c r="H702">
        <f>IFERROR(VLOOKUP(A702,预留库存!A:H,8,0),0)</f>
        <v>0</v>
      </c>
      <c r="I702">
        <f>IFERROR(VLOOKUP(A702,预留库存!A:F,6,0),0)</f>
        <v>22.98</v>
      </c>
      <c r="J702">
        <f>IFERROR(VLOOKUP(A702,库龄!B:K,9,0),0)</f>
        <v>0</v>
      </c>
      <c r="K702">
        <f>IFERROR(VLOOKUP(A702,库龄!B:L,10,0),0)</f>
        <v>0</v>
      </c>
      <c r="L702">
        <f>IFERROR(VLOOKUP(A702,库龄!B:M,11,0),0)</f>
        <v>0</v>
      </c>
      <c r="M702">
        <f>IFERROR(VLOOKUP(A702,库龄!B:N,12,0),0)</f>
        <v>0</v>
      </c>
      <c r="N702">
        <f t="shared" si="22"/>
        <v>0</v>
      </c>
    </row>
    <row r="703" spans="1:14">
      <c r="A703" s="3" t="s">
        <v>1880</v>
      </c>
      <c r="B703">
        <f>IFERROR(VLOOKUP(A703,管理亚马逊库存!A:K,11,0),"")</f>
        <v>0</v>
      </c>
      <c r="C703">
        <f>IFERROR(VLOOKUP(A703,管理亚马逊库存!A:L,12,0),"")</f>
        <v>0</v>
      </c>
      <c r="D703">
        <f>IFERROR(VLOOKUP(A703,管理亚马逊库存!A:Q,17,0),"")</f>
        <v>0</v>
      </c>
      <c r="E703">
        <f>IFERROR(VLOOKUP(A703,管理亚马逊库存!A:R,18,0),"")</f>
        <v>0</v>
      </c>
      <c r="F703">
        <f t="shared" si="21"/>
        <v>0</v>
      </c>
      <c r="G703" t="str">
        <f>IFERROR(VLOOKUP(A703,预留库存!A:G,7,0),0)</f>
        <v>No</v>
      </c>
      <c r="H703">
        <f>IFERROR(VLOOKUP(A703,预留库存!A:H,8,0),0)</f>
        <v>0</v>
      </c>
      <c r="I703">
        <f>IFERROR(VLOOKUP(A703,预留库存!A:F,6,0),0)</f>
        <v>22.98</v>
      </c>
      <c r="J703">
        <f>IFERROR(VLOOKUP(A703,库龄!B:K,9,0),0)</f>
        <v>0</v>
      </c>
      <c r="K703">
        <f>IFERROR(VLOOKUP(A703,库龄!B:L,10,0),0)</f>
        <v>0</v>
      </c>
      <c r="L703">
        <f>IFERROR(VLOOKUP(A703,库龄!B:M,11,0),0)</f>
        <v>0</v>
      </c>
      <c r="M703">
        <f>IFERROR(VLOOKUP(A703,库龄!B:N,12,0),0)</f>
        <v>0</v>
      </c>
      <c r="N703">
        <f t="shared" si="22"/>
        <v>0</v>
      </c>
    </row>
    <row r="704" spans="1:14">
      <c r="A704" s="3" t="s">
        <v>1881</v>
      </c>
      <c r="B704">
        <f>IFERROR(VLOOKUP(A704,管理亚马逊库存!A:K,11,0),"")</f>
        <v>1</v>
      </c>
      <c r="C704">
        <f>IFERROR(VLOOKUP(A704,管理亚马逊库存!A:L,12,0),"")</f>
        <v>0</v>
      </c>
      <c r="D704">
        <f>IFERROR(VLOOKUP(A704,管理亚马逊库存!A:Q,17,0),"")</f>
        <v>0</v>
      </c>
      <c r="E704">
        <f>IFERROR(VLOOKUP(A704,管理亚马逊库存!A:R,18,0),"")</f>
        <v>0</v>
      </c>
      <c r="F704">
        <f t="shared" si="21"/>
        <v>0</v>
      </c>
      <c r="G704" t="str">
        <f>IFERROR(VLOOKUP(A704,预留库存!A:G,7,0),0)</f>
        <v>No</v>
      </c>
      <c r="H704">
        <f>IFERROR(VLOOKUP(A704,预留库存!A:H,8,0),0)</f>
        <v>0</v>
      </c>
      <c r="I704">
        <f>IFERROR(VLOOKUP(A704,预留库存!A:F,6,0),0)</f>
        <v>0</v>
      </c>
      <c r="J704">
        <f>IFERROR(VLOOKUP(A704,库龄!B:K,9,0),0)</f>
        <v>0</v>
      </c>
      <c r="K704">
        <f>IFERROR(VLOOKUP(A704,库龄!B:L,10,0),0)</f>
        <v>0</v>
      </c>
      <c r="L704">
        <f>IFERROR(VLOOKUP(A704,库龄!B:M,11,0),0)</f>
        <v>0</v>
      </c>
      <c r="M704">
        <f>IFERROR(VLOOKUP(A704,库龄!B:N,12,0),0)</f>
        <v>0</v>
      </c>
      <c r="N704">
        <f t="shared" si="22"/>
        <v>0</v>
      </c>
    </row>
    <row r="705" spans="1:14">
      <c r="A705" s="3" t="s">
        <v>1884</v>
      </c>
      <c r="B705">
        <f>IFERROR(VLOOKUP(A705,管理亚马逊库存!A:K,11,0),"")</f>
        <v>7</v>
      </c>
      <c r="C705">
        <f>IFERROR(VLOOKUP(A705,管理亚马逊库存!A:L,12,0),"")</f>
        <v>0</v>
      </c>
      <c r="D705">
        <f>IFERROR(VLOOKUP(A705,管理亚马逊库存!A:Q,17,0),"")</f>
        <v>0</v>
      </c>
      <c r="E705">
        <f>IFERROR(VLOOKUP(A705,管理亚马逊库存!A:R,18,0),"")</f>
        <v>0</v>
      </c>
      <c r="F705">
        <f t="shared" si="21"/>
        <v>0</v>
      </c>
      <c r="G705" t="str">
        <f>IFERROR(VLOOKUP(A705,预留库存!A:G,7,0),0)</f>
        <v>No</v>
      </c>
      <c r="H705">
        <f>IFERROR(VLOOKUP(A705,预留库存!A:H,8,0),0)</f>
        <v>0</v>
      </c>
      <c r="I705">
        <f>IFERROR(VLOOKUP(A705,预留库存!A:F,6,0),0)</f>
        <v>19.98</v>
      </c>
      <c r="J705">
        <f>IFERROR(VLOOKUP(A705,库龄!B:K,9,0),0)</f>
        <v>0</v>
      </c>
      <c r="K705">
        <f>IFERROR(VLOOKUP(A705,库龄!B:L,10,0),0)</f>
        <v>0</v>
      </c>
      <c r="L705">
        <f>IFERROR(VLOOKUP(A705,库龄!B:M,11,0),0)</f>
        <v>0</v>
      </c>
      <c r="M705">
        <f>IFERROR(VLOOKUP(A705,库龄!B:N,12,0),0)</f>
        <v>0</v>
      </c>
      <c r="N705">
        <f t="shared" si="22"/>
        <v>0</v>
      </c>
    </row>
    <row r="706" spans="1:14">
      <c r="A706" s="3" t="s">
        <v>1887</v>
      </c>
      <c r="B706">
        <f>IFERROR(VLOOKUP(A706,管理亚马逊库存!A:K,11,0),"")</f>
        <v>0</v>
      </c>
      <c r="C706">
        <f>IFERROR(VLOOKUP(A706,管理亚马逊库存!A:L,12,0),"")</f>
        <v>0</v>
      </c>
      <c r="D706">
        <f>IFERROR(VLOOKUP(A706,管理亚马逊库存!A:Q,17,0),"")</f>
        <v>0</v>
      </c>
      <c r="E706">
        <f>IFERROR(VLOOKUP(A706,管理亚马逊库存!A:R,18,0),"")</f>
        <v>0</v>
      </c>
      <c r="F706">
        <f t="shared" si="21"/>
        <v>0</v>
      </c>
      <c r="G706" t="str">
        <f>IFERROR(VLOOKUP(A706,预留库存!A:G,7,0),0)</f>
        <v>No</v>
      </c>
      <c r="H706">
        <f>IFERROR(VLOOKUP(A706,预留库存!A:H,8,0),0)</f>
        <v>0</v>
      </c>
      <c r="I706">
        <f>IFERROR(VLOOKUP(A706,预留库存!A:F,6,0),0)</f>
        <v>24.98</v>
      </c>
      <c r="J706">
        <f>IFERROR(VLOOKUP(A706,库龄!B:K,9,0),0)</f>
        <v>0</v>
      </c>
      <c r="K706">
        <f>IFERROR(VLOOKUP(A706,库龄!B:L,10,0),0)</f>
        <v>0</v>
      </c>
      <c r="L706">
        <f>IFERROR(VLOOKUP(A706,库龄!B:M,11,0),0)</f>
        <v>0</v>
      </c>
      <c r="M706">
        <f>IFERROR(VLOOKUP(A706,库龄!B:N,12,0),0)</f>
        <v>0</v>
      </c>
      <c r="N706">
        <f t="shared" si="22"/>
        <v>0</v>
      </c>
    </row>
    <row r="707" spans="1:14">
      <c r="A707" s="3" t="s">
        <v>1890</v>
      </c>
      <c r="B707">
        <f>IFERROR(VLOOKUP(A707,管理亚马逊库存!A:K,11,0),"")</f>
        <v>0</v>
      </c>
      <c r="C707">
        <f>IFERROR(VLOOKUP(A707,管理亚马逊库存!A:L,12,0),"")</f>
        <v>0</v>
      </c>
      <c r="D707">
        <f>IFERROR(VLOOKUP(A707,管理亚马逊库存!A:Q,17,0),"")</f>
        <v>0</v>
      </c>
      <c r="E707">
        <f>IFERROR(VLOOKUP(A707,管理亚马逊库存!A:R,18,0),"")</f>
        <v>0</v>
      </c>
      <c r="F707">
        <f t="shared" ref="F707:F770" si="23">SUM(D707:E707)</f>
        <v>0</v>
      </c>
      <c r="G707" t="str">
        <f>IFERROR(VLOOKUP(A707,预留库存!A:G,7,0),0)</f>
        <v>No</v>
      </c>
      <c r="H707">
        <f>IFERROR(VLOOKUP(A707,预留库存!A:H,8,0),0)</f>
        <v>0</v>
      </c>
      <c r="I707">
        <f>IFERROR(VLOOKUP(A707,预留库存!A:F,6,0),0)</f>
        <v>22.98</v>
      </c>
      <c r="J707">
        <f>IFERROR(VLOOKUP(A707,库龄!B:K,9,0),0)</f>
        <v>0</v>
      </c>
      <c r="K707">
        <f>IFERROR(VLOOKUP(A707,库龄!B:L,10,0),0)</f>
        <v>0</v>
      </c>
      <c r="L707">
        <f>IFERROR(VLOOKUP(A707,库龄!B:M,11,0),0)</f>
        <v>0</v>
      </c>
      <c r="M707">
        <f>IFERROR(VLOOKUP(A707,库龄!B:N,12,0),0)</f>
        <v>0</v>
      </c>
      <c r="N707">
        <f t="shared" ref="N707:N770" si="24">SUM(J707:M707)</f>
        <v>0</v>
      </c>
    </row>
    <row r="708" spans="1:14">
      <c r="A708" s="3" t="s">
        <v>1893</v>
      </c>
      <c r="B708">
        <f>IFERROR(VLOOKUP(A708,管理亚马逊库存!A:K,11,0),"")</f>
        <v>0</v>
      </c>
      <c r="C708">
        <f>IFERROR(VLOOKUP(A708,管理亚马逊库存!A:L,12,0),"")</f>
        <v>0</v>
      </c>
      <c r="D708">
        <f>IFERROR(VLOOKUP(A708,管理亚马逊库存!A:Q,17,0),"")</f>
        <v>0</v>
      </c>
      <c r="E708">
        <f>IFERROR(VLOOKUP(A708,管理亚马逊库存!A:R,18,0),"")</f>
        <v>0</v>
      </c>
      <c r="F708">
        <f t="shared" si="23"/>
        <v>0</v>
      </c>
      <c r="G708" t="str">
        <f>IFERROR(VLOOKUP(A708,预留库存!A:G,7,0),0)</f>
        <v>No</v>
      </c>
      <c r="H708">
        <f>IFERROR(VLOOKUP(A708,预留库存!A:H,8,0),0)</f>
        <v>0</v>
      </c>
      <c r="I708">
        <f>IFERROR(VLOOKUP(A708,预留库存!A:F,6,0),0)</f>
        <v>22.98</v>
      </c>
      <c r="J708">
        <f>IFERROR(VLOOKUP(A708,库龄!B:K,9,0),0)</f>
        <v>0</v>
      </c>
      <c r="K708">
        <f>IFERROR(VLOOKUP(A708,库龄!B:L,10,0),0)</f>
        <v>0</v>
      </c>
      <c r="L708">
        <f>IFERROR(VLOOKUP(A708,库龄!B:M,11,0),0)</f>
        <v>0</v>
      </c>
      <c r="M708">
        <f>IFERROR(VLOOKUP(A708,库龄!B:N,12,0),0)</f>
        <v>0</v>
      </c>
      <c r="N708">
        <f t="shared" si="24"/>
        <v>0</v>
      </c>
    </row>
    <row r="709" spans="1:14">
      <c r="A709" s="3" t="s">
        <v>1896</v>
      </c>
      <c r="B709">
        <f>IFERROR(VLOOKUP(A709,管理亚马逊库存!A:K,11,0),"")</f>
        <v>4</v>
      </c>
      <c r="C709">
        <f>IFERROR(VLOOKUP(A709,管理亚马逊库存!A:L,12,0),"")</f>
        <v>0</v>
      </c>
      <c r="D709">
        <f>IFERROR(VLOOKUP(A709,管理亚马逊库存!A:Q,17,0),"")</f>
        <v>0</v>
      </c>
      <c r="E709">
        <f>IFERROR(VLOOKUP(A709,管理亚马逊库存!A:R,18,0),"")</f>
        <v>0</v>
      </c>
      <c r="F709">
        <f t="shared" si="23"/>
        <v>0</v>
      </c>
      <c r="G709" t="str">
        <f>IFERROR(VLOOKUP(A709,预留库存!A:G,7,0),0)</f>
        <v>No</v>
      </c>
      <c r="H709">
        <f>IFERROR(VLOOKUP(A709,预留库存!A:H,8,0),0)</f>
        <v>0</v>
      </c>
      <c r="I709">
        <f>IFERROR(VLOOKUP(A709,预留库存!A:F,6,0),0)</f>
        <v>19.98</v>
      </c>
      <c r="J709">
        <f>IFERROR(VLOOKUP(A709,库龄!B:K,9,0),0)</f>
        <v>0</v>
      </c>
      <c r="K709">
        <f>IFERROR(VLOOKUP(A709,库龄!B:L,10,0),0)</f>
        <v>0</v>
      </c>
      <c r="L709">
        <f>IFERROR(VLOOKUP(A709,库龄!B:M,11,0),0)</f>
        <v>0</v>
      </c>
      <c r="M709">
        <f>IFERROR(VLOOKUP(A709,库龄!B:N,12,0),0)</f>
        <v>0</v>
      </c>
      <c r="N709">
        <f t="shared" si="24"/>
        <v>0</v>
      </c>
    </row>
    <row r="710" spans="1:14">
      <c r="A710" s="3" t="s">
        <v>1899</v>
      </c>
      <c r="B710">
        <f>IFERROR(VLOOKUP(A710,管理亚马逊库存!A:K,11,0),"")</f>
        <v>0</v>
      </c>
      <c r="C710">
        <f>IFERROR(VLOOKUP(A710,管理亚马逊库存!A:L,12,0),"")</f>
        <v>0</v>
      </c>
      <c r="D710">
        <f>IFERROR(VLOOKUP(A710,管理亚马逊库存!A:Q,17,0),"")</f>
        <v>0</v>
      </c>
      <c r="E710">
        <f>IFERROR(VLOOKUP(A710,管理亚马逊库存!A:R,18,0),"")</f>
        <v>0</v>
      </c>
      <c r="F710">
        <f t="shared" si="23"/>
        <v>0</v>
      </c>
      <c r="G710" t="str">
        <f>IFERROR(VLOOKUP(A710,预留库存!A:G,7,0),0)</f>
        <v>No</v>
      </c>
      <c r="H710">
        <f>IFERROR(VLOOKUP(A710,预留库存!A:H,8,0),0)</f>
        <v>0</v>
      </c>
      <c r="I710">
        <f>IFERROR(VLOOKUP(A710,预留库存!A:F,6,0),0)</f>
        <v>22.98</v>
      </c>
      <c r="J710">
        <f>IFERROR(VLOOKUP(A710,库龄!B:K,9,0),0)</f>
        <v>0</v>
      </c>
      <c r="K710">
        <f>IFERROR(VLOOKUP(A710,库龄!B:L,10,0),0)</f>
        <v>0</v>
      </c>
      <c r="L710">
        <f>IFERROR(VLOOKUP(A710,库龄!B:M,11,0),0)</f>
        <v>0</v>
      </c>
      <c r="M710">
        <f>IFERROR(VLOOKUP(A710,库龄!B:N,12,0),0)</f>
        <v>0</v>
      </c>
      <c r="N710">
        <f t="shared" si="24"/>
        <v>0</v>
      </c>
    </row>
    <row r="711" spans="1:14">
      <c r="A711" s="3" t="s">
        <v>1901</v>
      </c>
      <c r="B711">
        <f>IFERROR(VLOOKUP(A711,管理亚马逊库存!A:K,11,0),"")</f>
        <v>0</v>
      </c>
      <c r="C711">
        <f>IFERROR(VLOOKUP(A711,管理亚马逊库存!A:L,12,0),"")</f>
        <v>0</v>
      </c>
      <c r="D711">
        <f>IFERROR(VLOOKUP(A711,管理亚马逊库存!A:Q,17,0),"")</f>
        <v>0</v>
      </c>
      <c r="E711">
        <f>IFERROR(VLOOKUP(A711,管理亚马逊库存!A:R,18,0),"")</f>
        <v>0</v>
      </c>
      <c r="F711">
        <f t="shared" si="23"/>
        <v>0</v>
      </c>
      <c r="G711" t="str">
        <f>IFERROR(VLOOKUP(A711,预留库存!A:G,7,0),0)</f>
        <v>No</v>
      </c>
      <c r="H711">
        <f>IFERROR(VLOOKUP(A711,预留库存!A:H,8,0),0)</f>
        <v>0</v>
      </c>
      <c r="I711">
        <f>IFERROR(VLOOKUP(A711,预留库存!A:F,6,0),0)</f>
        <v>22.98</v>
      </c>
      <c r="J711">
        <f>IFERROR(VLOOKUP(A711,库龄!B:K,9,0),0)</f>
        <v>0</v>
      </c>
      <c r="K711">
        <f>IFERROR(VLOOKUP(A711,库龄!B:L,10,0),0)</f>
        <v>0</v>
      </c>
      <c r="L711">
        <f>IFERROR(VLOOKUP(A711,库龄!B:M,11,0),0)</f>
        <v>0</v>
      </c>
      <c r="M711">
        <f>IFERROR(VLOOKUP(A711,库龄!B:N,12,0),0)</f>
        <v>0</v>
      </c>
      <c r="N711">
        <f t="shared" si="24"/>
        <v>0</v>
      </c>
    </row>
    <row r="712" spans="1:14">
      <c r="A712" s="3" t="s">
        <v>1903</v>
      </c>
      <c r="B712">
        <f>IFERROR(VLOOKUP(A712,管理亚马逊库存!A:K,11,0),"")</f>
        <v>3</v>
      </c>
      <c r="C712">
        <f>IFERROR(VLOOKUP(A712,管理亚马逊库存!A:L,12,0),"")</f>
        <v>0</v>
      </c>
      <c r="D712">
        <f>IFERROR(VLOOKUP(A712,管理亚马逊库存!A:Q,17,0),"")</f>
        <v>0</v>
      </c>
      <c r="E712">
        <f>IFERROR(VLOOKUP(A712,管理亚马逊库存!A:R,18,0),"")</f>
        <v>0</v>
      </c>
      <c r="F712">
        <f t="shared" si="23"/>
        <v>0</v>
      </c>
      <c r="G712" t="str">
        <f>IFERROR(VLOOKUP(A712,预留库存!A:G,7,0),0)</f>
        <v>Yes</v>
      </c>
      <c r="H712">
        <f>IFERROR(VLOOKUP(A712,预留库存!A:H,8,0),0)</f>
        <v>0</v>
      </c>
      <c r="I712">
        <f>IFERROR(VLOOKUP(A712,预留库存!A:F,6,0),0)</f>
        <v>22.98</v>
      </c>
      <c r="J712">
        <f>IFERROR(VLOOKUP(A712,库龄!B:K,9,0),0)</f>
        <v>0</v>
      </c>
      <c r="K712">
        <f>IFERROR(VLOOKUP(A712,库龄!B:L,10,0),0)</f>
        <v>0</v>
      </c>
      <c r="L712">
        <f>IFERROR(VLOOKUP(A712,库龄!B:M,11,0),0)</f>
        <v>0</v>
      </c>
      <c r="M712">
        <f>IFERROR(VLOOKUP(A712,库龄!B:N,12,0),0)</f>
        <v>0</v>
      </c>
      <c r="N712">
        <f t="shared" si="24"/>
        <v>0</v>
      </c>
    </row>
    <row r="713" spans="1:14">
      <c r="A713" s="3" t="s">
        <v>1906</v>
      </c>
      <c r="B713">
        <f>IFERROR(VLOOKUP(A713,管理亚马逊库存!A:K,11,0),"")</f>
        <v>0</v>
      </c>
      <c r="C713">
        <f>IFERROR(VLOOKUP(A713,管理亚马逊库存!A:L,12,0),"")</f>
        <v>0</v>
      </c>
      <c r="D713">
        <f>IFERROR(VLOOKUP(A713,管理亚马逊库存!A:Q,17,0),"")</f>
        <v>0</v>
      </c>
      <c r="E713">
        <f>IFERROR(VLOOKUP(A713,管理亚马逊库存!A:R,18,0),"")</f>
        <v>0</v>
      </c>
      <c r="F713">
        <f t="shared" si="23"/>
        <v>0</v>
      </c>
      <c r="G713" t="str">
        <f>IFERROR(VLOOKUP(A713,预留库存!A:G,7,0),0)</f>
        <v>No</v>
      </c>
      <c r="H713">
        <f>IFERROR(VLOOKUP(A713,预留库存!A:H,8,0),0)</f>
        <v>0</v>
      </c>
      <c r="I713">
        <f>IFERROR(VLOOKUP(A713,预留库存!A:F,6,0),0)</f>
        <v>22.98</v>
      </c>
      <c r="J713">
        <f>IFERROR(VLOOKUP(A713,库龄!B:K,9,0),0)</f>
        <v>0</v>
      </c>
      <c r="K713">
        <f>IFERROR(VLOOKUP(A713,库龄!B:L,10,0),0)</f>
        <v>0</v>
      </c>
      <c r="L713">
        <f>IFERROR(VLOOKUP(A713,库龄!B:M,11,0),0)</f>
        <v>0</v>
      </c>
      <c r="M713">
        <f>IFERROR(VLOOKUP(A713,库龄!B:N,12,0),0)</f>
        <v>0</v>
      </c>
      <c r="N713">
        <f t="shared" si="24"/>
        <v>0</v>
      </c>
    </row>
    <row r="714" spans="1:14">
      <c r="A714" s="3" t="s">
        <v>1909</v>
      </c>
      <c r="B714">
        <f>IFERROR(VLOOKUP(A714,管理亚马逊库存!A:K,11,0),"")</f>
        <v>1</v>
      </c>
      <c r="C714">
        <f>IFERROR(VLOOKUP(A714,管理亚马逊库存!A:L,12,0),"")</f>
        <v>0</v>
      </c>
      <c r="D714">
        <f>IFERROR(VLOOKUP(A714,管理亚马逊库存!A:Q,17,0),"")</f>
        <v>0</v>
      </c>
      <c r="E714">
        <f>IFERROR(VLOOKUP(A714,管理亚马逊库存!A:R,18,0),"")</f>
        <v>0</v>
      </c>
      <c r="F714">
        <f t="shared" si="23"/>
        <v>0</v>
      </c>
      <c r="G714" t="str">
        <f>IFERROR(VLOOKUP(A714,预留库存!A:G,7,0),0)</f>
        <v>No</v>
      </c>
      <c r="H714">
        <f>IFERROR(VLOOKUP(A714,预留库存!A:H,8,0),0)</f>
        <v>0</v>
      </c>
      <c r="I714">
        <f>IFERROR(VLOOKUP(A714,预留库存!A:F,6,0),0)</f>
        <v>23.98</v>
      </c>
      <c r="J714">
        <f>IFERROR(VLOOKUP(A714,库龄!B:K,9,0),0)</f>
        <v>1</v>
      </c>
      <c r="K714">
        <f>IFERROR(VLOOKUP(A714,库龄!B:L,10,0),0)</f>
        <v>0</v>
      </c>
      <c r="L714">
        <f>IFERROR(VLOOKUP(A714,库龄!B:M,11,0),0)</f>
        <v>0</v>
      </c>
      <c r="M714">
        <f>IFERROR(VLOOKUP(A714,库龄!B:N,12,0),0)</f>
        <v>0</v>
      </c>
      <c r="N714">
        <f t="shared" si="24"/>
        <v>1</v>
      </c>
    </row>
    <row r="715" spans="1:14">
      <c r="A715" s="3" t="s">
        <v>1912</v>
      </c>
      <c r="B715">
        <f>IFERROR(VLOOKUP(A715,管理亚马逊库存!A:K,11,0),"")</f>
        <v>2</v>
      </c>
      <c r="C715">
        <f>IFERROR(VLOOKUP(A715,管理亚马逊库存!A:L,12,0),"")</f>
        <v>1</v>
      </c>
      <c r="D715">
        <f>IFERROR(VLOOKUP(A715,管理亚马逊库存!A:Q,17,0),"")</f>
        <v>0</v>
      </c>
      <c r="E715">
        <f>IFERROR(VLOOKUP(A715,管理亚马逊库存!A:R,18,0),"")</f>
        <v>0</v>
      </c>
      <c r="F715">
        <f t="shared" si="23"/>
        <v>0</v>
      </c>
      <c r="G715" t="str">
        <f>IFERROR(VLOOKUP(A715,预留库存!A:G,7,0),0)</f>
        <v>No</v>
      </c>
      <c r="H715">
        <f>IFERROR(VLOOKUP(A715,预留库存!A:H,8,0),0)</f>
        <v>0</v>
      </c>
      <c r="I715">
        <f>IFERROR(VLOOKUP(A715,预留库存!A:F,6,0),0)</f>
        <v>22.98</v>
      </c>
      <c r="J715">
        <f>IFERROR(VLOOKUP(A715,库龄!B:K,9,0),0)</f>
        <v>0</v>
      </c>
      <c r="K715">
        <f>IFERROR(VLOOKUP(A715,库龄!B:L,10,0),0)</f>
        <v>0</v>
      </c>
      <c r="L715">
        <f>IFERROR(VLOOKUP(A715,库龄!B:M,11,0),0)</f>
        <v>0</v>
      </c>
      <c r="M715">
        <f>IFERROR(VLOOKUP(A715,库龄!B:N,12,0),0)</f>
        <v>0</v>
      </c>
      <c r="N715">
        <f t="shared" si="24"/>
        <v>0</v>
      </c>
    </row>
    <row r="716" spans="1:14">
      <c r="A716" s="3" t="s">
        <v>1913</v>
      </c>
      <c r="B716">
        <f>IFERROR(VLOOKUP(A716,管理亚马逊库存!A:K,11,0),"")</f>
        <v>0</v>
      </c>
      <c r="C716">
        <f>IFERROR(VLOOKUP(A716,管理亚马逊库存!A:L,12,0),"")</f>
        <v>0</v>
      </c>
      <c r="D716">
        <f>IFERROR(VLOOKUP(A716,管理亚马逊库存!A:Q,17,0),"")</f>
        <v>0</v>
      </c>
      <c r="E716">
        <f>IFERROR(VLOOKUP(A716,管理亚马逊库存!A:R,18,0),"")</f>
        <v>0</v>
      </c>
      <c r="F716">
        <f t="shared" si="23"/>
        <v>0</v>
      </c>
      <c r="G716" t="str">
        <f>IFERROR(VLOOKUP(A716,预留库存!A:G,7,0),0)</f>
        <v>No</v>
      </c>
      <c r="H716">
        <f>IFERROR(VLOOKUP(A716,预留库存!A:H,8,0),0)</f>
        <v>0</v>
      </c>
      <c r="I716">
        <f>IFERROR(VLOOKUP(A716,预留库存!A:F,6,0),0)</f>
        <v>22.98</v>
      </c>
      <c r="J716">
        <f>IFERROR(VLOOKUP(A716,库龄!B:K,9,0),0)</f>
        <v>0</v>
      </c>
      <c r="K716">
        <f>IFERROR(VLOOKUP(A716,库龄!B:L,10,0),0)</f>
        <v>0</v>
      </c>
      <c r="L716">
        <f>IFERROR(VLOOKUP(A716,库龄!B:M,11,0),0)</f>
        <v>0</v>
      </c>
      <c r="M716">
        <f>IFERROR(VLOOKUP(A716,库龄!B:N,12,0),0)</f>
        <v>0</v>
      </c>
      <c r="N716">
        <f t="shared" si="24"/>
        <v>0</v>
      </c>
    </row>
    <row r="717" spans="1:14">
      <c r="A717" s="3" t="s">
        <v>1916</v>
      </c>
      <c r="B717">
        <f>IFERROR(VLOOKUP(A717,管理亚马逊库存!A:K,11,0),"")</f>
        <v>0</v>
      </c>
      <c r="C717">
        <f>IFERROR(VLOOKUP(A717,管理亚马逊库存!A:L,12,0),"")</f>
        <v>0</v>
      </c>
      <c r="D717">
        <f>IFERROR(VLOOKUP(A717,管理亚马逊库存!A:Q,17,0),"")</f>
        <v>0</v>
      </c>
      <c r="E717">
        <f>IFERROR(VLOOKUP(A717,管理亚马逊库存!A:R,18,0),"")</f>
        <v>0</v>
      </c>
      <c r="F717">
        <f t="shared" si="23"/>
        <v>0</v>
      </c>
      <c r="G717" t="str">
        <f>IFERROR(VLOOKUP(A717,预留库存!A:G,7,0),0)</f>
        <v>No</v>
      </c>
      <c r="H717">
        <f>IFERROR(VLOOKUP(A717,预留库存!A:H,8,0),0)</f>
        <v>0</v>
      </c>
      <c r="I717">
        <f>IFERROR(VLOOKUP(A717,预留库存!A:F,6,0),0)</f>
        <v>22.98</v>
      </c>
      <c r="J717">
        <f>IFERROR(VLOOKUP(A717,库龄!B:K,9,0),0)</f>
        <v>0</v>
      </c>
      <c r="K717">
        <f>IFERROR(VLOOKUP(A717,库龄!B:L,10,0),0)</f>
        <v>0</v>
      </c>
      <c r="L717">
        <f>IFERROR(VLOOKUP(A717,库龄!B:M,11,0),0)</f>
        <v>0</v>
      </c>
      <c r="M717">
        <f>IFERROR(VLOOKUP(A717,库龄!B:N,12,0),0)</f>
        <v>0</v>
      </c>
      <c r="N717">
        <f t="shared" si="24"/>
        <v>0</v>
      </c>
    </row>
    <row r="718" spans="1:14">
      <c r="A718" s="3" t="s">
        <v>1919</v>
      </c>
      <c r="B718">
        <f>IFERROR(VLOOKUP(A718,管理亚马逊库存!A:K,11,0),"")</f>
        <v>1</v>
      </c>
      <c r="C718">
        <f>IFERROR(VLOOKUP(A718,管理亚马逊库存!A:L,12,0),"")</f>
        <v>0</v>
      </c>
      <c r="D718">
        <f>IFERROR(VLOOKUP(A718,管理亚马逊库存!A:Q,17,0),"")</f>
        <v>0</v>
      </c>
      <c r="E718">
        <f>IFERROR(VLOOKUP(A718,管理亚马逊库存!A:R,18,0),"")</f>
        <v>0</v>
      </c>
      <c r="F718">
        <f t="shared" si="23"/>
        <v>0</v>
      </c>
      <c r="G718" t="str">
        <f>IFERROR(VLOOKUP(A718,预留库存!A:G,7,0),0)</f>
        <v>Yes</v>
      </c>
      <c r="H718">
        <f>IFERROR(VLOOKUP(A718,预留库存!A:H,8,0),0)</f>
        <v>0</v>
      </c>
      <c r="I718">
        <f>IFERROR(VLOOKUP(A718,预留库存!A:F,6,0),0)</f>
        <v>24.98</v>
      </c>
      <c r="J718">
        <f>IFERROR(VLOOKUP(A718,库龄!B:K,9,0),0)</f>
        <v>1</v>
      </c>
      <c r="K718">
        <f>IFERROR(VLOOKUP(A718,库龄!B:L,10,0),0)</f>
        <v>0</v>
      </c>
      <c r="L718">
        <f>IFERROR(VLOOKUP(A718,库龄!B:M,11,0),0)</f>
        <v>0</v>
      </c>
      <c r="M718">
        <f>IFERROR(VLOOKUP(A718,库龄!B:N,12,0),0)</f>
        <v>0</v>
      </c>
      <c r="N718">
        <f t="shared" si="24"/>
        <v>1</v>
      </c>
    </row>
    <row r="719" spans="1:14">
      <c r="A719" s="3" t="s">
        <v>1922</v>
      </c>
      <c r="B719">
        <f>IFERROR(VLOOKUP(A719,管理亚马逊库存!A:K,11,0),"")</f>
        <v>0</v>
      </c>
      <c r="C719">
        <f>IFERROR(VLOOKUP(A719,管理亚马逊库存!A:L,12,0),"")</f>
        <v>0</v>
      </c>
      <c r="D719">
        <f>IFERROR(VLOOKUP(A719,管理亚马逊库存!A:Q,17,0),"")</f>
        <v>0</v>
      </c>
      <c r="E719">
        <f>IFERROR(VLOOKUP(A719,管理亚马逊库存!A:R,18,0),"")</f>
        <v>0</v>
      </c>
      <c r="F719">
        <f t="shared" si="23"/>
        <v>0</v>
      </c>
      <c r="G719">
        <f>IFERROR(VLOOKUP(A719,预留库存!A:G,7,0),0)</f>
        <v>0</v>
      </c>
      <c r="H719">
        <f>IFERROR(VLOOKUP(A719,预留库存!A:H,8,0),0)</f>
        <v>0</v>
      </c>
      <c r="I719">
        <f>IFERROR(VLOOKUP(A719,预留库存!A:F,6,0),0)</f>
        <v>0</v>
      </c>
      <c r="J719">
        <f>IFERROR(VLOOKUP(A719,库龄!B:K,9,0),0)</f>
        <v>0</v>
      </c>
      <c r="K719">
        <f>IFERROR(VLOOKUP(A719,库龄!B:L,10,0),0)</f>
        <v>0</v>
      </c>
      <c r="L719">
        <f>IFERROR(VLOOKUP(A719,库龄!B:M,11,0),0)</f>
        <v>0</v>
      </c>
      <c r="M719">
        <f>IFERROR(VLOOKUP(A719,库龄!B:N,12,0),0)</f>
        <v>0</v>
      </c>
      <c r="N719">
        <f t="shared" si="24"/>
        <v>0</v>
      </c>
    </row>
    <row r="720" spans="1:14">
      <c r="A720" s="3" t="s">
        <v>1924</v>
      </c>
      <c r="B720">
        <f>IFERROR(VLOOKUP(A720,管理亚马逊库存!A:K,11,0),"")</f>
        <v>0</v>
      </c>
      <c r="C720">
        <f>IFERROR(VLOOKUP(A720,管理亚马逊库存!A:L,12,0),"")</f>
        <v>0</v>
      </c>
      <c r="D720">
        <f>IFERROR(VLOOKUP(A720,管理亚马逊库存!A:Q,17,0),"")</f>
        <v>0</v>
      </c>
      <c r="E720">
        <f>IFERROR(VLOOKUP(A720,管理亚马逊库存!A:R,18,0),"")</f>
        <v>0</v>
      </c>
      <c r="F720">
        <f t="shared" si="23"/>
        <v>0</v>
      </c>
      <c r="G720" t="str">
        <f>IFERROR(VLOOKUP(A720,预留库存!A:G,7,0),0)</f>
        <v>No</v>
      </c>
      <c r="H720">
        <f>IFERROR(VLOOKUP(A720,预留库存!A:H,8,0),0)</f>
        <v>0</v>
      </c>
      <c r="I720">
        <f>IFERROR(VLOOKUP(A720,预留库存!A:F,6,0),0)</f>
        <v>22.98</v>
      </c>
      <c r="J720">
        <f>IFERROR(VLOOKUP(A720,库龄!B:K,9,0),0)</f>
        <v>0</v>
      </c>
      <c r="K720">
        <f>IFERROR(VLOOKUP(A720,库龄!B:L,10,0),0)</f>
        <v>0</v>
      </c>
      <c r="L720">
        <f>IFERROR(VLOOKUP(A720,库龄!B:M,11,0),0)</f>
        <v>0</v>
      </c>
      <c r="M720">
        <f>IFERROR(VLOOKUP(A720,库龄!B:N,12,0),0)</f>
        <v>0</v>
      </c>
      <c r="N720">
        <f t="shared" si="24"/>
        <v>0</v>
      </c>
    </row>
    <row r="721" spans="1:14">
      <c r="A721" s="3" t="s">
        <v>1927</v>
      </c>
      <c r="B721">
        <f>IFERROR(VLOOKUP(A721,管理亚马逊库存!A:K,11,0),"")</f>
        <v>0</v>
      </c>
      <c r="C721">
        <f>IFERROR(VLOOKUP(A721,管理亚马逊库存!A:L,12,0),"")</f>
        <v>0</v>
      </c>
      <c r="D721">
        <f>IFERROR(VLOOKUP(A721,管理亚马逊库存!A:Q,17,0),"")</f>
        <v>0</v>
      </c>
      <c r="E721">
        <f>IFERROR(VLOOKUP(A721,管理亚马逊库存!A:R,18,0),"")</f>
        <v>0</v>
      </c>
      <c r="F721">
        <f t="shared" si="23"/>
        <v>0</v>
      </c>
      <c r="G721" t="str">
        <f>IFERROR(VLOOKUP(A721,预留库存!A:G,7,0),0)</f>
        <v>No</v>
      </c>
      <c r="H721">
        <f>IFERROR(VLOOKUP(A721,预留库存!A:H,8,0),0)</f>
        <v>0</v>
      </c>
      <c r="I721">
        <f>IFERROR(VLOOKUP(A721,预留库存!A:F,6,0),0)</f>
        <v>23.98</v>
      </c>
      <c r="J721">
        <f>IFERROR(VLOOKUP(A721,库龄!B:K,9,0),0)</f>
        <v>0</v>
      </c>
      <c r="K721">
        <f>IFERROR(VLOOKUP(A721,库龄!B:L,10,0),0)</f>
        <v>0</v>
      </c>
      <c r="L721">
        <f>IFERROR(VLOOKUP(A721,库龄!B:M,11,0),0)</f>
        <v>0</v>
      </c>
      <c r="M721">
        <f>IFERROR(VLOOKUP(A721,库龄!B:N,12,0),0)</f>
        <v>0</v>
      </c>
      <c r="N721">
        <f t="shared" si="24"/>
        <v>0</v>
      </c>
    </row>
    <row r="722" spans="1:14">
      <c r="A722" s="3" t="s">
        <v>1930</v>
      </c>
      <c r="B722">
        <f>IFERROR(VLOOKUP(A722,管理亚马逊库存!A:K,11,0),"")</f>
        <v>1</v>
      </c>
      <c r="C722">
        <f>IFERROR(VLOOKUP(A722,管理亚马逊库存!A:L,12,0),"")</f>
        <v>0</v>
      </c>
      <c r="D722">
        <f>IFERROR(VLOOKUP(A722,管理亚马逊库存!A:Q,17,0),"")</f>
        <v>0</v>
      </c>
      <c r="E722">
        <f>IFERROR(VLOOKUP(A722,管理亚马逊库存!A:R,18,0),"")</f>
        <v>0</v>
      </c>
      <c r="F722">
        <f t="shared" si="23"/>
        <v>0</v>
      </c>
      <c r="G722" t="str">
        <f>IFERROR(VLOOKUP(A722,预留库存!A:G,7,0),0)</f>
        <v>No</v>
      </c>
      <c r="H722">
        <f>IFERROR(VLOOKUP(A722,预留库存!A:H,8,0),0)</f>
        <v>0</v>
      </c>
      <c r="I722">
        <f>IFERROR(VLOOKUP(A722,预留库存!A:F,6,0),0)</f>
        <v>19.98</v>
      </c>
      <c r="J722">
        <f>IFERROR(VLOOKUP(A722,库龄!B:K,9,0),0)</f>
        <v>0</v>
      </c>
      <c r="K722">
        <f>IFERROR(VLOOKUP(A722,库龄!B:L,10,0),0)</f>
        <v>0</v>
      </c>
      <c r="L722">
        <f>IFERROR(VLOOKUP(A722,库龄!B:M,11,0),0)</f>
        <v>0</v>
      </c>
      <c r="M722">
        <f>IFERROR(VLOOKUP(A722,库龄!B:N,12,0),0)</f>
        <v>0</v>
      </c>
      <c r="N722">
        <f t="shared" si="24"/>
        <v>0</v>
      </c>
    </row>
    <row r="723" spans="1:14">
      <c r="A723" s="3" t="s">
        <v>1933</v>
      </c>
      <c r="B723">
        <f>IFERROR(VLOOKUP(A723,管理亚马逊库存!A:K,11,0),"")</f>
        <v>0</v>
      </c>
      <c r="C723">
        <f>IFERROR(VLOOKUP(A723,管理亚马逊库存!A:L,12,0),"")</f>
        <v>0</v>
      </c>
      <c r="D723">
        <f>IFERROR(VLOOKUP(A723,管理亚马逊库存!A:Q,17,0),"")</f>
        <v>0</v>
      </c>
      <c r="E723">
        <f>IFERROR(VLOOKUP(A723,管理亚马逊库存!A:R,18,0),"")</f>
        <v>0</v>
      </c>
      <c r="F723">
        <f t="shared" si="23"/>
        <v>0</v>
      </c>
      <c r="G723">
        <f>IFERROR(VLOOKUP(A723,预留库存!A:G,7,0),0)</f>
        <v>0</v>
      </c>
      <c r="H723">
        <f>IFERROR(VLOOKUP(A723,预留库存!A:H,8,0),0)</f>
        <v>0</v>
      </c>
      <c r="I723">
        <f>IFERROR(VLOOKUP(A723,预留库存!A:F,6,0),0)</f>
        <v>0</v>
      </c>
      <c r="J723">
        <f>IFERROR(VLOOKUP(A723,库龄!B:K,9,0),0)</f>
        <v>0</v>
      </c>
      <c r="K723">
        <f>IFERROR(VLOOKUP(A723,库龄!B:L,10,0),0)</f>
        <v>0</v>
      </c>
      <c r="L723">
        <f>IFERROR(VLOOKUP(A723,库龄!B:M,11,0),0)</f>
        <v>0</v>
      </c>
      <c r="M723">
        <f>IFERROR(VLOOKUP(A723,库龄!B:N,12,0),0)</f>
        <v>0</v>
      </c>
      <c r="N723">
        <f t="shared" si="24"/>
        <v>0</v>
      </c>
    </row>
    <row r="724" spans="1:14">
      <c r="A724" s="3" t="s">
        <v>1934</v>
      </c>
      <c r="B724">
        <f>IFERROR(VLOOKUP(A724,管理亚马逊库存!A:K,11,0),"")</f>
        <v>0</v>
      </c>
      <c r="C724">
        <f>IFERROR(VLOOKUP(A724,管理亚马逊库存!A:L,12,0),"")</f>
        <v>0</v>
      </c>
      <c r="D724">
        <f>IFERROR(VLOOKUP(A724,管理亚马逊库存!A:Q,17,0),"")</f>
        <v>0</v>
      </c>
      <c r="E724">
        <f>IFERROR(VLOOKUP(A724,管理亚马逊库存!A:R,18,0),"")</f>
        <v>0</v>
      </c>
      <c r="F724">
        <f t="shared" si="23"/>
        <v>0</v>
      </c>
      <c r="G724">
        <f>IFERROR(VLOOKUP(A724,预留库存!A:G,7,0),0)</f>
        <v>0</v>
      </c>
      <c r="H724">
        <f>IFERROR(VLOOKUP(A724,预留库存!A:H,8,0),0)</f>
        <v>0</v>
      </c>
      <c r="I724">
        <f>IFERROR(VLOOKUP(A724,预留库存!A:F,6,0),0)</f>
        <v>0</v>
      </c>
      <c r="J724">
        <f>IFERROR(VLOOKUP(A724,库龄!B:K,9,0),0)</f>
        <v>0</v>
      </c>
      <c r="K724">
        <f>IFERROR(VLOOKUP(A724,库龄!B:L,10,0),0)</f>
        <v>0</v>
      </c>
      <c r="L724">
        <f>IFERROR(VLOOKUP(A724,库龄!B:M,11,0),0)</f>
        <v>0</v>
      </c>
      <c r="M724">
        <f>IFERROR(VLOOKUP(A724,库龄!B:N,12,0),0)</f>
        <v>0</v>
      </c>
      <c r="N724">
        <f t="shared" si="24"/>
        <v>0</v>
      </c>
    </row>
    <row r="725" spans="1:14">
      <c r="A725" s="3" t="s">
        <v>1936</v>
      </c>
      <c r="B725">
        <f>IFERROR(VLOOKUP(A725,管理亚马逊库存!A:K,11,0),"")</f>
        <v>0</v>
      </c>
      <c r="C725">
        <f>IFERROR(VLOOKUP(A725,管理亚马逊库存!A:L,12,0),"")</f>
        <v>0</v>
      </c>
      <c r="D725">
        <f>IFERROR(VLOOKUP(A725,管理亚马逊库存!A:Q,17,0),"")</f>
        <v>0</v>
      </c>
      <c r="E725">
        <f>IFERROR(VLOOKUP(A725,管理亚马逊库存!A:R,18,0),"")</f>
        <v>0</v>
      </c>
      <c r="F725">
        <f t="shared" si="23"/>
        <v>0</v>
      </c>
      <c r="G725" t="str">
        <f>IFERROR(VLOOKUP(A725,预留库存!A:G,7,0),0)</f>
        <v>No</v>
      </c>
      <c r="H725">
        <f>IFERROR(VLOOKUP(A725,预留库存!A:H,8,0),0)</f>
        <v>0</v>
      </c>
      <c r="I725">
        <f>IFERROR(VLOOKUP(A725,预留库存!A:F,6,0),0)</f>
        <v>39.98</v>
      </c>
      <c r="J725">
        <f>IFERROR(VLOOKUP(A725,库龄!B:K,9,0),0)</f>
        <v>0</v>
      </c>
      <c r="K725">
        <f>IFERROR(VLOOKUP(A725,库龄!B:L,10,0),0)</f>
        <v>0</v>
      </c>
      <c r="L725">
        <f>IFERROR(VLOOKUP(A725,库龄!B:M,11,0),0)</f>
        <v>0</v>
      </c>
      <c r="M725">
        <f>IFERROR(VLOOKUP(A725,库龄!B:N,12,0),0)</f>
        <v>0</v>
      </c>
      <c r="N725">
        <f t="shared" si="24"/>
        <v>0</v>
      </c>
    </row>
    <row r="726" spans="1:14">
      <c r="A726" s="3" t="s">
        <v>1939</v>
      </c>
      <c r="B726">
        <f>IFERROR(VLOOKUP(A726,管理亚马逊库存!A:K,11,0),"")</f>
        <v>0</v>
      </c>
      <c r="C726">
        <f>IFERROR(VLOOKUP(A726,管理亚马逊库存!A:L,12,0),"")</f>
        <v>0</v>
      </c>
      <c r="D726">
        <f>IFERROR(VLOOKUP(A726,管理亚马逊库存!A:Q,17,0),"")</f>
        <v>0</v>
      </c>
      <c r="E726">
        <f>IFERROR(VLOOKUP(A726,管理亚马逊库存!A:R,18,0),"")</f>
        <v>0</v>
      </c>
      <c r="F726">
        <f t="shared" si="23"/>
        <v>0</v>
      </c>
      <c r="G726" t="str">
        <f>IFERROR(VLOOKUP(A726,预留库存!A:G,7,0),0)</f>
        <v>No</v>
      </c>
      <c r="H726">
        <f>IFERROR(VLOOKUP(A726,预留库存!A:H,8,0),0)</f>
        <v>0</v>
      </c>
      <c r="I726">
        <f>IFERROR(VLOOKUP(A726,预留库存!A:F,6,0),0)</f>
        <v>39.98</v>
      </c>
      <c r="J726">
        <f>IFERROR(VLOOKUP(A726,库龄!B:K,9,0),0)</f>
        <v>0</v>
      </c>
      <c r="K726">
        <f>IFERROR(VLOOKUP(A726,库龄!B:L,10,0),0)</f>
        <v>0</v>
      </c>
      <c r="L726">
        <f>IFERROR(VLOOKUP(A726,库龄!B:M,11,0),0)</f>
        <v>0</v>
      </c>
      <c r="M726">
        <f>IFERROR(VLOOKUP(A726,库龄!B:N,12,0),0)</f>
        <v>0</v>
      </c>
      <c r="N726">
        <f t="shared" si="24"/>
        <v>0</v>
      </c>
    </row>
    <row r="727" spans="1:14">
      <c r="A727" s="3" t="s">
        <v>1942</v>
      </c>
      <c r="B727">
        <f>IFERROR(VLOOKUP(A727,管理亚马逊库存!A:K,11,0),"")</f>
        <v>0</v>
      </c>
      <c r="C727">
        <f>IFERROR(VLOOKUP(A727,管理亚马逊库存!A:L,12,0),"")</f>
        <v>0</v>
      </c>
      <c r="D727">
        <f>IFERROR(VLOOKUP(A727,管理亚马逊库存!A:Q,17,0),"")</f>
        <v>0</v>
      </c>
      <c r="E727">
        <f>IFERROR(VLOOKUP(A727,管理亚马逊库存!A:R,18,0),"")</f>
        <v>0</v>
      </c>
      <c r="F727">
        <f t="shared" si="23"/>
        <v>0</v>
      </c>
      <c r="G727" t="str">
        <f>IFERROR(VLOOKUP(A727,预留库存!A:G,7,0),0)</f>
        <v>No</v>
      </c>
      <c r="H727">
        <f>IFERROR(VLOOKUP(A727,预留库存!A:H,8,0),0)</f>
        <v>0</v>
      </c>
      <c r="I727">
        <f>IFERROR(VLOOKUP(A727,预留库存!A:F,6,0),0)</f>
        <v>21.98</v>
      </c>
      <c r="J727">
        <f>IFERROR(VLOOKUP(A727,库龄!B:K,9,0),0)</f>
        <v>0</v>
      </c>
      <c r="K727">
        <f>IFERROR(VLOOKUP(A727,库龄!B:L,10,0),0)</f>
        <v>0</v>
      </c>
      <c r="L727">
        <f>IFERROR(VLOOKUP(A727,库龄!B:M,11,0),0)</f>
        <v>0</v>
      </c>
      <c r="M727">
        <f>IFERROR(VLOOKUP(A727,库龄!B:N,12,0),0)</f>
        <v>0</v>
      </c>
      <c r="N727">
        <f t="shared" si="24"/>
        <v>0</v>
      </c>
    </row>
    <row r="728" spans="1:14">
      <c r="A728" s="3" t="s">
        <v>1945</v>
      </c>
      <c r="B728">
        <f>IFERROR(VLOOKUP(A728,管理亚马逊库存!A:K,11,0),"")</f>
        <v>0</v>
      </c>
      <c r="C728">
        <f>IFERROR(VLOOKUP(A728,管理亚马逊库存!A:L,12,0),"")</f>
        <v>0</v>
      </c>
      <c r="D728">
        <f>IFERROR(VLOOKUP(A728,管理亚马逊库存!A:Q,17,0),"")</f>
        <v>0</v>
      </c>
      <c r="E728">
        <f>IFERROR(VLOOKUP(A728,管理亚马逊库存!A:R,18,0),"")</f>
        <v>0</v>
      </c>
      <c r="F728">
        <f t="shared" si="23"/>
        <v>0</v>
      </c>
      <c r="G728" t="str">
        <f>IFERROR(VLOOKUP(A728,预留库存!A:G,7,0),0)</f>
        <v>No</v>
      </c>
      <c r="H728">
        <f>IFERROR(VLOOKUP(A728,预留库存!A:H,8,0),0)</f>
        <v>0</v>
      </c>
      <c r="I728">
        <f>IFERROR(VLOOKUP(A728,预留库存!A:F,6,0),0)</f>
        <v>22.98</v>
      </c>
      <c r="J728">
        <f>IFERROR(VLOOKUP(A728,库龄!B:K,9,0),0)</f>
        <v>0</v>
      </c>
      <c r="K728">
        <f>IFERROR(VLOOKUP(A728,库龄!B:L,10,0),0)</f>
        <v>0</v>
      </c>
      <c r="L728">
        <f>IFERROR(VLOOKUP(A728,库龄!B:M,11,0),0)</f>
        <v>0</v>
      </c>
      <c r="M728">
        <f>IFERROR(VLOOKUP(A728,库龄!B:N,12,0),0)</f>
        <v>0</v>
      </c>
      <c r="N728">
        <f t="shared" si="24"/>
        <v>0</v>
      </c>
    </row>
    <row r="729" spans="1:14">
      <c r="A729" s="3" t="s">
        <v>1948</v>
      </c>
      <c r="B729">
        <f>IFERROR(VLOOKUP(A729,管理亚马逊库存!A:K,11,0),"")</f>
        <v>42</v>
      </c>
      <c r="C729">
        <f>IFERROR(VLOOKUP(A729,管理亚马逊库存!A:L,12,0),"")</f>
        <v>0</v>
      </c>
      <c r="D729">
        <f>IFERROR(VLOOKUP(A729,管理亚马逊库存!A:Q,17,0),"")</f>
        <v>0</v>
      </c>
      <c r="E729">
        <f>IFERROR(VLOOKUP(A729,管理亚马逊库存!A:R,18,0),"")</f>
        <v>0</v>
      </c>
      <c r="F729">
        <f t="shared" si="23"/>
        <v>0</v>
      </c>
      <c r="G729" t="str">
        <f>IFERROR(VLOOKUP(A729,预留库存!A:G,7,0),0)</f>
        <v>No</v>
      </c>
      <c r="H729">
        <f>IFERROR(VLOOKUP(A729,预留库存!A:H,8,0),0)</f>
        <v>0</v>
      </c>
      <c r="I729">
        <f>IFERROR(VLOOKUP(A729,预留库存!A:F,6,0),0)</f>
        <v>39.98</v>
      </c>
      <c r="J729">
        <f>IFERROR(VLOOKUP(A729,库龄!B:K,9,0),0)</f>
        <v>6</v>
      </c>
      <c r="K729">
        <f>IFERROR(VLOOKUP(A729,库龄!B:L,10,0),0)</f>
        <v>24</v>
      </c>
      <c r="L729">
        <f>IFERROR(VLOOKUP(A729,库龄!B:M,11,0),0)</f>
        <v>0</v>
      </c>
      <c r="M729">
        <f>IFERROR(VLOOKUP(A729,库龄!B:N,12,0),0)</f>
        <v>0</v>
      </c>
      <c r="N729">
        <f t="shared" si="24"/>
        <v>30</v>
      </c>
    </row>
    <row r="730" spans="1:14">
      <c r="A730" s="3" t="s">
        <v>1950</v>
      </c>
      <c r="B730">
        <f>IFERROR(VLOOKUP(A730,管理亚马逊库存!A:K,11,0),"")</f>
        <v>36</v>
      </c>
      <c r="C730">
        <f>IFERROR(VLOOKUP(A730,管理亚马逊库存!A:L,12,0),"")</f>
        <v>0</v>
      </c>
      <c r="D730">
        <f>IFERROR(VLOOKUP(A730,管理亚马逊库存!A:Q,17,0),"")</f>
        <v>0</v>
      </c>
      <c r="E730">
        <f>IFERROR(VLOOKUP(A730,管理亚马逊库存!A:R,18,0),"")</f>
        <v>0</v>
      </c>
      <c r="F730">
        <f t="shared" si="23"/>
        <v>0</v>
      </c>
      <c r="G730" t="str">
        <f>IFERROR(VLOOKUP(A730,预留库存!A:G,7,0),0)</f>
        <v>No</v>
      </c>
      <c r="H730">
        <f>IFERROR(VLOOKUP(A730,预留库存!A:H,8,0),0)</f>
        <v>0</v>
      </c>
      <c r="I730">
        <f>IFERROR(VLOOKUP(A730,预留库存!A:F,6,0),0)</f>
        <v>39.98</v>
      </c>
      <c r="J730">
        <f>IFERROR(VLOOKUP(A730,库龄!B:K,9,0),0)</f>
        <v>3</v>
      </c>
      <c r="K730">
        <f>IFERROR(VLOOKUP(A730,库龄!B:L,10,0),0)</f>
        <v>33</v>
      </c>
      <c r="L730">
        <f>IFERROR(VLOOKUP(A730,库龄!B:M,11,0),0)</f>
        <v>0</v>
      </c>
      <c r="M730">
        <f>IFERROR(VLOOKUP(A730,库龄!B:N,12,0),0)</f>
        <v>0</v>
      </c>
      <c r="N730">
        <f t="shared" si="24"/>
        <v>36</v>
      </c>
    </row>
    <row r="731" spans="1:14">
      <c r="A731" s="3" t="s">
        <v>1952</v>
      </c>
      <c r="B731">
        <f>IFERROR(VLOOKUP(A731,管理亚马逊库存!A:K,11,0),"")</f>
        <v>39</v>
      </c>
      <c r="C731">
        <f>IFERROR(VLOOKUP(A731,管理亚马逊库存!A:L,12,0),"")</f>
        <v>0</v>
      </c>
      <c r="D731">
        <f>IFERROR(VLOOKUP(A731,管理亚马逊库存!A:Q,17,0),"")</f>
        <v>0</v>
      </c>
      <c r="E731">
        <f>IFERROR(VLOOKUP(A731,管理亚马逊库存!A:R,18,0),"")</f>
        <v>0</v>
      </c>
      <c r="F731">
        <f t="shared" si="23"/>
        <v>0</v>
      </c>
      <c r="G731" t="str">
        <f>IFERROR(VLOOKUP(A731,预留库存!A:G,7,0),0)</f>
        <v>No</v>
      </c>
      <c r="H731">
        <f>IFERROR(VLOOKUP(A731,预留库存!A:H,8,0),0)</f>
        <v>0</v>
      </c>
      <c r="I731">
        <f>IFERROR(VLOOKUP(A731,预留库存!A:F,6,0),0)</f>
        <v>39.98</v>
      </c>
      <c r="J731">
        <f>IFERROR(VLOOKUP(A731,库龄!B:K,9,0),0)</f>
        <v>1</v>
      </c>
      <c r="K731">
        <f>IFERROR(VLOOKUP(A731,库龄!B:L,10,0),0)</f>
        <v>35</v>
      </c>
      <c r="L731">
        <f>IFERROR(VLOOKUP(A731,库龄!B:M,11,0),0)</f>
        <v>0</v>
      </c>
      <c r="M731">
        <f>IFERROR(VLOOKUP(A731,库龄!B:N,12,0),0)</f>
        <v>0</v>
      </c>
      <c r="N731">
        <f t="shared" si="24"/>
        <v>36</v>
      </c>
    </row>
    <row r="732" spans="1:14">
      <c r="A732" s="3" t="s">
        <v>1954</v>
      </c>
      <c r="B732">
        <f>IFERROR(VLOOKUP(A732,管理亚马逊库存!A:K,11,0),"")</f>
        <v>23</v>
      </c>
      <c r="C732">
        <f>IFERROR(VLOOKUP(A732,管理亚马逊库存!A:L,12,0),"")</f>
        <v>0</v>
      </c>
      <c r="D732">
        <f>IFERROR(VLOOKUP(A732,管理亚马逊库存!A:Q,17,0),"")</f>
        <v>0</v>
      </c>
      <c r="E732">
        <f>IFERROR(VLOOKUP(A732,管理亚马逊库存!A:R,18,0),"")</f>
        <v>0</v>
      </c>
      <c r="F732">
        <f t="shared" si="23"/>
        <v>0</v>
      </c>
      <c r="G732" t="str">
        <f>IFERROR(VLOOKUP(A732,预留库存!A:G,7,0),0)</f>
        <v>No</v>
      </c>
      <c r="H732">
        <f>IFERROR(VLOOKUP(A732,预留库存!A:H,8,0),0)</f>
        <v>0</v>
      </c>
      <c r="I732">
        <f>IFERROR(VLOOKUP(A732,预留库存!A:F,6,0),0)</f>
        <v>39.98</v>
      </c>
      <c r="J732">
        <f>IFERROR(VLOOKUP(A732,库龄!B:K,9,0),0)</f>
        <v>5</v>
      </c>
      <c r="K732">
        <f>IFERROR(VLOOKUP(A732,库龄!B:L,10,0),0)</f>
        <v>11</v>
      </c>
      <c r="L732">
        <f>IFERROR(VLOOKUP(A732,库龄!B:M,11,0),0)</f>
        <v>0</v>
      </c>
      <c r="M732">
        <f>IFERROR(VLOOKUP(A732,库龄!B:N,12,0),0)</f>
        <v>0</v>
      </c>
      <c r="N732">
        <f t="shared" si="24"/>
        <v>16</v>
      </c>
    </row>
    <row r="733" spans="1:14">
      <c r="A733" s="3" t="s">
        <v>1956</v>
      </c>
      <c r="B733">
        <f>IFERROR(VLOOKUP(A733,管理亚马逊库存!A:K,11,0),"")</f>
        <v>15</v>
      </c>
      <c r="C733">
        <f>IFERROR(VLOOKUP(A733,管理亚马逊库存!A:L,12,0),"")</f>
        <v>0</v>
      </c>
      <c r="D733">
        <f>IFERROR(VLOOKUP(A733,管理亚马逊库存!A:Q,17,0),"")</f>
        <v>0</v>
      </c>
      <c r="E733">
        <f>IFERROR(VLOOKUP(A733,管理亚马逊库存!A:R,18,0),"")</f>
        <v>0</v>
      </c>
      <c r="F733">
        <f t="shared" si="23"/>
        <v>0</v>
      </c>
      <c r="G733">
        <f>IFERROR(VLOOKUP(A733,预留库存!A:G,7,0),0)</f>
        <v>0</v>
      </c>
      <c r="H733">
        <f>IFERROR(VLOOKUP(A733,预留库存!A:H,8,0),0)</f>
        <v>0</v>
      </c>
      <c r="I733">
        <f>IFERROR(VLOOKUP(A733,预留库存!A:F,6,0),0)</f>
        <v>0</v>
      </c>
      <c r="J733">
        <f>IFERROR(VLOOKUP(A733,库龄!B:K,9,0),0)</f>
        <v>0</v>
      </c>
      <c r="K733">
        <f>IFERROR(VLOOKUP(A733,库龄!B:L,10,0),0)</f>
        <v>0</v>
      </c>
      <c r="L733">
        <f>IFERROR(VLOOKUP(A733,库龄!B:M,11,0),0)</f>
        <v>0</v>
      </c>
      <c r="M733">
        <f>IFERROR(VLOOKUP(A733,库龄!B:N,12,0),0)</f>
        <v>0</v>
      </c>
      <c r="N733">
        <f t="shared" si="24"/>
        <v>0</v>
      </c>
    </row>
    <row r="734" spans="1:14">
      <c r="A734" s="3" t="s">
        <v>1957</v>
      </c>
      <c r="B734">
        <f>IFERROR(VLOOKUP(A734,管理亚马逊库存!A:K,11,0),"")</f>
        <v>25</v>
      </c>
      <c r="C734">
        <f>IFERROR(VLOOKUP(A734,管理亚马逊库存!A:L,12,0),"")</f>
        <v>0</v>
      </c>
      <c r="D734">
        <f>IFERROR(VLOOKUP(A734,管理亚马逊库存!A:Q,17,0),"")</f>
        <v>0</v>
      </c>
      <c r="E734">
        <f>IFERROR(VLOOKUP(A734,管理亚马逊库存!A:R,18,0),"")</f>
        <v>0</v>
      </c>
      <c r="F734">
        <f t="shared" si="23"/>
        <v>0</v>
      </c>
      <c r="G734" t="str">
        <f>IFERROR(VLOOKUP(A734,预留库存!A:G,7,0),0)</f>
        <v>No</v>
      </c>
      <c r="H734">
        <f>IFERROR(VLOOKUP(A734,预留库存!A:H,8,0),0)</f>
        <v>0</v>
      </c>
      <c r="I734">
        <f>IFERROR(VLOOKUP(A734,预留库存!A:F,6,0),0)</f>
        <v>39.98</v>
      </c>
      <c r="J734">
        <f>IFERROR(VLOOKUP(A734,库龄!B:K,9,0),0)</f>
        <v>1</v>
      </c>
      <c r="K734">
        <f>IFERROR(VLOOKUP(A734,库龄!B:L,10,0),0)</f>
        <v>24</v>
      </c>
      <c r="L734">
        <f>IFERROR(VLOOKUP(A734,库龄!B:M,11,0),0)</f>
        <v>0</v>
      </c>
      <c r="M734">
        <f>IFERROR(VLOOKUP(A734,库龄!B:N,12,0),0)</f>
        <v>0</v>
      </c>
      <c r="N734">
        <f t="shared" si="24"/>
        <v>25</v>
      </c>
    </row>
    <row r="735" spans="1:14">
      <c r="A735" s="3" t="s">
        <v>1959</v>
      </c>
      <c r="B735">
        <f>IFERROR(VLOOKUP(A735,管理亚马逊库存!A:K,11,0),"")</f>
        <v>47</v>
      </c>
      <c r="C735">
        <f>IFERROR(VLOOKUP(A735,管理亚马逊库存!A:L,12,0),"")</f>
        <v>0</v>
      </c>
      <c r="D735">
        <f>IFERROR(VLOOKUP(A735,管理亚马逊库存!A:Q,17,0),"")</f>
        <v>0</v>
      </c>
      <c r="E735">
        <f>IFERROR(VLOOKUP(A735,管理亚马逊库存!A:R,18,0),"")</f>
        <v>0</v>
      </c>
      <c r="F735">
        <f t="shared" si="23"/>
        <v>0</v>
      </c>
      <c r="G735" t="str">
        <f>IFERROR(VLOOKUP(A735,预留库存!A:G,7,0),0)</f>
        <v>No</v>
      </c>
      <c r="H735">
        <f>IFERROR(VLOOKUP(A735,预留库存!A:H,8,0),0)</f>
        <v>0</v>
      </c>
      <c r="I735">
        <f>IFERROR(VLOOKUP(A735,预留库存!A:F,6,0),0)</f>
        <v>39.98</v>
      </c>
      <c r="J735">
        <f>IFERROR(VLOOKUP(A735,库龄!B:K,9,0),0)</f>
        <v>1</v>
      </c>
      <c r="K735">
        <f>IFERROR(VLOOKUP(A735,库龄!B:L,10,0),0)</f>
        <v>45</v>
      </c>
      <c r="L735">
        <f>IFERROR(VLOOKUP(A735,库龄!B:M,11,0),0)</f>
        <v>0</v>
      </c>
      <c r="M735">
        <f>IFERROR(VLOOKUP(A735,库龄!B:N,12,0),0)</f>
        <v>0</v>
      </c>
      <c r="N735">
        <f t="shared" si="24"/>
        <v>46</v>
      </c>
    </row>
    <row r="736" spans="1:14">
      <c r="A736" s="3" t="s">
        <v>1961</v>
      </c>
      <c r="B736">
        <f>IFERROR(VLOOKUP(A736,管理亚马逊库存!A:K,11,0),"")</f>
        <v>51</v>
      </c>
      <c r="C736">
        <f>IFERROR(VLOOKUP(A736,管理亚马逊库存!A:L,12,0),"")</f>
        <v>0</v>
      </c>
      <c r="D736">
        <f>IFERROR(VLOOKUP(A736,管理亚马逊库存!A:Q,17,0),"")</f>
        <v>0</v>
      </c>
      <c r="E736">
        <f>IFERROR(VLOOKUP(A736,管理亚马逊库存!A:R,18,0),"")</f>
        <v>0</v>
      </c>
      <c r="F736">
        <f t="shared" si="23"/>
        <v>0</v>
      </c>
      <c r="G736" t="str">
        <f>IFERROR(VLOOKUP(A736,预留库存!A:G,7,0),0)</f>
        <v>No</v>
      </c>
      <c r="H736">
        <f>IFERROR(VLOOKUP(A736,预留库存!A:H,8,0),0)</f>
        <v>0</v>
      </c>
      <c r="I736">
        <f>IFERROR(VLOOKUP(A736,预留库存!A:F,6,0),0)</f>
        <v>39.98</v>
      </c>
      <c r="J736">
        <f>IFERROR(VLOOKUP(A736,库龄!B:K,9,0),0)</f>
        <v>1</v>
      </c>
      <c r="K736">
        <f>IFERROR(VLOOKUP(A736,库龄!B:L,10,0),0)</f>
        <v>43</v>
      </c>
      <c r="L736">
        <f>IFERROR(VLOOKUP(A736,库龄!B:M,11,0),0)</f>
        <v>5</v>
      </c>
      <c r="M736">
        <f>IFERROR(VLOOKUP(A736,库龄!B:N,12,0),0)</f>
        <v>0</v>
      </c>
      <c r="N736">
        <f t="shared" si="24"/>
        <v>49</v>
      </c>
    </row>
    <row r="737" spans="1:14">
      <c r="A737" s="3" t="s">
        <v>1963</v>
      </c>
      <c r="B737">
        <f>IFERROR(VLOOKUP(A737,管理亚马逊库存!A:K,11,0),"")</f>
        <v>42</v>
      </c>
      <c r="C737">
        <f>IFERROR(VLOOKUP(A737,管理亚马逊库存!A:L,12,0),"")</f>
        <v>0</v>
      </c>
      <c r="D737">
        <f>IFERROR(VLOOKUP(A737,管理亚马逊库存!A:Q,17,0),"")</f>
        <v>0</v>
      </c>
      <c r="E737">
        <f>IFERROR(VLOOKUP(A737,管理亚马逊库存!A:R,18,0),"")</f>
        <v>0</v>
      </c>
      <c r="F737">
        <f t="shared" si="23"/>
        <v>0</v>
      </c>
      <c r="G737" t="str">
        <f>IFERROR(VLOOKUP(A737,预留库存!A:G,7,0),0)</f>
        <v>No</v>
      </c>
      <c r="H737">
        <f>IFERROR(VLOOKUP(A737,预留库存!A:H,8,0),0)</f>
        <v>0</v>
      </c>
      <c r="I737">
        <f>IFERROR(VLOOKUP(A737,预留库存!A:F,6,0),0)</f>
        <v>39.98</v>
      </c>
      <c r="J737">
        <f>IFERROR(VLOOKUP(A737,库龄!B:K,9,0),0)</f>
        <v>3</v>
      </c>
      <c r="K737">
        <f>IFERROR(VLOOKUP(A737,库龄!B:L,10,0),0)</f>
        <v>38</v>
      </c>
      <c r="L737">
        <f>IFERROR(VLOOKUP(A737,库龄!B:M,11,0),0)</f>
        <v>0</v>
      </c>
      <c r="M737">
        <f>IFERROR(VLOOKUP(A737,库龄!B:N,12,0),0)</f>
        <v>0</v>
      </c>
      <c r="N737">
        <f t="shared" si="24"/>
        <v>41</v>
      </c>
    </row>
    <row r="738" spans="1:14">
      <c r="A738" s="3" t="s">
        <v>1965</v>
      </c>
      <c r="B738">
        <f>IFERROR(VLOOKUP(A738,管理亚马逊库存!A:K,11,0),"")</f>
        <v>58</v>
      </c>
      <c r="C738">
        <f>IFERROR(VLOOKUP(A738,管理亚马逊库存!A:L,12,0),"")</f>
        <v>0</v>
      </c>
      <c r="D738">
        <f>IFERROR(VLOOKUP(A738,管理亚马逊库存!A:Q,17,0),"")</f>
        <v>0</v>
      </c>
      <c r="E738">
        <f>IFERROR(VLOOKUP(A738,管理亚马逊库存!A:R,18,0),"")</f>
        <v>0</v>
      </c>
      <c r="F738">
        <f t="shared" si="23"/>
        <v>0</v>
      </c>
      <c r="G738" t="str">
        <f>IFERROR(VLOOKUP(A738,预留库存!A:G,7,0),0)</f>
        <v>No</v>
      </c>
      <c r="H738">
        <f>IFERROR(VLOOKUP(A738,预留库存!A:H,8,0),0)</f>
        <v>0</v>
      </c>
      <c r="I738">
        <f>IFERROR(VLOOKUP(A738,预留库存!A:F,6,0),0)</f>
        <v>39.98</v>
      </c>
      <c r="J738">
        <f>IFERROR(VLOOKUP(A738,库龄!B:K,9,0),0)</f>
        <v>2</v>
      </c>
      <c r="K738">
        <f>IFERROR(VLOOKUP(A738,库龄!B:L,10,0),0)</f>
        <v>55</v>
      </c>
      <c r="L738">
        <f>IFERROR(VLOOKUP(A738,库龄!B:M,11,0),0)</f>
        <v>0</v>
      </c>
      <c r="M738">
        <f>IFERROR(VLOOKUP(A738,库龄!B:N,12,0),0)</f>
        <v>0</v>
      </c>
      <c r="N738">
        <f t="shared" si="24"/>
        <v>57</v>
      </c>
    </row>
    <row r="739" spans="1:14">
      <c r="A739" s="3" t="s">
        <v>1967</v>
      </c>
      <c r="B739">
        <f>IFERROR(VLOOKUP(A739,管理亚马逊库存!A:K,11,0),"")</f>
        <v>1</v>
      </c>
      <c r="C739">
        <f>IFERROR(VLOOKUP(A739,管理亚马逊库存!A:L,12,0),"")</f>
        <v>0</v>
      </c>
      <c r="D739">
        <f>IFERROR(VLOOKUP(A739,管理亚马逊库存!A:Q,17,0),"")</f>
        <v>0</v>
      </c>
      <c r="E739">
        <f>IFERROR(VLOOKUP(A739,管理亚马逊库存!A:R,18,0),"")</f>
        <v>0</v>
      </c>
      <c r="F739">
        <f t="shared" si="23"/>
        <v>0</v>
      </c>
      <c r="G739" t="str">
        <f>IFERROR(VLOOKUP(A739,预留库存!A:G,7,0),0)</f>
        <v>No</v>
      </c>
      <c r="H739">
        <f>IFERROR(VLOOKUP(A739,预留库存!A:H,8,0),0)</f>
        <v>0</v>
      </c>
      <c r="I739">
        <f>IFERROR(VLOOKUP(A739,预留库存!A:F,6,0),0)</f>
        <v>39.98</v>
      </c>
      <c r="J739">
        <f>IFERROR(VLOOKUP(A739,库龄!B:K,9,0),0)</f>
        <v>0</v>
      </c>
      <c r="K739">
        <f>IFERROR(VLOOKUP(A739,库龄!B:L,10,0),0)</f>
        <v>0</v>
      </c>
      <c r="L739">
        <f>IFERROR(VLOOKUP(A739,库龄!B:M,11,0),0)</f>
        <v>0</v>
      </c>
      <c r="M739">
        <f>IFERROR(VLOOKUP(A739,库龄!B:N,12,0),0)</f>
        <v>0</v>
      </c>
      <c r="N739">
        <f t="shared" si="24"/>
        <v>0</v>
      </c>
    </row>
    <row r="740" spans="1:14">
      <c r="A740" s="3" t="s">
        <v>1969</v>
      </c>
      <c r="B740">
        <f>IFERROR(VLOOKUP(A740,管理亚马逊库存!A:K,11,0),"")</f>
        <v>25</v>
      </c>
      <c r="C740">
        <f>IFERROR(VLOOKUP(A740,管理亚马逊库存!A:L,12,0),"")</f>
        <v>0</v>
      </c>
      <c r="D740">
        <f>IFERROR(VLOOKUP(A740,管理亚马逊库存!A:Q,17,0),"")</f>
        <v>0</v>
      </c>
      <c r="E740">
        <f>IFERROR(VLOOKUP(A740,管理亚马逊库存!A:R,18,0),"")</f>
        <v>0</v>
      </c>
      <c r="F740">
        <f t="shared" si="23"/>
        <v>0</v>
      </c>
      <c r="G740" t="str">
        <f>IFERROR(VLOOKUP(A740,预留库存!A:G,7,0),0)</f>
        <v>No</v>
      </c>
      <c r="H740">
        <f>IFERROR(VLOOKUP(A740,预留库存!A:H,8,0),0)</f>
        <v>0</v>
      </c>
      <c r="I740">
        <f>IFERROR(VLOOKUP(A740,预留库存!A:F,6,0),0)</f>
        <v>39.98</v>
      </c>
      <c r="J740">
        <f>IFERROR(VLOOKUP(A740,库龄!B:K,9,0),0)</f>
        <v>4</v>
      </c>
      <c r="K740">
        <f>IFERROR(VLOOKUP(A740,库龄!B:L,10,0),0)</f>
        <v>7</v>
      </c>
      <c r="L740">
        <f>IFERROR(VLOOKUP(A740,库龄!B:M,11,0),0)</f>
        <v>0</v>
      </c>
      <c r="M740">
        <f>IFERROR(VLOOKUP(A740,库龄!B:N,12,0),0)</f>
        <v>0</v>
      </c>
      <c r="N740">
        <f t="shared" si="24"/>
        <v>11</v>
      </c>
    </row>
    <row r="741" spans="1:14">
      <c r="A741" s="3" t="s">
        <v>1971</v>
      </c>
      <c r="B741">
        <f>IFERROR(VLOOKUP(A741,管理亚马逊库存!A:K,11,0),"")</f>
        <v>10</v>
      </c>
      <c r="C741">
        <f>IFERROR(VLOOKUP(A741,管理亚马逊库存!A:L,12,0),"")</f>
        <v>0</v>
      </c>
      <c r="D741">
        <f>IFERROR(VLOOKUP(A741,管理亚马逊库存!A:Q,17,0),"")</f>
        <v>0</v>
      </c>
      <c r="E741">
        <f>IFERROR(VLOOKUP(A741,管理亚马逊库存!A:R,18,0),"")</f>
        <v>0</v>
      </c>
      <c r="F741">
        <f t="shared" si="23"/>
        <v>0</v>
      </c>
      <c r="G741" t="str">
        <f>IFERROR(VLOOKUP(A741,预留库存!A:G,7,0),0)</f>
        <v>No</v>
      </c>
      <c r="H741">
        <f>IFERROR(VLOOKUP(A741,预留库存!A:H,8,0),0)</f>
        <v>0</v>
      </c>
      <c r="I741">
        <f>IFERROR(VLOOKUP(A741,预留库存!A:F,6,0),0)</f>
        <v>39.98</v>
      </c>
      <c r="J741">
        <f>IFERROR(VLOOKUP(A741,库龄!B:K,9,0),0)</f>
        <v>2</v>
      </c>
      <c r="K741">
        <f>IFERROR(VLOOKUP(A741,库龄!B:L,10,0),0)</f>
        <v>0</v>
      </c>
      <c r="L741">
        <f>IFERROR(VLOOKUP(A741,库龄!B:M,11,0),0)</f>
        <v>0</v>
      </c>
      <c r="M741">
        <f>IFERROR(VLOOKUP(A741,库龄!B:N,12,0),0)</f>
        <v>0</v>
      </c>
      <c r="N741">
        <f t="shared" si="24"/>
        <v>2</v>
      </c>
    </row>
    <row r="742" spans="1:14">
      <c r="A742" s="3" t="s">
        <v>1973</v>
      </c>
      <c r="B742">
        <f>IFERROR(VLOOKUP(A742,管理亚马逊库存!A:K,11,0),"")</f>
        <v>16</v>
      </c>
      <c r="C742">
        <f>IFERROR(VLOOKUP(A742,管理亚马逊库存!A:L,12,0),"")</f>
        <v>0</v>
      </c>
      <c r="D742">
        <f>IFERROR(VLOOKUP(A742,管理亚马逊库存!A:Q,17,0),"")</f>
        <v>0</v>
      </c>
      <c r="E742">
        <f>IFERROR(VLOOKUP(A742,管理亚马逊库存!A:R,18,0),"")</f>
        <v>0</v>
      </c>
      <c r="F742">
        <f t="shared" si="23"/>
        <v>0</v>
      </c>
      <c r="G742" t="str">
        <f>IFERROR(VLOOKUP(A742,预留库存!A:G,7,0),0)</f>
        <v>No</v>
      </c>
      <c r="H742">
        <f>IFERROR(VLOOKUP(A742,预留库存!A:H,8,0),0)</f>
        <v>0</v>
      </c>
      <c r="I742">
        <f>IFERROR(VLOOKUP(A742,预留库存!A:F,6,0),0)</f>
        <v>39.98</v>
      </c>
      <c r="J742">
        <f>IFERROR(VLOOKUP(A742,库龄!B:K,9,0),0)</f>
        <v>5</v>
      </c>
      <c r="K742">
        <f>IFERROR(VLOOKUP(A742,库龄!B:L,10,0),0)</f>
        <v>11</v>
      </c>
      <c r="L742">
        <f>IFERROR(VLOOKUP(A742,库龄!B:M,11,0),0)</f>
        <v>0</v>
      </c>
      <c r="M742">
        <f>IFERROR(VLOOKUP(A742,库龄!B:N,12,0),0)</f>
        <v>0</v>
      </c>
      <c r="N742">
        <f t="shared" si="24"/>
        <v>16</v>
      </c>
    </row>
    <row r="743" spans="1:14">
      <c r="A743" s="3" t="s">
        <v>1975</v>
      </c>
      <c r="B743">
        <f>IFERROR(VLOOKUP(A743,管理亚马逊库存!A:K,11,0),"")</f>
        <v>12</v>
      </c>
      <c r="C743">
        <f>IFERROR(VLOOKUP(A743,管理亚马逊库存!A:L,12,0),"")</f>
        <v>0</v>
      </c>
      <c r="D743">
        <f>IFERROR(VLOOKUP(A743,管理亚马逊库存!A:Q,17,0),"")</f>
        <v>0</v>
      </c>
      <c r="E743">
        <f>IFERROR(VLOOKUP(A743,管理亚马逊库存!A:R,18,0),"")</f>
        <v>0</v>
      </c>
      <c r="F743">
        <f t="shared" si="23"/>
        <v>0</v>
      </c>
      <c r="G743" t="str">
        <f>IFERROR(VLOOKUP(A743,预留库存!A:G,7,0),0)</f>
        <v>No</v>
      </c>
      <c r="H743">
        <f>IFERROR(VLOOKUP(A743,预留库存!A:H,8,0),0)</f>
        <v>0</v>
      </c>
      <c r="I743">
        <f>IFERROR(VLOOKUP(A743,预留库存!A:F,6,0),0)</f>
        <v>39.98</v>
      </c>
      <c r="J743">
        <f>IFERROR(VLOOKUP(A743,库龄!B:K,9,0),0)</f>
        <v>3</v>
      </c>
      <c r="K743">
        <f>IFERROR(VLOOKUP(A743,库龄!B:L,10,0),0)</f>
        <v>7</v>
      </c>
      <c r="L743">
        <f>IFERROR(VLOOKUP(A743,库龄!B:M,11,0),0)</f>
        <v>0</v>
      </c>
      <c r="M743">
        <f>IFERROR(VLOOKUP(A743,库龄!B:N,12,0),0)</f>
        <v>0</v>
      </c>
      <c r="N743">
        <f t="shared" si="24"/>
        <v>10</v>
      </c>
    </row>
    <row r="744" spans="1:14">
      <c r="A744" s="3" t="s">
        <v>1977</v>
      </c>
      <c r="B744">
        <f>IFERROR(VLOOKUP(A744,管理亚马逊库存!A:K,11,0),"")</f>
        <v>0</v>
      </c>
      <c r="C744">
        <f>IFERROR(VLOOKUP(A744,管理亚马逊库存!A:L,12,0),"")</f>
        <v>0</v>
      </c>
      <c r="D744">
        <f>IFERROR(VLOOKUP(A744,管理亚马逊库存!A:Q,17,0),"")</f>
        <v>0</v>
      </c>
      <c r="E744">
        <f>IFERROR(VLOOKUP(A744,管理亚马逊库存!A:R,18,0),"")</f>
        <v>0</v>
      </c>
      <c r="F744">
        <f t="shared" si="23"/>
        <v>0</v>
      </c>
      <c r="G744" t="str">
        <f>IFERROR(VLOOKUP(A744,预留库存!A:G,7,0),0)</f>
        <v>No</v>
      </c>
      <c r="H744">
        <f>IFERROR(VLOOKUP(A744,预留库存!A:H,8,0),0)</f>
        <v>0</v>
      </c>
      <c r="I744">
        <f>IFERROR(VLOOKUP(A744,预留库存!A:F,6,0),0)</f>
        <v>39.98</v>
      </c>
      <c r="J744">
        <f>IFERROR(VLOOKUP(A744,库龄!B:K,9,0),0)</f>
        <v>0</v>
      </c>
      <c r="K744">
        <f>IFERROR(VLOOKUP(A744,库龄!B:L,10,0),0)</f>
        <v>0</v>
      </c>
      <c r="L744">
        <f>IFERROR(VLOOKUP(A744,库龄!B:M,11,0),0)</f>
        <v>0</v>
      </c>
      <c r="M744">
        <f>IFERROR(VLOOKUP(A744,库龄!B:N,12,0),0)</f>
        <v>0</v>
      </c>
      <c r="N744">
        <f t="shared" si="24"/>
        <v>0</v>
      </c>
    </row>
    <row r="745" spans="1:14">
      <c r="A745" s="3" t="s">
        <v>1979</v>
      </c>
      <c r="B745">
        <f>IFERROR(VLOOKUP(A745,管理亚马逊库存!A:K,11,0),"")</f>
        <v>11</v>
      </c>
      <c r="C745">
        <f>IFERROR(VLOOKUP(A745,管理亚马逊库存!A:L,12,0),"")</f>
        <v>0</v>
      </c>
      <c r="D745">
        <f>IFERROR(VLOOKUP(A745,管理亚马逊库存!A:Q,17,0),"")</f>
        <v>0</v>
      </c>
      <c r="E745">
        <f>IFERROR(VLOOKUP(A745,管理亚马逊库存!A:R,18,0),"")</f>
        <v>0</v>
      </c>
      <c r="F745">
        <f t="shared" si="23"/>
        <v>0</v>
      </c>
      <c r="G745" t="str">
        <f>IFERROR(VLOOKUP(A745,预留库存!A:G,7,0),0)</f>
        <v>No</v>
      </c>
      <c r="H745">
        <f>IFERROR(VLOOKUP(A745,预留库存!A:H,8,0),0)</f>
        <v>0</v>
      </c>
      <c r="I745">
        <f>IFERROR(VLOOKUP(A745,预留库存!A:F,6,0),0)</f>
        <v>39.98</v>
      </c>
      <c r="J745">
        <f>IFERROR(VLOOKUP(A745,库龄!B:K,9,0),0)</f>
        <v>1</v>
      </c>
      <c r="K745">
        <f>IFERROR(VLOOKUP(A745,库龄!B:L,10,0),0)</f>
        <v>8</v>
      </c>
      <c r="L745">
        <f>IFERROR(VLOOKUP(A745,库龄!B:M,11,0),0)</f>
        <v>0</v>
      </c>
      <c r="M745">
        <f>IFERROR(VLOOKUP(A745,库龄!B:N,12,0),0)</f>
        <v>0</v>
      </c>
      <c r="N745">
        <f t="shared" si="24"/>
        <v>9</v>
      </c>
    </row>
    <row r="746" spans="1:14">
      <c r="A746" s="3" t="s">
        <v>1981</v>
      </c>
      <c r="B746">
        <f>IFERROR(VLOOKUP(A746,管理亚马逊库存!A:K,11,0),"")</f>
        <v>4</v>
      </c>
      <c r="C746">
        <f>IFERROR(VLOOKUP(A746,管理亚马逊库存!A:L,12,0),"")</f>
        <v>0</v>
      </c>
      <c r="D746">
        <f>IFERROR(VLOOKUP(A746,管理亚马逊库存!A:Q,17,0),"")</f>
        <v>0</v>
      </c>
      <c r="E746">
        <f>IFERROR(VLOOKUP(A746,管理亚马逊库存!A:R,18,0),"")</f>
        <v>0</v>
      </c>
      <c r="F746">
        <f t="shared" si="23"/>
        <v>0</v>
      </c>
      <c r="G746" t="str">
        <f>IFERROR(VLOOKUP(A746,预留库存!A:G,7,0),0)</f>
        <v>No</v>
      </c>
      <c r="H746">
        <f>IFERROR(VLOOKUP(A746,预留库存!A:H,8,0),0)</f>
        <v>0</v>
      </c>
      <c r="I746">
        <f>IFERROR(VLOOKUP(A746,预留库存!A:F,6,0),0)</f>
        <v>39.98</v>
      </c>
      <c r="J746">
        <f>IFERROR(VLOOKUP(A746,库龄!B:K,9,0),0)</f>
        <v>1</v>
      </c>
      <c r="K746">
        <f>IFERROR(VLOOKUP(A746,库龄!B:L,10,0),0)</f>
        <v>4</v>
      </c>
      <c r="L746">
        <f>IFERROR(VLOOKUP(A746,库龄!B:M,11,0),0)</f>
        <v>0</v>
      </c>
      <c r="M746">
        <f>IFERROR(VLOOKUP(A746,库龄!B:N,12,0),0)</f>
        <v>0</v>
      </c>
      <c r="N746">
        <f t="shared" si="24"/>
        <v>5</v>
      </c>
    </row>
    <row r="747" spans="1:14">
      <c r="A747" s="3" t="s">
        <v>1983</v>
      </c>
      <c r="B747">
        <f>IFERROR(VLOOKUP(A747,管理亚马逊库存!A:K,11,0),"")</f>
        <v>7</v>
      </c>
      <c r="C747">
        <f>IFERROR(VLOOKUP(A747,管理亚马逊库存!A:L,12,0),"")</f>
        <v>0</v>
      </c>
      <c r="D747">
        <f>IFERROR(VLOOKUP(A747,管理亚马逊库存!A:Q,17,0),"")</f>
        <v>0</v>
      </c>
      <c r="E747">
        <f>IFERROR(VLOOKUP(A747,管理亚马逊库存!A:R,18,0),"")</f>
        <v>0</v>
      </c>
      <c r="F747">
        <f t="shared" si="23"/>
        <v>0</v>
      </c>
      <c r="G747" t="str">
        <f>IFERROR(VLOOKUP(A747,预留库存!A:G,7,0),0)</f>
        <v>No</v>
      </c>
      <c r="H747">
        <f>IFERROR(VLOOKUP(A747,预留库存!A:H,8,0),0)</f>
        <v>0</v>
      </c>
      <c r="I747">
        <f>IFERROR(VLOOKUP(A747,预留库存!A:F,6,0),0)</f>
        <v>39.98</v>
      </c>
      <c r="J747">
        <f>IFERROR(VLOOKUP(A747,库龄!B:K,9,0),0)</f>
        <v>2</v>
      </c>
      <c r="K747">
        <f>IFERROR(VLOOKUP(A747,库龄!B:L,10,0),0)</f>
        <v>5</v>
      </c>
      <c r="L747">
        <f>IFERROR(VLOOKUP(A747,库龄!B:M,11,0),0)</f>
        <v>0</v>
      </c>
      <c r="M747">
        <f>IFERROR(VLOOKUP(A747,库龄!B:N,12,0),0)</f>
        <v>0</v>
      </c>
      <c r="N747">
        <f t="shared" si="24"/>
        <v>7</v>
      </c>
    </row>
    <row r="748" spans="1:14">
      <c r="A748" s="3" t="s">
        <v>1985</v>
      </c>
      <c r="B748">
        <f>IFERROR(VLOOKUP(A748,管理亚马逊库存!A:K,11,0),"")</f>
        <v>9</v>
      </c>
      <c r="C748">
        <f>IFERROR(VLOOKUP(A748,管理亚马逊库存!A:L,12,0),"")</f>
        <v>0</v>
      </c>
      <c r="D748">
        <f>IFERROR(VLOOKUP(A748,管理亚马逊库存!A:Q,17,0),"")</f>
        <v>0</v>
      </c>
      <c r="E748">
        <f>IFERROR(VLOOKUP(A748,管理亚马逊库存!A:R,18,0),"")</f>
        <v>0</v>
      </c>
      <c r="F748">
        <f t="shared" si="23"/>
        <v>0</v>
      </c>
      <c r="G748" t="str">
        <f>IFERROR(VLOOKUP(A748,预留库存!A:G,7,0),0)</f>
        <v>No</v>
      </c>
      <c r="H748">
        <f>IFERROR(VLOOKUP(A748,预留库存!A:H,8,0),0)</f>
        <v>0</v>
      </c>
      <c r="I748">
        <f>IFERROR(VLOOKUP(A748,预留库存!A:F,6,0),0)</f>
        <v>39.98</v>
      </c>
      <c r="J748">
        <f>IFERROR(VLOOKUP(A748,库龄!B:K,9,0),0)</f>
        <v>2</v>
      </c>
      <c r="K748">
        <f>IFERROR(VLOOKUP(A748,库龄!B:L,10,0),0)</f>
        <v>6</v>
      </c>
      <c r="L748">
        <f>IFERROR(VLOOKUP(A748,库龄!B:M,11,0),0)</f>
        <v>0</v>
      </c>
      <c r="M748">
        <f>IFERROR(VLOOKUP(A748,库龄!B:N,12,0),0)</f>
        <v>0</v>
      </c>
      <c r="N748">
        <f t="shared" si="24"/>
        <v>8</v>
      </c>
    </row>
    <row r="749" spans="1:14">
      <c r="A749" s="3" t="s">
        <v>1987</v>
      </c>
      <c r="B749">
        <f>IFERROR(VLOOKUP(A749,管理亚马逊库存!A:K,11,0),"")</f>
        <v>45</v>
      </c>
      <c r="C749">
        <f>IFERROR(VLOOKUP(A749,管理亚马逊库存!A:L,12,0),"")</f>
        <v>0</v>
      </c>
      <c r="D749">
        <f>IFERROR(VLOOKUP(A749,管理亚马逊库存!A:Q,17,0),"")</f>
        <v>0</v>
      </c>
      <c r="E749">
        <f>IFERROR(VLOOKUP(A749,管理亚马逊库存!A:R,18,0),"")</f>
        <v>0</v>
      </c>
      <c r="F749">
        <f t="shared" si="23"/>
        <v>0</v>
      </c>
      <c r="G749" t="str">
        <f>IFERROR(VLOOKUP(A749,预留库存!A:G,7,0),0)</f>
        <v>No</v>
      </c>
      <c r="H749">
        <f>IFERROR(VLOOKUP(A749,预留库存!A:H,8,0),0)</f>
        <v>0</v>
      </c>
      <c r="I749">
        <f>IFERROR(VLOOKUP(A749,预留库存!A:F,6,0),0)</f>
        <v>39.98</v>
      </c>
      <c r="J749">
        <f>IFERROR(VLOOKUP(A749,库龄!B:K,9,0),0)</f>
        <v>1</v>
      </c>
      <c r="K749">
        <f>IFERROR(VLOOKUP(A749,库龄!B:L,10,0),0)</f>
        <v>42</v>
      </c>
      <c r="L749">
        <f>IFERROR(VLOOKUP(A749,库龄!B:M,11,0),0)</f>
        <v>0</v>
      </c>
      <c r="M749">
        <f>IFERROR(VLOOKUP(A749,库龄!B:N,12,0),0)</f>
        <v>0</v>
      </c>
      <c r="N749">
        <f t="shared" si="24"/>
        <v>43</v>
      </c>
    </row>
    <row r="750" spans="1:14">
      <c r="A750" s="3" t="s">
        <v>1989</v>
      </c>
      <c r="B750">
        <f>IFERROR(VLOOKUP(A750,管理亚马逊库存!A:K,11,0),"")</f>
        <v>56</v>
      </c>
      <c r="C750">
        <f>IFERROR(VLOOKUP(A750,管理亚马逊库存!A:L,12,0),"")</f>
        <v>1</v>
      </c>
      <c r="D750">
        <f>IFERROR(VLOOKUP(A750,管理亚马逊库存!A:Q,17,0),"")</f>
        <v>0</v>
      </c>
      <c r="E750">
        <f>IFERROR(VLOOKUP(A750,管理亚马逊库存!A:R,18,0),"")</f>
        <v>0</v>
      </c>
      <c r="F750">
        <f t="shared" si="23"/>
        <v>0</v>
      </c>
      <c r="G750" t="str">
        <f>IFERROR(VLOOKUP(A750,预留库存!A:G,7,0),0)</f>
        <v>No</v>
      </c>
      <c r="H750">
        <f>IFERROR(VLOOKUP(A750,预留库存!A:H,8,0),0)</f>
        <v>0</v>
      </c>
      <c r="I750">
        <f>IFERROR(VLOOKUP(A750,预留库存!A:F,6,0),0)</f>
        <v>39.98</v>
      </c>
      <c r="J750">
        <f>IFERROR(VLOOKUP(A750,库龄!B:K,9,0),0)</f>
        <v>1</v>
      </c>
      <c r="K750">
        <f>IFERROR(VLOOKUP(A750,库龄!B:L,10,0),0)</f>
        <v>53</v>
      </c>
      <c r="L750">
        <f>IFERROR(VLOOKUP(A750,库龄!B:M,11,0),0)</f>
        <v>0</v>
      </c>
      <c r="M750">
        <f>IFERROR(VLOOKUP(A750,库龄!B:N,12,0),0)</f>
        <v>0</v>
      </c>
      <c r="N750">
        <f t="shared" si="24"/>
        <v>54</v>
      </c>
    </row>
    <row r="751" spans="1:14">
      <c r="A751" s="3" t="s">
        <v>1991</v>
      </c>
      <c r="B751">
        <f>IFERROR(VLOOKUP(A751,管理亚马逊库存!A:K,11,0),"")</f>
        <v>7</v>
      </c>
      <c r="C751">
        <f>IFERROR(VLOOKUP(A751,管理亚马逊库存!A:L,12,0),"")</f>
        <v>1</v>
      </c>
      <c r="D751">
        <f>IFERROR(VLOOKUP(A751,管理亚马逊库存!A:Q,17,0),"")</f>
        <v>0</v>
      </c>
      <c r="E751">
        <f>IFERROR(VLOOKUP(A751,管理亚马逊库存!A:R,18,0),"")</f>
        <v>0</v>
      </c>
      <c r="F751">
        <f t="shared" si="23"/>
        <v>0</v>
      </c>
      <c r="G751" t="str">
        <f>IFERROR(VLOOKUP(A751,预留库存!A:G,7,0),0)</f>
        <v>No</v>
      </c>
      <c r="H751">
        <f>IFERROR(VLOOKUP(A751,预留库存!A:H,8,0),0)</f>
        <v>0</v>
      </c>
      <c r="I751">
        <f>IFERROR(VLOOKUP(A751,预留库存!A:F,6,0),0)</f>
        <v>39.98</v>
      </c>
      <c r="J751">
        <f>IFERROR(VLOOKUP(A751,库龄!B:K,9,0),0)</f>
        <v>3</v>
      </c>
      <c r="K751">
        <f>IFERROR(VLOOKUP(A751,库龄!B:L,10,0),0)</f>
        <v>2</v>
      </c>
      <c r="L751">
        <f>IFERROR(VLOOKUP(A751,库龄!B:M,11,0),0)</f>
        <v>0</v>
      </c>
      <c r="M751">
        <f>IFERROR(VLOOKUP(A751,库龄!B:N,12,0),0)</f>
        <v>0</v>
      </c>
      <c r="N751">
        <f t="shared" si="24"/>
        <v>5</v>
      </c>
    </row>
    <row r="752" spans="1:14">
      <c r="A752" s="3" t="s">
        <v>1993</v>
      </c>
      <c r="B752">
        <f>IFERROR(VLOOKUP(A752,管理亚马逊库存!A:K,11,0),"")</f>
        <v>45</v>
      </c>
      <c r="C752">
        <f>IFERROR(VLOOKUP(A752,管理亚马逊库存!A:L,12,0),"")</f>
        <v>0</v>
      </c>
      <c r="D752">
        <f>IFERROR(VLOOKUP(A752,管理亚马逊库存!A:Q,17,0),"")</f>
        <v>0</v>
      </c>
      <c r="E752">
        <f>IFERROR(VLOOKUP(A752,管理亚马逊库存!A:R,18,0),"")</f>
        <v>0</v>
      </c>
      <c r="F752">
        <f t="shared" si="23"/>
        <v>0</v>
      </c>
      <c r="G752" t="str">
        <f>IFERROR(VLOOKUP(A752,预留库存!A:G,7,0),0)</f>
        <v>No</v>
      </c>
      <c r="H752">
        <f>IFERROR(VLOOKUP(A752,预留库存!A:H,8,0),0)</f>
        <v>0</v>
      </c>
      <c r="I752">
        <f>IFERROR(VLOOKUP(A752,预留库存!A:F,6,0),0)</f>
        <v>39.98</v>
      </c>
      <c r="J752">
        <f>IFERROR(VLOOKUP(A752,库龄!B:K,9,0),0)</f>
        <v>1</v>
      </c>
      <c r="K752">
        <f>IFERROR(VLOOKUP(A752,库龄!B:L,10,0),0)</f>
        <v>42</v>
      </c>
      <c r="L752">
        <f>IFERROR(VLOOKUP(A752,库龄!B:M,11,0),0)</f>
        <v>0</v>
      </c>
      <c r="M752">
        <f>IFERROR(VLOOKUP(A752,库龄!B:N,12,0),0)</f>
        <v>0</v>
      </c>
      <c r="N752">
        <f t="shared" si="24"/>
        <v>43</v>
      </c>
    </row>
    <row r="753" spans="1:14">
      <c r="A753" s="3" t="s">
        <v>1995</v>
      </c>
      <c r="B753">
        <f>IFERROR(VLOOKUP(A753,管理亚马逊库存!A:K,11,0),"")</f>
        <v>52</v>
      </c>
      <c r="C753">
        <f>IFERROR(VLOOKUP(A753,管理亚马逊库存!A:L,12,0),"")</f>
        <v>0</v>
      </c>
      <c r="D753">
        <f>IFERROR(VLOOKUP(A753,管理亚马逊库存!A:Q,17,0),"")</f>
        <v>0</v>
      </c>
      <c r="E753">
        <f>IFERROR(VLOOKUP(A753,管理亚马逊库存!A:R,18,0),"")</f>
        <v>0</v>
      </c>
      <c r="F753">
        <f t="shared" si="23"/>
        <v>0</v>
      </c>
      <c r="G753" t="str">
        <f>IFERROR(VLOOKUP(A753,预留库存!A:G,7,0),0)</f>
        <v>No</v>
      </c>
      <c r="H753">
        <f>IFERROR(VLOOKUP(A753,预留库存!A:H,8,0),0)</f>
        <v>0</v>
      </c>
      <c r="I753">
        <f>IFERROR(VLOOKUP(A753,预留库存!A:F,6,0),0)</f>
        <v>39.98</v>
      </c>
      <c r="J753">
        <f>IFERROR(VLOOKUP(A753,库龄!B:K,9,0),0)</f>
        <v>3</v>
      </c>
      <c r="K753">
        <f>IFERROR(VLOOKUP(A753,库龄!B:L,10,0),0)</f>
        <v>49</v>
      </c>
      <c r="L753">
        <f>IFERROR(VLOOKUP(A753,库龄!B:M,11,0),0)</f>
        <v>0</v>
      </c>
      <c r="M753">
        <f>IFERROR(VLOOKUP(A753,库龄!B:N,12,0),0)</f>
        <v>0</v>
      </c>
      <c r="N753">
        <f t="shared" si="24"/>
        <v>52</v>
      </c>
    </row>
    <row r="754" spans="1:14">
      <c r="A754" s="3" t="s">
        <v>1997</v>
      </c>
      <c r="B754">
        <f>IFERROR(VLOOKUP(A754,管理亚马逊库存!A:K,11,0),"")</f>
        <v>0</v>
      </c>
      <c r="C754">
        <f>IFERROR(VLOOKUP(A754,管理亚马逊库存!A:L,12,0),"")</f>
        <v>0</v>
      </c>
      <c r="D754">
        <f>IFERROR(VLOOKUP(A754,管理亚马逊库存!A:Q,17,0),"")</f>
        <v>0</v>
      </c>
      <c r="E754">
        <f>IFERROR(VLOOKUP(A754,管理亚马逊库存!A:R,18,0),"")</f>
        <v>0</v>
      </c>
      <c r="F754">
        <f t="shared" si="23"/>
        <v>0</v>
      </c>
      <c r="G754">
        <f>IFERROR(VLOOKUP(A754,预留库存!A:G,7,0),0)</f>
        <v>0</v>
      </c>
      <c r="H754">
        <f>IFERROR(VLOOKUP(A754,预留库存!A:H,8,0),0)</f>
        <v>0</v>
      </c>
      <c r="I754">
        <f>IFERROR(VLOOKUP(A754,预留库存!A:F,6,0),0)</f>
        <v>0</v>
      </c>
      <c r="J754">
        <f>IFERROR(VLOOKUP(A754,库龄!B:K,9,0),0)</f>
        <v>0</v>
      </c>
      <c r="K754">
        <f>IFERROR(VLOOKUP(A754,库龄!B:L,10,0),0)</f>
        <v>0</v>
      </c>
      <c r="L754">
        <f>IFERROR(VLOOKUP(A754,库龄!B:M,11,0),0)</f>
        <v>0</v>
      </c>
      <c r="M754">
        <f>IFERROR(VLOOKUP(A754,库龄!B:N,12,0),0)</f>
        <v>0</v>
      </c>
      <c r="N754">
        <f t="shared" si="24"/>
        <v>0</v>
      </c>
    </row>
    <row r="755" spans="1:14">
      <c r="A755" s="3" t="s">
        <v>1998</v>
      </c>
      <c r="B755">
        <f>IFERROR(VLOOKUP(A755,管理亚马逊库存!A:K,11,0),"")</f>
        <v>0</v>
      </c>
      <c r="C755">
        <f>IFERROR(VLOOKUP(A755,管理亚马逊库存!A:L,12,0),"")</f>
        <v>0</v>
      </c>
      <c r="D755">
        <f>IFERROR(VLOOKUP(A755,管理亚马逊库存!A:Q,17,0),"")</f>
        <v>0</v>
      </c>
      <c r="E755">
        <f>IFERROR(VLOOKUP(A755,管理亚马逊库存!A:R,18,0),"")</f>
        <v>0</v>
      </c>
      <c r="F755">
        <f t="shared" si="23"/>
        <v>0</v>
      </c>
      <c r="G755">
        <f>IFERROR(VLOOKUP(A755,预留库存!A:G,7,0),0)</f>
        <v>0</v>
      </c>
      <c r="H755">
        <f>IFERROR(VLOOKUP(A755,预留库存!A:H,8,0),0)</f>
        <v>0</v>
      </c>
      <c r="I755">
        <f>IFERROR(VLOOKUP(A755,预留库存!A:F,6,0),0)</f>
        <v>0</v>
      </c>
      <c r="J755">
        <f>IFERROR(VLOOKUP(A755,库龄!B:K,9,0),0)</f>
        <v>0</v>
      </c>
      <c r="K755">
        <f>IFERROR(VLOOKUP(A755,库龄!B:L,10,0),0)</f>
        <v>0</v>
      </c>
      <c r="L755">
        <f>IFERROR(VLOOKUP(A755,库龄!B:M,11,0),0)</f>
        <v>0</v>
      </c>
      <c r="M755">
        <f>IFERROR(VLOOKUP(A755,库龄!B:N,12,0),0)</f>
        <v>0</v>
      </c>
      <c r="N755">
        <f t="shared" si="24"/>
        <v>0</v>
      </c>
    </row>
    <row r="756" spans="1:14">
      <c r="A756" s="3" t="s">
        <v>1999</v>
      </c>
      <c r="B756">
        <f>IFERROR(VLOOKUP(A756,管理亚马逊库存!A:K,11,0),"")</f>
        <v>0</v>
      </c>
      <c r="C756">
        <f>IFERROR(VLOOKUP(A756,管理亚马逊库存!A:L,12,0),"")</f>
        <v>0</v>
      </c>
      <c r="D756">
        <f>IFERROR(VLOOKUP(A756,管理亚马逊库存!A:Q,17,0),"")</f>
        <v>0</v>
      </c>
      <c r="E756">
        <f>IFERROR(VLOOKUP(A756,管理亚马逊库存!A:R,18,0),"")</f>
        <v>0</v>
      </c>
      <c r="F756">
        <f t="shared" si="23"/>
        <v>0</v>
      </c>
      <c r="G756" t="str">
        <f>IFERROR(VLOOKUP(A756,预留库存!A:G,7,0),0)</f>
        <v>No</v>
      </c>
      <c r="H756">
        <f>IFERROR(VLOOKUP(A756,预留库存!A:H,8,0),0)</f>
        <v>0</v>
      </c>
      <c r="I756">
        <f>IFERROR(VLOOKUP(A756,预留库存!A:F,6,0),0)</f>
        <v>39.98</v>
      </c>
      <c r="J756">
        <f>IFERROR(VLOOKUP(A756,库龄!B:K,9,0),0)</f>
        <v>0</v>
      </c>
      <c r="K756">
        <f>IFERROR(VLOOKUP(A756,库龄!B:L,10,0),0)</f>
        <v>0</v>
      </c>
      <c r="L756">
        <f>IFERROR(VLOOKUP(A756,库龄!B:M,11,0),0)</f>
        <v>0</v>
      </c>
      <c r="M756">
        <f>IFERROR(VLOOKUP(A756,库龄!B:N,12,0),0)</f>
        <v>0</v>
      </c>
      <c r="N756">
        <f t="shared" si="24"/>
        <v>0</v>
      </c>
    </row>
    <row r="757" spans="1:14">
      <c r="A757" s="3" t="s">
        <v>2001</v>
      </c>
      <c r="B757">
        <f>IFERROR(VLOOKUP(A757,管理亚马逊库存!A:K,11,0),"")</f>
        <v>0</v>
      </c>
      <c r="C757">
        <f>IFERROR(VLOOKUP(A757,管理亚马逊库存!A:L,12,0),"")</f>
        <v>0</v>
      </c>
      <c r="D757">
        <f>IFERROR(VLOOKUP(A757,管理亚马逊库存!A:Q,17,0),"")</f>
        <v>0</v>
      </c>
      <c r="E757">
        <f>IFERROR(VLOOKUP(A757,管理亚马逊库存!A:R,18,0),"")</f>
        <v>0</v>
      </c>
      <c r="F757">
        <f t="shared" si="23"/>
        <v>0</v>
      </c>
      <c r="G757">
        <f>IFERROR(VLOOKUP(A757,预留库存!A:G,7,0),0)</f>
        <v>0</v>
      </c>
      <c r="H757">
        <f>IFERROR(VLOOKUP(A757,预留库存!A:H,8,0),0)</f>
        <v>0</v>
      </c>
      <c r="I757">
        <f>IFERROR(VLOOKUP(A757,预留库存!A:F,6,0),0)</f>
        <v>0</v>
      </c>
      <c r="J757">
        <f>IFERROR(VLOOKUP(A757,库龄!B:K,9,0),0)</f>
        <v>0</v>
      </c>
      <c r="K757">
        <f>IFERROR(VLOOKUP(A757,库龄!B:L,10,0),0)</f>
        <v>0</v>
      </c>
      <c r="L757">
        <f>IFERROR(VLOOKUP(A757,库龄!B:M,11,0),0)</f>
        <v>0</v>
      </c>
      <c r="M757">
        <f>IFERROR(VLOOKUP(A757,库龄!B:N,12,0),0)</f>
        <v>0</v>
      </c>
      <c r="N757">
        <f t="shared" si="24"/>
        <v>0</v>
      </c>
    </row>
    <row r="758" spans="1:14">
      <c r="A758" s="3" t="s">
        <v>2002</v>
      </c>
      <c r="B758">
        <f>IFERROR(VLOOKUP(A758,管理亚马逊库存!A:K,11,0),"")</f>
        <v>0</v>
      </c>
      <c r="C758">
        <f>IFERROR(VLOOKUP(A758,管理亚马逊库存!A:L,12,0),"")</f>
        <v>0</v>
      </c>
      <c r="D758">
        <f>IFERROR(VLOOKUP(A758,管理亚马逊库存!A:Q,17,0),"")</f>
        <v>0</v>
      </c>
      <c r="E758">
        <f>IFERROR(VLOOKUP(A758,管理亚马逊库存!A:R,18,0),"")</f>
        <v>0</v>
      </c>
      <c r="F758">
        <f t="shared" si="23"/>
        <v>0</v>
      </c>
      <c r="G758">
        <f>IFERROR(VLOOKUP(A758,预留库存!A:G,7,0),0)</f>
        <v>0</v>
      </c>
      <c r="H758">
        <f>IFERROR(VLOOKUP(A758,预留库存!A:H,8,0),0)</f>
        <v>0</v>
      </c>
      <c r="I758">
        <f>IFERROR(VLOOKUP(A758,预留库存!A:F,6,0),0)</f>
        <v>0</v>
      </c>
      <c r="J758">
        <f>IFERROR(VLOOKUP(A758,库龄!B:K,9,0),0)</f>
        <v>0</v>
      </c>
      <c r="K758">
        <f>IFERROR(VLOOKUP(A758,库龄!B:L,10,0),0)</f>
        <v>0</v>
      </c>
      <c r="L758">
        <f>IFERROR(VLOOKUP(A758,库龄!B:M,11,0),0)</f>
        <v>0</v>
      </c>
      <c r="M758">
        <f>IFERROR(VLOOKUP(A758,库龄!B:N,12,0),0)</f>
        <v>0</v>
      </c>
      <c r="N758">
        <f t="shared" si="24"/>
        <v>0</v>
      </c>
    </row>
    <row r="759" spans="1:14">
      <c r="A759" s="3" t="s">
        <v>2003</v>
      </c>
      <c r="B759">
        <f>IFERROR(VLOOKUP(A759,管理亚马逊库存!A:K,11,0),"")</f>
        <v>7</v>
      </c>
      <c r="C759">
        <f>IFERROR(VLOOKUP(A759,管理亚马逊库存!A:L,12,0),"")</f>
        <v>0</v>
      </c>
      <c r="D759">
        <f>IFERROR(VLOOKUP(A759,管理亚马逊库存!A:Q,17,0),"")</f>
        <v>0</v>
      </c>
      <c r="E759">
        <f>IFERROR(VLOOKUP(A759,管理亚马逊库存!A:R,18,0),"")</f>
        <v>0</v>
      </c>
      <c r="F759">
        <f t="shared" si="23"/>
        <v>0</v>
      </c>
      <c r="G759" t="str">
        <f>IFERROR(VLOOKUP(A759,预留库存!A:G,7,0),0)</f>
        <v>No</v>
      </c>
      <c r="H759">
        <f>IFERROR(VLOOKUP(A759,预留库存!A:H,8,0),0)</f>
        <v>0</v>
      </c>
      <c r="I759">
        <f>IFERROR(VLOOKUP(A759,预留库存!A:F,6,0),0)</f>
        <v>39.98</v>
      </c>
      <c r="J759">
        <f>IFERROR(VLOOKUP(A759,库龄!B:K,9,0),0)</f>
        <v>2</v>
      </c>
      <c r="K759">
        <f>IFERROR(VLOOKUP(A759,库龄!B:L,10,0),0)</f>
        <v>5</v>
      </c>
      <c r="L759">
        <f>IFERROR(VLOOKUP(A759,库龄!B:M,11,0),0)</f>
        <v>0</v>
      </c>
      <c r="M759">
        <f>IFERROR(VLOOKUP(A759,库龄!B:N,12,0),0)</f>
        <v>0</v>
      </c>
      <c r="N759">
        <f t="shared" si="24"/>
        <v>7</v>
      </c>
    </row>
    <row r="760" spans="1:14">
      <c r="A760" s="3" t="s">
        <v>2005</v>
      </c>
      <c r="B760">
        <f>IFERROR(VLOOKUP(A760,管理亚马逊库存!A:K,11,0),"")</f>
        <v>0</v>
      </c>
      <c r="C760">
        <f>IFERROR(VLOOKUP(A760,管理亚马逊库存!A:L,12,0),"")</f>
        <v>0</v>
      </c>
      <c r="D760">
        <f>IFERROR(VLOOKUP(A760,管理亚马逊库存!A:Q,17,0),"")</f>
        <v>0</v>
      </c>
      <c r="E760">
        <f>IFERROR(VLOOKUP(A760,管理亚马逊库存!A:R,18,0),"")</f>
        <v>0</v>
      </c>
      <c r="F760">
        <f t="shared" si="23"/>
        <v>0</v>
      </c>
      <c r="G760">
        <f>IFERROR(VLOOKUP(A760,预留库存!A:G,7,0),0)</f>
        <v>0</v>
      </c>
      <c r="H760">
        <f>IFERROR(VLOOKUP(A760,预留库存!A:H,8,0),0)</f>
        <v>0</v>
      </c>
      <c r="I760">
        <f>IFERROR(VLOOKUP(A760,预留库存!A:F,6,0),0)</f>
        <v>0</v>
      </c>
      <c r="J760">
        <f>IFERROR(VLOOKUP(A760,库龄!B:K,9,0),0)</f>
        <v>0</v>
      </c>
      <c r="K760">
        <f>IFERROR(VLOOKUP(A760,库龄!B:L,10,0),0)</f>
        <v>0</v>
      </c>
      <c r="L760">
        <f>IFERROR(VLOOKUP(A760,库龄!B:M,11,0),0)</f>
        <v>0</v>
      </c>
      <c r="M760">
        <f>IFERROR(VLOOKUP(A760,库龄!B:N,12,0),0)</f>
        <v>0</v>
      </c>
      <c r="N760">
        <f t="shared" si="24"/>
        <v>0</v>
      </c>
    </row>
    <row r="761" spans="1:14">
      <c r="A761" s="3" t="s">
        <v>2006</v>
      </c>
      <c r="B761">
        <f>IFERROR(VLOOKUP(A761,管理亚马逊库存!A:K,11,0),"")</f>
        <v>0</v>
      </c>
      <c r="C761">
        <f>IFERROR(VLOOKUP(A761,管理亚马逊库存!A:L,12,0),"")</f>
        <v>0</v>
      </c>
      <c r="D761">
        <f>IFERROR(VLOOKUP(A761,管理亚马逊库存!A:Q,17,0),"")</f>
        <v>0</v>
      </c>
      <c r="E761">
        <f>IFERROR(VLOOKUP(A761,管理亚马逊库存!A:R,18,0),"")</f>
        <v>0</v>
      </c>
      <c r="F761">
        <f t="shared" si="23"/>
        <v>0</v>
      </c>
      <c r="G761" t="str">
        <f>IFERROR(VLOOKUP(A761,预留库存!A:G,7,0),0)</f>
        <v>No</v>
      </c>
      <c r="H761">
        <f>IFERROR(VLOOKUP(A761,预留库存!A:H,8,0),0)</f>
        <v>0</v>
      </c>
      <c r="I761">
        <f>IFERROR(VLOOKUP(A761,预留库存!A:F,6,0),0)</f>
        <v>39.98</v>
      </c>
      <c r="J761">
        <f>IFERROR(VLOOKUP(A761,库龄!B:K,9,0),0)</f>
        <v>0</v>
      </c>
      <c r="K761">
        <f>IFERROR(VLOOKUP(A761,库龄!B:L,10,0),0)</f>
        <v>0</v>
      </c>
      <c r="L761">
        <f>IFERROR(VLOOKUP(A761,库龄!B:M,11,0),0)</f>
        <v>0</v>
      </c>
      <c r="M761">
        <f>IFERROR(VLOOKUP(A761,库龄!B:N,12,0),0)</f>
        <v>0</v>
      </c>
      <c r="N761">
        <f t="shared" si="24"/>
        <v>0</v>
      </c>
    </row>
    <row r="762" spans="1:14">
      <c r="A762" s="3" t="s">
        <v>2008</v>
      </c>
      <c r="B762">
        <f>IFERROR(VLOOKUP(A762,管理亚马逊库存!A:K,11,0),"")</f>
        <v>5</v>
      </c>
      <c r="C762">
        <f>IFERROR(VLOOKUP(A762,管理亚马逊库存!A:L,12,0),"")</f>
        <v>0</v>
      </c>
      <c r="D762">
        <f>IFERROR(VLOOKUP(A762,管理亚马逊库存!A:Q,17,0),"")</f>
        <v>0</v>
      </c>
      <c r="E762">
        <f>IFERROR(VLOOKUP(A762,管理亚马逊库存!A:R,18,0),"")</f>
        <v>0</v>
      </c>
      <c r="F762">
        <f t="shared" si="23"/>
        <v>0</v>
      </c>
      <c r="G762">
        <f>IFERROR(VLOOKUP(A762,预留库存!A:G,7,0),0)</f>
        <v>0</v>
      </c>
      <c r="H762">
        <f>IFERROR(VLOOKUP(A762,预留库存!A:H,8,0),0)</f>
        <v>0</v>
      </c>
      <c r="I762">
        <f>IFERROR(VLOOKUP(A762,预留库存!A:F,6,0),0)</f>
        <v>0</v>
      </c>
      <c r="J762">
        <f>IFERROR(VLOOKUP(A762,库龄!B:K,9,0),0)</f>
        <v>0</v>
      </c>
      <c r="K762">
        <f>IFERROR(VLOOKUP(A762,库龄!B:L,10,0),0)</f>
        <v>0</v>
      </c>
      <c r="L762">
        <f>IFERROR(VLOOKUP(A762,库龄!B:M,11,0),0)</f>
        <v>0</v>
      </c>
      <c r="M762">
        <f>IFERROR(VLOOKUP(A762,库龄!B:N,12,0),0)</f>
        <v>0</v>
      </c>
      <c r="N762">
        <f t="shared" si="24"/>
        <v>0</v>
      </c>
    </row>
    <row r="763" spans="1:14">
      <c r="A763" s="3" t="s">
        <v>2009</v>
      </c>
      <c r="B763">
        <f>IFERROR(VLOOKUP(A763,管理亚马逊库存!A:K,11,0),"")</f>
        <v>31</v>
      </c>
      <c r="C763">
        <f>IFERROR(VLOOKUP(A763,管理亚马逊库存!A:L,12,0),"")</f>
        <v>1</v>
      </c>
      <c r="D763">
        <f>IFERROR(VLOOKUP(A763,管理亚马逊库存!A:Q,17,0),"")</f>
        <v>0</v>
      </c>
      <c r="E763">
        <f>IFERROR(VLOOKUP(A763,管理亚马逊库存!A:R,18,0),"")</f>
        <v>0</v>
      </c>
      <c r="F763">
        <f t="shared" si="23"/>
        <v>0</v>
      </c>
      <c r="G763" t="str">
        <f>IFERROR(VLOOKUP(A763,预留库存!A:G,7,0),0)</f>
        <v>No</v>
      </c>
      <c r="H763">
        <f>IFERROR(VLOOKUP(A763,预留库存!A:H,8,0),0)</f>
        <v>0</v>
      </c>
      <c r="I763">
        <f>IFERROR(VLOOKUP(A763,预留库存!A:F,6,0),0)</f>
        <v>39.98</v>
      </c>
      <c r="J763">
        <f>IFERROR(VLOOKUP(A763,库龄!B:K,9,0),0)</f>
        <v>2</v>
      </c>
      <c r="K763">
        <f>IFERROR(VLOOKUP(A763,库龄!B:L,10,0),0)</f>
        <v>28</v>
      </c>
      <c r="L763">
        <f>IFERROR(VLOOKUP(A763,库龄!B:M,11,0),0)</f>
        <v>0</v>
      </c>
      <c r="M763">
        <f>IFERROR(VLOOKUP(A763,库龄!B:N,12,0),0)</f>
        <v>0</v>
      </c>
      <c r="N763">
        <f t="shared" si="24"/>
        <v>30</v>
      </c>
    </row>
    <row r="764" spans="1:14">
      <c r="A764" s="3" t="s">
        <v>2011</v>
      </c>
      <c r="B764">
        <f>IFERROR(VLOOKUP(A764,管理亚马逊库存!A:K,11,0),"")</f>
        <v>31</v>
      </c>
      <c r="C764">
        <f>IFERROR(VLOOKUP(A764,管理亚马逊库存!A:L,12,0),"")</f>
        <v>0</v>
      </c>
      <c r="D764">
        <f>IFERROR(VLOOKUP(A764,管理亚马逊库存!A:Q,17,0),"")</f>
        <v>0</v>
      </c>
      <c r="E764">
        <f>IFERROR(VLOOKUP(A764,管理亚马逊库存!A:R,18,0),"")</f>
        <v>0</v>
      </c>
      <c r="F764">
        <f t="shared" si="23"/>
        <v>0</v>
      </c>
      <c r="G764" t="str">
        <f>IFERROR(VLOOKUP(A764,预留库存!A:G,7,0),0)</f>
        <v>No</v>
      </c>
      <c r="H764">
        <f>IFERROR(VLOOKUP(A764,预留库存!A:H,8,0),0)</f>
        <v>0</v>
      </c>
      <c r="I764">
        <f>IFERROR(VLOOKUP(A764,预留库存!A:F,6,0),0)</f>
        <v>39.98</v>
      </c>
      <c r="J764">
        <f>IFERROR(VLOOKUP(A764,库龄!B:K,9,0),0)</f>
        <v>0</v>
      </c>
      <c r="K764">
        <f>IFERROR(VLOOKUP(A764,库龄!B:L,10,0),0)</f>
        <v>29</v>
      </c>
      <c r="L764">
        <f>IFERROR(VLOOKUP(A764,库龄!B:M,11,0),0)</f>
        <v>0</v>
      </c>
      <c r="M764">
        <f>IFERROR(VLOOKUP(A764,库龄!B:N,12,0),0)</f>
        <v>0</v>
      </c>
      <c r="N764">
        <f t="shared" si="24"/>
        <v>29</v>
      </c>
    </row>
    <row r="765" spans="1:14">
      <c r="A765" s="3" t="s">
        <v>2013</v>
      </c>
      <c r="B765">
        <f>IFERROR(VLOOKUP(A765,管理亚马逊库存!A:K,11,0),"")</f>
        <v>0</v>
      </c>
      <c r="C765">
        <f>IFERROR(VLOOKUP(A765,管理亚马逊库存!A:L,12,0),"")</f>
        <v>0</v>
      </c>
      <c r="D765">
        <f>IFERROR(VLOOKUP(A765,管理亚马逊库存!A:Q,17,0),"")</f>
        <v>0</v>
      </c>
      <c r="E765">
        <f>IFERROR(VLOOKUP(A765,管理亚马逊库存!A:R,18,0),"")</f>
        <v>0</v>
      </c>
      <c r="F765">
        <f t="shared" si="23"/>
        <v>0</v>
      </c>
      <c r="G765">
        <f>IFERROR(VLOOKUP(A765,预留库存!A:G,7,0),0)</f>
        <v>0</v>
      </c>
      <c r="H765">
        <f>IFERROR(VLOOKUP(A765,预留库存!A:H,8,0),0)</f>
        <v>0</v>
      </c>
      <c r="I765">
        <f>IFERROR(VLOOKUP(A765,预留库存!A:F,6,0),0)</f>
        <v>0</v>
      </c>
      <c r="J765">
        <f>IFERROR(VLOOKUP(A765,库龄!B:K,9,0),0)</f>
        <v>0</v>
      </c>
      <c r="K765">
        <f>IFERROR(VLOOKUP(A765,库龄!B:L,10,0),0)</f>
        <v>0</v>
      </c>
      <c r="L765">
        <f>IFERROR(VLOOKUP(A765,库龄!B:M,11,0),0)</f>
        <v>0</v>
      </c>
      <c r="M765">
        <f>IFERROR(VLOOKUP(A765,库龄!B:N,12,0),0)</f>
        <v>0</v>
      </c>
      <c r="N765">
        <f t="shared" si="24"/>
        <v>0</v>
      </c>
    </row>
    <row r="766" spans="1:14">
      <c r="A766" s="3" t="s">
        <v>2014</v>
      </c>
      <c r="B766">
        <f>IFERROR(VLOOKUP(A766,管理亚马逊库存!A:K,11,0),"")</f>
        <v>0</v>
      </c>
      <c r="C766">
        <f>IFERROR(VLOOKUP(A766,管理亚马逊库存!A:L,12,0),"")</f>
        <v>0</v>
      </c>
      <c r="D766">
        <f>IFERROR(VLOOKUP(A766,管理亚马逊库存!A:Q,17,0),"")</f>
        <v>0</v>
      </c>
      <c r="E766">
        <f>IFERROR(VLOOKUP(A766,管理亚马逊库存!A:R,18,0),"")</f>
        <v>0</v>
      </c>
      <c r="F766">
        <f t="shared" si="23"/>
        <v>0</v>
      </c>
      <c r="G766">
        <f>IFERROR(VLOOKUP(A766,预留库存!A:G,7,0),0)</f>
        <v>0</v>
      </c>
      <c r="H766">
        <f>IFERROR(VLOOKUP(A766,预留库存!A:H,8,0),0)</f>
        <v>0</v>
      </c>
      <c r="I766">
        <f>IFERROR(VLOOKUP(A766,预留库存!A:F,6,0),0)</f>
        <v>0</v>
      </c>
      <c r="J766">
        <f>IFERROR(VLOOKUP(A766,库龄!B:K,9,0),0)</f>
        <v>0</v>
      </c>
      <c r="K766">
        <f>IFERROR(VLOOKUP(A766,库龄!B:L,10,0),0)</f>
        <v>0</v>
      </c>
      <c r="L766">
        <f>IFERROR(VLOOKUP(A766,库龄!B:M,11,0),0)</f>
        <v>0</v>
      </c>
      <c r="M766">
        <f>IFERROR(VLOOKUP(A766,库龄!B:N,12,0),0)</f>
        <v>0</v>
      </c>
      <c r="N766">
        <f t="shared" si="24"/>
        <v>0</v>
      </c>
    </row>
    <row r="767" spans="1:14">
      <c r="A767" s="3" t="s">
        <v>2016</v>
      </c>
      <c r="B767">
        <f>IFERROR(VLOOKUP(A767,管理亚马逊库存!A:K,11,0),"")</f>
        <v>4</v>
      </c>
      <c r="C767">
        <f>IFERROR(VLOOKUP(A767,管理亚马逊库存!A:L,12,0),"")</f>
        <v>0</v>
      </c>
      <c r="D767">
        <f>IFERROR(VLOOKUP(A767,管理亚马逊库存!A:Q,17,0),"")</f>
        <v>0</v>
      </c>
      <c r="E767">
        <f>IFERROR(VLOOKUP(A767,管理亚马逊库存!A:R,18,0),"")</f>
        <v>0</v>
      </c>
      <c r="F767">
        <f t="shared" si="23"/>
        <v>0</v>
      </c>
      <c r="G767" t="str">
        <f>IFERROR(VLOOKUP(A767,预留库存!A:G,7,0),0)</f>
        <v>No</v>
      </c>
      <c r="H767">
        <f>IFERROR(VLOOKUP(A767,预留库存!A:H,8,0),0)</f>
        <v>0</v>
      </c>
      <c r="I767">
        <f>IFERROR(VLOOKUP(A767,预留库存!A:F,6,0),0)</f>
        <v>23.98</v>
      </c>
      <c r="J767">
        <f>IFERROR(VLOOKUP(A767,库龄!B:K,9,0),0)</f>
        <v>3</v>
      </c>
      <c r="K767">
        <f>IFERROR(VLOOKUP(A767,库龄!B:L,10,0),0)</f>
        <v>0</v>
      </c>
      <c r="L767">
        <f>IFERROR(VLOOKUP(A767,库龄!B:M,11,0),0)</f>
        <v>0</v>
      </c>
      <c r="M767">
        <f>IFERROR(VLOOKUP(A767,库龄!B:N,12,0),0)</f>
        <v>0</v>
      </c>
      <c r="N767">
        <f t="shared" si="24"/>
        <v>3</v>
      </c>
    </row>
    <row r="768" spans="1:14">
      <c r="A768" s="3" t="s">
        <v>2019</v>
      </c>
      <c r="B768">
        <f>IFERROR(VLOOKUP(A768,管理亚马逊库存!A:K,11,0),"")</f>
        <v>12</v>
      </c>
      <c r="C768">
        <f>IFERROR(VLOOKUP(A768,管理亚马逊库存!A:L,12,0),"")</f>
        <v>0</v>
      </c>
      <c r="D768">
        <f>IFERROR(VLOOKUP(A768,管理亚马逊库存!A:Q,17,0),"")</f>
        <v>0</v>
      </c>
      <c r="E768">
        <f>IFERROR(VLOOKUP(A768,管理亚马逊库存!A:R,18,0),"")</f>
        <v>0</v>
      </c>
      <c r="F768">
        <f t="shared" si="23"/>
        <v>0</v>
      </c>
      <c r="G768" t="str">
        <f>IFERROR(VLOOKUP(A768,预留库存!A:G,7,0),0)</f>
        <v>No</v>
      </c>
      <c r="H768">
        <f>IFERROR(VLOOKUP(A768,预留库存!A:H,8,0),0)</f>
        <v>0</v>
      </c>
      <c r="I768">
        <f>IFERROR(VLOOKUP(A768,预留库存!A:F,6,0),0)</f>
        <v>12.98</v>
      </c>
      <c r="J768">
        <f>IFERROR(VLOOKUP(A768,库龄!B:K,9,0),0)</f>
        <v>5</v>
      </c>
      <c r="K768">
        <f>IFERROR(VLOOKUP(A768,库龄!B:L,10,0),0)</f>
        <v>2</v>
      </c>
      <c r="L768">
        <f>IFERROR(VLOOKUP(A768,库龄!B:M,11,0),0)</f>
        <v>0</v>
      </c>
      <c r="M768">
        <f>IFERROR(VLOOKUP(A768,库龄!B:N,12,0),0)</f>
        <v>0</v>
      </c>
      <c r="N768">
        <f t="shared" si="24"/>
        <v>7</v>
      </c>
    </row>
    <row r="769" spans="1:14">
      <c r="A769" s="3" t="s">
        <v>2022</v>
      </c>
      <c r="B769">
        <f>IFERROR(VLOOKUP(A769,管理亚马逊库存!A:K,11,0),"")</f>
        <v>0</v>
      </c>
      <c r="C769">
        <f>IFERROR(VLOOKUP(A769,管理亚马逊库存!A:L,12,0),"")</f>
        <v>0</v>
      </c>
      <c r="D769">
        <f>IFERROR(VLOOKUP(A769,管理亚马逊库存!A:Q,17,0),"")</f>
        <v>0</v>
      </c>
      <c r="E769">
        <f>IFERROR(VLOOKUP(A769,管理亚马逊库存!A:R,18,0),"")</f>
        <v>0</v>
      </c>
      <c r="F769">
        <f t="shared" si="23"/>
        <v>0</v>
      </c>
      <c r="G769">
        <f>IFERROR(VLOOKUP(A769,预留库存!A:G,7,0),0)</f>
        <v>0</v>
      </c>
      <c r="H769">
        <f>IFERROR(VLOOKUP(A769,预留库存!A:H,8,0),0)</f>
        <v>0</v>
      </c>
      <c r="I769">
        <f>IFERROR(VLOOKUP(A769,预留库存!A:F,6,0),0)</f>
        <v>0</v>
      </c>
      <c r="J769">
        <f>IFERROR(VLOOKUP(A769,库龄!B:K,9,0),0)</f>
        <v>0</v>
      </c>
      <c r="K769">
        <f>IFERROR(VLOOKUP(A769,库龄!B:L,10,0),0)</f>
        <v>0</v>
      </c>
      <c r="L769">
        <f>IFERROR(VLOOKUP(A769,库龄!B:M,11,0),0)</f>
        <v>0</v>
      </c>
      <c r="M769">
        <f>IFERROR(VLOOKUP(A769,库龄!B:N,12,0),0)</f>
        <v>0</v>
      </c>
      <c r="N769">
        <f t="shared" si="24"/>
        <v>0</v>
      </c>
    </row>
    <row r="770" spans="1:14">
      <c r="A770" s="3" t="s">
        <v>2024</v>
      </c>
      <c r="B770">
        <f>IFERROR(VLOOKUP(A770,管理亚马逊库存!A:K,11,0),"")</f>
        <v>3</v>
      </c>
      <c r="C770">
        <f>IFERROR(VLOOKUP(A770,管理亚马逊库存!A:L,12,0),"")</f>
        <v>0</v>
      </c>
      <c r="D770">
        <f>IFERROR(VLOOKUP(A770,管理亚马逊库存!A:Q,17,0),"")</f>
        <v>0</v>
      </c>
      <c r="E770">
        <f>IFERROR(VLOOKUP(A770,管理亚马逊库存!A:R,18,0),"")</f>
        <v>0</v>
      </c>
      <c r="F770">
        <f t="shared" si="23"/>
        <v>0</v>
      </c>
      <c r="G770" t="str">
        <f>IFERROR(VLOOKUP(A770,预留库存!A:G,7,0),0)</f>
        <v>No</v>
      </c>
      <c r="H770">
        <f>IFERROR(VLOOKUP(A770,预留库存!A:H,8,0),0)</f>
        <v>0</v>
      </c>
      <c r="I770">
        <f>IFERROR(VLOOKUP(A770,预留库存!A:F,6,0),0)</f>
        <v>22.98</v>
      </c>
      <c r="J770">
        <f>IFERROR(VLOOKUP(A770,库龄!B:K,9,0),0)</f>
        <v>0</v>
      </c>
      <c r="K770">
        <f>IFERROR(VLOOKUP(A770,库龄!B:L,10,0),0)</f>
        <v>0</v>
      </c>
      <c r="L770">
        <f>IFERROR(VLOOKUP(A770,库龄!B:M,11,0),0)</f>
        <v>0</v>
      </c>
      <c r="M770">
        <f>IFERROR(VLOOKUP(A770,库龄!B:N,12,0),0)</f>
        <v>0</v>
      </c>
      <c r="N770">
        <f t="shared" si="24"/>
        <v>0</v>
      </c>
    </row>
    <row r="771" spans="1:14">
      <c r="A771" s="3" t="s">
        <v>2027</v>
      </c>
      <c r="B771">
        <f>IFERROR(VLOOKUP(A771,管理亚马逊库存!A:K,11,0),"")</f>
        <v>15</v>
      </c>
      <c r="C771">
        <f>IFERROR(VLOOKUP(A771,管理亚马逊库存!A:L,12,0),"")</f>
        <v>0</v>
      </c>
      <c r="D771">
        <f>IFERROR(VLOOKUP(A771,管理亚马逊库存!A:Q,17,0),"")</f>
        <v>0</v>
      </c>
      <c r="E771">
        <f>IFERROR(VLOOKUP(A771,管理亚马逊库存!A:R,18,0),"")</f>
        <v>0</v>
      </c>
      <c r="F771">
        <f t="shared" ref="F771:F834" si="25">SUM(D771:E771)</f>
        <v>0</v>
      </c>
      <c r="G771" t="str">
        <f>IFERROR(VLOOKUP(A771,预留库存!A:G,7,0),0)</f>
        <v>No</v>
      </c>
      <c r="H771">
        <f>IFERROR(VLOOKUP(A771,预留库存!A:H,8,0),0)</f>
        <v>0</v>
      </c>
      <c r="I771">
        <f>IFERROR(VLOOKUP(A771,预留库存!A:F,6,0),0)</f>
        <v>23.98</v>
      </c>
      <c r="J771">
        <f>IFERROR(VLOOKUP(A771,库龄!B:K,9,0),0)</f>
        <v>0</v>
      </c>
      <c r="K771">
        <f>IFERROR(VLOOKUP(A771,库龄!B:L,10,0),0)</f>
        <v>0</v>
      </c>
      <c r="L771">
        <f>IFERROR(VLOOKUP(A771,库龄!B:M,11,0),0)</f>
        <v>0</v>
      </c>
      <c r="M771">
        <f>IFERROR(VLOOKUP(A771,库龄!B:N,12,0),0)</f>
        <v>0</v>
      </c>
      <c r="N771">
        <f t="shared" ref="N771:N834" si="26">SUM(J771:M771)</f>
        <v>0</v>
      </c>
    </row>
    <row r="772" spans="1:14">
      <c r="A772" s="3" t="s">
        <v>2030</v>
      </c>
      <c r="B772">
        <f>IFERROR(VLOOKUP(A772,管理亚马逊库存!A:K,11,0),"")</f>
        <v>31</v>
      </c>
      <c r="C772">
        <f>IFERROR(VLOOKUP(A772,管理亚马逊库存!A:L,12,0),"")</f>
        <v>0</v>
      </c>
      <c r="D772">
        <f>IFERROR(VLOOKUP(A772,管理亚马逊库存!A:Q,17,0),"")</f>
        <v>0</v>
      </c>
      <c r="E772">
        <f>IFERROR(VLOOKUP(A772,管理亚马逊库存!A:R,18,0),"")</f>
        <v>0</v>
      </c>
      <c r="F772">
        <f t="shared" si="25"/>
        <v>0</v>
      </c>
      <c r="G772" t="str">
        <f>IFERROR(VLOOKUP(A772,预留库存!A:G,7,0),0)</f>
        <v>No</v>
      </c>
      <c r="H772">
        <f>IFERROR(VLOOKUP(A772,预留库存!A:H,8,0),0)</f>
        <v>0</v>
      </c>
      <c r="I772">
        <f>IFERROR(VLOOKUP(A772,预留库存!A:F,6,0),0)</f>
        <v>23.98</v>
      </c>
      <c r="J772">
        <f>IFERROR(VLOOKUP(A772,库龄!B:K,9,0),0)</f>
        <v>12</v>
      </c>
      <c r="K772">
        <f>IFERROR(VLOOKUP(A772,库龄!B:L,10,0),0)</f>
        <v>17</v>
      </c>
      <c r="L772">
        <f>IFERROR(VLOOKUP(A772,库龄!B:M,11,0),0)</f>
        <v>0</v>
      </c>
      <c r="M772">
        <f>IFERROR(VLOOKUP(A772,库龄!B:N,12,0),0)</f>
        <v>0</v>
      </c>
      <c r="N772">
        <f t="shared" si="26"/>
        <v>29</v>
      </c>
    </row>
    <row r="773" spans="1:14">
      <c r="A773" s="3" t="s">
        <v>2033</v>
      </c>
      <c r="B773">
        <f>IFERROR(VLOOKUP(A773,管理亚马逊库存!A:K,11,0),"")</f>
        <v>13</v>
      </c>
      <c r="C773">
        <f>IFERROR(VLOOKUP(A773,管理亚马逊库存!A:L,12,0),"")</f>
        <v>0</v>
      </c>
      <c r="D773">
        <f>IFERROR(VLOOKUP(A773,管理亚马逊库存!A:Q,17,0),"")</f>
        <v>0</v>
      </c>
      <c r="E773">
        <f>IFERROR(VLOOKUP(A773,管理亚马逊库存!A:R,18,0),"")</f>
        <v>0</v>
      </c>
      <c r="F773">
        <f t="shared" si="25"/>
        <v>0</v>
      </c>
      <c r="G773" t="str">
        <f>IFERROR(VLOOKUP(A773,预留库存!A:G,7,0),0)</f>
        <v>No</v>
      </c>
      <c r="H773">
        <f>IFERROR(VLOOKUP(A773,预留库存!A:H,8,0),0)</f>
        <v>0</v>
      </c>
      <c r="I773">
        <f>IFERROR(VLOOKUP(A773,预留库存!A:F,6,0),0)</f>
        <v>23.98</v>
      </c>
      <c r="J773">
        <f>IFERROR(VLOOKUP(A773,库龄!B:K,9,0),0)</f>
        <v>6</v>
      </c>
      <c r="K773">
        <f>IFERROR(VLOOKUP(A773,库龄!B:L,10,0),0)</f>
        <v>5</v>
      </c>
      <c r="L773">
        <f>IFERROR(VLOOKUP(A773,库龄!B:M,11,0),0)</f>
        <v>0</v>
      </c>
      <c r="M773">
        <f>IFERROR(VLOOKUP(A773,库龄!B:N,12,0),0)</f>
        <v>0</v>
      </c>
      <c r="N773">
        <f t="shared" si="26"/>
        <v>11</v>
      </c>
    </row>
    <row r="774" spans="1:14">
      <c r="A774" s="3" t="s">
        <v>2036</v>
      </c>
      <c r="B774">
        <f>IFERROR(VLOOKUP(A774,管理亚马逊库存!A:K,11,0),"")</f>
        <v>20</v>
      </c>
      <c r="C774">
        <f>IFERROR(VLOOKUP(A774,管理亚马逊库存!A:L,12,0),"")</f>
        <v>0</v>
      </c>
      <c r="D774">
        <f>IFERROR(VLOOKUP(A774,管理亚马逊库存!A:Q,17,0),"")</f>
        <v>0</v>
      </c>
      <c r="E774">
        <f>IFERROR(VLOOKUP(A774,管理亚马逊库存!A:R,18,0),"")</f>
        <v>0</v>
      </c>
      <c r="F774">
        <f t="shared" si="25"/>
        <v>0</v>
      </c>
      <c r="G774" t="str">
        <f>IFERROR(VLOOKUP(A774,预留库存!A:G,7,0),0)</f>
        <v>No</v>
      </c>
      <c r="H774">
        <f>IFERROR(VLOOKUP(A774,预留库存!A:H,8,0),0)</f>
        <v>0</v>
      </c>
      <c r="I774">
        <f>IFERROR(VLOOKUP(A774,预留库存!A:F,6,0),0)</f>
        <v>23.98</v>
      </c>
      <c r="J774">
        <f>IFERROR(VLOOKUP(A774,库龄!B:K,9,0),0)</f>
        <v>4</v>
      </c>
      <c r="K774">
        <f>IFERROR(VLOOKUP(A774,库龄!B:L,10,0),0)</f>
        <v>11</v>
      </c>
      <c r="L774">
        <f>IFERROR(VLOOKUP(A774,库龄!B:M,11,0),0)</f>
        <v>0</v>
      </c>
      <c r="M774">
        <f>IFERROR(VLOOKUP(A774,库龄!B:N,12,0),0)</f>
        <v>0</v>
      </c>
      <c r="N774">
        <f t="shared" si="26"/>
        <v>15</v>
      </c>
    </row>
    <row r="775" spans="1:14">
      <c r="A775" s="3" t="s">
        <v>2039</v>
      </c>
      <c r="B775">
        <f>IFERROR(VLOOKUP(A775,管理亚马逊库存!A:K,11,0),"")</f>
        <v>31</v>
      </c>
      <c r="C775">
        <f>IFERROR(VLOOKUP(A775,管理亚马逊库存!A:L,12,0),"")</f>
        <v>0</v>
      </c>
      <c r="D775">
        <f>IFERROR(VLOOKUP(A775,管理亚马逊库存!A:Q,17,0),"")</f>
        <v>0</v>
      </c>
      <c r="E775">
        <f>IFERROR(VLOOKUP(A775,管理亚马逊库存!A:R,18,0),"")</f>
        <v>0</v>
      </c>
      <c r="F775">
        <f t="shared" si="25"/>
        <v>0</v>
      </c>
      <c r="G775" t="str">
        <f>IFERROR(VLOOKUP(A775,预留库存!A:G,7,0),0)</f>
        <v>No</v>
      </c>
      <c r="H775">
        <f>IFERROR(VLOOKUP(A775,预留库存!A:H,8,0),0)</f>
        <v>0</v>
      </c>
      <c r="I775">
        <f>IFERROR(VLOOKUP(A775,预留库存!A:F,6,0),0)</f>
        <v>23.98</v>
      </c>
      <c r="J775">
        <f>IFERROR(VLOOKUP(A775,库龄!B:K,9,0),0)</f>
        <v>3</v>
      </c>
      <c r="K775">
        <f>IFERROR(VLOOKUP(A775,库龄!B:L,10,0),0)</f>
        <v>17</v>
      </c>
      <c r="L775">
        <f>IFERROR(VLOOKUP(A775,库龄!B:M,11,0),0)</f>
        <v>0</v>
      </c>
      <c r="M775">
        <f>IFERROR(VLOOKUP(A775,库龄!B:N,12,0),0)</f>
        <v>0</v>
      </c>
      <c r="N775">
        <f t="shared" si="26"/>
        <v>20</v>
      </c>
    </row>
    <row r="776" spans="1:14">
      <c r="A776" s="3" t="s">
        <v>2042</v>
      </c>
      <c r="B776">
        <f>IFERROR(VLOOKUP(A776,管理亚马逊库存!A:K,11,0),"")</f>
        <v>57</v>
      </c>
      <c r="C776">
        <f>IFERROR(VLOOKUP(A776,管理亚马逊库存!A:L,12,0),"")</f>
        <v>0</v>
      </c>
      <c r="D776">
        <f>IFERROR(VLOOKUP(A776,管理亚马逊库存!A:Q,17,0),"")</f>
        <v>0</v>
      </c>
      <c r="E776">
        <f>IFERROR(VLOOKUP(A776,管理亚马逊库存!A:R,18,0),"")</f>
        <v>0</v>
      </c>
      <c r="F776">
        <f t="shared" si="25"/>
        <v>0</v>
      </c>
      <c r="G776" t="str">
        <f>IFERROR(VLOOKUP(A776,预留库存!A:G,7,0),0)</f>
        <v>No</v>
      </c>
      <c r="H776">
        <f>IFERROR(VLOOKUP(A776,预留库存!A:H,8,0),0)</f>
        <v>0</v>
      </c>
      <c r="I776">
        <f>IFERROR(VLOOKUP(A776,预留库存!A:F,6,0),0)</f>
        <v>39.98</v>
      </c>
      <c r="J776">
        <f>IFERROR(VLOOKUP(A776,库龄!B:K,9,0),0)</f>
        <v>0</v>
      </c>
      <c r="K776">
        <f>IFERROR(VLOOKUP(A776,库龄!B:L,10,0),0)</f>
        <v>0</v>
      </c>
      <c r="L776">
        <f>IFERROR(VLOOKUP(A776,库龄!B:M,11,0),0)</f>
        <v>0</v>
      </c>
      <c r="M776">
        <f>IFERROR(VLOOKUP(A776,库龄!B:N,12,0),0)</f>
        <v>0</v>
      </c>
      <c r="N776">
        <f t="shared" si="26"/>
        <v>0</v>
      </c>
    </row>
    <row r="777" spans="1:14">
      <c r="A777" s="3" t="s">
        <v>2045</v>
      </c>
      <c r="B777">
        <f>IFERROR(VLOOKUP(A777,管理亚马逊库存!A:K,11,0),"")</f>
        <v>1</v>
      </c>
      <c r="C777">
        <f>IFERROR(VLOOKUP(A777,管理亚马逊库存!A:L,12,0),"")</f>
        <v>0</v>
      </c>
      <c r="D777">
        <f>IFERROR(VLOOKUP(A777,管理亚马逊库存!A:Q,17,0),"")</f>
        <v>0</v>
      </c>
      <c r="E777">
        <f>IFERROR(VLOOKUP(A777,管理亚马逊库存!A:R,18,0),"")</f>
        <v>0</v>
      </c>
      <c r="F777">
        <f t="shared" si="25"/>
        <v>0</v>
      </c>
      <c r="G777">
        <f>IFERROR(VLOOKUP(A777,预留库存!A:G,7,0),0)</f>
        <v>0</v>
      </c>
      <c r="H777">
        <f>IFERROR(VLOOKUP(A777,预留库存!A:H,8,0),0)</f>
        <v>0</v>
      </c>
      <c r="I777">
        <f>IFERROR(VLOOKUP(A777,预留库存!A:F,6,0),0)</f>
        <v>0</v>
      </c>
      <c r="J777">
        <f>IFERROR(VLOOKUP(A777,库龄!B:K,9,0),0)</f>
        <v>0</v>
      </c>
      <c r="K777">
        <f>IFERROR(VLOOKUP(A777,库龄!B:L,10,0),0)</f>
        <v>0</v>
      </c>
      <c r="L777">
        <f>IFERROR(VLOOKUP(A777,库龄!B:M,11,0),0)</f>
        <v>0</v>
      </c>
      <c r="M777">
        <f>IFERROR(VLOOKUP(A777,库龄!B:N,12,0),0)</f>
        <v>0</v>
      </c>
      <c r="N777">
        <f t="shared" si="26"/>
        <v>0</v>
      </c>
    </row>
    <row r="778" spans="1:14">
      <c r="A778" s="3" t="s">
        <v>2047</v>
      </c>
      <c r="B778">
        <f>IFERROR(VLOOKUP(A778,管理亚马逊库存!A:K,11,0),"")</f>
        <v>57</v>
      </c>
      <c r="C778">
        <f>IFERROR(VLOOKUP(A778,管理亚马逊库存!A:L,12,0),"")</f>
        <v>0</v>
      </c>
      <c r="D778">
        <f>IFERROR(VLOOKUP(A778,管理亚马逊库存!A:Q,17,0),"")</f>
        <v>0</v>
      </c>
      <c r="E778">
        <f>IFERROR(VLOOKUP(A778,管理亚马逊库存!A:R,18,0),"")</f>
        <v>0</v>
      </c>
      <c r="F778">
        <f t="shared" si="25"/>
        <v>0</v>
      </c>
      <c r="G778" t="str">
        <f>IFERROR(VLOOKUP(A778,预留库存!A:G,7,0),0)</f>
        <v>No</v>
      </c>
      <c r="H778">
        <f>IFERROR(VLOOKUP(A778,预留库存!A:H,8,0),0)</f>
        <v>0</v>
      </c>
      <c r="I778">
        <f>IFERROR(VLOOKUP(A778,预留库存!A:F,6,0),0)</f>
        <v>23.98</v>
      </c>
      <c r="J778">
        <f>IFERROR(VLOOKUP(A778,库龄!B:K,9,0),0)</f>
        <v>0</v>
      </c>
      <c r="K778">
        <f>IFERROR(VLOOKUP(A778,库龄!B:L,10,0),0)</f>
        <v>0</v>
      </c>
      <c r="L778">
        <f>IFERROR(VLOOKUP(A778,库龄!B:M,11,0),0)</f>
        <v>0</v>
      </c>
      <c r="M778">
        <f>IFERROR(VLOOKUP(A778,库龄!B:N,12,0),0)</f>
        <v>0</v>
      </c>
      <c r="N778">
        <f t="shared" si="26"/>
        <v>0</v>
      </c>
    </row>
    <row r="779" spans="1:14">
      <c r="A779" s="3" t="s">
        <v>2048</v>
      </c>
      <c r="B779">
        <f>IFERROR(VLOOKUP(A779,管理亚马逊库存!A:K,11,0),"")</f>
        <v>16</v>
      </c>
      <c r="C779">
        <f>IFERROR(VLOOKUP(A779,管理亚马逊库存!A:L,12,0),"")</f>
        <v>0</v>
      </c>
      <c r="D779">
        <f>IFERROR(VLOOKUP(A779,管理亚马逊库存!A:Q,17,0),"")</f>
        <v>0</v>
      </c>
      <c r="E779">
        <f>IFERROR(VLOOKUP(A779,管理亚马逊库存!A:R,18,0),"")</f>
        <v>0</v>
      </c>
      <c r="F779">
        <f t="shared" si="25"/>
        <v>0</v>
      </c>
      <c r="G779" t="str">
        <f>IFERROR(VLOOKUP(A779,预留库存!A:G,7,0),0)</f>
        <v>No</v>
      </c>
      <c r="H779">
        <f>IFERROR(VLOOKUP(A779,预留库存!A:H,8,0),0)</f>
        <v>0</v>
      </c>
      <c r="I779">
        <f>IFERROR(VLOOKUP(A779,预留库存!A:F,6,0),0)</f>
        <v>23.98</v>
      </c>
      <c r="J779">
        <f>IFERROR(VLOOKUP(A779,库龄!B:K,9,0),0)</f>
        <v>4</v>
      </c>
      <c r="K779">
        <f>IFERROR(VLOOKUP(A779,库龄!B:L,10,0),0)</f>
        <v>0</v>
      </c>
      <c r="L779">
        <f>IFERROR(VLOOKUP(A779,库龄!B:M,11,0),0)</f>
        <v>0</v>
      </c>
      <c r="M779">
        <f>IFERROR(VLOOKUP(A779,库龄!B:N,12,0),0)</f>
        <v>0</v>
      </c>
      <c r="N779">
        <f t="shared" si="26"/>
        <v>4</v>
      </c>
    </row>
    <row r="780" spans="1:14">
      <c r="A780" s="3" t="s">
        <v>2051</v>
      </c>
      <c r="B780">
        <f>IFERROR(VLOOKUP(A780,管理亚马逊库存!A:K,11,0),"")</f>
        <v>0</v>
      </c>
      <c r="C780">
        <f>IFERROR(VLOOKUP(A780,管理亚马逊库存!A:L,12,0),"")</f>
        <v>0</v>
      </c>
      <c r="D780">
        <f>IFERROR(VLOOKUP(A780,管理亚马逊库存!A:Q,17,0),"")</f>
        <v>0</v>
      </c>
      <c r="E780">
        <f>IFERROR(VLOOKUP(A780,管理亚马逊库存!A:R,18,0),"")</f>
        <v>0</v>
      </c>
      <c r="F780">
        <f t="shared" si="25"/>
        <v>0</v>
      </c>
      <c r="G780" t="str">
        <f>IFERROR(VLOOKUP(A780,预留库存!A:G,7,0),0)</f>
        <v>No</v>
      </c>
      <c r="H780">
        <f>IFERROR(VLOOKUP(A780,预留库存!A:H,8,0),0)</f>
        <v>0</v>
      </c>
      <c r="I780">
        <f>IFERROR(VLOOKUP(A780,预留库存!A:F,6,0),0)</f>
        <v>39.98</v>
      </c>
      <c r="J780">
        <f>IFERROR(VLOOKUP(A780,库龄!B:K,9,0),0)</f>
        <v>0</v>
      </c>
      <c r="K780">
        <f>IFERROR(VLOOKUP(A780,库龄!B:L,10,0),0)</f>
        <v>0</v>
      </c>
      <c r="L780">
        <f>IFERROR(VLOOKUP(A780,库龄!B:M,11,0),0)</f>
        <v>0</v>
      </c>
      <c r="M780">
        <f>IFERROR(VLOOKUP(A780,库龄!B:N,12,0),0)</f>
        <v>0</v>
      </c>
      <c r="N780">
        <f t="shared" si="26"/>
        <v>0</v>
      </c>
    </row>
    <row r="781" spans="1:14">
      <c r="A781" s="3" t="s">
        <v>2054</v>
      </c>
      <c r="B781">
        <f>IFERROR(VLOOKUP(A781,管理亚马逊库存!A:K,11,0),"")</f>
        <v>0</v>
      </c>
      <c r="C781">
        <f>IFERROR(VLOOKUP(A781,管理亚马逊库存!A:L,12,0),"")</f>
        <v>0</v>
      </c>
      <c r="D781">
        <f>IFERROR(VLOOKUP(A781,管理亚马逊库存!A:Q,17,0),"")</f>
        <v>0</v>
      </c>
      <c r="E781">
        <f>IFERROR(VLOOKUP(A781,管理亚马逊库存!A:R,18,0),"")</f>
        <v>0</v>
      </c>
      <c r="F781">
        <f t="shared" si="25"/>
        <v>0</v>
      </c>
      <c r="G781" t="str">
        <f>IFERROR(VLOOKUP(A781,预留库存!A:G,7,0),0)</f>
        <v>No</v>
      </c>
      <c r="H781">
        <f>IFERROR(VLOOKUP(A781,预留库存!A:H,8,0),0)</f>
        <v>0</v>
      </c>
      <c r="I781">
        <f>IFERROR(VLOOKUP(A781,预留库存!A:F,6,0),0)</f>
        <v>23.98</v>
      </c>
      <c r="J781">
        <f>IFERROR(VLOOKUP(A781,库龄!B:K,9,0),0)</f>
        <v>0</v>
      </c>
      <c r="K781">
        <f>IFERROR(VLOOKUP(A781,库龄!B:L,10,0),0)</f>
        <v>0</v>
      </c>
      <c r="L781">
        <f>IFERROR(VLOOKUP(A781,库龄!B:M,11,0),0)</f>
        <v>0</v>
      </c>
      <c r="M781">
        <f>IFERROR(VLOOKUP(A781,库龄!B:N,12,0),0)</f>
        <v>0</v>
      </c>
      <c r="N781">
        <f t="shared" si="26"/>
        <v>0</v>
      </c>
    </row>
    <row r="782" spans="1:14">
      <c r="A782" s="3" t="s">
        <v>2057</v>
      </c>
      <c r="B782">
        <f>IFERROR(VLOOKUP(A782,管理亚马逊库存!A:K,11,0),"")</f>
        <v>0</v>
      </c>
      <c r="C782">
        <f>IFERROR(VLOOKUP(A782,管理亚马逊库存!A:L,12,0),"")</f>
        <v>0</v>
      </c>
      <c r="D782">
        <f>IFERROR(VLOOKUP(A782,管理亚马逊库存!A:Q,17,0),"")</f>
        <v>0</v>
      </c>
      <c r="E782">
        <f>IFERROR(VLOOKUP(A782,管理亚马逊库存!A:R,18,0),"")</f>
        <v>0</v>
      </c>
      <c r="F782">
        <f t="shared" si="25"/>
        <v>0</v>
      </c>
      <c r="G782" t="str">
        <f>IFERROR(VLOOKUP(A782,预留库存!A:G,7,0),0)</f>
        <v>No</v>
      </c>
      <c r="H782">
        <f>IFERROR(VLOOKUP(A782,预留库存!A:H,8,0),0)</f>
        <v>0</v>
      </c>
      <c r="I782">
        <f>IFERROR(VLOOKUP(A782,预留库存!A:F,6,0),0)</f>
        <v>23.98</v>
      </c>
      <c r="J782">
        <f>IFERROR(VLOOKUP(A782,库龄!B:K,9,0),0)</f>
        <v>0</v>
      </c>
      <c r="K782">
        <f>IFERROR(VLOOKUP(A782,库龄!B:L,10,0),0)</f>
        <v>0</v>
      </c>
      <c r="L782">
        <f>IFERROR(VLOOKUP(A782,库龄!B:M,11,0),0)</f>
        <v>0</v>
      </c>
      <c r="M782">
        <f>IFERROR(VLOOKUP(A782,库龄!B:N,12,0),0)</f>
        <v>0</v>
      </c>
      <c r="N782">
        <f t="shared" si="26"/>
        <v>0</v>
      </c>
    </row>
    <row r="783" spans="1:14">
      <c r="A783" s="3" t="s">
        <v>2060</v>
      </c>
      <c r="B783">
        <f>IFERROR(VLOOKUP(A783,管理亚马逊库存!A:K,11,0),"")</f>
        <v>20</v>
      </c>
      <c r="C783">
        <f>IFERROR(VLOOKUP(A783,管理亚马逊库存!A:L,12,0),"")</f>
        <v>0</v>
      </c>
      <c r="D783">
        <f>IFERROR(VLOOKUP(A783,管理亚马逊库存!A:Q,17,0),"")</f>
        <v>0</v>
      </c>
      <c r="E783">
        <f>IFERROR(VLOOKUP(A783,管理亚马逊库存!A:R,18,0),"")</f>
        <v>0</v>
      </c>
      <c r="F783">
        <f t="shared" si="25"/>
        <v>0</v>
      </c>
      <c r="G783" t="str">
        <f>IFERROR(VLOOKUP(A783,预留库存!A:G,7,0),0)</f>
        <v>No</v>
      </c>
      <c r="H783">
        <f>IFERROR(VLOOKUP(A783,预留库存!A:H,8,0),0)</f>
        <v>0</v>
      </c>
      <c r="I783">
        <f>IFERROR(VLOOKUP(A783,预留库存!A:F,6,0),0)</f>
        <v>23.98</v>
      </c>
      <c r="J783">
        <f>IFERROR(VLOOKUP(A783,库龄!B:K,9,0),0)</f>
        <v>4</v>
      </c>
      <c r="K783">
        <f>IFERROR(VLOOKUP(A783,库龄!B:L,10,0),0)</f>
        <v>16</v>
      </c>
      <c r="L783">
        <f>IFERROR(VLOOKUP(A783,库龄!B:M,11,0),0)</f>
        <v>0</v>
      </c>
      <c r="M783">
        <f>IFERROR(VLOOKUP(A783,库龄!B:N,12,0),0)</f>
        <v>0</v>
      </c>
      <c r="N783">
        <f t="shared" si="26"/>
        <v>20</v>
      </c>
    </row>
    <row r="784" spans="1:14">
      <c r="A784" s="3" t="s">
        <v>2063</v>
      </c>
      <c r="B784">
        <f>IFERROR(VLOOKUP(A784,管理亚马逊库存!A:K,11,0),"")</f>
        <v>2</v>
      </c>
      <c r="C784">
        <f>IFERROR(VLOOKUP(A784,管理亚马逊库存!A:L,12,0),"")</f>
        <v>0</v>
      </c>
      <c r="D784">
        <f>IFERROR(VLOOKUP(A784,管理亚马逊库存!A:Q,17,0),"")</f>
        <v>0</v>
      </c>
      <c r="E784">
        <f>IFERROR(VLOOKUP(A784,管理亚马逊库存!A:R,18,0),"")</f>
        <v>0</v>
      </c>
      <c r="F784">
        <f t="shared" si="25"/>
        <v>0</v>
      </c>
      <c r="G784" t="str">
        <f>IFERROR(VLOOKUP(A784,预留库存!A:G,7,0),0)</f>
        <v>No</v>
      </c>
      <c r="H784">
        <f>IFERROR(VLOOKUP(A784,预留库存!A:H,8,0),0)</f>
        <v>0</v>
      </c>
      <c r="I784">
        <f>IFERROR(VLOOKUP(A784,预留库存!A:F,6,0),0)</f>
        <v>23.98</v>
      </c>
      <c r="J784">
        <f>IFERROR(VLOOKUP(A784,库龄!B:K,9,0),0)</f>
        <v>1</v>
      </c>
      <c r="K784">
        <f>IFERROR(VLOOKUP(A784,库龄!B:L,10,0),0)</f>
        <v>0</v>
      </c>
      <c r="L784">
        <f>IFERROR(VLOOKUP(A784,库龄!B:M,11,0),0)</f>
        <v>0</v>
      </c>
      <c r="M784">
        <f>IFERROR(VLOOKUP(A784,库龄!B:N,12,0),0)</f>
        <v>0</v>
      </c>
      <c r="N784">
        <f t="shared" si="26"/>
        <v>1</v>
      </c>
    </row>
    <row r="785" spans="1:14">
      <c r="A785" s="3" t="s">
        <v>2066</v>
      </c>
      <c r="B785">
        <f>IFERROR(VLOOKUP(A785,管理亚马逊库存!A:K,11,0),"")</f>
        <v>28</v>
      </c>
      <c r="C785">
        <f>IFERROR(VLOOKUP(A785,管理亚马逊库存!A:L,12,0),"")</f>
        <v>0</v>
      </c>
      <c r="D785">
        <f>IFERROR(VLOOKUP(A785,管理亚马逊库存!A:Q,17,0),"")</f>
        <v>0</v>
      </c>
      <c r="E785">
        <f>IFERROR(VLOOKUP(A785,管理亚马逊库存!A:R,18,0),"")</f>
        <v>0</v>
      </c>
      <c r="F785">
        <f t="shared" si="25"/>
        <v>0</v>
      </c>
      <c r="G785" t="str">
        <f>IFERROR(VLOOKUP(A785,预留库存!A:G,7,0),0)</f>
        <v>No</v>
      </c>
      <c r="H785">
        <f>IFERROR(VLOOKUP(A785,预留库存!A:H,8,0),0)</f>
        <v>0</v>
      </c>
      <c r="I785">
        <f>IFERROR(VLOOKUP(A785,预留库存!A:F,6,0),0)</f>
        <v>20.98</v>
      </c>
      <c r="J785">
        <f>IFERROR(VLOOKUP(A785,库龄!B:K,9,0),0)</f>
        <v>1</v>
      </c>
      <c r="K785">
        <f>IFERROR(VLOOKUP(A785,库龄!B:L,10,0),0)</f>
        <v>26</v>
      </c>
      <c r="L785">
        <f>IFERROR(VLOOKUP(A785,库龄!B:M,11,0),0)</f>
        <v>0</v>
      </c>
      <c r="M785">
        <f>IFERROR(VLOOKUP(A785,库龄!B:N,12,0),0)</f>
        <v>0</v>
      </c>
      <c r="N785">
        <f t="shared" si="26"/>
        <v>27</v>
      </c>
    </row>
    <row r="786" spans="1:14">
      <c r="A786" s="3" t="s">
        <v>2069</v>
      </c>
      <c r="B786">
        <f>IFERROR(VLOOKUP(A786,管理亚马逊库存!A:K,11,0),"")</f>
        <v>25</v>
      </c>
      <c r="C786">
        <f>IFERROR(VLOOKUP(A786,管理亚马逊库存!A:L,12,0),"")</f>
        <v>0</v>
      </c>
      <c r="D786">
        <f>IFERROR(VLOOKUP(A786,管理亚马逊库存!A:Q,17,0),"")</f>
        <v>0</v>
      </c>
      <c r="E786">
        <f>IFERROR(VLOOKUP(A786,管理亚马逊库存!A:R,18,0),"")</f>
        <v>0</v>
      </c>
      <c r="F786">
        <f t="shared" si="25"/>
        <v>0</v>
      </c>
      <c r="G786" t="str">
        <f>IFERROR(VLOOKUP(A786,预留库存!A:G,7,0),0)</f>
        <v>No</v>
      </c>
      <c r="H786">
        <f>IFERROR(VLOOKUP(A786,预留库存!A:H,8,0),0)</f>
        <v>0</v>
      </c>
      <c r="I786">
        <f>IFERROR(VLOOKUP(A786,预留库存!A:F,6,0),0)</f>
        <v>23.98</v>
      </c>
      <c r="J786">
        <f>IFERROR(VLOOKUP(A786,库龄!B:K,9,0),0)</f>
        <v>1</v>
      </c>
      <c r="K786">
        <f>IFERROR(VLOOKUP(A786,库龄!B:L,10,0),0)</f>
        <v>23</v>
      </c>
      <c r="L786">
        <f>IFERROR(VLOOKUP(A786,库龄!B:M,11,0),0)</f>
        <v>0</v>
      </c>
      <c r="M786">
        <f>IFERROR(VLOOKUP(A786,库龄!B:N,12,0),0)</f>
        <v>0</v>
      </c>
      <c r="N786">
        <f t="shared" si="26"/>
        <v>24</v>
      </c>
    </row>
    <row r="787" spans="1:14">
      <c r="A787" s="3" t="s">
        <v>2072</v>
      </c>
      <c r="B787">
        <f>IFERROR(VLOOKUP(A787,管理亚马逊库存!A:K,11,0),"")</f>
        <v>16</v>
      </c>
      <c r="C787">
        <f>IFERROR(VLOOKUP(A787,管理亚马逊库存!A:L,12,0),"")</f>
        <v>0</v>
      </c>
      <c r="D787">
        <f>IFERROR(VLOOKUP(A787,管理亚马逊库存!A:Q,17,0),"")</f>
        <v>0</v>
      </c>
      <c r="E787">
        <f>IFERROR(VLOOKUP(A787,管理亚马逊库存!A:R,18,0),"")</f>
        <v>0</v>
      </c>
      <c r="F787">
        <f t="shared" si="25"/>
        <v>0</v>
      </c>
      <c r="G787" t="str">
        <f>IFERROR(VLOOKUP(A787,预留库存!A:G,7,0),0)</f>
        <v>No</v>
      </c>
      <c r="H787">
        <f>IFERROR(VLOOKUP(A787,预留库存!A:H,8,0),0)</f>
        <v>0</v>
      </c>
      <c r="I787">
        <f>IFERROR(VLOOKUP(A787,预留库存!A:F,6,0),0)</f>
        <v>23.98</v>
      </c>
      <c r="J787">
        <f>IFERROR(VLOOKUP(A787,库龄!B:K,9,0),0)</f>
        <v>6</v>
      </c>
      <c r="K787">
        <f>IFERROR(VLOOKUP(A787,库龄!B:L,10,0),0)</f>
        <v>8</v>
      </c>
      <c r="L787">
        <f>IFERROR(VLOOKUP(A787,库龄!B:M,11,0),0)</f>
        <v>0</v>
      </c>
      <c r="M787">
        <f>IFERROR(VLOOKUP(A787,库龄!B:N,12,0),0)</f>
        <v>0</v>
      </c>
      <c r="N787">
        <f t="shared" si="26"/>
        <v>14</v>
      </c>
    </row>
    <row r="788" spans="1:14">
      <c r="A788" s="3" t="s">
        <v>2075</v>
      </c>
      <c r="B788">
        <f>IFERROR(VLOOKUP(A788,管理亚马逊库存!A:K,11,0),"")</f>
        <v>52</v>
      </c>
      <c r="C788">
        <f>IFERROR(VLOOKUP(A788,管理亚马逊库存!A:L,12,0),"")</f>
        <v>0</v>
      </c>
      <c r="D788">
        <f>IFERROR(VLOOKUP(A788,管理亚马逊库存!A:Q,17,0),"")</f>
        <v>0</v>
      </c>
      <c r="E788">
        <f>IFERROR(VLOOKUP(A788,管理亚马逊库存!A:R,18,0),"")</f>
        <v>0</v>
      </c>
      <c r="F788">
        <f t="shared" si="25"/>
        <v>0</v>
      </c>
      <c r="G788" t="str">
        <f>IFERROR(VLOOKUP(A788,预留库存!A:G,7,0),0)</f>
        <v>No</v>
      </c>
      <c r="H788">
        <f>IFERROR(VLOOKUP(A788,预留库存!A:H,8,0),0)</f>
        <v>0</v>
      </c>
      <c r="I788">
        <f>IFERROR(VLOOKUP(A788,预留库存!A:F,6,0),0)</f>
        <v>23.98</v>
      </c>
      <c r="J788">
        <f>IFERROR(VLOOKUP(A788,库龄!B:K,9,0),0)</f>
        <v>5</v>
      </c>
      <c r="K788">
        <f>IFERROR(VLOOKUP(A788,库龄!B:L,10,0),0)</f>
        <v>42</v>
      </c>
      <c r="L788">
        <f>IFERROR(VLOOKUP(A788,库龄!B:M,11,0),0)</f>
        <v>0</v>
      </c>
      <c r="M788">
        <f>IFERROR(VLOOKUP(A788,库龄!B:N,12,0),0)</f>
        <v>0</v>
      </c>
      <c r="N788">
        <f t="shared" si="26"/>
        <v>47</v>
      </c>
    </row>
    <row r="789" spans="1:14">
      <c r="A789" s="3" t="s">
        <v>2078</v>
      </c>
      <c r="B789">
        <f>IFERROR(VLOOKUP(A789,管理亚马逊库存!A:K,11,0),"")</f>
        <v>6</v>
      </c>
      <c r="C789">
        <f>IFERROR(VLOOKUP(A789,管理亚马逊库存!A:L,12,0),"")</f>
        <v>0</v>
      </c>
      <c r="D789">
        <f>IFERROR(VLOOKUP(A789,管理亚马逊库存!A:Q,17,0),"")</f>
        <v>0</v>
      </c>
      <c r="E789">
        <f>IFERROR(VLOOKUP(A789,管理亚马逊库存!A:R,18,0),"")</f>
        <v>0</v>
      </c>
      <c r="F789">
        <f t="shared" si="25"/>
        <v>0</v>
      </c>
      <c r="G789" t="str">
        <f>IFERROR(VLOOKUP(A789,预留库存!A:G,7,0),0)</f>
        <v>No</v>
      </c>
      <c r="H789">
        <f>IFERROR(VLOOKUP(A789,预留库存!A:H,8,0),0)</f>
        <v>0</v>
      </c>
      <c r="I789">
        <f>IFERROR(VLOOKUP(A789,预留库存!A:F,6,0),0)</f>
        <v>12.98</v>
      </c>
      <c r="J789">
        <f>IFERROR(VLOOKUP(A789,库龄!B:K,9,0),0)</f>
        <v>4</v>
      </c>
      <c r="K789">
        <f>IFERROR(VLOOKUP(A789,库龄!B:L,10,0),0)</f>
        <v>0</v>
      </c>
      <c r="L789">
        <f>IFERROR(VLOOKUP(A789,库龄!B:M,11,0),0)</f>
        <v>0</v>
      </c>
      <c r="M789">
        <f>IFERROR(VLOOKUP(A789,库龄!B:N,12,0),0)</f>
        <v>0</v>
      </c>
      <c r="N789">
        <f t="shared" si="26"/>
        <v>4</v>
      </c>
    </row>
    <row r="790" spans="1:14">
      <c r="A790" s="3" t="s">
        <v>2081</v>
      </c>
      <c r="B790">
        <f>IFERROR(VLOOKUP(A790,管理亚马逊库存!A:K,11,0),"")</f>
        <v>10</v>
      </c>
      <c r="C790">
        <f>IFERROR(VLOOKUP(A790,管理亚马逊库存!A:L,12,0),"")</f>
        <v>0</v>
      </c>
      <c r="D790">
        <f>IFERROR(VLOOKUP(A790,管理亚马逊库存!A:Q,17,0),"")</f>
        <v>0</v>
      </c>
      <c r="E790">
        <f>IFERROR(VLOOKUP(A790,管理亚马逊库存!A:R,18,0),"")</f>
        <v>0</v>
      </c>
      <c r="F790">
        <f t="shared" si="25"/>
        <v>0</v>
      </c>
      <c r="G790" t="str">
        <f>IFERROR(VLOOKUP(A790,预留库存!A:G,7,0),0)</f>
        <v>No</v>
      </c>
      <c r="H790">
        <f>IFERROR(VLOOKUP(A790,预留库存!A:H,8,0),0)</f>
        <v>0</v>
      </c>
      <c r="I790">
        <f>IFERROR(VLOOKUP(A790,预留库存!A:F,6,0),0)</f>
        <v>23.98</v>
      </c>
      <c r="J790">
        <f>IFERROR(VLOOKUP(A790,库龄!B:K,9,0),0)</f>
        <v>4</v>
      </c>
      <c r="K790">
        <f>IFERROR(VLOOKUP(A790,库龄!B:L,10,0),0)</f>
        <v>1</v>
      </c>
      <c r="L790">
        <f>IFERROR(VLOOKUP(A790,库龄!B:M,11,0),0)</f>
        <v>0</v>
      </c>
      <c r="M790">
        <f>IFERROR(VLOOKUP(A790,库龄!B:N,12,0),0)</f>
        <v>0</v>
      </c>
      <c r="N790">
        <f t="shared" si="26"/>
        <v>5</v>
      </c>
    </row>
    <row r="791" spans="1:14">
      <c r="A791" s="3" t="s">
        <v>2084</v>
      </c>
      <c r="B791">
        <f>IFERROR(VLOOKUP(A791,管理亚马逊库存!A:K,11,0),"")</f>
        <v>18</v>
      </c>
      <c r="C791">
        <f>IFERROR(VLOOKUP(A791,管理亚马逊库存!A:L,12,0),"")</f>
        <v>0</v>
      </c>
      <c r="D791">
        <f>IFERROR(VLOOKUP(A791,管理亚马逊库存!A:Q,17,0),"")</f>
        <v>0</v>
      </c>
      <c r="E791">
        <f>IFERROR(VLOOKUP(A791,管理亚马逊库存!A:R,18,0),"")</f>
        <v>0</v>
      </c>
      <c r="F791">
        <f t="shared" si="25"/>
        <v>0</v>
      </c>
      <c r="G791" t="str">
        <f>IFERROR(VLOOKUP(A791,预留库存!A:G,7,0),0)</f>
        <v>No</v>
      </c>
      <c r="H791">
        <f>IFERROR(VLOOKUP(A791,预留库存!A:H,8,0),0)</f>
        <v>0</v>
      </c>
      <c r="I791">
        <f>IFERROR(VLOOKUP(A791,预留库存!A:F,6,0),0)</f>
        <v>23.98</v>
      </c>
      <c r="J791">
        <f>IFERROR(VLOOKUP(A791,库龄!B:K,9,0),0)</f>
        <v>3</v>
      </c>
      <c r="K791">
        <f>IFERROR(VLOOKUP(A791,库龄!B:L,10,0),0)</f>
        <v>16</v>
      </c>
      <c r="L791">
        <f>IFERROR(VLOOKUP(A791,库龄!B:M,11,0),0)</f>
        <v>0</v>
      </c>
      <c r="M791">
        <f>IFERROR(VLOOKUP(A791,库龄!B:N,12,0),0)</f>
        <v>0</v>
      </c>
      <c r="N791">
        <f t="shared" si="26"/>
        <v>19</v>
      </c>
    </row>
    <row r="792" spans="1:14">
      <c r="A792" s="3" t="s">
        <v>2087</v>
      </c>
      <c r="B792">
        <f>IFERROR(VLOOKUP(A792,管理亚马逊库存!A:K,11,0),"")</f>
        <v>37</v>
      </c>
      <c r="C792">
        <f>IFERROR(VLOOKUP(A792,管理亚马逊库存!A:L,12,0),"")</f>
        <v>0</v>
      </c>
      <c r="D792">
        <f>IFERROR(VLOOKUP(A792,管理亚马逊库存!A:Q,17,0),"")</f>
        <v>0</v>
      </c>
      <c r="E792">
        <f>IFERROR(VLOOKUP(A792,管理亚马逊库存!A:R,18,0),"")</f>
        <v>0</v>
      </c>
      <c r="F792">
        <f t="shared" si="25"/>
        <v>0</v>
      </c>
      <c r="G792" t="str">
        <f>IFERROR(VLOOKUP(A792,预留库存!A:G,7,0),0)</f>
        <v>No</v>
      </c>
      <c r="H792">
        <f>IFERROR(VLOOKUP(A792,预留库存!A:H,8,0),0)</f>
        <v>0</v>
      </c>
      <c r="I792">
        <f>IFERROR(VLOOKUP(A792,预留库存!A:F,6,0),0)</f>
        <v>23.98</v>
      </c>
      <c r="J792">
        <f>IFERROR(VLOOKUP(A792,库龄!B:K,9,0),0)</f>
        <v>0</v>
      </c>
      <c r="K792">
        <f>IFERROR(VLOOKUP(A792,库龄!B:L,10,0),0)</f>
        <v>0</v>
      </c>
      <c r="L792">
        <f>IFERROR(VLOOKUP(A792,库龄!B:M,11,0),0)</f>
        <v>0</v>
      </c>
      <c r="M792">
        <f>IFERROR(VLOOKUP(A792,库龄!B:N,12,0),0)</f>
        <v>0</v>
      </c>
      <c r="N792">
        <f t="shared" si="26"/>
        <v>0</v>
      </c>
    </row>
    <row r="793" spans="1:14">
      <c r="A793" s="3" t="s">
        <v>2090</v>
      </c>
      <c r="B793">
        <f>IFERROR(VLOOKUP(A793,管理亚马逊库存!A:K,11,0),"")</f>
        <v>16</v>
      </c>
      <c r="C793">
        <f>IFERROR(VLOOKUP(A793,管理亚马逊库存!A:L,12,0),"")</f>
        <v>0</v>
      </c>
      <c r="D793">
        <f>IFERROR(VLOOKUP(A793,管理亚马逊库存!A:Q,17,0),"")</f>
        <v>0</v>
      </c>
      <c r="E793">
        <f>IFERROR(VLOOKUP(A793,管理亚马逊库存!A:R,18,0),"")</f>
        <v>0</v>
      </c>
      <c r="F793">
        <f t="shared" si="25"/>
        <v>0</v>
      </c>
      <c r="G793" t="str">
        <f>IFERROR(VLOOKUP(A793,预留库存!A:G,7,0),0)</f>
        <v>No</v>
      </c>
      <c r="H793">
        <f>IFERROR(VLOOKUP(A793,预留库存!A:H,8,0),0)</f>
        <v>0</v>
      </c>
      <c r="I793">
        <f>IFERROR(VLOOKUP(A793,预留库存!A:F,6,0),0)</f>
        <v>23.98</v>
      </c>
      <c r="J793">
        <f>IFERROR(VLOOKUP(A793,库龄!B:K,9,0),0)</f>
        <v>0</v>
      </c>
      <c r="K793">
        <f>IFERROR(VLOOKUP(A793,库龄!B:L,10,0),0)</f>
        <v>0</v>
      </c>
      <c r="L793">
        <f>IFERROR(VLOOKUP(A793,库龄!B:M,11,0),0)</f>
        <v>0</v>
      </c>
      <c r="M793">
        <f>IFERROR(VLOOKUP(A793,库龄!B:N,12,0),0)</f>
        <v>0</v>
      </c>
      <c r="N793">
        <f t="shared" si="26"/>
        <v>0</v>
      </c>
    </row>
    <row r="794" spans="1:14">
      <c r="A794" s="3" t="s">
        <v>2093</v>
      </c>
      <c r="B794">
        <f>IFERROR(VLOOKUP(A794,管理亚马逊库存!A:K,11,0),"")</f>
        <v>27</v>
      </c>
      <c r="C794">
        <f>IFERROR(VLOOKUP(A794,管理亚马逊库存!A:L,12,0),"")</f>
        <v>0</v>
      </c>
      <c r="D794">
        <f>IFERROR(VLOOKUP(A794,管理亚马逊库存!A:Q,17,0),"")</f>
        <v>0</v>
      </c>
      <c r="E794">
        <f>IFERROR(VLOOKUP(A794,管理亚马逊库存!A:R,18,0),"")</f>
        <v>0</v>
      </c>
      <c r="F794">
        <f t="shared" si="25"/>
        <v>0</v>
      </c>
      <c r="G794" t="str">
        <f>IFERROR(VLOOKUP(A794,预留库存!A:G,7,0),0)</f>
        <v>No</v>
      </c>
      <c r="H794">
        <f>IFERROR(VLOOKUP(A794,预留库存!A:H,8,0),0)</f>
        <v>0</v>
      </c>
      <c r="I794">
        <f>IFERROR(VLOOKUP(A794,预留库存!A:F,6,0),0)</f>
        <v>18.98</v>
      </c>
      <c r="J794">
        <f>IFERROR(VLOOKUP(A794,库龄!B:K,9,0),0)</f>
        <v>0</v>
      </c>
      <c r="K794">
        <f>IFERROR(VLOOKUP(A794,库龄!B:L,10,0),0)</f>
        <v>0</v>
      </c>
      <c r="L794">
        <f>IFERROR(VLOOKUP(A794,库龄!B:M,11,0),0)</f>
        <v>0</v>
      </c>
      <c r="M794">
        <f>IFERROR(VLOOKUP(A794,库龄!B:N,12,0),0)</f>
        <v>0</v>
      </c>
      <c r="N794">
        <f t="shared" si="26"/>
        <v>0</v>
      </c>
    </row>
    <row r="795" spans="1:14">
      <c r="A795" s="3" t="s">
        <v>2096</v>
      </c>
      <c r="B795">
        <f>IFERROR(VLOOKUP(A795,管理亚马逊库存!A:K,11,0),"")</f>
        <v>1</v>
      </c>
      <c r="C795">
        <f>IFERROR(VLOOKUP(A795,管理亚马逊库存!A:L,12,0),"")</f>
        <v>0</v>
      </c>
      <c r="D795">
        <f>IFERROR(VLOOKUP(A795,管理亚马逊库存!A:Q,17,0),"")</f>
        <v>0</v>
      </c>
      <c r="E795">
        <f>IFERROR(VLOOKUP(A795,管理亚马逊库存!A:R,18,0),"")</f>
        <v>0</v>
      </c>
      <c r="F795">
        <f t="shared" si="25"/>
        <v>0</v>
      </c>
      <c r="G795" t="str">
        <f>IFERROR(VLOOKUP(A795,预留库存!A:G,7,0),0)</f>
        <v>No</v>
      </c>
      <c r="H795">
        <f>IFERROR(VLOOKUP(A795,预留库存!A:H,8,0),0)</f>
        <v>0</v>
      </c>
      <c r="I795">
        <f>IFERROR(VLOOKUP(A795,预留库存!A:F,6,0),0)</f>
        <v>23.98</v>
      </c>
      <c r="J795">
        <f>IFERROR(VLOOKUP(A795,库龄!B:K,9,0),0)</f>
        <v>0</v>
      </c>
      <c r="K795">
        <f>IFERROR(VLOOKUP(A795,库龄!B:L,10,0),0)</f>
        <v>0</v>
      </c>
      <c r="L795">
        <f>IFERROR(VLOOKUP(A795,库龄!B:M,11,0),0)</f>
        <v>0</v>
      </c>
      <c r="M795">
        <f>IFERROR(VLOOKUP(A795,库龄!B:N,12,0),0)</f>
        <v>0</v>
      </c>
      <c r="N795">
        <f t="shared" si="26"/>
        <v>0</v>
      </c>
    </row>
    <row r="796" spans="1:14">
      <c r="A796" s="3" t="s">
        <v>2099</v>
      </c>
      <c r="B796">
        <f>IFERROR(VLOOKUP(A796,管理亚马逊库存!A:K,11,0),"")</f>
        <v>0</v>
      </c>
      <c r="C796">
        <f>IFERROR(VLOOKUP(A796,管理亚马逊库存!A:L,12,0),"")</f>
        <v>0</v>
      </c>
      <c r="D796">
        <f>IFERROR(VLOOKUP(A796,管理亚马逊库存!A:Q,17,0),"")</f>
        <v>0</v>
      </c>
      <c r="E796">
        <f>IFERROR(VLOOKUP(A796,管理亚马逊库存!A:R,18,0),"")</f>
        <v>0</v>
      </c>
      <c r="F796">
        <f t="shared" si="25"/>
        <v>0</v>
      </c>
      <c r="G796" t="str">
        <f>IFERROR(VLOOKUP(A796,预留库存!A:G,7,0),0)</f>
        <v>No</v>
      </c>
      <c r="H796">
        <f>IFERROR(VLOOKUP(A796,预留库存!A:H,8,0),0)</f>
        <v>0</v>
      </c>
      <c r="I796">
        <f>IFERROR(VLOOKUP(A796,预留库存!A:F,6,0),0)</f>
        <v>23.98</v>
      </c>
      <c r="J796">
        <f>IFERROR(VLOOKUP(A796,库龄!B:K,9,0),0)</f>
        <v>0</v>
      </c>
      <c r="K796">
        <f>IFERROR(VLOOKUP(A796,库龄!B:L,10,0),0)</f>
        <v>0</v>
      </c>
      <c r="L796">
        <f>IFERROR(VLOOKUP(A796,库龄!B:M,11,0),0)</f>
        <v>0</v>
      </c>
      <c r="M796">
        <f>IFERROR(VLOOKUP(A796,库龄!B:N,12,0),0)</f>
        <v>0</v>
      </c>
      <c r="N796">
        <f t="shared" si="26"/>
        <v>0</v>
      </c>
    </row>
    <row r="797" spans="1:14">
      <c r="A797" s="3" t="s">
        <v>2102</v>
      </c>
      <c r="B797">
        <f>IFERROR(VLOOKUP(A797,管理亚马逊库存!A:K,11,0),"")</f>
        <v>0</v>
      </c>
      <c r="C797">
        <f>IFERROR(VLOOKUP(A797,管理亚马逊库存!A:L,12,0),"")</f>
        <v>0</v>
      </c>
      <c r="D797">
        <f>IFERROR(VLOOKUP(A797,管理亚马逊库存!A:Q,17,0),"")</f>
        <v>0</v>
      </c>
      <c r="E797">
        <f>IFERROR(VLOOKUP(A797,管理亚马逊库存!A:R,18,0),"")</f>
        <v>0</v>
      </c>
      <c r="F797">
        <f t="shared" si="25"/>
        <v>0</v>
      </c>
      <c r="G797" t="str">
        <f>IFERROR(VLOOKUP(A797,预留库存!A:G,7,0),0)</f>
        <v>No</v>
      </c>
      <c r="H797">
        <f>IFERROR(VLOOKUP(A797,预留库存!A:H,8,0),0)</f>
        <v>0</v>
      </c>
      <c r="I797">
        <f>IFERROR(VLOOKUP(A797,预留库存!A:F,6,0),0)</f>
        <v>23.98</v>
      </c>
      <c r="J797">
        <f>IFERROR(VLOOKUP(A797,库龄!B:K,9,0),0)</f>
        <v>0</v>
      </c>
      <c r="K797">
        <f>IFERROR(VLOOKUP(A797,库龄!B:L,10,0),0)</f>
        <v>0</v>
      </c>
      <c r="L797">
        <f>IFERROR(VLOOKUP(A797,库龄!B:M,11,0),0)</f>
        <v>0</v>
      </c>
      <c r="M797">
        <f>IFERROR(VLOOKUP(A797,库龄!B:N,12,0),0)</f>
        <v>0</v>
      </c>
      <c r="N797">
        <f t="shared" si="26"/>
        <v>0</v>
      </c>
    </row>
    <row r="798" spans="1:14">
      <c r="A798" s="3" t="s">
        <v>2105</v>
      </c>
      <c r="B798">
        <f>IFERROR(VLOOKUP(A798,管理亚马逊库存!A:K,11,0),"")</f>
        <v>0</v>
      </c>
      <c r="C798">
        <f>IFERROR(VLOOKUP(A798,管理亚马逊库存!A:L,12,0),"")</f>
        <v>0</v>
      </c>
      <c r="D798">
        <f>IFERROR(VLOOKUP(A798,管理亚马逊库存!A:Q,17,0),"")</f>
        <v>0</v>
      </c>
      <c r="E798">
        <f>IFERROR(VLOOKUP(A798,管理亚马逊库存!A:R,18,0),"")</f>
        <v>0</v>
      </c>
      <c r="F798">
        <f t="shared" si="25"/>
        <v>0</v>
      </c>
      <c r="G798">
        <f>IFERROR(VLOOKUP(A798,预留库存!A:G,7,0),0)</f>
        <v>0</v>
      </c>
      <c r="H798">
        <f>IFERROR(VLOOKUP(A798,预留库存!A:H,8,0),0)</f>
        <v>0</v>
      </c>
      <c r="I798">
        <f>IFERROR(VLOOKUP(A798,预留库存!A:F,6,0),0)</f>
        <v>0</v>
      </c>
      <c r="J798">
        <f>IFERROR(VLOOKUP(A798,库龄!B:K,9,0),0)</f>
        <v>0</v>
      </c>
      <c r="K798">
        <f>IFERROR(VLOOKUP(A798,库龄!B:L,10,0),0)</f>
        <v>0</v>
      </c>
      <c r="L798">
        <f>IFERROR(VLOOKUP(A798,库龄!B:M,11,0),0)</f>
        <v>0</v>
      </c>
      <c r="M798">
        <f>IFERROR(VLOOKUP(A798,库龄!B:N,12,0),0)</f>
        <v>0</v>
      </c>
      <c r="N798">
        <f t="shared" si="26"/>
        <v>0</v>
      </c>
    </row>
    <row r="799" spans="1:14">
      <c r="A799" s="3" t="s">
        <v>2107</v>
      </c>
      <c r="B799">
        <f>IFERROR(VLOOKUP(A799,管理亚马逊库存!A:K,11,0),"")</f>
        <v>0</v>
      </c>
      <c r="C799">
        <f>IFERROR(VLOOKUP(A799,管理亚马逊库存!A:L,12,0),"")</f>
        <v>0</v>
      </c>
      <c r="D799">
        <f>IFERROR(VLOOKUP(A799,管理亚马逊库存!A:Q,17,0),"")</f>
        <v>0</v>
      </c>
      <c r="E799">
        <f>IFERROR(VLOOKUP(A799,管理亚马逊库存!A:R,18,0),"")</f>
        <v>0</v>
      </c>
      <c r="F799">
        <f t="shared" si="25"/>
        <v>0</v>
      </c>
      <c r="G799">
        <f>IFERROR(VLOOKUP(A799,预留库存!A:G,7,0),0)</f>
        <v>0</v>
      </c>
      <c r="H799">
        <f>IFERROR(VLOOKUP(A799,预留库存!A:H,8,0),0)</f>
        <v>0</v>
      </c>
      <c r="I799">
        <f>IFERROR(VLOOKUP(A799,预留库存!A:F,6,0),0)</f>
        <v>0</v>
      </c>
      <c r="J799">
        <f>IFERROR(VLOOKUP(A799,库龄!B:K,9,0),0)</f>
        <v>0</v>
      </c>
      <c r="K799">
        <f>IFERROR(VLOOKUP(A799,库龄!B:L,10,0),0)</f>
        <v>0</v>
      </c>
      <c r="L799">
        <f>IFERROR(VLOOKUP(A799,库龄!B:M,11,0),0)</f>
        <v>0</v>
      </c>
      <c r="M799">
        <f>IFERROR(VLOOKUP(A799,库龄!B:N,12,0),0)</f>
        <v>0</v>
      </c>
      <c r="N799">
        <f t="shared" si="26"/>
        <v>0</v>
      </c>
    </row>
    <row r="800" spans="1:14">
      <c r="A800" s="3" t="s">
        <v>2109</v>
      </c>
      <c r="B800">
        <f>IFERROR(VLOOKUP(A800,管理亚马逊库存!A:K,11,0),"")</f>
        <v>0</v>
      </c>
      <c r="C800">
        <f>IFERROR(VLOOKUP(A800,管理亚马逊库存!A:L,12,0),"")</f>
        <v>0</v>
      </c>
      <c r="D800">
        <f>IFERROR(VLOOKUP(A800,管理亚马逊库存!A:Q,17,0),"")</f>
        <v>0</v>
      </c>
      <c r="E800">
        <f>IFERROR(VLOOKUP(A800,管理亚马逊库存!A:R,18,0),"")</f>
        <v>0</v>
      </c>
      <c r="F800">
        <f t="shared" si="25"/>
        <v>0</v>
      </c>
      <c r="G800">
        <f>IFERROR(VLOOKUP(A800,预留库存!A:G,7,0),0)</f>
        <v>0</v>
      </c>
      <c r="H800">
        <f>IFERROR(VLOOKUP(A800,预留库存!A:H,8,0),0)</f>
        <v>0</v>
      </c>
      <c r="I800">
        <f>IFERROR(VLOOKUP(A800,预留库存!A:F,6,0),0)</f>
        <v>0</v>
      </c>
      <c r="J800">
        <f>IFERROR(VLOOKUP(A800,库龄!B:K,9,0),0)</f>
        <v>0</v>
      </c>
      <c r="K800">
        <f>IFERROR(VLOOKUP(A800,库龄!B:L,10,0),0)</f>
        <v>0</v>
      </c>
      <c r="L800">
        <f>IFERROR(VLOOKUP(A800,库龄!B:M,11,0),0)</f>
        <v>0</v>
      </c>
      <c r="M800">
        <f>IFERROR(VLOOKUP(A800,库龄!B:N,12,0),0)</f>
        <v>0</v>
      </c>
      <c r="N800">
        <f t="shared" si="26"/>
        <v>0</v>
      </c>
    </row>
    <row r="801" spans="1:14">
      <c r="A801" s="3" t="s">
        <v>2111</v>
      </c>
      <c r="B801">
        <f>IFERROR(VLOOKUP(A801,管理亚马逊库存!A:K,11,0),"")</f>
        <v>0</v>
      </c>
      <c r="C801">
        <f>IFERROR(VLOOKUP(A801,管理亚马逊库存!A:L,12,0),"")</f>
        <v>0</v>
      </c>
      <c r="D801">
        <f>IFERROR(VLOOKUP(A801,管理亚马逊库存!A:Q,17,0),"")</f>
        <v>0</v>
      </c>
      <c r="E801">
        <f>IFERROR(VLOOKUP(A801,管理亚马逊库存!A:R,18,0),"")</f>
        <v>0</v>
      </c>
      <c r="F801">
        <f t="shared" si="25"/>
        <v>0</v>
      </c>
      <c r="G801" t="str">
        <f>IFERROR(VLOOKUP(A801,预留库存!A:G,7,0),0)</f>
        <v>No</v>
      </c>
      <c r="H801">
        <f>IFERROR(VLOOKUP(A801,预留库存!A:H,8,0),0)</f>
        <v>0</v>
      </c>
      <c r="I801">
        <f>IFERROR(VLOOKUP(A801,预留库存!A:F,6,0),0)</f>
        <v>23.98</v>
      </c>
      <c r="J801">
        <f>IFERROR(VLOOKUP(A801,库龄!B:K,9,0),0)</f>
        <v>0</v>
      </c>
      <c r="K801">
        <f>IFERROR(VLOOKUP(A801,库龄!B:L,10,0),0)</f>
        <v>0</v>
      </c>
      <c r="L801">
        <f>IFERROR(VLOOKUP(A801,库龄!B:M,11,0),0)</f>
        <v>0</v>
      </c>
      <c r="M801">
        <f>IFERROR(VLOOKUP(A801,库龄!B:N,12,0),0)</f>
        <v>0</v>
      </c>
      <c r="N801">
        <f t="shared" si="26"/>
        <v>0</v>
      </c>
    </row>
    <row r="802" spans="1:14">
      <c r="A802" s="3" t="s">
        <v>2114</v>
      </c>
      <c r="B802">
        <f>IFERROR(VLOOKUP(A802,管理亚马逊库存!A:K,11,0),"")</f>
        <v>0</v>
      </c>
      <c r="C802">
        <f>IFERROR(VLOOKUP(A802,管理亚马逊库存!A:L,12,0),"")</f>
        <v>0</v>
      </c>
      <c r="D802">
        <f>IFERROR(VLOOKUP(A802,管理亚马逊库存!A:Q,17,0),"")</f>
        <v>0</v>
      </c>
      <c r="E802">
        <f>IFERROR(VLOOKUP(A802,管理亚马逊库存!A:R,18,0),"")</f>
        <v>0</v>
      </c>
      <c r="F802">
        <f t="shared" si="25"/>
        <v>0</v>
      </c>
      <c r="G802">
        <f>IFERROR(VLOOKUP(A802,预留库存!A:G,7,0),0)</f>
        <v>0</v>
      </c>
      <c r="H802">
        <f>IFERROR(VLOOKUP(A802,预留库存!A:H,8,0),0)</f>
        <v>0</v>
      </c>
      <c r="I802">
        <f>IFERROR(VLOOKUP(A802,预留库存!A:F,6,0),0)</f>
        <v>0</v>
      </c>
      <c r="J802">
        <f>IFERROR(VLOOKUP(A802,库龄!B:K,9,0),0)</f>
        <v>0</v>
      </c>
      <c r="K802">
        <f>IFERROR(VLOOKUP(A802,库龄!B:L,10,0),0)</f>
        <v>0</v>
      </c>
      <c r="L802">
        <f>IFERROR(VLOOKUP(A802,库龄!B:M,11,0),0)</f>
        <v>0</v>
      </c>
      <c r="M802">
        <f>IFERROR(VLOOKUP(A802,库龄!B:N,12,0),0)</f>
        <v>0</v>
      </c>
      <c r="N802">
        <f t="shared" si="26"/>
        <v>0</v>
      </c>
    </row>
    <row r="803" spans="1:14">
      <c r="A803" s="3" t="s">
        <v>2116</v>
      </c>
      <c r="B803">
        <f>IFERROR(VLOOKUP(A803,管理亚马逊库存!A:K,11,0),"")</f>
        <v>3</v>
      </c>
      <c r="C803">
        <f>IFERROR(VLOOKUP(A803,管理亚马逊库存!A:L,12,0),"")</f>
        <v>0</v>
      </c>
      <c r="D803">
        <f>IFERROR(VLOOKUP(A803,管理亚马逊库存!A:Q,17,0),"")</f>
        <v>0</v>
      </c>
      <c r="E803">
        <f>IFERROR(VLOOKUP(A803,管理亚马逊库存!A:R,18,0),"")</f>
        <v>0</v>
      </c>
      <c r="F803">
        <f t="shared" si="25"/>
        <v>0</v>
      </c>
      <c r="G803" t="str">
        <f>IFERROR(VLOOKUP(A803,预留库存!A:G,7,0),0)</f>
        <v>No</v>
      </c>
      <c r="H803">
        <f>IFERROR(VLOOKUP(A803,预留库存!A:H,8,0),0)</f>
        <v>0</v>
      </c>
      <c r="I803">
        <f>IFERROR(VLOOKUP(A803,预留库存!A:F,6,0),0)</f>
        <v>23.98</v>
      </c>
      <c r="J803">
        <f>IFERROR(VLOOKUP(A803,库龄!B:K,9,0),0)</f>
        <v>0</v>
      </c>
      <c r="K803">
        <f>IFERROR(VLOOKUP(A803,库龄!B:L,10,0),0)</f>
        <v>0</v>
      </c>
      <c r="L803">
        <f>IFERROR(VLOOKUP(A803,库龄!B:M,11,0),0)</f>
        <v>0</v>
      </c>
      <c r="M803">
        <f>IFERROR(VLOOKUP(A803,库龄!B:N,12,0),0)</f>
        <v>0</v>
      </c>
      <c r="N803">
        <f t="shared" si="26"/>
        <v>0</v>
      </c>
    </row>
    <row r="804" spans="1:14">
      <c r="A804" s="3" t="s">
        <v>2119</v>
      </c>
      <c r="B804">
        <f>IFERROR(VLOOKUP(A804,管理亚马逊库存!A:K,11,0),"")</f>
        <v>25</v>
      </c>
      <c r="C804">
        <f>IFERROR(VLOOKUP(A804,管理亚马逊库存!A:L,12,0),"")</f>
        <v>0</v>
      </c>
      <c r="D804">
        <f>IFERROR(VLOOKUP(A804,管理亚马逊库存!A:Q,17,0),"")</f>
        <v>13</v>
      </c>
      <c r="E804">
        <f>IFERROR(VLOOKUP(A804,管理亚马逊库存!A:R,18,0),"")</f>
        <v>0</v>
      </c>
      <c r="F804">
        <f t="shared" si="25"/>
        <v>13</v>
      </c>
      <c r="G804" t="str">
        <f>IFERROR(VLOOKUP(A804,预留库存!A:G,7,0),0)</f>
        <v>No</v>
      </c>
      <c r="H804">
        <f>IFERROR(VLOOKUP(A804,预留库存!A:H,8,0),0)</f>
        <v>0</v>
      </c>
      <c r="I804">
        <f>IFERROR(VLOOKUP(A804,预留库存!A:F,6,0),0)</f>
        <v>23.98</v>
      </c>
      <c r="J804">
        <f>IFERROR(VLOOKUP(A804,库龄!B:K,9,0),0)</f>
        <v>0</v>
      </c>
      <c r="K804">
        <f>IFERROR(VLOOKUP(A804,库龄!B:L,10,0),0)</f>
        <v>0</v>
      </c>
      <c r="L804">
        <f>IFERROR(VLOOKUP(A804,库龄!B:M,11,0),0)</f>
        <v>0</v>
      </c>
      <c r="M804">
        <f>IFERROR(VLOOKUP(A804,库龄!B:N,12,0),0)</f>
        <v>0</v>
      </c>
      <c r="N804">
        <f t="shared" si="26"/>
        <v>0</v>
      </c>
    </row>
    <row r="805" spans="1:14">
      <c r="A805" s="3" t="s">
        <v>2122</v>
      </c>
      <c r="B805">
        <f>IFERROR(VLOOKUP(A805,管理亚马逊库存!A:K,11,0),"")</f>
        <v>11</v>
      </c>
      <c r="C805">
        <f>IFERROR(VLOOKUP(A805,管理亚马逊库存!A:L,12,0),"")</f>
        <v>0</v>
      </c>
      <c r="D805">
        <f>IFERROR(VLOOKUP(A805,管理亚马逊库存!A:Q,17,0),"")</f>
        <v>0</v>
      </c>
      <c r="E805">
        <f>IFERROR(VLOOKUP(A805,管理亚马逊库存!A:R,18,0),"")</f>
        <v>0</v>
      </c>
      <c r="F805">
        <f t="shared" si="25"/>
        <v>0</v>
      </c>
      <c r="G805" t="str">
        <f>IFERROR(VLOOKUP(A805,预留库存!A:G,7,0),0)</f>
        <v>No</v>
      </c>
      <c r="H805">
        <f>IFERROR(VLOOKUP(A805,预留库存!A:H,8,0),0)</f>
        <v>0</v>
      </c>
      <c r="I805">
        <f>IFERROR(VLOOKUP(A805,预留库存!A:F,6,0),0)</f>
        <v>23.98</v>
      </c>
      <c r="J805">
        <f>IFERROR(VLOOKUP(A805,库龄!B:K,9,0),0)</f>
        <v>0</v>
      </c>
      <c r="K805">
        <f>IFERROR(VLOOKUP(A805,库龄!B:L,10,0),0)</f>
        <v>0</v>
      </c>
      <c r="L805">
        <f>IFERROR(VLOOKUP(A805,库龄!B:M,11,0),0)</f>
        <v>0</v>
      </c>
      <c r="M805">
        <f>IFERROR(VLOOKUP(A805,库龄!B:N,12,0),0)</f>
        <v>0</v>
      </c>
      <c r="N805">
        <f t="shared" si="26"/>
        <v>0</v>
      </c>
    </row>
    <row r="806" spans="1:14">
      <c r="A806" s="3" t="s">
        <v>2125</v>
      </c>
      <c r="B806">
        <f>IFERROR(VLOOKUP(A806,管理亚马逊库存!A:K,11,0),"")</f>
        <v>0</v>
      </c>
      <c r="C806">
        <f>IFERROR(VLOOKUP(A806,管理亚马逊库存!A:L,12,0),"")</f>
        <v>0</v>
      </c>
      <c r="D806">
        <f>IFERROR(VLOOKUP(A806,管理亚马逊库存!A:Q,17,0),"")</f>
        <v>0</v>
      </c>
      <c r="E806">
        <f>IFERROR(VLOOKUP(A806,管理亚马逊库存!A:R,18,0),"")</f>
        <v>0</v>
      </c>
      <c r="F806">
        <f t="shared" si="25"/>
        <v>0</v>
      </c>
      <c r="G806">
        <f>IFERROR(VLOOKUP(A806,预留库存!A:G,7,0),0)</f>
        <v>0</v>
      </c>
      <c r="H806">
        <f>IFERROR(VLOOKUP(A806,预留库存!A:H,8,0),0)</f>
        <v>0</v>
      </c>
      <c r="I806">
        <f>IFERROR(VLOOKUP(A806,预留库存!A:F,6,0),0)</f>
        <v>0</v>
      </c>
      <c r="J806">
        <f>IFERROR(VLOOKUP(A806,库龄!B:K,9,0),0)</f>
        <v>0</v>
      </c>
      <c r="K806">
        <f>IFERROR(VLOOKUP(A806,库龄!B:L,10,0),0)</f>
        <v>0</v>
      </c>
      <c r="L806">
        <f>IFERROR(VLOOKUP(A806,库龄!B:M,11,0),0)</f>
        <v>0</v>
      </c>
      <c r="M806">
        <f>IFERROR(VLOOKUP(A806,库龄!B:N,12,0),0)</f>
        <v>0</v>
      </c>
      <c r="N806">
        <f t="shared" si="26"/>
        <v>0</v>
      </c>
    </row>
    <row r="807" spans="1:14">
      <c r="A807" s="3" t="s">
        <v>2126</v>
      </c>
      <c r="B807">
        <f>IFERROR(VLOOKUP(A807,管理亚马逊库存!A:K,11,0),"")</f>
        <v>0</v>
      </c>
      <c r="C807">
        <f>IFERROR(VLOOKUP(A807,管理亚马逊库存!A:L,12,0),"")</f>
        <v>0</v>
      </c>
      <c r="D807">
        <f>IFERROR(VLOOKUP(A807,管理亚马逊库存!A:Q,17,0),"")</f>
        <v>0</v>
      </c>
      <c r="E807">
        <f>IFERROR(VLOOKUP(A807,管理亚马逊库存!A:R,18,0),"")</f>
        <v>0</v>
      </c>
      <c r="F807">
        <f t="shared" si="25"/>
        <v>0</v>
      </c>
      <c r="G807" t="str">
        <f>IFERROR(VLOOKUP(A807,预留库存!A:G,7,0),0)</f>
        <v>No</v>
      </c>
      <c r="H807">
        <f>IFERROR(VLOOKUP(A807,预留库存!A:H,8,0),0)</f>
        <v>0</v>
      </c>
      <c r="I807">
        <f>IFERROR(VLOOKUP(A807,预留库存!A:F,6,0),0)</f>
        <v>23.98</v>
      </c>
      <c r="J807">
        <f>IFERROR(VLOOKUP(A807,库龄!B:K,9,0),0)</f>
        <v>0</v>
      </c>
      <c r="K807">
        <f>IFERROR(VLOOKUP(A807,库龄!B:L,10,0),0)</f>
        <v>0</v>
      </c>
      <c r="L807">
        <f>IFERROR(VLOOKUP(A807,库龄!B:M,11,0),0)</f>
        <v>0</v>
      </c>
      <c r="M807">
        <f>IFERROR(VLOOKUP(A807,库龄!B:N,12,0),0)</f>
        <v>0</v>
      </c>
      <c r="N807">
        <f t="shared" si="26"/>
        <v>0</v>
      </c>
    </row>
    <row r="808" spans="1:14">
      <c r="A808" s="3" t="s">
        <v>2129</v>
      </c>
      <c r="B808">
        <f>IFERROR(VLOOKUP(A808,管理亚马逊库存!A:K,11,0),"")</f>
        <v>0</v>
      </c>
      <c r="C808">
        <f>IFERROR(VLOOKUP(A808,管理亚马逊库存!A:L,12,0),"")</f>
        <v>0</v>
      </c>
      <c r="D808">
        <f>IFERROR(VLOOKUP(A808,管理亚马逊库存!A:Q,17,0),"")</f>
        <v>0</v>
      </c>
      <c r="E808">
        <f>IFERROR(VLOOKUP(A808,管理亚马逊库存!A:R,18,0),"")</f>
        <v>0</v>
      </c>
      <c r="F808">
        <f t="shared" si="25"/>
        <v>0</v>
      </c>
      <c r="G808" t="str">
        <f>IFERROR(VLOOKUP(A808,预留库存!A:G,7,0),0)</f>
        <v>No</v>
      </c>
      <c r="H808">
        <f>IFERROR(VLOOKUP(A808,预留库存!A:H,8,0),0)</f>
        <v>0</v>
      </c>
      <c r="I808">
        <f>IFERROR(VLOOKUP(A808,预留库存!A:F,6,0),0)</f>
        <v>22.98</v>
      </c>
      <c r="J808">
        <f>IFERROR(VLOOKUP(A808,库龄!B:K,9,0),0)</f>
        <v>0</v>
      </c>
      <c r="K808">
        <f>IFERROR(VLOOKUP(A808,库龄!B:L,10,0),0)</f>
        <v>0</v>
      </c>
      <c r="L808">
        <f>IFERROR(VLOOKUP(A808,库龄!B:M,11,0),0)</f>
        <v>0</v>
      </c>
      <c r="M808">
        <f>IFERROR(VLOOKUP(A808,库龄!B:N,12,0),0)</f>
        <v>0</v>
      </c>
      <c r="N808">
        <f t="shared" si="26"/>
        <v>0</v>
      </c>
    </row>
    <row r="809" spans="1:14">
      <c r="A809" s="3" t="s">
        <v>2132</v>
      </c>
      <c r="B809">
        <f>IFERROR(VLOOKUP(A809,管理亚马逊库存!A:K,11,0),"")</f>
        <v>15</v>
      </c>
      <c r="C809">
        <f>IFERROR(VLOOKUP(A809,管理亚马逊库存!A:L,12,0),"")</f>
        <v>0</v>
      </c>
      <c r="D809">
        <f>IFERROR(VLOOKUP(A809,管理亚马逊库存!A:Q,17,0),"")</f>
        <v>0</v>
      </c>
      <c r="E809">
        <f>IFERROR(VLOOKUP(A809,管理亚马逊库存!A:R,18,0),"")</f>
        <v>0</v>
      </c>
      <c r="F809">
        <f t="shared" si="25"/>
        <v>0</v>
      </c>
      <c r="G809" t="str">
        <f>IFERROR(VLOOKUP(A809,预留库存!A:G,7,0),0)</f>
        <v>No</v>
      </c>
      <c r="H809">
        <f>IFERROR(VLOOKUP(A809,预留库存!A:H,8,0),0)</f>
        <v>0</v>
      </c>
      <c r="I809">
        <f>IFERROR(VLOOKUP(A809,预留库存!A:F,6,0),0)</f>
        <v>22.98</v>
      </c>
      <c r="J809">
        <f>IFERROR(VLOOKUP(A809,库龄!B:K,9,0),0)</f>
        <v>14</v>
      </c>
      <c r="K809">
        <f>IFERROR(VLOOKUP(A809,库龄!B:L,10,0),0)</f>
        <v>0</v>
      </c>
      <c r="L809">
        <f>IFERROR(VLOOKUP(A809,库龄!B:M,11,0),0)</f>
        <v>0</v>
      </c>
      <c r="M809">
        <f>IFERROR(VLOOKUP(A809,库龄!B:N,12,0),0)</f>
        <v>0</v>
      </c>
      <c r="N809">
        <f t="shared" si="26"/>
        <v>14</v>
      </c>
    </row>
    <row r="810" spans="1:14">
      <c r="A810" s="3" t="s">
        <v>2135</v>
      </c>
      <c r="B810">
        <f>IFERROR(VLOOKUP(A810,管理亚马逊库存!A:K,11,0),"")</f>
        <v>25</v>
      </c>
      <c r="C810">
        <f>IFERROR(VLOOKUP(A810,管理亚马逊库存!A:L,12,0),"")</f>
        <v>0</v>
      </c>
      <c r="D810">
        <f>IFERROR(VLOOKUP(A810,管理亚马逊库存!A:Q,17,0),"")</f>
        <v>12</v>
      </c>
      <c r="E810">
        <f>IFERROR(VLOOKUP(A810,管理亚马逊库存!A:R,18,0),"")</f>
        <v>0</v>
      </c>
      <c r="F810">
        <f t="shared" si="25"/>
        <v>12</v>
      </c>
      <c r="G810" t="str">
        <f>IFERROR(VLOOKUP(A810,预留库存!A:G,7,0),0)</f>
        <v>No</v>
      </c>
      <c r="H810">
        <f>IFERROR(VLOOKUP(A810,预留库存!A:H,8,0),0)</f>
        <v>0</v>
      </c>
      <c r="I810">
        <f>IFERROR(VLOOKUP(A810,预留库存!A:F,6,0),0)</f>
        <v>22.98</v>
      </c>
      <c r="J810">
        <f>IFERROR(VLOOKUP(A810,库龄!B:K,9,0),0)</f>
        <v>21</v>
      </c>
      <c r="K810">
        <f>IFERROR(VLOOKUP(A810,库龄!B:L,10,0),0)</f>
        <v>4</v>
      </c>
      <c r="L810">
        <f>IFERROR(VLOOKUP(A810,库龄!B:M,11,0),0)</f>
        <v>0</v>
      </c>
      <c r="M810">
        <f>IFERROR(VLOOKUP(A810,库龄!B:N,12,0),0)</f>
        <v>0</v>
      </c>
      <c r="N810">
        <f t="shared" si="26"/>
        <v>25</v>
      </c>
    </row>
    <row r="811" spans="1:14">
      <c r="A811" s="3" t="s">
        <v>2138</v>
      </c>
      <c r="B811">
        <f>IFERROR(VLOOKUP(A811,管理亚马逊库存!A:K,11,0),"")</f>
        <v>9</v>
      </c>
      <c r="C811">
        <f>IFERROR(VLOOKUP(A811,管理亚马逊库存!A:L,12,0),"")</f>
        <v>0</v>
      </c>
      <c r="D811">
        <f>IFERROR(VLOOKUP(A811,管理亚马逊库存!A:Q,17,0),"")</f>
        <v>0</v>
      </c>
      <c r="E811">
        <f>IFERROR(VLOOKUP(A811,管理亚马逊库存!A:R,18,0),"")</f>
        <v>0</v>
      </c>
      <c r="F811">
        <f t="shared" si="25"/>
        <v>0</v>
      </c>
      <c r="G811" t="str">
        <f>IFERROR(VLOOKUP(A811,预留库存!A:G,7,0),0)</f>
        <v>No</v>
      </c>
      <c r="H811">
        <f>IFERROR(VLOOKUP(A811,预留库存!A:H,8,0),0)</f>
        <v>0</v>
      </c>
      <c r="I811">
        <f>IFERROR(VLOOKUP(A811,预留库存!A:F,6,0),0)</f>
        <v>22.98</v>
      </c>
      <c r="J811">
        <f>IFERROR(VLOOKUP(A811,库龄!B:K,9,0),0)</f>
        <v>1</v>
      </c>
      <c r="K811">
        <f>IFERROR(VLOOKUP(A811,库龄!B:L,10,0),0)</f>
        <v>8</v>
      </c>
      <c r="L811">
        <f>IFERROR(VLOOKUP(A811,库龄!B:M,11,0),0)</f>
        <v>0</v>
      </c>
      <c r="M811">
        <f>IFERROR(VLOOKUP(A811,库龄!B:N,12,0),0)</f>
        <v>0</v>
      </c>
      <c r="N811">
        <f t="shared" si="26"/>
        <v>9</v>
      </c>
    </row>
    <row r="812" spans="1:14">
      <c r="A812" s="3" t="s">
        <v>2141</v>
      </c>
      <c r="B812">
        <f>IFERROR(VLOOKUP(A812,管理亚马逊库存!A:K,11,0),"")</f>
        <v>0</v>
      </c>
      <c r="C812">
        <f>IFERROR(VLOOKUP(A812,管理亚马逊库存!A:L,12,0),"")</f>
        <v>0</v>
      </c>
      <c r="D812">
        <f>IFERROR(VLOOKUP(A812,管理亚马逊库存!A:Q,17,0),"")</f>
        <v>0</v>
      </c>
      <c r="E812">
        <f>IFERROR(VLOOKUP(A812,管理亚马逊库存!A:R,18,0),"")</f>
        <v>0</v>
      </c>
      <c r="F812">
        <f t="shared" si="25"/>
        <v>0</v>
      </c>
      <c r="G812" t="str">
        <f>IFERROR(VLOOKUP(A812,预留库存!A:G,7,0),0)</f>
        <v>No</v>
      </c>
      <c r="H812">
        <f>IFERROR(VLOOKUP(A812,预留库存!A:H,8,0),0)</f>
        <v>0</v>
      </c>
      <c r="I812">
        <f>IFERROR(VLOOKUP(A812,预留库存!A:F,6,0),0)</f>
        <v>22.98</v>
      </c>
      <c r="J812">
        <f>IFERROR(VLOOKUP(A812,库龄!B:K,9,0),0)</f>
        <v>0</v>
      </c>
      <c r="K812">
        <f>IFERROR(VLOOKUP(A812,库龄!B:L,10,0),0)</f>
        <v>0</v>
      </c>
      <c r="L812">
        <f>IFERROR(VLOOKUP(A812,库龄!B:M,11,0),0)</f>
        <v>0</v>
      </c>
      <c r="M812">
        <f>IFERROR(VLOOKUP(A812,库龄!B:N,12,0),0)</f>
        <v>0</v>
      </c>
      <c r="N812">
        <f t="shared" si="26"/>
        <v>0</v>
      </c>
    </row>
    <row r="813" spans="1:14">
      <c r="A813" s="3" t="s">
        <v>2144</v>
      </c>
      <c r="B813">
        <f>IFERROR(VLOOKUP(A813,管理亚马逊库存!A:K,11,0),"")</f>
        <v>0</v>
      </c>
      <c r="C813">
        <f>IFERROR(VLOOKUP(A813,管理亚马逊库存!A:L,12,0),"")</f>
        <v>0</v>
      </c>
      <c r="D813">
        <f>IFERROR(VLOOKUP(A813,管理亚马逊库存!A:Q,17,0),"")</f>
        <v>0</v>
      </c>
      <c r="E813">
        <f>IFERROR(VLOOKUP(A813,管理亚马逊库存!A:R,18,0),"")</f>
        <v>0</v>
      </c>
      <c r="F813">
        <f t="shared" si="25"/>
        <v>0</v>
      </c>
      <c r="G813" t="str">
        <f>IFERROR(VLOOKUP(A813,预留库存!A:G,7,0),0)</f>
        <v>No</v>
      </c>
      <c r="H813">
        <f>IFERROR(VLOOKUP(A813,预留库存!A:H,8,0),0)</f>
        <v>0</v>
      </c>
      <c r="I813">
        <f>IFERROR(VLOOKUP(A813,预留库存!A:F,6,0),0)</f>
        <v>22.98</v>
      </c>
      <c r="J813">
        <f>IFERROR(VLOOKUP(A813,库龄!B:K,9,0),0)</f>
        <v>0</v>
      </c>
      <c r="K813">
        <f>IFERROR(VLOOKUP(A813,库龄!B:L,10,0),0)</f>
        <v>0</v>
      </c>
      <c r="L813">
        <f>IFERROR(VLOOKUP(A813,库龄!B:M,11,0),0)</f>
        <v>0</v>
      </c>
      <c r="M813">
        <f>IFERROR(VLOOKUP(A813,库龄!B:N,12,0),0)</f>
        <v>0</v>
      </c>
      <c r="N813">
        <f t="shared" si="26"/>
        <v>0</v>
      </c>
    </row>
    <row r="814" spans="1:14">
      <c r="A814" s="3" t="s">
        <v>2147</v>
      </c>
      <c r="B814">
        <f>IFERROR(VLOOKUP(A814,管理亚马逊库存!A:K,11,0),"")</f>
        <v>15</v>
      </c>
      <c r="C814">
        <f>IFERROR(VLOOKUP(A814,管理亚马逊库存!A:L,12,0),"")</f>
        <v>0</v>
      </c>
      <c r="D814">
        <f>IFERROR(VLOOKUP(A814,管理亚马逊库存!A:Q,17,0),"")</f>
        <v>0</v>
      </c>
      <c r="E814">
        <f>IFERROR(VLOOKUP(A814,管理亚马逊库存!A:R,18,0),"")</f>
        <v>0</v>
      </c>
      <c r="F814">
        <f t="shared" si="25"/>
        <v>0</v>
      </c>
      <c r="G814" t="str">
        <f>IFERROR(VLOOKUP(A814,预留库存!A:G,7,0),0)</f>
        <v>No</v>
      </c>
      <c r="H814">
        <f>IFERROR(VLOOKUP(A814,预留库存!A:H,8,0),0)</f>
        <v>0</v>
      </c>
      <c r="I814">
        <f>IFERROR(VLOOKUP(A814,预留库存!A:F,6,0),0)</f>
        <v>22.98</v>
      </c>
      <c r="J814">
        <f>IFERROR(VLOOKUP(A814,库龄!B:K,9,0),0)</f>
        <v>11</v>
      </c>
      <c r="K814">
        <f>IFERROR(VLOOKUP(A814,库龄!B:L,10,0),0)</f>
        <v>0</v>
      </c>
      <c r="L814">
        <f>IFERROR(VLOOKUP(A814,库龄!B:M,11,0),0)</f>
        <v>0</v>
      </c>
      <c r="M814">
        <f>IFERROR(VLOOKUP(A814,库龄!B:N,12,0),0)</f>
        <v>0</v>
      </c>
      <c r="N814">
        <f t="shared" si="26"/>
        <v>11</v>
      </c>
    </row>
    <row r="815" spans="1:14">
      <c r="A815" s="3" t="s">
        <v>2150</v>
      </c>
      <c r="B815">
        <f>IFERROR(VLOOKUP(A815,管理亚马逊库存!A:K,11,0),"")</f>
        <v>4</v>
      </c>
      <c r="C815">
        <f>IFERROR(VLOOKUP(A815,管理亚马逊库存!A:L,12,0),"")</f>
        <v>0</v>
      </c>
      <c r="D815">
        <f>IFERROR(VLOOKUP(A815,管理亚马逊库存!A:Q,17,0),"")</f>
        <v>0</v>
      </c>
      <c r="E815">
        <f>IFERROR(VLOOKUP(A815,管理亚马逊库存!A:R,18,0),"")</f>
        <v>0</v>
      </c>
      <c r="F815">
        <f t="shared" si="25"/>
        <v>0</v>
      </c>
      <c r="G815" t="str">
        <f>IFERROR(VLOOKUP(A815,预留库存!A:G,7,0),0)</f>
        <v>No</v>
      </c>
      <c r="H815">
        <f>IFERROR(VLOOKUP(A815,预留库存!A:H,8,0),0)</f>
        <v>0</v>
      </c>
      <c r="I815">
        <f>IFERROR(VLOOKUP(A815,预留库存!A:F,6,0),0)</f>
        <v>22.98</v>
      </c>
      <c r="J815">
        <f>IFERROR(VLOOKUP(A815,库龄!B:K,9,0),0)</f>
        <v>1</v>
      </c>
      <c r="K815">
        <f>IFERROR(VLOOKUP(A815,库龄!B:L,10,0),0)</f>
        <v>3</v>
      </c>
      <c r="L815">
        <f>IFERROR(VLOOKUP(A815,库龄!B:M,11,0),0)</f>
        <v>0</v>
      </c>
      <c r="M815">
        <f>IFERROR(VLOOKUP(A815,库龄!B:N,12,0),0)</f>
        <v>0</v>
      </c>
      <c r="N815">
        <f t="shared" si="26"/>
        <v>4</v>
      </c>
    </row>
    <row r="816" spans="1:14">
      <c r="A816" s="3" t="s">
        <v>2153</v>
      </c>
      <c r="B816">
        <f>IFERROR(VLOOKUP(A816,管理亚马逊库存!A:K,11,0),"")</f>
        <v>0</v>
      </c>
      <c r="C816">
        <f>IFERROR(VLOOKUP(A816,管理亚马逊库存!A:L,12,0),"")</f>
        <v>0</v>
      </c>
      <c r="D816">
        <f>IFERROR(VLOOKUP(A816,管理亚马逊库存!A:Q,17,0),"")</f>
        <v>11</v>
      </c>
      <c r="E816">
        <f>IFERROR(VLOOKUP(A816,管理亚马逊库存!A:R,18,0),"")</f>
        <v>0</v>
      </c>
      <c r="F816">
        <f t="shared" si="25"/>
        <v>11</v>
      </c>
      <c r="G816" t="str">
        <f>IFERROR(VLOOKUP(A816,预留库存!A:G,7,0),0)</f>
        <v>No</v>
      </c>
      <c r="H816">
        <f>IFERROR(VLOOKUP(A816,预留库存!A:H,8,0),0)</f>
        <v>0</v>
      </c>
      <c r="I816">
        <f>IFERROR(VLOOKUP(A816,预留库存!A:F,6,0),0)</f>
        <v>22.98</v>
      </c>
      <c r="J816">
        <f>IFERROR(VLOOKUP(A816,库龄!B:K,9,0),0)</f>
        <v>0</v>
      </c>
      <c r="K816">
        <f>IFERROR(VLOOKUP(A816,库龄!B:L,10,0),0)</f>
        <v>0</v>
      </c>
      <c r="L816">
        <f>IFERROR(VLOOKUP(A816,库龄!B:M,11,0),0)</f>
        <v>0</v>
      </c>
      <c r="M816">
        <f>IFERROR(VLOOKUP(A816,库龄!B:N,12,0),0)</f>
        <v>0</v>
      </c>
      <c r="N816">
        <f t="shared" si="26"/>
        <v>0</v>
      </c>
    </row>
    <row r="817" spans="1:14">
      <c r="A817" s="3" t="s">
        <v>2156</v>
      </c>
      <c r="B817">
        <f>IFERROR(VLOOKUP(A817,管理亚马逊库存!A:K,11,0),"")</f>
        <v>7</v>
      </c>
      <c r="C817">
        <f>IFERROR(VLOOKUP(A817,管理亚马逊库存!A:L,12,0),"")</f>
        <v>0</v>
      </c>
      <c r="D817">
        <f>IFERROR(VLOOKUP(A817,管理亚马逊库存!A:Q,17,0),"")</f>
        <v>0</v>
      </c>
      <c r="E817">
        <f>IFERROR(VLOOKUP(A817,管理亚马逊库存!A:R,18,0),"")</f>
        <v>0</v>
      </c>
      <c r="F817">
        <f t="shared" si="25"/>
        <v>0</v>
      </c>
      <c r="G817" t="str">
        <f>IFERROR(VLOOKUP(A817,预留库存!A:G,7,0),0)</f>
        <v>No</v>
      </c>
      <c r="H817">
        <f>IFERROR(VLOOKUP(A817,预留库存!A:H,8,0),0)</f>
        <v>0</v>
      </c>
      <c r="I817">
        <f>IFERROR(VLOOKUP(A817,预留库存!A:F,6,0),0)</f>
        <v>22.98</v>
      </c>
      <c r="J817">
        <f>IFERROR(VLOOKUP(A817,库龄!B:K,9,0),0)</f>
        <v>0</v>
      </c>
      <c r="K817">
        <f>IFERROR(VLOOKUP(A817,库龄!B:L,10,0),0)</f>
        <v>0</v>
      </c>
      <c r="L817">
        <f>IFERROR(VLOOKUP(A817,库龄!B:M,11,0),0)</f>
        <v>0</v>
      </c>
      <c r="M817">
        <f>IFERROR(VLOOKUP(A817,库龄!B:N,12,0),0)</f>
        <v>0</v>
      </c>
      <c r="N817">
        <f t="shared" si="26"/>
        <v>0</v>
      </c>
    </row>
    <row r="818" spans="1:14">
      <c r="A818" s="3" t="s">
        <v>2159</v>
      </c>
      <c r="B818">
        <f>IFERROR(VLOOKUP(A818,管理亚马逊库存!A:K,11,0),"")</f>
        <v>0</v>
      </c>
      <c r="C818">
        <f>IFERROR(VLOOKUP(A818,管理亚马逊库存!A:L,12,0),"")</f>
        <v>0</v>
      </c>
      <c r="D818">
        <f>IFERROR(VLOOKUP(A818,管理亚马逊库存!A:Q,17,0),"")</f>
        <v>0</v>
      </c>
      <c r="E818">
        <f>IFERROR(VLOOKUP(A818,管理亚马逊库存!A:R,18,0),"")</f>
        <v>0</v>
      </c>
      <c r="F818">
        <f t="shared" si="25"/>
        <v>0</v>
      </c>
      <c r="G818" t="str">
        <f>IFERROR(VLOOKUP(A818,预留库存!A:G,7,0),0)</f>
        <v>No</v>
      </c>
      <c r="H818">
        <f>IFERROR(VLOOKUP(A818,预留库存!A:H,8,0),0)</f>
        <v>0</v>
      </c>
      <c r="I818">
        <f>IFERROR(VLOOKUP(A818,预留库存!A:F,6,0),0)</f>
        <v>22.98</v>
      </c>
      <c r="J818">
        <f>IFERROR(VLOOKUP(A818,库龄!B:K,9,0),0)</f>
        <v>0</v>
      </c>
      <c r="K818">
        <f>IFERROR(VLOOKUP(A818,库龄!B:L,10,0),0)</f>
        <v>0</v>
      </c>
      <c r="L818">
        <f>IFERROR(VLOOKUP(A818,库龄!B:M,11,0),0)</f>
        <v>0</v>
      </c>
      <c r="M818">
        <f>IFERROR(VLOOKUP(A818,库龄!B:N,12,0),0)</f>
        <v>0</v>
      </c>
      <c r="N818">
        <f t="shared" si="26"/>
        <v>0</v>
      </c>
    </row>
    <row r="819" spans="1:14">
      <c r="A819" s="3" t="s">
        <v>2162</v>
      </c>
      <c r="B819">
        <f>IFERROR(VLOOKUP(A819,管理亚马逊库存!A:K,11,0),"")</f>
        <v>4</v>
      </c>
      <c r="C819">
        <f>IFERROR(VLOOKUP(A819,管理亚马逊库存!A:L,12,0),"")</f>
        <v>0</v>
      </c>
      <c r="D819">
        <f>IFERROR(VLOOKUP(A819,管理亚马逊库存!A:Q,17,0),"")</f>
        <v>14</v>
      </c>
      <c r="E819">
        <f>IFERROR(VLOOKUP(A819,管理亚马逊库存!A:R,18,0),"")</f>
        <v>0</v>
      </c>
      <c r="F819">
        <f t="shared" si="25"/>
        <v>14</v>
      </c>
      <c r="G819" t="str">
        <f>IFERROR(VLOOKUP(A819,预留库存!A:G,7,0),0)</f>
        <v>No</v>
      </c>
      <c r="H819">
        <f>IFERROR(VLOOKUP(A819,预留库存!A:H,8,0),0)</f>
        <v>0</v>
      </c>
      <c r="I819">
        <f>IFERROR(VLOOKUP(A819,预留库存!A:F,6,0),0)</f>
        <v>22.98</v>
      </c>
      <c r="J819">
        <f>IFERROR(VLOOKUP(A819,库龄!B:K,9,0),0)</f>
        <v>4</v>
      </c>
      <c r="K819">
        <f>IFERROR(VLOOKUP(A819,库龄!B:L,10,0),0)</f>
        <v>0</v>
      </c>
      <c r="L819">
        <f>IFERROR(VLOOKUP(A819,库龄!B:M,11,0),0)</f>
        <v>0</v>
      </c>
      <c r="M819">
        <f>IFERROR(VLOOKUP(A819,库龄!B:N,12,0),0)</f>
        <v>0</v>
      </c>
      <c r="N819">
        <f t="shared" si="26"/>
        <v>4</v>
      </c>
    </row>
    <row r="820" spans="1:14">
      <c r="A820" s="3" t="s">
        <v>2165</v>
      </c>
      <c r="B820">
        <f>IFERROR(VLOOKUP(A820,管理亚马逊库存!A:K,11,0),"")</f>
        <v>17</v>
      </c>
      <c r="C820">
        <f>IFERROR(VLOOKUP(A820,管理亚马逊库存!A:L,12,0),"")</f>
        <v>0</v>
      </c>
      <c r="D820">
        <f>IFERROR(VLOOKUP(A820,管理亚马逊库存!A:Q,17,0),"")</f>
        <v>0</v>
      </c>
      <c r="E820">
        <f>IFERROR(VLOOKUP(A820,管理亚马逊库存!A:R,18,0),"")</f>
        <v>0</v>
      </c>
      <c r="F820">
        <f t="shared" si="25"/>
        <v>0</v>
      </c>
      <c r="G820" t="str">
        <f>IFERROR(VLOOKUP(A820,预留库存!A:G,7,0),0)</f>
        <v>No</v>
      </c>
      <c r="H820">
        <f>IFERROR(VLOOKUP(A820,预留库存!A:H,8,0),0)</f>
        <v>0</v>
      </c>
      <c r="I820">
        <f>IFERROR(VLOOKUP(A820,预留库存!A:F,6,0),0)</f>
        <v>22.98</v>
      </c>
      <c r="J820">
        <f>IFERROR(VLOOKUP(A820,库龄!B:K,9,0),0)</f>
        <v>17</v>
      </c>
      <c r="K820">
        <f>IFERROR(VLOOKUP(A820,库龄!B:L,10,0),0)</f>
        <v>0</v>
      </c>
      <c r="L820">
        <f>IFERROR(VLOOKUP(A820,库龄!B:M,11,0),0)</f>
        <v>0</v>
      </c>
      <c r="M820">
        <f>IFERROR(VLOOKUP(A820,库龄!B:N,12,0),0)</f>
        <v>0</v>
      </c>
      <c r="N820">
        <f t="shared" si="26"/>
        <v>17</v>
      </c>
    </row>
    <row r="821" spans="1:14">
      <c r="A821" s="3" t="s">
        <v>2168</v>
      </c>
      <c r="B821">
        <f>IFERROR(VLOOKUP(A821,管理亚马逊库存!A:K,11,0),"")</f>
        <v>5</v>
      </c>
      <c r="C821">
        <f>IFERROR(VLOOKUP(A821,管理亚马逊库存!A:L,12,0),"")</f>
        <v>0</v>
      </c>
      <c r="D821">
        <f>IFERROR(VLOOKUP(A821,管理亚马逊库存!A:Q,17,0),"")</f>
        <v>0</v>
      </c>
      <c r="E821">
        <f>IFERROR(VLOOKUP(A821,管理亚马逊库存!A:R,18,0),"")</f>
        <v>0</v>
      </c>
      <c r="F821">
        <f t="shared" si="25"/>
        <v>0</v>
      </c>
      <c r="G821" t="str">
        <f>IFERROR(VLOOKUP(A821,预留库存!A:G,7,0),0)</f>
        <v>No</v>
      </c>
      <c r="H821">
        <f>IFERROR(VLOOKUP(A821,预留库存!A:H,8,0),0)</f>
        <v>0</v>
      </c>
      <c r="I821">
        <f>IFERROR(VLOOKUP(A821,预留库存!A:F,6,0),0)</f>
        <v>22.98</v>
      </c>
      <c r="J821">
        <f>IFERROR(VLOOKUP(A821,库龄!B:K,9,0),0)</f>
        <v>2</v>
      </c>
      <c r="K821">
        <f>IFERROR(VLOOKUP(A821,库龄!B:L,10,0),0)</f>
        <v>0</v>
      </c>
      <c r="L821">
        <f>IFERROR(VLOOKUP(A821,库龄!B:M,11,0),0)</f>
        <v>2</v>
      </c>
      <c r="M821">
        <f>IFERROR(VLOOKUP(A821,库龄!B:N,12,0),0)</f>
        <v>0</v>
      </c>
      <c r="N821">
        <f t="shared" si="26"/>
        <v>4</v>
      </c>
    </row>
    <row r="822" spans="1:14">
      <c r="A822" s="3" t="s">
        <v>2171</v>
      </c>
      <c r="B822">
        <f>IFERROR(VLOOKUP(A822,管理亚马逊库存!A:K,11,0),"")</f>
        <v>0</v>
      </c>
      <c r="C822">
        <f>IFERROR(VLOOKUP(A822,管理亚马逊库存!A:L,12,0),"")</f>
        <v>0</v>
      </c>
      <c r="D822">
        <f>IFERROR(VLOOKUP(A822,管理亚马逊库存!A:Q,17,0),"")</f>
        <v>0</v>
      </c>
      <c r="E822">
        <f>IFERROR(VLOOKUP(A822,管理亚马逊库存!A:R,18,0),"")</f>
        <v>0</v>
      </c>
      <c r="F822">
        <f t="shared" si="25"/>
        <v>0</v>
      </c>
      <c r="G822" t="str">
        <f>IFERROR(VLOOKUP(A822,预留库存!A:G,7,0),0)</f>
        <v>No</v>
      </c>
      <c r="H822">
        <f>IFERROR(VLOOKUP(A822,预留库存!A:H,8,0),0)</f>
        <v>0</v>
      </c>
      <c r="I822">
        <f>IFERROR(VLOOKUP(A822,预留库存!A:F,6,0),0)</f>
        <v>22.98</v>
      </c>
      <c r="J822">
        <f>IFERROR(VLOOKUP(A822,库龄!B:K,9,0),0)</f>
        <v>0</v>
      </c>
      <c r="K822">
        <f>IFERROR(VLOOKUP(A822,库龄!B:L,10,0),0)</f>
        <v>0</v>
      </c>
      <c r="L822">
        <f>IFERROR(VLOOKUP(A822,库龄!B:M,11,0),0)</f>
        <v>0</v>
      </c>
      <c r="M822">
        <f>IFERROR(VLOOKUP(A822,库龄!B:N,12,0),0)</f>
        <v>0</v>
      </c>
      <c r="N822">
        <f t="shared" si="26"/>
        <v>0</v>
      </c>
    </row>
    <row r="823" spans="1:14">
      <c r="A823" s="3" t="s">
        <v>2174</v>
      </c>
      <c r="B823">
        <f>IFERROR(VLOOKUP(A823,管理亚马逊库存!A:K,11,0),"")</f>
        <v>10</v>
      </c>
      <c r="C823">
        <f>IFERROR(VLOOKUP(A823,管理亚马逊库存!A:L,12,0),"")</f>
        <v>0</v>
      </c>
      <c r="D823">
        <f>IFERROR(VLOOKUP(A823,管理亚马逊库存!A:Q,17,0),"")</f>
        <v>0</v>
      </c>
      <c r="E823">
        <f>IFERROR(VLOOKUP(A823,管理亚马逊库存!A:R,18,0),"")</f>
        <v>0</v>
      </c>
      <c r="F823">
        <f t="shared" si="25"/>
        <v>0</v>
      </c>
      <c r="G823" t="str">
        <f>IFERROR(VLOOKUP(A823,预留库存!A:G,7,0),0)</f>
        <v>No</v>
      </c>
      <c r="H823">
        <f>IFERROR(VLOOKUP(A823,预留库存!A:H,8,0),0)</f>
        <v>0</v>
      </c>
      <c r="I823">
        <f>IFERROR(VLOOKUP(A823,预留库存!A:F,6,0),0)</f>
        <v>22.98</v>
      </c>
      <c r="J823">
        <f>IFERROR(VLOOKUP(A823,库龄!B:K,9,0),0)</f>
        <v>10</v>
      </c>
      <c r="K823">
        <f>IFERROR(VLOOKUP(A823,库龄!B:L,10,0),0)</f>
        <v>0</v>
      </c>
      <c r="L823">
        <f>IFERROR(VLOOKUP(A823,库龄!B:M,11,0),0)</f>
        <v>0</v>
      </c>
      <c r="M823">
        <f>IFERROR(VLOOKUP(A823,库龄!B:N,12,0),0)</f>
        <v>0</v>
      </c>
      <c r="N823">
        <f t="shared" si="26"/>
        <v>10</v>
      </c>
    </row>
    <row r="824" spans="1:14">
      <c r="A824" s="3" t="s">
        <v>2177</v>
      </c>
      <c r="B824">
        <f>IFERROR(VLOOKUP(A824,管理亚马逊库存!A:K,11,0),"")</f>
        <v>32</v>
      </c>
      <c r="C824">
        <f>IFERROR(VLOOKUP(A824,管理亚马逊库存!A:L,12,0),"")</f>
        <v>0</v>
      </c>
      <c r="D824">
        <f>IFERROR(VLOOKUP(A824,管理亚马逊库存!A:Q,17,0),"")</f>
        <v>20</v>
      </c>
      <c r="E824">
        <f>IFERROR(VLOOKUP(A824,管理亚马逊库存!A:R,18,0),"")</f>
        <v>0</v>
      </c>
      <c r="F824">
        <f t="shared" si="25"/>
        <v>20</v>
      </c>
      <c r="G824" t="str">
        <f>IFERROR(VLOOKUP(A824,预留库存!A:G,7,0),0)</f>
        <v>No</v>
      </c>
      <c r="H824">
        <f>IFERROR(VLOOKUP(A824,预留库存!A:H,8,0),0)</f>
        <v>0</v>
      </c>
      <c r="I824">
        <f>IFERROR(VLOOKUP(A824,预留库存!A:F,6,0),0)</f>
        <v>22.98</v>
      </c>
      <c r="J824">
        <f>IFERROR(VLOOKUP(A824,库龄!B:K,9,0),0)</f>
        <v>20</v>
      </c>
      <c r="K824">
        <f>IFERROR(VLOOKUP(A824,库龄!B:L,10,0),0)</f>
        <v>11</v>
      </c>
      <c r="L824">
        <f>IFERROR(VLOOKUP(A824,库龄!B:M,11,0),0)</f>
        <v>0</v>
      </c>
      <c r="M824">
        <f>IFERROR(VLOOKUP(A824,库龄!B:N,12,0),0)</f>
        <v>0</v>
      </c>
      <c r="N824">
        <f t="shared" si="26"/>
        <v>31</v>
      </c>
    </row>
    <row r="825" spans="1:14">
      <c r="A825" s="3" t="s">
        <v>2180</v>
      </c>
      <c r="B825">
        <f>IFERROR(VLOOKUP(A825,管理亚马逊库存!A:K,11,0),"")</f>
        <v>14</v>
      </c>
      <c r="C825">
        <f>IFERROR(VLOOKUP(A825,管理亚马逊库存!A:L,12,0),"")</f>
        <v>0</v>
      </c>
      <c r="D825">
        <f>IFERROR(VLOOKUP(A825,管理亚马逊库存!A:Q,17,0),"")</f>
        <v>0</v>
      </c>
      <c r="E825">
        <f>IFERROR(VLOOKUP(A825,管理亚马逊库存!A:R,18,0),"")</f>
        <v>0</v>
      </c>
      <c r="F825">
        <f t="shared" si="25"/>
        <v>0</v>
      </c>
      <c r="G825" t="str">
        <f>IFERROR(VLOOKUP(A825,预留库存!A:G,7,0),0)</f>
        <v>No</v>
      </c>
      <c r="H825">
        <f>IFERROR(VLOOKUP(A825,预留库存!A:H,8,0),0)</f>
        <v>0</v>
      </c>
      <c r="I825">
        <f>IFERROR(VLOOKUP(A825,预留库存!A:F,6,0),0)</f>
        <v>22.98</v>
      </c>
      <c r="J825">
        <f>IFERROR(VLOOKUP(A825,库龄!B:K,9,0),0)</f>
        <v>0</v>
      </c>
      <c r="K825">
        <f>IFERROR(VLOOKUP(A825,库龄!B:L,10,0),0)</f>
        <v>9</v>
      </c>
      <c r="L825">
        <f>IFERROR(VLOOKUP(A825,库龄!B:M,11,0),0)</f>
        <v>5</v>
      </c>
      <c r="M825">
        <f>IFERROR(VLOOKUP(A825,库龄!B:N,12,0),0)</f>
        <v>0</v>
      </c>
      <c r="N825">
        <f t="shared" si="26"/>
        <v>14</v>
      </c>
    </row>
    <row r="826" spans="1:14">
      <c r="A826" s="3" t="s">
        <v>2183</v>
      </c>
      <c r="B826">
        <f>IFERROR(VLOOKUP(A826,管理亚马逊库存!A:K,11,0),"")</f>
        <v>3</v>
      </c>
      <c r="C826">
        <f>IFERROR(VLOOKUP(A826,管理亚马逊库存!A:L,12,0),"")</f>
        <v>0</v>
      </c>
      <c r="D826">
        <f>IFERROR(VLOOKUP(A826,管理亚马逊库存!A:Q,17,0),"")</f>
        <v>0</v>
      </c>
      <c r="E826">
        <f>IFERROR(VLOOKUP(A826,管理亚马逊库存!A:R,18,0),"")</f>
        <v>0</v>
      </c>
      <c r="F826">
        <f t="shared" si="25"/>
        <v>0</v>
      </c>
      <c r="G826" t="str">
        <f>IFERROR(VLOOKUP(A826,预留库存!A:G,7,0),0)</f>
        <v>No</v>
      </c>
      <c r="H826">
        <f>IFERROR(VLOOKUP(A826,预留库存!A:H,8,0),0)</f>
        <v>0</v>
      </c>
      <c r="I826">
        <f>IFERROR(VLOOKUP(A826,预留库存!A:F,6,0),0)</f>
        <v>22.98</v>
      </c>
      <c r="J826">
        <f>IFERROR(VLOOKUP(A826,库龄!B:K,9,0),0)</f>
        <v>3</v>
      </c>
      <c r="K826">
        <f>IFERROR(VLOOKUP(A826,库龄!B:L,10,0),0)</f>
        <v>0</v>
      </c>
      <c r="L826">
        <f>IFERROR(VLOOKUP(A826,库龄!B:M,11,0),0)</f>
        <v>0</v>
      </c>
      <c r="M826">
        <f>IFERROR(VLOOKUP(A826,库龄!B:N,12,0),0)</f>
        <v>0</v>
      </c>
      <c r="N826">
        <f t="shared" si="26"/>
        <v>3</v>
      </c>
    </row>
    <row r="827" spans="1:14">
      <c r="A827" s="3" t="s">
        <v>2186</v>
      </c>
      <c r="B827">
        <f>IFERROR(VLOOKUP(A827,管理亚马逊库存!A:K,11,0),"")</f>
        <v>11</v>
      </c>
      <c r="C827">
        <f>IFERROR(VLOOKUP(A827,管理亚马逊库存!A:L,12,0),"")</f>
        <v>0</v>
      </c>
      <c r="D827">
        <f>IFERROR(VLOOKUP(A827,管理亚马逊库存!A:Q,17,0),"")</f>
        <v>0</v>
      </c>
      <c r="E827">
        <f>IFERROR(VLOOKUP(A827,管理亚马逊库存!A:R,18,0),"")</f>
        <v>0</v>
      </c>
      <c r="F827">
        <f t="shared" si="25"/>
        <v>0</v>
      </c>
      <c r="G827" t="str">
        <f>IFERROR(VLOOKUP(A827,预留库存!A:G,7,0),0)</f>
        <v>No</v>
      </c>
      <c r="H827">
        <f>IFERROR(VLOOKUP(A827,预留库存!A:H,8,0),0)</f>
        <v>0</v>
      </c>
      <c r="I827">
        <f>IFERROR(VLOOKUP(A827,预留库存!A:F,6,0),0)</f>
        <v>22.98</v>
      </c>
      <c r="J827">
        <f>IFERROR(VLOOKUP(A827,库龄!B:K,9,0),0)</f>
        <v>11</v>
      </c>
      <c r="K827">
        <f>IFERROR(VLOOKUP(A827,库龄!B:L,10,0),0)</f>
        <v>0</v>
      </c>
      <c r="L827">
        <f>IFERROR(VLOOKUP(A827,库龄!B:M,11,0),0)</f>
        <v>0</v>
      </c>
      <c r="M827">
        <f>IFERROR(VLOOKUP(A827,库龄!B:N,12,0),0)</f>
        <v>0</v>
      </c>
      <c r="N827">
        <f t="shared" si="26"/>
        <v>11</v>
      </c>
    </row>
    <row r="828" spans="1:14">
      <c r="A828" s="3" t="s">
        <v>2189</v>
      </c>
      <c r="B828">
        <f>IFERROR(VLOOKUP(A828,管理亚马逊库存!A:K,11,0),"")</f>
        <v>20</v>
      </c>
      <c r="C828">
        <f>IFERROR(VLOOKUP(A828,管理亚马逊库存!A:L,12,0),"")</f>
        <v>0</v>
      </c>
      <c r="D828">
        <f>IFERROR(VLOOKUP(A828,管理亚马逊库存!A:Q,17,0),"")</f>
        <v>0</v>
      </c>
      <c r="E828">
        <f>IFERROR(VLOOKUP(A828,管理亚马逊库存!A:R,18,0),"")</f>
        <v>0</v>
      </c>
      <c r="F828">
        <f t="shared" si="25"/>
        <v>0</v>
      </c>
      <c r="G828" t="str">
        <f>IFERROR(VLOOKUP(A828,预留库存!A:G,7,0),0)</f>
        <v>No</v>
      </c>
      <c r="H828">
        <f>IFERROR(VLOOKUP(A828,预留库存!A:H,8,0),0)</f>
        <v>0</v>
      </c>
      <c r="I828">
        <f>IFERROR(VLOOKUP(A828,预留库存!A:F,6,0),0)</f>
        <v>22.98</v>
      </c>
      <c r="J828">
        <f>IFERROR(VLOOKUP(A828,库龄!B:K,9,0),0)</f>
        <v>18</v>
      </c>
      <c r="K828">
        <f>IFERROR(VLOOKUP(A828,库龄!B:L,10,0),0)</f>
        <v>0</v>
      </c>
      <c r="L828">
        <f>IFERROR(VLOOKUP(A828,库龄!B:M,11,0),0)</f>
        <v>0</v>
      </c>
      <c r="M828">
        <f>IFERROR(VLOOKUP(A828,库龄!B:N,12,0),0)</f>
        <v>0</v>
      </c>
      <c r="N828">
        <f t="shared" si="26"/>
        <v>18</v>
      </c>
    </row>
    <row r="829" spans="1:14">
      <c r="A829" s="3" t="s">
        <v>2192</v>
      </c>
      <c r="B829">
        <f>IFERROR(VLOOKUP(A829,管理亚马逊库存!A:K,11,0),"")</f>
        <v>9</v>
      </c>
      <c r="C829">
        <f>IFERROR(VLOOKUP(A829,管理亚马逊库存!A:L,12,0),"")</f>
        <v>0</v>
      </c>
      <c r="D829">
        <f>IFERROR(VLOOKUP(A829,管理亚马逊库存!A:Q,17,0),"")</f>
        <v>0</v>
      </c>
      <c r="E829">
        <f>IFERROR(VLOOKUP(A829,管理亚马逊库存!A:R,18,0),"")</f>
        <v>0</v>
      </c>
      <c r="F829">
        <f t="shared" si="25"/>
        <v>0</v>
      </c>
      <c r="G829" t="str">
        <f>IFERROR(VLOOKUP(A829,预留库存!A:G,7,0),0)</f>
        <v>No</v>
      </c>
      <c r="H829">
        <f>IFERROR(VLOOKUP(A829,预留库存!A:H,8,0),0)</f>
        <v>0</v>
      </c>
      <c r="I829">
        <f>IFERROR(VLOOKUP(A829,预留库存!A:F,6,0),0)</f>
        <v>22.98</v>
      </c>
      <c r="J829">
        <f>IFERROR(VLOOKUP(A829,库龄!B:K,9,0),0)</f>
        <v>9</v>
      </c>
      <c r="K829">
        <f>IFERROR(VLOOKUP(A829,库龄!B:L,10,0),0)</f>
        <v>0</v>
      </c>
      <c r="L829">
        <f>IFERROR(VLOOKUP(A829,库龄!B:M,11,0),0)</f>
        <v>0</v>
      </c>
      <c r="M829">
        <f>IFERROR(VLOOKUP(A829,库龄!B:N,12,0),0)</f>
        <v>0</v>
      </c>
      <c r="N829">
        <f t="shared" si="26"/>
        <v>9</v>
      </c>
    </row>
    <row r="830" spans="1:14">
      <c r="A830" s="3" t="s">
        <v>2195</v>
      </c>
      <c r="B830">
        <f>IFERROR(VLOOKUP(A830,管理亚马逊库存!A:K,11,0),"")</f>
        <v>17</v>
      </c>
      <c r="C830">
        <f>IFERROR(VLOOKUP(A830,管理亚马逊库存!A:L,12,0),"")</f>
        <v>0</v>
      </c>
      <c r="D830">
        <f>IFERROR(VLOOKUP(A830,管理亚马逊库存!A:Q,17,0),"")</f>
        <v>0</v>
      </c>
      <c r="E830">
        <f>IFERROR(VLOOKUP(A830,管理亚马逊库存!A:R,18,0),"")</f>
        <v>0</v>
      </c>
      <c r="F830">
        <f t="shared" si="25"/>
        <v>0</v>
      </c>
      <c r="G830" t="str">
        <f>IFERROR(VLOOKUP(A830,预留库存!A:G,7,0),0)</f>
        <v>No</v>
      </c>
      <c r="H830">
        <f>IFERROR(VLOOKUP(A830,预留库存!A:H,8,0),0)</f>
        <v>0</v>
      </c>
      <c r="I830">
        <f>IFERROR(VLOOKUP(A830,预留库存!A:F,6,0),0)</f>
        <v>22.98</v>
      </c>
      <c r="J830">
        <f>IFERROR(VLOOKUP(A830,库龄!B:K,9,0),0)</f>
        <v>7</v>
      </c>
      <c r="K830">
        <f>IFERROR(VLOOKUP(A830,库龄!B:L,10,0),0)</f>
        <v>0</v>
      </c>
      <c r="L830">
        <f>IFERROR(VLOOKUP(A830,库龄!B:M,11,0),0)</f>
        <v>0</v>
      </c>
      <c r="M830">
        <f>IFERROR(VLOOKUP(A830,库龄!B:N,12,0),0)</f>
        <v>0</v>
      </c>
      <c r="N830">
        <f t="shared" si="26"/>
        <v>7</v>
      </c>
    </row>
    <row r="831" spans="1:14">
      <c r="A831" s="3" t="s">
        <v>2198</v>
      </c>
      <c r="B831">
        <f>IFERROR(VLOOKUP(A831,管理亚马逊库存!A:K,11,0),"")</f>
        <v>14</v>
      </c>
      <c r="C831">
        <f>IFERROR(VLOOKUP(A831,管理亚马逊库存!A:L,12,0),"")</f>
        <v>0</v>
      </c>
      <c r="D831">
        <f>IFERROR(VLOOKUP(A831,管理亚马逊库存!A:Q,17,0),"")</f>
        <v>0</v>
      </c>
      <c r="E831">
        <f>IFERROR(VLOOKUP(A831,管理亚马逊库存!A:R,18,0),"")</f>
        <v>0</v>
      </c>
      <c r="F831">
        <f t="shared" si="25"/>
        <v>0</v>
      </c>
      <c r="G831" t="str">
        <f>IFERROR(VLOOKUP(A831,预留库存!A:G,7,0),0)</f>
        <v>No</v>
      </c>
      <c r="H831">
        <f>IFERROR(VLOOKUP(A831,预留库存!A:H,8,0),0)</f>
        <v>0</v>
      </c>
      <c r="I831">
        <f>IFERROR(VLOOKUP(A831,预留库存!A:F,6,0),0)</f>
        <v>22.98</v>
      </c>
      <c r="J831">
        <f>IFERROR(VLOOKUP(A831,库龄!B:K,9,0),0)</f>
        <v>2</v>
      </c>
      <c r="K831">
        <f>IFERROR(VLOOKUP(A831,库龄!B:L,10,0),0)</f>
        <v>0</v>
      </c>
      <c r="L831">
        <f>IFERROR(VLOOKUP(A831,库龄!B:M,11,0),0)</f>
        <v>11</v>
      </c>
      <c r="M831">
        <f>IFERROR(VLOOKUP(A831,库龄!B:N,12,0),0)</f>
        <v>0</v>
      </c>
      <c r="N831">
        <f t="shared" si="26"/>
        <v>13</v>
      </c>
    </row>
    <row r="832" spans="1:14">
      <c r="A832" s="3" t="s">
        <v>2201</v>
      </c>
      <c r="B832">
        <f>IFERROR(VLOOKUP(A832,管理亚马逊库存!A:K,11,0),"")</f>
        <v>10</v>
      </c>
      <c r="C832">
        <f>IFERROR(VLOOKUP(A832,管理亚马逊库存!A:L,12,0),"")</f>
        <v>0</v>
      </c>
      <c r="D832">
        <f>IFERROR(VLOOKUP(A832,管理亚马逊库存!A:Q,17,0),"")</f>
        <v>0</v>
      </c>
      <c r="E832">
        <f>IFERROR(VLOOKUP(A832,管理亚马逊库存!A:R,18,0),"")</f>
        <v>0</v>
      </c>
      <c r="F832">
        <f t="shared" si="25"/>
        <v>0</v>
      </c>
      <c r="G832" t="str">
        <f>IFERROR(VLOOKUP(A832,预留库存!A:G,7,0),0)</f>
        <v>No</v>
      </c>
      <c r="H832">
        <f>IFERROR(VLOOKUP(A832,预留库存!A:H,8,0),0)</f>
        <v>0</v>
      </c>
      <c r="I832">
        <f>IFERROR(VLOOKUP(A832,预留库存!A:F,6,0),0)</f>
        <v>22.98</v>
      </c>
      <c r="J832">
        <f>IFERROR(VLOOKUP(A832,库龄!B:K,9,0),0)</f>
        <v>0</v>
      </c>
      <c r="K832">
        <f>IFERROR(VLOOKUP(A832,库龄!B:L,10,0),0)</f>
        <v>0</v>
      </c>
      <c r="L832">
        <f>IFERROR(VLOOKUP(A832,库龄!B:M,11,0),0)</f>
        <v>0</v>
      </c>
      <c r="M832">
        <f>IFERROR(VLOOKUP(A832,库龄!B:N,12,0),0)</f>
        <v>0</v>
      </c>
      <c r="N832">
        <f t="shared" si="26"/>
        <v>0</v>
      </c>
    </row>
    <row r="833" spans="1:14">
      <c r="A833" s="3" t="s">
        <v>2204</v>
      </c>
      <c r="B833">
        <f>IFERROR(VLOOKUP(A833,管理亚马逊库存!A:K,11,0),"")</f>
        <v>11</v>
      </c>
      <c r="C833">
        <f>IFERROR(VLOOKUP(A833,管理亚马逊库存!A:L,12,0),"")</f>
        <v>0</v>
      </c>
      <c r="D833">
        <f>IFERROR(VLOOKUP(A833,管理亚马逊库存!A:Q,17,0),"")</f>
        <v>0</v>
      </c>
      <c r="E833">
        <f>IFERROR(VLOOKUP(A833,管理亚马逊库存!A:R,18,0),"")</f>
        <v>0</v>
      </c>
      <c r="F833">
        <f t="shared" si="25"/>
        <v>0</v>
      </c>
      <c r="G833" t="str">
        <f>IFERROR(VLOOKUP(A833,预留库存!A:G,7,0),0)</f>
        <v>No</v>
      </c>
      <c r="H833">
        <f>IFERROR(VLOOKUP(A833,预留库存!A:H,8,0),0)</f>
        <v>0</v>
      </c>
      <c r="I833">
        <f>IFERROR(VLOOKUP(A833,预留库存!A:F,6,0),0)</f>
        <v>22.98</v>
      </c>
      <c r="J833">
        <f>IFERROR(VLOOKUP(A833,库龄!B:K,9,0),0)</f>
        <v>0</v>
      </c>
      <c r="K833">
        <f>IFERROR(VLOOKUP(A833,库龄!B:L,10,0),0)</f>
        <v>0</v>
      </c>
      <c r="L833">
        <f>IFERROR(VLOOKUP(A833,库龄!B:M,11,0),0)</f>
        <v>0</v>
      </c>
      <c r="M833">
        <f>IFERROR(VLOOKUP(A833,库龄!B:N,12,0),0)</f>
        <v>0</v>
      </c>
      <c r="N833">
        <f t="shared" si="26"/>
        <v>0</v>
      </c>
    </row>
    <row r="834" spans="1:14">
      <c r="A834" s="3" t="s">
        <v>2207</v>
      </c>
      <c r="B834">
        <f>IFERROR(VLOOKUP(A834,管理亚马逊库存!A:K,11,0),"")</f>
        <v>4</v>
      </c>
      <c r="C834">
        <f>IFERROR(VLOOKUP(A834,管理亚马逊库存!A:L,12,0),"")</f>
        <v>0</v>
      </c>
      <c r="D834">
        <f>IFERROR(VLOOKUP(A834,管理亚马逊库存!A:Q,17,0),"")</f>
        <v>16</v>
      </c>
      <c r="E834">
        <f>IFERROR(VLOOKUP(A834,管理亚马逊库存!A:R,18,0),"")</f>
        <v>0</v>
      </c>
      <c r="F834">
        <f t="shared" si="25"/>
        <v>16</v>
      </c>
      <c r="G834" t="str">
        <f>IFERROR(VLOOKUP(A834,预留库存!A:G,7,0),0)</f>
        <v>No</v>
      </c>
      <c r="H834">
        <f>IFERROR(VLOOKUP(A834,预留库存!A:H,8,0),0)</f>
        <v>0</v>
      </c>
      <c r="I834">
        <f>IFERROR(VLOOKUP(A834,预留库存!A:F,6,0),0)</f>
        <v>22.98</v>
      </c>
      <c r="J834">
        <f>IFERROR(VLOOKUP(A834,库龄!B:K,9,0),0)</f>
        <v>2</v>
      </c>
      <c r="K834">
        <f>IFERROR(VLOOKUP(A834,库龄!B:L,10,0),0)</f>
        <v>0</v>
      </c>
      <c r="L834">
        <f>IFERROR(VLOOKUP(A834,库龄!B:M,11,0),0)</f>
        <v>0</v>
      </c>
      <c r="M834">
        <f>IFERROR(VLOOKUP(A834,库龄!B:N,12,0),0)</f>
        <v>0</v>
      </c>
      <c r="N834">
        <f t="shared" si="26"/>
        <v>2</v>
      </c>
    </row>
    <row r="835" spans="1:14">
      <c r="A835" s="3" t="s">
        <v>2210</v>
      </c>
      <c r="B835">
        <f>IFERROR(VLOOKUP(A835,管理亚马逊库存!A:K,11,0),"")</f>
        <v>14</v>
      </c>
      <c r="C835">
        <f>IFERROR(VLOOKUP(A835,管理亚马逊库存!A:L,12,0),"")</f>
        <v>0</v>
      </c>
      <c r="D835">
        <f>IFERROR(VLOOKUP(A835,管理亚马逊库存!A:Q,17,0),"")</f>
        <v>0</v>
      </c>
      <c r="E835">
        <f>IFERROR(VLOOKUP(A835,管理亚马逊库存!A:R,18,0),"")</f>
        <v>0</v>
      </c>
      <c r="F835">
        <f t="shared" ref="F835:F898" si="27">SUM(D835:E835)</f>
        <v>0</v>
      </c>
      <c r="G835" t="str">
        <f>IFERROR(VLOOKUP(A835,预留库存!A:G,7,0),0)</f>
        <v>No</v>
      </c>
      <c r="H835">
        <f>IFERROR(VLOOKUP(A835,预留库存!A:H,8,0),0)</f>
        <v>0</v>
      </c>
      <c r="I835">
        <f>IFERROR(VLOOKUP(A835,预留库存!A:F,6,0),0)</f>
        <v>22.98</v>
      </c>
      <c r="J835">
        <f>IFERROR(VLOOKUP(A835,库龄!B:K,9,0),0)</f>
        <v>13</v>
      </c>
      <c r="K835">
        <f>IFERROR(VLOOKUP(A835,库龄!B:L,10,0),0)</f>
        <v>0</v>
      </c>
      <c r="L835">
        <f>IFERROR(VLOOKUP(A835,库龄!B:M,11,0),0)</f>
        <v>0</v>
      </c>
      <c r="M835">
        <f>IFERROR(VLOOKUP(A835,库龄!B:N,12,0),0)</f>
        <v>0</v>
      </c>
      <c r="N835">
        <f t="shared" ref="N835:N898" si="28">SUM(J835:M835)</f>
        <v>13</v>
      </c>
    </row>
    <row r="836" spans="1:14">
      <c r="A836" s="3" t="s">
        <v>2213</v>
      </c>
      <c r="B836">
        <f>IFERROR(VLOOKUP(A836,管理亚马逊库存!A:K,11,0),"")</f>
        <v>3</v>
      </c>
      <c r="C836">
        <f>IFERROR(VLOOKUP(A836,管理亚马逊库存!A:L,12,0),"")</f>
        <v>0</v>
      </c>
      <c r="D836">
        <f>IFERROR(VLOOKUP(A836,管理亚马逊库存!A:Q,17,0),"")</f>
        <v>0</v>
      </c>
      <c r="E836">
        <f>IFERROR(VLOOKUP(A836,管理亚马逊库存!A:R,18,0),"")</f>
        <v>0</v>
      </c>
      <c r="F836">
        <f t="shared" si="27"/>
        <v>0</v>
      </c>
      <c r="G836" t="str">
        <f>IFERROR(VLOOKUP(A836,预留库存!A:G,7,0),0)</f>
        <v>No</v>
      </c>
      <c r="H836">
        <f>IFERROR(VLOOKUP(A836,预留库存!A:H,8,0),0)</f>
        <v>0</v>
      </c>
      <c r="I836">
        <f>IFERROR(VLOOKUP(A836,预留库存!A:F,6,0),0)</f>
        <v>22.98</v>
      </c>
      <c r="J836">
        <f>IFERROR(VLOOKUP(A836,库龄!B:K,9,0),0)</f>
        <v>1</v>
      </c>
      <c r="K836">
        <f>IFERROR(VLOOKUP(A836,库龄!B:L,10,0),0)</f>
        <v>0</v>
      </c>
      <c r="L836">
        <f>IFERROR(VLOOKUP(A836,库龄!B:M,11,0),0)</f>
        <v>2</v>
      </c>
      <c r="M836">
        <f>IFERROR(VLOOKUP(A836,库龄!B:N,12,0),0)</f>
        <v>0</v>
      </c>
      <c r="N836">
        <f t="shared" si="28"/>
        <v>3</v>
      </c>
    </row>
    <row r="837" spans="1:14">
      <c r="A837" s="3" t="s">
        <v>2216</v>
      </c>
      <c r="B837">
        <f>IFERROR(VLOOKUP(A837,管理亚马逊库存!A:K,11,0),"")</f>
        <v>15</v>
      </c>
      <c r="C837">
        <f>IFERROR(VLOOKUP(A837,管理亚马逊库存!A:L,12,0),"")</f>
        <v>0</v>
      </c>
      <c r="D837">
        <f>IFERROR(VLOOKUP(A837,管理亚马逊库存!A:Q,17,0),"")</f>
        <v>0</v>
      </c>
      <c r="E837">
        <f>IFERROR(VLOOKUP(A837,管理亚马逊库存!A:R,18,0),"")</f>
        <v>0</v>
      </c>
      <c r="F837">
        <f t="shared" si="27"/>
        <v>0</v>
      </c>
      <c r="G837" t="str">
        <f>IFERROR(VLOOKUP(A837,预留库存!A:G,7,0),0)</f>
        <v>No</v>
      </c>
      <c r="H837">
        <f>IFERROR(VLOOKUP(A837,预留库存!A:H,8,0),0)</f>
        <v>0</v>
      </c>
      <c r="I837">
        <f>IFERROR(VLOOKUP(A837,预留库存!A:F,6,0),0)</f>
        <v>22.98</v>
      </c>
      <c r="J837">
        <f>IFERROR(VLOOKUP(A837,库龄!B:K,9,0),0)</f>
        <v>4</v>
      </c>
      <c r="K837">
        <f>IFERROR(VLOOKUP(A837,库龄!B:L,10,0),0)</f>
        <v>0</v>
      </c>
      <c r="L837">
        <f>IFERROR(VLOOKUP(A837,库龄!B:M,11,0),0)</f>
        <v>0</v>
      </c>
      <c r="M837">
        <f>IFERROR(VLOOKUP(A837,库龄!B:N,12,0),0)</f>
        <v>0</v>
      </c>
      <c r="N837">
        <f t="shared" si="28"/>
        <v>4</v>
      </c>
    </row>
    <row r="838" spans="1:14">
      <c r="A838" s="3" t="s">
        <v>2219</v>
      </c>
      <c r="B838">
        <f>IFERROR(VLOOKUP(A838,管理亚马逊库存!A:K,11,0),"")</f>
        <v>10</v>
      </c>
      <c r="C838">
        <f>IFERROR(VLOOKUP(A838,管理亚马逊库存!A:L,12,0),"")</f>
        <v>0</v>
      </c>
      <c r="D838">
        <f>IFERROR(VLOOKUP(A838,管理亚马逊库存!A:Q,17,0),"")</f>
        <v>0</v>
      </c>
      <c r="E838">
        <f>IFERROR(VLOOKUP(A838,管理亚马逊库存!A:R,18,0),"")</f>
        <v>0</v>
      </c>
      <c r="F838">
        <f t="shared" si="27"/>
        <v>0</v>
      </c>
      <c r="G838" t="str">
        <f>IFERROR(VLOOKUP(A838,预留库存!A:G,7,0),0)</f>
        <v>No</v>
      </c>
      <c r="H838">
        <f>IFERROR(VLOOKUP(A838,预留库存!A:H,8,0),0)</f>
        <v>0</v>
      </c>
      <c r="I838">
        <f>IFERROR(VLOOKUP(A838,预留库存!A:F,6,0),0)</f>
        <v>22.98</v>
      </c>
      <c r="J838">
        <f>IFERROR(VLOOKUP(A838,库龄!B:K,9,0),0)</f>
        <v>7</v>
      </c>
      <c r="K838">
        <f>IFERROR(VLOOKUP(A838,库龄!B:L,10,0),0)</f>
        <v>0</v>
      </c>
      <c r="L838">
        <f>IFERROR(VLOOKUP(A838,库龄!B:M,11,0),0)</f>
        <v>0</v>
      </c>
      <c r="M838">
        <f>IFERROR(VLOOKUP(A838,库龄!B:N,12,0),0)</f>
        <v>0</v>
      </c>
      <c r="N838">
        <f t="shared" si="28"/>
        <v>7</v>
      </c>
    </row>
    <row r="839" spans="1:14">
      <c r="A839" s="3" t="s">
        <v>2222</v>
      </c>
      <c r="B839">
        <f>IFERROR(VLOOKUP(A839,管理亚马逊库存!A:K,11,0),"")</f>
        <v>24</v>
      </c>
      <c r="C839">
        <f>IFERROR(VLOOKUP(A839,管理亚马逊库存!A:L,12,0),"")</f>
        <v>0</v>
      </c>
      <c r="D839">
        <f>IFERROR(VLOOKUP(A839,管理亚马逊库存!A:Q,17,0),"")</f>
        <v>0</v>
      </c>
      <c r="E839">
        <f>IFERROR(VLOOKUP(A839,管理亚马逊库存!A:R,18,0),"")</f>
        <v>0</v>
      </c>
      <c r="F839">
        <f t="shared" si="27"/>
        <v>0</v>
      </c>
      <c r="G839" t="str">
        <f>IFERROR(VLOOKUP(A839,预留库存!A:G,7,0),0)</f>
        <v>No</v>
      </c>
      <c r="H839">
        <f>IFERROR(VLOOKUP(A839,预留库存!A:H,8,0),0)</f>
        <v>0</v>
      </c>
      <c r="I839">
        <f>IFERROR(VLOOKUP(A839,预留库存!A:F,6,0),0)</f>
        <v>22.98</v>
      </c>
      <c r="J839">
        <f>IFERROR(VLOOKUP(A839,库龄!B:K,9,0),0)</f>
        <v>9</v>
      </c>
      <c r="K839">
        <f>IFERROR(VLOOKUP(A839,库龄!B:L,10,0),0)</f>
        <v>0</v>
      </c>
      <c r="L839">
        <f>IFERROR(VLOOKUP(A839,库龄!B:M,11,0),0)</f>
        <v>0</v>
      </c>
      <c r="M839">
        <f>IFERROR(VLOOKUP(A839,库龄!B:N,12,0),0)</f>
        <v>0</v>
      </c>
      <c r="N839">
        <f t="shared" si="28"/>
        <v>9</v>
      </c>
    </row>
    <row r="840" spans="1:14">
      <c r="A840" s="3" t="s">
        <v>2225</v>
      </c>
      <c r="B840">
        <f>IFERROR(VLOOKUP(A840,管理亚马逊库存!A:K,11,0),"")</f>
        <v>29</v>
      </c>
      <c r="C840">
        <f>IFERROR(VLOOKUP(A840,管理亚马逊库存!A:L,12,0),"")</f>
        <v>0</v>
      </c>
      <c r="D840">
        <f>IFERROR(VLOOKUP(A840,管理亚马逊库存!A:Q,17,0),"")</f>
        <v>0</v>
      </c>
      <c r="E840">
        <f>IFERROR(VLOOKUP(A840,管理亚马逊库存!A:R,18,0),"")</f>
        <v>0</v>
      </c>
      <c r="F840">
        <f t="shared" si="27"/>
        <v>0</v>
      </c>
      <c r="G840" t="str">
        <f>IFERROR(VLOOKUP(A840,预留库存!A:G,7,0),0)</f>
        <v>No</v>
      </c>
      <c r="H840">
        <f>IFERROR(VLOOKUP(A840,预留库存!A:H,8,0),0)</f>
        <v>0</v>
      </c>
      <c r="I840">
        <f>IFERROR(VLOOKUP(A840,预留库存!A:F,6,0),0)</f>
        <v>22.98</v>
      </c>
      <c r="J840">
        <f>IFERROR(VLOOKUP(A840,库龄!B:K,9,0),0)</f>
        <v>7</v>
      </c>
      <c r="K840">
        <f>IFERROR(VLOOKUP(A840,库龄!B:L,10,0),0)</f>
        <v>11</v>
      </c>
      <c r="L840">
        <f>IFERROR(VLOOKUP(A840,库龄!B:M,11,0),0)</f>
        <v>0</v>
      </c>
      <c r="M840">
        <f>IFERROR(VLOOKUP(A840,库龄!B:N,12,0),0)</f>
        <v>0</v>
      </c>
      <c r="N840">
        <f t="shared" si="28"/>
        <v>18</v>
      </c>
    </row>
    <row r="841" spans="1:14">
      <c r="A841" s="3" t="s">
        <v>2228</v>
      </c>
      <c r="B841">
        <f>IFERROR(VLOOKUP(A841,管理亚马逊库存!A:K,11,0),"")</f>
        <v>11</v>
      </c>
      <c r="C841">
        <f>IFERROR(VLOOKUP(A841,管理亚马逊库存!A:L,12,0),"")</f>
        <v>0</v>
      </c>
      <c r="D841">
        <f>IFERROR(VLOOKUP(A841,管理亚马逊库存!A:Q,17,0),"")</f>
        <v>0</v>
      </c>
      <c r="E841">
        <f>IFERROR(VLOOKUP(A841,管理亚马逊库存!A:R,18,0),"")</f>
        <v>0</v>
      </c>
      <c r="F841">
        <f t="shared" si="27"/>
        <v>0</v>
      </c>
      <c r="G841" t="str">
        <f>IFERROR(VLOOKUP(A841,预留库存!A:G,7,0),0)</f>
        <v>No</v>
      </c>
      <c r="H841">
        <f>IFERROR(VLOOKUP(A841,预留库存!A:H,8,0),0)</f>
        <v>0</v>
      </c>
      <c r="I841">
        <f>IFERROR(VLOOKUP(A841,预留库存!A:F,6,0),0)</f>
        <v>22.98</v>
      </c>
      <c r="J841">
        <f>IFERROR(VLOOKUP(A841,库龄!B:K,9,0),0)</f>
        <v>0</v>
      </c>
      <c r="K841">
        <f>IFERROR(VLOOKUP(A841,库龄!B:L,10,0),0)</f>
        <v>9</v>
      </c>
      <c r="L841">
        <f>IFERROR(VLOOKUP(A841,库龄!B:M,11,0),0)</f>
        <v>0</v>
      </c>
      <c r="M841">
        <f>IFERROR(VLOOKUP(A841,库龄!B:N,12,0),0)</f>
        <v>0</v>
      </c>
      <c r="N841">
        <f t="shared" si="28"/>
        <v>9</v>
      </c>
    </row>
    <row r="842" spans="1:14">
      <c r="A842" s="3" t="s">
        <v>2231</v>
      </c>
      <c r="B842">
        <f>IFERROR(VLOOKUP(A842,管理亚马逊库存!A:K,11,0),"")</f>
        <v>13</v>
      </c>
      <c r="C842">
        <f>IFERROR(VLOOKUP(A842,管理亚马逊库存!A:L,12,0),"")</f>
        <v>0</v>
      </c>
      <c r="D842">
        <f>IFERROR(VLOOKUP(A842,管理亚马逊库存!A:Q,17,0),"")</f>
        <v>0</v>
      </c>
      <c r="E842">
        <f>IFERROR(VLOOKUP(A842,管理亚马逊库存!A:R,18,0),"")</f>
        <v>0</v>
      </c>
      <c r="F842">
        <f t="shared" si="27"/>
        <v>0</v>
      </c>
      <c r="G842" t="str">
        <f>IFERROR(VLOOKUP(A842,预留库存!A:G,7,0),0)</f>
        <v>No</v>
      </c>
      <c r="H842">
        <f>IFERROR(VLOOKUP(A842,预留库存!A:H,8,0),0)</f>
        <v>0</v>
      </c>
      <c r="I842">
        <f>IFERROR(VLOOKUP(A842,预留库存!A:F,6,0),0)</f>
        <v>22.98</v>
      </c>
      <c r="J842">
        <f>IFERROR(VLOOKUP(A842,库龄!B:K,9,0),0)</f>
        <v>8</v>
      </c>
      <c r="K842">
        <f>IFERROR(VLOOKUP(A842,库龄!B:L,10,0),0)</f>
        <v>0</v>
      </c>
      <c r="L842">
        <f>IFERROR(VLOOKUP(A842,库龄!B:M,11,0),0)</f>
        <v>0</v>
      </c>
      <c r="M842">
        <f>IFERROR(VLOOKUP(A842,库龄!B:N,12,0),0)</f>
        <v>0</v>
      </c>
      <c r="N842">
        <f t="shared" si="28"/>
        <v>8</v>
      </c>
    </row>
    <row r="843" spans="1:14">
      <c r="A843" s="3" t="s">
        <v>2234</v>
      </c>
      <c r="B843">
        <f>IFERROR(VLOOKUP(A843,管理亚马逊库存!A:K,11,0),"")</f>
        <v>21</v>
      </c>
      <c r="C843">
        <f>IFERROR(VLOOKUP(A843,管理亚马逊库存!A:L,12,0),"")</f>
        <v>0</v>
      </c>
      <c r="D843">
        <f>IFERROR(VLOOKUP(A843,管理亚马逊库存!A:Q,17,0),"")</f>
        <v>0</v>
      </c>
      <c r="E843">
        <f>IFERROR(VLOOKUP(A843,管理亚马逊库存!A:R,18,0),"")</f>
        <v>0</v>
      </c>
      <c r="F843">
        <f t="shared" si="27"/>
        <v>0</v>
      </c>
      <c r="G843" t="str">
        <f>IFERROR(VLOOKUP(A843,预留库存!A:G,7,0),0)</f>
        <v>No</v>
      </c>
      <c r="H843">
        <f>IFERROR(VLOOKUP(A843,预留库存!A:H,8,0),0)</f>
        <v>0</v>
      </c>
      <c r="I843">
        <f>IFERROR(VLOOKUP(A843,预留库存!A:F,6,0),0)</f>
        <v>39.98</v>
      </c>
      <c r="J843">
        <f>IFERROR(VLOOKUP(A843,库龄!B:K,9,0),0)</f>
        <v>20</v>
      </c>
      <c r="K843">
        <f>IFERROR(VLOOKUP(A843,库龄!B:L,10,0),0)</f>
        <v>0</v>
      </c>
      <c r="L843">
        <f>IFERROR(VLOOKUP(A843,库龄!B:M,11,0),0)</f>
        <v>0</v>
      </c>
      <c r="M843">
        <f>IFERROR(VLOOKUP(A843,库龄!B:N,12,0),0)</f>
        <v>0</v>
      </c>
      <c r="N843">
        <f t="shared" si="28"/>
        <v>20</v>
      </c>
    </row>
    <row r="844" spans="1:14">
      <c r="A844" s="3" t="s">
        <v>2237</v>
      </c>
      <c r="B844">
        <f>IFERROR(VLOOKUP(A844,管理亚马逊库存!A:K,11,0),"")</f>
        <v>29</v>
      </c>
      <c r="C844">
        <f>IFERROR(VLOOKUP(A844,管理亚马逊库存!A:L,12,0),"")</f>
        <v>0</v>
      </c>
      <c r="D844">
        <f>IFERROR(VLOOKUP(A844,管理亚马逊库存!A:Q,17,0),"")</f>
        <v>0</v>
      </c>
      <c r="E844">
        <f>IFERROR(VLOOKUP(A844,管理亚马逊库存!A:R,18,0),"")</f>
        <v>0</v>
      </c>
      <c r="F844">
        <f t="shared" si="27"/>
        <v>0</v>
      </c>
      <c r="G844" t="str">
        <f>IFERROR(VLOOKUP(A844,预留库存!A:G,7,0),0)</f>
        <v>No</v>
      </c>
      <c r="H844">
        <f>IFERROR(VLOOKUP(A844,预留库存!A:H,8,0),0)</f>
        <v>0</v>
      </c>
      <c r="I844">
        <f>IFERROR(VLOOKUP(A844,预留库存!A:F,6,0),0)</f>
        <v>39.98</v>
      </c>
      <c r="J844">
        <f>IFERROR(VLOOKUP(A844,库龄!B:K,9,0),0)</f>
        <v>6</v>
      </c>
      <c r="K844">
        <f>IFERROR(VLOOKUP(A844,库龄!B:L,10,0),0)</f>
        <v>22</v>
      </c>
      <c r="L844">
        <f>IFERROR(VLOOKUP(A844,库龄!B:M,11,0),0)</f>
        <v>0</v>
      </c>
      <c r="M844">
        <f>IFERROR(VLOOKUP(A844,库龄!B:N,12,0),0)</f>
        <v>0</v>
      </c>
      <c r="N844">
        <f t="shared" si="28"/>
        <v>28</v>
      </c>
    </row>
    <row r="845" spans="1:14">
      <c r="A845" s="3" t="s">
        <v>2240</v>
      </c>
      <c r="B845">
        <f>IFERROR(VLOOKUP(A845,管理亚马逊库存!A:K,11,0),"")</f>
        <v>13</v>
      </c>
      <c r="C845">
        <f>IFERROR(VLOOKUP(A845,管理亚马逊库存!A:L,12,0),"")</f>
        <v>1</v>
      </c>
      <c r="D845">
        <f>IFERROR(VLOOKUP(A845,管理亚马逊库存!A:Q,17,0),"")</f>
        <v>0</v>
      </c>
      <c r="E845">
        <f>IFERROR(VLOOKUP(A845,管理亚马逊库存!A:R,18,0),"")</f>
        <v>0</v>
      </c>
      <c r="F845">
        <f t="shared" si="27"/>
        <v>0</v>
      </c>
      <c r="G845" t="str">
        <f>IFERROR(VLOOKUP(A845,预留库存!A:G,7,0),0)</f>
        <v>No</v>
      </c>
      <c r="H845">
        <f>IFERROR(VLOOKUP(A845,预留库存!A:H,8,0),0)</f>
        <v>0</v>
      </c>
      <c r="I845">
        <f>IFERROR(VLOOKUP(A845,预留库存!A:F,6,0),0)</f>
        <v>39.98</v>
      </c>
      <c r="J845">
        <f>IFERROR(VLOOKUP(A845,库龄!B:K,9,0),0)</f>
        <v>0</v>
      </c>
      <c r="K845">
        <f>IFERROR(VLOOKUP(A845,库龄!B:L,10,0),0)</f>
        <v>2</v>
      </c>
      <c r="L845">
        <f>IFERROR(VLOOKUP(A845,库龄!B:M,11,0),0)</f>
        <v>10</v>
      </c>
      <c r="M845">
        <f>IFERROR(VLOOKUP(A845,库龄!B:N,12,0),0)</f>
        <v>0</v>
      </c>
      <c r="N845">
        <f t="shared" si="28"/>
        <v>12</v>
      </c>
    </row>
    <row r="846" spans="1:14">
      <c r="A846" s="3" t="s">
        <v>2243</v>
      </c>
      <c r="B846">
        <f>IFERROR(VLOOKUP(A846,管理亚马逊库存!A:K,11,0),"")</f>
        <v>0</v>
      </c>
      <c r="C846">
        <f>IFERROR(VLOOKUP(A846,管理亚马逊库存!A:L,12,0),"")</f>
        <v>0</v>
      </c>
      <c r="D846">
        <f>IFERROR(VLOOKUP(A846,管理亚马逊库存!A:Q,17,0),"")</f>
        <v>0</v>
      </c>
      <c r="E846">
        <f>IFERROR(VLOOKUP(A846,管理亚马逊库存!A:R,18,0),"")</f>
        <v>0</v>
      </c>
      <c r="F846">
        <f t="shared" si="27"/>
        <v>0</v>
      </c>
      <c r="G846" t="str">
        <f>IFERROR(VLOOKUP(A846,预留库存!A:G,7,0),0)</f>
        <v>No</v>
      </c>
      <c r="H846">
        <f>IFERROR(VLOOKUP(A846,预留库存!A:H,8,0),0)</f>
        <v>0</v>
      </c>
      <c r="I846">
        <f>IFERROR(VLOOKUP(A846,预留库存!A:F,6,0),0)</f>
        <v>39.98</v>
      </c>
      <c r="J846">
        <f>IFERROR(VLOOKUP(A846,库龄!B:K,9,0),0)</f>
        <v>0</v>
      </c>
      <c r="K846">
        <f>IFERROR(VLOOKUP(A846,库龄!B:L,10,0),0)</f>
        <v>0</v>
      </c>
      <c r="L846">
        <f>IFERROR(VLOOKUP(A846,库龄!B:M,11,0),0)</f>
        <v>0</v>
      </c>
      <c r="M846">
        <f>IFERROR(VLOOKUP(A846,库龄!B:N,12,0),0)</f>
        <v>0</v>
      </c>
      <c r="N846">
        <f t="shared" si="28"/>
        <v>0</v>
      </c>
    </row>
    <row r="847" spans="1:14">
      <c r="A847" s="3" t="s">
        <v>2246</v>
      </c>
      <c r="B847">
        <f>IFERROR(VLOOKUP(A847,管理亚马逊库存!A:K,11,0),"")</f>
        <v>2</v>
      </c>
      <c r="C847">
        <f>IFERROR(VLOOKUP(A847,管理亚马逊库存!A:L,12,0),"")</f>
        <v>0</v>
      </c>
      <c r="D847">
        <f>IFERROR(VLOOKUP(A847,管理亚马逊库存!A:Q,17,0),"")</f>
        <v>0</v>
      </c>
      <c r="E847">
        <f>IFERROR(VLOOKUP(A847,管理亚马逊库存!A:R,18,0),"")</f>
        <v>0</v>
      </c>
      <c r="F847">
        <f t="shared" si="27"/>
        <v>0</v>
      </c>
      <c r="G847">
        <f>IFERROR(VLOOKUP(A847,预留库存!A:G,7,0),0)</f>
        <v>0</v>
      </c>
      <c r="H847">
        <f>IFERROR(VLOOKUP(A847,预留库存!A:H,8,0),0)</f>
        <v>0</v>
      </c>
      <c r="I847">
        <f>IFERROR(VLOOKUP(A847,预留库存!A:F,6,0),0)</f>
        <v>0</v>
      </c>
      <c r="J847">
        <f>IFERROR(VLOOKUP(A847,库龄!B:K,9,0),0)</f>
        <v>2</v>
      </c>
      <c r="K847">
        <f>IFERROR(VLOOKUP(A847,库龄!B:L,10,0),0)</f>
        <v>0</v>
      </c>
      <c r="L847">
        <f>IFERROR(VLOOKUP(A847,库龄!B:M,11,0),0)</f>
        <v>0</v>
      </c>
      <c r="M847">
        <f>IFERROR(VLOOKUP(A847,库龄!B:N,12,0),0)</f>
        <v>0</v>
      </c>
      <c r="N847">
        <f t="shared" si="28"/>
        <v>2</v>
      </c>
    </row>
    <row r="848" spans="1:14">
      <c r="A848" s="3" t="s">
        <v>2248</v>
      </c>
      <c r="B848">
        <f>IFERROR(VLOOKUP(A848,管理亚马逊库存!A:K,11,0),"")</f>
        <v>1</v>
      </c>
      <c r="C848">
        <f>IFERROR(VLOOKUP(A848,管理亚马逊库存!A:L,12,0),"")</f>
        <v>0</v>
      </c>
      <c r="D848">
        <f>IFERROR(VLOOKUP(A848,管理亚马逊库存!A:Q,17,0),"")</f>
        <v>0</v>
      </c>
      <c r="E848">
        <f>IFERROR(VLOOKUP(A848,管理亚马逊库存!A:R,18,0),"")</f>
        <v>0</v>
      </c>
      <c r="F848">
        <f t="shared" si="27"/>
        <v>0</v>
      </c>
      <c r="G848" t="str">
        <f>IFERROR(VLOOKUP(A848,预留库存!A:G,7,0),0)</f>
        <v>No</v>
      </c>
      <c r="H848">
        <f>IFERROR(VLOOKUP(A848,预留库存!A:H,8,0),0)</f>
        <v>0</v>
      </c>
      <c r="I848">
        <f>IFERROR(VLOOKUP(A848,预留库存!A:F,6,0),0)</f>
        <v>24.98</v>
      </c>
      <c r="J848">
        <f>IFERROR(VLOOKUP(A848,库龄!B:K,9,0),0)</f>
        <v>0</v>
      </c>
      <c r="K848">
        <f>IFERROR(VLOOKUP(A848,库龄!B:L,10,0),0)</f>
        <v>0</v>
      </c>
      <c r="L848">
        <f>IFERROR(VLOOKUP(A848,库龄!B:M,11,0),0)</f>
        <v>0</v>
      </c>
      <c r="M848">
        <f>IFERROR(VLOOKUP(A848,库龄!B:N,12,0),0)</f>
        <v>0</v>
      </c>
      <c r="N848">
        <f t="shared" si="28"/>
        <v>0</v>
      </c>
    </row>
    <row r="849" spans="1:14">
      <c r="A849" s="3" t="s">
        <v>2251</v>
      </c>
      <c r="B849">
        <f>IFERROR(VLOOKUP(A849,管理亚马逊库存!A:K,11,0),"")</f>
        <v>17</v>
      </c>
      <c r="C849">
        <f>IFERROR(VLOOKUP(A849,管理亚马逊库存!A:L,12,0),"")</f>
        <v>0</v>
      </c>
      <c r="D849">
        <f>IFERROR(VLOOKUP(A849,管理亚马逊库存!A:Q,17,0),"")</f>
        <v>0</v>
      </c>
      <c r="E849">
        <f>IFERROR(VLOOKUP(A849,管理亚马逊库存!A:R,18,0),"")</f>
        <v>0</v>
      </c>
      <c r="F849">
        <f t="shared" si="27"/>
        <v>0</v>
      </c>
      <c r="G849" t="str">
        <f>IFERROR(VLOOKUP(A849,预留库存!A:G,7,0),0)</f>
        <v>No</v>
      </c>
      <c r="H849">
        <f>IFERROR(VLOOKUP(A849,预留库存!A:H,8,0),0)</f>
        <v>0</v>
      </c>
      <c r="I849">
        <f>IFERROR(VLOOKUP(A849,预留库存!A:F,6,0),0)</f>
        <v>39.98</v>
      </c>
      <c r="J849">
        <f>IFERROR(VLOOKUP(A849,库龄!B:K,9,0),0)</f>
        <v>0</v>
      </c>
      <c r="K849">
        <f>IFERROR(VLOOKUP(A849,库龄!B:L,10,0),0)</f>
        <v>15</v>
      </c>
      <c r="L849">
        <f>IFERROR(VLOOKUP(A849,库龄!B:M,11,0),0)</f>
        <v>0</v>
      </c>
      <c r="M849">
        <f>IFERROR(VLOOKUP(A849,库龄!B:N,12,0),0)</f>
        <v>0</v>
      </c>
      <c r="N849">
        <f t="shared" si="28"/>
        <v>15</v>
      </c>
    </row>
    <row r="850" spans="1:14">
      <c r="A850" s="3" t="s">
        <v>2252</v>
      </c>
      <c r="B850">
        <f>IFERROR(VLOOKUP(A850,管理亚马逊库存!A:K,11,0),"")</f>
        <v>0</v>
      </c>
      <c r="C850">
        <f>IFERROR(VLOOKUP(A850,管理亚马逊库存!A:L,12,0),"")</f>
        <v>0</v>
      </c>
      <c r="D850">
        <f>IFERROR(VLOOKUP(A850,管理亚马逊库存!A:Q,17,0),"")</f>
        <v>0</v>
      </c>
      <c r="E850">
        <f>IFERROR(VLOOKUP(A850,管理亚马逊库存!A:R,18,0),"")</f>
        <v>0</v>
      </c>
      <c r="F850">
        <f t="shared" si="27"/>
        <v>0</v>
      </c>
      <c r="G850" t="str">
        <f>IFERROR(VLOOKUP(A850,预留库存!A:G,7,0),0)</f>
        <v>No</v>
      </c>
      <c r="H850">
        <f>IFERROR(VLOOKUP(A850,预留库存!A:H,8,0),0)</f>
        <v>0</v>
      </c>
      <c r="I850">
        <f>IFERROR(VLOOKUP(A850,预留库存!A:F,6,0),0)</f>
        <v>24.98</v>
      </c>
      <c r="J850">
        <f>IFERROR(VLOOKUP(A850,库龄!B:K,9,0),0)</f>
        <v>0</v>
      </c>
      <c r="K850">
        <f>IFERROR(VLOOKUP(A850,库龄!B:L,10,0),0)</f>
        <v>0</v>
      </c>
      <c r="L850">
        <f>IFERROR(VLOOKUP(A850,库龄!B:M,11,0),0)</f>
        <v>0</v>
      </c>
      <c r="M850">
        <f>IFERROR(VLOOKUP(A850,库龄!B:N,12,0),0)</f>
        <v>0</v>
      </c>
      <c r="N850">
        <f t="shared" si="28"/>
        <v>0</v>
      </c>
    </row>
    <row r="851" spans="1:14">
      <c r="A851" s="3" t="s">
        <v>2253</v>
      </c>
      <c r="B851">
        <f>IFERROR(VLOOKUP(A851,管理亚马逊库存!A:K,11,0),"")</f>
        <v>0</v>
      </c>
      <c r="C851">
        <f>IFERROR(VLOOKUP(A851,管理亚马逊库存!A:L,12,0),"")</f>
        <v>0</v>
      </c>
      <c r="D851">
        <f>IFERROR(VLOOKUP(A851,管理亚马逊库存!A:Q,17,0),"")</f>
        <v>0</v>
      </c>
      <c r="E851">
        <f>IFERROR(VLOOKUP(A851,管理亚马逊库存!A:R,18,0),"")</f>
        <v>0</v>
      </c>
      <c r="F851">
        <f t="shared" si="27"/>
        <v>0</v>
      </c>
      <c r="G851" t="str">
        <f>IFERROR(VLOOKUP(A851,预留库存!A:G,7,0),0)</f>
        <v>No</v>
      </c>
      <c r="H851">
        <f>IFERROR(VLOOKUP(A851,预留库存!A:H,8,0),0)</f>
        <v>0</v>
      </c>
      <c r="I851">
        <f>IFERROR(VLOOKUP(A851,预留库存!A:F,6,0),0)</f>
        <v>24.98</v>
      </c>
      <c r="J851">
        <f>IFERROR(VLOOKUP(A851,库龄!B:K,9,0),0)</f>
        <v>0</v>
      </c>
      <c r="K851">
        <f>IFERROR(VLOOKUP(A851,库龄!B:L,10,0),0)</f>
        <v>0</v>
      </c>
      <c r="L851">
        <f>IFERROR(VLOOKUP(A851,库龄!B:M,11,0),0)</f>
        <v>0</v>
      </c>
      <c r="M851">
        <f>IFERROR(VLOOKUP(A851,库龄!B:N,12,0),0)</f>
        <v>0</v>
      </c>
      <c r="N851">
        <f t="shared" si="28"/>
        <v>0</v>
      </c>
    </row>
    <row r="852" spans="1:14">
      <c r="A852" s="3" t="s">
        <v>2256</v>
      </c>
      <c r="B852">
        <f>IFERROR(VLOOKUP(A852,管理亚马逊库存!A:K,11,0),"")</f>
        <v>1</v>
      </c>
      <c r="C852">
        <f>IFERROR(VLOOKUP(A852,管理亚马逊库存!A:L,12,0),"")</f>
        <v>0</v>
      </c>
      <c r="D852">
        <f>IFERROR(VLOOKUP(A852,管理亚马逊库存!A:Q,17,0),"")</f>
        <v>0</v>
      </c>
      <c r="E852">
        <f>IFERROR(VLOOKUP(A852,管理亚马逊库存!A:R,18,0),"")</f>
        <v>0</v>
      </c>
      <c r="F852">
        <f t="shared" si="27"/>
        <v>0</v>
      </c>
      <c r="G852" t="str">
        <f>IFERROR(VLOOKUP(A852,预留库存!A:G,7,0),0)</f>
        <v>Yes</v>
      </c>
      <c r="H852">
        <f>IFERROR(VLOOKUP(A852,预留库存!A:H,8,0),0)</f>
        <v>0</v>
      </c>
      <c r="I852">
        <f>IFERROR(VLOOKUP(A852,预留库存!A:F,6,0),0)</f>
        <v>24.98</v>
      </c>
      <c r="J852">
        <f>IFERROR(VLOOKUP(A852,库龄!B:K,9,0),0)</f>
        <v>0</v>
      </c>
      <c r="K852">
        <f>IFERROR(VLOOKUP(A852,库龄!B:L,10,0),0)</f>
        <v>0</v>
      </c>
      <c r="L852">
        <f>IFERROR(VLOOKUP(A852,库龄!B:M,11,0),0)</f>
        <v>0</v>
      </c>
      <c r="M852">
        <f>IFERROR(VLOOKUP(A852,库龄!B:N,12,0),0)</f>
        <v>0</v>
      </c>
      <c r="N852">
        <f t="shared" si="28"/>
        <v>0</v>
      </c>
    </row>
    <row r="853" spans="1:14">
      <c r="A853" s="3" t="s">
        <v>2257</v>
      </c>
      <c r="B853">
        <f>IFERROR(VLOOKUP(A853,管理亚马逊库存!A:K,11,0),"")</f>
        <v>0</v>
      </c>
      <c r="C853">
        <f>IFERROR(VLOOKUP(A853,管理亚马逊库存!A:L,12,0),"")</f>
        <v>0</v>
      </c>
      <c r="D853">
        <f>IFERROR(VLOOKUP(A853,管理亚马逊库存!A:Q,17,0),"")</f>
        <v>0</v>
      </c>
      <c r="E853">
        <f>IFERROR(VLOOKUP(A853,管理亚马逊库存!A:R,18,0),"")</f>
        <v>0</v>
      </c>
      <c r="F853">
        <f t="shared" si="27"/>
        <v>0</v>
      </c>
      <c r="G853">
        <f>IFERROR(VLOOKUP(A853,预留库存!A:G,7,0),0)</f>
        <v>0</v>
      </c>
      <c r="H853">
        <f>IFERROR(VLOOKUP(A853,预留库存!A:H,8,0),0)</f>
        <v>0</v>
      </c>
      <c r="I853">
        <f>IFERROR(VLOOKUP(A853,预留库存!A:F,6,0),0)</f>
        <v>0</v>
      </c>
      <c r="J853">
        <f>IFERROR(VLOOKUP(A853,库龄!B:K,9,0),0)</f>
        <v>0</v>
      </c>
      <c r="K853">
        <f>IFERROR(VLOOKUP(A853,库龄!B:L,10,0),0)</f>
        <v>0</v>
      </c>
      <c r="L853">
        <f>IFERROR(VLOOKUP(A853,库龄!B:M,11,0),0)</f>
        <v>0</v>
      </c>
      <c r="M853">
        <f>IFERROR(VLOOKUP(A853,库龄!B:N,12,0),0)</f>
        <v>0</v>
      </c>
      <c r="N853">
        <f t="shared" si="28"/>
        <v>0</v>
      </c>
    </row>
    <row r="854" spans="1:14">
      <c r="A854" s="3" t="s">
        <v>2259</v>
      </c>
      <c r="B854">
        <f>IFERROR(VLOOKUP(A854,管理亚马逊库存!A:K,11,0),"")</f>
        <v>37</v>
      </c>
      <c r="C854">
        <f>IFERROR(VLOOKUP(A854,管理亚马逊库存!A:L,12,0),"")</f>
        <v>0</v>
      </c>
      <c r="D854">
        <f>IFERROR(VLOOKUP(A854,管理亚马逊库存!A:Q,17,0),"")</f>
        <v>0</v>
      </c>
      <c r="E854">
        <f>IFERROR(VLOOKUP(A854,管理亚马逊库存!A:R,18,0),"")</f>
        <v>0</v>
      </c>
      <c r="F854">
        <f t="shared" si="27"/>
        <v>0</v>
      </c>
      <c r="G854" t="str">
        <f>IFERROR(VLOOKUP(A854,预留库存!A:G,7,0),0)</f>
        <v>No</v>
      </c>
      <c r="H854">
        <f>IFERROR(VLOOKUP(A854,预留库存!A:H,8,0),0)</f>
        <v>0</v>
      </c>
      <c r="I854">
        <f>IFERROR(VLOOKUP(A854,预留库存!A:F,6,0),0)</f>
        <v>39.98</v>
      </c>
      <c r="J854">
        <f>IFERROR(VLOOKUP(A854,库龄!B:K,9,0),0)</f>
        <v>17</v>
      </c>
      <c r="K854">
        <f>IFERROR(VLOOKUP(A854,库龄!B:L,10,0),0)</f>
        <v>0</v>
      </c>
      <c r="L854">
        <f>IFERROR(VLOOKUP(A854,库龄!B:M,11,0),0)</f>
        <v>0</v>
      </c>
      <c r="M854">
        <f>IFERROR(VLOOKUP(A854,库龄!B:N,12,0),0)</f>
        <v>0</v>
      </c>
      <c r="N854">
        <f t="shared" si="28"/>
        <v>17</v>
      </c>
    </row>
    <row r="855" spans="1:14">
      <c r="A855" s="3" t="s">
        <v>2262</v>
      </c>
      <c r="B855">
        <f>IFERROR(VLOOKUP(A855,管理亚马逊库存!A:K,11,0),"")</f>
        <v>1</v>
      </c>
      <c r="C855">
        <f>IFERROR(VLOOKUP(A855,管理亚马逊库存!A:L,12,0),"")</f>
        <v>0</v>
      </c>
      <c r="D855">
        <f>IFERROR(VLOOKUP(A855,管理亚马逊库存!A:Q,17,0),"")</f>
        <v>0</v>
      </c>
      <c r="E855">
        <f>IFERROR(VLOOKUP(A855,管理亚马逊库存!A:R,18,0),"")</f>
        <v>0</v>
      </c>
      <c r="F855">
        <f t="shared" si="27"/>
        <v>0</v>
      </c>
      <c r="G855" t="str">
        <f>IFERROR(VLOOKUP(A855,预留库存!A:G,7,0),0)</f>
        <v>Yes</v>
      </c>
      <c r="H855">
        <f>IFERROR(VLOOKUP(A855,预留库存!A:H,8,0),0)</f>
        <v>0</v>
      </c>
      <c r="I855">
        <f>IFERROR(VLOOKUP(A855,预留库存!A:F,6,0),0)</f>
        <v>39.98</v>
      </c>
      <c r="J855">
        <f>IFERROR(VLOOKUP(A855,库龄!B:K,9,0),0)</f>
        <v>0</v>
      </c>
      <c r="K855">
        <f>IFERROR(VLOOKUP(A855,库龄!B:L,10,0),0)</f>
        <v>0</v>
      </c>
      <c r="L855">
        <f>IFERROR(VLOOKUP(A855,库龄!B:M,11,0),0)</f>
        <v>0</v>
      </c>
      <c r="M855">
        <f>IFERROR(VLOOKUP(A855,库龄!B:N,12,0),0)</f>
        <v>0</v>
      </c>
      <c r="N855">
        <f t="shared" si="28"/>
        <v>0</v>
      </c>
    </row>
    <row r="856" spans="1:14">
      <c r="A856" s="3" t="s">
        <v>2265</v>
      </c>
      <c r="B856">
        <f>IFERROR(VLOOKUP(A856,管理亚马逊库存!A:K,11,0),"")</f>
        <v>16</v>
      </c>
      <c r="C856">
        <f>IFERROR(VLOOKUP(A856,管理亚马逊库存!A:L,12,0),"")</f>
        <v>0</v>
      </c>
      <c r="D856">
        <f>IFERROR(VLOOKUP(A856,管理亚马逊库存!A:Q,17,0),"")</f>
        <v>0</v>
      </c>
      <c r="E856">
        <f>IFERROR(VLOOKUP(A856,管理亚马逊库存!A:R,18,0),"")</f>
        <v>0</v>
      </c>
      <c r="F856">
        <f t="shared" si="27"/>
        <v>0</v>
      </c>
      <c r="G856" t="str">
        <f>IFERROR(VLOOKUP(A856,预留库存!A:G,7,0),0)</f>
        <v>No</v>
      </c>
      <c r="H856">
        <f>IFERROR(VLOOKUP(A856,预留库存!A:H,8,0),0)</f>
        <v>0</v>
      </c>
      <c r="I856">
        <f>IFERROR(VLOOKUP(A856,预留库存!A:F,6,0),0)</f>
        <v>39.98</v>
      </c>
      <c r="J856">
        <f>IFERROR(VLOOKUP(A856,库龄!B:K,9,0),0)</f>
        <v>0</v>
      </c>
      <c r="K856">
        <f>IFERROR(VLOOKUP(A856,库龄!B:L,10,0),0)</f>
        <v>3</v>
      </c>
      <c r="L856">
        <f>IFERROR(VLOOKUP(A856,库龄!B:M,11,0),0)</f>
        <v>12</v>
      </c>
      <c r="M856">
        <f>IFERROR(VLOOKUP(A856,库龄!B:N,12,0),0)</f>
        <v>0</v>
      </c>
      <c r="N856">
        <f t="shared" si="28"/>
        <v>15</v>
      </c>
    </row>
    <row r="857" spans="1:14">
      <c r="A857" s="3" t="s">
        <v>2268</v>
      </c>
      <c r="B857">
        <f>IFERROR(VLOOKUP(A857,管理亚马逊库存!A:K,11,0),"")</f>
        <v>0</v>
      </c>
      <c r="C857">
        <f>IFERROR(VLOOKUP(A857,管理亚马逊库存!A:L,12,0),"")</f>
        <v>0</v>
      </c>
      <c r="D857">
        <f>IFERROR(VLOOKUP(A857,管理亚马逊库存!A:Q,17,0),"")</f>
        <v>0</v>
      </c>
      <c r="E857">
        <f>IFERROR(VLOOKUP(A857,管理亚马逊库存!A:R,18,0),"")</f>
        <v>0</v>
      </c>
      <c r="F857">
        <f t="shared" si="27"/>
        <v>0</v>
      </c>
      <c r="G857" t="str">
        <f>IFERROR(VLOOKUP(A857,预留库存!A:G,7,0),0)</f>
        <v>No</v>
      </c>
      <c r="H857">
        <f>IFERROR(VLOOKUP(A857,预留库存!A:H,8,0),0)</f>
        <v>0</v>
      </c>
      <c r="I857">
        <f>IFERROR(VLOOKUP(A857,预留库存!A:F,6,0),0)</f>
        <v>39.98</v>
      </c>
      <c r="J857">
        <f>IFERROR(VLOOKUP(A857,库龄!B:K,9,0),0)</f>
        <v>0</v>
      </c>
      <c r="K857">
        <f>IFERROR(VLOOKUP(A857,库龄!B:L,10,0),0)</f>
        <v>0</v>
      </c>
      <c r="L857">
        <f>IFERROR(VLOOKUP(A857,库龄!B:M,11,0),0)</f>
        <v>0</v>
      </c>
      <c r="M857">
        <f>IFERROR(VLOOKUP(A857,库龄!B:N,12,0),0)</f>
        <v>0</v>
      </c>
      <c r="N857">
        <f t="shared" si="28"/>
        <v>0</v>
      </c>
    </row>
    <row r="858" spans="1:14">
      <c r="A858" s="3" t="s">
        <v>2271</v>
      </c>
      <c r="B858">
        <f>IFERROR(VLOOKUP(A858,管理亚马逊库存!A:K,11,0),"")</f>
        <v>1</v>
      </c>
      <c r="C858">
        <f>IFERROR(VLOOKUP(A858,管理亚马逊库存!A:L,12,0),"")</f>
        <v>0</v>
      </c>
      <c r="D858">
        <f>IFERROR(VLOOKUP(A858,管理亚马逊库存!A:Q,17,0),"")</f>
        <v>0</v>
      </c>
      <c r="E858">
        <f>IFERROR(VLOOKUP(A858,管理亚马逊库存!A:R,18,0),"")</f>
        <v>0</v>
      </c>
      <c r="F858">
        <f t="shared" si="27"/>
        <v>0</v>
      </c>
      <c r="G858" t="str">
        <f>IFERROR(VLOOKUP(A858,预留库存!A:G,7,0),0)</f>
        <v>No</v>
      </c>
      <c r="H858">
        <f>IFERROR(VLOOKUP(A858,预留库存!A:H,8,0),0)</f>
        <v>0</v>
      </c>
      <c r="I858">
        <f>IFERROR(VLOOKUP(A858,预留库存!A:F,6,0),0)</f>
        <v>23.98</v>
      </c>
      <c r="J858">
        <f>IFERROR(VLOOKUP(A858,库龄!B:K,9,0),0)</f>
        <v>1</v>
      </c>
      <c r="K858">
        <f>IFERROR(VLOOKUP(A858,库龄!B:L,10,0),0)</f>
        <v>0</v>
      </c>
      <c r="L858">
        <f>IFERROR(VLOOKUP(A858,库龄!B:M,11,0),0)</f>
        <v>0</v>
      </c>
      <c r="M858">
        <f>IFERROR(VLOOKUP(A858,库龄!B:N,12,0),0)</f>
        <v>0</v>
      </c>
      <c r="N858">
        <f t="shared" si="28"/>
        <v>1</v>
      </c>
    </row>
    <row r="859" spans="1:14">
      <c r="A859" s="3" t="s">
        <v>2274</v>
      </c>
      <c r="B859">
        <f>IFERROR(VLOOKUP(A859,管理亚马逊库存!A:K,11,0),"")</f>
        <v>11</v>
      </c>
      <c r="C859">
        <f>IFERROR(VLOOKUP(A859,管理亚马逊库存!A:L,12,0),"")</f>
        <v>0</v>
      </c>
      <c r="D859">
        <f>IFERROR(VLOOKUP(A859,管理亚马逊库存!A:Q,17,0),"")</f>
        <v>0</v>
      </c>
      <c r="E859">
        <f>IFERROR(VLOOKUP(A859,管理亚马逊库存!A:R,18,0),"")</f>
        <v>0</v>
      </c>
      <c r="F859">
        <f t="shared" si="27"/>
        <v>0</v>
      </c>
      <c r="G859" t="str">
        <f>IFERROR(VLOOKUP(A859,预留库存!A:G,7,0),0)</f>
        <v>No</v>
      </c>
      <c r="H859">
        <f>IFERROR(VLOOKUP(A859,预留库存!A:H,8,0),0)</f>
        <v>0</v>
      </c>
      <c r="I859">
        <f>IFERROR(VLOOKUP(A859,预留库存!A:F,6,0),0)</f>
        <v>39.98</v>
      </c>
      <c r="J859">
        <f>IFERROR(VLOOKUP(A859,库龄!B:K,9,0),0)</f>
        <v>0</v>
      </c>
      <c r="K859">
        <f>IFERROR(VLOOKUP(A859,库龄!B:L,10,0),0)</f>
        <v>0</v>
      </c>
      <c r="L859">
        <f>IFERROR(VLOOKUP(A859,库龄!B:M,11,0),0)</f>
        <v>0</v>
      </c>
      <c r="M859">
        <f>IFERROR(VLOOKUP(A859,库龄!B:N,12,0),0)</f>
        <v>0</v>
      </c>
      <c r="N859">
        <f t="shared" si="28"/>
        <v>0</v>
      </c>
    </row>
    <row r="860" spans="1:14">
      <c r="A860" s="3" t="s">
        <v>2277</v>
      </c>
      <c r="B860">
        <f>IFERROR(VLOOKUP(A860,管理亚马逊库存!A:K,11,0),"")</f>
        <v>26</v>
      </c>
      <c r="C860">
        <f>IFERROR(VLOOKUP(A860,管理亚马逊库存!A:L,12,0),"")</f>
        <v>0</v>
      </c>
      <c r="D860">
        <f>IFERROR(VLOOKUP(A860,管理亚马逊库存!A:Q,17,0),"")</f>
        <v>0</v>
      </c>
      <c r="E860">
        <f>IFERROR(VLOOKUP(A860,管理亚马逊库存!A:R,18,0),"")</f>
        <v>0</v>
      </c>
      <c r="F860">
        <f t="shared" si="27"/>
        <v>0</v>
      </c>
      <c r="G860" t="str">
        <f>IFERROR(VLOOKUP(A860,预留库存!A:G,7,0),0)</f>
        <v>No</v>
      </c>
      <c r="H860">
        <f>IFERROR(VLOOKUP(A860,预留库存!A:H,8,0),0)</f>
        <v>0</v>
      </c>
      <c r="I860">
        <f>IFERROR(VLOOKUP(A860,预留库存!A:F,6,0),0)</f>
        <v>39.98</v>
      </c>
      <c r="J860">
        <f>IFERROR(VLOOKUP(A860,库龄!B:K,9,0),0)</f>
        <v>0</v>
      </c>
      <c r="K860">
        <f>IFERROR(VLOOKUP(A860,库龄!B:L,10,0),0)</f>
        <v>0</v>
      </c>
      <c r="L860">
        <f>IFERROR(VLOOKUP(A860,库龄!B:M,11,0),0)</f>
        <v>0</v>
      </c>
      <c r="M860">
        <f>IFERROR(VLOOKUP(A860,库龄!B:N,12,0),0)</f>
        <v>0</v>
      </c>
      <c r="N860">
        <f t="shared" si="28"/>
        <v>0</v>
      </c>
    </row>
    <row r="861" spans="1:14">
      <c r="A861" s="3" t="s">
        <v>2280</v>
      </c>
      <c r="B861">
        <f>IFERROR(VLOOKUP(A861,管理亚马逊库存!A:K,11,0),"")</f>
        <v>42</v>
      </c>
      <c r="C861">
        <f>IFERROR(VLOOKUP(A861,管理亚马逊库存!A:L,12,0),"")</f>
        <v>0</v>
      </c>
      <c r="D861">
        <f>IFERROR(VLOOKUP(A861,管理亚马逊库存!A:Q,17,0),"")</f>
        <v>0</v>
      </c>
      <c r="E861">
        <f>IFERROR(VLOOKUP(A861,管理亚马逊库存!A:R,18,0),"")</f>
        <v>0</v>
      </c>
      <c r="F861">
        <f t="shared" si="27"/>
        <v>0</v>
      </c>
      <c r="G861" t="str">
        <f>IFERROR(VLOOKUP(A861,预留库存!A:G,7,0),0)</f>
        <v>No</v>
      </c>
      <c r="H861">
        <f>IFERROR(VLOOKUP(A861,预留库存!A:H,8,0),0)</f>
        <v>0</v>
      </c>
      <c r="I861">
        <f>IFERROR(VLOOKUP(A861,预留库存!A:F,6,0),0)</f>
        <v>39.98</v>
      </c>
      <c r="J861">
        <f>IFERROR(VLOOKUP(A861,库龄!B:K,9,0),0)</f>
        <v>0</v>
      </c>
      <c r="K861">
        <f>IFERROR(VLOOKUP(A861,库龄!B:L,10,0),0)</f>
        <v>0</v>
      </c>
      <c r="L861">
        <f>IFERROR(VLOOKUP(A861,库龄!B:M,11,0),0)</f>
        <v>0</v>
      </c>
      <c r="M861">
        <f>IFERROR(VLOOKUP(A861,库龄!B:N,12,0),0)</f>
        <v>0</v>
      </c>
      <c r="N861">
        <f t="shared" si="28"/>
        <v>0</v>
      </c>
    </row>
    <row r="862" spans="1:14">
      <c r="A862" s="3" t="s">
        <v>2283</v>
      </c>
      <c r="B862">
        <f>IFERROR(VLOOKUP(A862,管理亚马逊库存!A:K,11,0),"")</f>
        <v>3</v>
      </c>
      <c r="C862">
        <f>IFERROR(VLOOKUP(A862,管理亚马逊库存!A:L,12,0),"")</f>
        <v>0</v>
      </c>
      <c r="D862">
        <f>IFERROR(VLOOKUP(A862,管理亚马逊库存!A:Q,17,0),"")</f>
        <v>0</v>
      </c>
      <c r="E862">
        <f>IFERROR(VLOOKUP(A862,管理亚马逊库存!A:R,18,0),"")</f>
        <v>0</v>
      </c>
      <c r="F862">
        <f t="shared" si="27"/>
        <v>0</v>
      </c>
      <c r="G862" t="str">
        <f>IFERROR(VLOOKUP(A862,预留库存!A:G,7,0),0)</f>
        <v>No</v>
      </c>
      <c r="H862">
        <f>IFERROR(VLOOKUP(A862,预留库存!A:H,8,0),0)</f>
        <v>0</v>
      </c>
      <c r="I862">
        <f>IFERROR(VLOOKUP(A862,预留库存!A:F,6,0),0)</f>
        <v>39.98</v>
      </c>
      <c r="J862">
        <f>IFERROR(VLOOKUP(A862,库龄!B:K,9,0),0)</f>
        <v>0</v>
      </c>
      <c r="K862">
        <f>IFERROR(VLOOKUP(A862,库龄!B:L,10,0),0)</f>
        <v>1</v>
      </c>
      <c r="L862">
        <f>IFERROR(VLOOKUP(A862,库龄!B:M,11,0),0)</f>
        <v>0</v>
      </c>
      <c r="M862">
        <f>IFERROR(VLOOKUP(A862,库龄!B:N,12,0),0)</f>
        <v>0</v>
      </c>
      <c r="N862">
        <f t="shared" si="28"/>
        <v>1</v>
      </c>
    </row>
    <row r="863" spans="1:14">
      <c r="A863" s="3" t="s">
        <v>2286</v>
      </c>
      <c r="B863">
        <f>IFERROR(VLOOKUP(A863,管理亚马逊库存!A:K,11,0),"")</f>
        <v>29</v>
      </c>
      <c r="C863">
        <f>IFERROR(VLOOKUP(A863,管理亚马逊库存!A:L,12,0),"")</f>
        <v>0</v>
      </c>
      <c r="D863">
        <f>IFERROR(VLOOKUP(A863,管理亚马逊库存!A:Q,17,0),"")</f>
        <v>0</v>
      </c>
      <c r="E863">
        <f>IFERROR(VLOOKUP(A863,管理亚马逊库存!A:R,18,0),"")</f>
        <v>0</v>
      </c>
      <c r="F863">
        <f t="shared" si="27"/>
        <v>0</v>
      </c>
      <c r="G863" t="str">
        <f>IFERROR(VLOOKUP(A863,预留库存!A:G,7,0),0)</f>
        <v>No</v>
      </c>
      <c r="H863">
        <f>IFERROR(VLOOKUP(A863,预留库存!A:H,8,0),0)</f>
        <v>0</v>
      </c>
      <c r="I863">
        <f>IFERROR(VLOOKUP(A863,预留库存!A:F,6,0),0)</f>
        <v>39.98</v>
      </c>
      <c r="J863">
        <f>IFERROR(VLOOKUP(A863,库龄!B:K,9,0),0)</f>
        <v>0</v>
      </c>
      <c r="K863">
        <f>IFERROR(VLOOKUP(A863,库龄!B:L,10,0),0)</f>
        <v>0</v>
      </c>
      <c r="L863">
        <f>IFERROR(VLOOKUP(A863,库龄!B:M,11,0),0)</f>
        <v>0</v>
      </c>
      <c r="M863">
        <f>IFERROR(VLOOKUP(A863,库龄!B:N,12,0),0)</f>
        <v>0</v>
      </c>
      <c r="N863">
        <f t="shared" si="28"/>
        <v>0</v>
      </c>
    </row>
    <row r="864" spans="1:14">
      <c r="A864" s="3" t="s">
        <v>2289</v>
      </c>
      <c r="B864">
        <f>IFERROR(VLOOKUP(A864,管理亚马逊库存!A:K,11,0),"")</f>
        <v>19</v>
      </c>
      <c r="C864">
        <f>IFERROR(VLOOKUP(A864,管理亚马逊库存!A:L,12,0),"")</f>
        <v>0</v>
      </c>
      <c r="D864">
        <f>IFERROR(VLOOKUP(A864,管理亚马逊库存!A:Q,17,0),"")</f>
        <v>0</v>
      </c>
      <c r="E864">
        <f>IFERROR(VLOOKUP(A864,管理亚马逊库存!A:R,18,0),"")</f>
        <v>0</v>
      </c>
      <c r="F864">
        <f t="shared" si="27"/>
        <v>0</v>
      </c>
      <c r="G864" t="str">
        <f>IFERROR(VLOOKUP(A864,预留库存!A:G,7,0),0)</f>
        <v>No</v>
      </c>
      <c r="H864">
        <f>IFERROR(VLOOKUP(A864,预留库存!A:H,8,0),0)</f>
        <v>0</v>
      </c>
      <c r="I864">
        <f>IFERROR(VLOOKUP(A864,预留库存!A:F,6,0),0)</f>
        <v>39.98</v>
      </c>
      <c r="J864">
        <f>IFERROR(VLOOKUP(A864,库龄!B:K,9,0),0)</f>
        <v>0</v>
      </c>
      <c r="K864">
        <f>IFERROR(VLOOKUP(A864,库龄!B:L,10,0),0)</f>
        <v>0</v>
      </c>
      <c r="L864">
        <f>IFERROR(VLOOKUP(A864,库龄!B:M,11,0),0)</f>
        <v>0</v>
      </c>
      <c r="M864">
        <f>IFERROR(VLOOKUP(A864,库龄!B:N,12,0),0)</f>
        <v>0</v>
      </c>
      <c r="N864">
        <f t="shared" si="28"/>
        <v>0</v>
      </c>
    </row>
    <row r="865" spans="1:14">
      <c r="A865" s="3" t="s">
        <v>2292</v>
      </c>
      <c r="B865">
        <f>IFERROR(VLOOKUP(A865,管理亚马逊库存!A:K,11,0),"")</f>
        <v>36</v>
      </c>
      <c r="C865">
        <f>IFERROR(VLOOKUP(A865,管理亚马逊库存!A:L,12,0),"")</f>
        <v>0</v>
      </c>
      <c r="D865">
        <f>IFERROR(VLOOKUP(A865,管理亚马逊库存!A:Q,17,0),"")</f>
        <v>0</v>
      </c>
      <c r="E865">
        <f>IFERROR(VLOOKUP(A865,管理亚马逊库存!A:R,18,0),"")</f>
        <v>0</v>
      </c>
      <c r="F865">
        <f t="shared" si="27"/>
        <v>0</v>
      </c>
      <c r="G865" t="str">
        <f>IFERROR(VLOOKUP(A865,预留库存!A:G,7,0),0)</f>
        <v>No</v>
      </c>
      <c r="H865">
        <f>IFERROR(VLOOKUP(A865,预留库存!A:H,8,0),0)</f>
        <v>0</v>
      </c>
      <c r="I865">
        <f>IFERROR(VLOOKUP(A865,预留库存!A:F,6,0),0)</f>
        <v>39.98</v>
      </c>
      <c r="J865">
        <f>IFERROR(VLOOKUP(A865,库龄!B:K,9,0),0)</f>
        <v>0</v>
      </c>
      <c r="K865">
        <f>IFERROR(VLOOKUP(A865,库龄!B:L,10,0),0)</f>
        <v>0</v>
      </c>
      <c r="L865">
        <f>IFERROR(VLOOKUP(A865,库龄!B:M,11,0),0)</f>
        <v>0</v>
      </c>
      <c r="M865">
        <f>IFERROR(VLOOKUP(A865,库龄!B:N,12,0),0)</f>
        <v>0</v>
      </c>
      <c r="N865">
        <f t="shared" si="28"/>
        <v>0</v>
      </c>
    </row>
    <row r="866" spans="1:14">
      <c r="A866" s="3" t="s">
        <v>2295</v>
      </c>
      <c r="B866">
        <f>IFERROR(VLOOKUP(A866,管理亚马逊库存!A:K,11,0),"")</f>
        <v>37</v>
      </c>
      <c r="C866">
        <f>IFERROR(VLOOKUP(A866,管理亚马逊库存!A:L,12,0),"")</f>
        <v>0</v>
      </c>
      <c r="D866">
        <f>IFERROR(VLOOKUP(A866,管理亚马逊库存!A:Q,17,0),"")</f>
        <v>0</v>
      </c>
      <c r="E866">
        <f>IFERROR(VLOOKUP(A866,管理亚马逊库存!A:R,18,0),"")</f>
        <v>0</v>
      </c>
      <c r="F866">
        <f t="shared" si="27"/>
        <v>0</v>
      </c>
      <c r="G866" t="str">
        <f>IFERROR(VLOOKUP(A866,预留库存!A:G,7,0),0)</f>
        <v>No</v>
      </c>
      <c r="H866">
        <f>IFERROR(VLOOKUP(A866,预留库存!A:H,8,0),0)</f>
        <v>0</v>
      </c>
      <c r="I866">
        <f>IFERROR(VLOOKUP(A866,预留库存!A:F,6,0),0)</f>
        <v>39.98</v>
      </c>
      <c r="J866">
        <f>IFERROR(VLOOKUP(A866,库龄!B:K,9,0),0)</f>
        <v>0</v>
      </c>
      <c r="K866">
        <f>IFERROR(VLOOKUP(A866,库龄!B:L,10,0),0)</f>
        <v>0</v>
      </c>
      <c r="L866">
        <f>IFERROR(VLOOKUP(A866,库龄!B:M,11,0),0)</f>
        <v>0</v>
      </c>
      <c r="M866">
        <f>IFERROR(VLOOKUP(A866,库龄!B:N,12,0),0)</f>
        <v>0</v>
      </c>
      <c r="N866">
        <f t="shared" si="28"/>
        <v>0</v>
      </c>
    </row>
    <row r="867" spans="1:14">
      <c r="A867" s="3" t="s">
        <v>2298</v>
      </c>
      <c r="B867">
        <f>IFERROR(VLOOKUP(A867,管理亚马逊库存!A:K,11,0),"")</f>
        <v>8</v>
      </c>
      <c r="C867">
        <f>IFERROR(VLOOKUP(A867,管理亚马逊库存!A:L,12,0),"")</f>
        <v>0</v>
      </c>
      <c r="D867">
        <f>IFERROR(VLOOKUP(A867,管理亚马逊库存!A:Q,17,0),"")</f>
        <v>0</v>
      </c>
      <c r="E867">
        <f>IFERROR(VLOOKUP(A867,管理亚马逊库存!A:R,18,0),"")</f>
        <v>0</v>
      </c>
      <c r="F867">
        <f t="shared" si="27"/>
        <v>0</v>
      </c>
      <c r="G867" t="str">
        <f>IFERROR(VLOOKUP(A867,预留库存!A:G,7,0),0)</f>
        <v>No</v>
      </c>
      <c r="H867">
        <f>IFERROR(VLOOKUP(A867,预留库存!A:H,8,0),0)</f>
        <v>0</v>
      </c>
      <c r="I867">
        <f>IFERROR(VLOOKUP(A867,预留库存!A:F,6,0),0)</f>
        <v>39.98</v>
      </c>
      <c r="J867">
        <f>IFERROR(VLOOKUP(A867,库龄!B:K,9,0),0)</f>
        <v>7</v>
      </c>
      <c r="K867">
        <f>IFERROR(VLOOKUP(A867,库龄!B:L,10,0),0)</f>
        <v>0</v>
      </c>
      <c r="L867">
        <f>IFERROR(VLOOKUP(A867,库龄!B:M,11,0),0)</f>
        <v>0</v>
      </c>
      <c r="M867">
        <f>IFERROR(VLOOKUP(A867,库龄!B:N,12,0),0)</f>
        <v>0</v>
      </c>
      <c r="N867">
        <f t="shared" si="28"/>
        <v>7</v>
      </c>
    </row>
    <row r="868" spans="1:14">
      <c r="A868" s="3" t="s">
        <v>2301</v>
      </c>
      <c r="B868">
        <f>IFERROR(VLOOKUP(A868,管理亚马逊库存!A:K,11,0),"")</f>
        <v>35</v>
      </c>
      <c r="C868">
        <f>IFERROR(VLOOKUP(A868,管理亚马逊库存!A:L,12,0),"")</f>
        <v>0</v>
      </c>
      <c r="D868">
        <f>IFERROR(VLOOKUP(A868,管理亚马逊库存!A:Q,17,0),"")</f>
        <v>0</v>
      </c>
      <c r="E868">
        <f>IFERROR(VLOOKUP(A868,管理亚马逊库存!A:R,18,0),"")</f>
        <v>0</v>
      </c>
      <c r="F868">
        <f t="shared" si="27"/>
        <v>0</v>
      </c>
      <c r="G868" t="str">
        <f>IFERROR(VLOOKUP(A868,预留库存!A:G,7,0),0)</f>
        <v>No</v>
      </c>
      <c r="H868">
        <f>IFERROR(VLOOKUP(A868,预留库存!A:H,8,0),0)</f>
        <v>0</v>
      </c>
      <c r="I868">
        <f>IFERROR(VLOOKUP(A868,预留库存!A:F,6,0),0)</f>
        <v>39.98</v>
      </c>
      <c r="J868">
        <f>IFERROR(VLOOKUP(A868,库龄!B:K,9,0),0)</f>
        <v>0</v>
      </c>
      <c r="K868">
        <f>IFERROR(VLOOKUP(A868,库龄!B:L,10,0),0)</f>
        <v>0</v>
      </c>
      <c r="L868">
        <f>IFERROR(VLOOKUP(A868,库龄!B:M,11,0),0)</f>
        <v>0</v>
      </c>
      <c r="M868">
        <f>IFERROR(VLOOKUP(A868,库龄!B:N,12,0),0)</f>
        <v>0</v>
      </c>
      <c r="N868">
        <f t="shared" si="28"/>
        <v>0</v>
      </c>
    </row>
    <row r="869" spans="1:14">
      <c r="A869" s="3" t="s">
        <v>2304</v>
      </c>
      <c r="B869">
        <f>IFERROR(VLOOKUP(A869,管理亚马逊库存!A:K,11,0),"")</f>
        <v>37</v>
      </c>
      <c r="C869">
        <f>IFERROR(VLOOKUP(A869,管理亚马逊库存!A:L,12,0),"")</f>
        <v>0</v>
      </c>
      <c r="D869">
        <f>IFERROR(VLOOKUP(A869,管理亚马逊库存!A:Q,17,0),"")</f>
        <v>0</v>
      </c>
      <c r="E869">
        <f>IFERROR(VLOOKUP(A869,管理亚马逊库存!A:R,18,0),"")</f>
        <v>0</v>
      </c>
      <c r="F869">
        <f t="shared" si="27"/>
        <v>0</v>
      </c>
      <c r="G869" t="str">
        <f>IFERROR(VLOOKUP(A869,预留库存!A:G,7,0),0)</f>
        <v>No</v>
      </c>
      <c r="H869">
        <f>IFERROR(VLOOKUP(A869,预留库存!A:H,8,0),0)</f>
        <v>0</v>
      </c>
      <c r="I869">
        <f>IFERROR(VLOOKUP(A869,预留库存!A:F,6,0),0)</f>
        <v>39.98</v>
      </c>
      <c r="J869">
        <f>IFERROR(VLOOKUP(A869,库龄!B:K,9,0),0)</f>
        <v>0</v>
      </c>
      <c r="K869">
        <f>IFERROR(VLOOKUP(A869,库龄!B:L,10,0),0)</f>
        <v>0</v>
      </c>
      <c r="L869">
        <f>IFERROR(VLOOKUP(A869,库龄!B:M,11,0),0)</f>
        <v>0</v>
      </c>
      <c r="M869">
        <f>IFERROR(VLOOKUP(A869,库龄!B:N,12,0),0)</f>
        <v>0</v>
      </c>
      <c r="N869">
        <f t="shared" si="28"/>
        <v>0</v>
      </c>
    </row>
    <row r="870" spans="1:14">
      <c r="A870" s="3" t="s">
        <v>2307</v>
      </c>
      <c r="B870">
        <f>IFERROR(VLOOKUP(A870,管理亚马逊库存!A:K,11,0),"")</f>
        <v>15</v>
      </c>
      <c r="C870">
        <f>IFERROR(VLOOKUP(A870,管理亚马逊库存!A:L,12,0),"")</f>
        <v>0</v>
      </c>
      <c r="D870">
        <f>IFERROR(VLOOKUP(A870,管理亚马逊库存!A:Q,17,0),"")</f>
        <v>0</v>
      </c>
      <c r="E870">
        <f>IFERROR(VLOOKUP(A870,管理亚马逊库存!A:R,18,0),"")</f>
        <v>0</v>
      </c>
      <c r="F870">
        <f t="shared" si="27"/>
        <v>0</v>
      </c>
      <c r="G870" t="str">
        <f>IFERROR(VLOOKUP(A870,预留库存!A:G,7,0),0)</f>
        <v>No</v>
      </c>
      <c r="H870">
        <f>IFERROR(VLOOKUP(A870,预留库存!A:H,8,0),0)</f>
        <v>0</v>
      </c>
      <c r="I870">
        <f>IFERROR(VLOOKUP(A870,预留库存!A:F,6,0),0)</f>
        <v>39.98</v>
      </c>
      <c r="J870">
        <f>IFERROR(VLOOKUP(A870,库龄!B:K,9,0),0)</f>
        <v>0</v>
      </c>
      <c r="K870">
        <f>IFERROR(VLOOKUP(A870,库龄!B:L,10,0),0)</f>
        <v>0</v>
      </c>
      <c r="L870">
        <f>IFERROR(VLOOKUP(A870,库龄!B:M,11,0),0)</f>
        <v>0</v>
      </c>
      <c r="M870">
        <f>IFERROR(VLOOKUP(A870,库龄!B:N,12,0),0)</f>
        <v>0</v>
      </c>
      <c r="N870">
        <f t="shared" si="28"/>
        <v>0</v>
      </c>
    </row>
    <row r="871" spans="1:14">
      <c r="A871" s="3" t="s">
        <v>2310</v>
      </c>
      <c r="B871">
        <f>IFERROR(VLOOKUP(A871,管理亚马逊库存!A:K,11,0),"")</f>
        <v>39</v>
      </c>
      <c r="C871">
        <f>IFERROR(VLOOKUP(A871,管理亚马逊库存!A:L,12,0),"")</f>
        <v>0</v>
      </c>
      <c r="D871">
        <f>IFERROR(VLOOKUP(A871,管理亚马逊库存!A:Q,17,0),"")</f>
        <v>0</v>
      </c>
      <c r="E871">
        <f>IFERROR(VLOOKUP(A871,管理亚马逊库存!A:R,18,0),"")</f>
        <v>0</v>
      </c>
      <c r="F871">
        <f t="shared" si="27"/>
        <v>0</v>
      </c>
      <c r="G871" t="str">
        <f>IFERROR(VLOOKUP(A871,预留库存!A:G,7,0),0)</f>
        <v>No</v>
      </c>
      <c r="H871">
        <f>IFERROR(VLOOKUP(A871,预留库存!A:H,8,0),0)</f>
        <v>0</v>
      </c>
      <c r="I871">
        <f>IFERROR(VLOOKUP(A871,预留库存!A:F,6,0),0)</f>
        <v>39.98</v>
      </c>
      <c r="J871">
        <f>IFERROR(VLOOKUP(A871,库龄!B:K,9,0),0)</f>
        <v>3</v>
      </c>
      <c r="K871">
        <f>IFERROR(VLOOKUP(A871,库龄!B:L,10,0),0)</f>
        <v>0</v>
      </c>
      <c r="L871">
        <f>IFERROR(VLOOKUP(A871,库龄!B:M,11,0),0)</f>
        <v>0</v>
      </c>
      <c r="M871">
        <f>IFERROR(VLOOKUP(A871,库龄!B:N,12,0),0)</f>
        <v>0</v>
      </c>
      <c r="N871">
        <f t="shared" si="28"/>
        <v>3</v>
      </c>
    </row>
    <row r="872" spans="1:14">
      <c r="A872" s="3" t="s">
        <v>2313</v>
      </c>
      <c r="B872">
        <f>IFERROR(VLOOKUP(A872,管理亚马逊库存!A:K,11,0),"")</f>
        <v>3</v>
      </c>
      <c r="C872">
        <f>IFERROR(VLOOKUP(A872,管理亚马逊库存!A:L,12,0),"")</f>
        <v>0</v>
      </c>
      <c r="D872">
        <f>IFERROR(VLOOKUP(A872,管理亚马逊库存!A:Q,17,0),"")</f>
        <v>0</v>
      </c>
      <c r="E872">
        <f>IFERROR(VLOOKUP(A872,管理亚马逊库存!A:R,18,0),"")</f>
        <v>0</v>
      </c>
      <c r="F872">
        <f t="shared" si="27"/>
        <v>0</v>
      </c>
      <c r="G872" t="str">
        <f>IFERROR(VLOOKUP(A872,预留库存!A:G,7,0),0)</f>
        <v>No</v>
      </c>
      <c r="H872">
        <f>IFERROR(VLOOKUP(A872,预留库存!A:H,8,0),0)</f>
        <v>0</v>
      </c>
      <c r="I872">
        <f>IFERROR(VLOOKUP(A872,预留库存!A:F,6,0),0)</f>
        <v>39.98</v>
      </c>
      <c r="J872">
        <f>IFERROR(VLOOKUP(A872,库龄!B:K,9,0),0)</f>
        <v>0</v>
      </c>
      <c r="K872">
        <f>IFERROR(VLOOKUP(A872,库龄!B:L,10,0),0)</f>
        <v>0</v>
      </c>
      <c r="L872">
        <f>IFERROR(VLOOKUP(A872,库龄!B:M,11,0),0)</f>
        <v>0</v>
      </c>
      <c r="M872">
        <f>IFERROR(VLOOKUP(A872,库龄!B:N,12,0),0)</f>
        <v>0</v>
      </c>
      <c r="N872">
        <f t="shared" si="28"/>
        <v>0</v>
      </c>
    </row>
    <row r="873" spans="1:14">
      <c r="A873" s="3" t="s">
        <v>2316</v>
      </c>
      <c r="B873">
        <f>IFERROR(VLOOKUP(A873,管理亚马逊库存!A:K,11,0),"")</f>
        <v>32</v>
      </c>
      <c r="C873">
        <f>IFERROR(VLOOKUP(A873,管理亚马逊库存!A:L,12,0),"")</f>
        <v>0</v>
      </c>
      <c r="D873">
        <f>IFERROR(VLOOKUP(A873,管理亚马逊库存!A:Q,17,0),"")</f>
        <v>0</v>
      </c>
      <c r="E873">
        <f>IFERROR(VLOOKUP(A873,管理亚马逊库存!A:R,18,0),"")</f>
        <v>0</v>
      </c>
      <c r="F873">
        <f t="shared" si="27"/>
        <v>0</v>
      </c>
      <c r="G873" t="str">
        <f>IFERROR(VLOOKUP(A873,预留库存!A:G,7,0),0)</f>
        <v>No</v>
      </c>
      <c r="H873">
        <f>IFERROR(VLOOKUP(A873,预留库存!A:H,8,0),0)</f>
        <v>0</v>
      </c>
      <c r="I873">
        <f>IFERROR(VLOOKUP(A873,预留库存!A:F,6,0),0)</f>
        <v>39.98</v>
      </c>
      <c r="J873">
        <f>IFERROR(VLOOKUP(A873,库龄!B:K,9,0),0)</f>
        <v>0</v>
      </c>
      <c r="K873">
        <f>IFERROR(VLOOKUP(A873,库龄!B:L,10,0),0)</f>
        <v>0</v>
      </c>
      <c r="L873">
        <f>IFERROR(VLOOKUP(A873,库龄!B:M,11,0),0)</f>
        <v>0</v>
      </c>
      <c r="M873">
        <f>IFERROR(VLOOKUP(A873,库龄!B:N,12,0),0)</f>
        <v>0</v>
      </c>
      <c r="N873">
        <f t="shared" si="28"/>
        <v>0</v>
      </c>
    </row>
    <row r="874" spans="1:14">
      <c r="A874" s="3" t="s">
        <v>2319</v>
      </c>
      <c r="B874">
        <f>IFERROR(VLOOKUP(A874,管理亚马逊库存!A:K,11,0),"")</f>
        <v>37</v>
      </c>
      <c r="C874">
        <f>IFERROR(VLOOKUP(A874,管理亚马逊库存!A:L,12,0),"")</f>
        <v>0</v>
      </c>
      <c r="D874">
        <f>IFERROR(VLOOKUP(A874,管理亚马逊库存!A:Q,17,0),"")</f>
        <v>0</v>
      </c>
      <c r="E874">
        <f>IFERROR(VLOOKUP(A874,管理亚马逊库存!A:R,18,0),"")</f>
        <v>0</v>
      </c>
      <c r="F874">
        <f t="shared" si="27"/>
        <v>0</v>
      </c>
      <c r="G874" t="str">
        <f>IFERROR(VLOOKUP(A874,预留库存!A:G,7,0),0)</f>
        <v>No</v>
      </c>
      <c r="H874">
        <f>IFERROR(VLOOKUP(A874,预留库存!A:H,8,0),0)</f>
        <v>0</v>
      </c>
      <c r="I874">
        <f>IFERROR(VLOOKUP(A874,预留库存!A:F,6,0),0)</f>
        <v>39.98</v>
      </c>
      <c r="J874">
        <f>IFERROR(VLOOKUP(A874,库龄!B:K,9,0),0)</f>
        <v>0</v>
      </c>
      <c r="K874">
        <f>IFERROR(VLOOKUP(A874,库龄!B:L,10,0),0)</f>
        <v>0</v>
      </c>
      <c r="L874">
        <f>IFERROR(VLOOKUP(A874,库龄!B:M,11,0),0)</f>
        <v>0</v>
      </c>
      <c r="M874">
        <f>IFERROR(VLOOKUP(A874,库龄!B:N,12,0),0)</f>
        <v>0</v>
      </c>
      <c r="N874">
        <f t="shared" si="28"/>
        <v>0</v>
      </c>
    </row>
    <row r="875" spans="1:14">
      <c r="A875" s="3" t="s">
        <v>2322</v>
      </c>
      <c r="B875">
        <f>IFERROR(VLOOKUP(A875,管理亚马逊库存!A:K,11,0),"")</f>
        <v>28</v>
      </c>
      <c r="C875">
        <f>IFERROR(VLOOKUP(A875,管理亚马逊库存!A:L,12,0),"")</f>
        <v>0</v>
      </c>
      <c r="D875">
        <f>IFERROR(VLOOKUP(A875,管理亚马逊库存!A:Q,17,0),"")</f>
        <v>0</v>
      </c>
      <c r="E875">
        <f>IFERROR(VLOOKUP(A875,管理亚马逊库存!A:R,18,0),"")</f>
        <v>0</v>
      </c>
      <c r="F875">
        <f t="shared" si="27"/>
        <v>0</v>
      </c>
      <c r="G875" t="str">
        <f>IFERROR(VLOOKUP(A875,预留库存!A:G,7,0),0)</f>
        <v>No</v>
      </c>
      <c r="H875">
        <f>IFERROR(VLOOKUP(A875,预留库存!A:H,8,0),0)</f>
        <v>0</v>
      </c>
      <c r="I875">
        <f>IFERROR(VLOOKUP(A875,预留库存!A:F,6,0),0)</f>
        <v>39.98</v>
      </c>
      <c r="J875">
        <f>IFERROR(VLOOKUP(A875,库龄!B:K,9,0),0)</f>
        <v>0</v>
      </c>
      <c r="K875">
        <f>IFERROR(VLOOKUP(A875,库龄!B:L,10,0),0)</f>
        <v>0</v>
      </c>
      <c r="L875">
        <f>IFERROR(VLOOKUP(A875,库龄!B:M,11,0),0)</f>
        <v>0</v>
      </c>
      <c r="M875">
        <f>IFERROR(VLOOKUP(A875,库龄!B:N,12,0),0)</f>
        <v>0</v>
      </c>
      <c r="N875">
        <f t="shared" si="28"/>
        <v>0</v>
      </c>
    </row>
    <row r="876" spans="1:14">
      <c r="A876" s="3" t="s">
        <v>2325</v>
      </c>
      <c r="B876">
        <f>IFERROR(VLOOKUP(A876,管理亚马逊库存!A:K,11,0),"")</f>
        <v>36</v>
      </c>
      <c r="C876">
        <f>IFERROR(VLOOKUP(A876,管理亚马逊库存!A:L,12,0),"")</f>
        <v>0</v>
      </c>
      <c r="D876">
        <f>IFERROR(VLOOKUP(A876,管理亚马逊库存!A:Q,17,0),"")</f>
        <v>0</v>
      </c>
      <c r="E876">
        <f>IFERROR(VLOOKUP(A876,管理亚马逊库存!A:R,18,0),"")</f>
        <v>0</v>
      </c>
      <c r="F876">
        <f t="shared" si="27"/>
        <v>0</v>
      </c>
      <c r="G876" t="str">
        <f>IFERROR(VLOOKUP(A876,预留库存!A:G,7,0),0)</f>
        <v>No</v>
      </c>
      <c r="H876">
        <f>IFERROR(VLOOKUP(A876,预留库存!A:H,8,0),0)</f>
        <v>0</v>
      </c>
      <c r="I876">
        <f>IFERROR(VLOOKUP(A876,预留库存!A:F,6,0),0)</f>
        <v>39.98</v>
      </c>
      <c r="J876">
        <f>IFERROR(VLOOKUP(A876,库龄!B:K,9,0),0)</f>
        <v>1</v>
      </c>
      <c r="K876">
        <f>IFERROR(VLOOKUP(A876,库龄!B:L,10,0),0)</f>
        <v>0</v>
      </c>
      <c r="L876">
        <f>IFERROR(VLOOKUP(A876,库龄!B:M,11,0),0)</f>
        <v>0</v>
      </c>
      <c r="M876">
        <f>IFERROR(VLOOKUP(A876,库龄!B:N,12,0),0)</f>
        <v>0</v>
      </c>
      <c r="N876">
        <f t="shared" si="28"/>
        <v>1</v>
      </c>
    </row>
    <row r="877" spans="1:14">
      <c r="A877" s="3" t="s">
        <v>2328</v>
      </c>
      <c r="B877">
        <f>IFERROR(VLOOKUP(A877,管理亚马逊库存!A:K,11,0),"")</f>
        <v>1</v>
      </c>
      <c r="C877">
        <f>IFERROR(VLOOKUP(A877,管理亚马逊库存!A:L,12,0),"")</f>
        <v>0</v>
      </c>
      <c r="D877">
        <f>IFERROR(VLOOKUP(A877,管理亚马逊库存!A:Q,17,0),"")</f>
        <v>0</v>
      </c>
      <c r="E877">
        <f>IFERROR(VLOOKUP(A877,管理亚马逊库存!A:R,18,0),"")</f>
        <v>0</v>
      </c>
      <c r="F877">
        <f t="shared" si="27"/>
        <v>0</v>
      </c>
      <c r="G877" t="str">
        <f>IFERROR(VLOOKUP(A877,预留库存!A:G,7,0),0)</f>
        <v>No</v>
      </c>
      <c r="H877">
        <f>IFERROR(VLOOKUP(A877,预留库存!A:H,8,0),0)</f>
        <v>0</v>
      </c>
      <c r="I877">
        <f>IFERROR(VLOOKUP(A877,预留库存!A:F,6,0),0)</f>
        <v>39.98</v>
      </c>
      <c r="J877">
        <f>IFERROR(VLOOKUP(A877,库龄!B:K,9,0),0)</f>
        <v>0</v>
      </c>
      <c r="K877">
        <f>IFERROR(VLOOKUP(A877,库龄!B:L,10,0),0)</f>
        <v>0</v>
      </c>
      <c r="L877">
        <f>IFERROR(VLOOKUP(A877,库龄!B:M,11,0),0)</f>
        <v>0</v>
      </c>
      <c r="M877">
        <f>IFERROR(VLOOKUP(A877,库龄!B:N,12,0),0)</f>
        <v>0</v>
      </c>
      <c r="N877">
        <f t="shared" si="28"/>
        <v>0</v>
      </c>
    </row>
    <row r="878" spans="1:14">
      <c r="A878" s="3" t="s">
        <v>2331</v>
      </c>
      <c r="B878">
        <f>IFERROR(VLOOKUP(A878,管理亚马逊库存!A:K,11,0),"")</f>
        <v>29</v>
      </c>
      <c r="C878">
        <f>IFERROR(VLOOKUP(A878,管理亚马逊库存!A:L,12,0),"")</f>
        <v>0</v>
      </c>
      <c r="D878">
        <f>IFERROR(VLOOKUP(A878,管理亚马逊库存!A:Q,17,0),"")</f>
        <v>0</v>
      </c>
      <c r="E878">
        <f>IFERROR(VLOOKUP(A878,管理亚马逊库存!A:R,18,0),"")</f>
        <v>0</v>
      </c>
      <c r="F878">
        <f t="shared" si="27"/>
        <v>0</v>
      </c>
      <c r="G878" t="str">
        <f>IFERROR(VLOOKUP(A878,预留库存!A:G,7,0),0)</f>
        <v>No</v>
      </c>
      <c r="H878">
        <f>IFERROR(VLOOKUP(A878,预留库存!A:H,8,0),0)</f>
        <v>0</v>
      </c>
      <c r="I878">
        <f>IFERROR(VLOOKUP(A878,预留库存!A:F,6,0),0)</f>
        <v>39.98</v>
      </c>
      <c r="J878">
        <f>IFERROR(VLOOKUP(A878,库龄!B:K,9,0),0)</f>
        <v>0</v>
      </c>
      <c r="K878">
        <f>IFERROR(VLOOKUP(A878,库龄!B:L,10,0),0)</f>
        <v>0</v>
      </c>
      <c r="L878">
        <f>IFERROR(VLOOKUP(A878,库龄!B:M,11,0),0)</f>
        <v>0</v>
      </c>
      <c r="M878">
        <f>IFERROR(VLOOKUP(A878,库龄!B:N,12,0),0)</f>
        <v>0</v>
      </c>
      <c r="N878">
        <f t="shared" si="28"/>
        <v>0</v>
      </c>
    </row>
    <row r="879" spans="1:14">
      <c r="A879" s="3" t="s">
        <v>2334</v>
      </c>
      <c r="B879">
        <f>IFERROR(VLOOKUP(A879,管理亚马逊库存!A:K,11,0),"")</f>
        <v>0</v>
      </c>
      <c r="C879">
        <f>IFERROR(VLOOKUP(A879,管理亚马逊库存!A:L,12,0),"")</f>
        <v>0</v>
      </c>
      <c r="D879">
        <f>IFERROR(VLOOKUP(A879,管理亚马逊库存!A:Q,17,0),"")</f>
        <v>0</v>
      </c>
      <c r="E879">
        <f>IFERROR(VLOOKUP(A879,管理亚马逊库存!A:R,18,0),"")</f>
        <v>0</v>
      </c>
      <c r="F879">
        <f t="shared" si="27"/>
        <v>0</v>
      </c>
      <c r="G879" t="str">
        <f>IFERROR(VLOOKUP(A879,预留库存!A:G,7,0),0)</f>
        <v>No</v>
      </c>
      <c r="H879">
        <f>IFERROR(VLOOKUP(A879,预留库存!A:H,8,0),0)</f>
        <v>0</v>
      </c>
      <c r="I879">
        <f>IFERROR(VLOOKUP(A879,预留库存!A:F,6,0),0)</f>
        <v>39.98</v>
      </c>
      <c r="J879">
        <f>IFERROR(VLOOKUP(A879,库龄!B:K,9,0),0)</f>
        <v>0</v>
      </c>
      <c r="K879">
        <f>IFERROR(VLOOKUP(A879,库龄!B:L,10,0),0)</f>
        <v>0</v>
      </c>
      <c r="L879">
        <f>IFERROR(VLOOKUP(A879,库龄!B:M,11,0),0)</f>
        <v>0</v>
      </c>
      <c r="M879">
        <f>IFERROR(VLOOKUP(A879,库龄!B:N,12,0),0)</f>
        <v>0</v>
      </c>
      <c r="N879">
        <f t="shared" si="28"/>
        <v>0</v>
      </c>
    </row>
    <row r="880" spans="1:14">
      <c r="A880" s="3" t="s">
        <v>2337</v>
      </c>
      <c r="B880">
        <f>IFERROR(VLOOKUP(A880,管理亚马逊库存!A:K,11,0),"")</f>
        <v>15</v>
      </c>
      <c r="C880">
        <f>IFERROR(VLOOKUP(A880,管理亚马逊库存!A:L,12,0),"")</f>
        <v>0</v>
      </c>
      <c r="D880">
        <f>IFERROR(VLOOKUP(A880,管理亚马逊库存!A:Q,17,0),"")</f>
        <v>0</v>
      </c>
      <c r="E880">
        <f>IFERROR(VLOOKUP(A880,管理亚马逊库存!A:R,18,0),"")</f>
        <v>0</v>
      </c>
      <c r="F880">
        <f t="shared" si="27"/>
        <v>0</v>
      </c>
      <c r="G880" t="str">
        <f>IFERROR(VLOOKUP(A880,预留库存!A:G,7,0),0)</f>
        <v>No</v>
      </c>
      <c r="H880">
        <f>IFERROR(VLOOKUP(A880,预留库存!A:H,8,0),0)</f>
        <v>0</v>
      </c>
      <c r="I880">
        <f>IFERROR(VLOOKUP(A880,预留库存!A:F,6,0),0)</f>
        <v>39.98</v>
      </c>
      <c r="J880">
        <f>IFERROR(VLOOKUP(A880,库龄!B:K,9,0),0)</f>
        <v>0</v>
      </c>
      <c r="K880">
        <f>IFERROR(VLOOKUP(A880,库龄!B:L,10,0),0)</f>
        <v>0</v>
      </c>
      <c r="L880">
        <f>IFERROR(VLOOKUP(A880,库龄!B:M,11,0),0)</f>
        <v>0</v>
      </c>
      <c r="M880">
        <f>IFERROR(VLOOKUP(A880,库龄!B:N,12,0),0)</f>
        <v>0</v>
      </c>
      <c r="N880">
        <f t="shared" si="28"/>
        <v>0</v>
      </c>
    </row>
    <row r="881" spans="1:14">
      <c r="A881" s="3" t="s">
        <v>2340</v>
      </c>
      <c r="B881">
        <f>IFERROR(VLOOKUP(A881,管理亚马逊库存!A:K,11,0),"")</f>
        <v>15</v>
      </c>
      <c r="C881">
        <f>IFERROR(VLOOKUP(A881,管理亚马逊库存!A:L,12,0),"")</f>
        <v>0</v>
      </c>
      <c r="D881">
        <f>IFERROR(VLOOKUP(A881,管理亚马逊库存!A:Q,17,0),"")</f>
        <v>0</v>
      </c>
      <c r="E881">
        <f>IFERROR(VLOOKUP(A881,管理亚马逊库存!A:R,18,0),"")</f>
        <v>0</v>
      </c>
      <c r="F881">
        <f t="shared" si="27"/>
        <v>0</v>
      </c>
      <c r="G881" t="str">
        <f>IFERROR(VLOOKUP(A881,预留库存!A:G,7,0),0)</f>
        <v>No</v>
      </c>
      <c r="H881">
        <f>IFERROR(VLOOKUP(A881,预留库存!A:H,8,0),0)</f>
        <v>0</v>
      </c>
      <c r="I881">
        <f>IFERROR(VLOOKUP(A881,预留库存!A:F,6,0),0)</f>
        <v>39.98</v>
      </c>
      <c r="J881">
        <f>IFERROR(VLOOKUP(A881,库龄!B:K,9,0),0)</f>
        <v>0</v>
      </c>
      <c r="K881">
        <f>IFERROR(VLOOKUP(A881,库龄!B:L,10,0),0)</f>
        <v>0</v>
      </c>
      <c r="L881">
        <f>IFERROR(VLOOKUP(A881,库龄!B:M,11,0),0)</f>
        <v>0</v>
      </c>
      <c r="M881">
        <f>IFERROR(VLOOKUP(A881,库龄!B:N,12,0),0)</f>
        <v>0</v>
      </c>
      <c r="N881">
        <f t="shared" si="28"/>
        <v>0</v>
      </c>
    </row>
    <row r="882" spans="1:14">
      <c r="A882" s="3" t="s">
        <v>2343</v>
      </c>
      <c r="B882">
        <f>IFERROR(VLOOKUP(A882,管理亚马逊库存!A:K,11,0),"")</f>
        <v>9</v>
      </c>
      <c r="C882">
        <f>IFERROR(VLOOKUP(A882,管理亚马逊库存!A:L,12,0),"")</f>
        <v>0</v>
      </c>
      <c r="D882">
        <f>IFERROR(VLOOKUP(A882,管理亚马逊库存!A:Q,17,0),"")</f>
        <v>0</v>
      </c>
      <c r="E882">
        <f>IFERROR(VLOOKUP(A882,管理亚马逊库存!A:R,18,0),"")</f>
        <v>0</v>
      </c>
      <c r="F882">
        <f t="shared" si="27"/>
        <v>0</v>
      </c>
      <c r="G882" t="str">
        <f>IFERROR(VLOOKUP(A882,预留库存!A:G,7,0),0)</f>
        <v>No</v>
      </c>
      <c r="H882">
        <f>IFERROR(VLOOKUP(A882,预留库存!A:H,8,0),0)</f>
        <v>0</v>
      </c>
      <c r="I882">
        <f>IFERROR(VLOOKUP(A882,预留库存!A:F,6,0),0)</f>
        <v>39.98</v>
      </c>
      <c r="J882">
        <f>IFERROR(VLOOKUP(A882,库龄!B:K,9,0),0)</f>
        <v>7</v>
      </c>
      <c r="K882">
        <f>IFERROR(VLOOKUP(A882,库龄!B:L,10,0),0)</f>
        <v>0</v>
      </c>
      <c r="L882">
        <f>IFERROR(VLOOKUP(A882,库龄!B:M,11,0),0)</f>
        <v>0</v>
      </c>
      <c r="M882">
        <f>IFERROR(VLOOKUP(A882,库龄!B:N,12,0),0)</f>
        <v>0</v>
      </c>
      <c r="N882">
        <f t="shared" si="28"/>
        <v>7</v>
      </c>
    </row>
    <row r="883" spans="1:14">
      <c r="A883" s="3" t="s">
        <v>2346</v>
      </c>
      <c r="B883">
        <f>IFERROR(VLOOKUP(A883,管理亚马逊库存!A:K,11,0),"")</f>
        <v>21</v>
      </c>
      <c r="C883">
        <f>IFERROR(VLOOKUP(A883,管理亚马逊库存!A:L,12,0),"")</f>
        <v>0</v>
      </c>
      <c r="D883">
        <f>IFERROR(VLOOKUP(A883,管理亚马逊库存!A:Q,17,0),"")</f>
        <v>0</v>
      </c>
      <c r="E883">
        <f>IFERROR(VLOOKUP(A883,管理亚马逊库存!A:R,18,0),"")</f>
        <v>0</v>
      </c>
      <c r="F883">
        <f t="shared" si="27"/>
        <v>0</v>
      </c>
      <c r="G883" t="str">
        <f>IFERROR(VLOOKUP(A883,预留库存!A:G,7,0),0)</f>
        <v>No</v>
      </c>
      <c r="H883">
        <f>IFERROR(VLOOKUP(A883,预留库存!A:H,8,0),0)</f>
        <v>0</v>
      </c>
      <c r="I883">
        <f>IFERROR(VLOOKUP(A883,预留库存!A:F,6,0),0)</f>
        <v>39.98</v>
      </c>
      <c r="J883">
        <f>IFERROR(VLOOKUP(A883,库龄!B:K,9,0),0)</f>
        <v>0</v>
      </c>
      <c r="K883">
        <f>IFERROR(VLOOKUP(A883,库龄!B:L,10,0),0)</f>
        <v>0</v>
      </c>
      <c r="L883">
        <f>IFERROR(VLOOKUP(A883,库龄!B:M,11,0),0)</f>
        <v>0</v>
      </c>
      <c r="M883">
        <f>IFERROR(VLOOKUP(A883,库龄!B:N,12,0),0)</f>
        <v>0</v>
      </c>
      <c r="N883">
        <f t="shared" si="28"/>
        <v>0</v>
      </c>
    </row>
    <row r="884" spans="1:14">
      <c r="A884" s="3" t="s">
        <v>2349</v>
      </c>
      <c r="B884">
        <f>IFERROR(VLOOKUP(A884,管理亚马逊库存!A:K,11,0),"")</f>
        <v>5</v>
      </c>
      <c r="C884">
        <f>IFERROR(VLOOKUP(A884,管理亚马逊库存!A:L,12,0),"")</f>
        <v>0</v>
      </c>
      <c r="D884">
        <f>IFERROR(VLOOKUP(A884,管理亚马逊库存!A:Q,17,0),"")</f>
        <v>0</v>
      </c>
      <c r="E884">
        <f>IFERROR(VLOOKUP(A884,管理亚马逊库存!A:R,18,0),"")</f>
        <v>0</v>
      </c>
      <c r="F884">
        <f t="shared" si="27"/>
        <v>0</v>
      </c>
      <c r="G884" t="str">
        <f>IFERROR(VLOOKUP(A884,预留库存!A:G,7,0),0)</f>
        <v>No</v>
      </c>
      <c r="H884">
        <f>IFERROR(VLOOKUP(A884,预留库存!A:H,8,0),0)</f>
        <v>0</v>
      </c>
      <c r="I884">
        <f>IFERROR(VLOOKUP(A884,预留库存!A:F,6,0),0)</f>
        <v>39.98</v>
      </c>
      <c r="J884">
        <f>IFERROR(VLOOKUP(A884,库龄!B:K,9,0),0)</f>
        <v>5</v>
      </c>
      <c r="K884">
        <f>IFERROR(VLOOKUP(A884,库龄!B:L,10,0),0)</f>
        <v>0</v>
      </c>
      <c r="L884">
        <f>IFERROR(VLOOKUP(A884,库龄!B:M,11,0),0)</f>
        <v>0</v>
      </c>
      <c r="M884">
        <f>IFERROR(VLOOKUP(A884,库龄!B:N,12,0),0)</f>
        <v>0</v>
      </c>
      <c r="N884">
        <f t="shared" si="28"/>
        <v>5</v>
      </c>
    </row>
    <row r="885" spans="1:14">
      <c r="A885" s="3" t="s">
        <v>2352</v>
      </c>
      <c r="B885">
        <f>IFERROR(VLOOKUP(A885,管理亚马逊库存!A:K,11,0),"")</f>
        <v>30</v>
      </c>
      <c r="C885">
        <f>IFERROR(VLOOKUP(A885,管理亚马逊库存!A:L,12,0),"")</f>
        <v>0</v>
      </c>
      <c r="D885">
        <f>IFERROR(VLOOKUP(A885,管理亚马逊库存!A:Q,17,0),"")</f>
        <v>0</v>
      </c>
      <c r="E885">
        <f>IFERROR(VLOOKUP(A885,管理亚马逊库存!A:R,18,0),"")</f>
        <v>0</v>
      </c>
      <c r="F885">
        <f t="shared" si="27"/>
        <v>0</v>
      </c>
      <c r="G885" t="str">
        <f>IFERROR(VLOOKUP(A885,预留库存!A:G,7,0),0)</f>
        <v>No</v>
      </c>
      <c r="H885">
        <f>IFERROR(VLOOKUP(A885,预留库存!A:H,8,0),0)</f>
        <v>0</v>
      </c>
      <c r="I885">
        <f>IFERROR(VLOOKUP(A885,预留库存!A:F,6,0),0)</f>
        <v>39.98</v>
      </c>
      <c r="J885">
        <f>IFERROR(VLOOKUP(A885,库龄!B:K,9,0),0)</f>
        <v>10</v>
      </c>
      <c r="K885">
        <f>IFERROR(VLOOKUP(A885,库龄!B:L,10,0),0)</f>
        <v>0</v>
      </c>
      <c r="L885">
        <f>IFERROR(VLOOKUP(A885,库龄!B:M,11,0),0)</f>
        <v>0</v>
      </c>
      <c r="M885">
        <f>IFERROR(VLOOKUP(A885,库龄!B:N,12,0),0)</f>
        <v>0</v>
      </c>
      <c r="N885">
        <f t="shared" si="28"/>
        <v>10</v>
      </c>
    </row>
    <row r="886" spans="1:14">
      <c r="A886" s="3" t="s">
        <v>2355</v>
      </c>
      <c r="B886">
        <f>IFERROR(VLOOKUP(A886,管理亚马逊库存!A:K,11,0),"")</f>
        <v>27</v>
      </c>
      <c r="C886">
        <f>IFERROR(VLOOKUP(A886,管理亚马逊库存!A:L,12,0),"")</f>
        <v>0</v>
      </c>
      <c r="D886">
        <f>IFERROR(VLOOKUP(A886,管理亚马逊库存!A:Q,17,0),"")</f>
        <v>0</v>
      </c>
      <c r="E886">
        <f>IFERROR(VLOOKUP(A886,管理亚马逊库存!A:R,18,0),"")</f>
        <v>0</v>
      </c>
      <c r="F886">
        <f t="shared" si="27"/>
        <v>0</v>
      </c>
      <c r="G886" t="str">
        <f>IFERROR(VLOOKUP(A886,预留库存!A:G,7,0),0)</f>
        <v>No</v>
      </c>
      <c r="H886">
        <f>IFERROR(VLOOKUP(A886,预留库存!A:H,8,0),0)</f>
        <v>0</v>
      </c>
      <c r="I886">
        <f>IFERROR(VLOOKUP(A886,预留库存!A:F,6,0),0)</f>
        <v>39.98</v>
      </c>
      <c r="J886">
        <f>IFERROR(VLOOKUP(A886,库龄!B:K,9,0),0)</f>
        <v>7</v>
      </c>
      <c r="K886">
        <f>IFERROR(VLOOKUP(A886,库龄!B:L,10,0),0)</f>
        <v>0</v>
      </c>
      <c r="L886">
        <f>IFERROR(VLOOKUP(A886,库龄!B:M,11,0),0)</f>
        <v>0</v>
      </c>
      <c r="M886">
        <f>IFERROR(VLOOKUP(A886,库龄!B:N,12,0),0)</f>
        <v>0</v>
      </c>
      <c r="N886">
        <f t="shared" si="28"/>
        <v>7</v>
      </c>
    </row>
    <row r="887" spans="1:14">
      <c r="A887" s="3" t="s">
        <v>2358</v>
      </c>
      <c r="B887">
        <f>IFERROR(VLOOKUP(A887,管理亚马逊库存!A:K,11,0),"")</f>
        <v>11</v>
      </c>
      <c r="C887">
        <f>IFERROR(VLOOKUP(A887,管理亚马逊库存!A:L,12,0),"")</f>
        <v>0</v>
      </c>
      <c r="D887">
        <f>IFERROR(VLOOKUP(A887,管理亚马逊库存!A:Q,17,0),"")</f>
        <v>0</v>
      </c>
      <c r="E887">
        <f>IFERROR(VLOOKUP(A887,管理亚马逊库存!A:R,18,0),"")</f>
        <v>0</v>
      </c>
      <c r="F887">
        <f t="shared" si="27"/>
        <v>0</v>
      </c>
      <c r="G887" t="str">
        <f>IFERROR(VLOOKUP(A887,预留库存!A:G,7,0),0)</f>
        <v>No</v>
      </c>
      <c r="H887">
        <f>IFERROR(VLOOKUP(A887,预留库存!A:H,8,0),0)</f>
        <v>0</v>
      </c>
      <c r="I887">
        <f>IFERROR(VLOOKUP(A887,预留库存!A:F,6,0),0)</f>
        <v>39.98</v>
      </c>
      <c r="J887">
        <f>IFERROR(VLOOKUP(A887,库龄!B:K,9,0),0)</f>
        <v>9</v>
      </c>
      <c r="K887">
        <f>IFERROR(VLOOKUP(A887,库龄!B:L,10,0),0)</f>
        <v>2</v>
      </c>
      <c r="L887">
        <f>IFERROR(VLOOKUP(A887,库龄!B:M,11,0),0)</f>
        <v>0</v>
      </c>
      <c r="M887">
        <f>IFERROR(VLOOKUP(A887,库龄!B:N,12,0),0)</f>
        <v>0</v>
      </c>
      <c r="N887">
        <f t="shared" si="28"/>
        <v>11</v>
      </c>
    </row>
    <row r="888" spans="1:14">
      <c r="A888" s="3" t="s">
        <v>2361</v>
      </c>
      <c r="B888">
        <f>IFERROR(VLOOKUP(A888,管理亚马逊库存!A:K,11,0),"")</f>
        <v>22</v>
      </c>
      <c r="C888">
        <f>IFERROR(VLOOKUP(A888,管理亚马逊库存!A:L,12,0),"")</f>
        <v>0</v>
      </c>
      <c r="D888">
        <f>IFERROR(VLOOKUP(A888,管理亚马逊库存!A:Q,17,0),"")</f>
        <v>0</v>
      </c>
      <c r="E888">
        <f>IFERROR(VLOOKUP(A888,管理亚马逊库存!A:R,18,0),"")</f>
        <v>0</v>
      </c>
      <c r="F888">
        <f t="shared" si="27"/>
        <v>0</v>
      </c>
      <c r="G888" t="str">
        <f>IFERROR(VLOOKUP(A888,预留库存!A:G,7,0),0)</f>
        <v>No</v>
      </c>
      <c r="H888">
        <f>IFERROR(VLOOKUP(A888,预留库存!A:H,8,0),0)</f>
        <v>0</v>
      </c>
      <c r="I888">
        <f>IFERROR(VLOOKUP(A888,预留库存!A:F,6,0),0)</f>
        <v>39.98</v>
      </c>
      <c r="J888">
        <f>IFERROR(VLOOKUP(A888,库龄!B:K,9,0),0)</f>
        <v>2</v>
      </c>
      <c r="K888">
        <f>IFERROR(VLOOKUP(A888,库龄!B:L,10,0),0)</f>
        <v>0</v>
      </c>
      <c r="L888">
        <f>IFERROR(VLOOKUP(A888,库龄!B:M,11,0),0)</f>
        <v>0</v>
      </c>
      <c r="M888">
        <f>IFERROR(VLOOKUP(A888,库龄!B:N,12,0),0)</f>
        <v>0</v>
      </c>
      <c r="N888">
        <f t="shared" si="28"/>
        <v>2</v>
      </c>
    </row>
    <row r="889" spans="1:14">
      <c r="A889" s="3" t="s">
        <v>2364</v>
      </c>
      <c r="B889">
        <f>IFERROR(VLOOKUP(A889,管理亚马逊库存!A:K,11,0),"")</f>
        <v>0</v>
      </c>
      <c r="C889">
        <f>IFERROR(VLOOKUP(A889,管理亚马逊库存!A:L,12,0),"")</f>
        <v>0</v>
      </c>
      <c r="D889">
        <f>IFERROR(VLOOKUP(A889,管理亚马逊库存!A:Q,17,0),"")</f>
        <v>0</v>
      </c>
      <c r="E889">
        <f>IFERROR(VLOOKUP(A889,管理亚马逊库存!A:R,18,0),"")</f>
        <v>0</v>
      </c>
      <c r="F889">
        <f t="shared" si="27"/>
        <v>0</v>
      </c>
      <c r="G889" t="str">
        <f>IFERROR(VLOOKUP(A889,预留库存!A:G,7,0),0)</f>
        <v>No</v>
      </c>
      <c r="H889">
        <f>IFERROR(VLOOKUP(A889,预留库存!A:H,8,0),0)</f>
        <v>0</v>
      </c>
      <c r="I889">
        <f>IFERROR(VLOOKUP(A889,预留库存!A:F,6,0),0)</f>
        <v>39.98</v>
      </c>
      <c r="J889">
        <f>IFERROR(VLOOKUP(A889,库龄!B:K,9,0),0)</f>
        <v>0</v>
      </c>
      <c r="K889">
        <f>IFERROR(VLOOKUP(A889,库龄!B:L,10,0),0)</f>
        <v>0</v>
      </c>
      <c r="L889">
        <f>IFERROR(VLOOKUP(A889,库龄!B:M,11,0),0)</f>
        <v>0</v>
      </c>
      <c r="M889">
        <f>IFERROR(VLOOKUP(A889,库龄!B:N,12,0),0)</f>
        <v>0</v>
      </c>
      <c r="N889">
        <f t="shared" si="28"/>
        <v>0</v>
      </c>
    </row>
    <row r="890" spans="1:14">
      <c r="A890" s="3" t="s">
        <v>2367</v>
      </c>
      <c r="B890">
        <f>IFERROR(VLOOKUP(A890,管理亚马逊库存!A:K,11,0),"")</f>
        <v>35</v>
      </c>
      <c r="C890">
        <f>IFERROR(VLOOKUP(A890,管理亚马逊库存!A:L,12,0),"")</f>
        <v>0</v>
      </c>
      <c r="D890">
        <f>IFERROR(VLOOKUP(A890,管理亚马逊库存!A:Q,17,0),"")</f>
        <v>0</v>
      </c>
      <c r="E890">
        <f>IFERROR(VLOOKUP(A890,管理亚马逊库存!A:R,18,0),"")</f>
        <v>0</v>
      </c>
      <c r="F890">
        <f t="shared" si="27"/>
        <v>0</v>
      </c>
      <c r="G890" t="str">
        <f>IFERROR(VLOOKUP(A890,预留库存!A:G,7,0),0)</f>
        <v>No</v>
      </c>
      <c r="H890">
        <f>IFERROR(VLOOKUP(A890,预留库存!A:H,8,0),0)</f>
        <v>0</v>
      </c>
      <c r="I890">
        <f>IFERROR(VLOOKUP(A890,预留库存!A:F,6,0),0)</f>
        <v>39.98</v>
      </c>
      <c r="J890">
        <f>IFERROR(VLOOKUP(A890,库龄!B:K,9,0),0)</f>
        <v>0</v>
      </c>
      <c r="K890">
        <f>IFERROR(VLOOKUP(A890,库龄!B:L,10,0),0)</f>
        <v>0</v>
      </c>
      <c r="L890">
        <f>IFERROR(VLOOKUP(A890,库龄!B:M,11,0),0)</f>
        <v>0</v>
      </c>
      <c r="M890">
        <f>IFERROR(VLOOKUP(A890,库龄!B:N,12,0),0)</f>
        <v>0</v>
      </c>
      <c r="N890">
        <f t="shared" si="28"/>
        <v>0</v>
      </c>
    </row>
    <row r="891" spans="1:14">
      <c r="A891" s="3" t="s">
        <v>2370</v>
      </c>
      <c r="B891">
        <f>IFERROR(VLOOKUP(A891,管理亚马逊库存!A:K,11,0),"")</f>
        <v>41</v>
      </c>
      <c r="C891">
        <f>IFERROR(VLOOKUP(A891,管理亚马逊库存!A:L,12,0),"")</f>
        <v>0</v>
      </c>
      <c r="D891">
        <f>IFERROR(VLOOKUP(A891,管理亚马逊库存!A:Q,17,0),"")</f>
        <v>0</v>
      </c>
      <c r="E891">
        <f>IFERROR(VLOOKUP(A891,管理亚马逊库存!A:R,18,0),"")</f>
        <v>0</v>
      </c>
      <c r="F891">
        <f t="shared" si="27"/>
        <v>0</v>
      </c>
      <c r="G891" t="str">
        <f>IFERROR(VLOOKUP(A891,预留库存!A:G,7,0),0)</f>
        <v>No</v>
      </c>
      <c r="H891">
        <f>IFERROR(VLOOKUP(A891,预留库存!A:H,8,0),0)</f>
        <v>0</v>
      </c>
      <c r="I891">
        <f>IFERROR(VLOOKUP(A891,预留库存!A:F,6,0),0)</f>
        <v>39.98</v>
      </c>
      <c r="J891">
        <f>IFERROR(VLOOKUP(A891,库龄!B:K,9,0),0)</f>
        <v>0</v>
      </c>
      <c r="K891">
        <f>IFERROR(VLOOKUP(A891,库龄!B:L,10,0),0)</f>
        <v>0</v>
      </c>
      <c r="L891">
        <f>IFERROR(VLOOKUP(A891,库龄!B:M,11,0),0)</f>
        <v>0</v>
      </c>
      <c r="M891">
        <f>IFERROR(VLOOKUP(A891,库龄!B:N,12,0),0)</f>
        <v>0</v>
      </c>
      <c r="N891">
        <f t="shared" si="28"/>
        <v>0</v>
      </c>
    </row>
    <row r="892" spans="1:14">
      <c r="A892" s="3" t="s">
        <v>2373</v>
      </c>
      <c r="B892">
        <f>IFERROR(VLOOKUP(A892,管理亚马逊库存!A:K,11,0),"")</f>
        <v>13</v>
      </c>
      <c r="C892">
        <f>IFERROR(VLOOKUP(A892,管理亚马逊库存!A:L,12,0),"")</f>
        <v>0</v>
      </c>
      <c r="D892">
        <f>IFERROR(VLOOKUP(A892,管理亚马逊库存!A:Q,17,0),"")</f>
        <v>0</v>
      </c>
      <c r="E892">
        <f>IFERROR(VLOOKUP(A892,管理亚马逊库存!A:R,18,0),"")</f>
        <v>0</v>
      </c>
      <c r="F892">
        <f t="shared" si="27"/>
        <v>0</v>
      </c>
      <c r="G892" t="str">
        <f>IFERROR(VLOOKUP(A892,预留库存!A:G,7,0),0)</f>
        <v>No</v>
      </c>
      <c r="H892">
        <f>IFERROR(VLOOKUP(A892,预留库存!A:H,8,0),0)</f>
        <v>0</v>
      </c>
      <c r="I892">
        <f>IFERROR(VLOOKUP(A892,预留库存!A:F,6,0),0)</f>
        <v>39.98</v>
      </c>
      <c r="J892">
        <f>IFERROR(VLOOKUP(A892,库龄!B:K,9,0),0)</f>
        <v>1</v>
      </c>
      <c r="K892">
        <f>IFERROR(VLOOKUP(A892,库龄!B:L,10,0),0)</f>
        <v>0</v>
      </c>
      <c r="L892">
        <f>IFERROR(VLOOKUP(A892,库龄!B:M,11,0),0)</f>
        <v>0</v>
      </c>
      <c r="M892">
        <f>IFERROR(VLOOKUP(A892,库龄!B:N,12,0),0)</f>
        <v>0</v>
      </c>
      <c r="N892">
        <f t="shared" si="28"/>
        <v>1</v>
      </c>
    </row>
    <row r="893" spans="1:14">
      <c r="A893" s="3" t="s">
        <v>2376</v>
      </c>
      <c r="B893">
        <f>IFERROR(VLOOKUP(A893,管理亚马逊库存!A:K,11,0),"")</f>
        <v>26</v>
      </c>
      <c r="C893">
        <f>IFERROR(VLOOKUP(A893,管理亚马逊库存!A:L,12,0),"")</f>
        <v>0</v>
      </c>
      <c r="D893">
        <f>IFERROR(VLOOKUP(A893,管理亚马逊库存!A:Q,17,0),"")</f>
        <v>0</v>
      </c>
      <c r="E893">
        <f>IFERROR(VLOOKUP(A893,管理亚马逊库存!A:R,18,0),"")</f>
        <v>0</v>
      </c>
      <c r="F893">
        <f t="shared" si="27"/>
        <v>0</v>
      </c>
      <c r="G893" t="str">
        <f>IFERROR(VLOOKUP(A893,预留库存!A:G,7,0),0)</f>
        <v>No</v>
      </c>
      <c r="H893">
        <f>IFERROR(VLOOKUP(A893,预留库存!A:H,8,0),0)</f>
        <v>0</v>
      </c>
      <c r="I893">
        <f>IFERROR(VLOOKUP(A893,预留库存!A:F,6,0),0)</f>
        <v>39.98</v>
      </c>
      <c r="J893">
        <f>IFERROR(VLOOKUP(A893,库龄!B:K,9,0),0)</f>
        <v>0</v>
      </c>
      <c r="K893">
        <f>IFERROR(VLOOKUP(A893,库龄!B:L,10,0),0)</f>
        <v>0</v>
      </c>
      <c r="L893">
        <f>IFERROR(VLOOKUP(A893,库龄!B:M,11,0),0)</f>
        <v>0</v>
      </c>
      <c r="M893">
        <f>IFERROR(VLOOKUP(A893,库龄!B:N,12,0),0)</f>
        <v>0</v>
      </c>
      <c r="N893">
        <f t="shared" si="28"/>
        <v>0</v>
      </c>
    </row>
    <row r="894" spans="1:14">
      <c r="A894" s="3" t="s">
        <v>2379</v>
      </c>
      <c r="B894">
        <f>IFERROR(VLOOKUP(A894,管理亚马逊库存!A:K,11,0),"")</f>
        <v>11</v>
      </c>
      <c r="C894">
        <f>IFERROR(VLOOKUP(A894,管理亚马逊库存!A:L,12,0),"")</f>
        <v>0</v>
      </c>
      <c r="D894">
        <f>IFERROR(VLOOKUP(A894,管理亚马逊库存!A:Q,17,0),"")</f>
        <v>0</v>
      </c>
      <c r="E894">
        <f>IFERROR(VLOOKUP(A894,管理亚马逊库存!A:R,18,0),"")</f>
        <v>0</v>
      </c>
      <c r="F894">
        <f t="shared" si="27"/>
        <v>0</v>
      </c>
      <c r="G894" t="str">
        <f>IFERROR(VLOOKUP(A894,预留库存!A:G,7,0),0)</f>
        <v>No</v>
      </c>
      <c r="H894">
        <f>IFERROR(VLOOKUP(A894,预留库存!A:H,8,0),0)</f>
        <v>0</v>
      </c>
      <c r="I894">
        <f>IFERROR(VLOOKUP(A894,预留库存!A:F,6,0),0)</f>
        <v>22.98</v>
      </c>
      <c r="J894">
        <f>IFERROR(VLOOKUP(A894,库龄!B:K,9,0),0)</f>
        <v>0</v>
      </c>
      <c r="K894">
        <f>IFERROR(VLOOKUP(A894,库龄!B:L,10,0),0)</f>
        <v>0</v>
      </c>
      <c r="L894">
        <f>IFERROR(VLOOKUP(A894,库龄!B:M,11,0),0)</f>
        <v>0</v>
      </c>
      <c r="M894">
        <f>IFERROR(VLOOKUP(A894,库龄!B:N,12,0),0)</f>
        <v>0</v>
      </c>
      <c r="N894">
        <f t="shared" si="28"/>
        <v>0</v>
      </c>
    </row>
    <row r="895" spans="1:14">
      <c r="A895" s="3" t="s">
        <v>2382</v>
      </c>
      <c r="B895">
        <f>IFERROR(VLOOKUP(A895,管理亚马逊库存!A:K,11,0),"")</f>
        <v>11</v>
      </c>
      <c r="C895">
        <f>IFERROR(VLOOKUP(A895,管理亚马逊库存!A:L,12,0),"")</f>
        <v>0</v>
      </c>
      <c r="D895">
        <f>IFERROR(VLOOKUP(A895,管理亚马逊库存!A:Q,17,0),"")</f>
        <v>0</v>
      </c>
      <c r="E895">
        <f>IFERROR(VLOOKUP(A895,管理亚马逊库存!A:R,18,0),"")</f>
        <v>0</v>
      </c>
      <c r="F895">
        <f t="shared" si="27"/>
        <v>0</v>
      </c>
      <c r="G895" t="str">
        <f>IFERROR(VLOOKUP(A895,预留库存!A:G,7,0),0)</f>
        <v>No</v>
      </c>
      <c r="H895">
        <f>IFERROR(VLOOKUP(A895,预留库存!A:H,8,0),0)</f>
        <v>0</v>
      </c>
      <c r="I895">
        <f>IFERROR(VLOOKUP(A895,预留库存!A:F,6,0),0)</f>
        <v>22.98</v>
      </c>
      <c r="J895">
        <f>IFERROR(VLOOKUP(A895,库龄!B:K,9,0),0)</f>
        <v>0</v>
      </c>
      <c r="K895">
        <f>IFERROR(VLOOKUP(A895,库龄!B:L,10,0),0)</f>
        <v>0</v>
      </c>
      <c r="L895">
        <f>IFERROR(VLOOKUP(A895,库龄!B:M,11,0),0)</f>
        <v>0</v>
      </c>
      <c r="M895">
        <f>IFERROR(VLOOKUP(A895,库龄!B:N,12,0),0)</f>
        <v>0</v>
      </c>
      <c r="N895">
        <f t="shared" si="28"/>
        <v>0</v>
      </c>
    </row>
    <row r="896" spans="1:14">
      <c r="A896" s="3" t="s">
        <v>2385</v>
      </c>
      <c r="B896">
        <f>IFERROR(VLOOKUP(A896,管理亚马逊库存!A:K,11,0),"")</f>
        <v>5</v>
      </c>
      <c r="C896">
        <f>IFERROR(VLOOKUP(A896,管理亚马逊库存!A:L,12,0),"")</f>
        <v>0</v>
      </c>
      <c r="D896">
        <f>IFERROR(VLOOKUP(A896,管理亚马逊库存!A:Q,17,0),"")</f>
        <v>0</v>
      </c>
      <c r="E896">
        <f>IFERROR(VLOOKUP(A896,管理亚马逊库存!A:R,18,0),"")</f>
        <v>0</v>
      </c>
      <c r="F896">
        <f t="shared" si="27"/>
        <v>0</v>
      </c>
      <c r="G896" t="str">
        <f>IFERROR(VLOOKUP(A896,预留库存!A:G,7,0),0)</f>
        <v>No</v>
      </c>
      <c r="H896">
        <f>IFERROR(VLOOKUP(A896,预留库存!A:H,8,0),0)</f>
        <v>0</v>
      </c>
      <c r="I896">
        <f>IFERROR(VLOOKUP(A896,预留库存!A:F,6,0),0)</f>
        <v>22.98</v>
      </c>
      <c r="J896">
        <f>IFERROR(VLOOKUP(A896,库龄!B:K,9,0),0)</f>
        <v>5</v>
      </c>
      <c r="K896">
        <f>IFERROR(VLOOKUP(A896,库龄!B:L,10,0),0)</f>
        <v>0</v>
      </c>
      <c r="L896">
        <f>IFERROR(VLOOKUP(A896,库龄!B:M,11,0),0)</f>
        <v>0</v>
      </c>
      <c r="M896">
        <f>IFERROR(VLOOKUP(A896,库龄!B:N,12,0),0)</f>
        <v>0</v>
      </c>
      <c r="N896">
        <f t="shared" si="28"/>
        <v>5</v>
      </c>
    </row>
    <row r="897" spans="1:14">
      <c r="A897" s="3" t="s">
        <v>2388</v>
      </c>
      <c r="B897">
        <f>IFERROR(VLOOKUP(A897,管理亚马逊库存!A:K,11,0),"")</f>
        <v>7</v>
      </c>
      <c r="C897">
        <f>IFERROR(VLOOKUP(A897,管理亚马逊库存!A:L,12,0),"")</f>
        <v>0</v>
      </c>
      <c r="D897">
        <f>IFERROR(VLOOKUP(A897,管理亚马逊库存!A:Q,17,0),"")</f>
        <v>0</v>
      </c>
      <c r="E897">
        <f>IFERROR(VLOOKUP(A897,管理亚马逊库存!A:R,18,0),"")</f>
        <v>0</v>
      </c>
      <c r="F897">
        <f t="shared" si="27"/>
        <v>0</v>
      </c>
      <c r="G897" t="str">
        <f>IFERROR(VLOOKUP(A897,预留库存!A:G,7,0),0)</f>
        <v>No</v>
      </c>
      <c r="H897">
        <f>IFERROR(VLOOKUP(A897,预留库存!A:H,8,0),0)</f>
        <v>0</v>
      </c>
      <c r="I897">
        <f>IFERROR(VLOOKUP(A897,预留库存!A:F,6,0),0)</f>
        <v>22.98</v>
      </c>
      <c r="J897">
        <f>IFERROR(VLOOKUP(A897,库龄!B:K,9,0),0)</f>
        <v>0</v>
      </c>
      <c r="K897">
        <f>IFERROR(VLOOKUP(A897,库龄!B:L,10,0),0)</f>
        <v>4</v>
      </c>
      <c r="L897">
        <f>IFERROR(VLOOKUP(A897,库龄!B:M,11,0),0)</f>
        <v>0</v>
      </c>
      <c r="M897">
        <f>IFERROR(VLOOKUP(A897,库龄!B:N,12,0),0)</f>
        <v>0</v>
      </c>
      <c r="N897">
        <f t="shared" si="28"/>
        <v>4</v>
      </c>
    </row>
    <row r="898" spans="1:14">
      <c r="A898" s="3" t="s">
        <v>2391</v>
      </c>
      <c r="B898">
        <f>IFERROR(VLOOKUP(A898,管理亚马逊库存!A:K,11,0),"")</f>
        <v>11</v>
      </c>
      <c r="C898">
        <f>IFERROR(VLOOKUP(A898,管理亚马逊库存!A:L,12,0),"")</f>
        <v>0</v>
      </c>
      <c r="D898">
        <f>IFERROR(VLOOKUP(A898,管理亚马逊库存!A:Q,17,0),"")</f>
        <v>0</v>
      </c>
      <c r="E898">
        <f>IFERROR(VLOOKUP(A898,管理亚马逊库存!A:R,18,0),"")</f>
        <v>0</v>
      </c>
      <c r="F898">
        <f t="shared" si="27"/>
        <v>0</v>
      </c>
      <c r="G898" t="str">
        <f>IFERROR(VLOOKUP(A898,预留库存!A:G,7,0),0)</f>
        <v>No</v>
      </c>
      <c r="H898">
        <f>IFERROR(VLOOKUP(A898,预留库存!A:H,8,0),0)</f>
        <v>0</v>
      </c>
      <c r="I898">
        <f>IFERROR(VLOOKUP(A898,预留库存!A:F,6,0),0)</f>
        <v>22.98</v>
      </c>
      <c r="J898">
        <f>IFERROR(VLOOKUP(A898,库龄!B:K,9,0),0)</f>
        <v>0</v>
      </c>
      <c r="K898">
        <f>IFERROR(VLOOKUP(A898,库龄!B:L,10,0),0)</f>
        <v>0</v>
      </c>
      <c r="L898">
        <f>IFERROR(VLOOKUP(A898,库龄!B:M,11,0),0)</f>
        <v>0</v>
      </c>
      <c r="M898">
        <f>IFERROR(VLOOKUP(A898,库龄!B:N,12,0),0)</f>
        <v>0</v>
      </c>
      <c r="N898">
        <f t="shared" si="28"/>
        <v>0</v>
      </c>
    </row>
    <row r="899" spans="1:14">
      <c r="A899" s="3" t="s">
        <v>2394</v>
      </c>
      <c r="B899">
        <f>IFERROR(VLOOKUP(A899,管理亚马逊库存!A:K,11,0),"")</f>
        <v>12</v>
      </c>
      <c r="C899">
        <f>IFERROR(VLOOKUP(A899,管理亚马逊库存!A:L,12,0),"")</f>
        <v>0</v>
      </c>
      <c r="D899">
        <f>IFERROR(VLOOKUP(A899,管理亚马逊库存!A:Q,17,0),"")</f>
        <v>0</v>
      </c>
      <c r="E899">
        <f>IFERROR(VLOOKUP(A899,管理亚马逊库存!A:R,18,0),"")</f>
        <v>0</v>
      </c>
      <c r="F899">
        <f t="shared" ref="F899:F962" si="29">SUM(D899:E899)</f>
        <v>0</v>
      </c>
      <c r="G899" t="str">
        <f>IFERROR(VLOOKUP(A899,预留库存!A:G,7,0),0)</f>
        <v>No</v>
      </c>
      <c r="H899">
        <f>IFERROR(VLOOKUP(A899,预留库存!A:H,8,0),0)</f>
        <v>0</v>
      </c>
      <c r="I899">
        <f>IFERROR(VLOOKUP(A899,预留库存!A:F,6,0),0)</f>
        <v>22.98</v>
      </c>
      <c r="J899">
        <f>IFERROR(VLOOKUP(A899,库龄!B:K,9,0),0)</f>
        <v>11</v>
      </c>
      <c r="K899">
        <f>IFERROR(VLOOKUP(A899,库龄!B:L,10,0),0)</f>
        <v>0</v>
      </c>
      <c r="L899">
        <f>IFERROR(VLOOKUP(A899,库龄!B:M,11,0),0)</f>
        <v>0</v>
      </c>
      <c r="M899">
        <f>IFERROR(VLOOKUP(A899,库龄!B:N,12,0),0)</f>
        <v>0</v>
      </c>
      <c r="N899">
        <f t="shared" ref="N899:N962" si="30">SUM(J899:M899)</f>
        <v>11</v>
      </c>
    </row>
    <row r="900" spans="1:14">
      <c r="A900" s="3" t="s">
        <v>2397</v>
      </c>
      <c r="B900">
        <f>IFERROR(VLOOKUP(A900,管理亚马逊库存!A:K,11,0),"")</f>
        <v>7</v>
      </c>
      <c r="C900">
        <f>IFERROR(VLOOKUP(A900,管理亚马逊库存!A:L,12,0),"")</f>
        <v>0</v>
      </c>
      <c r="D900">
        <f>IFERROR(VLOOKUP(A900,管理亚马逊库存!A:Q,17,0),"")</f>
        <v>0</v>
      </c>
      <c r="E900">
        <f>IFERROR(VLOOKUP(A900,管理亚马逊库存!A:R,18,0),"")</f>
        <v>0</v>
      </c>
      <c r="F900">
        <f t="shared" si="29"/>
        <v>0</v>
      </c>
      <c r="G900" t="str">
        <f>IFERROR(VLOOKUP(A900,预留库存!A:G,7,0),0)</f>
        <v>No</v>
      </c>
      <c r="H900">
        <f>IFERROR(VLOOKUP(A900,预留库存!A:H,8,0),0)</f>
        <v>0</v>
      </c>
      <c r="I900">
        <f>IFERROR(VLOOKUP(A900,预留库存!A:F,6,0),0)</f>
        <v>22.98</v>
      </c>
      <c r="J900">
        <f>IFERROR(VLOOKUP(A900,库龄!B:K,9,0),0)</f>
        <v>6</v>
      </c>
      <c r="K900">
        <f>IFERROR(VLOOKUP(A900,库龄!B:L,10,0),0)</f>
        <v>0</v>
      </c>
      <c r="L900">
        <f>IFERROR(VLOOKUP(A900,库龄!B:M,11,0),0)</f>
        <v>0</v>
      </c>
      <c r="M900">
        <f>IFERROR(VLOOKUP(A900,库龄!B:N,12,0),0)</f>
        <v>0</v>
      </c>
      <c r="N900">
        <f t="shared" si="30"/>
        <v>6</v>
      </c>
    </row>
    <row r="901" spans="1:14">
      <c r="A901" s="3" t="s">
        <v>2400</v>
      </c>
      <c r="B901">
        <f>IFERROR(VLOOKUP(A901,管理亚马逊库存!A:K,11,0),"")</f>
        <v>12</v>
      </c>
      <c r="C901">
        <f>IFERROR(VLOOKUP(A901,管理亚马逊库存!A:L,12,0),"")</f>
        <v>0</v>
      </c>
      <c r="D901">
        <f>IFERROR(VLOOKUP(A901,管理亚马逊库存!A:Q,17,0),"")</f>
        <v>0</v>
      </c>
      <c r="E901">
        <f>IFERROR(VLOOKUP(A901,管理亚马逊库存!A:R,18,0),"")</f>
        <v>0</v>
      </c>
      <c r="F901">
        <f t="shared" si="29"/>
        <v>0</v>
      </c>
      <c r="G901" t="str">
        <f>IFERROR(VLOOKUP(A901,预留库存!A:G,7,0),0)</f>
        <v>No</v>
      </c>
      <c r="H901">
        <f>IFERROR(VLOOKUP(A901,预留库存!A:H,8,0),0)</f>
        <v>0</v>
      </c>
      <c r="I901">
        <f>IFERROR(VLOOKUP(A901,预留库存!A:F,6,0),0)</f>
        <v>22.98</v>
      </c>
      <c r="J901">
        <f>IFERROR(VLOOKUP(A901,库龄!B:K,9,0),0)</f>
        <v>11</v>
      </c>
      <c r="K901">
        <f>IFERROR(VLOOKUP(A901,库龄!B:L,10,0),0)</f>
        <v>1</v>
      </c>
      <c r="L901">
        <f>IFERROR(VLOOKUP(A901,库龄!B:M,11,0),0)</f>
        <v>0</v>
      </c>
      <c r="M901">
        <f>IFERROR(VLOOKUP(A901,库龄!B:N,12,0),0)</f>
        <v>0</v>
      </c>
      <c r="N901">
        <f t="shared" si="30"/>
        <v>12</v>
      </c>
    </row>
    <row r="902" spans="1:14">
      <c r="A902" s="3" t="s">
        <v>2403</v>
      </c>
      <c r="B902">
        <f>IFERROR(VLOOKUP(A902,管理亚马逊库存!A:K,11,0),"")</f>
        <v>1</v>
      </c>
      <c r="C902">
        <f>IFERROR(VLOOKUP(A902,管理亚马逊库存!A:L,12,0),"")</f>
        <v>0</v>
      </c>
      <c r="D902">
        <f>IFERROR(VLOOKUP(A902,管理亚马逊库存!A:Q,17,0),"")</f>
        <v>0</v>
      </c>
      <c r="E902">
        <f>IFERROR(VLOOKUP(A902,管理亚马逊库存!A:R,18,0),"")</f>
        <v>0</v>
      </c>
      <c r="F902">
        <f t="shared" si="29"/>
        <v>0</v>
      </c>
      <c r="G902" t="str">
        <f>IFERROR(VLOOKUP(A902,预留库存!A:G,7,0),0)</f>
        <v>No</v>
      </c>
      <c r="H902">
        <f>IFERROR(VLOOKUP(A902,预留库存!A:H,8,0),0)</f>
        <v>0</v>
      </c>
      <c r="I902">
        <f>IFERROR(VLOOKUP(A902,预留库存!A:F,6,0),0)</f>
        <v>22.98</v>
      </c>
      <c r="J902">
        <f>IFERROR(VLOOKUP(A902,库龄!B:K,9,0),0)</f>
        <v>0</v>
      </c>
      <c r="K902">
        <f>IFERROR(VLOOKUP(A902,库龄!B:L,10,0),0)</f>
        <v>0</v>
      </c>
      <c r="L902">
        <f>IFERROR(VLOOKUP(A902,库龄!B:M,11,0),0)</f>
        <v>0</v>
      </c>
      <c r="M902">
        <f>IFERROR(VLOOKUP(A902,库龄!B:N,12,0),0)</f>
        <v>0</v>
      </c>
      <c r="N902">
        <f t="shared" si="30"/>
        <v>0</v>
      </c>
    </row>
    <row r="903" spans="1:14">
      <c r="A903" s="3" t="s">
        <v>2406</v>
      </c>
      <c r="B903">
        <f>IFERROR(VLOOKUP(A903,管理亚马逊库存!A:K,11,0),"")</f>
        <v>11</v>
      </c>
      <c r="C903">
        <f>IFERROR(VLOOKUP(A903,管理亚马逊库存!A:L,12,0),"")</f>
        <v>0</v>
      </c>
      <c r="D903">
        <f>IFERROR(VLOOKUP(A903,管理亚马逊库存!A:Q,17,0),"")</f>
        <v>0</v>
      </c>
      <c r="E903">
        <f>IFERROR(VLOOKUP(A903,管理亚马逊库存!A:R,18,0),"")</f>
        <v>0</v>
      </c>
      <c r="F903">
        <f t="shared" si="29"/>
        <v>0</v>
      </c>
      <c r="G903" t="str">
        <f>IFERROR(VLOOKUP(A903,预留库存!A:G,7,0),0)</f>
        <v>No</v>
      </c>
      <c r="H903">
        <f>IFERROR(VLOOKUP(A903,预留库存!A:H,8,0),0)</f>
        <v>0</v>
      </c>
      <c r="I903">
        <f>IFERROR(VLOOKUP(A903,预留库存!A:F,6,0),0)</f>
        <v>22.98</v>
      </c>
      <c r="J903">
        <f>IFERROR(VLOOKUP(A903,库龄!B:K,9,0),0)</f>
        <v>7</v>
      </c>
      <c r="K903">
        <f>IFERROR(VLOOKUP(A903,库龄!B:L,10,0),0)</f>
        <v>0</v>
      </c>
      <c r="L903">
        <f>IFERROR(VLOOKUP(A903,库龄!B:M,11,0),0)</f>
        <v>0</v>
      </c>
      <c r="M903">
        <f>IFERROR(VLOOKUP(A903,库龄!B:N,12,0),0)</f>
        <v>0</v>
      </c>
      <c r="N903">
        <f t="shared" si="30"/>
        <v>7</v>
      </c>
    </row>
    <row r="904" spans="1:14">
      <c r="A904" s="3" t="s">
        <v>2409</v>
      </c>
      <c r="B904">
        <f>IFERROR(VLOOKUP(A904,管理亚马逊库存!A:K,11,0),"")</f>
        <v>23</v>
      </c>
      <c r="C904">
        <f>IFERROR(VLOOKUP(A904,管理亚马逊库存!A:L,12,0),"")</f>
        <v>0</v>
      </c>
      <c r="D904">
        <f>IFERROR(VLOOKUP(A904,管理亚马逊库存!A:Q,17,0),"")</f>
        <v>0</v>
      </c>
      <c r="E904">
        <f>IFERROR(VLOOKUP(A904,管理亚马逊库存!A:R,18,0),"")</f>
        <v>0</v>
      </c>
      <c r="F904">
        <f t="shared" si="29"/>
        <v>0</v>
      </c>
      <c r="G904" t="str">
        <f>IFERROR(VLOOKUP(A904,预留库存!A:G,7,0),0)</f>
        <v>No</v>
      </c>
      <c r="H904">
        <f>IFERROR(VLOOKUP(A904,预留库存!A:H,8,0),0)</f>
        <v>0</v>
      </c>
      <c r="I904">
        <f>IFERROR(VLOOKUP(A904,预留库存!A:F,6,0),0)</f>
        <v>22.98</v>
      </c>
      <c r="J904">
        <f>IFERROR(VLOOKUP(A904,库龄!B:K,9,0),0)</f>
        <v>0</v>
      </c>
      <c r="K904">
        <f>IFERROR(VLOOKUP(A904,库龄!B:L,10,0),0)</f>
        <v>0</v>
      </c>
      <c r="L904">
        <f>IFERROR(VLOOKUP(A904,库龄!B:M,11,0),0)</f>
        <v>0</v>
      </c>
      <c r="M904">
        <f>IFERROR(VLOOKUP(A904,库龄!B:N,12,0),0)</f>
        <v>0</v>
      </c>
      <c r="N904">
        <f t="shared" si="30"/>
        <v>0</v>
      </c>
    </row>
    <row r="905" spans="1:14">
      <c r="A905" s="3" t="s">
        <v>2412</v>
      </c>
      <c r="B905">
        <f>IFERROR(VLOOKUP(A905,管理亚马逊库存!A:K,11,0),"")</f>
        <v>17</v>
      </c>
      <c r="C905">
        <f>IFERROR(VLOOKUP(A905,管理亚马逊库存!A:L,12,0),"")</f>
        <v>0</v>
      </c>
      <c r="D905">
        <f>IFERROR(VLOOKUP(A905,管理亚马逊库存!A:Q,17,0),"")</f>
        <v>0</v>
      </c>
      <c r="E905">
        <f>IFERROR(VLOOKUP(A905,管理亚马逊库存!A:R,18,0),"")</f>
        <v>0</v>
      </c>
      <c r="F905">
        <f t="shared" si="29"/>
        <v>0</v>
      </c>
      <c r="G905" t="str">
        <f>IFERROR(VLOOKUP(A905,预留库存!A:G,7,0),0)</f>
        <v>No</v>
      </c>
      <c r="H905">
        <f>IFERROR(VLOOKUP(A905,预留库存!A:H,8,0),0)</f>
        <v>0</v>
      </c>
      <c r="I905">
        <f>IFERROR(VLOOKUP(A905,预留库存!A:F,6,0),0)</f>
        <v>22.98</v>
      </c>
      <c r="J905">
        <f>IFERROR(VLOOKUP(A905,库龄!B:K,9,0),0)</f>
        <v>16</v>
      </c>
      <c r="K905">
        <f>IFERROR(VLOOKUP(A905,库龄!B:L,10,0),0)</f>
        <v>0</v>
      </c>
      <c r="L905">
        <f>IFERROR(VLOOKUP(A905,库龄!B:M,11,0),0)</f>
        <v>0</v>
      </c>
      <c r="M905">
        <f>IFERROR(VLOOKUP(A905,库龄!B:N,12,0),0)</f>
        <v>0</v>
      </c>
      <c r="N905">
        <f t="shared" si="30"/>
        <v>16</v>
      </c>
    </row>
    <row r="906" spans="1:14">
      <c r="A906" s="3" t="s">
        <v>2415</v>
      </c>
      <c r="B906">
        <f>IFERROR(VLOOKUP(A906,管理亚马逊库存!A:K,11,0),"")</f>
        <v>13</v>
      </c>
      <c r="C906">
        <f>IFERROR(VLOOKUP(A906,管理亚马逊库存!A:L,12,0),"")</f>
        <v>0</v>
      </c>
      <c r="D906">
        <f>IFERROR(VLOOKUP(A906,管理亚马逊库存!A:Q,17,0),"")</f>
        <v>0</v>
      </c>
      <c r="E906">
        <f>IFERROR(VLOOKUP(A906,管理亚马逊库存!A:R,18,0),"")</f>
        <v>0</v>
      </c>
      <c r="F906">
        <f t="shared" si="29"/>
        <v>0</v>
      </c>
      <c r="G906" t="str">
        <f>IFERROR(VLOOKUP(A906,预留库存!A:G,7,0),0)</f>
        <v>No</v>
      </c>
      <c r="H906">
        <f>IFERROR(VLOOKUP(A906,预留库存!A:H,8,0),0)</f>
        <v>0</v>
      </c>
      <c r="I906">
        <f>IFERROR(VLOOKUP(A906,预留库存!A:F,6,0),0)</f>
        <v>22.98</v>
      </c>
      <c r="J906">
        <f>IFERROR(VLOOKUP(A906,库龄!B:K,9,0),0)</f>
        <v>11</v>
      </c>
      <c r="K906">
        <f>IFERROR(VLOOKUP(A906,库龄!B:L,10,0),0)</f>
        <v>0</v>
      </c>
      <c r="L906">
        <f>IFERROR(VLOOKUP(A906,库龄!B:M,11,0),0)</f>
        <v>0</v>
      </c>
      <c r="M906">
        <f>IFERROR(VLOOKUP(A906,库龄!B:N,12,0),0)</f>
        <v>0</v>
      </c>
      <c r="N906">
        <f t="shared" si="30"/>
        <v>11</v>
      </c>
    </row>
    <row r="907" spans="1:14">
      <c r="A907" s="3" t="s">
        <v>2418</v>
      </c>
      <c r="B907">
        <f>IFERROR(VLOOKUP(A907,管理亚马逊库存!A:K,11,0),"")</f>
        <v>1</v>
      </c>
      <c r="C907">
        <f>IFERROR(VLOOKUP(A907,管理亚马逊库存!A:L,12,0),"")</f>
        <v>0</v>
      </c>
      <c r="D907">
        <f>IFERROR(VLOOKUP(A907,管理亚马逊库存!A:Q,17,0),"")</f>
        <v>0</v>
      </c>
      <c r="E907">
        <f>IFERROR(VLOOKUP(A907,管理亚马逊库存!A:R,18,0),"")</f>
        <v>0</v>
      </c>
      <c r="F907">
        <f t="shared" si="29"/>
        <v>0</v>
      </c>
      <c r="G907" t="str">
        <f>IFERROR(VLOOKUP(A907,预留库存!A:G,7,0),0)</f>
        <v>No</v>
      </c>
      <c r="H907">
        <f>IFERROR(VLOOKUP(A907,预留库存!A:H,8,0),0)</f>
        <v>0</v>
      </c>
      <c r="I907">
        <f>IFERROR(VLOOKUP(A907,预留库存!A:F,6,0),0)</f>
        <v>22.98</v>
      </c>
      <c r="J907">
        <f>IFERROR(VLOOKUP(A907,库龄!B:K,9,0),0)</f>
        <v>0</v>
      </c>
      <c r="K907">
        <f>IFERROR(VLOOKUP(A907,库龄!B:L,10,0),0)</f>
        <v>0</v>
      </c>
      <c r="L907">
        <f>IFERROR(VLOOKUP(A907,库龄!B:M,11,0),0)</f>
        <v>0</v>
      </c>
      <c r="M907">
        <f>IFERROR(VLOOKUP(A907,库龄!B:N,12,0),0)</f>
        <v>0</v>
      </c>
      <c r="N907">
        <f t="shared" si="30"/>
        <v>0</v>
      </c>
    </row>
    <row r="908" spans="1:14">
      <c r="A908" s="3" t="s">
        <v>2421</v>
      </c>
      <c r="B908">
        <f>IFERROR(VLOOKUP(A908,管理亚马逊库存!A:K,11,0),"")</f>
        <v>18</v>
      </c>
      <c r="C908">
        <f>IFERROR(VLOOKUP(A908,管理亚马逊库存!A:L,12,0),"")</f>
        <v>0</v>
      </c>
      <c r="D908">
        <f>IFERROR(VLOOKUP(A908,管理亚马逊库存!A:Q,17,0),"")</f>
        <v>0</v>
      </c>
      <c r="E908">
        <f>IFERROR(VLOOKUP(A908,管理亚马逊库存!A:R,18,0),"")</f>
        <v>0</v>
      </c>
      <c r="F908">
        <f t="shared" si="29"/>
        <v>0</v>
      </c>
      <c r="G908" t="str">
        <f>IFERROR(VLOOKUP(A908,预留库存!A:G,7,0),0)</f>
        <v>No</v>
      </c>
      <c r="H908">
        <f>IFERROR(VLOOKUP(A908,预留库存!A:H,8,0),0)</f>
        <v>0</v>
      </c>
      <c r="I908">
        <f>IFERROR(VLOOKUP(A908,预留库存!A:F,6,0),0)</f>
        <v>22.98</v>
      </c>
      <c r="J908">
        <f>IFERROR(VLOOKUP(A908,库龄!B:K,9,0),0)</f>
        <v>11</v>
      </c>
      <c r="K908">
        <f>IFERROR(VLOOKUP(A908,库龄!B:L,10,0),0)</f>
        <v>0</v>
      </c>
      <c r="L908">
        <f>IFERROR(VLOOKUP(A908,库龄!B:M,11,0),0)</f>
        <v>0</v>
      </c>
      <c r="M908">
        <f>IFERROR(VLOOKUP(A908,库龄!B:N,12,0),0)</f>
        <v>0</v>
      </c>
      <c r="N908">
        <f t="shared" si="30"/>
        <v>11</v>
      </c>
    </row>
    <row r="909" spans="1:14">
      <c r="A909" s="3" t="s">
        <v>2424</v>
      </c>
      <c r="B909">
        <f>IFERROR(VLOOKUP(A909,管理亚马逊库存!A:K,11,0),"")</f>
        <v>7</v>
      </c>
      <c r="C909">
        <f>IFERROR(VLOOKUP(A909,管理亚马逊库存!A:L,12,0),"")</f>
        <v>0</v>
      </c>
      <c r="D909">
        <f>IFERROR(VLOOKUP(A909,管理亚马逊库存!A:Q,17,0),"")</f>
        <v>0</v>
      </c>
      <c r="E909">
        <f>IFERROR(VLOOKUP(A909,管理亚马逊库存!A:R,18,0),"")</f>
        <v>0</v>
      </c>
      <c r="F909">
        <f t="shared" si="29"/>
        <v>0</v>
      </c>
      <c r="G909" t="str">
        <f>IFERROR(VLOOKUP(A909,预留库存!A:G,7,0),0)</f>
        <v>No</v>
      </c>
      <c r="H909">
        <f>IFERROR(VLOOKUP(A909,预留库存!A:H,8,0),0)</f>
        <v>0</v>
      </c>
      <c r="I909">
        <f>IFERROR(VLOOKUP(A909,预留库存!A:F,6,0),0)</f>
        <v>22.98</v>
      </c>
      <c r="J909">
        <f>IFERROR(VLOOKUP(A909,库龄!B:K,9,0),0)</f>
        <v>7</v>
      </c>
      <c r="K909">
        <f>IFERROR(VLOOKUP(A909,库龄!B:L,10,0),0)</f>
        <v>0</v>
      </c>
      <c r="L909">
        <f>IFERROR(VLOOKUP(A909,库龄!B:M,11,0),0)</f>
        <v>0</v>
      </c>
      <c r="M909">
        <f>IFERROR(VLOOKUP(A909,库龄!B:N,12,0),0)</f>
        <v>0</v>
      </c>
      <c r="N909">
        <f t="shared" si="30"/>
        <v>7</v>
      </c>
    </row>
    <row r="910" spans="1:14">
      <c r="A910" s="3" t="s">
        <v>2427</v>
      </c>
      <c r="B910">
        <f>IFERROR(VLOOKUP(A910,管理亚马逊库存!A:K,11,0),"")</f>
        <v>7</v>
      </c>
      <c r="C910">
        <f>IFERROR(VLOOKUP(A910,管理亚马逊库存!A:L,12,0),"")</f>
        <v>0</v>
      </c>
      <c r="D910">
        <f>IFERROR(VLOOKUP(A910,管理亚马逊库存!A:Q,17,0),"")</f>
        <v>0</v>
      </c>
      <c r="E910">
        <f>IFERROR(VLOOKUP(A910,管理亚马逊库存!A:R,18,0),"")</f>
        <v>0</v>
      </c>
      <c r="F910">
        <f t="shared" si="29"/>
        <v>0</v>
      </c>
      <c r="G910" t="str">
        <f>IFERROR(VLOOKUP(A910,预留库存!A:G,7,0),0)</f>
        <v>No</v>
      </c>
      <c r="H910">
        <f>IFERROR(VLOOKUP(A910,预留库存!A:H,8,0),0)</f>
        <v>0</v>
      </c>
      <c r="I910">
        <f>IFERROR(VLOOKUP(A910,预留库存!A:F,6,0),0)</f>
        <v>22.98</v>
      </c>
      <c r="J910">
        <f>IFERROR(VLOOKUP(A910,库龄!B:K,9,0),0)</f>
        <v>5</v>
      </c>
      <c r="K910">
        <f>IFERROR(VLOOKUP(A910,库龄!B:L,10,0),0)</f>
        <v>0</v>
      </c>
      <c r="L910">
        <f>IFERROR(VLOOKUP(A910,库龄!B:M,11,0),0)</f>
        <v>0</v>
      </c>
      <c r="M910">
        <f>IFERROR(VLOOKUP(A910,库龄!B:N,12,0),0)</f>
        <v>0</v>
      </c>
      <c r="N910">
        <f t="shared" si="30"/>
        <v>5</v>
      </c>
    </row>
    <row r="911" spans="1:14">
      <c r="A911" s="3" t="s">
        <v>2430</v>
      </c>
      <c r="B911">
        <f>IFERROR(VLOOKUP(A911,管理亚马逊库存!A:K,11,0),"")</f>
        <v>6</v>
      </c>
      <c r="C911">
        <f>IFERROR(VLOOKUP(A911,管理亚马逊库存!A:L,12,0),"")</f>
        <v>0</v>
      </c>
      <c r="D911">
        <f>IFERROR(VLOOKUP(A911,管理亚马逊库存!A:Q,17,0),"")</f>
        <v>0</v>
      </c>
      <c r="E911">
        <f>IFERROR(VLOOKUP(A911,管理亚马逊库存!A:R,18,0),"")</f>
        <v>0</v>
      </c>
      <c r="F911">
        <f t="shared" si="29"/>
        <v>0</v>
      </c>
      <c r="G911" t="str">
        <f>IFERROR(VLOOKUP(A911,预留库存!A:G,7,0),0)</f>
        <v>No</v>
      </c>
      <c r="H911">
        <f>IFERROR(VLOOKUP(A911,预留库存!A:H,8,0),0)</f>
        <v>0</v>
      </c>
      <c r="I911">
        <f>IFERROR(VLOOKUP(A911,预留库存!A:F,6,0),0)</f>
        <v>22.98</v>
      </c>
      <c r="J911">
        <f>IFERROR(VLOOKUP(A911,库龄!B:K,9,0),0)</f>
        <v>6</v>
      </c>
      <c r="K911">
        <f>IFERROR(VLOOKUP(A911,库龄!B:L,10,0),0)</f>
        <v>0</v>
      </c>
      <c r="L911">
        <f>IFERROR(VLOOKUP(A911,库龄!B:M,11,0),0)</f>
        <v>0</v>
      </c>
      <c r="M911">
        <f>IFERROR(VLOOKUP(A911,库龄!B:N,12,0),0)</f>
        <v>0</v>
      </c>
      <c r="N911">
        <f t="shared" si="30"/>
        <v>6</v>
      </c>
    </row>
    <row r="912" spans="1:14">
      <c r="A912" s="3" t="s">
        <v>2433</v>
      </c>
      <c r="B912">
        <f>IFERROR(VLOOKUP(A912,管理亚马逊库存!A:K,11,0),"")</f>
        <v>1</v>
      </c>
      <c r="C912">
        <f>IFERROR(VLOOKUP(A912,管理亚马逊库存!A:L,12,0),"")</f>
        <v>0</v>
      </c>
      <c r="D912">
        <f>IFERROR(VLOOKUP(A912,管理亚马逊库存!A:Q,17,0),"")</f>
        <v>0</v>
      </c>
      <c r="E912">
        <f>IFERROR(VLOOKUP(A912,管理亚马逊库存!A:R,18,0),"")</f>
        <v>0</v>
      </c>
      <c r="F912">
        <f t="shared" si="29"/>
        <v>0</v>
      </c>
      <c r="G912" t="str">
        <f>IFERROR(VLOOKUP(A912,预留库存!A:G,7,0),0)</f>
        <v>No</v>
      </c>
      <c r="H912">
        <f>IFERROR(VLOOKUP(A912,预留库存!A:H,8,0),0)</f>
        <v>0</v>
      </c>
      <c r="I912">
        <f>IFERROR(VLOOKUP(A912,预留库存!A:F,6,0),0)</f>
        <v>22.98</v>
      </c>
      <c r="J912">
        <f>IFERROR(VLOOKUP(A912,库龄!B:K,9,0),0)</f>
        <v>0</v>
      </c>
      <c r="K912">
        <f>IFERROR(VLOOKUP(A912,库龄!B:L,10,0),0)</f>
        <v>0</v>
      </c>
      <c r="L912">
        <f>IFERROR(VLOOKUP(A912,库龄!B:M,11,0),0)</f>
        <v>0</v>
      </c>
      <c r="M912">
        <f>IFERROR(VLOOKUP(A912,库龄!B:N,12,0),0)</f>
        <v>0</v>
      </c>
      <c r="N912">
        <f t="shared" si="30"/>
        <v>0</v>
      </c>
    </row>
    <row r="913" spans="1:14">
      <c r="A913" s="3" t="s">
        <v>2436</v>
      </c>
      <c r="B913">
        <f>IFERROR(VLOOKUP(A913,管理亚马逊库存!A:K,11,0),"")</f>
        <v>0</v>
      </c>
      <c r="C913">
        <f>IFERROR(VLOOKUP(A913,管理亚马逊库存!A:L,12,0),"")</f>
        <v>0</v>
      </c>
      <c r="D913">
        <f>IFERROR(VLOOKUP(A913,管理亚马逊库存!A:Q,17,0),"")</f>
        <v>0</v>
      </c>
      <c r="E913">
        <f>IFERROR(VLOOKUP(A913,管理亚马逊库存!A:R,18,0),"")</f>
        <v>0</v>
      </c>
      <c r="F913">
        <f t="shared" si="29"/>
        <v>0</v>
      </c>
      <c r="G913" t="str">
        <f>IFERROR(VLOOKUP(A913,预留库存!A:G,7,0),0)</f>
        <v>No</v>
      </c>
      <c r="H913">
        <f>IFERROR(VLOOKUP(A913,预留库存!A:H,8,0),0)</f>
        <v>0</v>
      </c>
      <c r="I913">
        <f>IFERROR(VLOOKUP(A913,预留库存!A:F,6,0),0)</f>
        <v>22.98</v>
      </c>
      <c r="J913">
        <f>IFERROR(VLOOKUP(A913,库龄!B:K,9,0),0)</f>
        <v>0</v>
      </c>
      <c r="K913">
        <f>IFERROR(VLOOKUP(A913,库龄!B:L,10,0),0)</f>
        <v>0</v>
      </c>
      <c r="L913">
        <f>IFERROR(VLOOKUP(A913,库龄!B:M,11,0),0)</f>
        <v>0</v>
      </c>
      <c r="M913">
        <f>IFERROR(VLOOKUP(A913,库龄!B:N,12,0),0)</f>
        <v>0</v>
      </c>
      <c r="N913">
        <f t="shared" si="30"/>
        <v>0</v>
      </c>
    </row>
    <row r="914" spans="1:14">
      <c r="A914" s="3" t="s">
        <v>2439</v>
      </c>
      <c r="B914">
        <f>IFERROR(VLOOKUP(A914,管理亚马逊库存!A:K,11,0),"")</f>
        <v>0</v>
      </c>
      <c r="C914">
        <f>IFERROR(VLOOKUP(A914,管理亚马逊库存!A:L,12,0),"")</f>
        <v>0</v>
      </c>
      <c r="D914">
        <f>IFERROR(VLOOKUP(A914,管理亚马逊库存!A:Q,17,0),"")</f>
        <v>0</v>
      </c>
      <c r="E914">
        <f>IFERROR(VLOOKUP(A914,管理亚马逊库存!A:R,18,0),"")</f>
        <v>0</v>
      </c>
      <c r="F914">
        <f t="shared" si="29"/>
        <v>0</v>
      </c>
      <c r="G914" t="str">
        <f>IFERROR(VLOOKUP(A914,预留库存!A:G,7,0),0)</f>
        <v>No</v>
      </c>
      <c r="H914">
        <f>IFERROR(VLOOKUP(A914,预留库存!A:H,8,0),0)</f>
        <v>0</v>
      </c>
      <c r="I914">
        <f>IFERROR(VLOOKUP(A914,预留库存!A:F,6,0),0)</f>
        <v>22.98</v>
      </c>
      <c r="J914">
        <f>IFERROR(VLOOKUP(A914,库龄!B:K,9,0),0)</f>
        <v>0</v>
      </c>
      <c r="K914">
        <f>IFERROR(VLOOKUP(A914,库龄!B:L,10,0),0)</f>
        <v>0</v>
      </c>
      <c r="L914">
        <f>IFERROR(VLOOKUP(A914,库龄!B:M,11,0),0)</f>
        <v>0</v>
      </c>
      <c r="M914">
        <f>IFERROR(VLOOKUP(A914,库龄!B:N,12,0),0)</f>
        <v>0</v>
      </c>
      <c r="N914">
        <f t="shared" si="30"/>
        <v>0</v>
      </c>
    </row>
    <row r="915" spans="1:14">
      <c r="A915" s="3" t="s">
        <v>2442</v>
      </c>
      <c r="B915">
        <f>IFERROR(VLOOKUP(A915,管理亚马逊库存!A:K,11,0),"")</f>
        <v>1</v>
      </c>
      <c r="C915">
        <f>IFERROR(VLOOKUP(A915,管理亚马逊库存!A:L,12,0),"")</f>
        <v>0</v>
      </c>
      <c r="D915">
        <f>IFERROR(VLOOKUP(A915,管理亚马逊库存!A:Q,17,0),"")</f>
        <v>0</v>
      </c>
      <c r="E915">
        <f>IFERROR(VLOOKUP(A915,管理亚马逊库存!A:R,18,0),"")</f>
        <v>0</v>
      </c>
      <c r="F915">
        <f t="shared" si="29"/>
        <v>0</v>
      </c>
      <c r="G915" t="str">
        <f>IFERROR(VLOOKUP(A915,预留库存!A:G,7,0),0)</f>
        <v>No</v>
      </c>
      <c r="H915">
        <f>IFERROR(VLOOKUP(A915,预留库存!A:H,8,0),0)</f>
        <v>0</v>
      </c>
      <c r="I915">
        <f>IFERROR(VLOOKUP(A915,预留库存!A:F,6,0),0)</f>
        <v>22.98</v>
      </c>
      <c r="J915">
        <f>IFERROR(VLOOKUP(A915,库龄!B:K,9,0),0)</f>
        <v>0</v>
      </c>
      <c r="K915">
        <f>IFERROR(VLOOKUP(A915,库龄!B:L,10,0),0)</f>
        <v>0</v>
      </c>
      <c r="L915">
        <f>IFERROR(VLOOKUP(A915,库龄!B:M,11,0),0)</f>
        <v>0</v>
      </c>
      <c r="M915">
        <f>IFERROR(VLOOKUP(A915,库龄!B:N,12,0),0)</f>
        <v>0</v>
      </c>
      <c r="N915">
        <f t="shared" si="30"/>
        <v>0</v>
      </c>
    </row>
    <row r="916" spans="1:14">
      <c r="A916" s="3" t="s">
        <v>2445</v>
      </c>
      <c r="B916">
        <f>IFERROR(VLOOKUP(A916,管理亚马逊库存!A:K,11,0),"")</f>
        <v>33</v>
      </c>
      <c r="C916">
        <f>IFERROR(VLOOKUP(A916,管理亚马逊库存!A:L,12,0),"")</f>
        <v>0</v>
      </c>
      <c r="D916">
        <f>IFERROR(VLOOKUP(A916,管理亚马逊库存!A:Q,17,0),"")</f>
        <v>0</v>
      </c>
      <c r="E916">
        <f>IFERROR(VLOOKUP(A916,管理亚马逊库存!A:R,18,0),"")</f>
        <v>0</v>
      </c>
      <c r="F916">
        <f t="shared" si="29"/>
        <v>0</v>
      </c>
      <c r="G916" t="str">
        <f>IFERROR(VLOOKUP(A916,预留库存!A:G,7,0),0)</f>
        <v>No</v>
      </c>
      <c r="H916">
        <f>IFERROR(VLOOKUP(A916,预留库存!A:H,8,0),0)</f>
        <v>0</v>
      </c>
      <c r="I916">
        <f>IFERROR(VLOOKUP(A916,预留库存!A:F,6,0),0)</f>
        <v>22.98</v>
      </c>
      <c r="J916">
        <f>IFERROR(VLOOKUP(A916,库龄!B:K,9,0),0)</f>
        <v>0</v>
      </c>
      <c r="K916">
        <f>IFERROR(VLOOKUP(A916,库龄!B:L,10,0),0)</f>
        <v>0</v>
      </c>
      <c r="L916">
        <f>IFERROR(VLOOKUP(A916,库龄!B:M,11,0),0)</f>
        <v>0</v>
      </c>
      <c r="M916">
        <f>IFERROR(VLOOKUP(A916,库龄!B:N,12,0),0)</f>
        <v>0</v>
      </c>
      <c r="N916">
        <f t="shared" si="30"/>
        <v>0</v>
      </c>
    </row>
    <row r="917" spans="1:14">
      <c r="A917" s="3" t="s">
        <v>2447</v>
      </c>
      <c r="B917">
        <f>IFERROR(VLOOKUP(A917,管理亚马逊库存!A:K,11,0),"")</f>
        <v>1</v>
      </c>
      <c r="C917">
        <f>IFERROR(VLOOKUP(A917,管理亚马逊库存!A:L,12,0),"")</f>
        <v>0</v>
      </c>
      <c r="D917">
        <f>IFERROR(VLOOKUP(A917,管理亚马逊库存!A:Q,17,0),"")</f>
        <v>0</v>
      </c>
      <c r="E917">
        <f>IFERROR(VLOOKUP(A917,管理亚马逊库存!A:R,18,0),"")</f>
        <v>0</v>
      </c>
      <c r="F917">
        <f t="shared" si="29"/>
        <v>0</v>
      </c>
      <c r="G917" t="str">
        <f>IFERROR(VLOOKUP(A917,预留库存!A:G,7,0),0)</f>
        <v>No</v>
      </c>
      <c r="H917">
        <f>IFERROR(VLOOKUP(A917,预留库存!A:H,8,0),0)</f>
        <v>0</v>
      </c>
      <c r="I917">
        <f>IFERROR(VLOOKUP(A917,预留库存!A:F,6,0),0)</f>
        <v>22.98</v>
      </c>
      <c r="J917">
        <f>IFERROR(VLOOKUP(A917,库龄!B:K,9,0),0)</f>
        <v>0</v>
      </c>
      <c r="K917">
        <f>IFERROR(VLOOKUP(A917,库龄!B:L,10,0),0)</f>
        <v>0</v>
      </c>
      <c r="L917">
        <f>IFERROR(VLOOKUP(A917,库龄!B:M,11,0),0)</f>
        <v>0</v>
      </c>
      <c r="M917">
        <f>IFERROR(VLOOKUP(A917,库龄!B:N,12,0),0)</f>
        <v>0</v>
      </c>
      <c r="N917">
        <f t="shared" si="30"/>
        <v>0</v>
      </c>
    </row>
    <row r="918" spans="1:14">
      <c r="A918" s="3" t="s">
        <v>2450</v>
      </c>
      <c r="B918">
        <f>IFERROR(VLOOKUP(A918,管理亚马逊库存!A:K,11,0),"")</f>
        <v>27</v>
      </c>
      <c r="C918">
        <f>IFERROR(VLOOKUP(A918,管理亚马逊库存!A:L,12,0),"")</f>
        <v>0</v>
      </c>
      <c r="D918">
        <f>IFERROR(VLOOKUP(A918,管理亚马逊库存!A:Q,17,0),"")</f>
        <v>0</v>
      </c>
      <c r="E918">
        <f>IFERROR(VLOOKUP(A918,管理亚马逊库存!A:R,18,0),"")</f>
        <v>0</v>
      </c>
      <c r="F918">
        <f t="shared" si="29"/>
        <v>0</v>
      </c>
      <c r="G918" t="str">
        <f>IFERROR(VLOOKUP(A918,预留库存!A:G,7,0),0)</f>
        <v>No</v>
      </c>
      <c r="H918">
        <f>IFERROR(VLOOKUP(A918,预留库存!A:H,8,0),0)</f>
        <v>0</v>
      </c>
      <c r="I918">
        <f>IFERROR(VLOOKUP(A918,预留库存!A:F,6,0),0)</f>
        <v>22.98</v>
      </c>
      <c r="J918">
        <f>IFERROR(VLOOKUP(A918,库龄!B:K,9,0),0)</f>
        <v>0</v>
      </c>
      <c r="K918">
        <f>IFERROR(VLOOKUP(A918,库龄!B:L,10,0),0)</f>
        <v>0</v>
      </c>
      <c r="L918">
        <f>IFERROR(VLOOKUP(A918,库龄!B:M,11,0),0)</f>
        <v>0</v>
      </c>
      <c r="M918">
        <f>IFERROR(VLOOKUP(A918,库龄!B:N,12,0),0)</f>
        <v>0</v>
      </c>
      <c r="N918">
        <f t="shared" si="30"/>
        <v>0</v>
      </c>
    </row>
    <row r="919" spans="1:14">
      <c r="A919" s="3" t="s">
        <v>2453</v>
      </c>
      <c r="B919">
        <f>IFERROR(VLOOKUP(A919,管理亚马逊库存!A:K,11,0),"")</f>
        <v>23</v>
      </c>
      <c r="C919">
        <f>IFERROR(VLOOKUP(A919,管理亚马逊库存!A:L,12,0),"")</f>
        <v>0</v>
      </c>
      <c r="D919">
        <f>IFERROR(VLOOKUP(A919,管理亚马逊库存!A:Q,17,0),"")</f>
        <v>0</v>
      </c>
      <c r="E919">
        <f>IFERROR(VLOOKUP(A919,管理亚马逊库存!A:R,18,0),"")</f>
        <v>0</v>
      </c>
      <c r="F919">
        <f t="shared" si="29"/>
        <v>0</v>
      </c>
      <c r="G919" t="str">
        <f>IFERROR(VLOOKUP(A919,预留库存!A:G,7,0),0)</f>
        <v>No</v>
      </c>
      <c r="H919">
        <f>IFERROR(VLOOKUP(A919,预留库存!A:H,8,0),0)</f>
        <v>0</v>
      </c>
      <c r="I919">
        <f>IFERROR(VLOOKUP(A919,预留库存!A:F,6,0),0)</f>
        <v>22.98</v>
      </c>
      <c r="J919">
        <f>IFERROR(VLOOKUP(A919,库龄!B:K,9,0),0)</f>
        <v>1</v>
      </c>
      <c r="K919">
        <f>IFERROR(VLOOKUP(A919,库龄!B:L,10,0),0)</f>
        <v>6</v>
      </c>
      <c r="L919">
        <f>IFERROR(VLOOKUP(A919,库龄!B:M,11,0),0)</f>
        <v>0</v>
      </c>
      <c r="M919">
        <f>IFERROR(VLOOKUP(A919,库龄!B:N,12,0),0)</f>
        <v>0</v>
      </c>
      <c r="N919">
        <f t="shared" si="30"/>
        <v>7</v>
      </c>
    </row>
    <row r="920" spans="1:14">
      <c r="A920" s="3" t="s">
        <v>2456</v>
      </c>
      <c r="B920">
        <f>IFERROR(VLOOKUP(A920,管理亚马逊库存!A:K,11,0),"")</f>
        <v>32</v>
      </c>
      <c r="C920">
        <f>IFERROR(VLOOKUP(A920,管理亚马逊库存!A:L,12,0),"")</f>
        <v>0</v>
      </c>
      <c r="D920">
        <f>IFERROR(VLOOKUP(A920,管理亚马逊库存!A:Q,17,0),"")</f>
        <v>0</v>
      </c>
      <c r="E920">
        <f>IFERROR(VLOOKUP(A920,管理亚马逊库存!A:R,18,0),"")</f>
        <v>0</v>
      </c>
      <c r="F920">
        <f t="shared" si="29"/>
        <v>0</v>
      </c>
      <c r="G920" t="str">
        <f>IFERROR(VLOOKUP(A920,预留库存!A:G,7,0),0)</f>
        <v>No</v>
      </c>
      <c r="H920">
        <f>IFERROR(VLOOKUP(A920,预留库存!A:H,8,0),0)</f>
        <v>0</v>
      </c>
      <c r="I920">
        <f>IFERROR(VLOOKUP(A920,预留库存!A:F,6,0),0)</f>
        <v>22.98</v>
      </c>
      <c r="J920">
        <f>IFERROR(VLOOKUP(A920,库龄!B:K,9,0),0)</f>
        <v>21</v>
      </c>
      <c r="K920">
        <f>IFERROR(VLOOKUP(A920,库龄!B:L,10,0),0)</f>
        <v>5</v>
      </c>
      <c r="L920">
        <f>IFERROR(VLOOKUP(A920,库龄!B:M,11,0),0)</f>
        <v>0</v>
      </c>
      <c r="M920">
        <f>IFERROR(VLOOKUP(A920,库龄!B:N,12,0),0)</f>
        <v>0</v>
      </c>
      <c r="N920">
        <f t="shared" si="30"/>
        <v>26</v>
      </c>
    </row>
    <row r="921" spans="1:14">
      <c r="A921" s="3" t="s">
        <v>2459</v>
      </c>
      <c r="B921">
        <f>IFERROR(VLOOKUP(A921,管理亚马逊库存!A:K,11,0),"")</f>
        <v>31</v>
      </c>
      <c r="C921">
        <f>IFERROR(VLOOKUP(A921,管理亚马逊库存!A:L,12,0),"")</f>
        <v>0</v>
      </c>
      <c r="D921">
        <f>IFERROR(VLOOKUP(A921,管理亚马逊库存!A:Q,17,0),"")</f>
        <v>0</v>
      </c>
      <c r="E921">
        <f>IFERROR(VLOOKUP(A921,管理亚马逊库存!A:R,18,0),"")</f>
        <v>0</v>
      </c>
      <c r="F921">
        <f t="shared" si="29"/>
        <v>0</v>
      </c>
      <c r="G921" t="str">
        <f>IFERROR(VLOOKUP(A921,预留库存!A:G,7,0),0)</f>
        <v>No</v>
      </c>
      <c r="H921">
        <f>IFERROR(VLOOKUP(A921,预留库存!A:H,8,0),0)</f>
        <v>0</v>
      </c>
      <c r="I921">
        <f>IFERROR(VLOOKUP(A921,预留库存!A:F,6,0),0)</f>
        <v>22.98</v>
      </c>
      <c r="J921">
        <f>IFERROR(VLOOKUP(A921,库龄!B:K,9,0),0)</f>
        <v>15</v>
      </c>
      <c r="K921">
        <f>IFERROR(VLOOKUP(A921,库龄!B:L,10,0),0)</f>
        <v>16</v>
      </c>
      <c r="L921">
        <f>IFERROR(VLOOKUP(A921,库龄!B:M,11,0),0)</f>
        <v>0</v>
      </c>
      <c r="M921">
        <f>IFERROR(VLOOKUP(A921,库龄!B:N,12,0),0)</f>
        <v>0</v>
      </c>
      <c r="N921">
        <f t="shared" si="30"/>
        <v>31</v>
      </c>
    </row>
    <row r="922" spans="1:14">
      <c r="A922" s="3" t="s">
        <v>2462</v>
      </c>
      <c r="B922">
        <f>IFERROR(VLOOKUP(A922,管理亚马逊库存!A:K,11,0),"")</f>
        <v>16</v>
      </c>
      <c r="C922">
        <f>IFERROR(VLOOKUP(A922,管理亚马逊库存!A:L,12,0),"")</f>
        <v>0</v>
      </c>
      <c r="D922">
        <f>IFERROR(VLOOKUP(A922,管理亚马逊库存!A:Q,17,0),"")</f>
        <v>0</v>
      </c>
      <c r="E922">
        <f>IFERROR(VLOOKUP(A922,管理亚马逊库存!A:R,18,0),"")</f>
        <v>0</v>
      </c>
      <c r="F922">
        <f t="shared" si="29"/>
        <v>0</v>
      </c>
      <c r="G922" t="str">
        <f>IFERROR(VLOOKUP(A922,预留库存!A:G,7,0),0)</f>
        <v>No</v>
      </c>
      <c r="H922">
        <f>IFERROR(VLOOKUP(A922,预留库存!A:H,8,0),0)</f>
        <v>0</v>
      </c>
      <c r="I922">
        <f>IFERROR(VLOOKUP(A922,预留库存!A:F,6,0),0)</f>
        <v>22.98</v>
      </c>
      <c r="J922">
        <f>IFERROR(VLOOKUP(A922,库龄!B:K,9,0),0)</f>
        <v>0</v>
      </c>
      <c r="K922">
        <f>IFERROR(VLOOKUP(A922,库龄!B:L,10,0),0)</f>
        <v>16</v>
      </c>
      <c r="L922">
        <f>IFERROR(VLOOKUP(A922,库龄!B:M,11,0),0)</f>
        <v>0</v>
      </c>
      <c r="M922">
        <f>IFERROR(VLOOKUP(A922,库龄!B:N,12,0),0)</f>
        <v>0</v>
      </c>
      <c r="N922">
        <f t="shared" si="30"/>
        <v>16</v>
      </c>
    </row>
    <row r="923" spans="1:14">
      <c r="A923" s="3" t="s">
        <v>2465</v>
      </c>
      <c r="B923">
        <f>IFERROR(VLOOKUP(A923,管理亚马逊库存!A:K,11,0),"")</f>
        <v>27</v>
      </c>
      <c r="C923">
        <f>IFERROR(VLOOKUP(A923,管理亚马逊库存!A:L,12,0),"")</f>
        <v>0</v>
      </c>
      <c r="D923">
        <f>IFERROR(VLOOKUP(A923,管理亚马逊库存!A:Q,17,0),"")</f>
        <v>0</v>
      </c>
      <c r="E923">
        <f>IFERROR(VLOOKUP(A923,管理亚马逊库存!A:R,18,0),"")</f>
        <v>0</v>
      </c>
      <c r="F923">
        <f t="shared" si="29"/>
        <v>0</v>
      </c>
      <c r="G923" t="str">
        <f>IFERROR(VLOOKUP(A923,预留库存!A:G,7,0),0)</f>
        <v>No</v>
      </c>
      <c r="H923">
        <f>IFERROR(VLOOKUP(A923,预留库存!A:H,8,0),0)</f>
        <v>0</v>
      </c>
      <c r="I923">
        <f>IFERROR(VLOOKUP(A923,预留库存!A:F,6,0),0)</f>
        <v>22.98</v>
      </c>
      <c r="J923">
        <f>IFERROR(VLOOKUP(A923,库龄!B:K,9,0),0)</f>
        <v>15</v>
      </c>
      <c r="K923">
        <f>IFERROR(VLOOKUP(A923,库龄!B:L,10,0),0)</f>
        <v>0</v>
      </c>
      <c r="L923">
        <f>IFERROR(VLOOKUP(A923,库龄!B:M,11,0),0)</f>
        <v>0</v>
      </c>
      <c r="M923">
        <f>IFERROR(VLOOKUP(A923,库龄!B:N,12,0),0)</f>
        <v>0</v>
      </c>
      <c r="N923">
        <f t="shared" si="30"/>
        <v>15</v>
      </c>
    </row>
    <row r="924" spans="1:14">
      <c r="A924" s="3" t="s">
        <v>2468</v>
      </c>
      <c r="B924">
        <f>IFERROR(VLOOKUP(A924,管理亚马逊库存!A:K,11,0),"")</f>
        <v>22</v>
      </c>
      <c r="C924">
        <f>IFERROR(VLOOKUP(A924,管理亚马逊库存!A:L,12,0),"")</f>
        <v>0</v>
      </c>
      <c r="D924">
        <f>IFERROR(VLOOKUP(A924,管理亚马逊库存!A:Q,17,0),"")</f>
        <v>0</v>
      </c>
      <c r="E924">
        <f>IFERROR(VLOOKUP(A924,管理亚马逊库存!A:R,18,0),"")</f>
        <v>0</v>
      </c>
      <c r="F924">
        <f t="shared" si="29"/>
        <v>0</v>
      </c>
      <c r="G924" t="str">
        <f>IFERROR(VLOOKUP(A924,预留库存!A:G,7,0),0)</f>
        <v>No</v>
      </c>
      <c r="H924">
        <f>IFERROR(VLOOKUP(A924,预留库存!A:H,8,0),0)</f>
        <v>0</v>
      </c>
      <c r="I924">
        <f>IFERROR(VLOOKUP(A924,预留库存!A:F,6,0),0)</f>
        <v>22.98</v>
      </c>
      <c r="J924">
        <f>IFERROR(VLOOKUP(A924,库龄!B:K,9,0),0)</f>
        <v>0</v>
      </c>
      <c r="K924">
        <f>IFERROR(VLOOKUP(A924,库龄!B:L,10,0),0)</f>
        <v>4</v>
      </c>
      <c r="L924">
        <f>IFERROR(VLOOKUP(A924,库龄!B:M,11,0),0)</f>
        <v>0</v>
      </c>
      <c r="M924">
        <f>IFERROR(VLOOKUP(A924,库龄!B:N,12,0),0)</f>
        <v>0</v>
      </c>
      <c r="N924">
        <f t="shared" si="30"/>
        <v>4</v>
      </c>
    </row>
    <row r="925" spans="1:14">
      <c r="A925" s="3" t="s">
        <v>2471</v>
      </c>
      <c r="B925">
        <f>IFERROR(VLOOKUP(A925,管理亚马逊库存!A:K,11,0),"")</f>
        <v>28</v>
      </c>
      <c r="C925">
        <f>IFERROR(VLOOKUP(A925,管理亚马逊库存!A:L,12,0),"")</f>
        <v>0</v>
      </c>
      <c r="D925">
        <f>IFERROR(VLOOKUP(A925,管理亚马逊库存!A:Q,17,0),"")</f>
        <v>0</v>
      </c>
      <c r="E925">
        <f>IFERROR(VLOOKUP(A925,管理亚马逊库存!A:R,18,0),"")</f>
        <v>0</v>
      </c>
      <c r="F925">
        <f t="shared" si="29"/>
        <v>0</v>
      </c>
      <c r="G925" t="str">
        <f>IFERROR(VLOOKUP(A925,预留库存!A:G,7,0),0)</f>
        <v>No</v>
      </c>
      <c r="H925">
        <f>IFERROR(VLOOKUP(A925,预留库存!A:H,8,0),0)</f>
        <v>0</v>
      </c>
      <c r="I925">
        <f>IFERROR(VLOOKUP(A925,预留库存!A:F,6,0),0)</f>
        <v>22.98</v>
      </c>
      <c r="J925">
        <f>IFERROR(VLOOKUP(A925,库龄!B:K,9,0),0)</f>
        <v>0</v>
      </c>
      <c r="K925">
        <f>IFERROR(VLOOKUP(A925,库龄!B:L,10,0),0)</f>
        <v>0</v>
      </c>
      <c r="L925">
        <f>IFERROR(VLOOKUP(A925,库龄!B:M,11,0),0)</f>
        <v>0</v>
      </c>
      <c r="M925">
        <f>IFERROR(VLOOKUP(A925,库龄!B:N,12,0),0)</f>
        <v>0</v>
      </c>
      <c r="N925">
        <f t="shared" si="30"/>
        <v>0</v>
      </c>
    </row>
    <row r="926" spans="1:14">
      <c r="A926" s="3" t="s">
        <v>2474</v>
      </c>
      <c r="B926">
        <f>IFERROR(VLOOKUP(A926,管理亚马逊库存!A:K,11,0),"")</f>
        <v>23</v>
      </c>
      <c r="C926">
        <f>IFERROR(VLOOKUP(A926,管理亚马逊库存!A:L,12,0),"")</f>
        <v>0</v>
      </c>
      <c r="D926">
        <f>IFERROR(VLOOKUP(A926,管理亚马逊库存!A:Q,17,0),"")</f>
        <v>0</v>
      </c>
      <c r="E926">
        <f>IFERROR(VLOOKUP(A926,管理亚马逊库存!A:R,18,0),"")</f>
        <v>0</v>
      </c>
      <c r="F926">
        <f t="shared" si="29"/>
        <v>0</v>
      </c>
      <c r="G926" t="str">
        <f>IFERROR(VLOOKUP(A926,预留库存!A:G,7,0),0)</f>
        <v>No</v>
      </c>
      <c r="H926">
        <f>IFERROR(VLOOKUP(A926,预留库存!A:H,8,0),0)</f>
        <v>0</v>
      </c>
      <c r="I926">
        <f>IFERROR(VLOOKUP(A926,预留库存!A:F,6,0),0)</f>
        <v>22.98</v>
      </c>
      <c r="J926">
        <f>IFERROR(VLOOKUP(A926,库龄!B:K,9,0),0)</f>
        <v>1</v>
      </c>
      <c r="K926">
        <f>IFERROR(VLOOKUP(A926,库龄!B:L,10,0),0)</f>
        <v>5</v>
      </c>
      <c r="L926">
        <f>IFERROR(VLOOKUP(A926,库龄!B:M,11,0),0)</f>
        <v>0</v>
      </c>
      <c r="M926">
        <f>IFERROR(VLOOKUP(A926,库龄!B:N,12,0),0)</f>
        <v>0</v>
      </c>
      <c r="N926">
        <f t="shared" si="30"/>
        <v>6</v>
      </c>
    </row>
    <row r="927" spans="1:14">
      <c r="A927" s="3" t="s">
        <v>2477</v>
      </c>
      <c r="B927">
        <f>IFERROR(VLOOKUP(A927,管理亚马逊库存!A:K,11,0),"")</f>
        <v>16</v>
      </c>
      <c r="C927">
        <f>IFERROR(VLOOKUP(A927,管理亚马逊库存!A:L,12,0),"")</f>
        <v>0</v>
      </c>
      <c r="D927">
        <f>IFERROR(VLOOKUP(A927,管理亚马逊库存!A:Q,17,0),"")</f>
        <v>0</v>
      </c>
      <c r="E927">
        <f>IFERROR(VLOOKUP(A927,管理亚马逊库存!A:R,18,0),"")</f>
        <v>0</v>
      </c>
      <c r="F927">
        <f t="shared" si="29"/>
        <v>0</v>
      </c>
      <c r="G927" t="str">
        <f>IFERROR(VLOOKUP(A927,预留库存!A:G,7,0),0)</f>
        <v>No</v>
      </c>
      <c r="H927">
        <f>IFERROR(VLOOKUP(A927,预留库存!A:H,8,0),0)</f>
        <v>0</v>
      </c>
      <c r="I927">
        <f>IFERROR(VLOOKUP(A927,预留库存!A:F,6,0),0)</f>
        <v>22.98</v>
      </c>
      <c r="J927">
        <f>IFERROR(VLOOKUP(A927,库龄!B:K,9,0),0)</f>
        <v>0</v>
      </c>
      <c r="K927">
        <f>IFERROR(VLOOKUP(A927,库龄!B:L,10,0),0)</f>
        <v>16</v>
      </c>
      <c r="L927">
        <f>IFERROR(VLOOKUP(A927,库龄!B:M,11,0),0)</f>
        <v>0</v>
      </c>
      <c r="M927">
        <f>IFERROR(VLOOKUP(A927,库龄!B:N,12,0),0)</f>
        <v>0</v>
      </c>
      <c r="N927">
        <f t="shared" si="30"/>
        <v>16</v>
      </c>
    </row>
    <row r="928" spans="1:14">
      <c r="A928" s="3" t="s">
        <v>2480</v>
      </c>
      <c r="B928">
        <f>IFERROR(VLOOKUP(A928,管理亚马逊库存!A:K,11,0),"")</f>
        <v>28</v>
      </c>
      <c r="C928">
        <f>IFERROR(VLOOKUP(A928,管理亚马逊库存!A:L,12,0),"")</f>
        <v>0</v>
      </c>
      <c r="D928">
        <f>IFERROR(VLOOKUP(A928,管理亚马逊库存!A:Q,17,0),"")</f>
        <v>0</v>
      </c>
      <c r="E928">
        <f>IFERROR(VLOOKUP(A928,管理亚马逊库存!A:R,18,0),"")</f>
        <v>0</v>
      </c>
      <c r="F928">
        <f t="shared" si="29"/>
        <v>0</v>
      </c>
      <c r="G928" t="str">
        <f>IFERROR(VLOOKUP(A928,预留库存!A:G,7,0),0)</f>
        <v>No</v>
      </c>
      <c r="H928">
        <f>IFERROR(VLOOKUP(A928,预留库存!A:H,8,0),0)</f>
        <v>0</v>
      </c>
      <c r="I928">
        <f>IFERROR(VLOOKUP(A928,预留库存!A:F,6,0),0)</f>
        <v>22.98</v>
      </c>
      <c r="J928">
        <f>IFERROR(VLOOKUP(A928,库龄!B:K,9,0),0)</f>
        <v>0</v>
      </c>
      <c r="K928">
        <f>IFERROR(VLOOKUP(A928,库龄!B:L,10,0),0)</f>
        <v>2</v>
      </c>
      <c r="L928">
        <f>IFERROR(VLOOKUP(A928,库龄!B:M,11,0),0)</f>
        <v>0</v>
      </c>
      <c r="M928">
        <f>IFERROR(VLOOKUP(A928,库龄!B:N,12,0),0)</f>
        <v>0</v>
      </c>
      <c r="N928">
        <f t="shared" si="30"/>
        <v>2</v>
      </c>
    </row>
    <row r="929" spans="1:14">
      <c r="A929" s="3" t="s">
        <v>2483</v>
      </c>
      <c r="B929">
        <f>IFERROR(VLOOKUP(A929,管理亚马逊库存!A:K,11,0),"")</f>
        <v>21</v>
      </c>
      <c r="C929">
        <f>IFERROR(VLOOKUP(A929,管理亚马逊库存!A:L,12,0),"")</f>
        <v>0</v>
      </c>
      <c r="D929">
        <f>IFERROR(VLOOKUP(A929,管理亚马逊库存!A:Q,17,0),"")</f>
        <v>0</v>
      </c>
      <c r="E929">
        <f>IFERROR(VLOOKUP(A929,管理亚马逊库存!A:R,18,0),"")</f>
        <v>0</v>
      </c>
      <c r="F929">
        <f t="shared" si="29"/>
        <v>0</v>
      </c>
      <c r="G929" t="str">
        <f>IFERROR(VLOOKUP(A929,预留库存!A:G,7,0),0)</f>
        <v>No</v>
      </c>
      <c r="H929">
        <f>IFERROR(VLOOKUP(A929,预留库存!A:H,8,0),0)</f>
        <v>0</v>
      </c>
      <c r="I929">
        <f>IFERROR(VLOOKUP(A929,预留库存!A:F,6,0),0)</f>
        <v>32.99</v>
      </c>
      <c r="J929">
        <f>IFERROR(VLOOKUP(A929,库龄!B:K,9,0),0)</f>
        <v>20</v>
      </c>
      <c r="K929">
        <f>IFERROR(VLOOKUP(A929,库龄!B:L,10,0),0)</f>
        <v>0</v>
      </c>
      <c r="L929">
        <f>IFERROR(VLOOKUP(A929,库龄!B:M,11,0),0)</f>
        <v>0</v>
      </c>
      <c r="M929">
        <f>IFERROR(VLOOKUP(A929,库龄!B:N,12,0),0)</f>
        <v>0</v>
      </c>
      <c r="N929">
        <f t="shared" si="30"/>
        <v>20</v>
      </c>
    </row>
    <row r="930" spans="1:14">
      <c r="A930" s="3" t="s">
        <v>2486</v>
      </c>
      <c r="B930">
        <f>IFERROR(VLOOKUP(A930,管理亚马逊库存!A:K,11,0),"")</f>
        <v>15</v>
      </c>
      <c r="C930">
        <f>IFERROR(VLOOKUP(A930,管理亚马逊库存!A:L,12,0),"")</f>
        <v>0</v>
      </c>
      <c r="D930">
        <f>IFERROR(VLOOKUP(A930,管理亚马逊库存!A:Q,17,0),"")</f>
        <v>0</v>
      </c>
      <c r="E930">
        <f>IFERROR(VLOOKUP(A930,管理亚马逊库存!A:R,18,0),"")</f>
        <v>0</v>
      </c>
      <c r="F930">
        <f t="shared" si="29"/>
        <v>0</v>
      </c>
      <c r="G930" t="str">
        <f>IFERROR(VLOOKUP(A930,预留库存!A:G,7,0),0)</f>
        <v>No</v>
      </c>
      <c r="H930">
        <f>IFERROR(VLOOKUP(A930,预留库存!A:H,8,0),0)</f>
        <v>0</v>
      </c>
      <c r="I930">
        <f>IFERROR(VLOOKUP(A930,预留库存!A:F,6,0),0)</f>
        <v>32.99</v>
      </c>
      <c r="J930">
        <f>IFERROR(VLOOKUP(A930,库龄!B:K,9,0),0)</f>
        <v>10</v>
      </c>
      <c r="K930">
        <f>IFERROR(VLOOKUP(A930,库龄!B:L,10,0),0)</f>
        <v>5</v>
      </c>
      <c r="L930">
        <f>IFERROR(VLOOKUP(A930,库龄!B:M,11,0),0)</f>
        <v>0</v>
      </c>
      <c r="M930">
        <f>IFERROR(VLOOKUP(A930,库龄!B:N,12,0),0)</f>
        <v>0</v>
      </c>
      <c r="N930">
        <f t="shared" si="30"/>
        <v>15</v>
      </c>
    </row>
    <row r="931" spans="1:14">
      <c r="A931" s="3" t="s">
        <v>2489</v>
      </c>
      <c r="B931">
        <f>IFERROR(VLOOKUP(A931,管理亚马逊库存!A:K,11,0),"")</f>
        <v>20</v>
      </c>
      <c r="C931">
        <f>IFERROR(VLOOKUP(A931,管理亚马逊库存!A:L,12,0),"")</f>
        <v>0</v>
      </c>
      <c r="D931">
        <f>IFERROR(VLOOKUP(A931,管理亚马逊库存!A:Q,17,0),"")</f>
        <v>0</v>
      </c>
      <c r="E931">
        <f>IFERROR(VLOOKUP(A931,管理亚马逊库存!A:R,18,0),"")</f>
        <v>0</v>
      </c>
      <c r="F931">
        <f t="shared" si="29"/>
        <v>0</v>
      </c>
      <c r="G931" t="str">
        <f>IFERROR(VLOOKUP(A931,预留库存!A:G,7,0),0)</f>
        <v>No</v>
      </c>
      <c r="H931">
        <f>IFERROR(VLOOKUP(A931,预留库存!A:H,8,0),0)</f>
        <v>0</v>
      </c>
      <c r="I931">
        <f>IFERROR(VLOOKUP(A931,预留库存!A:F,6,0),0)</f>
        <v>19.98</v>
      </c>
      <c r="J931">
        <f>IFERROR(VLOOKUP(A931,库龄!B:K,9,0),0)</f>
        <v>3</v>
      </c>
      <c r="K931">
        <f>IFERROR(VLOOKUP(A931,库龄!B:L,10,0),0)</f>
        <v>17</v>
      </c>
      <c r="L931">
        <f>IFERROR(VLOOKUP(A931,库龄!B:M,11,0),0)</f>
        <v>0</v>
      </c>
      <c r="M931">
        <f>IFERROR(VLOOKUP(A931,库龄!B:N,12,0),0)</f>
        <v>0</v>
      </c>
      <c r="N931">
        <f t="shared" si="30"/>
        <v>20</v>
      </c>
    </row>
    <row r="932" spans="1:14">
      <c r="A932" s="3" t="s">
        <v>2492</v>
      </c>
      <c r="B932">
        <f>IFERROR(VLOOKUP(A932,管理亚马逊库存!A:K,11,0),"")</f>
        <v>19</v>
      </c>
      <c r="C932">
        <f>IFERROR(VLOOKUP(A932,管理亚马逊库存!A:L,12,0),"")</f>
        <v>0</v>
      </c>
      <c r="D932">
        <f>IFERROR(VLOOKUP(A932,管理亚马逊库存!A:Q,17,0),"")</f>
        <v>0</v>
      </c>
      <c r="E932">
        <f>IFERROR(VLOOKUP(A932,管理亚马逊库存!A:R,18,0),"")</f>
        <v>0</v>
      </c>
      <c r="F932">
        <f t="shared" si="29"/>
        <v>0</v>
      </c>
      <c r="G932" t="str">
        <f>IFERROR(VLOOKUP(A932,预留库存!A:G,7,0),0)</f>
        <v>No</v>
      </c>
      <c r="H932">
        <f>IFERROR(VLOOKUP(A932,预留库存!A:H,8,0),0)</f>
        <v>0</v>
      </c>
      <c r="I932">
        <f>IFERROR(VLOOKUP(A932,预留库存!A:F,6,0),0)</f>
        <v>32.99</v>
      </c>
      <c r="J932">
        <f>IFERROR(VLOOKUP(A932,库龄!B:K,9,0),0)</f>
        <v>19</v>
      </c>
      <c r="K932">
        <f>IFERROR(VLOOKUP(A932,库龄!B:L,10,0),0)</f>
        <v>0</v>
      </c>
      <c r="L932">
        <f>IFERROR(VLOOKUP(A932,库龄!B:M,11,0),0)</f>
        <v>0</v>
      </c>
      <c r="M932">
        <f>IFERROR(VLOOKUP(A932,库龄!B:N,12,0),0)</f>
        <v>0</v>
      </c>
      <c r="N932">
        <f t="shared" si="30"/>
        <v>19</v>
      </c>
    </row>
    <row r="933" spans="1:14">
      <c r="A933" s="3" t="s">
        <v>2495</v>
      </c>
      <c r="B933">
        <f>IFERROR(VLOOKUP(A933,管理亚马逊库存!A:K,11,0),"")</f>
        <v>14</v>
      </c>
      <c r="C933">
        <f>IFERROR(VLOOKUP(A933,管理亚马逊库存!A:L,12,0),"")</f>
        <v>0</v>
      </c>
      <c r="D933">
        <f>IFERROR(VLOOKUP(A933,管理亚马逊库存!A:Q,17,0),"")</f>
        <v>0</v>
      </c>
      <c r="E933">
        <f>IFERROR(VLOOKUP(A933,管理亚马逊库存!A:R,18,0),"")</f>
        <v>0</v>
      </c>
      <c r="F933">
        <f t="shared" si="29"/>
        <v>0</v>
      </c>
      <c r="G933" t="str">
        <f>IFERROR(VLOOKUP(A933,预留库存!A:G,7,0),0)</f>
        <v>No</v>
      </c>
      <c r="H933">
        <f>IFERROR(VLOOKUP(A933,预留库存!A:H,8,0),0)</f>
        <v>0</v>
      </c>
      <c r="I933">
        <f>IFERROR(VLOOKUP(A933,预留库存!A:F,6,0),0)</f>
        <v>32.99</v>
      </c>
      <c r="J933">
        <f>IFERROR(VLOOKUP(A933,库龄!B:K,9,0),0)</f>
        <v>15</v>
      </c>
      <c r="K933">
        <f>IFERROR(VLOOKUP(A933,库龄!B:L,10,0),0)</f>
        <v>1</v>
      </c>
      <c r="L933">
        <f>IFERROR(VLOOKUP(A933,库龄!B:M,11,0),0)</f>
        <v>0</v>
      </c>
      <c r="M933">
        <f>IFERROR(VLOOKUP(A933,库龄!B:N,12,0),0)</f>
        <v>0</v>
      </c>
      <c r="N933">
        <f t="shared" si="30"/>
        <v>16</v>
      </c>
    </row>
    <row r="934" spans="1:14">
      <c r="A934" s="3" t="s">
        <v>2498</v>
      </c>
      <c r="B934">
        <f>IFERROR(VLOOKUP(A934,管理亚马逊库存!A:K,11,0),"")</f>
        <v>12</v>
      </c>
      <c r="C934">
        <f>IFERROR(VLOOKUP(A934,管理亚马逊库存!A:L,12,0),"")</f>
        <v>0</v>
      </c>
      <c r="D934">
        <f>IFERROR(VLOOKUP(A934,管理亚马逊库存!A:Q,17,0),"")</f>
        <v>0</v>
      </c>
      <c r="E934">
        <f>IFERROR(VLOOKUP(A934,管理亚马逊库存!A:R,18,0),"")</f>
        <v>0</v>
      </c>
      <c r="F934">
        <f t="shared" si="29"/>
        <v>0</v>
      </c>
      <c r="G934" t="str">
        <f>IFERROR(VLOOKUP(A934,预留库存!A:G,7,0),0)</f>
        <v>No</v>
      </c>
      <c r="H934">
        <f>IFERROR(VLOOKUP(A934,预留库存!A:H,8,0),0)</f>
        <v>0</v>
      </c>
      <c r="I934">
        <f>IFERROR(VLOOKUP(A934,预留库存!A:F,6,0),0)</f>
        <v>32.99</v>
      </c>
      <c r="J934">
        <f>IFERROR(VLOOKUP(A934,库龄!B:K,9,0),0)</f>
        <v>10</v>
      </c>
      <c r="K934">
        <f>IFERROR(VLOOKUP(A934,库龄!B:L,10,0),0)</f>
        <v>0</v>
      </c>
      <c r="L934">
        <f>IFERROR(VLOOKUP(A934,库龄!B:M,11,0),0)</f>
        <v>0</v>
      </c>
      <c r="M934">
        <f>IFERROR(VLOOKUP(A934,库龄!B:N,12,0),0)</f>
        <v>0</v>
      </c>
      <c r="N934">
        <f t="shared" si="30"/>
        <v>10</v>
      </c>
    </row>
    <row r="935" spans="1:14">
      <c r="A935" s="3" t="s">
        <v>2501</v>
      </c>
      <c r="B935">
        <f>IFERROR(VLOOKUP(A935,管理亚马逊库存!A:K,11,0),"")</f>
        <v>19</v>
      </c>
      <c r="C935">
        <f>IFERROR(VLOOKUP(A935,管理亚马逊库存!A:L,12,0),"")</f>
        <v>0</v>
      </c>
      <c r="D935">
        <f>IFERROR(VLOOKUP(A935,管理亚马逊库存!A:Q,17,0),"")</f>
        <v>0</v>
      </c>
      <c r="E935">
        <f>IFERROR(VLOOKUP(A935,管理亚马逊库存!A:R,18,0),"")</f>
        <v>0</v>
      </c>
      <c r="F935">
        <f t="shared" si="29"/>
        <v>0</v>
      </c>
      <c r="G935" t="str">
        <f>IFERROR(VLOOKUP(A935,预留库存!A:G,7,0),0)</f>
        <v>No</v>
      </c>
      <c r="H935">
        <f>IFERROR(VLOOKUP(A935,预留库存!A:H,8,0),0)</f>
        <v>0</v>
      </c>
      <c r="I935">
        <f>IFERROR(VLOOKUP(A935,预留库存!A:F,6,0),0)</f>
        <v>32.99</v>
      </c>
      <c r="J935">
        <f>IFERROR(VLOOKUP(A935,库龄!B:K,9,0),0)</f>
        <v>18</v>
      </c>
      <c r="K935">
        <f>IFERROR(VLOOKUP(A935,库龄!B:L,10,0),0)</f>
        <v>0</v>
      </c>
      <c r="L935">
        <f>IFERROR(VLOOKUP(A935,库龄!B:M,11,0),0)</f>
        <v>0</v>
      </c>
      <c r="M935">
        <f>IFERROR(VLOOKUP(A935,库龄!B:N,12,0),0)</f>
        <v>0</v>
      </c>
      <c r="N935">
        <f t="shared" si="30"/>
        <v>18</v>
      </c>
    </row>
    <row r="936" spans="1:14">
      <c r="A936" s="3" t="s">
        <v>2504</v>
      </c>
      <c r="B936">
        <f>IFERROR(VLOOKUP(A936,管理亚马逊库存!A:K,11,0),"")</f>
        <v>17</v>
      </c>
      <c r="C936">
        <f>IFERROR(VLOOKUP(A936,管理亚马逊库存!A:L,12,0),"")</f>
        <v>0</v>
      </c>
      <c r="D936">
        <f>IFERROR(VLOOKUP(A936,管理亚马逊库存!A:Q,17,0),"")</f>
        <v>0</v>
      </c>
      <c r="E936">
        <f>IFERROR(VLOOKUP(A936,管理亚马逊库存!A:R,18,0),"")</f>
        <v>0</v>
      </c>
      <c r="F936">
        <f t="shared" si="29"/>
        <v>0</v>
      </c>
      <c r="G936" t="str">
        <f>IFERROR(VLOOKUP(A936,预留库存!A:G,7,0),0)</f>
        <v>No</v>
      </c>
      <c r="H936">
        <f>IFERROR(VLOOKUP(A936,预留库存!A:H,8,0),0)</f>
        <v>0</v>
      </c>
      <c r="I936">
        <f>IFERROR(VLOOKUP(A936,预留库存!A:F,6,0),0)</f>
        <v>32.99</v>
      </c>
      <c r="J936">
        <f>IFERROR(VLOOKUP(A936,库龄!B:K,9,0),0)</f>
        <v>1</v>
      </c>
      <c r="K936">
        <f>IFERROR(VLOOKUP(A936,库龄!B:L,10,0),0)</f>
        <v>16</v>
      </c>
      <c r="L936">
        <f>IFERROR(VLOOKUP(A936,库龄!B:M,11,0),0)</f>
        <v>0</v>
      </c>
      <c r="M936">
        <f>IFERROR(VLOOKUP(A936,库龄!B:N,12,0),0)</f>
        <v>0</v>
      </c>
      <c r="N936">
        <f t="shared" si="30"/>
        <v>17</v>
      </c>
    </row>
    <row r="937" spans="1:14">
      <c r="A937" s="3" t="s">
        <v>2507</v>
      </c>
      <c r="B937">
        <f>IFERROR(VLOOKUP(A937,管理亚马逊库存!A:K,11,0),"")</f>
        <v>25</v>
      </c>
      <c r="C937">
        <f>IFERROR(VLOOKUP(A937,管理亚马逊库存!A:L,12,0),"")</f>
        <v>0</v>
      </c>
      <c r="D937">
        <f>IFERROR(VLOOKUP(A937,管理亚马逊库存!A:Q,17,0),"")</f>
        <v>0</v>
      </c>
      <c r="E937">
        <f>IFERROR(VLOOKUP(A937,管理亚马逊库存!A:R,18,0),"")</f>
        <v>0</v>
      </c>
      <c r="F937">
        <f t="shared" si="29"/>
        <v>0</v>
      </c>
      <c r="G937" t="str">
        <f>IFERROR(VLOOKUP(A937,预留库存!A:G,7,0),0)</f>
        <v>No</v>
      </c>
      <c r="H937">
        <f>IFERROR(VLOOKUP(A937,预留库存!A:H,8,0),0)</f>
        <v>0</v>
      </c>
      <c r="I937">
        <f>IFERROR(VLOOKUP(A937,预留库存!A:F,6,0),0)</f>
        <v>32.99</v>
      </c>
      <c r="J937">
        <f>IFERROR(VLOOKUP(A937,库龄!B:K,9,0),0)</f>
        <v>25</v>
      </c>
      <c r="K937">
        <f>IFERROR(VLOOKUP(A937,库龄!B:L,10,0),0)</f>
        <v>0</v>
      </c>
      <c r="L937">
        <f>IFERROR(VLOOKUP(A937,库龄!B:M,11,0),0)</f>
        <v>0</v>
      </c>
      <c r="M937">
        <f>IFERROR(VLOOKUP(A937,库龄!B:N,12,0),0)</f>
        <v>0</v>
      </c>
      <c r="N937">
        <f t="shared" si="30"/>
        <v>25</v>
      </c>
    </row>
    <row r="938" spans="1:14">
      <c r="A938" s="3" t="s">
        <v>2510</v>
      </c>
      <c r="B938">
        <f>IFERROR(VLOOKUP(A938,管理亚马逊库存!A:K,11,0),"")</f>
        <v>16</v>
      </c>
      <c r="C938">
        <f>IFERROR(VLOOKUP(A938,管理亚马逊库存!A:L,12,0),"")</f>
        <v>0</v>
      </c>
      <c r="D938">
        <f>IFERROR(VLOOKUP(A938,管理亚马逊库存!A:Q,17,0),"")</f>
        <v>0</v>
      </c>
      <c r="E938">
        <f>IFERROR(VLOOKUP(A938,管理亚马逊库存!A:R,18,0),"")</f>
        <v>0</v>
      </c>
      <c r="F938">
        <f t="shared" si="29"/>
        <v>0</v>
      </c>
      <c r="G938" t="str">
        <f>IFERROR(VLOOKUP(A938,预留库存!A:G,7,0),0)</f>
        <v>No</v>
      </c>
      <c r="H938">
        <f>IFERROR(VLOOKUP(A938,预留库存!A:H,8,0),0)</f>
        <v>0</v>
      </c>
      <c r="I938">
        <f>IFERROR(VLOOKUP(A938,预留库存!A:F,6,0),0)</f>
        <v>32.99</v>
      </c>
      <c r="J938">
        <f>IFERROR(VLOOKUP(A938,库龄!B:K,9,0),0)</f>
        <v>11</v>
      </c>
      <c r="K938">
        <f>IFERROR(VLOOKUP(A938,库龄!B:L,10,0),0)</f>
        <v>3</v>
      </c>
      <c r="L938">
        <f>IFERROR(VLOOKUP(A938,库龄!B:M,11,0),0)</f>
        <v>0</v>
      </c>
      <c r="M938">
        <f>IFERROR(VLOOKUP(A938,库龄!B:N,12,0),0)</f>
        <v>0</v>
      </c>
      <c r="N938">
        <f t="shared" si="30"/>
        <v>14</v>
      </c>
    </row>
    <row r="939" spans="1:14">
      <c r="A939" s="3" t="s">
        <v>2513</v>
      </c>
      <c r="B939">
        <f>IFERROR(VLOOKUP(A939,管理亚马逊库存!A:K,11,0),"")</f>
        <v>6</v>
      </c>
      <c r="C939">
        <f>IFERROR(VLOOKUP(A939,管理亚马逊库存!A:L,12,0),"")</f>
        <v>0</v>
      </c>
      <c r="D939">
        <f>IFERROR(VLOOKUP(A939,管理亚马逊库存!A:Q,17,0),"")</f>
        <v>0</v>
      </c>
      <c r="E939">
        <f>IFERROR(VLOOKUP(A939,管理亚马逊库存!A:R,18,0),"")</f>
        <v>0</v>
      </c>
      <c r="F939">
        <f t="shared" si="29"/>
        <v>0</v>
      </c>
      <c r="G939" t="str">
        <f>IFERROR(VLOOKUP(A939,预留库存!A:G,7,0),0)</f>
        <v>No</v>
      </c>
      <c r="H939">
        <f>IFERROR(VLOOKUP(A939,预留库存!A:H,8,0),0)</f>
        <v>0</v>
      </c>
      <c r="I939">
        <f>IFERROR(VLOOKUP(A939,预留库存!A:F,6,0),0)</f>
        <v>32.99</v>
      </c>
      <c r="J939">
        <f>IFERROR(VLOOKUP(A939,库龄!B:K,9,0),0)</f>
        <v>1</v>
      </c>
      <c r="K939">
        <f>IFERROR(VLOOKUP(A939,库龄!B:L,10,0),0)</f>
        <v>5</v>
      </c>
      <c r="L939">
        <f>IFERROR(VLOOKUP(A939,库龄!B:M,11,0),0)</f>
        <v>0</v>
      </c>
      <c r="M939">
        <f>IFERROR(VLOOKUP(A939,库龄!B:N,12,0),0)</f>
        <v>0</v>
      </c>
      <c r="N939">
        <f t="shared" si="30"/>
        <v>6</v>
      </c>
    </row>
    <row r="940" spans="1:14">
      <c r="A940" s="3" t="s">
        <v>2516</v>
      </c>
      <c r="B940">
        <f>IFERROR(VLOOKUP(A940,管理亚马逊库存!A:K,11,0),"")</f>
        <v>13</v>
      </c>
      <c r="C940">
        <f>IFERROR(VLOOKUP(A940,管理亚马逊库存!A:L,12,0),"")</f>
        <v>0</v>
      </c>
      <c r="D940">
        <f>IFERROR(VLOOKUP(A940,管理亚马逊库存!A:Q,17,0),"")</f>
        <v>0</v>
      </c>
      <c r="E940">
        <f>IFERROR(VLOOKUP(A940,管理亚马逊库存!A:R,18,0),"")</f>
        <v>0</v>
      </c>
      <c r="F940">
        <f t="shared" si="29"/>
        <v>0</v>
      </c>
      <c r="G940" t="str">
        <f>IFERROR(VLOOKUP(A940,预留库存!A:G,7,0),0)</f>
        <v>No</v>
      </c>
      <c r="H940">
        <f>IFERROR(VLOOKUP(A940,预留库存!A:H,8,0),0)</f>
        <v>0</v>
      </c>
      <c r="I940">
        <f>IFERROR(VLOOKUP(A940,预留库存!A:F,6,0),0)</f>
        <v>32.99</v>
      </c>
      <c r="J940">
        <f>IFERROR(VLOOKUP(A940,库龄!B:K,9,0),0)</f>
        <v>1</v>
      </c>
      <c r="K940">
        <f>IFERROR(VLOOKUP(A940,库龄!B:L,10,0),0)</f>
        <v>9</v>
      </c>
      <c r="L940">
        <f>IFERROR(VLOOKUP(A940,库龄!B:M,11,0),0)</f>
        <v>0</v>
      </c>
      <c r="M940">
        <f>IFERROR(VLOOKUP(A940,库龄!B:N,12,0),0)</f>
        <v>0</v>
      </c>
      <c r="N940">
        <f t="shared" si="30"/>
        <v>10</v>
      </c>
    </row>
    <row r="941" spans="1:14">
      <c r="A941" s="3" t="s">
        <v>2519</v>
      </c>
      <c r="B941">
        <f>IFERROR(VLOOKUP(A941,管理亚马逊库存!A:K,11,0),"")</f>
        <v>21</v>
      </c>
      <c r="C941">
        <f>IFERROR(VLOOKUP(A941,管理亚马逊库存!A:L,12,0),"")</f>
        <v>0</v>
      </c>
      <c r="D941">
        <f>IFERROR(VLOOKUP(A941,管理亚马逊库存!A:Q,17,0),"")</f>
        <v>0</v>
      </c>
      <c r="E941">
        <f>IFERROR(VLOOKUP(A941,管理亚马逊库存!A:R,18,0),"")</f>
        <v>0</v>
      </c>
      <c r="F941">
        <f t="shared" si="29"/>
        <v>0</v>
      </c>
      <c r="G941" t="str">
        <f>IFERROR(VLOOKUP(A941,预留库存!A:G,7,0),0)</f>
        <v>No</v>
      </c>
      <c r="H941">
        <f>IFERROR(VLOOKUP(A941,预留库存!A:H,8,0),0)</f>
        <v>0</v>
      </c>
      <c r="I941">
        <f>IFERROR(VLOOKUP(A941,预留库存!A:F,6,0),0)</f>
        <v>32.99</v>
      </c>
      <c r="J941">
        <f>IFERROR(VLOOKUP(A941,库龄!B:K,9,0),0)</f>
        <v>1</v>
      </c>
      <c r="K941">
        <f>IFERROR(VLOOKUP(A941,库龄!B:L,10,0),0)</f>
        <v>19</v>
      </c>
      <c r="L941">
        <f>IFERROR(VLOOKUP(A941,库龄!B:M,11,0),0)</f>
        <v>0</v>
      </c>
      <c r="M941">
        <f>IFERROR(VLOOKUP(A941,库龄!B:N,12,0),0)</f>
        <v>0</v>
      </c>
      <c r="N941">
        <f t="shared" si="30"/>
        <v>20</v>
      </c>
    </row>
    <row r="942" spans="1:14">
      <c r="A942" s="3" t="s">
        <v>2522</v>
      </c>
      <c r="B942">
        <f>IFERROR(VLOOKUP(A942,管理亚马逊库存!A:K,11,0),"")</f>
        <v>6</v>
      </c>
      <c r="C942">
        <f>IFERROR(VLOOKUP(A942,管理亚马逊库存!A:L,12,0),"")</f>
        <v>0</v>
      </c>
      <c r="D942">
        <f>IFERROR(VLOOKUP(A942,管理亚马逊库存!A:Q,17,0),"")</f>
        <v>0</v>
      </c>
      <c r="E942">
        <f>IFERROR(VLOOKUP(A942,管理亚马逊库存!A:R,18,0),"")</f>
        <v>0</v>
      </c>
      <c r="F942">
        <f t="shared" si="29"/>
        <v>0</v>
      </c>
      <c r="G942" t="str">
        <f>IFERROR(VLOOKUP(A942,预留库存!A:G,7,0),0)</f>
        <v>No</v>
      </c>
      <c r="H942">
        <f>IFERROR(VLOOKUP(A942,预留库存!A:H,8,0),0)</f>
        <v>0</v>
      </c>
      <c r="I942">
        <f>IFERROR(VLOOKUP(A942,预留库存!A:F,6,0),0)</f>
        <v>32.99</v>
      </c>
      <c r="J942">
        <f>IFERROR(VLOOKUP(A942,库龄!B:K,9,0),0)</f>
        <v>1</v>
      </c>
      <c r="K942">
        <f>IFERROR(VLOOKUP(A942,库龄!B:L,10,0),0)</f>
        <v>4</v>
      </c>
      <c r="L942">
        <f>IFERROR(VLOOKUP(A942,库龄!B:M,11,0),0)</f>
        <v>0</v>
      </c>
      <c r="M942">
        <f>IFERROR(VLOOKUP(A942,库龄!B:N,12,0),0)</f>
        <v>0</v>
      </c>
      <c r="N942">
        <f t="shared" si="30"/>
        <v>5</v>
      </c>
    </row>
    <row r="943" spans="1:14">
      <c r="A943" s="3" t="s">
        <v>2525</v>
      </c>
      <c r="B943">
        <f>IFERROR(VLOOKUP(A943,管理亚马逊库存!A:K,11,0),"")</f>
        <v>16</v>
      </c>
      <c r="C943">
        <f>IFERROR(VLOOKUP(A943,管理亚马逊库存!A:L,12,0),"")</f>
        <v>0</v>
      </c>
      <c r="D943">
        <f>IFERROR(VLOOKUP(A943,管理亚马逊库存!A:Q,17,0),"")</f>
        <v>0</v>
      </c>
      <c r="E943">
        <f>IFERROR(VLOOKUP(A943,管理亚马逊库存!A:R,18,0),"")</f>
        <v>0</v>
      </c>
      <c r="F943">
        <f t="shared" si="29"/>
        <v>0</v>
      </c>
      <c r="G943" t="str">
        <f>IFERROR(VLOOKUP(A943,预留库存!A:G,7,0),0)</f>
        <v>No</v>
      </c>
      <c r="H943">
        <f>IFERROR(VLOOKUP(A943,预留库存!A:H,8,0),0)</f>
        <v>0</v>
      </c>
      <c r="I943">
        <f>IFERROR(VLOOKUP(A943,预留库存!A:F,6,0),0)</f>
        <v>32.99</v>
      </c>
      <c r="J943">
        <f>IFERROR(VLOOKUP(A943,库龄!B:K,9,0),0)</f>
        <v>1</v>
      </c>
      <c r="K943">
        <f>IFERROR(VLOOKUP(A943,库龄!B:L,10,0),0)</f>
        <v>14</v>
      </c>
      <c r="L943">
        <f>IFERROR(VLOOKUP(A943,库龄!B:M,11,0),0)</f>
        <v>0</v>
      </c>
      <c r="M943">
        <f>IFERROR(VLOOKUP(A943,库龄!B:N,12,0),0)</f>
        <v>0</v>
      </c>
      <c r="N943">
        <f t="shared" si="30"/>
        <v>15</v>
      </c>
    </row>
    <row r="944" spans="1:14">
      <c r="A944" s="3" t="s">
        <v>2528</v>
      </c>
      <c r="B944">
        <f>IFERROR(VLOOKUP(A944,管理亚马逊库存!A:K,11,0),"")</f>
        <v>3</v>
      </c>
      <c r="C944">
        <f>IFERROR(VLOOKUP(A944,管理亚马逊库存!A:L,12,0),"")</f>
        <v>0</v>
      </c>
      <c r="D944">
        <f>IFERROR(VLOOKUP(A944,管理亚马逊库存!A:Q,17,0),"")</f>
        <v>0</v>
      </c>
      <c r="E944">
        <f>IFERROR(VLOOKUP(A944,管理亚马逊库存!A:R,18,0),"")</f>
        <v>0</v>
      </c>
      <c r="F944">
        <f t="shared" si="29"/>
        <v>0</v>
      </c>
      <c r="G944" t="str">
        <f>IFERROR(VLOOKUP(A944,预留库存!A:G,7,0),0)</f>
        <v>No</v>
      </c>
      <c r="H944">
        <f>IFERROR(VLOOKUP(A944,预留库存!A:H,8,0),0)</f>
        <v>0</v>
      </c>
      <c r="I944">
        <f>IFERROR(VLOOKUP(A944,预留库存!A:F,6,0),0)</f>
        <v>32.99</v>
      </c>
      <c r="J944">
        <f>IFERROR(VLOOKUP(A944,库龄!B:K,9,0),0)</f>
        <v>0</v>
      </c>
      <c r="K944">
        <f>IFERROR(VLOOKUP(A944,库龄!B:L,10,0),0)</f>
        <v>0</v>
      </c>
      <c r="L944">
        <f>IFERROR(VLOOKUP(A944,库龄!B:M,11,0),0)</f>
        <v>0</v>
      </c>
      <c r="M944">
        <f>IFERROR(VLOOKUP(A944,库龄!B:N,12,0),0)</f>
        <v>0</v>
      </c>
      <c r="N944">
        <f t="shared" si="30"/>
        <v>0</v>
      </c>
    </row>
    <row r="945" spans="1:14">
      <c r="A945" s="3" t="s">
        <v>2531</v>
      </c>
      <c r="B945">
        <f>IFERROR(VLOOKUP(A945,管理亚马逊库存!A:K,11,0),"")</f>
        <v>20</v>
      </c>
      <c r="C945">
        <f>IFERROR(VLOOKUP(A945,管理亚马逊库存!A:L,12,0),"")</f>
        <v>0</v>
      </c>
      <c r="D945">
        <f>IFERROR(VLOOKUP(A945,管理亚马逊库存!A:Q,17,0),"")</f>
        <v>0</v>
      </c>
      <c r="E945">
        <f>IFERROR(VLOOKUP(A945,管理亚马逊库存!A:R,18,0),"")</f>
        <v>0</v>
      </c>
      <c r="F945">
        <f t="shared" si="29"/>
        <v>0</v>
      </c>
      <c r="G945" t="str">
        <f>IFERROR(VLOOKUP(A945,预留库存!A:G,7,0),0)</f>
        <v>No</v>
      </c>
      <c r="H945">
        <f>IFERROR(VLOOKUP(A945,预留库存!A:H,8,0),0)</f>
        <v>0</v>
      </c>
      <c r="I945">
        <f>IFERROR(VLOOKUP(A945,预留库存!A:F,6,0),0)</f>
        <v>32.99</v>
      </c>
      <c r="J945">
        <f>IFERROR(VLOOKUP(A945,库龄!B:K,9,0),0)</f>
        <v>1</v>
      </c>
      <c r="K945">
        <f>IFERROR(VLOOKUP(A945,库龄!B:L,10,0),0)</f>
        <v>19</v>
      </c>
      <c r="L945">
        <f>IFERROR(VLOOKUP(A945,库龄!B:M,11,0),0)</f>
        <v>0</v>
      </c>
      <c r="M945">
        <f>IFERROR(VLOOKUP(A945,库龄!B:N,12,0),0)</f>
        <v>0</v>
      </c>
      <c r="N945">
        <f t="shared" si="30"/>
        <v>20</v>
      </c>
    </row>
    <row r="946" spans="1:14">
      <c r="A946" s="3" t="s">
        <v>2534</v>
      </c>
      <c r="B946">
        <f>IFERROR(VLOOKUP(A946,管理亚马逊库存!A:K,11,0),"")</f>
        <v>0</v>
      </c>
      <c r="C946">
        <f>IFERROR(VLOOKUP(A946,管理亚马逊库存!A:L,12,0),"")</f>
        <v>0</v>
      </c>
      <c r="D946">
        <f>IFERROR(VLOOKUP(A946,管理亚马逊库存!A:Q,17,0),"")</f>
        <v>0</v>
      </c>
      <c r="E946">
        <f>IFERROR(VLOOKUP(A946,管理亚马逊库存!A:R,18,0),"")</f>
        <v>0</v>
      </c>
      <c r="F946">
        <f t="shared" si="29"/>
        <v>0</v>
      </c>
      <c r="G946" t="str">
        <f>IFERROR(VLOOKUP(A946,预留库存!A:G,7,0),0)</f>
        <v>No</v>
      </c>
      <c r="H946">
        <f>IFERROR(VLOOKUP(A946,预留库存!A:H,8,0),0)</f>
        <v>0</v>
      </c>
      <c r="I946">
        <f>IFERROR(VLOOKUP(A946,预留库存!A:F,6,0),0)</f>
        <v>32.99</v>
      </c>
      <c r="J946">
        <f>IFERROR(VLOOKUP(A946,库龄!B:K,9,0),0)</f>
        <v>0</v>
      </c>
      <c r="K946">
        <f>IFERROR(VLOOKUP(A946,库龄!B:L,10,0),0)</f>
        <v>0</v>
      </c>
      <c r="L946">
        <f>IFERROR(VLOOKUP(A946,库龄!B:M,11,0),0)</f>
        <v>0</v>
      </c>
      <c r="M946">
        <f>IFERROR(VLOOKUP(A946,库龄!B:N,12,0),0)</f>
        <v>0</v>
      </c>
      <c r="N946">
        <f t="shared" si="30"/>
        <v>0</v>
      </c>
    </row>
    <row r="947" spans="1:14">
      <c r="A947" s="3" t="s">
        <v>2537</v>
      </c>
      <c r="B947">
        <f>IFERROR(VLOOKUP(A947,管理亚马逊库存!A:K,11,0),"")</f>
        <v>2</v>
      </c>
      <c r="C947">
        <f>IFERROR(VLOOKUP(A947,管理亚马逊库存!A:L,12,0),"")</f>
        <v>0</v>
      </c>
      <c r="D947">
        <f>IFERROR(VLOOKUP(A947,管理亚马逊库存!A:Q,17,0),"")</f>
        <v>0</v>
      </c>
      <c r="E947">
        <f>IFERROR(VLOOKUP(A947,管理亚马逊库存!A:R,18,0),"")</f>
        <v>0</v>
      </c>
      <c r="F947">
        <f t="shared" si="29"/>
        <v>0</v>
      </c>
      <c r="G947" t="str">
        <f>IFERROR(VLOOKUP(A947,预留库存!A:G,7,0),0)</f>
        <v>No</v>
      </c>
      <c r="H947">
        <f>IFERROR(VLOOKUP(A947,预留库存!A:H,8,0),0)</f>
        <v>0</v>
      </c>
      <c r="I947">
        <f>IFERROR(VLOOKUP(A947,预留库存!A:F,6,0),0)</f>
        <v>32.99</v>
      </c>
      <c r="J947">
        <f>IFERROR(VLOOKUP(A947,库龄!B:K,9,0),0)</f>
        <v>1</v>
      </c>
      <c r="K947">
        <f>IFERROR(VLOOKUP(A947,库龄!B:L,10,0),0)</f>
        <v>1</v>
      </c>
      <c r="L947">
        <f>IFERROR(VLOOKUP(A947,库龄!B:M,11,0),0)</f>
        <v>0</v>
      </c>
      <c r="M947">
        <f>IFERROR(VLOOKUP(A947,库龄!B:N,12,0),0)</f>
        <v>0</v>
      </c>
      <c r="N947">
        <f t="shared" si="30"/>
        <v>2</v>
      </c>
    </row>
    <row r="948" spans="1:14">
      <c r="A948" s="3" t="s">
        <v>2540</v>
      </c>
      <c r="B948">
        <f>IFERROR(VLOOKUP(A948,管理亚马逊库存!A:K,11,0),"")</f>
        <v>23</v>
      </c>
      <c r="C948">
        <f>IFERROR(VLOOKUP(A948,管理亚马逊库存!A:L,12,0),"")</f>
        <v>0</v>
      </c>
      <c r="D948">
        <f>IFERROR(VLOOKUP(A948,管理亚马逊库存!A:Q,17,0),"")</f>
        <v>0</v>
      </c>
      <c r="E948">
        <f>IFERROR(VLOOKUP(A948,管理亚马逊库存!A:R,18,0),"")</f>
        <v>0</v>
      </c>
      <c r="F948">
        <f t="shared" si="29"/>
        <v>0</v>
      </c>
      <c r="G948" t="str">
        <f>IFERROR(VLOOKUP(A948,预留库存!A:G,7,0),0)</f>
        <v>No</v>
      </c>
      <c r="H948">
        <f>IFERROR(VLOOKUP(A948,预留库存!A:H,8,0),0)</f>
        <v>0</v>
      </c>
      <c r="I948">
        <f>IFERROR(VLOOKUP(A948,预留库存!A:F,6,0),0)</f>
        <v>32.99</v>
      </c>
      <c r="J948">
        <f>IFERROR(VLOOKUP(A948,库龄!B:K,9,0),0)</f>
        <v>0</v>
      </c>
      <c r="K948">
        <f>IFERROR(VLOOKUP(A948,库龄!B:L,10,0),0)</f>
        <v>0</v>
      </c>
      <c r="L948">
        <f>IFERROR(VLOOKUP(A948,库龄!B:M,11,0),0)</f>
        <v>0</v>
      </c>
      <c r="M948">
        <f>IFERROR(VLOOKUP(A948,库龄!B:N,12,0),0)</f>
        <v>0</v>
      </c>
      <c r="N948">
        <f t="shared" si="30"/>
        <v>0</v>
      </c>
    </row>
    <row r="949" spans="1:14">
      <c r="A949" s="3" t="s">
        <v>2543</v>
      </c>
      <c r="B949">
        <f>IFERROR(VLOOKUP(A949,管理亚马逊库存!A:K,11,0),"")</f>
        <v>7</v>
      </c>
      <c r="C949">
        <f>IFERROR(VLOOKUP(A949,管理亚马逊库存!A:L,12,0),"")</f>
        <v>0</v>
      </c>
      <c r="D949">
        <f>IFERROR(VLOOKUP(A949,管理亚马逊库存!A:Q,17,0),"")</f>
        <v>0</v>
      </c>
      <c r="E949">
        <f>IFERROR(VLOOKUP(A949,管理亚马逊库存!A:R,18,0),"")</f>
        <v>0</v>
      </c>
      <c r="F949">
        <f t="shared" si="29"/>
        <v>0</v>
      </c>
      <c r="G949" t="str">
        <f>IFERROR(VLOOKUP(A949,预留库存!A:G,7,0),0)</f>
        <v>No</v>
      </c>
      <c r="H949">
        <f>IFERROR(VLOOKUP(A949,预留库存!A:H,8,0),0)</f>
        <v>0</v>
      </c>
      <c r="I949">
        <f>IFERROR(VLOOKUP(A949,预留库存!A:F,6,0),0)</f>
        <v>32.99</v>
      </c>
      <c r="J949">
        <f>IFERROR(VLOOKUP(A949,库龄!B:K,9,0),0)</f>
        <v>3</v>
      </c>
      <c r="K949">
        <f>IFERROR(VLOOKUP(A949,库龄!B:L,10,0),0)</f>
        <v>3</v>
      </c>
      <c r="L949">
        <f>IFERROR(VLOOKUP(A949,库龄!B:M,11,0),0)</f>
        <v>0</v>
      </c>
      <c r="M949">
        <f>IFERROR(VLOOKUP(A949,库龄!B:N,12,0),0)</f>
        <v>0</v>
      </c>
      <c r="N949">
        <f t="shared" si="30"/>
        <v>6</v>
      </c>
    </row>
    <row r="950" spans="1:14">
      <c r="A950" s="3" t="s">
        <v>2546</v>
      </c>
      <c r="B950">
        <f>IFERROR(VLOOKUP(A950,管理亚马逊库存!A:K,11,0),"")</f>
        <v>8</v>
      </c>
      <c r="C950">
        <f>IFERROR(VLOOKUP(A950,管理亚马逊库存!A:L,12,0),"")</f>
        <v>0</v>
      </c>
      <c r="D950">
        <f>IFERROR(VLOOKUP(A950,管理亚马逊库存!A:Q,17,0),"")</f>
        <v>0</v>
      </c>
      <c r="E950">
        <f>IFERROR(VLOOKUP(A950,管理亚马逊库存!A:R,18,0),"")</f>
        <v>0</v>
      </c>
      <c r="F950">
        <f t="shared" si="29"/>
        <v>0</v>
      </c>
      <c r="G950" t="str">
        <f>IFERROR(VLOOKUP(A950,预留库存!A:G,7,0),0)</f>
        <v>No</v>
      </c>
      <c r="H950">
        <f>IFERROR(VLOOKUP(A950,预留库存!A:H,8,0),0)</f>
        <v>0</v>
      </c>
      <c r="I950">
        <f>IFERROR(VLOOKUP(A950,预留库存!A:F,6,0),0)</f>
        <v>32.99</v>
      </c>
      <c r="J950">
        <f>IFERROR(VLOOKUP(A950,库龄!B:K,9,0),0)</f>
        <v>2</v>
      </c>
      <c r="K950">
        <f>IFERROR(VLOOKUP(A950,库龄!B:L,10,0),0)</f>
        <v>5</v>
      </c>
      <c r="L950">
        <f>IFERROR(VLOOKUP(A950,库龄!B:M,11,0),0)</f>
        <v>0</v>
      </c>
      <c r="M950">
        <f>IFERROR(VLOOKUP(A950,库龄!B:N,12,0),0)</f>
        <v>0</v>
      </c>
      <c r="N950">
        <f t="shared" si="30"/>
        <v>7</v>
      </c>
    </row>
    <row r="951" spans="1:14">
      <c r="A951" s="3" t="s">
        <v>2549</v>
      </c>
      <c r="B951">
        <f>IFERROR(VLOOKUP(A951,管理亚马逊库存!A:K,11,0),"")</f>
        <v>0</v>
      </c>
      <c r="C951">
        <f>IFERROR(VLOOKUP(A951,管理亚马逊库存!A:L,12,0),"")</f>
        <v>0</v>
      </c>
      <c r="D951">
        <f>IFERROR(VLOOKUP(A951,管理亚马逊库存!A:Q,17,0),"")</f>
        <v>0</v>
      </c>
      <c r="E951">
        <f>IFERROR(VLOOKUP(A951,管理亚马逊库存!A:R,18,0),"")</f>
        <v>0</v>
      </c>
      <c r="F951">
        <f t="shared" si="29"/>
        <v>0</v>
      </c>
      <c r="G951" t="str">
        <f>IFERROR(VLOOKUP(A951,预留库存!A:G,7,0),0)</f>
        <v>No</v>
      </c>
      <c r="H951">
        <f>IFERROR(VLOOKUP(A951,预留库存!A:H,8,0),0)</f>
        <v>0</v>
      </c>
      <c r="I951">
        <f>IFERROR(VLOOKUP(A951,预留库存!A:F,6,0),0)</f>
        <v>32.99</v>
      </c>
      <c r="J951">
        <f>IFERROR(VLOOKUP(A951,库龄!B:K,9,0),0)</f>
        <v>0</v>
      </c>
      <c r="K951">
        <f>IFERROR(VLOOKUP(A951,库龄!B:L,10,0),0)</f>
        <v>0</v>
      </c>
      <c r="L951">
        <f>IFERROR(VLOOKUP(A951,库龄!B:M,11,0),0)</f>
        <v>0</v>
      </c>
      <c r="M951">
        <f>IFERROR(VLOOKUP(A951,库龄!B:N,12,0),0)</f>
        <v>0</v>
      </c>
      <c r="N951">
        <f t="shared" si="30"/>
        <v>0</v>
      </c>
    </row>
    <row r="952" spans="1:14">
      <c r="A952" s="3" t="s">
        <v>2552</v>
      </c>
      <c r="B952">
        <f>IFERROR(VLOOKUP(A952,管理亚马逊库存!A:K,11,0),"")</f>
        <v>24</v>
      </c>
      <c r="C952">
        <f>IFERROR(VLOOKUP(A952,管理亚马逊库存!A:L,12,0),"")</f>
        <v>0</v>
      </c>
      <c r="D952">
        <f>IFERROR(VLOOKUP(A952,管理亚马逊库存!A:Q,17,0),"")</f>
        <v>0</v>
      </c>
      <c r="E952">
        <f>IFERROR(VLOOKUP(A952,管理亚马逊库存!A:R,18,0),"")</f>
        <v>0</v>
      </c>
      <c r="F952">
        <f t="shared" si="29"/>
        <v>0</v>
      </c>
      <c r="G952" t="str">
        <f>IFERROR(VLOOKUP(A952,预留库存!A:G,7,0),0)</f>
        <v>No</v>
      </c>
      <c r="H952">
        <f>IFERROR(VLOOKUP(A952,预留库存!A:H,8,0),0)</f>
        <v>0</v>
      </c>
      <c r="I952">
        <f>IFERROR(VLOOKUP(A952,预留库存!A:F,6,0),0)</f>
        <v>32.99</v>
      </c>
      <c r="J952">
        <f>IFERROR(VLOOKUP(A952,库龄!B:K,9,0),0)</f>
        <v>1</v>
      </c>
      <c r="K952">
        <f>IFERROR(VLOOKUP(A952,库龄!B:L,10,0),0)</f>
        <v>2</v>
      </c>
      <c r="L952">
        <f>IFERROR(VLOOKUP(A952,库龄!B:M,11,0),0)</f>
        <v>0</v>
      </c>
      <c r="M952">
        <f>IFERROR(VLOOKUP(A952,库龄!B:N,12,0),0)</f>
        <v>0</v>
      </c>
      <c r="N952">
        <f t="shared" si="30"/>
        <v>3</v>
      </c>
    </row>
    <row r="953" spans="1:14">
      <c r="A953" s="3" t="s">
        <v>2555</v>
      </c>
      <c r="B953">
        <f>IFERROR(VLOOKUP(A953,管理亚马逊库存!A:K,11,0),"")</f>
        <v>21</v>
      </c>
      <c r="C953">
        <f>IFERROR(VLOOKUP(A953,管理亚马逊库存!A:L,12,0),"")</f>
        <v>0</v>
      </c>
      <c r="D953">
        <f>IFERROR(VLOOKUP(A953,管理亚马逊库存!A:Q,17,0),"")</f>
        <v>0</v>
      </c>
      <c r="E953">
        <f>IFERROR(VLOOKUP(A953,管理亚马逊库存!A:R,18,0),"")</f>
        <v>0</v>
      </c>
      <c r="F953">
        <f t="shared" si="29"/>
        <v>0</v>
      </c>
      <c r="G953" t="str">
        <f>IFERROR(VLOOKUP(A953,预留库存!A:G,7,0),0)</f>
        <v>No</v>
      </c>
      <c r="H953">
        <f>IFERROR(VLOOKUP(A953,预留库存!A:H,8,0),0)</f>
        <v>0</v>
      </c>
      <c r="I953">
        <f>IFERROR(VLOOKUP(A953,预留库存!A:F,6,0),0)</f>
        <v>32.99</v>
      </c>
      <c r="J953">
        <f>IFERROR(VLOOKUP(A953,库龄!B:K,9,0),0)</f>
        <v>12</v>
      </c>
      <c r="K953">
        <f>IFERROR(VLOOKUP(A953,库龄!B:L,10,0),0)</f>
        <v>0</v>
      </c>
      <c r="L953">
        <f>IFERROR(VLOOKUP(A953,库龄!B:M,11,0),0)</f>
        <v>0</v>
      </c>
      <c r="M953">
        <f>IFERROR(VLOOKUP(A953,库龄!B:N,12,0),0)</f>
        <v>0</v>
      </c>
      <c r="N953">
        <f t="shared" si="30"/>
        <v>12</v>
      </c>
    </row>
    <row r="954" spans="1:14">
      <c r="A954" s="3" t="s">
        <v>2558</v>
      </c>
      <c r="B954">
        <f>IFERROR(VLOOKUP(A954,管理亚马逊库存!A:K,11,0),"")</f>
        <v>28</v>
      </c>
      <c r="C954">
        <f>IFERROR(VLOOKUP(A954,管理亚马逊库存!A:L,12,0),"")</f>
        <v>0</v>
      </c>
      <c r="D954">
        <f>IFERROR(VLOOKUP(A954,管理亚马逊库存!A:Q,17,0),"")</f>
        <v>0</v>
      </c>
      <c r="E954">
        <f>IFERROR(VLOOKUP(A954,管理亚马逊库存!A:R,18,0),"")</f>
        <v>0</v>
      </c>
      <c r="F954">
        <f t="shared" si="29"/>
        <v>0</v>
      </c>
      <c r="G954" t="str">
        <f>IFERROR(VLOOKUP(A954,预留库存!A:G,7,0),0)</f>
        <v>No</v>
      </c>
      <c r="H954">
        <f>IFERROR(VLOOKUP(A954,预留库存!A:H,8,0),0)</f>
        <v>0</v>
      </c>
      <c r="I954">
        <f>IFERROR(VLOOKUP(A954,预留库存!A:F,6,0),0)</f>
        <v>32.99</v>
      </c>
      <c r="J954">
        <f>IFERROR(VLOOKUP(A954,库龄!B:K,9,0),0)</f>
        <v>11</v>
      </c>
      <c r="K954">
        <f>IFERROR(VLOOKUP(A954,库龄!B:L,10,0),0)</f>
        <v>4</v>
      </c>
      <c r="L954">
        <f>IFERROR(VLOOKUP(A954,库龄!B:M,11,0),0)</f>
        <v>0</v>
      </c>
      <c r="M954">
        <f>IFERROR(VLOOKUP(A954,库龄!B:N,12,0),0)</f>
        <v>0</v>
      </c>
      <c r="N954">
        <f t="shared" si="30"/>
        <v>15</v>
      </c>
    </row>
    <row r="955" spans="1:14">
      <c r="A955" s="3" t="s">
        <v>2561</v>
      </c>
      <c r="B955">
        <f>IFERROR(VLOOKUP(A955,管理亚马逊库存!A:K,11,0),"")</f>
        <v>16</v>
      </c>
      <c r="C955">
        <f>IFERROR(VLOOKUP(A955,管理亚马逊库存!A:L,12,0),"")</f>
        <v>0</v>
      </c>
      <c r="D955">
        <f>IFERROR(VLOOKUP(A955,管理亚马逊库存!A:Q,17,0),"")</f>
        <v>0</v>
      </c>
      <c r="E955">
        <f>IFERROR(VLOOKUP(A955,管理亚马逊库存!A:R,18,0),"")</f>
        <v>0</v>
      </c>
      <c r="F955">
        <f t="shared" si="29"/>
        <v>0</v>
      </c>
      <c r="G955" t="str">
        <f>IFERROR(VLOOKUP(A955,预留库存!A:G,7,0),0)</f>
        <v>No</v>
      </c>
      <c r="H955">
        <f>IFERROR(VLOOKUP(A955,预留库存!A:H,8,0),0)</f>
        <v>0</v>
      </c>
      <c r="I955">
        <f>IFERROR(VLOOKUP(A955,预留库存!A:F,6,0),0)</f>
        <v>32.99</v>
      </c>
      <c r="J955">
        <f>IFERROR(VLOOKUP(A955,库龄!B:K,9,0),0)</f>
        <v>0</v>
      </c>
      <c r="K955">
        <f>IFERROR(VLOOKUP(A955,库龄!B:L,10,0),0)</f>
        <v>16</v>
      </c>
      <c r="L955">
        <f>IFERROR(VLOOKUP(A955,库龄!B:M,11,0),0)</f>
        <v>0</v>
      </c>
      <c r="M955">
        <f>IFERROR(VLOOKUP(A955,库龄!B:N,12,0),0)</f>
        <v>0</v>
      </c>
      <c r="N955">
        <f t="shared" si="30"/>
        <v>16</v>
      </c>
    </row>
    <row r="956" spans="1:14">
      <c r="A956" s="3" t="s">
        <v>2564</v>
      </c>
      <c r="B956">
        <f>IFERROR(VLOOKUP(A956,管理亚马逊库存!A:K,11,0),"")</f>
        <v>10</v>
      </c>
      <c r="C956">
        <f>IFERROR(VLOOKUP(A956,管理亚马逊库存!A:L,12,0),"")</f>
        <v>0</v>
      </c>
      <c r="D956">
        <f>IFERROR(VLOOKUP(A956,管理亚马逊库存!A:Q,17,0),"")</f>
        <v>0</v>
      </c>
      <c r="E956">
        <f>IFERROR(VLOOKUP(A956,管理亚马逊库存!A:R,18,0),"")</f>
        <v>0</v>
      </c>
      <c r="F956">
        <f t="shared" si="29"/>
        <v>0</v>
      </c>
      <c r="G956" t="str">
        <f>IFERROR(VLOOKUP(A956,预留库存!A:G,7,0),0)</f>
        <v>No</v>
      </c>
      <c r="H956">
        <f>IFERROR(VLOOKUP(A956,预留库存!A:H,8,0),0)</f>
        <v>0</v>
      </c>
      <c r="I956">
        <f>IFERROR(VLOOKUP(A956,预留库存!A:F,6,0),0)</f>
        <v>32.99</v>
      </c>
      <c r="J956">
        <f>IFERROR(VLOOKUP(A956,库龄!B:K,9,0),0)</f>
        <v>10</v>
      </c>
      <c r="K956">
        <f>IFERROR(VLOOKUP(A956,库龄!B:L,10,0),0)</f>
        <v>0</v>
      </c>
      <c r="L956">
        <f>IFERROR(VLOOKUP(A956,库龄!B:M,11,0),0)</f>
        <v>0</v>
      </c>
      <c r="M956">
        <f>IFERROR(VLOOKUP(A956,库龄!B:N,12,0),0)</f>
        <v>0</v>
      </c>
      <c r="N956">
        <f t="shared" si="30"/>
        <v>10</v>
      </c>
    </row>
    <row r="957" spans="1:14">
      <c r="A957" s="3" t="s">
        <v>2567</v>
      </c>
      <c r="B957">
        <f>IFERROR(VLOOKUP(A957,管理亚马逊库存!A:K,11,0),"")</f>
        <v>11</v>
      </c>
      <c r="C957">
        <f>IFERROR(VLOOKUP(A957,管理亚马逊库存!A:L,12,0),"")</f>
        <v>0</v>
      </c>
      <c r="D957">
        <f>IFERROR(VLOOKUP(A957,管理亚马逊库存!A:Q,17,0),"")</f>
        <v>0</v>
      </c>
      <c r="E957">
        <f>IFERROR(VLOOKUP(A957,管理亚马逊库存!A:R,18,0),"")</f>
        <v>0</v>
      </c>
      <c r="F957">
        <f t="shared" si="29"/>
        <v>0</v>
      </c>
      <c r="G957" t="str">
        <f>IFERROR(VLOOKUP(A957,预留库存!A:G,7,0),0)</f>
        <v>No</v>
      </c>
      <c r="H957">
        <f>IFERROR(VLOOKUP(A957,预留库存!A:H,8,0),0)</f>
        <v>0</v>
      </c>
      <c r="I957">
        <f>IFERROR(VLOOKUP(A957,预留库存!A:F,6,0),0)</f>
        <v>32.99</v>
      </c>
      <c r="J957">
        <f>IFERROR(VLOOKUP(A957,库龄!B:K,9,0),0)</f>
        <v>11</v>
      </c>
      <c r="K957">
        <f>IFERROR(VLOOKUP(A957,库龄!B:L,10,0),0)</f>
        <v>0</v>
      </c>
      <c r="L957">
        <f>IFERROR(VLOOKUP(A957,库龄!B:M,11,0),0)</f>
        <v>0</v>
      </c>
      <c r="M957">
        <f>IFERROR(VLOOKUP(A957,库龄!B:N,12,0),0)</f>
        <v>0</v>
      </c>
      <c r="N957">
        <f t="shared" si="30"/>
        <v>11</v>
      </c>
    </row>
    <row r="958" spans="1:14">
      <c r="A958" s="3" t="s">
        <v>2570</v>
      </c>
      <c r="B958">
        <f>IFERROR(VLOOKUP(A958,管理亚马逊库存!A:K,11,0),"")</f>
        <v>0</v>
      </c>
      <c r="C958">
        <f>IFERROR(VLOOKUP(A958,管理亚马逊库存!A:L,12,0),"")</f>
        <v>0</v>
      </c>
      <c r="D958">
        <f>IFERROR(VLOOKUP(A958,管理亚马逊库存!A:Q,17,0),"")</f>
        <v>0</v>
      </c>
      <c r="E958">
        <f>IFERROR(VLOOKUP(A958,管理亚马逊库存!A:R,18,0),"")</f>
        <v>0</v>
      </c>
      <c r="F958">
        <f t="shared" si="29"/>
        <v>0</v>
      </c>
      <c r="G958" t="str">
        <f>IFERROR(VLOOKUP(A958,预留库存!A:G,7,0),0)</f>
        <v>No</v>
      </c>
      <c r="H958">
        <f>IFERROR(VLOOKUP(A958,预留库存!A:H,8,0),0)</f>
        <v>0</v>
      </c>
      <c r="I958">
        <f>IFERROR(VLOOKUP(A958,预留库存!A:F,6,0),0)</f>
        <v>24.98</v>
      </c>
      <c r="J958">
        <f>IFERROR(VLOOKUP(A958,库龄!B:K,9,0),0)</f>
        <v>0</v>
      </c>
      <c r="K958">
        <f>IFERROR(VLOOKUP(A958,库龄!B:L,10,0),0)</f>
        <v>0</v>
      </c>
      <c r="L958">
        <f>IFERROR(VLOOKUP(A958,库龄!B:M,11,0),0)</f>
        <v>0</v>
      </c>
      <c r="M958">
        <f>IFERROR(VLOOKUP(A958,库龄!B:N,12,0),0)</f>
        <v>0</v>
      </c>
      <c r="N958">
        <f t="shared" si="30"/>
        <v>0</v>
      </c>
    </row>
    <row r="959" spans="1:14">
      <c r="A959" s="3" t="s">
        <v>2572</v>
      </c>
      <c r="B959">
        <f>IFERROR(VLOOKUP(A959,管理亚马逊库存!A:K,11,0),"")</f>
        <v>0</v>
      </c>
      <c r="C959">
        <f>IFERROR(VLOOKUP(A959,管理亚马逊库存!A:L,12,0),"")</f>
        <v>0</v>
      </c>
      <c r="D959">
        <f>IFERROR(VLOOKUP(A959,管理亚马逊库存!A:Q,17,0),"")</f>
        <v>0</v>
      </c>
      <c r="E959">
        <f>IFERROR(VLOOKUP(A959,管理亚马逊库存!A:R,18,0),"")</f>
        <v>0</v>
      </c>
      <c r="F959">
        <f t="shared" si="29"/>
        <v>0</v>
      </c>
      <c r="G959" t="str">
        <f>IFERROR(VLOOKUP(A959,预留库存!A:G,7,0),0)</f>
        <v>No</v>
      </c>
      <c r="H959">
        <f>IFERROR(VLOOKUP(A959,预留库存!A:H,8,0),0)</f>
        <v>0</v>
      </c>
      <c r="I959">
        <f>IFERROR(VLOOKUP(A959,预留库存!A:F,6,0),0)</f>
        <v>24.98</v>
      </c>
      <c r="J959">
        <f>IFERROR(VLOOKUP(A959,库龄!B:K,9,0),0)</f>
        <v>0</v>
      </c>
      <c r="K959">
        <f>IFERROR(VLOOKUP(A959,库龄!B:L,10,0),0)</f>
        <v>0</v>
      </c>
      <c r="L959">
        <f>IFERROR(VLOOKUP(A959,库龄!B:M,11,0),0)</f>
        <v>0</v>
      </c>
      <c r="M959">
        <f>IFERROR(VLOOKUP(A959,库龄!B:N,12,0),0)</f>
        <v>0</v>
      </c>
      <c r="N959">
        <f t="shared" si="30"/>
        <v>0</v>
      </c>
    </row>
    <row r="960" spans="1:14">
      <c r="A960" s="3" t="s">
        <v>2574</v>
      </c>
      <c r="B960">
        <f>IFERROR(VLOOKUP(A960,管理亚马逊库存!A:K,11,0),"")</f>
        <v>0</v>
      </c>
      <c r="C960">
        <f>IFERROR(VLOOKUP(A960,管理亚马逊库存!A:L,12,0),"")</f>
        <v>0</v>
      </c>
      <c r="D960">
        <f>IFERROR(VLOOKUP(A960,管理亚马逊库存!A:Q,17,0),"")</f>
        <v>0</v>
      </c>
      <c r="E960">
        <f>IFERROR(VLOOKUP(A960,管理亚马逊库存!A:R,18,0),"")</f>
        <v>0</v>
      </c>
      <c r="F960">
        <f t="shared" si="29"/>
        <v>0</v>
      </c>
      <c r="G960" t="str">
        <f>IFERROR(VLOOKUP(A960,预留库存!A:G,7,0),0)</f>
        <v>No</v>
      </c>
      <c r="H960">
        <f>IFERROR(VLOOKUP(A960,预留库存!A:H,8,0),0)</f>
        <v>0</v>
      </c>
      <c r="I960">
        <f>IFERROR(VLOOKUP(A960,预留库存!A:F,6,0),0)</f>
        <v>22.98</v>
      </c>
      <c r="J960">
        <f>IFERROR(VLOOKUP(A960,库龄!B:K,9,0),0)</f>
        <v>0</v>
      </c>
      <c r="K960">
        <f>IFERROR(VLOOKUP(A960,库龄!B:L,10,0),0)</f>
        <v>0</v>
      </c>
      <c r="L960">
        <f>IFERROR(VLOOKUP(A960,库龄!B:M,11,0),0)</f>
        <v>0</v>
      </c>
      <c r="M960">
        <f>IFERROR(VLOOKUP(A960,库龄!B:N,12,0),0)</f>
        <v>0</v>
      </c>
      <c r="N960">
        <f t="shared" si="30"/>
        <v>0</v>
      </c>
    </row>
    <row r="961" spans="1:14">
      <c r="A961" s="3" t="s">
        <v>2576</v>
      </c>
      <c r="B961">
        <f>IFERROR(VLOOKUP(A961,管理亚马逊库存!A:K,11,0),"")</f>
        <v>0</v>
      </c>
      <c r="C961">
        <f>IFERROR(VLOOKUP(A961,管理亚马逊库存!A:L,12,0),"")</f>
        <v>0</v>
      </c>
      <c r="D961">
        <f>IFERROR(VLOOKUP(A961,管理亚马逊库存!A:Q,17,0),"")</f>
        <v>0</v>
      </c>
      <c r="E961">
        <f>IFERROR(VLOOKUP(A961,管理亚马逊库存!A:R,18,0),"")</f>
        <v>0</v>
      </c>
      <c r="F961">
        <f t="shared" si="29"/>
        <v>0</v>
      </c>
      <c r="G961">
        <f>IFERROR(VLOOKUP(A961,预留库存!A:G,7,0),0)</f>
        <v>0</v>
      </c>
      <c r="H961">
        <f>IFERROR(VLOOKUP(A961,预留库存!A:H,8,0),0)</f>
        <v>0</v>
      </c>
      <c r="I961">
        <f>IFERROR(VLOOKUP(A961,预留库存!A:F,6,0),0)</f>
        <v>0</v>
      </c>
      <c r="J961">
        <f>IFERROR(VLOOKUP(A961,库龄!B:K,9,0),0)</f>
        <v>0</v>
      </c>
      <c r="K961">
        <f>IFERROR(VLOOKUP(A961,库龄!B:L,10,0),0)</f>
        <v>0</v>
      </c>
      <c r="L961">
        <f>IFERROR(VLOOKUP(A961,库龄!B:M,11,0),0)</f>
        <v>0</v>
      </c>
      <c r="M961">
        <f>IFERROR(VLOOKUP(A961,库龄!B:N,12,0),0)</f>
        <v>0</v>
      </c>
      <c r="N961">
        <f t="shared" si="30"/>
        <v>0</v>
      </c>
    </row>
    <row r="962" spans="1:14">
      <c r="A962" s="3" t="s">
        <v>2578</v>
      </c>
      <c r="B962">
        <f>IFERROR(VLOOKUP(A962,管理亚马逊库存!A:K,11,0),"")</f>
        <v>14</v>
      </c>
      <c r="C962">
        <f>IFERROR(VLOOKUP(A962,管理亚马逊库存!A:L,12,0),"")</f>
        <v>0</v>
      </c>
      <c r="D962">
        <f>IFERROR(VLOOKUP(A962,管理亚马逊库存!A:Q,17,0),"")</f>
        <v>0</v>
      </c>
      <c r="E962">
        <f>IFERROR(VLOOKUP(A962,管理亚马逊库存!A:R,18,0),"")</f>
        <v>0</v>
      </c>
      <c r="F962">
        <f t="shared" si="29"/>
        <v>0</v>
      </c>
      <c r="G962" t="str">
        <f>IFERROR(VLOOKUP(A962,预留库存!A:G,7,0),0)</f>
        <v>No</v>
      </c>
      <c r="H962">
        <f>IFERROR(VLOOKUP(A962,预留库存!A:H,8,0),0)</f>
        <v>0</v>
      </c>
      <c r="I962">
        <f>IFERROR(VLOOKUP(A962,预留库存!A:F,6,0),0)</f>
        <v>35.98</v>
      </c>
      <c r="J962">
        <f>IFERROR(VLOOKUP(A962,库龄!B:K,9,0),0)</f>
        <v>0</v>
      </c>
      <c r="K962">
        <f>IFERROR(VLOOKUP(A962,库龄!B:L,10,0),0)</f>
        <v>0</v>
      </c>
      <c r="L962">
        <f>IFERROR(VLOOKUP(A962,库龄!B:M,11,0),0)</f>
        <v>0</v>
      </c>
      <c r="M962">
        <f>IFERROR(VLOOKUP(A962,库龄!B:N,12,0),0)</f>
        <v>0</v>
      </c>
      <c r="N962">
        <f t="shared" si="30"/>
        <v>0</v>
      </c>
    </row>
    <row r="963" spans="1:14">
      <c r="A963" s="3" t="s">
        <v>2580</v>
      </c>
      <c r="B963">
        <f>IFERROR(VLOOKUP(A963,管理亚马逊库存!A:K,11,0),"")</f>
        <v>32</v>
      </c>
      <c r="C963">
        <f>IFERROR(VLOOKUP(A963,管理亚马逊库存!A:L,12,0),"")</f>
        <v>0</v>
      </c>
      <c r="D963">
        <f>IFERROR(VLOOKUP(A963,管理亚马逊库存!A:Q,17,0),"")</f>
        <v>0</v>
      </c>
      <c r="E963">
        <f>IFERROR(VLOOKUP(A963,管理亚马逊库存!A:R,18,0),"")</f>
        <v>0</v>
      </c>
      <c r="F963">
        <f t="shared" ref="F963:F1026" si="31">SUM(D963:E963)</f>
        <v>0</v>
      </c>
      <c r="G963" t="str">
        <f>IFERROR(VLOOKUP(A963,预留库存!A:G,7,0),0)</f>
        <v>No</v>
      </c>
      <c r="H963">
        <f>IFERROR(VLOOKUP(A963,预留库存!A:H,8,0),0)</f>
        <v>0</v>
      </c>
      <c r="I963">
        <f>IFERROR(VLOOKUP(A963,预留库存!A:F,6,0),0)</f>
        <v>35.98</v>
      </c>
      <c r="J963">
        <f>IFERROR(VLOOKUP(A963,库龄!B:K,9,0),0)</f>
        <v>0</v>
      </c>
      <c r="K963">
        <f>IFERROR(VLOOKUP(A963,库龄!B:L,10,0),0)</f>
        <v>0</v>
      </c>
      <c r="L963">
        <f>IFERROR(VLOOKUP(A963,库龄!B:M,11,0),0)</f>
        <v>0</v>
      </c>
      <c r="M963">
        <f>IFERROR(VLOOKUP(A963,库龄!B:N,12,0),0)</f>
        <v>0</v>
      </c>
      <c r="N963">
        <f t="shared" ref="N963:N1026" si="32">SUM(J963:M963)</f>
        <v>0</v>
      </c>
    </row>
    <row r="964" spans="1:14">
      <c r="A964" s="3" t="s">
        <v>2581</v>
      </c>
      <c r="B964">
        <f>IFERROR(VLOOKUP(A964,管理亚马逊库存!A:K,11,0),"")</f>
        <v>24</v>
      </c>
      <c r="C964">
        <f>IFERROR(VLOOKUP(A964,管理亚马逊库存!A:L,12,0),"")</f>
        <v>0</v>
      </c>
      <c r="D964">
        <f>IFERROR(VLOOKUP(A964,管理亚马逊库存!A:Q,17,0),"")</f>
        <v>0</v>
      </c>
      <c r="E964">
        <f>IFERROR(VLOOKUP(A964,管理亚马逊库存!A:R,18,0),"")</f>
        <v>0</v>
      </c>
      <c r="F964">
        <f t="shared" si="31"/>
        <v>0</v>
      </c>
      <c r="G964" t="str">
        <f>IFERROR(VLOOKUP(A964,预留库存!A:G,7,0),0)</f>
        <v>No</v>
      </c>
      <c r="H964">
        <f>IFERROR(VLOOKUP(A964,预留库存!A:H,8,0),0)</f>
        <v>0</v>
      </c>
      <c r="I964">
        <f>IFERROR(VLOOKUP(A964,预留库存!A:F,6,0),0)</f>
        <v>35.98</v>
      </c>
      <c r="J964">
        <f>IFERROR(VLOOKUP(A964,库龄!B:K,9,0),0)</f>
        <v>1</v>
      </c>
      <c r="K964">
        <f>IFERROR(VLOOKUP(A964,库龄!B:L,10,0),0)</f>
        <v>10</v>
      </c>
      <c r="L964">
        <f>IFERROR(VLOOKUP(A964,库龄!B:M,11,0),0)</f>
        <v>0</v>
      </c>
      <c r="M964">
        <f>IFERROR(VLOOKUP(A964,库龄!B:N,12,0),0)</f>
        <v>0</v>
      </c>
      <c r="N964">
        <f t="shared" si="32"/>
        <v>11</v>
      </c>
    </row>
    <row r="965" spans="1:14">
      <c r="A965" s="3" t="s">
        <v>2582</v>
      </c>
      <c r="B965">
        <f>IFERROR(VLOOKUP(A965,管理亚马逊库存!A:K,11,0),"")</f>
        <v>19</v>
      </c>
      <c r="C965">
        <f>IFERROR(VLOOKUP(A965,管理亚马逊库存!A:L,12,0),"")</f>
        <v>0</v>
      </c>
      <c r="D965">
        <f>IFERROR(VLOOKUP(A965,管理亚马逊库存!A:Q,17,0),"")</f>
        <v>0</v>
      </c>
      <c r="E965">
        <f>IFERROR(VLOOKUP(A965,管理亚马逊库存!A:R,18,0),"")</f>
        <v>0</v>
      </c>
      <c r="F965">
        <f t="shared" si="31"/>
        <v>0</v>
      </c>
      <c r="G965" t="str">
        <f>IFERROR(VLOOKUP(A965,预留库存!A:G,7,0),0)</f>
        <v>No</v>
      </c>
      <c r="H965">
        <f>IFERROR(VLOOKUP(A965,预留库存!A:H,8,0),0)</f>
        <v>0</v>
      </c>
      <c r="I965">
        <f>IFERROR(VLOOKUP(A965,预留库存!A:F,6,0),0)</f>
        <v>35.98</v>
      </c>
      <c r="J965">
        <f>IFERROR(VLOOKUP(A965,库龄!B:K,9,0),0)</f>
        <v>0</v>
      </c>
      <c r="K965">
        <f>IFERROR(VLOOKUP(A965,库龄!B:L,10,0),0)</f>
        <v>0</v>
      </c>
      <c r="L965">
        <f>IFERROR(VLOOKUP(A965,库龄!B:M,11,0),0)</f>
        <v>0</v>
      </c>
      <c r="M965">
        <f>IFERROR(VLOOKUP(A965,库龄!B:N,12,0),0)</f>
        <v>0</v>
      </c>
      <c r="N965">
        <f t="shared" si="32"/>
        <v>0</v>
      </c>
    </row>
    <row r="966" spans="1:14">
      <c r="A966" s="3" t="s">
        <v>2583</v>
      </c>
      <c r="B966">
        <f>IFERROR(VLOOKUP(A966,管理亚马逊库存!A:K,11,0),"")</f>
        <v>0</v>
      </c>
      <c r="C966">
        <f>IFERROR(VLOOKUP(A966,管理亚马逊库存!A:L,12,0),"")</f>
        <v>0</v>
      </c>
      <c r="D966">
        <f>IFERROR(VLOOKUP(A966,管理亚马逊库存!A:Q,17,0),"")</f>
        <v>0</v>
      </c>
      <c r="E966">
        <f>IFERROR(VLOOKUP(A966,管理亚马逊库存!A:R,18,0),"")</f>
        <v>0</v>
      </c>
      <c r="F966">
        <f t="shared" si="31"/>
        <v>0</v>
      </c>
      <c r="G966" t="str">
        <f>IFERROR(VLOOKUP(A966,预留库存!A:G,7,0),0)</f>
        <v>No</v>
      </c>
      <c r="H966">
        <f>IFERROR(VLOOKUP(A966,预留库存!A:H,8,0),0)</f>
        <v>0</v>
      </c>
      <c r="I966">
        <f>IFERROR(VLOOKUP(A966,预留库存!A:F,6,0),0)</f>
        <v>35.98</v>
      </c>
      <c r="J966">
        <f>IFERROR(VLOOKUP(A966,库龄!B:K,9,0),0)</f>
        <v>0</v>
      </c>
      <c r="K966">
        <f>IFERROR(VLOOKUP(A966,库龄!B:L,10,0),0)</f>
        <v>0</v>
      </c>
      <c r="L966">
        <f>IFERROR(VLOOKUP(A966,库龄!B:M,11,0),0)</f>
        <v>0</v>
      </c>
      <c r="M966">
        <f>IFERROR(VLOOKUP(A966,库龄!B:N,12,0),0)</f>
        <v>0</v>
      </c>
      <c r="N966">
        <f t="shared" si="32"/>
        <v>0</v>
      </c>
    </row>
    <row r="967" spans="1:14">
      <c r="A967" s="3" t="s">
        <v>2584</v>
      </c>
      <c r="B967">
        <f>IFERROR(VLOOKUP(A967,管理亚马逊库存!A:K,11,0),"")</f>
        <v>10</v>
      </c>
      <c r="C967">
        <f>IFERROR(VLOOKUP(A967,管理亚马逊库存!A:L,12,0),"")</f>
        <v>0</v>
      </c>
      <c r="D967">
        <f>IFERROR(VLOOKUP(A967,管理亚马逊库存!A:Q,17,0),"")</f>
        <v>0</v>
      </c>
      <c r="E967">
        <f>IFERROR(VLOOKUP(A967,管理亚马逊库存!A:R,18,0),"")</f>
        <v>0</v>
      </c>
      <c r="F967">
        <f t="shared" si="31"/>
        <v>0</v>
      </c>
      <c r="G967" t="str">
        <f>IFERROR(VLOOKUP(A967,预留库存!A:G,7,0),0)</f>
        <v>No</v>
      </c>
      <c r="H967">
        <f>IFERROR(VLOOKUP(A967,预留库存!A:H,8,0),0)</f>
        <v>0</v>
      </c>
      <c r="I967">
        <f>IFERROR(VLOOKUP(A967,预留库存!A:F,6,0),0)</f>
        <v>35.98</v>
      </c>
      <c r="J967">
        <f>IFERROR(VLOOKUP(A967,库龄!B:K,9,0),0)</f>
        <v>0</v>
      </c>
      <c r="K967">
        <f>IFERROR(VLOOKUP(A967,库龄!B:L,10,0),0)</f>
        <v>0</v>
      </c>
      <c r="L967">
        <f>IFERROR(VLOOKUP(A967,库龄!B:M,11,0),0)</f>
        <v>0</v>
      </c>
      <c r="M967">
        <f>IFERROR(VLOOKUP(A967,库龄!B:N,12,0),0)</f>
        <v>0</v>
      </c>
      <c r="N967">
        <f t="shared" si="32"/>
        <v>0</v>
      </c>
    </row>
    <row r="968" spans="1:14">
      <c r="A968" s="3" t="s">
        <v>2585</v>
      </c>
      <c r="B968">
        <f>IFERROR(VLOOKUP(A968,管理亚马逊库存!A:K,11,0),"")</f>
        <v>19</v>
      </c>
      <c r="C968">
        <f>IFERROR(VLOOKUP(A968,管理亚马逊库存!A:L,12,0),"")</f>
        <v>0</v>
      </c>
      <c r="D968">
        <f>IFERROR(VLOOKUP(A968,管理亚马逊库存!A:Q,17,0),"")</f>
        <v>0</v>
      </c>
      <c r="E968">
        <f>IFERROR(VLOOKUP(A968,管理亚马逊库存!A:R,18,0),"")</f>
        <v>0</v>
      </c>
      <c r="F968">
        <f t="shared" si="31"/>
        <v>0</v>
      </c>
      <c r="G968" t="str">
        <f>IFERROR(VLOOKUP(A968,预留库存!A:G,7,0),0)</f>
        <v>No</v>
      </c>
      <c r="H968">
        <f>IFERROR(VLOOKUP(A968,预留库存!A:H,8,0),0)</f>
        <v>0</v>
      </c>
      <c r="I968">
        <f>IFERROR(VLOOKUP(A968,预留库存!A:F,6,0),0)</f>
        <v>35.98</v>
      </c>
      <c r="J968">
        <f>IFERROR(VLOOKUP(A968,库龄!B:K,9,0),0)</f>
        <v>0</v>
      </c>
      <c r="K968">
        <f>IFERROR(VLOOKUP(A968,库龄!B:L,10,0),0)</f>
        <v>0</v>
      </c>
      <c r="L968">
        <f>IFERROR(VLOOKUP(A968,库龄!B:M,11,0),0)</f>
        <v>0</v>
      </c>
      <c r="M968">
        <f>IFERROR(VLOOKUP(A968,库龄!B:N,12,0),0)</f>
        <v>0</v>
      </c>
      <c r="N968">
        <f t="shared" si="32"/>
        <v>0</v>
      </c>
    </row>
    <row r="969" spans="1:14">
      <c r="A969" s="3" t="s">
        <v>2586</v>
      </c>
      <c r="B969">
        <f>IFERROR(VLOOKUP(A969,管理亚马逊库存!A:K,11,0),"")</f>
        <v>3</v>
      </c>
      <c r="C969">
        <f>IFERROR(VLOOKUP(A969,管理亚马逊库存!A:L,12,0),"")</f>
        <v>0</v>
      </c>
      <c r="D969">
        <f>IFERROR(VLOOKUP(A969,管理亚马逊库存!A:Q,17,0),"")</f>
        <v>0</v>
      </c>
      <c r="E969">
        <f>IFERROR(VLOOKUP(A969,管理亚马逊库存!A:R,18,0),"")</f>
        <v>0</v>
      </c>
      <c r="F969">
        <f t="shared" si="31"/>
        <v>0</v>
      </c>
      <c r="G969" t="str">
        <f>IFERROR(VLOOKUP(A969,预留库存!A:G,7,0),0)</f>
        <v>No</v>
      </c>
      <c r="H969">
        <f>IFERROR(VLOOKUP(A969,预留库存!A:H,8,0),0)</f>
        <v>0</v>
      </c>
      <c r="I969">
        <f>IFERROR(VLOOKUP(A969,预留库存!A:F,6,0),0)</f>
        <v>35.98</v>
      </c>
      <c r="J969">
        <f>IFERROR(VLOOKUP(A969,库龄!B:K,9,0),0)</f>
        <v>0</v>
      </c>
      <c r="K969">
        <f>IFERROR(VLOOKUP(A969,库龄!B:L,10,0),0)</f>
        <v>0</v>
      </c>
      <c r="L969">
        <f>IFERROR(VLOOKUP(A969,库龄!B:M,11,0),0)</f>
        <v>0</v>
      </c>
      <c r="M969">
        <f>IFERROR(VLOOKUP(A969,库龄!B:N,12,0),0)</f>
        <v>0</v>
      </c>
      <c r="N969">
        <f t="shared" si="32"/>
        <v>0</v>
      </c>
    </row>
    <row r="970" spans="1:14">
      <c r="A970" s="3" t="s">
        <v>2587</v>
      </c>
      <c r="B970">
        <f>IFERROR(VLOOKUP(A970,管理亚马逊库存!A:K,11,0),"")</f>
        <v>17</v>
      </c>
      <c r="C970">
        <f>IFERROR(VLOOKUP(A970,管理亚马逊库存!A:L,12,0),"")</f>
        <v>0</v>
      </c>
      <c r="D970">
        <f>IFERROR(VLOOKUP(A970,管理亚马逊库存!A:Q,17,0),"")</f>
        <v>0</v>
      </c>
      <c r="E970">
        <f>IFERROR(VLOOKUP(A970,管理亚马逊库存!A:R,18,0),"")</f>
        <v>0</v>
      </c>
      <c r="F970">
        <f t="shared" si="31"/>
        <v>0</v>
      </c>
      <c r="G970" t="str">
        <f>IFERROR(VLOOKUP(A970,预留库存!A:G,7,0),0)</f>
        <v>No</v>
      </c>
      <c r="H970">
        <f>IFERROR(VLOOKUP(A970,预留库存!A:H,8,0),0)</f>
        <v>0</v>
      </c>
      <c r="I970">
        <f>IFERROR(VLOOKUP(A970,预留库存!A:F,6,0),0)</f>
        <v>35.98</v>
      </c>
      <c r="J970">
        <f>IFERROR(VLOOKUP(A970,库龄!B:K,9,0),0)</f>
        <v>0</v>
      </c>
      <c r="K970">
        <f>IFERROR(VLOOKUP(A970,库龄!B:L,10,0),0)</f>
        <v>0</v>
      </c>
      <c r="L970">
        <f>IFERROR(VLOOKUP(A970,库龄!B:M,11,0),0)</f>
        <v>0</v>
      </c>
      <c r="M970">
        <f>IFERROR(VLOOKUP(A970,库龄!B:N,12,0),0)</f>
        <v>0</v>
      </c>
      <c r="N970">
        <f t="shared" si="32"/>
        <v>0</v>
      </c>
    </row>
    <row r="971" spans="1:14">
      <c r="A971" s="3" t="s">
        <v>2588</v>
      </c>
      <c r="B971">
        <f>IFERROR(VLOOKUP(A971,管理亚马逊库存!A:K,11,0),"")</f>
        <v>13</v>
      </c>
      <c r="C971">
        <f>IFERROR(VLOOKUP(A971,管理亚马逊库存!A:L,12,0),"")</f>
        <v>0</v>
      </c>
      <c r="D971">
        <f>IFERROR(VLOOKUP(A971,管理亚马逊库存!A:Q,17,0),"")</f>
        <v>0</v>
      </c>
      <c r="E971">
        <f>IFERROR(VLOOKUP(A971,管理亚马逊库存!A:R,18,0),"")</f>
        <v>0</v>
      </c>
      <c r="F971">
        <f t="shared" si="31"/>
        <v>0</v>
      </c>
      <c r="G971" t="str">
        <f>IFERROR(VLOOKUP(A971,预留库存!A:G,7,0),0)</f>
        <v>No</v>
      </c>
      <c r="H971">
        <f>IFERROR(VLOOKUP(A971,预留库存!A:H,8,0),0)</f>
        <v>0</v>
      </c>
      <c r="I971">
        <f>IFERROR(VLOOKUP(A971,预留库存!A:F,6,0),0)</f>
        <v>35.98</v>
      </c>
      <c r="J971">
        <f>IFERROR(VLOOKUP(A971,库龄!B:K,9,0),0)</f>
        <v>0</v>
      </c>
      <c r="K971">
        <f>IFERROR(VLOOKUP(A971,库龄!B:L,10,0),0)</f>
        <v>0</v>
      </c>
      <c r="L971">
        <f>IFERROR(VLOOKUP(A971,库龄!B:M,11,0),0)</f>
        <v>0</v>
      </c>
      <c r="M971">
        <f>IFERROR(VLOOKUP(A971,库龄!B:N,12,0),0)</f>
        <v>0</v>
      </c>
      <c r="N971">
        <f t="shared" si="32"/>
        <v>0</v>
      </c>
    </row>
    <row r="972" spans="1:14">
      <c r="A972" s="3" t="s">
        <v>2589</v>
      </c>
      <c r="B972">
        <f>IFERROR(VLOOKUP(A972,管理亚马逊库存!A:K,11,0),"")</f>
        <v>20</v>
      </c>
      <c r="C972">
        <f>IFERROR(VLOOKUP(A972,管理亚马逊库存!A:L,12,0),"")</f>
        <v>0</v>
      </c>
      <c r="D972">
        <f>IFERROR(VLOOKUP(A972,管理亚马逊库存!A:Q,17,0),"")</f>
        <v>0</v>
      </c>
      <c r="E972">
        <f>IFERROR(VLOOKUP(A972,管理亚马逊库存!A:R,18,0),"")</f>
        <v>0</v>
      </c>
      <c r="F972">
        <f t="shared" si="31"/>
        <v>0</v>
      </c>
      <c r="G972">
        <f>IFERROR(VLOOKUP(A972,预留库存!A:G,7,0),0)</f>
        <v>0</v>
      </c>
      <c r="H972">
        <f>IFERROR(VLOOKUP(A972,预留库存!A:H,8,0),0)</f>
        <v>0</v>
      </c>
      <c r="I972">
        <f>IFERROR(VLOOKUP(A972,预留库存!A:F,6,0),0)</f>
        <v>0</v>
      </c>
      <c r="J972">
        <f>IFERROR(VLOOKUP(A972,库龄!B:K,9,0),0)</f>
        <v>0</v>
      </c>
      <c r="K972">
        <f>IFERROR(VLOOKUP(A972,库龄!B:L,10,0),0)</f>
        <v>0</v>
      </c>
      <c r="L972">
        <f>IFERROR(VLOOKUP(A972,库龄!B:M,11,0),0)</f>
        <v>0</v>
      </c>
      <c r="M972">
        <f>IFERROR(VLOOKUP(A972,库龄!B:N,12,0),0)</f>
        <v>0</v>
      </c>
      <c r="N972">
        <f t="shared" si="32"/>
        <v>0</v>
      </c>
    </row>
    <row r="973" spans="1:14">
      <c r="A973" s="3" t="s">
        <v>2591</v>
      </c>
      <c r="B973">
        <f>IFERROR(VLOOKUP(A973,管理亚马逊库存!A:K,11,0),"")</f>
        <v>32</v>
      </c>
      <c r="C973">
        <f>IFERROR(VLOOKUP(A973,管理亚马逊库存!A:L,12,0),"")</f>
        <v>0</v>
      </c>
      <c r="D973">
        <f>IFERROR(VLOOKUP(A973,管理亚马逊库存!A:Q,17,0),"")</f>
        <v>0</v>
      </c>
      <c r="E973">
        <f>IFERROR(VLOOKUP(A973,管理亚马逊库存!A:R,18,0),"")</f>
        <v>0</v>
      </c>
      <c r="F973">
        <f t="shared" si="31"/>
        <v>0</v>
      </c>
      <c r="G973">
        <f>IFERROR(VLOOKUP(A973,预留库存!A:G,7,0),0)</f>
        <v>0</v>
      </c>
      <c r="H973">
        <f>IFERROR(VLOOKUP(A973,预留库存!A:H,8,0),0)</f>
        <v>0</v>
      </c>
      <c r="I973">
        <f>IFERROR(VLOOKUP(A973,预留库存!A:F,6,0),0)</f>
        <v>0</v>
      </c>
      <c r="J973">
        <f>IFERROR(VLOOKUP(A973,库龄!B:K,9,0),0)</f>
        <v>0</v>
      </c>
      <c r="K973">
        <f>IFERROR(VLOOKUP(A973,库龄!B:L,10,0),0)</f>
        <v>0</v>
      </c>
      <c r="L973">
        <f>IFERROR(VLOOKUP(A973,库龄!B:M,11,0),0)</f>
        <v>0</v>
      </c>
      <c r="M973">
        <f>IFERROR(VLOOKUP(A973,库龄!B:N,12,0),0)</f>
        <v>0</v>
      </c>
      <c r="N973">
        <f t="shared" si="32"/>
        <v>0</v>
      </c>
    </row>
    <row r="974" spans="1:14">
      <c r="A974" s="3" t="s">
        <v>2592</v>
      </c>
      <c r="B974">
        <f>IFERROR(VLOOKUP(A974,管理亚马逊库存!A:K,11,0),"")</f>
        <v>24</v>
      </c>
      <c r="C974">
        <f>IFERROR(VLOOKUP(A974,管理亚马逊库存!A:L,12,0),"")</f>
        <v>0</v>
      </c>
      <c r="D974">
        <f>IFERROR(VLOOKUP(A974,管理亚马逊库存!A:Q,17,0),"")</f>
        <v>0</v>
      </c>
      <c r="E974">
        <f>IFERROR(VLOOKUP(A974,管理亚马逊库存!A:R,18,0),"")</f>
        <v>1</v>
      </c>
      <c r="F974">
        <f t="shared" si="31"/>
        <v>1</v>
      </c>
      <c r="G974">
        <f>IFERROR(VLOOKUP(A974,预留库存!A:G,7,0),0)</f>
        <v>0</v>
      </c>
      <c r="H974">
        <f>IFERROR(VLOOKUP(A974,预留库存!A:H,8,0),0)</f>
        <v>0</v>
      </c>
      <c r="I974">
        <f>IFERROR(VLOOKUP(A974,预留库存!A:F,6,0),0)</f>
        <v>0</v>
      </c>
      <c r="J974">
        <f>IFERROR(VLOOKUP(A974,库龄!B:K,9,0),0)</f>
        <v>0</v>
      </c>
      <c r="K974">
        <f>IFERROR(VLOOKUP(A974,库龄!B:L,10,0),0)</f>
        <v>0</v>
      </c>
      <c r="L974">
        <f>IFERROR(VLOOKUP(A974,库龄!B:M,11,0),0)</f>
        <v>0</v>
      </c>
      <c r="M974">
        <f>IFERROR(VLOOKUP(A974,库龄!B:N,12,0),0)</f>
        <v>0</v>
      </c>
      <c r="N974">
        <f t="shared" si="32"/>
        <v>0</v>
      </c>
    </row>
    <row r="975" spans="1:14">
      <c r="A975" s="3" t="s">
        <v>2593</v>
      </c>
      <c r="B975">
        <f>IFERROR(VLOOKUP(A975,管理亚马逊库存!A:K,11,0),"")</f>
        <v>26</v>
      </c>
      <c r="C975">
        <f>IFERROR(VLOOKUP(A975,管理亚马逊库存!A:L,12,0),"")</f>
        <v>0</v>
      </c>
      <c r="D975">
        <f>IFERROR(VLOOKUP(A975,管理亚马逊库存!A:Q,17,0),"")</f>
        <v>0</v>
      </c>
      <c r="E975">
        <f>IFERROR(VLOOKUP(A975,管理亚马逊库存!A:R,18,0),"")</f>
        <v>0</v>
      </c>
      <c r="F975">
        <f t="shared" si="31"/>
        <v>0</v>
      </c>
      <c r="G975">
        <f>IFERROR(VLOOKUP(A975,预留库存!A:G,7,0),0)</f>
        <v>0</v>
      </c>
      <c r="H975">
        <f>IFERROR(VLOOKUP(A975,预留库存!A:H,8,0),0)</f>
        <v>0</v>
      </c>
      <c r="I975">
        <f>IFERROR(VLOOKUP(A975,预留库存!A:F,6,0),0)</f>
        <v>0</v>
      </c>
      <c r="J975">
        <f>IFERROR(VLOOKUP(A975,库龄!B:K,9,0),0)</f>
        <v>0</v>
      </c>
      <c r="K975">
        <f>IFERROR(VLOOKUP(A975,库龄!B:L,10,0),0)</f>
        <v>0</v>
      </c>
      <c r="L975">
        <f>IFERROR(VLOOKUP(A975,库龄!B:M,11,0),0)</f>
        <v>0</v>
      </c>
      <c r="M975">
        <f>IFERROR(VLOOKUP(A975,库龄!B:N,12,0),0)</f>
        <v>0</v>
      </c>
      <c r="N975">
        <f t="shared" si="32"/>
        <v>0</v>
      </c>
    </row>
    <row r="976" spans="1:14">
      <c r="A976" s="3" t="s">
        <v>2594</v>
      </c>
      <c r="B976">
        <f>IFERROR(VLOOKUP(A976,管理亚马逊库存!A:K,11,0),"")</f>
        <v>20</v>
      </c>
      <c r="C976">
        <f>IFERROR(VLOOKUP(A976,管理亚马逊库存!A:L,12,0),"")</f>
        <v>0</v>
      </c>
      <c r="D976">
        <f>IFERROR(VLOOKUP(A976,管理亚马逊库存!A:Q,17,0),"")</f>
        <v>0</v>
      </c>
      <c r="E976">
        <f>IFERROR(VLOOKUP(A976,管理亚马逊库存!A:R,18,0),"")</f>
        <v>0</v>
      </c>
      <c r="F976">
        <f t="shared" si="31"/>
        <v>0</v>
      </c>
      <c r="G976">
        <f>IFERROR(VLOOKUP(A976,预留库存!A:G,7,0),0)</f>
        <v>0</v>
      </c>
      <c r="H976">
        <f>IFERROR(VLOOKUP(A976,预留库存!A:H,8,0),0)</f>
        <v>0</v>
      </c>
      <c r="I976">
        <f>IFERROR(VLOOKUP(A976,预留库存!A:F,6,0),0)</f>
        <v>0</v>
      </c>
      <c r="J976">
        <f>IFERROR(VLOOKUP(A976,库龄!B:K,9,0),0)</f>
        <v>0</v>
      </c>
      <c r="K976">
        <f>IFERROR(VLOOKUP(A976,库龄!B:L,10,0),0)</f>
        <v>0</v>
      </c>
      <c r="L976">
        <f>IFERROR(VLOOKUP(A976,库龄!B:M,11,0),0)</f>
        <v>0</v>
      </c>
      <c r="M976">
        <f>IFERROR(VLOOKUP(A976,库龄!B:N,12,0),0)</f>
        <v>0</v>
      </c>
      <c r="N976">
        <f t="shared" si="32"/>
        <v>0</v>
      </c>
    </row>
    <row r="977" spans="1:14">
      <c r="A977" s="3" t="s">
        <v>2595</v>
      </c>
      <c r="B977">
        <f>IFERROR(VLOOKUP(A977,管理亚马逊库存!A:K,11,0),"")</f>
        <v>37</v>
      </c>
      <c r="C977">
        <f>IFERROR(VLOOKUP(A977,管理亚马逊库存!A:L,12,0),"")</f>
        <v>0</v>
      </c>
      <c r="D977">
        <f>IFERROR(VLOOKUP(A977,管理亚马逊库存!A:Q,17,0),"")</f>
        <v>0</v>
      </c>
      <c r="E977">
        <f>IFERROR(VLOOKUP(A977,管理亚马逊库存!A:R,18,0),"")</f>
        <v>0</v>
      </c>
      <c r="F977">
        <f t="shared" si="31"/>
        <v>0</v>
      </c>
      <c r="G977" t="str">
        <f>IFERROR(VLOOKUP(A977,预留库存!A:G,7,0),0)</f>
        <v>No</v>
      </c>
      <c r="H977">
        <f>IFERROR(VLOOKUP(A977,预留库存!A:H,8,0),0)</f>
        <v>0</v>
      </c>
      <c r="I977">
        <f>IFERROR(VLOOKUP(A977,预留库存!A:F,6,0),0)</f>
        <v>35.98</v>
      </c>
      <c r="J977">
        <f>IFERROR(VLOOKUP(A977,库龄!B:K,9,0),0)</f>
        <v>0</v>
      </c>
      <c r="K977">
        <f>IFERROR(VLOOKUP(A977,库龄!B:L,10,0),0)</f>
        <v>0</v>
      </c>
      <c r="L977">
        <f>IFERROR(VLOOKUP(A977,库龄!B:M,11,0),0)</f>
        <v>0</v>
      </c>
      <c r="M977">
        <f>IFERROR(VLOOKUP(A977,库龄!B:N,12,0),0)</f>
        <v>0</v>
      </c>
      <c r="N977">
        <f t="shared" si="32"/>
        <v>0</v>
      </c>
    </row>
    <row r="978" spans="1:14">
      <c r="A978" s="3" t="s">
        <v>2596</v>
      </c>
      <c r="B978">
        <f>IFERROR(VLOOKUP(A978,管理亚马逊库存!A:K,11,0),"")</f>
        <v>45</v>
      </c>
      <c r="C978">
        <f>IFERROR(VLOOKUP(A978,管理亚马逊库存!A:L,12,0),"")</f>
        <v>0</v>
      </c>
      <c r="D978">
        <f>IFERROR(VLOOKUP(A978,管理亚马逊库存!A:Q,17,0),"")</f>
        <v>0</v>
      </c>
      <c r="E978">
        <f>IFERROR(VLOOKUP(A978,管理亚马逊库存!A:R,18,0),"")</f>
        <v>0</v>
      </c>
      <c r="F978">
        <f t="shared" si="31"/>
        <v>0</v>
      </c>
      <c r="G978" t="str">
        <f>IFERROR(VLOOKUP(A978,预留库存!A:G,7,0),0)</f>
        <v>No</v>
      </c>
      <c r="H978">
        <f>IFERROR(VLOOKUP(A978,预留库存!A:H,8,0),0)</f>
        <v>0</v>
      </c>
      <c r="I978">
        <f>IFERROR(VLOOKUP(A978,预留库存!A:F,6,0),0)</f>
        <v>35.98</v>
      </c>
      <c r="J978">
        <f>IFERROR(VLOOKUP(A978,库龄!B:K,9,0),0)</f>
        <v>0</v>
      </c>
      <c r="K978">
        <f>IFERROR(VLOOKUP(A978,库龄!B:L,10,0),0)</f>
        <v>0</v>
      </c>
      <c r="L978">
        <f>IFERROR(VLOOKUP(A978,库龄!B:M,11,0),0)</f>
        <v>0</v>
      </c>
      <c r="M978">
        <f>IFERROR(VLOOKUP(A978,库龄!B:N,12,0),0)</f>
        <v>0</v>
      </c>
      <c r="N978">
        <f t="shared" si="32"/>
        <v>0</v>
      </c>
    </row>
    <row r="979" spans="1:14">
      <c r="A979" s="3" t="s">
        <v>2597</v>
      </c>
      <c r="B979">
        <f>IFERROR(VLOOKUP(A979,管理亚马逊库存!A:K,11,0),"")</f>
        <v>29</v>
      </c>
      <c r="C979">
        <f>IFERROR(VLOOKUP(A979,管理亚马逊库存!A:L,12,0),"")</f>
        <v>0</v>
      </c>
      <c r="D979">
        <f>IFERROR(VLOOKUP(A979,管理亚马逊库存!A:Q,17,0),"")</f>
        <v>0</v>
      </c>
      <c r="E979">
        <f>IFERROR(VLOOKUP(A979,管理亚马逊库存!A:R,18,0),"")</f>
        <v>0</v>
      </c>
      <c r="F979">
        <f t="shared" si="31"/>
        <v>0</v>
      </c>
      <c r="G979" t="str">
        <f>IFERROR(VLOOKUP(A979,预留库存!A:G,7,0),0)</f>
        <v>No</v>
      </c>
      <c r="H979">
        <f>IFERROR(VLOOKUP(A979,预留库存!A:H,8,0),0)</f>
        <v>0</v>
      </c>
      <c r="I979">
        <f>IFERROR(VLOOKUP(A979,预留库存!A:F,6,0),0)</f>
        <v>35.98</v>
      </c>
      <c r="J979">
        <f>IFERROR(VLOOKUP(A979,库龄!B:K,9,0),0)</f>
        <v>1</v>
      </c>
      <c r="K979">
        <f>IFERROR(VLOOKUP(A979,库龄!B:L,10,0),0)</f>
        <v>17</v>
      </c>
      <c r="L979">
        <f>IFERROR(VLOOKUP(A979,库龄!B:M,11,0),0)</f>
        <v>0</v>
      </c>
      <c r="M979">
        <f>IFERROR(VLOOKUP(A979,库龄!B:N,12,0),0)</f>
        <v>0</v>
      </c>
      <c r="N979">
        <f t="shared" si="32"/>
        <v>18</v>
      </c>
    </row>
    <row r="980" spans="1:14">
      <c r="A980" s="3" t="s">
        <v>2598</v>
      </c>
      <c r="B980">
        <f>IFERROR(VLOOKUP(A980,管理亚马逊库存!A:K,11,0),"")</f>
        <v>37</v>
      </c>
      <c r="C980">
        <f>IFERROR(VLOOKUP(A980,管理亚马逊库存!A:L,12,0),"")</f>
        <v>0</v>
      </c>
      <c r="D980">
        <f>IFERROR(VLOOKUP(A980,管理亚马逊库存!A:Q,17,0),"")</f>
        <v>0</v>
      </c>
      <c r="E980">
        <f>IFERROR(VLOOKUP(A980,管理亚马逊库存!A:R,18,0),"")</f>
        <v>0</v>
      </c>
      <c r="F980">
        <f t="shared" si="31"/>
        <v>0</v>
      </c>
      <c r="G980" t="str">
        <f>IFERROR(VLOOKUP(A980,预留库存!A:G,7,0),0)</f>
        <v>No</v>
      </c>
      <c r="H980">
        <f>IFERROR(VLOOKUP(A980,预留库存!A:H,8,0),0)</f>
        <v>0</v>
      </c>
      <c r="I980">
        <f>IFERROR(VLOOKUP(A980,预留库存!A:F,6,0),0)</f>
        <v>35.98</v>
      </c>
      <c r="J980">
        <f>IFERROR(VLOOKUP(A980,库龄!B:K,9,0),0)</f>
        <v>0</v>
      </c>
      <c r="K980">
        <f>IFERROR(VLOOKUP(A980,库龄!B:L,10,0),0)</f>
        <v>0</v>
      </c>
      <c r="L980">
        <f>IFERROR(VLOOKUP(A980,库龄!B:M,11,0),0)</f>
        <v>0</v>
      </c>
      <c r="M980">
        <f>IFERROR(VLOOKUP(A980,库龄!B:N,12,0),0)</f>
        <v>0</v>
      </c>
      <c r="N980">
        <f t="shared" si="32"/>
        <v>0</v>
      </c>
    </row>
    <row r="981" spans="1:14">
      <c r="A981" s="3" t="s">
        <v>2599</v>
      </c>
      <c r="B981">
        <f>IFERROR(VLOOKUP(A981,管理亚马逊库存!A:K,11,0),"")</f>
        <v>26</v>
      </c>
      <c r="C981">
        <f>IFERROR(VLOOKUP(A981,管理亚马逊库存!A:L,12,0),"")</f>
        <v>0</v>
      </c>
      <c r="D981">
        <f>IFERROR(VLOOKUP(A981,管理亚马逊库存!A:Q,17,0),"")</f>
        <v>0</v>
      </c>
      <c r="E981">
        <f>IFERROR(VLOOKUP(A981,管理亚马逊库存!A:R,18,0),"")</f>
        <v>0</v>
      </c>
      <c r="F981">
        <f t="shared" si="31"/>
        <v>0</v>
      </c>
      <c r="G981" t="str">
        <f>IFERROR(VLOOKUP(A981,预留库存!A:G,7,0),0)</f>
        <v>No</v>
      </c>
      <c r="H981">
        <f>IFERROR(VLOOKUP(A981,预留库存!A:H,8,0),0)</f>
        <v>0</v>
      </c>
      <c r="I981">
        <f>IFERROR(VLOOKUP(A981,预留库存!A:F,6,0),0)</f>
        <v>35.98</v>
      </c>
      <c r="J981">
        <f>IFERROR(VLOOKUP(A981,库龄!B:K,9,0),0)</f>
        <v>0</v>
      </c>
      <c r="K981">
        <f>IFERROR(VLOOKUP(A981,库龄!B:L,10,0),0)</f>
        <v>0</v>
      </c>
      <c r="L981">
        <f>IFERROR(VLOOKUP(A981,库龄!B:M,11,0),0)</f>
        <v>0</v>
      </c>
      <c r="M981">
        <f>IFERROR(VLOOKUP(A981,库龄!B:N,12,0),0)</f>
        <v>0</v>
      </c>
      <c r="N981">
        <f t="shared" si="32"/>
        <v>0</v>
      </c>
    </row>
    <row r="982" spans="1:14">
      <c r="A982" s="3" t="s">
        <v>2601</v>
      </c>
      <c r="B982">
        <f>IFERROR(VLOOKUP(A982,管理亚马逊库存!A:K,11,0),"")</f>
        <v>17</v>
      </c>
      <c r="C982">
        <f>IFERROR(VLOOKUP(A982,管理亚马逊库存!A:L,12,0),"")</f>
        <v>0</v>
      </c>
      <c r="D982">
        <f>IFERROR(VLOOKUP(A982,管理亚马逊库存!A:Q,17,0),"")</f>
        <v>0</v>
      </c>
      <c r="E982">
        <f>IFERROR(VLOOKUP(A982,管理亚马逊库存!A:R,18,0),"")</f>
        <v>0</v>
      </c>
      <c r="F982">
        <f t="shared" si="31"/>
        <v>0</v>
      </c>
      <c r="G982" t="str">
        <f>IFERROR(VLOOKUP(A982,预留库存!A:G,7,0),0)</f>
        <v>No</v>
      </c>
      <c r="H982">
        <f>IFERROR(VLOOKUP(A982,预留库存!A:H,8,0),0)</f>
        <v>0</v>
      </c>
      <c r="I982">
        <f>IFERROR(VLOOKUP(A982,预留库存!A:F,6,0),0)</f>
        <v>35.98</v>
      </c>
      <c r="J982">
        <f>IFERROR(VLOOKUP(A982,库龄!B:K,9,0),0)</f>
        <v>0</v>
      </c>
      <c r="K982">
        <f>IFERROR(VLOOKUP(A982,库龄!B:L,10,0),0)</f>
        <v>0</v>
      </c>
      <c r="L982">
        <f>IFERROR(VLOOKUP(A982,库龄!B:M,11,0),0)</f>
        <v>0</v>
      </c>
      <c r="M982">
        <f>IFERROR(VLOOKUP(A982,库龄!B:N,12,0),0)</f>
        <v>0</v>
      </c>
      <c r="N982">
        <f t="shared" si="32"/>
        <v>0</v>
      </c>
    </row>
    <row r="983" spans="1:14">
      <c r="A983" s="3" t="s">
        <v>2602</v>
      </c>
      <c r="B983">
        <f>IFERROR(VLOOKUP(A983,管理亚马逊库存!A:K,11,0),"")</f>
        <v>30</v>
      </c>
      <c r="C983">
        <f>IFERROR(VLOOKUP(A983,管理亚马逊库存!A:L,12,0),"")</f>
        <v>0</v>
      </c>
      <c r="D983">
        <f>IFERROR(VLOOKUP(A983,管理亚马逊库存!A:Q,17,0),"")</f>
        <v>0</v>
      </c>
      <c r="E983">
        <f>IFERROR(VLOOKUP(A983,管理亚马逊库存!A:R,18,0),"")</f>
        <v>0</v>
      </c>
      <c r="F983">
        <f t="shared" si="31"/>
        <v>0</v>
      </c>
      <c r="G983" t="str">
        <f>IFERROR(VLOOKUP(A983,预留库存!A:G,7,0),0)</f>
        <v>No</v>
      </c>
      <c r="H983">
        <f>IFERROR(VLOOKUP(A983,预留库存!A:H,8,0),0)</f>
        <v>0</v>
      </c>
      <c r="I983">
        <f>IFERROR(VLOOKUP(A983,预留库存!A:F,6,0),0)</f>
        <v>35.98</v>
      </c>
      <c r="J983">
        <f>IFERROR(VLOOKUP(A983,库龄!B:K,9,0),0)</f>
        <v>1</v>
      </c>
      <c r="K983">
        <f>IFERROR(VLOOKUP(A983,库龄!B:L,10,0),0)</f>
        <v>7</v>
      </c>
      <c r="L983">
        <f>IFERROR(VLOOKUP(A983,库龄!B:M,11,0),0)</f>
        <v>0</v>
      </c>
      <c r="M983">
        <f>IFERROR(VLOOKUP(A983,库龄!B:N,12,0),0)</f>
        <v>0</v>
      </c>
      <c r="N983">
        <f t="shared" si="32"/>
        <v>8</v>
      </c>
    </row>
    <row r="984" spans="1:14">
      <c r="A984" s="3" t="s">
        <v>2603</v>
      </c>
      <c r="B984">
        <f>IFERROR(VLOOKUP(A984,管理亚马逊库存!A:K,11,0),"")</f>
        <v>25</v>
      </c>
      <c r="C984">
        <f>IFERROR(VLOOKUP(A984,管理亚马逊库存!A:L,12,0),"")</f>
        <v>0</v>
      </c>
      <c r="D984">
        <f>IFERROR(VLOOKUP(A984,管理亚马逊库存!A:Q,17,0),"")</f>
        <v>0</v>
      </c>
      <c r="E984">
        <f>IFERROR(VLOOKUP(A984,管理亚马逊库存!A:R,18,0),"")</f>
        <v>0</v>
      </c>
      <c r="F984">
        <f t="shared" si="31"/>
        <v>0</v>
      </c>
      <c r="G984" t="str">
        <f>IFERROR(VLOOKUP(A984,预留库存!A:G,7,0),0)</f>
        <v>No</v>
      </c>
      <c r="H984">
        <f>IFERROR(VLOOKUP(A984,预留库存!A:H,8,0),0)</f>
        <v>0</v>
      </c>
      <c r="I984">
        <f>IFERROR(VLOOKUP(A984,预留库存!A:F,6,0),0)</f>
        <v>35.98</v>
      </c>
      <c r="J984">
        <f>IFERROR(VLOOKUP(A984,库龄!B:K,9,0),0)</f>
        <v>0</v>
      </c>
      <c r="K984">
        <f>IFERROR(VLOOKUP(A984,库龄!B:L,10,0),0)</f>
        <v>15</v>
      </c>
      <c r="L984">
        <f>IFERROR(VLOOKUP(A984,库龄!B:M,11,0),0)</f>
        <v>0</v>
      </c>
      <c r="M984">
        <f>IFERROR(VLOOKUP(A984,库龄!B:N,12,0),0)</f>
        <v>0</v>
      </c>
      <c r="N984">
        <f t="shared" si="32"/>
        <v>15</v>
      </c>
    </row>
    <row r="985" spans="1:14">
      <c r="A985" s="3" t="s">
        <v>2604</v>
      </c>
      <c r="B985">
        <f>IFERROR(VLOOKUP(A985,管理亚马逊库存!A:K,11,0),"")</f>
        <v>21</v>
      </c>
      <c r="C985">
        <f>IFERROR(VLOOKUP(A985,管理亚马逊库存!A:L,12,0),"")</f>
        <v>0</v>
      </c>
      <c r="D985">
        <f>IFERROR(VLOOKUP(A985,管理亚马逊库存!A:Q,17,0),"")</f>
        <v>0</v>
      </c>
      <c r="E985">
        <f>IFERROR(VLOOKUP(A985,管理亚马逊库存!A:R,18,0),"")</f>
        <v>0</v>
      </c>
      <c r="F985">
        <f t="shared" si="31"/>
        <v>0</v>
      </c>
      <c r="G985" t="str">
        <f>IFERROR(VLOOKUP(A985,预留库存!A:G,7,0),0)</f>
        <v>No</v>
      </c>
      <c r="H985">
        <f>IFERROR(VLOOKUP(A985,预留库存!A:H,8,0),0)</f>
        <v>0</v>
      </c>
      <c r="I985">
        <f>IFERROR(VLOOKUP(A985,预留库存!A:F,6,0),0)</f>
        <v>35.98</v>
      </c>
      <c r="J985">
        <f>IFERROR(VLOOKUP(A985,库龄!B:K,9,0),0)</f>
        <v>0</v>
      </c>
      <c r="K985">
        <f>IFERROR(VLOOKUP(A985,库龄!B:L,10,0),0)</f>
        <v>0</v>
      </c>
      <c r="L985">
        <f>IFERROR(VLOOKUP(A985,库龄!B:M,11,0),0)</f>
        <v>0</v>
      </c>
      <c r="M985">
        <f>IFERROR(VLOOKUP(A985,库龄!B:N,12,0),0)</f>
        <v>0</v>
      </c>
      <c r="N985">
        <f t="shared" si="32"/>
        <v>0</v>
      </c>
    </row>
    <row r="986" spans="1:14">
      <c r="A986" s="3" t="s">
        <v>2605</v>
      </c>
      <c r="B986">
        <f>IFERROR(VLOOKUP(A986,管理亚马逊库存!A:K,11,0),"")</f>
        <v>12</v>
      </c>
      <c r="C986">
        <f>IFERROR(VLOOKUP(A986,管理亚马逊库存!A:L,12,0),"")</f>
        <v>0</v>
      </c>
      <c r="D986">
        <f>IFERROR(VLOOKUP(A986,管理亚马逊库存!A:Q,17,0),"")</f>
        <v>0</v>
      </c>
      <c r="E986">
        <f>IFERROR(VLOOKUP(A986,管理亚马逊库存!A:R,18,0),"")</f>
        <v>0</v>
      </c>
      <c r="F986">
        <f t="shared" si="31"/>
        <v>0</v>
      </c>
      <c r="G986" t="str">
        <f>IFERROR(VLOOKUP(A986,预留库存!A:G,7,0),0)</f>
        <v>No</v>
      </c>
      <c r="H986">
        <f>IFERROR(VLOOKUP(A986,预留库存!A:H,8,0),0)</f>
        <v>0</v>
      </c>
      <c r="I986">
        <f>IFERROR(VLOOKUP(A986,预留库存!A:F,6,0),0)</f>
        <v>35.98</v>
      </c>
      <c r="J986">
        <f>IFERROR(VLOOKUP(A986,库龄!B:K,9,0),0)</f>
        <v>0</v>
      </c>
      <c r="K986">
        <f>IFERROR(VLOOKUP(A986,库龄!B:L,10,0),0)</f>
        <v>0</v>
      </c>
      <c r="L986">
        <f>IFERROR(VLOOKUP(A986,库龄!B:M,11,0),0)</f>
        <v>0</v>
      </c>
      <c r="M986">
        <f>IFERROR(VLOOKUP(A986,库龄!B:N,12,0),0)</f>
        <v>0</v>
      </c>
      <c r="N986">
        <f t="shared" si="32"/>
        <v>0</v>
      </c>
    </row>
    <row r="987" spans="1:14">
      <c r="A987" s="3" t="s">
        <v>2606</v>
      </c>
      <c r="B987">
        <f>IFERROR(VLOOKUP(A987,管理亚马逊库存!A:K,11,0),"")</f>
        <v>23</v>
      </c>
      <c r="C987">
        <f>IFERROR(VLOOKUP(A987,管理亚马逊库存!A:L,12,0),"")</f>
        <v>0</v>
      </c>
      <c r="D987">
        <f>IFERROR(VLOOKUP(A987,管理亚马逊库存!A:Q,17,0),"")</f>
        <v>0</v>
      </c>
      <c r="E987">
        <f>IFERROR(VLOOKUP(A987,管理亚马逊库存!A:R,18,0),"")</f>
        <v>0</v>
      </c>
      <c r="F987">
        <f t="shared" si="31"/>
        <v>0</v>
      </c>
      <c r="G987" t="str">
        <f>IFERROR(VLOOKUP(A987,预留库存!A:G,7,0),0)</f>
        <v>No</v>
      </c>
      <c r="H987">
        <f>IFERROR(VLOOKUP(A987,预留库存!A:H,8,0),0)</f>
        <v>0</v>
      </c>
      <c r="I987">
        <f>IFERROR(VLOOKUP(A987,预留库存!A:F,6,0),0)</f>
        <v>35.98</v>
      </c>
      <c r="J987">
        <f>IFERROR(VLOOKUP(A987,库龄!B:K,9,0),0)</f>
        <v>0</v>
      </c>
      <c r="K987">
        <f>IFERROR(VLOOKUP(A987,库龄!B:L,10,0),0)</f>
        <v>0</v>
      </c>
      <c r="L987">
        <f>IFERROR(VLOOKUP(A987,库龄!B:M,11,0),0)</f>
        <v>0</v>
      </c>
      <c r="M987">
        <f>IFERROR(VLOOKUP(A987,库龄!B:N,12,0),0)</f>
        <v>0</v>
      </c>
      <c r="N987">
        <f t="shared" si="32"/>
        <v>0</v>
      </c>
    </row>
    <row r="988" spans="1:14">
      <c r="A988" s="3" t="s">
        <v>2607</v>
      </c>
      <c r="B988">
        <f>IFERROR(VLOOKUP(A988,管理亚马逊库存!A:K,11,0),"")</f>
        <v>19</v>
      </c>
      <c r="C988">
        <f>IFERROR(VLOOKUP(A988,管理亚马逊库存!A:L,12,0),"")</f>
        <v>1</v>
      </c>
      <c r="D988">
        <f>IFERROR(VLOOKUP(A988,管理亚马逊库存!A:Q,17,0),"")</f>
        <v>0</v>
      </c>
      <c r="E988">
        <f>IFERROR(VLOOKUP(A988,管理亚马逊库存!A:R,18,0),"")</f>
        <v>0</v>
      </c>
      <c r="F988">
        <f t="shared" si="31"/>
        <v>0</v>
      </c>
      <c r="G988" t="str">
        <f>IFERROR(VLOOKUP(A988,预留库存!A:G,7,0),0)</f>
        <v>No</v>
      </c>
      <c r="H988">
        <f>IFERROR(VLOOKUP(A988,预留库存!A:H,8,0),0)</f>
        <v>0</v>
      </c>
      <c r="I988">
        <f>IFERROR(VLOOKUP(A988,预留库存!A:F,6,0),0)</f>
        <v>35.98</v>
      </c>
      <c r="J988">
        <f>IFERROR(VLOOKUP(A988,库龄!B:K,9,0),0)</f>
        <v>0</v>
      </c>
      <c r="K988">
        <f>IFERROR(VLOOKUP(A988,库龄!B:L,10,0),0)</f>
        <v>0</v>
      </c>
      <c r="L988">
        <f>IFERROR(VLOOKUP(A988,库龄!B:M,11,0),0)</f>
        <v>0</v>
      </c>
      <c r="M988">
        <f>IFERROR(VLOOKUP(A988,库龄!B:N,12,0),0)</f>
        <v>0</v>
      </c>
      <c r="N988">
        <f t="shared" si="32"/>
        <v>0</v>
      </c>
    </row>
    <row r="989" spans="1:14">
      <c r="A989" s="3" t="s">
        <v>2608</v>
      </c>
      <c r="B989">
        <f>IFERROR(VLOOKUP(A989,管理亚马逊库存!A:K,11,0),"")</f>
        <v>22</v>
      </c>
      <c r="C989">
        <f>IFERROR(VLOOKUP(A989,管理亚马逊库存!A:L,12,0),"")</f>
        <v>0</v>
      </c>
      <c r="D989">
        <f>IFERROR(VLOOKUP(A989,管理亚马逊库存!A:Q,17,0),"")</f>
        <v>0</v>
      </c>
      <c r="E989">
        <f>IFERROR(VLOOKUP(A989,管理亚马逊库存!A:R,18,0),"")</f>
        <v>0</v>
      </c>
      <c r="F989">
        <f t="shared" si="31"/>
        <v>0</v>
      </c>
      <c r="G989" t="str">
        <f>IFERROR(VLOOKUP(A989,预留库存!A:G,7,0),0)</f>
        <v>No</v>
      </c>
      <c r="H989">
        <f>IFERROR(VLOOKUP(A989,预留库存!A:H,8,0),0)</f>
        <v>0</v>
      </c>
      <c r="I989">
        <f>IFERROR(VLOOKUP(A989,预留库存!A:F,6,0),0)</f>
        <v>35.98</v>
      </c>
      <c r="J989">
        <f>IFERROR(VLOOKUP(A989,库龄!B:K,9,0),0)</f>
        <v>1</v>
      </c>
      <c r="K989">
        <f>IFERROR(VLOOKUP(A989,库龄!B:L,10,0),0)</f>
        <v>8</v>
      </c>
      <c r="L989">
        <f>IFERROR(VLOOKUP(A989,库龄!B:M,11,0),0)</f>
        <v>0</v>
      </c>
      <c r="M989">
        <f>IFERROR(VLOOKUP(A989,库龄!B:N,12,0),0)</f>
        <v>0</v>
      </c>
      <c r="N989">
        <f t="shared" si="32"/>
        <v>9</v>
      </c>
    </row>
    <row r="990" spans="1:14">
      <c r="A990" s="3" t="s">
        <v>2609</v>
      </c>
      <c r="B990">
        <f>IFERROR(VLOOKUP(A990,管理亚马逊库存!A:K,11,0),"")</f>
        <v>13</v>
      </c>
      <c r="C990">
        <f>IFERROR(VLOOKUP(A990,管理亚马逊库存!A:L,12,0),"")</f>
        <v>0</v>
      </c>
      <c r="D990">
        <f>IFERROR(VLOOKUP(A990,管理亚马逊库存!A:Q,17,0),"")</f>
        <v>0</v>
      </c>
      <c r="E990">
        <f>IFERROR(VLOOKUP(A990,管理亚马逊库存!A:R,18,0),"")</f>
        <v>2</v>
      </c>
      <c r="F990">
        <f t="shared" si="31"/>
        <v>2</v>
      </c>
      <c r="G990" t="str">
        <f>IFERROR(VLOOKUP(A990,预留库存!A:G,7,0),0)</f>
        <v>No</v>
      </c>
      <c r="H990">
        <f>IFERROR(VLOOKUP(A990,预留库存!A:H,8,0),0)</f>
        <v>0</v>
      </c>
      <c r="I990">
        <f>IFERROR(VLOOKUP(A990,预留库存!A:F,6,0),0)</f>
        <v>35.98</v>
      </c>
      <c r="J990">
        <f>IFERROR(VLOOKUP(A990,库龄!B:K,9,0),0)</f>
        <v>0</v>
      </c>
      <c r="K990">
        <f>IFERROR(VLOOKUP(A990,库龄!B:L,10,0),0)</f>
        <v>0</v>
      </c>
      <c r="L990">
        <f>IFERROR(VLOOKUP(A990,库龄!B:M,11,0),0)</f>
        <v>0</v>
      </c>
      <c r="M990">
        <f>IFERROR(VLOOKUP(A990,库龄!B:N,12,0),0)</f>
        <v>0</v>
      </c>
      <c r="N990">
        <f t="shared" si="32"/>
        <v>0</v>
      </c>
    </row>
    <row r="991" spans="1:14">
      <c r="A991" s="3" t="s">
        <v>2610</v>
      </c>
      <c r="B991">
        <f>IFERROR(VLOOKUP(A991,管理亚马逊库存!A:K,11,0),"")</f>
        <v>22</v>
      </c>
      <c r="C991">
        <f>IFERROR(VLOOKUP(A991,管理亚马逊库存!A:L,12,0),"")</f>
        <v>0</v>
      </c>
      <c r="D991">
        <f>IFERROR(VLOOKUP(A991,管理亚马逊库存!A:Q,17,0),"")</f>
        <v>0</v>
      </c>
      <c r="E991">
        <f>IFERROR(VLOOKUP(A991,管理亚马逊库存!A:R,18,0),"")</f>
        <v>0</v>
      </c>
      <c r="F991">
        <f t="shared" si="31"/>
        <v>0</v>
      </c>
      <c r="G991" t="str">
        <f>IFERROR(VLOOKUP(A991,预留库存!A:G,7,0),0)</f>
        <v>No</v>
      </c>
      <c r="H991">
        <f>IFERROR(VLOOKUP(A991,预留库存!A:H,8,0),0)</f>
        <v>0</v>
      </c>
      <c r="I991">
        <f>IFERROR(VLOOKUP(A991,预留库存!A:F,6,0),0)</f>
        <v>35.98</v>
      </c>
      <c r="J991">
        <f>IFERROR(VLOOKUP(A991,库龄!B:K,9,0),0)</f>
        <v>0</v>
      </c>
      <c r="K991">
        <f>IFERROR(VLOOKUP(A991,库龄!B:L,10,0),0)</f>
        <v>0</v>
      </c>
      <c r="L991">
        <f>IFERROR(VLOOKUP(A991,库龄!B:M,11,0),0)</f>
        <v>0</v>
      </c>
      <c r="M991">
        <f>IFERROR(VLOOKUP(A991,库龄!B:N,12,0),0)</f>
        <v>0</v>
      </c>
      <c r="N991">
        <f t="shared" si="32"/>
        <v>0</v>
      </c>
    </row>
    <row r="992" spans="1:14">
      <c r="A992" s="3" t="s">
        <v>2611</v>
      </c>
      <c r="B992">
        <f>IFERROR(VLOOKUP(A992,管理亚马逊库存!A:K,11,0),"")</f>
        <v>24</v>
      </c>
      <c r="C992">
        <f>IFERROR(VLOOKUP(A992,管理亚马逊库存!A:L,12,0),"")</f>
        <v>0</v>
      </c>
      <c r="D992">
        <f>IFERROR(VLOOKUP(A992,管理亚马逊库存!A:Q,17,0),"")</f>
        <v>0</v>
      </c>
      <c r="E992">
        <f>IFERROR(VLOOKUP(A992,管理亚马逊库存!A:R,18,0),"")</f>
        <v>1</v>
      </c>
      <c r="F992">
        <f t="shared" si="31"/>
        <v>1</v>
      </c>
      <c r="G992" t="str">
        <f>IFERROR(VLOOKUP(A992,预留库存!A:G,7,0),0)</f>
        <v>No</v>
      </c>
      <c r="H992">
        <f>IFERROR(VLOOKUP(A992,预留库存!A:H,8,0),0)</f>
        <v>0</v>
      </c>
      <c r="I992">
        <f>IFERROR(VLOOKUP(A992,预留库存!A:F,6,0),0)</f>
        <v>35.98</v>
      </c>
      <c r="J992">
        <f>IFERROR(VLOOKUP(A992,库龄!B:K,9,0),0)</f>
        <v>0</v>
      </c>
      <c r="K992">
        <f>IFERROR(VLOOKUP(A992,库龄!B:L,10,0),0)</f>
        <v>0</v>
      </c>
      <c r="L992">
        <f>IFERROR(VLOOKUP(A992,库龄!B:M,11,0),0)</f>
        <v>0</v>
      </c>
      <c r="M992">
        <f>IFERROR(VLOOKUP(A992,库龄!B:N,12,0),0)</f>
        <v>0</v>
      </c>
      <c r="N992">
        <f t="shared" si="32"/>
        <v>0</v>
      </c>
    </row>
    <row r="993" spans="1:14">
      <c r="A993" s="3" t="s">
        <v>2612</v>
      </c>
      <c r="B993">
        <f>IFERROR(VLOOKUP(A993,管理亚马逊库存!A:K,11,0),"")</f>
        <v>32</v>
      </c>
      <c r="C993">
        <f>IFERROR(VLOOKUP(A993,管理亚马逊库存!A:L,12,0),"")</f>
        <v>0</v>
      </c>
      <c r="D993">
        <f>IFERROR(VLOOKUP(A993,管理亚马逊库存!A:Q,17,0),"")</f>
        <v>0</v>
      </c>
      <c r="E993">
        <f>IFERROR(VLOOKUP(A993,管理亚马逊库存!A:R,18,0),"")</f>
        <v>0</v>
      </c>
      <c r="F993">
        <f t="shared" si="31"/>
        <v>0</v>
      </c>
      <c r="G993" t="str">
        <f>IFERROR(VLOOKUP(A993,预留库存!A:G,7,0),0)</f>
        <v>No</v>
      </c>
      <c r="H993">
        <f>IFERROR(VLOOKUP(A993,预留库存!A:H,8,0),0)</f>
        <v>0</v>
      </c>
      <c r="I993">
        <f>IFERROR(VLOOKUP(A993,预留库存!A:F,6,0),0)</f>
        <v>35.98</v>
      </c>
      <c r="J993">
        <f>IFERROR(VLOOKUP(A993,库龄!B:K,9,0),0)</f>
        <v>0</v>
      </c>
      <c r="K993">
        <f>IFERROR(VLOOKUP(A993,库龄!B:L,10,0),0)</f>
        <v>0</v>
      </c>
      <c r="L993">
        <f>IFERROR(VLOOKUP(A993,库龄!B:M,11,0),0)</f>
        <v>0</v>
      </c>
      <c r="M993">
        <f>IFERROR(VLOOKUP(A993,库龄!B:N,12,0),0)</f>
        <v>0</v>
      </c>
      <c r="N993">
        <f t="shared" si="32"/>
        <v>0</v>
      </c>
    </row>
    <row r="994" spans="1:14">
      <c r="A994" s="3" t="s">
        <v>2613</v>
      </c>
      <c r="B994">
        <f>IFERROR(VLOOKUP(A994,管理亚马逊库存!A:K,11,0),"")</f>
        <v>20</v>
      </c>
      <c r="C994">
        <f>IFERROR(VLOOKUP(A994,管理亚马逊库存!A:L,12,0),"")</f>
        <v>0</v>
      </c>
      <c r="D994">
        <f>IFERROR(VLOOKUP(A994,管理亚马逊库存!A:Q,17,0),"")</f>
        <v>0</v>
      </c>
      <c r="E994">
        <f>IFERROR(VLOOKUP(A994,管理亚马逊库存!A:R,18,0),"")</f>
        <v>0</v>
      </c>
      <c r="F994">
        <f t="shared" si="31"/>
        <v>0</v>
      </c>
      <c r="G994" t="str">
        <f>IFERROR(VLOOKUP(A994,预留库存!A:G,7,0),0)</f>
        <v>No</v>
      </c>
      <c r="H994">
        <f>IFERROR(VLOOKUP(A994,预留库存!A:H,8,0),0)</f>
        <v>0</v>
      </c>
      <c r="I994">
        <f>IFERROR(VLOOKUP(A994,预留库存!A:F,6,0),0)</f>
        <v>35.98</v>
      </c>
      <c r="J994">
        <f>IFERROR(VLOOKUP(A994,库龄!B:K,9,0),0)</f>
        <v>0</v>
      </c>
      <c r="K994">
        <f>IFERROR(VLOOKUP(A994,库龄!B:L,10,0),0)</f>
        <v>10</v>
      </c>
      <c r="L994">
        <f>IFERROR(VLOOKUP(A994,库龄!B:M,11,0),0)</f>
        <v>0</v>
      </c>
      <c r="M994">
        <f>IFERROR(VLOOKUP(A994,库龄!B:N,12,0),0)</f>
        <v>0</v>
      </c>
      <c r="N994">
        <f t="shared" si="32"/>
        <v>10</v>
      </c>
    </row>
    <row r="995" spans="1:14">
      <c r="A995" s="3" t="s">
        <v>2615</v>
      </c>
      <c r="B995">
        <f>IFERROR(VLOOKUP(A995,管理亚马逊库存!A:K,11,0),"")</f>
        <v>26</v>
      </c>
      <c r="C995">
        <f>IFERROR(VLOOKUP(A995,管理亚马逊库存!A:L,12,0),"")</f>
        <v>0</v>
      </c>
      <c r="D995">
        <f>IFERROR(VLOOKUP(A995,管理亚马逊库存!A:Q,17,0),"")</f>
        <v>0</v>
      </c>
      <c r="E995">
        <f>IFERROR(VLOOKUP(A995,管理亚马逊库存!A:R,18,0),"")</f>
        <v>0</v>
      </c>
      <c r="F995">
        <f t="shared" si="31"/>
        <v>0</v>
      </c>
      <c r="G995" t="str">
        <f>IFERROR(VLOOKUP(A995,预留库存!A:G,7,0),0)</f>
        <v>No</v>
      </c>
      <c r="H995">
        <f>IFERROR(VLOOKUP(A995,预留库存!A:H,8,0),0)</f>
        <v>0</v>
      </c>
      <c r="I995">
        <f>IFERROR(VLOOKUP(A995,预留库存!A:F,6,0),0)</f>
        <v>35.98</v>
      </c>
      <c r="J995">
        <f>IFERROR(VLOOKUP(A995,库龄!B:K,9,0),0)</f>
        <v>0</v>
      </c>
      <c r="K995">
        <f>IFERROR(VLOOKUP(A995,库龄!B:L,10,0),0)</f>
        <v>0</v>
      </c>
      <c r="L995">
        <f>IFERROR(VLOOKUP(A995,库龄!B:M,11,0),0)</f>
        <v>0</v>
      </c>
      <c r="M995">
        <f>IFERROR(VLOOKUP(A995,库龄!B:N,12,0),0)</f>
        <v>0</v>
      </c>
      <c r="N995">
        <f t="shared" si="32"/>
        <v>0</v>
      </c>
    </row>
    <row r="996" spans="1:14">
      <c r="A996" s="3" t="s">
        <v>2616</v>
      </c>
      <c r="B996">
        <f>IFERROR(VLOOKUP(A996,管理亚马逊库存!A:K,11,0),"")</f>
        <v>20</v>
      </c>
      <c r="C996">
        <f>IFERROR(VLOOKUP(A996,管理亚马逊库存!A:L,12,0),"")</f>
        <v>0</v>
      </c>
      <c r="D996">
        <f>IFERROR(VLOOKUP(A996,管理亚马逊库存!A:Q,17,0),"")</f>
        <v>0</v>
      </c>
      <c r="E996">
        <f>IFERROR(VLOOKUP(A996,管理亚马逊库存!A:R,18,0),"")</f>
        <v>0</v>
      </c>
      <c r="F996">
        <f t="shared" si="31"/>
        <v>0</v>
      </c>
      <c r="G996" t="str">
        <f>IFERROR(VLOOKUP(A996,预留库存!A:G,7,0),0)</f>
        <v>No</v>
      </c>
      <c r="H996">
        <f>IFERROR(VLOOKUP(A996,预留库存!A:H,8,0),0)</f>
        <v>0</v>
      </c>
      <c r="I996">
        <f>IFERROR(VLOOKUP(A996,预留库存!A:F,6,0),0)</f>
        <v>35.98</v>
      </c>
      <c r="J996">
        <f>IFERROR(VLOOKUP(A996,库龄!B:K,9,0),0)</f>
        <v>0</v>
      </c>
      <c r="K996">
        <f>IFERROR(VLOOKUP(A996,库龄!B:L,10,0),0)</f>
        <v>0</v>
      </c>
      <c r="L996">
        <f>IFERROR(VLOOKUP(A996,库龄!B:M,11,0),0)</f>
        <v>0</v>
      </c>
      <c r="M996">
        <f>IFERROR(VLOOKUP(A996,库龄!B:N,12,0),0)</f>
        <v>0</v>
      </c>
      <c r="N996">
        <f t="shared" si="32"/>
        <v>0</v>
      </c>
    </row>
    <row r="997" spans="1:14">
      <c r="A997" s="3" t="s">
        <v>2617</v>
      </c>
      <c r="B997">
        <f>IFERROR(VLOOKUP(A997,管理亚马逊库存!A:K,11,0),"")</f>
        <v>17</v>
      </c>
      <c r="C997">
        <f>IFERROR(VLOOKUP(A997,管理亚马逊库存!A:L,12,0),"")</f>
        <v>0</v>
      </c>
      <c r="D997">
        <f>IFERROR(VLOOKUP(A997,管理亚马逊库存!A:Q,17,0),"")</f>
        <v>0</v>
      </c>
      <c r="E997">
        <f>IFERROR(VLOOKUP(A997,管理亚马逊库存!A:R,18,0),"")</f>
        <v>0</v>
      </c>
      <c r="F997">
        <f t="shared" si="31"/>
        <v>0</v>
      </c>
      <c r="G997" t="str">
        <f>IFERROR(VLOOKUP(A997,预留库存!A:G,7,0),0)</f>
        <v>No</v>
      </c>
      <c r="H997">
        <f>IFERROR(VLOOKUP(A997,预留库存!A:H,8,0),0)</f>
        <v>0</v>
      </c>
      <c r="I997">
        <f>IFERROR(VLOOKUP(A997,预留库存!A:F,6,0),0)</f>
        <v>35.98</v>
      </c>
      <c r="J997">
        <f>IFERROR(VLOOKUP(A997,库龄!B:K,9,0),0)</f>
        <v>0</v>
      </c>
      <c r="K997">
        <f>IFERROR(VLOOKUP(A997,库龄!B:L,10,0),0)</f>
        <v>0</v>
      </c>
      <c r="L997">
        <f>IFERROR(VLOOKUP(A997,库龄!B:M,11,0),0)</f>
        <v>0</v>
      </c>
      <c r="M997">
        <f>IFERROR(VLOOKUP(A997,库龄!B:N,12,0),0)</f>
        <v>0</v>
      </c>
      <c r="N997">
        <f t="shared" si="32"/>
        <v>0</v>
      </c>
    </row>
    <row r="998" spans="1:14">
      <c r="A998" s="3" t="s">
        <v>2618</v>
      </c>
      <c r="B998">
        <f>IFERROR(VLOOKUP(A998,管理亚马逊库存!A:K,11,0),"")</f>
        <v>5</v>
      </c>
      <c r="C998">
        <f>IFERROR(VLOOKUP(A998,管理亚马逊库存!A:L,12,0),"")</f>
        <v>0</v>
      </c>
      <c r="D998">
        <f>IFERROR(VLOOKUP(A998,管理亚马逊库存!A:Q,17,0),"")</f>
        <v>0</v>
      </c>
      <c r="E998">
        <f>IFERROR(VLOOKUP(A998,管理亚马逊库存!A:R,18,0),"")</f>
        <v>0</v>
      </c>
      <c r="F998">
        <f t="shared" si="31"/>
        <v>0</v>
      </c>
      <c r="G998" t="str">
        <f>IFERROR(VLOOKUP(A998,预留库存!A:G,7,0),0)</f>
        <v>No</v>
      </c>
      <c r="H998">
        <f>IFERROR(VLOOKUP(A998,预留库存!A:H,8,0),0)</f>
        <v>0</v>
      </c>
      <c r="I998">
        <f>IFERROR(VLOOKUP(A998,预留库存!A:F,6,0),0)</f>
        <v>35.98</v>
      </c>
      <c r="J998">
        <f>IFERROR(VLOOKUP(A998,库龄!B:K,9,0),0)</f>
        <v>0</v>
      </c>
      <c r="K998">
        <f>IFERROR(VLOOKUP(A998,库龄!B:L,10,0),0)</f>
        <v>0</v>
      </c>
      <c r="L998">
        <f>IFERROR(VLOOKUP(A998,库龄!B:M,11,0),0)</f>
        <v>0</v>
      </c>
      <c r="M998">
        <f>IFERROR(VLOOKUP(A998,库龄!B:N,12,0),0)</f>
        <v>0</v>
      </c>
      <c r="N998">
        <f t="shared" si="32"/>
        <v>0</v>
      </c>
    </row>
    <row r="999" spans="1:14">
      <c r="A999" s="3" t="s">
        <v>2619</v>
      </c>
      <c r="B999">
        <f>IFERROR(VLOOKUP(A999,管理亚马逊库存!A:K,11,0),"")</f>
        <v>7</v>
      </c>
      <c r="C999">
        <f>IFERROR(VLOOKUP(A999,管理亚马逊库存!A:L,12,0),"")</f>
        <v>0</v>
      </c>
      <c r="D999">
        <f>IFERROR(VLOOKUP(A999,管理亚马逊库存!A:Q,17,0),"")</f>
        <v>0</v>
      </c>
      <c r="E999">
        <f>IFERROR(VLOOKUP(A999,管理亚马逊库存!A:R,18,0),"")</f>
        <v>0</v>
      </c>
      <c r="F999">
        <f t="shared" si="31"/>
        <v>0</v>
      </c>
      <c r="G999" t="str">
        <f>IFERROR(VLOOKUP(A999,预留库存!A:G,7,0),0)</f>
        <v>No</v>
      </c>
      <c r="H999">
        <f>IFERROR(VLOOKUP(A999,预留库存!A:H,8,0),0)</f>
        <v>0</v>
      </c>
      <c r="I999">
        <f>IFERROR(VLOOKUP(A999,预留库存!A:F,6,0),0)</f>
        <v>35.98</v>
      </c>
      <c r="J999">
        <f>IFERROR(VLOOKUP(A999,库龄!B:K,9,0),0)</f>
        <v>0</v>
      </c>
      <c r="K999">
        <f>IFERROR(VLOOKUP(A999,库龄!B:L,10,0),0)</f>
        <v>0</v>
      </c>
      <c r="L999">
        <f>IFERROR(VLOOKUP(A999,库龄!B:M,11,0),0)</f>
        <v>0</v>
      </c>
      <c r="M999">
        <f>IFERROR(VLOOKUP(A999,库龄!B:N,12,0),0)</f>
        <v>0</v>
      </c>
      <c r="N999">
        <f t="shared" si="32"/>
        <v>0</v>
      </c>
    </row>
    <row r="1000" spans="1:14">
      <c r="A1000" s="3" t="s">
        <v>2620</v>
      </c>
      <c r="B1000">
        <f>IFERROR(VLOOKUP(A1000,管理亚马逊库存!A:K,11,0),"")</f>
        <v>33</v>
      </c>
      <c r="C1000">
        <f>IFERROR(VLOOKUP(A1000,管理亚马逊库存!A:L,12,0),"")</f>
        <v>0</v>
      </c>
      <c r="D1000">
        <f>IFERROR(VLOOKUP(A1000,管理亚马逊库存!A:Q,17,0),"")</f>
        <v>0</v>
      </c>
      <c r="E1000">
        <f>IFERROR(VLOOKUP(A1000,管理亚马逊库存!A:R,18,0),"")</f>
        <v>0</v>
      </c>
      <c r="F1000">
        <f t="shared" si="31"/>
        <v>0</v>
      </c>
      <c r="G1000" t="str">
        <f>IFERROR(VLOOKUP(A1000,预留库存!A:G,7,0),0)</f>
        <v>No</v>
      </c>
      <c r="H1000">
        <f>IFERROR(VLOOKUP(A1000,预留库存!A:H,8,0),0)</f>
        <v>0</v>
      </c>
      <c r="I1000">
        <f>IFERROR(VLOOKUP(A1000,预留库存!A:F,6,0),0)</f>
        <v>35.98</v>
      </c>
      <c r="J1000">
        <f>IFERROR(VLOOKUP(A1000,库龄!B:K,9,0),0)</f>
        <v>0</v>
      </c>
      <c r="K1000">
        <f>IFERROR(VLOOKUP(A1000,库龄!B:L,10,0),0)</f>
        <v>0</v>
      </c>
      <c r="L1000">
        <f>IFERROR(VLOOKUP(A1000,库龄!B:M,11,0),0)</f>
        <v>0</v>
      </c>
      <c r="M1000">
        <f>IFERROR(VLOOKUP(A1000,库龄!B:N,12,0),0)</f>
        <v>0</v>
      </c>
      <c r="N1000">
        <f t="shared" si="32"/>
        <v>0</v>
      </c>
    </row>
    <row r="1001" spans="1:14">
      <c r="A1001" s="3" t="s">
        <v>2621</v>
      </c>
      <c r="B1001">
        <f>IFERROR(VLOOKUP(A1001,管理亚马逊库存!A:K,11,0),"")</f>
        <v>16</v>
      </c>
      <c r="C1001">
        <f>IFERROR(VLOOKUP(A1001,管理亚马逊库存!A:L,12,0),"")</f>
        <v>0</v>
      </c>
      <c r="D1001">
        <f>IFERROR(VLOOKUP(A1001,管理亚马逊库存!A:Q,17,0),"")</f>
        <v>0</v>
      </c>
      <c r="E1001">
        <f>IFERROR(VLOOKUP(A1001,管理亚马逊库存!A:R,18,0),"")</f>
        <v>0</v>
      </c>
      <c r="F1001">
        <f t="shared" si="31"/>
        <v>0</v>
      </c>
      <c r="G1001" t="str">
        <f>IFERROR(VLOOKUP(A1001,预留库存!A:G,7,0),0)</f>
        <v>No</v>
      </c>
      <c r="H1001">
        <f>IFERROR(VLOOKUP(A1001,预留库存!A:H,8,0),0)</f>
        <v>0</v>
      </c>
      <c r="I1001">
        <f>IFERROR(VLOOKUP(A1001,预留库存!A:F,6,0),0)</f>
        <v>35.98</v>
      </c>
      <c r="J1001">
        <f>IFERROR(VLOOKUP(A1001,库龄!B:K,9,0),0)</f>
        <v>0</v>
      </c>
      <c r="K1001">
        <f>IFERROR(VLOOKUP(A1001,库龄!B:L,10,0),0)</f>
        <v>0</v>
      </c>
      <c r="L1001">
        <f>IFERROR(VLOOKUP(A1001,库龄!B:M,11,0),0)</f>
        <v>0</v>
      </c>
      <c r="M1001">
        <f>IFERROR(VLOOKUP(A1001,库龄!B:N,12,0),0)</f>
        <v>0</v>
      </c>
      <c r="N1001">
        <f t="shared" si="32"/>
        <v>0</v>
      </c>
    </row>
    <row r="1002" spans="1:14">
      <c r="A1002" s="3" t="s">
        <v>2622</v>
      </c>
      <c r="B1002">
        <f>IFERROR(VLOOKUP(A1002,管理亚马逊库存!A:K,11,0),"")</f>
        <v>26</v>
      </c>
      <c r="C1002">
        <f>IFERROR(VLOOKUP(A1002,管理亚马逊库存!A:L,12,0),"")</f>
        <v>0</v>
      </c>
      <c r="D1002">
        <f>IFERROR(VLOOKUP(A1002,管理亚马逊库存!A:Q,17,0),"")</f>
        <v>0</v>
      </c>
      <c r="E1002">
        <f>IFERROR(VLOOKUP(A1002,管理亚马逊库存!A:R,18,0),"")</f>
        <v>0</v>
      </c>
      <c r="F1002">
        <f t="shared" si="31"/>
        <v>0</v>
      </c>
      <c r="G1002" t="str">
        <f>IFERROR(VLOOKUP(A1002,预留库存!A:G,7,0),0)</f>
        <v>No</v>
      </c>
      <c r="H1002">
        <f>IFERROR(VLOOKUP(A1002,预留库存!A:H,8,0),0)</f>
        <v>0</v>
      </c>
      <c r="I1002">
        <f>IFERROR(VLOOKUP(A1002,预留库存!A:F,6,0),0)</f>
        <v>35.98</v>
      </c>
      <c r="J1002">
        <f>IFERROR(VLOOKUP(A1002,库龄!B:K,9,0),0)</f>
        <v>0</v>
      </c>
      <c r="K1002">
        <f>IFERROR(VLOOKUP(A1002,库龄!B:L,10,0),0)</f>
        <v>0</v>
      </c>
      <c r="L1002">
        <f>IFERROR(VLOOKUP(A1002,库龄!B:M,11,0),0)</f>
        <v>0</v>
      </c>
      <c r="M1002">
        <f>IFERROR(VLOOKUP(A1002,库龄!B:N,12,0),0)</f>
        <v>0</v>
      </c>
      <c r="N1002">
        <f t="shared" si="32"/>
        <v>0</v>
      </c>
    </row>
    <row r="1003" spans="1:14">
      <c r="A1003" s="3" t="s">
        <v>2623</v>
      </c>
      <c r="B1003">
        <f>IFERROR(VLOOKUP(A1003,管理亚马逊库存!A:K,11,0),"")</f>
        <v>24</v>
      </c>
      <c r="C1003">
        <f>IFERROR(VLOOKUP(A1003,管理亚马逊库存!A:L,12,0),"")</f>
        <v>0</v>
      </c>
      <c r="D1003">
        <f>IFERROR(VLOOKUP(A1003,管理亚马逊库存!A:Q,17,0),"")</f>
        <v>0</v>
      </c>
      <c r="E1003">
        <f>IFERROR(VLOOKUP(A1003,管理亚马逊库存!A:R,18,0),"")</f>
        <v>0</v>
      </c>
      <c r="F1003">
        <f t="shared" si="31"/>
        <v>0</v>
      </c>
      <c r="G1003" t="str">
        <f>IFERROR(VLOOKUP(A1003,预留库存!A:G,7,0),0)</f>
        <v>No</v>
      </c>
      <c r="H1003">
        <f>IFERROR(VLOOKUP(A1003,预留库存!A:H,8,0),0)</f>
        <v>0</v>
      </c>
      <c r="I1003">
        <f>IFERROR(VLOOKUP(A1003,预留库存!A:F,6,0),0)</f>
        <v>35.98</v>
      </c>
      <c r="J1003">
        <f>IFERROR(VLOOKUP(A1003,库龄!B:K,9,0),0)</f>
        <v>0</v>
      </c>
      <c r="K1003">
        <f>IFERROR(VLOOKUP(A1003,库龄!B:L,10,0),0)</f>
        <v>0</v>
      </c>
      <c r="L1003">
        <f>IFERROR(VLOOKUP(A1003,库龄!B:M,11,0),0)</f>
        <v>0</v>
      </c>
      <c r="M1003">
        <f>IFERROR(VLOOKUP(A1003,库龄!B:N,12,0),0)</f>
        <v>0</v>
      </c>
      <c r="N1003">
        <f t="shared" si="32"/>
        <v>0</v>
      </c>
    </row>
    <row r="1004" spans="1:14">
      <c r="A1004" s="3" t="s">
        <v>2624</v>
      </c>
      <c r="B1004">
        <f>IFERROR(VLOOKUP(A1004,管理亚马逊库存!A:K,11,0),"")</f>
        <v>21</v>
      </c>
      <c r="C1004">
        <f>IFERROR(VLOOKUP(A1004,管理亚马逊库存!A:L,12,0),"")</f>
        <v>0</v>
      </c>
      <c r="D1004">
        <f>IFERROR(VLOOKUP(A1004,管理亚马逊库存!A:Q,17,0),"")</f>
        <v>0</v>
      </c>
      <c r="E1004">
        <f>IFERROR(VLOOKUP(A1004,管理亚马逊库存!A:R,18,0),"")</f>
        <v>0</v>
      </c>
      <c r="F1004">
        <f t="shared" si="31"/>
        <v>0</v>
      </c>
      <c r="G1004" t="str">
        <f>IFERROR(VLOOKUP(A1004,预留库存!A:G,7,0),0)</f>
        <v>No</v>
      </c>
      <c r="H1004">
        <f>IFERROR(VLOOKUP(A1004,预留库存!A:H,8,0),0)</f>
        <v>0</v>
      </c>
      <c r="I1004">
        <f>IFERROR(VLOOKUP(A1004,预留库存!A:F,6,0),0)</f>
        <v>35.98</v>
      </c>
      <c r="J1004">
        <f>IFERROR(VLOOKUP(A1004,库龄!B:K,9,0),0)</f>
        <v>1</v>
      </c>
      <c r="K1004">
        <f>IFERROR(VLOOKUP(A1004,库龄!B:L,10,0),0)</f>
        <v>9</v>
      </c>
      <c r="L1004">
        <f>IFERROR(VLOOKUP(A1004,库龄!B:M,11,0),0)</f>
        <v>0</v>
      </c>
      <c r="M1004">
        <f>IFERROR(VLOOKUP(A1004,库龄!B:N,12,0),0)</f>
        <v>0</v>
      </c>
      <c r="N1004">
        <f t="shared" si="32"/>
        <v>10</v>
      </c>
    </row>
    <row r="1005" spans="1:14">
      <c r="A1005" s="3" t="s">
        <v>2625</v>
      </c>
      <c r="B1005">
        <f>IFERROR(VLOOKUP(A1005,管理亚马逊库存!A:K,11,0),"")</f>
        <v>35</v>
      </c>
      <c r="C1005">
        <f>IFERROR(VLOOKUP(A1005,管理亚马逊库存!A:L,12,0),"")</f>
        <v>0</v>
      </c>
      <c r="D1005">
        <f>IFERROR(VLOOKUP(A1005,管理亚马逊库存!A:Q,17,0),"")</f>
        <v>0</v>
      </c>
      <c r="E1005">
        <f>IFERROR(VLOOKUP(A1005,管理亚马逊库存!A:R,18,0),"")</f>
        <v>0</v>
      </c>
      <c r="F1005">
        <f t="shared" si="31"/>
        <v>0</v>
      </c>
      <c r="G1005" t="str">
        <f>IFERROR(VLOOKUP(A1005,预留库存!A:G,7,0),0)</f>
        <v>No</v>
      </c>
      <c r="H1005">
        <f>IFERROR(VLOOKUP(A1005,预留库存!A:H,8,0),0)</f>
        <v>0</v>
      </c>
      <c r="I1005">
        <f>IFERROR(VLOOKUP(A1005,预留库存!A:F,6,0),0)</f>
        <v>35.98</v>
      </c>
      <c r="J1005">
        <f>IFERROR(VLOOKUP(A1005,库龄!B:K,9,0),0)</f>
        <v>0</v>
      </c>
      <c r="K1005">
        <f>IFERROR(VLOOKUP(A1005,库龄!B:L,10,0),0)</f>
        <v>0</v>
      </c>
      <c r="L1005">
        <f>IFERROR(VLOOKUP(A1005,库龄!B:M,11,0),0)</f>
        <v>0</v>
      </c>
      <c r="M1005">
        <f>IFERROR(VLOOKUP(A1005,库龄!B:N,12,0),0)</f>
        <v>0</v>
      </c>
      <c r="N1005">
        <f t="shared" si="32"/>
        <v>0</v>
      </c>
    </row>
    <row r="1006" spans="1:14">
      <c r="A1006" s="3" t="s">
        <v>2627</v>
      </c>
      <c r="B1006">
        <f>IFERROR(VLOOKUP(A1006,管理亚马逊库存!A:K,11,0),"")</f>
        <v>32</v>
      </c>
      <c r="C1006">
        <f>IFERROR(VLOOKUP(A1006,管理亚马逊库存!A:L,12,0),"")</f>
        <v>0</v>
      </c>
      <c r="D1006">
        <f>IFERROR(VLOOKUP(A1006,管理亚马逊库存!A:Q,17,0),"")</f>
        <v>0</v>
      </c>
      <c r="E1006">
        <f>IFERROR(VLOOKUP(A1006,管理亚马逊库存!A:R,18,0),"")</f>
        <v>0</v>
      </c>
      <c r="F1006">
        <f t="shared" si="31"/>
        <v>0</v>
      </c>
      <c r="G1006" t="str">
        <f>IFERROR(VLOOKUP(A1006,预留库存!A:G,7,0),0)</f>
        <v>No</v>
      </c>
      <c r="H1006">
        <f>IFERROR(VLOOKUP(A1006,预留库存!A:H,8,0),0)</f>
        <v>0</v>
      </c>
      <c r="I1006">
        <f>IFERROR(VLOOKUP(A1006,预留库存!A:F,6,0),0)</f>
        <v>35.98</v>
      </c>
      <c r="J1006">
        <f>IFERROR(VLOOKUP(A1006,库龄!B:K,9,0),0)</f>
        <v>0</v>
      </c>
      <c r="K1006">
        <f>IFERROR(VLOOKUP(A1006,库龄!B:L,10,0),0)</f>
        <v>0</v>
      </c>
      <c r="L1006">
        <f>IFERROR(VLOOKUP(A1006,库龄!B:M,11,0),0)</f>
        <v>0</v>
      </c>
      <c r="M1006">
        <f>IFERROR(VLOOKUP(A1006,库龄!B:N,12,0),0)</f>
        <v>0</v>
      </c>
      <c r="N1006">
        <f t="shared" si="32"/>
        <v>0</v>
      </c>
    </row>
    <row r="1007" spans="1:14">
      <c r="A1007" s="3" t="s">
        <v>2628</v>
      </c>
      <c r="B1007">
        <f>IFERROR(VLOOKUP(A1007,管理亚马逊库存!A:K,11,0),"")</f>
        <v>40</v>
      </c>
      <c r="C1007">
        <f>IFERROR(VLOOKUP(A1007,管理亚马逊库存!A:L,12,0),"")</f>
        <v>0</v>
      </c>
      <c r="D1007">
        <f>IFERROR(VLOOKUP(A1007,管理亚马逊库存!A:Q,17,0),"")</f>
        <v>0</v>
      </c>
      <c r="E1007">
        <f>IFERROR(VLOOKUP(A1007,管理亚马逊库存!A:R,18,0),"")</f>
        <v>0</v>
      </c>
      <c r="F1007">
        <f t="shared" si="31"/>
        <v>0</v>
      </c>
      <c r="G1007" t="str">
        <f>IFERROR(VLOOKUP(A1007,预留库存!A:G,7,0),0)</f>
        <v>No</v>
      </c>
      <c r="H1007">
        <f>IFERROR(VLOOKUP(A1007,预留库存!A:H,8,0),0)</f>
        <v>0</v>
      </c>
      <c r="I1007">
        <f>IFERROR(VLOOKUP(A1007,预留库存!A:F,6,0),0)</f>
        <v>35.98</v>
      </c>
      <c r="J1007">
        <f>IFERROR(VLOOKUP(A1007,库龄!B:K,9,0),0)</f>
        <v>0</v>
      </c>
      <c r="K1007">
        <f>IFERROR(VLOOKUP(A1007,库龄!B:L,10,0),0)</f>
        <v>0</v>
      </c>
      <c r="L1007">
        <f>IFERROR(VLOOKUP(A1007,库龄!B:M,11,0),0)</f>
        <v>0</v>
      </c>
      <c r="M1007">
        <f>IFERROR(VLOOKUP(A1007,库龄!B:N,12,0),0)</f>
        <v>0</v>
      </c>
      <c r="N1007">
        <f t="shared" si="32"/>
        <v>0</v>
      </c>
    </row>
    <row r="1008" spans="1:14">
      <c r="A1008" s="3" t="s">
        <v>2629</v>
      </c>
      <c r="B1008">
        <f>IFERROR(VLOOKUP(A1008,管理亚马逊库存!A:K,11,0),"")</f>
        <v>23</v>
      </c>
      <c r="C1008">
        <f>IFERROR(VLOOKUP(A1008,管理亚马逊库存!A:L,12,0),"")</f>
        <v>0</v>
      </c>
      <c r="D1008">
        <f>IFERROR(VLOOKUP(A1008,管理亚马逊库存!A:Q,17,0),"")</f>
        <v>0</v>
      </c>
      <c r="E1008">
        <f>IFERROR(VLOOKUP(A1008,管理亚马逊库存!A:R,18,0),"")</f>
        <v>0</v>
      </c>
      <c r="F1008">
        <f t="shared" si="31"/>
        <v>0</v>
      </c>
      <c r="G1008" t="str">
        <f>IFERROR(VLOOKUP(A1008,预留库存!A:G,7,0),0)</f>
        <v>No</v>
      </c>
      <c r="H1008">
        <f>IFERROR(VLOOKUP(A1008,预留库存!A:H,8,0),0)</f>
        <v>0</v>
      </c>
      <c r="I1008">
        <f>IFERROR(VLOOKUP(A1008,预留库存!A:F,6,0),0)</f>
        <v>35.98</v>
      </c>
      <c r="J1008">
        <f>IFERROR(VLOOKUP(A1008,库龄!B:K,9,0),0)</f>
        <v>0</v>
      </c>
      <c r="K1008">
        <f>IFERROR(VLOOKUP(A1008,库龄!B:L,10,0),0)</f>
        <v>0</v>
      </c>
      <c r="L1008">
        <f>IFERROR(VLOOKUP(A1008,库龄!B:M,11,0),0)</f>
        <v>0</v>
      </c>
      <c r="M1008">
        <f>IFERROR(VLOOKUP(A1008,库龄!B:N,12,0),0)</f>
        <v>0</v>
      </c>
      <c r="N1008">
        <f t="shared" si="32"/>
        <v>0</v>
      </c>
    </row>
    <row r="1009" spans="1:14">
      <c r="A1009" s="3" t="s">
        <v>2630</v>
      </c>
      <c r="B1009">
        <f>IFERROR(VLOOKUP(A1009,管理亚马逊库存!A:K,11,0),"")</f>
        <v>24</v>
      </c>
      <c r="C1009">
        <f>IFERROR(VLOOKUP(A1009,管理亚马逊库存!A:L,12,0),"")</f>
        <v>0</v>
      </c>
      <c r="D1009">
        <f>IFERROR(VLOOKUP(A1009,管理亚马逊库存!A:Q,17,0),"")</f>
        <v>0</v>
      </c>
      <c r="E1009">
        <f>IFERROR(VLOOKUP(A1009,管理亚马逊库存!A:R,18,0),"")</f>
        <v>0</v>
      </c>
      <c r="F1009">
        <f t="shared" si="31"/>
        <v>0</v>
      </c>
      <c r="G1009" t="str">
        <f>IFERROR(VLOOKUP(A1009,预留库存!A:G,7,0),0)</f>
        <v>No</v>
      </c>
      <c r="H1009">
        <f>IFERROR(VLOOKUP(A1009,预留库存!A:H,8,0),0)</f>
        <v>0</v>
      </c>
      <c r="I1009">
        <f>IFERROR(VLOOKUP(A1009,预留库存!A:F,6,0),0)</f>
        <v>35.98</v>
      </c>
      <c r="J1009">
        <f>IFERROR(VLOOKUP(A1009,库龄!B:K,9,0),0)</f>
        <v>0</v>
      </c>
      <c r="K1009">
        <f>IFERROR(VLOOKUP(A1009,库龄!B:L,10,0),0)</f>
        <v>11</v>
      </c>
      <c r="L1009">
        <f>IFERROR(VLOOKUP(A1009,库龄!B:M,11,0),0)</f>
        <v>0</v>
      </c>
      <c r="M1009">
        <f>IFERROR(VLOOKUP(A1009,库龄!B:N,12,0),0)</f>
        <v>0</v>
      </c>
      <c r="N1009">
        <f t="shared" si="32"/>
        <v>11</v>
      </c>
    </row>
    <row r="1010" spans="1:14">
      <c r="A1010" s="3" t="s">
        <v>2631</v>
      </c>
      <c r="B1010">
        <f>IFERROR(VLOOKUP(A1010,管理亚马逊库存!A:K,11,0),"")</f>
        <v>40</v>
      </c>
      <c r="C1010">
        <f>IFERROR(VLOOKUP(A1010,管理亚马逊库存!A:L,12,0),"")</f>
        <v>0</v>
      </c>
      <c r="D1010">
        <f>IFERROR(VLOOKUP(A1010,管理亚马逊库存!A:Q,17,0),"")</f>
        <v>0</v>
      </c>
      <c r="E1010">
        <f>IFERROR(VLOOKUP(A1010,管理亚马逊库存!A:R,18,0),"")</f>
        <v>0</v>
      </c>
      <c r="F1010">
        <f t="shared" si="31"/>
        <v>0</v>
      </c>
      <c r="G1010" t="str">
        <f>IFERROR(VLOOKUP(A1010,预留库存!A:G,7,0),0)</f>
        <v>No</v>
      </c>
      <c r="H1010">
        <f>IFERROR(VLOOKUP(A1010,预留库存!A:H,8,0),0)</f>
        <v>0</v>
      </c>
      <c r="I1010">
        <f>IFERROR(VLOOKUP(A1010,预留库存!A:F,6,0),0)</f>
        <v>35.98</v>
      </c>
      <c r="J1010">
        <f>IFERROR(VLOOKUP(A1010,库龄!B:K,9,0),0)</f>
        <v>0</v>
      </c>
      <c r="K1010">
        <f>IFERROR(VLOOKUP(A1010,库龄!B:L,10,0),0)</f>
        <v>0</v>
      </c>
      <c r="L1010">
        <f>IFERROR(VLOOKUP(A1010,库龄!B:M,11,0),0)</f>
        <v>0</v>
      </c>
      <c r="M1010">
        <f>IFERROR(VLOOKUP(A1010,库龄!B:N,12,0),0)</f>
        <v>0</v>
      </c>
      <c r="N1010">
        <f t="shared" si="32"/>
        <v>0</v>
      </c>
    </row>
    <row r="1011" spans="1:14">
      <c r="A1011" s="3" t="s">
        <v>2632</v>
      </c>
      <c r="B1011">
        <f>IFERROR(VLOOKUP(A1011,管理亚马逊库存!A:K,11,0),"")</f>
        <v>41</v>
      </c>
      <c r="C1011">
        <f>IFERROR(VLOOKUP(A1011,管理亚马逊库存!A:L,12,0),"")</f>
        <v>0</v>
      </c>
      <c r="D1011">
        <f>IFERROR(VLOOKUP(A1011,管理亚马逊库存!A:Q,17,0),"")</f>
        <v>0</v>
      </c>
      <c r="E1011">
        <f>IFERROR(VLOOKUP(A1011,管理亚马逊库存!A:R,18,0),"")</f>
        <v>0</v>
      </c>
      <c r="F1011">
        <f t="shared" si="31"/>
        <v>0</v>
      </c>
      <c r="G1011" t="str">
        <f>IFERROR(VLOOKUP(A1011,预留库存!A:G,7,0),0)</f>
        <v>No</v>
      </c>
      <c r="H1011">
        <f>IFERROR(VLOOKUP(A1011,预留库存!A:H,8,0),0)</f>
        <v>0</v>
      </c>
      <c r="I1011">
        <f>IFERROR(VLOOKUP(A1011,预留库存!A:F,6,0),0)</f>
        <v>35.98</v>
      </c>
      <c r="J1011">
        <f>IFERROR(VLOOKUP(A1011,库龄!B:K,9,0),0)</f>
        <v>0</v>
      </c>
      <c r="K1011">
        <f>IFERROR(VLOOKUP(A1011,库龄!B:L,10,0),0)</f>
        <v>0</v>
      </c>
      <c r="L1011">
        <f>IFERROR(VLOOKUP(A1011,库龄!B:M,11,0),0)</f>
        <v>0</v>
      </c>
      <c r="M1011">
        <f>IFERROR(VLOOKUP(A1011,库龄!B:N,12,0),0)</f>
        <v>0</v>
      </c>
      <c r="N1011">
        <f t="shared" si="32"/>
        <v>0</v>
      </c>
    </row>
    <row r="1012" spans="1:14">
      <c r="A1012" s="3" t="s">
        <v>2633</v>
      </c>
      <c r="B1012">
        <f>IFERROR(VLOOKUP(A1012,管理亚马逊库存!A:K,11,0),"")</f>
        <v>11</v>
      </c>
      <c r="C1012">
        <f>IFERROR(VLOOKUP(A1012,管理亚马逊库存!A:L,12,0),"")</f>
        <v>0</v>
      </c>
      <c r="D1012">
        <f>IFERROR(VLOOKUP(A1012,管理亚马逊库存!A:Q,17,0),"")</f>
        <v>0</v>
      </c>
      <c r="E1012">
        <f>IFERROR(VLOOKUP(A1012,管理亚马逊库存!A:R,18,0),"")</f>
        <v>0</v>
      </c>
      <c r="F1012">
        <f t="shared" si="31"/>
        <v>0</v>
      </c>
      <c r="G1012" t="str">
        <f>IFERROR(VLOOKUP(A1012,预留库存!A:G,7,0),0)</f>
        <v>No</v>
      </c>
      <c r="H1012">
        <f>IFERROR(VLOOKUP(A1012,预留库存!A:H,8,0),0)</f>
        <v>0</v>
      </c>
      <c r="I1012">
        <f>IFERROR(VLOOKUP(A1012,预留库存!A:F,6,0),0)</f>
        <v>69.98</v>
      </c>
      <c r="J1012">
        <f>IFERROR(VLOOKUP(A1012,库龄!B:K,9,0),0)</f>
        <v>0</v>
      </c>
      <c r="K1012">
        <f>IFERROR(VLOOKUP(A1012,库龄!B:L,10,0),0)</f>
        <v>11</v>
      </c>
      <c r="L1012">
        <f>IFERROR(VLOOKUP(A1012,库龄!B:M,11,0),0)</f>
        <v>0</v>
      </c>
      <c r="M1012">
        <f>IFERROR(VLOOKUP(A1012,库龄!B:N,12,0),0)</f>
        <v>0</v>
      </c>
      <c r="N1012">
        <f t="shared" si="32"/>
        <v>11</v>
      </c>
    </row>
    <row r="1013" spans="1:14">
      <c r="A1013" s="3" t="s">
        <v>2636</v>
      </c>
      <c r="B1013">
        <f>IFERROR(VLOOKUP(A1013,管理亚马逊库存!A:K,11,0),"")</f>
        <v>7</v>
      </c>
      <c r="C1013">
        <f>IFERROR(VLOOKUP(A1013,管理亚马逊库存!A:L,12,0),"")</f>
        <v>0</v>
      </c>
      <c r="D1013">
        <f>IFERROR(VLOOKUP(A1013,管理亚马逊库存!A:Q,17,0),"")</f>
        <v>0</v>
      </c>
      <c r="E1013">
        <f>IFERROR(VLOOKUP(A1013,管理亚马逊库存!A:R,18,0),"")</f>
        <v>0</v>
      </c>
      <c r="F1013">
        <f t="shared" si="31"/>
        <v>0</v>
      </c>
      <c r="G1013">
        <f>IFERROR(VLOOKUP(A1013,预留库存!A:G,7,0),0)</f>
        <v>0</v>
      </c>
      <c r="H1013">
        <f>IFERROR(VLOOKUP(A1013,预留库存!A:H,8,0),0)</f>
        <v>0</v>
      </c>
      <c r="I1013">
        <f>IFERROR(VLOOKUP(A1013,预留库存!A:F,6,0),0)</f>
        <v>0</v>
      </c>
      <c r="J1013">
        <f>IFERROR(VLOOKUP(A1013,库龄!B:K,9,0),0)</f>
        <v>1</v>
      </c>
      <c r="K1013">
        <f>IFERROR(VLOOKUP(A1013,库龄!B:L,10,0),0)</f>
        <v>6</v>
      </c>
      <c r="L1013">
        <f>IFERROR(VLOOKUP(A1013,库龄!B:M,11,0),0)</f>
        <v>0</v>
      </c>
      <c r="M1013">
        <f>IFERROR(VLOOKUP(A1013,库龄!B:N,12,0),0)</f>
        <v>0</v>
      </c>
      <c r="N1013">
        <f t="shared" si="32"/>
        <v>7</v>
      </c>
    </row>
    <row r="1014" spans="1:14">
      <c r="A1014" s="3" t="s">
        <v>2638</v>
      </c>
      <c r="B1014">
        <f>IFERROR(VLOOKUP(A1014,管理亚马逊库存!A:K,11,0),"")</f>
        <v>11</v>
      </c>
      <c r="C1014">
        <f>IFERROR(VLOOKUP(A1014,管理亚马逊库存!A:L,12,0),"")</f>
        <v>0</v>
      </c>
      <c r="D1014">
        <f>IFERROR(VLOOKUP(A1014,管理亚马逊库存!A:Q,17,0),"")</f>
        <v>0</v>
      </c>
      <c r="E1014">
        <f>IFERROR(VLOOKUP(A1014,管理亚马逊库存!A:R,18,0),"")</f>
        <v>0</v>
      </c>
      <c r="F1014">
        <f t="shared" si="31"/>
        <v>0</v>
      </c>
      <c r="G1014" t="str">
        <f>IFERROR(VLOOKUP(A1014,预留库存!A:G,7,0),0)</f>
        <v>No</v>
      </c>
      <c r="H1014">
        <f>IFERROR(VLOOKUP(A1014,预留库存!A:H,8,0),0)</f>
        <v>0</v>
      </c>
      <c r="I1014">
        <f>IFERROR(VLOOKUP(A1014,预留库存!A:F,6,0),0)</f>
        <v>69.98</v>
      </c>
      <c r="J1014">
        <f>IFERROR(VLOOKUP(A1014,库龄!B:K,9,0),0)</f>
        <v>0</v>
      </c>
      <c r="K1014">
        <f>IFERROR(VLOOKUP(A1014,库龄!B:L,10,0),0)</f>
        <v>11</v>
      </c>
      <c r="L1014">
        <f>IFERROR(VLOOKUP(A1014,库龄!B:M,11,0),0)</f>
        <v>0</v>
      </c>
      <c r="M1014">
        <f>IFERROR(VLOOKUP(A1014,库龄!B:N,12,0),0)</f>
        <v>0</v>
      </c>
      <c r="N1014">
        <f t="shared" si="32"/>
        <v>11</v>
      </c>
    </row>
    <row r="1015" spans="1:14">
      <c r="A1015" s="3" t="s">
        <v>2641</v>
      </c>
      <c r="B1015">
        <f>IFERROR(VLOOKUP(A1015,管理亚马逊库存!A:K,11,0),"")</f>
        <v>18</v>
      </c>
      <c r="C1015">
        <f>IFERROR(VLOOKUP(A1015,管理亚马逊库存!A:L,12,0),"")</f>
        <v>0</v>
      </c>
      <c r="D1015">
        <f>IFERROR(VLOOKUP(A1015,管理亚马逊库存!A:Q,17,0),"")</f>
        <v>0</v>
      </c>
      <c r="E1015">
        <f>IFERROR(VLOOKUP(A1015,管理亚马逊库存!A:R,18,0),"")</f>
        <v>0</v>
      </c>
      <c r="F1015">
        <f t="shared" si="31"/>
        <v>0</v>
      </c>
      <c r="G1015" t="str">
        <f>IFERROR(VLOOKUP(A1015,预留库存!A:G,7,0),0)</f>
        <v>No</v>
      </c>
      <c r="H1015">
        <f>IFERROR(VLOOKUP(A1015,预留库存!A:H,8,0),0)</f>
        <v>0</v>
      </c>
      <c r="I1015">
        <f>IFERROR(VLOOKUP(A1015,预留库存!A:F,6,0),0)</f>
        <v>69.98</v>
      </c>
      <c r="J1015">
        <f>IFERROR(VLOOKUP(A1015,库龄!B:K,9,0),0)</f>
        <v>1</v>
      </c>
      <c r="K1015">
        <f>IFERROR(VLOOKUP(A1015,库龄!B:L,10,0),0)</f>
        <v>17</v>
      </c>
      <c r="L1015">
        <f>IFERROR(VLOOKUP(A1015,库龄!B:M,11,0),0)</f>
        <v>0</v>
      </c>
      <c r="M1015">
        <f>IFERROR(VLOOKUP(A1015,库龄!B:N,12,0),0)</f>
        <v>0</v>
      </c>
      <c r="N1015">
        <f t="shared" si="32"/>
        <v>18</v>
      </c>
    </row>
    <row r="1016" spans="1:14">
      <c r="A1016" s="3" t="s">
        <v>2644</v>
      </c>
      <c r="B1016">
        <f>IFERROR(VLOOKUP(A1016,管理亚马逊库存!A:K,11,0),"")</f>
        <v>9</v>
      </c>
      <c r="C1016">
        <f>IFERROR(VLOOKUP(A1016,管理亚马逊库存!A:L,12,0),"")</f>
        <v>0</v>
      </c>
      <c r="D1016">
        <f>IFERROR(VLOOKUP(A1016,管理亚马逊库存!A:Q,17,0),"")</f>
        <v>0</v>
      </c>
      <c r="E1016">
        <f>IFERROR(VLOOKUP(A1016,管理亚马逊库存!A:R,18,0),"")</f>
        <v>0</v>
      </c>
      <c r="F1016">
        <f t="shared" si="31"/>
        <v>0</v>
      </c>
      <c r="G1016" t="str">
        <f>IFERROR(VLOOKUP(A1016,预留库存!A:G,7,0),0)</f>
        <v>No</v>
      </c>
      <c r="H1016">
        <f>IFERROR(VLOOKUP(A1016,预留库存!A:H,8,0),0)</f>
        <v>0</v>
      </c>
      <c r="I1016">
        <f>IFERROR(VLOOKUP(A1016,预留库存!A:F,6,0),0)</f>
        <v>69.98</v>
      </c>
      <c r="J1016">
        <f>IFERROR(VLOOKUP(A1016,库龄!B:K,9,0),0)</f>
        <v>3</v>
      </c>
      <c r="K1016">
        <f>IFERROR(VLOOKUP(A1016,库龄!B:L,10,0),0)</f>
        <v>6</v>
      </c>
      <c r="L1016">
        <f>IFERROR(VLOOKUP(A1016,库龄!B:M,11,0),0)</f>
        <v>0</v>
      </c>
      <c r="M1016">
        <f>IFERROR(VLOOKUP(A1016,库龄!B:N,12,0),0)</f>
        <v>0</v>
      </c>
      <c r="N1016">
        <f t="shared" si="32"/>
        <v>9</v>
      </c>
    </row>
    <row r="1017" spans="1:14">
      <c r="A1017" s="3" t="s">
        <v>2647</v>
      </c>
      <c r="B1017">
        <f>IFERROR(VLOOKUP(A1017,管理亚马逊库存!A:K,11,0),"")</f>
        <v>11</v>
      </c>
      <c r="C1017">
        <f>IFERROR(VLOOKUP(A1017,管理亚马逊库存!A:L,12,0),"")</f>
        <v>0</v>
      </c>
      <c r="D1017">
        <f>IFERROR(VLOOKUP(A1017,管理亚马逊库存!A:Q,17,0),"")</f>
        <v>0</v>
      </c>
      <c r="E1017">
        <f>IFERROR(VLOOKUP(A1017,管理亚马逊库存!A:R,18,0),"")</f>
        <v>0</v>
      </c>
      <c r="F1017">
        <f t="shared" si="31"/>
        <v>0</v>
      </c>
      <c r="G1017" t="str">
        <f>IFERROR(VLOOKUP(A1017,预留库存!A:G,7,0),0)</f>
        <v>No</v>
      </c>
      <c r="H1017">
        <f>IFERROR(VLOOKUP(A1017,预留库存!A:H,8,0),0)</f>
        <v>0</v>
      </c>
      <c r="I1017">
        <f>IFERROR(VLOOKUP(A1017,预留库存!A:F,6,0),0)</f>
        <v>26.98</v>
      </c>
      <c r="J1017">
        <f>IFERROR(VLOOKUP(A1017,库龄!B:K,9,0),0)</f>
        <v>0</v>
      </c>
      <c r="K1017">
        <f>IFERROR(VLOOKUP(A1017,库龄!B:L,10,0),0)</f>
        <v>11</v>
      </c>
      <c r="L1017">
        <f>IFERROR(VLOOKUP(A1017,库龄!B:M,11,0),0)</f>
        <v>0</v>
      </c>
      <c r="M1017">
        <f>IFERROR(VLOOKUP(A1017,库龄!B:N,12,0),0)</f>
        <v>0</v>
      </c>
      <c r="N1017">
        <f t="shared" si="32"/>
        <v>11</v>
      </c>
    </row>
    <row r="1018" spans="1:14">
      <c r="A1018" s="3" t="s">
        <v>2650</v>
      </c>
      <c r="B1018">
        <f>IFERROR(VLOOKUP(A1018,管理亚马逊库存!A:K,11,0),"")</f>
        <v>5</v>
      </c>
      <c r="C1018">
        <f>IFERROR(VLOOKUP(A1018,管理亚马逊库存!A:L,12,0),"")</f>
        <v>0</v>
      </c>
      <c r="D1018">
        <f>IFERROR(VLOOKUP(A1018,管理亚马逊库存!A:Q,17,0),"")</f>
        <v>0</v>
      </c>
      <c r="E1018">
        <f>IFERROR(VLOOKUP(A1018,管理亚马逊库存!A:R,18,0),"")</f>
        <v>0</v>
      </c>
      <c r="F1018">
        <f t="shared" si="31"/>
        <v>0</v>
      </c>
      <c r="G1018" t="str">
        <f>IFERROR(VLOOKUP(A1018,预留库存!A:G,7,0),0)</f>
        <v>No</v>
      </c>
      <c r="H1018">
        <f>IFERROR(VLOOKUP(A1018,预留库存!A:H,8,0),0)</f>
        <v>0</v>
      </c>
      <c r="I1018">
        <f>IFERROR(VLOOKUP(A1018,预留库存!A:F,6,0),0)</f>
        <v>69.98</v>
      </c>
      <c r="J1018">
        <f>IFERROR(VLOOKUP(A1018,库龄!B:K,9,0),0)</f>
        <v>1</v>
      </c>
      <c r="K1018">
        <f>IFERROR(VLOOKUP(A1018,库龄!B:L,10,0),0)</f>
        <v>3</v>
      </c>
      <c r="L1018">
        <f>IFERROR(VLOOKUP(A1018,库龄!B:M,11,0),0)</f>
        <v>0</v>
      </c>
      <c r="M1018">
        <f>IFERROR(VLOOKUP(A1018,库龄!B:N,12,0),0)</f>
        <v>0</v>
      </c>
      <c r="N1018">
        <f t="shared" si="32"/>
        <v>4</v>
      </c>
    </row>
    <row r="1019" spans="1:14">
      <c r="A1019" s="3" t="s">
        <v>2653</v>
      </c>
      <c r="B1019">
        <f>IFERROR(VLOOKUP(A1019,管理亚马逊库存!A:K,11,0),"")</f>
        <v>4</v>
      </c>
      <c r="C1019">
        <f>IFERROR(VLOOKUP(A1019,管理亚马逊库存!A:L,12,0),"")</f>
        <v>0</v>
      </c>
      <c r="D1019">
        <f>IFERROR(VLOOKUP(A1019,管理亚马逊库存!A:Q,17,0),"")</f>
        <v>0</v>
      </c>
      <c r="E1019">
        <f>IFERROR(VLOOKUP(A1019,管理亚马逊库存!A:R,18,0),"")</f>
        <v>0</v>
      </c>
      <c r="F1019">
        <f t="shared" si="31"/>
        <v>0</v>
      </c>
      <c r="G1019" t="str">
        <f>IFERROR(VLOOKUP(A1019,预留库存!A:G,7,0),0)</f>
        <v>No</v>
      </c>
      <c r="H1019">
        <f>IFERROR(VLOOKUP(A1019,预留库存!A:H,8,0),0)</f>
        <v>0</v>
      </c>
      <c r="I1019">
        <f>IFERROR(VLOOKUP(A1019,预留库存!A:F,6,0),0)</f>
        <v>69.98</v>
      </c>
      <c r="J1019">
        <f>IFERROR(VLOOKUP(A1019,库龄!B:K,9,0),0)</f>
        <v>0</v>
      </c>
      <c r="K1019">
        <f>IFERROR(VLOOKUP(A1019,库龄!B:L,10,0),0)</f>
        <v>4</v>
      </c>
      <c r="L1019">
        <f>IFERROR(VLOOKUP(A1019,库龄!B:M,11,0),0)</f>
        <v>0</v>
      </c>
      <c r="M1019">
        <f>IFERROR(VLOOKUP(A1019,库龄!B:N,12,0),0)</f>
        <v>0</v>
      </c>
      <c r="N1019">
        <f t="shared" si="32"/>
        <v>4</v>
      </c>
    </row>
    <row r="1020" spans="1:14">
      <c r="A1020" s="3" t="s">
        <v>2656</v>
      </c>
      <c r="B1020">
        <f>IFERROR(VLOOKUP(A1020,管理亚马逊库存!A:K,11,0),"")</f>
        <v>8</v>
      </c>
      <c r="C1020">
        <f>IFERROR(VLOOKUP(A1020,管理亚马逊库存!A:L,12,0),"")</f>
        <v>0</v>
      </c>
      <c r="D1020">
        <f>IFERROR(VLOOKUP(A1020,管理亚马逊库存!A:Q,17,0),"")</f>
        <v>0</v>
      </c>
      <c r="E1020">
        <f>IFERROR(VLOOKUP(A1020,管理亚马逊库存!A:R,18,0),"")</f>
        <v>0</v>
      </c>
      <c r="F1020">
        <f t="shared" si="31"/>
        <v>0</v>
      </c>
      <c r="G1020" t="str">
        <f>IFERROR(VLOOKUP(A1020,预留库存!A:G,7,0),0)</f>
        <v>No</v>
      </c>
      <c r="H1020">
        <f>IFERROR(VLOOKUP(A1020,预留库存!A:H,8,0),0)</f>
        <v>0</v>
      </c>
      <c r="I1020">
        <f>IFERROR(VLOOKUP(A1020,预留库存!A:F,6,0),0)</f>
        <v>69.98</v>
      </c>
      <c r="J1020">
        <f>IFERROR(VLOOKUP(A1020,库龄!B:K,9,0),0)</f>
        <v>0</v>
      </c>
      <c r="K1020">
        <f>IFERROR(VLOOKUP(A1020,库龄!B:L,10,0),0)</f>
        <v>7</v>
      </c>
      <c r="L1020">
        <f>IFERROR(VLOOKUP(A1020,库龄!B:M,11,0),0)</f>
        <v>0</v>
      </c>
      <c r="M1020">
        <f>IFERROR(VLOOKUP(A1020,库龄!B:N,12,0),0)</f>
        <v>0</v>
      </c>
      <c r="N1020">
        <f t="shared" si="32"/>
        <v>7</v>
      </c>
    </row>
    <row r="1021" spans="1:14">
      <c r="A1021" s="3" t="s">
        <v>2659</v>
      </c>
      <c r="B1021">
        <f>IFERROR(VLOOKUP(A1021,管理亚马逊库存!A:K,11,0),"")</f>
        <v>7</v>
      </c>
      <c r="C1021">
        <f>IFERROR(VLOOKUP(A1021,管理亚马逊库存!A:L,12,0),"")</f>
        <v>0</v>
      </c>
      <c r="D1021">
        <f>IFERROR(VLOOKUP(A1021,管理亚马逊库存!A:Q,17,0),"")</f>
        <v>0</v>
      </c>
      <c r="E1021">
        <f>IFERROR(VLOOKUP(A1021,管理亚马逊库存!A:R,18,0),"")</f>
        <v>0</v>
      </c>
      <c r="F1021">
        <f t="shared" si="31"/>
        <v>0</v>
      </c>
      <c r="G1021">
        <f>IFERROR(VLOOKUP(A1021,预留库存!A:G,7,0),0)</f>
        <v>0</v>
      </c>
      <c r="H1021">
        <f>IFERROR(VLOOKUP(A1021,预留库存!A:H,8,0),0)</f>
        <v>0</v>
      </c>
      <c r="I1021">
        <f>IFERROR(VLOOKUP(A1021,预留库存!A:F,6,0),0)</f>
        <v>0</v>
      </c>
      <c r="J1021">
        <f>IFERROR(VLOOKUP(A1021,库龄!B:K,9,0),0)</f>
        <v>5</v>
      </c>
      <c r="K1021">
        <f>IFERROR(VLOOKUP(A1021,库龄!B:L,10,0),0)</f>
        <v>0</v>
      </c>
      <c r="L1021">
        <f>IFERROR(VLOOKUP(A1021,库龄!B:M,11,0),0)</f>
        <v>0</v>
      </c>
      <c r="M1021">
        <f>IFERROR(VLOOKUP(A1021,库龄!B:N,12,0),0)</f>
        <v>0</v>
      </c>
      <c r="N1021">
        <f t="shared" si="32"/>
        <v>5</v>
      </c>
    </row>
    <row r="1022" spans="1:14">
      <c r="A1022" s="3" t="s">
        <v>2661</v>
      </c>
      <c r="B1022">
        <f>IFERROR(VLOOKUP(A1022,管理亚马逊库存!A:K,11,0),"")</f>
        <v>7</v>
      </c>
      <c r="C1022">
        <f>IFERROR(VLOOKUP(A1022,管理亚马逊库存!A:L,12,0),"")</f>
        <v>1</v>
      </c>
      <c r="D1022">
        <f>IFERROR(VLOOKUP(A1022,管理亚马逊库存!A:Q,17,0),"")</f>
        <v>0</v>
      </c>
      <c r="E1022">
        <f>IFERROR(VLOOKUP(A1022,管理亚马逊库存!A:R,18,0),"")</f>
        <v>0</v>
      </c>
      <c r="F1022">
        <f t="shared" si="31"/>
        <v>0</v>
      </c>
      <c r="G1022" t="str">
        <f>IFERROR(VLOOKUP(A1022,预留库存!A:G,7,0),0)</f>
        <v>No</v>
      </c>
      <c r="H1022">
        <f>IFERROR(VLOOKUP(A1022,预留库存!A:H,8,0),0)</f>
        <v>0</v>
      </c>
      <c r="I1022">
        <f>IFERROR(VLOOKUP(A1022,预留库存!A:F,6,0),0)</f>
        <v>49.98</v>
      </c>
      <c r="J1022">
        <f>IFERROR(VLOOKUP(A1022,库龄!B:K,9,0),0)</f>
        <v>2</v>
      </c>
      <c r="K1022">
        <f>IFERROR(VLOOKUP(A1022,库龄!B:L,10,0),0)</f>
        <v>5</v>
      </c>
      <c r="L1022">
        <f>IFERROR(VLOOKUP(A1022,库龄!B:M,11,0),0)</f>
        <v>0</v>
      </c>
      <c r="M1022">
        <f>IFERROR(VLOOKUP(A1022,库龄!B:N,12,0),0)</f>
        <v>0</v>
      </c>
      <c r="N1022">
        <f t="shared" si="32"/>
        <v>7</v>
      </c>
    </row>
    <row r="1023" spans="1:14">
      <c r="A1023" s="3" t="s">
        <v>2664</v>
      </c>
      <c r="B1023">
        <f>IFERROR(VLOOKUP(A1023,管理亚马逊库存!A:K,11,0),"")</f>
        <v>9</v>
      </c>
      <c r="C1023">
        <f>IFERROR(VLOOKUP(A1023,管理亚马逊库存!A:L,12,0),"")</f>
        <v>0</v>
      </c>
      <c r="D1023">
        <f>IFERROR(VLOOKUP(A1023,管理亚马逊库存!A:Q,17,0),"")</f>
        <v>0</v>
      </c>
      <c r="E1023">
        <f>IFERROR(VLOOKUP(A1023,管理亚马逊库存!A:R,18,0),"")</f>
        <v>0</v>
      </c>
      <c r="F1023">
        <f t="shared" si="31"/>
        <v>0</v>
      </c>
      <c r="G1023" t="str">
        <f>IFERROR(VLOOKUP(A1023,预留库存!A:G,7,0),0)</f>
        <v>No</v>
      </c>
      <c r="H1023">
        <f>IFERROR(VLOOKUP(A1023,预留库存!A:H,8,0),0)</f>
        <v>0</v>
      </c>
      <c r="I1023">
        <f>IFERROR(VLOOKUP(A1023,预留库存!A:F,6,0),0)</f>
        <v>26.98</v>
      </c>
      <c r="J1023">
        <f>IFERROR(VLOOKUP(A1023,库龄!B:K,9,0),0)</f>
        <v>0</v>
      </c>
      <c r="K1023">
        <f>IFERROR(VLOOKUP(A1023,库龄!B:L,10,0),0)</f>
        <v>9</v>
      </c>
      <c r="L1023">
        <f>IFERROR(VLOOKUP(A1023,库龄!B:M,11,0),0)</f>
        <v>0</v>
      </c>
      <c r="M1023">
        <f>IFERROR(VLOOKUP(A1023,库龄!B:N,12,0),0)</f>
        <v>0</v>
      </c>
      <c r="N1023">
        <f t="shared" si="32"/>
        <v>9</v>
      </c>
    </row>
    <row r="1024" spans="1:14">
      <c r="A1024" s="3" t="s">
        <v>2667</v>
      </c>
      <c r="B1024">
        <f>IFERROR(VLOOKUP(A1024,管理亚马逊库存!A:K,11,0),"")</f>
        <v>11</v>
      </c>
      <c r="C1024">
        <f>IFERROR(VLOOKUP(A1024,管理亚马逊库存!A:L,12,0),"")</f>
        <v>0</v>
      </c>
      <c r="D1024">
        <f>IFERROR(VLOOKUP(A1024,管理亚马逊库存!A:Q,17,0),"")</f>
        <v>0</v>
      </c>
      <c r="E1024">
        <f>IFERROR(VLOOKUP(A1024,管理亚马逊库存!A:R,18,0),"")</f>
        <v>0</v>
      </c>
      <c r="F1024">
        <f t="shared" si="31"/>
        <v>0</v>
      </c>
      <c r="G1024" t="str">
        <f>IFERROR(VLOOKUP(A1024,预留库存!A:G,7,0),0)</f>
        <v>No</v>
      </c>
      <c r="H1024">
        <f>IFERROR(VLOOKUP(A1024,预留库存!A:H,8,0),0)</f>
        <v>0</v>
      </c>
      <c r="I1024">
        <f>IFERROR(VLOOKUP(A1024,预留库存!A:F,6,0),0)</f>
        <v>49.98</v>
      </c>
      <c r="J1024">
        <f>IFERROR(VLOOKUP(A1024,库龄!B:K,9,0),0)</f>
        <v>8</v>
      </c>
      <c r="K1024">
        <f>IFERROR(VLOOKUP(A1024,库龄!B:L,10,0),0)</f>
        <v>0</v>
      </c>
      <c r="L1024">
        <f>IFERROR(VLOOKUP(A1024,库龄!B:M,11,0),0)</f>
        <v>0</v>
      </c>
      <c r="M1024">
        <f>IFERROR(VLOOKUP(A1024,库龄!B:N,12,0),0)</f>
        <v>0</v>
      </c>
      <c r="N1024">
        <f t="shared" si="32"/>
        <v>8</v>
      </c>
    </row>
    <row r="1025" spans="1:14">
      <c r="A1025" s="3" t="s">
        <v>2670</v>
      </c>
      <c r="B1025">
        <f>IFERROR(VLOOKUP(A1025,管理亚马逊库存!A:K,11,0),"")</f>
        <v>18</v>
      </c>
      <c r="C1025">
        <f>IFERROR(VLOOKUP(A1025,管理亚马逊库存!A:L,12,0),"")</f>
        <v>0</v>
      </c>
      <c r="D1025">
        <f>IFERROR(VLOOKUP(A1025,管理亚马逊库存!A:Q,17,0),"")</f>
        <v>0</v>
      </c>
      <c r="E1025">
        <f>IFERROR(VLOOKUP(A1025,管理亚马逊库存!A:R,18,0),"")</f>
        <v>0</v>
      </c>
      <c r="F1025">
        <f t="shared" si="31"/>
        <v>0</v>
      </c>
      <c r="G1025" t="str">
        <f>IFERROR(VLOOKUP(A1025,预留库存!A:G,7,0),0)</f>
        <v>No</v>
      </c>
      <c r="H1025">
        <f>IFERROR(VLOOKUP(A1025,预留库存!A:H,8,0),0)</f>
        <v>0</v>
      </c>
      <c r="I1025">
        <f>IFERROR(VLOOKUP(A1025,预留库存!A:F,6,0),0)</f>
        <v>49.98</v>
      </c>
      <c r="J1025">
        <f>IFERROR(VLOOKUP(A1025,库龄!B:K,9,0),0)</f>
        <v>11</v>
      </c>
      <c r="K1025">
        <f>IFERROR(VLOOKUP(A1025,库龄!B:L,10,0),0)</f>
        <v>5</v>
      </c>
      <c r="L1025">
        <f>IFERROR(VLOOKUP(A1025,库龄!B:M,11,0),0)</f>
        <v>0</v>
      </c>
      <c r="M1025">
        <f>IFERROR(VLOOKUP(A1025,库龄!B:N,12,0),0)</f>
        <v>0</v>
      </c>
      <c r="N1025">
        <f t="shared" si="32"/>
        <v>16</v>
      </c>
    </row>
    <row r="1026" spans="1:14">
      <c r="A1026" s="3" t="s">
        <v>2673</v>
      </c>
      <c r="B1026">
        <f>IFERROR(VLOOKUP(A1026,管理亚马逊库存!A:K,11,0),"")</f>
        <v>6</v>
      </c>
      <c r="C1026">
        <f>IFERROR(VLOOKUP(A1026,管理亚马逊库存!A:L,12,0),"")</f>
        <v>0</v>
      </c>
      <c r="D1026">
        <f>IFERROR(VLOOKUP(A1026,管理亚马逊库存!A:Q,17,0),"")</f>
        <v>0</v>
      </c>
      <c r="E1026">
        <f>IFERROR(VLOOKUP(A1026,管理亚马逊库存!A:R,18,0),"")</f>
        <v>0</v>
      </c>
      <c r="F1026">
        <f t="shared" si="31"/>
        <v>0</v>
      </c>
      <c r="G1026" t="str">
        <f>IFERROR(VLOOKUP(A1026,预留库存!A:G,7,0),0)</f>
        <v>No</v>
      </c>
      <c r="H1026">
        <f>IFERROR(VLOOKUP(A1026,预留库存!A:H,8,0),0)</f>
        <v>0</v>
      </c>
      <c r="I1026">
        <f>IFERROR(VLOOKUP(A1026,预留库存!A:F,6,0),0)</f>
        <v>49.98</v>
      </c>
      <c r="J1026">
        <f>IFERROR(VLOOKUP(A1026,库龄!B:K,9,0),0)</f>
        <v>2</v>
      </c>
      <c r="K1026">
        <f>IFERROR(VLOOKUP(A1026,库龄!B:L,10,0),0)</f>
        <v>4</v>
      </c>
      <c r="L1026">
        <f>IFERROR(VLOOKUP(A1026,库龄!B:M,11,0),0)</f>
        <v>0</v>
      </c>
      <c r="M1026">
        <f>IFERROR(VLOOKUP(A1026,库龄!B:N,12,0),0)</f>
        <v>0</v>
      </c>
      <c r="N1026">
        <f t="shared" si="32"/>
        <v>6</v>
      </c>
    </row>
    <row r="1027" spans="1:14">
      <c r="A1027" s="3" t="s">
        <v>2676</v>
      </c>
      <c r="B1027">
        <f>IFERROR(VLOOKUP(A1027,管理亚马逊库存!A:K,11,0),"")</f>
        <v>10</v>
      </c>
      <c r="C1027">
        <f>IFERROR(VLOOKUP(A1027,管理亚马逊库存!A:L,12,0),"")</f>
        <v>0</v>
      </c>
      <c r="D1027">
        <f>IFERROR(VLOOKUP(A1027,管理亚马逊库存!A:Q,17,0),"")</f>
        <v>0</v>
      </c>
      <c r="E1027">
        <f>IFERROR(VLOOKUP(A1027,管理亚马逊库存!A:R,18,0),"")</f>
        <v>0</v>
      </c>
      <c r="F1027">
        <f t="shared" ref="F1027:F1090" si="33">SUM(D1027:E1027)</f>
        <v>0</v>
      </c>
      <c r="G1027" t="str">
        <f>IFERROR(VLOOKUP(A1027,预留库存!A:G,7,0),0)</f>
        <v>No</v>
      </c>
      <c r="H1027">
        <f>IFERROR(VLOOKUP(A1027,预留库存!A:H,8,0),0)</f>
        <v>0</v>
      </c>
      <c r="I1027">
        <f>IFERROR(VLOOKUP(A1027,预留库存!A:F,6,0),0)</f>
        <v>49.98</v>
      </c>
      <c r="J1027">
        <f>IFERROR(VLOOKUP(A1027,库龄!B:K,9,0),0)</f>
        <v>1</v>
      </c>
      <c r="K1027">
        <f>IFERROR(VLOOKUP(A1027,库龄!B:L,10,0),0)</f>
        <v>9</v>
      </c>
      <c r="L1027">
        <f>IFERROR(VLOOKUP(A1027,库龄!B:M,11,0),0)</f>
        <v>0</v>
      </c>
      <c r="M1027">
        <f>IFERROR(VLOOKUP(A1027,库龄!B:N,12,0),0)</f>
        <v>0</v>
      </c>
      <c r="N1027">
        <f t="shared" ref="N1027:N1090" si="34">SUM(J1027:M1027)</f>
        <v>10</v>
      </c>
    </row>
    <row r="1028" spans="1:14">
      <c r="A1028" s="3" t="s">
        <v>2679</v>
      </c>
      <c r="B1028">
        <f>IFERROR(VLOOKUP(A1028,管理亚马逊库存!A:K,11,0),"")</f>
        <v>13</v>
      </c>
      <c r="C1028">
        <f>IFERROR(VLOOKUP(A1028,管理亚马逊库存!A:L,12,0),"")</f>
        <v>0</v>
      </c>
      <c r="D1028">
        <f>IFERROR(VLOOKUP(A1028,管理亚马逊库存!A:Q,17,0),"")</f>
        <v>0</v>
      </c>
      <c r="E1028">
        <f>IFERROR(VLOOKUP(A1028,管理亚马逊库存!A:R,18,0),"")</f>
        <v>0</v>
      </c>
      <c r="F1028">
        <f t="shared" si="33"/>
        <v>0</v>
      </c>
      <c r="G1028" t="str">
        <f>IFERROR(VLOOKUP(A1028,预留库存!A:G,7,0),0)</f>
        <v>No</v>
      </c>
      <c r="H1028">
        <f>IFERROR(VLOOKUP(A1028,预留库存!A:H,8,0),0)</f>
        <v>0</v>
      </c>
      <c r="I1028">
        <f>IFERROR(VLOOKUP(A1028,预留库存!A:F,6,0),0)</f>
        <v>26.98</v>
      </c>
      <c r="J1028">
        <f>IFERROR(VLOOKUP(A1028,库龄!B:K,9,0),0)</f>
        <v>0</v>
      </c>
      <c r="K1028">
        <f>IFERROR(VLOOKUP(A1028,库龄!B:L,10,0),0)</f>
        <v>13</v>
      </c>
      <c r="L1028">
        <f>IFERROR(VLOOKUP(A1028,库龄!B:M,11,0),0)</f>
        <v>0</v>
      </c>
      <c r="M1028">
        <f>IFERROR(VLOOKUP(A1028,库龄!B:N,12,0),0)</f>
        <v>0</v>
      </c>
      <c r="N1028">
        <f t="shared" si="34"/>
        <v>13</v>
      </c>
    </row>
    <row r="1029" spans="1:14">
      <c r="A1029" s="3" t="s">
        <v>2682</v>
      </c>
      <c r="B1029">
        <f>IFERROR(VLOOKUP(A1029,管理亚马逊库存!A:K,11,0),"")</f>
        <v>5</v>
      </c>
      <c r="C1029">
        <f>IFERROR(VLOOKUP(A1029,管理亚马逊库存!A:L,12,0),"")</f>
        <v>0</v>
      </c>
      <c r="D1029">
        <f>IFERROR(VLOOKUP(A1029,管理亚马逊库存!A:Q,17,0),"")</f>
        <v>0</v>
      </c>
      <c r="E1029">
        <f>IFERROR(VLOOKUP(A1029,管理亚马逊库存!A:R,18,0),"")</f>
        <v>0</v>
      </c>
      <c r="F1029">
        <f t="shared" si="33"/>
        <v>0</v>
      </c>
      <c r="G1029" t="str">
        <f>IFERROR(VLOOKUP(A1029,预留库存!A:G,7,0),0)</f>
        <v>No</v>
      </c>
      <c r="H1029">
        <f>IFERROR(VLOOKUP(A1029,预留库存!A:H,8,0),0)</f>
        <v>0</v>
      </c>
      <c r="I1029">
        <f>IFERROR(VLOOKUP(A1029,预留库存!A:F,6,0),0)</f>
        <v>26.98</v>
      </c>
      <c r="J1029">
        <f>IFERROR(VLOOKUP(A1029,库龄!B:K,9,0),0)</f>
        <v>5</v>
      </c>
      <c r="K1029">
        <f>IFERROR(VLOOKUP(A1029,库龄!B:L,10,0),0)</f>
        <v>0</v>
      </c>
      <c r="L1029">
        <f>IFERROR(VLOOKUP(A1029,库龄!B:M,11,0),0)</f>
        <v>0</v>
      </c>
      <c r="M1029">
        <f>IFERROR(VLOOKUP(A1029,库龄!B:N,12,0),0)</f>
        <v>0</v>
      </c>
      <c r="N1029">
        <f t="shared" si="34"/>
        <v>5</v>
      </c>
    </row>
    <row r="1030" spans="1:14">
      <c r="A1030" s="3" t="s">
        <v>2685</v>
      </c>
      <c r="B1030">
        <f>IFERROR(VLOOKUP(A1030,管理亚马逊库存!A:K,11,0),"")</f>
        <v>6</v>
      </c>
      <c r="C1030">
        <f>IFERROR(VLOOKUP(A1030,管理亚马逊库存!A:L,12,0),"")</f>
        <v>0</v>
      </c>
      <c r="D1030">
        <f>IFERROR(VLOOKUP(A1030,管理亚马逊库存!A:Q,17,0),"")</f>
        <v>0</v>
      </c>
      <c r="E1030">
        <f>IFERROR(VLOOKUP(A1030,管理亚马逊库存!A:R,18,0),"")</f>
        <v>0</v>
      </c>
      <c r="F1030">
        <f t="shared" si="33"/>
        <v>0</v>
      </c>
      <c r="G1030" t="str">
        <f>IFERROR(VLOOKUP(A1030,预留库存!A:G,7,0),0)</f>
        <v>No</v>
      </c>
      <c r="H1030">
        <f>IFERROR(VLOOKUP(A1030,预留库存!A:H,8,0),0)</f>
        <v>0</v>
      </c>
      <c r="I1030">
        <f>IFERROR(VLOOKUP(A1030,预留库存!A:F,6,0),0)</f>
        <v>26.98</v>
      </c>
      <c r="J1030">
        <f>IFERROR(VLOOKUP(A1030,库龄!B:K,9,0),0)</f>
        <v>2</v>
      </c>
      <c r="K1030">
        <f>IFERROR(VLOOKUP(A1030,库龄!B:L,10,0),0)</f>
        <v>4</v>
      </c>
      <c r="L1030">
        <f>IFERROR(VLOOKUP(A1030,库龄!B:M,11,0),0)</f>
        <v>0</v>
      </c>
      <c r="M1030">
        <f>IFERROR(VLOOKUP(A1030,库龄!B:N,12,0),0)</f>
        <v>0</v>
      </c>
      <c r="N1030">
        <f t="shared" si="34"/>
        <v>6</v>
      </c>
    </row>
    <row r="1031" spans="1:14">
      <c r="A1031" s="3" t="s">
        <v>2688</v>
      </c>
      <c r="B1031">
        <f>IFERROR(VLOOKUP(A1031,管理亚马逊库存!A:K,11,0),"")</f>
        <v>0</v>
      </c>
      <c r="C1031">
        <f>IFERROR(VLOOKUP(A1031,管理亚马逊库存!A:L,12,0),"")</f>
        <v>0</v>
      </c>
      <c r="D1031">
        <f>IFERROR(VLOOKUP(A1031,管理亚马逊库存!A:Q,17,0),"")</f>
        <v>0</v>
      </c>
      <c r="E1031">
        <f>IFERROR(VLOOKUP(A1031,管理亚马逊库存!A:R,18,0),"")</f>
        <v>0</v>
      </c>
      <c r="F1031">
        <f t="shared" si="33"/>
        <v>0</v>
      </c>
      <c r="G1031" t="str">
        <f>IFERROR(VLOOKUP(A1031,预留库存!A:G,7,0),0)</f>
        <v>No</v>
      </c>
      <c r="H1031">
        <f>IFERROR(VLOOKUP(A1031,预留库存!A:H,8,0),0)</f>
        <v>0</v>
      </c>
      <c r="I1031">
        <f>IFERROR(VLOOKUP(A1031,预留库存!A:F,6,0),0)</f>
        <v>26.98</v>
      </c>
      <c r="J1031">
        <f>IFERROR(VLOOKUP(A1031,库龄!B:K,9,0),0)</f>
        <v>0</v>
      </c>
      <c r="K1031">
        <f>IFERROR(VLOOKUP(A1031,库龄!B:L,10,0),0)</f>
        <v>0</v>
      </c>
      <c r="L1031">
        <f>IFERROR(VLOOKUP(A1031,库龄!B:M,11,0),0)</f>
        <v>0</v>
      </c>
      <c r="M1031">
        <f>IFERROR(VLOOKUP(A1031,库龄!B:N,12,0),0)</f>
        <v>0</v>
      </c>
      <c r="N1031">
        <f t="shared" si="34"/>
        <v>0</v>
      </c>
    </row>
    <row r="1032" spans="1:14">
      <c r="A1032" s="3" t="s">
        <v>2691</v>
      </c>
      <c r="B1032">
        <f>IFERROR(VLOOKUP(A1032,管理亚马逊库存!A:K,11,0),"")</f>
        <v>0</v>
      </c>
      <c r="C1032">
        <f>IFERROR(VLOOKUP(A1032,管理亚马逊库存!A:L,12,0),"")</f>
        <v>0</v>
      </c>
      <c r="D1032">
        <f>IFERROR(VLOOKUP(A1032,管理亚马逊库存!A:Q,17,0),"")</f>
        <v>0</v>
      </c>
      <c r="E1032">
        <f>IFERROR(VLOOKUP(A1032,管理亚马逊库存!A:R,18,0),"")</f>
        <v>0</v>
      </c>
      <c r="F1032">
        <f t="shared" si="33"/>
        <v>0</v>
      </c>
      <c r="G1032" t="str">
        <f>IFERROR(VLOOKUP(A1032,预留库存!A:G,7,0),0)</f>
        <v>No</v>
      </c>
      <c r="H1032">
        <f>IFERROR(VLOOKUP(A1032,预留库存!A:H,8,0),0)</f>
        <v>0</v>
      </c>
      <c r="I1032">
        <f>IFERROR(VLOOKUP(A1032,预留库存!A:F,6,0),0)</f>
        <v>49.98</v>
      </c>
      <c r="J1032">
        <f>IFERROR(VLOOKUP(A1032,库龄!B:K,9,0),0)</f>
        <v>0</v>
      </c>
      <c r="K1032">
        <f>IFERROR(VLOOKUP(A1032,库龄!B:L,10,0),0)</f>
        <v>0</v>
      </c>
      <c r="L1032">
        <f>IFERROR(VLOOKUP(A1032,库龄!B:M,11,0),0)</f>
        <v>0</v>
      </c>
      <c r="M1032">
        <f>IFERROR(VLOOKUP(A1032,库龄!B:N,12,0),0)</f>
        <v>0</v>
      </c>
      <c r="N1032">
        <f t="shared" si="34"/>
        <v>0</v>
      </c>
    </row>
    <row r="1033" spans="1:14">
      <c r="A1033" s="3" t="s">
        <v>2694</v>
      </c>
      <c r="B1033">
        <f>IFERROR(VLOOKUP(A1033,管理亚马逊库存!A:K,11,0),"")</f>
        <v>2</v>
      </c>
      <c r="C1033">
        <f>IFERROR(VLOOKUP(A1033,管理亚马逊库存!A:L,12,0),"")</f>
        <v>0</v>
      </c>
      <c r="D1033">
        <f>IFERROR(VLOOKUP(A1033,管理亚马逊库存!A:Q,17,0),"")</f>
        <v>0</v>
      </c>
      <c r="E1033">
        <f>IFERROR(VLOOKUP(A1033,管理亚马逊库存!A:R,18,0),"")</f>
        <v>0</v>
      </c>
      <c r="F1033">
        <f t="shared" si="33"/>
        <v>0</v>
      </c>
      <c r="G1033" t="str">
        <f>IFERROR(VLOOKUP(A1033,预留库存!A:G,7,0),0)</f>
        <v>No</v>
      </c>
      <c r="H1033">
        <f>IFERROR(VLOOKUP(A1033,预留库存!A:H,8,0),0)</f>
        <v>0</v>
      </c>
      <c r="I1033">
        <f>IFERROR(VLOOKUP(A1033,预留库存!A:F,6,0),0)</f>
        <v>49.98</v>
      </c>
      <c r="J1033">
        <f>IFERROR(VLOOKUP(A1033,库龄!B:K,9,0),0)</f>
        <v>0</v>
      </c>
      <c r="K1033">
        <f>IFERROR(VLOOKUP(A1033,库龄!B:L,10,0),0)</f>
        <v>0</v>
      </c>
      <c r="L1033">
        <f>IFERROR(VLOOKUP(A1033,库龄!B:M,11,0),0)</f>
        <v>0</v>
      </c>
      <c r="M1033">
        <f>IFERROR(VLOOKUP(A1033,库龄!B:N,12,0),0)</f>
        <v>0</v>
      </c>
      <c r="N1033">
        <f t="shared" si="34"/>
        <v>0</v>
      </c>
    </row>
    <row r="1034" spans="1:14">
      <c r="A1034" s="3" t="s">
        <v>2697</v>
      </c>
      <c r="B1034">
        <f>IFERROR(VLOOKUP(A1034,管理亚马逊库存!A:K,11,0),"")</f>
        <v>0</v>
      </c>
      <c r="C1034">
        <f>IFERROR(VLOOKUP(A1034,管理亚马逊库存!A:L,12,0),"")</f>
        <v>0</v>
      </c>
      <c r="D1034">
        <f>IFERROR(VLOOKUP(A1034,管理亚马逊库存!A:Q,17,0),"")</f>
        <v>0</v>
      </c>
      <c r="E1034">
        <f>IFERROR(VLOOKUP(A1034,管理亚马逊库存!A:R,18,0),"")</f>
        <v>0</v>
      </c>
      <c r="F1034">
        <f t="shared" si="33"/>
        <v>0</v>
      </c>
      <c r="G1034" t="str">
        <f>IFERROR(VLOOKUP(A1034,预留库存!A:G,7,0),0)</f>
        <v>No</v>
      </c>
      <c r="H1034">
        <f>IFERROR(VLOOKUP(A1034,预留库存!A:H,8,0),0)</f>
        <v>0</v>
      </c>
      <c r="I1034">
        <f>IFERROR(VLOOKUP(A1034,预留库存!A:F,6,0),0)</f>
        <v>49.98</v>
      </c>
      <c r="J1034">
        <f>IFERROR(VLOOKUP(A1034,库龄!B:K,9,0),0)</f>
        <v>0</v>
      </c>
      <c r="K1034">
        <f>IFERROR(VLOOKUP(A1034,库龄!B:L,10,0),0)</f>
        <v>0</v>
      </c>
      <c r="L1034">
        <f>IFERROR(VLOOKUP(A1034,库龄!B:M,11,0),0)</f>
        <v>0</v>
      </c>
      <c r="M1034">
        <f>IFERROR(VLOOKUP(A1034,库龄!B:N,12,0),0)</f>
        <v>0</v>
      </c>
      <c r="N1034">
        <f t="shared" si="34"/>
        <v>0</v>
      </c>
    </row>
    <row r="1035" spans="1:14">
      <c r="A1035" s="3" t="s">
        <v>2700</v>
      </c>
      <c r="B1035">
        <f>IFERROR(VLOOKUP(A1035,管理亚马逊库存!A:K,11,0),"")</f>
        <v>0</v>
      </c>
      <c r="C1035">
        <f>IFERROR(VLOOKUP(A1035,管理亚马逊库存!A:L,12,0),"")</f>
        <v>0</v>
      </c>
      <c r="D1035">
        <f>IFERROR(VLOOKUP(A1035,管理亚马逊库存!A:Q,17,0),"")</f>
        <v>0</v>
      </c>
      <c r="E1035">
        <f>IFERROR(VLOOKUP(A1035,管理亚马逊库存!A:R,18,0),"")</f>
        <v>0</v>
      </c>
      <c r="F1035">
        <f t="shared" si="33"/>
        <v>0</v>
      </c>
      <c r="G1035" t="str">
        <f>IFERROR(VLOOKUP(A1035,预留库存!A:G,7,0),0)</f>
        <v>No</v>
      </c>
      <c r="H1035">
        <f>IFERROR(VLOOKUP(A1035,预留库存!A:H,8,0),0)</f>
        <v>0</v>
      </c>
      <c r="I1035">
        <f>IFERROR(VLOOKUP(A1035,预留库存!A:F,6,0),0)</f>
        <v>26.98</v>
      </c>
      <c r="J1035">
        <f>IFERROR(VLOOKUP(A1035,库龄!B:K,9,0),0)</f>
        <v>0</v>
      </c>
      <c r="K1035">
        <f>IFERROR(VLOOKUP(A1035,库龄!B:L,10,0),0)</f>
        <v>0</v>
      </c>
      <c r="L1035">
        <f>IFERROR(VLOOKUP(A1035,库龄!B:M,11,0),0)</f>
        <v>0</v>
      </c>
      <c r="M1035">
        <f>IFERROR(VLOOKUP(A1035,库龄!B:N,12,0),0)</f>
        <v>0</v>
      </c>
      <c r="N1035">
        <f t="shared" si="34"/>
        <v>0</v>
      </c>
    </row>
    <row r="1036" spans="1:14">
      <c r="A1036" s="3" t="s">
        <v>2703</v>
      </c>
      <c r="B1036">
        <f>IFERROR(VLOOKUP(A1036,管理亚马逊库存!A:K,11,0),"")</f>
        <v>12</v>
      </c>
      <c r="C1036">
        <f>IFERROR(VLOOKUP(A1036,管理亚马逊库存!A:L,12,0),"")</f>
        <v>0</v>
      </c>
      <c r="D1036">
        <f>IFERROR(VLOOKUP(A1036,管理亚马逊库存!A:Q,17,0),"")</f>
        <v>0</v>
      </c>
      <c r="E1036">
        <f>IFERROR(VLOOKUP(A1036,管理亚马逊库存!A:R,18,0),"")</f>
        <v>0</v>
      </c>
      <c r="F1036">
        <f t="shared" si="33"/>
        <v>0</v>
      </c>
      <c r="G1036" t="str">
        <f>IFERROR(VLOOKUP(A1036,预留库存!A:G,7,0),0)</f>
        <v>No</v>
      </c>
      <c r="H1036">
        <f>IFERROR(VLOOKUP(A1036,预留库存!A:H,8,0),0)</f>
        <v>0</v>
      </c>
      <c r="I1036">
        <f>IFERROR(VLOOKUP(A1036,预留库存!A:F,6,0),0)</f>
        <v>26.98</v>
      </c>
      <c r="J1036">
        <f>IFERROR(VLOOKUP(A1036,库龄!B:K,9,0),0)</f>
        <v>4</v>
      </c>
      <c r="K1036">
        <f>IFERROR(VLOOKUP(A1036,库龄!B:L,10,0),0)</f>
        <v>0</v>
      </c>
      <c r="L1036">
        <f>IFERROR(VLOOKUP(A1036,库龄!B:M,11,0),0)</f>
        <v>0</v>
      </c>
      <c r="M1036">
        <f>IFERROR(VLOOKUP(A1036,库龄!B:N,12,0),0)</f>
        <v>0</v>
      </c>
      <c r="N1036">
        <f t="shared" si="34"/>
        <v>4</v>
      </c>
    </row>
    <row r="1037" spans="1:14">
      <c r="A1037" s="3" t="s">
        <v>2706</v>
      </c>
      <c r="B1037">
        <f>IFERROR(VLOOKUP(A1037,管理亚马逊库存!A:K,11,0),"")</f>
        <v>17</v>
      </c>
      <c r="C1037">
        <f>IFERROR(VLOOKUP(A1037,管理亚马逊库存!A:L,12,0),"")</f>
        <v>0</v>
      </c>
      <c r="D1037">
        <f>IFERROR(VLOOKUP(A1037,管理亚马逊库存!A:Q,17,0),"")</f>
        <v>0</v>
      </c>
      <c r="E1037">
        <f>IFERROR(VLOOKUP(A1037,管理亚马逊库存!A:R,18,0),"")</f>
        <v>0</v>
      </c>
      <c r="F1037">
        <f t="shared" si="33"/>
        <v>0</v>
      </c>
      <c r="G1037" t="str">
        <f>IFERROR(VLOOKUP(A1037,预留库存!A:G,7,0),0)</f>
        <v>No</v>
      </c>
      <c r="H1037">
        <f>IFERROR(VLOOKUP(A1037,预留库存!A:H,8,0),0)</f>
        <v>0</v>
      </c>
      <c r="I1037">
        <f>IFERROR(VLOOKUP(A1037,预留库存!A:F,6,0),0)</f>
        <v>26.98</v>
      </c>
      <c r="J1037">
        <f>IFERROR(VLOOKUP(A1037,库龄!B:K,9,0),0)</f>
        <v>10</v>
      </c>
      <c r="K1037">
        <f>IFERROR(VLOOKUP(A1037,库龄!B:L,10,0),0)</f>
        <v>6</v>
      </c>
      <c r="L1037">
        <f>IFERROR(VLOOKUP(A1037,库龄!B:M,11,0),0)</f>
        <v>0</v>
      </c>
      <c r="M1037">
        <f>IFERROR(VLOOKUP(A1037,库龄!B:N,12,0),0)</f>
        <v>0</v>
      </c>
      <c r="N1037">
        <f t="shared" si="34"/>
        <v>16</v>
      </c>
    </row>
    <row r="1038" spans="1:14">
      <c r="A1038" s="3" t="s">
        <v>2708</v>
      </c>
      <c r="B1038">
        <f>IFERROR(VLOOKUP(A1038,管理亚马逊库存!A:K,11,0),"")</f>
        <v>4</v>
      </c>
      <c r="C1038">
        <f>IFERROR(VLOOKUP(A1038,管理亚马逊库存!A:L,12,0),"")</f>
        <v>0</v>
      </c>
      <c r="D1038">
        <f>IFERROR(VLOOKUP(A1038,管理亚马逊库存!A:Q,17,0),"")</f>
        <v>0</v>
      </c>
      <c r="E1038">
        <f>IFERROR(VLOOKUP(A1038,管理亚马逊库存!A:R,18,0),"")</f>
        <v>0</v>
      </c>
      <c r="F1038">
        <f t="shared" si="33"/>
        <v>0</v>
      </c>
      <c r="G1038" t="str">
        <f>IFERROR(VLOOKUP(A1038,预留库存!A:G,7,0),0)</f>
        <v>No</v>
      </c>
      <c r="H1038">
        <f>IFERROR(VLOOKUP(A1038,预留库存!A:H,8,0),0)</f>
        <v>0</v>
      </c>
      <c r="I1038">
        <f>IFERROR(VLOOKUP(A1038,预留库存!A:F,6,0),0)</f>
        <v>26.98</v>
      </c>
      <c r="J1038">
        <f>IFERROR(VLOOKUP(A1038,库龄!B:K,9,0),0)</f>
        <v>0</v>
      </c>
      <c r="K1038">
        <f>IFERROR(VLOOKUP(A1038,库龄!B:L,10,0),0)</f>
        <v>3</v>
      </c>
      <c r="L1038">
        <f>IFERROR(VLOOKUP(A1038,库龄!B:M,11,0),0)</f>
        <v>0</v>
      </c>
      <c r="M1038">
        <f>IFERROR(VLOOKUP(A1038,库龄!B:N,12,0),0)</f>
        <v>0</v>
      </c>
      <c r="N1038">
        <f t="shared" si="34"/>
        <v>3</v>
      </c>
    </row>
    <row r="1039" spans="1:14">
      <c r="A1039" s="3" t="s">
        <v>2711</v>
      </c>
      <c r="B1039">
        <f>IFERROR(VLOOKUP(A1039,管理亚马逊库存!A:K,11,0),"")</f>
        <v>14</v>
      </c>
      <c r="C1039">
        <f>IFERROR(VLOOKUP(A1039,管理亚马逊库存!A:L,12,0),"")</f>
        <v>0</v>
      </c>
      <c r="D1039">
        <f>IFERROR(VLOOKUP(A1039,管理亚马逊库存!A:Q,17,0),"")</f>
        <v>0</v>
      </c>
      <c r="E1039">
        <f>IFERROR(VLOOKUP(A1039,管理亚马逊库存!A:R,18,0),"")</f>
        <v>0</v>
      </c>
      <c r="F1039">
        <f t="shared" si="33"/>
        <v>0</v>
      </c>
      <c r="G1039" t="str">
        <f>IFERROR(VLOOKUP(A1039,预留库存!A:G,7,0),0)</f>
        <v>No</v>
      </c>
      <c r="H1039">
        <f>IFERROR(VLOOKUP(A1039,预留库存!A:H,8,0),0)</f>
        <v>0</v>
      </c>
      <c r="I1039">
        <f>IFERROR(VLOOKUP(A1039,预留库存!A:F,6,0),0)</f>
        <v>26.98</v>
      </c>
      <c r="J1039">
        <f>IFERROR(VLOOKUP(A1039,库龄!B:K,9,0),0)</f>
        <v>11</v>
      </c>
      <c r="K1039">
        <f>IFERROR(VLOOKUP(A1039,库龄!B:L,10,0),0)</f>
        <v>2</v>
      </c>
      <c r="L1039">
        <f>IFERROR(VLOOKUP(A1039,库龄!B:M,11,0),0)</f>
        <v>0</v>
      </c>
      <c r="M1039">
        <f>IFERROR(VLOOKUP(A1039,库龄!B:N,12,0),0)</f>
        <v>0</v>
      </c>
      <c r="N1039">
        <f t="shared" si="34"/>
        <v>13</v>
      </c>
    </row>
    <row r="1040" spans="1:14">
      <c r="A1040" s="3" t="s">
        <v>2714</v>
      </c>
      <c r="B1040">
        <f>IFERROR(VLOOKUP(A1040,管理亚马逊库存!A:K,11,0),"")</f>
        <v>11</v>
      </c>
      <c r="C1040">
        <f>IFERROR(VLOOKUP(A1040,管理亚马逊库存!A:L,12,0),"")</f>
        <v>0</v>
      </c>
      <c r="D1040">
        <f>IFERROR(VLOOKUP(A1040,管理亚马逊库存!A:Q,17,0),"")</f>
        <v>0</v>
      </c>
      <c r="E1040">
        <f>IFERROR(VLOOKUP(A1040,管理亚马逊库存!A:R,18,0),"")</f>
        <v>0</v>
      </c>
      <c r="F1040">
        <f t="shared" si="33"/>
        <v>0</v>
      </c>
      <c r="G1040" t="str">
        <f>IFERROR(VLOOKUP(A1040,预留库存!A:G,7,0),0)</f>
        <v>No</v>
      </c>
      <c r="H1040">
        <f>IFERROR(VLOOKUP(A1040,预留库存!A:H,8,0),0)</f>
        <v>0</v>
      </c>
      <c r="I1040">
        <f>IFERROR(VLOOKUP(A1040,预留库存!A:F,6,0),0)</f>
        <v>26.98</v>
      </c>
      <c r="J1040">
        <f>IFERROR(VLOOKUP(A1040,库龄!B:K,9,0),0)</f>
        <v>5</v>
      </c>
      <c r="K1040">
        <f>IFERROR(VLOOKUP(A1040,库龄!B:L,10,0),0)</f>
        <v>5</v>
      </c>
      <c r="L1040">
        <f>IFERROR(VLOOKUP(A1040,库龄!B:M,11,0),0)</f>
        <v>0</v>
      </c>
      <c r="M1040">
        <f>IFERROR(VLOOKUP(A1040,库龄!B:N,12,0),0)</f>
        <v>0</v>
      </c>
      <c r="N1040">
        <f t="shared" si="34"/>
        <v>10</v>
      </c>
    </row>
    <row r="1041" spans="1:14">
      <c r="A1041" s="3" t="s">
        <v>2717</v>
      </c>
      <c r="B1041">
        <f>IFERROR(VLOOKUP(A1041,管理亚马逊库存!A:K,11,0),"")</f>
        <v>0</v>
      </c>
      <c r="C1041">
        <f>IFERROR(VLOOKUP(A1041,管理亚马逊库存!A:L,12,0),"")</f>
        <v>0</v>
      </c>
      <c r="D1041">
        <f>IFERROR(VLOOKUP(A1041,管理亚马逊库存!A:Q,17,0),"")</f>
        <v>0</v>
      </c>
      <c r="E1041">
        <f>IFERROR(VLOOKUP(A1041,管理亚马逊库存!A:R,18,0),"")</f>
        <v>0</v>
      </c>
      <c r="F1041">
        <f t="shared" si="33"/>
        <v>0</v>
      </c>
      <c r="G1041">
        <f>IFERROR(VLOOKUP(A1041,预留库存!A:G,7,0),0)</f>
        <v>0</v>
      </c>
      <c r="H1041">
        <f>IFERROR(VLOOKUP(A1041,预留库存!A:H,8,0),0)</f>
        <v>0</v>
      </c>
      <c r="I1041">
        <f>IFERROR(VLOOKUP(A1041,预留库存!A:F,6,0),0)</f>
        <v>0</v>
      </c>
      <c r="J1041">
        <f>IFERROR(VLOOKUP(A1041,库龄!B:K,9,0),0)</f>
        <v>0</v>
      </c>
      <c r="K1041">
        <f>IFERROR(VLOOKUP(A1041,库龄!B:L,10,0),0)</f>
        <v>0</v>
      </c>
      <c r="L1041">
        <f>IFERROR(VLOOKUP(A1041,库龄!B:M,11,0),0)</f>
        <v>0</v>
      </c>
      <c r="M1041">
        <f>IFERROR(VLOOKUP(A1041,库龄!B:N,12,0),0)</f>
        <v>0</v>
      </c>
      <c r="N1041">
        <f t="shared" si="34"/>
        <v>0</v>
      </c>
    </row>
    <row r="1042" spans="1:14">
      <c r="A1042" s="3" t="s">
        <v>2719</v>
      </c>
      <c r="B1042">
        <f>IFERROR(VLOOKUP(A1042,管理亚马逊库存!A:K,11,0),"")</f>
        <v>0</v>
      </c>
      <c r="C1042">
        <f>IFERROR(VLOOKUP(A1042,管理亚马逊库存!A:L,12,0),"")</f>
        <v>0</v>
      </c>
      <c r="D1042">
        <f>IFERROR(VLOOKUP(A1042,管理亚马逊库存!A:Q,17,0),"")</f>
        <v>0</v>
      </c>
      <c r="E1042">
        <f>IFERROR(VLOOKUP(A1042,管理亚马逊库存!A:R,18,0),"")</f>
        <v>0</v>
      </c>
      <c r="F1042">
        <f t="shared" si="33"/>
        <v>0</v>
      </c>
      <c r="G1042" t="str">
        <f>IFERROR(VLOOKUP(A1042,预留库存!A:G,7,0),0)</f>
        <v>No</v>
      </c>
      <c r="H1042">
        <f>IFERROR(VLOOKUP(A1042,预留库存!A:H,8,0),0)</f>
        <v>0</v>
      </c>
      <c r="I1042">
        <f>IFERROR(VLOOKUP(A1042,预留库存!A:F,6,0),0)</f>
        <v>22.98</v>
      </c>
      <c r="J1042">
        <f>IFERROR(VLOOKUP(A1042,库龄!B:K,9,0),0)</f>
        <v>0</v>
      </c>
      <c r="K1042">
        <f>IFERROR(VLOOKUP(A1042,库龄!B:L,10,0),0)</f>
        <v>0</v>
      </c>
      <c r="L1042">
        <f>IFERROR(VLOOKUP(A1042,库龄!B:M,11,0),0)</f>
        <v>0</v>
      </c>
      <c r="M1042">
        <f>IFERROR(VLOOKUP(A1042,库龄!B:N,12,0),0)</f>
        <v>0</v>
      </c>
      <c r="N1042">
        <f t="shared" si="34"/>
        <v>0</v>
      </c>
    </row>
    <row r="1043" spans="1:14">
      <c r="A1043" s="3" t="s">
        <v>2720</v>
      </c>
      <c r="B1043">
        <f>IFERROR(VLOOKUP(A1043,管理亚马逊库存!A:K,11,0),"")</f>
        <v>0</v>
      </c>
      <c r="C1043">
        <f>IFERROR(VLOOKUP(A1043,管理亚马逊库存!A:L,12,0),"")</f>
        <v>0</v>
      </c>
      <c r="D1043">
        <f>IFERROR(VLOOKUP(A1043,管理亚马逊库存!A:Q,17,0),"")</f>
        <v>0</v>
      </c>
      <c r="E1043">
        <f>IFERROR(VLOOKUP(A1043,管理亚马逊库存!A:R,18,0),"")</f>
        <v>0</v>
      </c>
      <c r="F1043">
        <f t="shared" si="33"/>
        <v>0</v>
      </c>
      <c r="G1043" t="str">
        <f>IFERROR(VLOOKUP(A1043,预留库存!A:G,7,0),0)</f>
        <v>No</v>
      </c>
      <c r="H1043">
        <f>IFERROR(VLOOKUP(A1043,预留库存!A:H,8,0),0)</f>
        <v>0</v>
      </c>
      <c r="I1043">
        <f>IFERROR(VLOOKUP(A1043,预留库存!A:F,6,0),0)</f>
        <v>17.98</v>
      </c>
      <c r="J1043">
        <f>IFERROR(VLOOKUP(A1043,库龄!B:K,9,0),0)</f>
        <v>0</v>
      </c>
      <c r="K1043">
        <f>IFERROR(VLOOKUP(A1043,库龄!B:L,10,0),0)</f>
        <v>0</v>
      </c>
      <c r="L1043">
        <f>IFERROR(VLOOKUP(A1043,库龄!B:M,11,0),0)</f>
        <v>0</v>
      </c>
      <c r="M1043">
        <f>IFERROR(VLOOKUP(A1043,库龄!B:N,12,0),0)</f>
        <v>0</v>
      </c>
      <c r="N1043">
        <f t="shared" si="34"/>
        <v>0</v>
      </c>
    </row>
    <row r="1044" spans="1:14">
      <c r="A1044" s="3" t="s">
        <v>2721</v>
      </c>
      <c r="B1044">
        <f>IFERROR(VLOOKUP(A1044,管理亚马逊库存!A:K,11,0),"")</f>
        <v>0</v>
      </c>
      <c r="C1044">
        <f>IFERROR(VLOOKUP(A1044,管理亚马逊库存!A:L,12,0),"")</f>
        <v>0</v>
      </c>
      <c r="D1044">
        <f>IFERROR(VLOOKUP(A1044,管理亚马逊库存!A:Q,17,0),"")</f>
        <v>0</v>
      </c>
      <c r="E1044">
        <f>IFERROR(VLOOKUP(A1044,管理亚马逊库存!A:R,18,0),"")</f>
        <v>0</v>
      </c>
      <c r="F1044">
        <f t="shared" si="33"/>
        <v>0</v>
      </c>
      <c r="G1044" t="str">
        <f>IFERROR(VLOOKUP(A1044,预留库存!A:G,7,0),0)</f>
        <v>No</v>
      </c>
      <c r="H1044">
        <f>IFERROR(VLOOKUP(A1044,预留库存!A:H,8,0),0)</f>
        <v>0</v>
      </c>
      <c r="I1044">
        <f>IFERROR(VLOOKUP(A1044,预留库存!A:F,6,0),0)</f>
        <v>24.98</v>
      </c>
      <c r="J1044">
        <f>IFERROR(VLOOKUP(A1044,库龄!B:K,9,0),0)</f>
        <v>0</v>
      </c>
      <c r="K1044">
        <f>IFERROR(VLOOKUP(A1044,库龄!B:L,10,0),0)</f>
        <v>0</v>
      </c>
      <c r="L1044">
        <f>IFERROR(VLOOKUP(A1044,库龄!B:M,11,0),0)</f>
        <v>0</v>
      </c>
      <c r="M1044">
        <f>IFERROR(VLOOKUP(A1044,库龄!B:N,12,0),0)</f>
        <v>0</v>
      </c>
      <c r="N1044">
        <f t="shared" si="34"/>
        <v>0</v>
      </c>
    </row>
    <row r="1045" spans="1:14">
      <c r="A1045" s="3" t="s">
        <v>2722</v>
      </c>
      <c r="B1045">
        <f>IFERROR(VLOOKUP(A1045,管理亚马逊库存!A:K,11,0),"")</f>
        <v>6</v>
      </c>
      <c r="C1045">
        <f>IFERROR(VLOOKUP(A1045,管理亚马逊库存!A:L,12,0),"")</f>
        <v>0</v>
      </c>
      <c r="D1045">
        <f>IFERROR(VLOOKUP(A1045,管理亚马逊库存!A:Q,17,0),"")</f>
        <v>0</v>
      </c>
      <c r="E1045">
        <f>IFERROR(VLOOKUP(A1045,管理亚马逊库存!A:R,18,0),"")</f>
        <v>0</v>
      </c>
      <c r="F1045">
        <f t="shared" si="33"/>
        <v>0</v>
      </c>
      <c r="G1045">
        <f>IFERROR(VLOOKUP(A1045,预留库存!A:G,7,0),0)</f>
        <v>0</v>
      </c>
      <c r="H1045">
        <f>IFERROR(VLOOKUP(A1045,预留库存!A:H,8,0),0)</f>
        <v>0</v>
      </c>
      <c r="I1045">
        <f>IFERROR(VLOOKUP(A1045,预留库存!A:F,6,0),0)</f>
        <v>0</v>
      </c>
      <c r="J1045">
        <f>IFERROR(VLOOKUP(A1045,库龄!B:K,9,0),0)</f>
        <v>0</v>
      </c>
      <c r="K1045">
        <f>IFERROR(VLOOKUP(A1045,库龄!B:L,10,0),0)</f>
        <v>0</v>
      </c>
      <c r="L1045">
        <f>IFERROR(VLOOKUP(A1045,库龄!B:M,11,0),0)</f>
        <v>0</v>
      </c>
      <c r="M1045">
        <f>IFERROR(VLOOKUP(A1045,库龄!B:N,12,0),0)</f>
        <v>0</v>
      </c>
      <c r="N1045">
        <f t="shared" si="34"/>
        <v>0</v>
      </c>
    </row>
    <row r="1046" spans="1:14">
      <c r="A1046" s="3" t="s">
        <v>2723</v>
      </c>
      <c r="B1046">
        <f>IFERROR(VLOOKUP(A1046,管理亚马逊库存!A:K,11,0),"")</f>
        <v>1</v>
      </c>
      <c r="C1046">
        <f>IFERROR(VLOOKUP(A1046,管理亚马逊库存!A:L,12,0),"")</f>
        <v>0</v>
      </c>
      <c r="D1046">
        <f>IFERROR(VLOOKUP(A1046,管理亚马逊库存!A:Q,17,0),"")</f>
        <v>0</v>
      </c>
      <c r="E1046">
        <f>IFERROR(VLOOKUP(A1046,管理亚马逊库存!A:R,18,0),"")</f>
        <v>0</v>
      </c>
      <c r="F1046">
        <f t="shared" si="33"/>
        <v>0</v>
      </c>
      <c r="G1046" t="str">
        <f>IFERROR(VLOOKUP(A1046,预留库存!A:G,7,0),0)</f>
        <v>No</v>
      </c>
      <c r="H1046">
        <f>IFERROR(VLOOKUP(A1046,预留库存!A:H,8,0),0)</f>
        <v>0</v>
      </c>
      <c r="I1046">
        <f>IFERROR(VLOOKUP(A1046,预留库存!A:F,6,0),0)</f>
        <v>24.98</v>
      </c>
      <c r="J1046">
        <f>IFERROR(VLOOKUP(A1046,库龄!B:K,9,0),0)</f>
        <v>0</v>
      </c>
      <c r="K1046">
        <f>IFERROR(VLOOKUP(A1046,库龄!B:L,10,0),0)</f>
        <v>0</v>
      </c>
      <c r="L1046">
        <f>IFERROR(VLOOKUP(A1046,库龄!B:M,11,0),0)</f>
        <v>0</v>
      </c>
      <c r="M1046">
        <f>IFERROR(VLOOKUP(A1046,库龄!B:N,12,0),0)</f>
        <v>0</v>
      </c>
      <c r="N1046">
        <f t="shared" si="34"/>
        <v>0</v>
      </c>
    </row>
    <row r="1047" spans="1:14">
      <c r="A1047" s="3" t="s">
        <v>2724</v>
      </c>
      <c r="B1047">
        <f>IFERROR(VLOOKUP(A1047,管理亚马逊库存!A:K,11,0),"")</f>
        <v>2</v>
      </c>
      <c r="C1047">
        <f>IFERROR(VLOOKUP(A1047,管理亚马逊库存!A:L,12,0),"")</f>
        <v>0</v>
      </c>
      <c r="D1047">
        <f>IFERROR(VLOOKUP(A1047,管理亚马逊库存!A:Q,17,0),"")</f>
        <v>0</v>
      </c>
      <c r="E1047">
        <f>IFERROR(VLOOKUP(A1047,管理亚马逊库存!A:R,18,0),"")</f>
        <v>0</v>
      </c>
      <c r="F1047">
        <f t="shared" si="33"/>
        <v>0</v>
      </c>
      <c r="G1047" t="str">
        <f>IFERROR(VLOOKUP(A1047,预留库存!A:G,7,0),0)</f>
        <v>No</v>
      </c>
      <c r="H1047">
        <f>IFERROR(VLOOKUP(A1047,预留库存!A:H,8,0),0)</f>
        <v>0</v>
      </c>
      <c r="I1047">
        <f>IFERROR(VLOOKUP(A1047,预留库存!A:F,6,0),0)</f>
        <v>22.98</v>
      </c>
      <c r="J1047">
        <f>IFERROR(VLOOKUP(A1047,库龄!B:K,9,0),0)</f>
        <v>0</v>
      </c>
      <c r="K1047">
        <f>IFERROR(VLOOKUP(A1047,库龄!B:L,10,0),0)</f>
        <v>0</v>
      </c>
      <c r="L1047">
        <f>IFERROR(VLOOKUP(A1047,库龄!B:M,11,0),0)</f>
        <v>0</v>
      </c>
      <c r="M1047">
        <f>IFERROR(VLOOKUP(A1047,库龄!B:N,12,0),0)</f>
        <v>0</v>
      </c>
      <c r="N1047">
        <f t="shared" si="34"/>
        <v>0</v>
      </c>
    </row>
    <row r="1048" spans="1:14">
      <c r="A1048" s="3" t="s">
        <v>2725</v>
      </c>
      <c r="B1048">
        <f>IFERROR(VLOOKUP(A1048,管理亚马逊库存!A:K,11,0),"")</f>
        <v>13</v>
      </c>
      <c r="C1048">
        <f>IFERROR(VLOOKUP(A1048,管理亚马逊库存!A:L,12,0),"")</f>
        <v>0</v>
      </c>
      <c r="D1048">
        <f>IFERROR(VLOOKUP(A1048,管理亚马逊库存!A:Q,17,0),"")</f>
        <v>0</v>
      </c>
      <c r="E1048">
        <f>IFERROR(VLOOKUP(A1048,管理亚马逊库存!A:R,18,0),"")</f>
        <v>0</v>
      </c>
      <c r="F1048">
        <f t="shared" si="33"/>
        <v>0</v>
      </c>
      <c r="G1048" t="str">
        <f>IFERROR(VLOOKUP(A1048,预留库存!A:G,7,0),0)</f>
        <v>No</v>
      </c>
      <c r="H1048">
        <f>IFERROR(VLOOKUP(A1048,预留库存!A:H,8,0),0)</f>
        <v>0</v>
      </c>
      <c r="I1048">
        <f>IFERROR(VLOOKUP(A1048,预留库存!A:F,6,0),0)</f>
        <v>18.98</v>
      </c>
      <c r="J1048">
        <f>IFERROR(VLOOKUP(A1048,库龄!B:K,9,0),0)</f>
        <v>0</v>
      </c>
      <c r="K1048">
        <f>IFERROR(VLOOKUP(A1048,库龄!B:L,10,0),0)</f>
        <v>0</v>
      </c>
      <c r="L1048">
        <f>IFERROR(VLOOKUP(A1048,库龄!B:M,11,0),0)</f>
        <v>0</v>
      </c>
      <c r="M1048">
        <f>IFERROR(VLOOKUP(A1048,库龄!B:N,12,0),0)</f>
        <v>0</v>
      </c>
      <c r="N1048">
        <f t="shared" si="34"/>
        <v>0</v>
      </c>
    </row>
    <row r="1049" spans="1:14">
      <c r="A1049" s="3" t="s">
        <v>2726</v>
      </c>
      <c r="B1049">
        <f>IFERROR(VLOOKUP(A1049,管理亚马逊库存!A:K,11,0),"")</f>
        <v>0</v>
      </c>
      <c r="C1049">
        <f>IFERROR(VLOOKUP(A1049,管理亚马逊库存!A:L,12,0),"")</f>
        <v>0</v>
      </c>
      <c r="D1049">
        <f>IFERROR(VLOOKUP(A1049,管理亚马逊库存!A:Q,17,0),"")</f>
        <v>0</v>
      </c>
      <c r="E1049">
        <f>IFERROR(VLOOKUP(A1049,管理亚马逊库存!A:R,18,0),"")</f>
        <v>0</v>
      </c>
      <c r="F1049">
        <f t="shared" si="33"/>
        <v>0</v>
      </c>
      <c r="G1049" t="str">
        <f>IFERROR(VLOOKUP(A1049,预留库存!A:G,7,0),0)</f>
        <v>No</v>
      </c>
      <c r="H1049">
        <f>IFERROR(VLOOKUP(A1049,预留库存!A:H,8,0),0)</f>
        <v>0</v>
      </c>
      <c r="I1049">
        <f>IFERROR(VLOOKUP(A1049,预留库存!A:F,6,0),0)</f>
        <v>24.98</v>
      </c>
      <c r="J1049">
        <f>IFERROR(VLOOKUP(A1049,库龄!B:K,9,0),0)</f>
        <v>0</v>
      </c>
      <c r="K1049">
        <f>IFERROR(VLOOKUP(A1049,库龄!B:L,10,0),0)</f>
        <v>0</v>
      </c>
      <c r="L1049">
        <f>IFERROR(VLOOKUP(A1049,库龄!B:M,11,0),0)</f>
        <v>0</v>
      </c>
      <c r="M1049">
        <f>IFERROR(VLOOKUP(A1049,库龄!B:N,12,0),0)</f>
        <v>0</v>
      </c>
      <c r="N1049">
        <f t="shared" si="34"/>
        <v>0</v>
      </c>
    </row>
    <row r="1050" spans="1:14">
      <c r="A1050" s="3" t="s">
        <v>2727</v>
      </c>
      <c r="B1050">
        <f>IFERROR(VLOOKUP(A1050,管理亚马逊库存!A:K,11,0),"")</f>
        <v>0</v>
      </c>
      <c r="C1050">
        <f>IFERROR(VLOOKUP(A1050,管理亚马逊库存!A:L,12,0),"")</f>
        <v>0</v>
      </c>
      <c r="D1050">
        <f>IFERROR(VLOOKUP(A1050,管理亚马逊库存!A:Q,17,0),"")</f>
        <v>0</v>
      </c>
      <c r="E1050">
        <f>IFERROR(VLOOKUP(A1050,管理亚马逊库存!A:R,18,0),"")</f>
        <v>0</v>
      </c>
      <c r="F1050">
        <f t="shared" si="33"/>
        <v>0</v>
      </c>
      <c r="G1050" t="str">
        <f>IFERROR(VLOOKUP(A1050,预留库存!A:G,7,0),0)</f>
        <v>No</v>
      </c>
      <c r="H1050">
        <f>IFERROR(VLOOKUP(A1050,预留库存!A:H,8,0),0)</f>
        <v>0</v>
      </c>
      <c r="I1050">
        <f>IFERROR(VLOOKUP(A1050,预留库存!A:F,6,0),0)</f>
        <v>23.98</v>
      </c>
      <c r="J1050">
        <f>IFERROR(VLOOKUP(A1050,库龄!B:K,9,0),0)</f>
        <v>0</v>
      </c>
      <c r="K1050">
        <f>IFERROR(VLOOKUP(A1050,库龄!B:L,10,0),0)</f>
        <v>0</v>
      </c>
      <c r="L1050">
        <f>IFERROR(VLOOKUP(A1050,库龄!B:M,11,0),0)</f>
        <v>0</v>
      </c>
      <c r="M1050">
        <f>IFERROR(VLOOKUP(A1050,库龄!B:N,12,0),0)</f>
        <v>0</v>
      </c>
      <c r="N1050">
        <f t="shared" si="34"/>
        <v>0</v>
      </c>
    </row>
    <row r="1051" spans="1:14">
      <c r="A1051" s="3" t="s">
        <v>2728</v>
      </c>
      <c r="B1051">
        <f>IFERROR(VLOOKUP(A1051,管理亚马逊库存!A:K,11,0),"")</f>
        <v>0</v>
      </c>
      <c r="C1051">
        <f>IFERROR(VLOOKUP(A1051,管理亚马逊库存!A:L,12,0),"")</f>
        <v>0</v>
      </c>
      <c r="D1051">
        <f>IFERROR(VLOOKUP(A1051,管理亚马逊库存!A:Q,17,0),"")</f>
        <v>0</v>
      </c>
      <c r="E1051">
        <f>IFERROR(VLOOKUP(A1051,管理亚马逊库存!A:R,18,0),"")</f>
        <v>0</v>
      </c>
      <c r="F1051">
        <f t="shared" si="33"/>
        <v>0</v>
      </c>
      <c r="G1051" t="str">
        <f>IFERROR(VLOOKUP(A1051,预留库存!A:G,7,0),0)</f>
        <v>No</v>
      </c>
      <c r="H1051">
        <f>IFERROR(VLOOKUP(A1051,预留库存!A:H,8,0),0)</f>
        <v>0</v>
      </c>
      <c r="I1051">
        <f>IFERROR(VLOOKUP(A1051,预留库存!A:F,6,0),0)</f>
        <v>24.98</v>
      </c>
      <c r="J1051">
        <f>IFERROR(VLOOKUP(A1051,库龄!B:K,9,0),0)</f>
        <v>0</v>
      </c>
      <c r="K1051">
        <f>IFERROR(VLOOKUP(A1051,库龄!B:L,10,0),0)</f>
        <v>0</v>
      </c>
      <c r="L1051">
        <f>IFERROR(VLOOKUP(A1051,库龄!B:M,11,0),0)</f>
        <v>0</v>
      </c>
      <c r="M1051">
        <f>IFERROR(VLOOKUP(A1051,库龄!B:N,12,0),0)</f>
        <v>0</v>
      </c>
      <c r="N1051">
        <f t="shared" si="34"/>
        <v>0</v>
      </c>
    </row>
    <row r="1052" spans="1:14">
      <c r="A1052" s="3" t="s">
        <v>2729</v>
      </c>
      <c r="B1052">
        <f>IFERROR(VLOOKUP(A1052,管理亚马逊库存!A:K,11,0),"")</f>
        <v>13</v>
      </c>
      <c r="C1052">
        <f>IFERROR(VLOOKUP(A1052,管理亚马逊库存!A:L,12,0),"")</f>
        <v>0</v>
      </c>
      <c r="D1052">
        <f>IFERROR(VLOOKUP(A1052,管理亚马逊库存!A:Q,17,0),"")</f>
        <v>0</v>
      </c>
      <c r="E1052">
        <f>IFERROR(VLOOKUP(A1052,管理亚马逊库存!A:R,18,0),"")</f>
        <v>0</v>
      </c>
      <c r="F1052">
        <f t="shared" si="33"/>
        <v>0</v>
      </c>
      <c r="G1052" t="str">
        <f>IFERROR(VLOOKUP(A1052,预留库存!A:G,7,0),0)</f>
        <v>No</v>
      </c>
      <c r="H1052">
        <f>IFERROR(VLOOKUP(A1052,预留库存!A:H,8,0),0)</f>
        <v>0</v>
      </c>
      <c r="I1052">
        <f>IFERROR(VLOOKUP(A1052,预留库存!A:F,6,0),0)</f>
        <v>22.98</v>
      </c>
      <c r="J1052">
        <f>IFERROR(VLOOKUP(A1052,库龄!B:K,9,0),0)</f>
        <v>0</v>
      </c>
      <c r="K1052">
        <f>IFERROR(VLOOKUP(A1052,库龄!B:L,10,0),0)</f>
        <v>0</v>
      </c>
      <c r="L1052">
        <f>IFERROR(VLOOKUP(A1052,库龄!B:M,11,0),0)</f>
        <v>0</v>
      </c>
      <c r="M1052">
        <f>IFERROR(VLOOKUP(A1052,库龄!B:N,12,0),0)</f>
        <v>0</v>
      </c>
      <c r="N1052">
        <f t="shared" si="34"/>
        <v>0</v>
      </c>
    </row>
    <row r="1053" spans="1:14">
      <c r="A1053" s="3" t="s">
        <v>2730</v>
      </c>
      <c r="B1053">
        <f>IFERROR(VLOOKUP(A1053,管理亚马逊库存!A:K,11,0),"")</f>
        <v>14</v>
      </c>
      <c r="C1053">
        <f>IFERROR(VLOOKUP(A1053,管理亚马逊库存!A:L,12,0),"")</f>
        <v>0</v>
      </c>
      <c r="D1053">
        <f>IFERROR(VLOOKUP(A1053,管理亚马逊库存!A:Q,17,0),"")</f>
        <v>0</v>
      </c>
      <c r="E1053">
        <f>IFERROR(VLOOKUP(A1053,管理亚马逊库存!A:R,18,0),"")</f>
        <v>0</v>
      </c>
      <c r="F1053">
        <f t="shared" si="33"/>
        <v>0</v>
      </c>
      <c r="G1053" t="str">
        <f>IFERROR(VLOOKUP(A1053,预留库存!A:G,7,0),0)</f>
        <v>No</v>
      </c>
      <c r="H1053">
        <f>IFERROR(VLOOKUP(A1053,预留库存!A:H,8,0),0)</f>
        <v>0</v>
      </c>
      <c r="I1053">
        <f>IFERROR(VLOOKUP(A1053,预留库存!A:F,6,0),0)</f>
        <v>21.98</v>
      </c>
      <c r="J1053">
        <f>IFERROR(VLOOKUP(A1053,库龄!B:K,9,0),0)</f>
        <v>0</v>
      </c>
      <c r="K1053">
        <f>IFERROR(VLOOKUP(A1053,库龄!B:L,10,0),0)</f>
        <v>0</v>
      </c>
      <c r="L1053">
        <f>IFERROR(VLOOKUP(A1053,库龄!B:M,11,0),0)</f>
        <v>0</v>
      </c>
      <c r="M1053">
        <f>IFERROR(VLOOKUP(A1053,库龄!B:N,12,0),0)</f>
        <v>0</v>
      </c>
      <c r="N1053">
        <f t="shared" si="34"/>
        <v>0</v>
      </c>
    </row>
    <row r="1054" spans="1:14">
      <c r="A1054" s="3" t="s">
        <v>2731</v>
      </c>
      <c r="B1054">
        <f>IFERROR(VLOOKUP(A1054,管理亚马逊库存!A:K,11,0),"")</f>
        <v>9</v>
      </c>
      <c r="C1054">
        <f>IFERROR(VLOOKUP(A1054,管理亚马逊库存!A:L,12,0),"")</f>
        <v>0</v>
      </c>
      <c r="D1054">
        <f>IFERROR(VLOOKUP(A1054,管理亚马逊库存!A:Q,17,0),"")</f>
        <v>0</v>
      </c>
      <c r="E1054">
        <f>IFERROR(VLOOKUP(A1054,管理亚马逊库存!A:R,18,0),"")</f>
        <v>0</v>
      </c>
      <c r="F1054">
        <f t="shared" si="33"/>
        <v>0</v>
      </c>
      <c r="G1054" t="str">
        <f>IFERROR(VLOOKUP(A1054,预留库存!A:G,7,0),0)</f>
        <v>No</v>
      </c>
      <c r="H1054">
        <f>IFERROR(VLOOKUP(A1054,预留库存!A:H,8,0),0)</f>
        <v>0</v>
      </c>
      <c r="I1054">
        <f>IFERROR(VLOOKUP(A1054,预留库存!A:F,6,0),0)</f>
        <v>24.98</v>
      </c>
      <c r="J1054">
        <f>IFERROR(VLOOKUP(A1054,库龄!B:K,9,0),0)</f>
        <v>0</v>
      </c>
      <c r="K1054">
        <f>IFERROR(VLOOKUP(A1054,库龄!B:L,10,0),0)</f>
        <v>0</v>
      </c>
      <c r="L1054">
        <f>IFERROR(VLOOKUP(A1054,库龄!B:M,11,0),0)</f>
        <v>0</v>
      </c>
      <c r="M1054">
        <f>IFERROR(VLOOKUP(A1054,库龄!B:N,12,0),0)</f>
        <v>0</v>
      </c>
      <c r="N1054">
        <f t="shared" si="34"/>
        <v>0</v>
      </c>
    </row>
    <row r="1055" spans="1:14">
      <c r="A1055" s="3" t="s">
        <v>2732</v>
      </c>
      <c r="B1055">
        <f>IFERROR(VLOOKUP(A1055,管理亚马逊库存!A:K,11,0),"")</f>
        <v>14</v>
      </c>
      <c r="C1055">
        <f>IFERROR(VLOOKUP(A1055,管理亚马逊库存!A:L,12,0),"")</f>
        <v>0</v>
      </c>
      <c r="D1055">
        <f>IFERROR(VLOOKUP(A1055,管理亚马逊库存!A:Q,17,0),"")</f>
        <v>0</v>
      </c>
      <c r="E1055">
        <f>IFERROR(VLOOKUP(A1055,管理亚马逊库存!A:R,18,0),"")</f>
        <v>0</v>
      </c>
      <c r="F1055">
        <f t="shared" si="33"/>
        <v>0</v>
      </c>
      <c r="G1055" t="str">
        <f>IFERROR(VLOOKUP(A1055,预留库存!A:G,7,0),0)</f>
        <v>No</v>
      </c>
      <c r="H1055">
        <f>IFERROR(VLOOKUP(A1055,预留库存!A:H,8,0),0)</f>
        <v>0</v>
      </c>
      <c r="I1055">
        <f>IFERROR(VLOOKUP(A1055,预留库存!A:F,6,0),0)</f>
        <v>22.98</v>
      </c>
      <c r="J1055">
        <f>IFERROR(VLOOKUP(A1055,库龄!B:K,9,0),0)</f>
        <v>0</v>
      </c>
      <c r="K1055">
        <f>IFERROR(VLOOKUP(A1055,库龄!B:L,10,0),0)</f>
        <v>0</v>
      </c>
      <c r="L1055">
        <f>IFERROR(VLOOKUP(A1055,库龄!B:M,11,0),0)</f>
        <v>0</v>
      </c>
      <c r="M1055">
        <f>IFERROR(VLOOKUP(A1055,库龄!B:N,12,0),0)</f>
        <v>0</v>
      </c>
      <c r="N1055">
        <f t="shared" si="34"/>
        <v>0</v>
      </c>
    </row>
    <row r="1056" spans="1:14">
      <c r="A1056" s="3" t="s">
        <v>2734</v>
      </c>
      <c r="B1056">
        <f>IFERROR(VLOOKUP(A1056,管理亚马逊库存!A:K,11,0),"")</f>
        <v>0</v>
      </c>
      <c r="C1056">
        <f>IFERROR(VLOOKUP(A1056,管理亚马逊库存!A:L,12,0),"")</f>
        <v>0</v>
      </c>
      <c r="D1056">
        <f>IFERROR(VLOOKUP(A1056,管理亚马逊库存!A:Q,17,0),"")</f>
        <v>40</v>
      </c>
      <c r="E1056">
        <f>IFERROR(VLOOKUP(A1056,管理亚马逊库存!A:R,18,0),"")</f>
        <v>0</v>
      </c>
      <c r="F1056">
        <f t="shared" si="33"/>
        <v>40</v>
      </c>
      <c r="G1056" t="str">
        <f>IFERROR(VLOOKUP(A1056,预留库存!A:G,7,0),0)</f>
        <v>No</v>
      </c>
      <c r="H1056">
        <f>IFERROR(VLOOKUP(A1056,预留库存!A:H,8,0),0)</f>
        <v>0</v>
      </c>
      <c r="I1056">
        <f>IFERROR(VLOOKUP(A1056,预留库存!A:F,6,0),0)</f>
        <v>24.98</v>
      </c>
      <c r="J1056">
        <f>IFERROR(VLOOKUP(A1056,库龄!B:K,9,0),0)</f>
        <v>0</v>
      </c>
      <c r="K1056">
        <f>IFERROR(VLOOKUP(A1056,库龄!B:L,10,0),0)</f>
        <v>0</v>
      </c>
      <c r="L1056">
        <f>IFERROR(VLOOKUP(A1056,库龄!B:M,11,0),0)</f>
        <v>0</v>
      </c>
      <c r="M1056">
        <f>IFERROR(VLOOKUP(A1056,库龄!B:N,12,0),0)</f>
        <v>0</v>
      </c>
      <c r="N1056">
        <f t="shared" si="34"/>
        <v>0</v>
      </c>
    </row>
    <row r="1057" spans="1:14">
      <c r="A1057" s="3" t="s">
        <v>2737</v>
      </c>
      <c r="B1057">
        <f>IFERROR(VLOOKUP(A1057,管理亚马逊库存!A:K,11,0),"")</f>
        <v>0</v>
      </c>
      <c r="C1057">
        <f>IFERROR(VLOOKUP(A1057,管理亚马逊库存!A:L,12,0),"")</f>
        <v>0</v>
      </c>
      <c r="D1057">
        <f>IFERROR(VLOOKUP(A1057,管理亚马逊库存!A:Q,17,0),"")</f>
        <v>15</v>
      </c>
      <c r="E1057">
        <f>IFERROR(VLOOKUP(A1057,管理亚马逊库存!A:R,18,0),"")</f>
        <v>0</v>
      </c>
      <c r="F1057">
        <f t="shared" si="33"/>
        <v>15</v>
      </c>
      <c r="G1057" t="str">
        <f>IFERROR(VLOOKUP(A1057,预留库存!A:G,7,0),0)</f>
        <v>No</v>
      </c>
      <c r="H1057">
        <f>IFERROR(VLOOKUP(A1057,预留库存!A:H,8,0),0)</f>
        <v>0</v>
      </c>
      <c r="I1057">
        <f>IFERROR(VLOOKUP(A1057,预留库存!A:F,6,0),0)</f>
        <v>22.98</v>
      </c>
      <c r="J1057">
        <f>IFERROR(VLOOKUP(A1057,库龄!B:K,9,0),0)</f>
        <v>0</v>
      </c>
      <c r="K1057">
        <f>IFERROR(VLOOKUP(A1057,库龄!B:L,10,0),0)</f>
        <v>0</v>
      </c>
      <c r="L1057">
        <f>IFERROR(VLOOKUP(A1057,库龄!B:M,11,0),0)</f>
        <v>0</v>
      </c>
      <c r="M1057">
        <f>IFERROR(VLOOKUP(A1057,库龄!B:N,12,0),0)</f>
        <v>0</v>
      </c>
      <c r="N1057">
        <f t="shared" si="34"/>
        <v>0</v>
      </c>
    </row>
    <row r="1058" spans="1:14">
      <c r="A1058" s="3" t="s">
        <v>2740</v>
      </c>
      <c r="B1058">
        <f>IFERROR(VLOOKUP(A1058,管理亚马逊库存!A:K,11,0),"")</f>
        <v>5</v>
      </c>
      <c r="C1058">
        <f>IFERROR(VLOOKUP(A1058,管理亚马逊库存!A:L,12,0),"")</f>
        <v>0</v>
      </c>
      <c r="D1058">
        <f>IFERROR(VLOOKUP(A1058,管理亚马逊库存!A:Q,17,0),"")</f>
        <v>0</v>
      </c>
      <c r="E1058">
        <f>IFERROR(VLOOKUP(A1058,管理亚马逊库存!A:R,18,0),"")</f>
        <v>0</v>
      </c>
      <c r="F1058">
        <f t="shared" si="33"/>
        <v>0</v>
      </c>
      <c r="G1058" t="str">
        <f>IFERROR(VLOOKUP(A1058,预留库存!A:G,7,0),0)</f>
        <v>No</v>
      </c>
      <c r="H1058">
        <f>IFERROR(VLOOKUP(A1058,预留库存!A:H,8,0),0)</f>
        <v>0</v>
      </c>
      <c r="I1058">
        <f>IFERROR(VLOOKUP(A1058,预留库存!A:F,6,0),0)</f>
        <v>22.98</v>
      </c>
      <c r="J1058">
        <f>IFERROR(VLOOKUP(A1058,库龄!B:K,9,0),0)</f>
        <v>0</v>
      </c>
      <c r="K1058">
        <f>IFERROR(VLOOKUP(A1058,库龄!B:L,10,0),0)</f>
        <v>0</v>
      </c>
      <c r="L1058">
        <f>IFERROR(VLOOKUP(A1058,库龄!B:M,11,0),0)</f>
        <v>0</v>
      </c>
      <c r="M1058">
        <f>IFERROR(VLOOKUP(A1058,库龄!B:N,12,0),0)</f>
        <v>0</v>
      </c>
      <c r="N1058">
        <f t="shared" si="34"/>
        <v>0</v>
      </c>
    </row>
    <row r="1059" spans="1:14">
      <c r="A1059" s="3" t="s">
        <v>2743</v>
      </c>
      <c r="B1059">
        <f>IFERROR(VLOOKUP(A1059,管理亚马逊库存!A:K,11,0),"")</f>
        <v>1</v>
      </c>
      <c r="C1059">
        <f>IFERROR(VLOOKUP(A1059,管理亚马逊库存!A:L,12,0),"")</f>
        <v>0</v>
      </c>
      <c r="D1059">
        <f>IFERROR(VLOOKUP(A1059,管理亚马逊库存!A:Q,17,0),"")</f>
        <v>40</v>
      </c>
      <c r="E1059">
        <f>IFERROR(VLOOKUP(A1059,管理亚马逊库存!A:R,18,0),"")</f>
        <v>0</v>
      </c>
      <c r="F1059">
        <f t="shared" si="33"/>
        <v>40</v>
      </c>
      <c r="G1059" t="str">
        <f>IFERROR(VLOOKUP(A1059,预留库存!A:G,7,0),0)</f>
        <v>No</v>
      </c>
      <c r="H1059">
        <f>IFERROR(VLOOKUP(A1059,预留库存!A:H,8,0),0)</f>
        <v>0</v>
      </c>
      <c r="I1059">
        <f>IFERROR(VLOOKUP(A1059,预留库存!A:F,6,0),0)</f>
        <v>24.98</v>
      </c>
      <c r="J1059">
        <f>IFERROR(VLOOKUP(A1059,库龄!B:K,9,0),0)</f>
        <v>0</v>
      </c>
      <c r="K1059">
        <f>IFERROR(VLOOKUP(A1059,库龄!B:L,10,0),0)</f>
        <v>0</v>
      </c>
      <c r="L1059">
        <f>IFERROR(VLOOKUP(A1059,库龄!B:M,11,0),0)</f>
        <v>0</v>
      </c>
      <c r="M1059">
        <f>IFERROR(VLOOKUP(A1059,库龄!B:N,12,0),0)</f>
        <v>0</v>
      </c>
      <c r="N1059">
        <f t="shared" si="34"/>
        <v>0</v>
      </c>
    </row>
    <row r="1060" spans="1:14">
      <c r="A1060" s="3" t="s">
        <v>2746</v>
      </c>
      <c r="B1060">
        <f>IFERROR(VLOOKUP(A1060,管理亚马逊库存!A:K,11,0),"")</f>
        <v>0</v>
      </c>
      <c r="C1060">
        <f>IFERROR(VLOOKUP(A1060,管理亚马逊库存!A:L,12,0),"")</f>
        <v>0</v>
      </c>
      <c r="D1060">
        <f>IFERROR(VLOOKUP(A1060,管理亚马逊库存!A:Q,17,0),"")</f>
        <v>40</v>
      </c>
      <c r="E1060">
        <f>IFERROR(VLOOKUP(A1060,管理亚马逊库存!A:R,18,0),"")</f>
        <v>0</v>
      </c>
      <c r="F1060">
        <f t="shared" si="33"/>
        <v>40</v>
      </c>
      <c r="G1060" t="str">
        <f>IFERROR(VLOOKUP(A1060,预留库存!A:G,7,0),0)</f>
        <v>No</v>
      </c>
      <c r="H1060">
        <f>IFERROR(VLOOKUP(A1060,预留库存!A:H,8,0),0)</f>
        <v>0</v>
      </c>
      <c r="I1060">
        <f>IFERROR(VLOOKUP(A1060,预留库存!A:F,6,0),0)</f>
        <v>24.98</v>
      </c>
      <c r="J1060">
        <f>IFERROR(VLOOKUP(A1060,库龄!B:K,9,0),0)</f>
        <v>0</v>
      </c>
      <c r="K1060">
        <f>IFERROR(VLOOKUP(A1060,库龄!B:L,10,0),0)</f>
        <v>0</v>
      </c>
      <c r="L1060">
        <f>IFERROR(VLOOKUP(A1060,库龄!B:M,11,0),0)</f>
        <v>0</v>
      </c>
      <c r="M1060">
        <f>IFERROR(VLOOKUP(A1060,库龄!B:N,12,0),0)</f>
        <v>0</v>
      </c>
      <c r="N1060">
        <f t="shared" si="34"/>
        <v>0</v>
      </c>
    </row>
    <row r="1061" spans="1:14">
      <c r="A1061" s="3" t="s">
        <v>2749</v>
      </c>
      <c r="B1061">
        <f>IFERROR(VLOOKUP(A1061,管理亚马逊库存!A:K,11,0),"")</f>
        <v>14</v>
      </c>
      <c r="C1061">
        <f>IFERROR(VLOOKUP(A1061,管理亚马逊库存!A:L,12,0),"")</f>
        <v>0</v>
      </c>
      <c r="D1061">
        <f>IFERROR(VLOOKUP(A1061,管理亚马逊库存!A:Q,17,0),"")</f>
        <v>0</v>
      </c>
      <c r="E1061">
        <f>IFERROR(VLOOKUP(A1061,管理亚马逊库存!A:R,18,0),"")</f>
        <v>0</v>
      </c>
      <c r="F1061">
        <f t="shared" si="33"/>
        <v>0</v>
      </c>
      <c r="G1061" t="str">
        <f>IFERROR(VLOOKUP(A1061,预留库存!A:G,7,0),0)</f>
        <v>No</v>
      </c>
      <c r="H1061">
        <f>IFERROR(VLOOKUP(A1061,预留库存!A:H,8,0),0)</f>
        <v>0</v>
      </c>
      <c r="I1061">
        <f>IFERROR(VLOOKUP(A1061,预留库存!A:F,6,0),0)</f>
        <v>22.98</v>
      </c>
      <c r="J1061">
        <f>IFERROR(VLOOKUP(A1061,库龄!B:K,9,0),0)</f>
        <v>0</v>
      </c>
      <c r="K1061">
        <f>IFERROR(VLOOKUP(A1061,库龄!B:L,10,0),0)</f>
        <v>0</v>
      </c>
      <c r="L1061">
        <f>IFERROR(VLOOKUP(A1061,库龄!B:M,11,0),0)</f>
        <v>0</v>
      </c>
      <c r="M1061">
        <f>IFERROR(VLOOKUP(A1061,库龄!B:N,12,0),0)</f>
        <v>0</v>
      </c>
      <c r="N1061">
        <f t="shared" si="34"/>
        <v>0</v>
      </c>
    </row>
    <row r="1062" spans="1:14">
      <c r="A1062" s="3" t="s">
        <v>2752</v>
      </c>
      <c r="B1062">
        <f>IFERROR(VLOOKUP(A1062,管理亚马逊库存!A:K,11,0),"")</f>
        <v>14</v>
      </c>
      <c r="C1062">
        <f>IFERROR(VLOOKUP(A1062,管理亚马逊库存!A:L,12,0),"")</f>
        <v>0</v>
      </c>
      <c r="D1062">
        <f>IFERROR(VLOOKUP(A1062,管理亚马逊库存!A:Q,17,0),"")</f>
        <v>0</v>
      </c>
      <c r="E1062">
        <f>IFERROR(VLOOKUP(A1062,管理亚马逊库存!A:R,18,0),"")</f>
        <v>0</v>
      </c>
      <c r="F1062">
        <f t="shared" si="33"/>
        <v>0</v>
      </c>
      <c r="G1062" t="str">
        <f>IFERROR(VLOOKUP(A1062,预留库存!A:G,7,0),0)</f>
        <v>No</v>
      </c>
      <c r="H1062">
        <f>IFERROR(VLOOKUP(A1062,预留库存!A:H,8,0),0)</f>
        <v>0</v>
      </c>
      <c r="I1062">
        <f>IFERROR(VLOOKUP(A1062,预留库存!A:F,6,0),0)</f>
        <v>22.98</v>
      </c>
      <c r="J1062">
        <f>IFERROR(VLOOKUP(A1062,库龄!B:K,9,0),0)</f>
        <v>0</v>
      </c>
      <c r="K1062">
        <f>IFERROR(VLOOKUP(A1062,库龄!B:L,10,0),0)</f>
        <v>0</v>
      </c>
      <c r="L1062">
        <f>IFERROR(VLOOKUP(A1062,库龄!B:M,11,0),0)</f>
        <v>0</v>
      </c>
      <c r="M1062">
        <f>IFERROR(VLOOKUP(A1062,库龄!B:N,12,0),0)</f>
        <v>0</v>
      </c>
      <c r="N1062">
        <f t="shared" si="34"/>
        <v>0</v>
      </c>
    </row>
    <row r="1063" spans="1:14">
      <c r="A1063" s="3" t="s">
        <v>2755</v>
      </c>
      <c r="B1063">
        <f>IFERROR(VLOOKUP(A1063,管理亚马逊库存!A:K,11,0),"")</f>
        <v>7</v>
      </c>
      <c r="C1063">
        <f>IFERROR(VLOOKUP(A1063,管理亚马逊库存!A:L,12,0),"")</f>
        <v>0</v>
      </c>
      <c r="D1063">
        <f>IFERROR(VLOOKUP(A1063,管理亚马逊库存!A:Q,17,0),"")</f>
        <v>0</v>
      </c>
      <c r="E1063">
        <f>IFERROR(VLOOKUP(A1063,管理亚马逊库存!A:R,18,0),"")</f>
        <v>0</v>
      </c>
      <c r="F1063">
        <f t="shared" si="33"/>
        <v>0</v>
      </c>
      <c r="G1063" t="str">
        <f>IFERROR(VLOOKUP(A1063,预留库存!A:G,7,0),0)</f>
        <v>No</v>
      </c>
      <c r="H1063">
        <f>IFERROR(VLOOKUP(A1063,预留库存!A:H,8,0),0)</f>
        <v>0</v>
      </c>
      <c r="I1063">
        <f>IFERROR(VLOOKUP(A1063,预留库存!A:F,6,0),0)</f>
        <v>22.98</v>
      </c>
      <c r="J1063">
        <f>IFERROR(VLOOKUP(A1063,库龄!B:K,9,0),0)</f>
        <v>0</v>
      </c>
      <c r="K1063">
        <f>IFERROR(VLOOKUP(A1063,库龄!B:L,10,0),0)</f>
        <v>0</v>
      </c>
      <c r="L1063">
        <f>IFERROR(VLOOKUP(A1063,库龄!B:M,11,0),0)</f>
        <v>0</v>
      </c>
      <c r="M1063">
        <f>IFERROR(VLOOKUP(A1063,库龄!B:N,12,0),0)</f>
        <v>0</v>
      </c>
      <c r="N1063">
        <f t="shared" si="34"/>
        <v>0</v>
      </c>
    </row>
    <row r="1064" spans="1:14">
      <c r="A1064" s="3" t="s">
        <v>2758</v>
      </c>
      <c r="B1064">
        <f>IFERROR(VLOOKUP(A1064,管理亚马逊库存!A:K,11,0),"")</f>
        <v>24</v>
      </c>
      <c r="C1064">
        <f>IFERROR(VLOOKUP(A1064,管理亚马逊库存!A:L,12,0),"")</f>
        <v>0</v>
      </c>
      <c r="D1064">
        <f>IFERROR(VLOOKUP(A1064,管理亚马逊库存!A:Q,17,0),"")</f>
        <v>0</v>
      </c>
      <c r="E1064">
        <f>IFERROR(VLOOKUP(A1064,管理亚马逊库存!A:R,18,0),"")</f>
        <v>0</v>
      </c>
      <c r="F1064">
        <f t="shared" si="33"/>
        <v>0</v>
      </c>
      <c r="G1064" t="str">
        <f>IFERROR(VLOOKUP(A1064,预留库存!A:G,7,0),0)</f>
        <v>No</v>
      </c>
      <c r="H1064">
        <f>IFERROR(VLOOKUP(A1064,预留库存!A:H,8,0),0)</f>
        <v>0</v>
      </c>
      <c r="I1064">
        <f>IFERROR(VLOOKUP(A1064,预留库存!A:F,6,0),0)</f>
        <v>23.98</v>
      </c>
      <c r="J1064">
        <f>IFERROR(VLOOKUP(A1064,库龄!B:K,9,0),0)</f>
        <v>0</v>
      </c>
      <c r="K1064">
        <f>IFERROR(VLOOKUP(A1064,库龄!B:L,10,0),0)</f>
        <v>0</v>
      </c>
      <c r="L1064">
        <f>IFERROR(VLOOKUP(A1064,库龄!B:M,11,0),0)</f>
        <v>0</v>
      </c>
      <c r="M1064">
        <f>IFERROR(VLOOKUP(A1064,库龄!B:N,12,0),0)</f>
        <v>0</v>
      </c>
      <c r="N1064">
        <f t="shared" si="34"/>
        <v>0</v>
      </c>
    </row>
    <row r="1065" spans="1:14">
      <c r="A1065" s="3" t="s">
        <v>2761</v>
      </c>
      <c r="B1065">
        <f>IFERROR(VLOOKUP(A1065,管理亚马逊库存!A:K,11,0),"")</f>
        <v>18</v>
      </c>
      <c r="C1065">
        <f>IFERROR(VLOOKUP(A1065,管理亚马逊库存!A:L,12,0),"")</f>
        <v>0</v>
      </c>
      <c r="D1065">
        <f>IFERROR(VLOOKUP(A1065,管理亚马逊库存!A:Q,17,0),"")</f>
        <v>0</v>
      </c>
      <c r="E1065">
        <f>IFERROR(VLOOKUP(A1065,管理亚马逊库存!A:R,18,0),"")</f>
        <v>0</v>
      </c>
      <c r="F1065">
        <f t="shared" si="33"/>
        <v>0</v>
      </c>
      <c r="G1065" t="str">
        <f>IFERROR(VLOOKUP(A1065,预留库存!A:G,7,0),0)</f>
        <v>No</v>
      </c>
      <c r="H1065">
        <f>IFERROR(VLOOKUP(A1065,预留库存!A:H,8,0),0)</f>
        <v>0</v>
      </c>
      <c r="I1065">
        <f>IFERROR(VLOOKUP(A1065,预留库存!A:F,6,0),0)</f>
        <v>23.98</v>
      </c>
      <c r="J1065">
        <f>IFERROR(VLOOKUP(A1065,库龄!B:K,9,0),0)</f>
        <v>0</v>
      </c>
      <c r="K1065">
        <f>IFERROR(VLOOKUP(A1065,库龄!B:L,10,0),0)</f>
        <v>0</v>
      </c>
      <c r="L1065">
        <f>IFERROR(VLOOKUP(A1065,库龄!B:M,11,0),0)</f>
        <v>0</v>
      </c>
      <c r="M1065">
        <f>IFERROR(VLOOKUP(A1065,库龄!B:N,12,0),0)</f>
        <v>0</v>
      </c>
      <c r="N1065">
        <f t="shared" si="34"/>
        <v>0</v>
      </c>
    </row>
    <row r="1066" spans="1:14">
      <c r="A1066" s="3" t="s">
        <v>2764</v>
      </c>
      <c r="B1066">
        <f>IFERROR(VLOOKUP(A1066,管理亚马逊库存!A:K,11,0),"")</f>
        <v>0</v>
      </c>
      <c r="C1066">
        <f>IFERROR(VLOOKUP(A1066,管理亚马逊库存!A:L,12,0),"")</f>
        <v>0</v>
      </c>
      <c r="D1066">
        <f>IFERROR(VLOOKUP(A1066,管理亚马逊库存!A:Q,17,0),"")</f>
        <v>0</v>
      </c>
      <c r="E1066">
        <f>IFERROR(VLOOKUP(A1066,管理亚马逊库存!A:R,18,0),"")</f>
        <v>0</v>
      </c>
      <c r="F1066">
        <f t="shared" si="33"/>
        <v>0</v>
      </c>
      <c r="G1066" t="str">
        <f>IFERROR(VLOOKUP(A1066,预留库存!A:G,7,0),0)</f>
        <v>No</v>
      </c>
      <c r="H1066">
        <f>IFERROR(VLOOKUP(A1066,预留库存!A:H,8,0),0)</f>
        <v>0</v>
      </c>
      <c r="I1066">
        <f>IFERROR(VLOOKUP(A1066,预留库存!A:F,6,0),0)</f>
        <v>22.98</v>
      </c>
      <c r="J1066">
        <f>IFERROR(VLOOKUP(A1066,库龄!B:K,9,0),0)</f>
        <v>0</v>
      </c>
      <c r="K1066">
        <f>IFERROR(VLOOKUP(A1066,库龄!B:L,10,0),0)</f>
        <v>0</v>
      </c>
      <c r="L1066">
        <f>IFERROR(VLOOKUP(A1066,库龄!B:M,11,0),0)</f>
        <v>0</v>
      </c>
      <c r="M1066">
        <f>IFERROR(VLOOKUP(A1066,库龄!B:N,12,0),0)</f>
        <v>0</v>
      </c>
      <c r="N1066">
        <f t="shared" si="34"/>
        <v>0</v>
      </c>
    </row>
    <row r="1067" spans="1:14">
      <c r="A1067" s="3" t="s">
        <v>2765</v>
      </c>
      <c r="B1067">
        <f>IFERROR(VLOOKUP(A1067,管理亚马逊库存!A:K,11,0),"")</f>
        <v>2</v>
      </c>
      <c r="C1067">
        <f>IFERROR(VLOOKUP(A1067,管理亚马逊库存!A:L,12,0),"")</f>
        <v>0</v>
      </c>
      <c r="D1067">
        <f>IFERROR(VLOOKUP(A1067,管理亚马逊库存!A:Q,17,0),"")</f>
        <v>0</v>
      </c>
      <c r="E1067">
        <f>IFERROR(VLOOKUP(A1067,管理亚马逊库存!A:R,18,0),"")</f>
        <v>0</v>
      </c>
      <c r="F1067">
        <f t="shared" si="33"/>
        <v>0</v>
      </c>
      <c r="G1067" t="str">
        <f>IFERROR(VLOOKUP(A1067,预留库存!A:G,7,0),0)</f>
        <v>No</v>
      </c>
      <c r="H1067">
        <f>IFERROR(VLOOKUP(A1067,预留库存!A:H,8,0),0)</f>
        <v>0</v>
      </c>
      <c r="I1067">
        <f>IFERROR(VLOOKUP(A1067,预留库存!A:F,6,0),0)</f>
        <v>22.98</v>
      </c>
      <c r="J1067">
        <f>IFERROR(VLOOKUP(A1067,库龄!B:K,9,0),0)</f>
        <v>0</v>
      </c>
      <c r="K1067">
        <f>IFERROR(VLOOKUP(A1067,库龄!B:L,10,0),0)</f>
        <v>0</v>
      </c>
      <c r="L1067">
        <f>IFERROR(VLOOKUP(A1067,库龄!B:M,11,0),0)</f>
        <v>0</v>
      </c>
      <c r="M1067">
        <f>IFERROR(VLOOKUP(A1067,库龄!B:N,12,0),0)</f>
        <v>0</v>
      </c>
      <c r="N1067">
        <f t="shared" si="34"/>
        <v>0</v>
      </c>
    </row>
    <row r="1068" spans="1:14">
      <c r="A1068" s="3" t="s">
        <v>2766</v>
      </c>
      <c r="B1068">
        <f>IFERROR(VLOOKUP(A1068,管理亚马逊库存!A:K,11,0),"")</f>
        <v>16</v>
      </c>
      <c r="C1068">
        <f>IFERROR(VLOOKUP(A1068,管理亚马逊库存!A:L,12,0),"")</f>
        <v>0</v>
      </c>
      <c r="D1068">
        <f>IFERROR(VLOOKUP(A1068,管理亚马逊库存!A:Q,17,0),"")</f>
        <v>0</v>
      </c>
      <c r="E1068">
        <f>IFERROR(VLOOKUP(A1068,管理亚马逊库存!A:R,18,0),"")</f>
        <v>0</v>
      </c>
      <c r="F1068">
        <f t="shared" si="33"/>
        <v>0</v>
      </c>
      <c r="G1068" t="str">
        <f>IFERROR(VLOOKUP(A1068,预留库存!A:G,7,0),0)</f>
        <v>No</v>
      </c>
      <c r="H1068">
        <f>IFERROR(VLOOKUP(A1068,预留库存!A:H,8,0),0)</f>
        <v>0</v>
      </c>
      <c r="I1068">
        <f>IFERROR(VLOOKUP(A1068,预留库存!A:F,6,0),0)</f>
        <v>22.98</v>
      </c>
      <c r="J1068">
        <f>IFERROR(VLOOKUP(A1068,库龄!B:K,9,0),0)</f>
        <v>0</v>
      </c>
      <c r="K1068">
        <f>IFERROR(VLOOKUP(A1068,库龄!B:L,10,0),0)</f>
        <v>0</v>
      </c>
      <c r="L1068">
        <f>IFERROR(VLOOKUP(A1068,库龄!B:M,11,0),0)</f>
        <v>0</v>
      </c>
      <c r="M1068">
        <f>IFERROR(VLOOKUP(A1068,库龄!B:N,12,0),0)</f>
        <v>0</v>
      </c>
      <c r="N1068">
        <f t="shared" si="34"/>
        <v>0</v>
      </c>
    </row>
    <row r="1069" spans="1:14">
      <c r="A1069" s="3" t="s">
        <v>2767</v>
      </c>
      <c r="B1069">
        <f>IFERROR(VLOOKUP(A1069,管理亚马逊库存!A:K,11,0),"")</f>
        <v>0</v>
      </c>
      <c r="C1069">
        <f>IFERROR(VLOOKUP(A1069,管理亚马逊库存!A:L,12,0),"")</f>
        <v>0</v>
      </c>
      <c r="D1069">
        <f>IFERROR(VLOOKUP(A1069,管理亚马逊库存!A:Q,17,0),"")</f>
        <v>0</v>
      </c>
      <c r="E1069">
        <f>IFERROR(VLOOKUP(A1069,管理亚马逊库存!A:R,18,0),"")</f>
        <v>0</v>
      </c>
      <c r="F1069">
        <f t="shared" si="33"/>
        <v>0</v>
      </c>
      <c r="G1069" t="str">
        <f>IFERROR(VLOOKUP(A1069,预留库存!A:G,7,0),0)</f>
        <v>No</v>
      </c>
      <c r="H1069">
        <f>IFERROR(VLOOKUP(A1069,预留库存!A:H,8,0),0)</f>
        <v>0</v>
      </c>
      <c r="I1069">
        <f>IFERROR(VLOOKUP(A1069,预留库存!A:F,6,0),0)</f>
        <v>24.98</v>
      </c>
      <c r="J1069">
        <f>IFERROR(VLOOKUP(A1069,库龄!B:K,9,0),0)</f>
        <v>0</v>
      </c>
      <c r="K1069">
        <f>IFERROR(VLOOKUP(A1069,库龄!B:L,10,0),0)</f>
        <v>0</v>
      </c>
      <c r="L1069">
        <f>IFERROR(VLOOKUP(A1069,库龄!B:M,11,0),0)</f>
        <v>0</v>
      </c>
      <c r="M1069">
        <f>IFERROR(VLOOKUP(A1069,库龄!B:N,12,0),0)</f>
        <v>0</v>
      </c>
      <c r="N1069">
        <f t="shared" si="34"/>
        <v>0</v>
      </c>
    </row>
    <row r="1070" spans="1:14">
      <c r="A1070" s="3" t="s">
        <v>2768</v>
      </c>
      <c r="B1070">
        <f>IFERROR(VLOOKUP(A1070,管理亚马逊库存!A:K,11,0),"")</f>
        <v>11</v>
      </c>
      <c r="C1070">
        <f>IFERROR(VLOOKUP(A1070,管理亚马逊库存!A:L,12,0),"")</f>
        <v>0</v>
      </c>
      <c r="D1070">
        <f>IFERROR(VLOOKUP(A1070,管理亚马逊库存!A:Q,17,0),"")</f>
        <v>0</v>
      </c>
      <c r="E1070">
        <f>IFERROR(VLOOKUP(A1070,管理亚马逊库存!A:R,18,0),"")</f>
        <v>0</v>
      </c>
      <c r="F1070">
        <f t="shared" si="33"/>
        <v>0</v>
      </c>
      <c r="G1070" t="str">
        <f>IFERROR(VLOOKUP(A1070,预留库存!A:G,7,0),0)</f>
        <v>No</v>
      </c>
      <c r="H1070">
        <f>IFERROR(VLOOKUP(A1070,预留库存!A:H,8,0),0)</f>
        <v>0</v>
      </c>
      <c r="I1070">
        <f>IFERROR(VLOOKUP(A1070,预留库存!A:F,6,0),0)</f>
        <v>24.98</v>
      </c>
      <c r="J1070">
        <f>IFERROR(VLOOKUP(A1070,库龄!B:K,9,0),0)</f>
        <v>0</v>
      </c>
      <c r="K1070">
        <f>IFERROR(VLOOKUP(A1070,库龄!B:L,10,0),0)</f>
        <v>0</v>
      </c>
      <c r="L1070">
        <f>IFERROR(VLOOKUP(A1070,库龄!B:M,11,0),0)</f>
        <v>0</v>
      </c>
      <c r="M1070">
        <f>IFERROR(VLOOKUP(A1070,库龄!B:N,12,0),0)</f>
        <v>0</v>
      </c>
      <c r="N1070">
        <f t="shared" si="34"/>
        <v>0</v>
      </c>
    </row>
    <row r="1071" spans="1:14">
      <c r="A1071" s="3" t="s">
        <v>2769</v>
      </c>
      <c r="B1071">
        <f>IFERROR(VLOOKUP(A1071,管理亚马逊库存!A:K,11,0),"")</f>
        <v>0</v>
      </c>
      <c r="C1071">
        <f>IFERROR(VLOOKUP(A1071,管理亚马逊库存!A:L,12,0),"")</f>
        <v>0</v>
      </c>
      <c r="D1071">
        <f>IFERROR(VLOOKUP(A1071,管理亚马逊库存!A:Q,17,0),"")</f>
        <v>0</v>
      </c>
      <c r="E1071">
        <f>IFERROR(VLOOKUP(A1071,管理亚马逊库存!A:R,18,0),"")</f>
        <v>0</v>
      </c>
      <c r="F1071">
        <f t="shared" si="33"/>
        <v>0</v>
      </c>
      <c r="G1071" t="str">
        <f>IFERROR(VLOOKUP(A1071,预留库存!A:G,7,0),0)</f>
        <v>No</v>
      </c>
      <c r="H1071">
        <f>IFERROR(VLOOKUP(A1071,预留库存!A:H,8,0),0)</f>
        <v>0</v>
      </c>
      <c r="I1071">
        <f>IFERROR(VLOOKUP(A1071,预留库存!A:F,6,0),0)</f>
        <v>24.98</v>
      </c>
      <c r="J1071">
        <f>IFERROR(VLOOKUP(A1071,库龄!B:K,9,0),0)</f>
        <v>0</v>
      </c>
      <c r="K1071">
        <f>IFERROR(VLOOKUP(A1071,库龄!B:L,10,0),0)</f>
        <v>0</v>
      </c>
      <c r="L1071">
        <f>IFERROR(VLOOKUP(A1071,库龄!B:M,11,0),0)</f>
        <v>0</v>
      </c>
      <c r="M1071">
        <f>IFERROR(VLOOKUP(A1071,库龄!B:N,12,0),0)</f>
        <v>0</v>
      </c>
      <c r="N1071">
        <f t="shared" si="34"/>
        <v>0</v>
      </c>
    </row>
    <row r="1072" spans="1:14">
      <c r="A1072" s="3" t="s">
        <v>2770</v>
      </c>
      <c r="B1072">
        <f>IFERROR(VLOOKUP(A1072,管理亚马逊库存!A:K,11,0),"")</f>
        <v>2</v>
      </c>
      <c r="C1072">
        <f>IFERROR(VLOOKUP(A1072,管理亚马逊库存!A:L,12,0),"")</f>
        <v>0</v>
      </c>
      <c r="D1072">
        <f>IFERROR(VLOOKUP(A1072,管理亚马逊库存!A:Q,17,0),"")</f>
        <v>0</v>
      </c>
      <c r="E1072">
        <f>IFERROR(VLOOKUP(A1072,管理亚马逊库存!A:R,18,0),"")</f>
        <v>0</v>
      </c>
      <c r="F1072">
        <f t="shared" si="33"/>
        <v>0</v>
      </c>
      <c r="G1072" t="str">
        <f>IFERROR(VLOOKUP(A1072,预留库存!A:G,7,0),0)</f>
        <v>No</v>
      </c>
      <c r="H1072">
        <f>IFERROR(VLOOKUP(A1072,预留库存!A:H,8,0),0)</f>
        <v>0</v>
      </c>
      <c r="I1072">
        <f>IFERROR(VLOOKUP(A1072,预留库存!A:F,6,0),0)</f>
        <v>22.98</v>
      </c>
      <c r="J1072">
        <f>IFERROR(VLOOKUP(A1072,库龄!B:K,9,0),0)</f>
        <v>0</v>
      </c>
      <c r="K1072">
        <f>IFERROR(VLOOKUP(A1072,库龄!B:L,10,0),0)</f>
        <v>0</v>
      </c>
      <c r="L1072">
        <f>IFERROR(VLOOKUP(A1072,库龄!B:M,11,0),0)</f>
        <v>0</v>
      </c>
      <c r="M1072">
        <f>IFERROR(VLOOKUP(A1072,库龄!B:N,12,0),0)</f>
        <v>0</v>
      </c>
      <c r="N1072">
        <f t="shared" si="34"/>
        <v>0</v>
      </c>
    </row>
    <row r="1073" spans="1:14">
      <c r="A1073" s="3" t="s">
        <v>2771</v>
      </c>
      <c r="B1073">
        <f>IFERROR(VLOOKUP(A1073,管理亚马逊库存!A:K,11,0),"")</f>
        <v>15</v>
      </c>
      <c r="C1073">
        <f>IFERROR(VLOOKUP(A1073,管理亚马逊库存!A:L,12,0),"")</f>
        <v>0</v>
      </c>
      <c r="D1073">
        <f>IFERROR(VLOOKUP(A1073,管理亚马逊库存!A:Q,17,0),"")</f>
        <v>0</v>
      </c>
      <c r="E1073">
        <f>IFERROR(VLOOKUP(A1073,管理亚马逊库存!A:R,18,0),"")</f>
        <v>0</v>
      </c>
      <c r="F1073">
        <f t="shared" si="33"/>
        <v>0</v>
      </c>
      <c r="G1073" t="str">
        <f>IFERROR(VLOOKUP(A1073,预留库存!A:G,7,0),0)</f>
        <v>No</v>
      </c>
      <c r="H1073">
        <f>IFERROR(VLOOKUP(A1073,预留库存!A:H,8,0),0)</f>
        <v>0</v>
      </c>
      <c r="I1073">
        <f>IFERROR(VLOOKUP(A1073,预留库存!A:F,6,0),0)</f>
        <v>17.98</v>
      </c>
      <c r="J1073">
        <f>IFERROR(VLOOKUP(A1073,库龄!B:K,9,0),0)</f>
        <v>0</v>
      </c>
      <c r="K1073">
        <f>IFERROR(VLOOKUP(A1073,库龄!B:L,10,0),0)</f>
        <v>0</v>
      </c>
      <c r="L1073">
        <f>IFERROR(VLOOKUP(A1073,库龄!B:M,11,0),0)</f>
        <v>0</v>
      </c>
      <c r="M1073">
        <f>IFERROR(VLOOKUP(A1073,库龄!B:N,12,0),0)</f>
        <v>0</v>
      </c>
      <c r="N1073">
        <f t="shared" si="34"/>
        <v>0</v>
      </c>
    </row>
    <row r="1074" spans="1:14">
      <c r="A1074" s="3" t="s">
        <v>2772</v>
      </c>
      <c r="B1074">
        <f>IFERROR(VLOOKUP(A1074,管理亚马逊库存!A:K,11,0),"")</f>
        <v>0</v>
      </c>
      <c r="C1074">
        <f>IFERROR(VLOOKUP(A1074,管理亚马逊库存!A:L,12,0),"")</f>
        <v>0</v>
      </c>
      <c r="D1074">
        <f>IFERROR(VLOOKUP(A1074,管理亚马逊库存!A:Q,17,0),"")</f>
        <v>0</v>
      </c>
      <c r="E1074">
        <f>IFERROR(VLOOKUP(A1074,管理亚马逊库存!A:R,18,0),"")</f>
        <v>0</v>
      </c>
      <c r="F1074">
        <f t="shared" si="33"/>
        <v>0</v>
      </c>
      <c r="G1074" t="str">
        <f>IFERROR(VLOOKUP(A1074,预留库存!A:G,7,0),0)</f>
        <v>No</v>
      </c>
      <c r="H1074">
        <f>IFERROR(VLOOKUP(A1074,预留库存!A:H,8,0),0)</f>
        <v>0</v>
      </c>
      <c r="I1074">
        <f>IFERROR(VLOOKUP(A1074,预留库存!A:F,6,0),0)</f>
        <v>24.98</v>
      </c>
      <c r="J1074">
        <f>IFERROR(VLOOKUP(A1074,库龄!B:K,9,0),0)</f>
        <v>0</v>
      </c>
      <c r="K1074">
        <f>IFERROR(VLOOKUP(A1074,库龄!B:L,10,0),0)</f>
        <v>0</v>
      </c>
      <c r="L1074">
        <f>IFERROR(VLOOKUP(A1074,库龄!B:M,11,0),0)</f>
        <v>0</v>
      </c>
      <c r="M1074">
        <f>IFERROR(VLOOKUP(A1074,库龄!B:N,12,0),0)</f>
        <v>0</v>
      </c>
      <c r="N1074">
        <f t="shared" si="34"/>
        <v>0</v>
      </c>
    </row>
    <row r="1075" spans="1:14">
      <c r="A1075" s="3" t="s">
        <v>2773</v>
      </c>
      <c r="B1075">
        <f>IFERROR(VLOOKUP(A1075,管理亚马逊库存!A:K,11,0),"")</f>
        <v>11</v>
      </c>
      <c r="C1075">
        <f>IFERROR(VLOOKUP(A1075,管理亚马逊库存!A:L,12,0),"")</f>
        <v>0</v>
      </c>
      <c r="D1075">
        <f>IFERROR(VLOOKUP(A1075,管理亚马逊库存!A:Q,17,0),"")</f>
        <v>0</v>
      </c>
      <c r="E1075">
        <f>IFERROR(VLOOKUP(A1075,管理亚马逊库存!A:R,18,0),"")</f>
        <v>0</v>
      </c>
      <c r="F1075">
        <f t="shared" si="33"/>
        <v>0</v>
      </c>
      <c r="G1075">
        <f>IFERROR(VLOOKUP(A1075,预留库存!A:G,7,0),0)</f>
        <v>0</v>
      </c>
      <c r="H1075">
        <f>IFERROR(VLOOKUP(A1075,预留库存!A:H,8,0),0)</f>
        <v>0</v>
      </c>
      <c r="I1075">
        <f>IFERROR(VLOOKUP(A1075,预留库存!A:F,6,0),0)</f>
        <v>0</v>
      </c>
      <c r="J1075">
        <f>IFERROR(VLOOKUP(A1075,库龄!B:K,9,0),0)</f>
        <v>0</v>
      </c>
      <c r="K1075">
        <f>IFERROR(VLOOKUP(A1075,库龄!B:L,10,0),0)</f>
        <v>0</v>
      </c>
      <c r="L1075">
        <f>IFERROR(VLOOKUP(A1075,库龄!B:M,11,0),0)</f>
        <v>0</v>
      </c>
      <c r="M1075">
        <f>IFERROR(VLOOKUP(A1075,库龄!B:N,12,0),0)</f>
        <v>0</v>
      </c>
      <c r="N1075">
        <f t="shared" si="34"/>
        <v>0</v>
      </c>
    </row>
    <row r="1076" spans="1:14">
      <c r="A1076" s="3" t="s">
        <v>2774</v>
      </c>
      <c r="B1076">
        <f>IFERROR(VLOOKUP(A1076,管理亚马逊库存!A:K,11,0),"")</f>
        <v>0</v>
      </c>
      <c r="C1076">
        <f>IFERROR(VLOOKUP(A1076,管理亚马逊库存!A:L,12,0),"")</f>
        <v>0</v>
      </c>
      <c r="D1076">
        <f>IFERROR(VLOOKUP(A1076,管理亚马逊库存!A:Q,17,0),"")</f>
        <v>0</v>
      </c>
      <c r="E1076">
        <f>IFERROR(VLOOKUP(A1076,管理亚马逊库存!A:R,18,0),"")</f>
        <v>0</v>
      </c>
      <c r="F1076">
        <f t="shared" si="33"/>
        <v>0</v>
      </c>
      <c r="G1076">
        <f>IFERROR(VLOOKUP(A1076,预留库存!A:G,7,0),0)</f>
        <v>0</v>
      </c>
      <c r="H1076">
        <f>IFERROR(VLOOKUP(A1076,预留库存!A:H,8,0),0)</f>
        <v>0</v>
      </c>
      <c r="I1076">
        <f>IFERROR(VLOOKUP(A1076,预留库存!A:F,6,0),0)</f>
        <v>0</v>
      </c>
      <c r="J1076">
        <f>IFERROR(VLOOKUP(A1076,库龄!B:K,9,0),0)</f>
        <v>0</v>
      </c>
      <c r="K1076">
        <f>IFERROR(VLOOKUP(A1076,库龄!B:L,10,0),0)</f>
        <v>0</v>
      </c>
      <c r="L1076">
        <f>IFERROR(VLOOKUP(A1076,库龄!B:M,11,0),0)</f>
        <v>0</v>
      </c>
      <c r="M1076">
        <f>IFERROR(VLOOKUP(A1076,库龄!B:N,12,0),0)</f>
        <v>0</v>
      </c>
      <c r="N1076">
        <f t="shared" si="34"/>
        <v>0</v>
      </c>
    </row>
    <row r="1077" spans="1:14">
      <c r="A1077" s="3" t="s">
        <v>2775</v>
      </c>
      <c r="B1077">
        <f>IFERROR(VLOOKUP(A1077,管理亚马逊库存!A:K,11,0),"")</f>
        <v>0</v>
      </c>
      <c r="C1077">
        <f>IFERROR(VLOOKUP(A1077,管理亚马逊库存!A:L,12,0),"")</f>
        <v>0</v>
      </c>
      <c r="D1077">
        <f>IFERROR(VLOOKUP(A1077,管理亚马逊库存!A:Q,17,0),"")</f>
        <v>0</v>
      </c>
      <c r="E1077">
        <f>IFERROR(VLOOKUP(A1077,管理亚马逊库存!A:R,18,0),"")</f>
        <v>0</v>
      </c>
      <c r="F1077">
        <f t="shared" si="33"/>
        <v>0</v>
      </c>
      <c r="G1077">
        <f>IFERROR(VLOOKUP(A1077,预留库存!A:G,7,0),0)</f>
        <v>0</v>
      </c>
      <c r="H1077">
        <f>IFERROR(VLOOKUP(A1077,预留库存!A:H,8,0),0)</f>
        <v>0</v>
      </c>
      <c r="I1077">
        <f>IFERROR(VLOOKUP(A1077,预留库存!A:F,6,0),0)</f>
        <v>0</v>
      </c>
      <c r="J1077">
        <f>IFERROR(VLOOKUP(A1077,库龄!B:K,9,0),0)</f>
        <v>0</v>
      </c>
      <c r="K1077">
        <f>IFERROR(VLOOKUP(A1077,库龄!B:L,10,0),0)</f>
        <v>0</v>
      </c>
      <c r="L1077">
        <f>IFERROR(VLOOKUP(A1077,库龄!B:M,11,0),0)</f>
        <v>0</v>
      </c>
      <c r="M1077">
        <f>IFERROR(VLOOKUP(A1077,库龄!B:N,12,0),0)</f>
        <v>0</v>
      </c>
      <c r="N1077">
        <f t="shared" si="34"/>
        <v>0</v>
      </c>
    </row>
    <row r="1078" spans="1:14">
      <c r="A1078" s="3" t="s">
        <v>2776</v>
      </c>
      <c r="B1078">
        <f>IFERROR(VLOOKUP(A1078,管理亚马逊库存!A:K,11,0),"")</f>
        <v>1</v>
      </c>
      <c r="C1078">
        <f>IFERROR(VLOOKUP(A1078,管理亚马逊库存!A:L,12,0),"")</f>
        <v>0</v>
      </c>
      <c r="D1078">
        <f>IFERROR(VLOOKUP(A1078,管理亚马逊库存!A:Q,17,0),"")</f>
        <v>0</v>
      </c>
      <c r="E1078">
        <f>IFERROR(VLOOKUP(A1078,管理亚马逊库存!A:R,18,0),"")</f>
        <v>0</v>
      </c>
      <c r="F1078">
        <f t="shared" si="33"/>
        <v>0</v>
      </c>
      <c r="G1078">
        <f>IFERROR(VLOOKUP(A1078,预留库存!A:G,7,0),0)</f>
        <v>0</v>
      </c>
      <c r="H1078">
        <f>IFERROR(VLOOKUP(A1078,预留库存!A:H,8,0),0)</f>
        <v>0</v>
      </c>
      <c r="I1078">
        <f>IFERROR(VLOOKUP(A1078,预留库存!A:F,6,0),0)</f>
        <v>0</v>
      </c>
      <c r="J1078">
        <f>IFERROR(VLOOKUP(A1078,库龄!B:K,9,0),0)</f>
        <v>0</v>
      </c>
      <c r="K1078">
        <f>IFERROR(VLOOKUP(A1078,库龄!B:L,10,0),0)</f>
        <v>0</v>
      </c>
      <c r="L1078">
        <f>IFERROR(VLOOKUP(A1078,库龄!B:M,11,0),0)</f>
        <v>0</v>
      </c>
      <c r="M1078">
        <f>IFERROR(VLOOKUP(A1078,库龄!B:N,12,0),0)</f>
        <v>0</v>
      </c>
      <c r="N1078">
        <f t="shared" si="34"/>
        <v>0</v>
      </c>
    </row>
    <row r="1079" spans="1:14">
      <c r="A1079" s="3" t="s">
        <v>2777</v>
      </c>
      <c r="B1079">
        <f>IFERROR(VLOOKUP(A1079,管理亚马逊库存!A:K,11,0),"")</f>
        <v>4</v>
      </c>
      <c r="C1079">
        <f>IFERROR(VLOOKUP(A1079,管理亚马逊库存!A:L,12,0),"")</f>
        <v>0</v>
      </c>
      <c r="D1079">
        <f>IFERROR(VLOOKUP(A1079,管理亚马逊库存!A:Q,17,0),"")</f>
        <v>0</v>
      </c>
      <c r="E1079">
        <f>IFERROR(VLOOKUP(A1079,管理亚马逊库存!A:R,18,0),"")</f>
        <v>0</v>
      </c>
      <c r="F1079">
        <f t="shared" si="33"/>
        <v>0</v>
      </c>
      <c r="G1079">
        <f>IFERROR(VLOOKUP(A1079,预留库存!A:G,7,0),0)</f>
        <v>0</v>
      </c>
      <c r="H1079">
        <f>IFERROR(VLOOKUP(A1079,预留库存!A:H,8,0),0)</f>
        <v>0</v>
      </c>
      <c r="I1079">
        <f>IFERROR(VLOOKUP(A1079,预留库存!A:F,6,0),0)</f>
        <v>0</v>
      </c>
      <c r="J1079">
        <f>IFERROR(VLOOKUP(A1079,库龄!B:K,9,0),0)</f>
        <v>0</v>
      </c>
      <c r="K1079">
        <f>IFERROR(VLOOKUP(A1079,库龄!B:L,10,0),0)</f>
        <v>0</v>
      </c>
      <c r="L1079">
        <f>IFERROR(VLOOKUP(A1079,库龄!B:M,11,0),0)</f>
        <v>0</v>
      </c>
      <c r="M1079">
        <f>IFERROR(VLOOKUP(A1079,库龄!B:N,12,0),0)</f>
        <v>0</v>
      </c>
      <c r="N1079">
        <f t="shared" si="34"/>
        <v>0</v>
      </c>
    </row>
    <row r="1080" spans="1:14">
      <c r="A1080" s="3" t="s">
        <v>2778</v>
      </c>
      <c r="B1080">
        <f>IFERROR(VLOOKUP(A1080,管理亚马逊库存!A:K,11,0),"")</f>
        <v>0</v>
      </c>
      <c r="C1080">
        <f>IFERROR(VLOOKUP(A1080,管理亚马逊库存!A:L,12,0),"")</f>
        <v>0</v>
      </c>
      <c r="D1080">
        <f>IFERROR(VLOOKUP(A1080,管理亚马逊库存!A:Q,17,0),"")</f>
        <v>0</v>
      </c>
      <c r="E1080">
        <f>IFERROR(VLOOKUP(A1080,管理亚马逊库存!A:R,18,0),"")</f>
        <v>0</v>
      </c>
      <c r="F1080">
        <f t="shared" si="33"/>
        <v>0</v>
      </c>
      <c r="G1080">
        <f>IFERROR(VLOOKUP(A1080,预留库存!A:G,7,0),0)</f>
        <v>0</v>
      </c>
      <c r="H1080">
        <f>IFERROR(VLOOKUP(A1080,预留库存!A:H,8,0),0)</f>
        <v>0</v>
      </c>
      <c r="I1080">
        <f>IFERROR(VLOOKUP(A1080,预留库存!A:F,6,0),0)</f>
        <v>0</v>
      </c>
      <c r="J1080">
        <f>IFERROR(VLOOKUP(A1080,库龄!B:K,9,0),0)</f>
        <v>0</v>
      </c>
      <c r="K1080">
        <f>IFERROR(VLOOKUP(A1080,库龄!B:L,10,0),0)</f>
        <v>0</v>
      </c>
      <c r="L1080">
        <f>IFERROR(VLOOKUP(A1080,库龄!B:M,11,0),0)</f>
        <v>0</v>
      </c>
      <c r="M1080">
        <f>IFERROR(VLOOKUP(A1080,库龄!B:N,12,0),0)</f>
        <v>0</v>
      </c>
      <c r="N1080">
        <f t="shared" si="34"/>
        <v>0</v>
      </c>
    </row>
    <row r="1081" spans="1:14">
      <c r="A1081" s="3" t="s">
        <v>2779</v>
      </c>
      <c r="B1081">
        <f>IFERROR(VLOOKUP(A1081,管理亚马逊库存!A:K,11,0),"")</f>
        <v>5</v>
      </c>
      <c r="C1081">
        <f>IFERROR(VLOOKUP(A1081,管理亚马逊库存!A:L,12,0),"")</f>
        <v>0</v>
      </c>
      <c r="D1081">
        <f>IFERROR(VLOOKUP(A1081,管理亚马逊库存!A:Q,17,0),"")</f>
        <v>0</v>
      </c>
      <c r="E1081">
        <f>IFERROR(VLOOKUP(A1081,管理亚马逊库存!A:R,18,0),"")</f>
        <v>0</v>
      </c>
      <c r="F1081">
        <f t="shared" si="33"/>
        <v>0</v>
      </c>
      <c r="G1081">
        <f>IFERROR(VLOOKUP(A1081,预留库存!A:G,7,0),0)</f>
        <v>0</v>
      </c>
      <c r="H1081">
        <f>IFERROR(VLOOKUP(A1081,预留库存!A:H,8,0),0)</f>
        <v>0</v>
      </c>
      <c r="I1081">
        <f>IFERROR(VLOOKUP(A1081,预留库存!A:F,6,0),0)</f>
        <v>0</v>
      </c>
      <c r="J1081">
        <f>IFERROR(VLOOKUP(A1081,库龄!B:K,9,0),0)</f>
        <v>0</v>
      </c>
      <c r="K1081">
        <f>IFERROR(VLOOKUP(A1081,库龄!B:L,10,0),0)</f>
        <v>0</v>
      </c>
      <c r="L1081">
        <f>IFERROR(VLOOKUP(A1081,库龄!B:M,11,0),0)</f>
        <v>0</v>
      </c>
      <c r="M1081">
        <f>IFERROR(VLOOKUP(A1081,库龄!B:N,12,0),0)</f>
        <v>0</v>
      </c>
      <c r="N1081">
        <f t="shared" si="34"/>
        <v>0</v>
      </c>
    </row>
    <row r="1082" spans="1:14">
      <c r="A1082" s="3" t="s">
        <v>2780</v>
      </c>
      <c r="B1082">
        <f>IFERROR(VLOOKUP(A1082,管理亚马逊库存!A:K,11,0),"")</f>
        <v>3</v>
      </c>
      <c r="C1082">
        <f>IFERROR(VLOOKUP(A1082,管理亚马逊库存!A:L,12,0),"")</f>
        <v>0</v>
      </c>
      <c r="D1082">
        <f>IFERROR(VLOOKUP(A1082,管理亚马逊库存!A:Q,17,0),"")</f>
        <v>0</v>
      </c>
      <c r="E1082">
        <f>IFERROR(VLOOKUP(A1082,管理亚马逊库存!A:R,18,0),"")</f>
        <v>0</v>
      </c>
      <c r="F1082">
        <f t="shared" si="33"/>
        <v>0</v>
      </c>
      <c r="G1082">
        <f>IFERROR(VLOOKUP(A1082,预留库存!A:G,7,0),0)</f>
        <v>0</v>
      </c>
      <c r="H1082">
        <f>IFERROR(VLOOKUP(A1082,预留库存!A:H,8,0),0)</f>
        <v>0</v>
      </c>
      <c r="I1082">
        <f>IFERROR(VLOOKUP(A1082,预留库存!A:F,6,0),0)</f>
        <v>0</v>
      </c>
      <c r="J1082">
        <f>IFERROR(VLOOKUP(A1082,库龄!B:K,9,0),0)</f>
        <v>0</v>
      </c>
      <c r="K1082">
        <f>IFERROR(VLOOKUP(A1082,库龄!B:L,10,0),0)</f>
        <v>0</v>
      </c>
      <c r="L1082">
        <f>IFERROR(VLOOKUP(A1082,库龄!B:M,11,0),0)</f>
        <v>0</v>
      </c>
      <c r="M1082">
        <f>IFERROR(VLOOKUP(A1082,库龄!B:N,12,0),0)</f>
        <v>0</v>
      </c>
      <c r="N1082">
        <f t="shared" si="34"/>
        <v>0</v>
      </c>
    </row>
    <row r="1083" spans="1:14">
      <c r="A1083" s="3" t="s">
        <v>2781</v>
      </c>
      <c r="B1083">
        <f>IFERROR(VLOOKUP(A1083,管理亚马逊库存!A:K,11,0),"")</f>
        <v>0</v>
      </c>
      <c r="C1083">
        <f>IFERROR(VLOOKUP(A1083,管理亚马逊库存!A:L,12,0),"")</f>
        <v>0</v>
      </c>
      <c r="D1083">
        <f>IFERROR(VLOOKUP(A1083,管理亚马逊库存!A:Q,17,0),"")</f>
        <v>0</v>
      </c>
      <c r="E1083">
        <f>IFERROR(VLOOKUP(A1083,管理亚马逊库存!A:R,18,0),"")</f>
        <v>0</v>
      </c>
      <c r="F1083">
        <f t="shared" si="33"/>
        <v>0</v>
      </c>
      <c r="G1083">
        <f>IFERROR(VLOOKUP(A1083,预留库存!A:G,7,0),0)</f>
        <v>0</v>
      </c>
      <c r="H1083">
        <f>IFERROR(VLOOKUP(A1083,预留库存!A:H,8,0),0)</f>
        <v>0</v>
      </c>
      <c r="I1083">
        <f>IFERROR(VLOOKUP(A1083,预留库存!A:F,6,0),0)</f>
        <v>0</v>
      </c>
      <c r="J1083">
        <f>IFERROR(VLOOKUP(A1083,库龄!B:K,9,0),0)</f>
        <v>0</v>
      </c>
      <c r="K1083">
        <f>IFERROR(VLOOKUP(A1083,库龄!B:L,10,0),0)</f>
        <v>0</v>
      </c>
      <c r="L1083">
        <f>IFERROR(VLOOKUP(A1083,库龄!B:M,11,0),0)</f>
        <v>0</v>
      </c>
      <c r="M1083">
        <f>IFERROR(VLOOKUP(A1083,库龄!B:N,12,0),0)</f>
        <v>0</v>
      </c>
      <c r="N1083">
        <f t="shared" si="34"/>
        <v>0</v>
      </c>
    </row>
    <row r="1084" spans="1:14">
      <c r="A1084" s="3" t="s">
        <v>2782</v>
      </c>
      <c r="B1084">
        <f>IFERROR(VLOOKUP(A1084,管理亚马逊库存!A:K,11,0),"")</f>
        <v>4</v>
      </c>
      <c r="C1084">
        <f>IFERROR(VLOOKUP(A1084,管理亚马逊库存!A:L,12,0),"")</f>
        <v>0</v>
      </c>
      <c r="D1084">
        <f>IFERROR(VLOOKUP(A1084,管理亚马逊库存!A:Q,17,0),"")</f>
        <v>0</v>
      </c>
      <c r="E1084">
        <f>IFERROR(VLOOKUP(A1084,管理亚马逊库存!A:R,18,0),"")</f>
        <v>0</v>
      </c>
      <c r="F1084">
        <f t="shared" si="33"/>
        <v>0</v>
      </c>
      <c r="G1084">
        <f>IFERROR(VLOOKUP(A1084,预留库存!A:G,7,0),0)</f>
        <v>0</v>
      </c>
      <c r="H1084">
        <f>IFERROR(VLOOKUP(A1084,预留库存!A:H,8,0),0)</f>
        <v>0</v>
      </c>
      <c r="I1084">
        <f>IFERROR(VLOOKUP(A1084,预留库存!A:F,6,0),0)</f>
        <v>0</v>
      </c>
      <c r="J1084">
        <f>IFERROR(VLOOKUP(A1084,库龄!B:K,9,0),0)</f>
        <v>0</v>
      </c>
      <c r="K1084">
        <f>IFERROR(VLOOKUP(A1084,库龄!B:L,10,0),0)</f>
        <v>0</v>
      </c>
      <c r="L1084">
        <f>IFERROR(VLOOKUP(A1084,库龄!B:M,11,0),0)</f>
        <v>0</v>
      </c>
      <c r="M1084">
        <f>IFERROR(VLOOKUP(A1084,库龄!B:N,12,0),0)</f>
        <v>0</v>
      </c>
      <c r="N1084">
        <f t="shared" si="34"/>
        <v>0</v>
      </c>
    </row>
    <row r="1085" spans="1:14">
      <c r="A1085" s="3" t="s">
        <v>2783</v>
      </c>
      <c r="B1085">
        <f>IFERROR(VLOOKUP(A1085,管理亚马逊库存!A:K,11,0),"")</f>
        <v>2</v>
      </c>
      <c r="C1085">
        <f>IFERROR(VLOOKUP(A1085,管理亚马逊库存!A:L,12,0),"")</f>
        <v>0</v>
      </c>
      <c r="D1085">
        <f>IFERROR(VLOOKUP(A1085,管理亚马逊库存!A:Q,17,0),"")</f>
        <v>0</v>
      </c>
      <c r="E1085">
        <f>IFERROR(VLOOKUP(A1085,管理亚马逊库存!A:R,18,0),"")</f>
        <v>0</v>
      </c>
      <c r="F1085">
        <f t="shared" si="33"/>
        <v>0</v>
      </c>
      <c r="G1085">
        <f>IFERROR(VLOOKUP(A1085,预留库存!A:G,7,0),0)</f>
        <v>0</v>
      </c>
      <c r="H1085">
        <f>IFERROR(VLOOKUP(A1085,预留库存!A:H,8,0),0)</f>
        <v>0</v>
      </c>
      <c r="I1085">
        <f>IFERROR(VLOOKUP(A1085,预留库存!A:F,6,0),0)</f>
        <v>0</v>
      </c>
      <c r="J1085">
        <f>IFERROR(VLOOKUP(A1085,库龄!B:K,9,0),0)</f>
        <v>0</v>
      </c>
      <c r="K1085">
        <f>IFERROR(VLOOKUP(A1085,库龄!B:L,10,0),0)</f>
        <v>0</v>
      </c>
      <c r="L1085">
        <f>IFERROR(VLOOKUP(A1085,库龄!B:M,11,0),0)</f>
        <v>0</v>
      </c>
      <c r="M1085">
        <f>IFERROR(VLOOKUP(A1085,库龄!B:N,12,0),0)</f>
        <v>0</v>
      </c>
      <c r="N1085">
        <f t="shared" si="34"/>
        <v>0</v>
      </c>
    </row>
    <row r="1086" spans="1:14">
      <c r="A1086" s="3" t="s">
        <v>2784</v>
      </c>
      <c r="B1086">
        <f>IFERROR(VLOOKUP(A1086,管理亚马逊库存!A:K,11,0),"")</f>
        <v>7</v>
      </c>
      <c r="C1086">
        <f>IFERROR(VLOOKUP(A1086,管理亚马逊库存!A:L,12,0),"")</f>
        <v>0</v>
      </c>
      <c r="D1086">
        <f>IFERROR(VLOOKUP(A1086,管理亚马逊库存!A:Q,17,0),"")</f>
        <v>0</v>
      </c>
      <c r="E1086">
        <f>IFERROR(VLOOKUP(A1086,管理亚马逊库存!A:R,18,0),"")</f>
        <v>0</v>
      </c>
      <c r="F1086">
        <f t="shared" si="33"/>
        <v>0</v>
      </c>
      <c r="G1086">
        <f>IFERROR(VLOOKUP(A1086,预留库存!A:G,7,0),0)</f>
        <v>0</v>
      </c>
      <c r="H1086">
        <f>IFERROR(VLOOKUP(A1086,预留库存!A:H,8,0),0)</f>
        <v>0</v>
      </c>
      <c r="I1086">
        <f>IFERROR(VLOOKUP(A1086,预留库存!A:F,6,0),0)</f>
        <v>0</v>
      </c>
      <c r="J1086">
        <f>IFERROR(VLOOKUP(A1086,库龄!B:K,9,0),0)</f>
        <v>0</v>
      </c>
      <c r="K1086">
        <f>IFERROR(VLOOKUP(A1086,库龄!B:L,10,0),0)</f>
        <v>0</v>
      </c>
      <c r="L1086">
        <f>IFERROR(VLOOKUP(A1086,库龄!B:M,11,0),0)</f>
        <v>0</v>
      </c>
      <c r="M1086">
        <f>IFERROR(VLOOKUP(A1086,库龄!B:N,12,0),0)</f>
        <v>0</v>
      </c>
      <c r="N1086">
        <f t="shared" si="34"/>
        <v>0</v>
      </c>
    </row>
    <row r="1087" spans="1:14">
      <c r="A1087" s="3" t="s">
        <v>2785</v>
      </c>
      <c r="B1087">
        <f>IFERROR(VLOOKUP(A1087,管理亚马逊库存!A:K,11,0),"")</f>
        <v>0</v>
      </c>
      <c r="C1087">
        <f>IFERROR(VLOOKUP(A1087,管理亚马逊库存!A:L,12,0),"")</f>
        <v>0</v>
      </c>
      <c r="D1087">
        <f>IFERROR(VLOOKUP(A1087,管理亚马逊库存!A:Q,17,0),"")</f>
        <v>0</v>
      </c>
      <c r="E1087">
        <f>IFERROR(VLOOKUP(A1087,管理亚马逊库存!A:R,18,0),"")</f>
        <v>0</v>
      </c>
      <c r="F1087">
        <f t="shared" si="33"/>
        <v>0</v>
      </c>
      <c r="G1087">
        <f>IFERROR(VLOOKUP(A1087,预留库存!A:G,7,0),0)</f>
        <v>0</v>
      </c>
      <c r="H1087">
        <f>IFERROR(VLOOKUP(A1087,预留库存!A:H,8,0),0)</f>
        <v>0</v>
      </c>
      <c r="I1087">
        <f>IFERROR(VLOOKUP(A1087,预留库存!A:F,6,0),0)</f>
        <v>0</v>
      </c>
      <c r="J1087">
        <f>IFERROR(VLOOKUP(A1087,库龄!B:K,9,0),0)</f>
        <v>0</v>
      </c>
      <c r="K1087">
        <f>IFERROR(VLOOKUP(A1087,库龄!B:L,10,0),0)</f>
        <v>0</v>
      </c>
      <c r="L1087">
        <f>IFERROR(VLOOKUP(A1087,库龄!B:M,11,0),0)</f>
        <v>0</v>
      </c>
      <c r="M1087">
        <f>IFERROR(VLOOKUP(A1087,库龄!B:N,12,0),0)</f>
        <v>0</v>
      </c>
      <c r="N1087">
        <f t="shared" si="34"/>
        <v>0</v>
      </c>
    </row>
    <row r="1088" spans="1:14">
      <c r="A1088" s="3" t="s">
        <v>2786</v>
      </c>
      <c r="B1088">
        <f>IFERROR(VLOOKUP(A1088,管理亚马逊库存!A:K,11,0),"")</f>
        <v>0</v>
      </c>
      <c r="C1088">
        <f>IFERROR(VLOOKUP(A1088,管理亚马逊库存!A:L,12,0),"")</f>
        <v>0</v>
      </c>
      <c r="D1088">
        <f>IFERROR(VLOOKUP(A1088,管理亚马逊库存!A:Q,17,0),"")</f>
        <v>0</v>
      </c>
      <c r="E1088">
        <f>IFERROR(VLOOKUP(A1088,管理亚马逊库存!A:R,18,0),"")</f>
        <v>0</v>
      </c>
      <c r="F1088">
        <f t="shared" si="33"/>
        <v>0</v>
      </c>
      <c r="G1088">
        <f>IFERROR(VLOOKUP(A1088,预留库存!A:G,7,0),0)</f>
        <v>0</v>
      </c>
      <c r="H1088">
        <f>IFERROR(VLOOKUP(A1088,预留库存!A:H,8,0),0)</f>
        <v>0</v>
      </c>
      <c r="I1088">
        <f>IFERROR(VLOOKUP(A1088,预留库存!A:F,6,0),0)</f>
        <v>0</v>
      </c>
      <c r="J1088">
        <f>IFERROR(VLOOKUP(A1088,库龄!B:K,9,0),0)</f>
        <v>0</v>
      </c>
      <c r="K1088">
        <f>IFERROR(VLOOKUP(A1088,库龄!B:L,10,0),0)</f>
        <v>0</v>
      </c>
      <c r="L1088">
        <f>IFERROR(VLOOKUP(A1088,库龄!B:M,11,0),0)</f>
        <v>0</v>
      </c>
      <c r="M1088">
        <f>IFERROR(VLOOKUP(A1088,库龄!B:N,12,0),0)</f>
        <v>0</v>
      </c>
      <c r="N1088">
        <f t="shared" si="34"/>
        <v>0</v>
      </c>
    </row>
    <row r="1089" spans="1:14">
      <c r="A1089" s="3" t="s">
        <v>2787</v>
      </c>
      <c r="B1089">
        <f>IFERROR(VLOOKUP(A1089,管理亚马逊库存!A:K,11,0),"")</f>
        <v>2</v>
      </c>
      <c r="C1089">
        <f>IFERROR(VLOOKUP(A1089,管理亚马逊库存!A:L,12,0),"")</f>
        <v>0</v>
      </c>
      <c r="D1089">
        <f>IFERROR(VLOOKUP(A1089,管理亚马逊库存!A:Q,17,0),"")</f>
        <v>0</v>
      </c>
      <c r="E1089">
        <f>IFERROR(VLOOKUP(A1089,管理亚马逊库存!A:R,18,0),"")</f>
        <v>0</v>
      </c>
      <c r="F1089">
        <f t="shared" si="33"/>
        <v>0</v>
      </c>
      <c r="G1089">
        <f>IFERROR(VLOOKUP(A1089,预留库存!A:G,7,0),0)</f>
        <v>0</v>
      </c>
      <c r="H1089">
        <f>IFERROR(VLOOKUP(A1089,预留库存!A:H,8,0),0)</f>
        <v>0</v>
      </c>
      <c r="I1089">
        <f>IFERROR(VLOOKUP(A1089,预留库存!A:F,6,0),0)</f>
        <v>0</v>
      </c>
      <c r="J1089">
        <f>IFERROR(VLOOKUP(A1089,库龄!B:K,9,0),0)</f>
        <v>0</v>
      </c>
      <c r="K1089">
        <f>IFERROR(VLOOKUP(A1089,库龄!B:L,10,0),0)</f>
        <v>0</v>
      </c>
      <c r="L1089">
        <f>IFERROR(VLOOKUP(A1089,库龄!B:M,11,0),0)</f>
        <v>0</v>
      </c>
      <c r="M1089">
        <f>IFERROR(VLOOKUP(A1089,库龄!B:N,12,0),0)</f>
        <v>0</v>
      </c>
      <c r="N1089">
        <f t="shared" si="34"/>
        <v>0</v>
      </c>
    </row>
    <row r="1090" spans="1:14">
      <c r="A1090" s="3" t="s">
        <v>2788</v>
      </c>
      <c r="B1090">
        <f>IFERROR(VLOOKUP(A1090,管理亚马逊库存!A:K,11,0),"")</f>
        <v>4</v>
      </c>
      <c r="C1090">
        <f>IFERROR(VLOOKUP(A1090,管理亚马逊库存!A:L,12,0),"")</f>
        <v>0</v>
      </c>
      <c r="D1090">
        <f>IFERROR(VLOOKUP(A1090,管理亚马逊库存!A:Q,17,0),"")</f>
        <v>0</v>
      </c>
      <c r="E1090">
        <f>IFERROR(VLOOKUP(A1090,管理亚马逊库存!A:R,18,0),"")</f>
        <v>0</v>
      </c>
      <c r="F1090">
        <f t="shared" si="33"/>
        <v>0</v>
      </c>
      <c r="G1090">
        <f>IFERROR(VLOOKUP(A1090,预留库存!A:G,7,0),0)</f>
        <v>0</v>
      </c>
      <c r="H1090">
        <f>IFERROR(VLOOKUP(A1090,预留库存!A:H,8,0),0)</f>
        <v>0</v>
      </c>
      <c r="I1090">
        <f>IFERROR(VLOOKUP(A1090,预留库存!A:F,6,0),0)</f>
        <v>0</v>
      </c>
      <c r="J1090">
        <f>IFERROR(VLOOKUP(A1090,库龄!B:K,9,0),0)</f>
        <v>0</v>
      </c>
      <c r="K1090">
        <f>IFERROR(VLOOKUP(A1090,库龄!B:L,10,0),0)</f>
        <v>0</v>
      </c>
      <c r="L1090">
        <f>IFERROR(VLOOKUP(A1090,库龄!B:M,11,0),0)</f>
        <v>0</v>
      </c>
      <c r="M1090">
        <f>IFERROR(VLOOKUP(A1090,库龄!B:N,12,0),0)</f>
        <v>0</v>
      </c>
      <c r="N1090">
        <f t="shared" si="34"/>
        <v>0</v>
      </c>
    </row>
    <row r="1091" spans="1:14">
      <c r="A1091" s="3" t="s">
        <v>2789</v>
      </c>
      <c r="B1091">
        <f>IFERROR(VLOOKUP(A1091,管理亚马逊库存!A:K,11,0),"")</f>
        <v>5</v>
      </c>
      <c r="C1091">
        <f>IFERROR(VLOOKUP(A1091,管理亚马逊库存!A:L,12,0),"")</f>
        <v>0</v>
      </c>
      <c r="D1091">
        <f>IFERROR(VLOOKUP(A1091,管理亚马逊库存!A:Q,17,0),"")</f>
        <v>0</v>
      </c>
      <c r="E1091">
        <f>IFERROR(VLOOKUP(A1091,管理亚马逊库存!A:R,18,0),"")</f>
        <v>0</v>
      </c>
      <c r="F1091">
        <f t="shared" ref="F1091:F1154" si="35">SUM(D1091:E1091)</f>
        <v>0</v>
      </c>
      <c r="G1091">
        <f>IFERROR(VLOOKUP(A1091,预留库存!A:G,7,0),0)</f>
        <v>0</v>
      </c>
      <c r="H1091">
        <f>IFERROR(VLOOKUP(A1091,预留库存!A:H,8,0),0)</f>
        <v>0</v>
      </c>
      <c r="I1091">
        <f>IFERROR(VLOOKUP(A1091,预留库存!A:F,6,0),0)</f>
        <v>0</v>
      </c>
      <c r="J1091">
        <f>IFERROR(VLOOKUP(A1091,库龄!B:K,9,0),0)</f>
        <v>0</v>
      </c>
      <c r="K1091">
        <f>IFERROR(VLOOKUP(A1091,库龄!B:L,10,0),0)</f>
        <v>0</v>
      </c>
      <c r="L1091">
        <f>IFERROR(VLOOKUP(A1091,库龄!B:M,11,0),0)</f>
        <v>0</v>
      </c>
      <c r="M1091">
        <f>IFERROR(VLOOKUP(A1091,库龄!B:N,12,0),0)</f>
        <v>0</v>
      </c>
      <c r="N1091">
        <f t="shared" ref="N1091:N1154" si="36">SUM(J1091:M1091)</f>
        <v>0</v>
      </c>
    </row>
    <row r="1092" spans="1:14">
      <c r="A1092" s="3" t="s">
        <v>2790</v>
      </c>
      <c r="B1092">
        <f>IFERROR(VLOOKUP(A1092,管理亚马逊库存!A:K,11,0),"")</f>
        <v>0</v>
      </c>
      <c r="C1092">
        <f>IFERROR(VLOOKUP(A1092,管理亚马逊库存!A:L,12,0),"")</f>
        <v>0</v>
      </c>
      <c r="D1092">
        <f>IFERROR(VLOOKUP(A1092,管理亚马逊库存!A:Q,17,0),"")</f>
        <v>0</v>
      </c>
      <c r="E1092">
        <f>IFERROR(VLOOKUP(A1092,管理亚马逊库存!A:R,18,0),"")</f>
        <v>0</v>
      </c>
      <c r="F1092">
        <f t="shared" si="35"/>
        <v>0</v>
      </c>
      <c r="G1092">
        <f>IFERROR(VLOOKUP(A1092,预留库存!A:G,7,0),0)</f>
        <v>0</v>
      </c>
      <c r="H1092">
        <f>IFERROR(VLOOKUP(A1092,预留库存!A:H,8,0),0)</f>
        <v>0</v>
      </c>
      <c r="I1092">
        <f>IFERROR(VLOOKUP(A1092,预留库存!A:F,6,0),0)</f>
        <v>0</v>
      </c>
      <c r="J1092">
        <f>IFERROR(VLOOKUP(A1092,库龄!B:K,9,0),0)</f>
        <v>0</v>
      </c>
      <c r="K1092">
        <f>IFERROR(VLOOKUP(A1092,库龄!B:L,10,0),0)</f>
        <v>0</v>
      </c>
      <c r="L1092">
        <f>IFERROR(VLOOKUP(A1092,库龄!B:M,11,0),0)</f>
        <v>0</v>
      </c>
      <c r="M1092">
        <f>IFERROR(VLOOKUP(A1092,库龄!B:N,12,0),0)</f>
        <v>0</v>
      </c>
      <c r="N1092">
        <f t="shared" si="36"/>
        <v>0</v>
      </c>
    </row>
    <row r="1093" spans="1:14">
      <c r="A1093" s="3" t="s">
        <v>2791</v>
      </c>
      <c r="B1093">
        <f>IFERROR(VLOOKUP(A1093,管理亚马逊库存!A:K,11,0),"")</f>
        <v>0</v>
      </c>
      <c r="C1093">
        <f>IFERROR(VLOOKUP(A1093,管理亚马逊库存!A:L,12,0),"")</f>
        <v>0</v>
      </c>
      <c r="D1093">
        <f>IFERROR(VLOOKUP(A1093,管理亚马逊库存!A:Q,17,0),"")</f>
        <v>0</v>
      </c>
      <c r="E1093">
        <f>IFERROR(VLOOKUP(A1093,管理亚马逊库存!A:R,18,0),"")</f>
        <v>0</v>
      </c>
      <c r="F1093">
        <f t="shared" si="35"/>
        <v>0</v>
      </c>
      <c r="G1093">
        <f>IFERROR(VLOOKUP(A1093,预留库存!A:G,7,0),0)</f>
        <v>0</v>
      </c>
      <c r="H1093">
        <f>IFERROR(VLOOKUP(A1093,预留库存!A:H,8,0),0)</f>
        <v>0</v>
      </c>
      <c r="I1093">
        <f>IFERROR(VLOOKUP(A1093,预留库存!A:F,6,0),0)</f>
        <v>0</v>
      </c>
      <c r="J1093">
        <f>IFERROR(VLOOKUP(A1093,库龄!B:K,9,0),0)</f>
        <v>0</v>
      </c>
      <c r="K1093">
        <f>IFERROR(VLOOKUP(A1093,库龄!B:L,10,0),0)</f>
        <v>0</v>
      </c>
      <c r="L1093">
        <f>IFERROR(VLOOKUP(A1093,库龄!B:M,11,0),0)</f>
        <v>0</v>
      </c>
      <c r="M1093">
        <f>IFERROR(VLOOKUP(A1093,库龄!B:N,12,0),0)</f>
        <v>0</v>
      </c>
      <c r="N1093">
        <f t="shared" si="36"/>
        <v>0</v>
      </c>
    </row>
    <row r="1094" spans="1:14">
      <c r="A1094" s="3" t="s">
        <v>2792</v>
      </c>
      <c r="B1094">
        <f>IFERROR(VLOOKUP(A1094,管理亚马逊库存!A:K,11,0),"")</f>
        <v>10</v>
      </c>
      <c r="C1094">
        <f>IFERROR(VLOOKUP(A1094,管理亚马逊库存!A:L,12,0),"")</f>
        <v>0</v>
      </c>
      <c r="D1094">
        <f>IFERROR(VLOOKUP(A1094,管理亚马逊库存!A:Q,17,0),"")</f>
        <v>0</v>
      </c>
      <c r="E1094">
        <f>IFERROR(VLOOKUP(A1094,管理亚马逊库存!A:R,18,0),"")</f>
        <v>0</v>
      </c>
      <c r="F1094">
        <f t="shared" si="35"/>
        <v>0</v>
      </c>
      <c r="G1094">
        <f>IFERROR(VLOOKUP(A1094,预留库存!A:G,7,0),0)</f>
        <v>0</v>
      </c>
      <c r="H1094">
        <f>IFERROR(VLOOKUP(A1094,预留库存!A:H,8,0),0)</f>
        <v>0</v>
      </c>
      <c r="I1094">
        <f>IFERROR(VLOOKUP(A1094,预留库存!A:F,6,0),0)</f>
        <v>0</v>
      </c>
      <c r="J1094">
        <f>IFERROR(VLOOKUP(A1094,库龄!B:K,9,0),0)</f>
        <v>0</v>
      </c>
      <c r="K1094">
        <f>IFERROR(VLOOKUP(A1094,库龄!B:L,10,0),0)</f>
        <v>0</v>
      </c>
      <c r="L1094">
        <f>IFERROR(VLOOKUP(A1094,库龄!B:M,11,0),0)</f>
        <v>0</v>
      </c>
      <c r="M1094">
        <f>IFERROR(VLOOKUP(A1094,库龄!B:N,12,0),0)</f>
        <v>0</v>
      </c>
      <c r="N1094">
        <f t="shared" si="36"/>
        <v>0</v>
      </c>
    </row>
    <row r="1095" spans="1:14">
      <c r="A1095" s="3" t="s">
        <v>2793</v>
      </c>
      <c r="B1095">
        <f>IFERROR(VLOOKUP(A1095,管理亚马逊库存!A:K,11,0),"")</f>
        <v>6</v>
      </c>
      <c r="C1095">
        <f>IFERROR(VLOOKUP(A1095,管理亚马逊库存!A:L,12,0),"")</f>
        <v>0</v>
      </c>
      <c r="D1095">
        <f>IFERROR(VLOOKUP(A1095,管理亚马逊库存!A:Q,17,0),"")</f>
        <v>0</v>
      </c>
      <c r="E1095">
        <f>IFERROR(VLOOKUP(A1095,管理亚马逊库存!A:R,18,0),"")</f>
        <v>0</v>
      </c>
      <c r="F1095">
        <f t="shared" si="35"/>
        <v>0</v>
      </c>
      <c r="G1095">
        <f>IFERROR(VLOOKUP(A1095,预留库存!A:G,7,0),0)</f>
        <v>0</v>
      </c>
      <c r="H1095">
        <f>IFERROR(VLOOKUP(A1095,预留库存!A:H,8,0),0)</f>
        <v>0</v>
      </c>
      <c r="I1095">
        <f>IFERROR(VLOOKUP(A1095,预留库存!A:F,6,0),0)</f>
        <v>0</v>
      </c>
      <c r="J1095">
        <f>IFERROR(VLOOKUP(A1095,库龄!B:K,9,0),0)</f>
        <v>0</v>
      </c>
      <c r="K1095">
        <f>IFERROR(VLOOKUP(A1095,库龄!B:L,10,0),0)</f>
        <v>0</v>
      </c>
      <c r="L1095">
        <f>IFERROR(VLOOKUP(A1095,库龄!B:M,11,0),0)</f>
        <v>0</v>
      </c>
      <c r="M1095">
        <f>IFERROR(VLOOKUP(A1095,库龄!B:N,12,0),0)</f>
        <v>0</v>
      </c>
      <c r="N1095">
        <f t="shared" si="36"/>
        <v>0</v>
      </c>
    </row>
    <row r="1096" spans="1:14">
      <c r="A1096" s="3" t="s">
        <v>2794</v>
      </c>
      <c r="B1096">
        <f>IFERROR(VLOOKUP(A1096,管理亚马逊库存!A:K,11,0),"")</f>
        <v>4</v>
      </c>
      <c r="C1096">
        <f>IFERROR(VLOOKUP(A1096,管理亚马逊库存!A:L,12,0),"")</f>
        <v>0</v>
      </c>
      <c r="D1096">
        <f>IFERROR(VLOOKUP(A1096,管理亚马逊库存!A:Q,17,0),"")</f>
        <v>0</v>
      </c>
      <c r="E1096">
        <f>IFERROR(VLOOKUP(A1096,管理亚马逊库存!A:R,18,0),"")</f>
        <v>0</v>
      </c>
      <c r="F1096">
        <f t="shared" si="35"/>
        <v>0</v>
      </c>
      <c r="G1096">
        <f>IFERROR(VLOOKUP(A1096,预留库存!A:G,7,0),0)</f>
        <v>0</v>
      </c>
      <c r="H1096">
        <f>IFERROR(VLOOKUP(A1096,预留库存!A:H,8,0),0)</f>
        <v>0</v>
      </c>
      <c r="I1096">
        <f>IFERROR(VLOOKUP(A1096,预留库存!A:F,6,0),0)</f>
        <v>0</v>
      </c>
      <c r="J1096">
        <f>IFERROR(VLOOKUP(A1096,库龄!B:K,9,0),0)</f>
        <v>0</v>
      </c>
      <c r="K1096">
        <f>IFERROR(VLOOKUP(A1096,库龄!B:L,10,0),0)</f>
        <v>0</v>
      </c>
      <c r="L1096">
        <f>IFERROR(VLOOKUP(A1096,库龄!B:M,11,0),0)</f>
        <v>0</v>
      </c>
      <c r="M1096">
        <f>IFERROR(VLOOKUP(A1096,库龄!B:N,12,0),0)</f>
        <v>0</v>
      </c>
      <c r="N1096">
        <f t="shared" si="36"/>
        <v>0</v>
      </c>
    </row>
    <row r="1097" spans="1:14">
      <c r="A1097" s="3" t="s">
        <v>2795</v>
      </c>
      <c r="B1097">
        <f>IFERROR(VLOOKUP(A1097,管理亚马逊库存!A:K,11,0),"")</f>
        <v>2</v>
      </c>
      <c r="C1097">
        <f>IFERROR(VLOOKUP(A1097,管理亚马逊库存!A:L,12,0),"")</f>
        <v>0</v>
      </c>
      <c r="D1097">
        <f>IFERROR(VLOOKUP(A1097,管理亚马逊库存!A:Q,17,0),"")</f>
        <v>0</v>
      </c>
      <c r="E1097">
        <f>IFERROR(VLOOKUP(A1097,管理亚马逊库存!A:R,18,0),"")</f>
        <v>0</v>
      </c>
      <c r="F1097">
        <f t="shared" si="35"/>
        <v>0</v>
      </c>
      <c r="G1097">
        <f>IFERROR(VLOOKUP(A1097,预留库存!A:G,7,0),0)</f>
        <v>0</v>
      </c>
      <c r="H1097">
        <f>IFERROR(VLOOKUP(A1097,预留库存!A:H,8,0),0)</f>
        <v>0</v>
      </c>
      <c r="I1097">
        <f>IFERROR(VLOOKUP(A1097,预留库存!A:F,6,0),0)</f>
        <v>0</v>
      </c>
      <c r="J1097">
        <f>IFERROR(VLOOKUP(A1097,库龄!B:K,9,0),0)</f>
        <v>0</v>
      </c>
      <c r="K1097">
        <f>IFERROR(VLOOKUP(A1097,库龄!B:L,10,0),0)</f>
        <v>0</v>
      </c>
      <c r="L1097">
        <f>IFERROR(VLOOKUP(A1097,库龄!B:M,11,0),0)</f>
        <v>0</v>
      </c>
      <c r="M1097">
        <f>IFERROR(VLOOKUP(A1097,库龄!B:N,12,0),0)</f>
        <v>0</v>
      </c>
      <c r="N1097">
        <f t="shared" si="36"/>
        <v>0</v>
      </c>
    </row>
    <row r="1098" spans="1:14">
      <c r="A1098" s="3" t="s">
        <v>2796</v>
      </c>
      <c r="B1098">
        <f>IFERROR(VLOOKUP(A1098,管理亚马逊库存!A:K,11,0),"")</f>
        <v>1</v>
      </c>
      <c r="C1098">
        <f>IFERROR(VLOOKUP(A1098,管理亚马逊库存!A:L,12,0),"")</f>
        <v>0</v>
      </c>
      <c r="D1098">
        <f>IFERROR(VLOOKUP(A1098,管理亚马逊库存!A:Q,17,0),"")</f>
        <v>0</v>
      </c>
      <c r="E1098">
        <f>IFERROR(VLOOKUP(A1098,管理亚马逊库存!A:R,18,0),"")</f>
        <v>0</v>
      </c>
      <c r="F1098">
        <f t="shared" si="35"/>
        <v>0</v>
      </c>
      <c r="G1098">
        <f>IFERROR(VLOOKUP(A1098,预留库存!A:G,7,0),0)</f>
        <v>0</v>
      </c>
      <c r="H1098">
        <f>IFERROR(VLOOKUP(A1098,预留库存!A:H,8,0),0)</f>
        <v>0</v>
      </c>
      <c r="I1098">
        <f>IFERROR(VLOOKUP(A1098,预留库存!A:F,6,0),0)</f>
        <v>0</v>
      </c>
      <c r="J1098">
        <f>IFERROR(VLOOKUP(A1098,库龄!B:K,9,0),0)</f>
        <v>0</v>
      </c>
      <c r="K1098">
        <f>IFERROR(VLOOKUP(A1098,库龄!B:L,10,0),0)</f>
        <v>0</v>
      </c>
      <c r="L1098">
        <f>IFERROR(VLOOKUP(A1098,库龄!B:M,11,0),0)</f>
        <v>0</v>
      </c>
      <c r="M1098">
        <f>IFERROR(VLOOKUP(A1098,库龄!B:N,12,0),0)</f>
        <v>0</v>
      </c>
      <c r="N1098">
        <f t="shared" si="36"/>
        <v>0</v>
      </c>
    </row>
    <row r="1099" spans="1:14">
      <c r="A1099" s="3" t="s">
        <v>2797</v>
      </c>
      <c r="B1099">
        <f>IFERROR(VLOOKUP(A1099,管理亚马逊库存!A:K,11,0),"")</f>
        <v>6</v>
      </c>
      <c r="C1099">
        <f>IFERROR(VLOOKUP(A1099,管理亚马逊库存!A:L,12,0),"")</f>
        <v>0</v>
      </c>
      <c r="D1099">
        <f>IFERROR(VLOOKUP(A1099,管理亚马逊库存!A:Q,17,0),"")</f>
        <v>0</v>
      </c>
      <c r="E1099">
        <f>IFERROR(VLOOKUP(A1099,管理亚马逊库存!A:R,18,0),"")</f>
        <v>0</v>
      </c>
      <c r="F1099">
        <f t="shared" si="35"/>
        <v>0</v>
      </c>
      <c r="G1099">
        <f>IFERROR(VLOOKUP(A1099,预留库存!A:G,7,0),0)</f>
        <v>0</v>
      </c>
      <c r="H1099">
        <f>IFERROR(VLOOKUP(A1099,预留库存!A:H,8,0),0)</f>
        <v>0</v>
      </c>
      <c r="I1099">
        <f>IFERROR(VLOOKUP(A1099,预留库存!A:F,6,0),0)</f>
        <v>0</v>
      </c>
      <c r="J1099">
        <f>IFERROR(VLOOKUP(A1099,库龄!B:K,9,0),0)</f>
        <v>0</v>
      </c>
      <c r="K1099">
        <f>IFERROR(VLOOKUP(A1099,库龄!B:L,10,0),0)</f>
        <v>0</v>
      </c>
      <c r="L1099">
        <f>IFERROR(VLOOKUP(A1099,库龄!B:M,11,0),0)</f>
        <v>0</v>
      </c>
      <c r="M1099">
        <f>IFERROR(VLOOKUP(A1099,库龄!B:N,12,0),0)</f>
        <v>0</v>
      </c>
      <c r="N1099">
        <f t="shared" si="36"/>
        <v>0</v>
      </c>
    </row>
    <row r="1100" spans="1:14">
      <c r="A1100" s="3" t="s">
        <v>2798</v>
      </c>
      <c r="B1100">
        <f>IFERROR(VLOOKUP(A1100,管理亚马逊库存!A:K,11,0),"")</f>
        <v>6</v>
      </c>
      <c r="C1100">
        <f>IFERROR(VLOOKUP(A1100,管理亚马逊库存!A:L,12,0),"")</f>
        <v>0</v>
      </c>
      <c r="D1100">
        <f>IFERROR(VLOOKUP(A1100,管理亚马逊库存!A:Q,17,0),"")</f>
        <v>0</v>
      </c>
      <c r="E1100">
        <f>IFERROR(VLOOKUP(A1100,管理亚马逊库存!A:R,18,0),"")</f>
        <v>0</v>
      </c>
      <c r="F1100">
        <f t="shared" si="35"/>
        <v>0</v>
      </c>
      <c r="G1100">
        <f>IFERROR(VLOOKUP(A1100,预留库存!A:G,7,0),0)</f>
        <v>0</v>
      </c>
      <c r="H1100">
        <f>IFERROR(VLOOKUP(A1100,预留库存!A:H,8,0),0)</f>
        <v>0</v>
      </c>
      <c r="I1100">
        <f>IFERROR(VLOOKUP(A1100,预留库存!A:F,6,0),0)</f>
        <v>0</v>
      </c>
      <c r="J1100">
        <f>IFERROR(VLOOKUP(A1100,库龄!B:K,9,0),0)</f>
        <v>0</v>
      </c>
      <c r="K1100">
        <f>IFERROR(VLOOKUP(A1100,库龄!B:L,10,0),0)</f>
        <v>0</v>
      </c>
      <c r="L1100">
        <f>IFERROR(VLOOKUP(A1100,库龄!B:M,11,0),0)</f>
        <v>0</v>
      </c>
      <c r="M1100">
        <f>IFERROR(VLOOKUP(A1100,库龄!B:N,12,0),0)</f>
        <v>0</v>
      </c>
      <c r="N1100">
        <f t="shared" si="36"/>
        <v>0</v>
      </c>
    </row>
    <row r="1101" spans="1:14">
      <c r="A1101" s="3" t="s">
        <v>2799</v>
      </c>
      <c r="B1101">
        <f>IFERROR(VLOOKUP(A1101,管理亚马逊库存!A:K,11,0),"")</f>
        <v>4</v>
      </c>
      <c r="C1101">
        <f>IFERROR(VLOOKUP(A1101,管理亚马逊库存!A:L,12,0),"")</f>
        <v>0</v>
      </c>
      <c r="D1101">
        <f>IFERROR(VLOOKUP(A1101,管理亚马逊库存!A:Q,17,0),"")</f>
        <v>0</v>
      </c>
      <c r="E1101">
        <f>IFERROR(VLOOKUP(A1101,管理亚马逊库存!A:R,18,0),"")</f>
        <v>0</v>
      </c>
      <c r="F1101">
        <f t="shared" si="35"/>
        <v>0</v>
      </c>
      <c r="G1101">
        <f>IFERROR(VLOOKUP(A1101,预留库存!A:G,7,0),0)</f>
        <v>0</v>
      </c>
      <c r="H1101">
        <f>IFERROR(VLOOKUP(A1101,预留库存!A:H,8,0),0)</f>
        <v>0</v>
      </c>
      <c r="I1101">
        <f>IFERROR(VLOOKUP(A1101,预留库存!A:F,6,0),0)</f>
        <v>0</v>
      </c>
      <c r="J1101">
        <f>IFERROR(VLOOKUP(A1101,库龄!B:K,9,0),0)</f>
        <v>0</v>
      </c>
      <c r="K1101">
        <f>IFERROR(VLOOKUP(A1101,库龄!B:L,10,0),0)</f>
        <v>0</v>
      </c>
      <c r="L1101">
        <f>IFERROR(VLOOKUP(A1101,库龄!B:M,11,0),0)</f>
        <v>0</v>
      </c>
      <c r="M1101">
        <f>IFERROR(VLOOKUP(A1101,库龄!B:N,12,0),0)</f>
        <v>0</v>
      </c>
      <c r="N1101">
        <f t="shared" si="36"/>
        <v>0</v>
      </c>
    </row>
    <row r="1102" spans="1:14">
      <c r="A1102" s="3" t="s">
        <v>2800</v>
      </c>
      <c r="B1102">
        <f>IFERROR(VLOOKUP(A1102,管理亚马逊库存!A:K,11,0),"")</f>
        <v>1</v>
      </c>
      <c r="C1102">
        <f>IFERROR(VLOOKUP(A1102,管理亚马逊库存!A:L,12,0),"")</f>
        <v>0</v>
      </c>
      <c r="D1102">
        <f>IFERROR(VLOOKUP(A1102,管理亚马逊库存!A:Q,17,0),"")</f>
        <v>0</v>
      </c>
      <c r="E1102">
        <f>IFERROR(VLOOKUP(A1102,管理亚马逊库存!A:R,18,0),"")</f>
        <v>0</v>
      </c>
      <c r="F1102">
        <f t="shared" si="35"/>
        <v>0</v>
      </c>
      <c r="G1102">
        <f>IFERROR(VLOOKUP(A1102,预留库存!A:G,7,0),0)</f>
        <v>0</v>
      </c>
      <c r="H1102">
        <f>IFERROR(VLOOKUP(A1102,预留库存!A:H,8,0),0)</f>
        <v>0</v>
      </c>
      <c r="I1102">
        <f>IFERROR(VLOOKUP(A1102,预留库存!A:F,6,0),0)</f>
        <v>0</v>
      </c>
      <c r="J1102">
        <f>IFERROR(VLOOKUP(A1102,库龄!B:K,9,0),0)</f>
        <v>0</v>
      </c>
      <c r="K1102">
        <f>IFERROR(VLOOKUP(A1102,库龄!B:L,10,0),0)</f>
        <v>0</v>
      </c>
      <c r="L1102">
        <f>IFERROR(VLOOKUP(A1102,库龄!B:M,11,0),0)</f>
        <v>0</v>
      </c>
      <c r="M1102">
        <f>IFERROR(VLOOKUP(A1102,库龄!B:N,12,0),0)</f>
        <v>0</v>
      </c>
      <c r="N1102">
        <f t="shared" si="36"/>
        <v>0</v>
      </c>
    </row>
    <row r="1103" spans="1:14">
      <c r="A1103" s="3" t="s">
        <v>2801</v>
      </c>
      <c r="B1103">
        <f>IFERROR(VLOOKUP(A1103,管理亚马逊库存!A:K,11,0),"")</f>
        <v>1</v>
      </c>
      <c r="C1103">
        <f>IFERROR(VLOOKUP(A1103,管理亚马逊库存!A:L,12,0),"")</f>
        <v>0</v>
      </c>
      <c r="D1103">
        <f>IFERROR(VLOOKUP(A1103,管理亚马逊库存!A:Q,17,0),"")</f>
        <v>0</v>
      </c>
      <c r="E1103">
        <f>IFERROR(VLOOKUP(A1103,管理亚马逊库存!A:R,18,0),"")</f>
        <v>0</v>
      </c>
      <c r="F1103">
        <f t="shared" si="35"/>
        <v>0</v>
      </c>
      <c r="G1103">
        <f>IFERROR(VLOOKUP(A1103,预留库存!A:G,7,0),0)</f>
        <v>0</v>
      </c>
      <c r="H1103">
        <f>IFERROR(VLOOKUP(A1103,预留库存!A:H,8,0),0)</f>
        <v>0</v>
      </c>
      <c r="I1103">
        <f>IFERROR(VLOOKUP(A1103,预留库存!A:F,6,0),0)</f>
        <v>0</v>
      </c>
      <c r="J1103">
        <f>IFERROR(VLOOKUP(A1103,库龄!B:K,9,0),0)</f>
        <v>0</v>
      </c>
      <c r="K1103">
        <f>IFERROR(VLOOKUP(A1103,库龄!B:L,10,0),0)</f>
        <v>0</v>
      </c>
      <c r="L1103">
        <f>IFERROR(VLOOKUP(A1103,库龄!B:M,11,0),0)</f>
        <v>0</v>
      </c>
      <c r="M1103">
        <f>IFERROR(VLOOKUP(A1103,库龄!B:N,12,0),0)</f>
        <v>0</v>
      </c>
      <c r="N1103">
        <f t="shared" si="36"/>
        <v>0</v>
      </c>
    </row>
    <row r="1104" spans="1:14">
      <c r="A1104" s="3" t="s">
        <v>2802</v>
      </c>
      <c r="B1104">
        <f>IFERROR(VLOOKUP(A1104,管理亚马逊库存!A:K,11,0),"")</f>
        <v>2</v>
      </c>
      <c r="C1104">
        <f>IFERROR(VLOOKUP(A1104,管理亚马逊库存!A:L,12,0),"")</f>
        <v>0</v>
      </c>
      <c r="D1104">
        <f>IFERROR(VLOOKUP(A1104,管理亚马逊库存!A:Q,17,0),"")</f>
        <v>0</v>
      </c>
      <c r="E1104">
        <f>IFERROR(VLOOKUP(A1104,管理亚马逊库存!A:R,18,0),"")</f>
        <v>0</v>
      </c>
      <c r="F1104">
        <f t="shared" si="35"/>
        <v>0</v>
      </c>
      <c r="G1104">
        <f>IFERROR(VLOOKUP(A1104,预留库存!A:G,7,0),0)</f>
        <v>0</v>
      </c>
      <c r="H1104">
        <f>IFERROR(VLOOKUP(A1104,预留库存!A:H,8,0),0)</f>
        <v>0</v>
      </c>
      <c r="I1104">
        <f>IFERROR(VLOOKUP(A1104,预留库存!A:F,6,0),0)</f>
        <v>0</v>
      </c>
      <c r="J1104">
        <f>IFERROR(VLOOKUP(A1104,库龄!B:K,9,0),0)</f>
        <v>0</v>
      </c>
      <c r="K1104">
        <f>IFERROR(VLOOKUP(A1104,库龄!B:L,10,0),0)</f>
        <v>0</v>
      </c>
      <c r="L1104">
        <f>IFERROR(VLOOKUP(A1104,库龄!B:M,11,0),0)</f>
        <v>0</v>
      </c>
      <c r="M1104">
        <f>IFERROR(VLOOKUP(A1104,库龄!B:N,12,0),0)</f>
        <v>0</v>
      </c>
      <c r="N1104">
        <f t="shared" si="36"/>
        <v>0</v>
      </c>
    </row>
    <row r="1105" spans="1:14">
      <c r="A1105" s="3" t="s">
        <v>2803</v>
      </c>
      <c r="B1105">
        <f>IFERROR(VLOOKUP(A1105,管理亚马逊库存!A:K,11,0),"")</f>
        <v>0</v>
      </c>
      <c r="C1105">
        <f>IFERROR(VLOOKUP(A1105,管理亚马逊库存!A:L,12,0),"")</f>
        <v>0</v>
      </c>
      <c r="D1105">
        <f>IFERROR(VLOOKUP(A1105,管理亚马逊库存!A:Q,17,0),"")</f>
        <v>0</v>
      </c>
      <c r="E1105">
        <f>IFERROR(VLOOKUP(A1105,管理亚马逊库存!A:R,18,0),"")</f>
        <v>0</v>
      </c>
      <c r="F1105">
        <f t="shared" si="35"/>
        <v>0</v>
      </c>
      <c r="G1105">
        <f>IFERROR(VLOOKUP(A1105,预留库存!A:G,7,0),0)</f>
        <v>0</v>
      </c>
      <c r="H1105">
        <f>IFERROR(VLOOKUP(A1105,预留库存!A:H,8,0),0)</f>
        <v>0</v>
      </c>
      <c r="I1105">
        <f>IFERROR(VLOOKUP(A1105,预留库存!A:F,6,0),0)</f>
        <v>0</v>
      </c>
      <c r="J1105">
        <f>IFERROR(VLOOKUP(A1105,库龄!B:K,9,0),0)</f>
        <v>0</v>
      </c>
      <c r="K1105">
        <f>IFERROR(VLOOKUP(A1105,库龄!B:L,10,0),0)</f>
        <v>0</v>
      </c>
      <c r="L1105">
        <f>IFERROR(VLOOKUP(A1105,库龄!B:M,11,0),0)</f>
        <v>0</v>
      </c>
      <c r="M1105">
        <f>IFERROR(VLOOKUP(A1105,库龄!B:N,12,0),0)</f>
        <v>0</v>
      </c>
      <c r="N1105">
        <f t="shared" si="36"/>
        <v>0</v>
      </c>
    </row>
    <row r="1106" spans="1:14">
      <c r="A1106" s="3" t="s">
        <v>2804</v>
      </c>
      <c r="B1106">
        <f>IFERROR(VLOOKUP(A1106,管理亚马逊库存!A:K,11,0),"")</f>
        <v>0</v>
      </c>
      <c r="C1106">
        <f>IFERROR(VLOOKUP(A1106,管理亚马逊库存!A:L,12,0),"")</f>
        <v>0</v>
      </c>
      <c r="D1106">
        <f>IFERROR(VLOOKUP(A1106,管理亚马逊库存!A:Q,17,0),"")</f>
        <v>0</v>
      </c>
      <c r="E1106">
        <f>IFERROR(VLOOKUP(A1106,管理亚马逊库存!A:R,18,0),"")</f>
        <v>0</v>
      </c>
      <c r="F1106">
        <f t="shared" si="35"/>
        <v>0</v>
      </c>
      <c r="G1106" t="str">
        <f>IFERROR(VLOOKUP(A1106,预留库存!A:G,7,0),0)</f>
        <v>No</v>
      </c>
      <c r="H1106">
        <f>IFERROR(VLOOKUP(A1106,预留库存!A:H,8,0),0)</f>
        <v>0</v>
      </c>
      <c r="I1106">
        <f>IFERROR(VLOOKUP(A1106,预留库存!A:F,6,0),0)</f>
        <v>22.98</v>
      </c>
      <c r="J1106">
        <f>IFERROR(VLOOKUP(A1106,库龄!B:K,9,0),0)</f>
        <v>0</v>
      </c>
      <c r="K1106">
        <f>IFERROR(VLOOKUP(A1106,库龄!B:L,10,0),0)</f>
        <v>0</v>
      </c>
      <c r="L1106">
        <f>IFERROR(VLOOKUP(A1106,库龄!B:M,11,0),0)</f>
        <v>0</v>
      </c>
      <c r="M1106">
        <f>IFERROR(VLOOKUP(A1106,库龄!B:N,12,0),0)</f>
        <v>0</v>
      </c>
      <c r="N1106">
        <f t="shared" si="36"/>
        <v>0</v>
      </c>
    </row>
    <row r="1107" spans="1:14">
      <c r="A1107" s="3" t="s">
        <v>2806</v>
      </c>
      <c r="B1107">
        <f>IFERROR(VLOOKUP(A1107,管理亚马逊库存!A:K,11,0),"")</f>
        <v>23</v>
      </c>
      <c r="C1107">
        <f>IFERROR(VLOOKUP(A1107,管理亚马逊库存!A:L,12,0),"")</f>
        <v>0</v>
      </c>
      <c r="D1107">
        <f>IFERROR(VLOOKUP(A1107,管理亚马逊库存!A:Q,17,0),"")</f>
        <v>40</v>
      </c>
      <c r="E1107">
        <f>IFERROR(VLOOKUP(A1107,管理亚马逊库存!A:R,18,0),"")</f>
        <v>0</v>
      </c>
      <c r="F1107">
        <f t="shared" si="35"/>
        <v>40</v>
      </c>
      <c r="G1107" t="str">
        <f>IFERROR(VLOOKUP(A1107,预留库存!A:G,7,0),0)</f>
        <v>No</v>
      </c>
      <c r="H1107">
        <f>IFERROR(VLOOKUP(A1107,预留库存!A:H,8,0),0)</f>
        <v>0</v>
      </c>
      <c r="I1107">
        <f>IFERROR(VLOOKUP(A1107,预留库存!A:F,6,0),0)</f>
        <v>22.98</v>
      </c>
      <c r="J1107">
        <f>IFERROR(VLOOKUP(A1107,库龄!B:K,9,0),0)</f>
        <v>22</v>
      </c>
      <c r="K1107">
        <f>IFERROR(VLOOKUP(A1107,库龄!B:L,10,0),0)</f>
        <v>0</v>
      </c>
      <c r="L1107">
        <f>IFERROR(VLOOKUP(A1107,库龄!B:M,11,0),0)</f>
        <v>0</v>
      </c>
      <c r="M1107">
        <f>IFERROR(VLOOKUP(A1107,库龄!B:N,12,0),0)</f>
        <v>0</v>
      </c>
      <c r="N1107">
        <f t="shared" si="36"/>
        <v>22</v>
      </c>
    </row>
    <row r="1108" spans="1:14">
      <c r="A1108" s="3" t="s">
        <v>2809</v>
      </c>
      <c r="B1108">
        <f>IFERROR(VLOOKUP(A1108,管理亚马逊库存!A:K,11,0),"")</f>
        <v>51</v>
      </c>
      <c r="C1108">
        <f>IFERROR(VLOOKUP(A1108,管理亚马逊库存!A:L,12,0),"")</f>
        <v>0</v>
      </c>
      <c r="D1108">
        <f>IFERROR(VLOOKUP(A1108,管理亚马逊库存!A:Q,17,0),"")</f>
        <v>0</v>
      </c>
      <c r="E1108">
        <f>IFERROR(VLOOKUP(A1108,管理亚马逊库存!A:R,18,0),"")</f>
        <v>0</v>
      </c>
      <c r="F1108">
        <f t="shared" si="35"/>
        <v>0</v>
      </c>
      <c r="G1108" t="str">
        <f>IFERROR(VLOOKUP(A1108,预留库存!A:G,7,0),0)</f>
        <v>No</v>
      </c>
      <c r="H1108">
        <f>IFERROR(VLOOKUP(A1108,预留库存!A:H,8,0),0)</f>
        <v>0</v>
      </c>
      <c r="I1108">
        <f>IFERROR(VLOOKUP(A1108,预留库存!A:F,6,0),0)</f>
        <v>22.98</v>
      </c>
      <c r="J1108">
        <f>IFERROR(VLOOKUP(A1108,库龄!B:K,9,0),0)</f>
        <v>19</v>
      </c>
      <c r="K1108">
        <f>IFERROR(VLOOKUP(A1108,库龄!B:L,10,0),0)</f>
        <v>0</v>
      </c>
      <c r="L1108">
        <f>IFERROR(VLOOKUP(A1108,库龄!B:M,11,0),0)</f>
        <v>0</v>
      </c>
      <c r="M1108">
        <f>IFERROR(VLOOKUP(A1108,库龄!B:N,12,0),0)</f>
        <v>0</v>
      </c>
      <c r="N1108">
        <f t="shared" si="36"/>
        <v>19</v>
      </c>
    </row>
    <row r="1109" spans="1:14">
      <c r="A1109" s="3" t="s">
        <v>2811</v>
      </c>
      <c r="B1109">
        <f>IFERROR(VLOOKUP(A1109,管理亚马逊库存!A:K,11,0),"")</f>
        <v>0</v>
      </c>
      <c r="C1109">
        <f>IFERROR(VLOOKUP(A1109,管理亚马逊库存!A:L,12,0),"")</f>
        <v>0</v>
      </c>
      <c r="D1109">
        <f>IFERROR(VLOOKUP(A1109,管理亚马逊库存!A:Q,17,0),"")</f>
        <v>0</v>
      </c>
      <c r="E1109">
        <f>IFERROR(VLOOKUP(A1109,管理亚马逊库存!A:R,18,0),"")</f>
        <v>0</v>
      </c>
      <c r="F1109">
        <f t="shared" si="35"/>
        <v>0</v>
      </c>
      <c r="G1109" t="str">
        <f>IFERROR(VLOOKUP(A1109,预留库存!A:G,7,0),0)</f>
        <v>No</v>
      </c>
      <c r="H1109">
        <f>IFERROR(VLOOKUP(A1109,预留库存!A:H,8,0),0)</f>
        <v>0</v>
      </c>
      <c r="I1109">
        <f>IFERROR(VLOOKUP(A1109,预留库存!A:F,6,0),0)</f>
        <v>22.98</v>
      </c>
      <c r="J1109">
        <f>IFERROR(VLOOKUP(A1109,库龄!B:K,9,0),0)</f>
        <v>0</v>
      </c>
      <c r="K1109">
        <f>IFERROR(VLOOKUP(A1109,库龄!B:L,10,0),0)</f>
        <v>0</v>
      </c>
      <c r="L1109">
        <f>IFERROR(VLOOKUP(A1109,库龄!B:M,11,0),0)</f>
        <v>0</v>
      </c>
      <c r="M1109">
        <f>IFERROR(VLOOKUP(A1109,库龄!B:N,12,0),0)</f>
        <v>0</v>
      </c>
      <c r="N1109">
        <f t="shared" si="36"/>
        <v>0</v>
      </c>
    </row>
    <row r="1110" spans="1:14">
      <c r="A1110" s="3" t="s">
        <v>2814</v>
      </c>
      <c r="B1110">
        <f>IFERROR(VLOOKUP(A1110,管理亚马逊库存!A:K,11,0),"")</f>
        <v>28</v>
      </c>
      <c r="C1110">
        <f>IFERROR(VLOOKUP(A1110,管理亚马逊库存!A:L,12,0),"")</f>
        <v>0</v>
      </c>
      <c r="D1110">
        <f>IFERROR(VLOOKUP(A1110,管理亚马逊库存!A:Q,17,0),"")</f>
        <v>0</v>
      </c>
      <c r="E1110">
        <f>IFERROR(VLOOKUP(A1110,管理亚马逊库存!A:R,18,0),"")</f>
        <v>0</v>
      </c>
      <c r="F1110">
        <f t="shared" si="35"/>
        <v>0</v>
      </c>
      <c r="G1110" t="str">
        <f>IFERROR(VLOOKUP(A1110,预留库存!A:G,7,0),0)</f>
        <v>No</v>
      </c>
      <c r="H1110">
        <f>IFERROR(VLOOKUP(A1110,预留库存!A:H,8,0),0)</f>
        <v>0</v>
      </c>
      <c r="I1110">
        <f>IFERROR(VLOOKUP(A1110,预留库存!A:F,6,0),0)</f>
        <v>18.98</v>
      </c>
      <c r="J1110">
        <f>IFERROR(VLOOKUP(A1110,库龄!B:K,9,0),0)</f>
        <v>26</v>
      </c>
      <c r="K1110">
        <f>IFERROR(VLOOKUP(A1110,库龄!B:L,10,0),0)</f>
        <v>0</v>
      </c>
      <c r="L1110">
        <f>IFERROR(VLOOKUP(A1110,库龄!B:M,11,0),0)</f>
        <v>0</v>
      </c>
      <c r="M1110">
        <f>IFERROR(VLOOKUP(A1110,库龄!B:N,12,0),0)</f>
        <v>0</v>
      </c>
      <c r="N1110">
        <f t="shared" si="36"/>
        <v>26</v>
      </c>
    </row>
    <row r="1111" spans="1:14">
      <c r="A1111" s="3" t="s">
        <v>2817</v>
      </c>
      <c r="B1111">
        <f>IFERROR(VLOOKUP(A1111,管理亚马逊库存!A:K,11,0),"")</f>
        <v>45</v>
      </c>
      <c r="C1111">
        <f>IFERROR(VLOOKUP(A1111,管理亚马逊库存!A:L,12,0),"")</f>
        <v>0</v>
      </c>
      <c r="D1111">
        <f>IFERROR(VLOOKUP(A1111,管理亚马逊库存!A:Q,17,0),"")</f>
        <v>0</v>
      </c>
      <c r="E1111">
        <f>IFERROR(VLOOKUP(A1111,管理亚马逊库存!A:R,18,0),"")</f>
        <v>0</v>
      </c>
      <c r="F1111">
        <f t="shared" si="35"/>
        <v>0</v>
      </c>
      <c r="G1111" t="str">
        <f>IFERROR(VLOOKUP(A1111,预留库存!A:G,7,0),0)</f>
        <v>No</v>
      </c>
      <c r="H1111">
        <f>IFERROR(VLOOKUP(A1111,预留库存!A:H,8,0),0)</f>
        <v>0</v>
      </c>
      <c r="I1111">
        <f>IFERROR(VLOOKUP(A1111,预留库存!A:F,6,0),0)</f>
        <v>21.98</v>
      </c>
      <c r="J1111">
        <f>IFERROR(VLOOKUP(A1111,库龄!B:K,9,0),0)</f>
        <v>40</v>
      </c>
      <c r="K1111">
        <f>IFERROR(VLOOKUP(A1111,库龄!B:L,10,0),0)</f>
        <v>4</v>
      </c>
      <c r="L1111">
        <f>IFERROR(VLOOKUP(A1111,库龄!B:M,11,0),0)</f>
        <v>0</v>
      </c>
      <c r="M1111">
        <f>IFERROR(VLOOKUP(A1111,库龄!B:N,12,0),0)</f>
        <v>0</v>
      </c>
      <c r="N1111">
        <f t="shared" si="36"/>
        <v>44</v>
      </c>
    </row>
    <row r="1112" spans="1:14">
      <c r="A1112" s="3" t="s">
        <v>2820</v>
      </c>
      <c r="B1112">
        <f>IFERROR(VLOOKUP(A1112,管理亚马逊库存!A:K,11,0),"")</f>
        <v>0</v>
      </c>
      <c r="C1112">
        <f>IFERROR(VLOOKUP(A1112,管理亚马逊库存!A:L,12,0),"")</f>
        <v>1</v>
      </c>
      <c r="D1112">
        <f>IFERROR(VLOOKUP(A1112,管理亚马逊库存!A:Q,17,0),"")</f>
        <v>0</v>
      </c>
      <c r="E1112">
        <f>IFERROR(VLOOKUP(A1112,管理亚马逊库存!A:R,18,0),"")</f>
        <v>0</v>
      </c>
      <c r="F1112">
        <f t="shared" si="35"/>
        <v>0</v>
      </c>
      <c r="G1112" t="str">
        <f>IFERROR(VLOOKUP(A1112,预留库存!A:G,7,0),0)</f>
        <v>No</v>
      </c>
      <c r="H1112">
        <f>IFERROR(VLOOKUP(A1112,预留库存!A:H,8,0),0)</f>
        <v>0</v>
      </c>
      <c r="I1112">
        <f>IFERROR(VLOOKUP(A1112,预留库存!A:F,6,0),0)</f>
        <v>22.98</v>
      </c>
      <c r="J1112">
        <f>IFERROR(VLOOKUP(A1112,库龄!B:K,9,0),0)</f>
        <v>0</v>
      </c>
      <c r="K1112">
        <f>IFERROR(VLOOKUP(A1112,库龄!B:L,10,0),0)</f>
        <v>0</v>
      </c>
      <c r="L1112">
        <f>IFERROR(VLOOKUP(A1112,库龄!B:M,11,0),0)</f>
        <v>0</v>
      </c>
      <c r="M1112">
        <f>IFERROR(VLOOKUP(A1112,库龄!B:N,12,0),0)</f>
        <v>0</v>
      </c>
      <c r="N1112">
        <f t="shared" si="36"/>
        <v>0</v>
      </c>
    </row>
    <row r="1113" spans="1:14">
      <c r="A1113" s="3" t="s">
        <v>2823</v>
      </c>
      <c r="B1113">
        <f>IFERROR(VLOOKUP(A1113,管理亚马逊库存!A:K,11,0),"")</f>
        <v>34</v>
      </c>
      <c r="C1113">
        <f>IFERROR(VLOOKUP(A1113,管理亚马逊库存!A:L,12,0),"")</f>
        <v>0</v>
      </c>
      <c r="D1113">
        <f>IFERROR(VLOOKUP(A1113,管理亚马逊库存!A:Q,17,0),"")</f>
        <v>0</v>
      </c>
      <c r="E1113">
        <f>IFERROR(VLOOKUP(A1113,管理亚马逊库存!A:R,18,0),"")</f>
        <v>0</v>
      </c>
      <c r="F1113">
        <f t="shared" si="35"/>
        <v>0</v>
      </c>
      <c r="G1113" t="str">
        <f>IFERROR(VLOOKUP(A1113,预留库存!A:G,7,0),0)</f>
        <v>No</v>
      </c>
      <c r="H1113">
        <f>IFERROR(VLOOKUP(A1113,预留库存!A:H,8,0),0)</f>
        <v>0</v>
      </c>
      <c r="I1113">
        <f>IFERROR(VLOOKUP(A1113,预留库存!A:F,6,0),0)</f>
        <v>22.98</v>
      </c>
      <c r="J1113">
        <f>IFERROR(VLOOKUP(A1113,库龄!B:K,9,0),0)</f>
        <v>31</v>
      </c>
      <c r="K1113">
        <f>IFERROR(VLOOKUP(A1113,库龄!B:L,10,0),0)</f>
        <v>0</v>
      </c>
      <c r="L1113">
        <f>IFERROR(VLOOKUP(A1113,库龄!B:M,11,0),0)</f>
        <v>0</v>
      </c>
      <c r="M1113">
        <f>IFERROR(VLOOKUP(A1113,库龄!B:N,12,0),0)</f>
        <v>0</v>
      </c>
      <c r="N1113">
        <f t="shared" si="36"/>
        <v>31</v>
      </c>
    </row>
    <row r="1114" spans="1:14">
      <c r="A1114" s="3" t="s">
        <v>2826</v>
      </c>
      <c r="B1114">
        <f>IFERROR(VLOOKUP(A1114,管理亚马逊库存!A:K,11,0),"")</f>
        <v>8</v>
      </c>
      <c r="C1114">
        <f>IFERROR(VLOOKUP(A1114,管理亚马逊库存!A:L,12,0),"")</f>
        <v>0</v>
      </c>
      <c r="D1114">
        <f>IFERROR(VLOOKUP(A1114,管理亚马逊库存!A:Q,17,0),"")</f>
        <v>0</v>
      </c>
      <c r="E1114">
        <f>IFERROR(VLOOKUP(A1114,管理亚马逊库存!A:R,18,0),"")</f>
        <v>0</v>
      </c>
      <c r="F1114">
        <f t="shared" si="35"/>
        <v>0</v>
      </c>
      <c r="G1114" t="str">
        <f>IFERROR(VLOOKUP(A1114,预留库存!A:G,7,0),0)</f>
        <v>No</v>
      </c>
      <c r="H1114">
        <f>IFERROR(VLOOKUP(A1114,预留库存!A:H,8,0),0)</f>
        <v>0</v>
      </c>
      <c r="I1114">
        <f>IFERROR(VLOOKUP(A1114,预留库存!A:F,6,0),0)</f>
        <v>17.98</v>
      </c>
      <c r="J1114">
        <f>IFERROR(VLOOKUP(A1114,库龄!B:K,9,0),0)</f>
        <v>3</v>
      </c>
      <c r="K1114">
        <f>IFERROR(VLOOKUP(A1114,库龄!B:L,10,0),0)</f>
        <v>0</v>
      </c>
      <c r="L1114">
        <f>IFERROR(VLOOKUP(A1114,库龄!B:M,11,0),0)</f>
        <v>0</v>
      </c>
      <c r="M1114">
        <f>IFERROR(VLOOKUP(A1114,库龄!B:N,12,0),0)</f>
        <v>0</v>
      </c>
      <c r="N1114">
        <f t="shared" si="36"/>
        <v>3</v>
      </c>
    </row>
    <row r="1115" spans="1:14">
      <c r="A1115" s="3" t="s">
        <v>2829</v>
      </c>
      <c r="B1115">
        <f>IFERROR(VLOOKUP(A1115,管理亚马逊库存!A:K,11,0),"")</f>
        <v>0</v>
      </c>
      <c r="C1115">
        <f>IFERROR(VLOOKUP(A1115,管理亚马逊库存!A:L,12,0),"")</f>
        <v>0</v>
      </c>
      <c r="D1115">
        <f>IFERROR(VLOOKUP(A1115,管理亚马逊库存!A:Q,17,0),"")</f>
        <v>0</v>
      </c>
      <c r="E1115">
        <f>IFERROR(VLOOKUP(A1115,管理亚马逊库存!A:R,18,0),"")</f>
        <v>0</v>
      </c>
      <c r="F1115">
        <f t="shared" si="35"/>
        <v>0</v>
      </c>
      <c r="G1115" t="str">
        <f>IFERROR(VLOOKUP(A1115,预留库存!A:G,7,0),0)</f>
        <v>No</v>
      </c>
      <c r="H1115">
        <f>IFERROR(VLOOKUP(A1115,预留库存!A:H,8,0),0)</f>
        <v>0</v>
      </c>
      <c r="I1115">
        <f>IFERROR(VLOOKUP(A1115,预留库存!A:F,6,0),0)</f>
        <v>17.98</v>
      </c>
      <c r="J1115">
        <f>IFERROR(VLOOKUP(A1115,库龄!B:K,9,0),0)</f>
        <v>0</v>
      </c>
      <c r="K1115">
        <f>IFERROR(VLOOKUP(A1115,库龄!B:L,10,0),0)</f>
        <v>0</v>
      </c>
      <c r="L1115">
        <f>IFERROR(VLOOKUP(A1115,库龄!B:M,11,0),0)</f>
        <v>0</v>
      </c>
      <c r="M1115">
        <f>IFERROR(VLOOKUP(A1115,库龄!B:N,12,0),0)</f>
        <v>0</v>
      </c>
      <c r="N1115">
        <f t="shared" si="36"/>
        <v>0</v>
      </c>
    </row>
    <row r="1116" spans="1:14">
      <c r="A1116" s="3" t="s">
        <v>2832</v>
      </c>
      <c r="B1116">
        <f>IFERROR(VLOOKUP(A1116,管理亚马逊库存!A:K,11,0),"")</f>
        <v>44</v>
      </c>
      <c r="C1116">
        <f>IFERROR(VLOOKUP(A1116,管理亚马逊库存!A:L,12,0),"")</f>
        <v>0</v>
      </c>
      <c r="D1116">
        <f>IFERROR(VLOOKUP(A1116,管理亚马逊库存!A:Q,17,0),"")</f>
        <v>0</v>
      </c>
      <c r="E1116">
        <f>IFERROR(VLOOKUP(A1116,管理亚马逊库存!A:R,18,0),"")</f>
        <v>0</v>
      </c>
      <c r="F1116">
        <f t="shared" si="35"/>
        <v>0</v>
      </c>
      <c r="G1116" t="str">
        <f>IFERROR(VLOOKUP(A1116,预留库存!A:G,7,0),0)</f>
        <v>No</v>
      </c>
      <c r="H1116">
        <f>IFERROR(VLOOKUP(A1116,预留库存!A:H,8,0),0)</f>
        <v>0</v>
      </c>
      <c r="I1116">
        <f>IFERROR(VLOOKUP(A1116,预留库存!A:F,6,0),0)</f>
        <v>39.98</v>
      </c>
      <c r="J1116">
        <f>IFERROR(VLOOKUP(A1116,库龄!B:K,9,0),0)</f>
        <v>43</v>
      </c>
      <c r="K1116">
        <f>IFERROR(VLOOKUP(A1116,库龄!B:L,10,0),0)</f>
        <v>0</v>
      </c>
      <c r="L1116">
        <f>IFERROR(VLOOKUP(A1116,库龄!B:M,11,0),0)</f>
        <v>0</v>
      </c>
      <c r="M1116">
        <f>IFERROR(VLOOKUP(A1116,库龄!B:N,12,0),0)</f>
        <v>0</v>
      </c>
      <c r="N1116">
        <f t="shared" si="36"/>
        <v>43</v>
      </c>
    </row>
    <row r="1117" spans="1:14">
      <c r="A1117" s="3" t="s">
        <v>2834</v>
      </c>
      <c r="B1117">
        <f>IFERROR(VLOOKUP(A1117,管理亚马逊库存!A:K,11,0),"")</f>
        <v>22</v>
      </c>
      <c r="C1117">
        <f>IFERROR(VLOOKUP(A1117,管理亚马逊库存!A:L,12,0),"")</f>
        <v>0</v>
      </c>
      <c r="D1117">
        <f>IFERROR(VLOOKUP(A1117,管理亚马逊库存!A:Q,17,0),"")</f>
        <v>0</v>
      </c>
      <c r="E1117">
        <f>IFERROR(VLOOKUP(A1117,管理亚马逊库存!A:R,18,0),"")</f>
        <v>0</v>
      </c>
      <c r="F1117">
        <f t="shared" si="35"/>
        <v>0</v>
      </c>
      <c r="G1117" t="str">
        <f>IFERROR(VLOOKUP(A1117,预留库存!A:G,7,0),0)</f>
        <v>No</v>
      </c>
      <c r="H1117">
        <f>IFERROR(VLOOKUP(A1117,预留库存!A:H,8,0),0)</f>
        <v>0</v>
      </c>
      <c r="I1117">
        <f>IFERROR(VLOOKUP(A1117,预留库存!A:F,6,0),0)</f>
        <v>39.98</v>
      </c>
      <c r="J1117">
        <f>IFERROR(VLOOKUP(A1117,库龄!B:K,9,0),0)</f>
        <v>22</v>
      </c>
      <c r="K1117">
        <f>IFERROR(VLOOKUP(A1117,库龄!B:L,10,0),0)</f>
        <v>0</v>
      </c>
      <c r="L1117">
        <f>IFERROR(VLOOKUP(A1117,库龄!B:M,11,0),0)</f>
        <v>0</v>
      </c>
      <c r="M1117">
        <f>IFERROR(VLOOKUP(A1117,库龄!B:N,12,0),0)</f>
        <v>0</v>
      </c>
      <c r="N1117">
        <f t="shared" si="36"/>
        <v>22</v>
      </c>
    </row>
    <row r="1118" spans="1:14">
      <c r="A1118" s="3" t="s">
        <v>2836</v>
      </c>
      <c r="B1118">
        <f>IFERROR(VLOOKUP(A1118,管理亚马逊库存!A:K,11,0),"")</f>
        <v>4</v>
      </c>
      <c r="C1118">
        <f>IFERROR(VLOOKUP(A1118,管理亚马逊库存!A:L,12,0),"")</f>
        <v>0</v>
      </c>
      <c r="D1118">
        <f>IFERROR(VLOOKUP(A1118,管理亚马逊库存!A:Q,17,0),"")</f>
        <v>0</v>
      </c>
      <c r="E1118">
        <f>IFERROR(VLOOKUP(A1118,管理亚马逊库存!A:R,18,0),"")</f>
        <v>0</v>
      </c>
      <c r="F1118">
        <f t="shared" si="35"/>
        <v>0</v>
      </c>
      <c r="G1118" t="str">
        <f>IFERROR(VLOOKUP(A1118,预留库存!A:G,7,0),0)</f>
        <v>No</v>
      </c>
      <c r="H1118">
        <f>IFERROR(VLOOKUP(A1118,预留库存!A:H,8,0),0)</f>
        <v>0</v>
      </c>
      <c r="I1118">
        <f>IFERROR(VLOOKUP(A1118,预留库存!A:F,6,0),0)</f>
        <v>39.98</v>
      </c>
      <c r="J1118">
        <f>IFERROR(VLOOKUP(A1118,库龄!B:K,9,0),0)</f>
        <v>4</v>
      </c>
      <c r="K1118">
        <f>IFERROR(VLOOKUP(A1118,库龄!B:L,10,0),0)</f>
        <v>0</v>
      </c>
      <c r="L1118">
        <f>IFERROR(VLOOKUP(A1118,库龄!B:M,11,0),0)</f>
        <v>0</v>
      </c>
      <c r="M1118">
        <f>IFERROR(VLOOKUP(A1118,库龄!B:N,12,0),0)</f>
        <v>0</v>
      </c>
      <c r="N1118">
        <f t="shared" si="36"/>
        <v>4</v>
      </c>
    </row>
    <row r="1119" spans="1:14">
      <c r="A1119" s="3" t="s">
        <v>2838</v>
      </c>
      <c r="B1119">
        <f>IFERROR(VLOOKUP(A1119,管理亚马逊库存!A:K,11,0),"")</f>
        <v>19</v>
      </c>
      <c r="C1119">
        <f>IFERROR(VLOOKUP(A1119,管理亚马逊库存!A:L,12,0),"")</f>
        <v>0</v>
      </c>
      <c r="D1119">
        <f>IFERROR(VLOOKUP(A1119,管理亚马逊库存!A:Q,17,0),"")</f>
        <v>0</v>
      </c>
      <c r="E1119">
        <f>IFERROR(VLOOKUP(A1119,管理亚马逊库存!A:R,18,0),"")</f>
        <v>0</v>
      </c>
      <c r="F1119">
        <f t="shared" si="35"/>
        <v>0</v>
      </c>
      <c r="G1119" t="str">
        <f>IFERROR(VLOOKUP(A1119,预留库存!A:G,7,0),0)</f>
        <v>No</v>
      </c>
      <c r="H1119">
        <f>IFERROR(VLOOKUP(A1119,预留库存!A:H,8,0),0)</f>
        <v>0</v>
      </c>
      <c r="I1119">
        <f>IFERROR(VLOOKUP(A1119,预留库存!A:F,6,0),0)</f>
        <v>39.98</v>
      </c>
      <c r="J1119">
        <f>IFERROR(VLOOKUP(A1119,库龄!B:K,9,0),0)</f>
        <v>18</v>
      </c>
      <c r="K1119">
        <f>IFERROR(VLOOKUP(A1119,库龄!B:L,10,0),0)</f>
        <v>0</v>
      </c>
      <c r="L1119">
        <f>IFERROR(VLOOKUP(A1119,库龄!B:M,11,0),0)</f>
        <v>0</v>
      </c>
      <c r="M1119">
        <f>IFERROR(VLOOKUP(A1119,库龄!B:N,12,0),0)</f>
        <v>0</v>
      </c>
      <c r="N1119">
        <f t="shared" si="36"/>
        <v>18</v>
      </c>
    </row>
    <row r="1120" spans="1:14">
      <c r="A1120" s="3" t="s">
        <v>2839</v>
      </c>
      <c r="B1120">
        <f>IFERROR(VLOOKUP(A1120,管理亚马逊库存!A:K,11,0),"")</f>
        <v>10</v>
      </c>
      <c r="C1120">
        <f>IFERROR(VLOOKUP(A1120,管理亚马逊库存!A:L,12,0),"")</f>
        <v>0</v>
      </c>
      <c r="D1120">
        <f>IFERROR(VLOOKUP(A1120,管理亚马逊库存!A:Q,17,0),"")</f>
        <v>0</v>
      </c>
      <c r="E1120">
        <f>IFERROR(VLOOKUP(A1120,管理亚马逊库存!A:R,18,0),"")</f>
        <v>0</v>
      </c>
      <c r="F1120">
        <f t="shared" si="35"/>
        <v>0</v>
      </c>
      <c r="G1120" t="str">
        <f>IFERROR(VLOOKUP(A1120,预留库存!A:G,7,0),0)</f>
        <v>No</v>
      </c>
      <c r="H1120">
        <f>IFERROR(VLOOKUP(A1120,预留库存!A:H,8,0),0)</f>
        <v>0</v>
      </c>
      <c r="I1120">
        <f>IFERROR(VLOOKUP(A1120,预留库存!A:F,6,0),0)</f>
        <v>39.98</v>
      </c>
      <c r="J1120">
        <f>IFERROR(VLOOKUP(A1120,库龄!B:K,9,0),0)</f>
        <v>10</v>
      </c>
      <c r="K1120">
        <f>IFERROR(VLOOKUP(A1120,库龄!B:L,10,0),0)</f>
        <v>0</v>
      </c>
      <c r="L1120">
        <f>IFERROR(VLOOKUP(A1120,库龄!B:M,11,0),0)</f>
        <v>0</v>
      </c>
      <c r="M1120">
        <f>IFERROR(VLOOKUP(A1120,库龄!B:N,12,0),0)</f>
        <v>0</v>
      </c>
      <c r="N1120">
        <f t="shared" si="36"/>
        <v>10</v>
      </c>
    </row>
    <row r="1121" spans="1:14">
      <c r="A1121" s="3" t="s">
        <v>2842</v>
      </c>
      <c r="B1121">
        <f>IFERROR(VLOOKUP(A1121,管理亚马逊库存!A:K,11,0),"")</f>
        <v>18</v>
      </c>
      <c r="C1121">
        <f>IFERROR(VLOOKUP(A1121,管理亚马逊库存!A:L,12,0),"")</f>
        <v>0</v>
      </c>
      <c r="D1121">
        <f>IFERROR(VLOOKUP(A1121,管理亚马逊库存!A:Q,17,0),"")</f>
        <v>0</v>
      </c>
      <c r="E1121">
        <f>IFERROR(VLOOKUP(A1121,管理亚马逊库存!A:R,18,0),"")</f>
        <v>0</v>
      </c>
      <c r="F1121">
        <f t="shared" si="35"/>
        <v>0</v>
      </c>
      <c r="G1121" t="str">
        <f>IFERROR(VLOOKUP(A1121,预留库存!A:G,7,0),0)</f>
        <v>No</v>
      </c>
      <c r="H1121">
        <f>IFERROR(VLOOKUP(A1121,预留库存!A:H,8,0),0)</f>
        <v>0</v>
      </c>
      <c r="I1121">
        <f>IFERROR(VLOOKUP(A1121,预留库存!A:F,6,0),0)</f>
        <v>39.98</v>
      </c>
      <c r="J1121">
        <f>IFERROR(VLOOKUP(A1121,库龄!B:K,9,0),0)</f>
        <v>17</v>
      </c>
      <c r="K1121">
        <f>IFERROR(VLOOKUP(A1121,库龄!B:L,10,0),0)</f>
        <v>0</v>
      </c>
      <c r="L1121">
        <f>IFERROR(VLOOKUP(A1121,库龄!B:M,11,0),0)</f>
        <v>0</v>
      </c>
      <c r="M1121">
        <f>IFERROR(VLOOKUP(A1121,库龄!B:N,12,0),0)</f>
        <v>0</v>
      </c>
      <c r="N1121">
        <f t="shared" si="36"/>
        <v>17</v>
      </c>
    </row>
    <row r="1122" spans="1:14">
      <c r="A1122" s="3" t="s">
        <v>2845</v>
      </c>
      <c r="B1122">
        <f>IFERROR(VLOOKUP(A1122,管理亚马逊库存!A:K,11,0),"")</f>
        <v>20</v>
      </c>
      <c r="C1122">
        <f>IFERROR(VLOOKUP(A1122,管理亚马逊库存!A:L,12,0),"")</f>
        <v>0</v>
      </c>
      <c r="D1122">
        <f>IFERROR(VLOOKUP(A1122,管理亚马逊库存!A:Q,17,0),"")</f>
        <v>0</v>
      </c>
      <c r="E1122">
        <f>IFERROR(VLOOKUP(A1122,管理亚马逊库存!A:R,18,0),"")</f>
        <v>0</v>
      </c>
      <c r="F1122">
        <f t="shared" si="35"/>
        <v>0</v>
      </c>
      <c r="G1122" t="str">
        <f>IFERROR(VLOOKUP(A1122,预留库存!A:G,7,0),0)</f>
        <v>No</v>
      </c>
      <c r="H1122">
        <f>IFERROR(VLOOKUP(A1122,预留库存!A:H,8,0),0)</f>
        <v>0</v>
      </c>
      <c r="I1122">
        <f>IFERROR(VLOOKUP(A1122,预留库存!A:F,6,0),0)</f>
        <v>24.98</v>
      </c>
      <c r="J1122">
        <f>IFERROR(VLOOKUP(A1122,库龄!B:K,9,0),0)</f>
        <v>19</v>
      </c>
      <c r="K1122">
        <f>IFERROR(VLOOKUP(A1122,库龄!B:L,10,0),0)</f>
        <v>0</v>
      </c>
      <c r="L1122">
        <f>IFERROR(VLOOKUP(A1122,库龄!B:M,11,0),0)</f>
        <v>0</v>
      </c>
      <c r="M1122">
        <f>IFERROR(VLOOKUP(A1122,库龄!B:N,12,0),0)</f>
        <v>0</v>
      </c>
      <c r="N1122">
        <f t="shared" si="36"/>
        <v>19</v>
      </c>
    </row>
    <row r="1123" spans="1:14">
      <c r="A1123" s="3" t="s">
        <v>2847</v>
      </c>
      <c r="B1123">
        <f>IFERROR(VLOOKUP(A1123,管理亚马逊库存!A:K,11,0),"")</f>
        <v>17</v>
      </c>
      <c r="C1123">
        <f>IFERROR(VLOOKUP(A1123,管理亚马逊库存!A:L,12,0),"")</f>
        <v>0</v>
      </c>
      <c r="D1123">
        <f>IFERROR(VLOOKUP(A1123,管理亚马逊库存!A:Q,17,0),"")</f>
        <v>0</v>
      </c>
      <c r="E1123">
        <f>IFERROR(VLOOKUP(A1123,管理亚马逊库存!A:R,18,0),"")</f>
        <v>0</v>
      </c>
      <c r="F1123">
        <f t="shared" si="35"/>
        <v>0</v>
      </c>
      <c r="G1123" t="str">
        <f>IFERROR(VLOOKUP(A1123,预留库存!A:G,7,0),0)</f>
        <v>No</v>
      </c>
      <c r="H1123">
        <f>IFERROR(VLOOKUP(A1123,预留库存!A:H,8,0),0)</f>
        <v>0</v>
      </c>
      <c r="I1123">
        <f>IFERROR(VLOOKUP(A1123,预留库存!A:F,6,0),0)</f>
        <v>24.98</v>
      </c>
      <c r="J1123">
        <f>IFERROR(VLOOKUP(A1123,库龄!B:K,9,0),0)</f>
        <v>16</v>
      </c>
      <c r="K1123">
        <f>IFERROR(VLOOKUP(A1123,库龄!B:L,10,0),0)</f>
        <v>0</v>
      </c>
      <c r="L1123">
        <f>IFERROR(VLOOKUP(A1123,库龄!B:M,11,0),0)</f>
        <v>0</v>
      </c>
      <c r="M1123">
        <f>IFERROR(VLOOKUP(A1123,库龄!B:N,12,0),0)</f>
        <v>0</v>
      </c>
      <c r="N1123">
        <f t="shared" si="36"/>
        <v>16</v>
      </c>
    </row>
    <row r="1124" spans="1:14">
      <c r="A1124" s="3" t="s">
        <v>2849</v>
      </c>
      <c r="B1124">
        <f>IFERROR(VLOOKUP(A1124,管理亚马逊库存!A:K,11,0),"")</f>
        <v>12</v>
      </c>
      <c r="C1124">
        <f>IFERROR(VLOOKUP(A1124,管理亚马逊库存!A:L,12,0),"")</f>
        <v>0</v>
      </c>
      <c r="D1124">
        <f>IFERROR(VLOOKUP(A1124,管理亚马逊库存!A:Q,17,0),"")</f>
        <v>0</v>
      </c>
      <c r="E1124">
        <f>IFERROR(VLOOKUP(A1124,管理亚马逊库存!A:R,18,0),"")</f>
        <v>0</v>
      </c>
      <c r="F1124">
        <f t="shared" si="35"/>
        <v>0</v>
      </c>
      <c r="G1124" t="str">
        <f>IFERROR(VLOOKUP(A1124,预留库存!A:G,7,0),0)</f>
        <v>No</v>
      </c>
      <c r="H1124">
        <f>IFERROR(VLOOKUP(A1124,预留库存!A:H,8,0),0)</f>
        <v>0</v>
      </c>
      <c r="I1124">
        <f>IFERROR(VLOOKUP(A1124,预留库存!A:F,6,0),0)</f>
        <v>39.98</v>
      </c>
      <c r="J1124">
        <f>IFERROR(VLOOKUP(A1124,库龄!B:K,9,0),0)</f>
        <v>12</v>
      </c>
      <c r="K1124">
        <f>IFERROR(VLOOKUP(A1124,库龄!B:L,10,0),0)</f>
        <v>0</v>
      </c>
      <c r="L1124">
        <f>IFERROR(VLOOKUP(A1124,库龄!B:M,11,0),0)</f>
        <v>0</v>
      </c>
      <c r="M1124">
        <f>IFERROR(VLOOKUP(A1124,库龄!B:N,12,0),0)</f>
        <v>0</v>
      </c>
      <c r="N1124">
        <f t="shared" si="36"/>
        <v>12</v>
      </c>
    </row>
    <row r="1125" spans="1:14">
      <c r="A1125" s="3" t="s">
        <v>2852</v>
      </c>
      <c r="B1125">
        <f>IFERROR(VLOOKUP(A1125,管理亚马逊库存!A:K,11,0),"")</f>
        <v>11</v>
      </c>
      <c r="C1125">
        <f>IFERROR(VLOOKUP(A1125,管理亚马逊库存!A:L,12,0),"")</f>
        <v>0</v>
      </c>
      <c r="D1125">
        <f>IFERROR(VLOOKUP(A1125,管理亚马逊库存!A:Q,17,0),"")</f>
        <v>0</v>
      </c>
      <c r="E1125">
        <f>IFERROR(VLOOKUP(A1125,管理亚马逊库存!A:R,18,0),"")</f>
        <v>0</v>
      </c>
      <c r="F1125">
        <f t="shared" si="35"/>
        <v>0</v>
      </c>
      <c r="G1125" t="str">
        <f>IFERROR(VLOOKUP(A1125,预留库存!A:G,7,0),0)</f>
        <v>No</v>
      </c>
      <c r="H1125">
        <f>IFERROR(VLOOKUP(A1125,预留库存!A:H,8,0),0)</f>
        <v>0</v>
      </c>
      <c r="I1125">
        <f>IFERROR(VLOOKUP(A1125,预留库存!A:F,6,0),0)</f>
        <v>39.98</v>
      </c>
      <c r="J1125">
        <f>IFERROR(VLOOKUP(A1125,库龄!B:K,9,0),0)</f>
        <v>0</v>
      </c>
      <c r="K1125">
        <f>IFERROR(VLOOKUP(A1125,库龄!B:L,10,0),0)</f>
        <v>0</v>
      </c>
      <c r="L1125">
        <f>IFERROR(VLOOKUP(A1125,库龄!B:M,11,0),0)</f>
        <v>0</v>
      </c>
      <c r="M1125">
        <f>IFERROR(VLOOKUP(A1125,库龄!B:N,12,0),0)</f>
        <v>0</v>
      </c>
      <c r="N1125">
        <f t="shared" si="36"/>
        <v>0</v>
      </c>
    </row>
    <row r="1126" spans="1:14">
      <c r="A1126" s="3" t="s">
        <v>2853</v>
      </c>
      <c r="B1126">
        <f>IFERROR(VLOOKUP(A1126,管理亚马逊库存!A:K,11,0),"")</f>
        <v>12</v>
      </c>
      <c r="C1126">
        <f>IFERROR(VLOOKUP(A1126,管理亚马逊库存!A:L,12,0),"")</f>
        <v>0</v>
      </c>
      <c r="D1126">
        <f>IFERROR(VLOOKUP(A1126,管理亚马逊库存!A:Q,17,0),"")</f>
        <v>0</v>
      </c>
      <c r="E1126">
        <f>IFERROR(VLOOKUP(A1126,管理亚马逊库存!A:R,18,0),"")</f>
        <v>0</v>
      </c>
      <c r="F1126">
        <f t="shared" si="35"/>
        <v>0</v>
      </c>
      <c r="G1126" t="str">
        <f>IFERROR(VLOOKUP(A1126,预留库存!A:G,7,0),0)</f>
        <v>No</v>
      </c>
      <c r="H1126">
        <f>IFERROR(VLOOKUP(A1126,预留库存!A:H,8,0),0)</f>
        <v>0</v>
      </c>
      <c r="I1126">
        <f>IFERROR(VLOOKUP(A1126,预留库存!A:F,6,0),0)</f>
        <v>25.98</v>
      </c>
      <c r="J1126">
        <f>IFERROR(VLOOKUP(A1126,库龄!B:K,9,0),0)</f>
        <v>12</v>
      </c>
      <c r="K1126">
        <f>IFERROR(VLOOKUP(A1126,库龄!B:L,10,0),0)</f>
        <v>0</v>
      </c>
      <c r="L1126">
        <f>IFERROR(VLOOKUP(A1126,库龄!B:M,11,0),0)</f>
        <v>0</v>
      </c>
      <c r="M1126">
        <f>IFERROR(VLOOKUP(A1126,库龄!B:N,12,0),0)</f>
        <v>0</v>
      </c>
      <c r="N1126">
        <f t="shared" si="36"/>
        <v>12</v>
      </c>
    </row>
    <row r="1127" spans="1:14">
      <c r="A1127" s="3" t="s">
        <v>2855</v>
      </c>
      <c r="B1127">
        <f>IFERROR(VLOOKUP(A1127,管理亚马逊库存!A:K,11,0),"")</f>
        <v>31</v>
      </c>
      <c r="C1127">
        <f>IFERROR(VLOOKUP(A1127,管理亚马逊库存!A:L,12,0),"")</f>
        <v>0</v>
      </c>
      <c r="D1127">
        <f>IFERROR(VLOOKUP(A1127,管理亚马逊库存!A:Q,17,0),"")</f>
        <v>0</v>
      </c>
      <c r="E1127">
        <f>IFERROR(VLOOKUP(A1127,管理亚马逊库存!A:R,18,0),"")</f>
        <v>0</v>
      </c>
      <c r="F1127">
        <f t="shared" si="35"/>
        <v>0</v>
      </c>
      <c r="G1127" t="str">
        <f>IFERROR(VLOOKUP(A1127,预留库存!A:G,7,0),0)</f>
        <v>No</v>
      </c>
      <c r="H1127">
        <f>IFERROR(VLOOKUP(A1127,预留库存!A:H,8,0),0)</f>
        <v>0</v>
      </c>
      <c r="I1127">
        <f>IFERROR(VLOOKUP(A1127,预留库存!A:F,6,0),0)</f>
        <v>39.98</v>
      </c>
      <c r="J1127">
        <f>IFERROR(VLOOKUP(A1127,库龄!B:K,9,0),0)</f>
        <v>18</v>
      </c>
      <c r="K1127">
        <f>IFERROR(VLOOKUP(A1127,库龄!B:L,10,0),0)</f>
        <v>0</v>
      </c>
      <c r="L1127">
        <f>IFERROR(VLOOKUP(A1127,库龄!B:M,11,0),0)</f>
        <v>0</v>
      </c>
      <c r="M1127">
        <f>IFERROR(VLOOKUP(A1127,库龄!B:N,12,0),0)</f>
        <v>0</v>
      </c>
      <c r="N1127">
        <f t="shared" si="36"/>
        <v>18</v>
      </c>
    </row>
    <row r="1128" spans="1:14">
      <c r="A1128" s="3" t="s">
        <v>2857</v>
      </c>
      <c r="B1128">
        <f>IFERROR(VLOOKUP(A1128,管理亚马逊库存!A:K,11,0),"")</f>
        <v>28</v>
      </c>
      <c r="C1128">
        <f>IFERROR(VLOOKUP(A1128,管理亚马逊库存!A:L,12,0),"")</f>
        <v>0</v>
      </c>
      <c r="D1128">
        <f>IFERROR(VLOOKUP(A1128,管理亚马逊库存!A:Q,17,0),"")</f>
        <v>0</v>
      </c>
      <c r="E1128">
        <f>IFERROR(VLOOKUP(A1128,管理亚马逊库存!A:R,18,0),"")</f>
        <v>0</v>
      </c>
      <c r="F1128">
        <f t="shared" si="35"/>
        <v>0</v>
      </c>
      <c r="G1128" t="str">
        <f>IFERROR(VLOOKUP(A1128,预留库存!A:G,7,0),0)</f>
        <v>No</v>
      </c>
      <c r="H1128">
        <f>IFERROR(VLOOKUP(A1128,预留库存!A:H,8,0),0)</f>
        <v>0</v>
      </c>
      <c r="I1128">
        <f>IFERROR(VLOOKUP(A1128,预留库存!A:F,6,0),0)</f>
        <v>39.98</v>
      </c>
      <c r="J1128">
        <f>IFERROR(VLOOKUP(A1128,库龄!B:K,9,0),0)</f>
        <v>27</v>
      </c>
      <c r="K1128">
        <f>IFERROR(VLOOKUP(A1128,库龄!B:L,10,0),0)</f>
        <v>0</v>
      </c>
      <c r="L1128">
        <f>IFERROR(VLOOKUP(A1128,库龄!B:M,11,0),0)</f>
        <v>0</v>
      </c>
      <c r="M1128">
        <f>IFERROR(VLOOKUP(A1128,库龄!B:N,12,0),0)</f>
        <v>0</v>
      </c>
      <c r="N1128">
        <f t="shared" si="36"/>
        <v>27</v>
      </c>
    </row>
    <row r="1129" spans="1:14">
      <c r="A1129" s="3" t="s">
        <v>2858</v>
      </c>
      <c r="B1129">
        <f>IFERROR(VLOOKUP(A1129,管理亚马逊库存!A:K,11,0),"")</f>
        <v>14</v>
      </c>
      <c r="C1129">
        <f>IFERROR(VLOOKUP(A1129,管理亚马逊库存!A:L,12,0),"")</f>
        <v>0</v>
      </c>
      <c r="D1129">
        <f>IFERROR(VLOOKUP(A1129,管理亚马逊库存!A:Q,17,0),"")</f>
        <v>0</v>
      </c>
      <c r="E1129">
        <f>IFERROR(VLOOKUP(A1129,管理亚马逊库存!A:R,18,0),"")</f>
        <v>0</v>
      </c>
      <c r="F1129">
        <f t="shared" si="35"/>
        <v>0</v>
      </c>
      <c r="G1129" t="str">
        <f>IFERROR(VLOOKUP(A1129,预留库存!A:G,7,0),0)</f>
        <v>No</v>
      </c>
      <c r="H1129">
        <f>IFERROR(VLOOKUP(A1129,预留库存!A:H,8,0),0)</f>
        <v>0</v>
      </c>
      <c r="I1129">
        <f>IFERROR(VLOOKUP(A1129,预留库存!A:F,6,0),0)</f>
        <v>39.98</v>
      </c>
      <c r="J1129">
        <f>IFERROR(VLOOKUP(A1129,库龄!B:K,9,0),0)</f>
        <v>13</v>
      </c>
      <c r="K1129">
        <f>IFERROR(VLOOKUP(A1129,库龄!B:L,10,0),0)</f>
        <v>0</v>
      </c>
      <c r="L1129">
        <f>IFERROR(VLOOKUP(A1129,库龄!B:M,11,0),0)</f>
        <v>0</v>
      </c>
      <c r="M1129">
        <f>IFERROR(VLOOKUP(A1129,库龄!B:N,12,0),0)</f>
        <v>0</v>
      </c>
      <c r="N1129">
        <f t="shared" si="36"/>
        <v>13</v>
      </c>
    </row>
    <row r="1130" spans="1:14">
      <c r="A1130" s="3" t="s">
        <v>2861</v>
      </c>
      <c r="B1130">
        <f>IFERROR(VLOOKUP(A1130,管理亚马逊库存!A:K,11,0),"")</f>
        <v>5</v>
      </c>
      <c r="C1130">
        <f>IFERROR(VLOOKUP(A1130,管理亚马逊库存!A:L,12,0),"")</f>
        <v>0</v>
      </c>
      <c r="D1130">
        <f>IFERROR(VLOOKUP(A1130,管理亚马逊库存!A:Q,17,0),"")</f>
        <v>0</v>
      </c>
      <c r="E1130">
        <f>IFERROR(VLOOKUP(A1130,管理亚马逊库存!A:R,18,0),"")</f>
        <v>0</v>
      </c>
      <c r="F1130">
        <f t="shared" si="35"/>
        <v>0</v>
      </c>
      <c r="G1130" t="str">
        <f>IFERROR(VLOOKUP(A1130,预留库存!A:G,7,0),0)</f>
        <v>No</v>
      </c>
      <c r="H1130">
        <f>IFERROR(VLOOKUP(A1130,预留库存!A:H,8,0),0)</f>
        <v>0</v>
      </c>
      <c r="I1130">
        <f>IFERROR(VLOOKUP(A1130,预留库存!A:F,6,0),0)</f>
        <v>39.98</v>
      </c>
      <c r="J1130">
        <f>IFERROR(VLOOKUP(A1130,库龄!B:K,9,0),0)</f>
        <v>5</v>
      </c>
      <c r="K1130">
        <f>IFERROR(VLOOKUP(A1130,库龄!B:L,10,0),0)</f>
        <v>0</v>
      </c>
      <c r="L1130">
        <f>IFERROR(VLOOKUP(A1130,库龄!B:M,11,0),0)</f>
        <v>0</v>
      </c>
      <c r="M1130">
        <f>IFERROR(VLOOKUP(A1130,库龄!B:N,12,0),0)</f>
        <v>0</v>
      </c>
      <c r="N1130">
        <f t="shared" si="36"/>
        <v>5</v>
      </c>
    </row>
    <row r="1131" spans="1:14">
      <c r="A1131" s="3" t="s">
        <v>2864</v>
      </c>
      <c r="B1131">
        <f>IFERROR(VLOOKUP(A1131,管理亚马逊库存!A:K,11,0),"")</f>
        <v>27</v>
      </c>
      <c r="C1131">
        <f>IFERROR(VLOOKUP(A1131,管理亚马逊库存!A:L,12,0),"")</f>
        <v>0</v>
      </c>
      <c r="D1131">
        <f>IFERROR(VLOOKUP(A1131,管理亚马逊库存!A:Q,17,0),"")</f>
        <v>0</v>
      </c>
      <c r="E1131">
        <f>IFERROR(VLOOKUP(A1131,管理亚马逊库存!A:R,18,0),"")</f>
        <v>0</v>
      </c>
      <c r="F1131">
        <f t="shared" si="35"/>
        <v>0</v>
      </c>
      <c r="G1131" t="str">
        <f>IFERROR(VLOOKUP(A1131,预留库存!A:G,7,0),0)</f>
        <v>No</v>
      </c>
      <c r="H1131">
        <f>IFERROR(VLOOKUP(A1131,预留库存!A:H,8,0),0)</f>
        <v>0</v>
      </c>
      <c r="I1131">
        <f>IFERROR(VLOOKUP(A1131,预留库存!A:F,6,0),0)</f>
        <v>39.98</v>
      </c>
      <c r="J1131">
        <f>IFERROR(VLOOKUP(A1131,库龄!B:K,9,0),0)</f>
        <v>27</v>
      </c>
      <c r="K1131">
        <f>IFERROR(VLOOKUP(A1131,库龄!B:L,10,0),0)</f>
        <v>0</v>
      </c>
      <c r="L1131">
        <f>IFERROR(VLOOKUP(A1131,库龄!B:M,11,0),0)</f>
        <v>0</v>
      </c>
      <c r="M1131">
        <f>IFERROR(VLOOKUP(A1131,库龄!B:N,12,0),0)</f>
        <v>0</v>
      </c>
      <c r="N1131">
        <f t="shared" si="36"/>
        <v>27</v>
      </c>
    </row>
    <row r="1132" spans="1:14">
      <c r="A1132" s="3" t="s">
        <v>2867</v>
      </c>
      <c r="B1132">
        <f>IFERROR(VLOOKUP(A1132,管理亚马逊库存!A:K,11,0),"")</f>
        <v>9</v>
      </c>
      <c r="C1132">
        <f>IFERROR(VLOOKUP(A1132,管理亚马逊库存!A:L,12,0),"")</f>
        <v>0</v>
      </c>
      <c r="D1132">
        <f>IFERROR(VLOOKUP(A1132,管理亚马逊库存!A:Q,17,0),"")</f>
        <v>0</v>
      </c>
      <c r="E1132">
        <f>IFERROR(VLOOKUP(A1132,管理亚马逊库存!A:R,18,0),"")</f>
        <v>0</v>
      </c>
      <c r="F1132">
        <f t="shared" si="35"/>
        <v>0</v>
      </c>
      <c r="G1132" t="str">
        <f>IFERROR(VLOOKUP(A1132,预留库存!A:G,7,0),0)</f>
        <v>No</v>
      </c>
      <c r="H1132">
        <f>IFERROR(VLOOKUP(A1132,预留库存!A:H,8,0),0)</f>
        <v>0</v>
      </c>
      <c r="I1132">
        <f>IFERROR(VLOOKUP(A1132,预留库存!A:F,6,0),0)</f>
        <v>39.98</v>
      </c>
      <c r="J1132">
        <f>IFERROR(VLOOKUP(A1132,库龄!B:K,9,0),0)</f>
        <v>9</v>
      </c>
      <c r="K1132">
        <f>IFERROR(VLOOKUP(A1132,库龄!B:L,10,0),0)</f>
        <v>0</v>
      </c>
      <c r="L1132">
        <f>IFERROR(VLOOKUP(A1132,库龄!B:M,11,0),0)</f>
        <v>0</v>
      </c>
      <c r="M1132">
        <f>IFERROR(VLOOKUP(A1132,库龄!B:N,12,0),0)</f>
        <v>0</v>
      </c>
      <c r="N1132">
        <f t="shared" si="36"/>
        <v>9</v>
      </c>
    </row>
    <row r="1133" spans="1:14">
      <c r="A1133" s="3" t="s">
        <v>2869</v>
      </c>
      <c r="B1133">
        <f>IFERROR(VLOOKUP(A1133,管理亚马逊库存!A:K,11,0),"")</f>
        <v>1</v>
      </c>
      <c r="C1133">
        <f>IFERROR(VLOOKUP(A1133,管理亚马逊库存!A:L,12,0),"")</f>
        <v>0</v>
      </c>
      <c r="D1133">
        <f>IFERROR(VLOOKUP(A1133,管理亚马逊库存!A:Q,17,0),"")</f>
        <v>0</v>
      </c>
      <c r="E1133">
        <f>IFERROR(VLOOKUP(A1133,管理亚马逊库存!A:R,18,0),"")</f>
        <v>0</v>
      </c>
      <c r="F1133">
        <f t="shared" si="35"/>
        <v>0</v>
      </c>
      <c r="G1133" t="str">
        <f>IFERROR(VLOOKUP(A1133,预留库存!A:G,7,0),0)</f>
        <v>No</v>
      </c>
      <c r="H1133">
        <f>IFERROR(VLOOKUP(A1133,预留库存!A:H,8,0),0)</f>
        <v>0</v>
      </c>
      <c r="I1133">
        <f>IFERROR(VLOOKUP(A1133,预留库存!A:F,6,0),0)</f>
        <v>39.98</v>
      </c>
      <c r="J1133">
        <f>IFERROR(VLOOKUP(A1133,库龄!B:K,9,0),0)</f>
        <v>0</v>
      </c>
      <c r="K1133">
        <f>IFERROR(VLOOKUP(A1133,库龄!B:L,10,0),0)</f>
        <v>0</v>
      </c>
      <c r="L1133">
        <f>IFERROR(VLOOKUP(A1133,库龄!B:M,11,0),0)</f>
        <v>0</v>
      </c>
      <c r="M1133">
        <f>IFERROR(VLOOKUP(A1133,库龄!B:N,12,0),0)</f>
        <v>0</v>
      </c>
      <c r="N1133">
        <f t="shared" si="36"/>
        <v>0</v>
      </c>
    </row>
    <row r="1134" spans="1:14">
      <c r="A1134" s="3" t="s">
        <v>2872</v>
      </c>
      <c r="B1134">
        <f>IFERROR(VLOOKUP(A1134,管理亚马逊库存!A:K,11,0),"")</f>
        <v>22</v>
      </c>
      <c r="C1134">
        <f>IFERROR(VLOOKUP(A1134,管理亚马逊库存!A:L,12,0),"")</f>
        <v>0</v>
      </c>
      <c r="D1134">
        <f>IFERROR(VLOOKUP(A1134,管理亚马逊库存!A:Q,17,0),"")</f>
        <v>0</v>
      </c>
      <c r="E1134">
        <f>IFERROR(VLOOKUP(A1134,管理亚马逊库存!A:R,18,0),"")</f>
        <v>0</v>
      </c>
      <c r="F1134">
        <f t="shared" si="35"/>
        <v>0</v>
      </c>
      <c r="G1134" t="str">
        <f>IFERROR(VLOOKUP(A1134,预留库存!A:G,7,0),0)</f>
        <v>No</v>
      </c>
      <c r="H1134">
        <f>IFERROR(VLOOKUP(A1134,预留库存!A:H,8,0),0)</f>
        <v>0</v>
      </c>
      <c r="I1134">
        <f>IFERROR(VLOOKUP(A1134,预留库存!A:F,6,0),0)</f>
        <v>39.98</v>
      </c>
      <c r="J1134">
        <f>IFERROR(VLOOKUP(A1134,库龄!B:K,9,0),0)</f>
        <v>0</v>
      </c>
      <c r="K1134">
        <f>IFERROR(VLOOKUP(A1134,库龄!B:L,10,0),0)</f>
        <v>0</v>
      </c>
      <c r="L1134">
        <f>IFERROR(VLOOKUP(A1134,库龄!B:M,11,0),0)</f>
        <v>0</v>
      </c>
      <c r="M1134">
        <f>IFERROR(VLOOKUP(A1134,库龄!B:N,12,0),0)</f>
        <v>0</v>
      </c>
      <c r="N1134">
        <f t="shared" si="36"/>
        <v>0</v>
      </c>
    </row>
    <row r="1135" spans="1:14">
      <c r="A1135" s="3" t="s">
        <v>2874</v>
      </c>
      <c r="B1135">
        <f>IFERROR(VLOOKUP(A1135,管理亚马逊库存!A:K,11,0),"")</f>
        <v>6</v>
      </c>
      <c r="C1135">
        <f>IFERROR(VLOOKUP(A1135,管理亚马逊库存!A:L,12,0),"")</f>
        <v>0</v>
      </c>
      <c r="D1135">
        <f>IFERROR(VLOOKUP(A1135,管理亚马逊库存!A:Q,17,0),"")</f>
        <v>0</v>
      </c>
      <c r="E1135">
        <f>IFERROR(VLOOKUP(A1135,管理亚马逊库存!A:R,18,0),"")</f>
        <v>0</v>
      </c>
      <c r="F1135">
        <f t="shared" si="35"/>
        <v>0</v>
      </c>
      <c r="G1135" t="str">
        <f>IFERROR(VLOOKUP(A1135,预留库存!A:G,7,0),0)</f>
        <v>No</v>
      </c>
      <c r="H1135">
        <f>IFERROR(VLOOKUP(A1135,预留库存!A:H,8,0),0)</f>
        <v>0</v>
      </c>
      <c r="I1135">
        <f>IFERROR(VLOOKUP(A1135,预留库存!A:F,6,0),0)</f>
        <v>39.98</v>
      </c>
      <c r="J1135">
        <f>IFERROR(VLOOKUP(A1135,库龄!B:K,9,0),0)</f>
        <v>0</v>
      </c>
      <c r="K1135">
        <f>IFERROR(VLOOKUP(A1135,库龄!B:L,10,0),0)</f>
        <v>0</v>
      </c>
      <c r="L1135">
        <f>IFERROR(VLOOKUP(A1135,库龄!B:M,11,0),0)</f>
        <v>0</v>
      </c>
      <c r="M1135">
        <f>IFERROR(VLOOKUP(A1135,库龄!B:N,12,0),0)</f>
        <v>0</v>
      </c>
      <c r="N1135">
        <f t="shared" si="36"/>
        <v>0</v>
      </c>
    </row>
    <row r="1136" spans="1:14">
      <c r="A1136" s="3" t="s">
        <v>2875</v>
      </c>
      <c r="B1136">
        <f>IFERROR(VLOOKUP(A1136,管理亚马逊库存!A:K,11,0),"")</f>
        <v>5</v>
      </c>
      <c r="C1136">
        <f>IFERROR(VLOOKUP(A1136,管理亚马逊库存!A:L,12,0),"")</f>
        <v>0</v>
      </c>
      <c r="D1136">
        <f>IFERROR(VLOOKUP(A1136,管理亚马逊库存!A:Q,17,0),"")</f>
        <v>0</v>
      </c>
      <c r="E1136">
        <f>IFERROR(VLOOKUP(A1136,管理亚马逊库存!A:R,18,0),"")</f>
        <v>0</v>
      </c>
      <c r="F1136">
        <f t="shared" si="35"/>
        <v>0</v>
      </c>
      <c r="G1136" t="str">
        <f>IFERROR(VLOOKUP(A1136,预留库存!A:G,7,0),0)</f>
        <v>No</v>
      </c>
      <c r="H1136">
        <f>IFERROR(VLOOKUP(A1136,预留库存!A:H,8,0),0)</f>
        <v>0</v>
      </c>
      <c r="I1136">
        <f>IFERROR(VLOOKUP(A1136,预留库存!A:F,6,0),0)</f>
        <v>39.98</v>
      </c>
      <c r="J1136">
        <f>IFERROR(VLOOKUP(A1136,库龄!B:K,9,0),0)</f>
        <v>2</v>
      </c>
      <c r="K1136">
        <f>IFERROR(VLOOKUP(A1136,库龄!B:L,10,0),0)</f>
        <v>0</v>
      </c>
      <c r="L1136">
        <f>IFERROR(VLOOKUP(A1136,库龄!B:M,11,0),0)</f>
        <v>0</v>
      </c>
      <c r="M1136">
        <f>IFERROR(VLOOKUP(A1136,库龄!B:N,12,0),0)</f>
        <v>0</v>
      </c>
      <c r="N1136">
        <f t="shared" si="36"/>
        <v>2</v>
      </c>
    </row>
    <row r="1137" spans="1:14">
      <c r="A1137" s="3" t="s">
        <v>2876</v>
      </c>
      <c r="B1137">
        <f>IFERROR(VLOOKUP(A1137,管理亚马逊库存!A:K,11,0),"")</f>
        <v>0</v>
      </c>
      <c r="C1137">
        <f>IFERROR(VLOOKUP(A1137,管理亚马逊库存!A:L,12,0),"")</f>
        <v>0</v>
      </c>
      <c r="D1137">
        <f>IFERROR(VLOOKUP(A1137,管理亚马逊库存!A:Q,17,0),"")</f>
        <v>0</v>
      </c>
      <c r="E1137">
        <f>IFERROR(VLOOKUP(A1137,管理亚马逊库存!A:R,18,0),"")</f>
        <v>0</v>
      </c>
      <c r="F1137">
        <f t="shared" si="35"/>
        <v>0</v>
      </c>
      <c r="G1137" t="str">
        <f>IFERROR(VLOOKUP(A1137,预留库存!A:G,7,0),0)</f>
        <v>No</v>
      </c>
      <c r="H1137">
        <f>IFERROR(VLOOKUP(A1137,预留库存!A:H,8,0),0)</f>
        <v>0</v>
      </c>
      <c r="I1137">
        <f>IFERROR(VLOOKUP(A1137,预留库存!A:F,6,0),0)</f>
        <v>39.98</v>
      </c>
      <c r="J1137">
        <f>IFERROR(VLOOKUP(A1137,库龄!B:K,9,0),0)</f>
        <v>0</v>
      </c>
      <c r="K1137">
        <f>IFERROR(VLOOKUP(A1137,库龄!B:L,10,0),0)</f>
        <v>0</v>
      </c>
      <c r="L1137">
        <f>IFERROR(VLOOKUP(A1137,库龄!B:M,11,0),0)</f>
        <v>0</v>
      </c>
      <c r="M1137">
        <f>IFERROR(VLOOKUP(A1137,库龄!B:N,12,0),0)</f>
        <v>0</v>
      </c>
      <c r="N1137">
        <f t="shared" si="36"/>
        <v>0</v>
      </c>
    </row>
    <row r="1138" spans="1:14">
      <c r="A1138" s="3" t="s">
        <v>2877</v>
      </c>
      <c r="B1138">
        <f>IFERROR(VLOOKUP(A1138,管理亚马逊库存!A:K,11,0),"")</f>
        <v>9</v>
      </c>
      <c r="C1138">
        <f>IFERROR(VLOOKUP(A1138,管理亚马逊库存!A:L,12,0),"")</f>
        <v>0</v>
      </c>
      <c r="D1138">
        <f>IFERROR(VLOOKUP(A1138,管理亚马逊库存!A:Q,17,0),"")</f>
        <v>0</v>
      </c>
      <c r="E1138">
        <f>IFERROR(VLOOKUP(A1138,管理亚马逊库存!A:R,18,0),"")</f>
        <v>0</v>
      </c>
      <c r="F1138">
        <f t="shared" si="35"/>
        <v>0</v>
      </c>
      <c r="G1138" t="str">
        <f>IFERROR(VLOOKUP(A1138,预留库存!A:G,7,0),0)</f>
        <v>No</v>
      </c>
      <c r="H1138">
        <f>IFERROR(VLOOKUP(A1138,预留库存!A:H,8,0),0)</f>
        <v>0</v>
      </c>
      <c r="I1138">
        <f>IFERROR(VLOOKUP(A1138,预留库存!A:F,6,0),0)</f>
        <v>39.98</v>
      </c>
      <c r="J1138">
        <f>IFERROR(VLOOKUP(A1138,库龄!B:K,9,0),0)</f>
        <v>0</v>
      </c>
      <c r="K1138">
        <f>IFERROR(VLOOKUP(A1138,库龄!B:L,10,0),0)</f>
        <v>0</v>
      </c>
      <c r="L1138">
        <f>IFERROR(VLOOKUP(A1138,库龄!B:M,11,0),0)</f>
        <v>0</v>
      </c>
      <c r="M1138">
        <f>IFERROR(VLOOKUP(A1138,库龄!B:N,12,0),0)</f>
        <v>0</v>
      </c>
      <c r="N1138">
        <f t="shared" si="36"/>
        <v>0</v>
      </c>
    </row>
    <row r="1139" spans="1:14">
      <c r="A1139" s="3" t="s">
        <v>2878</v>
      </c>
      <c r="B1139">
        <f>IFERROR(VLOOKUP(A1139,管理亚马逊库存!A:K,11,0),"")</f>
        <v>18</v>
      </c>
      <c r="C1139">
        <f>IFERROR(VLOOKUP(A1139,管理亚马逊库存!A:L,12,0),"")</f>
        <v>0</v>
      </c>
      <c r="D1139">
        <f>IFERROR(VLOOKUP(A1139,管理亚马逊库存!A:Q,17,0),"")</f>
        <v>0</v>
      </c>
      <c r="E1139">
        <f>IFERROR(VLOOKUP(A1139,管理亚马逊库存!A:R,18,0),"")</f>
        <v>0</v>
      </c>
      <c r="F1139">
        <f t="shared" si="35"/>
        <v>0</v>
      </c>
      <c r="G1139" t="str">
        <f>IFERROR(VLOOKUP(A1139,预留库存!A:G,7,0),0)</f>
        <v>No</v>
      </c>
      <c r="H1139">
        <f>IFERROR(VLOOKUP(A1139,预留库存!A:H,8,0),0)</f>
        <v>0</v>
      </c>
      <c r="I1139">
        <f>IFERROR(VLOOKUP(A1139,预留库存!A:F,6,0),0)</f>
        <v>39.98</v>
      </c>
      <c r="J1139">
        <f>IFERROR(VLOOKUP(A1139,库龄!B:K,9,0),0)</f>
        <v>0</v>
      </c>
      <c r="K1139">
        <f>IFERROR(VLOOKUP(A1139,库龄!B:L,10,0),0)</f>
        <v>0</v>
      </c>
      <c r="L1139">
        <f>IFERROR(VLOOKUP(A1139,库龄!B:M,11,0),0)</f>
        <v>0</v>
      </c>
      <c r="M1139">
        <f>IFERROR(VLOOKUP(A1139,库龄!B:N,12,0),0)</f>
        <v>0</v>
      </c>
      <c r="N1139">
        <f t="shared" si="36"/>
        <v>0</v>
      </c>
    </row>
    <row r="1140" spans="1:14">
      <c r="A1140" s="3" t="s">
        <v>2880</v>
      </c>
      <c r="B1140">
        <f>IFERROR(VLOOKUP(A1140,管理亚马逊库存!A:K,11,0),"")</f>
        <v>0</v>
      </c>
      <c r="C1140">
        <f>IFERROR(VLOOKUP(A1140,管理亚马逊库存!A:L,12,0),"")</f>
        <v>0</v>
      </c>
      <c r="D1140">
        <f>IFERROR(VLOOKUP(A1140,管理亚马逊库存!A:Q,17,0),"")</f>
        <v>0</v>
      </c>
      <c r="E1140">
        <f>IFERROR(VLOOKUP(A1140,管理亚马逊库存!A:R,18,0),"")</f>
        <v>0</v>
      </c>
      <c r="F1140">
        <f t="shared" si="35"/>
        <v>0</v>
      </c>
      <c r="G1140" t="str">
        <f>IFERROR(VLOOKUP(A1140,预留库存!A:G,7,0),0)</f>
        <v>No</v>
      </c>
      <c r="H1140">
        <f>IFERROR(VLOOKUP(A1140,预留库存!A:H,8,0),0)</f>
        <v>0</v>
      </c>
      <c r="I1140">
        <f>IFERROR(VLOOKUP(A1140,预留库存!A:F,6,0),0)</f>
        <v>39.98</v>
      </c>
      <c r="J1140">
        <f>IFERROR(VLOOKUP(A1140,库龄!B:K,9,0),0)</f>
        <v>0</v>
      </c>
      <c r="K1140">
        <f>IFERROR(VLOOKUP(A1140,库龄!B:L,10,0),0)</f>
        <v>0</v>
      </c>
      <c r="L1140">
        <f>IFERROR(VLOOKUP(A1140,库龄!B:M,11,0),0)</f>
        <v>0</v>
      </c>
      <c r="M1140">
        <f>IFERROR(VLOOKUP(A1140,库龄!B:N,12,0),0)</f>
        <v>0</v>
      </c>
      <c r="N1140">
        <f t="shared" si="36"/>
        <v>0</v>
      </c>
    </row>
    <row r="1141" spans="1:14">
      <c r="A1141" s="3" t="s">
        <v>2883</v>
      </c>
      <c r="B1141">
        <f>IFERROR(VLOOKUP(A1141,管理亚马逊库存!A:K,11,0),"")</f>
        <v>1</v>
      </c>
      <c r="C1141">
        <f>IFERROR(VLOOKUP(A1141,管理亚马逊库存!A:L,12,0),"")</f>
        <v>0</v>
      </c>
      <c r="D1141">
        <f>IFERROR(VLOOKUP(A1141,管理亚马逊库存!A:Q,17,0),"")</f>
        <v>0</v>
      </c>
      <c r="E1141">
        <f>IFERROR(VLOOKUP(A1141,管理亚马逊库存!A:R,18,0),"")</f>
        <v>0</v>
      </c>
      <c r="F1141">
        <f t="shared" si="35"/>
        <v>0</v>
      </c>
      <c r="G1141" t="str">
        <f>IFERROR(VLOOKUP(A1141,预留库存!A:G,7,0),0)</f>
        <v>No</v>
      </c>
      <c r="H1141">
        <f>IFERROR(VLOOKUP(A1141,预留库存!A:H,8,0),0)</f>
        <v>0</v>
      </c>
      <c r="I1141">
        <f>IFERROR(VLOOKUP(A1141,预留库存!A:F,6,0),0)</f>
        <v>39.98</v>
      </c>
      <c r="J1141">
        <f>IFERROR(VLOOKUP(A1141,库龄!B:K,9,0),0)</f>
        <v>0</v>
      </c>
      <c r="K1141">
        <f>IFERROR(VLOOKUP(A1141,库龄!B:L,10,0),0)</f>
        <v>0</v>
      </c>
      <c r="L1141">
        <f>IFERROR(VLOOKUP(A1141,库龄!B:M,11,0),0)</f>
        <v>0</v>
      </c>
      <c r="M1141">
        <f>IFERROR(VLOOKUP(A1141,库龄!B:N,12,0),0)</f>
        <v>0</v>
      </c>
      <c r="N1141">
        <f t="shared" si="36"/>
        <v>0</v>
      </c>
    </row>
    <row r="1142" spans="1:14">
      <c r="A1142" s="3" t="s">
        <v>2886</v>
      </c>
      <c r="B1142">
        <f>IFERROR(VLOOKUP(A1142,管理亚马逊库存!A:K,11,0),"")</f>
        <v>2</v>
      </c>
      <c r="C1142">
        <f>IFERROR(VLOOKUP(A1142,管理亚马逊库存!A:L,12,0),"")</f>
        <v>0</v>
      </c>
      <c r="D1142">
        <f>IFERROR(VLOOKUP(A1142,管理亚马逊库存!A:Q,17,0),"")</f>
        <v>0</v>
      </c>
      <c r="E1142">
        <f>IFERROR(VLOOKUP(A1142,管理亚马逊库存!A:R,18,0),"")</f>
        <v>0</v>
      </c>
      <c r="F1142">
        <f t="shared" si="35"/>
        <v>0</v>
      </c>
      <c r="G1142" t="str">
        <f>IFERROR(VLOOKUP(A1142,预留库存!A:G,7,0),0)</f>
        <v>No</v>
      </c>
      <c r="H1142">
        <f>IFERROR(VLOOKUP(A1142,预留库存!A:H,8,0),0)</f>
        <v>0</v>
      </c>
      <c r="I1142">
        <f>IFERROR(VLOOKUP(A1142,预留库存!A:F,6,0),0)</f>
        <v>39.98</v>
      </c>
      <c r="J1142">
        <f>IFERROR(VLOOKUP(A1142,库龄!B:K,9,0),0)</f>
        <v>0</v>
      </c>
      <c r="K1142">
        <f>IFERROR(VLOOKUP(A1142,库龄!B:L,10,0),0)</f>
        <v>0</v>
      </c>
      <c r="L1142">
        <f>IFERROR(VLOOKUP(A1142,库龄!B:M,11,0),0)</f>
        <v>0</v>
      </c>
      <c r="M1142">
        <f>IFERROR(VLOOKUP(A1142,库龄!B:N,12,0),0)</f>
        <v>0</v>
      </c>
      <c r="N1142">
        <f t="shared" si="36"/>
        <v>0</v>
      </c>
    </row>
    <row r="1143" spans="1:14">
      <c r="A1143" s="3" t="s">
        <v>2889</v>
      </c>
      <c r="B1143">
        <f>IFERROR(VLOOKUP(A1143,管理亚马逊库存!A:K,11,0),"")</f>
        <v>23</v>
      </c>
      <c r="C1143">
        <f>IFERROR(VLOOKUP(A1143,管理亚马逊库存!A:L,12,0),"")</f>
        <v>0</v>
      </c>
      <c r="D1143">
        <f>IFERROR(VLOOKUP(A1143,管理亚马逊库存!A:Q,17,0),"")</f>
        <v>0</v>
      </c>
      <c r="E1143">
        <f>IFERROR(VLOOKUP(A1143,管理亚马逊库存!A:R,18,0),"")</f>
        <v>0</v>
      </c>
      <c r="F1143">
        <f t="shared" si="35"/>
        <v>0</v>
      </c>
      <c r="G1143" t="str">
        <f>IFERROR(VLOOKUP(A1143,预留库存!A:G,7,0),0)</f>
        <v>No</v>
      </c>
      <c r="H1143">
        <f>IFERROR(VLOOKUP(A1143,预留库存!A:H,8,0),0)</f>
        <v>0</v>
      </c>
      <c r="I1143">
        <f>IFERROR(VLOOKUP(A1143,预留库存!A:F,6,0),0)</f>
        <v>39.98</v>
      </c>
      <c r="J1143">
        <f>IFERROR(VLOOKUP(A1143,库龄!B:K,9,0),0)</f>
        <v>20</v>
      </c>
      <c r="K1143">
        <f>IFERROR(VLOOKUP(A1143,库龄!B:L,10,0),0)</f>
        <v>0</v>
      </c>
      <c r="L1143">
        <f>IFERROR(VLOOKUP(A1143,库龄!B:M,11,0),0)</f>
        <v>0</v>
      </c>
      <c r="M1143">
        <f>IFERROR(VLOOKUP(A1143,库龄!B:N,12,0),0)</f>
        <v>0</v>
      </c>
      <c r="N1143">
        <f t="shared" si="36"/>
        <v>20</v>
      </c>
    </row>
    <row r="1144" spans="1:14">
      <c r="A1144" s="3" t="s">
        <v>2892</v>
      </c>
      <c r="B1144">
        <f>IFERROR(VLOOKUP(A1144,管理亚马逊库存!A:K,11,0),"")</f>
        <v>20</v>
      </c>
      <c r="C1144">
        <f>IFERROR(VLOOKUP(A1144,管理亚马逊库存!A:L,12,0),"")</f>
        <v>0</v>
      </c>
      <c r="D1144">
        <f>IFERROR(VLOOKUP(A1144,管理亚马逊库存!A:Q,17,0),"")</f>
        <v>0</v>
      </c>
      <c r="E1144">
        <f>IFERROR(VLOOKUP(A1144,管理亚马逊库存!A:R,18,0),"")</f>
        <v>0</v>
      </c>
      <c r="F1144">
        <f t="shared" si="35"/>
        <v>0</v>
      </c>
      <c r="G1144" t="str">
        <f>IFERROR(VLOOKUP(A1144,预留库存!A:G,7,0),0)</f>
        <v>No</v>
      </c>
      <c r="H1144">
        <f>IFERROR(VLOOKUP(A1144,预留库存!A:H,8,0),0)</f>
        <v>0</v>
      </c>
      <c r="I1144">
        <f>IFERROR(VLOOKUP(A1144,预留库存!A:F,6,0),0)</f>
        <v>39.98</v>
      </c>
      <c r="J1144">
        <f>IFERROR(VLOOKUP(A1144,库龄!B:K,9,0),0)</f>
        <v>20</v>
      </c>
      <c r="K1144">
        <f>IFERROR(VLOOKUP(A1144,库龄!B:L,10,0),0)</f>
        <v>0</v>
      </c>
      <c r="L1144">
        <f>IFERROR(VLOOKUP(A1144,库龄!B:M,11,0),0)</f>
        <v>0</v>
      </c>
      <c r="M1144">
        <f>IFERROR(VLOOKUP(A1144,库龄!B:N,12,0),0)</f>
        <v>0</v>
      </c>
      <c r="N1144">
        <f t="shared" si="36"/>
        <v>20</v>
      </c>
    </row>
    <row r="1145" spans="1:14">
      <c r="A1145" s="3" t="s">
        <v>2894</v>
      </c>
      <c r="B1145">
        <f>IFERROR(VLOOKUP(A1145,管理亚马逊库存!A:K,11,0),"")</f>
        <v>31</v>
      </c>
      <c r="C1145">
        <f>IFERROR(VLOOKUP(A1145,管理亚马逊库存!A:L,12,0),"")</f>
        <v>0</v>
      </c>
      <c r="D1145">
        <f>IFERROR(VLOOKUP(A1145,管理亚马逊库存!A:Q,17,0),"")</f>
        <v>0</v>
      </c>
      <c r="E1145">
        <f>IFERROR(VLOOKUP(A1145,管理亚马逊库存!A:R,18,0),"")</f>
        <v>0</v>
      </c>
      <c r="F1145">
        <f t="shared" si="35"/>
        <v>0</v>
      </c>
      <c r="G1145" t="str">
        <f>IFERROR(VLOOKUP(A1145,预留库存!A:G,7,0),0)</f>
        <v>No</v>
      </c>
      <c r="H1145">
        <f>IFERROR(VLOOKUP(A1145,预留库存!A:H,8,0),0)</f>
        <v>0</v>
      </c>
      <c r="I1145">
        <f>IFERROR(VLOOKUP(A1145,预留库存!A:F,6,0),0)</f>
        <v>24.98</v>
      </c>
      <c r="J1145">
        <f>IFERROR(VLOOKUP(A1145,库龄!B:K,9,0),0)</f>
        <v>30</v>
      </c>
      <c r="K1145">
        <f>IFERROR(VLOOKUP(A1145,库龄!B:L,10,0),0)</f>
        <v>0</v>
      </c>
      <c r="L1145">
        <f>IFERROR(VLOOKUP(A1145,库龄!B:M,11,0),0)</f>
        <v>0</v>
      </c>
      <c r="M1145">
        <f>IFERROR(VLOOKUP(A1145,库龄!B:N,12,0),0)</f>
        <v>0</v>
      </c>
      <c r="N1145">
        <f t="shared" si="36"/>
        <v>30</v>
      </c>
    </row>
    <row r="1146" spans="1:14">
      <c r="A1146" s="3" t="s">
        <v>2896</v>
      </c>
      <c r="B1146">
        <f>IFERROR(VLOOKUP(A1146,管理亚马逊库存!A:K,11,0),"")</f>
        <v>14</v>
      </c>
      <c r="C1146">
        <f>IFERROR(VLOOKUP(A1146,管理亚马逊库存!A:L,12,0),"")</f>
        <v>0</v>
      </c>
      <c r="D1146">
        <f>IFERROR(VLOOKUP(A1146,管理亚马逊库存!A:Q,17,0),"")</f>
        <v>0</v>
      </c>
      <c r="E1146">
        <f>IFERROR(VLOOKUP(A1146,管理亚马逊库存!A:R,18,0),"")</f>
        <v>0</v>
      </c>
      <c r="F1146">
        <f t="shared" si="35"/>
        <v>0</v>
      </c>
      <c r="G1146" t="str">
        <f>IFERROR(VLOOKUP(A1146,预留库存!A:G,7,0),0)</f>
        <v>No</v>
      </c>
      <c r="H1146">
        <f>IFERROR(VLOOKUP(A1146,预留库存!A:H,8,0),0)</f>
        <v>0</v>
      </c>
      <c r="I1146">
        <f>IFERROR(VLOOKUP(A1146,预留库存!A:F,6,0),0)</f>
        <v>39.98</v>
      </c>
      <c r="J1146">
        <f>IFERROR(VLOOKUP(A1146,库龄!B:K,9,0),0)</f>
        <v>14</v>
      </c>
      <c r="K1146">
        <f>IFERROR(VLOOKUP(A1146,库龄!B:L,10,0),0)</f>
        <v>0</v>
      </c>
      <c r="L1146">
        <f>IFERROR(VLOOKUP(A1146,库龄!B:M,11,0),0)</f>
        <v>0</v>
      </c>
      <c r="M1146">
        <f>IFERROR(VLOOKUP(A1146,库龄!B:N,12,0),0)</f>
        <v>0</v>
      </c>
      <c r="N1146">
        <f t="shared" si="36"/>
        <v>14</v>
      </c>
    </row>
    <row r="1147" spans="1:14">
      <c r="A1147" s="3" t="s">
        <v>2899</v>
      </c>
      <c r="B1147">
        <f>IFERROR(VLOOKUP(A1147,管理亚马逊库存!A:K,11,0),"")</f>
        <v>10</v>
      </c>
      <c r="C1147">
        <f>IFERROR(VLOOKUP(A1147,管理亚马逊库存!A:L,12,0),"")</f>
        <v>0</v>
      </c>
      <c r="D1147">
        <f>IFERROR(VLOOKUP(A1147,管理亚马逊库存!A:Q,17,0),"")</f>
        <v>0</v>
      </c>
      <c r="E1147">
        <f>IFERROR(VLOOKUP(A1147,管理亚马逊库存!A:R,18,0),"")</f>
        <v>0</v>
      </c>
      <c r="F1147">
        <f t="shared" si="35"/>
        <v>0</v>
      </c>
      <c r="G1147" t="str">
        <f>IFERROR(VLOOKUP(A1147,预留库存!A:G,7,0),0)</f>
        <v>No</v>
      </c>
      <c r="H1147">
        <f>IFERROR(VLOOKUP(A1147,预留库存!A:H,8,0),0)</f>
        <v>0</v>
      </c>
      <c r="I1147">
        <f>IFERROR(VLOOKUP(A1147,预留库存!A:F,6,0),0)</f>
        <v>39.98</v>
      </c>
      <c r="J1147">
        <f>IFERROR(VLOOKUP(A1147,库龄!B:K,9,0),0)</f>
        <v>10</v>
      </c>
      <c r="K1147">
        <f>IFERROR(VLOOKUP(A1147,库龄!B:L,10,0),0)</f>
        <v>0</v>
      </c>
      <c r="L1147">
        <f>IFERROR(VLOOKUP(A1147,库龄!B:M,11,0),0)</f>
        <v>0</v>
      </c>
      <c r="M1147">
        <f>IFERROR(VLOOKUP(A1147,库龄!B:N,12,0),0)</f>
        <v>0</v>
      </c>
      <c r="N1147">
        <f t="shared" si="36"/>
        <v>10</v>
      </c>
    </row>
    <row r="1148" spans="1:14">
      <c r="A1148" s="3" t="s">
        <v>2901</v>
      </c>
      <c r="B1148">
        <f>IFERROR(VLOOKUP(A1148,管理亚马逊库存!A:K,11,0),"")</f>
        <v>22</v>
      </c>
      <c r="C1148">
        <f>IFERROR(VLOOKUP(A1148,管理亚马逊库存!A:L,12,0),"")</f>
        <v>0</v>
      </c>
      <c r="D1148">
        <f>IFERROR(VLOOKUP(A1148,管理亚马逊库存!A:Q,17,0),"")</f>
        <v>0</v>
      </c>
      <c r="E1148">
        <f>IFERROR(VLOOKUP(A1148,管理亚马逊库存!A:R,18,0),"")</f>
        <v>0</v>
      </c>
      <c r="F1148">
        <f t="shared" si="35"/>
        <v>0</v>
      </c>
      <c r="G1148" t="str">
        <f>IFERROR(VLOOKUP(A1148,预留库存!A:G,7,0),0)</f>
        <v>No</v>
      </c>
      <c r="H1148">
        <f>IFERROR(VLOOKUP(A1148,预留库存!A:H,8,0),0)</f>
        <v>0</v>
      </c>
      <c r="I1148">
        <f>IFERROR(VLOOKUP(A1148,预留库存!A:F,6,0),0)</f>
        <v>39.98</v>
      </c>
      <c r="J1148">
        <f>IFERROR(VLOOKUP(A1148,库龄!B:K,9,0),0)</f>
        <v>22</v>
      </c>
      <c r="K1148">
        <f>IFERROR(VLOOKUP(A1148,库龄!B:L,10,0),0)</f>
        <v>0</v>
      </c>
      <c r="L1148">
        <f>IFERROR(VLOOKUP(A1148,库龄!B:M,11,0),0)</f>
        <v>0</v>
      </c>
      <c r="M1148">
        <f>IFERROR(VLOOKUP(A1148,库龄!B:N,12,0),0)</f>
        <v>0</v>
      </c>
      <c r="N1148">
        <f t="shared" si="36"/>
        <v>22</v>
      </c>
    </row>
    <row r="1149" spans="1:14">
      <c r="A1149" s="3" t="s">
        <v>2903</v>
      </c>
      <c r="B1149">
        <f>IFERROR(VLOOKUP(A1149,管理亚马逊库存!A:K,11,0),"")</f>
        <v>34</v>
      </c>
      <c r="C1149">
        <f>IFERROR(VLOOKUP(A1149,管理亚马逊库存!A:L,12,0),"")</f>
        <v>0</v>
      </c>
      <c r="D1149">
        <f>IFERROR(VLOOKUP(A1149,管理亚马逊库存!A:Q,17,0),"")</f>
        <v>0</v>
      </c>
      <c r="E1149">
        <f>IFERROR(VLOOKUP(A1149,管理亚马逊库存!A:R,18,0),"")</f>
        <v>0</v>
      </c>
      <c r="F1149">
        <f t="shared" si="35"/>
        <v>0</v>
      </c>
      <c r="G1149" t="str">
        <f>IFERROR(VLOOKUP(A1149,预留库存!A:G,7,0),0)</f>
        <v>No</v>
      </c>
      <c r="H1149">
        <f>IFERROR(VLOOKUP(A1149,预留库存!A:H,8,0),0)</f>
        <v>0</v>
      </c>
      <c r="I1149">
        <f>IFERROR(VLOOKUP(A1149,预留库存!A:F,6,0),0)</f>
        <v>39.98</v>
      </c>
      <c r="J1149">
        <f>IFERROR(VLOOKUP(A1149,库龄!B:K,9,0),0)</f>
        <v>34</v>
      </c>
      <c r="K1149">
        <f>IFERROR(VLOOKUP(A1149,库龄!B:L,10,0),0)</f>
        <v>0</v>
      </c>
      <c r="L1149">
        <f>IFERROR(VLOOKUP(A1149,库龄!B:M,11,0),0)</f>
        <v>0</v>
      </c>
      <c r="M1149">
        <f>IFERROR(VLOOKUP(A1149,库龄!B:N,12,0),0)</f>
        <v>0</v>
      </c>
      <c r="N1149">
        <f t="shared" si="36"/>
        <v>34</v>
      </c>
    </row>
    <row r="1150" spans="1:14">
      <c r="A1150" s="3" t="s">
        <v>2905</v>
      </c>
      <c r="B1150">
        <f>IFERROR(VLOOKUP(A1150,管理亚马逊库存!A:K,11,0),"")</f>
        <v>16</v>
      </c>
      <c r="C1150">
        <f>IFERROR(VLOOKUP(A1150,管理亚马逊库存!A:L,12,0),"")</f>
        <v>0</v>
      </c>
      <c r="D1150">
        <f>IFERROR(VLOOKUP(A1150,管理亚马逊库存!A:Q,17,0),"")</f>
        <v>0</v>
      </c>
      <c r="E1150">
        <f>IFERROR(VLOOKUP(A1150,管理亚马逊库存!A:R,18,0),"")</f>
        <v>0</v>
      </c>
      <c r="F1150">
        <f t="shared" si="35"/>
        <v>0</v>
      </c>
      <c r="G1150" t="str">
        <f>IFERROR(VLOOKUP(A1150,预留库存!A:G,7,0),0)</f>
        <v>No</v>
      </c>
      <c r="H1150">
        <f>IFERROR(VLOOKUP(A1150,预留库存!A:H,8,0),0)</f>
        <v>0</v>
      </c>
      <c r="I1150">
        <f>IFERROR(VLOOKUP(A1150,预留库存!A:F,6,0),0)</f>
        <v>39.98</v>
      </c>
      <c r="J1150">
        <f>IFERROR(VLOOKUP(A1150,库龄!B:K,9,0),0)</f>
        <v>16</v>
      </c>
      <c r="K1150">
        <f>IFERROR(VLOOKUP(A1150,库龄!B:L,10,0),0)</f>
        <v>0</v>
      </c>
      <c r="L1150">
        <f>IFERROR(VLOOKUP(A1150,库龄!B:M,11,0),0)</f>
        <v>0</v>
      </c>
      <c r="M1150">
        <f>IFERROR(VLOOKUP(A1150,库龄!B:N,12,0),0)</f>
        <v>0</v>
      </c>
      <c r="N1150">
        <f t="shared" si="36"/>
        <v>16</v>
      </c>
    </row>
    <row r="1151" spans="1:14">
      <c r="A1151" s="3" t="s">
        <v>2908</v>
      </c>
      <c r="B1151">
        <f>IFERROR(VLOOKUP(A1151,管理亚马逊库存!A:K,11,0),"")</f>
        <v>34</v>
      </c>
      <c r="C1151">
        <f>IFERROR(VLOOKUP(A1151,管理亚马逊库存!A:L,12,0),"")</f>
        <v>0</v>
      </c>
      <c r="D1151">
        <f>IFERROR(VLOOKUP(A1151,管理亚马逊库存!A:Q,17,0),"")</f>
        <v>0</v>
      </c>
      <c r="E1151">
        <f>IFERROR(VLOOKUP(A1151,管理亚马逊库存!A:R,18,0),"")</f>
        <v>0</v>
      </c>
      <c r="F1151">
        <f t="shared" si="35"/>
        <v>0</v>
      </c>
      <c r="G1151" t="str">
        <f>IFERROR(VLOOKUP(A1151,预留库存!A:G,7,0),0)</f>
        <v>No</v>
      </c>
      <c r="H1151">
        <f>IFERROR(VLOOKUP(A1151,预留库存!A:H,8,0),0)</f>
        <v>0</v>
      </c>
      <c r="I1151">
        <f>IFERROR(VLOOKUP(A1151,预留库存!A:F,6,0),0)</f>
        <v>39.98</v>
      </c>
      <c r="J1151">
        <f>IFERROR(VLOOKUP(A1151,库龄!B:K,9,0),0)</f>
        <v>34</v>
      </c>
      <c r="K1151">
        <f>IFERROR(VLOOKUP(A1151,库龄!B:L,10,0),0)</f>
        <v>0</v>
      </c>
      <c r="L1151">
        <f>IFERROR(VLOOKUP(A1151,库龄!B:M,11,0),0)</f>
        <v>0</v>
      </c>
      <c r="M1151">
        <f>IFERROR(VLOOKUP(A1151,库龄!B:N,12,0),0)</f>
        <v>0</v>
      </c>
      <c r="N1151">
        <f t="shared" si="36"/>
        <v>34</v>
      </c>
    </row>
    <row r="1152" spans="1:14">
      <c r="A1152" s="3" t="s">
        <v>2911</v>
      </c>
      <c r="B1152">
        <f>IFERROR(VLOOKUP(A1152,管理亚马逊库存!A:K,11,0),"")</f>
        <v>33</v>
      </c>
      <c r="C1152">
        <f>IFERROR(VLOOKUP(A1152,管理亚马逊库存!A:L,12,0),"")</f>
        <v>0</v>
      </c>
      <c r="D1152">
        <f>IFERROR(VLOOKUP(A1152,管理亚马逊库存!A:Q,17,0),"")</f>
        <v>0</v>
      </c>
      <c r="E1152">
        <f>IFERROR(VLOOKUP(A1152,管理亚马逊库存!A:R,18,0),"")</f>
        <v>0</v>
      </c>
      <c r="F1152">
        <f t="shared" si="35"/>
        <v>0</v>
      </c>
      <c r="G1152" t="str">
        <f>IFERROR(VLOOKUP(A1152,预留库存!A:G,7,0),0)</f>
        <v>No</v>
      </c>
      <c r="H1152">
        <f>IFERROR(VLOOKUP(A1152,预留库存!A:H,8,0),0)</f>
        <v>0</v>
      </c>
      <c r="I1152">
        <f>IFERROR(VLOOKUP(A1152,预留库存!A:F,6,0),0)</f>
        <v>39.98</v>
      </c>
      <c r="J1152">
        <f>IFERROR(VLOOKUP(A1152,库龄!B:K,9,0),0)</f>
        <v>33</v>
      </c>
      <c r="K1152">
        <f>IFERROR(VLOOKUP(A1152,库龄!B:L,10,0),0)</f>
        <v>0</v>
      </c>
      <c r="L1152">
        <f>IFERROR(VLOOKUP(A1152,库龄!B:M,11,0),0)</f>
        <v>0</v>
      </c>
      <c r="M1152">
        <f>IFERROR(VLOOKUP(A1152,库龄!B:N,12,0),0)</f>
        <v>0</v>
      </c>
      <c r="N1152">
        <f t="shared" si="36"/>
        <v>33</v>
      </c>
    </row>
    <row r="1153" spans="1:14">
      <c r="A1153" s="3" t="s">
        <v>2913</v>
      </c>
      <c r="B1153">
        <f>IFERROR(VLOOKUP(A1153,管理亚马逊库存!A:K,11,0),"")</f>
        <v>4</v>
      </c>
      <c r="C1153">
        <f>IFERROR(VLOOKUP(A1153,管理亚马逊库存!A:L,12,0),"")</f>
        <v>0</v>
      </c>
      <c r="D1153">
        <f>IFERROR(VLOOKUP(A1153,管理亚马逊库存!A:Q,17,0),"")</f>
        <v>13</v>
      </c>
      <c r="E1153">
        <f>IFERROR(VLOOKUP(A1153,管理亚马逊库存!A:R,18,0),"")</f>
        <v>0</v>
      </c>
      <c r="F1153">
        <f t="shared" si="35"/>
        <v>13</v>
      </c>
      <c r="G1153" t="str">
        <f>IFERROR(VLOOKUP(A1153,预留库存!A:G,7,0),0)</f>
        <v>No</v>
      </c>
      <c r="H1153">
        <f>IFERROR(VLOOKUP(A1153,预留库存!A:H,8,0),0)</f>
        <v>0</v>
      </c>
      <c r="I1153">
        <f>IFERROR(VLOOKUP(A1153,预留库存!A:F,6,0),0)</f>
        <v>25.98</v>
      </c>
      <c r="J1153">
        <f>IFERROR(VLOOKUP(A1153,库龄!B:K,9,0),0)</f>
        <v>4</v>
      </c>
      <c r="K1153">
        <f>IFERROR(VLOOKUP(A1153,库龄!B:L,10,0),0)</f>
        <v>0</v>
      </c>
      <c r="L1153">
        <f>IFERROR(VLOOKUP(A1153,库龄!B:M,11,0),0)</f>
        <v>0</v>
      </c>
      <c r="M1153">
        <f>IFERROR(VLOOKUP(A1153,库龄!B:N,12,0),0)</f>
        <v>0</v>
      </c>
      <c r="N1153">
        <f t="shared" si="36"/>
        <v>4</v>
      </c>
    </row>
    <row r="1154" spans="1:14">
      <c r="A1154" s="3" t="s">
        <v>2915</v>
      </c>
      <c r="B1154">
        <f>IFERROR(VLOOKUP(A1154,管理亚马逊库存!A:K,11,0),"")</f>
        <v>0</v>
      </c>
      <c r="C1154">
        <f>IFERROR(VLOOKUP(A1154,管理亚马逊库存!A:L,12,0),"")</f>
        <v>0</v>
      </c>
      <c r="D1154">
        <f>IFERROR(VLOOKUP(A1154,管理亚马逊库存!A:Q,17,0),"")</f>
        <v>0</v>
      </c>
      <c r="E1154">
        <f>IFERROR(VLOOKUP(A1154,管理亚马逊库存!A:R,18,0),"")</f>
        <v>0</v>
      </c>
      <c r="F1154">
        <f t="shared" si="35"/>
        <v>0</v>
      </c>
      <c r="G1154" t="str">
        <f>IFERROR(VLOOKUP(A1154,预留库存!A:G,7,0),0)</f>
        <v>No</v>
      </c>
      <c r="H1154">
        <f>IFERROR(VLOOKUP(A1154,预留库存!A:H,8,0),0)</f>
        <v>0</v>
      </c>
      <c r="I1154">
        <f>IFERROR(VLOOKUP(A1154,预留库存!A:F,6,0),0)</f>
        <v>24.98</v>
      </c>
      <c r="J1154">
        <f>IFERROR(VLOOKUP(A1154,库龄!B:K,9,0),0)</f>
        <v>0</v>
      </c>
      <c r="K1154">
        <f>IFERROR(VLOOKUP(A1154,库龄!B:L,10,0),0)</f>
        <v>0</v>
      </c>
      <c r="L1154">
        <f>IFERROR(VLOOKUP(A1154,库龄!B:M,11,0),0)</f>
        <v>0</v>
      </c>
      <c r="M1154">
        <f>IFERROR(VLOOKUP(A1154,库龄!B:N,12,0),0)</f>
        <v>0</v>
      </c>
      <c r="N1154">
        <f t="shared" si="36"/>
        <v>0</v>
      </c>
    </row>
    <row r="1155" spans="1:14">
      <c r="A1155" s="3" t="s">
        <v>2916</v>
      </c>
      <c r="B1155">
        <f>IFERROR(VLOOKUP(A1155,管理亚马逊库存!A:K,11,0),"")</f>
        <v>46</v>
      </c>
      <c r="C1155">
        <f>IFERROR(VLOOKUP(A1155,管理亚马逊库存!A:L,12,0),"")</f>
        <v>0</v>
      </c>
      <c r="D1155">
        <f>IFERROR(VLOOKUP(A1155,管理亚马逊库存!A:Q,17,0),"")</f>
        <v>0</v>
      </c>
      <c r="E1155">
        <f>IFERROR(VLOOKUP(A1155,管理亚马逊库存!A:R,18,0),"")</f>
        <v>0</v>
      </c>
      <c r="F1155">
        <f t="shared" ref="F1155:F1218" si="37">SUM(D1155:E1155)</f>
        <v>0</v>
      </c>
      <c r="G1155" t="str">
        <f>IFERROR(VLOOKUP(A1155,预留库存!A:G,7,0),0)</f>
        <v>No</v>
      </c>
      <c r="H1155">
        <f>IFERROR(VLOOKUP(A1155,预留库存!A:H,8,0),0)</f>
        <v>0</v>
      </c>
      <c r="I1155">
        <f>IFERROR(VLOOKUP(A1155,预留库存!A:F,6,0),0)</f>
        <v>21.98</v>
      </c>
      <c r="J1155">
        <f>IFERROR(VLOOKUP(A1155,库龄!B:K,9,0),0)</f>
        <v>0</v>
      </c>
      <c r="K1155">
        <f>IFERROR(VLOOKUP(A1155,库龄!B:L,10,0),0)</f>
        <v>0</v>
      </c>
      <c r="L1155">
        <f>IFERROR(VLOOKUP(A1155,库龄!B:M,11,0),0)</f>
        <v>0</v>
      </c>
      <c r="M1155">
        <f>IFERROR(VLOOKUP(A1155,库龄!B:N,12,0),0)</f>
        <v>0</v>
      </c>
      <c r="N1155">
        <f t="shared" ref="N1155:N1218" si="38">SUM(J1155:M1155)</f>
        <v>0</v>
      </c>
    </row>
    <row r="1156" spans="1:14">
      <c r="A1156" s="3" t="s">
        <v>2919</v>
      </c>
      <c r="B1156">
        <f>IFERROR(VLOOKUP(A1156,管理亚马逊库存!A:K,11,0),"")</f>
        <v>15</v>
      </c>
      <c r="C1156">
        <f>IFERROR(VLOOKUP(A1156,管理亚马逊库存!A:L,12,0),"")</f>
        <v>0</v>
      </c>
      <c r="D1156">
        <f>IFERROR(VLOOKUP(A1156,管理亚马逊库存!A:Q,17,0),"")</f>
        <v>0</v>
      </c>
      <c r="E1156">
        <f>IFERROR(VLOOKUP(A1156,管理亚马逊库存!A:R,18,0),"")</f>
        <v>0</v>
      </c>
      <c r="F1156">
        <f t="shared" si="37"/>
        <v>0</v>
      </c>
      <c r="G1156" t="str">
        <f>IFERROR(VLOOKUP(A1156,预留库存!A:G,7,0),0)</f>
        <v>No</v>
      </c>
      <c r="H1156">
        <f>IFERROR(VLOOKUP(A1156,预留库存!A:H,8,0),0)</f>
        <v>0</v>
      </c>
      <c r="I1156">
        <f>IFERROR(VLOOKUP(A1156,预留库存!A:F,6,0),0)</f>
        <v>39.98</v>
      </c>
      <c r="J1156">
        <f>IFERROR(VLOOKUP(A1156,库龄!B:K,9,0),0)</f>
        <v>0</v>
      </c>
      <c r="K1156">
        <f>IFERROR(VLOOKUP(A1156,库龄!B:L,10,0),0)</f>
        <v>0</v>
      </c>
      <c r="L1156">
        <f>IFERROR(VLOOKUP(A1156,库龄!B:M,11,0),0)</f>
        <v>0</v>
      </c>
      <c r="M1156">
        <f>IFERROR(VLOOKUP(A1156,库龄!B:N,12,0),0)</f>
        <v>0</v>
      </c>
      <c r="N1156">
        <f t="shared" si="38"/>
        <v>0</v>
      </c>
    </row>
    <row r="1157" spans="1:14">
      <c r="A1157" s="3" t="s">
        <v>2922</v>
      </c>
      <c r="B1157">
        <f>IFERROR(VLOOKUP(A1157,管理亚马逊库存!A:K,11,0),"")</f>
        <v>34</v>
      </c>
      <c r="C1157">
        <f>IFERROR(VLOOKUP(A1157,管理亚马逊库存!A:L,12,0),"")</f>
        <v>0</v>
      </c>
      <c r="D1157">
        <f>IFERROR(VLOOKUP(A1157,管理亚马逊库存!A:Q,17,0),"")</f>
        <v>0</v>
      </c>
      <c r="E1157">
        <f>IFERROR(VLOOKUP(A1157,管理亚马逊库存!A:R,18,0),"")</f>
        <v>0</v>
      </c>
      <c r="F1157">
        <f t="shared" si="37"/>
        <v>0</v>
      </c>
      <c r="G1157" t="str">
        <f>IFERROR(VLOOKUP(A1157,预留库存!A:G,7,0),0)</f>
        <v>No</v>
      </c>
      <c r="H1157">
        <f>IFERROR(VLOOKUP(A1157,预留库存!A:H,8,0),0)</f>
        <v>0</v>
      </c>
      <c r="I1157">
        <f>IFERROR(VLOOKUP(A1157,预留库存!A:F,6,0),0)</f>
        <v>22.98</v>
      </c>
      <c r="J1157">
        <f>IFERROR(VLOOKUP(A1157,库龄!B:K,9,0),0)</f>
        <v>0</v>
      </c>
      <c r="K1157">
        <f>IFERROR(VLOOKUP(A1157,库龄!B:L,10,0),0)</f>
        <v>0</v>
      </c>
      <c r="L1157">
        <f>IFERROR(VLOOKUP(A1157,库龄!B:M,11,0),0)</f>
        <v>0</v>
      </c>
      <c r="M1157">
        <f>IFERROR(VLOOKUP(A1157,库龄!B:N,12,0),0)</f>
        <v>0</v>
      </c>
      <c r="N1157">
        <f t="shared" si="38"/>
        <v>0</v>
      </c>
    </row>
    <row r="1158" spans="1:14">
      <c r="A1158" s="3" t="s">
        <v>2923</v>
      </c>
      <c r="B1158">
        <f>IFERROR(VLOOKUP(A1158,管理亚马逊库存!A:K,11,0),"")</f>
        <v>27</v>
      </c>
      <c r="C1158">
        <f>IFERROR(VLOOKUP(A1158,管理亚马逊库存!A:L,12,0),"")</f>
        <v>0</v>
      </c>
      <c r="D1158">
        <f>IFERROR(VLOOKUP(A1158,管理亚马逊库存!A:Q,17,0),"")</f>
        <v>0</v>
      </c>
      <c r="E1158">
        <f>IFERROR(VLOOKUP(A1158,管理亚马逊库存!A:R,18,0),"")</f>
        <v>0</v>
      </c>
      <c r="F1158">
        <f t="shared" si="37"/>
        <v>0</v>
      </c>
      <c r="G1158" t="str">
        <f>IFERROR(VLOOKUP(A1158,预留库存!A:G,7,0),0)</f>
        <v>No</v>
      </c>
      <c r="H1158">
        <f>IFERROR(VLOOKUP(A1158,预留库存!A:H,8,0),0)</f>
        <v>0</v>
      </c>
      <c r="I1158">
        <f>IFERROR(VLOOKUP(A1158,预留库存!A:F,6,0),0)</f>
        <v>22.98</v>
      </c>
      <c r="J1158">
        <f>IFERROR(VLOOKUP(A1158,库龄!B:K,9,0),0)</f>
        <v>0</v>
      </c>
      <c r="K1158">
        <f>IFERROR(VLOOKUP(A1158,库龄!B:L,10,0),0)</f>
        <v>0</v>
      </c>
      <c r="L1158">
        <f>IFERROR(VLOOKUP(A1158,库龄!B:M,11,0),0)</f>
        <v>0</v>
      </c>
      <c r="M1158">
        <f>IFERROR(VLOOKUP(A1158,库龄!B:N,12,0),0)</f>
        <v>0</v>
      </c>
      <c r="N1158">
        <f t="shared" si="38"/>
        <v>0</v>
      </c>
    </row>
    <row r="1159" spans="1:14">
      <c r="A1159" s="3" t="s">
        <v>2924</v>
      </c>
      <c r="B1159">
        <f>IFERROR(VLOOKUP(A1159,管理亚马逊库存!A:K,11,0),"")</f>
        <v>0</v>
      </c>
      <c r="C1159">
        <f>IFERROR(VLOOKUP(A1159,管理亚马逊库存!A:L,12,0),"")</f>
        <v>0</v>
      </c>
      <c r="D1159">
        <f>IFERROR(VLOOKUP(A1159,管理亚马逊库存!A:Q,17,0),"")</f>
        <v>0</v>
      </c>
      <c r="E1159">
        <f>IFERROR(VLOOKUP(A1159,管理亚马逊库存!A:R,18,0),"")</f>
        <v>0</v>
      </c>
      <c r="F1159">
        <f t="shared" si="37"/>
        <v>0</v>
      </c>
      <c r="G1159" t="str">
        <f>IFERROR(VLOOKUP(A1159,预留库存!A:G,7,0),0)</f>
        <v>No</v>
      </c>
      <c r="H1159">
        <f>IFERROR(VLOOKUP(A1159,预留库存!A:H,8,0),0)</f>
        <v>0</v>
      </c>
      <c r="I1159">
        <f>IFERROR(VLOOKUP(A1159,预留库存!A:F,6,0),0)</f>
        <v>24.98</v>
      </c>
      <c r="J1159">
        <f>IFERROR(VLOOKUP(A1159,库龄!B:K,9,0),0)</f>
        <v>0</v>
      </c>
      <c r="K1159">
        <f>IFERROR(VLOOKUP(A1159,库龄!B:L,10,0),0)</f>
        <v>0</v>
      </c>
      <c r="L1159">
        <f>IFERROR(VLOOKUP(A1159,库龄!B:M,11,0),0)</f>
        <v>0</v>
      </c>
      <c r="M1159">
        <f>IFERROR(VLOOKUP(A1159,库龄!B:N,12,0),0)</f>
        <v>0</v>
      </c>
      <c r="N1159">
        <f t="shared" si="38"/>
        <v>0</v>
      </c>
    </row>
    <row r="1160" spans="1:14">
      <c r="A1160" s="3" t="s">
        <v>2925</v>
      </c>
      <c r="B1160">
        <f>IFERROR(VLOOKUP(A1160,管理亚马逊库存!A:K,11,0),"")</f>
        <v>4</v>
      </c>
      <c r="C1160">
        <f>IFERROR(VLOOKUP(A1160,管理亚马逊库存!A:L,12,0),"")</f>
        <v>0</v>
      </c>
      <c r="D1160">
        <f>IFERROR(VLOOKUP(A1160,管理亚马逊库存!A:Q,17,0),"")</f>
        <v>0</v>
      </c>
      <c r="E1160">
        <f>IFERROR(VLOOKUP(A1160,管理亚马逊库存!A:R,18,0),"")</f>
        <v>0</v>
      </c>
      <c r="F1160">
        <f t="shared" si="37"/>
        <v>0</v>
      </c>
      <c r="G1160" t="str">
        <f>IFERROR(VLOOKUP(A1160,预留库存!A:G,7,0),0)</f>
        <v>No</v>
      </c>
      <c r="H1160">
        <f>IFERROR(VLOOKUP(A1160,预留库存!A:H,8,0),0)</f>
        <v>0</v>
      </c>
      <c r="I1160">
        <f>IFERROR(VLOOKUP(A1160,预留库存!A:F,6,0),0)</f>
        <v>22.98</v>
      </c>
      <c r="J1160">
        <f>IFERROR(VLOOKUP(A1160,库龄!B:K,9,0),0)</f>
        <v>0</v>
      </c>
      <c r="K1160">
        <f>IFERROR(VLOOKUP(A1160,库龄!B:L,10,0),0)</f>
        <v>0</v>
      </c>
      <c r="L1160">
        <f>IFERROR(VLOOKUP(A1160,库龄!B:M,11,0),0)</f>
        <v>0</v>
      </c>
      <c r="M1160">
        <f>IFERROR(VLOOKUP(A1160,库龄!B:N,12,0),0)</f>
        <v>0</v>
      </c>
      <c r="N1160">
        <f t="shared" si="38"/>
        <v>0</v>
      </c>
    </row>
    <row r="1161" spans="1:14">
      <c r="A1161" s="3" t="s">
        <v>2926</v>
      </c>
      <c r="B1161">
        <f>IFERROR(VLOOKUP(A1161,管理亚马逊库存!A:K,11,0),"")</f>
        <v>13</v>
      </c>
      <c r="C1161">
        <f>IFERROR(VLOOKUP(A1161,管理亚马逊库存!A:L,12,0),"")</f>
        <v>0</v>
      </c>
      <c r="D1161">
        <f>IFERROR(VLOOKUP(A1161,管理亚马逊库存!A:Q,17,0),"")</f>
        <v>0</v>
      </c>
      <c r="E1161">
        <f>IFERROR(VLOOKUP(A1161,管理亚马逊库存!A:R,18,0),"")</f>
        <v>0</v>
      </c>
      <c r="F1161">
        <f t="shared" si="37"/>
        <v>0</v>
      </c>
      <c r="G1161" t="str">
        <f>IFERROR(VLOOKUP(A1161,预留库存!A:G,7,0),0)</f>
        <v>No</v>
      </c>
      <c r="H1161">
        <f>IFERROR(VLOOKUP(A1161,预留库存!A:H,8,0),0)</f>
        <v>0</v>
      </c>
      <c r="I1161">
        <f>IFERROR(VLOOKUP(A1161,预留库存!A:F,6,0),0)</f>
        <v>17.98</v>
      </c>
      <c r="J1161">
        <f>IFERROR(VLOOKUP(A1161,库龄!B:K,9,0),0)</f>
        <v>0</v>
      </c>
      <c r="K1161">
        <f>IFERROR(VLOOKUP(A1161,库龄!B:L,10,0),0)</f>
        <v>0</v>
      </c>
      <c r="L1161">
        <f>IFERROR(VLOOKUP(A1161,库龄!B:M,11,0),0)</f>
        <v>0</v>
      </c>
      <c r="M1161">
        <f>IFERROR(VLOOKUP(A1161,库龄!B:N,12,0),0)</f>
        <v>0</v>
      </c>
      <c r="N1161">
        <f t="shared" si="38"/>
        <v>0</v>
      </c>
    </row>
    <row r="1162" spans="1:14">
      <c r="A1162" s="3" t="s">
        <v>2927</v>
      </c>
      <c r="B1162">
        <f>IFERROR(VLOOKUP(A1162,管理亚马逊库存!A:K,11,0),"")</f>
        <v>0</v>
      </c>
      <c r="C1162">
        <f>IFERROR(VLOOKUP(A1162,管理亚马逊库存!A:L,12,0),"")</f>
        <v>0</v>
      </c>
      <c r="D1162">
        <f>IFERROR(VLOOKUP(A1162,管理亚马逊库存!A:Q,17,0),"")</f>
        <v>0</v>
      </c>
      <c r="E1162">
        <f>IFERROR(VLOOKUP(A1162,管理亚马逊库存!A:R,18,0),"")</f>
        <v>0</v>
      </c>
      <c r="F1162">
        <f t="shared" si="37"/>
        <v>0</v>
      </c>
      <c r="G1162" t="str">
        <f>IFERROR(VLOOKUP(A1162,预留库存!A:G,7,0),0)</f>
        <v>No</v>
      </c>
      <c r="H1162">
        <f>IFERROR(VLOOKUP(A1162,预留库存!A:H,8,0),0)</f>
        <v>0</v>
      </c>
      <c r="I1162">
        <f>IFERROR(VLOOKUP(A1162,预留库存!A:F,6,0),0)</f>
        <v>24.98</v>
      </c>
      <c r="J1162">
        <f>IFERROR(VLOOKUP(A1162,库龄!B:K,9,0),0)</f>
        <v>0</v>
      </c>
      <c r="K1162">
        <f>IFERROR(VLOOKUP(A1162,库龄!B:L,10,0),0)</f>
        <v>0</v>
      </c>
      <c r="L1162">
        <f>IFERROR(VLOOKUP(A1162,库龄!B:M,11,0),0)</f>
        <v>0</v>
      </c>
      <c r="M1162">
        <f>IFERROR(VLOOKUP(A1162,库龄!B:N,12,0),0)</f>
        <v>0</v>
      </c>
      <c r="N1162">
        <f t="shared" si="38"/>
        <v>0</v>
      </c>
    </row>
    <row r="1163" spans="1:14">
      <c r="A1163" s="3" t="s">
        <v>2928</v>
      </c>
      <c r="B1163">
        <f>IFERROR(VLOOKUP(A1163,管理亚马逊库存!A:K,11,0),"")</f>
        <v>0</v>
      </c>
      <c r="C1163">
        <f>IFERROR(VLOOKUP(A1163,管理亚马逊库存!A:L,12,0),"")</f>
        <v>0</v>
      </c>
      <c r="D1163">
        <f>IFERROR(VLOOKUP(A1163,管理亚马逊库存!A:Q,17,0),"")</f>
        <v>0</v>
      </c>
      <c r="E1163">
        <f>IFERROR(VLOOKUP(A1163,管理亚马逊库存!A:R,18,0),"")</f>
        <v>0</v>
      </c>
      <c r="F1163">
        <f t="shared" si="37"/>
        <v>0</v>
      </c>
      <c r="G1163" t="str">
        <f>IFERROR(VLOOKUP(A1163,预留库存!A:G,7,0),0)</f>
        <v>No</v>
      </c>
      <c r="H1163">
        <f>IFERROR(VLOOKUP(A1163,预留库存!A:H,8,0),0)</f>
        <v>0</v>
      </c>
      <c r="I1163">
        <f>IFERROR(VLOOKUP(A1163,预留库存!A:F,6,0),0)</f>
        <v>23.98</v>
      </c>
      <c r="J1163">
        <f>IFERROR(VLOOKUP(A1163,库龄!B:K,9,0),0)</f>
        <v>0</v>
      </c>
      <c r="K1163">
        <f>IFERROR(VLOOKUP(A1163,库龄!B:L,10,0),0)</f>
        <v>0</v>
      </c>
      <c r="L1163">
        <f>IFERROR(VLOOKUP(A1163,库龄!B:M,11,0),0)</f>
        <v>0</v>
      </c>
      <c r="M1163">
        <f>IFERROR(VLOOKUP(A1163,库龄!B:N,12,0),0)</f>
        <v>0</v>
      </c>
      <c r="N1163">
        <f t="shared" si="38"/>
        <v>0</v>
      </c>
    </row>
    <row r="1164" spans="1:14">
      <c r="A1164" s="3" t="s">
        <v>2929</v>
      </c>
      <c r="B1164">
        <f>IFERROR(VLOOKUP(A1164,管理亚马逊库存!A:K,11,0),"")</f>
        <v>0</v>
      </c>
      <c r="C1164">
        <f>IFERROR(VLOOKUP(A1164,管理亚马逊库存!A:L,12,0),"")</f>
        <v>0</v>
      </c>
      <c r="D1164">
        <f>IFERROR(VLOOKUP(A1164,管理亚马逊库存!A:Q,17,0),"")</f>
        <v>0</v>
      </c>
      <c r="E1164">
        <f>IFERROR(VLOOKUP(A1164,管理亚马逊库存!A:R,18,0),"")</f>
        <v>0</v>
      </c>
      <c r="F1164">
        <f t="shared" si="37"/>
        <v>0</v>
      </c>
      <c r="G1164" t="str">
        <f>IFERROR(VLOOKUP(A1164,预留库存!A:G,7,0),0)</f>
        <v>No</v>
      </c>
      <c r="H1164">
        <f>IFERROR(VLOOKUP(A1164,预留库存!A:H,8,0),0)</f>
        <v>0</v>
      </c>
      <c r="I1164">
        <f>IFERROR(VLOOKUP(A1164,预留库存!A:F,6,0),0)</f>
        <v>24.98</v>
      </c>
      <c r="J1164">
        <f>IFERROR(VLOOKUP(A1164,库龄!B:K,9,0),0)</f>
        <v>0</v>
      </c>
      <c r="K1164">
        <f>IFERROR(VLOOKUP(A1164,库龄!B:L,10,0),0)</f>
        <v>0</v>
      </c>
      <c r="L1164">
        <f>IFERROR(VLOOKUP(A1164,库龄!B:M,11,0),0)</f>
        <v>0</v>
      </c>
      <c r="M1164">
        <f>IFERROR(VLOOKUP(A1164,库龄!B:N,12,0),0)</f>
        <v>0</v>
      </c>
      <c r="N1164">
        <f t="shared" si="38"/>
        <v>0</v>
      </c>
    </row>
    <row r="1165" spans="1:14">
      <c r="A1165" s="3" t="s">
        <v>2930</v>
      </c>
      <c r="B1165">
        <f>IFERROR(VLOOKUP(A1165,管理亚马逊库存!A:K,11,0),"")</f>
        <v>53</v>
      </c>
      <c r="C1165">
        <f>IFERROR(VLOOKUP(A1165,管理亚马逊库存!A:L,12,0),"")</f>
        <v>0</v>
      </c>
      <c r="D1165">
        <f>IFERROR(VLOOKUP(A1165,管理亚马逊库存!A:Q,17,0),"")</f>
        <v>0</v>
      </c>
      <c r="E1165">
        <f>IFERROR(VLOOKUP(A1165,管理亚马逊库存!A:R,18,0),"")</f>
        <v>0</v>
      </c>
      <c r="F1165">
        <f t="shared" si="37"/>
        <v>0</v>
      </c>
      <c r="G1165" t="str">
        <f>IFERROR(VLOOKUP(A1165,预留库存!A:G,7,0),0)</f>
        <v>No</v>
      </c>
      <c r="H1165">
        <f>IFERROR(VLOOKUP(A1165,预留库存!A:H,8,0),0)</f>
        <v>0</v>
      </c>
      <c r="I1165">
        <f>IFERROR(VLOOKUP(A1165,预留库存!A:F,6,0),0)</f>
        <v>22.98</v>
      </c>
      <c r="J1165">
        <f>IFERROR(VLOOKUP(A1165,库龄!B:K,9,0),0)</f>
        <v>0</v>
      </c>
      <c r="K1165">
        <f>IFERROR(VLOOKUP(A1165,库龄!B:L,10,0),0)</f>
        <v>0</v>
      </c>
      <c r="L1165">
        <f>IFERROR(VLOOKUP(A1165,库龄!B:M,11,0),0)</f>
        <v>0</v>
      </c>
      <c r="M1165">
        <f>IFERROR(VLOOKUP(A1165,库龄!B:N,12,0),0)</f>
        <v>0</v>
      </c>
      <c r="N1165">
        <f t="shared" si="38"/>
        <v>0</v>
      </c>
    </row>
    <row r="1166" spans="1:14">
      <c r="A1166" s="3" t="s">
        <v>2931</v>
      </c>
      <c r="B1166">
        <f>IFERROR(VLOOKUP(A1166,管理亚马逊库存!A:K,11,0),"")</f>
        <v>20</v>
      </c>
      <c r="C1166">
        <f>IFERROR(VLOOKUP(A1166,管理亚马逊库存!A:L,12,0),"")</f>
        <v>0</v>
      </c>
      <c r="D1166">
        <f>IFERROR(VLOOKUP(A1166,管理亚马逊库存!A:Q,17,0),"")</f>
        <v>0</v>
      </c>
      <c r="E1166">
        <f>IFERROR(VLOOKUP(A1166,管理亚马逊库存!A:R,18,0),"")</f>
        <v>0</v>
      </c>
      <c r="F1166">
        <f t="shared" si="37"/>
        <v>0</v>
      </c>
      <c r="G1166" t="str">
        <f>IFERROR(VLOOKUP(A1166,预留库存!A:G,7,0),0)</f>
        <v>No</v>
      </c>
      <c r="H1166">
        <f>IFERROR(VLOOKUP(A1166,预留库存!A:H,8,0),0)</f>
        <v>0</v>
      </c>
      <c r="I1166">
        <f>IFERROR(VLOOKUP(A1166,预留库存!A:F,6,0),0)</f>
        <v>39.98</v>
      </c>
      <c r="J1166">
        <f>IFERROR(VLOOKUP(A1166,库龄!B:K,9,0),0)</f>
        <v>0</v>
      </c>
      <c r="K1166">
        <f>IFERROR(VLOOKUP(A1166,库龄!B:L,10,0),0)</f>
        <v>0</v>
      </c>
      <c r="L1166">
        <f>IFERROR(VLOOKUP(A1166,库龄!B:M,11,0),0)</f>
        <v>0</v>
      </c>
      <c r="M1166">
        <f>IFERROR(VLOOKUP(A1166,库龄!B:N,12,0),0)</f>
        <v>0</v>
      </c>
      <c r="N1166">
        <f t="shared" si="38"/>
        <v>0</v>
      </c>
    </row>
    <row r="1167" spans="1:14">
      <c r="A1167" s="3" t="s">
        <v>2934</v>
      </c>
      <c r="B1167">
        <f>IFERROR(VLOOKUP(A1167,管理亚马逊库存!A:K,11,0),"")</f>
        <v>0</v>
      </c>
      <c r="C1167">
        <f>IFERROR(VLOOKUP(A1167,管理亚马逊库存!A:L,12,0),"")</f>
        <v>1</v>
      </c>
      <c r="D1167">
        <f>IFERROR(VLOOKUP(A1167,管理亚马逊库存!A:Q,17,0),"")</f>
        <v>0</v>
      </c>
      <c r="E1167">
        <f>IFERROR(VLOOKUP(A1167,管理亚马逊库存!A:R,18,0),"")</f>
        <v>10</v>
      </c>
      <c r="F1167">
        <f t="shared" si="37"/>
        <v>10</v>
      </c>
      <c r="G1167" t="str">
        <f>IFERROR(VLOOKUP(A1167,预留库存!A:G,7,0),0)</f>
        <v>No</v>
      </c>
      <c r="H1167">
        <f>IFERROR(VLOOKUP(A1167,预留库存!A:H,8,0),0)</f>
        <v>0</v>
      </c>
      <c r="I1167">
        <f>IFERROR(VLOOKUP(A1167,预留库存!A:F,6,0),0)</f>
        <v>24.98</v>
      </c>
      <c r="J1167">
        <f>IFERROR(VLOOKUP(A1167,库龄!B:K,9,0),0)</f>
        <v>0</v>
      </c>
      <c r="K1167">
        <f>IFERROR(VLOOKUP(A1167,库龄!B:L,10,0),0)</f>
        <v>0</v>
      </c>
      <c r="L1167">
        <f>IFERROR(VLOOKUP(A1167,库龄!B:M,11,0),0)</f>
        <v>0</v>
      </c>
      <c r="M1167">
        <f>IFERROR(VLOOKUP(A1167,库龄!B:N,12,0),0)</f>
        <v>0</v>
      </c>
      <c r="N1167">
        <f t="shared" si="38"/>
        <v>0</v>
      </c>
    </row>
    <row r="1168" spans="1:14">
      <c r="A1168" s="3" t="s">
        <v>2935</v>
      </c>
      <c r="B1168">
        <f>IFERROR(VLOOKUP(A1168,管理亚马逊库存!A:K,11,0),"")</f>
        <v>53</v>
      </c>
      <c r="C1168">
        <f>IFERROR(VLOOKUP(A1168,管理亚马逊库存!A:L,12,0),"")</f>
        <v>0</v>
      </c>
      <c r="D1168">
        <f>IFERROR(VLOOKUP(A1168,管理亚马逊库存!A:Q,17,0),"")</f>
        <v>0</v>
      </c>
      <c r="E1168">
        <f>IFERROR(VLOOKUP(A1168,管理亚马逊库存!A:R,18,0),"")</f>
        <v>5</v>
      </c>
      <c r="F1168">
        <f t="shared" si="37"/>
        <v>5</v>
      </c>
      <c r="G1168" t="str">
        <f>IFERROR(VLOOKUP(A1168,预留库存!A:G,7,0),0)</f>
        <v>No</v>
      </c>
      <c r="H1168">
        <f>IFERROR(VLOOKUP(A1168,预留库存!A:H,8,0),0)</f>
        <v>0</v>
      </c>
      <c r="I1168">
        <f>IFERROR(VLOOKUP(A1168,预留库存!A:F,6,0),0)</f>
        <v>23.98</v>
      </c>
      <c r="J1168">
        <f>IFERROR(VLOOKUP(A1168,库龄!B:K,9,0),0)</f>
        <v>0</v>
      </c>
      <c r="K1168">
        <f>IFERROR(VLOOKUP(A1168,库龄!B:L,10,0),0)</f>
        <v>0</v>
      </c>
      <c r="L1168">
        <f>IFERROR(VLOOKUP(A1168,库龄!B:M,11,0),0)</f>
        <v>0</v>
      </c>
      <c r="M1168">
        <f>IFERROR(VLOOKUP(A1168,库龄!B:N,12,0),0)</f>
        <v>0</v>
      </c>
      <c r="N1168">
        <f t="shared" si="38"/>
        <v>0</v>
      </c>
    </row>
    <row r="1169" spans="1:14">
      <c r="A1169" s="3" t="s">
        <v>2936</v>
      </c>
      <c r="B1169">
        <f>IFERROR(VLOOKUP(A1169,管理亚马逊库存!A:K,11,0),"")</f>
        <v>0</v>
      </c>
      <c r="C1169">
        <f>IFERROR(VLOOKUP(A1169,管理亚马逊库存!A:L,12,0),"")</f>
        <v>0</v>
      </c>
      <c r="D1169">
        <f>IFERROR(VLOOKUP(A1169,管理亚马逊库存!A:Q,17,0),"")</f>
        <v>0</v>
      </c>
      <c r="E1169">
        <f>IFERROR(VLOOKUP(A1169,管理亚马逊库存!A:R,18,0),"")</f>
        <v>0</v>
      </c>
      <c r="F1169">
        <f t="shared" si="37"/>
        <v>0</v>
      </c>
      <c r="G1169">
        <f>IFERROR(VLOOKUP(A1169,预留库存!A:G,7,0),0)</f>
        <v>0</v>
      </c>
      <c r="H1169">
        <f>IFERROR(VLOOKUP(A1169,预留库存!A:H,8,0),0)</f>
        <v>0</v>
      </c>
      <c r="I1169">
        <f>IFERROR(VLOOKUP(A1169,预留库存!A:F,6,0),0)</f>
        <v>0</v>
      </c>
      <c r="J1169">
        <f>IFERROR(VLOOKUP(A1169,库龄!B:K,9,0),0)</f>
        <v>0</v>
      </c>
      <c r="K1169">
        <f>IFERROR(VLOOKUP(A1169,库龄!B:L,10,0),0)</f>
        <v>0</v>
      </c>
      <c r="L1169">
        <f>IFERROR(VLOOKUP(A1169,库龄!B:M,11,0),0)</f>
        <v>0</v>
      </c>
      <c r="M1169">
        <f>IFERROR(VLOOKUP(A1169,库龄!B:N,12,0),0)</f>
        <v>0</v>
      </c>
      <c r="N1169">
        <f t="shared" si="38"/>
        <v>0</v>
      </c>
    </row>
    <row r="1170" spans="1:14">
      <c r="A1170" s="3" t="s">
        <v>2938</v>
      </c>
      <c r="B1170">
        <f>IFERROR(VLOOKUP(A1170,管理亚马逊库存!A:K,11,0),"")</f>
        <v>35</v>
      </c>
      <c r="C1170">
        <f>IFERROR(VLOOKUP(A1170,管理亚马逊库存!A:L,12,0),"")</f>
        <v>0</v>
      </c>
      <c r="D1170">
        <f>IFERROR(VLOOKUP(A1170,管理亚马逊库存!A:Q,17,0),"")</f>
        <v>0</v>
      </c>
      <c r="E1170">
        <f>IFERROR(VLOOKUP(A1170,管理亚马逊库存!A:R,18,0),"")</f>
        <v>0</v>
      </c>
      <c r="F1170">
        <f t="shared" si="37"/>
        <v>0</v>
      </c>
      <c r="G1170" t="str">
        <f>IFERROR(VLOOKUP(A1170,预留库存!A:G,7,0),0)</f>
        <v>No</v>
      </c>
      <c r="H1170">
        <f>IFERROR(VLOOKUP(A1170,预留库存!A:H,8,0),0)</f>
        <v>0</v>
      </c>
      <c r="I1170">
        <f>IFERROR(VLOOKUP(A1170,预留库存!A:F,6,0),0)</f>
        <v>22.98</v>
      </c>
      <c r="J1170">
        <f>IFERROR(VLOOKUP(A1170,库龄!B:K,9,0),0)</f>
        <v>0</v>
      </c>
      <c r="K1170">
        <f>IFERROR(VLOOKUP(A1170,库龄!B:L,10,0),0)</f>
        <v>0</v>
      </c>
      <c r="L1170">
        <f>IFERROR(VLOOKUP(A1170,库龄!B:M,11,0),0)</f>
        <v>0</v>
      </c>
      <c r="M1170">
        <f>IFERROR(VLOOKUP(A1170,库龄!B:N,12,0),0)</f>
        <v>0</v>
      </c>
      <c r="N1170">
        <f t="shared" si="38"/>
        <v>0</v>
      </c>
    </row>
    <row r="1171" spans="1:14">
      <c r="A1171" s="3" t="s">
        <v>2939</v>
      </c>
      <c r="B1171">
        <f>IFERROR(VLOOKUP(A1171,管理亚马逊库存!A:K,11,0),"")</f>
        <v>6</v>
      </c>
      <c r="C1171">
        <f>IFERROR(VLOOKUP(A1171,管理亚马逊库存!A:L,12,0),"")</f>
        <v>0</v>
      </c>
      <c r="D1171">
        <f>IFERROR(VLOOKUP(A1171,管理亚马逊库存!A:Q,17,0),"")</f>
        <v>0</v>
      </c>
      <c r="E1171">
        <f>IFERROR(VLOOKUP(A1171,管理亚马逊库存!A:R,18,0),"")</f>
        <v>0</v>
      </c>
      <c r="F1171">
        <f t="shared" si="37"/>
        <v>0</v>
      </c>
      <c r="G1171" t="str">
        <f>IFERROR(VLOOKUP(A1171,预留库存!A:G,7,0),0)</f>
        <v>No</v>
      </c>
      <c r="H1171">
        <f>IFERROR(VLOOKUP(A1171,预留库存!A:H,8,0),0)</f>
        <v>0</v>
      </c>
      <c r="I1171">
        <f>IFERROR(VLOOKUP(A1171,预留库存!A:F,6,0),0)</f>
        <v>39.98</v>
      </c>
      <c r="J1171">
        <f>IFERROR(VLOOKUP(A1171,库龄!B:K,9,0),0)</f>
        <v>0</v>
      </c>
      <c r="K1171">
        <f>IFERROR(VLOOKUP(A1171,库龄!B:L,10,0),0)</f>
        <v>0</v>
      </c>
      <c r="L1171">
        <f>IFERROR(VLOOKUP(A1171,库龄!B:M,11,0),0)</f>
        <v>0</v>
      </c>
      <c r="M1171">
        <f>IFERROR(VLOOKUP(A1171,库龄!B:N,12,0),0)</f>
        <v>0</v>
      </c>
      <c r="N1171">
        <f t="shared" si="38"/>
        <v>0</v>
      </c>
    </row>
    <row r="1172" spans="1:14">
      <c r="A1172" s="3" t="s">
        <v>2942</v>
      </c>
      <c r="B1172">
        <f>IFERROR(VLOOKUP(A1172,管理亚马逊库存!A:K,11,0),"")</f>
        <v>2</v>
      </c>
      <c r="C1172">
        <f>IFERROR(VLOOKUP(A1172,管理亚马逊库存!A:L,12,0),"")</f>
        <v>0</v>
      </c>
      <c r="D1172">
        <f>IFERROR(VLOOKUP(A1172,管理亚马逊库存!A:Q,17,0),"")</f>
        <v>0</v>
      </c>
      <c r="E1172">
        <f>IFERROR(VLOOKUP(A1172,管理亚马逊库存!A:R,18,0),"")</f>
        <v>10</v>
      </c>
      <c r="F1172">
        <f t="shared" si="37"/>
        <v>10</v>
      </c>
      <c r="G1172" t="str">
        <f>IFERROR(VLOOKUP(A1172,预留库存!A:G,7,0),0)</f>
        <v>No</v>
      </c>
      <c r="H1172">
        <f>IFERROR(VLOOKUP(A1172,预留库存!A:H,8,0),0)</f>
        <v>0</v>
      </c>
      <c r="I1172">
        <f>IFERROR(VLOOKUP(A1172,预留库存!A:F,6,0),0)</f>
        <v>23.98</v>
      </c>
      <c r="J1172">
        <f>IFERROR(VLOOKUP(A1172,库龄!B:K,9,0),0)</f>
        <v>0</v>
      </c>
      <c r="K1172">
        <f>IFERROR(VLOOKUP(A1172,库龄!B:L,10,0),0)</f>
        <v>0</v>
      </c>
      <c r="L1172">
        <f>IFERROR(VLOOKUP(A1172,库龄!B:M,11,0),0)</f>
        <v>0</v>
      </c>
      <c r="M1172">
        <f>IFERROR(VLOOKUP(A1172,库龄!B:N,12,0),0)</f>
        <v>0</v>
      </c>
      <c r="N1172">
        <f t="shared" si="38"/>
        <v>0</v>
      </c>
    </row>
    <row r="1173" spans="1:14">
      <c r="A1173" s="3" t="s">
        <v>2943</v>
      </c>
      <c r="B1173">
        <f>IFERROR(VLOOKUP(A1173,管理亚马逊库存!A:K,11,0),"")</f>
        <v>52</v>
      </c>
      <c r="C1173">
        <f>IFERROR(VLOOKUP(A1173,管理亚马逊库存!A:L,12,0),"")</f>
        <v>0</v>
      </c>
      <c r="D1173">
        <f>IFERROR(VLOOKUP(A1173,管理亚马逊库存!A:Q,17,0),"")</f>
        <v>0</v>
      </c>
      <c r="E1173">
        <f>IFERROR(VLOOKUP(A1173,管理亚马逊库存!A:R,18,0),"")</f>
        <v>0</v>
      </c>
      <c r="F1173">
        <f t="shared" si="37"/>
        <v>0</v>
      </c>
      <c r="G1173" t="str">
        <f>IFERROR(VLOOKUP(A1173,预留库存!A:G,7,0),0)</f>
        <v>No</v>
      </c>
      <c r="H1173">
        <f>IFERROR(VLOOKUP(A1173,预留库存!A:H,8,0),0)</f>
        <v>0</v>
      </c>
      <c r="I1173">
        <f>IFERROR(VLOOKUP(A1173,预留库存!A:F,6,0),0)</f>
        <v>23.98</v>
      </c>
      <c r="J1173">
        <f>IFERROR(VLOOKUP(A1173,库龄!B:K,9,0),0)</f>
        <v>0</v>
      </c>
      <c r="K1173">
        <f>IFERROR(VLOOKUP(A1173,库龄!B:L,10,0),0)</f>
        <v>0</v>
      </c>
      <c r="L1173">
        <f>IFERROR(VLOOKUP(A1173,库龄!B:M,11,0),0)</f>
        <v>0</v>
      </c>
      <c r="M1173">
        <f>IFERROR(VLOOKUP(A1173,库龄!B:N,12,0),0)</f>
        <v>0</v>
      </c>
      <c r="N1173">
        <f t="shared" si="38"/>
        <v>0</v>
      </c>
    </row>
    <row r="1174" spans="1:14">
      <c r="A1174" s="3" t="s">
        <v>2944</v>
      </c>
      <c r="B1174">
        <f>IFERROR(VLOOKUP(A1174,管理亚马逊库存!A:K,11,0),"")</f>
        <v>0</v>
      </c>
      <c r="C1174">
        <f>IFERROR(VLOOKUP(A1174,管理亚马逊库存!A:L,12,0),"")</f>
        <v>0</v>
      </c>
      <c r="D1174">
        <f>IFERROR(VLOOKUP(A1174,管理亚马逊库存!A:Q,17,0),"")</f>
        <v>0</v>
      </c>
      <c r="E1174">
        <f>IFERROR(VLOOKUP(A1174,管理亚马逊库存!A:R,18,0),"")</f>
        <v>0</v>
      </c>
      <c r="F1174">
        <f t="shared" si="37"/>
        <v>0</v>
      </c>
      <c r="G1174" t="str">
        <f>IFERROR(VLOOKUP(A1174,预留库存!A:G,7,0),0)</f>
        <v>No</v>
      </c>
      <c r="H1174">
        <f>IFERROR(VLOOKUP(A1174,预留库存!A:H,8,0),0)</f>
        <v>0</v>
      </c>
      <c r="I1174">
        <f>IFERROR(VLOOKUP(A1174,预留库存!A:F,6,0),0)</f>
        <v>22.98</v>
      </c>
      <c r="J1174">
        <f>IFERROR(VLOOKUP(A1174,库龄!B:K,9,0),0)</f>
        <v>0</v>
      </c>
      <c r="K1174">
        <f>IFERROR(VLOOKUP(A1174,库龄!B:L,10,0),0)</f>
        <v>0</v>
      </c>
      <c r="L1174">
        <f>IFERROR(VLOOKUP(A1174,库龄!B:M,11,0),0)</f>
        <v>0</v>
      </c>
      <c r="M1174">
        <f>IFERROR(VLOOKUP(A1174,库龄!B:N,12,0),0)</f>
        <v>0</v>
      </c>
      <c r="N1174">
        <f t="shared" si="38"/>
        <v>0</v>
      </c>
    </row>
    <row r="1175" spans="1:14">
      <c r="A1175" s="3" t="s">
        <v>2945</v>
      </c>
      <c r="B1175">
        <f>IFERROR(VLOOKUP(A1175,管理亚马逊库存!A:K,11,0),"")</f>
        <v>1</v>
      </c>
      <c r="C1175">
        <f>IFERROR(VLOOKUP(A1175,管理亚马逊库存!A:L,12,0),"")</f>
        <v>0</v>
      </c>
      <c r="D1175">
        <f>IFERROR(VLOOKUP(A1175,管理亚马逊库存!A:Q,17,0),"")</f>
        <v>0</v>
      </c>
      <c r="E1175">
        <f>IFERROR(VLOOKUP(A1175,管理亚马逊库存!A:R,18,0),"")</f>
        <v>0</v>
      </c>
      <c r="F1175">
        <f t="shared" si="37"/>
        <v>0</v>
      </c>
      <c r="G1175" t="str">
        <f>IFERROR(VLOOKUP(A1175,预留库存!A:G,7,0),0)</f>
        <v>No</v>
      </c>
      <c r="H1175">
        <f>IFERROR(VLOOKUP(A1175,预留库存!A:H,8,0),0)</f>
        <v>0</v>
      </c>
      <c r="I1175">
        <f>IFERROR(VLOOKUP(A1175,预留库存!A:F,6,0),0)</f>
        <v>22.98</v>
      </c>
      <c r="J1175">
        <f>IFERROR(VLOOKUP(A1175,库龄!B:K,9,0),0)</f>
        <v>0</v>
      </c>
      <c r="K1175">
        <f>IFERROR(VLOOKUP(A1175,库龄!B:L,10,0),0)</f>
        <v>0</v>
      </c>
      <c r="L1175">
        <f>IFERROR(VLOOKUP(A1175,库龄!B:M,11,0),0)</f>
        <v>0</v>
      </c>
      <c r="M1175">
        <f>IFERROR(VLOOKUP(A1175,库龄!B:N,12,0),0)</f>
        <v>0</v>
      </c>
      <c r="N1175">
        <f t="shared" si="38"/>
        <v>0</v>
      </c>
    </row>
    <row r="1176" spans="1:14">
      <c r="A1176" s="3" t="s">
        <v>2946</v>
      </c>
      <c r="B1176">
        <f>IFERROR(VLOOKUP(A1176,管理亚马逊库存!A:K,11,0),"")</f>
        <v>12</v>
      </c>
      <c r="C1176">
        <f>IFERROR(VLOOKUP(A1176,管理亚马逊库存!A:L,12,0),"")</f>
        <v>0</v>
      </c>
      <c r="D1176">
        <f>IFERROR(VLOOKUP(A1176,管理亚马逊库存!A:Q,17,0),"")</f>
        <v>0</v>
      </c>
      <c r="E1176">
        <f>IFERROR(VLOOKUP(A1176,管理亚马逊库存!A:R,18,0),"")</f>
        <v>0</v>
      </c>
      <c r="F1176">
        <f t="shared" si="37"/>
        <v>0</v>
      </c>
      <c r="G1176" t="str">
        <f>IFERROR(VLOOKUP(A1176,预留库存!A:G,7,0),0)</f>
        <v>No</v>
      </c>
      <c r="H1176">
        <f>IFERROR(VLOOKUP(A1176,预留库存!A:H,8,0),0)</f>
        <v>0</v>
      </c>
      <c r="I1176">
        <f>IFERROR(VLOOKUP(A1176,预留库存!A:F,6,0),0)</f>
        <v>19.98</v>
      </c>
      <c r="J1176">
        <f>IFERROR(VLOOKUP(A1176,库龄!B:K,9,0),0)</f>
        <v>0</v>
      </c>
      <c r="K1176">
        <f>IFERROR(VLOOKUP(A1176,库龄!B:L,10,0),0)</f>
        <v>0</v>
      </c>
      <c r="L1176">
        <f>IFERROR(VLOOKUP(A1176,库龄!B:M,11,0),0)</f>
        <v>0</v>
      </c>
      <c r="M1176">
        <f>IFERROR(VLOOKUP(A1176,库龄!B:N,12,0),0)</f>
        <v>0</v>
      </c>
      <c r="N1176">
        <f t="shared" si="38"/>
        <v>0</v>
      </c>
    </row>
    <row r="1177" spans="1:14">
      <c r="A1177" s="3" t="s">
        <v>2947</v>
      </c>
      <c r="B1177">
        <f>IFERROR(VLOOKUP(A1177,管理亚马逊库存!A:K,11,0),"")</f>
        <v>11</v>
      </c>
      <c r="C1177">
        <f>IFERROR(VLOOKUP(A1177,管理亚马逊库存!A:L,12,0),"")</f>
        <v>0</v>
      </c>
      <c r="D1177">
        <f>IFERROR(VLOOKUP(A1177,管理亚马逊库存!A:Q,17,0),"")</f>
        <v>0</v>
      </c>
      <c r="E1177">
        <f>IFERROR(VLOOKUP(A1177,管理亚马逊库存!A:R,18,0),"")</f>
        <v>0</v>
      </c>
      <c r="F1177">
        <f t="shared" si="37"/>
        <v>0</v>
      </c>
      <c r="G1177" t="str">
        <f>IFERROR(VLOOKUP(A1177,预留库存!A:G,7,0),0)</f>
        <v>No</v>
      </c>
      <c r="H1177">
        <f>IFERROR(VLOOKUP(A1177,预留库存!A:H,8,0),0)</f>
        <v>0</v>
      </c>
      <c r="I1177">
        <f>IFERROR(VLOOKUP(A1177,预留库存!A:F,6,0),0)</f>
        <v>23.98</v>
      </c>
      <c r="J1177">
        <f>IFERROR(VLOOKUP(A1177,库龄!B:K,9,0),0)</f>
        <v>0</v>
      </c>
      <c r="K1177">
        <f>IFERROR(VLOOKUP(A1177,库龄!B:L,10,0),0)</f>
        <v>0</v>
      </c>
      <c r="L1177">
        <f>IFERROR(VLOOKUP(A1177,库龄!B:M,11,0),0)</f>
        <v>0</v>
      </c>
      <c r="M1177">
        <f>IFERROR(VLOOKUP(A1177,库龄!B:N,12,0),0)</f>
        <v>0</v>
      </c>
      <c r="N1177">
        <f t="shared" si="38"/>
        <v>0</v>
      </c>
    </row>
    <row r="1178" spans="1:14">
      <c r="A1178" s="3" t="s">
        <v>2948</v>
      </c>
      <c r="B1178">
        <f>IFERROR(VLOOKUP(A1178,管理亚马逊库存!A:K,11,0),"")</f>
        <v>0</v>
      </c>
      <c r="C1178">
        <f>IFERROR(VLOOKUP(A1178,管理亚马逊库存!A:L,12,0),"")</f>
        <v>0</v>
      </c>
      <c r="D1178">
        <f>IFERROR(VLOOKUP(A1178,管理亚马逊库存!A:Q,17,0),"")</f>
        <v>0</v>
      </c>
      <c r="E1178">
        <f>IFERROR(VLOOKUP(A1178,管理亚马逊库存!A:R,18,0),"")</f>
        <v>0</v>
      </c>
      <c r="F1178">
        <f t="shared" si="37"/>
        <v>0</v>
      </c>
      <c r="G1178" t="str">
        <f>IFERROR(VLOOKUP(A1178,预留库存!A:G,7,0),0)</f>
        <v>No</v>
      </c>
      <c r="H1178">
        <f>IFERROR(VLOOKUP(A1178,预留库存!A:H,8,0),0)</f>
        <v>0</v>
      </c>
      <c r="I1178">
        <f>IFERROR(VLOOKUP(A1178,预留库存!A:F,6,0),0)</f>
        <v>23.98</v>
      </c>
      <c r="J1178">
        <f>IFERROR(VLOOKUP(A1178,库龄!B:K,9,0),0)</f>
        <v>0</v>
      </c>
      <c r="K1178">
        <f>IFERROR(VLOOKUP(A1178,库龄!B:L,10,0),0)</f>
        <v>0</v>
      </c>
      <c r="L1178">
        <f>IFERROR(VLOOKUP(A1178,库龄!B:M,11,0),0)</f>
        <v>0</v>
      </c>
      <c r="M1178">
        <f>IFERROR(VLOOKUP(A1178,库龄!B:N,12,0),0)</f>
        <v>0</v>
      </c>
      <c r="N1178">
        <f t="shared" si="38"/>
        <v>0</v>
      </c>
    </row>
    <row r="1179" spans="1:14">
      <c r="A1179" s="3" t="s">
        <v>2949</v>
      </c>
      <c r="B1179">
        <f>IFERROR(VLOOKUP(A1179,管理亚马逊库存!A:K,11,0),"")</f>
        <v>2</v>
      </c>
      <c r="C1179">
        <f>IFERROR(VLOOKUP(A1179,管理亚马逊库存!A:L,12,0),"")</f>
        <v>1</v>
      </c>
      <c r="D1179">
        <f>IFERROR(VLOOKUP(A1179,管理亚马逊库存!A:Q,17,0),"")</f>
        <v>0</v>
      </c>
      <c r="E1179">
        <f>IFERROR(VLOOKUP(A1179,管理亚马逊库存!A:R,18,0),"")</f>
        <v>0</v>
      </c>
      <c r="F1179">
        <f t="shared" si="37"/>
        <v>0</v>
      </c>
      <c r="G1179" t="str">
        <f>IFERROR(VLOOKUP(A1179,预留库存!A:G,7,0),0)</f>
        <v>No</v>
      </c>
      <c r="H1179">
        <f>IFERROR(VLOOKUP(A1179,预留库存!A:H,8,0),0)</f>
        <v>0</v>
      </c>
      <c r="I1179">
        <f>IFERROR(VLOOKUP(A1179,预留库存!A:F,6,0),0)</f>
        <v>24.98</v>
      </c>
      <c r="J1179">
        <f>IFERROR(VLOOKUP(A1179,库龄!B:K,9,0),0)</f>
        <v>0</v>
      </c>
      <c r="K1179">
        <f>IFERROR(VLOOKUP(A1179,库龄!B:L,10,0),0)</f>
        <v>0</v>
      </c>
      <c r="L1179">
        <f>IFERROR(VLOOKUP(A1179,库龄!B:M,11,0),0)</f>
        <v>0</v>
      </c>
      <c r="M1179">
        <f>IFERROR(VLOOKUP(A1179,库龄!B:N,12,0),0)</f>
        <v>0</v>
      </c>
      <c r="N1179">
        <f t="shared" si="38"/>
        <v>0</v>
      </c>
    </row>
    <row r="1180" spans="1:14">
      <c r="A1180" s="3" t="s">
        <v>2950</v>
      </c>
      <c r="B1180">
        <f>IFERROR(VLOOKUP(A1180,管理亚马逊库存!A:K,11,0),"")</f>
        <v>0</v>
      </c>
      <c r="C1180">
        <f>IFERROR(VLOOKUP(A1180,管理亚马逊库存!A:L,12,0),"")</f>
        <v>0</v>
      </c>
      <c r="D1180">
        <f>IFERROR(VLOOKUP(A1180,管理亚马逊库存!A:Q,17,0),"")</f>
        <v>0</v>
      </c>
      <c r="E1180">
        <f>IFERROR(VLOOKUP(A1180,管理亚马逊库存!A:R,18,0),"")</f>
        <v>10</v>
      </c>
      <c r="F1180">
        <f t="shared" si="37"/>
        <v>10</v>
      </c>
      <c r="G1180" t="str">
        <f>IFERROR(VLOOKUP(A1180,预留库存!A:G,7,0),0)</f>
        <v>No</v>
      </c>
      <c r="H1180">
        <f>IFERROR(VLOOKUP(A1180,预留库存!A:H,8,0),0)</f>
        <v>0</v>
      </c>
      <c r="I1180">
        <f>IFERROR(VLOOKUP(A1180,预留库存!A:F,6,0),0)</f>
        <v>22.98</v>
      </c>
      <c r="J1180">
        <f>IFERROR(VLOOKUP(A1180,库龄!B:K,9,0),0)</f>
        <v>0</v>
      </c>
      <c r="K1180">
        <f>IFERROR(VLOOKUP(A1180,库龄!B:L,10,0),0)</f>
        <v>0</v>
      </c>
      <c r="L1180">
        <f>IFERROR(VLOOKUP(A1180,库龄!B:M,11,0),0)</f>
        <v>0</v>
      </c>
      <c r="M1180">
        <f>IFERROR(VLOOKUP(A1180,库龄!B:N,12,0),0)</f>
        <v>0</v>
      </c>
      <c r="N1180">
        <f t="shared" si="38"/>
        <v>0</v>
      </c>
    </row>
    <row r="1181" spans="1:14">
      <c r="A1181" s="3" t="s">
        <v>2951</v>
      </c>
      <c r="B1181">
        <f>IFERROR(VLOOKUP(A1181,管理亚马逊库存!A:K,11,0),"")</f>
        <v>20</v>
      </c>
      <c r="C1181">
        <f>IFERROR(VLOOKUP(A1181,管理亚马逊库存!A:L,12,0),"")</f>
        <v>0</v>
      </c>
      <c r="D1181">
        <f>IFERROR(VLOOKUP(A1181,管理亚马逊库存!A:Q,17,0),"")</f>
        <v>0</v>
      </c>
      <c r="E1181">
        <f>IFERROR(VLOOKUP(A1181,管理亚马逊库存!A:R,18,0),"")</f>
        <v>0</v>
      </c>
      <c r="F1181">
        <f t="shared" si="37"/>
        <v>0</v>
      </c>
      <c r="G1181" t="str">
        <f>IFERROR(VLOOKUP(A1181,预留库存!A:G,7,0),0)</f>
        <v>No</v>
      </c>
      <c r="H1181">
        <f>IFERROR(VLOOKUP(A1181,预留库存!A:H,8,0),0)</f>
        <v>0</v>
      </c>
      <c r="I1181">
        <f>IFERROR(VLOOKUP(A1181,预留库存!A:F,6,0),0)</f>
        <v>19.98</v>
      </c>
      <c r="J1181">
        <f>IFERROR(VLOOKUP(A1181,库龄!B:K,9,0),0)</f>
        <v>0</v>
      </c>
      <c r="K1181">
        <f>IFERROR(VLOOKUP(A1181,库龄!B:L,10,0),0)</f>
        <v>0</v>
      </c>
      <c r="L1181">
        <f>IFERROR(VLOOKUP(A1181,库龄!B:M,11,0),0)</f>
        <v>0</v>
      </c>
      <c r="M1181">
        <f>IFERROR(VLOOKUP(A1181,库龄!B:N,12,0),0)</f>
        <v>0</v>
      </c>
      <c r="N1181">
        <f t="shared" si="38"/>
        <v>0</v>
      </c>
    </row>
    <row r="1182" spans="1:14">
      <c r="A1182" s="3" t="s">
        <v>2952</v>
      </c>
      <c r="B1182">
        <f>IFERROR(VLOOKUP(A1182,管理亚马逊库存!A:K,11,0),"")</f>
        <v>11</v>
      </c>
      <c r="C1182">
        <f>IFERROR(VLOOKUP(A1182,管理亚马逊库存!A:L,12,0),"")</f>
        <v>1</v>
      </c>
      <c r="D1182">
        <f>IFERROR(VLOOKUP(A1182,管理亚马逊库存!A:Q,17,0),"")</f>
        <v>0</v>
      </c>
      <c r="E1182">
        <f>IFERROR(VLOOKUP(A1182,管理亚马逊库存!A:R,18,0),"")</f>
        <v>10</v>
      </c>
      <c r="F1182">
        <f t="shared" si="37"/>
        <v>10</v>
      </c>
      <c r="G1182" t="str">
        <f>IFERROR(VLOOKUP(A1182,预留库存!A:G,7,0),0)</f>
        <v>No</v>
      </c>
      <c r="H1182">
        <f>IFERROR(VLOOKUP(A1182,预留库存!A:H,8,0),0)</f>
        <v>0</v>
      </c>
      <c r="I1182">
        <f>IFERROR(VLOOKUP(A1182,预留库存!A:F,6,0),0)</f>
        <v>24.98</v>
      </c>
      <c r="J1182">
        <f>IFERROR(VLOOKUP(A1182,库龄!B:K,9,0),0)</f>
        <v>0</v>
      </c>
      <c r="K1182">
        <f>IFERROR(VLOOKUP(A1182,库龄!B:L,10,0),0)</f>
        <v>0</v>
      </c>
      <c r="L1182">
        <f>IFERROR(VLOOKUP(A1182,库龄!B:M,11,0),0)</f>
        <v>0</v>
      </c>
      <c r="M1182">
        <f>IFERROR(VLOOKUP(A1182,库龄!B:N,12,0),0)</f>
        <v>0</v>
      </c>
      <c r="N1182">
        <f t="shared" si="38"/>
        <v>0</v>
      </c>
    </row>
    <row r="1183" spans="1:14">
      <c r="A1183" s="3" t="s">
        <v>2953</v>
      </c>
      <c r="B1183">
        <f>IFERROR(VLOOKUP(A1183,管理亚马逊库存!A:K,11,0),"")</f>
        <v>23</v>
      </c>
      <c r="C1183">
        <f>IFERROR(VLOOKUP(A1183,管理亚马逊库存!A:L,12,0),"")</f>
        <v>0</v>
      </c>
      <c r="D1183">
        <f>IFERROR(VLOOKUP(A1183,管理亚马逊库存!A:Q,17,0),"")</f>
        <v>0</v>
      </c>
      <c r="E1183">
        <f>IFERROR(VLOOKUP(A1183,管理亚马逊库存!A:R,18,0),"")</f>
        <v>2</v>
      </c>
      <c r="F1183">
        <f t="shared" si="37"/>
        <v>2</v>
      </c>
      <c r="G1183" t="str">
        <f>IFERROR(VLOOKUP(A1183,预留库存!A:G,7,0),0)</f>
        <v>No</v>
      </c>
      <c r="H1183">
        <f>IFERROR(VLOOKUP(A1183,预留库存!A:H,8,0),0)</f>
        <v>0</v>
      </c>
      <c r="I1183">
        <f>IFERROR(VLOOKUP(A1183,预留库存!A:F,6,0),0)</f>
        <v>24.98</v>
      </c>
      <c r="J1183">
        <f>IFERROR(VLOOKUP(A1183,库龄!B:K,9,0),0)</f>
        <v>0</v>
      </c>
      <c r="K1183">
        <f>IFERROR(VLOOKUP(A1183,库龄!B:L,10,0),0)</f>
        <v>0</v>
      </c>
      <c r="L1183">
        <f>IFERROR(VLOOKUP(A1183,库龄!B:M,11,0),0)</f>
        <v>0</v>
      </c>
      <c r="M1183">
        <f>IFERROR(VLOOKUP(A1183,库龄!B:N,12,0),0)</f>
        <v>0</v>
      </c>
      <c r="N1183">
        <f t="shared" si="38"/>
        <v>0</v>
      </c>
    </row>
    <row r="1184" spans="1:14">
      <c r="A1184" s="3" t="s">
        <v>2954</v>
      </c>
      <c r="B1184">
        <f>IFERROR(VLOOKUP(A1184,管理亚马逊库存!A:K,11,0),"")</f>
        <v>35</v>
      </c>
      <c r="C1184">
        <f>IFERROR(VLOOKUP(A1184,管理亚马逊库存!A:L,12,0),"")</f>
        <v>0</v>
      </c>
      <c r="D1184">
        <f>IFERROR(VLOOKUP(A1184,管理亚马逊库存!A:Q,17,0),"")</f>
        <v>0</v>
      </c>
      <c r="E1184">
        <f>IFERROR(VLOOKUP(A1184,管理亚马逊库存!A:R,18,0),"")</f>
        <v>0</v>
      </c>
      <c r="F1184">
        <f t="shared" si="37"/>
        <v>0</v>
      </c>
      <c r="G1184" t="str">
        <f>IFERROR(VLOOKUP(A1184,预留库存!A:G,7,0),0)</f>
        <v>No</v>
      </c>
      <c r="H1184">
        <f>IFERROR(VLOOKUP(A1184,预留库存!A:H,8,0),0)</f>
        <v>0</v>
      </c>
      <c r="I1184">
        <f>IFERROR(VLOOKUP(A1184,预留库存!A:F,6,0),0)</f>
        <v>24.98</v>
      </c>
      <c r="J1184">
        <f>IFERROR(VLOOKUP(A1184,库龄!B:K,9,0),0)</f>
        <v>0</v>
      </c>
      <c r="K1184">
        <f>IFERROR(VLOOKUP(A1184,库龄!B:L,10,0),0)</f>
        <v>0</v>
      </c>
      <c r="L1184">
        <f>IFERROR(VLOOKUP(A1184,库龄!B:M,11,0),0)</f>
        <v>0</v>
      </c>
      <c r="M1184">
        <f>IFERROR(VLOOKUP(A1184,库龄!B:N,12,0),0)</f>
        <v>0</v>
      </c>
      <c r="N1184">
        <f t="shared" si="38"/>
        <v>0</v>
      </c>
    </row>
    <row r="1185" spans="1:14">
      <c r="A1185" s="3" t="s">
        <v>2956</v>
      </c>
      <c r="B1185">
        <f>IFERROR(VLOOKUP(A1185,管理亚马逊库存!A:K,11,0),"")</f>
        <v>13</v>
      </c>
      <c r="C1185">
        <f>IFERROR(VLOOKUP(A1185,管理亚马逊库存!A:L,12,0),"")</f>
        <v>0</v>
      </c>
      <c r="D1185">
        <f>IFERROR(VLOOKUP(A1185,管理亚马逊库存!A:Q,17,0),"")</f>
        <v>0</v>
      </c>
      <c r="E1185">
        <f>IFERROR(VLOOKUP(A1185,管理亚马逊库存!A:R,18,0),"")</f>
        <v>0</v>
      </c>
      <c r="F1185">
        <f t="shared" si="37"/>
        <v>0</v>
      </c>
      <c r="G1185" t="str">
        <f>IFERROR(VLOOKUP(A1185,预留库存!A:G,7,0),0)</f>
        <v>No</v>
      </c>
      <c r="H1185">
        <f>IFERROR(VLOOKUP(A1185,预留库存!A:H,8,0),0)</f>
        <v>0</v>
      </c>
      <c r="I1185">
        <f>IFERROR(VLOOKUP(A1185,预留库存!A:F,6,0),0)</f>
        <v>24.98</v>
      </c>
      <c r="J1185">
        <f>IFERROR(VLOOKUP(A1185,库龄!B:K,9,0),0)</f>
        <v>0</v>
      </c>
      <c r="K1185">
        <f>IFERROR(VLOOKUP(A1185,库龄!B:L,10,0),0)</f>
        <v>0</v>
      </c>
      <c r="L1185">
        <f>IFERROR(VLOOKUP(A1185,库龄!B:M,11,0),0)</f>
        <v>0</v>
      </c>
      <c r="M1185">
        <f>IFERROR(VLOOKUP(A1185,库龄!B:N,12,0),0)</f>
        <v>0</v>
      </c>
      <c r="N1185">
        <f t="shared" si="38"/>
        <v>0</v>
      </c>
    </row>
    <row r="1186" spans="1:14">
      <c r="A1186" s="3" t="s">
        <v>2957</v>
      </c>
      <c r="B1186">
        <f>IFERROR(VLOOKUP(A1186,管理亚马逊库存!A:K,11,0),"")</f>
        <v>59</v>
      </c>
      <c r="C1186">
        <f>IFERROR(VLOOKUP(A1186,管理亚马逊库存!A:L,12,0),"")</f>
        <v>0</v>
      </c>
      <c r="D1186">
        <f>IFERROR(VLOOKUP(A1186,管理亚马逊库存!A:Q,17,0),"")</f>
        <v>0</v>
      </c>
      <c r="E1186">
        <f>IFERROR(VLOOKUP(A1186,管理亚马逊库存!A:R,18,0),"")</f>
        <v>0</v>
      </c>
      <c r="F1186">
        <f t="shared" si="37"/>
        <v>0</v>
      </c>
      <c r="G1186" t="str">
        <f>IFERROR(VLOOKUP(A1186,预留库存!A:G,7,0),0)</f>
        <v>No</v>
      </c>
      <c r="H1186">
        <f>IFERROR(VLOOKUP(A1186,预留库存!A:H,8,0),0)</f>
        <v>0</v>
      </c>
      <c r="I1186">
        <f>IFERROR(VLOOKUP(A1186,预留库存!A:F,6,0),0)</f>
        <v>22.98</v>
      </c>
      <c r="J1186">
        <f>IFERROR(VLOOKUP(A1186,库龄!B:K,9,0),0)</f>
        <v>0</v>
      </c>
      <c r="K1186">
        <f>IFERROR(VLOOKUP(A1186,库龄!B:L,10,0),0)</f>
        <v>0</v>
      </c>
      <c r="L1186">
        <f>IFERROR(VLOOKUP(A1186,库龄!B:M,11,0),0)</f>
        <v>0</v>
      </c>
      <c r="M1186">
        <f>IFERROR(VLOOKUP(A1186,库龄!B:N,12,0),0)</f>
        <v>0</v>
      </c>
      <c r="N1186">
        <f t="shared" si="38"/>
        <v>0</v>
      </c>
    </row>
    <row r="1187" spans="1:14">
      <c r="A1187" s="3" t="s">
        <v>2958</v>
      </c>
      <c r="B1187">
        <f>IFERROR(VLOOKUP(A1187,管理亚马逊库存!A:K,11,0),"")</f>
        <v>17</v>
      </c>
      <c r="C1187">
        <f>IFERROR(VLOOKUP(A1187,管理亚马逊库存!A:L,12,0),"")</f>
        <v>0</v>
      </c>
      <c r="D1187">
        <f>IFERROR(VLOOKUP(A1187,管理亚马逊库存!A:Q,17,0),"")</f>
        <v>0</v>
      </c>
      <c r="E1187">
        <f>IFERROR(VLOOKUP(A1187,管理亚马逊库存!A:R,18,0),"")</f>
        <v>0</v>
      </c>
      <c r="F1187">
        <f t="shared" si="37"/>
        <v>0</v>
      </c>
      <c r="G1187" t="str">
        <f>IFERROR(VLOOKUP(A1187,预留库存!A:G,7,0),0)</f>
        <v>No</v>
      </c>
      <c r="H1187">
        <f>IFERROR(VLOOKUP(A1187,预留库存!A:H,8,0),0)</f>
        <v>0</v>
      </c>
      <c r="I1187">
        <f>IFERROR(VLOOKUP(A1187,预留库存!A:F,6,0),0)</f>
        <v>39.98</v>
      </c>
      <c r="J1187">
        <f>IFERROR(VLOOKUP(A1187,库龄!B:K,9,0),0)</f>
        <v>0</v>
      </c>
      <c r="K1187">
        <f>IFERROR(VLOOKUP(A1187,库龄!B:L,10,0),0)</f>
        <v>0</v>
      </c>
      <c r="L1187">
        <f>IFERROR(VLOOKUP(A1187,库龄!B:M,11,0),0)</f>
        <v>0</v>
      </c>
      <c r="M1187">
        <f>IFERROR(VLOOKUP(A1187,库龄!B:N,12,0),0)</f>
        <v>0</v>
      </c>
      <c r="N1187">
        <f t="shared" si="38"/>
        <v>0</v>
      </c>
    </row>
    <row r="1188" spans="1:14">
      <c r="A1188" s="3" t="s">
        <v>2961</v>
      </c>
      <c r="B1188">
        <f>IFERROR(VLOOKUP(A1188,管理亚马逊库存!A:K,11,0),"")</f>
        <v>0</v>
      </c>
      <c r="C1188">
        <f>IFERROR(VLOOKUP(A1188,管理亚马逊库存!A:L,12,0),"")</f>
        <v>0</v>
      </c>
      <c r="D1188">
        <f>IFERROR(VLOOKUP(A1188,管理亚马逊库存!A:Q,17,0),"")</f>
        <v>0</v>
      </c>
      <c r="E1188">
        <f>IFERROR(VLOOKUP(A1188,管理亚马逊库存!A:R,18,0),"")</f>
        <v>0</v>
      </c>
      <c r="F1188">
        <f t="shared" si="37"/>
        <v>0</v>
      </c>
      <c r="G1188" t="str">
        <f>IFERROR(VLOOKUP(A1188,预留库存!A:G,7,0),0)</f>
        <v>No</v>
      </c>
      <c r="H1188">
        <f>IFERROR(VLOOKUP(A1188,预留库存!A:H,8,0),0)</f>
        <v>0</v>
      </c>
      <c r="I1188">
        <f>IFERROR(VLOOKUP(A1188,预留库存!A:F,6,0),0)</f>
        <v>24.98</v>
      </c>
      <c r="J1188">
        <f>IFERROR(VLOOKUP(A1188,库龄!B:K,9,0),0)</f>
        <v>0</v>
      </c>
      <c r="K1188">
        <f>IFERROR(VLOOKUP(A1188,库龄!B:L,10,0),0)</f>
        <v>0</v>
      </c>
      <c r="L1188">
        <f>IFERROR(VLOOKUP(A1188,库龄!B:M,11,0),0)</f>
        <v>0</v>
      </c>
      <c r="M1188">
        <f>IFERROR(VLOOKUP(A1188,库龄!B:N,12,0),0)</f>
        <v>0</v>
      </c>
      <c r="N1188">
        <f t="shared" si="38"/>
        <v>0</v>
      </c>
    </row>
    <row r="1189" spans="1:14">
      <c r="A1189" s="3" t="s">
        <v>2962</v>
      </c>
      <c r="B1189">
        <f>IFERROR(VLOOKUP(A1189,管理亚马逊库存!A:K,11,0),"")</f>
        <v>0</v>
      </c>
      <c r="C1189">
        <f>IFERROR(VLOOKUP(A1189,管理亚马逊库存!A:L,12,0),"")</f>
        <v>0</v>
      </c>
      <c r="D1189">
        <f>IFERROR(VLOOKUP(A1189,管理亚马逊库存!A:Q,17,0),"")</f>
        <v>0</v>
      </c>
      <c r="E1189">
        <f>IFERROR(VLOOKUP(A1189,管理亚马逊库存!A:R,18,0),"")</f>
        <v>10</v>
      </c>
      <c r="F1189">
        <f t="shared" si="37"/>
        <v>10</v>
      </c>
      <c r="G1189" t="str">
        <f>IFERROR(VLOOKUP(A1189,预留库存!A:G,7,0),0)</f>
        <v>No</v>
      </c>
      <c r="H1189">
        <f>IFERROR(VLOOKUP(A1189,预留库存!A:H,8,0),0)</f>
        <v>0</v>
      </c>
      <c r="I1189">
        <f>IFERROR(VLOOKUP(A1189,预留库存!A:F,6,0),0)</f>
        <v>24.98</v>
      </c>
      <c r="J1189">
        <f>IFERROR(VLOOKUP(A1189,库龄!B:K,9,0),0)</f>
        <v>0</v>
      </c>
      <c r="K1189">
        <f>IFERROR(VLOOKUP(A1189,库龄!B:L,10,0),0)</f>
        <v>0</v>
      </c>
      <c r="L1189">
        <f>IFERROR(VLOOKUP(A1189,库龄!B:M,11,0),0)</f>
        <v>0</v>
      </c>
      <c r="M1189">
        <f>IFERROR(VLOOKUP(A1189,库龄!B:N,12,0),0)</f>
        <v>0</v>
      </c>
      <c r="N1189">
        <f t="shared" si="38"/>
        <v>0</v>
      </c>
    </row>
    <row r="1190" spans="1:14">
      <c r="A1190" s="3" t="s">
        <v>2963</v>
      </c>
      <c r="B1190">
        <f>IFERROR(VLOOKUP(A1190,管理亚马逊库存!A:K,11,0),"")</f>
        <v>1</v>
      </c>
      <c r="C1190">
        <f>IFERROR(VLOOKUP(A1190,管理亚马逊库存!A:L,12,0),"")</f>
        <v>1</v>
      </c>
      <c r="D1190">
        <f>IFERROR(VLOOKUP(A1190,管理亚马逊库存!A:Q,17,0),"")</f>
        <v>0</v>
      </c>
      <c r="E1190">
        <f>IFERROR(VLOOKUP(A1190,管理亚马逊库存!A:R,18,0),"")</f>
        <v>0</v>
      </c>
      <c r="F1190">
        <f t="shared" si="37"/>
        <v>0</v>
      </c>
      <c r="G1190" t="str">
        <f>IFERROR(VLOOKUP(A1190,预留库存!A:G,7,0),0)</f>
        <v>No</v>
      </c>
      <c r="H1190">
        <f>IFERROR(VLOOKUP(A1190,预留库存!A:H,8,0),0)</f>
        <v>0</v>
      </c>
      <c r="I1190">
        <f>IFERROR(VLOOKUP(A1190,预留库存!A:F,6,0),0)</f>
        <v>24.98</v>
      </c>
      <c r="J1190">
        <f>IFERROR(VLOOKUP(A1190,库龄!B:K,9,0),0)</f>
        <v>0</v>
      </c>
      <c r="K1190">
        <f>IFERROR(VLOOKUP(A1190,库龄!B:L,10,0),0)</f>
        <v>0</v>
      </c>
      <c r="L1190">
        <f>IFERROR(VLOOKUP(A1190,库龄!B:M,11,0),0)</f>
        <v>0</v>
      </c>
      <c r="M1190">
        <f>IFERROR(VLOOKUP(A1190,库龄!B:N,12,0),0)</f>
        <v>0</v>
      </c>
      <c r="N1190">
        <f t="shared" si="38"/>
        <v>0</v>
      </c>
    </row>
    <row r="1191" spans="1:14">
      <c r="A1191" s="3" t="s">
        <v>2964</v>
      </c>
      <c r="B1191">
        <f>IFERROR(VLOOKUP(A1191,管理亚马逊库存!A:K,11,0),"")</f>
        <v>10</v>
      </c>
      <c r="C1191">
        <f>IFERROR(VLOOKUP(A1191,管理亚马逊库存!A:L,12,0),"")</f>
        <v>2</v>
      </c>
      <c r="D1191">
        <f>IFERROR(VLOOKUP(A1191,管理亚马逊库存!A:Q,17,0),"")</f>
        <v>0</v>
      </c>
      <c r="E1191">
        <f>IFERROR(VLOOKUP(A1191,管理亚马逊库存!A:R,18,0),"")</f>
        <v>0</v>
      </c>
      <c r="F1191">
        <f t="shared" si="37"/>
        <v>0</v>
      </c>
      <c r="G1191" t="str">
        <f>IFERROR(VLOOKUP(A1191,预留库存!A:G,7,0),0)</f>
        <v>No</v>
      </c>
      <c r="H1191">
        <f>IFERROR(VLOOKUP(A1191,预留库存!A:H,8,0),0)</f>
        <v>0</v>
      </c>
      <c r="I1191">
        <f>IFERROR(VLOOKUP(A1191,预留库存!A:F,6,0),0)</f>
        <v>22.98</v>
      </c>
      <c r="J1191">
        <f>IFERROR(VLOOKUP(A1191,库龄!B:K,9,0),0)</f>
        <v>0</v>
      </c>
      <c r="K1191">
        <f>IFERROR(VLOOKUP(A1191,库龄!B:L,10,0),0)</f>
        <v>0</v>
      </c>
      <c r="L1191">
        <f>IFERROR(VLOOKUP(A1191,库龄!B:M,11,0),0)</f>
        <v>0</v>
      </c>
      <c r="M1191">
        <f>IFERROR(VLOOKUP(A1191,库龄!B:N,12,0),0)</f>
        <v>0</v>
      </c>
      <c r="N1191">
        <f t="shared" si="38"/>
        <v>0</v>
      </c>
    </row>
    <row r="1192" spans="1:14">
      <c r="A1192" s="3" t="s">
        <v>2965</v>
      </c>
      <c r="B1192">
        <f>IFERROR(VLOOKUP(A1192,管理亚马逊库存!A:K,11,0),"")</f>
        <v>34</v>
      </c>
      <c r="C1192">
        <f>IFERROR(VLOOKUP(A1192,管理亚马逊库存!A:L,12,0),"")</f>
        <v>0</v>
      </c>
      <c r="D1192">
        <f>IFERROR(VLOOKUP(A1192,管理亚马逊库存!A:Q,17,0),"")</f>
        <v>0</v>
      </c>
      <c r="E1192">
        <f>IFERROR(VLOOKUP(A1192,管理亚马逊库存!A:R,18,0),"")</f>
        <v>0</v>
      </c>
      <c r="F1192">
        <f t="shared" si="37"/>
        <v>0</v>
      </c>
      <c r="G1192" t="str">
        <f>IFERROR(VLOOKUP(A1192,预留库存!A:G,7,0),0)</f>
        <v>No</v>
      </c>
      <c r="H1192">
        <f>IFERROR(VLOOKUP(A1192,预留库存!A:H,8,0),0)</f>
        <v>0</v>
      </c>
      <c r="I1192">
        <f>IFERROR(VLOOKUP(A1192,预留库存!A:F,6,0),0)</f>
        <v>19.98</v>
      </c>
      <c r="J1192">
        <f>IFERROR(VLOOKUP(A1192,库龄!B:K,9,0),0)</f>
        <v>0</v>
      </c>
      <c r="K1192">
        <f>IFERROR(VLOOKUP(A1192,库龄!B:L,10,0),0)</f>
        <v>0</v>
      </c>
      <c r="L1192">
        <f>IFERROR(VLOOKUP(A1192,库龄!B:M,11,0),0)</f>
        <v>0</v>
      </c>
      <c r="M1192">
        <f>IFERROR(VLOOKUP(A1192,库龄!B:N,12,0),0)</f>
        <v>0</v>
      </c>
      <c r="N1192">
        <f t="shared" si="38"/>
        <v>0</v>
      </c>
    </row>
    <row r="1193" spans="1:14">
      <c r="A1193" s="3" t="s">
        <v>2966</v>
      </c>
      <c r="B1193">
        <f>IFERROR(VLOOKUP(A1193,管理亚马逊库存!A:K,11,0),"")</f>
        <v>0</v>
      </c>
      <c r="C1193">
        <f>IFERROR(VLOOKUP(A1193,管理亚马逊库存!A:L,12,0),"")</f>
        <v>3</v>
      </c>
      <c r="D1193">
        <f>IFERROR(VLOOKUP(A1193,管理亚马逊库存!A:Q,17,0),"")</f>
        <v>0</v>
      </c>
      <c r="E1193">
        <f>IFERROR(VLOOKUP(A1193,管理亚马逊库存!A:R,18,0),"")</f>
        <v>0</v>
      </c>
      <c r="F1193">
        <f t="shared" si="37"/>
        <v>0</v>
      </c>
      <c r="G1193" t="str">
        <f>IFERROR(VLOOKUP(A1193,预留库存!A:G,7,0),0)</f>
        <v>No</v>
      </c>
      <c r="H1193">
        <f>IFERROR(VLOOKUP(A1193,预留库存!A:H,8,0),0)</f>
        <v>0</v>
      </c>
      <c r="I1193">
        <f>IFERROR(VLOOKUP(A1193,预留库存!A:F,6,0),0)</f>
        <v>24.98</v>
      </c>
      <c r="J1193">
        <f>IFERROR(VLOOKUP(A1193,库龄!B:K,9,0),0)</f>
        <v>0</v>
      </c>
      <c r="K1193">
        <f>IFERROR(VLOOKUP(A1193,库龄!B:L,10,0),0)</f>
        <v>0</v>
      </c>
      <c r="L1193">
        <f>IFERROR(VLOOKUP(A1193,库龄!B:M,11,0),0)</f>
        <v>0</v>
      </c>
      <c r="M1193">
        <f>IFERROR(VLOOKUP(A1193,库龄!B:N,12,0),0)</f>
        <v>0</v>
      </c>
      <c r="N1193">
        <f t="shared" si="38"/>
        <v>0</v>
      </c>
    </row>
    <row r="1194" spans="1:14">
      <c r="A1194" s="3" t="s">
        <v>2967</v>
      </c>
      <c r="B1194">
        <f>IFERROR(VLOOKUP(A1194,管理亚马逊库存!A:K,11,0),"")</f>
        <v>3</v>
      </c>
      <c r="C1194">
        <f>IFERROR(VLOOKUP(A1194,管理亚马逊库存!A:L,12,0),"")</f>
        <v>2</v>
      </c>
      <c r="D1194">
        <f>IFERROR(VLOOKUP(A1194,管理亚马逊库存!A:Q,17,0),"")</f>
        <v>0</v>
      </c>
      <c r="E1194">
        <f>IFERROR(VLOOKUP(A1194,管理亚马逊库存!A:R,18,0),"")</f>
        <v>0</v>
      </c>
      <c r="F1194">
        <f t="shared" si="37"/>
        <v>0</v>
      </c>
      <c r="G1194">
        <f>IFERROR(VLOOKUP(A1194,预留库存!A:G,7,0),0)</f>
        <v>0</v>
      </c>
      <c r="H1194">
        <f>IFERROR(VLOOKUP(A1194,预留库存!A:H,8,0),0)</f>
        <v>0</v>
      </c>
      <c r="I1194">
        <f>IFERROR(VLOOKUP(A1194,预留库存!A:F,6,0),0)</f>
        <v>0</v>
      </c>
      <c r="J1194">
        <f>IFERROR(VLOOKUP(A1194,库龄!B:K,9,0),0)</f>
        <v>0</v>
      </c>
      <c r="K1194">
        <f>IFERROR(VLOOKUP(A1194,库龄!B:L,10,0),0)</f>
        <v>0</v>
      </c>
      <c r="L1194">
        <f>IFERROR(VLOOKUP(A1194,库龄!B:M,11,0),0)</f>
        <v>0</v>
      </c>
      <c r="M1194">
        <f>IFERROR(VLOOKUP(A1194,库龄!B:N,12,0),0)</f>
        <v>0</v>
      </c>
      <c r="N1194">
        <f t="shared" si="38"/>
        <v>0</v>
      </c>
    </row>
    <row r="1195" spans="1:14">
      <c r="A1195" s="3" t="s">
        <v>2970</v>
      </c>
      <c r="B1195">
        <f>IFERROR(VLOOKUP(A1195,管理亚马逊库存!A:K,11,0),"")</f>
        <v>80</v>
      </c>
      <c r="C1195">
        <f>IFERROR(VLOOKUP(A1195,管理亚马逊库存!A:L,12,0),"")</f>
        <v>0</v>
      </c>
      <c r="D1195">
        <f>IFERROR(VLOOKUP(A1195,管理亚马逊库存!A:Q,17,0),"")</f>
        <v>0</v>
      </c>
      <c r="E1195">
        <f>IFERROR(VLOOKUP(A1195,管理亚马逊库存!A:R,18,0),"")</f>
        <v>0</v>
      </c>
      <c r="F1195">
        <f t="shared" si="37"/>
        <v>0</v>
      </c>
      <c r="G1195" t="str">
        <f>IFERROR(VLOOKUP(A1195,预留库存!A:G,7,0),0)</f>
        <v>No</v>
      </c>
      <c r="H1195">
        <f>IFERROR(VLOOKUP(A1195,预留库存!A:H,8,0),0)</f>
        <v>0</v>
      </c>
      <c r="I1195">
        <f>IFERROR(VLOOKUP(A1195,预留库存!A:F,6,0),0)</f>
        <v>23.98</v>
      </c>
      <c r="J1195">
        <f>IFERROR(VLOOKUP(A1195,库龄!B:K,9,0),0)</f>
        <v>65</v>
      </c>
      <c r="K1195">
        <f>IFERROR(VLOOKUP(A1195,库龄!B:L,10,0),0)</f>
        <v>0</v>
      </c>
      <c r="L1195">
        <f>IFERROR(VLOOKUP(A1195,库龄!B:M,11,0),0)</f>
        <v>0</v>
      </c>
      <c r="M1195">
        <f>IFERROR(VLOOKUP(A1195,库龄!B:N,12,0),0)</f>
        <v>0</v>
      </c>
      <c r="N1195">
        <f t="shared" si="38"/>
        <v>65</v>
      </c>
    </row>
    <row r="1196" spans="1:14">
      <c r="A1196" s="3" t="s">
        <v>2973</v>
      </c>
      <c r="B1196">
        <f>IFERROR(VLOOKUP(A1196,管理亚马逊库存!A:K,11,0),"")</f>
        <v>18</v>
      </c>
      <c r="C1196">
        <f>IFERROR(VLOOKUP(A1196,管理亚马逊库存!A:L,12,0),"")</f>
        <v>0</v>
      </c>
      <c r="D1196">
        <f>IFERROR(VLOOKUP(A1196,管理亚马逊库存!A:Q,17,0),"")</f>
        <v>5</v>
      </c>
      <c r="E1196">
        <f>IFERROR(VLOOKUP(A1196,管理亚马逊库存!A:R,18,0),"")</f>
        <v>0</v>
      </c>
      <c r="F1196">
        <f t="shared" si="37"/>
        <v>5</v>
      </c>
      <c r="G1196" t="str">
        <f>IFERROR(VLOOKUP(A1196,预留库存!A:G,7,0),0)</f>
        <v>No</v>
      </c>
      <c r="H1196">
        <f>IFERROR(VLOOKUP(A1196,预留库存!A:H,8,0),0)</f>
        <v>0</v>
      </c>
      <c r="I1196">
        <f>IFERROR(VLOOKUP(A1196,预留库存!A:F,6,0),0)</f>
        <v>23.98</v>
      </c>
      <c r="J1196">
        <f>IFERROR(VLOOKUP(A1196,库龄!B:K,9,0),0)</f>
        <v>5</v>
      </c>
      <c r="K1196">
        <f>IFERROR(VLOOKUP(A1196,库龄!B:L,10,0),0)</f>
        <v>0</v>
      </c>
      <c r="L1196">
        <f>IFERROR(VLOOKUP(A1196,库龄!B:M,11,0),0)</f>
        <v>0</v>
      </c>
      <c r="M1196">
        <f>IFERROR(VLOOKUP(A1196,库龄!B:N,12,0),0)</f>
        <v>0</v>
      </c>
      <c r="N1196">
        <f t="shared" si="38"/>
        <v>5</v>
      </c>
    </row>
    <row r="1197" spans="1:14">
      <c r="A1197" s="3" t="s">
        <v>2976</v>
      </c>
      <c r="B1197">
        <f>IFERROR(VLOOKUP(A1197,管理亚马逊库存!A:K,11,0),"")</f>
        <v>140</v>
      </c>
      <c r="C1197">
        <f>IFERROR(VLOOKUP(A1197,管理亚马逊库存!A:L,12,0),"")</f>
        <v>0</v>
      </c>
      <c r="D1197">
        <f>IFERROR(VLOOKUP(A1197,管理亚马逊库存!A:Q,17,0),"")</f>
        <v>0</v>
      </c>
      <c r="E1197">
        <f>IFERROR(VLOOKUP(A1197,管理亚马逊库存!A:R,18,0),"")</f>
        <v>0</v>
      </c>
      <c r="F1197">
        <f t="shared" si="37"/>
        <v>0</v>
      </c>
      <c r="G1197" t="str">
        <f>IFERROR(VLOOKUP(A1197,预留库存!A:G,7,0),0)</f>
        <v>No</v>
      </c>
      <c r="H1197">
        <f>IFERROR(VLOOKUP(A1197,预留库存!A:H,8,0),0)</f>
        <v>0</v>
      </c>
      <c r="I1197">
        <f>IFERROR(VLOOKUP(A1197,预留库存!A:F,6,0),0)</f>
        <v>22.98</v>
      </c>
      <c r="J1197">
        <f>IFERROR(VLOOKUP(A1197,库龄!B:K,9,0),0)</f>
        <v>141</v>
      </c>
      <c r="K1197">
        <f>IFERROR(VLOOKUP(A1197,库龄!B:L,10,0),0)</f>
        <v>0</v>
      </c>
      <c r="L1197">
        <f>IFERROR(VLOOKUP(A1197,库龄!B:M,11,0),0)</f>
        <v>0</v>
      </c>
      <c r="M1197">
        <f>IFERROR(VLOOKUP(A1197,库龄!B:N,12,0),0)</f>
        <v>0</v>
      </c>
      <c r="N1197">
        <f t="shared" si="38"/>
        <v>141</v>
      </c>
    </row>
    <row r="1198" spans="1:14">
      <c r="A1198" s="3" t="s">
        <v>2979</v>
      </c>
      <c r="B1198">
        <f>IFERROR(VLOOKUP(A1198,管理亚马逊库存!A:K,11,0),"")</f>
        <v>148</v>
      </c>
      <c r="C1198">
        <f>IFERROR(VLOOKUP(A1198,管理亚马逊库存!A:L,12,0),"")</f>
        <v>0</v>
      </c>
      <c r="D1198">
        <f>IFERROR(VLOOKUP(A1198,管理亚马逊库存!A:Q,17,0),"")</f>
        <v>0</v>
      </c>
      <c r="E1198">
        <f>IFERROR(VLOOKUP(A1198,管理亚马逊库存!A:R,18,0),"")</f>
        <v>0</v>
      </c>
      <c r="F1198">
        <f t="shared" si="37"/>
        <v>0</v>
      </c>
      <c r="G1198" t="str">
        <f>IFERROR(VLOOKUP(A1198,预留库存!A:G,7,0),0)</f>
        <v>No</v>
      </c>
      <c r="H1198">
        <f>IFERROR(VLOOKUP(A1198,预留库存!A:H,8,0),0)</f>
        <v>0</v>
      </c>
      <c r="I1198">
        <f>IFERROR(VLOOKUP(A1198,预留库存!A:F,6,0),0)</f>
        <v>22.98</v>
      </c>
      <c r="J1198">
        <f>IFERROR(VLOOKUP(A1198,库龄!B:K,9,0),0)</f>
        <v>147</v>
      </c>
      <c r="K1198">
        <f>IFERROR(VLOOKUP(A1198,库龄!B:L,10,0),0)</f>
        <v>0</v>
      </c>
      <c r="L1198">
        <f>IFERROR(VLOOKUP(A1198,库龄!B:M,11,0),0)</f>
        <v>0</v>
      </c>
      <c r="M1198">
        <f>IFERROR(VLOOKUP(A1198,库龄!B:N,12,0),0)</f>
        <v>0</v>
      </c>
      <c r="N1198">
        <f t="shared" si="38"/>
        <v>147</v>
      </c>
    </row>
    <row r="1199" spans="1:14">
      <c r="A1199" s="3" t="s">
        <v>2982</v>
      </c>
      <c r="B1199">
        <f>IFERROR(VLOOKUP(A1199,管理亚马逊库存!A:K,11,0),"")</f>
        <v>24</v>
      </c>
      <c r="C1199">
        <f>IFERROR(VLOOKUP(A1199,管理亚马逊库存!A:L,12,0),"")</f>
        <v>0</v>
      </c>
      <c r="D1199">
        <f>IFERROR(VLOOKUP(A1199,管理亚马逊库存!A:Q,17,0),"")</f>
        <v>0</v>
      </c>
      <c r="E1199">
        <f>IFERROR(VLOOKUP(A1199,管理亚马逊库存!A:R,18,0),"")</f>
        <v>0</v>
      </c>
      <c r="F1199">
        <f t="shared" si="37"/>
        <v>0</v>
      </c>
      <c r="G1199" t="str">
        <f>IFERROR(VLOOKUP(A1199,预留库存!A:G,7,0),0)</f>
        <v>No</v>
      </c>
      <c r="H1199">
        <f>IFERROR(VLOOKUP(A1199,预留库存!A:H,8,0),0)</f>
        <v>0</v>
      </c>
      <c r="I1199">
        <f>IFERROR(VLOOKUP(A1199,预留库存!A:F,6,0),0)</f>
        <v>20.98</v>
      </c>
      <c r="J1199">
        <f>IFERROR(VLOOKUP(A1199,库龄!B:K,9,0),0)</f>
        <v>23</v>
      </c>
      <c r="K1199">
        <f>IFERROR(VLOOKUP(A1199,库龄!B:L,10,0),0)</f>
        <v>0</v>
      </c>
      <c r="L1199">
        <f>IFERROR(VLOOKUP(A1199,库龄!B:M,11,0),0)</f>
        <v>0</v>
      </c>
      <c r="M1199">
        <f>IFERROR(VLOOKUP(A1199,库龄!B:N,12,0),0)</f>
        <v>0</v>
      </c>
      <c r="N1199">
        <f t="shared" si="38"/>
        <v>23</v>
      </c>
    </row>
    <row r="1200" spans="1:14">
      <c r="A1200" s="3" t="s">
        <v>2985</v>
      </c>
      <c r="B1200">
        <f>IFERROR(VLOOKUP(A1200,管理亚马逊库存!A:K,11,0),"")</f>
        <v>94</v>
      </c>
      <c r="C1200">
        <f>IFERROR(VLOOKUP(A1200,管理亚马逊库存!A:L,12,0),"")</f>
        <v>0</v>
      </c>
      <c r="D1200">
        <f>IFERROR(VLOOKUP(A1200,管理亚马逊库存!A:Q,17,0),"")</f>
        <v>0</v>
      </c>
      <c r="E1200">
        <f>IFERROR(VLOOKUP(A1200,管理亚马逊库存!A:R,18,0),"")</f>
        <v>0</v>
      </c>
      <c r="F1200">
        <f t="shared" si="37"/>
        <v>0</v>
      </c>
      <c r="G1200" t="str">
        <f>IFERROR(VLOOKUP(A1200,预留库存!A:G,7,0),0)</f>
        <v>No</v>
      </c>
      <c r="H1200">
        <f>IFERROR(VLOOKUP(A1200,预留库存!A:H,8,0),0)</f>
        <v>0</v>
      </c>
      <c r="I1200">
        <f>IFERROR(VLOOKUP(A1200,预留库存!A:F,6,0),0)</f>
        <v>22.98</v>
      </c>
      <c r="J1200">
        <f>IFERROR(VLOOKUP(A1200,库龄!B:K,9,0),0)</f>
        <v>94</v>
      </c>
      <c r="K1200">
        <f>IFERROR(VLOOKUP(A1200,库龄!B:L,10,0),0)</f>
        <v>0</v>
      </c>
      <c r="L1200">
        <f>IFERROR(VLOOKUP(A1200,库龄!B:M,11,0),0)</f>
        <v>0</v>
      </c>
      <c r="M1200">
        <f>IFERROR(VLOOKUP(A1200,库龄!B:N,12,0),0)</f>
        <v>0</v>
      </c>
      <c r="N1200">
        <f t="shared" si="38"/>
        <v>94</v>
      </c>
    </row>
    <row r="1201" spans="1:14">
      <c r="A1201" s="3" t="s">
        <v>2988</v>
      </c>
      <c r="B1201">
        <f>IFERROR(VLOOKUP(A1201,管理亚马逊库存!A:K,11,0),"")</f>
        <v>51</v>
      </c>
      <c r="C1201">
        <f>IFERROR(VLOOKUP(A1201,管理亚马逊库存!A:L,12,0),"")</f>
        <v>0</v>
      </c>
      <c r="D1201">
        <f>IFERROR(VLOOKUP(A1201,管理亚马逊库存!A:Q,17,0),"")</f>
        <v>0</v>
      </c>
      <c r="E1201">
        <f>IFERROR(VLOOKUP(A1201,管理亚马逊库存!A:R,18,0),"")</f>
        <v>0</v>
      </c>
      <c r="F1201">
        <f t="shared" si="37"/>
        <v>0</v>
      </c>
      <c r="G1201" t="str">
        <f>IFERROR(VLOOKUP(A1201,预留库存!A:G,7,0),0)</f>
        <v>No</v>
      </c>
      <c r="H1201">
        <f>IFERROR(VLOOKUP(A1201,预留库存!A:H,8,0),0)</f>
        <v>0</v>
      </c>
      <c r="I1201">
        <f>IFERROR(VLOOKUP(A1201,预留库存!A:F,6,0),0)</f>
        <v>22.98</v>
      </c>
      <c r="J1201">
        <f>IFERROR(VLOOKUP(A1201,库龄!B:K,9,0),0)</f>
        <v>51</v>
      </c>
      <c r="K1201">
        <f>IFERROR(VLOOKUP(A1201,库龄!B:L,10,0),0)</f>
        <v>0</v>
      </c>
      <c r="L1201">
        <f>IFERROR(VLOOKUP(A1201,库龄!B:M,11,0),0)</f>
        <v>0</v>
      </c>
      <c r="M1201">
        <f>IFERROR(VLOOKUP(A1201,库龄!B:N,12,0),0)</f>
        <v>0</v>
      </c>
      <c r="N1201">
        <f t="shared" si="38"/>
        <v>51</v>
      </c>
    </row>
    <row r="1202" spans="1:14">
      <c r="A1202" s="3" t="s">
        <v>2991</v>
      </c>
      <c r="B1202">
        <f>IFERROR(VLOOKUP(A1202,管理亚马逊库存!A:K,11,0),"")</f>
        <v>27</v>
      </c>
      <c r="C1202">
        <f>IFERROR(VLOOKUP(A1202,管理亚马逊库存!A:L,12,0),"")</f>
        <v>0</v>
      </c>
      <c r="D1202">
        <f>IFERROR(VLOOKUP(A1202,管理亚马逊库存!A:Q,17,0),"")</f>
        <v>0</v>
      </c>
      <c r="E1202">
        <f>IFERROR(VLOOKUP(A1202,管理亚马逊库存!A:R,18,0),"")</f>
        <v>0</v>
      </c>
      <c r="F1202">
        <f t="shared" si="37"/>
        <v>0</v>
      </c>
      <c r="G1202" t="str">
        <f>IFERROR(VLOOKUP(A1202,预留库存!A:G,7,0),0)</f>
        <v>No</v>
      </c>
      <c r="H1202">
        <f>IFERROR(VLOOKUP(A1202,预留库存!A:H,8,0),0)</f>
        <v>0</v>
      </c>
      <c r="I1202">
        <f>IFERROR(VLOOKUP(A1202,预留库存!A:F,6,0),0)</f>
        <v>23.98</v>
      </c>
      <c r="J1202">
        <f>IFERROR(VLOOKUP(A1202,库龄!B:K,9,0),0)</f>
        <v>27</v>
      </c>
      <c r="K1202">
        <f>IFERROR(VLOOKUP(A1202,库龄!B:L,10,0),0)</f>
        <v>0</v>
      </c>
      <c r="L1202">
        <f>IFERROR(VLOOKUP(A1202,库龄!B:M,11,0),0)</f>
        <v>0</v>
      </c>
      <c r="M1202">
        <f>IFERROR(VLOOKUP(A1202,库龄!B:N,12,0),0)</f>
        <v>0</v>
      </c>
      <c r="N1202">
        <f t="shared" si="38"/>
        <v>27</v>
      </c>
    </row>
    <row r="1203" spans="1:14">
      <c r="A1203" s="3" t="s">
        <v>2994</v>
      </c>
      <c r="B1203">
        <f>IFERROR(VLOOKUP(A1203,管理亚马逊库存!A:K,11,0),"")</f>
        <v>14</v>
      </c>
      <c r="C1203">
        <f>IFERROR(VLOOKUP(A1203,管理亚马逊库存!A:L,12,0),"")</f>
        <v>0</v>
      </c>
      <c r="D1203">
        <f>IFERROR(VLOOKUP(A1203,管理亚马逊库存!A:Q,17,0),"")</f>
        <v>0</v>
      </c>
      <c r="E1203">
        <f>IFERROR(VLOOKUP(A1203,管理亚马逊库存!A:R,18,0),"")</f>
        <v>0</v>
      </c>
      <c r="F1203">
        <f t="shared" si="37"/>
        <v>0</v>
      </c>
      <c r="G1203" t="str">
        <f>IFERROR(VLOOKUP(A1203,预留库存!A:G,7,0),0)</f>
        <v>No</v>
      </c>
      <c r="H1203">
        <f>IFERROR(VLOOKUP(A1203,预留库存!A:H,8,0),0)</f>
        <v>0</v>
      </c>
      <c r="I1203">
        <f>IFERROR(VLOOKUP(A1203,预留库存!A:F,6,0),0)</f>
        <v>23.98</v>
      </c>
      <c r="J1203">
        <f>IFERROR(VLOOKUP(A1203,库龄!B:K,9,0),0)</f>
        <v>13</v>
      </c>
      <c r="K1203">
        <f>IFERROR(VLOOKUP(A1203,库龄!B:L,10,0),0)</f>
        <v>0</v>
      </c>
      <c r="L1203">
        <f>IFERROR(VLOOKUP(A1203,库龄!B:M,11,0),0)</f>
        <v>0</v>
      </c>
      <c r="M1203">
        <f>IFERROR(VLOOKUP(A1203,库龄!B:N,12,0),0)</f>
        <v>0</v>
      </c>
      <c r="N1203">
        <f t="shared" si="38"/>
        <v>13</v>
      </c>
    </row>
    <row r="1204" spans="1:14">
      <c r="A1204" s="3" t="s">
        <v>2997</v>
      </c>
      <c r="B1204">
        <f>IFERROR(VLOOKUP(A1204,管理亚马逊库存!A:K,11,0),"")</f>
        <v>8</v>
      </c>
      <c r="C1204">
        <f>IFERROR(VLOOKUP(A1204,管理亚马逊库存!A:L,12,0),"")</f>
        <v>0</v>
      </c>
      <c r="D1204">
        <f>IFERROR(VLOOKUP(A1204,管理亚马逊库存!A:Q,17,0),"")</f>
        <v>0</v>
      </c>
      <c r="E1204">
        <f>IFERROR(VLOOKUP(A1204,管理亚马逊库存!A:R,18,0),"")</f>
        <v>0</v>
      </c>
      <c r="F1204">
        <f t="shared" si="37"/>
        <v>0</v>
      </c>
      <c r="G1204" t="str">
        <f>IFERROR(VLOOKUP(A1204,预留库存!A:G,7,0),0)</f>
        <v>No</v>
      </c>
      <c r="H1204">
        <f>IFERROR(VLOOKUP(A1204,预留库存!A:H,8,0),0)</f>
        <v>0</v>
      </c>
      <c r="I1204">
        <f>IFERROR(VLOOKUP(A1204,预留库存!A:F,6,0),0)</f>
        <v>23.98</v>
      </c>
      <c r="J1204">
        <f>IFERROR(VLOOKUP(A1204,库龄!B:K,9,0),0)</f>
        <v>6</v>
      </c>
      <c r="K1204">
        <f>IFERROR(VLOOKUP(A1204,库龄!B:L,10,0),0)</f>
        <v>0</v>
      </c>
      <c r="L1204">
        <f>IFERROR(VLOOKUP(A1204,库龄!B:M,11,0),0)</f>
        <v>0</v>
      </c>
      <c r="M1204">
        <f>IFERROR(VLOOKUP(A1204,库龄!B:N,12,0),0)</f>
        <v>0</v>
      </c>
      <c r="N1204">
        <f t="shared" si="38"/>
        <v>6</v>
      </c>
    </row>
    <row r="1205" spans="1:14">
      <c r="A1205" s="3" t="s">
        <v>3000</v>
      </c>
      <c r="B1205">
        <f>IFERROR(VLOOKUP(A1205,管理亚马逊库存!A:K,11,0),"")</f>
        <v>49</v>
      </c>
      <c r="C1205">
        <f>IFERROR(VLOOKUP(A1205,管理亚马逊库存!A:L,12,0),"")</f>
        <v>0</v>
      </c>
      <c r="D1205">
        <f>IFERROR(VLOOKUP(A1205,管理亚马逊库存!A:Q,17,0),"")</f>
        <v>0</v>
      </c>
      <c r="E1205">
        <f>IFERROR(VLOOKUP(A1205,管理亚马逊库存!A:R,18,0),"")</f>
        <v>0</v>
      </c>
      <c r="F1205">
        <f t="shared" si="37"/>
        <v>0</v>
      </c>
      <c r="G1205" t="str">
        <f>IFERROR(VLOOKUP(A1205,预留库存!A:G,7,0),0)</f>
        <v>No</v>
      </c>
      <c r="H1205">
        <f>IFERROR(VLOOKUP(A1205,预留库存!A:H,8,0),0)</f>
        <v>0</v>
      </c>
      <c r="I1205">
        <f>IFERROR(VLOOKUP(A1205,预留库存!A:F,6,0),0)</f>
        <v>23.98</v>
      </c>
      <c r="J1205">
        <f>IFERROR(VLOOKUP(A1205,库龄!B:K,9,0),0)</f>
        <v>48</v>
      </c>
      <c r="K1205">
        <f>IFERROR(VLOOKUP(A1205,库龄!B:L,10,0),0)</f>
        <v>0</v>
      </c>
      <c r="L1205">
        <f>IFERROR(VLOOKUP(A1205,库龄!B:M,11,0),0)</f>
        <v>0</v>
      </c>
      <c r="M1205">
        <f>IFERROR(VLOOKUP(A1205,库龄!B:N,12,0),0)</f>
        <v>0</v>
      </c>
      <c r="N1205">
        <f t="shared" si="38"/>
        <v>48</v>
      </c>
    </row>
    <row r="1206" spans="1:14">
      <c r="A1206" s="3" t="s">
        <v>3003</v>
      </c>
      <c r="B1206">
        <f>IFERROR(VLOOKUP(A1206,管理亚马逊库存!A:K,11,0),"")</f>
        <v>0</v>
      </c>
      <c r="C1206">
        <f>IFERROR(VLOOKUP(A1206,管理亚马逊库存!A:L,12,0),"")</f>
        <v>0</v>
      </c>
      <c r="D1206">
        <f>IFERROR(VLOOKUP(A1206,管理亚马逊库存!A:Q,17,0),"")</f>
        <v>0</v>
      </c>
      <c r="E1206">
        <f>IFERROR(VLOOKUP(A1206,管理亚马逊库存!A:R,18,0),"")</f>
        <v>0</v>
      </c>
      <c r="F1206">
        <f t="shared" si="37"/>
        <v>0</v>
      </c>
      <c r="G1206" t="str">
        <f>IFERROR(VLOOKUP(A1206,预留库存!A:G,7,0),0)</f>
        <v>No</v>
      </c>
      <c r="H1206">
        <f>IFERROR(VLOOKUP(A1206,预留库存!A:H,8,0),0)</f>
        <v>0</v>
      </c>
      <c r="I1206">
        <f>IFERROR(VLOOKUP(A1206,预留库存!A:F,6,0),0)</f>
        <v>23.98</v>
      </c>
      <c r="J1206">
        <f>IFERROR(VLOOKUP(A1206,库龄!B:K,9,0),0)</f>
        <v>0</v>
      </c>
      <c r="K1206">
        <f>IFERROR(VLOOKUP(A1206,库龄!B:L,10,0),0)</f>
        <v>0</v>
      </c>
      <c r="L1206">
        <f>IFERROR(VLOOKUP(A1206,库龄!B:M,11,0),0)</f>
        <v>0</v>
      </c>
      <c r="M1206">
        <f>IFERROR(VLOOKUP(A1206,库龄!B:N,12,0),0)</f>
        <v>0</v>
      </c>
      <c r="N1206">
        <f t="shared" si="38"/>
        <v>0</v>
      </c>
    </row>
    <row r="1207" spans="1:14">
      <c r="A1207" s="3" t="s">
        <v>3006</v>
      </c>
      <c r="B1207">
        <f>IFERROR(VLOOKUP(A1207,管理亚马逊库存!A:K,11,0),"")</f>
        <v>30</v>
      </c>
      <c r="C1207">
        <f>IFERROR(VLOOKUP(A1207,管理亚马逊库存!A:L,12,0),"")</f>
        <v>0</v>
      </c>
      <c r="D1207">
        <f>IFERROR(VLOOKUP(A1207,管理亚马逊库存!A:Q,17,0),"")</f>
        <v>0</v>
      </c>
      <c r="E1207">
        <f>IFERROR(VLOOKUP(A1207,管理亚马逊库存!A:R,18,0),"")</f>
        <v>0</v>
      </c>
      <c r="F1207">
        <f t="shared" si="37"/>
        <v>0</v>
      </c>
      <c r="G1207" t="str">
        <f>IFERROR(VLOOKUP(A1207,预留库存!A:G,7,0),0)</f>
        <v>No</v>
      </c>
      <c r="H1207">
        <f>IFERROR(VLOOKUP(A1207,预留库存!A:H,8,0),0)</f>
        <v>0</v>
      </c>
      <c r="I1207">
        <f>IFERROR(VLOOKUP(A1207,预留库存!A:F,6,0),0)</f>
        <v>23.98</v>
      </c>
      <c r="J1207">
        <f>IFERROR(VLOOKUP(A1207,库龄!B:K,9,0),0)</f>
        <v>0</v>
      </c>
      <c r="K1207">
        <f>IFERROR(VLOOKUP(A1207,库龄!B:L,10,0),0)</f>
        <v>0</v>
      </c>
      <c r="L1207">
        <f>IFERROR(VLOOKUP(A1207,库龄!B:M,11,0),0)</f>
        <v>0</v>
      </c>
      <c r="M1207">
        <f>IFERROR(VLOOKUP(A1207,库龄!B:N,12,0),0)</f>
        <v>0</v>
      </c>
      <c r="N1207">
        <f t="shared" si="38"/>
        <v>0</v>
      </c>
    </row>
    <row r="1208" spans="1:14">
      <c r="A1208" s="3" t="s">
        <v>3009</v>
      </c>
      <c r="B1208">
        <f>IFERROR(VLOOKUP(A1208,管理亚马逊库存!A:K,11,0),"")</f>
        <v>34</v>
      </c>
      <c r="C1208">
        <f>IFERROR(VLOOKUP(A1208,管理亚马逊库存!A:L,12,0),"")</f>
        <v>0</v>
      </c>
      <c r="D1208">
        <f>IFERROR(VLOOKUP(A1208,管理亚马逊库存!A:Q,17,0),"")</f>
        <v>0</v>
      </c>
      <c r="E1208">
        <f>IFERROR(VLOOKUP(A1208,管理亚马逊库存!A:R,18,0),"")</f>
        <v>0</v>
      </c>
      <c r="F1208">
        <f t="shared" si="37"/>
        <v>0</v>
      </c>
      <c r="G1208" t="str">
        <f>IFERROR(VLOOKUP(A1208,预留库存!A:G,7,0),0)</f>
        <v>No</v>
      </c>
      <c r="H1208">
        <f>IFERROR(VLOOKUP(A1208,预留库存!A:H,8,0),0)</f>
        <v>0</v>
      </c>
      <c r="I1208">
        <f>IFERROR(VLOOKUP(A1208,预留库存!A:F,6,0),0)</f>
        <v>23.98</v>
      </c>
      <c r="J1208">
        <f>IFERROR(VLOOKUP(A1208,库龄!B:K,9,0),0)</f>
        <v>0</v>
      </c>
      <c r="K1208">
        <f>IFERROR(VLOOKUP(A1208,库龄!B:L,10,0),0)</f>
        <v>0</v>
      </c>
      <c r="L1208">
        <f>IFERROR(VLOOKUP(A1208,库龄!B:M,11,0),0)</f>
        <v>0</v>
      </c>
      <c r="M1208">
        <f>IFERROR(VLOOKUP(A1208,库龄!B:N,12,0),0)</f>
        <v>0</v>
      </c>
      <c r="N1208">
        <f t="shared" si="38"/>
        <v>0</v>
      </c>
    </row>
    <row r="1209" spans="1:14">
      <c r="A1209" s="3" t="s">
        <v>3012</v>
      </c>
      <c r="B1209">
        <f>IFERROR(VLOOKUP(A1209,管理亚马逊库存!A:K,11,0),"")</f>
        <v>10</v>
      </c>
      <c r="C1209">
        <f>IFERROR(VLOOKUP(A1209,管理亚马逊库存!A:L,12,0),"")</f>
        <v>0</v>
      </c>
      <c r="D1209">
        <f>IFERROR(VLOOKUP(A1209,管理亚马逊库存!A:Q,17,0),"")</f>
        <v>0</v>
      </c>
      <c r="E1209">
        <f>IFERROR(VLOOKUP(A1209,管理亚马逊库存!A:R,18,0),"")</f>
        <v>0</v>
      </c>
      <c r="F1209">
        <f t="shared" si="37"/>
        <v>0</v>
      </c>
      <c r="G1209" t="str">
        <f>IFERROR(VLOOKUP(A1209,预留库存!A:G,7,0),0)</f>
        <v>No</v>
      </c>
      <c r="H1209">
        <f>IFERROR(VLOOKUP(A1209,预留库存!A:H,8,0),0)</f>
        <v>0</v>
      </c>
      <c r="I1209">
        <f>IFERROR(VLOOKUP(A1209,预留库存!A:F,6,0),0)</f>
        <v>39.98</v>
      </c>
      <c r="J1209">
        <f>IFERROR(VLOOKUP(A1209,库龄!B:K,9,0),0)</f>
        <v>0</v>
      </c>
      <c r="K1209">
        <f>IFERROR(VLOOKUP(A1209,库龄!B:L,10,0),0)</f>
        <v>0</v>
      </c>
      <c r="L1209">
        <f>IFERROR(VLOOKUP(A1209,库龄!B:M,11,0),0)</f>
        <v>0</v>
      </c>
      <c r="M1209">
        <f>IFERROR(VLOOKUP(A1209,库龄!B:N,12,0),0)</f>
        <v>0</v>
      </c>
      <c r="N1209">
        <f t="shared" si="38"/>
        <v>0</v>
      </c>
    </row>
    <row r="1210" spans="1:14">
      <c r="A1210" s="3" t="s">
        <v>3015</v>
      </c>
      <c r="B1210">
        <f>IFERROR(VLOOKUP(A1210,管理亚马逊库存!A:K,11,0),"")</f>
        <v>41</v>
      </c>
      <c r="C1210">
        <f>IFERROR(VLOOKUP(A1210,管理亚马逊库存!A:L,12,0),"")</f>
        <v>0</v>
      </c>
      <c r="D1210">
        <f>IFERROR(VLOOKUP(A1210,管理亚马逊库存!A:Q,17,0),"")</f>
        <v>0</v>
      </c>
      <c r="E1210">
        <f>IFERROR(VLOOKUP(A1210,管理亚马逊库存!A:R,18,0),"")</f>
        <v>0</v>
      </c>
      <c r="F1210">
        <f t="shared" si="37"/>
        <v>0</v>
      </c>
      <c r="G1210" t="str">
        <f>IFERROR(VLOOKUP(A1210,预留库存!A:G,7,0),0)</f>
        <v>No</v>
      </c>
      <c r="H1210">
        <f>IFERROR(VLOOKUP(A1210,预留库存!A:H,8,0),0)</f>
        <v>0</v>
      </c>
      <c r="I1210">
        <f>IFERROR(VLOOKUP(A1210,预留库存!A:F,6,0),0)</f>
        <v>23.98</v>
      </c>
      <c r="J1210">
        <f>IFERROR(VLOOKUP(A1210,库龄!B:K,9,0),0)</f>
        <v>17</v>
      </c>
      <c r="K1210">
        <f>IFERROR(VLOOKUP(A1210,库龄!B:L,10,0),0)</f>
        <v>0</v>
      </c>
      <c r="L1210">
        <f>IFERROR(VLOOKUP(A1210,库龄!B:M,11,0),0)</f>
        <v>0</v>
      </c>
      <c r="M1210">
        <f>IFERROR(VLOOKUP(A1210,库龄!B:N,12,0),0)</f>
        <v>0</v>
      </c>
      <c r="N1210">
        <f t="shared" si="38"/>
        <v>17</v>
      </c>
    </row>
    <row r="1211" spans="1:14">
      <c r="A1211" s="3" t="s">
        <v>3018</v>
      </c>
      <c r="B1211">
        <f>IFERROR(VLOOKUP(A1211,管理亚马逊库存!A:K,11,0),"")</f>
        <v>28</v>
      </c>
      <c r="C1211">
        <f>IFERROR(VLOOKUP(A1211,管理亚马逊库存!A:L,12,0),"")</f>
        <v>0</v>
      </c>
      <c r="D1211">
        <f>IFERROR(VLOOKUP(A1211,管理亚马逊库存!A:Q,17,0),"")</f>
        <v>0</v>
      </c>
      <c r="E1211">
        <f>IFERROR(VLOOKUP(A1211,管理亚马逊库存!A:R,18,0),"")</f>
        <v>0</v>
      </c>
      <c r="F1211">
        <f t="shared" si="37"/>
        <v>0</v>
      </c>
      <c r="G1211" t="str">
        <f>IFERROR(VLOOKUP(A1211,预留库存!A:G,7,0),0)</f>
        <v>No</v>
      </c>
      <c r="H1211">
        <f>IFERROR(VLOOKUP(A1211,预留库存!A:H,8,0),0)</f>
        <v>0</v>
      </c>
      <c r="I1211">
        <f>IFERROR(VLOOKUP(A1211,预留库存!A:F,6,0),0)</f>
        <v>23.98</v>
      </c>
      <c r="J1211">
        <f>IFERROR(VLOOKUP(A1211,库龄!B:K,9,0),0)</f>
        <v>0</v>
      </c>
      <c r="K1211">
        <f>IFERROR(VLOOKUP(A1211,库龄!B:L,10,0),0)</f>
        <v>0</v>
      </c>
      <c r="L1211">
        <f>IFERROR(VLOOKUP(A1211,库龄!B:M,11,0),0)</f>
        <v>0</v>
      </c>
      <c r="M1211">
        <f>IFERROR(VLOOKUP(A1211,库龄!B:N,12,0),0)</f>
        <v>0</v>
      </c>
      <c r="N1211">
        <f t="shared" si="38"/>
        <v>0</v>
      </c>
    </row>
    <row r="1212" spans="1:14">
      <c r="A1212" s="3" t="s">
        <v>3021</v>
      </c>
      <c r="B1212">
        <f>IFERROR(VLOOKUP(A1212,管理亚马逊库存!A:K,11,0),"")</f>
        <v>74</v>
      </c>
      <c r="C1212">
        <f>IFERROR(VLOOKUP(A1212,管理亚马逊库存!A:L,12,0),"")</f>
        <v>0</v>
      </c>
      <c r="D1212">
        <f>IFERROR(VLOOKUP(A1212,管理亚马逊库存!A:Q,17,0),"")</f>
        <v>0</v>
      </c>
      <c r="E1212">
        <f>IFERROR(VLOOKUP(A1212,管理亚马逊库存!A:R,18,0),"")</f>
        <v>0</v>
      </c>
      <c r="F1212">
        <f t="shared" si="37"/>
        <v>0</v>
      </c>
      <c r="G1212" t="str">
        <f>IFERROR(VLOOKUP(A1212,预留库存!A:G,7,0),0)</f>
        <v>No</v>
      </c>
      <c r="H1212">
        <f>IFERROR(VLOOKUP(A1212,预留库存!A:H,8,0),0)</f>
        <v>0</v>
      </c>
      <c r="I1212">
        <f>IFERROR(VLOOKUP(A1212,预留库存!A:F,6,0),0)</f>
        <v>23.98</v>
      </c>
      <c r="J1212">
        <f>IFERROR(VLOOKUP(A1212,库龄!B:K,9,0),0)</f>
        <v>56</v>
      </c>
      <c r="K1212">
        <f>IFERROR(VLOOKUP(A1212,库龄!B:L,10,0),0)</f>
        <v>0</v>
      </c>
      <c r="L1212">
        <f>IFERROR(VLOOKUP(A1212,库龄!B:M,11,0),0)</f>
        <v>0</v>
      </c>
      <c r="M1212">
        <f>IFERROR(VLOOKUP(A1212,库龄!B:N,12,0),0)</f>
        <v>0</v>
      </c>
      <c r="N1212">
        <f t="shared" si="38"/>
        <v>56</v>
      </c>
    </row>
    <row r="1213" spans="1:14">
      <c r="A1213" s="3" t="s">
        <v>3024</v>
      </c>
      <c r="B1213">
        <f>IFERROR(VLOOKUP(A1213,管理亚马逊库存!A:K,11,0),"")</f>
        <v>18</v>
      </c>
      <c r="C1213">
        <f>IFERROR(VLOOKUP(A1213,管理亚马逊库存!A:L,12,0),"")</f>
        <v>0</v>
      </c>
      <c r="D1213">
        <f>IFERROR(VLOOKUP(A1213,管理亚马逊库存!A:Q,17,0),"")</f>
        <v>0</v>
      </c>
      <c r="E1213">
        <f>IFERROR(VLOOKUP(A1213,管理亚马逊库存!A:R,18,0),"")</f>
        <v>0</v>
      </c>
      <c r="F1213">
        <f t="shared" si="37"/>
        <v>0</v>
      </c>
      <c r="G1213" t="str">
        <f>IFERROR(VLOOKUP(A1213,预留库存!A:G,7,0),0)</f>
        <v>No</v>
      </c>
      <c r="H1213">
        <f>IFERROR(VLOOKUP(A1213,预留库存!A:H,8,0),0)</f>
        <v>0</v>
      </c>
      <c r="I1213">
        <f>IFERROR(VLOOKUP(A1213,预留库存!A:F,6,0),0)</f>
        <v>23.98</v>
      </c>
      <c r="J1213">
        <f>IFERROR(VLOOKUP(A1213,库龄!B:K,9,0),0)</f>
        <v>0</v>
      </c>
      <c r="K1213">
        <f>IFERROR(VLOOKUP(A1213,库龄!B:L,10,0),0)</f>
        <v>0</v>
      </c>
      <c r="L1213">
        <f>IFERROR(VLOOKUP(A1213,库龄!B:M,11,0),0)</f>
        <v>0</v>
      </c>
      <c r="M1213">
        <f>IFERROR(VLOOKUP(A1213,库龄!B:N,12,0),0)</f>
        <v>0</v>
      </c>
      <c r="N1213">
        <f t="shared" si="38"/>
        <v>0</v>
      </c>
    </row>
    <row r="1214" spans="1:14">
      <c r="A1214" s="3" t="s">
        <v>3027</v>
      </c>
      <c r="B1214">
        <f>IFERROR(VLOOKUP(A1214,管理亚马逊库存!A:K,11,0),"")</f>
        <v>0</v>
      </c>
      <c r="C1214">
        <f>IFERROR(VLOOKUP(A1214,管理亚马逊库存!A:L,12,0),"")</f>
        <v>0</v>
      </c>
      <c r="D1214">
        <f>IFERROR(VLOOKUP(A1214,管理亚马逊库存!A:Q,17,0),"")</f>
        <v>0</v>
      </c>
      <c r="E1214">
        <f>IFERROR(VLOOKUP(A1214,管理亚马逊库存!A:R,18,0),"")</f>
        <v>0</v>
      </c>
      <c r="F1214">
        <f t="shared" si="37"/>
        <v>0</v>
      </c>
      <c r="G1214" t="str">
        <f>IFERROR(VLOOKUP(A1214,预留库存!A:G,7,0),0)</f>
        <v>No</v>
      </c>
      <c r="H1214">
        <f>IFERROR(VLOOKUP(A1214,预留库存!A:H,8,0),0)</f>
        <v>0</v>
      </c>
      <c r="I1214">
        <f>IFERROR(VLOOKUP(A1214,预留库存!A:F,6,0),0)</f>
        <v>39.98</v>
      </c>
      <c r="J1214">
        <f>IFERROR(VLOOKUP(A1214,库龄!B:K,9,0),0)</f>
        <v>0</v>
      </c>
      <c r="K1214">
        <f>IFERROR(VLOOKUP(A1214,库龄!B:L,10,0),0)</f>
        <v>0</v>
      </c>
      <c r="L1214">
        <f>IFERROR(VLOOKUP(A1214,库龄!B:M,11,0),0)</f>
        <v>0</v>
      </c>
      <c r="M1214">
        <f>IFERROR(VLOOKUP(A1214,库龄!B:N,12,0),0)</f>
        <v>0</v>
      </c>
      <c r="N1214">
        <f t="shared" si="38"/>
        <v>0</v>
      </c>
    </row>
    <row r="1215" spans="1:14">
      <c r="A1215" s="3" t="s">
        <v>3030</v>
      </c>
      <c r="B1215">
        <f>IFERROR(VLOOKUP(A1215,管理亚马逊库存!A:K,11,0),"")</f>
        <v>23</v>
      </c>
      <c r="C1215">
        <f>IFERROR(VLOOKUP(A1215,管理亚马逊库存!A:L,12,0),"")</f>
        <v>0</v>
      </c>
      <c r="D1215">
        <f>IFERROR(VLOOKUP(A1215,管理亚马逊库存!A:Q,17,0),"")</f>
        <v>0</v>
      </c>
      <c r="E1215">
        <f>IFERROR(VLOOKUP(A1215,管理亚马逊库存!A:R,18,0),"")</f>
        <v>0</v>
      </c>
      <c r="F1215">
        <f t="shared" si="37"/>
        <v>0</v>
      </c>
      <c r="G1215" t="str">
        <f>IFERROR(VLOOKUP(A1215,预留库存!A:G,7,0),0)</f>
        <v>No</v>
      </c>
      <c r="H1215">
        <f>IFERROR(VLOOKUP(A1215,预留库存!A:H,8,0),0)</f>
        <v>0</v>
      </c>
      <c r="I1215">
        <f>IFERROR(VLOOKUP(A1215,预留库存!A:F,6,0),0)</f>
        <v>23.98</v>
      </c>
      <c r="J1215">
        <f>IFERROR(VLOOKUP(A1215,库龄!B:K,9,0),0)</f>
        <v>0</v>
      </c>
      <c r="K1215">
        <f>IFERROR(VLOOKUP(A1215,库龄!B:L,10,0),0)</f>
        <v>0</v>
      </c>
      <c r="L1215">
        <f>IFERROR(VLOOKUP(A1215,库龄!B:M,11,0),0)</f>
        <v>0</v>
      </c>
      <c r="M1215">
        <f>IFERROR(VLOOKUP(A1215,库龄!B:N,12,0),0)</f>
        <v>0</v>
      </c>
      <c r="N1215">
        <f t="shared" si="38"/>
        <v>0</v>
      </c>
    </row>
    <row r="1216" spans="1:14">
      <c r="A1216" s="3" t="s">
        <v>3033</v>
      </c>
      <c r="B1216">
        <f>IFERROR(VLOOKUP(A1216,管理亚马逊库存!A:K,11,0),"")</f>
        <v>18</v>
      </c>
      <c r="C1216">
        <f>IFERROR(VLOOKUP(A1216,管理亚马逊库存!A:L,12,0),"")</f>
        <v>0</v>
      </c>
      <c r="D1216">
        <f>IFERROR(VLOOKUP(A1216,管理亚马逊库存!A:Q,17,0),"")</f>
        <v>0</v>
      </c>
      <c r="E1216">
        <f>IFERROR(VLOOKUP(A1216,管理亚马逊库存!A:R,18,0),"")</f>
        <v>0</v>
      </c>
      <c r="F1216">
        <f t="shared" si="37"/>
        <v>0</v>
      </c>
      <c r="G1216" t="str">
        <f>IFERROR(VLOOKUP(A1216,预留库存!A:G,7,0),0)</f>
        <v>No</v>
      </c>
      <c r="H1216">
        <f>IFERROR(VLOOKUP(A1216,预留库存!A:H,8,0),0)</f>
        <v>0</v>
      </c>
      <c r="I1216">
        <f>IFERROR(VLOOKUP(A1216,预留库存!A:F,6,0),0)</f>
        <v>22.98</v>
      </c>
      <c r="J1216">
        <f>IFERROR(VLOOKUP(A1216,库龄!B:K,9,0),0)</f>
        <v>0</v>
      </c>
      <c r="K1216">
        <f>IFERROR(VLOOKUP(A1216,库龄!B:L,10,0),0)</f>
        <v>0</v>
      </c>
      <c r="L1216">
        <f>IFERROR(VLOOKUP(A1216,库龄!B:M,11,0),0)</f>
        <v>0</v>
      </c>
      <c r="M1216">
        <f>IFERROR(VLOOKUP(A1216,库龄!B:N,12,0),0)</f>
        <v>0</v>
      </c>
      <c r="N1216">
        <f t="shared" si="38"/>
        <v>0</v>
      </c>
    </row>
    <row r="1217" spans="1:14">
      <c r="A1217" s="3" t="s">
        <v>3036</v>
      </c>
      <c r="B1217">
        <f>IFERROR(VLOOKUP(A1217,管理亚马逊库存!A:K,11,0),"")</f>
        <v>25</v>
      </c>
      <c r="C1217">
        <f>IFERROR(VLOOKUP(A1217,管理亚马逊库存!A:L,12,0),"")</f>
        <v>0</v>
      </c>
      <c r="D1217">
        <f>IFERROR(VLOOKUP(A1217,管理亚马逊库存!A:Q,17,0),"")</f>
        <v>0</v>
      </c>
      <c r="E1217">
        <f>IFERROR(VLOOKUP(A1217,管理亚马逊库存!A:R,18,0),"")</f>
        <v>0</v>
      </c>
      <c r="F1217">
        <f t="shared" si="37"/>
        <v>0</v>
      </c>
      <c r="G1217" t="str">
        <f>IFERROR(VLOOKUP(A1217,预留库存!A:G,7,0),0)</f>
        <v>No</v>
      </c>
      <c r="H1217">
        <f>IFERROR(VLOOKUP(A1217,预留库存!A:H,8,0),0)</f>
        <v>0</v>
      </c>
      <c r="I1217">
        <f>IFERROR(VLOOKUP(A1217,预留库存!A:F,6,0),0)</f>
        <v>39.98</v>
      </c>
      <c r="J1217">
        <f>IFERROR(VLOOKUP(A1217,库龄!B:K,9,0),0)</f>
        <v>9</v>
      </c>
      <c r="K1217">
        <f>IFERROR(VLOOKUP(A1217,库龄!B:L,10,0),0)</f>
        <v>0</v>
      </c>
      <c r="L1217">
        <f>IFERROR(VLOOKUP(A1217,库龄!B:M,11,0),0)</f>
        <v>0</v>
      </c>
      <c r="M1217">
        <f>IFERROR(VLOOKUP(A1217,库龄!B:N,12,0),0)</f>
        <v>0</v>
      </c>
      <c r="N1217">
        <f t="shared" si="38"/>
        <v>9</v>
      </c>
    </row>
    <row r="1218" spans="1:14">
      <c r="A1218" s="3" t="s">
        <v>3038</v>
      </c>
      <c r="B1218">
        <f>IFERROR(VLOOKUP(A1218,管理亚马逊库存!A:K,11,0),"")</f>
        <v>30</v>
      </c>
      <c r="C1218">
        <f>IFERROR(VLOOKUP(A1218,管理亚马逊库存!A:L,12,0),"")</f>
        <v>0</v>
      </c>
      <c r="D1218">
        <f>IFERROR(VLOOKUP(A1218,管理亚马逊库存!A:Q,17,0),"")</f>
        <v>0</v>
      </c>
      <c r="E1218">
        <f>IFERROR(VLOOKUP(A1218,管理亚马逊库存!A:R,18,0),"")</f>
        <v>0</v>
      </c>
      <c r="F1218">
        <f t="shared" si="37"/>
        <v>0</v>
      </c>
      <c r="G1218" t="str">
        <f>IFERROR(VLOOKUP(A1218,预留库存!A:G,7,0),0)</f>
        <v>No</v>
      </c>
      <c r="H1218">
        <f>IFERROR(VLOOKUP(A1218,预留库存!A:H,8,0),0)</f>
        <v>0</v>
      </c>
      <c r="I1218">
        <f>IFERROR(VLOOKUP(A1218,预留库存!A:F,6,0),0)</f>
        <v>23.98</v>
      </c>
      <c r="J1218">
        <f>IFERROR(VLOOKUP(A1218,库龄!B:K,9,0),0)</f>
        <v>0</v>
      </c>
      <c r="K1218">
        <f>IFERROR(VLOOKUP(A1218,库龄!B:L,10,0),0)</f>
        <v>0</v>
      </c>
      <c r="L1218">
        <f>IFERROR(VLOOKUP(A1218,库龄!B:M,11,0),0)</f>
        <v>0</v>
      </c>
      <c r="M1218">
        <f>IFERROR(VLOOKUP(A1218,库龄!B:N,12,0),0)</f>
        <v>0</v>
      </c>
      <c r="N1218">
        <f t="shared" si="38"/>
        <v>0</v>
      </c>
    </row>
    <row r="1219" spans="1:14">
      <c r="A1219" s="3" t="s">
        <v>3041</v>
      </c>
      <c r="B1219">
        <f>IFERROR(VLOOKUP(A1219,管理亚马逊库存!A:K,11,0),"")</f>
        <v>22</v>
      </c>
      <c r="C1219">
        <f>IFERROR(VLOOKUP(A1219,管理亚马逊库存!A:L,12,0),"")</f>
        <v>0</v>
      </c>
      <c r="D1219">
        <f>IFERROR(VLOOKUP(A1219,管理亚马逊库存!A:Q,17,0),"")</f>
        <v>0</v>
      </c>
      <c r="E1219">
        <f>IFERROR(VLOOKUP(A1219,管理亚马逊库存!A:R,18,0),"")</f>
        <v>0</v>
      </c>
      <c r="F1219">
        <f t="shared" ref="F1219:F1282" si="39">SUM(D1219:E1219)</f>
        <v>0</v>
      </c>
      <c r="G1219" t="str">
        <f>IFERROR(VLOOKUP(A1219,预留库存!A:G,7,0),0)</f>
        <v>No</v>
      </c>
      <c r="H1219">
        <f>IFERROR(VLOOKUP(A1219,预留库存!A:H,8,0),0)</f>
        <v>0</v>
      </c>
      <c r="I1219">
        <f>IFERROR(VLOOKUP(A1219,预留库存!A:F,6,0),0)</f>
        <v>39.98</v>
      </c>
      <c r="J1219">
        <f>IFERROR(VLOOKUP(A1219,库龄!B:K,9,0),0)</f>
        <v>0</v>
      </c>
      <c r="K1219">
        <f>IFERROR(VLOOKUP(A1219,库龄!B:L,10,0),0)</f>
        <v>0</v>
      </c>
      <c r="L1219">
        <f>IFERROR(VLOOKUP(A1219,库龄!B:M,11,0),0)</f>
        <v>0</v>
      </c>
      <c r="M1219">
        <f>IFERROR(VLOOKUP(A1219,库龄!B:N,12,0),0)</f>
        <v>0</v>
      </c>
      <c r="N1219">
        <f t="shared" ref="N1219:N1282" si="40">SUM(J1219:M1219)</f>
        <v>0</v>
      </c>
    </row>
    <row r="1220" spans="1:14">
      <c r="A1220" s="3" t="s">
        <v>3043</v>
      </c>
      <c r="B1220">
        <f>IFERROR(VLOOKUP(A1220,管理亚马逊库存!A:K,11,0),"")</f>
        <v>8</v>
      </c>
      <c r="C1220">
        <f>IFERROR(VLOOKUP(A1220,管理亚马逊库存!A:L,12,0),"")</f>
        <v>0</v>
      </c>
      <c r="D1220">
        <f>IFERROR(VLOOKUP(A1220,管理亚马逊库存!A:Q,17,0),"")</f>
        <v>0</v>
      </c>
      <c r="E1220">
        <f>IFERROR(VLOOKUP(A1220,管理亚马逊库存!A:R,18,0),"")</f>
        <v>0</v>
      </c>
      <c r="F1220">
        <f t="shared" si="39"/>
        <v>0</v>
      </c>
      <c r="G1220" t="str">
        <f>IFERROR(VLOOKUP(A1220,预留库存!A:G,7,0),0)</f>
        <v>No</v>
      </c>
      <c r="H1220">
        <f>IFERROR(VLOOKUP(A1220,预留库存!A:H,8,0),0)</f>
        <v>0</v>
      </c>
      <c r="I1220">
        <f>IFERROR(VLOOKUP(A1220,预留库存!A:F,6,0),0)</f>
        <v>39.98</v>
      </c>
      <c r="J1220">
        <f>IFERROR(VLOOKUP(A1220,库龄!B:K,9,0),0)</f>
        <v>0</v>
      </c>
      <c r="K1220">
        <f>IFERROR(VLOOKUP(A1220,库龄!B:L,10,0),0)</f>
        <v>0</v>
      </c>
      <c r="L1220">
        <f>IFERROR(VLOOKUP(A1220,库龄!B:M,11,0),0)</f>
        <v>0</v>
      </c>
      <c r="M1220">
        <f>IFERROR(VLOOKUP(A1220,库龄!B:N,12,0),0)</f>
        <v>0</v>
      </c>
      <c r="N1220">
        <f t="shared" si="40"/>
        <v>0</v>
      </c>
    </row>
    <row r="1221" spans="1:14">
      <c r="A1221" s="3" t="s">
        <v>3046</v>
      </c>
      <c r="B1221">
        <f>IFERROR(VLOOKUP(A1221,管理亚马逊库存!A:K,11,0),"")</f>
        <v>52</v>
      </c>
      <c r="C1221">
        <f>IFERROR(VLOOKUP(A1221,管理亚马逊库存!A:L,12,0),"")</f>
        <v>0</v>
      </c>
      <c r="D1221">
        <f>IFERROR(VLOOKUP(A1221,管理亚马逊库存!A:Q,17,0),"")</f>
        <v>0</v>
      </c>
      <c r="E1221">
        <f>IFERROR(VLOOKUP(A1221,管理亚马逊库存!A:R,18,0),"")</f>
        <v>0</v>
      </c>
      <c r="F1221">
        <f t="shared" si="39"/>
        <v>0</v>
      </c>
      <c r="G1221" t="str">
        <f>IFERROR(VLOOKUP(A1221,预留库存!A:G,7,0),0)</f>
        <v>No</v>
      </c>
      <c r="H1221">
        <f>IFERROR(VLOOKUP(A1221,预留库存!A:H,8,0),0)</f>
        <v>0</v>
      </c>
      <c r="I1221">
        <f>IFERROR(VLOOKUP(A1221,预留库存!A:F,6,0),0)</f>
        <v>23.98</v>
      </c>
      <c r="J1221">
        <f>IFERROR(VLOOKUP(A1221,库龄!B:K,9,0),0)</f>
        <v>0</v>
      </c>
      <c r="K1221">
        <f>IFERROR(VLOOKUP(A1221,库龄!B:L,10,0),0)</f>
        <v>0</v>
      </c>
      <c r="L1221">
        <f>IFERROR(VLOOKUP(A1221,库龄!B:M,11,0),0)</f>
        <v>0</v>
      </c>
      <c r="M1221">
        <f>IFERROR(VLOOKUP(A1221,库龄!B:N,12,0),0)</f>
        <v>0</v>
      </c>
      <c r="N1221">
        <f t="shared" si="40"/>
        <v>0</v>
      </c>
    </row>
    <row r="1222" spans="1:14">
      <c r="A1222" s="3" t="s">
        <v>3049</v>
      </c>
      <c r="B1222">
        <f>IFERROR(VLOOKUP(A1222,管理亚马逊库存!A:K,11,0),"")</f>
        <v>14</v>
      </c>
      <c r="C1222">
        <f>IFERROR(VLOOKUP(A1222,管理亚马逊库存!A:L,12,0),"")</f>
        <v>0</v>
      </c>
      <c r="D1222">
        <f>IFERROR(VLOOKUP(A1222,管理亚马逊库存!A:Q,17,0),"")</f>
        <v>0</v>
      </c>
      <c r="E1222">
        <f>IFERROR(VLOOKUP(A1222,管理亚马逊库存!A:R,18,0),"")</f>
        <v>0</v>
      </c>
      <c r="F1222">
        <f t="shared" si="39"/>
        <v>0</v>
      </c>
      <c r="G1222" t="str">
        <f>IFERROR(VLOOKUP(A1222,预留库存!A:G,7,0),0)</f>
        <v>No</v>
      </c>
      <c r="H1222">
        <f>IFERROR(VLOOKUP(A1222,预留库存!A:H,8,0),0)</f>
        <v>0</v>
      </c>
      <c r="I1222">
        <f>IFERROR(VLOOKUP(A1222,预留库存!A:F,6,0),0)</f>
        <v>23.98</v>
      </c>
      <c r="J1222">
        <f>IFERROR(VLOOKUP(A1222,库龄!B:K,9,0),0)</f>
        <v>0</v>
      </c>
      <c r="K1222">
        <f>IFERROR(VLOOKUP(A1222,库龄!B:L,10,0),0)</f>
        <v>0</v>
      </c>
      <c r="L1222">
        <f>IFERROR(VLOOKUP(A1222,库龄!B:M,11,0),0)</f>
        <v>0</v>
      </c>
      <c r="M1222">
        <f>IFERROR(VLOOKUP(A1222,库龄!B:N,12,0),0)</f>
        <v>0</v>
      </c>
      <c r="N1222">
        <f t="shared" si="40"/>
        <v>0</v>
      </c>
    </row>
    <row r="1223" spans="1:14">
      <c r="A1223" s="3" t="s">
        <v>3052</v>
      </c>
      <c r="B1223">
        <f>IFERROR(VLOOKUP(A1223,管理亚马逊库存!A:K,11,0),"")</f>
        <v>26</v>
      </c>
      <c r="C1223">
        <f>IFERROR(VLOOKUP(A1223,管理亚马逊库存!A:L,12,0),"")</f>
        <v>0</v>
      </c>
      <c r="D1223">
        <f>IFERROR(VLOOKUP(A1223,管理亚马逊库存!A:Q,17,0),"")</f>
        <v>0</v>
      </c>
      <c r="E1223">
        <f>IFERROR(VLOOKUP(A1223,管理亚马逊库存!A:R,18,0),"")</f>
        <v>0</v>
      </c>
      <c r="F1223">
        <f t="shared" si="39"/>
        <v>0</v>
      </c>
      <c r="G1223" t="str">
        <f>IFERROR(VLOOKUP(A1223,预留库存!A:G,7,0),0)</f>
        <v>No</v>
      </c>
      <c r="H1223">
        <f>IFERROR(VLOOKUP(A1223,预留库存!A:H,8,0),0)</f>
        <v>0</v>
      </c>
      <c r="I1223">
        <f>IFERROR(VLOOKUP(A1223,预留库存!A:F,6,0),0)</f>
        <v>23.98</v>
      </c>
      <c r="J1223">
        <f>IFERROR(VLOOKUP(A1223,库龄!B:K,9,0),0)</f>
        <v>0</v>
      </c>
      <c r="K1223">
        <f>IFERROR(VLOOKUP(A1223,库龄!B:L,10,0),0)</f>
        <v>0</v>
      </c>
      <c r="L1223">
        <f>IFERROR(VLOOKUP(A1223,库龄!B:M,11,0),0)</f>
        <v>0</v>
      </c>
      <c r="M1223">
        <f>IFERROR(VLOOKUP(A1223,库龄!B:N,12,0),0)</f>
        <v>0</v>
      </c>
      <c r="N1223">
        <f t="shared" si="40"/>
        <v>0</v>
      </c>
    </row>
    <row r="1224" spans="1:14">
      <c r="A1224" s="3" t="s">
        <v>3055</v>
      </c>
      <c r="B1224">
        <f>IFERROR(VLOOKUP(A1224,管理亚马逊库存!A:K,11,0),"")</f>
        <v>0</v>
      </c>
      <c r="C1224">
        <f>IFERROR(VLOOKUP(A1224,管理亚马逊库存!A:L,12,0),"")</f>
        <v>0</v>
      </c>
      <c r="D1224">
        <f>IFERROR(VLOOKUP(A1224,管理亚马逊库存!A:Q,17,0),"")</f>
        <v>0</v>
      </c>
      <c r="E1224">
        <f>IFERROR(VLOOKUP(A1224,管理亚马逊库存!A:R,18,0),"")</f>
        <v>0</v>
      </c>
      <c r="F1224">
        <f t="shared" si="39"/>
        <v>0</v>
      </c>
      <c r="G1224" t="str">
        <f>IFERROR(VLOOKUP(A1224,预留库存!A:G,7,0),0)</f>
        <v>No</v>
      </c>
      <c r="H1224">
        <f>IFERROR(VLOOKUP(A1224,预留库存!A:H,8,0),0)</f>
        <v>0</v>
      </c>
      <c r="I1224">
        <f>IFERROR(VLOOKUP(A1224,预留库存!A:F,6,0),0)</f>
        <v>23.98</v>
      </c>
      <c r="J1224">
        <f>IFERROR(VLOOKUP(A1224,库龄!B:K,9,0),0)</f>
        <v>0</v>
      </c>
      <c r="K1224">
        <f>IFERROR(VLOOKUP(A1224,库龄!B:L,10,0),0)</f>
        <v>0</v>
      </c>
      <c r="L1224">
        <f>IFERROR(VLOOKUP(A1224,库龄!B:M,11,0),0)</f>
        <v>0</v>
      </c>
      <c r="M1224">
        <f>IFERROR(VLOOKUP(A1224,库龄!B:N,12,0),0)</f>
        <v>0</v>
      </c>
      <c r="N1224">
        <f t="shared" si="40"/>
        <v>0</v>
      </c>
    </row>
    <row r="1225" spans="1:14">
      <c r="A1225" s="3" t="s">
        <v>3058</v>
      </c>
      <c r="B1225">
        <f>IFERROR(VLOOKUP(A1225,管理亚马逊库存!A:K,11,0),"")</f>
        <v>8</v>
      </c>
      <c r="C1225">
        <f>IFERROR(VLOOKUP(A1225,管理亚马逊库存!A:L,12,0),"")</f>
        <v>0</v>
      </c>
      <c r="D1225">
        <f>IFERROR(VLOOKUP(A1225,管理亚马逊库存!A:Q,17,0),"")</f>
        <v>0</v>
      </c>
      <c r="E1225">
        <f>IFERROR(VLOOKUP(A1225,管理亚马逊库存!A:R,18,0),"")</f>
        <v>0</v>
      </c>
      <c r="F1225">
        <f t="shared" si="39"/>
        <v>0</v>
      </c>
      <c r="G1225" t="str">
        <f>IFERROR(VLOOKUP(A1225,预留库存!A:G,7,0),0)</f>
        <v>No</v>
      </c>
      <c r="H1225">
        <f>IFERROR(VLOOKUP(A1225,预留库存!A:H,8,0),0)</f>
        <v>0</v>
      </c>
      <c r="I1225">
        <f>IFERROR(VLOOKUP(A1225,预留库存!A:F,6,0),0)</f>
        <v>39.98</v>
      </c>
      <c r="J1225">
        <f>IFERROR(VLOOKUP(A1225,库龄!B:K,9,0),0)</f>
        <v>0</v>
      </c>
      <c r="K1225">
        <f>IFERROR(VLOOKUP(A1225,库龄!B:L,10,0),0)</f>
        <v>0</v>
      </c>
      <c r="L1225">
        <f>IFERROR(VLOOKUP(A1225,库龄!B:M,11,0),0)</f>
        <v>0</v>
      </c>
      <c r="M1225">
        <f>IFERROR(VLOOKUP(A1225,库龄!B:N,12,0),0)</f>
        <v>0</v>
      </c>
      <c r="N1225">
        <f t="shared" si="40"/>
        <v>0</v>
      </c>
    </row>
    <row r="1226" spans="1:14">
      <c r="A1226" s="3" t="s">
        <v>3061</v>
      </c>
      <c r="B1226">
        <f>IFERROR(VLOOKUP(A1226,管理亚马逊库存!A:K,11,0),"")</f>
        <v>49</v>
      </c>
      <c r="C1226">
        <f>IFERROR(VLOOKUP(A1226,管理亚马逊库存!A:L,12,0),"")</f>
        <v>0</v>
      </c>
      <c r="D1226">
        <f>IFERROR(VLOOKUP(A1226,管理亚马逊库存!A:Q,17,0),"")</f>
        <v>0</v>
      </c>
      <c r="E1226">
        <f>IFERROR(VLOOKUP(A1226,管理亚马逊库存!A:R,18,0),"")</f>
        <v>0</v>
      </c>
      <c r="F1226">
        <f t="shared" si="39"/>
        <v>0</v>
      </c>
      <c r="G1226" t="str">
        <f>IFERROR(VLOOKUP(A1226,预留库存!A:G,7,0),0)</f>
        <v>No</v>
      </c>
      <c r="H1226">
        <f>IFERROR(VLOOKUP(A1226,预留库存!A:H,8,0),0)</f>
        <v>0</v>
      </c>
      <c r="I1226">
        <f>IFERROR(VLOOKUP(A1226,预留库存!A:F,6,0),0)</f>
        <v>39.98</v>
      </c>
      <c r="J1226">
        <f>IFERROR(VLOOKUP(A1226,库龄!B:K,9,0),0)</f>
        <v>0</v>
      </c>
      <c r="K1226">
        <f>IFERROR(VLOOKUP(A1226,库龄!B:L,10,0),0)</f>
        <v>0</v>
      </c>
      <c r="L1226">
        <f>IFERROR(VLOOKUP(A1226,库龄!B:M,11,0),0)</f>
        <v>0</v>
      </c>
      <c r="M1226">
        <f>IFERROR(VLOOKUP(A1226,库龄!B:N,12,0),0)</f>
        <v>0</v>
      </c>
      <c r="N1226">
        <f t="shared" si="40"/>
        <v>0</v>
      </c>
    </row>
    <row r="1227" spans="1:14">
      <c r="A1227" s="3" t="s">
        <v>3064</v>
      </c>
      <c r="B1227">
        <f>IFERROR(VLOOKUP(A1227,管理亚马逊库存!A:K,11,0),"")</f>
        <v>30</v>
      </c>
      <c r="C1227">
        <f>IFERROR(VLOOKUP(A1227,管理亚马逊库存!A:L,12,0),"")</f>
        <v>0</v>
      </c>
      <c r="D1227">
        <f>IFERROR(VLOOKUP(A1227,管理亚马逊库存!A:Q,17,0),"")</f>
        <v>0</v>
      </c>
      <c r="E1227">
        <f>IFERROR(VLOOKUP(A1227,管理亚马逊库存!A:R,18,0),"")</f>
        <v>0</v>
      </c>
      <c r="F1227">
        <f t="shared" si="39"/>
        <v>0</v>
      </c>
      <c r="G1227" t="str">
        <f>IFERROR(VLOOKUP(A1227,预留库存!A:G,7,0),0)</f>
        <v>No</v>
      </c>
      <c r="H1227">
        <f>IFERROR(VLOOKUP(A1227,预留库存!A:H,8,0),0)</f>
        <v>0</v>
      </c>
      <c r="I1227">
        <f>IFERROR(VLOOKUP(A1227,预留库存!A:F,6,0),0)</f>
        <v>39.98</v>
      </c>
      <c r="J1227">
        <f>IFERROR(VLOOKUP(A1227,库龄!B:K,9,0),0)</f>
        <v>0</v>
      </c>
      <c r="K1227">
        <f>IFERROR(VLOOKUP(A1227,库龄!B:L,10,0),0)</f>
        <v>0</v>
      </c>
      <c r="L1227">
        <f>IFERROR(VLOOKUP(A1227,库龄!B:M,11,0),0)</f>
        <v>0</v>
      </c>
      <c r="M1227">
        <f>IFERROR(VLOOKUP(A1227,库龄!B:N,12,0),0)</f>
        <v>0</v>
      </c>
      <c r="N1227">
        <f t="shared" si="40"/>
        <v>0</v>
      </c>
    </row>
    <row r="1228" spans="1:14">
      <c r="A1228" s="3" t="s">
        <v>3067</v>
      </c>
      <c r="B1228">
        <f>IFERROR(VLOOKUP(A1228,管理亚马逊库存!A:K,11,0),"")</f>
        <v>10</v>
      </c>
      <c r="C1228">
        <f>IFERROR(VLOOKUP(A1228,管理亚马逊库存!A:L,12,0),"")</f>
        <v>0</v>
      </c>
      <c r="D1228">
        <f>IFERROR(VLOOKUP(A1228,管理亚马逊库存!A:Q,17,0),"")</f>
        <v>0</v>
      </c>
      <c r="E1228">
        <f>IFERROR(VLOOKUP(A1228,管理亚马逊库存!A:R,18,0),"")</f>
        <v>0</v>
      </c>
      <c r="F1228">
        <f t="shared" si="39"/>
        <v>0</v>
      </c>
      <c r="G1228" t="str">
        <f>IFERROR(VLOOKUP(A1228,预留库存!A:G,7,0),0)</f>
        <v>No</v>
      </c>
      <c r="H1228">
        <f>IFERROR(VLOOKUP(A1228,预留库存!A:H,8,0),0)</f>
        <v>0</v>
      </c>
      <c r="I1228">
        <f>IFERROR(VLOOKUP(A1228,预留库存!A:F,6,0),0)</f>
        <v>39.98</v>
      </c>
      <c r="J1228">
        <f>IFERROR(VLOOKUP(A1228,库龄!B:K,9,0),0)</f>
        <v>0</v>
      </c>
      <c r="K1228">
        <f>IFERROR(VLOOKUP(A1228,库龄!B:L,10,0),0)</f>
        <v>0</v>
      </c>
      <c r="L1228">
        <f>IFERROR(VLOOKUP(A1228,库龄!B:M,11,0),0)</f>
        <v>0</v>
      </c>
      <c r="M1228">
        <f>IFERROR(VLOOKUP(A1228,库龄!B:N,12,0),0)</f>
        <v>0</v>
      </c>
      <c r="N1228">
        <f t="shared" si="40"/>
        <v>0</v>
      </c>
    </row>
    <row r="1229" spans="1:14">
      <c r="A1229" s="3" t="s">
        <v>3069</v>
      </c>
      <c r="B1229">
        <f>IFERROR(VLOOKUP(A1229,管理亚马逊库存!A:K,11,0),"")</f>
        <v>28</v>
      </c>
      <c r="C1229">
        <f>IFERROR(VLOOKUP(A1229,管理亚马逊库存!A:L,12,0),"")</f>
        <v>0</v>
      </c>
      <c r="D1229">
        <f>IFERROR(VLOOKUP(A1229,管理亚马逊库存!A:Q,17,0),"")</f>
        <v>0</v>
      </c>
      <c r="E1229">
        <f>IFERROR(VLOOKUP(A1229,管理亚马逊库存!A:R,18,0),"")</f>
        <v>0</v>
      </c>
      <c r="F1229">
        <f t="shared" si="39"/>
        <v>0</v>
      </c>
      <c r="G1229" t="str">
        <f>IFERROR(VLOOKUP(A1229,预留库存!A:G,7,0),0)</f>
        <v>No</v>
      </c>
      <c r="H1229">
        <f>IFERROR(VLOOKUP(A1229,预留库存!A:H,8,0),0)</f>
        <v>0</v>
      </c>
      <c r="I1229">
        <f>IFERROR(VLOOKUP(A1229,预留库存!A:F,6,0),0)</f>
        <v>23.98</v>
      </c>
      <c r="J1229">
        <f>IFERROR(VLOOKUP(A1229,库龄!B:K,9,0),0)</f>
        <v>0</v>
      </c>
      <c r="K1229">
        <f>IFERROR(VLOOKUP(A1229,库龄!B:L,10,0),0)</f>
        <v>0</v>
      </c>
      <c r="L1229">
        <f>IFERROR(VLOOKUP(A1229,库龄!B:M,11,0),0)</f>
        <v>0</v>
      </c>
      <c r="M1229">
        <f>IFERROR(VLOOKUP(A1229,库龄!B:N,12,0),0)</f>
        <v>0</v>
      </c>
      <c r="N1229">
        <f t="shared" si="40"/>
        <v>0</v>
      </c>
    </row>
    <row r="1230" spans="1:14">
      <c r="A1230" s="3" t="s">
        <v>3072</v>
      </c>
      <c r="B1230">
        <f>IFERROR(VLOOKUP(A1230,管理亚马逊库存!A:K,11,0),"")</f>
        <v>10</v>
      </c>
      <c r="C1230">
        <f>IFERROR(VLOOKUP(A1230,管理亚马逊库存!A:L,12,0),"")</f>
        <v>0</v>
      </c>
      <c r="D1230">
        <f>IFERROR(VLOOKUP(A1230,管理亚马逊库存!A:Q,17,0),"")</f>
        <v>6</v>
      </c>
      <c r="E1230">
        <f>IFERROR(VLOOKUP(A1230,管理亚马逊库存!A:R,18,0),"")</f>
        <v>0</v>
      </c>
      <c r="F1230">
        <f t="shared" si="39"/>
        <v>6</v>
      </c>
      <c r="G1230" t="str">
        <f>IFERROR(VLOOKUP(A1230,预留库存!A:G,7,0),0)</f>
        <v>No</v>
      </c>
      <c r="H1230">
        <f>IFERROR(VLOOKUP(A1230,预留库存!A:H,8,0),0)</f>
        <v>0</v>
      </c>
      <c r="I1230">
        <f>IFERROR(VLOOKUP(A1230,预留库存!A:F,6,0),0)</f>
        <v>23.98</v>
      </c>
      <c r="J1230">
        <f>IFERROR(VLOOKUP(A1230,库龄!B:K,9,0),0)</f>
        <v>0</v>
      </c>
      <c r="K1230">
        <f>IFERROR(VLOOKUP(A1230,库龄!B:L,10,0),0)</f>
        <v>0</v>
      </c>
      <c r="L1230">
        <f>IFERROR(VLOOKUP(A1230,库龄!B:M,11,0),0)</f>
        <v>0</v>
      </c>
      <c r="M1230">
        <f>IFERROR(VLOOKUP(A1230,库龄!B:N,12,0),0)</f>
        <v>0</v>
      </c>
      <c r="N1230">
        <f t="shared" si="40"/>
        <v>0</v>
      </c>
    </row>
    <row r="1231" spans="1:14">
      <c r="A1231" s="3" t="s">
        <v>3075</v>
      </c>
      <c r="B1231">
        <f>IFERROR(VLOOKUP(A1231,管理亚马逊库存!A:K,11,0),"")</f>
        <v>17</v>
      </c>
      <c r="C1231">
        <f>IFERROR(VLOOKUP(A1231,管理亚马逊库存!A:L,12,0),"")</f>
        <v>0</v>
      </c>
      <c r="D1231">
        <f>IFERROR(VLOOKUP(A1231,管理亚马逊库存!A:Q,17,0),"")</f>
        <v>0</v>
      </c>
      <c r="E1231">
        <f>IFERROR(VLOOKUP(A1231,管理亚马逊库存!A:R,18,0),"")</f>
        <v>0</v>
      </c>
      <c r="F1231">
        <f t="shared" si="39"/>
        <v>0</v>
      </c>
      <c r="G1231" t="str">
        <f>IFERROR(VLOOKUP(A1231,预留库存!A:G,7,0),0)</f>
        <v>No</v>
      </c>
      <c r="H1231">
        <f>IFERROR(VLOOKUP(A1231,预留库存!A:H,8,0),0)</f>
        <v>0</v>
      </c>
      <c r="I1231">
        <f>IFERROR(VLOOKUP(A1231,预留库存!A:F,6,0),0)</f>
        <v>23.98</v>
      </c>
      <c r="J1231">
        <f>IFERROR(VLOOKUP(A1231,库龄!B:K,9,0),0)</f>
        <v>0</v>
      </c>
      <c r="K1231">
        <f>IFERROR(VLOOKUP(A1231,库龄!B:L,10,0),0)</f>
        <v>0</v>
      </c>
      <c r="L1231">
        <f>IFERROR(VLOOKUP(A1231,库龄!B:M,11,0),0)</f>
        <v>0</v>
      </c>
      <c r="M1231">
        <f>IFERROR(VLOOKUP(A1231,库龄!B:N,12,0),0)</f>
        <v>0</v>
      </c>
      <c r="N1231">
        <f t="shared" si="40"/>
        <v>0</v>
      </c>
    </row>
    <row r="1232" spans="1:14">
      <c r="A1232" s="3" t="s">
        <v>3078</v>
      </c>
      <c r="B1232">
        <f>IFERROR(VLOOKUP(A1232,管理亚马逊库存!A:K,11,0),"")</f>
        <v>12</v>
      </c>
      <c r="C1232">
        <f>IFERROR(VLOOKUP(A1232,管理亚马逊库存!A:L,12,0),"")</f>
        <v>0</v>
      </c>
      <c r="D1232">
        <f>IFERROR(VLOOKUP(A1232,管理亚马逊库存!A:Q,17,0),"")</f>
        <v>0</v>
      </c>
      <c r="E1232">
        <f>IFERROR(VLOOKUP(A1232,管理亚马逊库存!A:R,18,0),"")</f>
        <v>0</v>
      </c>
      <c r="F1232">
        <f t="shared" si="39"/>
        <v>0</v>
      </c>
      <c r="G1232" t="str">
        <f>IFERROR(VLOOKUP(A1232,预留库存!A:G,7,0),0)</f>
        <v>No</v>
      </c>
      <c r="H1232">
        <f>IFERROR(VLOOKUP(A1232,预留库存!A:H,8,0),0)</f>
        <v>0</v>
      </c>
      <c r="I1232">
        <f>IFERROR(VLOOKUP(A1232,预留库存!A:F,6,0),0)</f>
        <v>23.98</v>
      </c>
      <c r="J1232">
        <f>IFERROR(VLOOKUP(A1232,库龄!B:K,9,0),0)</f>
        <v>0</v>
      </c>
      <c r="K1232">
        <f>IFERROR(VLOOKUP(A1232,库龄!B:L,10,0),0)</f>
        <v>0</v>
      </c>
      <c r="L1232">
        <f>IFERROR(VLOOKUP(A1232,库龄!B:M,11,0),0)</f>
        <v>0</v>
      </c>
      <c r="M1232">
        <f>IFERROR(VLOOKUP(A1232,库龄!B:N,12,0),0)</f>
        <v>0</v>
      </c>
      <c r="N1232">
        <f t="shared" si="40"/>
        <v>0</v>
      </c>
    </row>
    <row r="1233" spans="1:14">
      <c r="A1233" s="3" t="s">
        <v>3081</v>
      </c>
      <c r="B1233">
        <f>IFERROR(VLOOKUP(A1233,管理亚马逊库存!A:K,11,0),"")</f>
        <v>40</v>
      </c>
      <c r="C1233">
        <f>IFERROR(VLOOKUP(A1233,管理亚马逊库存!A:L,12,0),"")</f>
        <v>0</v>
      </c>
      <c r="D1233">
        <f>IFERROR(VLOOKUP(A1233,管理亚马逊库存!A:Q,17,0),"")</f>
        <v>0</v>
      </c>
      <c r="E1233">
        <f>IFERROR(VLOOKUP(A1233,管理亚马逊库存!A:R,18,0),"")</f>
        <v>0</v>
      </c>
      <c r="F1233">
        <f t="shared" si="39"/>
        <v>0</v>
      </c>
      <c r="G1233" t="str">
        <f>IFERROR(VLOOKUP(A1233,预留库存!A:G,7,0),0)</f>
        <v>No</v>
      </c>
      <c r="H1233">
        <f>IFERROR(VLOOKUP(A1233,预留库存!A:H,8,0),0)</f>
        <v>0</v>
      </c>
      <c r="I1233">
        <f>IFERROR(VLOOKUP(A1233,预留库存!A:F,6,0),0)</f>
        <v>39.98</v>
      </c>
      <c r="J1233">
        <f>IFERROR(VLOOKUP(A1233,库龄!B:K,9,0),0)</f>
        <v>0</v>
      </c>
      <c r="K1233">
        <f>IFERROR(VLOOKUP(A1233,库龄!B:L,10,0),0)</f>
        <v>0</v>
      </c>
      <c r="L1233">
        <f>IFERROR(VLOOKUP(A1233,库龄!B:M,11,0),0)</f>
        <v>0</v>
      </c>
      <c r="M1233">
        <f>IFERROR(VLOOKUP(A1233,库龄!B:N,12,0),0)</f>
        <v>0</v>
      </c>
      <c r="N1233">
        <f t="shared" si="40"/>
        <v>0</v>
      </c>
    </row>
    <row r="1234" spans="1:14">
      <c r="A1234" s="3" t="s">
        <v>3084</v>
      </c>
      <c r="B1234">
        <f>IFERROR(VLOOKUP(A1234,管理亚马逊库存!A:K,11,0),"")</f>
        <v>0</v>
      </c>
      <c r="C1234">
        <f>IFERROR(VLOOKUP(A1234,管理亚马逊库存!A:L,12,0),"")</f>
        <v>1</v>
      </c>
      <c r="D1234">
        <f>IFERROR(VLOOKUP(A1234,管理亚马逊库存!A:Q,17,0),"")</f>
        <v>31</v>
      </c>
      <c r="E1234">
        <f>IFERROR(VLOOKUP(A1234,管理亚马逊库存!A:R,18,0),"")</f>
        <v>0</v>
      </c>
      <c r="F1234">
        <f t="shared" si="39"/>
        <v>31</v>
      </c>
      <c r="G1234" t="str">
        <f>IFERROR(VLOOKUP(A1234,预留库存!A:G,7,0),0)</f>
        <v>No</v>
      </c>
      <c r="H1234">
        <f>IFERROR(VLOOKUP(A1234,预留库存!A:H,8,0),0)</f>
        <v>0</v>
      </c>
      <c r="I1234">
        <f>IFERROR(VLOOKUP(A1234,预留库存!A:F,6,0),0)</f>
        <v>23.98</v>
      </c>
      <c r="J1234">
        <f>IFERROR(VLOOKUP(A1234,库龄!B:K,9,0),0)</f>
        <v>0</v>
      </c>
      <c r="K1234">
        <f>IFERROR(VLOOKUP(A1234,库龄!B:L,10,0),0)</f>
        <v>0</v>
      </c>
      <c r="L1234">
        <f>IFERROR(VLOOKUP(A1234,库龄!B:M,11,0),0)</f>
        <v>0</v>
      </c>
      <c r="M1234">
        <f>IFERROR(VLOOKUP(A1234,库龄!B:N,12,0),0)</f>
        <v>0</v>
      </c>
      <c r="N1234">
        <f t="shared" si="40"/>
        <v>0</v>
      </c>
    </row>
    <row r="1235" spans="1:14">
      <c r="A1235" s="3" t="s">
        <v>3087</v>
      </c>
      <c r="B1235">
        <f>IFERROR(VLOOKUP(A1235,管理亚马逊库存!A:K,11,0),"")</f>
        <v>0</v>
      </c>
      <c r="C1235">
        <f>IFERROR(VLOOKUP(A1235,管理亚马逊库存!A:L,12,0),"")</f>
        <v>0</v>
      </c>
      <c r="D1235">
        <f>IFERROR(VLOOKUP(A1235,管理亚马逊库存!A:Q,17,0),"")</f>
        <v>0</v>
      </c>
      <c r="E1235">
        <f>IFERROR(VLOOKUP(A1235,管理亚马逊库存!A:R,18,0),"")</f>
        <v>0</v>
      </c>
      <c r="F1235">
        <f t="shared" si="39"/>
        <v>0</v>
      </c>
      <c r="G1235" t="str">
        <f>IFERROR(VLOOKUP(A1235,预留库存!A:G,7,0),0)</f>
        <v>No</v>
      </c>
      <c r="H1235">
        <f>IFERROR(VLOOKUP(A1235,预留库存!A:H,8,0),0)</f>
        <v>0</v>
      </c>
      <c r="I1235">
        <f>IFERROR(VLOOKUP(A1235,预留库存!A:F,6,0),0)</f>
        <v>23.98</v>
      </c>
      <c r="J1235">
        <f>IFERROR(VLOOKUP(A1235,库龄!B:K,9,0),0)</f>
        <v>0</v>
      </c>
      <c r="K1235">
        <f>IFERROR(VLOOKUP(A1235,库龄!B:L,10,0),0)</f>
        <v>0</v>
      </c>
      <c r="L1235">
        <f>IFERROR(VLOOKUP(A1235,库龄!B:M,11,0),0)</f>
        <v>0</v>
      </c>
      <c r="M1235">
        <f>IFERROR(VLOOKUP(A1235,库龄!B:N,12,0),0)</f>
        <v>0</v>
      </c>
      <c r="N1235">
        <f t="shared" si="40"/>
        <v>0</v>
      </c>
    </row>
    <row r="1236" spans="1:14">
      <c r="A1236" s="3" t="s">
        <v>3090</v>
      </c>
      <c r="B1236">
        <f>IFERROR(VLOOKUP(A1236,管理亚马逊库存!A:K,11,0),"")</f>
        <v>0</v>
      </c>
      <c r="C1236">
        <f>IFERROR(VLOOKUP(A1236,管理亚马逊库存!A:L,12,0),"")</f>
        <v>0</v>
      </c>
      <c r="D1236">
        <f>IFERROR(VLOOKUP(A1236,管理亚马逊库存!A:Q,17,0),"")</f>
        <v>0</v>
      </c>
      <c r="E1236">
        <f>IFERROR(VLOOKUP(A1236,管理亚马逊库存!A:R,18,0),"")</f>
        <v>0</v>
      </c>
      <c r="F1236">
        <f t="shared" si="39"/>
        <v>0</v>
      </c>
      <c r="G1236" t="str">
        <f>IFERROR(VLOOKUP(A1236,预留库存!A:G,7,0),0)</f>
        <v>No</v>
      </c>
      <c r="H1236">
        <f>IFERROR(VLOOKUP(A1236,预留库存!A:H,8,0),0)</f>
        <v>0</v>
      </c>
      <c r="I1236">
        <f>IFERROR(VLOOKUP(A1236,预留库存!A:F,6,0),0)</f>
        <v>39.98</v>
      </c>
      <c r="J1236">
        <f>IFERROR(VLOOKUP(A1236,库龄!B:K,9,0),0)</f>
        <v>0</v>
      </c>
      <c r="K1236">
        <f>IFERROR(VLOOKUP(A1236,库龄!B:L,10,0),0)</f>
        <v>0</v>
      </c>
      <c r="L1236">
        <f>IFERROR(VLOOKUP(A1236,库龄!B:M,11,0),0)</f>
        <v>0</v>
      </c>
      <c r="M1236">
        <f>IFERROR(VLOOKUP(A1236,库龄!B:N,12,0),0)</f>
        <v>0</v>
      </c>
      <c r="N1236">
        <f t="shared" si="40"/>
        <v>0</v>
      </c>
    </row>
    <row r="1237" spans="1:14">
      <c r="A1237" s="3" t="s">
        <v>3093</v>
      </c>
      <c r="B1237">
        <f>IFERROR(VLOOKUP(A1237,管理亚马逊库存!A:K,11,0),"")</f>
        <v>0</v>
      </c>
      <c r="C1237">
        <f>IFERROR(VLOOKUP(A1237,管理亚马逊库存!A:L,12,0),"")</f>
        <v>0</v>
      </c>
      <c r="D1237">
        <f>IFERROR(VLOOKUP(A1237,管理亚马逊库存!A:Q,17,0),"")</f>
        <v>0</v>
      </c>
      <c r="E1237">
        <f>IFERROR(VLOOKUP(A1237,管理亚马逊库存!A:R,18,0),"")</f>
        <v>0</v>
      </c>
      <c r="F1237">
        <f t="shared" si="39"/>
        <v>0</v>
      </c>
      <c r="G1237" t="str">
        <f>IFERROR(VLOOKUP(A1237,预留库存!A:G,7,0),0)</f>
        <v>No</v>
      </c>
      <c r="H1237">
        <f>IFERROR(VLOOKUP(A1237,预留库存!A:H,8,0),0)</f>
        <v>0</v>
      </c>
      <c r="I1237">
        <f>IFERROR(VLOOKUP(A1237,预留库存!A:F,6,0),0)</f>
        <v>39.98</v>
      </c>
      <c r="J1237">
        <f>IFERROR(VLOOKUP(A1237,库龄!B:K,9,0),0)</f>
        <v>0</v>
      </c>
      <c r="K1237">
        <f>IFERROR(VLOOKUP(A1237,库龄!B:L,10,0),0)</f>
        <v>0</v>
      </c>
      <c r="L1237">
        <f>IFERROR(VLOOKUP(A1237,库龄!B:M,11,0),0)</f>
        <v>0</v>
      </c>
      <c r="M1237">
        <f>IFERROR(VLOOKUP(A1237,库龄!B:N,12,0),0)</f>
        <v>0</v>
      </c>
      <c r="N1237">
        <f t="shared" si="40"/>
        <v>0</v>
      </c>
    </row>
    <row r="1238" spans="1:14">
      <c r="A1238" s="3" t="s">
        <v>3096</v>
      </c>
      <c r="B1238">
        <f>IFERROR(VLOOKUP(A1238,管理亚马逊库存!A:K,11,0),"")</f>
        <v>0</v>
      </c>
      <c r="C1238">
        <f>IFERROR(VLOOKUP(A1238,管理亚马逊库存!A:L,12,0),"")</f>
        <v>0</v>
      </c>
      <c r="D1238">
        <f>IFERROR(VLOOKUP(A1238,管理亚马逊库存!A:Q,17,0),"")</f>
        <v>0</v>
      </c>
      <c r="E1238">
        <f>IFERROR(VLOOKUP(A1238,管理亚马逊库存!A:R,18,0),"")</f>
        <v>0</v>
      </c>
      <c r="F1238">
        <f t="shared" si="39"/>
        <v>0</v>
      </c>
      <c r="G1238" t="str">
        <f>IFERROR(VLOOKUP(A1238,预留库存!A:G,7,0),0)</f>
        <v>No</v>
      </c>
      <c r="H1238">
        <f>IFERROR(VLOOKUP(A1238,预留库存!A:H,8,0),0)</f>
        <v>0</v>
      </c>
      <c r="I1238">
        <f>IFERROR(VLOOKUP(A1238,预留库存!A:F,6,0),0)</f>
        <v>39.98</v>
      </c>
      <c r="J1238">
        <f>IFERROR(VLOOKUP(A1238,库龄!B:K,9,0),0)</f>
        <v>0</v>
      </c>
      <c r="K1238">
        <f>IFERROR(VLOOKUP(A1238,库龄!B:L,10,0),0)</f>
        <v>0</v>
      </c>
      <c r="L1238">
        <f>IFERROR(VLOOKUP(A1238,库龄!B:M,11,0),0)</f>
        <v>0</v>
      </c>
      <c r="M1238">
        <f>IFERROR(VLOOKUP(A1238,库龄!B:N,12,0),0)</f>
        <v>0</v>
      </c>
      <c r="N1238">
        <f t="shared" si="40"/>
        <v>0</v>
      </c>
    </row>
    <row r="1239" spans="1:14">
      <c r="A1239" s="3" t="s">
        <v>3099</v>
      </c>
      <c r="B1239">
        <f>IFERROR(VLOOKUP(A1239,管理亚马逊库存!A:K,11,0),"")</f>
        <v>3</v>
      </c>
      <c r="C1239">
        <f>IFERROR(VLOOKUP(A1239,管理亚马逊库存!A:L,12,0),"")</f>
        <v>0</v>
      </c>
      <c r="D1239">
        <f>IFERROR(VLOOKUP(A1239,管理亚马逊库存!A:Q,17,0),"")</f>
        <v>0</v>
      </c>
      <c r="E1239">
        <f>IFERROR(VLOOKUP(A1239,管理亚马逊库存!A:R,18,0),"")</f>
        <v>0</v>
      </c>
      <c r="F1239">
        <f t="shared" si="39"/>
        <v>0</v>
      </c>
      <c r="G1239" t="str">
        <f>IFERROR(VLOOKUP(A1239,预留库存!A:G,7,0),0)</f>
        <v>No</v>
      </c>
      <c r="H1239">
        <f>IFERROR(VLOOKUP(A1239,预留库存!A:H,8,0),0)</f>
        <v>0</v>
      </c>
      <c r="I1239">
        <f>IFERROR(VLOOKUP(A1239,预留库存!A:F,6,0),0)</f>
        <v>39.98</v>
      </c>
      <c r="J1239">
        <f>IFERROR(VLOOKUP(A1239,库龄!B:K,9,0),0)</f>
        <v>0</v>
      </c>
      <c r="K1239">
        <f>IFERROR(VLOOKUP(A1239,库龄!B:L,10,0),0)</f>
        <v>0</v>
      </c>
      <c r="L1239">
        <f>IFERROR(VLOOKUP(A1239,库龄!B:M,11,0),0)</f>
        <v>2</v>
      </c>
      <c r="M1239">
        <f>IFERROR(VLOOKUP(A1239,库龄!B:N,12,0),0)</f>
        <v>0</v>
      </c>
      <c r="N1239">
        <f t="shared" si="40"/>
        <v>2</v>
      </c>
    </row>
    <row r="1240" spans="1:14">
      <c r="A1240" s="3" t="s">
        <v>3102</v>
      </c>
      <c r="B1240">
        <f>IFERROR(VLOOKUP(A1240,管理亚马逊库存!A:K,11,0),"")</f>
        <v>0</v>
      </c>
      <c r="C1240">
        <f>IFERROR(VLOOKUP(A1240,管理亚马逊库存!A:L,12,0),"")</f>
        <v>0</v>
      </c>
      <c r="D1240">
        <f>IFERROR(VLOOKUP(A1240,管理亚马逊库存!A:Q,17,0),"")</f>
        <v>0</v>
      </c>
      <c r="E1240">
        <f>IFERROR(VLOOKUP(A1240,管理亚马逊库存!A:R,18,0),"")</f>
        <v>0</v>
      </c>
      <c r="F1240">
        <f t="shared" si="39"/>
        <v>0</v>
      </c>
      <c r="G1240" t="str">
        <f>IFERROR(VLOOKUP(A1240,预留库存!A:G,7,0),0)</f>
        <v>No</v>
      </c>
      <c r="H1240">
        <f>IFERROR(VLOOKUP(A1240,预留库存!A:H,8,0),0)</f>
        <v>0</v>
      </c>
      <c r="I1240">
        <f>IFERROR(VLOOKUP(A1240,预留库存!A:F,6,0),0)</f>
        <v>39.98</v>
      </c>
      <c r="J1240">
        <f>IFERROR(VLOOKUP(A1240,库龄!B:K,9,0),0)</f>
        <v>0</v>
      </c>
      <c r="K1240">
        <f>IFERROR(VLOOKUP(A1240,库龄!B:L,10,0),0)</f>
        <v>0</v>
      </c>
      <c r="L1240">
        <f>IFERROR(VLOOKUP(A1240,库龄!B:M,11,0),0)</f>
        <v>0</v>
      </c>
      <c r="M1240">
        <f>IFERROR(VLOOKUP(A1240,库龄!B:N,12,0),0)</f>
        <v>0</v>
      </c>
      <c r="N1240">
        <f t="shared" si="40"/>
        <v>0</v>
      </c>
    </row>
    <row r="1241" spans="1:14">
      <c r="A1241" s="3" t="s">
        <v>3105</v>
      </c>
      <c r="B1241">
        <f>IFERROR(VLOOKUP(A1241,管理亚马逊库存!A:K,11,0),"")</f>
        <v>0</v>
      </c>
      <c r="C1241">
        <f>IFERROR(VLOOKUP(A1241,管理亚马逊库存!A:L,12,0),"")</f>
        <v>0</v>
      </c>
      <c r="D1241">
        <f>IFERROR(VLOOKUP(A1241,管理亚马逊库存!A:Q,17,0),"")</f>
        <v>0</v>
      </c>
      <c r="E1241">
        <f>IFERROR(VLOOKUP(A1241,管理亚马逊库存!A:R,18,0),"")</f>
        <v>0</v>
      </c>
      <c r="F1241">
        <f t="shared" si="39"/>
        <v>0</v>
      </c>
      <c r="G1241" t="str">
        <f>IFERROR(VLOOKUP(A1241,预留库存!A:G,7,0),0)</f>
        <v>No</v>
      </c>
      <c r="H1241">
        <f>IFERROR(VLOOKUP(A1241,预留库存!A:H,8,0),0)</f>
        <v>0</v>
      </c>
      <c r="I1241">
        <f>IFERROR(VLOOKUP(A1241,预留库存!A:F,6,0),0)</f>
        <v>39.98</v>
      </c>
      <c r="J1241">
        <f>IFERROR(VLOOKUP(A1241,库龄!B:K,9,0),0)</f>
        <v>0</v>
      </c>
      <c r="K1241">
        <f>IFERROR(VLOOKUP(A1241,库龄!B:L,10,0),0)</f>
        <v>0</v>
      </c>
      <c r="L1241">
        <f>IFERROR(VLOOKUP(A1241,库龄!B:M,11,0),0)</f>
        <v>0</v>
      </c>
      <c r="M1241">
        <f>IFERROR(VLOOKUP(A1241,库龄!B:N,12,0),0)</f>
        <v>0</v>
      </c>
      <c r="N1241">
        <f t="shared" si="40"/>
        <v>0</v>
      </c>
    </row>
    <row r="1242" spans="1:14">
      <c r="A1242" s="3" t="s">
        <v>3108</v>
      </c>
      <c r="B1242">
        <f>IFERROR(VLOOKUP(A1242,管理亚马逊库存!A:K,11,0),"")</f>
        <v>0</v>
      </c>
      <c r="C1242">
        <f>IFERROR(VLOOKUP(A1242,管理亚马逊库存!A:L,12,0),"")</f>
        <v>0</v>
      </c>
      <c r="D1242">
        <f>IFERROR(VLOOKUP(A1242,管理亚马逊库存!A:Q,17,0),"")</f>
        <v>0</v>
      </c>
      <c r="E1242">
        <f>IFERROR(VLOOKUP(A1242,管理亚马逊库存!A:R,18,0),"")</f>
        <v>0</v>
      </c>
      <c r="F1242">
        <f t="shared" si="39"/>
        <v>0</v>
      </c>
      <c r="G1242" t="str">
        <f>IFERROR(VLOOKUP(A1242,预留库存!A:G,7,0),0)</f>
        <v>No</v>
      </c>
      <c r="H1242">
        <f>IFERROR(VLOOKUP(A1242,预留库存!A:H,8,0),0)</f>
        <v>0</v>
      </c>
      <c r="I1242">
        <f>IFERROR(VLOOKUP(A1242,预留库存!A:F,6,0),0)</f>
        <v>39.98</v>
      </c>
      <c r="J1242">
        <f>IFERROR(VLOOKUP(A1242,库龄!B:K,9,0),0)</f>
        <v>0</v>
      </c>
      <c r="K1242">
        <f>IFERROR(VLOOKUP(A1242,库龄!B:L,10,0),0)</f>
        <v>0</v>
      </c>
      <c r="L1242">
        <f>IFERROR(VLOOKUP(A1242,库龄!B:M,11,0),0)</f>
        <v>0</v>
      </c>
      <c r="M1242">
        <f>IFERROR(VLOOKUP(A1242,库龄!B:N,12,0),0)</f>
        <v>0</v>
      </c>
      <c r="N1242">
        <f t="shared" si="40"/>
        <v>0</v>
      </c>
    </row>
    <row r="1243" spans="1:14">
      <c r="A1243" s="3" t="s">
        <v>3111</v>
      </c>
      <c r="B1243">
        <f>IFERROR(VLOOKUP(A1243,管理亚马逊库存!A:K,11,0),"")</f>
        <v>0</v>
      </c>
      <c r="C1243">
        <f>IFERROR(VLOOKUP(A1243,管理亚马逊库存!A:L,12,0),"")</f>
        <v>0</v>
      </c>
      <c r="D1243">
        <f>IFERROR(VLOOKUP(A1243,管理亚马逊库存!A:Q,17,0),"")</f>
        <v>0</v>
      </c>
      <c r="E1243">
        <f>IFERROR(VLOOKUP(A1243,管理亚马逊库存!A:R,18,0),"")</f>
        <v>0</v>
      </c>
      <c r="F1243">
        <f t="shared" si="39"/>
        <v>0</v>
      </c>
      <c r="G1243" t="str">
        <f>IFERROR(VLOOKUP(A1243,预留库存!A:G,7,0),0)</f>
        <v>No</v>
      </c>
      <c r="H1243">
        <f>IFERROR(VLOOKUP(A1243,预留库存!A:H,8,0),0)</f>
        <v>0</v>
      </c>
      <c r="I1243">
        <f>IFERROR(VLOOKUP(A1243,预留库存!A:F,6,0),0)</f>
        <v>39.98</v>
      </c>
      <c r="J1243">
        <f>IFERROR(VLOOKUP(A1243,库龄!B:K,9,0),0)</f>
        <v>0</v>
      </c>
      <c r="K1243">
        <f>IFERROR(VLOOKUP(A1243,库龄!B:L,10,0),0)</f>
        <v>0</v>
      </c>
      <c r="L1243">
        <f>IFERROR(VLOOKUP(A1243,库龄!B:M,11,0),0)</f>
        <v>0</v>
      </c>
      <c r="M1243">
        <f>IFERROR(VLOOKUP(A1243,库龄!B:N,12,0),0)</f>
        <v>0</v>
      </c>
      <c r="N1243">
        <f t="shared" si="40"/>
        <v>0</v>
      </c>
    </row>
    <row r="1244" spans="1:14">
      <c r="A1244" s="3" t="s">
        <v>3114</v>
      </c>
      <c r="B1244">
        <f>IFERROR(VLOOKUP(A1244,管理亚马逊库存!A:K,11,0),"")</f>
        <v>2</v>
      </c>
      <c r="C1244">
        <f>IFERROR(VLOOKUP(A1244,管理亚马逊库存!A:L,12,0),"")</f>
        <v>0</v>
      </c>
      <c r="D1244">
        <f>IFERROR(VLOOKUP(A1244,管理亚马逊库存!A:Q,17,0),"")</f>
        <v>0</v>
      </c>
      <c r="E1244">
        <f>IFERROR(VLOOKUP(A1244,管理亚马逊库存!A:R,18,0),"")</f>
        <v>0</v>
      </c>
      <c r="F1244">
        <f t="shared" si="39"/>
        <v>0</v>
      </c>
      <c r="G1244" t="str">
        <f>IFERROR(VLOOKUP(A1244,预留库存!A:G,7,0),0)</f>
        <v>No</v>
      </c>
      <c r="H1244">
        <f>IFERROR(VLOOKUP(A1244,预留库存!A:H,8,0),0)</f>
        <v>0</v>
      </c>
      <c r="I1244">
        <f>IFERROR(VLOOKUP(A1244,预留库存!A:F,6,0),0)</f>
        <v>39.98</v>
      </c>
      <c r="J1244">
        <f>IFERROR(VLOOKUP(A1244,库龄!B:K,9,0),0)</f>
        <v>0</v>
      </c>
      <c r="K1244">
        <f>IFERROR(VLOOKUP(A1244,库龄!B:L,10,0),0)</f>
        <v>1</v>
      </c>
      <c r="L1244">
        <f>IFERROR(VLOOKUP(A1244,库龄!B:M,11,0),0)</f>
        <v>0</v>
      </c>
      <c r="M1244">
        <f>IFERROR(VLOOKUP(A1244,库龄!B:N,12,0),0)</f>
        <v>0</v>
      </c>
      <c r="N1244">
        <f t="shared" si="40"/>
        <v>1</v>
      </c>
    </row>
    <row r="1245" spans="1:14">
      <c r="A1245" s="3" t="s">
        <v>3117</v>
      </c>
      <c r="B1245">
        <f>IFERROR(VLOOKUP(A1245,管理亚马逊库存!A:K,11,0),"")</f>
        <v>0</v>
      </c>
      <c r="C1245">
        <f>IFERROR(VLOOKUP(A1245,管理亚马逊库存!A:L,12,0),"")</f>
        <v>0</v>
      </c>
      <c r="D1245">
        <f>IFERROR(VLOOKUP(A1245,管理亚马逊库存!A:Q,17,0),"")</f>
        <v>0</v>
      </c>
      <c r="E1245">
        <f>IFERROR(VLOOKUP(A1245,管理亚马逊库存!A:R,18,0),"")</f>
        <v>0</v>
      </c>
      <c r="F1245">
        <f t="shared" si="39"/>
        <v>0</v>
      </c>
      <c r="G1245" t="str">
        <f>IFERROR(VLOOKUP(A1245,预留库存!A:G,7,0),0)</f>
        <v>No</v>
      </c>
      <c r="H1245">
        <f>IFERROR(VLOOKUP(A1245,预留库存!A:H,8,0),0)</f>
        <v>0</v>
      </c>
      <c r="I1245">
        <f>IFERROR(VLOOKUP(A1245,预留库存!A:F,6,0),0)</f>
        <v>39.98</v>
      </c>
      <c r="J1245">
        <f>IFERROR(VLOOKUP(A1245,库龄!B:K,9,0),0)</f>
        <v>0</v>
      </c>
      <c r="K1245">
        <f>IFERROR(VLOOKUP(A1245,库龄!B:L,10,0),0)</f>
        <v>0</v>
      </c>
      <c r="L1245">
        <f>IFERROR(VLOOKUP(A1245,库龄!B:M,11,0),0)</f>
        <v>0</v>
      </c>
      <c r="M1245">
        <f>IFERROR(VLOOKUP(A1245,库龄!B:N,12,0),0)</f>
        <v>0</v>
      </c>
      <c r="N1245">
        <f t="shared" si="40"/>
        <v>0</v>
      </c>
    </row>
    <row r="1246" spans="1:14">
      <c r="A1246" s="3" t="s">
        <v>3120</v>
      </c>
      <c r="B1246">
        <f>IFERROR(VLOOKUP(A1246,管理亚马逊库存!A:K,11,0),"")</f>
        <v>1</v>
      </c>
      <c r="C1246">
        <f>IFERROR(VLOOKUP(A1246,管理亚马逊库存!A:L,12,0),"")</f>
        <v>0</v>
      </c>
      <c r="D1246">
        <f>IFERROR(VLOOKUP(A1246,管理亚马逊库存!A:Q,17,0),"")</f>
        <v>0</v>
      </c>
      <c r="E1246">
        <f>IFERROR(VLOOKUP(A1246,管理亚马逊库存!A:R,18,0),"")</f>
        <v>0</v>
      </c>
      <c r="F1246">
        <f t="shared" si="39"/>
        <v>0</v>
      </c>
      <c r="G1246" t="str">
        <f>IFERROR(VLOOKUP(A1246,预留库存!A:G,7,0),0)</f>
        <v>No</v>
      </c>
      <c r="H1246">
        <f>IFERROR(VLOOKUP(A1246,预留库存!A:H,8,0),0)</f>
        <v>0</v>
      </c>
      <c r="I1246">
        <f>IFERROR(VLOOKUP(A1246,预留库存!A:F,6,0),0)</f>
        <v>39.98</v>
      </c>
      <c r="J1246">
        <f>IFERROR(VLOOKUP(A1246,库龄!B:K,9,0),0)</f>
        <v>0</v>
      </c>
      <c r="K1246">
        <f>IFERROR(VLOOKUP(A1246,库龄!B:L,10,0),0)</f>
        <v>0</v>
      </c>
      <c r="L1246">
        <f>IFERROR(VLOOKUP(A1246,库龄!B:M,11,0),0)</f>
        <v>0</v>
      </c>
      <c r="M1246">
        <f>IFERROR(VLOOKUP(A1246,库龄!B:N,12,0),0)</f>
        <v>0</v>
      </c>
      <c r="N1246">
        <f t="shared" si="40"/>
        <v>0</v>
      </c>
    </row>
    <row r="1247" spans="1:14">
      <c r="A1247" s="3" t="s">
        <v>3123</v>
      </c>
      <c r="B1247">
        <f>IFERROR(VLOOKUP(A1247,管理亚马逊库存!A:K,11,0),"")</f>
        <v>1</v>
      </c>
      <c r="C1247">
        <f>IFERROR(VLOOKUP(A1247,管理亚马逊库存!A:L,12,0),"")</f>
        <v>0</v>
      </c>
      <c r="D1247">
        <f>IFERROR(VLOOKUP(A1247,管理亚马逊库存!A:Q,17,0),"")</f>
        <v>0</v>
      </c>
      <c r="E1247">
        <f>IFERROR(VLOOKUP(A1247,管理亚马逊库存!A:R,18,0),"")</f>
        <v>0</v>
      </c>
      <c r="F1247">
        <f t="shared" si="39"/>
        <v>0</v>
      </c>
      <c r="G1247" t="str">
        <f>IFERROR(VLOOKUP(A1247,预留库存!A:G,7,0),0)</f>
        <v>No</v>
      </c>
      <c r="H1247">
        <f>IFERROR(VLOOKUP(A1247,预留库存!A:H,8,0),0)</f>
        <v>0</v>
      </c>
      <c r="I1247">
        <f>IFERROR(VLOOKUP(A1247,预留库存!A:F,6,0),0)</f>
        <v>39.98</v>
      </c>
      <c r="J1247">
        <f>IFERROR(VLOOKUP(A1247,库龄!B:K,9,0),0)</f>
        <v>0</v>
      </c>
      <c r="K1247">
        <f>IFERROR(VLOOKUP(A1247,库龄!B:L,10,0),0)</f>
        <v>0</v>
      </c>
      <c r="L1247">
        <f>IFERROR(VLOOKUP(A1247,库龄!B:M,11,0),0)</f>
        <v>0</v>
      </c>
      <c r="M1247">
        <f>IFERROR(VLOOKUP(A1247,库龄!B:N,12,0),0)</f>
        <v>0</v>
      </c>
      <c r="N1247">
        <f t="shared" si="40"/>
        <v>0</v>
      </c>
    </row>
    <row r="1248" spans="1:14">
      <c r="A1248" s="3" t="s">
        <v>3126</v>
      </c>
      <c r="B1248">
        <f>IFERROR(VLOOKUP(A1248,管理亚马逊库存!A:K,11,0),"")</f>
        <v>0</v>
      </c>
      <c r="C1248">
        <f>IFERROR(VLOOKUP(A1248,管理亚马逊库存!A:L,12,0),"")</f>
        <v>0</v>
      </c>
      <c r="D1248">
        <f>IFERROR(VLOOKUP(A1248,管理亚马逊库存!A:Q,17,0),"")</f>
        <v>0</v>
      </c>
      <c r="E1248">
        <f>IFERROR(VLOOKUP(A1248,管理亚马逊库存!A:R,18,0),"")</f>
        <v>0</v>
      </c>
      <c r="F1248">
        <f t="shared" si="39"/>
        <v>0</v>
      </c>
      <c r="G1248" t="str">
        <f>IFERROR(VLOOKUP(A1248,预留库存!A:G,7,0),0)</f>
        <v>No</v>
      </c>
      <c r="H1248">
        <f>IFERROR(VLOOKUP(A1248,预留库存!A:H,8,0),0)</f>
        <v>0</v>
      </c>
      <c r="I1248">
        <f>IFERROR(VLOOKUP(A1248,预留库存!A:F,6,0),0)</f>
        <v>39.98</v>
      </c>
      <c r="J1248">
        <f>IFERROR(VLOOKUP(A1248,库龄!B:K,9,0),0)</f>
        <v>0</v>
      </c>
      <c r="K1248">
        <f>IFERROR(VLOOKUP(A1248,库龄!B:L,10,0),0)</f>
        <v>0</v>
      </c>
      <c r="L1248">
        <f>IFERROR(VLOOKUP(A1248,库龄!B:M,11,0),0)</f>
        <v>0</v>
      </c>
      <c r="M1248">
        <f>IFERROR(VLOOKUP(A1248,库龄!B:N,12,0),0)</f>
        <v>0</v>
      </c>
      <c r="N1248">
        <f t="shared" si="40"/>
        <v>0</v>
      </c>
    </row>
    <row r="1249" spans="1:14">
      <c r="A1249" s="3" t="s">
        <v>3129</v>
      </c>
      <c r="B1249">
        <f>IFERROR(VLOOKUP(A1249,管理亚马逊库存!A:K,11,0),"")</f>
        <v>4</v>
      </c>
      <c r="C1249">
        <f>IFERROR(VLOOKUP(A1249,管理亚马逊库存!A:L,12,0),"")</f>
        <v>0</v>
      </c>
      <c r="D1249">
        <f>IFERROR(VLOOKUP(A1249,管理亚马逊库存!A:Q,17,0),"")</f>
        <v>0</v>
      </c>
      <c r="E1249">
        <f>IFERROR(VLOOKUP(A1249,管理亚马逊库存!A:R,18,0),"")</f>
        <v>0</v>
      </c>
      <c r="F1249">
        <f t="shared" si="39"/>
        <v>0</v>
      </c>
      <c r="G1249" t="str">
        <f>IFERROR(VLOOKUP(A1249,预留库存!A:G,7,0),0)</f>
        <v>No</v>
      </c>
      <c r="H1249">
        <f>IFERROR(VLOOKUP(A1249,预留库存!A:H,8,0),0)</f>
        <v>0</v>
      </c>
      <c r="I1249">
        <f>IFERROR(VLOOKUP(A1249,预留库存!A:F,6,0),0)</f>
        <v>39.98</v>
      </c>
      <c r="J1249">
        <f>IFERROR(VLOOKUP(A1249,库龄!B:K,9,0),0)</f>
        <v>0</v>
      </c>
      <c r="K1249">
        <f>IFERROR(VLOOKUP(A1249,库龄!B:L,10,0),0)</f>
        <v>0</v>
      </c>
      <c r="L1249">
        <f>IFERROR(VLOOKUP(A1249,库龄!B:M,11,0),0)</f>
        <v>4</v>
      </c>
      <c r="M1249">
        <f>IFERROR(VLOOKUP(A1249,库龄!B:N,12,0),0)</f>
        <v>0</v>
      </c>
      <c r="N1249">
        <f t="shared" si="40"/>
        <v>4</v>
      </c>
    </row>
    <row r="1250" spans="1:14">
      <c r="A1250" s="3" t="s">
        <v>3132</v>
      </c>
      <c r="B1250">
        <f>IFERROR(VLOOKUP(A1250,管理亚马逊库存!A:K,11,0),"")</f>
        <v>5</v>
      </c>
      <c r="C1250">
        <f>IFERROR(VLOOKUP(A1250,管理亚马逊库存!A:L,12,0),"")</f>
        <v>0</v>
      </c>
      <c r="D1250">
        <f>IFERROR(VLOOKUP(A1250,管理亚马逊库存!A:Q,17,0),"")</f>
        <v>0</v>
      </c>
      <c r="E1250">
        <f>IFERROR(VLOOKUP(A1250,管理亚马逊库存!A:R,18,0),"")</f>
        <v>0</v>
      </c>
      <c r="F1250">
        <f t="shared" si="39"/>
        <v>0</v>
      </c>
      <c r="G1250" t="str">
        <f>IFERROR(VLOOKUP(A1250,预留库存!A:G,7,0),0)</f>
        <v>No</v>
      </c>
      <c r="H1250">
        <f>IFERROR(VLOOKUP(A1250,预留库存!A:H,8,0),0)</f>
        <v>0</v>
      </c>
      <c r="I1250">
        <f>IFERROR(VLOOKUP(A1250,预留库存!A:F,6,0),0)</f>
        <v>39.98</v>
      </c>
      <c r="J1250">
        <f>IFERROR(VLOOKUP(A1250,库龄!B:K,9,0),0)</f>
        <v>0</v>
      </c>
      <c r="K1250">
        <f>IFERROR(VLOOKUP(A1250,库龄!B:L,10,0),0)</f>
        <v>0</v>
      </c>
      <c r="L1250">
        <f>IFERROR(VLOOKUP(A1250,库龄!B:M,11,0),0)</f>
        <v>5</v>
      </c>
      <c r="M1250">
        <f>IFERROR(VLOOKUP(A1250,库龄!B:N,12,0),0)</f>
        <v>0</v>
      </c>
      <c r="N1250">
        <f t="shared" si="40"/>
        <v>5</v>
      </c>
    </row>
    <row r="1251" spans="1:14">
      <c r="A1251" s="3" t="s">
        <v>3135</v>
      </c>
      <c r="B1251">
        <f>IFERROR(VLOOKUP(A1251,管理亚马逊库存!A:K,11,0),"")</f>
        <v>0</v>
      </c>
      <c r="C1251">
        <f>IFERROR(VLOOKUP(A1251,管理亚马逊库存!A:L,12,0),"")</f>
        <v>0</v>
      </c>
      <c r="D1251">
        <f>IFERROR(VLOOKUP(A1251,管理亚马逊库存!A:Q,17,0),"")</f>
        <v>0</v>
      </c>
      <c r="E1251">
        <f>IFERROR(VLOOKUP(A1251,管理亚马逊库存!A:R,18,0),"")</f>
        <v>0</v>
      </c>
      <c r="F1251">
        <f t="shared" si="39"/>
        <v>0</v>
      </c>
      <c r="G1251" t="str">
        <f>IFERROR(VLOOKUP(A1251,预留库存!A:G,7,0),0)</f>
        <v>No</v>
      </c>
      <c r="H1251">
        <f>IFERROR(VLOOKUP(A1251,预留库存!A:H,8,0),0)</f>
        <v>0</v>
      </c>
      <c r="I1251">
        <f>IFERROR(VLOOKUP(A1251,预留库存!A:F,6,0),0)</f>
        <v>39.98</v>
      </c>
      <c r="J1251">
        <f>IFERROR(VLOOKUP(A1251,库龄!B:K,9,0),0)</f>
        <v>0</v>
      </c>
      <c r="K1251">
        <f>IFERROR(VLOOKUP(A1251,库龄!B:L,10,0),0)</f>
        <v>0</v>
      </c>
      <c r="L1251">
        <f>IFERROR(VLOOKUP(A1251,库龄!B:M,11,0),0)</f>
        <v>0</v>
      </c>
      <c r="M1251">
        <f>IFERROR(VLOOKUP(A1251,库龄!B:N,12,0),0)</f>
        <v>0</v>
      </c>
      <c r="N1251">
        <f t="shared" si="40"/>
        <v>0</v>
      </c>
    </row>
    <row r="1252" spans="1:14">
      <c r="A1252" s="3" t="s">
        <v>3138</v>
      </c>
      <c r="B1252">
        <f>IFERROR(VLOOKUP(A1252,管理亚马逊库存!A:K,11,0),"")</f>
        <v>0</v>
      </c>
      <c r="C1252">
        <f>IFERROR(VLOOKUP(A1252,管理亚马逊库存!A:L,12,0),"")</f>
        <v>0</v>
      </c>
      <c r="D1252">
        <f>IFERROR(VLOOKUP(A1252,管理亚马逊库存!A:Q,17,0),"")</f>
        <v>0</v>
      </c>
      <c r="E1252">
        <f>IFERROR(VLOOKUP(A1252,管理亚马逊库存!A:R,18,0),"")</f>
        <v>0</v>
      </c>
      <c r="F1252">
        <f t="shared" si="39"/>
        <v>0</v>
      </c>
      <c r="G1252" t="str">
        <f>IFERROR(VLOOKUP(A1252,预留库存!A:G,7,0),0)</f>
        <v>No</v>
      </c>
      <c r="H1252">
        <f>IFERROR(VLOOKUP(A1252,预留库存!A:H,8,0),0)</f>
        <v>0</v>
      </c>
      <c r="I1252">
        <f>IFERROR(VLOOKUP(A1252,预留库存!A:F,6,0),0)</f>
        <v>39.98</v>
      </c>
      <c r="J1252">
        <f>IFERROR(VLOOKUP(A1252,库龄!B:K,9,0),0)</f>
        <v>0</v>
      </c>
      <c r="K1252">
        <f>IFERROR(VLOOKUP(A1252,库龄!B:L,10,0),0)</f>
        <v>0</v>
      </c>
      <c r="L1252">
        <f>IFERROR(VLOOKUP(A1252,库龄!B:M,11,0),0)</f>
        <v>0</v>
      </c>
      <c r="M1252">
        <f>IFERROR(VLOOKUP(A1252,库龄!B:N,12,0),0)</f>
        <v>0</v>
      </c>
      <c r="N1252">
        <f t="shared" si="40"/>
        <v>0</v>
      </c>
    </row>
    <row r="1253" spans="1:14">
      <c r="A1253" s="3" t="s">
        <v>3141</v>
      </c>
      <c r="B1253">
        <f>IFERROR(VLOOKUP(A1253,管理亚马逊库存!A:K,11,0),"")</f>
        <v>0</v>
      </c>
      <c r="C1253">
        <f>IFERROR(VLOOKUP(A1253,管理亚马逊库存!A:L,12,0),"")</f>
        <v>0</v>
      </c>
      <c r="D1253">
        <f>IFERROR(VLOOKUP(A1253,管理亚马逊库存!A:Q,17,0),"")</f>
        <v>0</v>
      </c>
      <c r="E1253">
        <f>IFERROR(VLOOKUP(A1253,管理亚马逊库存!A:R,18,0),"")</f>
        <v>0</v>
      </c>
      <c r="F1253">
        <f t="shared" si="39"/>
        <v>0</v>
      </c>
      <c r="G1253" t="str">
        <f>IFERROR(VLOOKUP(A1253,预留库存!A:G,7,0),0)</f>
        <v>No</v>
      </c>
      <c r="H1253">
        <f>IFERROR(VLOOKUP(A1253,预留库存!A:H,8,0),0)</f>
        <v>0</v>
      </c>
      <c r="I1253">
        <f>IFERROR(VLOOKUP(A1253,预留库存!A:F,6,0),0)</f>
        <v>39.98</v>
      </c>
      <c r="J1253">
        <f>IFERROR(VLOOKUP(A1253,库龄!B:K,9,0),0)</f>
        <v>0</v>
      </c>
      <c r="K1253">
        <f>IFERROR(VLOOKUP(A1253,库龄!B:L,10,0),0)</f>
        <v>0</v>
      </c>
      <c r="L1253">
        <f>IFERROR(VLOOKUP(A1253,库龄!B:M,11,0),0)</f>
        <v>0</v>
      </c>
      <c r="M1253">
        <f>IFERROR(VLOOKUP(A1253,库龄!B:N,12,0),0)</f>
        <v>0</v>
      </c>
      <c r="N1253">
        <f t="shared" si="40"/>
        <v>0</v>
      </c>
    </row>
    <row r="1254" spans="1:14">
      <c r="A1254" s="3" t="s">
        <v>3144</v>
      </c>
      <c r="B1254">
        <f>IFERROR(VLOOKUP(A1254,管理亚马逊库存!A:K,11,0),"")</f>
        <v>0</v>
      </c>
      <c r="C1254">
        <f>IFERROR(VLOOKUP(A1254,管理亚马逊库存!A:L,12,0),"")</f>
        <v>0</v>
      </c>
      <c r="D1254">
        <f>IFERROR(VLOOKUP(A1254,管理亚马逊库存!A:Q,17,0),"")</f>
        <v>0</v>
      </c>
      <c r="E1254">
        <f>IFERROR(VLOOKUP(A1254,管理亚马逊库存!A:R,18,0),"")</f>
        <v>0</v>
      </c>
      <c r="F1254">
        <f t="shared" si="39"/>
        <v>0</v>
      </c>
      <c r="G1254" t="str">
        <f>IFERROR(VLOOKUP(A1254,预留库存!A:G,7,0),0)</f>
        <v>No</v>
      </c>
      <c r="H1254">
        <f>IFERROR(VLOOKUP(A1254,预留库存!A:H,8,0),0)</f>
        <v>0</v>
      </c>
      <c r="I1254">
        <f>IFERROR(VLOOKUP(A1254,预留库存!A:F,6,0),0)</f>
        <v>39.98</v>
      </c>
      <c r="J1254">
        <f>IFERROR(VLOOKUP(A1254,库龄!B:K,9,0),0)</f>
        <v>0</v>
      </c>
      <c r="K1254">
        <f>IFERROR(VLOOKUP(A1254,库龄!B:L,10,0),0)</f>
        <v>0</v>
      </c>
      <c r="L1254">
        <f>IFERROR(VLOOKUP(A1254,库龄!B:M,11,0),0)</f>
        <v>0</v>
      </c>
      <c r="M1254">
        <f>IFERROR(VLOOKUP(A1254,库龄!B:N,12,0),0)</f>
        <v>0</v>
      </c>
      <c r="N1254">
        <f t="shared" si="40"/>
        <v>0</v>
      </c>
    </row>
    <row r="1255" spans="1:14">
      <c r="A1255" s="3" t="s">
        <v>3147</v>
      </c>
      <c r="B1255">
        <f>IFERROR(VLOOKUP(A1255,管理亚马逊库存!A:K,11,0),"")</f>
        <v>0</v>
      </c>
      <c r="C1255">
        <f>IFERROR(VLOOKUP(A1255,管理亚马逊库存!A:L,12,0),"")</f>
        <v>0</v>
      </c>
      <c r="D1255">
        <f>IFERROR(VLOOKUP(A1255,管理亚马逊库存!A:Q,17,0),"")</f>
        <v>0</v>
      </c>
      <c r="E1255">
        <f>IFERROR(VLOOKUP(A1255,管理亚马逊库存!A:R,18,0),"")</f>
        <v>0</v>
      </c>
      <c r="F1255">
        <f t="shared" si="39"/>
        <v>0</v>
      </c>
      <c r="G1255" t="str">
        <f>IFERROR(VLOOKUP(A1255,预留库存!A:G,7,0),0)</f>
        <v>No</v>
      </c>
      <c r="H1255">
        <f>IFERROR(VLOOKUP(A1255,预留库存!A:H,8,0),0)</f>
        <v>0</v>
      </c>
      <c r="I1255">
        <f>IFERROR(VLOOKUP(A1255,预留库存!A:F,6,0),0)</f>
        <v>39.98</v>
      </c>
      <c r="J1255">
        <f>IFERROR(VLOOKUP(A1255,库龄!B:K,9,0),0)</f>
        <v>0</v>
      </c>
      <c r="K1255">
        <f>IFERROR(VLOOKUP(A1255,库龄!B:L,10,0),0)</f>
        <v>0</v>
      </c>
      <c r="L1255">
        <f>IFERROR(VLOOKUP(A1255,库龄!B:M,11,0),0)</f>
        <v>0</v>
      </c>
      <c r="M1255">
        <f>IFERROR(VLOOKUP(A1255,库龄!B:N,12,0),0)</f>
        <v>0</v>
      </c>
      <c r="N1255">
        <f t="shared" si="40"/>
        <v>0</v>
      </c>
    </row>
    <row r="1256" spans="1:14">
      <c r="A1256" s="3" t="s">
        <v>3150</v>
      </c>
      <c r="B1256">
        <f>IFERROR(VLOOKUP(A1256,管理亚马逊库存!A:K,11,0),"")</f>
        <v>4</v>
      </c>
      <c r="C1256">
        <f>IFERROR(VLOOKUP(A1256,管理亚马逊库存!A:L,12,0),"")</f>
        <v>0</v>
      </c>
      <c r="D1256">
        <f>IFERROR(VLOOKUP(A1256,管理亚马逊库存!A:Q,17,0),"")</f>
        <v>0</v>
      </c>
      <c r="E1256">
        <f>IFERROR(VLOOKUP(A1256,管理亚马逊库存!A:R,18,0),"")</f>
        <v>0</v>
      </c>
      <c r="F1256">
        <f t="shared" si="39"/>
        <v>0</v>
      </c>
      <c r="G1256" t="str">
        <f>IFERROR(VLOOKUP(A1256,预留库存!A:G,7,0),0)</f>
        <v>No</v>
      </c>
      <c r="H1256">
        <f>IFERROR(VLOOKUP(A1256,预留库存!A:H,8,0),0)</f>
        <v>0</v>
      </c>
      <c r="I1256">
        <f>IFERROR(VLOOKUP(A1256,预留库存!A:F,6,0),0)</f>
        <v>39.98</v>
      </c>
      <c r="J1256">
        <f>IFERROR(VLOOKUP(A1256,库龄!B:K,9,0),0)</f>
        <v>0</v>
      </c>
      <c r="K1256">
        <f>IFERROR(VLOOKUP(A1256,库龄!B:L,10,0),0)</f>
        <v>0</v>
      </c>
      <c r="L1256">
        <f>IFERROR(VLOOKUP(A1256,库龄!B:M,11,0),0)</f>
        <v>3</v>
      </c>
      <c r="M1256">
        <f>IFERROR(VLOOKUP(A1256,库龄!B:N,12,0),0)</f>
        <v>0</v>
      </c>
      <c r="N1256">
        <f t="shared" si="40"/>
        <v>3</v>
      </c>
    </row>
    <row r="1257" spans="1:14">
      <c r="A1257" s="3" t="s">
        <v>3153</v>
      </c>
      <c r="B1257">
        <f>IFERROR(VLOOKUP(A1257,管理亚马逊库存!A:K,11,0),"")</f>
        <v>0</v>
      </c>
      <c r="C1257">
        <f>IFERROR(VLOOKUP(A1257,管理亚马逊库存!A:L,12,0),"")</f>
        <v>0</v>
      </c>
      <c r="D1257">
        <f>IFERROR(VLOOKUP(A1257,管理亚马逊库存!A:Q,17,0),"")</f>
        <v>0</v>
      </c>
      <c r="E1257">
        <f>IFERROR(VLOOKUP(A1257,管理亚马逊库存!A:R,18,0),"")</f>
        <v>0</v>
      </c>
      <c r="F1257">
        <f t="shared" si="39"/>
        <v>0</v>
      </c>
      <c r="G1257" t="str">
        <f>IFERROR(VLOOKUP(A1257,预留库存!A:G,7,0),0)</f>
        <v>No</v>
      </c>
      <c r="H1257">
        <f>IFERROR(VLOOKUP(A1257,预留库存!A:H,8,0),0)</f>
        <v>0</v>
      </c>
      <c r="I1257">
        <f>IFERROR(VLOOKUP(A1257,预留库存!A:F,6,0),0)</f>
        <v>39.98</v>
      </c>
      <c r="J1257">
        <f>IFERROR(VLOOKUP(A1257,库龄!B:K,9,0),0)</f>
        <v>0</v>
      </c>
      <c r="K1257">
        <f>IFERROR(VLOOKUP(A1257,库龄!B:L,10,0),0)</f>
        <v>0</v>
      </c>
      <c r="L1257">
        <f>IFERROR(VLOOKUP(A1257,库龄!B:M,11,0),0)</f>
        <v>0</v>
      </c>
      <c r="M1257">
        <f>IFERROR(VLOOKUP(A1257,库龄!B:N,12,0),0)</f>
        <v>0</v>
      </c>
      <c r="N1257">
        <f t="shared" si="40"/>
        <v>0</v>
      </c>
    </row>
    <row r="1258" spans="1:14">
      <c r="A1258" s="3" t="s">
        <v>3156</v>
      </c>
      <c r="B1258">
        <f>IFERROR(VLOOKUP(A1258,管理亚马逊库存!A:K,11,0),"")</f>
        <v>0</v>
      </c>
      <c r="C1258">
        <f>IFERROR(VLOOKUP(A1258,管理亚马逊库存!A:L,12,0),"")</f>
        <v>0</v>
      </c>
      <c r="D1258">
        <f>IFERROR(VLOOKUP(A1258,管理亚马逊库存!A:Q,17,0),"")</f>
        <v>0</v>
      </c>
      <c r="E1258">
        <f>IFERROR(VLOOKUP(A1258,管理亚马逊库存!A:R,18,0),"")</f>
        <v>0</v>
      </c>
      <c r="F1258">
        <f t="shared" si="39"/>
        <v>0</v>
      </c>
      <c r="G1258" t="str">
        <f>IFERROR(VLOOKUP(A1258,预留库存!A:G,7,0),0)</f>
        <v>No</v>
      </c>
      <c r="H1258">
        <f>IFERROR(VLOOKUP(A1258,预留库存!A:H,8,0),0)</f>
        <v>0</v>
      </c>
      <c r="I1258">
        <f>IFERROR(VLOOKUP(A1258,预留库存!A:F,6,0),0)</f>
        <v>39.98</v>
      </c>
      <c r="J1258">
        <f>IFERROR(VLOOKUP(A1258,库龄!B:K,9,0),0)</f>
        <v>0</v>
      </c>
      <c r="K1258">
        <f>IFERROR(VLOOKUP(A1258,库龄!B:L,10,0),0)</f>
        <v>0</v>
      </c>
      <c r="L1258">
        <f>IFERROR(VLOOKUP(A1258,库龄!B:M,11,0),0)</f>
        <v>0</v>
      </c>
      <c r="M1258">
        <f>IFERROR(VLOOKUP(A1258,库龄!B:N,12,0),0)</f>
        <v>0</v>
      </c>
      <c r="N1258">
        <f t="shared" si="40"/>
        <v>0</v>
      </c>
    </row>
    <row r="1259" spans="1:14">
      <c r="A1259" s="3" t="s">
        <v>3159</v>
      </c>
      <c r="B1259">
        <f>IFERROR(VLOOKUP(A1259,管理亚马逊库存!A:K,11,0),"")</f>
        <v>1</v>
      </c>
      <c r="C1259">
        <f>IFERROR(VLOOKUP(A1259,管理亚马逊库存!A:L,12,0),"")</f>
        <v>0</v>
      </c>
      <c r="D1259">
        <f>IFERROR(VLOOKUP(A1259,管理亚马逊库存!A:Q,17,0),"")</f>
        <v>0</v>
      </c>
      <c r="E1259">
        <f>IFERROR(VLOOKUP(A1259,管理亚马逊库存!A:R,18,0),"")</f>
        <v>0</v>
      </c>
      <c r="F1259">
        <f t="shared" si="39"/>
        <v>0</v>
      </c>
      <c r="G1259" t="str">
        <f>IFERROR(VLOOKUP(A1259,预留库存!A:G,7,0),0)</f>
        <v>No</v>
      </c>
      <c r="H1259">
        <f>IFERROR(VLOOKUP(A1259,预留库存!A:H,8,0),0)</f>
        <v>0</v>
      </c>
      <c r="I1259">
        <f>IFERROR(VLOOKUP(A1259,预留库存!A:F,6,0),0)</f>
        <v>39.98</v>
      </c>
      <c r="J1259">
        <f>IFERROR(VLOOKUP(A1259,库龄!B:K,9,0),0)</f>
        <v>0</v>
      </c>
      <c r="K1259">
        <f>IFERROR(VLOOKUP(A1259,库龄!B:L,10,0),0)</f>
        <v>0</v>
      </c>
      <c r="L1259">
        <f>IFERROR(VLOOKUP(A1259,库龄!B:M,11,0),0)</f>
        <v>0</v>
      </c>
      <c r="M1259">
        <f>IFERROR(VLOOKUP(A1259,库龄!B:N,12,0),0)</f>
        <v>0</v>
      </c>
      <c r="N1259">
        <f t="shared" si="40"/>
        <v>0</v>
      </c>
    </row>
    <row r="1260" spans="1:14">
      <c r="A1260" s="3" t="s">
        <v>3162</v>
      </c>
      <c r="B1260">
        <f>IFERROR(VLOOKUP(A1260,管理亚马逊库存!A:K,11,0),"")</f>
        <v>1</v>
      </c>
      <c r="C1260">
        <f>IFERROR(VLOOKUP(A1260,管理亚马逊库存!A:L,12,0),"")</f>
        <v>0</v>
      </c>
      <c r="D1260">
        <f>IFERROR(VLOOKUP(A1260,管理亚马逊库存!A:Q,17,0),"")</f>
        <v>0</v>
      </c>
      <c r="E1260">
        <f>IFERROR(VLOOKUP(A1260,管理亚马逊库存!A:R,18,0),"")</f>
        <v>0</v>
      </c>
      <c r="F1260">
        <f t="shared" si="39"/>
        <v>0</v>
      </c>
      <c r="G1260" t="str">
        <f>IFERROR(VLOOKUP(A1260,预留库存!A:G,7,0),0)</f>
        <v>No</v>
      </c>
      <c r="H1260">
        <f>IFERROR(VLOOKUP(A1260,预留库存!A:H,8,0),0)</f>
        <v>0</v>
      </c>
      <c r="I1260">
        <f>IFERROR(VLOOKUP(A1260,预留库存!A:F,6,0),0)</f>
        <v>39.98</v>
      </c>
      <c r="J1260">
        <f>IFERROR(VLOOKUP(A1260,库龄!B:K,9,0),0)</f>
        <v>0</v>
      </c>
      <c r="K1260">
        <f>IFERROR(VLOOKUP(A1260,库龄!B:L,10,0),0)</f>
        <v>0</v>
      </c>
      <c r="L1260">
        <f>IFERROR(VLOOKUP(A1260,库龄!B:M,11,0),0)</f>
        <v>0</v>
      </c>
      <c r="M1260">
        <f>IFERROR(VLOOKUP(A1260,库龄!B:N,12,0),0)</f>
        <v>0</v>
      </c>
      <c r="N1260">
        <f t="shared" si="40"/>
        <v>0</v>
      </c>
    </row>
    <row r="1261" spans="1:14">
      <c r="A1261" s="3" t="s">
        <v>3165</v>
      </c>
      <c r="B1261">
        <f>IFERROR(VLOOKUP(A1261,管理亚马逊库存!A:K,11,0),"")</f>
        <v>1</v>
      </c>
      <c r="C1261">
        <f>IFERROR(VLOOKUP(A1261,管理亚马逊库存!A:L,12,0),"")</f>
        <v>0</v>
      </c>
      <c r="D1261">
        <f>IFERROR(VLOOKUP(A1261,管理亚马逊库存!A:Q,17,0),"")</f>
        <v>0</v>
      </c>
      <c r="E1261">
        <f>IFERROR(VLOOKUP(A1261,管理亚马逊库存!A:R,18,0),"")</f>
        <v>0</v>
      </c>
      <c r="F1261">
        <f t="shared" si="39"/>
        <v>0</v>
      </c>
      <c r="G1261" t="str">
        <f>IFERROR(VLOOKUP(A1261,预留库存!A:G,7,0),0)</f>
        <v>No</v>
      </c>
      <c r="H1261">
        <f>IFERROR(VLOOKUP(A1261,预留库存!A:H,8,0),0)</f>
        <v>0</v>
      </c>
      <c r="I1261">
        <f>IFERROR(VLOOKUP(A1261,预留库存!A:F,6,0),0)</f>
        <v>39.98</v>
      </c>
      <c r="J1261">
        <f>IFERROR(VLOOKUP(A1261,库龄!B:K,9,0),0)</f>
        <v>0</v>
      </c>
      <c r="K1261">
        <f>IFERROR(VLOOKUP(A1261,库龄!B:L,10,0),0)</f>
        <v>0</v>
      </c>
      <c r="L1261">
        <f>IFERROR(VLOOKUP(A1261,库龄!B:M,11,0),0)</f>
        <v>0</v>
      </c>
      <c r="M1261">
        <f>IFERROR(VLOOKUP(A1261,库龄!B:N,12,0),0)</f>
        <v>0</v>
      </c>
      <c r="N1261">
        <f t="shared" si="40"/>
        <v>0</v>
      </c>
    </row>
    <row r="1262" spans="1:14">
      <c r="A1262" s="3" t="s">
        <v>3168</v>
      </c>
      <c r="B1262">
        <f>IFERROR(VLOOKUP(A1262,管理亚马逊库存!A:K,11,0),"")</f>
        <v>5</v>
      </c>
      <c r="C1262">
        <f>IFERROR(VLOOKUP(A1262,管理亚马逊库存!A:L,12,0),"")</f>
        <v>0</v>
      </c>
      <c r="D1262">
        <f>IFERROR(VLOOKUP(A1262,管理亚马逊库存!A:Q,17,0),"")</f>
        <v>0</v>
      </c>
      <c r="E1262">
        <f>IFERROR(VLOOKUP(A1262,管理亚马逊库存!A:R,18,0),"")</f>
        <v>0</v>
      </c>
      <c r="F1262">
        <f t="shared" si="39"/>
        <v>0</v>
      </c>
      <c r="G1262" t="str">
        <f>IFERROR(VLOOKUP(A1262,预留库存!A:G,7,0),0)</f>
        <v>No</v>
      </c>
      <c r="H1262">
        <f>IFERROR(VLOOKUP(A1262,预留库存!A:H,8,0),0)</f>
        <v>0</v>
      </c>
      <c r="I1262">
        <f>IFERROR(VLOOKUP(A1262,预留库存!A:F,6,0),0)</f>
        <v>39.98</v>
      </c>
      <c r="J1262">
        <f>IFERROR(VLOOKUP(A1262,库龄!B:K,9,0),0)</f>
        <v>0</v>
      </c>
      <c r="K1262">
        <f>IFERROR(VLOOKUP(A1262,库龄!B:L,10,0),0)</f>
        <v>0</v>
      </c>
      <c r="L1262">
        <f>IFERROR(VLOOKUP(A1262,库龄!B:M,11,0),0)</f>
        <v>3</v>
      </c>
      <c r="M1262">
        <f>IFERROR(VLOOKUP(A1262,库龄!B:N,12,0),0)</f>
        <v>0</v>
      </c>
      <c r="N1262">
        <f t="shared" si="40"/>
        <v>3</v>
      </c>
    </row>
    <row r="1263" spans="1:14">
      <c r="A1263" s="3" t="s">
        <v>3171</v>
      </c>
      <c r="B1263">
        <f>IFERROR(VLOOKUP(A1263,管理亚马逊库存!A:K,11,0),"")</f>
        <v>5</v>
      </c>
      <c r="C1263">
        <f>IFERROR(VLOOKUP(A1263,管理亚马逊库存!A:L,12,0),"")</f>
        <v>0</v>
      </c>
      <c r="D1263">
        <f>IFERROR(VLOOKUP(A1263,管理亚马逊库存!A:Q,17,0),"")</f>
        <v>0</v>
      </c>
      <c r="E1263">
        <f>IFERROR(VLOOKUP(A1263,管理亚马逊库存!A:R,18,0),"")</f>
        <v>0</v>
      </c>
      <c r="F1263">
        <f t="shared" si="39"/>
        <v>0</v>
      </c>
      <c r="G1263" t="str">
        <f>IFERROR(VLOOKUP(A1263,预留库存!A:G,7,0),0)</f>
        <v>No</v>
      </c>
      <c r="H1263">
        <f>IFERROR(VLOOKUP(A1263,预留库存!A:H,8,0),0)</f>
        <v>0</v>
      </c>
      <c r="I1263">
        <f>IFERROR(VLOOKUP(A1263,预留库存!A:F,6,0),0)</f>
        <v>39.98</v>
      </c>
      <c r="J1263">
        <f>IFERROR(VLOOKUP(A1263,库龄!B:K,9,0),0)</f>
        <v>0</v>
      </c>
      <c r="K1263">
        <f>IFERROR(VLOOKUP(A1263,库龄!B:L,10,0),0)</f>
        <v>0</v>
      </c>
      <c r="L1263">
        <f>IFERROR(VLOOKUP(A1263,库龄!B:M,11,0),0)</f>
        <v>5</v>
      </c>
      <c r="M1263">
        <f>IFERROR(VLOOKUP(A1263,库龄!B:N,12,0),0)</f>
        <v>0</v>
      </c>
      <c r="N1263">
        <f t="shared" si="40"/>
        <v>5</v>
      </c>
    </row>
    <row r="1264" spans="1:14">
      <c r="A1264" s="3" t="s">
        <v>3174</v>
      </c>
      <c r="B1264">
        <f>IFERROR(VLOOKUP(A1264,管理亚马逊库存!A:K,11,0),"")</f>
        <v>0</v>
      </c>
      <c r="C1264">
        <f>IFERROR(VLOOKUP(A1264,管理亚马逊库存!A:L,12,0),"")</f>
        <v>0</v>
      </c>
      <c r="D1264">
        <f>IFERROR(VLOOKUP(A1264,管理亚马逊库存!A:Q,17,0),"")</f>
        <v>0</v>
      </c>
      <c r="E1264">
        <f>IFERROR(VLOOKUP(A1264,管理亚马逊库存!A:R,18,0),"")</f>
        <v>0</v>
      </c>
      <c r="F1264">
        <f t="shared" si="39"/>
        <v>0</v>
      </c>
      <c r="G1264" t="str">
        <f>IFERROR(VLOOKUP(A1264,预留库存!A:G,7,0),0)</f>
        <v>No</v>
      </c>
      <c r="H1264">
        <f>IFERROR(VLOOKUP(A1264,预留库存!A:H,8,0),0)</f>
        <v>0</v>
      </c>
      <c r="I1264">
        <f>IFERROR(VLOOKUP(A1264,预留库存!A:F,6,0),0)</f>
        <v>39.98</v>
      </c>
      <c r="J1264">
        <f>IFERROR(VLOOKUP(A1264,库龄!B:K,9,0),0)</f>
        <v>0</v>
      </c>
      <c r="K1264">
        <f>IFERROR(VLOOKUP(A1264,库龄!B:L,10,0),0)</f>
        <v>0</v>
      </c>
      <c r="L1264">
        <f>IFERROR(VLOOKUP(A1264,库龄!B:M,11,0),0)</f>
        <v>0</v>
      </c>
      <c r="M1264">
        <f>IFERROR(VLOOKUP(A1264,库龄!B:N,12,0),0)</f>
        <v>0</v>
      </c>
      <c r="N1264">
        <f t="shared" si="40"/>
        <v>0</v>
      </c>
    </row>
    <row r="1265" spans="1:14">
      <c r="A1265" s="3" t="s">
        <v>3177</v>
      </c>
      <c r="B1265">
        <f>IFERROR(VLOOKUP(A1265,管理亚马逊库存!A:K,11,0),"")</f>
        <v>2</v>
      </c>
      <c r="C1265">
        <f>IFERROR(VLOOKUP(A1265,管理亚马逊库存!A:L,12,0),"")</f>
        <v>0</v>
      </c>
      <c r="D1265">
        <f>IFERROR(VLOOKUP(A1265,管理亚马逊库存!A:Q,17,0),"")</f>
        <v>0</v>
      </c>
      <c r="E1265">
        <f>IFERROR(VLOOKUP(A1265,管理亚马逊库存!A:R,18,0),"")</f>
        <v>0</v>
      </c>
      <c r="F1265">
        <f t="shared" si="39"/>
        <v>0</v>
      </c>
      <c r="G1265" t="str">
        <f>IFERROR(VLOOKUP(A1265,预留库存!A:G,7,0),0)</f>
        <v>No</v>
      </c>
      <c r="H1265">
        <f>IFERROR(VLOOKUP(A1265,预留库存!A:H,8,0),0)</f>
        <v>0</v>
      </c>
      <c r="I1265">
        <f>IFERROR(VLOOKUP(A1265,预留库存!A:F,6,0),0)</f>
        <v>39.98</v>
      </c>
      <c r="J1265">
        <f>IFERROR(VLOOKUP(A1265,库龄!B:K,9,0),0)</f>
        <v>0</v>
      </c>
      <c r="K1265">
        <f>IFERROR(VLOOKUP(A1265,库龄!B:L,10,0),0)</f>
        <v>0</v>
      </c>
      <c r="L1265">
        <f>IFERROR(VLOOKUP(A1265,库龄!B:M,11,0),0)</f>
        <v>1</v>
      </c>
      <c r="M1265">
        <f>IFERROR(VLOOKUP(A1265,库龄!B:N,12,0),0)</f>
        <v>0</v>
      </c>
      <c r="N1265">
        <f t="shared" si="40"/>
        <v>1</v>
      </c>
    </row>
    <row r="1266" spans="1:14">
      <c r="A1266" s="3" t="s">
        <v>3180</v>
      </c>
      <c r="B1266">
        <f>IFERROR(VLOOKUP(A1266,管理亚马逊库存!A:K,11,0),"")</f>
        <v>0</v>
      </c>
      <c r="C1266">
        <f>IFERROR(VLOOKUP(A1266,管理亚马逊库存!A:L,12,0),"")</f>
        <v>0</v>
      </c>
      <c r="D1266">
        <f>IFERROR(VLOOKUP(A1266,管理亚马逊库存!A:Q,17,0),"")</f>
        <v>0</v>
      </c>
      <c r="E1266">
        <f>IFERROR(VLOOKUP(A1266,管理亚马逊库存!A:R,18,0),"")</f>
        <v>0</v>
      </c>
      <c r="F1266">
        <f t="shared" si="39"/>
        <v>0</v>
      </c>
      <c r="G1266" t="str">
        <f>IFERROR(VLOOKUP(A1266,预留库存!A:G,7,0),0)</f>
        <v>No</v>
      </c>
      <c r="H1266">
        <f>IFERROR(VLOOKUP(A1266,预留库存!A:H,8,0),0)</f>
        <v>0</v>
      </c>
      <c r="I1266">
        <f>IFERROR(VLOOKUP(A1266,预留库存!A:F,6,0),0)</f>
        <v>39.98</v>
      </c>
      <c r="J1266">
        <f>IFERROR(VLOOKUP(A1266,库龄!B:K,9,0),0)</f>
        <v>0</v>
      </c>
      <c r="K1266">
        <f>IFERROR(VLOOKUP(A1266,库龄!B:L,10,0),0)</f>
        <v>0</v>
      </c>
      <c r="L1266">
        <f>IFERROR(VLOOKUP(A1266,库龄!B:M,11,0),0)</f>
        <v>0</v>
      </c>
      <c r="M1266">
        <f>IFERROR(VLOOKUP(A1266,库龄!B:N,12,0),0)</f>
        <v>0</v>
      </c>
      <c r="N1266">
        <f t="shared" si="40"/>
        <v>0</v>
      </c>
    </row>
    <row r="1267" spans="1:14">
      <c r="A1267" s="3" t="s">
        <v>3183</v>
      </c>
      <c r="B1267">
        <f>IFERROR(VLOOKUP(A1267,管理亚马逊库存!A:K,11,0),"")</f>
        <v>3</v>
      </c>
      <c r="C1267">
        <f>IFERROR(VLOOKUP(A1267,管理亚马逊库存!A:L,12,0),"")</f>
        <v>0</v>
      </c>
      <c r="D1267">
        <f>IFERROR(VLOOKUP(A1267,管理亚马逊库存!A:Q,17,0),"")</f>
        <v>0</v>
      </c>
      <c r="E1267">
        <f>IFERROR(VLOOKUP(A1267,管理亚马逊库存!A:R,18,0),"")</f>
        <v>0</v>
      </c>
      <c r="F1267">
        <f t="shared" si="39"/>
        <v>0</v>
      </c>
      <c r="G1267" t="str">
        <f>IFERROR(VLOOKUP(A1267,预留库存!A:G,7,0),0)</f>
        <v>No</v>
      </c>
      <c r="H1267">
        <f>IFERROR(VLOOKUP(A1267,预留库存!A:H,8,0),0)</f>
        <v>0</v>
      </c>
      <c r="I1267">
        <f>IFERROR(VLOOKUP(A1267,预留库存!A:F,6,0),0)</f>
        <v>39.98</v>
      </c>
      <c r="J1267">
        <f>IFERROR(VLOOKUP(A1267,库龄!B:K,9,0),0)</f>
        <v>0</v>
      </c>
      <c r="K1267">
        <f>IFERROR(VLOOKUP(A1267,库龄!B:L,10,0),0)</f>
        <v>0</v>
      </c>
      <c r="L1267">
        <f>IFERROR(VLOOKUP(A1267,库龄!B:M,11,0),0)</f>
        <v>3</v>
      </c>
      <c r="M1267">
        <f>IFERROR(VLOOKUP(A1267,库龄!B:N,12,0),0)</f>
        <v>0</v>
      </c>
      <c r="N1267">
        <f t="shared" si="40"/>
        <v>3</v>
      </c>
    </row>
    <row r="1268" spans="1:14">
      <c r="A1268" s="3" t="s">
        <v>3186</v>
      </c>
      <c r="B1268">
        <f>IFERROR(VLOOKUP(A1268,管理亚马逊库存!A:K,11,0),"")</f>
        <v>4</v>
      </c>
      <c r="C1268">
        <f>IFERROR(VLOOKUP(A1268,管理亚马逊库存!A:L,12,0),"")</f>
        <v>0</v>
      </c>
      <c r="D1268">
        <f>IFERROR(VLOOKUP(A1268,管理亚马逊库存!A:Q,17,0),"")</f>
        <v>0</v>
      </c>
      <c r="E1268">
        <f>IFERROR(VLOOKUP(A1268,管理亚马逊库存!A:R,18,0),"")</f>
        <v>0</v>
      </c>
      <c r="F1268">
        <f t="shared" si="39"/>
        <v>0</v>
      </c>
      <c r="G1268" t="str">
        <f>IFERROR(VLOOKUP(A1268,预留库存!A:G,7,0),0)</f>
        <v>No</v>
      </c>
      <c r="H1268">
        <f>IFERROR(VLOOKUP(A1268,预留库存!A:H,8,0),0)</f>
        <v>0</v>
      </c>
      <c r="I1268">
        <f>IFERROR(VLOOKUP(A1268,预留库存!A:F,6,0),0)</f>
        <v>39.98</v>
      </c>
      <c r="J1268">
        <f>IFERROR(VLOOKUP(A1268,库龄!B:K,9,0),0)</f>
        <v>0</v>
      </c>
      <c r="K1268">
        <f>IFERROR(VLOOKUP(A1268,库龄!B:L,10,0),0)</f>
        <v>1</v>
      </c>
      <c r="L1268">
        <f>IFERROR(VLOOKUP(A1268,库龄!B:M,11,0),0)</f>
        <v>3</v>
      </c>
      <c r="M1268">
        <f>IFERROR(VLOOKUP(A1268,库龄!B:N,12,0),0)</f>
        <v>0</v>
      </c>
      <c r="N1268">
        <f t="shared" si="40"/>
        <v>4</v>
      </c>
    </row>
    <row r="1269" spans="1:14">
      <c r="A1269" s="3" t="s">
        <v>3189</v>
      </c>
      <c r="B1269">
        <f>IFERROR(VLOOKUP(A1269,管理亚马逊库存!A:K,11,0),"")</f>
        <v>0</v>
      </c>
      <c r="C1269">
        <f>IFERROR(VLOOKUP(A1269,管理亚马逊库存!A:L,12,0),"")</f>
        <v>0</v>
      </c>
      <c r="D1269">
        <f>IFERROR(VLOOKUP(A1269,管理亚马逊库存!A:Q,17,0),"")</f>
        <v>0</v>
      </c>
      <c r="E1269">
        <f>IFERROR(VLOOKUP(A1269,管理亚马逊库存!A:R,18,0),"")</f>
        <v>0</v>
      </c>
      <c r="F1269">
        <f t="shared" si="39"/>
        <v>0</v>
      </c>
      <c r="G1269">
        <f>IFERROR(VLOOKUP(A1269,预留库存!A:G,7,0),0)</f>
        <v>0</v>
      </c>
      <c r="H1269">
        <f>IFERROR(VLOOKUP(A1269,预留库存!A:H,8,0),0)</f>
        <v>0</v>
      </c>
      <c r="I1269">
        <f>IFERROR(VLOOKUP(A1269,预留库存!A:F,6,0),0)</f>
        <v>0</v>
      </c>
      <c r="J1269">
        <f>IFERROR(VLOOKUP(A1269,库龄!B:K,9,0),0)</f>
        <v>0</v>
      </c>
      <c r="K1269">
        <f>IFERROR(VLOOKUP(A1269,库龄!B:L,10,0),0)</f>
        <v>0</v>
      </c>
      <c r="L1269">
        <f>IFERROR(VLOOKUP(A1269,库龄!B:M,11,0),0)</f>
        <v>0</v>
      </c>
      <c r="M1269">
        <f>IFERROR(VLOOKUP(A1269,库龄!B:N,12,0),0)</f>
        <v>0</v>
      </c>
      <c r="N1269">
        <f t="shared" si="40"/>
        <v>0</v>
      </c>
    </row>
    <row r="1270" spans="1:14">
      <c r="A1270" s="3" t="s">
        <v>3191</v>
      </c>
      <c r="B1270">
        <f>IFERROR(VLOOKUP(A1270,管理亚马逊库存!A:K,11,0),"")</f>
        <v>0</v>
      </c>
      <c r="C1270">
        <f>IFERROR(VLOOKUP(A1270,管理亚马逊库存!A:L,12,0),"")</f>
        <v>0</v>
      </c>
      <c r="D1270">
        <f>IFERROR(VLOOKUP(A1270,管理亚马逊库存!A:Q,17,0),"")</f>
        <v>0</v>
      </c>
      <c r="E1270">
        <f>IFERROR(VLOOKUP(A1270,管理亚马逊库存!A:R,18,0),"")</f>
        <v>0</v>
      </c>
      <c r="F1270">
        <f t="shared" si="39"/>
        <v>0</v>
      </c>
      <c r="G1270">
        <f>IFERROR(VLOOKUP(A1270,预留库存!A:G,7,0),0)</f>
        <v>0</v>
      </c>
      <c r="H1270">
        <f>IFERROR(VLOOKUP(A1270,预留库存!A:H,8,0),0)</f>
        <v>0</v>
      </c>
      <c r="I1270">
        <f>IFERROR(VLOOKUP(A1270,预留库存!A:F,6,0),0)</f>
        <v>0</v>
      </c>
      <c r="J1270">
        <f>IFERROR(VLOOKUP(A1270,库龄!B:K,9,0),0)</f>
        <v>0</v>
      </c>
      <c r="K1270">
        <f>IFERROR(VLOOKUP(A1270,库龄!B:L,10,0),0)</f>
        <v>0</v>
      </c>
      <c r="L1270">
        <f>IFERROR(VLOOKUP(A1270,库龄!B:M,11,0),0)</f>
        <v>0</v>
      </c>
      <c r="M1270">
        <f>IFERROR(VLOOKUP(A1270,库龄!B:N,12,0),0)</f>
        <v>0</v>
      </c>
      <c r="N1270">
        <f t="shared" si="40"/>
        <v>0</v>
      </c>
    </row>
    <row r="1271" spans="1:14">
      <c r="A1271" s="3" t="s">
        <v>3192</v>
      </c>
      <c r="B1271">
        <f>IFERROR(VLOOKUP(A1271,管理亚马逊库存!A:K,11,0),"")</f>
        <v>0</v>
      </c>
      <c r="C1271">
        <f>IFERROR(VLOOKUP(A1271,管理亚马逊库存!A:L,12,0),"")</f>
        <v>0</v>
      </c>
      <c r="D1271">
        <f>IFERROR(VLOOKUP(A1271,管理亚马逊库存!A:Q,17,0),"")</f>
        <v>0</v>
      </c>
      <c r="E1271">
        <f>IFERROR(VLOOKUP(A1271,管理亚马逊库存!A:R,18,0),"")</f>
        <v>0</v>
      </c>
      <c r="F1271">
        <f t="shared" si="39"/>
        <v>0</v>
      </c>
      <c r="G1271">
        <f>IFERROR(VLOOKUP(A1271,预留库存!A:G,7,0),0)</f>
        <v>0</v>
      </c>
      <c r="H1271">
        <f>IFERROR(VLOOKUP(A1271,预留库存!A:H,8,0),0)</f>
        <v>0</v>
      </c>
      <c r="I1271">
        <f>IFERROR(VLOOKUP(A1271,预留库存!A:F,6,0),0)</f>
        <v>0</v>
      </c>
      <c r="J1271">
        <f>IFERROR(VLOOKUP(A1271,库龄!B:K,9,0),0)</f>
        <v>0</v>
      </c>
      <c r="K1271">
        <f>IFERROR(VLOOKUP(A1271,库龄!B:L,10,0),0)</f>
        <v>0</v>
      </c>
      <c r="L1271">
        <f>IFERROR(VLOOKUP(A1271,库龄!B:M,11,0),0)</f>
        <v>0</v>
      </c>
      <c r="M1271">
        <f>IFERROR(VLOOKUP(A1271,库龄!B:N,12,0),0)</f>
        <v>0</v>
      </c>
      <c r="N1271">
        <f t="shared" si="40"/>
        <v>0</v>
      </c>
    </row>
    <row r="1272" spans="1:14">
      <c r="A1272" s="3" t="s">
        <v>3195</v>
      </c>
      <c r="B1272">
        <f>IFERROR(VLOOKUP(A1272,管理亚马逊库存!A:K,11,0),"")</f>
        <v>21</v>
      </c>
      <c r="C1272">
        <f>IFERROR(VLOOKUP(A1272,管理亚马逊库存!A:L,12,0),"")</f>
        <v>1</v>
      </c>
      <c r="D1272">
        <f>IFERROR(VLOOKUP(A1272,管理亚马逊库存!A:Q,17,0),"")</f>
        <v>0</v>
      </c>
      <c r="E1272">
        <f>IFERROR(VLOOKUP(A1272,管理亚马逊库存!A:R,18,0),"")</f>
        <v>0</v>
      </c>
      <c r="F1272">
        <f t="shared" si="39"/>
        <v>0</v>
      </c>
      <c r="G1272" t="str">
        <f>IFERROR(VLOOKUP(A1272,预留库存!A:G,7,0),0)</f>
        <v>No</v>
      </c>
      <c r="H1272">
        <f>IFERROR(VLOOKUP(A1272,预留库存!A:H,8,0),0)</f>
        <v>0</v>
      </c>
      <c r="I1272">
        <f>IFERROR(VLOOKUP(A1272,预留库存!A:F,6,0),0)</f>
        <v>22.98</v>
      </c>
      <c r="J1272">
        <f>IFERROR(VLOOKUP(A1272,库龄!B:K,9,0),0)</f>
        <v>0</v>
      </c>
      <c r="K1272">
        <f>IFERROR(VLOOKUP(A1272,库龄!B:L,10,0),0)</f>
        <v>0</v>
      </c>
      <c r="L1272">
        <f>IFERROR(VLOOKUP(A1272,库龄!B:M,11,0),0)</f>
        <v>0</v>
      </c>
      <c r="M1272">
        <f>IFERROR(VLOOKUP(A1272,库龄!B:N,12,0),0)</f>
        <v>0</v>
      </c>
      <c r="N1272">
        <f t="shared" si="40"/>
        <v>0</v>
      </c>
    </row>
    <row r="1273" spans="1:14">
      <c r="A1273" s="3" t="s">
        <v>3199</v>
      </c>
      <c r="B1273">
        <f>IFERROR(VLOOKUP(A1273,管理亚马逊库存!A:K,11,0),"")</f>
        <v>23</v>
      </c>
      <c r="C1273">
        <f>IFERROR(VLOOKUP(A1273,管理亚马逊库存!A:L,12,0),"")</f>
        <v>0</v>
      </c>
      <c r="D1273">
        <f>IFERROR(VLOOKUP(A1273,管理亚马逊库存!A:Q,17,0),"")</f>
        <v>0</v>
      </c>
      <c r="E1273">
        <f>IFERROR(VLOOKUP(A1273,管理亚马逊库存!A:R,18,0),"")</f>
        <v>0</v>
      </c>
      <c r="F1273">
        <f t="shared" si="39"/>
        <v>0</v>
      </c>
      <c r="G1273" t="str">
        <f>IFERROR(VLOOKUP(A1273,预留库存!A:G,7,0),0)</f>
        <v>No</v>
      </c>
      <c r="H1273">
        <f>IFERROR(VLOOKUP(A1273,预留库存!A:H,8,0),0)</f>
        <v>0</v>
      </c>
      <c r="I1273">
        <f>IFERROR(VLOOKUP(A1273,预留库存!A:F,6,0),0)</f>
        <v>69.9</v>
      </c>
      <c r="J1273">
        <f>IFERROR(VLOOKUP(A1273,库龄!B:K,9,0),0)</f>
        <v>0</v>
      </c>
      <c r="K1273">
        <f>IFERROR(VLOOKUP(A1273,库龄!B:L,10,0),0)</f>
        <v>0</v>
      </c>
      <c r="L1273">
        <f>IFERROR(VLOOKUP(A1273,库龄!B:M,11,0),0)</f>
        <v>0</v>
      </c>
      <c r="M1273">
        <f>IFERROR(VLOOKUP(A1273,库龄!B:N,12,0),0)</f>
        <v>0</v>
      </c>
      <c r="N1273">
        <f t="shared" si="40"/>
        <v>0</v>
      </c>
    </row>
    <row r="1274" spans="1:14">
      <c r="A1274" s="3" t="s">
        <v>3203</v>
      </c>
      <c r="B1274">
        <f>IFERROR(VLOOKUP(A1274,管理亚马逊库存!A:K,11,0),"")</f>
        <v>0</v>
      </c>
      <c r="C1274">
        <f>IFERROR(VLOOKUP(A1274,管理亚马逊库存!A:L,12,0),"")</f>
        <v>0</v>
      </c>
      <c r="D1274">
        <f>IFERROR(VLOOKUP(A1274,管理亚马逊库存!A:Q,17,0),"")</f>
        <v>0</v>
      </c>
      <c r="E1274">
        <f>IFERROR(VLOOKUP(A1274,管理亚马逊库存!A:R,18,0),"")</f>
        <v>0</v>
      </c>
      <c r="F1274">
        <f t="shared" si="39"/>
        <v>0</v>
      </c>
      <c r="G1274">
        <f>IFERROR(VLOOKUP(A1274,预留库存!A:G,7,0),0)</f>
        <v>0</v>
      </c>
      <c r="H1274">
        <f>IFERROR(VLOOKUP(A1274,预留库存!A:H,8,0),0)</f>
        <v>0</v>
      </c>
      <c r="I1274">
        <f>IFERROR(VLOOKUP(A1274,预留库存!A:F,6,0),0)</f>
        <v>0</v>
      </c>
      <c r="J1274">
        <f>IFERROR(VLOOKUP(A1274,库龄!B:K,9,0),0)</f>
        <v>0</v>
      </c>
      <c r="K1274">
        <f>IFERROR(VLOOKUP(A1274,库龄!B:L,10,0),0)</f>
        <v>0</v>
      </c>
      <c r="L1274">
        <f>IFERROR(VLOOKUP(A1274,库龄!B:M,11,0),0)</f>
        <v>0</v>
      </c>
      <c r="M1274">
        <f>IFERROR(VLOOKUP(A1274,库龄!B:N,12,0),0)</f>
        <v>0</v>
      </c>
      <c r="N1274">
        <f t="shared" si="40"/>
        <v>0</v>
      </c>
    </row>
    <row r="1275" spans="1:14">
      <c r="A1275" s="3" t="s">
        <v>3206</v>
      </c>
      <c r="B1275">
        <f>IFERROR(VLOOKUP(A1275,管理亚马逊库存!A:K,11,0),"")</f>
        <v>0</v>
      </c>
      <c r="C1275">
        <f>IFERROR(VLOOKUP(A1275,管理亚马逊库存!A:L,12,0),"")</f>
        <v>0</v>
      </c>
      <c r="D1275">
        <f>IFERROR(VLOOKUP(A1275,管理亚马逊库存!A:Q,17,0),"")</f>
        <v>0</v>
      </c>
      <c r="E1275">
        <f>IFERROR(VLOOKUP(A1275,管理亚马逊库存!A:R,18,0),"")</f>
        <v>0</v>
      </c>
      <c r="F1275">
        <f t="shared" si="39"/>
        <v>0</v>
      </c>
      <c r="G1275" t="str">
        <f>IFERROR(VLOOKUP(A1275,预留库存!A:G,7,0),0)</f>
        <v>No</v>
      </c>
      <c r="H1275">
        <f>IFERROR(VLOOKUP(A1275,预留库存!A:H,8,0),0)</f>
        <v>0</v>
      </c>
      <c r="I1275">
        <f>IFERROR(VLOOKUP(A1275,预留库存!A:F,6,0),0)</f>
        <v>23.98</v>
      </c>
      <c r="J1275">
        <f>IFERROR(VLOOKUP(A1275,库龄!B:K,9,0),0)</f>
        <v>0</v>
      </c>
      <c r="K1275">
        <f>IFERROR(VLOOKUP(A1275,库龄!B:L,10,0),0)</f>
        <v>0</v>
      </c>
      <c r="L1275">
        <f>IFERROR(VLOOKUP(A1275,库龄!B:M,11,0),0)</f>
        <v>0</v>
      </c>
      <c r="M1275">
        <f>IFERROR(VLOOKUP(A1275,库龄!B:N,12,0),0)</f>
        <v>0</v>
      </c>
      <c r="N1275">
        <f t="shared" si="40"/>
        <v>0</v>
      </c>
    </row>
    <row r="1276" spans="1:14">
      <c r="A1276" s="3" t="s">
        <v>3210</v>
      </c>
      <c r="B1276">
        <f>IFERROR(VLOOKUP(A1276,管理亚马逊库存!A:K,11,0),"")</f>
        <v>23</v>
      </c>
      <c r="C1276">
        <f>IFERROR(VLOOKUP(A1276,管理亚马逊库存!A:L,12,0),"")</f>
        <v>0</v>
      </c>
      <c r="D1276">
        <f>IFERROR(VLOOKUP(A1276,管理亚马逊库存!A:Q,17,0),"")</f>
        <v>0</v>
      </c>
      <c r="E1276">
        <f>IFERROR(VLOOKUP(A1276,管理亚马逊库存!A:R,18,0),"")</f>
        <v>0</v>
      </c>
      <c r="F1276">
        <f t="shared" si="39"/>
        <v>0</v>
      </c>
      <c r="G1276" t="str">
        <f>IFERROR(VLOOKUP(A1276,预留库存!A:G,7,0),0)</f>
        <v>No</v>
      </c>
      <c r="H1276">
        <f>IFERROR(VLOOKUP(A1276,预留库存!A:H,8,0),0)</f>
        <v>0</v>
      </c>
      <c r="I1276">
        <f>IFERROR(VLOOKUP(A1276,预留库存!A:F,6,0),0)</f>
        <v>69.9</v>
      </c>
      <c r="J1276">
        <f>IFERROR(VLOOKUP(A1276,库龄!B:K,9,0),0)</f>
        <v>0</v>
      </c>
      <c r="K1276">
        <f>IFERROR(VLOOKUP(A1276,库龄!B:L,10,0),0)</f>
        <v>0</v>
      </c>
      <c r="L1276">
        <f>IFERROR(VLOOKUP(A1276,库龄!B:M,11,0),0)</f>
        <v>0</v>
      </c>
      <c r="M1276">
        <f>IFERROR(VLOOKUP(A1276,库龄!B:N,12,0),0)</f>
        <v>0</v>
      </c>
      <c r="N1276">
        <f t="shared" si="40"/>
        <v>0</v>
      </c>
    </row>
    <row r="1277" spans="1:14">
      <c r="A1277" s="3" t="s">
        <v>3214</v>
      </c>
      <c r="B1277">
        <f>IFERROR(VLOOKUP(A1277,管理亚马逊库存!A:K,11,0),"")</f>
        <v>0</v>
      </c>
      <c r="C1277">
        <f>IFERROR(VLOOKUP(A1277,管理亚马逊库存!A:L,12,0),"")</f>
        <v>0</v>
      </c>
      <c r="D1277">
        <f>IFERROR(VLOOKUP(A1277,管理亚马逊库存!A:Q,17,0),"")</f>
        <v>0</v>
      </c>
      <c r="E1277">
        <f>IFERROR(VLOOKUP(A1277,管理亚马逊库存!A:R,18,0),"")</f>
        <v>0</v>
      </c>
      <c r="F1277">
        <f t="shared" si="39"/>
        <v>0</v>
      </c>
      <c r="G1277" t="str">
        <f>IFERROR(VLOOKUP(A1277,预留库存!A:G,7,0),0)</f>
        <v>No</v>
      </c>
      <c r="H1277">
        <f>IFERROR(VLOOKUP(A1277,预留库存!A:H,8,0),0)</f>
        <v>0</v>
      </c>
      <c r="I1277">
        <f>IFERROR(VLOOKUP(A1277,预留库存!A:F,6,0),0)</f>
        <v>69.9</v>
      </c>
      <c r="J1277">
        <f>IFERROR(VLOOKUP(A1277,库龄!B:K,9,0),0)</f>
        <v>0</v>
      </c>
      <c r="K1277">
        <f>IFERROR(VLOOKUP(A1277,库龄!B:L,10,0),0)</f>
        <v>0</v>
      </c>
      <c r="L1277">
        <f>IFERROR(VLOOKUP(A1277,库龄!B:M,11,0),0)</f>
        <v>0</v>
      </c>
      <c r="M1277">
        <f>IFERROR(VLOOKUP(A1277,库龄!B:N,12,0),0)</f>
        <v>0</v>
      </c>
      <c r="N1277">
        <f t="shared" si="40"/>
        <v>0</v>
      </c>
    </row>
    <row r="1278" spans="1:14">
      <c r="A1278" s="3" t="s">
        <v>3218</v>
      </c>
      <c r="B1278">
        <f>IFERROR(VLOOKUP(A1278,管理亚马逊库存!A:K,11,0),"")</f>
        <v>0</v>
      </c>
      <c r="C1278">
        <f>IFERROR(VLOOKUP(A1278,管理亚马逊库存!A:L,12,0),"")</f>
        <v>0</v>
      </c>
      <c r="D1278">
        <f>IFERROR(VLOOKUP(A1278,管理亚马逊库存!A:Q,17,0),"")</f>
        <v>0</v>
      </c>
      <c r="E1278">
        <f>IFERROR(VLOOKUP(A1278,管理亚马逊库存!A:R,18,0),"")</f>
        <v>0</v>
      </c>
      <c r="F1278">
        <f t="shared" si="39"/>
        <v>0</v>
      </c>
      <c r="G1278" t="str">
        <f>IFERROR(VLOOKUP(A1278,预留库存!A:G,7,0),0)</f>
        <v>No</v>
      </c>
      <c r="H1278">
        <f>IFERROR(VLOOKUP(A1278,预留库存!A:H,8,0),0)</f>
        <v>0</v>
      </c>
      <c r="I1278">
        <f>IFERROR(VLOOKUP(A1278,预留库存!A:F,6,0),0)</f>
        <v>23.98</v>
      </c>
      <c r="J1278">
        <f>IFERROR(VLOOKUP(A1278,库龄!B:K,9,0),0)</f>
        <v>0</v>
      </c>
      <c r="K1278">
        <f>IFERROR(VLOOKUP(A1278,库龄!B:L,10,0),0)</f>
        <v>0</v>
      </c>
      <c r="L1278">
        <f>IFERROR(VLOOKUP(A1278,库龄!B:M,11,0),0)</f>
        <v>0</v>
      </c>
      <c r="M1278">
        <f>IFERROR(VLOOKUP(A1278,库龄!B:N,12,0),0)</f>
        <v>0</v>
      </c>
      <c r="N1278">
        <f t="shared" si="40"/>
        <v>0</v>
      </c>
    </row>
    <row r="1279" spans="1:14">
      <c r="A1279" s="3" t="s">
        <v>3222</v>
      </c>
      <c r="B1279">
        <f>IFERROR(VLOOKUP(A1279,管理亚马逊库存!A:K,11,0),"")</f>
        <v>0</v>
      </c>
      <c r="C1279">
        <f>IFERROR(VLOOKUP(A1279,管理亚马逊库存!A:L,12,0),"")</f>
        <v>0</v>
      </c>
      <c r="D1279">
        <f>IFERROR(VLOOKUP(A1279,管理亚马逊库存!A:Q,17,0),"")</f>
        <v>0</v>
      </c>
      <c r="E1279">
        <f>IFERROR(VLOOKUP(A1279,管理亚马逊库存!A:R,18,0),"")</f>
        <v>0</v>
      </c>
      <c r="F1279">
        <f t="shared" si="39"/>
        <v>0</v>
      </c>
      <c r="G1279" t="str">
        <f>IFERROR(VLOOKUP(A1279,预留库存!A:G,7,0),0)</f>
        <v>No</v>
      </c>
      <c r="H1279">
        <f>IFERROR(VLOOKUP(A1279,预留库存!A:H,8,0),0)</f>
        <v>0</v>
      </c>
      <c r="I1279">
        <f>IFERROR(VLOOKUP(A1279,预留库存!A:F,6,0),0)</f>
        <v>69.9</v>
      </c>
      <c r="J1279">
        <f>IFERROR(VLOOKUP(A1279,库龄!B:K,9,0),0)</f>
        <v>0</v>
      </c>
      <c r="K1279">
        <f>IFERROR(VLOOKUP(A1279,库龄!B:L,10,0),0)</f>
        <v>0</v>
      </c>
      <c r="L1279">
        <f>IFERROR(VLOOKUP(A1279,库龄!B:M,11,0),0)</f>
        <v>0</v>
      </c>
      <c r="M1279">
        <f>IFERROR(VLOOKUP(A1279,库龄!B:N,12,0),0)</f>
        <v>0</v>
      </c>
      <c r="N1279">
        <f t="shared" si="40"/>
        <v>0</v>
      </c>
    </row>
    <row r="1280" spans="1:14">
      <c r="A1280" s="3" t="s">
        <v>3226</v>
      </c>
      <c r="B1280">
        <f>IFERROR(VLOOKUP(A1280,管理亚马逊库存!A:K,11,0),"")</f>
        <v>0</v>
      </c>
      <c r="C1280">
        <f>IFERROR(VLOOKUP(A1280,管理亚马逊库存!A:L,12,0),"")</f>
        <v>0</v>
      </c>
      <c r="D1280">
        <f>IFERROR(VLOOKUP(A1280,管理亚马逊库存!A:Q,17,0),"")</f>
        <v>0</v>
      </c>
      <c r="E1280">
        <f>IFERROR(VLOOKUP(A1280,管理亚马逊库存!A:R,18,0),"")</f>
        <v>0</v>
      </c>
      <c r="F1280">
        <f t="shared" si="39"/>
        <v>0</v>
      </c>
      <c r="G1280">
        <f>IFERROR(VLOOKUP(A1280,预留库存!A:G,7,0),0)</f>
        <v>0</v>
      </c>
      <c r="H1280">
        <f>IFERROR(VLOOKUP(A1280,预留库存!A:H,8,0),0)</f>
        <v>0</v>
      </c>
      <c r="I1280">
        <f>IFERROR(VLOOKUP(A1280,预留库存!A:F,6,0),0)</f>
        <v>0</v>
      </c>
      <c r="J1280">
        <f>IFERROR(VLOOKUP(A1280,库龄!B:K,9,0),0)</f>
        <v>0</v>
      </c>
      <c r="K1280">
        <f>IFERROR(VLOOKUP(A1280,库龄!B:L,10,0),0)</f>
        <v>0</v>
      </c>
      <c r="L1280">
        <f>IFERROR(VLOOKUP(A1280,库龄!B:M,11,0),0)</f>
        <v>0</v>
      </c>
      <c r="M1280">
        <f>IFERROR(VLOOKUP(A1280,库龄!B:N,12,0),0)</f>
        <v>0</v>
      </c>
      <c r="N1280">
        <f t="shared" si="40"/>
        <v>0</v>
      </c>
    </row>
    <row r="1281" spans="1:14">
      <c r="A1281" s="3" t="s">
        <v>3229</v>
      </c>
      <c r="B1281">
        <f>IFERROR(VLOOKUP(A1281,管理亚马逊库存!A:K,11,0),"")</f>
        <v>0</v>
      </c>
      <c r="C1281">
        <f>IFERROR(VLOOKUP(A1281,管理亚马逊库存!A:L,12,0),"")</f>
        <v>0</v>
      </c>
      <c r="D1281">
        <f>IFERROR(VLOOKUP(A1281,管理亚马逊库存!A:Q,17,0),"")</f>
        <v>0</v>
      </c>
      <c r="E1281">
        <f>IFERROR(VLOOKUP(A1281,管理亚马逊库存!A:R,18,0),"")</f>
        <v>0</v>
      </c>
      <c r="F1281">
        <f t="shared" si="39"/>
        <v>0</v>
      </c>
      <c r="G1281" t="str">
        <f>IFERROR(VLOOKUP(A1281,预留库存!A:G,7,0),0)</f>
        <v>No</v>
      </c>
      <c r="H1281">
        <f>IFERROR(VLOOKUP(A1281,预留库存!A:H,8,0),0)</f>
        <v>0</v>
      </c>
      <c r="I1281">
        <f>IFERROR(VLOOKUP(A1281,预留库存!A:F,6,0),0)</f>
        <v>23.98</v>
      </c>
      <c r="J1281">
        <f>IFERROR(VLOOKUP(A1281,库龄!B:K,9,0),0)</f>
        <v>0</v>
      </c>
      <c r="K1281">
        <f>IFERROR(VLOOKUP(A1281,库龄!B:L,10,0),0)</f>
        <v>0</v>
      </c>
      <c r="L1281">
        <f>IFERROR(VLOOKUP(A1281,库龄!B:M,11,0),0)</f>
        <v>0</v>
      </c>
      <c r="M1281">
        <f>IFERROR(VLOOKUP(A1281,库龄!B:N,12,0),0)</f>
        <v>0</v>
      </c>
      <c r="N1281">
        <f t="shared" si="40"/>
        <v>0</v>
      </c>
    </row>
    <row r="1282" spans="1:14">
      <c r="A1282" s="3" t="s">
        <v>3233</v>
      </c>
      <c r="B1282">
        <f>IFERROR(VLOOKUP(A1282,管理亚马逊库存!A:K,11,0),"")</f>
        <v>0</v>
      </c>
      <c r="C1282">
        <f>IFERROR(VLOOKUP(A1282,管理亚马逊库存!A:L,12,0),"")</f>
        <v>0</v>
      </c>
      <c r="D1282">
        <f>IFERROR(VLOOKUP(A1282,管理亚马逊库存!A:Q,17,0),"")</f>
        <v>0</v>
      </c>
      <c r="E1282">
        <f>IFERROR(VLOOKUP(A1282,管理亚马逊库存!A:R,18,0),"")</f>
        <v>0</v>
      </c>
      <c r="F1282">
        <f t="shared" si="39"/>
        <v>0</v>
      </c>
      <c r="G1282" t="str">
        <f>IFERROR(VLOOKUP(A1282,预留库存!A:G,7,0),0)</f>
        <v>No</v>
      </c>
      <c r="H1282">
        <f>IFERROR(VLOOKUP(A1282,预留库存!A:H,8,0),0)</f>
        <v>0</v>
      </c>
      <c r="I1282">
        <f>IFERROR(VLOOKUP(A1282,预留库存!A:F,6,0),0)</f>
        <v>69.9</v>
      </c>
      <c r="J1282">
        <f>IFERROR(VLOOKUP(A1282,库龄!B:K,9,0),0)</f>
        <v>0</v>
      </c>
      <c r="K1282">
        <f>IFERROR(VLOOKUP(A1282,库龄!B:L,10,0),0)</f>
        <v>0</v>
      </c>
      <c r="L1282">
        <f>IFERROR(VLOOKUP(A1282,库龄!B:M,11,0),0)</f>
        <v>0</v>
      </c>
      <c r="M1282">
        <f>IFERROR(VLOOKUP(A1282,库龄!B:N,12,0),0)</f>
        <v>0</v>
      </c>
      <c r="N1282">
        <f t="shared" si="40"/>
        <v>0</v>
      </c>
    </row>
    <row r="1283" spans="1:14">
      <c r="A1283" s="3" t="s">
        <v>3237</v>
      </c>
      <c r="B1283">
        <f>IFERROR(VLOOKUP(A1283,管理亚马逊库存!A:K,11,0),"")</f>
        <v>0</v>
      </c>
      <c r="C1283">
        <f>IFERROR(VLOOKUP(A1283,管理亚马逊库存!A:L,12,0),"")</f>
        <v>0</v>
      </c>
      <c r="D1283">
        <f>IFERROR(VLOOKUP(A1283,管理亚马逊库存!A:Q,17,0),"")</f>
        <v>0</v>
      </c>
      <c r="E1283">
        <f>IFERROR(VLOOKUP(A1283,管理亚马逊库存!A:R,18,0),"")</f>
        <v>0</v>
      </c>
      <c r="F1283">
        <f t="shared" ref="F1283:F1346" si="41">SUM(D1283:E1283)</f>
        <v>0</v>
      </c>
      <c r="G1283" t="str">
        <f>IFERROR(VLOOKUP(A1283,预留库存!A:G,7,0),0)</f>
        <v>No</v>
      </c>
      <c r="H1283">
        <f>IFERROR(VLOOKUP(A1283,预留库存!A:H,8,0),0)</f>
        <v>0</v>
      </c>
      <c r="I1283">
        <f>IFERROR(VLOOKUP(A1283,预留库存!A:F,6,0),0)</f>
        <v>69.9</v>
      </c>
      <c r="J1283">
        <f>IFERROR(VLOOKUP(A1283,库龄!B:K,9,0),0)</f>
        <v>0</v>
      </c>
      <c r="K1283">
        <f>IFERROR(VLOOKUP(A1283,库龄!B:L,10,0),0)</f>
        <v>0</v>
      </c>
      <c r="L1283">
        <f>IFERROR(VLOOKUP(A1283,库龄!B:M,11,0),0)</f>
        <v>0</v>
      </c>
      <c r="M1283">
        <f>IFERROR(VLOOKUP(A1283,库龄!B:N,12,0),0)</f>
        <v>0</v>
      </c>
      <c r="N1283">
        <f t="shared" ref="N1283:N1346" si="42">SUM(J1283:M1283)</f>
        <v>0</v>
      </c>
    </row>
    <row r="1284" spans="1:14">
      <c r="A1284" s="3" t="s">
        <v>3241</v>
      </c>
      <c r="B1284">
        <f>IFERROR(VLOOKUP(A1284,管理亚马逊库存!A:K,11,0),"")</f>
        <v>3</v>
      </c>
      <c r="C1284">
        <f>IFERROR(VLOOKUP(A1284,管理亚马逊库存!A:L,12,0),"")</f>
        <v>0</v>
      </c>
      <c r="D1284">
        <f>IFERROR(VLOOKUP(A1284,管理亚马逊库存!A:Q,17,0),"")</f>
        <v>0</v>
      </c>
      <c r="E1284">
        <f>IFERROR(VLOOKUP(A1284,管理亚马逊库存!A:R,18,0),"")</f>
        <v>0</v>
      </c>
      <c r="F1284">
        <f t="shared" si="41"/>
        <v>0</v>
      </c>
      <c r="G1284" t="str">
        <f>IFERROR(VLOOKUP(A1284,预留库存!A:G,7,0),0)</f>
        <v>No</v>
      </c>
      <c r="H1284">
        <f>IFERROR(VLOOKUP(A1284,预留库存!A:H,8,0),0)</f>
        <v>0</v>
      </c>
      <c r="I1284">
        <f>IFERROR(VLOOKUP(A1284,预留库存!A:F,6,0),0)</f>
        <v>35.98</v>
      </c>
      <c r="J1284">
        <f>IFERROR(VLOOKUP(A1284,库龄!B:K,9,0),0)</f>
        <v>0</v>
      </c>
      <c r="K1284">
        <f>IFERROR(VLOOKUP(A1284,库龄!B:L,10,0),0)</f>
        <v>0</v>
      </c>
      <c r="L1284">
        <f>IFERROR(VLOOKUP(A1284,库龄!B:M,11,0),0)</f>
        <v>0</v>
      </c>
      <c r="M1284">
        <f>IFERROR(VLOOKUP(A1284,库龄!B:N,12,0),0)</f>
        <v>0</v>
      </c>
      <c r="N1284">
        <f t="shared" si="42"/>
        <v>0</v>
      </c>
    </row>
    <row r="1285" spans="1:14">
      <c r="A1285" s="3" t="s">
        <v>3245</v>
      </c>
      <c r="B1285">
        <f>IFERROR(VLOOKUP(A1285,管理亚马逊库存!A:K,11,0),"")</f>
        <v>0</v>
      </c>
      <c r="C1285">
        <f>IFERROR(VLOOKUP(A1285,管理亚马逊库存!A:L,12,0),"")</f>
        <v>0</v>
      </c>
      <c r="D1285">
        <f>IFERROR(VLOOKUP(A1285,管理亚马逊库存!A:Q,17,0),"")</f>
        <v>0</v>
      </c>
      <c r="E1285">
        <f>IFERROR(VLOOKUP(A1285,管理亚马逊库存!A:R,18,0),"")</f>
        <v>0</v>
      </c>
      <c r="F1285">
        <f t="shared" si="41"/>
        <v>0</v>
      </c>
      <c r="G1285" t="str">
        <f>IFERROR(VLOOKUP(A1285,预留库存!A:G,7,0),0)</f>
        <v>No</v>
      </c>
      <c r="H1285">
        <f>IFERROR(VLOOKUP(A1285,预留库存!A:H,8,0),0)</f>
        <v>0</v>
      </c>
      <c r="I1285">
        <f>IFERROR(VLOOKUP(A1285,预留库存!A:F,6,0),0)</f>
        <v>69.9</v>
      </c>
      <c r="J1285">
        <f>IFERROR(VLOOKUP(A1285,库龄!B:K,9,0),0)</f>
        <v>0</v>
      </c>
      <c r="K1285">
        <f>IFERROR(VLOOKUP(A1285,库龄!B:L,10,0),0)</f>
        <v>0</v>
      </c>
      <c r="L1285">
        <f>IFERROR(VLOOKUP(A1285,库龄!B:M,11,0),0)</f>
        <v>0</v>
      </c>
      <c r="M1285">
        <f>IFERROR(VLOOKUP(A1285,库龄!B:N,12,0),0)</f>
        <v>0</v>
      </c>
      <c r="N1285">
        <f t="shared" si="42"/>
        <v>0</v>
      </c>
    </row>
    <row r="1286" spans="1:14">
      <c r="A1286" s="3" t="s">
        <v>3249</v>
      </c>
      <c r="B1286">
        <f>IFERROR(VLOOKUP(A1286,管理亚马逊库存!A:K,11,0),"")</f>
        <v>0</v>
      </c>
      <c r="C1286">
        <f>IFERROR(VLOOKUP(A1286,管理亚马逊库存!A:L,12,0),"")</f>
        <v>0</v>
      </c>
      <c r="D1286">
        <f>IFERROR(VLOOKUP(A1286,管理亚马逊库存!A:Q,17,0),"")</f>
        <v>0</v>
      </c>
      <c r="E1286">
        <f>IFERROR(VLOOKUP(A1286,管理亚马逊库存!A:R,18,0),"")</f>
        <v>0</v>
      </c>
      <c r="F1286">
        <f t="shared" si="41"/>
        <v>0</v>
      </c>
      <c r="G1286" t="str">
        <f>IFERROR(VLOOKUP(A1286,预留库存!A:G,7,0),0)</f>
        <v>No</v>
      </c>
      <c r="H1286">
        <f>IFERROR(VLOOKUP(A1286,预留库存!A:H,8,0),0)</f>
        <v>0</v>
      </c>
      <c r="I1286">
        <f>IFERROR(VLOOKUP(A1286,预留库存!A:F,6,0),0)</f>
        <v>22.98</v>
      </c>
      <c r="J1286">
        <f>IFERROR(VLOOKUP(A1286,库龄!B:K,9,0),0)</f>
        <v>0</v>
      </c>
      <c r="K1286">
        <f>IFERROR(VLOOKUP(A1286,库龄!B:L,10,0),0)</f>
        <v>0</v>
      </c>
      <c r="L1286">
        <f>IFERROR(VLOOKUP(A1286,库龄!B:M,11,0),0)</f>
        <v>0</v>
      </c>
      <c r="M1286">
        <f>IFERROR(VLOOKUP(A1286,库龄!B:N,12,0),0)</f>
        <v>0</v>
      </c>
      <c r="N1286">
        <f t="shared" si="42"/>
        <v>0</v>
      </c>
    </row>
    <row r="1287" spans="1:14">
      <c r="A1287" s="3" t="s">
        <v>3253</v>
      </c>
      <c r="B1287">
        <f>IFERROR(VLOOKUP(A1287,管理亚马逊库存!A:K,11,0),"")</f>
        <v>0</v>
      </c>
      <c r="C1287">
        <f>IFERROR(VLOOKUP(A1287,管理亚马逊库存!A:L,12,0),"")</f>
        <v>0</v>
      </c>
      <c r="D1287">
        <f>IFERROR(VLOOKUP(A1287,管理亚马逊库存!A:Q,17,0),"")</f>
        <v>0</v>
      </c>
      <c r="E1287">
        <f>IFERROR(VLOOKUP(A1287,管理亚马逊库存!A:R,18,0),"")</f>
        <v>0</v>
      </c>
      <c r="F1287">
        <f t="shared" si="41"/>
        <v>0</v>
      </c>
      <c r="G1287" t="str">
        <f>IFERROR(VLOOKUP(A1287,预留库存!A:G,7,0),0)</f>
        <v>No</v>
      </c>
      <c r="H1287">
        <f>IFERROR(VLOOKUP(A1287,预留库存!A:H,8,0),0)</f>
        <v>0</v>
      </c>
      <c r="I1287">
        <f>IFERROR(VLOOKUP(A1287,预留库存!A:F,6,0),0)</f>
        <v>22.98</v>
      </c>
      <c r="J1287">
        <f>IFERROR(VLOOKUP(A1287,库龄!B:K,9,0),0)</f>
        <v>0</v>
      </c>
      <c r="K1287">
        <f>IFERROR(VLOOKUP(A1287,库龄!B:L,10,0),0)</f>
        <v>0</v>
      </c>
      <c r="L1287">
        <f>IFERROR(VLOOKUP(A1287,库龄!B:M,11,0),0)</f>
        <v>0</v>
      </c>
      <c r="M1287">
        <f>IFERROR(VLOOKUP(A1287,库龄!B:N,12,0),0)</f>
        <v>0</v>
      </c>
      <c r="N1287">
        <f t="shared" si="42"/>
        <v>0</v>
      </c>
    </row>
    <row r="1288" spans="1:14">
      <c r="A1288" s="3" t="s">
        <v>3257</v>
      </c>
      <c r="B1288">
        <f>IFERROR(VLOOKUP(A1288,管理亚马逊库存!A:K,11,0),"")</f>
        <v>0</v>
      </c>
      <c r="C1288">
        <f>IFERROR(VLOOKUP(A1288,管理亚马逊库存!A:L,12,0),"")</f>
        <v>0</v>
      </c>
      <c r="D1288">
        <f>IFERROR(VLOOKUP(A1288,管理亚马逊库存!A:Q,17,0),"")</f>
        <v>0</v>
      </c>
      <c r="E1288">
        <f>IFERROR(VLOOKUP(A1288,管理亚马逊库存!A:R,18,0),"")</f>
        <v>0</v>
      </c>
      <c r="F1288">
        <f t="shared" si="41"/>
        <v>0</v>
      </c>
      <c r="G1288" t="str">
        <f>IFERROR(VLOOKUP(A1288,预留库存!A:G,7,0),0)</f>
        <v>No</v>
      </c>
      <c r="H1288">
        <f>IFERROR(VLOOKUP(A1288,预留库存!A:H,8,0),0)</f>
        <v>0</v>
      </c>
      <c r="I1288">
        <f>IFERROR(VLOOKUP(A1288,预留库存!A:F,6,0),0)</f>
        <v>21.4</v>
      </c>
      <c r="J1288">
        <f>IFERROR(VLOOKUP(A1288,库龄!B:K,9,0),0)</f>
        <v>0</v>
      </c>
      <c r="K1288">
        <f>IFERROR(VLOOKUP(A1288,库龄!B:L,10,0),0)</f>
        <v>0</v>
      </c>
      <c r="L1288">
        <f>IFERROR(VLOOKUP(A1288,库龄!B:M,11,0),0)</f>
        <v>0</v>
      </c>
      <c r="M1288">
        <f>IFERROR(VLOOKUP(A1288,库龄!B:N,12,0),0)</f>
        <v>0</v>
      </c>
      <c r="N1288">
        <f t="shared" si="42"/>
        <v>0</v>
      </c>
    </row>
    <row r="1289" spans="1:14">
      <c r="A1289" s="3" t="s">
        <v>3261</v>
      </c>
      <c r="B1289">
        <f>IFERROR(VLOOKUP(A1289,管理亚马逊库存!A:K,11,0),"")</f>
        <v>0</v>
      </c>
      <c r="C1289">
        <f>IFERROR(VLOOKUP(A1289,管理亚马逊库存!A:L,12,0),"")</f>
        <v>0</v>
      </c>
      <c r="D1289">
        <f>IFERROR(VLOOKUP(A1289,管理亚马逊库存!A:Q,17,0),"")</f>
        <v>0</v>
      </c>
      <c r="E1289">
        <f>IFERROR(VLOOKUP(A1289,管理亚马逊库存!A:R,18,0),"")</f>
        <v>0</v>
      </c>
      <c r="F1289">
        <f t="shared" si="41"/>
        <v>0</v>
      </c>
      <c r="G1289" t="str">
        <f>IFERROR(VLOOKUP(A1289,预留库存!A:G,7,0),0)</f>
        <v>No</v>
      </c>
      <c r="H1289">
        <f>IFERROR(VLOOKUP(A1289,预留库存!A:H,8,0),0)</f>
        <v>0</v>
      </c>
      <c r="I1289">
        <f>IFERROR(VLOOKUP(A1289,预留库存!A:F,6,0),0)</f>
        <v>21.4</v>
      </c>
      <c r="J1289">
        <f>IFERROR(VLOOKUP(A1289,库龄!B:K,9,0),0)</f>
        <v>0</v>
      </c>
      <c r="K1289">
        <f>IFERROR(VLOOKUP(A1289,库龄!B:L,10,0),0)</f>
        <v>0</v>
      </c>
      <c r="L1289">
        <f>IFERROR(VLOOKUP(A1289,库龄!B:M,11,0),0)</f>
        <v>0</v>
      </c>
      <c r="M1289">
        <f>IFERROR(VLOOKUP(A1289,库龄!B:N,12,0),0)</f>
        <v>0</v>
      </c>
      <c r="N1289">
        <f t="shared" si="42"/>
        <v>0</v>
      </c>
    </row>
    <row r="1290" spans="1:14">
      <c r="A1290" s="3" t="s">
        <v>3265</v>
      </c>
      <c r="B1290">
        <f>IFERROR(VLOOKUP(A1290,管理亚马逊库存!A:K,11,0),"")</f>
        <v>0</v>
      </c>
      <c r="C1290">
        <f>IFERROR(VLOOKUP(A1290,管理亚马逊库存!A:L,12,0),"")</f>
        <v>0</v>
      </c>
      <c r="D1290">
        <f>IFERROR(VLOOKUP(A1290,管理亚马逊库存!A:Q,17,0),"")</f>
        <v>0</v>
      </c>
      <c r="E1290">
        <f>IFERROR(VLOOKUP(A1290,管理亚马逊库存!A:R,18,0),"")</f>
        <v>0</v>
      </c>
      <c r="F1290">
        <f t="shared" si="41"/>
        <v>0</v>
      </c>
      <c r="G1290" t="str">
        <f>IFERROR(VLOOKUP(A1290,预留库存!A:G,7,0),0)</f>
        <v>No</v>
      </c>
      <c r="H1290">
        <f>IFERROR(VLOOKUP(A1290,预留库存!A:H,8,0),0)</f>
        <v>0</v>
      </c>
      <c r="I1290">
        <f>IFERROR(VLOOKUP(A1290,预留库存!A:F,6,0),0)</f>
        <v>21.4</v>
      </c>
      <c r="J1290">
        <f>IFERROR(VLOOKUP(A1290,库龄!B:K,9,0),0)</f>
        <v>0</v>
      </c>
      <c r="K1290">
        <f>IFERROR(VLOOKUP(A1290,库龄!B:L,10,0),0)</f>
        <v>0</v>
      </c>
      <c r="L1290">
        <f>IFERROR(VLOOKUP(A1290,库龄!B:M,11,0),0)</f>
        <v>0</v>
      </c>
      <c r="M1290">
        <f>IFERROR(VLOOKUP(A1290,库龄!B:N,12,0),0)</f>
        <v>0</v>
      </c>
      <c r="N1290">
        <f t="shared" si="42"/>
        <v>0</v>
      </c>
    </row>
    <row r="1291" spans="1:14">
      <c r="A1291" s="3" t="s">
        <v>3269</v>
      </c>
      <c r="B1291">
        <f>IFERROR(VLOOKUP(A1291,管理亚马逊库存!A:K,11,0),"")</f>
        <v>0</v>
      </c>
      <c r="C1291">
        <f>IFERROR(VLOOKUP(A1291,管理亚马逊库存!A:L,12,0),"")</f>
        <v>0</v>
      </c>
      <c r="D1291">
        <f>IFERROR(VLOOKUP(A1291,管理亚马逊库存!A:Q,17,0),"")</f>
        <v>0</v>
      </c>
      <c r="E1291">
        <f>IFERROR(VLOOKUP(A1291,管理亚马逊库存!A:R,18,0),"")</f>
        <v>0</v>
      </c>
      <c r="F1291">
        <f t="shared" si="41"/>
        <v>0</v>
      </c>
      <c r="G1291" t="str">
        <f>IFERROR(VLOOKUP(A1291,预留库存!A:G,7,0),0)</f>
        <v>No</v>
      </c>
      <c r="H1291">
        <f>IFERROR(VLOOKUP(A1291,预留库存!A:H,8,0),0)</f>
        <v>0</v>
      </c>
      <c r="I1291">
        <f>IFERROR(VLOOKUP(A1291,预留库存!A:F,6,0),0)</f>
        <v>21.4</v>
      </c>
      <c r="J1291">
        <f>IFERROR(VLOOKUP(A1291,库龄!B:K,9,0),0)</f>
        <v>0</v>
      </c>
      <c r="K1291">
        <f>IFERROR(VLOOKUP(A1291,库龄!B:L,10,0),0)</f>
        <v>0</v>
      </c>
      <c r="L1291">
        <f>IFERROR(VLOOKUP(A1291,库龄!B:M,11,0),0)</f>
        <v>0</v>
      </c>
      <c r="M1291">
        <f>IFERROR(VLOOKUP(A1291,库龄!B:N,12,0),0)</f>
        <v>0</v>
      </c>
      <c r="N1291">
        <f t="shared" si="42"/>
        <v>0</v>
      </c>
    </row>
    <row r="1292" spans="1:14">
      <c r="A1292" s="3" t="s">
        <v>3273</v>
      </c>
      <c r="B1292">
        <f>IFERROR(VLOOKUP(A1292,管理亚马逊库存!A:K,11,0),"")</f>
        <v>0</v>
      </c>
      <c r="C1292">
        <f>IFERROR(VLOOKUP(A1292,管理亚马逊库存!A:L,12,0),"")</f>
        <v>0</v>
      </c>
      <c r="D1292">
        <f>IFERROR(VLOOKUP(A1292,管理亚马逊库存!A:Q,17,0),"")</f>
        <v>0</v>
      </c>
      <c r="E1292">
        <f>IFERROR(VLOOKUP(A1292,管理亚马逊库存!A:R,18,0),"")</f>
        <v>0</v>
      </c>
      <c r="F1292">
        <f t="shared" si="41"/>
        <v>0</v>
      </c>
      <c r="G1292" t="str">
        <f>IFERROR(VLOOKUP(A1292,预留库存!A:G,7,0),0)</f>
        <v>No</v>
      </c>
      <c r="H1292">
        <f>IFERROR(VLOOKUP(A1292,预留库存!A:H,8,0),0)</f>
        <v>0</v>
      </c>
      <c r="I1292">
        <f>IFERROR(VLOOKUP(A1292,预留库存!A:F,6,0),0)</f>
        <v>22.7</v>
      </c>
      <c r="J1292">
        <f>IFERROR(VLOOKUP(A1292,库龄!B:K,9,0),0)</f>
        <v>0</v>
      </c>
      <c r="K1292">
        <f>IFERROR(VLOOKUP(A1292,库龄!B:L,10,0),0)</f>
        <v>0</v>
      </c>
      <c r="L1292">
        <f>IFERROR(VLOOKUP(A1292,库龄!B:M,11,0),0)</f>
        <v>0</v>
      </c>
      <c r="M1292">
        <f>IFERROR(VLOOKUP(A1292,库龄!B:N,12,0),0)</f>
        <v>0</v>
      </c>
      <c r="N1292">
        <f t="shared" si="42"/>
        <v>0</v>
      </c>
    </row>
    <row r="1293" spans="1:14">
      <c r="A1293" s="3" t="s">
        <v>3277</v>
      </c>
      <c r="B1293">
        <f>IFERROR(VLOOKUP(A1293,管理亚马逊库存!A:K,11,0),"")</f>
        <v>0</v>
      </c>
      <c r="C1293">
        <f>IFERROR(VLOOKUP(A1293,管理亚马逊库存!A:L,12,0),"")</f>
        <v>0</v>
      </c>
      <c r="D1293">
        <f>IFERROR(VLOOKUP(A1293,管理亚马逊库存!A:Q,17,0),"")</f>
        <v>0</v>
      </c>
      <c r="E1293">
        <f>IFERROR(VLOOKUP(A1293,管理亚马逊库存!A:R,18,0),"")</f>
        <v>0</v>
      </c>
      <c r="F1293">
        <f t="shared" si="41"/>
        <v>0</v>
      </c>
      <c r="G1293" t="str">
        <f>IFERROR(VLOOKUP(A1293,预留库存!A:G,7,0),0)</f>
        <v>No</v>
      </c>
      <c r="H1293">
        <f>IFERROR(VLOOKUP(A1293,预留库存!A:H,8,0),0)</f>
        <v>0</v>
      </c>
      <c r="I1293">
        <f>IFERROR(VLOOKUP(A1293,预留库存!A:F,6,0),0)</f>
        <v>22.7</v>
      </c>
      <c r="J1293">
        <f>IFERROR(VLOOKUP(A1293,库龄!B:K,9,0),0)</f>
        <v>0</v>
      </c>
      <c r="K1293">
        <f>IFERROR(VLOOKUP(A1293,库龄!B:L,10,0),0)</f>
        <v>0</v>
      </c>
      <c r="L1293">
        <f>IFERROR(VLOOKUP(A1293,库龄!B:M,11,0),0)</f>
        <v>0</v>
      </c>
      <c r="M1293">
        <f>IFERROR(VLOOKUP(A1293,库龄!B:N,12,0),0)</f>
        <v>0</v>
      </c>
      <c r="N1293">
        <f t="shared" si="42"/>
        <v>0</v>
      </c>
    </row>
    <row r="1294" spans="1:14">
      <c r="A1294" s="3" t="s">
        <v>3281</v>
      </c>
      <c r="B1294">
        <f>IFERROR(VLOOKUP(A1294,管理亚马逊库存!A:K,11,0),"")</f>
        <v>0</v>
      </c>
      <c r="C1294">
        <f>IFERROR(VLOOKUP(A1294,管理亚马逊库存!A:L,12,0),"")</f>
        <v>0</v>
      </c>
      <c r="D1294">
        <f>IFERROR(VLOOKUP(A1294,管理亚马逊库存!A:Q,17,0),"")</f>
        <v>0</v>
      </c>
      <c r="E1294">
        <f>IFERROR(VLOOKUP(A1294,管理亚马逊库存!A:R,18,0),"")</f>
        <v>0</v>
      </c>
      <c r="F1294">
        <f t="shared" si="41"/>
        <v>0</v>
      </c>
      <c r="G1294" t="str">
        <f>IFERROR(VLOOKUP(A1294,预留库存!A:G,7,0),0)</f>
        <v>No</v>
      </c>
      <c r="H1294">
        <f>IFERROR(VLOOKUP(A1294,预留库存!A:H,8,0),0)</f>
        <v>0</v>
      </c>
      <c r="I1294">
        <f>IFERROR(VLOOKUP(A1294,预留库存!A:F,6,0),0)</f>
        <v>22.7</v>
      </c>
      <c r="J1294">
        <f>IFERROR(VLOOKUP(A1294,库龄!B:K,9,0),0)</f>
        <v>0</v>
      </c>
      <c r="K1294">
        <f>IFERROR(VLOOKUP(A1294,库龄!B:L,10,0),0)</f>
        <v>0</v>
      </c>
      <c r="L1294">
        <f>IFERROR(VLOOKUP(A1294,库龄!B:M,11,0),0)</f>
        <v>0</v>
      </c>
      <c r="M1294">
        <f>IFERROR(VLOOKUP(A1294,库龄!B:N,12,0),0)</f>
        <v>0</v>
      </c>
      <c r="N1294">
        <f t="shared" si="42"/>
        <v>0</v>
      </c>
    </row>
    <row r="1295" spans="1:14">
      <c r="A1295" s="3" t="s">
        <v>3285</v>
      </c>
      <c r="B1295">
        <f>IFERROR(VLOOKUP(A1295,管理亚马逊库存!A:K,11,0),"")</f>
        <v>0</v>
      </c>
      <c r="C1295">
        <f>IFERROR(VLOOKUP(A1295,管理亚马逊库存!A:L,12,0),"")</f>
        <v>0</v>
      </c>
      <c r="D1295">
        <f>IFERROR(VLOOKUP(A1295,管理亚马逊库存!A:Q,17,0),"")</f>
        <v>0</v>
      </c>
      <c r="E1295">
        <f>IFERROR(VLOOKUP(A1295,管理亚马逊库存!A:R,18,0),"")</f>
        <v>0</v>
      </c>
      <c r="F1295">
        <f t="shared" si="41"/>
        <v>0</v>
      </c>
      <c r="G1295" t="str">
        <f>IFERROR(VLOOKUP(A1295,预留库存!A:G,7,0),0)</f>
        <v>No</v>
      </c>
      <c r="H1295">
        <f>IFERROR(VLOOKUP(A1295,预留库存!A:H,8,0),0)</f>
        <v>0</v>
      </c>
      <c r="I1295">
        <f>IFERROR(VLOOKUP(A1295,预留库存!A:F,6,0),0)</f>
        <v>21.4</v>
      </c>
      <c r="J1295">
        <f>IFERROR(VLOOKUP(A1295,库龄!B:K,9,0),0)</f>
        <v>0</v>
      </c>
      <c r="K1295">
        <f>IFERROR(VLOOKUP(A1295,库龄!B:L,10,0),0)</f>
        <v>0</v>
      </c>
      <c r="L1295">
        <f>IFERROR(VLOOKUP(A1295,库龄!B:M,11,0),0)</f>
        <v>0</v>
      </c>
      <c r="M1295">
        <f>IFERROR(VLOOKUP(A1295,库龄!B:N,12,0),0)</f>
        <v>0</v>
      </c>
      <c r="N1295">
        <f t="shared" si="42"/>
        <v>0</v>
      </c>
    </row>
    <row r="1296" spans="1:14">
      <c r="A1296" s="3" t="s">
        <v>3289</v>
      </c>
      <c r="B1296">
        <f>IFERROR(VLOOKUP(A1296,管理亚马逊库存!A:K,11,0),"")</f>
        <v>0</v>
      </c>
      <c r="C1296">
        <f>IFERROR(VLOOKUP(A1296,管理亚马逊库存!A:L,12,0),"")</f>
        <v>0</v>
      </c>
      <c r="D1296">
        <f>IFERROR(VLOOKUP(A1296,管理亚马逊库存!A:Q,17,0),"")</f>
        <v>0</v>
      </c>
      <c r="E1296">
        <f>IFERROR(VLOOKUP(A1296,管理亚马逊库存!A:R,18,0),"")</f>
        <v>0</v>
      </c>
      <c r="F1296">
        <f t="shared" si="41"/>
        <v>0</v>
      </c>
      <c r="G1296" t="str">
        <f>IFERROR(VLOOKUP(A1296,预留库存!A:G,7,0),0)</f>
        <v>No</v>
      </c>
      <c r="H1296">
        <f>IFERROR(VLOOKUP(A1296,预留库存!A:H,8,0),0)</f>
        <v>0</v>
      </c>
      <c r="I1296">
        <f>IFERROR(VLOOKUP(A1296,预留库存!A:F,6,0),0)</f>
        <v>22.7</v>
      </c>
      <c r="J1296">
        <f>IFERROR(VLOOKUP(A1296,库龄!B:K,9,0),0)</f>
        <v>0</v>
      </c>
      <c r="K1296">
        <f>IFERROR(VLOOKUP(A1296,库龄!B:L,10,0),0)</f>
        <v>0</v>
      </c>
      <c r="L1296">
        <f>IFERROR(VLOOKUP(A1296,库龄!B:M,11,0),0)</f>
        <v>0</v>
      </c>
      <c r="M1296">
        <f>IFERROR(VLOOKUP(A1296,库龄!B:N,12,0),0)</f>
        <v>0</v>
      </c>
      <c r="N1296">
        <f t="shared" si="42"/>
        <v>0</v>
      </c>
    </row>
    <row r="1297" spans="1:14">
      <c r="A1297" s="3" t="s">
        <v>3293</v>
      </c>
      <c r="B1297">
        <f>IFERROR(VLOOKUP(A1297,管理亚马逊库存!A:K,11,0),"")</f>
        <v>0</v>
      </c>
      <c r="C1297">
        <f>IFERROR(VLOOKUP(A1297,管理亚马逊库存!A:L,12,0),"")</f>
        <v>0</v>
      </c>
      <c r="D1297">
        <f>IFERROR(VLOOKUP(A1297,管理亚马逊库存!A:Q,17,0),"")</f>
        <v>0</v>
      </c>
      <c r="E1297">
        <f>IFERROR(VLOOKUP(A1297,管理亚马逊库存!A:R,18,0),"")</f>
        <v>0</v>
      </c>
      <c r="F1297">
        <f t="shared" si="41"/>
        <v>0</v>
      </c>
      <c r="G1297" t="str">
        <f>IFERROR(VLOOKUP(A1297,预留库存!A:G,7,0),0)</f>
        <v>No</v>
      </c>
      <c r="H1297">
        <f>IFERROR(VLOOKUP(A1297,预留库存!A:H,8,0),0)</f>
        <v>0</v>
      </c>
      <c r="I1297">
        <f>IFERROR(VLOOKUP(A1297,预留库存!A:F,6,0),0)</f>
        <v>22.98</v>
      </c>
      <c r="J1297">
        <f>IFERROR(VLOOKUP(A1297,库龄!B:K,9,0),0)</f>
        <v>0</v>
      </c>
      <c r="K1297">
        <f>IFERROR(VLOOKUP(A1297,库龄!B:L,10,0),0)</f>
        <v>0</v>
      </c>
      <c r="L1297">
        <f>IFERROR(VLOOKUP(A1297,库龄!B:M,11,0),0)</f>
        <v>0</v>
      </c>
      <c r="M1297">
        <f>IFERROR(VLOOKUP(A1297,库龄!B:N,12,0),0)</f>
        <v>0</v>
      </c>
      <c r="N1297">
        <f t="shared" si="42"/>
        <v>0</v>
      </c>
    </row>
    <row r="1298" spans="1:14">
      <c r="A1298" s="3" t="s">
        <v>3297</v>
      </c>
      <c r="B1298">
        <f>IFERROR(VLOOKUP(A1298,管理亚马逊库存!A:K,11,0),"")</f>
        <v>0</v>
      </c>
      <c r="C1298">
        <f>IFERROR(VLOOKUP(A1298,管理亚马逊库存!A:L,12,0),"")</f>
        <v>0</v>
      </c>
      <c r="D1298">
        <f>IFERROR(VLOOKUP(A1298,管理亚马逊库存!A:Q,17,0),"")</f>
        <v>0</v>
      </c>
      <c r="E1298">
        <f>IFERROR(VLOOKUP(A1298,管理亚马逊库存!A:R,18,0),"")</f>
        <v>0</v>
      </c>
      <c r="F1298">
        <f t="shared" si="41"/>
        <v>0</v>
      </c>
      <c r="G1298" t="str">
        <f>IFERROR(VLOOKUP(A1298,预留库存!A:G,7,0),0)</f>
        <v>No</v>
      </c>
      <c r="H1298">
        <f>IFERROR(VLOOKUP(A1298,预留库存!A:H,8,0),0)</f>
        <v>0</v>
      </c>
      <c r="I1298">
        <f>IFERROR(VLOOKUP(A1298,预留库存!A:F,6,0),0)</f>
        <v>22.7</v>
      </c>
      <c r="J1298">
        <f>IFERROR(VLOOKUP(A1298,库龄!B:K,9,0),0)</f>
        <v>0</v>
      </c>
      <c r="K1298">
        <f>IFERROR(VLOOKUP(A1298,库龄!B:L,10,0),0)</f>
        <v>0</v>
      </c>
      <c r="L1298">
        <f>IFERROR(VLOOKUP(A1298,库龄!B:M,11,0),0)</f>
        <v>0</v>
      </c>
      <c r="M1298">
        <f>IFERROR(VLOOKUP(A1298,库龄!B:N,12,0),0)</f>
        <v>0</v>
      </c>
      <c r="N1298">
        <f t="shared" si="42"/>
        <v>0</v>
      </c>
    </row>
    <row r="1299" spans="1:14">
      <c r="A1299" s="3" t="s">
        <v>3301</v>
      </c>
      <c r="B1299">
        <f>IFERROR(VLOOKUP(A1299,管理亚马逊库存!A:K,11,0),"")</f>
        <v>22</v>
      </c>
      <c r="C1299">
        <f>IFERROR(VLOOKUP(A1299,管理亚马逊库存!A:L,12,0),"")</f>
        <v>1</v>
      </c>
      <c r="D1299">
        <f>IFERROR(VLOOKUP(A1299,管理亚马逊库存!A:Q,17,0),"")</f>
        <v>0</v>
      </c>
      <c r="E1299">
        <f>IFERROR(VLOOKUP(A1299,管理亚马逊库存!A:R,18,0),"")</f>
        <v>0</v>
      </c>
      <c r="F1299">
        <f t="shared" si="41"/>
        <v>0</v>
      </c>
      <c r="G1299" t="str">
        <f>IFERROR(VLOOKUP(A1299,预留库存!A:G,7,0),0)</f>
        <v>No</v>
      </c>
      <c r="H1299">
        <f>IFERROR(VLOOKUP(A1299,预留库存!A:H,8,0),0)</f>
        <v>0</v>
      </c>
      <c r="I1299">
        <f>IFERROR(VLOOKUP(A1299,预留库存!A:F,6,0),0)</f>
        <v>69.9</v>
      </c>
      <c r="J1299">
        <f>IFERROR(VLOOKUP(A1299,库龄!B:K,9,0),0)</f>
        <v>0</v>
      </c>
      <c r="K1299">
        <f>IFERROR(VLOOKUP(A1299,库龄!B:L,10,0),0)</f>
        <v>0</v>
      </c>
      <c r="L1299">
        <f>IFERROR(VLOOKUP(A1299,库龄!B:M,11,0),0)</f>
        <v>0</v>
      </c>
      <c r="M1299">
        <f>IFERROR(VLOOKUP(A1299,库龄!B:N,12,0),0)</f>
        <v>0</v>
      </c>
      <c r="N1299">
        <f t="shared" si="42"/>
        <v>0</v>
      </c>
    </row>
    <row r="1300" spans="1:14">
      <c r="A1300" s="3" t="s">
        <v>3305</v>
      </c>
      <c r="B1300">
        <f>IFERROR(VLOOKUP(A1300,管理亚马逊库存!A:K,11,0),"")</f>
        <v>26</v>
      </c>
      <c r="C1300">
        <f>IFERROR(VLOOKUP(A1300,管理亚马逊库存!A:L,12,0),"")</f>
        <v>0</v>
      </c>
      <c r="D1300">
        <f>IFERROR(VLOOKUP(A1300,管理亚马逊库存!A:Q,17,0),"")</f>
        <v>0</v>
      </c>
      <c r="E1300">
        <f>IFERROR(VLOOKUP(A1300,管理亚马逊库存!A:R,18,0),"")</f>
        <v>0</v>
      </c>
      <c r="F1300">
        <f t="shared" si="41"/>
        <v>0</v>
      </c>
      <c r="G1300" t="str">
        <f>IFERROR(VLOOKUP(A1300,预留库存!A:G,7,0),0)</f>
        <v>No</v>
      </c>
      <c r="H1300">
        <f>IFERROR(VLOOKUP(A1300,预留库存!A:H,8,0),0)</f>
        <v>0</v>
      </c>
      <c r="I1300">
        <f>IFERROR(VLOOKUP(A1300,预留库存!A:F,6,0),0)</f>
        <v>69.9</v>
      </c>
      <c r="J1300">
        <f>IFERROR(VLOOKUP(A1300,库龄!B:K,9,0),0)</f>
        <v>0</v>
      </c>
      <c r="K1300">
        <f>IFERROR(VLOOKUP(A1300,库龄!B:L,10,0),0)</f>
        <v>0</v>
      </c>
      <c r="L1300">
        <f>IFERROR(VLOOKUP(A1300,库龄!B:M,11,0),0)</f>
        <v>0</v>
      </c>
      <c r="M1300">
        <f>IFERROR(VLOOKUP(A1300,库龄!B:N,12,0),0)</f>
        <v>0</v>
      </c>
      <c r="N1300">
        <f t="shared" si="42"/>
        <v>0</v>
      </c>
    </row>
    <row r="1301" spans="1:14">
      <c r="A1301" s="3" t="s">
        <v>3309</v>
      </c>
      <c r="B1301">
        <f>IFERROR(VLOOKUP(A1301,管理亚马逊库存!A:K,11,0),"")</f>
        <v>0</v>
      </c>
      <c r="C1301">
        <f>IFERROR(VLOOKUP(A1301,管理亚马逊库存!A:L,12,0),"")</f>
        <v>0</v>
      </c>
      <c r="D1301">
        <f>IFERROR(VLOOKUP(A1301,管理亚马逊库存!A:Q,17,0),"")</f>
        <v>0</v>
      </c>
      <c r="E1301">
        <f>IFERROR(VLOOKUP(A1301,管理亚马逊库存!A:R,18,0),"")</f>
        <v>0</v>
      </c>
      <c r="F1301">
        <f t="shared" si="41"/>
        <v>0</v>
      </c>
      <c r="G1301" t="str">
        <f>IFERROR(VLOOKUP(A1301,预留库存!A:G,7,0),0)</f>
        <v>No</v>
      </c>
      <c r="H1301">
        <f>IFERROR(VLOOKUP(A1301,预留库存!A:H,8,0),0)</f>
        <v>0</v>
      </c>
      <c r="I1301">
        <f>IFERROR(VLOOKUP(A1301,预留库存!A:F,6,0),0)</f>
        <v>69.9</v>
      </c>
      <c r="J1301">
        <f>IFERROR(VLOOKUP(A1301,库龄!B:K,9,0),0)</f>
        <v>0</v>
      </c>
      <c r="K1301">
        <f>IFERROR(VLOOKUP(A1301,库龄!B:L,10,0),0)</f>
        <v>0</v>
      </c>
      <c r="L1301">
        <f>IFERROR(VLOOKUP(A1301,库龄!B:M,11,0),0)</f>
        <v>0</v>
      </c>
      <c r="M1301">
        <f>IFERROR(VLOOKUP(A1301,库龄!B:N,12,0),0)</f>
        <v>0</v>
      </c>
      <c r="N1301">
        <f t="shared" si="42"/>
        <v>0</v>
      </c>
    </row>
    <row r="1302" spans="1:14">
      <c r="A1302" s="3" t="s">
        <v>3313</v>
      </c>
      <c r="B1302">
        <f>IFERROR(VLOOKUP(A1302,管理亚马逊库存!A:K,11,0),"")</f>
        <v>25</v>
      </c>
      <c r="C1302">
        <f>IFERROR(VLOOKUP(A1302,管理亚马逊库存!A:L,12,0),"")</f>
        <v>0</v>
      </c>
      <c r="D1302">
        <f>IFERROR(VLOOKUP(A1302,管理亚马逊库存!A:Q,17,0),"")</f>
        <v>0</v>
      </c>
      <c r="E1302">
        <f>IFERROR(VLOOKUP(A1302,管理亚马逊库存!A:R,18,0),"")</f>
        <v>0</v>
      </c>
      <c r="F1302">
        <f t="shared" si="41"/>
        <v>0</v>
      </c>
      <c r="G1302" t="str">
        <f>IFERROR(VLOOKUP(A1302,预留库存!A:G,7,0),0)</f>
        <v>No</v>
      </c>
      <c r="H1302">
        <f>IFERROR(VLOOKUP(A1302,预留库存!A:H,8,0),0)</f>
        <v>0</v>
      </c>
      <c r="I1302">
        <f>IFERROR(VLOOKUP(A1302,预留库存!A:F,6,0),0)</f>
        <v>22.98</v>
      </c>
      <c r="J1302">
        <f>IFERROR(VLOOKUP(A1302,库龄!B:K,9,0),0)</f>
        <v>0</v>
      </c>
      <c r="K1302">
        <f>IFERROR(VLOOKUP(A1302,库龄!B:L,10,0),0)</f>
        <v>0</v>
      </c>
      <c r="L1302">
        <f>IFERROR(VLOOKUP(A1302,库龄!B:M,11,0),0)</f>
        <v>0</v>
      </c>
      <c r="M1302">
        <f>IFERROR(VLOOKUP(A1302,库龄!B:N,12,0),0)</f>
        <v>0</v>
      </c>
      <c r="N1302">
        <f t="shared" si="42"/>
        <v>0</v>
      </c>
    </row>
    <row r="1303" spans="1:14">
      <c r="A1303" s="3" t="s">
        <v>3316</v>
      </c>
      <c r="B1303">
        <f>IFERROR(VLOOKUP(A1303,管理亚马逊库存!A:K,11,0),"")</f>
        <v>0</v>
      </c>
      <c r="C1303">
        <f>IFERROR(VLOOKUP(A1303,管理亚马逊库存!A:L,12,0),"")</f>
        <v>0</v>
      </c>
      <c r="D1303">
        <f>IFERROR(VLOOKUP(A1303,管理亚马逊库存!A:Q,17,0),"")</f>
        <v>0</v>
      </c>
      <c r="E1303">
        <f>IFERROR(VLOOKUP(A1303,管理亚马逊库存!A:R,18,0),"")</f>
        <v>0</v>
      </c>
      <c r="F1303">
        <f t="shared" si="41"/>
        <v>0</v>
      </c>
      <c r="G1303" t="str">
        <f>IFERROR(VLOOKUP(A1303,预留库存!A:G,7,0),0)</f>
        <v>No</v>
      </c>
      <c r="H1303">
        <f>IFERROR(VLOOKUP(A1303,预留库存!A:H,8,0),0)</f>
        <v>0</v>
      </c>
      <c r="I1303">
        <f>IFERROR(VLOOKUP(A1303,预留库存!A:F,6,0),0)</f>
        <v>22.98</v>
      </c>
      <c r="J1303">
        <f>IFERROR(VLOOKUP(A1303,库龄!B:K,9,0),0)</f>
        <v>0</v>
      </c>
      <c r="K1303">
        <f>IFERROR(VLOOKUP(A1303,库龄!B:L,10,0),0)</f>
        <v>0</v>
      </c>
      <c r="L1303">
        <f>IFERROR(VLOOKUP(A1303,库龄!B:M,11,0),0)</f>
        <v>0</v>
      </c>
      <c r="M1303">
        <f>IFERROR(VLOOKUP(A1303,库龄!B:N,12,0),0)</f>
        <v>0</v>
      </c>
      <c r="N1303">
        <f t="shared" si="42"/>
        <v>0</v>
      </c>
    </row>
    <row r="1304" spans="1:14">
      <c r="A1304" s="3" t="s">
        <v>3320</v>
      </c>
      <c r="B1304">
        <f>IFERROR(VLOOKUP(A1304,管理亚马逊库存!A:K,11,0),"")</f>
        <v>0</v>
      </c>
      <c r="C1304">
        <f>IFERROR(VLOOKUP(A1304,管理亚马逊库存!A:L,12,0),"")</f>
        <v>0</v>
      </c>
      <c r="D1304">
        <f>IFERROR(VLOOKUP(A1304,管理亚马逊库存!A:Q,17,0),"")</f>
        <v>0</v>
      </c>
      <c r="E1304">
        <f>IFERROR(VLOOKUP(A1304,管理亚马逊库存!A:R,18,0),"")</f>
        <v>0</v>
      </c>
      <c r="F1304">
        <f t="shared" si="41"/>
        <v>0</v>
      </c>
      <c r="G1304" t="str">
        <f>IFERROR(VLOOKUP(A1304,预留库存!A:G,7,0),0)</f>
        <v>No</v>
      </c>
      <c r="H1304">
        <f>IFERROR(VLOOKUP(A1304,预留库存!A:H,8,0),0)</f>
        <v>0</v>
      </c>
      <c r="I1304">
        <f>IFERROR(VLOOKUP(A1304,预留库存!A:F,6,0),0)</f>
        <v>22.98</v>
      </c>
      <c r="J1304">
        <f>IFERROR(VLOOKUP(A1304,库龄!B:K,9,0),0)</f>
        <v>0</v>
      </c>
      <c r="K1304">
        <f>IFERROR(VLOOKUP(A1304,库龄!B:L,10,0),0)</f>
        <v>0</v>
      </c>
      <c r="L1304">
        <f>IFERROR(VLOOKUP(A1304,库龄!B:M,11,0),0)</f>
        <v>0</v>
      </c>
      <c r="M1304">
        <f>IFERROR(VLOOKUP(A1304,库龄!B:N,12,0),0)</f>
        <v>0</v>
      </c>
      <c r="N1304">
        <f t="shared" si="42"/>
        <v>0</v>
      </c>
    </row>
    <row r="1305" spans="1:14">
      <c r="A1305" s="3" t="s">
        <v>3324</v>
      </c>
      <c r="B1305">
        <f>IFERROR(VLOOKUP(A1305,管理亚马逊库存!A:K,11,0),"")</f>
        <v>0</v>
      </c>
      <c r="C1305">
        <f>IFERROR(VLOOKUP(A1305,管理亚马逊库存!A:L,12,0),"")</f>
        <v>0</v>
      </c>
      <c r="D1305">
        <f>IFERROR(VLOOKUP(A1305,管理亚马逊库存!A:Q,17,0),"")</f>
        <v>0</v>
      </c>
      <c r="E1305">
        <f>IFERROR(VLOOKUP(A1305,管理亚马逊库存!A:R,18,0),"")</f>
        <v>0</v>
      </c>
      <c r="F1305">
        <f t="shared" si="41"/>
        <v>0</v>
      </c>
      <c r="G1305" t="str">
        <f>IFERROR(VLOOKUP(A1305,预留库存!A:G,7,0),0)</f>
        <v>No</v>
      </c>
      <c r="H1305">
        <f>IFERROR(VLOOKUP(A1305,预留库存!A:H,8,0),0)</f>
        <v>0</v>
      </c>
      <c r="I1305">
        <f>IFERROR(VLOOKUP(A1305,预留库存!A:F,6,0),0)</f>
        <v>22.98</v>
      </c>
      <c r="J1305">
        <f>IFERROR(VLOOKUP(A1305,库龄!B:K,9,0),0)</f>
        <v>0</v>
      </c>
      <c r="K1305">
        <f>IFERROR(VLOOKUP(A1305,库龄!B:L,10,0),0)</f>
        <v>0</v>
      </c>
      <c r="L1305">
        <f>IFERROR(VLOOKUP(A1305,库龄!B:M,11,0),0)</f>
        <v>0</v>
      </c>
      <c r="M1305">
        <f>IFERROR(VLOOKUP(A1305,库龄!B:N,12,0),0)</f>
        <v>0</v>
      </c>
      <c r="N1305">
        <f t="shared" si="42"/>
        <v>0</v>
      </c>
    </row>
    <row r="1306" spans="1:14">
      <c r="A1306" s="3" t="s">
        <v>3328</v>
      </c>
      <c r="B1306">
        <f>IFERROR(VLOOKUP(A1306,管理亚马逊库存!A:K,11,0),"")</f>
        <v>0</v>
      </c>
      <c r="C1306">
        <f>IFERROR(VLOOKUP(A1306,管理亚马逊库存!A:L,12,0),"")</f>
        <v>0</v>
      </c>
      <c r="D1306">
        <f>IFERROR(VLOOKUP(A1306,管理亚马逊库存!A:Q,17,0),"")</f>
        <v>0</v>
      </c>
      <c r="E1306">
        <f>IFERROR(VLOOKUP(A1306,管理亚马逊库存!A:R,18,0),"")</f>
        <v>0</v>
      </c>
      <c r="F1306">
        <f t="shared" si="41"/>
        <v>0</v>
      </c>
      <c r="G1306" t="str">
        <f>IFERROR(VLOOKUP(A1306,预留库存!A:G,7,0),0)</f>
        <v>No</v>
      </c>
      <c r="H1306">
        <f>IFERROR(VLOOKUP(A1306,预留库存!A:H,8,0),0)</f>
        <v>0</v>
      </c>
      <c r="I1306">
        <f>IFERROR(VLOOKUP(A1306,预留库存!A:F,6,0),0)</f>
        <v>22.98</v>
      </c>
      <c r="J1306">
        <f>IFERROR(VLOOKUP(A1306,库龄!B:K,9,0),0)</f>
        <v>0</v>
      </c>
      <c r="K1306">
        <f>IFERROR(VLOOKUP(A1306,库龄!B:L,10,0),0)</f>
        <v>0</v>
      </c>
      <c r="L1306">
        <f>IFERROR(VLOOKUP(A1306,库龄!B:M,11,0),0)</f>
        <v>0</v>
      </c>
      <c r="M1306">
        <f>IFERROR(VLOOKUP(A1306,库龄!B:N,12,0),0)</f>
        <v>0</v>
      </c>
      <c r="N1306">
        <f t="shared" si="42"/>
        <v>0</v>
      </c>
    </row>
    <row r="1307" spans="1:14">
      <c r="A1307" s="3" t="s">
        <v>3332</v>
      </c>
      <c r="B1307">
        <f>IFERROR(VLOOKUP(A1307,管理亚马逊库存!A:K,11,0),"")</f>
        <v>0</v>
      </c>
      <c r="C1307">
        <f>IFERROR(VLOOKUP(A1307,管理亚马逊库存!A:L,12,0),"")</f>
        <v>0</v>
      </c>
      <c r="D1307">
        <f>IFERROR(VLOOKUP(A1307,管理亚马逊库存!A:Q,17,0),"")</f>
        <v>0</v>
      </c>
      <c r="E1307">
        <f>IFERROR(VLOOKUP(A1307,管理亚马逊库存!A:R,18,0),"")</f>
        <v>0</v>
      </c>
      <c r="F1307">
        <f t="shared" si="41"/>
        <v>0</v>
      </c>
      <c r="G1307" t="str">
        <f>IFERROR(VLOOKUP(A1307,预留库存!A:G,7,0),0)</f>
        <v>No</v>
      </c>
      <c r="H1307">
        <f>IFERROR(VLOOKUP(A1307,预留库存!A:H,8,0),0)</f>
        <v>0</v>
      </c>
      <c r="I1307">
        <f>IFERROR(VLOOKUP(A1307,预留库存!A:F,6,0),0)</f>
        <v>22.98</v>
      </c>
      <c r="J1307">
        <f>IFERROR(VLOOKUP(A1307,库龄!B:K,9,0),0)</f>
        <v>0</v>
      </c>
      <c r="K1307">
        <f>IFERROR(VLOOKUP(A1307,库龄!B:L,10,0),0)</f>
        <v>0</v>
      </c>
      <c r="L1307">
        <f>IFERROR(VLOOKUP(A1307,库龄!B:M,11,0),0)</f>
        <v>0</v>
      </c>
      <c r="M1307">
        <f>IFERROR(VLOOKUP(A1307,库龄!B:N,12,0),0)</f>
        <v>0</v>
      </c>
      <c r="N1307">
        <f t="shared" si="42"/>
        <v>0</v>
      </c>
    </row>
    <row r="1308" spans="1:14">
      <c r="A1308" s="3" t="s">
        <v>3336</v>
      </c>
      <c r="B1308">
        <f>IFERROR(VLOOKUP(A1308,管理亚马逊库存!A:K,11,0),"")</f>
        <v>0</v>
      </c>
      <c r="C1308">
        <f>IFERROR(VLOOKUP(A1308,管理亚马逊库存!A:L,12,0),"")</f>
        <v>0</v>
      </c>
      <c r="D1308">
        <f>IFERROR(VLOOKUP(A1308,管理亚马逊库存!A:Q,17,0),"")</f>
        <v>0</v>
      </c>
      <c r="E1308">
        <f>IFERROR(VLOOKUP(A1308,管理亚马逊库存!A:R,18,0),"")</f>
        <v>0</v>
      </c>
      <c r="F1308">
        <f t="shared" si="41"/>
        <v>0</v>
      </c>
      <c r="G1308" t="str">
        <f>IFERROR(VLOOKUP(A1308,预留库存!A:G,7,0),0)</f>
        <v>No</v>
      </c>
      <c r="H1308">
        <f>IFERROR(VLOOKUP(A1308,预留库存!A:H,8,0),0)</f>
        <v>0</v>
      </c>
      <c r="I1308">
        <f>IFERROR(VLOOKUP(A1308,预留库存!A:F,6,0),0)</f>
        <v>22.98</v>
      </c>
      <c r="J1308">
        <f>IFERROR(VLOOKUP(A1308,库龄!B:K,9,0),0)</f>
        <v>0</v>
      </c>
      <c r="K1308">
        <f>IFERROR(VLOOKUP(A1308,库龄!B:L,10,0),0)</f>
        <v>0</v>
      </c>
      <c r="L1308">
        <f>IFERROR(VLOOKUP(A1308,库龄!B:M,11,0),0)</f>
        <v>0</v>
      </c>
      <c r="M1308">
        <f>IFERROR(VLOOKUP(A1308,库龄!B:N,12,0),0)</f>
        <v>0</v>
      </c>
      <c r="N1308">
        <f t="shared" si="42"/>
        <v>0</v>
      </c>
    </row>
    <row r="1309" spans="1:14">
      <c r="A1309" s="3" t="s">
        <v>3340</v>
      </c>
      <c r="B1309">
        <f>IFERROR(VLOOKUP(A1309,管理亚马逊库存!A:K,11,0),"")</f>
        <v>0</v>
      </c>
      <c r="C1309">
        <f>IFERROR(VLOOKUP(A1309,管理亚马逊库存!A:L,12,0),"")</f>
        <v>0</v>
      </c>
      <c r="D1309">
        <f>IFERROR(VLOOKUP(A1309,管理亚马逊库存!A:Q,17,0),"")</f>
        <v>0</v>
      </c>
      <c r="E1309">
        <f>IFERROR(VLOOKUP(A1309,管理亚马逊库存!A:R,18,0),"")</f>
        <v>0</v>
      </c>
      <c r="F1309">
        <f t="shared" si="41"/>
        <v>0</v>
      </c>
      <c r="G1309" t="str">
        <f>IFERROR(VLOOKUP(A1309,预留库存!A:G,7,0),0)</f>
        <v>No</v>
      </c>
      <c r="H1309">
        <f>IFERROR(VLOOKUP(A1309,预留库存!A:H,8,0),0)</f>
        <v>0</v>
      </c>
      <c r="I1309">
        <f>IFERROR(VLOOKUP(A1309,预留库存!A:F,6,0),0)</f>
        <v>22.98</v>
      </c>
      <c r="J1309">
        <f>IFERROR(VLOOKUP(A1309,库龄!B:K,9,0),0)</f>
        <v>0</v>
      </c>
      <c r="K1309">
        <f>IFERROR(VLOOKUP(A1309,库龄!B:L,10,0),0)</f>
        <v>0</v>
      </c>
      <c r="L1309">
        <f>IFERROR(VLOOKUP(A1309,库龄!B:M,11,0),0)</f>
        <v>0</v>
      </c>
      <c r="M1309">
        <f>IFERROR(VLOOKUP(A1309,库龄!B:N,12,0),0)</f>
        <v>0</v>
      </c>
      <c r="N1309">
        <f t="shared" si="42"/>
        <v>0</v>
      </c>
    </row>
    <row r="1310" spans="1:14">
      <c r="A1310" s="3" t="s">
        <v>3344</v>
      </c>
      <c r="B1310">
        <f>IFERROR(VLOOKUP(A1310,管理亚马逊库存!A:K,11,0),"")</f>
        <v>0</v>
      </c>
      <c r="C1310">
        <f>IFERROR(VLOOKUP(A1310,管理亚马逊库存!A:L,12,0),"")</f>
        <v>0</v>
      </c>
      <c r="D1310">
        <f>IFERROR(VLOOKUP(A1310,管理亚马逊库存!A:Q,17,0),"")</f>
        <v>0</v>
      </c>
      <c r="E1310">
        <f>IFERROR(VLOOKUP(A1310,管理亚马逊库存!A:R,18,0),"")</f>
        <v>0</v>
      </c>
      <c r="F1310">
        <f t="shared" si="41"/>
        <v>0</v>
      </c>
      <c r="G1310" t="str">
        <f>IFERROR(VLOOKUP(A1310,预留库存!A:G,7,0),0)</f>
        <v>No</v>
      </c>
      <c r="H1310">
        <f>IFERROR(VLOOKUP(A1310,预留库存!A:H,8,0),0)</f>
        <v>0</v>
      </c>
      <c r="I1310">
        <f>IFERROR(VLOOKUP(A1310,预留库存!A:F,6,0),0)</f>
        <v>22.98</v>
      </c>
      <c r="J1310">
        <f>IFERROR(VLOOKUP(A1310,库龄!B:K,9,0),0)</f>
        <v>0</v>
      </c>
      <c r="K1310">
        <f>IFERROR(VLOOKUP(A1310,库龄!B:L,10,0),0)</f>
        <v>0</v>
      </c>
      <c r="L1310">
        <f>IFERROR(VLOOKUP(A1310,库龄!B:M,11,0),0)</f>
        <v>0</v>
      </c>
      <c r="M1310">
        <f>IFERROR(VLOOKUP(A1310,库龄!B:N,12,0),0)</f>
        <v>0</v>
      </c>
      <c r="N1310">
        <f t="shared" si="42"/>
        <v>0</v>
      </c>
    </row>
    <row r="1311" spans="1:14">
      <c r="A1311" s="3" t="s">
        <v>3348</v>
      </c>
      <c r="B1311">
        <f>IFERROR(VLOOKUP(A1311,管理亚马逊库存!A:K,11,0),"")</f>
        <v>0</v>
      </c>
      <c r="C1311">
        <f>IFERROR(VLOOKUP(A1311,管理亚马逊库存!A:L,12,0),"")</f>
        <v>0</v>
      </c>
      <c r="D1311">
        <f>IFERROR(VLOOKUP(A1311,管理亚马逊库存!A:Q,17,0),"")</f>
        <v>0</v>
      </c>
      <c r="E1311">
        <f>IFERROR(VLOOKUP(A1311,管理亚马逊库存!A:R,18,0),"")</f>
        <v>0</v>
      </c>
      <c r="F1311">
        <f t="shared" si="41"/>
        <v>0</v>
      </c>
      <c r="G1311" t="str">
        <f>IFERROR(VLOOKUP(A1311,预留库存!A:G,7,0),0)</f>
        <v>No</v>
      </c>
      <c r="H1311">
        <f>IFERROR(VLOOKUP(A1311,预留库存!A:H,8,0),0)</f>
        <v>0</v>
      </c>
      <c r="I1311">
        <f>IFERROR(VLOOKUP(A1311,预留库存!A:F,6,0),0)</f>
        <v>22.98</v>
      </c>
      <c r="J1311">
        <f>IFERROR(VLOOKUP(A1311,库龄!B:K,9,0),0)</f>
        <v>0</v>
      </c>
      <c r="K1311">
        <f>IFERROR(VLOOKUP(A1311,库龄!B:L,10,0),0)</f>
        <v>0</v>
      </c>
      <c r="L1311">
        <f>IFERROR(VLOOKUP(A1311,库龄!B:M,11,0),0)</f>
        <v>0</v>
      </c>
      <c r="M1311">
        <f>IFERROR(VLOOKUP(A1311,库龄!B:N,12,0),0)</f>
        <v>0</v>
      </c>
      <c r="N1311">
        <f t="shared" si="42"/>
        <v>0</v>
      </c>
    </row>
    <row r="1312" spans="1:14">
      <c r="A1312" s="3" t="s">
        <v>3352</v>
      </c>
      <c r="B1312">
        <f>IFERROR(VLOOKUP(A1312,管理亚马逊库存!A:K,11,0),"")</f>
        <v>0</v>
      </c>
      <c r="C1312">
        <f>IFERROR(VLOOKUP(A1312,管理亚马逊库存!A:L,12,0),"")</f>
        <v>0</v>
      </c>
      <c r="D1312">
        <f>IFERROR(VLOOKUP(A1312,管理亚马逊库存!A:Q,17,0),"")</f>
        <v>0</v>
      </c>
      <c r="E1312">
        <f>IFERROR(VLOOKUP(A1312,管理亚马逊库存!A:R,18,0),"")</f>
        <v>0</v>
      </c>
      <c r="F1312">
        <f t="shared" si="41"/>
        <v>0</v>
      </c>
      <c r="G1312" t="str">
        <f>IFERROR(VLOOKUP(A1312,预留库存!A:G,7,0),0)</f>
        <v>No</v>
      </c>
      <c r="H1312">
        <f>IFERROR(VLOOKUP(A1312,预留库存!A:H,8,0),0)</f>
        <v>0</v>
      </c>
      <c r="I1312">
        <f>IFERROR(VLOOKUP(A1312,预留库存!A:F,6,0),0)</f>
        <v>22.98</v>
      </c>
      <c r="J1312">
        <f>IFERROR(VLOOKUP(A1312,库龄!B:K,9,0),0)</f>
        <v>0</v>
      </c>
      <c r="K1312">
        <f>IFERROR(VLOOKUP(A1312,库龄!B:L,10,0),0)</f>
        <v>0</v>
      </c>
      <c r="L1312">
        <f>IFERROR(VLOOKUP(A1312,库龄!B:M,11,0),0)</f>
        <v>0</v>
      </c>
      <c r="M1312">
        <f>IFERROR(VLOOKUP(A1312,库龄!B:N,12,0),0)</f>
        <v>0</v>
      </c>
      <c r="N1312">
        <f t="shared" si="42"/>
        <v>0</v>
      </c>
    </row>
    <row r="1313" spans="1:14">
      <c r="A1313" s="3" t="s">
        <v>3356</v>
      </c>
      <c r="B1313">
        <f>IFERROR(VLOOKUP(A1313,管理亚马逊库存!A:K,11,0),"")</f>
        <v>0</v>
      </c>
      <c r="C1313">
        <f>IFERROR(VLOOKUP(A1313,管理亚马逊库存!A:L,12,0),"")</f>
        <v>0</v>
      </c>
      <c r="D1313">
        <f>IFERROR(VLOOKUP(A1313,管理亚马逊库存!A:Q,17,0),"")</f>
        <v>0</v>
      </c>
      <c r="E1313">
        <f>IFERROR(VLOOKUP(A1313,管理亚马逊库存!A:R,18,0),"")</f>
        <v>0</v>
      </c>
      <c r="F1313">
        <f t="shared" si="41"/>
        <v>0</v>
      </c>
      <c r="G1313" t="str">
        <f>IFERROR(VLOOKUP(A1313,预留库存!A:G,7,0),0)</f>
        <v>No</v>
      </c>
      <c r="H1313">
        <f>IFERROR(VLOOKUP(A1313,预留库存!A:H,8,0),0)</f>
        <v>0</v>
      </c>
      <c r="I1313">
        <f>IFERROR(VLOOKUP(A1313,预留库存!A:F,6,0),0)</f>
        <v>22.98</v>
      </c>
      <c r="J1313">
        <f>IFERROR(VLOOKUP(A1313,库龄!B:K,9,0),0)</f>
        <v>0</v>
      </c>
      <c r="K1313">
        <f>IFERROR(VLOOKUP(A1313,库龄!B:L,10,0),0)</f>
        <v>0</v>
      </c>
      <c r="L1313">
        <f>IFERROR(VLOOKUP(A1313,库龄!B:M,11,0),0)</f>
        <v>0</v>
      </c>
      <c r="M1313">
        <f>IFERROR(VLOOKUP(A1313,库龄!B:N,12,0),0)</f>
        <v>0</v>
      </c>
      <c r="N1313">
        <f t="shared" si="42"/>
        <v>0</v>
      </c>
    </row>
    <row r="1314" spans="1:14">
      <c r="A1314" s="3" t="s">
        <v>3360</v>
      </c>
      <c r="B1314">
        <f>IFERROR(VLOOKUP(A1314,管理亚马逊库存!A:K,11,0),"")</f>
        <v>0</v>
      </c>
      <c r="C1314">
        <f>IFERROR(VLOOKUP(A1314,管理亚马逊库存!A:L,12,0),"")</f>
        <v>0</v>
      </c>
      <c r="D1314">
        <f>IFERROR(VLOOKUP(A1314,管理亚马逊库存!A:Q,17,0),"")</f>
        <v>0</v>
      </c>
      <c r="E1314">
        <f>IFERROR(VLOOKUP(A1314,管理亚马逊库存!A:R,18,0),"")</f>
        <v>0</v>
      </c>
      <c r="F1314">
        <f t="shared" si="41"/>
        <v>0</v>
      </c>
      <c r="G1314" t="str">
        <f>IFERROR(VLOOKUP(A1314,预留库存!A:G,7,0),0)</f>
        <v>No</v>
      </c>
      <c r="H1314">
        <f>IFERROR(VLOOKUP(A1314,预留库存!A:H,8,0),0)</f>
        <v>0</v>
      </c>
      <c r="I1314">
        <f>IFERROR(VLOOKUP(A1314,预留库存!A:F,6,0),0)</f>
        <v>22.98</v>
      </c>
      <c r="J1314">
        <f>IFERROR(VLOOKUP(A1314,库龄!B:K,9,0),0)</f>
        <v>0</v>
      </c>
      <c r="K1314">
        <f>IFERROR(VLOOKUP(A1314,库龄!B:L,10,0),0)</f>
        <v>0</v>
      </c>
      <c r="L1314">
        <f>IFERROR(VLOOKUP(A1314,库龄!B:M,11,0),0)</f>
        <v>0</v>
      </c>
      <c r="M1314">
        <f>IFERROR(VLOOKUP(A1314,库龄!B:N,12,0),0)</f>
        <v>0</v>
      </c>
      <c r="N1314">
        <f t="shared" si="42"/>
        <v>0</v>
      </c>
    </row>
    <row r="1315" spans="1:14">
      <c r="A1315" s="3" t="s">
        <v>3364</v>
      </c>
      <c r="B1315">
        <f>IFERROR(VLOOKUP(A1315,管理亚马逊库存!A:K,11,0),"")</f>
        <v>10</v>
      </c>
      <c r="C1315">
        <f>IFERROR(VLOOKUP(A1315,管理亚马逊库存!A:L,12,0),"")</f>
        <v>0</v>
      </c>
      <c r="D1315">
        <f>IFERROR(VLOOKUP(A1315,管理亚马逊库存!A:Q,17,0),"")</f>
        <v>0</v>
      </c>
      <c r="E1315">
        <f>IFERROR(VLOOKUP(A1315,管理亚马逊库存!A:R,18,0),"")</f>
        <v>0</v>
      </c>
      <c r="F1315">
        <f t="shared" si="41"/>
        <v>0</v>
      </c>
      <c r="G1315" t="str">
        <f>IFERROR(VLOOKUP(A1315,预留库存!A:G,7,0),0)</f>
        <v>No</v>
      </c>
      <c r="H1315">
        <f>IFERROR(VLOOKUP(A1315,预留库存!A:H,8,0),0)</f>
        <v>0</v>
      </c>
      <c r="I1315">
        <f>IFERROR(VLOOKUP(A1315,预留库存!A:F,6,0),0)</f>
        <v>22.98</v>
      </c>
      <c r="J1315">
        <f>IFERROR(VLOOKUP(A1315,库龄!B:K,9,0),0)</f>
        <v>0</v>
      </c>
      <c r="K1315">
        <f>IFERROR(VLOOKUP(A1315,库龄!B:L,10,0),0)</f>
        <v>0</v>
      </c>
      <c r="L1315">
        <f>IFERROR(VLOOKUP(A1315,库龄!B:M,11,0),0)</f>
        <v>0</v>
      </c>
      <c r="M1315">
        <f>IFERROR(VLOOKUP(A1315,库龄!B:N,12,0),0)</f>
        <v>0</v>
      </c>
      <c r="N1315">
        <f t="shared" si="42"/>
        <v>0</v>
      </c>
    </row>
    <row r="1316" spans="1:14">
      <c r="A1316" s="3" t="s">
        <v>3368</v>
      </c>
      <c r="B1316">
        <f>IFERROR(VLOOKUP(A1316,管理亚马逊库存!A:K,11,0),"")</f>
        <v>0</v>
      </c>
      <c r="C1316">
        <f>IFERROR(VLOOKUP(A1316,管理亚马逊库存!A:L,12,0),"")</f>
        <v>0</v>
      </c>
      <c r="D1316">
        <f>IFERROR(VLOOKUP(A1316,管理亚马逊库存!A:Q,17,0),"")</f>
        <v>0</v>
      </c>
      <c r="E1316">
        <f>IFERROR(VLOOKUP(A1316,管理亚马逊库存!A:R,18,0),"")</f>
        <v>0</v>
      </c>
      <c r="F1316">
        <f t="shared" si="41"/>
        <v>0</v>
      </c>
      <c r="G1316" t="str">
        <f>IFERROR(VLOOKUP(A1316,预留库存!A:G,7,0),0)</f>
        <v>No</v>
      </c>
      <c r="H1316">
        <f>IFERROR(VLOOKUP(A1316,预留库存!A:H,8,0),0)</f>
        <v>0</v>
      </c>
      <c r="I1316">
        <f>IFERROR(VLOOKUP(A1316,预留库存!A:F,6,0),0)</f>
        <v>22.98</v>
      </c>
      <c r="J1316">
        <f>IFERROR(VLOOKUP(A1316,库龄!B:K,9,0),0)</f>
        <v>0</v>
      </c>
      <c r="K1316">
        <f>IFERROR(VLOOKUP(A1316,库龄!B:L,10,0),0)</f>
        <v>0</v>
      </c>
      <c r="L1316">
        <f>IFERROR(VLOOKUP(A1316,库龄!B:M,11,0),0)</f>
        <v>0</v>
      </c>
      <c r="M1316">
        <f>IFERROR(VLOOKUP(A1316,库龄!B:N,12,0),0)</f>
        <v>0</v>
      </c>
      <c r="N1316">
        <f t="shared" si="42"/>
        <v>0</v>
      </c>
    </row>
    <row r="1317" spans="1:14">
      <c r="A1317" s="3" t="s">
        <v>3372</v>
      </c>
      <c r="B1317">
        <f>IFERROR(VLOOKUP(A1317,管理亚马逊库存!A:K,11,0),"")</f>
        <v>0</v>
      </c>
      <c r="C1317">
        <f>IFERROR(VLOOKUP(A1317,管理亚马逊库存!A:L,12,0),"")</f>
        <v>0</v>
      </c>
      <c r="D1317">
        <f>IFERROR(VLOOKUP(A1317,管理亚马逊库存!A:Q,17,0),"")</f>
        <v>0</v>
      </c>
      <c r="E1317">
        <f>IFERROR(VLOOKUP(A1317,管理亚马逊库存!A:R,18,0),"")</f>
        <v>0</v>
      </c>
      <c r="F1317">
        <f t="shared" si="41"/>
        <v>0</v>
      </c>
      <c r="G1317" t="str">
        <f>IFERROR(VLOOKUP(A1317,预留库存!A:G,7,0),0)</f>
        <v>No</v>
      </c>
      <c r="H1317">
        <f>IFERROR(VLOOKUP(A1317,预留库存!A:H,8,0),0)</f>
        <v>0</v>
      </c>
      <c r="I1317">
        <f>IFERROR(VLOOKUP(A1317,预留库存!A:F,6,0),0)</f>
        <v>22.98</v>
      </c>
      <c r="J1317">
        <f>IFERROR(VLOOKUP(A1317,库龄!B:K,9,0),0)</f>
        <v>0</v>
      </c>
      <c r="K1317">
        <f>IFERROR(VLOOKUP(A1317,库龄!B:L,10,0),0)</f>
        <v>0</v>
      </c>
      <c r="L1317">
        <f>IFERROR(VLOOKUP(A1317,库龄!B:M,11,0),0)</f>
        <v>0</v>
      </c>
      <c r="M1317">
        <f>IFERROR(VLOOKUP(A1317,库龄!B:N,12,0),0)</f>
        <v>0</v>
      </c>
      <c r="N1317">
        <f t="shared" si="42"/>
        <v>0</v>
      </c>
    </row>
    <row r="1318" spans="1:14">
      <c r="A1318" s="3" t="s">
        <v>3376</v>
      </c>
      <c r="B1318">
        <f>IFERROR(VLOOKUP(A1318,管理亚马逊库存!A:K,11,0),"")</f>
        <v>0</v>
      </c>
      <c r="C1318">
        <f>IFERROR(VLOOKUP(A1318,管理亚马逊库存!A:L,12,0),"")</f>
        <v>0</v>
      </c>
      <c r="D1318">
        <f>IFERROR(VLOOKUP(A1318,管理亚马逊库存!A:Q,17,0),"")</f>
        <v>0</v>
      </c>
      <c r="E1318">
        <f>IFERROR(VLOOKUP(A1318,管理亚马逊库存!A:R,18,0),"")</f>
        <v>0</v>
      </c>
      <c r="F1318">
        <f t="shared" si="41"/>
        <v>0</v>
      </c>
      <c r="G1318" t="str">
        <f>IFERROR(VLOOKUP(A1318,预留库存!A:G,7,0),0)</f>
        <v>No</v>
      </c>
      <c r="H1318">
        <f>IFERROR(VLOOKUP(A1318,预留库存!A:H,8,0),0)</f>
        <v>0</v>
      </c>
      <c r="I1318">
        <f>IFERROR(VLOOKUP(A1318,预留库存!A:F,6,0),0)</f>
        <v>22.98</v>
      </c>
      <c r="J1318">
        <f>IFERROR(VLOOKUP(A1318,库龄!B:K,9,0),0)</f>
        <v>0</v>
      </c>
      <c r="K1318">
        <f>IFERROR(VLOOKUP(A1318,库龄!B:L,10,0),0)</f>
        <v>0</v>
      </c>
      <c r="L1318">
        <f>IFERROR(VLOOKUP(A1318,库龄!B:M,11,0),0)</f>
        <v>0</v>
      </c>
      <c r="M1318">
        <f>IFERROR(VLOOKUP(A1318,库龄!B:N,12,0),0)</f>
        <v>0</v>
      </c>
      <c r="N1318">
        <f t="shared" si="42"/>
        <v>0</v>
      </c>
    </row>
    <row r="1319" spans="1:14">
      <c r="A1319" s="3" t="s">
        <v>3380</v>
      </c>
      <c r="B1319">
        <f>IFERROR(VLOOKUP(A1319,管理亚马逊库存!A:K,11,0),"")</f>
        <v>0</v>
      </c>
      <c r="C1319">
        <f>IFERROR(VLOOKUP(A1319,管理亚马逊库存!A:L,12,0),"")</f>
        <v>0</v>
      </c>
      <c r="D1319">
        <f>IFERROR(VLOOKUP(A1319,管理亚马逊库存!A:Q,17,0),"")</f>
        <v>0</v>
      </c>
      <c r="E1319">
        <f>IFERROR(VLOOKUP(A1319,管理亚马逊库存!A:R,18,0),"")</f>
        <v>0</v>
      </c>
      <c r="F1319">
        <f t="shared" si="41"/>
        <v>0</v>
      </c>
      <c r="G1319" t="str">
        <f>IFERROR(VLOOKUP(A1319,预留库存!A:G,7,0),0)</f>
        <v>No</v>
      </c>
      <c r="H1319">
        <f>IFERROR(VLOOKUP(A1319,预留库存!A:H,8,0),0)</f>
        <v>0</v>
      </c>
      <c r="I1319">
        <f>IFERROR(VLOOKUP(A1319,预留库存!A:F,6,0),0)</f>
        <v>22.98</v>
      </c>
      <c r="J1319">
        <f>IFERROR(VLOOKUP(A1319,库龄!B:K,9,0),0)</f>
        <v>0</v>
      </c>
      <c r="K1319">
        <f>IFERROR(VLOOKUP(A1319,库龄!B:L,10,0),0)</f>
        <v>0</v>
      </c>
      <c r="L1319">
        <f>IFERROR(VLOOKUP(A1319,库龄!B:M,11,0),0)</f>
        <v>0</v>
      </c>
      <c r="M1319">
        <f>IFERROR(VLOOKUP(A1319,库龄!B:N,12,0),0)</f>
        <v>0</v>
      </c>
      <c r="N1319">
        <f t="shared" si="42"/>
        <v>0</v>
      </c>
    </row>
    <row r="1320" spans="1:14">
      <c r="A1320" s="3" t="s">
        <v>3384</v>
      </c>
      <c r="B1320">
        <f>IFERROR(VLOOKUP(A1320,管理亚马逊库存!A:K,11,0),"")</f>
        <v>0</v>
      </c>
      <c r="C1320">
        <f>IFERROR(VLOOKUP(A1320,管理亚马逊库存!A:L,12,0),"")</f>
        <v>0</v>
      </c>
      <c r="D1320">
        <f>IFERROR(VLOOKUP(A1320,管理亚马逊库存!A:Q,17,0),"")</f>
        <v>0</v>
      </c>
      <c r="E1320">
        <f>IFERROR(VLOOKUP(A1320,管理亚马逊库存!A:R,18,0),"")</f>
        <v>0</v>
      </c>
      <c r="F1320">
        <f t="shared" si="41"/>
        <v>0</v>
      </c>
      <c r="G1320" t="str">
        <f>IFERROR(VLOOKUP(A1320,预留库存!A:G,7,0),0)</f>
        <v>No</v>
      </c>
      <c r="H1320">
        <f>IFERROR(VLOOKUP(A1320,预留库存!A:H,8,0),0)</f>
        <v>0</v>
      </c>
      <c r="I1320">
        <f>IFERROR(VLOOKUP(A1320,预留库存!A:F,6,0),0)</f>
        <v>22.98</v>
      </c>
      <c r="J1320">
        <f>IFERROR(VLOOKUP(A1320,库龄!B:K,9,0),0)</f>
        <v>0</v>
      </c>
      <c r="K1320">
        <f>IFERROR(VLOOKUP(A1320,库龄!B:L,10,0),0)</f>
        <v>0</v>
      </c>
      <c r="L1320">
        <f>IFERROR(VLOOKUP(A1320,库龄!B:M,11,0),0)</f>
        <v>0</v>
      </c>
      <c r="M1320">
        <f>IFERROR(VLOOKUP(A1320,库龄!B:N,12,0),0)</f>
        <v>0</v>
      </c>
      <c r="N1320">
        <f t="shared" si="42"/>
        <v>0</v>
      </c>
    </row>
    <row r="1321" spans="1:14">
      <c r="A1321" s="3" t="s">
        <v>3388</v>
      </c>
      <c r="B1321">
        <f>IFERROR(VLOOKUP(A1321,管理亚马逊库存!A:K,11,0),"")</f>
        <v>0</v>
      </c>
      <c r="C1321">
        <f>IFERROR(VLOOKUP(A1321,管理亚马逊库存!A:L,12,0),"")</f>
        <v>0</v>
      </c>
      <c r="D1321">
        <f>IFERROR(VLOOKUP(A1321,管理亚马逊库存!A:Q,17,0),"")</f>
        <v>0</v>
      </c>
      <c r="E1321">
        <f>IFERROR(VLOOKUP(A1321,管理亚马逊库存!A:R,18,0),"")</f>
        <v>0</v>
      </c>
      <c r="F1321">
        <f t="shared" si="41"/>
        <v>0</v>
      </c>
      <c r="G1321" t="str">
        <f>IFERROR(VLOOKUP(A1321,预留库存!A:G,7,0),0)</f>
        <v>No</v>
      </c>
      <c r="H1321">
        <f>IFERROR(VLOOKUP(A1321,预留库存!A:H,8,0),0)</f>
        <v>0</v>
      </c>
      <c r="I1321">
        <f>IFERROR(VLOOKUP(A1321,预留库存!A:F,6,0),0)</f>
        <v>22.98</v>
      </c>
      <c r="J1321">
        <f>IFERROR(VLOOKUP(A1321,库龄!B:K,9,0),0)</f>
        <v>0</v>
      </c>
      <c r="K1321">
        <f>IFERROR(VLOOKUP(A1321,库龄!B:L,10,0),0)</f>
        <v>0</v>
      </c>
      <c r="L1321">
        <f>IFERROR(VLOOKUP(A1321,库龄!B:M,11,0),0)</f>
        <v>0</v>
      </c>
      <c r="M1321">
        <f>IFERROR(VLOOKUP(A1321,库龄!B:N,12,0),0)</f>
        <v>0</v>
      </c>
      <c r="N1321">
        <f t="shared" si="42"/>
        <v>0</v>
      </c>
    </row>
    <row r="1322" spans="1:14">
      <c r="A1322" s="3" t="s">
        <v>3392</v>
      </c>
      <c r="B1322">
        <f>IFERROR(VLOOKUP(A1322,管理亚马逊库存!A:K,11,0),"")</f>
        <v>0</v>
      </c>
      <c r="C1322">
        <f>IFERROR(VLOOKUP(A1322,管理亚马逊库存!A:L,12,0),"")</f>
        <v>0</v>
      </c>
      <c r="D1322">
        <f>IFERROR(VLOOKUP(A1322,管理亚马逊库存!A:Q,17,0),"")</f>
        <v>0</v>
      </c>
      <c r="E1322">
        <f>IFERROR(VLOOKUP(A1322,管理亚马逊库存!A:R,18,0),"")</f>
        <v>0</v>
      </c>
      <c r="F1322">
        <f t="shared" si="41"/>
        <v>0</v>
      </c>
      <c r="G1322" t="str">
        <f>IFERROR(VLOOKUP(A1322,预留库存!A:G,7,0),0)</f>
        <v>No</v>
      </c>
      <c r="H1322">
        <f>IFERROR(VLOOKUP(A1322,预留库存!A:H,8,0),0)</f>
        <v>0</v>
      </c>
      <c r="I1322">
        <f>IFERROR(VLOOKUP(A1322,预留库存!A:F,6,0),0)</f>
        <v>22.98</v>
      </c>
      <c r="J1322">
        <f>IFERROR(VLOOKUP(A1322,库龄!B:K,9,0),0)</f>
        <v>0</v>
      </c>
      <c r="K1322">
        <f>IFERROR(VLOOKUP(A1322,库龄!B:L,10,0),0)</f>
        <v>0</v>
      </c>
      <c r="L1322">
        <f>IFERROR(VLOOKUP(A1322,库龄!B:M,11,0),0)</f>
        <v>0</v>
      </c>
      <c r="M1322">
        <f>IFERROR(VLOOKUP(A1322,库龄!B:N,12,0),0)</f>
        <v>0</v>
      </c>
      <c r="N1322">
        <f t="shared" si="42"/>
        <v>0</v>
      </c>
    </row>
    <row r="1323" spans="1:14">
      <c r="A1323" s="3" t="s">
        <v>3396</v>
      </c>
      <c r="B1323">
        <f>IFERROR(VLOOKUP(A1323,管理亚马逊库存!A:K,11,0),"")</f>
        <v>0</v>
      </c>
      <c r="C1323">
        <f>IFERROR(VLOOKUP(A1323,管理亚马逊库存!A:L,12,0),"")</f>
        <v>0</v>
      </c>
      <c r="D1323">
        <f>IFERROR(VLOOKUP(A1323,管理亚马逊库存!A:Q,17,0),"")</f>
        <v>0</v>
      </c>
      <c r="E1323">
        <f>IFERROR(VLOOKUP(A1323,管理亚马逊库存!A:R,18,0),"")</f>
        <v>0</v>
      </c>
      <c r="F1323">
        <f t="shared" si="41"/>
        <v>0</v>
      </c>
      <c r="G1323" t="str">
        <f>IFERROR(VLOOKUP(A1323,预留库存!A:G,7,0),0)</f>
        <v>No</v>
      </c>
      <c r="H1323">
        <f>IFERROR(VLOOKUP(A1323,预留库存!A:H,8,0),0)</f>
        <v>0</v>
      </c>
      <c r="I1323">
        <f>IFERROR(VLOOKUP(A1323,预留库存!A:F,6,0),0)</f>
        <v>22.98</v>
      </c>
      <c r="J1323">
        <f>IFERROR(VLOOKUP(A1323,库龄!B:K,9,0),0)</f>
        <v>0</v>
      </c>
      <c r="K1323">
        <f>IFERROR(VLOOKUP(A1323,库龄!B:L,10,0),0)</f>
        <v>0</v>
      </c>
      <c r="L1323">
        <f>IFERROR(VLOOKUP(A1323,库龄!B:M,11,0),0)</f>
        <v>0</v>
      </c>
      <c r="M1323">
        <f>IFERROR(VLOOKUP(A1323,库龄!B:N,12,0),0)</f>
        <v>0</v>
      </c>
      <c r="N1323">
        <f t="shared" si="42"/>
        <v>0</v>
      </c>
    </row>
    <row r="1324" spans="1:14">
      <c r="A1324" s="3" t="s">
        <v>3400</v>
      </c>
      <c r="B1324">
        <f>IFERROR(VLOOKUP(A1324,管理亚马逊库存!A:K,11,0),"")</f>
        <v>0</v>
      </c>
      <c r="C1324">
        <f>IFERROR(VLOOKUP(A1324,管理亚马逊库存!A:L,12,0),"")</f>
        <v>0</v>
      </c>
      <c r="D1324">
        <f>IFERROR(VLOOKUP(A1324,管理亚马逊库存!A:Q,17,0),"")</f>
        <v>0</v>
      </c>
      <c r="E1324">
        <f>IFERROR(VLOOKUP(A1324,管理亚马逊库存!A:R,18,0),"")</f>
        <v>0</v>
      </c>
      <c r="F1324">
        <f t="shared" si="41"/>
        <v>0</v>
      </c>
      <c r="G1324" t="str">
        <f>IFERROR(VLOOKUP(A1324,预留库存!A:G,7,0),0)</f>
        <v>No</v>
      </c>
      <c r="H1324">
        <f>IFERROR(VLOOKUP(A1324,预留库存!A:H,8,0),0)</f>
        <v>0</v>
      </c>
      <c r="I1324">
        <f>IFERROR(VLOOKUP(A1324,预留库存!A:F,6,0),0)</f>
        <v>22.98</v>
      </c>
      <c r="J1324">
        <f>IFERROR(VLOOKUP(A1324,库龄!B:K,9,0),0)</f>
        <v>0</v>
      </c>
      <c r="K1324">
        <f>IFERROR(VLOOKUP(A1324,库龄!B:L,10,0),0)</f>
        <v>0</v>
      </c>
      <c r="L1324">
        <f>IFERROR(VLOOKUP(A1324,库龄!B:M,11,0),0)</f>
        <v>0</v>
      </c>
      <c r="M1324">
        <f>IFERROR(VLOOKUP(A1324,库龄!B:N,12,0),0)</f>
        <v>0</v>
      </c>
      <c r="N1324">
        <f t="shared" si="42"/>
        <v>0</v>
      </c>
    </row>
    <row r="1325" spans="1:14">
      <c r="A1325" s="3" t="s">
        <v>3404</v>
      </c>
      <c r="B1325">
        <f>IFERROR(VLOOKUP(A1325,管理亚马逊库存!A:K,11,0),"")</f>
        <v>0</v>
      </c>
      <c r="C1325">
        <f>IFERROR(VLOOKUP(A1325,管理亚马逊库存!A:L,12,0),"")</f>
        <v>0</v>
      </c>
      <c r="D1325">
        <f>IFERROR(VLOOKUP(A1325,管理亚马逊库存!A:Q,17,0),"")</f>
        <v>0</v>
      </c>
      <c r="E1325">
        <f>IFERROR(VLOOKUP(A1325,管理亚马逊库存!A:R,18,0),"")</f>
        <v>0</v>
      </c>
      <c r="F1325">
        <f t="shared" si="41"/>
        <v>0</v>
      </c>
      <c r="G1325" t="str">
        <f>IFERROR(VLOOKUP(A1325,预留库存!A:G,7,0),0)</f>
        <v>No</v>
      </c>
      <c r="H1325">
        <f>IFERROR(VLOOKUP(A1325,预留库存!A:H,8,0),0)</f>
        <v>0</v>
      </c>
      <c r="I1325">
        <f>IFERROR(VLOOKUP(A1325,预留库存!A:F,6,0),0)</f>
        <v>22.98</v>
      </c>
      <c r="J1325">
        <f>IFERROR(VLOOKUP(A1325,库龄!B:K,9,0),0)</f>
        <v>0</v>
      </c>
      <c r="K1325">
        <f>IFERROR(VLOOKUP(A1325,库龄!B:L,10,0),0)</f>
        <v>0</v>
      </c>
      <c r="L1325">
        <f>IFERROR(VLOOKUP(A1325,库龄!B:M,11,0),0)</f>
        <v>0</v>
      </c>
      <c r="M1325">
        <f>IFERROR(VLOOKUP(A1325,库龄!B:N,12,0),0)</f>
        <v>0</v>
      </c>
      <c r="N1325">
        <f t="shared" si="42"/>
        <v>0</v>
      </c>
    </row>
    <row r="1326" spans="1:14">
      <c r="A1326" s="3" t="s">
        <v>3408</v>
      </c>
      <c r="B1326">
        <f>IFERROR(VLOOKUP(A1326,管理亚马逊库存!A:K,11,0),"")</f>
        <v>0</v>
      </c>
      <c r="C1326">
        <f>IFERROR(VLOOKUP(A1326,管理亚马逊库存!A:L,12,0),"")</f>
        <v>0</v>
      </c>
      <c r="D1326">
        <f>IFERROR(VLOOKUP(A1326,管理亚马逊库存!A:Q,17,0),"")</f>
        <v>0</v>
      </c>
      <c r="E1326">
        <f>IFERROR(VLOOKUP(A1326,管理亚马逊库存!A:R,18,0),"")</f>
        <v>0</v>
      </c>
      <c r="F1326">
        <f t="shared" si="41"/>
        <v>0</v>
      </c>
      <c r="G1326" t="str">
        <f>IFERROR(VLOOKUP(A1326,预留库存!A:G,7,0),0)</f>
        <v>No</v>
      </c>
      <c r="H1326">
        <f>IFERROR(VLOOKUP(A1326,预留库存!A:H,8,0),0)</f>
        <v>0</v>
      </c>
      <c r="I1326">
        <f>IFERROR(VLOOKUP(A1326,预留库存!A:F,6,0),0)</f>
        <v>22.98</v>
      </c>
      <c r="J1326">
        <f>IFERROR(VLOOKUP(A1326,库龄!B:K,9,0),0)</f>
        <v>0</v>
      </c>
      <c r="K1326">
        <f>IFERROR(VLOOKUP(A1326,库龄!B:L,10,0),0)</f>
        <v>0</v>
      </c>
      <c r="L1326">
        <f>IFERROR(VLOOKUP(A1326,库龄!B:M,11,0),0)</f>
        <v>0</v>
      </c>
      <c r="M1326">
        <f>IFERROR(VLOOKUP(A1326,库龄!B:N,12,0),0)</f>
        <v>0</v>
      </c>
      <c r="N1326">
        <f t="shared" si="42"/>
        <v>0</v>
      </c>
    </row>
    <row r="1327" spans="1:14">
      <c r="A1327" s="3" t="s">
        <v>3412</v>
      </c>
      <c r="B1327">
        <f>IFERROR(VLOOKUP(A1327,管理亚马逊库存!A:K,11,0),"")</f>
        <v>0</v>
      </c>
      <c r="C1327">
        <f>IFERROR(VLOOKUP(A1327,管理亚马逊库存!A:L,12,0),"")</f>
        <v>0</v>
      </c>
      <c r="D1327">
        <f>IFERROR(VLOOKUP(A1327,管理亚马逊库存!A:Q,17,0),"")</f>
        <v>0</v>
      </c>
      <c r="E1327">
        <f>IFERROR(VLOOKUP(A1327,管理亚马逊库存!A:R,18,0),"")</f>
        <v>0</v>
      </c>
      <c r="F1327">
        <f t="shared" si="41"/>
        <v>0</v>
      </c>
      <c r="G1327" t="str">
        <f>IFERROR(VLOOKUP(A1327,预留库存!A:G,7,0),0)</f>
        <v>No</v>
      </c>
      <c r="H1327">
        <f>IFERROR(VLOOKUP(A1327,预留库存!A:H,8,0),0)</f>
        <v>0</v>
      </c>
      <c r="I1327">
        <f>IFERROR(VLOOKUP(A1327,预留库存!A:F,6,0),0)</f>
        <v>22.98</v>
      </c>
      <c r="J1327">
        <f>IFERROR(VLOOKUP(A1327,库龄!B:K,9,0),0)</f>
        <v>0</v>
      </c>
      <c r="K1327">
        <f>IFERROR(VLOOKUP(A1327,库龄!B:L,10,0),0)</f>
        <v>0</v>
      </c>
      <c r="L1327">
        <f>IFERROR(VLOOKUP(A1327,库龄!B:M,11,0),0)</f>
        <v>0</v>
      </c>
      <c r="M1327">
        <f>IFERROR(VLOOKUP(A1327,库龄!B:N,12,0),0)</f>
        <v>0</v>
      </c>
      <c r="N1327">
        <f t="shared" si="42"/>
        <v>0</v>
      </c>
    </row>
    <row r="1328" spans="1:14">
      <c r="A1328" s="3" t="s">
        <v>3416</v>
      </c>
      <c r="B1328">
        <f>IFERROR(VLOOKUP(A1328,管理亚马逊库存!A:K,11,0),"")</f>
        <v>0</v>
      </c>
      <c r="C1328">
        <f>IFERROR(VLOOKUP(A1328,管理亚马逊库存!A:L,12,0),"")</f>
        <v>0</v>
      </c>
      <c r="D1328">
        <f>IFERROR(VLOOKUP(A1328,管理亚马逊库存!A:Q,17,0),"")</f>
        <v>0</v>
      </c>
      <c r="E1328">
        <f>IFERROR(VLOOKUP(A1328,管理亚马逊库存!A:R,18,0),"")</f>
        <v>0</v>
      </c>
      <c r="F1328">
        <f t="shared" si="41"/>
        <v>0</v>
      </c>
      <c r="G1328" t="str">
        <f>IFERROR(VLOOKUP(A1328,预留库存!A:G,7,0),0)</f>
        <v>No</v>
      </c>
      <c r="H1328">
        <f>IFERROR(VLOOKUP(A1328,预留库存!A:H,8,0),0)</f>
        <v>0</v>
      </c>
      <c r="I1328">
        <f>IFERROR(VLOOKUP(A1328,预留库存!A:F,6,0),0)</f>
        <v>22.98</v>
      </c>
      <c r="J1328">
        <f>IFERROR(VLOOKUP(A1328,库龄!B:K,9,0),0)</f>
        <v>0</v>
      </c>
      <c r="K1328">
        <f>IFERROR(VLOOKUP(A1328,库龄!B:L,10,0),0)</f>
        <v>0</v>
      </c>
      <c r="L1328">
        <f>IFERROR(VLOOKUP(A1328,库龄!B:M,11,0),0)</f>
        <v>0</v>
      </c>
      <c r="M1328">
        <f>IFERROR(VLOOKUP(A1328,库龄!B:N,12,0),0)</f>
        <v>0</v>
      </c>
      <c r="N1328">
        <f t="shared" si="42"/>
        <v>0</v>
      </c>
    </row>
    <row r="1329" spans="1:14">
      <c r="A1329" s="3" t="s">
        <v>3420</v>
      </c>
      <c r="B1329">
        <f>IFERROR(VLOOKUP(A1329,管理亚马逊库存!A:K,11,0),"")</f>
        <v>0</v>
      </c>
      <c r="C1329">
        <f>IFERROR(VLOOKUP(A1329,管理亚马逊库存!A:L,12,0),"")</f>
        <v>0</v>
      </c>
      <c r="D1329">
        <f>IFERROR(VLOOKUP(A1329,管理亚马逊库存!A:Q,17,0),"")</f>
        <v>0</v>
      </c>
      <c r="E1329">
        <f>IFERROR(VLOOKUP(A1329,管理亚马逊库存!A:R,18,0),"")</f>
        <v>0</v>
      </c>
      <c r="F1329">
        <f t="shared" si="41"/>
        <v>0</v>
      </c>
      <c r="G1329" t="str">
        <f>IFERROR(VLOOKUP(A1329,预留库存!A:G,7,0),0)</f>
        <v>No</v>
      </c>
      <c r="H1329">
        <f>IFERROR(VLOOKUP(A1329,预留库存!A:H,8,0),0)</f>
        <v>0</v>
      </c>
      <c r="I1329">
        <f>IFERROR(VLOOKUP(A1329,预留库存!A:F,6,0),0)</f>
        <v>22.98</v>
      </c>
      <c r="J1329">
        <f>IFERROR(VLOOKUP(A1329,库龄!B:K,9,0),0)</f>
        <v>0</v>
      </c>
      <c r="K1329">
        <f>IFERROR(VLOOKUP(A1329,库龄!B:L,10,0),0)</f>
        <v>0</v>
      </c>
      <c r="L1329">
        <f>IFERROR(VLOOKUP(A1329,库龄!B:M,11,0),0)</f>
        <v>0</v>
      </c>
      <c r="M1329">
        <f>IFERROR(VLOOKUP(A1329,库龄!B:N,12,0),0)</f>
        <v>0</v>
      </c>
      <c r="N1329">
        <f t="shared" si="42"/>
        <v>0</v>
      </c>
    </row>
    <row r="1330" spans="1:14">
      <c r="A1330" s="3" t="s">
        <v>3424</v>
      </c>
      <c r="B1330">
        <f>IFERROR(VLOOKUP(A1330,管理亚马逊库存!A:K,11,0),"")</f>
        <v>0</v>
      </c>
      <c r="C1330">
        <f>IFERROR(VLOOKUP(A1330,管理亚马逊库存!A:L,12,0),"")</f>
        <v>0</v>
      </c>
      <c r="D1330">
        <f>IFERROR(VLOOKUP(A1330,管理亚马逊库存!A:Q,17,0),"")</f>
        <v>0</v>
      </c>
      <c r="E1330">
        <f>IFERROR(VLOOKUP(A1330,管理亚马逊库存!A:R,18,0),"")</f>
        <v>0</v>
      </c>
      <c r="F1330">
        <f t="shared" si="41"/>
        <v>0</v>
      </c>
      <c r="G1330" t="str">
        <f>IFERROR(VLOOKUP(A1330,预留库存!A:G,7,0),0)</f>
        <v>No</v>
      </c>
      <c r="H1330">
        <f>IFERROR(VLOOKUP(A1330,预留库存!A:H,8,0),0)</f>
        <v>0</v>
      </c>
      <c r="I1330">
        <f>IFERROR(VLOOKUP(A1330,预留库存!A:F,6,0),0)</f>
        <v>22.98</v>
      </c>
      <c r="J1330">
        <f>IFERROR(VLOOKUP(A1330,库龄!B:K,9,0),0)</f>
        <v>0</v>
      </c>
      <c r="K1330">
        <f>IFERROR(VLOOKUP(A1330,库龄!B:L,10,0),0)</f>
        <v>0</v>
      </c>
      <c r="L1330">
        <f>IFERROR(VLOOKUP(A1330,库龄!B:M,11,0),0)</f>
        <v>0</v>
      </c>
      <c r="M1330">
        <f>IFERROR(VLOOKUP(A1330,库龄!B:N,12,0),0)</f>
        <v>0</v>
      </c>
      <c r="N1330">
        <f t="shared" si="42"/>
        <v>0</v>
      </c>
    </row>
    <row r="1331" spans="1:14">
      <c r="A1331" s="3" t="s">
        <v>3428</v>
      </c>
      <c r="B1331">
        <f>IFERROR(VLOOKUP(A1331,管理亚马逊库存!A:K,11,0),"")</f>
        <v>0</v>
      </c>
      <c r="C1331">
        <f>IFERROR(VLOOKUP(A1331,管理亚马逊库存!A:L,12,0),"")</f>
        <v>0</v>
      </c>
      <c r="D1331">
        <f>IFERROR(VLOOKUP(A1331,管理亚马逊库存!A:Q,17,0),"")</f>
        <v>0</v>
      </c>
      <c r="E1331">
        <f>IFERROR(VLOOKUP(A1331,管理亚马逊库存!A:R,18,0),"")</f>
        <v>0</v>
      </c>
      <c r="F1331">
        <f t="shared" si="41"/>
        <v>0</v>
      </c>
      <c r="G1331" t="str">
        <f>IFERROR(VLOOKUP(A1331,预留库存!A:G,7,0),0)</f>
        <v>No</v>
      </c>
      <c r="H1331">
        <f>IFERROR(VLOOKUP(A1331,预留库存!A:H,8,0),0)</f>
        <v>0</v>
      </c>
      <c r="I1331">
        <f>IFERROR(VLOOKUP(A1331,预留库存!A:F,6,0),0)</f>
        <v>22.98</v>
      </c>
      <c r="J1331">
        <f>IFERROR(VLOOKUP(A1331,库龄!B:K,9,0),0)</f>
        <v>0</v>
      </c>
      <c r="K1331">
        <f>IFERROR(VLOOKUP(A1331,库龄!B:L,10,0),0)</f>
        <v>0</v>
      </c>
      <c r="L1331">
        <f>IFERROR(VLOOKUP(A1331,库龄!B:M,11,0),0)</f>
        <v>0</v>
      </c>
      <c r="M1331">
        <f>IFERROR(VLOOKUP(A1331,库龄!B:N,12,0),0)</f>
        <v>0</v>
      </c>
      <c r="N1331">
        <f t="shared" si="42"/>
        <v>0</v>
      </c>
    </row>
    <row r="1332" spans="1:14">
      <c r="A1332" s="3" t="s">
        <v>3432</v>
      </c>
      <c r="B1332">
        <f>IFERROR(VLOOKUP(A1332,管理亚马逊库存!A:K,11,0),"")</f>
        <v>0</v>
      </c>
      <c r="C1332">
        <f>IFERROR(VLOOKUP(A1332,管理亚马逊库存!A:L,12,0),"")</f>
        <v>0</v>
      </c>
      <c r="D1332">
        <f>IFERROR(VLOOKUP(A1332,管理亚马逊库存!A:Q,17,0),"")</f>
        <v>0</v>
      </c>
      <c r="E1332">
        <f>IFERROR(VLOOKUP(A1332,管理亚马逊库存!A:R,18,0),"")</f>
        <v>0</v>
      </c>
      <c r="F1332">
        <f t="shared" si="41"/>
        <v>0</v>
      </c>
      <c r="G1332" t="str">
        <f>IFERROR(VLOOKUP(A1332,预留库存!A:G,7,0),0)</f>
        <v>No</v>
      </c>
      <c r="H1332">
        <f>IFERROR(VLOOKUP(A1332,预留库存!A:H,8,0),0)</f>
        <v>0</v>
      </c>
      <c r="I1332">
        <f>IFERROR(VLOOKUP(A1332,预留库存!A:F,6,0),0)</f>
        <v>22.98</v>
      </c>
      <c r="J1332">
        <f>IFERROR(VLOOKUP(A1332,库龄!B:K,9,0),0)</f>
        <v>0</v>
      </c>
      <c r="K1332">
        <f>IFERROR(VLOOKUP(A1332,库龄!B:L,10,0),0)</f>
        <v>0</v>
      </c>
      <c r="L1332">
        <f>IFERROR(VLOOKUP(A1332,库龄!B:M,11,0),0)</f>
        <v>0</v>
      </c>
      <c r="M1332">
        <f>IFERROR(VLOOKUP(A1332,库龄!B:N,12,0),0)</f>
        <v>0</v>
      </c>
      <c r="N1332">
        <f t="shared" si="42"/>
        <v>0</v>
      </c>
    </row>
    <row r="1333" spans="1:14">
      <c r="A1333" s="3" t="s">
        <v>3436</v>
      </c>
      <c r="B1333">
        <f>IFERROR(VLOOKUP(A1333,管理亚马逊库存!A:K,11,0),"")</f>
        <v>0</v>
      </c>
      <c r="C1333">
        <f>IFERROR(VLOOKUP(A1333,管理亚马逊库存!A:L,12,0),"")</f>
        <v>0</v>
      </c>
      <c r="D1333">
        <f>IFERROR(VLOOKUP(A1333,管理亚马逊库存!A:Q,17,0),"")</f>
        <v>0</v>
      </c>
      <c r="E1333">
        <f>IFERROR(VLOOKUP(A1333,管理亚马逊库存!A:R,18,0),"")</f>
        <v>0</v>
      </c>
      <c r="F1333">
        <f t="shared" si="41"/>
        <v>0</v>
      </c>
      <c r="G1333" t="str">
        <f>IFERROR(VLOOKUP(A1333,预留库存!A:G,7,0),0)</f>
        <v>No</v>
      </c>
      <c r="H1333">
        <f>IFERROR(VLOOKUP(A1333,预留库存!A:H,8,0),0)</f>
        <v>0</v>
      </c>
      <c r="I1333">
        <f>IFERROR(VLOOKUP(A1333,预留库存!A:F,6,0),0)</f>
        <v>22.98</v>
      </c>
      <c r="J1333">
        <f>IFERROR(VLOOKUP(A1333,库龄!B:K,9,0),0)</f>
        <v>0</v>
      </c>
      <c r="K1333">
        <f>IFERROR(VLOOKUP(A1333,库龄!B:L,10,0),0)</f>
        <v>0</v>
      </c>
      <c r="L1333">
        <f>IFERROR(VLOOKUP(A1333,库龄!B:M,11,0),0)</f>
        <v>0</v>
      </c>
      <c r="M1333">
        <f>IFERROR(VLOOKUP(A1333,库龄!B:N,12,0),0)</f>
        <v>0</v>
      </c>
      <c r="N1333">
        <f t="shared" si="42"/>
        <v>0</v>
      </c>
    </row>
    <row r="1334" spans="1:14">
      <c r="A1334" s="3" t="s">
        <v>3440</v>
      </c>
      <c r="B1334">
        <f>IFERROR(VLOOKUP(A1334,管理亚马逊库存!A:K,11,0),"")</f>
        <v>0</v>
      </c>
      <c r="C1334">
        <f>IFERROR(VLOOKUP(A1334,管理亚马逊库存!A:L,12,0),"")</f>
        <v>0</v>
      </c>
      <c r="D1334">
        <f>IFERROR(VLOOKUP(A1334,管理亚马逊库存!A:Q,17,0),"")</f>
        <v>0</v>
      </c>
      <c r="E1334">
        <f>IFERROR(VLOOKUP(A1334,管理亚马逊库存!A:R,18,0),"")</f>
        <v>0</v>
      </c>
      <c r="F1334">
        <f t="shared" si="41"/>
        <v>0</v>
      </c>
      <c r="G1334" t="str">
        <f>IFERROR(VLOOKUP(A1334,预留库存!A:G,7,0),0)</f>
        <v>No</v>
      </c>
      <c r="H1334">
        <f>IFERROR(VLOOKUP(A1334,预留库存!A:H,8,0),0)</f>
        <v>0</v>
      </c>
      <c r="I1334">
        <f>IFERROR(VLOOKUP(A1334,预留库存!A:F,6,0),0)</f>
        <v>22.98</v>
      </c>
      <c r="J1334">
        <f>IFERROR(VLOOKUP(A1334,库龄!B:K,9,0),0)</f>
        <v>0</v>
      </c>
      <c r="K1334">
        <f>IFERROR(VLOOKUP(A1334,库龄!B:L,10,0),0)</f>
        <v>0</v>
      </c>
      <c r="L1334">
        <f>IFERROR(VLOOKUP(A1334,库龄!B:M,11,0),0)</f>
        <v>0</v>
      </c>
      <c r="M1334">
        <f>IFERROR(VLOOKUP(A1334,库龄!B:N,12,0),0)</f>
        <v>0</v>
      </c>
      <c r="N1334">
        <f t="shared" si="42"/>
        <v>0</v>
      </c>
    </row>
    <row r="1335" spans="1:14">
      <c r="A1335" s="3" t="s">
        <v>3444</v>
      </c>
      <c r="B1335">
        <f>IFERROR(VLOOKUP(A1335,管理亚马逊库存!A:K,11,0),"")</f>
        <v>0</v>
      </c>
      <c r="C1335">
        <f>IFERROR(VLOOKUP(A1335,管理亚马逊库存!A:L,12,0),"")</f>
        <v>0</v>
      </c>
      <c r="D1335">
        <f>IFERROR(VLOOKUP(A1335,管理亚马逊库存!A:Q,17,0),"")</f>
        <v>0</v>
      </c>
      <c r="E1335">
        <f>IFERROR(VLOOKUP(A1335,管理亚马逊库存!A:R,18,0),"")</f>
        <v>0</v>
      </c>
      <c r="F1335">
        <f t="shared" si="41"/>
        <v>0</v>
      </c>
      <c r="G1335" t="str">
        <f>IFERROR(VLOOKUP(A1335,预留库存!A:G,7,0),0)</f>
        <v>No</v>
      </c>
      <c r="H1335">
        <f>IFERROR(VLOOKUP(A1335,预留库存!A:H,8,0),0)</f>
        <v>0</v>
      </c>
      <c r="I1335">
        <f>IFERROR(VLOOKUP(A1335,预留库存!A:F,6,0),0)</f>
        <v>22.98</v>
      </c>
      <c r="J1335">
        <f>IFERROR(VLOOKUP(A1335,库龄!B:K,9,0),0)</f>
        <v>0</v>
      </c>
      <c r="K1335">
        <f>IFERROR(VLOOKUP(A1335,库龄!B:L,10,0),0)</f>
        <v>0</v>
      </c>
      <c r="L1335">
        <f>IFERROR(VLOOKUP(A1335,库龄!B:M,11,0),0)</f>
        <v>0</v>
      </c>
      <c r="M1335">
        <f>IFERROR(VLOOKUP(A1335,库龄!B:N,12,0),0)</f>
        <v>0</v>
      </c>
      <c r="N1335">
        <f t="shared" si="42"/>
        <v>0</v>
      </c>
    </row>
    <row r="1336" spans="1:14">
      <c r="A1336" s="3" t="s">
        <v>3448</v>
      </c>
      <c r="B1336">
        <f>IFERROR(VLOOKUP(A1336,管理亚马逊库存!A:K,11,0),"")</f>
        <v>0</v>
      </c>
      <c r="C1336">
        <f>IFERROR(VLOOKUP(A1336,管理亚马逊库存!A:L,12,0),"")</f>
        <v>0</v>
      </c>
      <c r="D1336">
        <f>IFERROR(VLOOKUP(A1336,管理亚马逊库存!A:Q,17,0),"")</f>
        <v>0</v>
      </c>
      <c r="E1336">
        <f>IFERROR(VLOOKUP(A1336,管理亚马逊库存!A:R,18,0),"")</f>
        <v>0</v>
      </c>
      <c r="F1336">
        <f t="shared" si="41"/>
        <v>0</v>
      </c>
      <c r="G1336" t="str">
        <f>IFERROR(VLOOKUP(A1336,预留库存!A:G,7,0),0)</f>
        <v>No</v>
      </c>
      <c r="H1336">
        <f>IFERROR(VLOOKUP(A1336,预留库存!A:H,8,0),0)</f>
        <v>0</v>
      </c>
      <c r="I1336">
        <f>IFERROR(VLOOKUP(A1336,预留库存!A:F,6,0),0)</f>
        <v>22.98</v>
      </c>
      <c r="J1336">
        <f>IFERROR(VLOOKUP(A1336,库龄!B:K,9,0),0)</f>
        <v>0</v>
      </c>
      <c r="K1336">
        <f>IFERROR(VLOOKUP(A1336,库龄!B:L,10,0),0)</f>
        <v>0</v>
      </c>
      <c r="L1336">
        <f>IFERROR(VLOOKUP(A1336,库龄!B:M,11,0),0)</f>
        <v>0</v>
      </c>
      <c r="M1336">
        <f>IFERROR(VLOOKUP(A1336,库龄!B:N,12,0),0)</f>
        <v>0</v>
      </c>
      <c r="N1336">
        <f t="shared" si="42"/>
        <v>0</v>
      </c>
    </row>
    <row r="1337" spans="1:14">
      <c r="A1337" s="3" t="s">
        <v>3452</v>
      </c>
      <c r="B1337">
        <f>IFERROR(VLOOKUP(A1337,管理亚马逊库存!A:K,11,0),"")</f>
        <v>0</v>
      </c>
      <c r="C1337">
        <f>IFERROR(VLOOKUP(A1337,管理亚马逊库存!A:L,12,0),"")</f>
        <v>0</v>
      </c>
      <c r="D1337">
        <f>IFERROR(VLOOKUP(A1337,管理亚马逊库存!A:Q,17,0),"")</f>
        <v>0</v>
      </c>
      <c r="E1337">
        <f>IFERROR(VLOOKUP(A1337,管理亚马逊库存!A:R,18,0),"")</f>
        <v>0</v>
      </c>
      <c r="F1337">
        <f t="shared" si="41"/>
        <v>0</v>
      </c>
      <c r="G1337" t="str">
        <f>IFERROR(VLOOKUP(A1337,预留库存!A:G,7,0),0)</f>
        <v>No</v>
      </c>
      <c r="H1337">
        <f>IFERROR(VLOOKUP(A1337,预留库存!A:H,8,0),0)</f>
        <v>0</v>
      </c>
      <c r="I1337">
        <f>IFERROR(VLOOKUP(A1337,预留库存!A:F,6,0),0)</f>
        <v>22.98</v>
      </c>
      <c r="J1337">
        <f>IFERROR(VLOOKUP(A1337,库龄!B:K,9,0),0)</f>
        <v>0</v>
      </c>
      <c r="K1337">
        <f>IFERROR(VLOOKUP(A1337,库龄!B:L,10,0),0)</f>
        <v>0</v>
      </c>
      <c r="L1337">
        <f>IFERROR(VLOOKUP(A1337,库龄!B:M,11,0),0)</f>
        <v>0</v>
      </c>
      <c r="M1337">
        <f>IFERROR(VLOOKUP(A1337,库龄!B:N,12,0),0)</f>
        <v>0</v>
      </c>
      <c r="N1337">
        <f t="shared" si="42"/>
        <v>0</v>
      </c>
    </row>
    <row r="1338" spans="1:14">
      <c r="A1338" s="3" t="s">
        <v>3456</v>
      </c>
      <c r="B1338">
        <f>IFERROR(VLOOKUP(A1338,管理亚马逊库存!A:K,11,0),"")</f>
        <v>0</v>
      </c>
      <c r="C1338">
        <f>IFERROR(VLOOKUP(A1338,管理亚马逊库存!A:L,12,0),"")</f>
        <v>0</v>
      </c>
      <c r="D1338">
        <f>IFERROR(VLOOKUP(A1338,管理亚马逊库存!A:Q,17,0),"")</f>
        <v>0</v>
      </c>
      <c r="E1338">
        <f>IFERROR(VLOOKUP(A1338,管理亚马逊库存!A:R,18,0),"")</f>
        <v>0</v>
      </c>
      <c r="F1338">
        <f t="shared" si="41"/>
        <v>0</v>
      </c>
      <c r="G1338" t="str">
        <f>IFERROR(VLOOKUP(A1338,预留库存!A:G,7,0),0)</f>
        <v>No</v>
      </c>
      <c r="H1338">
        <f>IFERROR(VLOOKUP(A1338,预留库存!A:H,8,0),0)</f>
        <v>0</v>
      </c>
      <c r="I1338">
        <f>IFERROR(VLOOKUP(A1338,预留库存!A:F,6,0),0)</f>
        <v>22.98</v>
      </c>
      <c r="J1338">
        <f>IFERROR(VLOOKUP(A1338,库龄!B:K,9,0),0)</f>
        <v>0</v>
      </c>
      <c r="K1338">
        <f>IFERROR(VLOOKUP(A1338,库龄!B:L,10,0),0)</f>
        <v>0</v>
      </c>
      <c r="L1338">
        <f>IFERROR(VLOOKUP(A1338,库龄!B:M,11,0),0)</f>
        <v>0</v>
      </c>
      <c r="M1338">
        <f>IFERROR(VLOOKUP(A1338,库龄!B:N,12,0),0)</f>
        <v>0</v>
      </c>
      <c r="N1338">
        <f t="shared" si="42"/>
        <v>0</v>
      </c>
    </row>
    <row r="1339" spans="1:14">
      <c r="A1339" s="3" t="s">
        <v>3460</v>
      </c>
      <c r="B1339">
        <f>IFERROR(VLOOKUP(A1339,管理亚马逊库存!A:K,11,0),"")</f>
        <v>0</v>
      </c>
      <c r="C1339">
        <f>IFERROR(VLOOKUP(A1339,管理亚马逊库存!A:L,12,0),"")</f>
        <v>0</v>
      </c>
      <c r="D1339">
        <f>IFERROR(VLOOKUP(A1339,管理亚马逊库存!A:Q,17,0),"")</f>
        <v>0</v>
      </c>
      <c r="E1339">
        <f>IFERROR(VLOOKUP(A1339,管理亚马逊库存!A:R,18,0),"")</f>
        <v>0</v>
      </c>
      <c r="F1339">
        <f t="shared" si="41"/>
        <v>0</v>
      </c>
      <c r="G1339" t="str">
        <f>IFERROR(VLOOKUP(A1339,预留库存!A:G,7,0),0)</f>
        <v>No</v>
      </c>
      <c r="H1339">
        <f>IFERROR(VLOOKUP(A1339,预留库存!A:H,8,0),0)</f>
        <v>0</v>
      </c>
      <c r="I1339">
        <f>IFERROR(VLOOKUP(A1339,预留库存!A:F,6,0),0)</f>
        <v>24.98</v>
      </c>
      <c r="J1339">
        <f>IFERROR(VLOOKUP(A1339,库龄!B:K,9,0),0)</f>
        <v>0</v>
      </c>
      <c r="K1339">
        <f>IFERROR(VLOOKUP(A1339,库龄!B:L,10,0),0)</f>
        <v>0</v>
      </c>
      <c r="L1339">
        <f>IFERROR(VLOOKUP(A1339,库龄!B:M,11,0),0)</f>
        <v>0</v>
      </c>
      <c r="M1339">
        <f>IFERROR(VLOOKUP(A1339,库龄!B:N,12,0),0)</f>
        <v>0</v>
      </c>
      <c r="N1339">
        <f t="shared" si="42"/>
        <v>0</v>
      </c>
    </row>
    <row r="1340" spans="1:14">
      <c r="A1340" s="3" t="s">
        <v>3464</v>
      </c>
      <c r="B1340">
        <f>IFERROR(VLOOKUP(A1340,管理亚马逊库存!A:K,11,0),"")</f>
        <v>0</v>
      </c>
      <c r="C1340">
        <f>IFERROR(VLOOKUP(A1340,管理亚马逊库存!A:L,12,0),"")</f>
        <v>0</v>
      </c>
      <c r="D1340">
        <f>IFERROR(VLOOKUP(A1340,管理亚马逊库存!A:Q,17,0),"")</f>
        <v>0</v>
      </c>
      <c r="E1340">
        <f>IFERROR(VLOOKUP(A1340,管理亚马逊库存!A:R,18,0),"")</f>
        <v>0</v>
      </c>
      <c r="F1340">
        <f t="shared" si="41"/>
        <v>0</v>
      </c>
      <c r="G1340" t="str">
        <f>IFERROR(VLOOKUP(A1340,预留库存!A:G,7,0),0)</f>
        <v>No</v>
      </c>
      <c r="H1340">
        <f>IFERROR(VLOOKUP(A1340,预留库存!A:H,8,0),0)</f>
        <v>0</v>
      </c>
      <c r="I1340">
        <f>IFERROR(VLOOKUP(A1340,预留库存!A:F,6,0),0)</f>
        <v>24.98</v>
      </c>
      <c r="J1340">
        <f>IFERROR(VLOOKUP(A1340,库龄!B:K,9,0),0)</f>
        <v>0</v>
      </c>
      <c r="K1340">
        <f>IFERROR(VLOOKUP(A1340,库龄!B:L,10,0),0)</f>
        <v>0</v>
      </c>
      <c r="L1340">
        <f>IFERROR(VLOOKUP(A1340,库龄!B:M,11,0),0)</f>
        <v>0</v>
      </c>
      <c r="M1340">
        <f>IFERROR(VLOOKUP(A1340,库龄!B:N,12,0),0)</f>
        <v>0</v>
      </c>
      <c r="N1340">
        <f t="shared" si="42"/>
        <v>0</v>
      </c>
    </row>
    <row r="1341" spans="1:14">
      <c r="A1341" s="3" t="s">
        <v>3468</v>
      </c>
      <c r="B1341">
        <f>IFERROR(VLOOKUP(A1341,管理亚马逊库存!A:K,11,0),"")</f>
        <v>0</v>
      </c>
      <c r="C1341">
        <f>IFERROR(VLOOKUP(A1341,管理亚马逊库存!A:L,12,0),"")</f>
        <v>0</v>
      </c>
      <c r="D1341">
        <f>IFERROR(VLOOKUP(A1341,管理亚马逊库存!A:Q,17,0),"")</f>
        <v>0</v>
      </c>
      <c r="E1341">
        <f>IFERROR(VLOOKUP(A1341,管理亚马逊库存!A:R,18,0),"")</f>
        <v>0</v>
      </c>
      <c r="F1341">
        <f t="shared" si="41"/>
        <v>0</v>
      </c>
      <c r="G1341" t="str">
        <f>IFERROR(VLOOKUP(A1341,预留库存!A:G,7,0),0)</f>
        <v>No</v>
      </c>
      <c r="H1341">
        <f>IFERROR(VLOOKUP(A1341,预留库存!A:H,8,0),0)</f>
        <v>0</v>
      </c>
      <c r="I1341">
        <f>IFERROR(VLOOKUP(A1341,预留库存!A:F,6,0),0)</f>
        <v>24.98</v>
      </c>
      <c r="J1341">
        <f>IFERROR(VLOOKUP(A1341,库龄!B:K,9,0),0)</f>
        <v>0</v>
      </c>
      <c r="K1341">
        <f>IFERROR(VLOOKUP(A1341,库龄!B:L,10,0),0)</f>
        <v>0</v>
      </c>
      <c r="L1341">
        <f>IFERROR(VLOOKUP(A1341,库龄!B:M,11,0),0)</f>
        <v>0</v>
      </c>
      <c r="M1341">
        <f>IFERROR(VLOOKUP(A1341,库龄!B:N,12,0),0)</f>
        <v>0</v>
      </c>
      <c r="N1341">
        <f t="shared" si="42"/>
        <v>0</v>
      </c>
    </row>
    <row r="1342" spans="1:14">
      <c r="A1342" s="3" t="s">
        <v>3472</v>
      </c>
      <c r="B1342">
        <f>IFERROR(VLOOKUP(A1342,管理亚马逊库存!A:K,11,0),"")</f>
        <v>0</v>
      </c>
      <c r="C1342">
        <f>IFERROR(VLOOKUP(A1342,管理亚马逊库存!A:L,12,0),"")</f>
        <v>0</v>
      </c>
      <c r="D1342">
        <f>IFERROR(VLOOKUP(A1342,管理亚马逊库存!A:Q,17,0),"")</f>
        <v>0</v>
      </c>
      <c r="E1342">
        <f>IFERROR(VLOOKUP(A1342,管理亚马逊库存!A:R,18,0),"")</f>
        <v>0</v>
      </c>
      <c r="F1342">
        <f t="shared" si="41"/>
        <v>0</v>
      </c>
      <c r="G1342" t="str">
        <f>IFERROR(VLOOKUP(A1342,预留库存!A:G,7,0),0)</f>
        <v>No</v>
      </c>
      <c r="H1342">
        <f>IFERROR(VLOOKUP(A1342,预留库存!A:H,8,0),0)</f>
        <v>0</v>
      </c>
      <c r="I1342">
        <f>IFERROR(VLOOKUP(A1342,预留库存!A:F,6,0),0)</f>
        <v>24.98</v>
      </c>
      <c r="J1342">
        <f>IFERROR(VLOOKUP(A1342,库龄!B:K,9,0),0)</f>
        <v>0</v>
      </c>
      <c r="K1342">
        <f>IFERROR(VLOOKUP(A1342,库龄!B:L,10,0),0)</f>
        <v>0</v>
      </c>
      <c r="L1342">
        <f>IFERROR(VLOOKUP(A1342,库龄!B:M,11,0),0)</f>
        <v>0</v>
      </c>
      <c r="M1342">
        <f>IFERROR(VLOOKUP(A1342,库龄!B:N,12,0),0)</f>
        <v>0</v>
      </c>
      <c r="N1342">
        <f t="shared" si="42"/>
        <v>0</v>
      </c>
    </row>
    <row r="1343" spans="1:14">
      <c r="A1343" s="3" t="s">
        <v>3476</v>
      </c>
      <c r="B1343">
        <f>IFERROR(VLOOKUP(A1343,管理亚马逊库存!A:K,11,0),"")</f>
        <v>0</v>
      </c>
      <c r="C1343">
        <f>IFERROR(VLOOKUP(A1343,管理亚马逊库存!A:L,12,0),"")</f>
        <v>0</v>
      </c>
      <c r="D1343">
        <f>IFERROR(VLOOKUP(A1343,管理亚马逊库存!A:Q,17,0),"")</f>
        <v>0</v>
      </c>
      <c r="E1343">
        <f>IFERROR(VLOOKUP(A1343,管理亚马逊库存!A:R,18,0),"")</f>
        <v>0</v>
      </c>
      <c r="F1343">
        <f t="shared" si="41"/>
        <v>0</v>
      </c>
      <c r="G1343" t="str">
        <f>IFERROR(VLOOKUP(A1343,预留库存!A:G,7,0),0)</f>
        <v>No</v>
      </c>
      <c r="H1343">
        <f>IFERROR(VLOOKUP(A1343,预留库存!A:H,8,0),0)</f>
        <v>0</v>
      </c>
      <c r="I1343">
        <f>IFERROR(VLOOKUP(A1343,预留库存!A:F,6,0),0)</f>
        <v>24.98</v>
      </c>
      <c r="J1343">
        <f>IFERROR(VLOOKUP(A1343,库龄!B:K,9,0),0)</f>
        <v>0</v>
      </c>
      <c r="K1343">
        <f>IFERROR(VLOOKUP(A1343,库龄!B:L,10,0),0)</f>
        <v>0</v>
      </c>
      <c r="L1343">
        <f>IFERROR(VLOOKUP(A1343,库龄!B:M,11,0),0)</f>
        <v>0</v>
      </c>
      <c r="M1343">
        <f>IFERROR(VLOOKUP(A1343,库龄!B:N,12,0),0)</f>
        <v>0</v>
      </c>
      <c r="N1343">
        <f t="shared" si="42"/>
        <v>0</v>
      </c>
    </row>
    <row r="1344" spans="1:14">
      <c r="A1344" s="3" t="s">
        <v>3480</v>
      </c>
      <c r="B1344">
        <f>IFERROR(VLOOKUP(A1344,管理亚马逊库存!A:K,11,0),"")</f>
        <v>0</v>
      </c>
      <c r="C1344">
        <f>IFERROR(VLOOKUP(A1344,管理亚马逊库存!A:L,12,0),"")</f>
        <v>0</v>
      </c>
      <c r="D1344">
        <f>IFERROR(VLOOKUP(A1344,管理亚马逊库存!A:Q,17,0),"")</f>
        <v>0</v>
      </c>
      <c r="E1344">
        <f>IFERROR(VLOOKUP(A1344,管理亚马逊库存!A:R,18,0),"")</f>
        <v>0</v>
      </c>
      <c r="F1344">
        <f t="shared" si="41"/>
        <v>0</v>
      </c>
      <c r="G1344" t="str">
        <f>IFERROR(VLOOKUP(A1344,预留库存!A:G,7,0),0)</f>
        <v>No</v>
      </c>
      <c r="H1344">
        <f>IFERROR(VLOOKUP(A1344,预留库存!A:H,8,0),0)</f>
        <v>0</v>
      </c>
      <c r="I1344">
        <f>IFERROR(VLOOKUP(A1344,预留库存!A:F,6,0),0)</f>
        <v>24.98</v>
      </c>
      <c r="J1344">
        <f>IFERROR(VLOOKUP(A1344,库龄!B:K,9,0),0)</f>
        <v>0</v>
      </c>
      <c r="K1344">
        <f>IFERROR(VLOOKUP(A1344,库龄!B:L,10,0),0)</f>
        <v>0</v>
      </c>
      <c r="L1344">
        <f>IFERROR(VLOOKUP(A1344,库龄!B:M,11,0),0)</f>
        <v>0</v>
      </c>
      <c r="M1344">
        <f>IFERROR(VLOOKUP(A1344,库龄!B:N,12,0),0)</f>
        <v>0</v>
      </c>
      <c r="N1344">
        <f t="shared" si="42"/>
        <v>0</v>
      </c>
    </row>
    <row r="1345" spans="1:14">
      <c r="A1345" s="3" t="s">
        <v>3484</v>
      </c>
      <c r="B1345">
        <f>IFERROR(VLOOKUP(A1345,管理亚马逊库存!A:K,11,0),"")</f>
        <v>0</v>
      </c>
      <c r="C1345">
        <f>IFERROR(VLOOKUP(A1345,管理亚马逊库存!A:L,12,0),"")</f>
        <v>0</v>
      </c>
      <c r="D1345">
        <f>IFERROR(VLOOKUP(A1345,管理亚马逊库存!A:Q,17,0),"")</f>
        <v>0</v>
      </c>
      <c r="E1345">
        <f>IFERROR(VLOOKUP(A1345,管理亚马逊库存!A:R,18,0),"")</f>
        <v>0</v>
      </c>
      <c r="F1345">
        <f t="shared" si="41"/>
        <v>0</v>
      </c>
      <c r="G1345" t="str">
        <f>IFERROR(VLOOKUP(A1345,预留库存!A:G,7,0),0)</f>
        <v>No</v>
      </c>
      <c r="H1345">
        <f>IFERROR(VLOOKUP(A1345,预留库存!A:H,8,0),0)</f>
        <v>0</v>
      </c>
      <c r="I1345">
        <f>IFERROR(VLOOKUP(A1345,预留库存!A:F,6,0),0)</f>
        <v>24.98</v>
      </c>
      <c r="J1345">
        <f>IFERROR(VLOOKUP(A1345,库龄!B:K,9,0),0)</f>
        <v>0</v>
      </c>
      <c r="K1345">
        <f>IFERROR(VLOOKUP(A1345,库龄!B:L,10,0),0)</f>
        <v>0</v>
      </c>
      <c r="L1345">
        <f>IFERROR(VLOOKUP(A1345,库龄!B:M,11,0),0)</f>
        <v>0</v>
      </c>
      <c r="M1345">
        <f>IFERROR(VLOOKUP(A1345,库龄!B:N,12,0),0)</f>
        <v>0</v>
      </c>
      <c r="N1345">
        <f t="shared" si="42"/>
        <v>0</v>
      </c>
    </row>
    <row r="1346" spans="1:14">
      <c r="A1346" s="3" t="s">
        <v>3488</v>
      </c>
      <c r="B1346">
        <f>IFERROR(VLOOKUP(A1346,管理亚马逊库存!A:K,11,0),"")</f>
        <v>0</v>
      </c>
      <c r="C1346">
        <f>IFERROR(VLOOKUP(A1346,管理亚马逊库存!A:L,12,0),"")</f>
        <v>0</v>
      </c>
      <c r="D1346">
        <f>IFERROR(VLOOKUP(A1346,管理亚马逊库存!A:Q,17,0),"")</f>
        <v>0</v>
      </c>
      <c r="E1346">
        <f>IFERROR(VLOOKUP(A1346,管理亚马逊库存!A:R,18,0),"")</f>
        <v>0</v>
      </c>
      <c r="F1346">
        <f t="shared" si="41"/>
        <v>0</v>
      </c>
      <c r="G1346" t="str">
        <f>IFERROR(VLOOKUP(A1346,预留库存!A:G,7,0),0)</f>
        <v>No</v>
      </c>
      <c r="H1346">
        <f>IFERROR(VLOOKUP(A1346,预留库存!A:H,8,0),0)</f>
        <v>0</v>
      </c>
      <c r="I1346">
        <f>IFERROR(VLOOKUP(A1346,预留库存!A:F,6,0),0)</f>
        <v>24.98</v>
      </c>
      <c r="J1346">
        <f>IFERROR(VLOOKUP(A1346,库龄!B:K,9,0),0)</f>
        <v>0</v>
      </c>
      <c r="K1346">
        <f>IFERROR(VLOOKUP(A1346,库龄!B:L,10,0),0)</f>
        <v>0</v>
      </c>
      <c r="L1346">
        <f>IFERROR(VLOOKUP(A1346,库龄!B:M,11,0),0)</f>
        <v>0</v>
      </c>
      <c r="M1346">
        <f>IFERROR(VLOOKUP(A1346,库龄!B:N,12,0),0)</f>
        <v>0</v>
      </c>
      <c r="N1346">
        <f t="shared" si="42"/>
        <v>0</v>
      </c>
    </row>
    <row r="1347" spans="1:14">
      <c r="A1347" s="3" t="s">
        <v>3492</v>
      </c>
      <c r="B1347">
        <f>IFERROR(VLOOKUP(A1347,管理亚马逊库存!A:K,11,0),"")</f>
        <v>0</v>
      </c>
      <c r="C1347">
        <f>IFERROR(VLOOKUP(A1347,管理亚马逊库存!A:L,12,0),"")</f>
        <v>0</v>
      </c>
      <c r="D1347">
        <f>IFERROR(VLOOKUP(A1347,管理亚马逊库存!A:Q,17,0),"")</f>
        <v>0</v>
      </c>
      <c r="E1347">
        <f>IFERROR(VLOOKUP(A1347,管理亚马逊库存!A:R,18,0),"")</f>
        <v>0</v>
      </c>
      <c r="F1347">
        <f t="shared" ref="F1347:F1410" si="43">SUM(D1347:E1347)</f>
        <v>0</v>
      </c>
      <c r="G1347" t="str">
        <f>IFERROR(VLOOKUP(A1347,预留库存!A:G,7,0),0)</f>
        <v>No</v>
      </c>
      <c r="H1347">
        <f>IFERROR(VLOOKUP(A1347,预留库存!A:H,8,0),0)</f>
        <v>0</v>
      </c>
      <c r="I1347">
        <f>IFERROR(VLOOKUP(A1347,预留库存!A:F,6,0),0)</f>
        <v>24.98</v>
      </c>
      <c r="J1347">
        <f>IFERROR(VLOOKUP(A1347,库龄!B:K,9,0),0)</f>
        <v>0</v>
      </c>
      <c r="K1347">
        <f>IFERROR(VLOOKUP(A1347,库龄!B:L,10,0),0)</f>
        <v>0</v>
      </c>
      <c r="L1347">
        <f>IFERROR(VLOOKUP(A1347,库龄!B:M,11,0),0)</f>
        <v>0</v>
      </c>
      <c r="M1347">
        <f>IFERROR(VLOOKUP(A1347,库龄!B:N,12,0),0)</f>
        <v>0</v>
      </c>
      <c r="N1347">
        <f t="shared" ref="N1347:N1410" si="44">SUM(J1347:M1347)</f>
        <v>0</v>
      </c>
    </row>
    <row r="1348" spans="1:14">
      <c r="A1348" s="3" t="s">
        <v>3496</v>
      </c>
      <c r="B1348">
        <f>IFERROR(VLOOKUP(A1348,管理亚马逊库存!A:K,11,0),"")</f>
        <v>0</v>
      </c>
      <c r="C1348">
        <f>IFERROR(VLOOKUP(A1348,管理亚马逊库存!A:L,12,0),"")</f>
        <v>0</v>
      </c>
      <c r="D1348">
        <f>IFERROR(VLOOKUP(A1348,管理亚马逊库存!A:Q,17,0),"")</f>
        <v>0</v>
      </c>
      <c r="E1348">
        <f>IFERROR(VLOOKUP(A1348,管理亚马逊库存!A:R,18,0),"")</f>
        <v>0</v>
      </c>
      <c r="F1348">
        <f t="shared" si="43"/>
        <v>0</v>
      </c>
      <c r="G1348" t="str">
        <f>IFERROR(VLOOKUP(A1348,预留库存!A:G,7,0),0)</f>
        <v>No</v>
      </c>
      <c r="H1348">
        <f>IFERROR(VLOOKUP(A1348,预留库存!A:H,8,0),0)</f>
        <v>0</v>
      </c>
      <c r="I1348">
        <f>IFERROR(VLOOKUP(A1348,预留库存!A:F,6,0),0)</f>
        <v>24.98</v>
      </c>
      <c r="J1348">
        <f>IFERROR(VLOOKUP(A1348,库龄!B:K,9,0),0)</f>
        <v>0</v>
      </c>
      <c r="K1348">
        <f>IFERROR(VLOOKUP(A1348,库龄!B:L,10,0),0)</f>
        <v>0</v>
      </c>
      <c r="L1348">
        <f>IFERROR(VLOOKUP(A1348,库龄!B:M,11,0),0)</f>
        <v>0</v>
      </c>
      <c r="M1348">
        <f>IFERROR(VLOOKUP(A1348,库龄!B:N,12,0),0)</f>
        <v>0</v>
      </c>
      <c r="N1348">
        <f t="shared" si="44"/>
        <v>0</v>
      </c>
    </row>
    <row r="1349" spans="1:14">
      <c r="A1349" s="3" t="s">
        <v>3500</v>
      </c>
      <c r="B1349">
        <f>IFERROR(VLOOKUP(A1349,管理亚马逊库存!A:K,11,0),"")</f>
        <v>0</v>
      </c>
      <c r="C1349">
        <f>IFERROR(VLOOKUP(A1349,管理亚马逊库存!A:L,12,0),"")</f>
        <v>0</v>
      </c>
      <c r="D1349">
        <f>IFERROR(VLOOKUP(A1349,管理亚马逊库存!A:Q,17,0),"")</f>
        <v>0</v>
      </c>
      <c r="E1349">
        <f>IFERROR(VLOOKUP(A1349,管理亚马逊库存!A:R,18,0),"")</f>
        <v>0</v>
      </c>
      <c r="F1349">
        <f t="shared" si="43"/>
        <v>0</v>
      </c>
      <c r="G1349" t="str">
        <f>IFERROR(VLOOKUP(A1349,预留库存!A:G,7,0),0)</f>
        <v>No</v>
      </c>
      <c r="H1349">
        <f>IFERROR(VLOOKUP(A1349,预留库存!A:H,8,0),0)</f>
        <v>0</v>
      </c>
      <c r="I1349">
        <f>IFERROR(VLOOKUP(A1349,预留库存!A:F,6,0),0)</f>
        <v>24.98</v>
      </c>
      <c r="J1349">
        <f>IFERROR(VLOOKUP(A1349,库龄!B:K,9,0),0)</f>
        <v>0</v>
      </c>
      <c r="K1349">
        <f>IFERROR(VLOOKUP(A1349,库龄!B:L,10,0),0)</f>
        <v>0</v>
      </c>
      <c r="L1349">
        <f>IFERROR(VLOOKUP(A1349,库龄!B:M,11,0),0)</f>
        <v>0</v>
      </c>
      <c r="M1349">
        <f>IFERROR(VLOOKUP(A1349,库龄!B:N,12,0),0)</f>
        <v>0</v>
      </c>
      <c r="N1349">
        <f t="shared" si="44"/>
        <v>0</v>
      </c>
    </row>
    <row r="1350" spans="1:14">
      <c r="A1350" s="3" t="s">
        <v>3504</v>
      </c>
      <c r="B1350">
        <f>IFERROR(VLOOKUP(A1350,管理亚马逊库存!A:K,11,0),"")</f>
        <v>0</v>
      </c>
      <c r="C1350">
        <f>IFERROR(VLOOKUP(A1350,管理亚马逊库存!A:L,12,0),"")</f>
        <v>0</v>
      </c>
      <c r="D1350">
        <f>IFERROR(VLOOKUP(A1350,管理亚马逊库存!A:Q,17,0),"")</f>
        <v>0</v>
      </c>
      <c r="E1350">
        <f>IFERROR(VLOOKUP(A1350,管理亚马逊库存!A:R,18,0),"")</f>
        <v>0</v>
      </c>
      <c r="F1350">
        <f t="shared" si="43"/>
        <v>0</v>
      </c>
      <c r="G1350" t="str">
        <f>IFERROR(VLOOKUP(A1350,预留库存!A:G,7,0),0)</f>
        <v>No</v>
      </c>
      <c r="H1350">
        <f>IFERROR(VLOOKUP(A1350,预留库存!A:H,8,0),0)</f>
        <v>0</v>
      </c>
      <c r="I1350">
        <f>IFERROR(VLOOKUP(A1350,预留库存!A:F,6,0),0)</f>
        <v>24.98</v>
      </c>
      <c r="J1350">
        <f>IFERROR(VLOOKUP(A1350,库龄!B:K,9,0),0)</f>
        <v>0</v>
      </c>
      <c r="K1350">
        <f>IFERROR(VLOOKUP(A1350,库龄!B:L,10,0),0)</f>
        <v>0</v>
      </c>
      <c r="L1350">
        <f>IFERROR(VLOOKUP(A1350,库龄!B:M,11,0),0)</f>
        <v>0</v>
      </c>
      <c r="M1350">
        <f>IFERROR(VLOOKUP(A1350,库龄!B:N,12,0),0)</f>
        <v>0</v>
      </c>
      <c r="N1350">
        <f t="shared" si="44"/>
        <v>0</v>
      </c>
    </row>
    <row r="1351" spans="1:14">
      <c r="A1351" s="3" t="s">
        <v>3508</v>
      </c>
      <c r="B1351">
        <f>IFERROR(VLOOKUP(A1351,管理亚马逊库存!A:K,11,0),"")</f>
        <v>0</v>
      </c>
      <c r="C1351">
        <f>IFERROR(VLOOKUP(A1351,管理亚马逊库存!A:L,12,0),"")</f>
        <v>0</v>
      </c>
      <c r="D1351">
        <f>IFERROR(VLOOKUP(A1351,管理亚马逊库存!A:Q,17,0),"")</f>
        <v>0</v>
      </c>
      <c r="E1351">
        <f>IFERROR(VLOOKUP(A1351,管理亚马逊库存!A:R,18,0),"")</f>
        <v>0</v>
      </c>
      <c r="F1351">
        <f t="shared" si="43"/>
        <v>0</v>
      </c>
      <c r="G1351" t="str">
        <f>IFERROR(VLOOKUP(A1351,预留库存!A:G,7,0),0)</f>
        <v>No</v>
      </c>
      <c r="H1351">
        <f>IFERROR(VLOOKUP(A1351,预留库存!A:H,8,0),0)</f>
        <v>0</v>
      </c>
      <c r="I1351">
        <f>IFERROR(VLOOKUP(A1351,预留库存!A:F,6,0),0)</f>
        <v>24.98</v>
      </c>
      <c r="J1351">
        <f>IFERROR(VLOOKUP(A1351,库龄!B:K,9,0),0)</f>
        <v>0</v>
      </c>
      <c r="K1351">
        <f>IFERROR(VLOOKUP(A1351,库龄!B:L,10,0),0)</f>
        <v>0</v>
      </c>
      <c r="L1351">
        <f>IFERROR(VLOOKUP(A1351,库龄!B:M,11,0),0)</f>
        <v>0</v>
      </c>
      <c r="M1351">
        <f>IFERROR(VLOOKUP(A1351,库龄!B:N,12,0),0)</f>
        <v>0</v>
      </c>
      <c r="N1351">
        <f t="shared" si="44"/>
        <v>0</v>
      </c>
    </row>
    <row r="1352" spans="1:14">
      <c r="A1352" s="3" t="s">
        <v>3512</v>
      </c>
      <c r="B1352">
        <f>IFERROR(VLOOKUP(A1352,管理亚马逊库存!A:K,11,0),"")</f>
        <v>0</v>
      </c>
      <c r="C1352">
        <f>IFERROR(VLOOKUP(A1352,管理亚马逊库存!A:L,12,0),"")</f>
        <v>0</v>
      </c>
      <c r="D1352">
        <f>IFERROR(VLOOKUP(A1352,管理亚马逊库存!A:Q,17,0),"")</f>
        <v>0</v>
      </c>
      <c r="E1352">
        <f>IFERROR(VLOOKUP(A1352,管理亚马逊库存!A:R,18,0),"")</f>
        <v>0</v>
      </c>
      <c r="F1352">
        <f t="shared" si="43"/>
        <v>0</v>
      </c>
      <c r="G1352" t="str">
        <f>IFERROR(VLOOKUP(A1352,预留库存!A:G,7,0),0)</f>
        <v>No</v>
      </c>
      <c r="H1352">
        <f>IFERROR(VLOOKUP(A1352,预留库存!A:H,8,0),0)</f>
        <v>0</v>
      </c>
      <c r="I1352">
        <f>IFERROR(VLOOKUP(A1352,预留库存!A:F,6,0),0)</f>
        <v>24.98</v>
      </c>
      <c r="J1352">
        <f>IFERROR(VLOOKUP(A1352,库龄!B:K,9,0),0)</f>
        <v>0</v>
      </c>
      <c r="K1352">
        <f>IFERROR(VLOOKUP(A1352,库龄!B:L,10,0),0)</f>
        <v>0</v>
      </c>
      <c r="L1352">
        <f>IFERROR(VLOOKUP(A1352,库龄!B:M,11,0),0)</f>
        <v>0</v>
      </c>
      <c r="M1352">
        <f>IFERROR(VLOOKUP(A1352,库龄!B:N,12,0),0)</f>
        <v>0</v>
      </c>
      <c r="N1352">
        <f t="shared" si="44"/>
        <v>0</v>
      </c>
    </row>
    <row r="1353" spans="1:14">
      <c r="A1353" s="3" t="s">
        <v>3516</v>
      </c>
      <c r="B1353">
        <f>IFERROR(VLOOKUP(A1353,管理亚马逊库存!A:K,11,0),"")</f>
        <v>0</v>
      </c>
      <c r="C1353">
        <f>IFERROR(VLOOKUP(A1353,管理亚马逊库存!A:L,12,0),"")</f>
        <v>0</v>
      </c>
      <c r="D1353">
        <f>IFERROR(VLOOKUP(A1353,管理亚马逊库存!A:Q,17,0),"")</f>
        <v>0</v>
      </c>
      <c r="E1353">
        <f>IFERROR(VLOOKUP(A1353,管理亚马逊库存!A:R,18,0),"")</f>
        <v>0</v>
      </c>
      <c r="F1353">
        <f t="shared" si="43"/>
        <v>0</v>
      </c>
      <c r="G1353" t="str">
        <f>IFERROR(VLOOKUP(A1353,预留库存!A:G,7,0),0)</f>
        <v>No</v>
      </c>
      <c r="H1353">
        <f>IFERROR(VLOOKUP(A1353,预留库存!A:H,8,0),0)</f>
        <v>0</v>
      </c>
      <c r="I1353">
        <f>IFERROR(VLOOKUP(A1353,预留库存!A:F,6,0),0)</f>
        <v>24.98</v>
      </c>
      <c r="J1353">
        <f>IFERROR(VLOOKUP(A1353,库龄!B:K,9,0),0)</f>
        <v>0</v>
      </c>
      <c r="K1353">
        <f>IFERROR(VLOOKUP(A1353,库龄!B:L,10,0),0)</f>
        <v>0</v>
      </c>
      <c r="L1353">
        <f>IFERROR(VLOOKUP(A1353,库龄!B:M,11,0),0)</f>
        <v>0</v>
      </c>
      <c r="M1353">
        <f>IFERROR(VLOOKUP(A1353,库龄!B:N,12,0),0)</f>
        <v>0</v>
      </c>
      <c r="N1353">
        <f t="shared" si="44"/>
        <v>0</v>
      </c>
    </row>
    <row r="1354" spans="1:14">
      <c r="A1354" s="3" t="s">
        <v>3520</v>
      </c>
      <c r="B1354">
        <f>IFERROR(VLOOKUP(A1354,管理亚马逊库存!A:K,11,0),"")</f>
        <v>0</v>
      </c>
      <c r="C1354">
        <f>IFERROR(VLOOKUP(A1354,管理亚马逊库存!A:L,12,0),"")</f>
        <v>0</v>
      </c>
      <c r="D1354">
        <f>IFERROR(VLOOKUP(A1354,管理亚马逊库存!A:Q,17,0),"")</f>
        <v>0</v>
      </c>
      <c r="E1354">
        <f>IFERROR(VLOOKUP(A1354,管理亚马逊库存!A:R,18,0),"")</f>
        <v>0</v>
      </c>
      <c r="F1354">
        <f t="shared" si="43"/>
        <v>0</v>
      </c>
      <c r="G1354" t="str">
        <f>IFERROR(VLOOKUP(A1354,预留库存!A:G,7,0),0)</f>
        <v>No</v>
      </c>
      <c r="H1354">
        <f>IFERROR(VLOOKUP(A1354,预留库存!A:H,8,0),0)</f>
        <v>0</v>
      </c>
      <c r="I1354">
        <f>IFERROR(VLOOKUP(A1354,预留库存!A:F,6,0),0)</f>
        <v>24.98</v>
      </c>
      <c r="J1354">
        <f>IFERROR(VLOOKUP(A1354,库龄!B:K,9,0),0)</f>
        <v>0</v>
      </c>
      <c r="K1354">
        <f>IFERROR(VLOOKUP(A1354,库龄!B:L,10,0),0)</f>
        <v>0</v>
      </c>
      <c r="L1354">
        <f>IFERROR(VLOOKUP(A1354,库龄!B:M,11,0),0)</f>
        <v>0</v>
      </c>
      <c r="M1354">
        <f>IFERROR(VLOOKUP(A1354,库龄!B:N,12,0),0)</f>
        <v>0</v>
      </c>
      <c r="N1354">
        <f t="shared" si="44"/>
        <v>0</v>
      </c>
    </row>
    <row r="1355" spans="1:14">
      <c r="A1355" s="3" t="s">
        <v>3524</v>
      </c>
      <c r="B1355">
        <f>IFERROR(VLOOKUP(A1355,管理亚马逊库存!A:K,11,0),"")</f>
        <v>0</v>
      </c>
      <c r="C1355">
        <f>IFERROR(VLOOKUP(A1355,管理亚马逊库存!A:L,12,0),"")</f>
        <v>0</v>
      </c>
      <c r="D1355">
        <f>IFERROR(VLOOKUP(A1355,管理亚马逊库存!A:Q,17,0),"")</f>
        <v>0</v>
      </c>
      <c r="E1355">
        <f>IFERROR(VLOOKUP(A1355,管理亚马逊库存!A:R,18,0),"")</f>
        <v>0</v>
      </c>
      <c r="F1355">
        <f t="shared" si="43"/>
        <v>0</v>
      </c>
      <c r="G1355" t="str">
        <f>IFERROR(VLOOKUP(A1355,预留库存!A:G,7,0),0)</f>
        <v>No</v>
      </c>
      <c r="H1355">
        <f>IFERROR(VLOOKUP(A1355,预留库存!A:H,8,0),0)</f>
        <v>0</v>
      </c>
      <c r="I1355">
        <f>IFERROR(VLOOKUP(A1355,预留库存!A:F,6,0),0)</f>
        <v>24.98</v>
      </c>
      <c r="J1355">
        <f>IFERROR(VLOOKUP(A1355,库龄!B:K,9,0),0)</f>
        <v>0</v>
      </c>
      <c r="K1355">
        <f>IFERROR(VLOOKUP(A1355,库龄!B:L,10,0),0)</f>
        <v>0</v>
      </c>
      <c r="L1355">
        <f>IFERROR(VLOOKUP(A1355,库龄!B:M,11,0),0)</f>
        <v>0</v>
      </c>
      <c r="M1355">
        <f>IFERROR(VLOOKUP(A1355,库龄!B:N,12,0),0)</f>
        <v>0</v>
      </c>
      <c r="N1355">
        <f t="shared" si="44"/>
        <v>0</v>
      </c>
    </row>
    <row r="1356" spans="1:14">
      <c r="A1356" s="3" t="s">
        <v>3528</v>
      </c>
      <c r="B1356">
        <f>IFERROR(VLOOKUP(A1356,管理亚马逊库存!A:K,11,0),"")</f>
        <v>0</v>
      </c>
      <c r="C1356">
        <f>IFERROR(VLOOKUP(A1356,管理亚马逊库存!A:L,12,0),"")</f>
        <v>0</v>
      </c>
      <c r="D1356">
        <f>IFERROR(VLOOKUP(A1356,管理亚马逊库存!A:Q,17,0),"")</f>
        <v>0</v>
      </c>
      <c r="E1356">
        <f>IFERROR(VLOOKUP(A1356,管理亚马逊库存!A:R,18,0),"")</f>
        <v>0</v>
      </c>
      <c r="F1356">
        <f t="shared" si="43"/>
        <v>0</v>
      </c>
      <c r="G1356" t="str">
        <f>IFERROR(VLOOKUP(A1356,预留库存!A:G,7,0),0)</f>
        <v>No</v>
      </c>
      <c r="H1356">
        <f>IFERROR(VLOOKUP(A1356,预留库存!A:H,8,0),0)</f>
        <v>0</v>
      </c>
      <c r="I1356">
        <f>IFERROR(VLOOKUP(A1356,预留库存!A:F,6,0),0)</f>
        <v>24.98</v>
      </c>
      <c r="J1356">
        <f>IFERROR(VLOOKUP(A1356,库龄!B:K,9,0),0)</f>
        <v>0</v>
      </c>
      <c r="K1356">
        <f>IFERROR(VLOOKUP(A1356,库龄!B:L,10,0),0)</f>
        <v>0</v>
      </c>
      <c r="L1356">
        <f>IFERROR(VLOOKUP(A1356,库龄!B:M,11,0),0)</f>
        <v>0</v>
      </c>
      <c r="M1356">
        <f>IFERROR(VLOOKUP(A1356,库龄!B:N,12,0),0)</f>
        <v>0</v>
      </c>
      <c r="N1356">
        <f t="shared" si="44"/>
        <v>0</v>
      </c>
    </row>
    <row r="1357" spans="1:14">
      <c r="A1357" s="3" t="s">
        <v>3532</v>
      </c>
      <c r="B1357">
        <f>IFERROR(VLOOKUP(A1357,管理亚马逊库存!A:K,11,0),"")</f>
        <v>0</v>
      </c>
      <c r="C1357">
        <f>IFERROR(VLOOKUP(A1357,管理亚马逊库存!A:L,12,0),"")</f>
        <v>0</v>
      </c>
      <c r="D1357">
        <f>IFERROR(VLOOKUP(A1357,管理亚马逊库存!A:Q,17,0),"")</f>
        <v>0</v>
      </c>
      <c r="E1357">
        <f>IFERROR(VLOOKUP(A1357,管理亚马逊库存!A:R,18,0),"")</f>
        <v>0</v>
      </c>
      <c r="F1357">
        <f t="shared" si="43"/>
        <v>0</v>
      </c>
      <c r="G1357" t="str">
        <f>IFERROR(VLOOKUP(A1357,预留库存!A:G,7,0),0)</f>
        <v>No</v>
      </c>
      <c r="H1357">
        <f>IFERROR(VLOOKUP(A1357,预留库存!A:H,8,0),0)</f>
        <v>0</v>
      </c>
      <c r="I1357">
        <f>IFERROR(VLOOKUP(A1357,预留库存!A:F,6,0),0)</f>
        <v>24.98</v>
      </c>
      <c r="J1357">
        <f>IFERROR(VLOOKUP(A1357,库龄!B:K,9,0),0)</f>
        <v>0</v>
      </c>
      <c r="K1357">
        <f>IFERROR(VLOOKUP(A1357,库龄!B:L,10,0),0)</f>
        <v>0</v>
      </c>
      <c r="L1357">
        <f>IFERROR(VLOOKUP(A1357,库龄!B:M,11,0),0)</f>
        <v>0</v>
      </c>
      <c r="M1357">
        <f>IFERROR(VLOOKUP(A1357,库龄!B:N,12,0),0)</f>
        <v>0</v>
      </c>
      <c r="N1357">
        <f t="shared" si="44"/>
        <v>0</v>
      </c>
    </row>
    <row r="1358" spans="1:14">
      <c r="A1358" s="3" t="s">
        <v>3536</v>
      </c>
      <c r="B1358">
        <f>IFERROR(VLOOKUP(A1358,管理亚马逊库存!A:K,11,0),"")</f>
        <v>0</v>
      </c>
      <c r="C1358">
        <f>IFERROR(VLOOKUP(A1358,管理亚马逊库存!A:L,12,0),"")</f>
        <v>0</v>
      </c>
      <c r="D1358">
        <f>IFERROR(VLOOKUP(A1358,管理亚马逊库存!A:Q,17,0),"")</f>
        <v>0</v>
      </c>
      <c r="E1358">
        <f>IFERROR(VLOOKUP(A1358,管理亚马逊库存!A:R,18,0),"")</f>
        <v>0</v>
      </c>
      <c r="F1358">
        <f t="shared" si="43"/>
        <v>0</v>
      </c>
      <c r="G1358" t="str">
        <f>IFERROR(VLOOKUP(A1358,预留库存!A:G,7,0),0)</f>
        <v>No</v>
      </c>
      <c r="H1358">
        <f>IFERROR(VLOOKUP(A1358,预留库存!A:H,8,0),0)</f>
        <v>0</v>
      </c>
      <c r="I1358">
        <f>IFERROR(VLOOKUP(A1358,预留库存!A:F,6,0),0)</f>
        <v>24.98</v>
      </c>
      <c r="J1358">
        <f>IFERROR(VLOOKUP(A1358,库龄!B:K,9,0),0)</f>
        <v>0</v>
      </c>
      <c r="K1358">
        <f>IFERROR(VLOOKUP(A1358,库龄!B:L,10,0),0)</f>
        <v>0</v>
      </c>
      <c r="L1358">
        <f>IFERROR(VLOOKUP(A1358,库龄!B:M,11,0),0)</f>
        <v>0</v>
      </c>
      <c r="M1358">
        <f>IFERROR(VLOOKUP(A1358,库龄!B:N,12,0),0)</f>
        <v>0</v>
      </c>
      <c r="N1358">
        <f t="shared" si="44"/>
        <v>0</v>
      </c>
    </row>
    <row r="1359" spans="1:14">
      <c r="A1359" s="3" t="s">
        <v>3540</v>
      </c>
      <c r="B1359">
        <f>IFERROR(VLOOKUP(A1359,管理亚马逊库存!A:K,11,0),"")</f>
        <v>0</v>
      </c>
      <c r="C1359">
        <f>IFERROR(VLOOKUP(A1359,管理亚马逊库存!A:L,12,0),"")</f>
        <v>0</v>
      </c>
      <c r="D1359">
        <f>IFERROR(VLOOKUP(A1359,管理亚马逊库存!A:Q,17,0),"")</f>
        <v>0</v>
      </c>
      <c r="E1359">
        <f>IFERROR(VLOOKUP(A1359,管理亚马逊库存!A:R,18,0),"")</f>
        <v>0</v>
      </c>
      <c r="F1359">
        <f t="shared" si="43"/>
        <v>0</v>
      </c>
      <c r="G1359" t="str">
        <f>IFERROR(VLOOKUP(A1359,预留库存!A:G,7,0),0)</f>
        <v>No</v>
      </c>
      <c r="H1359">
        <f>IFERROR(VLOOKUP(A1359,预留库存!A:H,8,0),0)</f>
        <v>0</v>
      </c>
      <c r="I1359">
        <f>IFERROR(VLOOKUP(A1359,预留库存!A:F,6,0),0)</f>
        <v>24.98</v>
      </c>
      <c r="J1359">
        <f>IFERROR(VLOOKUP(A1359,库龄!B:K,9,0),0)</f>
        <v>0</v>
      </c>
      <c r="K1359">
        <f>IFERROR(VLOOKUP(A1359,库龄!B:L,10,0),0)</f>
        <v>0</v>
      </c>
      <c r="L1359">
        <f>IFERROR(VLOOKUP(A1359,库龄!B:M,11,0),0)</f>
        <v>0</v>
      </c>
      <c r="M1359">
        <f>IFERROR(VLOOKUP(A1359,库龄!B:N,12,0),0)</f>
        <v>0</v>
      </c>
      <c r="N1359">
        <f t="shared" si="44"/>
        <v>0</v>
      </c>
    </row>
    <row r="1360" spans="1:14">
      <c r="A1360" s="3" t="s">
        <v>3544</v>
      </c>
      <c r="B1360">
        <f>IFERROR(VLOOKUP(A1360,管理亚马逊库存!A:K,11,0),"")</f>
        <v>0</v>
      </c>
      <c r="C1360">
        <f>IFERROR(VLOOKUP(A1360,管理亚马逊库存!A:L,12,0),"")</f>
        <v>0</v>
      </c>
      <c r="D1360">
        <f>IFERROR(VLOOKUP(A1360,管理亚马逊库存!A:Q,17,0),"")</f>
        <v>0</v>
      </c>
      <c r="E1360">
        <f>IFERROR(VLOOKUP(A1360,管理亚马逊库存!A:R,18,0),"")</f>
        <v>0</v>
      </c>
      <c r="F1360">
        <f t="shared" si="43"/>
        <v>0</v>
      </c>
      <c r="G1360" t="str">
        <f>IFERROR(VLOOKUP(A1360,预留库存!A:G,7,0),0)</f>
        <v>No</v>
      </c>
      <c r="H1360">
        <f>IFERROR(VLOOKUP(A1360,预留库存!A:H,8,0),0)</f>
        <v>0</v>
      </c>
      <c r="I1360">
        <f>IFERROR(VLOOKUP(A1360,预留库存!A:F,6,0),0)</f>
        <v>24.98</v>
      </c>
      <c r="J1360">
        <f>IFERROR(VLOOKUP(A1360,库龄!B:K,9,0),0)</f>
        <v>0</v>
      </c>
      <c r="K1360">
        <f>IFERROR(VLOOKUP(A1360,库龄!B:L,10,0),0)</f>
        <v>0</v>
      </c>
      <c r="L1360">
        <f>IFERROR(VLOOKUP(A1360,库龄!B:M,11,0),0)</f>
        <v>0</v>
      </c>
      <c r="M1360">
        <f>IFERROR(VLOOKUP(A1360,库龄!B:N,12,0),0)</f>
        <v>0</v>
      </c>
      <c r="N1360">
        <f t="shared" si="44"/>
        <v>0</v>
      </c>
    </row>
    <row r="1361" spans="1:14">
      <c r="A1361" s="3" t="s">
        <v>3548</v>
      </c>
      <c r="B1361">
        <f>IFERROR(VLOOKUP(A1361,管理亚马逊库存!A:K,11,0),"")</f>
        <v>0</v>
      </c>
      <c r="C1361">
        <f>IFERROR(VLOOKUP(A1361,管理亚马逊库存!A:L,12,0),"")</f>
        <v>0</v>
      </c>
      <c r="D1361">
        <f>IFERROR(VLOOKUP(A1361,管理亚马逊库存!A:Q,17,0),"")</f>
        <v>0</v>
      </c>
      <c r="E1361">
        <f>IFERROR(VLOOKUP(A1361,管理亚马逊库存!A:R,18,0),"")</f>
        <v>0</v>
      </c>
      <c r="F1361">
        <f t="shared" si="43"/>
        <v>0</v>
      </c>
      <c r="G1361" t="str">
        <f>IFERROR(VLOOKUP(A1361,预留库存!A:G,7,0),0)</f>
        <v>No</v>
      </c>
      <c r="H1361">
        <f>IFERROR(VLOOKUP(A1361,预留库存!A:H,8,0),0)</f>
        <v>0</v>
      </c>
      <c r="I1361">
        <f>IFERROR(VLOOKUP(A1361,预留库存!A:F,6,0),0)</f>
        <v>24.98</v>
      </c>
      <c r="J1361">
        <f>IFERROR(VLOOKUP(A1361,库龄!B:K,9,0),0)</f>
        <v>0</v>
      </c>
      <c r="K1361">
        <f>IFERROR(VLOOKUP(A1361,库龄!B:L,10,0),0)</f>
        <v>0</v>
      </c>
      <c r="L1361">
        <f>IFERROR(VLOOKUP(A1361,库龄!B:M,11,0),0)</f>
        <v>0</v>
      </c>
      <c r="M1361">
        <f>IFERROR(VLOOKUP(A1361,库龄!B:N,12,0),0)</f>
        <v>0</v>
      </c>
      <c r="N1361">
        <f t="shared" si="44"/>
        <v>0</v>
      </c>
    </row>
    <row r="1362" spans="1:14">
      <c r="A1362" s="3" t="s">
        <v>3552</v>
      </c>
      <c r="B1362">
        <f>IFERROR(VLOOKUP(A1362,管理亚马逊库存!A:K,11,0),"")</f>
        <v>0</v>
      </c>
      <c r="C1362">
        <f>IFERROR(VLOOKUP(A1362,管理亚马逊库存!A:L,12,0),"")</f>
        <v>0</v>
      </c>
      <c r="D1362">
        <f>IFERROR(VLOOKUP(A1362,管理亚马逊库存!A:Q,17,0),"")</f>
        <v>0</v>
      </c>
      <c r="E1362">
        <f>IFERROR(VLOOKUP(A1362,管理亚马逊库存!A:R,18,0),"")</f>
        <v>0</v>
      </c>
      <c r="F1362">
        <f t="shared" si="43"/>
        <v>0</v>
      </c>
      <c r="G1362" t="str">
        <f>IFERROR(VLOOKUP(A1362,预留库存!A:G,7,0),0)</f>
        <v>No</v>
      </c>
      <c r="H1362">
        <f>IFERROR(VLOOKUP(A1362,预留库存!A:H,8,0),0)</f>
        <v>0</v>
      </c>
      <c r="I1362">
        <f>IFERROR(VLOOKUP(A1362,预留库存!A:F,6,0),0)</f>
        <v>24.98</v>
      </c>
      <c r="J1362">
        <f>IFERROR(VLOOKUP(A1362,库龄!B:K,9,0),0)</f>
        <v>0</v>
      </c>
      <c r="K1362">
        <f>IFERROR(VLOOKUP(A1362,库龄!B:L,10,0),0)</f>
        <v>0</v>
      </c>
      <c r="L1362">
        <f>IFERROR(VLOOKUP(A1362,库龄!B:M,11,0),0)</f>
        <v>0</v>
      </c>
      <c r="M1362">
        <f>IFERROR(VLOOKUP(A1362,库龄!B:N,12,0),0)</f>
        <v>0</v>
      </c>
      <c r="N1362">
        <f t="shared" si="44"/>
        <v>0</v>
      </c>
    </row>
    <row r="1363" spans="1:14">
      <c r="A1363" s="3" t="s">
        <v>3556</v>
      </c>
      <c r="B1363">
        <f>IFERROR(VLOOKUP(A1363,管理亚马逊库存!A:K,11,0),"")</f>
        <v>0</v>
      </c>
      <c r="C1363">
        <f>IFERROR(VLOOKUP(A1363,管理亚马逊库存!A:L,12,0),"")</f>
        <v>0</v>
      </c>
      <c r="D1363">
        <f>IFERROR(VLOOKUP(A1363,管理亚马逊库存!A:Q,17,0),"")</f>
        <v>0</v>
      </c>
      <c r="E1363">
        <f>IFERROR(VLOOKUP(A1363,管理亚马逊库存!A:R,18,0),"")</f>
        <v>0</v>
      </c>
      <c r="F1363">
        <f t="shared" si="43"/>
        <v>0</v>
      </c>
      <c r="G1363" t="str">
        <f>IFERROR(VLOOKUP(A1363,预留库存!A:G,7,0),0)</f>
        <v>No</v>
      </c>
      <c r="H1363">
        <f>IFERROR(VLOOKUP(A1363,预留库存!A:H,8,0),0)</f>
        <v>0</v>
      </c>
      <c r="I1363">
        <f>IFERROR(VLOOKUP(A1363,预留库存!A:F,6,0),0)</f>
        <v>24.98</v>
      </c>
      <c r="J1363">
        <f>IFERROR(VLOOKUP(A1363,库龄!B:K,9,0),0)</f>
        <v>0</v>
      </c>
      <c r="K1363">
        <f>IFERROR(VLOOKUP(A1363,库龄!B:L,10,0),0)</f>
        <v>0</v>
      </c>
      <c r="L1363">
        <f>IFERROR(VLOOKUP(A1363,库龄!B:M,11,0),0)</f>
        <v>0</v>
      </c>
      <c r="M1363">
        <f>IFERROR(VLOOKUP(A1363,库龄!B:N,12,0),0)</f>
        <v>0</v>
      </c>
      <c r="N1363">
        <f t="shared" si="44"/>
        <v>0</v>
      </c>
    </row>
    <row r="1364" spans="1:14">
      <c r="A1364" s="3" t="s">
        <v>3560</v>
      </c>
      <c r="B1364">
        <f>IFERROR(VLOOKUP(A1364,管理亚马逊库存!A:K,11,0),"")</f>
        <v>0</v>
      </c>
      <c r="C1364">
        <f>IFERROR(VLOOKUP(A1364,管理亚马逊库存!A:L,12,0),"")</f>
        <v>0</v>
      </c>
      <c r="D1364">
        <f>IFERROR(VLOOKUP(A1364,管理亚马逊库存!A:Q,17,0),"")</f>
        <v>0</v>
      </c>
      <c r="E1364">
        <f>IFERROR(VLOOKUP(A1364,管理亚马逊库存!A:R,18,0),"")</f>
        <v>0</v>
      </c>
      <c r="F1364">
        <f t="shared" si="43"/>
        <v>0</v>
      </c>
      <c r="G1364" t="str">
        <f>IFERROR(VLOOKUP(A1364,预留库存!A:G,7,0),0)</f>
        <v>No</v>
      </c>
      <c r="H1364">
        <f>IFERROR(VLOOKUP(A1364,预留库存!A:H,8,0),0)</f>
        <v>0</v>
      </c>
      <c r="I1364">
        <f>IFERROR(VLOOKUP(A1364,预留库存!A:F,6,0),0)</f>
        <v>24.98</v>
      </c>
      <c r="J1364">
        <f>IFERROR(VLOOKUP(A1364,库龄!B:K,9,0),0)</f>
        <v>0</v>
      </c>
      <c r="K1364">
        <f>IFERROR(VLOOKUP(A1364,库龄!B:L,10,0),0)</f>
        <v>0</v>
      </c>
      <c r="L1364">
        <f>IFERROR(VLOOKUP(A1364,库龄!B:M,11,0),0)</f>
        <v>0</v>
      </c>
      <c r="M1364">
        <f>IFERROR(VLOOKUP(A1364,库龄!B:N,12,0),0)</f>
        <v>0</v>
      </c>
      <c r="N1364">
        <f t="shared" si="44"/>
        <v>0</v>
      </c>
    </row>
    <row r="1365" spans="1:14">
      <c r="A1365" s="3" t="s">
        <v>3564</v>
      </c>
      <c r="B1365">
        <f>IFERROR(VLOOKUP(A1365,管理亚马逊库存!A:K,11,0),"")</f>
        <v>0</v>
      </c>
      <c r="C1365">
        <f>IFERROR(VLOOKUP(A1365,管理亚马逊库存!A:L,12,0),"")</f>
        <v>0</v>
      </c>
      <c r="D1365">
        <f>IFERROR(VLOOKUP(A1365,管理亚马逊库存!A:Q,17,0),"")</f>
        <v>0</v>
      </c>
      <c r="E1365">
        <f>IFERROR(VLOOKUP(A1365,管理亚马逊库存!A:R,18,0),"")</f>
        <v>0</v>
      </c>
      <c r="F1365">
        <f t="shared" si="43"/>
        <v>0</v>
      </c>
      <c r="G1365" t="str">
        <f>IFERROR(VLOOKUP(A1365,预留库存!A:G,7,0),0)</f>
        <v>No</v>
      </c>
      <c r="H1365">
        <f>IFERROR(VLOOKUP(A1365,预留库存!A:H,8,0),0)</f>
        <v>0</v>
      </c>
      <c r="I1365">
        <f>IFERROR(VLOOKUP(A1365,预留库存!A:F,6,0),0)</f>
        <v>24.98</v>
      </c>
      <c r="J1365">
        <f>IFERROR(VLOOKUP(A1365,库龄!B:K,9,0),0)</f>
        <v>0</v>
      </c>
      <c r="K1365">
        <f>IFERROR(VLOOKUP(A1365,库龄!B:L,10,0),0)</f>
        <v>0</v>
      </c>
      <c r="L1365">
        <f>IFERROR(VLOOKUP(A1365,库龄!B:M,11,0),0)</f>
        <v>0</v>
      </c>
      <c r="M1365">
        <f>IFERROR(VLOOKUP(A1365,库龄!B:N,12,0),0)</f>
        <v>0</v>
      </c>
      <c r="N1365">
        <f t="shared" si="44"/>
        <v>0</v>
      </c>
    </row>
    <row r="1366" spans="1:14">
      <c r="A1366" s="3" t="s">
        <v>3568</v>
      </c>
      <c r="B1366">
        <f>IFERROR(VLOOKUP(A1366,管理亚马逊库存!A:K,11,0),"")</f>
        <v>0</v>
      </c>
      <c r="C1366">
        <f>IFERROR(VLOOKUP(A1366,管理亚马逊库存!A:L,12,0),"")</f>
        <v>0</v>
      </c>
      <c r="D1366">
        <f>IFERROR(VLOOKUP(A1366,管理亚马逊库存!A:Q,17,0),"")</f>
        <v>0</v>
      </c>
      <c r="E1366">
        <f>IFERROR(VLOOKUP(A1366,管理亚马逊库存!A:R,18,0),"")</f>
        <v>0</v>
      </c>
      <c r="F1366">
        <f t="shared" si="43"/>
        <v>0</v>
      </c>
      <c r="G1366" t="str">
        <f>IFERROR(VLOOKUP(A1366,预留库存!A:G,7,0),0)</f>
        <v>No</v>
      </c>
      <c r="H1366">
        <f>IFERROR(VLOOKUP(A1366,预留库存!A:H,8,0),0)</f>
        <v>0</v>
      </c>
      <c r="I1366">
        <f>IFERROR(VLOOKUP(A1366,预留库存!A:F,6,0),0)</f>
        <v>24.98</v>
      </c>
      <c r="J1366">
        <f>IFERROR(VLOOKUP(A1366,库龄!B:K,9,0),0)</f>
        <v>0</v>
      </c>
      <c r="K1366">
        <f>IFERROR(VLOOKUP(A1366,库龄!B:L,10,0),0)</f>
        <v>0</v>
      </c>
      <c r="L1366">
        <f>IFERROR(VLOOKUP(A1366,库龄!B:M,11,0),0)</f>
        <v>0</v>
      </c>
      <c r="M1366">
        <f>IFERROR(VLOOKUP(A1366,库龄!B:N,12,0),0)</f>
        <v>0</v>
      </c>
      <c r="N1366">
        <f t="shared" si="44"/>
        <v>0</v>
      </c>
    </row>
    <row r="1367" spans="1:14">
      <c r="A1367" s="3" t="s">
        <v>3572</v>
      </c>
      <c r="B1367">
        <f>IFERROR(VLOOKUP(A1367,管理亚马逊库存!A:K,11,0),"")</f>
        <v>0</v>
      </c>
      <c r="C1367">
        <f>IFERROR(VLOOKUP(A1367,管理亚马逊库存!A:L,12,0),"")</f>
        <v>0</v>
      </c>
      <c r="D1367">
        <f>IFERROR(VLOOKUP(A1367,管理亚马逊库存!A:Q,17,0),"")</f>
        <v>0</v>
      </c>
      <c r="E1367">
        <f>IFERROR(VLOOKUP(A1367,管理亚马逊库存!A:R,18,0),"")</f>
        <v>0</v>
      </c>
      <c r="F1367">
        <f t="shared" si="43"/>
        <v>0</v>
      </c>
      <c r="G1367" t="str">
        <f>IFERROR(VLOOKUP(A1367,预留库存!A:G,7,0),0)</f>
        <v>No</v>
      </c>
      <c r="H1367">
        <f>IFERROR(VLOOKUP(A1367,预留库存!A:H,8,0),0)</f>
        <v>0</v>
      </c>
      <c r="I1367">
        <f>IFERROR(VLOOKUP(A1367,预留库存!A:F,6,0),0)</f>
        <v>24.98</v>
      </c>
      <c r="J1367">
        <f>IFERROR(VLOOKUP(A1367,库龄!B:K,9,0),0)</f>
        <v>0</v>
      </c>
      <c r="K1367">
        <f>IFERROR(VLOOKUP(A1367,库龄!B:L,10,0),0)</f>
        <v>0</v>
      </c>
      <c r="L1367">
        <f>IFERROR(VLOOKUP(A1367,库龄!B:M,11,0),0)</f>
        <v>0</v>
      </c>
      <c r="M1367">
        <f>IFERROR(VLOOKUP(A1367,库龄!B:N,12,0),0)</f>
        <v>0</v>
      </c>
      <c r="N1367">
        <f t="shared" si="44"/>
        <v>0</v>
      </c>
    </row>
    <row r="1368" spans="1:14">
      <c r="A1368" s="3" t="s">
        <v>3576</v>
      </c>
      <c r="B1368">
        <f>IFERROR(VLOOKUP(A1368,管理亚马逊库存!A:K,11,0),"")</f>
        <v>0</v>
      </c>
      <c r="C1368">
        <f>IFERROR(VLOOKUP(A1368,管理亚马逊库存!A:L,12,0),"")</f>
        <v>0</v>
      </c>
      <c r="D1368">
        <f>IFERROR(VLOOKUP(A1368,管理亚马逊库存!A:Q,17,0),"")</f>
        <v>0</v>
      </c>
      <c r="E1368">
        <f>IFERROR(VLOOKUP(A1368,管理亚马逊库存!A:R,18,0),"")</f>
        <v>0</v>
      </c>
      <c r="F1368">
        <f t="shared" si="43"/>
        <v>0</v>
      </c>
      <c r="G1368" t="str">
        <f>IFERROR(VLOOKUP(A1368,预留库存!A:G,7,0),0)</f>
        <v>No</v>
      </c>
      <c r="H1368">
        <f>IFERROR(VLOOKUP(A1368,预留库存!A:H,8,0),0)</f>
        <v>0</v>
      </c>
      <c r="I1368">
        <f>IFERROR(VLOOKUP(A1368,预留库存!A:F,6,0),0)</f>
        <v>24.98</v>
      </c>
      <c r="J1368">
        <f>IFERROR(VLOOKUP(A1368,库龄!B:K,9,0),0)</f>
        <v>0</v>
      </c>
      <c r="K1368">
        <f>IFERROR(VLOOKUP(A1368,库龄!B:L,10,0),0)</f>
        <v>0</v>
      </c>
      <c r="L1368">
        <f>IFERROR(VLOOKUP(A1368,库龄!B:M,11,0),0)</f>
        <v>0</v>
      </c>
      <c r="M1368">
        <f>IFERROR(VLOOKUP(A1368,库龄!B:N,12,0),0)</f>
        <v>0</v>
      </c>
      <c r="N1368">
        <f t="shared" si="44"/>
        <v>0</v>
      </c>
    </row>
    <row r="1369" spans="1:14">
      <c r="A1369" s="3" t="s">
        <v>3580</v>
      </c>
      <c r="B1369">
        <f>IFERROR(VLOOKUP(A1369,管理亚马逊库存!A:K,11,0),"")</f>
        <v>0</v>
      </c>
      <c r="C1369">
        <f>IFERROR(VLOOKUP(A1369,管理亚马逊库存!A:L,12,0),"")</f>
        <v>0</v>
      </c>
      <c r="D1369">
        <f>IFERROR(VLOOKUP(A1369,管理亚马逊库存!A:Q,17,0),"")</f>
        <v>0</v>
      </c>
      <c r="E1369">
        <f>IFERROR(VLOOKUP(A1369,管理亚马逊库存!A:R,18,0),"")</f>
        <v>0</v>
      </c>
      <c r="F1369">
        <f t="shared" si="43"/>
        <v>0</v>
      </c>
      <c r="G1369" t="str">
        <f>IFERROR(VLOOKUP(A1369,预留库存!A:G,7,0),0)</f>
        <v>No</v>
      </c>
      <c r="H1369">
        <f>IFERROR(VLOOKUP(A1369,预留库存!A:H,8,0),0)</f>
        <v>0</v>
      </c>
      <c r="I1369">
        <f>IFERROR(VLOOKUP(A1369,预留库存!A:F,6,0),0)</f>
        <v>24.98</v>
      </c>
      <c r="J1369">
        <f>IFERROR(VLOOKUP(A1369,库龄!B:K,9,0),0)</f>
        <v>0</v>
      </c>
      <c r="K1369">
        <f>IFERROR(VLOOKUP(A1369,库龄!B:L,10,0),0)</f>
        <v>0</v>
      </c>
      <c r="L1369">
        <f>IFERROR(VLOOKUP(A1369,库龄!B:M,11,0),0)</f>
        <v>0</v>
      </c>
      <c r="M1369">
        <f>IFERROR(VLOOKUP(A1369,库龄!B:N,12,0),0)</f>
        <v>0</v>
      </c>
      <c r="N1369">
        <f t="shared" si="44"/>
        <v>0</v>
      </c>
    </row>
    <row r="1370" spans="1:14">
      <c r="A1370" s="3" t="s">
        <v>3584</v>
      </c>
      <c r="B1370">
        <f>IFERROR(VLOOKUP(A1370,管理亚马逊库存!A:K,11,0),"")</f>
        <v>0</v>
      </c>
      <c r="C1370">
        <f>IFERROR(VLOOKUP(A1370,管理亚马逊库存!A:L,12,0),"")</f>
        <v>0</v>
      </c>
      <c r="D1370">
        <f>IFERROR(VLOOKUP(A1370,管理亚马逊库存!A:Q,17,0),"")</f>
        <v>0</v>
      </c>
      <c r="E1370">
        <f>IFERROR(VLOOKUP(A1370,管理亚马逊库存!A:R,18,0),"")</f>
        <v>0</v>
      </c>
      <c r="F1370">
        <f t="shared" si="43"/>
        <v>0</v>
      </c>
      <c r="G1370" t="str">
        <f>IFERROR(VLOOKUP(A1370,预留库存!A:G,7,0),0)</f>
        <v>No</v>
      </c>
      <c r="H1370">
        <f>IFERROR(VLOOKUP(A1370,预留库存!A:H,8,0),0)</f>
        <v>0</v>
      </c>
      <c r="I1370">
        <f>IFERROR(VLOOKUP(A1370,预留库存!A:F,6,0),0)</f>
        <v>24.98</v>
      </c>
      <c r="J1370">
        <f>IFERROR(VLOOKUP(A1370,库龄!B:K,9,0),0)</f>
        <v>0</v>
      </c>
      <c r="K1370">
        <f>IFERROR(VLOOKUP(A1370,库龄!B:L,10,0),0)</f>
        <v>0</v>
      </c>
      <c r="L1370">
        <f>IFERROR(VLOOKUP(A1370,库龄!B:M,11,0),0)</f>
        <v>0</v>
      </c>
      <c r="M1370">
        <f>IFERROR(VLOOKUP(A1370,库龄!B:N,12,0),0)</f>
        <v>0</v>
      </c>
      <c r="N1370">
        <f t="shared" si="44"/>
        <v>0</v>
      </c>
    </row>
    <row r="1371" spans="1:14">
      <c r="A1371" s="3" t="s">
        <v>3588</v>
      </c>
      <c r="B1371">
        <f>IFERROR(VLOOKUP(A1371,管理亚马逊库存!A:K,11,0),"")</f>
        <v>0</v>
      </c>
      <c r="C1371">
        <f>IFERROR(VLOOKUP(A1371,管理亚马逊库存!A:L,12,0),"")</f>
        <v>0</v>
      </c>
      <c r="D1371">
        <f>IFERROR(VLOOKUP(A1371,管理亚马逊库存!A:Q,17,0),"")</f>
        <v>0</v>
      </c>
      <c r="E1371">
        <f>IFERROR(VLOOKUP(A1371,管理亚马逊库存!A:R,18,0),"")</f>
        <v>0</v>
      </c>
      <c r="F1371">
        <f t="shared" si="43"/>
        <v>0</v>
      </c>
      <c r="G1371" t="str">
        <f>IFERROR(VLOOKUP(A1371,预留库存!A:G,7,0),0)</f>
        <v>No</v>
      </c>
      <c r="H1371">
        <f>IFERROR(VLOOKUP(A1371,预留库存!A:H,8,0),0)</f>
        <v>0</v>
      </c>
      <c r="I1371">
        <f>IFERROR(VLOOKUP(A1371,预留库存!A:F,6,0),0)</f>
        <v>24.98</v>
      </c>
      <c r="J1371">
        <f>IFERROR(VLOOKUP(A1371,库龄!B:K,9,0),0)</f>
        <v>0</v>
      </c>
      <c r="K1371">
        <f>IFERROR(VLOOKUP(A1371,库龄!B:L,10,0),0)</f>
        <v>0</v>
      </c>
      <c r="L1371">
        <f>IFERROR(VLOOKUP(A1371,库龄!B:M,11,0),0)</f>
        <v>0</v>
      </c>
      <c r="M1371">
        <f>IFERROR(VLOOKUP(A1371,库龄!B:N,12,0),0)</f>
        <v>0</v>
      </c>
      <c r="N1371">
        <f t="shared" si="44"/>
        <v>0</v>
      </c>
    </row>
    <row r="1372" spans="1:14">
      <c r="A1372" s="3" t="s">
        <v>3592</v>
      </c>
      <c r="B1372">
        <f>IFERROR(VLOOKUP(A1372,管理亚马逊库存!A:K,11,0),"")</f>
        <v>0</v>
      </c>
      <c r="C1372">
        <f>IFERROR(VLOOKUP(A1372,管理亚马逊库存!A:L,12,0),"")</f>
        <v>0</v>
      </c>
      <c r="D1372">
        <f>IFERROR(VLOOKUP(A1372,管理亚马逊库存!A:Q,17,0),"")</f>
        <v>0</v>
      </c>
      <c r="E1372">
        <f>IFERROR(VLOOKUP(A1372,管理亚马逊库存!A:R,18,0),"")</f>
        <v>0</v>
      </c>
      <c r="F1372">
        <f t="shared" si="43"/>
        <v>0</v>
      </c>
      <c r="G1372" t="str">
        <f>IFERROR(VLOOKUP(A1372,预留库存!A:G,7,0),0)</f>
        <v>No</v>
      </c>
      <c r="H1372">
        <f>IFERROR(VLOOKUP(A1372,预留库存!A:H,8,0),0)</f>
        <v>0</v>
      </c>
      <c r="I1372">
        <f>IFERROR(VLOOKUP(A1372,预留库存!A:F,6,0),0)</f>
        <v>24.98</v>
      </c>
      <c r="J1372">
        <f>IFERROR(VLOOKUP(A1372,库龄!B:K,9,0),0)</f>
        <v>0</v>
      </c>
      <c r="K1372">
        <f>IFERROR(VLOOKUP(A1372,库龄!B:L,10,0),0)</f>
        <v>0</v>
      </c>
      <c r="L1372">
        <f>IFERROR(VLOOKUP(A1372,库龄!B:M,11,0),0)</f>
        <v>0</v>
      </c>
      <c r="M1372">
        <f>IFERROR(VLOOKUP(A1372,库龄!B:N,12,0),0)</f>
        <v>0</v>
      </c>
      <c r="N1372">
        <f t="shared" si="44"/>
        <v>0</v>
      </c>
    </row>
    <row r="1373" spans="1:14">
      <c r="A1373" s="3" t="s">
        <v>3596</v>
      </c>
      <c r="B1373">
        <f>IFERROR(VLOOKUP(A1373,管理亚马逊库存!A:K,11,0),"")</f>
        <v>0</v>
      </c>
      <c r="C1373">
        <f>IFERROR(VLOOKUP(A1373,管理亚马逊库存!A:L,12,0),"")</f>
        <v>0</v>
      </c>
      <c r="D1373">
        <f>IFERROR(VLOOKUP(A1373,管理亚马逊库存!A:Q,17,0),"")</f>
        <v>0</v>
      </c>
      <c r="E1373">
        <f>IFERROR(VLOOKUP(A1373,管理亚马逊库存!A:R,18,0),"")</f>
        <v>0</v>
      </c>
      <c r="F1373">
        <f t="shared" si="43"/>
        <v>0</v>
      </c>
      <c r="G1373" t="str">
        <f>IFERROR(VLOOKUP(A1373,预留库存!A:G,7,0),0)</f>
        <v>No</v>
      </c>
      <c r="H1373">
        <f>IFERROR(VLOOKUP(A1373,预留库存!A:H,8,0),0)</f>
        <v>0</v>
      </c>
      <c r="I1373">
        <f>IFERROR(VLOOKUP(A1373,预留库存!A:F,6,0),0)</f>
        <v>24.98</v>
      </c>
      <c r="J1373">
        <f>IFERROR(VLOOKUP(A1373,库龄!B:K,9,0),0)</f>
        <v>0</v>
      </c>
      <c r="K1373">
        <f>IFERROR(VLOOKUP(A1373,库龄!B:L,10,0),0)</f>
        <v>0</v>
      </c>
      <c r="L1373">
        <f>IFERROR(VLOOKUP(A1373,库龄!B:M,11,0),0)</f>
        <v>0</v>
      </c>
      <c r="M1373">
        <f>IFERROR(VLOOKUP(A1373,库龄!B:N,12,0),0)</f>
        <v>0</v>
      </c>
      <c r="N1373">
        <f t="shared" si="44"/>
        <v>0</v>
      </c>
    </row>
    <row r="1374" spans="1:14">
      <c r="A1374" s="3" t="s">
        <v>3600</v>
      </c>
      <c r="B1374">
        <f>IFERROR(VLOOKUP(A1374,管理亚马逊库存!A:K,11,0),"")</f>
        <v>0</v>
      </c>
      <c r="C1374">
        <f>IFERROR(VLOOKUP(A1374,管理亚马逊库存!A:L,12,0),"")</f>
        <v>0</v>
      </c>
      <c r="D1374">
        <f>IFERROR(VLOOKUP(A1374,管理亚马逊库存!A:Q,17,0),"")</f>
        <v>0</v>
      </c>
      <c r="E1374">
        <f>IFERROR(VLOOKUP(A1374,管理亚马逊库存!A:R,18,0),"")</f>
        <v>0</v>
      </c>
      <c r="F1374">
        <f t="shared" si="43"/>
        <v>0</v>
      </c>
      <c r="G1374" t="str">
        <f>IFERROR(VLOOKUP(A1374,预留库存!A:G,7,0),0)</f>
        <v>No</v>
      </c>
      <c r="H1374">
        <f>IFERROR(VLOOKUP(A1374,预留库存!A:H,8,0),0)</f>
        <v>0</v>
      </c>
      <c r="I1374">
        <f>IFERROR(VLOOKUP(A1374,预留库存!A:F,6,0),0)</f>
        <v>24.98</v>
      </c>
      <c r="J1374">
        <f>IFERROR(VLOOKUP(A1374,库龄!B:K,9,0),0)</f>
        <v>0</v>
      </c>
      <c r="K1374">
        <f>IFERROR(VLOOKUP(A1374,库龄!B:L,10,0),0)</f>
        <v>0</v>
      </c>
      <c r="L1374">
        <f>IFERROR(VLOOKUP(A1374,库龄!B:M,11,0),0)</f>
        <v>0</v>
      </c>
      <c r="M1374">
        <f>IFERROR(VLOOKUP(A1374,库龄!B:N,12,0),0)</f>
        <v>0</v>
      </c>
      <c r="N1374">
        <f t="shared" si="44"/>
        <v>0</v>
      </c>
    </row>
    <row r="1375" spans="1:14">
      <c r="A1375" s="3" t="s">
        <v>3604</v>
      </c>
      <c r="B1375">
        <f>IFERROR(VLOOKUP(A1375,管理亚马逊库存!A:K,11,0),"")</f>
        <v>1</v>
      </c>
      <c r="C1375">
        <f>IFERROR(VLOOKUP(A1375,管理亚马逊库存!A:L,12,0),"")</f>
        <v>0</v>
      </c>
      <c r="D1375">
        <f>IFERROR(VLOOKUP(A1375,管理亚马逊库存!A:Q,17,0),"")</f>
        <v>0</v>
      </c>
      <c r="E1375">
        <f>IFERROR(VLOOKUP(A1375,管理亚马逊库存!A:R,18,0),"")</f>
        <v>0</v>
      </c>
      <c r="F1375">
        <f t="shared" si="43"/>
        <v>0</v>
      </c>
      <c r="G1375" t="str">
        <f>IFERROR(VLOOKUP(A1375,预留库存!A:G,7,0),0)</f>
        <v>No</v>
      </c>
      <c r="H1375">
        <f>IFERROR(VLOOKUP(A1375,预留库存!A:H,8,0),0)</f>
        <v>0</v>
      </c>
      <c r="I1375">
        <f>IFERROR(VLOOKUP(A1375,预留库存!A:F,6,0),0)</f>
        <v>22.98</v>
      </c>
      <c r="J1375">
        <f>IFERROR(VLOOKUP(A1375,库龄!B:K,9,0),0)</f>
        <v>0</v>
      </c>
      <c r="K1375">
        <f>IFERROR(VLOOKUP(A1375,库龄!B:L,10,0),0)</f>
        <v>0</v>
      </c>
      <c r="L1375">
        <f>IFERROR(VLOOKUP(A1375,库龄!B:M,11,0),0)</f>
        <v>0</v>
      </c>
      <c r="M1375">
        <f>IFERROR(VLOOKUP(A1375,库龄!B:N,12,0),0)</f>
        <v>0</v>
      </c>
      <c r="N1375">
        <f t="shared" si="44"/>
        <v>0</v>
      </c>
    </row>
    <row r="1376" spans="1:14">
      <c r="A1376" s="3" t="s">
        <v>3605</v>
      </c>
      <c r="B1376">
        <f>IFERROR(VLOOKUP(A1376,管理亚马逊库存!A:K,11,0),"")</f>
        <v>1</v>
      </c>
      <c r="C1376">
        <f>IFERROR(VLOOKUP(A1376,管理亚马逊库存!A:L,12,0),"")</f>
        <v>0</v>
      </c>
      <c r="D1376">
        <f>IFERROR(VLOOKUP(A1376,管理亚马逊库存!A:Q,17,0),"")</f>
        <v>0</v>
      </c>
      <c r="E1376">
        <f>IFERROR(VLOOKUP(A1376,管理亚马逊库存!A:R,18,0),"")</f>
        <v>0</v>
      </c>
      <c r="F1376">
        <f t="shared" si="43"/>
        <v>0</v>
      </c>
      <c r="G1376" t="str">
        <f>IFERROR(VLOOKUP(A1376,预留库存!A:G,7,0),0)</f>
        <v>No</v>
      </c>
      <c r="H1376">
        <f>IFERROR(VLOOKUP(A1376,预留库存!A:H,8,0),0)</f>
        <v>0</v>
      </c>
      <c r="I1376">
        <f>IFERROR(VLOOKUP(A1376,预留库存!A:F,6,0),0)</f>
        <v>22.98</v>
      </c>
      <c r="J1376">
        <f>IFERROR(VLOOKUP(A1376,库龄!B:K,9,0),0)</f>
        <v>0</v>
      </c>
      <c r="K1376">
        <f>IFERROR(VLOOKUP(A1376,库龄!B:L,10,0),0)</f>
        <v>0</v>
      </c>
      <c r="L1376">
        <f>IFERROR(VLOOKUP(A1376,库龄!B:M,11,0),0)</f>
        <v>0</v>
      </c>
      <c r="M1376">
        <f>IFERROR(VLOOKUP(A1376,库龄!B:N,12,0),0)</f>
        <v>0</v>
      </c>
      <c r="N1376">
        <f t="shared" si="44"/>
        <v>0</v>
      </c>
    </row>
    <row r="1377" spans="1:14">
      <c r="A1377" s="3" t="s">
        <v>3606</v>
      </c>
      <c r="B1377">
        <f>IFERROR(VLOOKUP(A1377,管理亚马逊库存!A:K,11,0),"")</f>
        <v>0</v>
      </c>
      <c r="C1377">
        <f>IFERROR(VLOOKUP(A1377,管理亚马逊库存!A:L,12,0),"")</f>
        <v>0</v>
      </c>
      <c r="D1377">
        <f>IFERROR(VLOOKUP(A1377,管理亚马逊库存!A:Q,17,0),"")</f>
        <v>0</v>
      </c>
      <c r="E1377">
        <f>IFERROR(VLOOKUP(A1377,管理亚马逊库存!A:R,18,0),"")</f>
        <v>0</v>
      </c>
      <c r="F1377">
        <f t="shared" si="43"/>
        <v>0</v>
      </c>
      <c r="G1377" t="str">
        <f>IFERROR(VLOOKUP(A1377,预留库存!A:G,7,0),0)</f>
        <v>No</v>
      </c>
      <c r="H1377">
        <f>IFERROR(VLOOKUP(A1377,预留库存!A:H,8,0),0)</f>
        <v>0</v>
      </c>
      <c r="I1377">
        <f>IFERROR(VLOOKUP(A1377,预留库存!A:F,6,0),0)</f>
        <v>23.98</v>
      </c>
      <c r="J1377">
        <f>IFERROR(VLOOKUP(A1377,库龄!B:K,9,0),0)</f>
        <v>0</v>
      </c>
      <c r="K1377">
        <f>IFERROR(VLOOKUP(A1377,库龄!B:L,10,0),0)</f>
        <v>0</v>
      </c>
      <c r="L1377">
        <f>IFERROR(VLOOKUP(A1377,库龄!B:M,11,0),0)</f>
        <v>0</v>
      </c>
      <c r="M1377">
        <f>IFERROR(VLOOKUP(A1377,库龄!B:N,12,0),0)</f>
        <v>0</v>
      </c>
      <c r="N1377">
        <f t="shared" si="44"/>
        <v>0</v>
      </c>
    </row>
    <row r="1378" spans="1:14">
      <c r="A1378" s="3" t="s">
        <v>3610</v>
      </c>
      <c r="B1378">
        <f>IFERROR(VLOOKUP(A1378,管理亚马逊库存!A:K,11,0),"")</f>
        <v>0</v>
      </c>
      <c r="C1378">
        <f>IFERROR(VLOOKUP(A1378,管理亚马逊库存!A:L,12,0),"")</f>
        <v>0</v>
      </c>
      <c r="D1378">
        <f>IFERROR(VLOOKUP(A1378,管理亚马逊库存!A:Q,17,0),"")</f>
        <v>0</v>
      </c>
      <c r="E1378">
        <f>IFERROR(VLOOKUP(A1378,管理亚马逊库存!A:R,18,0),"")</f>
        <v>0</v>
      </c>
      <c r="F1378">
        <f t="shared" si="43"/>
        <v>0</v>
      </c>
      <c r="G1378" t="str">
        <f>IFERROR(VLOOKUP(A1378,预留库存!A:G,7,0),0)</f>
        <v>No</v>
      </c>
      <c r="H1378">
        <f>IFERROR(VLOOKUP(A1378,预留库存!A:H,8,0),0)</f>
        <v>0</v>
      </c>
      <c r="I1378">
        <f>IFERROR(VLOOKUP(A1378,预留库存!A:F,6,0),0)</f>
        <v>23.98</v>
      </c>
      <c r="J1378">
        <f>IFERROR(VLOOKUP(A1378,库龄!B:K,9,0),0)</f>
        <v>0</v>
      </c>
      <c r="K1378">
        <f>IFERROR(VLOOKUP(A1378,库龄!B:L,10,0),0)</f>
        <v>0</v>
      </c>
      <c r="L1378">
        <f>IFERROR(VLOOKUP(A1378,库龄!B:M,11,0),0)</f>
        <v>0</v>
      </c>
      <c r="M1378">
        <f>IFERROR(VLOOKUP(A1378,库龄!B:N,12,0),0)</f>
        <v>0</v>
      </c>
      <c r="N1378">
        <f t="shared" si="44"/>
        <v>0</v>
      </c>
    </row>
    <row r="1379" spans="1:14">
      <c r="A1379" s="3" t="s">
        <v>3614</v>
      </c>
      <c r="B1379">
        <f>IFERROR(VLOOKUP(A1379,管理亚马逊库存!A:K,11,0),"")</f>
        <v>0</v>
      </c>
      <c r="C1379">
        <f>IFERROR(VLOOKUP(A1379,管理亚马逊库存!A:L,12,0),"")</f>
        <v>0</v>
      </c>
      <c r="D1379">
        <f>IFERROR(VLOOKUP(A1379,管理亚马逊库存!A:Q,17,0),"")</f>
        <v>0</v>
      </c>
      <c r="E1379">
        <f>IFERROR(VLOOKUP(A1379,管理亚马逊库存!A:R,18,0),"")</f>
        <v>0</v>
      </c>
      <c r="F1379">
        <f t="shared" si="43"/>
        <v>0</v>
      </c>
      <c r="G1379" t="str">
        <f>IFERROR(VLOOKUP(A1379,预留库存!A:G,7,0),0)</f>
        <v>No</v>
      </c>
      <c r="H1379">
        <f>IFERROR(VLOOKUP(A1379,预留库存!A:H,8,0),0)</f>
        <v>0</v>
      </c>
      <c r="I1379">
        <f>IFERROR(VLOOKUP(A1379,预留库存!A:F,6,0),0)</f>
        <v>23.98</v>
      </c>
      <c r="J1379">
        <f>IFERROR(VLOOKUP(A1379,库龄!B:K,9,0),0)</f>
        <v>0</v>
      </c>
      <c r="K1379">
        <f>IFERROR(VLOOKUP(A1379,库龄!B:L,10,0),0)</f>
        <v>0</v>
      </c>
      <c r="L1379">
        <f>IFERROR(VLOOKUP(A1379,库龄!B:M,11,0),0)</f>
        <v>0</v>
      </c>
      <c r="M1379">
        <f>IFERROR(VLOOKUP(A1379,库龄!B:N,12,0),0)</f>
        <v>0</v>
      </c>
      <c r="N1379">
        <f t="shared" si="44"/>
        <v>0</v>
      </c>
    </row>
    <row r="1380" spans="1:14">
      <c r="A1380" s="3" t="s">
        <v>3618</v>
      </c>
      <c r="B1380">
        <f>IFERROR(VLOOKUP(A1380,管理亚马逊库存!A:K,11,0),"")</f>
        <v>0</v>
      </c>
      <c r="C1380">
        <f>IFERROR(VLOOKUP(A1380,管理亚马逊库存!A:L,12,0),"")</f>
        <v>0</v>
      </c>
      <c r="D1380">
        <f>IFERROR(VLOOKUP(A1380,管理亚马逊库存!A:Q,17,0),"")</f>
        <v>0</v>
      </c>
      <c r="E1380">
        <f>IFERROR(VLOOKUP(A1380,管理亚马逊库存!A:R,18,0),"")</f>
        <v>0</v>
      </c>
      <c r="F1380">
        <f t="shared" si="43"/>
        <v>0</v>
      </c>
      <c r="G1380" t="str">
        <f>IFERROR(VLOOKUP(A1380,预留库存!A:G,7,0),0)</f>
        <v>No</v>
      </c>
      <c r="H1380">
        <f>IFERROR(VLOOKUP(A1380,预留库存!A:H,8,0),0)</f>
        <v>0</v>
      </c>
      <c r="I1380">
        <f>IFERROR(VLOOKUP(A1380,预留库存!A:F,6,0),0)</f>
        <v>23.98</v>
      </c>
      <c r="J1380">
        <f>IFERROR(VLOOKUP(A1380,库龄!B:K,9,0),0)</f>
        <v>0</v>
      </c>
      <c r="K1380">
        <f>IFERROR(VLOOKUP(A1380,库龄!B:L,10,0),0)</f>
        <v>0</v>
      </c>
      <c r="L1380">
        <f>IFERROR(VLOOKUP(A1380,库龄!B:M,11,0),0)</f>
        <v>0</v>
      </c>
      <c r="M1380">
        <f>IFERROR(VLOOKUP(A1380,库龄!B:N,12,0),0)</f>
        <v>0</v>
      </c>
      <c r="N1380">
        <f t="shared" si="44"/>
        <v>0</v>
      </c>
    </row>
    <row r="1381" spans="1:14">
      <c r="A1381" s="3" t="s">
        <v>3622</v>
      </c>
      <c r="B1381">
        <f>IFERROR(VLOOKUP(A1381,管理亚马逊库存!A:K,11,0),"")</f>
        <v>0</v>
      </c>
      <c r="C1381">
        <f>IFERROR(VLOOKUP(A1381,管理亚马逊库存!A:L,12,0),"")</f>
        <v>0</v>
      </c>
      <c r="D1381">
        <f>IFERROR(VLOOKUP(A1381,管理亚马逊库存!A:Q,17,0),"")</f>
        <v>0</v>
      </c>
      <c r="E1381">
        <f>IFERROR(VLOOKUP(A1381,管理亚马逊库存!A:R,18,0),"")</f>
        <v>0</v>
      </c>
      <c r="F1381">
        <f t="shared" si="43"/>
        <v>0</v>
      </c>
      <c r="G1381" t="str">
        <f>IFERROR(VLOOKUP(A1381,预留库存!A:G,7,0),0)</f>
        <v>No</v>
      </c>
      <c r="H1381">
        <f>IFERROR(VLOOKUP(A1381,预留库存!A:H,8,0),0)</f>
        <v>0</v>
      </c>
      <c r="I1381">
        <f>IFERROR(VLOOKUP(A1381,预留库存!A:F,6,0),0)</f>
        <v>23.98</v>
      </c>
      <c r="J1381">
        <f>IFERROR(VLOOKUP(A1381,库龄!B:K,9,0),0)</f>
        <v>0</v>
      </c>
      <c r="K1381">
        <f>IFERROR(VLOOKUP(A1381,库龄!B:L,10,0),0)</f>
        <v>0</v>
      </c>
      <c r="L1381">
        <f>IFERROR(VLOOKUP(A1381,库龄!B:M,11,0),0)</f>
        <v>0</v>
      </c>
      <c r="M1381">
        <f>IFERROR(VLOOKUP(A1381,库龄!B:N,12,0),0)</f>
        <v>0</v>
      </c>
      <c r="N1381">
        <f t="shared" si="44"/>
        <v>0</v>
      </c>
    </row>
    <row r="1382" spans="1:14">
      <c r="A1382" s="3" t="s">
        <v>3626</v>
      </c>
      <c r="B1382">
        <f>IFERROR(VLOOKUP(A1382,管理亚马逊库存!A:K,11,0),"")</f>
        <v>0</v>
      </c>
      <c r="C1382">
        <f>IFERROR(VLOOKUP(A1382,管理亚马逊库存!A:L,12,0),"")</f>
        <v>0</v>
      </c>
      <c r="D1382">
        <f>IFERROR(VLOOKUP(A1382,管理亚马逊库存!A:Q,17,0),"")</f>
        <v>0</v>
      </c>
      <c r="E1382">
        <f>IFERROR(VLOOKUP(A1382,管理亚马逊库存!A:R,18,0),"")</f>
        <v>0</v>
      </c>
      <c r="F1382">
        <f t="shared" si="43"/>
        <v>0</v>
      </c>
      <c r="G1382" t="str">
        <f>IFERROR(VLOOKUP(A1382,预留库存!A:G,7,0),0)</f>
        <v>No</v>
      </c>
      <c r="H1382">
        <f>IFERROR(VLOOKUP(A1382,预留库存!A:H,8,0),0)</f>
        <v>0</v>
      </c>
      <c r="I1382">
        <f>IFERROR(VLOOKUP(A1382,预留库存!A:F,6,0),0)</f>
        <v>23.98</v>
      </c>
      <c r="J1382">
        <f>IFERROR(VLOOKUP(A1382,库龄!B:K,9,0),0)</f>
        <v>0</v>
      </c>
      <c r="K1382">
        <f>IFERROR(VLOOKUP(A1382,库龄!B:L,10,0),0)</f>
        <v>0</v>
      </c>
      <c r="L1382">
        <f>IFERROR(VLOOKUP(A1382,库龄!B:M,11,0),0)</f>
        <v>0</v>
      </c>
      <c r="M1382">
        <f>IFERROR(VLOOKUP(A1382,库龄!B:N,12,0),0)</f>
        <v>0</v>
      </c>
      <c r="N1382">
        <f t="shared" si="44"/>
        <v>0</v>
      </c>
    </row>
    <row r="1383" spans="1:14">
      <c r="A1383" s="3" t="s">
        <v>3630</v>
      </c>
      <c r="B1383">
        <f>IFERROR(VLOOKUP(A1383,管理亚马逊库存!A:K,11,0),"")</f>
        <v>0</v>
      </c>
      <c r="C1383">
        <f>IFERROR(VLOOKUP(A1383,管理亚马逊库存!A:L,12,0),"")</f>
        <v>0</v>
      </c>
      <c r="D1383">
        <f>IFERROR(VLOOKUP(A1383,管理亚马逊库存!A:Q,17,0),"")</f>
        <v>0</v>
      </c>
      <c r="E1383">
        <f>IFERROR(VLOOKUP(A1383,管理亚马逊库存!A:R,18,0),"")</f>
        <v>0</v>
      </c>
      <c r="F1383">
        <f t="shared" si="43"/>
        <v>0</v>
      </c>
      <c r="G1383" t="str">
        <f>IFERROR(VLOOKUP(A1383,预留库存!A:G,7,0),0)</f>
        <v>No</v>
      </c>
      <c r="H1383">
        <f>IFERROR(VLOOKUP(A1383,预留库存!A:H,8,0),0)</f>
        <v>0</v>
      </c>
      <c r="I1383">
        <f>IFERROR(VLOOKUP(A1383,预留库存!A:F,6,0),0)</f>
        <v>23.98</v>
      </c>
      <c r="J1383">
        <f>IFERROR(VLOOKUP(A1383,库龄!B:K,9,0),0)</f>
        <v>0</v>
      </c>
      <c r="K1383">
        <f>IFERROR(VLOOKUP(A1383,库龄!B:L,10,0),0)</f>
        <v>0</v>
      </c>
      <c r="L1383">
        <f>IFERROR(VLOOKUP(A1383,库龄!B:M,11,0),0)</f>
        <v>0</v>
      </c>
      <c r="M1383">
        <f>IFERROR(VLOOKUP(A1383,库龄!B:N,12,0),0)</f>
        <v>0</v>
      </c>
      <c r="N1383">
        <f t="shared" si="44"/>
        <v>0</v>
      </c>
    </row>
    <row r="1384" spans="1:14">
      <c r="A1384" s="3" t="s">
        <v>3634</v>
      </c>
      <c r="B1384">
        <f>IFERROR(VLOOKUP(A1384,管理亚马逊库存!A:K,11,0),"")</f>
        <v>0</v>
      </c>
      <c r="C1384">
        <f>IFERROR(VLOOKUP(A1384,管理亚马逊库存!A:L,12,0),"")</f>
        <v>0</v>
      </c>
      <c r="D1384">
        <f>IFERROR(VLOOKUP(A1384,管理亚马逊库存!A:Q,17,0),"")</f>
        <v>0</v>
      </c>
      <c r="E1384">
        <f>IFERROR(VLOOKUP(A1384,管理亚马逊库存!A:R,18,0),"")</f>
        <v>0</v>
      </c>
      <c r="F1384">
        <f t="shared" si="43"/>
        <v>0</v>
      </c>
      <c r="G1384" t="str">
        <f>IFERROR(VLOOKUP(A1384,预留库存!A:G,7,0),0)</f>
        <v>No</v>
      </c>
      <c r="H1384">
        <f>IFERROR(VLOOKUP(A1384,预留库存!A:H,8,0),0)</f>
        <v>0</v>
      </c>
      <c r="I1384">
        <f>IFERROR(VLOOKUP(A1384,预留库存!A:F,6,0),0)</f>
        <v>23.98</v>
      </c>
      <c r="J1384">
        <f>IFERROR(VLOOKUP(A1384,库龄!B:K,9,0),0)</f>
        <v>0</v>
      </c>
      <c r="K1384">
        <f>IFERROR(VLOOKUP(A1384,库龄!B:L,10,0),0)</f>
        <v>0</v>
      </c>
      <c r="L1384">
        <f>IFERROR(VLOOKUP(A1384,库龄!B:M,11,0),0)</f>
        <v>0</v>
      </c>
      <c r="M1384">
        <f>IFERROR(VLOOKUP(A1384,库龄!B:N,12,0),0)</f>
        <v>0</v>
      </c>
      <c r="N1384">
        <f t="shared" si="44"/>
        <v>0</v>
      </c>
    </row>
    <row r="1385" spans="1:14">
      <c r="A1385" s="3" t="s">
        <v>3638</v>
      </c>
      <c r="B1385">
        <f>IFERROR(VLOOKUP(A1385,管理亚马逊库存!A:K,11,0),"")</f>
        <v>0</v>
      </c>
      <c r="C1385">
        <f>IFERROR(VLOOKUP(A1385,管理亚马逊库存!A:L,12,0),"")</f>
        <v>0</v>
      </c>
      <c r="D1385">
        <f>IFERROR(VLOOKUP(A1385,管理亚马逊库存!A:Q,17,0),"")</f>
        <v>0</v>
      </c>
      <c r="E1385">
        <f>IFERROR(VLOOKUP(A1385,管理亚马逊库存!A:R,18,0),"")</f>
        <v>0</v>
      </c>
      <c r="F1385">
        <f t="shared" si="43"/>
        <v>0</v>
      </c>
      <c r="G1385" t="str">
        <f>IFERROR(VLOOKUP(A1385,预留库存!A:G,7,0),0)</f>
        <v>No</v>
      </c>
      <c r="H1385">
        <f>IFERROR(VLOOKUP(A1385,预留库存!A:H,8,0),0)</f>
        <v>0</v>
      </c>
      <c r="I1385">
        <f>IFERROR(VLOOKUP(A1385,预留库存!A:F,6,0),0)</f>
        <v>23.98</v>
      </c>
      <c r="J1385">
        <f>IFERROR(VLOOKUP(A1385,库龄!B:K,9,0),0)</f>
        <v>0</v>
      </c>
      <c r="K1385">
        <f>IFERROR(VLOOKUP(A1385,库龄!B:L,10,0),0)</f>
        <v>0</v>
      </c>
      <c r="L1385">
        <f>IFERROR(VLOOKUP(A1385,库龄!B:M,11,0),0)</f>
        <v>0</v>
      </c>
      <c r="M1385">
        <f>IFERROR(VLOOKUP(A1385,库龄!B:N,12,0),0)</f>
        <v>0</v>
      </c>
      <c r="N1385">
        <f t="shared" si="44"/>
        <v>0</v>
      </c>
    </row>
    <row r="1386" spans="1:14">
      <c r="A1386" s="3" t="s">
        <v>3642</v>
      </c>
      <c r="B1386">
        <f>IFERROR(VLOOKUP(A1386,管理亚马逊库存!A:K,11,0),"")</f>
        <v>0</v>
      </c>
      <c r="C1386">
        <f>IFERROR(VLOOKUP(A1386,管理亚马逊库存!A:L,12,0),"")</f>
        <v>0</v>
      </c>
      <c r="D1386">
        <f>IFERROR(VLOOKUP(A1386,管理亚马逊库存!A:Q,17,0),"")</f>
        <v>0</v>
      </c>
      <c r="E1386">
        <f>IFERROR(VLOOKUP(A1386,管理亚马逊库存!A:R,18,0),"")</f>
        <v>0</v>
      </c>
      <c r="F1386">
        <f t="shared" si="43"/>
        <v>0</v>
      </c>
      <c r="G1386" t="str">
        <f>IFERROR(VLOOKUP(A1386,预留库存!A:G,7,0),0)</f>
        <v>No</v>
      </c>
      <c r="H1386">
        <f>IFERROR(VLOOKUP(A1386,预留库存!A:H,8,0),0)</f>
        <v>0</v>
      </c>
      <c r="I1386">
        <f>IFERROR(VLOOKUP(A1386,预留库存!A:F,6,0),0)</f>
        <v>23.98</v>
      </c>
      <c r="J1386">
        <f>IFERROR(VLOOKUP(A1386,库龄!B:K,9,0),0)</f>
        <v>0</v>
      </c>
      <c r="K1386">
        <f>IFERROR(VLOOKUP(A1386,库龄!B:L,10,0),0)</f>
        <v>0</v>
      </c>
      <c r="L1386">
        <f>IFERROR(VLOOKUP(A1386,库龄!B:M,11,0),0)</f>
        <v>0</v>
      </c>
      <c r="M1386">
        <f>IFERROR(VLOOKUP(A1386,库龄!B:N,12,0),0)</f>
        <v>0</v>
      </c>
      <c r="N1386">
        <f t="shared" si="44"/>
        <v>0</v>
      </c>
    </row>
    <row r="1387" spans="1:14">
      <c r="A1387" s="3" t="s">
        <v>3646</v>
      </c>
      <c r="B1387">
        <f>IFERROR(VLOOKUP(A1387,管理亚马逊库存!A:K,11,0),"")</f>
        <v>0</v>
      </c>
      <c r="C1387">
        <f>IFERROR(VLOOKUP(A1387,管理亚马逊库存!A:L,12,0),"")</f>
        <v>0</v>
      </c>
      <c r="D1387">
        <f>IFERROR(VLOOKUP(A1387,管理亚马逊库存!A:Q,17,0),"")</f>
        <v>0</v>
      </c>
      <c r="E1387">
        <f>IFERROR(VLOOKUP(A1387,管理亚马逊库存!A:R,18,0),"")</f>
        <v>0</v>
      </c>
      <c r="F1387">
        <f t="shared" si="43"/>
        <v>0</v>
      </c>
      <c r="G1387" t="str">
        <f>IFERROR(VLOOKUP(A1387,预留库存!A:G,7,0),0)</f>
        <v>No</v>
      </c>
      <c r="H1387">
        <f>IFERROR(VLOOKUP(A1387,预留库存!A:H,8,0),0)</f>
        <v>0</v>
      </c>
      <c r="I1387">
        <f>IFERROR(VLOOKUP(A1387,预留库存!A:F,6,0),0)</f>
        <v>23.98</v>
      </c>
      <c r="J1387">
        <f>IFERROR(VLOOKUP(A1387,库龄!B:K,9,0),0)</f>
        <v>0</v>
      </c>
      <c r="K1387">
        <f>IFERROR(VLOOKUP(A1387,库龄!B:L,10,0),0)</f>
        <v>0</v>
      </c>
      <c r="L1387">
        <f>IFERROR(VLOOKUP(A1387,库龄!B:M,11,0),0)</f>
        <v>0</v>
      </c>
      <c r="M1387">
        <f>IFERROR(VLOOKUP(A1387,库龄!B:N,12,0),0)</f>
        <v>0</v>
      </c>
      <c r="N1387">
        <f t="shared" si="44"/>
        <v>0</v>
      </c>
    </row>
    <row r="1388" spans="1:14">
      <c r="A1388" s="3" t="s">
        <v>3650</v>
      </c>
      <c r="B1388">
        <f>IFERROR(VLOOKUP(A1388,管理亚马逊库存!A:K,11,0),"")</f>
        <v>0</v>
      </c>
      <c r="C1388">
        <f>IFERROR(VLOOKUP(A1388,管理亚马逊库存!A:L,12,0),"")</f>
        <v>0</v>
      </c>
      <c r="D1388">
        <f>IFERROR(VLOOKUP(A1388,管理亚马逊库存!A:Q,17,0),"")</f>
        <v>0</v>
      </c>
      <c r="E1388">
        <f>IFERROR(VLOOKUP(A1388,管理亚马逊库存!A:R,18,0),"")</f>
        <v>0</v>
      </c>
      <c r="F1388">
        <f t="shared" si="43"/>
        <v>0</v>
      </c>
      <c r="G1388" t="str">
        <f>IFERROR(VLOOKUP(A1388,预留库存!A:G,7,0),0)</f>
        <v>No</v>
      </c>
      <c r="H1388">
        <f>IFERROR(VLOOKUP(A1388,预留库存!A:H,8,0),0)</f>
        <v>0</v>
      </c>
      <c r="I1388">
        <f>IFERROR(VLOOKUP(A1388,预留库存!A:F,6,0),0)</f>
        <v>23.98</v>
      </c>
      <c r="J1388">
        <f>IFERROR(VLOOKUP(A1388,库龄!B:K,9,0),0)</f>
        <v>0</v>
      </c>
      <c r="K1388">
        <f>IFERROR(VLOOKUP(A1388,库龄!B:L,10,0),0)</f>
        <v>0</v>
      </c>
      <c r="L1388">
        <f>IFERROR(VLOOKUP(A1388,库龄!B:M,11,0),0)</f>
        <v>0</v>
      </c>
      <c r="M1388">
        <f>IFERROR(VLOOKUP(A1388,库龄!B:N,12,0),0)</f>
        <v>0</v>
      </c>
      <c r="N1388">
        <f t="shared" si="44"/>
        <v>0</v>
      </c>
    </row>
    <row r="1389" spans="1:14">
      <c r="A1389" s="3" t="s">
        <v>3654</v>
      </c>
      <c r="B1389">
        <f>IFERROR(VLOOKUP(A1389,管理亚马逊库存!A:K,11,0),"")</f>
        <v>0</v>
      </c>
      <c r="C1389">
        <f>IFERROR(VLOOKUP(A1389,管理亚马逊库存!A:L,12,0),"")</f>
        <v>0</v>
      </c>
      <c r="D1389">
        <f>IFERROR(VLOOKUP(A1389,管理亚马逊库存!A:Q,17,0),"")</f>
        <v>0</v>
      </c>
      <c r="E1389">
        <f>IFERROR(VLOOKUP(A1389,管理亚马逊库存!A:R,18,0),"")</f>
        <v>0</v>
      </c>
      <c r="F1389">
        <f t="shared" si="43"/>
        <v>0</v>
      </c>
      <c r="G1389" t="str">
        <f>IFERROR(VLOOKUP(A1389,预留库存!A:G,7,0),0)</f>
        <v>No</v>
      </c>
      <c r="H1389">
        <f>IFERROR(VLOOKUP(A1389,预留库存!A:H,8,0),0)</f>
        <v>0</v>
      </c>
      <c r="I1389">
        <f>IFERROR(VLOOKUP(A1389,预留库存!A:F,6,0),0)</f>
        <v>23.98</v>
      </c>
      <c r="J1389">
        <f>IFERROR(VLOOKUP(A1389,库龄!B:K,9,0),0)</f>
        <v>0</v>
      </c>
      <c r="K1389">
        <f>IFERROR(VLOOKUP(A1389,库龄!B:L,10,0),0)</f>
        <v>0</v>
      </c>
      <c r="L1389">
        <f>IFERROR(VLOOKUP(A1389,库龄!B:M,11,0),0)</f>
        <v>0</v>
      </c>
      <c r="M1389">
        <f>IFERROR(VLOOKUP(A1389,库龄!B:N,12,0),0)</f>
        <v>0</v>
      </c>
      <c r="N1389">
        <f t="shared" si="44"/>
        <v>0</v>
      </c>
    </row>
    <row r="1390" spans="1:14">
      <c r="A1390" s="3" t="s">
        <v>3658</v>
      </c>
      <c r="B1390">
        <f>IFERROR(VLOOKUP(A1390,管理亚马逊库存!A:K,11,0),"")</f>
        <v>0</v>
      </c>
      <c r="C1390">
        <f>IFERROR(VLOOKUP(A1390,管理亚马逊库存!A:L,12,0),"")</f>
        <v>0</v>
      </c>
      <c r="D1390">
        <f>IFERROR(VLOOKUP(A1390,管理亚马逊库存!A:Q,17,0),"")</f>
        <v>0</v>
      </c>
      <c r="E1390">
        <f>IFERROR(VLOOKUP(A1390,管理亚马逊库存!A:R,18,0),"")</f>
        <v>0</v>
      </c>
      <c r="F1390">
        <f t="shared" si="43"/>
        <v>0</v>
      </c>
      <c r="G1390" t="str">
        <f>IFERROR(VLOOKUP(A1390,预留库存!A:G,7,0),0)</f>
        <v>No</v>
      </c>
      <c r="H1390">
        <f>IFERROR(VLOOKUP(A1390,预留库存!A:H,8,0),0)</f>
        <v>0</v>
      </c>
      <c r="I1390">
        <f>IFERROR(VLOOKUP(A1390,预留库存!A:F,6,0),0)</f>
        <v>23.98</v>
      </c>
      <c r="J1390">
        <f>IFERROR(VLOOKUP(A1390,库龄!B:K,9,0),0)</f>
        <v>0</v>
      </c>
      <c r="K1390">
        <f>IFERROR(VLOOKUP(A1390,库龄!B:L,10,0),0)</f>
        <v>0</v>
      </c>
      <c r="L1390">
        <f>IFERROR(VLOOKUP(A1390,库龄!B:M,11,0),0)</f>
        <v>0</v>
      </c>
      <c r="M1390">
        <f>IFERROR(VLOOKUP(A1390,库龄!B:N,12,0),0)</f>
        <v>0</v>
      </c>
      <c r="N1390">
        <f t="shared" si="44"/>
        <v>0</v>
      </c>
    </row>
    <row r="1391" spans="1:14">
      <c r="A1391" s="3" t="s">
        <v>3662</v>
      </c>
      <c r="B1391">
        <f>IFERROR(VLOOKUP(A1391,管理亚马逊库存!A:K,11,0),"")</f>
        <v>0</v>
      </c>
      <c r="C1391">
        <f>IFERROR(VLOOKUP(A1391,管理亚马逊库存!A:L,12,0),"")</f>
        <v>0</v>
      </c>
      <c r="D1391">
        <f>IFERROR(VLOOKUP(A1391,管理亚马逊库存!A:Q,17,0),"")</f>
        <v>0</v>
      </c>
      <c r="E1391">
        <f>IFERROR(VLOOKUP(A1391,管理亚马逊库存!A:R,18,0),"")</f>
        <v>0</v>
      </c>
      <c r="F1391">
        <f t="shared" si="43"/>
        <v>0</v>
      </c>
      <c r="G1391" t="str">
        <f>IFERROR(VLOOKUP(A1391,预留库存!A:G,7,0),0)</f>
        <v>No</v>
      </c>
      <c r="H1391">
        <f>IFERROR(VLOOKUP(A1391,预留库存!A:H,8,0),0)</f>
        <v>0</v>
      </c>
      <c r="I1391">
        <f>IFERROR(VLOOKUP(A1391,预留库存!A:F,6,0),0)</f>
        <v>23.98</v>
      </c>
      <c r="J1391">
        <f>IFERROR(VLOOKUP(A1391,库龄!B:K,9,0),0)</f>
        <v>0</v>
      </c>
      <c r="K1391">
        <f>IFERROR(VLOOKUP(A1391,库龄!B:L,10,0),0)</f>
        <v>0</v>
      </c>
      <c r="L1391">
        <f>IFERROR(VLOOKUP(A1391,库龄!B:M,11,0),0)</f>
        <v>0</v>
      </c>
      <c r="M1391">
        <f>IFERROR(VLOOKUP(A1391,库龄!B:N,12,0),0)</f>
        <v>0</v>
      </c>
      <c r="N1391">
        <f t="shared" si="44"/>
        <v>0</v>
      </c>
    </row>
    <row r="1392" spans="1:14">
      <c r="A1392" s="3" t="s">
        <v>3666</v>
      </c>
      <c r="B1392">
        <f>IFERROR(VLOOKUP(A1392,管理亚马逊库存!A:K,11,0),"")</f>
        <v>0</v>
      </c>
      <c r="C1392">
        <f>IFERROR(VLOOKUP(A1392,管理亚马逊库存!A:L,12,0),"")</f>
        <v>0</v>
      </c>
      <c r="D1392">
        <f>IFERROR(VLOOKUP(A1392,管理亚马逊库存!A:Q,17,0),"")</f>
        <v>0</v>
      </c>
      <c r="E1392">
        <f>IFERROR(VLOOKUP(A1392,管理亚马逊库存!A:R,18,0),"")</f>
        <v>0</v>
      </c>
      <c r="F1392">
        <f t="shared" si="43"/>
        <v>0</v>
      </c>
      <c r="G1392" t="str">
        <f>IFERROR(VLOOKUP(A1392,预留库存!A:G,7,0),0)</f>
        <v>No</v>
      </c>
      <c r="H1392">
        <f>IFERROR(VLOOKUP(A1392,预留库存!A:H,8,0),0)</f>
        <v>0</v>
      </c>
      <c r="I1392">
        <f>IFERROR(VLOOKUP(A1392,预留库存!A:F,6,0),0)</f>
        <v>23.98</v>
      </c>
      <c r="J1392">
        <f>IFERROR(VLOOKUP(A1392,库龄!B:K,9,0),0)</f>
        <v>0</v>
      </c>
      <c r="K1392">
        <f>IFERROR(VLOOKUP(A1392,库龄!B:L,10,0),0)</f>
        <v>0</v>
      </c>
      <c r="L1392">
        <f>IFERROR(VLOOKUP(A1392,库龄!B:M,11,0),0)</f>
        <v>0</v>
      </c>
      <c r="M1392">
        <f>IFERROR(VLOOKUP(A1392,库龄!B:N,12,0),0)</f>
        <v>0</v>
      </c>
      <c r="N1392">
        <f t="shared" si="44"/>
        <v>0</v>
      </c>
    </row>
    <row r="1393" spans="1:14">
      <c r="A1393" s="3" t="s">
        <v>3670</v>
      </c>
      <c r="B1393">
        <f>IFERROR(VLOOKUP(A1393,管理亚马逊库存!A:K,11,0),"")</f>
        <v>0</v>
      </c>
      <c r="C1393">
        <f>IFERROR(VLOOKUP(A1393,管理亚马逊库存!A:L,12,0),"")</f>
        <v>0</v>
      </c>
      <c r="D1393">
        <f>IFERROR(VLOOKUP(A1393,管理亚马逊库存!A:Q,17,0),"")</f>
        <v>0</v>
      </c>
      <c r="E1393">
        <f>IFERROR(VLOOKUP(A1393,管理亚马逊库存!A:R,18,0),"")</f>
        <v>0</v>
      </c>
      <c r="F1393">
        <f t="shared" si="43"/>
        <v>0</v>
      </c>
      <c r="G1393" t="str">
        <f>IFERROR(VLOOKUP(A1393,预留库存!A:G,7,0),0)</f>
        <v>No</v>
      </c>
      <c r="H1393">
        <f>IFERROR(VLOOKUP(A1393,预留库存!A:H,8,0),0)</f>
        <v>0</v>
      </c>
      <c r="I1393">
        <f>IFERROR(VLOOKUP(A1393,预留库存!A:F,6,0),0)</f>
        <v>23.98</v>
      </c>
      <c r="J1393">
        <f>IFERROR(VLOOKUP(A1393,库龄!B:K,9,0),0)</f>
        <v>0</v>
      </c>
      <c r="K1393">
        <f>IFERROR(VLOOKUP(A1393,库龄!B:L,10,0),0)</f>
        <v>0</v>
      </c>
      <c r="L1393">
        <f>IFERROR(VLOOKUP(A1393,库龄!B:M,11,0),0)</f>
        <v>0</v>
      </c>
      <c r="M1393">
        <f>IFERROR(VLOOKUP(A1393,库龄!B:N,12,0),0)</f>
        <v>0</v>
      </c>
      <c r="N1393">
        <f t="shared" si="44"/>
        <v>0</v>
      </c>
    </row>
    <row r="1394" spans="1:14">
      <c r="A1394" s="3" t="s">
        <v>3674</v>
      </c>
      <c r="B1394">
        <f>IFERROR(VLOOKUP(A1394,管理亚马逊库存!A:K,11,0),"")</f>
        <v>0</v>
      </c>
      <c r="C1394">
        <f>IFERROR(VLOOKUP(A1394,管理亚马逊库存!A:L,12,0),"")</f>
        <v>0</v>
      </c>
      <c r="D1394">
        <f>IFERROR(VLOOKUP(A1394,管理亚马逊库存!A:Q,17,0),"")</f>
        <v>0</v>
      </c>
      <c r="E1394">
        <f>IFERROR(VLOOKUP(A1394,管理亚马逊库存!A:R,18,0),"")</f>
        <v>0</v>
      </c>
      <c r="F1394">
        <f t="shared" si="43"/>
        <v>0</v>
      </c>
      <c r="G1394" t="str">
        <f>IFERROR(VLOOKUP(A1394,预留库存!A:G,7,0),0)</f>
        <v>No</v>
      </c>
      <c r="H1394">
        <f>IFERROR(VLOOKUP(A1394,预留库存!A:H,8,0),0)</f>
        <v>0</v>
      </c>
      <c r="I1394">
        <f>IFERROR(VLOOKUP(A1394,预留库存!A:F,6,0),0)</f>
        <v>23.98</v>
      </c>
      <c r="J1394">
        <f>IFERROR(VLOOKUP(A1394,库龄!B:K,9,0),0)</f>
        <v>0</v>
      </c>
      <c r="K1394">
        <f>IFERROR(VLOOKUP(A1394,库龄!B:L,10,0),0)</f>
        <v>0</v>
      </c>
      <c r="L1394">
        <f>IFERROR(VLOOKUP(A1394,库龄!B:M,11,0),0)</f>
        <v>0</v>
      </c>
      <c r="M1394">
        <f>IFERROR(VLOOKUP(A1394,库龄!B:N,12,0),0)</f>
        <v>0</v>
      </c>
      <c r="N1394">
        <f t="shared" si="44"/>
        <v>0</v>
      </c>
    </row>
    <row r="1395" spans="1:14">
      <c r="A1395" s="3" t="s">
        <v>3678</v>
      </c>
      <c r="B1395">
        <f>IFERROR(VLOOKUP(A1395,管理亚马逊库存!A:K,11,0),"")</f>
        <v>0</v>
      </c>
      <c r="C1395">
        <f>IFERROR(VLOOKUP(A1395,管理亚马逊库存!A:L,12,0),"")</f>
        <v>0</v>
      </c>
      <c r="D1395">
        <f>IFERROR(VLOOKUP(A1395,管理亚马逊库存!A:Q,17,0),"")</f>
        <v>0</v>
      </c>
      <c r="E1395">
        <f>IFERROR(VLOOKUP(A1395,管理亚马逊库存!A:R,18,0),"")</f>
        <v>0</v>
      </c>
      <c r="F1395">
        <f t="shared" si="43"/>
        <v>0</v>
      </c>
      <c r="G1395" t="str">
        <f>IFERROR(VLOOKUP(A1395,预留库存!A:G,7,0),0)</f>
        <v>No</v>
      </c>
      <c r="H1395">
        <f>IFERROR(VLOOKUP(A1395,预留库存!A:H,8,0),0)</f>
        <v>0</v>
      </c>
      <c r="I1395">
        <f>IFERROR(VLOOKUP(A1395,预留库存!A:F,6,0),0)</f>
        <v>23.98</v>
      </c>
      <c r="J1395">
        <f>IFERROR(VLOOKUP(A1395,库龄!B:K,9,0),0)</f>
        <v>0</v>
      </c>
      <c r="K1395">
        <f>IFERROR(VLOOKUP(A1395,库龄!B:L,10,0),0)</f>
        <v>0</v>
      </c>
      <c r="L1395">
        <f>IFERROR(VLOOKUP(A1395,库龄!B:M,11,0),0)</f>
        <v>0</v>
      </c>
      <c r="M1395">
        <f>IFERROR(VLOOKUP(A1395,库龄!B:N,12,0),0)</f>
        <v>0</v>
      </c>
      <c r="N1395">
        <f t="shared" si="44"/>
        <v>0</v>
      </c>
    </row>
    <row r="1396" spans="1:14">
      <c r="A1396" s="3" t="s">
        <v>3682</v>
      </c>
      <c r="B1396">
        <f>IFERROR(VLOOKUP(A1396,管理亚马逊库存!A:K,11,0),"")</f>
        <v>0</v>
      </c>
      <c r="C1396">
        <f>IFERROR(VLOOKUP(A1396,管理亚马逊库存!A:L,12,0),"")</f>
        <v>0</v>
      </c>
      <c r="D1396">
        <f>IFERROR(VLOOKUP(A1396,管理亚马逊库存!A:Q,17,0),"")</f>
        <v>0</v>
      </c>
      <c r="E1396">
        <f>IFERROR(VLOOKUP(A1396,管理亚马逊库存!A:R,18,0),"")</f>
        <v>0</v>
      </c>
      <c r="F1396">
        <f t="shared" si="43"/>
        <v>0</v>
      </c>
      <c r="G1396">
        <f>IFERROR(VLOOKUP(A1396,预留库存!A:G,7,0),0)</f>
        <v>0</v>
      </c>
      <c r="H1396">
        <f>IFERROR(VLOOKUP(A1396,预留库存!A:H,8,0),0)</f>
        <v>0</v>
      </c>
      <c r="I1396">
        <f>IFERROR(VLOOKUP(A1396,预留库存!A:F,6,0),0)</f>
        <v>0</v>
      </c>
      <c r="J1396">
        <f>IFERROR(VLOOKUP(A1396,库龄!B:K,9,0),0)</f>
        <v>0</v>
      </c>
      <c r="K1396">
        <f>IFERROR(VLOOKUP(A1396,库龄!B:L,10,0),0)</f>
        <v>0</v>
      </c>
      <c r="L1396">
        <f>IFERROR(VLOOKUP(A1396,库龄!B:M,11,0),0)</f>
        <v>0</v>
      </c>
      <c r="M1396">
        <f>IFERROR(VLOOKUP(A1396,库龄!B:N,12,0),0)</f>
        <v>0</v>
      </c>
      <c r="N1396">
        <f t="shared" si="44"/>
        <v>0</v>
      </c>
    </row>
    <row r="1397" spans="1:14">
      <c r="A1397" s="3" t="s">
        <v>3685</v>
      </c>
      <c r="B1397">
        <f>IFERROR(VLOOKUP(A1397,管理亚马逊库存!A:K,11,0),"")</f>
        <v>0</v>
      </c>
      <c r="C1397">
        <f>IFERROR(VLOOKUP(A1397,管理亚马逊库存!A:L,12,0),"")</f>
        <v>0</v>
      </c>
      <c r="D1397">
        <f>IFERROR(VLOOKUP(A1397,管理亚马逊库存!A:Q,17,0),"")</f>
        <v>0</v>
      </c>
      <c r="E1397">
        <f>IFERROR(VLOOKUP(A1397,管理亚马逊库存!A:R,18,0),"")</f>
        <v>0</v>
      </c>
      <c r="F1397">
        <f t="shared" si="43"/>
        <v>0</v>
      </c>
      <c r="G1397" t="str">
        <f>IFERROR(VLOOKUP(A1397,预留库存!A:G,7,0),0)</f>
        <v>No</v>
      </c>
      <c r="H1397">
        <f>IFERROR(VLOOKUP(A1397,预留库存!A:H,8,0),0)</f>
        <v>0</v>
      </c>
      <c r="I1397">
        <f>IFERROR(VLOOKUP(A1397,预留库存!A:F,6,0),0)</f>
        <v>23.98</v>
      </c>
      <c r="J1397">
        <f>IFERROR(VLOOKUP(A1397,库龄!B:K,9,0),0)</f>
        <v>0</v>
      </c>
      <c r="K1397">
        <f>IFERROR(VLOOKUP(A1397,库龄!B:L,10,0),0)</f>
        <v>0</v>
      </c>
      <c r="L1397">
        <f>IFERROR(VLOOKUP(A1397,库龄!B:M,11,0),0)</f>
        <v>0</v>
      </c>
      <c r="M1397">
        <f>IFERROR(VLOOKUP(A1397,库龄!B:N,12,0),0)</f>
        <v>0</v>
      </c>
      <c r="N1397">
        <f t="shared" si="44"/>
        <v>0</v>
      </c>
    </row>
    <row r="1398" spans="1:14">
      <c r="A1398" s="3" t="s">
        <v>3689</v>
      </c>
      <c r="B1398">
        <f>IFERROR(VLOOKUP(A1398,管理亚马逊库存!A:K,11,0),"")</f>
        <v>0</v>
      </c>
      <c r="C1398">
        <f>IFERROR(VLOOKUP(A1398,管理亚马逊库存!A:L,12,0),"")</f>
        <v>0</v>
      </c>
      <c r="D1398">
        <f>IFERROR(VLOOKUP(A1398,管理亚马逊库存!A:Q,17,0),"")</f>
        <v>0</v>
      </c>
      <c r="E1398">
        <f>IFERROR(VLOOKUP(A1398,管理亚马逊库存!A:R,18,0),"")</f>
        <v>0</v>
      </c>
      <c r="F1398">
        <f t="shared" si="43"/>
        <v>0</v>
      </c>
      <c r="G1398" t="str">
        <f>IFERROR(VLOOKUP(A1398,预留库存!A:G,7,0),0)</f>
        <v>No</v>
      </c>
      <c r="H1398">
        <f>IFERROR(VLOOKUP(A1398,预留库存!A:H,8,0),0)</f>
        <v>0</v>
      </c>
      <c r="I1398">
        <f>IFERROR(VLOOKUP(A1398,预留库存!A:F,6,0),0)</f>
        <v>23.98</v>
      </c>
      <c r="J1398">
        <f>IFERROR(VLOOKUP(A1398,库龄!B:K,9,0),0)</f>
        <v>0</v>
      </c>
      <c r="K1398">
        <f>IFERROR(VLOOKUP(A1398,库龄!B:L,10,0),0)</f>
        <v>0</v>
      </c>
      <c r="L1398">
        <f>IFERROR(VLOOKUP(A1398,库龄!B:M,11,0),0)</f>
        <v>0</v>
      </c>
      <c r="M1398">
        <f>IFERROR(VLOOKUP(A1398,库龄!B:N,12,0),0)</f>
        <v>0</v>
      </c>
      <c r="N1398">
        <f t="shared" si="44"/>
        <v>0</v>
      </c>
    </row>
    <row r="1399" spans="1:14">
      <c r="A1399" s="3" t="s">
        <v>3693</v>
      </c>
      <c r="B1399">
        <f>IFERROR(VLOOKUP(A1399,管理亚马逊库存!A:K,11,0),"")</f>
        <v>0</v>
      </c>
      <c r="C1399">
        <f>IFERROR(VLOOKUP(A1399,管理亚马逊库存!A:L,12,0),"")</f>
        <v>0</v>
      </c>
      <c r="D1399">
        <f>IFERROR(VLOOKUP(A1399,管理亚马逊库存!A:Q,17,0),"")</f>
        <v>0</v>
      </c>
      <c r="E1399">
        <f>IFERROR(VLOOKUP(A1399,管理亚马逊库存!A:R,18,0),"")</f>
        <v>0</v>
      </c>
      <c r="F1399">
        <f t="shared" si="43"/>
        <v>0</v>
      </c>
      <c r="G1399" t="str">
        <f>IFERROR(VLOOKUP(A1399,预留库存!A:G,7,0),0)</f>
        <v>No</v>
      </c>
      <c r="H1399">
        <f>IFERROR(VLOOKUP(A1399,预留库存!A:H,8,0),0)</f>
        <v>0</v>
      </c>
      <c r="I1399">
        <f>IFERROR(VLOOKUP(A1399,预留库存!A:F,6,0),0)</f>
        <v>23.98</v>
      </c>
      <c r="J1399">
        <f>IFERROR(VLOOKUP(A1399,库龄!B:K,9,0),0)</f>
        <v>0</v>
      </c>
      <c r="K1399">
        <f>IFERROR(VLOOKUP(A1399,库龄!B:L,10,0),0)</f>
        <v>0</v>
      </c>
      <c r="L1399">
        <f>IFERROR(VLOOKUP(A1399,库龄!B:M,11,0),0)</f>
        <v>0</v>
      </c>
      <c r="M1399">
        <f>IFERROR(VLOOKUP(A1399,库龄!B:N,12,0),0)</f>
        <v>0</v>
      </c>
      <c r="N1399">
        <f t="shared" si="44"/>
        <v>0</v>
      </c>
    </row>
    <row r="1400" spans="1:14">
      <c r="A1400" s="3" t="s">
        <v>3697</v>
      </c>
      <c r="B1400">
        <f>IFERROR(VLOOKUP(A1400,管理亚马逊库存!A:K,11,0),"")</f>
        <v>0</v>
      </c>
      <c r="C1400">
        <f>IFERROR(VLOOKUP(A1400,管理亚马逊库存!A:L,12,0),"")</f>
        <v>0</v>
      </c>
      <c r="D1400">
        <f>IFERROR(VLOOKUP(A1400,管理亚马逊库存!A:Q,17,0),"")</f>
        <v>0</v>
      </c>
      <c r="E1400">
        <f>IFERROR(VLOOKUP(A1400,管理亚马逊库存!A:R,18,0),"")</f>
        <v>0</v>
      </c>
      <c r="F1400">
        <f t="shared" si="43"/>
        <v>0</v>
      </c>
      <c r="G1400" t="str">
        <f>IFERROR(VLOOKUP(A1400,预留库存!A:G,7,0),0)</f>
        <v>No</v>
      </c>
      <c r="H1400">
        <f>IFERROR(VLOOKUP(A1400,预留库存!A:H,8,0),0)</f>
        <v>0</v>
      </c>
      <c r="I1400">
        <f>IFERROR(VLOOKUP(A1400,预留库存!A:F,6,0),0)</f>
        <v>23.98</v>
      </c>
      <c r="J1400">
        <f>IFERROR(VLOOKUP(A1400,库龄!B:K,9,0),0)</f>
        <v>0</v>
      </c>
      <c r="K1400">
        <f>IFERROR(VLOOKUP(A1400,库龄!B:L,10,0),0)</f>
        <v>0</v>
      </c>
      <c r="L1400">
        <f>IFERROR(VLOOKUP(A1400,库龄!B:M,11,0),0)</f>
        <v>0</v>
      </c>
      <c r="M1400">
        <f>IFERROR(VLOOKUP(A1400,库龄!B:N,12,0),0)</f>
        <v>0</v>
      </c>
      <c r="N1400">
        <f t="shared" si="44"/>
        <v>0</v>
      </c>
    </row>
    <row r="1401" spans="1:14">
      <c r="A1401" s="3" t="s">
        <v>3701</v>
      </c>
      <c r="B1401">
        <f>IFERROR(VLOOKUP(A1401,管理亚马逊库存!A:K,11,0),"")</f>
        <v>0</v>
      </c>
      <c r="C1401">
        <f>IFERROR(VLOOKUP(A1401,管理亚马逊库存!A:L,12,0),"")</f>
        <v>0</v>
      </c>
      <c r="D1401">
        <f>IFERROR(VLOOKUP(A1401,管理亚马逊库存!A:Q,17,0),"")</f>
        <v>0</v>
      </c>
      <c r="E1401">
        <f>IFERROR(VLOOKUP(A1401,管理亚马逊库存!A:R,18,0),"")</f>
        <v>0</v>
      </c>
      <c r="F1401">
        <f t="shared" si="43"/>
        <v>0</v>
      </c>
      <c r="G1401" t="str">
        <f>IFERROR(VLOOKUP(A1401,预留库存!A:G,7,0),0)</f>
        <v>No</v>
      </c>
      <c r="H1401">
        <f>IFERROR(VLOOKUP(A1401,预留库存!A:H,8,0),0)</f>
        <v>0</v>
      </c>
      <c r="I1401">
        <f>IFERROR(VLOOKUP(A1401,预留库存!A:F,6,0),0)</f>
        <v>23.98</v>
      </c>
      <c r="J1401">
        <f>IFERROR(VLOOKUP(A1401,库龄!B:K,9,0),0)</f>
        <v>0</v>
      </c>
      <c r="K1401">
        <f>IFERROR(VLOOKUP(A1401,库龄!B:L,10,0),0)</f>
        <v>0</v>
      </c>
      <c r="L1401">
        <f>IFERROR(VLOOKUP(A1401,库龄!B:M,11,0),0)</f>
        <v>0</v>
      </c>
      <c r="M1401">
        <f>IFERROR(VLOOKUP(A1401,库龄!B:N,12,0),0)</f>
        <v>0</v>
      </c>
      <c r="N1401">
        <f t="shared" si="44"/>
        <v>0</v>
      </c>
    </row>
    <row r="1402" spans="1:14">
      <c r="A1402" s="3" t="s">
        <v>3705</v>
      </c>
      <c r="B1402">
        <f>IFERROR(VLOOKUP(A1402,管理亚马逊库存!A:K,11,0),"")</f>
        <v>0</v>
      </c>
      <c r="C1402">
        <f>IFERROR(VLOOKUP(A1402,管理亚马逊库存!A:L,12,0),"")</f>
        <v>0</v>
      </c>
      <c r="D1402">
        <f>IFERROR(VLOOKUP(A1402,管理亚马逊库存!A:Q,17,0),"")</f>
        <v>0</v>
      </c>
      <c r="E1402">
        <f>IFERROR(VLOOKUP(A1402,管理亚马逊库存!A:R,18,0),"")</f>
        <v>0</v>
      </c>
      <c r="F1402">
        <f t="shared" si="43"/>
        <v>0</v>
      </c>
      <c r="G1402" t="str">
        <f>IFERROR(VLOOKUP(A1402,预留库存!A:G,7,0),0)</f>
        <v>No</v>
      </c>
      <c r="H1402">
        <f>IFERROR(VLOOKUP(A1402,预留库存!A:H,8,0),0)</f>
        <v>0</v>
      </c>
      <c r="I1402">
        <f>IFERROR(VLOOKUP(A1402,预留库存!A:F,6,0),0)</f>
        <v>23.98</v>
      </c>
      <c r="J1402">
        <f>IFERROR(VLOOKUP(A1402,库龄!B:K,9,0),0)</f>
        <v>0</v>
      </c>
      <c r="K1402">
        <f>IFERROR(VLOOKUP(A1402,库龄!B:L,10,0),0)</f>
        <v>0</v>
      </c>
      <c r="L1402">
        <f>IFERROR(VLOOKUP(A1402,库龄!B:M,11,0),0)</f>
        <v>0</v>
      </c>
      <c r="M1402">
        <f>IFERROR(VLOOKUP(A1402,库龄!B:N,12,0),0)</f>
        <v>0</v>
      </c>
      <c r="N1402">
        <f t="shared" si="44"/>
        <v>0</v>
      </c>
    </row>
    <row r="1403" spans="1:14">
      <c r="A1403" s="3" t="s">
        <v>3709</v>
      </c>
      <c r="B1403">
        <f>IFERROR(VLOOKUP(A1403,管理亚马逊库存!A:K,11,0),"")</f>
        <v>0</v>
      </c>
      <c r="C1403">
        <f>IFERROR(VLOOKUP(A1403,管理亚马逊库存!A:L,12,0),"")</f>
        <v>0</v>
      </c>
      <c r="D1403">
        <f>IFERROR(VLOOKUP(A1403,管理亚马逊库存!A:Q,17,0),"")</f>
        <v>0</v>
      </c>
      <c r="E1403">
        <f>IFERROR(VLOOKUP(A1403,管理亚马逊库存!A:R,18,0),"")</f>
        <v>0</v>
      </c>
      <c r="F1403">
        <f t="shared" si="43"/>
        <v>0</v>
      </c>
      <c r="G1403" t="str">
        <f>IFERROR(VLOOKUP(A1403,预留库存!A:G,7,0),0)</f>
        <v>No</v>
      </c>
      <c r="H1403">
        <f>IFERROR(VLOOKUP(A1403,预留库存!A:H,8,0),0)</f>
        <v>0</v>
      </c>
      <c r="I1403">
        <f>IFERROR(VLOOKUP(A1403,预留库存!A:F,6,0),0)</f>
        <v>23.98</v>
      </c>
      <c r="J1403">
        <f>IFERROR(VLOOKUP(A1403,库龄!B:K,9,0),0)</f>
        <v>0</v>
      </c>
      <c r="K1403">
        <f>IFERROR(VLOOKUP(A1403,库龄!B:L,10,0),0)</f>
        <v>0</v>
      </c>
      <c r="L1403">
        <f>IFERROR(VLOOKUP(A1403,库龄!B:M,11,0),0)</f>
        <v>0</v>
      </c>
      <c r="M1403">
        <f>IFERROR(VLOOKUP(A1403,库龄!B:N,12,0),0)</f>
        <v>0</v>
      </c>
      <c r="N1403">
        <f t="shared" si="44"/>
        <v>0</v>
      </c>
    </row>
    <row r="1404" spans="1:14">
      <c r="A1404" s="3" t="s">
        <v>3713</v>
      </c>
      <c r="B1404">
        <f>IFERROR(VLOOKUP(A1404,管理亚马逊库存!A:K,11,0),"")</f>
        <v>0</v>
      </c>
      <c r="C1404">
        <f>IFERROR(VLOOKUP(A1404,管理亚马逊库存!A:L,12,0),"")</f>
        <v>0</v>
      </c>
      <c r="D1404">
        <f>IFERROR(VLOOKUP(A1404,管理亚马逊库存!A:Q,17,0),"")</f>
        <v>0</v>
      </c>
      <c r="E1404">
        <f>IFERROR(VLOOKUP(A1404,管理亚马逊库存!A:R,18,0),"")</f>
        <v>0</v>
      </c>
      <c r="F1404">
        <f t="shared" si="43"/>
        <v>0</v>
      </c>
      <c r="G1404" t="str">
        <f>IFERROR(VLOOKUP(A1404,预留库存!A:G,7,0),0)</f>
        <v>No</v>
      </c>
      <c r="H1404">
        <f>IFERROR(VLOOKUP(A1404,预留库存!A:H,8,0),0)</f>
        <v>0</v>
      </c>
      <c r="I1404">
        <f>IFERROR(VLOOKUP(A1404,预留库存!A:F,6,0),0)</f>
        <v>23.98</v>
      </c>
      <c r="J1404">
        <f>IFERROR(VLOOKUP(A1404,库龄!B:K,9,0),0)</f>
        <v>0</v>
      </c>
      <c r="K1404">
        <f>IFERROR(VLOOKUP(A1404,库龄!B:L,10,0),0)</f>
        <v>0</v>
      </c>
      <c r="L1404">
        <f>IFERROR(VLOOKUP(A1404,库龄!B:M,11,0),0)</f>
        <v>0</v>
      </c>
      <c r="M1404">
        <f>IFERROR(VLOOKUP(A1404,库龄!B:N,12,0),0)</f>
        <v>0</v>
      </c>
      <c r="N1404">
        <f t="shared" si="44"/>
        <v>0</v>
      </c>
    </row>
    <row r="1405" spans="1:14">
      <c r="A1405" s="3" t="s">
        <v>3717</v>
      </c>
      <c r="B1405">
        <f>IFERROR(VLOOKUP(A1405,管理亚马逊库存!A:K,11,0),"")</f>
        <v>0</v>
      </c>
      <c r="C1405">
        <f>IFERROR(VLOOKUP(A1405,管理亚马逊库存!A:L,12,0),"")</f>
        <v>0</v>
      </c>
      <c r="D1405">
        <f>IFERROR(VLOOKUP(A1405,管理亚马逊库存!A:Q,17,0),"")</f>
        <v>0</v>
      </c>
      <c r="E1405">
        <f>IFERROR(VLOOKUP(A1405,管理亚马逊库存!A:R,18,0),"")</f>
        <v>0</v>
      </c>
      <c r="F1405">
        <f t="shared" si="43"/>
        <v>0</v>
      </c>
      <c r="G1405" t="str">
        <f>IFERROR(VLOOKUP(A1405,预留库存!A:G,7,0),0)</f>
        <v>No</v>
      </c>
      <c r="H1405">
        <f>IFERROR(VLOOKUP(A1405,预留库存!A:H,8,0),0)</f>
        <v>0</v>
      </c>
      <c r="I1405">
        <f>IFERROR(VLOOKUP(A1405,预留库存!A:F,6,0),0)</f>
        <v>23.98</v>
      </c>
      <c r="J1405">
        <f>IFERROR(VLOOKUP(A1405,库龄!B:K,9,0),0)</f>
        <v>0</v>
      </c>
      <c r="K1405">
        <f>IFERROR(VLOOKUP(A1405,库龄!B:L,10,0),0)</f>
        <v>0</v>
      </c>
      <c r="L1405">
        <f>IFERROR(VLOOKUP(A1405,库龄!B:M,11,0),0)</f>
        <v>0</v>
      </c>
      <c r="M1405">
        <f>IFERROR(VLOOKUP(A1405,库龄!B:N,12,0),0)</f>
        <v>0</v>
      </c>
      <c r="N1405">
        <f t="shared" si="44"/>
        <v>0</v>
      </c>
    </row>
    <row r="1406" spans="1:14">
      <c r="A1406" s="3" t="s">
        <v>3721</v>
      </c>
      <c r="B1406">
        <f>IFERROR(VLOOKUP(A1406,管理亚马逊库存!A:K,11,0),"")</f>
        <v>0</v>
      </c>
      <c r="C1406">
        <f>IFERROR(VLOOKUP(A1406,管理亚马逊库存!A:L,12,0),"")</f>
        <v>0</v>
      </c>
      <c r="D1406">
        <f>IFERROR(VLOOKUP(A1406,管理亚马逊库存!A:Q,17,0),"")</f>
        <v>0</v>
      </c>
      <c r="E1406">
        <f>IFERROR(VLOOKUP(A1406,管理亚马逊库存!A:R,18,0),"")</f>
        <v>0</v>
      </c>
      <c r="F1406">
        <f t="shared" si="43"/>
        <v>0</v>
      </c>
      <c r="G1406" t="str">
        <f>IFERROR(VLOOKUP(A1406,预留库存!A:G,7,0),0)</f>
        <v>No</v>
      </c>
      <c r="H1406">
        <f>IFERROR(VLOOKUP(A1406,预留库存!A:H,8,0),0)</f>
        <v>0</v>
      </c>
      <c r="I1406">
        <f>IFERROR(VLOOKUP(A1406,预留库存!A:F,6,0),0)</f>
        <v>23.98</v>
      </c>
      <c r="J1406">
        <f>IFERROR(VLOOKUP(A1406,库龄!B:K,9,0),0)</f>
        <v>0</v>
      </c>
      <c r="K1406">
        <f>IFERROR(VLOOKUP(A1406,库龄!B:L,10,0),0)</f>
        <v>0</v>
      </c>
      <c r="L1406">
        <f>IFERROR(VLOOKUP(A1406,库龄!B:M,11,0),0)</f>
        <v>0</v>
      </c>
      <c r="M1406">
        <f>IFERROR(VLOOKUP(A1406,库龄!B:N,12,0),0)</f>
        <v>0</v>
      </c>
      <c r="N1406">
        <f t="shared" si="44"/>
        <v>0</v>
      </c>
    </row>
    <row r="1407" spans="1:14">
      <c r="A1407" s="3" t="s">
        <v>3725</v>
      </c>
      <c r="B1407">
        <f>IFERROR(VLOOKUP(A1407,管理亚马逊库存!A:K,11,0),"")</f>
        <v>0</v>
      </c>
      <c r="C1407">
        <f>IFERROR(VLOOKUP(A1407,管理亚马逊库存!A:L,12,0),"")</f>
        <v>0</v>
      </c>
      <c r="D1407">
        <f>IFERROR(VLOOKUP(A1407,管理亚马逊库存!A:Q,17,0),"")</f>
        <v>0</v>
      </c>
      <c r="E1407">
        <f>IFERROR(VLOOKUP(A1407,管理亚马逊库存!A:R,18,0),"")</f>
        <v>0</v>
      </c>
      <c r="F1407">
        <f t="shared" si="43"/>
        <v>0</v>
      </c>
      <c r="G1407" t="str">
        <f>IFERROR(VLOOKUP(A1407,预留库存!A:G,7,0),0)</f>
        <v>No</v>
      </c>
      <c r="H1407">
        <f>IFERROR(VLOOKUP(A1407,预留库存!A:H,8,0),0)</f>
        <v>0</v>
      </c>
      <c r="I1407">
        <f>IFERROR(VLOOKUP(A1407,预留库存!A:F,6,0),0)</f>
        <v>23.98</v>
      </c>
      <c r="J1407">
        <f>IFERROR(VLOOKUP(A1407,库龄!B:K,9,0),0)</f>
        <v>0</v>
      </c>
      <c r="K1407">
        <f>IFERROR(VLOOKUP(A1407,库龄!B:L,10,0),0)</f>
        <v>0</v>
      </c>
      <c r="L1407">
        <f>IFERROR(VLOOKUP(A1407,库龄!B:M,11,0),0)</f>
        <v>0</v>
      </c>
      <c r="M1407">
        <f>IFERROR(VLOOKUP(A1407,库龄!B:N,12,0),0)</f>
        <v>0</v>
      </c>
      <c r="N1407">
        <f t="shared" si="44"/>
        <v>0</v>
      </c>
    </row>
    <row r="1408" spans="1:14">
      <c r="A1408" s="3" t="s">
        <v>3729</v>
      </c>
      <c r="B1408">
        <f>IFERROR(VLOOKUP(A1408,管理亚马逊库存!A:K,11,0),"")</f>
        <v>0</v>
      </c>
      <c r="C1408">
        <f>IFERROR(VLOOKUP(A1408,管理亚马逊库存!A:L,12,0),"")</f>
        <v>0</v>
      </c>
      <c r="D1408">
        <f>IFERROR(VLOOKUP(A1408,管理亚马逊库存!A:Q,17,0),"")</f>
        <v>0</v>
      </c>
      <c r="E1408">
        <f>IFERROR(VLOOKUP(A1408,管理亚马逊库存!A:R,18,0),"")</f>
        <v>0</v>
      </c>
      <c r="F1408">
        <f t="shared" si="43"/>
        <v>0</v>
      </c>
      <c r="G1408" t="str">
        <f>IFERROR(VLOOKUP(A1408,预留库存!A:G,7,0),0)</f>
        <v>No</v>
      </c>
      <c r="H1408">
        <f>IFERROR(VLOOKUP(A1408,预留库存!A:H,8,0),0)</f>
        <v>0</v>
      </c>
      <c r="I1408">
        <f>IFERROR(VLOOKUP(A1408,预留库存!A:F,6,0),0)</f>
        <v>23.98</v>
      </c>
      <c r="J1408">
        <f>IFERROR(VLOOKUP(A1408,库龄!B:K,9,0),0)</f>
        <v>0</v>
      </c>
      <c r="K1408">
        <f>IFERROR(VLOOKUP(A1408,库龄!B:L,10,0),0)</f>
        <v>0</v>
      </c>
      <c r="L1408">
        <f>IFERROR(VLOOKUP(A1408,库龄!B:M,11,0),0)</f>
        <v>0</v>
      </c>
      <c r="M1408">
        <f>IFERROR(VLOOKUP(A1408,库龄!B:N,12,0),0)</f>
        <v>0</v>
      </c>
      <c r="N1408">
        <f t="shared" si="44"/>
        <v>0</v>
      </c>
    </row>
    <row r="1409" spans="1:14">
      <c r="A1409" s="3" t="s">
        <v>3733</v>
      </c>
      <c r="B1409">
        <f>IFERROR(VLOOKUP(A1409,管理亚马逊库存!A:K,11,0),"")</f>
        <v>0</v>
      </c>
      <c r="C1409">
        <f>IFERROR(VLOOKUP(A1409,管理亚马逊库存!A:L,12,0),"")</f>
        <v>0</v>
      </c>
      <c r="D1409">
        <f>IFERROR(VLOOKUP(A1409,管理亚马逊库存!A:Q,17,0),"")</f>
        <v>0</v>
      </c>
      <c r="E1409">
        <f>IFERROR(VLOOKUP(A1409,管理亚马逊库存!A:R,18,0),"")</f>
        <v>0</v>
      </c>
      <c r="F1409">
        <f t="shared" si="43"/>
        <v>0</v>
      </c>
      <c r="G1409" t="str">
        <f>IFERROR(VLOOKUP(A1409,预留库存!A:G,7,0),0)</f>
        <v>No</v>
      </c>
      <c r="H1409">
        <f>IFERROR(VLOOKUP(A1409,预留库存!A:H,8,0),0)</f>
        <v>0</v>
      </c>
      <c r="I1409">
        <f>IFERROR(VLOOKUP(A1409,预留库存!A:F,6,0),0)</f>
        <v>23.98</v>
      </c>
      <c r="J1409">
        <f>IFERROR(VLOOKUP(A1409,库龄!B:K,9,0),0)</f>
        <v>0</v>
      </c>
      <c r="K1409">
        <f>IFERROR(VLOOKUP(A1409,库龄!B:L,10,0),0)</f>
        <v>0</v>
      </c>
      <c r="L1409">
        <f>IFERROR(VLOOKUP(A1409,库龄!B:M,11,0),0)</f>
        <v>0</v>
      </c>
      <c r="M1409">
        <f>IFERROR(VLOOKUP(A1409,库龄!B:N,12,0),0)</f>
        <v>0</v>
      </c>
      <c r="N1409">
        <f t="shared" si="44"/>
        <v>0</v>
      </c>
    </row>
    <row r="1410" spans="1:14">
      <c r="A1410" s="3" t="s">
        <v>3737</v>
      </c>
      <c r="B1410">
        <f>IFERROR(VLOOKUP(A1410,管理亚马逊库存!A:K,11,0),"")</f>
        <v>0</v>
      </c>
      <c r="C1410">
        <f>IFERROR(VLOOKUP(A1410,管理亚马逊库存!A:L,12,0),"")</f>
        <v>0</v>
      </c>
      <c r="D1410">
        <f>IFERROR(VLOOKUP(A1410,管理亚马逊库存!A:Q,17,0),"")</f>
        <v>0</v>
      </c>
      <c r="E1410">
        <f>IFERROR(VLOOKUP(A1410,管理亚马逊库存!A:R,18,0),"")</f>
        <v>0</v>
      </c>
      <c r="F1410">
        <f t="shared" si="43"/>
        <v>0</v>
      </c>
      <c r="G1410" t="str">
        <f>IFERROR(VLOOKUP(A1410,预留库存!A:G,7,0),0)</f>
        <v>No</v>
      </c>
      <c r="H1410">
        <f>IFERROR(VLOOKUP(A1410,预留库存!A:H,8,0),0)</f>
        <v>0</v>
      </c>
      <c r="I1410">
        <f>IFERROR(VLOOKUP(A1410,预留库存!A:F,6,0),0)</f>
        <v>23.98</v>
      </c>
      <c r="J1410">
        <f>IFERROR(VLOOKUP(A1410,库龄!B:K,9,0),0)</f>
        <v>0</v>
      </c>
      <c r="K1410">
        <f>IFERROR(VLOOKUP(A1410,库龄!B:L,10,0),0)</f>
        <v>0</v>
      </c>
      <c r="L1410">
        <f>IFERROR(VLOOKUP(A1410,库龄!B:M,11,0),0)</f>
        <v>0</v>
      </c>
      <c r="M1410">
        <f>IFERROR(VLOOKUP(A1410,库龄!B:N,12,0),0)</f>
        <v>0</v>
      </c>
      <c r="N1410">
        <f t="shared" si="44"/>
        <v>0</v>
      </c>
    </row>
    <row r="1411" spans="1:14">
      <c r="A1411" s="3" t="s">
        <v>3741</v>
      </c>
      <c r="B1411">
        <f>IFERROR(VLOOKUP(A1411,管理亚马逊库存!A:K,11,0),"")</f>
        <v>0</v>
      </c>
      <c r="C1411">
        <f>IFERROR(VLOOKUP(A1411,管理亚马逊库存!A:L,12,0),"")</f>
        <v>0</v>
      </c>
      <c r="D1411">
        <f>IFERROR(VLOOKUP(A1411,管理亚马逊库存!A:Q,17,0),"")</f>
        <v>0</v>
      </c>
      <c r="E1411">
        <f>IFERROR(VLOOKUP(A1411,管理亚马逊库存!A:R,18,0),"")</f>
        <v>0</v>
      </c>
      <c r="F1411">
        <f t="shared" ref="F1411:F1474" si="45">SUM(D1411:E1411)</f>
        <v>0</v>
      </c>
      <c r="G1411" t="str">
        <f>IFERROR(VLOOKUP(A1411,预留库存!A:G,7,0),0)</f>
        <v>No</v>
      </c>
      <c r="H1411">
        <f>IFERROR(VLOOKUP(A1411,预留库存!A:H,8,0),0)</f>
        <v>0</v>
      </c>
      <c r="I1411">
        <f>IFERROR(VLOOKUP(A1411,预留库存!A:F,6,0),0)</f>
        <v>23.98</v>
      </c>
      <c r="J1411">
        <f>IFERROR(VLOOKUP(A1411,库龄!B:K,9,0),0)</f>
        <v>0</v>
      </c>
      <c r="K1411">
        <f>IFERROR(VLOOKUP(A1411,库龄!B:L,10,0),0)</f>
        <v>0</v>
      </c>
      <c r="L1411">
        <f>IFERROR(VLOOKUP(A1411,库龄!B:M,11,0),0)</f>
        <v>0</v>
      </c>
      <c r="M1411">
        <f>IFERROR(VLOOKUP(A1411,库龄!B:N,12,0),0)</f>
        <v>0</v>
      </c>
      <c r="N1411">
        <f t="shared" ref="N1411:N1474" si="46">SUM(J1411:M1411)</f>
        <v>0</v>
      </c>
    </row>
    <row r="1412" spans="1:14">
      <c r="A1412" s="3" t="s">
        <v>3745</v>
      </c>
      <c r="B1412">
        <f>IFERROR(VLOOKUP(A1412,管理亚马逊库存!A:K,11,0),"")</f>
        <v>0</v>
      </c>
      <c r="C1412">
        <f>IFERROR(VLOOKUP(A1412,管理亚马逊库存!A:L,12,0),"")</f>
        <v>0</v>
      </c>
      <c r="D1412">
        <f>IFERROR(VLOOKUP(A1412,管理亚马逊库存!A:Q,17,0),"")</f>
        <v>0</v>
      </c>
      <c r="E1412">
        <f>IFERROR(VLOOKUP(A1412,管理亚马逊库存!A:R,18,0),"")</f>
        <v>0</v>
      </c>
      <c r="F1412">
        <f t="shared" si="45"/>
        <v>0</v>
      </c>
      <c r="G1412" t="str">
        <f>IFERROR(VLOOKUP(A1412,预留库存!A:G,7,0),0)</f>
        <v>No</v>
      </c>
      <c r="H1412">
        <f>IFERROR(VLOOKUP(A1412,预留库存!A:H,8,0),0)</f>
        <v>0</v>
      </c>
      <c r="I1412">
        <f>IFERROR(VLOOKUP(A1412,预留库存!A:F,6,0),0)</f>
        <v>23.98</v>
      </c>
      <c r="J1412">
        <f>IFERROR(VLOOKUP(A1412,库龄!B:K,9,0),0)</f>
        <v>0</v>
      </c>
      <c r="K1412">
        <f>IFERROR(VLOOKUP(A1412,库龄!B:L,10,0),0)</f>
        <v>0</v>
      </c>
      <c r="L1412">
        <f>IFERROR(VLOOKUP(A1412,库龄!B:M,11,0),0)</f>
        <v>0</v>
      </c>
      <c r="M1412">
        <f>IFERROR(VLOOKUP(A1412,库龄!B:N,12,0),0)</f>
        <v>0</v>
      </c>
      <c r="N1412">
        <f t="shared" si="46"/>
        <v>0</v>
      </c>
    </row>
    <row r="1413" spans="1:14">
      <c r="A1413" s="3" t="s">
        <v>3749</v>
      </c>
      <c r="B1413">
        <f>IFERROR(VLOOKUP(A1413,管理亚马逊库存!A:K,11,0),"")</f>
        <v>0</v>
      </c>
      <c r="C1413">
        <f>IFERROR(VLOOKUP(A1413,管理亚马逊库存!A:L,12,0),"")</f>
        <v>0</v>
      </c>
      <c r="D1413">
        <f>IFERROR(VLOOKUP(A1413,管理亚马逊库存!A:Q,17,0),"")</f>
        <v>0</v>
      </c>
      <c r="E1413">
        <f>IFERROR(VLOOKUP(A1413,管理亚马逊库存!A:R,18,0),"")</f>
        <v>0</v>
      </c>
      <c r="F1413">
        <f t="shared" si="45"/>
        <v>0</v>
      </c>
      <c r="G1413" t="str">
        <f>IFERROR(VLOOKUP(A1413,预留库存!A:G,7,0),0)</f>
        <v>No</v>
      </c>
      <c r="H1413">
        <f>IFERROR(VLOOKUP(A1413,预留库存!A:H,8,0),0)</f>
        <v>0</v>
      </c>
      <c r="I1413">
        <f>IFERROR(VLOOKUP(A1413,预留库存!A:F,6,0),0)</f>
        <v>23.98</v>
      </c>
      <c r="J1413">
        <f>IFERROR(VLOOKUP(A1413,库龄!B:K,9,0),0)</f>
        <v>0</v>
      </c>
      <c r="K1413">
        <f>IFERROR(VLOOKUP(A1413,库龄!B:L,10,0),0)</f>
        <v>0</v>
      </c>
      <c r="L1413">
        <f>IFERROR(VLOOKUP(A1413,库龄!B:M,11,0),0)</f>
        <v>0</v>
      </c>
      <c r="M1413">
        <f>IFERROR(VLOOKUP(A1413,库龄!B:N,12,0),0)</f>
        <v>0</v>
      </c>
      <c r="N1413">
        <f t="shared" si="46"/>
        <v>0</v>
      </c>
    </row>
    <row r="1414" spans="1:14">
      <c r="A1414" s="3" t="s">
        <v>3753</v>
      </c>
      <c r="B1414">
        <f>IFERROR(VLOOKUP(A1414,管理亚马逊库存!A:K,11,0),"")</f>
        <v>0</v>
      </c>
      <c r="C1414">
        <f>IFERROR(VLOOKUP(A1414,管理亚马逊库存!A:L,12,0),"")</f>
        <v>0</v>
      </c>
      <c r="D1414">
        <f>IFERROR(VLOOKUP(A1414,管理亚马逊库存!A:Q,17,0),"")</f>
        <v>0</v>
      </c>
      <c r="E1414">
        <f>IFERROR(VLOOKUP(A1414,管理亚马逊库存!A:R,18,0),"")</f>
        <v>0</v>
      </c>
      <c r="F1414">
        <f t="shared" si="45"/>
        <v>0</v>
      </c>
      <c r="G1414" t="str">
        <f>IFERROR(VLOOKUP(A1414,预留库存!A:G,7,0),0)</f>
        <v>No</v>
      </c>
      <c r="H1414">
        <f>IFERROR(VLOOKUP(A1414,预留库存!A:H,8,0),0)</f>
        <v>0</v>
      </c>
      <c r="I1414">
        <f>IFERROR(VLOOKUP(A1414,预留库存!A:F,6,0),0)</f>
        <v>23.98</v>
      </c>
      <c r="J1414">
        <f>IFERROR(VLOOKUP(A1414,库龄!B:K,9,0),0)</f>
        <v>0</v>
      </c>
      <c r="K1414">
        <f>IFERROR(VLOOKUP(A1414,库龄!B:L,10,0),0)</f>
        <v>0</v>
      </c>
      <c r="L1414">
        <f>IFERROR(VLOOKUP(A1414,库龄!B:M,11,0),0)</f>
        <v>0</v>
      </c>
      <c r="M1414">
        <f>IFERROR(VLOOKUP(A1414,库龄!B:N,12,0),0)</f>
        <v>0</v>
      </c>
      <c r="N1414">
        <f t="shared" si="46"/>
        <v>0</v>
      </c>
    </row>
    <row r="1415" spans="1:14">
      <c r="A1415" s="3" t="s">
        <v>3757</v>
      </c>
      <c r="B1415">
        <f>IFERROR(VLOOKUP(A1415,管理亚马逊库存!A:K,11,0),"")</f>
        <v>0</v>
      </c>
      <c r="C1415">
        <f>IFERROR(VLOOKUP(A1415,管理亚马逊库存!A:L,12,0),"")</f>
        <v>0</v>
      </c>
      <c r="D1415">
        <f>IFERROR(VLOOKUP(A1415,管理亚马逊库存!A:Q,17,0),"")</f>
        <v>0</v>
      </c>
      <c r="E1415">
        <f>IFERROR(VLOOKUP(A1415,管理亚马逊库存!A:R,18,0),"")</f>
        <v>0</v>
      </c>
      <c r="F1415">
        <f t="shared" si="45"/>
        <v>0</v>
      </c>
      <c r="G1415" t="str">
        <f>IFERROR(VLOOKUP(A1415,预留库存!A:G,7,0),0)</f>
        <v>No</v>
      </c>
      <c r="H1415">
        <f>IFERROR(VLOOKUP(A1415,预留库存!A:H,8,0),0)</f>
        <v>0</v>
      </c>
      <c r="I1415">
        <f>IFERROR(VLOOKUP(A1415,预留库存!A:F,6,0),0)</f>
        <v>23.98</v>
      </c>
      <c r="J1415">
        <f>IFERROR(VLOOKUP(A1415,库龄!B:K,9,0),0)</f>
        <v>0</v>
      </c>
      <c r="K1415">
        <f>IFERROR(VLOOKUP(A1415,库龄!B:L,10,0),0)</f>
        <v>0</v>
      </c>
      <c r="L1415">
        <f>IFERROR(VLOOKUP(A1415,库龄!B:M,11,0),0)</f>
        <v>0</v>
      </c>
      <c r="M1415">
        <f>IFERROR(VLOOKUP(A1415,库龄!B:N,12,0),0)</f>
        <v>0</v>
      </c>
      <c r="N1415">
        <f t="shared" si="46"/>
        <v>0</v>
      </c>
    </row>
    <row r="1416" spans="1:14">
      <c r="A1416" s="3" t="s">
        <v>3761</v>
      </c>
      <c r="B1416">
        <f>IFERROR(VLOOKUP(A1416,管理亚马逊库存!A:K,11,0),"")</f>
        <v>0</v>
      </c>
      <c r="C1416">
        <f>IFERROR(VLOOKUP(A1416,管理亚马逊库存!A:L,12,0),"")</f>
        <v>0</v>
      </c>
      <c r="D1416">
        <f>IFERROR(VLOOKUP(A1416,管理亚马逊库存!A:Q,17,0),"")</f>
        <v>0</v>
      </c>
      <c r="E1416">
        <f>IFERROR(VLOOKUP(A1416,管理亚马逊库存!A:R,18,0),"")</f>
        <v>0</v>
      </c>
      <c r="F1416">
        <f t="shared" si="45"/>
        <v>0</v>
      </c>
      <c r="G1416" t="str">
        <f>IFERROR(VLOOKUP(A1416,预留库存!A:G,7,0),0)</f>
        <v>No</v>
      </c>
      <c r="H1416">
        <f>IFERROR(VLOOKUP(A1416,预留库存!A:H,8,0),0)</f>
        <v>0</v>
      </c>
      <c r="I1416">
        <f>IFERROR(VLOOKUP(A1416,预留库存!A:F,6,0),0)</f>
        <v>23.98</v>
      </c>
      <c r="J1416">
        <f>IFERROR(VLOOKUP(A1416,库龄!B:K,9,0),0)</f>
        <v>0</v>
      </c>
      <c r="K1416">
        <f>IFERROR(VLOOKUP(A1416,库龄!B:L,10,0),0)</f>
        <v>0</v>
      </c>
      <c r="L1416">
        <f>IFERROR(VLOOKUP(A1416,库龄!B:M,11,0),0)</f>
        <v>0</v>
      </c>
      <c r="M1416">
        <f>IFERROR(VLOOKUP(A1416,库龄!B:N,12,0),0)</f>
        <v>0</v>
      </c>
      <c r="N1416">
        <f t="shared" si="46"/>
        <v>0</v>
      </c>
    </row>
    <row r="1417" spans="1:14">
      <c r="A1417" s="3" t="s">
        <v>3765</v>
      </c>
      <c r="B1417">
        <f>IFERROR(VLOOKUP(A1417,管理亚马逊库存!A:K,11,0),"")</f>
        <v>0</v>
      </c>
      <c r="C1417">
        <f>IFERROR(VLOOKUP(A1417,管理亚马逊库存!A:L,12,0),"")</f>
        <v>0</v>
      </c>
      <c r="D1417">
        <f>IFERROR(VLOOKUP(A1417,管理亚马逊库存!A:Q,17,0),"")</f>
        <v>0</v>
      </c>
      <c r="E1417">
        <f>IFERROR(VLOOKUP(A1417,管理亚马逊库存!A:R,18,0),"")</f>
        <v>0</v>
      </c>
      <c r="F1417">
        <f t="shared" si="45"/>
        <v>0</v>
      </c>
      <c r="G1417" t="str">
        <f>IFERROR(VLOOKUP(A1417,预留库存!A:G,7,0),0)</f>
        <v>No</v>
      </c>
      <c r="H1417">
        <f>IFERROR(VLOOKUP(A1417,预留库存!A:H,8,0),0)</f>
        <v>0</v>
      </c>
      <c r="I1417">
        <f>IFERROR(VLOOKUP(A1417,预留库存!A:F,6,0),0)</f>
        <v>23.98</v>
      </c>
      <c r="J1417">
        <f>IFERROR(VLOOKUP(A1417,库龄!B:K,9,0),0)</f>
        <v>0</v>
      </c>
      <c r="K1417">
        <f>IFERROR(VLOOKUP(A1417,库龄!B:L,10,0),0)</f>
        <v>0</v>
      </c>
      <c r="L1417">
        <f>IFERROR(VLOOKUP(A1417,库龄!B:M,11,0),0)</f>
        <v>0</v>
      </c>
      <c r="M1417">
        <f>IFERROR(VLOOKUP(A1417,库龄!B:N,12,0),0)</f>
        <v>0</v>
      </c>
      <c r="N1417">
        <f t="shared" si="46"/>
        <v>0</v>
      </c>
    </row>
    <row r="1418" spans="1:14">
      <c r="A1418" s="3" t="s">
        <v>3769</v>
      </c>
      <c r="B1418">
        <f>IFERROR(VLOOKUP(A1418,管理亚马逊库存!A:K,11,0),"")</f>
        <v>0</v>
      </c>
      <c r="C1418">
        <f>IFERROR(VLOOKUP(A1418,管理亚马逊库存!A:L,12,0),"")</f>
        <v>0</v>
      </c>
      <c r="D1418">
        <f>IFERROR(VLOOKUP(A1418,管理亚马逊库存!A:Q,17,0),"")</f>
        <v>0</v>
      </c>
      <c r="E1418">
        <f>IFERROR(VLOOKUP(A1418,管理亚马逊库存!A:R,18,0),"")</f>
        <v>0</v>
      </c>
      <c r="F1418">
        <f t="shared" si="45"/>
        <v>0</v>
      </c>
      <c r="G1418" t="str">
        <f>IFERROR(VLOOKUP(A1418,预留库存!A:G,7,0),0)</f>
        <v>No</v>
      </c>
      <c r="H1418">
        <f>IFERROR(VLOOKUP(A1418,预留库存!A:H,8,0),0)</f>
        <v>0</v>
      </c>
      <c r="I1418">
        <f>IFERROR(VLOOKUP(A1418,预留库存!A:F,6,0),0)</f>
        <v>23.98</v>
      </c>
      <c r="J1418">
        <f>IFERROR(VLOOKUP(A1418,库龄!B:K,9,0),0)</f>
        <v>0</v>
      </c>
      <c r="K1418">
        <f>IFERROR(VLOOKUP(A1418,库龄!B:L,10,0),0)</f>
        <v>0</v>
      </c>
      <c r="L1418">
        <f>IFERROR(VLOOKUP(A1418,库龄!B:M,11,0),0)</f>
        <v>0</v>
      </c>
      <c r="M1418">
        <f>IFERROR(VLOOKUP(A1418,库龄!B:N,12,0),0)</f>
        <v>0</v>
      </c>
      <c r="N1418">
        <f t="shared" si="46"/>
        <v>0</v>
      </c>
    </row>
    <row r="1419" spans="1:14">
      <c r="A1419" s="3" t="s">
        <v>3773</v>
      </c>
      <c r="B1419">
        <f>IFERROR(VLOOKUP(A1419,管理亚马逊库存!A:K,11,0),"")</f>
        <v>0</v>
      </c>
      <c r="C1419">
        <f>IFERROR(VLOOKUP(A1419,管理亚马逊库存!A:L,12,0),"")</f>
        <v>0</v>
      </c>
      <c r="D1419">
        <f>IFERROR(VLOOKUP(A1419,管理亚马逊库存!A:Q,17,0),"")</f>
        <v>0</v>
      </c>
      <c r="E1419">
        <f>IFERROR(VLOOKUP(A1419,管理亚马逊库存!A:R,18,0),"")</f>
        <v>0</v>
      </c>
      <c r="F1419">
        <f t="shared" si="45"/>
        <v>0</v>
      </c>
      <c r="G1419" t="str">
        <f>IFERROR(VLOOKUP(A1419,预留库存!A:G,7,0),0)</f>
        <v>No</v>
      </c>
      <c r="H1419">
        <f>IFERROR(VLOOKUP(A1419,预留库存!A:H,8,0),0)</f>
        <v>0</v>
      </c>
      <c r="I1419">
        <f>IFERROR(VLOOKUP(A1419,预留库存!A:F,6,0),0)</f>
        <v>23.98</v>
      </c>
      <c r="J1419">
        <f>IFERROR(VLOOKUP(A1419,库龄!B:K,9,0),0)</f>
        <v>0</v>
      </c>
      <c r="K1419">
        <f>IFERROR(VLOOKUP(A1419,库龄!B:L,10,0),0)</f>
        <v>0</v>
      </c>
      <c r="L1419">
        <f>IFERROR(VLOOKUP(A1419,库龄!B:M,11,0),0)</f>
        <v>0</v>
      </c>
      <c r="M1419">
        <f>IFERROR(VLOOKUP(A1419,库龄!B:N,12,0),0)</f>
        <v>0</v>
      </c>
      <c r="N1419">
        <f t="shared" si="46"/>
        <v>0</v>
      </c>
    </row>
    <row r="1420" spans="1:14">
      <c r="A1420" s="3" t="s">
        <v>3777</v>
      </c>
      <c r="B1420">
        <f>IFERROR(VLOOKUP(A1420,管理亚马逊库存!A:K,11,0),"")</f>
        <v>0</v>
      </c>
      <c r="C1420">
        <f>IFERROR(VLOOKUP(A1420,管理亚马逊库存!A:L,12,0),"")</f>
        <v>0</v>
      </c>
      <c r="D1420">
        <f>IFERROR(VLOOKUP(A1420,管理亚马逊库存!A:Q,17,0),"")</f>
        <v>0</v>
      </c>
      <c r="E1420">
        <f>IFERROR(VLOOKUP(A1420,管理亚马逊库存!A:R,18,0),"")</f>
        <v>0</v>
      </c>
      <c r="F1420">
        <f t="shared" si="45"/>
        <v>0</v>
      </c>
      <c r="G1420" t="str">
        <f>IFERROR(VLOOKUP(A1420,预留库存!A:G,7,0),0)</f>
        <v>No</v>
      </c>
      <c r="H1420">
        <f>IFERROR(VLOOKUP(A1420,预留库存!A:H,8,0),0)</f>
        <v>0</v>
      </c>
      <c r="I1420">
        <f>IFERROR(VLOOKUP(A1420,预留库存!A:F,6,0),0)</f>
        <v>23.98</v>
      </c>
      <c r="J1420">
        <f>IFERROR(VLOOKUP(A1420,库龄!B:K,9,0),0)</f>
        <v>0</v>
      </c>
      <c r="K1420">
        <f>IFERROR(VLOOKUP(A1420,库龄!B:L,10,0),0)</f>
        <v>0</v>
      </c>
      <c r="L1420">
        <f>IFERROR(VLOOKUP(A1420,库龄!B:M,11,0),0)</f>
        <v>0</v>
      </c>
      <c r="M1420">
        <f>IFERROR(VLOOKUP(A1420,库龄!B:N,12,0),0)</f>
        <v>0</v>
      </c>
      <c r="N1420">
        <f t="shared" si="46"/>
        <v>0</v>
      </c>
    </row>
    <row r="1421" spans="1:14">
      <c r="A1421" s="3" t="s">
        <v>3781</v>
      </c>
      <c r="B1421">
        <f>IFERROR(VLOOKUP(A1421,管理亚马逊库存!A:K,11,0),"")</f>
        <v>0</v>
      </c>
      <c r="C1421">
        <f>IFERROR(VLOOKUP(A1421,管理亚马逊库存!A:L,12,0),"")</f>
        <v>0</v>
      </c>
      <c r="D1421">
        <f>IFERROR(VLOOKUP(A1421,管理亚马逊库存!A:Q,17,0),"")</f>
        <v>0</v>
      </c>
      <c r="E1421">
        <f>IFERROR(VLOOKUP(A1421,管理亚马逊库存!A:R,18,0),"")</f>
        <v>0</v>
      </c>
      <c r="F1421">
        <f t="shared" si="45"/>
        <v>0</v>
      </c>
      <c r="G1421" t="str">
        <f>IFERROR(VLOOKUP(A1421,预留库存!A:G,7,0),0)</f>
        <v>No</v>
      </c>
      <c r="H1421">
        <f>IFERROR(VLOOKUP(A1421,预留库存!A:H,8,0),0)</f>
        <v>0</v>
      </c>
      <c r="I1421">
        <f>IFERROR(VLOOKUP(A1421,预留库存!A:F,6,0),0)</f>
        <v>23.98</v>
      </c>
      <c r="J1421">
        <f>IFERROR(VLOOKUP(A1421,库龄!B:K,9,0),0)</f>
        <v>0</v>
      </c>
      <c r="K1421">
        <f>IFERROR(VLOOKUP(A1421,库龄!B:L,10,0),0)</f>
        <v>0</v>
      </c>
      <c r="L1421">
        <f>IFERROR(VLOOKUP(A1421,库龄!B:M,11,0),0)</f>
        <v>0</v>
      </c>
      <c r="M1421">
        <f>IFERROR(VLOOKUP(A1421,库龄!B:N,12,0),0)</f>
        <v>0</v>
      </c>
      <c r="N1421">
        <f t="shared" si="46"/>
        <v>0</v>
      </c>
    </row>
    <row r="1422" spans="1:14">
      <c r="A1422" s="3" t="s">
        <v>3785</v>
      </c>
      <c r="B1422">
        <f>IFERROR(VLOOKUP(A1422,管理亚马逊库存!A:K,11,0),"")</f>
        <v>0</v>
      </c>
      <c r="C1422">
        <f>IFERROR(VLOOKUP(A1422,管理亚马逊库存!A:L,12,0),"")</f>
        <v>0</v>
      </c>
      <c r="D1422">
        <f>IFERROR(VLOOKUP(A1422,管理亚马逊库存!A:Q,17,0),"")</f>
        <v>0</v>
      </c>
      <c r="E1422">
        <f>IFERROR(VLOOKUP(A1422,管理亚马逊库存!A:R,18,0),"")</f>
        <v>0</v>
      </c>
      <c r="F1422">
        <f t="shared" si="45"/>
        <v>0</v>
      </c>
      <c r="G1422" t="str">
        <f>IFERROR(VLOOKUP(A1422,预留库存!A:G,7,0),0)</f>
        <v>No</v>
      </c>
      <c r="H1422">
        <f>IFERROR(VLOOKUP(A1422,预留库存!A:H,8,0),0)</f>
        <v>0</v>
      </c>
      <c r="I1422">
        <f>IFERROR(VLOOKUP(A1422,预留库存!A:F,6,0),0)</f>
        <v>23.98</v>
      </c>
      <c r="J1422">
        <f>IFERROR(VLOOKUP(A1422,库龄!B:K,9,0),0)</f>
        <v>0</v>
      </c>
      <c r="K1422">
        <f>IFERROR(VLOOKUP(A1422,库龄!B:L,10,0),0)</f>
        <v>0</v>
      </c>
      <c r="L1422">
        <f>IFERROR(VLOOKUP(A1422,库龄!B:M,11,0),0)</f>
        <v>0</v>
      </c>
      <c r="M1422">
        <f>IFERROR(VLOOKUP(A1422,库龄!B:N,12,0),0)</f>
        <v>0</v>
      </c>
      <c r="N1422">
        <f t="shared" si="46"/>
        <v>0</v>
      </c>
    </row>
    <row r="1423" spans="1:14">
      <c r="A1423" s="3" t="s">
        <v>3789</v>
      </c>
      <c r="B1423">
        <f>IFERROR(VLOOKUP(A1423,管理亚马逊库存!A:K,11,0),"")</f>
        <v>0</v>
      </c>
      <c r="C1423">
        <f>IFERROR(VLOOKUP(A1423,管理亚马逊库存!A:L,12,0),"")</f>
        <v>0</v>
      </c>
      <c r="D1423">
        <f>IFERROR(VLOOKUP(A1423,管理亚马逊库存!A:Q,17,0),"")</f>
        <v>0</v>
      </c>
      <c r="E1423">
        <f>IFERROR(VLOOKUP(A1423,管理亚马逊库存!A:R,18,0),"")</f>
        <v>0</v>
      </c>
      <c r="F1423">
        <f t="shared" si="45"/>
        <v>0</v>
      </c>
      <c r="G1423" t="str">
        <f>IFERROR(VLOOKUP(A1423,预留库存!A:G,7,0),0)</f>
        <v>No</v>
      </c>
      <c r="H1423">
        <f>IFERROR(VLOOKUP(A1423,预留库存!A:H,8,0),0)</f>
        <v>0</v>
      </c>
      <c r="I1423">
        <f>IFERROR(VLOOKUP(A1423,预留库存!A:F,6,0),0)</f>
        <v>23.98</v>
      </c>
      <c r="J1423">
        <f>IFERROR(VLOOKUP(A1423,库龄!B:K,9,0),0)</f>
        <v>0</v>
      </c>
      <c r="K1423">
        <f>IFERROR(VLOOKUP(A1423,库龄!B:L,10,0),0)</f>
        <v>0</v>
      </c>
      <c r="L1423">
        <f>IFERROR(VLOOKUP(A1423,库龄!B:M,11,0),0)</f>
        <v>0</v>
      </c>
      <c r="M1423">
        <f>IFERROR(VLOOKUP(A1423,库龄!B:N,12,0),0)</f>
        <v>0</v>
      </c>
      <c r="N1423">
        <f t="shared" si="46"/>
        <v>0</v>
      </c>
    </row>
    <row r="1424" spans="1:14">
      <c r="A1424" s="3" t="s">
        <v>3793</v>
      </c>
      <c r="B1424">
        <f>IFERROR(VLOOKUP(A1424,管理亚马逊库存!A:K,11,0),"")</f>
        <v>0</v>
      </c>
      <c r="C1424">
        <f>IFERROR(VLOOKUP(A1424,管理亚马逊库存!A:L,12,0),"")</f>
        <v>0</v>
      </c>
      <c r="D1424">
        <f>IFERROR(VLOOKUP(A1424,管理亚马逊库存!A:Q,17,0),"")</f>
        <v>0</v>
      </c>
      <c r="E1424">
        <f>IFERROR(VLOOKUP(A1424,管理亚马逊库存!A:R,18,0),"")</f>
        <v>0</v>
      </c>
      <c r="F1424">
        <f t="shared" si="45"/>
        <v>0</v>
      </c>
      <c r="G1424" t="str">
        <f>IFERROR(VLOOKUP(A1424,预留库存!A:G,7,0),0)</f>
        <v>No</v>
      </c>
      <c r="H1424">
        <f>IFERROR(VLOOKUP(A1424,预留库存!A:H,8,0),0)</f>
        <v>0</v>
      </c>
      <c r="I1424">
        <f>IFERROR(VLOOKUP(A1424,预留库存!A:F,6,0),0)</f>
        <v>23.98</v>
      </c>
      <c r="J1424">
        <f>IFERROR(VLOOKUP(A1424,库龄!B:K,9,0),0)</f>
        <v>0</v>
      </c>
      <c r="K1424">
        <f>IFERROR(VLOOKUP(A1424,库龄!B:L,10,0),0)</f>
        <v>0</v>
      </c>
      <c r="L1424">
        <f>IFERROR(VLOOKUP(A1424,库龄!B:M,11,0),0)</f>
        <v>0</v>
      </c>
      <c r="M1424">
        <f>IFERROR(VLOOKUP(A1424,库龄!B:N,12,0),0)</f>
        <v>0</v>
      </c>
      <c r="N1424">
        <f t="shared" si="46"/>
        <v>0</v>
      </c>
    </row>
    <row r="1425" spans="1:14">
      <c r="A1425" s="3" t="s">
        <v>3797</v>
      </c>
      <c r="B1425">
        <f>IFERROR(VLOOKUP(A1425,管理亚马逊库存!A:K,11,0),"")</f>
        <v>0</v>
      </c>
      <c r="C1425">
        <f>IFERROR(VLOOKUP(A1425,管理亚马逊库存!A:L,12,0),"")</f>
        <v>0</v>
      </c>
      <c r="D1425">
        <f>IFERROR(VLOOKUP(A1425,管理亚马逊库存!A:Q,17,0),"")</f>
        <v>0</v>
      </c>
      <c r="E1425">
        <f>IFERROR(VLOOKUP(A1425,管理亚马逊库存!A:R,18,0),"")</f>
        <v>0</v>
      </c>
      <c r="F1425">
        <f t="shared" si="45"/>
        <v>0</v>
      </c>
      <c r="G1425" t="str">
        <f>IFERROR(VLOOKUP(A1425,预留库存!A:G,7,0),0)</f>
        <v>No</v>
      </c>
      <c r="H1425">
        <f>IFERROR(VLOOKUP(A1425,预留库存!A:H,8,0),0)</f>
        <v>0</v>
      </c>
      <c r="I1425">
        <f>IFERROR(VLOOKUP(A1425,预留库存!A:F,6,0),0)</f>
        <v>23.98</v>
      </c>
      <c r="J1425">
        <f>IFERROR(VLOOKUP(A1425,库龄!B:K,9,0),0)</f>
        <v>0</v>
      </c>
      <c r="K1425">
        <f>IFERROR(VLOOKUP(A1425,库龄!B:L,10,0),0)</f>
        <v>0</v>
      </c>
      <c r="L1425">
        <f>IFERROR(VLOOKUP(A1425,库龄!B:M,11,0),0)</f>
        <v>0</v>
      </c>
      <c r="M1425">
        <f>IFERROR(VLOOKUP(A1425,库龄!B:N,12,0),0)</f>
        <v>0</v>
      </c>
      <c r="N1425">
        <f t="shared" si="46"/>
        <v>0</v>
      </c>
    </row>
    <row r="1426" spans="1:14">
      <c r="A1426" s="3" t="s">
        <v>3801</v>
      </c>
      <c r="B1426">
        <f>IFERROR(VLOOKUP(A1426,管理亚马逊库存!A:K,11,0),"")</f>
        <v>0</v>
      </c>
      <c r="C1426">
        <f>IFERROR(VLOOKUP(A1426,管理亚马逊库存!A:L,12,0),"")</f>
        <v>0</v>
      </c>
      <c r="D1426">
        <f>IFERROR(VLOOKUP(A1426,管理亚马逊库存!A:Q,17,0),"")</f>
        <v>0</v>
      </c>
      <c r="E1426">
        <f>IFERROR(VLOOKUP(A1426,管理亚马逊库存!A:R,18,0),"")</f>
        <v>0</v>
      </c>
      <c r="F1426">
        <f t="shared" si="45"/>
        <v>0</v>
      </c>
      <c r="G1426" t="str">
        <f>IFERROR(VLOOKUP(A1426,预留库存!A:G,7,0),0)</f>
        <v>No</v>
      </c>
      <c r="H1426">
        <f>IFERROR(VLOOKUP(A1426,预留库存!A:H,8,0),0)</f>
        <v>0</v>
      </c>
      <c r="I1426">
        <f>IFERROR(VLOOKUP(A1426,预留库存!A:F,6,0),0)</f>
        <v>23.98</v>
      </c>
      <c r="J1426">
        <f>IFERROR(VLOOKUP(A1426,库龄!B:K,9,0),0)</f>
        <v>0</v>
      </c>
      <c r="K1426">
        <f>IFERROR(VLOOKUP(A1426,库龄!B:L,10,0),0)</f>
        <v>0</v>
      </c>
      <c r="L1426">
        <f>IFERROR(VLOOKUP(A1426,库龄!B:M,11,0),0)</f>
        <v>0</v>
      </c>
      <c r="M1426">
        <f>IFERROR(VLOOKUP(A1426,库龄!B:N,12,0),0)</f>
        <v>0</v>
      </c>
      <c r="N1426">
        <f t="shared" si="46"/>
        <v>0</v>
      </c>
    </row>
    <row r="1427" spans="1:14">
      <c r="A1427" s="3" t="s">
        <v>3805</v>
      </c>
      <c r="B1427">
        <f>IFERROR(VLOOKUP(A1427,管理亚马逊库存!A:K,11,0),"")</f>
        <v>0</v>
      </c>
      <c r="C1427">
        <f>IFERROR(VLOOKUP(A1427,管理亚马逊库存!A:L,12,0),"")</f>
        <v>0</v>
      </c>
      <c r="D1427">
        <f>IFERROR(VLOOKUP(A1427,管理亚马逊库存!A:Q,17,0),"")</f>
        <v>0</v>
      </c>
      <c r="E1427">
        <f>IFERROR(VLOOKUP(A1427,管理亚马逊库存!A:R,18,0),"")</f>
        <v>0</v>
      </c>
      <c r="F1427">
        <f t="shared" si="45"/>
        <v>0</v>
      </c>
      <c r="G1427" t="str">
        <f>IFERROR(VLOOKUP(A1427,预留库存!A:G,7,0),0)</f>
        <v>No</v>
      </c>
      <c r="H1427">
        <f>IFERROR(VLOOKUP(A1427,预留库存!A:H,8,0),0)</f>
        <v>0</v>
      </c>
      <c r="I1427">
        <f>IFERROR(VLOOKUP(A1427,预留库存!A:F,6,0),0)</f>
        <v>23.98</v>
      </c>
      <c r="J1427">
        <f>IFERROR(VLOOKUP(A1427,库龄!B:K,9,0),0)</f>
        <v>0</v>
      </c>
      <c r="K1427">
        <f>IFERROR(VLOOKUP(A1427,库龄!B:L,10,0),0)</f>
        <v>0</v>
      </c>
      <c r="L1427">
        <f>IFERROR(VLOOKUP(A1427,库龄!B:M,11,0),0)</f>
        <v>0</v>
      </c>
      <c r="M1427">
        <f>IFERROR(VLOOKUP(A1427,库龄!B:N,12,0),0)</f>
        <v>0</v>
      </c>
      <c r="N1427">
        <f t="shared" si="46"/>
        <v>0</v>
      </c>
    </row>
    <row r="1428" spans="1:14">
      <c r="A1428" s="3" t="s">
        <v>3809</v>
      </c>
      <c r="B1428">
        <f>IFERROR(VLOOKUP(A1428,管理亚马逊库存!A:K,11,0),"")</f>
        <v>0</v>
      </c>
      <c r="C1428">
        <f>IFERROR(VLOOKUP(A1428,管理亚马逊库存!A:L,12,0),"")</f>
        <v>0</v>
      </c>
      <c r="D1428">
        <f>IFERROR(VLOOKUP(A1428,管理亚马逊库存!A:Q,17,0),"")</f>
        <v>0</v>
      </c>
      <c r="E1428">
        <f>IFERROR(VLOOKUP(A1428,管理亚马逊库存!A:R,18,0),"")</f>
        <v>0</v>
      </c>
      <c r="F1428">
        <f t="shared" si="45"/>
        <v>0</v>
      </c>
      <c r="G1428" t="str">
        <f>IFERROR(VLOOKUP(A1428,预留库存!A:G,7,0),0)</f>
        <v>No</v>
      </c>
      <c r="H1428">
        <f>IFERROR(VLOOKUP(A1428,预留库存!A:H,8,0),0)</f>
        <v>0</v>
      </c>
      <c r="I1428">
        <f>IFERROR(VLOOKUP(A1428,预留库存!A:F,6,0),0)</f>
        <v>23.98</v>
      </c>
      <c r="J1428">
        <f>IFERROR(VLOOKUP(A1428,库龄!B:K,9,0),0)</f>
        <v>0</v>
      </c>
      <c r="K1428">
        <f>IFERROR(VLOOKUP(A1428,库龄!B:L,10,0),0)</f>
        <v>0</v>
      </c>
      <c r="L1428">
        <f>IFERROR(VLOOKUP(A1428,库龄!B:M,11,0),0)</f>
        <v>0</v>
      </c>
      <c r="M1428">
        <f>IFERROR(VLOOKUP(A1428,库龄!B:N,12,0),0)</f>
        <v>0</v>
      </c>
      <c r="N1428">
        <f t="shared" si="46"/>
        <v>0</v>
      </c>
    </row>
    <row r="1429" spans="1:14">
      <c r="A1429" s="3" t="s">
        <v>3813</v>
      </c>
      <c r="B1429">
        <f>IFERROR(VLOOKUP(A1429,管理亚马逊库存!A:K,11,0),"")</f>
        <v>0</v>
      </c>
      <c r="C1429">
        <f>IFERROR(VLOOKUP(A1429,管理亚马逊库存!A:L,12,0),"")</f>
        <v>0</v>
      </c>
      <c r="D1429">
        <f>IFERROR(VLOOKUP(A1429,管理亚马逊库存!A:Q,17,0),"")</f>
        <v>0</v>
      </c>
      <c r="E1429">
        <f>IFERROR(VLOOKUP(A1429,管理亚马逊库存!A:R,18,0),"")</f>
        <v>0</v>
      </c>
      <c r="F1429">
        <f t="shared" si="45"/>
        <v>0</v>
      </c>
      <c r="G1429" t="str">
        <f>IFERROR(VLOOKUP(A1429,预留库存!A:G,7,0),0)</f>
        <v>No</v>
      </c>
      <c r="H1429">
        <f>IFERROR(VLOOKUP(A1429,预留库存!A:H,8,0),0)</f>
        <v>0</v>
      </c>
      <c r="I1429">
        <f>IFERROR(VLOOKUP(A1429,预留库存!A:F,6,0),0)</f>
        <v>23.98</v>
      </c>
      <c r="J1429">
        <f>IFERROR(VLOOKUP(A1429,库龄!B:K,9,0),0)</f>
        <v>0</v>
      </c>
      <c r="K1429">
        <f>IFERROR(VLOOKUP(A1429,库龄!B:L,10,0),0)</f>
        <v>0</v>
      </c>
      <c r="L1429">
        <f>IFERROR(VLOOKUP(A1429,库龄!B:M,11,0),0)</f>
        <v>0</v>
      </c>
      <c r="M1429">
        <f>IFERROR(VLOOKUP(A1429,库龄!B:N,12,0),0)</f>
        <v>0</v>
      </c>
      <c r="N1429">
        <f t="shared" si="46"/>
        <v>0</v>
      </c>
    </row>
    <row r="1430" spans="1:14">
      <c r="A1430" s="3" t="s">
        <v>3817</v>
      </c>
      <c r="B1430">
        <f>IFERROR(VLOOKUP(A1430,管理亚马逊库存!A:K,11,0),"")</f>
        <v>0</v>
      </c>
      <c r="C1430">
        <f>IFERROR(VLOOKUP(A1430,管理亚马逊库存!A:L,12,0),"")</f>
        <v>0</v>
      </c>
      <c r="D1430">
        <f>IFERROR(VLOOKUP(A1430,管理亚马逊库存!A:Q,17,0),"")</f>
        <v>0</v>
      </c>
      <c r="E1430">
        <f>IFERROR(VLOOKUP(A1430,管理亚马逊库存!A:R,18,0),"")</f>
        <v>0</v>
      </c>
      <c r="F1430">
        <f t="shared" si="45"/>
        <v>0</v>
      </c>
      <c r="G1430" t="str">
        <f>IFERROR(VLOOKUP(A1430,预留库存!A:G,7,0),0)</f>
        <v>No</v>
      </c>
      <c r="H1430">
        <f>IFERROR(VLOOKUP(A1430,预留库存!A:H,8,0),0)</f>
        <v>0</v>
      </c>
      <c r="I1430">
        <f>IFERROR(VLOOKUP(A1430,预留库存!A:F,6,0),0)</f>
        <v>23.98</v>
      </c>
      <c r="J1430">
        <f>IFERROR(VLOOKUP(A1430,库龄!B:K,9,0),0)</f>
        <v>0</v>
      </c>
      <c r="K1430">
        <f>IFERROR(VLOOKUP(A1430,库龄!B:L,10,0),0)</f>
        <v>0</v>
      </c>
      <c r="L1430">
        <f>IFERROR(VLOOKUP(A1430,库龄!B:M,11,0),0)</f>
        <v>0</v>
      </c>
      <c r="M1430">
        <f>IFERROR(VLOOKUP(A1430,库龄!B:N,12,0),0)</f>
        <v>0</v>
      </c>
      <c r="N1430">
        <f t="shared" si="46"/>
        <v>0</v>
      </c>
    </row>
    <row r="1431" spans="1:14">
      <c r="A1431" s="3" t="s">
        <v>3821</v>
      </c>
      <c r="B1431">
        <f>IFERROR(VLOOKUP(A1431,管理亚马逊库存!A:K,11,0),"")</f>
        <v>0</v>
      </c>
      <c r="C1431">
        <f>IFERROR(VLOOKUP(A1431,管理亚马逊库存!A:L,12,0),"")</f>
        <v>0</v>
      </c>
      <c r="D1431">
        <f>IFERROR(VLOOKUP(A1431,管理亚马逊库存!A:Q,17,0),"")</f>
        <v>0</v>
      </c>
      <c r="E1431">
        <f>IFERROR(VLOOKUP(A1431,管理亚马逊库存!A:R,18,0),"")</f>
        <v>0</v>
      </c>
      <c r="F1431">
        <f t="shared" si="45"/>
        <v>0</v>
      </c>
      <c r="G1431" t="str">
        <f>IFERROR(VLOOKUP(A1431,预留库存!A:G,7,0),0)</f>
        <v>No</v>
      </c>
      <c r="H1431">
        <f>IFERROR(VLOOKUP(A1431,预留库存!A:H,8,0),0)</f>
        <v>0</v>
      </c>
      <c r="I1431">
        <f>IFERROR(VLOOKUP(A1431,预留库存!A:F,6,0),0)</f>
        <v>23.98</v>
      </c>
      <c r="J1431">
        <f>IFERROR(VLOOKUP(A1431,库龄!B:K,9,0),0)</f>
        <v>0</v>
      </c>
      <c r="K1431">
        <f>IFERROR(VLOOKUP(A1431,库龄!B:L,10,0),0)</f>
        <v>0</v>
      </c>
      <c r="L1431">
        <f>IFERROR(VLOOKUP(A1431,库龄!B:M,11,0),0)</f>
        <v>0</v>
      </c>
      <c r="M1431">
        <f>IFERROR(VLOOKUP(A1431,库龄!B:N,12,0),0)</f>
        <v>0</v>
      </c>
      <c r="N1431">
        <f t="shared" si="46"/>
        <v>0</v>
      </c>
    </row>
    <row r="1432" spans="1:14">
      <c r="A1432" s="3" t="s">
        <v>3825</v>
      </c>
      <c r="B1432">
        <f>IFERROR(VLOOKUP(A1432,管理亚马逊库存!A:K,11,0),"")</f>
        <v>0</v>
      </c>
      <c r="C1432">
        <f>IFERROR(VLOOKUP(A1432,管理亚马逊库存!A:L,12,0),"")</f>
        <v>0</v>
      </c>
      <c r="D1432">
        <f>IFERROR(VLOOKUP(A1432,管理亚马逊库存!A:Q,17,0),"")</f>
        <v>0</v>
      </c>
      <c r="E1432">
        <f>IFERROR(VLOOKUP(A1432,管理亚马逊库存!A:R,18,0),"")</f>
        <v>0</v>
      </c>
      <c r="F1432">
        <f t="shared" si="45"/>
        <v>0</v>
      </c>
      <c r="G1432" t="str">
        <f>IFERROR(VLOOKUP(A1432,预留库存!A:G,7,0),0)</f>
        <v>No</v>
      </c>
      <c r="H1432">
        <f>IFERROR(VLOOKUP(A1432,预留库存!A:H,8,0),0)</f>
        <v>0</v>
      </c>
      <c r="I1432">
        <f>IFERROR(VLOOKUP(A1432,预留库存!A:F,6,0),0)</f>
        <v>23.98</v>
      </c>
      <c r="J1432">
        <f>IFERROR(VLOOKUP(A1432,库龄!B:K,9,0),0)</f>
        <v>0</v>
      </c>
      <c r="K1432">
        <f>IFERROR(VLOOKUP(A1432,库龄!B:L,10,0),0)</f>
        <v>0</v>
      </c>
      <c r="L1432">
        <f>IFERROR(VLOOKUP(A1432,库龄!B:M,11,0),0)</f>
        <v>0</v>
      </c>
      <c r="M1432">
        <f>IFERROR(VLOOKUP(A1432,库龄!B:N,12,0),0)</f>
        <v>0</v>
      </c>
      <c r="N1432">
        <f t="shared" si="46"/>
        <v>0</v>
      </c>
    </row>
    <row r="1433" spans="1:14">
      <c r="A1433" s="3" t="s">
        <v>3829</v>
      </c>
      <c r="B1433">
        <f>IFERROR(VLOOKUP(A1433,管理亚马逊库存!A:K,11,0),"")</f>
        <v>0</v>
      </c>
      <c r="C1433">
        <f>IFERROR(VLOOKUP(A1433,管理亚马逊库存!A:L,12,0),"")</f>
        <v>0</v>
      </c>
      <c r="D1433">
        <f>IFERROR(VLOOKUP(A1433,管理亚马逊库存!A:Q,17,0),"")</f>
        <v>0</v>
      </c>
      <c r="E1433">
        <f>IFERROR(VLOOKUP(A1433,管理亚马逊库存!A:R,18,0),"")</f>
        <v>0</v>
      </c>
      <c r="F1433">
        <f t="shared" si="45"/>
        <v>0</v>
      </c>
      <c r="G1433" t="str">
        <f>IFERROR(VLOOKUP(A1433,预留库存!A:G,7,0),0)</f>
        <v>No</v>
      </c>
      <c r="H1433">
        <f>IFERROR(VLOOKUP(A1433,预留库存!A:H,8,0),0)</f>
        <v>0</v>
      </c>
      <c r="I1433">
        <f>IFERROR(VLOOKUP(A1433,预留库存!A:F,6,0),0)</f>
        <v>23.98</v>
      </c>
      <c r="J1433">
        <f>IFERROR(VLOOKUP(A1433,库龄!B:K,9,0),0)</f>
        <v>0</v>
      </c>
      <c r="K1433">
        <f>IFERROR(VLOOKUP(A1433,库龄!B:L,10,0),0)</f>
        <v>0</v>
      </c>
      <c r="L1433">
        <f>IFERROR(VLOOKUP(A1433,库龄!B:M,11,0),0)</f>
        <v>0</v>
      </c>
      <c r="M1433">
        <f>IFERROR(VLOOKUP(A1433,库龄!B:N,12,0),0)</f>
        <v>0</v>
      </c>
      <c r="N1433">
        <f t="shared" si="46"/>
        <v>0</v>
      </c>
    </row>
    <row r="1434" spans="1:14">
      <c r="A1434" s="3" t="s">
        <v>3833</v>
      </c>
      <c r="B1434">
        <f>IFERROR(VLOOKUP(A1434,管理亚马逊库存!A:K,11,0),"")</f>
        <v>0</v>
      </c>
      <c r="C1434">
        <f>IFERROR(VLOOKUP(A1434,管理亚马逊库存!A:L,12,0),"")</f>
        <v>0</v>
      </c>
      <c r="D1434">
        <f>IFERROR(VLOOKUP(A1434,管理亚马逊库存!A:Q,17,0),"")</f>
        <v>0</v>
      </c>
      <c r="E1434">
        <f>IFERROR(VLOOKUP(A1434,管理亚马逊库存!A:R,18,0),"")</f>
        <v>0</v>
      </c>
      <c r="F1434">
        <f t="shared" si="45"/>
        <v>0</v>
      </c>
      <c r="G1434" t="str">
        <f>IFERROR(VLOOKUP(A1434,预留库存!A:G,7,0),0)</f>
        <v>No</v>
      </c>
      <c r="H1434">
        <f>IFERROR(VLOOKUP(A1434,预留库存!A:H,8,0),0)</f>
        <v>0</v>
      </c>
      <c r="I1434">
        <f>IFERROR(VLOOKUP(A1434,预留库存!A:F,6,0),0)</f>
        <v>23.98</v>
      </c>
      <c r="J1434">
        <f>IFERROR(VLOOKUP(A1434,库龄!B:K,9,0),0)</f>
        <v>0</v>
      </c>
      <c r="K1434">
        <f>IFERROR(VLOOKUP(A1434,库龄!B:L,10,0),0)</f>
        <v>0</v>
      </c>
      <c r="L1434">
        <f>IFERROR(VLOOKUP(A1434,库龄!B:M,11,0),0)</f>
        <v>0</v>
      </c>
      <c r="M1434">
        <f>IFERROR(VLOOKUP(A1434,库龄!B:N,12,0),0)</f>
        <v>0</v>
      </c>
      <c r="N1434">
        <f t="shared" si="46"/>
        <v>0</v>
      </c>
    </row>
    <row r="1435" spans="1:14">
      <c r="A1435" s="3" t="s">
        <v>3837</v>
      </c>
      <c r="B1435">
        <f>IFERROR(VLOOKUP(A1435,管理亚马逊库存!A:K,11,0),"")</f>
        <v>0</v>
      </c>
      <c r="C1435">
        <f>IFERROR(VLOOKUP(A1435,管理亚马逊库存!A:L,12,0),"")</f>
        <v>0</v>
      </c>
      <c r="D1435">
        <f>IFERROR(VLOOKUP(A1435,管理亚马逊库存!A:Q,17,0),"")</f>
        <v>0</v>
      </c>
      <c r="E1435">
        <f>IFERROR(VLOOKUP(A1435,管理亚马逊库存!A:R,18,0),"")</f>
        <v>0</v>
      </c>
      <c r="F1435">
        <f t="shared" si="45"/>
        <v>0</v>
      </c>
      <c r="G1435" t="str">
        <f>IFERROR(VLOOKUP(A1435,预留库存!A:G,7,0),0)</f>
        <v>No</v>
      </c>
      <c r="H1435">
        <f>IFERROR(VLOOKUP(A1435,预留库存!A:H,8,0),0)</f>
        <v>0</v>
      </c>
      <c r="I1435">
        <f>IFERROR(VLOOKUP(A1435,预留库存!A:F,6,0),0)</f>
        <v>23.98</v>
      </c>
      <c r="J1435">
        <f>IFERROR(VLOOKUP(A1435,库龄!B:K,9,0),0)</f>
        <v>0</v>
      </c>
      <c r="K1435">
        <f>IFERROR(VLOOKUP(A1435,库龄!B:L,10,0),0)</f>
        <v>0</v>
      </c>
      <c r="L1435">
        <f>IFERROR(VLOOKUP(A1435,库龄!B:M,11,0),0)</f>
        <v>0</v>
      </c>
      <c r="M1435">
        <f>IFERROR(VLOOKUP(A1435,库龄!B:N,12,0),0)</f>
        <v>0</v>
      </c>
      <c r="N1435">
        <f t="shared" si="46"/>
        <v>0</v>
      </c>
    </row>
    <row r="1436" spans="1:14">
      <c r="A1436" s="3" t="s">
        <v>3841</v>
      </c>
      <c r="B1436">
        <f>IFERROR(VLOOKUP(A1436,管理亚马逊库存!A:K,11,0),"")</f>
        <v>0</v>
      </c>
      <c r="C1436">
        <f>IFERROR(VLOOKUP(A1436,管理亚马逊库存!A:L,12,0),"")</f>
        <v>0</v>
      </c>
      <c r="D1436">
        <f>IFERROR(VLOOKUP(A1436,管理亚马逊库存!A:Q,17,0),"")</f>
        <v>0</v>
      </c>
      <c r="E1436">
        <f>IFERROR(VLOOKUP(A1436,管理亚马逊库存!A:R,18,0),"")</f>
        <v>0</v>
      </c>
      <c r="F1436">
        <f t="shared" si="45"/>
        <v>0</v>
      </c>
      <c r="G1436" t="str">
        <f>IFERROR(VLOOKUP(A1436,预留库存!A:G,7,0),0)</f>
        <v>No</v>
      </c>
      <c r="H1436">
        <f>IFERROR(VLOOKUP(A1436,预留库存!A:H,8,0),0)</f>
        <v>0</v>
      </c>
      <c r="I1436">
        <f>IFERROR(VLOOKUP(A1436,预留库存!A:F,6,0),0)</f>
        <v>23.98</v>
      </c>
      <c r="J1436">
        <f>IFERROR(VLOOKUP(A1436,库龄!B:K,9,0),0)</f>
        <v>0</v>
      </c>
      <c r="K1436">
        <f>IFERROR(VLOOKUP(A1436,库龄!B:L,10,0),0)</f>
        <v>0</v>
      </c>
      <c r="L1436">
        <f>IFERROR(VLOOKUP(A1436,库龄!B:M,11,0),0)</f>
        <v>0</v>
      </c>
      <c r="M1436">
        <f>IFERROR(VLOOKUP(A1436,库龄!B:N,12,0),0)</f>
        <v>0</v>
      </c>
      <c r="N1436">
        <f t="shared" si="46"/>
        <v>0</v>
      </c>
    </row>
    <row r="1437" spans="1:14">
      <c r="A1437" s="3" t="s">
        <v>3845</v>
      </c>
      <c r="B1437">
        <f>IFERROR(VLOOKUP(A1437,管理亚马逊库存!A:K,11,0),"")</f>
        <v>0</v>
      </c>
      <c r="C1437">
        <f>IFERROR(VLOOKUP(A1437,管理亚马逊库存!A:L,12,0),"")</f>
        <v>0</v>
      </c>
      <c r="D1437">
        <f>IFERROR(VLOOKUP(A1437,管理亚马逊库存!A:Q,17,0),"")</f>
        <v>0</v>
      </c>
      <c r="E1437">
        <f>IFERROR(VLOOKUP(A1437,管理亚马逊库存!A:R,18,0),"")</f>
        <v>0</v>
      </c>
      <c r="F1437">
        <f t="shared" si="45"/>
        <v>0</v>
      </c>
      <c r="G1437" t="str">
        <f>IFERROR(VLOOKUP(A1437,预留库存!A:G,7,0),0)</f>
        <v>No</v>
      </c>
      <c r="H1437">
        <f>IFERROR(VLOOKUP(A1437,预留库存!A:H,8,0),0)</f>
        <v>0</v>
      </c>
      <c r="I1437">
        <f>IFERROR(VLOOKUP(A1437,预留库存!A:F,6,0),0)</f>
        <v>23.98</v>
      </c>
      <c r="J1437">
        <f>IFERROR(VLOOKUP(A1437,库龄!B:K,9,0),0)</f>
        <v>0</v>
      </c>
      <c r="K1437">
        <f>IFERROR(VLOOKUP(A1437,库龄!B:L,10,0),0)</f>
        <v>0</v>
      </c>
      <c r="L1437">
        <f>IFERROR(VLOOKUP(A1437,库龄!B:M,11,0),0)</f>
        <v>0</v>
      </c>
      <c r="M1437">
        <f>IFERROR(VLOOKUP(A1437,库龄!B:N,12,0),0)</f>
        <v>0</v>
      </c>
      <c r="N1437">
        <f t="shared" si="46"/>
        <v>0</v>
      </c>
    </row>
    <row r="1438" spans="1:14">
      <c r="A1438" s="3" t="s">
        <v>3849</v>
      </c>
      <c r="B1438">
        <f>IFERROR(VLOOKUP(A1438,管理亚马逊库存!A:K,11,0),"")</f>
        <v>0</v>
      </c>
      <c r="C1438">
        <f>IFERROR(VLOOKUP(A1438,管理亚马逊库存!A:L,12,0),"")</f>
        <v>0</v>
      </c>
      <c r="D1438">
        <f>IFERROR(VLOOKUP(A1438,管理亚马逊库存!A:Q,17,0),"")</f>
        <v>0</v>
      </c>
      <c r="E1438">
        <f>IFERROR(VLOOKUP(A1438,管理亚马逊库存!A:R,18,0),"")</f>
        <v>0</v>
      </c>
      <c r="F1438">
        <f t="shared" si="45"/>
        <v>0</v>
      </c>
      <c r="G1438" t="str">
        <f>IFERROR(VLOOKUP(A1438,预留库存!A:G,7,0),0)</f>
        <v>No</v>
      </c>
      <c r="H1438">
        <f>IFERROR(VLOOKUP(A1438,预留库存!A:H,8,0),0)</f>
        <v>0</v>
      </c>
      <c r="I1438">
        <f>IFERROR(VLOOKUP(A1438,预留库存!A:F,6,0),0)</f>
        <v>23.98</v>
      </c>
      <c r="J1438">
        <f>IFERROR(VLOOKUP(A1438,库龄!B:K,9,0),0)</f>
        <v>0</v>
      </c>
      <c r="K1438">
        <f>IFERROR(VLOOKUP(A1438,库龄!B:L,10,0),0)</f>
        <v>0</v>
      </c>
      <c r="L1438">
        <f>IFERROR(VLOOKUP(A1438,库龄!B:M,11,0),0)</f>
        <v>0</v>
      </c>
      <c r="M1438">
        <f>IFERROR(VLOOKUP(A1438,库龄!B:N,12,0),0)</f>
        <v>0</v>
      </c>
      <c r="N1438">
        <f t="shared" si="46"/>
        <v>0</v>
      </c>
    </row>
    <row r="1439" spans="1:14">
      <c r="A1439" s="3" t="s">
        <v>3853</v>
      </c>
      <c r="B1439">
        <f>IFERROR(VLOOKUP(A1439,管理亚马逊库存!A:K,11,0),"")</f>
        <v>0</v>
      </c>
      <c r="C1439">
        <f>IFERROR(VLOOKUP(A1439,管理亚马逊库存!A:L,12,0),"")</f>
        <v>0</v>
      </c>
      <c r="D1439">
        <f>IFERROR(VLOOKUP(A1439,管理亚马逊库存!A:Q,17,0),"")</f>
        <v>0</v>
      </c>
      <c r="E1439">
        <f>IFERROR(VLOOKUP(A1439,管理亚马逊库存!A:R,18,0),"")</f>
        <v>0</v>
      </c>
      <c r="F1439">
        <f t="shared" si="45"/>
        <v>0</v>
      </c>
      <c r="G1439" t="str">
        <f>IFERROR(VLOOKUP(A1439,预留库存!A:G,7,0),0)</f>
        <v>No</v>
      </c>
      <c r="H1439">
        <f>IFERROR(VLOOKUP(A1439,预留库存!A:H,8,0),0)</f>
        <v>0</v>
      </c>
      <c r="I1439">
        <f>IFERROR(VLOOKUP(A1439,预留库存!A:F,6,0),0)</f>
        <v>23.98</v>
      </c>
      <c r="J1439">
        <f>IFERROR(VLOOKUP(A1439,库龄!B:K,9,0),0)</f>
        <v>0</v>
      </c>
      <c r="K1439">
        <f>IFERROR(VLOOKUP(A1439,库龄!B:L,10,0),0)</f>
        <v>0</v>
      </c>
      <c r="L1439">
        <f>IFERROR(VLOOKUP(A1439,库龄!B:M,11,0),0)</f>
        <v>0</v>
      </c>
      <c r="M1439">
        <f>IFERROR(VLOOKUP(A1439,库龄!B:N,12,0),0)</f>
        <v>0</v>
      </c>
      <c r="N1439">
        <f t="shared" si="46"/>
        <v>0</v>
      </c>
    </row>
    <row r="1440" spans="1:14">
      <c r="A1440" s="3" t="s">
        <v>3857</v>
      </c>
      <c r="B1440">
        <f>IFERROR(VLOOKUP(A1440,管理亚马逊库存!A:K,11,0),"")</f>
        <v>0</v>
      </c>
      <c r="C1440">
        <f>IFERROR(VLOOKUP(A1440,管理亚马逊库存!A:L,12,0),"")</f>
        <v>0</v>
      </c>
      <c r="D1440">
        <f>IFERROR(VLOOKUP(A1440,管理亚马逊库存!A:Q,17,0),"")</f>
        <v>0</v>
      </c>
      <c r="E1440">
        <f>IFERROR(VLOOKUP(A1440,管理亚马逊库存!A:R,18,0),"")</f>
        <v>0</v>
      </c>
      <c r="F1440">
        <f t="shared" si="45"/>
        <v>0</v>
      </c>
      <c r="G1440" t="str">
        <f>IFERROR(VLOOKUP(A1440,预留库存!A:G,7,0),0)</f>
        <v>No</v>
      </c>
      <c r="H1440">
        <f>IFERROR(VLOOKUP(A1440,预留库存!A:H,8,0),0)</f>
        <v>0</v>
      </c>
      <c r="I1440">
        <f>IFERROR(VLOOKUP(A1440,预留库存!A:F,6,0),0)</f>
        <v>23.98</v>
      </c>
      <c r="J1440">
        <f>IFERROR(VLOOKUP(A1440,库龄!B:K,9,0),0)</f>
        <v>0</v>
      </c>
      <c r="K1440">
        <f>IFERROR(VLOOKUP(A1440,库龄!B:L,10,0),0)</f>
        <v>0</v>
      </c>
      <c r="L1440">
        <f>IFERROR(VLOOKUP(A1440,库龄!B:M,11,0),0)</f>
        <v>0</v>
      </c>
      <c r="M1440">
        <f>IFERROR(VLOOKUP(A1440,库龄!B:N,12,0),0)</f>
        <v>0</v>
      </c>
      <c r="N1440">
        <f t="shared" si="46"/>
        <v>0</v>
      </c>
    </row>
    <row r="1441" spans="1:14">
      <c r="A1441" s="3" t="s">
        <v>3861</v>
      </c>
      <c r="B1441">
        <f>IFERROR(VLOOKUP(A1441,管理亚马逊库存!A:K,11,0),"")</f>
        <v>0</v>
      </c>
      <c r="C1441">
        <f>IFERROR(VLOOKUP(A1441,管理亚马逊库存!A:L,12,0),"")</f>
        <v>0</v>
      </c>
      <c r="D1441">
        <f>IFERROR(VLOOKUP(A1441,管理亚马逊库存!A:Q,17,0),"")</f>
        <v>0</v>
      </c>
      <c r="E1441">
        <f>IFERROR(VLOOKUP(A1441,管理亚马逊库存!A:R,18,0),"")</f>
        <v>0</v>
      </c>
      <c r="F1441">
        <f t="shared" si="45"/>
        <v>0</v>
      </c>
      <c r="G1441" t="str">
        <f>IFERROR(VLOOKUP(A1441,预留库存!A:G,7,0),0)</f>
        <v>No</v>
      </c>
      <c r="H1441">
        <f>IFERROR(VLOOKUP(A1441,预留库存!A:H,8,0),0)</f>
        <v>0</v>
      </c>
      <c r="I1441">
        <f>IFERROR(VLOOKUP(A1441,预留库存!A:F,6,0),0)</f>
        <v>26.98</v>
      </c>
      <c r="J1441">
        <f>IFERROR(VLOOKUP(A1441,库龄!B:K,9,0),0)</f>
        <v>0</v>
      </c>
      <c r="K1441">
        <f>IFERROR(VLOOKUP(A1441,库龄!B:L,10,0),0)</f>
        <v>0</v>
      </c>
      <c r="L1441">
        <f>IFERROR(VLOOKUP(A1441,库龄!B:M,11,0),0)</f>
        <v>0</v>
      </c>
      <c r="M1441">
        <f>IFERROR(VLOOKUP(A1441,库龄!B:N,12,0),0)</f>
        <v>0</v>
      </c>
      <c r="N1441">
        <f t="shared" si="46"/>
        <v>0</v>
      </c>
    </row>
    <row r="1442" spans="1:14">
      <c r="A1442" s="3" t="s">
        <v>3865</v>
      </c>
      <c r="B1442">
        <f>IFERROR(VLOOKUP(A1442,管理亚马逊库存!A:K,11,0),"")</f>
        <v>0</v>
      </c>
      <c r="C1442">
        <f>IFERROR(VLOOKUP(A1442,管理亚马逊库存!A:L,12,0),"")</f>
        <v>0</v>
      </c>
      <c r="D1442">
        <f>IFERROR(VLOOKUP(A1442,管理亚马逊库存!A:Q,17,0),"")</f>
        <v>0</v>
      </c>
      <c r="E1442">
        <f>IFERROR(VLOOKUP(A1442,管理亚马逊库存!A:R,18,0),"")</f>
        <v>0</v>
      </c>
      <c r="F1442">
        <f t="shared" si="45"/>
        <v>0</v>
      </c>
      <c r="G1442" t="str">
        <f>IFERROR(VLOOKUP(A1442,预留库存!A:G,7,0),0)</f>
        <v>No</v>
      </c>
      <c r="H1442">
        <f>IFERROR(VLOOKUP(A1442,预留库存!A:H,8,0),0)</f>
        <v>0</v>
      </c>
      <c r="I1442">
        <f>IFERROR(VLOOKUP(A1442,预留库存!A:F,6,0),0)</f>
        <v>26.98</v>
      </c>
      <c r="J1442">
        <f>IFERROR(VLOOKUP(A1442,库龄!B:K,9,0),0)</f>
        <v>0</v>
      </c>
      <c r="K1442">
        <f>IFERROR(VLOOKUP(A1442,库龄!B:L,10,0),0)</f>
        <v>0</v>
      </c>
      <c r="L1442">
        <f>IFERROR(VLOOKUP(A1442,库龄!B:M,11,0),0)</f>
        <v>0</v>
      </c>
      <c r="M1442">
        <f>IFERROR(VLOOKUP(A1442,库龄!B:N,12,0),0)</f>
        <v>0</v>
      </c>
      <c r="N1442">
        <f t="shared" si="46"/>
        <v>0</v>
      </c>
    </row>
    <row r="1443" spans="1:14">
      <c r="A1443" s="3" t="s">
        <v>3869</v>
      </c>
      <c r="B1443">
        <f>IFERROR(VLOOKUP(A1443,管理亚马逊库存!A:K,11,0),"")</f>
        <v>0</v>
      </c>
      <c r="C1443">
        <f>IFERROR(VLOOKUP(A1443,管理亚马逊库存!A:L,12,0),"")</f>
        <v>0</v>
      </c>
      <c r="D1443">
        <f>IFERROR(VLOOKUP(A1443,管理亚马逊库存!A:Q,17,0),"")</f>
        <v>0</v>
      </c>
      <c r="E1443">
        <f>IFERROR(VLOOKUP(A1443,管理亚马逊库存!A:R,18,0),"")</f>
        <v>0</v>
      </c>
      <c r="F1443">
        <f t="shared" si="45"/>
        <v>0</v>
      </c>
      <c r="G1443" t="str">
        <f>IFERROR(VLOOKUP(A1443,预留库存!A:G,7,0),0)</f>
        <v>No</v>
      </c>
      <c r="H1443">
        <f>IFERROR(VLOOKUP(A1443,预留库存!A:H,8,0),0)</f>
        <v>0</v>
      </c>
      <c r="I1443">
        <f>IFERROR(VLOOKUP(A1443,预留库存!A:F,6,0),0)</f>
        <v>26.98</v>
      </c>
      <c r="J1443">
        <f>IFERROR(VLOOKUP(A1443,库龄!B:K,9,0),0)</f>
        <v>0</v>
      </c>
      <c r="K1443">
        <f>IFERROR(VLOOKUP(A1443,库龄!B:L,10,0),0)</f>
        <v>0</v>
      </c>
      <c r="L1443">
        <f>IFERROR(VLOOKUP(A1443,库龄!B:M,11,0),0)</f>
        <v>0</v>
      </c>
      <c r="M1443">
        <f>IFERROR(VLOOKUP(A1443,库龄!B:N,12,0),0)</f>
        <v>0</v>
      </c>
      <c r="N1443">
        <f t="shared" si="46"/>
        <v>0</v>
      </c>
    </row>
    <row r="1444" spans="1:14">
      <c r="A1444" s="3" t="s">
        <v>3873</v>
      </c>
      <c r="B1444">
        <f>IFERROR(VLOOKUP(A1444,管理亚马逊库存!A:K,11,0),"")</f>
        <v>0</v>
      </c>
      <c r="C1444">
        <f>IFERROR(VLOOKUP(A1444,管理亚马逊库存!A:L,12,0),"")</f>
        <v>0</v>
      </c>
      <c r="D1444">
        <f>IFERROR(VLOOKUP(A1444,管理亚马逊库存!A:Q,17,0),"")</f>
        <v>0</v>
      </c>
      <c r="E1444">
        <f>IFERROR(VLOOKUP(A1444,管理亚马逊库存!A:R,18,0),"")</f>
        <v>0</v>
      </c>
      <c r="F1444">
        <f t="shared" si="45"/>
        <v>0</v>
      </c>
      <c r="G1444" t="str">
        <f>IFERROR(VLOOKUP(A1444,预留库存!A:G,7,0),0)</f>
        <v>No</v>
      </c>
      <c r="H1444">
        <f>IFERROR(VLOOKUP(A1444,预留库存!A:H,8,0),0)</f>
        <v>0</v>
      </c>
      <c r="I1444">
        <f>IFERROR(VLOOKUP(A1444,预留库存!A:F,6,0),0)</f>
        <v>26.98</v>
      </c>
      <c r="J1444">
        <f>IFERROR(VLOOKUP(A1444,库龄!B:K,9,0),0)</f>
        <v>0</v>
      </c>
      <c r="K1444">
        <f>IFERROR(VLOOKUP(A1444,库龄!B:L,10,0),0)</f>
        <v>0</v>
      </c>
      <c r="L1444">
        <f>IFERROR(VLOOKUP(A1444,库龄!B:M,11,0),0)</f>
        <v>0</v>
      </c>
      <c r="M1444">
        <f>IFERROR(VLOOKUP(A1444,库龄!B:N,12,0),0)</f>
        <v>0</v>
      </c>
      <c r="N1444">
        <f t="shared" si="46"/>
        <v>0</v>
      </c>
    </row>
    <row r="1445" spans="1:14">
      <c r="A1445" s="3" t="s">
        <v>3877</v>
      </c>
      <c r="B1445">
        <f>IFERROR(VLOOKUP(A1445,管理亚马逊库存!A:K,11,0),"")</f>
        <v>0</v>
      </c>
      <c r="C1445">
        <f>IFERROR(VLOOKUP(A1445,管理亚马逊库存!A:L,12,0),"")</f>
        <v>0</v>
      </c>
      <c r="D1445">
        <f>IFERROR(VLOOKUP(A1445,管理亚马逊库存!A:Q,17,0),"")</f>
        <v>0</v>
      </c>
      <c r="E1445">
        <f>IFERROR(VLOOKUP(A1445,管理亚马逊库存!A:R,18,0),"")</f>
        <v>0</v>
      </c>
      <c r="F1445">
        <f t="shared" si="45"/>
        <v>0</v>
      </c>
      <c r="G1445" t="str">
        <f>IFERROR(VLOOKUP(A1445,预留库存!A:G,7,0),0)</f>
        <v>No</v>
      </c>
      <c r="H1445">
        <f>IFERROR(VLOOKUP(A1445,预留库存!A:H,8,0),0)</f>
        <v>0</v>
      </c>
      <c r="I1445">
        <f>IFERROR(VLOOKUP(A1445,预留库存!A:F,6,0),0)</f>
        <v>26.98</v>
      </c>
      <c r="J1445">
        <f>IFERROR(VLOOKUP(A1445,库龄!B:K,9,0),0)</f>
        <v>0</v>
      </c>
      <c r="K1445">
        <f>IFERROR(VLOOKUP(A1445,库龄!B:L,10,0),0)</f>
        <v>0</v>
      </c>
      <c r="L1445">
        <f>IFERROR(VLOOKUP(A1445,库龄!B:M,11,0),0)</f>
        <v>0</v>
      </c>
      <c r="M1445">
        <f>IFERROR(VLOOKUP(A1445,库龄!B:N,12,0),0)</f>
        <v>0</v>
      </c>
      <c r="N1445">
        <f t="shared" si="46"/>
        <v>0</v>
      </c>
    </row>
    <row r="1446" spans="1:14">
      <c r="A1446" s="3" t="s">
        <v>3881</v>
      </c>
      <c r="B1446">
        <f>IFERROR(VLOOKUP(A1446,管理亚马逊库存!A:K,11,0),"")</f>
        <v>0</v>
      </c>
      <c r="C1446">
        <f>IFERROR(VLOOKUP(A1446,管理亚马逊库存!A:L,12,0),"")</f>
        <v>0</v>
      </c>
      <c r="D1446">
        <f>IFERROR(VLOOKUP(A1446,管理亚马逊库存!A:Q,17,0),"")</f>
        <v>0</v>
      </c>
      <c r="E1446">
        <f>IFERROR(VLOOKUP(A1446,管理亚马逊库存!A:R,18,0),"")</f>
        <v>0</v>
      </c>
      <c r="F1446">
        <f t="shared" si="45"/>
        <v>0</v>
      </c>
      <c r="G1446" t="str">
        <f>IFERROR(VLOOKUP(A1446,预留库存!A:G,7,0),0)</f>
        <v>No</v>
      </c>
      <c r="H1446">
        <f>IFERROR(VLOOKUP(A1446,预留库存!A:H,8,0),0)</f>
        <v>0</v>
      </c>
      <c r="I1446">
        <f>IFERROR(VLOOKUP(A1446,预留库存!A:F,6,0),0)</f>
        <v>26.98</v>
      </c>
      <c r="J1446">
        <f>IFERROR(VLOOKUP(A1446,库龄!B:K,9,0),0)</f>
        <v>0</v>
      </c>
      <c r="K1446">
        <f>IFERROR(VLOOKUP(A1446,库龄!B:L,10,0),0)</f>
        <v>0</v>
      </c>
      <c r="L1446">
        <f>IFERROR(VLOOKUP(A1446,库龄!B:M,11,0),0)</f>
        <v>0</v>
      </c>
      <c r="M1446">
        <f>IFERROR(VLOOKUP(A1446,库龄!B:N,12,0),0)</f>
        <v>0</v>
      </c>
      <c r="N1446">
        <f t="shared" si="46"/>
        <v>0</v>
      </c>
    </row>
    <row r="1447" spans="1:14">
      <c r="A1447" s="3" t="s">
        <v>3885</v>
      </c>
      <c r="B1447">
        <f>IFERROR(VLOOKUP(A1447,管理亚马逊库存!A:K,11,0),"")</f>
        <v>0</v>
      </c>
      <c r="C1447">
        <f>IFERROR(VLOOKUP(A1447,管理亚马逊库存!A:L,12,0),"")</f>
        <v>0</v>
      </c>
      <c r="D1447">
        <f>IFERROR(VLOOKUP(A1447,管理亚马逊库存!A:Q,17,0),"")</f>
        <v>0</v>
      </c>
      <c r="E1447">
        <f>IFERROR(VLOOKUP(A1447,管理亚马逊库存!A:R,18,0),"")</f>
        <v>0</v>
      </c>
      <c r="F1447">
        <f t="shared" si="45"/>
        <v>0</v>
      </c>
      <c r="G1447" t="str">
        <f>IFERROR(VLOOKUP(A1447,预留库存!A:G,7,0),0)</f>
        <v>No</v>
      </c>
      <c r="H1447">
        <f>IFERROR(VLOOKUP(A1447,预留库存!A:H,8,0),0)</f>
        <v>0</v>
      </c>
      <c r="I1447">
        <f>IFERROR(VLOOKUP(A1447,预留库存!A:F,6,0),0)</f>
        <v>26.98</v>
      </c>
      <c r="J1447">
        <f>IFERROR(VLOOKUP(A1447,库龄!B:K,9,0),0)</f>
        <v>0</v>
      </c>
      <c r="K1447">
        <f>IFERROR(VLOOKUP(A1447,库龄!B:L,10,0),0)</f>
        <v>0</v>
      </c>
      <c r="L1447">
        <f>IFERROR(VLOOKUP(A1447,库龄!B:M,11,0),0)</f>
        <v>0</v>
      </c>
      <c r="M1447">
        <f>IFERROR(VLOOKUP(A1447,库龄!B:N,12,0),0)</f>
        <v>0</v>
      </c>
      <c r="N1447">
        <f t="shared" si="46"/>
        <v>0</v>
      </c>
    </row>
    <row r="1448" spans="1:14">
      <c r="A1448" s="3" t="s">
        <v>3889</v>
      </c>
      <c r="B1448">
        <f>IFERROR(VLOOKUP(A1448,管理亚马逊库存!A:K,11,0),"")</f>
        <v>0</v>
      </c>
      <c r="C1448">
        <f>IFERROR(VLOOKUP(A1448,管理亚马逊库存!A:L,12,0),"")</f>
        <v>0</v>
      </c>
      <c r="D1448">
        <f>IFERROR(VLOOKUP(A1448,管理亚马逊库存!A:Q,17,0),"")</f>
        <v>0</v>
      </c>
      <c r="E1448">
        <f>IFERROR(VLOOKUP(A1448,管理亚马逊库存!A:R,18,0),"")</f>
        <v>0</v>
      </c>
      <c r="F1448">
        <f t="shared" si="45"/>
        <v>0</v>
      </c>
      <c r="G1448" t="str">
        <f>IFERROR(VLOOKUP(A1448,预留库存!A:G,7,0),0)</f>
        <v>No</v>
      </c>
      <c r="H1448">
        <f>IFERROR(VLOOKUP(A1448,预留库存!A:H,8,0),0)</f>
        <v>0</v>
      </c>
      <c r="I1448">
        <f>IFERROR(VLOOKUP(A1448,预留库存!A:F,6,0),0)</f>
        <v>26.98</v>
      </c>
      <c r="J1448">
        <f>IFERROR(VLOOKUP(A1448,库龄!B:K,9,0),0)</f>
        <v>0</v>
      </c>
      <c r="K1448">
        <f>IFERROR(VLOOKUP(A1448,库龄!B:L,10,0),0)</f>
        <v>0</v>
      </c>
      <c r="L1448">
        <f>IFERROR(VLOOKUP(A1448,库龄!B:M,11,0),0)</f>
        <v>0</v>
      </c>
      <c r="M1448">
        <f>IFERROR(VLOOKUP(A1448,库龄!B:N,12,0),0)</f>
        <v>0</v>
      </c>
      <c r="N1448">
        <f t="shared" si="46"/>
        <v>0</v>
      </c>
    </row>
    <row r="1449" spans="1:14">
      <c r="A1449" s="3" t="s">
        <v>3893</v>
      </c>
      <c r="B1449">
        <f>IFERROR(VLOOKUP(A1449,管理亚马逊库存!A:K,11,0),"")</f>
        <v>0</v>
      </c>
      <c r="C1449">
        <f>IFERROR(VLOOKUP(A1449,管理亚马逊库存!A:L,12,0),"")</f>
        <v>0</v>
      </c>
      <c r="D1449">
        <f>IFERROR(VLOOKUP(A1449,管理亚马逊库存!A:Q,17,0),"")</f>
        <v>0</v>
      </c>
      <c r="E1449">
        <f>IFERROR(VLOOKUP(A1449,管理亚马逊库存!A:R,18,0),"")</f>
        <v>0</v>
      </c>
      <c r="F1449">
        <f t="shared" si="45"/>
        <v>0</v>
      </c>
      <c r="G1449" t="str">
        <f>IFERROR(VLOOKUP(A1449,预留库存!A:G,7,0),0)</f>
        <v>No</v>
      </c>
      <c r="H1449">
        <f>IFERROR(VLOOKUP(A1449,预留库存!A:H,8,0),0)</f>
        <v>0</v>
      </c>
      <c r="I1449">
        <f>IFERROR(VLOOKUP(A1449,预留库存!A:F,6,0),0)</f>
        <v>26.98</v>
      </c>
      <c r="J1449">
        <f>IFERROR(VLOOKUP(A1449,库龄!B:K,9,0),0)</f>
        <v>0</v>
      </c>
      <c r="K1449">
        <f>IFERROR(VLOOKUP(A1449,库龄!B:L,10,0),0)</f>
        <v>0</v>
      </c>
      <c r="L1449">
        <f>IFERROR(VLOOKUP(A1449,库龄!B:M,11,0),0)</f>
        <v>0</v>
      </c>
      <c r="M1449">
        <f>IFERROR(VLOOKUP(A1449,库龄!B:N,12,0),0)</f>
        <v>0</v>
      </c>
      <c r="N1449">
        <f t="shared" si="46"/>
        <v>0</v>
      </c>
    </row>
    <row r="1450" spans="1:14">
      <c r="A1450" s="3" t="s">
        <v>3897</v>
      </c>
      <c r="B1450">
        <f>IFERROR(VLOOKUP(A1450,管理亚马逊库存!A:K,11,0),"")</f>
        <v>0</v>
      </c>
      <c r="C1450">
        <f>IFERROR(VLOOKUP(A1450,管理亚马逊库存!A:L,12,0),"")</f>
        <v>0</v>
      </c>
      <c r="D1450">
        <f>IFERROR(VLOOKUP(A1450,管理亚马逊库存!A:Q,17,0),"")</f>
        <v>0</v>
      </c>
      <c r="E1450">
        <f>IFERROR(VLOOKUP(A1450,管理亚马逊库存!A:R,18,0),"")</f>
        <v>0</v>
      </c>
      <c r="F1450">
        <f t="shared" si="45"/>
        <v>0</v>
      </c>
      <c r="G1450" t="str">
        <f>IFERROR(VLOOKUP(A1450,预留库存!A:G,7,0),0)</f>
        <v>No</v>
      </c>
      <c r="H1450">
        <f>IFERROR(VLOOKUP(A1450,预留库存!A:H,8,0),0)</f>
        <v>0</v>
      </c>
      <c r="I1450">
        <f>IFERROR(VLOOKUP(A1450,预留库存!A:F,6,0),0)</f>
        <v>26.98</v>
      </c>
      <c r="J1450">
        <f>IFERROR(VLOOKUP(A1450,库龄!B:K,9,0),0)</f>
        <v>0</v>
      </c>
      <c r="K1450">
        <f>IFERROR(VLOOKUP(A1450,库龄!B:L,10,0),0)</f>
        <v>0</v>
      </c>
      <c r="L1450">
        <f>IFERROR(VLOOKUP(A1450,库龄!B:M,11,0),0)</f>
        <v>0</v>
      </c>
      <c r="M1450">
        <f>IFERROR(VLOOKUP(A1450,库龄!B:N,12,0),0)</f>
        <v>0</v>
      </c>
      <c r="N1450">
        <f t="shared" si="46"/>
        <v>0</v>
      </c>
    </row>
    <row r="1451" spans="1:14">
      <c r="A1451" s="3" t="s">
        <v>3901</v>
      </c>
      <c r="B1451">
        <f>IFERROR(VLOOKUP(A1451,管理亚马逊库存!A:K,11,0),"")</f>
        <v>0</v>
      </c>
      <c r="C1451">
        <f>IFERROR(VLOOKUP(A1451,管理亚马逊库存!A:L,12,0),"")</f>
        <v>0</v>
      </c>
      <c r="D1451">
        <f>IFERROR(VLOOKUP(A1451,管理亚马逊库存!A:Q,17,0),"")</f>
        <v>0</v>
      </c>
      <c r="E1451">
        <f>IFERROR(VLOOKUP(A1451,管理亚马逊库存!A:R,18,0),"")</f>
        <v>0</v>
      </c>
      <c r="F1451">
        <f t="shared" si="45"/>
        <v>0</v>
      </c>
      <c r="G1451" t="str">
        <f>IFERROR(VLOOKUP(A1451,预留库存!A:G,7,0),0)</f>
        <v>No</v>
      </c>
      <c r="H1451">
        <f>IFERROR(VLOOKUP(A1451,预留库存!A:H,8,0),0)</f>
        <v>0</v>
      </c>
      <c r="I1451">
        <f>IFERROR(VLOOKUP(A1451,预留库存!A:F,6,0),0)</f>
        <v>26.98</v>
      </c>
      <c r="J1451">
        <f>IFERROR(VLOOKUP(A1451,库龄!B:K,9,0),0)</f>
        <v>0</v>
      </c>
      <c r="K1451">
        <f>IFERROR(VLOOKUP(A1451,库龄!B:L,10,0),0)</f>
        <v>0</v>
      </c>
      <c r="L1451">
        <f>IFERROR(VLOOKUP(A1451,库龄!B:M,11,0),0)</f>
        <v>0</v>
      </c>
      <c r="M1451">
        <f>IFERROR(VLOOKUP(A1451,库龄!B:N,12,0),0)</f>
        <v>0</v>
      </c>
      <c r="N1451">
        <f t="shared" si="46"/>
        <v>0</v>
      </c>
    </row>
    <row r="1452" spans="1:14">
      <c r="A1452" s="3" t="s">
        <v>3905</v>
      </c>
      <c r="B1452">
        <f>IFERROR(VLOOKUP(A1452,管理亚马逊库存!A:K,11,0),"")</f>
        <v>0</v>
      </c>
      <c r="C1452">
        <f>IFERROR(VLOOKUP(A1452,管理亚马逊库存!A:L,12,0),"")</f>
        <v>0</v>
      </c>
      <c r="D1452">
        <f>IFERROR(VLOOKUP(A1452,管理亚马逊库存!A:Q,17,0),"")</f>
        <v>0</v>
      </c>
      <c r="E1452">
        <f>IFERROR(VLOOKUP(A1452,管理亚马逊库存!A:R,18,0),"")</f>
        <v>0</v>
      </c>
      <c r="F1452">
        <f t="shared" si="45"/>
        <v>0</v>
      </c>
      <c r="G1452" t="str">
        <f>IFERROR(VLOOKUP(A1452,预留库存!A:G,7,0),0)</f>
        <v>No</v>
      </c>
      <c r="H1452">
        <f>IFERROR(VLOOKUP(A1452,预留库存!A:H,8,0),0)</f>
        <v>0</v>
      </c>
      <c r="I1452">
        <f>IFERROR(VLOOKUP(A1452,预留库存!A:F,6,0),0)</f>
        <v>26.98</v>
      </c>
      <c r="J1452">
        <f>IFERROR(VLOOKUP(A1452,库龄!B:K,9,0),0)</f>
        <v>0</v>
      </c>
      <c r="K1452">
        <f>IFERROR(VLOOKUP(A1452,库龄!B:L,10,0),0)</f>
        <v>0</v>
      </c>
      <c r="L1452">
        <f>IFERROR(VLOOKUP(A1452,库龄!B:M,11,0),0)</f>
        <v>0</v>
      </c>
      <c r="M1452">
        <f>IFERROR(VLOOKUP(A1452,库龄!B:N,12,0),0)</f>
        <v>0</v>
      </c>
      <c r="N1452">
        <f t="shared" si="46"/>
        <v>0</v>
      </c>
    </row>
    <row r="1453" spans="1:14">
      <c r="A1453" s="3" t="s">
        <v>3909</v>
      </c>
      <c r="B1453">
        <f>IFERROR(VLOOKUP(A1453,管理亚马逊库存!A:K,11,0),"")</f>
        <v>0</v>
      </c>
      <c r="C1453">
        <f>IFERROR(VLOOKUP(A1453,管理亚马逊库存!A:L,12,0),"")</f>
        <v>0</v>
      </c>
      <c r="D1453">
        <f>IFERROR(VLOOKUP(A1453,管理亚马逊库存!A:Q,17,0),"")</f>
        <v>0</v>
      </c>
      <c r="E1453">
        <f>IFERROR(VLOOKUP(A1453,管理亚马逊库存!A:R,18,0),"")</f>
        <v>0</v>
      </c>
      <c r="F1453">
        <f t="shared" si="45"/>
        <v>0</v>
      </c>
      <c r="G1453" t="str">
        <f>IFERROR(VLOOKUP(A1453,预留库存!A:G,7,0),0)</f>
        <v>No</v>
      </c>
      <c r="H1453">
        <f>IFERROR(VLOOKUP(A1453,预留库存!A:H,8,0),0)</f>
        <v>0</v>
      </c>
      <c r="I1453">
        <f>IFERROR(VLOOKUP(A1453,预留库存!A:F,6,0),0)</f>
        <v>26.98</v>
      </c>
      <c r="J1453">
        <f>IFERROR(VLOOKUP(A1453,库龄!B:K,9,0),0)</f>
        <v>0</v>
      </c>
      <c r="K1453">
        <f>IFERROR(VLOOKUP(A1453,库龄!B:L,10,0),0)</f>
        <v>0</v>
      </c>
      <c r="L1453">
        <f>IFERROR(VLOOKUP(A1453,库龄!B:M,11,0),0)</f>
        <v>0</v>
      </c>
      <c r="M1453">
        <f>IFERROR(VLOOKUP(A1453,库龄!B:N,12,0),0)</f>
        <v>0</v>
      </c>
      <c r="N1453">
        <f t="shared" si="46"/>
        <v>0</v>
      </c>
    </row>
    <row r="1454" spans="1:14">
      <c r="A1454" s="3" t="s">
        <v>3913</v>
      </c>
      <c r="B1454">
        <f>IFERROR(VLOOKUP(A1454,管理亚马逊库存!A:K,11,0),"")</f>
        <v>0</v>
      </c>
      <c r="C1454">
        <f>IFERROR(VLOOKUP(A1454,管理亚马逊库存!A:L,12,0),"")</f>
        <v>0</v>
      </c>
      <c r="D1454">
        <f>IFERROR(VLOOKUP(A1454,管理亚马逊库存!A:Q,17,0),"")</f>
        <v>0</v>
      </c>
      <c r="E1454">
        <f>IFERROR(VLOOKUP(A1454,管理亚马逊库存!A:R,18,0),"")</f>
        <v>0</v>
      </c>
      <c r="F1454">
        <f t="shared" si="45"/>
        <v>0</v>
      </c>
      <c r="G1454" t="str">
        <f>IFERROR(VLOOKUP(A1454,预留库存!A:G,7,0),0)</f>
        <v>No</v>
      </c>
      <c r="H1454">
        <f>IFERROR(VLOOKUP(A1454,预留库存!A:H,8,0),0)</f>
        <v>0</v>
      </c>
      <c r="I1454">
        <f>IFERROR(VLOOKUP(A1454,预留库存!A:F,6,0),0)</f>
        <v>26.98</v>
      </c>
      <c r="J1454">
        <f>IFERROR(VLOOKUP(A1454,库龄!B:K,9,0),0)</f>
        <v>0</v>
      </c>
      <c r="K1454">
        <f>IFERROR(VLOOKUP(A1454,库龄!B:L,10,0),0)</f>
        <v>0</v>
      </c>
      <c r="L1454">
        <f>IFERROR(VLOOKUP(A1454,库龄!B:M,11,0),0)</f>
        <v>0</v>
      </c>
      <c r="M1454">
        <f>IFERROR(VLOOKUP(A1454,库龄!B:N,12,0),0)</f>
        <v>0</v>
      </c>
      <c r="N1454">
        <f t="shared" si="46"/>
        <v>0</v>
      </c>
    </row>
    <row r="1455" spans="1:14">
      <c r="A1455" s="3" t="s">
        <v>3917</v>
      </c>
      <c r="B1455">
        <f>IFERROR(VLOOKUP(A1455,管理亚马逊库存!A:K,11,0),"")</f>
        <v>0</v>
      </c>
      <c r="C1455">
        <f>IFERROR(VLOOKUP(A1455,管理亚马逊库存!A:L,12,0),"")</f>
        <v>0</v>
      </c>
      <c r="D1455">
        <f>IFERROR(VLOOKUP(A1455,管理亚马逊库存!A:Q,17,0),"")</f>
        <v>0</v>
      </c>
      <c r="E1455">
        <f>IFERROR(VLOOKUP(A1455,管理亚马逊库存!A:R,18,0),"")</f>
        <v>0</v>
      </c>
      <c r="F1455">
        <f t="shared" si="45"/>
        <v>0</v>
      </c>
      <c r="G1455" t="str">
        <f>IFERROR(VLOOKUP(A1455,预留库存!A:G,7,0),0)</f>
        <v>No</v>
      </c>
      <c r="H1455">
        <f>IFERROR(VLOOKUP(A1455,预留库存!A:H,8,0),0)</f>
        <v>0</v>
      </c>
      <c r="I1455">
        <f>IFERROR(VLOOKUP(A1455,预留库存!A:F,6,0),0)</f>
        <v>26.98</v>
      </c>
      <c r="J1455">
        <f>IFERROR(VLOOKUP(A1455,库龄!B:K,9,0),0)</f>
        <v>0</v>
      </c>
      <c r="K1455">
        <f>IFERROR(VLOOKUP(A1455,库龄!B:L,10,0),0)</f>
        <v>0</v>
      </c>
      <c r="L1455">
        <f>IFERROR(VLOOKUP(A1455,库龄!B:M,11,0),0)</f>
        <v>0</v>
      </c>
      <c r="M1455">
        <f>IFERROR(VLOOKUP(A1455,库龄!B:N,12,0),0)</f>
        <v>0</v>
      </c>
      <c r="N1455">
        <f t="shared" si="46"/>
        <v>0</v>
      </c>
    </row>
    <row r="1456" spans="1:14">
      <c r="A1456" s="3" t="s">
        <v>3921</v>
      </c>
      <c r="B1456">
        <f>IFERROR(VLOOKUP(A1456,管理亚马逊库存!A:K,11,0),"")</f>
        <v>0</v>
      </c>
      <c r="C1456">
        <f>IFERROR(VLOOKUP(A1456,管理亚马逊库存!A:L,12,0),"")</f>
        <v>0</v>
      </c>
      <c r="D1456">
        <f>IFERROR(VLOOKUP(A1456,管理亚马逊库存!A:Q,17,0),"")</f>
        <v>0</v>
      </c>
      <c r="E1456">
        <f>IFERROR(VLOOKUP(A1456,管理亚马逊库存!A:R,18,0),"")</f>
        <v>0</v>
      </c>
      <c r="F1456">
        <f t="shared" si="45"/>
        <v>0</v>
      </c>
      <c r="G1456" t="str">
        <f>IFERROR(VLOOKUP(A1456,预留库存!A:G,7,0),0)</f>
        <v>No</v>
      </c>
      <c r="H1456">
        <f>IFERROR(VLOOKUP(A1456,预留库存!A:H,8,0),0)</f>
        <v>0</v>
      </c>
      <c r="I1456">
        <f>IFERROR(VLOOKUP(A1456,预留库存!A:F,6,0),0)</f>
        <v>26.98</v>
      </c>
      <c r="J1456">
        <f>IFERROR(VLOOKUP(A1456,库龄!B:K,9,0),0)</f>
        <v>0</v>
      </c>
      <c r="K1456">
        <f>IFERROR(VLOOKUP(A1456,库龄!B:L,10,0),0)</f>
        <v>0</v>
      </c>
      <c r="L1456">
        <f>IFERROR(VLOOKUP(A1456,库龄!B:M,11,0),0)</f>
        <v>0</v>
      </c>
      <c r="M1456">
        <f>IFERROR(VLOOKUP(A1456,库龄!B:N,12,0),0)</f>
        <v>0</v>
      </c>
      <c r="N1456">
        <f t="shared" si="46"/>
        <v>0</v>
      </c>
    </row>
    <row r="1457" spans="1:14">
      <c r="A1457" s="3" t="s">
        <v>3925</v>
      </c>
      <c r="B1457">
        <f>IFERROR(VLOOKUP(A1457,管理亚马逊库存!A:K,11,0),"")</f>
        <v>0</v>
      </c>
      <c r="C1457">
        <f>IFERROR(VLOOKUP(A1457,管理亚马逊库存!A:L,12,0),"")</f>
        <v>0</v>
      </c>
      <c r="D1457">
        <f>IFERROR(VLOOKUP(A1457,管理亚马逊库存!A:Q,17,0),"")</f>
        <v>0</v>
      </c>
      <c r="E1457">
        <f>IFERROR(VLOOKUP(A1457,管理亚马逊库存!A:R,18,0),"")</f>
        <v>0</v>
      </c>
      <c r="F1457">
        <f t="shared" si="45"/>
        <v>0</v>
      </c>
      <c r="G1457" t="str">
        <f>IFERROR(VLOOKUP(A1457,预留库存!A:G,7,0),0)</f>
        <v>No</v>
      </c>
      <c r="H1457">
        <f>IFERROR(VLOOKUP(A1457,预留库存!A:H,8,0),0)</f>
        <v>0</v>
      </c>
      <c r="I1457">
        <f>IFERROR(VLOOKUP(A1457,预留库存!A:F,6,0),0)</f>
        <v>26.98</v>
      </c>
      <c r="J1457">
        <f>IFERROR(VLOOKUP(A1457,库龄!B:K,9,0),0)</f>
        <v>0</v>
      </c>
      <c r="K1457">
        <f>IFERROR(VLOOKUP(A1457,库龄!B:L,10,0),0)</f>
        <v>0</v>
      </c>
      <c r="L1457">
        <f>IFERROR(VLOOKUP(A1457,库龄!B:M,11,0),0)</f>
        <v>0</v>
      </c>
      <c r="M1457">
        <f>IFERROR(VLOOKUP(A1457,库龄!B:N,12,0),0)</f>
        <v>0</v>
      </c>
      <c r="N1457">
        <f t="shared" si="46"/>
        <v>0</v>
      </c>
    </row>
    <row r="1458" spans="1:14">
      <c r="A1458" s="3" t="s">
        <v>3929</v>
      </c>
      <c r="B1458">
        <f>IFERROR(VLOOKUP(A1458,管理亚马逊库存!A:K,11,0),"")</f>
        <v>0</v>
      </c>
      <c r="C1458">
        <f>IFERROR(VLOOKUP(A1458,管理亚马逊库存!A:L,12,0),"")</f>
        <v>0</v>
      </c>
      <c r="D1458">
        <f>IFERROR(VLOOKUP(A1458,管理亚马逊库存!A:Q,17,0),"")</f>
        <v>0</v>
      </c>
      <c r="E1458">
        <f>IFERROR(VLOOKUP(A1458,管理亚马逊库存!A:R,18,0),"")</f>
        <v>0</v>
      </c>
      <c r="F1458">
        <f t="shared" si="45"/>
        <v>0</v>
      </c>
      <c r="G1458" t="str">
        <f>IFERROR(VLOOKUP(A1458,预留库存!A:G,7,0),0)</f>
        <v>No</v>
      </c>
      <c r="H1458">
        <f>IFERROR(VLOOKUP(A1458,预留库存!A:H,8,0),0)</f>
        <v>0</v>
      </c>
      <c r="I1458">
        <f>IFERROR(VLOOKUP(A1458,预留库存!A:F,6,0),0)</f>
        <v>26.98</v>
      </c>
      <c r="J1458">
        <f>IFERROR(VLOOKUP(A1458,库龄!B:K,9,0),0)</f>
        <v>0</v>
      </c>
      <c r="K1458">
        <f>IFERROR(VLOOKUP(A1458,库龄!B:L,10,0),0)</f>
        <v>0</v>
      </c>
      <c r="L1458">
        <f>IFERROR(VLOOKUP(A1458,库龄!B:M,11,0),0)</f>
        <v>0</v>
      </c>
      <c r="M1458">
        <f>IFERROR(VLOOKUP(A1458,库龄!B:N,12,0),0)</f>
        <v>0</v>
      </c>
      <c r="N1458">
        <f t="shared" si="46"/>
        <v>0</v>
      </c>
    </row>
    <row r="1459" spans="1:14">
      <c r="A1459" s="3" t="s">
        <v>3933</v>
      </c>
      <c r="B1459">
        <f>IFERROR(VLOOKUP(A1459,管理亚马逊库存!A:K,11,0),"")</f>
        <v>0</v>
      </c>
      <c r="C1459">
        <f>IFERROR(VLOOKUP(A1459,管理亚马逊库存!A:L,12,0),"")</f>
        <v>0</v>
      </c>
      <c r="D1459">
        <f>IFERROR(VLOOKUP(A1459,管理亚马逊库存!A:Q,17,0),"")</f>
        <v>0</v>
      </c>
      <c r="E1459">
        <f>IFERROR(VLOOKUP(A1459,管理亚马逊库存!A:R,18,0),"")</f>
        <v>0</v>
      </c>
      <c r="F1459">
        <f t="shared" si="45"/>
        <v>0</v>
      </c>
      <c r="G1459" t="str">
        <f>IFERROR(VLOOKUP(A1459,预留库存!A:G,7,0),0)</f>
        <v>No</v>
      </c>
      <c r="H1459">
        <f>IFERROR(VLOOKUP(A1459,预留库存!A:H,8,0),0)</f>
        <v>0</v>
      </c>
      <c r="I1459">
        <f>IFERROR(VLOOKUP(A1459,预留库存!A:F,6,0),0)</f>
        <v>26.98</v>
      </c>
      <c r="J1459">
        <f>IFERROR(VLOOKUP(A1459,库龄!B:K,9,0),0)</f>
        <v>0</v>
      </c>
      <c r="K1459">
        <f>IFERROR(VLOOKUP(A1459,库龄!B:L,10,0),0)</f>
        <v>0</v>
      </c>
      <c r="L1459">
        <f>IFERROR(VLOOKUP(A1459,库龄!B:M,11,0),0)</f>
        <v>0</v>
      </c>
      <c r="M1459">
        <f>IFERROR(VLOOKUP(A1459,库龄!B:N,12,0),0)</f>
        <v>0</v>
      </c>
      <c r="N1459">
        <f t="shared" si="46"/>
        <v>0</v>
      </c>
    </row>
    <row r="1460" spans="1:14">
      <c r="A1460" s="3" t="s">
        <v>3937</v>
      </c>
      <c r="B1460">
        <f>IFERROR(VLOOKUP(A1460,管理亚马逊库存!A:K,11,0),"")</f>
        <v>0</v>
      </c>
      <c r="C1460">
        <f>IFERROR(VLOOKUP(A1460,管理亚马逊库存!A:L,12,0),"")</f>
        <v>0</v>
      </c>
      <c r="D1460">
        <f>IFERROR(VLOOKUP(A1460,管理亚马逊库存!A:Q,17,0),"")</f>
        <v>0</v>
      </c>
      <c r="E1460">
        <f>IFERROR(VLOOKUP(A1460,管理亚马逊库存!A:R,18,0),"")</f>
        <v>0</v>
      </c>
      <c r="F1460">
        <f t="shared" si="45"/>
        <v>0</v>
      </c>
      <c r="G1460" t="str">
        <f>IFERROR(VLOOKUP(A1460,预留库存!A:G,7,0),0)</f>
        <v>No</v>
      </c>
      <c r="H1460">
        <f>IFERROR(VLOOKUP(A1460,预留库存!A:H,8,0),0)</f>
        <v>0</v>
      </c>
      <c r="I1460">
        <f>IFERROR(VLOOKUP(A1460,预留库存!A:F,6,0),0)</f>
        <v>26.98</v>
      </c>
      <c r="J1460">
        <f>IFERROR(VLOOKUP(A1460,库龄!B:K,9,0),0)</f>
        <v>0</v>
      </c>
      <c r="K1460">
        <f>IFERROR(VLOOKUP(A1460,库龄!B:L,10,0),0)</f>
        <v>0</v>
      </c>
      <c r="L1460">
        <f>IFERROR(VLOOKUP(A1460,库龄!B:M,11,0),0)</f>
        <v>0</v>
      </c>
      <c r="M1460">
        <f>IFERROR(VLOOKUP(A1460,库龄!B:N,12,0),0)</f>
        <v>0</v>
      </c>
      <c r="N1460">
        <f t="shared" si="46"/>
        <v>0</v>
      </c>
    </row>
    <row r="1461" spans="1:14">
      <c r="A1461" s="3" t="s">
        <v>3941</v>
      </c>
      <c r="B1461">
        <f>IFERROR(VLOOKUP(A1461,管理亚马逊库存!A:K,11,0),"")</f>
        <v>0</v>
      </c>
      <c r="C1461">
        <f>IFERROR(VLOOKUP(A1461,管理亚马逊库存!A:L,12,0),"")</f>
        <v>0</v>
      </c>
      <c r="D1461">
        <f>IFERROR(VLOOKUP(A1461,管理亚马逊库存!A:Q,17,0),"")</f>
        <v>0</v>
      </c>
      <c r="E1461">
        <f>IFERROR(VLOOKUP(A1461,管理亚马逊库存!A:R,18,0),"")</f>
        <v>0</v>
      </c>
      <c r="F1461">
        <f t="shared" si="45"/>
        <v>0</v>
      </c>
      <c r="G1461" t="str">
        <f>IFERROR(VLOOKUP(A1461,预留库存!A:G,7,0),0)</f>
        <v>No</v>
      </c>
      <c r="H1461">
        <f>IFERROR(VLOOKUP(A1461,预留库存!A:H,8,0),0)</f>
        <v>0</v>
      </c>
      <c r="I1461">
        <f>IFERROR(VLOOKUP(A1461,预留库存!A:F,6,0),0)</f>
        <v>26.98</v>
      </c>
      <c r="J1461">
        <f>IFERROR(VLOOKUP(A1461,库龄!B:K,9,0),0)</f>
        <v>0</v>
      </c>
      <c r="K1461">
        <f>IFERROR(VLOOKUP(A1461,库龄!B:L,10,0),0)</f>
        <v>0</v>
      </c>
      <c r="L1461">
        <f>IFERROR(VLOOKUP(A1461,库龄!B:M,11,0),0)</f>
        <v>0</v>
      </c>
      <c r="M1461">
        <f>IFERROR(VLOOKUP(A1461,库龄!B:N,12,0),0)</f>
        <v>0</v>
      </c>
      <c r="N1461">
        <f t="shared" si="46"/>
        <v>0</v>
      </c>
    </row>
    <row r="1462" spans="1:14">
      <c r="A1462" s="3" t="s">
        <v>3945</v>
      </c>
      <c r="B1462">
        <f>IFERROR(VLOOKUP(A1462,管理亚马逊库存!A:K,11,0),"")</f>
        <v>0</v>
      </c>
      <c r="C1462">
        <f>IFERROR(VLOOKUP(A1462,管理亚马逊库存!A:L,12,0),"")</f>
        <v>0</v>
      </c>
      <c r="D1462">
        <f>IFERROR(VLOOKUP(A1462,管理亚马逊库存!A:Q,17,0),"")</f>
        <v>0</v>
      </c>
      <c r="E1462">
        <f>IFERROR(VLOOKUP(A1462,管理亚马逊库存!A:R,18,0),"")</f>
        <v>0</v>
      </c>
      <c r="F1462">
        <f t="shared" si="45"/>
        <v>0</v>
      </c>
      <c r="G1462" t="str">
        <f>IFERROR(VLOOKUP(A1462,预留库存!A:G,7,0),0)</f>
        <v>No</v>
      </c>
      <c r="H1462">
        <f>IFERROR(VLOOKUP(A1462,预留库存!A:H,8,0),0)</f>
        <v>0</v>
      </c>
      <c r="I1462">
        <f>IFERROR(VLOOKUP(A1462,预留库存!A:F,6,0),0)</f>
        <v>26.98</v>
      </c>
      <c r="J1462">
        <f>IFERROR(VLOOKUP(A1462,库龄!B:K,9,0),0)</f>
        <v>0</v>
      </c>
      <c r="K1462">
        <f>IFERROR(VLOOKUP(A1462,库龄!B:L,10,0),0)</f>
        <v>0</v>
      </c>
      <c r="L1462">
        <f>IFERROR(VLOOKUP(A1462,库龄!B:M,11,0),0)</f>
        <v>0</v>
      </c>
      <c r="M1462">
        <f>IFERROR(VLOOKUP(A1462,库龄!B:N,12,0),0)</f>
        <v>0</v>
      </c>
      <c r="N1462">
        <f t="shared" si="46"/>
        <v>0</v>
      </c>
    </row>
    <row r="1463" spans="1:14">
      <c r="A1463" s="3" t="s">
        <v>3949</v>
      </c>
      <c r="B1463">
        <f>IFERROR(VLOOKUP(A1463,管理亚马逊库存!A:K,11,0),"")</f>
        <v>0</v>
      </c>
      <c r="C1463">
        <f>IFERROR(VLOOKUP(A1463,管理亚马逊库存!A:L,12,0),"")</f>
        <v>0</v>
      </c>
      <c r="D1463">
        <f>IFERROR(VLOOKUP(A1463,管理亚马逊库存!A:Q,17,0),"")</f>
        <v>0</v>
      </c>
      <c r="E1463">
        <f>IFERROR(VLOOKUP(A1463,管理亚马逊库存!A:R,18,0),"")</f>
        <v>0</v>
      </c>
      <c r="F1463">
        <f t="shared" si="45"/>
        <v>0</v>
      </c>
      <c r="G1463" t="str">
        <f>IFERROR(VLOOKUP(A1463,预留库存!A:G,7,0),0)</f>
        <v>No</v>
      </c>
      <c r="H1463">
        <f>IFERROR(VLOOKUP(A1463,预留库存!A:H,8,0),0)</f>
        <v>0</v>
      </c>
      <c r="I1463">
        <f>IFERROR(VLOOKUP(A1463,预留库存!A:F,6,0),0)</f>
        <v>26.98</v>
      </c>
      <c r="J1463">
        <f>IFERROR(VLOOKUP(A1463,库龄!B:K,9,0),0)</f>
        <v>0</v>
      </c>
      <c r="K1463">
        <f>IFERROR(VLOOKUP(A1463,库龄!B:L,10,0),0)</f>
        <v>0</v>
      </c>
      <c r="L1463">
        <f>IFERROR(VLOOKUP(A1463,库龄!B:M,11,0),0)</f>
        <v>0</v>
      </c>
      <c r="M1463">
        <f>IFERROR(VLOOKUP(A1463,库龄!B:N,12,0),0)</f>
        <v>0</v>
      </c>
      <c r="N1463">
        <f t="shared" si="46"/>
        <v>0</v>
      </c>
    </row>
    <row r="1464" spans="1:14">
      <c r="A1464" s="3" t="s">
        <v>3953</v>
      </c>
      <c r="B1464">
        <f>IFERROR(VLOOKUP(A1464,管理亚马逊库存!A:K,11,0),"")</f>
        <v>0</v>
      </c>
      <c r="C1464">
        <f>IFERROR(VLOOKUP(A1464,管理亚马逊库存!A:L,12,0),"")</f>
        <v>0</v>
      </c>
      <c r="D1464">
        <f>IFERROR(VLOOKUP(A1464,管理亚马逊库存!A:Q,17,0),"")</f>
        <v>0</v>
      </c>
      <c r="E1464">
        <f>IFERROR(VLOOKUP(A1464,管理亚马逊库存!A:R,18,0),"")</f>
        <v>0</v>
      </c>
      <c r="F1464">
        <f t="shared" si="45"/>
        <v>0</v>
      </c>
      <c r="G1464" t="str">
        <f>IFERROR(VLOOKUP(A1464,预留库存!A:G,7,0),0)</f>
        <v>No</v>
      </c>
      <c r="H1464">
        <f>IFERROR(VLOOKUP(A1464,预留库存!A:H,8,0),0)</f>
        <v>0</v>
      </c>
      <c r="I1464">
        <f>IFERROR(VLOOKUP(A1464,预留库存!A:F,6,0),0)</f>
        <v>26.98</v>
      </c>
      <c r="J1464">
        <f>IFERROR(VLOOKUP(A1464,库龄!B:K,9,0),0)</f>
        <v>0</v>
      </c>
      <c r="K1464">
        <f>IFERROR(VLOOKUP(A1464,库龄!B:L,10,0),0)</f>
        <v>0</v>
      </c>
      <c r="L1464">
        <f>IFERROR(VLOOKUP(A1464,库龄!B:M,11,0),0)</f>
        <v>0</v>
      </c>
      <c r="M1464">
        <f>IFERROR(VLOOKUP(A1464,库龄!B:N,12,0),0)</f>
        <v>0</v>
      </c>
      <c r="N1464">
        <f t="shared" si="46"/>
        <v>0</v>
      </c>
    </row>
    <row r="1465" spans="1:14">
      <c r="A1465" s="3" t="s">
        <v>3957</v>
      </c>
      <c r="B1465">
        <f>IFERROR(VLOOKUP(A1465,管理亚马逊库存!A:K,11,0),"")</f>
        <v>0</v>
      </c>
      <c r="C1465">
        <f>IFERROR(VLOOKUP(A1465,管理亚马逊库存!A:L,12,0),"")</f>
        <v>0</v>
      </c>
      <c r="D1465">
        <f>IFERROR(VLOOKUP(A1465,管理亚马逊库存!A:Q,17,0),"")</f>
        <v>0</v>
      </c>
      <c r="E1465">
        <f>IFERROR(VLOOKUP(A1465,管理亚马逊库存!A:R,18,0),"")</f>
        <v>0</v>
      </c>
      <c r="F1465">
        <f t="shared" si="45"/>
        <v>0</v>
      </c>
      <c r="G1465" t="str">
        <f>IFERROR(VLOOKUP(A1465,预留库存!A:G,7,0),0)</f>
        <v>No</v>
      </c>
      <c r="H1465">
        <f>IFERROR(VLOOKUP(A1465,预留库存!A:H,8,0),0)</f>
        <v>0</v>
      </c>
      <c r="I1465">
        <f>IFERROR(VLOOKUP(A1465,预留库存!A:F,6,0),0)</f>
        <v>26.98</v>
      </c>
      <c r="J1465">
        <f>IFERROR(VLOOKUP(A1465,库龄!B:K,9,0),0)</f>
        <v>0</v>
      </c>
      <c r="K1465">
        <f>IFERROR(VLOOKUP(A1465,库龄!B:L,10,0),0)</f>
        <v>0</v>
      </c>
      <c r="L1465">
        <f>IFERROR(VLOOKUP(A1465,库龄!B:M,11,0),0)</f>
        <v>0</v>
      </c>
      <c r="M1465">
        <f>IFERROR(VLOOKUP(A1465,库龄!B:N,12,0),0)</f>
        <v>0</v>
      </c>
      <c r="N1465">
        <f t="shared" si="46"/>
        <v>0</v>
      </c>
    </row>
    <row r="1466" spans="1:14">
      <c r="A1466" s="3" t="s">
        <v>3961</v>
      </c>
      <c r="B1466">
        <f>IFERROR(VLOOKUP(A1466,管理亚马逊库存!A:K,11,0),"")</f>
        <v>0</v>
      </c>
      <c r="C1466">
        <f>IFERROR(VLOOKUP(A1466,管理亚马逊库存!A:L,12,0),"")</f>
        <v>0</v>
      </c>
      <c r="D1466">
        <f>IFERROR(VLOOKUP(A1466,管理亚马逊库存!A:Q,17,0),"")</f>
        <v>0</v>
      </c>
      <c r="E1466">
        <f>IFERROR(VLOOKUP(A1466,管理亚马逊库存!A:R,18,0),"")</f>
        <v>0</v>
      </c>
      <c r="F1466">
        <f t="shared" si="45"/>
        <v>0</v>
      </c>
      <c r="G1466" t="str">
        <f>IFERROR(VLOOKUP(A1466,预留库存!A:G,7,0),0)</f>
        <v>No</v>
      </c>
      <c r="H1466">
        <f>IFERROR(VLOOKUP(A1466,预留库存!A:H,8,0),0)</f>
        <v>0</v>
      </c>
      <c r="I1466">
        <f>IFERROR(VLOOKUP(A1466,预留库存!A:F,6,0),0)</f>
        <v>26.98</v>
      </c>
      <c r="J1466">
        <f>IFERROR(VLOOKUP(A1466,库龄!B:K,9,0),0)</f>
        <v>0</v>
      </c>
      <c r="K1466">
        <f>IFERROR(VLOOKUP(A1466,库龄!B:L,10,0),0)</f>
        <v>0</v>
      </c>
      <c r="L1466">
        <f>IFERROR(VLOOKUP(A1466,库龄!B:M,11,0),0)</f>
        <v>0</v>
      </c>
      <c r="M1466">
        <f>IFERROR(VLOOKUP(A1466,库龄!B:N,12,0),0)</f>
        <v>0</v>
      </c>
      <c r="N1466">
        <f t="shared" si="46"/>
        <v>0</v>
      </c>
    </row>
    <row r="1467" spans="1:14">
      <c r="A1467" s="3" t="s">
        <v>3965</v>
      </c>
      <c r="B1467">
        <f>IFERROR(VLOOKUP(A1467,管理亚马逊库存!A:K,11,0),"")</f>
        <v>0</v>
      </c>
      <c r="C1467">
        <f>IFERROR(VLOOKUP(A1467,管理亚马逊库存!A:L,12,0),"")</f>
        <v>0</v>
      </c>
      <c r="D1467">
        <f>IFERROR(VLOOKUP(A1467,管理亚马逊库存!A:Q,17,0),"")</f>
        <v>0</v>
      </c>
      <c r="E1467">
        <f>IFERROR(VLOOKUP(A1467,管理亚马逊库存!A:R,18,0),"")</f>
        <v>0</v>
      </c>
      <c r="F1467">
        <f t="shared" si="45"/>
        <v>0</v>
      </c>
      <c r="G1467" t="str">
        <f>IFERROR(VLOOKUP(A1467,预留库存!A:G,7,0),0)</f>
        <v>No</v>
      </c>
      <c r="H1467">
        <f>IFERROR(VLOOKUP(A1467,预留库存!A:H,8,0),0)</f>
        <v>0</v>
      </c>
      <c r="I1467">
        <f>IFERROR(VLOOKUP(A1467,预留库存!A:F,6,0),0)</f>
        <v>26.98</v>
      </c>
      <c r="J1467">
        <f>IFERROR(VLOOKUP(A1467,库龄!B:K,9,0),0)</f>
        <v>0</v>
      </c>
      <c r="K1467">
        <f>IFERROR(VLOOKUP(A1467,库龄!B:L,10,0),0)</f>
        <v>0</v>
      </c>
      <c r="L1467">
        <f>IFERROR(VLOOKUP(A1467,库龄!B:M,11,0),0)</f>
        <v>0</v>
      </c>
      <c r="M1467">
        <f>IFERROR(VLOOKUP(A1467,库龄!B:N,12,0),0)</f>
        <v>0</v>
      </c>
      <c r="N1467">
        <f t="shared" si="46"/>
        <v>0</v>
      </c>
    </row>
    <row r="1468" spans="1:14">
      <c r="A1468" s="3" t="s">
        <v>3969</v>
      </c>
      <c r="B1468">
        <f>IFERROR(VLOOKUP(A1468,管理亚马逊库存!A:K,11,0),"")</f>
        <v>0</v>
      </c>
      <c r="C1468">
        <f>IFERROR(VLOOKUP(A1468,管理亚马逊库存!A:L,12,0),"")</f>
        <v>0</v>
      </c>
      <c r="D1468">
        <f>IFERROR(VLOOKUP(A1468,管理亚马逊库存!A:Q,17,0),"")</f>
        <v>0</v>
      </c>
      <c r="E1468">
        <f>IFERROR(VLOOKUP(A1468,管理亚马逊库存!A:R,18,0),"")</f>
        <v>0</v>
      </c>
      <c r="F1468">
        <f t="shared" si="45"/>
        <v>0</v>
      </c>
      <c r="G1468" t="str">
        <f>IFERROR(VLOOKUP(A1468,预留库存!A:G,7,0),0)</f>
        <v>No</v>
      </c>
      <c r="H1468">
        <f>IFERROR(VLOOKUP(A1468,预留库存!A:H,8,0),0)</f>
        <v>0</v>
      </c>
      <c r="I1468">
        <f>IFERROR(VLOOKUP(A1468,预留库存!A:F,6,0),0)</f>
        <v>26.98</v>
      </c>
      <c r="J1468">
        <f>IFERROR(VLOOKUP(A1468,库龄!B:K,9,0),0)</f>
        <v>0</v>
      </c>
      <c r="K1468">
        <f>IFERROR(VLOOKUP(A1468,库龄!B:L,10,0),0)</f>
        <v>0</v>
      </c>
      <c r="L1468">
        <f>IFERROR(VLOOKUP(A1468,库龄!B:M,11,0),0)</f>
        <v>0</v>
      </c>
      <c r="M1468">
        <f>IFERROR(VLOOKUP(A1468,库龄!B:N,12,0),0)</f>
        <v>0</v>
      </c>
      <c r="N1468">
        <f t="shared" si="46"/>
        <v>0</v>
      </c>
    </row>
    <row r="1469" spans="1:14">
      <c r="A1469" s="3" t="s">
        <v>3973</v>
      </c>
      <c r="B1469">
        <f>IFERROR(VLOOKUP(A1469,管理亚马逊库存!A:K,11,0),"")</f>
        <v>10</v>
      </c>
      <c r="C1469">
        <f>IFERROR(VLOOKUP(A1469,管理亚马逊库存!A:L,12,0),"")</f>
        <v>0</v>
      </c>
      <c r="D1469">
        <f>IFERROR(VLOOKUP(A1469,管理亚马逊库存!A:Q,17,0),"")</f>
        <v>0</v>
      </c>
      <c r="E1469">
        <f>IFERROR(VLOOKUP(A1469,管理亚马逊库存!A:R,18,0),"")</f>
        <v>0</v>
      </c>
      <c r="F1469">
        <f t="shared" si="45"/>
        <v>0</v>
      </c>
      <c r="G1469" t="str">
        <f>IFERROR(VLOOKUP(A1469,预留库存!A:G,7,0),0)</f>
        <v>No</v>
      </c>
      <c r="H1469">
        <f>IFERROR(VLOOKUP(A1469,预留库存!A:H,8,0),0)</f>
        <v>0</v>
      </c>
      <c r="I1469">
        <f>IFERROR(VLOOKUP(A1469,预留库存!A:F,6,0),0)</f>
        <v>20.98</v>
      </c>
      <c r="J1469">
        <f>IFERROR(VLOOKUP(A1469,库龄!B:K,9,0),0)</f>
        <v>0</v>
      </c>
      <c r="K1469">
        <f>IFERROR(VLOOKUP(A1469,库龄!B:L,10,0),0)</f>
        <v>0</v>
      </c>
      <c r="L1469">
        <f>IFERROR(VLOOKUP(A1469,库龄!B:M,11,0),0)</f>
        <v>0</v>
      </c>
      <c r="M1469">
        <f>IFERROR(VLOOKUP(A1469,库龄!B:N,12,0),0)</f>
        <v>0</v>
      </c>
      <c r="N1469">
        <f t="shared" si="46"/>
        <v>0</v>
      </c>
    </row>
    <row r="1470" spans="1:14">
      <c r="A1470" s="3" t="s">
        <v>3977</v>
      </c>
      <c r="B1470">
        <f>IFERROR(VLOOKUP(A1470,管理亚马逊库存!A:K,11,0),"")</f>
        <v>0</v>
      </c>
      <c r="C1470">
        <f>IFERROR(VLOOKUP(A1470,管理亚马逊库存!A:L,12,0),"")</f>
        <v>0</v>
      </c>
      <c r="D1470">
        <f>IFERROR(VLOOKUP(A1470,管理亚马逊库存!A:Q,17,0),"")</f>
        <v>0</v>
      </c>
      <c r="E1470">
        <f>IFERROR(VLOOKUP(A1470,管理亚马逊库存!A:R,18,0),"")</f>
        <v>0</v>
      </c>
      <c r="F1470">
        <f t="shared" si="45"/>
        <v>0</v>
      </c>
      <c r="G1470" t="str">
        <f>IFERROR(VLOOKUP(A1470,预留库存!A:G,7,0),0)</f>
        <v>No</v>
      </c>
      <c r="H1470">
        <f>IFERROR(VLOOKUP(A1470,预留库存!A:H,8,0),0)</f>
        <v>0</v>
      </c>
      <c r="I1470">
        <f>IFERROR(VLOOKUP(A1470,预留库存!A:F,6,0),0)</f>
        <v>20.98</v>
      </c>
      <c r="J1470">
        <f>IFERROR(VLOOKUP(A1470,库龄!B:K,9,0),0)</f>
        <v>0</v>
      </c>
      <c r="K1470">
        <f>IFERROR(VLOOKUP(A1470,库龄!B:L,10,0),0)</f>
        <v>0</v>
      </c>
      <c r="L1470">
        <f>IFERROR(VLOOKUP(A1470,库龄!B:M,11,0),0)</f>
        <v>0</v>
      </c>
      <c r="M1470">
        <f>IFERROR(VLOOKUP(A1470,库龄!B:N,12,0),0)</f>
        <v>0</v>
      </c>
      <c r="N1470">
        <f t="shared" si="46"/>
        <v>0</v>
      </c>
    </row>
    <row r="1471" spans="1:14">
      <c r="A1471" s="3" t="s">
        <v>3981</v>
      </c>
      <c r="B1471">
        <f>IFERROR(VLOOKUP(A1471,管理亚马逊库存!A:K,11,0),"")</f>
        <v>0</v>
      </c>
      <c r="C1471">
        <f>IFERROR(VLOOKUP(A1471,管理亚马逊库存!A:L,12,0),"")</f>
        <v>0</v>
      </c>
      <c r="D1471">
        <f>IFERROR(VLOOKUP(A1471,管理亚马逊库存!A:Q,17,0),"")</f>
        <v>0</v>
      </c>
      <c r="E1471">
        <f>IFERROR(VLOOKUP(A1471,管理亚马逊库存!A:R,18,0),"")</f>
        <v>0</v>
      </c>
      <c r="F1471">
        <f t="shared" si="45"/>
        <v>0</v>
      </c>
      <c r="G1471" t="str">
        <f>IFERROR(VLOOKUP(A1471,预留库存!A:G,7,0),0)</f>
        <v>No</v>
      </c>
      <c r="H1471">
        <f>IFERROR(VLOOKUP(A1471,预留库存!A:H,8,0),0)</f>
        <v>0</v>
      </c>
      <c r="I1471">
        <f>IFERROR(VLOOKUP(A1471,预留库存!A:F,6,0),0)</f>
        <v>20.98</v>
      </c>
      <c r="J1471">
        <f>IFERROR(VLOOKUP(A1471,库龄!B:K,9,0),0)</f>
        <v>0</v>
      </c>
      <c r="K1471">
        <f>IFERROR(VLOOKUP(A1471,库龄!B:L,10,0),0)</f>
        <v>0</v>
      </c>
      <c r="L1471">
        <f>IFERROR(VLOOKUP(A1471,库龄!B:M,11,0),0)</f>
        <v>0</v>
      </c>
      <c r="M1471">
        <f>IFERROR(VLOOKUP(A1471,库龄!B:N,12,0),0)</f>
        <v>0</v>
      </c>
      <c r="N1471">
        <f t="shared" si="46"/>
        <v>0</v>
      </c>
    </row>
    <row r="1472" spans="1:14">
      <c r="A1472" s="3" t="s">
        <v>3985</v>
      </c>
      <c r="B1472">
        <f>IFERROR(VLOOKUP(A1472,管理亚马逊库存!A:K,11,0),"")</f>
        <v>0</v>
      </c>
      <c r="C1472">
        <f>IFERROR(VLOOKUP(A1472,管理亚马逊库存!A:L,12,0),"")</f>
        <v>0</v>
      </c>
      <c r="D1472">
        <f>IFERROR(VLOOKUP(A1472,管理亚马逊库存!A:Q,17,0),"")</f>
        <v>0</v>
      </c>
      <c r="E1472">
        <f>IFERROR(VLOOKUP(A1472,管理亚马逊库存!A:R,18,0),"")</f>
        <v>0</v>
      </c>
      <c r="F1472">
        <f t="shared" si="45"/>
        <v>0</v>
      </c>
      <c r="G1472" t="str">
        <f>IFERROR(VLOOKUP(A1472,预留库存!A:G,7,0),0)</f>
        <v>No</v>
      </c>
      <c r="H1472">
        <f>IFERROR(VLOOKUP(A1472,预留库存!A:H,8,0),0)</f>
        <v>0</v>
      </c>
      <c r="I1472">
        <f>IFERROR(VLOOKUP(A1472,预留库存!A:F,6,0),0)</f>
        <v>20.98</v>
      </c>
      <c r="J1472">
        <f>IFERROR(VLOOKUP(A1472,库龄!B:K,9,0),0)</f>
        <v>0</v>
      </c>
      <c r="K1472">
        <f>IFERROR(VLOOKUP(A1472,库龄!B:L,10,0),0)</f>
        <v>0</v>
      </c>
      <c r="L1472">
        <f>IFERROR(VLOOKUP(A1472,库龄!B:M,11,0),0)</f>
        <v>0</v>
      </c>
      <c r="M1472">
        <f>IFERROR(VLOOKUP(A1472,库龄!B:N,12,0),0)</f>
        <v>0</v>
      </c>
      <c r="N1472">
        <f t="shared" si="46"/>
        <v>0</v>
      </c>
    </row>
    <row r="1473" spans="1:14">
      <c r="A1473" s="3" t="s">
        <v>3989</v>
      </c>
      <c r="B1473">
        <f>IFERROR(VLOOKUP(A1473,管理亚马逊库存!A:K,11,0),"")</f>
        <v>0</v>
      </c>
      <c r="C1473">
        <f>IFERROR(VLOOKUP(A1473,管理亚马逊库存!A:L,12,0),"")</f>
        <v>0</v>
      </c>
      <c r="D1473">
        <f>IFERROR(VLOOKUP(A1473,管理亚马逊库存!A:Q,17,0),"")</f>
        <v>0</v>
      </c>
      <c r="E1473">
        <f>IFERROR(VLOOKUP(A1473,管理亚马逊库存!A:R,18,0),"")</f>
        <v>0</v>
      </c>
      <c r="F1473">
        <f t="shared" si="45"/>
        <v>0</v>
      </c>
      <c r="G1473" t="str">
        <f>IFERROR(VLOOKUP(A1473,预留库存!A:G,7,0),0)</f>
        <v>No</v>
      </c>
      <c r="H1473">
        <f>IFERROR(VLOOKUP(A1473,预留库存!A:H,8,0),0)</f>
        <v>0</v>
      </c>
      <c r="I1473">
        <f>IFERROR(VLOOKUP(A1473,预留库存!A:F,6,0),0)</f>
        <v>20.98</v>
      </c>
      <c r="J1473">
        <f>IFERROR(VLOOKUP(A1473,库龄!B:K,9,0),0)</f>
        <v>0</v>
      </c>
      <c r="K1473">
        <f>IFERROR(VLOOKUP(A1473,库龄!B:L,10,0),0)</f>
        <v>0</v>
      </c>
      <c r="L1473">
        <f>IFERROR(VLOOKUP(A1473,库龄!B:M,11,0),0)</f>
        <v>0</v>
      </c>
      <c r="M1473">
        <f>IFERROR(VLOOKUP(A1473,库龄!B:N,12,0),0)</f>
        <v>0</v>
      </c>
      <c r="N1473">
        <f t="shared" si="46"/>
        <v>0</v>
      </c>
    </row>
    <row r="1474" spans="1:14">
      <c r="A1474" s="3" t="s">
        <v>3993</v>
      </c>
      <c r="B1474">
        <f>IFERROR(VLOOKUP(A1474,管理亚马逊库存!A:K,11,0),"")</f>
        <v>2</v>
      </c>
      <c r="C1474">
        <f>IFERROR(VLOOKUP(A1474,管理亚马逊库存!A:L,12,0),"")</f>
        <v>0</v>
      </c>
      <c r="D1474">
        <f>IFERROR(VLOOKUP(A1474,管理亚马逊库存!A:Q,17,0),"")</f>
        <v>0</v>
      </c>
      <c r="E1474">
        <f>IFERROR(VLOOKUP(A1474,管理亚马逊库存!A:R,18,0),"")</f>
        <v>0</v>
      </c>
      <c r="F1474">
        <f t="shared" si="45"/>
        <v>0</v>
      </c>
      <c r="G1474" t="str">
        <f>IFERROR(VLOOKUP(A1474,预留库存!A:G,7,0),0)</f>
        <v>No</v>
      </c>
      <c r="H1474">
        <f>IFERROR(VLOOKUP(A1474,预留库存!A:H,8,0),0)</f>
        <v>0</v>
      </c>
      <c r="I1474">
        <f>IFERROR(VLOOKUP(A1474,预留库存!A:F,6,0),0)</f>
        <v>20.98</v>
      </c>
      <c r="J1474">
        <f>IFERROR(VLOOKUP(A1474,库龄!B:K,9,0),0)</f>
        <v>0</v>
      </c>
      <c r="K1474">
        <f>IFERROR(VLOOKUP(A1474,库龄!B:L,10,0),0)</f>
        <v>0</v>
      </c>
      <c r="L1474">
        <f>IFERROR(VLOOKUP(A1474,库龄!B:M,11,0),0)</f>
        <v>0</v>
      </c>
      <c r="M1474">
        <f>IFERROR(VLOOKUP(A1474,库龄!B:N,12,0),0)</f>
        <v>0</v>
      </c>
      <c r="N1474">
        <f t="shared" si="46"/>
        <v>0</v>
      </c>
    </row>
    <row r="1475" spans="1:14">
      <c r="A1475" s="3" t="s">
        <v>3997</v>
      </c>
      <c r="B1475">
        <f>IFERROR(VLOOKUP(A1475,管理亚马逊库存!A:K,11,0),"")</f>
        <v>0</v>
      </c>
      <c r="C1475">
        <f>IFERROR(VLOOKUP(A1475,管理亚马逊库存!A:L,12,0),"")</f>
        <v>0</v>
      </c>
      <c r="D1475">
        <f>IFERROR(VLOOKUP(A1475,管理亚马逊库存!A:Q,17,0),"")</f>
        <v>0</v>
      </c>
      <c r="E1475">
        <f>IFERROR(VLOOKUP(A1475,管理亚马逊库存!A:R,18,0),"")</f>
        <v>0</v>
      </c>
      <c r="F1475">
        <f t="shared" ref="F1475:F1538" si="47">SUM(D1475:E1475)</f>
        <v>0</v>
      </c>
      <c r="G1475" t="str">
        <f>IFERROR(VLOOKUP(A1475,预留库存!A:G,7,0),0)</f>
        <v>No</v>
      </c>
      <c r="H1475">
        <f>IFERROR(VLOOKUP(A1475,预留库存!A:H,8,0),0)</f>
        <v>0</v>
      </c>
      <c r="I1475">
        <f>IFERROR(VLOOKUP(A1475,预留库存!A:F,6,0),0)</f>
        <v>20.98</v>
      </c>
      <c r="J1475">
        <f>IFERROR(VLOOKUP(A1475,库龄!B:K,9,0),0)</f>
        <v>0</v>
      </c>
      <c r="K1475">
        <f>IFERROR(VLOOKUP(A1475,库龄!B:L,10,0),0)</f>
        <v>0</v>
      </c>
      <c r="L1475">
        <f>IFERROR(VLOOKUP(A1475,库龄!B:M,11,0),0)</f>
        <v>0</v>
      </c>
      <c r="M1475">
        <f>IFERROR(VLOOKUP(A1475,库龄!B:N,12,0),0)</f>
        <v>0</v>
      </c>
      <c r="N1475">
        <f t="shared" ref="N1475:N1538" si="48">SUM(J1475:M1475)</f>
        <v>0</v>
      </c>
    </row>
    <row r="1476" spans="1:14">
      <c r="A1476" s="3" t="s">
        <v>4001</v>
      </c>
      <c r="B1476">
        <f>IFERROR(VLOOKUP(A1476,管理亚马逊库存!A:K,11,0),"")</f>
        <v>0</v>
      </c>
      <c r="C1476">
        <f>IFERROR(VLOOKUP(A1476,管理亚马逊库存!A:L,12,0),"")</f>
        <v>0</v>
      </c>
      <c r="D1476">
        <f>IFERROR(VLOOKUP(A1476,管理亚马逊库存!A:Q,17,0),"")</f>
        <v>0</v>
      </c>
      <c r="E1476">
        <f>IFERROR(VLOOKUP(A1476,管理亚马逊库存!A:R,18,0),"")</f>
        <v>0</v>
      </c>
      <c r="F1476">
        <f t="shared" si="47"/>
        <v>0</v>
      </c>
      <c r="G1476" t="str">
        <f>IFERROR(VLOOKUP(A1476,预留库存!A:G,7,0),0)</f>
        <v>No</v>
      </c>
      <c r="H1476">
        <f>IFERROR(VLOOKUP(A1476,预留库存!A:H,8,0),0)</f>
        <v>0</v>
      </c>
      <c r="I1476">
        <f>IFERROR(VLOOKUP(A1476,预留库存!A:F,6,0),0)</f>
        <v>20.98</v>
      </c>
      <c r="J1476">
        <f>IFERROR(VLOOKUP(A1476,库龄!B:K,9,0),0)</f>
        <v>0</v>
      </c>
      <c r="K1476">
        <f>IFERROR(VLOOKUP(A1476,库龄!B:L,10,0),0)</f>
        <v>0</v>
      </c>
      <c r="L1476">
        <f>IFERROR(VLOOKUP(A1476,库龄!B:M,11,0),0)</f>
        <v>0</v>
      </c>
      <c r="M1476">
        <f>IFERROR(VLOOKUP(A1476,库龄!B:N,12,0),0)</f>
        <v>0</v>
      </c>
      <c r="N1476">
        <f t="shared" si="48"/>
        <v>0</v>
      </c>
    </row>
    <row r="1477" spans="1:14">
      <c r="A1477" s="3" t="s">
        <v>4005</v>
      </c>
      <c r="B1477">
        <f>IFERROR(VLOOKUP(A1477,管理亚马逊库存!A:K,11,0),"")</f>
        <v>0</v>
      </c>
      <c r="C1477">
        <f>IFERROR(VLOOKUP(A1477,管理亚马逊库存!A:L,12,0),"")</f>
        <v>0</v>
      </c>
      <c r="D1477">
        <f>IFERROR(VLOOKUP(A1477,管理亚马逊库存!A:Q,17,0),"")</f>
        <v>0</v>
      </c>
      <c r="E1477">
        <f>IFERROR(VLOOKUP(A1477,管理亚马逊库存!A:R,18,0),"")</f>
        <v>0</v>
      </c>
      <c r="F1477">
        <f t="shared" si="47"/>
        <v>0</v>
      </c>
      <c r="G1477" t="str">
        <f>IFERROR(VLOOKUP(A1477,预留库存!A:G,7,0),0)</f>
        <v>No</v>
      </c>
      <c r="H1477">
        <f>IFERROR(VLOOKUP(A1477,预留库存!A:H,8,0),0)</f>
        <v>0</v>
      </c>
      <c r="I1477">
        <f>IFERROR(VLOOKUP(A1477,预留库存!A:F,6,0),0)</f>
        <v>20.98</v>
      </c>
      <c r="J1477">
        <f>IFERROR(VLOOKUP(A1477,库龄!B:K,9,0),0)</f>
        <v>0</v>
      </c>
      <c r="K1477">
        <f>IFERROR(VLOOKUP(A1477,库龄!B:L,10,0),0)</f>
        <v>0</v>
      </c>
      <c r="L1477">
        <f>IFERROR(VLOOKUP(A1477,库龄!B:M,11,0),0)</f>
        <v>0</v>
      </c>
      <c r="M1477">
        <f>IFERROR(VLOOKUP(A1477,库龄!B:N,12,0),0)</f>
        <v>0</v>
      </c>
      <c r="N1477">
        <f t="shared" si="48"/>
        <v>0</v>
      </c>
    </row>
    <row r="1478" spans="1:14">
      <c r="A1478" s="3" t="s">
        <v>4009</v>
      </c>
      <c r="B1478">
        <f>IFERROR(VLOOKUP(A1478,管理亚马逊库存!A:K,11,0),"")</f>
        <v>0</v>
      </c>
      <c r="C1478">
        <f>IFERROR(VLOOKUP(A1478,管理亚马逊库存!A:L,12,0),"")</f>
        <v>0</v>
      </c>
      <c r="D1478">
        <f>IFERROR(VLOOKUP(A1478,管理亚马逊库存!A:Q,17,0),"")</f>
        <v>0</v>
      </c>
      <c r="E1478">
        <f>IFERROR(VLOOKUP(A1478,管理亚马逊库存!A:R,18,0),"")</f>
        <v>0</v>
      </c>
      <c r="F1478">
        <f t="shared" si="47"/>
        <v>0</v>
      </c>
      <c r="G1478" t="str">
        <f>IFERROR(VLOOKUP(A1478,预留库存!A:G,7,0),0)</f>
        <v>No</v>
      </c>
      <c r="H1478">
        <f>IFERROR(VLOOKUP(A1478,预留库存!A:H,8,0),0)</f>
        <v>0</v>
      </c>
      <c r="I1478">
        <f>IFERROR(VLOOKUP(A1478,预留库存!A:F,6,0),0)</f>
        <v>20.98</v>
      </c>
      <c r="J1478">
        <f>IFERROR(VLOOKUP(A1478,库龄!B:K,9,0),0)</f>
        <v>0</v>
      </c>
      <c r="K1478">
        <f>IFERROR(VLOOKUP(A1478,库龄!B:L,10,0),0)</f>
        <v>0</v>
      </c>
      <c r="L1478">
        <f>IFERROR(VLOOKUP(A1478,库龄!B:M,11,0),0)</f>
        <v>0</v>
      </c>
      <c r="M1478">
        <f>IFERROR(VLOOKUP(A1478,库龄!B:N,12,0),0)</f>
        <v>0</v>
      </c>
      <c r="N1478">
        <f t="shared" si="48"/>
        <v>0</v>
      </c>
    </row>
    <row r="1479" spans="1:14">
      <c r="A1479" s="3" t="s">
        <v>4013</v>
      </c>
      <c r="B1479">
        <f>IFERROR(VLOOKUP(A1479,管理亚马逊库存!A:K,11,0),"")</f>
        <v>0</v>
      </c>
      <c r="C1479">
        <f>IFERROR(VLOOKUP(A1479,管理亚马逊库存!A:L,12,0),"")</f>
        <v>0</v>
      </c>
      <c r="D1479">
        <f>IFERROR(VLOOKUP(A1479,管理亚马逊库存!A:Q,17,0),"")</f>
        <v>0</v>
      </c>
      <c r="E1479">
        <f>IFERROR(VLOOKUP(A1479,管理亚马逊库存!A:R,18,0),"")</f>
        <v>0</v>
      </c>
      <c r="F1479">
        <f t="shared" si="47"/>
        <v>0</v>
      </c>
      <c r="G1479" t="str">
        <f>IFERROR(VLOOKUP(A1479,预留库存!A:G,7,0),0)</f>
        <v>No</v>
      </c>
      <c r="H1479">
        <f>IFERROR(VLOOKUP(A1479,预留库存!A:H,8,0),0)</f>
        <v>0</v>
      </c>
      <c r="I1479">
        <f>IFERROR(VLOOKUP(A1479,预留库存!A:F,6,0),0)</f>
        <v>20.98</v>
      </c>
      <c r="J1479">
        <f>IFERROR(VLOOKUP(A1479,库龄!B:K,9,0),0)</f>
        <v>0</v>
      </c>
      <c r="K1479">
        <f>IFERROR(VLOOKUP(A1479,库龄!B:L,10,0),0)</f>
        <v>0</v>
      </c>
      <c r="L1479">
        <f>IFERROR(VLOOKUP(A1479,库龄!B:M,11,0),0)</f>
        <v>0</v>
      </c>
      <c r="M1479">
        <f>IFERROR(VLOOKUP(A1479,库龄!B:N,12,0),0)</f>
        <v>0</v>
      </c>
      <c r="N1479">
        <f t="shared" si="48"/>
        <v>0</v>
      </c>
    </row>
    <row r="1480" spans="1:14">
      <c r="A1480" s="3" t="s">
        <v>4017</v>
      </c>
      <c r="B1480">
        <f>IFERROR(VLOOKUP(A1480,管理亚马逊库存!A:K,11,0),"")</f>
        <v>10</v>
      </c>
      <c r="C1480">
        <f>IFERROR(VLOOKUP(A1480,管理亚马逊库存!A:L,12,0),"")</f>
        <v>0</v>
      </c>
      <c r="D1480">
        <f>IFERROR(VLOOKUP(A1480,管理亚马逊库存!A:Q,17,0),"")</f>
        <v>0</v>
      </c>
      <c r="E1480">
        <f>IFERROR(VLOOKUP(A1480,管理亚马逊库存!A:R,18,0),"")</f>
        <v>0</v>
      </c>
      <c r="F1480">
        <f t="shared" si="47"/>
        <v>0</v>
      </c>
      <c r="G1480" t="str">
        <f>IFERROR(VLOOKUP(A1480,预留库存!A:G,7,0),0)</f>
        <v>No</v>
      </c>
      <c r="H1480">
        <f>IFERROR(VLOOKUP(A1480,预留库存!A:H,8,0),0)</f>
        <v>0</v>
      </c>
      <c r="I1480">
        <f>IFERROR(VLOOKUP(A1480,预留库存!A:F,6,0),0)</f>
        <v>20.98</v>
      </c>
      <c r="J1480">
        <f>IFERROR(VLOOKUP(A1480,库龄!B:K,9,0),0)</f>
        <v>0</v>
      </c>
      <c r="K1480">
        <f>IFERROR(VLOOKUP(A1480,库龄!B:L,10,0),0)</f>
        <v>0</v>
      </c>
      <c r="L1480">
        <f>IFERROR(VLOOKUP(A1480,库龄!B:M,11,0),0)</f>
        <v>0</v>
      </c>
      <c r="M1480">
        <f>IFERROR(VLOOKUP(A1480,库龄!B:N,12,0),0)</f>
        <v>0</v>
      </c>
      <c r="N1480">
        <f t="shared" si="48"/>
        <v>0</v>
      </c>
    </row>
    <row r="1481" spans="1:14">
      <c r="A1481" s="3" t="s">
        <v>4021</v>
      </c>
      <c r="B1481">
        <f>IFERROR(VLOOKUP(A1481,管理亚马逊库存!A:K,11,0),"")</f>
        <v>0</v>
      </c>
      <c r="C1481">
        <f>IFERROR(VLOOKUP(A1481,管理亚马逊库存!A:L,12,0),"")</f>
        <v>0</v>
      </c>
      <c r="D1481">
        <f>IFERROR(VLOOKUP(A1481,管理亚马逊库存!A:Q,17,0),"")</f>
        <v>0</v>
      </c>
      <c r="E1481">
        <f>IFERROR(VLOOKUP(A1481,管理亚马逊库存!A:R,18,0),"")</f>
        <v>0</v>
      </c>
      <c r="F1481">
        <f t="shared" si="47"/>
        <v>0</v>
      </c>
      <c r="G1481" t="str">
        <f>IFERROR(VLOOKUP(A1481,预留库存!A:G,7,0),0)</f>
        <v>No</v>
      </c>
      <c r="H1481">
        <f>IFERROR(VLOOKUP(A1481,预留库存!A:H,8,0),0)</f>
        <v>0</v>
      </c>
      <c r="I1481">
        <f>IFERROR(VLOOKUP(A1481,预留库存!A:F,6,0),0)</f>
        <v>20.98</v>
      </c>
      <c r="J1481">
        <f>IFERROR(VLOOKUP(A1481,库龄!B:K,9,0),0)</f>
        <v>0</v>
      </c>
      <c r="K1481">
        <f>IFERROR(VLOOKUP(A1481,库龄!B:L,10,0),0)</f>
        <v>0</v>
      </c>
      <c r="L1481">
        <f>IFERROR(VLOOKUP(A1481,库龄!B:M,11,0),0)</f>
        <v>0</v>
      </c>
      <c r="M1481">
        <f>IFERROR(VLOOKUP(A1481,库龄!B:N,12,0),0)</f>
        <v>0</v>
      </c>
      <c r="N1481">
        <f t="shared" si="48"/>
        <v>0</v>
      </c>
    </row>
    <row r="1482" spans="1:14">
      <c r="A1482" s="3" t="s">
        <v>4025</v>
      </c>
      <c r="B1482">
        <f>IFERROR(VLOOKUP(A1482,管理亚马逊库存!A:K,11,0),"")</f>
        <v>0</v>
      </c>
      <c r="C1482">
        <f>IFERROR(VLOOKUP(A1482,管理亚马逊库存!A:L,12,0),"")</f>
        <v>0</v>
      </c>
      <c r="D1482">
        <f>IFERROR(VLOOKUP(A1482,管理亚马逊库存!A:Q,17,0),"")</f>
        <v>0</v>
      </c>
      <c r="E1482">
        <f>IFERROR(VLOOKUP(A1482,管理亚马逊库存!A:R,18,0),"")</f>
        <v>0</v>
      </c>
      <c r="F1482">
        <f t="shared" si="47"/>
        <v>0</v>
      </c>
      <c r="G1482" t="str">
        <f>IFERROR(VLOOKUP(A1482,预留库存!A:G,7,0),0)</f>
        <v>No</v>
      </c>
      <c r="H1482">
        <f>IFERROR(VLOOKUP(A1482,预留库存!A:H,8,0),0)</f>
        <v>0</v>
      </c>
      <c r="I1482">
        <f>IFERROR(VLOOKUP(A1482,预留库存!A:F,6,0),0)</f>
        <v>20.98</v>
      </c>
      <c r="J1482">
        <f>IFERROR(VLOOKUP(A1482,库龄!B:K,9,0),0)</f>
        <v>0</v>
      </c>
      <c r="K1482">
        <f>IFERROR(VLOOKUP(A1482,库龄!B:L,10,0),0)</f>
        <v>0</v>
      </c>
      <c r="L1482">
        <f>IFERROR(VLOOKUP(A1482,库龄!B:M,11,0),0)</f>
        <v>0</v>
      </c>
      <c r="M1482">
        <f>IFERROR(VLOOKUP(A1482,库龄!B:N,12,0),0)</f>
        <v>0</v>
      </c>
      <c r="N1482">
        <f t="shared" si="48"/>
        <v>0</v>
      </c>
    </row>
    <row r="1483" spans="1:14">
      <c r="A1483" s="3" t="s">
        <v>4029</v>
      </c>
      <c r="B1483">
        <f>IFERROR(VLOOKUP(A1483,管理亚马逊库存!A:K,11,0),"")</f>
        <v>0</v>
      </c>
      <c r="C1483">
        <f>IFERROR(VLOOKUP(A1483,管理亚马逊库存!A:L,12,0),"")</f>
        <v>0</v>
      </c>
      <c r="D1483">
        <f>IFERROR(VLOOKUP(A1483,管理亚马逊库存!A:Q,17,0),"")</f>
        <v>0</v>
      </c>
      <c r="E1483">
        <f>IFERROR(VLOOKUP(A1483,管理亚马逊库存!A:R,18,0),"")</f>
        <v>0</v>
      </c>
      <c r="F1483">
        <f t="shared" si="47"/>
        <v>0</v>
      </c>
      <c r="G1483" t="str">
        <f>IFERROR(VLOOKUP(A1483,预留库存!A:G,7,0),0)</f>
        <v>No</v>
      </c>
      <c r="H1483">
        <f>IFERROR(VLOOKUP(A1483,预留库存!A:H,8,0),0)</f>
        <v>0</v>
      </c>
      <c r="I1483">
        <f>IFERROR(VLOOKUP(A1483,预留库存!A:F,6,0),0)</f>
        <v>20.98</v>
      </c>
      <c r="J1483">
        <f>IFERROR(VLOOKUP(A1483,库龄!B:K,9,0),0)</f>
        <v>0</v>
      </c>
      <c r="K1483">
        <f>IFERROR(VLOOKUP(A1483,库龄!B:L,10,0),0)</f>
        <v>0</v>
      </c>
      <c r="L1483">
        <f>IFERROR(VLOOKUP(A1483,库龄!B:M,11,0),0)</f>
        <v>0</v>
      </c>
      <c r="M1483">
        <f>IFERROR(VLOOKUP(A1483,库龄!B:N,12,0),0)</f>
        <v>0</v>
      </c>
      <c r="N1483">
        <f t="shared" si="48"/>
        <v>0</v>
      </c>
    </row>
    <row r="1484" spans="1:14">
      <c r="A1484" s="3" t="s">
        <v>4033</v>
      </c>
      <c r="B1484">
        <f>IFERROR(VLOOKUP(A1484,管理亚马逊库存!A:K,11,0),"")</f>
        <v>0</v>
      </c>
      <c r="C1484">
        <f>IFERROR(VLOOKUP(A1484,管理亚马逊库存!A:L,12,0),"")</f>
        <v>0</v>
      </c>
      <c r="D1484">
        <f>IFERROR(VLOOKUP(A1484,管理亚马逊库存!A:Q,17,0),"")</f>
        <v>0</v>
      </c>
      <c r="E1484">
        <f>IFERROR(VLOOKUP(A1484,管理亚马逊库存!A:R,18,0),"")</f>
        <v>0</v>
      </c>
      <c r="F1484">
        <f t="shared" si="47"/>
        <v>0</v>
      </c>
      <c r="G1484" t="str">
        <f>IFERROR(VLOOKUP(A1484,预留库存!A:G,7,0),0)</f>
        <v>No</v>
      </c>
      <c r="H1484">
        <f>IFERROR(VLOOKUP(A1484,预留库存!A:H,8,0),0)</f>
        <v>0</v>
      </c>
      <c r="I1484">
        <f>IFERROR(VLOOKUP(A1484,预留库存!A:F,6,0),0)</f>
        <v>20.98</v>
      </c>
      <c r="J1484">
        <f>IFERROR(VLOOKUP(A1484,库龄!B:K,9,0),0)</f>
        <v>0</v>
      </c>
      <c r="K1484">
        <f>IFERROR(VLOOKUP(A1484,库龄!B:L,10,0),0)</f>
        <v>0</v>
      </c>
      <c r="L1484">
        <f>IFERROR(VLOOKUP(A1484,库龄!B:M,11,0),0)</f>
        <v>0</v>
      </c>
      <c r="M1484">
        <f>IFERROR(VLOOKUP(A1484,库龄!B:N,12,0),0)</f>
        <v>0</v>
      </c>
      <c r="N1484">
        <f t="shared" si="48"/>
        <v>0</v>
      </c>
    </row>
    <row r="1485" spans="1:14">
      <c r="A1485" s="3" t="s">
        <v>4037</v>
      </c>
      <c r="B1485">
        <f>IFERROR(VLOOKUP(A1485,管理亚马逊库存!A:K,11,0),"")</f>
        <v>0</v>
      </c>
      <c r="C1485">
        <f>IFERROR(VLOOKUP(A1485,管理亚马逊库存!A:L,12,0),"")</f>
        <v>0</v>
      </c>
      <c r="D1485">
        <f>IFERROR(VLOOKUP(A1485,管理亚马逊库存!A:Q,17,0),"")</f>
        <v>0</v>
      </c>
      <c r="E1485">
        <f>IFERROR(VLOOKUP(A1485,管理亚马逊库存!A:R,18,0),"")</f>
        <v>0</v>
      </c>
      <c r="F1485">
        <f t="shared" si="47"/>
        <v>0</v>
      </c>
      <c r="G1485" t="str">
        <f>IFERROR(VLOOKUP(A1485,预留库存!A:G,7,0),0)</f>
        <v>No</v>
      </c>
      <c r="H1485">
        <f>IFERROR(VLOOKUP(A1485,预留库存!A:H,8,0),0)</f>
        <v>0</v>
      </c>
      <c r="I1485">
        <f>IFERROR(VLOOKUP(A1485,预留库存!A:F,6,0),0)</f>
        <v>20.98</v>
      </c>
      <c r="J1485">
        <f>IFERROR(VLOOKUP(A1485,库龄!B:K,9,0),0)</f>
        <v>0</v>
      </c>
      <c r="K1485">
        <f>IFERROR(VLOOKUP(A1485,库龄!B:L,10,0),0)</f>
        <v>0</v>
      </c>
      <c r="L1485">
        <f>IFERROR(VLOOKUP(A1485,库龄!B:M,11,0),0)</f>
        <v>0</v>
      </c>
      <c r="M1485">
        <f>IFERROR(VLOOKUP(A1485,库龄!B:N,12,0),0)</f>
        <v>0</v>
      </c>
      <c r="N1485">
        <f t="shared" si="48"/>
        <v>0</v>
      </c>
    </row>
    <row r="1486" spans="1:14">
      <c r="A1486" s="3" t="s">
        <v>4041</v>
      </c>
      <c r="B1486">
        <f>IFERROR(VLOOKUP(A1486,管理亚马逊库存!A:K,11,0),"")</f>
        <v>0</v>
      </c>
      <c r="C1486">
        <f>IFERROR(VLOOKUP(A1486,管理亚马逊库存!A:L,12,0),"")</f>
        <v>0</v>
      </c>
      <c r="D1486">
        <f>IFERROR(VLOOKUP(A1486,管理亚马逊库存!A:Q,17,0),"")</f>
        <v>0</v>
      </c>
      <c r="E1486">
        <f>IFERROR(VLOOKUP(A1486,管理亚马逊库存!A:R,18,0),"")</f>
        <v>0</v>
      </c>
      <c r="F1486">
        <f t="shared" si="47"/>
        <v>0</v>
      </c>
      <c r="G1486" t="str">
        <f>IFERROR(VLOOKUP(A1486,预留库存!A:G,7,0),0)</f>
        <v>No</v>
      </c>
      <c r="H1486">
        <f>IFERROR(VLOOKUP(A1486,预留库存!A:H,8,0),0)</f>
        <v>0</v>
      </c>
      <c r="I1486">
        <f>IFERROR(VLOOKUP(A1486,预留库存!A:F,6,0),0)</f>
        <v>20.98</v>
      </c>
      <c r="J1486">
        <f>IFERROR(VLOOKUP(A1486,库龄!B:K,9,0),0)</f>
        <v>0</v>
      </c>
      <c r="K1486">
        <f>IFERROR(VLOOKUP(A1486,库龄!B:L,10,0),0)</f>
        <v>0</v>
      </c>
      <c r="L1486">
        <f>IFERROR(VLOOKUP(A1486,库龄!B:M,11,0),0)</f>
        <v>0</v>
      </c>
      <c r="M1486">
        <f>IFERROR(VLOOKUP(A1486,库龄!B:N,12,0),0)</f>
        <v>0</v>
      </c>
      <c r="N1486">
        <f t="shared" si="48"/>
        <v>0</v>
      </c>
    </row>
    <row r="1487" spans="1:14">
      <c r="A1487" s="3" t="s">
        <v>4045</v>
      </c>
      <c r="B1487">
        <f>IFERROR(VLOOKUP(A1487,管理亚马逊库存!A:K,11,0),"")</f>
        <v>0</v>
      </c>
      <c r="C1487">
        <f>IFERROR(VLOOKUP(A1487,管理亚马逊库存!A:L,12,0),"")</f>
        <v>0</v>
      </c>
      <c r="D1487">
        <f>IFERROR(VLOOKUP(A1487,管理亚马逊库存!A:Q,17,0),"")</f>
        <v>0</v>
      </c>
      <c r="E1487">
        <f>IFERROR(VLOOKUP(A1487,管理亚马逊库存!A:R,18,0),"")</f>
        <v>0</v>
      </c>
      <c r="F1487">
        <f t="shared" si="47"/>
        <v>0</v>
      </c>
      <c r="G1487" t="str">
        <f>IFERROR(VLOOKUP(A1487,预留库存!A:G,7,0),0)</f>
        <v>No</v>
      </c>
      <c r="H1487">
        <f>IFERROR(VLOOKUP(A1487,预留库存!A:H,8,0),0)</f>
        <v>0</v>
      </c>
      <c r="I1487">
        <f>IFERROR(VLOOKUP(A1487,预留库存!A:F,6,0),0)</f>
        <v>20.98</v>
      </c>
      <c r="J1487">
        <f>IFERROR(VLOOKUP(A1487,库龄!B:K,9,0),0)</f>
        <v>0</v>
      </c>
      <c r="K1487">
        <f>IFERROR(VLOOKUP(A1487,库龄!B:L,10,0),0)</f>
        <v>0</v>
      </c>
      <c r="L1487">
        <f>IFERROR(VLOOKUP(A1487,库龄!B:M,11,0),0)</f>
        <v>0</v>
      </c>
      <c r="M1487">
        <f>IFERROR(VLOOKUP(A1487,库龄!B:N,12,0),0)</f>
        <v>0</v>
      </c>
      <c r="N1487">
        <f t="shared" si="48"/>
        <v>0</v>
      </c>
    </row>
    <row r="1488" spans="1:14">
      <c r="A1488" s="3" t="s">
        <v>4049</v>
      </c>
      <c r="B1488">
        <f>IFERROR(VLOOKUP(A1488,管理亚马逊库存!A:K,11,0),"")</f>
        <v>0</v>
      </c>
      <c r="C1488">
        <f>IFERROR(VLOOKUP(A1488,管理亚马逊库存!A:L,12,0),"")</f>
        <v>0</v>
      </c>
      <c r="D1488">
        <f>IFERROR(VLOOKUP(A1488,管理亚马逊库存!A:Q,17,0),"")</f>
        <v>0</v>
      </c>
      <c r="E1488">
        <f>IFERROR(VLOOKUP(A1488,管理亚马逊库存!A:R,18,0),"")</f>
        <v>0</v>
      </c>
      <c r="F1488">
        <f t="shared" si="47"/>
        <v>0</v>
      </c>
      <c r="G1488" t="str">
        <f>IFERROR(VLOOKUP(A1488,预留库存!A:G,7,0),0)</f>
        <v>No</v>
      </c>
      <c r="H1488">
        <f>IFERROR(VLOOKUP(A1488,预留库存!A:H,8,0),0)</f>
        <v>0</v>
      </c>
      <c r="I1488">
        <f>IFERROR(VLOOKUP(A1488,预留库存!A:F,6,0),0)</f>
        <v>20.98</v>
      </c>
      <c r="J1488">
        <f>IFERROR(VLOOKUP(A1488,库龄!B:K,9,0),0)</f>
        <v>0</v>
      </c>
      <c r="K1488">
        <f>IFERROR(VLOOKUP(A1488,库龄!B:L,10,0),0)</f>
        <v>0</v>
      </c>
      <c r="L1488">
        <f>IFERROR(VLOOKUP(A1488,库龄!B:M,11,0),0)</f>
        <v>0</v>
      </c>
      <c r="M1488">
        <f>IFERROR(VLOOKUP(A1488,库龄!B:N,12,0),0)</f>
        <v>0</v>
      </c>
      <c r="N1488">
        <f t="shared" si="48"/>
        <v>0</v>
      </c>
    </row>
    <row r="1489" spans="1:14">
      <c r="A1489" s="3" t="s">
        <v>4053</v>
      </c>
      <c r="B1489">
        <f>IFERROR(VLOOKUP(A1489,管理亚马逊库存!A:K,11,0),"")</f>
        <v>10</v>
      </c>
      <c r="C1489">
        <f>IFERROR(VLOOKUP(A1489,管理亚马逊库存!A:L,12,0),"")</f>
        <v>0</v>
      </c>
      <c r="D1489">
        <f>IFERROR(VLOOKUP(A1489,管理亚马逊库存!A:Q,17,0),"")</f>
        <v>0</v>
      </c>
      <c r="E1489">
        <f>IFERROR(VLOOKUP(A1489,管理亚马逊库存!A:R,18,0),"")</f>
        <v>0</v>
      </c>
      <c r="F1489">
        <f t="shared" si="47"/>
        <v>0</v>
      </c>
      <c r="G1489" t="str">
        <f>IFERROR(VLOOKUP(A1489,预留库存!A:G,7,0),0)</f>
        <v>No</v>
      </c>
      <c r="H1489">
        <f>IFERROR(VLOOKUP(A1489,预留库存!A:H,8,0),0)</f>
        <v>0</v>
      </c>
      <c r="I1489">
        <f>IFERROR(VLOOKUP(A1489,预留库存!A:F,6,0),0)</f>
        <v>20.98</v>
      </c>
      <c r="J1489">
        <f>IFERROR(VLOOKUP(A1489,库龄!B:K,9,0),0)</f>
        <v>0</v>
      </c>
      <c r="K1489">
        <f>IFERROR(VLOOKUP(A1489,库龄!B:L,10,0),0)</f>
        <v>0</v>
      </c>
      <c r="L1489">
        <f>IFERROR(VLOOKUP(A1489,库龄!B:M,11,0),0)</f>
        <v>0</v>
      </c>
      <c r="M1489">
        <f>IFERROR(VLOOKUP(A1489,库龄!B:N,12,0),0)</f>
        <v>0</v>
      </c>
      <c r="N1489">
        <f t="shared" si="48"/>
        <v>0</v>
      </c>
    </row>
    <row r="1490" spans="1:14">
      <c r="A1490" s="3" t="s">
        <v>4057</v>
      </c>
      <c r="B1490">
        <f>IFERROR(VLOOKUP(A1490,管理亚马逊库存!A:K,11,0),"")</f>
        <v>0</v>
      </c>
      <c r="C1490">
        <f>IFERROR(VLOOKUP(A1490,管理亚马逊库存!A:L,12,0),"")</f>
        <v>0</v>
      </c>
      <c r="D1490">
        <f>IFERROR(VLOOKUP(A1490,管理亚马逊库存!A:Q,17,0),"")</f>
        <v>0</v>
      </c>
      <c r="E1490">
        <f>IFERROR(VLOOKUP(A1490,管理亚马逊库存!A:R,18,0),"")</f>
        <v>0</v>
      </c>
      <c r="F1490">
        <f t="shared" si="47"/>
        <v>0</v>
      </c>
      <c r="G1490" t="str">
        <f>IFERROR(VLOOKUP(A1490,预留库存!A:G,7,0),0)</f>
        <v>No</v>
      </c>
      <c r="H1490">
        <f>IFERROR(VLOOKUP(A1490,预留库存!A:H,8,0),0)</f>
        <v>0</v>
      </c>
      <c r="I1490">
        <f>IFERROR(VLOOKUP(A1490,预留库存!A:F,6,0),0)</f>
        <v>20.98</v>
      </c>
      <c r="J1490">
        <f>IFERROR(VLOOKUP(A1490,库龄!B:K,9,0),0)</f>
        <v>0</v>
      </c>
      <c r="K1490">
        <f>IFERROR(VLOOKUP(A1490,库龄!B:L,10,0),0)</f>
        <v>0</v>
      </c>
      <c r="L1490">
        <f>IFERROR(VLOOKUP(A1490,库龄!B:M,11,0),0)</f>
        <v>0</v>
      </c>
      <c r="M1490">
        <f>IFERROR(VLOOKUP(A1490,库龄!B:N,12,0),0)</f>
        <v>0</v>
      </c>
      <c r="N1490">
        <f t="shared" si="48"/>
        <v>0</v>
      </c>
    </row>
    <row r="1491" spans="1:14">
      <c r="A1491" s="3" t="s">
        <v>4061</v>
      </c>
      <c r="B1491">
        <f>IFERROR(VLOOKUP(A1491,管理亚马逊库存!A:K,11,0),"")</f>
        <v>0</v>
      </c>
      <c r="C1491">
        <f>IFERROR(VLOOKUP(A1491,管理亚马逊库存!A:L,12,0),"")</f>
        <v>0</v>
      </c>
      <c r="D1491">
        <f>IFERROR(VLOOKUP(A1491,管理亚马逊库存!A:Q,17,0),"")</f>
        <v>0</v>
      </c>
      <c r="E1491">
        <f>IFERROR(VLOOKUP(A1491,管理亚马逊库存!A:R,18,0),"")</f>
        <v>0</v>
      </c>
      <c r="F1491">
        <f t="shared" si="47"/>
        <v>0</v>
      </c>
      <c r="G1491" t="str">
        <f>IFERROR(VLOOKUP(A1491,预留库存!A:G,7,0),0)</f>
        <v>No</v>
      </c>
      <c r="H1491">
        <f>IFERROR(VLOOKUP(A1491,预留库存!A:H,8,0),0)</f>
        <v>0</v>
      </c>
      <c r="I1491">
        <f>IFERROR(VLOOKUP(A1491,预留库存!A:F,6,0),0)</f>
        <v>20.98</v>
      </c>
      <c r="J1491">
        <f>IFERROR(VLOOKUP(A1491,库龄!B:K,9,0),0)</f>
        <v>0</v>
      </c>
      <c r="K1491">
        <f>IFERROR(VLOOKUP(A1491,库龄!B:L,10,0),0)</f>
        <v>0</v>
      </c>
      <c r="L1491">
        <f>IFERROR(VLOOKUP(A1491,库龄!B:M,11,0),0)</f>
        <v>0</v>
      </c>
      <c r="M1491">
        <f>IFERROR(VLOOKUP(A1491,库龄!B:N,12,0),0)</f>
        <v>0</v>
      </c>
      <c r="N1491">
        <f t="shared" si="48"/>
        <v>0</v>
      </c>
    </row>
    <row r="1492" spans="1:14">
      <c r="A1492" s="3" t="s">
        <v>4065</v>
      </c>
      <c r="B1492">
        <f>IFERROR(VLOOKUP(A1492,管理亚马逊库存!A:K,11,0),"")</f>
        <v>0</v>
      </c>
      <c r="C1492">
        <f>IFERROR(VLOOKUP(A1492,管理亚马逊库存!A:L,12,0),"")</f>
        <v>0</v>
      </c>
      <c r="D1492">
        <f>IFERROR(VLOOKUP(A1492,管理亚马逊库存!A:Q,17,0),"")</f>
        <v>0</v>
      </c>
      <c r="E1492">
        <f>IFERROR(VLOOKUP(A1492,管理亚马逊库存!A:R,18,0),"")</f>
        <v>0</v>
      </c>
      <c r="F1492">
        <f t="shared" si="47"/>
        <v>0</v>
      </c>
      <c r="G1492" t="str">
        <f>IFERROR(VLOOKUP(A1492,预留库存!A:G,7,0),0)</f>
        <v>No</v>
      </c>
      <c r="H1492">
        <f>IFERROR(VLOOKUP(A1492,预留库存!A:H,8,0),0)</f>
        <v>0</v>
      </c>
      <c r="I1492">
        <f>IFERROR(VLOOKUP(A1492,预留库存!A:F,6,0),0)</f>
        <v>20.98</v>
      </c>
      <c r="J1492">
        <f>IFERROR(VLOOKUP(A1492,库龄!B:K,9,0),0)</f>
        <v>0</v>
      </c>
      <c r="K1492">
        <f>IFERROR(VLOOKUP(A1492,库龄!B:L,10,0),0)</f>
        <v>0</v>
      </c>
      <c r="L1492">
        <f>IFERROR(VLOOKUP(A1492,库龄!B:M,11,0),0)</f>
        <v>0</v>
      </c>
      <c r="M1492">
        <f>IFERROR(VLOOKUP(A1492,库龄!B:N,12,0),0)</f>
        <v>0</v>
      </c>
      <c r="N1492">
        <f t="shared" si="48"/>
        <v>0</v>
      </c>
    </row>
    <row r="1493" spans="1:14">
      <c r="A1493" s="3" t="s">
        <v>4069</v>
      </c>
      <c r="B1493">
        <f>IFERROR(VLOOKUP(A1493,管理亚马逊库存!A:K,11,0),"")</f>
        <v>5</v>
      </c>
      <c r="C1493">
        <f>IFERROR(VLOOKUP(A1493,管理亚马逊库存!A:L,12,0),"")</f>
        <v>0</v>
      </c>
      <c r="D1493">
        <f>IFERROR(VLOOKUP(A1493,管理亚马逊库存!A:Q,17,0),"")</f>
        <v>0</v>
      </c>
      <c r="E1493">
        <f>IFERROR(VLOOKUP(A1493,管理亚马逊库存!A:R,18,0),"")</f>
        <v>0</v>
      </c>
      <c r="F1493">
        <f t="shared" si="47"/>
        <v>0</v>
      </c>
      <c r="G1493" t="str">
        <f>IFERROR(VLOOKUP(A1493,预留库存!A:G,7,0),0)</f>
        <v>No</v>
      </c>
      <c r="H1493">
        <f>IFERROR(VLOOKUP(A1493,预留库存!A:H,8,0),0)</f>
        <v>0</v>
      </c>
      <c r="I1493">
        <f>IFERROR(VLOOKUP(A1493,预留库存!A:F,6,0),0)</f>
        <v>20.98</v>
      </c>
      <c r="J1493">
        <f>IFERROR(VLOOKUP(A1493,库龄!B:K,9,0),0)</f>
        <v>0</v>
      </c>
      <c r="K1493">
        <f>IFERROR(VLOOKUP(A1493,库龄!B:L,10,0),0)</f>
        <v>0</v>
      </c>
      <c r="L1493">
        <f>IFERROR(VLOOKUP(A1493,库龄!B:M,11,0),0)</f>
        <v>0</v>
      </c>
      <c r="M1493">
        <f>IFERROR(VLOOKUP(A1493,库龄!B:N,12,0),0)</f>
        <v>0</v>
      </c>
      <c r="N1493">
        <f t="shared" si="48"/>
        <v>0</v>
      </c>
    </row>
    <row r="1494" spans="1:14">
      <c r="A1494" s="3" t="s">
        <v>4073</v>
      </c>
      <c r="B1494">
        <f>IFERROR(VLOOKUP(A1494,管理亚马逊库存!A:K,11,0),"")</f>
        <v>0</v>
      </c>
      <c r="C1494">
        <f>IFERROR(VLOOKUP(A1494,管理亚马逊库存!A:L,12,0),"")</f>
        <v>0</v>
      </c>
      <c r="D1494">
        <f>IFERROR(VLOOKUP(A1494,管理亚马逊库存!A:Q,17,0),"")</f>
        <v>0</v>
      </c>
      <c r="E1494">
        <f>IFERROR(VLOOKUP(A1494,管理亚马逊库存!A:R,18,0),"")</f>
        <v>0</v>
      </c>
      <c r="F1494">
        <f t="shared" si="47"/>
        <v>0</v>
      </c>
      <c r="G1494" t="str">
        <f>IFERROR(VLOOKUP(A1494,预留库存!A:G,7,0),0)</f>
        <v>No</v>
      </c>
      <c r="H1494">
        <f>IFERROR(VLOOKUP(A1494,预留库存!A:H,8,0),0)</f>
        <v>0</v>
      </c>
      <c r="I1494">
        <f>IFERROR(VLOOKUP(A1494,预留库存!A:F,6,0),0)</f>
        <v>20.98</v>
      </c>
      <c r="J1494">
        <f>IFERROR(VLOOKUP(A1494,库龄!B:K,9,0),0)</f>
        <v>0</v>
      </c>
      <c r="K1494">
        <f>IFERROR(VLOOKUP(A1494,库龄!B:L,10,0),0)</f>
        <v>0</v>
      </c>
      <c r="L1494">
        <f>IFERROR(VLOOKUP(A1494,库龄!B:M,11,0),0)</f>
        <v>0</v>
      </c>
      <c r="M1494">
        <f>IFERROR(VLOOKUP(A1494,库龄!B:N,12,0),0)</f>
        <v>0</v>
      </c>
      <c r="N1494">
        <f t="shared" si="48"/>
        <v>0</v>
      </c>
    </row>
    <row r="1495" spans="1:14">
      <c r="A1495" s="3" t="s">
        <v>4077</v>
      </c>
      <c r="B1495">
        <f>IFERROR(VLOOKUP(A1495,管理亚马逊库存!A:K,11,0),"")</f>
        <v>0</v>
      </c>
      <c r="C1495">
        <f>IFERROR(VLOOKUP(A1495,管理亚马逊库存!A:L,12,0),"")</f>
        <v>0</v>
      </c>
      <c r="D1495">
        <f>IFERROR(VLOOKUP(A1495,管理亚马逊库存!A:Q,17,0),"")</f>
        <v>0</v>
      </c>
      <c r="E1495">
        <f>IFERROR(VLOOKUP(A1495,管理亚马逊库存!A:R,18,0),"")</f>
        <v>0</v>
      </c>
      <c r="F1495">
        <f t="shared" si="47"/>
        <v>0</v>
      </c>
      <c r="G1495" t="str">
        <f>IFERROR(VLOOKUP(A1495,预留库存!A:G,7,0),0)</f>
        <v>No</v>
      </c>
      <c r="H1495">
        <f>IFERROR(VLOOKUP(A1495,预留库存!A:H,8,0),0)</f>
        <v>0</v>
      </c>
      <c r="I1495">
        <f>IFERROR(VLOOKUP(A1495,预留库存!A:F,6,0),0)</f>
        <v>20.98</v>
      </c>
      <c r="J1495">
        <f>IFERROR(VLOOKUP(A1495,库龄!B:K,9,0),0)</f>
        <v>0</v>
      </c>
      <c r="K1495">
        <f>IFERROR(VLOOKUP(A1495,库龄!B:L,10,0),0)</f>
        <v>0</v>
      </c>
      <c r="L1495">
        <f>IFERROR(VLOOKUP(A1495,库龄!B:M,11,0),0)</f>
        <v>0</v>
      </c>
      <c r="M1495">
        <f>IFERROR(VLOOKUP(A1495,库龄!B:N,12,0),0)</f>
        <v>0</v>
      </c>
      <c r="N1495">
        <f t="shared" si="48"/>
        <v>0</v>
      </c>
    </row>
    <row r="1496" spans="1:14">
      <c r="A1496" s="3" t="s">
        <v>4081</v>
      </c>
      <c r="B1496">
        <f>IFERROR(VLOOKUP(A1496,管理亚马逊库存!A:K,11,0),"")</f>
        <v>5</v>
      </c>
      <c r="C1496">
        <f>IFERROR(VLOOKUP(A1496,管理亚马逊库存!A:L,12,0),"")</f>
        <v>0</v>
      </c>
      <c r="D1496">
        <f>IFERROR(VLOOKUP(A1496,管理亚马逊库存!A:Q,17,0),"")</f>
        <v>0</v>
      </c>
      <c r="E1496">
        <f>IFERROR(VLOOKUP(A1496,管理亚马逊库存!A:R,18,0),"")</f>
        <v>0</v>
      </c>
      <c r="F1496">
        <f t="shared" si="47"/>
        <v>0</v>
      </c>
      <c r="G1496" t="str">
        <f>IFERROR(VLOOKUP(A1496,预留库存!A:G,7,0),0)</f>
        <v>No</v>
      </c>
      <c r="H1496">
        <f>IFERROR(VLOOKUP(A1496,预留库存!A:H,8,0),0)</f>
        <v>0</v>
      </c>
      <c r="I1496">
        <f>IFERROR(VLOOKUP(A1496,预留库存!A:F,6,0),0)</f>
        <v>20.98</v>
      </c>
      <c r="J1496">
        <f>IFERROR(VLOOKUP(A1496,库龄!B:K,9,0),0)</f>
        <v>0</v>
      </c>
      <c r="K1496">
        <f>IFERROR(VLOOKUP(A1496,库龄!B:L,10,0),0)</f>
        <v>0</v>
      </c>
      <c r="L1496">
        <f>IFERROR(VLOOKUP(A1496,库龄!B:M,11,0),0)</f>
        <v>0</v>
      </c>
      <c r="M1496">
        <f>IFERROR(VLOOKUP(A1496,库龄!B:N,12,0),0)</f>
        <v>0</v>
      </c>
      <c r="N1496">
        <f t="shared" si="48"/>
        <v>0</v>
      </c>
    </row>
    <row r="1497" spans="1:14">
      <c r="A1497" s="3" t="s">
        <v>4085</v>
      </c>
      <c r="B1497">
        <f>IFERROR(VLOOKUP(A1497,管理亚马逊库存!A:K,11,0),"")</f>
        <v>0</v>
      </c>
      <c r="C1497">
        <f>IFERROR(VLOOKUP(A1497,管理亚马逊库存!A:L,12,0),"")</f>
        <v>0</v>
      </c>
      <c r="D1497">
        <f>IFERROR(VLOOKUP(A1497,管理亚马逊库存!A:Q,17,0),"")</f>
        <v>0</v>
      </c>
      <c r="E1497">
        <f>IFERROR(VLOOKUP(A1497,管理亚马逊库存!A:R,18,0),"")</f>
        <v>0</v>
      </c>
      <c r="F1497">
        <f t="shared" si="47"/>
        <v>0</v>
      </c>
      <c r="G1497" t="str">
        <f>IFERROR(VLOOKUP(A1497,预留库存!A:G,7,0),0)</f>
        <v>No</v>
      </c>
      <c r="H1497">
        <f>IFERROR(VLOOKUP(A1497,预留库存!A:H,8,0),0)</f>
        <v>0</v>
      </c>
      <c r="I1497">
        <f>IFERROR(VLOOKUP(A1497,预留库存!A:F,6,0),0)</f>
        <v>39.98</v>
      </c>
      <c r="J1497">
        <f>IFERROR(VLOOKUP(A1497,库龄!B:K,9,0),0)</f>
        <v>0</v>
      </c>
      <c r="K1497">
        <f>IFERROR(VLOOKUP(A1497,库龄!B:L,10,0),0)</f>
        <v>0</v>
      </c>
      <c r="L1497">
        <f>IFERROR(VLOOKUP(A1497,库龄!B:M,11,0),0)</f>
        <v>0</v>
      </c>
      <c r="M1497">
        <f>IFERROR(VLOOKUP(A1497,库龄!B:N,12,0),0)</f>
        <v>0</v>
      </c>
      <c r="N1497">
        <f t="shared" si="48"/>
        <v>0</v>
      </c>
    </row>
    <row r="1498" spans="1:14">
      <c r="A1498" s="3" t="s">
        <v>4088</v>
      </c>
      <c r="B1498">
        <f>IFERROR(VLOOKUP(A1498,管理亚马逊库存!A:K,11,0),"")</f>
        <v>1</v>
      </c>
      <c r="C1498">
        <f>IFERROR(VLOOKUP(A1498,管理亚马逊库存!A:L,12,0),"")</f>
        <v>0</v>
      </c>
      <c r="D1498">
        <f>IFERROR(VLOOKUP(A1498,管理亚马逊库存!A:Q,17,0),"")</f>
        <v>0</v>
      </c>
      <c r="E1498">
        <f>IFERROR(VLOOKUP(A1498,管理亚马逊库存!A:R,18,0),"")</f>
        <v>0</v>
      </c>
      <c r="F1498">
        <f t="shared" si="47"/>
        <v>0</v>
      </c>
      <c r="G1498" t="str">
        <f>IFERROR(VLOOKUP(A1498,预留库存!A:G,7,0),0)</f>
        <v>No</v>
      </c>
      <c r="H1498">
        <f>IFERROR(VLOOKUP(A1498,预留库存!A:H,8,0),0)</f>
        <v>0</v>
      </c>
      <c r="I1498">
        <f>IFERROR(VLOOKUP(A1498,预留库存!A:F,6,0),0)</f>
        <v>39.98</v>
      </c>
      <c r="J1498">
        <f>IFERROR(VLOOKUP(A1498,库龄!B:K,9,0),0)</f>
        <v>1</v>
      </c>
      <c r="K1498">
        <f>IFERROR(VLOOKUP(A1498,库龄!B:L,10,0),0)</f>
        <v>0</v>
      </c>
      <c r="L1498">
        <f>IFERROR(VLOOKUP(A1498,库龄!B:M,11,0),0)</f>
        <v>0</v>
      </c>
      <c r="M1498">
        <f>IFERROR(VLOOKUP(A1498,库龄!B:N,12,0),0)</f>
        <v>0</v>
      </c>
      <c r="N1498">
        <f t="shared" si="48"/>
        <v>1</v>
      </c>
    </row>
    <row r="1499" spans="1:14">
      <c r="A1499" s="3" t="s">
        <v>4091</v>
      </c>
      <c r="B1499">
        <f>IFERROR(VLOOKUP(A1499,管理亚马逊库存!A:K,11,0),"")</f>
        <v>0</v>
      </c>
      <c r="C1499">
        <f>IFERROR(VLOOKUP(A1499,管理亚马逊库存!A:L,12,0),"")</f>
        <v>0</v>
      </c>
      <c r="D1499">
        <f>IFERROR(VLOOKUP(A1499,管理亚马逊库存!A:Q,17,0),"")</f>
        <v>0</v>
      </c>
      <c r="E1499">
        <f>IFERROR(VLOOKUP(A1499,管理亚马逊库存!A:R,18,0),"")</f>
        <v>0</v>
      </c>
      <c r="F1499">
        <f t="shared" si="47"/>
        <v>0</v>
      </c>
      <c r="G1499">
        <f>IFERROR(VLOOKUP(A1499,预留库存!A:G,7,0),0)</f>
        <v>0</v>
      </c>
      <c r="H1499">
        <f>IFERROR(VLOOKUP(A1499,预留库存!A:H,8,0),0)</f>
        <v>0</v>
      </c>
      <c r="I1499">
        <f>IFERROR(VLOOKUP(A1499,预留库存!A:F,6,0),0)</f>
        <v>0</v>
      </c>
      <c r="J1499">
        <f>IFERROR(VLOOKUP(A1499,库龄!B:K,9,0),0)</f>
        <v>0</v>
      </c>
      <c r="K1499">
        <f>IFERROR(VLOOKUP(A1499,库龄!B:L,10,0),0)</f>
        <v>0</v>
      </c>
      <c r="L1499">
        <f>IFERROR(VLOOKUP(A1499,库龄!B:M,11,0),0)</f>
        <v>0</v>
      </c>
      <c r="M1499">
        <f>IFERROR(VLOOKUP(A1499,库龄!B:N,12,0),0)</f>
        <v>0</v>
      </c>
      <c r="N1499">
        <f t="shared" si="48"/>
        <v>0</v>
      </c>
    </row>
    <row r="1500" spans="1:14">
      <c r="A1500" s="3" t="s">
        <v>4093</v>
      </c>
      <c r="B1500">
        <f>IFERROR(VLOOKUP(A1500,管理亚马逊库存!A:K,11,0),"")</f>
        <v>0</v>
      </c>
      <c r="C1500">
        <f>IFERROR(VLOOKUP(A1500,管理亚马逊库存!A:L,12,0),"")</f>
        <v>0</v>
      </c>
      <c r="D1500">
        <f>IFERROR(VLOOKUP(A1500,管理亚马逊库存!A:Q,17,0),"")</f>
        <v>0</v>
      </c>
      <c r="E1500">
        <f>IFERROR(VLOOKUP(A1500,管理亚马逊库存!A:R,18,0),"")</f>
        <v>0</v>
      </c>
      <c r="F1500">
        <f t="shared" si="47"/>
        <v>0</v>
      </c>
      <c r="G1500">
        <f>IFERROR(VLOOKUP(A1500,预留库存!A:G,7,0),0)</f>
        <v>0</v>
      </c>
      <c r="H1500">
        <f>IFERROR(VLOOKUP(A1500,预留库存!A:H,8,0),0)</f>
        <v>0</v>
      </c>
      <c r="I1500">
        <f>IFERROR(VLOOKUP(A1500,预留库存!A:F,6,0),0)</f>
        <v>0</v>
      </c>
      <c r="J1500">
        <f>IFERROR(VLOOKUP(A1500,库龄!B:K,9,0),0)</f>
        <v>0</v>
      </c>
      <c r="K1500">
        <f>IFERROR(VLOOKUP(A1500,库龄!B:L,10,0),0)</f>
        <v>0</v>
      </c>
      <c r="L1500">
        <f>IFERROR(VLOOKUP(A1500,库龄!B:M,11,0),0)</f>
        <v>0</v>
      </c>
      <c r="M1500">
        <f>IFERROR(VLOOKUP(A1500,库龄!B:N,12,0),0)</f>
        <v>0</v>
      </c>
      <c r="N1500">
        <f t="shared" si="48"/>
        <v>0</v>
      </c>
    </row>
    <row r="1501" spans="1:14">
      <c r="A1501" s="3" t="s">
        <v>4095</v>
      </c>
      <c r="B1501">
        <f>IFERROR(VLOOKUP(A1501,管理亚马逊库存!A:K,11,0),"")</f>
        <v>0</v>
      </c>
      <c r="C1501">
        <f>IFERROR(VLOOKUP(A1501,管理亚马逊库存!A:L,12,0),"")</f>
        <v>0</v>
      </c>
      <c r="D1501">
        <f>IFERROR(VLOOKUP(A1501,管理亚马逊库存!A:Q,17,0),"")</f>
        <v>0</v>
      </c>
      <c r="E1501">
        <f>IFERROR(VLOOKUP(A1501,管理亚马逊库存!A:R,18,0),"")</f>
        <v>0</v>
      </c>
      <c r="F1501">
        <f t="shared" si="47"/>
        <v>0</v>
      </c>
      <c r="G1501">
        <f>IFERROR(VLOOKUP(A1501,预留库存!A:G,7,0),0)</f>
        <v>0</v>
      </c>
      <c r="H1501">
        <f>IFERROR(VLOOKUP(A1501,预留库存!A:H,8,0),0)</f>
        <v>0</v>
      </c>
      <c r="I1501">
        <f>IFERROR(VLOOKUP(A1501,预留库存!A:F,6,0),0)</f>
        <v>0</v>
      </c>
      <c r="J1501">
        <f>IFERROR(VLOOKUP(A1501,库龄!B:K,9,0),0)</f>
        <v>0</v>
      </c>
      <c r="K1501">
        <f>IFERROR(VLOOKUP(A1501,库龄!B:L,10,0),0)</f>
        <v>0</v>
      </c>
      <c r="L1501">
        <f>IFERROR(VLOOKUP(A1501,库龄!B:M,11,0),0)</f>
        <v>0</v>
      </c>
      <c r="M1501">
        <f>IFERROR(VLOOKUP(A1501,库龄!B:N,12,0),0)</f>
        <v>0</v>
      </c>
      <c r="N1501">
        <f t="shared" si="48"/>
        <v>0</v>
      </c>
    </row>
    <row r="1502" spans="1:14">
      <c r="A1502" s="3" t="s">
        <v>4097</v>
      </c>
      <c r="B1502">
        <f>IFERROR(VLOOKUP(A1502,管理亚马逊库存!A:K,11,0),"")</f>
        <v>0</v>
      </c>
      <c r="C1502">
        <f>IFERROR(VLOOKUP(A1502,管理亚马逊库存!A:L,12,0),"")</f>
        <v>0</v>
      </c>
      <c r="D1502">
        <f>IFERROR(VLOOKUP(A1502,管理亚马逊库存!A:Q,17,0),"")</f>
        <v>0</v>
      </c>
      <c r="E1502">
        <f>IFERROR(VLOOKUP(A1502,管理亚马逊库存!A:R,18,0),"")</f>
        <v>0</v>
      </c>
      <c r="F1502">
        <f t="shared" si="47"/>
        <v>0</v>
      </c>
      <c r="G1502">
        <f>IFERROR(VLOOKUP(A1502,预留库存!A:G,7,0),0)</f>
        <v>0</v>
      </c>
      <c r="H1502">
        <f>IFERROR(VLOOKUP(A1502,预留库存!A:H,8,0),0)</f>
        <v>0</v>
      </c>
      <c r="I1502">
        <f>IFERROR(VLOOKUP(A1502,预留库存!A:F,6,0),0)</f>
        <v>0</v>
      </c>
      <c r="J1502">
        <f>IFERROR(VLOOKUP(A1502,库龄!B:K,9,0),0)</f>
        <v>0</v>
      </c>
      <c r="K1502">
        <f>IFERROR(VLOOKUP(A1502,库龄!B:L,10,0),0)</f>
        <v>0</v>
      </c>
      <c r="L1502">
        <f>IFERROR(VLOOKUP(A1502,库龄!B:M,11,0),0)</f>
        <v>0</v>
      </c>
      <c r="M1502">
        <f>IFERROR(VLOOKUP(A1502,库龄!B:N,12,0),0)</f>
        <v>0</v>
      </c>
      <c r="N1502">
        <f t="shared" si="48"/>
        <v>0</v>
      </c>
    </row>
    <row r="1503" spans="1:14">
      <c r="A1503" s="3" t="s">
        <v>4099</v>
      </c>
      <c r="B1503">
        <f>IFERROR(VLOOKUP(A1503,管理亚马逊库存!A:K,11,0),"")</f>
        <v>1</v>
      </c>
      <c r="C1503">
        <f>IFERROR(VLOOKUP(A1503,管理亚马逊库存!A:L,12,0),"")</f>
        <v>0</v>
      </c>
      <c r="D1503">
        <f>IFERROR(VLOOKUP(A1503,管理亚马逊库存!A:Q,17,0),"")</f>
        <v>0</v>
      </c>
      <c r="E1503">
        <f>IFERROR(VLOOKUP(A1503,管理亚马逊库存!A:R,18,0),"")</f>
        <v>0</v>
      </c>
      <c r="F1503">
        <f t="shared" si="47"/>
        <v>0</v>
      </c>
      <c r="G1503" t="str">
        <f>IFERROR(VLOOKUP(A1503,预留库存!A:G,7,0),0)</f>
        <v>No</v>
      </c>
      <c r="H1503">
        <f>IFERROR(VLOOKUP(A1503,预留库存!A:H,8,0),0)</f>
        <v>0</v>
      </c>
      <c r="I1503">
        <f>IFERROR(VLOOKUP(A1503,预留库存!A:F,6,0),0)</f>
        <v>39.98</v>
      </c>
      <c r="J1503">
        <f>IFERROR(VLOOKUP(A1503,库龄!B:K,9,0),0)</f>
        <v>0</v>
      </c>
      <c r="K1503">
        <f>IFERROR(VLOOKUP(A1503,库龄!B:L,10,0),0)</f>
        <v>0</v>
      </c>
      <c r="L1503">
        <f>IFERROR(VLOOKUP(A1503,库龄!B:M,11,0),0)</f>
        <v>0</v>
      </c>
      <c r="M1503">
        <f>IFERROR(VLOOKUP(A1503,库龄!B:N,12,0),0)</f>
        <v>0</v>
      </c>
      <c r="N1503">
        <f t="shared" si="48"/>
        <v>0</v>
      </c>
    </row>
    <row r="1504" spans="1:14">
      <c r="A1504" s="3" t="s">
        <v>4102</v>
      </c>
      <c r="B1504">
        <f>IFERROR(VLOOKUP(A1504,管理亚马逊库存!A:K,11,0),"")</f>
        <v>0</v>
      </c>
      <c r="C1504">
        <f>IFERROR(VLOOKUP(A1504,管理亚马逊库存!A:L,12,0),"")</f>
        <v>0</v>
      </c>
      <c r="D1504">
        <f>IFERROR(VLOOKUP(A1504,管理亚马逊库存!A:Q,17,0),"")</f>
        <v>0</v>
      </c>
      <c r="E1504">
        <f>IFERROR(VLOOKUP(A1504,管理亚马逊库存!A:R,18,0),"")</f>
        <v>0</v>
      </c>
      <c r="F1504">
        <f t="shared" si="47"/>
        <v>0</v>
      </c>
      <c r="G1504">
        <f>IFERROR(VLOOKUP(A1504,预留库存!A:G,7,0),0)</f>
        <v>0</v>
      </c>
      <c r="H1504">
        <f>IFERROR(VLOOKUP(A1504,预留库存!A:H,8,0),0)</f>
        <v>0</v>
      </c>
      <c r="I1504">
        <f>IFERROR(VLOOKUP(A1504,预留库存!A:F,6,0),0)</f>
        <v>0</v>
      </c>
      <c r="J1504">
        <f>IFERROR(VLOOKUP(A1504,库龄!B:K,9,0),0)</f>
        <v>0</v>
      </c>
      <c r="K1504">
        <f>IFERROR(VLOOKUP(A1504,库龄!B:L,10,0),0)</f>
        <v>0</v>
      </c>
      <c r="L1504">
        <f>IFERROR(VLOOKUP(A1504,库龄!B:M,11,0),0)</f>
        <v>0</v>
      </c>
      <c r="M1504">
        <f>IFERROR(VLOOKUP(A1504,库龄!B:N,12,0),0)</f>
        <v>0</v>
      </c>
      <c r="N1504">
        <f t="shared" si="48"/>
        <v>0</v>
      </c>
    </row>
    <row r="1505" spans="1:14">
      <c r="A1505" s="3" t="s">
        <v>4104</v>
      </c>
      <c r="B1505">
        <f>IFERROR(VLOOKUP(A1505,管理亚马逊库存!A:K,11,0),"")</f>
        <v>0</v>
      </c>
      <c r="C1505">
        <f>IFERROR(VLOOKUP(A1505,管理亚马逊库存!A:L,12,0),"")</f>
        <v>0</v>
      </c>
      <c r="D1505">
        <f>IFERROR(VLOOKUP(A1505,管理亚马逊库存!A:Q,17,0),"")</f>
        <v>0</v>
      </c>
      <c r="E1505">
        <f>IFERROR(VLOOKUP(A1505,管理亚马逊库存!A:R,18,0),"")</f>
        <v>0</v>
      </c>
      <c r="F1505">
        <f t="shared" si="47"/>
        <v>0</v>
      </c>
      <c r="G1505">
        <f>IFERROR(VLOOKUP(A1505,预留库存!A:G,7,0),0)</f>
        <v>0</v>
      </c>
      <c r="H1505">
        <f>IFERROR(VLOOKUP(A1505,预留库存!A:H,8,0),0)</f>
        <v>0</v>
      </c>
      <c r="I1505">
        <f>IFERROR(VLOOKUP(A1505,预留库存!A:F,6,0),0)</f>
        <v>0</v>
      </c>
      <c r="J1505">
        <f>IFERROR(VLOOKUP(A1505,库龄!B:K,9,0),0)</f>
        <v>0</v>
      </c>
      <c r="K1505">
        <f>IFERROR(VLOOKUP(A1505,库龄!B:L,10,0),0)</f>
        <v>0</v>
      </c>
      <c r="L1505">
        <f>IFERROR(VLOOKUP(A1505,库龄!B:M,11,0),0)</f>
        <v>0</v>
      </c>
      <c r="M1505">
        <f>IFERROR(VLOOKUP(A1505,库龄!B:N,12,0),0)</f>
        <v>0</v>
      </c>
      <c r="N1505">
        <f t="shared" si="48"/>
        <v>0</v>
      </c>
    </row>
    <row r="1506" spans="1:14">
      <c r="A1506" s="3" t="s">
        <v>4106</v>
      </c>
      <c r="B1506">
        <f>IFERROR(VLOOKUP(A1506,管理亚马逊库存!A:K,11,0),"")</f>
        <v>0</v>
      </c>
      <c r="C1506">
        <f>IFERROR(VLOOKUP(A1506,管理亚马逊库存!A:L,12,0),"")</f>
        <v>0</v>
      </c>
      <c r="D1506">
        <f>IFERROR(VLOOKUP(A1506,管理亚马逊库存!A:Q,17,0),"")</f>
        <v>0</v>
      </c>
      <c r="E1506">
        <f>IFERROR(VLOOKUP(A1506,管理亚马逊库存!A:R,18,0),"")</f>
        <v>0</v>
      </c>
      <c r="F1506">
        <f t="shared" si="47"/>
        <v>0</v>
      </c>
      <c r="G1506" t="str">
        <f>IFERROR(VLOOKUP(A1506,预留库存!A:G,7,0),0)</f>
        <v>No</v>
      </c>
      <c r="H1506">
        <f>IFERROR(VLOOKUP(A1506,预留库存!A:H,8,0),0)</f>
        <v>0</v>
      </c>
      <c r="I1506">
        <f>IFERROR(VLOOKUP(A1506,预留库存!A:F,6,0),0)</f>
        <v>39.98</v>
      </c>
      <c r="J1506">
        <f>IFERROR(VLOOKUP(A1506,库龄!B:K,9,0),0)</f>
        <v>0</v>
      </c>
      <c r="K1506">
        <f>IFERROR(VLOOKUP(A1506,库龄!B:L,10,0),0)</f>
        <v>0</v>
      </c>
      <c r="L1506">
        <f>IFERROR(VLOOKUP(A1506,库龄!B:M,11,0),0)</f>
        <v>0</v>
      </c>
      <c r="M1506">
        <f>IFERROR(VLOOKUP(A1506,库龄!B:N,12,0),0)</f>
        <v>0</v>
      </c>
      <c r="N1506">
        <f t="shared" si="48"/>
        <v>0</v>
      </c>
    </row>
    <row r="1507" spans="1:14">
      <c r="A1507" s="3" t="s">
        <v>4109</v>
      </c>
      <c r="B1507">
        <f>IFERROR(VLOOKUP(A1507,管理亚马逊库存!A:K,11,0),"")</f>
        <v>1</v>
      </c>
      <c r="C1507">
        <f>IFERROR(VLOOKUP(A1507,管理亚马逊库存!A:L,12,0),"")</f>
        <v>0</v>
      </c>
      <c r="D1507">
        <f>IFERROR(VLOOKUP(A1507,管理亚马逊库存!A:Q,17,0),"")</f>
        <v>0</v>
      </c>
      <c r="E1507">
        <f>IFERROR(VLOOKUP(A1507,管理亚马逊库存!A:R,18,0),"")</f>
        <v>0</v>
      </c>
      <c r="F1507">
        <f t="shared" si="47"/>
        <v>0</v>
      </c>
      <c r="G1507" t="str">
        <f>IFERROR(VLOOKUP(A1507,预留库存!A:G,7,0),0)</f>
        <v>No</v>
      </c>
      <c r="H1507">
        <f>IFERROR(VLOOKUP(A1507,预留库存!A:H,8,0),0)</f>
        <v>0</v>
      </c>
      <c r="I1507">
        <f>IFERROR(VLOOKUP(A1507,预留库存!A:F,6,0),0)</f>
        <v>39.98</v>
      </c>
      <c r="J1507">
        <f>IFERROR(VLOOKUP(A1507,库龄!B:K,9,0),0)</f>
        <v>1</v>
      </c>
      <c r="K1507">
        <f>IFERROR(VLOOKUP(A1507,库龄!B:L,10,0),0)</f>
        <v>0</v>
      </c>
      <c r="L1507">
        <f>IFERROR(VLOOKUP(A1507,库龄!B:M,11,0),0)</f>
        <v>0</v>
      </c>
      <c r="M1507">
        <f>IFERROR(VLOOKUP(A1507,库龄!B:N,12,0),0)</f>
        <v>0</v>
      </c>
      <c r="N1507">
        <f t="shared" si="48"/>
        <v>1</v>
      </c>
    </row>
    <row r="1508" spans="1:14">
      <c r="A1508" s="3" t="s">
        <v>4112</v>
      </c>
      <c r="B1508">
        <f>IFERROR(VLOOKUP(A1508,管理亚马逊库存!A:K,11,0),"")</f>
        <v>0</v>
      </c>
      <c r="C1508">
        <f>IFERROR(VLOOKUP(A1508,管理亚马逊库存!A:L,12,0),"")</f>
        <v>0</v>
      </c>
      <c r="D1508">
        <f>IFERROR(VLOOKUP(A1508,管理亚马逊库存!A:Q,17,0),"")</f>
        <v>0</v>
      </c>
      <c r="E1508">
        <f>IFERROR(VLOOKUP(A1508,管理亚马逊库存!A:R,18,0),"")</f>
        <v>0</v>
      </c>
      <c r="F1508">
        <f t="shared" si="47"/>
        <v>0</v>
      </c>
      <c r="G1508">
        <f>IFERROR(VLOOKUP(A1508,预留库存!A:G,7,0),0)</f>
        <v>0</v>
      </c>
      <c r="H1508">
        <f>IFERROR(VLOOKUP(A1508,预留库存!A:H,8,0),0)</f>
        <v>0</v>
      </c>
      <c r="I1508">
        <f>IFERROR(VLOOKUP(A1508,预留库存!A:F,6,0),0)</f>
        <v>0</v>
      </c>
      <c r="J1508">
        <f>IFERROR(VLOOKUP(A1508,库龄!B:K,9,0),0)</f>
        <v>0</v>
      </c>
      <c r="K1508">
        <f>IFERROR(VLOOKUP(A1508,库龄!B:L,10,0),0)</f>
        <v>0</v>
      </c>
      <c r="L1508">
        <f>IFERROR(VLOOKUP(A1508,库龄!B:M,11,0),0)</f>
        <v>0</v>
      </c>
      <c r="M1508">
        <f>IFERROR(VLOOKUP(A1508,库龄!B:N,12,0),0)</f>
        <v>0</v>
      </c>
      <c r="N1508">
        <f t="shared" si="48"/>
        <v>0</v>
      </c>
    </row>
    <row r="1509" spans="1:14">
      <c r="A1509" s="3" t="s">
        <v>4114</v>
      </c>
      <c r="B1509">
        <f>IFERROR(VLOOKUP(A1509,管理亚马逊库存!A:K,11,0),"")</f>
        <v>0</v>
      </c>
      <c r="C1509">
        <f>IFERROR(VLOOKUP(A1509,管理亚马逊库存!A:L,12,0),"")</f>
        <v>0</v>
      </c>
      <c r="D1509">
        <f>IFERROR(VLOOKUP(A1509,管理亚马逊库存!A:Q,17,0),"")</f>
        <v>0</v>
      </c>
      <c r="E1509">
        <f>IFERROR(VLOOKUP(A1509,管理亚马逊库存!A:R,18,0),"")</f>
        <v>0</v>
      </c>
      <c r="F1509">
        <f t="shared" si="47"/>
        <v>0</v>
      </c>
      <c r="G1509">
        <f>IFERROR(VLOOKUP(A1509,预留库存!A:G,7,0),0)</f>
        <v>0</v>
      </c>
      <c r="H1509">
        <f>IFERROR(VLOOKUP(A1509,预留库存!A:H,8,0),0)</f>
        <v>0</v>
      </c>
      <c r="I1509">
        <f>IFERROR(VLOOKUP(A1509,预留库存!A:F,6,0),0)</f>
        <v>0</v>
      </c>
      <c r="J1509">
        <f>IFERROR(VLOOKUP(A1509,库龄!B:K,9,0),0)</f>
        <v>0</v>
      </c>
      <c r="K1509">
        <f>IFERROR(VLOOKUP(A1509,库龄!B:L,10,0),0)</f>
        <v>0</v>
      </c>
      <c r="L1509">
        <f>IFERROR(VLOOKUP(A1509,库龄!B:M,11,0),0)</f>
        <v>0</v>
      </c>
      <c r="M1509">
        <f>IFERROR(VLOOKUP(A1509,库龄!B:N,12,0),0)</f>
        <v>0</v>
      </c>
      <c r="N1509">
        <f t="shared" si="48"/>
        <v>0</v>
      </c>
    </row>
    <row r="1510" spans="1:14">
      <c r="A1510" s="3" t="s">
        <v>4116</v>
      </c>
      <c r="B1510">
        <f>IFERROR(VLOOKUP(A1510,管理亚马逊库存!A:K,11,0),"")</f>
        <v>20</v>
      </c>
      <c r="C1510">
        <f>IFERROR(VLOOKUP(A1510,管理亚马逊库存!A:L,12,0),"")</f>
        <v>0</v>
      </c>
      <c r="D1510">
        <f>IFERROR(VLOOKUP(A1510,管理亚马逊库存!A:Q,17,0),"")</f>
        <v>0</v>
      </c>
      <c r="E1510">
        <f>IFERROR(VLOOKUP(A1510,管理亚马逊库存!A:R,18,0),"")</f>
        <v>0</v>
      </c>
      <c r="F1510">
        <f t="shared" si="47"/>
        <v>0</v>
      </c>
      <c r="G1510" t="str">
        <f>IFERROR(VLOOKUP(A1510,预留库存!A:G,7,0),0)</f>
        <v>No</v>
      </c>
      <c r="H1510">
        <f>IFERROR(VLOOKUP(A1510,预留库存!A:H,8,0),0)</f>
        <v>0</v>
      </c>
      <c r="I1510">
        <f>IFERROR(VLOOKUP(A1510,预留库存!A:F,6,0),0)</f>
        <v>22.98</v>
      </c>
      <c r="J1510">
        <f>IFERROR(VLOOKUP(A1510,库龄!B:K,9,0),0)</f>
        <v>0</v>
      </c>
      <c r="K1510">
        <f>IFERROR(VLOOKUP(A1510,库龄!B:L,10,0),0)</f>
        <v>0</v>
      </c>
      <c r="L1510">
        <f>IFERROR(VLOOKUP(A1510,库龄!B:M,11,0),0)</f>
        <v>0</v>
      </c>
      <c r="M1510">
        <f>IFERROR(VLOOKUP(A1510,库龄!B:N,12,0),0)</f>
        <v>0</v>
      </c>
      <c r="N1510">
        <f t="shared" si="48"/>
        <v>0</v>
      </c>
    </row>
    <row r="1511" spans="1:14">
      <c r="A1511" s="3" t="s">
        <v>4119</v>
      </c>
      <c r="B1511">
        <f>IFERROR(VLOOKUP(A1511,管理亚马逊库存!A:K,11,0),"")</f>
        <v>3</v>
      </c>
      <c r="C1511">
        <f>IFERROR(VLOOKUP(A1511,管理亚马逊库存!A:L,12,0),"")</f>
        <v>0</v>
      </c>
      <c r="D1511">
        <f>IFERROR(VLOOKUP(A1511,管理亚马逊库存!A:Q,17,0),"")</f>
        <v>0</v>
      </c>
      <c r="E1511">
        <f>IFERROR(VLOOKUP(A1511,管理亚马逊库存!A:R,18,0),"")</f>
        <v>0</v>
      </c>
      <c r="F1511">
        <f t="shared" si="47"/>
        <v>0</v>
      </c>
      <c r="G1511" t="str">
        <f>IFERROR(VLOOKUP(A1511,预留库存!A:G,7,0),0)</f>
        <v>No</v>
      </c>
      <c r="H1511">
        <f>IFERROR(VLOOKUP(A1511,预留库存!A:H,8,0),0)</f>
        <v>0</v>
      </c>
      <c r="I1511">
        <f>IFERROR(VLOOKUP(A1511,预留库存!A:F,6,0),0)</f>
        <v>22.98</v>
      </c>
      <c r="J1511">
        <f>IFERROR(VLOOKUP(A1511,库龄!B:K,9,0),0)</f>
        <v>0</v>
      </c>
      <c r="K1511">
        <f>IFERROR(VLOOKUP(A1511,库龄!B:L,10,0),0)</f>
        <v>0</v>
      </c>
      <c r="L1511">
        <f>IFERROR(VLOOKUP(A1511,库龄!B:M,11,0),0)</f>
        <v>0</v>
      </c>
      <c r="M1511">
        <f>IFERROR(VLOOKUP(A1511,库龄!B:N,12,0),0)</f>
        <v>0</v>
      </c>
      <c r="N1511">
        <f t="shared" si="48"/>
        <v>0</v>
      </c>
    </row>
    <row r="1512" spans="1:14">
      <c r="A1512" s="3" t="s">
        <v>4122</v>
      </c>
      <c r="B1512">
        <f>IFERROR(VLOOKUP(A1512,管理亚马逊库存!A:K,11,0),"")</f>
        <v>15</v>
      </c>
      <c r="C1512">
        <f>IFERROR(VLOOKUP(A1512,管理亚马逊库存!A:L,12,0),"")</f>
        <v>0</v>
      </c>
      <c r="D1512">
        <f>IFERROR(VLOOKUP(A1512,管理亚马逊库存!A:Q,17,0),"")</f>
        <v>0</v>
      </c>
      <c r="E1512">
        <f>IFERROR(VLOOKUP(A1512,管理亚马逊库存!A:R,18,0),"")</f>
        <v>0</v>
      </c>
      <c r="F1512">
        <f t="shared" si="47"/>
        <v>0</v>
      </c>
      <c r="G1512" t="str">
        <f>IFERROR(VLOOKUP(A1512,预留库存!A:G,7,0),0)</f>
        <v>No</v>
      </c>
      <c r="H1512">
        <f>IFERROR(VLOOKUP(A1512,预留库存!A:H,8,0),0)</f>
        <v>0</v>
      </c>
      <c r="I1512">
        <f>IFERROR(VLOOKUP(A1512,预留库存!A:F,6,0),0)</f>
        <v>22.98</v>
      </c>
      <c r="J1512">
        <f>IFERROR(VLOOKUP(A1512,库龄!B:K,9,0),0)</f>
        <v>0</v>
      </c>
      <c r="K1512">
        <f>IFERROR(VLOOKUP(A1512,库龄!B:L,10,0),0)</f>
        <v>0</v>
      </c>
      <c r="L1512">
        <f>IFERROR(VLOOKUP(A1512,库龄!B:M,11,0),0)</f>
        <v>0</v>
      </c>
      <c r="M1512">
        <f>IFERROR(VLOOKUP(A1512,库龄!B:N,12,0),0)</f>
        <v>0</v>
      </c>
      <c r="N1512">
        <f t="shared" si="48"/>
        <v>0</v>
      </c>
    </row>
    <row r="1513" spans="1:14">
      <c r="A1513" s="3" t="s">
        <v>4125</v>
      </c>
      <c r="B1513">
        <f>IFERROR(VLOOKUP(A1513,管理亚马逊库存!A:K,11,0),"")</f>
        <v>5</v>
      </c>
      <c r="C1513">
        <f>IFERROR(VLOOKUP(A1513,管理亚马逊库存!A:L,12,0),"")</f>
        <v>0</v>
      </c>
      <c r="D1513">
        <f>IFERROR(VLOOKUP(A1513,管理亚马逊库存!A:Q,17,0),"")</f>
        <v>0</v>
      </c>
      <c r="E1513">
        <f>IFERROR(VLOOKUP(A1513,管理亚马逊库存!A:R,18,0),"")</f>
        <v>0</v>
      </c>
      <c r="F1513">
        <f t="shared" si="47"/>
        <v>0</v>
      </c>
      <c r="G1513" t="str">
        <f>IFERROR(VLOOKUP(A1513,预留库存!A:G,7,0),0)</f>
        <v>No</v>
      </c>
      <c r="H1513">
        <f>IFERROR(VLOOKUP(A1513,预留库存!A:H,8,0),0)</f>
        <v>0</v>
      </c>
      <c r="I1513">
        <f>IFERROR(VLOOKUP(A1513,预留库存!A:F,6,0),0)</f>
        <v>22.98</v>
      </c>
      <c r="J1513">
        <f>IFERROR(VLOOKUP(A1513,库龄!B:K,9,0),0)</f>
        <v>0</v>
      </c>
      <c r="K1513">
        <f>IFERROR(VLOOKUP(A1513,库龄!B:L,10,0),0)</f>
        <v>0</v>
      </c>
      <c r="L1513">
        <f>IFERROR(VLOOKUP(A1513,库龄!B:M,11,0),0)</f>
        <v>0</v>
      </c>
      <c r="M1513">
        <f>IFERROR(VLOOKUP(A1513,库龄!B:N,12,0),0)</f>
        <v>0</v>
      </c>
      <c r="N1513">
        <f t="shared" si="48"/>
        <v>0</v>
      </c>
    </row>
    <row r="1514" spans="1:14">
      <c r="A1514" s="3" t="s">
        <v>4128</v>
      </c>
      <c r="B1514">
        <f>IFERROR(VLOOKUP(A1514,管理亚马逊库存!A:K,11,0),"")</f>
        <v>0</v>
      </c>
      <c r="C1514">
        <f>IFERROR(VLOOKUP(A1514,管理亚马逊库存!A:L,12,0),"")</f>
        <v>0</v>
      </c>
      <c r="D1514">
        <f>IFERROR(VLOOKUP(A1514,管理亚马逊库存!A:Q,17,0),"")</f>
        <v>0</v>
      </c>
      <c r="E1514">
        <f>IFERROR(VLOOKUP(A1514,管理亚马逊库存!A:R,18,0),"")</f>
        <v>0</v>
      </c>
      <c r="F1514">
        <f t="shared" si="47"/>
        <v>0</v>
      </c>
      <c r="G1514">
        <f>IFERROR(VLOOKUP(A1514,预留库存!A:G,7,0),0)</f>
        <v>0</v>
      </c>
      <c r="H1514">
        <f>IFERROR(VLOOKUP(A1514,预留库存!A:H,8,0),0)</f>
        <v>0</v>
      </c>
      <c r="I1514">
        <f>IFERROR(VLOOKUP(A1514,预留库存!A:F,6,0),0)</f>
        <v>0</v>
      </c>
      <c r="J1514">
        <f>IFERROR(VLOOKUP(A1514,库龄!B:K,9,0),0)</f>
        <v>0</v>
      </c>
      <c r="K1514">
        <f>IFERROR(VLOOKUP(A1514,库龄!B:L,10,0),0)</f>
        <v>0</v>
      </c>
      <c r="L1514">
        <f>IFERROR(VLOOKUP(A1514,库龄!B:M,11,0),0)</f>
        <v>0</v>
      </c>
      <c r="M1514">
        <f>IFERROR(VLOOKUP(A1514,库龄!B:N,12,0),0)</f>
        <v>0</v>
      </c>
      <c r="N1514">
        <f t="shared" si="48"/>
        <v>0</v>
      </c>
    </row>
    <row r="1515" spans="1:14">
      <c r="A1515" s="3" t="s">
        <v>4130</v>
      </c>
      <c r="B1515">
        <f>IFERROR(VLOOKUP(A1515,管理亚马逊库存!A:K,11,0),"")</f>
        <v>7</v>
      </c>
      <c r="C1515">
        <f>IFERROR(VLOOKUP(A1515,管理亚马逊库存!A:L,12,0),"")</f>
        <v>0</v>
      </c>
      <c r="D1515">
        <f>IFERROR(VLOOKUP(A1515,管理亚马逊库存!A:Q,17,0),"")</f>
        <v>0</v>
      </c>
      <c r="E1515">
        <f>IFERROR(VLOOKUP(A1515,管理亚马逊库存!A:R,18,0),"")</f>
        <v>0</v>
      </c>
      <c r="F1515">
        <f t="shared" si="47"/>
        <v>0</v>
      </c>
      <c r="G1515" t="str">
        <f>IFERROR(VLOOKUP(A1515,预留库存!A:G,7,0),0)</f>
        <v>No</v>
      </c>
      <c r="H1515">
        <f>IFERROR(VLOOKUP(A1515,预留库存!A:H,8,0),0)</f>
        <v>0</v>
      </c>
      <c r="I1515">
        <f>IFERROR(VLOOKUP(A1515,预留库存!A:F,6,0),0)</f>
        <v>22.98</v>
      </c>
      <c r="J1515">
        <f>IFERROR(VLOOKUP(A1515,库龄!B:K,9,0),0)</f>
        <v>0</v>
      </c>
      <c r="K1515">
        <f>IFERROR(VLOOKUP(A1515,库龄!B:L,10,0),0)</f>
        <v>0</v>
      </c>
      <c r="L1515">
        <f>IFERROR(VLOOKUP(A1515,库龄!B:M,11,0),0)</f>
        <v>0</v>
      </c>
      <c r="M1515">
        <f>IFERROR(VLOOKUP(A1515,库龄!B:N,12,0),0)</f>
        <v>0</v>
      </c>
      <c r="N1515">
        <f t="shared" si="48"/>
        <v>0</v>
      </c>
    </row>
    <row r="1516" spans="1:14">
      <c r="A1516" s="3" t="s">
        <v>4133</v>
      </c>
      <c r="B1516">
        <f>IFERROR(VLOOKUP(A1516,管理亚马逊库存!A:K,11,0),"")</f>
        <v>16</v>
      </c>
      <c r="C1516">
        <f>IFERROR(VLOOKUP(A1516,管理亚马逊库存!A:L,12,0),"")</f>
        <v>1</v>
      </c>
      <c r="D1516">
        <f>IFERROR(VLOOKUP(A1516,管理亚马逊库存!A:Q,17,0),"")</f>
        <v>0</v>
      </c>
      <c r="E1516">
        <f>IFERROR(VLOOKUP(A1516,管理亚马逊库存!A:R,18,0),"")</f>
        <v>0</v>
      </c>
      <c r="F1516">
        <f t="shared" si="47"/>
        <v>0</v>
      </c>
      <c r="G1516" t="str">
        <f>IFERROR(VLOOKUP(A1516,预留库存!A:G,7,0),0)</f>
        <v>No</v>
      </c>
      <c r="H1516">
        <f>IFERROR(VLOOKUP(A1516,预留库存!A:H,8,0),0)</f>
        <v>0</v>
      </c>
      <c r="I1516">
        <f>IFERROR(VLOOKUP(A1516,预留库存!A:F,6,0),0)</f>
        <v>22.98</v>
      </c>
      <c r="J1516">
        <f>IFERROR(VLOOKUP(A1516,库龄!B:K,9,0),0)</f>
        <v>6</v>
      </c>
      <c r="K1516">
        <f>IFERROR(VLOOKUP(A1516,库龄!B:L,10,0),0)</f>
        <v>0</v>
      </c>
      <c r="L1516">
        <f>IFERROR(VLOOKUP(A1516,库龄!B:M,11,0),0)</f>
        <v>0</v>
      </c>
      <c r="M1516">
        <f>IFERROR(VLOOKUP(A1516,库龄!B:N,12,0),0)</f>
        <v>0</v>
      </c>
      <c r="N1516">
        <f t="shared" si="48"/>
        <v>6</v>
      </c>
    </row>
    <row r="1517" spans="1:14">
      <c r="A1517" s="3" t="s">
        <v>4136</v>
      </c>
      <c r="B1517">
        <f>IFERROR(VLOOKUP(A1517,管理亚马逊库存!A:K,11,0),"")</f>
        <v>24</v>
      </c>
      <c r="C1517">
        <f>IFERROR(VLOOKUP(A1517,管理亚马逊库存!A:L,12,0),"")</f>
        <v>0</v>
      </c>
      <c r="D1517">
        <f>IFERROR(VLOOKUP(A1517,管理亚马逊库存!A:Q,17,0),"")</f>
        <v>0</v>
      </c>
      <c r="E1517">
        <f>IFERROR(VLOOKUP(A1517,管理亚马逊库存!A:R,18,0),"")</f>
        <v>0</v>
      </c>
      <c r="F1517">
        <f t="shared" si="47"/>
        <v>0</v>
      </c>
      <c r="G1517" t="str">
        <f>IFERROR(VLOOKUP(A1517,预留库存!A:G,7,0),0)</f>
        <v>No</v>
      </c>
      <c r="H1517">
        <f>IFERROR(VLOOKUP(A1517,预留库存!A:H,8,0),0)</f>
        <v>0</v>
      </c>
      <c r="I1517">
        <f>IFERROR(VLOOKUP(A1517,预留库存!A:F,6,0),0)</f>
        <v>22.98</v>
      </c>
      <c r="J1517">
        <f>IFERROR(VLOOKUP(A1517,库龄!B:K,9,0),0)</f>
        <v>0</v>
      </c>
      <c r="K1517">
        <f>IFERROR(VLOOKUP(A1517,库龄!B:L,10,0),0)</f>
        <v>0</v>
      </c>
      <c r="L1517">
        <f>IFERROR(VLOOKUP(A1517,库龄!B:M,11,0),0)</f>
        <v>0</v>
      </c>
      <c r="M1517">
        <f>IFERROR(VLOOKUP(A1517,库龄!B:N,12,0),0)</f>
        <v>0</v>
      </c>
      <c r="N1517">
        <f t="shared" si="48"/>
        <v>0</v>
      </c>
    </row>
    <row r="1518" spans="1:14">
      <c r="A1518" s="3" t="s">
        <v>4139</v>
      </c>
      <c r="B1518">
        <f>IFERROR(VLOOKUP(A1518,管理亚马逊库存!A:K,11,0),"")</f>
        <v>22</v>
      </c>
      <c r="C1518">
        <f>IFERROR(VLOOKUP(A1518,管理亚马逊库存!A:L,12,0),"")</f>
        <v>0</v>
      </c>
      <c r="D1518">
        <f>IFERROR(VLOOKUP(A1518,管理亚马逊库存!A:Q,17,0),"")</f>
        <v>0</v>
      </c>
      <c r="E1518">
        <f>IFERROR(VLOOKUP(A1518,管理亚马逊库存!A:R,18,0),"")</f>
        <v>0</v>
      </c>
      <c r="F1518">
        <f t="shared" si="47"/>
        <v>0</v>
      </c>
      <c r="G1518" t="str">
        <f>IFERROR(VLOOKUP(A1518,预留库存!A:G,7,0),0)</f>
        <v>No</v>
      </c>
      <c r="H1518">
        <f>IFERROR(VLOOKUP(A1518,预留库存!A:H,8,0),0)</f>
        <v>0</v>
      </c>
      <c r="I1518">
        <f>IFERROR(VLOOKUP(A1518,预留库存!A:F,6,0),0)</f>
        <v>22.98</v>
      </c>
      <c r="J1518">
        <f>IFERROR(VLOOKUP(A1518,库龄!B:K,9,0),0)</f>
        <v>0</v>
      </c>
      <c r="K1518">
        <f>IFERROR(VLOOKUP(A1518,库龄!B:L,10,0),0)</f>
        <v>0</v>
      </c>
      <c r="L1518">
        <f>IFERROR(VLOOKUP(A1518,库龄!B:M,11,0),0)</f>
        <v>0</v>
      </c>
      <c r="M1518">
        <f>IFERROR(VLOOKUP(A1518,库龄!B:N,12,0),0)</f>
        <v>0</v>
      </c>
      <c r="N1518">
        <f t="shared" si="48"/>
        <v>0</v>
      </c>
    </row>
    <row r="1519" spans="1:14">
      <c r="A1519" s="3" t="s">
        <v>4142</v>
      </c>
      <c r="B1519">
        <f>IFERROR(VLOOKUP(A1519,管理亚马逊库存!A:K,11,0),"")</f>
        <v>8</v>
      </c>
      <c r="C1519">
        <f>IFERROR(VLOOKUP(A1519,管理亚马逊库存!A:L,12,0),"")</f>
        <v>0</v>
      </c>
      <c r="D1519">
        <f>IFERROR(VLOOKUP(A1519,管理亚马逊库存!A:Q,17,0),"")</f>
        <v>0</v>
      </c>
      <c r="E1519">
        <f>IFERROR(VLOOKUP(A1519,管理亚马逊库存!A:R,18,0),"")</f>
        <v>0</v>
      </c>
      <c r="F1519">
        <f t="shared" si="47"/>
        <v>0</v>
      </c>
      <c r="G1519" t="str">
        <f>IFERROR(VLOOKUP(A1519,预留库存!A:G,7,0),0)</f>
        <v>No</v>
      </c>
      <c r="H1519">
        <f>IFERROR(VLOOKUP(A1519,预留库存!A:H,8,0),0)</f>
        <v>0</v>
      </c>
      <c r="I1519">
        <f>IFERROR(VLOOKUP(A1519,预留库存!A:F,6,0),0)</f>
        <v>22.98</v>
      </c>
      <c r="J1519">
        <f>IFERROR(VLOOKUP(A1519,库龄!B:K,9,0),0)</f>
        <v>0</v>
      </c>
      <c r="K1519">
        <f>IFERROR(VLOOKUP(A1519,库龄!B:L,10,0),0)</f>
        <v>0</v>
      </c>
      <c r="L1519">
        <f>IFERROR(VLOOKUP(A1519,库龄!B:M,11,0),0)</f>
        <v>0</v>
      </c>
      <c r="M1519">
        <f>IFERROR(VLOOKUP(A1519,库龄!B:N,12,0),0)</f>
        <v>0</v>
      </c>
      <c r="N1519">
        <f t="shared" si="48"/>
        <v>0</v>
      </c>
    </row>
    <row r="1520" spans="1:14">
      <c r="A1520" s="3" t="s">
        <v>4145</v>
      </c>
      <c r="B1520">
        <f>IFERROR(VLOOKUP(A1520,管理亚马逊库存!A:K,11,0),"")</f>
        <v>10</v>
      </c>
      <c r="C1520">
        <f>IFERROR(VLOOKUP(A1520,管理亚马逊库存!A:L,12,0),"")</f>
        <v>0</v>
      </c>
      <c r="D1520">
        <f>IFERROR(VLOOKUP(A1520,管理亚马逊库存!A:Q,17,0),"")</f>
        <v>0</v>
      </c>
      <c r="E1520">
        <f>IFERROR(VLOOKUP(A1520,管理亚马逊库存!A:R,18,0),"")</f>
        <v>0</v>
      </c>
      <c r="F1520">
        <f t="shared" si="47"/>
        <v>0</v>
      </c>
      <c r="G1520" t="str">
        <f>IFERROR(VLOOKUP(A1520,预留库存!A:G,7,0),0)</f>
        <v>No</v>
      </c>
      <c r="H1520">
        <f>IFERROR(VLOOKUP(A1520,预留库存!A:H,8,0),0)</f>
        <v>0</v>
      </c>
      <c r="I1520">
        <f>IFERROR(VLOOKUP(A1520,预留库存!A:F,6,0),0)</f>
        <v>22.98</v>
      </c>
      <c r="J1520">
        <f>IFERROR(VLOOKUP(A1520,库龄!B:K,9,0),0)</f>
        <v>0</v>
      </c>
      <c r="K1520">
        <f>IFERROR(VLOOKUP(A1520,库龄!B:L,10,0),0)</f>
        <v>0</v>
      </c>
      <c r="L1520">
        <f>IFERROR(VLOOKUP(A1520,库龄!B:M,11,0),0)</f>
        <v>0</v>
      </c>
      <c r="M1520">
        <f>IFERROR(VLOOKUP(A1520,库龄!B:N,12,0),0)</f>
        <v>0</v>
      </c>
      <c r="N1520">
        <f t="shared" si="48"/>
        <v>0</v>
      </c>
    </row>
    <row r="1521" spans="1:14">
      <c r="A1521" s="3" t="s">
        <v>4148</v>
      </c>
      <c r="B1521">
        <f>IFERROR(VLOOKUP(A1521,管理亚马逊库存!A:K,11,0),"")</f>
        <v>17</v>
      </c>
      <c r="C1521">
        <f>IFERROR(VLOOKUP(A1521,管理亚马逊库存!A:L,12,0),"")</f>
        <v>0</v>
      </c>
      <c r="D1521">
        <f>IFERROR(VLOOKUP(A1521,管理亚马逊库存!A:Q,17,0),"")</f>
        <v>0</v>
      </c>
      <c r="E1521">
        <f>IFERROR(VLOOKUP(A1521,管理亚马逊库存!A:R,18,0),"")</f>
        <v>0</v>
      </c>
      <c r="F1521">
        <f t="shared" si="47"/>
        <v>0</v>
      </c>
      <c r="G1521" t="str">
        <f>IFERROR(VLOOKUP(A1521,预留库存!A:G,7,0),0)</f>
        <v>No</v>
      </c>
      <c r="H1521">
        <f>IFERROR(VLOOKUP(A1521,预留库存!A:H,8,0),0)</f>
        <v>0</v>
      </c>
      <c r="I1521">
        <f>IFERROR(VLOOKUP(A1521,预留库存!A:F,6,0),0)</f>
        <v>22.98</v>
      </c>
      <c r="J1521">
        <f>IFERROR(VLOOKUP(A1521,库龄!B:K,9,0),0)</f>
        <v>0</v>
      </c>
      <c r="K1521">
        <f>IFERROR(VLOOKUP(A1521,库龄!B:L,10,0),0)</f>
        <v>0</v>
      </c>
      <c r="L1521">
        <f>IFERROR(VLOOKUP(A1521,库龄!B:M,11,0),0)</f>
        <v>0</v>
      </c>
      <c r="M1521">
        <f>IFERROR(VLOOKUP(A1521,库龄!B:N,12,0),0)</f>
        <v>0</v>
      </c>
      <c r="N1521">
        <f t="shared" si="48"/>
        <v>0</v>
      </c>
    </row>
    <row r="1522" spans="1:14">
      <c r="A1522" s="3" t="s">
        <v>4151</v>
      </c>
      <c r="B1522">
        <f>IFERROR(VLOOKUP(A1522,管理亚马逊库存!A:K,11,0),"")</f>
        <v>0</v>
      </c>
      <c r="C1522">
        <f>IFERROR(VLOOKUP(A1522,管理亚马逊库存!A:L,12,0),"")</f>
        <v>0</v>
      </c>
      <c r="D1522">
        <f>IFERROR(VLOOKUP(A1522,管理亚马逊库存!A:Q,17,0),"")</f>
        <v>0</v>
      </c>
      <c r="E1522">
        <f>IFERROR(VLOOKUP(A1522,管理亚马逊库存!A:R,18,0),"")</f>
        <v>0</v>
      </c>
      <c r="F1522">
        <f t="shared" si="47"/>
        <v>0</v>
      </c>
      <c r="G1522" t="str">
        <f>IFERROR(VLOOKUP(A1522,预留库存!A:G,7,0),0)</f>
        <v>No</v>
      </c>
      <c r="H1522">
        <f>IFERROR(VLOOKUP(A1522,预留库存!A:H,8,0),0)</f>
        <v>0</v>
      </c>
      <c r="I1522">
        <f>IFERROR(VLOOKUP(A1522,预留库存!A:F,6,0),0)</f>
        <v>22.98</v>
      </c>
      <c r="J1522">
        <f>IFERROR(VLOOKUP(A1522,库龄!B:K,9,0),0)</f>
        <v>0</v>
      </c>
      <c r="K1522">
        <f>IFERROR(VLOOKUP(A1522,库龄!B:L,10,0),0)</f>
        <v>0</v>
      </c>
      <c r="L1522">
        <f>IFERROR(VLOOKUP(A1522,库龄!B:M,11,0),0)</f>
        <v>0</v>
      </c>
      <c r="M1522">
        <f>IFERROR(VLOOKUP(A1522,库龄!B:N,12,0),0)</f>
        <v>0</v>
      </c>
      <c r="N1522">
        <f t="shared" si="48"/>
        <v>0</v>
      </c>
    </row>
    <row r="1523" spans="1:14">
      <c r="A1523" s="3" t="s">
        <v>4154</v>
      </c>
      <c r="B1523">
        <f>IFERROR(VLOOKUP(A1523,管理亚马逊库存!A:K,11,0),"")</f>
        <v>5</v>
      </c>
      <c r="C1523">
        <f>IFERROR(VLOOKUP(A1523,管理亚马逊库存!A:L,12,0),"")</f>
        <v>0</v>
      </c>
      <c r="D1523">
        <f>IFERROR(VLOOKUP(A1523,管理亚马逊库存!A:Q,17,0),"")</f>
        <v>0</v>
      </c>
      <c r="E1523">
        <f>IFERROR(VLOOKUP(A1523,管理亚马逊库存!A:R,18,0),"")</f>
        <v>0</v>
      </c>
      <c r="F1523">
        <f t="shared" si="47"/>
        <v>0</v>
      </c>
      <c r="G1523" t="str">
        <f>IFERROR(VLOOKUP(A1523,预留库存!A:G,7,0),0)</f>
        <v>No</v>
      </c>
      <c r="H1523">
        <f>IFERROR(VLOOKUP(A1523,预留库存!A:H,8,0),0)</f>
        <v>0</v>
      </c>
      <c r="I1523">
        <f>IFERROR(VLOOKUP(A1523,预留库存!A:F,6,0),0)</f>
        <v>22.98</v>
      </c>
      <c r="J1523">
        <f>IFERROR(VLOOKUP(A1523,库龄!B:K,9,0),0)</f>
        <v>0</v>
      </c>
      <c r="K1523">
        <f>IFERROR(VLOOKUP(A1523,库龄!B:L,10,0),0)</f>
        <v>0</v>
      </c>
      <c r="L1523">
        <f>IFERROR(VLOOKUP(A1523,库龄!B:M,11,0),0)</f>
        <v>0</v>
      </c>
      <c r="M1523">
        <f>IFERROR(VLOOKUP(A1523,库龄!B:N,12,0),0)</f>
        <v>0</v>
      </c>
      <c r="N1523">
        <f t="shared" si="48"/>
        <v>0</v>
      </c>
    </row>
    <row r="1524" spans="1:14">
      <c r="A1524" s="3" t="s">
        <v>4157</v>
      </c>
      <c r="B1524">
        <f>IFERROR(VLOOKUP(A1524,管理亚马逊库存!A:K,11,0),"")</f>
        <v>13</v>
      </c>
      <c r="C1524">
        <f>IFERROR(VLOOKUP(A1524,管理亚马逊库存!A:L,12,0),"")</f>
        <v>0</v>
      </c>
      <c r="D1524">
        <f>IFERROR(VLOOKUP(A1524,管理亚马逊库存!A:Q,17,0),"")</f>
        <v>0</v>
      </c>
      <c r="E1524">
        <f>IFERROR(VLOOKUP(A1524,管理亚马逊库存!A:R,18,0),"")</f>
        <v>0</v>
      </c>
      <c r="F1524">
        <f t="shared" si="47"/>
        <v>0</v>
      </c>
      <c r="G1524" t="str">
        <f>IFERROR(VLOOKUP(A1524,预留库存!A:G,7,0),0)</f>
        <v>No</v>
      </c>
      <c r="H1524">
        <f>IFERROR(VLOOKUP(A1524,预留库存!A:H,8,0),0)</f>
        <v>0</v>
      </c>
      <c r="I1524">
        <f>IFERROR(VLOOKUP(A1524,预留库存!A:F,6,0),0)</f>
        <v>22.98</v>
      </c>
      <c r="J1524">
        <f>IFERROR(VLOOKUP(A1524,库龄!B:K,9,0),0)</f>
        <v>0</v>
      </c>
      <c r="K1524">
        <f>IFERROR(VLOOKUP(A1524,库龄!B:L,10,0),0)</f>
        <v>0</v>
      </c>
      <c r="L1524">
        <f>IFERROR(VLOOKUP(A1524,库龄!B:M,11,0),0)</f>
        <v>0</v>
      </c>
      <c r="M1524">
        <f>IFERROR(VLOOKUP(A1524,库龄!B:N,12,0),0)</f>
        <v>0</v>
      </c>
      <c r="N1524">
        <f t="shared" si="48"/>
        <v>0</v>
      </c>
    </row>
    <row r="1525" spans="1:14">
      <c r="A1525" s="3" t="s">
        <v>4160</v>
      </c>
      <c r="B1525">
        <f>IFERROR(VLOOKUP(A1525,管理亚马逊库存!A:K,11,0),"")</f>
        <v>4</v>
      </c>
      <c r="C1525">
        <f>IFERROR(VLOOKUP(A1525,管理亚马逊库存!A:L,12,0),"")</f>
        <v>0</v>
      </c>
      <c r="D1525">
        <f>IFERROR(VLOOKUP(A1525,管理亚马逊库存!A:Q,17,0),"")</f>
        <v>0</v>
      </c>
      <c r="E1525">
        <f>IFERROR(VLOOKUP(A1525,管理亚马逊库存!A:R,18,0),"")</f>
        <v>0</v>
      </c>
      <c r="F1525">
        <f t="shared" si="47"/>
        <v>0</v>
      </c>
      <c r="G1525" t="str">
        <f>IFERROR(VLOOKUP(A1525,预留库存!A:G,7,0),0)</f>
        <v>No</v>
      </c>
      <c r="H1525">
        <f>IFERROR(VLOOKUP(A1525,预留库存!A:H,8,0),0)</f>
        <v>0</v>
      </c>
      <c r="I1525">
        <f>IFERROR(VLOOKUP(A1525,预留库存!A:F,6,0),0)</f>
        <v>22.98</v>
      </c>
      <c r="J1525">
        <f>IFERROR(VLOOKUP(A1525,库龄!B:K,9,0),0)</f>
        <v>0</v>
      </c>
      <c r="K1525">
        <f>IFERROR(VLOOKUP(A1525,库龄!B:L,10,0),0)</f>
        <v>0</v>
      </c>
      <c r="L1525">
        <f>IFERROR(VLOOKUP(A1525,库龄!B:M,11,0),0)</f>
        <v>0</v>
      </c>
      <c r="M1525">
        <f>IFERROR(VLOOKUP(A1525,库龄!B:N,12,0),0)</f>
        <v>0</v>
      </c>
      <c r="N1525">
        <f t="shared" si="48"/>
        <v>0</v>
      </c>
    </row>
    <row r="1526" spans="1:14">
      <c r="A1526" s="3" t="s">
        <v>4163</v>
      </c>
      <c r="B1526">
        <f>IFERROR(VLOOKUP(A1526,管理亚马逊库存!A:K,11,0),"")</f>
        <v>21</v>
      </c>
      <c r="C1526">
        <f>IFERROR(VLOOKUP(A1526,管理亚马逊库存!A:L,12,0),"")</f>
        <v>0</v>
      </c>
      <c r="D1526">
        <f>IFERROR(VLOOKUP(A1526,管理亚马逊库存!A:Q,17,0),"")</f>
        <v>0</v>
      </c>
      <c r="E1526">
        <f>IFERROR(VLOOKUP(A1526,管理亚马逊库存!A:R,18,0),"")</f>
        <v>0</v>
      </c>
      <c r="F1526">
        <f t="shared" si="47"/>
        <v>0</v>
      </c>
      <c r="G1526" t="str">
        <f>IFERROR(VLOOKUP(A1526,预留库存!A:G,7,0),0)</f>
        <v>No</v>
      </c>
      <c r="H1526">
        <f>IFERROR(VLOOKUP(A1526,预留库存!A:H,8,0),0)</f>
        <v>0</v>
      </c>
      <c r="I1526">
        <f>IFERROR(VLOOKUP(A1526,预留库存!A:F,6,0),0)</f>
        <v>22.98</v>
      </c>
      <c r="J1526">
        <f>IFERROR(VLOOKUP(A1526,库龄!B:K,9,0),0)</f>
        <v>0</v>
      </c>
      <c r="K1526">
        <f>IFERROR(VLOOKUP(A1526,库龄!B:L,10,0),0)</f>
        <v>0</v>
      </c>
      <c r="L1526">
        <f>IFERROR(VLOOKUP(A1526,库龄!B:M,11,0),0)</f>
        <v>0</v>
      </c>
      <c r="M1526">
        <f>IFERROR(VLOOKUP(A1526,库龄!B:N,12,0),0)</f>
        <v>0</v>
      </c>
      <c r="N1526">
        <f t="shared" si="48"/>
        <v>0</v>
      </c>
    </row>
    <row r="1527" spans="1:14">
      <c r="A1527" s="3" t="s">
        <v>4166</v>
      </c>
      <c r="B1527">
        <f>IFERROR(VLOOKUP(A1527,管理亚马逊库存!A:K,11,0),"")</f>
        <v>19</v>
      </c>
      <c r="C1527">
        <f>IFERROR(VLOOKUP(A1527,管理亚马逊库存!A:L,12,0),"")</f>
        <v>0</v>
      </c>
      <c r="D1527">
        <f>IFERROR(VLOOKUP(A1527,管理亚马逊库存!A:Q,17,0),"")</f>
        <v>0</v>
      </c>
      <c r="E1527">
        <f>IFERROR(VLOOKUP(A1527,管理亚马逊库存!A:R,18,0),"")</f>
        <v>0</v>
      </c>
      <c r="F1527">
        <f t="shared" si="47"/>
        <v>0</v>
      </c>
      <c r="G1527" t="str">
        <f>IFERROR(VLOOKUP(A1527,预留库存!A:G,7,0),0)</f>
        <v>No</v>
      </c>
      <c r="H1527">
        <f>IFERROR(VLOOKUP(A1527,预留库存!A:H,8,0),0)</f>
        <v>0</v>
      </c>
      <c r="I1527">
        <f>IFERROR(VLOOKUP(A1527,预留库存!A:F,6,0),0)</f>
        <v>22.98</v>
      </c>
      <c r="J1527">
        <f>IFERROR(VLOOKUP(A1527,库龄!B:K,9,0),0)</f>
        <v>0</v>
      </c>
      <c r="K1527">
        <f>IFERROR(VLOOKUP(A1527,库龄!B:L,10,0),0)</f>
        <v>0</v>
      </c>
      <c r="L1527">
        <f>IFERROR(VLOOKUP(A1527,库龄!B:M,11,0),0)</f>
        <v>0</v>
      </c>
      <c r="M1527">
        <f>IFERROR(VLOOKUP(A1527,库龄!B:N,12,0),0)</f>
        <v>0</v>
      </c>
      <c r="N1527">
        <f t="shared" si="48"/>
        <v>0</v>
      </c>
    </row>
    <row r="1528" spans="1:14">
      <c r="A1528" s="3" t="s">
        <v>4169</v>
      </c>
      <c r="B1528">
        <f>IFERROR(VLOOKUP(A1528,管理亚马逊库存!A:K,11,0),"")</f>
        <v>0</v>
      </c>
      <c r="C1528">
        <f>IFERROR(VLOOKUP(A1528,管理亚马逊库存!A:L,12,0),"")</f>
        <v>0</v>
      </c>
      <c r="D1528">
        <f>IFERROR(VLOOKUP(A1528,管理亚马逊库存!A:Q,17,0),"")</f>
        <v>0</v>
      </c>
      <c r="E1528">
        <f>IFERROR(VLOOKUP(A1528,管理亚马逊库存!A:R,18,0),"")</f>
        <v>0</v>
      </c>
      <c r="F1528">
        <f t="shared" si="47"/>
        <v>0</v>
      </c>
      <c r="G1528">
        <f>IFERROR(VLOOKUP(A1528,预留库存!A:G,7,0),0)</f>
        <v>0</v>
      </c>
      <c r="H1528">
        <f>IFERROR(VLOOKUP(A1528,预留库存!A:H,8,0),0)</f>
        <v>0</v>
      </c>
      <c r="I1528">
        <f>IFERROR(VLOOKUP(A1528,预留库存!A:F,6,0),0)</f>
        <v>0</v>
      </c>
      <c r="J1528">
        <f>IFERROR(VLOOKUP(A1528,库龄!B:K,9,0),0)</f>
        <v>0</v>
      </c>
      <c r="K1528">
        <f>IFERROR(VLOOKUP(A1528,库龄!B:L,10,0),0)</f>
        <v>0</v>
      </c>
      <c r="L1528">
        <f>IFERROR(VLOOKUP(A1528,库龄!B:M,11,0),0)</f>
        <v>0</v>
      </c>
      <c r="M1528">
        <f>IFERROR(VLOOKUP(A1528,库龄!B:N,12,0),0)</f>
        <v>0</v>
      </c>
      <c r="N1528">
        <f t="shared" si="48"/>
        <v>0</v>
      </c>
    </row>
    <row r="1529" spans="1:14">
      <c r="A1529" s="3" t="s">
        <v>4171</v>
      </c>
      <c r="B1529">
        <f>IFERROR(VLOOKUP(A1529,管理亚马逊库存!A:K,11,0),"")</f>
        <v>10</v>
      </c>
      <c r="C1529">
        <f>IFERROR(VLOOKUP(A1529,管理亚马逊库存!A:L,12,0),"")</f>
        <v>0</v>
      </c>
      <c r="D1529">
        <f>IFERROR(VLOOKUP(A1529,管理亚马逊库存!A:Q,17,0),"")</f>
        <v>0</v>
      </c>
      <c r="E1529">
        <f>IFERROR(VLOOKUP(A1529,管理亚马逊库存!A:R,18,0),"")</f>
        <v>0</v>
      </c>
      <c r="F1529">
        <f t="shared" si="47"/>
        <v>0</v>
      </c>
      <c r="G1529" t="str">
        <f>IFERROR(VLOOKUP(A1529,预留库存!A:G,7,0),0)</f>
        <v>No</v>
      </c>
      <c r="H1529">
        <f>IFERROR(VLOOKUP(A1529,预留库存!A:H,8,0),0)</f>
        <v>0</v>
      </c>
      <c r="I1529">
        <f>IFERROR(VLOOKUP(A1529,预留库存!A:F,6,0),0)</f>
        <v>22.98</v>
      </c>
      <c r="J1529">
        <f>IFERROR(VLOOKUP(A1529,库龄!B:K,9,0),0)</f>
        <v>0</v>
      </c>
      <c r="K1529">
        <f>IFERROR(VLOOKUP(A1529,库龄!B:L,10,0),0)</f>
        <v>0</v>
      </c>
      <c r="L1529">
        <f>IFERROR(VLOOKUP(A1529,库龄!B:M,11,0),0)</f>
        <v>0</v>
      </c>
      <c r="M1529">
        <f>IFERROR(VLOOKUP(A1529,库龄!B:N,12,0),0)</f>
        <v>0</v>
      </c>
      <c r="N1529">
        <f t="shared" si="48"/>
        <v>0</v>
      </c>
    </row>
    <row r="1530" spans="1:14">
      <c r="A1530" s="3" t="s">
        <v>4174</v>
      </c>
      <c r="B1530">
        <f>IFERROR(VLOOKUP(A1530,管理亚马逊库存!A:K,11,0),"")</f>
        <v>16</v>
      </c>
      <c r="C1530">
        <f>IFERROR(VLOOKUP(A1530,管理亚马逊库存!A:L,12,0),"")</f>
        <v>0</v>
      </c>
      <c r="D1530">
        <f>IFERROR(VLOOKUP(A1530,管理亚马逊库存!A:Q,17,0),"")</f>
        <v>0</v>
      </c>
      <c r="E1530">
        <f>IFERROR(VLOOKUP(A1530,管理亚马逊库存!A:R,18,0),"")</f>
        <v>0</v>
      </c>
      <c r="F1530">
        <f t="shared" si="47"/>
        <v>0</v>
      </c>
      <c r="G1530" t="str">
        <f>IFERROR(VLOOKUP(A1530,预留库存!A:G,7,0),0)</f>
        <v>No</v>
      </c>
      <c r="H1530">
        <f>IFERROR(VLOOKUP(A1530,预留库存!A:H,8,0),0)</f>
        <v>0</v>
      </c>
      <c r="I1530">
        <f>IFERROR(VLOOKUP(A1530,预留库存!A:F,6,0),0)</f>
        <v>22.98</v>
      </c>
      <c r="J1530">
        <f>IFERROR(VLOOKUP(A1530,库龄!B:K,9,0),0)</f>
        <v>0</v>
      </c>
      <c r="K1530">
        <f>IFERROR(VLOOKUP(A1530,库龄!B:L,10,0),0)</f>
        <v>0</v>
      </c>
      <c r="L1530">
        <f>IFERROR(VLOOKUP(A1530,库龄!B:M,11,0),0)</f>
        <v>0</v>
      </c>
      <c r="M1530">
        <f>IFERROR(VLOOKUP(A1530,库龄!B:N,12,0),0)</f>
        <v>0</v>
      </c>
      <c r="N1530">
        <f t="shared" si="48"/>
        <v>0</v>
      </c>
    </row>
    <row r="1531" spans="1:14">
      <c r="A1531" s="3" t="s">
        <v>4177</v>
      </c>
      <c r="B1531">
        <f>IFERROR(VLOOKUP(A1531,管理亚马逊库存!A:K,11,0),"")</f>
        <v>1</v>
      </c>
      <c r="C1531">
        <f>IFERROR(VLOOKUP(A1531,管理亚马逊库存!A:L,12,0),"")</f>
        <v>0</v>
      </c>
      <c r="D1531">
        <f>IFERROR(VLOOKUP(A1531,管理亚马逊库存!A:Q,17,0),"")</f>
        <v>0</v>
      </c>
      <c r="E1531">
        <f>IFERROR(VLOOKUP(A1531,管理亚马逊库存!A:R,18,0),"")</f>
        <v>0</v>
      </c>
      <c r="F1531">
        <f t="shared" si="47"/>
        <v>0</v>
      </c>
      <c r="G1531" t="str">
        <f>IFERROR(VLOOKUP(A1531,预留库存!A:G,7,0),0)</f>
        <v>No</v>
      </c>
      <c r="H1531">
        <f>IFERROR(VLOOKUP(A1531,预留库存!A:H,8,0),0)</f>
        <v>0</v>
      </c>
      <c r="I1531">
        <f>IFERROR(VLOOKUP(A1531,预留库存!A:F,6,0),0)</f>
        <v>22.98</v>
      </c>
      <c r="J1531">
        <f>IFERROR(VLOOKUP(A1531,库龄!B:K,9,0),0)</f>
        <v>0</v>
      </c>
      <c r="K1531">
        <f>IFERROR(VLOOKUP(A1531,库龄!B:L,10,0),0)</f>
        <v>0</v>
      </c>
      <c r="L1531">
        <f>IFERROR(VLOOKUP(A1531,库龄!B:M,11,0),0)</f>
        <v>0</v>
      </c>
      <c r="M1531">
        <f>IFERROR(VLOOKUP(A1531,库龄!B:N,12,0),0)</f>
        <v>0</v>
      </c>
      <c r="N1531">
        <f t="shared" si="48"/>
        <v>0</v>
      </c>
    </row>
    <row r="1532" spans="1:14">
      <c r="A1532" s="3" t="s">
        <v>4180</v>
      </c>
      <c r="B1532">
        <f>IFERROR(VLOOKUP(A1532,管理亚马逊库存!A:K,11,0),"")</f>
        <v>18</v>
      </c>
      <c r="C1532">
        <f>IFERROR(VLOOKUP(A1532,管理亚马逊库存!A:L,12,0),"")</f>
        <v>0</v>
      </c>
      <c r="D1532">
        <f>IFERROR(VLOOKUP(A1532,管理亚马逊库存!A:Q,17,0),"")</f>
        <v>0</v>
      </c>
      <c r="E1532">
        <f>IFERROR(VLOOKUP(A1532,管理亚马逊库存!A:R,18,0),"")</f>
        <v>0</v>
      </c>
      <c r="F1532">
        <f t="shared" si="47"/>
        <v>0</v>
      </c>
      <c r="G1532" t="str">
        <f>IFERROR(VLOOKUP(A1532,预留库存!A:G,7,0),0)</f>
        <v>No</v>
      </c>
      <c r="H1532">
        <f>IFERROR(VLOOKUP(A1532,预留库存!A:H,8,0),0)</f>
        <v>0</v>
      </c>
      <c r="I1532">
        <f>IFERROR(VLOOKUP(A1532,预留库存!A:F,6,0),0)</f>
        <v>22.98</v>
      </c>
      <c r="J1532">
        <f>IFERROR(VLOOKUP(A1532,库龄!B:K,9,0),0)</f>
        <v>0</v>
      </c>
      <c r="K1532">
        <f>IFERROR(VLOOKUP(A1532,库龄!B:L,10,0),0)</f>
        <v>0</v>
      </c>
      <c r="L1532">
        <f>IFERROR(VLOOKUP(A1532,库龄!B:M,11,0),0)</f>
        <v>0</v>
      </c>
      <c r="M1532">
        <f>IFERROR(VLOOKUP(A1532,库龄!B:N,12,0),0)</f>
        <v>0</v>
      </c>
      <c r="N1532">
        <f t="shared" si="48"/>
        <v>0</v>
      </c>
    </row>
    <row r="1533" spans="1:14">
      <c r="A1533" s="3" t="s">
        <v>4183</v>
      </c>
      <c r="B1533">
        <f>IFERROR(VLOOKUP(A1533,管理亚马逊库存!A:K,11,0),"")</f>
        <v>0</v>
      </c>
      <c r="C1533">
        <f>IFERROR(VLOOKUP(A1533,管理亚马逊库存!A:L,12,0),"")</f>
        <v>0</v>
      </c>
      <c r="D1533">
        <f>IFERROR(VLOOKUP(A1533,管理亚马逊库存!A:Q,17,0),"")</f>
        <v>0</v>
      </c>
      <c r="E1533">
        <f>IFERROR(VLOOKUP(A1533,管理亚马逊库存!A:R,18,0),"")</f>
        <v>0</v>
      </c>
      <c r="F1533">
        <f t="shared" si="47"/>
        <v>0</v>
      </c>
      <c r="G1533" t="str">
        <f>IFERROR(VLOOKUP(A1533,预留库存!A:G,7,0),0)</f>
        <v>No</v>
      </c>
      <c r="H1533">
        <f>IFERROR(VLOOKUP(A1533,预留库存!A:H,8,0),0)</f>
        <v>0</v>
      </c>
      <c r="I1533">
        <f>IFERROR(VLOOKUP(A1533,预留库存!A:F,6,0),0)</f>
        <v>22.98</v>
      </c>
      <c r="J1533">
        <f>IFERROR(VLOOKUP(A1533,库龄!B:K,9,0),0)</f>
        <v>0</v>
      </c>
      <c r="K1533">
        <f>IFERROR(VLOOKUP(A1533,库龄!B:L,10,0),0)</f>
        <v>0</v>
      </c>
      <c r="L1533">
        <f>IFERROR(VLOOKUP(A1533,库龄!B:M,11,0),0)</f>
        <v>0</v>
      </c>
      <c r="M1533">
        <f>IFERROR(VLOOKUP(A1533,库龄!B:N,12,0),0)</f>
        <v>0</v>
      </c>
      <c r="N1533">
        <f t="shared" si="48"/>
        <v>0</v>
      </c>
    </row>
    <row r="1534" spans="1:14">
      <c r="A1534" s="3" t="s">
        <v>4186</v>
      </c>
      <c r="B1534">
        <f>IFERROR(VLOOKUP(A1534,管理亚马逊库存!A:K,11,0),"")</f>
        <v>24</v>
      </c>
      <c r="C1534">
        <f>IFERROR(VLOOKUP(A1534,管理亚马逊库存!A:L,12,0),"")</f>
        <v>0</v>
      </c>
      <c r="D1534">
        <f>IFERROR(VLOOKUP(A1534,管理亚马逊库存!A:Q,17,0),"")</f>
        <v>0</v>
      </c>
      <c r="E1534">
        <f>IFERROR(VLOOKUP(A1534,管理亚马逊库存!A:R,18,0),"")</f>
        <v>0</v>
      </c>
      <c r="F1534">
        <f t="shared" si="47"/>
        <v>0</v>
      </c>
      <c r="G1534" t="str">
        <f>IFERROR(VLOOKUP(A1534,预留库存!A:G,7,0),0)</f>
        <v>No</v>
      </c>
      <c r="H1534">
        <f>IFERROR(VLOOKUP(A1534,预留库存!A:H,8,0),0)</f>
        <v>0</v>
      </c>
      <c r="I1534">
        <f>IFERROR(VLOOKUP(A1534,预留库存!A:F,6,0),0)</f>
        <v>22.98</v>
      </c>
      <c r="J1534">
        <f>IFERROR(VLOOKUP(A1534,库龄!B:K,9,0),0)</f>
        <v>0</v>
      </c>
      <c r="K1534">
        <f>IFERROR(VLOOKUP(A1534,库龄!B:L,10,0),0)</f>
        <v>0</v>
      </c>
      <c r="L1534">
        <f>IFERROR(VLOOKUP(A1534,库龄!B:M,11,0),0)</f>
        <v>0</v>
      </c>
      <c r="M1534">
        <f>IFERROR(VLOOKUP(A1534,库龄!B:N,12,0),0)</f>
        <v>0</v>
      </c>
      <c r="N1534">
        <f t="shared" si="48"/>
        <v>0</v>
      </c>
    </row>
    <row r="1535" spans="1:14">
      <c r="A1535" s="3" t="s">
        <v>4189</v>
      </c>
      <c r="B1535">
        <f>IFERROR(VLOOKUP(A1535,管理亚马逊库存!A:K,11,0),"")</f>
        <v>2</v>
      </c>
      <c r="C1535">
        <f>IFERROR(VLOOKUP(A1535,管理亚马逊库存!A:L,12,0),"")</f>
        <v>0</v>
      </c>
      <c r="D1535">
        <f>IFERROR(VLOOKUP(A1535,管理亚马逊库存!A:Q,17,0),"")</f>
        <v>0</v>
      </c>
      <c r="E1535">
        <f>IFERROR(VLOOKUP(A1535,管理亚马逊库存!A:R,18,0),"")</f>
        <v>0</v>
      </c>
      <c r="F1535">
        <f t="shared" si="47"/>
        <v>0</v>
      </c>
      <c r="G1535" t="str">
        <f>IFERROR(VLOOKUP(A1535,预留库存!A:G,7,0),0)</f>
        <v>No</v>
      </c>
      <c r="H1535">
        <f>IFERROR(VLOOKUP(A1535,预留库存!A:H,8,0),0)</f>
        <v>0</v>
      </c>
      <c r="I1535">
        <f>IFERROR(VLOOKUP(A1535,预留库存!A:F,6,0),0)</f>
        <v>22.98</v>
      </c>
      <c r="J1535">
        <f>IFERROR(VLOOKUP(A1535,库龄!B:K,9,0),0)</f>
        <v>0</v>
      </c>
      <c r="K1535">
        <f>IFERROR(VLOOKUP(A1535,库龄!B:L,10,0),0)</f>
        <v>0</v>
      </c>
      <c r="L1535">
        <f>IFERROR(VLOOKUP(A1535,库龄!B:M,11,0),0)</f>
        <v>0</v>
      </c>
      <c r="M1535">
        <f>IFERROR(VLOOKUP(A1535,库龄!B:N,12,0),0)</f>
        <v>0</v>
      </c>
      <c r="N1535">
        <f t="shared" si="48"/>
        <v>0</v>
      </c>
    </row>
    <row r="1536" spans="1:14">
      <c r="A1536" s="3" t="s">
        <v>4192</v>
      </c>
      <c r="B1536">
        <f>IFERROR(VLOOKUP(A1536,管理亚马逊库存!A:K,11,0),"")</f>
        <v>7</v>
      </c>
      <c r="C1536">
        <f>IFERROR(VLOOKUP(A1536,管理亚马逊库存!A:L,12,0),"")</f>
        <v>0</v>
      </c>
      <c r="D1536">
        <f>IFERROR(VLOOKUP(A1536,管理亚马逊库存!A:Q,17,0),"")</f>
        <v>0</v>
      </c>
      <c r="E1536">
        <f>IFERROR(VLOOKUP(A1536,管理亚马逊库存!A:R,18,0),"")</f>
        <v>0</v>
      </c>
      <c r="F1536">
        <f t="shared" si="47"/>
        <v>0</v>
      </c>
      <c r="G1536" t="str">
        <f>IFERROR(VLOOKUP(A1536,预留库存!A:G,7,0),0)</f>
        <v>No</v>
      </c>
      <c r="H1536">
        <f>IFERROR(VLOOKUP(A1536,预留库存!A:H,8,0),0)</f>
        <v>0</v>
      </c>
      <c r="I1536">
        <f>IFERROR(VLOOKUP(A1536,预留库存!A:F,6,0),0)</f>
        <v>22.98</v>
      </c>
      <c r="J1536">
        <f>IFERROR(VLOOKUP(A1536,库龄!B:K,9,0),0)</f>
        <v>0</v>
      </c>
      <c r="K1536">
        <f>IFERROR(VLOOKUP(A1536,库龄!B:L,10,0),0)</f>
        <v>0</v>
      </c>
      <c r="L1536">
        <f>IFERROR(VLOOKUP(A1536,库龄!B:M,11,0),0)</f>
        <v>0</v>
      </c>
      <c r="M1536">
        <f>IFERROR(VLOOKUP(A1536,库龄!B:N,12,0),0)</f>
        <v>0</v>
      </c>
      <c r="N1536">
        <f t="shared" si="48"/>
        <v>0</v>
      </c>
    </row>
    <row r="1537" spans="1:14">
      <c r="A1537" s="3" t="s">
        <v>4195</v>
      </c>
      <c r="B1537">
        <f>IFERROR(VLOOKUP(A1537,管理亚马逊库存!A:K,11,0),"")</f>
        <v>11</v>
      </c>
      <c r="C1537">
        <f>IFERROR(VLOOKUP(A1537,管理亚马逊库存!A:L,12,0),"")</f>
        <v>0</v>
      </c>
      <c r="D1537">
        <f>IFERROR(VLOOKUP(A1537,管理亚马逊库存!A:Q,17,0),"")</f>
        <v>0</v>
      </c>
      <c r="E1537">
        <f>IFERROR(VLOOKUP(A1537,管理亚马逊库存!A:R,18,0),"")</f>
        <v>0</v>
      </c>
      <c r="F1537">
        <f t="shared" si="47"/>
        <v>0</v>
      </c>
      <c r="G1537" t="str">
        <f>IFERROR(VLOOKUP(A1537,预留库存!A:G,7,0),0)</f>
        <v>No</v>
      </c>
      <c r="H1537">
        <f>IFERROR(VLOOKUP(A1537,预留库存!A:H,8,0),0)</f>
        <v>0</v>
      </c>
      <c r="I1537">
        <f>IFERROR(VLOOKUP(A1537,预留库存!A:F,6,0),0)</f>
        <v>22.98</v>
      </c>
      <c r="J1537">
        <f>IFERROR(VLOOKUP(A1537,库龄!B:K,9,0),0)</f>
        <v>0</v>
      </c>
      <c r="K1537">
        <f>IFERROR(VLOOKUP(A1537,库龄!B:L,10,0),0)</f>
        <v>0</v>
      </c>
      <c r="L1537">
        <f>IFERROR(VLOOKUP(A1537,库龄!B:M,11,0),0)</f>
        <v>0</v>
      </c>
      <c r="M1537">
        <f>IFERROR(VLOOKUP(A1537,库龄!B:N,12,0),0)</f>
        <v>0</v>
      </c>
      <c r="N1537">
        <f t="shared" si="48"/>
        <v>0</v>
      </c>
    </row>
    <row r="1538" spans="1:14">
      <c r="A1538" s="3" t="s">
        <v>4198</v>
      </c>
      <c r="B1538">
        <f>IFERROR(VLOOKUP(A1538,管理亚马逊库存!A:K,11,0),"")</f>
        <v>15</v>
      </c>
      <c r="C1538">
        <f>IFERROR(VLOOKUP(A1538,管理亚马逊库存!A:L,12,0),"")</f>
        <v>0</v>
      </c>
      <c r="D1538">
        <f>IFERROR(VLOOKUP(A1538,管理亚马逊库存!A:Q,17,0),"")</f>
        <v>0</v>
      </c>
      <c r="E1538">
        <f>IFERROR(VLOOKUP(A1538,管理亚马逊库存!A:R,18,0),"")</f>
        <v>0</v>
      </c>
      <c r="F1538">
        <f t="shared" si="47"/>
        <v>0</v>
      </c>
      <c r="G1538" t="str">
        <f>IFERROR(VLOOKUP(A1538,预留库存!A:G,7,0),0)</f>
        <v>No</v>
      </c>
      <c r="H1538">
        <f>IFERROR(VLOOKUP(A1538,预留库存!A:H,8,0),0)</f>
        <v>0</v>
      </c>
      <c r="I1538">
        <f>IFERROR(VLOOKUP(A1538,预留库存!A:F,6,0),0)</f>
        <v>22.98</v>
      </c>
      <c r="J1538">
        <f>IFERROR(VLOOKUP(A1538,库龄!B:K,9,0),0)</f>
        <v>0</v>
      </c>
      <c r="K1538">
        <f>IFERROR(VLOOKUP(A1538,库龄!B:L,10,0),0)</f>
        <v>0</v>
      </c>
      <c r="L1538">
        <f>IFERROR(VLOOKUP(A1538,库龄!B:M,11,0),0)</f>
        <v>0</v>
      </c>
      <c r="M1538">
        <f>IFERROR(VLOOKUP(A1538,库龄!B:N,12,0),0)</f>
        <v>0</v>
      </c>
      <c r="N1538">
        <f t="shared" si="48"/>
        <v>0</v>
      </c>
    </row>
    <row r="1539" spans="1:14">
      <c r="A1539" s="3" t="s">
        <v>4201</v>
      </c>
      <c r="B1539">
        <f>IFERROR(VLOOKUP(A1539,管理亚马逊库存!A:K,11,0),"")</f>
        <v>0</v>
      </c>
      <c r="C1539">
        <f>IFERROR(VLOOKUP(A1539,管理亚马逊库存!A:L,12,0),"")</f>
        <v>0</v>
      </c>
      <c r="D1539">
        <f>IFERROR(VLOOKUP(A1539,管理亚马逊库存!A:Q,17,0),"")</f>
        <v>0</v>
      </c>
      <c r="E1539">
        <f>IFERROR(VLOOKUP(A1539,管理亚马逊库存!A:R,18,0),"")</f>
        <v>0</v>
      </c>
      <c r="F1539">
        <f t="shared" ref="F1539:F1602" si="49">SUM(D1539:E1539)</f>
        <v>0</v>
      </c>
      <c r="G1539">
        <f>IFERROR(VLOOKUP(A1539,预留库存!A:G,7,0),0)</f>
        <v>0</v>
      </c>
      <c r="H1539">
        <f>IFERROR(VLOOKUP(A1539,预留库存!A:H,8,0),0)</f>
        <v>0</v>
      </c>
      <c r="I1539">
        <f>IFERROR(VLOOKUP(A1539,预留库存!A:F,6,0),0)</f>
        <v>0</v>
      </c>
      <c r="J1539">
        <f>IFERROR(VLOOKUP(A1539,库龄!B:K,9,0),0)</f>
        <v>0</v>
      </c>
      <c r="K1539">
        <f>IFERROR(VLOOKUP(A1539,库龄!B:L,10,0),0)</f>
        <v>0</v>
      </c>
      <c r="L1539">
        <f>IFERROR(VLOOKUP(A1539,库龄!B:M,11,0),0)</f>
        <v>0</v>
      </c>
      <c r="M1539">
        <f>IFERROR(VLOOKUP(A1539,库龄!B:N,12,0),0)</f>
        <v>0</v>
      </c>
      <c r="N1539">
        <f t="shared" ref="N1539:N1602" si="50">SUM(J1539:M1539)</f>
        <v>0</v>
      </c>
    </row>
    <row r="1540" spans="1:14">
      <c r="A1540" s="3" t="s">
        <v>4203</v>
      </c>
      <c r="B1540">
        <f>IFERROR(VLOOKUP(A1540,管理亚马逊库存!A:K,11,0),"")</f>
        <v>0</v>
      </c>
      <c r="C1540">
        <f>IFERROR(VLOOKUP(A1540,管理亚马逊库存!A:L,12,0),"")</f>
        <v>0</v>
      </c>
      <c r="D1540">
        <f>IFERROR(VLOOKUP(A1540,管理亚马逊库存!A:Q,17,0),"")</f>
        <v>0</v>
      </c>
      <c r="E1540">
        <f>IFERROR(VLOOKUP(A1540,管理亚马逊库存!A:R,18,0),"")</f>
        <v>0</v>
      </c>
      <c r="F1540">
        <f t="shared" si="49"/>
        <v>0</v>
      </c>
      <c r="G1540">
        <f>IFERROR(VLOOKUP(A1540,预留库存!A:G,7,0),0)</f>
        <v>0</v>
      </c>
      <c r="H1540">
        <f>IFERROR(VLOOKUP(A1540,预留库存!A:H,8,0),0)</f>
        <v>0</v>
      </c>
      <c r="I1540">
        <f>IFERROR(VLOOKUP(A1540,预留库存!A:F,6,0),0)</f>
        <v>0</v>
      </c>
      <c r="J1540">
        <f>IFERROR(VLOOKUP(A1540,库龄!B:K,9,0),0)</f>
        <v>0</v>
      </c>
      <c r="K1540">
        <f>IFERROR(VLOOKUP(A1540,库龄!B:L,10,0),0)</f>
        <v>0</v>
      </c>
      <c r="L1540">
        <f>IFERROR(VLOOKUP(A1540,库龄!B:M,11,0),0)</f>
        <v>0</v>
      </c>
      <c r="M1540">
        <f>IFERROR(VLOOKUP(A1540,库龄!B:N,12,0),0)</f>
        <v>0</v>
      </c>
      <c r="N1540">
        <f t="shared" si="50"/>
        <v>0</v>
      </c>
    </row>
    <row r="1541" spans="1:14">
      <c r="A1541" s="3" t="s">
        <v>4205</v>
      </c>
      <c r="B1541">
        <f>IFERROR(VLOOKUP(A1541,管理亚马逊库存!A:K,11,0),"")</f>
        <v>1</v>
      </c>
      <c r="C1541">
        <f>IFERROR(VLOOKUP(A1541,管理亚马逊库存!A:L,12,0),"")</f>
        <v>0</v>
      </c>
      <c r="D1541">
        <f>IFERROR(VLOOKUP(A1541,管理亚马逊库存!A:Q,17,0),"")</f>
        <v>0</v>
      </c>
      <c r="E1541">
        <f>IFERROR(VLOOKUP(A1541,管理亚马逊库存!A:R,18,0),"")</f>
        <v>0</v>
      </c>
      <c r="F1541">
        <f t="shared" si="49"/>
        <v>0</v>
      </c>
      <c r="G1541" t="str">
        <f>IFERROR(VLOOKUP(A1541,预留库存!A:G,7,0),0)</f>
        <v>No</v>
      </c>
      <c r="H1541">
        <f>IFERROR(VLOOKUP(A1541,预留库存!A:H,8,0),0)</f>
        <v>0</v>
      </c>
      <c r="I1541">
        <f>IFERROR(VLOOKUP(A1541,预留库存!A:F,6,0),0)</f>
        <v>22.98</v>
      </c>
      <c r="J1541">
        <f>IFERROR(VLOOKUP(A1541,库龄!B:K,9,0),0)</f>
        <v>0</v>
      </c>
      <c r="K1541">
        <f>IFERROR(VLOOKUP(A1541,库龄!B:L,10,0),0)</f>
        <v>0</v>
      </c>
      <c r="L1541">
        <f>IFERROR(VLOOKUP(A1541,库龄!B:M,11,0),0)</f>
        <v>0</v>
      </c>
      <c r="M1541">
        <f>IFERROR(VLOOKUP(A1541,库龄!B:N,12,0),0)</f>
        <v>0</v>
      </c>
      <c r="N1541">
        <f t="shared" si="50"/>
        <v>0</v>
      </c>
    </row>
    <row r="1542" spans="1:14">
      <c r="A1542" s="3" t="s">
        <v>4208</v>
      </c>
      <c r="B1542">
        <f>IFERROR(VLOOKUP(A1542,管理亚马逊库存!A:K,11,0),"")</f>
        <v>0</v>
      </c>
      <c r="C1542">
        <f>IFERROR(VLOOKUP(A1542,管理亚马逊库存!A:L,12,0),"")</f>
        <v>0</v>
      </c>
      <c r="D1542">
        <f>IFERROR(VLOOKUP(A1542,管理亚马逊库存!A:Q,17,0),"")</f>
        <v>0</v>
      </c>
      <c r="E1542">
        <f>IFERROR(VLOOKUP(A1542,管理亚马逊库存!A:R,18,0),"")</f>
        <v>0</v>
      </c>
      <c r="F1542">
        <f t="shared" si="49"/>
        <v>0</v>
      </c>
      <c r="G1542">
        <f>IFERROR(VLOOKUP(A1542,预留库存!A:G,7,0),0)</f>
        <v>0</v>
      </c>
      <c r="H1542">
        <f>IFERROR(VLOOKUP(A1542,预留库存!A:H,8,0),0)</f>
        <v>0</v>
      </c>
      <c r="I1542">
        <f>IFERROR(VLOOKUP(A1542,预留库存!A:F,6,0),0)</f>
        <v>0</v>
      </c>
      <c r="J1542">
        <f>IFERROR(VLOOKUP(A1542,库龄!B:K,9,0),0)</f>
        <v>0</v>
      </c>
      <c r="K1542">
        <f>IFERROR(VLOOKUP(A1542,库龄!B:L,10,0),0)</f>
        <v>0</v>
      </c>
      <c r="L1542">
        <f>IFERROR(VLOOKUP(A1542,库龄!B:M,11,0),0)</f>
        <v>0</v>
      </c>
      <c r="M1542">
        <f>IFERROR(VLOOKUP(A1542,库龄!B:N,12,0),0)</f>
        <v>0</v>
      </c>
      <c r="N1542">
        <f t="shared" si="50"/>
        <v>0</v>
      </c>
    </row>
    <row r="1543" spans="1:14">
      <c r="A1543" s="3" t="s">
        <v>4210</v>
      </c>
      <c r="B1543">
        <f>IFERROR(VLOOKUP(A1543,管理亚马逊库存!A:K,11,0),"")</f>
        <v>15</v>
      </c>
      <c r="C1543">
        <f>IFERROR(VLOOKUP(A1543,管理亚马逊库存!A:L,12,0),"")</f>
        <v>0</v>
      </c>
      <c r="D1543">
        <f>IFERROR(VLOOKUP(A1543,管理亚马逊库存!A:Q,17,0),"")</f>
        <v>0</v>
      </c>
      <c r="E1543">
        <f>IFERROR(VLOOKUP(A1543,管理亚马逊库存!A:R,18,0),"")</f>
        <v>0</v>
      </c>
      <c r="F1543">
        <f t="shared" si="49"/>
        <v>0</v>
      </c>
      <c r="G1543" t="str">
        <f>IFERROR(VLOOKUP(A1543,预留库存!A:G,7,0),0)</f>
        <v>No</v>
      </c>
      <c r="H1543">
        <f>IFERROR(VLOOKUP(A1543,预留库存!A:H,8,0),0)</f>
        <v>0</v>
      </c>
      <c r="I1543">
        <f>IFERROR(VLOOKUP(A1543,预留库存!A:F,6,0),0)</f>
        <v>22.98</v>
      </c>
      <c r="J1543">
        <f>IFERROR(VLOOKUP(A1543,库龄!B:K,9,0),0)</f>
        <v>0</v>
      </c>
      <c r="K1543">
        <f>IFERROR(VLOOKUP(A1543,库龄!B:L,10,0),0)</f>
        <v>0</v>
      </c>
      <c r="L1543">
        <f>IFERROR(VLOOKUP(A1543,库龄!B:M,11,0),0)</f>
        <v>0</v>
      </c>
      <c r="M1543">
        <f>IFERROR(VLOOKUP(A1543,库龄!B:N,12,0),0)</f>
        <v>0</v>
      </c>
      <c r="N1543">
        <f t="shared" si="50"/>
        <v>0</v>
      </c>
    </row>
    <row r="1544" spans="1:14">
      <c r="A1544" s="3" t="s">
        <v>4213</v>
      </c>
      <c r="B1544">
        <f>IFERROR(VLOOKUP(A1544,管理亚马逊库存!A:K,11,0),"")</f>
        <v>5</v>
      </c>
      <c r="C1544">
        <f>IFERROR(VLOOKUP(A1544,管理亚马逊库存!A:L,12,0),"")</f>
        <v>0</v>
      </c>
      <c r="D1544">
        <f>IFERROR(VLOOKUP(A1544,管理亚马逊库存!A:Q,17,0),"")</f>
        <v>0</v>
      </c>
      <c r="E1544">
        <f>IFERROR(VLOOKUP(A1544,管理亚马逊库存!A:R,18,0),"")</f>
        <v>0</v>
      </c>
      <c r="F1544">
        <f t="shared" si="49"/>
        <v>0</v>
      </c>
      <c r="G1544" t="str">
        <f>IFERROR(VLOOKUP(A1544,预留库存!A:G,7,0),0)</f>
        <v>No</v>
      </c>
      <c r="H1544">
        <f>IFERROR(VLOOKUP(A1544,预留库存!A:H,8,0),0)</f>
        <v>0</v>
      </c>
      <c r="I1544">
        <f>IFERROR(VLOOKUP(A1544,预留库存!A:F,6,0),0)</f>
        <v>22.98</v>
      </c>
      <c r="J1544">
        <f>IFERROR(VLOOKUP(A1544,库龄!B:K,9,0),0)</f>
        <v>0</v>
      </c>
      <c r="K1544">
        <f>IFERROR(VLOOKUP(A1544,库龄!B:L,10,0),0)</f>
        <v>0</v>
      </c>
      <c r="L1544">
        <f>IFERROR(VLOOKUP(A1544,库龄!B:M,11,0),0)</f>
        <v>0</v>
      </c>
      <c r="M1544">
        <f>IFERROR(VLOOKUP(A1544,库龄!B:N,12,0),0)</f>
        <v>0</v>
      </c>
      <c r="N1544">
        <f t="shared" si="50"/>
        <v>0</v>
      </c>
    </row>
    <row r="1545" spans="1:14">
      <c r="A1545" s="3" t="s">
        <v>4216</v>
      </c>
      <c r="B1545">
        <f>IFERROR(VLOOKUP(A1545,管理亚马逊库存!A:K,11,0),"")</f>
        <v>1</v>
      </c>
      <c r="C1545">
        <f>IFERROR(VLOOKUP(A1545,管理亚马逊库存!A:L,12,0),"")</f>
        <v>0</v>
      </c>
      <c r="D1545">
        <f>IFERROR(VLOOKUP(A1545,管理亚马逊库存!A:Q,17,0),"")</f>
        <v>0</v>
      </c>
      <c r="E1545">
        <f>IFERROR(VLOOKUP(A1545,管理亚马逊库存!A:R,18,0),"")</f>
        <v>0</v>
      </c>
      <c r="F1545">
        <f t="shared" si="49"/>
        <v>0</v>
      </c>
      <c r="G1545" t="str">
        <f>IFERROR(VLOOKUP(A1545,预留库存!A:G,7,0),0)</f>
        <v>No</v>
      </c>
      <c r="H1545">
        <f>IFERROR(VLOOKUP(A1545,预留库存!A:H,8,0),0)</f>
        <v>0</v>
      </c>
      <c r="I1545">
        <f>IFERROR(VLOOKUP(A1545,预留库存!A:F,6,0),0)</f>
        <v>22.98</v>
      </c>
      <c r="J1545">
        <f>IFERROR(VLOOKUP(A1545,库龄!B:K,9,0),0)</f>
        <v>0</v>
      </c>
      <c r="K1545">
        <f>IFERROR(VLOOKUP(A1545,库龄!B:L,10,0),0)</f>
        <v>0</v>
      </c>
      <c r="L1545">
        <f>IFERROR(VLOOKUP(A1545,库龄!B:M,11,0),0)</f>
        <v>0</v>
      </c>
      <c r="M1545">
        <f>IFERROR(VLOOKUP(A1545,库龄!B:N,12,0),0)</f>
        <v>0</v>
      </c>
      <c r="N1545">
        <f t="shared" si="50"/>
        <v>0</v>
      </c>
    </row>
    <row r="1546" spans="1:14">
      <c r="A1546" s="3" t="s">
        <v>4219</v>
      </c>
      <c r="B1546">
        <f>IFERROR(VLOOKUP(A1546,管理亚马逊库存!A:K,11,0),"")</f>
        <v>17</v>
      </c>
      <c r="C1546">
        <f>IFERROR(VLOOKUP(A1546,管理亚马逊库存!A:L,12,0),"")</f>
        <v>0</v>
      </c>
      <c r="D1546">
        <f>IFERROR(VLOOKUP(A1546,管理亚马逊库存!A:Q,17,0),"")</f>
        <v>0</v>
      </c>
      <c r="E1546">
        <f>IFERROR(VLOOKUP(A1546,管理亚马逊库存!A:R,18,0),"")</f>
        <v>0</v>
      </c>
      <c r="F1546">
        <f t="shared" si="49"/>
        <v>0</v>
      </c>
      <c r="G1546" t="str">
        <f>IFERROR(VLOOKUP(A1546,预留库存!A:G,7,0),0)</f>
        <v>No</v>
      </c>
      <c r="H1546">
        <f>IFERROR(VLOOKUP(A1546,预留库存!A:H,8,0),0)</f>
        <v>0</v>
      </c>
      <c r="I1546">
        <f>IFERROR(VLOOKUP(A1546,预留库存!A:F,6,0),0)</f>
        <v>22.98</v>
      </c>
      <c r="J1546">
        <f>IFERROR(VLOOKUP(A1546,库龄!B:K,9,0),0)</f>
        <v>0</v>
      </c>
      <c r="K1546">
        <f>IFERROR(VLOOKUP(A1546,库龄!B:L,10,0),0)</f>
        <v>0</v>
      </c>
      <c r="L1546">
        <f>IFERROR(VLOOKUP(A1546,库龄!B:M,11,0),0)</f>
        <v>0</v>
      </c>
      <c r="M1546">
        <f>IFERROR(VLOOKUP(A1546,库龄!B:N,12,0),0)</f>
        <v>0</v>
      </c>
      <c r="N1546">
        <f t="shared" si="50"/>
        <v>0</v>
      </c>
    </row>
    <row r="1547" spans="1:14">
      <c r="A1547" s="3" t="s">
        <v>4222</v>
      </c>
      <c r="B1547">
        <f>IFERROR(VLOOKUP(A1547,管理亚马逊库存!A:K,11,0),"")</f>
        <v>21</v>
      </c>
      <c r="C1547">
        <f>IFERROR(VLOOKUP(A1547,管理亚马逊库存!A:L,12,0),"")</f>
        <v>0</v>
      </c>
      <c r="D1547">
        <f>IFERROR(VLOOKUP(A1547,管理亚马逊库存!A:Q,17,0),"")</f>
        <v>0</v>
      </c>
      <c r="E1547">
        <f>IFERROR(VLOOKUP(A1547,管理亚马逊库存!A:R,18,0),"")</f>
        <v>0</v>
      </c>
      <c r="F1547">
        <f t="shared" si="49"/>
        <v>0</v>
      </c>
      <c r="G1547" t="str">
        <f>IFERROR(VLOOKUP(A1547,预留库存!A:G,7,0),0)</f>
        <v>No</v>
      </c>
      <c r="H1547">
        <f>IFERROR(VLOOKUP(A1547,预留库存!A:H,8,0),0)</f>
        <v>0</v>
      </c>
      <c r="I1547">
        <f>IFERROR(VLOOKUP(A1547,预留库存!A:F,6,0),0)</f>
        <v>22.98</v>
      </c>
      <c r="J1547">
        <f>IFERROR(VLOOKUP(A1547,库龄!B:K,9,0),0)</f>
        <v>0</v>
      </c>
      <c r="K1547">
        <f>IFERROR(VLOOKUP(A1547,库龄!B:L,10,0),0)</f>
        <v>0</v>
      </c>
      <c r="L1547">
        <f>IFERROR(VLOOKUP(A1547,库龄!B:M,11,0),0)</f>
        <v>0</v>
      </c>
      <c r="M1547">
        <f>IFERROR(VLOOKUP(A1547,库龄!B:N,12,0),0)</f>
        <v>0</v>
      </c>
      <c r="N1547">
        <f t="shared" si="50"/>
        <v>0</v>
      </c>
    </row>
    <row r="1548" spans="1:14">
      <c r="A1548" s="3" t="s">
        <v>4225</v>
      </c>
      <c r="B1548">
        <f>IFERROR(VLOOKUP(A1548,管理亚马逊库存!A:K,11,0),"")</f>
        <v>19</v>
      </c>
      <c r="C1548">
        <f>IFERROR(VLOOKUP(A1548,管理亚马逊库存!A:L,12,0),"")</f>
        <v>0</v>
      </c>
      <c r="D1548">
        <f>IFERROR(VLOOKUP(A1548,管理亚马逊库存!A:Q,17,0),"")</f>
        <v>0</v>
      </c>
      <c r="E1548">
        <f>IFERROR(VLOOKUP(A1548,管理亚马逊库存!A:R,18,0),"")</f>
        <v>0</v>
      </c>
      <c r="F1548">
        <f t="shared" si="49"/>
        <v>0</v>
      </c>
      <c r="G1548" t="str">
        <f>IFERROR(VLOOKUP(A1548,预留库存!A:G,7,0),0)</f>
        <v>No</v>
      </c>
      <c r="H1548">
        <f>IFERROR(VLOOKUP(A1548,预留库存!A:H,8,0),0)</f>
        <v>0</v>
      </c>
      <c r="I1548">
        <f>IFERROR(VLOOKUP(A1548,预留库存!A:F,6,0),0)</f>
        <v>22.98</v>
      </c>
      <c r="J1548">
        <f>IFERROR(VLOOKUP(A1548,库龄!B:K,9,0),0)</f>
        <v>0</v>
      </c>
      <c r="K1548">
        <f>IFERROR(VLOOKUP(A1548,库龄!B:L,10,0),0)</f>
        <v>0</v>
      </c>
      <c r="L1548">
        <f>IFERROR(VLOOKUP(A1548,库龄!B:M,11,0),0)</f>
        <v>0</v>
      </c>
      <c r="M1548">
        <f>IFERROR(VLOOKUP(A1548,库龄!B:N,12,0),0)</f>
        <v>0</v>
      </c>
      <c r="N1548">
        <f t="shared" si="50"/>
        <v>0</v>
      </c>
    </row>
    <row r="1549" spans="1:14">
      <c r="A1549" s="3" t="s">
        <v>4228</v>
      </c>
      <c r="B1549">
        <f>IFERROR(VLOOKUP(A1549,管理亚马逊库存!A:K,11,0),"")</f>
        <v>1</v>
      </c>
      <c r="C1549">
        <f>IFERROR(VLOOKUP(A1549,管理亚马逊库存!A:L,12,0),"")</f>
        <v>0</v>
      </c>
      <c r="D1549">
        <f>IFERROR(VLOOKUP(A1549,管理亚马逊库存!A:Q,17,0),"")</f>
        <v>0</v>
      </c>
      <c r="E1549">
        <f>IFERROR(VLOOKUP(A1549,管理亚马逊库存!A:R,18,0),"")</f>
        <v>0</v>
      </c>
      <c r="F1549">
        <f t="shared" si="49"/>
        <v>0</v>
      </c>
      <c r="G1549" t="str">
        <f>IFERROR(VLOOKUP(A1549,预留库存!A:G,7,0),0)</f>
        <v>No</v>
      </c>
      <c r="H1549">
        <f>IFERROR(VLOOKUP(A1549,预留库存!A:H,8,0),0)</f>
        <v>0</v>
      </c>
      <c r="I1549">
        <f>IFERROR(VLOOKUP(A1549,预留库存!A:F,6,0),0)</f>
        <v>22.98</v>
      </c>
      <c r="J1549">
        <f>IFERROR(VLOOKUP(A1549,库龄!B:K,9,0),0)</f>
        <v>0</v>
      </c>
      <c r="K1549">
        <f>IFERROR(VLOOKUP(A1549,库龄!B:L,10,0),0)</f>
        <v>0</v>
      </c>
      <c r="L1549">
        <f>IFERROR(VLOOKUP(A1549,库龄!B:M,11,0),0)</f>
        <v>0</v>
      </c>
      <c r="M1549">
        <f>IFERROR(VLOOKUP(A1549,库龄!B:N,12,0),0)</f>
        <v>0</v>
      </c>
      <c r="N1549">
        <f t="shared" si="50"/>
        <v>0</v>
      </c>
    </row>
    <row r="1550" spans="1:14">
      <c r="A1550" s="3" t="s">
        <v>4231</v>
      </c>
      <c r="B1550">
        <f>IFERROR(VLOOKUP(A1550,管理亚马逊库存!A:K,11,0),"")</f>
        <v>11</v>
      </c>
      <c r="C1550">
        <f>IFERROR(VLOOKUP(A1550,管理亚马逊库存!A:L,12,0),"")</f>
        <v>0</v>
      </c>
      <c r="D1550">
        <f>IFERROR(VLOOKUP(A1550,管理亚马逊库存!A:Q,17,0),"")</f>
        <v>0</v>
      </c>
      <c r="E1550">
        <f>IFERROR(VLOOKUP(A1550,管理亚马逊库存!A:R,18,0),"")</f>
        <v>0</v>
      </c>
      <c r="F1550">
        <f t="shared" si="49"/>
        <v>0</v>
      </c>
      <c r="G1550" t="str">
        <f>IFERROR(VLOOKUP(A1550,预留库存!A:G,7,0),0)</f>
        <v>No</v>
      </c>
      <c r="H1550">
        <f>IFERROR(VLOOKUP(A1550,预留库存!A:H,8,0),0)</f>
        <v>0</v>
      </c>
      <c r="I1550">
        <f>IFERROR(VLOOKUP(A1550,预留库存!A:F,6,0),0)</f>
        <v>22.98</v>
      </c>
      <c r="J1550">
        <f>IFERROR(VLOOKUP(A1550,库龄!B:K,9,0),0)</f>
        <v>0</v>
      </c>
      <c r="K1550">
        <f>IFERROR(VLOOKUP(A1550,库龄!B:L,10,0),0)</f>
        <v>0</v>
      </c>
      <c r="L1550">
        <f>IFERROR(VLOOKUP(A1550,库龄!B:M,11,0),0)</f>
        <v>0</v>
      </c>
      <c r="M1550">
        <f>IFERROR(VLOOKUP(A1550,库龄!B:N,12,0),0)</f>
        <v>0</v>
      </c>
      <c r="N1550">
        <f t="shared" si="50"/>
        <v>0</v>
      </c>
    </row>
    <row r="1551" spans="1:14">
      <c r="A1551" s="3" t="s">
        <v>4234</v>
      </c>
      <c r="B1551">
        <f>IFERROR(VLOOKUP(A1551,管理亚马逊库存!A:K,11,0),"")</f>
        <v>15</v>
      </c>
      <c r="C1551">
        <f>IFERROR(VLOOKUP(A1551,管理亚马逊库存!A:L,12,0),"")</f>
        <v>0</v>
      </c>
      <c r="D1551">
        <f>IFERROR(VLOOKUP(A1551,管理亚马逊库存!A:Q,17,0),"")</f>
        <v>0</v>
      </c>
      <c r="E1551">
        <f>IFERROR(VLOOKUP(A1551,管理亚马逊库存!A:R,18,0),"")</f>
        <v>0</v>
      </c>
      <c r="F1551">
        <f t="shared" si="49"/>
        <v>0</v>
      </c>
      <c r="G1551" t="str">
        <f>IFERROR(VLOOKUP(A1551,预留库存!A:G,7,0),0)</f>
        <v>No</v>
      </c>
      <c r="H1551">
        <f>IFERROR(VLOOKUP(A1551,预留库存!A:H,8,0),0)</f>
        <v>0</v>
      </c>
      <c r="I1551">
        <f>IFERROR(VLOOKUP(A1551,预留库存!A:F,6,0),0)</f>
        <v>23.98</v>
      </c>
      <c r="J1551">
        <f>IFERROR(VLOOKUP(A1551,库龄!B:K,9,0),0)</f>
        <v>0</v>
      </c>
      <c r="K1551">
        <f>IFERROR(VLOOKUP(A1551,库龄!B:L,10,0),0)</f>
        <v>0</v>
      </c>
      <c r="L1551">
        <f>IFERROR(VLOOKUP(A1551,库龄!B:M,11,0),0)</f>
        <v>0</v>
      </c>
      <c r="M1551">
        <f>IFERROR(VLOOKUP(A1551,库龄!B:N,12,0),0)</f>
        <v>0</v>
      </c>
      <c r="N1551">
        <f t="shared" si="50"/>
        <v>0</v>
      </c>
    </row>
    <row r="1552" spans="1:14">
      <c r="A1552" s="3" t="s">
        <v>4237</v>
      </c>
      <c r="B1552">
        <f>IFERROR(VLOOKUP(A1552,管理亚马逊库存!A:K,11,0),"")</f>
        <v>13</v>
      </c>
      <c r="C1552">
        <f>IFERROR(VLOOKUP(A1552,管理亚马逊库存!A:L,12,0),"")</f>
        <v>0</v>
      </c>
      <c r="D1552">
        <f>IFERROR(VLOOKUP(A1552,管理亚马逊库存!A:Q,17,0),"")</f>
        <v>0</v>
      </c>
      <c r="E1552">
        <f>IFERROR(VLOOKUP(A1552,管理亚马逊库存!A:R,18,0),"")</f>
        <v>0</v>
      </c>
      <c r="F1552">
        <f t="shared" si="49"/>
        <v>0</v>
      </c>
      <c r="G1552" t="str">
        <f>IFERROR(VLOOKUP(A1552,预留库存!A:G,7,0),0)</f>
        <v>No</v>
      </c>
      <c r="H1552">
        <f>IFERROR(VLOOKUP(A1552,预留库存!A:H,8,0),0)</f>
        <v>0</v>
      </c>
      <c r="I1552">
        <f>IFERROR(VLOOKUP(A1552,预留库存!A:F,6,0),0)</f>
        <v>23.98</v>
      </c>
      <c r="J1552">
        <f>IFERROR(VLOOKUP(A1552,库龄!B:K,9,0),0)</f>
        <v>0</v>
      </c>
      <c r="K1552">
        <f>IFERROR(VLOOKUP(A1552,库龄!B:L,10,0),0)</f>
        <v>0</v>
      </c>
      <c r="L1552">
        <f>IFERROR(VLOOKUP(A1552,库龄!B:M,11,0),0)</f>
        <v>0</v>
      </c>
      <c r="M1552">
        <f>IFERROR(VLOOKUP(A1552,库龄!B:N,12,0),0)</f>
        <v>0</v>
      </c>
      <c r="N1552">
        <f t="shared" si="50"/>
        <v>0</v>
      </c>
    </row>
    <row r="1553" spans="1:14">
      <c r="A1553" s="3" t="s">
        <v>4240</v>
      </c>
      <c r="B1553">
        <f>IFERROR(VLOOKUP(A1553,管理亚马逊库存!A:K,11,0),"")</f>
        <v>1</v>
      </c>
      <c r="C1553">
        <f>IFERROR(VLOOKUP(A1553,管理亚马逊库存!A:L,12,0),"")</f>
        <v>0</v>
      </c>
      <c r="D1553">
        <f>IFERROR(VLOOKUP(A1553,管理亚马逊库存!A:Q,17,0),"")</f>
        <v>0</v>
      </c>
      <c r="E1553">
        <f>IFERROR(VLOOKUP(A1553,管理亚马逊库存!A:R,18,0),"")</f>
        <v>0</v>
      </c>
      <c r="F1553">
        <f t="shared" si="49"/>
        <v>0</v>
      </c>
      <c r="G1553" t="str">
        <f>IFERROR(VLOOKUP(A1553,预留库存!A:G,7,0),0)</f>
        <v>No</v>
      </c>
      <c r="H1553">
        <f>IFERROR(VLOOKUP(A1553,预留库存!A:H,8,0),0)</f>
        <v>0</v>
      </c>
      <c r="I1553">
        <f>IFERROR(VLOOKUP(A1553,预留库存!A:F,6,0),0)</f>
        <v>23.98</v>
      </c>
      <c r="J1553">
        <f>IFERROR(VLOOKUP(A1553,库龄!B:K,9,0),0)</f>
        <v>0</v>
      </c>
      <c r="K1553">
        <f>IFERROR(VLOOKUP(A1553,库龄!B:L,10,0),0)</f>
        <v>0</v>
      </c>
      <c r="L1553">
        <f>IFERROR(VLOOKUP(A1553,库龄!B:M,11,0),0)</f>
        <v>0</v>
      </c>
      <c r="M1553">
        <f>IFERROR(VLOOKUP(A1553,库龄!B:N,12,0),0)</f>
        <v>0</v>
      </c>
      <c r="N1553">
        <f t="shared" si="50"/>
        <v>0</v>
      </c>
    </row>
    <row r="1554" spans="1:14">
      <c r="A1554" s="3" t="s">
        <v>4243</v>
      </c>
      <c r="B1554">
        <f>IFERROR(VLOOKUP(A1554,管理亚马逊库存!A:K,11,0),"")</f>
        <v>23</v>
      </c>
      <c r="C1554">
        <f>IFERROR(VLOOKUP(A1554,管理亚马逊库存!A:L,12,0),"")</f>
        <v>0</v>
      </c>
      <c r="D1554">
        <f>IFERROR(VLOOKUP(A1554,管理亚马逊库存!A:Q,17,0),"")</f>
        <v>0</v>
      </c>
      <c r="E1554">
        <f>IFERROR(VLOOKUP(A1554,管理亚马逊库存!A:R,18,0),"")</f>
        <v>0</v>
      </c>
      <c r="F1554">
        <f t="shared" si="49"/>
        <v>0</v>
      </c>
      <c r="G1554" t="str">
        <f>IFERROR(VLOOKUP(A1554,预留库存!A:G,7,0),0)</f>
        <v>No</v>
      </c>
      <c r="H1554">
        <f>IFERROR(VLOOKUP(A1554,预留库存!A:H,8,0),0)</f>
        <v>0</v>
      </c>
      <c r="I1554">
        <f>IFERROR(VLOOKUP(A1554,预留库存!A:F,6,0),0)</f>
        <v>23.98</v>
      </c>
      <c r="J1554">
        <f>IFERROR(VLOOKUP(A1554,库龄!B:K,9,0),0)</f>
        <v>0</v>
      </c>
      <c r="K1554">
        <f>IFERROR(VLOOKUP(A1554,库龄!B:L,10,0),0)</f>
        <v>0</v>
      </c>
      <c r="L1554">
        <f>IFERROR(VLOOKUP(A1554,库龄!B:M,11,0),0)</f>
        <v>0</v>
      </c>
      <c r="M1554">
        <f>IFERROR(VLOOKUP(A1554,库龄!B:N,12,0),0)</f>
        <v>0</v>
      </c>
      <c r="N1554">
        <f t="shared" si="50"/>
        <v>0</v>
      </c>
    </row>
    <row r="1555" spans="1:14">
      <c r="A1555" s="3" t="s">
        <v>4246</v>
      </c>
      <c r="B1555">
        <f>IFERROR(VLOOKUP(A1555,管理亚马逊库存!A:K,11,0),"")</f>
        <v>18</v>
      </c>
      <c r="C1555">
        <f>IFERROR(VLOOKUP(A1555,管理亚马逊库存!A:L,12,0),"")</f>
        <v>0</v>
      </c>
      <c r="D1555">
        <f>IFERROR(VLOOKUP(A1555,管理亚马逊库存!A:Q,17,0),"")</f>
        <v>0</v>
      </c>
      <c r="E1555">
        <f>IFERROR(VLOOKUP(A1555,管理亚马逊库存!A:R,18,0),"")</f>
        <v>0</v>
      </c>
      <c r="F1555">
        <f t="shared" si="49"/>
        <v>0</v>
      </c>
      <c r="G1555" t="str">
        <f>IFERROR(VLOOKUP(A1555,预留库存!A:G,7,0),0)</f>
        <v>No</v>
      </c>
      <c r="H1555">
        <f>IFERROR(VLOOKUP(A1555,预留库存!A:H,8,0),0)</f>
        <v>0</v>
      </c>
      <c r="I1555">
        <f>IFERROR(VLOOKUP(A1555,预留库存!A:F,6,0),0)</f>
        <v>23.98</v>
      </c>
      <c r="J1555">
        <f>IFERROR(VLOOKUP(A1555,库龄!B:K,9,0),0)</f>
        <v>0</v>
      </c>
      <c r="K1555">
        <f>IFERROR(VLOOKUP(A1555,库龄!B:L,10,0),0)</f>
        <v>0</v>
      </c>
      <c r="L1555">
        <f>IFERROR(VLOOKUP(A1555,库龄!B:M,11,0),0)</f>
        <v>0</v>
      </c>
      <c r="M1555">
        <f>IFERROR(VLOOKUP(A1555,库龄!B:N,12,0),0)</f>
        <v>0</v>
      </c>
      <c r="N1555">
        <f t="shared" si="50"/>
        <v>0</v>
      </c>
    </row>
    <row r="1556" spans="1:14">
      <c r="A1556" s="3" t="s">
        <v>4249</v>
      </c>
      <c r="B1556">
        <f>IFERROR(VLOOKUP(A1556,管理亚马逊库存!A:K,11,0),"")</f>
        <v>15</v>
      </c>
      <c r="C1556">
        <f>IFERROR(VLOOKUP(A1556,管理亚马逊库存!A:L,12,0),"")</f>
        <v>0</v>
      </c>
      <c r="D1556">
        <f>IFERROR(VLOOKUP(A1556,管理亚马逊库存!A:Q,17,0),"")</f>
        <v>0</v>
      </c>
      <c r="E1556">
        <f>IFERROR(VLOOKUP(A1556,管理亚马逊库存!A:R,18,0),"")</f>
        <v>0</v>
      </c>
      <c r="F1556">
        <f t="shared" si="49"/>
        <v>0</v>
      </c>
      <c r="G1556" t="str">
        <f>IFERROR(VLOOKUP(A1556,预留库存!A:G,7,0),0)</f>
        <v>No</v>
      </c>
      <c r="H1556">
        <f>IFERROR(VLOOKUP(A1556,预留库存!A:H,8,0),0)</f>
        <v>0</v>
      </c>
      <c r="I1556">
        <f>IFERROR(VLOOKUP(A1556,预留库存!A:F,6,0),0)</f>
        <v>23.98</v>
      </c>
      <c r="J1556">
        <f>IFERROR(VLOOKUP(A1556,库龄!B:K,9,0),0)</f>
        <v>0</v>
      </c>
      <c r="K1556">
        <f>IFERROR(VLOOKUP(A1556,库龄!B:L,10,0),0)</f>
        <v>0</v>
      </c>
      <c r="L1556">
        <f>IFERROR(VLOOKUP(A1556,库龄!B:M,11,0),0)</f>
        <v>0</v>
      </c>
      <c r="M1556">
        <f>IFERROR(VLOOKUP(A1556,库龄!B:N,12,0),0)</f>
        <v>0</v>
      </c>
      <c r="N1556">
        <f t="shared" si="50"/>
        <v>0</v>
      </c>
    </row>
    <row r="1557" spans="1:14">
      <c r="A1557" s="3" t="s">
        <v>4252</v>
      </c>
      <c r="B1557">
        <f>IFERROR(VLOOKUP(A1557,管理亚马逊库存!A:K,11,0),"")</f>
        <v>9</v>
      </c>
      <c r="C1557">
        <f>IFERROR(VLOOKUP(A1557,管理亚马逊库存!A:L,12,0),"")</f>
        <v>0</v>
      </c>
      <c r="D1557">
        <f>IFERROR(VLOOKUP(A1557,管理亚马逊库存!A:Q,17,0),"")</f>
        <v>0</v>
      </c>
      <c r="E1557">
        <f>IFERROR(VLOOKUP(A1557,管理亚马逊库存!A:R,18,0),"")</f>
        <v>0</v>
      </c>
      <c r="F1557">
        <f t="shared" si="49"/>
        <v>0</v>
      </c>
      <c r="G1557" t="str">
        <f>IFERROR(VLOOKUP(A1557,预留库存!A:G,7,0),0)</f>
        <v>No</v>
      </c>
      <c r="H1557">
        <f>IFERROR(VLOOKUP(A1557,预留库存!A:H,8,0),0)</f>
        <v>0</v>
      </c>
      <c r="I1557">
        <f>IFERROR(VLOOKUP(A1557,预留库存!A:F,6,0),0)</f>
        <v>23.98</v>
      </c>
      <c r="J1557">
        <f>IFERROR(VLOOKUP(A1557,库龄!B:K,9,0),0)</f>
        <v>0</v>
      </c>
      <c r="K1557">
        <f>IFERROR(VLOOKUP(A1557,库龄!B:L,10,0),0)</f>
        <v>0</v>
      </c>
      <c r="L1557">
        <f>IFERROR(VLOOKUP(A1557,库龄!B:M,11,0),0)</f>
        <v>0</v>
      </c>
      <c r="M1557">
        <f>IFERROR(VLOOKUP(A1557,库龄!B:N,12,0),0)</f>
        <v>0</v>
      </c>
      <c r="N1557">
        <f t="shared" si="50"/>
        <v>0</v>
      </c>
    </row>
    <row r="1558" spans="1:14">
      <c r="A1558" s="3" t="s">
        <v>4255</v>
      </c>
      <c r="B1558">
        <f>IFERROR(VLOOKUP(A1558,管理亚马逊库存!A:K,11,0),"")</f>
        <v>18</v>
      </c>
      <c r="C1558">
        <f>IFERROR(VLOOKUP(A1558,管理亚马逊库存!A:L,12,0),"")</f>
        <v>0</v>
      </c>
      <c r="D1558">
        <f>IFERROR(VLOOKUP(A1558,管理亚马逊库存!A:Q,17,0),"")</f>
        <v>0</v>
      </c>
      <c r="E1558">
        <f>IFERROR(VLOOKUP(A1558,管理亚马逊库存!A:R,18,0),"")</f>
        <v>0</v>
      </c>
      <c r="F1558">
        <f t="shared" si="49"/>
        <v>0</v>
      </c>
      <c r="G1558" t="str">
        <f>IFERROR(VLOOKUP(A1558,预留库存!A:G,7,0),0)</f>
        <v>No</v>
      </c>
      <c r="H1558">
        <f>IFERROR(VLOOKUP(A1558,预留库存!A:H,8,0),0)</f>
        <v>0</v>
      </c>
      <c r="I1558">
        <f>IFERROR(VLOOKUP(A1558,预留库存!A:F,6,0),0)</f>
        <v>23.98</v>
      </c>
      <c r="J1558">
        <f>IFERROR(VLOOKUP(A1558,库龄!B:K,9,0),0)</f>
        <v>0</v>
      </c>
      <c r="K1558">
        <f>IFERROR(VLOOKUP(A1558,库龄!B:L,10,0),0)</f>
        <v>0</v>
      </c>
      <c r="L1558">
        <f>IFERROR(VLOOKUP(A1558,库龄!B:M,11,0),0)</f>
        <v>0</v>
      </c>
      <c r="M1558">
        <f>IFERROR(VLOOKUP(A1558,库龄!B:N,12,0),0)</f>
        <v>0</v>
      </c>
      <c r="N1558">
        <f t="shared" si="50"/>
        <v>0</v>
      </c>
    </row>
    <row r="1559" spans="1:14">
      <c r="A1559" s="3" t="s">
        <v>4258</v>
      </c>
      <c r="B1559">
        <f>IFERROR(VLOOKUP(A1559,管理亚马逊库存!A:K,11,0),"")</f>
        <v>15</v>
      </c>
      <c r="C1559">
        <f>IFERROR(VLOOKUP(A1559,管理亚马逊库存!A:L,12,0),"")</f>
        <v>0</v>
      </c>
      <c r="D1559">
        <f>IFERROR(VLOOKUP(A1559,管理亚马逊库存!A:Q,17,0),"")</f>
        <v>0</v>
      </c>
      <c r="E1559">
        <f>IFERROR(VLOOKUP(A1559,管理亚马逊库存!A:R,18,0),"")</f>
        <v>0</v>
      </c>
      <c r="F1559">
        <f t="shared" si="49"/>
        <v>0</v>
      </c>
      <c r="G1559" t="str">
        <f>IFERROR(VLOOKUP(A1559,预留库存!A:G,7,0),0)</f>
        <v>No</v>
      </c>
      <c r="H1559">
        <f>IFERROR(VLOOKUP(A1559,预留库存!A:H,8,0),0)</f>
        <v>0</v>
      </c>
      <c r="I1559">
        <f>IFERROR(VLOOKUP(A1559,预留库存!A:F,6,0),0)</f>
        <v>23.98</v>
      </c>
      <c r="J1559">
        <f>IFERROR(VLOOKUP(A1559,库龄!B:K,9,0),0)</f>
        <v>0</v>
      </c>
      <c r="K1559">
        <f>IFERROR(VLOOKUP(A1559,库龄!B:L,10,0),0)</f>
        <v>0</v>
      </c>
      <c r="L1559">
        <f>IFERROR(VLOOKUP(A1559,库龄!B:M,11,0),0)</f>
        <v>0</v>
      </c>
      <c r="M1559">
        <f>IFERROR(VLOOKUP(A1559,库龄!B:N,12,0),0)</f>
        <v>0</v>
      </c>
      <c r="N1559">
        <f t="shared" si="50"/>
        <v>0</v>
      </c>
    </row>
    <row r="1560" spans="1:14">
      <c r="A1560" s="3" t="s">
        <v>4261</v>
      </c>
      <c r="B1560">
        <f>IFERROR(VLOOKUP(A1560,管理亚马逊库存!A:K,11,0),"")</f>
        <v>11</v>
      </c>
      <c r="C1560">
        <f>IFERROR(VLOOKUP(A1560,管理亚马逊库存!A:L,12,0),"")</f>
        <v>0</v>
      </c>
      <c r="D1560">
        <f>IFERROR(VLOOKUP(A1560,管理亚马逊库存!A:Q,17,0),"")</f>
        <v>0</v>
      </c>
      <c r="E1560">
        <f>IFERROR(VLOOKUP(A1560,管理亚马逊库存!A:R,18,0),"")</f>
        <v>0</v>
      </c>
      <c r="F1560">
        <f t="shared" si="49"/>
        <v>0</v>
      </c>
      <c r="G1560" t="str">
        <f>IFERROR(VLOOKUP(A1560,预留库存!A:G,7,0),0)</f>
        <v>No</v>
      </c>
      <c r="H1560">
        <f>IFERROR(VLOOKUP(A1560,预留库存!A:H,8,0),0)</f>
        <v>0</v>
      </c>
      <c r="I1560">
        <f>IFERROR(VLOOKUP(A1560,预留库存!A:F,6,0),0)</f>
        <v>23.98</v>
      </c>
      <c r="J1560">
        <f>IFERROR(VLOOKUP(A1560,库龄!B:K,9,0),0)</f>
        <v>0</v>
      </c>
      <c r="K1560">
        <f>IFERROR(VLOOKUP(A1560,库龄!B:L,10,0),0)</f>
        <v>0</v>
      </c>
      <c r="L1560">
        <f>IFERROR(VLOOKUP(A1560,库龄!B:M,11,0),0)</f>
        <v>0</v>
      </c>
      <c r="M1560">
        <f>IFERROR(VLOOKUP(A1560,库龄!B:N,12,0),0)</f>
        <v>0</v>
      </c>
      <c r="N1560">
        <f t="shared" si="50"/>
        <v>0</v>
      </c>
    </row>
    <row r="1561" spans="1:14">
      <c r="A1561" s="3" t="s">
        <v>4264</v>
      </c>
      <c r="B1561">
        <f>IFERROR(VLOOKUP(A1561,管理亚马逊库存!A:K,11,0),"")</f>
        <v>2</v>
      </c>
      <c r="C1561">
        <f>IFERROR(VLOOKUP(A1561,管理亚马逊库存!A:L,12,0),"")</f>
        <v>0</v>
      </c>
      <c r="D1561">
        <f>IFERROR(VLOOKUP(A1561,管理亚马逊库存!A:Q,17,0),"")</f>
        <v>0</v>
      </c>
      <c r="E1561">
        <f>IFERROR(VLOOKUP(A1561,管理亚马逊库存!A:R,18,0),"")</f>
        <v>0</v>
      </c>
      <c r="F1561">
        <f t="shared" si="49"/>
        <v>0</v>
      </c>
      <c r="G1561" t="str">
        <f>IFERROR(VLOOKUP(A1561,预留库存!A:G,7,0),0)</f>
        <v>No</v>
      </c>
      <c r="H1561">
        <f>IFERROR(VLOOKUP(A1561,预留库存!A:H,8,0),0)</f>
        <v>0</v>
      </c>
      <c r="I1561">
        <f>IFERROR(VLOOKUP(A1561,预留库存!A:F,6,0),0)</f>
        <v>23.98</v>
      </c>
      <c r="J1561">
        <f>IFERROR(VLOOKUP(A1561,库龄!B:K,9,0),0)</f>
        <v>0</v>
      </c>
      <c r="K1561">
        <f>IFERROR(VLOOKUP(A1561,库龄!B:L,10,0),0)</f>
        <v>0</v>
      </c>
      <c r="L1561">
        <f>IFERROR(VLOOKUP(A1561,库龄!B:M,11,0),0)</f>
        <v>0</v>
      </c>
      <c r="M1561">
        <f>IFERROR(VLOOKUP(A1561,库龄!B:N,12,0),0)</f>
        <v>0</v>
      </c>
      <c r="N1561">
        <f t="shared" si="50"/>
        <v>0</v>
      </c>
    </row>
    <row r="1562" spans="1:14">
      <c r="A1562" s="3" t="s">
        <v>4267</v>
      </c>
      <c r="B1562">
        <f>IFERROR(VLOOKUP(A1562,管理亚马逊库存!A:K,11,0),"")</f>
        <v>17</v>
      </c>
      <c r="C1562">
        <f>IFERROR(VLOOKUP(A1562,管理亚马逊库存!A:L,12,0),"")</f>
        <v>0</v>
      </c>
      <c r="D1562">
        <f>IFERROR(VLOOKUP(A1562,管理亚马逊库存!A:Q,17,0),"")</f>
        <v>0</v>
      </c>
      <c r="E1562">
        <f>IFERROR(VLOOKUP(A1562,管理亚马逊库存!A:R,18,0),"")</f>
        <v>0</v>
      </c>
      <c r="F1562">
        <f t="shared" si="49"/>
        <v>0</v>
      </c>
      <c r="G1562" t="str">
        <f>IFERROR(VLOOKUP(A1562,预留库存!A:G,7,0),0)</f>
        <v>No</v>
      </c>
      <c r="H1562">
        <f>IFERROR(VLOOKUP(A1562,预留库存!A:H,8,0),0)</f>
        <v>0</v>
      </c>
      <c r="I1562">
        <f>IFERROR(VLOOKUP(A1562,预留库存!A:F,6,0),0)</f>
        <v>23.98</v>
      </c>
      <c r="J1562">
        <f>IFERROR(VLOOKUP(A1562,库龄!B:K,9,0),0)</f>
        <v>0</v>
      </c>
      <c r="K1562">
        <f>IFERROR(VLOOKUP(A1562,库龄!B:L,10,0),0)</f>
        <v>0</v>
      </c>
      <c r="L1562">
        <f>IFERROR(VLOOKUP(A1562,库龄!B:M,11,0),0)</f>
        <v>0</v>
      </c>
      <c r="M1562">
        <f>IFERROR(VLOOKUP(A1562,库龄!B:N,12,0),0)</f>
        <v>0</v>
      </c>
      <c r="N1562">
        <f t="shared" si="50"/>
        <v>0</v>
      </c>
    </row>
    <row r="1563" spans="1:14">
      <c r="A1563" s="3" t="s">
        <v>4270</v>
      </c>
      <c r="B1563">
        <f>IFERROR(VLOOKUP(A1563,管理亚马逊库存!A:K,11,0),"")</f>
        <v>22</v>
      </c>
      <c r="C1563">
        <f>IFERROR(VLOOKUP(A1563,管理亚马逊库存!A:L,12,0),"")</f>
        <v>0</v>
      </c>
      <c r="D1563">
        <f>IFERROR(VLOOKUP(A1563,管理亚马逊库存!A:Q,17,0),"")</f>
        <v>0</v>
      </c>
      <c r="E1563">
        <f>IFERROR(VLOOKUP(A1563,管理亚马逊库存!A:R,18,0),"")</f>
        <v>0</v>
      </c>
      <c r="F1563">
        <f t="shared" si="49"/>
        <v>0</v>
      </c>
      <c r="G1563" t="str">
        <f>IFERROR(VLOOKUP(A1563,预留库存!A:G,7,0),0)</f>
        <v>No</v>
      </c>
      <c r="H1563">
        <f>IFERROR(VLOOKUP(A1563,预留库存!A:H,8,0),0)</f>
        <v>0</v>
      </c>
      <c r="I1563">
        <f>IFERROR(VLOOKUP(A1563,预留库存!A:F,6,0),0)</f>
        <v>23.98</v>
      </c>
      <c r="J1563">
        <f>IFERROR(VLOOKUP(A1563,库龄!B:K,9,0),0)</f>
        <v>0</v>
      </c>
      <c r="K1563">
        <f>IFERROR(VLOOKUP(A1563,库龄!B:L,10,0),0)</f>
        <v>0</v>
      </c>
      <c r="L1563">
        <f>IFERROR(VLOOKUP(A1563,库龄!B:M,11,0),0)</f>
        <v>0</v>
      </c>
      <c r="M1563">
        <f>IFERROR(VLOOKUP(A1563,库龄!B:N,12,0),0)</f>
        <v>0</v>
      </c>
      <c r="N1563">
        <f t="shared" si="50"/>
        <v>0</v>
      </c>
    </row>
    <row r="1564" spans="1:14">
      <c r="A1564" s="3" t="s">
        <v>4273</v>
      </c>
      <c r="B1564">
        <f>IFERROR(VLOOKUP(A1564,管理亚马逊库存!A:K,11,0),"")</f>
        <v>8</v>
      </c>
      <c r="C1564">
        <f>IFERROR(VLOOKUP(A1564,管理亚马逊库存!A:L,12,0),"")</f>
        <v>0</v>
      </c>
      <c r="D1564">
        <f>IFERROR(VLOOKUP(A1564,管理亚马逊库存!A:Q,17,0),"")</f>
        <v>0</v>
      </c>
      <c r="E1564">
        <f>IFERROR(VLOOKUP(A1564,管理亚马逊库存!A:R,18,0),"")</f>
        <v>0</v>
      </c>
      <c r="F1564">
        <f t="shared" si="49"/>
        <v>0</v>
      </c>
      <c r="G1564" t="str">
        <f>IFERROR(VLOOKUP(A1564,预留库存!A:G,7,0),0)</f>
        <v>No</v>
      </c>
      <c r="H1564">
        <f>IFERROR(VLOOKUP(A1564,预留库存!A:H,8,0),0)</f>
        <v>0</v>
      </c>
      <c r="I1564">
        <f>IFERROR(VLOOKUP(A1564,预留库存!A:F,6,0),0)</f>
        <v>23.98</v>
      </c>
      <c r="J1564">
        <f>IFERROR(VLOOKUP(A1564,库龄!B:K,9,0),0)</f>
        <v>0</v>
      </c>
      <c r="K1564">
        <f>IFERROR(VLOOKUP(A1564,库龄!B:L,10,0),0)</f>
        <v>0</v>
      </c>
      <c r="L1564">
        <f>IFERROR(VLOOKUP(A1564,库龄!B:M,11,0),0)</f>
        <v>0</v>
      </c>
      <c r="M1564">
        <f>IFERROR(VLOOKUP(A1564,库龄!B:N,12,0),0)</f>
        <v>0</v>
      </c>
      <c r="N1564">
        <f t="shared" si="50"/>
        <v>0</v>
      </c>
    </row>
    <row r="1565" spans="1:14">
      <c r="A1565" s="3" t="s">
        <v>4276</v>
      </c>
      <c r="B1565">
        <f>IFERROR(VLOOKUP(A1565,管理亚马逊库存!A:K,11,0),"")</f>
        <v>1</v>
      </c>
      <c r="C1565">
        <f>IFERROR(VLOOKUP(A1565,管理亚马逊库存!A:L,12,0),"")</f>
        <v>0</v>
      </c>
      <c r="D1565">
        <f>IFERROR(VLOOKUP(A1565,管理亚马逊库存!A:Q,17,0),"")</f>
        <v>0</v>
      </c>
      <c r="E1565">
        <f>IFERROR(VLOOKUP(A1565,管理亚马逊库存!A:R,18,0),"")</f>
        <v>0</v>
      </c>
      <c r="F1565">
        <f t="shared" si="49"/>
        <v>0</v>
      </c>
      <c r="G1565" t="str">
        <f>IFERROR(VLOOKUP(A1565,预留库存!A:G,7,0),0)</f>
        <v>No</v>
      </c>
      <c r="H1565">
        <f>IFERROR(VLOOKUP(A1565,预留库存!A:H,8,0),0)</f>
        <v>0</v>
      </c>
      <c r="I1565">
        <f>IFERROR(VLOOKUP(A1565,预留库存!A:F,6,0),0)</f>
        <v>23.98</v>
      </c>
      <c r="J1565">
        <f>IFERROR(VLOOKUP(A1565,库龄!B:K,9,0),0)</f>
        <v>0</v>
      </c>
      <c r="K1565">
        <f>IFERROR(VLOOKUP(A1565,库龄!B:L,10,0),0)</f>
        <v>0</v>
      </c>
      <c r="L1565">
        <f>IFERROR(VLOOKUP(A1565,库龄!B:M,11,0),0)</f>
        <v>0</v>
      </c>
      <c r="M1565">
        <f>IFERROR(VLOOKUP(A1565,库龄!B:N,12,0),0)</f>
        <v>0</v>
      </c>
      <c r="N1565">
        <f t="shared" si="50"/>
        <v>0</v>
      </c>
    </row>
    <row r="1566" spans="1:14">
      <c r="A1566" s="3" t="s">
        <v>4279</v>
      </c>
      <c r="B1566">
        <f>IFERROR(VLOOKUP(A1566,管理亚马逊库存!A:K,11,0),"")</f>
        <v>28</v>
      </c>
      <c r="C1566">
        <f>IFERROR(VLOOKUP(A1566,管理亚马逊库存!A:L,12,0),"")</f>
        <v>0</v>
      </c>
      <c r="D1566">
        <f>IFERROR(VLOOKUP(A1566,管理亚马逊库存!A:Q,17,0),"")</f>
        <v>0</v>
      </c>
      <c r="E1566">
        <f>IFERROR(VLOOKUP(A1566,管理亚马逊库存!A:R,18,0),"")</f>
        <v>0</v>
      </c>
      <c r="F1566">
        <f t="shared" si="49"/>
        <v>0</v>
      </c>
      <c r="G1566" t="str">
        <f>IFERROR(VLOOKUP(A1566,预留库存!A:G,7,0),0)</f>
        <v>No</v>
      </c>
      <c r="H1566">
        <f>IFERROR(VLOOKUP(A1566,预留库存!A:H,8,0),0)</f>
        <v>0</v>
      </c>
      <c r="I1566">
        <f>IFERROR(VLOOKUP(A1566,预留库存!A:F,6,0),0)</f>
        <v>23.98</v>
      </c>
      <c r="J1566">
        <f>IFERROR(VLOOKUP(A1566,库龄!B:K,9,0),0)</f>
        <v>0</v>
      </c>
      <c r="K1566">
        <f>IFERROR(VLOOKUP(A1566,库龄!B:L,10,0),0)</f>
        <v>0</v>
      </c>
      <c r="L1566">
        <f>IFERROR(VLOOKUP(A1566,库龄!B:M,11,0),0)</f>
        <v>0</v>
      </c>
      <c r="M1566">
        <f>IFERROR(VLOOKUP(A1566,库龄!B:N,12,0),0)</f>
        <v>0</v>
      </c>
      <c r="N1566">
        <f t="shared" si="50"/>
        <v>0</v>
      </c>
    </row>
    <row r="1567" spans="1:14">
      <c r="A1567" s="3" t="s">
        <v>4282</v>
      </c>
      <c r="B1567">
        <f>IFERROR(VLOOKUP(A1567,管理亚马逊库存!A:K,11,0),"")</f>
        <v>24</v>
      </c>
      <c r="C1567">
        <f>IFERROR(VLOOKUP(A1567,管理亚马逊库存!A:L,12,0),"")</f>
        <v>0</v>
      </c>
      <c r="D1567">
        <f>IFERROR(VLOOKUP(A1567,管理亚马逊库存!A:Q,17,0),"")</f>
        <v>0</v>
      </c>
      <c r="E1567">
        <f>IFERROR(VLOOKUP(A1567,管理亚马逊库存!A:R,18,0),"")</f>
        <v>0</v>
      </c>
      <c r="F1567">
        <f t="shared" si="49"/>
        <v>0</v>
      </c>
      <c r="G1567" t="str">
        <f>IFERROR(VLOOKUP(A1567,预留库存!A:G,7,0),0)</f>
        <v>No</v>
      </c>
      <c r="H1567">
        <f>IFERROR(VLOOKUP(A1567,预留库存!A:H,8,0),0)</f>
        <v>0</v>
      </c>
      <c r="I1567">
        <f>IFERROR(VLOOKUP(A1567,预留库存!A:F,6,0),0)</f>
        <v>23.98</v>
      </c>
      <c r="J1567">
        <f>IFERROR(VLOOKUP(A1567,库龄!B:K,9,0),0)</f>
        <v>0</v>
      </c>
      <c r="K1567">
        <f>IFERROR(VLOOKUP(A1567,库龄!B:L,10,0),0)</f>
        <v>0</v>
      </c>
      <c r="L1567">
        <f>IFERROR(VLOOKUP(A1567,库龄!B:M,11,0),0)</f>
        <v>0</v>
      </c>
      <c r="M1567">
        <f>IFERROR(VLOOKUP(A1567,库龄!B:N,12,0),0)</f>
        <v>0</v>
      </c>
      <c r="N1567">
        <f t="shared" si="50"/>
        <v>0</v>
      </c>
    </row>
    <row r="1568" spans="1:14">
      <c r="A1568" s="3" t="s">
        <v>4285</v>
      </c>
      <c r="B1568">
        <f>IFERROR(VLOOKUP(A1568,管理亚马逊库存!A:K,11,0),"")</f>
        <v>7</v>
      </c>
      <c r="C1568">
        <f>IFERROR(VLOOKUP(A1568,管理亚马逊库存!A:L,12,0),"")</f>
        <v>0</v>
      </c>
      <c r="D1568">
        <f>IFERROR(VLOOKUP(A1568,管理亚马逊库存!A:Q,17,0),"")</f>
        <v>0</v>
      </c>
      <c r="E1568">
        <f>IFERROR(VLOOKUP(A1568,管理亚马逊库存!A:R,18,0),"")</f>
        <v>0</v>
      </c>
      <c r="F1568">
        <f t="shared" si="49"/>
        <v>0</v>
      </c>
      <c r="G1568" t="str">
        <f>IFERROR(VLOOKUP(A1568,预留库存!A:G,7,0),0)</f>
        <v>No</v>
      </c>
      <c r="H1568">
        <f>IFERROR(VLOOKUP(A1568,预留库存!A:H,8,0),0)</f>
        <v>0</v>
      </c>
      <c r="I1568">
        <f>IFERROR(VLOOKUP(A1568,预留库存!A:F,6,0),0)</f>
        <v>23.98</v>
      </c>
      <c r="J1568">
        <f>IFERROR(VLOOKUP(A1568,库龄!B:K,9,0),0)</f>
        <v>0</v>
      </c>
      <c r="K1568">
        <f>IFERROR(VLOOKUP(A1568,库龄!B:L,10,0),0)</f>
        <v>0</v>
      </c>
      <c r="L1568">
        <f>IFERROR(VLOOKUP(A1568,库龄!B:M,11,0),0)</f>
        <v>0</v>
      </c>
      <c r="M1568">
        <f>IFERROR(VLOOKUP(A1568,库龄!B:N,12,0),0)</f>
        <v>0</v>
      </c>
      <c r="N1568">
        <f t="shared" si="50"/>
        <v>0</v>
      </c>
    </row>
    <row r="1569" spans="1:14">
      <c r="A1569" s="3" t="s">
        <v>4288</v>
      </c>
      <c r="B1569">
        <f>IFERROR(VLOOKUP(A1569,管理亚马逊库存!A:K,11,0),"")</f>
        <v>0</v>
      </c>
      <c r="C1569">
        <f>IFERROR(VLOOKUP(A1569,管理亚马逊库存!A:L,12,0),"")</f>
        <v>0</v>
      </c>
      <c r="D1569">
        <f>IFERROR(VLOOKUP(A1569,管理亚马逊库存!A:Q,17,0),"")</f>
        <v>0</v>
      </c>
      <c r="E1569">
        <f>IFERROR(VLOOKUP(A1569,管理亚马逊库存!A:R,18,0),"")</f>
        <v>0</v>
      </c>
      <c r="F1569">
        <f t="shared" si="49"/>
        <v>0</v>
      </c>
      <c r="G1569" t="str">
        <f>IFERROR(VLOOKUP(A1569,预留库存!A:G,7,0),0)</f>
        <v>No</v>
      </c>
      <c r="H1569">
        <f>IFERROR(VLOOKUP(A1569,预留库存!A:H,8,0),0)</f>
        <v>0</v>
      </c>
      <c r="I1569">
        <f>IFERROR(VLOOKUP(A1569,预留库存!A:F,6,0),0)</f>
        <v>23.98</v>
      </c>
      <c r="J1569">
        <f>IFERROR(VLOOKUP(A1569,库龄!B:K,9,0),0)</f>
        <v>0</v>
      </c>
      <c r="K1569">
        <f>IFERROR(VLOOKUP(A1569,库龄!B:L,10,0),0)</f>
        <v>0</v>
      </c>
      <c r="L1569">
        <f>IFERROR(VLOOKUP(A1569,库龄!B:M,11,0),0)</f>
        <v>0</v>
      </c>
      <c r="M1569">
        <f>IFERROR(VLOOKUP(A1569,库龄!B:N,12,0),0)</f>
        <v>0</v>
      </c>
      <c r="N1569">
        <f t="shared" si="50"/>
        <v>0</v>
      </c>
    </row>
    <row r="1570" spans="1:14">
      <c r="A1570" s="3" t="s">
        <v>4291</v>
      </c>
      <c r="B1570">
        <f>IFERROR(VLOOKUP(A1570,管理亚马逊库存!A:K,11,0),"")</f>
        <v>20</v>
      </c>
      <c r="C1570">
        <f>IFERROR(VLOOKUP(A1570,管理亚马逊库存!A:L,12,0),"")</f>
        <v>0</v>
      </c>
      <c r="D1570">
        <f>IFERROR(VLOOKUP(A1570,管理亚马逊库存!A:Q,17,0),"")</f>
        <v>0</v>
      </c>
      <c r="E1570">
        <f>IFERROR(VLOOKUP(A1570,管理亚马逊库存!A:R,18,0),"")</f>
        <v>0</v>
      </c>
      <c r="F1570">
        <f t="shared" si="49"/>
        <v>0</v>
      </c>
      <c r="G1570" t="str">
        <f>IFERROR(VLOOKUP(A1570,预留库存!A:G,7,0),0)</f>
        <v>No</v>
      </c>
      <c r="H1570">
        <f>IFERROR(VLOOKUP(A1570,预留库存!A:H,8,0),0)</f>
        <v>0</v>
      </c>
      <c r="I1570">
        <f>IFERROR(VLOOKUP(A1570,预留库存!A:F,6,0),0)</f>
        <v>23.98</v>
      </c>
      <c r="J1570">
        <f>IFERROR(VLOOKUP(A1570,库龄!B:K,9,0),0)</f>
        <v>0</v>
      </c>
      <c r="K1570">
        <f>IFERROR(VLOOKUP(A1570,库龄!B:L,10,0),0)</f>
        <v>0</v>
      </c>
      <c r="L1570">
        <f>IFERROR(VLOOKUP(A1570,库龄!B:M,11,0),0)</f>
        <v>0</v>
      </c>
      <c r="M1570">
        <f>IFERROR(VLOOKUP(A1570,库龄!B:N,12,0),0)</f>
        <v>0</v>
      </c>
      <c r="N1570">
        <f t="shared" si="50"/>
        <v>0</v>
      </c>
    </row>
    <row r="1571" spans="1:14">
      <c r="A1571" s="3" t="s">
        <v>4294</v>
      </c>
      <c r="B1571">
        <f>IFERROR(VLOOKUP(A1571,管理亚马逊库存!A:K,11,0),"")</f>
        <v>16</v>
      </c>
      <c r="C1571">
        <f>IFERROR(VLOOKUP(A1571,管理亚马逊库存!A:L,12,0),"")</f>
        <v>0</v>
      </c>
      <c r="D1571">
        <f>IFERROR(VLOOKUP(A1571,管理亚马逊库存!A:Q,17,0),"")</f>
        <v>0</v>
      </c>
      <c r="E1571">
        <f>IFERROR(VLOOKUP(A1571,管理亚马逊库存!A:R,18,0),"")</f>
        <v>0</v>
      </c>
      <c r="F1571">
        <f t="shared" si="49"/>
        <v>0</v>
      </c>
      <c r="G1571" t="str">
        <f>IFERROR(VLOOKUP(A1571,预留库存!A:G,7,0),0)</f>
        <v>No</v>
      </c>
      <c r="H1571">
        <f>IFERROR(VLOOKUP(A1571,预留库存!A:H,8,0),0)</f>
        <v>0</v>
      </c>
      <c r="I1571">
        <f>IFERROR(VLOOKUP(A1571,预留库存!A:F,6,0),0)</f>
        <v>23.98</v>
      </c>
      <c r="J1571">
        <f>IFERROR(VLOOKUP(A1571,库龄!B:K,9,0),0)</f>
        <v>0</v>
      </c>
      <c r="K1571">
        <f>IFERROR(VLOOKUP(A1571,库龄!B:L,10,0),0)</f>
        <v>0</v>
      </c>
      <c r="L1571">
        <f>IFERROR(VLOOKUP(A1571,库龄!B:M,11,0),0)</f>
        <v>0</v>
      </c>
      <c r="M1571">
        <f>IFERROR(VLOOKUP(A1571,库龄!B:N,12,0),0)</f>
        <v>0</v>
      </c>
      <c r="N1571">
        <f t="shared" si="50"/>
        <v>0</v>
      </c>
    </row>
    <row r="1572" spans="1:14">
      <c r="A1572" s="3" t="s">
        <v>4297</v>
      </c>
      <c r="B1572">
        <f>IFERROR(VLOOKUP(A1572,管理亚马逊库存!A:K,11,0),"")</f>
        <v>14</v>
      </c>
      <c r="C1572">
        <f>IFERROR(VLOOKUP(A1572,管理亚马逊库存!A:L,12,0),"")</f>
        <v>0</v>
      </c>
      <c r="D1572">
        <f>IFERROR(VLOOKUP(A1572,管理亚马逊库存!A:Q,17,0),"")</f>
        <v>0</v>
      </c>
      <c r="E1572">
        <f>IFERROR(VLOOKUP(A1572,管理亚马逊库存!A:R,18,0),"")</f>
        <v>0</v>
      </c>
      <c r="F1572">
        <f t="shared" si="49"/>
        <v>0</v>
      </c>
      <c r="G1572" t="str">
        <f>IFERROR(VLOOKUP(A1572,预留库存!A:G,7,0),0)</f>
        <v>No</v>
      </c>
      <c r="H1572">
        <f>IFERROR(VLOOKUP(A1572,预留库存!A:H,8,0),0)</f>
        <v>0</v>
      </c>
      <c r="I1572">
        <f>IFERROR(VLOOKUP(A1572,预留库存!A:F,6,0),0)</f>
        <v>23.98</v>
      </c>
      <c r="J1572">
        <f>IFERROR(VLOOKUP(A1572,库龄!B:K,9,0),0)</f>
        <v>0</v>
      </c>
      <c r="K1572">
        <f>IFERROR(VLOOKUP(A1572,库龄!B:L,10,0),0)</f>
        <v>0</v>
      </c>
      <c r="L1572">
        <f>IFERROR(VLOOKUP(A1572,库龄!B:M,11,0),0)</f>
        <v>0</v>
      </c>
      <c r="M1572">
        <f>IFERROR(VLOOKUP(A1572,库龄!B:N,12,0),0)</f>
        <v>0</v>
      </c>
      <c r="N1572">
        <f t="shared" si="50"/>
        <v>0</v>
      </c>
    </row>
    <row r="1573" spans="1:14">
      <c r="A1573" s="3" t="s">
        <v>4300</v>
      </c>
      <c r="B1573">
        <f>IFERROR(VLOOKUP(A1573,管理亚马逊库存!A:K,11,0),"")</f>
        <v>1</v>
      </c>
      <c r="C1573">
        <f>IFERROR(VLOOKUP(A1573,管理亚马逊库存!A:L,12,0),"")</f>
        <v>0</v>
      </c>
      <c r="D1573">
        <f>IFERROR(VLOOKUP(A1573,管理亚马逊库存!A:Q,17,0),"")</f>
        <v>0</v>
      </c>
      <c r="E1573">
        <f>IFERROR(VLOOKUP(A1573,管理亚马逊库存!A:R,18,0),"")</f>
        <v>0</v>
      </c>
      <c r="F1573">
        <f t="shared" si="49"/>
        <v>0</v>
      </c>
      <c r="G1573" t="str">
        <f>IFERROR(VLOOKUP(A1573,预留库存!A:G,7,0),0)</f>
        <v>No</v>
      </c>
      <c r="H1573">
        <f>IFERROR(VLOOKUP(A1573,预留库存!A:H,8,0),0)</f>
        <v>0</v>
      </c>
      <c r="I1573">
        <f>IFERROR(VLOOKUP(A1573,预留库存!A:F,6,0),0)</f>
        <v>23.98</v>
      </c>
      <c r="J1573">
        <f>IFERROR(VLOOKUP(A1573,库龄!B:K,9,0),0)</f>
        <v>0</v>
      </c>
      <c r="K1573">
        <f>IFERROR(VLOOKUP(A1573,库龄!B:L,10,0),0)</f>
        <v>0</v>
      </c>
      <c r="L1573">
        <f>IFERROR(VLOOKUP(A1573,库龄!B:M,11,0),0)</f>
        <v>0</v>
      </c>
      <c r="M1573">
        <f>IFERROR(VLOOKUP(A1573,库龄!B:N,12,0),0)</f>
        <v>0</v>
      </c>
      <c r="N1573">
        <f t="shared" si="50"/>
        <v>0</v>
      </c>
    </row>
    <row r="1574" spans="1:14">
      <c r="A1574" s="3" t="s">
        <v>4303</v>
      </c>
      <c r="B1574">
        <f>IFERROR(VLOOKUP(A1574,管理亚马逊库存!A:K,11,0),"")</f>
        <v>19</v>
      </c>
      <c r="C1574">
        <f>IFERROR(VLOOKUP(A1574,管理亚马逊库存!A:L,12,0),"")</f>
        <v>0</v>
      </c>
      <c r="D1574">
        <f>IFERROR(VLOOKUP(A1574,管理亚马逊库存!A:Q,17,0),"")</f>
        <v>0</v>
      </c>
      <c r="E1574">
        <f>IFERROR(VLOOKUP(A1574,管理亚马逊库存!A:R,18,0),"")</f>
        <v>0</v>
      </c>
      <c r="F1574">
        <f t="shared" si="49"/>
        <v>0</v>
      </c>
      <c r="G1574" t="str">
        <f>IFERROR(VLOOKUP(A1574,预留库存!A:G,7,0),0)</f>
        <v>No</v>
      </c>
      <c r="H1574">
        <f>IFERROR(VLOOKUP(A1574,预留库存!A:H,8,0),0)</f>
        <v>0</v>
      </c>
      <c r="I1574">
        <f>IFERROR(VLOOKUP(A1574,预留库存!A:F,6,0),0)</f>
        <v>23.98</v>
      </c>
      <c r="J1574">
        <f>IFERROR(VLOOKUP(A1574,库龄!B:K,9,0),0)</f>
        <v>1</v>
      </c>
      <c r="K1574">
        <f>IFERROR(VLOOKUP(A1574,库龄!B:L,10,0),0)</f>
        <v>2</v>
      </c>
      <c r="L1574">
        <f>IFERROR(VLOOKUP(A1574,库龄!B:M,11,0),0)</f>
        <v>0</v>
      </c>
      <c r="M1574">
        <f>IFERROR(VLOOKUP(A1574,库龄!B:N,12,0),0)</f>
        <v>0</v>
      </c>
      <c r="N1574">
        <f t="shared" si="50"/>
        <v>3</v>
      </c>
    </row>
    <row r="1575" spans="1:14">
      <c r="A1575" s="3" t="s">
        <v>4306</v>
      </c>
      <c r="B1575">
        <f>IFERROR(VLOOKUP(A1575,管理亚马逊库存!A:K,11,0),"")</f>
        <v>23</v>
      </c>
      <c r="C1575">
        <f>IFERROR(VLOOKUP(A1575,管理亚马逊库存!A:L,12,0),"")</f>
        <v>0</v>
      </c>
      <c r="D1575">
        <f>IFERROR(VLOOKUP(A1575,管理亚马逊库存!A:Q,17,0),"")</f>
        <v>0</v>
      </c>
      <c r="E1575">
        <f>IFERROR(VLOOKUP(A1575,管理亚马逊库存!A:R,18,0),"")</f>
        <v>0</v>
      </c>
      <c r="F1575">
        <f t="shared" si="49"/>
        <v>0</v>
      </c>
      <c r="G1575" t="str">
        <f>IFERROR(VLOOKUP(A1575,预留库存!A:G,7,0),0)</f>
        <v>No</v>
      </c>
      <c r="H1575">
        <f>IFERROR(VLOOKUP(A1575,预留库存!A:H,8,0),0)</f>
        <v>0</v>
      </c>
      <c r="I1575">
        <f>IFERROR(VLOOKUP(A1575,预留库存!A:F,6,0),0)</f>
        <v>23.98</v>
      </c>
      <c r="J1575">
        <f>IFERROR(VLOOKUP(A1575,库龄!B:K,9,0),0)</f>
        <v>0</v>
      </c>
      <c r="K1575">
        <f>IFERROR(VLOOKUP(A1575,库龄!B:L,10,0),0)</f>
        <v>0</v>
      </c>
      <c r="L1575">
        <f>IFERROR(VLOOKUP(A1575,库龄!B:M,11,0),0)</f>
        <v>0</v>
      </c>
      <c r="M1575">
        <f>IFERROR(VLOOKUP(A1575,库龄!B:N,12,0),0)</f>
        <v>0</v>
      </c>
      <c r="N1575">
        <f t="shared" si="50"/>
        <v>0</v>
      </c>
    </row>
    <row r="1576" spans="1:14">
      <c r="A1576" s="3" t="s">
        <v>4309</v>
      </c>
      <c r="B1576">
        <f>IFERROR(VLOOKUP(A1576,管理亚马逊库存!A:K,11,0),"")</f>
        <v>28</v>
      </c>
      <c r="C1576">
        <f>IFERROR(VLOOKUP(A1576,管理亚马逊库存!A:L,12,0),"")</f>
        <v>0</v>
      </c>
      <c r="D1576">
        <f>IFERROR(VLOOKUP(A1576,管理亚马逊库存!A:Q,17,0),"")</f>
        <v>0</v>
      </c>
      <c r="E1576">
        <f>IFERROR(VLOOKUP(A1576,管理亚马逊库存!A:R,18,0),"")</f>
        <v>0</v>
      </c>
      <c r="F1576">
        <f t="shared" si="49"/>
        <v>0</v>
      </c>
      <c r="G1576" t="str">
        <f>IFERROR(VLOOKUP(A1576,预留库存!A:G,7,0),0)</f>
        <v>No</v>
      </c>
      <c r="H1576">
        <f>IFERROR(VLOOKUP(A1576,预留库存!A:H,8,0),0)</f>
        <v>0</v>
      </c>
      <c r="I1576">
        <f>IFERROR(VLOOKUP(A1576,预留库存!A:F,6,0),0)</f>
        <v>23.98</v>
      </c>
      <c r="J1576">
        <f>IFERROR(VLOOKUP(A1576,库龄!B:K,9,0),0)</f>
        <v>0</v>
      </c>
      <c r="K1576">
        <f>IFERROR(VLOOKUP(A1576,库龄!B:L,10,0),0)</f>
        <v>0</v>
      </c>
      <c r="L1576">
        <f>IFERROR(VLOOKUP(A1576,库龄!B:M,11,0),0)</f>
        <v>0</v>
      </c>
      <c r="M1576">
        <f>IFERROR(VLOOKUP(A1576,库龄!B:N,12,0),0)</f>
        <v>0</v>
      </c>
      <c r="N1576">
        <f t="shared" si="50"/>
        <v>0</v>
      </c>
    </row>
    <row r="1577" spans="1:14">
      <c r="A1577" s="3" t="s">
        <v>4312</v>
      </c>
      <c r="B1577">
        <f>IFERROR(VLOOKUP(A1577,管理亚马逊库存!A:K,11,0),"")</f>
        <v>6</v>
      </c>
      <c r="C1577">
        <f>IFERROR(VLOOKUP(A1577,管理亚马逊库存!A:L,12,0),"")</f>
        <v>0</v>
      </c>
      <c r="D1577">
        <f>IFERROR(VLOOKUP(A1577,管理亚马逊库存!A:Q,17,0),"")</f>
        <v>0</v>
      </c>
      <c r="E1577">
        <f>IFERROR(VLOOKUP(A1577,管理亚马逊库存!A:R,18,0),"")</f>
        <v>0</v>
      </c>
      <c r="F1577">
        <f t="shared" si="49"/>
        <v>0</v>
      </c>
      <c r="G1577" t="str">
        <f>IFERROR(VLOOKUP(A1577,预留库存!A:G,7,0),0)</f>
        <v>No</v>
      </c>
      <c r="H1577">
        <f>IFERROR(VLOOKUP(A1577,预留库存!A:H,8,0),0)</f>
        <v>0</v>
      </c>
      <c r="I1577">
        <f>IFERROR(VLOOKUP(A1577,预留库存!A:F,6,0),0)</f>
        <v>23.98</v>
      </c>
      <c r="J1577">
        <f>IFERROR(VLOOKUP(A1577,库龄!B:K,9,0),0)</f>
        <v>0</v>
      </c>
      <c r="K1577">
        <f>IFERROR(VLOOKUP(A1577,库龄!B:L,10,0),0)</f>
        <v>0</v>
      </c>
      <c r="L1577">
        <f>IFERROR(VLOOKUP(A1577,库龄!B:M,11,0),0)</f>
        <v>0</v>
      </c>
      <c r="M1577">
        <f>IFERROR(VLOOKUP(A1577,库龄!B:N,12,0),0)</f>
        <v>0</v>
      </c>
      <c r="N1577">
        <f t="shared" si="50"/>
        <v>0</v>
      </c>
    </row>
    <row r="1578" spans="1:14">
      <c r="A1578" s="3" t="s">
        <v>4315</v>
      </c>
      <c r="B1578">
        <f>IFERROR(VLOOKUP(A1578,管理亚马逊库存!A:K,11,0),"")</f>
        <v>17</v>
      </c>
      <c r="C1578">
        <f>IFERROR(VLOOKUP(A1578,管理亚马逊库存!A:L,12,0),"")</f>
        <v>0</v>
      </c>
      <c r="D1578">
        <f>IFERROR(VLOOKUP(A1578,管理亚马逊库存!A:Q,17,0),"")</f>
        <v>0</v>
      </c>
      <c r="E1578">
        <f>IFERROR(VLOOKUP(A1578,管理亚马逊库存!A:R,18,0),"")</f>
        <v>0</v>
      </c>
      <c r="F1578">
        <f t="shared" si="49"/>
        <v>0</v>
      </c>
      <c r="G1578" t="str">
        <f>IFERROR(VLOOKUP(A1578,预留库存!A:G,7,0),0)</f>
        <v>No</v>
      </c>
      <c r="H1578">
        <f>IFERROR(VLOOKUP(A1578,预留库存!A:H,8,0),0)</f>
        <v>0</v>
      </c>
      <c r="I1578">
        <f>IFERROR(VLOOKUP(A1578,预留库存!A:F,6,0),0)</f>
        <v>23.98</v>
      </c>
      <c r="J1578">
        <f>IFERROR(VLOOKUP(A1578,库龄!B:K,9,0),0)</f>
        <v>0</v>
      </c>
      <c r="K1578">
        <f>IFERROR(VLOOKUP(A1578,库龄!B:L,10,0),0)</f>
        <v>0</v>
      </c>
      <c r="L1578">
        <f>IFERROR(VLOOKUP(A1578,库龄!B:M,11,0),0)</f>
        <v>0</v>
      </c>
      <c r="M1578">
        <f>IFERROR(VLOOKUP(A1578,库龄!B:N,12,0),0)</f>
        <v>0</v>
      </c>
      <c r="N1578">
        <f t="shared" si="50"/>
        <v>0</v>
      </c>
    </row>
    <row r="1579" spans="1:14">
      <c r="A1579" s="3" t="s">
        <v>4318</v>
      </c>
      <c r="B1579">
        <f>IFERROR(VLOOKUP(A1579,管理亚马逊库存!A:K,11,0),"")</f>
        <v>21</v>
      </c>
      <c r="C1579">
        <f>IFERROR(VLOOKUP(A1579,管理亚马逊库存!A:L,12,0),"")</f>
        <v>0</v>
      </c>
      <c r="D1579">
        <f>IFERROR(VLOOKUP(A1579,管理亚马逊库存!A:Q,17,0),"")</f>
        <v>0</v>
      </c>
      <c r="E1579">
        <f>IFERROR(VLOOKUP(A1579,管理亚马逊库存!A:R,18,0),"")</f>
        <v>0</v>
      </c>
      <c r="F1579">
        <f t="shared" si="49"/>
        <v>0</v>
      </c>
      <c r="G1579" t="str">
        <f>IFERROR(VLOOKUP(A1579,预留库存!A:G,7,0),0)</f>
        <v>No</v>
      </c>
      <c r="H1579">
        <f>IFERROR(VLOOKUP(A1579,预留库存!A:H,8,0),0)</f>
        <v>0</v>
      </c>
      <c r="I1579">
        <f>IFERROR(VLOOKUP(A1579,预留库存!A:F,6,0),0)</f>
        <v>23.98</v>
      </c>
      <c r="J1579">
        <f>IFERROR(VLOOKUP(A1579,库龄!B:K,9,0),0)</f>
        <v>0</v>
      </c>
      <c r="K1579">
        <f>IFERROR(VLOOKUP(A1579,库龄!B:L,10,0),0)</f>
        <v>0</v>
      </c>
      <c r="L1579">
        <f>IFERROR(VLOOKUP(A1579,库龄!B:M,11,0),0)</f>
        <v>0</v>
      </c>
      <c r="M1579">
        <f>IFERROR(VLOOKUP(A1579,库龄!B:N,12,0),0)</f>
        <v>0</v>
      </c>
      <c r="N1579">
        <f t="shared" si="50"/>
        <v>0</v>
      </c>
    </row>
    <row r="1580" spans="1:14">
      <c r="A1580" s="3" t="s">
        <v>4321</v>
      </c>
      <c r="B1580">
        <f>IFERROR(VLOOKUP(A1580,管理亚马逊库存!A:K,11,0),"")</f>
        <v>16</v>
      </c>
      <c r="C1580">
        <f>IFERROR(VLOOKUP(A1580,管理亚马逊库存!A:L,12,0),"")</f>
        <v>0</v>
      </c>
      <c r="D1580">
        <f>IFERROR(VLOOKUP(A1580,管理亚马逊库存!A:Q,17,0),"")</f>
        <v>0</v>
      </c>
      <c r="E1580">
        <f>IFERROR(VLOOKUP(A1580,管理亚马逊库存!A:R,18,0),"")</f>
        <v>0</v>
      </c>
      <c r="F1580">
        <f t="shared" si="49"/>
        <v>0</v>
      </c>
      <c r="G1580" t="str">
        <f>IFERROR(VLOOKUP(A1580,预留库存!A:G,7,0),0)</f>
        <v>No</v>
      </c>
      <c r="H1580">
        <f>IFERROR(VLOOKUP(A1580,预留库存!A:H,8,0),0)</f>
        <v>0</v>
      </c>
      <c r="I1580">
        <f>IFERROR(VLOOKUP(A1580,预留库存!A:F,6,0),0)</f>
        <v>23.98</v>
      </c>
      <c r="J1580">
        <f>IFERROR(VLOOKUP(A1580,库龄!B:K,9,0),0)</f>
        <v>0</v>
      </c>
      <c r="K1580">
        <f>IFERROR(VLOOKUP(A1580,库龄!B:L,10,0),0)</f>
        <v>0</v>
      </c>
      <c r="L1580">
        <f>IFERROR(VLOOKUP(A1580,库龄!B:M,11,0),0)</f>
        <v>0</v>
      </c>
      <c r="M1580">
        <f>IFERROR(VLOOKUP(A1580,库龄!B:N,12,0),0)</f>
        <v>0</v>
      </c>
      <c r="N1580">
        <f t="shared" si="50"/>
        <v>0</v>
      </c>
    </row>
    <row r="1581" spans="1:14">
      <c r="A1581" s="3" t="s">
        <v>4324</v>
      </c>
      <c r="B1581">
        <f>IFERROR(VLOOKUP(A1581,管理亚马逊库存!A:K,11,0),"")</f>
        <v>7</v>
      </c>
      <c r="C1581">
        <f>IFERROR(VLOOKUP(A1581,管理亚马逊库存!A:L,12,0),"")</f>
        <v>0</v>
      </c>
      <c r="D1581">
        <f>IFERROR(VLOOKUP(A1581,管理亚马逊库存!A:Q,17,0),"")</f>
        <v>0</v>
      </c>
      <c r="E1581">
        <f>IFERROR(VLOOKUP(A1581,管理亚马逊库存!A:R,18,0),"")</f>
        <v>0</v>
      </c>
      <c r="F1581">
        <f t="shared" si="49"/>
        <v>0</v>
      </c>
      <c r="G1581" t="str">
        <f>IFERROR(VLOOKUP(A1581,预留库存!A:G,7,0),0)</f>
        <v>No</v>
      </c>
      <c r="H1581">
        <f>IFERROR(VLOOKUP(A1581,预留库存!A:H,8,0),0)</f>
        <v>0</v>
      </c>
      <c r="I1581">
        <f>IFERROR(VLOOKUP(A1581,预留库存!A:F,6,0),0)</f>
        <v>23.98</v>
      </c>
      <c r="J1581">
        <f>IFERROR(VLOOKUP(A1581,库龄!B:K,9,0),0)</f>
        <v>0</v>
      </c>
      <c r="K1581">
        <f>IFERROR(VLOOKUP(A1581,库龄!B:L,10,0),0)</f>
        <v>0</v>
      </c>
      <c r="L1581">
        <f>IFERROR(VLOOKUP(A1581,库龄!B:M,11,0),0)</f>
        <v>0</v>
      </c>
      <c r="M1581">
        <f>IFERROR(VLOOKUP(A1581,库龄!B:N,12,0),0)</f>
        <v>0</v>
      </c>
      <c r="N1581">
        <f t="shared" si="50"/>
        <v>0</v>
      </c>
    </row>
    <row r="1582" spans="1:14">
      <c r="A1582" s="3" t="s">
        <v>4327</v>
      </c>
      <c r="B1582">
        <f>IFERROR(VLOOKUP(A1582,管理亚马逊库存!A:K,11,0),"")</f>
        <v>22</v>
      </c>
      <c r="C1582">
        <f>IFERROR(VLOOKUP(A1582,管理亚马逊库存!A:L,12,0),"")</f>
        <v>0</v>
      </c>
      <c r="D1582">
        <f>IFERROR(VLOOKUP(A1582,管理亚马逊库存!A:Q,17,0),"")</f>
        <v>0</v>
      </c>
      <c r="E1582">
        <f>IFERROR(VLOOKUP(A1582,管理亚马逊库存!A:R,18,0),"")</f>
        <v>0</v>
      </c>
      <c r="F1582">
        <f t="shared" si="49"/>
        <v>0</v>
      </c>
      <c r="G1582" t="str">
        <f>IFERROR(VLOOKUP(A1582,预留库存!A:G,7,0),0)</f>
        <v>No</v>
      </c>
      <c r="H1582">
        <f>IFERROR(VLOOKUP(A1582,预留库存!A:H,8,0),0)</f>
        <v>0</v>
      </c>
      <c r="I1582">
        <f>IFERROR(VLOOKUP(A1582,预留库存!A:F,6,0),0)</f>
        <v>23.98</v>
      </c>
      <c r="J1582">
        <f>IFERROR(VLOOKUP(A1582,库龄!B:K,9,0),0)</f>
        <v>1</v>
      </c>
      <c r="K1582">
        <f>IFERROR(VLOOKUP(A1582,库龄!B:L,10,0),0)</f>
        <v>20</v>
      </c>
      <c r="L1582">
        <f>IFERROR(VLOOKUP(A1582,库龄!B:M,11,0),0)</f>
        <v>0</v>
      </c>
      <c r="M1582">
        <f>IFERROR(VLOOKUP(A1582,库龄!B:N,12,0),0)</f>
        <v>0</v>
      </c>
      <c r="N1582">
        <f t="shared" si="50"/>
        <v>21</v>
      </c>
    </row>
    <row r="1583" spans="1:14">
      <c r="A1583" s="3" t="s">
        <v>4330</v>
      </c>
      <c r="B1583">
        <f>IFERROR(VLOOKUP(A1583,管理亚马逊库存!A:K,11,0),"")</f>
        <v>7</v>
      </c>
      <c r="C1583">
        <f>IFERROR(VLOOKUP(A1583,管理亚马逊库存!A:L,12,0),"")</f>
        <v>0</v>
      </c>
      <c r="D1583">
        <f>IFERROR(VLOOKUP(A1583,管理亚马逊库存!A:Q,17,0),"")</f>
        <v>0</v>
      </c>
      <c r="E1583">
        <f>IFERROR(VLOOKUP(A1583,管理亚马逊库存!A:R,18,0),"")</f>
        <v>0</v>
      </c>
      <c r="F1583">
        <f t="shared" si="49"/>
        <v>0</v>
      </c>
      <c r="G1583" t="str">
        <f>IFERROR(VLOOKUP(A1583,预留库存!A:G,7,0),0)</f>
        <v>No</v>
      </c>
      <c r="H1583">
        <f>IFERROR(VLOOKUP(A1583,预留库存!A:H,8,0),0)</f>
        <v>0</v>
      </c>
      <c r="I1583">
        <f>IFERROR(VLOOKUP(A1583,预留库存!A:F,6,0),0)</f>
        <v>23.98</v>
      </c>
      <c r="J1583">
        <f>IFERROR(VLOOKUP(A1583,库龄!B:K,9,0),0)</f>
        <v>4</v>
      </c>
      <c r="K1583">
        <f>IFERROR(VLOOKUP(A1583,库龄!B:L,10,0),0)</f>
        <v>2</v>
      </c>
      <c r="L1583">
        <f>IFERROR(VLOOKUP(A1583,库龄!B:M,11,0),0)</f>
        <v>0</v>
      </c>
      <c r="M1583">
        <f>IFERROR(VLOOKUP(A1583,库龄!B:N,12,0),0)</f>
        <v>0</v>
      </c>
      <c r="N1583">
        <f t="shared" si="50"/>
        <v>6</v>
      </c>
    </row>
    <row r="1584" spans="1:14">
      <c r="A1584" s="3" t="s">
        <v>4333</v>
      </c>
      <c r="B1584">
        <f>IFERROR(VLOOKUP(A1584,管理亚马逊库存!A:K,11,0),"")</f>
        <v>18</v>
      </c>
      <c r="C1584">
        <f>IFERROR(VLOOKUP(A1584,管理亚马逊库存!A:L,12,0),"")</f>
        <v>0</v>
      </c>
      <c r="D1584">
        <f>IFERROR(VLOOKUP(A1584,管理亚马逊库存!A:Q,17,0),"")</f>
        <v>0</v>
      </c>
      <c r="E1584">
        <f>IFERROR(VLOOKUP(A1584,管理亚马逊库存!A:R,18,0),"")</f>
        <v>0</v>
      </c>
      <c r="F1584">
        <f t="shared" si="49"/>
        <v>0</v>
      </c>
      <c r="G1584" t="str">
        <f>IFERROR(VLOOKUP(A1584,预留库存!A:G,7,0),0)</f>
        <v>No</v>
      </c>
      <c r="H1584">
        <f>IFERROR(VLOOKUP(A1584,预留库存!A:H,8,0),0)</f>
        <v>0</v>
      </c>
      <c r="I1584">
        <f>IFERROR(VLOOKUP(A1584,预留库存!A:F,6,0),0)</f>
        <v>23.98</v>
      </c>
      <c r="J1584">
        <f>IFERROR(VLOOKUP(A1584,库龄!B:K,9,0),0)</f>
        <v>1</v>
      </c>
      <c r="K1584">
        <f>IFERROR(VLOOKUP(A1584,库龄!B:L,10,0),0)</f>
        <v>16</v>
      </c>
      <c r="L1584">
        <f>IFERROR(VLOOKUP(A1584,库龄!B:M,11,0),0)</f>
        <v>0</v>
      </c>
      <c r="M1584">
        <f>IFERROR(VLOOKUP(A1584,库龄!B:N,12,0),0)</f>
        <v>0</v>
      </c>
      <c r="N1584">
        <f t="shared" si="50"/>
        <v>17</v>
      </c>
    </row>
    <row r="1585" spans="1:14">
      <c r="A1585" s="3" t="s">
        <v>4336</v>
      </c>
      <c r="B1585">
        <f>IFERROR(VLOOKUP(A1585,管理亚马逊库存!A:K,11,0),"")</f>
        <v>12</v>
      </c>
      <c r="C1585">
        <f>IFERROR(VLOOKUP(A1585,管理亚马逊库存!A:L,12,0),"")</f>
        <v>0</v>
      </c>
      <c r="D1585">
        <f>IFERROR(VLOOKUP(A1585,管理亚马逊库存!A:Q,17,0),"")</f>
        <v>0</v>
      </c>
      <c r="E1585">
        <f>IFERROR(VLOOKUP(A1585,管理亚马逊库存!A:R,18,0),"")</f>
        <v>0</v>
      </c>
      <c r="F1585">
        <f t="shared" si="49"/>
        <v>0</v>
      </c>
      <c r="G1585" t="str">
        <f>IFERROR(VLOOKUP(A1585,预留库存!A:G,7,0),0)</f>
        <v>No</v>
      </c>
      <c r="H1585">
        <f>IFERROR(VLOOKUP(A1585,预留库存!A:H,8,0),0)</f>
        <v>0</v>
      </c>
      <c r="I1585">
        <f>IFERROR(VLOOKUP(A1585,预留库存!A:F,6,0),0)</f>
        <v>23.98</v>
      </c>
      <c r="J1585">
        <f>IFERROR(VLOOKUP(A1585,库龄!B:K,9,0),0)</f>
        <v>5</v>
      </c>
      <c r="K1585">
        <f>IFERROR(VLOOKUP(A1585,库龄!B:L,10,0),0)</f>
        <v>7</v>
      </c>
      <c r="L1585">
        <f>IFERROR(VLOOKUP(A1585,库龄!B:M,11,0),0)</f>
        <v>0</v>
      </c>
      <c r="M1585">
        <f>IFERROR(VLOOKUP(A1585,库龄!B:N,12,0),0)</f>
        <v>0</v>
      </c>
      <c r="N1585">
        <f t="shared" si="50"/>
        <v>12</v>
      </c>
    </row>
    <row r="1586" spans="1:14">
      <c r="A1586" s="3" t="s">
        <v>4339</v>
      </c>
      <c r="B1586">
        <f>IFERROR(VLOOKUP(A1586,管理亚马逊库存!A:K,11,0),"")</f>
        <v>17</v>
      </c>
      <c r="C1586">
        <f>IFERROR(VLOOKUP(A1586,管理亚马逊库存!A:L,12,0),"")</f>
        <v>0</v>
      </c>
      <c r="D1586">
        <f>IFERROR(VLOOKUP(A1586,管理亚马逊库存!A:Q,17,0),"")</f>
        <v>0</v>
      </c>
      <c r="E1586">
        <f>IFERROR(VLOOKUP(A1586,管理亚马逊库存!A:R,18,0),"")</f>
        <v>0</v>
      </c>
      <c r="F1586">
        <f t="shared" si="49"/>
        <v>0</v>
      </c>
      <c r="G1586" t="str">
        <f>IFERROR(VLOOKUP(A1586,预留库存!A:G,7,0),0)</f>
        <v>No</v>
      </c>
      <c r="H1586">
        <f>IFERROR(VLOOKUP(A1586,预留库存!A:H,8,0),0)</f>
        <v>0</v>
      </c>
      <c r="I1586">
        <f>IFERROR(VLOOKUP(A1586,预留库存!A:F,6,0),0)</f>
        <v>23.98</v>
      </c>
      <c r="J1586">
        <f>IFERROR(VLOOKUP(A1586,库龄!B:K,9,0),0)</f>
        <v>0</v>
      </c>
      <c r="K1586">
        <f>IFERROR(VLOOKUP(A1586,库龄!B:L,10,0),0)</f>
        <v>0</v>
      </c>
      <c r="L1586">
        <f>IFERROR(VLOOKUP(A1586,库龄!B:M,11,0),0)</f>
        <v>0</v>
      </c>
      <c r="M1586">
        <f>IFERROR(VLOOKUP(A1586,库龄!B:N,12,0),0)</f>
        <v>0</v>
      </c>
      <c r="N1586">
        <f t="shared" si="50"/>
        <v>0</v>
      </c>
    </row>
    <row r="1587" spans="1:14">
      <c r="A1587" s="3" t="s">
        <v>4342</v>
      </c>
      <c r="B1587">
        <f>IFERROR(VLOOKUP(A1587,管理亚马逊库存!A:K,11,0),"")</f>
        <v>28</v>
      </c>
      <c r="C1587">
        <f>IFERROR(VLOOKUP(A1587,管理亚马逊库存!A:L,12,0),"")</f>
        <v>0</v>
      </c>
      <c r="D1587">
        <f>IFERROR(VLOOKUP(A1587,管理亚马逊库存!A:Q,17,0),"")</f>
        <v>0</v>
      </c>
      <c r="E1587">
        <f>IFERROR(VLOOKUP(A1587,管理亚马逊库存!A:R,18,0),"")</f>
        <v>0</v>
      </c>
      <c r="F1587">
        <f t="shared" si="49"/>
        <v>0</v>
      </c>
      <c r="G1587" t="str">
        <f>IFERROR(VLOOKUP(A1587,预留库存!A:G,7,0),0)</f>
        <v>No</v>
      </c>
      <c r="H1587">
        <f>IFERROR(VLOOKUP(A1587,预留库存!A:H,8,0),0)</f>
        <v>0</v>
      </c>
      <c r="I1587">
        <f>IFERROR(VLOOKUP(A1587,预留库存!A:F,6,0),0)</f>
        <v>23.98</v>
      </c>
      <c r="J1587">
        <f>IFERROR(VLOOKUP(A1587,库龄!B:K,9,0),0)</f>
        <v>0</v>
      </c>
      <c r="K1587">
        <f>IFERROR(VLOOKUP(A1587,库龄!B:L,10,0),0)</f>
        <v>0</v>
      </c>
      <c r="L1587">
        <f>IFERROR(VLOOKUP(A1587,库龄!B:M,11,0),0)</f>
        <v>0</v>
      </c>
      <c r="M1587">
        <f>IFERROR(VLOOKUP(A1587,库龄!B:N,12,0),0)</f>
        <v>0</v>
      </c>
      <c r="N1587">
        <f t="shared" si="50"/>
        <v>0</v>
      </c>
    </row>
    <row r="1588" spans="1:14">
      <c r="A1588" s="3" t="s">
        <v>4345</v>
      </c>
      <c r="B1588">
        <f>IFERROR(VLOOKUP(A1588,管理亚马逊库存!A:K,11,0),"")</f>
        <v>9</v>
      </c>
      <c r="C1588">
        <f>IFERROR(VLOOKUP(A1588,管理亚马逊库存!A:L,12,0),"")</f>
        <v>0</v>
      </c>
      <c r="D1588">
        <f>IFERROR(VLOOKUP(A1588,管理亚马逊库存!A:Q,17,0),"")</f>
        <v>0</v>
      </c>
      <c r="E1588">
        <f>IFERROR(VLOOKUP(A1588,管理亚马逊库存!A:R,18,0),"")</f>
        <v>0</v>
      </c>
      <c r="F1588">
        <f t="shared" si="49"/>
        <v>0</v>
      </c>
      <c r="G1588" t="str">
        <f>IFERROR(VLOOKUP(A1588,预留库存!A:G,7,0),0)</f>
        <v>No</v>
      </c>
      <c r="H1588">
        <f>IFERROR(VLOOKUP(A1588,预留库存!A:H,8,0),0)</f>
        <v>0</v>
      </c>
      <c r="I1588">
        <f>IFERROR(VLOOKUP(A1588,预留库存!A:F,6,0),0)</f>
        <v>23.98</v>
      </c>
      <c r="J1588">
        <f>IFERROR(VLOOKUP(A1588,库龄!B:K,9,0),0)</f>
        <v>0</v>
      </c>
      <c r="K1588">
        <f>IFERROR(VLOOKUP(A1588,库龄!B:L,10,0),0)</f>
        <v>0</v>
      </c>
      <c r="L1588">
        <f>IFERROR(VLOOKUP(A1588,库龄!B:M,11,0),0)</f>
        <v>0</v>
      </c>
      <c r="M1588">
        <f>IFERROR(VLOOKUP(A1588,库龄!B:N,12,0),0)</f>
        <v>0</v>
      </c>
      <c r="N1588">
        <f t="shared" si="50"/>
        <v>0</v>
      </c>
    </row>
    <row r="1589" spans="1:14">
      <c r="A1589" s="3" t="s">
        <v>4348</v>
      </c>
      <c r="B1589">
        <f>IFERROR(VLOOKUP(A1589,管理亚马逊库存!A:K,11,0),"")</f>
        <v>26</v>
      </c>
      <c r="C1589">
        <f>IFERROR(VLOOKUP(A1589,管理亚马逊库存!A:L,12,0),"")</f>
        <v>0</v>
      </c>
      <c r="D1589">
        <f>IFERROR(VLOOKUP(A1589,管理亚马逊库存!A:Q,17,0),"")</f>
        <v>0</v>
      </c>
      <c r="E1589">
        <f>IFERROR(VLOOKUP(A1589,管理亚马逊库存!A:R,18,0),"")</f>
        <v>0</v>
      </c>
      <c r="F1589">
        <f t="shared" si="49"/>
        <v>0</v>
      </c>
      <c r="G1589" t="str">
        <f>IFERROR(VLOOKUP(A1589,预留库存!A:G,7,0),0)</f>
        <v>No</v>
      </c>
      <c r="H1589">
        <f>IFERROR(VLOOKUP(A1589,预留库存!A:H,8,0),0)</f>
        <v>0</v>
      </c>
      <c r="I1589">
        <f>IFERROR(VLOOKUP(A1589,预留库存!A:F,6,0),0)</f>
        <v>23.98</v>
      </c>
      <c r="J1589">
        <f>IFERROR(VLOOKUP(A1589,库龄!B:K,9,0),0)</f>
        <v>0</v>
      </c>
      <c r="K1589">
        <f>IFERROR(VLOOKUP(A1589,库龄!B:L,10,0),0)</f>
        <v>0</v>
      </c>
      <c r="L1589">
        <f>IFERROR(VLOOKUP(A1589,库龄!B:M,11,0),0)</f>
        <v>0</v>
      </c>
      <c r="M1589">
        <f>IFERROR(VLOOKUP(A1589,库龄!B:N,12,0),0)</f>
        <v>0</v>
      </c>
      <c r="N1589">
        <f t="shared" si="50"/>
        <v>0</v>
      </c>
    </row>
    <row r="1590" spans="1:14">
      <c r="A1590" s="3" t="s">
        <v>4351</v>
      </c>
      <c r="B1590">
        <f>IFERROR(VLOOKUP(A1590,管理亚马逊库存!A:K,11,0),"")</f>
        <v>24</v>
      </c>
      <c r="C1590">
        <f>IFERROR(VLOOKUP(A1590,管理亚马逊库存!A:L,12,0),"")</f>
        <v>0</v>
      </c>
      <c r="D1590">
        <f>IFERROR(VLOOKUP(A1590,管理亚马逊库存!A:Q,17,0),"")</f>
        <v>0</v>
      </c>
      <c r="E1590">
        <f>IFERROR(VLOOKUP(A1590,管理亚马逊库存!A:R,18,0),"")</f>
        <v>0</v>
      </c>
      <c r="F1590">
        <f t="shared" si="49"/>
        <v>0</v>
      </c>
      <c r="G1590" t="str">
        <f>IFERROR(VLOOKUP(A1590,预留库存!A:G,7,0),0)</f>
        <v>No</v>
      </c>
      <c r="H1590">
        <f>IFERROR(VLOOKUP(A1590,预留库存!A:H,8,0),0)</f>
        <v>0</v>
      </c>
      <c r="I1590">
        <f>IFERROR(VLOOKUP(A1590,预留库存!A:F,6,0),0)</f>
        <v>23.98</v>
      </c>
      <c r="J1590">
        <f>IFERROR(VLOOKUP(A1590,库龄!B:K,9,0),0)</f>
        <v>0</v>
      </c>
      <c r="K1590">
        <f>IFERROR(VLOOKUP(A1590,库龄!B:L,10,0),0)</f>
        <v>0</v>
      </c>
      <c r="L1590">
        <f>IFERROR(VLOOKUP(A1590,库龄!B:M,11,0),0)</f>
        <v>0</v>
      </c>
      <c r="M1590">
        <f>IFERROR(VLOOKUP(A1590,库龄!B:N,12,0),0)</f>
        <v>0</v>
      </c>
      <c r="N1590">
        <f t="shared" si="50"/>
        <v>0</v>
      </c>
    </row>
    <row r="1591" spans="1:14">
      <c r="A1591" s="3" t="s">
        <v>4354</v>
      </c>
      <c r="B1591">
        <f>IFERROR(VLOOKUP(A1591,管理亚马逊库存!A:K,11,0),"")</f>
        <v>11</v>
      </c>
      <c r="C1591">
        <f>IFERROR(VLOOKUP(A1591,管理亚马逊库存!A:L,12,0),"")</f>
        <v>0</v>
      </c>
      <c r="D1591">
        <f>IFERROR(VLOOKUP(A1591,管理亚马逊库存!A:Q,17,0),"")</f>
        <v>0</v>
      </c>
      <c r="E1591">
        <f>IFERROR(VLOOKUP(A1591,管理亚马逊库存!A:R,18,0),"")</f>
        <v>0</v>
      </c>
      <c r="F1591">
        <f t="shared" si="49"/>
        <v>0</v>
      </c>
      <c r="G1591" t="str">
        <f>IFERROR(VLOOKUP(A1591,预留库存!A:G,7,0),0)</f>
        <v>No</v>
      </c>
      <c r="H1591">
        <f>IFERROR(VLOOKUP(A1591,预留库存!A:H,8,0),0)</f>
        <v>0</v>
      </c>
      <c r="I1591">
        <f>IFERROR(VLOOKUP(A1591,预留库存!A:F,6,0),0)</f>
        <v>23.98</v>
      </c>
      <c r="J1591">
        <f>IFERROR(VLOOKUP(A1591,库龄!B:K,9,0),0)</f>
        <v>0</v>
      </c>
      <c r="K1591">
        <f>IFERROR(VLOOKUP(A1591,库龄!B:L,10,0),0)</f>
        <v>0</v>
      </c>
      <c r="L1591">
        <f>IFERROR(VLOOKUP(A1591,库龄!B:M,11,0),0)</f>
        <v>0</v>
      </c>
      <c r="M1591">
        <f>IFERROR(VLOOKUP(A1591,库龄!B:N,12,0),0)</f>
        <v>0</v>
      </c>
      <c r="N1591">
        <f t="shared" si="50"/>
        <v>0</v>
      </c>
    </row>
    <row r="1592" spans="1:14">
      <c r="A1592" s="3" t="s">
        <v>4357</v>
      </c>
      <c r="B1592">
        <f>IFERROR(VLOOKUP(A1592,管理亚马逊库存!A:K,11,0),"")</f>
        <v>5</v>
      </c>
      <c r="C1592">
        <f>IFERROR(VLOOKUP(A1592,管理亚马逊库存!A:L,12,0),"")</f>
        <v>0</v>
      </c>
      <c r="D1592">
        <f>IFERROR(VLOOKUP(A1592,管理亚马逊库存!A:Q,17,0),"")</f>
        <v>0</v>
      </c>
      <c r="E1592">
        <f>IFERROR(VLOOKUP(A1592,管理亚马逊库存!A:R,18,0),"")</f>
        <v>0</v>
      </c>
      <c r="F1592">
        <f t="shared" si="49"/>
        <v>0</v>
      </c>
      <c r="G1592" t="str">
        <f>IFERROR(VLOOKUP(A1592,预留库存!A:G,7,0),0)</f>
        <v>No</v>
      </c>
      <c r="H1592">
        <f>IFERROR(VLOOKUP(A1592,预留库存!A:H,8,0),0)</f>
        <v>0</v>
      </c>
      <c r="I1592">
        <f>IFERROR(VLOOKUP(A1592,预留库存!A:F,6,0),0)</f>
        <v>23.98</v>
      </c>
      <c r="J1592">
        <f>IFERROR(VLOOKUP(A1592,库龄!B:K,9,0),0)</f>
        <v>2</v>
      </c>
      <c r="K1592">
        <f>IFERROR(VLOOKUP(A1592,库龄!B:L,10,0),0)</f>
        <v>0</v>
      </c>
      <c r="L1592">
        <f>IFERROR(VLOOKUP(A1592,库龄!B:M,11,0),0)</f>
        <v>0</v>
      </c>
      <c r="M1592">
        <f>IFERROR(VLOOKUP(A1592,库龄!B:N,12,0),0)</f>
        <v>0</v>
      </c>
      <c r="N1592">
        <f t="shared" si="50"/>
        <v>2</v>
      </c>
    </row>
    <row r="1593" spans="1:14">
      <c r="A1593" s="3" t="s">
        <v>4360</v>
      </c>
      <c r="B1593">
        <f>IFERROR(VLOOKUP(A1593,管理亚马逊库存!A:K,11,0),"")</f>
        <v>25</v>
      </c>
      <c r="C1593">
        <f>IFERROR(VLOOKUP(A1593,管理亚马逊库存!A:L,12,0),"")</f>
        <v>0</v>
      </c>
      <c r="D1593">
        <f>IFERROR(VLOOKUP(A1593,管理亚马逊库存!A:Q,17,0),"")</f>
        <v>0</v>
      </c>
      <c r="E1593">
        <f>IFERROR(VLOOKUP(A1593,管理亚马逊库存!A:R,18,0),"")</f>
        <v>0</v>
      </c>
      <c r="F1593">
        <f t="shared" si="49"/>
        <v>0</v>
      </c>
      <c r="G1593" t="str">
        <f>IFERROR(VLOOKUP(A1593,预留库存!A:G,7,0),0)</f>
        <v>No</v>
      </c>
      <c r="H1593">
        <f>IFERROR(VLOOKUP(A1593,预留库存!A:H,8,0),0)</f>
        <v>0</v>
      </c>
      <c r="I1593">
        <f>IFERROR(VLOOKUP(A1593,预留库存!A:F,6,0),0)</f>
        <v>23.98</v>
      </c>
      <c r="J1593">
        <f>IFERROR(VLOOKUP(A1593,库龄!B:K,9,0),0)</f>
        <v>0</v>
      </c>
      <c r="K1593">
        <f>IFERROR(VLOOKUP(A1593,库龄!B:L,10,0),0)</f>
        <v>0</v>
      </c>
      <c r="L1593">
        <f>IFERROR(VLOOKUP(A1593,库龄!B:M,11,0),0)</f>
        <v>0</v>
      </c>
      <c r="M1593">
        <f>IFERROR(VLOOKUP(A1593,库龄!B:N,12,0),0)</f>
        <v>0</v>
      </c>
      <c r="N1593">
        <f t="shared" si="50"/>
        <v>0</v>
      </c>
    </row>
    <row r="1594" spans="1:14">
      <c r="A1594" s="3" t="s">
        <v>4363</v>
      </c>
      <c r="B1594">
        <f>IFERROR(VLOOKUP(A1594,管理亚马逊库存!A:K,11,0),"")</f>
        <v>4</v>
      </c>
      <c r="C1594">
        <f>IFERROR(VLOOKUP(A1594,管理亚马逊库存!A:L,12,0),"")</f>
        <v>0</v>
      </c>
      <c r="D1594">
        <f>IFERROR(VLOOKUP(A1594,管理亚马逊库存!A:Q,17,0),"")</f>
        <v>0</v>
      </c>
      <c r="E1594">
        <f>IFERROR(VLOOKUP(A1594,管理亚马逊库存!A:R,18,0),"")</f>
        <v>0</v>
      </c>
      <c r="F1594">
        <f t="shared" si="49"/>
        <v>0</v>
      </c>
      <c r="G1594" t="str">
        <f>IFERROR(VLOOKUP(A1594,预留库存!A:G,7,0),0)</f>
        <v>No</v>
      </c>
      <c r="H1594">
        <f>IFERROR(VLOOKUP(A1594,预留库存!A:H,8,0),0)</f>
        <v>0</v>
      </c>
      <c r="I1594">
        <f>IFERROR(VLOOKUP(A1594,预留库存!A:F,6,0),0)</f>
        <v>22.98</v>
      </c>
      <c r="J1594">
        <f>IFERROR(VLOOKUP(A1594,库龄!B:K,9,0),0)</f>
        <v>0</v>
      </c>
      <c r="K1594">
        <f>IFERROR(VLOOKUP(A1594,库龄!B:L,10,0),0)</f>
        <v>0</v>
      </c>
      <c r="L1594">
        <f>IFERROR(VLOOKUP(A1594,库龄!B:M,11,0),0)</f>
        <v>0</v>
      </c>
      <c r="M1594">
        <f>IFERROR(VLOOKUP(A1594,库龄!B:N,12,0),0)</f>
        <v>0</v>
      </c>
      <c r="N1594">
        <f t="shared" si="50"/>
        <v>0</v>
      </c>
    </row>
    <row r="1595" spans="1:14">
      <c r="A1595" s="3" t="s">
        <v>4366</v>
      </c>
      <c r="B1595">
        <f>IFERROR(VLOOKUP(A1595,管理亚马逊库存!A:K,11,0),"")</f>
        <v>3</v>
      </c>
      <c r="C1595">
        <f>IFERROR(VLOOKUP(A1595,管理亚马逊库存!A:L,12,0),"")</f>
        <v>0</v>
      </c>
      <c r="D1595">
        <f>IFERROR(VLOOKUP(A1595,管理亚马逊库存!A:Q,17,0),"")</f>
        <v>0</v>
      </c>
      <c r="E1595">
        <f>IFERROR(VLOOKUP(A1595,管理亚马逊库存!A:R,18,0),"")</f>
        <v>0</v>
      </c>
      <c r="F1595">
        <f t="shared" si="49"/>
        <v>0</v>
      </c>
      <c r="G1595" t="str">
        <f>IFERROR(VLOOKUP(A1595,预留库存!A:G,7,0),0)</f>
        <v>No</v>
      </c>
      <c r="H1595">
        <f>IFERROR(VLOOKUP(A1595,预留库存!A:H,8,0),0)</f>
        <v>0</v>
      </c>
      <c r="I1595">
        <f>IFERROR(VLOOKUP(A1595,预留库存!A:F,6,0),0)</f>
        <v>22.98</v>
      </c>
      <c r="J1595">
        <f>IFERROR(VLOOKUP(A1595,库龄!B:K,9,0),0)</f>
        <v>3</v>
      </c>
      <c r="K1595">
        <f>IFERROR(VLOOKUP(A1595,库龄!B:L,10,0),0)</f>
        <v>0</v>
      </c>
      <c r="L1595">
        <f>IFERROR(VLOOKUP(A1595,库龄!B:M,11,0),0)</f>
        <v>0</v>
      </c>
      <c r="M1595">
        <f>IFERROR(VLOOKUP(A1595,库龄!B:N,12,0),0)</f>
        <v>0</v>
      </c>
      <c r="N1595">
        <f t="shared" si="50"/>
        <v>3</v>
      </c>
    </row>
    <row r="1596" spans="1:14">
      <c r="A1596" s="3" t="s">
        <v>4367</v>
      </c>
      <c r="B1596">
        <f>IFERROR(VLOOKUP(A1596,管理亚马逊库存!A:K,11,0),"")</f>
        <v>1</v>
      </c>
      <c r="C1596">
        <f>IFERROR(VLOOKUP(A1596,管理亚马逊库存!A:L,12,0),"")</f>
        <v>0</v>
      </c>
      <c r="D1596">
        <f>IFERROR(VLOOKUP(A1596,管理亚马逊库存!A:Q,17,0),"")</f>
        <v>0</v>
      </c>
      <c r="E1596">
        <f>IFERROR(VLOOKUP(A1596,管理亚马逊库存!A:R,18,0),"")</f>
        <v>0</v>
      </c>
      <c r="F1596">
        <f t="shared" si="49"/>
        <v>0</v>
      </c>
      <c r="G1596" t="str">
        <f>IFERROR(VLOOKUP(A1596,预留库存!A:G,7,0),0)</f>
        <v>No</v>
      </c>
      <c r="H1596">
        <f>IFERROR(VLOOKUP(A1596,预留库存!A:H,8,0),0)</f>
        <v>0</v>
      </c>
      <c r="I1596">
        <f>IFERROR(VLOOKUP(A1596,预留库存!A:F,6,0),0)</f>
        <v>22.98</v>
      </c>
      <c r="J1596">
        <f>IFERROR(VLOOKUP(A1596,库龄!B:K,9,0),0)</f>
        <v>0</v>
      </c>
      <c r="K1596">
        <f>IFERROR(VLOOKUP(A1596,库龄!B:L,10,0),0)</f>
        <v>0</v>
      </c>
      <c r="L1596">
        <f>IFERROR(VLOOKUP(A1596,库龄!B:M,11,0),0)</f>
        <v>0</v>
      </c>
      <c r="M1596">
        <f>IFERROR(VLOOKUP(A1596,库龄!B:N,12,0),0)</f>
        <v>0</v>
      </c>
      <c r="N1596">
        <f t="shared" si="50"/>
        <v>0</v>
      </c>
    </row>
    <row r="1597" spans="1:14">
      <c r="A1597" s="3" t="s">
        <v>4368</v>
      </c>
      <c r="B1597">
        <f>IFERROR(VLOOKUP(A1597,管理亚马逊库存!A:K,11,0),"")</f>
        <v>0</v>
      </c>
      <c r="C1597">
        <f>IFERROR(VLOOKUP(A1597,管理亚马逊库存!A:L,12,0),"")</f>
        <v>0</v>
      </c>
      <c r="D1597">
        <f>IFERROR(VLOOKUP(A1597,管理亚马逊库存!A:Q,17,0),"")</f>
        <v>0</v>
      </c>
      <c r="E1597">
        <f>IFERROR(VLOOKUP(A1597,管理亚马逊库存!A:R,18,0),"")</f>
        <v>0</v>
      </c>
      <c r="F1597">
        <f t="shared" si="49"/>
        <v>0</v>
      </c>
      <c r="G1597" t="str">
        <f>IFERROR(VLOOKUP(A1597,预留库存!A:G,7,0),0)</f>
        <v>No</v>
      </c>
      <c r="H1597">
        <f>IFERROR(VLOOKUP(A1597,预留库存!A:H,8,0),0)</f>
        <v>0</v>
      </c>
      <c r="I1597">
        <f>IFERROR(VLOOKUP(A1597,预留库存!A:F,6,0),0)</f>
        <v>22.98</v>
      </c>
      <c r="J1597">
        <f>IFERROR(VLOOKUP(A1597,库龄!B:K,9,0),0)</f>
        <v>1</v>
      </c>
      <c r="K1597">
        <f>IFERROR(VLOOKUP(A1597,库龄!B:L,10,0),0)</f>
        <v>0</v>
      </c>
      <c r="L1597">
        <f>IFERROR(VLOOKUP(A1597,库龄!B:M,11,0),0)</f>
        <v>0</v>
      </c>
      <c r="M1597">
        <f>IFERROR(VLOOKUP(A1597,库龄!B:N,12,0),0)</f>
        <v>0</v>
      </c>
      <c r="N1597">
        <f t="shared" si="50"/>
        <v>1</v>
      </c>
    </row>
    <row r="1598" spans="1:14">
      <c r="A1598" s="3" t="s">
        <v>4369</v>
      </c>
      <c r="B1598">
        <f>IFERROR(VLOOKUP(A1598,管理亚马逊库存!A:K,11,0),"")</f>
        <v>0</v>
      </c>
      <c r="C1598">
        <f>IFERROR(VLOOKUP(A1598,管理亚马逊库存!A:L,12,0),"")</f>
        <v>0</v>
      </c>
      <c r="D1598">
        <f>IFERROR(VLOOKUP(A1598,管理亚马逊库存!A:Q,17,0),"")</f>
        <v>0</v>
      </c>
      <c r="E1598">
        <f>IFERROR(VLOOKUP(A1598,管理亚马逊库存!A:R,18,0),"")</f>
        <v>0</v>
      </c>
      <c r="F1598">
        <f t="shared" si="49"/>
        <v>0</v>
      </c>
      <c r="G1598">
        <f>IFERROR(VLOOKUP(A1598,预留库存!A:G,7,0),0)</f>
        <v>0</v>
      </c>
      <c r="H1598">
        <f>IFERROR(VLOOKUP(A1598,预留库存!A:H,8,0),0)</f>
        <v>0</v>
      </c>
      <c r="I1598">
        <f>IFERROR(VLOOKUP(A1598,预留库存!A:F,6,0),0)</f>
        <v>0</v>
      </c>
      <c r="J1598">
        <f>IFERROR(VLOOKUP(A1598,库龄!B:K,9,0),0)</f>
        <v>0</v>
      </c>
      <c r="K1598">
        <f>IFERROR(VLOOKUP(A1598,库龄!B:L,10,0),0)</f>
        <v>0</v>
      </c>
      <c r="L1598">
        <f>IFERROR(VLOOKUP(A1598,库龄!B:M,11,0),0)</f>
        <v>0</v>
      </c>
      <c r="M1598">
        <f>IFERROR(VLOOKUP(A1598,库龄!B:N,12,0),0)</f>
        <v>0</v>
      </c>
      <c r="N1598">
        <f t="shared" si="50"/>
        <v>0</v>
      </c>
    </row>
    <row r="1599" spans="1:14">
      <c r="A1599" s="3" t="s">
        <v>4370</v>
      </c>
      <c r="B1599">
        <f>IFERROR(VLOOKUP(A1599,管理亚马逊库存!A:K,11,0),"")</f>
        <v>0</v>
      </c>
      <c r="C1599">
        <f>IFERROR(VLOOKUP(A1599,管理亚马逊库存!A:L,12,0),"")</f>
        <v>0</v>
      </c>
      <c r="D1599">
        <f>IFERROR(VLOOKUP(A1599,管理亚马逊库存!A:Q,17,0),"")</f>
        <v>0</v>
      </c>
      <c r="E1599">
        <f>IFERROR(VLOOKUP(A1599,管理亚马逊库存!A:R,18,0),"")</f>
        <v>0</v>
      </c>
      <c r="F1599">
        <f t="shared" si="49"/>
        <v>0</v>
      </c>
      <c r="G1599" t="str">
        <f>IFERROR(VLOOKUP(A1599,预留库存!A:G,7,0),0)</f>
        <v>No</v>
      </c>
      <c r="H1599">
        <f>IFERROR(VLOOKUP(A1599,预留库存!A:H,8,0),0)</f>
        <v>0</v>
      </c>
      <c r="I1599">
        <f>IFERROR(VLOOKUP(A1599,预留库存!A:F,6,0),0)</f>
        <v>22.98</v>
      </c>
      <c r="J1599">
        <f>IFERROR(VLOOKUP(A1599,库龄!B:K,9,0),0)</f>
        <v>0</v>
      </c>
      <c r="K1599">
        <f>IFERROR(VLOOKUP(A1599,库龄!B:L,10,0),0)</f>
        <v>0</v>
      </c>
      <c r="L1599">
        <f>IFERROR(VLOOKUP(A1599,库龄!B:M,11,0),0)</f>
        <v>0</v>
      </c>
      <c r="M1599">
        <f>IFERROR(VLOOKUP(A1599,库龄!B:N,12,0),0)</f>
        <v>0</v>
      </c>
      <c r="N1599">
        <f t="shared" si="50"/>
        <v>0</v>
      </c>
    </row>
    <row r="1600" spans="1:14">
      <c r="A1600" s="3" t="s">
        <v>4371</v>
      </c>
      <c r="B1600">
        <f>IFERROR(VLOOKUP(A1600,管理亚马逊库存!A:K,11,0),"")</f>
        <v>6</v>
      </c>
      <c r="C1600">
        <f>IFERROR(VLOOKUP(A1600,管理亚马逊库存!A:L,12,0),"")</f>
        <v>0</v>
      </c>
      <c r="D1600">
        <f>IFERROR(VLOOKUP(A1600,管理亚马逊库存!A:Q,17,0),"")</f>
        <v>0</v>
      </c>
      <c r="E1600">
        <f>IFERROR(VLOOKUP(A1600,管理亚马逊库存!A:R,18,0),"")</f>
        <v>0</v>
      </c>
      <c r="F1600">
        <f t="shared" si="49"/>
        <v>0</v>
      </c>
      <c r="G1600" t="str">
        <f>IFERROR(VLOOKUP(A1600,预留库存!A:G,7,0),0)</f>
        <v>No</v>
      </c>
      <c r="H1600">
        <f>IFERROR(VLOOKUP(A1600,预留库存!A:H,8,0),0)</f>
        <v>0</v>
      </c>
      <c r="I1600">
        <f>IFERROR(VLOOKUP(A1600,预留库存!A:F,6,0),0)</f>
        <v>22.98</v>
      </c>
      <c r="J1600">
        <f>IFERROR(VLOOKUP(A1600,库龄!B:K,9,0),0)</f>
        <v>5</v>
      </c>
      <c r="K1600">
        <f>IFERROR(VLOOKUP(A1600,库龄!B:L,10,0),0)</f>
        <v>0</v>
      </c>
      <c r="L1600">
        <f>IFERROR(VLOOKUP(A1600,库龄!B:M,11,0),0)</f>
        <v>0</v>
      </c>
      <c r="M1600">
        <f>IFERROR(VLOOKUP(A1600,库龄!B:N,12,0),0)</f>
        <v>0</v>
      </c>
      <c r="N1600">
        <f t="shared" si="50"/>
        <v>5</v>
      </c>
    </row>
    <row r="1601" spans="1:14">
      <c r="A1601" s="3" t="s">
        <v>4372</v>
      </c>
      <c r="B1601">
        <f>IFERROR(VLOOKUP(A1601,管理亚马逊库存!A:K,11,0),"")</f>
        <v>3</v>
      </c>
      <c r="C1601">
        <f>IFERROR(VLOOKUP(A1601,管理亚马逊库存!A:L,12,0),"")</f>
        <v>0</v>
      </c>
      <c r="D1601">
        <f>IFERROR(VLOOKUP(A1601,管理亚马逊库存!A:Q,17,0),"")</f>
        <v>0</v>
      </c>
      <c r="E1601">
        <f>IFERROR(VLOOKUP(A1601,管理亚马逊库存!A:R,18,0),"")</f>
        <v>0</v>
      </c>
      <c r="F1601">
        <f t="shared" si="49"/>
        <v>0</v>
      </c>
      <c r="G1601" t="str">
        <f>IFERROR(VLOOKUP(A1601,预留库存!A:G,7,0),0)</f>
        <v>No</v>
      </c>
      <c r="H1601">
        <f>IFERROR(VLOOKUP(A1601,预留库存!A:H,8,0),0)</f>
        <v>0</v>
      </c>
      <c r="I1601">
        <f>IFERROR(VLOOKUP(A1601,预留库存!A:F,6,0),0)</f>
        <v>22.98</v>
      </c>
      <c r="J1601">
        <f>IFERROR(VLOOKUP(A1601,库龄!B:K,9,0),0)</f>
        <v>1</v>
      </c>
      <c r="K1601">
        <f>IFERROR(VLOOKUP(A1601,库龄!B:L,10,0),0)</f>
        <v>2</v>
      </c>
      <c r="L1601">
        <f>IFERROR(VLOOKUP(A1601,库龄!B:M,11,0),0)</f>
        <v>0</v>
      </c>
      <c r="M1601">
        <f>IFERROR(VLOOKUP(A1601,库龄!B:N,12,0),0)</f>
        <v>0</v>
      </c>
      <c r="N1601">
        <f t="shared" si="50"/>
        <v>3</v>
      </c>
    </row>
    <row r="1602" spans="1:14">
      <c r="A1602" s="3" t="s">
        <v>4373</v>
      </c>
      <c r="B1602">
        <f>IFERROR(VLOOKUP(A1602,管理亚马逊库存!A:K,11,0),"")</f>
        <v>15</v>
      </c>
      <c r="C1602">
        <f>IFERROR(VLOOKUP(A1602,管理亚马逊库存!A:L,12,0),"")</f>
        <v>0</v>
      </c>
      <c r="D1602">
        <f>IFERROR(VLOOKUP(A1602,管理亚马逊库存!A:Q,17,0),"")</f>
        <v>0</v>
      </c>
      <c r="E1602">
        <f>IFERROR(VLOOKUP(A1602,管理亚马逊库存!A:R,18,0),"")</f>
        <v>0</v>
      </c>
      <c r="F1602">
        <f t="shared" si="49"/>
        <v>0</v>
      </c>
      <c r="G1602" t="str">
        <f>IFERROR(VLOOKUP(A1602,预留库存!A:G,7,0),0)</f>
        <v>No</v>
      </c>
      <c r="H1602">
        <f>IFERROR(VLOOKUP(A1602,预留库存!A:H,8,0),0)</f>
        <v>0</v>
      </c>
      <c r="I1602">
        <f>IFERROR(VLOOKUP(A1602,预留库存!A:F,6,0),0)</f>
        <v>22.98</v>
      </c>
      <c r="J1602">
        <f>IFERROR(VLOOKUP(A1602,库龄!B:K,9,0),0)</f>
        <v>2</v>
      </c>
      <c r="K1602">
        <f>IFERROR(VLOOKUP(A1602,库龄!B:L,10,0),0)</f>
        <v>12</v>
      </c>
      <c r="L1602">
        <f>IFERROR(VLOOKUP(A1602,库龄!B:M,11,0),0)</f>
        <v>0</v>
      </c>
      <c r="M1602">
        <f>IFERROR(VLOOKUP(A1602,库龄!B:N,12,0),0)</f>
        <v>0</v>
      </c>
      <c r="N1602">
        <f t="shared" si="50"/>
        <v>14</v>
      </c>
    </row>
    <row r="1603" spans="1:14">
      <c r="A1603" s="3" t="s">
        <v>4374</v>
      </c>
      <c r="B1603">
        <f>IFERROR(VLOOKUP(A1603,管理亚马逊库存!A:K,11,0),"")</f>
        <v>11</v>
      </c>
      <c r="C1603">
        <f>IFERROR(VLOOKUP(A1603,管理亚马逊库存!A:L,12,0),"")</f>
        <v>0</v>
      </c>
      <c r="D1603">
        <f>IFERROR(VLOOKUP(A1603,管理亚马逊库存!A:Q,17,0),"")</f>
        <v>0</v>
      </c>
      <c r="E1603">
        <f>IFERROR(VLOOKUP(A1603,管理亚马逊库存!A:R,18,0),"")</f>
        <v>0</v>
      </c>
      <c r="F1603">
        <f t="shared" ref="F1603:F1666" si="51">SUM(D1603:E1603)</f>
        <v>0</v>
      </c>
      <c r="G1603" t="str">
        <f>IFERROR(VLOOKUP(A1603,预留库存!A:G,7,0),0)</f>
        <v>No</v>
      </c>
      <c r="H1603">
        <f>IFERROR(VLOOKUP(A1603,预留库存!A:H,8,0),0)</f>
        <v>0</v>
      </c>
      <c r="I1603">
        <f>IFERROR(VLOOKUP(A1603,预留库存!A:F,6,0),0)</f>
        <v>22.98</v>
      </c>
      <c r="J1603">
        <f>IFERROR(VLOOKUP(A1603,库龄!B:K,9,0),0)</f>
        <v>0</v>
      </c>
      <c r="K1603">
        <f>IFERROR(VLOOKUP(A1603,库龄!B:L,10,0),0)</f>
        <v>10</v>
      </c>
      <c r="L1603">
        <f>IFERROR(VLOOKUP(A1603,库龄!B:M,11,0),0)</f>
        <v>0</v>
      </c>
      <c r="M1603">
        <f>IFERROR(VLOOKUP(A1603,库龄!B:N,12,0),0)</f>
        <v>0</v>
      </c>
      <c r="N1603">
        <f t="shared" ref="N1603:N1666" si="52">SUM(J1603:M1603)</f>
        <v>10</v>
      </c>
    </row>
    <row r="1604" spans="1:14">
      <c r="A1604" s="3" t="s">
        <v>4375</v>
      </c>
      <c r="B1604">
        <f>IFERROR(VLOOKUP(A1604,管理亚马逊库存!A:K,11,0),"")</f>
        <v>9</v>
      </c>
      <c r="C1604">
        <f>IFERROR(VLOOKUP(A1604,管理亚马逊库存!A:L,12,0),"")</f>
        <v>0</v>
      </c>
      <c r="D1604">
        <f>IFERROR(VLOOKUP(A1604,管理亚马逊库存!A:Q,17,0),"")</f>
        <v>0</v>
      </c>
      <c r="E1604">
        <f>IFERROR(VLOOKUP(A1604,管理亚马逊库存!A:R,18,0),"")</f>
        <v>0</v>
      </c>
      <c r="F1604">
        <f t="shared" si="51"/>
        <v>0</v>
      </c>
      <c r="G1604" t="str">
        <f>IFERROR(VLOOKUP(A1604,预留库存!A:G,7,0),0)</f>
        <v>No</v>
      </c>
      <c r="H1604">
        <f>IFERROR(VLOOKUP(A1604,预留库存!A:H,8,0),0)</f>
        <v>0</v>
      </c>
      <c r="I1604">
        <f>IFERROR(VLOOKUP(A1604,预留库存!A:F,6,0),0)</f>
        <v>22.98</v>
      </c>
      <c r="J1604">
        <f>IFERROR(VLOOKUP(A1604,库龄!B:K,9,0),0)</f>
        <v>1</v>
      </c>
      <c r="K1604">
        <f>IFERROR(VLOOKUP(A1604,库龄!B:L,10,0),0)</f>
        <v>8</v>
      </c>
      <c r="L1604">
        <f>IFERROR(VLOOKUP(A1604,库龄!B:M,11,0),0)</f>
        <v>0</v>
      </c>
      <c r="M1604">
        <f>IFERROR(VLOOKUP(A1604,库龄!B:N,12,0),0)</f>
        <v>0</v>
      </c>
      <c r="N1604">
        <f t="shared" si="52"/>
        <v>9</v>
      </c>
    </row>
    <row r="1605" spans="1:14">
      <c r="A1605" s="3" t="s">
        <v>4376</v>
      </c>
      <c r="B1605">
        <f>IFERROR(VLOOKUP(A1605,管理亚马逊库存!A:K,11,0),"")</f>
        <v>18</v>
      </c>
      <c r="C1605">
        <f>IFERROR(VLOOKUP(A1605,管理亚马逊库存!A:L,12,0),"")</f>
        <v>0</v>
      </c>
      <c r="D1605">
        <f>IFERROR(VLOOKUP(A1605,管理亚马逊库存!A:Q,17,0),"")</f>
        <v>0</v>
      </c>
      <c r="E1605">
        <f>IFERROR(VLOOKUP(A1605,管理亚马逊库存!A:R,18,0),"")</f>
        <v>0</v>
      </c>
      <c r="F1605">
        <f t="shared" si="51"/>
        <v>0</v>
      </c>
      <c r="G1605" t="str">
        <f>IFERROR(VLOOKUP(A1605,预留库存!A:G,7,0),0)</f>
        <v>No</v>
      </c>
      <c r="H1605">
        <f>IFERROR(VLOOKUP(A1605,预留库存!A:H,8,0),0)</f>
        <v>0</v>
      </c>
      <c r="I1605">
        <f>IFERROR(VLOOKUP(A1605,预留库存!A:F,6,0),0)</f>
        <v>22.98</v>
      </c>
      <c r="J1605">
        <f>IFERROR(VLOOKUP(A1605,库龄!B:K,9,0),0)</f>
        <v>1</v>
      </c>
      <c r="K1605">
        <f>IFERROR(VLOOKUP(A1605,库龄!B:L,10,0),0)</f>
        <v>17</v>
      </c>
      <c r="L1605">
        <f>IFERROR(VLOOKUP(A1605,库龄!B:M,11,0),0)</f>
        <v>0</v>
      </c>
      <c r="M1605">
        <f>IFERROR(VLOOKUP(A1605,库龄!B:N,12,0),0)</f>
        <v>0</v>
      </c>
      <c r="N1605">
        <f t="shared" si="52"/>
        <v>18</v>
      </c>
    </row>
    <row r="1606" spans="1:14">
      <c r="A1606" s="3" t="s">
        <v>4377</v>
      </c>
      <c r="B1606">
        <f>IFERROR(VLOOKUP(A1606,管理亚马逊库存!A:K,11,0),"")</f>
        <v>17</v>
      </c>
      <c r="C1606">
        <f>IFERROR(VLOOKUP(A1606,管理亚马逊库存!A:L,12,0),"")</f>
        <v>0</v>
      </c>
      <c r="D1606">
        <f>IFERROR(VLOOKUP(A1606,管理亚马逊库存!A:Q,17,0),"")</f>
        <v>0</v>
      </c>
      <c r="E1606">
        <f>IFERROR(VLOOKUP(A1606,管理亚马逊库存!A:R,18,0),"")</f>
        <v>0</v>
      </c>
      <c r="F1606">
        <f t="shared" si="51"/>
        <v>0</v>
      </c>
      <c r="G1606" t="str">
        <f>IFERROR(VLOOKUP(A1606,预留库存!A:G,7,0),0)</f>
        <v>No</v>
      </c>
      <c r="H1606">
        <f>IFERROR(VLOOKUP(A1606,预留库存!A:H,8,0),0)</f>
        <v>0</v>
      </c>
      <c r="I1606">
        <f>IFERROR(VLOOKUP(A1606,预留库存!A:F,6,0),0)</f>
        <v>22.98</v>
      </c>
      <c r="J1606">
        <f>IFERROR(VLOOKUP(A1606,库龄!B:K,9,0),0)</f>
        <v>2</v>
      </c>
      <c r="K1606">
        <f>IFERROR(VLOOKUP(A1606,库龄!B:L,10,0),0)</f>
        <v>14</v>
      </c>
      <c r="L1606">
        <f>IFERROR(VLOOKUP(A1606,库龄!B:M,11,0),0)</f>
        <v>0</v>
      </c>
      <c r="M1606">
        <f>IFERROR(VLOOKUP(A1606,库龄!B:N,12,0),0)</f>
        <v>0</v>
      </c>
      <c r="N1606">
        <f t="shared" si="52"/>
        <v>16</v>
      </c>
    </row>
    <row r="1607" spans="1:14">
      <c r="A1607" s="3" t="s">
        <v>4378</v>
      </c>
      <c r="B1607">
        <f>IFERROR(VLOOKUP(A1607,管理亚马逊库存!A:K,11,0),"")</f>
        <v>0</v>
      </c>
      <c r="C1607">
        <f>IFERROR(VLOOKUP(A1607,管理亚马逊库存!A:L,12,0),"")</f>
        <v>0</v>
      </c>
      <c r="D1607">
        <f>IFERROR(VLOOKUP(A1607,管理亚马逊库存!A:Q,17,0),"")</f>
        <v>0</v>
      </c>
      <c r="E1607">
        <f>IFERROR(VLOOKUP(A1607,管理亚马逊库存!A:R,18,0),"")</f>
        <v>0</v>
      </c>
      <c r="F1607">
        <f t="shared" si="51"/>
        <v>0</v>
      </c>
      <c r="G1607">
        <f>IFERROR(VLOOKUP(A1607,预留库存!A:G,7,0),0)</f>
        <v>0</v>
      </c>
      <c r="H1607">
        <f>IFERROR(VLOOKUP(A1607,预留库存!A:H,8,0),0)</f>
        <v>0</v>
      </c>
      <c r="I1607">
        <f>IFERROR(VLOOKUP(A1607,预留库存!A:F,6,0),0)</f>
        <v>0</v>
      </c>
      <c r="J1607">
        <f>IFERROR(VLOOKUP(A1607,库龄!B:K,9,0),0)</f>
        <v>0</v>
      </c>
      <c r="K1607">
        <f>IFERROR(VLOOKUP(A1607,库龄!B:L,10,0),0)</f>
        <v>0</v>
      </c>
      <c r="L1607">
        <f>IFERROR(VLOOKUP(A1607,库龄!B:M,11,0),0)</f>
        <v>0</v>
      </c>
      <c r="M1607">
        <f>IFERROR(VLOOKUP(A1607,库龄!B:N,12,0),0)</f>
        <v>0</v>
      </c>
      <c r="N1607">
        <f t="shared" si="52"/>
        <v>0</v>
      </c>
    </row>
    <row r="1608" spans="1:14">
      <c r="A1608" s="3" t="s">
        <v>4380</v>
      </c>
      <c r="B1608">
        <f>IFERROR(VLOOKUP(A1608,管理亚马逊库存!A:K,11,0),"")</f>
        <v>2</v>
      </c>
      <c r="C1608">
        <f>IFERROR(VLOOKUP(A1608,管理亚马逊库存!A:L,12,0),"")</f>
        <v>0</v>
      </c>
      <c r="D1608">
        <f>IFERROR(VLOOKUP(A1608,管理亚马逊库存!A:Q,17,0),"")</f>
        <v>0</v>
      </c>
      <c r="E1608">
        <f>IFERROR(VLOOKUP(A1608,管理亚马逊库存!A:R,18,0),"")</f>
        <v>0</v>
      </c>
      <c r="F1608">
        <f t="shared" si="51"/>
        <v>0</v>
      </c>
      <c r="G1608" t="str">
        <f>IFERROR(VLOOKUP(A1608,预留库存!A:G,7,0),0)</f>
        <v>No</v>
      </c>
      <c r="H1608">
        <f>IFERROR(VLOOKUP(A1608,预留库存!A:H,8,0),0)</f>
        <v>0</v>
      </c>
      <c r="I1608">
        <f>IFERROR(VLOOKUP(A1608,预留库存!A:F,6,0),0)</f>
        <v>22.98</v>
      </c>
      <c r="J1608">
        <f>IFERROR(VLOOKUP(A1608,库龄!B:K,9,0),0)</f>
        <v>0</v>
      </c>
      <c r="K1608">
        <f>IFERROR(VLOOKUP(A1608,库龄!B:L,10,0),0)</f>
        <v>0</v>
      </c>
      <c r="L1608">
        <f>IFERROR(VLOOKUP(A1608,库龄!B:M,11,0),0)</f>
        <v>0</v>
      </c>
      <c r="M1608">
        <f>IFERROR(VLOOKUP(A1608,库龄!B:N,12,0),0)</f>
        <v>0</v>
      </c>
      <c r="N1608">
        <f t="shared" si="52"/>
        <v>0</v>
      </c>
    </row>
    <row r="1609" spans="1:14">
      <c r="A1609" s="3" t="s">
        <v>4381</v>
      </c>
      <c r="B1609">
        <f>IFERROR(VLOOKUP(A1609,管理亚马逊库存!A:K,11,0),"")</f>
        <v>0</v>
      </c>
      <c r="C1609">
        <f>IFERROR(VLOOKUP(A1609,管理亚马逊库存!A:L,12,0),"")</f>
        <v>0</v>
      </c>
      <c r="D1609">
        <f>IFERROR(VLOOKUP(A1609,管理亚马逊库存!A:Q,17,0),"")</f>
        <v>0</v>
      </c>
      <c r="E1609">
        <f>IFERROR(VLOOKUP(A1609,管理亚马逊库存!A:R,18,0),"")</f>
        <v>0</v>
      </c>
      <c r="F1609">
        <f t="shared" si="51"/>
        <v>0</v>
      </c>
      <c r="G1609">
        <f>IFERROR(VLOOKUP(A1609,预留库存!A:G,7,0),0)</f>
        <v>0</v>
      </c>
      <c r="H1609">
        <f>IFERROR(VLOOKUP(A1609,预留库存!A:H,8,0),0)</f>
        <v>0</v>
      </c>
      <c r="I1609">
        <f>IFERROR(VLOOKUP(A1609,预留库存!A:F,6,0),0)</f>
        <v>0</v>
      </c>
      <c r="J1609">
        <f>IFERROR(VLOOKUP(A1609,库龄!B:K,9,0),0)</f>
        <v>0</v>
      </c>
      <c r="K1609">
        <f>IFERROR(VLOOKUP(A1609,库龄!B:L,10,0),0)</f>
        <v>0</v>
      </c>
      <c r="L1609">
        <f>IFERROR(VLOOKUP(A1609,库龄!B:M,11,0),0)</f>
        <v>0</v>
      </c>
      <c r="M1609">
        <f>IFERROR(VLOOKUP(A1609,库龄!B:N,12,0),0)</f>
        <v>0</v>
      </c>
      <c r="N1609">
        <f t="shared" si="52"/>
        <v>0</v>
      </c>
    </row>
    <row r="1610" spans="1:14">
      <c r="A1610" s="3" t="s">
        <v>4382</v>
      </c>
      <c r="B1610">
        <f>IFERROR(VLOOKUP(A1610,管理亚马逊库存!A:K,11,0),"")</f>
        <v>5</v>
      </c>
      <c r="C1610">
        <f>IFERROR(VLOOKUP(A1610,管理亚马逊库存!A:L,12,0),"")</f>
        <v>0</v>
      </c>
      <c r="D1610">
        <f>IFERROR(VLOOKUP(A1610,管理亚马逊库存!A:Q,17,0),"")</f>
        <v>0</v>
      </c>
      <c r="E1610">
        <f>IFERROR(VLOOKUP(A1610,管理亚马逊库存!A:R,18,0),"")</f>
        <v>0</v>
      </c>
      <c r="F1610">
        <f t="shared" si="51"/>
        <v>0</v>
      </c>
      <c r="G1610" t="str">
        <f>IFERROR(VLOOKUP(A1610,预留库存!A:G,7,0),0)</f>
        <v>No</v>
      </c>
      <c r="H1610">
        <f>IFERROR(VLOOKUP(A1610,预留库存!A:H,8,0),0)</f>
        <v>0</v>
      </c>
      <c r="I1610">
        <f>IFERROR(VLOOKUP(A1610,预留库存!A:F,6,0),0)</f>
        <v>22.98</v>
      </c>
      <c r="J1610">
        <f>IFERROR(VLOOKUP(A1610,库龄!B:K,9,0),0)</f>
        <v>2</v>
      </c>
      <c r="K1610">
        <f>IFERROR(VLOOKUP(A1610,库龄!B:L,10,0),0)</f>
        <v>2</v>
      </c>
      <c r="L1610">
        <f>IFERROR(VLOOKUP(A1610,库龄!B:M,11,0),0)</f>
        <v>0</v>
      </c>
      <c r="M1610">
        <f>IFERROR(VLOOKUP(A1610,库龄!B:N,12,0),0)</f>
        <v>0</v>
      </c>
      <c r="N1610">
        <f t="shared" si="52"/>
        <v>4</v>
      </c>
    </row>
    <row r="1611" spans="1:14">
      <c r="A1611" s="3" t="s">
        <v>4383</v>
      </c>
      <c r="B1611">
        <f>IFERROR(VLOOKUP(A1611,管理亚马逊库存!A:K,11,0),"")</f>
        <v>3</v>
      </c>
      <c r="C1611">
        <f>IFERROR(VLOOKUP(A1611,管理亚马逊库存!A:L,12,0),"")</f>
        <v>0</v>
      </c>
      <c r="D1611">
        <f>IFERROR(VLOOKUP(A1611,管理亚马逊库存!A:Q,17,0),"")</f>
        <v>0</v>
      </c>
      <c r="E1611">
        <f>IFERROR(VLOOKUP(A1611,管理亚马逊库存!A:R,18,0),"")</f>
        <v>0</v>
      </c>
      <c r="F1611">
        <f t="shared" si="51"/>
        <v>0</v>
      </c>
      <c r="G1611" t="str">
        <f>IFERROR(VLOOKUP(A1611,预留库存!A:G,7,0),0)</f>
        <v>No</v>
      </c>
      <c r="H1611">
        <f>IFERROR(VLOOKUP(A1611,预留库存!A:H,8,0),0)</f>
        <v>0</v>
      </c>
      <c r="I1611">
        <f>IFERROR(VLOOKUP(A1611,预留库存!A:F,6,0),0)</f>
        <v>22.98</v>
      </c>
      <c r="J1611">
        <f>IFERROR(VLOOKUP(A1611,库龄!B:K,9,0),0)</f>
        <v>0</v>
      </c>
      <c r="K1611">
        <f>IFERROR(VLOOKUP(A1611,库龄!B:L,10,0),0)</f>
        <v>0</v>
      </c>
      <c r="L1611">
        <f>IFERROR(VLOOKUP(A1611,库龄!B:M,11,0),0)</f>
        <v>0</v>
      </c>
      <c r="M1611">
        <f>IFERROR(VLOOKUP(A1611,库龄!B:N,12,0),0)</f>
        <v>0</v>
      </c>
      <c r="N1611">
        <f t="shared" si="52"/>
        <v>0</v>
      </c>
    </row>
    <row r="1612" spans="1:14">
      <c r="A1612" s="3" t="s">
        <v>4384</v>
      </c>
      <c r="B1612">
        <f>IFERROR(VLOOKUP(A1612,管理亚马逊库存!A:K,11,0),"")</f>
        <v>3</v>
      </c>
      <c r="C1612">
        <f>IFERROR(VLOOKUP(A1612,管理亚马逊库存!A:L,12,0),"")</f>
        <v>0</v>
      </c>
      <c r="D1612">
        <f>IFERROR(VLOOKUP(A1612,管理亚马逊库存!A:Q,17,0),"")</f>
        <v>0</v>
      </c>
      <c r="E1612">
        <f>IFERROR(VLOOKUP(A1612,管理亚马逊库存!A:R,18,0),"")</f>
        <v>0</v>
      </c>
      <c r="F1612">
        <f t="shared" si="51"/>
        <v>0</v>
      </c>
      <c r="G1612" t="str">
        <f>IFERROR(VLOOKUP(A1612,预留库存!A:G,7,0),0)</f>
        <v>No</v>
      </c>
      <c r="H1612">
        <f>IFERROR(VLOOKUP(A1612,预留库存!A:H,8,0),0)</f>
        <v>0</v>
      </c>
      <c r="I1612">
        <f>IFERROR(VLOOKUP(A1612,预留库存!A:F,6,0),0)</f>
        <v>22.98</v>
      </c>
      <c r="J1612">
        <f>IFERROR(VLOOKUP(A1612,库龄!B:K,9,0),0)</f>
        <v>0</v>
      </c>
      <c r="K1612">
        <f>IFERROR(VLOOKUP(A1612,库龄!B:L,10,0),0)</f>
        <v>0</v>
      </c>
      <c r="L1612">
        <f>IFERROR(VLOOKUP(A1612,库龄!B:M,11,0),0)</f>
        <v>0</v>
      </c>
      <c r="M1612">
        <f>IFERROR(VLOOKUP(A1612,库龄!B:N,12,0),0)</f>
        <v>0</v>
      </c>
      <c r="N1612">
        <f t="shared" si="52"/>
        <v>0</v>
      </c>
    </row>
    <row r="1613" spans="1:14">
      <c r="A1613" s="3" t="s">
        <v>4385</v>
      </c>
      <c r="B1613">
        <f>IFERROR(VLOOKUP(A1613,管理亚马逊库存!A:K,11,0),"")</f>
        <v>4</v>
      </c>
      <c r="C1613">
        <f>IFERROR(VLOOKUP(A1613,管理亚马逊库存!A:L,12,0),"")</f>
        <v>0</v>
      </c>
      <c r="D1613">
        <f>IFERROR(VLOOKUP(A1613,管理亚马逊库存!A:Q,17,0),"")</f>
        <v>0</v>
      </c>
      <c r="E1613">
        <f>IFERROR(VLOOKUP(A1613,管理亚马逊库存!A:R,18,0),"")</f>
        <v>0</v>
      </c>
      <c r="F1613">
        <f t="shared" si="51"/>
        <v>0</v>
      </c>
      <c r="G1613" t="str">
        <f>IFERROR(VLOOKUP(A1613,预留库存!A:G,7,0),0)</f>
        <v>No</v>
      </c>
      <c r="H1613">
        <f>IFERROR(VLOOKUP(A1613,预留库存!A:H,8,0),0)</f>
        <v>0</v>
      </c>
      <c r="I1613">
        <f>IFERROR(VLOOKUP(A1613,预留库存!A:F,6,0),0)</f>
        <v>22.98</v>
      </c>
      <c r="J1613">
        <f>IFERROR(VLOOKUP(A1613,库龄!B:K,9,0),0)</f>
        <v>1</v>
      </c>
      <c r="K1613">
        <f>IFERROR(VLOOKUP(A1613,库龄!B:L,10,0),0)</f>
        <v>3</v>
      </c>
      <c r="L1613">
        <f>IFERROR(VLOOKUP(A1613,库龄!B:M,11,0),0)</f>
        <v>0</v>
      </c>
      <c r="M1613">
        <f>IFERROR(VLOOKUP(A1613,库龄!B:N,12,0),0)</f>
        <v>0</v>
      </c>
      <c r="N1613">
        <f t="shared" si="52"/>
        <v>4</v>
      </c>
    </row>
    <row r="1614" spans="1:14">
      <c r="A1614" s="3" t="s">
        <v>4386</v>
      </c>
      <c r="B1614">
        <f>IFERROR(VLOOKUP(A1614,管理亚马逊库存!A:K,11,0),"")</f>
        <v>1</v>
      </c>
      <c r="C1614">
        <f>IFERROR(VLOOKUP(A1614,管理亚马逊库存!A:L,12,0),"")</f>
        <v>0</v>
      </c>
      <c r="D1614">
        <f>IFERROR(VLOOKUP(A1614,管理亚马逊库存!A:Q,17,0),"")</f>
        <v>0</v>
      </c>
      <c r="E1614">
        <f>IFERROR(VLOOKUP(A1614,管理亚马逊库存!A:R,18,0),"")</f>
        <v>0</v>
      </c>
      <c r="F1614">
        <f t="shared" si="51"/>
        <v>0</v>
      </c>
      <c r="G1614" t="str">
        <f>IFERROR(VLOOKUP(A1614,预留库存!A:G,7,0),0)</f>
        <v>No</v>
      </c>
      <c r="H1614">
        <f>IFERROR(VLOOKUP(A1614,预留库存!A:H,8,0),0)</f>
        <v>0</v>
      </c>
      <c r="I1614">
        <f>IFERROR(VLOOKUP(A1614,预留库存!A:F,6,0),0)</f>
        <v>22.98</v>
      </c>
      <c r="J1614">
        <f>IFERROR(VLOOKUP(A1614,库龄!B:K,9,0),0)</f>
        <v>0</v>
      </c>
      <c r="K1614">
        <f>IFERROR(VLOOKUP(A1614,库龄!B:L,10,0),0)</f>
        <v>0</v>
      </c>
      <c r="L1614">
        <f>IFERROR(VLOOKUP(A1614,库龄!B:M,11,0),0)</f>
        <v>0</v>
      </c>
      <c r="M1614">
        <f>IFERROR(VLOOKUP(A1614,库龄!B:N,12,0),0)</f>
        <v>0</v>
      </c>
      <c r="N1614">
        <f t="shared" si="52"/>
        <v>0</v>
      </c>
    </row>
    <row r="1615" spans="1:14">
      <c r="A1615" s="3" t="s">
        <v>4387</v>
      </c>
      <c r="B1615">
        <f>IFERROR(VLOOKUP(A1615,管理亚马逊库存!A:K,11,0),"")</f>
        <v>1</v>
      </c>
      <c r="C1615">
        <f>IFERROR(VLOOKUP(A1615,管理亚马逊库存!A:L,12,0),"")</f>
        <v>0</v>
      </c>
      <c r="D1615">
        <f>IFERROR(VLOOKUP(A1615,管理亚马逊库存!A:Q,17,0),"")</f>
        <v>0</v>
      </c>
      <c r="E1615">
        <f>IFERROR(VLOOKUP(A1615,管理亚马逊库存!A:R,18,0),"")</f>
        <v>0</v>
      </c>
      <c r="F1615">
        <f t="shared" si="51"/>
        <v>0</v>
      </c>
      <c r="G1615" t="str">
        <f>IFERROR(VLOOKUP(A1615,预留库存!A:G,7,0),0)</f>
        <v>No</v>
      </c>
      <c r="H1615">
        <f>IFERROR(VLOOKUP(A1615,预留库存!A:H,8,0),0)</f>
        <v>0</v>
      </c>
      <c r="I1615">
        <f>IFERROR(VLOOKUP(A1615,预留库存!A:F,6,0),0)</f>
        <v>22.98</v>
      </c>
      <c r="J1615">
        <f>IFERROR(VLOOKUP(A1615,库龄!B:K,9,0),0)</f>
        <v>1</v>
      </c>
      <c r="K1615">
        <f>IFERROR(VLOOKUP(A1615,库龄!B:L,10,0),0)</f>
        <v>0</v>
      </c>
      <c r="L1615">
        <f>IFERROR(VLOOKUP(A1615,库龄!B:M,11,0),0)</f>
        <v>0</v>
      </c>
      <c r="M1615">
        <f>IFERROR(VLOOKUP(A1615,库龄!B:N,12,0),0)</f>
        <v>0</v>
      </c>
      <c r="N1615">
        <f t="shared" si="52"/>
        <v>1</v>
      </c>
    </row>
    <row r="1616" spans="1:14">
      <c r="A1616" s="3" t="s">
        <v>4388</v>
      </c>
      <c r="B1616">
        <f>IFERROR(VLOOKUP(A1616,管理亚马逊库存!A:K,11,0),"")</f>
        <v>11</v>
      </c>
      <c r="C1616">
        <f>IFERROR(VLOOKUP(A1616,管理亚马逊库存!A:L,12,0),"")</f>
        <v>0</v>
      </c>
      <c r="D1616">
        <f>IFERROR(VLOOKUP(A1616,管理亚马逊库存!A:Q,17,0),"")</f>
        <v>0</v>
      </c>
      <c r="E1616">
        <f>IFERROR(VLOOKUP(A1616,管理亚马逊库存!A:R,18,0),"")</f>
        <v>0</v>
      </c>
      <c r="F1616">
        <f t="shared" si="51"/>
        <v>0</v>
      </c>
      <c r="G1616" t="str">
        <f>IFERROR(VLOOKUP(A1616,预留库存!A:G,7,0),0)</f>
        <v>No</v>
      </c>
      <c r="H1616">
        <f>IFERROR(VLOOKUP(A1616,预留库存!A:H,8,0),0)</f>
        <v>0</v>
      </c>
      <c r="I1616">
        <f>IFERROR(VLOOKUP(A1616,预留库存!A:F,6,0),0)</f>
        <v>22.98</v>
      </c>
      <c r="J1616">
        <f>IFERROR(VLOOKUP(A1616,库龄!B:K,9,0),0)</f>
        <v>2</v>
      </c>
      <c r="K1616">
        <f>IFERROR(VLOOKUP(A1616,库龄!B:L,10,0),0)</f>
        <v>9</v>
      </c>
      <c r="L1616">
        <f>IFERROR(VLOOKUP(A1616,库龄!B:M,11,0),0)</f>
        <v>0</v>
      </c>
      <c r="M1616">
        <f>IFERROR(VLOOKUP(A1616,库龄!B:N,12,0),0)</f>
        <v>0</v>
      </c>
      <c r="N1616">
        <f t="shared" si="52"/>
        <v>11</v>
      </c>
    </row>
    <row r="1617" spans="1:14">
      <c r="A1617" s="3" t="s">
        <v>4389</v>
      </c>
      <c r="B1617">
        <f>IFERROR(VLOOKUP(A1617,管理亚马逊库存!A:K,11,0),"")</f>
        <v>12</v>
      </c>
      <c r="C1617">
        <f>IFERROR(VLOOKUP(A1617,管理亚马逊库存!A:L,12,0),"")</f>
        <v>0</v>
      </c>
      <c r="D1617">
        <f>IFERROR(VLOOKUP(A1617,管理亚马逊库存!A:Q,17,0),"")</f>
        <v>0</v>
      </c>
      <c r="E1617">
        <f>IFERROR(VLOOKUP(A1617,管理亚马逊库存!A:R,18,0),"")</f>
        <v>0</v>
      </c>
      <c r="F1617">
        <f t="shared" si="51"/>
        <v>0</v>
      </c>
      <c r="G1617" t="str">
        <f>IFERROR(VLOOKUP(A1617,预留库存!A:G,7,0),0)</f>
        <v>No</v>
      </c>
      <c r="H1617">
        <f>IFERROR(VLOOKUP(A1617,预留库存!A:H,8,0),0)</f>
        <v>0</v>
      </c>
      <c r="I1617">
        <f>IFERROR(VLOOKUP(A1617,预留库存!A:F,6,0),0)</f>
        <v>22.98</v>
      </c>
      <c r="J1617">
        <f>IFERROR(VLOOKUP(A1617,库龄!B:K,9,0),0)</f>
        <v>3</v>
      </c>
      <c r="K1617">
        <f>IFERROR(VLOOKUP(A1617,库龄!B:L,10,0),0)</f>
        <v>7</v>
      </c>
      <c r="L1617">
        <f>IFERROR(VLOOKUP(A1617,库龄!B:M,11,0),0)</f>
        <v>0</v>
      </c>
      <c r="M1617">
        <f>IFERROR(VLOOKUP(A1617,库龄!B:N,12,0),0)</f>
        <v>0</v>
      </c>
      <c r="N1617">
        <f t="shared" si="52"/>
        <v>10</v>
      </c>
    </row>
    <row r="1618" spans="1:14">
      <c r="A1618" s="3" t="s">
        <v>4390</v>
      </c>
      <c r="B1618">
        <f>IFERROR(VLOOKUP(A1618,管理亚马逊库存!A:K,11,0),"")</f>
        <v>1</v>
      </c>
      <c r="C1618">
        <f>IFERROR(VLOOKUP(A1618,管理亚马逊库存!A:L,12,0),"")</f>
        <v>0</v>
      </c>
      <c r="D1618">
        <f>IFERROR(VLOOKUP(A1618,管理亚马逊库存!A:Q,17,0),"")</f>
        <v>0</v>
      </c>
      <c r="E1618">
        <f>IFERROR(VLOOKUP(A1618,管理亚马逊库存!A:R,18,0),"")</f>
        <v>0</v>
      </c>
      <c r="F1618">
        <f t="shared" si="51"/>
        <v>0</v>
      </c>
      <c r="G1618" t="str">
        <f>IFERROR(VLOOKUP(A1618,预留库存!A:G,7,0),0)</f>
        <v>No</v>
      </c>
      <c r="H1618">
        <f>IFERROR(VLOOKUP(A1618,预留库存!A:H,8,0),0)</f>
        <v>0</v>
      </c>
      <c r="I1618">
        <f>IFERROR(VLOOKUP(A1618,预留库存!A:F,6,0),0)</f>
        <v>22.98</v>
      </c>
      <c r="J1618">
        <f>IFERROR(VLOOKUP(A1618,库龄!B:K,9,0),0)</f>
        <v>0</v>
      </c>
      <c r="K1618">
        <f>IFERROR(VLOOKUP(A1618,库龄!B:L,10,0),0)</f>
        <v>0</v>
      </c>
      <c r="L1618">
        <f>IFERROR(VLOOKUP(A1618,库龄!B:M,11,0),0)</f>
        <v>0</v>
      </c>
      <c r="M1618">
        <f>IFERROR(VLOOKUP(A1618,库龄!B:N,12,0),0)</f>
        <v>0</v>
      </c>
      <c r="N1618">
        <f t="shared" si="52"/>
        <v>0</v>
      </c>
    </row>
    <row r="1619" spans="1:14">
      <c r="A1619" s="3" t="s">
        <v>4391</v>
      </c>
      <c r="B1619">
        <f>IFERROR(VLOOKUP(A1619,管理亚马逊库存!A:K,11,0),"")</f>
        <v>3</v>
      </c>
      <c r="C1619">
        <f>IFERROR(VLOOKUP(A1619,管理亚马逊库存!A:L,12,0),"")</f>
        <v>1</v>
      </c>
      <c r="D1619">
        <f>IFERROR(VLOOKUP(A1619,管理亚马逊库存!A:Q,17,0),"")</f>
        <v>0</v>
      </c>
      <c r="E1619">
        <f>IFERROR(VLOOKUP(A1619,管理亚马逊库存!A:R,18,0),"")</f>
        <v>0</v>
      </c>
      <c r="F1619">
        <f t="shared" si="51"/>
        <v>0</v>
      </c>
      <c r="G1619" t="str">
        <f>IFERROR(VLOOKUP(A1619,预留库存!A:G,7,0),0)</f>
        <v>No</v>
      </c>
      <c r="H1619">
        <f>IFERROR(VLOOKUP(A1619,预留库存!A:H,8,0),0)</f>
        <v>0</v>
      </c>
      <c r="I1619">
        <f>IFERROR(VLOOKUP(A1619,预留库存!A:F,6,0),0)</f>
        <v>22.98</v>
      </c>
      <c r="J1619">
        <f>IFERROR(VLOOKUP(A1619,库龄!B:K,9,0),0)</f>
        <v>0</v>
      </c>
      <c r="K1619">
        <f>IFERROR(VLOOKUP(A1619,库龄!B:L,10,0),0)</f>
        <v>0</v>
      </c>
      <c r="L1619">
        <f>IFERROR(VLOOKUP(A1619,库龄!B:M,11,0),0)</f>
        <v>0</v>
      </c>
      <c r="M1619">
        <f>IFERROR(VLOOKUP(A1619,库龄!B:N,12,0),0)</f>
        <v>0</v>
      </c>
      <c r="N1619">
        <f t="shared" si="52"/>
        <v>0</v>
      </c>
    </row>
    <row r="1620" spans="1:14">
      <c r="A1620" s="3" t="s">
        <v>4392</v>
      </c>
      <c r="B1620">
        <f>IFERROR(VLOOKUP(A1620,管理亚马逊库存!A:K,11,0),"")</f>
        <v>0</v>
      </c>
      <c r="C1620">
        <f>IFERROR(VLOOKUP(A1620,管理亚马逊库存!A:L,12,0),"")</f>
        <v>0</v>
      </c>
      <c r="D1620">
        <f>IFERROR(VLOOKUP(A1620,管理亚马逊库存!A:Q,17,0),"")</f>
        <v>0</v>
      </c>
      <c r="E1620">
        <f>IFERROR(VLOOKUP(A1620,管理亚马逊库存!A:R,18,0),"")</f>
        <v>0</v>
      </c>
      <c r="F1620">
        <f t="shared" si="51"/>
        <v>0</v>
      </c>
      <c r="G1620">
        <f>IFERROR(VLOOKUP(A1620,预留库存!A:G,7,0),0)</f>
        <v>0</v>
      </c>
      <c r="H1620">
        <f>IFERROR(VLOOKUP(A1620,预留库存!A:H,8,0),0)</f>
        <v>0</v>
      </c>
      <c r="I1620">
        <f>IFERROR(VLOOKUP(A1620,预留库存!A:F,6,0),0)</f>
        <v>0</v>
      </c>
      <c r="J1620">
        <f>IFERROR(VLOOKUP(A1620,库龄!B:K,9,0),0)</f>
        <v>0</v>
      </c>
      <c r="K1620">
        <f>IFERROR(VLOOKUP(A1620,库龄!B:L,10,0),0)</f>
        <v>0</v>
      </c>
      <c r="L1620">
        <f>IFERROR(VLOOKUP(A1620,库龄!B:M,11,0),0)</f>
        <v>0</v>
      </c>
      <c r="M1620">
        <f>IFERROR(VLOOKUP(A1620,库龄!B:N,12,0),0)</f>
        <v>0</v>
      </c>
      <c r="N1620">
        <f t="shared" si="52"/>
        <v>0</v>
      </c>
    </row>
    <row r="1621" spans="1:14">
      <c r="A1621" s="3" t="s">
        <v>4393</v>
      </c>
      <c r="B1621">
        <f>IFERROR(VLOOKUP(A1621,管理亚马逊库存!A:K,11,0),"")</f>
        <v>4</v>
      </c>
      <c r="C1621">
        <f>IFERROR(VLOOKUP(A1621,管理亚马逊库存!A:L,12,0),"")</f>
        <v>0</v>
      </c>
      <c r="D1621">
        <f>IFERROR(VLOOKUP(A1621,管理亚马逊库存!A:Q,17,0),"")</f>
        <v>0</v>
      </c>
      <c r="E1621">
        <f>IFERROR(VLOOKUP(A1621,管理亚马逊库存!A:R,18,0),"")</f>
        <v>0</v>
      </c>
      <c r="F1621">
        <f t="shared" si="51"/>
        <v>0</v>
      </c>
      <c r="G1621" t="str">
        <f>IFERROR(VLOOKUP(A1621,预留库存!A:G,7,0),0)</f>
        <v>No</v>
      </c>
      <c r="H1621">
        <f>IFERROR(VLOOKUP(A1621,预留库存!A:H,8,0),0)</f>
        <v>0</v>
      </c>
      <c r="I1621">
        <f>IFERROR(VLOOKUP(A1621,预留库存!A:F,6,0),0)</f>
        <v>22.98</v>
      </c>
      <c r="J1621">
        <f>IFERROR(VLOOKUP(A1621,库龄!B:K,9,0),0)</f>
        <v>0</v>
      </c>
      <c r="K1621">
        <f>IFERROR(VLOOKUP(A1621,库龄!B:L,10,0),0)</f>
        <v>0</v>
      </c>
      <c r="L1621">
        <f>IFERROR(VLOOKUP(A1621,库龄!B:M,11,0),0)</f>
        <v>0</v>
      </c>
      <c r="M1621">
        <f>IFERROR(VLOOKUP(A1621,库龄!B:N,12,0),0)</f>
        <v>0</v>
      </c>
      <c r="N1621">
        <f t="shared" si="52"/>
        <v>0</v>
      </c>
    </row>
    <row r="1622" spans="1:14">
      <c r="A1622" s="3" t="s">
        <v>4394</v>
      </c>
      <c r="B1622">
        <f>IFERROR(VLOOKUP(A1622,管理亚马逊库存!A:K,11,0),"")</f>
        <v>14</v>
      </c>
      <c r="C1622">
        <f>IFERROR(VLOOKUP(A1622,管理亚马逊库存!A:L,12,0),"")</f>
        <v>0</v>
      </c>
      <c r="D1622">
        <f>IFERROR(VLOOKUP(A1622,管理亚马逊库存!A:Q,17,0),"")</f>
        <v>0</v>
      </c>
      <c r="E1622">
        <f>IFERROR(VLOOKUP(A1622,管理亚马逊库存!A:R,18,0),"")</f>
        <v>0</v>
      </c>
      <c r="F1622">
        <f t="shared" si="51"/>
        <v>0</v>
      </c>
      <c r="G1622" t="str">
        <f>IFERROR(VLOOKUP(A1622,预留库存!A:G,7,0),0)</f>
        <v>No</v>
      </c>
      <c r="H1622">
        <f>IFERROR(VLOOKUP(A1622,预留库存!A:H,8,0),0)</f>
        <v>0</v>
      </c>
      <c r="I1622">
        <f>IFERROR(VLOOKUP(A1622,预留库存!A:F,6,0),0)</f>
        <v>22.98</v>
      </c>
      <c r="J1622">
        <f>IFERROR(VLOOKUP(A1622,库龄!B:K,9,0),0)</f>
        <v>3</v>
      </c>
      <c r="K1622">
        <f>IFERROR(VLOOKUP(A1622,库龄!B:L,10,0),0)</f>
        <v>11</v>
      </c>
      <c r="L1622">
        <f>IFERROR(VLOOKUP(A1622,库龄!B:M,11,0),0)</f>
        <v>0</v>
      </c>
      <c r="M1622">
        <f>IFERROR(VLOOKUP(A1622,库龄!B:N,12,0),0)</f>
        <v>0</v>
      </c>
      <c r="N1622">
        <f t="shared" si="52"/>
        <v>14</v>
      </c>
    </row>
    <row r="1623" spans="1:14">
      <c r="A1623" s="3" t="s">
        <v>4395</v>
      </c>
      <c r="B1623">
        <f>IFERROR(VLOOKUP(A1623,管理亚马逊库存!A:K,11,0),"")</f>
        <v>10</v>
      </c>
      <c r="C1623">
        <f>IFERROR(VLOOKUP(A1623,管理亚马逊库存!A:L,12,0),"")</f>
        <v>0</v>
      </c>
      <c r="D1623">
        <f>IFERROR(VLOOKUP(A1623,管理亚马逊库存!A:Q,17,0),"")</f>
        <v>0</v>
      </c>
      <c r="E1623">
        <f>IFERROR(VLOOKUP(A1623,管理亚马逊库存!A:R,18,0),"")</f>
        <v>0</v>
      </c>
      <c r="F1623">
        <f t="shared" si="51"/>
        <v>0</v>
      </c>
      <c r="G1623" t="str">
        <f>IFERROR(VLOOKUP(A1623,预留库存!A:G,7,0),0)</f>
        <v>No</v>
      </c>
      <c r="H1623">
        <f>IFERROR(VLOOKUP(A1623,预留库存!A:H,8,0),0)</f>
        <v>0</v>
      </c>
      <c r="I1623">
        <f>IFERROR(VLOOKUP(A1623,预留库存!A:F,6,0),0)</f>
        <v>22.98</v>
      </c>
      <c r="J1623">
        <f>IFERROR(VLOOKUP(A1623,库龄!B:K,9,0),0)</f>
        <v>0</v>
      </c>
      <c r="K1623">
        <f>IFERROR(VLOOKUP(A1623,库龄!B:L,10,0),0)</f>
        <v>9</v>
      </c>
      <c r="L1623">
        <f>IFERROR(VLOOKUP(A1623,库龄!B:M,11,0),0)</f>
        <v>0</v>
      </c>
      <c r="M1623">
        <f>IFERROR(VLOOKUP(A1623,库龄!B:N,12,0),0)</f>
        <v>0</v>
      </c>
      <c r="N1623">
        <f t="shared" si="52"/>
        <v>9</v>
      </c>
    </row>
    <row r="1624" spans="1:14">
      <c r="A1624" s="3" t="s">
        <v>4396</v>
      </c>
      <c r="B1624">
        <f>IFERROR(VLOOKUP(A1624,管理亚马逊库存!A:K,11,0),"")</f>
        <v>7</v>
      </c>
      <c r="C1624">
        <f>IFERROR(VLOOKUP(A1624,管理亚马逊库存!A:L,12,0),"")</f>
        <v>0</v>
      </c>
      <c r="D1624">
        <f>IFERROR(VLOOKUP(A1624,管理亚马逊库存!A:Q,17,0),"")</f>
        <v>0</v>
      </c>
      <c r="E1624">
        <f>IFERROR(VLOOKUP(A1624,管理亚马逊库存!A:R,18,0),"")</f>
        <v>0</v>
      </c>
      <c r="F1624">
        <f t="shared" si="51"/>
        <v>0</v>
      </c>
      <c r="G1624" t="str">
        <f>IFERROR(VLOOKUP(A1624,预留库存!A:G,7,0),0)</f>
        <v>No</v>
      </c>
      <c r="H1624">
        <f>IFERROR(VLOOKUP(A1624,预留库存!A:H,8,0),0)</f>
        <v>0</v>
      </c>
      <c r="I1624">
        <f>IFERROR(VLOOKUP(A1624,预留库存!A:F,6,0),0)</f>
        <v>22.98</v>
      </c>
      <c r="J1624">
        <f>IFERROR(VLOOKUP(A1624,库龄!B:K,9,0),0)</f>
        <v>3</v>
      </c>
      <c r="K1624">
        <f>IFERROR(VLOOKUP(A1624,库龄!B:L,10,0),0)</f>
        <v>4</v>
      </c>
      <c r="L1624">
        <f>IFERROR(VLOOKUP(A1624,库龄!B:M,11,0),0)</f>
        <v>0</v>
      </c>
      <c r="M1624">
        <f>IFERROR(VLOOKUP(A1624,库龄!B:N,12,0),0)</f>
        <v>0</v>
      </c>
      <c r="N1624">
        <f t="shared" si="52"/>
        <v>7</v>
      </c>
    </row>
    <row r="1625" spans="1:14">
      <c r="A1625" s="3" t="s">
        <v>4397</v>
      </c>
      <c r="B1625">
        <f>IFERROR(VLOOKUP(A1625,管理亚马逊库存!A:K,11,0),"")</f>
        <v>0</v>
      </c>
      <c r="C1625">
        <f>IFERROR(VLOOKUP(A1625,管理亚马逊库存!A:L,12,0),"")</f>
        <v>0</v>
      </c>
      <c r="D1625">
        <f>IFERROR(VLOOKUP(A1625,管理亚马逊库存!A:Q,17,0),"")</f>
        <v>0</v>
      </c>
      <c r="E1625">
        <f>IFERROR(VLOOKUP(A1625,管理亚马逊库存!A:R,18,0),"")</f>
        <v>0</v>
      </c>
      <c r="F1625">
        <f t="shared" si="51"/>
        <v>0</v>
      </c>
      <c r="G1625" t="str">
        <f>IFERROR(VLOOKUP(A1625,预留库存!A:G,7,0),0)</f>
        <v>No</v>
      </c>
      <c r="H1625">
        <f>IFERROR(VLOOKUP(A1625,预留库存!A:H,8,0),0)</f>
        <v>0</v>
      </c>
      <c r="I1625">
        <f>IFERROR(VLOOKUP(A1625,预留库存!A:F,6,0),0)</f>
        <v>22.98</v>
      </c>
      <c r="J1625">
        <f>IFERROR(VLOOKUP(A1625,库龄!B:K,9,0),0)</f>
        <v>0</v>
      </c>
      <c r="K1625">
        <f>IFERROR(VLOOKUP(A1625,库龄!B:L,10,0),0)</f>
        <v>0</v>
      </c>
      <c r="L1625">
        <f>IFERROR(VLOOKUP(A1625,库龄!B:M,11,0),0)</f>
        <v>0</v>
      </c>
      <c r="M1625">
        <f>IFERROR(VLOOKUP(A1625,库龄!B:N,12,0),0)</f>
        <v>0</v>
      </c>
      <c r="N1625">
        <f t="shared" si="52"/>
        <v>0</v>
      </c>
    </row>
    <row r="1626" spans="1:14">
      <c r="A1626" s="3" t="s">
        <v>4398</v>
      </c>
      <c r="B1626">
        <f>IFERROR(VLOOKUP(A1626,管理亚马逊库存!A:K,11,0),"")</f>
        <v>0</v>
      </c>
      <c r="C1626">
        <f>IFERROR(VLOOKUP(A1626,管理亚马逊库存!A:L,12,0),"")</f>
        <v>0</v>
      </c>
      <c r="D1626">
        <f>IFERROR(VLOOKUP(A1626,管理亚马逊库存!A:Q,17,0),"")</f>
        <v>0</v>
      </c>
      <c r="E1626">
        <f>IFERROR(VLOOKUP(A1626,管理亚马逊库存!A:R,18,0),"")</f>
        <v>0</v>
      </c>
      <c r="F1626">
        <f t="shared" si="51"/>
        <v>0</v>
      </c>
      <c r="G1626">
        <f>IFERROR(VLOOKUP(A1626,预留库存!A:G,7,0),0)</f>
        <v>0</v>
      </c>
      <c r="H1626">
        <f>IFERROR(VLOOKUP(A1626,预留库存!A:H,8,0),0)</f>
        <v>0</v>
      </c>
      <c r="I1626">
        <f>IFERROR(VLOOKUP(A1626,预留库存!A:F,6,0),0)</f>
        <v>0</v>
      </c>
      <c r="J1626">
        <f>IFERROR(VLOOKUP(A1626,库龄!B:K,9,0),0)</f>
        <v>0</v>
      </c>
      <c r="K1626">
        <f>IFERROR(VLOOKUP(A1626,库龄!B:L,10,0),0)</f>
        <v>0</v>
      </c>
      <c r="L1626">
        <f>IFERROR(VLOOKUP(A1626,库龄!B:M,11,0),0)</f>
        <v>0</v>
      </c>
      <c r="M1626">
        <f>IFERROR(VLOOKUP(A1626,库龄!B:N,12,0),0)</f>
        <v>0</v>
      </c>
      <c r="N1626">
        <f t="shared" si="52"/>
        <v>0</v>
      </c>
    </row>
    <row r="1627" spans="1:14">
      <c r="A1627" s="3" t="s">
        <v>4400</v>
      </c>
      <c r="B1627">
        <f>IFERROR(VLOOKUP(A1627,管理亚马逊库存!A:K,11,0),"")</f>
        <v>0</v>
      </c>
      <c r="C1627">
        <f>IFERROR(VLOOKUP(A1627,管理亚马逊库存!A:L,12,0),"")</f>
        <v>0</v>
      </c>
      <c r="D1627">
        <f>IFERROR(VLOOKUP(A1627,管理亚马逊库存!A:Q,17,0),"")</f>
        <v>0</v>
      </c>
      <c r="E1627">
        <f>IFERROR(VLOOKUP(A1627,管理亚马逊库存!A:R,18,0),"")</f>
        <v>0</v>
      </c>
      <c r="F1627">
        <f t="shared" si="51"/>
        <v>0</v>
      </c>
      <c r="G1627">
        <f>IFERROR(VLOOKUP(A1627,预留库存!A:G,7,0),0)</f>
        <v>0</v>
      </c>
      <c r="H1627">
        <f>IFERROR(VLOOKUP(A1627,预留库存!A:H,8,0),0)</f>
        <v>0</v>
      </c>
      <c r="I1627">
        <f>IFERROR(VLOOKUP(A1627,预留库存!A:F,6,0),0)</f>
        <v>0</v>
      </c>
      <c r="J1627">
        <f>IFERROR(VLOOKUP(A1627,库龄!B:K,9,0),0)</f>
        <v>0</v>
      </c>
      <c r="K1627">
        <f>IFERROR(VLOOKUP(A1627,库龄!B:L,10,0),0)</f>
        <v>0</v>
      </c>
      <c r="L1627">
        <f>IFERROR(VLOOKUP(A1627,库龄!B:M,11,0),0)</f>
        <v>0</v>
      </c>
      <c r="M1627">
        <f>IFERROR(VLOOKUP(A1627,库龄!B:N,12,0),0)</f>
        <v>0</v>
      </c>
      <c r="N1627">
        <f t="shared" si="52"/>
        <v>0</v>
      </c>
    </row>
    <row r="1628" spans="1:14">
      <c r="A1628" s="3" t="s">
        <v>4401</v>
      </c>
      <c r="B1628">
        <f>IFERROR(VLOOKUP(A1628,管理亚马逊库存!A:K,11,0),"")</f>
        <v>6</v>
      </c>
      <c r="C1628">
        <f>IFERROR(VLOOKUP(A1628,管理亚马逊库存!A:L,12,0),"")</f>
        <v>0</v>
      </c>
      <c r="D1628">
        <f>IFERROR(VLOOKUP(A1628,管理亚马逊库存!A:Q,17,0),"")</f>
        <v>0</v>
      </c>
      <c r="E1628">
        <f>IFERROR(VLOOKUP(A1628,管理亚马逊库存!A:R,18,0),"")</f>
        <v>0</v>
      </c>
      <c r="F1628">
        <f t="shared" si="51"/>
        <v>0</v>
      </c>
      <c r="G1628" t="str">
        <f>IFERROR(VLOOKUP(A1628,预留库存!A:G,7,0),0)</f>
        <v>No</v>
      </c>
      <c r="H1628">
        <f>IFERROR(VLOOKUP(A1628,预留库存!A:H,8,0),0)</f>
        <v>0</v>
      </c>
      <c r="I1628">
        <f>IFERROR(VLOOKUP(A1628,预留库存!A:F,6,0),0)</f>
        <v>22.98</v>
      </c>
      <c r="J1628">
        <f>IFERROR(VLOOKUP(A1628,库龄!B:K,9,0),0)</f>
        <v>4</v>
      </c>
      <c r="K1628">
        <f>IFERROR(VLOOKUP(A1628,库龄!B:L,10,0),0)</f>
        <v>0</v>
      </c>
      <c r="L1628">
        <f>IFERROR(VLOOKUP(A1628,库龄!B:M,11,0),0)</f>
        <v>0</v>
      </c>
      <c r="M1628">
        <f>IFERROR(VLOOKUP(A1628,库龄!B:N,12,0),0)</f>
        <v>0</v>
      </c>
      <c r="N1628">
        <f t="shared" si="52"/>
        <v>4</v>
      </c>
    </row>
    <row r="1629" spans="1:14">
      <c r="A1629" s="3" t="s">
        <v>4402</v>
      </c>
      <c r="B1629">
        <f>IFERROR(VLOOKUP(A1629,管理亚马逊库存!A:K,11,0),"")</f>
        <v>2</v>
      </c>
      <c r="C1629">
        <f>IFERROR(VLOOKUP(A1629,管理亚马逊库存!A:L,12,0),"")</f>
        <v>0</v>
      </c>
      <c r="D1629">
        <f>IFERROR(VLOOKUP(A1629,管理亚马逊库存!A:Q,17,0),"")</f>
        <v>0</v>
      </c>
      <c r="E1629">
        <f>IFERROR(VLOOKUP(A1629,管理亚马逊库存!A:R,18,0),"")</f>
        <v>0</v>
      </c>
      <c r="F1629">
        <f t="shared" si="51"/>
        <v>0</v>
      </c>
      <c r="G1629" t="str">
        <f>IFERROR(VLOOKUP(A1629,预留库存!A:G,7,0),0)</f>
        <v>No</v>
      </c>
      <c r="H1629">
        <f>IFERROR(VLOOKUP(A1629,预留库存!A:H,8,0),0)</f>
        <v>0</v>
      </c>
      <c r="I1629">
        <f>IFERROR(VLOOKUP(A1629,预留库存!A:F,6,0),0)</f>
        <v>24.98</v>
      </c>
      <c r="J1629">
        <f>IFERROR(VLOOKUP(A1629,库龄!B:K,9,0),0)</f>
        <v>1</v>
      </c>
      <c r="K1629">
        <f>IFERROR(VLOOKUP(A1629,库龄!B:L,10,0),0)</f>
        <v>0</v>
      </c>
      <c r="L1629">
        <f>IFERROR(VLOOKUP(A1629,库龄!B:M,11,0),0)</f>
        <v>0</v>
      </c>
      <c r="M1629">
        <f>IFERROR(VLOOKUP(A1629,库龄!B:N,12,0),0)</f>
        <v>0</v>
      </c>
      <c r="N1629">
        <f t="shared" si="52"/>
        <v>1</v>
      </c>
    </row>
    <row r="1630" spans="1:14">
      <c r="A1630" s="3" t="s">
        <v>4403</v>
      </c>
      <c r="B1630">
        <f>IFERROR(VLOOKUP(A1630,管理亚马逊库存!A:K,11,0),"")</f>
        <v>2</v>
      </c>
      <c r="C1630">
        <f>IFERROR(VLOOKUP(A1630,管理亚马逊库存!A:L,12,0),"")</f>
        <v>0</v>
      </c>
      <c r="D1630">
        <f>IFERROR(VLOOKUP(A1630,管理亚马逊库存!A:Q,17,0),"")</f>
        <v>0</v>
      </c>
      <c r="E1630">
        <f>IFERROR(VLOOKUP(A1630,管理亚马逊库存!A:R,18,0),"")</f>
        <v>0</v>
      </c>
      <c r="F1630">
        <f t="shared" si="51"/>
        <v>0</v>
      </c>
      <c r="G1630" t="str">
        <f>IFERROR(VLOOKUP(A1630,预留库存!A:G,7,0),0)</f>
        <v>No</v>
      </c>
      <c r="H1630">
        <f>IFERROR(VLOOKUP(A1630,预留库存!A:H,8,0),0)</f>
        <v>0</v>
      </c>
      <c r="I1630">
        <f>IFERROR(VLOOKUP(A1630,预留库存!A:F,6,0),0)</f>
        <v>24.98</v>
      </c>
      <c r="J1630">
        <f>IFERROR(VLOOKUP(A1630,库龄!B:K,9,0),0)</f>
        <v>0</v>
      </c>
      <c r="K1630">
        <f>IFERROR(VLOOKUP(A1630,库龄!B:L,10,0),0)</f>
        <v>2</v>
      </c>
      <c r="L1630">
        <f>IFERROR(VLOOKUP(A1630,库龄!B:M,11,0),0)</f>
        <v>0</v>
      </c>
      <c r="M1630">
        <f>IFERROR(VLOOKUP(A1630,库龄!B:N,12,0),0)</f>
        <v>0</v>
      </c>
      <c r="N1630">
        <f t="shared" si="52"/>
        <v>2</v>
      </c>
    </row>
    <row r="1631" spans="1:14">
      <c r="A1631" s="3" t="s">
        <v>4404</v>
      </c>
      <c r="B1631">
        <f>IFERROR(VLOOKUP(A1631,管理亚马逊库存!A:K,11,0),"")</f>
        <v>0</v>
      </c>
      <c r="C1631">
        <f>IFERROR(VLOOKUP(A1631,管理亚马逊库存!A:L,12,0),"")</f>
        <v>0</v>
      </c>
      <c r="D1631">
        <f>IFERROR(VLOOKUP(A1631,管理亚马逊库存!A:Q,17,0),"")</f>
        <v>0</v>
      </c>
      <c r="E1631">
        <f>IFERROR(VLOOKUP(A1631,管理亚马逊库存!A:R,18,0),"")</f>
        <v>0</v>
      </c>
      <c r="F1631">
        <f t="shared" si="51"/>
        <v>0</v>
      </c>
      <c r="G1631">
        <f>IFERROR(VLOOKUP(A1631,预留库存!A:G,7,0),0)</f>
        <v>0</v>
      </c>
      <c r="H1631">
        <f>IFERROR(VLOOKUP(A1631,预留库存!A:H,8,0),0)</f>
        <v>0</v>
      </c>
      <c r="I1631">
        <f>IFERROR(VLOOKUP(A1631,预留库存!A:F,6,0),0)</f>
        <v>0</v>
      </c>
      <c r="J1631">
        <f>IFERROR(VLOOKUP(A1631,库龄!B:K,9,0),0)</f>
        <v>0</v>
      </c>
      <c r="K1631">
        <f>IFERROR(VLOOKUP(A1631,库龄!B:L,10,0),0)</f>
        <v>0</v>
      </c>
      <c r="L1631">
        <f>IFERROR(VLOOKUP(A1631,库龄!B:M,11,0),0)</f>
        <v>0</v>
      </c>
      <c r="M1631">
        <f>IFERROR(VLOOKUP(A1631,库龄!B:N,12,0),0)</f>
        <v>0</v>
      </c>
      <c r="N1631">
        <f t="shared" si="52"/>
        <v>0</v>
      </c>
    </row>
    <row r="1632" spans="1:14">
      <c r="A1632" s="3" t="s">
        <v>4405</v>
      </c>
      <c r="B1632">
        <f>IFERROR(VLOOKUP(A1632,管理亚马逊库存!A:K,11,0),"")</f>
        <v>4</v>
      </c>
      <c r="C1632">
        <f>IFERROR(VLOOKUP(A1632,管理亚马逊库存!A:L,12,0),"")</f>
        <v>0</v>
      </c>
      <c r="D1632">
        <f>IFERROR(VLOOKUP(A1632,管理亚马逊库存!A:Q,17,0),"")</f>
        <v>0</v>
      </c>
      <c r="E1632">
        <f>IFERROR(VLOOKUP(A1632,管理亚马逊库存!A:R,18,0),"")</f>
        <v>0</v>
      </c>
      <c r="F1632">
        <f t="shared" si="51"/>
        <v>0</v>
      </c>
      <c r="G1632" t="str">
        <f>IFERROR(VLOOKUP(A1632,预留库存!A:G,7,0),0)</f>
        <v>No</v>
      </c>
      <c r="H1632">
        <f>IFERROR(VLOOKUP(A1632,预留库存!A:H,8,0),0)</f>
        <v>0</v>
      </c>
      <c r="I1632">
        <f>IFERROR(VLOOKUP(A1632,预留库存!A:F,6,0),0)</f>
        <v>24.98</v>
      </c>
      <c r="J1632">
        <f>IFERROR(VLOOKUP(A1632,库龄!B:K,9,0),0)</f>
        <v>0</v>
      </c>
      <c r="K1632">
        <f>IFERROR(VLOOKUP(A1632,库龄!B:L,10,0),0)</f>
        <v>4</v>
      </c>
      <c r="L1632">
        <f>IFERROR(VLOOKUP(A1632,库龄!B:M,11,0),0)</f>
        <v>0</v>
      </c>
      <c r="M1632">
        <f>IFERROR(VLOOKUP(A1632,库龄!B:N,12,0),0)</f>
        <v>0</v>
      </c>
      <c r="N1632">
        <f t="shared" si="52"/>
        <v>4</v>
      </c>
    </row>
    <row r="1633" spans="1:14">
      <c r="A1633" s="3" t="s">
        <v>4406</v>
      </c>
      <c r="B1633">
        <f>IFERROR(VLOOKUP(A1633,管理亚马逊库存!A:K,11,0),"")</f>
        <v>4</v>
      </c>
      <c r="C1633">
        <f>IFERROR(VLOOKUP(A1633,管理亚马逊库存!A:L,12,0),"")</f>
        <v>0</v>
      </c>
      <c r="D1633">
        <f>IFERROR(VLOOKUP(A1633,管理亚马逊库存!A:Q,17,0),"")</f>
        <v>0</v>
      </c>
      <c r="E1633">
        <f>IFERROR(VLOOKUP(A1633,管理亚马逊库存!A:R,18,0),"")</f>
        <v>0</v>
      </c>
      <c r="F1633">
        <f t="shared" si="51"/>
        <v>0</v>
      </c>
      <c r="G1633" t="str">
        <f>IFERROR(VLOOKUP(A1633,预留库存!A:G,7,0),0)</f>
        <v>No</v>
      </c>
      <c r="H1633">
        <f>IFERROR(VLOOKUP(A1633,预留库存!A:H,8,0),0)</f>
        <v>0</v>
      </c>
      <c r="I1633">
        <f>IFERROR(VLOOKUP(A1633,预留库存!A:F,6,0),0)</f>
        <v>24.98</v>
      </c>
      <c r="J1633">
        <f>IFERROR(VLOOKUP(A1633,库龄!B:K,9,0),0)</f>
        <v>1</v>
      </c>
      <c r="K1633">
        <f>IFERROR(VLOOKUP(A1633,库龄!B:L,10,0),0)</f>
        <v>3</v>
      </c>
      <c r="L1633">
        <f>IFERROR(VLOOKUP(A1633,库龄!B:M,11,0),0)</f>
        <v>0</v>
      </c>
      <c r="M1633">
        <f>IFERROR(VLOOKUP(A1633,库龄!B:N,12,0),0)</f>
        <v>0</v>
      </c>
      <c r="N1633">
        <f t="shared" si="52"/>
        <v>4</v>
      </c>
    </row>
    <row r="1634" spans="1:14">
      <c r="A1634" s="3" t="s">
        <v>4407</v>
      </c>
      <c r="B1634">
        <f>IFERROR(VLOOKUP(A1634,管理亚马逊库存!A:K,11,0),"")</f>
        <v>6</v>
      </c>
      <c r="C1634">
        <f>IFERROR(VLOOKUP(A1634,管理亚马逊库存!A:L,12,0),"")</f>
        <v>0</v>
      </c>
      <c r="D1634">
        <f>IFERROR(VLOOKUP(A1634,管理亚马逊库存!A:Q,17,0),"")</f>
        <v>0</v>
      </c>
      <c r="E1634">
        <f>IFERROR(VLOOKUP(A1634,管理亚马逊库存!A:R,18,0),"")</f>
        <v>0</v>
      </c>
      <c r="F1634">
        <f t="shared" si="51"/>
        <v>0</v>
      </c>
      <c r="G1634" t="str">
        <f>IFERROR(VLOOKUP(A1634,预留库存!A:G,7,0),0)</f>
        <v>No</v>
      </c>
      <c r="H1634">
        <f>IFERROR(VLOOKUP(A1634,预留库存!A:H,8,0),0)</f>
        <v>0</v>
      </c>
      <c r="I1634">
        <f>IFERROR(VLOOKUP(A1634,预留库存!A:F,6,0),0)</f>
        <v>24.98</v>
      </c>
      <c r="J1634">
        <f>IFERROR(VLOOKUP(A1634,库龄!B:K,9,0),0)</f>
        <v>0</v>
      </c>
      <c r="K1634">
        <f>IFERROR(VLOOKUP(A1634,库龄!B:L,10,0),0)</f>
        <v>6</v>
      </c>
      <c r="L1634">
        <f>IFERROR(VLOOKUP(A1634,库龄!B:M,11,0),0)</f>
        <v>0</v>
      </c>
      <c r="M1634">
        <f>IFERROR(VLOOKUP(A1634,库龄!B:N,12,0),0)</f>
        <v>0</v>
      </c>
      <c r="N1634">
        <f t="shared" si="52"/>
        <v>6</v>
      </c>
    </row>
    <row r="1635" spans="1:14">
      <c r="A1635" s="3" t="s">
        <v>4408</v>
      </c>
      <c r="B1635">
        <f>IFERROR(VLOOKUP(A1635,管理亚马逊库存!A:K,11,0),"")</f>
        <v>3</v>
      </c>
      <c r="C1635">
        <f>IFERROR(VLOOKUP(A1635,管理亚马逊库存!A:L,12,0),"")</f>
        <v>0</v>
      </c>
      <c r="D1635">
        <f>IFERROR(VLOOKUP(A1635,管理亚马逊库存!A:Q,17,0),"")</f>
        <v>0</v>
      </c>
      <c r="E1635">
        <f>IFERROR(VLOOKUP(A1635,管理亚马逊库存!A:R,18,0),"")</f>
        <v>0</v>
      </c>
      <c r="F1635">
        <f t="shared" si="51"/>
        <v>0</v>
      </c>
      <c r="G1635" t="str">
        <f>IFERROR(VLOOKUP(A1635,预留库存!A:G,7,0),0)</f>
        <v>No</v>
      </c>
      <c r="H1635">
        <f>IFERROR(VLOOKUP(A1635,预留库存!A:H,8,0),0)</f>
        <v>0</v>
      </c>
      <c r="I1635">
        <f>IFERROR(VLOOKUP(A1635,预留库存!A:F,6,0),0)</f>
        <v>24.98</v>
      </c>
      <c r="J1635">
        <f>IFERROR(VLOOKUP(A1635,库龄!B:K,9,0),0)</f>
        <v>0</v>
      </c>
      <c r="K1635">
        <f>IFERROR(VLOOKUP(A1635,库龄!B:L,10,0),0)</f>
        <v>3</v>
      </c>
      <c r="L1635">
        <f>IFERROR(VLOOKUP(A1635,库龄!B:M,11,0),0)</f>
        <v>0</v>
      </c>
      <c r="M1635">
        <f>IFERROR(VLOOKUP(A1635,库龄!B:N,12,0),0)</f>
        <v>0</v>
      </c>
      <c r="N1635">
        <f t="shared" si="52"/>
        <v>3</v>
      </c>
    </row>
    <row r="1636" spans="1:14">
      <c r="A1636" s="3" t="s">
        <v>4409</v>
      </c>
      <c r="B1636">
        <f>IFERROR(VLOOKUP(A1636,管理亚马逊库存!A:K,11,0),"")</f>
        <v>6</v>
      </c>
      <c r="C1636">
        <f>IFERROR(VLOOKUP(A1636,管理亚马逊库存!A:L,12,0),"")</f>
        <v>0</v>
      </c>
      <c r="D1636">
        <f>IFERROR(VLOOKUP(A1636,管理亚马逊库存!A:Q,17,0),"")</f>
        <v>0</v>
      </c>
      <c r="E1636">
        <f>IFERROR(VLOOKUP(A1636,管理亚马逊库存!A:R,18,0),"")</f>
        <v>0</v>
      </c>
      <c r="F1636">
        <f t="shared" si="51"/>
        <v>0</v>
      </c>
      <c r="G1636" t="str">
        <f>IFERROR(VLOOKUP(A1636,预留库存!A:G,7,0),0)</f>
        <v>No</v>
      </c>
      <c r="H1636">
        <f>IFERROR(VLOOKUP(A1636,预留库存!A:H,8,0),0)</f>
        <v>0</v>
      </c>
      <c r="I1636">
        <f>IFERROR(VLOOKUP(A1636,预留库存!A:F,6,0),0)</f>
        <v>24.98</v>
      </c>
      <c r="J1636">
        <f>IFERROR(VLOOKUP(A1636,库龄!B:K,9,0),0)</f>
        <v>0</v>
      </c>
      <c r="K1636">
        <f>IFERROR(VLOOKUP(A1636,库龄!B:L,10,0),0)</f>
        <v>6</v>
      </c>
      <c r="L1636">
        <f>IFERROR(VLOOKUP(A1636,库龄!B:M,11,0),0)</f>
        <v>0</v>
      </c>
      <c r="M1636">
        <f>IFERROR(VLOOKUP(A1636,库龄!B:N,12,0),0)</f>
        <v>0</v>
      </c>
      <c r="N1636">
        <f t="shared" si="52"/>
        <v>6</v>
      </c>
    </row>
    <row r="1637" spans="1:14">
      <c r="A1637" s="3" t="s">
        <v>4410</v>
      </c>
      <c r="B1637">
        <f>IFERROR(VLOOKUP(A1637,管理亚马逊库存!A:K,11,0),"")</f>
        <v>8</v>
      </c>
      <c r="C1637">
        <f>IFERROR(VLOOKUP(A1637,管理亚马逊库存!A:L,12,0),"")</f>
        <v>0</v>
      </c>
      <c r="D1637">
        <f>IFERROR(VLOOKUP(A1637,管理亚马逊库存!A:Q,17,0),"")</f>
        <v>0</v>
      </c>
      <c r="E1637">
        <f>IFERROR(VLOOKUP(A1637,管理亚马逊库存!A:R,18,0),"")</f>
        <v>0</v>
      </c>
      <c r="F1637">
        <f t="shared" si="51"/>
        <v>0</v>
      </c>
      <c r="G1637" t="str">
        <f>IFERROR(VLOOKUP(A1637,预留库存!A:G,7,0),0)</f>
        <v>No</v>
      </c>
      <c r="H1637">
        <f>IFERROR(VLOOKUP(A1637,预留库存!A:H,8,0),0)</f>
        <v>0</v>
      </c>
      <c r="I1637">
        <f>IFERROR(VLOOKUP(A1637,预留库存!A:F,6,0),0)</f>
        <v>24.98</v>
      </c>
      <c r="J1637">
        <f>IFERROR(VLOOKUP(A1637,库龄!B:K,9,0),0)</f>
        <v>1</v>
      </c>
      <c r="K1637">
        <f>IFERROR(VLOOKUP(A1637,库龄!B:L,10,0),0)</f>
        <v>7</v>
      </c>
      <c r="L1637">
        <f>IFERROR(VLOOKUP(A1637,库龄!B:M,11,0),0)</f>
        <v>0</v>
      </c>
      <c r="M1637">
        <f>IFERROR(VLOOKUP(A1637,库龄!B:N,12,0),0)</f>
        <v>0</v>
      </c>
      <c r="N1637">
        <f t="shared" si="52"/>
        <v>8</v>
      </c>
    </row>
    <row r="1638" spans="1:14">
      <c r="A1638" s="3" t="s">
        <v>4411</v>
      </c>
      <c r="B1638">
        <f>IFERROR(VLOOKUP(A1638,管理亚马逊库存!A:K,11,0),"")</f>
        <v>8</v>
      </c>
      <c r="C1638">
        <f>IFERROR(VLOOKUP(A1638,管理亚马逊库存!A:L,12,0),"")</f>
        <v>0</v>
      </c>
      <c r="D1638">
        <f>IFERROR(VLOOKUP(A1638,管理亚马逊库存!A:Q,17,0),"")</f>
        <v>0</v>
      </c>
      <c r="E1638">
        <f>IFERROR(VLOOKUP(A1638,管理亚马逊库存!A:R,18,0),"")</f>
        <v>0</v>
      </c>
      <c r="F1638">
        <f t="shared" si="51"/>
        <v>0</v>
      </c>
      <c r="G1638" t="str">
        <f>IFERROR(VLOOKUP(A1638,预留库存!A:G,7,0),0)</f>
        <v>No</v>
      </c>
      <c r="H1638">
        <f>IFERROR(VLOOKUP(A1638,预留库存!A:H,8,0),0)</f>
        <v>0</v>
      </c>
      <c r="I1638">
        <f>IFERROR(VLOOKUP(A1638,预留库存!A:F,6,0),0)</f>
        <v>24.98</v>
      </c>
      <c r="J1638">
        <f>IFERROR(VLOOKUP(A1638,库龄!B:K,9,0),0)</f>
        <v>2</v>
      </c>
      <c r="K1638">
        <f>IFERROR(VLOOKUP(A1638,库龄!B:L,10,0),0)</f>
        <v>5</v>
      </c>
      <c r="L1638">
        <f>IFERROR(VLOOKUP(A1638,库龄!B:M,11,0),0)</f>
        <v>0</v>
      </c>
      <c r="M1638">
        <f>IFERROR(VLOOKUP(A1638,库龄!B:N,12,0),0)</f>
        <v>0</v>
      </c>
      <c r="N1638">
        <f t="shared" si="52"/>
        <v>7</v>
      </c>
    </row>
    <row r="1639" spans="1:14">
      <c r="A1639" s="3" t="s">
        <v>4412</v>
      </c>
      <c r="B1639">
        <f>IFERROR(VLOOKUP(A1639,管理亚马逊库存!A:K,11,0),"")</f>
        <v>4</v>
      </c>
      <c r="C1639">
        <f>IFERROR(VLOOKUP(A1639,管理亚马逊库存!A:L,12,0),"")</f>
        <v>0</v>
      </c>
      <c r="D1639">
        <f>IFERROR(VLOOKUP(A1639,管理亚马逊库存!A:Q,17,0),"")</f>
        <v>0</v>
      </c>
      <c r="E1639">
        <f>IFERROR(VLOOKUP(A1639,管理亚马逊库存!A:R,18,0),"")</f>
        <v>0</v>
      </c>
      <c r="F1639">
        <f t="shared" si="51"/>
        <v>0</v>
      </c>
      <c r="G1639" t="str">
        <f>IFERROR(VLOOKUP(A1639,预留库存!A:G,7,0),0)</f>
        <v>No</v>
      </c>
      <c r="H1639">
        <f>IFERROR(VLOOKUP(A1639,预留库存!A:H,8,0),0)</f>
        <v>0</v>
      </c>
      <c r="I1639">
        <f>IFERROR(VLOOKUP(A1639,预留库存!A:F,6,0),0)</f>
        <v>24.98</v>
      </c>
      <c r="J1639">
        <f>IFERROR(VLOOKUP(A1639,库龄!B:K,9,0),0)</f>
        <v>0</v>
      </c>
      <c r="K1639">
        <f>IFERROR(VLOOKUP(A1639,库龄!B:L,10,0),0)</f>
        <v>4</v>
      </c>
      <c r="L1639">
        <f>IFERROR(VLOOKUP(A1639,库龄!B:M,11,0),0)</f>
        <v>0</v>
      </c>
      <c r="M1639">
        <f>IFERROR(VLOOKUP(A1639,库龄!B:N,12,0),0)</f>
        <v>0</v>
      </c>
      <c r="N1639">
        <f t="shared" si="52"/>
        <v>4</v>
      </c>
    </row>
    <row r="1640" spans="1:14">
      <c r="A1640" s="3" t="s">
        <v>4413</v>
      </c>
      <c r="B1640">
        <f>IFERROR(VLOOKUP(A1640,管理亚马逊库存!A:K,11,0),"")</f>
        <v>8</v>
      </c>
      <c r="C1640">
        <f>IFERROR(VLOOKUP(A1640,管理亚马逊库存!A:L,12,0),"")</f>
        <v>0</v>
      </c>
      <c r="D1640">
        <f>IFERROR(VLOOKUP(A1640,管理亚马逊库存!A:Q,17,0),"")</f>
        <v>0</v>
      </c>
      <c r="E1640">
        <f>IFERROR(VLOOKUP(A1640,管理亚马逊库存!A:R,18,0),"")</f>
        <v>0</v>
      </c>
      <c r="F1640">
        <f t="shared" si="51"/>
        <v>0</v>
      </c>
      <c r="G1640" t="str">
        <f>IFERROR(VLOOKUP(A1640,预留库存!A:G,7,0),0)</f>
        <v>No</v>
      </c>
      <c r="H1640">
        <f>IFERROR(VLOOKUP(A1640,预留库存!A:H,8,0),0)</f>
        <v>0</v>
      </c>
      <c r="I1640">
        <f>IFERROR(VLOOKUP(A1640,预留库存!A:F,6,0),0)</f>
        <v>24.98</v>
      </c>
      <c r="J1640">
        <f>IFERROR(VLOOKUP(A1640,库龄!B:K,9,0),0)</f>
        <v>0</v>
      </c>
      <c r="K1640">
        <f>IFERROR(VLOOKUP(A1640,库龄!B:L,10,0),0)</f>
        <v>8</v>
      </c>
      <c r="L1640">
        <f>IFERROR(VLOOKUP(A1640,库龄!B:M,11,0),0)</f>
        <v>0</v>
      </c>
      <c r="M1640">
        <f>IFERROR(VLOOKUP(A1640,库龄!B:N,12,0),0)</f>
        <v>0</v>
      </c>
      <c r="N1640">
        <f t="shared" si="52"/>
        <v>8</v>
      </c>
    </row>
    <row r="1641" spans="1:14">
      <c r="A1641" s="3" t="s">
        <v>4414</v>
      </c>
      <c r="B1641">
        <f>IFERROR(VLOOKUP(A1641,管理亚马逊库存!A:K,11,0),"")</f>
        <v>0</v>
      </c>
      <c r="C1641">
        <f>IFERROR(VLOOKUP(A1641,管理亚马逊库存!A:L,12,0),"")</f>
        <v>0</v>
      </c>
      <c r="D1641">
        <f>IFERROR(VLOOKUP(A1641,管理亚马逊库存!A:Q,17,0),"")</f>
        <v>0</v>
      </c>
      <c r="E1641">
        <f>IFERROR(VLOOKUP(A1641,管理亚马逊库存!A:R,18,0),"")</f>
        <v>0</v>
      </c>
      <c r="F1641">
        <f t="shared" si="51"/>
        <v>0</v>
      </c>
      <c r="G1641" t="str">
        <f>IFERROR(VLOOKUP(A1641,预留库存!A:G,7,0),0)</f>
        <v>No</v>
      </c>
      <c r="H1641">
        <f>IFERROR(VLOOKUP(A1641,预留库存!A:H,8,0),0)</f>
        <v>0</v>
      </c>
      <c r="I1641">
        <f>IFERROR(VLOOKUP(A1641,预留库存!A:F,6,0),0)</f>
        <v>24.98</v>
      </c>
      <c r="J1641">
        <f>IFERROR(VLOOKUP(A1641,库龄!B:K,9,0),0)</f>
        <v>0</v>
      </c>
      <c r="K1641">
        <f>IFERROR(VLOOKUP(A1641,库龄!B:L,10,0),0)</f>
        <v>0</v>
      </c>
      <c r="L1641">
        <f>IFERROR(VLOOKUP(A1641,库龄!B:M,11,0),0)</f>
        <v>0</v>
      </c>
      <c r="M1641">
        <f>IFERROR(VLOOKUP(A1641,库龄!B:N,12,0),0)</f>
        <v>0</v>
      </c>
      <c r="N1641">
        <f t="shared" si="52"/>
        <v>0</v>
      </c>
    </row>
    <row r="1642" spans="1:14">
      <c r="A1642" s="3" t="s">
        <v>4415</v>
      </c>
      <c r="B1642">
        <f>IFERROR(VLOOKUP(A1642,管理亚马逊库存!A:K,11,0),"")</f>
        <v>7</v>
      </c>
      <c r="C1642">
        <f>IFERROR(VLOOKUP(A1642,管理亚马逊库存!A:L,12,0),"")</f>
        <v>0</v>
      </c>
      <c r="D1642">
        <f>IFERROR(VLOOKUP(A1642,管理亚马逊库存!A:Q,17,0),"")</f>
        <v>0</v>
      </c>
      <c r="E1642">
        <f>IFERROR(VLOOKUP(A1642,管理亚马逊库存!A:R,18,0),"")</f>
        <v>0</v>
      </c>
      <c r="F1642">
        <f t="shared" si="51"/>
        <v>0</v>
      </c>
      <c r="G1642" t="str">
        <f>IFERROR(VLOOKUP(A1642,预留库存!A:G,7,0),0)</f>
        <v>No</v>
      </c>
      <c r="H1642">
        <f>IFERROR(VLOOKUP(A1642,预留库存!A:H,8,0),0)</f>
        <v>0</v>
      </c>
      <c r="I1642">
        <f>IFERROR(VLOOKUP(A1642,预留库存!A:F,6,0),0)</f>
        <v>24.98</v>
      </c>
      <c r="J1642">
        <f>IFERROR(VLOOKUP(A1642,库龄!B:K,9,0),0)</f>
        <v>0</v>
      </c>
      <c r="K1642">
        <f>IFERROR(VLOOKUP(A1642,库龄!B:L,10,0),0)</f>
        <v>7</v>
      </c>
      <c r="L1642">
        <f>IFERROR(VLOOKUP(A1642,库龄!B:M,11,0),0)</f>
        <v>0</v>
      </c>
      <c r="M1642">
        <f>IFERROR(VLOOKUP(A1642,库龄!B:N,12,0),0)</f>
        <v>0</v>
      </c>
      <c r="N1642">
        <f t="shared" si="52"/>
        <v>7</v>
      </c>
    </row>
    <row r="1643" spans="1:14">
      <c r="A1643" s="3" t="s">
        <v>4416</v>
      </c>
      <c r="B1643">
        <f>IFERROR(VLOOKUP(A1643,管理亚马逊库存!A:K,11,0),"")</f>
        <v>0</v>
      </c>
      <c r="C1643">
        <f>IFERROR(VLOOKUP(A1643,管理亚马逊库存!A:L,12,0),"")</f>
        <v>0</v>
      </c>
      <c r="D1643">
        <f>IFERROR(VLOOKUP(A1643,管理亚马逊库存!A:Q,17,0),"")</f>
        <v>0</v>
      </c>
      <c r="E1643">
        <f>IFERROR(VLOOKUP(A1643,管理亚马逊库存!A:R,18,0),"")</f>
        <v>0</v>
      </c>
      <c r="F1643">
        <f t="shared" si="51"/>
        <v>0</v>
      </c>
      <c r="G1643" t="str">
        <f>IFERROR(VLOOKUP(A1643,预留库存!A:G,7,0),0)</f>
        <v>No</v>
      </c>
      <c r="H1643">
        <f>IFERROR(VLOOKUP(A1643,预留库存!A:H,8,0),0)</f>
        <v>0</v>
      </c>
      <c r="I1643">
        <f>IFERROR(VLOOKUP(A1643,预留库存!A:F,6,0),0)</f>
        <v>24.98</v>
      </c>
      <c r="J1643">
        <f>IFERROR(VLOOKUP(A1643,库龄!B:K,9,0),0)</f>
        <v>0</v>
      </c>
      <c r="K1643">
        <f>IFERROR(VLOOKUP(A1643,库龄!B:L,10,0),0)</f>
        <v>0</v>
      </c>
      <c r="L1643">
        <f>IFERROR(VLOOKUP(A1643,库龄!B:M,11,0),0)</f>
        <v>0</v>
      </c>
      <c r="M1643">
        <f>IFERROR(VLOOKUP(A1643,库龄!B:N,12,0),0)</f>
        <v>0</v>
      </c>
      <c r="N1643">
        <f t="shared" si="52"/>
        <v>0</v>
      </c>
    </row>
    <row r="1644" spans="1:14">
      <c r="A1644" s="3" t="s">
        <v>4417</v>
      </c>
      <c r="B1644">
        <f>IFERROR(VLOOKUP(A1644,管理亚马逊库存!A:K,11,0),"")</f>
        <v>2</v>
      </c>
      <c r="C1644">
        <f>IFERROR(VLOOKUP(A1644,管理亚马逊库存!A:L,12,0),"")</f>
        <v>0</v>
      </c>
      <c r="D1644">
        <f>IFERROR(VLOOKUP(A1644,管理亚马逊库存!A:Q,17,0),"")</f>
        <v>0</v>
      </c>
      <c r="E1644">
        <f>IFERROR(VLOOKUP(A1644,管理亚马逊库存!A:R,18,0),"")</f>
        <v>0</v>
      </c>
      <c r="F1644">
        <f t="shared" si="51"/>
        <v>0</v>
      </c>
      <c r="G1644" t="str">
        <f>IFERROR(VLOOKUP(A1644,预留库存!A:G,7,0),0)</f>
        <v>No</v>
      </c>
      <c r="H1644">
        <f>IFERROR(VLOOKUP(A1644,预留库存!A:H,8,0),0)</f>
        <v>0</v>
      </c>
      <c r="I1644">
        <f>IFERROR(VLOOKUP(A1644,预留库存!A:F,6,0),0)</f>
        <v>24.98</v>
      </c>
      <c r="J1644">
        <f>IFERROR(VLOOKUP(A1644,库龄!B:K,9,0),0)</f>
        <v>1</v>
      </c>
      <c r="K1644">
        <f>IFERROR(VLOOKUP(A1644,库龄!B:L,10,0),0)</f>
        <v>1</v>
      </c>
      <c r="L1644">
        <f>IFERROR(VLOOKUP(A1644,库龄!B:M,11,0),0)</f>
        <v>0</v>
      </c>
      <c r="M1644">
        <f>IFERROR(VLOOKUP(A1644,库龄!B:N,12,0),0)</f>
        <v>0</v>
      </c>
      <c r="N1644">
        <f t="shared" si="52"/>
        <v>2</v>
      </c>
    </row>
    <row r="1645" spans="1:14">
      <c r="A1645" s="3" t="s">
        <v>4418</v>
      </c>
      <c r="B1645">
        <f>IFERROR(VLOOKUP(A1645,管理亚马逊库存!A:K,11,0),"")</f>
        <v>3</v>
      </c>
      <c r="C1645">
        <f>IFERROR(VLOOKUP(A1645,管理亚马逊库存!A:L,12,0),"")</f>
        <v>0</v>
      </c>
      <c r="D1645">
        <f>IFERROR(VLOOKUP(A1645,管理亚马逊库存!A:Q,17,0),"")</f>
        <v>0</v>
      </c>
      <c r="E1645">
        <f>IFERROR(VLOOKUP(A1645,管理亚马逊库存!A:R,18,0),"")</f>
        <v>0</v>
      </c>
      <c r="F1645">
        <f t="shared" si="51"/>
        <v>0</v>
      </c>
      <c r="G1645" t="str">
        <f>IFERROR(VLOOKUP(A1645,预留库存!A:G,7,0),0)</f>
        <v>No</v>
      </c>
      <c r="H1645">
        <f>IFERROR(VLOOKUP(A1645,预留库存!A:H,8,0),0)</f>
        <v>0</v>
      </c>
      <c r="I1645">
        <f>IFERROR(VLOOKUP(A1645,预留库存!A:F,6,0),0)</f>
        <v>24.98</v>
      </c>
      <c r="J1645">
        <f>IFERROR(VLOOKUP(A1645,库龄!B:K,9,0),0)</f>
        <v>1</v>
      </c>
      <c r="K1645">
        <f>IFERROR(VLOOKUP(A1645,库龄!B:L,10,0),0)</f>
        <v>2</v>
      </c>
      <c r="L1645">
        <f>IFERROR(VLOOKUP(A1645,库龄!B:M,11,0),0)</f>
        <v>0</v>
      </c>
      <c r="M1645">
        <f>IFERROR(VLOOKUP(A1645,库龄!B:N,12,0),0)</f>
        <v>0</v>
      </c>
      <c r="N1645">
        <f t="shared" si="52"/>
        <v>3</v>
      </c>
    </row>
    <row r="1646" spans="1:14">
      <c r="A1646" s="3" t="s">
        <v>4419</v>
      </c>
      <c r="B1646">
        <f>IFERROR(VLOOKUP(A1646,管理亚马逊库存!A:K,11,0),"")</f>
        <v>3</v>
      </c>
      <c r="C1646">
        <f>IFERROR(VLOOKUP(A1646,管理亚马逊库存!A:L,12,0),"")</f>
        <v>0</v>
      </c>
      <c r="D1646">
        <f>IFERROR(VLOOKUP(A1646,管理亚马逊库存!A:Q,17,0),"")</f>
        <v>0</v>
      </c>
      <c r="E1646">
        <f>IFERROR(VLOOKUP(A1646,管理亚马逊库存!A:R,18,0),"")</f>
        <v>0</v>
      </c>
      <c r="F1646">
        <f t="shared" si="51"/>
        <v>0</v>
      </c>
      <c r="G1646" t="str">
        <f>IFERROR(VLOOKUP(A1646,预留库存!A:G,7,0),0)</f>
        <v>No</v>
      </c>
      <c r="H1646">
        <f>IFERROR(VLOOKUP(A1646,预留库存!A:H,8,0),0)</f>
        <v>0</v>
      </c>
      <c r="I1646">
        <f>IFERROR(VLOOKUP(A1646,预留库存!A:F,6,0),0)</f>
        <v>24.98</v>
      </c>
      <c r="J1646">
        <f>IFERROR(VLOOKUP(A1646,库龄!B:K,9,0),0)</f>
        <v>0</v>
      </c>
      <c r="K1646">
        <f>IFERROR(VLOOKUP(A1646,库龄!B:L,10,0),0)</f>
        <v>1</v>
      </c>
      <c r="L1646">
        <f>IFERROR(VLOOKUP(A1646,库龄!B:M,11,0),0)</f>
        <v>0</v>
      </c>
      <c r="M1646">
        <f>IFERROR(VLOOKUP(A1646,库龄!B:N,12,0),0)</f>
        <v>0</v>
      </c>
      <c r="N1646">
        <f t="shared" si="52"/>
        <v>1</v>
      </c>
    </row>
    <row r="1647" spans="1:14">
      <c r="A1647" s="3" t="s">
        <v>4420</v>
      </c>
      <c r="B1647">
        <f>IFERROR(VLOOKUP(A1647,管理亚马逊库存!A:K,11,0),"")</f>
        <v>0</v>
      </c>
      <c r="C1647">
        <f>IFERROR(VLOOKUP(A1647,管理亚马逊库存!A:L,12,0),"")</f>
        <v>0</v>
      </c>
      <c r="D1647">
        <f>IFERROR(VLOOKUP(A1647,管理亚马逊库存!A:Q,17,0),"")</f>
        <v>0</v>
      </c>
      <c r="E1647">
        <f>IFERROR(VLOOKUP(A1647,管理亚马逊库存!A:R,18,0),"")</f>
        <v>0</v>
      </c>
      <c r="F1647">
        <f t="shared" si="51"/>
        <v>0</v>
      </c>
      <c r="G1647">
        <f>IFERROR(VLOOKUP(A1647,预留库存!A:G,7,0),0)</f>
        <v>0</v>
      </c>
      <c r="H1647">
        <f>IFERROR(VLOOKUP(A1647,预留库存!A:H,8,0),0)</f>
        <v>0</v>
      </c>
      <c r="I1647">
        <f>IFERROR(VLOOKUP(A1647,预留库存!A:F,6,0),0)</f>
        <v>0</v>
      </c>
      <c r="J1647">
        <f>IFERROR(VLOOKUP(A1647,库龄!B:K,9,0),0)</f>
        <v>0</v>
      </c>
      <c r="K1647">
        <f>IFERROR(VLOOKUP(A1647,库龄!B:L,10,0),0)</f>
        <v>0</v>
      </c>
      <c r="L1647">
        <f>IFERROR(VLOOKUP(A1647,库龄!B:M,11,0),0)</f>
        <v>0</v>
      </c>
      <c r="M1647">
        <f>IFERROR(VLOOKUP(A1647,库龄!B:N,12,0),0)</f>
        <v>0</v>
      </c>
      <c r="N1647">
        <f t="shared" si="52"/>
        <v>0</v>
      </c>
    </row>
    <row r="1648" spans="1:14">
      <c r="A1648" s="3" t="s">
        <v>4421</v>
      </c>
      <c r="B1648">
        <f>IFERROR(VLOOKUP(A1648,管理亚马逊库存!A:K,11,0),"")</f>
        <v>5</v>
      </c>
      <c r="C1648">
        <f>IFERROR(VLOOKUP(A1648,管理亚马逊库存!A:L,12,0),"")</f>
        <v>0</v>
      </c>
      <c r="D1648">
        <f>IFERROR(VLOOKUP(A1648,管理亚马逊库存!A:Q,17,0),"")</f>
        <v>0</v>
      </c>
      <c r="E1648">
        <f>IFERROR(VLOOKUP(A1648,管理亚马逊库存!A:R,18,0),"")</f>
        <v>0</v>
      </c>
      <c r="F1648">
        <f t="shared" si="51"/>
        <v>0</v>
      </c>
      <c r="G1648" t="str">
        <f>IFERROR(VLOOKUP(A1648,预留库存!A:G,7,0),0)</f>
        <v>No</v>
      </c>
      <c r="H1648">
        <f>IFERROR(VLOOKUP(A1648,预留库存!A:H,8,0),0)</f>
        <v>0</v>
      </c>
      <c r="I1648">
        <f>IFERROR(VLOOKUP(A1648,预留库存!A:F,6,0),0)</f>
        <v>24.98</v>
      </c>
      <c r="J1648">
        <f>IFERROR(VLOOKUP(A1648,库龄!B:K,9,0),0)</f>
        <v>1</v>
      </c>
      <c r="K1648">
        <f>IFERROR(VLOOKUP(A1648,库龄!B:L,10,0),0)</f>
        <v>4</v>
      </c>
      <c r="L1648">
        <f>IFERROR(VLOOKUP(A1648,库龄!B:M,11,0),0)</f>
        <v>0</v>
      </c>
      <c r="M1648">
        <f>IFERROR(VLOOKUP(A1648,库龄!B:N,12,0),0)</f>
        <v>0</v>
      </c>
      <c r="N1648">
        <f t="shared" si="52"/>
        <v>5</v>
      </c>
    </row>
    <row r="1649" spans="1:14">
      <c r="A1649" s="3" t="s">
        <v>4422</v>
      </c>
      <c r="B1649">
        <f>IFERROR(VLOOKUP(A1649,管理亚马逊库存!A:K,11,0),"")</f>
        <v>3</v>
      </c>
      <c r="C1649">
        <f>IFERROR(VLOOKUP(A1649,管理亚马逊库存!A:L,12,0),"")</f>
        <v>0</v>
      </c>
      <c r="D1649">
        <f>IFERROR(VLOOKUP(A1649,管理亚马逊库存!A:Q,17,0),"")</f>
        <v>0</v>
      </c>
      <c r="E1649">
        <f>IFERROR(VLOOKUP(A1649,管理亚马逊库存!A:R,18,0),"")</f>
        <v>0</v>
      </c>
      <c r="F1649">
        <f t="shared" si="51"/>
        <v>0</v>
      </c>
      <c r="G1649" t="str">
        <f>IFERROR(VLOOKUP(A1649,预留库存!A:G,7,0),0)</f>
        <v>No</v>
      </c>
      <c r="H1649">
        <f>IFERROR(VLOOKUP(A1649,预留库存!A:H,8,0),0)</f>
        <v>0</v>
      </c>
      <c r="I1649">
        <f>IFERROR(VLOOKUP(A1649,预留库存!A:F,6,0),0)</f>
        <v>24.98</v>
      </c>
      <c r="J1649">
        <f>IFERROR(VLOOKUP(A1649,库龄!B:K,9,0),0)</f>
        <v>2</v>
      </c>
      <c r="K1649">
        <f>IFERROR(VLOOKUP(A1649,库龄!B:L,10,0),0)</f>
        <v>1</v>
      </c>
      <c r="L1649">
        <f>IFERROR(VLOOKUP(A1649,库龄!B:M,11,0),0)</f>
        <v>0</v>
      </c>
      <c r="M1649">
        <f>IFERROR(VLOOKUP(A1649,库龄!B:N,12,0),0)</f>
        <v>0</v>
      </c>
      <c r="N1649">
        <f t="shared" si="52"/>
        <v>3</v>
      </c>
    </row>
    <row r="1650" spans="1:14">
      <c r="A1650" s="3" t="s">
        <v>4423</v>
      </c>
      <c r="B1650">
        <f>IFERROR(VLOOKUP(A1650,管理亚马逊库存!A:K,11,0),"")</f>
        <v>4</v>
      </c>
      <c r="C1650">
        <f>IFERROR(VLOOKUP(A1650,管理亚马逊库存!A:L,12,0),"")</f>
        <v>0</v>
      </c>
      <c r="D1650">
        <f>IFERROR(VLOOKUP(A1650,管理亚马逊库存!A:Q,17,0),"")</f>
        <v>0</v>
      </c>
      <c r="E1650">
        <f>IFERROR(VLOOKUP(A1650,管理亚马逊库存!A:R,18,0),"")</f>
        <v>0</v>
      </c>
      <c r="F1650">
        <f t="shared" si="51"/>
        <v>0</v>
      </c>
      <c r="G1650" t="str">
        <f>IFERROR(VLOOKUP(A1650,预留库存!A:G,7,0),0)</f>
        <v>No</v>
      </c>
      <c r="H1650">
        <f>IFERROR(VLOOKUP(A1650,预留库存!A:H,8,0),0)</f>
        <v>0</v>
      </c>
      <c r="I1650">
        <f>IFERROR(VLOOKUP(A1650,预留库存!A:F,6,0),0)</f>
        <v>24.98</v>
      </c>
      <c r="J1650">
        <f>IFERROR(VLOOKUP(A1650,库龄!B:K,9,0),0)</f>
        <v>0</v>
      </c>
      <c r="K1650">
        <f>IFERROR(VLOOKUP(A1650,库龄!B:L,10,0),0)</f>
        <v>3</v>
      </c>
      <c r="L1650">
        <f>IFERROR(VLOOKUP(A1650,库龄!B:M,11,0),0)</f>
        <v>0</v>
      </c>
      <c r="M1650">
        <f>IFERROR(VLOOKUP(A1650,库龄!B:N,12,0),0)</f>
        <v>0</v>
      </c>
      <c r="N1650">
        <f t="shared" si="52"/>
        <v>3</v>
      </c>
    </row>
    <row r="1651" spans="1:14">
      <c r="A1651" s="3" t="s">
        <v>4424</v>
      </c>
      <c r="B1651">
        <f>IFERROR(VLOOKUP(A1651,管理亚马逊库存!A:K,11,0),"")</f>
        <v>2</v>
      </c>
      <c r="C1651">
        <f>IFERROR(VLOOKUP(A1651,管理亚马逊库存!A:L,12,0),"")</f>
        <v>0</v>
      </c>
      <c r="D1651">
        <f>IFERROR(VLOOKUP(A1651,管理亚马逊库存!A:Q,17,0),"")</f>
        <v>0</v>
      </c>
      <c r="E1651">
        <f>IFERROR(VLOOKUP(A1651,管理亚马逊库存!A:R,18,0),"")</f>
        <v>0</v>
      </c>
      <c r="F1651">
        <f t="shared" si="51"/>
        <v>0</v>
      </c>
      <c r="G1651" t="str">
        <f>IFERROR(VLOOKUP(A1651,预留库存!A:G,7,0),0)</f>
        <v>No</v>
      </c>
      <c r="H1651">
        <f>IFERROR(VLOOKUP(A1651,预留库存!A:H,8,0),0)</f>
        <v>0</v>
      </c>
      <c r="I1651">
        <f>IFERROR(VLOOKUP(A1651,预留库存!A:F,6,0),0)</f>
        <v>24.98</v>
      </c>
      <c r="J1651">
        <f>IFERROR(VLOOKUP(A1651,库龄!B:K,9,0),0)</f>
        <v>0</v>
      </c>
      <c r="K1651">
        <f>IFERROR(VLOOKUP(A1651,库龄!B:L,10,0),0)</f>
        <v>2</v>
      </c>
      <c r="L1651">
        <f>IFERROR(VLOOKUP(A1651,库龄!B:M,11,0),0)</f>
        <v>0</v>
      </c>
      <c r="M1651">
        <f>IFERROR(VLOOKUP(A1651,库龄!B:N,12,0),0)</f>
        <v>0</v>
      </c>
      <c r="N1651">
        <f t="shared" si="52"/>
        <v>2</v>
      </c>
    </row>
    <row r="1652" spans="1:14">
      <c r="A1652" s="3" t="s">
        <v>4425</v>
      </c>
      <c r="B1652">
        <f>IFERROR(VLOOKUP(A1652,管理亚马逊库存!A:K,11,0),"")</f>
        <v>6</v>
      </c>
      <c r="C1652">
        <f>IFERROR(VLOOKUP(A1652,管理亚马逊库存!A:L,12,0),"")</f>
        <v>0</v>
      </c>
      <c r="D1652">
        <f>IFERROR(VLOOKUP(A1652,管理亚马逊库存!A:Q,17,0),"")</f>
        <v>0</v>
      </c>
      <c r="E1652">
        <f>IFERROR(VLOOKUP(A1652,管理亚马逊库存!A:R,18,0),"")</f>
        <v>0</v>
      </c>
      <c r="F1652">
        <f t="shared" si="51"/>
        <v>0</v>
      </c>
      <c r="G1652" t="str">
        <f>IFERROR(VLOOKUP(A1652,预留库存!A:G,7,0),0)</f>
        <v>No</v>
      </c>
      <c r="H1652">
        <f>IFERROR(VLOOKUP(A1652,预留库存!A:H,8,0),0)</f>
        <v>0</v>
      </c>
      <c r="I1652">
        <f>IFERROR(VLOOKUP(A1652,预留库存!A:F,6,0),0)</f>
        <v>24.98</v>
      </c>
      <c r="J1652">
        <f>IFERROR(VLOOKUP(A1652,库龄!B:K,9,0),0)</f>
        <v>0</v>
      </c>
      <c r="K1652">
        <f>IFERROR(VLOOKUP(A1652,库龄!B:L,10,0),0)</f>
        <v>6</v>
      </c>
      <c r="L1652">
        <f>IFERROR(VLOOKUP(A1652,库龄!B:M,11,0),0)</f>
        <v>0</v>
      </c>
      <c r="M1652">
        <f>IFERROR(VLOOKUP(A1652,库龄!B:N,12,0),0)</f>
        <v>0</v>
      </c>
      <c r="N1652">
        <f t="shared" si="52"/>
        <v>6</v>
      </c>
    </row>
    <row r="1653" spans="1:14">
      <c r="A1653" s="3" t="s">
        <v>4426</v>
      </c>
      <c r="B1653">
        <f>IFERROR(VLOOKUP(A1653,管理亚马逊库存!A:K,11,0),"")</f>
        <v>6</v>
      </c>
      <c r="C1653">
        <f>IFERROR(VLOOKUP(A1653,管理亚马逊库存!A:L,12,0),"")</f>
        <v>0</v>
      </c>
      <c r="D1653">
        <f>IFERROR(VLOOKUP(A1653,管理亚马逊库存!A:Q,17,0),"")</f>
        <v>0</v>
      </c>
      <c r="E1653">
        <f>IFERROR(VLOOKUP(A1653,管理亚马逊库存!A:R,18,0),"")</f>
        <v>0</v>
      </c>
      <c r="F1653">
        <f t="shared" si="51"/>
        <v>0</v>
      </c>
      <c r="G1653" t="str">
        <f>IFERROR(VLOOKUP(A1653,预留库存!A:G,7,0),0)</f>
        <v>No</v>
      </c>
      <c r="H1653">
        <f>IFERROR(VLOOKUP(A1653,预留库存!A:H,8,0),0)</f>
        <v>0</v>
      </c>
      <c r="I1653">
        <f>IFERROR(VLOOKUP(A1653,预留库存!A:F,6,0),0)</f>
        <v>24.98</v>
      </c>
      <c r="J1653">
        <f>IFERROR(VLOOKUP(A1653,库龄!B:K,9,0),0)</f>
        <v>1</v>
      </c>
      <c r="K1653">
        <f>IFERROR(VLOOKUP(A1653,库龄!B:L,10,0),0)</f>
        <v>5</v>
      </c>
      <c r="L1653">
        <f>IFERROR(VLOOKUP(A1653,库龄!B:M,11,0),0)</f>
        <v>0</v>
      </c>
      <c r="M1653">
        <f>IFERROR(VLOOKUP(A1653,库龄!B:N,12,0),0)</f>
        <v>0</v>
      </c>
      <c r="N1653">
        <f t="shared" si="52"/>
        <v>6</v>
      </c>
    </row>
    <row r="1654" spans="1:14">
      <c r="A1654" s="3" t="s">
        <v>4427</v>
      </c>
      <c r="B1654">
        <f>IFERROR(VLOOKUP(A1654,管理亚马逊库存!A:K,11,0),"")</f>
        <v>6</v>
      </c>
      <c r="C1654">
        <f>IFERROR(VLOOKUP(A1654,管理亚马逊库存!A:L,12,0),"")</f>
        <v>0</v>
      </c>
      <c r="D1654">
        <f>IFERROR(VLOOKUP(A1654,管理亚马逊库存!A:Q,17,0),"")</f>
        <v>0</v>
      </c>
      <c r="E1654">
        <f>IFERROR(VLOOKUP(A1654,管理亚马逊库存!A:R,18,0),"")</f>
        <v>0</v>
      </c>
      <c r="F1654">
        <f t="shared" si="51"/>
        <v>0</v>
      </c>
      <c r="G1654" t="str">
        <f>IFERROR(VLOOKUP(A1654,预留库存!A:G,7,0),0)</f>
        <v>No</v>
      </c>
      <c r="H1654">
        <f>IFERROR(VLOOKUP(A1654,预留库存!A:H,8,0),0)</f>
        <v>0</v>
      </c>
      <c r="I1654">
        <f>IFERROR(VLOOKUP(A1654,预留库存!A:F,6,0),0)</f>
        <v>24.98</v>
      </c>
      <c r="J1654">
        <f>IFERROR(VLOOKUP(A1654,库龄!B:K,9,0),0)</f>
        <v>0</v>
      </c>
      <c r="K1654">
        <f>IFERROR(VLOOKUP(A1654,库龄!B:L,10,0),0)</f>
        <v>5</v>
      </c>
      <c r="L1654">
        <f>IFERROR(VLOOKUP(A1654,库龄!B:M,11,0),0)</f>
        <v>0</v>
      </c>
      <c r="M1654">
        <f>IFERROR(VLOOKUP(A1654,库龄!B:N,12,0),0)</f>
        <v>0</v>
      </c>
      <c r="N1654">
        <f t="shared" si="52"/>
        <v>5</v>
      </c>
    </row>
    <row r="1655" spans="1:14">
      <c r="A1655" s="3" t="s">
        <v>4428</v>
      </c>
      <c r="B1655">
        <f>IFERROR(VLOOKUP(A1655,管理亚马逊库存!A:K,11,0),"")</f>
        <v>1</v>
      </c>
      <c r="C1655">
        <f>IFERROR(VLOOKUP(A1655,管理亚马逊库存!A:L,12,0),"")</f>
        <v>0</v>
      </c>
      <c r="D1655">
        <f>IFERROR(VLOOKUP(A1655,管理亚马逊库存!A:Q,17,0),"")</f>
        <v>0</v>
      </c>
      <c r="E1655">
        <f>IFERROR(VLOOKUP(A1655,管理亚马逊库存!A:R,18,0),"")</f>
        <v>0</v>
      </c>
      <c r="F1655">
        <f t="shared" si="51"/>
        <v>0</v>
      </c>
      <c r="G1655" t="str">
        <f>IFERROR(VLOOKUP(A1655,预留库存!A:G,7,0),0)</f>
        <v>No</v>
      </c>
      <c r="H1655">
        <f>IFERROR(VLOOKUP(A1655,预留库存!A:H,8,0),0)</f>
        <v>0</v>
      </c>
      <c r="I1655">
        <f>IFERROR(VLOOKUP(A1655,预留库存!A:F,6,0),0)</f>
        <v>24.98</v>
      </c>
      <c r="J1655">
        <f>IFERROR(VLOOKUP(A1655,库龄!B:K,9,0),0)</f>
        <v>0</v>
      </c>
      <c r="K1655">
        <f>IFERROR(VLOOKUP(A1655,库龄!B:L,10,0),0)</f>
        <v>1</v>
      </c>
      <c r="L1655">
        <f>IFERROR(VLOOKUP(A1655,库龄!B:M,11,0),0)</f>
        <v>0</v>
      </c>
      <c r="M1655">
        <f>IFERROR(VLOOKUP(A1655,库龄!B:N,12,0),0)</f>
        <v>0</v>
      </c>
      <c r="N1655">
        <f t="shared" si="52"/>
        <v>1</v>
      </c>
    </row>
    <row r="1656" spans="1:14">
      <c r="A1656" s="3" t="s">
        <v>4429</v>
      </c>
      <c r="B1656">
        <f>IFERROR(VLOOKUP(A1656,管理亚马逊库存!A:K,11,0),"")</f>
        <v>4</v>
      </c>
      <c r="C1656">
        <f>IFERROR(VLOOKUP(A1656,管理亚马逊库存!A:L,12,0),"")</f>
        <v>0</v>
      </c>
      <c r="D1656">
        <f>IFERROR(VLOOKUP(A1656,管理亚马逊库存!A:Q,17,0),"")</f>
        <v>0</v>
      </c>
      <c r="E1656">
        <f>IFERROR(VLOOKUP(A1656,管理亚马逊库存!A:R,18,0),"")</f>
        <v>0</v>
      </c>
      <c r="F1656">
        <f t="shared" si="51"/>
        <v>0</v>
      </c>
      <c r="G1656" t="str">
        <f>IFERROR(VLOOKUP(A1656,预留库存!A:G,7,0),0)</f>
        <v>No</v>
      </c>
      <c r="H1656">
        <f>IFERROR(VLOOKUP(A1656,预留库存!A:H,8,0),0)</f>
        <v>0</v>
      </c>
      <c r="I1656">
        <f>IFERROR(VLOOKUP(A1656,预留库存!A:F,6,0),0)</f>
        <v>24.98</v>
      </c>
      <c r="J1656">
        <f>IFERROR(VLOOKUP(A1656,库龄!B:K,9,0),0)</f>
        <v>0</v>
      </c>
      <c r="K1656">
        <f>IFERROR(VLOOKUP(A1656,库龄!B:L,10,0),0)</f>
        <v>3</v>
      </c>
      <c r="L1656">
        <f>IFERROR(VLOOKUP(A1656,库龄!B:M,11,0),0)</f>
        <v>0</v>
      </c>
      <c r="M1656">
        <f>IFERROR(VLOOKUP(A1656,库龄!B:N,12,0),0)</f>
        <v>0</v>
      </c>
      <c r="N1656">
        <f t="shared" si="52"/>
        <v>3</v>
      </c>
    </row>
    <row r="1657" spans="1:14">
      <c r="A1657" s="3" t="s">
        <v>4430</v>
      </c>
      <c r="B1657">
        <f>IFERROR(VLOOKUP(A1657,管理亚马逊库存!A:K,11,0),"")</f>
        <v>5</v>
      </c>
      <c r="C1657">
        <f>IFERROR(VLOOKUP(A1657,管理亚马逊库存!A:L,12,0),"")</f>
        <v>0</v>
      </c>
      <c r="D1657">
        <f>IFERROR(VLOOKUP(A1657,管理亚马逊库存!A:Q,17,0),"")</f>
        <v>0</v>
      </c>
      <c r="E1657">
        <f>IFERROR(VLOOKUP(A1657,管理亚马逊库存!A:R,18,0),"")</f>
        <v>0</v>
      </c>
      <c r="F1657">
        <f t="shared" si="51"/>
        <v>0</v>
      </c>
      <c r="G1657" t="str">
        <f>IFERROR(VLOOKUP(A1657,预留库存!A:G,7,0),0)</f>
        <v>No</v>
      </c>
      <c r="H1657">
        <f>IFERROR(VLOOKUP(A1657,预留库存!A:H,8,0),0)</f>
        <v>0</v>
      </c>
      <c r="I1657">
        <f>IFERROR(VLOOKUP(A1657,预留库存!A:F,6,0),0)</f>
        <v>24.98</v>
      </c>
      <c r="J1657">
        <f>IFERROR(VLOOKUP(A1657,库龄!B:K,9,0),0)</f>
        <v>0</v>
      </c>
      <c r="K1657">
        <f>IFERROR(VLOOKUP(A1657,库龄!B:L,10,0),0)</f>
        <v>5</v>
      </c>
      <c r="L1657">
        <f>IFERROR(VLOOKUP(A1657,库龄!B:M,11,0),0)</f>
        <v>0</v>
      </c>
      <c r="M1657">
        <f>IFERROR(VLOOKUP(A1657,库龄!B:N,12,0),0)</f>
        <v>0</v>
      </c>
      <c r="N1657">
        <f t="shared" si="52"/>
        <v>5</v>
      </c>
    </row>
    <row r="1658" spans="1:14">
      <c r="A1658" s="3" t="s">
        <v>4431</v>
      </c>
      <c r="B1658">
        <f>IFERROR(VLOOKUP(A1658,管理亚马逊库存!A:K,11,0),"")</f>
        <v>10</v>
      </c>
      <c r="C1658">
        <f>IFERROR(VLOOKUP(A1658,管理亚马逊库存!A:L,12,0),"")</f>
        <v>0</v>
      </c>
      <c r="D1658">
        <f>IFERROR(VLOOKUP(A1658,管理亚马逊库存!A:Q,17,0),"")</f>
        <v>0</v>
      </c>
      <c r="E1658">
        <f>IFERROR(VLOOKUP(A1658,管理亚马逊库存!A:R,18,0),"")</f>
        <v>0</v>
      </c>
      <c r="F1658">
        <f t="shared" si="51"/>
        <v>0</v>
      </c>
      <c r="G1658" t="str">
        <f>IFERROR(VLOOKUP(A1658,预留库存!A:G,7,0),0)</f>
        <v>No</v>
      </c>
      <c r="H1658">
        <f>IFERROR(VLOOKUP(A1658,预留库存!A:H,8,0),0)</f>
        <v>0</v>
      </c>
      <c r="I1658">
        <f>IFERROR(VLOOKUP(A1658,预留库存!A:F,6,0),0)</f>
        <v>24.98</v>
      </c>
      <c r="J1658">
        <f>IFERROR(VLOOKUP(A1658,库龄!B:K,9,0),0)</f>
        <v>0</v>
      </c>
      <c r="K1658">
        <f>IFERROR(VLOOKUP(A1658,库龄!B:L,10,0),0)</f>
        <v>9</v>
      </c>
      <c r="L1658">
        <f>IFERROR(VLOOKUP(A1658,库龄!B:M,11,0),0)</f>
        <v>0</v>
      </c>
      <c r="M1658">
        <f>IFERROR(VLOOKUP(A1658,库龄!B:N,12,0),0)</f>
        <v>0</v>
      </c>
      <c r="N1658">
        <f t="shared" si="52"/>
        <v>9</v>
      </c>
    </row>
    <row r="1659" spans="1:14">
      <c r="A1659" s="3" t="s">
        <v>4432</v>
      </c>
      <c r="B1659">
        <f>IFERROR(VLOOKUP(A1659,管理亚马逊库存!A:K,11,0),"")</f>
        <v>4</v>
      </c>
      <c r="C1659">
        <f>IFERROR(VLOOKUP(A1659,管理亚马逊库存!A:L,12,0),"")</f>
        <v>0</v>
      </c>
      <c r="D1659">
        <f>IFERROR(VLOOKUP(A1659,管理亚马逊库存!A:Q,17,0),"")</f>
        <v>0</v>
      </c>
      <c r="E1659">
        <f>IFERROR(VLOOKUP(A1659,管理亚马逊库存!A:R,18,0),"")</f>
        <v>0</v>
      </c>
      <c r="F1659">
        <f t="shared" si="51"/>
        <v>0</v>
      </c>
      <c r="G1659" t="str">
        <f>IFERROR(VLOOKUP(A1659,预留库存!A:G,7,0),0)</f>
        <v>No</v>
      </c>
      <c r="H1659">
        <f>IFERROR(VLOOKUP(A1659,预留库存!A:H,8,0),0)</f>
        <v>0</v>
      </c>
      <c r="I1659">
        <f>IFERROR(VLOOKUP(A1659,预留库存!A:F,6,0),0)</f>
        <v>24.98</v>
      </c>
      <c r="J1659">
        <f>IFERROR(VLOOKUP(A1659,库龄!B:K,9,0),0)</f>
        <v>0</v>
      </c>
      <c r="K1659">
        <f>IFERROR(VLOOKUP(A1659,库龄!B:L,10,0),0)</f>
        <v>4</v>
      </c>
      <c r="L1659">
        <f>IFERROR(VLOOKUP(A1659,库龄!B:M,11,0),0)</f>
        <v>0</v>
      </c>
      <c r="M1659">
        <f>IFERROR(VLOOKUP(A1659,库龄!B:N,12,0),0)</f>
        <v>0</v>
      </c>
      <c r="N1659">
        <f t="shared" si="52"/>
        <v>4</v>
      </c>
    </row>
    <row r="1660" spans="1:14">
      <c r="A1660" s="3" t="s">
        <v>4433</v>
      </c>
      <c r="B1660">
        <f>IFERROR(VLOOKUP(A1660,管理亚马逊库存!A:K,11,0),"")</f>
        <v>7</v>
      </c>
      <c r="C1660">
        <f>IFERROR(VLOOKUP(A1660,管理亚马逊库存!A:L,12,0),"")</f>
        <v>0</v>
      </c>
      <c r="D1660">
        <f>IFERROR(VLOOKUP(A1660,管理亚马逊库存!A:Q,17,0),"")</f>
        <v>0</v>
      </c>
      <c r="E1660">
        <f>IFERROR(VLOOKUP(A1660,管理亚马逊库存!A:R,18,0),"")</f>
        <v>0</v>
      </c>
      <c r="F1660">
        <f t="shared" si="51"/>
        <v>0</v>
      </c>
      <c r="G1660" t="str">
        <f>IFERROR(VLOOKUP(A1660,预留库存!A:G,7,0),0)</f>
        <v>No</v>
      </c>
      <c r="H1660">
        <f>IFERROR(VLOOKUP(A1660,预留库存!A:H,8,0),0)</f>
        <v>0</v>
      </c>
      <c r="I1660">
        <f>IFERROR(VLOOKUP(A1660,预留库存!A:F,6,0),0)</f>
        <v>24.98</v>
      </c>
      <c r="J1660">
        <f>IFERROR(VLOOKUP(A1660,库龄!B:K,9,0),0)</f>
        <v>0</v>
      </c>
      <c r="K1660">
        <f>IFERROR(VLOOKUP(A1660,库龄!B:L,10,0),0)</f>
        <v>7</v>
      </c>
      <c r="L1660">
        <f>IFERROR(VLOOKUP(A1660,库龄!B:M,11,0),0)</f>
        <v>0</v>
      </c>
      <c r="M1660">
        <f>IFERROR(VLOOKUP(A1660,库龄!B:N,12,0),0)</f>
        <v>0</v>
      </c>
      <c r="N1660">
        <f t="shared" si="52"/>
        <v>7</v>
      </c>
    </row>
    <row r="1661" spans="1:14">
      <c r="A1661" s="3" t="s">
        <v>4434</v>
      </c>
      <c r="B1661">
        <f>IFERROR(VLOOKUP(A1661,管理亚马逊库存!A:K,11,0),"")</f>
        <v>0</v>
      </c>
      <c r="C1661">
        <f>IFERROR(VLOOKUP(A1661,管理亚马逊库存!A:L,12,0),"")</f>
        <v>0</v>
      </c>
      <c r="D1661">
        <f>IFERROR(VLOOKUP(A1661,管理亚马逊库存!A:Q,17,0),"")</f>
        <v>0</v>
      </c>
      <c r="E1661">
        <f>IFERROR(VLOOKUP(A1661,管理亚马逊库存!A:R,18,0),"")</f>
        <v>0</v>
      </c>
      <c r="F1661">
        <f t="shared" si="51"/>
        <v>0</v>
      </c>
      <c r="G1661">
        <f>IFERROR(VLOOKUP(A1661,预留库存!A:G,7,0),0)</f>
        <v>0</v>
      </c>
      <c r="H1661">
        <f>IFERROR(VLOOKUP(A1661,预留库存!A:H,8,0),0)</f>
        <v>0</v>
      </c>
      <c r="I1661">
        <f>IFERROR(VLOOKUP(A1661,预留库存!A:F,6,0),0)</f>
        <v>0</v>
      </c>
      <c r="J1661">
        <f>IFERROR(VLOOKUP(A1661,库龄!B:K,9,0),0)</f>
        <v>0</v>
      </c>
      <c r="K1661">
        <f>IFERROR(VLOOKUP(A1661,库龄!B:L,10,0),0)</f>
        <v>0</v>
      </c>
      <c r="L1661">
        <f>IFERROR(VLOOKUP(A1661,库龄!B:M,11,0),0)</f>
        <v>0</v>
      </c>
      <c r="M1661">
        <f>IFERROR(VLOOKUP(A1661,库龄!B:N,12,0),0)</f>
        <v>0</v>
      </c>
      <c r="N1661">
        <f t="shared" si="52"/>
        <v>0</v>
      </c>
    </row>
    <row r="1662" spans="1:14">
      <c r="A1662" s="3" t="s">
        <v>4436</v>
      </c>
      <c r="B1662">
        <f>IFERROR(VLOOKUP(A1662,管理亚马逊库存!A:K,11,0),"")</f>
        <v>0</v>
      </c>
      <c r="C1662">
        <f>IFERROR(VLOOKUP(A1662,管理亚马逊库存!A:L,12,0),"")</f>
        <v>0</v>
      </c>
      <c r="D1662">
        <f>IFERROR(VLOOKUP(A1662,管理亚马逊库存!A:Q,17,0),"")</f>
        <v>0</v>
      </c>
      <c r="E1662">
        <f>IFERROR(VLOOKUP(A1662,管理亚马逊库存!A:R,18,0),"")</f>
        <v>0</v>
      </c>
      <c r="F1662">
        <f t="shared" si="51"/>
        <v>0</v>
      </c>
      <c r="G1662">
        <f>IFERROR(VLOOKUP(A1662,预留库存!A:G,7,0),0)</f>
        <v>0</v>
      </c>
      <c r="H1662">
        <f>IFERROR(VLOOKUP(A1662,预留库存!A:H,8,0),0)</f>
        <v>0</v>
      </c>
      <c r="I1662">
        <f>IFERROR(VLOOKUP(A1662,预留库存!A:F,6,0),0)</f>
        <v>0</v>
      </c>
      <c r="J1662">
        <f>IFERROR(VLOOKUP(A1662,库龄!B:K,9,0),0)</f>
        <v>0</v>
      </c>
      <c r="K1662">
        <f>IFERROR(VLOOKUP(A1662,库龄!B:L,10,0),0)</f>
        <v>0</v>
      </c>
      <c r="L1662">
        <f>IFERROR(VLOOKUP(A1662,库龄!B:M,11,0),0)</f>
        <v>0</v>
      </c>
      <c r="M1662">
        <f>IFERROR(VLOOKUP(A1662,库龄!B:N,12,0),0)</f>
        <v>0</v>
      </c>
      <c r="N1662">
        <f t="shared" si="52"/>
        <v>0</v>
      </c>
    </row>
    <row r="1663" spans="1:14">
      <c r="A1663" s="3" t="s">
        <v>4438</v>
      </c>
      <c r="B1663">
        <f>IFERROR(VLOOKUP(A1663,管理亚马逊库存!A:K,11,0),"")</f>
        <v>0</v>
      </c>
      <c r="C1663">
        <f>IFERROR(VLOOKUP(A1663,管理亚马逊库存!A:L,12,0),"")</f>
        <v>0</v>
      </c>
      <c r="D1663">
        <f>IFERROR(VLOOKUP(A1663,管理亚马逊库存!A:Q,17,0),"")</f>
        <v>0</v>
      </c>
      <c r="E1663">
        <f>IFERROR(VLOOKUP(A1663,管理亚马逊库存!A:R,18,0),"")</f>
        <v>0</v>
      </c>
      <c r="F1663">
        <f t="shared" si="51"/>
        <v>0</v>
      </c>
      <c r="G1663" t="str">
        <f>IFERROR(VLOOKUP(A1663,预留库存!A:G,7,0),0)</f>
        <v>No</v>
      </c>
      <c r="H1663">
        <f>IFERROR(VLOOKUP(A1663,预留库存!A:H,8,0),0)</f>
        <v>0</v>
      </c>
      <c r="I1663">
        <f>IFERROR(VLOOKUP(A1663,预留库存!A:F,6,0),0)</f>
        <v>39.98</v>
      </c>
      <c r="J1663">
        <f>IFERROR(VLOOKUP(A1663,库龄!B:K,9,0),0)</f>
        <v>0</v>
      </c>
      <c r="K1663">
        <f>IFERROR(VLOOKUP(A1663,库龄!B:L,10,0),0)</f>
        <v>0</v>
      </c>
      <c r="L1663">
        <f>IFERROR(VLOOKUP(A1663,库龄!B:M,11,0),0)</f>
        <v>0</v>
      </c>
      <c r="M1663">
        <f>IFERROR(VLOOKUP(A1663,库龄!B:N,12,0),0)</f>
        <v>0</v>
      </c>
      <c r="N1663">
        <f t="shared" si="52"/>
        <v>0</v>
      </c>
    </row>
    <row r="1664" spans="1:14">
      <c r="A1664" s="3" t="s">
        <v>4441</v>
      </c>
      <c r="B1664">
        <f>IFERROR(VLOOKUP(A1664,管理亚马逊库存!A:K,11,0),"")</f>
        <v>0</v>
      </c>
      <c r="C1664">
        <f>IFERROR(VLOOKUP(A1664,管理亚马逊库存!A:L,12,0),"")</f>
        <v>0</v>
      </c>
      <c r="D1664">
        <f>IFERROR(VLOOKUP(A1664,管理亚马逊库存!A:Q,17,0),"")</f>
        <v>0</v>
      </c>
      <c r="E1664">
        <f>IFERROR(VLOOKUP(A1664,管理亚马逊库存!A:R,18,0),"")</f>
        <v>0</v>
      </c>
      <c r="F1664">
        <f t="shared" si="51"/>
        <v>0</v>
      </c>
      <c r="G1664">
        <f>IFERROR(VLOOKUP(A1664,预留库存!A:G,7,0),0)</f>
        <v>0</v>
      </c>
      <c r="H1664">
        <f>IFERROR(VLOOKUP(A1664,预留库存!A:H,8,0),0)</f>
        <v>0</v>
      </c>
      <c r="I1664">
        <f>IFERROR(VLOOKUP(A1664,预留库存!A:F,6,0),0)</f>
        <v>0</v>
      </c>
      <c r="J1664">
        <f>IFERROR(VLOOKUP(A1664,库龄!B:K,9,0),0)</f>
        <v>0</v>
      </c>
      <c r="K1664">
        <f>IFERROR(VLOOKUP(A1664,库龄!B:L,10,0),0)</f>
        <v>0</v>
      </c>
      <c r="L1664">
        <f>IFERROR(VLOOKUP(A1664,库龄!B:M,11,0),0)</f>
        <v>0</v>
      </c>
      <c r="M1664">
        <f>IFERROR(VLOOKUP(A1664,库龄!B:N,12,0),0)</f>
        <v>0</v>
      </c>
      <c r="N1664">
        <f t="shared" si="52"/>
        <v>0</v>
      </c>
    </row>
    <row r="1665" spans="1:14">
      <c r="A1665" s="3" t="s">
        <v>4443</v>
      </c>
      <c r="B1665">
        <f>IFERROR(VLOOKUP(A1665,管理亚马逊库存!A:K,11,0),"")</f>
        <v>0</v>
      </c>
      <c r="C1665">
        <f>IFERROR(VLOOKUP(A1665,管理亚马逊库存!A:L,12,0),"")</f>
        <v>0</v>
      </c>
      <c r="D1665">
        <f>IFERROR(VLOOKUP(A1665,管理亚马逊库存!A:Q,17,0),"")</f>
        <v>0</v>
      </c>
      <c r="E1665">
        <f>IFERROR(VLOOKUP(A1665,管理亚马逊库存!A:R,18,0),"")</f>
        <v>0</v>
      </c>
      <c r="F1665">
        <f t="shared" si="51"/>
        <v>0</v>
      </c>
      <c r="G1665" t="str">
        <f>IFERROR(VLOOKUP(A1665,预留库存!A:G,7,0),0)</f>
        <v>No</v>
      </c>
      <c r="H1665">
        <f>IFERROR(VLOOKUP(A1665,预留库存!A:H,8,0),0)</f>
        <v>0</v>
      </c>
      <c r="I1665">
        <f>IFERROR(VLOOKUP(A1665,预留库存!A:F,6,0),0)</f>
        <v>39.98</v>
      </c>
      <c r="J1665">
        <f>IFERROR(VLOOKUP(A1665,库龄!B:K,9,0),0)</f>
        <v>0</v>
      </c>
      <c r="K1665">
        <f>IFERROR(VLOOKUP(A1665,库龄!B:L,10,0),0)</f>
        <v>0</v>
      </c>
      <c r="L1665">
        <f>IFERROR(VLOOKUP(A1665,库龄!B:M,11,0),0)</f>
        <v>0</v>
      </c>
      <c r="M1665">
        <f>IFERROR(VLOOKUP(A1665,库龄!B:N,12,0),0)</f>
        <v>0</v>
      </c>
      <c r="N1665">
        <f t="shared" si="52"/>
        <v>0</v>
      </c>
    </row>
    <row r="1666" spans="1:14">
      <c r="A1666" s="3" t="s">
        <v>4446</v>
      </c>
      <c r="B1666">
        <f>IFERROR(VLOOKUP(A1666,管理亚马逊库存!A:K,11,0),"")</f>
        <v>0</v>
      </c>
      <c r="C1666">
        <f>IFERROR(VLOOKUP(A1666,管理亚马逊库存!A:L,12,0),"")</f>
        <v>0</v>
      </c>
      <c r="D1666">
        <f>IFERROR(VLOOKUP(A1666,管理亚马逊库存!A:Q,17,0),"")</f>
        <v>0</v>
      </c>
      <c r="E1666">
        <f>IFERROR(VLOOKUP(A1666,管理亚马逊库存!A:R,18,0),"")</f>
        <v>0</v>
      </c>
      <c r="F1666">
        <f t="shared" si="51"/>
        <v>0</v>
      </c>
      <c r="G1666">
        <f>IFERROR(VLOOKUP(A1666,预留库存!A:G,7,0),0)</f>
        <v>0</v>
      </c>
      <c r="H1666">
        <f>IFERROR(VLOOKUP(A1666,预留库存!A:H,8,0),0)</f>
        <v>0</v>
      </c>
      <c r="I1666">
        <f>IFERROR(VLOOKUP(A1666,预留库存!A:F,6,0),0)</f>
        <v>0</v>
      </c>
      <c r="J1666">
        <f>IFERROR(VLOOKUP(A1666,库龄!B:K,9,0),0)</f>
        <v>0</v>
      </c>
      <c r="K1666">
        <f>IFERROR(VLOOKUP(A1666,库龄!B:L,10,0),0)</f>
        <v>0</v>
      </c>
      <c r="L1666">
        <f>IFERROR(VLOOKUP(A1666,库龄!B:M,11,0),0)</f>
        <v>0</v>
      </c>
      <c r="M1666">
        <f>IFERROR(VLOOKUP(A1666,库龄!B:N,12,0),0)</f>
        <v>0</v>
      </c>
      <c r="N1666">
        <f t="shared" si="52"/>
        <v>0</v>
      </c>
    </row>
    <row r="1667" spans="1:14">
      <c r="A1667" s="3" t="s">
        <v>4448</v>
      </c>
      <c r="B1667">
        <f>IFERROR(VLOOKUP(A1667,管理亚马逊库存!A:K,11,0),"")</f>
        <v>5</v>
      </c>
      <c r="C1667">
        <f>IFERROR(VLOOKUP(A1667,管理亚马逊库存!A:L,12,0),"")</f>
        <v>0</v>
      </c>
      <c r="D1667">
        <f>IFERROR(VLOOKUP(A1667,管理亚马逊库存!A:Q,17,0),"")</f>
        <v>0</v>
      </c>
      <c r="E1667">
        <f>IFERROR(VLOOKUP(A1667,管理亚马逊库存!A:R,18,0),"")</f>
        <v>0</v>
      </c>
      <c r="F1667">
        <f t="shared" ref="F1667:F1730" si="53">SUM(D1667:E1667)</f>
        <v>0</v>
      </c>
      <c r="G1667" t="str">
        <f>IFERROR(VLOOKUP(A1667,预留库存!A:G,7,0),0)</f>
        <v>No</v>
      </c>
      <c r="H1667">
        <f>IFERROR(VLOOKUP(A1667,预留库存!A:H,8,0),0)</f>
        <v>0</v>
      </c>
      <c r="I1667">
        <f>IFERROR(VLOOKUP(A1667,预留库存!A:F,6,0),0)</f>
        <v>39.98</v>
      </c>
      <c r="J1667">
        <f>IFERROR(VLOOKUP(A1667,库龄!B:K,9,0),0)</f>
        <v>1</v>
      </c>
      <c r="K1667">
        <f>IFERROR(VLOOKUP(A1667,库龄!B:L,10,0),0)</f>
        <v>3</v>
      </c>
      <c r="L1667">
        <f>IFERROR(VLOOKUP(A1667,库龄!B:M,11,0),0)</f>
        <v>0</v>
      </c>
      <c r="M1667">
        <f>IFERROR(VLOOKUP(A1667,库龄!B:N,12,0),0)</f>
        <v>0</v>
      </c>
      <c r="N1667">
        <f t="shared" ref="N1667:N1730" si="54">SUM(J1667:M1667)</f>
        <v>4</v>
      </c>
    </row>
    <row r="1668" spans="1:14">
      <c r="A1668" s="3" t="s">
        <v>4451</v>
      </c>
      <c r="B1668">
        <f>IFERROR(VLOOKUP(A1668,管理亚马逊库存!A:K,11,0),"")</f>
        <v>0</v>
      </c>
      <c r="C1668">
        <f>IFERROR(VLOOKUP(A1668,管理亚马逊库存!A:L,12,0),"")</f>
        <v>0</v>
      </c>
      <c r="D1668">
        <f>IFERROR(VLOOKUP(A1668,管理亚马逊库存!A:Q,17,0),"")</f>
        <v>0</v>
      </c>
      <c r="E1668">
        <f>IFERROR(VLOOKUP(A1668,管理亚马逊库存!A:R,18,0),"")</f>
        <v>0</v>
      </c>
      <c r="F1668">
        <f t="shared" si="53"/>
        <v>0</v>
      </c>
      <c r="G1668">
        <f>IFERROR(VLOOKUP(A1668,预留库存!A:G,7,0),0)</f>
        <v>0</v>
      </c>
      <c r="H1668">
        <f>IFERROR(VLOOKUP(A1668,预留库存!A:H,8,0),0)</f>
        <v>0</v>
      </c>
      <c r="I1668">
        <f>IFERROR(VLOOKUP(A1668,预留库存!A:F,6,0),0)</f>
        <v>0</v>
      </c>
      <c r="J1668">
        <f>IFERROR(VLOOKUP(A1668,库龄!B:K,9,0),0)</f>
        <v>0</v>
      </c>
      <c r="K1668">
        <f>IFERROR(VLOOKUP(A1668,库龄!B:L,10,0),0)</f>
        <v>0</v>
      </c>
      <c r="L1668">
        <f>IFERROR(VLOOKUP(A1668,库龄!B:M,11,0),0)</f>
        <v>0</v>
      </c>
      <c r="M1668">
        <f>IFERROR(VLOOKUP(A1668,库龄!B:N,12,0),0)</f>
        <v>0</v>
      </c>
      <c r="N1668">
        <f t="shared" si="54"/>
        <v>0</v>
      </c>
    </row>
    <row r="1669" spans="1:14">
      <c r="A1669" s="3" t="s">
        <v>4453</v>
      </c>
      <c r="B1669">
        <f>IFERROR(VLOOKUP(A1669,管理亚马逊库存!A:K,11,0),"")</f>
        <v>2</v>
      </c>
      <c r="C1669">
        <f>IFERROR(VLOOKUP(A1669,管理亚马逊库存!A:L,12,0),"")</f>
        <v>0</v>
      </c>
      <c r="D1669">
        <f>IFERROR(VLOOKUP(A1669,管理亚马逊库存!A:Q,17,0),"")</f>
        <v>0</v>
      </c>
      <c r="E1669">
        <f>IFERROR(VLOOKUP(A1669,管理亚马逊库存!A:R,18,0),"")</f>
        <v>0</v>
      </c>
      <c r="F1669">
        <f t="shared" si="53"/>
        <v>0</v>
      </c>
      <c r="G1669" t="str">
        <f>IFERROR(VLOOKUP(A1669,预留库存!A:G,7,0),0)</f>
        <v>No</v>
      </c>
      <c r="H1669">
        <f>IFERROR(VLOOKUP(A1669,预留库存!A:H,8,0),0)</f>
        <v>0</v>
      </c>
      <c r="I1669">
        <f>IFERROR(VLOOKUP(A1669,预留库存!A:F,6,0),0)</f>
        <v>39.98</v>
      </c>
      <c r="J1669">
        <f>IFERROR(VLOOKUP(A1669,库龄!B:K,9,0),0)</f>
        <v>2</v>
      </c>
      <c r="K1669">
        <f>IFERROR(VLOOKUP(A1669,库龄!B:L,10,0),0)</f>
        <v>0</v>
      </c>
      <c r="L1669">
        <f>IFERROR(VLOOKUP(A1669,库龄!B:M,11,0),0)</f>
        <v>0</v>
      </c>
      <c r="M1669">
        <f>IFERROR(VLOOKUP(A1669,库龄!B:N,12,0),0)</f>
        <v>0</v>
      </c>
      <c r="N1669">
        <f t="shared" si="54"/>
        <v>2</v>
      </c>
    </row>
    <row r="1670" spans="1:14">
      <c r="A1670" s="3" t="s">
        <v>4456</v>
      </c>
      <c r="B1670">
        <f>IFERROR(VLOOKUP(A1670,管理亚马逊库存!A:K,11,0),"")</f>
        <v>15</v>
      </c>
      <c r="C1670">
        <f>IFERROR(VLOOKUP(A1670,管理亚马逊库存!A:L,12,0),"")</f>
        <v>0</v>
      </c>
      <c r="D1670">
        <f>IFERROR(VLOOKUP(A1670,管理亚马逊库存!A:Q,17,0),"")</f>
        <v>0</v>
      </c>
      <c r="E1670">
        <f>IFERROR(VLOOKUP(A1670,管理亚马逊库存!A:R,18,0),"")</f>
        <v>0</v>
      </c>
      <c r="F1670">
        <f t="shared" si="53"/>
        <v>0</v>
      </c>
      <c r="G1670" t="str">
        <f>IFERROR(VLOOKUP(A1670,预留库存!A:G,7,0),0)</f>
        <v>No</v>
      </c>
      <c r="H1670">
        <f>IFERROR(VLOOKUP(A1670,预留库存!A:H,8,0),0)</f>
        <v>0</v>
      </c>
      <c r="I1670">
        <f>IFERROR(VLOOKUP(A1670,预留库存!A:F,6,0),0)</f>
        <v>39.98</v>
      </c>
      <c r="J1670">
        <f>IFERROR(VLOOKUP(A1670,库龄!B:K,9,0),0)</f>
        <v>3</v>
      </c>
      <c r="K1670">
        <f>IFERROR(VLOOKUP(A1670,库龄!B:L,10,0),0)</f>
        <v>12</v>
      </c>
      <c r="L1670">
        <f>IFERROR(VLOOKUP(A1670,库龄!B:M,11,0),0)</f>
        <v>0</v>
      </c>
      <c r="M1670">
        <f>IFERROR(VLOOKUP(A1670,库龄!B:N,12,0),0)</f>
        <v>0</v>
      </c>
      <c r="N1670">
        <f t="shared" si="54"/>
        <v>15</v>
      </c>
    </row>
    <row r="1671" spans="1:14">
      <c r="A1671" s="3" t="s">
        <v>4459</v>
      </c>
      <c r="B1671">
        <f>IFERROR(VLOOKUP(A1671,管理亚马逊库存!A:K,11,0),"")</f>
        <v>1</v>
      </c>
      <c r="C1671">
        <f>IFERROR(VLOOKUP(A1671,管理亚马逊库存!A:L,12,0),"")</f>
        <v>0</v>
      </c>
      <c r="D1671">
        <f>IFERROR(VLOOKUP(A1671,管理亚马逊库存!A:Q,17,0),"")</f>
        <v>0</v>
      </c>
      <c r="E1671">
        <f>IFERROR(VLOOKUP(A1671,管理亚马逊库存!A:R,18,0),"")</f>
        <v>0</v>
      </c>
      <c r="F1671">
        <f t="shared" si="53"/>
        <v>0</v>
      </c>
      <c r="G1671" t="str">
        <f>IFERROR(VLOOKUP(A1671,预留库存!A:G,7,0),0)</f>
        <v>No</v>
      </c>
      <c r="H1671">
        <f>IFERROR(VLOOKUP(A1671,预留库存!A:H,8,0),0)</f>
        <v>0</v>
      </c>
      <c r="I1671">
        <f>IFERROR(VLOOKUP(A1671,预留库存!A:F,6,0),0)</f>
        <v>39.98</v>
      </c>
      <c r="J1671">
        <f>IFERROR(VLOOKUP(A1671,库龄!B:K,9,0),0)</f>
        <v>0</v>
      </c>
      <c r="K1671">
        <f>IFERROR(VLOOKUP(A1671,库龄!B:L,10,0),0)</f>
        <v>0</v>
      </c>
      <c r="L1671">
        <f>IFERROR(VLOOKUP(A1671,库龄!B:M,11,0),0)</f>
        <v>0</v>
      </c>
      <c r="M1671">
        <f>IFERROR(VLOOKUP(A1671,库龄!B:N,12,0),0)</f>
        <v>0</v>
      </c>
      <c r="N1671">
        <f t="shared" si="54"/>
        <v>0</v>
      </c>
    </row>
    <row r="1672" spans="1:14">
      <c r="A1672" s="3" t="s">
        <v>4462</v>
      </c>
      <c r="B1672">
        <f>IFERROR(VLOOKUP(A1672,管理亚马逊库存!A:K,11,0),"")</f>
        <v>0</v>
      </c>
      <c r="C1672">
        <f>IFERROR(VLOOKUP(A1672,管理亚马逊库存!A:L,12,0),"")</f>
        <v>0</v>
      </c>
      <c r="D1672">
        <f>IFERROR(VLOOKUP(A1672,管理亚马逊库存!A:Q,17,0),"")</f>
        <v>0</v>
      </c>
      <c r="E1672">
        <f>IFERROR(VLOOKUP(A1672,管理亚马逊库存!A:R,18,0),"")</f>
        <v>0</v>
      </c>
      <c r="F1672">
        <f t="shared" si="53"/>
        <v>0</v>
      </c>
      <c r="G1672" t="str">
        <f>IFERROR(VLOOKUP(A1672,预留库存!A:G,7,0),0)</f>
        <v>No</v>
      </c>
      <c r="H1672">
        <f>IFERROR(VLOOKUP(A1672,预留库存!A:H,8,0),0)</f>
        <v>0</v>
      </c>
      <c r="I1672">
        <f>IFERROR(VLOOKUP(A1672,预留库存!A:F,6,0),0)</f>
        <v>39.98</v>
      </c>
      <c r="J1672">
        <f>IFERROR(VLOOKUP(A1672,库龄!B:K,9,0),0)</f>
        <v>0</v>
      </c>
      <c r="K1672">
        <f>IFERROR(VLOOKUP(A1672,库龄!B:L,10,0),0)</f>
        <v>0</v>
      </c>
      <c r="L1672">
        <f>IFERROR(VLOOKUP(A1672,库龄!B:M,11,0),0)</f>
        <v>0</v>
      </c>
      <c r="M1672">
        <f>IFERROR(VLOOKUP(A1672,库龄!B:N,12,0),0)</f>
        <v>0</v>
      </c>
      <c r="N1672">
        <f t="shared" si="54"/>
        <v>0</v>
      </c>
    </row>
    <row r="1673" spans="1:14">
      <c r="A1673" s="3" t="s">
        <v>4465</v>
      </c>
      <c r="B1673">
        <f>IFERROR(VLOOKUP(A1673,管理亚马逊库存!A:K,11,0),"")</f>
        <v>0</v>
      </c>
      <c r="C1673">
        <f>IFERROR(VLOOKUP(A1673,管理亚马逊库存!A:L,12,0),"")</f>
        <v>0</v>
      </c>
      <c r="D1673">
        <f>IFERROR(VLOOKUP(A1673,管理亚马逊库存!A:Q,17,0),"")</f>
        <v>0</v>
      </c>
      <c r="E1673">
        <f>IFERROR(VLOOKUP(A1673,管理亚马逊库存!A:R,18,0),"")</f>
        <v>0</v>
      </c>
      <c r="F1673">
        <f t="shared" si="53"/>
        <v>0</v>
      </c>
      <c r="G1673" t="str">
        <f>IFERROR(VLOOKUP(A1673,预留库存!A:G,7,0),0)</f>
        <v>No</v>
      </c>
      <c r="H1673">
        <f>IFERROR(VLOOKUP(A1673,预留库存!A:H,8,0),0)</f>
        <v>0</v>
      </c>
      <c r="I1673">
        <f>IFERROR(VLOOKUP(A1673,预留库存!A:F,6,0),0)</f>
        <v>39.98</v>
      </c>
      <c r="J1673">
        <f>IFERROR(VLOOKUP(A1673,库龄!B:K,9,0),0)</f>
        <v>0</v>
      </c>
      <c r="K1673">
        <f>IFERROR(VLOOKUP(A1673,库龄!B:L,10,0),0)</f>
        <v>0</v>
      </c>
      <c r="L1673">
        <f>IFERROR(VLOOKUP(A1673,库龄!B:M,11,0),0)</f>
        <v>0</v>
      </c>
      <c r="M1673">
        <f>IFERROR(VLOOKUP(A1673,库龄!B:N,12,0),0)</f>
        <v>0</v>
      </c>
      <c r="N1673">
        <f t="shared" si="54"/>
        <v>0</v>
      </c>
    </row>
    <row r="1674" spans="1:14">
      <c r="A1674" s="3" t="s">
        <v>4468</v>
      </c>
      <c r="B1674">
        <f>IFERROR(VLOOKUP(A1674,管理亚马逊库存!A:K,11,0),"")</f>
        <v>0</v>
      </c>
      <c r="C1674">
        <f>IFERROR(VLOOKUP(A1674,管理亚马逊库存!A:L,12,0),"")</f>
        <v>0</v>
      </c>
      <c r="D1674">
        <f>IFERROR(VLOOKUP(A1674,管理亚马逊库存!A:Q,17,0),"")</f>
        <v>0</v>
      </c>
      <c r="E1674">
        <f>IFERROR(VLOOKUP(A1674,管理亚马逊库存!A:R,18,0),"")</f>
        <v>0</v>
      </c>
      <c r="F1674">
        <f t="shared" si="53"/>
        <v>0</v>
      </c>
      <c r="G1674" t="str">
        <f>IFERROR(VLOOKUP(A1674,预留库存!A:G,7,0),0)</f>
        <v>No</v>
      </c>
      <c r="H1674">
        <f>IFERROR(VLOOKUP(A1674,预留库存!A:H,8,0),0)</f>
        <v>0</v>
      </c>
      <c r="I1674">
        <f>IFERROR(VLOOKUP(A1674,预留库存!A:F,6,0),0)</f>
        <v>39.98</v>
      </c>
      <c r="J1674">
        <f>IFERROR(VLOOKUP(A1674,库龄!B:K,9,0),0)</f>
        <v>0</v>
      </c>
      <c r="K1674">
        <f>IFERROR(VLOOKUP(A1674,库龄!B:L,10,0),0)</f>
        <v>0</v>
      </c>
      <c r="L1674">
        <f>IFERROR(VLOOKUP(A1674,库龄!B:M,11,0),0)</f>
        <v>0</v>
      </c>
      <c r="M1674">
        <f>IFERROR(VLOOKUP(A1674,库龄!B:N,12,0),0)</f>
        <v>0</v>
      </c>
      <c r="N1674">
        <f t="shared" si="54"/>
        <v>0</v>
      </c>
    </row>
    <row r="1675" spans="1:14">
      <c r="A1675" s="3" t="s">
        <v>4471</v>
      </c>
      <c r="B1675">
        <f>IFERROR(VLOOKUP(A1675,管理亚马逊库存!A:K,11,0),"")</f>
        <v>0</v>
      </c>
      <c r="C1675">
        <f>IFERROR(VLOOKUP(A1675,管理亚马逊库存!A:L,12,0),"")</f>
        <v>0</v>
      </c>
      <c r="D1675">
        <f>IFERROR(VLOOKUP(A1675,管理亚马逊库存!A:Q,17,0),"")</f>
        <v>0</v>
      </c>
      <c r="E1675">
        <f>IFERROR(VLOOKUP(A1675,管理亚马逊库存!A:R,18,0),"")</f>
        <v>0</v>
      </c>
      <c r="F1675">
        <f t="shared" si="53"/>
        <v>0</v>
      </c>
      <c r="G1675" t="str">
        <f>IFERROR(VLOOKUP(A1675,预留库存!A:G,7,0),0)</f>
        <v>No</v>
      </c>
      <c r="H1675">
        <f>IFERROR(VLOOKUP(A1675,预留库存!A:H,8,0),0)</f>
        <v>0</v>
      </c>
      <c r="I1675">
        <f>IFERROR(VLOOKUP(A1675,预留库存!A:F,6,0),0)</f>
        <v>39.98</v>
      </c>
      <c r="J1675">
        <f>IFERROR(VLOOKUP(A1675,库龄!B:K,9,0),0)</f>
        <v>0</v>
      </c>
      <c r="K1675">
        <f>IFERROR(VLOOKUP(A1675,库龄!B:L,10,0),0)</f>
        <v>0</v>
      </c>
      <c r="L1675">
        <f>IFERROR(VLOOKUP(A1675,库龄!B:M,11,0),0)</f>
        <v>0</v>
      </c>
      <c r="M1675">
        <f>IFERROR(VLOOKUP(A1675,库龄!B:N,12,0),0)</f>
        <v>0</v>
      </c>
      <c r="N1675">
        <f t="shared" si="54"/>
        <v>0</v>
      </c>
    </row>
    <row r="1676" spans="1:14">
      <c r="A1676" s="3" t="s">
        <v>4474</v>
      </c>
      <c r="B1676">
        <f>IFERROR(VLOOKUP(A1676,管理亚马逊库存!A:K,11,0),"")</f>
        <v>0</v>
      </c>
      <c r="C1676">
        <f>IFERROR(VLOOKUP(A1676,管理亚马逊库存!A:L,12,0),"")</f>
        <v>0</v>
      </c>
      <c r="D1676">
        <f>IFERROR(VLOOKUP(A1676,管理亚马逊库存!A:Q,17,0),"")</f>
        <v>0</v>
      </c>
      <c r="E1676">
        <f>IFERROR(VLOOKUP(A1676,管理亚马逊库存!A:R,18,0),"")</f>
        <v>0</v>
      </c>
      <c r="F1676">
        <f t="shared" si="53"/>
        <v>0</v>
      </c>
      <c r="G1676" t="str">
        <f>IFERROR(VLOOKUP(A1676,预留库存!A:G,7,0),0)</f>
        <v>No</v>
      </c>
      <c r="H1676">
        <f>IFERROR(VLOOKUP(A1676,预留库存!A:H,8,0),0)</f>
        <v>0</v>
      </c>
      <c r="I1676">
        <f>IFERROR(VLOOKUP(A1676,预留库存!A:F,6,0),0)</f>
        <v>39.98</v>
      </c>
      <c r="J1676">
        <f>IFERROR(VLOOKUP(A1676,库龄!B:K,9,0),0)</f>
        <v>0</v>
      </c>
      <c r="K1676">
        <f>IFERROR(VLOOKUP(A1676,库龄!B:L,10,0),0)</f>
        <v>0</v>
      </c>
      <c r="L1676">
        <f>IFERROR(VLOOKUP(A1676,库龄!B:M,11,0),0)</f>
        <v>0</v>
      </c>
      <c r="M1676">
        <f>IFERROR(VLOOKUP(A1676,库龄!B:N,12,0),0)</f>
        <v>0</v>
      </c>
      <c r="N1676">
        <f t="shared" si="54"/>
        <v>0</v>
      </c>
    </row>
    <row r="1677" spans="1:14">
      <c r="A1677" s="3" t="s">
        <v>4477</v>
      </c>
      <c r="B1677">
        <f>IFERROR(VLOOKUP(A1677,管理亚马逊库存!A:K,11,0),"")</f>
        <v>0</v>
      </c>
      <c r="C1677">
        <f>IFERROR(VLOOKUP(A1677,管理亚马逊库存!A:L,12,0),"")</f>
        <v>0</v>
      </c>
      <c r="D1677">
        <f>IFERROR(VLOOKUP(A1677,管理亚马逊库存!A:Q,17,0),"")</f>
        <v>0</v>
      </c>
      <c r="E1677">
        <f>IFERROR(VLOOKUP(A1677,管理亚马逊库存!A:R,18,0),"")</f>
        <v>0</v>
      </c>
      <c r="F1677">
        <f t="shared" si="53"/>
        <v>0</v>
      </c>
      <c r="G1677" t="str">
        <f>IFERROR(VLOOKUP(A1677,预留库存!A:G,7,0),0)</f>
        <v>No</v>
      </c>
      <c r="H1677">
        <f>IFERROR(VLOOKUP(A1677,预留库存!A:H,8,0),0)</f>
        <v>0</v>
      </c>
      <c r="I1677">
        <f>IFERROR(VLOOKUP(A1677,预留库存!A:F,6,0),0)</f>
        <v>39.98</v>
      </c>
      <c r="J1677">
        <f>IFERROR(VLOOKUP(A1677,库龄!B:K,9,0),0)</f>
        <v>0</v>
      </c>
      <c r="K1677">
        <f>IFERROR(VLOOKUP(A1677,库龄!B:L,10,0),0)</f>
        <v>0</v>
      </c>
      <c r="L1677">
        <f>IFERROR(VLOOKUP(A1677,库龄!B:M,11,0),0)</f>
        <v>0</v>
      </c>
      <c r="M1677">
        <f>IFERROR(VLOOKUP(A1677,库龄!B:N,12,0),0)</f>
        <v>0</v>
      </c>
      <c r="N1677">
        <f t="shared" si="54"/>
        <v>0</v>
      </c>
    </row>
    <row r="1678" spans="1:14">
      <c r="A1678" s="3" t="s">
        <v>4480</v>
      </c>
      <c r="B1678">
        <f>IFERROR(VLOOKUP(A1678,管理亚马逊库存!A:K,11,0),"")</f>
        <v>4</v>
      </c>
      <c r="C1678">
        <f>IFERROR(VLOOKUP(A1678,管理亚马逊库存!A:L,12,0),"")</f>
        <v>0</v>
      </c>
      <c r="D1678">
        <f>IFERROR(VLOOKUP(A1678,管理亚马逊库存!A:Q,17,0),"")</f>
        <v>0</v>
      </c>
      <c r="E1678">
        <f>IFERROR(VLOOKUP(A1678,管理亚马逊库存!A:R,18,0),"")</f>
        <v>0</v>
      </c>
      <c r="F1678">
        <f t="shared" si="53"/>
        <v>0</v>
      </c>
      <c r="G1678" t="str">
        <f>IFERROR(VLOOKUP(A1678,预留库存!A:G,7,0),0)</f>
        <v>No</v>
      </c>
      <c r="H1678">
        <f>IFERROR(VLOOKUP(A1678,预留库存!A:H,8,0),0)</f>
        <v>0</v>
      </c>
      <c r="I1678">
        <f>IFERROR(VLOOKUP(A1678,预留库存!A:F,6,0),0)</f>
        <v>23.98</v>
      </c>
      <c r="J1678">
        <f>IFERROR(VLOOKUP(A1678,库龄!B:K,9,0),0)</f>
        <v>0</v>
      </c>
      <c r="K1678">
        <f>IFERROR(VLOOKUP(A1678,库龄!B:L,10,0),0)</f>
        <v>4</v>
      </c>
      <c r="L1678">
        <f>IFERROR(VLOOKUP(A1678,库龄!B:M,11,0),0)</f>
        <v>0</v>
      </c>
      <c r="M1678">
        <f>IFERROR(VLOOKUP(A1678,库龄!B:N,12,0),0)</f>
        <v>0</v>
      </c>
      <c r="N1678">
        <f t="shared" si="54"/>
        <v>4</v>
      </c>
    </row>
    <row r="1679" spans="1:14">
      <c r="A1679" s="3" t="s">
        <v>4481</v>
      </c>
      <c r="B1679">
        <f>IFERROR(VLOOKUP(A1679,管理亚马逊库存!A:K,11,0),"")</f>
        <v>1</v>
      </c>
      <c r="C1679">
        <f>IFERROR(VLOOKUP(A1679,管理亚马逊库存!A:L,12,0),"")</f>
        <v>0</v>
      </c>
      <c r="D1679">
        <f>IFERROR(VLOOKUP(A1679,管理亚马逊库存!A:Q,17,0),"")</f>
        <v>0</v>
      </c>
      <c r="E1679">
        <f>IFERROR(VLOOKUP(A1679,管理亚马逊库存!A:R,18,0),"")</f>
        <v>0</v>
      </c>
      <c r="F1679">
        <f t="shared" si="53"/>
        <v>0</v>
      </c>
      <c r="G1679" t="str">
        <f>IFERROR(VLOOKUP(A1679,预留库存!A:G,7,0),0)</f>
        <v>No</v>
      </c>
      <c r="H1679">
        <f>IFERROR(VLOOKUP(A1679,预留库存!A:H,8,0),0)</f>
        <v>0</v>
      </c>
      <c r="I1679">
        <f>IFERROR(VLOOKUP(A1679,预留库存!A:F,6,0),0)</f>
        <v>23.98</v>
      </c>
      <c r="J1679">
        <f>IFERROR(VLOOKUP(A1679,库龄!B:K,9,0),0)</f>
        <v>1</v>
      </c>
      <c r="K1679">
        <f>IFERROR(VLOOKUP(A1679,库龄!B:L,10,0),0)</f>
        <v>0</v>
      </c>
      <c r="L1679">
        <f>IFERROR(VLOOKUP(A1679,库龄!B:M,11,0),0)</f>
        <v>0</v>
      </c>
      <c r="M1679">
        <f>IFERROR(VLOOKUP(A1679,库龄!B:N,12,0),0)</f>
        <v>0</v>
      </c>
      <c r="N1679">
        <f t="shared" si="54"/>
        <v>1</v>
      </c>
    </row>
    <row r="1680" spans="1:14">
      <c r="A1680" s="3" t="s">
        <v>4482</v>
      </c>
      <c r="B1680">
        <f>IFERROR(VLOOKUP(A1680,管理亚马逊库存!A:K,11,0),"")</f>
        <v>5</v>
      </c>
      <c r="C1680">
        <f>IFERROR(VLOOKUP(A1680,管理亚马逊库存!A:L,12,0),"")</f>
        <v>0</v>
      </c>
      <c r="D1680">
        <f>IFERROR(VLOOKUP(A1680,管理亚马逊库存!A:Q,17,0),"")</f>
        <v>0</v>
      </c>
      <c r="E1680">
        <f>IFERROR(VLOOKUP(A1680,管理亚马逊库存!A:R,18,0),"")</f>
        <v>0</v>
      </c>
      <c r="F1680">
        <f t="shared" si="53"/>
        <v>0</v>
      </c>
      <c r="G1680" t="str">
        <f>IFERROR(VLOOKUP(A1680,预留库存!A:G,7,0),0)</f>
        <v>No</v>
      </c>
      <c r="H1680">
        <f>IFERROR(VLOOKUP(A1680,预留库存!A:H,8,0),0)</f>
        <v>0</v>
      </c>
      <c r="I1680">
        <f>IFERROR(VLOOKUP(A1680,预留库存!A:F,6,0),0)</f>
        <v>23.98</v>
      </c>
      <c r="J1680">
        <f>IFERROR(VLOOKUP(A1680,库龄!B:K,9,0),0)</f>
        <v>1</v>
      </c>
      <c r="K1680">
        <f>IFERROR(VLOOKUP(A1680,库龄!B:L,10,0),0)</f>
        <v>3</v>
      </c>
      <c r="L1680">
        <f>IFERROR(VLOOKUP(A1680,库龄!B:M,11,0),0)</f>
        <v>0</v>
      </c>
      <c r="M1680">
        <f>IFERROR(VLOOKUP(A1680,库龄!B:N,12,0),0)</f>
        <v>0</v>
      </c>
      <c r="N1680">
        <f t="shared" si="54"/>
        <v>4</v>
      </c>
    </row>
    <row r="1681" spans="1:14">
      <c r="A1681" s="3" t="s">
        <v>4483</v>
      </c>
      <c r="B1681">
        <f>IFERROR(VLOOKUP(A1681,管理亚马逊库存!A:K,11,0),"")</f>
        <v>4</v>
      </c>
      <c r="C1681">
        <f>IFERROR(VLOOKUP(A1681,管理亚马逊库存!A:L,12,0),"")</f>
        <v>0</v>
      </c>
      <c r="D1681">
        <f>IFERROR(VLOOKUP(A1681,管理亚马逊库存!A:Q,17,0),"")</f>
        <v>0</v>
      </c>
      <c r="E1681">
        <f>IFERROR(VLOOKUP(A1681,管理亚马逊库存!A:R,18,0),"")</f>
        <v>0</v>
      </c>
      <c r="F1681">
        <f t="shared" si="53"/>
        <v>0</v>
      </c>
      <c r="G1681" t="str">
        <f>IFERROR(VLOOKUP(A1681,预留库存!A:G,7,0),0)</f>
        <v>No</v>
      </c>
      <c r="H1681">
        <f>IFERROR(VLOOKUP(A1681,预留库存!A:H,8,0),0)</f>
        <v>0</v>
      </c>
      <c r="I1681">
        <f>IFERROR(VLOOKUP(A1681,预留库存!A:F,6,0),0)</f>
        <v>23.98</v>
      </c>
      <c r="J1681">
        <f>IFERROR(VLOOKUP(A1681,库龄!B:K,9,0),0)</f>
        <v>3</v>
      </c>
      <c r="K1681">
        <f>IFERROR(VLOOKUP(A1681,库龄!B:L,10,0),0)</f>
        <v>0</v>
      </c>
      <c r="L1681">
        <f>IFERROR(VLOOKUP(A1681,库龄!B:M,11,0),0)</f>
        <v>0</v>
      </c>
      <c r="M1681">
        <f>IFERROR(VLOOKUP(A1681,库龄!B:N,12,0),0)</f>
        <v>0</v>
      </c>
      <c r="N1681">
        <f t="shared" si="54"/>
        <v>3</v>
      </c>
    </row>
    <row r="1682" spans="1:14">
      <c r="A1682" s="3" t="s">
        <v>4484</v>
      </c>
      <c r="B1682">
        <f>IFERROR(VLOOKUP(A1682,管理亚马逊库存!A:K,11,0),"")</f>
        <v>7</v>
      </c>
      <c r="C1682">
        <f>IFERROR(VLOOKUP(A1682,管理亚马逊库存!A:L,12,0),"")</f>
        <v>0</v>
      </c>
      <c r="D1682">
        <f>IFERROR(VLOOKUP(A1682,管理亚马逊库存!A:Q,17,0),"")</f>
        <v>0</v>
      </c>
      <c r="E1682">
        <f>IFERROR(VLOOKUP(A1682,管理亚马逊库存!A:R,18,0),"")</f>
        <v>0</v>
      </c>
      <c r="F1682">
        <f t="shared" si="53"/>
        <v>0</v>
      </c>
      <c r="G1682" t="str">
        <f>IFERROR(VLOOKUP(A1682,预留库存!A:G,7,0),0)</f>
        <v>No</v>
      </c>
      <c r="H1682">
        <f>IFERROR(VLOOKUP(A1682,预留库存!A:H,8,0),0)</f>
        <v>0</v>
      </c>
      <c r="I1682">
        <f>IFERROR(VLOOKUP(A1682,预留库存!A:F,6,0),0)</f>
        <v>23.98</v>
      </c>
      <c r="J1682">
        <f>IFERROR(VLOOKUP(A1682,库龄!B:K,9,0),0)</f>
        <v>0</v>
      </c>
      <c r="K1682">
        <f>IFERROR(VLOOKUP(A1682,库龄!B:L,10,0),0)</f>
        <v>7</v>
      </c>
      <c r="L1682">
        <f>IFERROR(VLOOKUP(A1682,库龄!B:M,11,0),0)</f>
        <v>0</v>
      </c>
      <c r="M1682">
        <f>IFERROR(VLOOKUP(A1682,库龄!B:N,12,0),0)</f>
        <v>0</v>
      </c>
      <c r="N1682">
        <f t="shared" si="54"/>
        <v>7</v>
      </c>
    </row>
    <row r="1683" spans="1:14">
      <c r="A1683" s="3" t="s">
        <v>4485</v>
      </c>
      <c r="B1683">
        <f>IFERROR(VLOOKUP(A1683,管理亚马逊库存!A:K,11,0),"")</f>
        <v>4</v>
      </c>
      <c r="C1683">
        <f>IFERROR(VLOOKUP(A1683,管理亚马逊库存!A:L,12,0),"")</f>
        <v>0</v>
      </c>
      <c r="D1683">
        <f>IFERROR(VLOOKUP(A1683,管理亚马逊库存!A:Q,17,0),"")</f>
        <v>0</v>
      </c>
      <c r="E1683">
        <f>IFERROR(VLOOKUP(A1683,管理亚马逊库存!A:R,18,0),"")</f>
        <v>0</v>
      </c>
      <c r="F1683">
        <f t="shared" si="53"/>
        <v>0</v>
      </c>
      <c r="G1683" t="str">
        <f>IFERROR(VLOOKUP(A1683,预留库存!A:G,7,0),0)</f>
        <v>No</v>
      </c>
      <c r="H1683">
        <f>IFERROR(VLOOKUP(A1683,预留库存!A:H,8,0),0)</f>
        <v>0</v>
      </c>
      <c r="I1683">
        <f>IFERROR(VLOOKUP(A1683,预留库存!A:F,6,0),0)</f>
        <v>23.98</v>
      </c>
      <c r="J1683">
        <f>IFERROR(VLOOKUP(A1683,库龄!B:K,9,0),0)</f>
        <v>0</v>
      </c>
      <c r="K1683">
        <f>IFERROR(VLOOKUP(A1683,库龄!B:L,10,0),0)</f>
        <v>3</v>
      </c>
      <c r="L1683">
        <f>IFERROR(VLOOKUP(A1683,库龄!B:M,11,0),0)</f>
        <v>0</v>
      </c>
      <c r="M1683">
        <f>IFERROR(VLOOKUP(A1683,库龄!B:N,12,0),0)</f>
        <v>0</v>
      </c>
      <c r="N1683">
        <f t="shared" si="54"/>
        <v>3</v>
      </c>
    </row>
    <row r="1684" spans="1:14">
      <c r="A1684" s="3" t="s">
        <v>4486</v>
      </c>
      <c r="B1684">
        <f>IFERROR(VLOOKUP(A1684,管理亚马逊库存!A:K,11,0),"")</f>
        <v>0</v>
      </c>
      <c r="C1684">
        <f>IFERROR(VLOOKUP(A1684,管理亚马逊库存!A:L,12,0),"")</f>
        <v>0</v>
      </c>
      <c r="D1684">
        <f>IFERROR(VLOOKUP(A1684,管理亚马逊库存!A:Q,17,0),"")</f>
        <v>0</v>
      </c>
      <c r="E1684">
        <f>IFERROR(VLOOKUP(A1684,管理亚马逊库存!A:R,18,0),"")</f>
        <v>0</v>
      </c>
      <c r="F1684">
        <f t="shared" si="53"/>
        <v>0</v>
      </c>
      <c r="G1684">
        <f>IFERROR(VLOOKUP(A1684,预留库存!A:G,7,0),0)</f>
        <v>0</v>
      </c>
      <c r="H1684">
        <f>IFERROR(VLOOKUP(A1684,预留库存!A:H,8,0),0)</f>
        <v>0</v>
      </c>
      <c r="I1684">
        <f>IFERROR(VLOOKUP(A1684,预留库存!A:F,6,0),0)</f>
        <v>0</v>
      </c>
      <c r="J1684">
        <f>IFERROR(VLOOKUP(A1684,库龄!B:K,9,0),0)</f>
        <v>0</v>
      </c>
      <c r="K1684">
        <f>IFERROR(VLOOKUP(A1684,库龄!B:L,10,0),0)</f>
        <v>0</v>
      </c>
      <c r="L1684">
        <f>IFERROR(VLOOKUP(A1684,库龄!B:M,11,0),0)</f>
        <v>0</v>
      </c>
      <c r="M1684">
        <f>IFERROR(VLOOKUP(A1684,库龄!B:N,12,0),0)</f>
        <v>0</v>
      </c>
      <c r="N1684">
        <f t="shared" si="54"/>
        <v>0</v>
      </c>
    </row>
    <row r="1685" spans="1:14">
      <c r="A1685" s="3" t="s">
        <v>4487</v>
      </c>
      <c r="B1685">
        <f>IFERROR(VLOOKUP(A1685,管理亚马逊库存!A:K,11,0),"")</f>
        <v>5</v>
      </c>
      <c r="C1685">
        <f>IFERROR(VLOOKUP(A1685,管理亚马逊库存!A:L,12,0),"")</f>
        <v>0</v>
      </c>
      <c r="D1685">
        <f>IFERROR(VLOOKUP(A1685,管理亚马逊库存!A:Q,17,0),"")</f>
        <v>0</v>
      </c>
      <c r="E1685">
        <f>IFERROR(VLOOKUP(A1685,管理亚马逊库存!A:R,18,0),"")</f>
        <v>0</v>
      </c>
      <c r="F1685">
        <f t="shared" si="53"/>
        <v>0</v>
      </c>
      <c r="G1685" t="str">
        <f>IFERROR(VLOOKUP(A1685,预留库存!A:G,7,0),0)</f>
        <v>No</v>
      </c>
      <c r="H1685">
        <f>IFERROR(VLOOKUP(A1685,预留库存!A:H,8,0),0)</f>
        <v>0</v>
      </c>
      <c r="I1685">
        <f>IFERROR(VLOOKUP(A1685,预留库存!A:F,6,0),0)</f>
        <v>23.98</v>
      </c>
      <c r="J1685">
        <f>IFERROR(VLOOKUP(A1685,库龄!B:K,9,0),0)</f>
        <v>1</v>
      </c>
      <c r="K1685">
        <f>IFERROR(VLOOKUP(A1685,库龄!B:L,10,0),0)</f>
        <v>1</v>
      </c>
      <c r="L1685">
        <f>IFERROR(VLOOKUP(A1685,库龄!B:M,11,0),0)</f>
        <v>0</v>
      </c>
      <c r="M1685">
        <f>IFERROR(VLOOKUP(A1685,库龄!B:N,12,0),0)</f>
        <v>0</v>
      </c>
      <c r="N1685">
        <f t="shared" si="54"/>
        <v>2</v>
      </c>
    </row>
    <row r="1686" spans="1:14">
      <c r="A1686" s="3" t="s">
        <v>4488</v>
      </c>
      <c r="B1686">
        <f>IFERROR(VLOOKUP(A1686,管理亚马逊库存!A:K,11,0),"")</f>
        <v>0</v>
      </c>
      <c r="C1686">
        <f>IFERROR(VLOOKUP(A1686,管理亚马逊库存!A:L,12,0),"")</f>
        <v>0</v>
      </c>
      <c r="D1686">
        <f>IFERROR(VLOOKUP(A1686,管理亚马逊库存!A:Q,17,0),"")</f>
        <v>0</v>
      </c>
      <c r="E1686">
        <f>IFERROR(VLOOKUP(A1686,管理亚马逊库存!A:R,18,0),"")</f>
        <v>0</v>
      </c>
      <c r="F1686">
        <f t="shared" si="53"/>
        <v>0</v>
      </c>
      <c r="G1686" t="str">
        <f>IFERROR(VLOOKUP(A1686,预留库存!A:G,7,0),0)</f>
        <v>No</v>
      </c>
      <c r="H1686">
        <f>IFERROR(VLOOKUP(A1686,预留库存!A:H,8,0),0)</f>
        <v>0</v>
      </c>
      <c r="I1686">
        <f>IFERROR(VLOOKUP(A1686,预留库存!A:F,6,0),0)</f>
        <v>23.98</v>
      </c>
      <c r="J1686">
        <f>IFERROR(VLOOKUP(A1686,库龄!B:K,9,0),0)</f>
        <v>0</v>
      </c>
      <c r="K1686">
        <f>IFERROR(VLOOKUP(A1686,库龄!B:L,10,0),0)</f>
        <v>0</v>
      </c>
      <c r="L1686">
        <f>IFERROR(VLOOKUP(A1686,库龄!B:M,11,0),0)</f>
        <v>0</v>
      </c>
      <c r="M1686">
        <f>IFERROR(VLOOKUP(A1686,库龄!B:N,12,0),0)</f>
        <v>0</v>
      </c>
      <c r="N1686">
        <f t="shared" si="54"/>
        <v>0</v>
      </c>
    </row>
    <row r="1687" spans="1:14">
      <c r="A1687" s="3" t="s">
        <v>4489</v>
      </c>
      <c r="B1687">
        <f>IFERROR(VLOOKUP(A1687,管理亚马逊库存!A:K,11,0),"")</f>
        <v>1</v>
      </c>
      <c r="C1687">
        <f>IFERROR(VLOOKUP(A1687,管理亚马逊库存!A:L,12,0),"")</f>
        <v>0</v>
      </c>
      <c r="D1687">
        <f>IFERROR(VLOOKUP(A1687,管理亚马逊库存!A:Q,17,0),"")</f>
        <v>0</v>
      </c>
      <c r="E1687">
        <f>IFERROR(VLOOKUP(A1687,管理亚马逊库存!A:R,18,0),"")</f>
        <v>0</v>
      </c>
      <c r="F1687">
        <f t="shared" si="53"/>
        <v>0</v>
      </c>
      <c r="G1687" t="str">
        <f>IFERROR(VLOOKUP(A1687,预留库存!A:G,7,0),0)</f>
        <v>No</v>
      </c>
      <c r="H1687">
        <f>IFERROR(VLOOKUP(A1687,预留库存!A:H,8,0),0)</f>
        <v>0</v>
      </c>
      <c r="I1687">
        <f>IFERROR(VLOOKUP(A1687,预留库存!A:F,6,0),0)</f>
        <v>23.98</v>
      </c>
      <c r="J1687">
        <f>IFERROR(VLOOKUP(A1687,库龄!B:K,9,0),0)</f>
        <v>0</v>
      </c>
      <c r="K1687">
        <f>IFERROR(VLOOKUP(A1687,库龄!B:L,10,0),0)</f>
        <v>1</v>
      </c>
      <c r="L1687">
        <f>IFERROR(VLOOKUP(A1687,库龄!B:M,11,0),0)</f>
        <v>0</v>
      </c>
      <c r="M1687">
        <f>IFERROR(VLOOKUP(A1687,库龄!B:N,12,0),0)</f>
        <v>0</v>
      </c>
      <c r="N1687">
        <f t="shared" si="54"/>
        <v>1</v>
      </c>
    </row>
    <row r="1688" spans="1:14">
      <c r="A1688" s="3" t="s">
        <v>4490</v>
      </c>
      <c r="B1688">
        <f>IFERROR(VLOOKUP(A1688,管理亚马逊库存!A:K,11,0),"")</f>
        <v>6</v>
      </c>
      <c r="C1688">
        <f>IFERROR(VLOOKUP(A1688,管理亚马逊库存!A:L,12,0),"")</f>
        <v>0</v>
      </c>
      <c r="D1688">
        <f>IFERROR(VLOOKUP(A1688,管理亚马逊库存!A:Q,17,0),"")</f>
        <v>0</v>
      </c>
      <c r="E1688">
        <f>IFERROR(VLOOKUP(A1688,管理亚马逊库存!A:R,18,0),"")</f>
        <v>0</v>
      </c>
      <c r="F1688">
        <f t="shared" si="53"/>
        <v>0</v>
      </c>
      <c r="G1688" t="str">
        <f>IFERROR(VLOOKUP(A1688,预留库存!A:G,7,0),0)</f>
        <v>No</v>
      </c>
      <c r="H1688">
        <f>IFERROR(VLOOKUP(A1688,预留库存!A:H,8,0),0)</f>
        <v>0</v>
      </c>
      <c r="I1688">
        <f>IFERROR(VLOOKUP(A1688,预留库存!A:F,6,0),0)</f>
        <v>23.98</v>
      </c>
      <c r="J1688">
        <f>IFERROR(VLOOKUP(A1688,库龄!B:K,9,0),0)</f>
        <v>1</v>
      </c>
      <c r="K1688">
        <f>IFERROR(VLOOKUP(A1688,库龄!B:L,10,0),0)</f>
        <v>5</v>
      </c>
      <c r="L1688">
        <f>IFERROR(VLOOKUP(A1688,库龄!B:M,11,0),0)</f>
        <v>0</v>
      </c>
      <c r="M1688">
        <f>IFERROR(VLOOKUP(A1688,库龄!B:N,12,0),0)</f>
        <v>0</v>
      </c>
      <c r="N1688">
        <f t="shared" si="54"/>
        <v>6</v>
      </c>
    </row>
    <row r="1689" spans="1:14">
      <c r="A1689" s="3" t="s">
        <v>4491</v>
      </c>
      <c r="B1689">
        <f>IFERROR(VLOOKUP(A1689,管理亚马逊库存!A:K,11,0),"")</f>
        <v>1</v>
      </c>
      <c r="C1689">
        <f>IFERROR(VLOOKUP(A1689,管理亚马逊库存!A:L,12,0),"")</f>
        <v>0</v>
      </c>
      <c r="D1689">
        <f>IFERROR(VLOOKUP(A1689,管理亚马逊库存!A:Q,17,0),"")</f>
        <v>0</v>
      </c>
      <c r="E1689">
        <f>IFERROR(VLOOKUP(A1689,管理亚马逊库存!A:R,18,0),"")</f>
        <v>0</v>
      </c>
      <c r="F1689">
        <f t="shared" si="53"/>
        <v>0</v>
      </c>
      <c r="G1689" t="str">
        <f>IFERROR(VLOOKUP(A1689,预留库存!A:G,7,0),0)</f>
        <v>No</v>
      </c>
      <c r="H1689">
        <f>IFERROR(VLOOKUP(A1689,预留库存!A:H,8,0),0)</f>
        <v>0</v>
      </c>
      <c r="I1689">
        <f>IFERROR(VLOOKUP(A1689,预留库存!A:F,6,0),0)</f>
        <v>23.98</v>
      </c>
      <c r="J1689">
        <f>IFERROR(VLOOKUP(A1689,库龄!B:K,9,0),0)</f>
        <v>1</v>
      </c>
      <c r="K1689">
        <f>IFERROR(VLOOKUP(A1689,库龄!B:L,10,0),0)</f>
        <v>0</v>
      </c>
      <c r="L1689">
        <f>IFERROR(VLOOKUP(A1689,库龄!B:M,11,0),0)</f>
        <v>0</v>
      </c>
      <c r="M1689">
        <f>IFERROR(VLOOKUP(A1689,库龄!B:N,12,0),0)</f>
        <v>0</v>
      </c>
      <c r="N1689">
        <f t="shared" si="54"/>
        <v>1</v>
      </c>
    </row>
    <row r="1690" spans="1:14">
      <c r="A1690" s="3" t="s">
        <v>4492</v>
      </c>
      <c r="B1690">
        <f>IFERROR(VLOOKUP(A1690,管理亚马逊库存!A:K,11,0),"")</f>
        <v>1</v>
      </c>
      <c r="C1690">
        <f>IFERROR(VLOOKUP(A1690,管理亚马逊库存!A:L,12,0),"")</f>
        <v>0</v>
      </c>
      <c r="D1690">
        <f>IFERROR(VLOOKUP(A1690,管理亚马逊库存!A:Q,17,0),"")</f>
        <v>0</v>
      </c>
      <c r="E1690">
        <f>IFERROR(VLOOKUP(A1690,管理亚马逊库存!A:R,18,0),"")</f>
        <v>0</v>
      </c>
      <c r="F1690">
        <f t="shared" si="53"/>
        <v>0</v>
      </c>
      <c r="G1690" t="str">
        <f>IFERROR(VLOOKUP(A1690,预留库存!A:G,7,0),0)</f>
        <v>No</v>
      </c>
      <c r="H1690">
        <f>IFERROR(VLOOKUP(A1690,预留库存!A:H,8,0),0)</f>
        <v>0</v>
      </c>
      <c r="I1690">
        <f>IFERROR(VLOOKUP(A1690,预留库存!A:F,6,0),0)</f>
        <v>23.98</v>
      </c>
      <c r="J1690">
        <f>IFERROR(VLOOKUP(A1690,库龄!B:K,9,0),0)</f>
        <v>1</v>
      </c>
      <c r="K1690">
        <f>IFERROR(VLOOKUP(A1690,库龄!B:L,10,0),0)</f>
        <v>0</v>
      </c>
      <c r="L1690">
        <f>IFERROR(VLOOKUP(A1690,库龄!B:M,11,0),0)</f>
        <v>0</v>
      </c>
      <c r="M1690">
        <f>IFERROR(VLOOKUP(A1690,库龄!B:N,12,0),0)</f>
        <v>0</v>
      </c>
      <c r="N1690">
        <f t="shared" si="54"/>
        <v>1</v>
      </c>
    </row>
    <row r="1691" spans="1:14">
      <c r="A1691" s="3" t="s">
        <v>4493</v>
      </c>
      <c r="B1691">
        <f>IFERROR(VLOOKUP(A1691,管理亚马逊库存!A:K,11,0),"")</f>
        <v>6</v>
      </c>
      <c r="C1691">
        <f>IFERROR(VLOOKUP(A1691,管理亚马逊库存!A:L,12,0),"")</f>
        <v>0</v>
      </c>
      <c r="D1691">
        <f>IFERROR(VLOOKUP(A1691,管理亚马逊库存!A:Q,17,0),"")</f>
        <v>0</v>
      </c>
      <c r="E1691">
        <f>IFERROR(VLOOKUP(A1691,管理亚马逊库存!A:R,18,0),"")</f>
        <v>0</v>
      </c>
      <c r="F1691">
        <f t="shared" si="53"/>
        <v>0</v>
      </c>
      <c r="G1691" t="str">
        <f>IFERROR(VLOOKUP(A1691,预留库存!A:G,7,0),0)</f>
        <v>No</v>
      </c>
      <c r="H1691">
        <f>IFERROR(VLOOKUP(A1691,预留库存!A:H,8,0),0)</f>
        <v>0</v>
      </c>
      <c r="I1691">
        <f>IFERROR(VLOOKUP(A1691,预留库存!A:F,6,0),0)</f>
        <v>23.98</v>
      </c>
      <c r="J1691">
        <f>IFERROR(VLOOKUP(A1691,库龄!B:K,9,0),0)</f>
        <v>1</v>
      </c>
      <c r="K1691">
        <f>IFERROR(VLOOKUP(A1691,库龄!B:L,10,0),0)</f>
        <v>3</v>
      </c>
      <c r="L1691">
        <f>IFERROR(VLOOKUP(A1691,库龄!B:M,11,0),0)</f>
        <v>0</v>
      </c>
      <c r="M1691">
        <f>IFERROR(VLOOKUP(A1691,库龄!B:N,12,0),0)</f>
        <v>0</v>
      </c>
      <c r="N1691">
        <f t="shared" si="54"/>
        <v>4</v>
      </c>
    </row>
    <row r="1692" spans="1:14">
      <c r="A1692" s="3" t="s">
        <v>4494</v>
      </c>
      <c r="B1692">
        <f>IFERROR(VLOOKUP(A1692,管理亚马逊库存!A:K,11,0),"")</f>
        <v>1</v>
      </c>
      <c r="C1692">
        <f>IFERROR(VLOOKUP(A1692,管理亚马逊库存!A:L,12,0),"")</f>
        <v>0</v>
      </c>
      <c r="D1692">
        <f>IFERROR(VLOOKUP(A1692,管理亚马逊库存!A:Q,17,0),"")</f>
        <v>0</v>
      </c>
      <c r="E1692">
        <f>IFERROR(VLOOKUP(A1692,管理亚马逊库存!A:R,18,0),"")</f>
        <v>0</v>
      </c>
      <c r="F1692">
        <f t="shared" si="53"/>
        <v>0</v>
      </c>
      <c r="G1692" t="str">
        <f>IFERROR(VLOOKUP(A1692,预留库存!A:G,7,0),0)</f>
        <v>No</v>
      </c>
      <c r="H1692">
        <f>IFERROR(VLOOKUP(A1692,预留库存!A:H,8,0),0)</f>
        <v>0</v>
      </c>
      <c r="I1692">
        <f>IFERROR(VLOOKUP(A1692,预留库存!A:F,6,0),0)</f>
        <v>23.98</v>
      </c>
      <c r="J1692">
        <f>IFERROR(VLOOKUP(A1692,库龄!B:K,9,0),0)</f>
        <v>0</v>
      </c>
      <c r="K1692">
        <f>IFERROR(VLOOKUP(A1692,库龄!B:L,10,0),0)</f>
        <v>0</v>
      </c>
      <c r="L1692">
        <f>IFERROR(VLOOKUP(A1692,库龄!B:M,11,0),0)</f>
        <v>0</v>
      </c>
      <c r="M1692">
        <f>IFERROR(VLOOKUP(A1692,库龄!B:N,12,0),0)</f>
        <v>0</v>
      </c>
      <c r="N1692">
        <f t="shared" si="54"/>
        <v>0</v>
      </c>
    </row>
    <row r="1693" spans="1:14">
      <c r="A1693" s="3" t="s">
        <v>4495</v>
      </c>
      <c r="B1693">
        <f>IFERROR(VLOOKUP(A1693,管理亚马逊库存!A:K,11,0),"")</f>
        <v>5</v>
      </c>
      <c r="C1693">
        <f>IFERROR(VLOOKUP(A1693,管理亚马逊库存!A:L,12,0),"")</f>
        <v>0</v>
      </c>
      <c r="D1693">
        <f>IFERROR(VLOOKUP(A1693,管理亚马逊库存!A:Q,17,0),"")</f>
        <v>0</v>
      </c>
      <c r="E1693">
        <f>IFERROR(VLOOKUP(A1693,管理亚马逊库存!A:R,18,0),"")</f>
        <v>0</v>
      </c>
      <c r="F1693">
        <f t="shared" si="53"/>
        <v>0</v>
      </c>
      <c r="G1693" t="str">
        <f>IFERROR(VLOOKUP(A1693,预留库存!A:G,7,0),0)</f>
        <v>No</v>
      </c>
      <c r="H1693">
        <f>IFERROR(VLOOKUP(A1693,预留库存!A:H,8,0),0)</f>
        <v>0</v>
      </c>
      <c r="I1693">
        <f>IFERROR(VLOOKUP(A1693,预留库存!A:F,6,0),0)</f>
        <v>23.98</v>
      </c>
      <c r="J1693">
        <f>IFERROR(VLOOKUP(A1693,库龄!B:K,9,0),0)</f>
        <v>0</v>
      </c>
      <c r="K1693">
        <f>IFERROR(VLOOKUP(A1693,库龄!B:L,10,0),0)</f>
        <v>5</v>
      </c>
      <c r="L1693">
        <f>IFERROR(VLOOKUP(A1693,库龄!B:M,11,0),0)</f>
        <v>0</v>
      </c>
      <c r="M1693">
        <f>IFERROR(VLOOKUP(A1693,库龄!B:N,12,0),0)</f>
        <v>0</v>
      </c>
      <c r="N1693">
        <f t="shared" si="54"/>
        <v>5</v>
      </c>
    </row>
    <row r="1694" spans="1:14">
      <c r="A1694" s="3" t="s">
        <v>4496</v>
      </c>
      <c r="B1694">
        <f>IFERROR(VLOOKUP(A1694,管理亚马逊库存!A:K,11,0),"")</f>
        <v>2</v>
      </c>
      <c r="C1694">
        <f>IFERROR(VLOOKUP(A1694,管理亚马逊库存!A:L,12,0),"")</f>
        <v>0</v>
      </c>
      <c r="D1694">
        <f>IFERROR(VLOOKUP(A1694,管理亚马逊库存!A:Q,17,0),"")</f>
        <v>0</v>
      </c>
      <c r="E1694">
        <f>IFERROR(VLOOKUP(A1694,管理亚马逊库存!A:R,18,0),"")</f>
        <v>0</v>
      </c>
      <c r="F1694">
        <f t="shared" si="53"/>
        <v>0</v>
      </c>
      <c r="G1694" t="str">
        <f>IFERROR(VLOOKUP(A1694,预留库存!A:G,7,0),0)</f>
        <v>No</v>
      </c>
      <c r="H1694">
        <f>IFERROR(VLOOKUP(A1694,预留库存!A:H,8,0),0)</f>
        <v>0</v>
      </c>
      <c r="I1694">
        <f>IFERROR(VLOOKUP(A1694,预留库存!A:F,6,0),0)</f>
        <v>23.98</v>
      </c>
      <c r="J1694">
        <f>IFERROR(VLOOKUP(A1694,库龄!B:K,9,0),0)</f>
        <v>0</v>
      </c>
      <c r="K1694">
        <f>IFERROR(VLOOKUP(A1694,库龄!B:L,10,0),0)</f>
        <v>2</v>
      </c>
      <c r="L1694">
        <f>IFERROR(VLOOKUP(A1694,库龄!B:M,11,0),0)</f>
        <v>0</v>
      </c>
      <c r="M1694">
        <f>IFERROR(VLOOKUP(A1694,库龄!B:N,12,0),0)</f>
        <v>0</v>
      </c>
      <c r="N1694">
        <f t="shared" si="54"/>
        <v>2</v>
      </c>
    </row>
    <row r="1695" spans="1:14">
      <c r="A1695" s="3" t="s">
        <v>4497</v>
      </c>
      <c r="B1695">
        <f>IFERROR(VLOOKUP(A1695,管理亚马逊库存!A:K,11,0),"")</f>
        <v>1</v>
      </c>
      <c r="C1695">
        <f>IFERROR(VLOOKUP(A1695,管理亚马逊库存!A:L,12,0),"")</f>
        <v>0</v>
      </c>
      <c r="D1695">
        <f>IFERROR(VLOOKUP(A1695,管理亚马逊库存!A:Q,17,0),"")</f>
        <v>0</v>
      </c>
      <c r="E1695">
        <f>IFERROR(VLOOKUP(A1695,管理亚马逊库存!A:R,18,0),"")</f>
        <v>0</v>
      </c>
      <c r="F1695">
        <f t="shared" si="53"/>
        <v>0</v>
      </c>
      <c r="G1695" t="str">
        <f>IFERROR(VLOOKUP(A1695,预留库存!A:G,7,0),0)</f>
        <v>No</v>
      </c>
      <c r="H1695">
        <f>IFERROR(VLOOKUP(A1695,预留库存!A:H,8,0),0)</f>
        <v>0</v>
      </c>
      <c r="I1695">
        <f>IFERROR(VLOOKUP(A1695,预留库存!A:F,6,0),0)</f>
        <v>23.98</v>
      </c>
      <c r="J1695">
        <f>IFERROR(VLOOKUP(A1695,库龄!B:K,9,0),0)</f>
        <v>0</v>
      </c>
      <c r="K1695">
        <f>IFERROR(VLOOKUP(A1695,库龄!B:L,10,0),0)</f>
        <v>1</v>
      </c>
      <c r="L1695">
        <f>IFERROR(VLOOKUP(A1695,库龄!B:M,11,0),0)</f>
        <v>0</v>
      </c>
      <c r="M1695">
        <f>IFERROR(VLOOKUP(A1695,库龄!B:N,12,0),0)</f>
        <v>0</v>
      </c>
      <c r="N1695">
        <f t="shared" si="54"/>
        <v>1</v>
      </c>
    </row>
    <row r="1696" spans="1:14">
      <c r="A1696" s="3" t="s">
        <v>4498</v>
      </c>
      <c r="B1696">
        <f>IFERROR(VLOOKUP(A1696,管理亚马逊库存!A:K,11,0),"")</f>
        <v>6</v>
      </c>
      <c r="C1696">
        <f>IFERROR(VLOOKUP(A1696,管理亚马逊库存!A:L,12,0),"")</f>
        <v>0</v>
      </c>
      <c r="D1696">
        <f>IFERROR(VLOOKUP(A1696,管理亚马逊库存!A:Q,17,0),"")</f>
        <v>0</v>
      </c>
      <c r="E1696">
        <f>IFERROR(VLOOKUP(A1696,管理亚马逊库存!A:R,18,0),"")</f>
        <v>0</v>
      </c>
      <c r="F1696">
        <f t="shared" si="53"/>
        <v>0</v>
      </c>
      <c r="G1696" t="str">
        <f>IFERROR(VLOOKUP(A1696,预留库存!A:G,7,0),0)</f>
        <v>No</v>
      </c>
      <c r="H1696">
        <f>IFERROR(VLOOKUP(A1696,预留库存!A:H,8,0),0)</f>
        <v>0</v>
      </c>
      <c r="I1696">
        <f>IFERROR(VLOOKUP(A1696,预留库存!A:F,6,0),0)</f>
        <v>23.98</v>
      </c>
      <c r="J1696">
        <f>IFERROR(VLOOKUP(A1696,库龄!B:K,9,0),0)</f>
        <v>1</v>
      </c>
      <c r="K1696">
        <f>IFERROR(VLOOKUP(A1696,库龄!B:L,10,0),0)</f>
        <v>3</v>
      </c>
      <c r="L1696">
        <f>IFERROR(VLOOKUP(A1696,库龄!B:M,11,0),0)</f>
        <v>0</v>
      </c>
      <c r="M1696">
        <f>IFERROR(VLOOKUP(A1696,库龄!B:N,12,0),0)</f>
        <v>0</v>
      </c>
      <c r="N1696">
        <f t="shared" si="54"/>
        <v>4</v>
      </c>
    </row>
    <row r="1697" spans="1:14">
      <c r="A1697" s="3" t="s">
        <v>4499</v>
      </c>
      <c r="B1697">
        <f>IFERROR(VLOOKUP(A1697,管理亚马逊库存!A:K,11,0),"")</f>
        <v>6</v>
      </c>
      <c r="C1697">
        <f>IFERROR(VLOOKUP(A1697,管理亚马逊库存!A:L,12,0),"")</f>
        <v>0</v>
      </c>
      <c r="D1697">
        <f>IFERROR(VLOOKUP(A1697,管理亚马逊库存!A:Q,17,0),"")</f>
        <v>0</v>
      </c>
      <c r="E1697">
        <f>IFERROR(VLOOKUP(A1697,管理亚马逊库存!A:R,18,0),"")</f>
        <v>0</v>
      </c>
      <c r="F1697">
        <f t="shared" si="53"/>
        <v>0</v>
      </c>
      <c r="G1697" t="str">
        <f>IFERROR(VLOOKUP(A1697,预留库存!A:G,7,0),0)</f>
        <v>No</v>
      </c>
      <c r="H1697">
        <f>IFERROR(VLOOKUP(A1697,预留库存!A:H,8,0),0)</f>
        <v>0</v>
      </c>
      <c r="I1697">
        <f>IFERROR(VLOOKUP(A1697,预留库存!A:F,6,0),0)</f>
        <v>23.98</v>
      </c>
      <c r="J1697">
        <f>IFERROR(VLOOKUP(A1697,库龄!B:K,9,0),0)</f>
        <v>1</v>
      </c>
      <c r="K1697">
        <f>IFERROR(VLOOKUP(A1697,库龄!B:L,10,0),0)</f>
        <v>5</v>
      </c>
      <c r="L1697">
        <f>IFERROR(VLOOKUP(A1697,库龄!B:M,11,0),0)</f>
        <v>0</v>
      </c>
      <c r="M1697">
        <f>IFERROR(VLOOKUP(A1697,库龄!B:N,12,0),0)</f>
        <v>0</v>
      </c>
      <c r="N1697">
        <f t="shared" si="54"/>
        <v>6</v>
      </c>
    </row>
    <row r="1698" spans="1:14">
      <c r="A1698" s="3" t="s">
        <v>4500</v>
      </c>
      <c r="B1698">
        <f>IFERROR(VLOOKUP(A1698,管理亚马逊库存!A:K,11,0),"")</f>
        <v>0</v>
      </c>
      <c r="C1698">
        <f>IFERROR(VLOOKUP(A1698,管理亚马逊库存!A:L,12,0),"")</f>
        <v>0</v>
      </c>
      <c r="D1698">
        <f>IFERROR(VLOOKUP(A1698,管理亚马逊库存!A:Q,17,0),"")</f>
        <v>0</v>
      </c>
      <c r="E1698">
        <f>IFERROR(VLOOKUP(A1698,管理亚马逊库存!A:R,18,0),"")</f>
        <v>0</v>
      </c>
      <c r="F1698">
        <f t="shared" si="53"/>
        <v>0</v>
      </c>
      <c r="G1698">
        <f>IFERROR(VLOOKUP(A1698,预留库存!A:G,7,0),0)</f>
        <v>0</v>
      </c>
      <c r="H1698">
        <f>IFERROR(VLOOKUP(A1698,预留库存!A:H,8,0),0)</f>
        <v>0</v>
      </c>
      <c r="I1698">
        <f>IFERROR(VLOOKUP(A1698,预留库存!A:F,6,0),0)</f>
        <v>0</v>
      </c>
      <c r="J1698">
        <f>IFERROR(VLOOKUP(A1698,库龄!B:K,9,0),0)</f>
        <v>0</v>
      </c>
      <c r="K1698">
        <f>IFERROR(VLOOKUP(A1698,库龄!B:L,10,0),0)</f>
        <v>0</v>
      </c>
      <c r="L1698">
        <f>IFERROR(VLOOKUP(A1698,库龄!B:M,11,0),0)</f>
        <v>0</v>
      </c>
      <c r="M1698">
        <f>IFERROR(VLOOKUP(A1698,库龄!B:N,12,0),0)</f>
        <v>0</v>
      </c>
      <c r="N1698">
        <f t="shared" si="54"/>
        <v>0</v>
      </c>
    </row>
    <row r="1699" spans="1:14">
      <c r="A1699" s="3" t="s">
        <v>4501</v>
      </c>
      <c r="B1699">
        <f>IFERROR(VLOOKUP(A1699,管理亚马逊库存!A:K,11,0),"")</f>
        <v>5</v>
      </c>
      <c r="C1699">
        <f>IFERROR(VLOOKUP(A1699,管理亚马逊库存!A:L,12,0),"")</f>
        <v>0</v>
      </c>
      <c r="D1699">
        <f>IFERROR(VLOOKUP(A1699,管理亚马逊库存!A:Q,17,0),"")</f>
        <v>0</v>
      </c>
      <c r="E1699">
        <f>IFERROR(VLOOKUP(A1699,管理亚马逊库存!A:R,18,0),"")</f>
        <v>0</v>
      </c>
      <c r="F1699">
        <f t="shared" si="53"/>
        <v>0</v>
      </c>
      <c r="G1699" t="str">
        <f>IFERROR(VLOOKUP(A1699,预留库存!A:G,7,0),0)</f>
        <v>No</v>
      </c>
      <c r="H1699">
        <f>IFERROR(VLOOKUP(A1699,预留库存!A:H,8,0),0)</f>
        <v>0</v>
      </c>
      <c r="I1699">
        <f>IFERROR(VLOOKUP(A1699,预留库存!A:F,6,0),0)</f>
        <v>23.98</v>
      </c>
      <c r="J1699">
        <f>IFERROR(VLOOKUP(A1699,库龄!B:K,9,0),0)</f>
        <v>2</v>
      </c>
      <c r="K1699">
        <f>IFERROR(VLOOKUP(A1699,库龄!B:L,10,0),0)</f>
        <v>3</v>
      </c>
      <c r="L1699">
        <f>IFERROR(VLOOKUP(A1699,库龄!B:M,11,0),0)</f>
        <v>0</v>
      </c>
      <c r="M1699">
        <f>IFERROR(VLOOKUP(A1699,库龄!B:N,12,0),0)</f>
        <v>0</v>
      </c>
      <c r="N1699">
        <f t="shared" si="54"/>
        <v>5</v>
      </c>
    </row>
    <row r="1700" spans="1:14">
      <c r="A1700" s="3" t="s">
        <v>4502</v>
      </c>
      <c r="B1700">
        <f>IFERROR(VLOOKUP(A1700,管理亚马逊库存!A:K,11,0),"")</f>
        <v>6</v>
      </c>
      <c r="C1700">
        <f>IFERROR(VLOOKUP(A1700,管理亚马逊库存!A:L,12,0),"")</f>
        <v>0</v>
      </c>
      <c r="D1700">
        <f>IFERROR(VLOOKUP(A1700,管理亚马逊库存!A:Q,17,0),"")</f>
        <v>0</v>
      </c>
      <c r="E1700">
        <f>IFERROR(VLOOKUP(A1700,管理亚马逊库存!A:R,18,0),"")</f>
        <v>0</v>
      </c>
      <c r="F1700">
        <f t="shared" si="53"/>
        <v>0</v>
      </c>
      <c r="G1700" t="str">
        <f>IFERROR(VLOOKUP(A1700,预留库存!A:G,7,0),0)</f>
        <v>No</v>
      </c>
      <c r="H1700">
        <f>IFERROR(VLOOKUP(A1700,预留库存!A:H,8,0),0)</f>
        <v>0</v>
      </c>
      <c r="I1700">
        <f>IFERROR(VLOOKUP(A1700,预留库存!A:F,6,0),0)</f>
        <v>23.98</v>
      </c>
      <c r="J1700">
        <f>IFERROR(VLOOKUP(A1700,库龄!B:K,9,0),0)</f>
        <v>2</v>
      </c>
      <c r="K1700">
        <f>IFERROR(VLOOKUP(A1700,库龄!B:L,10,0),0)</f>
        <v>4</v>
      </c>
      <c r="L1700">
        <f>IFERROR(VLOOKUP(A1700,库龄!B:M,11,0),0)</f>
        <v>0</v>
      </c>
      <c r="M1700">
        <f>IFERROR(VLOOKUP(A1700,库龄!B:N,12,0),0)</f>
        <v>0</v>
      </c>
      <c r="N1700">
        <f t="shared" si="54"/>
        <v>6</v>
      </c>
    </row>
    <row r="1701" spans="1:14">
      <c r="A1701" s="3" t="s">
        <v>4503</v>
      </c>
      <c r="B1701">
        <f>IFERROR(VLOOKUP(A1701,管理亚马逊库存!A:K,11,0),"")</f>
        <v>8</v>
      </c>
      <c r="C1701">
        <f>IFERROR(VLOOKUP(A1701,管理亚马逊库存!A:L,12,0),"")</f>
        <v>0</v>
      </c>
      <c r="D1701">
        <f>IFERROR(VLOOKUP(A1701,管理亚马逊库存!A:Q,17,0),"")</f>
        <v>0</v>
      </c>
      <c r="E1701">
        <f>IFERROR(VLOOKUP(A1701,管理亚马逊库存!A:R,18,0),"")</f>
        <v>0</v>
      </c>
      <c r="F1701">
        <f t="shared" si="53"/>
        <v>0</v>
      </c>
      <c r="G1701" t="str">
        <f>IFERROR(VLOOKUP(A1701,预留库存!A:G,7,0),0)</f>
        <v>No</v>
      </c>
      <c r="H1701">
        <f>IFERROR(VLOOKUP(A1701,预留库存!A:H,8,0),0)</f>
        <v>0</v>
      </c>
      <c r="I1701">
        <f>IFERROR(VLOOKUP(A1701,预留库存!A:F,6,0),0)</f>
        <v>23.98</v>
      </c>
      <c r="J1701">
        <f>IFERROR(VLOOKUP(A1701,库龄!B:K,9,0),0)</f>
        <v>0</v>
      </c>
      <c r="K1701">
        <f>IFERROR(VLOOKUP(A1701,库龄!B:L,10,0),0)</f>
        <v>8</v>
      </c>
      <c r="L1701">
        <f>IFERROR(VLOOKUP(A1701,库龄!B:M,11,0),0)</f>
        <v>0</v>
      </c>
      <c r="M1701">
        <f>IFERROR(VLOOKUP(A1701,库龄!B:N,12,0),0)</f>
        <v>0</v>
      </c>
      <c r="N1701">
        <f t="shared" si="54"/>
        <v>8</v>
      </c>
    </row>
    <row r="1702" spans="1:14">
      <c r="A1702" s="3" t="s">
        <v>4504</v>
      </c>
      <c r="B1702">
        <f>IFERROR(VLOOKUP(A1702,管理亚马逊库存!A:K,11,0),"")</f>
        <v>4</v>
      </c>
      <c r="C1702">
        <f>IFERROR(VLOOKUP(A1702,管理亚马逊库存!A:L,12,0),"")</f>
        <v>0</v>
      </c>
      <c r="D1702">
        <f>IFERROR(VLOOKUP(A1702,管理亚马逊库存!A:Q,17,0),"")</f>
        <v>0</v>
      </c>
      <c r="E1702">
        <f>IFERROR(VLOOKUP(A1702,管理亚马逊库存!A:R,18,0),"")</f>
        <v>0</v>
      </c>
      <c r="F1702">
        <f t="shared" si="53"/>
        <v>0</v>
      </c>
      <c r="G1702" t="str">
        <f>IFERROR(VLOOKUP(A1702,预留库存!A:G,7,0),0)</f>
        <v>No</v>
      </c>
      <c r="H1702">
        <f>IFERROR(VLOOKUP(A1702,预留库存!A:H,8,0),0)</f>
        <v>0</v>
      </c>
      <c r="I1702">
        <f>IFERROR(VLOOKUP(A1702,预留库存!A:F,6,0),0)</f>
        <v>23.98</v>
      </c>
      <c r="J1702">
        <f>IFERROR(VLOOKUP(A1702,库龄!B:K,9,0),0)</f>
        <v>0</v>
      </c>
      <c r="K1702">
        <f>IFERROR(VLOOKUP(A1702,库龄!B:L,10,0),0)</f>
        <v>4</v>
      </c>
      <c r="L1702">
        <f>IFERROR(VLOOKUP(A1702,库龄!B:M,11,0),0)</f>
        <v>0</v>
      </c>
      <c r="M1702">
        <f>IFERROR(VLOOKUP(A1702,库龄!B:N,12,0),0)</f>
        <v>0</v>
      </c>
      <c r="N1702">
        <f t="shared" si="54"/>
        <v>4</v>
      </c>
    </row>
    <row r="1703" spans="1:14">
      <c r="A1703" s="3" t="s">
        <v>4505</v>
      </c>
      <c r="B1703">
        <f>IFERROR(VLOOKUP(A1703,管理亚马逊库存!A:K,11,0),"")</f>
        <v>5</v>
      </c>
      <c r="C1703">
        <f>IFERROR(VLOOKUP(A1703,管理亚马逊库存!A:L,12,0),"")</f>
        <v>0</v>
      </c>
      <c r="D1703">
        <f>IFERROR(VLOOKUP(A1703,管理亚马逊库存!A:Q,17,0),"")</f>
        <v>0</v>
      </c>
      <c r="E1703">
        <f>IFERROR(VLOOKUP(A1703,管理亚马逊库存!A:R,18,0),"")</f>
        <v>0</v>
      </c>
      <c r="F1703">
        <f t="shared" si="53"/>
        <v>0</v>
      </c>
      <c r="G1703" t="str">
        <f>IFERROR(VLOOKUP(A1703,预留库存!A:G,7,0),0)</f>
        <v>No</v>
      </c>
      <c r="H1703">
        <f>IFERROR(VLOOKUP(A1703,预留库存!A:H,8,0),0)</f>
        <v>0</v>
      </c>
      <c r="I1703">
        <f>IFERROR(VLOOKUP(A1703,预留库存!A:F,6,0),0)</f>
        <v>23.98</v>
      </c>
      <c r="J1703">
        <f>IFERROR(VLOOKUP(A1703,库龄!B:K,9,0),0)</f>
        <v>0</v>
      </c>
      <c r="K1703">
        <f>IFERROR(VLOOKUP(A1703,库龄!B:L,10,0),0)</f>
        <v>5</v>
      </c>
      <c r="L1703">
        <f>IFERROR(VLOOKUP(A1703,库龄!B:M,11,0),0)</f>
        <v>0</v>
      </c>
      <c r="M1703">
        <f>IFERROR(VLOOKUP(A1703,库龄!B:N,12,0),0)</f>
        <v>0</v>
      </c>
      <c r="N1703">
        <f t="shared" si="54"/>
        <v>5</v>
      </c>
    </row>
    <row r="1704" spans="1:14">
      <c r="A1704" s="3" t="s">
        <v>4506</v>
      </c>
      <c r="B1704">
        <f>IFERROR(VLOOKUP(A1704,管理亚马逊库存!A:K,11,0),"")</f>
        <v>6</v>
      </c>
      <c r="C1704">
        <f>IFERROR(VLOOKUP(A1704,管理亚马逊库存!A:L,12,0),"")</f>
        <v>0</v>
      </c>
      <c r="D1704">
        <f>IFERROR(VLOOKUP(A1704,管理亚马逊库存!A:Q,17,0),"")</f>
        <v>0</v>
      </c>
      <c r="E1704">
        <f>IFERROR(VLOOKUP(A1704,管理亚马逊库存!A:R,18,0),"")</f>
        <v>0</v>
      </c>
      <c r="F1704">
        <f t="shared" si="53"/>
        <v>0</v>
      </c>
      <c r="G1704" t="str">
        <f>IFERROR(VLOOKUP(A1704,预留库存!A:G,7,0),0)</f>
        <v>No</v>
      </c>
      <c r="H1704">
        <f>IFERROR(VLOOKUP(A1704,预留库存!A:H,8,0),0)</f>
        <v>0</v>
      </c>
      <c r="I1704">
        <f>IFERROR(VLOOKUP(A1704,预留库存!A:F,6,0),0)</f>
        <v>23.98</v>
      </c>
      <c r="J1704">
        <f>IFERROR(VLOOKUP(A1704,库龄!B:K,9,0),0)</f>
        <v>0</v>
      </c>
      <c r="K1704">
        <f>IFERROR(VLOOKUP(A1704,库龄!B:L,10,0),0)</f>
        <v>6</v>
      </c>
      <c r="L1704">
        <f>IFERROR(VLOOKUP(A1704,库龄!B:M,11,0),0)</f>
        <v>0</v>
      </c>
      <c r="M1704">
        <f>IFERROR(VLOOKUP(A1704,库龄!B:N,12,0),0)</f>
        <v>0</v>
      </c>
      <c r="N1704">
        <f t="shared" si="54"/>
        <v>6</v>
      </c>
    </row>
    <row r="1705" spans="1:14">
      <c r="A1705" s="3" t="s">
        <v>4507</v>
      </c>
      <c r="B1705">
        <f>IFERROR(VLOOKUP(A1705,管理亚马逊库存!A:K,11,0),"")</f>
        <v>9</v>
      </c>
      <c r="C1705">
        <f>IFERROR(VLOOKUP(A1705,管理亚马逊库存!A:L,12,0),"")</f>
        <v>0</v>
      </c>
      <c r="D1705">
        <f>IFERROR(VLOOKUP(A1705,管理亚马逊库存!A:Q,17,0),"")</f>
        <v>0</v>
      </c>
      <c r="E1705">
        <f>IFERROR(VLOOKUP(A1705,管理亚马逊库存!A:R,18,0),"")</f>
        <v>0</v>
      </c>
      <c r="F1705">
        <f t="shared" si="53"/>
        <v>0</v>
      </c>
      <c r="G1705" t="str">
        <f>IFERROR(VLOOKUP(A1705,预留库存!A:G,7,0),0)</f>
        <v>No</v>
      </c>
      <c r="H1705">
        <f>IFERROR(VLOOKUP(A1705,预留库存!A:H,8,0),0)</f>
        <v>0</v>
      </c>
      <c r="I1705">
        <f>IFERROR(VLOOKUP(A1705,预留库存!A:F,6,0),0)</f>
        <v>23.98</v>
      </c>
      <c r="J1705">
        <f>IFERROR(VLOOKUP(A1705,库龄!B:K,9,0),0)</f>
        <v>0</v>
      </c>
      <c r="K1705">
        <f>IFERROR(VLOOKUP(A1705,库龄!B:L,10,0),0)</f>
        <v>9</v>
      </c>
      <c r="L1705">
        <f>IFERROR(VLOOKUP(A1705,库龄!B:M,11,0),0)</f>
        <v>0</v>
      </c>
      <c r="M1705">
        <f>IFERROR(VLOOKUP(A1705,库龄!B:N,12,0),0)</f>
        <v>0</v>
      </c>
      <c r="N1705">
        <f t="shared" si="54"/>
        <v>9</v>
      </c>
    </row>
    <row r="1706" spans="1:14">
      <c r="A1706" s="3" t="s">
        <v>4508</v>
      </c>
      <c r="B1706">
        <f>IFERROR(VLOOKUP(A1706,管理亚马逊库存!A:K,11,0),"")</f>
        <v>5</v>
      </c>
      <c r="C1706">
        <f>IFERROR(VLOOKUP(A1706,管理亚马逊库存!A:L,12,0),"")</f>
        <v>0</v>
      </c>
      <c r="D1706">
        <f>IFERROR(VLOOKUP(A1706,管理亚马逊库存!A:Q,17,0),"")</f>
        <v>0</v>
      </c>
      <c r="E1706">
        <f>IFERROR(VLOOKUP(A1706,管理亚马逊库存!A:R,18,0),"")</f>
        <v>0</v>
      </c>
      <c r="F1706">
        <f t="shared" si="53"/>
        <v>0</v>
      </c>
      <c r="G1706" t="str">
        <f>IFERROR(VLOOKUP(A1706,预留库存!A:G,7,0),0)</f>
        <v>No</v>
      </c>
      <c r="H1706">
        <f>IFERROR(VLOOKUP(A1706,预留库存!A:H,8,0),0)</f>
        <v>0</v>
      </c>
      <c r="I1706">
        <f>IFERROR(VLOOKUP(A1706,预留库存!A:F,6,0),0)</f>
        <v>23.98</v>
      </c>
      <c r="J1706">
        <f>IFERROR(VLOOKUP(A1706,库龄!B:K,9,0),0)</f>
        <v>0</v>
      </c>
      <c r="K1706">
        <f>IFERROR(VLOOKUP(A1706,库龄!B:L,10,0),0)</f>
        <v>5</v>
      </c>
      <c r="L1706">
        <f>IFERROR(VLOOKUP(A1706,库龄!B:M,11,0),0)</f>
        <v>0</v>
      </c>
      <c r="M1706">
        <f>IFERROR(VLOOKUP(A1706,库龄!B:N,12,0),0)</f>
        <v>0</v>
      </c>
      <c r="N1706">
        <f t="shared" si="54"/>
        <v>5</v>
      </c>
    </row>
    <row r="1707" spans="1:14">
      <c r="A1707" s="3" t="s">
        <v>4509</v>
      </c>
      <c r="B1707">
        <f>IFERROR(VLOOKUP(A1707,管理亚马逊库存!A:K,11,0),"")</f>
        <v>8</v>
      </c>
      <c r="C1707">
        <f>IFERROR(VLOOKUP(A1707,管理亚马逊库存!A:L,12,0),"")</f>
        <v>0</v>
      </c>
      <c r="D1707">
        <f>IFERROR(VLOOKUP(A1707,管理亚马逊库存!A:Q,17,0),"")</f>
        <v>0</v>
      </c>
      <c r="E1707">
        <f>IFERROR(VLOOKUP(A1707,管理亚马逊库存!A:R,18,0),"")</f>
        <v>0</v>
      </c>
      <c r="F1707">
        <f t="shared" si="53"/>
        <v>0</v>
      </c>
      <c r="G1707" t="str">
        <f>IFERROR(VLOOKUP(A1707,预留库存!A:G,7,0),0)</f>
        <v>No</v>
      </c>
      <c r="H1707">
        <f>IFERROR(VLOOKUP(A1707,预留库存!A:H,8,0),0)</f>
        <v>0</v>
      </c>
      <c r="I1707">
        <f>IFERROR(VLOOKUP(A1707,预留库存!A:F,6,0),0)</f>
        <v>23.98</v>
      </c>
      <c r="J1707">
        <f>IFERROR(VLOOKUP(A1707,库龄!B:K,9,0),0)</f>
        <v>0</v>
      </c>
      <c r="K1707">
        <f>IFERROR(VLOOKUP(A1707,库龄!B:L,10,0),0)</f>
        <v>8</v>
      </c>
      <c r="L1707">
        <f>IFERROR(VLOOKUP(A1707,库龄!B:M,11,0),0)</f>
        <v>0</v>
      </c>
      <c r="M1707">
        <f>IFERROR(VLOOKUP(A1707,库龄!B:N,12,0),0)</f>
        <v>0</v>
      </c>
      <c r="N1707">
        <f t="shared" si="54"/>
        <v>8</v>
      </c>
    </row>
    <row r="1708" spans="1:14">
      <c r="A1708" s="3" t="s">
        <v>4510</v>
      </c>
      <c r="B1708">
        <f>IFERROR(VLOOKUP(A1708,管理亚马逊库存!A:K,11,0),"")</f>
        <v>7</v>
      </c>
      <c r="C1708">
        <f>IFERROR(VLOOKUP(A1708,管理亚马逊库存!A:L,12,0),"")</f>
        <v>0</v>
      </c>
      <c r="D1708">
        <f>IFERROR(VLOOKUP(A1708,管理亚马逊库存!A:Q,17,0),"")</f>
        <v>0</v>
      </c>
      <c r="E1708">
        <f>IFERROR(VLOOKUP(A1708,管理亚马逊库存!A:R,18,0),"")</f>
        <v>0</v>
      </c>
      <c r="F1708">
        <f t="shared" si="53"/>
        <v>0</v>
      </c>
      <c r="G1708" t="str">
        <f>IFERROR(VLOOKUP(A1708,预留库存!A:G,7,0),0)</f>
        <v>No</v>
      </c>
      <c r="H1708">
        <f>IFERROR(VLOOKUP(A1708,预留库存!A:H,8,0),0)</f>
        <v>0</v>
      </c>
      <c r="I1708">
        <f>IFERROR(VLOOKUP(A1708,预留库存!A:F,6,0),0)</f>
        <v>23.98</v>
      </c>
      <c r="J1708">
        <f>IFERROR(VLOOKUP(A1708,库龄!B:K,9,0),0)</f>
        <v>0</v>
      </c>
      <c r="K1708">
        <f>IFERROR(VLOOKUP(A1708,库龄!B:L,10,0),0)</f>
        <v>6</v>
      </c>
      <c r="L1708">
        <f>IFERROR(VLOOKUP(A1708,库龄!B:M,11,0),0)</f>
        <v>0</v>
      </c>
      <c r="M1708">
        <f>IFERROR(VLOOKUP(A1708,库龄!B:N,12,0),0)</f>
        <v>0</v>
      </c>
      <c r="N1708">
        <f t="shared" si="54"/>
        <v>6</v>
      </c>
    </row>
    <row r="1709" spans="1:14">
      <c r="A1709" s="3" t="s">
        <v>4511</v>
      </c>
      <c r="B1709">
        <f>IFERROR(VLOOKUP(A1709,管理亚马逊库存!A:K,11,0),"")</f>
        <v>8</v>
      </c>
      <c r="C1709">
        <f>IFERROR(VLOOKUP(A1709,管理亚马逊库存!A:L,12,0),"")</f>
        <v>0</v>
      </c>
      <c r="D1709">
        <f>IFERROR(VLOOKUP(A1709,管理亚马逊库存!A:Q,17,0),"")</f>
        <v>0</v>
      </c>
      <c r="E1709">
        <f>IFERROR(VLOOKUP(A1709,管理亚马逊库存!A:R,18,0),"")</f>
        <v>0</v>
      </c>
      <c r="F1709">
        <f t="shared" si="53"/>
        <v>0</v>
      </c>
      <c r="G1709" t="str">
        <f>IFERROR(VLOOKUP(A1709,预留库存!A:G,7,0),0)</f>
        <v>No</v>
      </c>
      <c r="H1709">
        <f>IFERROR(VLOOKUP(A1709,预留库存!A:H,8,0),0)</f>
        <v>0</v>
      </c>
      <c r="I1709">
        <f>IFERROR(VLOOKUP(A1709,预留库存!A:F,6,0),0)</f>
        <v>23.98</v>
      </c>
      <c r="J1709">
        <f>IFERROR(VLOOKUP(A1709,库龄!B:K,9,0),0)</f>
        <v>0</v>
      </c>
      <c r="K1709">
        <f>IFERROR(VLOOKUP(A1709,库龄!B:L,10,0),0)</f>
        <v>8</v>
      </c>
      <c r="L1709">
        <f>IFERROR(VLOOKUP(A1709,库龄!B:M,11,0),0)</f>
        <v>0</v>
      </c>
      <c r="M1709">
        <f>IFERROR(VLOOKUP(A1709,库龄!B:N,12,0),0)</f>
        <v>0</v>
      </c>
      <c r="N1709">
        <f t="shared" si="54"/>
        <v>8</v>
      </c>
    </row>
    <row r="1710" spans="1:14">
      <c r="A1710" s="3" t="s">
        <v>4512</v>
      </c>
      <c r="B1710">
        <f>IFERROR(VLOOKUP(A1710,管理亚马逊库存!A:K,11,0),"")</f>
        <v>3</v>
      </c>
      <c r="C1710">
        <f>IFERROR(VLOOKUP(A1710,管理亚马逊库存!A:L,12,0),"")</f>
        <v>0</v>
      </c>
      <c r="D1710">
        <f>IFERROR(VLOOKUP(A1710,管理亚马逊库存!A:Q,17,0),"")</f>
        <v>0</v>
      </c>
      <c r="E1710">
        <f>IFERROR(VLOOKUP(A1710,管理亚马逊库存!A:R,18,0),"")</f>
        <v>0</v>
      </c>
      <c r="F1710">
        <f t="shared" si="53"/>
        <v>0</v>
      </c>
      <c r="G1710" t="str">
        <f>IFERROR(VLOOKUP(A1710,预留库存!A:G,7,0),0)</f>
        <v>No</v>
      </c>
      <c r="H1710">
        <f>IFERROR(VLOOKUP(A1710,预留库存!A:H,8,0),0)</f>
        <v>0</v>
      </c>
      <c r="I1710">
        <f>IFERROR(VLOOKUP(A1710,预留库存!A:F,6,0),0)</f>
        <v>23.98</v>
      </c>
      <c r="J1710">
        <f>IFERROR(VLOOKUP(A1710,库龄!B:K,9,0),0)</f>
        <v>1</v>
      </c>
      <c r="K1710">
        <f>IFERROR(VLOOKUP(A1710,库龄!B:L,10,0),0)</f>
        <v>2</v>
      </c>
      <c r="L1710">
        <f>IFERROR(VLOOKUP(A1710,库龄!B:M,11,0),0)</f>
        <v>0</v>
      </c>
      <c r="M1710">
        <f>IFERROR(VLOOKUP(A1710,库龄!B:N,12,0),0)</f>
        <v>0</v>
      </c>
      <c r="N1710">
        <f t="shared" si="54"/>
        <v>3</v>
      </c>
    </row>
    <row r="1711" spans="1:14">
      <c r="A1711" s="3" t="s">
        <v>4513</v>
      </c>
      <c r="B1711">
        <f>IFERROR(VLOOKUP(A1711,管理亚马逊库存!A:K,11,0),"")</f>
        <v>8</v>
      </c>
      <c r="C1711">
        <f>IFERROR(VLOOKUP(A1711,管理亚马逊库存!A:L,12,0),"")</f>
        <v>0</v>
      </c>
      <c r="D1711">
        <f>IFERROR(VLOOKUP(A1711,管理亚马逊库存!A:Q,17,0),"")</f>
        <v>0</v>
      </c>
      <c r="E1711">
        <f>IFERROR(VLOOKUP(A1711,管理亚马逊库存!A:R,18,0),"")</f>
        <v>0</v>
      </c>
      <c r="F1711">
        <f t="shared" si="53"/>
        <v>0</v>
      </c>
      <c r="G1711" t="str">
        <f>IFERROR(VLOOKUP(A1711,预留库存!A:G,7,0),0)</f>
        <v>No</v>
      </c>
      <c r="H1711">
        <f>IFERROR(VLOOKUP(A1711,预留库存!A:H,8,0),0)</f>
        <v>0</v>
      </c>
      <c r="I1711">
        <f>IFERROR(VLOOKUP(A1711,预留库存!A:F,6,0),0)</f>
        <v>23.98</v>
      </c>
      <c r="J1711">
        <f>IFERROR(VLOOKUP(A1711,库龄!B:K,9,0),0)</f>
        <v>0</v>
      </c>
      <c r="K1711">
        <f>IFERROR(VLOOKUP(A1711,库龄!B:L,10,0),0)</f>
        <v>8</v>
      </c>
      <c r="L1711">
        <f>IFERROR(VLOOKUP(A1711,库龄!B:M,11,0),0)</f>
        <v>0</v>
      </c>
      <c r="M1711">
        <f>IFERROR(VLOOKUP(A1711,库龄!B:N,12,0),0)</f>
        <v>0</v>
      </c>
      <c r="N1711">
        <f t="shared" si="54"/>
        <v>8</v>
      </c>
    </row>
    <row r="1712" spans="1:14">
      <c r="A1712" s="3" t="s">
        <v>4514</v>
      </c>
      <c r="B1712">
        <f>IFERROR(VLOOKUP(A1712,管理亚马逊库存!A:K,11,0),"")</f>
        <v>1</v>
      </c>
      <c r="C1712">
        <f>IFERROR(VLOOKUP(A1712,管理亚马逊库存!A:L,12,0),"")</f>
        <v>0</v>
      </c>
      <c r="D1712">
        <f>IFERROR(VLOOKUP(A1712,管理亚马逊库存!A:Q,17,0),"")</f>
        <v>0</v>
      </c>
      <c r="E1712">
        <f>IFERROR(VLOOKUP(A1712,管理亚马逊库存!A:R,18,0),"")</f>
        <v>0</v>
      </c>
      <c r="F1712">
        <f t="shared" si="53"/>
        <v>0</v>
      </c>
      <c r="G1712" t="str">
        <f>IFERROR(VLOOKUP(A1712,预留库存!A:G,7,0),0)</f>
        <v>No</v>
      </c>
      <c r="H1712">
        <f>IFERROR(VLOOKUP(A1712,预留库存!A:H,8,0),0)</f>
        <v>0</v>
      </c>
      <c r="I1712">
        <f>IFERROR(VLOOKUP(A1712,预留库存!A:F,6,0),0)</f>
        <v>23.98</v>
      </c>
      <c r="J1712">
        <f>IFERROR(VLOOKUP(A1712,库龄!B:K,9,0),0)</f>
        <v>0</v>
      </c>
      <c r="K1712">
        <f>IFERROR(VLOOKUP(A1712,库龄!B:L,10,0),0)</f>
        <v>1</v>
      </c>
      <c r="L1712">
        <f>IFERROR(VLOOKUP(A1712,库龄!B:M,11,0),0)</f>
        <v>0</v>
      </c>
      <c r="M1712">
        <f>IFERROR(VLOOKUP(A1712,库龄!B:N,12,0),0)</f>
        <v>0</v>
      </c>
      <c r="N1712">
        <f t="shared" si="54"/>
        <v>1</v>
      </c>
    </row>
    <row r="1713" spans="1:14">
      <c r="A1713" s="3" t="s">
        <v>4515</v>
      </c>
      <c r="B1713">
        <f>IFERROR(VLOOKUP(A1713,管理亚马逊库存!A:K,11,0),"")</f>
        <v>1</v>
      </c>
      <c r="C1713">
        <f>IFERROR(VLOOKUP(A1713,管理亚马逊库存!A:L,12,0),"")</f>
        <v>0</v>
      </c>
      <c r="D1713">
        <f>IFERROR(VLOOKUP(A1713,管理亚马逊库存!A:Q,17,0),"")</f>
        <v>0</v>
      </c>
      <c r="E1713">
        <f>IFERROR(VLOOKUP(A1713,管理亚马逊库存!A:R,18,0),"")</f>
        <v>0</v>
      </c>
      <c r="F1713">
        <f t="shared" si="53"/>
        <v>0</v>
      </c>
      <c r="G1713" t="str">
        <f>IFERROR(VLOOKUP(A1713,预留库存!A:G,7,0),0)</f>
        <v>No</v>
      </c>
      <c r="H1713">
        <f>IFERROR(VLOOKUP(A1713,预留库存!A:H,8,0),0)</f>
        <v>0</v>
      </c>
      <c r="I1713">
        <f>IFERROR(VLOOKUP(A1713,预留库存!A:F,6,0),0)</f>
        <v>23.98</v>
      </c>
      <c r="J1713">
        <f>IFERROR(VLOOKUP(A1713,库龄!B:K,9,0),0)</f>
        <v>0</v>
      </c>
      <c r="K1713">
        <f>IFERROR(VLOOKUP(A1713,库龄!B:L,10,0),0)</f>
        <v>1</v>
      </c>
      <c r="L1713">
        <f>IFERROR(VLOOKUP(A1713,库龄!B:M,11,0),0)</f>
        <v>0</v>
      </c>
      <c r="M1713">
        <f>IFERROR(VLOOKUP(A1713,库龄!B:N,12,0),0)</f>
        <v>0</v>
      </c>
      <c r="N1713">
        <f t="shared" si="54"/>
        <v>1</v>
      </c>
    </row>
    <row r="1714" spans="1:14">
      <c r="A1714" s="3" t="s">
        <v>4516</v>
      </c>
      <c r="B1714">
        <f>IFERROR(VLOOKUP(A1714,管理亚马逊库存!A:K,11,0),"")</f>
        <v>0</v>
      </c>
      <c r="C1714">
        <f>IFERROR(VLOOKUP(A1714,管理亚马逊库存!A:L,12,0),"")</f>
        <v>0</v>
      </c>
      <c r="D1714">
        <f>IFERROR(VLOOKUP(A1714,管理亚马逊库存!A:Q,17,0),"")</f>
        <v>0</v>
      </c>
      <c r="E1714">
        <f>IFERROR(VLOOKUP(A1714,管理亚马逊库存!A:R,18,0),"")</f>
        <v>0</v>
      </c>
      <c r="F1714">
        <f t="shared" si="53"/>
        <v>0</v>
      </c>
      <c r="G1714" t="str">
        <f>IFERROR(VLOOKUP(A1714,预留库存!A:G,7,0),0)</f>
        <v>No</v>
      </c>
      <c r="H1714">
        <f>IFERROR(VLOOKUP(A1714,预留库存!A:H,8,0),0)</f>
        <v>0</v>
      </c>
      <c r="I1714">
        <f>IFERROR(VLOOKUP(A1714,预留库存!A:F,6,0),0)</f>
        <v>23.98</v>
      </c>
      <c r="J1714">
        <f>IFERROR(VLOOKUP(A1714,库龄!B:K,9,0),0)</f>
        <v>0</v>
      </c>
      <c r="K1714">
        <f>IFERROR(VLOOKUP(A1714,库龄!B:L,10,0),0)</f>
        <v>0</v>
      </c>
      <c r="L1714">
        <f>IFERROR(VLOOKUP(A1714,库龄!B:M,11,0),0)</f>
        <v>0</v>
      </c>
      <c r="M1714">
        <f>IFERROR(VLOOKUP(A1714,库龄!B:N,12,0),0)</f>
        <v>0</v>
      </c>
      <c r="N1714">
        <f t="shared" si="54"/>
        <v>0</v>
      </c>
    </row>
    <row r="1715" spans="1:14">
      <c r="A1715" s="3" t="s">
        <v>4517</v>
      </c>
      <c r="B1715">
        <f>IFERROR(VLOOKUP(A1715,管理亚马逊库存!A:K,11,0),"")</f>
        <v>0</v>
      </c>
      <c r="C1715">
        <f>IFERROR(VLOOKUP(A1715,管理亚马逊库存!A:L,12,0),"")</f>
        <v>0</v>
      </c>
      <c r="D1715">
        <f>IFERROR(VLOOKUP(A1715,管理亚马逊库存!A:Q,17,0),"")</f>
        <v>0</v>
      </c>
      <c r="E1715">
        <f>IFERROR(VLOOKUP(A1715,管理亚马逊库存!A:R,18,0),"")</f>
        <v>0</v>
      </c>
      <c r="F1715">
        <f t="shared" si="53"/>
        <v>0</v>
      </c>
      <c r="G1715">
        <f>IFERROR(VLOOKUP(A1715,预留库存!A:G,7,0),0)</f>
        <v>0</v>
      </c>
      <c r="H1715">
        <f>IFERROR(VLOOKUP(A1715,预留库存!A:H,8,0),0)</f>
        <v>0</v>
      </c>
      <c r="I1715">
        <f>IFERROR(VLOOKUP(A1715,预留库存!A:F,6,0),0)</f>
        <v>0</v>
      </c>
      <c r="J1715">
        <f>IFERROR(VLOOKUP(A1715,库龄!B:K,9,0),0)</f>
        <v>0</v>
      </c>
      <c r="K1715">
        <f>IFERROR(VLOOKUP(A1715,库龄!B:L,10,0),0)</f>
        <v>0</v>
      </c>
      <c r="L1715">
        <f>IFERROR(VLOOKUP(A1715,库龄!B:M,11,0),0)</f>
        <v>0</v>
      </c>
      <c r="M1715">
        <f>IFERROR(VLOOKUP(A1715,库龄!B:N,12,0),0)</f>
        <v>0</v>
      </c>
      <c r="N1715">
        <f t="shared" si="54"/>
        <v>0</v>
      </c>
    </row>
    <row r="1716" spans="1:14">
      <c r="A1716" s="3" t="s">
        <v>4518</v>
      </c>
      <c r="B1716">
        <f>IFERROR(VLOOKUP(A1716,管理亚马逊库存!A:K,11,0),"")</f>
        <v>6</v>
      </c>
      <c r="C1716">
        <f>IFERROR(VLOOKUP(A1716,管理亚马逊库存!A:L,12,0),"")</f>
        <v>0</v>
      </c>
      <c r="D1716">
        <f>IFERROR(VLOOKUP(A1716,管理亚马逊库存!A:Q,17,0),"")</f>
        <v>0</v>
      </c>
      <c r="E1716">
        <f>IFERROR(VLOOKUP(A1716,管理亚马逊库存!A:R,18,0),"")</f>
        <v>0</v>
      </c>
      <c r="F1716">
        <f t="shared" si="53"/>
        <v>0</v>
      </c>
      <c r="G1716" t="str">
        <f>IFERROR(VLOOKUP(A1716,预留库存!A:G,7,0),0)</f>
        <v>No</v>
      </c>
      <c r="H1716">
        <f>IFERROR(VLOOKUP(A1716,预留库存!A:H,8,0),0)</f>
        <v>0</v>
      </c>
      <c r="I1716">
        <f>IFERROR(VLOOKUP(A1716,预留库存!A:F,6,0),0)</f>
        <v>23.98</v>
      </c>
      <c r="J1716">
        <f>IFERROR(VLOOKUP(A1716,库龄!B:K,9,0),0)</f>
        <v>1</v>
      </c>
      <c r="K1716">
        <f>IFERROR(VLOOKUP(A1716,库龄!B:L,10,0),0)</f>
        <v>5</v>
      </c>
      <c r="L1716">
        <f>IFERROR(VLOOKUP(A1716,库龄!B:M,11,0),0)</f>
        <v>0</v>
      </c>
      <c r="M1716">
        <f>IFERROR(VLOOKUP(A1716,库龄!B:N,12,0),0)</f>
        <v>0</v>
      </c>
      <c r="N1716">
        <f t="shared" si="54"/>
        <v>6</v>
      </c>
    </row>
    <row r="1717" spans="1:14">
      <c r="A1717" s="3" t="s">
        <v>4519</v>
      </c>
      <c r="B1717">
        <f>IFERROR(VLOOKUP(A1717,管理亚马逊库存!A:K,11,0),"")</f>
        <v>0</v>
      </c>
      <c r="C1717">
        <f>IFERROR(VLOOKUP(A1717,管理亚马逊库存!A:L,12,0),"")</f>
        <v>0</v>
      </c>
      <c r="D1717">
        <f>IFERROR(VLOOKUP(A1717,管理亚马逊库存!A:Q,17,0),"")</f>
        <v>0</v>
      </c>
      <c r="E1717">
        <f>IFERROR(VLOOKUP(A1717,管理亚马逊库存!A:R,18,0),"")</f>
        <v>0</v>
      </c>
      <c r="F1717">
        <f t="shared" si="53"/>
        <v>0</v>
      </c>
      <c r="G1717">
        <f>IFERROR(VLOOKUP(A1717,预留库存!A:G,7,0),0)</f>
        <v>0</v>
      </c>
      <c r="H1717">
        <f>IFERROR(VLOOKUP(A1717,预留库存!A:H,8,0),0)</f>
        <v>0</v>
      </c>
      <c r="I1717">
        <f>IFERROR(VLOOKUP(A1717,预留库存!A:F,6,0),0)</f>
        <v>0</v>
      </c>
      <c r="J1717">
        <f>IFERROR(VLOOKUP(A1717,库龄!B:K,9,0),0)</f>
        <v>0</v>
      </c>
      <c r="K1717">
        <f>IFERROR(VLOOKUP(A1717,库龄!B:L,10,0),0)</f>
        <v>0</v>
      </c>
      <c r="L1717">
        <f>IFERROR(VLOOKUP(A1717,库龄!B:M,11,0),0)</f>
        <v>0</v>
      </c>
      <c r="M1717">
        <f>IFERROR(VLOOKUP(A1717,库龄!B:N,12,0),0)</f>
        <v>0</v>
      </c>
      <c r="N1717">
        <f t="shared" si="54"/>
        <v>0</v>
      </c>
    </row>
    <row r="1718" spans="1:14">
      <c r="A1718" s="3" t="s">
        <v>4520</v>
      </c>
      <c r="B1718">
        <f>IFERROR(VLOOKUP(A1718,管理亚马逊库存!A:K,11,0),"")</f>
        <v>3</v>
      </c>
      <c r="C1718">
        <f>IFERROR(VLOOKUP(A1718,管理亚马逊库存!A:L,12,0),"")</f>
        <v>0</v>
      </c>
      <c r="D1718">
        <f>IFERROR(VLOOKUP(A1718,管理亚马逊库存!A:Q,17,0),"")</f>
        <v>0</v>
      </c>
      <c r="E1718">
        <f>IFERROR(VLOOKUP(A1718,管理亚马逊库存!A:R,18,0),"")</f>
        <v>0</v>
      </c>
      <c r="F1718">
        <f t="shared" si="53"/>
        <v>0</v>
      </c>
      <c r="G1718" t="str">
        <f>IFERROR(VLOOKUP(A1718,预留库存!A:G,7,0),0)</f>
        <v>No</v>
      </c>
      <c r="H1718">
        <f>IFERROR(VLOOKUP(A1718,预留库存!A:H,8,0),0)</f>
        <v>0</v>
      </c>
      <c r="I1718">
        <f>IFERROR(VLOOKUP(A1718,预留库存!A:F,6,0),0)</f>
        <v>23.98</v>
      </c>
      <c r="J1718">
        <f>IFERROR(VLOOKUP(A1718,库龄!B:K,9,0),0)</f>
        <v>1</v>
      </c>
      <c r="K1718">
        <f>IFERROR(VLOOKUP(A1718,库龄!B:L,10,0),0)</f>
        <v>1</v>
      </c>
      <c r="L1718">
        <f>IFERROR(VLOOKUP(A1718,库龄!B:M,11,0),0)</f>
        <v>0</v>
      </c>
      <c r="M1718">
        <f>IFERROR(VLOOKUP(A1718,库龄!B:N,12,0),0)</f>
        <v>0</v>
      </c>
      <c r="N1718">
        <f t="shared" si="54"/>
        <v>2</v>
      </c>
    </row>
    <row r="1719" spans="1:14">
      <c r="A1719" s="3" t="s">
        <v>4521</v>
      </c>
      <c r="B1719">
        <f>IFERROR(VLOOKUP(A1719,管理亚马逊库存!A:K,11,0),"")</f>
        <v>1</v>
      </c>
      <c r="C1719">
        <f>IFERROR(VLOOKUP(A1719,管理亚马逊库存!A:L,12,0),"")</f>
        <v>0</v>
      </c>
      <c r="D1719">
        <f>IFERROR(VLOOKUP(A1719,管理亚马逊库存!A:Q,17,0),"")</f>
        <v>0</v>
      </c>
      <c r="E1719">
        <f>IFERROR(VLOOKUP(A1719,管理亚马逊库存!A:R,18,0),"")</f>
        <v>0</v>
      </c>
      <c r="F1719">
        <f t="shared" si="53"/>
        <v>0</v>
      </c>
      <c r="G1719" t="str">
        <f>IFERROR(VLOOKUP(A1719,预留库存!A:G,7,0),0)</f>
        <v>No</v>
      </c>
      <c r="H1719">
        <f>IFERROR(VLOOKUP(A1719,预留库存!A:H,8,0),0)</f>
        <v>0</v>
      </c>
      <c r="I1719">
        <f>IFERROR(VLOOKUP(A1719,预留库存!A:F,6,0),0)</f>
        <v>23.98</v>
      </c>
      <c r="J1719">
        <f>IFERROR(VLOOKUP(A1719,库龄!B:K,9,0),0)</f>
        <v>0</v>
      </c>
      <c r="K1719">
        <f>IFERROR(VLOOKUP(A1719,库龄!B:L,10,0),0)</f>
        <v>1</v>
      </c>
      <c r="L1719">
        <f>IFERROR(VLOOKUP(A1719,库龄!B:M,11,0),0)</f>
        <v>0</v>
      </c>
      <c r="M1719">
        <f>IFERROR(VLOOKUP(A1719,库龄!B:N,12,0),0)</f>
        <v>0</v>
      </c>
      <c r="N1719">
        <f t="shared" si="54"/>
        <v>1</v>
      </c>
    </row>
    <row r="1720" spans="1:14">
      <c r="A1720" s="3" t="s">
        <v>4522</v>
      </c>
      <c r="B1720">
        <f>IFERROR(VLOOKUP(A1720,管理亚马逊库存!A:K,11,0),"")</f>
        <v>9</v>
      </c>
      <c r="C1720">
        <f>IFERROR(VLOOKUP(A1720,管理亚马逊库存!A:L,12,0),"")</f>
        <v>0</v>
      </c>
      <c r="D1720">
        <f>IFERROR(VLOOKUP(A1720,管理亚马逊库存!A:Q,17,0),"")</f>
        <v>0</v>
      </c>
      <c r="E1720">
        <f>IFERROR(VLOOKUP(A1720,管理亚马逊库存!A:R,18,0),"")</f>
        <v>0</v>
      </c>
      <c r="F1720">
        <f t="shared" si="53"/>
        <v>0</v>
      </c>
      <c r="G1720" t="str">
        <f>IFERROR(VLOOKUP(A1720,预留库存!A:G,7,0),0)</f>
        <v>No</v>
      </c>
      <c r="H1720">
        <f>IFERROR(VLOOKUP(A1720,预留库存!A:H,8,0),0)</f>
        <v>0</v>
      </c>
      <c r="I1720">
        <f>IFERROR(VLOOKUP(A1720,预留库存!A:F,6,0),0)</f>
        <v>23.98</v>
      </c>
      <c r="J1720">
        <f>IFERROR(VLOOKUP(A1720,库龄!B:K,9,0),0)</f>
        <v>0</v>
      </c>
      <c r="K1720">
        <f>IFERROR(VLOOKUP(A1720,库龄!B:L,10,0),0)</f>
        <v>0</v>
      </c>
      <c r="L1720">
        <f>IFERROR(VLOOKUP(A1720,库龄!B:M,11,0),0)</f>
        <v>0</v>
      </c>
      <c r="M1720">
        <f>IFERROR(VLOOKUP(A1720,库龄!B:N,12,0),0)</f>
        <v>0</v>
      </c>
      <c r="N1720">
        <f t="shared" si="54"/>
        <v>0</v>
      </c>
    </row>
    <row r="1721" spans="1:14">
      <c r="A1721" s="3" t="s">
        <v>4525</v>
      </c>
      <c r="B1721">
        <f>IFERROR(VLOOKUP(A1721,管理亚马逊库存!A:K,11,0),"")</f>
        <v>2</v>
      </c>
      <c r="C1721">
        <f>IFERROR(VLOOKUP(A1721,管理亚马逊库存!A:L,12,0),"")</f>
        <v>0</v>
      </c>
      <c r="D1721">
        <f>IFERROR(VLOOKUP(A1721,管理亚马逊库存!A:Q,17,0),"")</f>
        <v>0</v>
      </c>
      <c r="E1721">
        <f>IFERROR(VLOOKUP(A1721,管理亚马逊库存!A:R,18,0),"")</f>
        <v>0</v>
      </c>
      <c r="F1721">
        <f t="shared" si="53"/>
        <v>0</v>
      </c>
      <c r="G1721" t="str">
        <f>IFERROR(VLOOKUP(A1721,预留库存!A:G,7,0),0)</f>
        <v>No</v>
      </c>
      <c r="H1721">
        <f>IFERROR(VLOOKUP(A1721,预留库存!A:H,8,0),0)</f>
        <v>0</v>
      </c>
      <c r="I1721">
        <f>IFERROR(VLOOKUP(A1721,预留库存!A:F,6,0),0)</f>
        <v>22.98</v>
      </c>
      <c r="J1721">
        <f>IFERROR(VLOOKUP(A1721,库龄!B:K,9,0),0)</f>
        <v>0</v>
      </c>
      <c r="K1721">
        <f>IFERROR(VLOOKUP(A1721,库龄!B:L,10,0),0)</f>
        <v>0</v>
      </c>
      <c r="L1721">
        <f>IFERROR(VLOOKUP(A1721,库龄!B:M,11,0),0)</f>
        <v>0</v>
      </c>
      <c r="M1721">
        <f>IFERROR(VLOOKUP(A1721,库龄!B:N,12,0),0)</f>
        <v>0</v>
      </c>
      <c r="N1721">
        <f t="shared" si="54"/>
        <v>0</v>
      </c>
    </row>
    <row r="1722" spans="1:14">
      <c r="A1722" s="3" t="s">
        <v>4528</v>
      </c>
      <c r="B1722">
        <f>IFERROR(VLOOKUP(A1722,管理亚马逊库存!A:K,11,0),"")</f>
        <v>14</v>
      </c>
      <c r="C1722">
        <f>IFERROR(VLOOKUP(A1722,管理亚马逊库存!A:L,12,0),"")</f>
        <v>0</v>
      </c>
      <c r="D1722">
        <f>IFERROR(VLOOKUP(A1722,管理亚马逊库存!A:Q,17,0),"")</f>
        <v>0</v>
      </c>
      <c r="E1722">
        <f>IFERROR(VLOOKUP(A1722,管理亚马逊库存!A:R,18,0),"")</f>
        <v>0</v>
      </c>
      <c r="F1722">
        <f t="shared" si="53"/>
        <v>0</v>
      </c>
      <c r="G1722" t="str">
        <f>IFERROR(VLOOKUP(A1722,预留库存!A:G,7,0),0)</f>
        <v>No</v>
      </c>
      <c r="H1722">
        <f>IFERROR(VLOOKUP(A1722,预留库存!A:H,8,0),0)</f>
        <v>0</v>
      </c>
      <c r="I1722">
        <f>IFERROR(VLOOKUP(A1722,预留库存!A:F,6,0),0)</f>
        <v>22.98</v>
      </c>
      <c r="J1722">
        <f>IFERROR(VLOOKUP(A1722,库龄!B:K,9,0),0)</f>
        <v>0</v>
      </c>
      <c r="K1722">
        <f>IFERROR(VLOOKUP(A1722,库龄!B:L,10,0),0)</f>
        <v>0</v>
      </c>
      <c r="L1722">
        <f>IFERROR(VLOOKUP(A1722,库龄!B:M,11,0),0)</f>
        <v>0</v>
      </c>
      <c r="M1722">
        <f>IFERROR(VLOOKUP(A1722,库龄!B:N,12,0),0)</f>
        <v>0</v>
      </c>
      <c r="N1722">
        <f t="shared" si="54"/>
        <v>0</v>
      </c>
    </row>
    <row r="1723" spans="1:14">
      <c r="A1723" s="3" t="s">
        <v>4531</v>
      </c>
      <c r="B1723">
        <f>IFERROR(VLOOKUP(A1723,管理亚马逊库存!A:K,11,0),"")</f>
        <v>0</v>
      </c>
      <c r="C1723">
        <f>IFERROR(VLOOKUP(A1723,管理亚马逊库存!A:L,12,0),"")</f>
        <v>0</v>
      </c>
      <c r="D1723">
        <f>IFERROR(VLOOKUP(A1723,管理亚马逊库存!A:Q,17,0),"")</f>
        <v>0</v>
      </c>
      <c r="E1723">
        <f>IFERROR(VLOOKUP(A1723,管理亚马逊库存!A:R,18,0),"")</f>
        <v>0</v>
      </c>
      <c r="F1723">
        <f t="shared" si="53"/>
        <v>0</v>
      </c>
      <c r="G1723" t="str">
        <f>IFERROR(VLOOKUP(A1723,预留库存!A:G,7,0),0)</f>
        <v>No</v>
      </c>
      <c r="H1723">
        <f>IFERROR(VLOOKUP(A1723,预留库存!A:H,8,0),0)</f>
        <v>0</v>
      </c>
      <c r="I1723">
        <f>IFERROR(VLOOKUP(A1723,预留库存!A:F,6,0),0)</f>
        <v>22.98</v>
      </c>
      <c r="J1723">
        <f>IFERROR(VLOOKUP(A1723,库龄!B:K,9,0),0)</f>
        <v>0</v>
      </c>
      <c r="K1723">
        <f>IFERROR(VLOOKUP(A1723,库龄!B:L,10,0),0)</f>
        <v>0</v>
      </c>
      <c r="L1723">
        <f>IFERROR(VLOOKUP(A1723,库龄!B:M,11,0),0)</f>
        <v>0</v>
      </c>
      <c r="M1723">
        <f>IFERROR(VLOOKUP(A1723,库龄!B:N,12,0),0)</f>
        <v>0</v>
      </c>
      <c r="N1723">
        <f t="shared" si="54"/>
        <v>0</v>
      </c>
    </row>
    <row r="1724" spans="1:14">
      <c r="A1724" s="3" t="s">
        <v>4533</v>
      </c>
      <c r="B1724">
        <f>IFERROR(VLOOKUP(A1724,管理亚马逊库存!A:K,11,0),"")</f>
        <v>17</v>
      </c>
      <c r="C1724">
        <f>IFERROR(VLOOKUP(A1724,管理亚马逊库存!A:L,12,0),"")</f>
        <v>0</v>
      </c>
      <c r="D1724">
        <f>IFERROR(VLOOKUP(A1724,管理亚马逊库存!A:Q,17,0),"")</f>
        <v>0</v>
      </c>
      <c r="E1724">
        <f>IFERROR(VLOOKUP(A1724,管理亚马逊库存!A:R,18,0),"")</f>
        <v>0</v>
      </c>
      <c r="F1724">
        <f t="shared" si="53"/>
        <v>0</v>
      </c>
      <c r="G1724" t="str">
        <f>IFERROR(VLOOKUP(A1724,预留库存!A:G,7,0),0)</f>
        <v>No</v>
      </c>
      <c r="H1724">
        <f>IFERROR(VLOOKUP(A1724,预留库存!A:H,8,0),0)</f>
        <v>0</v>
      </c>
      <c r="I1724">
        <f>IFERROR(VLOOKUP(A1724,预留库存!A:F,6,0),0)</f>
        <v>22.98</v>
      </c>
      <c r="J1724">
        <f>IFERROR(VLOOKUP(A1724,库龄!B:K,9,0),0)</f>
        <v>0</v>
      </c>
      <c r="K1724">
        <f>IFERROR(VLOOKUP(A1724,库龄!B:L,10,0),0)</f>
        <v>0</v>
      </c>
      <c r="L1724">
        <f>IFERROR(VLOOKUP(A1724,库龄!B:M,11,0),0)</f>
        <v>0</v>
      </c>
      <c r="M1724">
        <f>IFERROR(VLOOKUP(A1724,库龄!B:N,12,0),0)</f>
        <v>0</v>
      </c>
      <c r="N1724">
        <f t="shared" si="54"/>
        <v>0</v>
      </c>
    </row>
    <row r="1725" spans="1:14">
      <c r="A1725" s="3" t="s">
        <v>4536</v>
      </c>
      <c r="B1725">
        <f>IFERROR(VLOOKUP(A1725,管理亚马逊库存!A:K,11,0),"")</f>
        <v>12</v>
      </c>
      <c r="C1725">
        <f>IFERROR(VLOOKUP(A1725,管理亚马逊库存!A:L,12,0),"")</f>
        <v>0</v>
      </c>
      <c r="D1725">
        <f>IFERROR(VLOOKUP(A1725,管理亚马逊库存!A:Q,17,0),"")</f>
        <v>0</v>
      </c>
      <c r="E1725">
        <f>IFERROR(VLOOKUP(A1725,管理亚马逊库存!A:R,18,0),"")</f>
        <v>0</v>
      </c>
      <c r="F1725">
        <f t="shared" si="53"/>
        <v>0</v>
      </c>
      <c r="G1725" t="str">
        <f>IFERROR(VLOOKUP(A1725,预留库存!A:G,7,0),0)</f>
        <v>No</v>
      </c>
      <c r="H1725">
        <f>IFERROR(VLOOKUP(A1725,预留库存!A:H,8,0),0)</f>
        <v>0</v>
      </c>
      <c r="I1725">
        <f>IFERROR(VLOOKUP(A1725,预留库存!A:F,6,0),0)</f>
        <v>22.98</v>
      </c>
      <c r="J1725">
        <f>IFERROR(VLOOKUP(A1725,库龄!B:K,9,0),0)</f>
        <v>0</v>
      </c>
      <c r="K1725">
        <f>IFERROR(VLOOKUP(A1725,库龄!B:L,10,0),0)</f>
        <v>0</v>
      </c>
      <c r="L1725">
        <f>IFERROR(VLOOKUP(A1725,库龄!B:M,11,0),0)</f>
        <v>0</v>
      </c>
      <c r="M1725">
        <f>IFERROR(VLOOKUP(A1725,库龄!B:N,12,0),0)</f>
        <v>0</v>
      </c>
      <c r="N1725">
        <f t="shared" si="54"/>
        <v>0</v>
      </c>
    </row>
    <row r="1726" spans="1:14">
      <c r="A1726" s="3" t="s">
        <v>4539</v>
      </c>
      <c r="B1726">
        <f>IFERROR(VLOOKUP(A1726,管理亚马逊库存!A:K,11,0),"")</f>
        <v>6</v>
      </c>
      <c r="C1726">
        <f>IFERROR(VLOOKUP(A1726,管理亚马逊库存!A:L,12,0),"")</f>
        <v>0</v>
      </c>
      <c r="D1726">
        <f>IFERROR(VLOOKUP(A1726,管理亚马逊库存!A:Q,17,0),"")</f>
        <v>0</v>
      </c>
      <c r="E1726">
        <f>IFERROR(VLOOKUP(A1726,管理亚马逊库存!A:R,18,0),"")</f>
        <v>0</v>
      </c>
      <c r="F1726">
        <f t="shared" si="53"/>
        <v>0</v>
      </c>
      <c r="G1726" t="str">
        <f>IFERROR(VLOOKUP(A1726,预留库存!A:G,7,0),0)</f>
        <v>No</v>
      </c>
      <c r="H1726">
        <f>IFERROR(VLOOKUP(A1726,预留库存!A:H,8,0),0)</f>
        <v>0</v>
      </c>
      <c r="I1726">
        <f>IFERROR(VLOOKUP(A1726,预留库存!A:F,6,0),0)</f>
        <v>26.98</v>
      </c>
      <c r="J1726">
        <f>IFERROR(VLOOKUP(A1726,库龄!B:K,9,0),0)</f>
        <v>0</v>
      </c>
      <c r="K1726">
        <f>IFERROR(VLOOKUP(A1726,库龄!B:L,10,0),0)</f>
        <v>0</v>
      </c>
      <c r="L1726">
        <f>IFERROR(VLOOKUP(A1726,库龄!B:M,11,0),0)</f>
        <v>0</v>
      </c>
      <c r="M1726">
        <f>IFERROR(VLOOKUP(A1726,库龄!B:N,12,0),0)</f>
        <v>0</v>
      </c>
      <c r="N1726">
        <f t="shared" si="54"/>
        <v>0</v>
      </c>
    </row>
    <row r="1727" spans="1:14">
      <c r="A1727" s="3" t="s">
        <v>4540</v>
      </c>
      <c r="B1727">
        <f>IFERROR(VLOOKUP(A1727,管理亚马逊库存!A:K,11,0),"")</f>
        <v>15</v>
      </c>
      <c r="C1727">
        <f>IFERROR(VLOOKUP(A1727,管理亚马逊库存!A:L,12,0),"")</f>
        <v>0</v>
      </c>
      <c r="D1727">
        <f>IFERROR(VLOOKUP(A1727,管理亚马逊库存!A:Q,17,0),"")</f>
        <v>0</v>
      </c>
      <c r="E1727">
        <f>IFERROR(VLOOKUP(A1727,管理亚马逊库存!A:R,18,0),"")</f>
        <v>0</v>
      </c>
      <c r="F1727">
        <f t="shared" si="53"/>
        <v>0</v>
      </c>
      <c r="G1727" t="str">
        <f>IFERROR(VLOOKUP(A1727,预留库存!A:G,7,0),0)</f>
        <v>No</v>
      </c>
      <c r="H1727">
        <f>IFERROR(VLOOKUP(A1727,预留库存!A:H,8,0),0)</f>
        <v>0</v>
      </c>
      <c r="I1727">
        <f>IFERROR(VLOOKUP(A1727,预留库存!A:F,6,0),0)</f>
        <v>26.98</v>
      </c>
      <c r="J1727">
        <f>IFERROR(VLOOKUP(A1727,库龄!B:K,9,0),0)</f>
        <v>0</v>
      </c>
      <c r="K1727">
        <f>IFERROR(VLOOKUP(A1727,库龄!B:L,10,0),0)</f>
        <v>0</v>
      </c>
      <c r="L1727">
        <f>IFERROR(VLOOKUP(A1727,库龄!B:M,11,0),0)</f>
        <v>0</v>
      </c>
      <c r="M1727">
        <f>IFERROR(VLOOKUP(A1727,库龄!B:N,12,0),0)</f>
        <v>0</v>
      </c>
      <c r="N1727">
        <f t="shared" si="54"/>
        <v>0</v>
      </c>
    </row>
    <row r="1728" spans="1:14">
      <c r="A1728" s="3" t="s">
        <v>4541</v>
      </c>
      <c r="B1728">
        <f>IFERROR(VLOOKUP(A1728,管理亚马逊库存!A:K,11,0),"")</f>
        <v>5</v>
      </c>
      <c r="C1728">
        <f>IFERROR(VLOOKUP(A1728,管理亚马逊库存!A:L,12,0),"")</f>
        <v>0</v>
      </c>
      <c r="D1728">
        <f>IFERROR(VLOOKUP(A1728,管理亚马逊库存!A:Q,17,0),"")</f>
        <v>0</v>
      </c>
      <c r="E1728">
        <f>IFERROR(VLOOKUP(A1728,管理亚马逊库存!A:R,18,0),"")</f>
        <v>0</v>
      </c>
      <c r="F1728">
        <f t="shared" si="53"/>
        <v>0</v>
      </c>
      <c r="G1728" t="str">
        <f>IFERROR(VLOOKUP(A1728,预留库存!A:G,7,0),0)</f>
        <v>No</v>
      </c>
      <c r="H1728">
        <f>IFERROR(VLOOKUP(A1728,预留库存!A:H,8,0),0)</f>
        <v>0</v>
      </c>
      <c r="I1728">
        <f>IFERROR(VLOOKUP(A1728,预留库存!A:F,6,0),0)</f>
        <v>26.98</v>
      </c>
      <c r="J1728">
        <f>IFERROR(VLOOKUP(A1728,库龄!B:K,9,0),0)</f>
        <v>0</v>
      </c>
      <c r="K1728">
        <f>IFERROR(VLOOKUP(A1728,库龄!B:L,10,0),0)</f>
        <v>0</v>
      </c>
      <c r="L1728">
        <f>IFERROR(VLOOKUP(A1728,库龄!B:M,11,0),0)</f>
        <v>0</v>
      </c>
      <c r="M1728">
        <f>IFERROR(VLOOKUP(A1728,库龄!B:N,12,0),0)</f>
        <v>0</v>
      </c>
      <c r="N1728">
        <f t="shared" si="54"/>
        <v>0</v>
      </c>
    </row>
    <row r="1729" spans="1:14">
      <c r="A1729" s="3" t="s">
        <v>4542</v>
      </c>
      <c r="B1729">
        <f>IFERROR(VLOOKUP(A1729,管理亚马逊库存!A:K,11,0),"")</f>
        <v>12</v>
      </c>
      <c r="C1729">
        <f>IFERROR(VLOOKUP(A1729,管理亚马逊库存!A:L,12,0),"")</f>
        <v>0</v>
      </c>
      <c r="D1729">
        <f>IFERROR(VLOOKUP(A1729,管理亚马逊库存!A:Q,17,0),"")</f>
        <v>0</v>
      </c>
      <c r="E1729">
        <f>IFERROR(VLOOKUP(A1729,管理亚马逊库存!A:R,18,0),"")</f>
        <v>0</v>
      </c>
      <c r="F1729">
        <f t="shared" si="53"/>
        <v>0</v>
      </c>
      <c r="G1729" t="str">
        <f>IFERROR(VLOOKUP(A1729,预留库存!A:G,7,0),0)</f>
        <v>No</v>
      </c>
      <c r="H1729">
        <f>IFERROR(VLOOKUP(A1729,预留库存!A:H,8,0),0)</f>
        <v>0</v>
      </c>
      <c r="I1729">
        <f>IFERROR(VLOOKUP(A1729,预留库存!A:F,6,0),0)</f>
        <v>26.98</v>
      </c>
      <c r="J1729">
        <f>IFERROR(VLOOKUP(A1729,库龄!B:K,9,0),0)</f>
        <v>0</v>
      </c>
      <c r="K1729">
        <f>IFERROR(VLOOKUP(A1729,库龄!B:L,10,0),0)</f>
        <v>0</v>
      </c>
      <c r="L1729">
        <f>IFERROR(VLOOKUP(A1729,库龄!B:M,11,0),0)</f>
        <v>0</v>
      </c>
      <c r="M1729">
        <f>IFERROR(VLOOKUP(A1729,库龄!B:N,12,0),0)</f>
        <v>0</v>
      </c>
      <c r="N1729">
        <f t="shared" si="54"/>
        <v>0</v>
      </c>
    </row>
    <row r="1730" spans="1:14">
      <c r="A1730" s="3" t="s">
        <v>4543</v>
      </c>
      <c r="B1730">
        <f>IFERROR(VLOOKUP(A1730,管理亚马逊库存!A:K,11,0),"")</f>
        <v>7</v>
      </c>
      <c r="C1730">
        <f>IFERROR(VLOOKUP(A1730,管理亚马逊库存!A:L,12,0),"")</f>
        <v>0</v>
      </c>
      <c r="D1730">
        <f>IFERROR(VLOOKUP(A1730,管理亚马逊库存!A:Q,17,0),"")</f>
        <v>0</v>
      </c>
      <c r="E1730">
        <f>IFERROR(VLOOKUP(A1730,管理亚马逊库存!A:R,18,0),"")</f>
        <v>0</v>
      </c>
      <c r="F1730">
        <f t="shared" si="53"/>
        <v>0</v>
      </c>
      <c r="G1730" t="str">
        <f>IFERROR(VLOOKUP(A1730,预留库存!A:G,7,0),0)</f>
        <v>No</v>
      </c>
      <c r="H1730">
        <f>IFERROR(VLOOKUP(A1730,预留库存!A:H,8,0),0)</f>
        <v>0</v>
      </c>
      <c r="I1730">
        <f>IFERROR(VLOOKUP(A1730,预留库存!A:F,6,0),0)</f>
        <v>26.98</v>
      </c>
      <c r="J1730">
        <f>IFERROR(VLOOKUP(A1730,库龄!B:K,9,0),0)</f>
        <v>0</v>
      </c>
      <c r="K1730">
        <f>IFERROR(VLOOKUP(A1730,库龄!B:L,10,0),0)</f>
        <v>0</v>
      </c>
      <c r="L1730">
        <f>IFERROR(VLOOKUP(A1730,库龄!B:M,11,0),0)</f>
        <v>0</v>
      </c>
      <c r="M1730">
        <f>IFERROR(VLOOKUP(A1730,库龄!B:N,12,0),0)</f>
        <v>0</v>
      </c>
      <c r="N1730">
        <f t="shared" si="54"/>
        <v>0</v>
      </c>
    </row>
    <row r="1731" spans="1:14">
      <c r="A1731" s="3" t="s">
        <v>4544</v>
      </c>
      <c r="B1731">
        <f>IFERROR(VLOOKUP(A1731,管理亚马逊库存!A:K,11,0),"")</f>
        <v>4</v>
      </c>
      <c r="C1731">
        <f>IFERROR(VLOOKUP(A1731,管理亚马逊库存!A:L,12,0),"")</f>
        <v>0</v>
      </c>
      <c r="D1731">
        <f>IFERROR(VLOOKUP(A1731,管理亚马逊库存!A:Q,17,0),"")</f>
        <v>0</v>
      </c>
      <c r="E1731">
        <f>IFERROR(VLOOKUP(A1731,管理亚马逊库存!A:R,18,0),"")</f>
        <v>0</v>
      </c>
      <c r="F1731">
        <f t="shared" ref="F1731:F1794" si="55">SUM(D1731:E1731)</f>
        <v>0</v>
      </c>
      <c r="G1731" t="str">
        <f>IFERROR(VLOOKUP(A1731,预留库存!A:G,7,0),0)</f>
        <v>No</v>
      </c>
      <c r="H1731">
        <f>IFERROR(VLOOKUP(A1731,预留库存!A:H,8,0),0)</f>
        <v>0</v>
      </c>
      <c r="I1731">
        <f>IFERROR(VLOOKUP(A1731,预留库存!A:F,6,0),0)</f>
        <v>26.98</v>
      </c>
      <c r="J1731">
        <f>IFERROR(VLOOKUP(A1731,库龄!B:K,9,0),0)</f>
        <v>0</v>
      </c>
      <c r="K1731">
        <f>IFERROR(VLOOKUP(A1731,库龄!B:L,10,0),0)</f>
        <v>0</v>
      </c>
      <c r="L1731">
        <f>IFERROR(VLOOKUP(A1731,库龄!B:M,11,0),0)</f>
        <v>0</v>
      </c>
      <c r="M1731">
        <f>IFERROR(VLOOKUP(A1731,库龄!B:N,12,0),0)</f>
        <v>0</v>
      </c>
      <c r="N1731">
        <f t="shared" ref="N1731:N1794" si="56">SUM(J1731:M1731)</f>
        <v>0</v>
      </c>
    </row>
    <row r="1732" spans="1:14">
      <c r="A1732" s="3" t="s">
        <v>4545</v>
      </c>
      <c r="B1732">
        <f>IFERROR(VLOOKUP(A1732,管理亚马逊库存!A:K,11,0),"")</f>
        <v>6</v>
      </c>
      <c r="C1732">
        <f>IFERROR(VLOOKUP(A1732,管理亚马逊库存!A:L,12,0),"")</f>
        <v>0</v>
      </c>
      <c r="D1732">
        <f>IFERROR(VLOOKUP(A1732,管理亚马逊库存!A:Q,17,0),"")</f>
        <v>0</v>
      </c>
      <c r="E1732">
        <f>IFERROR(VLOOKUP(A1732,管理亚马逊库存!A:R,18,0),"")</f>
        <v>0</v>
      </c>
      <c r="F1732">
        <f t="shared" si="55"/>
        <v>0</v>
      </c>
      <c r="G1732" t="str">
        <f>IFERROR(VLOOKUP(A1732,预留库存!A:G,7,0),0)</f>
        <v>No</v>
      </c>
      <c r="H1732">
        <f>IFERROR(VLOOKUP(A1732,预留库存!A:H,8,0),0)</f>
        <v>0</v>
      </c>
      <c r="I1732">
        <f>IFERROR(VLOOKUP(A1732,预留库存!A:F,6,0),0)</f>
        <v>26.98</v>
      </c>
      <c r="J1732">
        <f>IFERROR(VLOOKUP(A1732,库龄!B:K,9,0),0)</f>
        <v>0</v>
      </c>
      <c r="K1732">
        <f>IFERROR(VLOOKUP(A1732,库龄!B:L,10,0),0)</f>
        <v>0</v>
      </c>
      <c r="L1732">
        <f>IFERROR(VLOOKUP(A1732,库龄!B:M,11,0),0)</f>
        <v>0</v>
      </c>
      <c r="M1732">
        <f>IFERROR(VLOOKUP(A1732,库龄!B:N,12,0),0)</f>
        <v>0</v>
      </c>
      <c r="N1732">
        <f t="shared" si="56"/>
        <v>0</v>
      </c>
    </row>
    <row r="1733" spans="1:14">
      <c r="A1733" s="3" t="s">
        <v>4546</v>
      </c>
      <c r="B1733">
        <f>IFERROR(VLOOKUP(A1733,管理亚马逊库存!A:K,11,0),"")</f>
        <v>18</v>
      </c>
      <c r="C1733">
        <f>IFERROR(VLOOKUP(A1733,管理亚马逊库存!A:L,12,0),"")</f>
        <v>0</v>
      </c>
      <c r="D1733">
        <f>IFERROR(VLOOKUP(A1733,管理亚马逊库存!A:Q,17,0),"")</f>
        <v>0</v>
      </c>
      <c r="E1733">
        <f>IFERROR(VLOOKUP(A1733,管理亚马逊库存!A:R,18,0),"")</f>
        <v>0</v>
      </c>
      <c r="F1733">
        <f t="shared" si="55"/>
        <v>0</v>
      </c>
      <c r="G1733" t="str">
        <f>IFERROR(VLOOKUP(A1733,预留库存!A:G,7,0),0)</f>
        <v>No</v>
      </c>
      <c r="H1733">
        <f>IFERROR(VLOOKUP(A1733,预留库存!A:H,8,0),0)</f>
        <v>0</v>
      </c>
      <c r="I1733">
        <f>IFERROR(VLOOKUP(A1733,预留库存!A:F,6,0),0)</f>
        <v>26.98</v>
      </c>
      <c r="J1733">
        <f>IFERROR(VLOOKUP(A1733,库龄!B:K,9,0),0)</f>
        <v>0</v>
      </c>
      <c r="K1733">
        <f>IFERROR(VLOOKUP(A1733,库龄!B:L,10,0),0)</f>
        <v>0</v>
      </c>
      <c r="L1733">
        <f>IFERROR(VLOOKUP(A1733,库龄!B:M,11,0),0)</f>
        <v>0</v>
      </c>
      <c r="M1733">
        <f>IFERROR(VLOOKUP(A1733,库龄!B:N,12,0),0)</f>
        <v>0</v>
      </c>
      <c r="N1733">
        <f t="shared" si="56"/>
        <v>0</v>
      </c>
    </row>
    <row r="1734" spans="1:14">
      <c r="A1734" s="3" t="s">
        <v>4547</v>
      </c>
      <c r="B1734">
        <f>IFERROR(VLOOKUP(A1734,管理亚马逊库存!A:K,11,0),"")</f>
        <v>1</v>
      </c>
      <c r="C1734">
        <f>IFERROR(VLOOKUP(A1734,管理亚马逊库存!A:L,12,0),"")</f>
        <v>0</v>
      </c>
      <c r="D1734">
        <f>IFERROR(VLOOKUP(A1734,管理亚马逊库存!A:Q,17,0),"")</f>
        <v>0</v>
      </c>
      <c r="E1734">
        <f>IFERROR(VLOOKUP(A1734,管理亚马逊库存!A:R,18,0),"")</f>
        <v>0</v>
      </c>
      <c r="F1734">
        <f t="shared" si="55"/>
        <v>0</v>
      </c>
      <c r="G1734">
        <f>IFERROR(VLOOKUP(A1734,预留库存!A:G,7,0),0)</f>
        <v>0</v>
      </c>
      <c r="H1734">
        <f>IFERROR(VLOOKUP(A1734,预留库存!A:H,8,0),0)</f>
        <v>0</v>
      </c>
      <c r="I1734">
        <f>IFERROR(VLOOKUP(A1734,预留库存!A:F,6,0),0)</f>
        <v>0</v>
      </c>
      <c r="J1734">
        <f>IFERROR(VLOOKUP(A1734,库龄!B:K,9,0),0)</f>
        <v>0</v>
      </c>
      <c r="K1734">
        <f>IFERROR(VLOOKUP(A1734,库龄!B:L,10,0),0)</f>
        <v>0</v>
      </c>
      <c r="L1734">
        <f>IFERROR(VLOOKUP(A1734,库龄!B:M,11,0),0)</f>
        <v>0</v>
      </c>
      <c r="M1734">
        <f>IFERROR(VLOOKUP(A1734,库龄!B:N,12,0),0)</f>
        <v>0</v>
      </c>
      <c r="N1734">
        <f t="shared" si="56"/>
        <v>0</v>
      </c>
    </row>
    <row r="1735" spans="1:14">
      <c r="A1735" s="3" t="s">
        <v>4548</v>
      </c>
      <c r="B1735">
        <f>IFERROR(VLOOKUP(A1735,管理亚马逊库存!A:K,11,0),"")</f>
        <v>3</v>
      </c>
      <c r="C1735">
        <f>IFERROR(VLOOKUP(A1735,管理亚马逊库存!A:L,12,0),"")</f>
        <v>0</v>
      </c>
      <c r="D1735">
        <f>IFERROR(VLOOKUP(A1735,管理亚马逊库存!A:Q,17,0),"")</f>
        <v>0</v>
      </c>
      <c r="E1735">
        <f>IFERROR(VLOOKUP(A1735,管理亚马逊库存!A:R,18,0),"")</f>
        <v>0</v>
      </c>
      <c r="F1735">
        <f t="shared" si="55"/>
        <v>0</v>
      </c>
      <c r="G1735" t="str">
        <f>IFERROR(VLOOKUP(A1735,预留库存!A:G,7,0),0)</f>
        <v>No</v>
      </c>
      <c r="H1735">
        <f>IFERROR(VLOOKUP(A1735,预留库存!A:H,8,0),0)</f>
        <v>0</v>
      </c>
      <c r="I1735">
        <f>IFERROR(VLOOKUP(A1735,预留库存!A:F,6,0),0)</f>
        <v>26.98</v>
      </c>
      <c r="J1735">
        <f>IFERROR(VLOOKUP(A1735,库龄!B:K,9,0),0)</f>
        <v>2</v>
      </c>
      <c r="K1735">
        <f>IFERROR(VLOOKUP(A1735,库龄!B:L,10,0),0)</f>
        <v>0</v>
      </c>
      <c r="L1735">
        <f>IFERROR(VLOOKUP(A1735,库龄!B:M,11,0),0)</f>
        <v>0</v>
      </c>
      <c r="M1735">
        <f>IFERROR(VLOOKUP(A1735,库龄!B:N,12,0),0)</f>
        <v>0</v>
      </c>
      <c r="N1735">
        <f t="shared" si="56"/>
        <v>2</v>
      </c>
    </row>
    <row r="1736" spans="1:14">
      <c r="A1736" s="3" t="s">
        <v>4549</v>
      </c>
      <c r="B1736">
        <f>IFERROR(VLOOKUP(A1736,管理亚马逊库存!A:K,11,0),"")</f>
        <v>4</v>
      </c>
      <c r="C1736">
        <f>IFERROR(VLOOKUP(A1736,管理亚马逊库存!A:L,12,0),"")</f>
        <v>0</v>
      </c>
      <c r="D1736">
        <f>IFERROR(VLOOKUP(A1736,管理亚马逊库存!A:Q,17,0),"")</f>
        <v>0</v>
      </c>
      <c r="E1736">
        <f>IFERROR(VLOOKUP(A1736,管理亚马逊库存!A:R,18,0),"")</f>
        <v>0</v>
      </c>
      <c r="F1736">
        <f t="shared" si="55"/>
        <v>0</v>
      </c>
      <c r="G1736" t="str">
        <f>IFERROR(VLOOKUP(A1736,预留库存!A:G,7,0),0)</f>
        <v>No</v>
      </c>
      <c r="H1736">
        <f>IFERROR(VLOOKUP(A1736,预留库存!A:H,8,0),0)</f>
        <v>0</v>
      </c>
      <c r="I1736">
        <f>IFERROR(VLOOKUP(A1736,预留库存!A:F,6,0),0)</f>
        <v>26.98</v>
      </c>
      <c r="J1736">
        <f>IFERROR(VLOOKUP(A1736,库龄!B:K,9,0),0)</f>
        <v>0</v>
      </c>
      <c r="K1736">
        <f>IFERROR(VLOOKUP(A1736,库龄!B:L,10,0),0)</f>
        <v>0</v>
      </c>
      <c r="L1736">
        <f>IFERROR(VLOOKUP(A1736,库龄!B:M,11,0),0)</f>
        <v>0</v>
      </c>
      <c r="M1736">
        <f>IFERROR(VLOOKUP(A1736,库龄!B:N,12,0),0)</f>
        <v>0</v>
      </c>
      <c r="N1736">
        <f t="shared" si="56"/>
        <v>0</v>
      </c>
    </row>
    <row r="1737" spans="1:14">
      <c r="A1737" s="3" t="s">
        <v>4550</v>
      </c>
      <c r="B1737">
        <f>IFERROR(VLOOKUP(A1737,管理亚马逊库存!A:K,11,0),"")</f>
        <v>3</v>
      </c>
      <c r="C1737">
        <f>IFERROR(VLOOKUP(A1737,管理亚马逊库存!A:L,12,0),"")</f>
        <v>0</v>
      </c>
      <c r="D1737">
        <f>IFERROR(VLOOKUP(A1737,管理亚马逊库存!A:Q,17,0),"")</f>
        <v>0</v>
      </c>
      <c r="E1737">
        <f>IFERROR(VLOOKUP(A1737,管理亚马逊库存!A:R,18,0),"")</f>
        <v>0</v>
      </c>
      <c r="F1737">
        <f t="shared" si="55"/>
        <v>0</v>
      </c>
      <c r="G1737" t="str">
        <f>IFERROR(VLOOKUP(A1737,预留库存!A:G,7,0),0)</f>
        <v>No</v>
      </c>
      <c r="H1737">
        <f>IFERROR(VLOOKUP(A1737,预留库存!A:H,8,0),0)</f>
        <v>0</v>
      </c>
      <c r="I1737">
        <f>IFERROR(VLOOKUP(A1737,预留库存!A:F,6,0),0)</f>
        <v>26.98</v>
      </c>
      <c r="J1737">
        <f>IFERROR(VLOOKUP(A1737,库龄!B:K,9,0),0)</f>
        <v>1</v>
      </c>
      <c r="K1737">
        <f>IFERROR(VLOOKUP(A1737,库龄!B:L,10,0),0)</f>
        <v>0</v>
      </c>
      <c r="L1737">
        <f>IFERROR(VLOOKUP(A1737,库龄!B:M,11,0),0)</f>
        <v>0</v>
      </c>
      <c r="M1737">
        <f>IFERROR(VLOOKUP(A1737,库龄!B:N,12,0),0)</f>
        <v>0</v>
      </c>
      <c r="N1737">
        <f t="shared" si="56"/>
        <v>1</v>
      </c>
    </row>
    <row r="1738" spans="1:14">
      <c r="A1738" s="3" t="s">
        <v>4551</v>
      </c>
      <c r="B1738">
        <f>IFERROR(VLOOKUP(A1738,管理亚马逊库存!A:K,11,0),"")</f>
        <v>0</v>
      </c>
      <c r="C1738">
        <f>IFERROR(VLOOKUP(A1738,管理亚马逊库存!A:L,12,0),"")</f>
        <v>0</v>
      </c>
      <c r="D1738">
        <f>IFERROR(VLOOKUP(A1738,管理亚马逊库存!A:Q,17,0),"")</f>
        <v>0</v>
      </c>
      <c r="E1738">
        <f>IFERROR(VLOOKUP(A1738,管理亚马逊库存!A:R,18,0),"")</f>
        <v>0</v>
      </c>
      <c r="F1738">
        <f t="shared" si="55"/>
        <v>0</v>
      </c>
      <c r="G1738" t="str">
        <f>IFERROR(VLOOKUP(A1738,预留库存!A:G,7,0),0)</f>
        <v>No</v>
      </c>
      <c r="H1738">
        <f>IFERROR(VLOOKUP(A1738,预留库存!A:H,8,0),0)</f>
        <v>0</v>
      </c>
      <c r="I1738">
        <f>IFERROR(VLOOKUP(A1738,预留库存!A:F,6,0),0)</f>
        <v>26.98</v>
      </c>
      <c r="J1738">
        <f>IFERROR(VLOOKUP(A1738,库龄!B:K,9,0),0)</f>
        <v>0</v>
      </c>
      <c r="K1738">
        <f>IFERROR(VLOOKUP(A1738,库龄!B:L,10,0),0)</f>
        <v>0</v>
      </c>
      <c r="L1738">
        <f>IFERROR(VLOOKUP(A1738,库龄!B:M,11,0),0)</f>
        <v>0</v>
      </c>
      <c r="M1738">
        <f>IFERROR(VLOOKUP(A1738,库龄!B:N,12,0),0)</f>
        <v>0</v>
      </c>
      <c r="N1738">
        <f t="shared" si="56"/>
        <v>0</v>
      </c>
    </row>
    <row r="1739" spans="1:14">
      <c r="A1739" s="3" t="s">
        <v>4552</v>
      </c>
      <c r="B1739">
        <f>IFERROR(VLOOKUP(A1739,管理亚马逊库存!A:K,11,0),"")</f>
        <v>0</v>
      </c>
      <c r="C1739">
        <f>IFERROR(VLOOKUP(A1739,管理亚马逊库存!A:L,12,0),"")</f>
        <v>0</v>
      </c>
      <c r="D1739">
        <f>IFERROR(VLOOKUP(A1739,管理亚马逊库存!A:Q,17,0),"")</f>
        <v>0</v>
      </c>
      <c r="E1739">
        <f>IFERROR(VLOOKUP(A1739,管理亚马逊库存!A:R,18,0),"")</f>
        <v>0</v>
      </c>
      <c r="F1739">
        <f t="shared" si="55"/>
        <v>0</v>
      </c>
      <c r="G1739" t="str">
        <f>IFERROR(VLOOKUP(A1739,预留库存!A:G,7,0),0)</f>
        <v>No</v>
      </c>
      <c r="H1739">
        <f>IFERROR(VLOOKUP(A1739,预留库存!A:H,8,0),0)</f>
        <v>0</v>
      </c>
      <c r="I1739">
        <f>IFERROR(VLOOKUP(A1739,预留库存!A:F,6,0),0)</f>
        <v>26.98</v>
      </c>
      <c r="J1739">
        <f>IFERROR(VLOOKUP(A1739,库龄!B:K,9,0),0)</f>
        <v>0</v>
      </c>
      <c r="K1739">
        <f>IFERROR(VLOOKUP(A1739,库龄!B:L,10,0),0)</f>
        <v>0</v>
      </c>
      <c r="L1739">
        <f>IFERROR(VLOOKUP(A1739,库龄!B:M,11,0),0)</f>
        <v>0</v>
      </c>
      <c r="M1739">
        <f>IFERROR(VLOOKUP(A1739,库龄!B:N,12,0),0)</f>
        <v>0</v>
      </c>
      <c r="N1739">
        <f t="shared" si="56"/>
        <v>0</v>
      </c>
    </row>
    <row r="1740" spans="1:14">
      <c r="A1740" s="3" t="s">
        <v>4553</v>
      </c>
      <c r="B1740">
        <f>IFERROR(VLOOKUP(A1740,管理亚马逊库存!A:K,11,0),"")</f>
        <v>5</v>
      </c>
      <c r="C1740">
        <f>IFERROR(VLOOKUP(A1740,管理亚马逊库存!A:L,12,0),"")</f>
        <v>0</v>
      </c>
      <c r="D1740">
        <f>IFERROR(VLOOKUP(A1740,管理亚马逊库存!A:Q,17,0),"")</f>
        <v>0</v>
      </c>
      <c r="E1740">
        <f>IFERROR(VLOOKUP(A1740,管理亚马逊库存!A:R,18,0),"")</f>
        <v>0</v>
      </c>
      <c r="F1740">
        <f t="shared" si="55"/>
        <v>0</v>
      </c>
      <c r="G1740" t="str">
        <f>IFERROR(VLOOKUP(A1740,预留库存!A:G,7,0),0)</f>
        <v>No</v>
      </c>
      <c r="H1740">
        <f>IFERROR(VLOOKUP(A1740,预留库存!A:H,8,0),0)</f>
        <v>0</v>
      </c>
      <c r="I1740">
        <f>IFERROR(VLOOKUP(A1740,预留库存!A:F,6,0),0)</f>
        <v>26.98</v>
      </c>
      <c r="J1740">
        <f>IFERROR(VLOOKUP(A1740,库龄!B:K,9,0),0)</f>
        <v>0</v>
      </c>
      <c r="K1740">
        <f>IFERROR(VLOOKUP(A1740,库龄!B:L,10,0),0)</f>
        <v>0</v>
      </c>
      <c r="L1740">
        <f>IFERROR(VLOOKUP(A1740,库龄!B:M,11,0),0)</f>
        <v>0</v>
      </c>
      <c r="M1740">
        <f>IFERROR(VLOOKUP(A1740,库龄!B:N,12,0),0)</f>
        <v>0</v>
      </c>
      <c r="N1740">
        <f t="shared" si="56"/>
        <v>0</v>
      </c>
    </row>
    <row r="1741" spans="1:14">
      <c r="A1741" s="3" t="s">
        <v>4554</v>
      </c>
      <c r="B1741">
        <f>IFERROR(VLOOKUP(A1741,管理亚马逊库存!A:K,11,0),"")</f>
        <v>0</v>
      </c>
      <c r="C1741">
        <f>IFERROR(VLOOKUP(A1741,管理亚马逊库存!A:L,12,0),"")</f>
        <v>0</v>
      </c>
      <c r="D1741">
        <f>IFERROR(VLOOKUP(A1741,管理亚马逊库存!A:Q,17,0),"")</f>
        <v>0</v>
      </c>
      <c r="E1741">
        <f>IFERROR(VLOOKUP(A1741,管理亚马逊库存!A:R,18,0),"")</f>
        <v>0</v>
      </c>
      <c r="F1741">
        <f t="shared" si="55"/>
        <v>0</v>
      </c>
      <c r="G1741" t="str">
        <f>IFERROR(VLOOKUP(A1741,预留库存!A:G,7,0),0)</f>
        <v>No</v>
      </c>
      <c r="H1741">
        <f>IFERROR(VLOOKUP(A1741,预留库存!A:H,8,0),0)</f>
        <v>0</v>
      </c>
      <c r="I1741">
        <f>IFERROR(VLOOKUP(A1741,预留库存!A:F,6,0),0)</f>
        <v>26.98</v>
      </c>
      <c r="J1741">
        <f>IFERROR(VLOOKUP(A1741,库龄!B:K,9,0),0)</f>
        <v>0</v>
      </c>
      <c r="K1741">
        <f>IFERROR(VLOOKUP(A1741,库龄!B:L,10,0),0)</f>
        <v>0</v>
      </c>
      <c r="L1741">
        <f>IFERROR(VLOOKUP(A1741,库龄!B:M,11,0),0)</f>
        <v>0</v>
      </c>
      <c r="M1741">
        <f>IFERROR(VLOOKUP(A1741,库龄!B:N,12,0),0)</f>
        <v>0</v>
      </c>
      <c r="N1741">
        <f t="shared" si="56"/>
        <v>0</v>
      </c>
    </row>
    <row r="1742" spans="1:14">
      <c r="A1742" s="3" t="s">
        <v>4555</v>
      </c>
      <c r="B1742">
        <f>IFERROR(VLOOKUP(A1742,管理亚马逊库存!A:K,11,0),"")</f>
        <v>12</v>
      </c>
      <c r="C1742">
        <f>IFERROR(VLOOKUP(A1742,管理亚马逊库存!A:L,12,0),"")</f>
        <v>0</v>
      </c>
      <c r="D1742">
        <f>IFERROR(VLOOKUP(A1742,管理亚马逊库存!A:Q,17,0),"")</f>
        <v>0</v>
      </c>
      <c r="E1742">
        <f>IFERROR(VLOOKUP(A1742,管理亚马逊库存!A:R,18,0),"")</f>
        <v>0</v>
      </c>
      <c r="F1742">
        <f t="shared" si="55"/>
        <v>0</v>
      </c>
      <c r="G1742" t="str">
        <f>IFERROR(VLOOKUP(A1742,预留库存!A:G,7,0),0)</f>
        <v>No</v>
      </c>
      <c r="H1742">
        <f>IFERROR(VLOOKUP(A1742,预留库存!A:H,8,0),0)</f>
        <v>0</v>
      </c>
      <c r="I1742">
        <f>IFERROR(VLOOKUP(A1742,预留库存!A:F,6,0),0)</f>
        <v>26.98</v>
      </c>
      <c r="J1742">
        <f>IFERROR(VLOOKUP(A1742,库龄!B:K,9,0),0)</f>
        <v>0</v>
      </c>
      <c r="K1742">
        <f>IFERROR(VLOOKUP(A1742,库龄!B:L,10,0),0)</f>
        <v>0</v>
      </c>
      <c r="L1742">
        <f>IFERROR(VLOOKUP(A1742,库龄!B:M,11,0),0)</f>
        <v>0</v>
      </c>
      <c r="M1742">
        <f>IFERROR(VLOOKUP(A1742,库龄!B:N,12,0),0)</f>
        <v>0</v>
      </c>
      <c r="N1742">
        <f t="shared" si="56"/>
        <v>0</v>
      </c>
    </row>
    <row r="1743" spans="1:14">
      <c r="A1743" s="3" t="s">
        <v>4556</v>
      </c>
      <c r="B1743">
        <f>IFERROR(VLOOKUP(A1743,管理亚马逊库存!A:K,11,0),"")</f>
        <v>14</v>
      </c>
      <c r="C1743">
        <f>IFERROR(VLOOKUP(A1743,管理亚马逊库存!A:L,12,0),"")</f>
        <v>0</v>
      </c>
      <c r="D1743">
        <f>IFERROR(VLOOKUP(A1743,管理亚马逊库存!A:Q,17,0),"")</f>
        <v>0</v>
      </c>
      <c r="E1743">
        <f>IFERROR(VLOOKUP(A1743,管理亚马逊库存!A:R,18,0),"")</f>
        <v>0</v>
      </c>
      <c r="F1743">
        <f t="shared" si="55"/>
        <v>0</v>
      </c>
      <c r="G1743" t="str">
        <f>IFERROR(VLOOKUP(A1743,预留库存!A:G,7,0),0)</f>
        <v>No</v>
      </c>
      <c r="H1743">
        <f>IFERROR(VLOOKUP(A1743,预留库存!A:H,8,0),0)</f>
        <v>0</v>
      </c>
      <c r="I1743">
        <f>IFERROR(VLOOKUP(A1743,预留库存!A:F,6,0),0)</f>
        <v>26.98</v>
      </c>
      <c r="J1743">
        <f>IFERROR(VLOOKUP(A1743,库龄!B:K,9,0),0)</f>
        <v>0</v>
      </c>
      <c r="K1743">
        <f>IFERROR(VLOOKUP(A1743,库龄!B:L,10,0),0)</f>
        <v>0</v>
      </c>
      <c r="L1743">
        <f>IFERROR(VLOOKUP(A1743,库龄!B:M,11,0),0)</f>
        <v>0</v>
      </c>
      <c r="M1743">
        <f>IFERROR(VLOOKUP(A1743,库龄!B:N,12,0),0)</f>
        <v>0</v>
      </c>
      <c r="N1743">
        <f t="shared" si="56"/>
        <v>0</v>
      </c>
    </row>
    <row r="1744" spans="1:14">
      <c r="A1744" s="3" t="s">
        <v>4557</v>
      </c>
      <c r="B1744">
        <f>IFERROR(VLOOKUP(A1744,管理亚马逊库存!A:K,11,0),"")</f>
        <v>10</v>
      </c>
      <c r="C1744">
        <f>IFERROR(VLOOKUP(A1744,管理亚马逊库存!A:L,12,0),"")</f>
        <v>0</v>
      </c>
      <c r="D1744">
        <f>IFERROR(VLOOKUP(A1744,管理亚马逊库存!A:Q,17,0),"")</f>
        <v>0</v>
      </c>
      <c r="E1744">
        <f>IFERROR(VLOOKUP(A1744,管理亚马逊库存!A:R,18,0),"")</f>
        <v>0</v>
      </c>
      <c r="F1744">
        <f t="shared" si="55"/>
        <v>0</v>
      </c>
      <c r="G1744" t="str">
        <f>IFERROR(VLOOKUP(A1744,预留库存!A:G,7,0),0)</f>
        <v>No</v>
      </c>
      <c r="H1744">
        <f>IFERROR(VLOOKUP(A1744,预留库存!A:H,8,0),0)</f>
        <v>0</v>
      </c>
      <c r="I1744">
        <f>IFERROR(VLOOKUP(A1744,预留库存!A:F,6,0),0)</f>
        <v>26.98</v>
      </c>
      <c r="J1744">
        <f>IFERROR(VLOOKUP(A1744,库龄!B:K,9,0),0)</f>
        <v>0</v>
      </c>
      <c r="K1744">
        <f>IFERROR(VLOOKUP(A1744,库龄!B:L,10,0),0)</f>
        <v>0</v>
      </c>
      <c r="L1744">
        <f>IFERROR(VLOOKUP(A1744,库龄!B:M,11,0),0)</f>
        <v>0</v>
      </c>
      <c r="M1744">
        <f>IFERROR(VLOOKUP(A1744,库龄!B:N,12,0),0)</f>
        <v>0</v>
      </c>
      <c r="N1744">
        <f t="shared" si="56"/>
        <v>0</v>
      </c>
    </row>
    <row r="1745" spans="1:14">
      <c r="A1745" s="3" t="s">
        <v>4558</v>
      </c>
      <c r="B1745">
        <f>IFERROR(VLOOKUP(A1745,管理亚马逊库存!A:K,11,0),"")</f>
        <v>13</v>
      </c>
      <c r="C1745">
        <f>IFERROR(VLOOKUP(A1745,管理亚马逊库存!A:L,12,0),"")</f>
        <v>0</v>
      </c>
      <c r="D1745">
        <f>IFERROR(VLOOKUP(A1745,管理亚马逊库存!A:Q,17,0),"")</f>
        <v>0</v>
      </c>
      <c r="E1745">
        <f>IFERROR(VLOOKUP(A1745,管理亚马逊库存!A:R,18,0),"")</f>
        <v>0</v>
      </c>
      <c r="F1745">
        <f t="shared" si="55"/>
        <v>0</v>
      </c>
      <c r="G1745" t="str">
        <f>IFERROR(VLOOKUP(A1745,预留库存!A:G,7,0),0)</f>
        <v>No</v>
      </c>
      <c r="H1745">
        <f>IFERROR(VLOOKUP(A1745,预留库存!A:H,8,0),0)</f>
        <v>0</v>
      </c>
      <c r="I1745">
        <f>IFERROR(VLOOKUP(A1745,预留库存!A:F,6,0),0)</f>
        <v>26.98</v>
      </c>
      <c r="J1745">
        <f>IFERROR(VLOOKUP(A1745,库龄!B:K,9,0),0)</f>
        <v>0</v>
      </c>
      <c r="K1745">
        <f>IFERROR(VLOOKUP(A1745,库龄!B:L,10,0),0)</f>
        <v>0</v>
      </c>
      <c r="L1745">
        <f>IFERROR(VLOOKUP(A1745,库龄!B:M,11,0),0)</f>
        <v>0</v>
      </c>
      <c r="M1745">
        <f>IFERROR(VLOOKUP(A1745,库龄!B:N,12,0),0)</f>
        <v>0</v>
      </c>
      <c r="N1745">
        <f t="shared" si="56"/>
        <v>0</v>
      </c>
    </row>
    <row r="1746" spans="1:14">
      <c r="A1746" s="3" t="s">
        <v>4559</v>
      </c>
      <c r="B1746">
        <f>IFERROR(VLOOKUP(A1746,管理亚马逊库存!A:K,11,0),"")</f>
        <v>15</v>
      </c>
      <c r="C1746">
        <f>IFERROR(VLOOKUP(A1746,管理亚马逊库存!A:L,12,0),"")</f>
        <v>0</v>
      </c>
      <c r="D1746">
        <f>IFERROR(VLOOKUP(A1746,管理亚马逊库存!A:Q,17,0),"")</f>
        <v>0</v>
      </c>
      <c r="E1746">
        <f>IFERROR(VLOOKUP(A1746,管理亚马逊库存!A:R,18,0),"")</f>
        <v>0</v>
      </c>
      <c r="F1746">
        <f t="shared" si="55"/>
        <v>0</v>
      </c>
      <c r="G1746" t="str">
        <f>IFERROR(VLOOKUP(A1746,预留库存!A:G,7,0),0)</f>
        <v>No</v>
      </c>
      <c r="H1746">
        <f>IFERROR(VLOOKUP(A1746,预留库存!A:H,8,0),0)</f>
        <v>0</v>
      </c>
      <c r="I1746">
        <f>IFERROR(VLOOKUP(A1746,预留库存!A:F,6,0),0)</f>
        <v>26.98</v>
      </c>
      <c r="J1746">
        <f>IFERROR(VLOOKUP(A1746,库龄!B:K,9,0),0)</f>
        <v>0</v>
      </c>
      <c r="K1746">
        <f>IFERROR(VLOOKUP(A1746,库龄!B:L,10,0),0)</f>
        <v>0</v>
      </c>
      <c r="L1746">
        <f>IFERROR(VLOOKUP(A1746,库龄!B:M,11,0),0)</f>
        <v>0</v>
      </c>
      <c r="M1746">
        <f>IFERROR(VLOOKUP(A1746,库龄!B:N,12,0),0)</f>
        <v>0</v>
      </c>
      <c r="N1746">
        <f t="shared" si="56"/>
        <v>0</v>
      </c>
    </row>
    <row r="1747" spans="1:14">
      <c r="A1747" s="3" t="s">
        <v>4560</v>
      </c>
      <c r="B1747">
        <f>IFERROR(VLOOKUP(A1747,管理亚马逊库存!A:K,11,0),"")</f>
        <v>15</v>
      </c>
      <c r="C1747">
        <f>IFERROR(VLOOKUP(A1747,管理亚马逊库存!A:L,12,0),"")</f>
        <v>0</v>
      </c>
      <c r="D1747">
        <f>IFERROR(VLOOKUP(A1747,管理亚马逊库存!A:Q,17,0),"")</f>
        <v>0</v>
      </c>
      <c r="E1747">
        <f>IFERROR(VLOOKUP(A1747,管理亚马逊库存!A:R,18,0),"")</f>
        <v>0</v>
      </c>
      <c r="F1747">
        <f t="shared" si="55"/>
        <v>0</v>
      </c>
      <c r="G1747" t="str">
        <f>IFERROR(VLOOKUP(A1747,预留库存!A:G,7,0),0)</f>
        <v>No</v>
      </c>
      <c r="H1747">
        <f>IFERROR(VLOOKUP(A1747,预留库存!A:H,8,0),0)</f>
        <v>0</v>
      </c>
      <c r="I1747">
        <f>IFERROR(VLOOKUP(A1747,预留库存!A:F,6,0),0)</f>
        <v>26.98</v>
      </c>
      <c r="J1747">
        <f>IFERROR(VLOOKUP(A1747,库龄!B:K,9,0),0)</f>
        <v>0</v>
      </c>
      <c r="K1747">
        <f>IFERROR(VLOOKUP(A1747,库龄!B:L,10,0),0)</f>
        <v>0</v>
      </c>
      <c r="L1747">
        <f>IFERROR(VLOOKUP(A1747,库龄!B:M,11,0),0)</f>
        <v>0</v>
      </c>
      <c r="M1747">
        <f>IFERROR(VLOOKUP(A1747,库龄!B:N,12,0),0)</f>
        <v>0</v>
      </c>
      <c r="N1747">
        <f t="shared" si="56"/>
        <v>0</v>
      </c>
    </row>
    <row r="1748" spans="1:14">
      <c r="A1748" s="3" t="s">
        <v>4561</v>
      </c>
      <c r="B1748">
        <f>IFERROR(VLOOKUP(A1748,管理亚马逊库存!A:K,11,0),"")</f>
        <v>13</v>
      </c>
      <c r="C1748">
        <f>IFERROR(VLOOKUP(A1748,管理亚马逊库存!A:L,12,0),"")</f>
        <v>0</v>
      </c>
      <c r="D1748">
        <f>IFERROR(VLOOKUP(A1748,管理亚马逊库存!A:Q,17,0),"")</f>
        <v>0</v>
      </c>
      <c r="E1748">
        <f>IFERROR(VLOOKUP(A1748,管理亚马逊库存!A:R,18,0),"")</f>
        <v>0</v>
      </c>
      <c r="F1748">
        <f t="shared" si="55"/>
        <v>0</v>
      </c>
      <c r="G1748" t="str">
        <f>IFERROR(VLOOKUP(A1748,预留库存!A:G,7,0),0)</f>
        <v>No</v>
      </c>
      <c r="H1748">
        <f>IFERROR(VLOOKUP(A1748,预留库存!A:H,8,0),0)</f>
        <v>0</v>
      </c>
      <c r="I1748">
        <f>IFERROR(VLOOKUP(A1748,预留库存!A:F,6,0),0)</f>
        <v>26.98</v>
      </c>
      <c r="J1748">
        <f>IFERROR(VLOOKUP(A1748,库龄!B:K,9,0),0)</f>
        <v>0</v>
      </c>
      <c r="K1748">
        <f>IFERROR(VLOOKUP(A1748,库龄!B:L,10,0),0)</f>
        <v>0</v>
      </c>
      <c r="L1748">
        <f>IFERROR(VLOOKUP(A1748,库龄!B:M,11,0),0)</f>
        <v>0</v>
      </c>
      <c r="M1748">
        <f>IFERROR(VLOOKUP(A1748,库龄!B:N,12,0),0)</f>
        <v>0</v>
      </c>
      <c r="N1748">
        <f t="shared" si="56"/>
        <v>0</v>
      </c>
    </row>
    <row r="1749" spans="1:14">
      <c r="A1749" s="3" t="s">
        <v>4562</v>
      </c>
      <c r="B1749">
        <f>IFERROR(VLOOKUP(A1749,管理亚马逊库存!A:K,11,0),"")</f>
        <v>14</v>
      </c>
      <c r="C1749">
        <f>IFERROR(VLOOKUP(A1749,管理亚马逊库存!A:L,12,0),"")</f>
        <v>0</v>
      </c>
      <c r="D1749">
        <f>IFERROR(VLOOKUP(A1749,管理亚马逊库存!A:Q,17,0),"")</f>
        <v>0</v>
      </c>
      <c r="E1749">
        <f>IFERROR(VLOOKUP(A1749,管理亚马逊库存!A:R,18,0),"")</f>
        <v>0</v>
      </c>
      <c r="F1749">
        <f t="shared" si="55"/>
        <v>0</v>
      </c>
      <c r="G1749" t="str">
        <f>IFERROR(VLOOKUP(A1749,预留库存!A:G,7,0),0)</f>
        <v>No</v>
      </c>
      <c r="H1749">
        <f>IFERROR(VLOOKUP(A1749,预留库存!A:H,8,0),0)</f>
        <v>0</v>
      </c>
      <c r="I1749">
        <f>IFERROR(VLOOKUP(A1749,预留库存!A:F,6,0),0)</f>
        <v>26.98</v>
      </c>
      <c r="J1749">
        <f>IFERROR(VLOOKUP(A1749,库龄!B:K,9,0),0)</f>
        <v>0</v>
      </c>
      <c r="K1749">
        <f>IFERROR(VLOOKUP(A1749,库龄!B:L,10,0),0)</f>
        <v>0</v>
      </c>
      <c r="L1749">
        <f>IFERROR(VLOOKUP(A1749,库龄!B:M,11,0),0)</f>
        <v>0</v>
      </c>
      <c r="M1749">
        <f>IFERROR(VLOOKUP(A1749,库龄!B:N,12,0),0)</f>
        <v>0</v>
      </c>
      <c r="N1749">
        <f t="shared" si="56"/>
        <v>0</v>
      </c>
    </row>
    <row r="1750" spans="1:14">
      <c r="A1750" s="3" t="s">
        <v>4563</v>
      </c>
      <c r="B1750">
        <f>IFERROR(VLOOKUP(A1750,管理亚马逊库存!A:K,11,0),"")</f>
        <v>3</v>
      </c>
      <c r="C1750">
        <f>IFERROR(VLOOKUP(A1750,管理亚马逊库存!A:L,12,0),"")</f>
        <v>0</v>
      </c>
      <c r="D1750">
        <f>IFERROR(VLOOKUP(A1750,管理亚马逊库存!A:Q,17,0),"")</f>
        <v>0</v>
      </c>
      <c r="E1750">
        <f>IFERROR(VLOOKUP(A1750,管理亚马逊库存!A:R,18,0),"")</f>
        <v>0</v>
      </c>
      <c r="F1750">
        <f t="shared" si="55"/>
        <v>0</v>
      </c>
      <c r="G1750" t="str">
        <f>IFERROR(VLOOKUP(A1750,预留库存!A:G,7,0),0)</f>
        <v>No</v>
      </c>
      <c r="H1750">
        <f>IFERROR(VLOOKUP(A1750,预留库存!A:H,8,0),0)</f>
        <v>0</v>
      </c>
      <c r="I1750">
        <f>IFERROR(VLOOKUP(A1750,预留库存!A:F,6,0),0)</f>
        <v>20.98</v>
      </c>
      <c r="J1750">
        <f>IFERROR(VLOOKUP(A1750,库龄!B:K,9,0),0)</f>
        <v>0</v>
      </c>
      <c r="K1750">
        <f>IFERROR(VLOOKUP(A1750,库龄!B:L,10,0),0)</f>
        <v>0</v>
      </c>
      <c r="L1750">
        <f>IFERROR(VLOOKUP(A1750,库龄!B:M,11,0),0)</f>
        <v>0</v>
      </c>
      <c r="M1750">
        <f>IFERROR(VLOOKUP(A1750,库龄!B:N,12,0),0)</f>
        <v>0</v>
      </c>
      <c r="N1750">
        <f t="shared" si="56"/>
        <v>0</v>
      </c>
    </row>
    <row r="1751" spans="1:14">
      <c r="A1751" s="3" t="s">
        <v>4564</v>
      </c>
      <c r="B1751">
        <f>IFERROR(VLOOKUP(A1751,管理亚马逊库存!A:K,11,0),"")</f>
        <v>5</v>
      </c>
      <c r="C1751">
        <f>IFERROR(VLOOKUP(A1751,管理亚马逊库存!A:L,12,0),"")</f>
        <v>0</v>
      </c>
      <c r="D1751">
        <f>IFERROR(VLOOKUP(A1751,管理亚马逊库存!A:Q,17,0),"")</f>
        <v>0</v>
      </c>
      <c r="E1751">
        <f>IFERROR(VLOOKUP(A1751,管理亚马逊库存!A:R,18,0),"")</f>
        <v>0</v>
      </c>
      <c r="F1751">
        <f t="shared" si="55"/>
        <v>0</v>
      </c>
      <c r="G1751" t="str">
        <f>IFERROR(VLOOKUP(A1751,预留库存!A:G,7,0),0)</f>
        <v>No</v>
      </c>
      <c r="H1751">
        <f>IFERROR(VLOOKUP(A1751,预留库存!A:H,8,0),0)</f>
        <v>0</v>
      </c>
      <c r="I1751">
        <f>IFERROR(VLOOKUP(A1751,预留库存!A:F,6,0),0)</f>
        <v>20.98</v>
      </c>
      <c r="J1751">
        <f>IFERROR(VLOOKUP(A1751,库龄!B:K,9,0),0)</f>
        <v>0</v>
      </c>
      <c r="K1751">
        <f>IFERROR(VLOOKUP(A1751,库龄!B:L,10,0),0)</f>
        <v>0</v>
      </c>
      <c r="L1751">
        <f>IFERROR(VLOOKUP(A1751,库龄!B:M,11,0),0)</f>
        <v>0</v>
      </c>
      <c r="M1751">
        <f>IFERROR(VLOOKUP(A1751,库龄!B:N,12,0),0)</f>
        <v>0</v>
      </c>
      <c r="N1751">
        <f t="shared" si="56"/>
        <v>0</v>
      </c>
    </row>
    <row r="1752" spans="1:14">
      <c r="A1752" s="3" t="s">
        <v>4565</v>
      </c>
      <c r="B1752">
        <f>IFERROR(VLOOKUP(A1752,管理亚马逊库存!A:K,11,0),"")</f>
        <v>2</v>
      </c>
      <c r="C1752">
        <f>IFERROR(VLOOKUP(A1752,管理亚马逊库存!A:L,12,0),"")</f>
        <v>0</v>
      </c>
      <c r="D1752">
        <f>IFERROR(VLOOKUP(A1752,管理亚马逊库存!A:Q,17,0),"")</f>
        <v>0</v>
      </c>
      <c r="E1752">
        <f>IFERROR(VLOOKUP(A1752,管理亚马逊库存!A:R,18,0),"")</f>
        <v>0</v>
      </c>
      <c r="F1752">
        <f t="shared" si="55"/>
        <v>0</v>
      </c>
      <c r="G1752" t="str">
        <f>IFERROR(VLOOKUP(A1752,预留库存!A:G,7,0),0)</f>
        <v>No</v>
      </c>
      <c r="H1752">
        <f>IFERROR(VLOOKUP(A1752,预留库存!A:H,8,0),0)</f>
        <v>0</v>
      </c>
      <c r="I1752">
        <f>IFERROR(VLOOKUP(A1752,预留库存!A:F,6,0),0)</f>
        <v>20.98</v>
      </c>
      <c r="J1752">
        <f>IFERROR(VLOOKUP(A1752,库龄!B:K,9,0),0)</f>
        <v>1</v>
      </c>
      <c r="K1752">
        <f>IFERROR(VLOOKUP(A1752,库龄!B:L,10,0),0)</f>
        <v>0</v>
      </c>
      <c r="L1752">
        <f>IFERROR(VLOOKUP(A1752,库龄!B:M,11,0),0)</f>
        <v>0</v>
      </c>
      <c r="M1752">
        <f>IFERROR(VLOOKUP(A1752,库龄!B:N,12,0),0)</f>
        <v>0</v>
      </c>
      <c r="N1752">
        <f t="shared" si="56"/>
        <v>1</v>
      </c>
    </row>
    <row r="1753" spans="1:14">
      <c r="A1753" s="3" t="s">
        <v>4566</v>
      </c>
      <c r="B1753">
        <f>IFERROR(VLOOKUP(A1753,管理亚马逊库存!A:K,11,0),"")</f>
        <v>9</v>
      </c>
      <c r="C1753">
        <f>IFERROR(VLOOKUP(A1753,管理亚马逊库存!A:L,12,0),"")</f>
        <v>0</v>
      </c>
      <c r="D1753">
        <f>IFERROR(VLOOKUP(A1753,管理亚马逊库存!A:Q,17,0),"")</f>
        <v>0</v>
      </c>
      <c r="E1753">
        <f>IFERROR(VLOOKUP(A1753,管理亚马逊库存!A:R,18,0),"")</f>
        <v>0</v>
      </c>
      <c r="F1753">
        <f t="shared" si="55"/>
        <v>0</v>
      </c>
      <c r="G1753" t="str">
        <f>IFERROR(VLOOKUP(A1753,预留库存!A:G,7,0),0)</f>
        <v>No</v>
      </c>
      <c r="H1753">
        <f>IFERROR(VLOOKUP(A1753,预留库存!A:H,8,0),0)</f>
        <v>0</v>
      </c>
      <c r="I1753">
        <f>IFERROR(VLOOKUP(A1753,预留库存!A:F,6,0),0)</f>
        <v>20.98</v>
      </c>
      <c r="J1753">
        <f>IFERROR(VLOOKUP(A1753,库龄!B:K,9,0),0)</f>
        <v>0</v>
      </c>
      <c r="K1753">
        <f>IFERROR(VLOOKUP(A1753,库龄!B:L,10,0),0)</f>
        <v>0</v>
      </c>
      <c r="L1753">
        <f>IFERROR(VLOOKUP(A1753,库龄!B:M,11,0),0)</f>
        <v>0</v>
      </c>
      <c r="M1753">
        <f>IFERROR(VLOOKUP(A1753,库龄!B:N,12,0),0)</f>
        <v>0</v>
      </c>
      <c r="N1753">
        <f t="shared" si="56"/>
        <v>0</v>
      </c>
    </row>
    <row r="1754" spans="1:14">
      <c r="A1754" s="3" t="s">
        <v>4567</v>
      </c>
      <c r="B1754">
        <f>IFERROR(VLOOKUP(A1754,管理亚马逊库存!A:K,11,0),"")</f>
        <v>23</v>
      </c>
      <c r="C1754">
        <f>IFERROR(VLOOKUP(A1754,管理亚马逊库存!A:L,12,0),"")</f>
        <v>0</v>
      </c>
      <c r="D1754">
        <f>IFERROR(VLOOKUP(A1754,管理亚马逊库存!A:Q,17,0),"")</f>
        <v>0</v>
      </c>
      <c r="E1754">
        <f>IFERROR(VLOOKUP(A1754,管理亚马逊库存!A:R,18,0),"")</f>
        <v>0</v>
      </c>
      <c r="F1754">
        <f t="shared" si="55"/>
        <v>0</v>
      </c>
      <c r="G1754" t="str">
        <f>IFERROR(VLOOKUP(A1754,预留库存!A:G,7,0),0)</f>
        <v>No</v>
      </c>
      <c r="H1754">
        <f>IFERROR(VLOOKUP(A1754,预留库存!A:H,8,0),0)</f>
        <v>0</v>
      </c>
      <c r="I1754">
        <f>IFERROR(VLOOKUP(A1754,预留库存!A:F,6,0),0)</f>
        <v>20.98</v>
      </c>
      <c r="J1754">
        <f>IFERROR(VLOOKUP(A1754,库龄!B:K,9,0),0)</f>
        <v>0</v>
      </c>
      <c r="K1754">
        <f>IFERROR(VLOOKUP(A1754,库龄!B:L,10,0),0)</f>
        <v>0</v>
      </c>
      <c r="L1754">
        <f>IFERROR(VLOOKUP(A1754,库龄!B:M,11,0),0)</f>
        <v>0</v>
      </c>
      <c r="M1754">
        <f>IFERROR(VLOOKUP(A1754,库龄!B:N,12,0),0)</f>
        <v>0</v>
      </c>
      <c r="N1754">
        <f t="shared" si="56"/>
        <v>0</v>
      </c>
    </row>
    <row r="1755" spans="1:14">
      <c r="A1755" s="3" t="s">
        <v>4568</v>
      </c>
      <c r="B1755">
        <f>IFERROR(VLOOKUP(A1755,管理亚马逊库存!A:K,11,0),"")</f>
        <v>14</v>
      </c>
      <c r="C1755">
        <f>IFERROR(VLOOKUP(A1755,管理亚马逊库存!A:L,12,0),"")</f>
        <v>0</v>
      </c>
      <c r="D1755">
        <f>IFERROR(VLOOKUP(A1755,管理亚马逊库存!A:Q,17,0),"")</f>
        <v>0</v>
      </c>
      <c r="E1755">
        <f>IFERROR(VLOOKUP(A1755,管理亚马逊库存!A:R,18,0),"")</f>
        <v>0</v>
      </c>
      <c r="F1755">
        <f t="shared" si="55"/>
        <v>0</v>
      </c>
      <c r="G1755" t="str">
        <f>IFERROR(VLOOKUP(A1755,预留库存!A:G,7,0),0)</f>
        <v>No</v>
      </c>
      <c r="H1755">
        <f>IFERROR(VLOOKUP(A1755,预留库存!A:H,8,0),0)</f>
        <v>0</v>
      </c>
      <c r="I1755">
        <f>IFERROR(VLOOKUP(A1755,预留库存!A:F,6,0),0)</f>
        <v>20.98</v>
      </c>
      <c r="J1755">
        <f>IFERROR(VLOOKUP(A1755,库龄!B:K,9,0),0)</f>
        <v>0</v>
      </c>
      <c r="K1755">
        <f>IFERROR(VLOOKUP(A1755,库龄!B:L,10,0),0)</f>
        <v>0</v>
      </c>
      <c r="L1755">
        <f>IFERROR(VLOOKUP(A1755,库龄!B:M,11,0),0)</f>
        <v>0</v>
      </c>
      <c r="M1755">
        <f>IFERROR(VLOOKUP(A1755,库龄!B:N,12,0),0)</f>
        <v>0</v>
      </c>
      <c r="N1755">
        <f t="shared" si="56"/>
        <v>0</v>
      </c>
    </row>
    <row r="1756" spans="1:14">
      <c r="A1756" s="3" t="s">
        <v>4569</v>
      </c>
      <c r="B1756">
        <f>IFERROR(VLOOKUP(A1756,管理亚马逊库存!A:K,11,0),"")</f>
        <v>7</v>
      </c>
      <c r="C1756">
        <f>IFERROR(VLOOKUP(A1756,管理亚马逊库存!A:L,12,0),"")</f>
        <v>0</v>
      </c>
      <c r="D1756">
        <f>IFERROR(VLOOKUP(A1756,管理亚马逊库存!A:Q,17,0),"")</f>
        <v>0</v>
      </c>
      <c r="E1756">
        <f>IFERROR(VLOOKUP(A1756,管理亚马逊库存!A:R,18,0),"")</f>
        <v>0</v>
      </c>
      <c r="F1756">
        <f t="shared" si="55"/>
        <v>0</v>
      </c>
      <c r="G1756" t="str">
        <f>IFERROR(VLOOKUP(A1756,预留库存!A:G,7,0),0)</f>
        <v>No</v>
      </c>
      <c r="H1756">
        <f>IFERROR(VLOOKUP(A1756,预留库存!A:H,8,0),0)</f>
        <v>0</v>
      </c>
      <c r="I1756">
        <f>IFERROR(VLOOKUP(A1756,预留库存!A:F,6,0),0)</f>
        <v>20.98</v>
      </c>
      <c r="J1756">
        <f>IFERROR(VLOOKUP(A1756,库龄!B:K,9,0),0)</f>
        <v>0</v>
      </c>
      <c r="K1756">
        <f>IFERROR(VLOOKUP(A1756,库龄!B:L,10,0),0)</f>
        <v>0</v>
      </c>
      <c r="L1756">
        <f>IFERROR(VLOOKUP(A1756,库龄!B:M,11,0),0)</f>
        <v>0</v>
      </c>
      <c r="M1756">
        <f>IFERROR(VLOOKUP(A1756,库龄!B:N,12,0),0)</f>
        <v>0</v>
      </c>
      <c r="N1756">
        <f t="shared" si="56"/>
        <v>0</v>
      </c>
    </row>
    <row r="1757" spans="1:14">
      <c r="A1757" s="3" t="s">
        <v>4570</v>
      </c>
      <c r="B1757">
        <f>IFERROR(VLOOKUP(A1757,管理亚马逊库存!A:K,11,0),"")</f>
        <v>16</v>
      </c>
      <c r="C1757">
        <f>IFERROR(VLOOKUP(A1757,管理亚马逊库存!A:L,12,0),"")</f>
        <v>0</v>
      </c>
      <c r="D1757">
        <f>IFERROR(VLOOKUP(A1757,管理亚马逊库存!A:Q,17,0),"")</f>
        <v>0</v>
      </c>
      <c r="E1757">
        <f>IFERROR(VLOOKUP(A1757,管理亚马逊库存!A:R,18,0),"")</f>
        <v>0</v>
      </c>
      <c r="F1757">
        <f t="shared" si="55"/>
        <v>0</v>
      </c>
      <c r="G1757" t="str">
        <f>IFERROR(VLOOKUP(A1757,预留库存!A:G,7,0),0)</f>
        <v>No</v>
      </c>
      <c r="H1757">
        <f>IFERROR(VLOOKUP(A1757,预留库存!A:H,8,0),0)</f>
        <v>0</v>
      </c>
      <c r="I1757">
        <f>IFERROR(VLOOKUP(A1757,预留库存!A:F,6,0),0)</f>
        <v>20.98</v>
      </c>
      <c r="J1757">
        <f>IFERROR(VLOOKUP(A1757,库龄!B:K,9,0),0)</f>
        <v>0</v>
      </c>
      <c r="K1757">
        <f>IFERROR(VLOOKUP(A1757,库龄!B:L,10,0),0)</f>
        <v>0</v>
      </c>
      <c r="L1757">
        <f>IFERROR(VLOOKUP(A1757,库龄!B:M,11,0),0)</f>
        <v>0</v>
      </c>
      <c r="M1757">
        <f>IFERROR(VLOOKUP(A1757,库龄!B:N,12,0),0)</f>
        <v>0</v>
      </c>
      <c r="N1757">
        <f t="shared" si="56"/>
        <v>0</v>
      </c>
    </row>
    <row r="1758" spans="1:14">
      <c r="A1758" s="3" t="s">
        <v>4571</v>
      </c>
      <c r="B1758">
        <f>IFERROR(VLOOKUP(A1758,管理亚马逊库存!A:K,11,0),"")</f>
        <v>8</v>
      </c>
      <c r="C1758">
        <f>IFERROR(VLOOKUP(A1758,管理亚马逊库存!A:L,12,0),"")</f>
        <v>0</v>
      </c>
      <c r="D1758">
        <f>IFERROR(VLOOKUP(A1758,管理亚马逊库存!A:Q,17,0),"")</f>
        <v>0</v>
      </c>
      <c r="E1758">
        <f>IFERROR(VLOOKUP(A1758,管理亚马逊库存!A:R,18,0),"")</f>
        <v>0</v>
      </c>
      <c r="F1758">
        <f t="shared" si="55"/>
        <v>0</v>
      </c>
      <c r="G1758" t="str">
        <f>IFERROR(VLOOKUP(A1758,预留库存!A:G,7,0),0)</f>
        <v>No</v>
      </c>
      <c r="H1758">
        <f>IFERROR(VLOOKUP(A1758,预留库存!A:H,8,0),0)</f>
        <v>0</v>
      </c>
      <c r="I1758">
        <f>IFERROR(VLOOKUP(A1758,预留库存!A:F,6,0),0)</f>
        <v>20.98</v>
      </c>
      <c r="J1758">
        <f>IFERROR(VLOOKUP(A1758,库龄!B:K,9,0),0)</f>
        <v>0</v>
      </c>
      <c r="K1758">
        <f>IFERROR(VLOOKUP(A1758,库龄!B:L,10,0),0)</f>
        <v>0</v>
      </c>
      <c r="L1758">
        <f>IFERROR(VLOOKUP(A1758,库龄!B:M,11,0),0)</f>
        <v>0</v>
      </c>
      <c r="M1758">
        <f>IFERROR(VLOOKUP(A1758,库龄!B:N,12,0),0)</f>
        <v>0</v>
      </c>
      <c r="N1758">
        <f t="shared" si="56"/>
        <v>0</v>
      </c>
    </row>
    <row r="1759" spans="1:14">
      <c r="A1759" s="3" t="s">
        <v>4572</v>
      </c>
      <c r="B1759">
        <f>IFERROR(VLOOKUP(A1759,管理亚马逊库存!A:K,11,0),"")</f>
        <v>3</v>
      </c>
      <c r="C1759">
        <f>IFERROR(VLOOKUP(A1759,管理亚马逊库存!A:L,12,0),"")</f>
        <v>0</v>
      </c>
      <c r="D1759">
        <f>IFERROR(VLOOKUP(A1759,管理亚马逊库存!A:Q,17,0),"")</f>
        <v>0</v>
      </c>
      <c r="E1759">
        <f>IFERROR(VLOOKUP(A1759,管理亚马逊库存!A:R,18,0),"")</f>
        <v>0</v>
      </c>
      <c r="F1759">
        <f t="shared" si="55"/>
        <v>0</v>
      </c>
      <c r="G1759" t="str">
        <f>IFERROR(VLOOKUP(A1759,预留库存!A:G,7,0),0)</f>
        <v>No</v>
      </c>
      <c r="H1759">
        <f>IFERROR(VLOOKUP(A1759,预留库存!A:H,8,0),0)</f>
        <v>0</v>
      </c>
      <c r="I1759">
        <f>IFERROR(VLOOKUP(A1759,预留库存!A:F,6,0),0)</f>
        <v>20.98</v>
      </c>
      <c r="J1759">
        <f>IFERROR(VLOOKUP(A1759,库龄!B:K,9,0),0)</f>
        <v>0</v>
      </c>
      <c r="K1759">
        <f>IFERROR(VLOOKUP(A1759,库龄!B:L,10,0),0)</f>
        <v>0</v>
      </c>
      <c r="L1759">
        <f>IFERROR(VLOOKUP(A1759,库龄!B:M,11,0),0)</f>
        <v>0</v>
      </c>
      <c r="M1759">
        <f>IFERROR(VLOOKUP(A1759,库龄!B:N,12,0),0)</f>
        <v>0</v>
      </c>
      <c r="N1759">
        <f t="shared" si="56"/>
        <v>0</v>
      </c>
    </row>
    <row r="1760" spans="1:14">
      <c r="A1760" s="3" t="s">
        <v>4573</v>
      </c>
      <c r="B1760">
        <f>IFERROR(VLOOKUP(A1760,管理亚马逊库存!A:K,11,0),"")</f>
        <v>3</v>
      </c>
      <c r="C1760">
        <f>IFERROR(VLOOKUP(A1760,管理亚马逊库存!A:L,12,0),"")</f>
        <v>0</v>
      </c>
      <c r="D1760">
        <f>IFERROR(VLOOKUP(A1760,管理亚马逊库存!A:Q,17,0),"")</f>
        <v>0</v>
      </c>
      <c r="E1760">
        <f>IFERROR(VLOOKUP(A1760,管理亚马逊库存!A:R,18,0),"")</f>
        <v>0</v>
      </c>
      <c r="F1760">
        <f t="shared" si="55"/>
        <v>0</v>
      </c>
      <c r="G1760" t="str">
        <f>IFERROR(VLOOKUP(A1760,预留库存!A:G,7,0),0)</f>
        <v>No</v>
      </c>
      <c r="H1760">
        <f>IFERROR(VLOOKUP(A1760,预留库存!A:H,8,0),0)</f>
        <v>0</v>
      </c>
      <c r="I1760">
        <f>IFERROR(VLOOKUP(A1760,预留库存!A:F,6,0),0)</f>
        <v>20.98</v>
      </c>
      <c r="J1760">
        <f>IFERROR(VLOOKUP(A1760,库龄!B:K,9,0),0)</f>
        <v>2</v>
      </c>
      <c r="K1760">
        <f>IFERROR(VLOOKUP(A1760,库龄!B:L,10,0),0)</f>
        <v>0</v>
      </c>
      <c r="L1760">
        <f>IFERROR(VLOOKUP(A1760,库龄!B:M,11,0),0)</f>
        <v>0</v>
      </c>
      <c r="M1760">
        <f>IFERROR(VLOOKUP(A1760,库龄!B:N,12,0),0)</f>
        <v>0</v>
      </c>
      <c r="N1760">
        <f t="shared" si="56"/>
        <v>2</v>
      </c>
    </row>
    <row r="1761" spans="1:14">
      <c r="A1761" s="3" t="s">
        <v>4574</v>
      </c>
      <c r="B1761">
        <f>IFERROR(VLOOKUP(A1761,管理亚马逊库存!A:K,11,0),"")</f>
        <v>2</v>
      </c>
      <c r="C1761">
        <f>IFERROR(VLOOKUP(A1761,管理亚马逊库存!A:L,12,0),"")</f>
        <v>0</v>
      </c>
      <c r="D1761">
        <f>IFERROR(VLOOKUP(A1761,管理亚马逊库存!A:Q,17,0),"")</f>
        <v>0</v>
      </c>
      <c r="E1761">
        <f>IFERROR(VLOOKUP(A1761,管理亚马逊库存!A:R,18,0),"")</f>
        <v>0</v>
      </c>
      <c r="F1761">
        <f t="shared" si="55"/>
        <v>0</v>
      </c>
      <c r="G1761" t="str">
        <f>IFERROR(VLOOKUP(A1761,预留库存!A:G,7,0),0)</f>
        <v>No</v>
      </c>
      <c r="H1761">
        <f>IFERROR(VLOOKUP(A1761,预留库存!A:H,8,0),0)</f>
        <v>0</v>
      </c>
      <c r="I1761">
        <f>IFERROR(VLOOKUP(A1761,预留库存!A:F,6,0),0)</f>
        <v>20.98</v>
      </c>
      <c r="J1761">
        <f>IFERROR(VLOOKUP(A1761,库龄!B:K,9,0),0)</f>
        <v>0</v>
      </c>
      <c r="K1761">
        <f>IFERROR(VLOOKUP(A1761,库龄!B:L,10,0),0)</f>
        <v>0</v>
      </c>
      <c r="L1761">
        <f>IFERROR(VLOOKUP(A1761,库龄!B:M,11,0),0)</f>
        <v>0</v>
      </c>
      <c r="M1761">
        <f>IFERROR(VLOOKUP(A1761,库龄!B:N,12,0),0)</f>
        <v>0</v>
      </c>
      <c r="N1761">
        <f t="shared" si="56"/>
        <v>0</v>
      </c>
    </row>
    <row r="1762" spans="1:14">
      <c r="A1762" s="3" t="s">
        <v>4575</v>
      </c>
      <c r="B1762">
        <f>IFERROR(VLOOKUP(A1762,管理亚马逊库存!A:K,11,0),"")</f>
        <v>6</v>
      </c>
      <c r="C1762">
        <f>IFERROR(VLOOKUP(A1762,管理亚马逊库存!A:L,12,0),"")</f>
        <v>0</v>
      </c>
      <c r="D1762">
        <f>IFERROR(VLOOKUP(A1762,管理亚马逊库存!A:Q,17,0),"")</f>
        <v>0</v>
      </c>
      <c r="E1762">
        <f>IFERROR(VLOOKUP(A1762,管理亚马逊库存!A:R,18,0),"")</f>
        <v>0</v>
      </c>
      <c r="F1762">
        <f t="shared" si="55"/>
        <v>0</v>
      </c>
      <c r="G1762" t="str">
        <f>IFERROR(VLOOKUP(A1762,预留库存!A:G,7,0),0)</f>
        <v>No</v>
      </c>
      <c r="H1762">
        <f>IFERROR(VLOOKUP(A1762,预留库存!A:H,8,0),0)</f>
        <v>0</v>
      </c>
      <c r="I1762">
        <f>IFERROR(VLOOKUP(A1762,预留库存!A:F,6,0),0)</f>
        <v>20.98</v>
      </c>
      <c r="J1762">
        <f>IFERROR(VLOOKUP(A1762,库龄!B:K,9,0),0)</f>
        <v>0</v>
      </c>
      <c r="K1762">
        <f>IFERROR(VLOOKUP(A1762,库龄!B:L,10,0),0)</f>
        <v>0</v>
      </c>
      <c r="L1762">
        <f>IFERROR(VLOOKUP(A1762,库龄!B:M,11,0),0)</f>
        <v>0</v>
      </c>
      <c r="M1762">
        <f>IFERROR(VLOOKUP(A1762,库龄!B:N,12,0),0)</f>
        <v>0</v>
      </c>
      <c r="N1762">
        <f t="shared" si="56"/>
        <v>0</v>
      </c>
    </row>
    <row r="1763" spans="1:14">
      <c r="A1763" s="3" t="s">
        <v>4576</v>
      </c>
      <c r="B1763">
        <f>IFERROR(VLOOKUP(A1763,管理亚马逊库存!A:K,11,0),"")</f>
        <v>2</v>
      </c>
      <c r="C1763">
        <f>IFERROR(VLOOKUP(A1763,管理亚马逊库存!A:L,12,0),"")</f>
        <v>0</v>
      </c>
      <c r="D1763">
        <f>IFERROR(VLOOKUP(A1763,管理亚马逊库存!A:Q,17,0),"")</f>
        <v>0</v>
      </c>
      <c r="E1763">
        <f>IFERROR(VLOOKUP(A1763,管理亚马逊库存!A:R,18,0),"")</f>
        <v>0</v>
      </c>
      <c r="F1763">
        <f t="shared" si="55"/>
        <v>0</v>
      </c>
      <c r="G1763" t="str">
        <f>IFERROR(VLOOKUP(A1763,预留库存!A:G,7,0),0)</f>
        <v>No</v>
      </c>
      <c r="H1763">
        <f>IFERROR(VLOOKUP(A1763,预留库存!A:H,8,0),0)</f>
        <v>0</v>
      </c>
      <c r="I1763">
        <f>IFERROR(VLOOKUP(A1763,预留库存!A:F,6,0),0)</f>
        <v>20.98</v>
      </c>
      <c r="J1763">
        <f>IFERROR(VLOOKUP(A1763,库龄!B:K,9,0),0)</f>
        <v>0</v>
      </c>
      <c r="K1763">
        <f>IFERROR(VLOOKUP(A1763,库龄!B:L,10,0),0)</f>
        <v>0</v>
      </c>
      <c r="L1763">
        <f>IFERROR(VLOOKUP(A1763,库龄!B:M,11,0),0)</f>
        <v>0</v>
      </c>
      <c r="M1763">
        <f>IFERROR(VLOOKUP(A1763,库龄!B:N,12,0),0)</f>
        <v>0</v>
      </c>
      <c r="N1763">
        <f t="shared" si="56"/>
        <v>0</v>
      </c>
    </row>
    <row r="1764" spans="1:14">
      <c r="A1764" s="3" t="s">
        <v>4577</v>
      </c>
      <c r="B1764">
        <f>IFERROR(VLOOKUP(A1764,管理亚马逊库存!A:K,11,0),"")</f>
        <v>6</v>
      </c>
      <c r="C1764">
        <f>IFERROR(VLOOKUP(A1764,管理亚马逊库存!A:L,12,0),"")</f>
        <v>0</v>
      </c>
      <c r="D1764">
        <f>IFERROR(VLOOKUP(A1764,管理亚马逊库存!A:Q,17,0),"")</f>
        <v>0</v>
      </c>
      <c r="E1764">
        <f>IFERROR(VLOOKUP(A1764,管理亚马逊库存!A:R,18,0),"")</f>
        <v>0</v>
      </c>
      <c r="F1764">
        <f t="shared" si="55"/>
        <v>0</v>
      </c>
      <c r="G1764" t="str">
        <f>IFERROR(VLOOKUP(A1764,预留库存!A:G,7,0),0)</f>
        <v>No</v>
      </c>
      <c r="H1764">
        <f>IFERROR(VLOOKUP(A1764,预留库存!A:H,8,0),0)</f>
        <v>0</v>
      </c>
      <c r="I1764">
        <f>IFERROR(VLOOKUP(A1764,预留库存!A:F,6,0),0)</f>
        <v>20.98</v>
      </c>
      <c r="J1764">
        <f>IFERROR(VLOOKUP(A1764,库龄!B:K,9,0),0)</f>
        <v>0</v>
      </c>
      <c r="K1764">
        <f>IFERROR(VLOOKUP(A1764,库龄!B:L,10,0),0)</f>
        <v>0</v>
      </c>
      <c r="L1764">
        <f>IFERROR(VLOOKUP(A1764,库龄!B:M,11,0),0)</f>
        <v>0</v>
      </c>
      <c r="M1764">
        <f>IFERROR(VLOOKUP(A1764,库龄!B:N,12,0),0)</f>
        <v>0</v>
      </c>
      <c r="N1764">
        <f t="shared" si="56"/>
        <v>0</v>
      </c>
    </row>
    <row r="1765" spans="1:14">
      <c r="A1765" s="3" t="s">
        <v>4578</v>
      </c>
      <c r="B1765">
        <f>IFERROR(VLOOKUP(A1765,管理亚马逊库存!A:K,11,0),"")</f>
        <v>11</v>
      </c>
      <c r="C1765">
        <f>IFERROR(VLOOKUP(A1765,管理亚马逊库存!A:L,12,0),"")</f>
        <v>0</v>
      </c>
      <c r="D1765">
        <f>IFERROR(VLOOKUP(A1765,管理亚马逊库存!A:Q,17,0),"")</f>
        <v>0</v>
      </c>
      <c r="E1765">
        <f>IFERROR(VLOOKUP(A1765,管理亚马逊库存!A:R,18,0),"")</f>
        <v>0</v>
      </c>
      <c r="F1765">
        <f t="shared" si="55"/>
        <v>0</v>
      </c>
      <c r="G1765" t="str">
        <f>IFERROR(VLOOKUP(A1765,预留库存!A:G,7,0),0)</f>
        <v>No</v>
      </c>
      <c r="H1765">
        <f>IFERROR(VLOOKUP(A1765,预留库存!A:H,8,0),0)</f>
        <v>0</v>
      </c>
      <c r="I1765">
        <f>IFERROR(VLOOKUP(A1765,预留库存!A:F,6,0),0)</f>
        <v>20.98</v>
      </c>
      <c r="J1765">
        <f>IFERROR(VLOOKUP(A1765,库龄!B:K,9,0),0)</f>
        <v>0</v>
      </c>
      <c r="K1765">
        <f>IFERROR(VLOOKUP(A1765,库龄!B:L,10,0),0)</f>
        <v>0</v>
      </c>
      <c r="L1765">
        <f>IFERROR(VLOOKUP(A1765,库龄!B:M,11,0),0)</f>
        <v>0</v>
      </c>
      <c r="M1765">
        <f>IFERROR(VLOOKUP(A1765,库龄!B:N,12,0),0)</f>
        <v>0</v>
      </c>
      <c r="N1765">
        <f t="shared" si="56"/>
        <v>0</v>
      </c>
    </row>
    <row r="1766" spans="1:14">
      <c r="A1766" s="3" t="s">
        <v>4579</v>
      </c>
      <c r="B1766">
        <f>IFERROR(VLOOKUP(A1766,管理亚马逊库存!A:K,11,0),"")</f>
        <v>15</v>
      </c>
      <c r="C1766">
        <f>IFERROR(VLOOKUP(A1766,管理亚马逊库存!A:L,12,0),"")</f>
        <v>0</v>
      </c>
      <c r="D1766">
        <f>IFERROR(VLOOKUP(A1766,管理亚马逊库存!A:Q,17,0),"")</f>
        <v>0</v>
      </c>
      <c r="E1766">
        <f>IFERROR(VLOOKUP(A1766,管理亚马逊库存!A:R,18,0),"")</f>
        <v>0</v>
      </c>
      <c r="F1766">
        <f t="shared" si="55"/>
        <v>0</v>
      </c>
      <c r="G1766" t="str">
        <f>IFERROR(VLOOKUP(A1766,预留库存!A:G,7,0),0)</f>
        <v>No</v>
      </c>
      <c r="H1766">
        <f>IFERROR(VLOOKUP(A1766,预留库存!A:H,8,0),0)</f>
        <v>0</v>
      </c>
      <c r="I1766">
        <f>IFERROR(VLOOKUP(A1766,预留库存!A:F,6,0),0)</f>
        <v>20.98</v>
      </c>
      <c r="J1766">
        <f>IFERROR(VLOOKUP(A1766,库龄!B:K,9,0),0)</f>
        <v>0</v>
      </c>
      <c r="K1766">
        <f>IFERROR(VLOOKUP(A1766,库龄!B:L,10,0),0)</f>
        <v>0</v>
      </c>
      <c r="L1766">
        <f>IFERROR(VLOOKUP(A1766,库龄!B:M,11,0),0)</f>
        <v>0</v>
      </c>
      <c r="M1766">
        <f>IFERROR(VLOOKUP(A1766,库龄!B:N,12,0),0)</f>
        <v>0</v>
      </c>
      <c r="N1766">
        <f t="shared" si="56"/>
        <v>0</v>
      </c>
    </row>
    <row r="1767" spans="1:14">
      <c r="A1767" s="3" t="s">
        <v>4580</v>
      </c>
      <c r="B1767">
        <f>IFERROR(VLOOKUP(A1767,管理亚马逊库存!A:K,11,0),"")</f>
        <v>13</v>
      </c>
      <c r="C1767">
        <f>IFERROR(VLOOKUP(A1767,管理亚马逊库存!A:L,12,0),"")</f>
        <v>0</v>
      </c>
      <c r="D1767">
        <f>IFERROR(VLOOKUP(A1767,管理亚马逊库存!A:Q,17,0),"")</f>
        <v>0</v>
      </c>
      <c r="E1767">
        <f>IFERROR(VLOOKUP(A1767,管理亚马逊库存!A:R,18,0),"")</f>
        <v>0</v>
      </c>
      <c r="F1767">
        <f t="shared" si="55"/>
        <v>0</v>
      </c>
      <c r="G1767" t="str">
        <f>IFERROR(VLOOKUP(A1767,预留库存!A:G,7,0),0)</f>
        <v>No</v>
      </c>
      <c r="H1767">
        <f>IFERROR(VLOOKUP(A1767,预留库存!A:H,8,0),0)</f>
        <v>0</v>
      </c>
      <c r="I1767">
        <f>IFERROR(VLOOKUP(A1767,预留库存!A:F,6,0),0)</f>
        <v>20.98</v>
      </c>
      <c r="J1767">
        <f>IFERROR(VLOOKUP(A1767,库龄!B:K,9,0),0)</f>
        <v>0</v>
      </c>
      <c r="K1767">
        <f>IFERROR(VLOOKUP(A1767,库龄!B:L,10,0),0)</f>
        <v>0</v>
      </c>
      <c r="L1767">
        <f>IFERROR(VLOOKUP(A1767,库龄!B:M,11,0),0)</f>
        <v>0</v>
      </c>
      <c r="M1767">
        <f>IFERROR(VLOOKUP(A1767,库龄!B:N,12,0),0)</f>
        <v>0</v>
      </c>
      <c r="N1767">
        <f t="shared" si="56"/>
        <v>0</v>
      </c>
    </row>
    <row r="1768" spans="1:14">
      <c r="A1768" s="3" t="s">
        <v>4581</v>
      </c>
      <c r="B1768">
        <f>IFERROR(VLOOKUP(A1768,管理亚马逊库存!A:K,11,0),"")</f>
        <v>6</v>
      </c>
      <c r="C1768">
        <f>IFERROR(VLOOKUP(A1768,管理亚马逊库存!A:L,12,0),"")</f>
        <v>0</v>
      </c>
      <c r="D1768">
        <f>IFERROR(VLOOKUP(A1768,管理亚马逊库存!A:Q,17,0),"")</f>
        <v>0</v>
      </c>
      <c r="E1768">
        <f>IFERROR(VLOOKUP(A1768,管理亚马逊库存!A:R,18,0),"")</f>
        <v>0</v>
      </c>
      <c r="F1768">
        <f t="shared" si="55"/>
        <v>0</v>
      </c>
      <c r="G1768" t="str">
        <f>IFERROR(VLOOKUP(A1768,预留库存!A:G,7,0),0)</f>
        <v>No</v>
      </c>
      <c r="H1768">
        <f>IFERROR(VLOOKUP(A1768,预留库存!A:H,8,0),0)</f>
        <v>0</v>
      </c>
      <c r="I1768">
        <f>IFERROR(VLOOKUP(A1768,预留库存!A:F,6,0),0)</f>
        <v>20.98</v>
      </c>
      <c r="J1768">
        <f>IFERROR(VLOOKUP(A1768,库龄!B:K,9,0),0)</f>
        <v>0</v>
      </c>
      <c r="K1768">
        <f>IFERROR(VLOOKUP(A1768,库龄!B:L,10,0),0)</f>
        <v>0</v>
      </c>
      <c r="L1768">
        <f>IFERROR(VLOOKUP(A1768,库龄!B:M,11,0),0)</f>
        <v>0</v>
      </c>
      <c r="M1768">
        <f>IFERROR(VLOOKUP(A1768,库龄!B:N,12,0),0)</f>
        <v>0</v>
      </c>
      <c r="N1768">
        <f t="shared" si="56"/>
        <v>0</v>
      </c>
    </row>
    <row r="1769" spans="1:14">
      <c r="A1769" s="3" t="s">
        <v>4582</v>
      </c>
      <c r="B1769">
        <f>IFERROR(VLOOKUP(A1769,管理亚马逊库存!A:K,11,0),"")</f>
        <v>12</v>
      </c>
      <c r="C1769">
        <f>IFERROR(VLOOKUP(A1769,管理亚马逊库存!A:L,12,0),"")</f>
        <v>0</v>
      </c>
      <c r="D1769">
        <f>IFERROR(VLOOKUP(A1769,管理亚马逊库存!A:Q,17,0),"")</f>
        <v>0</v>
      </c>
      <c r="E1769">
        <f>IFERROR(VLOOKUP(A1769,管理亚马逊库存!A:R,18,0),"")</f>
        <v>0</v>
      </c>
      <c r="F1769">
        <f t="shared" si="55"/>
        <v>0</v>
      </c>
      <c r="G1769" t="str">
        <f>IFERROR(VLOOKUP(A1769,预留库存!A:G,7,0),0)</f>
        <v>No</v>
      </c>
      <c r="H1769">
        <f>IFERROR(VLOOKUP(A1769,预留库存!A:H,8,0),0)</f>
        <v>0</v>
      </c>
      <c r="I1769">
        <f>IFERROR(VLOOKUP(A1769,预留库存!A:F,6,0),0)</f>
        <v>20.98</v>
      </c>
      <c r="J1769">
        <f>IFERROR(VLOOKUP(A1769,库龄!B:K,9,0),0)</f>
        <v>0</v>
      </c>
      <c r="K1769">
        <f>IFERROR(VLOOKUP(A1769,库龄!B:L,10,0),0)</f>
        <v>0</v>
      </c>
      <c r="L1769">
        <f>IFERROR(VLOOKUP(A1769,库龄!B:M,11,0),0)</f>
        <v>0</v>
      </c>
      <c r="M1769">
        <f>IFERROR(VLOOKUP(A1769,库龄!B:N,12,0),0)</f>
        <v>0</v>
      </c>
      <c r="N1769">
        <f t="shared" si="56"/>
        <v>0</v>
      </c>
    </row>
    <row r="1770" spans="1:14">
      <c r="A1770" s="3" t="s">
        <v>4583</v>
      </c>
      <c r="B1770">
        <f>IFERROR(VLOOKUP(A1770,管理亚马逊库存!A:K,11,0),"")</f>
        <v>6</v>
      </c>
      <c r="C1770">
        <f>IFERROR(VLOOKUP(A1770,管理亚马逊库存!A:L,12,0),"")</f>
        <v>0</v>
      </c>
      <c r="D1770">
        <f>IFERROR(VLOOKUP(A1770,管理亚马逊库存!A:Q,17,0),"")</f>
        <v>0</v>
      </c>
      <c r="E1770">
        <f>IFERROR(VLOOKUP(A1770,管理亚马逊库存!A:R,18,0),"")</f>
        <v>0</v>
      </c>
      <c r="F1770">
        <f t="shared" si="55"/>
        <v>0</v>
      </c>
      <c r="G1770" t="str">
        <f>IFERROR(VLOOKUP(A1770,预留库存!A:G,7,0),0)</f>
        <v>No</v>
      </c>
      <c r="H1770">
        <f>IFERROR(VLOOKUP(A1770,预留库存!A:H,8,0),0)</f>
        <v>0</v>
      </c>
      <c r="I1770">
        <f>IFERROR(VLOOKUP(A1770,预留库存!A:F,6,0),0)</f>
        <v>20.98</v>
      </c>
      <c r="J1770">
        <f>IFERROR(VLOOKUP(A1770,库龄!B:K,9,0),0)</f>
        <v>0</v>
      </c>
      <c r="K1770">
        <f>IFERROR(VLOOKUP(A1770,库龄!B:L,10,0),0)</f>
        <v>0</v>
      </c>
      <c r="L1770">
        <f>IFERROR(VLOOKUP(A1770,库龄!B:M,11,0),0)</f>
        <v>0</v>
      </c>
      <c r="M1770">
        <f>IFERROR(VLOOKUP(A1770,库龄!B:N,12,0),0)</f>
        <v>0</v>
      </c>
      <c r="N1770">
        <f t="shared" si="56"/>
        <v>0</v>
      </c>
    </row>
    <row r="1771" spans="1:14">
      <c r="A1771" s="3" t="s">
        <v>4584</v>
      </c>
      <c r="B1771">
        <f>IFERROR(VLOOKUP(A1771,管理亚马逊库存!A:K,11,0),"")</f>
        <v>5</v>
      </c>
      <c r="C1771">
        <f>IFERROR(VLOOKUP(A1771,管理亚马逊库存!A:L,12,0),"")</f>
        <v>0</v>
      </c>
      <c r="D1771">
        <f>IFERROR(VLOOKUP(A1771,管理亚马逊库存!A:Q,17,0),"")</f>
        <v>0</v>
      </c>
      <c r="E1771">
        <f>IFERROR(VLOOKUP(A1771,管理亚马逊库存!A:R,18,0),"")</f>
        <v>0</v>
      </c>
      <c r="F1771">
        <f t="shared" si="55"/>
        <v>0</v>
      </c>
      <c r="G1771" t="str">
        <f>IFERROR(VLOOKUP(A1771,预留库存!A:G,7,0),0)</f>
        <v>No</v>
      </c>
      <c r="H1771">
        <f>IFERROR(VLOOKUP(A1771,预留库存!A:H,8,0),0)</f>
        <v>0</v>
      </c>
      <c r="I1771">
        <f>IFERROR(VLOOKUP(A1771,预留库存!A:F,6,0),0)</f>
        <v>20.98</v>
      </c>
      <c r="J1771">
        <f>IFERROR(VLOOKUP(A1771,库龄!B:K,9,0),0)</f>
        <v>0</v>
      </c>
      <c r="K1771">
        <f>IFERROR(VLOOKUP(A1771,库龄!B:L,10,0),0)</f>
        <v>0</v>
      </c>
      <c r="L1771">
        <f>IFERROR(VLOOKUP(A1771,库龄!B:M,11,0),0)</f>
        <v>0</v>
      </c>
      <c r="M1771">
        <f>IFERROR(VLOOKUP(A1771,库龄!B:N,12,0),0)</f>
        <v>0</v>
      </c>
      <c r="N1771">
        <f t="shared" si="56"/>
        <v>0</v>
      </c>
    </row>
    <row r="1772" spans="1:14">
      <c r="A1772" s="3" t="s">
        <v>4585</v>
      </c>
      <c r="B1772">
        <f>IFERROR(VLOOKUP(A1772,管理亚马逊库存!A:K,11,0),"")</f>
        <v>9</v>
      </c>
      <c r="C1772">
        <f>IFERROR(VLOOKUP(A1772,管理亚马逊库存!A:L,12,0),"")</f>
        <v>0</v>
      </c>
      <c r="D1772">
        <f>IFERROR(VLOOKUP(A1772,管理亚马逊库存!A:Q,17,0),"")</f>
        <v>0</v>
      </c>
      <c r="E1772">
        <f>IFERROR(VLOOKUP(A1772,管理亚马逊库存!A:R,18,0),"")</f>
        <v>0</v>
      </c>
      <c r="F1772">
        <f t="shared" si="55"/>
        <v>0</v>
      </c>
      <c r="G1772" t="str">
        <f>IFERROR(VLOOKUP(A1772,预留库存!A:G,7,0),0)</f>
        <v>No</v>
      </c>
      <c r="H1772">
        <f>IFERROR(VLOOKUP(A1772,预留库存!A:H,8,0),0)</f>
        <v>0</v>
      </c>
      <c r="I1772">
        <f>IFERROR(VLOOKUP(A1772,预留库存!A:F,6,0),0)</f>
        <v>20.98</v>
      </c>
      <c r="J1772">
        <f>IFERROR(VLOOKUP(A1772,库龄!B:K,9,0),0)</f>
        <v>0</v>
      </c>
      <c r="K1772">
        <f>IFERROR(VLOOKUP(A1772,库龄!B:L,10,0),0)</f>
        <v>0</v>
      </c>
      <c r="L1772">
        <f>IFERROR(VLOOKUP(A1772,库龄!B:M,11,0),0)</f>
        <v>0</v>
      </c>
      <c r="M1772">
        <f>IFERROR(VLOOKUP(A1772,库龄!B:N,12,0),0)</f>
        <v>0</v>
      </c>
      <c r="N1772">
        <f t="shared" si="56"/>
        <v>0</v>
      </c>
    </row>
    <row r="1773" spans="1:14">
      <c r="A1773" s="3" t="s">
        <v>4586</v>
      </c>
      <c r="B1773">
        <f>IFERROR(VLOOKUP(A1773,管理亚马逊库存!A:K,11,0),"")</f>
        <v>5</v>
      </c>
      <c r="C1773">
        <f>IFERROR(VLOOKUP(A1773,管理亚马逊库存!A:L,12,0),"")</f>
        <v>0</v>
      </c>
      <c r="D1773">
        <f>IFERROR(VLOOKUP(A1773,管理亚马逊库存!A:Q,17,0),"")</f>
        <v>0</v>
      </c>
      <c r="E1773">
        <f>IFERROR(VLOOKUP(A1773,管理亚马逊库存!A:R,18,0),"")</f>
        <v>0</v>
      </c>
      <c r="F1773">
        <f t="shared" si="55"/>
        <v>0</v>
      </c>
      <c r="G1773" t="str">
        <f>IFERROR(VLOOKUP(A1773,预留库存!A:G,7,0),0)</f>
        <v>No</v>
      </c>
      <c r="H1773">
        <f>IFERROR(VLOOKUP(A1773,预留库存!A:H,8,0),0)</f>
        <v>0</v>
      </c>
      <c r="I1773">
        <f>IFERROR(VLOOKUP(A1773,预留库存!A:F,6,0),0)</f>
        <v>20.98</v>
      </c>
      <c r="J1773">
        <f>IFERROR(VLOOKUP(A1773,库龄!B:K,9,0),0)</f>
        <v>0</v>
      </c>
      <c r="K1773">
        <f>IFERROR(VLOOKUP(A1773,库龄!B:L,10,0),0)</f>
        <v>0</v>
      </c>
      <c r="L1773">
        <f>IFERROR(VLOOKUP(A1773,库龄!B:M,11,0),0)</f>
        <v>0</v>
      </c>
      <c r="M1773">
        <f>IFERROR(VLOOKUP(A1773,库龄!B:N,12,0),0)</f>
        <v>0</v>
      </c>
      <c r="N1773">
        <f t="shared" si="56"/>
        <v>0</v>
      </c>
    </row>
    <row r="1774" spans="1:14">
      <c r="A1774" s="3" t="s">
        <v>4587</v>
      </c>
      <c r="B1774">
        <f>IFERROR(VLOOKUP(A1774,管理亚马逊库存!A:K,11,0),"")</f>
        <v>4</v>
      </c>
      <c r="C1774">
        <f>IFERROR(VLOOKUP(A1774,管理亚马逊库存!A:L,12,0),"")</f>
        <v>0</v>
      </c>
      <c r="D1774">
        <f>IFERROR(VLOOKUP(A1774,管理亚马逊库存!A:Q,17,0),"")</f>
        <v>0</v>
      </c>
      <c r="E1774">
        <f>IFERROR(VLOOKUP(A1774,管理亚马逊库存!A:R,18,0),"")</f>
        <v>0</v>
      </c>
      <c r="F1774">
        <f t="shared" si="55"/>
        <v>0</v>
      </c>
      <c r="G1774" t="str">
        <f>IFERROR(VLOOKUP(A1774,预留库存!A:G,7,0),0)</f>
        <v>No</v>
      </c>
      <c r="H1774">
        <f>IFERROR(VLOOKUP(A1774,预留库存!A:H,8,0),0)</f>
        <v>0</v>
      </c>
      <c r="I1774">
        <f>IFERROR(VLOOKUP(A1774,预留库存!A:F,6,0),0)</f>
        <v>20.98</v>
      </c>
      <c r="J1774">
        <f>IFERROR(VLOOKUP(A1774,库龄!B:K,9,0),0)</f>
        <v>0</v>
      </c>
      <c r="K1774">
        <f>IFERROR(VLOOKUP(A1774,库龄!B:L,10,0),0)</f>
        <v>0</v>
      </c>
      <c r="L1774">
        <f>IFERROR(VLOOKUP(A1774,库龄!B:M,11,0),0)</f>
        <v>0</v>
      </c>
      <c r="M1774">
        <f>IFERROR(VLOOKUP(A1774,库龄!B:N,12,0),0)</f>
        <v>0</v>
      </c>
      <c r="N1774">
        <f t="shared" si="56"/>
        <v>0</v>
      </c>
    </row>
    <row r="1775" spans="1:14">
      <c r="A1775" s="3" t="s">
        <v>4588</v>
      </c>
      <c r="B1775">
        <f>IFERROR(VLOOKUP(A1775,管理亚马逊库存!A:K,11,0),"")</f>
        <v>14</v>
      </c>
      <c r="C1775">
        <f>IFERROR(VLOOKUP(A1775,管理亚马逊库存!A:L,12,0),"")</f>
        <v>0</v>
      </c>
      <c r="D1775">
        <f>IFERROR(VLOOKUP(A1775,管理亚马逊库存!A:Q,17,0),"")</f>
        <v>0</v>
      </c>
      <c r="E1775">
        <f>IFERROR(VLOOKUP(A1775,管理亚马逊库存!A:R,18,0),"")</f>
        <v>0</v>
      </c>
      <c r="F1775">
        <f t="shared" si="55"/>
        <v>0</v>
      </c>
      <c r="G1775" t="str">
        <f>IFERROR(VLOOKUP(A1775,预留库存!A:G,7,0),0)</f>
        <v>No</v>
      </c>
      <c r="H1775">
        <f>IFERROR(VLOOKUP(A1775,预留库存!A:H,8,0),0)</f>
        <v>0</v>
      </c>
      <c r="I1775">
        <f>IFERROR(VLOOKUP(A1775,预留库存!A:F,6,0),0)</f>
        <v>20.98</v>
      </c>
      <c r="J1775">
        <f>IFERROR(VLOOKUP(A1775,库龄!B:K,9,0),0)</f>
        <v>0</v>
      </c>
      <c r="K1775">
        <f>IFERROR(VLOOKUP(A1775,库龄!B:L,10,0),0)</f>
        <v>0</v>
      </c>
      <c r="L1775">
        <f>IFERROR(VLOOKUP(A1775,库龄!B:M,11,0),0)</f>
        <v>0</v>
      </c>
      <c r="M1775">
        <f>IFERROR(VLOOKUP(A1775,库龄!B:N,12,0),0)</f>
        <v>0</v>
      </c>
      <c r="N1775">
        <f t="shared" si="56"/>
        <v>0</v>
      </c>
    </row>
    <row r="1776" spans="1:14">
      <c r="A1776" s="3" t="s">
        <v>4589</v>
      </c>
      <c r="B1776">
        <f>IFERROR(VLOOKUP(A1776,管理亚马逊库存!A:K,11,0),"")</f>
        <v>7</v>
      </c>
      <c r="C1776">
        <f>IFERROR(VLOOKUP(A1776,管理亚马逊库存!A:L,12,0),"")</f>
        <v>0</v>
      </c>
      <c r="D1776">
        <f>IFERROR(VLOOKUP(A1776,管理亚马逊库存!A:Q,17,0),"")</f>
        <v>0</v>
      </c>
      <c r="E1776">
        <f>IFERROR(VLOOKUP(A1776,管理亚马逊库存!A:R,18,0),"")</f>
        <v>0</v>
      </c>
      <c r="F1776">
        <f t="shared" si="55"/>
        <v>0</v>
      </c>
      <c r="G1776" t="str">
        <f>IFERROR(VLOOKUP(A1776,预留库存!A:G,7,0),0)</f>
        <v>No</v>
      </c>
      <c r="H1776">
        <f>IFERROR(VLOOKUP(A1776,预留库存!A:H,8,0),0)</f>
        <v>0</v>
      </c>
      <c r="I1776">
        <f>IFERROR(VLOOKUP(A1776,预留库存!A:F,6,0),0)</f>
        <v>20.98</v>
      </c>
      <c r="J1776">
        <f>IFERROR(VLOOKUP(A1776,库龄!B:K,9,0),0)</f>
        <v>1</v>
      </c>
      <c r="K1776">
        <f>IFERROR(VLOOKUP(A1776,库龄!B:L,10,0),0)</f>
        <v>0</v>
      </c>
      <c r="L1776">
        <f>IFERROR(VLOOKUP(A1776,库龄!B:M,11,0),0)</f>
        <v>0</v>
      </c>
      <c r="M1776">
        <f>IFERROR(VLOOKUP(A1776,库龄!B:N,12,0),0)</f>
        <v>0</v>
      </c>
      <c r="N1776">
        <f t="shared" si="56"/>
        <v>1</v>
      </c>
    </row>
    <row r="1777" spans="1:14">
      <c r="A1777" s="3" t="s">
        <v>4590</v>
      </c>
      <c r="B1777">
        <f>IFERROR(VLOOKUP(A1777,管理亚马逊库存!A:K,11,0),"")</f>
        <v>4</v>
      </c>
      <c r="C1777">
        <f>IFERROR(VLOOKUP(A1777,管理亚马逊库存!A:L,12,0),"")</f>
        <v>0</v>
      </c>
      <c r="D1777">
        <f>IFERROR(VLOOKUP(A1777,管理亚马逊库存!A:Q,17,0),"")</f>
        <v>0</v>
      </c>
      <c r="E1777">
        <f>IFERROR(VLOOKUP(A1777,管理亚马逊库存!A:R,18,0),"")</f>
        <v>0</v>
      </c>
      <c r="F1777">
        <f t="shared" si="55"/>
        <v>0</v>
      </c>
      <c r="G1777" t="str">
        <f>IFERROR(VLOOKUP(A1777,预留库存!A:G,7,0),0)</f>
        <v>No</v>
      </c>
      <c r="H1777">
        <f>IFERROR(VLOOKUP(A1777,预留库存!A:H,8,0),0)</f>
        <v>0</v>
      </c>
      <c r="I1777">
        <f>IFERROR(VLOOKUP(A1777,预留库存!A:F,6,0),0)</f>
        <v>20.98</v>
      </c>
      <c r="J1777">
        <f>IFERROR(VLOOKUP(A1777,库龄!B:K,9,0),0)</f>
        <v>0</v>
      </c>
      <c r="K1777">
        <f>IFERROR(VLOOKUP(A1777,库龄!B:L,10,0),0)</f>
        <v>0</v>
      </c>
      <c r="L1777">
        <f>IFERROR(VLOOKUP(A1777,库龄!B:M,11,0),0)</f>
        <v>0</v>
      </c>
      <c r="M1777">
        <f>IFERROR(VLOOKUP(A1777,库龄!B:N,12,0),0)</f>
        <v>0</v>
      </c>
      <c r="N1777">
        <f t="shared" si="56"/>
        <v>0</v>
      </c>
    </row>
    <row r="1778" spans="1:14">
      <c r="A1778" s="3" t="s">
        <v>4591</v>
      </c>
      <c r="B1778">
        <f>IFERROR(VLOOKUP(A1778,管理亚马逊库存!A:K,11,0),"")</f>
        <v>0</v>
      </c>
      <c r="C1778">
        <f>IFERROR(VLOOKUP(A1778,管理亚马逊库存!A:L,12,0),"")</f>
        <v>0</v>
      </c>
      <c r="D1778">
        <f>IFERROR(VLOOKUP(A1778,管理亚马逊库存!A:Q,17,0),"")</f>
        <v>0</v>
      </c>
      <c r="E1778">
        <f>IFERROR(VLOOKUP(A1778,管理亚马逊库存!A:R,18,0),"")</f>
        <v>0</v>
      </c>
      <c r="F1778">
        <f t="shared" si="55"/>
        <v>0</v>
      </c>
      <c r="G1778" t="str">
        <f>IFERROR(VLOOKUP(A1778,预留库存!A:G,7,0),0)</f>
        <v>No</v>
      </c>
      <c r="H1778">
        <f>IFERROR(VLOOKUP(A1778,预留库存!A:H,8,0),0)</f>
        <v>0</v>
      </c>
      <c r="I1778">
        <f>IFERROR(VLOOKUP(A1778,预留库存!A:F,6,0),0)</f>
        <v>22.98</v>
      </c>
      <c r="J1778">
        <f>IFERROR(VLOOKUP(A1778,库龄!B:K,9,0),0)</f>
        <v>0</v>
      </c>
      <c r="K1778">
        <f>IFERROR(VLOOKUP(A1778,库龄!B:L,10,0),0)</f>
        <v>0</v>
      </c>
      <c r="L1778">
        <f>IFERROR(VLOOKUP(A1778,库龄!B:M,11,0),0)</f>
        <v>0</v>
      </c>
      <c r="M1778">
        <f>IFERROR(VLOOKUP(A1778,库龄!B:N,12,0),0)</f>
        <v>0</v>
      </c>
      <c r="N1778">
        <f t="shared" si="56"/>
        <v>0</v>
      </c>
    </row>
    <row r="1779" spans="1:14">
      <c r="A1779" s="3" t="s">
        <v>4593</v>
      </c>
      <c r="B1779">
        <f>IFERROR(VLOOKUP(A1779,管理亚马逊库存!A:K,11,0),"")</f>
        <v>11</v>
      </c>
      <c r="C1779">
        <f>IFERROR(VLOOKUP(A1779,管理亚马逊库存!A:L,12,0),"")</f>
        <v>0</v>
      </c>
      <c r="D1779">
        <f>IFERROR(VLOOKUP(A1779,管理亚马逊库存!A:Q,17,0),"")</f>
        <v>0</v>
      </c>
      <c r="E1779">
        <f>IFERROR(VLOOKUP(A1779,管理亚马逊库存!A:R,18,0),"")</f>
        <v>0</v>
      </c>
      <c r="F1779">
        <f t="shared" si="55"/>
        <v>0</v>
      </c>
      <c r="G1779" t="str">
        <f>IFERROR(VLOOKUP(A1779,预留库存!A:G,7,0),0)</f>
        <v>No</v>
      </c>
      <c r="H1779">
        <f>IFERROR(VLOOKUP(A1779,预留库存!A:H,8,0),0)</f>
        <v>0</v>
      </c>
      <c r="I1779">
        <f>IFERROR(VLOOKUP(A1779,预留库存!A:F,6,0),0)</f>
        <v>22.98</v>
      </c>
      <c r="J1779">
        <f>IFERROR(VLOOKUP(A1779,库龄!B:K,9,0),0)</f>
        <v>0</v>
      </c>
      <c r="K1779">
        <f>IFERROR(VLOOKUP(A1779,库龄!B:L,10,0),0)</f>
        <v>0</v>
      </c>
      <c r="L1779">
        <f>IFERROR(VLOOKUP(A1779,库龄!B:M,11,0),0)</f>
        <v>0</v>
      </c>
      <c r="M1779">
        <f>IFERROR(VLOOKUP(A1779,库龄!B:N,12,0),0)</f>
        <v>0</v>
      </c>
      <c r="N1779">
        <f t="shared" si="56"/>
        <v>0</v>
      </c>
    </row>
    <row r="1780" spans="1:14">
      <c r="A1780" s="3" t="s">
        <v>4595</v>
      </c>
      <c r="B1780">
        <f>IFERROR(VLOOKUP(A1780,管理亚马逊库存!A:K,11,0),"")</f>
        <v>0</v>
      </c>
      <c r="C1780">
        <f>IFERROR(VLOOKUP(A1780,管理亚马逊库存!A:L,12,0),"")</f>
        <v>0</v>
      </c>
      <c r="D1780">
        <f>IFERROR(VLOOKUP(A1780,管理亚马逊库存!A:Q,17,0),"")</f>
        <v>0</v>
      </c>
      <c r="E1780">
        <f>IFERROR(VLOOKUP(A1780,管理亚马逊库存!A:R,18,0),"")</f>
        <v>0</v>
      </c>
      <c r="F1780">
        <f t="shared" si="55"/>
        <v>0</v>
      </c>
      <c r="G1780" t="str">
        <f>IFERROR(VLOOKUP(A1780,预留库存!A:G,7,0),0)</f>
        <v>No</v>
      </c>
      <c r="H1780">
        <f>IFERROR(VLOOKUP(A1780,预留库存!A:H,8,0),0)</f>
        <v>0</v>
      </c>
      <c r="I1780">
        <f>IFERROR(VLOOKUP(A1780,预留库存!A:F,6,0),0)</f>
        <v>22.98</v>
      </c>
      <c r="J1780">
        <f>IFERROR(VLOOKUP(A1780,库龄!B:K,9,0),0)</f>
        <v>0</v>
      </c>
      <c r="K1780">
        <f>IFERROR(VLOOKUP(A1780,库龄!B:L,10,0),0)</f>
        <v>0</v>
      </c>
      <c r="L1780">
        <f>IFERROR(VLOOKUP(A1780,库龄!B:M,11,0),0)</f>
        <v>0</v>
      </c>
      <c r="M1780">
        <f>IFERROR(VLOOKUP(A1780,库龄!B:N,12,0),0)</f>
        <v>0</v>
      </c>
      <c r="N1780">
        <f t="shared" si="56"/>
        <v>0</v>
      </c>
    </row>
    <row r="1781" spans="1:14">
      <c r="A1781" s="3" t="s">
        <v>4597</v>
      </c>
      <c r="B1781">
        <f>IFERROR(VLOOKUP(A1781,管理亚马逊库存!A:K,11,0),"")</f>
        <v>0</v>
      </c>
      <c r="C1781">
        <f>IFERROR(VLOOKUP(A1781,管理亚马逊库存!A:L,12,0),"")</f>
        <v>0</v>
      </c>
      <c r="D1781">
        <f>IFERROR(VLOOKUP(A1781,管理亚马逊库存!A:Q,17,0),"")</f>
        <v>0</v>
      </c>
      <c r="E1781">
        <f>IFERROR(VLOOKUP(A1781,管理亚马逊库存!A:R,18,0),"")</f>
        <v>0</v>
      </c>
      <c r="F1781">
        <f t="shared" si="55"/>
        <v>0</v>
      </c>
      <c r="G1781" t="str">
        <f>IFERROR(VLOOKUP(A1781,预留库存!A:G,7,0),0)</f>
        <v>No</v>
      </c>
      <c r="H1781">
        <f>IFERROR(VLOOKUP(A1781,预留库存!A:H,8,0),0)</f>
        <v>0</v>
      </c>
      <c r="I1781">
        <f>IFERROR(VLOOKUP(A1781,预留库存!A:F,6,0),0)</f>
        <v>22.98</v>
      </c>
      <c r="J1781">
        <f>IFERROR(VLOOKUP(A1781,库龄!B:K,9,0),0)</f>
        <v>0</v>
      </c>
      <c r="K1781">
        <f>IFERROR(VLOOKUP(A1781,库龄!B:L,10,0),0)</f>
        <v>0</v>
      </c>
      <c r="L1781">
        <f>IFERROR(VLOOKUP(A1781,库龄!B:M,11,0),0)</f>
        <v>0</v>
      </c>
      <c r="M1781">
        <f>IFERROR(VLOOKUP(A1781,库龄!B:N,12,0),0)</f>
        <v>0</v>
      </c>
      <c r="N1781">
        <f t="shared" si="56"/>
        <v>0</v>
      </c>
    </row>
    <row r="1782" spans="1:14">
      <c r="A1782" s="3" t="s">
        <v>4599</v>
      </c>
      <c r="B1782">
        <f>IFERROR(VLOOKUP(A1782,管理亚马逊库存!A:K,11,0),"")</f>
        <v>0</v>
      </c>
      <c r="C1782">
        <f>IFERROR(VLOOKUP(A1782,管理亚马逊库存!A:L,12,0),"")</f>
        <v>0</v>
      </c>
      <c r="D1782">
        <f>IFERROR(VLOOKUP(A1782,管理亚马逊库存!A:Q,17,0),"")</f>
        <v>0</v>
      </c>
      <c r="E1782">
        <f>IFERROR(VLOOKUP(A1782,管理亚马逊库存!A:R,18,0),"")</f>
        <v>0</v>
      </c>
      <c r="F1782">
        <f t="shared" si="55"/>
        <v>0</v>
      </c>
      <c r="G1782" t="str">
        <f>IFERROR(VLOOKUP(A1782,预留库存!A:G,7,0),0)</f>
        <v>No</v>
      </c>
      <c r="H1782">
        <f>IFERROR(VLOOKUP(A1782,预留库存!A:H,8,0),0)</f>
        <v>0</v>
      </c>
      <c r="I1782">
        <f>IFERROR(VLOOKUP(A1782,预留库存!A:F,6,0),0)</f>
        <v>22.98</v>
      </c>
      <c r="J1782">
        <f>IFERROR(VLOOKUP(A1782,库龄!B:K,9,0),0)</f>
        <v>0</v>
      </c>
      <c r="K1782">
        <f>IFERROR(VLOOKUP(A1782,库龄!B:L,10,0),0)</f>
        <v>0</v>
      </c>
      <c r="L1782">
        <f>IFERROR(VLOOKUP(A1782,库龄!B:M,11,0),0)</f>
        <v>0</v>
      </c>
      <c r="M1782">
        <f>IFERROR(VLOOKUP(A1782,库龄!B:N,12,0),0)</f>
        <v>0</v>
      </c>
      <c r="N1782">
        <f t="shared" si="56"/>
        <v>0</v>
      </c>
    </row>
    <row r="1783" spans="1:14">
      <c r="A1783" s="3" t="s">
        <v>4601</v>
      </c>
      <c r="B1783">
        <f>IFERROR(VLOOKUP(A1783,管理亚马逊库存!A:K,11,0),"")</f>
        <v>9</v>
      </c>
      <c r="C1783">
        <f>IFERROR(VLOOKUP(A1783,管理亚马逊库存!A:L,12,0),"")</f>
        <v>0</v>
      </c>
      <c r="D1783">
        <f>IFERROR(VLOOKUP(A1783,管理亚马逊库存!A:Q,17,0),"")</f>
        <v>0</v>
      </c>
      <c r="E1783">
        <f>IFERROR(VLOOKUP(A1783,管理亚马逊库存!A:R,18,0),"")</f>
        <v>0</v>
      </c>
      <c r="F1783">
        <f t="shared" si="55"/>
        <v>0</v>
      </c>
      <c r="G1783" t="str">
        <f>IFERROR(VLOOKUP(A1783,预留库存!A:G,7,0),0)</f>
        <v>No</v>
      </c>
      <c r="H1783">
        <f>IFERROR(VLOOKUP(A1783,预留库存!A:H,8,0),0)</f>
        <v>0</v>
      </c>
      <c r="I1783">
        <f>IFERROR(VLOOKUP(A1783,预留库存!A:F,6,0),0)</f>
        <v>22.98</v>
      </c>
      <c r="J1783">
        <f>IFERROR(VLOOKUP(A1783,库龄!B:K,9,0),0)</f>
        <v>0</v>
      </c>
      <c r="K1783">
        <f>IFERROR(VLOOKUP(A1783,库龄!B:L,10,0),0)</f>
        <v>0</v>
      </c>
      <c r="L1783">
        <f>IFERROR(VLOOKUP(A1783,库龄!B:M,11,0),0)</f>
        <v>0</v>
      </c>
      <c r="M1783">
        <f>IFERROR(VLOOKUP(A1783,库龄!B:N,12,0),0)</f>
        <v>0</v>
      </c>
      <c r="N1783">
        <f t="shared" si="56"/>
        <v>0</v>
      </c>
    </row>
    <row r="1784" spans="1:14">
      <c r="A1784" s="3" t="s">
        <v>4603</v>
      </c>
      <c r="B1784">
        <f>IFERROR(VLOOKUP(A1784,管理亚马逊库存!A:K,11,0),"")</f>
        <v>0</v>
      </c>
      <c r="C1784">
        <f>IFERROR(VLOOKUP(A1784,管理亚马逊库存!A:L,12,0),"")</f>
        <v>0</v>
      </c>
      <c r="D1784">
        <f>IFERROR(VLOOKUP(A1784,管理亚马逊库存!A:Q,17,0),"")</f>
        <v>0</v>
      </c>
      <c r="E1784">
        <f>IFERROR(VLOOKUP(A1784,管理亚马逊库存!A:R,18,0),"")</f>
        <v>0</v>
      </c>
      <c r="F1784">
        <f t="shared" si="55"/>
        <v>0</v>
      </c>
      <c r="G1784" t="str">
        <f>IFERROR(VLOOKUP(A1784,预留库存!A:G,7,0),0)</f>
        <v>No</v>
      </c>
      <c r="H1784">
        <f>IFERROR(VLOOKUP(A1784,预留库存!A:H,8,0),0)</f>
        <v>0</v>
      </c>
      <c r="I1784">
        <f>IFERROR(VLOOKUP(A1784,预留库存!A:F,6,0),0)</f>
        <v>22.98</v>
      </c>
      <c r="J1784">
        <f>IFERROR(VLOOKUP(A1784,库龄!B:K,9,0),0)</f>
        <v>0</v>
      </c>
      <c r="K1784">
        <f>IFERROR(VLOOKUP(A1784,库龄!B:L,10,0),0)</f>
        <v>0</v>
      </c>
      <c r="L1784">
        <f>IFERROR(VLOOKUP(A1784,库龄!B:M,11,0),0)</f>
        <v>0</v>
      </c>
      <c r="M1784">
        <f>IFERROR(VLOOKUP(A1784,库龄!B:N,12,0),0)</f>
        <v>0</v>
      </c>
      <c r="N1784">
        <f t="shared" si="56"/>
        <v>0</v>
      </c>
    </row>
    <row r="1785" spans="1:14">
      <c r="A1785" s="3" t="s">
        <v>4605</v>
      </c>
      <c r="B1785">
        <f>IFERROR(VLOOKUP(A1785,管理亚马逊库存!A:K,11,0),"")</f>
        <v>0</v>
      </c>
      <c r="C1785">
        <f>IFERROR(VLOOKUP(A1785,管理亚马逊库存!A:L,12,0),"")</f>
        <v>0</v>
      </c>
      <c r="D1785">
        <f>IFERROR(VLOOKUP(A1785,管理亚马逊库存!A:Q,17,0),"")</f>
        <v>0</v>
      </c>
      <c r="E1785">
        <f>IFERROR(VLOOKUP(A1785,管理亚马逊库存!A:R,18,0),"")</f>
        <v>0</v>
      </c>
      <c r="F1785">
        <f t="shared" si="55"/>
        <v>0</v>
      </c>
      <c r="G1785" t="str">
        <f>IFERROR(VLOOKUP(A1785,预留库存!A:G,7,0),0)</f>
        <v>No</v>
      </c>
      <c r="H1785">
        <f>IFERROR(VLOOKUP(A1785,预留库存!A:H,8,0),0)</f>
        <v>0</v>
      </c>
      <c r="I1785">
        <f>IFERROR(VLOOKUP(A1785,预留库存!A:F,6,0),0)</f>
        <v>22.98</v>
      </c>
      <c r="J1785">
        <f>IFERROR(VLOOKUP(A1785,库龄!B:K,9,0),0)</f>
        <v>0</v>
      </c>
      <c r="K1785">
        <f>IFERROR(VLOOKUP(A1785,库龄!B:L,10,0),0)</f>
        <v>0</v>
      </c>
      <c r="L1785">
        <f>IFERROR(VLOOKUP(A1785,库龄!B:M,11,0),0)</f>
        <v>0</v>
      </c>
      <c r="M1785">
        <f>IFERROR(VLOOKUP(A1785,库龄!B:N,12,0),0)</f>
        <v>0</v>
      </c>
      <c r="N1785">
        <f t="shared" si="56"/>
        <v>0</v>
      </c>
    </row>
    <row r="1786" spans="1:14">
      <c r="A1786" s="3" t="s">
        <v>4607</v>
      </c>
      <c r="B1786">
        <f>IFERROR(VLOOKUP(A1786,管理亚马逊库存!A:K,11,0),"")</f>
        <v>0</v>
      </c>
      <c r="C1786">
        <f>IFERROR(VLOOKUP(A1786,管理亚马逊库存!A:L,12,0),"")</f>
        <v>0</v>
      </c>
      <c r="D1786">
        <f>IFERROR(VLOOKUP(A1786,管理亚马逊库存!A:Q,17,0),"")</f>
        <v>0</v>
      </c>
      <c r="E1786">
        <f>IFERROR(VLOOKUP(A1786,管理亚马逊库存!A:R,18,0),"")</f>
        <v>0</v>
      </c>
      <c r="F1786">
        <f t="shared" si="55"/>
        <v>0</v>
      </c>
      <c r="G1786" t="str">
        <f>IFERROR(VLOOKUP(A1786,预留库存!A:G,7,0),0)</f>
        <v>No</v>
      </c>
      <c r="H1786">
        <f>IFERROR(VLOOKUP(A1786,预留库存!A:H,8,0),0)</f>
        <v>0</v>
      </c>
      <c r="I1786">
        <f>IFERROR(VLOOKUP(A1786,预留库存!A:F,6,0),0)</f>
        <v>22.98</v>
      </c>
      <c r="J1786">
        <f>IFERROR(VLOOKUP(A1786,库龄!B:K,9,0),0)</f>
        <v>0</v>
      </c>
      <c r="K1786">
        <f>IFERROR(VLOOKUP(A1786,库龄!B:L,10,0),0)</f>
        <v>0</v>
      </c>
      <c r="L1786">
        <f>IFERROR(VLOOKUP(A1786,库龄!B:M,11,0),0)</f>
        <v>0</v>
      </c>
      <c r="M1786">
        <f>IFERROR(VLOOKUP(A1786,库龄!B:N,12,0),0)</f>
        <v>0</v>
      </c>
      <c r="N1786">
        <f t="shared" si="56"/>
        <v>0</v>
      </c>
    </row>
    <row r="1787" spans="1:14">
      <c r="A1787" s="3" t="s">
        <v>4609</v>
      </c>
      <c r="B1787">
        <f>IFERROR(VLOOKUP(A1787,管理亚马逊库存!A:K,11,0),"")</f>
        <v>7</v>
      </c>
      <c r="C1787">
        <f>IFERROR(VLOOKUP(A1787,管理亚马逊库存!A:L,12,0),"")</f>
        <v>0</v>
      </c>
      <c r="D1787">
        <f>IFERROR(VLOOKUP(A1787,管理亚马逊库存!A:Q,17,0),"")</f>
        <v>0</v>
      </c>
      <c r="E1787">
        <f>IFERROR(VLOOKUP(A1787,管理亚马逊库存!A:R,18,0),"")</f>
        <v>0</v>
      </c>
      <c r="F1787">
        <f t="shared" si="55"/>
        <v>0</v>
      </c>
      <c r="G1787" t="str">
        <f>IFERROR(VLOOKUP(A1787,预留库存!A:G,7,0),0)</f>
        <v>No</v>
      </c>
      <c r="H1787">
        <f>IFERROR(VLOOKUP(A1787,预留库存!A:H,8,0),0)</f>
        <v>0</v>
      </c>
      <c r="I1787">
        <f>IFERROR(VLOOKUP(A1787,预留库存!A:F,6,0),0)</f>
        <v>22.98</v>
      </c>
      <c r="J1787">
        <f>IFERROR(VLOOKUP(A1787,库龄!B:K,9,0),0)</f>
        <v>0</v>
      </c>
      <c r="K1787">
        <f>IFERROR(VLOOKUP(A1787,库龄!B:L,10,0),0)</f>
        <v>0</v>
      </c>
      <c r="L1787">
        <f>IFERROR(VLOOKUP(A1787,库龄!B:M,11,0),0)</f>
        <v>0</v>
      </c>
      <c r="M1787">
        <f>IFERROR(VLOOKUP(A1787,库龄!B:N,12,0),0)</f>
        <v>0</v>
      </c>
      <c r="N1787">
        <f t="shared" si="56"/>
        <v>0</v>
      </c>
    </row>
    <row r="1788" spans="1:14">
      <c r="A1788" s="3" t="s">
        <v>4611</v>
      </c>
      <c r="B1788">
        <f>IFERROR(VLOOKUP(A1788,管理亚马逊库存!A:K,11,0),"")</f>
        <v>0</v>
      </c>
      <c r="C1788">
        <f>IFERROR(VLOOKUP(A1788,管理亚马逊库存!A:L,12,0),"")</f>
        <v>0</v>
      </c>
      <c r="D1788">
        <f>IFERROR(VLOOKUP(A1788,管理亚马逊库存!A:Q,17,0),"")</f>
        <v>0</v>
      </c>
      <c r="E1788">
        <f>IFERROR(VLOOKUP(A1788,管理亚马逊库存!A:R,18,0),"")</f>
        <v>0</v>
      </c>
      <c r="F1788">
        <f t="shared" si="55"/>
        <v>0</v>
      </c>
      <c r="G1788" t="str">
        <f>IFERROR(VLOOKUP(A1788,预留库存!A:G,7,0),0)</f>
        <v>No</v>
      </c>
      <c r="H1788">
        <f>IFERROR(VLOOKUP(A1788,预留库存!A:H,8,0),0)</f>
        <v>0</v>
      </c>
      <c r="I1788">
        <f>IFERROR(VLOOKUP(A1788,预留库存!A:F,6,0),0)</f>
        <v>22.98</v>
      </c>
      <c r="J1788">
        <f>IFERROR(VLOOKUP(A1788,库龄!B:K,9,0),0)</f>
        <v>0</v>
      </c>
      <c r="K1788">
        <f>IFERROR(VLOOKUP(A1788,库龄!B:L,10,0),0)</f>
        <v>0</v>
      </c>
      <c r="L1788">
        <f>IFERROR(VLOOKUP(A1788,库龄!B:M,11,0),0)</f>
        <v>0</v>
      </c>
      <c r="M1788">
        <f>IFERROR(VLOOKUP(A1788,库龄!B:N,12,0),0)</f>
        <v>0</v>
      </c>
      <c r="N1788">
        <f t="shared" si="56"/>
        <v>0</v>
      </c>
    </row>
    <row r="1789" spans="1:14">
      <c r="A1789" s="3" t="s">
        <v>4613</v>
      </c>
      <c r="B1789">
        <f>IFERROR(VLOOKUP(A1789,管理亚马逊库存!A:K,11,0),"")</f>
        <v>0</v>
      </c>
      <c r="C1789">
        <f>IFERROR(VLOOKUP(A1789,管理亚马逊库存!A:L,12,0),"")</f>
        <v>0</v>
      </c>
      <c r="D1789">
        <f>IFERROR(VLOOKUP(A1789,管理亚马逊库存!A:Q,17,0),"")</f>
        <v>0</v>
      </c>
      <c r="E1789">
        <f>IFERROR(VLOOKUP(A1789,管理亚马逊库存!A:R,18,0),"")</f>
        <v>0</v>
      </c>
      <c r="F1789">
        <f t="shared" si="55"/>
        <v>0</v>
      </c>
      <c r="G1789" t="str">
        <f>IFERROR(VLOOKUP(A1789,预留库存!A:G,7,0),0)</f>
        <v>No</v>
      </c>
      <c r="H1789">
        <f>IFERROR(VLOOKUP(A1789,预留库存!A:H,8,0),0)</f>
        <v>0</v>
      </c>
      <c r="I1789">
        <f>IFERROR(VLOOKUP(A1789,预留库存!A:F,6,0),0)</f>
        <v>22.98</v>
      </c>
      <c r="J1789">
        <f>IFERROR(VLOOKUP(A1789,库龄!B:K,9,0),0)</f>
        <v>0</v>
      </c>
      <c r="K1789">
        <f>IFERROR(VLOOKUP(A1789,库龄!B:L,10,0),0)</f>
        <v>0</v>
      </c>
      <c r="L1789">
        <f>IFERROR(VLOOKUP(A1789,库龄!B:M,11,0),0)</f>
        <v>0</v>
      </c>
      <c r="M1789">
        <f>IFERROR(VLOOKUP(A1789,库龄!B:N,12,0),0)</f>
        <v>0</v>
      </c>
      <c r="N1789">
        <f t="shared" si="56"/>
        <v>0</v>
      </c>
    </row>
    <row r="1790" spans="1:14">
      <c r="A1790" s="3" t="s">
        <v>4615</v>
      </c>
      <c r="B1790">
        <f>IFERROR(VLOOKUP(A1790,管理亚马逊库存!A:K,11,0),"")</f>
        <v>0</v>
      </c>
      <c r="C1790">
        <f>IFERROR(VLOOKUP(A1790,管理亚马逊库存!A:L,12,0),"")</f>
        <v>0</v>
      </c>
      <c r="D1790">
        <f>IFERROR(VLOOKUP(A1790,管理亚马逊库存!A:Q,17,0),"")</f>
        <v>0</v>
      </c>
      <c r="E1790">
        <f>IFERROR(VLOOKUP(A1790,管理亚马逊库存!A:R,18,0),"")</f>
        <v>0</v>
      </c>
      <c r="F1790">
        <f t="shared" si="55"/>
        <v>0</v>
      </c>
      <c r="G1790" t="str">
        <f>IFERROR(VLOOKUP(A1790,预留库存!A:G,7,0),0)</f>
        <v>No</v>
      </c>
      <c r="H1790">
        <f>IFERROR(VLOOKUP(A1790,预留库存!A:H,8,0),0)</f>
        <v>0</v>
      </c>
      <c r="I1790">
        <f>IFERROR(VLOOKUP(A1790,预留库存!A:F,6,0),0)</f>
        <v>22.98</v>
      </c>
      <c r="J1790">
        <f>IFERROR(VLOOKUP(A1790,库龄!B:K,9,0),0)</f>
        <v>0</v>
      </c>
      <c r="K1790">
        <f>IFERROR(VLOOKUP(A1790,库龄!B:L,10,0),0)</f>
        <v>0</v>
      </c>
      <c r="L1790">
        <f>IFERROR(VLOOKUP(A1790,库龄!B:M,11,0),0)</f>
        <v>0</v>
      </c>
      <c r="M1790">
        <f>IFERROR(VLOOKUP(A1790,库龄!B:N,12,0),0)</f>
        <v>0</v>
      </c>
      <c r="N1790">
        <f t="shared" si="56"/>
        <v>0</v>
      </c>
    </row>
    <row r="1791" spans="1:14">
      <c r="A1791" s="3" t="s">
        <v>4617</v>
      </c>
      <c r="B1791">
        <f>IFERROR(VLOOKUP(A1791,管理亚马逊库存!A:K,11,0),"")</f>
        <v>0</v>
      </c>
      <c r="C1791">
        <f>IFERROR(VLOOKUP(A1791,管理亚马逊库存!A:L,12,0),"")</f>
        <v>0</v>
      </c>
      <c r="D1791">
        <f>IFERROR(VLOOKUP(A1791,管理亚马逊库存!A:Q,17,0),"")</f>
        <v>0</v>
      </c>
      <c r="E1791">
        <f>IFERROR(VLOOKUP(A1791,管理亚马逊库存!A:R,18,0),"")</f>
        <v>0</v>
      </c>
      <c r="F1791">
        <f t="shared" si="55"/>
        <v>0</v>
      </c>
      <c r="G1791" t="str">
        <f>IFERROR(VLOOKUP(A1791,预留库存!A:G,7,0),0)</f>
        <v>No</v>
      </c>
      <c r="H1791">
        <f>IFERROR(VLOOKUP(A1791,预留库存!A:H,8,0),0)</f>
        <v>0</v>
      </c>
      <c r="I1791">
        <f>IFERROR(VLOOKUP(A1791,预留库存!A:F,6,0),0)</f>
        <v>22.98</v>
      </c>
      <c r="J1791">
        <f>IFERROR(VLOOKUP(A1791,库龄!B:K,9,0),0)</f>
        <v>0</v>
      </c>
      <c r="K1791">
        <f>IFERROR(VLOOKUP(A1791,库龄!B:L,10,0),0)</f>
        <v>0</v>
      </c>
      <c r="L1791">
        <f>IFERROR(VLOOKUP(A1791,库龄!B:M,11,0),0)</f>
        <v>0</v>
      </c>
      <c r="M1791">
        <f>IFERROR(VLOOKUP(A1791,库龄!B:N,12,0),0)</f>
        <v>0</v>
      </c>
      <c r="N1791">
        <f t="shared" si="56"/>
        <v>0</v>
      </c>
    </row>
    <row r="1792" spans="1:14">
      <c r="A1792" s="3" t="s">
        <v>4619</v>
      </c>
      <c r="B1792">
        <f>IFERROR(VLOOKUP(A1792,管理亚马逊库存!A:K,11,0),"")</f>
        <v>0</v>
      </c>
      <c r="C1792">
        <f>IFERROR(VLOOKUP(A1792,管理亚马逊库存!A:L,12,0),"")</f>
        <v>0</v>
      </c>
      <c r="D1792">
        <f>IFERROR(VLOOKUP(A1792,管理亚马逊库存!A:Q,17,0),"")</f>
        <v>0</v>
      </c>
      <c r="E1792">
        <f>IFERROR(VLOOKUP(A1792,管理亚马逊库存!A:R,18,0),"")</f>
        <v>0</v>
      </c>
      <c r="F1792">
        <f t="shared" si="55"/>
        <v>0</v>
      </c>
      <c r="G1792" t="str">
        <f>IFERROR(VLOOKUP(A1792,预留库存!A:G,7,0),0)</f>
        <v>No</v>
      </c>
      <c r="H1792">
        <f>IFERROR(VLOOKUP(A1792,预留库存!A:H,8,0),0)</f>
        <v>0</v>
      </c>
      <c r="I1792">
        <f>IFERROR(VLOOKUP(A1792,预留库存!A:F,6,0),0)</f>
        <v>22.98</v>
      </c>
      <c r="J1792">
        <f>IFERROR(VLOOKUP(A1792,库龄!B:K,9,0),0)</f>
        <v>0</v>
      </c>
      <c r="K1792">
        <f>IFERROR(VLOOKUP(A1792,库龄!B:L,10,0),0)</f>
        <v>0</v>
      </c>
      <c r="L1792">
        <f>IFERROR(VLOOKUP(A1792,库龄!B:M,11,0),0)</f>
        <v>0</v>
      </c>
      <c r="M1792">
        <f>IFERROR(VLOOKUP(A1792,库龄!B:N,12,0),0)</f>
        <v>0</v>
      </c>
      <c r="N1792">
        <f t="shared" si="56"/>
        <v>0</v>
      </c>
    </row>
    <row r="1793" spans="1:14">
      <c r="A1793" s="3" t="s">
        <v>4621</v>
      </c>
      <c r="B1793">
        <f>IFERROR(VLOOKUP(A1793,管理亚马逊库存!A:K,11,0),"")</f>
        <v>6</v>
      </c>
      <c r="C1793">
        <f>IFERROR(VLOOKUP(A1793,管理亚马逊库存!A:L,12,0),"")</f>
        <v>0</v>
      </c>
      <c r="D1793">
        <f>IFERROR(VLOOKUP(A1793,管理亚马逊库存!A:Q,17,0),"")</f>
        <v>0</v>
      </c>
      <c r="E1793">
        <f>IFERROR(VLOOKUP(A1793,管理亚马逊库存!A:R,18,0),"")</f>
        <v>0</v>
      </c>
      <c r="F1793">
        <f t="shared" si="55"/>
        <v>0</v>
      </c>
      <c r="G1793" t="str">
        <f>IFERROR(VLOOKUP(A1793,预留库存!A:G,7,0),0)</f>
        <v>No</v>
      </c>
      <c r="H1793">
        <f>IFERROR(VLOOKUP(A1793,预留库存!A:H,8,0),0)</f>
        <v>0</v>
      </c>
      <c r="I1793">
        <f>IFERROR(VLOOKUP(A1793,预留库存!A:F,6,0),0)</f>
        <v>22.98</v>
      </c>
      <c r="J1793">
        <f>IFERROR(VLOOKUP(A1793,库龄!B:K,9,0),0)</f>
        <v>0</v>
      </c>
      <c r="K1793">
        <f>IFERROR(VLOOKUP(A1793,库龄!B:L,10,0),0)</f>
        <v>0</v>
      </c>
      <c r="L1793">
        <f>IFERROR(VLOOKUP(A1793,库龄!B:M,11,0),0)</f>
        <v>0</v>
      </c>
      <c r="M1793">
        <f>IFERROR(VLOOKUP(A1793,库龄!B:N,12,0),0)</f>
        <v>0</v>
      </c>
      <c r="N1793">
        <f t="shared" si="56"/>
        <v>0</v>
      </c>
    </row>
    <row r="1794" spans="1:14">
      <c r="A1794" s="3" t="s">
        <v>4623</v>
      </c>
      <c r="B1794">
        <f>IFERROR(VLOOKUP(A1794,管理亚马逊库存!A:K,11,0),"")</f>
        <v>0</v>
      </c>
      <c r="C1794">
        <f>IFERROR(VLOOKUP(A1794,管理亚马逊库存!A:L,12,0),"")</f>
        <v>0</v>
      </c>
      <c r="D1794">
        <f>IFERROR(VLOOKUP(A1794,管理亚马逊库存!A:Q,17,0),"")</f>
        <v>0</v>
      </c>
      <c r="E1794">
        <f>IFERROR(VLOOKUP(A1794,管理亚马逊库存!A:R,18,0),"")</f>
        <v>0</v>
      </c>
      <c r="F1794">
        <f t="shared" si="55"/>
        <v>0</v>
      </c>
      <c r="G1794" t="str">
        <f>IFERROR(VLOOKUP(A1794,预留库存!A:G,7,0),0)</f>
        <v>No</v>
      </c>
      <c r="H1794">
        <f>IFERROR(VLOOKUP(A1794,预留库存!A:H,8,0),0)</f>
        <v>0</v>
      </c>
      <c r="I1794">
        <f>IFERROR(VLOOKUP(A1794,预留库存!A:F,6,0),0)</f>
        <v>22.98</v>
      </c>
      <c r="J1794">
        <f>IFERROR(VLOOKUP(A1794,库龄!B:K,9,0),0)</f>
        <v>0</v>
      </c>
      <c r="K1794">
        <f>IFERROR(VLOOKUP(A1794,库龄!B:L,10,0),0)</f>
        <v>0</v>
      </c>
      <c r="L1794">
        <f>IFERROR(VLOOKUP(A1794,库龄!B:M,11,0),0)</f>
        <v>0</v>
      </c>
      <c r="M1794">
        <f>IFERROR(VLOOKUP(A1794,库龄!B:N,12,0),0)</f>
        <v>0</v>
      </c>
      <c r="N1794">
        <f t="shared" si="56"/>
        <v>0</v>
      </c>
    </row>
    <row r="1795" spans="1:14">
      <c r="A1795" s="3" t="s">
        <v>4625</v>
      </c>
      <c r="B1795">
        <f>IFERROR(VLOOKUP(A1795,管理亚马逊库存!A:K,11,0),"")</f>
        <v>0</v>
      </c>
      <c r="C1795">
        <f>IFERROR(VLOOKUP(A1795,管理亚马逊库存!A:L,12,0),"")</f>
        <v>0</v>
      </c>
      <c r="D1795">
        <f>IFERROR(VLOOKUP(A1795,管理亚马逊库存!A:Q,17,0),"")</f>
        <v>0</v>
      </c>
      <c r="E1795">
        <f>IFERROR(VLOOKUP(A1795,管理亚马逊库存!A:R,18,0),"")</f>
        <v>0</v>
      </c>
      <c r="F1795">
        <f t="shared" ref="F1795:F1858" si="57">SUM(D1795:E1795)</f>
        <v>0</v>
      </c>
      <c r="G1795" t="str">
        <f>IFERROR(VLOOKUP(A1795,预留库存!A:G,7,0),0)</f>
        <v>No</v>
      </c>
      <c r="H1795">
        <f>IFERROR(VLOOKUP(A1795,预留库存!A:H,8,0),0)</f>
        <v>0</v>
      </c>
      <c r="I1795">
        <f>IFERROR(VLOOKUP(A1795,预留库存!A:F,6,0),0)</f>
        <v>22.98</v>
      </c>
      <c r="J1795">
        <f>IFERROR(VLOOKUP(A1795,库龄!B:K,9,0),0)</f>
        <v>0</v>
      </c>
      <c r="K1795">
        <f>IFERROR(VLOOKUP(A1795,库龄!B:L,10,0),0)</f>
        <v>0</v>
      </c>
      <c r="L1795">
        <f>IFERROR(VLOOKUP(A1795,库龄!B:M,11,0),0)</f>
        <v>0</v>
      </c>
      <c r="M1795">
        <f>IFERROR(VLOOKUP(A1795,库龄!B:N,12,0),0)</f>
        <v>0</v>
      </c>
      <c r="N1795">
        <f t="shared" ref="N1795:N1858" si="58">SUM(J1795:M1795)</f>
        <v>0</v>
      </c>
    </row>
    <row r="1796" spans="1:14">
      <c r="A1796" s="3" t="s">
        <v>4627</v>
      </c>
      <c r="B1796">
        <f>IFERROR(VLOOKUP(A1796,管理亚马逊库存!A:K,11,0),"")</f>
        <v>0</v>
      </c>
      <c r="C1796">
        <f>IFERROR(VLOOKUP(A1796,管理亚马逊库存!A:L,12,0),"")</f>
        <v>0</v>
      </c>
      <c r="D1796">
        <f>IFERROR(VLOOKUP(A1796,管理亚马逊库存!A:Q,17,0),"")</f>
        <v>0</v>
      </c>
      <c r="E1796">
        <f>IFERROR(VLOOKUP(A1796,管理亚马逊库存!A:R,18,0),"")</f>
        <v>0</v>
      </c>
      <c r="F1796">
        <f t="shared" si="57"/>
        <v>0</v>
      </c>
      <c r="G1796" t="str">
        <f>IFERROR(VLOOKUP(A1796,预留库存!A:G,7,0),0)</f>
        <v>No</v>
      </c>
      <c r="H1796">
        <f>IFERROR(VLOOKUP(A1796,预留库存!A:H,8,0),0)</f>
        <v>0</v>
      </c>
      <c r="I1796">
        <f>IFERROR(VLOOKUP(A1796,预留库存!A:F,6,0),0)</f>
        <v>22.98</v>
      </c>
      <c r="J1796">
        <f>IFERROR(VLOOKUP(A1796,库龄!B:K,9,0),0)</f>
        <v>0</v>
      </c>
      <c r="K1796">
        <f>IFERROR(VLOOKUP(A1796,库龄!B:L,10,0),0)</f>
        <v>0</v>
      </c>
      <c r="L1796">
        <f>IFERROR(VLOOKUP(A1796,库龄!B:M,11,0),0)</f>
        <v>0</v>
      </c>
      <c r="M1796">
        <f>IFERROR(VLOOKUP(A1796,库龄!B:N,12,0),0)</f>
        <v>0</v>
      </c>
      <c r="N1796">
        <f t="shared" si="58"/>
        <v>0</v>
      </c>
    </row>
    <row r="1797" spans="1:14">
      <c r="A1797" s="3" t="s">
        <v>4629</v>
      </c>
      <c r="B1797">
        <f>IFERROR(VLOOKUP(A1797,管理亚马逊库存!A:K,11,0),"")</f>
        <v>1</v>
      </c>
      <c r="C1797">
        <f>IFERROR(VLOOKUP(A1797,管理亚马逊库存!A:L,12,0),"")</f>
        <v>0</v>
      </c>
      <c r="D1797">
        <f>IFERROR(VLOOKUP(A1797,管理亚马逊库存!A:Q,17,0),"")</f>
        <v>0</v>
      </c>
      <c r="E1797">
        <f>IFERROR(VLOOKUP(A1797,管理亚马逊库存!A:R,18,0),"")</f>
        <v>0</v>
      </c>
      <c r="F1797">
        <f t="shared" si="57"/>
        <v>0</v>
      </c>
      <c r="G1797" t="str">
        <f>IFERROR(VLOOKUP(A1797,预留库存!A:G,7,0),0)</f>
        <v>No</v>
      </c>
      <c r="H1797">
        <f>IFERROR(VLOOKUP(A1797,预留库存!A:H,8,0),0)</f>
        <v>0</v>
      </c>
      <c r="I1797">
        <f>IFERROR(VLOOKUP(A1797,预留库存!A:F,6,0),0)</f>
        <v>22.98</v>
      </c>
      <c r="J1797">
        <f>IFERROR(VLOOKUP(A1797,库龄!B:K,9,0),0)</f>
        <v>0</v>
      </c>
      <c r="K1797">
        <f>IFERROR(VLOOKUP(A1797,库龄!B:L,10,0),0)</f>
        <v>0</v>
      </c>
      <c r="L1797">
        <f>IFERROR(VLOOKUP(A1797,库龄!B:M,11,0),0)</f>
        <v>0</v>
      </c>
      <c r="M1797">
        <f>IFERROR(VLOOKUP(A1797,库龄!B:N,12,0),0)</f>
        <v>0</v>
      </c>
      <c r="N1797">
        <f t="shared" si="58"/>
        <v>0</v>
      </c>
    </row>
    <row r="1798" spans="1:14">
      <c r="A1798" s="3" t="s">
        <v>4631</v>
      </c>
      <c r="B1798">
        <f>IFERROR(VLOOKUP(A1798,管理亚马逊库存!A:K,11,0),"")</f>
        <v>0</v>
      </c>
      <c r="C1798">
        <f>IFERROR(VLOOKUP(A1798,管理亚马逊库存!A:L,12,0),"")</f>
        <v>0</v>
      </c>
      <c r="D1798">
        <f>IFERROR(VLOOKUP(A1798,管理亚马逊库存!A:Q,17,0),"")</f>
        <v>0</v>
      </c>
      <c r="E1798">
        <f>IFERROR(VLOOKUP(A1798,管理亚马逊库存!A:R,18,0),"")</f>
        <v>0</v>
      </c>
      <c r="F1798">
        <f t="shared" si="57"/>
        <v>0</v>
      </c>
      <c r="G1798" t="str">
        <f>IFERROR(VLOOKUP(A1798,预留库存!A:G,7,0),0)</f>
        <v>No</v>
      </c>
      <c r="H1798">
        <f>IFERROR(VLOOKUP(A1798,预留库存!A:H,8,0),0)</f>
        <v>0</v>
      </c>
      <c r="I1798">
        <f>IFERROR(VLOOKUP(A1798,预留库存!A:F,6,0),0)</f>
        <v>22.98</v>
      </c>
      <c r="J1798">
        <f>IFERROR(VLOOKUP(A1798,库龄!B:K,9,0),0)</f>
        <v>0</v>
      </c>
      <c r="K1798">
        <f>IFERROR(VLOOKUP(A1798,库龄!B:L,10,0),0)</f>
        <v>0</v>
      </c>
      <c r="L1798">
        <f>IFERROR(VLOOKUP(A1798,库龄!B:M,11,0),0)</f>
        <v>0</v>
      </c>
      <c r="M1798">
        <f>IFERROR(VLOOKUP(A1798,库龄!B:N,12,0),0)</f>
        <v>0</v>
      </c>
      <c r="N1798">
        <f t="shared" si="58"/>
        <v>0</v>
      </c>
    </row>
    <row r="1799" spans="1:14">
      <c r="A1799" s="3" t="s">
        <v>4633</v>
      </c>
      <c r="B1799">
        <f>IFERROR(VLOOKUP(A1799,管理亚马逊库存!A:K,11,0),"")</f>
        <v>10</v>
      </c>
      <c r="C1799">
        <f>IFERROR(VLOOKUP(A1799,管理亚马逊库存!A:L,12,0),"")</f>
        <v>0</v>
      </c>
      <c r="D1799">
        <f>IFERROR(VLOOKUP(A1799,管理亚马逊库存!A:Q,17,0),"")</f>
        <v>0</v>
      </c>
      <c r="E1799">
        <f>IFERROR(VLOOKUP(A1799,管理亚马逊库存!A:R,18,0),"")</f>
        <v>0</v>
      </c>
      <c r="F1799">
        <f t="shared" si="57"/>
        <v>0</v>
      </c>
      <c r="G1799" t="str">
        <f>IFERROR(VLOOKUP(A1799,预留库存!A:G,7,0),0)</f>
        <v>No</v>
      </c>
      <c r="H1799">
        <f>IFERROR(VLOOKUP(A1799,预留库存!A:H,8,0),0)</f>
        <v>0</v>
      </c>
      <c r="I1799">
        <f>IFERROR(VLOOKUP(A1799,预留库存!A:F,6,0),0)</f>
        <v>22.98</v>
      </c>
      <c r="J1799">
        <f>IFERROR(VLOOKUP(A1799,库龄!B:K,9,0),0)</f>
        <v>0</v>
      </c>
      <c r="K1799">
        <f>IFERROR(VLOOKUP(A1799,库龄!B:L,10,0),0)</f>
        <v>0</v>
      </c>
      <c r="L1799">
        <f>IFERROR(VLOOKUP(A1799,库龄!B:M,11,0),0)</f>
        <v>0</v>
      </c>
      <c r="M1799">
        <f>IFERROR(VLOOKUP(A1799,库龄!B:N,12,0),0)</f>
        <v>0</v>
      </c>
      <c r="N1799">
        <f t="shared" si="58"/>
        <v>0</v>
      </c>
    </row>
    <row r="1800" spans="1:14">
      <c r="A1800" s="3" t="s">
        <v>4635</v>
      </c>
      <c r="B1800">
        <f>IFERROR(VLOOKUP(A1800,管理亚马逊库存!A:K,11,0),"")</f>
        <v>0</v>
      </c>
      <c r="C1800">
        <f>IFERROR(VLOOKUP(A1800,管理亚马逊库存!A:L,12,0),"")</f>
        <v>0</v>
      </c>
      <c r="D1800">
        <f>IFERROR(VLOOKUP(A1800,管理亚马逊库存!A:Q,17,0),"")</f>
        <v>0</v>
      </c>
      <c r="E1800">
        <f>IFERROR(VLOOKUP(A1800,管理亚马逊库存!A:R,18,0),"")</f>
        <v>0</v>
      </c>
      <c r="F1800">
        <f t="shared" si="57"/>
        <v>0</v>
      </c>
      <c r="G1800" t="str">
        <f>IFERROR(VLOOKUP(A1800,预留库存!A:G,7,0),0)</f>
        <v>No</v>
      </c>
      <c r="H1800">
        <f>IFERROR(VLOOKUP(A1800,预留库存!A:H,8,0),0)</f>
        <v>0</v>
      </c>
      <c r="I1800">
        <f>IFERROR(VLOOKUP(A1800,预留库存!A:F,6,0),0)</f>
        <v>22.98</v>
      </c>
      <c r="J1800">
        <f>IFERROR(VLOOKUP(A1800,库龄!B:K,9,0),0)</f>
        <v>0</v>
      </c>
      <c r="K1800">
        <f>IFERROR(VLOOKUP(A1800,库龄!B:L,10,0),0)</f>
        <v>0</v>
      </c>
      <c r="L1800">
        <f>IFERROR(VLOOKUP(A1800,库龄!B:M,11,0),0)</f>
        <v>0</v>
      </c>
      <c r="M1800">
        <f>IFERROR(VLOOKUP(A1800,库龄!B:N,12,0),0)</f>
        <v>0</v>
      </c>
      <c r="N1800">
        <f t="shared" si="58"/>
        <v>0</v>
      </c>
    </row>
    <row r="1801" spans="1:14">
      <c r="A1801" s="3" t="s">
        <v>4637</v>
      </c>
      <c r="B1801">
        <f>IFERROR(VLOOKUP(A1801,管理亚马逊库存!A:K,11,0),"")</f>
        <v>0</v>
      </c>
      <c r="C1801">
        <f>IFERROR(VLOOKUP(A1801,管理亚马逊库存!A:L,12,0),"")</f>
        <v>0</v>
      </c>
      <c r="D1801">
        <f>IFERROR(VLOOKUP(A1801,管理亚马逊库存!A:Q,17,0),"")</f>
        <v>0</v>
      </c>
      <c r="E1801">
        <f>IFERROR(VLOOKUP(A1801,管理亚马逊库存!A:R,18,0),"")</f>
        <v>0</v>
      </c>
      <c r="F1801">
        <f t="shared" si="57"/>
        <v>0</v>
      </c>
      <c r="G1801" t="str">
        <f>IFERROR(VLOOKUP(A1801,预留库存!A:G,7,0),0)</f>
        <v>No</v>
      </c>
      <c r="H1801">
        <f>IFERROR(VLOOKUP(A1801,预留库存!A:H,8,0),0)</f>
        <v>0</v>
      </c>
      <c r="I1801">
        <f>IFERROR(VLOOKUP(A1801,预留库存!A:F,6,0),0)</f>
        <v>22.98</v>
      </c>
      <c r="J1801">
        <f>IFERROR(VLOOKUP(A1801,库龄!B:K,9,0),0)</f>
        <v>0</v>
      </c>
      <c r="K1801">
        <f>IFERROR(VLOOKUP(A1801,库龄!B:L,10,0),0)</f>
        <v>0</v>
      </c>
      <c r="L1801">
        <f>IFERROR(VLOOKUP(A1801,库龄!B:M,11,0),0)</f>
        <v>0</v>
      </c>
      <c r="M1801">
        <f>IFERROR(VLOOKUP(A1801,库龄!B:N,12,0),0)</f>
        <v>0</v>
      </c>
      <c r="N1801">
        <f t="shared" si="58"/>
        <v>0</v>
      </c>
    </row>
    <row r="1802" spans="1:14">
      <c r="A1802" s="3" t="s">
        <v>4639</v>
      </c>
      <c r="B1802">
        <f>IFERROR(VLOOKUP(A1802,管理亚马逊库存!A:K,11,0),"")</f>
        <v>0</v>
      </c>
      <c r="C1802">
        <f>IFERROR(VLOOKUP(A1802,管理亚马逊库存!A:L,12,0),"")</f>
        <v>0</v>
      </c>
      <c r="D1802">
        <f>IFERROR(VLOOKUP(A1802,管理亚马逊库存!A:Q,17,0),"")</f>
        <v>0</v>
      </c>
      <c r="E1802">
        <f>IFERROR(VLOOKUP(A1802,管理亚马逊库存!A:R,18,0),"")</f>
        <v>0</v>
      </c>
      <c r="F1802">
        <f t="shared" si="57"/>
        <v>0</v>
      </c>
      <c r="G1802" t="str">
        <f>IFERROR(VLOOKUP(A1802,预留库存!A:G,7,0),0)</f>
        <v>No</v>
      </c>
      <c r="H1802">
        <f>IFERROR(VLOOKUP(A1802,预留库存!A:H,8,0),0)</f>
        <v>0</v>
      </c>
      <c r="I1802">
        <f>IFERROR(VLOOKUP(A1802,预留库存!A:F,6,0),0)</f>
        <v>22.98</v>
      </c>
      <c r="J1802">
        <f>IFERROR(VLOOKUP(A1802,库龄!B:K,9,0),0)</f>
        <v>0</v>
      </c>
      <c r="K1802">
        <f>IFERROR(VLOOKUP(A1802,库龄!B:L,10,0),0)</f>
        <v>0</v>
      </c>
      <c r="L1802">
        <f>IFERROR(VLOOKUP(A1802,库龄!B:M,11,0),0)</f>
        <v>0</v>
      </c>
      <c r="M1802">
        <f>IFERROR(VLOOKUP(A1802,库龄!B:N,12,0),0)</f>
        <v>0</v>
      </c>
      <c r="N1802">
        <f t="shared" si="58"/>
        <v>0</v>
      </c>
    </row>
    <row r="1803" spans="1:14">
      <c r="A1803" s="3" t="s">
        <v>4641</v>
      </c>
      <c r="B1803">
        <f>IFERROR(VLOOKUP(A1803,管理亚马逊库存!A:K,11,0),"")</f>
        <v>1</v>
      </c>
      <c r="C1803">
        <f>IFERROR(VLOOKUP(A1803,管理亚马逊库存!A:L,12,0),"")</f>
        <v>0</v>
      </c>
      <c r="D1803">
        <f>IFERROR(VLOOKUP(A1803,管理亚马逊库存!A:Q,17,0),"")</f>
        <v>0</v>
      </c>
      <c r="E1803">
        <f>IFERROR(VLOOKUP(A1803,管理亚马逊库存!A:R,18,0),"")</f>
        <v>0</v>
      </c>
      <c r="F1803">
        <f t="shared" si="57"/>
        <v>0</v>
      </c>
      <c r="G1803" t="str">
        <f>IFERROR(VLOOKUP(A1803,预留库存!A:G,7,0),0)</f>
        <v>No</v>
      </c>
      <c r="H1803">
        <f>IFERROR(VLOOKUP(A1803,预留库存!A:H,8,0),0)</f>
        <v>0</v>
      </c>
      <c r="I1803">
        <f>IFERROR(VLOOKUP(A1803,预留库存!A:F,6,0),0)</f>
        <v>22.98</v>
      </c>
      <c r="J1803">
        <f>IFERROR(VLOOKUP(A1803,库龄!B:K,9,0),0)</f>
        <v>0</v>
      </c>
      <c r="K1803">
        <f>IFERROR(VLOOKUP(A1803,库龄!B:L,10,0),0)</f>
        <v>0</v>
      </c>
      <c r="L1803">
        <f>IFERROR(VLOOKUP(A1803,库龄!B:M,11,0),0)</f>
        <v>0</v>
      </c>
      <c r="M1803">
        <f>IFERROR(VLOOKUP(A1803,库龄!B:N,12,0),0)</f>
        <v>0</v>
      </c>
      <c r="N1803">
        <f t="shared" si="58"/>
        <v>0</v>
      </c>
    </row>
    <row r="1804" spans="1:14">
      <c r="A1804" s="3" t="s">
        <v>4643</v>
      </c>
      <c r="B1804">
        <f>IFERROR(VLOOKUP(A1804,管理亚马逊库存!A:K,11,0),"")</f>
        <v>0</v>
      </c>
      <c r="C1804">
        <f>IFERROR(VLOOKUP(A1804,管理亚马逊库存!A:L,12,0),"")</f>
        <v>0</v>
      </c>
      <c r="D1804">
        <f>IFERROR(VLOOKUP(A1804,管理亚马逊库存!A:Q,17,0),"")</f>
        <v>0</v>
      </c>
      <c r="E1804">
        <f>IFERROR(VLOOKUP(A1804,管理亚马逊库存!A:R,18,0),"")</f>
        <v>0</v>
      </c>
      <c r="F1804">
        <f t="shared" si="57"/>
        <v>0</v>
      </c>
      <c r="G1804" t="str">
        <f>IFERROR(VLOOKUP(A1804,预留库存!A:G,7,0),0)</f>
        <v>No</v>
      </c>
      <c r="H1804">
        <f>IFERROR(VLOOKUP(A1804,预留库存!A:H,8,0),0)</f>
        <v>0</v>
      </c>
      <c r="I1804">
        <f>IFERROR(VLOOKUP(A1804,预留库存!A:F,6,0),0)</f>
        <v>22.98</v>
      </c>
      <c r="J1804">
        <f>IFERROR(VLOOKUP(A1804,库龄!B:K,9,0),0)</f>
        <v>0</v>
      </c>
      <c r="K1804">
        <f>IFERROR(VLOOKUP(A1804,库龄!B:L,10,0),0)</f>
        <v>0</v>
      </c>
      <c r="L1804">
        <f>IFERROR(VLOOKUP(A1804,库龄!B:M,11,0),0)</f>
        <v>0</v>
      </c>
      <c r="M1804">
        <f>IFERROR(VLOOKUP(A1804,库龄!B:N,12,0),0)</f>
        <v>0</v>
      </c>
      <c r="N1804">
        <f t="shared" si="58"/>
        <v>0</v>
      </c>
    </row>
    <row r="1805" spans="1:14">
      <c r="A1805" s="3" t="s">
        <v>4645</v>
      </c>
      <c r="B1805">
        <f>IFERROR(VLOOKUP(A1805,管理亚马逊库存!A:K,11,0),"")</f>
        <v>0</v>
      </c>
      <c r="C1805">
        <f>IFERROR(VLOOKUP(A1805,管理亚马逊库存!A:L,12,0),"")</f>
        <v>0</v>
      </c>
      <c r="D1805">
        <f>IFERROR(VLOOKUP(A1805,管理亚马逊库存!A:Q,17,0),"")</f>
        <v>0</v>
      </c>
      <c r="E1805">
        <f>IFERROR(VLOOKUP(A1805,管理亚马逊库存!A:R,18,0),"")</f>
        <v>0</v>
      </c>
      <c r="F1805">
        <f t="shared" si="57"/>
        <v>0</v>
      </c>
      <c r="G1805" t="str">
        <f>IFERROR(VLOOKUP(A1805,预留库存!A:G,7,0),0)</f>
        <v>No</v>
      </c>
      <c r="H1805">
        <f>IFERROR(VLOOKUP(A1805,预留库存!A:H,8,0),0)</f>
        <v>0</v>
      </c>
      <c r="I1805">
        <f>IFERROR(VLOOKUP(A1805,预留库存!A:F,6,0),0)</f>
        <v>22.98</v>
      </c>
      <c r="J1805">
        <f>IFERROR(VLOOKUP(A1805,库龄!B:K,9,0),0)</f>
        <v>0</v>
      </c>
      <c r="K1805">
        <f>IFERROR(VLOOKUP(A1805,库龄!B:L,10,0),0)</f>
        <v>0</v>
      </c>
      <c r="L1805">
        <f>IFERROR(VLOOKUP(A1805,库龄!B:M,11,0),0)</f>
        <v>0</v>
      </c>
      <c r="M1805">
        <f>IFERROR(VLOOKUP(A1805,库龄!B:N,12,0),0)</f>
        <v>0</v>
      </c>
      <c r="N1805">
        <f t="shared" si="58"/>
        <v>0</v>
      </c>
    </row>
    <row r="1806" spans="1:14">
      <c r="A1806" s="3" t="s">
        <v>4647</v>
      </c>
      <c r="B1806">
        <f>IFERROR(VLOOKUP(A1806,管理亚马逊库存!A:K,11,0),"")</f>
        <v>10</v>
      </c>
      <c r="C1806">
        <f>IFERROR(VLOOKUP(A1806,管理亚马逊库存!A:L,12,0),"")</f>
        <v>0</v>
      </c>
      <c r="D1806">
        <f>IFERROR(VLOOKUP(A1806,管理亚马逊库存!A:Q,17,0),"")</f>
        <v>0</v>
      </c>
      <c r="E1806">
        <f>IFERROR(VLOOKUP(A1806,管理亚马逊库存!A:R,18,0),"")</f>
        <v>0</v>
      </c>
      <c r="F1806">
        <f t="shared" si="57"/>
        <v>0</v>
      </c>
      <c r="G1806" t="str">
        <f>IFERROR(VLOOKUP(A1806,预留库存!A:G,7,0),0)</f>
        <v>No</v>
      </c>
      <c r="H1806">
        <f>IFERROR(VLOOKUP(A1806,预留库存!A:H,8,0),0)</f>
        <v>0</v>
      </c>
      <c r="I1806">
        <f>IFERROR(VLOOKUP(A1806,预留库存!A:F,6,0),0)</f>
        <v>22.98</v>
      </c>
      <c r="J1806">
        <f>IFERROR(VLOOKUP(A1806,库龄!B:K,9,0),0)</f>
        <v>0</v>
      </c>
      <c r="K1806">
        <f>IFERROR(VLOOKUP(A1806,库龄!B:L,10,0),0)</f>
        <v>0</v>
      </c>
      <c r="L1806">
        <f>IFERROR(VLOOKUP(A1806,库龄!B:M,11,0),0)</f>
        <v>0</v>
      </c>
      <c r="M1806">
        <f>IFERROR(VLOOKUP(A1806,库龄!B:N,12,0),0)</f>
        <v>0</v>
      </c>
      <c r="N1806">
        <f t="shared" si="58"/>
        <v>0</v>
      </c>
    </row>
    <row r="1807" spans="1:14">
      <c r="A1807" s="3" t="s">
        <v>4649</v>
      </c>
      <c r="B1807">
        <f>IFERROR(VLOOKUP(A1807,管理亚马逊库存!A:K,11,0),"")</f>
        <v>2</v>
      </c>
      <c r="C1807">
        <f>IFERROR(VLOOKUP(A1807,管理亚马逊库存!A:L,12,0),"")</f>
        <v>0</v>
      </c>
      <c r="D1807">
        <f>IFERROR(VLOOKUP(A1807,管理亚马逊库存!A:Q,17,0),"")</f>
        <v>0</v>
      </c>
      <c r="E1807">
        <f>IFERROR(VLOOKUP(A1807,管理亚马逊库存!A:R,18,0),"")</f>
        <v>0</v>
      </c>
      <c r="F1807">
        <f t="shared" si="57"/>
        <v>0</v>
      </c>
      <c r="G1807" t="str">
        <f>IFERROR(VLOOKUP(A1807,预留库存!A:G,7,0),0)</f>
        <v>No</v>
      </c>
      <c r="H1807">
        <f>IFERROR(VLOOKUP(A1807,预留库存!A:H,8,0),0)</f>
        <v>0</v>
      </c>
      <c r="I1807">
        <f>IFERROR(VLOOKUP(A1807,预留库存!A:F,6,0),0)</f>
        <v>22.98</v>
      </c>
      <c r="J1807">
        <f>IFERROR(VLOOKUP(A1807,库龄!B:K,9,0),0)</f>
        <v>0</v>
      </c>
      <c r="K1807">
        <f>IFERROR(VLOOKUP(A1807,库龄!B:L,10,0),0)</f>
        <v>0</v>
      </c>
      <c r="L1807">
        <f>IFERROR(VLOOKUP(A1807,库龄!B:M,11,0),0)</f>
        <v>0</v>
      </c>
      <c r="M1807">
        <f>IFERROR(VLOOKUP(A1807,库龄!B:N,12,0),0)</f>
        <v>0</v>
      </c>
      <c r="N1807">
        <f t="shared" si="58"/>
        <v>0</v>
      </c>
    </row>
    <row r="1808" spans="1:14">
      <c r="A1808" s="3" t="s">
        <v>4651</v>
      </c>
      <c r="B1808">
        <f>IFERROR(VLOOKUP(A1808,管理亚马逊库存!A:K,11,0),"")</f>
        <v>0</v>
      </c>
      <c r="C1808">
        <f>IFERROR(VLOOKUP(A1808,管理亚马逊库存!A:L,12,0),"")</f>
        <v>0</v>
      </c>
      <c r="D1808">
        <f>IFERROR(VLOOKUP(A1808,管理亚马逊库存!A:Q,17,0),"")</f>
        <v>0</v>
      </c>
      <c r="E1808">
        <f>IFERROR(VLOOKUP(A1808,管理亚马逊库存!A:R,18,0),"")</f>
        <v>0</v>
      </c>
      <c r="F1808">
        <f t="shared" si="57"/>
        <v>0</v>
      </c>
      <c r="G1808" t="str">
        <f>IFERROR(VLOOKUP(A1808,预留库存!A:G,7,0),0)</f>
        <v>No</v>
      </c>
      <c r="H1808">
        <f>IFERROR(VLOOKUP(A1808,预留库存!A:H,8,0),0)</f>
        <v>0</v>
      </c>
      <c r="I1808">
        <f>IFERROR(VLOOKUP(A1808,预留库存!A:F,6,0),0)</f>
        <v>22.98</v>
      </c>
      <c r="J1808">
        <f>IFERROR(VLOOKUP(A1808,库龄!B:K,9,0),0)</f>
        <v>0</v>
      </c>
      <c r="K1808">
        <f>IFERROR(VLOOKUP(A1808,库龄!B:L,10,0),0)</f>
        <v>0</v>
      </c>
      <c r="L1808">
        <f>IFERROR(VLOOKUP(A1808,库龄!B:M,11,0),0)</f>
        <v>0</v>
      </c>
      <c r="M1808">
        <f>IFERROR(VLOOKUP(A1808,库龄!B:N,12,0),0)</f>
        <v>0</v>
      </c>
      <c r="N1808">
        <f t="shared" si="58"/>
        <v>0</v>
      </c>
    </row>
    <row r="1809" spans="1:14">
      <c r="A1809" s="3" t="s">
        <v>4653</v>
      </c>
      <c r="B1809">
        <f>IFERROR(VLOOKUP(A1809,管理亚马逊库存!A:K,11,0),"")</f>
        <v>0</v>
      </c>
      <c r="C1809">
        <f>IFERROR(VLOOKUP(A1809,管理亚马逊库存!A:L,12,0),"")</f>
        <v>0</v>
      </c>
      <c r="D1809">
        <f>IFERROR(VLOOKUP(A1809,管理亚马逊库存!A:Q,17,0),"")</f>
        <v>0</v>
      </c>
      <c r="E1809">
        <f>IFERROR(VLOOKUP(A1809,管理亚马逊库存!A:R,18,0),"")</f>
        <v>0</v>
      </c>
      <c r="F1809">
        <f t="shared" si="57"/>
        <v>0</v>
      </c>
      <c r="G1809" t="str">
        <f>IFERROR(VLOOKUP(A1809,预留库存!A:G,7,0),0)</f>
        <v>No</v>
      </c>
      <c r="H1809">
        <f>IFERROR(VLOOKUP(A1809,预留库存!A:H,8,0),0)</f>
        <v>0</v>
      </c>
      <c r="I1809">
        <f>IFERROR(VLOOKUP(A1809,预留库存!A:F,6,0),0)</f>
        <v>22.98</v>
      </c>
      <c r="J1809">
        <f>IFERROR(VLOOKUP(A1809,库龄!B:K,9,0),0)</f>
        <v>0</v>
      </c>
      <c r="K1809">
        <f>IFERROR(VLOOKUP(A1809,库龄!B:L,10,0),0)</f>
        <v>0</v>
      </c>
      <c r="L1809">
        <f>IFERROR(VLOOKUP(A1809,库龄!B:M,11,0),0)</f>
        <v>0</v>
      </c>
      <c r="M1809">
        <f>IFERROR(VLOOKUP(A1809,库龄!B:N,12,0),0)</f>
        <v>0</v>
      </c>
      <c r="N1809">
        <f t="shared" si="58"/>
        <v>0</v>
      </c>
    </row>
    <row r="1810" spans="1:14">
      <c r="A1810" s="3" t="s">
        <v>4655</v>
      </c>
      <c r="B1810">
        <f>IFERROR(VLOOKUP(A1810,管理亚马逊库存!A:K,11,0),"")</f>
        <v>0</v>
      </c>
      <c r="C1810">
        <f>IFERROR(VLOOKUP(A1810,管理亚马逊库存!A:L,12,0),"")</f>
        <v>0</v>
      </c>
      <c r="D1810">
        <f>IFERROR(VLOOKUP(A1810,管理亚马逊库存!A:Q,17,0),"")</f>
        <v>0</v>
      </c>
      <c r="E1810">
        <f>IFERROR(VLOOKUP(A1810,管理亚马逊库存!A:R,18,0),"")</f>
        <v>0</v>
      </c>
      <c r="F1810">
        <f t="shared" si="57"/>
        <v>0</v>
      </c>
      <c r="G1810" t="str">
        <f>IFERROR(VLOOKUP(A1810,预留库存!A:G,7,0),0)</f>
        <v>No</v>
      </c>
      <c r="H1810">
        <f>IFERROR(VLOOKUP(A1810,预留库存!A:H,8,0),0)</f>
        <v>0</v>
      </c>
      <c r="I1810">
        <f>IFERROR(VLOOKUP(A1810,预留库存!A:F,6,0),0)</f>
        <v>22.98</v>
      </c>
      <c r="J1810">
        <f>IFERROR(VLOOKUP(A1810,库龄!B:K,9,0),0)</f>
        <v>0</v>
      </c>
      <c r="K1810">
        <f>IFERROR(VLOOKUP(A1810,库龄!B:L,10,0),0)</f>
        <v>0</v>
      </c>
      <c r="L1810">
        <f>IFERROR(VLOOKUP(A1810,库龄!B:M,11,0),0)</f>
        <v>0</v>
      </c>
      <c r="M1810">
        <f>IFERROR(VLOOKUP(A1810,库龄!B:N,12,0),0)</f>
        <v>0</v>
      </c>
      <c r="N1810">
        <f t="shared" si="58"/>
        <v>0</v>
      </c>
    </row>
    <row r="1811" spans="1:14">
      <c r="A1811" s="3" t="s">
        <v>4658</v>
      </c>
      <c r="B1811">
        <f>IFERROR(VLOOKUP(A1811,管理亚马逊库存!A:K,11,0),"")</f>
        <v>0</v>
      </c>
      <c r="C1811">
        <f>IFERROR(VLOOKUP(A1811,管理亚马逊库存!A:L,12,0),"")</f>
        <v>0</v>
      </c>
      <c r="D1811">
        <f>IFERROR(VLOOKUP(A1811,管理亚马逊库存!A:Q,17,0),"")</f>
        <v>0</v>
      </c>
      <c r="E1811">
        <f>IFERROR(VLOOKUP(A1811,管理亚马逊库存!A:R,18,0),"")</f>
        <v>0</v>
      </c>
      <c r="F1811">
        <f t="shared" si="57"/>
        <v>0</v>
      </c>
      <c r="G1811" t="str">
        <f>IFERROR(VLOOKUP(A1811,预留库存!A:G,7,0),0)</f>
        <v>No</v>
      </c>
      <c r="H1811">
        <f>IFERROR(VLOOKUP(A1811,预留库存!A:H,8,0),0)</f>
        <v>0</v>
      </c>
      <c r="I1811">
        <f>IFERROR(VLOOKUP(A1811,预留库存!A:F,6,0),0)</f>
        <v>22.98</v>
      </c>
      <c r="J1811">
        <f>IFERROR(VLOOKUP(A1811,库龄!B:K,9,0),0)</f>
        <v>0</v>
      </c>
      <c r="K1811">
        <f>IFERROR(VLOOKUP(A1811,库龄!B:L,10,0),0)</f>
        <v>0</v>
      </c>
      <c r="L1811">
        <f>IFERROR(VLOOKUP(A1811,库龄!B:M,11,0),0)</f>
        <v>0</v>
      </c>
      <c r="M1811">
        <f>IFERROR(VLOOKUP(A1811,库龄!B:N,12,0),0)</f>
        <v>0</v>
      </c>
      <c r="N1811">
        <f t="shared" si="58"/>
        <v>0</v>
      </c>
    </row>
    <row r="1812" spans="1:14">
      <c r="A1812" s="3" t="s">
        <v>4661</v>
      </c>
      <c r="B1812">
        <f>IFERROR(VLOOKUP(A1812,管理亚马逊库存!A:K,11,0),"")</f>
        <v>0</v>
      </c>
      <c r="C1812">
        <f>IFERROR(VLOOKUP(A1812,管理亚马逊库存!A:L,12,0),"")</f>
        <v>0</v>
      </c>
      <c r="D1812">
        <f>IFERROR(VLOOKUP(A1812,管理亚马逊库存!A:Q,17,0),"")</f>
        <v>0</v>
      </c>
      <c r="E1812">
        <f>IFERROR(VLOOKUP(A1812,管理亚马逊库存!A:R,18,0),"")</f>
        <v>0</v>
      </c>
      <c r="F1812">
        <f t="shared" si="57"/>
        <v>0</v>
      </c>
      <c r="G1812" t="str">
        <f>IFERROR(VLOOKUP(A1812,预留库存!A:G,7,0),0)</f>
        <v>No</v>
      </c>
      <c r="H1812">
        <f>IFERROR(VLOOKUP(A1812,预留库存!A:H,8,0),0)</f>
        <v>0</v>
      </c>
      <c r="I1812">
        <f>IFERROR(VLOOKUP(A1812,预留库存!A:F,6,0),0)</f>
        <v>22.98</v>
      </c>
      <c r="J1812">
        <f>IFERROR(VLOOKUP(A1812,库龄!B:K,9,0),0)</f>
        <v>0</v>
      </c>
      <c r="K1812">
        <f>IFERROR(VLOOKUP(A1812,库龄!B:L,10,0),0)</f>
        <v>0</v>
      </c>
      <c r="L1812">
        <f>IFERROR(VLOOKUP(A1812,库龄!B:M,11,0),0)</f>
        <v>0</v>
      </c>
      <c r="M1812">
        <f>IFERROR(VLOOKUP(A1812,库龄!B:N,12,0),0)</f>
        <v>0</v>
      </c>
      <c r="N1812">
        <f t="shared" si="58"/>
        <v>0</v>
      </c>
    </row>
    <row r="1813" spans="1:14">
      <c r="A1813" s="3" t="s">
        <v>4663</v>
      </c>
      <c r="B1813">
        <f>IFERROR(VLOOKUP(A1813,管理亚马逊库存!A:K,11,0),"")</f>
        <v>0</v>
      </c>
      <c r="C1813">
        <f>IFERROR(VLOOKUP(A1813,管理亚马逊库存!A:L,12,0),"")</f>
        <v>0</v>
      </c>
      <c r="D1813">
        <f>IFERROR(VLOOKUP(A1813,管理亚马逊库存!A:Q,17,0),"")</f>
        <v>0</v>
      </c>
      <c r="E1813">
        <f>IFERROR(VLOOKUP(A1813,管理亚马逊库存!A:R,18,0),"")</f>
        <v>0</v>
      </c>
      <c r="F1813">
        <f t="shared" si="57"/>
        <v>0</v>
      </c>
      <c r="G1813" t="str">
        <f>IFERROR(VLOOKUP(A1813,预留库存!A:G,7,0),0)</f>
        <v>No</v>
      </c>
      <c r="H1813">
        <f>IFERROR(VLOOKUP(A1813,预留库存!A:H,8,0),0)</f>
        <v>0</v>
      </c>
      <c r="I1813">
        <f>IFERROR(VLOOKUP(A1813,预留库存!A:F,6,0),0)</f>
        <v>22.98</v>
      </c>
      <c r="J1813">
        <f>IFERROR(VLOOKUP(A1813,库龄!B:K,9,0),0)</f>
        <v>0</v>
      </c>
      <c r="K1813">
        <f>IFERROR(VLOOKUP(A1813,库龄!B:L,10,0),0)</f>
        <v>0</v>
      </c>
      <c r="L1813">
        <f>IFERROR(VLOOKUP(A1813,库龄!B:M,11,0),0)</f>
        <v>0</v>
      </c>
      <c r="M1813">
        <f>IFERROR(VLOOKUP(A1813,库龄!B:N,12,0),0)</f>
        <v>0</v>
      </c>
      <c r="N1813">
        <f t="shared" si="58"/>
        <v>0</v>
      </c>
    </row>
    <row r="1814" spans="1:14">
      <c r="A1814" s="3" t="s">
        <v>4666</v>
      </c>
      <c r="B1814">
        <f>IFERROR(VLOOKUP(A1814,管理亚马逊库存!A:K,11,0),"")</f>
        <v>0</v>
      </c>
      <c r="C1814">
        <f>IFERROR(VLOOKUP(A1814,管理亚马逊库存!A:L,12,0),"")</f>
        <v>0</v>
      </c>
      <c r="D1814">
        <f>IFERROR(VLOOKUP(A1814,管理亚马逊库存!A:Q,17,0),"")</f>
        <v>0</v>
      </c>
      <c r="E1814">
        <f>IFERROR(VLOOKUP(A1814,管理亚马逊库存!A:R,18,0),"")</f>
        <v>0</v>
      </c>
      <c r="F1814">
        <f t="shared" si="57"/>
        <v>0</v>
      </c>
      <c r="G1814" t="str">
        <f>IFERROR(VLOOKUP(A1814,预留库存!A:G,7,0),0)</f>
        <v>No</v>
      </c>
      <c r="H1814">
        <f>IFERROR(VLOOKUP(A1814,预留库存!A:H,8,0),0)</f>
        <v>0</v>
      </c>
      <c r="I1814">
        <f>IFERROR(VLOOKUP(A1814,预留库存!A:F,6,0),0)</f>
        <v>22.98</v>
      </c>
      <c r="J1814">
        <f>IFERROR(VLOOKUP(A1814,库龄!B:K,9,0),0)</f>
        <v>0</v>
      </c>
      <c r="K1814">
        <f>IFERROR(VLOOKUP(A1814,库龄!B:L,10,0),0)</f>
        <v>0</v>
      </c>
      <c r="L1814">
        <f>IFERROR(VLOOKUP(A1814,库龄!B:M,11,0),0)</f>
        <v>0</v>
      </c>
      <c r="M1814">
        <f>IFERROR(VLOOKUP(A1814,库龄!B:N,12,0),0)</f>
        <v>0</v>
      </c>
      <c r="N1814">
        <f t="shared" si="58"/>
        <v>0</v>
      </c>
    </row>
    <row r="1815" spans="1:14">
      <c r="A1815" s="3" t="s">
        <v>4668</v>
      </c>
      <c r="B1815">
        <f>IFERROR(VLOOKUP(A1815,管理亚马逊库存!A:K,11,0),"")</f>
        <v>0</v>
      </c>
      <c r="C1815">
        <f>IFERROR(VLOOKUP(A1815,管理亚马逊库存!A:L,12,0),"")</f>
        <v>0</v>
      </c>
      <c r="D1815">
        <f>IFERROR(VLOOKUP(A1815,管理亚马逊库存!A:Q,17,0),"")</f>
        <v>0</v>
      </c>
      <c r="E1815">
        <f>IFERROR(VLOOKUP(A1815,管理亚马逊库存!A:R,18,0),"")</f>
        <v>0</v>
      </c>
      <c r="F1815">
        <f t="shared" si="57"/>
        <v>0</v>
      </c>
      <c r="G1815" t="str">
        <f>IFERROR(VLOOKUP(A1815,预留库存!A:G,7,0),0)</f>
        <v>No</v>
      </c>
      <c r="H1815">
        <f>IFERROR(VLOOKUP(A1815,预留库存!A:H,8,0),0)</f>
        <v>0</v>
      </c>
      <c r="I1815">
        <f>IFERROR(VLOOKUP(A1815,预留库存!A:F,6,0),0)</f>
        <v>22.98</v>
      </c>
      <c r="J1815">
        <f>IFERROR(VLOOKUP(A1815,库龄!B:K,9,0),0)</f>
        <v>0</v>
      </c>
      <c r="K1815">
        <f>IFERROR(VLOOKUP(A1815,库龄!B:L,10,0),0)</f>
        <v>0</v>
      </c>
      <c r="L1815">
        <f>IFERROR(VLOOKUP(A1815,库龄!B:M,11,0),0)</f>
        <v>0</v>
      </c>
      <c r="M1815">
        <f>IFERROR(VLOOKUP(A1815,库龄!B:N,12,0),0)</f>
        <v>0</v>
      </c>
      <c r="N1815">
        <f t="shared" si="58"/>
        <v>0</v>
      </c>
    </row>
    <row r="1816" spans="1:14">
      <c r="A1816" s="3" t="s">
        <v>4670</v>
      </c>
      <c r="B1816">
        <f>IFERROR(VLOOKUP(A1816,管理亚马逊库存!A:K,11,0),"")</f>
        <v>0</v>
      </c>
      <c r="C1816">
        <f>IFERROR(VLOOKUP(A1816,管理亚马逊库存!A:L,12,0),"")</f>
        <v>0</v>
      </c>
      <c r="D1816">
        <f>IFERROR(VLOOKUP(A1816,管理亚马逊库存!A:Q,17,0),"")</f>
        <v>0</v>
      </c>
      <c r="E1816">
        <f>IFERROR(VLOOKUP(A1816,管理亚马逊库存!A:R,18,0),"")</f>
        <v>0</v>
      </c>
      <c r="F1816">
        <f t="shared" si="57"/>
        <v>0</v>
      </c>
      <c r="G1816" t="str">
        <f>IFERROR(VLOOKUP(A1816,预留库存!A:G,7,0),0)</f>
        <v>No</v>
      </c>
      <c r="H1816">
        <f>IFERROR(VLOOKUP(A1816,预留库存!A:H,8,0),0)</f>
        <v>0</v>
      </c>
      <c r="I1816">
        <f>IFERROR(VLOOKUP(A1816,预留库存!A:F,6,0),0)</f>
        <v>22.98</v>
      </c>
      <c r="J1816">
        <f>IFERROR(VLOOKUP(A1816,库龄!B:K,9,0),0)</f>
        <v>0</v>
      </c>
      <c r="K1816">
        <f>IFERROR(VLOOKUP(A1816,库龄!B:L,10,0),0)</f>
        <v>0</v>
      </c>
      <c r="L1816">
        <f>IFERROR(VLOOKUP(A1816,库龄!B:M,11,0),0)</f>
        <v>0</v>
      </c>
      <c r="M1816">
        <f>IFERROR(VLOOKUP(A1816,库龄!B:N,12,0),0)</f>
        <v>0</v>
      </c>
      <c r="N1816">
        <f t="shared" si="58"/>
        <v>0</v>
      </c>
    </row>
    <row r="1817" spans="1:14">
      <c r="A1817" s="3" t="s">
        <v>4672</v>
      </c>
      <c r="B1817">
        <f>IFERROR(VLOOKUP(A1817,管理亚马逊库存!A:K,11,0),"")</f>
        <v>0</v>
      </c>
      <c r="C1817">
        <f>IFERROR(VLOOKUP(A1817,管理亚马逊库存!A:L,12,0),"")</f>
        <v>0</v>
      </c>
      <c r="D1817">
        <f>IFERROR(VLOOKUP(A1817,管理亚马逊库存!A:Q,17,0),"")</f>
        <v>0</v>
      </c>
      <c r="E1817">
        <f>IFERROR(VLOOKUP(A1817,管理亚马逊库存!A:R,18,0),"")</f>
        <v>0</v>
      </c>
      <c r="F1817">
        <f t="shared" si="57"/>
        <v>0</v>
      </c>
      <c r="G1817" t="str">
        <f>IFERROR(VLOOKUP(A1817,预留库存!A:G,7,0),0)</f>
        <v>No</v>
      </c>
      <c r="H1817">
        <f>IFERROR(VLOOKUP(A1817,预留库存!A:H,8,0),0)</f>
        <v>0</v>
      </c>
      <c r="I1817">
        <f>IFERROR(VLOOKUP(A1817,预留库存!A:F,6,0),0)</f>
        <v>22.98</v>
      </c>
      <c r="J1817">
        <f>IFERROR(VLOOKUP(A1817,库龄!B:K,9,0),0)</f>
        <v>0</v>
      </c>
      <c r="K1817">
        <f>IFERROR(VLOOKUP(A1817,库龄!B:L,10,0),0)</f>
        <v>0</v>
      </c>
      <c r="L1817">
        <f>IFERROR(VLOOKUP(A1817,库龄!B:M,11,0),0)</f>
        <v>0</v>
      </c>
      <c r="M1817">
        <f>IFERROR(VLOOKUP(A1817,库龄!B:N,12,0),0)</f>
        <v>0</v>
      </c>
      <c r="N1817">
        <f t="shared" si="58"/>
        <v>0</v>
      </c>
    </row>
    <row r="1818" spans="1:14">
      <c r="A1818" s="3" t="s">
        <v>4674</v>
      </c>
      <c r="B1818">
        <f>IFERROR(VLOOKUP(A1818,管理亚马逊库存!A:K,11,0),"")</f>
        <v>0</v>
      </c>
      <c r="C1818">
        <f>IFERROR(VLOOKUP(A1818,管理亚马逊库存!A:L,12,0),"")</f>
        <v>0</v>
      </c>
      <c r="D1818">
        <f>IFERROR(VLOOKUP(A1818,管理亚马逊库存!A:Q,17,0),"")</f>
        <v>0</v>
      </c>
      <c r="E1818">
        <f>IFERROR(VLOOKUP(A1818,管理亚马逊库存!A:R,18,0),"")</f>
        <v>0</v>
      </c>
      <c r="F1818">
        <f t="shared" si="57"/>
        <v>0</v>
      </c>
      <c r="G1818" t="str">
        <f>IFERROR(VLOOKUP(A1818,预留库存!A:G,7,0),0)</f>
        <v>No</v>
      </c>
      <c r="H1818">
        <f>IFERROR(VLOOKUP(A1818,预留库存!A:H,8,0),0)</f>
        <v>0</v>
      </c>
      <c r="I1818">
        <f>IFERROR(VLOOKUP(A1818,预留库存!A:F,6,0),0)</f>
        <v>22.98</v>
      </c>
      <c r="J1818">
        <f>IFERROR(VLOOKUP(A1818,库龄!B:K,9,0),0)</f>
        <v>0</v>
      </c>
      <c r="K1818">
        <f>IFERROR(VLOOKUP(A1818,库龄!B:L,10,0),0)</f>
        <v>0</v>
      </c>
      <c r="L1818">
        <f>IFERROR(VLOOKUP(A1818,库龄!B:M,11,0),0)</f>
        <v>0</v>
      </c>
      <c r="M1818">
        <f>IFERROR(VLOOKUP(A1818,库龄!B:N,12,0),0)</f>
        <v>0</v>
      </c>
      <c r="N1818">
        <f t="shared" si="58"/>
        <v>0</v>
      </c>
    </row>
    <row r="1819" spans="1:14">
      <c r="A1819" s="3" t="s">
        <v>4676</v>
      </c>
      <c r="B1819">
        <f>IFERROR(VLOOKUP(A1819,管理亚马逊库存!A:K,11,0),"")</f>
        <v>0</v>
      </c>
      <c r="C1819">
        <f>IFERROR(VLOOKUP(A1819,管理亚马逊库存!A:L,12,0),"")</f>
        <v>0</v>
      </c>
      <c r="D1819">
        <f>IFERROR(VLOOKUP(A1819,管理亚马逊库存!A:Q,17,0),"")</f>
        <v>0</v>
      </c>
      <c r="E1819">
        <f>IFERROR(VLOOKUP(A1819,管理亚马逊库存!A:R,18,0),"")</f>
        <v>0</v>
      </c>
      <c r="F1819">
        <f t="shared" si="57"/>
        <v>0</v>
      </c>
      <c r="G1819" t="str">
        <f>IFERROR(VLOOKUP(A1819,预留库存!A:G,7,0),0)</f>
        <v>No</v>
      </c>
      <c r="H1819">
        <f>IFERROR(VLOOKUP(A1819,预留库存!A:H,8,0),0)</f>
        <v>0</v>
      </c>
      <c r="I1819">
        <f>IFERROR(VLOOKUP(A1819,预留库存!A:F,6,0),0)</f>
        <v>22.98</v>
      </c>
      <c r="J1819">
        <f>IFERROR(VLOOKUP(A1819,库龄!B:K,9,0),0)</f>
        <v>0</v>
      </c>
      <c r="K1819">
        <f>IFERROR(VLOOKUP(A1819,库龄!B:L,10,0),0)</f>
        <v>0</v>
      </c>
      <c r="L1819">
        <f>IFERROR(VLOOKUP(A1819,库龄!B:M,11,0),0)</f>
        <v>0</v>
      </c>
      <c r="M1819">
        <f>IFERROR(VLOOKUP(A1819,库龄!B:N,12,0),0)</f>
        <v>0</v>
      </c>
      <c r="N1819">
        <f t="shared" si="58"/>
        <v>0</v>
      </c>
    </row>
    <row r="1820" spans="1:14">
      <c r="A1820" s="3" t="s">
        <v>4678</v>
      </c>
      <c r="B1820">
        <f>IFERROR(VLOOKUP(A1820,管理亚马逊库存!A:K,11,0),"")</f>
        <v>0</v>
      </c>
      <c r="C1820">
        <f>IFERROR(VLOOKUP(A1820,管理亚马逊库存!A:L,12,0),"")</f>
        <v>0</v>
      </c>
      <c r="D1820">
        <f>IFERROR(VLOOKUP(A1820,管理亚马逊库存!A:Q,17,0),"")</f>
        <v>0</v>
      </c>
      <c r="E1820">
        <f>IFERROR(VLOOKUP(A1820,管理亚马逊库存!A:R,18,0),"")</f>
        <v>0</v>
      </c>
      <c r="F1820">
        <f t="shared" si="57"/>
        <v>0</v>
      </c>
      <c r="G1820" t="str">
        <f>IFERROR(VLOOKUP(A1820,预留库存!A:G,7,0),0)</f>
        <v>No</v>
      </c>
      <c r="H1820">
        <f>IFERROR(VLOOKUP(A1820,预留库存!A:H,8,0),0)</f>
        <v>0</v>
      </c>
      <c r="I1820">
        <f>IFERROR(VLOOKUP(A1820,预留库存!A:F,6,0),0)</f>
        <v>22.98</v>
      </c>
      <c r="J1820">
        <f>IFERROR(VLOOKUP(A1820,库龄!B:K,9,0),0)</f>
        <v>0</v>
      </c>
      <c r="K1820">
        <f>IFERROR(VLOOKUP(A1820,库龄!B:L,10,0),0)</f>
        <v>0</v>
      </c>
      <c r="L1820">
        <f>IFERROR(VLOOKUP(A1820,库龄!B:M,11,0),0)</f>
        <v>0</v>
      </c>
      <c r="M1820">
        <f>IFERROR(VLOOKUP(A1820,库龄!B:N,12,0),0)</f>
        <v>0</v>
      </c>
      <c r="N1820">
        <f t="shared" si="58"/>
        <v>0</v>
      </c>
    </row>
    <row r="1821" spans="1:14">
      <c r="A1821" s="3" t="s">
        <v>4680</v>
      </c>
      <c r="B1821">
        <f>IFERROR(VLOOKUP(A1821,管理亚马逊库存!A:K,11,0),"")</f>
        <v>0</v>
      </c>
      <c r="C1821">
        <f>IFERROR(VLOOKUP(A1821,管理亚马逊库存!A:L,12,0),"")</f>
        <v>0</v>
      </c>
      <c r="D1821">
        <f>IFERROR(VLOOKUP(A1821,管理亚马逊库存!A:Q,17,0),"")</f>
        <v>0</v>
      </c>
      <c r="E1821">
        <f>IFERROR(VLOOKUP(A1821,管理亚马逊库存!A:R,18,0),"")</f>
        <v>0</v>
      </c>
      <c r="F1821">
        <f t="shared" si="57"/>
        <v>0</v>
      </c>
      <c r="G1821" t="str">
        <f>IFERROR(VLOOKUP(A1821,预留库存!A:G,7,0),0)</f>
        <v>No</v>
      </c>
      <c r="H1821">
        <f>IFERROR(VLOOKUP(A1821,预留库存!A:H,8,0),0)</f>
        <v>0</v>
      </c>
      <c r="I1821">
        <f>IFERROR(VLOOKUP(A1821,预留库存!A:F,6,0),0)</f>
        <v>22.98</v>
      </c>
      <c r="J1821">
        <f>IFERROR(VLOOKUP(A1821,库龄!B:K,9,0),0)</f>
        <v>0</v>
      </c>
      <c r="K1821">
        <f>IFERROR(VLOOKUP(A1821,库龄!B:L,10,0),0)</f>
        <v>0</v>
      </c>
      <c r="L1821">
        <f>IFERROR(VLOOKUP(A1821,库龄!B:M,11,0),0)</f>
        <v>0</v>
      </c>
      <c r="M1821">
        <f>IFERROR(VLOOKUP(A1821,库龄!B:N,12,0),0)</f>
        <v>0</v>
      </c>
      <c r="N1821">
        <f t="shared" si="58"/>
        <v>0</v>
      </c>
    </row>
    <row r="1822" spans="1:14">
      <c r="A1822" s="3" t="s">
        <v>4682</v>
      </c>
      <c r="B1822">
        <f>IFERROR(VLOOKUP(A1822,管理亚马逊库存!A:K,11,0),"")</f>
        <v>0</v>
      </c>
      <c r="C1822">
        <f>IFERROR(VLOOKUP(A1822,管理亚马逊库存!A:L,12,0),"")</f>
        <v>0</v>
      </c>
      <c r="D1822">
        <f>IFERROR(VLOOKUP(A1822,管理亚马逊库存!A:Q,17,0),"")</f>
        <v>0</v>
      </c>
      <c r="E1822">
        <f>IFERROR(VLOOKUP(A1822,管理亚马逊库存!A:R,18,0),"")</f>
        <v>0</v>
      </c>
      <c r="F1822">
        <f t="shared" si="57"/>
        <v>0</v>
      </c>
      <c r="G1822" t="str">
        <f>IFERROR(VLOOKUP(A1822,预留库存!A:G,7,0),0)</f>
        <v>No</v>
      </c>
      <c r="H1822">
        <f>IFERROR(VLOOKUP(A1822,预留库存!A:H,8,0),0)</f>
        <v>0</v>
      </c>
      <c r="I1822">
        <f>IFERROR(VLOOKUP(A1822,预留库存!A:F,6,0),0)</f>
        <v>23.98</v>
      </c>
      <c r="J1822">
        <f>IFERROR(VLOOKUP(A1822,库龄!B:K,9,0),0)</f>
        <v>0</v>
      </c>
      <c r="K1822">
        <f>IFERROR(VLOOKUP(A1822,库龄!B:L,10,0),0)</f>
        <v>0</v>
      </c>
      <c r="L1822">
        <f>IFERROR(VLOOKUP(A1822,库龄!B:M,11,0),0)</f>
        <v>0</v>
      </c>
      <c r="M1822">
        <f>IFERROR(VLOOKUP(A1822,库龄!B:N,12,0),0)</f>
        <v>0</v>
      </c>
      <c r="N1822">
        <f t="shared" si="58"/>
        <v>0</v>
      </c>
    </row>
    <row r="1823" spans="1:14">
      <c r="A1823" s="3" t="s">
        <v>4684</v>
      </c>
      <c r="B1823">
        <f>IFERROR(VLOOKUP(A1823,管理亚马逊库存!A:K,11,0),"")</f>
        <v>5</v>
      </c>
      <c r="C1823">
        <f>IFERROR(VLOOKUP(A1823,管理亚马逊库存!A:L,12,0),"")</f>
        <v>0</v>
      </c>
      <c r="D1823">
        <f>IFERROR(VLOOKUP(A1823,管理亚马逊库存!A:Q,17,0),"")</f>
        <v>8</v>
      </c>
      <c r="E1823">
        <f>IFERROR(VLOOKUP(A1823,管理亚马逊库存!A:R,18,0),"")</f>
        <v>0</v>
      </c>
      <c r="F1823">
        <f t="shared" si="57"/>
        <v>8</v>
      </c>
      <c r="G1823" t="str">
        <f>IFERROR(VLOOKUP(A1823,预留库存!A:G,7,0),0)</f>
        <v>No</v>
      </c>
      <c r="H1823">
        <f>IFERROR(VLOOKUP(A1823,预留库存!A:H,8,0),0)</f>
        <v>0</v>
      </c>
      <c r="I1823">
        <f>IFERROR(VLOOKUP(A1823,预留库存!A:F,6,0),0)</f>
        <v>23.98</v>
      </c>
      <c r="J1823">
        <f>IFERROR(VLOOKUP(A1823,库龄!B:K,9,0),0)</f>
        <v>0</v>
      </c>
      <c r="K1823">
        <f>IFERROR(VLOOKUP(A1823,库龄!B:L,10,0),0)</f>
        <v>0</v>
      </c>
      <c r="L1823">
        <f>IFERROR(VLOOKUP(A1823,库龄!B:M,11,0),0)</f>
        <v>0</v>
      </c>
      <c r="M1823">
        <f>IFERROR(VLOOKUP(A1823,库龄!B:N,12,0),0)</f>
        <v>0</v>
      </c>
      <c r="N1823">
        <f t="shared" si="58"/>
        <v>0</v>
      </c>
    </row>
    <row r="1824" spans="1:14">
      <c r="A1824" s="3" t="s">
        <v>4686</v>
      </c>
      <c r="B1824">
        <f>IFERROR(VLOOKUP(A1824,管理亚马逊库存!A:K,11,0),"")</f>
        <v>0</v>
      </c>
      <c r="C1824">
        <f>IFERROR(VLOOKUP(A1824,管理亚马逊库存!A:L,12,0),"")</f>
        <v>0</v>
      </c>
      <c r="D1824">
        <f>IFERROR(VLOOKUP(A1824,管理亚马逊库存!A:Q,17,0),"")</f>
        <v>0</v>
      </c>
      <c r="E1824">
        <f>IFERROR(VLOOKUP(A1824,管理亚马逊库存!A:R,18,0),"")</f>
        <v>0</v>
      </c>
      <c r="F1824">
        <f t="shared" si="57"/>
        <v>0</v>
      </c>
      <c r="G1824" t="str">
        <f>IFERROR(VLOOKUP(A1824,预留库存!A:G,7,0),0)</f>
        <v>No</v>
      </c>
      <c r="H1824">
        <f>IFERROR(VLOOKUP(A1824,预留库存!A:H,8,0),0)</f>
        <v>0</v>
      </c>
      <c r="I1824">
        <f>IFERROR(VLOOKUP(A1824,预留库存!A:F,6,0),0)</f>
        <v>23.98</v>
      </c>
      <c r="J1824">
        <f>IFERROR(VLOOKUP(A1824,库龄!B:K,9,0),0)</f>
        <v>0</v>
      </c>
      <c r="K1824">
        <f>IFERROR(VLOOKUP(A1824,库龄!B:L,10,0),0)</f>
        <v>0</v>
      </c>
      <c r="L1824">
        <f>IFERROR(VLOOKUP(A1824,库龄!B:M,11,0),0)</f>
        <v>0</v>
      </c>
      <c r="M1824">
        <f>IFERROR(VLOOKUP(A1824,库龄!B:N,12,0),0)</f>
        <v>0</v>
      </c>
      <c r="N1824">
        <f t="shared" si="58"/>
        <v>0</v>
      </c>
    </row>
    <row r="1825" spans="1:14">
      <c r="A1825" s="3" t="s">
        <v>4688</v>
      </c>
      <c r="B1825">
        <f>IFERROR(VLOOKUP(A1825,管理亚马逊库存!A:K,11,0),"")</f>
        <v>0</v>
      </c>
      <c r="C1825">
        <f>IFERROR(VLOOKUP(A1825,管理亚马逊库存!A:L,12,0),"")</f>
        <v>0</v>
      </c>
      <c r="D1825">
        <f>IFERROR(VLOOKUP(A1825,管理亚马逊库存!A:Q,17,0),"")</f>
        <v>0</v>
      </c>
      <c r="E1825">
        <f>IFERROR(VLOOKUP(A1825,管理亚马逊库存!A:R,18,0),"")</f>
        <v>0</v>
      </c>
      <c r="F1825">
        <f t="shared" si="57"/>
        <v>0</v>
      </c>
      <c r="G1825" t="str">
        <f>IFERROR(VLOOKUP(A1825,预留库存!A:G,7,0),0)</f>
        <v>No</v>
      </c>
      <c r="H1825">
        <f>IFERROR(VLOOKUP(A1825,预留库存!A:H,8,0),0)</f>
        <v>0</v>
      </c>
      <c r="I1825">
        <f>IFERROR(VLOOKUP(A1825,预留库存!A:F,6,0),0)</f>
        <v>23.98</v>
      </c>
      <c r="J1825">
        <f>IFERROR(VLOOKUP(A1825,库龄!B:K,9,0),0)</f>
        <v>0</v>
      </c>
      <c r="K1825">
        <f>IFERROR(VLOOKUP(A1825,库龄!B:L,10,0),0)</f>
        <v>0</v>
      </c>
      <c r="L1825">
        <f>IFERROR(VLOOKUP(A1825,库龄!B:M,11,0),0)</f>
        <v>0</v>
      </c>
      <c r="M1825">
        <f>IFERROR(VLOOKUP(A1825,库龄!B:N,12,0),0)</f>
        <v>0</v>
      </c>
      <c r="N1825">
        <f t="shared" si="58"/>
        <v>0</v>
      </c>
    </row>
    <row r="1826" spans="1:14">
      <c r="A1826" s="3" t="s">
        <v>4690</v>
      </c>
      <c r="B1826">
        <f>IFERROR(VLOOKUP(A1826,管理亚马逊库存!A:K,11,0),"")</f>
        <v>0</v>
      </c>
      <c r="C1826">
        <f>IFERROR(VLOOKUP(A1826,管理亚马逊库存!A:L,12,0),"")</f>
        <v>0</v>
      </c>
      <c r="D1826">
        <f>IFERROR(VLOOKUP(A1826,管理亚马逊库存!A:Q,17,0),"")</f>
        <v>0</v>
      </c>
      <c r="E1826">
        <f>IFERROR(VLOOKUP(A1826,管理亚马逊库存!A:R,18,0),"")</f>
        <v>0</v>
      </c>
      <c r="F1826">
        <f t="shared" si="57"/>
        <v>0</v>
      </c>
      <c r="G1826" t="str">
        <f>IFERROR(VLOOKUP(A1826,预留库存!A:G,7,0),0)</f>
        <v>No</v>
      </c>
      <c r="H1826">
        <f>IFERROR(VLOOKUP(A1826,预留库存!A:H,8,0),0)</f>
        <v>0</v>
      </c>
      <c r="I1826">
        <f>IFERROR(VLOOKUP(A1826,预留库存!A:F,6,0),0)</f>
        <v>23.98</v>
      </c>
      <c r="J1826">
        <f>IFERROR(VLOOKUP(A1826,库龄!B:K,9,0),0)</f>
        <v>0</v>
      </c>
      <c r="K1826">
        <f>IFERROR(VLOOKUP(A1826,库龄!B:L,10,0),0)</f>
        <v>0</v>
      </c>
      <c r="L1826">
        <f>IFERROR(VLOOKUP(A1826,库龄!B:M,11,0),0)</f>
        <v>0</v>
      </c>
      <c r="M1826">
        <f>IFERROR(VLOOKUP(A1826,库龄!B:N,12,0),0)</f>
        <v>0</v>
      </c>
      <c r="N1826">
        <f t="shared" si="58"/>
        <v>0</v>
      </c>
    </row>
    <row r="1827" spans="1:14">
      <c r="A1827" s="3" t="s">
        <v>4692</v>
      </c>
      <c r="B1827">
        <f>IFERROR(VLOOKUP(A1827,管理亚马逊库存!A:K,11,0),"")</f>
        <v>0</v>
      </c>
      <c r="C1827">
        <f>IFERROR(VLOOKUP(A1827,管理亚马逊库存!A:L,12,0),"")</f>
        <v>0</v>
      </c>
      <c r="D1827">
        <f>IFERROR(VLOOKUP(A1827,管理亚马逊库存!A:Q,17,0),"")</f>
        <v>0</v>
      </c>
      <c r="E1827">
        <f>IFERROR(VLOOKUP(A1827,管理亚马逊库存!A:R,18,0),"")</f>
        <v>0</v>
      </c>
      <c r="F1827">
        <f t="shared" si="57"/>
        <v>0</v>
      </c>
      <c r="G1827" t="str">
        <f>IFERROR(VLOOKUP(A1827,预留库存!A:G,7,0),0)</f>
        <v>No</v>
      </c>
      <c r="H1827">
        <f>IFERROR(VLOOKUP(A1827,预留库存!A:H,8,0),0)</f>
        <v>0</v>
      </c>
      <c r="I1827">
        <f>IFERROR(VLOOKUP(A1827,预留库存!A:F,6,0),0)</f>
        <v>23.98</v>
      </c>
      <c r="J1827">
        <f>IFERROR(VLOOKUP(A1827,库龄!B:K,9,0),0)</f>
        <v>0</v>
      </c>
      <c r="K1827">
        <f>IFERROR(VLOOKUP(A1827,库龄!B:L,10,0),0)</f>
        <v>0</v>
      </c>
      <c r="L1827">
        <f>IFERROR(VLOOKUP(A1827,库龄!B:M,11,0),0)</f>
        <v>0</v>
      </c>
      <c r="M1827">
        <f>IFERROR(VLOOKUP(A1827,库龄!B:N,12,0),0)</f>
        <v>0</v>
      </c>
      <c r="N1827">
        <f t="shared" si="58"/>
        <v>0</v>
      </c>
    </row>
    <row r="1828" spans="1:14">
      <c r="A1828" s="3" t="s">
        <v>4694</v>
      </c>
      <c r="B1828">
        <f>IFERROR(VLOOKUP(A1828,管理亚马逊库存!A:K,11,0),"")</f>
        <v>0</v>
      </c>
      <c r="C1828">
        <f>IFERROR(VLOOKUP(A1828,管理亚马逊库存!A:L,12,0),"")</f>
        <v>0</v>
      </c>
      <c r="D1828">
        <f>IFERROR(VLOOKUP(A1828,管理亚马逊库存!A:Q,17,0),"")</f>
        <v>0</v>
      </c>
      <c r="E1828">
        <f>IFERROR(VLOOKUP(A1828,管理亚马逊库存!A:R,18,0),"")</f>
        <v>0</v>
      </c>
      <c r="F1828">
        <f t="shared" si="57"/>
        <v>0</v>
      </c>
      <c r="G1828" t="str">
        <f>IFERROR(VLOOKUP(A1828,预留库存!A:G,7,0),0)</f>
        <v>No</v>
      </c>
      <c r="H1828">
        <f>IFERROR(VLOOKUP(A1828,预留库存!A:H,8,0),0)</f>
        <v>0</v>
      </c>
      <c r="I1828">
        <f>IFERROR(VLOOKUP(A1828,预留库存!A:F,6,0),0)</f>
        <v>23.98</v>
      </c>
      <c r="J1828">
        <f>IFERROR(VLOOKUP(A1828,库龄!B:K,9,0),0)</f>
        <v>0</v>
      </c>
      <c r="K1828">
        <f>IFERROR(VLOOKUP(A1828,库龄!B:L,10,0),0)</f>
        <v>0</v>
      </c>
      <c r="L1828">
        <f>IFERROR(VLOOKUP(A1828,库龄!B:M,11,0),0)</f>
        <v>0</v>
      </c>
      <c r="M1828">
        <f>IFERROR(VLOOKUP(A1828,库龄!B:N,12,0),0)</f>
        <v>0</v>
      </c>
      <c r="N1828">
        <f t="shared" si="58"/>
        <v>0</v>
      </c>
    </row>
    <row r="1829" spans="1:14">
      <c r="A1829" s="3" t="s">
        <v>4696</v>
      </c>
      <c r="B1829">
        <f>IFERROR(VLOOKUP(A1829,管理亚马逊库存!A:K,11,0),"")</f>
        <v>0</v>
      </c>
      <c r="C1829">
        <f>IFERROR(VLOOKUP(A1829,管理亚马逊库存!A:L,12,0),"")</f>
        <v>0</v>
      </c>
      <c r="D1829">
        <f>IFERROR(VLOOKUP(A1829,管理亚马逊库存!A:Q,17,0),"")</f>
        <v>0</v>
      </c>
      <c r="E1829">
        <f>IFERROR(VLOOKUP(A1829,管理亚马逊库存!A:R,18,0),"")</f>
        <v>0</v>
      </c>
      <c r="F1829">
        <f t="shared" si="57"/>
        <v>0</v>
      </c>
      <c r="G1829" t="str">
        <f>IFERROR(VLOOKUP(A1829,预留库存!A:G,7,0),0)</f>
        <v>No</v>
      </c>
      <c r="H1829">
        <f>IFERROR(VLOOKUP(A1829,预留库存!A:H,8,0),0)</f>
        <v>0</v>
      </c>
      <c r="I1829">
        <f>IFERROR(VLOOKUP(A1829,预留库存!A:F,6,0),0)</f>
        <v>23.98</v>
      </c>
      <c r="J1829">
        <f>IFERROR(VLOOKUP(A1829,库龄!B:K,9,0),0)</f>
        <v>0</v>
      </c>
      <c r="K1829">
        <f>IFERROR(VLOOKUP(A1829,库龄!B:L,10,0),0)</f>
        <v>0</v>
      </c>
      <c r="L1829">
        <f>IFERROR(VLOOKUP(A1829,库龄!B:M,11,0),0)</f>
        <v>0</v>
      </c>
      <c r="M1829">
        <f>IFERROR(VLOOKUP(A1829,库龄!B:N,12,0),0)</f>
        <v>0</v>
      </c>
      <c r="N1829">
        <f t="shared" si="58"/>
        <v>0</v>
      </c>
    </row>
    <row r="1830" spans="1:14">
      <c r="A1830" s="3" t="s">
        <v>4698</v>
      </c>
      <c r="B1830">
        <f>IFERROR(VLOOKUP(A1830,管理亚马逊库存!A:K,11,0),"")</f>
        <v>0</v>
      </c>
      <c r="C1830">
        <f>IFERROR(VLOOKUP(A1830,管理亚马逊库存!A:L,12,0),"")</f>
        <v>0</v>
      </c>
      <c r="D1830">
        <f>IFERROR(VLOOKUP(A1830,管理亚马逊库存!A:Q,17,0),"")</f>
        <v>0</v>
      </c>
      <c r="E1830">
        <f>IFERROR(VLOOKUP(A1830,管理亚马逊库存!A:R,18,0),"")</f>
        <v>0</v>
      </c>
      <c r="F1830">
        <f t="shared" si="57"/>
        <v>0</v>
      </c>
      <c r="G1830" t="str">
        <f>IFERROR(VLOOKUP(A1830,预留库存!A:G,7,0),0)</f>
        <v>No</v>
      </c>
      <c r="H1830">
        <f>IFERROR(VLOOKUP(A1830,预留库存!A:H,8,0),0)</f>
        <v>0</v>
      </c>
      <c r="I1830">
        <f>IFERROR(VLOOKUP(A1830,预留库存!A:F,6,0),0)</f>
        <v>23.98</v>
      </c>
      <c r="J1830">
        <f>IFERROR(VLOOKUP(A1830,库龄!B:K,9,0),0)</f>
        <v>0</v>
      </c>
      <c r="K1830">
        <f>IFERROR(VLOOKUP(A1830,库龄!B:L,10,0),0)</f>
        <v>0</v>
      </c>
      <c r="L1830">
        <f>IFERROR(VLOOKUP(A1830,库龄!B:M,11,0),0)</f>
        <v>0</v>
      </c>
      <c r="M1830">
        <f>IFERROR(VLOOKUP(A1830,库龄!B:N,12,0),0)</f>
        <v>0</v>
      </c>
      <c r="N1830">
        <f t="shared" si="58"/>
        <v>0</v>
      </c>
    </row>
    <row r="1831" spans="1:14">
      <c r="A1831" s="3" t="s">
        <v>4700</v>
      </c>
      <c r="B1831">
        <f>IFERROR(VLOOKUP(A1831,管理亚马逊库存!A:K,11,0),"")</f>
        <v>0</v>
      </c>
      <c r="C1831">
        <f>IFERROR(VLOOKUP(A1831,管理亚马逊库存!A:L,12,0),"")</f>
        <v>0</v>
      </c>
      <c r="D1831">
        <f>IFERROR(VLOOKUP(A1831,管理亚马逊库存!A:Q,17,0),"")</f>
        <v>0</v>
      </c>
      <c r="E1831">
        <f>IFERROR(VLOOKUP(A1831,管理亚马逊库存!A:R,18,0),"")</f>
        <v>0</v>
      </c>
      <c r="F1831">
        <f t="shared" si="57"/>
        <v>0</v>
      </c>
      <c r="G1831" t="str">
        <f>IFERROR(VLOOKUP(A1831,预留库存!A:G,7,0),0)</f>
        <v>No</v>
      </c>
      <c r="H1831">
        <f>IFERROR(VLOOKUP(A1831,预留库存!A:H,8,0),0)</f>
        <v>0</v>
      </c>
      <c r="I1831">
        <f>IFERROR(VLOOKUP(A1831,预留库存!A:F,6,0),0)</f>
        <v>23.98</v>
      </c>
      <c r="J1831">
        <f>IFERROR(VLOOKUP(A1831,库龄!B:K,9,0),0)</f>
        <v>0</v>
      </c>
      <c r="K1831">
        <f>IFERROR(VLOOKUP(A1831,库龄!B:L,10,0),0)</f>
        <v>0</v>
      </c>
      <c r="L1831">
        <f>IFERROR(VLOOKUP(A1831,库龄!B:M,11,0),0)</f>
        <v>0</v>
      </c>
      <c r="M1831">
        <f>IFERROR(VLOOKUP(A1831,库龄!B:N,12,0),0)</f>
        <v>0</v>
      </c>
      <c r="N1831">
        <f t="shared" si="58"/>
        <v>0</v>
      </c>
    </row>
    <row r="1832" spans="1:14">
      <c r="A1832" s="3" t="s">
        <v>4702</v>
      </c>
      <c r="B1832">
        <f>IFERROR(VLOOKUP(A1832,管理亚马逊库存!A:K,11,0),"")</f>
        <v>0</v>
      </c>
      <c r="C1832">
        <f>IFERROR(VLOOKUP(A1832,管理亚马逊库存!A:L,12,0),"")</f>
        <v>0</v>
      </c>
      <c r="D1832">
        <f>IFERROR(VLOOKUP(A1832,管理亚马逊库存!A:Q,17,0),"")</f>
        <v>0</v>
      </c>
      <c r="E1832">
        <f>IFERROR(VLOOKUP(A1832,管理亚马逊库存!A:R,18,0),"")</f>
        <v>0</v>
      </c>
      <c r="F1832">
        <f t="shared" si="57"/>
        <v>0</v>
      </c>
      <c r="G1832" t="str">
        <f>IFERROR(VLOOKUP(A1832,预留库存!A:G,7,0),0)</f>
        <v>No</v>
      </c>
      <c r="H1832">
        <f>IFERROR(VLOOKUP(A1832,预留库存!A:H,8,0),0)</f>
        <v>0</v>
      </c>
      <c r="I1832">
        <f>IFERROR(VLOOKUP(A1832,预留库存!A:F,6,0),0)</f>
        <v>23.98</v>
      </c>
      <c r="J1832">
        <f>IFERROR(VLOOKUP(A1832,库龄!B:K,9,0),0)</f>
        <v>0</v>
      </c>
      <c r="K1832">
        <f>IFERROR(VLOOKUP(A1832,库龄!B:L,10,0),0)</f>
        <v>0</v>
      </c>
      <c r="L1832">
        <f>IFERROR(VLOOKUP(A1832,库龄!B:M,11,0),0)</f>
        <v>0</v>
      </c>
      <c r="M1832">
        <f>IFERROR(VLOOKUP(A1832,库龄!B:N,12,0),0)</f>
        <v>0</v>
      </c>
      <c r="N1832">
        <f t="shared" si="58"/>
        <v>0</v>
      </c>
    </row>
    <row r="1833" spans="1:14">
      <c r="A1833" s="3" t="s">
        <v>4704</v>
      </c>
      <c r="B1833">
        <f>IFERROR(VLOOKUP(A1833,管理亚马逊库存!A:K,11,0),"")</f>
        <v>0</v>
      </c>
      <c r="C1833">
        <f>IFERROR(VLOOKUP(A1833,管理亚马逊库存!A:L,12,0),"")</f>
        <v>0</v>
      </c>
      <c r="D1833">
        <f>IFERROR(VLOOKUP(A1833,管理亚马逊库存!A:Q,17,0),"")</f>
        <v>0</v>
      </c>
      <c r="E1833">
        <f>IFERROR(VLOOKUP(A1833,管理亚马逊库存!A:R,18,0),"")</f>
        <v>0</v>
      </c>
      <c r="F1833">
        <f t="shared" si="57"/>
        <v>0</v>
      </c>
      <c r="G1833" t="str">
        <f>IFERROR(VLOOKUP(A1833,预留库存!A:G,7,0),0)</f>
        <v>No</v>
      </c>
      <c r="H1833">
        <f>IFERROR(VLOOKUP(A1833,预留库存!A:H,8,0),0)</f>
        <v>0</v>
      </c>
      <c r="I1833">
        <f>IFERROR(VLOOKUP(A1833,预留库存!A:F,6,0),0)</f>
        <v>23.98</v>
      </c>
      <c r="J1833">
        <f>IFERROR(VLOOKUP(A1833,库龄!B:K,9,0),0)</f>
        <v>0</v>
      </c>
      <c r="K1833">
        <f>IFERROR(VLOOKUP(A1833,库龄!B:L,10,0),0)</f>
        <v>0</v>
      </c>
      <c r="L1833">
        <f>IFERROR(VLOOKUP(A1833,库龄!B:M,11,0),0)</f>
        <v>0</v>
      </c>
      <c r="M1833">
        <f>IFERROR(VLOOKUP(A1833,库龄!B:N,12,0),0)</f>
        <v>0</v>
      </c>
      <c r="N1833">
        <f t="shared" si="58"/>
        <v>0</v>
      </c>
    </row>
    <row r="1834" spans="1:14">
      <c r="A1834" s="3" t="s">
        <v>4706</v>
      </c>
      <c r="B1834">
        <f>IFERROR(VLOOKUP(A1834,管理亚马逊库存!A:K,11,0),"")</f>
        <v>0</v>
      </c>
      <c r="C1834">
        <f>IFERROR(VLOOKUP(A1834,管理亚马逊库存!A:L,12,0),"")</f>
        <v>0</v>
      </c>
      <c r="D1834">
        <f>IFERROR(VLOOKUP(A1834,管理亚马逊库存!A:Q,17,0),"")</f>
        <v>0</v>
      </c>
      <c r="E1834">
        <f>IFERROR(VLOOKUP(A1834,管理亚马逊库存!A:R,18,0),"")</f>
        <v>0</v>
      </c>
      <c r="F1834">
        <f t="shared" si="57"/>
        <v>0</v>
      </c>
      <c r="G1834" t="str">
        <f>IFERROR(VLOOKUP(A1834,预留库存!A:G,7,0),0)</f>
        <v>No</v>
      </c>
      <c r="H1834">
        <f>IFERROR(VLOOKUP(A1834,预留库存!A:H,8,0),0)</f>
        <v>0</v>
      </c>
      <c r="I1834">
        <f>IFERROR(VLOOKUP(A1834,预留库存!A:F,6,0),0)</f>
        <v>23.98</v>
      </c>
      <c r="J1834">
        <f>IFERROR(VLOOKUP(A1834,库龄!B:K,9,0),0)</f>
        <v>0</v>
      </c>
      <c r="K1834">
        <f>IFERROR(VLOOKUP(A1834,库龄!B:L,10,0),0)</f>
        <v>0</v>
      </c>
      <c r="L1834">
        <f>IFERROR(VLOOKUP(A1834,库龄!B:M,11,0),0)</f>
        <v>0</v>
      </c>
      <c r="M1834">
        <f>IFERROR(VLOOKUP(A1834,库龄!B:N,12,0),0)</f>
        <v>0</v>
      </c>
      <c r="N1834">
        <f t="shared" si="58"/>
        <v>0</v>
      </c>
    </row>
    <row r="1835" spans="1:14">
      <c r="A1835" s="3" t="s">
        <v>4708</v>
      </c>
      <c r="B1835">
        <f>IFERROR(VLOOKUP(A1835,管理亚马逊库存!A:K,11,0),"")</f>
        <v>0</v>
      </c>
      <c r="C1835">
        <f>IFERROR(VLOOKUP(A1835,管理亚马逊库存!A:L,12,0),"")</f>
        <v>0</v>
      </c>
      <c r="D1835">
        <f>IFERROR(VLOOKUP(A1835,管理亚马逊库存!A:Q,17,0),"")</f>
        <v>0</v>
      </c>
      <c r="E1835">
        <f>IFERROR(VLOOKUP(A1835,管理亚马逊库存!A:R,18,0),"")</f>
        <v>0</v>
      </c>
      <c r="F1835">
        <f t="shared" si="57"/>
        <v>0</v>
      </c>
      <c r="G1835" t="str">
        <f>IFERROR(VLOOKUP(A1835,预留库存!A:G,7,0),0)</f>
        <v>No</v>
      </c>
      <c r="H1835">
        <f>IFERROR(VLOOKUP(A1835,预留库存!A:H,8,0),0)</f>
        <v>0</v>
      </c>
      <c r="I1835">
        <f>IFERROR(VLOOKUP(A1835,预留库存!A:F,6,0),0)</f>
        <v>23.98</v>
      </c>
      <c r="J1835">
        <f>IFERROR(VLOOKUP(A1835,库龄!B:K,9,0),0)</f>
        <v>0</v>
      </c>
      <c r="K1835">
        <f>IFERROR(VLOOKUP(A1835,库龄!B:L,10,0),0)</f>
        <v>0</v>
      </c>
      <c r="L1835">
        <f>IFERROR(VLOOKUP(A1835,库龄!B:M,11,0),0)</f>
        <v>0</v>
      </c>
      <c r="M1835">
        <f>IFERROR(VLOOKUP(A1835,库龄!B:N,12,0),0)</f>
        <v>0</v>
      </c>
      <c r="N1835">
        <f t="shared" si="58"/>
        <v>0</v>
      </c>
    </row>
    <row r="1836" spans="1:14">
      <c r="A1836" s="3" t="s">
        <v>4710</v>
      </c>
      <c r="B1836">
        <f>IFERROR(VLOOKUP(A1836,管理亚马逊库存!A:K,11,0),"")</f>
        <v>0</v>
      </c>
      <c r="C1836">
        <f>IFERROR(VLOOKUP(A1836,管理亚马逊库存!A:L,12,0),"")</f>
        <v>0</v>
      </c>
      <c r="D1836">
        <f>IFERROR(VLOOKUP(A1836,管理亚马逊库存!A:Q,17,0),"")</f>
        <v>0</v>
      </c>
      <c r="E1836">
        <f>IFERROR(VLOOKUP(A1836,管理亚马逊库存!A:R,18,0),"")</f>
        <v>0</v>
      </c>
      <c r="F1836">
        <f t="shared" si="57"/>
        <v>0</v>
      </c>
      <c r="G1836" t="str">
        <f>IFERROR(VLOOKUP(A1836,预留库存!A:G,7,0),0)</f>
        <v>No</v>
      </c>
      <c r="H1836">
        <f>IFERROR(VLOOKUP(A1836,预留库存!A:H,8,0),0)</f>
        <v>0</v>
      </c>
      <c r="I1836">
        <f>IFERROR(VLOOKUP(A1836,预留库存!A:F,6,0),0)</f>
        <v>23.98</v>
      </c>
      <c r="J1836">
        <f>IFERROR(VLOOKUP(A1836,库龄!B:K,9,0),0)</f>
        <v>0</v>
      </c>
      <c r="K1836">
        <f>IFERROR(VLOOKUP(A1836,库龄!B:L,10,0),0)</f>
        <v>0</v>
      </c>
      <c r="L1836">
        <f>IFERROR(VLOOKUP(A1836,库龄!B:M,11,0),0)</f>
        <v>0</v>
      </c>
      <c r="M1836">
        <f>IFERROR(VLOOKUP(A1836,库龄!B:N,12,0),0)</f>
        <v>0</v>
      </c>
      <c r="N1836">
        <f t="shared" si="58"/>
        <v>0</v>
      </c>
    </row>
    <row r="1837" spans="1:14">
      <c r="A1837" s="3" t="s">
        <v>4712</v>
      </c>
      <c r="B1837">
        <f>IFERROR(VLOOKUP(A1837,管理亚马逊库存!A:K,11,0),"")</f>
        <v>0</v>
      </c>
      <c r="C1837">
        <f>IFERROR(VLOOKUP(A1837,管理亚马逊库存!A:L,12,0),"")</f>
        <v>0</v>
      </c>
      <c r="D1837">
        <f>IFERROR(VLOOKUP(A1837,管理亚马逊库存!A:Q,17,0),"")</f>
        <v>0</v>
      </c>
      <c r="E1837">
        <f>IFERROR(VLOOKUP(A1837,管理亚马逊库存!A:R,18,0),"")</f>
        <v>0</v>
      </c>
      <c r="F1837">
        <f t="shared" si="57"/>
        <v>0</v>
      </c>
      <c r="G1837" t="str">
        <f>IFERROR(VLOOKUP(A1837,预留库存!A:G,7,0),0)</f>
        <v>No</v>
      </c>
      <c r="H1837">
        <f>IFERROR(VLOOKUP(A1837,预留库存!A:H,8,0),0)</f>
        <v>0</v>
      </c>
      <c r="I1837">
        <f>IFERROR(VLOOKUP(A1837,预留库存!A:F,6,0),0)</f>
        <v>23.98</v>
      </c>
      <c r="J1837">
        <f>IFERROR(VLOOKUP(A1837,库龄!B:K,9,0),0)</f>
        <v>0</v>
      </c>
      <c r="K1837">
        <f>IFERROR(VLOOKUP(A1837,库龄!B:L,10,0),0)</f>
        <v>0</v>
      </c>
      <c r="L1837">
        <f>IFERROR(VLOOKUP(A1837,库龄!B:M,11,0),0)</f>
        <v>0</v>
      </c>
      <c r="M1837">
        <f>IFERROR(VLOOKUP(A1837,库龄!B:N,12,0),0)</f>
        <v>0</v>
      </c>
      <c r="N1837">
        <f t="shared" si="58"/>
        <v>0</v>
      </c>
    </row>
    <row r="1838" spans="1:14">
      <c r="A1838" s="3" t="s">
        <v>4714</v>
      </c>
      <c r="B1838">
        <f>IFERROR(VLOOKUP(A1838,管理亚马逊库存!A:K,11,0),"")</f>
        <v>0</v>
      </c>
      <c r="C1838">
        <f>IFERROR(VLOOKUP(A1838,管理亚马逊库存!A:L,12,0),"")</f>
        <v>0</v>
      </c>
      <c r="D1838">
        <f>IFERROR(VLOOKUP(A1838,管理亚马逊库存!A:Q,17,0),"")</f>
        <v>0</v>
      </c>
      <c r="E1838">
        <f>IFERROR(VLOOKUP(A1838,管理亚马逊库存!A:R,18,0),"")</f>
        <v>0</v>
      </c>
      <c r="F1838">
        <f t="shared" si="57"/>
        <v>0</v>
      </c>
      <c r="G1838" t="str">
        <f>IFERROR(VLOOKUP(A1838,预留库存!A:G,7,0),0)</f>
        <v>No</v>
      </c>
      <c r="H1838">
        <f>IFERROR(VLOOKUP(A1838,预留库存!A:H,8,0),0)</f>
        <v>0</v>
      </c>
      <c r="I1838">
        <f>IFERROR(VLOOKUP(A1838,预留库存!A:F,6,0),0)</f>
        <v>23.98</v>
      </c>
      <c r="J1838">
        <f>IFERROR(VLOOKUP(A1838,库龄!B:K,9,0),0)</f>
        <v>0</v>
      </c>
      <c r="K1838">
        <f>IFERROR(VLOOKUP(A1838,库龄!B:L,10,0),0)</f>
        <v>0</v>
      </c>
      <c r="L1838">
        <f>IFERROR(VLOOKUP(A1838,库龄!B:M,11,0),0)</f>
        <v>0</v>
      </c>
      <c r="M1838">
        <f>IFERROR(VLOOKUP(A1838,库龄!B:N,12,0),0)</f>
        <v>0</v>
      </c>
      <c r="N1838">
        <f t="shared" si="58"/>
        <v>0</v>
      </c>
    </row>
    <row r="1839" spans="1:14">
      <c r="A1839" s="3" t="s">
        <v>4716</v>
      </c>
      <c r="B1839">
        <f>IFERROR(VLOOKUP(A1839,管理亚马逊库存!A:K,11,0),"")</f>
        <v>0</v>
      </c>
      <c r="C1839">
        <f>IFERROR(VLOOKUP(A1839,管理亚马逊库存!A:L,12,0),"")</f>
        <v>0</v>
      </c>
      <c r="D1839">
        <f>IFERROR(VLOOKUP(A1839,管理亚马逊库存!A:Q,17,0),"")</f>
        <v>0</v>
      </c>
      <c r="E1839">
        <f>IFERROR(VLOOKUP(A1839,管理亚马逊库存!A:R,18,0),"")</f>
        <v>0</v>
      </c>
      <c r="F1839">
        <f t="shared" si="57"/>
        <v>0</v>
      </c>
      <c r="G1839" t="str">
        <f>IFERROR(VLOOKUP(A1839,预留库存!A:G,7,0),0)</f>
        <v>No</v>
      </c>
      <c r="H1839">
        <f>IFERROR(VLOOKUP(A1839,预留库存!A:H,8,0),0)</f>
        <v>0</v>
      </c>
      <c r="I1839">
        <f>IFERROR(VLOOKUP(A1839,预留库存!A:F,6,0),0)</f>
        <v>23.98</v>
      </c>
      <c r="J1839">
        <f>IFERROR(VLOOKUP(A1839,库龄!B:K,9,0),0)</f>
        <v>0</v>
      </c>
      <c r="K1839">
        <f>IFERROR(VLOOKUP(A1839,库龄!B:L,10,0),0)</f>
        <v>0</v>
      </c>
      <c r="L1839">
        <f>IFERROR(VLOOKUP(A1839,库龄!B:M,11,0),0)</f>
        <v>0</v>
      </c>
      <c r="M1839">
        <f>IFERROR(VLOOKUP(A1839,库龄!B:N,12,0),0)</f>
        <v>0</v>
      </c>
      <c r="N1839">
        <f t="shared" si="58"/>
        <v>0</v>
      </c>
    </row>
    <row r="1840" spans="1:14">
      <c r="A1840" s="3" t="s">
        <v>4718</v>
      </c>
      <c r="B1840">
        <f>IFERROR(VLOOKUP(A1840,管理亚马逊库存!A:K,11,0),"")</f>
        <v>7</v>
      </c>
      <c r="C1840">
        <f>IFERROR(VLOOKUP(A1840,管理亚马逊库存!A:L,12,0),"")</f>
        <v>0</v>
      </c>
      <c r="D1840">
        <f>IFERROR(VLOOKUP(A1840,管理亚马逊库存!A:Q,17,0),"")</f>
        <v>0</v>
      </c>
      <c r="E1840">
        <f>IFERROR(VLOOKUP(A1840,管理亚马逊库存!A:R,18,0),"")</f>
        <v>0</v>
      </c>
      <c r="F1840">
        <f t="shared" si="57"/>
        <v>0</v>
      </c>
      <c r="G1840" t="str">
        <f>IFERROR(VLOOKUP(A1840,预留库存!A:G,7,0),0)</f>
        <v>No</v>
      </c>
      <c r="H1840">
        <f>IFERROR(VLOOKUP(A1840,预留库存!A:H,8,0),0)</f>
        <v>0</v>
      </c>
      <c r="I1840">
        <f>IFERROR(VLOOKUP(A1840,预留库存!A:F,6,0),0)</f>
        <v>23.98</v>
      </c>
      <c r="J1840">
        <f>IFERROR(VLOOKUP(A1840,库龄!B:K,9,0),0)</f>
        <v>0</v>
      </c>
      <c r="K1840">
        <f>IFERROR(VLOOKUP(A1840,库龄!B:L,10,0),0)</f>
        <v>0</v>
      </c>
      <c r="L1840">
        <f>IFERROR(VLOOKUP(A1840,库龄!B:M,11,0),0)</f>
        <v>0</v>
      </c>
      <c r="M1840">
        <f>IFERROR(VLOOKUP(A1840,库龄!B:N,12,0),0)</f>
        <v>0</v>
      </c>
      <c r="N1840">
        <f t="shared" si="58"/>
        <v>0</v>
      </c>
    </row>
    <row r="1841" spans="1:14">
      <c r="A1841" s="3" t="s">
        <v>4720</v>
      </c>
      <c r="B1841">
        <f>IFERROR(VLOOKUP(A1841,管理亚马逊库存!A:K,11,0),"")</f>
        <v>0</v>
      </c>
      <c r="C1841">
        <f>IFERROR(VLOOKUP(A1841,管理亚马逊库存!A:L,12,0),"")</f>
        <v>0</v>
      </c>
      <c r="D1841">
        <f>IFERROR(VLOOKUP(A1841,管理亚马逊库存!A:Q,17,0),"")</f>
        <v>0</v>
      </c>
      <c r="E1841">
        <f>IFERROR(VLOOKUP(A1841,管理亚马逊库存!A:R,18,0),"")</f>
        <v>0</v>
      </c>
      <c r="F1841">
        <f t="shared" si="57"/>
        <v>0</v>
      </c>
      <c r="G1841" t="str">
        <f>IFERROR(VLOOKUP(A1841,预留库存!A:G,7,0),0)</f>
        <v>No</v>
      </c>
      <c r="H1841">
        <f>IFERROR(VLOOKUP(A1841,预留库存!A:H,8,0),0)</f>
        <v>0</v>
      </c>
      <c r="I1841">
        <f>IFERROR(VLOOKUP(A1841,预留库存!A:F,6,0),0)</f>
        <v>23.98</v>
      </c>
      <c r="J1841">
        <f>IFERROR(VLOOKUP(A1841,库龄!B:K,9,0),0)</f>
        <v>0</v>
      </c>
      <c r="K1841">
        <f>IFERROR(VLOOKUP(A1841,库龄!B:L,10,0),0)</f>
        <v>0</v>
      </c>
      <c r="L1841">
        <f>IFERROR(VLOOKUP(A1841,库龄!B:M,11,0),0)</f>
        <v>0</v>
      </c>
      <c r="M1841">
        <f>IFERROR(VLOOKUP(A1841,库龄!B:N,12,0),0)</f>
        <v>0</v>
      </c>
      <c r="N1841">
        <f t="shared" si="58"/>
        <v>0</v>
      </c>
    </row>
    <row r="1842" spans="1:14">
      <c r="A1842" s="3" t="s">
        <v>4722</v>
      </c>
      <c r="B1842">
        <f>IFERROR(VLOOKUP(A1842,管理亚马逊库存!A:K,11,0),"")</f>
        <v>0</v>
      </c>
      <c r="C1842">
        <f>IFERROR(VLOOKUP(A1842,管理亚马逊库存!A:L,12,0),"")</f>
        <v>0</v>
      </c>
      <c r="D1842">
        <f>IFERROR(VLOOKUP(A1842,管理亚马逊库存!A:Q,17,0),"")</f>
        <v>0</v>
      </c>
      <c r="E1842">
        <f>IFERROR(VLOOKUP(A1842,管理亚马逊库存!A:R,18,0),"")</f>
        <v>0</v>
      </c>
      <c r="F1842">
        <f t="shared" si="57"/>
        <v>0</v>
      </c>
      <c r="G1842" t="str">
        <f>IFERROR(VLOOKUP(A1842,预留库存!A:G,7,0),0)</f>
        <v>No</v>
      </c>
      <c r="H1842">
        <f>IFERROR(VLOOKUP(A1842,预留库存!A:H,8,0),0)</f>
        <v>0</v>
      </c>
      <c r="I1842">
        <f>IFERROR(VLOOKUP(A1842,预留库存!A:F,6,0),0)</f>
        <v>23.98</v>
      </c>
      <c r="J1842">
        <f>IFERROR(VLOOKUP(A1842,库龄!B:K,9,0),0)</f>
        <v>0</v>
      </c>
      <c r="K1842">
        <f>IFERROR(VLOOKUP(A1842,库龄!B:L,10,0),0)</f>
        <v>0</v>
      </c>
      <c r="L1842">
        <f>IFERROR(VLOOKUP(A1842,库龄!B:M,11,0),0)</f>
        <v>0</v>
      </c>
      <c r="M1842">
        <f>IFERROR(VLOOKUP(A1842,库龄!B:N,12,0),0)</f>
        <v>0</v>
      </c>
      <c r="N1842">
        <f t="shared" si="58"/>
        <v>0</v>
      </c>
    </row>
    <row r="1843" spans="1:14">
      <c r="A1843" s="3" t="s">
        <v>4724</v>
      </c>
      <c r="B1843">
        <f>IFERROR(VLOOKUP(A1843,管理亚马逊库存!A:K,11,0),"")</f>
        <v>0</v>
      </c>
      <c r="C1843">
        <f>IFERROR(VLOOKUP(A1843,管理亚马逊库存!A:L,12,0),"")</f>
        <v>0</v>
      </c>
      <c r="D1843">
        <f>IFERROR(VLOOKUP(A1843,管理亚马逊库存!A:Q,17,0),"")</f>
        <v>0</v>
      </c>
      <c r="E1843">
        <f>IFERROR(VLOOKUP(A1843,管理亚马逊库存!A:R,18,0),"")</f>
        <v>0</v>
      </c>
      <c r="F1843">
        <f t="shared" si="57"/>
        <v>0</v>
      </c>
      <c r="G1843" t="str">
        <f>IFERROR(VLOOKUP(A1843,预留库存!A:G,7,0),0)</f>
        <v>No</v>
      </c>
      <c r="H1843">
        <f>IFERROR(VLOOKUP(A1843,预留库存!A:H,8,0),0)</f>
        <v>0</v>
      </c>
      <c r="I1843">
        <f>IFERROR(VLOOKUP(A1843,预留库存!A:F,6,0),0)</f>
        <v>23.98</v>
      </c>
      <c r="J1843">
        <f>IFERROR(VLOOKUP(A1843,库龄!B:K,9,0),0)</f>
        <v>0</v>
      </c>
      <c r="K1843">
        <f>IFERROR(VLOOKUP(A1843,库龄!B:L,10,0),0)</f>
        <v>0</v>
      </c>
      <c r="L1843">
        <f>IFERROR(VLOOKUP(A1843,库龄!B:M,11,0),0)</f>
        <v>0</v>
      </c>
      <c r="M1843">
        <f>IFERROR(VLOOKUP(A1843,库龄!B:N,12,0),0)</f>
        <v>0</v>
      </c>
      <c r="N1843">
        <f t="shared" si="58"/>
        <v>0</v>
      </c>
    </row>
    <row r="1844" spans="1:14">
      <c r="A1844" s="3" t="s">
        <v>4726</v>
      </c>
      <c r="B1844">
        <f>IFERROR(VLOOKUP(A1844,管理亚马逊库存!A:K,11,0),"")</f>
        <v>0</v>
      </c>
      <c r="C1844">
        <f>IFERROR(VLOOKUP(A1844,管理亚马逊库存!A:L,12,0),"")</f>
        <v>0</v>
      </c>
      <c r="D1844">
        <f>IFERROR(VLOOKUP(A1844,管理亚马逊库存!A:Q,17,0),"")</f>
        <v>0</v>
      </c>
      <c r="E1844">
        <f>IFERROR(VLOOKUP(A1844,管理亚马逊库存!A:R,18,0),"")</f>
        <v>0</v>
      </c>
      <c r="F1844">
        <f t="shared" si="57"/>
        <v>0</v>
      </c>
      <c r="G1844" t="str">
        <f>IFERROR(VLOOKUP(A1844,预留库存!A:G,7,0),0)</f>
        <v>No</v>
      </c>
      <c r="H1844">
        <f>IFERROR(VLOOKUP(A1844,预留库存!A:H,8,0),0)</f>
        <v>0</v>
      </c>
      <c r="I1844">
        <f>IFERROR(VLOOKUP(A1844,预留库存!A:F,6,0),0)</f>
        <v>23.98</v>
      </c>
      <c r="J1844">
        <f>IFERROR(VLOOKUP(A1844,库龄!B:K,9,0),0)</f>
        <v>0</v>
      </c>
      <c r="K1844">
        <f>IFERROR(VLOOKUP(A1844,库龄!B:L,10,0),0)</f>
        <v>0</v>
      </c>
      <c r="L1844">
        <f>IFERROR(VLOOKUP(A1844,库龄!B:M,11,0),0)</f>
        <v>0</v>
      </c>
      <c r="M1844">
        <f>IFERROR(VLOOKUP(A1844,库龄!B:N,12,0),0)</f>
        <v>0</v>
      </c>
      <c r="N1844">
        <f t="shared" si="58"/>
        <v>0</v>
      </c>
    </row>
    <row r="1845" spans="1:14">
      <c r="A1845" s="3" t="s">
        <v>4728</v>
      </c>
      <c r="B1845">
        <f>IFERROR(VLOOKUP(A1845,管理亚马逊库存!A:K,11,0),"")</f>
        <v>0</v>
      </c>
      <c r="C1845">
        <f>IFERROR(VLOOKUP(A1845,管理亚马逊库存!A:L,12,0),"")</f>
        <v>0</v>
      </c>
      <c r="D1845">
        <f>IFERROR(VLOOKUP(A1845,管理亚马逊库存!A:Q,17,0),"")</f>
        <v>0</v>
      </c>
      <c r="E1845">
        <f>IFERROR(VLOOKUP(A1845,管理亚马逊库存!A:R,18,0),"")</f>
        <v>0</v>
      </c>
      <c r="F1845">
        <f t="shared" si="57"/>
        <v>0</v>
      </c>
      <c r="G1845" t="str">
        <f>IFERROR(VLOOKUP(A1845,预留库存!A:G,7,0),0)</f>
        <v>No</v>
      </c>
      <c r="H1845">
        <f>IFERROR(VLOOKUP(A1845,预留库存!A:H,8,0),0)</f>
        <v>0</v>
      </c>
      <c r="I1845">
        <f>IFERROR(VLOOKUP(A1845,预留库存!A:F,6,0),0)</f>
        <v>23.98</v>
      </c>
      <c r="J1845">
        <f>IFERROR(VLOOKUP(A1845,库龄!B:K,9,0),0)</f>
        <v>0</v>
      </c>
      <c r="K1845">
        <f>IFERROR(VLOOKUP(A1845,库龄!B:L,10,0),0)</f>
        <v>0</v>
      </c>
      <c r="L1845">
        <f>IFERROR(VLOOKUP(A1845,库龄!B:M,11,0),0)</f>
        <v>0</v>
      </c>
      <c r="M1845">
        <f>IFERROR(VLOOKUP(A1845,库龄!B:N,12,0),0)</f>
        <v>0</v>
      </c>
      <c r="N1845">
        <f t="shared" si="58"/>
        <v>0</v>
      </c>
    </row>
    <row r="1846" spans="1:14">
      <c r="A1846" s="3" t="s">
        <v>4730</v>
      </c>
      <c r="B1846">
        <f>IFERROR(VLOOKUP(A1846,管理亚马逊库存!A:K,11,0),"")</f>
        <v>0</v>
      </c>
      <c r="C1846">
        <f>IFERROR(VLOOKUP(A1846,管理亚马逊库存!A:L,12,0),"")</f>
        <v>0</v>
      </c>
      <c r="D1846">
        <f>IFERROR(VLOOKUP(A1846,管理亚马逊库存!A:Q,17,0),"")</f>
        <v>0</v>
      </c>
      <c r="E1846">
        <f>IFERROR(VLOOKUP(A1846,管理亚马逊库存!A:R,18,0),"")</f>
        <v>0</v>
      </c>
      <c r="F1846">
        <f t="shared" si="57"/>
        <v>0</v>
      </c>
      <c r="G1846" t="str">
        <f>IFERROR(VLOOKUP(A1846,预留库存!A:G,7,0),0)</f>
        <v>No</v>
      </c>
      <c r="H1846">
        <f>IFERROR(VLOOKUP(A1846,预留库存!A:H,8,0),0)</f>
        <v>0</v>
      </c>
      <c r="I1846">
        <f>IFERROR(VLOOKUP(A1846,预留库存!A:F,6,0),0)</f>
        <v>23.98</v>
      </c>
      <c r="J1846">
        <f>IFERROR(VLOOKUP(A1846,库龄!B:K,9,0),0)</f>
        <v>0</v>
      </c>
      <c r="K1846">
        <f>IFERROR(VLOOKUP(A1846,库龄!B:L,10,0),0)</f>
        <v>0</v>
      </c>
      <c r="L1846">
        <f>IFERROR(VLOOKUP(A1846,库龄!B:M,11,0),0)</f>
        <v>0</v>
      </c>
      <c r="M1846">
        <f>IFERROR(VLOOKUP(A1846,库龄!B:N,12,0),0)</f>
        <v>0</v>
      </c>
      <c r="N1846">
        <f t="shared" si="58"/>
        <v>0</v>
      </c>
    </row>
    <row r="1847" spans="1:14">
      <c r="A1847" s="3" t="s">
        <v>4732</v>
      </c>
      <c r="B1847">
        <f>IFERROR(VLOOKUP(A1847,管理亚马逊库存!A:K,11,0),"")</f>
        <v>0</v>
      </c>
      <c r="C1847">
        <f>IFERROR(VLOOKUP(A1847,管理亚马逊库存!A:L,12,0),"")</f>
        <v>0</v>
      </c>
      <c r="D1847">
        <f>IFERROR(VLOOKUP(A1847,管理亚马逊库存!A:Q,17,0),"")</f>
        <v>0</v>
      </c>
      <c r="E1847">
        <f>IFERROR(VLOOKUP(A1847,管理亚马逊库存!A:R,18,0),"")</f>
        <v>0</v>
      </c>
      <c r="F1847">
        <f t="shared" si="57"/>
        <v>0</v>
      </c>
      <c r="G1847" t="str">
        <f>IFERROR(VLOOKUP(A1847,预留库存!A:G,7,0),0)</f>
        <v>No</v>
      </c>
      <c r="H1847">
        <f>IFERROR(VLOOKUP(A1847,预留库存!A:H,8,0),0)</f>
        <v>0</v>
      </c>
      <c r="I1847">
        <f>IFERROR(VLOOKUP(A1847,预留库存!A:F,6,0),0)</f>
        <v>23.98</v>
      </c>
      <c r="J1847">
        <f>IFERROR(VLOOKUP(A1847,库龄!B:K,9,0),0)</f>
        <v>0</v>
      </c>
      <c r="K1847">
        <f>IFERROR(VLOOKUP(A1847,库龄!B:L,10,0),0)</f>
        <v>0</v>
      </c>
      <c r="L1847">
        <f>IFERROR(VLOOKUP(A1847,库龄!B:M,11,0),0)</f>
        <v>0</v>
      </c>
      <c r="M1847">
        <f>IFERROR(VLOOKUP(A1847,库龄!B:N,12,0),0)</f>
        <v>0</v>
      </c>
      <c r="N1847">
        <f t="shared" si="58"/>
        <v>0</v>
      </c>
    </row>
    <row r="1848" spans="1:14">
      <c r="A1848" s="3" t="s">
        <v>4734</v>
      </c>
      <c r="B1848">
        <f>IFERROR(VLOOKUP(A1848,管理亚马逊库存!A:K,11,0),"")</f>
        <v>0</v>
      </c>
      <c r="C1848">
        <f>IFERROR(VLOOKUP(A1848,管理亚马逊库存!A:L,12,0),"")</f>
        <v>0</v>
      </c>
      <c r="D1848">
        <f>IFERROR(VLOOKUP(A1848,管理亚马逊库存!A:Q,17,0),"")</f>
        <v>0</v>
      </c>
      <c r="E1848">
        <f>IFERROR(VLOOKUP(A1848,管理亚马逊库存!A:R,18,0),"")</f>
        <v>0</v>
      </c>
      <c r="F1848">
        <f t="shared" si="57"/>
        <v>0</v>
      </c>
      <c r="G1848" t="str">
        <f>IFERROR(VLOOKUP(A1848,预留库存!A:G,7,0),0)</f>
        <v>No</v>
      </c>
      <c r="H1848">
        <f>IFERROR(VLOOKUP(A1848,预留库存!A:H,8,0),0)</f>
        <v>0</v>
      </c>
      <c r="I1848">
        <f>IFERROR(VLOOKUP(A1848,预留库存!A:F,6,0),0)</f>
        <v>23.98</v>
      </c>
      <c r="J1848">
        <f>IFERROR(VLOOKUP(A1848,库龄!B:K,9,0),0)</f>
        <v>0</v>
      </c>
      <c r="K1848">
        <f>IFERROR(VLOOKUP(A1848,库龄!B:L,10,0),0)</f>
        <v>0</v>
      </c>
      <c r="L1848">
        <f>IFERROR(VLOOKUP(A1848,库龄!B:M,11,0),0)</f>
        <v>0</v>
      </c>
      <c r="M1848">
        <f>IFERROR(VLOOKUP(A1848,库龄!B:N,12,0),0)</f>
        <v>0</v>
      </c>
      <c r="N1848">
        <f t="shared" si="58"/>
        <v>0</v>
      </c>
    </row>
    <row r="1849" spans="1:14">
      <c r="A1849" s="3" t="s">
        <v>4736</v>
      </c>
      <c r="B1849">
        <f>IFERROR(VLOOKUP(A1849,管理亚马逊库存!A:K,11,0),"")</f>
        <v>0</v>
      </c>
      <c r="C1849">
        <f>IFERROR(VLOOKUP(A1849,管理亚马逊库存!A:L,12,0),"")</f>
        <v>0</v>
      </c>
      <c r="D1849">
        <f>IFERROR(VLOOKUP(A1849,管理亚马逊库存!A:Q,17,0),"")</f>
        <v>0</v>
      </c>
      <c r="E1849">
        <f>IFERROR(VLOOKUP(A1849,管理亚马逊库存!A:R,18,0),"")</f>
        <v>0</v>
      </c>
      <c r="F1849">
        <f t="shared" si="57"/>
        <v>0</v>
      </c>
      <c r="G1849" t="str">
        <f>IFERROR(VLOOKUP(A1849,预留库存!A:G,7,0),0)</f>
        <v>No</v>
      </c>
      <c r="H1849">
        <f>IFERROR(VLOOKUP(A1849,预留库存!A:H,8,0),0)</f>
        <v>0</v>
      </c>
      <c r="I1849">
        <f>IFERROR(VLOOKUP(A1849,预留库存!A:F,6,0),0)</f>
        <v>23.98</v>
      </c>
      <c r="J1849">
        <f>IFERROR(VLOOKUP(A1849,库龄!B:K,9,0),0)</f>
        <v>0</v>
      </c>
      <c r="K1849">
        <f>IFERROR(VLOOKUP(A1849,库龄!B:L,10,0),0)</f>
        <v>0</v>
      </c>
      <c r="L1849">
        <f>IFERROR(VLOOKUP(A1849,库龄!B:M,11,0),0)</f>
        <v>0</v>
      </c>
      <c r="M1849">
        <f>IFERROR(VLOOKUP(A1849,库龄!B:N,12,0),0)</f>
        <v>0</v>
      </c>
      <c r="N1849">
        <f t="shared" si="58"/>
        <v>0</v>
      </c>
    </row>
    <row r="1850" spans="1:14">
      <c r="A1850" s="3" t="s">
        <v>4738</v>
      </c>
      <c r="B1850">
        <f>IFERROR(VLOOKUP(A1850,管理亚马逊库存!A:K,11,0),"")</f>
        <v>0</v>
      </c>
      <c r="C1850">
        <f>IFERROR(VLOOKUP(A1850,管理亚马逊库存!A:L,12,0),"")</f>
        <v>0</v>
      </c>
      <c r="D1850">
        <f>IFERROR(VLOOKUP(A1850,管理亚马逊库存!A:Q,17,0),"")</f>
        <v>0</v>
      </c>
      <c r="E1850">
        <f>IFERROR(VLOOKUP(A1850,管理亚马逊库存!A:R,18,0),"")</f>
        <v>0</v>
      </c>
      <c r="F1850">
        <f t="shared" si="57"/>
        <v>0</v>
      </c>
      <c r="G1850" t="str">
        <f>IFERROR(VLOOKUP(A1850,预留库存!A:G,7,0),0)</f>
        <v>No</v>
      </c>
      <c r="H1850">
        <f>IFERROR(VLOOKUP(A1850,预留库存!A:H,8,0),0)</f>
        <v>0</v>
      </c>
      <c r="I1850">
        <f>IFERROR(VLOOKUP(A1850,预留库存!A:F,6,0),0)</f>
        <v>23.98</v>
      </c>
      <c r="J1850">
        <f>IFERROR(VLOOKUP(A1850,库龄!B:K,9,0),0)</f>
        <v>0</v>
      </c>
      <c r="K1850">
        <f>IFERROR(VLOOKUP(A1850,库龄!B:L,10,0),0)</f>
        <v>0</v>
      </c>
      <c r="L1850">
        <f>IFERROR(VLOOKUP(A1850,库龄!B:M,11,0),0)</f>
        <v>0</v>
      </c>
      <c r="M1850">
        <f>IFERROR(VLOOKUP(A1850,库龄!B:N,12,0),0)</f>
        <v>0</v>
      </c>
      <c r="N1850">
        <f t="shared" si="58"/>
        <v>0</v>
      </c>
    </row>
    <row r="1851" spans="1:14">
      <c r="A1851" s="3" t="s">
        <v>4740</v>
      </c>
      <c r="B1851">
        <f>IFERROR(VLOOKUP(A1851,管理亚马逊库存!A:K,11,0),"")</f>
        <v>0</v>
      </c>
      <c r="C1851">
        <f>IFERROR(VLOOKUP(A1851,管理亚马逊库存!A:L,12,0),"")</f>
        <v>0</v>
      </c>
      <c r="D1851">
        <f>IFERROR(VLOOKUP(A1851,管理亚马逊库存!A:Q,17,0),"")</f>
        <v>0</v>
      </c>
      <c r="E1851">
        <f>IFERROR(VLOOKUP(A1851,管理亚马逊库存!A:R,18,0),"")</f>
        <v>0</v>
      </c>
      <c r="F1851">
        <f t="shared" si="57"/>
        <v>0</v>
      </c>
      <c r="G1851" t="str">
        <f>IFERROR(VLOOKUP(A1851,预留库存!A:G,7,0),0)</f>
        <v>No</v>
      </c>
      <c r="H1851">
        <f>IFERROR(VLOOKUP(A1851,预留库存!A:H,8,0),0)</f>
        <v>0</v>
      </c>
      <c r="I1851">
        <f>IFERROR(VLOOKUP(A1851,预留库存!A:F,6,0),0)</f>
        <v>23.98</v>
      </c>
      <c r="J1851">
        <f>IFERROR(VLOOKUP(A1851,库龄!B:K,9,0),0)</f>
        <v>0</v>
      </c>
      <c r="K1851">
        <f>IFERROR(VLOOKUP(A1851,库龄!B:L,10,0),0)</f>
        <v>0</v>
      </c>
      <c r="L1851">
        <f>IFERROR(VLOOKUP(A1851,库龄!B:M,11,0),0)</f>
        <v>0</v>
      </c>
      <c r="M1851">
        <f>IFERROR(VLOOKUP(A1851,库龄!B:N,12,0),0)</f>
        <v>0</v>
      </c>
      <c r="N1851">
        <f t="shared" si="58"/>
        <v>0</v>
      </c>
    </row>
    <row r="1852" spans="1:14">
      <c r="A1852" s="3" t="s">
        <v>4742</v>
      </c>
      <c r="B1852">
        <f>IFERROR(VLOOKUP(A1852,管理亚马逊库存!A:K,11,0),"")</f>
        <v>5</v>
      </c>
      <c r="C1852">
        <f>IFERROR(VLOOKUP(A1852,管理亚马逊库存!A:L,12,0),"")</f>
        <v>0</v>
      </c>
      <c r="D1852">
        <f>IFERROR(VLOOKUP(A1852,管理亚马逊库存!A:Q,17,0),"")</f>
        <v>0</v>
      </c>
      <c r="E1852">
        <f>IFERROR(VLOOKUP(A1852,管理亚马逊库存!A:R,18,0),"")</f>
        <v>0</v>
      </c>
      <c r="F1852">
        <f t="shared" si="57"/>
        <v>0</v>
      </c>
      <c r="G1852" t="str">
        <f>IFERROR(VLOOKUP(A1852,预留库存!A:G,7,0),0)</f>
        <v>No</v>
      </c>
      <c r="H1852">
        <f>IFERROR(VLOOKUP(A1852,预留库存!A:H,8,0),0)</f>
        <v>0</v>
      </c>
      <c r="I1852">
        <f>IFERROR(VLOOKUP(A1852,预留库存!A:F,6,0),0)</f>
        <v>23.98</v>
      </c>
      <c r="J1852">
        <f>IFERROR(VLOOKUP(A1852,库龄!B:K,9,0),0)</f>
        <v>0</v>
      </c>
      <c r="K1852">
        <f>IFERROR(VLOOKUP(A1852,库龄!B:L,10,0),0)</f>
        <v>0</v>
      </c>
      <c r="L1852">
        <f>IFERROR(VLOOKUP(A1852,库龄!B:M,11,0),0)</f>
        <v>0</v>
      </c>
      <c r="M1852">
        <f>IFERROR(VLOOKUP(A1852,库龄!B:N,12,0),0)</f>
        <v>0</v>
      </c>
      <c r="N1852">
        <f t="shared" si="58"/>
        <v>0</v>
      </c>
    </row>
    <row r="1853" spans="1:14">
      <c r="A1853" s="3" t="s">
        <v>4744</v>
      </c>
      <c r="B1853">
        <f>IFERROR(VLOOKUP(A1853,管理亚马逊库存!A:K,11,0),"")</f>
        <v>8</v>
      </c>
      <c r="C1853">
        <f>IFERROR(VLOOKUP(A1853,管理亚马逊库存!A:L,12,0),"")</f>
        <v>0</v>
      </c>
      <c r="D1853">
        <f>IFERROR(VLOOKUP(A1853,管理亚马逊库存!A:Q,17,0),"")</f>
        <v>0</v>
      </c>
      <c r="E1853">
        <f>IFERROR(VLOOKUP(A1853,管理亚马逊库存!A:R,18,0),"")</f>
        <v>0</v>
      </c>
      <c r="F1853">
        <f t="shared" si="57"/>
        <v>0</v>
      </c>
      <c r="G1853" t="str">
        <f>IFERROR(VLOOKUP(A1853,预留库存!A:G,7,0),0)</f>
        <v>No</v>
      </c>
      <c r="H1853">
        <f>IFERROR(VLOOKUP(A1853,预留库存!A:H,8,0),0)</f>
        <v>0</v>
      </c>
      <c r="I1853">
        <f>IFERROR(VLOOKUP(A1853,预留库存!A:F,6,0),0)</f>
        <v>23.98</v>
      </c>
      <c r="J1853">
        <f>IFERROR(VLOOKUP(A1853,库龄!B:K,9,0),0)</f>
        <v>0</v>
      </c>
      <c r="K1853">
        <f>IFERROR(VLOOKUP(A1853,库龄!B:L,10,0),0)</f>
        <v>0</v>
      </c>
      <c r="L1853">
        <f>IFERROR(VLOOKUP(A1853,库龄!B:M,11,0),0)</f>
        <v>0</v>
      </c>
      <c r="M1853">
        <f>IFERROR(VLOOKUP(A1853,库龄!B:N,12,0),0)</f>
        <v>0</v>
      </c>
      <c r="N1853">
        <f t="shared" si="58"/>
        <v>0</v>
      </c>
    </row>
    <row r="1854" spans="1:14">
      <c r="A1854" s="3" t="s">
        <v>4746</v>
      </c>
      <c r="B1854">
        <f>IFERROR(VLOOKUP(A1854,管理亚马逊库存!A:K,11,0),"")</f>
        <v>0</v>
      </c>
      <c r="C1854">
        <f>IFERROR(VLOOKUP(A1854,管理亚马逊库存!A:L,12,0),"")</f>
        <v>0</v>
      </c>
      <c r="D1854">
        <f>IFERROR(VLOOKUP(A1854,管理亚马逊库存!A:Q,17,0),"")</f>
        <v>0</v>
      </c>
      <c r="E1854">
        <f>IFERROR(VLOOKUP(A1854,管理亚马逊库存!A:R,18,0),"")</f>
        <v>0</v>
      </c>
      <c r="F1854">
        <f t="shared" si="57"/>
        <v>0</v>
      </c>
      <c r="G1854" t="str">
        <f>IFERROR(VLOOKUP(A1854,预留库存!A:G,7,0),0)</f>
        <v>No</v>
      </c>
      <c r="H1854">
        <f>IFERROR(VLOOKUP(A1854,预留库存!A:H,8,0),0)</f>
        <v>0</v>
      </c>
      <c r="I1854">
        <f>IFERROR(VLOOKUP(A1854,预留库存!A:F,6,0),0)</f>
        <v>23.98</v>
      </c>
      <c r="J1854">
        <f>IFERROR(VLOOKUP(A1854,库龄!B:K,9,0),0)</f>
        <v>0</v>
      </c>
      <c r="K1854">
        <f>IFERROR(VLOOKUP(A1854,库龄!B:L,10,0),0)</f>
        <v>0</v>
      </c>
      <c r="L1854">
        <f>IFERROR(VLOOKUP(A1854,库龄!B:M,11,0),0)</f>
        <v>0</v>
      </c>
      <c r="M1854">
        <f>IFERROR(VLOOKUP(A1854,库龄!B:N,12,0),0)</f>
        <v>0</v>
      </c>
      <c r="N1854">
        <f t="shared" si="58"/>
        <v>0</v>
      </c>
    </row>
    <row r="1855" spans="1:14">
      <c r="A1855" s="3" t="s">
        <v>4748</v>
      </c>
      <c r="B1855">
        <f>IFERROR(VLOOKUP(A1855,管理亚马逊库存!A:K,11,0),"")</f>
        <v>0</v>
      </c>
      <c r="C1855">
        <f>IFERROR(VLOOKUP(A1855,管理亚马逊库存!A:L,12,0),"")</f>
        <v>0</v>
      </c>
      <c r="D1855">
        <f>IFERROR(VLOOKUP(A1855,管理亚马逊库存!A:Q,17,0),"")</f>
        <v>0</v>
      </c>
      <c r="E1855">
        <f>IFERROR(VLOOKUP(A1855,管理亚马逊库存!A:R,18,0),"")</f>
        <v>0</v>
      </c>
      <c r="F1855">
        <f t="shared" si="57"/>
        <v>0</v>
      </c>
      <c r="G1855" t="str">
        <f>IFERROR(VLOOKUP(A1855,预留库存!A:G,7,0),0)</f>
        <v>No</v>
      </c>
      <c r="H1855">
        <f>IFERROR(VLOOKUP(A1855,预留库存!A:H,8,0),0)</f>
        <v>0</v>
      </c>
      <c r="I1855">
        <f>IFERROR(VLOOKUP(A1855,预留库存!A:F,6,0),0)</f>
        <v>23.98</v>
      </c>
      <c r="J1855">
        <f>IFERROR(VLOOKUP(A1855,库龄!B:K,9,0),0)</f>
        <v>0</v>
      </c>
      <c r="K1855">
        <f>IFERROR(VLOOKUP(A1855,库龄!B:L,10,0),0)</f>
        <v>0</v>
      </c>
      <c r="L1855">
        <f>IFERROR(VLOOKUP(A1855,库龄!B:M,11,0),0)</f>
        <v>0</v>
      </c>
      <c r="M1855">
        <f>IFERROR(VLOOKUP(A1855,库龄!B:N,12,0),0)</f>
        <v>0</v>
      </c>
      <c r="N1855">
        <f t="shared" si="58"/>
        <v>0</v>
      </c>
    </row>
    <row r="1856" spans="1:14">
      <c r="A1856" s="3" t="s">
        <v>4750</v>
      </c>
      <c r="B1856">
        <f>IFERROR(VLOOKUP(A1856,管理亚马逊库存!A:K,11,0),"")</f>
        <v>0</v>
      </c>
      <c r="C1856">
        <f>IFERROR(VLOOKUP(A1856,管理亚马逊库存!A:L,12,0),"")</f>
        <v>0</v>
      </c>
      <c r="D1856">
        <f>IFERROR(VLOOKUP(A1856,管理亚马逊库存!A:Q,17,0),"")</f>
        <v>0</v>
      </c>
      <c r="E1856">
        <f>IFERROR(VLOOKUP(A1856,管理亚马逊库存!A:R,18,0),"")</f>
        <v>0</v>
      </c>
      <c r="F1856">
        <f t="shared" si="57"/>
        <v>0</v>
      </c>
      <c r="G1856" t="str">
        <f>IFERROR(VLOOKUP(A1856,预留库存!A:G,7,0),0)</f>
        <v>No</v>
      </c>
      <c r="H1856">
        <f>IFERROR(VLOOKUP(A1856,预留库存!A:H,8,0),0)</f>
        <v>0</v>
      </c>
      <c r="I1856">
        <f>IFERROR(VLOOKUP(A1856,预留库存!A:F,6,0),0)</f>
        <v>23.98</v>
      </c>
      <c r="J1856">
        <f>IFERROR(VLOOKUP(A1856,库龄!B:K,9,0),0)</f>
        <v>0</v>
      </c>
      <c r="K1856">
        <f>IFERROR(VLOOKUP(A1856,库龄!B:L,10,0),0)</f>
        <v>0</v>
      </c>
      <c r="L1856">
        <f>IFERROR(VLOOKUP(A1856,库龄!B:M,11,0),0)</f>
        <v>0</v>
      </c>
      <c r="M1856">
        <f>IFERROR(VLOOKUP(A1856,库龄!B:N,12,0),0)</f>
        <v>0</v>
      </c>
      <c r="N1856">
        <f t="shared" si="58"/>
        <v>0</v>
      </c>
    </row>
    <row r="1857" spans="1:14">
      <c r="A1857" s="3" t="s">
        <v>4752</v>
      </c>
      <c r="B1857">
        <f>IFERROR(VLOOKUP(A1857,管理亚马逊库存!A:K,11,0),"")</f>
        <v>0</v>
      </c>
      <c r="C1857">
        <f>IFERROR(VLOOKUP(A1857,管理亚马逊库存!A:L,12,0),"")</f>
        <v>0</v>
      </c>
      <c r="D1857">
        <f>IFERROR(VLOOKUP(A1857,管理亚马逊库存!A:Q,17,0),"")</f>
        <v>0</v>
      </c>
      <c r="E1857">
        <f>IFERROR(VLOOKUP(A1857,管理亚马逊库存!A:R,18,0),"")</f>
        <v>0</v>
      </c>
      <c r="F1857">
        <f t="shared" si="57"/>
        <v>0</v>
      </c>
      <c r="G1857" t="str">
        <f>IFERROR(VLOOKUP(A1857,预留库存!A:G,7,0),0)</f>
        <v>No</v>
      </c>
      <c r="H1857">
        <f>IFERROR(VLOOKUP(A1857,预留库存!A:H,8,0),0)</f>
        <v>0</v>
      </c>
      <c r="I1857">
        <f>IFERROR(VLOOKUP(A1857,预留库存!A:F,6,0),0)</f>
        <v>23.98</v>
      </c>
      <c r="J1857">
        <f>IFERROR(VLOOKUP(A1857,库龄!B:K,9,0),0)</f>
        <v>0</v>
      </c>
      <c r="K1857">
        <f>IFERROR(VLOOKUP(A1857,库龄!B:L,10,0),0)</f>
        <v>0</v>
      </c>
      <c r="L1857">
        <f>IFERROR(VLOOKUP(A1857,库龄!B:M,11,0),0)</f>
        <v>0</v>
      </c>
      <c r="M1857">
        <f>IFERROR(VLOOKUP(A1857,库龄!B:N,12,0),0)</f>
        <v>0</v>
      </c>
      <c r="N1857">
        <f t="shared" si="58"/>
        <v>0</v>
      </c>
    </row>
    <row r="1858" spans="1:14">
      <c r="A1858" s="3" t="s">
        <v>4754</v>
      </c>
      <c r="B1858">
        <f>IFERROR(VLOOKUP(A1858,管理亚马逊库存!A:K,11,0),"")</f>
        <v>0</v>
      </c>
      <c r="C1858">
        <f>IFERROR(VLOOKUP(A1858,管理亚马逊库存!A:L,12,0),"")</f>
        <v>0</v>
      </c>
      <c r="D1858">
        <f>IFERROR(VLOOKUP(A1858,管理亚马逊库存!A:Q,17,0),"")</f>
        <v>0</v>
      </c>
      <c r="E1858">
        <f>IFERROR(VLOOKUP(A1858,管理亚马逊库存!A:R,18,0),"")</f>
        <v>0</v>
      </c>
      <c r="F1858">
        <f t="shared" si="57"/>
        <v>0</v>
      </c>
      <c r="G1858" t="str">
        <f>IFERROR(VLOOKUP(A1858,预留库存!A:G,7,0),0)</f>
        <v>No</v>
      </c>
      <c r="H1858">
        <f>IFERROR(VLOOKUP(A1858,预留库存!A:H,8,0),0)</f>
        <v>0</v>
      </c>
      <c r="I1858">
        <f>IFERROR(VLOOKUP(A1858,预留库存!A:F,6,0),0)</f>
        <v>23.98</v>
      </c>
      <c r="J1858">
        <f>IFERROR(VLOOKUP(A1858,库龄!B:K,9,0),0)</f>
        <v>0</v>
      </c>
      <c r="K1858">
        <f>IFERROR(VLOOKUP(A1858,库龄!B:L,10,0),0)</f>
        <v>0</v>
      </c>
      <c r="L1858">
        <f>IFERROR(VLOOKUP(A1858,库龄!B:M,11,0),0)</f>
        <v>0</v>
      </c>
      <c r="M1858">
        <f>IFERROR(VLOOKUP(A1858,库龄!B:N,12,0),0)</f>
        <v>0</v>
      </c>
      <c r="N1858">
        <f t="shared" si="58"/>
        <v>0</v>
      </c>
    </row>
    <row r="1859" spans="1:14">
      <c r="A1859" s="3" t="s">
        <v>4756</v>
      </c>
      <c r="B1859">
        <f>IFERROR(VLOOKUP(A1859,管理亚马逊库存!A:K,11,0),"")</f>
        <v>0</v>
      </c>
      <c r="C1859">
        <f>IFERROR(VLOOKUP(A1859,管理亚马逊库存!A:L,12,0),"")</f>
        <v>0</v>
      </c>
      <c r="D1859">
        <f>IFERROR(VLOOKUP(A1859,管理亚马逊库存!A:Q,17,0),"")</f>
        <v>0</v>
      </c>
      <c r="E1859">
        <f>IFERROR(VLOOKUP(A1859,管理亚马逊库存!A:R,18,0),"")</f>
        <v>0</v>
      </c>
      <c r="F1859">
        <f t="shared" ref="F1859:F1922" si="59">SUM(D1859:E1859)</f>
        <v>0</v>
      </c>
      <c r="G1859" t="str">
        <f>IFERROR(VLOOKUP(A1859,预留库存!A:G,7,0),0)</f>
        <v>No</v>
      </c>
      <c r="H1859">
        <f>IFERROR(VLOOKUP(A1859,预留库存!A:H,8,0),0)</f>
        <v>0</v>
      </c>
      <c r="I1859">
        <f>IFERROR(VLOOKUP(A1859,预留库存!A:F,6,0),0)</f>
        <v>23.98</v>
      </c>
      <c r="J1859">
        <f>IFERROR(VLOOKUP(A1859,库龄!B:K,9,0),0)</f>
        <v>0</v>
      </c>
      <c r="K1859">
        <f>IFERROR(VLOOKUP(A1859,库龄!B:L,10,0),0)</f>
        <v>0</v>
      </c>
      <c r="L1859">
        <f>IFERROR(VLOOKUP(A1859,库龄!B:M,11,0),0)</f>
        <v>0</v>
      </c>
      <c r="M1859">
        <f>IFERROR(VLOOKUP(A1859,库龄!B:N,12,0),0)</f>
        <v>0</v>
      </c>
      <c r="N1859">
        <f t="shared" ref="N1859:N1922" si="60">SUM(J1859:M1859)</f>
        <v>0</v>
      </c>
    </row>
    <row r="1860" spans="1:14">
      <c r="A1860" s="3" t="s">
        <v>4758</v>
      </c>
      <c r="B1860">
        <f>IFERROR(VLOOKUP(A1860,管理亚马逊库存!A:K,11,0),"")</f>
        <v>5</v>
      </c>
      <c r="C1860">
        <f>IFERROR(VLOOKUP(A1860,管理亚马逊库存!A:L,12,0),"")</f>
        <v>0</v>
      </c>
      <c r="D1860">
        <f>IFERROR(VLOOKUP(A1860,管理亚马逊库存!A:Q,17,0),"")</f>
        <v>0</v>
      </c>
      <c r="E1860">
        <f>IFERROR(VLOOKUP(A1860,管理亚马逊库存!A:R,18,0),"")</f>
        <v>0</v>
      </c>
      <c r="F1860">
        <f t="shared" si="59"/>
        <v>0</v>
      </c>
      <c r="G1860" t="str">
        <f>IFERROR(VLOOKUP(A1860,预留库存!A:G,7,0),0)</f>
        <v>No</v>
      </c>
      <c r="H1860">
        <f>IFERROR(VLOOKUP(A1860,预留库存!A:H,8,0),0)</f>
        <v>0</v>
      </c>
      <c r="I1860">
        <f>IFERROR(VLOOKUP(A1860,预留库存!A:F,6,0),0)</f>
        <v>23.98</v>
      </c>
      <c r="J1860">
        <f>IFERROR(VLOOKUP(A1860,库龄!B:K,9,0),0)</f>
        <v>0</v>
      </c>
      <c r="K1860">
        <f>IFERROR(VLOOKUP(A1860,库龄!B:L,10,0),0)</f>
        <v>0</v>
      </c>
      <c r="L1860">
        <f>IFERROR(VLOOKUP(A1860,库龄!B:M,11,0),0)</f>
        <v>0</v>
      </c>
      <c r="M1860">
        <f>IFERROR(VLOOKUP(A1860,库龄!B:N,12,0),0)</f>
        <v>0</v>
      </c>
      <c r="N1860">
        <f t="shared" si="60"/>
        <v>0</v>
      </c>
    </row>
    <row r="1861" spans="1:14">
      <c r="A1861" s="3" t="s">
        <v>4760</v>
      </c>
      <c r="B1861">
        <f>IFERROR(VLOOKUP(A1861,管理亚马逊库存!A:K,11,0),"")</f>
        <v>0</v>
      </c>
      <c r="C1861">
        <f>IFERROR(VLOOKUP(A1861,管理亚马逊库存!A:L,12,0),"")</f>
        <v>0</v>
      </c>
      <c r="D1861">
        <f>IFERROR(VLOOKUP(A1861,管理亚马逊库存!A:Q,17,0),"")</f>
        <v>0</v>
      </c>
      <c r="E1861">
        <f>IFERROR(VLOOKUP(A1861,管理亚马逊库存!A:R,18,0),"")</f>
        <v>0</v>
      </c>
      <c r="F1861">
        <f t="shared" si="59"/>
        <v>0</v>
      </c>
      <c r="G1861" t="str">
        <f>IFERROR(VLOOKUP(A1861,预留库存!A:G,7,0),0)</f>
        <v>No</v>
      </c>
      <c r="H1861">
        <f>IFERROR(VLOOKUP(A1861,预留库存!A:H,8,0),0)</f>
        <v>0</v>
      </c>
      <c r="I1861">
        <f>IFERROR(VLOOKUP(A1861,预留库存!A:F,6,0),0)</f>
        <v>23.98</v>
      </c>
      <c r="J1861">
        <f>IFERROR(VLOOKUP(A1861,库龄!B:K,9,0),0)</f>
        <v>0</v>
      </c>
      <c r="K1861">
        <f>IFERROR(VLOOKUP(A1861,库龄!B:L,10,0),0)</f>
        <v>0</v>
      </c>
      <c r="L1861">
        <f>IFERROR(VLOOKUP(A1861,库龄!B:M,11,0),0)</f>
        <v>0</v>
      </c>
      <c r="M1861">
        <f>IFERROR(VLOOKUP(A1861,库龄!B:N,12,0),0)</f>
        <v>0</v>
      </c>
      <c r="N1861">
        <f t="shared" si="60"/>
        <v>0</v>
      </c>
    </row>
    <row r="1862" spans="1:14">
      <c r="A1862" s="3" t="s">
        <v>4762</v>
      </c>
      <c r="B1862">
        <f>IFERROR(VLOOKUP(A1862,管理亚马逊库存!A:K,11,0),"")</f>
        <v>0</v>
      </c>
      <c r="C1862">
        <f>IFERROR(VLOOKUP(A1862,管理亚马逊库存!A:L,12,0),"")</f>
        <v>0</v>
      </c>
      <c r="D1862">
        <f>IFERROR(VLOOKUP(A1862,管理亚马逊库存!A:Q,17,0),"")</f>
        <v>0</v>
      </c>
      <c r="E1862">
        <f>IFERROR(VLOOKUP(A1862,管理亚马逊库存!A:R,18,0),"")</f>
        <v>0</v>
      </c>
      <c r="F1862">
        <f t="shared" si="59"/>
        <v>0</v>
      </c>
      <c r="G1862" t="str">
        <f>IFERROR(VLOOKUP(A1862,预留库存!A:G,7,0),0)</f>
        <v>No</v>
      </c>
      <c r="H1862">
        <f>IFERROR(VLOOKUP(A1862,预留库存!A:H,8,0),0)</f>
        <v>0</v>
      </c>
      <c r="I1862">
        <f>IFERROR(VLOOKUP(A1862,预留库存!A:F,6,0),0)</f>
        <v>23.98</v>
      </c>
      <c r="J1862">
        <f>IFERROR(VLOOKUP(A1862,库龄!B:K,9,0),0)</f>
        <v>0</v>
      </c>
      <c r="K1862">
        <f>IFERROR(VLOOKUP(A1862,库龄!B:L,10,0),0)</f>
        <v>0</v>
      </c>
      <c r="L1862">
        <f>IFERROR(VLOOKUP(A1862,库龄!B:M,11,0),0)</f>
        <v>0</v>
      </c>
      <c r="M1862">
        <f>IFERROR(VLOOKUP(A1862,库龄!B:N,12,0),0)</f>
        <v>0</v>
      </c>
      <c r="N1862">
        <f t="shared" si="60"/>
        <v>0</v>
      </c>
    </row>
    <row r="1863" spans="1:14">
      <c r="A1863" s="3" t="s">
        <v>4764</v>
      </c>
      <c r="B1863">
        <f>IFERROR(VLOOKUP(A1863,管理亚马逊库存!A:K,11,0),"")</f>
        <v>0</v>
      </c>
      <c r="C1863">
        <f>IFERROR(VLOOKUP(A1863,管理亚马逊库存!A:L,12,0),"")</f>
        <v>0</v>
      </c>
      <c r="D1863">
        <f>IFERROR(VLOOKUP(A1863,管理亚马逊库存!A:Q,17,0),"")</f>
        <v>0</v>
      </c>
      <c r="E1863">
        <f>IFERROR(VLOOKUP(A1863,管理亚马逊库存!A:R,18,0),"")</f>
        <v>0</v>
      </c>
      <c r="F1863">
        <f t="shared" si="59"/>
        <v>0</v>
      </c>
      <c r="G1863" t="str">
        <f>IFERROR(VLOOKUP(A1863,预留库存!A:G,7,0),0)</f>
        <v>No</v>
      </c>
      <c r="H1863">
        <f>IFERROR(VLOOKUP(A1863,预留库存!A:H,8,0),0)</f>
        <v>0</v>
      </c>
      <c r="I1863">
        <f>IFERROR(VLOOKUP(A1863,预留库存!A:F,6,0),0)</f>
        <v>23.98</v>
      </c>
      <c r="J1863">
        <f>IFERROR(VLOOKUP(A1863,库龄!B:K,9,0),0)</f>
        <v>0</v>
      </c>
      <c r="K1863">
        <f>IFERROR(VLOOKUP(A1863,库龄!B:L,10,0),0)</f>
        <v>0</v>
      </c>
      <c r="L1863">
        <f>IFERROR(VLOOKUP(A1863,库龄!B:M,11,0),0)</f>
        <v>0</v>
      </c>
      <c r="M1863">
        <f>IFERROR(VLOOKUP(A1863,库龄!B:N,12,0),0)</f>
        <v>0</v>
      </c>
      <c r="N1863">
        <f t="shared" si="60"/>
        <v>0</v>
      </c>
    </row>
    <row r="1864" spans="1:14">
      <c r="A1864" s="3" t="s">
        <v>4766</v>
      </c>
      <c r="B1864">
        <f>IFERROR(VLOOKUP(A1864,管理亚马逊库存!A:K,11,0),"")</f>
        <v>0</v>
      </c>
      <c r="C1864">
        <f>IFERROR(VLOOKUP(A1864,管理亚马逊库存!A:L,12,0),"")</f>
        <v>0</v>
      </c>
      <c r="D1864">
        <f>IFERROR(VLOOKUP(A1864,管理亚马逊库存!A:Q,17,0),"")</f>
        <v>0</v>
      </c>
      <c r="E1864">
        <f>IFERROR(VLOOKUP(A1864,管理亚马逊库存!A:R,18,0),"")</f>
        <v>0</v>
      </c>
      <c r="F1864">
        <f t="shared" si="59"/>
        <v>0</v>
      </c>
      <c r="G1864" t="str">
        <f>IFERROR(VLOOKUP(A1864,预留库存!A:G,7,0),0)</f>
        <v>No</v>
      </c>
      <c r="H1864">
        <f>IFERROR(VLOOKUP(A1864,预留库存!A:H,8,0),0)</f>
        <v>0</v>
      </c>
      <c r="I1864">
        <f>IFERROR(VLOOKUP(A1864,预留库存!A:F,6,0),0)</f>
        <v>23.98</v>
      </c>
      <c r="J1864">
        <f>IFERROR(VLOOKUP(A1864,库龄!B:K,9,0),0)</f>
        <v>0</v>
      </c>
      <c r="K1864">
        <f>IFERROR(VLOOKUP(A1864,库龄!B:L,10,0),0)</f>
        <v>0</v>
      </c>
      <c r="L1864">
        <f>IFERROR(VLOOKUP(A1864,库龄!B:M,11,0),0)</f>
        <v>0</v>
      </c>
      <c r="M1864">
        <f>IFERROR(VLOOKUP(A1864,库龄!B:N,12,0),0)</f>
        <v>0</v>
      </c>
      <c r="N1864">
        <f t="shared" si="60"/>
        <v>0</v>
      </c>
    </row>
    <row r="1865" spans="1:14">
      <c r="A1865" s="3" t="s">
        <v>4768</v>
      </c>
      <c r="B1865">
        <f>IFERROR(VLOOKUP(A1865,管理亚马逊库存!A:K,11,0),"")</f>
        <v>0</v>
      </c>
      <c r="C1865">
        <f>IFERROR(VLOOKUP(A1865,管理亚马逊库存!A:L,12,0),"")</f>
        <v>0</v>
      </c>
      <c r="D1865">
        <f>IFERROR(VLOOKUP(A1865,管理亚马逊库存!A:Q,17,0),"")</f>
        <v>0</v>
      </c>
      <c r="E1865">
        <f>IFERROR(VLOOKUP(A1865,管理亚马逊库存!A:R,18,0),"")</f>
        <v>0</v>
      </c>
      <c r="F1865">
        <f t="shared" si="59"/>
        <v>0</v>
      </c>
      <c r="G1865" t="str">
        <f>IFERROR(VLOOKUP(A1865,预留库存!A:G,7,0),0)</f>
        <v>No</v>
      </c>
      <c r="H1865">
        <f>IFERROR(VLOOKUP(A1865,预留库存!A:H,8,0),0)</f>
        <v>0</v>
      </c>
      <c r="I1865">
        <f>IFERROR(VLOOKUP(A1865,预留库存!A:F,6,0),0)</f>
        <v>23.98</v>
      </c>
      <c r="J1865">
        <f>IFERROR(VLOOKUP(A1865,库龄!B:K,9,0),0)</f>
        <v>0</v>
      </c>
      <c r="K1865">
        <f>IFERROR(VLOOKUP(A1865,库龄!B:L,10,0),0)</f>
        <v>0</v>
      </c>
      <c r="L1865">
        <f>IFERROR(VLOOKUP(A1865,库龄!B:M,11,0),0)</f>
        <v>0</v>
      </c>
      <c r="M1865">
        <f>IFERROR(VLOOKUP(A1865,库龄!B:N,12,0),0)</f>
        <v>0</v>
      </c>
      <c r="N1865">
        <f t="shared" si="60"/>
        <v>0</v>
      </c>
    </row>
    <row r="1866" spans="1:14">
      <c r="A1866" s="3" t="s">
        <v>4770</v>
      </c>
      <c r="B1866">
        <f>IFERROR(VLOOKUP(A1866,管理亚马逊库存!A:K,11,0),"")</f>
        <v>32</v>
      </c>
      <c r="C1866">
        <f>IFERROR(VLOOKUP(A1866,管理亚马逊库存!A:L,12,0),"")</f>
        <v>0</v>
      </c>
      <c r="D1866">
        <f>IFERROR(VLOOKUP(A1866,管理亚马逊库存!A:Q,17,0),"")</f>
        <v>0</v>
      </c>
      <c r="E1866">
        <f>IFERROR(VLOOKUP(A1866,管理亚马逊库存!A:R,18,0),"")</f>
        <v>0</v>
      </c>
      <c r="F1866">
        <f t="shared" si="59"/>
        <v>0</v>
      </c>
      <c r="G1866">
        <f>IFERROR(VLOOKUP(A1866,预留库存!A:G,7,0),0)</f>
        <v>0</v>
      </c>
      <c r="H1866">
        <f>IFERROR(VLOOKUP(A1866,预留库存!A:H,8,0),0)</f>
        <v>0</v>
      </c>
      <c r="I1866">
        <f>IFERROR(VLOOKUP(A1866,预留库存!A:F,6,0),0)</f>
        <v>0</v>
      </c>
      <c r="J1866">
        <f>IFERROR(VLOOKUP(A1866,库龄!B:K,9,0),0)</f>
        <v>0</v>
      </c>
      <c r="K1866">
        <f>IFERROR(VLOOKUP(A1866,库龄!B:L,10,0),0)</f>
        <v>0</v>
      </c>
      <c r="L1866">
        <f>IFERROR(VLOOKUP(A1866,库龄!B:M,11,0),0)</f>
        <v>0</v>
      </c>
      <c r="M1866">
        <f>IFERROR(VLOOKUP(A1866,库龄!B:N,12,0),0)</f>
        <v>0</v>
      </c>
      <c r="N1866">
        <f t="shared" si="60"/>
        <v>0</v>
      </c>
    </row>
    <row r="1867" spans="1:14">
      <c r="A1867" s="3" t="s">
        <v>4772</v>
      </c>
      <c r="B1867">
        <f>IFERROR(VLOOKUP(A1867,管理亚马逊库存!A:K,11,0),"")</f>
        <v>19</v>
      </c>
      <c r="C1867">
        <f>IFERROR(VLOOKUP(A1867,管理亚马逊库存!A:L,12,0),"")</f>
        <v>0</v>
      </c>
      <c r="D1867">
        <f>IFERROR(VLOOKUP(A1867,管理亚马逊库存!A:Q,17,0),"")</f>
        <v>0</v>
      </c>
      <c r="E1867">
        <f>IFERROR(VLOOKUP(A1867,管理亚马逊库存!A:R,18,0),"")</f>
        <v>0</v>
      </c>
      <c r="F1867">
        <f t="shared" si="59"/>
        <v>0</v>
      </c>
      <c r="G1867">
        <f>IFERROR(VLOOKUP(A1867,预留库存!A:G,7,0),0)</f>
        <v>0</v>
      </c>
      <c r="H1867">
        <f>IFERROR(VLOOKUP(A1867,预留库存!A:H,8,0),0)</f>
        <v>0</v>
      </c>
      <c r="I1867">
        <f>IFERROR(VLOOKUP(A1867,预留库存!A:F,6,0),0)</f>
        <v>0</v>
      </c>
      <c r="J1867">
        <f>IFERROR(VLOOKUP(A1867,库龄!B:K,9,0),0)</f>
        <v>0</v>
      </c>
      <c r="K1867">
        <f>IFERROR(VLOOKUP(A1867,库龄!B:L,10,0),0)</f>
        <v>0</v>
      </c>
      <c r="L1867">
        <f>IFERROR(VLOOKUP(A1867,库龄!B:M,11,0),0)</f>
        <v>0</v>
      </c>
      <c r="M1867">
        <f>IFERROR(VLOOKUP(A1867,库龄!B:N,12,0),0)</f>
        <v>0</v>
      </c>
      <c r="N1867">
        <f t="shared" si="60"/>
        <v>0</v>
      </c>
    </row>
    <row r="1868" spans="1:14">
      <c r="A1868" s="3" t="s">
        <v>4774</v>
      </c>
      <c r="B1868">
        <f>IFERROR(VLOOKUP(A1868,管理亚马逊库存!A:K,11,0),"")</f>
        <v>12</v>
      </c>
      <c r="C1868">
        <f>IFERROR(VLOOKUP(A1868,管理亚马逊库存!A:L,12,0),"")</f>
        <v>0</v>
      </c>
      <c r="D1868">
        <f>IFERROR(VLOOKUP(A1868,管理亚马逊库存!A:Q,17,0),"")</f>
        <v>0</v>
      </c>
      <c r="E1868">
        <f>IFERROR(VLOOKUP(A1868,管理亚马逊库存!A:R,18,0),"")</f>
        <v>0</v>
      </c>
      <c r="F1868">
        <f t="shared" si="59"/>
        <v>0</v>
      </c>
      <c r="G1868">
        <f>IFERROR(VLOOKUP(A1868,预留库存!A:G,7,0),0)</f>
        <v>0</v>
      </c>
      <c r="H1868">
        <f>IFERROR(VLOOKUP(A1868,预留库存!A:H,8,0),0)</f>
        <v>0</v>
      </c>
      <c r="I1868">
        <f>IFERROR(VLOOKUP(A1868,预留库存!A:F,6,0),0)</f>
        <v>0</v>
      </c>
      <c r="J1868">
        <f>IFERROR(VLOOKUP(A1868,库龄!B:K,9,0),0)</f>
        <v>0</v>
      </c>
      <c r="K1868">
        <f>IFERROR(VLOOKUP(A1868,库龄!B:L,10,0),0)</f>
        <v>0</v>
      </c>
      <c r="L1868">
        <f>IFERROR(VLOOKUP(A1868,库龄!B:M,11,0),0)</f>
        <v>0</v>
      </c>
      <c r="M1868">
        <f>IFERROR(VLOOKUP(A1868,库龄!B:N,12,0),0)</f>
        <v>0</v>
      </c>
      <c r="N1868">
        <f t="shared" si="60"/>
        <v>0</v>
      </c>
    </row>
    <row r="1869" spans="1:14">
      <c r="A1869" s="3" t="s">
        <v>4776</v>
      </c>
      <c r="B1869">
        <f>IFERROR(VLOOKUP(A1869,管理亚马逊库存!A:K,11,0),"")</f>
        <v>6</v>
      </c>
      <c r="C1869">
        <f>IFERROR(VLOOKUP(A1869,管理亚马逊库存!A:L,12,0),"")</f>
        <v>0</v>
      </c>
      <c r="D1869">
        <f>IFERROR(VLOOKUP(A1869,管理亚马逊库存!A:Q,17,0),"")</f>
        <v>0</v>
      </c>
      <c r="E1869">
        <f>IFERROR(VLOOKUP(A1869,管理亚马逊库存!A:R,18,0),"")</f>
        <v>0</v>
      </c>
      <c r="F1869">
        <f t="shared" si="59"/>
        <v>0</v>
      </c>
      <c r="G1869">
        <f>IFERROR(VLOOKUP(A1869,预留库存!A:G,7,0),0)</f>
        <v>0</v>
      </c>
      <c r="H1869">
        <f>IFERROR(VLOOKUP(A1869,预留库存!A:H,8,0),0)</f>
        <v>0</v>
      </c>
      <c r="I1869">
        <f>IFERROR(VLOOKUP(A1869,预留库存!A:F,6,0),0)</f>
        <v>0</v>
      </c>
      <c r="J1869">
        <f>IFERROR(VLOOKUP(A1869,库龄!B:K,9,0),0)</f>
        <v>0</v>
      </c>
      <c r="K1869">
        <f>IFERROR(VLOOKUP(A1869,库龄!B:L,10,0),0)</f>
        <v>0</v>
      </c>
      <c r="L1869">
        <f>IFERROR(VLOOKUP(A1869,库龄!B:M,11,0),0)</f>
        <v>0</v>
      </c>
      <c r="M1869">
        <f>IFERROR(VLOOKUP(A1869,库龄!B:N,12,0),0)</f>
        <v>0</v>
      </c>
      <c r="N1869">
        <f t="shared" si="60"/>
        <v>0</v>
      </c>
    </row>
    <row r="1870" spans="1:14">
      <c r="A1870" s="3" t="s">
        <v>4778</v>
      </c>
      <c r="B1870">
        <f>IFERROR(VLOOKUP(A1870,管理亚马逊库存!A:K,11,0),"")</f>
        <v>23</v>
      </c>
      <c r="C1870">
        <f>IFERROR(VLOOKUP(A1870,管理亚马逊库存!A:L,12,0),"")</f>
        <v>0</v>
      </c>
      <c r="D1870">
        <f>IFERROR(VLOOKUP(A1870,管理亚马逊库存!A:Q,17,0),"")</f>
        <v>0</v>
      </c>
      <c r="E1870">
        <f>IFERROR(VLOOKUP(A1870,管理亚马逊库存!A:R,18,0),"")</f>
        <v>0</v>
      </c>
      <c r="F1870">
        <f t="shared" si="59"/>
        <v>0</v>
      </c>
      <c r="G1870" t="str">
        <f>IFERROR(VLOOKUP(A1870,预留库存!A:G,7,0),0)</f>
        <v>No</v>
      </c>
      <c r="H1870">
        <f>IFERROR(VLOOKUP(A1870,预留库存!A:H,8,0),0)</f>
        <v>0</v>
      </c>
      <c r="I1870">
        <f>IFERROR(VLOOKUP(A1870,预留库存!A:F,6,0),0)</f>
        <v>39.98</v>
      </c>
      <c r="J1870">
        <f>IFERROR(VLOOKUP(A1870,库龄!B:K,9,0),0)</f>
        <v>0</v>
      </c>
      <c r="K1870">
        <f>IFERROR(VLOOKUP(A1870,库龄!B:L,10,0),0)</f>
        <v>0</v>
      </c>
      <c r="L1870">
        <f>IFERROR(VLOOKUP(A1870,库龄!B:M,11,0),0)</f>
        <v>0</v>
      </c>
      <c r="M1870">
        <f>IFERROR(VLOOKUP(A1870,库龄!B:N,12,0),0)</f>
        <v>0</v>
      </c>
      <c r="N1870">
        <f t="shared" si="60"/>
        <v>0</v>
      </c>
    </row>
    <row r="1871" spans="1:14">
      <c r="A1871" s="3" t="s">
        <v>4781</v>
      </c>
      <c r="B1871">
        <f>IFERROR(VLOOKUP(A1871,管理亚马逊库存!A:K,11,0),"")</f>
        <v>23</v>
      </c>
      <c r="C1871">
        <f>IFERROR(VLOOKUP(A1871,管理亚马逊库存!A:L,12,0),"")</f>
        <v>0</v>
      </c>
      <c r="D1871">
        <f>IFERROR(VLOOKUP(A1871,管理亚马逊库存!A:Q,17,0),"")</f>
        <v>0</v>
      </c>
      <c r="E1871">
        <f>IFERROR(VLOOKUP(A1871,管理亚马逊库存!A:R,18,0),"")</f>
        <v>0</v>
      </c>
      <c r="F1871">
        <f t="shared" si="59"/>
        <v>0</v>
      </c>
      <c r="G1871">
        <f>IFERROR(VLOOKUP(A1871,预留库存!A:G,7,0),0)</f>
        <v>0</v>
      </c>
      <c r="H1871">
        <f>IFERROR(VLOOKUP(A1871,预留库存!A:H,8,0),0)</f>
        <v>0</v>
      </c>
      <c r="I1871">
        <f>IFERROR(VLOOKUP(A1871,预留库存!A:F,6,0),0)</f>
        <v>0</v>
      </c>
      <c r="J1871">
        <f>IFERROR(VLOOKUP(A1871,库龄!B:K,9,0),0)</f>
        <v>0</v>
      </c>
      <c r="K1871">
        <f>IFERROR(VLOOKUP(A1871,库龄!B:L,10,0),0)</f>
        <v>0</v>
      </c>
      <c r="L1871">
        <f>IFERROR(VLOOKUP(A1871,库龄!B:M,11,0),0)</f>
        <v>0</v>
      </c>
      <c r="M1871">
        <f>IFERROR(VLOOKUP(A1871,库龄!B:N,12,0),0)</f>
        <v>0</v>
      </c>
      <c r="N1871">
        <f t="shared" si="60"/>
        <v>0</v>
      </c>
    </row>
    <row r="1872" spans="1:14">
      <c r="A1872" s="3" t="s">
        <v>4783</v>
      </c>
      <c r="B1872">
        <f>IFERROR(VLOOKUP(A1872,管理亚马逊库存!A:K,11,0),"")</f>
        <v>23</v>
      </c>
      <c r="C1872">
        <f>IFERROR(VLOOKUP(A1872,管理亚马逊库存!A:L,12,0),"")</f>
        <v>0</v>
      </c>
      <c r="D1872">
        <f>IFERROR(VLOOKUP(A1872,管理亚马逊库存!A:Q,17,0),"")</f>
        <v>0</v>
      </c>
      <c r="E1872">
        <f>IFERROR(VLOOKUP(A1872,管理亚马逊库存!A:R,18,0),"")</f>
        <v>0</v>
      </c>
      <c r="F1872">
        <f t="shared" si="59"/>
        <v>0</v>
      </c>
      <c r="G1872">
        <f>IFERROR(VLOOKUP(A1872,预留库存!A:G,7,0),0)</f>
        <v>0</v>
      </c>
      <c r="H1872">
        <f>IFERROR(VLOOKUP(A1872,预留库存!A:H,8,0),0)</f>
        <v>0</v>
      </c>
      <c r="I1872">
        <f>IFERROR(VLOOKUP(A1872,预留库存!A:F,6,0),0)</f>
        <v>0</v>
      </c>
      <c r="J1872">
        <f>IFERROR(VLOOKUP(A1872,库龄!B:K,9,0),0)</f>
        <v>0</v>
      </c>
      <c r="K1872">
        <f>IFERROR(VLOOKUP(A1872,库龄!B:L,10,0),0)</f>
        <v>0</v>
      </c>
      <c r="L1872">
        <f>IFERROR(VLOOKUP(A1872,库龄!B:M,11,0),0)</f>
        <v>0</v>
      </c>
      <c r="M1872">
        <f>IFERROR(VLOOKUP(A1872,库龄!B:N,12,0),0)</f>
        <v>0</v>
      </c>
      <c r="N1872">
        <f t="shared" si="60"/>
        <v>0</v>
      </c>
    </row>
    <row r="1873" spans="1:14">
      <c r="A1873" s="3" t="s">
        <v>4785</v>
      </c>
      <c r="B1873">
        <f>IFERROR(VLOOKUP(A1873,管理亚马逊库存!A:K,11,0),"")</f>
        <v>15</v>
      </c>
      <c r="C1873">
        <f>IFERROR(VLOOKUP(A1873,管理亚马逊库存!A:L,12,0),"")</f>
        <v>0</v>
      </c>
      <c r="D1873">
        <f>IFERROR(VLOOKUP(A1873,管理亚马逊库存!A:Q,17,0),"")</f>
        <v>0</v>
      </c>
      <c r="E1873">
        <f>IFERROR(VLOOKUP(A1873,管理亚马逊库存!A:R,18,0),"")</f>
        <v>0</v>
      </c>
      <c r="F1873">
        <f t="shared" si="59"/>
        <v>0</v>
      </c>
      <c r="G1873">
        <f>IFERROR(VLOOKUP(A1873,预留库存!A:G,7,0),0)</f>
        <v>0</v>
      </c>
      <c r="H1873">
        <f>IFERROR(VLOOKUP(A1873,预留库存!A:H,8,0),0)</f>
        <v>0</v>
      </c>
      <c r="I1873">
        <f>IFERROR(VLOOKUP(A1873,预留库存!A:F,6,0),0)</f>
        <v>0</v>
      </c>
      <c r="J1873">
        <f>IFERROR(VLOOKUP(A1873,库龄!B:K,9,0),0)</f>
        <v>0</v>
      </c>
      <c r="K1873">
        <f>IFERROR(VLOOKUP(A1873,库龄!B:L,10,0),0)</f>
        <v>0</v>
      </c>
      <c r="L1873">
        <f>IFERROR(VLOOKUP(A1873,库龄!B:M,11,0),0)</f>
        <v>0</v>
      </c>
      <c r="M1873">
        <f>IFERROR(VLOOKUP(A1873,库龄!B:N,12,0),0)</f>
        <v>0</v>
      </c>
      <c r="N1873">
        <f t="shared" si="60"/>
        <v>0</v>
      </c>
    </row>
    <row r="1874" spans="1:14">
      <c r="A1874" s="3" t="s">
        <v>4787</v>
      </c>
      <c r="B1874">
        <f>IFERROR(VLOOKUP(A1874,管理亚马逊库存!A:K,11,0),"")</f>
        <v>9</v>
      </c>
      <c r="C1874">
        <f>IFERROR(VLOOKUP(A1874,管理亚马逊库存!A:L,12,0),"")</f>
        <v>0</v>
      </c>
      <c r="D1874">
        <f>IFERROR(VLOOKUP(A1874,管理亚马逊库存!A:Q,17,0),"")</f>
        <v>0</v>
      </c>
      <c r="E1874">
        <f>IFERROR(VLOOKUP(A1874,管理亚马逊库存!A:R,18,0),"")</f>
        <v>0</v>
      </c>
      <c r="F1874">
        <f t="shared" si="59"/>
        <v>0</v>
      </c>
      <c r="G1874">
        <f>IFERROR(VLOOKUP(A1874,预留库存!A:G,7,0),0)</f>
        <v>0</v>
      </c>
      <c r="H1874">
        <f>IFERROR(VLOOKUP(A1874,预留库存!A:H,8,0),0)</f>
        <v>0</v>
      </c>
      <c r="I1874">
        <f>IFERROR(VLOOKUP(A1874,预留库存!A:F,6,0),0)</f>
        <v>0</v>
      </c>
      <c r="J1874">
        <f>IFERROR(VLOOKUP(A1874,库龄!B:K,9,0),0)</f>
        <v>0</v>
      </c>
      <c r="K1874">
        <f>IFERROR(VLOOKUP(A1874,库龄!B:L,10,0),0)</f>
        <v>0</v>
      </c>
      <c r="L1874">
        <f>IFERROR(VLOOKUP(A1874,库龄!B:M,11,0),0)</f>
        <v>0</v>
      </c>
      <c r="M1874">
        <f>IFERROR(VLOOKUP(A1874,库龄!B:N,12,0),0)</f>
        <v>0</v>
      </c>
      <c r="N1874">
        <f t="shared" si="60"/>
        <v>0</v>
      </c>
    </row>
    <row r="1875" spans="1:14">
      <c r="A1875" s="3" t="s">
        <v>4789</v>
      </c>
      <c r="B1875">
        <f>IFERROR(VLOOKUP(A1875,管理亚马逊库存!A:K,11,0),"")</f>
        <v>16</v>
      </c>
      <c r="C1875">
        <f>IFERROR(VLOOKUP(A1875,管理亚马逊库存!A:L,12,0),"")</f>
        <v>0</v>
      </c>
      <c r="D1875">
        <f>IFERROR(VLOOKUP(A1875,管理亚马逊库存!A:Q,17,0),"")</f>
        <v>0</v>
      </c>
      <c r="E1875">
        <f>IFERROR(VLOOKUP(A1875,管理亚马逊库存!A:R,18,0),"")</f>
        <v>0</v>
      </c>
      <c r="F1875">
        <f t="shared" si="59"/>
        <v>0</v>
      </c>
      <c r="G1875">
        <f>IFERROR(VLOOKUP(A1875,预留库存!A:G,7,0),0)</f>
        <v>0</v>
      </c>
      <c r="H1875">
        <f>IFERROR(VLOOKUP(A1875,预留库存!A:H,8,0),0)</f>
        <v>0</v>
      </c>
      <c r="I1875">
        <f>IFERROR(VLOOKUP(A1875,预留库存!A:F,6,0),0)</f>
        <v>0</v>
      </c>
      <c r="J1875">
        <f>IFERROR(VLOOKUP(A1875,库龄!B:K,9,0),0)</f>
        <v>0</v>
      </c>
      <c r="K1875">
        <f>IFERROR(VLOOKUP(A1875,库龄!B:L,10,0),0)</f>
        <v>0</v>
      </c>
      <c r="L1875">
        <f>IFERROR(VLOOKUP(A1875,库龄!B:M,11,0),0)</f>
        <v>0</v>
      </c>
      <c r="M1875">
        <f>IFERROR(VLOOKUP(A1875,库龄!B:N,12,0),0)</f>
        <v>0</v>
      </c>
      <c r="N1875">
        <f t="shared" si="60"/>
        <v>0</v>
      </c>
    </row>
    <row r="1876" spans="1:14">
      <c r="A1876" s="3" t="s">
        <v>4791</v>
      </c>
      <c r="B1876">
        <f>IFERROR(VLOOKUP(A1876,管理亚马逊库存!A:K,11,0),"")</f>
        <v>14</v>
      </c>
      <c r="C1876">
        <f>IFERROR(VLOOKUP(A1876,管理亚马逊库存!A:L,12,0),"")</f>
        <v>0</v>
      </c>
      <c r="D1876">
        <f>IFERROR(VLOOKUP(A1876,管理亚马逊库存!A:Q,17,0),"")</f>
        <v>0</v>
      </c>
      <c r="E1876">
        <f>IFERROR(VLOOKUP(A1876,管理亚马逊库存!A:R,18,0),"")</f>
        <v>0</v>
      </c>
      <c r="F1876">
        <f t="shared" si="59"/>
        <v>0</v>
      </c>
      <c r="G1876" t="str">
        <f>IFERROR(VLOOKUP(A1876,预留库存!A:G,7,0),0)</f>
        <v>No</v>
      </c>
      <c r="H1876">
        <f>IFERROR(VLOOKUP(A1876,预留库存!A:H,8,0),0)</f>
        <v>0</v>
      </c>
      <c r="I1876">
        <f>IFERROR(VLOOKUP(A1876,预留库存!A:F,6,0),0)</f>
        <v>22.98</v>
      </c>
      <c r="J1876">
        <f>IFERROR(VLOOKUP(A1876,库龄!B:K,9,0),0)</f>
        <v>4</v>
      </c>
      <c r="K1876">
        <f>IFERROR(VLOOKUP(A1876,库龄!B:L,10,0),0)</f>
        <v>0</v>
      </c>
      <c r="L1876">
        <f>IFERROR(VLOOKUP(A1876,库龄!B:M,11,0),0)</f>
        <v>0</v>
      </c>
      <c r="M1876">
        <f>IFERROR(VLOOKUP(A1876,库龄!B:N,12,0),0)</f>
        <v>0</v>
      </c>
      <c r="N1876">
        <f t="shared" si="60"/>
        <v>4</v>
      </c>
    </row>
    <row r="1877" spans="1:14">
      <c r="A1877" s="3" t="s">
        <v>4794</v>
      </c>
      <c r="B1877">
        <f>IFERROR(VLOOKUP(A1877,管理亚马逊库存!A:K,11,0),"")</f>
        <v>14</v>
      </c>
      <c r="C1877">
        <f>IFERROR(VLOOKUP(A1877,管理亚马逊库存!A:L,12,0),"")</f>
        <v>0</v>
      </c>
      <c r="D1877">
        <f>IFERROR(VLOOKUP(A1877,管理亚马逊库存!A:Q,17,0),"")</f>
        <v>0</v>
      </c>
      <c r="E1877">
        <f>IFERROR(VLOOKUP(A1877,管理亚马逊库存!A:R,18,0),"")</f>
        <v>0</v>
      </c>
      <c r="F1877">
        <f t="shared" si="59"/>
        <v>0</v>
      </c>
      <c r="G1877" t="str">
        <f>IFERROR(VLOOKUP(A1877,预留库存!A:G,7,0),0)</f>
        <v>No</v>
      </c>
      <c r="H1877">
        <f>IFERROR(VLOOKUP(A1877,预留库存!A:H,8,0),0)</f>
        <v>0</v>
      </c>
      <c r="I1877">
        <f>IFERROR(VLOOKUP(A1877,预留库存!A:F,6,0),0)</f>
        <v>22.98</v>
      </c>
      <c r="J1877">
        <f>IFERROR(VLOOKUP(A1877,库龄!B:K,9,0),0)</f>
        <v>0</v>
      </c>
      <c r="K1877">
        <f>IFERROR(VLOOKUP(A1877,库龄!B:L,10,0),0)</f>
        <v>0</v>
      </c>
      <c r="L1877">
        <f>IFERROR(VLOOKUP(A1877,库龄!B:M,11,0),0)</f>
        <v>0</v>
      </c>
      <c r="M1877">
        <f>IFERROR(VLOOKUP(A1877,库龄!B:N,12,0),0)</f>
        <v>0</v>
      </c>
      <c r="N1877">
        <f t="shared" si="60"/>
        <v>0</v>
      </c>
    </row>
    <row r="1878" spans="1:14">
      <c r="A1878" s="3" t="s">
        <v>4797</v>
      </c>
      <c r="B1878">
        <f>IFERROR(VLOOKUP(A1878,管理亚马逊库存!A:K,11,0),"")</f>
        <v>0</v>
      </c>
      <c r="C1878">
        <f>IFERROR(VLOOKUP(A1878,管理亚马逊库存!A:L,12,0),"")</f>
        <v>0</v>
      </c>
      <c r="D1878">
        <f>IFERROR(VLOOKUP(A1878,管理亚马逊库存!A:Q,17,0),"")</f>
        <v>0</v>
      </c>
      <c r="E1878">
        <f>IFERROR(VLOOKUP(A1878,管理亚马逊库存!A:R,18,0),"")</f>
        <v>0</v>
      </c>
      <c r="F1878">
        <f t="shared" si="59"/>
        <v>0</v>
      </c>
      <c r="G1878" t="str">
        <f>IFERROR(VLOOKUP(A1878,预留库存!A:G,7,0),0)</f>
        <v>No</v>
      </c>
      <c r="H1878">
        <f>IFERROR(VLOOKUP(A1878,预留库存!A:H,8,0),0)</f>
        <v>0</v>
      </c>
      <c r="I1878">
        <f>IFERROR(VLOOKUP(A1878,预留库存!A:F,6,0),0)</f>
        <v>21.98</v>
      </c>
      <c r="J1878">
        <f>IFERROR(VLOOKUP(A1878,库龄!B:K,9,0),0)</f>
        <v>0</v>
      </c>
      <c r="K1878">
        <f>IFERROR(VLOOKUP(A1878,库龄!B:L,10,0),0)</f>
        <v>0</v>
      </c>
      <c r="L1878">
        <f>IFERROR(VLOOKUP(A1878,库龄!B:M,11,0),0)</f>
        <v>0</v>
      </c>
      <c r="M1878">
        <f>IFERROR(VLOOKUP(A1878,库龄!B:N,12,0),0)</f>
        <v>0</v>
      </c>
      <c r="N1878">
        <f t="shared" si="60"/>
        <v>0</v>
      </c>
    </row>
    <row r="1879" spans="1:14">
      <c r="A1879" s="3" t="s">
        <v>4800</v>
      </c>
      <c r="B1879">
        <f>IFERROR(VLOOKUP(A1879,管理亚马逊库存!A:K,11,0),"")</f>
        <v>13</v>
      </c>
      <c r="C1879">
        <f>IFERROR(VLOOKUP(A1879,管理亚马逊库存!A:L,12,0),"")</f>
        <v>0</v>
      </c>
      <c r="D1879">
        <f>IFERROR(VLOOKUP(A1879,管理亚马逊库存!A:Q,17,0),"")</f>
        <v>0</v>
      </c>
      <c r="E1879">
        <f>IFERROR(VLOOKUP(A1879,管理亚马逊库存!A:R,18,0),"")</f>
        <v>0</v>
      </c>
      <c r="F1879">
        <f t="shared" si="59"/>
        <v>0</v>
      </c>
      <c r="G1879" t="str">
        <f>IFERROR(VLOOKUP(A1879,预留库存!A:G,7,0),0)</f>
        <v>No</v>
      </c>
      <c r="H1879">
        <f>IFERROR(VLOOKUP(A1879,预留库存!A:H,8,0),0)</f>
        <v>0</v>
      </c>
      <c r="I1879">
        <f>IFERROR(VLOOKUP(A1879,预留库存!A:F,6,0),0)</f>
        <v>22.98</v>
      </c>
      <c r="J1879">
        <f>IFERROR(VLOOKUP(A1879,库龄!B:K,9,0),0)</f>
        <v>0</v>
      </c>
      <c r="K1879">
        <f>IFERROR(VLOOKUP(A1879,库龄!B:L,10,0),0)</f>
        <v>0</v>
      </c>
      <c r="L1879">
        <f>IFERROR(VLOOKUP(A1879,库龄!B:M,11,0),0)</f>
        <v>0</v>
      </c>
      <c r="M1879">
        <f>IFERROR(VLOOKUP(A1879,库龄!B:N,12,0),0)</f>
        <v>0</v>
      </c>
      <c r="N1879">
        <f t="shared" si="60"/>
        <v>0</v>
      </c>
    </row>
    <row r="1880" spans="1:14">
      <c r="A1880" s="3" t="s">
        <v>4803</v>
      </c>
      <c r="B1880">
        <f>IFERROR(VLOOKUP(A1880,管理亚马逊库存!A:K,11,0),"")</f>
        <v>11</v>
      </c>
      <c r="C1880">
        <f>IFERROR(VLOOKUP(A1880,管理亚马逊库存!A:L,12,0),"")</f>
        <v>0</v>
      </c>
      <c r="D1880">
        <f>IFERROR(VLOOKUP(A1880,管理亚马逊库存!A:Q,17,0),"")</f>
        <v>0</v>
      </c>
      <c r="E1880">
        <f>IFERROR(VLOOKUP(A1880,管理亚马逊库存!A:R,18,0),"")</f>
        <v>0</v>
      </c>
      <c r="F1880">
        <f t="shared" si="59"/>
        <v>0</v>
      </c>
      <c r="G1880" t="str">
        <f>IFERROR(VLOOKUP(A1880,预留库存!A:G,7,0),0)</f>
        <v>No</v>
      </c>
      <c r="H1880">
        <f>IFERROR(VLOOKUP(A1880,预留库存!A:H,8,0),0)</f>
        <v>0</v>
      </c>
      <c r="I1880">
        <f>IFERROR(VLOOKUP(A1880,预留库存!A:F,6,0),0)</f>
        <v>22.98</v>
      </c>
      <c r="J1880">
        <f>IFERROR(VLOOKUP(A1880,库龄!B:K,9,0),0)</f>
        <v>0</v>
      </c>
      <c r="K1880">
        <f>IFERROR(VLOOKUP(A1880,库龄!B:L,10,0),0)</f>
        <v>0</v>
      </c>
      <c r="L1880">
        <f>IFERROR(VLOOKUP(A1880,库龄!B:M,11,0),0)</f>
        <v>0</v>
      </c>
      <c r="M1880">
        <f>IFERROR(VLOOKUP(A1880,库龄!B:N,12,0),0)</f>
        <v>0</v>
      </c>
      <c r="N1880">
        <f t="shared" si="60"/>
        <v>0</v>
      </c>
    </row>
    <row r="1881" spans="1:14">
      <c r="A1881" s="3" t="s">
        <v>4806</v>
      </c>
      <c r="B1881">
        <f>IFERROR(VLOOKUP(A1881,管理亚马逊库存!A:K,11,0),"")</f>
        <v>7</v>
      </c>
      <c r="C1881">
        <f>IFERROR(VLOOKUP(A1881,管理亚马逊库存!A:L,12,0),"")</f>
        <v>0</v>
      </c>
      <c r="D1881">
        <f>IFERROR(VLOOKUP(A1881,管理亚马逊库存!A:Q,17,0),"")</f>
        <v>0</v>
      </c>
      <c r="E1881">
        <f>IFERROR(VLOOKUP(A1881,管理亚马逊库存!A:R,18,0),"")</f>
        <v>0</v>
      </c>
      <c r="F1881">
        <f t="shared" si="59"/>
        <v>0</v>
      </c>
      <c r="G1881">
        <f>IFERROR(VLOOKUP(A1881,预留库存!A:G,7,0),0)</f>
        <v>0</v>
      </c>
      <c r="H1881">
        <f>IFERROR(VLOOKUP(A1881,预留库存!A:H,8,0),0)</f>
        <v>0</v>
      </c>
      <c r="I1881">
        <f>IFERROR(VLOOKUP(A1881,预留库存!A:F,6,0),0)</f>
        <v>0</v>
      </c>
      <c r="J1881">
        <f>IFERROR(VLOOKUP(A1881,库龄!B:K,9,0),0)</f>
        <v>0</v>
      </c>
      <c r="K1881">
        <f>IFERROR(VLOOKUP(A1881,库龄!B:L,10,0),0)</f>
        <v>0</v>
      </c>
      <c r="L1881">
        <f>IFERROR(VLOOKUP(A1881,库龄!B:M,11,0),0)</f>
        <v>0</v>
      </c>
      <c r="M1881">
        <f>IFERROR(VLOOKUP(A1881,库龄!B:N,12,0),0)</f>
        <v>0</v>
      </c>
      <c r="N1881">
        <f t="shared" si="60"/>
        <v>0</v>
      </c>
    </row>
    <row r="1882" spans="1:14">
      <c r="A1882" s="3" t="s">
        <v>4808</v>
      </c>
      <c r="B1882">
        <f>IFERROR(VLOOKUP(A1882,管理亚马逊库存!A:K,11,0),"")</f>
        <v>11</v>
      </c>
      <c r="C1882">
        <f>IFERROR(VLOOKUP(A1882,管理亚马逊库存!A:L,12,0),"")</f>
        <v>0</v>
      </c>
      <c r="D1882">
        <f>IFERROR(VLOOKUP(A1882,管理亚马逊库存!A:Q,17,0),"")</f>
        <v>0</v>
      </c>
      <c r="E1882">
        <f>IFERROR(VLOOKUP(A1882,管理亚马逊库存!A:R,18,0),"")</f>
        <v>0</v>
      </c>
      <c r="F1882">
        <f t="shared" si="59"/>
        <v>0</v>
      </c>
      <c r="G1882">
        <f>IFERROR(VLOOKUP(A1882,预留库存!A:G,7,0),0)</f>
        <v>0</v>
      </c>
      <c r="H1882">
        <f>IFERROR(VLOOKUP(A1882,预留库存!A:H,8,0),0)</f>
        <v>0</v>
      </c>
      <c r="I1882">
        <f>IFERROR(VLOOKUP(A1882,预留库存!A:F,6,0),0)</f>
        <v>0</v>
      </c>
      <c r="J1882">
        <f>IFERROR(VLOOKUP(A1882,库龄!B:K,9,0),0)</f>
        <v>0</v>
      </c>
      <c r="K1882">
        <f>IFERROR(VLOOKUP(A1882,库龄!B:L,10,0),0)</f>
        <v>0</v>
      </c>
      <c r="L1882">
        <f>IFERROR(VLOOKUP(A1882,库龄!B:M,11,0),0)</f>
        <v>0</v>
      </c>
      <c r="M1882">
        <f>IFERROR(VLOOKUP(A1882,库龄!B:N,12,0),0)</f>
        <v>0</v>
      </c>
      <c r="N1882">
        <f t="shared" si="60"/>
        <v>0</v>
      </c>
    </row>
    <row r="1883" spans="1:14">
      <c r="A1883" s="3" t="s">
        <v>4810</v>
      </c>
      <c r="B1883">
        <f>IFERROR(VLOOKUP(A1883,管理亚马逊库存!A:K,11,0),"")</f>
        <v>17</v>
      </c>
      <c r="C1883">
        <f>IFERROR(VLOOKUP(A1883,管理亚马逊库存!A:L,12,0),"")</f>
        <v>0</v>
      </c>
      <c r="D1883">
        <f>IFERROR(VLOOKUP(A1883,管理亚马逊库存!A:Q,17,0),"")</f>
        <v>0</v>
      </c>
      <c r="E1883">
        <f>IFERROR(VLOOKUP(A1883,管理亚马逊库存!A:R,18,0),"")</f>
        <v>0</v>
      </c>
      <c r="F1883">
        <f t="shared" si="59"/>
        <v>0</v>
      </c>
      <c r="G1883">
        <f>IFERROR(VLOOKUP(A1883,预留库存!A:G,7,0),0)</f>
        <v>0</v>
      </c>
      <c r="H1883">
        <f>IFERROR(VLOOKUP(A1883,预留库存!A:H,8,0),0)</f>
        <v>0</v>
      </c>
      <c r="I1883">
        <f>IFERROR(VLOOKUP(A1883,预留库存!A:F,6,0),0)</f>
        <v>0</v>
      </c>
      <c r="J1883">
        <f>IFERROR(VLOOKUP(A1883,库龄!B:K,9,0),0)</f>
        <v>0</v>
      </c>
      <c r="K1883">
        <f>IFERROR(VLOOKUP(A1883,库龄!B:L,10,0),0)</f>
        <v>0</v>
      </c>
      <c r="L1883">
        <f>IFERROR(VLOOKUP(A1883,库龄!B:M,11,0),0)</f>
        <v>0</v>
      </c>
      <c r="M1883">
        <f>IFERROR(VLOOKUP(A1883,库龄!B:N,12,0),0)</f>
        <v>0</v>
      </c>
      <c r="N1883">
        <f t="shared" si="60"/>
        <v>0</v>
      </c>
    </row>
    <row r="1884" spans="1:14">
      <c r="A1884" s="3" t="s">
        <v>4812</v>
      </c>
      <c r="B1884">
        <f>IFERROR(VLOOKUP(A1884,管理亚马逊库存!A:K,11,0),"")</f>
        <v>5</v>
      </c>
      <c r="C1884">
        <f>IFERROR(VLOOKUP(A1884,管理亚马逊库存!A:L,12,0),"")</f>
        <v>0</v>
      </c>
      <c r="D1884">
        <f>IFERROR(VLOOKUP(A1884,管理亚马逊库存!A:Q,17,0),"")</f>
        <v>0</v>
      </c>
      <c r="E1884">
        <f>IFERROR(VLOOKUP(A1884,管理亚马逊库存!A:R,18,0),"")</f>
        <v>0</v>
      </c>
      <c r="F1884">
        <f t="shared" si="59"/>
        <v>0</v>
      </c>
      <c r="G1884">
        <f>IFERROR(VLOOKUP(A1884,预留库存!A:G,7,0),0)</f>
        <v>0</v>
      </c>
      <c r="H1884">
        <f>IFERROR(VLOOKUP(A1884,预留库存!A:H,8,0),0)</f>
        <v>0</v>
      </c>
      <c r="I1884">
        <f>IFERROR(VLOOKUP(A1884,预留库存!A:F,6,0),0)</f>
        <v>0</v>
      </c>
      <c r="J1884">
        <f>IFERROR(VLOOKUP(A1884,库龄!B:K,9,0),0)</f>
        <v>0</v>
      </c>
      <c r="K1884">
        <f>IFERROR(VLOOKUP(A1884,库龄!B:L,10,0),0)</f>
        <v>0</v>
      </c>
      <c r="L1884">
        <f>IFERROR(VLOOKUP(A1884,库龄!B:M,11,0),0)</f>
        <v>0</v>
      </c>
      <c r="M1884">
        <f>IFERROR(VLOOKUP(A1884,库龄!B:N,12,0),0)</f>
        <v>0</v>
      </c>
      <c r="N1884">
        <f t="shared" si="60"/>
        <v>0</v>
      </c>
    </row>
    <row r="1885" spans="1:14">
      <c r="A1885" s="3" t="s">
        <v>4814</v>
      </c>
      <c r="B1885">
        <f>IFERROR(VLOOKUP(A1885,管理亚马逊库存!A:K,11,0),"")</f>
        <v>8</v>
      </c>
      <c r="C1885">
        <f>IFERROR(VLOOKUP(A1885,管理亚马逊库存!A:L,12,0),"")</f>
        <v>0</v>
      </c>
      <c r="D1885">
        <f>IFERROR(VLOOKUP(A1885,管理亚马逊库存!A:Q,17,0),"")</f>
        <v>0</v>
      </c>
      <c r="E1885">
        <f>IFERROR(VLOOKUP(A1885,管理亚马逊库存!A:R,18,0),"")</f>
        <v>0</v>
      </c>
      <c r="F1885">
        <f t="shared" si="59"/>
        <v>0</v>
      </c>
      <c r="G1885">
        <f>IFERROR(VLOOKUP(A1885,预留库存!A:G,7,0),0)</f>
        <v>0</v>
      </c>
      <c r="H1885">
        <f>IFERROR(VLOOKUP(A1885,预留库存!A:H,8,0),0)</f>
        <v>0</v>
      </c>
      <c r="I1885">
        <f>IFERROR(VLOOKUP(A1885,预留库存!A:F,6,0),0)</f>
        <v>0</v>
      </c>
      <c r="J1885">
        <f>IFERROR(VLOOKUP(A1885,库龄!B:K,9,0),0)</f>
        <v>0</v>
      </c>
      <c r="K1885">
        <f>IFERROR(VLOOKUP(A1885,库龄!B:L,10,0),0)</f>
        <v>0</v>
      </c>
      <c r="L1885">
        <f>IFERROR(VLOOKUP(A1885,库龄!B:M,11,0),0)</f>
        <v>0</v>
      </c>
      <c r="M1885">
        <f>IFERROR(VLOOKUP(A1885,库龄!B:N,12,0),0)</f>
        <v>0</v>
      </c>
      <c r="N1885">
        <f t="shared" si="60"/>
        <v>0</v>
      </c>
    </row>
    <row r="1886" spans="1:14">
      <c r="A1886" s="3" t="s">
        <v>4816</v>
      </c>
      <c r="B1886">
        <f>IFERROR(VLOOKUP(A1886,管理亚马逊库存!A:K,11,0),"")</f>
        <v>13</v>
      </c>
      <c r="C1886">
        <f>IFERROR(VLOOKUP(A1886,管理亚马逊库存!A:L,12,0),"")</f>
        <v>0</v>
      </c>
      <c r="D1886">
        <f>IFERROR(VLOOKUP(A1886,管理亚马逊库存!A:Q,17,0),"")</f>
        <v>0</v>
      </c>
      <c r="E1886">
        <f>IFERROR(VLOOKUP(A1886,管理亚马逊库存!A:R,18,0),"")</f>
        <v>0</v>
      </c>
      <c r="F1886">
        <f t="shared" si="59"/>
        <v>0</v>
      </c>
      <c r="G1886">
        <f>IFERROR(VLOOKUP(A1886,预留库存!A:G,7,0),0)</f>
        <v>0</v>
      </c>
      <c r="H1886">
        <f>IFERROR(VLOOKUP(A1886,预留库存!A:H,8,0),0)</f>
        <v>0</v>
      </c>
      <c r="I1886">
        <f>IFERROR(VLOOKUP(A1886,预留库存!A:F,6,0),0)</f>
        <v>0</v>
      </c>
      <c r="J1886">
        <f>IFERROR(VLOOKUP(A1886,库龄!B:K,9,0),0)</f>
        <v>0</v>
      </c>
      <c r="K1886">
        <f>IFERROR(VLOOKUP(A1886,库龄!B:L,10,0),0)</f>
        <v>0</v>
      </c>
      <c r="L1886">
        <f>IFERROR(VLOOKUP(A1886,库龄!B:M,11,0),0)</f>
        <v>0</v>
      </c>
      <c r="M1886">
        <f>IFERROR(VLOOKUP(A1886,库龄!B:N,12,0),0)</f>
        <v>0</v>
      </c>
      <c r="N1886">
        <f t="shared" si="60"/>
        <v>0</v>
      </c>
    </row>
    <row r="1887" spans="1:14">
      <c r="A1887" s="3" t="s">
        <v>4818</v>
      </c>
      <c r="B1887">
        <f>IFERROR(VLOOKUP(A1887,管理亚马逊库存!A:K,11,0),"")</f>
        <v>19</v>
      </c>
      <c r="C1887">
        <f>IFERROR(VLOOKUP(A1887,管理亚马逊库存!A:L,12,0),"")</f>
        <v>0</v>
      </c>
      <c r="D1887">
        <f>IFERROR(VLOOKUP(A1887,管理亚马逊库存!A:Q,17,0),"")</f>
        <v>0</v>
      </c>
      <c r="E1887">
        <f>IFERROR(VLOOKUP(A1887,管理亚马逊库存!A:R,18,0),"")</f>
        <v>0</v>
      </c>
      <c r="F1887">
        <f t="shared" si="59"/>
        <v>0</v>
      </c>
      <c r="G1887">
        <f>IFERROR(VLOOKUP(A1887,预留库存!A:G,7,0),0)</f>
        <v>0</v>
      </c>
      <c r="H1887">
        <f>IFERROR(VLOOKUP(A1887,预留库存!A:H,8,0),0)</f>
        <v>0</v>
      </c>
      <c r="I1887">
        <f>IFERROR(VLOOKUP(A1887,预留库存!A:F,6,0),0)</f>
        <v>0</v>
      </c>
      <c r="J1887">
        <f>IFERROR(VLOOKUP(A1887,库龄!B:K,9,0),0)</f>
        <v>0</v>
      </c>
      <c r="K1887">
        <f>IFERROR(VLOOKUP(A1887,库龄!B:L,10,0),0)</f>
        <v>0</v>
      </c>
      <c r="L1887">
        <f>IFERROR(VLOOKUP(A1887,库龄!B:M,11,0),0)</f>
        <v>0</v>
      </c>
      <c r="M1887">
        <f>IFERROR(VLOOKUP(A1887,库龄!B:N,12,0),0)</f>
        <v>0</v>
      </c>
      <c r="N1887">
        <f t="shared" si="60"/>
        <v>0</v>
      </c>
    </row>
    <row r="1888" spans="1:14">
      <c r="A1888" s="3" t="s">
        <v>4820</v>
      </c>
      <c r="B1888">
        <f>IFERROR(VLOOKUP(A1888,管理亚马逊库存!A:K,11,0),"")</f>
        <v>7</v>
      </c>
      <c r="C1888">
        <f>IFERROR(VLOOKUP(A1888,管理亚马逊库存!A:L,12,0),"")</f>
        <v>0</v>
      </c>
      <c r="D1888">
        <f>IFERROR(VLOOKUP(A1888,管理亚马逊库存!A:Q,17,0),"")</f>
        <v>0</v>
      </c>
      <c r="E1888">
        <f>IFERROR(VLOOKUP(A1888,管理亚马逊库存!A:R,18,0),"")</f>
        <v>0</v>
      </c>
      <c r="F1888">
        <f t="shared" si="59"/>
        <v>0</v>
      </c>
      <c r="G1888">
        <f>IFERROR(VLOOKUP(A1888,预留库存!A:G,7,0),0)</f>
        <v>0</v>
      </c>
      <c r="H1888">
        <f>IFERROR(VLOOKUP(A1888,预留库存!A:H,8,0),0)</f>
        <v>0</v>
      </c>
      <c r="I1888">
        <f>IFERROR(VLOOKUP(A1888,预留库存!A:F,6,0),0)</f>
        <v>0</v>
      </c>
      <c r="J1888">
        <f>IFERROR(VLOOKUP(A1888,库龄!B:K,9,0),0)</f>
        <v>0</v>
      </c>
      <c r="K1888">
        <f>IFERROR(VLOOKUP(A1888,库龄!B:L,10,0),0)</f>
        <v>0</v>
      </c>
      <c r="L1888">
        <f>IFERROR(VLOOKUP(A1888,库龄!B:M,11,0),0)</f>
        <v>0</v>
      </c>
      <c r="M1888">
        <f>IFERROR(VLOOKUP(A1888,库龄!B:N,12,0),0)</f>
        <v>0</v>
      </c>
      <c r="N1888">
        <f t="shared" si="60"/>
        <v>0</v>
      </c>
    </row>
    <row r="1889" spans="1:14">
      <c r="A1889" s="3" t="s">
        <v>4822</v>
      </c>
      <c r="B1889">
        <f>IFERROR(VLOOKUP(A1889,管理亚马逊库存!A:K,11,0),"")</f>
        <v>8</v>
      </c>
      <c r="C1889">
        <f>IFERROR(VLOOKUP(A1889,管理亚马逊库存!A:L,12,0),"")</f>
        <v>0</v>
      </c>
      <c r="D1889">
        <f>IFERROR(VLOOKUP(A1889,管理亚马逊库存!A:Q,17,0),"")</f>
        <v>0</v>
      </c>
      <c r="E1889">
        <f>IFERROR(VLOOKUP(A1889,管理亚马逊库存!A:R,18,0),"")</f>
        <v>0</v>
      </c>
      <c r="F1889">
        <f t="shared" si="59"/>
        <v>0</v>
      </c>
      <c r="G1889">
        <f>IFERROR(VLOOKUP(A1889,预留库存!A:G,7,0),0)</f>
        <v>0</v>
      </c>
      <c r="H1889">
        <f>IFERROR(VLOOKUP(A1889,预留库存!A:H,8,0),0)</f>
        <v>0</v>
      </c>
      <c r="I1889">
        <f>IFERROR(VLOOKUP(A1889,预留库存!A:F,6,0),0)</f>
        <v>0</v>
      </c>
      <c r="J1889">
        <f>IFERROR(VLOOKUP(A1889,库龄!B:K,9,0),0)</f>
        <v>0</v>
      </c>
      <c r="K1889">
        <f>IFERROR(VLOOKUP(A1889,库龄!B:L,10,0),0)</f>
        <v>0</v>
      </c>
      <c r="L1889">
        <f>IFERROR(VLOOKUP(A1889,库龄!B:M,11,0),0)</f>
        <v>0</v>
      </c>
      <c r="M1889">
        <f>IFERROR(VLOOKUP(A1889,库龄!B:N,12,0),0)</f>
        <v>0</v>
      </c>
      <c r="N1889">
        <f t="shared" si="60"/>
        <v>0</v>
      </c>
    </row>
    <row r="1890" spans="1:14">
      <c r="A1890" s="3" t="s">
        <v>4824</v>
      </c>
      <c r="B1890">
        <f>IFERROR(VLOOKUP(A1890,管理亚马逊库存!A:K,11,0),"")</f>
        <v>21</v>
      </c>
      <c r="C1890">
        <f>IFERROR(VLOOKUP(A1890,管理亚马逊库存!A:L,12,0),"")</f>
        <v>0</v>
      </c>
      <c r="D1890">
        <f>IFERROR(VLOOKUP(A1890,管理亚马逊库存!A:Q,17,0),"")</f>
        <v>0</v>
      </c>
      <c r="E1890">
        <f>IFERROR(VLOOKUP(A1890,管理亚马逊库存!A:R,18,0),"")</f>
        <v>0</v>
      </c>
      <c r="F1890">
        <f t="shared" si="59"/>
        <v>0</v>
      </c>
      <c r="G1890">
        <f>IFERROR(VLOOKUP(A1890,预留库存!A:G,7,0),0)</f>
        <v>0</v>
      </c>
      <c r="H1890">
        <f>IFERROR(VLOOKUP(A1890,预留库存!A:H,8,0),0)</f>
        <v>0</v>
      </c>
      <c r="I1890">
        <f>IFERROR(VLOOKUP(A1890,预留库存!A:F,6,0),0)</f>
        <v>0</v>
      </c>
      <c r="J1890">
        <f>IFERROR(VLOOKUP(A1890,库龄!B:K,9,0),0)</f>
        <v>0</v>
      </c>
      <c r="K1890">
        <f>IFERROR(VLOOKUP(A1890,库龄!B:L,10,0),0)</f>
        <v>0</v>
      </c>
      <c r="L1890">
        <f>IFERROR(VLOOKUP(A1890,库龄!B:M,11,0),0)</f>
        <v>0</v>
      </c>
      <c r="M1890">
        <f>IFERROR(VLOOKUP(A1890,库龄!B:N,12,0),0)</f>
        <v>0</v>
      </c>
      <c r="N1890">
        <f t="shared" si="60"/>
        <v>0</v>
      </c>
    </row>
    <row r="1891" spans="1:14">
      <c r="A1891" s="3" t="s">
        <v>4826</v>
      </c>
      <c r="B1891">
        <f>IFERROR(VLOOKUP(A1891,管理亚马逊库存!A:K,11,0),"")</f>
        <v>2</v>
      </c>
      <c r="C1891">
        <f>IFERROR(VLOOKUP(A1891,管理亚马逊库存!A:L,12,0),"")</f>
        <v>0</v>
      </c>
      <c r="D1891">
        <f>IFERROR(VLOOKUP(A1891,管理亚马逊库存!A:Q,17,0),"")</f>
        <v>0</v>
      </c>
      <c r="E1891">
        <f>IFERROR(VLOOKUP(A1891,管理亚马逊库存!A:R,18,0),"")</f>
        <v>0</v>
      </c>
      <c r="F1891">
        <f t="shared" si="59"/>
        <v>0</v>
      </c>
      <c r="G1891" t="str">
        <f>IFERROR(VLOOKUP(A1891,预留库存!A:G,7,0),0)</f>
        <v>No</v>
      </c>
      <c r="H1891">
        <f>IFERROR(VLOOKUP(A1891,预留库存!A:H,8,0),0)</f>
        <v>0</v>
      </c>
      <c r="I1891">
        <f>IFERROR(VLOOKUP(A1891,预留库存!A:F,6,0),0)</f>
        <v>39.98</v>
      </c>
      <c r="J1891">
        <f>IFERROR(VLOOKUP(A1891,库龄!B:K,9,0),0)</f>
        <v>1</v>
      </c>
      <c r="K1891">
        <f>IFERROR(VLOOKUP(A1891,库龄!B:L,10,0),0)</f>
        <v>1</v>
      </c>
      <c r="L1891">
        <f>IFERROR(VLOOKUP(A1891,库龄!B:M,11,0),0)</f>
        <v>0</v>
      </c>
      <c r="M1891">
        <f>IFERROR(VLOOKUP(A1891,库龄!B:N,12,0),0)</f>
        <v>0</v>
      </c>
      <c r="N1891">
        <f t="shared" si="60"/>
        <v>2</v>
      </c>
    </row>
    <row r="1892" spans="1:14">
      <c r="A1892" s="3" t="s">
        <v>4829</v>
      </c>
      <c r="B1892">
        <f>IFERROR(VLOOKUP(A1892,管理亚马逊库存!A:K,11,0),"")</f>
        <v>6</v>
      </c>
      <c r="C1892">
        <f>IFERROR(VLOOKUP(A1892,管理亚马逊库存!A:L,12,0),"")</f>
        <v>0</v>
      </c>
      <c r="D1892">
        <f>IFERROR(VLOOKUP(A1892,管理亚马逊库存!A:Q,17,0),"")</f>
        <v>0</v>
      </c>
      <c r="E1892">
        <f>IFERROR(VLOOKUP(A1892,管理亚马逊库存!A:R,18,0),"")</f>
        <v>0</v>
      </c>
      <c r="F1892">
        <f t="shared" si="59"/>
        <v>0</v>
      </c>
      <c r="G1892" t="str">
        <f>IFERROR(VLOOKUP(A1892,预留库存!A:G,7,0),0)</f>
        <v>No</v>
      </c>
      <c r="H1892">
        <f>IFERROR(VLOOKUP(A1892,预留库存!A:H,8,0),0)</f>
        <v>0</v>
      </c>
      <c r="I1892">
        <f>IFERROR(VLOOKUP(A1892,预留库存!A:F,6,0),0)</f>
        <v>39.98</v>
      </c>
      <c r="J1892">
        <f>IFERROR(VLOOKUP(A1892,库龄!B:K,9,0),0)</f>
        <v>0</v>
      </c>
      <c r="K1892">
        <f>IFERROR(VLOOKUP(A1892,库龄!B:L,10,0),0)</f>
        <v>6</v>
      </c>
      <c r="L1892">
        <f>IFERROR(VLOOKUP(A1892,库龄!B:M,11,0),0)</f>
        <v>0</v>
      </c>
      <c r="M1892">
        <f>IFERROR(VLOOKUP(A1892,库龄!B:N,12,0),0)</f>
        <v>0</v>
      </c>
      <c r="N1892">
        <f t="shared" si="60"/>
        <v>6</v>
      </c>
    </row>
    <row r="1893" spans="1:14">
      <c r="A1893" s="3" t="s">
        <v>4832</v>
      </c>
      <c r="B1893">
        <f>IFERROR(VLOOKUP(A1893,管理亚马逊库存!A:K,11,0),"")</f>
        <v>4</v>
      </c>
      <c r="C1893">
        <f>IFERROR(VLOOKUP(A1893,管理亚马逊库存!A:L,12,0),"")</f>
        <v>0</v>
      </c>
      <c r="D1893">
        <f>IFERROR(VLOOKUP(A1893,管理亚马逊库存!A:Q,17,0),"")</f>
        <v>0</v>
      </c>
      <c r="E1893">
        <f>IFERROR(VLOOKUP(A1893,管理亚马逊库存!A:R,18,0),"")</f>
        <v>0</v>
      </c>
      <c r="F1893">
        <f t="shared" si="59"/>
        <v>0</v>
      </c>
      <c r="G1893" t="str">
        <f>IFERROR(VLOOKUP(A1893,预留库存!A:G,7,0),0)</f>
        <v>No</v>
      </c>
      <c r="H1893">
        <f>IFERROR(VLOOKUP(A1893,预留库存!A:H,8,0),0)</f>
        <v>0</v>
      </c>
      <c r="I1893">
        <f>IFERROR(VLOOKUP(A1893,预留库存!A:F,6,0),0)</f>
        <v>39.98</v>
      </c>
      <c r="J1893">
        <f>IFERROR(VLOOKUP(A1893,库龄!B:K,9,0),0)</f>
        <v>0</v>
      </c>
      <c r="K1893">
        <f>IFERROR(VLOOKUP(A1893,库龄!B:L,10,0),0)</f>
        <v>4</v>
      </c>
      <c r="L1893">
        <f>IFERROR(VLOOKUP(A1893,库龄!B:M,11,0),0)</f>
        <v>0</v>
      </c>
      <c r="M1893">
        <f>IFERROR(VLOOKUP(A1893,库龄!B:N,12,0),0)</f>
        <v>0</v>
      </c>
      <c r="N1893">
        <f t="shared" si="60"/>
        <v>4</v>
      </c>
    </row>
    <row r="1894" spans="1:14">
      <c r="A1894" s="3" t="s">
        <v>4835</v>
      </c>
      <c r="B1894">
        <f>IFERROR(VLOOKUP(A1894,管理亚马逊库存!A:K,11,0),"")</f>
        <v>0</v>
      </c>
      <c r="C1894">
        <f>IFERROR(VLOOKUP(A1894,管理亚马逊库存!A:L,12,0),"")</f>
        <v>0</v>
      </c>
      <c r="D1894">
        <f>IFERROR(VLOOKUP(A1894,管理亚马逊库存!A:Q,17,0),"")</f>
        <v>0</v>
      </c>
      <c r="E1894">
        <f>IFERROR(VLOOKUP(A1894,管理亚马逊库存!A:R,18,0),"")</f>
        <v>0</v>
      </c>
      <c r="F1894">
        <f t="shared" si="59"/>
        <v>0</v>
      </c>
      <c r="G1894" t="str">
        <f>IFERROR(VLOOKUP(A1894,预留库存!A:G,7,0),0)</f>
        <v>No</v>
      </c>
      <c r="H1894">
        <f>IFERROR(VLOOKUP(A1894,预留库存!A:H,8,0),0)</f>
        <v>0</v>
      </c>
      <c r="I1894">
        <f>IFERROR(VLOOKUP(A1894,预留库存!A:F,6,0),0)</f>
        <v>39.98</v>
      </c>
      <c r="J1894">
        <f>IFERROR(VLOOKUP(A1894,库龄!B:K,9,0),0)</f>
        <v>0</v>
      </c>
      <c r="K1894">
        <f>IFERROR(VLOOKUP(A1894,库龄!B:L,10,0),0)</f>
        <v>0</v>
      </c>
      <c r="L1894">
        <f>IFERROR(VLOOKUP(A1894,库龄!B:M,11,0),0)</f>
        <v>0</v>
      </c>
      <c r="M1894">
        <f>IFERROR(VLOOKUP(A1894,库龄!B:N,12,0),0)</f>
        <v>0</v>
      </c>
      <c r="N1894">
        <f t="shared" si="60"/>
        <v>0</v>
      </c>
    </row>
    <row r="1895" spans="1:14">
      <c r="A1895" s="3" t="s">
        <v>4837</v>
      </c>
      <c r="B1895">
        <f>IFERROR(VLOOKUP(A1895,管理亚马逊库存!A:K,11,0),"")</f>
        <v>0</v>
      </c>
      <c r="C1895">
        <f>IFERROR(VLOOKUP(A1895,管理亚马逊库存!A:L,12,0),"")</f>
        <v>0</v>
      </c>
      <c r="D1895">
        <f>IFERROR(VLOOKUP(A1895,管理亚马逊库存!A:Q,17,0),"")</f>
        <v>0</v>
      </c>
      <c r="E1895">
        <f>IFERROR(VLOOKUP(A1895,管理亚马逊库存!A:R,18,0),"")</f>
        <v>0</v>
      </c>
      <c r="F1895">
        <f t="shared" si="59"/>
        <v>0</v>
      </c>
      <c r="G1895" t="str">
        <f>IFERROR(VLOOKUP(A1895,预留库存!A:G,7,0),0)</f>
        <v>No</v>
      </c>
      <c r="H1895">
        <f>IFERROR(VLOOKUP(A1895,预留库存!A:H,8,0),0)</f>
        <v>0</v>
      </c>
      <c r="I1895">
        <f>IFERROR(VLOOKUP(A1895,预留库存!A:F,6,0),0)</f>
        <v>39.98</v>
      </c>
      <c r="J1895">
        <f>IFERROR(VLOOKUP(A1895,库龄!B:K,9,0),0)</f>
        <v>0</v>
      </c>
      <c r="K1895">
        <f>IFERROR(VLOOKUP(A1895,库龄!B:L,10,0),0)</f>
        <v>0</v>
      </c>
      <c r="L1895">
        <f>IFERROR(VLOOKUP(A1895,库龄!B:M,11,0),0)</f>
        <v>0</v>
      </c>
      <c r="M1895">
        <f>IFERROR(VLOOKUP(A1895,库龄!B:N,12,0),0)</f>
        <v>0</v>
      </c>
      <c r="N1895">
        <f t="shared" si="60"/>
        <v>0</v>
      </c>
    </row>
    <row r="1896" spans="1:14">
      <c r="A1896" s="3" t="s">
        <v>4840</v>
      </c>
      <c r="B1896">
        <f>IFERROR(VLOOKUP(A1896,管理亚马逊库存!A:K,11,0),"")</f>
        <v>6</v>
      </c>
      <c r="C1896">
        <f>IFERROR(VLOOKUP(A1896,管理亚马逊库存!A:L,12,0),"")</f>
        <v>0</v>
      </c>
      <c r="D1896">
        <f>IFERROR(VLOOKUP(A1896,管理亚马逊库存!A:Q,17,0),"")</f>
        <v>0</v>
      </c>
      <c r="E1896">
        <f>IFERROR(VLOOKUP(A1896,管理亚马逊库存!A:R,18,0),"")</f>
        <v>0</v>
      </c>
      <c r="F1896">
        <f t="shared" si="59"/>
        <v>0</v>
      </c>
      <c r="G1896" t="str">
        <f>IFERROR(VLOOKUP(A1896,预留库存!A:G,7,0),0)</f>
        <v>No</v>
      </c>
      <c r="H1896">
        <f>IFERROR(VLOOKUP(A1896,预留库存!A:H,8,0),0)</f>
        <v>0</v>
      </c>
      <c r="I1896">
        <f>IFERROR(VLOOKUP(A1896,预留库存!A:F,6,0),0)</f>
        <v>39.98</v>
      </c>
      <c r="J1896">
        <f>IFERROR(VLOOKUP(A1896,库龄!B:K,9,0),0)</f>
        <v>0</v>
      </c>
      <c r="K1896">
        <f>IFERROR(VLOOKUP(A1896,库龄!B:L,10,0),0)</f>
        <v>7</v>
      </c>
      <c r="L1896">
        <f>IFERROR(VLOOKUP(A1896,库龄!B:M,11,0),0)</f>
        <v>0</v>
      </c>
      <c r="M1896">
        <f>IFERROR(VLOOKUP(A1896,库龄!B:N,12,0),0)</f>
        <v>0</v>
      </c>
      <c r="N1896">
        <f t="shared" si="60"/>
        <v>7</v>
      </c>
    </row>
    <row r="1897" spans="1:14">
      <c r="A1897" s="3" t="s">
        <v>4842</v>
      </c>
      <c r="B1897">
        <f>IFERROR(VLOOKUP(A1897,管理亚马逊库存!A:K,11,0),"")</f>
        <v>3</v>
      </c>
      <c r="C1897">
        <f>IFERROR(VLOOKUP(A1897,管理亚马逊库存!A:L,12,0),"")</f>
        <v>0</v>
      </c>
      <c r="D1897">
        <f>IFERROR(VLOOKUP(A1897,管理亚马逊库存!A:Q,17,0),"")</f>
        <v>0</v>
      </c>
      <c r="E1897">
        <f>IFERROR(VLOOKUP(A1897,管理亚马逊库存!A:R,18,0),"")</f>
        <v>0</v>
      </c>
      <c r="F1897">
        <f t="shared" si="59"/>
        <v>0</v>
      </c>
      <c r="G1897" t="str">
        <f>IFERROR(VLOOKUP(A1897,预留库存!A:G,7,0),0)</f>
        <v>No</v>
      </c>
      <c r="H1897">
        <f>IFERROR(VLOOKUP(A1897,预留库存!A:H,8,0),0)</f>
        <v>0</v>
      </c>
      <c r="I1897">
        <f>IFERROR(VLOOKUP(A1897,预留库存!A:F,6,0),0)</f>
        <v>39.98</v>
      </c>
      <c r="J1897">
        <f>IFERROR(VLOOKUP(A1897,库龄!B:K,9,0),0)</f>
        <v>0</v>
      </c>
      <c r="K1897">
        <f>IFERROR(VLOOKUP(A1897,库龄!B:L,10,0),0)</f>
        <v>3</v>
      </c>
      <c r="L1897">
        <f>IFERROR(VLOOKUP(A1897,库龄!B:M,11,0),0)</f>
        <v>0</v>
      </c>
      <c r="M1897">
        <f>IFERROR(VLOOKUP(A1897,库龄!B:N,12,0),0)</f>
        <v>0</v>
      </c>
      <c r="N1897">
        <f t="shared" si="60"/>
        <v>3</v>
      </c>
    </row>
    <row r="1898" spans="1:14">
      <c r="A1898" s="3" t="s">
        <v>4845</v>
      </c>
      <c r="B1898">
        <f>IFERROR(VLOOKUP(A1898,管理亚马逊库存!A:K,11,0),"")</f>
        <v>2</v>
      </c>
      <c r="C1898">
        <f>IFERROR(VLOOKUP(A1898,管理亚马逊库存!A:L,12,0),"")</f>
        <v>0</v>
      </c>
      <c r="D1898">
        <f>IFERROR(VLOOKUP(A1898,管理亚马逊库存!A:Q,17,0),"")</f>
        <v>0</v>
      </c>
      <c r="E1898">
        <f>IFERROR(VLOOKUP(A1898,管理亚马逊库存!A:R,18,0),"")</f>
        <v>0</v>
      </c>
      <c r="F1898">
        <f t="shared" si="59"/>
        <v>0</v>
      </c>
      <c r="G1898" t="str">
        <f>IFERROR(VLOOKUP(A1898,预留库存!A:G,7,0),0)</f>
        <v>No</v>
      </c>
      <c r="H1898">
        <f>IFERROR(VLOOKUP(A1898,预留库存!A:H,8,0),0)</f>
        <v>0</v>
      </c>
      <c r="I1898">
        <f>IFERROR(VLOOKUP(A1898,预留库存!A:F,6,0),0)</f>
        <v>39.98</v>
      </c>
      <c r="J1898">
        <f>IFERROR(VLOOKUP(A1898,库龄!B:K,9,0),0)</f>
        <v>0</v>
      </c>
      <c r="K1898">
        <f>IFERROR(VLOOKUP(A1898,库龄!B:L,10,0),0)</f>
        <v>2</v>
      </c>
      <c r="L1898">
        <f>IFERROR(VLOOKUP(A1898,库龄!B:M,11,0),0)</f>
        <v>0</v>
      </c>
      <c r="M1898">
        <f>IFERROR(VLOOKUP(A1898,库龄!B:N,12,0),0)</f>
        <v>0</v>
      </c>
      <c r="N1898">
        <f t="shared" si="60"/>
        <v>2</v>
      </c>
    </row>
    <row r="1899" spans="1:14">
      <c r="A1899" s="3" t="s">
        <v>4848</v>
      </c>
      <c r="B1899">
        <f>IFERROR(VLOOKUP(A1899,管理亚马逊库存!A:K,11,0),"")</f>
        <v>4</v>
      </c>
      <c r="C1899">
        <f>IFERROR(VLOOKUP(A1899,管理亚马逊库存!A:L,12,0),"")</f>
        <v>0</v>
      </c>
      <c r="D1899">
        <f>IFERROR(VLOOKUP(A1899,管理亚马逊库存!A:Q,17,0),"")</f>
        <v>0</v>
      </c>
      <c r="E1899">
        <f>IFERROR(VLOOKUP(A1899,管理亚马逊库存!A:R,18,0),"")</f>
        <v>0</v>
      </c>
      <c r="F1899">
        <f t="shared" si="59"/>
        <v>0</v>
      </c>
      <c r="G1899" t="str">
        <f>IFERROR(VLOOKUP(A1899,预留库存!A:G,7,0),0)</f>
        <v>No</v>
      </c>
      <c r="H1899">
        <f>IFERROR(VLOOKUP(A1899,预留库存!A:H,8,0),0)</f>
        <v>0</v>
      </c>
      <c r="I1899">
        <f>IFERROR(VLOOKUP(A1899,预留库存!A:F,6,0),0)</f>
        <v>39.98</v>
      </c>
      <c r="J1899">
        <f>IFERROR(VLOOKUP(A1899,库龄!B:K,9,0),0)</f>
        <v>1</v>
      </c>
      <c r="K1899">
        <f>IFERROR(VLOOKUP(A1899,库龄!B:L,10,0),0)</f>
        <v>3</v>
      </c>
      <c r="L1899">
        <f>IFERROR(VLOOKUP(A1899,库龄!B:M,11,0),0)</f>
        <v>0</v>
      </c>
      <c r="M1899">
        <f>IFERROR(VLOOKUP(A1899,库龄!B:N,12,0),0)</f>
        <v>0</v>
      </c>
      <c r="N1899">
        <f t="shared" si="60"/>
        <v>4</v>
      </c>
    </row>
    <row r="1900" spans="1:14">
      <c r="A1900" s="3" t="s">
        <v>4851</v>
      </c>
      <c r="B1900">
        <f>IFERROR(VLOOKUP(A1900,管理亚马逊库存!A:K,11,0),"")</f>
        <v>5</v>
      </c>
      <c r="C1900">
        <f>IFERROR(VLOOKUP(A1900,管理亚马逊库存!A:L,12,0),"")</f>
        <v>0</v>
      </c>
      <c r="D1900">
        <f>IFERROR(VLOOKUP(A1900,管理亚马逊库存!A:Q,17,0),"")</f>
        <v>0</v>
      </c>
      <c r="E1900">
        <f>IFERROR(VLOOKUP(A1900,管理亚马逊库存!A:R,18,0),"")</f>
        <v>0</v>
      </c>
      <c r="F1900">
        <f t="shared" si="59"/>
        <v>0</v>
      </c>
      <c r="G1900" t="str">
        <f>IFERROR(VLOOKUP(A1900,预留库存!A:G,7,0),0)</f>
        <v>No</v>
      </c>
      <c r="H1900">
        <f>IFERROR(VLOOKUP(A1900,预留库存!A:H,8,0),0)</f>
        <v>0</v>
      </c>
      <c r="I1900">
        <f>IFERROR(VLOOKUP(A1900,预留库存!A:F,6,0),0)</f>
        <v>39.98</v>
      </c>
      <c r="J1900">
        <f>IFERROR(VLOOKUP(A1900,库龄!B:K,9,0),0)</f>
        <v>0</v>
      </c>
      <c r="K1900">
        <f>IFERROR(VLOOKUP(A1900,库龄!B:L,10,0),0)</f>
        <v>6</v>
      </c>
      <c r="L1900">
        <f>IFERROR(VLOOKUP(A1900,库龄!B:M,11,0),0)</f>
        <v>0</v>
      </c>
      <c r="M1900">
        <f>IFERROR(VLOOKUP(A1900,库龄!B:N,12,0),0)</f>
        <v>0</v>
      </c>
      <c r="N1900">
        <f t="shared" si="60"/>
        <v>6</v>
      </c>
    </row>
    <row r="1901" spans="1:14">
      <c r="A1901" s="3" t="s">
        <v>4854</v>
      </c>
      <c r="B1901">
        <f>IFERROR(VLOOKUP(A1901,管理亚马逊库存!A:K,11,0),"")</f>
        <v>1</v>
      </c>
      <c r="C1901">
        <f>IFERROR(VLOOKUP(A1901,管理亚马逊库存!A:L,12,0),"")</f>
        <v>0</v>
      </c>
      <c r="D1901">
        <f>IFERROR(VLOOKUP(A1901,管理亚马逊库存!A:Q,17,0),"")</f>
        <v>0</v>
      </c>
      <c r="E1901">
        <f>IFERROR(VLOOKUP(A1901,管理亚马逊库存!A:R,18,0),"")</f>
        <v>0</v>
      </c>
      <c r="F1901">
        <f t="shared" si="59"/>
        <v>0</v>
      </c>
      <c r="G1901" t="str">
        <f>IFERROR(VLOOKUP(A1901,预留库存!A:G,7,0),0)</f>
        <v>No</v>
      </c>
      <c r="H1901">
        <f>IFERROR(VLOOKUP(A1901,预留库存!A:H,8,0),0)</f>
        <v>0</v>
      </c>
      <c r="I1901">
        <f>IFERROR(VLOOKUP(A1901,预留库存!A:F,6,0),0)</f>
        <v>39.98</v>
      </c>
      <c r="J1901">
        <f>IFERROR(VLOOKUP(A1901,库龄!B:K,9,0),0)</f>
        <v>1</v>
      </c>
      <c r="K1901">
        <f>IFERROR(VLOOKUP(A1901,库龄!B:L,10,0),0)</f>
        <v>1</v>
      </c>
      <c r="L1901">
        <f>IFERROR(VLOOKUP(A1901,库龄!B:M,11,0),0)</f>
        <v>0</v>
      </c>
      <c r="M1901">
        <f>IFERROR(VLOOKUP(A1901,库龄!B:N,12,0),0)</f>
        <v>0</v>
      </c>
      <c r="N1901">
        <f t="shared" si="60"/>
        <v>2</v>
      </c>
    </row>
    <row r="1902" spans="1:14">
      <c r="A1902" s="3" t="s">
        <v>4857</v>
      </c>
      <c r="B1902">
        <f>IFERROR(VLOOKUP(A1902,管理亚马逊库存!A:K,11,0),"")</f>
        <v>0</v>
      </c>
      <c r="C1902">
        <f>IFERROR(VLOOKUP(A1902,管理亚马逊库存!A:L,12,0),"")</f>
        <v>0</v>
      </c>
      <c r="D1902">
        <f>IFERROR(VLOOKUP(A1902,管理亚马逊库存!A:Q,17,0),"")</f>
        <v>0</v>
      </c>
      <c r="E1902">
        <f>IFERROR(VLOOKUP(A1902,管理亚马逊库存!A:R,18,0),"")</f>
        <v>0</v>
      </c>
      <c r="F1902">
        <f t="shared" si="59"/>
        <v>0</v>
      </c>
      <c r="G1902" t="str">
        <f>IFERROR(VLOOKUP(A1902,预留库存!A:G,7,0),0)</f>
        <v>No</v>
      </c>
      <c r="H1902">
        <f>IFERROR(VLOOKUP(A1902,预留库存!A:H,8,0),0)</f>
        <v>0</v>
      </c>
      <c r="I1902">
        <f>IFERROR(VLOOKUP(A1902,预留库存!A:F,6,0),0)</f>
        <v>39.98</v>
      </c>
      <c r="J1902">
        <f>IFERROR(VLOOKUP(A1902,库龄!B:K,9,0),0)</f>
        <v>0</v>
      </c>
      <c r="K1902">
        <f>IFERROR(VLOOKUP(A1902,库龄!B:L,10,0),0)</f>
        <v>0</v>
      </c>
      <c r="L1902">
        <f>IFERROR(VLOOKUP(A1902,库龄!B:M,11,0),0)</f>
        <v>0</v>
      </c>
      <c r="M1902">
        <f>IFERROR(VLOOKUP(A1902,库龄!B:N,12,0),0)</f>
        <v>0</v>
      </c>
      <c r="N1902">
        <f t="shared" si="60"/>
        <v>0</v>
      </c>
    </row>
    <row r="1903" spans="1:14">
      <c r="A1903" s="3" t="s">
        <v>4859</v>
      </c>
      <c r="B1903">
        <f>IFERROR(VLOOKUP(A1903,管理亚马逊库存!A:K,11,0),"")</f>
        <v>6</v>
      </c>
      <c r="C1903">
        <f>IFERROR(VLOOKUP(A1903,管理亚马逊库存!A:L,12,0),"")</f>
        <v>0</v>
      </c>
      <c r="D1903">
        <f>IFERROR(VLOOKUP(A1903,管理亚马逊库存!A:Q,17,0),"")</f>
        <v>0</v>
      </c>
      <c r="E1903">
        <f>IFERROR(VLOOKUP(A1903,管理亚马逊库存!A:R,18,0),"")</f>
        <v>0</v>
      </c>
      <c r="F1903">
        <f t="shared" si="59"/>
        <v>0</v>
      </c>
      <c r="G1903" t="str">
        <f>IFERROR(VLOOKUP(A1903,预留库存!A:G,7,0),0)</f>
        <v>No</v>
      </c>
      <c r="H1903">
        <f>IFERROR(VLOOKUP(A1903,预留库存!A:H,8,0),0)</f>
        <v>0</v>
      </c>
      <c r="I1903">
        <f>IFERROR(VLOOKUP(A1903,预留库存!A:F,6,0),0)</f>
        <v>22.98</v>
      </c>
      <c r="J1903">
        <f>IFERROR(VLOOKUP(A1903,库龄!B:K,9,0),0)</f>
        <v>1</v>
      </c>
      <c r="K1903">
        <f>IFERROR(VLOOKUP(A1903,库龄!B:L,10,0),0)</f>
        <v>5</v>
      </c>
      <c r="L1903">
        <f>IFERROR(VLOOKUP(A1903,库龄!B:M,11,0),0)</f>
        <v>0</v>
      </c>
      <c r="M1903">
        <f>IFERROR(VLOOKUP(A1903,库龄!B:N,12,0),0)</f>
        <v>0</v>
      </c>
      <c r="N1903">
        <f t="shared" si="60"/>
        <v>6</v>
      </c>
    </row>
    <row r="1904" spans="1:14">
      <c r="A1904" s="3" t="s">
        <v>4862</v>
      </c>
      <c r="B1904">
        <f>IFERROR(VLOOKUP(A1904,管理亚马逊库存!A:K,11,0),"")</f>
        <v>3</v>
      </c>
      <c r="C1904">
        <f>IFERROR(VLOOKUP(A1904,管理亚马逊库存!A:L,12,0),"")</f>
        <v>0</v>
      </c>
      <c r="D1904">
        <f>IFERROR(VLOOKUP(A1904,管理亚马逊库存!A:Q,17,0),"")</f>
        <v>0</v>
      </c>
      <c r="E1904">
        <f>IFERROR(VLOOKUP(A1904,管理亚马逊库存!A:R,18,0),"")</f>
        <v>0</v>
      </c>
      <c r="F1904">
        <f t="shared" si="59"/>
        <v>0</v>
      </c>
      <c r="G1904" t="str">
        <f>IFERROR(VLOOKUP(A1904,预留库存!A:G,7,0),0)</f>
        <v>No</v>
      </c>
      <c r="H1904">
        <f>IFERROR(VLOOKUP(A1904,预留库存!A:H,8,0),0)</f>
        <v>0</v>
      </c>
      <c r="I1904">
        <f>IFERROR(VLOOKUP(A1904,预留库存!A:F,6,0),0)</f>
        <v>39.98</v>
      </c>
      <c r="J1904">
        <f>IFERROR(VLOOKUP(A1904,库龄!B:K,9,0),0)</f>
        <v>0</v>
      </c>
      <c r="K1904">
        <f>IFERROR(VLOOKUP(A1904,库龄!B:L,10,0),0)</f>
        <v>3</v>
      </c>
      <c r="L1904">
        <f>IFERROR(VLOOKUP(A1904,库龄!B:M,11,0),0)</f>
        <v>0</v>
      </c>
      <c r="M1904">
        <f>IFERROR(VLOOKUP(A1904,库龄!B:N,12,0),0)</f>
        <v>0</v>
      </c>
      <c r="N1904">
        <f t="shared" si="60"/>
        <v>3</v>
      </c>
    </row>
    <row r="1905" spans="1:14">
      <c r="A1905" s="3" t="s">
        <v>4865</v>
      </c>
      <c r="B1905">
        <f>IFERROR(VLOOKUP(A1905,管理亚马逊库存!A:K,11,0),"")</f>
        <v>4</v>
      </c>
      <c r="C1905">
        <f>IFERROR(VLOOKUP(A1905,管理亚马逊库存!A:L,12,0),"")</f>
        <v>0</v>
      </c>
      <c r="D1905">
        <f>IFERROR(VLOOKUP(A1905,管理亚马逊库存!A:Q,17,0),"")</f>
        <v>0</v>
      </c>
      <c r="E1905">
        <f>IFERROR(VLOOKUP(A1905,管理亚马逊库存!A:R,18,0),"")</f>
        <v>0</v>
      </c>
      <c r="F1905">
        <f t="shared" si="59"/>
        <v>0</v>
      </c>
      <c r="G1905" t="str">
        <f>IFERROR(VLOOKUP(A1905,预留库存!A:G,7,0),0)</f>
        <v>No</v>
      </c>
      <c r="H1905">
        <f>IFERROR(VLOOKUP(A1905,预留库存!A:H,8,0),0)</f>
        <v>0</v>
      </c>
      <c r="I1905">
        <f>IFERROR(VLOOKUP(A1905,预留库存!A:F,6,0),0)</f>
        <v>39.98</v>
      </c>
      <c r="J1905">
        <f>IFERROR(VLOOKUP(A1905,库龄!B:K,9,0),0)</f>
        <v>0</v>
      </c>
      <c r="K1905">
        <f>IFERROR(VLOOKUP(A1905,库龄!B:L,10,0),0)</f>
        <v>5</v>
      </c>
      <c r="L1905">
        <f>IFERROR(VLOOKUP(A1905,库龄!B:M,11,0),0)</f>
        <v>0</v>
      </c>
      <c r="M1905">
        <f>IFERROR(VLOOKUP(A1905,库龄!B:N,12,0),0)</f>
        <v>0</v>
      </c>
      <c r="N1905">
        <f t="shared" si="60"/>
        <v>5</v>
      </c>
    </row>
    <row r="1906" spans="1:14">
      <c r="A1906" s="3" t="s">
        <v>4867</v>
      </c>
      <c r="B1906">
        <f>IFERROR(VLOOKUP(A1906,管理亚马逊库存!A:K,11,0),"")</f>
        <v>0</v>
      </c>
      <c r="C1906">
        <f>IFERROR(VLOOKUP(A1906,管理亚马逊库存!A:L,12,0),"")</f>
        <v>0</v>
      </c>
      <c r="D1906">
        <f>IFERROR(VLOOKUP(A1906,管理亚马逊库存!A:Q,17,0),"")</f>
        <v>0</v>
      </c>
      <c r="E1906">
        <f>IFERROR(VLOOKUP(A1906,管理亚马逊库存!A:R,18,0),"")</f>
        <v>0</v>
      </c>
      <c r="F1906">
        <f t="shared" si="59"/>
        <v>0</v>
      </c>
      <c r="G1906" t="str">
        <f>IFERROR(VLOOKUP(A1906,预留库存!A:G,7,0),0)</f>
        <v>No</v>
      </c>
      <c r="H1906">
        <f>IFERROR(VLOOKUP(A1906,预留库存!A:H,8,0),0)</f>
        <v>0</v>
      </c>
      <c r="I1906">
        <f>IFERROR(VLOOKUP(A1906,预留库存!A:F,6,0),0)</f>
        <v>39.98</v>
      </c>
      <c r="J1906">
        <f>IFERROR(VLOOKUP(A1906,库龄!B:K,9,0),0)</f>
        <v>0</v>
      </c>
      <c r="K1906">
        <f>IFERROR(VLOOKUP(A1906,库龄!B:L,10,0),0)</f>
        <v>0</v>
      </c>
      <c r="L1906">
        <f>IFERROR(VLOOKUP(A1906,库龄!B:M,11,0),0)</f>
        <v>0</v>
      </c>
      <c r="M1906">
        <f>IFERROR(VLOOKUP(A1906,库龄!B:N,12,0),0)</f>
        <v>0</v>
      </c>
      <c r="N1906">
        <f t="shared" si="60"/>
        <v>0</v>
      </c>
    </row>
    <row r="1907" spans="1:14">
      <c r="A1907" s="3" t="s">
        <v>4870</v>
      </c>
      <c r="B1907">
        <f>IFERROR(VLOOKUP(A1907,管理亚马逊库存!A:K,11,0),"")</f>
        <v>6</v>
      </c>
      <c r="C1907">
        <f>IFERROR(VLOOKUP(A1907,管理亚马逊库存!A:L,12,0),"")</f>
        <v>0</v>
      </c>
      <c r="D1907">
        <f>IFERROR(VLOOKUP(A1907,管理亚马逊库存!A:Q,17,0),"")</f>
        <v>0</v>
      </c>
      <c r="E1907">
        <f>IFERROR(VLOOKUP(A1907,管理亚马逊库存!A:R,18,0),"")</f>
        <v>0</v>
      </c>
      <c r="F1907">
        <f t="shared" si="59"/>
        <v>0</v>
      </c>
      <c r="G1907">
        <f>IFERROR(VLOOKUP(A1907,预留库存!A:G,7,0),0)</f>
        <v>0</v>
      </c>
      <c r="H1907">
        <f>IFERROR(VLOOKUP(A1907,预留库存!A:H,8,0),0)</f>
        <v>0</v>
      </c>
      <c r="I1907">
        <f>IFERROR(VLOOKUP(A1907,预留库存!A:F,6,0),0)</f>
        <v>0</v>
      </c>
      <c r="J1907">
        <f>IFERROR(VLOOKUP(A1907,库龄!B:K,9,0),0)</f>
        <v>0</v>
      </c>
      <c r="K1907">
        <f>IFERROR(VLOOKUP(A1907,库龄!B:L,10,0),0)</f>
        <v>6</v>
      </c>
      <c r="L1907">
        <f>IFERROR(VLOOKUP(A1907,库龄!B:M,11,0),0)</f>
        <v>0</v>
      </c>
      <c r="M1907">
        <f>IFERROR(VLOOKUP(A1907,库龄!B:N,12,0),0)</f>
        <v>0</v>
      </c>
      <c r="N1907">
        <f t="shared" si="60"/>
        <v>6</v>
      </c>
    </row>
    <row r="1908" spans="1:14">
      <c r="A1908" s="3" t="s">
        <v>4872</v>
      </c>
      <c r="B1908">
        <f>IFERROR(VLOOKUP(A1908,管理亚马逊库存!A:K,11,0),"")</f>
        <v>3</v>
      </c>
      <c r="C1908">
        <f>IFERROR(VLOOKUP(A1908,管理亚马逊库存!A:L,12,0),"")</f>
        <v>0</v>
      </c>
      <c r="D1908">
        <f>IFERROR(VLOOKUP(A1908,管理亚马逊库存!A:Q,17,0),"")</f>
        <v>0</v>
      </c>
      <c r="E1908">
        <f>IFERROR(VLOOKUP(A1908,管理亚马逊库存!A:R,18,0),"")</f>
        <v>0</v>
      </c>
      <c r="F1908">
        <f t="shared" si="59"/>
        <v>0</v>
      </c>
      <c r="G1908" t="str">
        <f>IFERROR(VLOOKUP(A1908,预留库存!A:G,7,0),0)</f>
        <v>No</v>
      </c>
      <c r="H1908">
        <f>IFERROR(VLOOKUP(A1908,预留库存!A:H,8,0),0)</f>
        <v>0</v>
      </c>
      <c r="I1908">
        <f>IFERROR(VLOOKUP(A1908,预留库存!A:F,6,0),0)</f>
        <v>39.98</v>
      </c>
      <c r="J1908">
        <f>IFERROR(VLOOKUP(A1908,库龄!B:K,9,0),0)</f>
        <v>0</v>
      </c>
      <c r="K1908">
        <f>IFERROR(VLOOKUP(A1908,库龄!B:L,10,0),0)</f>
        <v>3</v>
      </c>
      <c r="L1908">
        <f>IFERROR(VLOOKUP(A1908,库龄!B:M,11,0),0)</f>
        <v>0</v>
      </c>
      <c r="M1908">
        <f>IFERROR(VLOOKUP(A1908,库龄!B:N,12,0),0)</f>
        <v>0</v>
      </c>
      <c r="N1908">
        <f t="shared" si="60"/>
        <v>3</v>
      </c>
    </row>
    <row r="1909" spans="1:14">
      <c r="A1909" s="3" t="s">
        <v>4875</v>
      </c>
      <c r="B1909">
        <f>IFERROR(VLOOKUP(A1909,管理亚马逊库存!A:K,11,0),"")</f>
        <v>0</v>
      </c>
      <c r="C1909">
        <f>IFERROR(VLOOKUP(A1909,管理亚马逊库存!A:L,12,0),"")</f>
        <v>0</v>
      </c>
      <c r="D1909">
        <f>IFERROR(VLOOKUP(A1909,管理亚马逊库存!A:Q,17,0),"")</f>
        <v>0</v>
      </c>
      <c r="E1909">
        <f>IFERROR(VLOOKUP(A1909,管理亚马逊库存!A:R,18,0),"")</f>
        <v>0</v>
      </c>
      <c r="F1909">
        <f t="shared" si="59"/>
        <v>0</v>
      </c>
      <c r="G1909" t="str">
        <f>IFERROR(VLOOKUP(A1909,预留库存!A:G,7,0),0)</f>
        <v>No</v>
      </c>
      <c r="H1909">
        <f>IFERROR(VLOOKUP(A1909,预留库存!A:H,8,0),0)</f>
        <v>0</v>
      </c>
      <c r="I1909">
        <f>IFERROR(VLOOKUP(A1909,预留库存!A:F,6,0),0)</f>
        <v>39.98</v>
      </c>
      <c r="J1909">
        <f>IFERROR(VLOOKUP(A1909,库龄!B:K,9,0),0)</f>
        <v>0</v>
      </c>
      <c r="K1909">
        <f>IFERROR(VLOOKUP(A1909,库龄!B:L,10,0),0)</f>
        <v>0</v>
      </c>
      <c r="L1909">
        <f>IFERROR(VLOOKUP(A1909,库龄!B:M,11,0),0)</f>
        <v>0</v>
      </c>
      <c r="M1909">
        <f>IFERROR(VLOOKUP(A1909,库龄!B:N,12,0),0)</f>
        <v>0</v>
      </c>
      <c r="N1909">
        <f t="shared" si="60"/>
        <v>0</v>
      </c>
    </row>
    <row r="1910" spans="1:14">
      <c r="A1910" s="3" t="s">
        <v>4878</v>
      </c>
      <c r="B1910">
        <f>IFERROR(VLOOKUP(A1910,管理亚马逊库存!A:K,11,0),"")</f>
        <v>8</v>
      </c>
      <c r="C1910">
        <f>IFERROR(VLOOKUP(A1910,管理亚马逊库存!A:L,12,0),"")</f>
        <v>0</v>
      </c>
      <c r="D1910">
        <f>IFERROR(VLOOKUP(A1910,管理亚马逊库存!A:Q,17,0),"")</f>
        <v>0</v>
      </c>
      <c r="E1910">
        <f>IFERROR(VLOOKUP(A1910,管理亚马逊库存!A:R,18,0),"")</f>
        <v>0</v>
      </c>
      <c r="F1910">
        <f t="shared" si="59"/>
        <v>0</v>
      </c>
      <c r="G1910" t="str">
        <f>IFERROR(VLOOKUP(A1910,预留库存!A:G,7,0),0)</f>
        <v>No</v>
      </c>
      <c r="H1910">
        <f>IFERROR(VLOOKUP(A1910,预留库存!A:H,8,0),0)</f>
        <v>0</v>
      </c>
      <c r="I1910">
        <f>IFERROR(VLOOKUP(A1910,预留库存!A:F,6,0),0)</f>
        <v>39.98</v>
      </c>
      <c r="J1910">
        <f>IFERROR(VLOOKUP(A1910,库龄!B:K,9,0),0)</f>
        <v>0</v>
      </c>
      <c r="K1910">
        <f>IFERROR(VLOOKUP(A1910,库龄!B:L,10,0),0)</f>
        <v>6</v>
      </c>
      <c r="L1910">
        <f>IFERROR(VLOOKUP(A1910,库龄!B:M,11,0),0)</f>
        <v>0</v>
      </c>
      <c r="M1910">
        <f>IFERROR(VLOOKUP(A1910,库龄!B:N,12,0),0)</f>
        <v>0</v>
      </c>
      <c r="N1910">
        <f t="shared" si="60"/>
        <v>6</v>
      </c>
    </row>
    <row r="1911" spans="1:14">
      <c r="A1911" s="3" t="s">
        <v>4881</v>
      </c>
      <c r="B1911">
        <f>IFERROR(VLOOKUP(A1911,管理亚马逊库存!A:K,11,0),"")</f>
        <v>9</v>
      </c>
      <c r="C1911">
        <f>IFERROR(VLOOKUP(A1911,管理亚马逊库存!A:L,12,0),"")</f>
        <v>0</v>
      </c>
      <c r="D1911">
        <f>IFERROR(VLOOKUP(A1911,管理亚马逊库存!A:Q,17,0),"")</f>
        <v>0</v>
      </c>
      <c r="E1911">
        <f>IFERROR(VLOOKUP(A1911,管理亚马逊库存!A:R,18,0),"")</f>
        <v>0</v>
      </c>
      <c r="F1911">
        <f t="shared" si="59"/>
        <v>0</v>
      </c>
      <c r="G1911" t="str">
        <f>IFERROR(VLOOKUP(A1911,预留库存!A:G,7,0),0)</f>
        <v>No</v>
      </c>
      <c r="H1911">
        <f>IFERROR(VLOOKUP(A1911,预留库存!A:H,8,0),0)</f>
        <v>0</v>
      </c>
      <c r="I1911">
        <f>IFERROR(VLOOKUP(A1911,预留库存!A:F,6,0),0)</f>
        <v>39.98</v>
      </c>
      <c r="J1911">
        <f>IFERROR(VLOOKUP(A1911,库龄!B:K,9,0),0)</f>
        <v>0</v>
      </c>
      <c r="K1911">
        <f>IFERROR(VLOOKUP(A1911,库龄!B:L,10,0),0)</f>
        <v>9</v>
      </c>
      <c r="L1911">
        <f>IFERROR(VLOOKUP(A1911,库龄!B:M,11,0),0)</f>
        <v>0</v>
      </c>
      <c r="M1911">
        <f>IFERROR(VLOOKUP(A1911,库龄!B:N,12,0),0)</f>
        <v>0</v>
      </c>
      <c r="N1911">
        <f t="shared" si="60"/>
        <v>9</v>
      </c>
    </row>
    <row r="1912" spans="1:14">
      <c r="A1912" s="3" t="s">
        <v>4883</v>
      </c>
      <c r="B1912">
        <f>IFERROR(VLOOKUP(A1912,管理亚马逊库存!A:K,11,0),"")</f>
        <v>5</v>
      </c>
      <c r="C1912">
        <f>IFERROR(VLOOKUP(A1912,管理亚马逊库存!A:L,12,0),"")</f>
        <v>0</v>
      </c>
      <c r="D1912">
        <f>IFERROR(VLOOKUP(A1912,管理亚马逊库存!A:Q,17,0),"")</f>
        <v>0</v>
      </c>
      <c r="E1912">
        <f>IFERROR(VLOOKUP(A1912,管理亚马逊库存!A:R,18,0),"")</f>
        <v>0</v>
      </c>
      <c r="F1912">
        <f t="shared" si="59"/>
        <v>0</v>
      </c>
      <c r="G1912" t="str">
        <f>IFERROR(VLOOKUP(A1912,预留库存!A:G,7,0),0)</f>
        <v>No</v>
      </c>
      <c r="H1912">
        <f>IFERROR(VLOOKUP(A1912,预留库存!A:H,8,0),0)</f>
        <v>0</v>
      </c>
      <c r="I1912">
        <f>IFERROR(VLOOKUP(A1912,预留库存!A:F,6,0),0)</f>
        <v>39.98</v>
      </c>
      <c r="J1912">
        <f>IFERROR(VLOOKUP(A1912,库龄!B:K,9,0),0)</f>
        <v>0</v>
      </c>
      <c r="K1912">
        <f>IFERROR(VLOOKUP(A1912,库龄!B:L,10,0),0)</f>
        <v>5</v>
      </c>
      <c r="L1912">
        <f>IFERROR(VLOOKUP(A1912,库龄!B:M,11,0),0)</f>
        <v>0</v>
      </c>
      <c r="M1912">
        <f>IFERROR(VLOOKUP(A1912,库龄!B:N,12,0),0)</f>
        <v>0</v>
      </c>
      <c r="N1912">
        <f t="shared" si="60"/>
        <v>5</v>
      </c>
    </row>
    <row r="1913" spans="1:14">
      <c r="A1913" s="3" t="s">
        <v>4886</v>
      </c>
      <c r="B1913">
        <f>IFERROR(VLOOKUP(A1913,管理亚马逊库存!A:K,11,0),"")</f>
        <v>6</v>
      </c>
      <c r="C1913">
        <f>IFERROR(VLOOKUP(A1913,管理亚马逊库存!A:L,12,0),"")</f>
        <v>0</v>
      </c>
      <c r="D1913">
        <f>IFERROR(VLOOKUP(A1913,管理亚马逊库存!A:Q,17,0),"")</f>
        <v>0</v>
      </c>
      <c r="E1913">
        <f>IFERROR(VLOOKUP(A1913,管理亚马逊库存!A:R,18,0),"")</f>
        <v>0</v>
      </c>
      <c r="F1913">
        <f t="shared" si="59"/>
        <v>0</v>
      </c>
      <c r="G1913" t="str">
        <f>IFERROR(VLOOKUP(A1913,预留库存!A:G,7,0),0)</f>
        <v>No</v>
      </c>
      <c r="H1913">
        <f>IFERROR(VLOOKUP(A1913,预留库存!A:H,8,0),0)</f>
        <v>0</v>
      </c>
      <c r="I1913">
        <f>IFERROR(VLOOKUP(A1913,预留库存!A:F,6,0),0)</f>
        <v>10</v>
      </c>
      <c r="J1913">
        <f>IFERROR(VLOOKUP(A1913,库龄!B:K,9,0),0)</f>
        <v>0</v>
      </c>
      <c r="K1913">
        <f>IFERROR(VLOOKUP(A1913,库龄!B:L,10,0),0)</f>
        <v>5</v>
      </c>
      <c r="L1913">
        <f>IFERROR(VLOOKUP(A1913,库龄!B:M,11,0),0)</f>
        <v>0</v>
      </c>
      <c r="M1913">
        <f>IFERROR(VLOOKUP(A1913,库龄!B:N,12,0),0)</f>
        <v>0</v>
      </c>
      <c r="N1913">
        <f t="shared" si="60"/>
        <v>5</v>
      </c>
    </row>
    <row r="1914" spans="1:14">
      <c r="A1914" s="3" t="s">
        <v>4889</v>
      </c>
      <c r="B1914">
        <f>IFERROR(VLOOKUP(A1914,管理亚马逊库存!A:K,11,0),"")</f>
        <v>0</v>
      </c>
      <c r="C1914">
        <f>IFERROR(VLOOKUP(A1914,管理亚马逊库存!A:L,12,0),"")</f>
        <v>0</v>
      </c>
      <c r="D1914">
        <f>IFERROR(VLOOKUP(A1914,管理亚马逊库存!A:Q,17,0),"")</f>
        <v>0</v>
      </c>
      <c r="E1914">
        <f>IFERROR(VLOOKUP(A1914,管理亚马逊库存!A:R,18,0),"")</f>
        <v>0</v>
      </c>
      <c r="F1914">
        <f t="shared" si="59"/>
        <v>0</v>
      </c>
      <c r="G1914" t="str">
        <f>IFERROR(VLOOKUP(A1914,预留库存!A:G,7,0),0)</f>
        <v>No</v>
      </c>
      <c r="H1914">
        <f>IFERROR(VLOOKUP(A1914,预留库存!A:H,8,0),0)</f>
        <v>0</v>
      </c>
      <c r="I1914">
        <f>IFERROR(VLOOKUP(A1914,预留库存!A:F,6,0),0)</f>
        <v>22.98</v>
      </c>
      <c r="J1914">
        <f>IFERROR(VLOOKUP(A1914,库龄!B:K,9,0),0)</f>
        <v>0</v>
      </c>
      <c r="K1914">
        <f>IFERROR(VLOOKUP(A1914,库龄!B:L,10,0),0)</f>
        <v>0</v>
      </c>
      <c r="L1914">
        <f>IFERROR(VLOOKUP(A1914,库龄!B:M,11,0),0)</f>
        <v>0</v>
      </c>
      <c r="M1914">
        <f>IFERROR(VLOOKUP(A1914,库龄!B:N,12,0),0)</f>
        <v>0</v>
      </c>
      <c r="N1914">
        <f t="shared" si="60"/>
        <v>0</v>
      </c>
    </row>
    <row r="1915" spans="1:14">
      <c r="A1915" s="3" t="s">
        <v>4892</v>
      </c>
      <c r="B1915">
        <f>IFERROR(VLOOKUP(A1915,管理亚马逊库存!A:K,11,0),"")</f>
        <v>0</v>
      </c>
      <c r="C1915">
        <f>IFERROR(VLOOKUP(A1915,管理亚马逊库存!A:L,12,0),"")</f>
        <v>0</v>
      </c>
      <c r="D1915">
        <f>IFERROR(VLOOKUP(A1915,管理亚马逊库存!A:Q,17,0),"")</f>
        <v>0</v>
      </c>
      <c r="E1915">
        <f>IFERROR(VLOOKUP(A1915,管理亚马逊库存!A:R,18,0),"")</f>
        <v>0</v>
      </c>
      <c r="F1915">
        <f t="shared" si="59"/>
        <v>0</v>
      </c>
      <c r="G1915" t="str">
        <f>IFERROR(VLOOKUP(A1915,预留库存!A:G,7,0),0)</f>
        <v>No</v>
      </c>
      <c r="H1915">
        <f>IFERROR(VLOOKUP(A1915,预留库存!A:H,8,0),0)</f>
        <v>0</v>
      </c>
      <c r="I1915">
        <f>IFERROR(VLOOKUP(A1915,预留库存!A:F,6,0),0)</f>
        <v>22.98</v>
      </c>
      <c r="J1915">
        <f>IFERROR(VLOOKUP(A1915,库龄!B:K,9,0),0)</f>
        <v>0</v>
      </c>
      <c r="K1915">
        <f>IFERROR(VLOOKUP(A1915,库龄!B:L,10,0),0)</f>
        <v>0</v>
      </c>
      <c r="L1915">
        <f>IFERROR(VLOOKUP(A1915,库龄!B:M,11,0),0)</f>
        <v>0</v>
      </c>
      <c r="M1915">
        <f>IFERROR(VLOOKUP(A1915,库龄!B:N,12,0),0)</f>
        <v>0</v>
      </c>
      <c r="N1915">
        <f t="shared" si="60"/>
        <v>0</v>
      </c>
    </row>
    <row r="1916" spans="1:14">
      <c r="A1916" s="3" t="s">
        <v>4895</v>
      </c>
      <c r="B1916">
        <f>IFERROR(VLOOKUP(A1916,管理亚马逊库存!A:K,11,0),"")</f>
        <v>0</v>
      </c>
      <c r="C1916">
        <f>IFERROR(VLOOKUP(A1916,管理亚马逊库存!A:L,12,0),"")</f>
        <v>0</v>
      </c>
      <c r="D1916">
        <f>IFERROR(VLOOKUP(A1916,管理亚马逊库存!A:Q,17,0),"")</f>
        <v>0</v>
      </c>
      <c r="E1916">
        <f>IFERROR(VLOOKUP(A1916,管理亚马逊库存!A:R,18,0),"")</f>
        <v>0</v>
      </c>
      <c r="F1916">
        <f t="shared" si="59"/>
        <v>0</v>
      </c>
      <c r="G1916" t="str">
        <f>IFERROR(VLOOKUP(A1916,预留库存!A:G,7,0),0)</f>
        <v>No</v>
      </c>
      <c r="H1916">
        <f>IFERROR(VLOOKUP(A1916,预留库存!A:H,8,0),0)</f>
        <v>0</v>
      </c>
      <c r="I1916">
        <f>IFERROR(VLOOKUP(A1916,预留库存!A:F,6,0),0)</f>
        <v>22.98</v>
      </c>
      <c r="J1916">
        <f>IFERROR(VLOOKUP(A1916,库龄!B:K,9,0),0)</f>
        <v>0</v>
      </c>
      <c r="K1916">
        <f>IFERROR(VLOOKUP(A1916,库龄!B:L,10,0),0)</f>
        <v>0</v>
      </c>
      <c r="L1916">
        <f>IFERROR(VLOOKUP(A1916,库龄!B:M,11,0),0)</f>
        <v>0</v>
      </c>
      <c r="M1916">
        <f>IFERROR(VLOOKUP(A1916,库龄!B:N,12,0),0)</f>
        <v>0</v>
      </c>
      <c r="N1916">
        <f t="shared" si="60"/>
        <v>0</v>
      </c>
    </row>
    <row r="1917" spans="1:14">
      <c r="A1917" s="3" t="s">
        <v>4898</v>
      </c>
      <c r="B1917">
        <f>IFERROR(VLOOKUP(A1917,管理亚马逊库存!A:K,11,0),"")</f>
        <v>0</v>
      </c>
      <c r="C1917">
        <f>IFERROR(VLOOKUP(A1917,管理亚马逊库存!A:L,12,0),"")</f>
        <v>0</v>
      </c>
      <c r="D1917">
        <f>IFERROR(VLOOKUP(A1917,管理亚马逊库存!A:Q,17,0),"")</f>
        <v>0</v>
      </c>
      <c r="E1917">
        <f>IFERROR(VLOOKUP(A1917,管理亚马逊库存!A:R,18,0),"")</f>
        <v>0</v>
      </c>
      <c r="F1917">
        <f t="shared" si="59"/>
        <v>0</v>
      </c>
      <c r="G1917" t="str">
        <f>IFERROR(VLOOKUP(A1917,预留库存!A:G,7,0),0)</f>
        <v>No</v>
      </c>
      <c r="H1917">
        <f>IFERROR(VLOOKUP(A1917,预留库存!A:H,8,0),0)</f>
        <v>0</v>
      </c>
      <c r="I1917">
        <f>IFERROR(VLOOKUP(A1917,预留库存!A:F,6,0),0)</f>
        <v>22.98</v>
      </c>
      <c r="J1917">
        <f>IFERROR(VLOOKUP(A1917,库龄!B:K,9,0),0)</f>
        <v>0</v>
      </c>
      <c r="K1917">
        <f>IFERROR(VLOOKUP(A1917,库龄!B:L,10,0),0)</f>
        <v>0</v>
      </c>
      <c r="L1917">
        <f>IFERROR(VLOOKUP(A1917,库龄!B:M,11,0),0)</f>
        <v>0</v>
      </c>
      <c r="M1917">
        <f>IFERROR(VLOOKUP(A1917,库龄!B:N,12,0),0)</f>
        <v>0</v>
      </c>
      <c r="N1917">
        <f t="shared" si="60"/>
        <v>0</v>
      </c>
    </row>
    <row r="1918" spans="1:14">
      <c r="A1918" s="3" t="s">
        <v>4901</v>
      </c>
      <c r="B1918">
        <f>IFERROR(VLOOKUP(A1918,管理亚马逊库存!A:K,11,0),"")</f>
        <v>0</v>
      </c>
      <c r="C1918">
        <f>IFERROR(VLOOKUP(A1918,管理亚马逊库存!A:L,12,0),"")</f>
        <v>0</v>
      </c>
      <c r="D1918">
        <f>IFERROR(VLOOKUP(A1918,管理亚马逊库存!A:Q,17,0),"")</f>
        <v>0</v>
      </c>
      <c r="E1918">
        <f>IFERROR(VLOOKUP(A1918,管理亚马逊库存!A:R,18,0),"")</f>
        <v>0</v>
      </c>
      <c r="F1918">
        <f t="shared" si="59"/>
        <v>0</v>
      </c>
      <c r="G1918" t="str">
        <f>IFERROR(VLOOKUP(A1918,预留库存!A:G,7,0),0)</f>
        <v>No</v>
      </c>
      <c r="H1918">
        <f>IFERROR(VLOOKUP(A1918,预留库存!A:H,8,0),0)</f>
        <v>0</v>
      </c>
      <c r="I1918">
        <f>IFERROR(VLOOKUP(A1918,预留库存!A:F,6,0),0)</f>
        <v>22.98</v>
      </c>
      <c r="J1918">
        <f>IFERROR(VLOOKUP(A1918,库龄!B:K,9,0),0)</f>
        <v>0</v>
      </c>
      <c r="K1918">
        <f>IFERROR(VLOOKUP(A1918,库龄!B:L,10,0),0)</f>
        <v>0</v>
      </c>
      <c r="L1918">
        <f>IFERROR(VLOOKUP(A1918,库龄!B:M,11,0),0)</f>
        <v>0</v>
      </c>
      <c r="M1918">
        <f>IFERROR(VLOOKUP(A1918,库龄!B:N,12,0),0)</f>
        <v>0</v>
      </c>
      <c r="N1918">
        <f t="shared" si="60"/>
        <v>0</v>
      </c>
    </row>
    <row r="1919" spans="1:14">
      <c r="A1919" s="3" t="s">
        <v>4903</v>
      </c>
      <c r="B1919">
        <f>IFERROR(VLOOKUP(A1919,管理亚马逊库存!A:K,11,0),"")</f>
        <v>0</v>
      </c>
      <c r="C1919">
        <f>IFERROR(VLOOKUP(A1919,管理亚马逊库存!A:L,12,0),"")</f>
        <v>0</v>
      </c>
      <c r="D1919">
        <f>IFERROR(VLOOKUP(A1919,管理亚马逊库存!A:Q,17,0),"")</f>
        <v>0</v>
      </c>
      <c r="E1919">
        <f>IFERROR(VLOOKUP(A1919,管理亚马逊库存!A:R,18,0),"")</f>
        <v>0</v>
      </c>
      <c r="F1919">
        <f t="shared" si="59"/>
        <v>0</v>
      </c>
      <c r="G1919" t="str">
        <f>IFERROR(VLOOKUP(A1919,预留库存!A:G,7,0),0)</f>
        <v>No</v>
      </c>
      <c r="H1919">
        <f>IFERROR(VLOOKUP(A1919,预留库存!A:H,8,0),0)</f>
        <v>0</v>
      </c>
      <c r="I1919">
        <f>IFERROR(VLOOKUP(A1919,预留库存!A:F,6,0),0)</f>
        <v>22.98</v>
      </c>
      <c r="J1919">
        <f>IFERROR(VLOOKUP(A1919,库龄!B:K,9,0),0)</f>
        <v>0</v>
      </c>
      <c r="K1919">
        <f>IFERROR(VLOOKUP(A1919,库龄!B:L,10,0),0)</f>
        <v>0</v>
      </c>
      <c r="L1919">
        <f>IFERROR(VLOOKUP(A1919,库龄!B:M,11,0),0)</f>
        <v>0</v>
      </c>
      <c r="M1919">
        <f>IFERROR(VLOOKUP(A1919,库龄!B:N,12,0),0)</f>
        <v>0</v>
      </c>
      <c r="N1919">
        <f t="shared" si="60"/>
        <v>0</v>
      </c>
    </row>
    <row r="1920" spans="1:14">
      <c r="A1920" s="3" t="s">
        <v>4906</v>
      </c>
      <c r="B1920">
        <f>IFERROR(VLOOKUP(A1920,管理亚马逊库存!A:K,11,0),"")</f>
        <v>0</v>
      </c>
      <c r="C1920">
        <f>IFERROR(VLOOKUP(A1920,管理亚马逊库存!A:L,12,0),"")</f>
        <v>0</v>
      </c>
      <c r="D1920">
        <f>IFERROR(VLOOKUP(A1920,管理亚马逊库存!A:Q,17,0),"")</f>
        <v>0</v>
      </c>
      <c r="E1920">
        <f>IFERROR(VLOOKUP(A1920,管理亚马逊库存!A:R,18,0),"")</f>
        <v>0</v>
      </c>
      <c r="F1920">
        <f t="shared" si="59"/>
        <v>0</v>
      </c>
      <c r="G1920" t="str">
        <f>IFERROR(VLOOKUP(A1920,预留库存!A:G,7,0),0)</f>
        <v>No</v>
      </c>
      <c r="H1920">
        <f>IFERROR(VLOOKUP(A1920,预留库存!A:H,8,0),0)</f>
        <v>0</v>
      </c>
      <c r="I1920">
        <f>IFERROR(VLOOKUP(A1920,预留库存!A:F,6,0),0)</f>
        <v>22.98</v>
      </c>
      <c r="J1920">
        <f>IFERROR(VLOOKUP(A1920,库龄!B:K,9,0),0)</f>
        <v>0</v>
      </c>
      <c r="K1920">
        <f>IFERROR(VLOOKUP(A1920,库龄!B:L,10,0),0)</f>
        <v>0</v>
      </c>
      <c r="L1920">
        <f>IFERROR(VLOOKUP(A1920,库龄!B:M,11,0),0)</f>
        <v>0</v>
      </c>
      <c r="M1920">
        <f>IFERROR(VLOOKUP(A1920,库龄!B:N,12,0),0)</f>
        <v>0</v>
      </c>
      <c r="N1920">
        <f t="shared" si="60"/>
        <v>0</v>
      </c>
    </row>
    <row r="1921" spans="1:14">
      <c r="A1921" s="3" t="s">
        <v>4909</v>
      </c>
      <c r="B1921">
        <f>IFERROR(VLOOKUP(A1921,管理亚马逊库存!A:K,11,0),"")</f>
        <v>0</v>
      </c>
      <c r="C1921">
        <f>IFERROR(VLOOKUP(A1921,管理亚马逊库存!A:L,12,0),"")</f>
        <v>0</v>
      </c>
      <c r="D1921">
        <f>IFERROR(VLOOKUP(A1921,管理亚马逊库存!A:Q,17,0),"")</f>
        <v>0</v>
      </c>
      <c r="E1921">
        <f>IFERROR(VLOOKUP(A1921,管理亚马逊库存!A:R,18,0),"")</f>
        <v>0</v>
      </c>
      <c r="F1921">
        <f t="shared" si="59"/>
        <v>0</v>
      </c>
      <c r="G1921" t="str">
        <f>IFERROR(VLOOKUP(A1921,预留库存!A:G,7,0),0)</f>
        <v>No</v>
      </c>
      <c r="H1921">
        <f>IFERROR(VLOOKUP(A1921,预留库存!A:H,8,0),0)</f>
        <v>0</v>
      </c>
      <c r="I1921">
        <f>IFERROR(VLOOKUP(A1921,预留库存!A:F,6,0),0)</f>
        <v>22.98</v>
      </c>
      <c r="J1921">
        <f>IFERROR(VLOOKUP(A1921,库龄!B:K,9,0),0)</f>
        <v>0</v>
      </c>
      <c r="K1921">
        <f>IFERROR(VLOOKUP(A1921,库龄!B:L,10,0),0)</f>
        <v>0</v>
      </c>
      <c r="L1921">
        <f>IFERROR(VLOOKUP(A1921,库龄!B:M,11,0),0)</f>
        <v>0</v>
      </c>
      <c r="M1921">
        <f>IFERROR(VLOOKUP(A1921,库龄!B:N,12,0),0)</f>
        <v>0</v>
      </c>
      <c r="N1921">
        <f t="shared" si="60"/>
        <v>0</v>
      </c>
    </row>
    <row r="1922" spans="1:14">
      <c r="A1922" s="3" t="s">
        <v>4912</v>
      </c>
      <c r="B1922">
        <f>IFERROR(VLOOKUP(A1922,管理亚马逊库存!A:K,11,0),"")</f>
        <v>5</v>
      </c>
      <c r="C1922">
        <f>IFERROR(VLOOKUP(A1922,管理亚马逊库存!A:L,12,0),"")</f>
        <v>0</v>
      </c>
      <c r="D1922">
        <f>IFERROR(VLOOKUP(A1922,管理亚马逊库存!A:Q,17,0),"")</f>
        <v>0</v>
      </c>
      <c r="E1922">
        <f>IFERROR(VLOOKUP(A1922,管理亚马逊库存!A:R,18,0),"")</f>
        <v>0</v>
      </c>
      <c r="F1922">
        <f t="shared" si="59"/>
        <v>0</v>
      </c>
      <c r="G1922" t="str">
        <f>IFERROR(VLOOKUP(A1922,预留库存!A:G,7,0),0)</f>
        <v>No</v>
      </c>
      <c r="H1922">
        <f>IFERROR(VLOOKUP(A1922,预留库存!A:H,8,0),0)</f>
        <v>0</v>
      </c>
      <c r="I1922">
        <f>IFERROR(VLOOKUP(A1922,预留库存!A:F,6,0),0)</f>
        <v>22.98</v>
      </c>
      <c r="J1922">
        <f>IFERROR(VLOOKUP(A1922,库龄!B:K,9,0),0)</f>
        <v>0</v>
      </c>
      <c r="K1922">
        <f>IFERROR(VLOOKUP(A1922,库龄!B:L,10,0),0)</f>
        <v>0</v>
      </c>
      <c r="L1922">
        <f>IFERROR(VLOOKUP(A1922,库龄!B:M,11,0),0)</f>
        <v>0</v>
      </c>
      <c r="M1922">
        <f>IFERROR(VLOOKUP(A1922,库龄!B:N,12,0),0)</f>
        <v>0</v>
      </c>
      <c r="N1922">
        <f t="shared" si="60"/>
        <v>0</v>
      </c>
    </row>
    <row r="1923" spans="1:14">
      <c r="A1923" s="3" t="s">
        <v>4915</v>
      </c>
      <c r="B1923">
        <f>IFERROR(VLOOKUP(A1923,管理亚马逊库存!A:K,11,0),"")</f>
        <v>0</v>
      </c>
      <c r="C1923">
        <f>IFERROR(VLOOKUP(A1923,管理亚马逊库存!A:L,12,0),"")</f>
        <v>0</v>
      </c>
      <c r="D1923">
        <f>IFERROR(VLOOKUP(A1923,管理亚马逊库存!A:Q,17,0),"")</f>
        <v>0</v>
      </c>
      <c r="E1923">
        <f>IFERROR(VLOOKUP(A1923,管理亚马逊库存!A:R,18,0),"")</f>
        <v>0</v>
      </c>
      <c r="F1923">
        <f t="shared" ref="F1923:F1986" si="61">SUM(D1923:E1923)</f>
        <v>0</v>
      </c>
      <c r="G1923" t="str">
        <f>IFERROR(VLOOKUP(A1923,预留库存!A:G,7,0),0)</f>
        <v>No</v>
      </c>
      <c r="H1923">
        <f>IFERROR(VLOOKUP(A1923,预留库存!A:H,8,0),0)</f>
        <v>0</v>
      </c>
      <c r="I1923">
        <f>IFERROR(VLOOKUP(A1923,预留库存!A:F,6,0),0)</f>
        <v>22.98</v>
      </c>
      <c r="J1923">
        <f>IFERROR(VLOOKUP(A1923,库龄!B:K,9,0),0)</f>
        <v>0</v>
      </c>
      <c r="K1923">
        <f>IFERROR(VLOOKUP(A1923,库龄!B:L,10,0),0)</f>
        <v>0</v>
      </c>
      <c r="L1923">
        <f>IFERROR(VLOOKUP(A1923,库龄!B:M,11,0),0)</f>
        <v>0</v>
      </c>
      <c r="M1923">
        <f>IFERROR(VLOOKUP(A1923,库龄!B:N,12,0),0)</f>
        <v>0</v>
      </c>
      <c r="N1923">
        <f t="shared" ref="N1923:N1986" si="62">SUM(J1923:M1923)</f>
        <v>0</v>
      </c>
    </row>
    <row r="1924" spans="1:14">
      <c r="A1924" s="3" t="s">
        <v>4918</v>
      </c>
      <c r="B1924">
        <f>IFERROR(VLOOKUP(A1924,管理亚马逊库存!A:K,11,0),"")</f>
        <v>0</v>
      </c>
      <c r="C1924">
        <f>IFERROR(VLOOKUP(A1924,管理亚马逊库存!A:L,12,0),"")</f>
        <v>0</v>
      </c>
      <c r="D1924">
        <f>IFERROR(VLOOKUP(A1924,管理亚马逊库存!A:Q,17,0),"")</f>
        <v>0</v>
      </c>
      <c r="E1924">
        <f>IFERROR(VLOOKUP(A1924,管理亚马逊库存!A:R,18,0),"")</f>
        <v>0</v>
      </c>
      <c r="F1924">
        <f t="shared" si="61"/>
        <v>0</v>
      </c>
      <c r="G1924" t="str">
        <f>IFERROR(VLOOKUP(A1924,预留库存!A:G,7,0),0)</f>
        <v>No</v>
      </c>
      <c r="H1924">
        <f>IFERROR(VLOOKUP(A1924,预留库存!A:H,8,0),0)</f>
        <v>0</v>
      </c>
      <c r="I1924">
        <f>IFERROR(VLOOKUP(A1924,预留库存!A:F,6,0),0)</f>
        <v>22.98</v>
      </c>
      <c r="J1924">
        <f>IFERROR(VLOOKUP(A1924,库龄!B:K,9,0),0)</f>
        <v>0</v>
      </c>
      <c r="K1924">
        <f>IFERROR(VLOOKUP(A1924,库龄!B:L,10,0),0)</f>
        <v>0</v>
      </c>
      <c r="L1924">
        <f>IFERROR(VLOOKUP(A1924,库龄!B:M,11,0),0)</f>
        <v>0</v>
      </c>
      <c r="M1924">
        <f>IFERROR(VLOOKUP(A1924,库龄!B:N,12,0),0)</f>
        <v>0</v>
      </c>
      <c r="N1924">
        <f t="shared" si="62"/>
        <v>0</v>
      </c>
    </row>
    <row r="1925" spans="1:14">
      <c r="A1925" s="3" t="s">
        <v>4920</v>
      </c>
      <c r="B1925">
        <f>IFERROR(VLOOKUP(A1925,管理亚马逊库存!A:K,11,0),"")</f>
        <v>5</v>
      </c>
      <c r="C1925">
        <f>IFERROR(VLOOKUP(A1925,管理亚马逊库存!A:L,12,0),"")</f>
        <v>0</v>
      </c>
      <c r="D1925">
        <f>IFERROR(VLOOKUP(A1925,管理亚马逊库存!A:Q,17,0),"")</f>
        <v>0</v>
      </c>
      <c r="E1925">
        <f>IFERROR(VLOOKUP(A1925,管理亚马逊库存!A:R,18,0),"")</f>
        <v>0</v>
      </c>
      <c r="F1925">
        <f t="shared" si="61"/>
        <v>0</v>
      </c>
      <c r="G1925" t="str">
        <f>IFERROR(VLOOKUP(A1925,预留库存!A:G,7,0),0)</f>
        <v>No</v>
      </c>
      <c r="H1925">
        <f>IFERROR(VLOOKUP(A1925,预留库存!A:H,8,0),0)</f>
        <v>0</v>
      </c>
      <c r="I1925">
        <f>IFERROR(VLOOKUP(A1925,预留库存!A:F,6,0),0)</f>
        <v>22.98</v>
      </c>
      <c r="J1925">
        <f>IFERROR(VLOOKUP(A1925,库龄!B:K,9,0),0)</f>
        <v>0</v>
      </c>
      <c r="K1925">
        <f>IFERROR(VLOOKUP(A1925,库龄!B:L,10,0),0)</f>
        <v>0</v>
      </c>
      <c r="L1925">
        <f>IFERROR(VLOOKUP(A1925,库龄!B:M,11,0),0)</f>
        <v>0</v>
      </c>
      <c r="M1925">
        <f>IFERROR(VLOOKUP(A1925,库龄!B:N,12,0),0)</f>
        <v>0</v>
      </c>
      <c r="N1925">
        <f t="shared" si="62"/>
        <v>0</v>
      </c>
    </row>
    <row r="1926" spans="1:14">
      <c r="A1926" s="3" t="s">
        <v>4922</v>
      </c>
      <c r="B1926">
        <f>IFERROR(VLOOKUP(A1926,管理亚马逊库存!A:K,11,0),"")</f>
        <v>8</v>
      </c>
      <c r="C1926">
        <f>IFERROR(VLOOKUP(A1926,管理亚马逊库存!A:L,12,0),"")</f>
        <v>0</v>
      </c>
      <c r="D1926">
        <f>IFERROR(VLOOKUP(A1926,管理亚马逊库存!A:Q,17,0),"")</f>
        <v>0</v>
      </c>
      <c r="E1926">
        <f>IFERROR(VLOOKUP(A1926,管理亚马逊库存!A:R,18,0),"")</f>
        <v>0</v>
      </c>
      <c r="F1926">
        <f t="shared" si="61"/>
        <v>0</v>
      </c>
      <c r="G1926" t="str">
        <f>IFERROR(VLOOKUP(A1926,预留库存!A:G,7,0),0)</f>
        <v>No</v>
      </c>
      <c r="H1926">
        <f>IFERROR(VLOOKUP(A1926,预留库存!A:H,8,0),0)</f>
        <v>0</v>
      </c>
      <c r="I1926">
        <f>IFERROR(VLOOKUP(A1926,预留库存!A:F,6,0),0)</f>
        <v>22.98</v>
      </c>
      <c r="J1926">
        <f>IFERROR(VLOOKUP(A1926,库龄!B:K,9,0),0)</f>
        <v>0</v>
      </c>
      <c r="K1926">
        <f>IFERROR(VLOOKUP(A1926,库龄!B:L,10,0),0)</f>
        <v>0</v>
      </c>
      <c r="L1926">
        <f>IFERROR(VLOOKUP(A1926,库龄!B:M,11,0),0)</f>
        <v>0</v>
      </c>
      <c r="M1926">
        <f>IFERROR(VLOOKUP(A1926,库龄!B:N,12,0),0)</f>
        <v>0</v>
      </c>
      <c r="N1926">
        <f t="shared" si="62"/>
        <v>0</v>
      </c>
    </row>
    <row r="1927" spans="1:14">
      <c r="A1927" s="3" t="s">
        <v>4925</v>
      </c>
      <c r="B1927">
        <f>IFERROR(VLOOKUP(A1927,管理亚马逊库存!A:K,11,0),"")</f>
        <v>3</v>
      </c>
      <c r="C1927">
        <f>IFERROR(VLOOKUP(A1927,管理亚马逊库存!A:L,12,0),"")</f>
        <v>0</v>
      </c>
      <c r="D1927">
        <f>IFERROR(VLOOKUP(A1927,管理亚马逊库存!A:Q,17,0),"")</f>
        <v>3</v>
      </c>
      <c r="E1927">
        <f>IFERROR(VLOOKUP(A1927,管理亚马逊库存!A:R,18,0),"")</f>
        <v>0</v>
      </c>
      <c r="F1927">
        <f t="shared" si="61"/>
        <v>3</v>
      </c>
      <c r="G1927" t="str">
        <f>IFERROR(VLOOKUP(A1927,预留库存!A:G,7,0),0)</f>
        <v>No</v>
      </c>
      <c r="H1927">
        <f>IFERROR(VLOOKUP(A1927,预留库存!A:H,8,0),0)</f>
        <v>0</v>
      </c>
      <c r="I1927">
        <f>IFERROR(VLOOKUP(A1927,预留库存!A:F,6,0),0)</f>
        <v>21.98</v>
      </c>
      <c r="J1927">
        <f>IFERROR(VLOOKUP(A1927,库龄!B:K,9,0),0)</f>
        <v>0</v>
      </c>
      <c r="K1927">
        <f>IFERROR(VLOOKUP(A1927,库龄!B:L,10,0),0)</f>
        <v>0</v>
      </c>
      <c r="L1927">
        <f>IFERROR(VLOOKUP(A1927,库龄!B:M,11,0),0)</f>
        <v>0</v>
      </c>
      <c r="M1927">
        <f>IFERROR(VLOOKUP(A1927,库龄!B:N,12,0),0)</f>
        <v>0</v>
      </c>
      <c r="N1927">
        <f t="shared" si="62"/>
        <v>0</v>
      </c>
    </row>
    <row r="1928" spans="1:14">
      <c r="A1928" s="3" t="s">
        <v>4927</v>
      </c>
      <c r="B1928">
        <f>IFERROR(VLOOKUP(A1928,管理亚马逊库存!A:K,11,0),"")</f>
        <v>0</v>
      </c>
      <c r="C1928">
        <f>IFERROR(VLOOKUP(A1928,管理亚马逊库存!A:L,12,0),"")</f>
        <v>0</v>
      </c>
      <c r="D1928">
        <f>IFERROR(VLOOKUP(A1928,管理亚马逊库存!A:Q,17,0),"")</f>
        <v>0</v>
      </c>
      <c r="E1928">
        <f>IFERROR(VLOOKUP(A1928,管理亚马逊库存!A:R,18,0),"")</f>
        <v>0</v>
      </c>
      <c r="F1928">
        <f t="shared" si="61"/>
        <v>0</v>
      </c>
      <c r="G1928" t="str">
        <f>IFERROR(VLOOKUP(A1928,预留库存!A:G,7,0),0)</f>
        <v>No</v>
      </c>
      <c r="H1928">
        <f>IFERROR(VLOOKUP(A1928,预留库存!A:H,8,0),0)</f>
        <v>0</v>
      </c>
      <c r="I1928">
        <f>IFERROR(VLOOKUP(A1928,预留库存!A:F,6,0),0)</f>
        <v>22.98</v>
      </c>
      <c r="J1928">
        <f>IFERROR(VLOOKUP(A1928,库龄!B:K,9,0),0)</f>
        <v>0</v>
      </c>
      <c r="K1928">
        <f>IFERROR(VLOOKUP(A1928,库龄!B:L,10,0),0)</f>
        <v>0</v>
      </c>
      <c r="L1928">
        <f>IFERROR(VLOOKUP(A1928,库龄!B:M,11,0),0)</f>
        <v>0</v>
      </c>
      <c r="M1928">
        <f>IFERROR(VLOOKUP(A1928,库龄!B:N,12,0),0)</f>
        <v>0</v>
      </c>
      <c r="N1928">
        <f t="shared" si="62"/>
        <v>0</v>
      </c>
    </row>
    <row r="1929" spans="1:14">
      <c r="A1929" s="3" t="s">
        <v>4929</v>
      </c>
      <c r="B1929">
        <f>IFERROR(VLOOKUP(A1929,管理亚马逊库存!A:K,11,0),"")</f>
        <v>0</v>
      </c>
      <c r="C1929">
        <f>IFERROR(VLOOKUP(A1929,管理亚马逊库存!A:L,12,0),"")</f>
        <v>0</v>
      </c>
      <c r="D1929">
        <f>IFERROR(VLOOKUP(A1929,管理亚马逊库存!A:Q,17,0),"")</f>
        <v>0</v>
      </c>
      <c r="E1929">
        <f>IFERROR(VLOOKUP(A1929,管理亚马逊库存!A:R,18,0),"")</f>
        <v>0</v>
      </c>
      <c r="F1929">
        <f t="shared" si="61"/>
        <v>0</v>
      </c>
      <c r="G1929" t="str">
        <f>IFERROR(VLOOKUP(A1929,预留库存!A:G,7,0),0)</f>
        <v>No</v>
      </c>
      <c r="H1929">
        <f>IFERROR(VLOOKUP(A1929,预留库存!A:H,8,0),0)</f>
        <v>0</v>
      </c>
      <c r="I1929">
        <f>IFERROR(VLOOKUP(A1929,预留库存!A:F,6,0),0)</f>
        <v>22.98</v>
      </c>
      <c r="J1929">
        <f>IFERROR(VLOOKUP(A1929,库龄!B:K,9,0),0)</f>
        <v>0</v>
      </c>
      <c r="K1929">
        <f>IFERROR(VLOOKUP(A1929,库龄!B:L,10,0),0)</f>
        <v>0</v>
      </c>
      <c r="L1929">
        <f>IFERROR(VLOOKUP(A1929,库龄!B:M,11,0),0)</f>
        <v>0</v>
      </c>
      <c r="M1929">
        <f>IFERROR(VLOOKUP(A1929,库龄!B:N,12,0),0)</f>
        <v>0</v>
      </c>
      <c r="N1929">
        <f t="shared" si="62"/>
        <v>0</v>
      </c>
    </row>
    <row r="1930" spans="1:14">
      <c r="A1930" s="3" t="s">
        <v>4932</v>
      </c>
      <c r="B1930">
        <f>IFERROR(VLOOKUP(A1930,管理亚马逊库存!A:K,11,0),"")</f>
        <v>0</v>
      </c>
      <c r="C1930">
        <f>IFERROR(VLOOKUP(A1930,管理亚马逊库存!A:L,12,0),"")</f>
        <v>0</v>
      </c>
      <c r="D1930">
        <f>IFERROR(VLOOKUP(A1930,管理亚马逊库存!A:Q,17,0),"")</f>
        <v>0</v>
      </c>
      <c r="E1930">
        <f>IFERROR(VLOOKUP(A1930,管理亚马逊库存!A:R,18,0),"")</f>
        <v>0</v>
      </c>
      <c r="F1930">
        <f t="shared" si="61"/>
        <v>0</v>
      </c>
      <c r="G1930" t="str">
        <f>IFERROR(VLOOKUP(A1930,预留库存!A:G,7,0),0)</f>
        <v>No</v>
      </c>
      <c r="H1930">
        <f>IFERROR(VLOOKUP(A1930,预留库存!A:H,8,0),0)</f>
        <v>0</v>
      </c>
      <c r="I1930">
        <f>IFERROR(VLOOKUP(A1930,预留库存!A:F,6,0),0)</f>
        <v>22.98</v>
      </c>
      <c r="J1930">
        <f>IFERROR(VLOOKUP(A1930,库龄!B:K,9,0),0)</f>
        <v>0</v>
      </c>
      <c r="K1930">
        <f>IFERROR(VLOOKUP(A1930,库龄!B:L,10,0),0)</f>
        <v>0</v>
      </c>
      <c r="L1930">
        <f>IFERROR(VLOOKUP(A1930,库龄!B:M,11,0),0)</f>
        <v>0</v>
      </c>
      <c r="M1930">
        <f>IFERROR(VLOOKUP(A1930,库龄!B:N,12,0),0)</f>
        <v>0</v>
      </c>
      <c r="N1930">
        <f t="shared" si="62"/>
        <v>0</v>
      </c>
    </row>
    <row r="1931" spans="1:14">
      <c r="A1931" s="3" t="s">
        <v>4935</v>
      </c>
      <c r="B1931">
        <f>IFERROR(VLOOKUP(A1931,管理亚马逊库存!A:K,11,0),"")</f>
        <v>0</v>
      </c>
      <c r="C1931">
        <f>IFERROR(VLOOKUP(A1931,管理亚马逊库存!A:L,12,0),"")</f>
        <v>0</v>
      </c>
      <c r="D1931">
        <f>IFERROR(VLOOKUP(A1931,管理亚马逊库存!A:Q,17,0),"")</f>
        <v>0</v>
      </c>
      <c r="E1931">
        <f>IFERROR(VLOOKUP(A1931,管理亚马逊库存!A:R,18,0),"")</f>
        <v>0</v>
      </c>
      <c r="F1931">
        <f t="shared" si="61"/>
        <v>0</v>
      </c>
      <c r="G1931" t="str">
        <f>IFERROR(VLOOKUP(A1931,预留库存!A:G,7,0),0)</f>
        <v>No</v>
      </c>
      <c r="H1931">
        <f>IFERROR(VLOOKUP(A1931,预留库存!A:H,8,0),0)</f>
        <v>0</v>
      </c>
      <c r="I1931">
        <f>IFERROR(VLOOKUP(A1931,预留库存!A:F,6,0),0)</f>
        <v>22.98</v>
      </c>
      <c r="J1931">
        <f>IFERROR(VLOOKUP(A1931,库龄!B:K,9,0),0)</f>
        <v>0</v>
      </c>
      <c r="K1931">
        <f>IFERROR(VLOOKUP(A1931,库龄!B:L,10,0),0)</f>
        <v>0</v>
      </c>
      <c r="L1931">
        <f>IFERROR(VLOOKUP(A1931,库龄!B:M,11,0),0)</f>
        <v>0</v>
      </c>
      <c r="M1931">
        <f>IFERROR(VLOOKUP(A1931,库龄!B:N,12,0),0)</f>
        <v>0</v>
      </c>
      <c r="N1931">
        <f t="shared" si="62"/>
        <v>0</v>
      </c>
    </row>
    <row r="1932" spans="1:14">
      <c r="A1932" s="3" t="s">
        <v>4938</v>
      </c>
      <c r="B1932">
        <f>IFERROR(VLOOKUP(A1932,管理亚马逊库存!A:K,11,0),"")</f>
        <v>4</v>
      </c>
      <c r="C1932">
        <f>IFERROR(VLOOKUP(A1932,管理亚马逊库存!A:L,12,0),"")</f>
        <v>0</v>
      </c>
      <c r="D1932">
        <f>IFERROR(VLOOKUP(A1932,管理亚马逊库存!A:Q,17,0),"")</f>
        <v>1</v>
      </c>
      <c r="E1932">
        <f>IFERROR(VLOOKUP(A1932,管理亚马逊库存!A:R,18,0),"")</f>
        <v>0</v>
      </c>
      <c r="F1932">
        <f t="shared" si="61"/>
        <v>1</v>
      </c>
      <c r="G1932" t="str">
        <f>IFERROR(VLOOKUP(A1932,预留库存!A:G,7,0),0)</f>
        <v>No</v>
      </c>
      <c r="H1932">
        <f>IFERROR(VLOOKUP(A1932,预留库存!A:H,8,0),0)</f>
        <v>0</v>
      </c>
      <c r="I1932">
        <f>IFERROR(VLOOKUP(A1932,预留库存!A:F,6,0),0)</f>
        <v>22.98</v>
      </c>
      <c r="J1932">
        <f>IFERROR(VLOOKUP(A1932,库龄!B:K,9,0),0)</f>
        <v>0</v>
      </c>
      <c r="K1932">
        <f>IFERROR(VLOOKUP(A1932,库龄!B:L,10,0),0)</f>
        <v>0</v>
      </c>
      <c r="L1932">
        <f>IFERROR(VLOOKUP(A1932,库龄!B:M,11,0),0)</f>
        <v>0</v>
      </c>
      <c r="M1932">
        <f>IFERROR(VLOOKUP(A1932,库龄!B:N,12,0),0)</f>
        <v>0</v>
      </c>
      <c r="N1932">
        <f t="shared" si="62"/>
        <v>0</v>
      </c>
    </row>
    <row r="1933" spans="1:14">
      <c r="A1933" s="3" t="s">
        <v>4941</v>
      </c>
      <c r="B1933">
        <f>IFERROR(VLOOKUP(A1933,管理亚马逊库存!A:K,11,0),"")</f>
        <v>0</v>
      </c>
      <c r="C1933">
        <f>IFERROR(VLOOKUP(A1933,管理亚马逊库存!A:L,12,0),"")</f>
        <v>0</v>
      </c>
      <c r="D1933">
        <f>IFERROR(VLOOKUP(A1933,管理亚马逊库存!A:Q,17,0),"")</f>
        <v>0</v>
      </c>
      <c r="E1933">
        <f>IFERROR(VLOOKUP(A1933,管理亚马逊库存!A:R,18,0),"")</f>
        <v>0</v>
      </c>
      <c r="F1933">
        <f t="shared" si="61"/>
        <v>0</v>
      </c>
      <c r="G1933" t="str">
        <f>IFERROR(VLOOKUP(A1933,预留库存!A:G,7,0),0)</f>
        <v>No</v>
      </c>
      <c r="H1933">
        <f>IFERROR(VLOOKUP(A1933,预留库存!A:H,8,0),0)</f>
        <v>0</v>
      </c>
      <c r="I1933">
        <f>IFERROR(VLOOKUP(A1933,预留库存!A:F,6,0),0)</f>
        <v>22.98</v>
      </c>
      <c r="J1933">
        <f>IFERROR(VLOOKUP(A1933,库龄!B:K,9,0),0)</f>
        <v>0</v>
      </c>
      <c r="K1933">
        <f>IFERROR(VLOOKUP(A1933,库龄!B:L,10,0),0)</f>
        <v>0</v>
      </c>
      <c r="L1933">
        <f>IFERROR(VLOOKUP(A1933,库龄!B:M,11,0),0)</f>
        <v>0</v>
      </c>
      <c r="M1933">
        <f>IFERROR(VLOOKUP(A1933,库龄!B:N,12,0),0)</f>
        <v>0</v>
      </c>
      <c r="N1933">
        <f t="shared" si="62"/>
        <v>0</v>
      </c>
    </row>
    <row r="1934" spans="1:14">
      <c r="A1934" s="3" t="s">
        <v>4944</v>
      </c>
      <c r="B1934">
        <f>IFERROR(VLOOKUP(A1934,管理亚马逊库存!A:K,11,0),"")</f>
        <v>0</v>
      </c>
      <c r="C1934">
        <f>IFERROR(VLOOKUP(A1934,管理亚马逊库存!A:L,12,0),"")</f>
        <v>0</v>
      </c>
      <c r="D1934">
        <f>IFERROR(VLOOKUP(A1934,管理亚马逊库存!A:Q,17,0),"")</f>
        <v>0</v>
      </c>
      <c r="E1934">
        <f>IFERROR(VLOOKUP(A1934,管理亚马逊库存!A:R,18,0),"")</f>
        <v>0</v>
      </c>
      <c r="F1934">
        <f t="shared" si="61"/>
        <v>0</v>
      </c>
      <c r="G1934" t="str">
        <f>IFERROR(VLOOKUP(A1934,预留库存!A:G,7,0),0)</f>
        <v>No</v>
      </c>
      <c r="H1934">
        <f>IFERROR(VLOOKUP(A1934,预留库存!A:H,8,0),0)</f>
        <v>0</v>
      </c>
      <c r="I1934">
        <f>IFERROR(VLOOKUP(A1934,预留库存!A:F,6,0),0)</f>
        <v>22.98</v>
      </c>
      <c r="J1934">
        <f>IFERROR(VLOOKUP(A1934,库龄!B:K,9,0),0)</f>
        <v>0</v>
      </c>
      <c r="K1934">
        <f>IFERROR(VLOOKUP(A1934,库龄!B:L,10,0),0)</f>
        <v>0</v>
      </c>
      <c r="L1934">
        <f>IFERROR(VLOOKUP(A1934,库龄!B:M,11,0),0)</f>
        <v>0</v>
      </c>
      <c r="M1934">
        <f>IFERROR(VLOOKUP(A1934,库龄!B:N,12,0),0)</f>
        <v>0</v>
      </c>
      <c r="N1934">
        <f t="shared" si="62"/>
        <v>0</v>
      </c>
    </row>
    <row r="1935" spans="1:14">
      <c r="A1935" s="3" t="s">
        <v>4947</v>
      </c>
      <c r="B1935">
        <f>IFERROR(VLOOKUP(A1935,管理亚马逊库存!A:K,11,0),"")</f>
        <v>0</v>
      </c>
      <c r="C1935">
        <f>IFERROR(VLOOKUP(A1935,管理亚马逊库存!A:L,12,0),"")</f>
        <v>0</v>
      </c>
      <c r="D1935">
        <f>IFERROR(VLOOKUP(A1935,管理亚马逊库存!A:Q,17,0),"")</f>
        <v>0</v>
      </c>
      <c r="E1935">
        <f>IFERROR(VLOOKUP(A1935,管理亚马逊库存!A:R,18,0),"")</f>
        <v>0</v>
      </c>
      <c r="F1935">
        <f t="shared" si="61"/>
        <v>0</v>
      </c>
      <c r="G1935" t="str">
        <f>IFERROR(VLOOKUP(A1935,预留库存!A:G,7,0),0)</f>
        <v>No</v>
      </c>
      <c r="H1935">
        <f>IFERROR(VLOOKUP(A1935,预留库存!A:H,8,0),0)</f>
        <v>0</v>
      </c>
      <c r="I1935">
        <f>IFERROR(VLOOKUP(A1935,预留库存!A:F,6,0),0)</f>
        <v>22.98</v>
      </c>
      <c r="J1935">
        <f>IFERROR(VLOOKUP(A1935,库龄!B:K,9,0),0)</f>
        <v>0</v>
      </c>
      <c r="K1935">
        <f>IFERROR(VLOOKUP(A1935,库龄!B:L,10,0),0)</f>
        <v>0</v>
      </c>
      <c r="L1935">
        <f>IFERROR(VLOOKUP(A1935,库龄!B:M,11,0),0)</f>
        <v>0</v>
      </c>
      <c r="M1935">
        <f>IFERROR(VLOOKUP(A1935,库龄!B:N,12,0),0)</f>
        <v>0</v>
      </c>
      <c r="N1935">
        <f t="shared" si="62"/>
        <v>0</v>
      </c>
    </row>
    <row r="1936" spans="1:14">
      <c r="A1936" s="3" t="s">
        <v>4950</v>
      </c>
      <c r="B1936">
        <f>IFERROR(VLOOKUP(A1936,管理亚马逊库存!A:K,11,0),"")</f>
        <v>9</v>
      </c>
      <c r="C1936">
        <f>IFERROR(VLOOKUP(A1936,管理亚马逊库存!A:L,12,0),"")</f>
        <v>0</v>
      </c>
      <c r="D1936">
        <f>IFERROR(VLOOKUP(A1936,管理亚马逊库存!A:Q,17,0),"")</f>
        <v>0</v>
      </c>
      <c r="E1936">
        <f>IFERROR(VLOOKUP(A1936,管理亚马逊库存!A:R,18,0),"")</f>
        <v>0</v>
      </c>
      <c r="F1936">
        <f t="shared" si="61"/>
        <v>0</v>
      </c>
      <c r="G1936" t="str">
        <f>IFERROR(VLOOKUP(A1936,预留库存!A:G,7,0),0)</f>
        <v>No</v>
      </c>
      <c r="H1936">
        <f>IFERROR(VLOOKUP(A1936,预留库存!A:H,8,0),0)</f>
        <v>0</v>
      </c>
      <c r="I1936">
        <f>IFERROR(VLOOKUP(A1936,预留库存!A:F,6,0),0)</f>
        <v>22.98</v>
      </c>
      <c r="J1936">
        <f>IFERROR(VLOOKUP(A1936,库龄!B:K,9,0),0)</f>
        <v>0</v>
      </c>
      <c r="K1936">
        <f>IFERROR(VLOOKUP(A1936,库龄!B:L,10,0),0)</f>
        <v>0</v>
      </c>
      <c r="L1936">
        <f>IFERROR(VLOOKUP(A1936,库龄!B:M,11,0),0)</f>
        <v>0</v>
      </c>
      <c r="M1936">
        <f>IFERROR(VLOOKUP(A1936,库龄!B:N,12,0),0)</f>
        <v>0</v>
      </c>
      <c r="N1936">
        <f t="shared" si="62"/>
        <v>0</v>
      </c>
    </row>
    <row r="1937" spans="1:14">
      <c r="A1937" s="3" t="s">
        <v>4953</v>
      </c>
      <c r="B1937">
        <f>IFERROR(VLOOKUP(A1937,管理亚马逊库存!A:K,11,0),"")</f>
        <v>0</v>
      </c>
      <c r="C1937">
        <f>IFERROR(VLOOKUP(A1937,管理亚马逊库存!A:L,12,0),"")</f>
        <v>0</v>
      </c>
      <c r="D1937">
        <f>IFERROR(VLOOKUP(A1937,管理亚马逊库存!A:Q,17,0),"")</f>
        <v>0</v>
      </c>
      <c r="E1937">
        <f>IFERROR(VLOOKUP(A1937,管理亚马逊库存!A:R,18,0),"")</f>
        <v>0</v>
      </c>
      <c r="F1937">
        <f t="shared" si="61"/>
        <v>0</v>
      </c>
      <c r="G1937" t="str">
        <f>IFERROR(VLOOKUP(A1937,预留库存!A:G,7,0),0)</f>
        <v>No</v>
      </c>
      <c r="H1937">
        <f>IFERROR(VLOOKUP(A1937,预留库存!A:H,8,0),0)</f>
        <v>0</v>
      </c>
      <c r="I1937">
        <f>IFERROR(VLOOKUP(A1937,预留库存!A:F,6,0),0)</f>
        <v>22.98</v>
      </c>
      <c r="J1937">
        <f>IFERROR(VLOOKUP(A1937,库龄!B:K,9,0),0)</f>
        <v>0</v>
      </c>
      <c r="K1937">
        <f>IFERROR(VLOOKUP(A1937,库龄!B:L,10,0),0)</f>
        <v>0</v>
      </c>
      <c r="L1937">
        <f>IFERROR(VLOOKUP(A1937,库龄!B:M,11,0),0)</f>
        <v>0</v>
      </c>
      <c r="M1937">
        <f>IFERROR(VLOOKUP(A1937,库龄!B:N,12,0),0)</f>
        <v>0</v>
      </c>
      <c r="N1937">
        <f t="shared" si="62"/>
        <v>0</v>
      </c>
    </row>
    <row r="1938" spans="1:14">
      <c r="A1938" s="3" t="s">
        <v>4956</v>
      </c>
      <c r="B1938">
        <f>IFERROR(VLOOKUP(A1938,管理亚马逊库存!A:K,11,0),"")</f>
        <v>0</v>
      </c>
      <c r="C1938">
        <f>IFERROR(VLOOKUP(A1938,管理亚马逊库存!A:L,12,0),"")</f>
        <v>0</v>
      </c>
      <c r="D1938">
        <f>IFERROR(VLOOKUP(A1938,管理亚马逊库存!A:Q,17,0),"")</f>
        <v>0</v>
      </c>
      <c r="E1938">
        <f>IFERROR(VLOOKUP(A1938,管理亚马逊库存!A:R,18,0),"")</f>
        <v>0</v>
      </c>
      <c r="F1938">
        <f t="shared" si="61"/>
        <v>0</v>
      </c>
      <c r="G1938" t="str">
        <f>IFERROR(VLOOKUP(A1938,预留库存!A:G,7,0),0)</f>
        <v>No</v>
      </c>
      <c r="H1938">
        <f>IFERROR(VLOOKUP(A1938,预留库存!A:H,8,0),0)</f>
        <v>0</v>
      </c>
      <c r="I1938">
        <f>IFERROR(VLOOKUP(A1938,预留库存!A:F,6,0),0)</f>
        <v>22.98</v>
      </c>
      <c r="J1938">
        <f>IFERROR(VLOOKUP(A1938,库龄!B:K,9,0),0)</f>
        <v>0</v>
      </c>
      <c r="K1938">
        <f>IFERROR(VLOOKUP(A1938,库龄!B:L,10,0),0)</f>
        <v>0</v>
      </c>
      <c r="L1938">
        <f>IFERROR(VLOOKUP(A1938,库龄!B:M,11,0),0)</f>
        <v>0</v>
      </c>
      <c r="M1938">
        <f>IFERROR(VLOOKUP(A1938,库龄!B:N,12,0),0)</f>
        <v>0</v>
      </c>
      <c r="N1938">
        <f t="shared" si="62"/>
        <v>0</v>
      </c>
    </row>
    <row r="1939" spans="1:14">
      <c r="A1939" s="3" t="s">
        <v>4959</v>
      </c>
      <c r="B1939">
        <f>IFERROR(VLOOKUP(A1939,管理亚马逊库存!A:K,11,0),"")</f>
        <v>0</v>
      </c>
      <c r="C1939">
        <f>IFERROR(VLOOKUP(A1939,管理亚马逊库存!A:L,12,0),"")</f>
        <v>0</v>
      </c>
      <c r="D1939">
        <f>IFERROR(VLOOKUP(A1939,管理亚马逊库存!A:Q,17,0),"")</f>
        <v>0</v>
      </c>
      <c r="E1939">
        <f>IFERROR(VLOOKUP(A1939,管理亚马逊库存!A:R,18,0),"")</f>
        <v>0</v>
      </c>
      <c r="F1939">
        <f t="shared" si="61"/>
        <v>0</v>
      </c>
      <c r="G1939" t="str">
        <f>IFERROR(VLOOKUP(A1939,预留库存!A:G,7,0),0)</f>
        <v>No</v>
      </c>
      <c r="H1939">
        <f>IFERROR(VLOOKUP(A1939,预留库存!A:H,8,0),0)</f>
        <v>0</v>
      </c>
      <c r="I1939">
        <f>IFERROR(VLOOKUP(A1939,预留库存!A:F,6,0),0)</f>
        <v>19</v>
      </c>
      <c r="J1939">
        <f>IFERROR(VLOOKUP(A1939,库龄!B:K,9,0),0)</f>
        <v>0</v>
      </c>
      <c r="K1939">
        <f>IFERROR(VLOOKUP(A1939,库龄!B:L,10,0),0)</f>
        <v>0</v>
      </c>
      <c r="L1939">
        <f>IFERROR(VLOOKUP(A1939,库龄!B:M,11,0),0)</f>
        <v>0</v>
      </c>
      <c r="M1939">
        <f>IFERROR(VLOOKUP(A1939,库龄!B:N,12,0),0)</f>
        <v>0</v>
      </c>
      <c r="N1939">
        <f t="shared" si="62"/>
        <v>0</v>
      </c>
    </row>
    <row r="1940" spans="1:14">
      <c r="A1940" s="3" t="s">
        <v>4962</v>
      </c>
      <c r="B1940">
        <f>IFERROR(VLOOKUP(A1940,管理亚马逊库存!A:K,11,0),"")</f>
        <v>0</v>
      </c>
      <c r="C1940">
        <f>IFERROR(VLOOKUP(A1940,管理亚马逊库存!A:L,12,0),"")</f>
        <v>0</v>
      </c>
      <c r="D1940">
        <f>IFERROR(VLOOKUP(A1940,管理亚马逊库存!A:Q,17,0),"")</f>
        <v>0</v>
      </c>
      <c r="E1940">
        <f>IFERROR(VLOOKUP(A1940,管理亚马逊库存!A:R,18,0),"")</f>
        <v>0</v>
      </c>
      <c r="F1940">
        <f t="shared" si="61"/>
        <v>0</v>
      </c>
      <c r="G1940" t="str">
        <f>IFERROR(VLOOKUP(A1940,预留库存!A:G,7,0),0)</f>
        <v>No</v>
      </c>
      <c r="H1940">
        <f>IFERROR(VLOOKUP(A1940,预留库存!A:H,8,0),0)</f>
        <v>0</v>
      </c>
      <c r="I1940">
        <f>IFERROR(VLOOKUP(A1940,预留库存!A:F,6,0),0)</f>
        <v>20</v>
      </c>
      <c r="J1940">
        <f>IFERROR(VLOOKUP(A1940,库龄!B:K,9,0),0)</f>
        <v>0</v>
      </c>
      <c r="K1940">
        <f>IFERROR(VLOOKUP(A1940,库龄!B:L,10,0),0)</f>
        <v>0</v>
      </c>
      <c r="L1940">
        <f>IFERROR(VLOOKUP(A1940,库龄!B:M,11,0),0)</f>
        <v>0</v>
      </c>
      <c r="M1940">
        <f>IFERROR(VLOOKUP(A1940,库龄!B:N,12,0),0)</f>
        <v>0</v>
      </c>
      <c r="N1940">
        <f t="shared" si="62"/>
        <v>0</v>
      </c>
    </row>
    <row r="1941" spans="1:14">
      <c r="A1941" s="3" t="s">
        <v>4965</v>
      </c>
      <c r="B1941">
        <f>IFERROR(VLOOKUP(A1941,管理亚马逊库存!A:K,11,0),"")</f>
        <v>0</v>
      </c>
      <c r="C1941">
        <f>IFERROR(VLOOKUP(A1941,管理亚马逊库存!A:L,12,0),"")</f>
        <v>0</v>
      </c>
      <c r="D1941">
        <f>IFERROR(VLOOKUP(A1941,管理亚马逊库存!A:Q,17,0),"")</f>
        <v>0</v>
      </c>
      <c r="E1941">
        <f>IFERROR(VLOOKUP(A1941,管理亚马逊库存!A:R,18,0),"")</f>
        <v>0</v>
      </c>
      <c r="F1941">
        <f t="shared" si="61"/>
        <v>0</v>
      </c>
      <c r="G1941" t="str">
        <f>IFERROR(VLOOKUP(A1941,预留库存!A:G,7,0),0)</f>
        <v>No</v>
      </c>
      <c r="H1941">
        <f>IFERROR(VLOOKUP(A1941,预留库存!A:H,8,0),0)</f>
        <v>0</v>
      </c>
      <c r="I1941">
        <f>IFERROR(VLOOKUP(A1941,预留库存!A:F,6,0),0)</f>
        <v>21</v>
      </c>
      <c r="J1941">
        <f>IFERROR(VLOOKUP(A1941,库龄!B:K,9,0),0)</f>
        <v>0</v>
      </c>
      <c r="K1941">
        <f>IFERROR(VLOOKUP(A1941,库龄!B:L,10,0),0)</f>
        <v>0</v>
      </c>
      <c r="L1941">
        <f>IFERROR(VLOOKUP(A1941,库龄!B:M,11,0),0)</f>
        <v>0</v>
      </c>
      <c r="M1941">
        <f>IFERROR(VLOOKUP(A1941,库龄!B:N,12,0),0)</f>
        <v>0</v>
      </c>
      <c r="N1941">
        <f t="shared" si="62"/>
        <v>0</v>
      </c>
    </row>
    <row r="1942" spans="1:14">
      <c r="A1942" s="3" t="s">
        <v>4968</v>
      </c>
      <c r="B1942">
        <f>IFERROR(VLOOKUP(A1942,管理亚马逊库存!A:K,11,0),"")</f>
        <v>0</v>
      </c>
      <c r="C1942">
        <f>IFERROR(VLOOKUP(A1942,管理亚马逊库存!A:L,12,0),"")</f>
        <v>0</v>
      </c>
      <c r="D1942">
        <f>IFERROR(VLOOKUP(A1942,管理亚马逊库存!A:Q,17,0),"")</f>
        <v>0</v>
      </c>
      <c r="E1942">
        <f>IFERROR(VLOOKUP(A1942,管理亚马逊库存!A:R,18,0),"")</f>
        <v>0</v>
      </c>
      <c r="F1942">
        <f t="shared" si="61"/>
        <v>0</v>
      </c>
      <c r="G1942" t="str">
        <f>IFERROR(VLOOKUP(A1942,预留库存!A:G,7,0),0)</f>
        <v>No</v>
      </c>
      <c r="H1942">
        <f>IFERROR(VLOOKUP(A1942,预留库存!A:H,8,0),0)</f>
        <v>0</v>
      </c>
      <c r="I1942">
        <f>IFERROR(VLOOKUP(A1942,预留库存!A:F,6,0),0)</f>
        <v>22</v>
      </c>
      <c r="J1942">
        <f>IFERROR(VLOOKUP(A1942,库龄!B:K,9,0),0)</f>
        <v>0</v>
      </c>
      <c r="K1942">
        <f>IFERROR(VLOOKUP(A1942,库龄!B:L,10,0),0)</f>
        <v>0</v>
      </c>
      <c r="L1942">
        <f>IFERROR(VLOOKUP(A1942,库龄!B:M,11,0),0)</f>
        <v>0</v>
      </c>
      <c r="M1942">
        <f>IFERROR(VLOOKUP(A1942,库龄!B:N,12,0),0)</f>
        <v>0</v>
      </c>
      <c r="N1942">
        <f t="shared" si="62"/>
        <v>0</v>
      </c>
    </row>
    <row r="1943" spans="1:14">
      <c r="A1943" s="3" t="s">
        <v>4971</v>
      </c>
      <c r="B1943">
        <f>IFERROR(VLOOKUP(A1943,管理亚马逊库存!A:K,11,0),"")</f>
        <v>0</v>
      </c>
      <c r="C1943">
        <f>IFERROR(VLOOKUP(A1943,管理亚马逊库存!A:L,12,0),"")</f>
        <v>0</v>
      </c>
      <c r="D1943">
        <f>IFERROR(VLOOKUP(A1943,管理亚马逊库存!A:Q,17,0),"")</f>
        <v>0</v>
      </c>
      <c r="E1943">
        <f>IFERROR(VLOOKUP(A1943,管理亚马逊库存!A:R,18,0),"")</f>
        <v>0</v>
      </c>
      <c r="F1943">
        <f t="shared" si="61"/>
        <v>0</v>
      </c>
      <c r="G1943" t="str">
        <f>IFERROR(VLOOKUP(A1943,预留库存!A:G,7,0),0)</f>
        <v>No</v>
      </c>
      <c r="H1943">
        <f>IFERROR(VLOOKUP(A1943,预留库存!A:H,8,0),0)</f>
        <v>0</v>
      </c>
      <c r="I1943">
        <f>IFERROR(VLOOKUP(A1943,预留库存!A:F,6,0),0)</f>
        <v>23</v>
      </c>
      <c r="J1943">
        <f>IFERROR(VLOOKUP(A1943,库龄!B:K,9,0),0)</f>
        <v>0</v>
      </c>
      <c r="K1943">
        <f>IFERROR(VLOOKUP(A1943,库龄!B:L,10,0),0)</f>
        <v>0</v>
      </c>
      <c r="L1943">
        <f>IFERROR(VLOOKUP(A1943,库龄!B:M,11,0),0)</f>
        <v>0</v>
      </c>
      <c r="M1943">
        <f>IFERROR(VLOOKUP(A1943,库龄!B:N,12,0),0)</f>
        <v>0</v>
      </c>
      <c r="N1943">
        <f t="shared" si="62"/>
        <v>0</v>
      </c>
    </row>
    <row r="1944" spans="1:14">
      <c r="A1944" s="3" t="s">
        <v>4974</v>
      </c>
      <c r="B1944">
        <f>IFERROR(VLOOKUP(A1944,管理亚马逊库存!A:K,11,0),"")</f>
        <v>2</v>
      </c>
      <c r="C1944">
        <f>IFERROR(VLOOKUP(A1944,管理亚马逊库存!A:L,12,0),"")</f>
        <v>0</v>
      </c>
      <c r="D1944">
        <f>IFERROR(VLOOKUP(A1944,管理亚马逊库存!A:Q,17,0),"")</f>
        <v>0</v>
      </c>
      <c r="E1944">
        <f>IFERROR(VLOOKUP(A1944,管理亚马逊库存!A:R,18,0),"")</f>
        <v>0</v>
      </c>
      <c r="F1944">
        <f t="shared" si="61"/>
        <v>0</v>
      </c>
      <c r="G1944" t="str">
        <f>IFERROR(VLOOKUP(A1944,预留库存!A:G,7,0),0)</f>
        <v>No</v>
      </c>
      <c r="H1944">
        <f>IFERROR(VLOOKUP(A1944,预留库存!A:H,8,0),0)</f>
        <v>0</v>
      </c>
      <c r="I1944">
        <f>IFERROR(VLOOKUP(A1944,预留库存!A:F,6,0),0)</f>
        <v>35</v>
      </c>
      <c r="J1944">
        <f>IFERROR(VLOOKUP(A1944,库龄!B:K,9,0),0)</f>
        <v>0</v>
      </c>
      <c r="K1944">
        <f>IFERROR(VLOOKUP(A1944,库龄!B:L,10,0),0)</f>
        <v>2</v>
      </c>
      <c r="L1944">
        <f>IFERROR(VLOOKUP(A1944,库龄!B:M,11,0),0)</f>
        <v>0</v>
      </c>
      <c r="M1944">
        <f>IFERROR(VLOOKUP(A1944,库龄!B:N,12,0),0)</f>
        <v>0</v>
      </c>
      <c r="N1944">
        <f t="shared" si="62"/>
        <v>2</v>
      </c>
    </row>
    <row r="1945" spans="1:14">
      <c r="A1945" s="3" t="s">
        <v>4977</v>
      </c>
      <c r="B1945">
        <f>IFERROR(VLOOKUP(A1945,管理亚马逊库存!A:K,11,0),"")</f>
        <v>2</v>
      </c>
      <c r="C1945">
        <f>IFERROR(VLOOKUP(A1945,管理亚马逊库存!A:L,12,0),"")</f>
        <v>0</v>
      </c>
      <c r="D1945">
        <f>IFERROR(VLOOKUP(A1945,管理亚马逊库存!A:Q,17,0),"")</f>
        <v>0</v>
      </c>
      <c r="E1945">
        <f>IFERROR(VLOOKUP(A1945,管理亚马逊库存!A:R,18,0),"")</f>
        <v>0</v>
      </c>
      <c r="F1945">
        <f t="shared" si="61"/>
        <v>0</v>
      </c>
      <c r="G1945" t="str">
        <f>IFERROR(VLOOKUP(A1945,预留库存!A:G,7,0),0)</f>
        <v>No</v>
      </c>
      <c r="H1945">
        <f>IFERROR(VLOOKUP(A1945,预留库存!A:H,8,0),0)</f>
        <v>0</v>
      </c>
      <c r="I1945">
        <f>IFERROR(VLOOKUP(A1945,预留库存!A:F,6,0),0)</f>
        <v>35</v>
      </c>
      <c r="J1945">
        <f>IFERROR(VLOOKUP(A1945,库龄!B:K,9,0),0)</f>
        <v>0</v>
      </c>
      <c r="K1945">
        <f>IFERROR(VLOOKUP(A1945,库龄!B:L,10,0),0)</f>
        <v>2</v>
      </c>
      <c r="L1945">
        <f>IFERROR(VLOOKUP(A1945,库龄!B:M,11,0),0)</f>
        <v>0</v>
      </c>
      <c r="M1945">
        <f>IFERROR(VLOOKUP(A1945,库龄!B:N,12,0),0)</f>
        <v>0</v>
      </c>
      <c r="N1945">
        <f t="shared" si="62"/>
        <v>2</v>
      </c>
    </row>
    <row r="1946" spans="1:14">
      <c r="A1946" s="3" t="s">
        <v>4980</v>
      </c>
      <c r="B1946">
        <f>IFERROR(VLOOKUP(A1946,管理亚马逊库存!A:K,11,0),"")</f>
        <v>0</v>
      </c>
      <c r="C1946">
        <f>IFERROR(VLOOKUP(A1946,管理亚马逊库存!A:L,12,0),"")</f>
        <v>0</v>
      </c>
      <c r="D1946">
        <f>IFERROR(VLOOKUP(A1946,管理亚马逊库存!A:Q,17,0),"")</f>
        <v>0</v>
      </c>
      <c r="E1946">
        <f>IFERROR(VLOOKUP(A1946,管理亚马逊库存!A:R,18,0),"")</f>
        <v>0</v>
      </c>
      <c r="F1946">
        <f t="shared" si="61"/>
        <v>0</v>
      </c>
      <c r="G1946" t="str">
        <f>IFERROR(VLOOKUP(A1946,预留库存!A:G,7,0),0)</f>
        <v>No</v>
      </c>
      <c r="H1946">
        <f>IFERROR(VLOOKUP(A1946,预留库存!A:H,8,0),0)</f>
        <v>0</v>
      </c>
      <c r="I1946">
        <f>IFERROR(VLOOKUP(A1946,预留库存!A:F,6,0),0)</f>
        <v>35</v>
      </c>
      <c r="J1946">
        <f>IFERROR(VLOOKUP(A1946,库龄!B:K,9,0),0)</f>
        <v>0</v>
      </c>
      <c r="K1946">
        <f>IFERROR(VLOOKUP(A1946,库龄!B:L,10,0),0)</f>
        <v>0</v>
      </c>
      <c r="L1946">
        <f>IFERROR(VLOOKUP(A1946,库龄!B:M,11,0),0)</f>
        <v>0</v>
      </c>
      <c r="M1946">
        <f>IFERROR(VLOOKUP(A1946,库龄!B:N,12,0),0)</f>
        <v>0</v>
      </c>
      <c r="N1946">
        <f t="shared" si="62"/>
        <v>0</v>
      </c>
    </row>
    <row r="1947" spans="1:14">
      <c r="A1947" s="3" t="s">
        <v>4983</v>
      </c>
      <c r="B1947">
        <f>IFERROR(VLOOKUP(A1947,管理亚马逊库存!A:K,11,0),"")</f>
        <v>2</v>
      </c>
      <c r="C1947">
        <f>IFERROR(VLOOKUP(A1947,管理亚马逊库存!A:L,12,0),"")</f>
        <v>0</v>
      </c>
      <c r="D1947">
        <f>IFERROR(VLOOKUP(A1947,管理亚马逊库存!A:Q,17,0),"")</f>
        <v>0</v>
      </c>
      <c r="E1947">
        <f>IFERROR(VLOOKUP(A1947,管理亚马逊库存!A:R,18,0),"")</f>
        <v>0</v>
      </c>
      <c r="F1947">
        <f t="shared" si="61"/>
        <v>0</v>
      </c>
      <c r="G1947" t="str">
        <f>IFERROR(VLOOKUP(A1947,预留库存!A:G,7,0),0)</f>
        <v>No</v>
      </c>
      <c r="H1947">
        <f>IFERROR(VLOOKUP(A1947,预留库存!A:H,8,0),0)</f>
        <v>0</v>
      </c>
      <c r="I1947">
        <f>IFERROR(VLOOKUP(A1947,预留库存!A:F,6,0),0)</f>
        <v>35</v>
      </c>
      <c r="J1947">
        <f>IFERROR(VLOOKUP(A1947,库龄!B:K,9,0),0)</f>
        <v>0</v>
      </c>
      <c r="K1947">
        <f>IFERROR(VLOOKUP(A1947,库龄!B:L,10,0),0)</f>
        <v>2</v>
      </c>
      <c r="L1947">
        <f>IFERROR(VLOOKUP(A1947,库龄!B:M,11,0),0)</f>
        <v>0</v>
      </c>
      <c r="M1947">
        <f>IFERROR(VLOOKUP(A1947,库龄!B:N,12,0),0)</f>
        <v>0</v>
      </c>
      <c r="N1947">
        <f t="shared" si="62"/>
        <v>2</v>
      </c>
    </row>
    <row r="1948" spans="1:14">
      <c r="A1948" s="3" t="s">
        <v>4986</v>
      </c>
      <c r="B1948">
        <f>IFERROR(VLOOKUP(A1948,管理亚马逊库存!A:K,11,0),"")</f>
        <v>3</v>
      </c>
      <c r="C1948">
        <f>IFERROR(VLOOKUP(A1948,管理亚马逊库存!A:L,12,0),"")</f>
        <v>0</v>
      </c>
      <c r="D1948">
        <f>IFERROR(VLOOKUP(A1948,管理亚马逊库存!A:Q,17,0),"")</f>
        <v>0</v>
      </c>
      <c r="E1948">
        <f>IFERROR(VLOOKUP(A1948,管理亚马逊库存!A:R,18,0),"")</f>
        <v>0</v>
      </c>
      <c r="F1948">
        <f t="shared" si="61"/>
        <v>0</v>
      </c>
      <c r="G1948" t="str">
        <f>IFERROR(VLOOKUP(A1948,预留库存!A:G,7,0),0)</f>
        <v>No</v>
      </c>
      <c r="H1948">
        <f>IFERROR(VLOOKUP(A1948,预留库存!A:H,8,0),0)</f>
        <v>0</v>
      </c>
      <c r="I1948">
        <f>IFERROR(VLOOKUP(A1948,预留库存!A:F,6,0),0)</f>
        <v>35</v>
      </c>
      <c r="J1948">
        <f>IFERROR(VLOOKUP(A1948,库龄!B:K,9,0),0)</f>
        <v>0</v>
      </c>
      <c r="K1948">
        <f>IFERROR(VLOOKUP(A1948,库龄!B:L,10,0),0)</f>
        <v>3</v>
      </c>
      <c r="L1948">
        <f>IFERROR(VLOOKUP(A1948,库龄!B:M,11,0),0)</f>
        <v>0</v>
      </c>
      <c r="M1948">
        <f>IFERROR(VLOOKUP(A1948,库龄!B:N,12,0),0)</f>
        <v>0</v>
      </c>
      <c r="N1948">
        <f t="shared" si="62"/>
        <v>3</v>
      </c>
    </row>
    <row r="1949" spans="1:14">
      <c r="A1949" s="3" t="s">
        <v>4989</v>
      </c>
      <c r="B1949">
        <f>IFERROR(VLOOKUP(A1949,管理亚马逊库存!A:K,11,0),"")</f>
        <v>1</v>
      </c>
      <c r="C1949">
        <f>IFERROR(VLOOKUP(A1949,管理亚马逊库存!A:L,12,0),"")</f>
        <v>0</v>
      </c>
      <c r="D1949">
        <f>IFERROR(VLOOKUP(A1949,管理亚马逊库存!A:Q,17,0),"")</f>
        <v>0</v>
      </c>
      <c r="E1949">
        <f>IFERROR(VLOOKUP(A1949,管理亚马逊库存!A:R,18,0),"")</f>
        <v>0</v>
      </c>
      <c r="F1949">
        <f t="shared" si="61"/>
        <v>0</v>
      </c>
      <c r="G1949" t="str">
        <f>IFERROR(VLOOKUP(A1949,预留库存!A:G,7,0),0)</f>
        <v>No</v>
      </c>
      <c r="H1949">
        <f>IFERROR(VLOOKUP(A1949,预留库存!A:H,8,0),0)</f>
        <v>0</v>
      </c>
      <c r="I1949">
        <f>IFERROR(VLOOKUP(A1949,预留库存!A:F,6,0),0)</f>
        <v>35</v>
      </c>
      <c r="J1949">
        <f>IFERROR(VLOOKUP(A1949,库龄!B:K,9,0),0)</f>
        <v>1</v>
      </c>
      <c r="K1949">
        <f>IFERROR(VLOOKUP(A1949,库龄!B:L,10,0),0)</f>
        <v>0</v>
      </c>
      <c r="L1949">
        <f>IFERROR(VLOOKUP(A1949,库龄!B:M,11,0),0)</f>
        <v>0</v>
      </c>
      <c r="M1949">
        <f>IFERROR(VLOOKUP(A1949,库龄!B:N,12,0),0)</f>
        <v>0</v>
      </c>
      <c r="N1949">
        <f t="shared" si="62"/>
        <v>1</v>
      </c>
    </row>
    <row r="1950" spans="1:14">
      <c r="A1950" s="3" t="s">
        <v>4992</v>
      </c>
      <c r="B1950">
        <f>IFERROR(VLOOKUP(A1950,管理亚马逊库存!A:K,11,0),"")</f>
        <v>2</v>
      </c>
      <c r="C1950">
        <f>IFERROR(VLOOKUP(A1950,管理亚马逊库存!A:L,12,0),"")</f>
        <v>0</v>
      </c>
      <c r="D1950">
        <f>IFERROR(VLOOKUP(A1950,管理亚马逊库存!A:Q,17,0),"")</f>
        <v>0</v>
      </c>
      <c r="E1950">
        <f>IFERROR(VLOOKUP(A1950,管理亚马逊库存!A:R,18,0),"")</f>
        <v>0</v>
      </c>
      <c r="F1950">
        <f t="shared" si="61"/>
        <v>0</v>
      </c>
      <c r="G1950" t="str">
        <f>IFERROR(VLOOKUP(A1950,预留库存!A:G,7,0),0)</f>
        <v>No</v>
      </c>
      <c r="H1950">
        <f>IFERROR(VLOOKUP(A1950,预留库存!A:H,8,0),0)</f>
        <v>0</v>
      </c>
      <c r="I1950">
        <f>IFERROR(VLOOKUP(A1950,预留库存!A:F,6,0),0)</f>
        <v>35</v>
      </c>
      <c r="J1950">
        <f>IFERROR(VLOOKUP(A1950,库龄!B:K,9,0),0)</f>
        <v>0</v>
      </c>
      <c r="K1950">
        <f>IFERROR(VLOOKUP(A1950,库龄!B:L,10,0),0)</f>
        <v>2</v>
      </c>
      <c r="L1950">
        <f>IFERROR(VLOOKUP(A1950,库龄!B:M,11,0),0)</f>
        <v>0</v>
      </c>
      <c r="M1950">
        <f>IFERROR(VLOOKUP(A1950,库龄!B:N,12,0),0)</f>
        <v>0</v>
      </c>
      <c r="N1950">
        <f t="shared" si="62"/>
        <v>2</v>
      </c>
    </row>
    <row r="1951" spans="1:14">
      <c r="A1951" s="3" t="s">
        <v>4995</v>
      </c>
      <c r="B1951">
        <f>IFERROR(VLOOKUP(A1951,管理亚马逊库存!A:K,11,0),"")</f>
        <v>3</v>
      </c>
      <c r="C1951">
        <f>IFERROR(VLOOKUP(A1951,管理亚马逊库存!A:L,12,0),"")</f>
        <v>0</v>
      </c>
      <c r="D1951">
        <f>IFERROR(VLOOKUP(A1951,管理亚马逊库存!A:Q,17,0),"")</f>
        <v>0</v>
      </c>
      <c r="E1951">
        <f>IFERROR(VLOOKUP(A1951,管理亚马逊库存!A:R,18,0),"")</f>
        <v>0</v>
      </c>
      <c r="F1951">
        <f t="shared" si="61"/>
        <v>0</v>
      </c>
      <c r="G1951" t="str">
        <f>IFERROR(VLOOKUP(A1951,预留库存!A:G,7,0),0)</f>
        <v>No</v>
      </c>
      <c r="H1951">
        <f>IFERROR(VLOOKUP(A1951,预留库存!A:H,8,0),0)</f>
        <v>0</v>
      </c>
      <c r="I1951">
        <f>IFERROR(VLOOKUP(A1951,预留库存!A:F,6,0),0)</f>
        <v>35</v>
      </c>
      <c r="J1951">
        <f>IFERROR(VLOOKUP(A1951,库龄!B:K,9,0),0)</f>
        <v>0</v>
      </c>
      <c r="K1951">
        <f>IFERROR(VLOOKUP(A1951,库龄!B:L,10,0),0)</f>
        <v>3</v>
      </c>
      <c r="L1951">
        <f>IFERROR(VLOOKUP(A1951,库龄!B:M,11,0),0)</f>
        <v>0</v>
      </c>
      <c r="M1951">
        <f>IFERROR(VLOOKUP(A1951,库龄!B:N,12,0),0)</f>
        <v>0</v>
      </c>
      <c r="N1951">
        <f t="shared" si="62"/>
        <v>3</v>
      </c>
    </row>
    <row r="1952" spans="1:14">
      <c r="A1952" s="3" t="s">
        <v>4998</v>
      </c>
      <c r="B1952">
        <f>IFERROR(VLOOKUP(A1952,管理亚马逊库存!A:K,11,0),"")</f>
        <v>3</v>
      </c>
      <c r="C1952">
        <f>IFERROR(VLOOKUP(A1952,管理亚马逊库存!A:L,12,0),"")</f>
        <v>0</v>
      </c>
      <c r="D1952">
        <f>IFERROR(VLOOKUP(A1952,管理亚马逊库存!A:Q,17,0),"")</f>
        <v>0</v>
      </c>
      <c r="E1952">
        <f>IFERROR(VLOOKUP(A1952,管理亚马逊库存!A:R,18,0),"")</f>
        <v>0</v>
      </c>
      <c r="F1952">
        <f t="shared" si="61"/>
        <v>0</v>
      </c>
      <c r="G1952" t="str">
        <f>IFERROR(VLOOKUP(A1952,预留库存!A:G,7,0),0)</f>
        <v>No</v>
      </c>
      <c r="H1952">
        <f>IFERROR(VLOOKUP(A1952,预留库存!A:H,8,0),0)</f>
        <v>0</v>
      </c>
      <c r="I1952">
        <f>IFERROR(VLOOKUP(A1952,预留库存!A:F,6,0),0)</f>
        <v>50</v>
      </c>
      <c r="J1952">
        <f>IFERROR(VLOOKUP(A1952,库龄!B:K,9,0),0)</f>
        <v>0</v>
      </c>
      <c r="K1952">
        <f>IFERROR(VLOOKUP(A1952,库龄!B:L,10,0),0)</f>
        <v>3</v>
      </c>
      <c r="L1952">
        <f>IFERROR(VLOOKUP(A1952,库龄!B:M,11,0),0)</f>
        <v>0</v>
      </c>
      <c r="M1952">
        <f>IFERROR(VLOOKUP(A1952,库龄!B:N,12,0),0)</f>
        <v>0</v>
      </c>
      <c r="N1952">
        <f t="shared" si="62"/>
        <v>3</v>
      </c>
    </row>
    <row r="1953" spans="1:14">
      <c r="A1953" s="3" t="s">
        <v>5001</v>
      </c>
      <c r="B1953">
        <f>IFERROR(VLOOKUP(A1953,管理亚马逊库存!A:K,11,0),"")</f>
        <v>1</v>
      </c>
      <c r="C1953">
        <f>IFERROR(VLOOKUP(A1953,管理亚马逊库存!A:L,12,0),"")</f>
        <v>0</v>
      </c>
      <c r="D1953">
        <f>IFERROR(VLOOKUP(A1953,管理亚马逊库存!A:Q,17,0),"")</f>
        <v>0</v>
      </c>
      <c r="E1953">
        <f>IFERROR(VLOOKUP(A1953,管理亚马逊库存!A:R,18,0),"")</f>
        <v>0</v>
      </c>
      <c r="F1953">
        <f t="shared" si="61"/>
        <v>0</v>
      </c>
      <c r="G1953" t="str">
        <f>IFERROR(VLOOKUP(A1953,预留库存!A:G,7,0),0)</f>
        <v>No</v>
      </c>
      <c r="H1953">
        <f>IFERROR(VLOOKUP(A1953,预留库存!A:H,8,0),0)</f>
        <v>0</v>
      </c>
      <c r="I1953">
        <f>IFERROR(VLOOKUP(A1953,预留库存!A:F,6,0),0)</f>
        <v>48</v>
      </c>
      <c r="J1953">
        <f>IFERROR(VLOOKUP(A1953,库龄!B:K,9,0),0)</f>
        <v>1</v>
      </c>
      <c r="K1953">
        <f>IFERROR(VLOOKUP(A1953,库龄!B:L,10,0),0)</f>
        <v>0</v>
      </c>
      <c r="L1953">
        <f>IFERROR(VLOOKUP(A1953,库龄!B:M,11,0),0)</f>
        <v>0</v>
      </c>
      <c r="M1953">
        <f>IFERROR(VLOOKUP(A1953,库龄!B:N,12,0),0)</f>
        <v>0</v>
      </c>
      <c r="N1953">
        <f t="shared" si="62"/>
        <v>1</v>
      </c>
    </row>
    <row r="1954" spans="1:14">
      <c r="A1954" s="3" t="s">
        <v>5004</v>
      </c>
      <c r="B1954">
        <f>IFERROR(VLOOKUP(A1954,管理亚马逊库存!A:K,11,0),"")</f>
        <v>2</v>
      </c>
      <c r="C1954">
        <f>IFERROR(VLOOKUP(A1954,管理亚马逊库存!A:L,12,0),"")</f>
        <v>0</v>
      </c>
      <c r="D1954">
        <f>IFERROR(VLOOKUP(A1954,管理亚马逊库存!A:Q,17,0),"")</f>
        <v>0</v>
      </c>
      <c r="E1954">
        <f>IFERROR(VLOOKUP(A1954,管理亚马逊库存!A:R,18,0),"")</f>
        <v>0</v>
      </c>
      <c r="F1954">
        <f t="shared" si="61"/>
        <v>0</v>
      </c>
      <c r="G1954" t="str">
        <f>IFERROR(VLOOKUP(A1954,预留库存!A:G,7,0),0)</f>
        <v>No</v>
      </c>
      <c r="H1954">
        <f>IFERROR(VLOOKUP(A1954,预留库存!A:H,8,0),0)</f>
        <v>0</v>
      </c>
      <c r="I1954">
        <f>IFERROR(VLOOKUP(A1954,预留库存!A:F,6,0),0)</f>
        <v>46</v>
      </c>
      <c r="J1954">
        <f>IFERROR(VLOOKUP(A1954,库龄!B:K,9,0),0)</f>
        <v>0</v>
      </c>
      <c r="K1954">
        <f>IFERROR(VLOOKUP(A1954,库龄!B:L,10,0),0)</f>
        <v>2</v>
      </c>
      <c r="L1954">
        <f>IFERROR(VLOOKUP(A1954,库龄!B:M,11,0),0)</f>
        <v>0</v>
      </c>
      <c r="M1954">
        <f>IFERROR(VLOOKUP(A1954,库龄!B:N,12,0),0)</f>
        <v>0</v>
      </c>
      <c r="N1954">
        <f t="shared" si="62"/>
        <v>2</v>
      </c>
    </row>
    <row r="1955" spans="1:14">
      <c r="A1955" s="3" t="s">
        <v>5007</v>
      </c>
      <c r="B1955">
        <f>IFERROR(VLOOKUP(A1955,管理亚马逊库存!A:K,11,0),"")</f>
        <v>1</v>
      </c>
      <c r="C1955">
        <f>IFERROR(VLOOKUP(A1955,管理亚马逊库存!A:L,12,0),"")</f>
        <v>0</v>
      </c>
      <c r="D1955">
        <f>IFERROR(VLOOKUP(A1955,管理亚马逊库存!A:Q,17,0),"")</f>
        <v>0</v>
      </c>
      <c r="E1955">
        <f>IFERROR(VLOOKUP(A1955,管理亚马逊库存!A:R,18,0),"")</f>
        <v>0</v>
      </c>
      <c r="F1955">
        <f t="shared" si="61"/>
        <v>0</v>
      </c>
      <c r="G1955" t="str">
        <f>IFERROR(VLOOKUP(A1955,预留库存!A:G,7,0),0)</f>
        <v>No</v>
      </c>
      <c r="H1955">
        <f>IFERROR(VLOOKUP(A1955,预留库存!A:H,8,0),0)</f>
        <v>0</v>
      </c>
      <c r="I1955">
        <f>IFERROR(VLOOKUP(A1955,预留库存!A:F,6,0),0)</f>
        <v>44</v>
      </c>
      <c r="J1955">
        <f>IFERROR(VLOOKUP(A1955,库龄!B:K,9,0),0)</f>
        <v>0</v>
      </c>
      <c r="K1955">
        <f>IFERROR(VLOOKUP(A1955,库龄!B:L,10,0),0)</f>
        <v>0</v>
      </c>
      <c r="L1955">
        <f>IFERROR(VLOOKUP(A1955,库龄!B:M,11,0),0)</f>
        <v>0</v>
      </c>
      <c r="M1955">
        <f>IFERROR(VLOOKUP(A1955,库龄!B:N,12,0),0)</f>
        <v>0</v>
      </c>
      <c r="N1955">
        <f t="shared" si="62"/>
        <v>0</v>
      </c>
    </row>
    <row r="1956" spans="1:14">
      <c r="A1956" s="3" t="s">
        <v>5010</v>
      </c>
      <c r="B1956">
        <f>IFERROR(VLOOKUP(A1956,管理亚马逊库存!A:K,11,0),"")</f>
        <v>3</v>
      </c>
      <c r="C1956">
        <f>IFERROR(VLOOKUP(A1956,管理亚马逊库存!A:L,12,0),"")</f>
        <v>0</v>
      </c>
      <c r="D1956">
        <f>IFERROR(VLOOKUP(A1956,管理亚马逊库存!A:Q,17,0),"")</f>
        <v>0</v>
      </c>
      <c r="E1956">
        <f>IFERROR(VLOOKUP(A1956,管理亚马逊库存!A:R,18,0),"")</f>
        <v>0</v>
      </c>
      <c r="F1956">
        <f t="shared" si="61"/>
        <v>0</v>
      </c>
      <c r="G1956" t="str">
        <f>IFERROR(VLOOKUP(A1956,预留库存!A:G,7,0),0)</f>
        <v>No</v>
      </c>
      <c r="H1956">
        <f>IFERROR(VLOOKUP(A1956,预留库存!A:H,8,0),0)</f>
        <v>0</v>
      </c>
      <c r="I1956">
        <f>IFERROR(VLOOKUP(A1956,预留库存!A:F,6,0),0)</f>
        <v>42</v>
      </c>
      <c r="J1956">
        <f>IFERROR(VLOOKUP(A1956,库龄!B:K,9,0),0)</f>
        <v>0</v>
      </c>
      <c r="K1956">
        <f>IFERROR(VLOOKUP(A1956,库龄!B:L,10,0),0)</f>
        <v>3</v>
      </c>
      <c r="L1956">
        <f>IFERROR(VLOOKUP(A1956,库龄!B:M,11,0),0)</f>
        <v>0</v>
      </c>
      <c r="M1956">
        <f>IFERROR(VLOOKUP(A1956,库龄!B:N,12,0),0)</f>
        <v>0</v>
      </c>
      <c r="N1956">
        <f t="shared" si="62"/>
        <v>3</v>
      </c>
    </row>
    <row r="1957" spans="1:14">
      <c r="A1957" s="3" t="s">
        <v>5013</v>
      </c>
      <c r="B1957">
        <f>IFERROR(VLOOKUP(A1957,管理亚马逊库存!A:K,11,0),"")</f>
        <v>2</v>
      </c>
      <c r="C1957">
        <f>IFERROR(VLOOKUP(A1957,管理亚马逊库存!A:L,12,0),"")</f>
        <v>0</v>
      </c>
      <c r="D1957">
        <f>IFERROR(VLOOKUP(A1957,管理亚马逊库存!A:Q,17,0),"")</f>
        <v>0</v>
      </c>
      <c r="E1957">
        <f>IFERROR(VLOOKUP(A1957,管理亚马逊库存!A:R,18,0),"")</f>
        <v>0</v>
      </c>
      <c r="F1957">
        <f t="shared" si="61"/>
        <v>0</v>
      </c>
      <c r="G1957" t="str">
        <f>IFERROR(VLOOKUP(A1957,预留库存!A:G,7,0),0)</f>
        <v>No</v>
      </c>
      <c r="H1957">
        <f>IFERROR(VLOOKUP(A1957,预留库存!A:H,8,0),0)</f>
        <v>0</v>
      </c>
      <c r="I1957">
        <f>IFERROR(VLOOKUP(A1957,预留库存!A:F,6,0),0)</f>
        <v>45</v>
      </c>
      <c r="J1957">
        <f>IFERROR(VLOOKUP(A1957,库龄!B:K,9,0),0)</f>
        <v>0</v>
      </c>
      <c r="K1957">
        <f>IFERROR(VLOOKUP(A1957,库龄!B:L,10,0),0)</f>
        <v>2</v>
      </c>
      <c r="L1957">
        <f>IFERROR(VLOOKUP(A1957,库龄!B:M,11,0),0)</f>
        <v>0</v>
      </c>
      <c r="M1957">
        <f>IFERROR(VLOOKUP(A1957,库龄!B:N,12,0),0)</f>
        <v>0</v>
      </c>
      <c r="N1957">
        <f t="shared" si="62"/>
        <v>2</v>
      </c>
    </row>
    <row r="1958" spans="1:14">
      <c r="A1958" s="3" t="s">
        <v>5016</v>
      </c>
      <c r="B1958">
        <f>IFERROR(VLOOKUP(A1958,管理亚马逊库存!A:K,11,0),"")</f>
        <v>0</v>
      </c>
      <c r="C1958">
        <f>IFERROR(VLOOKUP(A1958,管理亚马逊库存!A:L,12,0),"")</f>
        <v>0</v>
      </c>
      <c r="D1958">
        <f>IFERROR(VLOOKUP(A1958,管理亚马逊库存!A:Q,17,0),"")</f>
        <v>0</v>
      </c>
      <c r="E1958">
        <f>IFERROR(VLOOKUP(A1958,管理亚马逊库存!A:R,18,0),"")</f>
        <v>0</v>
      </c>
      <c r="F1958">
        <f t="shared" si="61"/>
        <v>0</v>
      </c>
      <c r="G1958" t="str">
        <f>IFERROR(VLOOKUP(A1958,预留库存!A:G,7,0),0)</f>
        <v>No</v>
      </c>
      <c r="H1958">
        <f>IFERROR(VLOOKUP(A1958,预留库存!A:H,8,0),0)</f>
        <v>0</v>
      </c>
      <c r="I1958">
        <f>IFERROR(VLOOKUP(A1958,预留库存!A:F,6,0),0)</f>
        <v>50</v>
      </c>
      <c r="J1958">
        <f>IFERROR(VLOOKUP(A1958,库龄!B:K,9,0),0)</f>
        <v>0</v>
      </c>
      <c r="K1958">
        <f>IFERROR(VLOOKUP(A1958,库龄!B:L,10,0),0)</f>
        <v>0</v>
      </c>
      <c r="L1958">
        <f>IFERROR(VLOOKUP(A1958,库龄!B:M,11,0),0)</f>
        <v>0</v>
      </c>
      <c r="M1958">
        <f>IFERROR(VLOOKUP(A1958,库龄!B:N,12,0),0)</f>
        <v>0</v>
      </c>
      <c r="N1958">
        <f t="shared" si="62"/>
        <v>0</v>
      </c>
    </row>
    <row r="1959" spans="1:14">
      <c r="A1959" s="3" t="s">
        <v>5019</v>
      </c>
      <c r="B1959">
        <f>IFERROR(VLOOKUP(A1959,管理亚马逊库存!A:K,11,0),"")</f>
        <v>0</v>
      </c>
      <c r="C1959">
        <f>IFERROR(VLOOKUP(A1959,管理亚马逊库存!A:L,12,0),"")</f>
        <v>0</v>
      </c>
      <c r="D1959">
        <f>IFERROR(VLOOKUP(A1959,管理亚马逊库存!A:Q,17,0),"")</f>
        <v>0</v>
      </c>
      <c r="E1959">
        <f>IFERROR(VLOOKUP(A1959,管理亚马逊库存!A:R,18,0),"")</f>
        <v>0</v>
      </c>
      <c r="F1959">
        <f t="shared" si="61"/>
        <v>0</v>
      </c>
      <c r="G1959" t="str">
        <f>IFERROR(VLOOKUP(A1959,预留库存!A:G,7,0),0)</f>
        <v>No</v>
      </c>
      <c r="H1959">
        <f>IFERROR(VLOOKUP(A1959,预留库存!A:H,8,0),0)</f>
        <v>0</v>
      </c>
      <c r="I1959">
        <f>IFERROR(VLOOKUP(A1959,预留库存!A:F,6,0),0)</f>
        <v>50</v>
      </c>
      <c r="J1959">
        <f>IFERROR(VLOOKUP(A1959,库龄!B:K,9,0),0)</f>
        <v>0</v>
      </c>
      <c r="K1959">
        <f>IFERROR(VLOOKUP(A1959,库龄!B:L,10,0),0)</f>
        <v>0</v>
      </c>
      <c r="L1959">
        <f>IFERROR(VLOOKUP(A1959,库龄!B:M,11,0),0)</f>
        <v>0</v>
      </c>
      <c r="M1959">
        <f>IFERROR(VLOOKUP(A1959,库龄!B:N,12,0),0)</f>
        <v>0</v>
      </c>
      <c r="N1959">
        <f t="shared" si="62"/>
        <v>0</v>
      </c>
    </row>
    <row r="1960" spans="1:14">
      <c r="A1960" s="3" t="s">
        <v>5022</v>
      </c>
      <c r="B1960">
        <f>IFERROR(VLOOKUP(A1960,管理亚马逊库存!A:K,11,0),"")</f>
        <v>0</v>
      </c>
      <c r="C1960">
        <f>IFERROR(VLOOKUP(A1960,管理亚马逊库存!A:L,12,0),"")</f>
        <v>0</v>
      </c>
      <c r="D1960">
        <f>IFERROR(VLOOKUP(A1960,管理亚马逊库存!A:Q,17,0),"")</f>
        <v>0</v>
      </c>
      <c r="E1960">
        <f>IFERROR(VLOOKUP(A1960,管理亚马逊库存!A:R,18,0),"")</f>
        <v>0</v>
      </c>
      <c r="F1960">
        <f t="shared" si="61"/>
        <v>0</v>
      </c>
      <c r="G1960" t="str">
        <f>IFERROR(VLOOKUP(A1960,预留库存!A:G,7,0),0)</f>
        <v>No</v>
      </c>
      <c r="H1960">
        <f>IFERROR(VLOOKUP(A1960,预留库存!A:H,8,0),0)</f>
        <v>0</v>
      </c>
      <c r="I1960">
        <f>IFERROR(VLOOKUP(A1960,预留库存!A:F,6,0),0)</f>
        <v>50</v>
      </c>
      <c r="J1960">
        <f>IFERROR(VLOOKUP(A1960,库龄!B:K,9,0),0)</f>
        <v>0</v>
      </c>
      <c r="K1960">
        <f>IFERROR(VLOOKUP(A1960,库龄!B:L,10,0),0)</f>
        <v>0</v>
      </c>
      <c r="L1960">
        <f>IFERROR(VLOOKUP(A1960,库龄!B:M,11,0),0)</f>
        <v>0</v>
      </c>
      <c r="M1960">
        <f>IFERROR(VLOOKUP(A1960,库龄!B:N,12,0),0)</f>
        <v>0</v>
      </c>
      <c r="N1960">
        <f t="shared" si="62"/>
        <v>0</v>
      </c>
    </row>
    <row r="1961" spans="1:14">
      <c r="A1961" s="3" t="s">
        <v>5025</v>
      </c>
      <c r="B1961">
        <f>IFERROR(VLOOKUP(A1961,管理亚马逊库存!A:K,11,0),"")</f>
        <v>0</v>
      </c>
      <c r="C1961">
        <f>IFERROR(VLOOKUP(A1961,管理亚马逊库存!A:L,12,0),"")</f>
        <v>0</v>
      </c>
      <c r="D1961">
        <f>IFERROR(VLOOKUP(A1961,管理亚马逊库存!A:Q,17,0),"")</f>
        <v>0</v>
      </c>
      <c r="E1961">
        <f>IFERROR(VLOOKUP(A1961,管理亚马逊库存!A:R,18,0),"")</f>
        <v>0</v>
      </c>
      <c r="F1961">
        <f t="shared" si="61"/>
        <v>0</v>
      </c>
      <c r="G1961" t="str">
        <f>IFERROR(VLOOKUP(A1961,预留库存!A:G,7,0),0)</f>
        <v>No</v>
      </c>
      <c r="H1961">
        <f>IFERROR(VLOOKUP(A1961,预留库存!A:H,8,0),0)</f>
        <v>0</v>
      </c>
      <c r="I1961">
        <f>IFERROR(VLOOKUP(A1961,预留库存!A:F,6,0),0)</f>
        <v>50</v>
      </c>
      <c r="J1961">
        <f>IFERROR(VLOOKUP(A1961,库龄!B:K,9,0),0)</f>
        <v>0</v>
      </c>
      <c r="K1961">
        <f>IFERROR(VLOOKUP(A1961,库龄!B:L,10,0),0)</f>
        <v>0</v>
      </c>
      <c r="L1961">
        <f>IFERROR(VLOOKUP(A1961,库龄!B:M,11,0),0)</f>
        <v>0</v>
      </c>
      <c r="M1961">
        <f>IFERROR(VLOOKUP(A1961,库龄!B:N,12,0),0)</f>
        <v>0</v>
      </c>
      <c r="N1961">
        <f t="shared" si="62"/>
        <v>0</v>
      </c>
    </row>
    <row r="1962" spans="1:14">
      <c r="A1962" s="3" t="s">
        <v>5028</v>
      </c>
      <c r="B1962">
        <f>IFERROR(VLOOKUP(A1962,管理亚马逊库存!A:K,11,0),"")</f>
        <v>0</v>
      </c>
      <c r="C1962">
        <f>IFERROR(VLOOKUP(A1962,管理亚马逊库存!A:L,12,0),"")</f>
        <v>0</v>
      </c>
      <c r="D1962">
        <f>IFERROR(VLOOKUP(A1962,管理亚马逊库存!A:Q,17,0),"")</f>
        <v>0</v>
      </c>
      <c r="E1962">
        <f>IFERROR(VLOOKUP(A1962,管理亚马逊库存!A:R,18,0),"")</f>
        <v>0</v>
      </c>
      <c r="F1962">
        <f t="shared" si="61"/>
        <v>0</v>
      </c>
      <c r="G1962">
        <f>IFERROR(VLOOKUP(A1962,预留库存!A:G,7,0),0)</f>
        <v>0</v>
      </c>
      <c r="H1962">
        <f>IFERROR(VLOOKUP(A1962,预留库存!A:H,8,0),0)</f>
        <v>0</v>
      </c>
      <c r="I1962">
        <f>IFERROR(VLOOKUP(A1962,预留库存!A:F,6,0),0)</f>
        <v>0</v>
      </c>
      <c r="J1962">
        <f>IFERROR(VLOOKUP(A1962,库龄!B:K,9,0),0)</f>
        <v>0</v>
      </c>
      <c r="K1962">
        <f>IFERROR(VLOOKUP(A1962,库龄!B:L,10,0),0)</f>
        <v>0</v>
      </c>
      <c r="L1962">
        <f>IFERROR(VLOOKUP(A1962,库龄!B:M,11,0),0)</f>
        <v>0</v>
      </c>
      <c r="M1962">
        <f>IFERROR(VLOOKUP(A1962,库龄!B:N,12,0),0)</f>
        <v>0</v>
      </c>
      <c r="N1962">
        <f t="shared" si="62"/>
        <v>0</v>
      </c>
    </row>
    <row r="1963" spans="1:14">
      <c r="A1963" s="3" t="s">
        <v>5029</v>
      </c>
      <c r="B1963">
        <f>IFERROR(VLOOKUP(A1963,管理亚马逊库存!A:K,11,0),"")</f>
        <v>15</v>
      </c>
      <c r="C1963">
        <f>IFERROR(VLOOKUP(A1963,管理亚马逊库存!A:L,12,0),"")</f>
        <v>0</v>
      </c>
      <c r="D1963">
        <f>IFERROR(VLOOKUP(A1963,管理亚马逊库存!A:Q,17,0),"")</f>
        <v>0</v>
      </c>
      <c r="E1963">
        <f>IFERROR(VLOOKUP(A1963,管理亚马逊库存!A:R,18,0),"")</f>
        <v>0</v>
      </c>
      <c r="F1963">
        <f t="shared" si="61"/>
        <v>0</v>
      </c>
      <c r="G1963">
        <f>IFERROR(VLOOKUP(A1963,预留库存!A:G,7,0),0)</f>
        <v>0</v>
      </c>
      <c r="H1963">
        <f>IFERROR(VLOOKUP(A1963,预留库存!A:H,8,0),0)</f>
        <v>0</v>
      </c>
      <c r="I1963">
        <f>IFERROR(VLOOKUP(A1963,预留库存!A:F,6,0),0)</f>
        <v>0</v>
      </c>
      <c r="J1963">
        <f>IFERROR(VLOOKUP(A1963,库龄!B:K,9,0),0)</f>
        <v>0</v>
      </c>
      <c r="K1963">
        <f>IFERROR(VLOOKUP(A1963,库龄!B:L,10,0),0)</f>
        <v>0</v>
      </c>
      <c r="L1963">
        <f>IFERROR(VLOOKUP(A1963,库龄!B:M,11,0),0)</f>
        <v>0</v>
      </c>
      <c r="M1963">
        <f>IFERROR(VLOOKUP(A1963,库龄!B:N,12,0),0)</f>
        <v>0</v>
      </c>
      <c r="N1963">
        <f t="shared" si="62"/>
        <v>0</v>
      </c>
    </row>
    <row r="1964" spans="1:14">
      <c r="A1964" s="3" t="s">
        <v>5030</v>
      </c>
      <c r="B1964">
        <f>IFERROR(VLOOKUP(A1964,管理亚马逊库存!A:K,11,0),"")</f>
        <v>25</v>
      </c>
      <c r="C1964">
        <f>IFERROR(VLOOKUP(A1964,管理亚马逊库存!A:L,12,0),"")</f>
        <v>0</v>
      </c>
      <c r="D1964">
        <f>IFERROR(VLOOKUP(A1964,管理亚马逊库存!A:Q,17,0),"")</f>
        <v>12</v>
      </c>
      <c r="E1964">
        <f>IFERROR(VLOOKUP(A1964,管理亚马逊库存!A:R,18,0),"")</f>
        <v>0</v>
      </c>
      <c r="F1964">
        <f t="shared" si="61"/>
        <v>12</v>
      </c>
      <c r="G1964">
        <f>IFERROR(VLOOKUP(A1964,预留库存!A:G,7,0),0)</f>
        <v>0</v>
      </c>
      <c r="H1964">
        <f>IFERROR(VLOOKUP(A1964,预留库存!A:H,8,0),0)</f>
        <v>0</v>
      </c>
      <c r="I1964">
        <f>IFERROR(VLOOKUP(A1964,预留库存!A:F,6,0),0)</f>
        <v>0</v>
      </c>
      <c r="J1964">
        <f>IFERROR(VLOOKUP(A1964,库龄!B:K,9,0),0)</f>
        <v>0</v>
      </c>
      <c r="K1964">
        <f>IFERROR(VLOOKUP(A1964,库龄!B:L,10,0),0)</f>
        <v>0</v>
      </c>
      <c r="L1964">
        <f>IFERROR(VLOOKUP(A1964,库龄!B:M,11,0),0)</f>
        <v>0</v>
      </c>
      <c r="M1964">
        <f>IFERROR(VLOOKUP(A1964,库龄!B:N,12,0),0)</f>
        <v>0</v>
      </c>
      <c r="N1964">
        <f t="shared" si="62"/>
        <v>0</v>
      </c>
    </row>
    <row r="1965" spans="1:14">
      <c r="A1965" s="3" t="s">
        <v>5031</v>
      </c>
      <c r="B1965">
        <f>IFERROR(VLOOKUP(A1965,管理亚马逊库存!A:K,11,0),"")</f>
        <v>9</v>
      </c>
      <c r="C1965">
        <f>IFERROR(VLOOKUP(A1965,管理亚马逊库存!A:L,12,0),"")</f>
        <v>0</v>
      </c>
      <c r="D1965">
        <f>IFERROR(VLOOKUP(A1965,管理亚马逊库存!A:Q,17,0),"")</f>
        <v>0</v>
      </c>
      <c r="E1965">
        <f>IFERROR(VLOOKUP(A1965,管理亚马逊库存!A:R,18,0),"")</f>
        <v>0</v>
      </c>
      <c r="F1965">
        <f t="shared" si="61"/>
        <v>0</v>
      </c>
      <c r="G1965">
        <f>IFERROR(VLOOKUP(A1965,预留库存!A:G,7,0),0)</f>
        <v>0</v>
      </c>
      <c r="H1965">
        <f>IFERROR(VLOOKUP(A1965,预留库存!A:H,8,0),0)</f>
        <v>0</v>
      </c>
      <c r="I1965">
        <f>IFERROR(VLOOKUP(A1965,预留库存!A:F,6,0),0)</f>
        <v>0</v>
      </c>
      <c r="J1965">
        <f>IFERROR(VLOOKUP(A1965,库龄!B:K,9,0),0)</f>
        <v>0</v>
      </c>
      <c r="K1965">
        <f>IFERROR(VLOOKUP(A1965,库龄!B:L,10,0),0)</f>
        <v>0</v>
      </c>
      <c r="L1965">
        <f>IFERROR(VLOOKUP(A1965,库龄!B:M,11,0),0)</f>
        <v>0</v>
      </c>
      <c r="M1965">
        <f>IFERROR(VLOOKUP(A1965,库龄!B:N,12,0),0)</f>
        <v>0</v>
      </c>
      <c r="N1965">
        <f t="shared" si="62"/>
        <v>0</v>
      </c>
    </row>
    <row r="1966" spans="1:14">
      <c r="A1966" s="3" t="s">
        <v>5032</v>
      </c>
      <c r="B1966">
        <f>IFERROR(VLOOKUP(A1966,管理亚马逊库存!A:K,11,0),"")</f>
        <v>0</v>
      </c>
      <c r="C1966">
        <f>IFERROR(VLOOKUP(A1966,管理亚马逊库存!A:L,12,0),"")</f>
        <v>0</v>
      </c>
      <c r="D1966">
        <f>IFERROR(VLOOKUP(A1966,管理亚马逊库存!A:Q,17,0),"")</f>
        <v>0</v>
      </c>
      <c r="E1966">
        <f>IFERROR(VLOOKUP(A1966,管理亚马逊库存!A:R,18,0),"")</f>
        <v>0</v>
      </c>
      <c r="F1966">
        <f t="shared" si="61"/>
        <v>0</v>
      </c>
      <c r="G1966">
        <f>IFERROR(VLOOKUP(A1966,预留库存!A:G,7,0),0)</f>
        <v>0</v>
      </c>
      <c r="H1966">
        <f>IFERROR(VLOOKUP(A1966,预留库存!A:H,8,0),0)</f>
        <v>0</v>
      </c>
      <c r="I1966">
        <f>IFERROR(VLOOKUP(A1966,预留库存!A:F,6,0),0)</f>
        <v>0</v>
      </c>
      <c r="J1966">
        <f>IFERROR(VLOOKUP(A1966,库龄!B:K,9,0),0)</f>
        <v>0</v>
      </c>
      <c r="K1966">
        <f>IFERROR(VLOOKUP(A1966,库龄!B:L,10,0),0)</f>
        <v>0</v>
      </c>
      <c r="L1966">
        <f>IFERROR(VLOOKUP(A1966,库龄!B:M,11,0),0)</f>
        <v>0</v>
      </c>
      <c r="M1966">
        <f>IFERROR(VLOOKUP(A1966,库龄!B:N,12,0),0)</f>
        <v>0</v>
      </c>
      <c r="N1966">
        <f t="shared" si="62"/>
        <v>0</v>
      </c>
    </row>
    <row r="1967" spans="1:14">
      <c r="A1967" s="3" t="s">
        <v>5033</v>
      </c>
      <c r="B1967">
        <f>IFERROR(VLOOKUP(A1967,管理亚马逊库存!A:K,11,0),"")</f>
        <v>0</v>
      </c>
      <c r="C1967">
        <f>IFERROR(VLOOKUP(A1967,管理亚马逊库存!A:L,12,0),"")</f>
        <v>0</v>
      </c>
      <c r="D1967">
        <f>IFERROR(VLOOKUP(A1967,管理亚马逊库存!A:Q,17,0),"")</f>
        <v>0</v>
      </c>
      <c r="E1967">
        <f>IFERROR(VLOOKUP(A1967,管理亚马逊库存!A:R,18,0),"")</f>
        <v>0</v>
      </c>
      <c r="F1967">
        <f t="shared" si="61"/>
        <v>0</v>
      </c>
      <c r="G1967">
        <f>IFERROR(VLOOKUP(A1967,预留库存!A:G,7,0),0)</f>
        <v>0</v>
      </c>
      <c r="H1967">
        <f>IFERROR(VLOOKUP(A1967,预留库存!A:H,8,0),0)</f>
        <v>0</v>
      </c>
      <c r="I1967">
        <f>IFERROR(VLOOKUP(A1967,预留库存!A:F,6,0),0)</f>
        <v>0</v>
      </c>
      <c r="J1967">
        <f>IFERROR(VLOOKUP(A1967,库龄!B:K,9,0),0)</f>
        <v>0</v>
      </c>
      <c r="K1967">
        <f>IFERROR(VLOOKUP(A1967,库龄!B:L,10,0),0)</f>
        <v>0</v>
      </c>
      <c r="L1967">
        <f>IFERROR(VLOOKUP(A1967,库龄!B:M,11,0),0)</f>
        <v>0</v>
      </c>
      <c r="M1967">
        <f>IFERROR(VLOOKUP(A1967,库龄!B:N,12,0),0)</f>
        <v>0</v>
      </c>
      <c r="N1967">
        <f t="shared" si="62"/>
        <v>0</v>
      </c>
    </row>
    <row r="1968" spans="1:14">
      <c r="A1968" s="3" t="s">
        <v>5034</v>
      </c>
      <c r="B1968">
        <f>IFERROR(VLOOKUP(A1968,管理亚马逊库存!A:K,11,0),"")</f>
        <v>4</v>
      </c>
      <c r="C1968">
        <f>IFERROR(VLOOKUP(A1968,管理亚马逊库存!A:L,12,0),"")</f>
        <v>0</v>
      </c>
      <c r="D1968">
        <f>IFERROR(VLOOKUP(A1968,管理亚马逊库存!A:Q,17,0),"")</f>
        <v>14</v>
      </c>
      <c r="E1968">
        <f>IFERROR(VLOOKUP(A1968,管理亚马逊库存!A:R,18,0),"")</f>
        <v>0</v>
      </c>
      <c r="F1968">
        <f t="shared" si="61"/>
        <v>14</v>
      </c>
      <c r="G1968">
        <f>IFERROR(VLOOKUP(A1968,预留库存!A:G,7,0),0)</f>
        <v>0</v>
      </c>
      <c r="H1968">
        <f>IFERROR(VLOOKUP(A1968,预留库存!A:H,8,0),0)</f>
        <v>0</v>
      </c>
      <c r="I1968">
        <f>IFERROR(VLOOKUP(A1968,预留库存!A:F,6,0),0)</f>
        <v>0</v>
      </c>
      <c r="J1968">
        <f>IFERROR(VLOOKUP(A1968,库龄!B:K,9,0),0)</f>
        <v>0</v>
      </c>
      <c r="K1968">
        <f>IFERROR(VLOOKUP(A1968,库龄!B:L,10,0),0)</f>
        <v>0</v>
      </c>
      <c r="L1968">
        <f>IFERROR(VLOOKUP(A1968,库龄!B:M,11,0),0)</f>
        <v>0</v>
      </c>
      <c r="M1968">
        <f>IFERROR(VLOOKUP(A1968,库龄!B:N,12,0),0)</f>
        <v>0</v>
      </c>
      <c r="N1968">
        <f t="shared" si="62"/>
        <v>0</v>
      </c>
    </row>
    <row r="1969" spans="1:14">
      <c r="A1969" s="3" t="s">
        <v>5035</v>
      </c>
      <c r="B1969">
        <f>IFERROR(VLOOKUP(A1969,管理亚马逊库存!A:K,11,0),"")</f>
        <v>17</v>
      </c>
      <c r="C1969">
        <f>IFERROR(VLOOKUP(A1969,管理亚马逊库存!A:L,12,0),"")</f>
        <v>0</v>
      </c>
      <c r="D1969">
        <f>IFERROR(VLOOKUP(A1969,管理亚马逊库存!A:Q,17,0),"")</f>
        <v>0</v>
      </c>
      <c r="E1969">
        <f>IFERROR(VLOOKUP(A1969,管理亚马逊库存!A:R,18,0),"")</f>
        <v>0</v>
      </c>
      <c r="F1969">
        <f t="shared" si="61"/>
        <v>0</v>
      </c>
      <c r="G1969">
        <f>IFERROR(VLOOKUP(A1969,预留库存!A:G,7,0),0)</f>
        <v>0</v>
      </c>
      <c r="H1969">
        <f>IFERROR(VLOOKUP(A1969,预留库存!A:H,8,0),0)</f>
        <v>0</v>
      </c>
      <c r="I1969">
        <f>IFERROR(VLOOKUP(A1969,预留库存!A:F,6,0),0)</f>
        <v>0</v>
      </c>
      <c r="J1969">
        <f>IFERROR(VLOOKUP(A1969,库龄!B:K,9,0),0)</f>
        <v>0</v>
      </c>
      <c r="K1969">
        <f>IFERROR(VLOOKUP(A1969,库龄!B:L,10,0),0)</f>
        <v>0</v>
      </c>
      <c r="L1969">
        <f>IFERROR(VLOOKUP(A1969,库龄!B:M,11,0),0)</f>
        <v>0</v>
      </c>
      <c r="M1969">
        <f>IFERROR(VLOOKUP(A1969,库龄!B:N,12,0),0)</f>
        <v>0</v>
      </c>
      <c r="N1969">
        <f t="shared" si="62"/>
        <v>0</v>
      </c>
    </row>
    <row r="1970" spans="1:14">
      <c r="A1970" s="3" t="s">
        <v>5036</v>
      </c>
      <c r="B1970">
        <f>IFERROR(VLOOKUP(A1970,管理亚马逊库存!A:K,11,0),"")</f>
        <v>5</v>
      </c>
      <c r="C1970">
        <f>IFERROR(VLOOKUP(A1970,管理亚马逊库存!A:L,12,0),"")</f>
        <v>0</v>
      </c>
      <c r="D1970">
        <f>IFERROR(VLOOKUP(A1970,管理亚马逊库存!A:Q,17,0),"")</f>
        <v>0</v>
      </c>
      <c r="E1970">
        <f>IFERROR(VLOOKUP(A1970,管理亚马逊库存!A:R,18,0),"")</f>
        <v>0</v>
      </c>
      <c r="F1970">
        <f t="shared" si="61"/>
        <v>0</v>
      </c>
      <c r="G1970">
        <f>IFERROR(VLOOKUP(A1970,预留库存!A:G,7,0),0)</f>
        <v>0</v>
      </c>
      <c r="H1970">
        <f>IFERROR(VLOOKUP(A1970,预留库存!A:H,8,0),0)</f>
        <v>0</v>
      </c>
      <c r="I1970">
        <f>IFERROR(VLOOKUP(A1970,预留库存!A:F,6,0),0)</f>
        <v>0</v>
      </c>
      <c r="J1970">
        <f>IFERROR(VLOOKUP(A1970,库龄!B:K,9,0),0)</f>
        <v>0</v>
      </c>
      <c r="K1970">
        <f>IFERROR(VLOOKUP(A1970,库龄!B:L,10,0),0)</f>
        <v>0</v>
      </c>
      <c r="L1970">
        <f>IFERROR(VLOOKUP(A1970,库龄!B:M,11,0),0)</f>
        <v>0</v>
      </c>
      <c r="M1970">
        <f>IFERROR(VLOOKUP(A1970,库龄!B:N,12,0),0)</f>
        <v>0</v>
      </c>
      <c r="N1970">
        <f t="shared" si="62"/>
        <v>0</v>
      </c>
    </row>
    <row r="1971" spans="1:14">
      <c r="A1971" s="3" t="s">
        <v>5037</v>
      </c>
      <c r="B1971">
        <f>IFERROR(VLOOKUP(A1971,管理亚马逊库存!A:K,11,0),"")</f>
        <v>0</v>
      </c>
      <c r="C1971">
        <f>IFERROR(VLOOKUP(A1971,管理亚马逊库存!A:L,12,0),"")</f>
        <v>0</v>
      </c>
      <c r="D1971">
        <f>IFERROR(VLOOKUP(A1971,管理亚马逊库存!A:Q,17,0),"")</f>
        <v>0</v>
      </c>
      <c r="E1971">
        <f>IFERROR(VLOOKUP(A1971,管理亚马逊库存!A:R,18,0),"")</f>
        <v>0</v>
      </c>
      <c r="F1971">
        <f t="shared" si="61"/>
        <v>0</v>
      </c>
      <c r="G1971">
        <f>IFERROR(VLOOKUP(A1971,预留库存!A:G,7,0),0)</f>
        <v>0</v>
      </c>
      <c r="H1971">
        <f>IFERROR(VLOOKUP(A1971,预留库存!A:H,8,0),0)</f>
        <v>0</v>
      </c>
      <c r="I1971">
        <f>IFERROR(VLOOKUP(A1971,预留库存!A:F,6,0),0)</f>
        <v>0</v>
      </c>
      <c r="J1971">
        <f>IFERROR(VLOOKUP(A1971,库龄!B:K,9,0),0)</f>
        <v>0</v>
      </c>
      <c r="K1971">
        <f>IFERROR(VLOOKUP(A1971,库龄!B:L,10,0),0)</f>
        <v>0</v>
      </c>
      <c r="L1971">
        <f>IFERROR(VLOOKUP(A1971,库龄!B:M,11,0),0)</f>
        <v>0</v>
      </c>
      <c r="M1971">
        <f>IFERROR(VLOOKUP(A1971,库龄!B:N,12,0),0)</f>
        <v>0</v>
      </c>
      <c r="N1971">
        <f t="shared" si="62"/>
        <v>0</v>
      </c>
    </row>
    <row r="1972" spans="1:14">
      <c r="A1972" s="3" t="s">
        <v>5038</v>
      </c>
      <c r="B1972">
        <f>IFERROR(VLOOKUP(A1972,管理亚马逊库存!A:K,11,0),"")</f>
        <v>10</v>
      </c>
      <c r="C1972">
        <f>IFERROR(VLOOKUP(A1972,管理亚马逊库存!A:L,12,0),"")</f>
        <v>0</v>
      </c>
      <c r="D1972">
        <f>IFERROR(VLOOKUP(A1972,管理亚马逊库存!A:Q,17,0),"")</f>
        <v>0</v>
      </c>
      <c r="E1972">
        <f>IFERROR(VLOOKUP(A1972,管理亚马逊库存!A:R,18,0),"")</f>
        <v>0</v>
      </c>
      <c r="F1972">
        <f t="shared" si="61"/>
        <v>0</v>
      </c>
      <c r="G1972">
        <f>IFERROR(VLOOKUP(A1972,预留库存!A:G,7,0),0)</f>
        <v>0</v>
      </c>
      <c r="H1972">
        <f>IFERROR(VLOOKUP(A1972,预留库存!A:H,8,0),0)</f>
        <v>0</v>
      </c>
      <c r="I1972">
        <f>IFERROR(VLOOKUP(A1972,预留库存!A:F,6,0),0)</f>
        <v>0</v>
      </c>
      <c r="J1972">
        <f>IFERROR(VLOOKUP(A1972,库龄!B:K,9,0),0)</f>
        <v>0</v>
      </c>
      <c r="K1972">
        <f>IFERROR(VLOOKUP(A1972,库龄!B:L,10,0),0)</f>
        <v>0</v>
      </c>
      <c r="L1972">
        <f>IFERROR(VLOOKUP(A1972,库龄!B:M,11,0),0)</f>
        <v>0</v>
      </c>
      <c r="M1972">
        <f>IFERROR(VLOOKUP(A1972,库龄!B:N,12,0),0)</f>
        <v>0</v>
      </c>
      <c r="N1972">
        <f t="shared" si="62"/>
        <v>0</v>
      </c>
    </row>
    <row r="1973" spans="1:14">
      <c r="A1973" s="3" t="s">
        <v>5039</v>
      </c>
      <c r="B1973">
        <f>IFERROR(VLOOKUP(A1973,管理亚马逊库存!A:K,11,0),"")</f>
        <v>32</v>
      </c>
      <c r="C1973">
        <f>IFERROR(VLOOKUP(A1973,管理亚马逊库存!A:L,12,0),"")</f>
        <v>0</v>
      </c>
      <c r="D1973">
        <f>IFERROR(VLOOKUP(A1973,管理亚马逊库存!A:Q,17,0),"")</f>
        <v>20</v>
      </c>
      <c r="E1973">
        <f>IFERROR(VLOOKUP(A1973,管理亚马逊库存!A:R,18,0),"")</f>
        <v>0</v>
      </c>
      <c r="F1973">
        <f t="shared" si="61"/>
        <v>20</v>
      </c>
      <c r="G1973">
        <f>IFERROR(VLOOKUP(A1973,预留库存!A:G,7,0),0)</f>
        <v>0</v>
      </c>
      <c r="H1973">
        <f>IFERROR(VLOOKUP(A1973,预留库存!A:H,8,0),0)</f>
        <v>0</v>
      </c>
      <c r="I1973">
        <f>IFERROR(VLOOKUP(A1973,预留库存!A:F,6,0),0)</f>
        <v>0</v>
      </c>
      <c r="J1973">
        <f>IFERROR(VLOOKUP(A1973,库龄!B:K,9,0),0)</f>
        <v>0</v>
      </c>
      <c r="K1973">
        <f>IFERROR(VLOOKUP(A1973,库龄!B:L,10,0),0)</f>
        <v>0</v>
      </c>
      <c r="L1973">
        <f>IFERROR(VLOOKUP(A1973,库龄!B:M,11,0),0)</f>
        <v>0</v>
      </c>
      <c r="M1973">
        <f>IFERROR(VLOOKUP(A1973,库龄!B:N,12,0),0)</f>
        <v>0</v>
      </c>
      <c r="N1973">
        <f t="shared" si="62"/>
        <v>0</v>
      </c>
    </row>
    <row r="1974" spans="1:14">
      <c r="A1974" s="3" t="s">
        <v>5040</v>
      </c>
      <c r="B1974">
        <f>IFERROR(VLOOKUP(A1974,管理亚马逊库存!A:K,11,0),"")</f>
        <v>14</v>
      </c>
      <c r="C1974">
        <f>IFERROR(VLOOKUP(A1974,管理亚马逊库存!A:L,12,0),"")</f>
        <v>0</v>
      </c>
      <c r="D1974">
        <f>IFERROR(VLOOKUP(A1974,管理亚马逊库存!A:Q,17,0),"")</f>
        <v>0</v>
      </c>
      <c r="E1974">
        <f>IFERROR(VLOOKUP(A1974,管理亚马逊库存!A:R,18,0),"")</f>
        <v>0</v>
      </c>
      <c r="F1974">
        <f t="shared" si="61"/>
        <v>0</v>
      </c>
      <c r="G1974">
        <f>IFERROR(VLOOKUP(A1974,预留库存!A:G,7,0),0)</f>
        <v>0</v>
      </c>
      <c r="H1974">
        <f>IFERROR(VLOOKUP(A1974,预留库存!A:H,8,0),0)</f>
        <v>0</v>
      </c>
      <c r="I1974">
        <f>IFERROR(VLOOKUP(A1974,预留库存!A:F,6,0),0)</f>
        <v>0</v>
      </c>
      <c r="J1974">
        <f>IFERROR(VLOOKUP(A1974,库龄!B:K,9,0),0)</f>
        <v>0</v>
      </c>
      <c r="K1974">
        <f>IFERROR(VLOOKUP(A1974,库龄!B:L,10,0),0)</f>
        <v>0</v>
      </c>
      <c r="L1974">
        <f>IFERROR(VLOOKUP(A1974,库龄!B:M,11,0),0)</f>
        <v>0</v>
      </c>
      <c r="M1974">
        <f>IFERROR(VLOOKUP(A1974,库龄!B:N,12,0),0)</f>
        <v>0</v>
      </c>
      <c r="N1974">
        <f t="shared" si="62"/>
        <v>0</v>
      </c>
    </row>
    <row r="1975" spans="1:14">
      <c r="A1975" s="3" t="s">
        <v>5041</v>
      </c>
      <c r="B1975">
        <f>IFERROR(VLOOKUP(A1975,管理亚马逊库存!A:K,11,0),"")</f>
        <v>3</v>
      </c>
      <c r="C1975">
        <f>IFERROR(VLOOKUP(A1975,管理亚马逊库存!A:L,12,0),"")</f>
        <v>0</v>
      </c>
      <c r="D1975">
        <f>IFERROR(VLOOKUP(A1975,管理亚马逊库存!A:Q,17,0),"")</f>
        <v>0</v>
      </c>
      <c r="E1975">
        <f>IFERROR(VLOOKUP(A1975,管理亚马逊库存!A:R,18,0),"")</f>
        <v>0</v>
      </c>
      <c r="F1975">
        <f t="shared" si="61"/>
        <v>0</v>
      </c>
      <c r="G1975">
        <f>IFERROR(VLOOKUP(A1975,预留库存!A:G,7,0),0)</f>
        <v>0</v>
      </c>
      <c r="H1975">
        <f>IFERROR(VLOOKUP(A1975,预留库存!A:H,8,0),0)</f>
        <v>0</v>
      </c>
      <c r="I1975">
        <f>IFERROR(VLOOKUP(A1975,预留库存!A:F,6,0),0)</f>
        <v>0</v>
      </c>
      <c r="J1975">
        <f>IFERROR(VLOOKUP(A1975,库龄!B:K,9,0),0)</f>
        <v>0</v>
      </c>
      <c r="K1975">
        <f>IFERROR(VLOOKUP(A1975,库龄!B:L,10,0),0)</f>
        <v>0</v>
      </c>
      <c r="L1975">
        <f>IFERROR(VLOOKUP(A1975,库龄!B:M,11,0),0)</f>
        <v>0</v>
      </c>
      <c r="M1975">
        <f>IFERROR(VLOOKUP(A1975,库龄!B:N,12,0),0)</f>
        <v>0</v>
      </c>
      <c r="N1975">
        <f t="shared" si="62"/>
        <v>0</v>
      </c>
    </row>
    <row r="1976" spans="1:14">
      <c r="A1976" s="3" t="s">
        <v>5042</v>
      </c>
      <c r="B1976">
        <f>IFERROR(VLOOKUP(A1976,管理亚马逊库存!A:K,11,0),"")</f>
        <v>20</v>
      </c>
      <c r="C1976">
        <f>IFERROR(VLOOKUP(A1976,管理亚马逊库存!A:L,12,0),"")</f>
        <v>0</v>
      </c>
      <c r="D1976">
        <f>IFERROR(VLOOKUP(A1976,管理亚马逊库存!A:Q,17,0),"")</f>
        <v>0</v>
      </c>
      <c r="E1976">
        <f>IFERROR(VLOOKUP(A1976,管理亚马逊库存!A:R,18,0),"")</f>
        <v>0</v>
      </c>
      <c r="F1976">
        <f t="shared" si="61"/>
        <v>0</v>
      </c>
      <c r="G1976" t="str">
        <f>IFERROR(VLOOKUP(A1976,预留库存!A:G,7,0),0)</f>
        <v>No</v>
      </c>
      <c r="H1976">
        <f>IFERROR(VLOOKUP(A1976,预留库存!A:H,8,0),0)</f>
        <v>0</v>
      </c>
      <c r="I1976">
        <f>IFERROR(VLOOKUP(A1976,预留库存!A:F,6,0),0)</f>
        <v>0</v>
      </c>
      <c r="J1976">
        <f>IFERROR(VLOOKUP(A1976,库龄!B:K,9,0),0)</f>
        <v>0</v>
      </c>
      <c r="K1976">
        <f>IFERROR(VLOOKUP(A1976,库龄!B:L,10,0),0)</f>
        <v>0</v>
      </c>
      <c r="L1976">
        <f>IFERROR(VLOOKUP(A1976,库龄!B:M,11,0),0)</f>
        <v>0</v>
      </c>
      <c r="M1976">
        <f>IFERROR(VLOOKUP(A1976,库龄!B:N,12,0),0)</f>
        <v>0</v>
      </c>
      <c r="N1976">
        <f t="shared" si="62"/>
        <v>0</v>
      </c>
    </row>
    <row r="1977" spans="1:14">
      <c r="A1977" s="3" t="s">
        <v>5043</v>
      </c>
      <c r="B1977">
        <f>IFERROR(VLOOKUP(A1977,管理亚马逊库存!A:K,11,0),"")</f>
        <v>9</v>
      </c>
      <c r="C1977">
        <f>IFERROR(VLOOKUP(A1977,管理亚马逊库存!A:L,12,0),"")</f>
        <v>0</v>
      </c>
      <c r="D1977">
        <f>IFERROR(VLOOKUP(A1977,管理亚马逊库存!A:Q,17,0),"")</f>
        <v>0</v>
      </c>
      <c r="E1977">
        <f>IFERROR(VLOOKUP(A1977,管理亚马逊库存!A:R,18,0),"")</f>
        <v>0</v>
      </c>
      <c r="F1977">
        <f t="shared" si="61"/>
        <v>0</v>
      </c>
      <c r="G1977">
        <f>IFERROR(VLOOKUP(A1977,预留库存!A:G,7,0),0)</f>
        <v>0</v>
      </c>
      <c r="H1977">
        <f>IFERROR(VLOOKUP(A1977,预留库存!A:H,8,0),0)</f>
        <v>0</v>
      </c>
      <c r="I1977">
        <f>IFERROR(VLOOKUP(A1977,预留库存!A:F,6,0),0)</f>
        <v>0</v>
      </c>
      <c r="J1977">
        <f>IFERROR(VLOOKUP(A1977,库龄!B:K,9,0),0)</f>
        <v>0</v>
      </c>
      <c r="K1977">
        <f>IFERROR(VLOOKUP(A1977,库龄!B:L,10,0),0)</f>
        <v>0</v>
      </c>
      <c r="L1977">
        <f>IFERROR(VLOOKUP(A1977,库龄!B:M,11,0),0)</f>
        <v>0</v>
      </c>
      <c r="M1977">
        <f>IFERROR(VLOOKUP(A1977,库龄!B:N,12,0),0)</f>
        <v>0</v>
      </c>
      <c r="N1977">
        <f t="shared" si="62"/>
        <v>0</v>
      </c>
    </row>
    <row r="1978" spans="1:14">
      <c r="A1978" s="3" t="s">
        <v>5044</v>
      </c>
      <c r="B1978">
        <f>IFERROR(VLOOKUP(A1978,管理亚马逊库存!A:K,11,0),"")</f>
        <v>17</v>
      </c>
      <c r="C1978">
        <f>IFERROR(VLOOKUP(A1978,管理亚马逊库存!A:L,12,0),"")</f>
        <v>0</v>
      </c>
      <c r="D1978">
        <f>IFERROR(VLOOKUP(A1978,管理亚马逊库存!A:Q,17,0),"")</f>
        <v>0</v>
      </c>
      <c r="E1978">
        <f>IFERROR(VLOOKUP(A1978,管理亚马逊库存!A:R,18,0),"")</f>
        <v>0</v>
      </c>
      <c r="F1978">
        <f t="shared" si="61"/>
        <v>0</v>
      </c>
      <c r="G1978">
        <f>IFERROR(VLOOKUP(A1978,预留库存!A:G,7,0),0)</f>
        <v>0</v>
      </c>
      <c r="H1978">
        <f>IFERROR(VLOOKUP(A1978,预留库存!A:H,8,0),0)</f>
        <v>0</v>
      </c>
      <c r="I1978">
        <f>IFERROR(VLOOKUP(A1978,预留库存!A:F,6,0),0)</f>
        <v>0</v>
      </c>
      <c r="J1978">
        <f>IFERROR(VLOOKUP(A1978,库龄!B:K,9,0),0)</f>
        <v>0</v>
      </c>
      <c r="K1978">
        <f>IFERROR(VLOOKUP(A1978,库龄!B:L,10,0),0)</f>
        <v>0</v>
      </c>
      <c r="L1978">
        <f>IFERROR(VLOOKUP(A1978,库龄!B:M,11,0),0)</f>
        <v>0</v>
      </c>
      <c r="M1978">
        <f>IFERROR(VLOOKUP(A1978,库龄!B:N,12,0),0)</f>
        <v>0</v>
      </c>
      <c r="N1978">
        <f t="shared" si="62"/>
        <v>0</v>
      </c>
    </row>
    <row r="1979" spans="1:14">
      <c r="A1979" s="3" t="s">
        <v>5045</v>
      </c>
      <c r="B1979">
        <f>IFERROR(VLOOKUP(A1979,管理亚马逊库存!A:K,11,0),"")</f>
        <v>14</v>
      </c>
      <c r="C1979">
        <f>IFERROR(VLOOKUP(A1979,管理亚马逊库存!A:L,12,0),"")</f>
        <v>0</v>
      </c>
      <c r="D1979">
        <f>IFERROR(VLOOKUP(A1979,管理亚马逊库存!A:Q,17,0),"")</f>
        <v>0</v>
      </c>
      <c r="E1979">
        <f>IFERROR(VLOOKUP(A1979,管理亚马逊库存!A:R,18,0),"")</f>
        <v>0</v>
      </c>
      <c r="F1979">
        <f t="shared" si="61"/>
        <v>0</v>
      </c>
      <c r="G1979">
        <f>IFERROR(VLOOKUP(A1979,预留库存!A:G,7,0),0)</f>
        <v>0</v>
      </c>
      <c r="H1979">
        <f>IFERROR(VLOOKUP(A1979,预留库存!A:H,8,0),0)</f>
        <v>0</v>
      </c>
      <c r="I1979">
        <f>IFERROR(VLOOKUP(A1979,预留库存!A:F,6,0),0)</f>
        <v>0</v>
      </c>
      <c r="J1979">
        <f>IFERROR(VLOOKUP(A1979,库龄!B:K,9,0),0)</f>
        <v>0</v>
      </c>
      <c r="K1979">
        <f>IFERROR(VLOOKUP(A1979,库龄!B:L,10,0),0)</f>
        <v>0</v>
      </c>
      <c r="L1979">
        <f>IFERROR(VLOOKUP(A1979,库龄!B:M,11,0),0)</f>
        <v>0</v>
      </c>
      <c r="M1979">
        <f>IFERROR(VLOOKUP(A1979,库龄!B:N,12,0),0)</f>
        <v>0</v>
      </c>
      <c r="N1979">
        <f t="shared" si="62"/>
        <v>0</v>
      </c>
    </row>
    <row r="1980" spans="1:14">
      <c r="A1980" s="3" t="s">
        <v>5046</v>
      </c>
      <c r="B1980">
        <f>IFERROR(VLOOKUP(A1980,管理亚马逊库存!A:K,11,0),"")</f>
        <v>10</v>
      </c>
      <c r="C1980">
        <f>IFERROR(VLOOKUP(A1980,管理亚马逊库存!A:L,12,0),"")</f>
        <v>0</v>
      </c>
      <c r="D1980">
        <f>IFERROR(VLOOKUP(A1980,管理亚马逊库存!A:Q,17,0),"")</f>
        <v>0</v>
      </c>
      <c r="E1980">
        <f>IFERROR(VLOOKUP(A1980,管理亚马逊库存!A:R,18,0),"")</f>
        <v>0</v>
      </c>
      <c r="F1980">
        <f t="shared" si="61"/>
        <v>0</v>
      </c>
      <c r="G1980">
        <f>IFERROR(VLOOKUP(A1980,预留库存!A:G,7,0),0)</f>
        <v>0</v>
      </c>
      <c r="H1980">
        <f>IFERROR(VLOOKUP(A1980,预留库存!A:H,8,0),0)</f>
        <v>0</v>
      </c>
      <c r="I1980">
        <f>IFERROR(VLOOKUP(A1980,预留库存!A:F,6,0),0)</f>
        <v>0</v>
      </c>
      <c r="J1980">
        <f>IFERROR(VLOOKUP(A1980,库龄!B:K,9,0),0)</f>
        <v>0</v>
      </c>
      <c r="K1980">
        <f>IFERROR(VLOOKUP(A1980,库龄!B:L,10,0),0)</f>
        <v>0</v>
      </c>
      <c r="L1980">
        <f>IFERROR(VLOOKUP(A1980,库龄!B:M,11,0),0)</f>
        <v>0</v>
      </c>
      <c r="M1980">
        <f>IFERROR(VLOOKUP(A1980,库龄!B:N,12,0),0)</f>
        <v>0</v>
      </c>
      <c r="N1980">
        <f t="shared" si="62"/>
        <v>0</v>
      </c>
    </row>
    <row r="1981" spans="1:14">
      <c r="A1981" s="3" t="s">
        <v>5047</v>
      </c>
      <c r="B1981">
        <f>IFERROR(VLOOKUP(A1981,管理亚马逊库存!A:K,11,0),"")</f>
        <v>11</v>
      </c>
      <c r="C1981">
        <f>IFERROR(VLOOKUP(A1981,管理亚马逊库存!A:L,12,0),"")</f>
        <v>0</v>
      </c>
      <c r="D1981">
        <f>IFERROR(VLOOKUP(A1981,管理亚马逊库存!A:Q,17,0),"")</f>
        <v>0</v>
      </c>
      <c r="E1981">
        <f>IFERROR(VLOOKUP(A1981,管理亚马逊库存!A:R,18,0),"")</f>
        <v>0</v>
      </c>
      <c r="F1981">
        <f t="shared" si="61"/>
        <v>0</v>
      </c>
      <c r="G1981">
        <f>IFERROR(VLOOKUP(A1981,预留库存!A:G,7,0),0)</f>
        <v>0</v>
      </c>
      <c r="H1981">
        <f>IFERROR(VLOOKUP(A1981,预留库存!A:H,8,0),0)</f>
        <v>0</v>
      </c>
      <c r="I1981">
        <f>IFERROR(VLOOKUP(A1981,预留库存!A:F,6,0),0)</f>
        <v>0</v>
      </c>
      <c r="J1981">
        <f>IFERROR(VLOOKUP(A1981,库龄!B:K,9,0),0)</f>
        <v>0</v>
      </c>
      <c r="K1981">
        <f>IFERROR(VLOOKUP(A1981,库龄!B:L,10,0),0)</f>
        <v>0</v>
      </c>
      <c r="L1981">
        <f>IFERROR(VLOOKUP(A1981,库龄!B:M,11,0),0)</f>
        <v>0</v>
      </c>
      <c r="M1981">
        <f>IFERROR(VLOOKUP(A1981,库龄!B:N,12,0),0)</f>
        <v>0</v>
      </c>
      <c r="N1981">
        <f t="shared" si="62"/>
        <v>0</v>
      </c>
    </row>
    <row r="1982" spans="1:14">
      <c r="A1982" s="3" t="s">
        <v>5048</v>
      </c>
      <c r="B1982">
        <f>IFERROR(VLOOKUP(A1982,管理亚马逊库存!A:K,11,0),"")</f>
        <v>4</v>
      </c>
      <c r="C1982">
        <f>IFERROR(VLOOKUP(A1982,管理亚马逊库存!A:L,12,0),"")</f>
        <v>0</v>
      </c>
      <c r="D1982">
        <f>IFERROR(VLOOKUP(A1982,管理亚马逊库存!A:Q,17,0),"")</f>
        <v>16</v>
      </c>
      <c r="E1982">
        <f>IFERROR(VLOOKUP(A1982,管理亚马逊库存!A:R,18,0),"")</f>
        <v>0</v>
      </c>
      <c r="F1982">
        <f t="shared" si="61"/>
        <v>16</v>
      </c>
      <c r="G1982">
        <f>IFERROR(VLOOKUP(A1982,预留库存!A:G,7,0),0)</f>
        <v>0</v>
      </c>
      <c r="H1982">
        <f>IFERROR(VLOOKUP(A1982,预留库存!A:H,8,0),0)</f>
        <v>0</v>
      </c>
      <c r="I1982">
        <f>IFERROR(VLOOKUP(A1982,预留库存!A:F,6,0),0)</f>
        <v>0</v>
      </c>
      <c r="J1982">
        <f>IFERROR(VLOOKUP(A1982,库龄!B:K,9,0),0)</f>
        <v>0</v>
      </c>
      <c r="K1982">
        <f>IFERROR(VLOOKUP(A1982,库龄!B:L,10,0),0)</f>
        <v>0</v>
      </c>
      <c r="L1982">
        <f>IFERROR(VLOOKUP(A1982,库龄!B:M,11,0),0)</f>
        <v>0</v>
      </c>
      <c r="M1982">
        <f>IFERROR(VLOOKUP(A1982,库龄!B:N,12,0),0)</f>
        <v>0</v>
      </c>
      <c r="N1982">
        <f t="shared" si="62"/>
        <v>0</v>
      </c>
    </row>
    <row r="1983" spans="1:14">
      <c r="A1983" s="3" t="s">
        <v>5049</v>
      </c>
      <c r="B1983">
        <f>IFERROR(VLOOKUP(A1983,管理亚马逊库存!A:K,11,0),"")</f>
        <v>14</v>
      </c>
      <c r="C1983">
        <f>IFERROR(VLOOKUP(A1983,管理亚马逊库存!A:L,12,0),"")</f>
        <v>0</v>
      </c>
      <c r="D1983">
        <f>IFERROR(VLOOKUP(A1983,管理亚马逊库存!A:Q,17,0),"")</f>
        <v>0</v>
      </c>
      <c r="E1983">
        <f>IFERROR(VLOOKUP(A1983,管理亚马逊库存!A:R,18,0),"")</f>
        <v>0</v>
      </c>
      <c r="F1983">
        <f t="shared" si="61"/>
        <v>0</v>
      </c>
      <c r="G1983">
        <f>IFERROR(VLOOKUP(A1983,预留库存!A:G,7,0),0)</f>
        <v>0</v>
      </c>
      <c r="H1983">
        <f>IFERROR(VLOOKUP(A1983,预留库存!A:H,8,0),0)</f>
        <v>0</v>
      </c>
      <c r="I1983">
        <f>IFERROR(VLOOKUP(A1983,预留库存!A:F,6,0),0)</f>
        <v>0</v>
      </c>
      <c r="J1983">
        <f>IFERROR(VLOOKUP(A1983,库龄!B:K,9,0),0)</f>
        <v>0</v>
      </c>
      <c r="K1983">
        <f>IFERROR(VLOOKUP(A1983,库龄!B:L,10,0),0)</f>
        <v>0</v>
      </c>
      <c r="L1983">
        <f>IFERROR(VLOOKUP(A1983,库龄!B:M,11,0),0)</f>
        <v>0</v>
      </c>
      <c r="M1983">
        <f>IFERROR(VLOOKUP(A1983,库龄!B:N,12,0),0)</f>
        <v>0</v>
      </c>
      <c r="N1983">
        <f t="shared" si="62"/>
        <v>0</v>
      </c>
    </row>
    <row r="1984" spans="1:14">
      <c r="A1984" s="3" t="s">
        <v>5050</v>
      </c>
      <c r="B1984">
        <f>IFERROR(VLOOKUP(A1984,管理亚马逊库存!A:K,11,0),"")</f>
        <v>3</v>
      </c>
      <c r="C1984">
        <f>IFERROR(VLOOKUP(A1984,管理亚马逊库存!A:L,12,0),"")</f>
        <v>0</v>
      </c>
      <c r="D1984">
        <f>IFERROR(VLOOKUP(A1984,管理亚马逊库存!A:Q,17,0),"")</f>
        <v>0</v>
      </c>
      <c r="E1984">
        <f>IFERROR(VLOOKUP(A1984,管理亚马逊库存!A:R,18,0),"")</f>
        <v>0</v>
      </c>
      <c r="F1984">
        <f t="shared" si="61"/>
        <v>0</v>
      </c>
      <c r="G1984">
        <f>IFERROR(VLOOKUP(A1984,预留库存!A:G,7,0),0)</f>
        <v>0</v>
      </c>
      <c r="H1984">
        <f>IFERROR(VLOOKUP(A1984,预留库存!A:H,8,0),0)</f>
        <v>0</v>
      </c>
      <c r="I1984">
        <f>IFERROR(VLOOKUP(A1984,预留库存!A:F,6,0),0)</f>
        <v>0</v>
      </c>
      <c r="J1984">
        <f>IFERROR(VLOOKUP(A1984,库龄!B:K,9,0),0)</f>
        <v>0</v>
      </c>
      <c r="K1984">
        <f>IFERROR(VLOOKUP(A1984,库龄!B:L,10,0),0)</f>
        <v>0</v>
      </c>
      <c r="L1984">
        <f>IFERROR(VLOOKUP(A1984,库龄!B:M,11,0),0)</f>
        <v>0</v>
      </c>
      <c r="M1984">
        <f>IFERROR(VLOOKUP(A1984,库龄!B:N,12,0),0)</f>
        <v>0</v>
      </c>
      <c r="N1984">
        <f t="shared" si="62"/>
        <v>0</v>
      </c>
    </row>
    <row r="1985" spans="1:14">
      <c r="A1985" s="3" t="s">
        <v>5051</v>
      </c>
      <c r="B1985">
        <f>IFERROR(VLOOKUP(A1985,管理亚马逊库存!A:K,11,0),"")</f>
        <v>15</v>
      </c>
      <c r="C1985">
        <f>IFERROR(VLOOKUP(A1985,管理亚马逊库存!A:L,12,0),"")</f>
        <v>0</v>
      </c>
      <c r="D1985">
        <f>IFERROR(VLOOKUP(A1985,管理亚马逊库存!A:Q,17,0),"")</f>
        <v>0</v>
      </c>
      <c r="E1985">
        <f>IFERROR(VLOOKUP(A1985,管理亚马逊库存!A:R,18,0),"")</f>
        <v>0</v>
      </c>
      <c r="F1985">
        <f t="shared" si="61"/>
        <v>0</v>
      </c>
      <c r="G1985">
        <f>IFERROR(VLOOKUP(A1985,预留库存!A:G,7,0),0)</f>
        <v>0</v>
      </c>
      <c r="H1985">
        <f>IFERROR(VLOOKUP(A1985,预留库存!A:H,8,0),0)</f>
        <v>0</v>
      </c>
      <c r="I1985">
        <f>IFERROR(VLOOKUP(A1985,预留库存!A:F,6,0),0)</f>
        <v>0</v>
      </c>
      <c r="J1985">
        <f>IFERROR(VLOOKUP(A1985,库龄!B:K,9,0),0)</f>
        <v>0</v>
      </c>
      <c r="K1985">
        <f>IFERROR(VLOOKUP(A1985,库龄!B:L,10,0),0)</f>
        <v>0</v>
      </c>
      <c r="L1985">
        <f>IFERROR(VLOOKUP(A1985,库龄!B:M,11,0),0)</f>
        <v>0</v>
      </c>
      <c r="M1985">
        <f>IFERROR(VLOOKUP(A1985,库龄!B:N,12,0),0)</f>
        <v>0</v>
      </c>
      <c r="N1985">
        <f t="shared" si="62"/>
        <v>0</v>
      </c>
    </row>
    <row r="1986" spans="1:14">
      <c r="A1986" s="3" t="s">
        <v>5052</v>
      </c>
      <c r="B1986">
        <f>IFERROR(VLOOKUP(A1986,管理亚马逊库存!A:K,11,0),"")</f>
        <v>10</v>
      </c>
      <c r="C1986">
        <f>IFERROR(VLOOKUP(A1986,管理亚马逊库存!A:L,12,0),"")</f>
        <v>0</v>
      </c>
      <c r="D1986">
        <f>IFERROR(VLOOKUP(A1986,管理亚马逊库存!A:Q,17,0),"")</f>
        <v>0</v>
      </c>
      <c r="E1986">
        <f>IFERROR(VLOOKUP(A1986,管理亚马逊库存!A:R,18,0),"")</f>
        <v>0</v>
      </c>
      <c r="F1986">
        <f t="shared" si="61"/>
        <v>0</v>
      </c>
      <c r="G1986">
        <f>IFERROR(VLOOKUP(A1986,预留库存!A:G,7,0),0)</f>
        <v>0</v>
      </c>
      <c r="H1986">
        <f>IFERROR(VLOOKUP(A1986,预留库存!A:H,8,0),0)</f>
        <v>0</v>
      </c>
      <c r="I1986">
        <f>IFERROR(VLOOKUP(A1986,预留库存!A:F,6,0),0)</f>
        <v>0</v>
      </c>
      <c r="J1986">
        <f>IFERROR(VLOOKUP(A1986,库龄!B:K,9,0),0)</f>
        <v>0</v>
      </c>
      <c r="K1986">
        <f>IFERROR(VLOOKUP(A1986,库龄!B:L,10,0),0)</f>
        <v>0</v>
      </c>
      <c r="L1986">
        <f>IFERROR(VLOOKUP(A1986,库龄!B:M,11,0),0)</f>
        <v>0</v>
      </c>
      <c r="M1986">
        <f>IFERROR(VLOOKUP(A1986,库龄!B:N,12,0),0)</f>
        <v>0</v>
      </c>
      <c r="N1986">
        <f t="shared" si="62"/>
        <v>0</v>
      </c>
    </row>
    <row r="1987" spans="1:14">
      <c r="A1987" s="3" t="s">
        <v>5053</v>
      </c>
      <c r="B1987">
        <f>IFERROR(VLOOKUP(A1987,管理亚马逊库存!A:K,11,0),"")</f>
        <v>24</v>
      </c>
      <c r="C1987">
        <f>IFERROR(VLOOKUP(A1987,管理亚马逊库存!A:L,12,0),"")</f>
        <v>0</v>
      </c>
      <c r="D1987">
        <f>IFERROR(VLOOKUP(A1987,管理亚马逊库存!A:Q,17,0),"")</f>
        <v>0</v>
      </c>
      <c r="E1987">
        <f>IFERROR(VLOOKUP(A1987,管理亚马逊库存!A:R,18,0),"")</f>
        <v>0</v>
      </c>
      <c r="F1987">
        <f t="shared" ref="F1987:F2050" si="63">SUM(D1987:E1987)</f>
        <v>0</v>
      </c>
      <c r="G1987">
        <f>IFERROR(VLOOKUP(A1987,预留库存!A:G,7,0),0)</f>
        <v>0</v>
      </c>
      <c r="H1987">
        <f>IFERROR(VLOOKUP(A1987,预留库存!A:H,8,0),0)</f>
        <v>0</v>
      </c>
      <c r="I1987">
        <f>IFERROR(VLOOKUP(A1987,预留库存!A:F,6,0),0)</f>
        <v>0</v>
      </c>
      <c r="J1987">
        <f>IFERROR(VLOOKUP(A1987,库龄!B:K,9,0),0)</f>
        <v>0</v>
      </c>
      <c r="K1987">
        <f>IFERROR(VLOOKUP(A1987,库龄!B:L,10,0),0)</f>
        <v>0</v>
      </c>
      <c r="L1987">
        <f>IFERROR(VLOOKUP(A1987,库龄!B:M,11,0),0)</f>
        <v>0</v>
      </c>
      <c r="M1987">
        <f>IFERROR(VLOOKUP(A1987,库龄!B:N,12,0),0)</f>
        <v>0</v>
      </c>
      <c r="N1987">
        <f t="shared" ref="N1987:N2050" si="64">SUM(J1987:M1987)</f>
        <v>0</v>
      </c>
    </row>
    <row r="1988" spans="1:14">
      <c r="A1988" s="3" t="s">
        <v>5054</v>
      </c>
      <c r="B1988">
        <f>IFERROR(VLOOKUP(A1988,管理亚马逊库存!A:K,11,0),"")</f>
        <v>29</v>
      </c>
      <c r="C1988">
        <f>IFERROR(VLOOKUP(A1988,管理亚马逊库存!A:L,12,0),"")</f>
        <v>0</v>
      </c>
      <c r="D1988">
        <f>IFERROR(VLOOKUP(A1988,管理亚马逊库存!A:Q,17,0),"")</f>
        <v>0</v>
      </c>
      <c r="E1988">
        <f>IFERROR(VLOOKUP(A1988,管理亚马逊库存!A:R,18,0),"")</f>
        <v>0</v>
      </c>
      <c r="F1988">
        <f t="shared" si="63"/>
        <v>0</v>
      </c>
      <c r="G1988">
        <f>IFERROR(VLOOKUP(A1988,预留库存!A:G,7,0),0)</f>
        <v>0</v>
      </c>
      <c r="H1988">
        <f>IFERROR(VLOOKUP(A1988,预留库存!A:H,8,0),0)</f>
        <v>0</v>
      </c>
      <c r="I1988">
        <f>IFERROR(VLOOKUP(A1988,预留库存!A:F,6,0),0)</f>
        <v>0</v>
      </c>
      <c r="J1988">
        <f>IFERROR(VLOOKUP(A1988,库龄!B:K,9,0),0)</f>
        <v>0</v>
      </c>
      <c r="K1988">
        <f>IFERROR(VLOOKUP(A1988,库龄!B:L,10,0),0)</f>
        <v>0</v>
      </c>
      <c r="L1988">
        <f>IFERROR(VLOOKUP(A1988,库龄!B:M,11,0),0)</f>
        <v>0</v>
      </c>
      <c r="M1988">
        <f>IFERROR(VLOOKUP(A1988,库龄!B:N,12,0),0)</f>
        <v>0</v>
      </c>
      <c r="N1988">
        <f t="shared" si="64"/>
        <v>0</v>
      </c>
    </row>
    <row r="1989" spans="1:14">
      <c r="A1989" s="3" t="s">
        <v>5055</v>
      </c>
      <c r="B1989">
        <f>IFERROR(VLOOKUP(A1989,管理亚马逊库存!A:K,11,0),"")</f>
        <v>11</v>
      </c>
      <c r="C1989">
        <f>IFERROR(VLOOKUP(A1989,管理亚马逊库存!A:L,12,0),"")</f>
        <v>0</v>
      </c>
      <c r="D1989">
        <f>IFERROR(VLOOKUP(A1989,管理亚马逊库存!A:Q,17,0),"")</f>
        <v>0</v>
      </c>
      <c r="E1989">
        <f>IFERROR(VLOOKUP(A1989,管理亚马逊库存!A:R,18,0),"")</f>
        <v>0</v>
      </c>
      <c r="F1989">
        <f t="shared" si="63"/>
        <v>0</v>
      </c>
      <c r="G1989">
        <f>IFERROR(VLOOKUP(A1989,预留库存!A:G,7,0),0)</f>
        <v>0</v>
      </c>
      <c r="H1989">
        <f>IFERROR(VLOOKUP(A1989,预留库存!A:H,8,0),0)</f>
        <v>0</v>
      </c>
      <c r="I1989">
        <f>IFERROR(VLOOKUP(A1989,预留库存!A:F,6,0),0)</f>
        <v>0</v>
      </c>
      <c r="J1989">
        <f>IFERROR(VLOOKUP(A1989,库龄!B:K,9,0),0)</f>
        <v>0</v>
      </c>
      <c r="K1989">
        <f>IFERROR(VLOOKUP(A1989,库龄!B:L,10,0),0)</f>
        <v>0</v>
      </c>
      <c r="L1989">
        <f>IFERROR(VLOOKUP(A1989,库龄!B:M,11,0),0)</f>
        <v>0</v>
      </c>
      <c r="M1989">
        <f>IFERROR(VLOOKUP(A1989,库龄!B:N,12,0),0)</f>
        <v>0</v>
      </c>
      <c r="N1989">
        <f t="shared" si="64"/>
        <v>0</v>
      </c>
    </row>
    <row r="1990" spans="1:14">
      <c r="A1990" s="3" t="s">
        <v>5056</v>
      </c>
      <c r="B1990">
        <f>IFERROR(VLOOKUP(A1990,管理亚马逊库存!A:K,11,0),"")</f>
        <v>13</v>
      </c>
      <c r="C1990">
        <f>IFERROR(VLOOKUP(A1990,管理亚马逊库存!A:L,12,0),"")</f>
        <v>0</v>
      </c>
      <c r="D1990">
        <f>IFERROR(VLOOKUP(A1990,管理亚马逊库存!A:Q,17,0),"")</f>
        <v>0</v>
      </c>
      <c r="E1990">
        <f>IFERROR(VLOOKUP(A1990,管理亚马逊库存!A:R,18,0),"")</f>
        <v>0</v>
      </c>
      <c r="F1990">
        <f t="shared" si="63"/>
        <v>0</v>
      </c>
      <c r="G1990">
        <f>IFERROR(VLOOKUP(A1990,预留库存!A:G,7,0),0)</f>
        <v>0</v>
      </c>
      <c r="H1990">
        <f>IFERROR(VLOOKUP(A1990,预留库存!A:H,8,0),0)</f>
        <v>0</v>
      </c>
      <c r="I1990">
        <f>IFERROR(VLOOKUP(A1990,预留库存!A:F,6,0),0)</f>
        <v>0</v>
      </c>
      <c r="J1990">
        <f>IFERROR(VLOOKUP(A1990,库龄!B:K,9,0),0)</f>
        <v>0</v>
      </c>
      <c r="K1990">
        <f>IFERROR(VLOOKUP(A1990,库龄!B:L,10,0),0)</f>
        <v>0</v>
      </c>
      <c r="L1990">
        <f>IFERROR(VLOOKUP(A1990,库龄!B:M,11,0),0)</f>
        <v>0</v>
      </c>
      <c r="M1990">
        <f>IFERROR(VLOOKUP(A1990,库龄!B:N,12,0),0)</f>
        <v>0</v>
      </c>
      <c r="N1990">
        <f t="shared" si="64"/>
        <v>0</v>
      </c>
    </row>
    <row r="1991" spans="1:14">
      <c r="A1991" s="3" t="s">
        <v>5057</v>
      </c>
      <c r="B1991">
        <f>IFERROR(VLOOKUP(A1991,管理亚马逊库存!A:K,11,0),"")</f>
        <v>0</v>
      </c>
      <c r="C1991">
        <f>IFERROR(VLOOKUP(A1991,管理亚马逊库存!A:L,12,0),"")</f>
        <v>0</v>
      </c>
      <c r="D1991">
        <f>IFERROR(VLOOKUP(A1991,管理亚马逊库存!A:Q,17,0),"")</f>
        <v>0</v>
      </c>
      <c r="E1991">
        <f>IFERROR(VLOOKUP(A1991,管理亚马逊库存!A:R,18,0),"")</f>
        <v>0</v>
      </c>
      <c r="F1991">
        <f t="shared" si="63"/>
        <v>0</v>
      </c>
      <c r="G1991">
        <f>IFERROR(VLOOKUP(A1991,预留库存!A:G,7,0),0)</f>
        <v>0</v>
      </c>
      <c r="H1991">
        <f>IFERROR(VLOOKUP(A1991,预留库存!A:H,8,0),0)</f>
        <v>0</v>
      </c>
      <c r="I1991">
        <f>IFERROR(VLOOKUP(A1991,预留库存!A:F,6,0),0)</f>
        <v>0</v>
      </c>
      <c r="J1991">
        <f>IFERROR(VLOOKUP(A1991,库龄!B:K,9,0),0)</f>
        <v>0</v>
      </c>
      <c r="K1991">
        <f>IFERROR(VLOOKUP(A1991,库龄!B:L,10,0),0)</f>
        <v>0</v>
      </c>
      <c r="L1991">
        <f>IFERROR(VLOOKUP(A1991,库龄!B:M,11,0),0)</f>
        <v>0</v>
      </c>
      <c r="M1991">
        <f>IFERROR(VLOOKUP(A1991,库龄!B:N,12,0),0)</f>
        <v>0</v>
      </c>
      <c r="N1991">
        <f t="shared" si="64"/>
        <v>0</v>
      </c>
    </row>
    <row r="1992" spans="1:14">
      <c r="A1992" s="3" t="s">
        <v>5058</v>
      </c>
      <c r="B1992">
        <f>IFERROR(VLOOKUP(A1992,管理亚马逊库存!A:K,11,0),"")</f>
        <v>15</v>
      </c>
      <c r="C1992">
        <f>IFERROR(VLOOKUP(A1992,管理亚马逊库存!A:L,12,0),"")</f>
        <v>0</v>
      </c>
      <c r="D1992">
        <f>IFERROR(VLOOKUP(A1992,管理亚马逊库存!A:Q,17,0),"")</f>
        <v>0</v>
      </c>
      <c r="E1992">
        <f>IFERROR(VLOOKUP(A1992,管理亚马逊库存!A:R,18,0),"")</f>
        <v>0</v>
      </c>
      <c r="F1992">
        <f t="shared" si="63"/>
        <v>0</v>
      </c>
      <c r="G1992">
        <f>IFERROR(VLOOKUP(A1992,预留库存!A:G,7,0),0)</f>
        <v>0</v>
      </c>
      <c r="H1992">
        <f>IFERROR(VLOOKUP(A1992,预留库存!A:H,8,0),0)</f>
        <v>0</v>
      </c>
      <c r="I1992">
        <f>IFERROR(VLOOKUP(A1992,预留库存!A:F,6,0),0)</f>
        <v>0</v>
      </c>
      <c r="J1992">
        <f>IFERROR(VLOOKUP(A1992,库龄!B:K,9,0),0)</f>
        <v>0</v>
      </c>
      <c r="K1992">
        <f>IFERROR(VLOOKUP(A1992,库龄!B:L,10,0),0)</f>
        <v>0</v>
      </c>
      <c r="L1992">
        <f>IFERROR(VLOOKUP(A1992,库龄!B:M,11,0),0)</f>
        <v>0</v>
      </c>
      <c r="M1992">
        <f>IFERROR(VLOOKUP(A1992,库龄!B:N,12,0),0)</f>
        <v>0</v>
      </c>
      <c r="N1992">
        <f t="shared" si="64"/>
        <v>0</v>
      </c>
    </row>
    <row r="1993" spans="1:14">
      <c r="A1993" s="3" t="s">
        <v>5059</v>
      </c>
      <c r="B1993">
        <f>IFERROR(VLOOKUP(A1993,管理亚马逊库存!A:K,11,0),"")</f>
        <v>4</v>
      </c>
      <c r="C1993">
        <f>IFERROR(VLOOKUP(A1993,管理亚马逊库存!A:L,12,0),"")</f>
        <v>0</v>
      </c>
      <c r="D1993">
        <f>IFERROR(VLOOKUP(A1993,管理亚马逊库存!A:Q,17,0),"")</f>
        <v>0</v>
      </c>
      <c r="E1993">
        <f>IFERROR(VLOOKUP(A1993,管理亚马逊库存!A:R,18,0),"")</f>
        <v>0</v>
      </c>
      <c r="F1993">
        <f t="shared" si="63"/>
        <v>0</v>
      </c>
      <c r="G1993">
        <f>IFERROR(VLOOKUP(A1993,预留库存!A:G,7,0),0)</f>
        <v>0</v>
      </c>
      <c r="H1993">
        <f>IFERROR(VLOOKUP(A1993,预留库存!A:H,8,0),0)</f>
        <v>0</v>
      </c>
      <c r="I1993">
        <f>IFERROR(VLOOKUP(A1993,预留库存!A:F,6,0),0)</f>
        <v>0</v>
      </c>
      <c r="J1993">
        <f>IFERROR(VLOOKUP(A1993,库龄!B:K,9,0),0)</f>
        <v>0</v>
      </c>
      <c r="K1993">
        <f>IFERROR(VLOOKUP(A1993,库龄!B:L,10,0),0)</f>
        <v>0</v>
      </c>
      <c r="L1993">
        <f>IFERROR(VLOOKUP(A1993,库龄!B:M,11,0),0)</f>
        <v>0</v>
      </c>
      <c r="M1993">
        <f>IFERROR(VLOOKUP(A1993,库龄!B:N,12,0),0)</f>
        <v>0</v>
      </c>
      <c r="N1993">
        <f t="shared" si="64"/>
        <v>0</v>
      </c>
    </row>
    <row r="1994" spans="1:14">
      <c r="A1994" s="3" t="s">
        <v>5060</v>
      </c>
      <c r="B1994">
        <f>IFERROR(VLOOKUP(A1994,管理亚马逊库存!A:K,11,0),"")</f>
        <v>0</v>
      </c>
      <c r="C1994">
        <f>IFERROR(VLOOKUP(A1994,管理亚马逊库存!A:L,12,0),"")</f>
        <v>0</v>
      </c>
      <c r="D1994">
        <f>IFERROR(VLOOKUP(A1994,管理亚马逊库存!A:Q,17,0),"")</f>
        <v>11</v>
      </c>
      <c r="E1994">
        <f>IFERROR(VLOOKUP(A1994,管理亚马逊库存!A:R,18,0),"")</f>
        <v>0</v>
      </c>
      <c r="F1994">
        <f t="shared" si="63"/>
        <v>11</v>
      </c>
      <c r="G1994">
        <f>IFERROR(VLOOKUP(A1994,预留库存!A:G,7,0),0)</f>
        <v>0</v>
      </c>
      <c r="H1994">
        <f>IFERROR(VLOOKUP(A1994,预留库存!A:H,8,0),0)</f>
        <v>0</v>
      </c>
      <c r="I1994">
        <f>IFERROR(VLOOKUP(A1994,预留库存!A:F,6,0),0)</f>
        <v>0</v>
      </c>
      <c r="J1994">
        <f>IFERROR(VLOOKUP(A1994,库龄!B:K,9,0),0)</f>
        <v>0</v>
      </c>
      <c r="K1994">
        <f>IFERROR(VLOOKUP(A1994,库龄!B:L,10,0),0)</f>
        <v>0</v>
      </c>
      <c r="L1994">
        <f>IFERROR(VLOOKUP(A1994,库龄!B:M,11,0),0)</f>
        <v>0</v>
      </c>
      <c r="M1994">
        <f>IFERROR(VLOOKUP(A1994,库龄!B:N,12,0),0)</f>
        <v>0</v>
      </c>
      <c r="N1994">
        <f t="shared" si="64"/>
        <v>0</v>
      </c>
    </row>
    <row r="1995" spans="1:14">
      <c r="A1995" s="3" t="s">
        <v>5061</v>
      </c>
      <c r="B1995">
        <f>IFERROR(VLOOKUP(A1995,管理亚马逊库存!A:K,11,0),"")</f>
        <v>7</v>
      </c>
      <c r="C1995">
        <f>IFERROR(VLOOKUP(A1995,管理亚马逊库存!A:L,12,0),"")</f>
        <v>0</v>
      </c>
      <c r="D1995">
        <f>IFERROR(VLOOKUP(A1995,管理亚马逊库存!A:Q,17,0),"")</f>
        <v>0</v>
      </c>
      <c r="E1995">
        <f>IFERROR(VLOOKUP(A1995,管理亚马逊库存!A:R,18,0),"")</f>
        <v>0</v>
      </c>
      <c r="F1995">
        <f t="shared" si="63"/>
        <v>0</v>
      </c>
      <c r="G1995">
        <f>IFERROR(VLOOKUP(A1995,预留库存!A:G,7,0),0)</f>
        <v>0</v>
      </c>
      <c r="H1995">
        <f>IFERROR(VLOOKUP(A1995,预留库存!A:H,8,0),0)</f>
        <v>0</v>
      </c>
      <c r="I1995">
        <f>IFERROR(VLOOKUP(A1995,预留库存!A:F,6,0),0)</f>
        <v>0</v>
      </c>
      <c r="J1995">
        <f>IFERROR(VLOOKUP(A1995,库龄!B:K,9,0),0)</f>
        <v>0</v>
      </c>
      <c r="K1995">
        <f>IFERROR(VLOOKUP(A1995,库龄!B:L,10,0),0)</f>
        <v>0</v>
      </c>
      <c r="L1995">
        <f>IFERROR(VLOOKUP(A1995,库龄!B:M,11,0),0)</f>
        <v>0</v>
      </c>
      <c r="M1995">
        <f>IFERROR(VLOOKUP(A1995,库龄!B:N,12,0),0)</f>
        <v>0</v>
      </c>
      <c r="N1995">
        <f t="shared" si="64"/>
        <v>0</v>
      </c>
    </row>
    <row r="1996" spans="1:14">
      <c r="A1996" s="3" t="s">
        <v>5062</v>
      </c>
      <c r="B1996">
        <f>IFERROR(VLOOKUP(A1996,管理亚马逊库存!A:K,11,0),"")</f>
        <v>0</v>
      </c>
      <c r="C1996">
        <f>IFERROR(VLOOKUP(A1996,管理亚马逊库存!A:L,12,0),"")</f>
        <v>0</v>
      </c>
      <c r="D1996">
        <f>IFERROR(VLOOKUP(A1996,管理亚马逊库存!A:Q,17,0),"")</f>
        <v>0</v>
      </c>
      <c r="E1996">
        <f>IFERROR(VLOOKUP(A1996,管理亚马逊库存!A:R,18,0),"")</f>
        <v>0</v>
      </c>
      <c r="F1996">
        <f t="shared" si="63"/>
        <v>0</v>
      </c>
      <c r="G1996" t="str">
        <f>IFERROR(VLOOKUP(A1996,预留库存!A:G,7,0),0)</f>
        <v>No</v>
      </c>
      <c r="H1996">
        <f>IFERROR(VLOOKUP(A1996,预留库存!A:H,8,0),0)</f>
        <v>0</v>
      </c>
      <c r="I1996">
        <f>IFERROR(VLOOKUP(A1996,预留库存!A:F,6,0),0)</f>
        <v>22.98</v>
      </c>
      <c r="J1996">
        <f>IFERROR(VLOOKUP(A1996,库龄!B:K,9,0),0)</f>
        <v>0</v>
      </c>
      <c r="K1996">
        <f>IFERROR(VLOOKUP(A1996,库龄!B:L,10,0),0)</f>
        <v>0</v>
      </c>
      <c r="L1996">
        <f>IFERROR(VLOOKUP(A1996,库龄!B:M,11,0),0)</f>
        <v>0</v>
      </c>
      <c r="M1996">
        <f>IFERROR(VLOOKUP(A1996,库龄!B:N,12,0),0)</f>
        <v>0</v>
      </c>
      <c r="N1996">
        <f t="shared" si="64"/>
        <v>0</v>
      </c>
    </row>
    <row r="1997" spans="1:14">
      <c r="A1997" s="3" t="s">
        <v>5064</v>
      </c>
      <c r="B1997">
        <f>IFERROR(VLOOKUP(A1997,管理亚马逊库存!A:K,11,0),"")</f>
        <v>0</v>
      </c>
      <c r="C1997">
        <f>IFERROR(VLOOKUP(A1997,管理亚马逊库存!A:L,12,0),"")</f>
        <v>0</v>
      </c>
      <c r="D1997">
        <f>IFERROR(VLOOKUP(A1997,管理亚马逊库存!A:Q,17,0),"")</f>
        <v>0</v>
      </c>
      <c r="E1997">
        <f>IFERROR(VLOOKUP(A1997,管理亚马逊库存!A:R,18,0),"")</f>
        <v>0</v>
      </c>
      <c r="F1997">
        <f t="shared" si="63"/>
        <v>0</v>
      </c>
      <c r="G1997">
        <f>IFERROR(VLOOKUP(A1997,预留库存!A:G,7,0),0)</f>
        <v>0</v>
      </c>
      <c r="H1997">
        <f>IFERROR(VLOOKUP(A1997,预留库存!A:H,8,0),0)</f>
        <v>0</v>
      </c>
      <c r="I1997">
        <f>IFERROR(VLOOKUP(A1997,预留库存!A:F,6,0),0)</f>
        <v>0</v>
      </c>
      <c r="J1997">
        <f>IFERROR(VLOOKUP(A1997,库龄!B:K,9,0),0)</f>
        <v>0</v>
      </c>
      <c r="K1997">
        <f>IFERROR(VLOOKUP(A1997,库龄!B:L,10,0),0)</f>
        <v>0</v>
      </c>
      <c r="L1997">
        <f>IFERROR(VLOOKUP(A1997,库龄!B:M,11,0),0)</f>
        <v>0</v>
      </c>
      <c r="M1997">
        <f>IFERROR(VLOOKUP(A1997,库龄!B:N,12,0),0)</f>
        <v>0</v>
      </c>
      <c r="N1997">
        <f t="shared" si="64"/>
        <v>0</v>
      </c>
    </row>
    <row r="1998" spans="1:14">
      <c r="A1998" s="3" t="s">
        <v>5066</v>
      </c>
      <c r="B1998">
        <f>IFERROR(VLOOKUP(A1998,管理亚马逊库存!A:K,11,0),"")</f>
        <v>0</v>
      </c>
      <c r="C1998">
        <f>IFERROR(VLOOKUP(A1998,管理亚马逊库存!A:L,12,0),"")</f>
        <v>0</v>
      </c>
      <c r="D1998">
        <f>IFERROR(VLOOKUP(A1998,管理亚马逊库存!A:Q,17,0),"")</f>
        <v>0</v>
      </c>
      <c r="E1998">
        <f>IFERROR(VLOOKUP(A1998,管理亚马逊库存!A:R,18,0),"")</f>
        <v>0</v>
      </c>
      <c r="F1998">
        <f t="shared" si="63"/>
        <v>0</v>
      </c>
      <c r="G1998">
        <f>IFERROR(VLOOKUP(A1998,预留库存!A:G,7,0),0)</f>
        <v>0</v>
      </c>
      <c r="H1998">
        <f>IFERROR(VLOOKUP(A1998,预留库存!A:H,8,0),0)</f>
        <v>0</v>
      </c>
      <c r="I1998">
        <f>IFERROR(VLOOKUP(A1998,预留库存!A:F,6,0),0)</f>
        <v>0</v>
      </c>
      <c r="J1998">
        <f>IFERROR(VLOOKUP(A1998,库龄!B:K,9,0),0)</f>
        <v>0</v>
      </c>
      <c r="K1998">
        <f>IFERROR(VLOOKUP(A1998,库龄!B:L,10,0),0)</f>
        <v>0</v>
      </c>
      <c r="L1998">
        <f>IFERROR(VLOOKUP(A1998,库龄!B:M,11,0),0)</f>
        <v>0</v>
      </c>
      <c r="M1998">
        <f>IFERROR(VLOOKUP(A1998,库龄!B:N,12,0),0)</f>
        <v>0</v>
      </c>
      <c r="N1998">
        <f t="shared" si="64"/>
        <v>0</v>
      </c>
    </row>
    <row r="1999" spans="1:14">
      <c r="A1999" s="3" t="s">
        <v>5068</v>
      </c>
      <c r="B1999">
        <f>IFERROR(VLOOKUP(A1999,管理亚马逊库存!A:K,11,0),"")</f>
        <v>0</v>
      </c>
      <c r="C1999">
        <f>IFERROR(VLOOKUP(A1999,管理亚马逊库存!A:L,12,0),"")</f>
        <v>0</v>
      </c>
      <c r="D1999">
        <f>IFERROR(VLOOKUP(A1999,管理亚马逊库存!A:Q,17,0),"")</f>
        <v>0</v>
      </c>
      <c r="E1999">
        <f>IFERROR(VLOOKUP(A1999,管理亚马逊库存!A:R,18,0),"")</f>
        <v>0</v>
      </c>
      <c r="F1999">
        <f t="shared" si="63"/>
        <v>0</v>
      </c>
      <c r="G1999">
        <f>IFERROR(VLOOKUP(A1999,预留库存!A:G,7,0),0)</f>
        <v>0</v>
      </c>
      <c r="H1999">
        <f>IFERROR(VLOOKUP(A1999,预留库存!A:H,8,0),0)</f>
        <v>0</v>
      </c>
      <c r="I1999">
        <f>IFERROR(VLOOKUP(A1999,预留库存!A:F,6,0),0)</f>
        <v>0</v>
      </c>
      <c r="J1999">
        <f>IFERROR(VLOOKUP(A1999,库龄!B:K,9,0),0)</f>
        <v>0</v>
      </c>
      <c r="K1999">
        <f>IFERROR(VLOOKUP(A1999,库龄!B:L,10,0),0)</f>
        <v>0</v>
      </c>
      <c r="L1999">
        <f>IFERROR(VLOOKUP(A1999,库龄!B:M,11,0),0)</f>
        <v>0</v>
      </c>
      <c r="M1999">
        <f>IFERROR(VLOOKUP(A1999,库龄!B:N,12,0),0)</f>
        <v>0</v>
      </c>
      <c r="N1999">
        <f t="shared" si="64"/>
        <v>0</v>
      </c>
    </row>
    <row r="2000" spans="1:14">
      <c r="A2000" s="3" t="s">
        <v>5070</v>
      </c>
      <c r="B2000">
        <f>IFERROR(VLOOKUP(A2000,管理亚马逊库存!A:K,11,0),"")</f>
        <v>1</v>
      </c>
      <c r="C2000">
        <f>IFERROR(VLOOKUP(A2000,管理亚马逊库存!A:L,12,0),"")</f>
        <v>0</v>
      </c>
      <c r="D2000">
        <f>IFERROR(VLOOKUP(A2000,管理亚马逊库存!A:Q,17,0),"")</f>
        <v>0</v>
      </c>
      <c r="E2000">
        <f>IFERROR(VLOOKUP(A2000,管理亚马逊库存!A:R,18,0),"")</f>
        <v>0</v>
      </c>
      <c r="F2000">
        <f t="shared" si="63"/>
        <v>0</v>
      </c>
      <c r="G2000">
        <f>IFERROR(VLOOKUP(A2000,预留库存!A:G,7,0),0)</f>
        <v>0</v>
      </c>
      <c r="H2000">
        <f>IFERROR(VLOOKUP(A2000,预留库存!A:H,8,0),0)</f>
        <v>0</v>
      </c>
      <c r="I2000">
        <f>IFERROR(VLOOKUP(A2000,预留库存!A:F,6,0),0)</f>
        <v>0</v>
      </c>
      <c r="J2000">
        <f>IFERROR(VLOOKUP(A2000,库龄!B:K,9,0),0)</f>
        <v>0</v>
      </c>
      <c r="K2000">
        <f>IFERROR(VLOOKUP(A2000,库龄!B:L,10,0),0)</f>
        <v>0</v>
      </c>
      <c r="L2000">
        <f>IFERROR(VLOOKUP(A2000,库龄!B:M,11,0),0)</f>
        <v>0</v>
      </c>
      <c r="M2000">
        <f>IFERROR(VLOOKUP(A2000,库龄!B:N,12,0),0)</f>
        <v>0</v>
      </c>
      <c r="N2000">
        <f t="shared" si="64"/>
        <v>0</v>
      </c>
    </row>
    <row r="2001" spans="1:14">
      <c r="A2001" s="3" t="s">
        <v>5071</v>
      </c>
      <c r="B2001">
        <f>IFERROR(VLOOKUP(A2001,管理亚马逊库存!A:K,11,0),"")</f>
        <v>0</v>
      </c>
      <c r="C2001">
        <f>IFERROR(VLOOKUP(A2001,管理亚马逊库存!A:L,12,0),"")</f>
        <v>0</v>
      </c>
      <c r="D2001">
        <f>IFERROR(VLOOKUP(A2001,管理亚马逊库存!A:Q,17,0),"")</f>
        <v>0</v>
      </c>
      <c r="E2001">
        <f>IFERROR(VLOOKUP(A2001,管理亚马逊库存!A:R,18,0),"")</f>
        <v>0</v>
      </c>
      <c r="F2001">
        <f t="shared" si="63"/>
        <v>0</v>
      </c>
      <c r="G2001">
        <f>IFERROR(VLOOKUP(A2001,预留库存!A:G,7,0),0)</f>
        <v>0</v>
      </c>
      <c r="H2001">
        <f>IFERROR(VLOOKUP(A2001,预留库存!A:H,8,0),0)</f>
        <v>0</v>
      </c>
      <c r="I2001">
        <f>IFERROR(VLOOKUP(A2001,预留库存!A:F,6,0),0)</f>
        <v>0</v>
      </c>
      <c r="J2001">
        <f>IFERROR(VLOOKUP(A2001,库龄!B:K,9,0),0)</f>
        <v>0</v>
      </c>
      <c r="K2001">
        <f>IFERROR(VLOOKUP(A2001,库龄!B:L,10,0),0)</f>
        <v>0</v>
      </c>
      <c r="L2001">
        <f>IFERROR(VLOOKUP(A2001,库龄!B:M,11,0),0)</f>
        <v>0</v>
      </c>
      <c r="M2001">
        <f>IFERROR(VLOOKUP(A2001,库龄!B:N,12,0),0)</f>
        <v>0</v>
      </c>
      <c r="N2001">
        <f t="shared" si="64"/>
        <v>0</v>
      </c>
    </row>
    <row r="2002" spans="1:14">
      <c r="A2002" s="3" t="s">
        <v>5073</v>
      </c>
      <c r="B2002">
        <f>IFERROR(VLOOKUP(A2002,管理亚马逊库存!A:K,11,0),"")</f>
        <v>0</v>
      </c>
      <c r="C2002">
        <f>IFERROR(VLOOKUP(A2002,管理亚马逊库存!A:L,12,0),"")</f>
        <v>0</v>
      </c>
      <c r="D2002">
        <f>IFERROR(VLOOKUP(A2002,管理亚马逊库存!A:Q,17,0),"")</f>
        <v>0</v>
      </c>
      <c r="E2002">
        <f>IFERROR(VLOOKUP(A2002,管理亚马逊库存!A:R,18,0),"")</f>
        <v>0</v>
      </c>
      <c r="F2002">
        <f t="shared" si="63"/>
        <v>0</v>
      </c>
      <c r="G2002" t="str">
        <f>IFERROR(VLOOKUP(A2002,预留库存!A:G,7,0),0)</f>
        <v>No</v>
      </c>
      <c r="H2002">
        <f>IFERROR(VLOOKUP(A2002,预留库存!A:H,8,0),0)</f>
        <v>0</v>
      </c>
      <c r="I2002">
        <f>IFERROR(VLOOKUP(A2002,预留库存!A:F,6,0),0)</f>
        <v>26.98</v>
      </c>
      <c r="J2002">
        <f>IFERROR(VLOOKUP(A2002,库龄!B:K,9,0),0)</f>
        <v>0</v>
      </c>
      <c r="K2002">
        <f>IFERROR(VLOOKUP(A2002,库龄!B:L,10,0),0)</f>
        <v>0</v>
      </c>
      <c r="L2002">
        <f>IFERROR(VLOOKUP(A2002,库龄!B:M,11,0),0)</f>
        <v>0</v>
      </c>
      <c r="M2002">
        <f>IFERROR(VLOOKUP(A2002,库龄!B:N,12,0),0)</f>
        <v>0</v>
      </c>
      <c r="N2002">
        <f t="shared" si="64"/>
        <v>0</v>
      </c>
    </row>
    <row r="2003" spans="1:14">
      <c r="A2003" s="3" t="s">
        <v>5076</v>
      </c>
      <c r="B2003">
        <f>IFERROR(VLOOKUP(A2003,管理亚马逊库存!A:K,11,0),"")</f>
        <v>0</v>
      </c>
      <c r="C2003">
        <f>IFERROR(VLOOKUP(A2003,管理亚马逊库存!A:L,12,0),"")</f>
        <v>0</v>
      </c>
      <c r="D2003">
        <f>IFERROR(VLOOKUP(A2003,管理亚马逊库存!A:Q,17,0),"")</f>
        <v>0</v>
      </c>
      <c r="E2003">
        <f>IFERROR(VLOOKUP(A2003,管理亚马逊库存!A:R,18,0),"")</f>
        <v>0</v>
      </c>
      <c r="F2003">
        <f t="shared" si="63"/>
        <v>0</v>
      </c>
      <c r="G2003">
        <f>IFERROR(VLOOKUP(A2003,预留库存!A:G,7,0),0)</f>
        <v>0</v>
      </c>
      <c r="H2003">
        <f>IFERROR(VLOOKUP(A2003,预留库存!A:H,8,0),0)</f>
        <v>0</v>
      </c>
      <c r="I2003">
        <f>IFERROR(VLOOKUP(A2003,预留库存!A:F,6,0),0)</f>
        <v>0</v>
      </c>
      <c r="J2003">
        <f>IFERROR(VLOOKUP(A2003,库龄!B:K,9,0),0)</f>
        <v>0</v>
      </c>
      <c r="K2003">
        <f>IFERROR(VLOOKUP(A2003,库龄!B:L,10,0),0)</f>
        <v>0</v>
      </c>
      <c r="L2003">
        <f>IFERROR(VLOOKUP(A2003,库龄!B:M,11,0),0)</f>
        <v>0</v>
      </c>
      <c r="M2003">
        <f>IFERROR(VLOOKUP(A2003,库龄!B:N,12,0),0)</f>
        <v>0</v>
      </c>
      <c r="N2003">
        <f t="shared" si="64"/>
        <v>0</v>
      </c>
    </row>
    <row r="2004" spans="1:14">
      <c r="A2004" s="3" t="s">
        <v>5078</v>
      </c>
      <c r="B2004">
        <f>IFERROR(VLOOKUP(A2004,管理亚马逊库存!A:K,11,0),"")</f>
        <v>0</v>
      </c>
      <c r="C2004">
        <f>IFERROR(VLOOKUP(A2004,管理亚马逊库存!A:L,12,0),"")</f>
        <v>0</v>
      </c>
      <c r="D2004">
        <f>IFERROR(VLOOKUP(A2004,管理亚马逊库存!A:Q,17,0),"")</f>
        <v>0</v>
      </c>
      <c r="E2004">
        <f>IFERROR(VLOOKUP(A2004,管理亚马逊库存!A:R,18,0),"")</f>
        <v>0</v>
      </c>
      <c r="F2004">
        <f t="shared" si="63"/>
        <v>0</v>
      </c>
      <c r="G2004">
        <f>IFERROR(VLOOKUP(A2004,预留库存!A:G,7,0),0)</f>
        <v>0</v>
      </c>
      <c r="H2004">
        <f>IFERROR(VLOOKUP(A2004,预留库存!A:H,8,0),0)</f>
        <v>0</v>
      </c>
      <c r="I2004">
        <f>IFERROR(VLOOKUP(A2004,预留库存!A:F,6,0),0)</f>
        <v>0</v>
      </c>
      <c r="J2004">
        <f>IFERROR(VLOOKUP(A2004,库龄!B:K,9,0),0)</f>
        <v>0</v>
      </c>
      <c r="K2004">
        <f>IFERROR(VLOOKUP(A2004,库龄!B:L,10,0),0)</f>
        <v>0</v>
      </c>
      <c r="L2004">
        <f>IFERROR(VLOOKUP(A2004,库龄!B:M,11,0),0)</f>
        <v>0</v>
      </c>
      <c r="M2004">
        <f>IFERROR(VLOOKUP(A2004,库龄!B:N,12,0),0)</f>
        <v>0</v>
      </c>
      <c r="N2004">
        <f t="shared" si="64"/>
        <v>0</v>
      </c>
    </row>
    <row r="2005" spans="1:14">
      <c r="A2005" s="3" t="s">
        <v>5080</v>
      </c>
      <c r="B2005">
        <f>IFERROR(VLOOKUP(A2005,管理亚马逊库存!A:K,11,0),"")</f>
        <v>23</v>
      </c>
      <c r="C2005">
        <f>IFERROR(VLOOKUP(A2005,管理亚马逊库存!A:L,12,0),"")</f>
        <v>0</v>
      </c>
      <c r="D2005">
        <f>IFERROR(VLOOKUP(A2005,管理亚马逊库存!A:Q,17,0),"")</f>
        <v>0</v>
      </c>
      <c r="E2005">
        <f>IFERROR(VLOOKUP(A2005,管理亚马逊库存!A:R,18,0),"")</f>
        <v>0</v>
      </c>
      <c r="F2005">
        <f t="shared" si="63"/>
        <v>0</v>
      </c>
      <c r="G2005" t="str">
        <f>IFERROR(VLOOKUP(A2005,预留库存!A:G,7,0),0)</f>
        <v>No</v>
      </c>
      <c r="H2005">
        <f>IFERROR(VLOOKUP(A2005,预留库存!A:H,8,0),0)</f>
        <v>0</v>
      </c>
      <c r="I2005">
        <f>IFERROR(VLOOKUP(A2005,预留库存!A:F,6,0),0)</f>
        <v>22.98</v>
      </c>
      <c r="J2005">
        <f>IFERROR(VLOOKUP(A2005,库龄!B:K,9,0),0)</f>
        <v>7</v>
      </c>
      <c r="K2005">
        <f>IFERROR(VLOOKUP(A2005,库龄!B:L,10,0),0)</f>
        <v>0</v>
      </c>
      <c r="L2005">
        <f>IFERROR(VLOOKUP(A2005,库龄!B:M,11,0),0)</f>
        <v>0</v>
      </c>
      <c r="M2005">
        <f>IFERROR(VLOOKUP(A2005,库龄!B:N,12,0),0)</f>
        <v>0</v>
      </c>
      <c r="N2005">
        <f t="shared" si="64"/>
        <v>7</v>
      </c>
    </row>
    <row r="2006" spans="1:14">
      <c r="A2006" s="3" t="s">
        <v>5081</v>
      </c>
      <c r="B2006">
        <f>IFERROR(VLOOKUP(A2006,管理亚马逊库存!A:K,11,0),"")</f>
        <v>23</v>
      </c>
      <c r="C2006">
        <f>IFERROR(VLOOKUP(A2006,管理亚马逊库存!A:L,12,0),"")</f>
        <v>0</v>
      </c>
      <c r="D2006">
        <f>IFERROR(VLOOKUP(A2006,管理亚马逊库存!A:Q,17,0),"")</f>
        <v>0</v>
      </c>
      <c r="E2006">
        <f>IFERROR(VLOOKUP(A2006,管理亚马逊库存!A:R,18,0),"")</f>
        <v>0</v>
      </c>
      <c r="F2006">
        <f t="shared" si="63"/>
        <v>0</v>
      </c>
      <c r="G2006" t="str">
        <f>IFERROR(VLOOKUP(A2006,预留库存!A:G,7,0),0)</f>
        <v>No</v>
      </c>
      <c r="H2006">
        <f>IFERROR(VLOOKUP(A2006,预留库存!A:H,8,0),0)</f>
        <v>0</v>
      </c>
      <c r="I2006">
        <f>IFERROR(VLOOKUP(A2006,预留库存!A:F,6,0),0)</f>
        <v>22.98</v>
      </c>
      <c r="J2006">
        <f>IFERROR(VLOOKUP(A2006,库龄!B:K,9,0),0)</f>
        <v>0</v>
      </c>
      <c r="K2006">
        <f>IFERROR(VLOOKUP(A2006,库龄!B:L,10,0),0)</f>
        <v>0</v>
      </c>
      <c r="L2006">
        <f>IFERROR(VLOOKUP(A2006,库龄!B:M,11,0),0)</f>
        <v>0</v>
      </c>
      <c r="M2006">
        <f>IFERROR(VLOOKUP(A2006,库龄!B:N,12,0),0)</f>
        <v>0</v>
      </c>
      <c r="N2006">
        <f t="shared" si="64"/>
        <v>0</v>
      </c>
    </row>
    <row r="2007" spans="1:14">
      <c r="A2007" s="3" t="s">
        <v>5082</v>
      </c>
      <c r="B2007">
        <f>IFERROR(VLOOKUP(A2007,管理亚马逊库存!A:K,11,0),"")</f>
        <v>15</v>
      </c>
      <c r="C2007">
        <f>IFERROR(VLOOKUP(A2007,管理亚马逊库存!A:L,12,0),"")</f>
        <v>0</v>
      </c>
      <c r="D2007">
        <f>IFERROR(VLOOKUP(A2007,管理亚马逊库存!A:Q,17,0),"")</f>
        <v>0</v>
      </c>
      <c r="E2007">
        <f>IFERROR(VLOOKUP(A2007,管理亚马逊库存!A:R,18,0),"")</f>
        <v>0</v>
      </c>
      <c r="F2007">
        <f t="shared" si="63"/>
        <v>0</v>
      </c>
      <c r="G2007" t="str">
        <f>IFERROR(VLOOKUP(A2007,预留库存!A:G,7,0),0)</f>
        <v>No</v>
      </c>
      <c r="H2007">
        <f>IFERROR(VLOOKUP(A2007,预留库存!A:H,8,0),0)</f>
        <v>0</v>
      </c>
      <c r="I2007">
        <f>IFERROR(VLOOKUP(A2007,预留库存!A:F,6,0),0)</f>
        <v>22.98</v>
      </c>
      <c r="J2007">
        <f>IFERROR(VLOOKUP(A2007,库龄!B:K,9,0),0)</f>
        <v>0</v>
      </c>
      <c r="K2007">
        <f>IFERROR(VLOOKUP(A2007,库龄!B:L,10,0),0)</f>
        <v>0</v>
      </c>
      <c r="L2007">
        <f>IFERROR(VLOOKUP(A2007,库龄!B:M,11,0),0)</f>
        <v>0</v>
      </c>
      <c r="M2007">
        <f>IFERROR(VLOOKUP(A2007,库龄!B:N,12,0),0)</f>
        <v>0</v>
      </c>
      <c r="N2007">
        <f t="shared" si="64"/>
        <v>0</v>
      </c>
    </row>
    <row r="2008" spans="1:14">
      <c r="A2008" s="3" t="s">
        <v>5083</v>
      </c>
      <c r="B2008">
        <f>IFERROR(VLOOKUP(A2008,管理亚马逊库存!A:K,11,0),"")</f>
        <v>9</v>
      </c>
      <c r="C2008">
        <f>IFERROR(VLOOKUP(A2008,管理亚马逊库存!A:L,12,0),"")</f>
        <v>0</v>
      </c>
      <c r="D2008">
        <f>IFERROR(VLOOKUP(A2008,管理亚马逊库存!A:Q,17,0),"")</f>
        <v>0</v>
      </c>
      <c r="E2008">
        <f>IFERROR(VLOOKUP(A2008,管理亚马逊库存!A:R,18,0),"")</f>
        <v>0</v>
      </c>
      <c r="F2008">
        <f t="shared" si="63"/>
        <v>0</v>
      </c>
      <c r="G2008" t="str">
        <f>IFERROR(VLOOKUP(A2008,预留库存!A:G,7,0),0)</f>
        <v>No</v>
      </c>
      <c r="H2008">
        <f>IFERROR(VLOOKUP(A2008,预留库存!A:H,8,0),0)</f>
        <v>0</v>
      </c>
      <c r="I2008">
        <f>IFERROR(VLOOKUP(A2008,预留库存!A:F,6,0),0)</f>
        <v>22.98</v>
      </c>
      <c r="J2008">
        <f>IFERROR(VLOOKUP(A2008,库龄!B:K,9,0),0)</f>
        <v>0</v>
      </c>
      <c r="K2008">
        <f>IFERROR(VLOOKUP(A2008,库龄!B:L,10,0),0)</f>
        <v>0</v>
      </c>
      <c r="L2008">
        <f>IFERROR(VLOOKUP(A2008,库龄!B:M,11,0),0)</f>
        <v>0</v>
      </c>
      <c r="M2008">
        <f>IFERROR(VLOOKUP(A2008,库龄!B:N,12,0),0)</f>
        <v>0</v>
      </c>
      <c r="N2008">
        <f t="shared" si="64"/>
        <v>0</v>
      </c>
    </row>
    <row r="2009" spans="1:14">
      <c r="A2009" s="3" t="s">
        <v>5084</v>
      </c>
      <c r="B2009">
        <f>IFERROR(VLOOKUP(A2009,管理亚马逊库存!A:K,11,0),"")</f>
        <v>16</v>
      </c>
      <c r="C2009">
        <f>IFERROR(VLOOKUP(A2009,管理亚马逊库存!A:L,12,0),"")</f>
        <v>0</v>
      </c>
      <c r="D2009">
        <f>IFERROR(VLOOKUP(A2009,管理亚马逊库存!A:Q,17,0),"")</f>
        <v>0</v>
      </c>
      <c r="E2009">
        <f>IFERROR(VLOOKUP(A2009,管理亚马逊库存!A:R,18,0),"")</f>
        <v>0</v>
      </c>
      <c r="F2009">
        <f t="shared" si="63"/>
        <v>0</v>
      </c>
      <c r="G2009" t="str">
        <f>IFERROR(VLOOKUP(A2009,预留库存!A:G,7,0),0)</f>
        <v>No</v>
      </c>
      <c r="H2009">
        <f>IFERROR(VLOOKUP(A2009,预留库存!A:H,8,0),0)</f>
        <v>0</v>
      </c>
      <c r="I2009">
        <f>IFERROR(VLOOKUP(A2009,预留库存!A:F,6,0),0)</f>
        <v>22.98</v>
      </c>
      <c r="J2009">
        <f>IFERROR(VLOOKUP(A2009,库龄!B:K,9,0),0)</f>
        <v>0</v>
      </c>
      <c r="K2009">
        <f>IFERROR(VLOOKUP(A2009,库龄!B:L,10,0),0)</f>
        <v>0</v>
      </c>
      <c r="L2009">
        <f>IFERROR(VLOOKUP(A2009,库龄!B:M,11,0),0)</f>
        <v>0</v>
      </c>
      <c r="M2009">
        <f>IFERROR(VLOOKUP(A2009,库龄!B:N,12,0),0)</f>
        <v>0</v>
      </c>
      <c r="N2009">
        <f t="shared" si="64"/>
        <v>0</v>
      </c>
    </row>
    <row r="2010" spans="1:14">
      <c r="A2010" s="3" t="s">
        <v>5085</v>
      </c>
      <c r="B2010">
        <f>IFERROR(VLOOKUP(A2010,管理亚马逊库存!A:K,11,0),"")</f>
        <v>32</v>
      </c>
      <c r="C2010">
        <f>IFERROR(VLOOKUP(A2010,管理亚马逊库存!A:L,12,0),"")</f>
        <v>0</v>
      </c>
      <c r="D2010">
        <f>IFERROR(VLOOKUP(A2010,管理亚马逊库存!A:Q,17,0),"")</f>
        <v>0</v>
      </c>
      <c r="E2010">
        <f>IFERROR(VLOOKUP(A2010,管理亚马逊库存!A:R,18,0),"")</f>
        <v>0</v>
      </c>
      <c r="F2010">
        <f t="shared" si="63"/>
        <v>0</v>
      </c>
      <c r="G2010" t="str">
        <f>IFERROR(VLOOKUP(A2010,预留库存!A:G,7,0),0)</f>
        <v>No</v>
      </c>
      <c r="H2010">
        <f>IFERROR(VLOOKUP(A2010,预留库存!A:H,8,0),0)</f>
        <v>0</v>
      </c>
      <c r="I2010">
        <f>IFERROR(VLOOKUP(A2010,预留库存!A:F,6,0),0)</f>
        <v>22.98</v>
      </c>
      <c r="J2010">
        <f>IFERROR(VLOOKUP(A2010,库龄!B:K,9,0),0)</f>
        <v>0</v>
      </c>
      <c r="K2010">
        <f>IFERROR(VLOOKUP(A2010,库龄!B:L,10,0),0)</f>
        <v>0</v>
      </c>
      <c r="L2010">
        <f>IFERROR(VLOOKUP(A2010,库龄!B:M,11,0),0)</f>
        <v>0</v>
      </c>
      <c r="M2010">
        <f>IFERROR(VLOOKUP(A2010,库龄!B:N,12,0),0)</f>
        <v>0</v>
      </c>
      <c r="N2010">
        <f t="shared" si="64"/>
        <v>0</v>
      </c>
    </row>
    <row r="2011" spans="1:14">
      <c r="A2011" s="3" t="s">
        <v>5086</v>
      </c>
      <c r="B2011">
        <f>IFERROR(VLOOKUP(A2011,管理亚马逊库存!A:K,11,0),"")</f>
        <v>19</v>
      </c>
      <c r="C2011">
        <f>IFERROR(VLOOKUP(A2011,管理亚马逊库存!A:L,12,0),"")</f>
        <v>0</v>
      </c>
      <c r="D2011">
        <f>IFERROR(VLOOKUP(A2011,管理亚马逊库存!A:Q,17,0),"")</f>
        <v>0</v>
      </c>
      <c r="E2011">
        <f>IFERROR(VLOOKUP(A2011,管理亚马逊库存!A:R,18,0),"")</f>
        <v>0</v>
      </c>
      <c r="F2011">
        <f t="shared" si="63"/>
        <v>0</v>
      </c>
      <c r="G2011" t="str">
        <f>IFERROR(VLOOKUP(A2011,预留库存!A:G,7,0),0)</f>
        <v>No</v>
      </c>
      <c r="H2011">
        <f>IFERROR(VLOOKUP(A2011,预留库存!A:H,8,0),0)</f>
        <v>0</v>
      </c>
      <c r="I2011">
        <f>IFERROR(VLOOKUP(A2011,预留库存!A:F,6,0),0)</f>
        <v>22.98</v>
      </c>
      <c r="J2011">
        <f>IFERROR(VLOOKUP(A2011,库龄!B:K,9,0),0)</f>
        <v>0</v>
      </c>
      <c r="K2011">
        <f>IFERROR(VLOOKUP(A2011,库龄!B:L,10,0),0)</f>
        <v>0</v>
      </c>
      <c r="L2011">
        <f>IFERROR(VLOOKUP(A2011,库龄!B:M,11,0),0)</f>
        <v>0</v>
      </c>
      <c r="M2011">
        <f>IFERROR(VLOOKUP(A2011,库龄!B:N,12,0),0)</f>
        <v>0</v>
      </c>
      <c r="N2011">
        <f t="shared" si="64"/>
        <v>0</v>
      </c>
    </row>
    <row r="2012" spans="1:14">
      <c r="A2012" s="3" t="s">
        <v>5087</v>
      </c>
      <c r="B2012">
        <f>IFERROR(VLOOKUP(A2012,管理亚马逊库存!A:K,11,0),"")</f>
        <v>12</v>
      </c>
      <c r="C2012">
        <f>IFERROR(VLOOKUP(A2012,管理亚马逊库存!A:L,12,0),"")</f>
        <v>0</v>
      </c>
      <c r="D2012">
        <f>IFERROR(VLOOKUP(A2012,管理亚马逊库存!A:Q,17,0),"")</f>
        <v>0</v>
      </c>
      <c r="E2012">
        <f>IFERROR(VLOOKUP(A2012,管理亚马逊库存!A:R,18,0),"")</f>
        <v>0</v>
      </c>
      <c r="F2012">
        <f t="shared" si="63"/>
        <v>0</v>
      </c>
      <c r="G2012" t="str">
        <f>IFERROR(VLOOKUP(A2012,预留库存!A:G,7,0),0)</f>
        <v>No</v>
      </c>
      <c r="H2012">
        <f>IFERROR(VLOOKUP(A2012,预留库存!A:H,8,0),0)</f>
        <v>0</v>
      </c>
      <c r="I2012">
        <f>IFERROR(VLOOKUP(A2012,预留库存!A:F,6,0),0)</f>
        <v>22.98</v>
      </c>
      <c r="J2012">
        <f>IFERROR(VLOOKUP(A2012,库龄!B:K,9,0),0)</f>
        <v>0</v>
      </c>
      <c r="K2012">
        <f>IFERROR(VLOOKUP(A2012,库龄!B:L,10,0),0)</f>
        <v>0</v>
      </c>
      <c r="L2012">
        <f>IFERROR(VLOOKUP(A2012,库龄!B:M,11,0),0)</f>
        <v>0</v>
      </c>
      <c r="M2012">
        <f>IFERROR(VLOOKUP(A2012,库龄!B:N,12,0),0)</f>
        <v>0</v>
      </c>
      <c r="N2012">
        <f t="shared" si="64"/>
        <v>0</v>
      </c>
    </row>
    <row r="2013" spans="1:14">
      <c r="A2013" s="3" t="s">
        <v>5088</v>
      </c>
      <c r="B2013">
        <f>IFERROR(VLOOKUP(A2013,管理亚马逊库存!A:K,11,0),"")</f>
        <v>6</v>
      </c>
      <c r="C2013">
        <f>IFERROR(VLOOKUP(A2013,管理亚马逊库存!A:L,12,0),"")</f>
        <v>0</v>
      </c>
      <c r="D2013">
        <f>IFERROR(VLOOKUP(A2013,管理亚马逊库存!A:Q,17,0),"")</f>
        <v>0</v>
      </c>
      <c r="E2013">
        <f>IFERROR(VLOOKUP(A2013,管理亚马逊库存!A:R,18,0),"")</f>
        <v>0</v>
      </c>
      <c r="F2013">
        <f t="shared" si="63"/>
        <v>0</v>
      </c>
      <c r="G2013" t="str">
        <f>IFERROR(VLOOKUP(A2013,预留库存!A:G,7,0),0)</f>
        <v>No</v>
      </c>
      <c r="H2013">
        <f>IFERROR(VLOOKUP(A2013,预留库存!A:H,8,0),0)</f>
        <v>0</v>
      </c>
      <c r="I2013">
        <f>IFERROR(VLOOKUP(A2013,预留库存!A:F,6,0),0)</f>
        <v>22.98</v>
      </c>
      <c r="J2013">
        <f>IFERROR(VLOOKUP(A2013,库龄!B:K,9,0),0)</f>
        <v>0</v>
      </c>
      <c r="K2013">
        <f>IFERROR(VLOOKUP(A2013,库龄!B:L,10,0),0)</f>
        <v>0</v>
      </c>
      <c r="L2013">
        <f>IFERROR(VLOOKUP(A2013,库龄!B:M,11,0),0)</f>
        <v>0</v>
      </c>
      <c r="M2013">
        <f>IFERROR(VLOOKUP(A2013,库龄!B:N,12,0),0)</f>
        <v>0</v>
      </c>
      <c r="N2013">
        <f t="shared" si="64"/>
        <v>0</v>
      </c>
    </row>
    <row r="2014" spans="1:14">
      <c r="A2014" s="3" t="s">
        <v>5089</v>
      </c>
      <c r="B2014">
        <f>IFERROR(VLOOKUP(A2014,管理亚马逊库存!A:K,11,0),"")</f>
        <v>23</v>
      </c>
      <c r="C2014">
        <f>IFERROR(VLOOKUP(A2014,管理亚马逊库存!A:L,12,0),"")</f>
        <v>0</v>
      </c>
      <c r="D2014">
        <f>IFERROR(VLOOKUP(A2014,管理亚马逊库存!A:Q,17,0),"")</f>
        <v>0</v>
      </c>
      <c r="E2014">
        <f>IFERROR(VLOOKUP(A2014,管理亚马逊库存!A:R,18,0),"")</f>
        <v>0</v>
      </c>
      <c r="F2014">
        <f t="shared" si="63"/>
        <v>0</v>
      </c>
      <c r="G2014" t="str">
        <f>IFERROR(VLOOKUP(A2014,预留库存!A:G,7,0),0)</f>
        <v>No</v>
      </c>
      <c r="H2014">
        <f>IFERROR(VLOOKUP(A2014,预留库存!A:H,8,0),0)</f>
        <v>0</v>
      </c>
      <c r="I2014">
        <f>IFERROR(VLOOKUP(A2014,预留库存!A:F,6,0),0)</f>
        <v>22.98</v>
      </c>
      <c r="J2014">
        <f>IFERROR(VLOOKUP(A2014,库龄!B:K,9,0),0)</f>
        <v>0</v>
      </c>
      <c r="K2014">
        <f>IFERROR(VLOOKUP(A2014,库龄!B:L,10,0),0)</f>
        <v>0</v>
      </c>
      <c r="L2014">
        <f>IFERROR(VLOOKUP(A2014,库龄!B:M,11,0),0)</f>
        <v>0</v>
      </c>
      <c r="M2014">
        <f>IFERROR(VLOOKUP(A2014,库龄!B:N,12,0),0)</f>
        <v>0</v>
      </c>
      <c r="N2014">
        <f t="shared" si="64"/>
        <v>0</v>
      </c>
    </row>
    <row r="2015" spans="1:14">
      <c r="A2015" s="3" t="s">
        <v>5090</v>
      </c>
      <c r="B2015">
        <f>IFERROR(VLOOKUP(A2015,管理亚马逊库存!A:K,11,0),"")</f>
        <v>7</v>
      </c>
      <c r="C2015">
        <f>IFERROR(VLOOKUP(A2015,管理亚马逊库存!A:L,12,0),"")</f>
        <v>0</v>
      </c>
      <c r="D2015">
        <f>IFERROR(VLOOKUP(A2015,管理亚马逊库存!A:Q,17,0),"")</f>
        <v>0</v>
      </c>
      <c r="E2015">
        <f>IFERROR(VLOOKUP(A2015,管理亚马逊库存!A:R,18,0),"")</f>
        <v>0</v>
      </c>
      <c r="F2015">
        <f t="shared" si="63"/>
        <v>0</v>
      </c>
      <c r="G2015" t="str">
        <f>IFERROR(VLOOKUP(A2015,预留库存!A:G,7,0),0)</f>
        <v>No</v>
      </c>
      <c r="H2015">
        <f>IFERROR(VLOOKUP(A2015,预留库存!A:H,8,0),0)</f>
        <v>0</v>
      </c>
      <c r="I2015">
        <f>IFERROR(VLOOKUP(A2015,预留库存!A:F,6,0),0)</f>
        <v>22.98</v>
      </c>
      <c r="J2015">
        <f>IFERROR(VLOOKUP(A2015,库龄!B:K,9,0),0)</f>
        <v>7</v>
      </c>
      <c r="K2015">
        <f>IFERROR(VLOOKUP(A2015,库龄!B:L,10,0),0)</f>
        <v>0</v>
      </c>
      <c r="L2015">
        <f>IFERROR(VLOOKUP(A2015,库龄!B:M,11,0),0)</f>
        <v>0</v>
      </c>
      <c r="M2015">
        <f>IFERROR(VLOOKUP(A2015,库龄!B:N,12,0),0)</f>
        <v>0</v>
      </c>
      <c r="N2015">
        <f t="shared" si="64"/>
        <v>7</v>
      </c>
    </row>
    <row r="2016" spans="1:14">
      <c r="A2016" s="3" t="s">
        <v>5091</v>
      </c>
      <c r="B2016">
        <f>IFERROR(VLOOKUP(A2016,管理亚马逊库存!A:K,11,0),"")</f>
        <v>11</v>
      </c>
      <c r="C2016">
        <f>IFERROR(VLOOKUP(A2016,管理亚马逊库存!A:L,12,0),"")</f>
        <v>0</v>
      </c>
      <c r="D2016">
        <f>IFERROR(VLOOKUP(A2016,管理亚马逊库存!A:Q,17,0),"")</f>
        <v>0</v>
      </c>
      <c r="E2016">
        <f>IFERROR(VLOOKUP(A2016,管理亚马逊库存!A:R,18,0),"")</f>
        <v>0</v>
      </c>
      <c r="F2016">
        <f t="shared" si="63"/>
        <v>0</v>
      </c>
      <c r="G2016" t="str">
        <f>IFERROR(VLOOKUP(A2016,预留库存!A:G,7,0),0)</f>
        <v>No</v>
      </c>
      <c r="H2016">
        <f>IFERROR(VLOOKUP(A2016,预留库存!A:H,8,0),0)</f>
        <v>0</v>
      </c>
      <c r="I2016">
        <f>IFERROR(VLOOKUP(A2016,预留库存!A:F,6,0),0)</f>
        <v>22.98</v>
      </c>
      <c r="J2016">
        <f>IFERROR(VLOOKUP(A2016,库龄!B:K,9,0),0)</f>
        <v>0</v>
      </c>
      <c r="K2016">
        <f>IFERROR(VLOOKUP(A2016,库龄!B:L,10,0),0)</f>
        <v>0</v>
      </c>
      <c r="L2016">
        <f>IFERROR(VLOOKUP(A2016,库龄!B:M,11,0),0)</f>
        <v>0</v>
      </c>
      <c r="M2016">
        <f>IFERROR(VLOOKUP(A2016,库龄!B:N,12,0),0)</f>
        <v>0</v>
      </c>
      <c r="N2016">
        <f t="shared" si="64"/>
        <v>0</v>
      </c>
    </row>
    <row r="2017" spans="1:14">
      <c r="A2017" s="3" t="s">
        <v>5092</v>
      </c>
      <c r="B2017">
        <f>IFERROR(VLOOKUP(A2017,管理亚马逊库存!A:K,11,0),"")</f>
        <v>17</v>
      </c>
      <c r="C2017">
        <f>IFERROR(VLOOKUP(A2017,管理亚马逊库存!A:L,12,0),"")</f>
        <v>0</v>
      </c>
      <c r="D2017">
        <f>IFERROR(VLOOKUP(A2017,管理亚马逊库存!A:Q,17,0),"")</f>
        <v>0</v>
      </c>
      <c r="E2017">
        <f>IFERROR(VLOOKUP(A2017,管理亚马逊库存!A:R,18,0),"")</f>
        <v>0</v>
      </c>
      <c r="F2017">
        <f t="shared" si="63"/>
        <v>0</v>
      </c>
      <c r="G2017" t="str">
        <f>IFERROR(VLOOKUP(A2017,预留库存!A:G,7,0),0)</f>
        <v>No</v>
      </c>
      <c r="H2017">
        <f>IFERROR(VLOOKUP(A2017,预留库存!A:H,8,0),0)</f>
        <v>0</v>
      </c>
      <c r="I2017">
        <f>IFERROR(VLOOKUP(A2017,预留库存!A:F,6,0),0)</f>
        <v>22.98</v>
      </c>
      <c r="J2017">
        <f>IFERROR(VLOOKUP(A2017,库龄!B:K,9,0),0)</f>
        <v>0</v>
      </c>
      <c r="K2017">
        <f>IFERROR(VLOOKUP(A2017,库龄!B:L,10,0),0)</f>
        <v>0</v>
      </c>
      <c r="L2017">
        <f>IFERROR(VLOOKUP(A2017,库龄!B:M,11,0),0)</f>
        <v>0</v>
      </c>
      <c r="M2017">
        <f>IFERROR(VLOOKUP(A2017,库龄!B:N,12,0),0)</f>
        <v>0</v>
      </c>
      <c r="N2017">
        <f t="shared" si="64"/>
        <v>0</v>
      </c>
    </row>
    <row r="2018" spans="1:14">
      <c r="A2018" s="3" t="s">
        <v>5093</v>
      </c>
      <c r="B2018">
        <f>IFERROR(VLOOKUP(A2018,管理亚马逊库存!A:K,11,0),"")</f>
        <v>5</v>
      </c>
      <c r="C2018">
        <f>IFERROR(VLOOKUP(A2018,管理亚马逊库存!A:L,12,0),"")</f>
        <v>0</v>
      </c>
      <c r="D2018">
        <f>IFERROR(VLOOKUP(A2018,管理亚马逊库存!A:Q,17,0),"")</f>
        <v>0</v>
      </c>
      <c r="E2018">
        <f>IFERROR(VLOOKUP(A2018,管理亚马逊库存!A:R,18,0),"")</f>
        <v>0</v>
      </c>
      <c r="F2018">
        <f t="shared" si="63"/>
        <v>0</v>
      </c>
      <c r="G2018" t="str">
        <f>IFERROR(VLOOKUP(A2018,预留库存!A:G,7,0),0)</f>
        <v>No</v>
      </c>
      <c r="H2018">
        <f>IFERROR(VLOOKUP(A2018,预留库存!A:H,8,0),0)</f>
        <v>0</v>
      </c>
      <c r="I2018">
        <f>IFERROR(VLOOKUP(A2018,预留库存!A:F,6,0),0)</f>
        <v>22.98</v>
      </c>
      <c r="J2018">
        <f>IFERROR(VLOOKUP(A2018,库龄!B:K,9,0),0)</f>
        <v>0</v>
      </c>
      <c r="K2018">
        <f>IFERROR(VLOOKUP(A2018,库龄!B:L,10,0),0)</f>
        <v>0</v>
      </c>
      <c r="L2018">
        <f>IFERROR(VLOOKUP(A2018,库龄!B:M,11,0),0)</f>
        <v>0</v>
      </c>
      <c r="M2018">
        <f>IFERROR(VLOOKUP(A2018,库龄!B:N,12,0),0)</f>
        <v>0</v>
      </c>
      <c r="N2018">
        <f t="shared" si="64"/>
        <v>0</v>
      </c>
    </row>
    <row r="2019" spans="1:14">
      <c r="A2019" s="3" t="s">
        <v>5094</v>
      </c>
      <c r="B2019">
        <f>IFERROR(VLOOKUP(A2019,管理亚马逊库存!A:K,11,0),"")</f>
        <v>8</v>
      </c>
      <c r="C2019">
        <f>IFERROR(VLOOKUP(A2019,管理亚马逊库存!A:L,12,0),"")</f>
        <v>0</v>
      </c>
      <c r="D2019">
        <f>IFERROR(VLOOKUP(A2019,管理亚马逊库存!A:Q,17,0),"")</f>
        <v>0</v>
      </c>
      <c r="E2019">
        <f>IFERROR(VLOOKUP(A2019,管理亚马逊库存!A:R,18,0),"")</f>
        <v>0</v>
      </c>
      <c r="F2019">
        <f t="shared" si="63"/>
        <v>0</v>
      </c>
      <c r="G2019" t="str">
        <f>IFERROR(VLOOKUP(A2019,预留库存!A:G,7,0),0)</f>
        <v>No</v>
      </c>
      <c r="H2019">
        <f>IFERROR(VLOOKUP(A2019,预留库存!A:H,8,0),0)</f>
        <v>0</v>
      </c>
      <c r="I2019">
        <f>IFERROR(VLOOKUP(A2019,预留库存!A:F,6,0),0)</f>
        <v>22.98</v>
      </c>
      <c r="J2019">
        <f>IFERROR(VLOOKUP(A2019,库龄!B:K,9,0),0)</f>
        <v>2</v>
      </c>
      <c r="K2019">
        <f>IFERROR(VLOOKUP(A2019,库龄!B:L,10,0),0)</f>
        <v>0</v>
      </c>
      <c r="L2019">
        <f>IFERROR(VLOOKUP(A2019,库龄!B:M,11,0),0)</f>
        <v>0</v>
      </c>
      <c r="M2019">
        <f>IFERROR(VLOOKUP(A2019,库龄!B:N,12,0),0)</f>
        <v>0</v>
      </c>
      <c r="N2019">
        <f t="shared" si="64"/>
        <v>2</v>
      </c>
    </row>
    <row r="2020" spans="1:14">
      <c r="A2020" s="3" t="s">
        <v>5095</v>
      </c>
      <c r="B2020">
        <f>IFERROR(VLOOKUP(A2020,管理亚马逊库存!A:K,11,0),"")</f>
        <v>13</v>
      </c>
      <c r="C2020">
        <f>IFERROR(VLOOKUP(A2020,管理亚马逊库存!A:L,12,0),"")</f>
        <v>0</v>
      </c>
      <c r="D2020">
        <f>IFERROR(VLOOKUP(A2020,管理亚马逊库存!A:Q,17,0),"")</f>
        <v>0</v>
      </c>
      <c r="E2020">
        <f>IFERROR(VLOOKUP(A2020,管理亚马逊库存!A:R,18,0),"")</f>
        <v>0</v>
      </c>
      <c r="F2020">
        <f t="shared" si="63"/>
        <v>0</v>
      </c>
      <c r="G2020" t="str">
        <f>IFERROR(VLOOKUP(A2020,预留库存!A:G,7,0),0)</f>
        <v>No</v>
      </c>
      <c r="H2020">
        <f>IFERROR(VLOOKUP(A2020,预留库存!A:H,8,0),0)</f>
        <v>0</v>
      </c>
      <c r="I2020">
        <f>IFERROR(VLOOKUP(A2020,预留库存!A:F,6,0),0)</f>
        <v>22.98</v>
      </c>
      <c r="J2020">
        <f>IFERROR(VLOOKUP(A2020,库龄!B:K,9,0),0)</f>
        <v>10</v>
      </c>
      <c r="K2020">
        <f>IFERROR(VLOOKUP(A2020,库龄!B:L,10,0),0)</f>
        <v>3</v>
      </c>
      <c r="L2020">
        <f>IFERROR(VLOOKUP(A2020,库龄!B:M,11,0),0)</f>
        <v>0</v>
      </c>
      <c r="M2020">
        <f>IFERROR(VLOOKUP(A2020,库龄!B:N,12,0),0)</f>
        <v>0</v>
      </c>
      <c r="N2020">
        <f t="shared" si="64"/>
        <v>13</v>
      </c>
    </row>
    <row r="2021" spans="1:14">
      <c r="A2021" s="3" t="s">
        <v>5096</v>
      </c>
      <c r="B2021">
        <f>IFERROR(VLOOKUP(A2021,管理亚马逊库存!A:K,11,0),"")</f>
        <v>19</v>
      </c>
      <c r="C2021">
        <f>IFERROR(VLOOKUP(A2021,管理亚马逊库存!A:L,12,0),"")</f>
        <v>0</v>
      </c>
      <c r="D2021">
        <f>IFERROR(VLOOKUP(A2021,管理亚马逊库存!A:Q,17,0),"")</f>
        <v>0</v>
      </c>
      <c r="E2021">
        <f>IFERROR(VLOOKUP(A2021,管理亚马逊库存!A:R,18,0),"")</f>
        <v>0</v>
      </c>
      <c r="F2021">
        <f t="shared" si="63"/>
        <v>0</v>
      </c>
      <c r="G2021" t="str">
        <f>IFERROR(VLOOKUP(A2021,预留库存!A:G,7,0),0)</f>
        <v>No</v>
      </c>
      <c r="H2021">
        <f>IFERROR(VLOOKUP(A2021,预留库存!A:H,8,0),0)</f>
        <v>0</v>
      </c>
      <c r="I2021">
        <f>IFERROR(VLOOKUP(A2021,预留库存!A:F,6,0),0)</f>
        <v>22.98</v>
      </c>
      <c r="J2021">
        <f>IFERROR(VLOOKUP(A2021,库龄!B:K,9,0),0)</f>
        <v>0</v>
      </c>
      <c r="K2021">
        <f>IFERROR(VLOOKUP(A2021,库龄!B:L,10,0),0)</f>
        <v>0</v>
      </c>
      <c r="L2021">
        <f>IFERROR(VLOOKUP(A2021,库龄!B:M,11,0),0)</f>
        <v>0</v>
      </c>
      <c r="M2021">
        <f>IFERROR(VLOOKUP(A2021,库龄!B:N,12,0),0)</f>
        <v>0</v>
      </c>
      <c r="N2021">
        <f t="shared" si="64"/>
        <v>0</v>
      </c>
    </row>
    <row r="2022" spans="1:14">
      <c r="A2022" s="3" t="s">
        <v>5097</v>
      </c>
      <c r="B2022">
        <f>IFERROR(VLOOKUP(A2022,管理亚马逊库存!A:K,11,0),"")</f>
        <v>7</v>
      </c>
      <c r="C2022">
        <f>IFERROR(VLOOKUP(A2022,管理亚马逊库存!A:L,12,0),"")</f>
        <v>0</v>
      </c>
      <c r="D2022">
        <f>IFERROR(VLOOKUP(A2022,管理亚马逊库存!A:Q,17,0),"")</f>
        <v>0</v>
      </c>
      <c r="E2022">
        <f>IFERROR(VLOOKUP(A2022,管理亚马逊库存!A:R,18,0),"")</f>
        <v>0</v>
      </c>
      <c r="F2022">
        <f t="shared" si="63"/>
        <v>0</v>
      </c>
      <c r="G2022" t="str">
        <f>IFERROR(VLOOKUP(A2022,预留库存!A:G,7,0),0)</f>
        <v>No</v>
      </c>
      <c r="H2022">
        <f>IFERROR(VLOOKUP(A2022,预留库存!A:H,8,0),0)</f>
        <v>0</v>
      </c>
      <c r="I2022">
        <f>IFERROR(VLOOKUP(A2022,预留库存!A:F,6,0),0)</f>
        <v>22.98</v>
      </c>
      <c r="J2022">
        <f>IFERROR(VLOOKUP(A2022,库龄!B:K,9,0),0)</f>
        <v>7</v>
      </c>
      <c r="K2022">
        <f>IFERROR(VLOOKUP(A2022,库龄!B:L,10,0),0)</f>
        <v>0</v>
      </c>
      <c r="L2022">
        <f>IFERROR(VLOOKUP(A2022,库龄!B:M,11,0),0)</f>
        <v>0</v>
      </c>
      <c r="M2022">
        <f>IFERROR(VLOOKUP(A2022,库龄!B:N,12,0),0)</f>
        <v>0</v>
      </c>
      <c r="N2022">
        <f t="shared" si="64"/>
        <v>7</v>
      </c>
    </row>
    <row r="2023" spans="1:14">
      <c r="A2023" s="3" t="s">
        <v>5098</v>
      </c>
      <c r="B2023">
        <f>IFERROR(VLOOKUP(A2023,管理亚马逊库存!A:K,11,0),"")</f>
        <v>8</v>
      </c>
      <c r="C2023">
        <f>IFERROR(VLOOKUP(A2023,管理亚马逊库存!A:L,12,0),"")</f>
        <v>0</v>
      </c>
      <c r="D2023">
        <f>IFERROR(VLOOKUP(A2023,管理亚马逊库存!A:Q,17,0),"")</f>
        <v>0</v>
      </c>
      <c r="E2023">
        <f>IFERROR(VLOOKUP(A2023,管理亚马逊库存!A:R,18,0),"")</f>
        <v>0</v>
      </c>
      <c r="F2023">
        <f t="shared" si="63"/>
        <v>0</v>
      </c>
      <c r="G2023" t="str">
        <f>IFERROR(VLOOKUP(A2023,预留库存!A:G,7,0),0)</f>
        <v>No</v>
      </c>
      <c r="H2023">
        <f>IFERROR(VLOOKUP(A2023,预留库存!A:H,8,0),0)</f>
        <v>0</v>
      </c>
      <c r="I2023">
        <f>IFERROR(VLOOKUP(A2023,预留库存!A:F,6,0),0)</f>
        <v>22.98</v>
      </c>
      <c r="J2023">
        <f>IFERROR(VLOOKUP(A2023,库龄!B:K,9,0),0)</f>
        <v>0</v>
      </c>
      <c r="K2023">
        <f>IFERROR(VLOOKUP(A2023,库龄!B:L,10,0),0)</f>
        <v>0</v>
      </c>
      <c r="L2023">
        <f>IFERROR(VLOOKUP(A2023,库龄!B:M,11,0),0)</f>
        <v>0</v>
      </c>
      <c r="M2023">
        <f>IFERROR(VLOOKUP(A2023,库龄!B:N,12,0),0)</f>
        <v>0</v>
      </c>
      <c r="N2023">
        <f t="shared" si="64"/>
        <v>0</v>
      </c>
    </row>
    <row r="2024" spans="1:14">
      <c r="A2024" s="3" t="s">
        <v>5099</v>
      </c>
      <c r="B2024">
        <f>IFERROR(VLOOKUP(A2024,管理亚马逊库存!A:K,11,0),"")</f>
        <v>21</v>
      </c>
      <c r="C2024">
        <f>IFERROR(VLOOKUP(A2024,管理亚马逊库存!A:L,12,0),"")</f>
        <v>0</v>
      </c>
      <c r="D2024">
        <f>IFERROR(VLOOKUP(A2024,管理亚马逊库存!A:Q,17,0),"")</f>
        <v>0</v>
      </c>
      <c r="E2024">
        <f>IFERROR(VLOOKUP(A2024,管理亚马逊库存!A:R,18,0),"")</f>
        <v>0</v>
      </c>
      <c r="F2024">
        <f t="shared" si="63"/>
        <v>0</v>
      </c>
      <c r="G2024" t="str">
        <f>IFERROR(VLOOKUP(A2024,预留库存!A:G,7,0),0)</f>
        <v>No</v>
      </c>
      <c r="H2024">
        <f>IFERROR(VLOOKUP(A2024,预留库存!A:H,8,0),0)</f>
        <v>0</v>
      </c>
      <c r="I2024">
        <f>IFERROR(VLOOKUP(A2024,预留库存!A:F,6,0),0)</f>
        <v>22.98</v>
      </c>
      <c r="J2024">
        <f>IFERROR(VLOOKUP(A2024,库龄!B:K,9,0),0)</f>
        <v>0</v>
      </c>
      <c r="K2024">
        <f>IFERROR(VLOOKUP(A2024,库龄!B:L,10,0),0)</f>
        <v>1</v>
      </c>
      <c r="L2024">
        <f>IFERROR(VLOOKUP(A2024,库龄!B:M,11,0),0)</f>
        <v>0</v>
      </c>
      <c r="M2024">
        <f>IFERROR(VLOOKUP(A2024,库龄!B:N,12,0),0)</f>
        <v>0</v>
      </c>
      <c r="N2024">
        <f t="shared" si="64"/>
        <v>1</v>
      </c>
    </row>
    <row r="2025" spans="1:14">
      <c r="A2025" s="3" t="s">
        <v>5100</v>
      </c>
      <c r="B2025">
        <f>IFERROR(VLOOKUP(A2025,管理亚马逊库存!A:K,11,0),"")</f>
        <v>7</v>
      </c>
      <c r="C2025">
        <f>IFERROR(VLOOKUP(A2025,管理亚马逊库存!A:L,12,0),"")</f>
        <v>0</v>
      </c>
      <c r="D2025">
        <f>IFERROR(VLOOKUP(A2025,管理亚马逊库存!A:Q,17,0),"")</f>
        <v>0</v>
      </c>
      <c r="E2025">
        <f>IFERROR(VLOOKUP(A2025,管理亚马逊库存!A:R,18,0),"")</f>
        <v>0</v>
      </c>
      <c r="F2025">
        <f t="shared" si="63"/>
        <v>0</v>
      </c>
      <c r="G2025" t="str">
        <f>IFERROR(VLOOKUP(A2025,预留库存!A:G,7,0),0)</f>
        <v>No</v>
      </c>
      <c r="H2025">
        <f>IFERROR(VLOOKUP(A2025,预留库存!A:H,8,0),0)</f>
        <v>0</v>
      </c>
      <c r="I2025">
        <f>IFERROR(VLOOKUP(A2025,预留库存!A:F,6,0),0)</f>
        <v>49.98</v>
      </c>
      <c r="J2025">
        <f>IFERROR(VLOOKUP(A2025,库龄!B:K,9,0),0)</f>
        <v>5</v>
      </c>
      <c r="K2025">
        <f>IFERROR(VLOOKUP(A2025,库龄!B:L,10,0),0)</f>
        <v>2</v>
      </c>
      <c r="L2025">
        <f>IFERROR(VLOOKUP(A2025,库龄!B:M,11,0),0)</f>
        <v>0</v>
      </c>
      <c r="M2025">
        <f>IFERROR(VLOOKUP(A2025,库龄!B:N,12,0),0)</f>
        <v>0</v>
      </c>
      <c r="N2025">
        <f t="shared" si="64"/>
        <v>7</v>
      </c>
    </row>
    <row r="2026" spans="1:14">
      <c r="A2026" s="3" t="s">
        <v>5103</v>
      </c>
      <c r="B2026">
        <f>IFERROR(VLOOKUP(A2026,管理亚马逊库存!A:K,11,0),"")</f>
        <v>9</v>
      </c>
      <c r="C2026">
        <f>IFERROR(VLOOKUP(A2026,管理亚马逊库存!A:L,12,0),"")</f>
        <v>0</v>
      </c>
      <c r="D2026">
        <f>IFERROR(VLOOKUP(A2026,管理亚马逊库存!A:Q,17,0),"")</f>
        <v>0</v>
      </c>
      <c r="E2026">
        <f>IFERROR(VLOOKUP(A2026,管理亚马逊库存!A:R,18,0),"")</f>
        <v>0</v>
      </c>
      <c r="F2026">
        <f t="shared" si="63"/>
        <v>0</v>
      </c>
      <c r="G2026" t="str">
        <f>IFERROR(VLOOKUP(A2026,预留库存!A:G,7,0),0)</f>
        <v>No</v>
      </c>
      <c r="H2026">
        <f>IFERROR(VLOOKUP(A2026,预留库存!A:H,8,0),0)</f>
        <v>0</v>
      </c>
      <c r="I2026">
        <f>IFERROR(VLOOKUP(A2026,预留库存!A:F,6,0),0)</f>
        <v>49.98</v>
      </c>
      <c r="J2026">
        <f>IFERROR(VLOOKUP(A2026,库龄!B:K,9,0),0)</f>
        <v>4</v>
      </c>
      <c r="K2026">
        <f>IFERROR(VLOOKUP(A2026,库龄!B:L,10,0),0)</f>
        <v>5</v>
      </c>
      <c r="L2026">
        <f>IFERROR(VLOOKUP(A2026,库龄!B:M,11,0),0)</f>
        <v>0</v>
      </c>
      <c r="M2026">
        <f>IFERROR(VLOOKUP(A2026,库龄!B:N,12,0),0)</f>
        <v>0</v>
      </c>
      <c r="N2026">
        <f t="shared" si="64"/>
        <v>9</v>
      </c>
    </row>
    <row r="2027" spans="1:14">
      <c r="A2027" s="3" t="s">
        <v>5106</v>
      </c>
      <c r="B2027">
        <f>IFERROR(VLOOKUP(A2027,管理亚马逊库存!A:K,11,0),"")</f>
        <v>2</v>
      </c>
      <c r="C2027">
        <f>IFERROR(VLOOKUP(A2027,管理亚马逊库存!A:L,12,0),"")</f>
        <v>0</v>
      </c>
      <c r="D2027">
        <f>IFERROR(VLOOKUP(A2027,管理亚马逊库存!A:Q,17,0),"")</f>
        <v>0</v>
      </c>
      <c r="E2027">
        <f>IFERROR(VLOOKUP(A2027,管理亚马逊库存!A:R,18,0),"")</f>
        <v>0</v>
      </c>
      <c r="F2027">
        <f t="shared" si="63"/>
        <v>0</v>
      </c>
      <c r="G2027" t="str">
        <f>IFERROR(VLOOKUP(A2027,预留库存!A:G,7,0),0)</f>
        <v>No</v>
      </c>
      <c r="H2027">
        <f>IFERROR(VLOOKUP(A2027,预留库存!A:H,8,0),0)</f>
        <v>0</v>
      </c>
      <c r="I2027">
        <f>IFERROR(VLOOKUP(A2027,预留库存!A:F,6,0),0)</f>
        <v>49.98</v>
      </c>
      <c r="J2027">
        <f>IFERROR(VLOOKUP(A2027,库龄!B:K,9,0),0)</f>
        <v>0</v>
      </c>
      <c r="K2027">
        <f>IFERROR(VLOOKUP(A2027,库龄!B:L,10,0),0)</f>
        <v>2</v>
      </c>
      <c r="L2027">
        <f>IFERROR(VLOOKUP(A2027,库龄!B:M,11,0),0)</f>
        <v>0</v>
      </c>
      <c r="M2027">
        <f>IFERROR(VLOOKUP(A2027,库龄!B:N,12,0),0)</f>
        <v>0</v>
      </c>
      <c r="N2027">
        <f t="shared" si="64"/>
        <v>2</v>
      </c>
    </row>
    <row r="2028" spans="1:14">
      <c r="A2028" s="3" t="s">
        <v>5109</v>
      </c>
      <c r="B2028">
        <f>IFERROR(VLOOKUP(A2028,管理亚马逊库存!A:K,11,0),"")</f>
        <v>10</v>
      </c>
      <c r="C2028">
        <f>IFERROR(VLOOKUP(A2028,管理亚马逊库存!A:L,12,0),"")</f>
        <v>0</v>
      </c>
      <c r="D2028">
        <f>IFERROR(VLOOKUP(A2028,管理亚马逊库存!A:Q,17,0),"")</f>
        <v>0</v>
      </c>
      <c r="E2028">
        <f>IFERROR(VLOOKUP(A2028,管理亚马逊库存!A:R,18,0),"")</f>
        <v>0</v>
      </c>
      <c r="F2028">
        <f t="shared" si="63"/>
        <v>0</v>
      </c>
      <c r="G2028" t="str">
        <f>IFERROR(VLOOKUP(A2028,预留库存!A:G,7,0),0)</f>
        <v>No</v>
      </c>
      <c r="H2028">
        <f>IFERROR(VLOOKUP(A2028,预留库存!A:H,8,0),0)</f>
        <v>0</v>
      </c>
      <c r="I2028">
        <f>IFERROR(VLOOKUP(A2028,预留库存!A:F,6,0),0)</f>
        <v>49.98</v>
      </c>
      <c r="J2028">
        <f>IFERROR(VLOOKUP(A2028,库龄!B:K,9,0),0)</f>
        <v>5</v>
      </c>
      <c r="K2028">
        <f>IFERROR(VLOOKUP(A2028,库龄!B:L,10,0),0)</f>
        <v>5</v>
      </c>
      <c r="L2028">
        <f>IFERROR(VLOOKUP(A2028,库龄!B:M,11,0),0)</f>
        <v>0</v>
      </c>
      <c r="M2028">
        <f>IFERROR(VLOOKUP(A2028,库龄!B:N,12,0),0)</f>
        <v>0</v>
      </c>
      <c r="N2028">
        <f t="shared" si="64"/>
        <v>10</v>
      </c>
    </row>
    <row r="2029" spans="1:14">
      <c r="A2029" s="3" t="s">
        <v>5112</v>
      </c>
      <c r="B2029">
        <f>IFERROR(VLOOKUP(A2029,管理亚马逊库存!A:K,11,0),"")</f>
        <v>8</v>
      </c>
      <c r="C2029">
        <f>IFERROR(VLOOKUP(A2029,管理亚马逊库存!A:L,12,0),"")</f>
        <v>0</v>
      </c>
      <c r="D2029">
        <f>IFERROR(VLOOKUP(A2029,管理亚马逊库存!A:Q,17,0),"")</f>
        <v>0</v>
      </c>
      <c r="E2029">
        <f>IFERROR(VLOOKUP(A2029,管理亚马逊库存!A:R,18,0),"")</f>
        <v>0</v>
      </c>
      <c r="F2029">
        <f t="shared" si="63"/>
        <v>0</v>
      </c>
      <c r="G2029" t="str">
        <f>IFERROR(VLOOKUP(A2029,预留库存!A:G,7,0),0)</f>
        <v>No</v>
      </c>
      <c r="H2029">
        <f>IFERROR(VLOOKUP(A2029,预留库存!A:H,8,0),0)</f>
        <v>0</v>
      </c>
      <c r="I2029">
        <f>IFERROR(VLOOKUP(A2029,预留库存!A:F,6,0),0)</f>
        <v>49.98</v>
      </c>
      <c r="J2029">
        <f>IFERROR(VLOOKUP(A2029,库龄!B:K,9,0),0)</f>
        <v>3</v>
      </c>
      <c r="K2029">
        <f>IFERROR(VLOOKUP(A2029,库龄!B:L,10,0),0)</f>
        <v>5</v>
      </c>
      <c r="L2029">
        <f>IFERROR(VLOOKUP(A2029,库龄!B:M,11,0),0)</f>
        <v>0</v>
      </c>
      <c r="M2029">
        <f>IFERROR(VLOOKUP(A2029,库龄!B:N,12,0),0)</f>
        <v>0</v>
      </c>
      <c r="N2029">
        <f t="shared" si="64"/>
        <v>8</v>
      </c>
    </row>
    <row r="2030" spans="1:14">
      <c r="A2030" s="3" t="s">
        <v>5115</v>
      </c>
      <c r="B2030">
        <f>IFERROR(VLOOKUP(A2030,管理亚马逊库存!A:K,11,0),"")</f>
        <v>9</v>
      </c>
      <c r="C2030">
        <f>IFERROR(VLOOKUP(A2030,管理亚马逊库存!A:L,12,0),"")</f>
        <v>0</v>
      </c>
      <c r="D2030">
        <f>IFERROR(VLOOKUP(A2030,管理亚马逊库存!A:Q,17,0),"")</f>
        <v>0</v>
      </c>
      <c r="E2030">
        <f>IFERROR(VLOOKUP(A2030,管理亚马逊库存!A:R,18,0),"")</f>
        <v>0</v>
      </c>
      <c r="F2030">
        <f t="shared" si="63"/>
        <v>0</v>
      </c>
      <c r="G2030" t="str">
        <f>IFERROR(VLOOKUP(A2030,预留库存!A:G,7,0),0)</f>
        <v>No</v>
      </c>
      <c r="H2030">
        <f>IFERROR(VLOOKUP(A2030,预留库存!A:H,8,0),0)</f>
        <v>0</v>
      </c>
      <c r="I2030">
        <f>IFERROR(VLOOKUP(A2030,预留库存!A:F,6,0),0)</f>
        <v>49.98</v>
      </c>
      <c r="J2030">
        <f>IFERROR(VLOOKUP(A2030,库龄!B:K,9,0),0)</f>
        <v>5</v>
      </c>
      <c r="K2030">
        <f>IFERROR(VLOOKUP(A2030,库龄!B:L,10,0),0)</f>
        <v>2</v>
      </c>
      <c r="L2030">
        <f>IFERROR(VLOOKUP(A2030,库龄!B:M,11,0),0)</f>
        <v>0</v>
      </c>
      <c r="M2030">
        <f>IFERROR(VLOOKUP(A2030,库龄!B:N,12,0),0)</f>
        <v>0</v>
      </c>
      <c r="N2030">
        <f t="shared" si="64"/>
        <v>7</v>
      </c>
    </row>
    <row r="2031" spans="1:14">
      <c r="A2031" s="3" t="s">
        <v>5118</v>
      </c>
      <c r="B2031">
        <f>IFERROR(VLOOKUP(A2031,管理亚马逊库存!A:K,11,0),"")</f>
        <v>6</v>
      </c>
      <c r="C2031">
        <f>IFERROR(VLOOKUP(A2031,管理亚马逊库存!A:L,12,0),"")</f>
        <v>0</v>
      </c>
      <c r="D2031">
        <f>IFERROR(VLOOKUP(A2031,管理亚马逊库存!A:Q,17,0),"")</f>
        <v>0</v>
      </c>
      <c r="E2031">
        <f>IFERROR(VLOOKUP(A2031,管理亚马逊库存!A:R,18,0),"")</f>
        <v>0</v>
      </c>
      <c r="F2031">
        <f t="shared" si="63"/>
        <v>0</v>
      </c>
      <c r="G2031" t="str">
        <f>IFERROR(VLOOKUP(A2031,预留库存!A:G,7,0),0)</f>
        <v>No</v>
      </c>
      <c r="H2031">
        <f>IFERROR(VLOOKUP(A2031,预留库存!A:H,8,0),0)</f>
        <v>0</v>
      </c>
      <c r="I2031">
        <f>IFERROR(VLOOKUP(A2031,预留库存!A:F,6,0),0)</f>
        <v>49.98</v>
      </c>
      <c r="J2031">
        <f>IFERROR(VLOOKUP(A2031,库龄!B:K,9,0),0)</f>
        <v>4</v>
      </c>
      <c r="K2031">
        <f>IFERROR(VLOOKUP(A2031,库龄!B:L,10,0),0)</f>
        <v>2</v>
      </c>
      <c r="L2031">
        <f>IFERROR(VLOOKUP(A2031,库龄!B:M,11,0),0)</f>
        <v>0</v>
      </c>
      <c r="M2031">
        <f>IFERROR(VLOOKUP(A2031,库龄!B:N,12,0),0)</f>
        <v>0</v>
      </c>
      <c r="N2031">
        <f t="shared" si="64"/>
        <v>6</v>
      </c>
    </row>
    <row r="2032" spans="1:14">
      <c r="A2032" s="3" t="s">
        <v>5121</v>
      </c>
      <c r="B2032">
        <f>IFERROR(VLOOKUP(A2032,管理亚马逊库存!A:K,11,0),"")</f>
        <v>3</v>
      </c>
      <c r="C2032">
        <f>IFERROR(VLOOKUP(A2032,管理亚马逊库存!A:L,12,0),"")</f>
        <v>0</v>
      </c>
      <c r="D2032">
        <f>IFERROR(VLOOKUP(A2032,管理亚马逊库存!A:Q,17,0),"")</f>
        <v>0</v>
      </c>
      <c r="E2032">
        <f>IFERROR(VLOOKUP(A2032,管理亚马逊库存!A:R,18,0),"")</f>
        <v>0</v>
      </c>
      <c r="F2032">
        <f t="shared" si="63"/>
        <v>0</v>
      </c>
      <c r="G2032" t="str">
        <f>IFERROR(VLOOKUP(A2032,预留库存!A:G,7,0),0)</f>
        <v>No</v>
      </c>
      <c r="H2032">
        <f>IFERROR(VLOOKUP(A2032,预留库存!A:H,8,0),0)</f>
        <v>0</v>
      </c>
      <c r="I2032">
        <f>IFERROR(VLOOKUP(A2032,预留库存!A:F,6,0),0)</f>
        <v>49.98</v>
      </c>
      <c r="J2032">
        <f>IFERROR(VLOOKUP(A2032,库龄!B:K,9,0),0)</f>
        <v>0</v>
      </c>
      <c r="K2032">
        <f>IFERROR(VLOOKUP(A2032,库龄!B:L,10,0),0)</f>
        <v>3</v>
      </c>
      <c r="L2032">
        <f>IFERROR(VLOOKUP(A2032,库龄!B:M,11,0),0)</f>
        <v>0</v>
      </c>
      <c r="M2032">
        <f>IFERROR(VLOOKUP(A2032,库龄!B:N,12,0),0)</f>
        <v>0</v>
      </c>
      <c r="N2032">
        <f t="shared" si="64"/>
        <v>3</v>
      </c>
    </row>
    <row r="2033" spans="1:14">
      <c r="A2033" s="3" t="s">
        <v>5124</v>
      </c>
      <c r="B2033">
        <f>IFERROR(VLOOKUP(A2033,管理亚马逊库存!A:K,11,0),"")</f>
        <v>8</v>
      </c>
      <c r="C2033">
        <f>IFERROR(VLOOKUP(A2033,管理亚马逊库存!A:L,12,0),"")</f>
        <v>0</v>
      </c>
      <c r="D2033">
        <f>IFERROR(VLOOKUP(A2033,管理亚马逊库存!A:Q,17,0),"")</f>
        <v>0</v>
      </c>
      <c r="E2033">
        <f>IFERROR(VLOOKUP(A2033,管理亚马逊库存!A:R,18,0),"")</f>
        <v>0</v>
      </c>
      <c r="F2033">
        <f t="shared" si="63"/>
        <v>0</v>
      </c>
      <c r="G2033" t="str">
        <f>IFERROR(VLOOKUP(A2033,预留库存!A:G,7,0),0)</f>
        <v>No</v>
      </c>
      <c r="H2033">
        <f>IFERROR(VLOOKUP(A2033,预留库存!A:H,8,0),0)</f>
        <v>0</v>
      </c>
      <c r="I2033">
        <f>IFERROR(VLOOKUP(A2033,预留库存!A:F,6,0),0)</f>
        <v>49.98</v>
      </c>
      <c r="J2033">
        <f>IFERROR(VLOOKUP(A2033,库龄!B:K,9,0),0)</f>
        <v>4</v>
      </c>
      <c r="K2033">
        <f>IFERROR(VLOOKUP(A2033,库龄!B:L,10,0),0)</f>
        <v>4</v>
      </c>
      <c r="L2033">
        <f>IFERROR(VLOOKUP(A2033,库龄!B:M,11,0),0)</f>
        <v>0</v>
      </c>
      <c r="M2033">
        <f>IFERROR(VLOOKUP(A2033,库龄!B:N,12,0),0)</f>
        <v>0</v>
      </c>
      <c r="N2033">
        <f t="shared" si="64"/>
        <v>8</v>
      </c>
    </row>
    <row r="2034" spans="1:14">
      <c r="A2034" s="3" t="s">
        <v>5127</v>
      </c>
      <c r="B2034">
        <f>IFERROR(VLOOKUP(A2034,管理亚马逊库存!A:K,11,0),"")</f>
        <v>7</v>
      </c>
      <c r="C2034">
        <f>IFERROR(VLOOKUP(A2034,管理亚马逊库存!A:L,12,0),"")</f>
        <v>0</v>
      </c>
      <c r="D2034">
        <f>IFERROR(VLOOKUP(A2034,管理亚马逊库存!A:Q,17,0),"")</f>
        <v>0</v>
      </c>
      <c r="E2034">
        <f>IFERROR(VLOOKUP(A2034,管理亚马逊库存!A:R,18,0),"")</f>
        <v>0</v>
      </c>
      <c r="F2034">
        <f t="shared" si="63"/>
        <v>0</v>
      </c>
      <c r="G2034" t="str">
        <f>IFERROR(VLOOKUP(A2034,预留库存!A:G,7,0),0)</f>
        <v>No</v>
      </c>
      <c r="H2034">
        <f>IFERROR(VLOOKUP(A2034,预留库存!A:H,8,0),0)</f>
        <v>0</v>
      </c>
      <c r="I2034">
        <f>IFERROR(VLOOKUP(A2034,预留库存!A:F,6,0),0)</f>
        <v>49.98</v>
      </c>
      <c r="J2034">
        <f>IFERROR(VLOOKUP(A2034,库龄!B:K,9,0),0)</f>
        <v>4</v>
      </c>
      <c r="K2034">
        <f>IFERROR(VLOOKUP(A2034,库龄!B:L,10,0),0)</f>
        <v>3</v>
      </c>
      <c r="L2034">
        <f>IFERROR(VLOOKUP(A2034,库龄!B:M,11,0),0)</f>
        <v>0</v>
      </c>
      <c r="M2034">
        <f>IFERROR(VLOOKUP(A2034,库龄!B:N,12,0),0)</f>
        <v>0</v>
      </c>
      <c r="N2034">
        <f t="shared" si="64"/>
        <v>7</v>
      </c>
    </row>
    <row r="2035" spans="1:14">
      <c r="A2035" s="3" t="s">
        <v>5130</v>
      </c>
      <c r="B2035">
        <f>IFERROR(VLOOKUP(A2035,管理亚马逊库存!A:K,11,0),"")</f>
        <v>9</v>
      </c>
      <c r="C2035">
        <f>IFERROR(VLOOKUP(A2035,管理亚马逊库存!A:L,12,0),"")</f>
        <v>0</v>
      </c>
      <c r="D2035">
        <f>IFERROR(VLOOKUP(A2035,管理亚马逊库存!A:Q,17,0),"")</f>
        <v>0</v>
      </c>
      <c r="E2035">
        <f>IFERROR(VLOOKUP(A2035,管理亚马逊库存!A:R,18,0),"")</f>
        <v>0</v>
      </c>
      <c r="F2035">
        <f t="shared" si="63"/>
        <v>0</v>
      </c>
      <c r="G2035" t="str">
        <f>IFERROR(VLOOKUP(A2035,预留库存!A:G,7,0),0)</f>
        <v>No</v>
      </c>
      <c r="H2035">
        <f>IFERROR(VLOOKUP(A2035,预留库存!A:H,8,0),0)</f>
        <v>0</v>
      </c>
      <c r="I2035">
        <f>IFERROR(VLOOKUP(A2035,预留库存!A:F,6,0),0)</f>
        <v>49.98</v>
      </c>
      <c r="J2035">
        <f>IFERROR(VLOOKUP(A2035,库龄!B:K,9,0),0)</f>
        <v>4</v>
      </c>
      <c r="K2035">
        <f>IFERROR(VLOOKUP(A2035,库龄!B:L,10,0),0)</f>
        <v>5</v>
      </c>
      <c r="L2035">
        <f>IFERROR(VLOOKUP(A2035,库龄!B:M,11,0),0)</f>
        <v>0</v>
      </c>
      <c r="M2035">
        <f>IFERROR(VLOOKUP(A2035,库龄!B:N,12,0),0)</f>
        <v>0</v>
      </c>
      <c r="N2035">
        <f t="shared" si="64"/>
        <v>9</v>
      </c>
    </row>
    <row r="2036" spans="1:14">
      <c r="A2036" s="3" t="s">
        <v>5133</v>
      </c>
      <c r="B2036">
        <f>IFERROR(VLOOKUP(A2036,管理亚马逊库存!A:K,11,0),"")</f>
        <v>6</v>
      </c>
      <c r="C2036">
        <f>IFERROR(VLOOKUP(A2036,管理亚马逊库存!A:L,12,0),"")</f>
        <v>0</v>
      </c>
      <c r="D2036">
        <f>IFERROR(VLOOKUP(A2036,管理亚马逊库存!A:Q,17,0),"")</f>
        <v>0</v>
      </c>
      <c r="E2036">
        <f>IFERROR(VLOOKUP(A2036,管理亚马逊库存!A:R,18,0),"")</f>
        <v>0</v>
      </c>
      <c r="F2036">
        <f t="shared" si="63"/>
        <v>0</v>
      </c>
      <c r="G2036" t="str">
        <f>IFERROR(VLOOKUP(A2036,预留库存!A:G,7,0),0)</f>
        <v>No</v>
      </c>
      <c r="H2036">
        <f>IFERROR(VLOOKUP(A2036,预留库存!A:H,8,0),0)</f>
        <v>0</v>
      </c>
      <c r="I2036">
        <f>IFERROR(VLOOKUP(A2036,预留库存!A:F,6,0),0)</f>
        <v>49.98</v>
      </c>
      <c r="J2036">
        <f>IFERROR(VLOOKUP(A2036,库龄!B:K,9,0),0)</f>
        <v>3</v>
      </c>
      <c r="K2036">
        <f>IFERROR(VLOOKUP(A2036,库龄!B:L,10,0),0)</f>
        <v>3</v>
      </c>
      <c r="L2036">
        <f>IFERROR(VLOOKUP(A2036,库龄!B:M,11,0),0)</f>
        <v>0</v>
      </c>
      <c r="M2036">
        <f>IFERROR(VLOOKUP(A2036,库龄!B:N,12,0),0)</f>
        <v>0</v>
      </c>
      <c r="N2036">
        <f t="shared" si="64"/>
        <v>6</v>
      </c>
    </row>
    <row r="2037" spans="1:14">
      <c r="A2037" s="3" t="s">
        <v>5136</v>
      </c>
      <c r="B2037">
        <f>IFERROR(VLOOKUP(A2037,管理亚马逊库存!A:K,11,0),"")</f>
        <v>3</v>
      </c>
      <c r="C2037">
        <f>IFERROR(VLOOKUP(A2037,管理亚马逊库存!A:L,12,0),"")</f>
        <v>0</v>
      </c>
      <c r="D2037">
        <f>IFERROR(VLOOKUP(A2037,管理亚马逊库存!A:Q,17,0),"")</f>
        <v>0</v>
      </c>
      <c r="E2037">
        <f>IFERROR(VLOOKUP(A2037,管理亚马逊库存!A:R,18,0),"")</f>
        <v>0</v>
      </c>
      <c r="F2037">
        <f t="shared" si="63"/>
        <v>0</v>
      </c>
      <c r="G2037" t="str">
        <f>IFERROR(VLOOKUP(A2037,预留库存!A:G,7,0),0)</f>
        <v>No</v>
      </c>
      <c r="H2037">
        <f>IFERROR(VLOOKUP(A2037,预留库存!A:H,8,0),0)</f>
        <v>0</v>
      </c>
      <c r="I2037">
        <f>IFERROR(VLOOKUP(A2037,预留库存!A:F,6,0),0)</f>
        <v>49.98</v>
      </c>
      <c r="J2037">
        <f>IFERROR(VLOOKUP(A2037,库龄!B:K,9,0),0)</f>
        <v>0</v>
      </c>
      <c r="K2037">
        <f>IFERROR(VLOOKUP(A2037,库龄!B:L,10,0),0)</f>
        <v>3</v>
      </c>
      <c r="L2037">
        <f>IFERROR(VLOOKUP(A2037,库龄!B:M,11,0),0)</f>
        <v>0</v>
      </c>
      <c r="M2037">
        <f>IFERROR(VLOOKUP(A2037,库龄!B:N,12,0),0)</f>
        <v>0</v>
      </c>
      <c r="N2037">
        <f t="shared" si="64"/>
        <v>3</v>
      </c>
    </row>
    <row r="2038" spans="1:14">
      <c r="A2038" s="3" t="s">
        <v>5139</v>
      </c>
      <c r="B2038">
        <f>IFERROR(VLOOKUP(A2038,管理亚马逊库存!A:K,11,0),"")</f>
        <v>7</v>
      </c>
      <c r="C2038">
        <f>IFERROR(VLOOKUP(A2038,管理亚马逊库存!A:L,12,0),"")</f>
        <v>0</v>
      </c>
      <c r="D2038">
        <f>IFERROR(VLOOKUP(A2038,管理亚马逊库存!A:Q,17,0),"")</f>
        <v>0</v>
      </c>
      <c r="E2038">
        <f>IFERROR(VLOOKUP(A2038,管理亚马逊库存!A:R,18,0),"")</f>
        <v>0</v>
      </c>
      <c r="F2038">
        <f t="shared" si="63"/>
        <v>0</v>
      </c>
      <c r="G2038" t="str">
        <f>IFERROR(VLOOKUP(A2038,预留库存!A:G,7,0),0)</f>
        <v>No</v>
      </c>
      <c r="H2038">
        <f>IFERROR(VLOOKUP(A2038,预留库存!A:H,8,0),0)</f>
        <v>0</v>
      </c>
      <c r="I2038">
        <f>IFERROR(VLOOKUP(A2038,预留库存!A:F,6,0),0)</f>
        <v>49.98</v>
      </c>
      <c r="J2038">
        <f>IFERROR(VLOOKUP(A2038,库龄!B:K,9,0),0)</f>
        <v>3</v>
      </c>
      <c r="K2038">
        <f>IFERROR(VLOOKUP(A2038,库龄!B:L,10,0),0)</f>
        <v>4</v>
      </c>
      <c r="L2038">
        <f>IFERROR(VLOOKUP(A2038,库龄!B:M,11,0),0)</f>
        <v>0</v>
      </c>
      <c r="M2038">
        <f>IFERROR(VLOOKUP(A2038,库龄!B:N,12,0),0)</f>
        <v>0</v>
      </c>
      <c r="N2038">
        <f t="shared" si="64"/>
        <v>7</v>
      </c>
    </row>
    <row r="2039" spans="1:14">
      <c r="A2039" s="3" t="s">
        <v>5142</v>
      </c>
      <c r="B2039">
        <f>IFERROR(VLOOKUP(A2039,管理亚马逊库存!A:K,11,0),"")</f>
        <v>9</v>
      </c>
      <c r="C2039">
        <f>IFERROR(VLOOKUP(A2039,管理亚马逊库存!A:L,12,0),"")</f>
        <v>0</v>
      </c>
      <c r="D2039">
        <f>IFERROR(VLOOKUP(A2039,管理亚马逊库存!A:Q,17,0),"")</f>
        <v>0</v>
      </c>
      <c r="E2039">
        <f>IFERROR(VLOOKUP(A2039,管理亚马逊库存!A:R,18,0),"")</f>
        <v>0</v>
      </c>
      <c r="F2039">
        <f t="shared" si="63"/>
        <v>0</v>
      </c>
      <c r="G2039" t="str">
        <f>IFERROR(VLOOKUP(A2039,预留库存!A:G,7,0),0)</f>
        <v>No</v>
      </c>
      <c r="H2039">
        <f>IFERROR(VLOOKUP(A2039,预留库存!A:H,8,0),0)</f>
        <v>0</v>
      </c>
      <c r="I2039">
        <f>IFERROR(VLOOKUP(A2039,预留库存!A:F,6,0),0)</f>
        <v>49.98</v>
      </c>
      <c r="J2039">
        <f>IFERROR(VLOOKUP(A2039,库龄!B:K,9,0),0)</f>
        <v>5</v>
      </c>
      <c r="K2039">
        <f>IFERROR(VLOOKUP(A2039,库龄!B:L,10,0),0)</f>
        <v>4</v>
      </c>
      <c r="L2039">
        <f>IFERROR(VLOOKUP(A2039,库龄!B:M,11,0),0)</f>
        <v>0</v>
      </c>
      <c r="M2039">
        <f>IFERROR(VLOOKUP(A2039,库龄!B:N,12,0),0)</f>
        <v>0</v>
      </c>
      <c r="N2039">
        <f t="shared" si="64"/>
        <v>9</v>
      </c>
    </row>
    <row r="2040" spans="1:14">
      <c r="A2040" s="3" t="s">
        <v>5145</v>
      </c>
      <c r="B2040">
        <f>IFERROR(VLOOKUP(A2040,管理亚马逊库存!A:K,11,0),"")</f>
        <v>9</v>
      </c>
      <c r="C2040">
        <f>IFERROR(VLOOKUP(A2040,管理亚马逊库存!A:L,12,0),"")</f>
        <v>0</v>
      </c>
      <c r="D2040">
        <f>IFERROR(VLOOKUP(A2040,管理亚马逊库存!A:Q,17,0),"")</f>
        <v>0</v>
      </c>
      <c r="E2040">
        <f>IFERROR(VLOOKUP(A2040,管理亚马逊库存!A:R,18,0),"")</f>
        <v>0</v>
      </c>
      <c r="F2040">
        <f t="shared" si="63"/>
        <v>0</v>
      </c>
      <c r="G2040" t="str">
        <f>IFERROR(VLOOKUP(A2040,预留库存!A:G,7,0),0)</f>
        <v>No</v>
      </c>
      <c r="H2040">
        <f>IFERROR(VLOOKUP(A2040,预留库存!A:H,8,0),0)</f>
        <v>0</v>
      </c>
      <c r="I2040">
        <f>IFERROR(VLOOKUP(A2040,预留库存!A:F,6,0),0)</f>
        <v>49.98</v>
      </c>
      <c r="J2040">
        <f>IFERROR(VLOOKUP(A2040,库龄!B:K,9,0),0)</f>
        <v>4</v>
      </c>
      <c r="K2040">
        <f>IFERROR(VLOOKUP(A2040,库龄!B:L,10,0),0)</f>
        <v>3</v>
      </c>
      <c r="L2040">
        <f>IFERROR(VLOOKUP(A2040,库龄!B:M,11,0),0)</f>
        <v>0</v>
      </c>
      <c r="M2040">
        <f>IFERROR(VLOOKUP(A2040,库龄!B:N,12,0),0)</f>
        <v>0</v>
      </c>
      <c r="N2040">
        <f t="shared" si="64"/>
        <v>7</v>
      </c>
    </row>
    <row r="2041" spans="1:14">
      <c r="A2041" s="3" t="s">
        <v>5148</v>
      </c>
      <c r="B2041">
        <f>IFERROR(VLOOKUP(A2041,管理亚马逊库存!A:K,11,0),"")</f>
        <v>7</v>
      </c>
      <c r="C2041">
        <f>IFERROR(VLOOKUP(A2041,管理亚马逊库存!A:L,12,0),"")</f>
        <v>0</v>
      </c>
      <c r="D2041">
        <f>IFERROR(VLOOKUP(A2041,管理亚马逊库存!A:Q,17,0),"")</f>
        <v>0</v>
      </c>
      <c r="E2041">
        <f>IFERROR(VLOOKUP(A2041,管理亚马逊库存!A:R,18,0),"")</f>
        <v>0</v>
      </c>
      <c r="F2041">
        <f t="shared" si="63"/>
        <v>0</v>
      </c>
      <c r="G2041" t="str">
        <f>IFERROR(VLOOKUP(A2041,预留库存!A:G,7,0),0)</f>
        <v>No</v>
      </c>
      <c r="H2041">
        <f>IFERROR(VLOOKUP(A2041,预留库存!A:H,8,0),0)</f>
        <v>0</v>
      </c>
      <c r="I2041">
        <f>IFERROR(VLOOKUP(A2041,预留库存!A:F,6,0),0)</f>
        <v>49.98</v>
      </c>
      <c r="J2041">
        <f>IFERROR(VLOOKUP(A2041,库龄!B:K,9,0),0)</f>
        <v>5</v>
      </c>
      <c r="K2041">
        <f>IFERROR(VLOOKUP(A2041,库龄!B:L,10,0),0)</f>
        <v>2</v>
      </c>
      <c r="L2041">
        <f>IFERROR(VLOOKUP(A2041,库龄!B:M,11,0),0)</f>
        <v>0</v>
      </c>
      <c r="M2041">
        <f>IFERROR(VLOOKUP(A2041,库龄!B:N,12,0),0)</f>
        <v>0</v>
      </c>
      <c r="N2041">
        <f t="shared" si="64"/>
        <v>7</v>
      </c>
    </row>
    <row r="2042" spans="1:14">
      <c r="A2042" s="3" t="s">
        <v>5151</v>
      </c>
      <c r="B2042">
        <f>IFERROR(VLOOKUP(A2042,管理亚马逊库存!A:K,11,0),"")</f>
        <v>3</v>
      </c>
      <c r="C2042">
        <f>IFERROR(VLOOKUP(A2042,管理亚马逊库存!A:L,12,0),"")</f>
        <v>0</v>
      </c>
      <c r="D2042">
        <f>IFERROR(VLOOKUP(A2042,管理亚马逊库存!A:Q,17,0),"")</f>
        <v>0</v>
      </c>
      <c r="E2042">
        <f>IFERROR(VLOOKUP(A2042,管理亚马逊库存!A:R,18,0),"")</f>
        <v>0</v>
      </c>
      <c r="F2042">
        <f t="shared" si="63"/>
        <v>0</v>
      </c>
      <c r="G2042" t="str">
        <f>IFERROR(VLOOKUP(A2042,预留库存!A:G,7,0),0)</f>
        <v>No</v>
      </c>
      <c r="H2042">
        <f>IFERROR(VLOOKUP(A2042,预留库存!A:H,8,0),0)</f>
        <v>0</v>
      </c>
      <c r="I2042">
        <f>IFERROR(VLOOKUP(A2042,预留库存!A:F,6,0),0)</f>
        <v>49.98</v>
      </c>
      <c r="J2042">
        <f>IFERROR(VLOOKUP(A2042,库龄!B:K,9,0),0)</f>
        <v>0</v>
      </c>
      <c r="K2042">
        <f>IFERROR(VLOOKUP(A2042,库龄!B:L,10,0),0)</f>
        <v>3</v>
      </c>
      <c r="L2042">
        <f>IFERROR(VLOOKUP(A2042,库龄!B:M,11,0),0)</f>
        <v>0</v>
      </c>
      <c r="M2042">
        <f>IFERROR(VLOOKUP(A2042,库龄!B:N,12,0),0)</f>
        <v>0</v>
      </c>
      <c r="N2042">
        <f t="shared" si="64"/>
        <v>3</v>
      </c>
    </row>
    <row r="2043" spans="1:14">
      <c r="A2043" s="3" t="s">
        <v>5154</v>
      </c>
      <c r="B2043">
        <f>IFERROR(VLOOKUP(A2043,管理亚马逊库存!A:K,11,0),"")</f>
        <v>9</v>
      </c>
      <c r="C2043">
        <f>IFERROR(VLOOKUP(A2043,管理亚马逊库存!A:L,12,0),"")</f>
        <v>0</v>
      </c>
      <c r="D2043">
        <f>IFERROR(VLOOKUP(A2043,管理亚马逊库存!A:Q,17,0),"")</f>
        <v>0</v>
      </c>
      <c r="E2043">
        <f>IFERROR(VLOOKUP(A2043,管理亚马逊库存!A:R,18,0),"")</f>
        <v>0</v>
      </c>
      <c r="F2043">
        <f t="shared" si="63"/>
        <v>0</v>
      </c>
      <c r="G2043" t="str">
        <f>IFERROR(VLOOKUP(A2043,预留库存!A:G,7,0),0)</f>
        <v>No</v>
      </c>
      <c r="H2043">
        <f>IFERROR(VLOOKUP(A2043,预留库存!A:H,8,0),0)</f>
        <v>0</v>
      </c>
      <c r="I2043">
        <f>IFERROR(VLOOKUP(A2043,预留库存!A:F,6,0),0)</f>
        <v>49.98</v>
      </c>
      <c r="J2043">
        <f>IFERROR(VLOOKUP(A2043,库龄!B:K,9,0),0)</f>
        <v>4</v>
      </c>
      <c r="K2043">
        <f>IFERROR(VLOOKUP(A2043,库龄!B:L,10,0),0)</f>
        <v>4</v>
      </c>
      <c r="L2043">
        <f>IFERROR(VLOOKUP(A2043,库龄!B:M,11,0),0)</f>
        <v>0</v>
      </c>
      <c r="M2043">
        <f>IFERROR(VLOOKUP(A2043,库龄!B:N,12,0),0)</f>
        <v>0</v>
      </c>
      <c r="N2043">
        <f t="shared" si="64"/>
        <v>8</v>
      </c>
    </row>
    <row r="2044" spans="1:14">
      <c r="A2044" s="3" t="s">
        <v>5157</v>
      </c>
      <c r="B2044">
        <f>IFERROR(VLOOKUP(A2044,管理亚马逊库存!A:K,11,0),"")</f>
        <v>9</v>
      </c>
      <c r="C2044">
        <f>IFERROR(VLOOKUP(A2044,管理亚马逊库存!A:L,12,0),"")</f>
        <v>0</v>
      </c>
      <c r="D2044">
        <f>IFERROR(VLOOKUP(A2044,管理亚马逊库存!A:Q,17,0),"")</f>
        <v>0</v>
      </c>
      <c r="E2044">
        <f>IFERROR(VLOOKUP(A2044,管理亚马逊库存!A:R,18,0),"")</f>
        <v>0</v>
      </c>
      <c r="F2044">
        <f t="shared" si="63"/>
        <v>0</v>
      </c>
      <c r="G2044" t="str">
        <f>IFERROR(VLOOKUP(A2044,预留库存!A:G,7,0),0)</f>
        <v>No</v>
      </c>
      <c r="H2044">
        <f>IFERROR(VLOOKUP(A2044,预留库存!A:H,8,0),0)</f>
        <v>0</v>
      </c>
      <c r="I2044">
        <f>IFERROR(VLOOKUP(A2044,预留库存!A:F,6,0),0)</f>
        <v>49.98</v>
      </c>
      <c r="J2044">
        <f>IFERROR(VLOOKUP(A2044,库龄!B:K,9,0),0)</f>
        <v>5</v>
      </c>
      <c r="K2044">
        <f>IFERROR(VLOOKUP(A2044,库龄!B:L,10,0),0)</f>
        <v>4</v>
      </c>
      <c r="L2044">
        <f>IFERROR(VLOOKUP(A2044,库龄!B:M,11,0),0)</f>
        <v>0</v>
      </c>
      <c r="M2044">
        <f>IFERROR(VLOOKUP(A2044,库龄!B:N,12,0),0)</f>
        <v>0</v>
      </c>
      <c r="N2044">
        <f t="shared" si="64"/>
        <v>9</v>
      </c>
    </row>
    <row r="2045" spans="1:14">
      <c r="A2045" s="3" t="s">
        <v>5160</v>
      </c>
      <c r="B2045">
        <f>IFERROR(VLOOKUP(A2045,管理亚马逊库存!A:K,11,0),"")</f>
        <v>0</v>
      </c>
      <c r="C2045">
        <f>IFERROR(VLOOKUP(A2045,管理亚马逊库存!A:L,12,0),"")</f>
        <v>0</v>
      </c>
      <c r="D2045">
        <f>IFERROR(VLOOKUP(A2045,管理亚马逊库存!A:Q,17,0),"")</f>
        <v>0</v>
      </c>
      <c r="E2045">
        <f>IFERROR(VLOOKUP(A2045,管理亚马逊库存!A:R,18,0),"")</f>
        <v>0</v>
      </c>
      <c r="F2045">
        <f t="shared" si="63"/>
        <v>0</v>
      </c>
      <c r="G2045" t="str">
        <f>IFERROR(VLOOKUP(A2045,预留库存!A:G,7,0),0)</f>
        <v>No</v>
      </c>
      <c r="H2045">
        <f>IFERROR(VLOOKUP(A2045,预留库存!A:H,8,0),0)</f>
        <v>0</v>
      </c>
      <c r="I2045">
        <f>IFERROR(VLOOKUP(A2045,预留库存!A:F,6,0),0)</f>
        <v>22.98</v>
      </c>
      <c r="J2045">
        <f>IFERROR(VLOOKUP(A2045,库龄!B:K,9,0),0)</f>
        <v>0</v>
      </c>
      <c r="K2045">
        <f>IFERROR(VLOOKUP(A2045,库龄!B:L,10,0),0)</f>
        <v>0</v>
      </c>
      <c r="L2045">
        <f>IFERROR(VLOOKUP(A2045,库龄!B:M,11,0),0)</f>
        <v>0</v>
      </c>
      <c r="M2045">
        <f>IFERROR(VLOOKUP(A2045,库龄!B:N,12,0),0)</f>
        <v>0</v>
      </c>
      <c r="N2045">
        <f t="shared" si="64"/>
        <v>0</v>
      </c>
    </row>
    <row r="2046" spans="1:14">
      <c r="A2046" s="3" t="s">
        <v>5162</v>
      </c>
      <c r="B2046">
        <f>IFERROR(VLOOKUP(A2046,管理亚马逊库存!A:K,11,0),"")</f>
        <v>0</v>
      </c>
      <c r="C2046">
        <f>IFERROR(VLOOKUP(A2046,管理亚马逊库存!A:L,12,0),"")</f>
        <v>0</v>
      </c>
      <c r="D2046">
        <f>IFERROR(VLOOKUP(A2046,管理亚马逊库存!A:Q,17,0),"")</f>
        <v>0</v>
      </c>
      <c r="E2046">
        <f>IFERROR(VLOOKUP(A2046,管理亚马逊库存!A:R,18,0),"")</f>
        <v>0</v>
      </c>
      <c r="F2046">
        <f t="shared" si="63"/>
        <v>0</v>
      </c>
      <c r="G2046" t="str">
        <f>IFERROR(VLOOKUP(A2046,预留库存!A:G,7,0),0)</f>
        <v>No</v>
      </c>
      <c r="H2046">
        <f>IFERROR(VLOOKUP(A2046,预留库存!A:H,8,0),0)</f>
        <v>0</v>
      </c>
      <c r="I2046">
        <f>IFERROR(VLOOKUP(A2046,预留库存!A:F,6,0),0)</f>
        <v>49.98</v>
      </c>
      <c r="J2046">
        <f>IFERROR(VLOOKUP(A2046,库龄!B:K,9,0),0)</f>
        <v>0</v>
      </c>
      <c r="K2046">
        <f>IFERROR(VLOOKUP(A2046,库龄!B:L,10,0),0)</f>
        <v>0</v>
      </c>
      <c r="L2046">
        <f>IFERROR(VLOOKUP(A2046,库龄!B:M,11,0),0)</f>
        <v>0</v>
      </c>
      <c r="M2046">
        <f>IFERROR(VLOOKUP(A2046,库龄!B:N,12,0),0)</f>
        <v>0</v>
      </c>
      <c r="N2046">
        <f t="shared" si="64"/>
        <v>0</v>
      </c>
    </row>
    <row r="2047" spans="1:14">
      <c r="A2047" s="3" t="s">
        <v>5165</v>
      </c>
      <c r="B2047">
        <f>IFERROR(VLOOKUP(A2047,管理亚马逊库存!A:K,11,0),"")</f>
        <v>6</v>
      </c>
      <c r="C2047">
        <f>IFERROR(VLOOKUP(A2047,管理亚马逊库存!A:L,12,0),"")</f>
        <v>0</v>
      </c>
      <c r="D2047">
        <f>IFERROR(VLOOKUP(A2047,管理亚马逊库存!A:Q,17,0),"")</f>
        <v>0</v>
      </c>
      <c r="E2047">
        <f>IFERROR(VLOOKUP(A2047,管理亚马逊库存!A:R,18,0),"")</f>
        <v>0</v>
      </c>
      <c r="F2047">
        <f t="shared" si="63"/>
        <v>0</v>
      </c>
      <c r="G2047" t="str">
        <f>IFERROR(VLOOKUP(A2047,预留库存!A:G,7,0),0)</f>
        <v>No</v>
      </c>
      <c r="H2047">
        <f>IFERROR(VLOOKUP(A2047,预留库存!A:H,8,0),0)</f>
        <v>0</v>
      </c>
      <c r="I2047">
        <f>IFERROR(VLOOKUP(A2047,预留库存!A:F,6,0),0)</f>
        <v>49.98</v>
      </c>
      <c r="J2047">
        <f>IFERROR(VLOOKUP(A2047,库龄!B:K,9,0),0)</f>
        <v>5</v>
      </c>
      <c r="K2047">
        <f>IFERROR(VLOOKUP(A2047,库龄!B:L,10,0),0)</f>
        <v>1</v>
      </c>
      <c r="L2047">
        <f>IFERROR(VLOOKUP(A2047,库龄!B:M,11,0),0)</f>
        <v>0</v>
      </c>
      <c r="M2047">
        <f>IFERROR(VLOOKUP(A2047,库龄!B:N,12,0),0)</f>
        <v>0</v>
      </c>
      <c r="N2047">
        <f t="shared" si="64"/>
        <v>6</v>
      </c>
    </row>
    <row r="2048" spans="1:14">
      <c r="A2048" s="3" t="s">
        <v>5168</v>
      </c>
      <c r="B2048">
        <f>IFERROR(VLOOKUP(A2048,管理亚马逊库存!A:K,11,0),"")</f>
        <v>0</v>
      </c>
      <c r="C2048">
        <f>IFERROR(VLOOKUP(A2048,管理亚马逊库存!A:L,12,0),"")</f>
        <v>0</v>
      </c>
      <c r="D2048">
        <f>IFERROR(VLOOKUP(A2048,管理亚马逊库存!A:Q,17,0),"")</f>
        <v>0</v>
      </c>
      <c r="E2048">
        <f>IFERROR(VLOOKUP(A2048,管理亚马逊库存!A:R,18,0),"")</f>
        <v>0</v>
      </c>
      <c r="F2048">
        <f t="shared" si="63"/>
        <v>0</v>
      </c>
      <c r="G2048" t="str">
        <f>IFERROR(VLOOKUP(A2048,预留库存!A:G,7,0),0)</f>
        <v>No</v>
      </c>
      <c r="H2048">
        <f>IFERROR(VLOOKUP(A2048,预留库存!A:H,8,0),0)</f>
        <v>0</v>
      </c>
      <c r="I2048">
        <f>IFERROR(VLOOKUP(A2048,预留库存!A:F,6,0),0)</f>
        <v>49.98</v>
      </c>
      <c r="J2048">
        <f>IFERROR(VLOOKUP(A2048,库龄!B:K,9,0),0)</f>
        <v>0</v>
      </c>
      <c r="K2048">
        <f>IFERROR(VLOOKUP(A2048,库龄!B:L,10,0),0)</f>
        <v>0</v>
      </c>
      <c r="L2048">
        <f>IFERROR(VLOOKUP(A2048,库龄!B:M,11,0),0)</f>
        <v>0</v>
      </c>
      <c r="M2048">
        <f>IFERROR(VLOOKUP(A2048,库龄!B:N,12,0),0)</f>
        <v>0</v>
      </c>
      <c r="N2048">
        <f t="shared" si="64"/>
        <v>0</v>
      </c>
    </row>
    <row r="2049" spans="1:14">
      <c r="A2049" s="3" t="s">
        <v>5171</v>
      </c>
      <c r="B2049">
        <f>IFERROR(VLOOKUP(A2049,管理亚马逊库存!A:K,11,0),"")</f>
        <v>8</v>
      </c>
      <c r="C2049">
        <f>IFERROR(VLOOKUP(A2049,管理亚马逊库存!A:L,12,0),"")</f>
        <v>0</v>
      </c>
      <c r="D2049">
        <f>IFERROR(VLOOKUP(A2049,管理亚马逊库存!A:Q,17,0),"")</f>
        <v>0</v>
      </c>
      <c r="E2049">
        <f>IFERROR(VLOOKUP(A2049,管理亚马逊库存!A:R,18,0),"")</f>
        <v>0</v>
      </c>
      <c r="F2049">
        <f t="shared" si="63"/>
        <v>0</v>
      </c>
      <c r="G2049" t="str">
        <f>IFERROR(VLOOKUP(A2049,预留库存!A:G,7,0),0)</f>
        <v>No</v>
      </c>
      <c r="H2049">
        <f>IFERROR(VLOOKUP(A2049,预留库存!A:H,8,0),0)</f>
        <v>0</v>
      </c>
      <c r="I2049">
        <f>IFERROR(VLOOKUP(A2049,预留库存!A:F,6,0),0)</f>
        <v>49.98</v>
      </c>
      <c r="J2049">
        <f>IFERROR(VLOOKUP(A2049,库龄!B:K,9,0),0)</f>
        <v>4</v>
      </c>
      <c r="K2049">
        <f>IFERROR(VLOOKUP(A2049,库龄!B:L,10,0),0)</f>
        <v>4</v>
      </c>
      <c r="L2049">
        <f>IFERROR(VLOOKUP(A2049,库龄!B:M,11,0),0)</f>
        <v>0</v>
      </c>
      <c r="M2049">
        <f>IFERROR(VLOOKUP(A2049,库龄!B:N,12,0),0)</f>
        <v>0</v>
      </c>
      <c r="N2049">
        <f t="shared" si="64"/>
        <v>8</v>
      </c>
    </row>
    <row r="2050" spans="1:14">
      <c r="A2050" s="3" t="s">
        <v>5174</v>
      </c>
      <c r="B2050">
        <f>IFERROR(VLOOKUP(A2050,管理亚马逊库存!A:K,11,0),"")</f>
        <v>7</v>
      </c>
      <c r="C2050">
        <f>IFERROR(VLOOKUP(A2050,管理亚马逊库存!A:L,12,0),"")</f>
        <v>0</v>
      </c>
      <c r="D2050">
        <f>IFERROR(VLOOKUP(A2050,管理亚马逊库存!A:Q,17,0),"")</f>
        <v>0</v>
      </c>
      <c r="E2050">
        <f>IFERROR(VLOOKUP(A2050,管理亚马逊库存!A:R,18,0),"")</f>
        <v>0</v>
      </c>
      <c r="F2050">
        <f t="shared" si="63"/>
        <v>0</v>
      </c>
      <c r="G2050" t="str">
        <f>IFERROR(VLOOKUP(A2050,预留库存!A:G,7,0),0)</f>
        <v>No</v>
      </c>
      <c r="H2050">
        <f>IFERROR(VLOOKUP(A2050,预留库存!A:H,8,0),0)</f>
        <v>0</v>
      </c>
      <c r="I2050">
        <f>IFERROR(VLOOKUP(A2050,预留库存!A:F,6,0),0)</f>
        <v>49.98</v>
      </c>
      <c r="J2050">
        <f>IFERROR(VLOOKUP(A2050,库龄!B:K,9,0),0)</f>
        <v>4</v>
      </c>
      <c r="K2050">
        <f>IFERROR(VLOOKUP(A2050,库龄!B:L,10,0),0)</f>
        <v>3</v>
      </c>
      <c r="L2050">
        <f>IFERROR(VLOOKUP(A2050,库龄!B:M,11,0),0)</f>
        <v>0</v>
      </c>
      <c r="M2050">
        <f>IFERROR(VLOOKUP(A2050,库龄!B:N,12,0),0)</f>
        <v>0</v>
      </c>
      <c r="N2050">
        <f t="shared" si="64"/>
        <v>7</v>
      </c>
    </row>
    <row r="2051" spans="1:14">
      <c r="A2051" s="3" t="s">
        <v>5177</v>
      </c>
      <c r="B2051">
        <f>IFERROR(VLOOKUP(A2051,管理亚马逊库存!A:K,11,0),"")</f>
        <v>2</v>
      </c>
      <c r="C2051">
        <f>IFERROR(VLOOKUP(A2051,管理亚马逊库存!A:L,12,0),"")</f>
        <v>0</v>
      </c>
      <c r="D2051">
        <f>IFERROR(VLOOKUP(A2051,管理亚马逊库存!A:Q,17,0),"")</f>
        <v>0</v>
      </c>
      <c r="E2051">
        <f>IFERROR(VLOOKUP(A2051,管理亚马逊库存!A:R,18,0),"")</f>
        <v>0</v>
      </c>
      <c r="F2051">
        <f t="shared" ref="F2051:F2054" si="65">SUM(D2051:E2051)</f>
        <v>0</v>
      </c>
      <c r="G2051" t="str">
        <f>IFERROR(VLOOKUP(A2051,预留库存!A:G,7,0),0)</f>
        <v>No</v>
      </c>
      <c r="H2051">
        <f>IFERROR(VLOOKUP(A2051,预留库存!A:H,8,0),0)</f>
        <v>0</v>
      </c>
      <c r="I2051">
        <f>IFERROR(VLOOKUP(A2051,预留库存!A:F,6,0),0)</f>
        <v>49.98</v>
      </c>
      <c r="J2051">
        <f>IFERROR(VLOOKUP(A2051,库龄!B:K,9,0),0)</f>
        <v>1</v>
      </c>
      <c r="K2051">
        <f>IFERROR(VLOOKUP(A2051,库龄!B:L,10,0),0)</f>
        <v>1</v>
      </c>
      <c r="L2051">
        <f>IFERROR(VLOOKUP(A2051,库龄!B:M,11,0),0)</f>
        <v>0</v>
      </c>
      <c r="M2051">
        <f>IFERROR(VLOOKUP(A2051,库龄!B:N,12,0),0)</f>
        <v>0</v>
      </c>
      <c r="N2051">
        <f t="shared" ref="N2051:N2054" si="66">SUM(J2051:M2051)</f>
        <v>2</v>
      </c>
    </row>
    <row r="2052" spans="1:14">
      <c r="A2052" s="3" t="s">
        <v>5180</v>
      </c>
      <c r="B2052">
        <f>IFERROR(VLOOKUP(A2052,管理亚马逊库存!A:K,11,0),"")</f>
        <v>9</v>
      </c>
      <c r="C2052">
        <f>IFERROR(VLOOKUP(A2052,管理亚马逊库存!A:L,12,0),"")</f>
        <v>0</v>
      </c>
      <c r="D2052">
        <f>IFERROR(VLOOKUP(A2052,管理亚马逊库存!A:Q,17,0),"")</f>
        <v>0</v>
      </c>
      <c r="E2052">
        <f>IFERROR(VLOOKUP(A2052,管理亚马逊库存!A:R,18,0),"")</f>
        <v>0</v>
      </c>
      <c r="F2052">
        <f t="shared" si="65"/>
        <v>0</v>
      </c>
      <c r="G2052" t="str">
        <f>IFERROR(VLOOKUP(A2052,预留库存!A:G,7,0),0)</f>
        <v>No</v>
      </c>
      <c r="H2052">
        <f>IFERROR(VLOOKUP(A2052,预留库存!A:H,8,0),0)</f>
        <v>0</v>
      </c>
      <c r="I2052">
        <f>IFERROR(VLOOKUP(A2052,预留库存!A:F,6,0),0)</f>
        <v>49.98</v>
      </c>
      <c r="J2052">
        <f>IFERROR(VLOOKUP(A2052,库龄!B:K,9,0),0)</f>
        <v>4</v>
      </c>
      <c r="K2052">
        <f>IFERROR(VLOOKUP(A2052,库龄!B:L,10,0),0)</f>
        <v>5</v>
      </c>
      <c r="L2052">
        <f>IFERROR(VLOOKUP(A2052,库龄!B:M,11,0),0)</f>
        <v>0</v>
      </c>
      <c r="M2052">
        <f>IFERROR(VLOOKUP(A2052,库龄!B:N,12,0),0)</f>
        <v>0</v>
      </c>
      <c r="N2052">
        <f t="shared" si="66"/>
        <v>9</v>
      </c>
    </row>
    <row r="2053" spans="1:14">
      <c r="A2053" s="3" t="s">
        <v>5183</v>
      </c>
      <c r="B2053">
        <f>IFERROR(VLOOKUP(A2053,管理亚马逊库存!A:K,11,0),"")</f>
        <v>9</v>
      </c>
      <c r="C2053">
        <f>IFERROR(VLOOKUP(A2053,管理亚马逊库存!A:L,12,0),"")</f>
        <v>0</v>
      </c>
      <c r="D2053">
        <f>IFERROR(VLOOKUP(A2053,管理亚马逊库存!A:Q,17,0),"")</f>
        <v>0</v>
      </c>
      <c r="E2053">
        <f>IFERROR(VLOOKUP(A2053,管理亚马逊库存!A:R,18,0),"")</f>
        <v>0</v>
      </c>
      <c r="F2053">
        <f t="shared" si="65"/>
        <v>0</v>
      </c>
      <c r="G2053" t="str">
        <f>IFERROR(VLOOKUP(A2053,预留库存!A:G,7,0),0)</f>
        <v>No</v>
      </c>
      <c r="H2053">
        <f>IFERROR(VLOOKUP(A2053,预留库存!A:H,8,0),0)</f>
        <v>0</v>
      </c>
      <c r="I2053">
        <f>IFERROR(VLOOKUP(A2053,预留库存!A:F,6,0),0)</f>
        <v>49.98</v>
      </c>
      <c r="J2053">
        <f>IFERROR(VLOOKUP(A2053,库龄!B:K,9,0),0)</f>
        <v>4</v>
      </c>
      <c r="K2053">
        <f>IFERROR(VLOOKUP(A2053,库龄!B:L,10,0),0)</f>
        <v>5</v>
      </c>
      <c r="L2053">
        <f>IFERROR(VLOOKUP(A2053,库龄!B:M,11,0),0)</f>
        <v>0</v>
      </c>
      <c r="M2053">
        <f>IFERROR(VLOOKUP(A2053,库龄!B:N,12,0),0)</f>
        <v>0</v>
      </c>
      <c r="N2053">
        <f t="shared" si="66"/>
        <v>9</v>
      </c>
    </row>
    <row r="2054" spans="1:14">
      <c r="A2054" s="3" t="s">
        <v>5186</v>
      </c>
      <c r="B2054">
        <f>IFERROR(VLOOKUP(A2054,管理亚马逊库存!A:K,11,0),"")</f>
        <v>0</v>
      </c>
      <c r="C2054">
        <f>IFERROR(VLOOKUP(A2054,管理亚马逊库存!A:L,12,0),"")</f>
        <v>0</v>
      </c>
      <c r="D2054">
        <f>IFERROR(VLOOKUP(A2054,管理亚马逊库存!A:Q,17,0),"")</f>
        <v>0</v>
      </c>
      <c r="E2054">
        <f>IFERROR(VLOOKUP(A2054,管理亚马逊库存!A:R,18,0),"")</f>
        <v>0</v>
      </c>
      <c r="F2054">
        <f t="shared" si="65"/>
        <v>0</v>
      </c>
      <c r="G2054">
        <f>IFERROR(VLOOKUP(A2054,预留库存!A:G,7,0),0)</f>
        <v>0</v>
      </c>
      <c r="H2054">
        <f>IFERROR(VLOOKUP(A2054,预留库存!A:H,8,0),0)</f>
        <v>0</v>
      </c>
      <c r="I2054">
        <f>IFERROR(VLOOKUP(A2054,预留库存!A:F,6,0),0)</f>
        <v>0</v>
      </c>
      <c r="J2054">
        <f>IFERROR(VLOOKUP(A2054,库龄!B:K,9,0),0)</f>
        <v>0</v>
      </c>
      <c r="K2054">
        <f>IFERROR(VLOOKUP(A2054,库龄!B:L,10,0),0)</f>
        <v>0</v>
      </c>
      <c r="L2054">
        <f>IFERROR(VLOOKUP(A2054,库龄!B:M,11,0),0)</f>
        <v>0</v>
      </c>
      <c r="M2054">
        <f>IFERROR(VLOOKUP(A2054,库龄!B:N,12,0),0)</f>
        <v>0</v>
      </c>
      <c r="N2054">
        <f t="shared" si="66"/>
        <v>0</v>
      </c>
    </row>
    <row r="2055" spans="2:14">
      <c r="B2055" t="str">
        <f>IFERROR(VLOOKUP(A2055,管理亚马逊库存!A:K,11,0),"")</f>
        <v/>
      </c>
      <c r="C2055" t="str">
        <f>IFERROR(VLOOKUP(A2055,管理亚马逊库存!A:L,12,0),"")</f>
        <v/>
      </c>
      <c r="D2055" t="str">
        <f>IFERROR(VLOOKUP(A2055,管理亚马逊库存!A:Q,17,0),"")</f>
        <v/>
      </c>
      <c r="E2055" t="str">
        <f>IFERROR(VLOOKUP(A2055,管理亚马逊库存!A:R,18,0),"")</f>
        <v/>
      </c>
      <c r="F2055">
        <f t="shared" ref="F2051:F2096" si="67">SUM(D2055:E2055)</f>
        <v>0</v>
      </c>
      <c r="G2055">
        <f>IFERROR(VLOOKUP(A2055,预留库存!A:G,7,0),0)</f>
        <v>0</v>
      </c>
      <c r="H2055">
        <f>IFERROR(VLOOKUP(A2055,预留库存!A:H,8,0),0)</f>
        <v>0</v>
      </c>
      <c r="I2055">
        <f>IFERROR(VLOOKUP(A2055,预留库存!A:F,6,0),0)</f>
        <v>0</v>
      </c>
      <c r="J2055">
        <f>IFERROR(VLOOKUP(A2055,库龄!B:K,9,0),0)</f>
        <v>0</v>
      </c>
      <c r="K2055">
        <f>IFERROR(VLOOKUP(A2055,库龄!B:L,10,0),0)</f>
        <v>0</v>
      </c>
      <c r="L2055">
        <f>IFERROR(VLOOKUP(A2055,库龄!B:M,11,0),0)</f>
        <v>0</v>
      </c>
      <c r="M2055">
        <f>IFERROR(VLOOKUP(A2055,库龄!B:N,12,0),0)</f>
        <v>0</v>
      </c>
      <c r="N2055">
        <f t="shared" ref="N2051:N2096" si="68">SUM(J2055:M2055)</f>
        <v>0</v>
      </c>
    </row>
    <row r="2056" spans="2:14">
      <c r="B2056" t="str">
        <f>IFERROR(VLOOKUP(A2056,管理亚马逊库存!A:K,11,0),"")</f>
        <v/>
      </c>
      <c r="C2056" t="str">
        <f>IFERROR(VLOOKUP(A2056,管理亚马逊库存!A:L,12,0),"")</f>
        <v/>
      </c>
      <c r="D2056" t="str">
        <f>IFERROR(VLOOKUP(A2056,管理亚马逊库存!A:Q,17,0),"")</f>
        <v/>
      </c>
      <c r="E2056" t="str">
        <f>IFERROR(VLOOKUP(A2056,管理亚马逊库存!A:R,18,0),"")</f>
        <v/>
      </c>
      <c r="F2056">
        <f t="shared" si="67"/>
        <v>0</v>
      </c>
      <c r="G2056">
        <f>IFERROR(VLOOKUP(A2056,预留库存!A:G,7,0),0)</f>
        <v>0</v>
      </c>
      <c r="H2056">
        <f>IFERROR(VLOOKUP(A2056,预留库存!A:H,8,0),0)</f>
        <v>0</v>
      </c>
      <c r="I2056">
        <f>IFERROR(VLOOKUP(A2056,预留库存!A:F,6,0),0)</f>
        <v>0</v>
      </c>
      <c r="J2056">
        <f>IFERROR(VLOOKUP(A2056,库龄!B:K,9,0),0)</f>
        <v>0</v>
      </c>
      <c r="K2056">
        <f>IFERROR(VLOOKUP(A2056,库龄!B:L,10,0),0)</f>
        <v>0</v>
      </c>
      <c r="L2056">
        <f>IFERROR(VLOOKUP(A2056,库龄!B:M,11,0),0)</f>
        <v>0</v>
      </c>
      <c r="M2056">
        <f>IFERROR(VLOOKUP(A2056,库龄!B:N,12,0),0)</f>
        <v>0</v>
      </c>
      <c r="N2056">
        <f t="shared" si="68"/>
        <v>0</v>
      </c>
    </row>
    <row r="2057" spans="2:14">
      <c r="B2057" t="str">
        <f>IFERROR(VLOOKUP(A2057,管理亚马逊库存!A:K,11,0),"")</f>
        <v/>
      </c>
      <c r="C2057" t="str">
        <f>IFERROR(VLOOKUP(A2057,管理亚马逊库存!A:L,12,0),"")</f>
        <v/>
      </c>
      <c r="D2057" t="str">
        <f>IFERROR(VLOOKUP(A2057,管理亚马逊库存!A:Q,17,0),"")</f>
        <v/>
      </c>
      <c r="E2057" t="str">
        <f>IFERROR(VLOOKUP(A2057,管理亚马逊库存!A:R,18,0),"")</f>
        <v/>
      </c>
      <c r="F2057">
        <f t="shared" si="67"/>
        <v>0</v>
      </c>
      <c r="G2057">
        <f>IFERROR(VLOOKUP(A2057,预留库存!A:G,7,0),0)</f>
        <v>0</v>
      </c>
      <c r="H2057">
        <f>IFERROR(VLOOKUP(A2057,预留库存!A:H,8,0),0)</f>
        <v>0</v>
      </c>
      <c r="I2057">
        <f>IFERROR(VLOOKUP(A2057,预留库存!A:F,6,0),0)</f>
        <v>0</v>
      </c>
      <c r="J2057">
        <f>IFERROR(VLOOKUP(A2057,库龄!B:K,9,0),0)</f>
        <v>0</v>
      </c>
      <c r="K2057">
        <f>IFERROR(VLOOKUP(A2057,库龄!B:L,10,0),0)</f>
        <v>0</v>
      </c>
      <c r="L2057">
        <f>IFERROR(VLOOKUP(A2057,库龄!B:M,11,0),0)</f>
        <v>0</v>
      </c>
      <c r="M2057">
        <f>IFERROR(VLOOKUP(A2057,库龄!B:N,12,0),0)</f>
        <v>0</v>
      </c>
      <c r="N2057">
        <f t="shared" si="68"/>
        <v>0</v>
      </c>
    </row>
    <row r="2058" spans="2:14">
      <c r="B2058" t="str">
        <f>IFERROR(VLOOKUP(A2058,管理亚马逊库存!A:K,11,0),"")</f>
        <v/>
      </c>
      <c r="C2058" t="str">
        <f>IFERROR(VLOOKUP(A2058,管理亚马逊库存!A:L,12,0),"")</f>
        <v/>
      </c>
      <c r="D2058" t="str">
        <f>IFERROR(VLOOKUP(A2058,管理亚马逊库存!A:Q,17,0),"")</f>
        <v/>
      </c>
      <c r="E2058" t="str">
        <f>IFERROR(VLOOKUP(A2058,管理亚马逊库存!A:R,18,0),"")</f>
        <v/>
      </c>
      <c r="F2058">
        <f t="shared" si="67"/>
        <v>0</v>
      </c>
      <c r="G2058">
        <f>IFERROR(VLOOKUP(A2058,预留库存!A:G,7,0),0)</f>
        <v>0</v>
      </c>
      <c r="H2058">
        <f>IFERROR(VLOOKUP(A2058,预留库存!A:H,8,0),0)</f>
        <v>0</v>
      </c>
      <c r="I2058">
        <f>IFERROR(VLOOKUP(A2058,预留库存!A:F,6,0),0)</f>
        <v>0</v>
      </c>
      <c r="J2058">
        <f>IFERROR(VLOOKUP(A2058,库龄!B:K,9,0),0)</f>
        <v>0</v>
      </c>
      <c r="K2058">
        <f>IFERROR(VLOOKUP(A2058,库龄!B:L,10,0),0)</f>
        <v>0</v>
      </c>
      <c r="L2058">
        <f>IFERROR(VLOOKUP(A2058,库龄!B:M,11,0),0)</f>
        <v>0</v>
      </c>
      <c r="M2058">
        <f>IFERROR(VLOOKUP(A2058,库龄!B:N,12,0),0)</f>
        <v>0</v>
      </c>
      <c r="N2058">
        <f t="shared" si="68"/>
        <v>0</v>
      </c>
    </row>
    <row r="2059" spans="2:14">
      <c r="B2059" t="str">
        <f>IFERROR(VLOOKUP(A2059,管理亚马逊库存!A:K,11,0),"")</f>
        <v/>
      </c>
      <c r="C2059" t="str">
        <f>IFERROR(VLOOKUP(A2059,管理亚马逊库存!A:L,12,0),"")</f>
        <v/>
      </c>
      <c r="D2059" t="str">
        <f>IFERROR(VLOOKUP(A2059,管理亚马逊库存!A:Q,17,0),"")</f>
        <v/>
      </c>
      <c r="E2059" t="str">
        <f>IFERROR(VLOOKUP(A2059,管理亚马逊库存!A:R,18,0),"")</f>
        <v/>
      </c>
      <c r="F2059">
        <f t="shared" si="67"/>
        <v>0</v>
      </c>
      <c r="G2059">
        <f>IFERROR(VLOOKUP(A2059,预留库存!A:G,7,0),0)</f>
        <v>0</v>
      </c>
      <c r="H2059">
        <f>IFERROR(VLOOKUP(A2059,预留库存!A:H,8,0),0)</f>
        <v>0</v>
      </c>
      <c r="I2059">
        <f>IFERROR(VLOOKUP(A2059,预留库存!A:F,6,0),0)</f>
        <v>0</v>
      </c>
      <c r="J2059">
        <f>IFERROR(VLOOKUP(A2059,库龄!B:K,9,0),0)</f>
        <v>0</v>
      </c>
      <c r="K2059">
        <f>IFERROR(VLOOKUP(A2059,库龄!B:L,10,0),0)</f>
        <v>0</v>
      </c>
      <c r="L2059">
        <f>IFERROR(VLOOKUP(A2059,库龄!B:M,11,0),0)</f>
        <v>0</v>
      </c>
      <c r="M2059">
        <f>IFERROR(VLOOKUP(A2059,库龄!B:N,12,0),0)</f>
        <v>0</v>
      </c>
      <c r="N2059">
        <f t="shared" si="68"/>
        <v>0</v>
      </c>
    </row>
    <row r="2060" spans="2:14">
      <c r="B2060" t="str">
        <f>IFERROR(VLOOKUP(A2060,管理亚马逊库存!A:K,11,0),"")</f>
        <v/>
      </c>
      <c r="C2060" t="str">
        <f>IFERROR(VLOOKUP(A2060,管理亚马逊库存!A:L,12,0),"")</f>
        <v/>
      </c>
      <c r="D2060" t="str">
        <f>IFERROR(VLOOKUP(A2060,管理亚马逊库存!A:Q,17,0),"")</f>
        <v/>
      </c>
      <c r="E2060" t="str">
        <f>IFERROR(VLOOKUP(A2060,管理亚马逊库存!A:R,18,0),"")</f>
        <v/>
      </c>
      <c r="F2060">
        <f t="shared" si="67"/>
        <v>0</v>
      </c>
      <c r="G2060">
        <f>IFERROR(VLOOKUP(A2060,预留库存!A:G,7,0),0)</f>
        <v>0</v>
      </c>
      <c r="H2060">
        <f>IFERROR(VLOOKUP(A2060,预留库存!A:H,8,0),0)</f>
        <v>0</v>
      </c>
      <c r="I2060">
        <f>IFERROR(VLOOKUP(A2060,预留库存!A:F,6,0),0)</f>
        <v>0</v>
      </c>
      <c r="J2060">
        <f>IFERROR(VLOOKUP(A2060,库龄!B:K,9,0),0)</f>
        <v>0</v>
      </c>
      <c r="K2060">
        <f>IFERROR(VLOOKUP(A2060,库龄!B:L,10,0),0)</f>
        <v>0</v>
      </c>
      <c r="L2060">
        <f>IFERROR(VLOOKUP(A2060,库龄!B:M,11,0),0)</f>
        <v>0</v>
      </c>
      <c r="M2060">
        <f>IFERROR(VLOOKUP(A2060,库龄!B:N,12,0),0)</f>
        <v>0</v>
      </c>
      <c r="N2060">
        <f t="shared" si="68"/>
        <v>0</v>
      </c>
    </row>
    <row r="2061" spans="2:14">
      <c r="B2061" t="str">
        <f>IFERROR(VLOOKUP(A2061,管理亚马逊库存!A:K,11,0),"")</f>
        <v/>
      </c>
      <c r="C2061" t="str">
        <f>IFERROR(VLOOKUP(A2061,管理亚马逊库存!A:L,12,0),"")</f>
        <v/>
      </c>
      <c r="D2061" t="str">
        <f>IFERROR(VLOOKUP(A2061,管理亚马逊库存!A:Q,17,0),"")</f>
        <v/>
      </c>
      <c r="E2061" t="str">
        <f>IFERROR(VLOOKUP(A2061,管理亚马逊库存!A:R,18,0),"")</f>
        <v/>
      </c>
      <c r="F2061">
        <f t="shared" si="67"/>
        <v>0</v>
      </c>
      <c r="G2061">
        <f>IFERROR(VLOOKUP(A2061,预留库存!A:G,7,0),0)</f>
        <v>0</v>
      </c>
      <c r="H2061">
        <f>IFERROR(VLOOKUP(A2061,预留库存!A:H,8,0),0)</f>
        <v>0</v>
      </c>
      <c r="I2061">
        <f>IFERROR(VLOOKUP(A2061,预留库存!A:F,6,0),0)</f>
        <v>0</v>
      </c>
      <c r="J2061">
        <f>IFERROR(VLOOKUP(A2061,库龄!B:K,9,0),0)</f>
        <v>0</v>
      </c>
      <c r="K2061">
        <f>IFERROR(VLOOKUP(A2061,库龄!B:L,10,0),0)</f>
        <v>0</v>
      </c>
      <c r="L2061">
        <f>IFERROR(VLOOKUP(A2061,库龄!B:M,11,0),0)</f>
        <v>0</v>
      </c>
      <c r="M2061">
        <f>IFERROR(VLOOKUP(A2061,库龄!B:N,12,0),0)</f>
        <v>0</v>
      </c>
      <c r="N2061">
        <f t="shared" si="68"/>
        <v>0</v>
      </c>
    </row>
    <row r="2062" spans="2:14">
      <c r="B2062" t="str">
        <f>IFERROR(VLOOKUP(A2062,管理亚马逊库存!A:K,11,0),"")</f>
        <v/>
      </c>
      <c r="C2062" t="str">
        <f>IFERROR(VLOOKUP(A2062,管理亚马逊库存!A:L,12,0),"")</f>
        <v/>
      </c>
      <c r="D2062" t="str">
        <f>IFERROR(VLOOKUP(A2062,管理亚马逊库存!A:Q,17,0),"")</f>
        <v/>
      </c>
      <c r="E2062" t="str">
        <f>IFERROR(VLOOKUP(A2062,管理亚马逊库存!A:R,18,0),"")</f>
        <v/>
      </c>
      <c r="F2062">
        <f t="shared" si="67"/>
        <v>0</v>
      </c>
      <c r="G2062">
        <f>IFERROR(VLOOKUP(A2062,预留库存!A:G,7,0),0)</f>
        <v>0</v>
      </c>
      <c r="H2062">
        <f>IFERROR(VLOOKUP(A2062,预留库存!A:H,8,0),0)</f>
        <v>0</v>
      </c>
      <c r="I2062">
        <f>IFERROR(VLOOKUP(A2062,预留库存!A:F,6,0),0)</f>
        <v>0</v>
      </c>
      <c r="J2062">
        <f>IFERROR(VLOOKUP(A2062,库龄!B:K,9,0),0)</f>
        <v>0</v>
      </c>
      <c r="K2062">
        <f>IFERROR(VLOOKUP(A2062,库龄!B:L,10,0),0)</f>
        <v>0</v>
      </c>
      <c r="L2062">
        <f>IFERROR(VLOOKUP(A2062,库龄!B:M,11,0),0)</f>
        <v>0</v>
      </c>
      <c r="M2062">
        <f>IFERROR(VLOOKUP(A2062,库龄!B:N,12,0),0)</f>
        <v>0</v>
      </c>
      <c r="N2062">
        <f t="shared" si="68"/>
        <v>0</v>
      </c>
    </row>
    <row r="2063" spans="2:14">
      <c r="B2063" t="str">
        <f>IFERROR(VLOOKUP(A2063,管理亚马逊库存!A:K,11,0),"")</f>
        <v/>
      </c>
      <c r="C2063" t="str">
        <f>IFERROR(VLOOKUP(A2063,管理亚马逊库存!A:L,12,0),"")</f>
        <v/>
      </c>
      <c r="D2063" t="str">
        <f>IFERROR(VLOOKUP(A2063,管理亚马逊库存!A:Q,17,0),"")</f>
        <v/>
      </c>
      <c r="E2063" t="str">
        <f>IFERROR(VLOOKUP(A2063,管理亚马逊库存!A:R,18,0),"")</f>
        <v/>
      </c>
      <c r="F2063">
        <f t="shared" si="67"/>
        <v>0</v>
      </c>
      <c r="G2063">
        <f>IFERROR(VLOOKUP(A2063,预留库存!A:G,7,0),0)</f>
        <v>0</v>
      </c>
      <c r="H2063">
        <f>IFERROR(VLOOKUP(A2063,预留库存!A:H,8,0),0)</f>
        <v>0</v>
      </c>
      <c r="I2063">
        <f>IFERROR(VLOOKUP(A2063,预留库存!A:F,6,0),0)</f>
        <v>0</v>
      </c>
      <c r="J2063">
        <f>IFERROR(VLOOKUP(A2063,库龄!B:K,9,0),0)</f>
        <v>0</v>
      </c>
      <c r="K2063">
        <f>IFERROR(VLOOKUP(A2063,库龄!B:L,10,0),0)</f>
        <v>0</v>
      </c>
      <c r="L2063">
        <f>IFERROR(VLOOKUP(A2063,库龄!B:M,11,0),0)</f>
        <v>0</v>
      </c>
      <c r="M2063">
        <f>IFERROR(VLOOKUP(A2063,库龄!B:N,12,0),0)</f>
        <v>0</v>
      </c>
      <c r="N2063">
        <f t="shared" si="68"/>
        <v>0</v>
      </c>
    </row>
    <row r="2064" spans="2:14">
      <c r="B2064" t="str">
        <f>IFERROR(VLOOKUP(A2064,管理亚马逊库存!A:K,11,0),"")</f>
        <v/>
      </c>
      <c r="C2064" t="str">
        <f>IFERROR(VLOOKUP(A2064,管理亚马逊库存!A:L,12,0),"")</f>
        <v/>
      </c>
      <c r="D2064" t="str">
        <f>IFERROR(VLOOKUP(A2064,管理亚马逊库存!A:Q,17,0),"")</f>
        <v/>
      </c>
      <c r="E2064" t="str">
        <f>IFERROR(VLOOKUP(A2064,管理亚马逊库存!A:R,18,0),"")</f>
        <v/>
      </c>
      <c r="F2064">
        <f t="shared" si="67"/>
        <v>0</v>
      </c>
      <c r="G2064">
        <f>IFERROR(VLOOKUP(A2064,预留库存!A:G,7,0),0)</f>
        <v>0</v>
      </c>
      <c r="H2064">
        <f>IFERROR(VLOOKUP(A2064,预留库存!A:H,8,0),0)</f>
        <v>0</v>
      </c>
      <c r="I2064">
        <f>IFERROR(VLOOKUP(A2064,预留库存!A:F,6,0),0)</f>
        <v>0</v>
      </c>
      <c r="J2064">
        <f>IFERROR(VLOOKUP(A2064,库龄!B:K,9,0),0)</f>
        <v>0</v>
      </c>
      <c r="K2064">
        <f>IFERROR(VLOOKUP(A2064,库龄!B:L,10,0),0)</f>
        <v>0</v>
      </c>
      <c r="L2064">
        <f>IFERROR(VLOOKUP(A2064,库龄!B:M,11,0),0)</f>
        <v>0</v>
      </c>
      <c r="M2064">
        <f>IFERROR(VLOOKUP(A2064,库龄!B:N,12,0),0)</f>
        <v>0</v>
      </c>
      <c r="N2064">
        <f t="shared" si="68"/>
        <v>0</v>
      </c>
    </row>
    <row r="2065" spans="2:14">
      <c r="B2065" t="str">
        <f>IFERROR(VLOOKUP(A2065,管理亚马逊库存!A:K,11,0),"")</f>
        <v/>
      </c>
      <c r="C2065" t="str">
        <f>IFERROR(VLOOKUP(A2065,管理亚马逊库存!A:L,12,0),"")</f>
        <v/>
      </c>
      <c r="D2065" t="str">
        <f>IFERROR(VLOOKUP(A2065,管理亚马逊库存!A:Q,17,0),"")</f>
        <v/>
      </c>
      <c r="E2065" t="str">
        <f>IFERROR(VLOOKUP(A2065,管理亚马逊库存!A:R,18,0),"")</f>
        <v/>
      </c>
      <c r="F2065">
        <f t="shared" si="67"/>
        <v>0</v>
      </c>
      <c r="G2065">
        <f>IFERROR(VLOOKUP(A2065,预留库存!A:G,7,0),0)</f>
        <v>0</v>
      </c>
      <c r="H2065">
        <f>IFERROR(VLOOKUP(A2065,预留库存!A:H,8,0),0)</f>
        <v>0</v>
      </c>
      <c r="I2065">
        <f>IFERROR(VLOOKUP(A2065,预留库存!A:F,6,0),0)</f>
        <v>0</v>
      </c>
      <c r="J2065">
        <f>IFERROR(VLOOKUP(A2065,库龄!B:K,9,0),0)</f>
        <v>0</v>
      </c>
      <c r="K2065">
        <f>IFERROR(VLOOKUP(A2065,库龄!B:L,10,0),0)</f>
        <v>0</v>
      </c>
      <c r="L2065">
        <f>IFERROR(VLOOKUP(A2065,库龄!B:M,11,0),0)</f>
        <v>0</v>
      </c>
      <c r="M2065">
        <f>IFERROR(VLOOKUP(A2065,库龄!B:N,12,0),0)</f>
        <v>0</v>
      </c>
      <c r="N2065">
        <f t="shared" si="68"/>
        <v>0</v>
      </c>
    </row>
    <row r="2066" spans="2:14">
      <c r="B2066" t="str">
        <f>IFERROR(VLOOKUP(A2066,管理亚马逊库存!A:K,11,0),"")</f>
        <v/>
      </c>
      <c r="C2066" t="str">
        <f>IFERROR(VLOOKUP(A2066,管理亚马逊库存!A:L,12,0),"")</f>
        <v/>
      </c>
      <c r="D2066" t="str">
        <f>IFERROR(VLOOKUP(A2066,管理亚马逊库存!A:Q,17,0),"")</f>
        <v/>
      </c>
      <c r="E2066" t="str">
        <f>IFERROR(VLOOKUP(A2066,管理亚马逊库存!A:R,18,0),"")</f>
        <v/>
      </c>
      <c r="F2066">
        <f t="shared" si="67"/>
        <v>0</v>
      </c>
      <c r="G2066">
        <f>IFERROR(VLOOKUP(A2066,预留库存!A:G,7,0),0)</f>
        <v>0</v>
      </c>
      <c r="H2066">
        <f>IFERROR(VLOOKUP(A2066,预留库存!A:H,8,0),0)</f>
        <v>0</v>
      </c>
      <c r="I2066">
        <f>IFERROR(VLOOKUP(A2066,预留库存!A:F,6,0),0)</f>
        <v>0</v>
      </c>
      <c r="J2066">
        <f>IFERROR(VLOOKUP(A2066,库龄!B:K,9,0),0)</f>
        <v>0</v>
      </c>
      <c r="K2066">
        <f>IFERROR(VLOOKUP(A2066,库龄!B:L,10,0),0)</f>
        <v>0</v>
      </c>
      <c r="L2066">
        <f>IFERROR(VLOOKUP(A2066,库龄!B:M,11,0),0)</f>
        <v>0</v>
      </c>
      <c r="M2066">
        <f>IFERROR(VLOOKUP(A2066,库龄!B:N,12,0),0)</f>
        <v>0</v>
      </c>
      <c r="N2066">
        <f t="shared" si="68"/>
        <v>0</v>
      </c>
    </row>
    <row r="2067" spans="2:14">
      <c r="B2067" t="str">
        <f>IFERROR(VLOOKUP(A2067,管理亚马逊库存!A:K,11,0),"")</f>
        <v/>
      </c>
      <c r="C2067" t="str">
        <f>IFERROR(VLOOKUP(A2067,管理亚马逊库存!A:L,12,0),"")</f>
        <v/>
      </c>
      <c r="D2067" t="str">
        <f>IFERROR(VLOOKUP(A2067,管理亚马逊库存!A:Q,17,0),"")</f>
        <v/>
      </c>
      <c r="E2067" t="str">
        <f>IFERROR(VLOOKUP(A2067,管理亚马逊库存!A:R,18,0),"")</f>
        <v/>
      </c>
      <c r="F2067">
        <f t="shared" si="67"/>
        <v>0</v>
      </c>
      <c r="G2067">
        <f>IFERROR(VLOOKUP(A2067,预留库存!A:G,7,0),0)</f>
        <v>0</v>
      </c>
      <c r="H2067">
        <f>IFERROR(VLOOKUP(A2067,预留库存!A:H,8,0),0)</f>
        <v>0</v>
      </c>
      <c r="I2067">
        <f>IFERROR(VLOOKUP(A2067,预留库存!A:F,6,0),0)</f>
        <v>0</v>
      </c>
      <c r="J2067">
        <f>IFERROR(VLOOKUP(A2067,库龄!B:K,9,0),0)</f>
        <v>0</v>
      </c>
      <c r="K2067">
        <f>IFERROR(VLOOKUP(A2067,库龄!B:L,10,0),0)</f>
        <v>0</v>
      </c>
      <c r="L2067">
        <f>IFERROR(VLOOKUP(A2067,库龄!B:M,11,0),0)</f>
        <v>0</v>
      </c>
      <c r="M2067">
        <f>IFERROR(VLOOKUP(A2067,库龄!B:N,12,0),0)</f>
        <v>0</v>
      </c>
      <c r="N2067">
        <f t="shared" si="68"/>
        <v>0</v>
      </c>
    </row>
    <row r="2068" spans="2:14">
      <c r="B2068" t="str">
        <f>IFERROR(VLOOKUP(A2068,管理亚马逊库存!A:K,11,0),"")</f>
        <v/>
      </c>
      <c r="C2068" t="str">
        <f>IFERROR(VLOOKUP(A2068,管理亚马逊库存!A:L,12,0),"")</f>
        <v/>
      </c>
      <c r="D2068" t="str">
        <f>IFERROR(VLOOKUP(A2068,管理亚马逊库存!A:Q,17,0),"")</f>
        <v/>
      </c>
      <c r="E2068" t="str">
        <f>IFERROR(VLOOKUP(A2068,管理亚马逊库存!A:R,18,0),"")</f>
        <v/>
      </c>
      <c r="F2068">
        <f t="shared" si="67"/>
        <v>0</v>
      </c>
      <c r="G2068">
        <f>IFERROR(VLOOKUP(A2068,预留库存!A:G,7,0),0)</f>
        <v>0</v>
      </c>
      <c r="H2068">
        <f>IFERROR(VLOOKUP(A2068,预留库存!A:H,8,0),0)</f>
        <v>0</v>
      </c>
      <c r="I2068">
        <f>IFERROR(VLOOKUP(A2068,预留库存!A:F,6,0),0)</f>
        <v>0</v>
      </c>
      <c r="J2068">
        <f>IFERROR(VLOOKUP(A2068,库龄!B:K,9,0),0)</f>
        <v>0</v>
      </c>
      <c r="K2068">
        <f>IFERROR(VLOOKUP(A2068,库龄!B:L,10,0),0)</f>
        <v>0</v>
      </c>
      <c r="L2068">
        <f>IFERROR(VLOOKUP(A2068,库龄!B:M,11,0),0)</f>
        <v>0</v>
      </c>
      <c r="M2068">
        <f>IFERROR(VLOOKUP(A2068,库龄!B:N,12,0),0)</f>
        <v>0</v>
      </c>
      <c r="N2068">
        <f t="shared" si="68"/>
        <v>0</v>
      </c>
    </row>
    <row r="2069" spans="2:14">
      <c r="B2069" t="str">
        <f>IFERROR(VLOOKUP(A2069,管理亚马逊库存!A:K,11,0),"")</f>
        <v/>
      </c>
      <c r="C2069" t="str">
        <f>IFERROR(VLOOKUP(A2069,管理亚马逊库存!A:L,12,0),"")</f>
        <v/>
      </c>
      <c r="D2069" t="str">
        <f>IFERROR(VLOOKUP(A2069,管理亚马逊库存!A:Q,17,0),"")</f>
        <v/>
      </c>
      <c r="E2069" t="str">
        <f>IFERROR(VLOOKUP(A2069,管理亚马逊库存!A:R,18,0),"")</f>
        <v/>
      </c>
      <c r="F2069">
        <f t="shared" si="67"/>
        <v>0</v>
      </c>
      <c r="G2069">
        <f>IFERROR(VLOOKUP(A2069,预留库存!A:G,7,0),0)</f>
        <v>0</v>
      </c>
      <c r="H2069">
        <f>IFERROR(VLOOKUP(A2069,预留库存!A:H,8,0),0)</f>
        <v>0</v>
      </c>
      <c r="I2069">
        <f>IFERROR(VLOOKUP(A2069,预留库存!A:F,6,0),0)</f>
        <v>0</v>
      </c>
      <c r="J2069">
        <f>IFERROR(VLOOKUP(A2069,库龄!B:K,9,0),0)</f>
        <v>0</v>
      </c>
      <c r="K2069">
        <f>IFERROR(VLOOKUP(A2069,库龄!B:L,10,0),0)</f>
        <v>0</v>
      </c>
      <c r="L2069">
        <f>IFERROR(VLOOKUP(A2069,库龄!B:M,11,0),0)</f>
        <v>0</v>
      </c>
      <c r="M2069">
        <f>IFERROR(VLOOKUP(A2069,库龄!B:N,12,0),0)</f>
        <v>0</v>
      </c>
      <c r="N2069">
        <f t="shared" si="68"/>
        <v>0</v>
      </c>
    </row>
    <row r="2070" spans="2:14">
      <c r="B2070" t="str">
        <f>IFERROR(VLOOKUP(A2070,管理亚马逊库存!A:K,11,0),"")</f>
        <v/>
      </c>
      <c r="C2070" t="str">
        <f>IFERROR(VLOOKUP(A2070,管理亚马逊库存!A:L,12,0),"")</f>
        <v/>
      </c>
      <c r="D2070" t="str">
        <f>IFERROR(VLOOKUP(A2070,管理亚马逊库存!A:Q,17,0),"")</f>
        <v/>
      </c>
      <c r="E2070" t="str">
        <f>IFERROR(VLOOKUP(A2070,管理亚马逊库存!A:R,18,0),"")</f>
        <v/>
      </c>
      <c r="F2070">
        <f t="shared" si="67"/>
        <v>0</v>
      </c>
      <c r="G2070">
        <f>IFERROR(VLOOKUP(A2070,预留库存!A:G,7,0),0)</f>
        <v>0</v>
      </c>
      <c r="H2070">
        <f>IFERROR(VLOOKUP(A2070,预留库存!A:H,8,0),0)</f>
        <v>0</v>
      </c>
      <c r="I2070">
        <f>IFERROR(VLOOKUP(A2070,预留库存!A:F,6,0),0)</f>
        <v>0</v>
      </c>
      <c r="J2070">
        <f>IFERROR(VLOOKUP(A2070,库龄!B:K,9,0),0)</f>
        <v>0</v>
      </c>
      <c r="K2070">
        <f>IFERROR(VLOOKUP(A2070,库龄!B:L,10,0),0)</f>
        <v>0</v>
      </c>
      <c r="L2070">
        <f>IFERROR(VLOOKUP(A2070,库龄!B:M,11,0),0)</f>
        <v>0</v>
      </c>
      <c r="M2070">
        <f>IFERROR(VLOOKUP(A2070,库龄!B:N,12,0),0)</f>
        <v>0</v>
      </c>
      <c r="N2070">
        <f t="shared" si="68"/>
        <v>0</v>
      </c>
    </row>
    <row r="2071" spans="2:14">
      <c r="B2071" t="str">
        <f>IFERROR(VLOOKUP(A2071,管理亚马逊库存!A:K,11,0),"")</f>
        <v/>
      </c>
      <c r="C2071" t="str">
        <f>IFERROR(VLOOKUP(A2071,管理亚马逊库存!A:L,12,0),"")</f>
        <v/>
      </c>
      <c r="D2071" t="str">
        <f>IFERROR(VLOOKUP(A2071,管理亚马逊库存!A:Q,17,0),"")</f>
        <v/>
      </c>
      <c r="E2071" t="str">
        <f>IFERROR(VLOOKUP(A2071,管理亚马逊库存!A:R,18,0),"")</f>
        <v/>
      </c>
      <c r="F2071">
        <f t="shared" si="67"/>
        <v>0</v>
      </c>
      <c r="G2071">
        <f>IFERROR(VLOOKUP(A2071,预留库存!A:G,7,0),0)</f>
        <v>0</v>
      </c>
      <c r="H2071">
        <f>IFERROR(VLOOKUP(A2071,预留库存!A:H,8,0),0)</f>
        <v>0</v>
      </c>
      <c r="I2071">
        <f>IFERROR(VLOOKUP(A2071,预留库存!A:F,6,0),0)</f>
        <v>0</v>
      </c>
      <c r="J2071">
        <f>IFERROR(VLOOKUP(A2071,库龄!B:K,9,0),0)</f>
        <v>0</v>
      </c>
      <c r="K2071">
        <f>IFERROR(VLOOKUP(A2071,库龄!B:L,10,0),0)</f>
        <v>0</v>
      </c>
      <c r="L2071">
        <f>IFERROR(VLOOKUP(A2071,库龄!B:M,11,0),0)</f>
        <v>0</v>
      </c>
      <c r="M2071">
        <f>IFERROR(VLOOKUP(A2071,库龄!B:N,12,0),0)</f>
        <v>0</v>
      </c>
      <c r="N2071">
        <f t="shared" si="68"/>
        <v>0</v>
      </c>
    </row>
    <row r="2072" spans="2:14">
      <c r="B2072" t="str">
        <f>IFERROR(VLOOKUP(A2072,管理亚马逊库存!A:K,11,0),"")</f>
        <v/>
      </c>
      <c r="C2072" t="str">
        <f>IFERROR(VLOOKUP(A2072,管理亚马逊库存!A:L,12,0),"")</f>
        <v/>
      </c>
      <c r="D2072" t="str">
        <f>IFERROR(VLOOKUP(A2072,管理亚马逊库存!A:Q,17,0),"")</f>
        <v/>
      </c>
      <c r="E2072" t="str">
        <f>IFERROR(VLOOKUP(A2072,管理亚马逊库存!A:R,18,0),"")</f>
        <v/>
      </c>
      <c r="F2072">
        <f t="shared" si="67"/>
        <v>0</v>
      </c>
      <c r="G2072">
        <f>IFERROR(VLOOKUP(A2072,预留库存!A:G,7,0),0)</f>
        <v>0</v>
      </c>
      <c r="H2072">
        <f>IFERROR(VLOOKUP(A2072,预留库存!A:H,8,0),0)</f>
        <v>0</v>
      </c>
      <c r="I2072">
        <f>IFERROR(VLOOKUP(A2072,预留库存!A:F,6,0),0)</f>
        <v>0</v>
      </c>
      <c r="J2072">
        <f>IFERROR(VLOOKUP(A2072,库龄!B:K,9,0),0)</f>
        <v>0</v>
      </c>
      <c r="K2072">
        <f>IFERROR(VLOOKUP(A2072,库龄!B:L,10,0),0)</f>
        <v>0</v>
      </c>
      <c r="L2072">
        <f>IFERROR(VLOOKUP(A2072,库龄!B:M,11,0),0)</f>
        <v>0</v>
      </c>
      <c r="M2072">
        <f>IFERROR(VLOOKUP(A2072,库龄!B:N,12,0),0)</f>
        <v>0</v>
      </c>
      <c r="N2072">
        <f t="shared" si="68"/>
        <v>0</v>
      </c>
    </row>
    <row r="2073" spans="2:14">
      <c r="B2073" t="str">
        <f>IFERROR(VLOOKUP(A2073,管理亚马逊库存!A:K,11,0),"")</f>
        <v/>
      </c>
      <c r="C2073" t="str">
        <f>IFERROR(VLOOKUP(A2073,管理亚马逊库存!A:L,12,0),"")</f>
        <v/>
      </c>
      <c r="D2073" t="str">
        <f>IFERROR(VLOOKUP(A2073,管理亚马逊库存!A:Q,17,0),"")</f>
        <v/>
      </c>
      <c r="E2073" t="str">
        <f>IFERROR(VLOOKUP(A2073,管理亚马逊库存!A:R,18,0),"")</f>
        <v/>
      </c>
      <c r="F2073">
        <f t="shared" si="67"/>
        <v>0</v>
      </c>
      <c r="G2073">
        <f>IFERROR(VLOOKUP(A2073,预留库存!A:G,7,0),0)</f>
        <v>0</v>
      </c>
      <c r="H2073">
        <f>IFERROR(VLOOKUP(A2073,预留库存!A:H,8,0),0)</f>
        <v>0</v>
      </c>
      <c r="I2073">
        <f>IFERROR(VLOOKUP(A2073,预留库存!A:F,6,0),0)</f>
        <v>0</v>
      </c>
      <c r="J2073">
        <f>IFERROR(VLOOKUP(A2073,库龄!B:K,9,0),0)</f>
        <v>0</v>
      </c>
      <c r="K2073">
        <f>IFERROR(VLOOKUP(A2073,库龄!B:L,10,0),0)</f>
        <v>0</v>
      </c>
      <c r="L2073">
        <f>IFERROR(VLOOKUP(A2073,库龄!B:M,11,0),0)</f>
        <v>0</v>
      </c>
      <c r="M2073">
        <f>IFERROR(VLOOKUP(A2073,库龄!B:N,12,0),0)</f>
        <v>0</v>
      </c>
      <c r="N2073">
        <f t="shared" si="68"/>
        <v>0</v>
      </c>
    </row>
    <row r="2074" spans="2:14">
      <c r="B2074" t="str">
        <f>IFERROR(VLOOKUP(A2074,管理亚马逊库存!A:K,11,0),"")</f>
        <v/>
      </c>
      <c r="C2074" t="str">
        <f>IFERROR(VLOOKUP(A2074,管理亚马逊库存!A:L,12,0),"")</f>
        <v/>
      </c>
      <c r="D2074" t="str">
        <f>IFERROR(VLOOKUP(A2074,管理亚马逊库存!A:Q,17,0),"")</f>
        <v/>
      </c>
      <c r="E2074" t="str">
        <f>IFERROR(VLOOKUP(A2074,管理亚马逊库存!A:R,18,0),"")</f>
        <v/>
      </c>
      <c r="F2074">
        <f t="shared" si="67"/>
        <v>0</v>
      </c>
      <c r="G2074">
        <f>IFERROR(VLOOKUP(A2074,预留库存!A:G,7,0),0)</f>
        <v>0</v>
      </c>
      <c r="H2074">
        <f>IFERROR(VLOOKUP(A2074,预留库存!A:H,8,0),0)</f>
        <v>0</v>
      </c>
      <c r="I2074">
        <f>IFERROR(VLOOKUP(A2074,预留库存!A:F,6,0),0)</f>
        <v>0</v>
      </c>
      <c r="J2074">
        <f>IFERROR(VLOOKUP(A2074,库龄!B:K,9,0),0)</f>
        <v>0</v>
      </c>
      <c r="K2074">
        <f>IFERROR(VLOOKUP(A2074,库龄!B:L,10,0),0)</f>
        <v>0</v>
      </c>
      <c r="L2074">
        <f>IFERROR(VLOOKUP(A2074,库龄!B:M,11,0),0)</f>
        <v>0</v>
      </c>
      <c r="M2074">
        <f>IFERROR(VLOOKUP(A2074,库龄!B:N,12,0),0)</f>
        <v>0</v>
      </c>
      <c r="N2074">
        <f t="shared" si="68"/>
        <v>0</v>
      </c>
    </row>
    <row r="2075" spans="2:14">
      <c r="B2075" t="str">
        <f>IFERROR(VLOOKUP(A2075,管理亚马逊库存!A:K,11,0),"")</f>
        <v/>
      </c>
      <c r="C2075" t="str">
        <f>IFERROR(VLOOKUP(A2075,管理亚马逊库存!A:L,12,0),"")</f>
        <v/>
      </c>
      <c r="D2075" t="str">
        <f>IFERROR(VLOOKUP(A2075,管理亚马逊库存!A:Q,17,0),"")</f>
        <v/>
      </c>
      <c r="E2075" t="str">
        <f>IFERROR(VLOOKUP(A2075,管理亚马逊库存!A:R,18,0),"")</f>
        <v/>
      </c>
      <c r="F2075">
        <f t="shared" si="67"/>
        <v>0</v>
      </c>
      <c r="G2075">
        <f>IFERROR(VLOOKUP(A2075,预留库存!A:G,7,0),0)</f>
        <v>0</v>
      </c>
      <c r="H2075">
        <f>IFERROR(VLOOKUP(A2075,预留库存!A:H,8,0),0)</f>
        <v>0</v>
      </c>
      <c r="I2075">
        <f>IFERROR(VLOOKUP(A2075,预留库存!A:F,6,0),0)</f>
        <v>0</v>
      </c>
      <c r="J2075">
        <f>IFERROR(VLOOKUP(A2075,库龄!B:K,9,0),0)</f>
        <v>0</v>
      </c>
      <c r="K2075">
        <f>IFERROR(VLOOKUP(A2075,库龄!B:L,10,0),0)</f>
        <v>0</v>
      </c>
      <c r="L2075">
        <f>IFERROR(VLOOKUP(A2075,库龄!B:M,11,0),0)</f>
        <v>0</v>
      </c>
      <c r="M2075">
        <f>IFERROR(VLOOKUP(A2075,库龄!B:N,12,0),0)</f>
        <v>0</v>
      </c>
      <c r="N2075">
        <f t="shared" si="68"/>
        <v>0</v>
      </c>
    </row>
    <row r="2076" spans="2:14">
      <c r="B2076" t="str">
        <f>IFERROR(VLOOKUP(A2076,管理亚马逊库存!A:K,11,0),"")</f>
        <v/>
      </c>
      <c r="C2076" t="str">
        <f>IFERROR(VLOOKUP(A2076,管理亚马逊库存!A:L,12,0),"")</f>
        <v/>
      </c>
      <c r="D2076" t="str">
        <f>IFERROR(VLOOKUP(A2076,管理亚马逊库存!A:Q,17,0),"")</f>
        <v/>
      </c>
      <c r="E2076" t="str">
        <f>IFERROR(VLOOKUP(A2076,管理亚马逊库存!A:R,18,0),"")</f>
        <v/>
      </c>
      <c r="F2076">
        <f t="shared" si="67"/>
        <v>0</v>
      </c>
      <c r="G2076">
        <f>IFERROR(VLOOKUP(A2076,预留库存!A:G,7,0),0)</f>
        <v>0</v>
      </c>
      <c r="H2076">
        <f>IFERROR(VLOOKUP(A2076,预留库存!A:H,8,0),0)</f>
        <v>0</v>
      </c>
      <c r="I2076">
        <f>IFERROR(VLOOKUP(A2076,预留库存!A:F,6,0),0)</f>
        <v>0</v>
      </c>
      <c r="J2076">
        <f>IFERROR(VLOOKUP(A2076,库龄!B:K,9,0),0)</f>
        <v>0</v>
      </c>
      <c r="K2076">
        <f>IFERROR(VLOOKUP(A2076,库龄!B:L,10,0),0)</f>
        <v>0</v>
      </c>
      <c r="L2076">
        <f>IFERROR(VLOOKUP(A2076,库龄!B:M,11,0),0)</f>
        <v>0</v>
      </c>
      <c r="M2076">
        <f>IFERROR(VLOOKUP(A2076,库龄!B:N,12,0),0)</f>
        <v>0</v>
      </c>
      <c r="N2076">
        <f t="shared" si="68"/>
        <v>0</v>
      </c>
    </row>
    <row r="2077" spans="2:14">
      <c r="B2077" t="str">
        <f>IFERROR(VLOOKUP(A2077,管理亚马逊库存!A:K,11,0),"")</f>
        <v/>
      </c>
      <c r="C2077" t="str">
        <f>IFERROR(VLOOKUP(A2077,管理亚马逊库存!A:L,12,0),"")</f>
        <v/>
      </c>
      <c r="D2077" t="str">
        <f>IFERROR(VLOOKUP(A2077,管理亚马逊库存!A:Q,17,0),"")</f>
        <v/>
      </c>
      <c r="E2077" t="str">
        <f>IFERROR(VLOOKUP(A2077,管理亚马逊库存!A:R,18,0),"")</f>
        <v/>
      </c>
      <c r="F2077">
        <f t="shared" si="67"/>
        <v>0</v>
      </c>
      <c r="G2077">
        <f>IFERROR(VLOOKUP(A2077,预留库存!A:G,7,0),0)</f>
        <v>0</v>
      </c>
      <c r="H2077">
        <f>IFERROR(VLOOKUP(A2077,预留库存!A:H,8,0),0)</f>
        <v>0</v>
      </c>
      <c r="I2077">
        <f>IFERROR(VLOOKUP(A2077,预留库存!A:F,6,0),0)</f>
        <v>0</v>
      </c>
      <c r="J2077">
        <f>IFERROR(VLOOKUP(A2077,库龄!B:K,9,0),0)</f>
        <v>0</v>
      </c>
      <c r="K2077">
        <f>IFERROR(VLOOKUP(A2077,库龄!B:L,10,0),0)</f>
        <v>0</v>
      </c>
      <c r="L2077">
        <f>IFERROR(VLOOKUP(A2077,库龄!B:M,11,0),0)</f>
        <v>0</v>
      </c>
      <c r="M2077">
        <f>IFERROR(VLOOKUP(A2077,库龄!B:N,12,0),0)</f>
        <v>0</v>
      </c>
      <c r="N2077">
        <f t="shared" si="68"/>
        <v>0</v>
      </c>
    </row>
    <row r="2078" spans="2:14">
      <c r="B2078" t="str">
        <f>IFERROR(VLOOKUP(A2078,管理亚马逊库存!A:K,11,0),"")</f>
        <v/>
      </c>
      <c r="C2078" t="str">
        <f>IFERROR(VLOOKUP(A2078,管理亚马逊库存!A:L,12,0),"")</f>
        <v/>
      </c>
      <c r="D2078" t="str">
        <f>IFERROR(VLOOKUP(A2078,管理亚马逊库存!A:Q,17,0),"")</f>
        <v/>
      </c>
      <c r="E2078" t="str">
        <f>IFERROR(VLOOKUP(A2078,管理亚马逊库存!A:R,18,0),"")</f>
        <v/>
      </c>
      <c r="F2078">
        <f t="shared" si="67"/>
        <v>0</v>
      </c>
      <c r="G2078">
        <f>IFERROR(VLOOKUP(A2078,预留库存!A:G,7,0),0)</f>
        <v>0</v>
      </c>
      <c r="H2078">
        <f>IFERROR(VLOOKUP(A2078,预留库存!A:H,8,0),0)</f>
        <v>0</v>
      </c>
      <c r="I2078">
        <f>IFERROR(VLOOKUP(A2078,预留库存!A:F,6,0),0)</f>
        <v>0</v>
      </c>
      <c r="J2078">
        <f>IFERROR(VLOOKUP(A2078,库龄!B:K,9,0),0)</f>
        <v>0</v>
      </c>
      <c r="K2078">
        <f>IFERROR(VLOOKUP(A2078,库龄!B:L,10,0),0)</f>
        <v>0</v>
      </c>
      <c r="L2078">
        <f>IFERROR(VLOOKUP(A2078,库龄!B:M,11,0),0)</f>
        <v>0</v>
      </c>
      <c r="M2078">
        <f>IFERROR(VLOOKUP(A2078,库龄!B:N,12,0),0)</f>
        <v>0</v>
      </c>
      <c r="N2078">
        <f t="shared" si="68"/>
        <v>0</v>
      </c>
    </row>
    <row r="2079" spans="2:14">
      <c r="B2079" t="str">
        <f>IFERROR(VLOOKUP(A2079,管理亚马逊库存!A:K,11,0),"")</f>
        <v/>
      </c>
      <c r="C2079" t="str">
        <f>IFERROR(VLOOKUP(A2079,管理亚马逊库存!A:L,12,0),"")</f>
        <v/>
      </c>
      <c r="D2079" t="str">
        <f>IFERROR(VLOOKUP(A2079,管理亚马逊库存!A:Q,17,0),"")</f>
        <v/>
      </c>
      <c r="E2079" t="str">
        <f>IFERROR(VLOOKUP(A2079,管理亚马逊库存!A:R,18,0),"")</f>
        <v/>
      </c>
      <c r="F2079">
        <f t="shared" si="67"/>
        <v>0</v>
      </c>
      <c r="G2079">
        <f>IFERROR(VLOOKUP(A2079,预留库存!A:G,7,0),0)</f>
        <v>0</v>
      </c>
      <c r="H2079">
        <f>IFERROR(VLOOKUP(A2079,预留库存!A:H,8,0),0)</f>
        <v>0</v>
      </c>
      <c r="I2079">
        <f>IFERROR(VLOOKUP(A2079,预留库存!A:F,6,0),0)</f>
        <v>0</v>
      </c>
      <c r="J2079">
        <f>IFERROR(VLOOKUP(A2079,库龄!B:K,9,0),0)</f>
        <v>0</v>
      </c>
      <c r="K2079">
        <f>IFERROR(VLOOKUP(A2079,库龄!B:L,10,0),0)</f>
        <v>0</v>
      </c>
      <c r="L2079">
        <f>IFERROR(VLOOKUP(A2079,库龄!B:M,11,0),0)</f>
        <v>0</v>
      </c>
      <c r="M2079">
        <f>IFERROR(VLOOKUP(A2079,库龄!B:N,12,0),0)</f>
        <v>0</v>
      </c>
      <c r="N2079">
        <f t="shared" si="68"/>
        <v>0</v>
      </c>
    </row>
    <row r="2080" spans="2:14">
      <c r="B2080" t="str">
        <f>IFERROR(VLOOKUP(A2080,管理亚马逊库存!A:K,11,0),"")</f>
        <v/>
      </c>
      <c r="C2080" t="str">
        <f>IFERROR(VLOOKUP(A2080,管理亚马逊库存!A:L,12,0),"")</f>
        <v/>
      </c>
      <c r="D2080" t="str">
        <f>IFERROR(VLOOKUP(A2080,管理亚马逊库存!A:Q,17,0),"")</f>
        <v/>
      </c>
      <c r="E2080" t="str">
        <f>IFERROR(VLOOKUP(A2080,管理亚马逊库存!A:R,18,0),"")</f>
        <v/>
      </c>
      <c r="F2080">
        <f t="shared" si="67"/>
        <v>0</v>
      </c>
      <c r="G2080">
        <f>IFERROR(VLOOKUP(A2080,预留库存!A:G,7,0),0)</f>
        <v>0</v>
      </c>
      <c r="H2080">
        <f>IFERROR(VLOOKUP(A2080,预留库存!A:H,8,0),0)</f>
        <v>0</v>
      </c>
      <c r="I2080">
        <f>IFERROR(VLOOKUP(A2080,预留库存!A:F,6,0),0)</f>
        <v>0</v>
      </c>
      <c r="J2080">
        <f>IFERROR(VLOOKUP(A2080,库龄!B:K,9,0),0)</f>
        <v>0</v>
      </c>
      <c r="K2080">
        <f>IFERROR(VLOOKUP(A2080,库龄!B:L,10,0),0)</f>
        <v>0</v>
      </c>
      <c r="L2080">
        <f>IFERROR(VLOOKUP(A2080,库龄!B:M,11,0),0)</f>
        <v>0</v>
      </c>
      <c r="M2080">
        <f>IFERROR(VLOOKUP(A2080,库龄!B:N,12,0),0)</f>
        <v>0</v>
      </c>
      <c r="N2080">
        <f t="shared" si="68"/>
        <v>0</v>
      </c>
    </row>
    <row r="2081" spans="2:14">
      <c r="B2081" t="str">
        <f>IFERROR(VLOOKUP(A2081,管理亚马逊库存!A:K,11,0),"")</f>
        <v/>
      </c>
      <c r="C2081" t="str">
        <f>IFERROR(VLOOKUP(A2081,管理亚马逊库存!A:L,12,0),"")</f>
        <v/>
      </c>
      <c r="D2081" t="str">
        <f>IFERROR(VLOOKUP(A2081,管理亚马逊库存!A:Q,17,0),"")</f>
        <v/>
      </c>
      <c r="E2081" t="str">
        <f>IFERROR(VLOOKUP(A2081,管理亚马逊库存!A:R,18,0),"")</f>
        <v/>
      </c>
      <c r="F2081">
        <f t="shared" si="67"/>
        <v>0</v>
      </c>
      <c r="G2081">
        <f>IFERROR(VLOOKUP(A2081,预留库存!A:G,7,0),0)</f>
        <v>0</v>
      </c>
      <c r="H2081">
        <f>IFERROR(VLOOKUP(A2081,预留库存!A:H,8,0),0)</f>
        <v>0</v>
      </c>
      <c r="I2081">
        <f>IFERROR(VLOOKUP(A2081,预留库存!A:F,6,0),0)</f>
        <v>0</v>
      </c>
      <c r="J2081">
        <f>IFERROR(VLOOKUP(A2081,库龄!B:K,9,0),0)</f>
        <v>0</v>
      </c>
      <c r="K2081">
        <f>IFERROR(VLOOKUP(A2081,库龄!B:L,10,0),0)</f>
        <v>0</v>
      </c>
      <c r="L2081">
        <f>IFERROR(VLOOKUP(A2081,库龄!B:M,11,0),0)</f>
        <v>0</v>
      </c>
      <c r="M2081">
        <f>IFERROR(VLOOKUP(A2081,库龄!B:N,12,0),0)</f>
        <v>0</v>
      </c>
      <c r="N2081">
        <f t="shared" si="68"/>
        <v>0</v>
      </c>
    </row>
    <row r="2082" spans="2:14">
      <c r="B2082" t="str">
        <f>IFERROR(VLOOKUP(A2082,管理亚马逊库存!A:K,11,0),"")</f>
        <v/>
      </c>
      <c r="C2082" t="str">
        <f>IFERROR(VLOOKUP(A2082,管理亚马逊库存!A:L,12,0),"")</f>
        <v/>
      </c>
      <c r="D2082" t="str">
        <f>IFERROR(VLOOKUP(A2082,管理亚马逊库存!A:Q,17,0),"")</f>
        <v/>
      </c>
      <c r="E2082" t="str">
        <f>IFERROR(VLOOKUP(A2082,管理亚马逊库存!A:R,18,0),"")</f>
        <v/>
      </c>
      <c r="F2082">
        <f t="shared" si="67"/>
        <v>0</v>
      </c>
      <c r="G2082">
        <f>IFERROR(VLOOKUP(A2082,预留库存!A:G,7,0),0)</f>
        <v>0</v>
      </c>
      <c r="H2082">
        <f>IFERROR(VLOOKUP(A2082,预留库存!A:H,8,0),0)</f>
        <v>0</v>
      </c>
      <c r="I2082">
        <f>IFERROR(VLOOKUP(A2082,预留库存!A:F,6,0),0)</f>
        <v>0</v>
      </c>
      <c r="J2082">
        <f>IFERROR(VLOOKUP(A2082,库龄!B:K,9,0),0)</f>
        <v>0</v>
      </c>
      <c r="K2082">
        <f>IFERROR(VLOOKUP(A2082,库龄!B:L,10,0),0)</f>
        <v>0</v>
      </c>
      <c r="L2082">
        <f>IFERROR(VLOOKUP(A2082,库龄!B:M,11,0),0)</f>
        <v>0</v>
      </c>
      <c r="M2082">
        <f>IFERROR(VLOOKUP(A2082,库龄!B:N,12,0),0)</f>
        <v>0</v>
      </c>
      <c r="N2082">
        <f t="shared" si="68"/>
        <v>0</v>
      </c>
    </row>
    <row r="2083" spans="2:14">
      <c r="B2083" t="str">
        <f>IFERROR(VLOOKUP(A2083,管理亚马逊库存!A:K,11,0),"")</f>
        <v/>
      </c>
      <c r="C2083" t="str">
        <f>IFERROR(VLOOKUP(A2083,管理亚马逊库存!A:L,12,0),"")</f>
        <v/>
      </c>
      <c r="D2083" t="str">
        <f>IFERROR(VLOOKUP(A2083,管理亚马逊库存!A:Q,17,0),"")</f>
        <v/>
      </c>
      <c r="E2083" t="str">
        <f>IFERROR(VLOOKUP(A2083,管理亚马逊库存!A:R,18,0),"")</f>
        <v/>
      </c>
      <c r="F2083">
        <f t="shared" si="67"/>
        <v>0</v>
      </c>
      <c r="G2083">
        <f>IFERROR(VLOOKUP(A2083,预留库存!A:G,7,0),0)</f>
        <v>0</v>
      </c>
      <c r="H2083">
        <f>IFERROR(VLOOKUP(A2083,预留库存!A:H,8,0),0)</f>
        <v>0</v>
      </c>
      <c r="I2083">
        <f>IFERROR(VLOOKUP(A2083,预留库存!A:F,6,0),0)</f>
        <v>0</v>
      </c>
      <c r="J2083">
        <f>IFERROR(VLOOKUP(A2083,库龄!B:K,9,0),0)</f>
        <v>0</v>
      </c>
      <c r="K2083">
        <f>IFERROR(VLOOKUP(A2083,库龄!B:L,10,0),0)</f>
        <v>0</v>
      </c>
      <c r="L2083">
        <f>IFERROR(VLOOKUP(A2083,库龄!B:M,11,0),0)</f>
        <v>0</v>
      </c>
      <c r="M2083">
        <f>IFERROR(VLOOKUP(A2083,库龄!B:N,12,0),0)</f>
        <v>0</v>
      </c>
      <c r="N2083">
        <f t="shared" si="68"/>
        <v>0</v>
      </c>
    </row>
    <row r="2084" spans="2:14">
      <c r="B2084" t="str">
        <f>IFERROR(VLOOKUP(A2084,管理亚马逊库存!A:K,11,0),"")</f>
        <v/>
      </c>
      <c r="C2084" t="str">
        <f>IFERROR(VLOOKUP(A2084,管理亚马逊库存!A:L,12,0),"")</f>
        <v/>
      </c>
      <c r="D2084" t="str">
        <f>IFERROR(VLOOKUP(A2084,管理亚马逊库存!A:Q,17,0),"")</f>
        <v/>
      </c>
      <c r="E2084" t="str">
        <f>IFERROR(VLOOKUP(A2084,管理亚马逊库存!A:R,18,0),"")</f>
        <v/>
      </c>
      <c r="F2084">
        <f t="shared" si="67"/>
        <v>0</v>
      </c>
      <c r="G2084">
        <f>IFERROR(VLOOKUP(A2084,预留库存!A:G,7,0),0)</f>
        <v>0</v>
      </c>
      <c r="H2084">
        <f>IFERROR(VLOOKUP(A2084,预留库存!A:H,8,0),0)</f>
        <v>0</v>
      </c>
      <c r="I2084">
        <f>IFERROR(VLOOKUP(A2084,预留库存!A:F,6,0),0)</f>
        <v>0</v>
      </c>
      <c r="J2084">
        <f>IFERROR(VLOOKUP(A2084,库龄!B:K,9,0),0)</f>
        <v>0</v>
      </c>
      <c r="K2084">
        <f>IFERROR(VLOOKUP(A2084,库龄!B:L,10,0),0)</f>
        <v>0</v>
      </c>
      <c r="L2084">
        <f>IFERROR(VLOOKUP(A2084,库龄!B:M,11,0),0)</f>
        <v>0</v>
      </c>
      <c r="M2084">
        <f>IFERROR(VLOOKUP(A2084,库龄!B:N,12,0),0)</f>
        <v>0</v>
      </c>
      <c r="N2084">
        <f t="shared" si="68"/>
        <v>0</v>
      </c>
    </row>
    <row r="2085" spans="2:14">
      <c r="B2085" t="str">
        <f>IFERROR(VLOOKUP(A2085,管理亚马逊库存!A:K,11,0),"")</f>
        <v/>
      </c>
      <c r="C2085" t="str">
        <f>IFERROR(VLOOKUP(A2085,管理亚马逊库存!A:L,12,0),"")</f>
        <v/>
      </c>
      <c r="D2085" t="str">
        <f>IFERROR(VLOOKUP(A2085,管理亚马逊库存!A:Q,17,0),"")</f>
        <v/>
      </c>
      <c r="E2085" t="str">
        <f>IFERROR(VLOOKUP(A2085,管理亚马逊库存!A:R,18,0),"")</f>
        <v/>
      </c>
      <c r="F2085">
        <f t="shared" si="67"/>
        <v>0</v>
      </c>
      <c r="G2085">
        <f>IFERROR(VLOOKUP(A2085,预留库存!A:G,7,0),0)</f>
        <v>0</v>
      </c>
      <c r="H2085">
        <f>IFERROR(VLOOKUP(A2085,预留库存!A:H,8,0),0)</f>
        <v>0</v>
      </c>
      <c r="I2085">
        <f>IFERROR(VLOOKUP(A2085,预留库存!A:F,6,0),0)</f>
        <v>0</v>
      </c>
      <c r="J2085">
        <f>IFERROR(VLOOKUP(A2085,库龄!B:K,9,0),0)</f>
        <v>0</v>
      </c>
      <c r="K2085">
        <f>IFERROR(VLOOKUP(A2085,库龄!B:L,10,0),0)</f>
        <v>0</v>
      </c>
      <c r="L2085">
        <f>IFERROR(VLOOKUP(A2085,库龄!B:M,11,0),0)</f>
        <v>0</v>
      </c>
      <c r="M2085">
        <f>IFERROR(VLOOKUP(A2085,库龄!B:N,12,0),0)</f>
        <v>0</v>
      </c>
      <c r="N2085">
        <f t="shared" si="68"/>
        <v>0</v>
      </c>
    </row>
    <row r="2086" spans="2:14">
      <c r="B2086" t="str">
        <f>IFERROR(VLOOKUP(A2086,管理亚马逊库存!A:K,11,0),"")</f>
        <v/>
      </c>
      <c r="C2086" t="str">
        <f>IFERROR(VLOOKUP(A2086,管理亚马逊库存!A:L,12,0),"")</f>
        <v/>
      </c>
      <c r="D2086" t="str">
        <f>IFERROR(VLOOKUP(A2086,管理亚马逊库存!A:Q,17,0),"")</f>
        <v/>
      </c>
      <c r="E2086" t="str">
        <f>IFERROR(VLOOKUP(A2086,管理亚马逊库存!A:R,18,0),"")</f>
        <v/>
      </c>
      <c r="F2086">
        <f t="shared" si="67"/>
        <v>0</v>
      </c>
      <c r="G2086">
        <f>IFERROR(VLOOKUP(A2086,预留库存!A:G,7,0),0)</f>
        <v>0</v>
      </c>
      <c r="H2086">
        <f>IFERROR(VLOOKUP(A2086,预留库存!A:H,8,0),0)</f>
        <v>0</v>
      </c>
      <c r="I2086">
        <f>IFERROR(VLOOKUP(A2086,预留库存!A:F,6,0),0)</f>
        <v>0</v>
      </c>
      <c r="J2086">
        <f>IFERROR(VLOOKUP(A2086,库龄!B:K,9,0),0)</f>
        <v>0</v>
      </c>
      <c r="K2086">
        <f>IFERROR(VLOOKUP(A2086,库龄!B:L,10,0),0)</f>
        <v>0</v>
      </c>
      <c r="L2086">
        <f>IFERROR(VLOOKUP(A2086,库龄!B:M,11,0),0)</f>
        <v>0</v>
      </c>
      <c r="M2086">
        <f>IFERROR(VLOOKUP(A2086,库龄!B:N,12,0),0)</f>
        <v>0</v>
      </c>
      <c r="N2086">
        <f t="shared" si="68"/>
        <v>0</v>
      </c>
    </row>
    <row r="2087" spans="2:14">
      <c r="B2087" t="str">
        <f>IFERROR(VLOOKUP(A2087,管理亚马逊库存!A:K,11,0),"")</f>
        <v/>
      </c>
      <c r="C2087" t="str">
        <f>IFERROR(VLOOKUP(A2087,管理亚马逊库存!A:L,12,0),"")</f>
        <v/>
      </c>
      <c r="D2087" t="str">
        <f>IFERROR(VLOOKUP(A2087,管理亚马逊库存!A:Q,17,0),"")</f>
        <v/>
      </c>
      <c r="E2087" t="str">
        <f>IFERROR(VLOOKUP(A2087,管理亚马逊库存!A:R,18,0),"")</f>
        <v/>
      </c>
      <c r="F2087">
        <f t="shared" si="67"/>
        <v>0</v>
      </c>
      <c r="G2087">
        <f>IFERROR(VLOOKUP(A2087,预留库存!A:G,7,0),0)</f>
        <v>0</v>
      </c>
      <c r="H2087">
        <f>IFERROR(VLOOKUP(A2087,预留库存!A:H,8,0),0)</f>
        <v>0</v>
      </c>
      <c r="I2087">
        <f>IFERROR(VLOOKUP(A2087,预留库存!A:F,6,0),0)</f>
        <v>0</v>
      </c>
      <c r="J2087">
        <f>IFERROR(VLOOKUP(A2087,库龄!B:K,9,0),0)</f>
        <v>0</v>
      </c>
      <c r="K2087">
        <f>IFERROR(VLOOKUP(A2087,库龄!B:L,10,0),0)</f>
        <v>0</v>
      </c>
      <c r="L2087">
        <f>IFERROR(VLOOKUP(A2087,库龄!B:M,11,0),0)</f>
        <v>0</v>
      </c>
      <c r="M2087">
        <f>IFERROR(VLOOKUP(A2087,库龄!B:N,12,0),0)</f>
        <v>0</v>
      </c>
      <c r="N2087">
        <f t="shared" si="68"/>
        <v>0</v>
      </c>
    </row>
    <row r="2088" spans="2:14">
      <c r="B2088" t="str">
        <f>IFERROR(VLOOKUP(A2088,管理亚马逊库存!A:K,11,0),"")</f>
        <v/>
      </c>
      <c r="C2088" t="str">
        <f>IFERROR(VLOOKUP(A2088,管理亚马逊库存!A:L,12,0),"")</f>
        <v/>
      </c>
      <c r="D2088" t="str">
        <f>IFERROR(VLOOKUP(A2088,管理亚马逊库存!A:Q,17,0),"")</f>
        <v/>
      </c>
      <c r="E2088" t="str">
        <f>IFERROR(VLOOKUP(A2088,管理亚马逊库存!A:R,18,0),"")</f>
        <v/>
      </c>
      <c r="F2088">
        <f t="shared" si="67"/>
        <v>0</v>
      </c>
      <c r="G2088">
        <f>IFERROR(VLOOKUP(A2088,预留库存!A:G,7,0),0)</f>
        <v>0</v>
      </c>
      <c r="H2088">
        <f>IFERROR(VLOOKUP(A2088,预留库存!A:H,8,0),0)</f>
        <v>0</v>
      </c>
      <c r="I2088">
        <f>IFERROR(VLOOKUP(A2088,预留库存!A:F,6,0),0)</f>
        <v>0</v>
      </c>
      <c r="J2088">
        <f>IFERROR(VLOOKUP(A2088,库龄!B:K,9,0),0)</f>
        <v>0</v>
      </c>
      <c r="K2088">
        <f>IFERROR(VLOOKUP(A2088,库龄!B:L,10,0),0)</f>
        <v>0</v>
      </c>
      <c r="L2088">
        <f>IFERROR(VLOOKUP(A2088,库龄!B:M,11,0),0)</f>
        <v>0</v>
      </c>
      <c r="M2088">
        <f>IFERROR(VLOOKUP(A2088,库龄!B:N,12,0),0)</f>
        <v>0</v>
      </c>
      <c r="N2088">
        <f t="shared" si="68"/>
        <v>0</v>
      </c>
    </row>
    <row r="2089" spans="2:14">
      <c r="B2089" t="str">
        <f>IFERROR(VLOOKUP(A2089,管理亚马逊库存!A:K,11,0),"")</f>
        <v/>
      </c>
      <c r="C2089" t="str">
        <f>IFERROR(VLOOKUP(A2089,管理亚马逊库存!A:L,12,0),"")</f>
        <v/>
      </c>
      <c r="D2089" t="str">
        <f>IFERROR(VLOOKUP(A2089,管理亚马逊库存!A:Q,17,0),"")</f>
        <v/>
      </c>
      <c r="E2089" t="str">
        <f>IFERROR(VLOOKUP(A2089,管理亚马逊库存!A:R,18,0),"")</f>
        <v/>
      </c>
      <c r="F2089">
        <f t="shared" si="67"/>
        <v>0</v>
      </c>
      <c r="G2089">
        <f>IFERROR(VLOOKUP(A2089,预留库存!A:G,7,0),0)</f>
        <v>0</v>
      </c>
      <c r="H2089">
        <f>IFERROR(VLOOKUP(A2089,预留库存!A:H,8,0),0)</f>
        <v>0</v>
      </c>
      <c r="I2089">
        <f>IFERROR(VLOOKUP(A2089,预留库存!A:F,6,0),0)</f>
        <v>0</v>
      </c>
      <c r="J2089">
        <f>IFERROR(VLOOKUP(A2089,库龄!B:K,9,0),0)</f>
        <v>0</v>
      </c>
      <c r="K2089">
        <f>IFERROR(VLOOKUP(A2089,库龄!B:L,10,0),0)</f>
        <v>0</v>
      </c>
      <c r="L2089">
        <f>IFERROR(VLOOKUP(A2089,库龄!B:M,11,0),0)</f>
        <v>0</v>
      </c>
      <c r="M2089">
        <f>IFERROR(VLOOKUP(A2089,库龄!B:N,12,0),0)</f>
        <v>0</v>
      </c>
      <c r="N2089">
        <f t="shared" si="68"/>
        <v>0</v>
      </c>
    </row>
    <row r="2090" spans="2:14">
      <c r="B2090" t="str">
        <f>IFERROR(VLOOKUP(A2090,管理亚马逊库存!A:K,11,0),"")</f>
        <v/>
      </c>
      <c r="C2090" t="str">
        <f>IFERROR(VLOOKUP(A2090,管理亚马逊库存!A:L,12,0),"")</f>
        <v/>
      </c>
      <c r="D2090" t="str">
        <f>IFERROR(VLOOKUP(A2090,管理亚马逊库存!A:Q,17,0),"")</f>
        <v/>
      </c>
      <c r="E2090" t="str">
        <f>IFERROR(VLOOKUP(A2090,管理亚马逊库存!A:R,18,0),"")</f>
        <v/>
      </c>
      <c r="F2090">
        <f t="shared" si="67"/>
        <v>0</v>
      </c>
      <c r="G2090">
        <f>IFERROR(VLOOKUP(A2090,预留库存!A:G,7,0),0)</f>
        <v>0</v>
      </c>
      <c r="H2090">
        <f>IFERROR(VLOOKUP(A2090,预留库存!A:H,8,0),0)</f>
        <v>0</v>
      </c>
      <c r="I2090">
        <f>IFERROR(VLOOKUP(A2090,预留库存!A:F,6,0),0)</f>
        <v>0</v>
      </c>
      <c r="J2090">
        <f>IFERROR(VLOOKUP(A2090,库龄!B:K,9,0),0)</f>
        <v>0</v>
      </c>
      <c r="K2090">
        <f>IFERROR(VLOOKUP(A2090,库龄!B:L,10,0),0)</f>
        <v>0</v>
      </c>
      <c r="L2090">
        <f>IFERROR(VLOOKUP(A2090,库龄!B:M,11,0),0)</f>
        <v>0</v>
      </c>
      <c r="M2090">
        <f>IFERROR(VLOOKUP(A2090,库龄!B:N,12,0),0)</f>
        <v>0</v>
      </c>
      <c r="N2090">
        <f t="shared" si="68"/>
        <v>0</v>
      </c>
    </row>
    <row r="2091" spans="2:14">
      <c r="B2091" t="str">
        <f>IFERROR(VLOOKUP(A2091,管理亚马逊库存!A:K,11,0),"")</f>
        <v/>
      </c>
      <c r="C2091" t="str">
        <f>IFERROR(VLOOKUP(A2091,管理亚马逊库存!A:L,12,0),"")</f>
        <v/>
      </c>
      <c r="D2091" t="str">
        <f>IFERROR(VLOOKUP(A2091,管理亚马逊库存!A:Q,17,0),"")</f>
        <v/>
      </c>
      <c r="E2091" t="str">
        <f>IFERROR(VLOOKUP(A2091,管理亚马逊库存!A:R,18,0),"")</f>
        <v/>
      </c>
      <c r="F2091">
        <f t="shared" si="67"/>
        <v>0</v>
      </c>
      <c r="G2091">
        <f>IFERROR(VLOOKUP(A2091,预留库存!A:G,7,0),0)</f>
        <v>0</v>
      </c>
      <c r="H2091">
        <f>IFERROR(VLOOKUP(A2091,预留库存!A:H,8,0),0)</f>
        <v>0</v>
      </c>
      <c r="I2091">
        <f>IFERROR(VLOOKUP(A2091,预留库存!A:F,6,0),0)</f>
        <v>0</v>
      </c>
      <c r="J2091">
        <f>IFERROR(VLOOKUP(A2091,库龄!B:K,9,0),0)</f>
        <v>0</v>
      </c>
      <c r="K2091">
        <f>IFERROR(VLOOKUP(A2091,库龄!B:L,10,0),0)</f>
        <v>0</v>
      </c>
      <c r="L2091">
        <f>IFERROR(VLOOKUP(A2091,库龄!B:M,11,0),0)</f>
        <v>0</v>
      </c>
      <c r="M2091">
        <f>IFERROR(VLOOKUP(A2091,库龄!B:N,12,0),0)</f>
        <v>0</v>
      </c>
      <c r="N2091">
        <f t="shared" si="68"/>
        <v>0</v>
      </c>
    </row>
    <row r="2092" spans="2:14">
      <c r="B2092" t="str">
        <f>IFERROR(VLOOKUP(A2092,管理亚马逊库存!A:K,11,0),"")</f>
        <v/>
      </c>
      <c r="C2092" t="str">
        <f>IFERROR(VLOOKUP(A2092,管理亚马逊库存!A:L,12,0),"")</f>
        <v/>
      </c>
      <c r="D2092" t="str">
        <f>IFERROR(VLOOKUP(A2092,管理亚马逊库存!A:Q,17,0),"")</f>
        <v/>
      </c>
      <c r="E2092" t="str">
        <f>IFERROR(VLOOKUP(A2092,管理亚马逊库存!A:R,18,0),"")</f>
        <v/>
      </c>
      <c r="F2092">
        <f t="shared" si="67"/>
        <v>0</v>
      </c>
      <c r="G2092">
        <f>IFERROR(VLOOKUP(A2092,预留库存!A:G,7,0),0)</f>
        <v>0</v>
      </c>
      <c r="H2092">
        <f>IFERROR(VLOOKUP(A2092,预留库存!A:H,8,0),0)</f>
        <v>0</v>
      </c>
      <c r="I2092">
        <f>IFERROR(VLOOKUP(A2092,预留库存!A:F,6,0),0)</f>
        <v>0</v>
      </c>
      <c r="J2092">
        <f>IFERROR(VLOOKUP(A2092,库龄!B:K,9,0),0)</f>
        <v>0</v>
      </c>
      <c r="K2092">
        <f>IFERROR(VLOOKUP(A2092,库龄!B:L,10,0),0)</f>
        <v>0</v>
      </c>
      <c r="L2092">
        <f>IFERROR(VLOOKUP(A2092,库龄!B:M,11,0),0)</f>
        <v>0</v>
      </c>
      <c r="M2092">
        <f>IFERROR(VLOOKUP(A2092,库龄!B:N,12,0),0)</f>
        <v>0</v>
      </c>
      <c r="N2092">
        <f t="shared" si="68"/>
        <v>0</v>
      </c>
    </row>
    <row r="2093" spans="2:14">
      <c r="B2093" t="str">
        <f>IFERROR(VLOOKUP(A2093,管理亚马逊库存!A:K,11,0),"")</f>
        <v/>
      </c>
      <c r="C2093" t="str">
        <f>IFERROR(VLOOKUP(A2093,管理亚马逊库存!A:L,12,0),"")</f>
        <v/>
      </c>
      <c r="D2093" t="str">
        <f>IFERROR(VLOOKUP(A2093,管理亚马逊库存!A:Q,17,0),"")</f>
        <v/>
      </c>
      <c r="E2093" t="str">
        <f>IFERROR(VLOOKUP(A2093,管理亚马逊库存!A:R,18,0),"")</f>
        <v/>
      </c>
      <c r="F2093">
        <f t="shared" si="67"/>
        <v>0</v>
      </c>
      <c r="G2093">
        <f>IFERROR(VLOOKUP(A2093,预留库存!A:G,7,0),0)</f>
        <v>0</v>
      </c>
      <c r="H2093">
        <f>IFERROR(VLOOKUP(A2093,预留库存!A:H,8,0),0)</f>
        <v>0</v>
      </c>
      <c r="I2093">
        <f>IFERROR(VLOOKUP(A2093,预留库存!A:F,6,0),0)</f>
        <v>0</v>
      </c>
      <c r="J2093">
        <f>IFERROR(VLOOKUP(A2093,库龄!B:K,9,0),0)</f>
        <v>0</v>
      </c>
      <c r="K2093">
        <f>IFERROR(VLOOKUP(A2093,库龄!B:L,10,0),0)</f>
        <v>0</v>
      </c>
      <c r="L2093">
        <f>IFERROR(VLOOKUP(A2093,库龄!B:M,11,0),0)</f>
        <v>0</v>
      </c>
      <c r="M2093">
        <f>IFERROR(VLOOKUP(A2093,库龄!B:N,12,0),0)</f>
        <v>0</v>
      </c>
      <c r="N2093">
        <f t="shared" si="68"/>
        <v>0</v>
      </c>
    </row>
    <row r="2094" spans="2:14">
      <c r="B2094" t="str">
        <f>IFERROR(VLOOKUP(A2094,管理亚马逊库存!A:K,11,0),"")</f>
        <v/>
      </c>
      <c r="C2094" t="str">
        <f>IFERROR(VLOOKUP(A2094,管理亚马逊库存!A:L,12,0),"")</f>
        <v/>
      </c>
      <c r="D2094" t="str">
        <f>IFERROR(VLOOKUP(A2094,管理亚马逊库存!A:Q,17,0),"")</f>
        <v/>
      </c>
      <c r="E2094" t="str">
        <f>IFERROR(VLOOKUP(A2094,管理亚马逊库存!A:R,18,0),"")</f>
        <v/>
      </c>
      <c r="F2094">
        <f t="shared" si="67"/>
        <v>0</v>
      </c>
      <c r="G2094">
        <f>IFERROR(VLOOKUP(A2094,预留库存!A:G,7,0),0)</f>
        <v>0</v>
      </c>
      <c r="H2094">
        <f>IFERROR(VLOOKUP(A2094,预留库存!A:H,8,0),0)</f>
        <v>0</v>
      </c>
      <c r="I2094">
        <f>IFERROR(VLOOKUP(A2094,预留库存!A:F,6,0),0)</f>
        <v>0</v>
      </c>
      <c r="J2094">
        <f>IFERROR(VLOOKUP(A2094,库龄!B:K,9,0),0)</f>
        <v>0</v>
      </c>
      <c r="K2094">
        <f>IFERROR(VLOOKUP(A2094,库龄!B:L,10,0),0)</f>
        <v>0</v>
      </c>
      <c r="L2094">
        <f>IFERROR(VLOOKUP(A2094,库龄!B:M,11,0),0)</f>
        <v>0</v>
      </c>
      <c r="M2094">
        <f>IFERROR(VLOOKUP(A2094,库龄!B:N,12,0),0)</f>
        <v>0</v>
      </c>
      <c r="N2094">
        <f t="shared" si="68"/>
        <v>0</v>
      </c>
    </row>
    <row r="2095" spans="2:14">
      <c r="B2095" t="str">
        <f>IFERROR(VLOOKUP(A2095,管理亚马逊库存!A:K,11,0),"")</f>
        <v/>
      </c>
      <c r="C2095" t="str">
        <f>IFERROR(VLOOKUP(A2095,管理亚马逊库存!A:L,12,0),"")</f>
        <v/>
      </c>
      <c r="D2095" t="str">
        <f>IFERROR(VLOOKUP(A2095,管理亚马逊库存!A:Q,17,0),"")</f>
        <v/>
      </c>
      <c r="E2095" t="str">
        <f>IFERROR(VLOOKUP(A2095,管理亚马逊库存!A:R,18,0),"")</f>
        <v/>
      </c>
      <c r="F2095">
        <f t="shared" si="67"/>
        <v>0</v>
      </c>
      <c r="G2095">
        <f>IFERROR(VLOOKUP(A2095,预留库存!A:G,7,0),0)</f>
        <v>0</v>
      </c>
      <c r="H2095">
        <f>IFERROR(VLOOKUP(A2095,预留库存!A:H,8,0),0)</f>
        <v>0</v>
      </c>
      <c r="I2095">
        <f>IFERROR(VLOOKUP(A2095,预留库存!A:F,6,0),0)</f>
        <v>0</v>
      </c>
      <c r="J2095">
        <f>IFERROR(VLOOKUP(A2095,库龄!B:K,9,0),0)</f>
        <v>0</v>
      </c>
      <c r="K2095">
        <f>IFERROR(VLOOKUP(A2095,库龄!B:L,10,0),0)</f>
        <v>0</v>
      </c>
      <c r="L2095">
        <f>IFERROR(VLOOKUP(A2095,库龄!B:M,11,0),0)</f>
        <v>0</v>
      </c>
      <c r="M2095">
        <f>IFERROR(VLOOKUP(A2095,库龄!B:N,12,0),0)</f>
        <v>0</v>
      </c>
      <c r="N2095">
        <f t="shared" si="68"/>
        <v>0</v>
      </c>
    </row>
    <row r="2096" spans="2:14">
      <c r="B2096" t="str">
        <f>IFERROR(VLOOKUP(A2096,管理亚马逊库存!A:K,11,0),"")</f>
        <v/>
      </c>
      <c r="C2096" t="str">
        <f>IFERROR(VLOOKUP(A2096,管理亚马逊库存!A:L,12,0),"")</f>
        <v/>
      </c>
      <c r="D2096" t="str">
        <f>IFERROR(VLOOKUP(A2096,管理亚马逊库存!A:Q,17,0),"")</f>
        <v/>
      </c>
      <c r="E2096" t="str">
        <f>IFERROR(VLOOKUP(A2096,管理亚马逊库存!A:R,18,0),"")</f>
        <v/>
      </c>
      <c r="F2096">
        <f t="shared" si="67"/>
        <v>0</v>
      </c>
      <c r="G2096">
        <f>IFERROR(VLOOKUP(A2096,预留库存!A:G,7,0),0)</f>
        <v>0</v>
      </c>
      <c r="H2096">
        <f>IFERROR(VLOOKUP(A2096,预留库存!A:H,8,0),0)</f>
        <v>0</v>
      </c>
      <c r="I2096">
        <f>IFERROR(VLOOKUP(A2096,预留库存!A:F,6,0),0)</f>
        <v>0</v>
      </c>
      <c r="J2096">
        <f>IFERROR(VLOOKUP(A2096,库龄!B:K,9,0),0)</f>
        <v>0</v>
      </c>
      <c r="K2096">
        <f>IFERROR(VLOOKUP(A2096,库龄!B:L,10,0),0)</f>
        <v>0</v>
      </c>
      <c r="L2096">
        <f>IFERROR(VLOOKUP(A2096,库龄!B:M,11,0),0)</f>
        <v>0</v>
      </c>
      <c r="M2096">
        <f>IFERROR(VLOOKUP(A2096,库龄!B:N,12,0),0)</f>
        <v>0</v>
      </c>
      <c r="N2096">
        <f t="shared" si="68"/>
        <v>0</v>
      </c>
    </row>
  </sheetData>
  <autoFilter ref="A1:N3240">
    <extLst/>
  </autoFilter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14</xdr:col>
                <xdr:colOff>676275</xdr:colOff>
                <xdr:row>2</xdr:row>
                <xdr:rowOff>0</xdr:rowOff>
              </from>
              <to>
                <xdr:col>16</xdr:col>
                <xdr:colOff>9525</xdr:colOff>
                <xdr:row>4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预留库存</vt:lpstr>
      <vt:lpstr>库龄</vt:lpstr>
      <vt:lpstr>管理亚马逊库存</vt:lpstr>
      <vt:lpstr>数据处理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2017-11-30T08:44:00Z</dcterms:created>
  <dcterms:modified xsi:type="dcterms:W3CDTF">2018-07-10T02:20:54Z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